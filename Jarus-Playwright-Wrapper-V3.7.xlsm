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D:\Playwright-Automation\"/>
    </mc:Choice>
  </mc:AlternateContent>
  <xr:revisionPtr revIDLastSave="0" documentId="13_ncr:1_{96522194-13B4-4B31-B6FB-54348F5E125A}" xr6:coauthVersionLast="47" xr6:coauthVersionMax="47" xr10:uidLastSave="{00000000-0000-0000-0000-000000000000}"/>
  <bookViews>
    <workbookView xWindow="-120" yWindow="-120" windowWidth="20730" windowHeight="11040" firstSheet="4" activeTab="4" xr2:uid="{7F0E731B-A864-4299-ACC2-BB2B8CDD8F5A}"/>
  </bookViews>
  <sheets>
    <sheet name="Parameters" sheetId="25" state="hidden" r:id="rId1"/>
    <sheet name="Help" sheetId="62" state="hidden" r:id="rId2"/>
    <sheet name="Config" sheetId="63" state="hidden" r:id="rId3"/>
    <sheet name="Sheet5" sheetId="71" state="hidden" r:id="rId4"/>
    <sheet name="General" sheetId="58" r:id="rId5"/>
    <sheet name="Ratelog Summary" sheetId="77" r:id="rId6"/>
    <sheet name="Detailed Report" sheetId="76" r:id="rId7"/>
    <sheet name="Rate Table" sheetId="64" state="hidden" r:id="rId8"/>
    <sheet name="Input Data" sheetId="73" state="hidden" r:id="rId9"/>
    <sheet name="Sheet8" sheetId="75" state="hidden" r:id="rId10"/>
    <sheet name="Details" sheetId="74" state="hidden" r:id="rId11"/>
    <sheet name="Sheet1" sheetId="70" state="hidden" r:id="rId12"/>
    <sheet name="Sheet3" sheetId="68" state="hidden" r:id="rId13"/>
    <sheet name="Scenarios" sheetId="72" state="hidden" r:id="rId14"/>
    <sheet name="Sheet4" sheetId="69" state="hidden" r:id="rId15"/>
    <sheet name="Data" sheetId="66" state="hidden" r:id="rId16"/>
    <sheet name="Sheet2" sheetId="67" state="hidden" r:id="rId17"/>
    <sheet name="HO_AAIS" sheetId="65" state="hidden" r:id="rId18"/>
    <sheet name="Create_TC_Web" sheetId="49" state="hidden" r:id="rId19"/>
    <sheet name="TC" sheetId="54" state="hidden" r:id="rId20"/>
    <sheet name="TestData" sheetId="53" state="hidden" r:id="rId21"/>
    <sheet name="Source" sheetId="56" state="hidden" r:id="rId22"/>
  </sheets>
  <functionGroups builtInGroupCount="19"/>
  <definedNames>
    <definedName name="_xlnm._FilterDatabase" localSheetId="18" hidden="1">Create_TC_Web!$A$10:$DI$250</definedName>
    <definedName name="_xlnm._FilterDatabase" localSheetId="4" hidden="1">General!$A$11:$DJ$241</definedName>
    <definedName name="_xleta.IF" hidden="1" xlm="1">#NAME?</definedName>
    <definedName name="_xleta.LEFT" hidden="1" xlm="1">#NAME?</definedName>
    <definedName name="_xleta.RANDBETWEEN" hidden="1" xlm="1">#NAME?</definedName>
    <definedName name="_xleta.RIGHT" hidden="1" xlm="1">#NAME?</definedName>
    <definedName name="_xleta.SUBSTITUTE" hidden="1" xlm="1">#NAME?</definedName>
    <definedName name="_xleta.SUBTOTAL" hidden="1" xlm="1">#NAME?</definedName>
    <definedName name="_xleta.TYPE" hidden="1" xlm="1">#NAME?</definedName>
    <definedName name="Action">#REF!</definedName>
    <definedName name="ControlID">#REF!</definedName>
    <definedName name="Control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94" i="76" l="1"/>
  <c r="BJ94" i="76"/>
  <c r="BJ93" i="76"/>
  <c r="BJ92" i="76"/>
  <c r="BJ91" i="76"/>
  <c r="BJ90" i="76"/>
  <c r="BJ89" i="76"/>
  <c r="BJ88" i="76"/>
  <c r="BJ87" i="76"/>
  <c r="BJ86" i="76"/>
  <c r="BJ85" i="76"/>
  <c r="BJ84" i="76"/>
  <c r="BJ83" i="76"/>
  <c r="BJ82" i="76"/>
  <c r="BJ81" i="76"/>
  <c r="BJ80" i="76"/>
  <c r="BJ79" i="76"/>
  <c r="BJ78" i="76"/>
  <c r="BJ77" i="76"/>
  <c r="BJ76" i="76"/>
  <c r="BJ75" i="76"/>
  <c r="BJ74" i="76"/>
  <c r="BJ73" i="76"/>
  <c r="BJ72" i="76"/>
  <c r="BJ71" i="76"/>
  <c r="BJ70" i="76"/>
  <c r="BJ69" i="76"/>
  <c r="BJ68" i="76"/>
  <c r="BJ67" i="76"/>
  <c r="BJ66" i="76"/>
  <c r="BJ65" i="76"/>
  <c r="BJ64" i="76"/>
  <c r="BJ63" i="76"/>
  <c r="BJ62" i="76"/>
  <c r="BJ61" i="76"/>
  <c r="BJ60" i="76"/>
  <c r="BJ59" i="76"/>
  <c r="BJ58" i="76"/>
  <c r="BJ57" i="76"/>
  <c r="BJ56" i="76"/>
  <c r="BJ55" i="76"/>
  <c r="BJ54" i="76"/>
  <c r="BJ53" i="76"/>
  <c r="BJ52" i="76"/>
  <c r="BJ51" i="76"/>
  <c r="BJ50" i="76"/>
  <c r="BJ49" i="76"/>
  <c r="BI94" i="76"/>
  <c r="BG94" i="76"/>
  <c r="BG93" i="76"/>
  <c r="BG92" i="76"/>
  <c r="BG91" i="76"/>
  <c r="BG90" i="76"/>
  <c r="BG89" i="76"/>
  <c r="BG88" i="76"/>
  <c r="BG87" i="76"/>
  <c r="BG86" i="76"/>
  <c r="BG85" i="76"/>
  <c r="BG84" i="76"/>
  <c r="BG83" i="76"/>
  <c r="BG82" i="76"/>
  <c r="BG81" i="76"/>
  <c r="BG80" i="76"/>
  <c r="BG79" i="76"/>
  <c r="BG78" i="76"/>
  <c r="BG77" i="76"/>
  <c r="BG76" i="76"/>
  <c r="BG75" i="76"/>
  <c r="BG74" i="76"/>
  <c r="BG73" i="76"/>
  <c r="BG72" i="76"/>
  <c r="BG71" i="76"/>
  <c r="BG70" i="76"/>
  <c r="BG69" i="76"/>
  <c r="BG68" i="76"/>
  <c r="BG67" i="76"/>
  <c r="BG66" i="76"/>
  <c r="BG65" i="76"/>
  <c r="BG64" i="76"/>
  <c r="BG63" i="76"/>
  <c r="BG62" i="76"/>
  <c r="BG61" i="76"/>
  <c r="BG60" i="76"/>
  <c r="BG59" i="76"/>
  <c r="BG58" i="76"/>
  <c r="BG57" i="76"/>
  <c r="BG56" i="76"/>
  <c r="BG55" i="76"/>
  <c r="BG54" i="76"/>
  <c r="BG53" i="76"/>
  <c r="BG52" i="76"/>
  <c r="BG51" i="76"/>
  <c r="BG50" i="76"/>
  <c r="BG49" i="76"/>
  <c r="BF94" i="76"/>
  <c r="BD94" i="76"/>
  <c r="BD93" i="76"/>
  <c r="BD92" i="76"/>
  <c r="BD91" i="76"/>
  <c r="BD90" i="76"/>
  <c r="BD89" i="76"/>
  <c r="BD88" i="76"/>
  <c r="BD87" i="76"/>
  <c r="BD86" i="76"/>
  <c r="BD85" i="76"/>
  <c r="BD84" i="76"/>
  <c r="BD83" i="76"/>
  <c r="BD82" i="76"/>
  <c r="BD81" i="76"/>
  <c r="BD80" i="76"/>
  <c r="BD79" i="76"/>
  <c r="BD78" i="76"/>
  <c r="BD77" i="76"/>
  <c r="BD76" i="76"/>
  <c r="BD75" i="76"/>
  <c r="BD74" i="76"/>
  <c r="BD73" i="76"/>
  <c r="BD72" i="76"/>
  <c r="BD71" i="76"/>
  <c r="BD70" i="76"/>
  <c r="BD69" i="76"/>
  <c r="BD68" i="76"/>
  <c r="BD67" i="76"/>
  <c r="BD66" i="76"/>
  <c r="BD65" i="76"/>
  <c r="BD64" i="76"/>
  <c r="BD63" i="76"/>
  <c r="BD62" i="76"/>
  <c r="BD61" i="76"/>
  <c r="BD60" i="76"/>
  <c r="BD59" i="76"/>
  <c r="BD58" i="76"/>
  <c r="BD57" i="76"/>
  <c r="BD56" i="76"/>
  <c r="BD55" i="76"/>
  <c r="BD54" i="76"/>
  <c r="BD53" i="76"/>
  <c r="BD52" i="76"/>
  <c r="BD51" i="76"/>
  <c r="BD50" i="76"/>
  <c r="BD49" i="76"/>
  <c r="BC94" i="76"/>
  <c r="BA94" i="76"/>
  <c r="BA93" i="76"/>
  <c r="BA92" i="76"/>
  <c r="BA91" i="76"/>
  <c r="BA90" i="76"/>
  <c r="BA89" i="76"/>
  <c r="BA88" i="76"/>
  <c r="BA87" i="76"/>
  <c r="BA86" i="76"/>
  <c r="BA85" i="76"/>
  <c r="BA84" i="76"/>
  <c r="BA83" i="76"/>
  <c r="BA82" i="76"/>
  <c r="BA81" i="76"/>
  <c r="BA80" i="76"/>
  <c r="BA79" i="76"/>
  <c r="BA78" i="76"/>
  <c r="BA77" i="76"/>
  <c r="BA76" i="76"/>
  <c r="BA75" i="76"/>
  <c r="BA74" i="76"/>
  <c r="BA73" i="76"/>
  <c r="BA72" i="76"/>
  <c r="BA71" i="76"/>
  <c r="BA70" i="76"/>
  <c r="BA69" i="76"/>
  <c r="BA68" i="76"/>
  <c r="BA67" i="76"/>
  <c r="BA66" i="76"/>
  <c r="BA65" i="76"/>
  <c r="BA64" i="76"/>
  <c r="BA63" i="76"/>
  <c r="BA62" i="76"/>
  <c r="BA61" i="76"/>
  <c r="BA60" i="76"/>
  <c r="BA59" i="76"/>
  <c r="BA58" i="76"/>
  <c r="BA57" i="76"/>
  <c r="BA56" i="76"/>
  <c r="BA55" i="76"/>
  <c r="BA54" i="76"/>
  <c r="BA53" i="76"/>
  <c r="BA52" i="76"/>
  <c r="BA51" i="76"/>
  <c r="BA50" i="76"/>
  <c r="BA49" i="76"/>
  <c r="AZ94" i="76"/>
  <c r="AX94" i="76"/>
  <c r="AX93" i="76"/>
  <c r="AX92" i="76"/>
  <c r="AX91" i="76"/>
  <c r="AX90" i="76"/>
  <c r="AX89" i="76"/>
  <c r="AX88" i="76"/>
  <c r="AX87" i="76"/>
  <c r="AX86" i="76"/>
  <c r="AX85" i="76"/>
  <c r="AX84" i="76"/>
  <c r="AX83" i="76"/>
  <c r="AX82" i="76"/>
  <c r="AX81" i="76"/>
  <c r="AX80" i="76"/>
  <c r="AX79" i="76"/>
  <c r="AX78" i="76"/>
  <c r="AX77" i="76"/>
  <c r="AX76" i="76"/>
  <c r="AX75" i="76"/>
  <c r="AX74" i="76"/>
  <c r="AX73" i="76"/>
  <c r="AX72" i="76"/>
  <c r="AX71" i="76"/>
  <c r="AX70" i="76"/>
  <c r="AX69" i="76"/>
  <c r="AX68" i="76"/>
  <c r="AX67" i="76"/>
  <c r="AX66" i="76"/>
  <c r="AX65" i="76"/>
  <c r="AX64" i="76"/>
  <c r="AX63" i="76"/>
  <c r="AX62" i="76"/>
  <c r="AX61" i="76"/>
  <c r="AX60" i="76"/>
  <c r="AX59" i="76"/>
  <c r="AX58" i="76"/>
  <c r="AX57" i="76"/>
  <c r="AX56" i="76"/>
  <c r="AX55" i="76"/>
  <c r="AX54" i="76"/>
  <c r="AX53" i="76"/>
  <c r="AX52" i="76"/>
  <c r="AX51" i="76"/>
  <c r="AX50" i="76"/>
  <c r="AX49" i="76"/>
  <c r="AW94" i="76"/>
  <c r="AU94" i="76"/>
  <c r="AU93" i="76"/>
  <c r="AU92" i="76"/>
  <c r="AU91" i="76"/>
  <c r="AU90" i="76"/>
  <c r="AU89" i="76"/>
  <c r="AU88" i="76"/>
  <c r="AU87" i="76"/>
  <c r="AU86" i="76"/>
  <c r="AU85" i="76"/>
  <c r="AU84" i="76"/>
  <c r="AU83" i="76"/>
  <c r="AU82" i="76"/>
  <c r="AU81" i="76"/>
  <c r="AU80" i="76"/>
  <c r="AU79" i="76"/>
  <c r="AU78" i="76"/>
  <c r="AU77" i="76"/>
  <c r="AU76" i="76"/>
  <c r="AU75" i="76"/>
  <c r="AU74" i="76"/>
  <c r="AU73" i="76"/>
  <c r="AU72" i="76"/>
  <c r="AU71" i="76"/>
  <c r="AU70" i="76"/>
  <c r="AU69" i="76"/>
  <c r="AU68" i="76"/>
  <c r="AU67" i="76"/>
  <c r="AU66" i="76"/>
  <c r="AU65" i="76"/>
  <c r="AU64" i="76"/>
  <c r="AU63" i="76"/>
  <c r="AU62" i="76"/>
  <c r="AU61" i="76"/>
  <c r="AU60" i="76"/>
  <c r="AU59" i="76"/>
  <c r="AU58" i="76"/>
  <c r="AU57" i="76"/>
  <c r="AU56" i="76"/>
  <c r="AU55" i="76"/>
  <c r="AU54" i="76"/>
  <c r="AU53" i="76"/>
  <c r="AU52" i="76"/>
  <c r="AU51" i="76"/>
  <c r="AU50" i="76"/>
  <c r="AU49" i="76"/>
  <c r="AT94" i="76"/>
  <c r="AR94" i="76"/>
  <c r="AR93" i="76"/>
  <c r="AR92" i="76"/>
  <c r="AR91" i="76"/>
  <c r="AR90" i="76"/>
  <c r="AR89" i="76"/>
  <c r="AR88" i="76"/>
  <c r="AR87" i="76"/>
  <c r="AR86" i="76"/>
  <c r="AR85" i="76"/>
  <c r="AR84" i="76"/>
  <c r="AR83" i="76"/>
  <c r="AR82" i="76"/>
  <c r="AR81" i="76"/>
  <c r="AR80" i="76"/>
  <c r="AR79" i="76"/>
  <c r="AR78" i="76"/>
  <c r="AR77" i="76"/>
  <c r="AR76" i="76"/>
  <c r="AR75" i="76"/>
  <c r="AR74" i="76"/>
  <c r="AR73" i="76"/>
  <c r="AR72" i="76"/>
  <c r="AR71" i="76"/>
  <c r="AR70" i="76"/>
  <c r="AR69" i="76"/>
  <c r="AR68" i="76"/>
  <c r="AR67" i="76"/>
  <c r="AR66" i="76"/>
  <c r="AR65" i="76"/>
  <c r="AR64" i="76"/>
  <c r="AR63" i="76"/>
  <c r="AR62" i="76"/>
  <c r="AR61" i="76"/>
  <c r="AR60" i="76"/>
  <c r="AR59" i="76"/>
  <c r="AR58" i="76"/>
  <c r="AR57" i="76"/>
  <c r="AR56" i="76"/>
  <c r="AR55" i="76"/>
  <c r="AR54" i="76"/>
  <c r="AR53" i="76"/>
  <c r="AR52" i="76"/>
  <c r="AR51" i="76"/>
  <c r="AR50" i="76"/>
  <c r="AR49" i="76"/>
  <c r="AQ94" i="76"/>
  <c r="AO94" i="76"/>
  <c r="AO93" i="76"/>
  <c r="AO92" i="76"/>
  <c r="AO91" i="76"/>
  <c r="AO90" i="76"/>
  <c r="AO89" i="76"/>
  <c r="AO88" i="76"/>
  <c r="AO87" i="76"/>
  <c r="AO86" i="76"/>
  <c r="AO85" i="76"/>
  <c r="AO84" i="76"/>
  <c r="AO83" i="76"/>
  <c r="AO82" i="76"/>
  <c r="AO81" i="76"/>
  <c r="AO80" i="76"/>
  <c r="AO79" i="76"/>
  <c r="AO78" i="76"/>
  <c r="AO77" i="76"/>
  <c r="AO76" i="76"/>
  <c r="AO75" i="76"/>
  <c r="AO74" i="76"/>
  <c r="AO73" i="76"/>
  <c r="AO72" i="76"/>
  <c r="AO71" i="76"/>
  <c r="AO70" i="76"/>
  <c r="AO69" i="76"/>
  <c r="AO68" i="76"/>
  <c r="AO67" i="76"/>
  <c r="AO66" i="76"/>
  <c r="AO65" i="76"/>
  <c r="AO64" i="76"/>
  <c r="AO63" i="76"/>
  <c r="AO62" i="76"/>
  <c r="AO61" i="76"/>
  <c r="AO60" i="76"/>
  <c r="AO59" i="76"/>
  <c r="AO58" i="76"/>
  <c r="AO57" i="76"/>
  <c r="AO56" i="76"/>
  <c r="AO55" i="76"/>
  <c r="AO54" i="76"/>
  <c r="AO53" i="76"/>
  <c r="AO52" i="76"/>
  <c r="AO51" i="76"/>
  <c r="AO50" i="76"/>
  <c r="AO49" i="76"/>
  <c r="AN94" i="76"/>
  <c r="AL94" i="76"/>
  <c r="AL93" i="76"/>
  <c r="AL92" i="76"/>
  <c r="AL91" i="76"/>
  <c r="AL90" i="76"/>
  <c r="AL89" i="76"/>
  <c r="AL88" i="76"/>
  <c r="AL87" i="76"/>
  <c r="AL86" i="76"/>
  <c r="AL85" i="76"/>
  <c r="AL84" i="76"/>
  <c r="AL83" i="76"/>
  <c r="AL82" i="76"/>
  <c r="AL81" i="76"/>
  <c r="AL80" i="76"/>
  <c r="AL79" i="76"/>
  <c r="AL78" i="76"/>
  <c r="AL77" i="76"/>
  <c r="AL76" i="76"/>
  <c r="AL75" i="76"/>
  <c r="AL74" i="76"/>
  <c r="AL73" i="76"/>
  <c r="AL72" i="76"/>
  <c r="AL71" i="76"/>
  <c r="AL70" i="76"/>
  <c r="AL69" i="76"/>
  <c r="AL68" i="76"/>
  <c r="AL67" i="76"/>
  <c r="AL66" i="76"/>
  <c r="AL65" i="76"/>
  <c r="AL64" i="76"/>
  <c r="AL63" i="76"/>
  <c r="AL62" i="76"/>
  <c r="AL61" i="76"/>
  <c r="AL60" i="76"/>
  <c r="AL59" i="76"/>
  <c r="AL58" i="76"/>
  <c r="AL57" i="76"/>
  <c r="AL56" i="76"/>
  <c r="AL55" i="76"/>
  <c r="AL54" i="76"/>
  <c r="AL53" i="76"/>
  <c r="AL52" i="76"/>
  <c r="AL51" i="76"/>
  <c r="AL50" i="76"/>
  <c r="AL49" i="76"/>
  <c r="AK94" i="76"/>
  <c r="AI94" i="76"/>
  <c r="AI93" i="76"/>
  <c r="AI92" i="76"/>
  <c r="AI91" i="76"/>
  <c r="AI90" i="76"/>
  <c r="AI89" i="76"/>
  <c r="AI88" i="76"/>
  <c r="AI87" i="76"/>
  <c r="AI86" i="76"/>
  <c r="AI85" i="76"/>
  <c r="AI84" i="76"/>
  <c r="AI83" i="76"/>
  <c r="AI82" i="76"/>
  <c r="AI81" i="76"/>
  <c r="AI80" i="76"/>
  <c r="AI79" i="76"/>
  <c r="AI78" i="76"/>
  <c r="AI77" i="76"/>
  <c r="AI76" i="76"/>
  <c r="AI75" i="76"/>
  <c r="AI74" i="76"/>
  <c r="AI73" i="76"/>
  <c r="AI72" i="76"/>
  <c r="AI71" i="76"/>
  <c r="AI70" i="76"/>
  <c r="AI69" i="76"/>
  <c r="AI68" i="76"/>
  <c r="AI67" i="76"/>
  <c r="AI66" i="76"/>
  <c r="AI65" i="76"/>
  <c r="AI64" i="76"/>
  <c r="AI63" i="76"/>
  <c r="AI62" i="76"/>
  <c r="AI61" i="76"/>
  <c r="AI60" i="76"/>
  <c r="AI59" i="76"/>
  <c r="AI58" i="76"/>
  <c r="AI57" i="76"/>
  <c r="AI56" i="76"/>
  <c r="AI55" i="76"/>
  <c r="AI54" i="76"/>
  <c r="AI53" i="76"/>
  <c r="AI52" i="76"/>
  <c r="AI51" i="76"/>
  <c r="AI50" i="76"/>
  <c r="AI49" i="76"/>
  <c r="AH94" i="76"/>
  <c r="AF94" i="76"/>
  <c r="AF93" i="76"/>
  <c r="AF92" i="76"/>
  <c r="AF91" i="76"/>
  <c r="AF90" i="76"/>
  <c r="AF89" i="76"/>
  <c r="AF88" i="76"/>
  <c r="AF87" i="76"/>
  <c r="AF86" i="76"/>
  <c r="AF85" i="76"/>
  <c r="AF84" i="76"/>
  <c r="AF83" i="76"/>
  <c r="AF82" i="76"/>
  <c r="AF81" i="76"/>
  <c r="AF80" i="76"/>
  <c r="AF79" i="76"/>
  <c r="AF78" i="76"/>
  <c r="AF77" i="76"/>
  <c r="AF76" i="76"/>
  <c r="AF75" i="76"/>
  <c r="AF74" i="76"/>
  <c r="AF73" i="76"/>
  <c r="AF72" i="76"/>
  <c r="AF71" i="76"/>
  <c r="AF70" i="76"/>
  <c r="AF69" i="76"/>
  <c r="AF68" i="76"/>
  <c r="AF67" i="76"/>
  <c r="AF66" i="76"/>
  <c r="AF65" i="76"/>
  <c r="AF64" i="76"/>
  <c r="AF63" i="76"/>
  <c r="AF62" i="76"/>
  <c r="AF61" i="76"/>
  <c r="AF60" i="76"/>
  <c r="AF59" i="76"/>
  <c r="AF58" i="76"/>
  <c r="AF57" i="76"/>
  <c r="AF56" i="76"/>
  <c r="AF55" i="76"/>
  <c r="AF54" i="76"/>
  <c r="AF53" i="76"/>
  <c r="AF52" i="76"/>
  <c r="AF51" i="76"/>
  <c r="AF50" i="76"/>
  <c r="AF49" i="76"/>
  <c r="AE94" i="76"/>
  <c r="AC94" i="76"/>
  <c r="AC93" i="76"/>
  <c r="AC92" i="76"/>
  <c r="AC91" i="76"/>
  <c r="AC90" i="76"/>
  <c r="AC89" i="76"/>
  <c r="AC88" i="76"/>
  <c r="AC87" i="76"/>
  <c r="AC86" i="76"/>
  <c r="AC85" i="76"/>
  <c r="AC84" i="76"/>
  <c r="AC83" i="76"/>
  <c r="AC82" i="76"/>
  <c r="AC81" i="76"/>
  <c r="AC80" i="76"/>
  <c r="AC79" i="76"/>
  <c r="AC78" i="76"/>
  <c r="AC77" i="76"/>
  <c r="AC76" i="76"/>
  <c r="AC75" i="76"/>
  <c r="AC74" i="76"/>
  <c r="AC73" i="76"/>
  <c r="AC72" i="76"/>
  <c r="AC71" i="76"/>
  <c r="AC70" i="76"/>
  <c r="AC69" i="76"/>
  <c r="AC68" i="76"/>
  <c r="AC67" i="76"/>
  <c r="AC66" i="76"/>
  <c r="AC65" i="76"/>
  <c r="AC64" i="76"/>
  <c r="AC63" i="76"/>
  <c r="AC62" i="76"/>
  <c r="AC61" i="76"/>
  <c r="AC60" i="76"/>
  <c r="AC59" i="76"/>
  <c r="AC58" i="76"/>
  <c r="AC57" i="76"/>
  <c r="AC56" i="76"/>
  <c r="AC55" i="76"/>
  <c r="AC54" i="76"/>
  <c r="AC53" i="76"/>
  <c r="AC52" i="76"/>
  <c r="AC51" i="76"/>
  <c r="AC50" i="76"/>
  <c r="AC49" i="76"/>
  <c r="AB94" i="76"/>
  <c r="Z94" i="76"/>
  <c r="Z93" i="76"/>
  <c r="Z92" i="76"/>
  <c r="Z91" i="76"/>
  <c r="Z90" i="76"/>
  <c r="Z89" i="76"/>
  <c r="Z88" i="76"/>
  <c r="Z87" i="76"/>
  <c r="Z86" i="76"/>
  <c r="Z85" i="76"/>
  <c r="Z84" i="76"/>
  <c r="Z83" i="76"/>
  <c r="Z82" i="76"/>
  <c r="Z81" i="76"/>
  <c r="Z80" i="76"/>
  <c r="Z79" i="76"/>
  <c r="Z78" i="76"/>
  <c r="Z77" i="76"/>
  <c r="Z76" i="76"/>
  <c r="Z75" i="76"/>
  <c r="Z74" i="76"/>
  <c r="Z73" i="76"/>
  <c r="Z72" i="76"/>
  <c r="Z71" i="76"/>
  <c r="Z70" i="76"/>
  <c r="Z69" i="76"/>
  <c r="Z68" i="76"/>
  <c r="Z67" i="76"/>
  <c r="Z66" i="76"/>
  <c r="Z65" i="76"/>
  <c r="Z64" i="76"/>
  <c r="Z63" i="76"/>
  <c r="Z62" i="76"/>
  <c r="Z61" i="76"/>
  <c r="Z60" i="76"/>
  <c r="Z59" i="76"/>
  <c r="Z58" i="76"/>
  <c r="Z57" i="76"/>
  <c r="Z56" i="76"/>
  <c r="Z55" i="76"/>
  <c r="Z54" i="76"/>
  <c r="Z53" i="76"/>
  <c r="Z52" i="76"/>
  <c r="Z51" i="76"/>
  <c r="Z50" i="76"/>
  <c r="Z49" i="76"/>
  <c r="Y94" i="76"/>
  <c r="W94" i="76"/>
  <c r="W93" i="76"/>
  <c r="W92" i="76"/>
  <c r="W91" i="76"/>
  <c r="W90" i="76"/>
  <c r="W89" i="76"/>
  <c r="W88" i="76"/>
  <c r="W87" i="76"/>
  <c r="W86" i="76"/>
  <c r="W85" i="76"/>
  <c r="W84" i="76"/>
  <c r="W83" i="76"/>
  <c r="W82" i="76"/>
  <c r="W81" i="76"/>
  <c r="W80" i="76"/>
  <c r="W79" i="76"/>
  <c r="W78" i="76"/>
  <c r="W77" i="76"/>
  <c r="W76" i="76"/>
  <c r="W75" i="76"/>
  <c r="W74" i="76"/>
  <c r="W73" i="76"/>
  <c r="W72" i="76"/>
  <c r="W71" i="76"/>
  <c r="W70" i="76"/>
  <c r="W69" i="76"/>
  <c r="W68" i="76"/>
  <c r="W67" i="76"/>
  <c r="W66" i="76"/>
  <c r="W65" i="76"/>
  <c r="W64" i="76"/>
  <c r="W63" i="76"/>
  <c r="W62" i="76"/>
  <c r="W61" i="76"/>
  <c r="W60" i="76"/>
  <c r="W59" i="76"/>
  <c r="W58" i="76"/>
  <c r="W57" i="76"/>
  <c r="W56" i="76"/>
  <c r="W55" i="76"/>
  <c r="W54" i="76"/>
  <c r="W53" i="76"/>
  <c r="W52" i="76"/>
  <c r="W51" i="76"/>
  <c r="W50" i="76"/>
  <c r="W49" i="76"/>
  <c r="V94" i="76"/>
  <c r="T94" i="76"/>
  <c r="T93" i="76"/>
  <c r="T92" i="76"/>
  <c r="T91" i="76"/>
  <c r="T90" i="76"/>
  <c r="T89" i="76"/>
  <c r="T88" i="76"/>
  <c r="T87" i="76"/>
  <c r="T86" i="76"/>
  <c r="T85" i="76"/>
  <c r="T84" i="76"/>
  <c r="T83" i="76"/>
  <c r="T82" i="76"/>
  <c r="T81" i="76"/>
  <c r="T80" i="76"/>
  <c r="T79" i="76"/>
  <c r="T78" i="76"/>
  <c r="T77" i="76"/>
  <c r="T76" i="76"/>
  <c r="T75" i="76"/>
  <c r="T74" i="76"/>
  <c r="T73" i="76"/>
  <c r="T72" i="76"/>
  <c r="T71" i="76"/>
  <c r="T70" i="76"/>
  <c r="T69" i="76"/>
  <c r="T68" i="76"/>
  <c r="T67" i="76"/>
  <c r="T66" i="76"/>
  <c r="T65" i="76"/>
  <c r="T64" i="76"/>
  <c r="T63" i="76"/>
  <c r="T62" i="76"/>
  <c r="T61" i="76"/>
  <c r="T60" i="76"/>
  <c r="T59" i="76"/>
  <c r="T58" i="76"/>
  <c r="T57" i="76"/>
  <c r="T56" i="76"/>
  <c r="T55" i="76"/>
  <c r="T54" i="76"/>
  <c r="T53" i="76"/>
  <c r="T52" i="76"/>
  <c r="T51" i="76"/>
  <c r="T50" i="76"/>
  <c r="T49" i="76"/>
  <c r="D2" i="77"/>
  <c r="B4" i="77"/>
  <c r="B3" i="77"/>
  <c r="B2" i="77"/>
  <c r="S94" i="76"/>
  <c r="Q94" i="76"/>
  <c r="Q93" i="76"/>
  <c r="Q92" i="76"/>
  <c r="Q91" i="76"/>
  <c r="Q90" i="76"/>
  <c r="Q89" i="76"/>
  <c r="Q88" i="76"/>
  <c r="Q87" i="76"/>
  <c r="Q86" i="76"/>
  <c r="Q85" i="76"/>
  <c r="Q84" i="76"/>
  <c r="Q83" i="76"/>
  <c r="Q82" i="76"/>
  <c r="Q81" i="76"/>
  <c r="Q80" i="76"/>
  <c r="Q79" i="76"/>
  <c r="Q78" i="76"/>
  <c r="Q77" i="76"/>
  <c r="Q76" i="76"/>
  <c r="Q75" i="76"/>
  <c r="Q74" i="76"/>
  <c r="Q73" i="76"/>
  <c r="Q72" i="76"/>
  <c r="Q71" i="76"/>
  <c r="Q70" i="76"/>
  <c r="Q69" i="76"/>
  <c r="Q68" i="76"/>
  <c r="Q67" i="76"/>
  <c r="Q66" i="76"/>
  <c r="Q65" i="76"/>
  <c r="Q64" i="76"/>
  <c r="Q63" i="76"/>
  <c r="Q62" i="76"/>
  <c r="Q61" i="76"/>
  <c r="Q60" i="76"/>
  <c r="Q59" i="76"/>
  <c r="Q58" i="76"/>
  <c r="Q57" i="76"/>
  <c r="Q56" i="76"/>
  <c r="Q55" i="76"/>
  <c r="Q54" i="76"/>
  <c r="Q53" i="76"/>
  <c r="Q52" i="76"/>
  <c r="Q51" i="76"/>
  <c r="Q50" i="76"/>
  <c r="Q49" i="76"/>
  <c r="P94" i="76"/>
  <c r="N94" i="76"/>
  <c r="N93" i="76"/>
  <c r="N92" i="76"/>
  <c r="N91" i="76"/>
  <c r="N90" i="76"/>
  <c r="N89" i="76"/>
  <c r="N88" i="76"/>
  <c r="N87" i="76"/>
  <c r="N86" i="76"/>
  <c r="N85" i="76"/>
  <c r="N84" i="76"/>
  <c r="N83" i="76"/>
  <c r="N82" i="76"/>
  <c r="N81" i="76"/>
  <c r="N80" i="76"/>
  <c r="N79" i="76"/>
  <c r="N78" i="76"/>
  <c r="N77" i="76"/>
  <c r="N76" i="76"/>
  <c r="N75" i="76"/>
  <c r="N74" i="76"/>
  <c r="N73" i="76"/>
  <c r="N72" i="76"/>
  <c r="N71" i="76"/>
  <c r="N70" i="76"/>
  <c r="N69" i="76"/>
  <c r="N68" i="76"/>
  <c r="N67" i="76"/>
  <c r="N66" i="76"/>
  <c r="N65" i="76"/>
  <c r="N64" i="76"/>
  <c r="N63" i="76"/>
  <c r="N62" i="76"/>
  <c r="N61" i="76"/>
  <c r="N60" i="76"/>
  <c r="N59" i="76"/>
  <c r="N58" i="76"/>
  <c r="N57" i="76"/>
  <c r="N56" i="76"/>
  <c r="N55" i="76"/>
  <c r="N54" i="76"/>
  <c r="N53" i="76"/>
  <c r="N52" i="76"/>
  <c r="N51" i="76"/>
  <c r="N50" i="76"/>
  <c r="N49" i="76"/>
  <c r="M94" i="76"/>
  <c r="K94" i="76"/>
  <c r="K93" i="76"/>
  <c r="K92" i="76"/>
  <c r="K91" i="76"/>
  <c r="K90" i="76"/>
  <c r="K89" i="76"/>
  <c r="K88" i="76"/>
  <c r="K87" i="76"/>
  <c r="K86" i="76"/>
  <c r="K85" i="76"/>
  <c r="K84" i="76"/>
  <c r="K83" i="76"/>
  <c r="K82" i="76"/>
  <c r="K81" i="76"/>
  <c r="K80" i="76"/>
  <c r="K79" i="76"/>
  <c r="K78" i="76"/>
  <c r="K77" i="76"/>
  <c r="K76" i="76"/>
  <c r="K75" i="76"/>
  <c r="K74" i="76"/>
  <c r="K73" i="76"/>
  <c r="K72" i="76"/>
  <c r="K71" i="76"/>
  <c r="K70" i="76"/>
  <c r="K69" i="76"/>
  <c r="K68" i="76"/>
  <c r="K67" i="76"/>
  <c r="K66" i="76"/>
  <c r="K65" i="76"/>
  <c r="K64" i="76"/>
  <c r="K63" i="76"/>
  <c r="K62" i="76"/>
  <c r="K61" i="76"/>
  <c r="K60" i="76"/>
  <c r="K59" i="76"/>
  <c r="K58" i="76"/>
  <c r="K57" i="76"/>
  <c r="K56" i="76"/>
  <c r="K55" i="76"/>
  <c r="K54" i="76"/>
  <c r="K53" i="76"/>
  <c r="K52" i="76"/>
  <c r="K51" i="76"/>
  <c r="K50" i="76"/>
  <c r="K49" i="76"/>
  <c r="J94" i="76"/>
  <c r="H94" i="76"/>
  <c r="H93" i="76"/>
  <c r="H92" i="76"/>
  <c r="H91" i="76"/>
  <c r="H90" i="76"/>
  <c r="H89" i="76"/>
  <c r="H88" i="76"/>
  <c r="H87" i="76"/>
  <c r="H86" i="76"/>
  <c r="H85" i="76"/>
  <c r="H84" i="76"/>
  <c r="H83" i="76"/>
  <c r="H82" i="76"/>
  <c r="H81" i="76"/>
  <c r="H80" i="76"/>
  <c r="H79" i="76"/>
  <c r="H78" i="76"/>
  <c r="H77" i="76"/>
  <c r="H76" i="76"/>
  <c r="H75" i="76"/>
  <c r="H74" i="76"/>
  <c r="H73" i="76"/>
  <c r="H72" i="76"/>
  <c r="H71" i="76"/>
  <c r="H70" i="76"/>
  <c r="H69" i="76"/>
  <c r="H68" i="76"/>
  <c r="H67" i="76"/>
  <c r="H66" i="76"/>
  <c r="H65" i="76"/>
  <c r="H64" i="76"/>
  <c r="H63" i="76"/>
  <c r="H62" i="76"/>
  <c r="H61" i="76"/>
  <c r="H60" i="76"/>
  <c r="H59" i="76"/>
  <c r="H58" i="76"/>
  <c r="H57" i="76"/>
  <c r="H56" i="76"/>
  <c r="H55" i="76"/>
  <c r="H54" i="76"/>
  <c r="H53" i="76"/>
  <c r="H52" i="76"/>
  <c r="H51" i="76"/>
  <c r="H50" i="76"/>
  <c r="H49" i="76"/>
  <c r="G94" i="76"/>
  <c r="E94" i="76"/>
  <c r="E93" i="76"/>
  <c r="E92" i="76"/>
  <c r="E91" i="76"/>
  <c r="E90" i="76"/>
  <c r="E89" i="76"/>
  <c r="E88" i="76"/>
  <c r="E87" i="76"/>
  <c r="E86" i="76"/>
  <c r="E85" i="76"/>
  <c r="E84" i="76"/>
  <c r="E83" i="76"/>
  <c r="E82" i="76"/>
  <c r="E81" i="76"/>
  <c r="E80" i="76"/>
  <c r="E79" i="76"/>
  <c r="E78" i="76"/>
  <c r="E77" i="76"/>
  <c r="E76" i="76"/>
  <c r="E75" i="76"/>
  <c r="E74" i="76"/>
  <c r="E73" i="76"/>
  <c r="E72" i="76"/>
  <c r="E71" i="76"/>
  <c r="E70" i="76"/>
  <c r="E69" i="76"/>
  <c r="E68" i="76"/>
  <c r="E67" i="76"/>
  <c r="E66" i="76"/>
  <c r="E65" i="76"/>
  <c r="E64" i="76"/>
  <c r="E63" i="76"/>
  <c r="E62" i="76"/>
  <c r="E61" i="76"/>
  <c r="E60" i="76"/>
  <c r="E59" i="76"/>
  <c r="E58" i="76"/>
  <c r="E57" i="76"/>
  <c r="E56" i="76"/>
  <c r="E55" i="76"/>
  <c r="E54" i="76"/>
  <c r="E53" i="76"/>
  <c r="E52" i="76"/>
  <c r="E51" i="76"/>
  <c r="E50" i="76"/>
  <c r="E49" i="76"/>
  <c r="D4" i="77"/>
  <c r="D3" i="77"/>
  <c r="E94" i="64"/>
  <c r="G94" i="64" s="1"/>
  <c r="E93" i="64"/>
  <c r="E92" i="64"/>
  <c r="E91" i="64"/>
  <c r="E90" i="64"/>
  <c r="E89" i="64"/>
  <c r="E88" i="64"/>
  <c r="E87" i="64"/>
  <c r="E86" i="64"/>
  <c r="E85" i="64"/>
  <c r="E84" i="64"/>
  <c r="E83" i="64"/>
  <c r="E82" i="64"/>
  <c r="E81" i="64"/>
  <c r="E80" i="64"/>
  <c r="E79" i="64"/>
  <c r="E78" i="64"/>
  <c r="E77" i="64"/>
  <c r="E76" i="64"/>
  <c r="E75" i="64"/>
  <c r="E74" i="64"/>
  <c r="E73" i="64"/>
  <c r="E72" i="64"/>
  <c r="E71" i="64"/>
  <c r="E70" i="64"/>
  <c r="E69" i="64"/>
  <c r="E68" i="64"/>
  <c r="E67" i="64"/>
  <c r="E66" i="64"/>
  <c r="E65" i="64"/>
  <c r="E64" i="64"/>
  <c r="E63" i="64"/>
  <c r="E62" i="64"/>
  <c r="E61" i="64"/>
  <c r="E60" i="64"/>
  <c r="E59" i="64"/>
  <c r="E58" i="64"/>
  <c r="E57" i="64"/>
  <c r="E56" i="64"/>
  <c r="E55" i="64"/>
  <c r="E54" i="64"/>
  <c r="E53" i="64"/>
  <c r="E52" i="64"/>
  <c r="E51" i="64"/>
  <c r="E50" i="64"/>
  <c r="E49" i="64"/>
  <c r="C3" i="56"/>
  <c r="C1" i="56" s="1"/>
  <c r="S1531" i="49"/>
  <c r="S1530" i="49"/>
  <c r="S1529" i="49"/>
  <c r="S1528" i="49"/>
  <c r="S1527" i="49"/>
  <c r="S1526" i="49"/>
  <c r="S1525" i="49"/>
  <c r="S1524" i="49"/>
  <c r="S1523" i="49"/>
  <c r="S1522" i="49"/>
  <c r="S1521" i="49"/>
  <c r="S1520" i="49"/>
  <c r="S1519" i="49"/>
  <c r="S1518" i="49"/>
  <c r="S1517" i="49"/>
  <c r="S1516" i="49"/>
  <c r="S1515" i="49"/>
  <c r="S1514" i="49"/>
  <c r="S1513" i="49"/>
  <c r="S1512" i="49"/>
  <c r="S1511" i="49"/>
  <c r="S1510" i="49"/>
  <c r="S1509" i="49"/>
  <c r="S1508" i="49"/>
  <c r="S1507" i="49"/>
  <c r="S1506" i="49"/>
  <c r="S1505" i="49"/>
  <c r="S1504" i="49"/>
  <c r="S1503" i="49"/>
  <c r="S1502" i="49"/>
  <c r="S1501" i="49"/>
  <c r="S1500" i="49"/>
  <c r="S1499" i="49"/>
  <c r="S1498" i="49"/>
  <c r="S1497" i="49"/>
  <c r="S1496" i="49"/>
  <c r="S1495" i="49"/>
  <c r="S1494" i="49"/>
  <c r="S1493" i="49"/>
  <c r="S1492" i="49"/>
  <c r="S1491" i="49"/>
  <c r="S1490" i="49"/>
  <c r="S1489" i="49"/>
  <c r="S1488" i="49"/>
  <c r="S1487" i="49"/>
  <c r="S1486" i="49"/>
  <c r="S1485" i="49"/>
  <c r="S1484" i="49"/>
  <c r="S1483" i="49"/>
  <c r="S1482" i="49"/>
  <c r="S1481" i="49"/>
  <c r="S1480" i="49"/>
  <c r="S1479" i="49"/>
  <c r="S1478" i="49"/>
  <c r="S1477" i="49"/>
  <c r="S1476" i="49"/>
  <c r="S1475" i="49"/>
  <c r="S1474" i="49"/>
  <c r="S1473" i="49"/>
  <c r="S1472" i="49"/>
  <c r="S1471" i="49"/>
  <c r="S1470" i="49"/>
  <c r="S1469" i="49"/>
  <c r="S1468" i="49"/>
  <c r="S1467" i="49"/>
  <c r="S1466" i="49"/>
  <c r="S1465" i="49"/>
  <c r="S1464" i="49"/>
  <c r="S1463" i="49"/>
  <c r="S1462" i="49"/>
  <c r="S1461" i="49"/>
  <c r="S1460" i="49"/>
  <c r="S1459" i="49"/>
  <c r="S1458" i="49"/>
  <c r="S1457" i="49"/>
  <c r="S1456" i="49"/>
  <c r="S1455" i="49"/>
  <c r="S1454" i="49"/>
  <c r="S1453" i="49"/>
  <c r="S1452" i="49"/>
  <c r="S1451" i="49"/>
  <c r="S1450" i="49"/>
  <c r="S1449" i="49"/>
  <c r="S1448" i="49"/>
  <c r="S1447" i="49"/>
  <c r="S1446" i="49"/>
  <c r="S1445" i="49"/>
  <c r="S1444" i="49"/>
  <c r="S1443" i="49"/>
  <c r="S1442" i="49"/>
  <c r="S1441" i="49"/>
  <c r="S1440" i="49"/>
  <c r="S1439" i="49"/>
  <c r="S1438" i="49"/>
  <c r="S1437" i="49"/>
  <c r="S1436" i="49"/>
  <c r="S1435" i="49"/>
  <c r="S1434" i="49"/>
  <c r="S1433" i="49"/>
  <c r="S1432" i="49"/>
  <c r="S1431" i="49"/>
  <c r="S1430" i="49"/>
  <c r="S1429" i="49"/>
  <c r="S1428" i="49"/>
  <c r="S1427" i="49"/>
  <c r="S1426" i="49"/>
  <c r="S1425" i="49"/>
  <c r="S1424" i="49"/>
  <c r="S1423" i="49"/>
  <c r="S1422" i="49"/>
  <c r="S1421" i="49"/>
  <c r="S1420" i="49"/>
  <c r="S1419" i="49"/>
  <c r="S1418" i="49"/>
  <c r="S1417" i="49"/>
  <c r="S1416" i="49"/>
  <c r="S1415" i="49"/>
  <c r="S1414" i="49"/>
  <c r="S1413" i="49"/>
  <c r="S1412" i="49"/>
  <c r="S1411" i="49"/>
  <c r="S1410" i="49"/>
  <c r="S1409" i="49"/>
  <c r="S1408" i="49"/>
  <c r="S1407" i="49"/>
  <c r="S1406" i="49"/>
  <c r="S1405" i="49"/>
  <c r="S1404" i="49"/>
  <c r="S1403" i="49"/>
  <c r="S1402" i="49"/>
  <c r="S1401" i="49"/>
  <c r="S1400" i="49"/>
  <c r="S1399" i="49"/>
  <c r="S1398" i="49"/>
  <c r="S1397" i="49"/>
  <c r="S1396" i="49"/>
  <c r="S1395" i="49"/>
  <c r="S1394" i="49"/>
  <c r="S1393" i="49"/>
  <c r="S1392" i="49"/>
  <c r="S1391" i="49"/>
  <c r="S1390" i="49"/>
  <c r="S1389" i="49"/>
  <c r="S1388" i="49"/>
  <c r="S1387" i="49"/>
  <c r="S1386" i="49"/>
  <c r="S1385" i="49"/>
  <c r="S1384" i="49"/>
  <c r="S1383" i="49"/>
  <c r="S1382" i="49"/>
  <c r="S1381" i="49"/>
  <c r="S1380" i="49"/>
  <c r="S1379" i="49"/>
  <c r="S1378" i="49"/>
  <c r="S1377" i="49"/>
  <c r="S1376" i="49"/>
  <c r="S1375" i="49"/>
  <c r="S1374" i="49"/>
  <c r="S1373" i="49"/>
  <c r="S1372" i="49"/>
  <c r="S1371" i="49"/>
  <c r="S1370" i="49"/>
  <c r="S1369" i="49"/>
  <c r="S1368" i="49"/>
  <c r="S1367" i="49"/>
  <c r="S1366" i="49"/>
  <c r="S1365" i="49"/>
  <c r="S1364" i="49"/>
  <c r="S1363" i="49"/>
  <c r="S1362" i="49"/>
  <c r="S1361" i="49"/>
  <c r="S1360" i="49"/>
  <c r="S1359" i="49"/>
  <c r="S1358" i="49"/>
  <c r="S1357" i="49"/>
  <c r="S1356" i="49"/>
  <c r="S1355" i="49"/>
  <c r="S1354" i="49"/>
  <c r="S1353" i="49"/>
  <c r="S1352" i="49"/>
  <c r="S1351" i="49"/>
  <c r="S1350" i="49"/>
  <c r="S1349" i="49"/>
  <c r="S1348" i="49"/>
  <c r="S1347" i="49"/>
  <c r="S1346" i="49"/>
  <c r="S1345" i="49"/>
  <c r="S1344" i="49"/>
  <c r="S1343" i="49"/>
  <c r="S1342" i="49"/>
  <c r="S1341" i="49"/>
  <c r="S1340" i="49"/>
  <c r="S1339" i="49"/>
  <c r="S1338" i="49"/>
  <c r="S1337" i="49"/>
  <c r="S1336" i="49"/>
  <c r="S1335" i="49"/>
  <c r="S1334" i="49"/>
  <c r="S1333" i="49"/>
  <c r="S1332" i="49"/>
  <c r="S1331" i="49"/>
  <c r="S1330" i="49"/>
  <c r="S1329" i="49"/>
  <c r="S1328" i="49"/>
  <c r="S1327" i="49"/>
  <c r="S1326" i="49"/>
  <c r="S1325" i="49"/>
  <c r="S1324" i="49"/>
  <c r="S1323" i="49"/>
  <c r="S1322" i="49"/>
  <c r="S1321" i="49"/>
  <c r="S1320" i="49"/>
  <c r="S1319" i="49"/>
  <c r="S1318" i="49"/>
  <c r="S1317" i="49"/>
  <c r="S1316" i="49"/>
  <c r="S1315" i="49"/>
  <c r="S1314" i="49"/>
  <c r="S1313" i="49"/>
  <c r="S1312" i="49"/>
  <c r="S1311" i="49"/>
  <c r="S1310" i="49"/>
  <c r="S1309" i="49"/>
  <c r="S1308" i="49"/>
  <c r="S1307" i="49"/>
  <c r="S1306" i="49"/>
  <c r="S1305" i="49"/>
  <c r="S1304" i="49"/>
  <c r="S1303" i="49"/>
  <c r="S1302" i="49"/>
  <c r="S1301" i="49"/>
  <c r="S1300" i="49"/>
  <c r="S1299" i="49"/>
  <c r="S1298" i="49"/>
  <c r="S1297" i="49"/>
  <c r="S1296" i="49"/>
  <c r="S1295" i="49"/>
  <c r="S1294" i="49"/>
  <c r="S1293" i="49"/>
  <c r="S1292" i="49"/>
  <c r="S1291" i="49"/>
  <c r="S1290" i="49"/>
  <c r="S1289" i="49"/>
  <c r="S1288" i="49"/>
  <c r="S1287" i="49"/>
  <c r="S1286" i="49"/>
  <c r="S1285" i="49"/>
  <c r="S1284" i="49"/>
  <c r="S1283" i="49"/>
  <c r="S1282" i="49"/>
  <c r="S1281" i="49"/>
  <c r="S1280" i="49"/>
  <c r="S1279" i="49"/>
  <c r="S1278" i="49"/>
  <c r="S1277" i="49"/>
  <c r="S1276" i="49"/>
  <c r="S1275" i="49"/>
  <c r="S1274" i="49"/>
  <c r="S1273" i="49"/>
  <c r="S1272" i="49"/>
  <c r="S1271" i="49"/>
  <c r="S1270" i="49"/>
  <c r="S1269" i="49"/>
  <c r="S1268" i="49"/>
  <c r="S1267" i="49"/>
  <c r="S1266" i="49"/>
  <c r="S1265" i="49"/>
  <c r="S1264" i="49"/>
  <c r="S1263" i="49"/>
  <c r="S1262" i="49"/>
  <c r="S1261" i="49"/>
  <c r="S1260" i="49"/>
  <c r="S1259" i="49"/>
  <c r="S1258" i="49"/>
  <c r="S1257" i="49"/>
  <c r="S1256" i="49"/>
  <c r="S1255" i="49"/>
  <c r="S1254" i="49"/>
  <c r="S1253" i="49"/>
  <c r="S1252" i="49"/>
  <c r="S1251" i="49"/>
  <c r="S1250" i="49"/>
  <c r="S1249" i="49"/>
  <c r="S1248" i="49"/>
  <c r="S1247" i="49"/>
  <c r="S1246" i="49"/>
  <c r="S1245" i="49"/>
  <c r="S1244" i="49"/>
  <c r="S1243" i="49"/>
  <c r="S1242" i="49"/>
  <c r="S1241" i="49"/>
  <c r="S1240" i="49"/>
  <c r="S1239" i="49"/>
  <c r="S1238" i="49"/>
  <c r="S1237" i="49"/>
  <c r="S1236" i="49"/>
  <c r="S1235" i="49"/>
  <c r="S1234" i="49"/>
  <c r="S1233" i="49"/>
  <c r="S1232" i="49"/>
  <c r="S1231" i="49"/>
  <c r="S1230" i="49"/>
  <c r="S1229" i="49"/>
  <c r="S1228" i="49"/>
  <c r="S1227" i="49"/>
  <c r="S1226" i="49"/>
  <c r="S1225" i="49"/>
  <c r="S1224" i="49"/>
  <c r="S1223" i="49"/>
  <c r="S1222" i="49"/>
  <c r="S1221" i="49"/>
  <c r="S1220" i="49"/>
  <c r="S1219" i="49"/>
  <c r="S1218" i="49"/>
  <c r="S1217" i="49"/>
  <c r="S1216" i="49"/>
  <c r="S1215" i="49"/>
  <c r="S1214" i="49"/>
  <c r="S1213" i="49"/>
  <c r="S1212" i="49"/>
  <c r="S1211" i="49"/>
  <c r="S1210" i="49"/>
  <c r="S1209" i="49"/>
  <c r="S1208" i="49"/>
  <c r="S1207" i="49"/>
  <c r="S1206" i="49"/>
  <c r="S1205" i="49"/>
  <c r="S1204" i="49"/>
  <c r="S1203" i="49"/>
  <c r="S1202" i="49"/>
  <c r="S1201" i="49"/>
  <c r="S1200" i="49"/>
  <c r="S1199" i="49"/>
  <c r="S1198" i="49"/>
  <c r="S1197" i="49"/>
  <c r="S1196" i="49"/>
  <c r="S1195" i="49"/>
  <c r="S1194" i="49"/>
  <c r="S1193" i="49"/>
  <c r="S1192" i="49"/>
  <c r="S1191" i="49"/>
  <c r="S1190" i="49"/>
  <c r="S1189" i="49"/>
  <c r="S1188" i="49"/>
  <c r="S1187" i="49"/>
  <c r="S1186" i="49"/>
  <c r="S1185" i="49"/>
  <c r="S1184" i="49"/>
  <c r="S1183" i="49"/>
  <c r="S1182" i="49"/>
  <c r="S1181" i="49"/>
  <c r="S1180" i="49"/>
  <c r="S1179" i="49"/>
  <c r="S1178" i="49"/>
  <c r="S1177" i="49"/>
  <c r="S1176" i="49"/>
  <c r="S1175" i="49"/>
  <c r="S1174" i="49"/>
  <c r="S1173" i="49"/>
  <c r="S1172" i="49"/>
  <c r="S1171" i="49"/>
  <c r="S1170" i="49"/>
  <c r="S1169" i="49"/>
  <c r="S1168" i="49"/>
  <c r="S1167" i="49"/>
  <c r="S1166" i="49"/>
  <c r="S1165" i="49"/>
  <c r="S1164" i="49"/>
  <c r="S1163" i="49"/>
  <c r="S1162" i="49"/>
  <c r="S1161" i="49"/>
  <c r="S1160" i="49"/>
  <c r="S1159" i="49"/>
  <c r="S1158" i="49"/>
  <c r="S1157" i="49"/>
  <c r="S1156" i="49"/>
  <c r="S1155" i="49"/>
  <c r="S1154" i="49"/>
  <c r="S1153" i="49"/>
  <c r="S1152" i="49"/>
  <c r="S1151" i="49"/>
  <c r="S1150" i="49"/>
  <c r="S1149" i="49"/>
  <c r="S1148" i="49"/>
  <c r="S1147" i="49"/>
  <c r="S1146" i="49"/>
  <c r="S1145" i="49"/>
  <c r="S1144" i="49"/>
  <c r="S1143" i="49"/>
  <c r="S1142" i="49"/>
  <c r="S1141" i="49"/>
  <c r="S1140" i="49"/>
  <c r="S1139" i="49"/>
  <c r="S1138" i="49"/>
  <c r="S1137" i="49"/>
  <c r="S1136" i="49"/>
  <c r="S1135" i="49"/>
  <c r="S1134" i="49"/>
  <c r="S1133" i="49"/>
  <c r="S1132" i="49"/>
  <c r="S1131" i="49"/>
  <c r="S1130" i="49"/>
  <c r="S1129" i="49"/>
  <c r="S1128" i="49"/>
  <c r="S1127" i="49"/>
  <c r="S1126" i="49"/>
  <c r="S1125" i="49"/>
  <c r="S1124" i="49"/>
  <c r="S1123" i="49"/>
  <c r="S1122" i="49"/>
  <c r="S1121" i="49"/>
  <c r="S1120" i="49"/>
  <c r="S1119" i="49"/>
  <c r="S1118" i="49"/>
  <c r="S1117" i="49"/>
  <c r="S1116" i="49"/>
  <c r="S1115" i="49"/>
  <c r="S1114" i="49"/>
  <c r="S1113" i="49"/>
  <c r="S1112" i="49"/>
  <c r="S1111" i="49"/>
  <c r="S1110" i="49"/>
  <c r="S1109" i="49"/>
  <c r="S1108" i="49"/>
  <c r="S1107" i="49"/>
  <c r="S1106" i="49"/>
  <c r="S1105" i="49"/>
  <c r="S1104" i="49"/>
  <c r="S1103" i="49"/>
  <c r="S1102" i="49"/>
  <c r="S1101" i="49"/>
  <c r="S1100" i="49"/>
  <c r="S1099" i="49"/>
  <c r="S1098" i="49"/>
  <c r="S1097" i="49"/>
  <c r="S1096" i="49"/>
  <c r="S1095" i="49"/>
  <c r="S1094" i="49"/>
  <c r="S1093" i="49"/>
  <c r="S1092" i="49"/>
  <c r="S1091" i="49"/>
  <c r="S1090" i="49"/>
  <c r="S1089" i="49"/>
  <c r="S1088" i="49"/>
  <c r="S1087" i="49"/>
  <c r="S1086" i="49"/>
  <c r="S1085" i="49"/>
  <c r="S1084" i="49"/>
  <c r="S1083" i="49"/>
  <c r="S1082" i="49"/>
  <c r="S1081" i="49"/>
  <c r="S1080" i="49"/>
  <c r="S1079" i="49"/>
  <c r="S1078" i="49"/>
  <c r="S1077" i="49"/>
  <c r="S1076" i="49"/>
  <c r="S1075" i="49"/>
  <c r="S1074" i="49"/>
  <c r="S1073" i="49"/>
  <c r="S1072" i="49"/>
  <c r="S1071" i="49"/>
  <c r="S1070" i="49"/>
  <c r="S1069" i="49"/>
  <c r="S1068" i="49"/>
  <c r="S1067" i="49"/>
  <c r="S1066" i="49"/>
  <c r="S1065" i="49"/>
  <c r="S1064" i="49"/>
  <c r="S1063" i="49"/>
  <c r="S1062" i="49"/>
  <c r="S1061" i="49"/>
  <c r="S1060" i="49"/>
  <c r="S1059" i="49"/>
  <c r="S1058" i="49"/>
  <c r="S1057" i="49"/>
  <c r="S1056" i="49"/>
  <c r="S1055" i="49"/>
  <c r="S1054" i="49"/>
  <c r="S1053" i="49"/>
  <c r="S1052" i="49"/>
  <c r="S1051" i="49"/>
  <c r="S1050" i="49"/>
  <c r="S1049" i="49"/>
  <c r="S1048" i="49"/>
  <c r="S1047" i="49"/>
  <c r="S1046" i="49"/>
  <c r="S1045" i="49"/>
  <c r="S1044" i="49"/>
  <c r="S1043" i="49"/>
  <c r="S1042" i="49"/>
  <c r="S1041" i="49"/>
  <c r="S1040" i="49"/>
  <c r="S1039" i="49"/>
  <c r="S1038" i="49"/>
  <c r="S1037" i="49"/>
  <c r="S1036" i="49"/>
  <c r="S1035" i="49"/>
  <c r="S1034" i="49"/>
  <c r="S1033" i="49"/>
  <c r="S1032" i="49"/>
  <c r="S1031" i="49"/>
  <c r="S1030" i="49"/>
  <c r="S1029" i="49"/>
  <c r="S1028" i="49"/>
  <c r="S1027" i="49"/>
  <c r="S1026" i="49"/>
  <c r="S1025" i="49"/>
  <c r="S1024" i="49"/>
  <c r="S1023" i="49"/>
  <c r="S1022" i="49"/>
  <c r="S1021" i="49"/>
  <c r="S1020" i="49"/>
  <c r="S1019" i="49"/>
  <c r="S1018" i="49"/>
  <c r="S1017" i="49"/>
  <c r="S1016" i="49"/>
  <c r="S1015" i="49"/>
  <c r="S1014" i="49"/>
  <c r="S1013" i="49"/>
  <c r="S1012" i="49"/>
  <c r="S1011" i="49"/>
  <c r="S1010" i="49"/>
  <c r="S1009" i="49"/>
  <c r="S1008" i="49"/>
  <c r="S1007" i="49"/>
  <c r="S1006" i="49"/>
  <c r="S1005" i="49"/>
  <c r="S1004" i="49"/>
  <c r="S1003" i="49"/>
  <c r="S1002" i="49"/>
  <c r="S1001" i="49"/>
  <c r="S1000" i="49"/>
  <c r="S999" i="49"/>
  <c r="S998" i="49"/>
  <c r="S997" i="49"/>
  <c r="S996" i="49"/>
  <c r="S995" i="49"/>
  <c r="S994" i="49"/>
  <c r="S993" i="49"/>
  <c r="S992" i="49"/>
  <c r="S991" i="49"/>
  <c r="S990" i="49"/>
  <c r="S989" i="49"/>
  <c r="S988" i="49"/>
  <c r="S987" i="49"/>
  <c r="S986" i="49"/>
  <c r="S985" i="49"/>
  <c r="S984" i="49"/>
  <c r="S983" i="49"/>
  <c r="S982" i="49"/>
  <c r="S981" i="49"/>
  <c r="S980" i="49"/>
  <c r="S979" i="49"/>
  <c r="S978" i="49"/>
  <c r="S977" i="49"/>
  <c r="S976" i="49"/>
  <c r="S975" i="49"/>
  <c r="S974" i="49"/>
  <c r="S973" i="49"/>
  <c r="S972" i="49"/>
  <c r="S971" i="49"/>
  <c r="S970" i="49"/>
  <c r="S969" i="49"/>
  <c r="S968" i="49"/>
  <c r="S967" i="49"/>
  <c r="S966" i="49"/>
  <c r="S965" i="49"/>
  <c r="S964" i="49"/>
  <c r="S963" i="49"/>
  <c r="S962" i="49"/>
  <c r="S961" i="49"/>
  <c r="S960" i="49"/>
  <c r="S959" i="49"/>
  <c r="S958" i="49"/>
  <c r="S957" i="49"/>
  <c r="S956" i="49"/>
  <c r="S955" i="49"/>
  <c r="S954" i="49"/>
  <c r="S953" i="49"/>
  <c r="S952" i="49"/>
  <c r="S951" i="49"/>
  <c r="S950" i="49"/>
  <c r="S949" i="49"/>
  <c r="S948" i="49"/>
  <c r="S947" i="49"/>
  <c r="S946" i="49"/>
  <c r="S945" i="49"/>
  <c r="S944" i="49"/>
  <c r="S943" i="49"/>
  <c r="S942" i="49"/>
  <c r="S941" i="49"/>
  <c r="S940" i="49"/>
  <c r="S939" i="49"/>
  <c r="S938" i="49"/>
  <c r="S937" i="49"/>
  <c r="S936" i="49"/>
  <c r="S935" i="49"/>
  <c r="S934" i="49"/>
  <c r="S933" i="49"/>
  <c r="S932" i="49"/>
  <c r="S931" i="49"/>
  <c r="S930" i="49"/>
  <c r="S929" i="49"/>
  <c r="S928" i="49"/>
  <c r="S927" i="49"/>
  <c r="S926" i="49"/>
  <c r="S925" i="49"/>
  <c r="S924" i="49"/>
  <c r="S923" i="49"/>
  <c r="S922" i="49"/>
  <c r="S921" i="49"/>
  <c r="S920" i="49"/>
  <c r="S919" i="49"/>
  <c r="S918" i="49"/>
  <c r="S917" i="49"/>
  <c r="S916" i="49"/>
  <c r="S915" i="49"/>
  <c r="S914" i="49"/>
  <c r="S913" i="49"/>
  <c r="S912" i="49"/>
  <c r="S911" i="49"/>
  <c r="S910" i="49"/>
  <c r="S909" i="49"/>
  <c r="S908" i="49"/>
  <c r="S907" i="49"/>
  <c r="S906" i="49"/>
  <c r="S905" i="49"/>
  <c r="S904" i="49"/>
  <c r="S903" i="49"/>
  <c r="S902" i="49"/>
  <c r="S901" i="49"/>
  <c r="S900" i="49"/>
  <c r="S899" i="49"/>
  <c r="S898" i="49"/>
  <c r="S897" i="49"/>
  <c r="S896" i="49"/>
  <c r="S895" i="49"/>
  <c r="S894" i="49"/>
  <c r="S893" i="49"/>
  <c r="S892" i="49"/>
  <c r="S891" i="49"/>
  <c r="S890" i="49"/>
  <c r="S889" i="49"/>
  <c r="S888" i="49"/>
  <c r="S887" i="49"/>
  <c r="S886" i="49"/>
  <c r="S885" i="49"/>
  <c r="S884" i="49"/>
  <c r="S883" i="49"/>
  <c r="S882" i="49"/>
  <c r="S881" i="49"/>
  <c r="S880" i="49"/>
  <c r="S879" i="49"/>
  <c r="S878" i="49"/>
  <c r="S877" i="49"/>
  <c r="S876" i="49"/>
  <c r="S875" i="49"/>
  <c r="S874" i="49"/>
  <c r="S873" i="49"/>
  <c r="S872" i="49"/>
  <c r="S871" i="49"/>
  <c r="S870" i="49"/>
  <c r="S869" i="49"/>
  <c r="S868" i="49"/>
  <c r="S867" i="49"/>
  <c r="S866" i="49"/>
  <c r="S865" i="49"/>
  <c r="S864" i="49"/>
  <c r="S863" i="49"/>
  <c r="S862" i="49"/>
  <c r="S861" i="49"/>
  <c r="S860" i="49"/>
  <c r="S859" i="49"/>
  <c r="S858" i="49"/>
  <c r="S857" i="49"/>
  <c r="S856" i="49"/>
  <c r="S855" i="49"/>
  <c r="S854" i="49"/>
  <c r="S853" i="49"/>
  <c r="S852" i="49"/>
  <c r="S851" i="49"/>
  <c r="S850" i="49"/>
  <c r="S849" i="49"/>
  <c r="S848" i="49"/>
  <c r="S847" i="49"/>
  <c r="S846" i="49"/>
  <c r="S845" i="49"/>
  <c r="S844" i="49"/>
  <c r="S843" i="49"/>
  <c r="S842" i="49"/>
  <c r="S841" i="49"/>
  <c r="S840" i="49"/>
  <c r="S839" i="49"/>
  <c r="S838" i="49"/>
  <c r="S837" i="49"/>
  <c r="S836" i="49"/>
  <c r="S835" i="49"/>
  <c r="S834" i="49"/>
  <c r="S833" i="49"/>
  <c r="S832" i="49"/>
  <c r="S831" i="49"/>
  <c r="S830" i="49"/>
  <c r="S829" i="49"/>
  <c r="S828" i="49"/>
  <c r="S827" i="49"/>
  <c r="S826" i="49"/>
  <c r="S825" i="49"/>
  <c r="S824" i="49"/>
  <c r="S823" i="49"/>
  <c r="S822" i="49"/>
  <c r="S821" i="49"/>
  <c r="S820" i="49"/>
  <c r="S819" i="49"/>
  <c r="S818" i="49"/>
  <c r="S817" i="49"/>
  <c r="S816" i="49"/>
  <c r="S815" i="49"/>
  <c r="S814" i="49"/>
  <c r="S813" i="49"/>
  <c r="S812" i="49"/>
  <c r="S811" i="49"/>
  <c r="S810" i="49"/>
  <c r="S809" i="49"/>
  <c r="S808" i="49"/>
  <c r="S807" i="49"/>
  <c r="S806" i="49"/>
  <c r="S805" i="49"/>
  <c r="S804" i="49"/>
  <c r="S803" i="49"/>
  <c r="S802" i="49"/>
  <c r="S801" i="49"/>
  <c r="S800" i="49"/>
  <c r="S799" i="49"/>
  <c r="S798" i="49"/>
  <c r="S797" i="49"/>
  <c r="S796" i="49"/>
  <c r="S795" i="49"/>
  <c r="S794" i="49"/>
  <c r="S793" i="49"/>
  <c r="S792" i="49"/>
  <c r="S791" i="49"/>
  <c r="S790" i="49"/>
  <c r="S789" i="49"/>
  <c r="S788" i="49"/>
  <c r="S787" i="49"/>
  <c r="S786" i="49"/>
  <c r="S785" i="49"/>
  <c r="S784" i="49"/>
  <c r="S783" i="49"/>
  <c r="S782" i="49"/>
  <c r="S781" i="49"/>
  <c r="S780" i="49"/>
  <c r="S779" i="49"/>
  <c r="S778" i="49"/>
  <c r="S777" i="49"/>
  <c r="S776" i="49"/>
  <c r="S775" i="49"/>
  <c r="S774" i="49"/>
  <c r="S773" i="49"/>
  <c r="S772" i="49"/>
  <c r="S771" i="49"/>
  <c r="S770" i="49"/>
  <c r="S769" i="49"/>
  <c r="S768" i="49"/>
  <c r="S767" i="49"/>
  <c r="S766" i="49"/>
  <c r="S765" i="49"/>
  <c r="S764" i="49"/>
  <c r="S763" i="49"/>
  <c r="S762" i="49"/>
  <c r="S761" i="49"/>
  <c r="S760" i="49"/>
  <c r="S759" i="49"/>
  <c r="S758" i="49"/>
  <c r="S757" i="49"/>
  <c r="S756" i="49"/>
  <c r="S755" i="49"/>
  <c r="S754" i="49"/>
  <c r="S753" i="49"/>
  <c r="S752" i="49"/>
  <c r="S751" i="49"/>
  <c r="S750" i="49"/>
  <c r="S749" i="49"/>
  <c r="S748" i="49"/>
  <c r="S747" i="49"/>
  <c r="S746" i="49"/>
  <c r="S745" i="49"/>
  <c r="S744" i="49"/>
  <c r="S743" i="49"/>
  <c r="S742" i="49"/>
  <c r="S741" i="49"/>
  <c r="S740" i="49"/>
  <c r="S739" i="49"/>
  <c r="S738" i="49"/>
  <c r="S737" i="49"/>
  <c r="S736" i="49"/>
  <c r="S735" i="49"/>
  <c r="S734" i="49"/>
  <c r="S733" i="49"/>
  <c r="S732" i="49"/>
  <c r="S731" i="49"/>
  <c r="S730" i="49"/>
  <c r="S729" i="49"/>
  <c r="S728" i="49"/>
  <c r="S727" i="49"/>
  <c r="S726" i="49"/>
  <c r="S725" i="49"/>
  <c r="S724" i="49"/>
  <c r="S723" i="49"/>
  <c r="S722" i="49"/>
  <c r="S721" i="49"/>
  <c r="S720" i="49"/>
  <c r="S719" i="49"/>
  <c r="S718" i="49"/>
  <c r="S717" i="49"/>
  <c r="S716" i="49"/>
  <c r="S715" i="49"/>
  <c r="S714" i="49"/>
  <c r="S713" i="49"/>
  <c r="S712" i="49"/>
  <c r="S711" i="49"/>
  <c r="S710" i="49"/>
  <c r="S709" i="49"/>
  <c r="S708" i="49"/>
  <c r="S707" i="49"/>
  <c r="S706" i="49"/>
  <c r="S705" i="49"/>
  <c r="S704" i="49"/>
  <c r="S703" i="49"/>
  <c r="S702" i="49"/>
  <c r="S701" i="49"/>
  <c r="S700" i="49"/>
  <c r="S699" i="49"/>
  <c r="S698" i="49"/>
  <c r="S697" i="49"/>
  <c r="S696" i="49"/>
  <c r="S695" i="49"/>
  <c r="S694" i="49"/>
  <c r="S693" i="49"/>
  <c r="S692" i="49"/>
  <c r="S691" i="49"/>
  <c r="S690" i="49"/>
  <c r="S689" i="49"/>
  <c r="S688" i="49"/>
  <c r="S687" i="49"/>
  <c r="S686" i="49"/>
  <c r="S685" i="49"/>
  <c r="S684" i="49"/>
  <c r="S683" i="49"/>
  <c r="S682" i="49"/>
  <c r="S681" i="49"/>
  <c r="S680" i="49"/>
  <c r="S679" i="49"/>
  <c r="S678" i="49"/>
  <c r="S677" i="49"/>
  <c r="S676" i="49"/>
  <c r="S675" i="49"/>
  <c r="S674" i="49"/>
  <c r="S673" i="49"/>
  <c r="S672" i="49"/>
  <c r="S671" i="49"/>
  <c r="S670" i="49"/>
  <c r="S669" i="49"/>
  <c r="S668" i="49"/>
  <c r="S667" i="49"/>
  <c r="S666" i="49"/>
  <c r="S665" i="49"/>
  <c r="S664" i="49"/>
  <c r="S663" i="49"/>
  <c r="S662" i="49"/>
  <c r="S661" i="49"/>
  <c r="S660" i="49"/>
  <c r="S659" i="49"/>
  <c r="S658" i="49"/>
  <c r="S657" i="49"/>
  <c r="S656" i="49"/>
  <c r="S655" i="49"/>
  <c r="S654" i="49"/>
  <c r="S653" i="49"/>
  <c r="S652" i="49"/>
  <c r="S651" i="49"/>
  <c r="S650" i="49"/>
  <c r="S649" i="49"/>
  <c r="S648" i="49"/>
  <c r="S647" i="49"/>
  <c r="S646" i="49"/>
  <c r="S645" i="49"/>
  <c r="S644" i="49"/>
  <c r="S643" i="49"/>
  <c r="S642" i="49"/>
  <c r="S641" i="49"/>
  <c r="S640" i="49"/>
  <c r="S639" i="49"/>
  <c r="S638" i="49"/>
  <c r="S637" i="49"/>
  <c r="S636" i="49"/>
  <c r="S635" i="49"/>
  <c r="S634" i="49"/>
  <c r="S633" i="49"/>
  <c r="S632" i="49"/>
  <c r="S631" i="49"/>
  <c r="S630" i="49"/>
  <c r="S629" i="49"/>
  <c r="S628" i="49"/>
  <c r="S627" i="49"/>
  <c r="S626" i="49"/>
  <c r="S625" i="49"/>
  <c r="S624" i="49"/>
  <c r="S623" i="49"/>
  <c r="S622" i="49"/>
  <c r="S621" i="49"/>
  <c r="S620" i="49"/>
  <c r="S619" i="49"/>
  <c r="S618" i="49"/>
  <c r="S617" i="49"/>
  <c r="S616" i="49"/>
  <c r="S615" i="49"/>
  <c r="S614" i="49"/>
  <c r="S613" i="49"/>
  <c r="S612" i="49"/>
  <c r="S611" i="49"/>
  <c r="S610" i="49"/>
  <c r="S609" i="49"/>
  <c r="S608" i="49"/>
  <c r="S607" i="49"/>
  <c r="S606" i="49"/>
  <c r="S605" i="49"/>
  <c r="S604" i="49"/>
  <c r="S603" i="49"/>
  <c r="S602" i="49"/>
  <c r="S601" i="49"/>
  <c r="S600" i="49"/>
  <c r="S599" i="49"/>
  <c r="S598" i="49"/>
  <c r="S597" i="49"/>
  <c r="S596" i="49"/>
  <c r="S595" i="49"/>
  <c r="S594" i="49"/>
  <c r="S593" i="49"/>
  <c r="S592" i="49"/>
  <c r="S591" i="49"/>
  <c r="S590" i="49"/>
  <c r="S589" i="49"/>
  <c r="S588" i="49"/>
  <c r="S587" i="49"/>
  <c r="S586" i="49"/>
  <c r="S585" i="49"/>
  <c r="S584" i="49"/>
  <c r="S583" i="49"/>
  <c r="S582" i="49"/>
  <c r="S581" i="49"/>
  <c r="S580" i="49"/>
  <c r="S579" i="49"/>
  <c r="S578" i="49"/>
  <c r="S577" i="49"/>
  <c r="S576" i="49"/>
  <c r="S575" i="49"/>
  <c r="S574" i="49"/>
  <c r="S573" i="49"/>
  <c r="S572" i="49"/>
  <c r="S571" i="49"/>
  <c r="S570" i="49"/>
  <c r="S569" i="49"/>
  <c r="S568" i="49"/>
  <c r="S567" i="49"/>
  <c r="S566" i="49"/>
  <c r="S565" i="49"/>
  <c r="S564" i="49"/>
  <c r="S563" i="49"/>
  <c r="S562" i="49"/>
  <c r="S561" i="49"/>
  <c r="S560" i="49"/>
  <c r="S559" i="49"/>
  <c r="S558" i="49"/>
  <c r="S557" i="49"/>
  <c r="S556" i="49"/>
  <c r="S555" i="49"/>
  <c r="S554" i="49"/>
  <c r="S553" i="49"/>
  <c r="S552" i="49"/>
  <c r="S551" i="49"/>
  <c r="S550" i="49"/>
  <c r="S549" i="49"/>
  <c r="S548" i="49"/>
  <c r="S547" i="49"/>
  <c r="S546" i="49"/>
  <c r="S545" i="49"/>
  <c r="S544" i="49"/>
  <c r="S543" i="49"/>
  <c r="S542" i="49"/>
  <c r="S541" i="49"/>
  <c r="S540" i="49"/>
  <c r="S539" i="49"/>
  <c r="S538" i="49"/>
  <c r="S537" i="49"/>
  <c r="S536" i="49"/>
  <c r="S535" i="49"/>
  <c r="S534" i="49"/>
  <c r="S533" i="49"/>
  <c r="S532" i="49"/>
  <c r="S531" i="49"/>
  <c r="S530" i="49"/>
  <c r="S529" i="49"/>
  <c r="S528" i="49"/>
  <c r="S527" i="49"/>
  <c r="S526" i="49"/>
  <c r="S525" i="49"/>
  <c r="S524" i="49"/>
  <c r="S523" i="49"/>
  <c r="S522" i="49"/>
  <c r="S521" i="49"/>
  <c r="S520" i="49"/>
  <c r="S519" i="49"/>
  <c r="S518" i="49"/>
  <c r="S517" i="49"/>
  <c r="S516" i="49"/>
  <c r="S515" i="49"/>
  <c r="S514" i="49"/>
  <c r="S513" i="49"/>
  <c r="S512" i="49"/>
  <c r="S511" i="49"/>
  <c r="S510" i="49"/>
  <c r="S509" i="49"/>
  <c r="S508" i="49"/>
  <c r="S507" i="49"/>
  <c r="S506" i="49"/>
  <c r="S505" i="49"/>
  <c r="S504" i="49"/>
  <c r="S503" i="49"/>
  <c r="S502" i="49"/>
  <c r="S501" i="49"/>
  <c r="S500" i="49"/>
  <c r="S499" i="49"/>
  <c r="S498" i="49"/>
  <c r="S497" i="49"/>
  <c r="S496" i="49"/>
  <c r="S495" i="49"/>
  <c r="S494" i="49"/>
  <c r="S493" i="49"/>
  <c r="S492" i="49"/>
  <c r="S491" i="49"/>
  <c r="S490" i="49"/>
  <c r="S489" i="49"/>
  <c r="S488" i="49"/>
  <c r="S487" i="49"/>
  <c r="S486" i="49"/>
  <c r="S485" i="49"/>
  <c r="S484" i="49"/>
  <c r="S483" i="49"/>
  <c r="S482" i="49"/>
  <c r="S481" i="49"/>
  <c r="S480" i="49"/>
  <c r="S479" i="49"/>
  <c r="S478" i="49"/>
  <c r="S477" i="49"/>
  <c r="S475" i="49"/>
  <c r="S474" i="49"/>
  <c r="S473" i="49"/>
  <c r="S472" i="49"/>
  <c r="S471" i="49"/>
  <c r="S470" i="49"/>
  <c r="S469" i="49"/>
  <c r="S468" i="49"/>
  <c r="S467" i="49"/>
  <c r="S466" i="49"/>
  <c r="S465" i="49"/>
  <c r="S464" i="49"/>
  <c r="S463" i="49"/>
  <c r="S462" i="49"/>
  <c r="S461" i="49"/>
  <c r="S460" i="49"/>
  <c r="S459" i="49"/>
  <c r="S458" i="49"/>
  <c r="S457" i="49"/>
  <c r="S456" i="49"/>
  <c r="S455" i="49"/>
  <c r="S454" i="49"/>
  <c r="S453" i="49"/>
  <c r="S452" i="49"/>
  <c r="S451" i="49"/>
  <c r="S450" i="49"/>
  <c r="S449" i="49"/>
  <c r="S448" i="49"/>
  <c r="S447" i="49"/>
  <c r="S446" i="49"/>
  <c r="S445" i="49"/>
  <c r="S444" i="49"/>
  <c r="S443" i="49"/>
  <c r="S442" i="49"/>
  <c r="S441" i="49"/>
  <c r="S440" i="49"/>
  <c r="S439" i="49"/>
  <c r="S438" i="49"/>
  <c r="S437" i="49"/>
  <c r="S436" i="49"/>
  <c r="S435" i="49"/>
  <c r="S434" i="49"/>
  <c r="S433" i="49"/>
  <c r="S432" i="49"/>
  <c r="S431" i="49"/>
  <c r="S430" i="49"/>
  <c r="S429" i="49"/>
  <c r="S428" i="49"/>
  <c r="S427" i="49"/>
  <c r="S426" i="49"/>
  <c r="S425" i="49"/>
  <c r="S424" i="49"/>
  <c r="S423" i="49"/>
  <c r="S422" i="49"/>
  <c r="S421" i="49"/>
  <c r="S420" i="49"/>
  <c r="S419" i="49"/>
  <c r="S418" i="49"/>
  <c r="S417" i="49"/>
  <c r="S416" i="49"/>
  <c r="S415" i="49"/>
  <c r="S414" i="49"/>
  <c r="S413" i="49"/>
  <c r="S412" i="49"/>
  <c r="S411" i="49"/>
  <c r="S410" i="49"/>
  <c r="S409" i="49"/>
  <c r="S408" i="49"/>
  <c r="S407" i="49"/>
  <c r="S406" i="49"/>
  <c r="S405" i="49"/>
  <c r="S404" i="49"/>
  <c r="S403" i="49"/>
  <c r="S402" i="49"/>
  <c r="S401" i="49"/>
  <c r="S400" i="49"/>
  <c r="S399" i="49"/>
  <c r="S398" i="49"/>
  <c r="S397" i="49"/>
  <c r="S396" i="49"/>
  <c r="S395" i="49"/>
  <c r="S394" i="49"/>
  <c r="S393" i="49"/>
  <c r="S392" i="49"/>
  <c r="S391" i="49"/>
  <c r="S390" i="49"/>
  <c r="S389" i="49"/>
  <c r="S388" i="49"/>
  <c r="S387" i="49"/>
  <c r="S386" i="49"/>
  <c r="S385" i="49"/>
  <c r="S384" i="49"/>
  <c r="S383" i="49"/>
  <c r="S382" i="49"/>
  <c r="S381" i="49"/>
  <c r="S380" i="49"/>
  <c r="S379" i="49"/>
  <c r="S378" i="49"/>
  <c r="S377" i="49"/>
  <c r="S376" i="49"/>
  <c r="S375" i="49"/>
  <c r="S374" i="49"/>
  <c r="S373" i="49"/>
  <c r="S372" i="49"/>
  <c r="S371" i="49"/>
  <c r="S370" i="49"/>
  <c r="S369" i="49"/>
  <c r="S368" i="49"/>
  <c r="S367" i="49"/>
  <c r="S366" i="49"/>
  <c r="S365" i="49"/>
  <c r="S364" i="49"/>
  <c r="S362" i="49"/>
  <c r="S360" i="49"/>
  <c r="S359" i="49"/>
  <c r="S358" i="49"/>
  <c r="S356" i="49"/>
  <c r="S355" i="49"/>
  <c r="S354" i="49"/>
  <c r="S353" i="49"/>
  <c r="S352" i="49"/>
  <c r="S351" i="49"/>
  <c r="S350" i="49"/>
  <c r="S349" i="49"/>
  <c r="S348" i="49"/>
  <c r="S347" i="49"/>
  <c r="S346" i="49"/>
  <c r="S345" i="49"/>
  <c r="S343" i="49"/>
  <c r="S342" i="49"/>
  <c r="S341" i="49"/>
  <c r="S340" i="49"/>
  <c r="S339" i="49"/>
  <c r="S338" i="49"/>
  <c r="S337" i="49"/>
  <c r="S336" i="49"/>
  <c r="S335" i="49"/>
  <c r="S334" i="49"/>
  <c r="S333" i="49"/>
  <c r="S332" i="49"/>
  <c r="S331" i="49"/>
  <c r="S330" i="49"/>
  <c r="S329" i="49"/>
  <c r="S328" i="49"/>
  <c r="S327" i="49"/>
  <c r="S326" i="49"/>
  <c r="S325" i="49"/>
  <c r="S324" i="49"/>
  <c r="S323" i="49"/>
  <c r="S322" i="49"/>
  <c r="S321" i="49"/>
  <c r="S320" i="49"/>
  <c r="S319" i="49"/>
  <c r="S318" i="49"/>
  <c r="S317" i="49"/>
  <c r="S316" i="49"/>
  <c r="S315" i="49"/>
  <c r="S314" i="49"/>
  <c r="S313" i="49"/>
  <c r="S312" i="49"/>
  <c r="S311" i="49"/>
  <c r="S310" i="49"/>
  <c r="S309" i="49"/>
  <c r="S308" i="49"/>
  <c r="S307" i="49"/>
  <c r="S305" i="49"/>
  <c r="S304" i="49"/>
  <c r="S303" i="49"/>
  <c r="S302" i="49"/>
  <c r="S301" i="49"/>
  <c r="S300" i="49"/>
  <c r="S298" i="49"/>
  <c r="S297" i="49"/>
  <c r="S296" i="49"/>
  <c r="S295" i="49"/>
  <c r="S294" i="49"/>
  <c r="S293" i="49"/>
  <c r="S292" i="49"/>
  <c r="S291" i="49"/>
  <c r="S290" i="49"/>
  <c r="S289" i="49"/>
  <c r="S288" i="49"/>
  <c r="S287" i="49"/>
  <c r="S286" i="49"/>
  <c r="S285" i="49"/>
  <c r="S284" i="49"/>
  <c r="S283" i="49"/>
  <c r="S282" i="49"/>
  <c r="S281" i="49"/>
  <c r="S280" i="49"/>
  <c r="S279" i="49"/>
  <c r="S278" i="49"/>
  <c r="S277" i="49"/>
  <c r="S276" i="49"/>
  <c r="S275" i="49"/>
  <c r="S274" i="49"/>
  <c r="S273" i="49"/>
  <c r="S270" i="49"/>
  <c r="S269" i="49"/>
  <c r="S268" i="49"/>
  <c r="S267" i="49"/>
  <c r="S266" i="49"/>
  <c r="S265" i="49"/>
  <c r="S264" i="49"/>
  <c r="S263" i="49"/>
  <c r="S262" i="49"/>
  <c r="S261" i="49"/>
  <c r="S260" i="49"/>
  <c r="S259" i="49"/>
  <c r="S258" i="49"/>
  <c r="S257" i="49"/>
  <c r="S256" i="49"/>
  <c r="S255" i="49"/>
  <c r="S254" i="49"/>
  <c r="S253" i="49"/>
  <c r="S252" i="49"/>
  <c r="S251" i="49"/>
  <c r="S250" i="49"/>
  <c r="S249" i="49"/>
  <c r="S248" i="49"/>
  <c r="S247" i="49"/>
  <c r="S246" i="49"/>
  <c r="S245" i="49"/>
  <c r="S244" i="49"/>
  <c r="S243" i="49"/>
  <c r="S242" i="49"/>
  <c r="S241" i="49"/>
  <c r="S240" i="49"/>
  <c r="S239" i="49"/>
  <c r="S238" i="49"/>
  <c r="S237" i="49"/>
  <c r="S236" i="49"/>
  <c r="S235" i="49"/>
  <c r="S234" i="49"/>
  <c r="S233" i="49"/>
  <c r="S232" i="49"/>
  <c r="S231" i="49"/>
  <c r="S230" i="49"/>
  <c r="S229" i="49"/>
  <c r="S227" i="49"/>
  <c r="S226" i="49"/>
  <c r="S225" i="49"/>
  <c r="S224" i="49"/>
  <c r="S223" i="49"/>
  <c r="S222" i="49"/>
  <c r="S221" i="49"/>
  <c r="S219" i="49"/>
  <c r="S218" i="49"/>
  <c r="S217" i="49"/>
  <c r="S214" i="49"/>
  <c r="S213" i="49"/>
  <c r="S212" i="49"/>
  <c r="S211" i="49"/>
  <c r="S210" i="49"/>
  <c r="S209" i="49"/>
  <c r="S208" i="49"/>
  <c r="S206" i="49"/>
  <c r="S205" i="49"/>
  <c r="S204" i="49"/>
  <c r="S203" i="49"/>
  <c r="S199" i="49"/>
  <c r="S198" i="49"/>
  <c r="S197" i="49"/>
  <c r="S196" i="49"/>
  <c r="S194" i="49"/>
  <c r="S193" i="49"/>
  <c r="S192" i="49"/>
  <c r="S191" i="49"/>
  <c r="S190" i="49"/>
  <c r="S189" i="49"/>
  <c r="S188" i="49"/>
  <c r="S187" i="49"/>
  <c r="S186" i="49"/>
  <c r="S185" i="49"/>
  <c r="S184" i="49"/>
  <c r="S183" i="49"/>
  <c r="S182" i="49"/>
  <c r="S181" i="49"/>
  <c r="S180" i="49"/>
  <c r="S179" i="49"/>
  <c r="S178" i="49"/>
  <c r="S177" i="49"/>
  <c r="S176" i="49"/>
  <c r="S175" i="49"/>
  <c r="S174" i="49"/>
  <c r="S173" i="49"/>
  <c r="S172" i="49"/>
  <c r="S171" i="49"/>
  <c r="S170" i="49"/>
  <c r="S169" i="49"/>
  <c r="S168" i="49"/>
  <c r="S167" i="49"/>
  <c r="S165" i="49"/>
  <c r="S164" i="49"/>
  <c r="S162" i="49"/>
  <c r="S160" i="49"/>
  <c r="S158" i="49"/>
  <c r="S156" i="49"/>
  <c r="S155" i="49"/>
  <c r="S152" i="49"/>
  <c r="S151" i="49"/>
  <c r="S150" i="49"/>
  <c r="S149" i="49"/>
  <c r="S148" i="49"/>
  <c r="S147" i="49"/>
  <c r="S144" i="49"/>
  <c r="S142" i="49"/>
  <c r="S140" i="49"/>
  <c r="S139" i="49"/>
  <c r="S138" i="49"/>
  <c r="S136" i="49"/>
  <c r="S133" i="49"/>
  <c r="S132" i="49"/>
  <c r="S130" i="49"/>
  <c r="S129" i="49"/>
  <c r="S126" i="49"/>
  <c r="S123" i="49"/>
  <c r="S122" i="49"/>
  <c r="S121" i="49"/>
  <c r="S120" i="49"/>
  <c r="S119" i="49"/>
  <c r="S118" i="49"/>
  <c r="S117" i="49"/>
  <c r="S116" i="49"/>
  <c r="S115" i="49"/>
  <c r="S114" i="49"/>
  <c r="S108" i="49"/>
  <c r="S107" i="49"/>
  <c r="S104" i="49"/>
  <c r="S98" i="49"/>
  <c r="S97" i="49"/>
  <c r="S94" i="49"/>
  <c r="S93" i="49"/>
  <c r="S90" i="49"/>
  <c r="S87" i="49"/>
  <c r="AU44" i="76" a="1"/>
  <c r="AU34" i="76" a="1"/>
  <c r="AU8" i="76" a="1"/>
  <c r="AU41" i="76" a="1"/>
  <c r="AU22" i="76" a="1"/>
  <c r="AU40" i="76" a="1"/>
  <c r="AU18" i="76" a="1"/>
  <c r="AU35" i="76" a="1"/>
  <c r="AU14" i="76" a="1"/>
  <c r="AR44" i="76" a="1"/>
  <c r="AR34" i="76" a="1"/>
  <c r="AR8" i="76" a="1"/>
  <c r="AR41" i="76" a="1"/>
  <c r="AR22" i="76" a="1"/>
  <c r="AR40" i="76" a="1"/>
  <c r="AR18" i="76" a="1"/>
  <c r="AR35" i="76" a="1"/>
  <c r="AR14" i="76" a="1"/>
  <c r="AO44" i="76" a="1"/>
  <c r="AO35" i="76" a="1"/>
  <c r="AO34" i="76" a="1"/>
  <c r="AO8" i="76" a="1"/>
  <c r="AO41" i="76" a="1"/>
  <c r="AO14" i="76" a="1"/>
  <c r="AO22" i="76" a="1"/>
  <c r="AO40" i="76" a="1"/>
  <c r="AO18" i="76" a="1"/>
  <c r="AL44" i="76" a="1"/>
  <c r="AL34" i="76" a="1"/>
  <c r="AL8" i="76" a="1"/>
  <c r="AL41" i="76" a="1"/>
  <c r="AL22" i="76" a="1"/>
  <c r="AL40" i="76" a="1"/>
  <c r="AL18" i="76" a="1"/>
  <c r="AL35" i="76" a="1"/>
  <c r="AL14" i="76" a="1"/>
  <c r="AI44" i="76" a="1"/>
  <c r="AI34" i="76" a="1"/>
  <c r="AI8" i="76" a="1"/>
  <c r="AI14" i="76" a="1"/>
  <c r="AI41" i="76" a="1"/>
  <c r="AI22" i="76" a="1"/>
  <c r="AI35" i="76" a="1"/>
  <c r="AI40" i="76" a="1"/>
  <c r="AI18" i="76" a="1"/>
  <c r="AF44" i="76" a="1"/>
  <c r="AF34" i="76" a="1"/>
  <c r="AF8" i="76" a="1"/>
  <c r="AF41" i="76" a="1"/>
  <c r="AF22" i="76" a="1"/>
  <c r="AF40" i="76" a="1"/>
  <c r="AF18" i="76" a="1"/>
  <c r="AF35" i="76" a="1"/>
  <c r="AF14" i="76" a="1"/>
  <c r="AC44" i="76" a="1"/>
  <c r="AC34" i="76" a="1"/>
  <c r="AC8" i="76" a="1"/>
  <c r="AC41" i="76" a="1"/>
  <c r="AC22" i="76" a="1"/>
  <c r="AC40" i="76" a="1"/>
  <c r="AC18" i="76" a="1"/>
  <c r="AC35" i="76" a="1"/>
  <c r="AC14" i="76" a="1"/>
  <c r="Z44" i="76" a="1"/>
  <c r="Z34" i="76" a="1"/>
  <c r="Z8" i="76" a="1"/>
  <c r="Z41" i="76" a="1"/>
  <c r="Z22" i="76" a="1"/>
  <c r="Z40" i="76" a="1"/>
  <c r="Z18" i="76" a="1"/>
  <c r="Z35" i="76" a="1"/>
  <c r="Z14" i="76" a="1"/>
  <c r="W44" i="76" a="1"/>
  <c r="W34" i="76" a="1"/>
  <c r="W8" i="76" a="1"/>
  <c r="W41" i="76" a="1"/>
  <c r="W22" i="76" a="1"/>
  <c r="W40" i="76" a="1"/>
  <c r="W18" i="76" a="1"/>
  <c r="W35" i="76" a="1"/>
  <c r="W14" i="76" a="1"/>
  <c r="T44" i="76" a="1"/>
  <c r="T40" i="76" a="1"/>
  <c r="T34" i="76" a="1"/>
  <c r="T8" i="76" a="1"/>
  <c r="T41" i="76" a="1"/>
  <c r="T22" i="76" a="1"/>
  <c r="T18" i="76" a="1"/>
  <c r="T35" i="76" a="1"/>
  <c r="T14" i="76" a="1"/>
  <c r="Q44" i="76" a="1"/>
  <c r="Q34" i="76" a="1"/>
  <c r="Q8" i="76" a="1"/>
  <c r="Q41" i="76" a="1"/>
  <c r="Q22" i="76" a="1"/>
  <c r="Q40" i="76" a="1"/>
  <c r="Q18" i="76" a="1"/>
  <c r="Q35" i="76" a="1"/>
  <c r="Q14" i="76" a="1"/>
  <c r="N44" i="76" a="1"/>
  <c r="N34" i="76" a="1"/>
  <c r="N8" i="76" a="1"/>
  <c r="N41" i="76" a="1"/>
  <c r="N22" i="76" a="1"/>
  <c r="N40" i="76" a="1"/>
  <c r="N18" i="76" a="1"/>
  <c r="N35" i="76" a="1"/>
  <c r="N14" i="76" a="1"/>
  <c r="K44" i="76" a="1"/>
  <c r="K35" i="76" a="1"/>
  <c r="K34" i="76" a="1"/>
  <c r="K8" i="76" a="1"/>
  <c r="K41" i="76" a="1"/>
  <c r="K22" i="76" a="1"/>
  <c r="K40" i="76" a="1"/>
  <c r="K14" i="76" a="1"/>
  <c r="K18" i="76" a="1"/>
  <c r="H44" i="76" a="1"/>
  <c r="H34" i="76" a="1"/>
  <c r="H8" i="76" a="1"/>
  <c r="H41" i="76" a="1"/>
  <c r="H22" i="76" a="1"/>
  <c r="H40" i="76" a="1"/>
  <c r="H18" i="76" a="1"/>
  <c r="H35" i="76" a="1"/>
  <c r="H14" i="76" a="1"/>
  <c r="E44" i="76" a="1"/>
  <c r="E8" i="76" a="1"/>
  <c r="E40" i="76" a="1"/>
  <c r="E35" i="76" a="1"/>
  <c r="E22" i="76" a="1"/>
  <c r="E18" i="76" a="1"/>
  <c r="E14" i="76" a="1"/>
  <c r="E40" i="64" a="1"/>
  <c r="E35" i="64" a="1"/>
  <c r="E22" i="64" a="1"/>
  <c r="E18" i="64" a="1"/>
  <c r="E14" i="64" a="1"/>
  <c r="E8" i="64" a="1"/>
  <c r="BJ44" i="76" a="1"/>
  <c r="BJ35" i="76" a="1"/>
  <c r="BJ34" i="76" a="1"/>
  <c r="BJ8" i="76" a="1"/>
  <c r="BJ41" i="76" a="1"/>
  <c r="BJ22" i="76" a="1"/>
  <c r="BJ40" i="76" a="1"/>
  <c r="BJ18" i="76" a="1"/>
  <c r="BJ14" i="76" a="1"/>
  <c r="BG44" i="76" a="1"/>
  <c r="BG34" i="76" a="1"/>
  <c r="BG8" i="76" a="1"/>
  <c r="BG41" i="76" a="1"/>
  <c r="BG22" i="76" a="1"/>
  <c r="BG40" i="76" a="1"/>
  <c r="BG18" i="76" a="1"/>
  <c r="BG35" i="76" a="1"/>
  <c r="BG14" i="76" a="1"/>
  <c r="BD44" i="76" a="1"/>
  <c r="BD34" i="76" a="1"/>
  <c r="BD8" i="76" a="1"/>
  <c r="BD41" i="76" a="1"/>
  <c r="BD22" i="76" a="1"/>
  <c r="BD40" i="76" a="1"/>
  <c r="BD18" i="76" a="1"/>
  <c r="BD35" i="76" a="1"/>
  <c r="BD14" i="76" a="1"/>
  <c r="BA44" i="76" a="1"/>
  <c r="BA34" i="76" a="1"/>
  <c r="BA8" i="76" a="1"/>
  <c r="BA41" i="76" a="1"/>
  <c r="BA22" i="76" a="1"/>
  <c r="BA40" i="76" a="1"/>
  <c r="BA18" i="76" a="1"/>
  <c r="BA35" i="76" a="1"/>
  <c r="BA14" i="76" a="1"/>
  <c r="AX44" i="76" a="1"/>
  <c r="AX34" i="76" a="1"/>
  <c r="AX8" i="76" a="1"/>
  <c r="AX41" i="76" a="1"/>
  <c r="AX22" i="76" a="1"/>
  <c r="AX40" i="76" a="1"/>
  <c r="AX18" i="76" a="1"/>
  <c r="AX35" i="76" a="1"/>
  <c r="AX14" i="76" a="1"/>
  <c r="E44" i="64" a="1"/>
  <c r="BJ14" i="76" l="1"/>
  <c r="BJ18" i="76"/>
  <c r="BJ40" i="76"/>
  <c r="BJ22" i="76"/>
  <c r="BJ41" i="76"/>
  <c r="BJ8" i="76"/>
  <c r="BJ34" i="76"/>
  <c r="BJ35" i="76"/>
  <c r="BJ36" i="76" s="1"/>
  <c r="BJ45" i="76" s="1"/>
  <c r="BJ44" i="76"/>
  <c r="BG14" i="76"/>
  <c r="BG35" i="76"/>
  <c r="BG18" i="76"/>
  <c r="BG40" i="76"/>
  <c r="BG22" i="76"/>
  <c r="BG41" i="76"/>
  <c r="BG8" i="76"/>
  <c r="BG34" i="76"/>
  <c r="BG44" i="76"/>
  <c r="BD14" i="76"/>
  <c r="BD35" i="76"/>
  <c r="BD18" i="76"/>
  <c r="BD40" i="76"/>
  <c r="BD22" i="76"/>
  <c r="BD41" i="76"/>
  <c r="BD8" i="76"/>
  <c r="BD34" i="76"/>
  <c r="BD44" i="76"/>
  <c r="BA14" i="76"/>
  <c r="BA35" i="76"/>
  <c r="BA18" i="76"/>
  <c r="BA40" i="76"/>
  <c r="BA22" i="76"/>
  <c r="BA41" i="76"/>
  <c r="BA8" i="76"/>
  <c r="BA34" i="76"/>
  <c r="BA44" i="76"/>
  <c r="AX14" i="76"/>
  <c r="AX35" i="76"/>
  <c r="AX18" i="76"/>
  <c r="AX40" i="76"/>
  <c r="AX22" i="76"/>
  <c r="AX41" i="76"/>
  <c r="AX8" i="76"/>
  <c r="AX34" i="76"/>
  <c r="AX44" i="76"/>
  <c r="AU14" i="76"/>
  <c r="AU35" i="76"/>
  <c r="AU36" i="76" s="1"/>
  <c r="AU45" i="76" s="1"/>
  <c r="AU18" i="76"/>
  <c r="AU40" i="76"/>
  <c r="AU22" i="76"/>
  <c r="AU41" i="76"/>
  <c r="AU8" i="76"/>
  <c r="AU34" i="76"/>
  <c r="AU44" i="76"/>
  <c r="AR14" i="76"/>
  <c r="AR35" i="76"/>
  <c r="AR36" i="76" s="1"/>
  <c r="AR45" i="76" s="1"/>
  <c r="AR18" i="76"/>
  <c r="AR40" i="76"/>
  <c r="AR22" i="76"/>
  <c r="AR41" i="76"/>
  <c r="AR8" i="76"/>
  <c r="AR34" i="76"/>
  <c r="AR44" i="76"/>
  <c r="AO18" i="76"/>
  <c r="AO40" i="76"/>
  <c r="AO22" i="76"/>
  <c r="AO14" i="76"/>
  <c r="AO41" i="76"/>
  <c r="AO8" i="76"/>
  <c r="AO34" i="76"/>
  <c r="AO35" i="76"/>
  <c r="AO44" i="76"/>
  <c r="AL14" i="76"/>
  <c r="AL35" i="76"/>
  <c r="AL36" i="76" s="1"/>
  <c r="AL45" i="76" s="1"/>
  <c r="AL18" i="76"/>
  <c r="AL40" i="76"/>
  <c r="AL22" i="76"/>
  <c r="AL41" i="76"/>
  <c r="AL8" i="76"/>
  <c r="AL34" i="76"/>
  <c r="AL44" i="76"/>
  <c r="AI18" i="76"/>
  <c r="AI40" i="76"/>
  <c r="AI35" i="76"/>
  <c r="AI22" i="76"/>
  <c r="AI41" i="76"/>
  <c r="AI14" i="76"/>
  <c r="AI8" i="76"/>
  <c r="AI34" i="76"/>
  <c r="AI44" i="76"/>
  <c r="AF14" i="76"/>
  <c r="AF35" i="76"/>
  <c r="AF18" i="76"/>
  <c r="AF40" i="76"/>
  <c r="AF22" i="76"/>
  <c r="AF41" i="76"/>
  <c r="AF8" i="76"/>
  <c r="AF34" i="76"/>
  <c r="AF44" i="76"/>
  <c r="AC14" i="76"/>
  <c r="AC35" i="76"/>
  <c r="AC36" i="76" s="1"/>
  <c r="AC45" i="76" s="1"/>
  <c r="AC18" i="76"/>
  <c r="AC40" i="76"/>
  <c r="AC22" i="76"/>
  <c r="AC41" i="76"/>
  <c r="AC8" i="76"/>
  <c r="AC34" i="76"/>
  <c r="AC44" i="76"/>
  <c r="Z14" i="76"/>
  <c r="Z35" i="76"/>
  <c r="Z18" i="76"/>
  <c r="Z40" i="76"/>
  <c r="Z22" i="76"/>
  <c r="Z41" i="76"/>
  <c r="Z8" i="76"/>
  <c r="Z34" i="76"/>
  <c r="Z44" i="76"/>
  <c r="W14" i="76"/>
  <c r="W35" i="76"/>
  <c r="W18" i="76"/>
  <c r="W40" i="76"/>
  <c r="W22" i="76"/>
  <c r="W41" i="76"/>
  <c r="W8" i="76"/>
  <c r="W34" i="76"/>
  <c r="W44" i="76"/>
  <c r="T14" i="76"/>
  <c r="T35" i="76"/>
  <c r="T18" i="76"/>
  <c r="T22" i="76"/>
  <c r="T41" i="76"/>
  <c r="T8" i="76"/>
  <c r="T34" i="76"/>
  <c r="T40" i="76"/>
  <c r="T44" i="76"/>
  <c r="Q14" i="76"/>
  <c r="Q35" i="76"/>
  <c r="Q18" i="76"/>
  <c r="Q40" i="76"/>
  <c r="Q22" i="76"/>
  <c r="Q41" i="76"/>
  <c r="Q8" i="76"/>
  <c r="Q34" i="76"/>
  <c r="Q44" i="76"/>
  <c r="N14" i="76"/>
  <c r="N35" i="76"/>
  <c r="N36" i="76" s="1"/>
  <c r="N45" i="76" s="1"/>
  <c r="N18" i="76"/>
  <c r="N40" i="76"/>
  <c r="N22" i="76"/>
  <c r="N41" i="76"/>
  <c r="N8" i="76"/>
  <c r="N34" i="76"/>
  <c r="N44" i="76"/>
  <c r="K18" i="76"/>
  <c r="K14" i="76"/>
  <c r="K40" i="76"/>
  <c r="K22" i="76"/>
  <c r="K41" i="76"/>
  <c r="K8" i="76"/>
  <c r="K34" i="76"/>
  <c r="K35" i="76"/>
  <c r="K36" i="76" s="1"/>
  <c r="K44" i="76"/>
  <c r="H14" i="76"/>
  <c r="H35" i="76"/>
  <c r="H18" i="76"/>
  <c r="H40" i="76"/>
  <c r="H22" i="76"/>
  <c r="H41" i="76"/>
  <c r="H8" i="76"/>
  <c r="H34" i="76"/>
  <c r="H44" i="76"/>
  <c r="E14" i="76"/>
  <c r="E18" i="76"/>
  <c r="E22" i="76"/>
  <c r="E35" i="76"/>
  <c r="E40" i="76"/>
  <c r="E8" i="76"/>
  <c r="E44" i="76"/>
  <c r="E40" i="64"/>
  <c r="E35" i="64"/>
  <c r="E22" i="64"/>
  <c r="E18" i="64"/>
  <c r="E14" i="64"/>
  <c r="E8" i="64"/>
  <c r="E44" i="64"/>
  <c r="A4" i="56"/>
  <c r="P22" i="54"/>
  <c r="M612" i="49"/>
  <c r="M611" i="49"/>
  <c r="M610" i="49"/>
  <c r="M609" i="49"/>
  <c r="M608" i="49"/>
  <c r="M607" i="49"/>
  <c r="M606" i="49"/>
  <c r="M605" i="49"/>
  <c r="M604" i="49"/>
  <c r="M603" i="49"/>
  <c r="M602" i="49"/>
  <c r="M601" i="49"/>
  <c r="M600" i="49"/>
  <c r="M599" i="49"/>
  <c r="M598" i="49"/>
  <c r="M597" i="49"/>
  <c r="M596" i="49"/>
  <c r="M595" i="49"/>
  <c r="M594" i="49"/>
  <c r="M593" i="49"/>
  <c r="M592" i="49"/>
  <c r="M591" i="49"/>
  <c r="M590" i="49"/>
  <c r="M589" i="49"/>
  <c r="M588" i="49"/>
  <c r="M587" i="49"/>
  <c r="M586" i="49"/>
  <c r="M585" i="49"/>
  <c r="M584" i="49"/>
  <c r="M583" i="49"/>
  <c r="M582" i="49"/>
  <c r="M581" i="49"/>
  <c r="M580" i="49"/>
  <c r="M579" i="49"/>
  <c r="M578" i="49"/>
  <c r="M577" i="49"/>
  <c r="M576" i="49"/>
  <c r="M575" i="49"/>
  <c r="M574" i="49"/>
  <c r="M573" i="49"/>
  <c r="M572" i="49"/>
  <c r="M571" i="49"/>
  <c r="M570" i="49"/>
  <c r="M569" i="49"/>
  <c r="M568" i="49"/>
  <c r="M567" i="49"/>
  <c r="M566" i="49"/>
  <c r="M565" i="49"/>
  <c r="M564" i="49"/>
  <c r="M563" i="49"/>
  <c r="M562" i="49"/>
  <c r="M561" i="49"/>
  <c r="M560" i="49"/>
  <c r="M559" i="49"/>
  <c r="M558" i="49"/>
  <c r="M557" i="49"/>
  <c r="M556" i="49"/>
  <c r="M555" i="49"/>
  <c r="M554" i="49"/>
  <c r="M553" i="49"/>
  <c r="M552" i="49"/>
  <c r="M551" i="49"/>
  <c r="M550" i="49"/>
  <c r="M549" i="49"/>
  <c r="M548" i="49"/>
  <c r="M547" i="49"/>
  <c r="M546" i="49"/>
  <c r="M545" i="49"/>
  <c r="M544" i="49"/>
  <c r="M543" i="49"/>
  <c r="M542" i="49"/>
  <c r="M541" i="49"/>
  <c r="M540" i="49"/>
  <c r="M539" i="49"/>
  <c r="M538" i="49"/>
  <c r="M537" i="49"/>
  <c r="M536" i="49"/>
  <c r="M535" i="49"/>
  <c r="M534" i="49"/>
  <c r="M533" i="49"/>
  <c r="M532" i="49"/>
  <c r="M531" i="49"/>
  <c r="M530" i="49"/>
  <c r="M529" i="49"/>
  <c r="M528" i="49"/>
  <c r="M527" i="49"/>
  <c r="M526" i="49"/>
  <c r="M525" i="49"/>
  <c r="M524" i="49"/>
  <c r="M523" i="49"/>
  <c r="M522" i="49"/>
  <c r="M521" i="49"/>
  <c r="M520" i="49"/>
  <c r="M519" i="49"/>
  <c r="M518" i="49"/>
  <c r="M517" i="49"/>
  <c r="M516" i="49"/>
  <c r="M515" i="49"/>
  <c r="M514" i="49"/>
  <c r="M513" i="49"/>
  <c r="M512" i="49"/>
  <c r="M511" i="49"/>
  <c r="M510" i="49"/>
  <c r="M509" i="49"/>
  <c r="BW153" i="58"/>
  <c r="P18" i="56" a="1"/>
  <c r="P18" i="56" s="1"/>
  <c r="O18" i="56" s="1"/>
  <c r="P17" i="56" a="1"/>
  <c r="P17" i="56" s="1"/>
  <c r="O17" i="56" s="1"/>
  <c r="P16" i="56" a="1"/>
  <c r="P16" i="56" s="1"/>
  <c r="O16" i="56" s="1"/>
  <c r="P15" i="56" a="1"/>
  <c r="P15" i="56" s="1"/>
  <c r="O15" i="56" s="1"/>
  <c r="P14" i="56" a="1"/>
  <c r="P14" i="56" s="1"/>
  <c r="O14" i="56" s="1"/>
  <c r="P13" i="56" a="1"/>
  <c r="P13" i="56" s="1"/>
  <c r="O13" i="56" s="1"/>
  <c r="P12" i="56" a="1"/>
  <c r="P12" i="56" s="1"/>
  <c r="O12" i="56" s="1"/>
  <c r="P11" i="56" a="1"/>
  <c r="P11" i="56" s="1"/>
  <c r="O11" i="56" s="1"/>
  <c r="P10" i="56" a="1"/>
  <c r="P10" i="56" s="1"/>
  <c r="O10" i="56" s="1"/>
  <c r="P9" i="56" a="1"/>
  <c r="P9" i="56" s="1"/>
  <c r="O9" i="56" s="1"/>
  <c r="P8" i="56" a="1"/>
  <c r="P8" i="56" s="1"/>
  <c r="O8" i="56" s="1"/>
  <c r="P7" i="56" a="1"/>
  <c r="P7" i="56" s="1"/>
  <c r="O7" i="56" s="1"/>
  <c r="P6" i="56" a="1"/>
  <c r="P6" i="56" s="1"/>
  <c r="P5" i="56" a="1"/>
  <c r="P5" i="56" s="1"/>
  <c r="P4" i="56" a="1"/>
  <c r="P4" i="56" s="1"/>
  <c r="F122" i="58"/>
  <c r="N9" i="49"/>
  <c r="F8" i="49"/>
  <c r="R9" i="49" s="1"/>
  <c r="N19" i="56"/>
  <c r="N18" i="56"/>
  <c r="N17" i="56"/>
  <c r="N16" i="56"/>
  <c r="N15" i="56"/>
  <c r="N14" i="56"/>
  <c r="N13" i="56"/>
  <c r="N12" i="56"/>
  <c r="N11" i="56"/>
  <c r="N10" i="56"/>
  <c r="N9" i="56"/>
  <c r="N8" i="56"/>
  <c r="N7" i="56"/>
  <c r="F119" i="58"/>
  <c r="F118" i="58"/>
  <c r="P44" i="56" a="1"/>
  <c r="P44" i="56" s="1"/>
  <c r="O44" i="56" s="1"/>
  <c r="P43" i="56" a="1"/>
  <c r="P43" i="56" s="1"/>
  <c r="O43" i="56" s="1"/>
  <c r="P42" i="56" a="1"/>
  <c r="P42" i="56" s="1"/>
  <c r="O42" i="56" s="1"/>
  <c r="P41" i="56" a="1"/>
  <c r="P41" i="56" s="1"/>
  <c r="O41" i="56" s="1"/>
  <c r="P40" i="56" a="1"/>
  <c r="P40" i="56" s="1"/>
  <c r="O40" i="56" s="1"/>
  <c r="P39" i="56" a="1"/>
  <c r="P39" i="56" s="1"/>
  <c r="O39" i="56" s="1"/>
  <c r="P38" i="56" a="1"/>
  <c r="P38" i="56" s="1"/>
  <c r="O38" i="56" s="1"/>
  <c r="P37" i="56" a="1"/>
  <c r="P37" i="56" s="1"/>
  <c r="O37" i="56" s="1"/>
  <c r="P36" i="56" a="1"/>
  <c r="P36" i="56" s="1"/>
  <c r="O36" i="56" s="1"/>
  <c r="P35" i="56" a="1"/>
  <c r="P35" i="56" s="1"/>
  <c r="O35" i="56" s="1"/>
  <c r="P34" i="56" a="1"/>
  <c r="P34" i="56" s="1"/>
  <c r="O34" i="56" s="1"/>
  <c r="P33" i="56" a="1"/>
  <c r="P33" i="56" s="1"/>
  <c r="O33" i="56" s="1"/>
  <c r="P32" i="56" a="1"/>
  <c r="P32" i="56" s="1"/>
  <c r="O32" i="56" s="1"/>
  <c r="P31" i="56" a="1"/>
  <c r="P31" i="56" s="1"/>
  <c r="O31" i="56" s="1"/>
  <c r="P30" i="56" a="1"/>
  <c r="P30" i="56" s="1"/>
  <c r="O30" i="56" s="1"/>
  <c r="P29" i="56" a="1"/>
  <c r="P29" i="56" s="1"/>
  <c r="O29" i="56" s="1"/>
  <c r="P28" i="56" a="1"/>
  <c r="P28" i="56" s="1"/>
  <c r="O28" i="56" s="1"/>
  <c r="P27" i="56" a="1"/>
  <c r="P27" i="56" s="1"/>
  <c r="O27" i="56" s="1"/>
  <c r="P26" i="56" a="1"/>
  <c r="P26" i="56" s="1"/>
  <c r="O26" i="56" s="1"/>
  <c r="P25" i="56" a="1"/>
  <c r="P25" i="56" s="1"/>
  <c r="O25" i="56" s="1"/>
  <c r="P24" i="56" a="1"/>
  <c r="P24" i="56" s="1"/>
  <c r="O24" i="56" s="1"/>
  <c r="P23" i="56" a="1"/>
  <c r="P23" i="56" s="1"/>
  <c r="O23" i="56" s="1"/>
  <c r="P22" i="56" a="1"/>
  <c r="P22" i="56" s="1"/>
  <c r="O22" i="56" s="1"/>
  <c r="P21" i="56" a="1"/>
  <c r="P21" i="56" s="1"/>
  <c r="O21" i="56" s="1"/>
  <c r="P20" i="56" a="1"/>
  <c r="P20" i="56" s="1"/>
  <c r="O20" i="56" s="1"/>
  <c r="P19" i="56" a="1"/>
  <c r="P19" i="56" s="1"/>
  <c r="O19" i="56" s="1"/>
  <c r="P3" i="56" a="1"/>
  <c r="P3" i="56" s="1"/>
  <c r="O3" i="56" s="1"/>
  <c r="P2" i="56" a="1"/>
  <c r="P2" i="56" s="1"/>
  <c r="O2" i="56" s="1"/>
  <c r="N20" i="56"/>
  <c r="N21" i="56"/>
  <c r="N22" i="56"/>
  <c r="N23" i="56"/>
  <c r="N24" i="56"/>
  <c r="N25" i="56"/>
  <c r="N26" i="56"/>
  <c r="N27" i="56"/>
  <c r="N28" i="56"/>
  <c r="N29" i="56"/>
  <c r="K127" i="58"/>
  <c r="K128" i="58"/>
  <c r="K129" i="58"/>
  <c r="K130" i="58"/>
  <c r="K131" i="58"/>
  <c r="K132" i="58"/>
  <c r="K133" i="58"/>
  <c r="N32" i="56"/>
  <c r="N31" i="56"/>
  <c r="N30" i="56"/>
  <c r="K167" i="58"/>
  <c r="K166" i="58"/>
  <c r="K165" i="58"/>
  <c r="K164" i="58"/>
  <c r="K163" i="58"/>
  <c r="K162" i="58"/>
  <c r="K161" i="58"/>
  <c r="K160" i="58"/>
  <c r="K159" i="58"/>
  <c r="K158" i="58"/>
  <c r="K157" i="58"/>
  <c r="K156" i="58"/>
  <c r="K155" i="58"/>
  <c r="K154" i="58"/>
  <c r="K153" i="58"/>
  <c r="K152" i="58"/>
  <c r="K151" i="58"/>
  <c r="K150" i="58"/>
  <c r="K149" i="58"/>
  <c r="K148" i="58"/>
  <c r="K147" i="58"/>
  <c r="K146" i="58"/>
  <c r="K145" i="58"/>
  <c r="K144" i="58"/>
  <c r="K143" i="58"/>
  <c r="K142" i="58"/>
  <c r="K141" i="58"/>
  <c r="K140" i="58"/>
  <c r="K139" i="58"/>
  <c r="K138" i="58"/>
  <c r="K137" i="58"/>
  <c r="K136" i="58"/>
  <c r="K135" i="58"/>
  <c r="K134" i="58"/>
  <c r="K126" i="58"/>
  <c r="K125" i="58"/>
  <c r="K124" i="58"/>
  <c r="K123" i="58"/>
  <c r="K122" i="58"/>
  <c r="K121" i="58"/>
  <c r="K120" i="58"/>
  <c r="K119" i="58"/>
  <c r="K118" i="58"/>
  <c r="X54" i="54"/>
  <c r="X53" i="54"/>
  <c r="X52" i="54"/>
  <c r="X51" i="54"/>
  <c r="X50" i="54"/>
  <c r="X49" i="54"/>
  <c r="X48" i="54"/>
  <c r="X47" i="54"/>
  <c r="X46" i="54"/>
  <c r="X45" i="54"/>
  <c r="X44" i="54"/>
  <c r="X43" i="54"/>
  <c r="X42" i="54"/>
  <c r="X41" i="54"/>
  <c r="X40" i="54"/>
  <c r="X39" i="54"/>
  <c r="X38" i="54"/>
  <c r="X37" i="54"/>
  <c r="X36" i="54"/>
  <c r="X35" i="54"/>
  <c r="X34" i="54"/>
  <c r="X33" i="54"/>
  <c r="X32" i="54"/>
  <c r="X31" i="54"/>
  <c r="X30" i="54"/>
  <c r="X29" i="54"/>
  <c r="X28" i="54"/>
  <c r="X27" i="54"/>
  <c r="X26" i="54"/>
  <c r="X25" i="54"/>
  <c r="X24" i="54"/>
  <c r="X23" i="54"/>
  <c r="X22" i="54"/>
  <c r="X21" i="54"/>
  <c r="X20" i="54"/>
  <c r="X19" i="54"/>
  <c r="X18" i="54"/>
  <c r="X17" i="54"/>
  <c r="X16" i="54"/>
  <c r="X15" i="54"/>
  <c r="X14" i="54"/>
  <c r="X13" i="54"/>
  <c r="X12" i="54"/>
  <c r="X11" i="54"/>
  <c r="X10" i="54"/>
  <c r="X9" i="54"/>
  <c r="X8" i="54"/>
  <c r="X7" i="54"/>
  <c r="X6" i="54"/>
  <c r="X5" i="54"/>
  <c r="X4" i="54"/>
  <c r="X3" i="54"/>
  <c r="X2" i="54"/>
  <c r="X1" i="54"/>
  <c r="O47" i="56"/>
  <c r="O46" i="56"/>
  <c r="O45" i="56"/>
  <c r="EB111" i="58"/>
  <c r="F131" i="58"/>
  <c r="F132" i="58"/>
  <c r="F133" i="58"/>
  <c r="F134" i="58"/>
  <c r="F135" i="58"/>
  <c r="F136" i="58"/>
  <c r="F137" i="58"/>
  <c r="F138" i="58"/>
  <c r="F139" i="58"/>
  <c r="F140" i="58"/>
  <c r="F141" i="58"/>
  <c r="F142" i="58"/>
  <c r="F143" i="58"/>
  <c r="F188" i="58"/>
  <c r="F189" i="58"/>
  <c r="F190" i="58"/>
  <c r="M822" i="49"/>
  <c r="M821" i="49"/>
  <c r="M820" i="49"/>
  <c r="M819" i="49"/>
  <c r="M818" i="49"/>
  <c r="M817" i="49"/>
  <c r="M816" i="49"/>
  <c r="M815" i="49"/>
  <c r="M814" i="49"/>
  <c r="M813" i="49"/>
  <c r="M812" i="49"/>
  <c r="M811" i="49"/>
  <c r="M810" i="49"/>
  <c r="M809" i="49"/>
  <c r="M808" i="49"/>
  <c r="M807" i="49"/>
  <c r="M806" i="49"/>
  <c r="M805" i="49"/>
  <c r="M804" i="49"/>
  <c r="M803" i="49"/>
  <c r="M802" i="49"/>
  <c r="M801" i="49"/>
  <c r="M800" i="49"/>
  <c r="M799" i="49"/>
  <c r="M798" i="49"/>
  <c r="M797" i="49"/>
  <c r="M796" i="49"/>
  <c r="M795" i="49"/>
  <c r="M794" i="49"/>
  <c r="M793" i="49"/>
  <c r="M792" i="49"/>
  <c r="M791" i="49"/>
  <c r="M790" i="49"/>
  <c r="M789" i="49"/>
  <c r="M788" i="49"/>
  <c r="M787" i="49"/>
  <c r="M786" i="49"/>
  <c r="M785" i="49"/>
  <c r="M784" i="49"/>
  <c r="M783" i="49"/>
  <c r="M782" i="49"/>
  <c r="M781" i="49"/>
  <c r="M780" i="49"/>
  <c r="M779" i="49"/>
  <c r="M778" i="49"/>
  <c r="M777" i="49"/>
  <c r="M776" i="49"/>
  <c r="M775" i="49"/>
  <c r="M774" i="49"/>
  <c r="M773" i="49"/>
  <c r="M772" i="49"/>
  <c r="M771" i="49"/>
  <c r="M770" i="49"/>
  <c r="M769" i="49"/>
  <c r="M768" i="49"/>
  <c r="M767" i="49"/>
  <c r="M766" i="49"/>
  <c r="M765" i="49"/>
  <c r="M764" i="49"/>
  <c r="M763" i="49"/>
  <c r="M762" i="49"/>
  <c r="M761" i="49"/>
  <c r="M760" i="49"/>
  <c r="M759" i="49"/>
  <c r="M758" i="49"/>
  <c r="M757" i="49"/>
  <c r="M756" i="49"/>
  <c r="M755" i="49"/>
  <c r="M754" i="49"/>
  <c r="M753" i="49"/>
  <c r="M752" i="49"/>
  <c r="M751" i="49"/>
  <c r="M750" i="49"/>
  <c r="M749" i="49"/>
  <c r="M748" i="49"/>
  <c r="M747" i="49"/>
  <c r="M746" i="49"/>
  <c r="M745" i="49"/>
  <c r="M744" i="49"/>
  <c r="M743" i="49"/>
  <c r="M742" i="49"/>
  <c r="M741" i="49"/>
  <c r="M740" i="49"/>
  <c r="M739" i="49"/>
  <c r="M738" i="49"/>
  <c r="M737" i="49"/>
  <c r="M736" i="49"/>
  <c r="M735" i="49"/>
  <c r="M734" i="49"/>
  <c r="M733" i="49"/>
  <c r="M732" i="49"/>
  <c r="M731" i="49"/>
  <c r="M730" i="49"/>
  <c r="M729" i="49"/>
  <c r="M728" i="49"/>
  <c r="M727" i="49"/>
  <c r="M726" i="49"/>
  <c r="M725" i="49"/>
  <c r="M724" i="49"/>
  <c r="M723" i="49"/>
  <c r="M722" i="49"/>
  <c r="M721" i="49"/>
  <c r="M720" i="49"/>
  <c r="M719" i="49"/>
  <c r="M718" i="49"/>
  <c r="M717" i="49"/>
  <c r="M716" i="49"/>
  <c r="M715" i="49"/>
  <c r="M714" i="49"/>
  <c r="M713" i="49"/>
  <c r="M712" i="49"/>
  <c r="M711" i="49"/>
  <c r="M710" i="49"/>
  <c r="M709" i="49"/>
  <c r="M708" i="49"/>
  <c r="M707" i="49"/>
  <c r="M706" i="49"/>
  <c r="M705" i="49"/>
  <c r="M704" i="49"/>
  <c r="M703" i="49"/>
  <c r="M702" i="49"/>
  <c r="M701" i="49"/>
  <c r="M700" i="49"/>
  <c r="M699" i="49"/>
  <c r="M698" i="49"/>
  <c r="M697" i="49"/>
  <c r="M696" i="49"/>
  <c r="M695" i="49"/>
  <c r="M694" i="49"/>
  <c r="M693" i="49"/>
  <c r="M692" i="49"/>
  <c r="M691" i="49"/>
  <c r="M690" i="49"/>
  <c r="M689" i="49"/>
  <c r="M688" i="49"/>
  <c r="M687" i="49"/>
  <c r="M686" i="49"/>
  <c r="M685" i="49"/>
  <c r="M684" i="49"/>
  <c r="M683" i="49"/>
  <c r="M682" i="49"/>
  <c r="M681" i="49"/>
  <c r="M680" i="49"/>
  <c r="M679" i="49"/>
  <c r="M678" i="49"/>
  <c r="M677" i="49"/>
  <c r="M676" i="49"/>
  <c r="M675" i="49"/>
  <c r="M674" i="49"/>
  <c r="M673" i="49"/>
  <c r="M672" i="49"/>
  <c r="M671" i="49"/>
  <c r="M670" i="49"/>
  <c r="M669" i="49"/>
  <c r="M668" i="49"/>
  <c r="M667" i="49"/>
  <c r="M666" i="49"/>
  <c r="M665" i="49"/>
  <c r="M664" i="49"/>
  <c r="M663" i="49"/>
  <c r="M662" i="49"/>
  <c r="M661" i="49"/>
  <c r="M660" i="49"/>
  <c r="M659" i="49"/>
  <c r="M658" i="49"/>
  <c r="M657" i="49"/>
  <c r="M656" i="49"/>
  <c r="M655" i="49"/>
  <c r="M654" i="49"/>
  <c r="M653" i="49"/>
  <c r="M652" i="49"/>
  <c r="M651" i="49"/>
  <c r="M650" i="49"/>
  <c r="M649" i="49"/>
  <c r="M648" i="49"/>
  <c r="M647" i="49"/>
  <c r="M646" i="49"/>
  <c r="M645" i="49"/>
  <c r="M644" i="49"/>
  <c r="M643" i="49"/>
  <c r="M642" i="49"/>
  <c r="M641" i="49"/>
  <c r="M640" i="49"/>
  <c r="M639" i="49"/>
  <c r="M638" i="49"/>
  <c r="M637" i="49"/>
  <c r="M636" i="49"/>
  <c r="M635" i="49"/>
  <c r="M634" i="49"/>
  <c r="M633" i="49"/>
  <c r="M632" i="49"/>
  <c r="M631" i="49"/>
  <c r="M630" i="49"/>
  <c r="M629" i="49"/>
  <c r="M628" i="49"/>
  <c r="M627" i="49"/>
  <c r="M626" i="49"/>
  <c r="M625" i="49"/>
  <c r="M624" i="49"/>
  <c r="M623" i="49"/>
  <c r="M622" i="49"/>
  <c r="M621" i="49"/>
  <c r="M620" i="49"/>
  <c r="M619" i="49"/>
  <c r="M618" i="49"/>
  <c r="M617" i="49"/>
  <c r="M616" i="49"/>
  <c r="M615" i="49"/>
  <c r="M614" i="49"/>
  <c r="M613" i="49"/>
  <c r="M508" i="49"/>
  <c r="M507" i="49"/>
  <c r="M506" i="49"/>
  <c r="M505" i="49"/>
  <c r="M504" i="49"/>
  <c r="M503" i="49"/>
  <c r="M502" i="49"/>
  <c r="M501" i="49"/>
  <c r="M500" i="49"/>
  <c r="M499" i="49"/>
  <c r="M498" i="49"/>
  <c r="M497" i="49"/>
  <c r="M496" i="49"/>
  <c r="M495" i="49"/>
  <c r="M494" i="49"/>
  <c r="M493" i="49"/>
  <c r="M492" i="49"/>
  <c r="M491" i="49"/>
  <c r="M490" i="49"/>
  <c r="M489" i="49"/>
  <c r="M488" i="49"/>
  <c r="M487" i="49"/>
  <c r="M486" i="49"/>
  <c r="M485" i="49"/>
  <c r="M484" i="49"/>
  <c r="M483" i="49"/>
  <c r="M482" i="49"/>
  <c r="M481" i="49"/>
  <c r="M480" i="49"/>
  <c r="M479" i="49"/>
  <c r="M478" i="49"/>
  <c r="M477" i="49"/>
  <c r="M476" i="49"/>
  <c r="M475" i="49"/>
  <c r="M474" i="49"/>
  <c r="M473" i="49"/>
  <c r="M472" i="49"/>
  <c r="M471" i="49"/>
  <c r="M470" i="49"/>
  <c r="M469" i="49"/>
  <c r="M468" i="49"/>
  <c r="M467" i="49"/>
  <c r="M466" i="49"/>
  <c r="M465" i="49"/>
  <c r="M464" i="49"/>
  <c r="M463" i="49"/>
  <c r="M462" i="49"/>
  <c r="M461" i="49"/>
  <c r="M460" i="49"/>
  <c r="M459" i="49"/>
  <c r="M458" i="49"/>
  <c r="M457" i="49"/>
  <c r="M456" i="49"/>
  <c r="M455" i="49"/>
  <c r="M454" i="49"/>
  <c r="M453" i="49"/>
  <c r="M452" i="49"/>
  <c r="M451" i="49"/>
  <c r="M450" i="49"/>
  <c r="M449" i="49"/>
  <c r="M448" i="49"/>
  <c r="M447" i="49"/>
  <c r="M446" i="49"/>
  <c r="M445" i="49"/>
  <c r="M444" i="49"/>
  <c r="M443" i="49"/>
  <c r="M442" i="49"/>
  <c r="M441" i="49"/>
  <c r="M440" i="49"/>
  <c r="M439" i="49"/>
  <c r="M438" i="49"/>
  <c r="M437" i="49"/>
  <c r="M436" i="49"/>
  <c r="M435" i="49"/>
  <c r="M434" i="49"/>
  <c r="M433" i="49"/>
  <c r="M432" i="49"/>
  <c r="M431" i="49"/>
  <c r="M430" i="49"/>
  <c r="M429" i="49"/>
  <c r="M428" i="49"/>
  <c r="M427" i="49"/>
  <c r="M426" i="49"/>
  <c r="M425" i="49"/>
  <c r="M424" i="49"/>
  <c r="M423" i="49"/>
  <c r="M422" i="49"/>
  <c r="M421" i="49"/>
  <c r="M420" i="49"/>
  <c r="M419" i="49"/>
  <c r="M418" i="49"/>
  <c r="M417" i="49"/>
  <c r="M416" i="49"/>
  <c r="M415" i="49"/>
  <c r="M414" i="49"/>
  <c r="M413" i="49"/>
  <c r="M412" i="49"/>
  <c r="M411" i="49"/>
  <c r="M410" i="49"/>
  <c r="M409" i="49"/>
  <c r="M408" i="49"/>
  <c r="M407" i="49"/>
  <c r="M406" i="49"/>
  <c r="M405" i="49"/>
  <c r="M404" i="49"/>
  <c r="M403" i="49"/>
  <c r="M402" i="49"/>
  <c r="M401" i="49"/>
  <c r="M400" i="49"/>
  <c r="M399" i="49"/>
  <c r="M398" i="49"/>
  <c r="M397" i="49"/>
  <c r="M396" i="49"/>
  <c r="M395" i="49"/>
  <c r="M394" i="49"/>
  <c r="M393" i="49"/>
  <c r="M392" i="49"/>
  <c r="M391" i="49"/>
  <c r="M390" i="49"/>
  <c r="M389" i="49"/>
  <c r="M388" i="49"/>
  <c r="M387" i="49"/>
  <c r="M386" i="49"/>
  <c r="M385" i="49"/>
  <c r="M384" i="49"/>
  <c r="M383" i="49"/>
  <c r="M382" i="49"/>
  <c r="M381" i="49"/>
  <c r="M380" i="49"/>
  <c r="M379" i="49"/>
  <c r="M378" i="49"/>
  <c r="M377" i="49"/>
  <c r="M376" i="49"/>
  <c r="M375" i="49"/>
  <c r="M374" i="49"/>
  <c r="M373" i="49"/>
  <c r="M372" i="49"/>
  <c r="M371" i="49"/>
  <c r="M370" i="49"/>
  <c r="M369" i="49"/>
  <c r="M368" i="49"/>
  <c r="M367" i="49"/>
  <c r="M366" i="49"/>
  <c r="M365" i="49"/>
  <c r="M364" i="49"/>
  <c r="M363" i="49"/>
  <c r="M362" i="49"/>
  <c r="M361" i="49"/>
  <c r="M360" i="49"/>
  <c r="M359" i="49"/>
  <c r="M358" i="49"/>
  <c r="M357" i="49"/>
  <c r="M356" i="49"/>
  <c r="M355" i="49"/>
  <c r="M354" i="49"/>
  <c r="M353" i="49"/>
  <c r="M352" i="49"/>
  <c r="M351" i="49"/>
  <c r="M350" i="49"/>
  <c r="M349" i="49"/>
  <c r="M348" i="49"/>
  <c r="M347" i="49"/>
  <c r="M346" i="49"/>
  <c r="M345" i="49"/>
  <c r="M344" i="49"/>
  <c r="M343" i="49"/>
  <c r="M342" i="49"/>
  <c r="M341" i="49"/>
  <c r="M340" i="49"/>
  <c r="M339" i="49"/>
  <c r="M338" i="49"/>
  <c r="M337" i="49"/>
  <c r="M336" i="49"/>
  <c r="M335" i="49"/>
  <c r="M334" i="49"/>
  <c r="M333" i="49"/>
  <c r="M332" i="49"/>
  <c r="M331" i="49"/>
  <c r="M330" i="49"/>
  <c r="M329" i="49"/>
  <c r="M328" i="49"/>
  <c r="M327" i="49"/>
  <c r="M326" i="49"/>
  <c r="M325" i="49"/>
  <c r="M324" i="49"/>
  <c r="M323" i="49"/>
  <c r="M322" i="49"/>
  <c r="M321" i="49"/>
  <c r="M320" i="49"/>
  <c r="M319" i="49"/>
  <c r="M318" i="49"/>
  <c r="M317" i="49"/>
  <c r="M316" i="49"/>
  <c r="M315" i="49"/>
  <c r="M314" i="49"/>
  <c r="M313" i="49"/>
  <c r="M312" i="49"/>
  <c r="M311" i="49"/>
  <c r="M310" i="49"/>
  <c r="M309" i="49"/>
  <c r="M308" i="49"/>
  <c r="M307" i="49"/>
  <c r="M306" i="49"/>
  <c r="M305" i="49"/>
  <c r="M304" i="49"/>
  <c r="M303" i="49"/>
  <c r="M302" i="49"/>
  <c r="M301" i="49"/>
  <c r="M300" i="49"/>
  <c r="M299" i="49"/>
  <c r="M298" i="49"/>
  <c r="M297" i="49"/>
  <c r="M296" i="49"/>
  <c r="M295" i="49"/>
  <c r="M294" i="49"/>
  <c r="M293" i="49"/>
  <c r="M292" i="49"/>
  <c r="M291" i="49"/>
  <c r="M290" i="49"/>
  <c r="M289" i="49"/>
  <c r="M288" i="49"/>
  <c r="M287" i="49"/>
  <c r="M286" i="49"/>
  <c r="M285" i="49"/>
  <c r="M284" i="49"/>
  <c r="M283" i="49"/>
  <c r="M282" i="49"/>
  <c r="M281" i="49"/>
  <c r="M280" i="49"/>
  <c r="M279" i="49"/>
  <c r="M278" i="49"/>
  <c r="M277" i="49"/>
  <c r="M276" i="49"/>
  <c r="M275" i="49"/>
  <c r="M274" i="49"/>
  <c r="M273" i="49"/>
  <c r="M272" i="49"/>
  <c r="M271" i="49"/>
  <c r="M270" i="49"/>
  <c r="M269" i="49"/>
  <c r="M268" i="49"/>
  <c r="M267" i="49"/>
  <c r="M266" i="49"/>
  <c r="M265" i="49"/>
  <c r="M264" i="49"/>
  <c r="M263" i="49"/>
  <c r="M262" i="49"/>
  <c r="M261" i="49"/>
  <c r="M260" i="49"/>
  <c r="M259" i="49"/>
  <c r="M258" i="49"/>
  <c r="M257" i="49"/>
  <c r="M256" i="49"/>
  <c r="M255" i="49"/>
  <c r="M254" i="49"/>
  <c r="M253" i="49"/>
  <c r="M252" i="49"/>
  <c r="M251" i="49"/>
  <c r="M250" i="49"/>
  <c r="M249" i="49"/>
  <c r="M248" i="49"/>
  <c r="M247" i="49"/>
  <c r="M246" i="49"/>
  <c r="M245" i="49"/>
  <c r="M244" i="49"/>
  <c r="M243" i="49"/>
  <c r="M242" i="49"/>
  <c r="M241" i="49"/>
  <c r="M240" i="49"/>
  <c r="M239" i="49"/>
  <c r="M238" i="49"/>
  <c r="M237" i="49"/>
  <c r="M236" i="49"/>
  <c r="M235" i="49"/>
  <c r="M234" i="49"/>
  <c r="M233" i="49"/>
  <c r="M232" i="49"/>
  <c r="M231" i="49"/>
  <c r="M230" i="49"/>
  <c r="M229" i="49"/>
  <c r="M228" i="49"/>
  <c r="M227" i="49"/>
  <c r="M226" i="49"/>
  <c r="M225" i="49"/>
  <c r="M224" i="49"/>
  <c r="M223" i="49"/>
  <c r="M222" i="49"/>
  <c r="M221" i="49"/>
  <c r="M220" i="49"/>
  <c r="M219" i="49"/>
  <c r="M218" i="49"/>
  <c r="M217" i="49"/>
  <c r="M216" i="49"/>
  <c r="M215" i="49"/>
  <c r="M214" i="49"/>
  <c r="M213" i="49"/>
  <c r="M212" i="49"/>
  <c r="M211" i="49"/>
  <c r="M210" i="49"/>
  <c r="M209" i="49"/>
  <c r="M208" i="49"/>
  <c r="M207" i="49"/>
  <c r="M206" i="49"/>
  <c r="M205" i="49"/>
  <c r="M204" i="49"/>
  <c r="M203" i="49"/>
  <c r="M202" i="49"/>
  <c r="M201" i="49"/>
  <c r="M200" i="49"/>
  <c r="M199" i="49"/>
  <c r="M198" i="49"/>
  <c r="M197" i="49"/>
  <c r="M196" i="49"/>
  <c r="M195" i="49"/>
  <c r="M194" i="49"/>
  <c r="M193" i="49"/>
  <c r="M192" i="49"/>
  <c r="M191" i="49"/>
  <c r="M190" i="49"/>
  <c r="M189" i="49"/>
  <c r="M188" i="49"/>
  <c r="M187" i="49"/>
  <c r="M186" i="49"/>
  <c r="M185" i="49"/>
  <c r="M184" i="49"/>
  <c r="M183" i="49"/>
  <c r="M182" i="49"/>
  <c r="M181" i="49"/>
  <c r="M180" i="49"/>
  <c r="M179" i="49"/>
  <c r="M178" i="49"/>
  <c r="M177" i="49"/>
  <c r="M176" i="49"/>
  <c r="M175" i="49"/>
  <c r="M174" i="49"/>
  <c r="M173" i="49"/>
  <c r="M172" i="49"/>
  <c r="M171" i="49"/>
  <c r="M170" i="49"/>
  <c r="M169" i="49"/>
  <c r="M168" i="49"/>
  <c r="M167" i="49"/>
  <c r="M166" i="49"/>
  <c r="M165" i="49"/>
  <c r="M164" i="49"/>
  <c r="M163" i="49"/>
  <c r="M162" i="49"/>
  <c r="M161" i="49"/>
  <c r="M160" i="49"/>
  <c r="M159" i="49"/>
  <c r="M158" i="49"/>
  <c r="M157" i="49"/>
  <c r="M156" i="49"/>
  <c r="M155" i="49"/>
  <c r="M154" i="49"/>
  <c r="M153" i="49"/>
  <c r="M152" i="49"/>
  <c r="M151" i="49"/>
  <c r="M150" i="49"/>
  <c r="M149" i="49"/>
  <c r="M148" i="49"/>
  <c r="M147" i="49"/>
  <c r="M146" i="49"/>
  <c r="M145" i="49"/>
  <c r="M144" i="49"/>
  <c r="M143" i="49"/>
  <c r="M142" i="49"/>
  <c r="M141" i="49"/>
  <c r="M140" i="49"/>
  <c r="M139" i="49"/>
  <c r="M138" i="49"/>
  <c r="M137" i="49"/>
  <c r="M136" i="49"/>
  <c r="M135" i="49"/>
  <c r="M134" i="49"/>
  <c r="M133" i="49"/>
  <c r="M132" i="49"/>
  <c r="M131" i="49"/>
  <c r="M130" i="49"/>
  <c r="M129" i="49"/>
  <c r="M128" i="49"/>
  <c r="M127" i="49"/>
  <c r="M126" i="49"/>
  <c r="M125" i="49"/>
  <c r="M124" i="49"/>
  <c r="M123" i="49"/>
  <c r="M122" i="49"/>
  <c r="M121" i="49"/>
  <c r="M120" i="49"/>
  <c r="M119" i="49"/>
  <c r="M118" i="49"/>
  <c r="M117" i="49"/>
  <c r="M116" i="49"/>
  <c r="M115" i="49"/>
  <c r="M114" i="49"/>
  <c r="M113" i="49"/>
  <c r="M112" i="49"/>
  <c r="M111" i="49"/>
  <c r="M110" i="49"/>
  <c r="M109" i="49"/>
  <c r="M108" i="49"/>
  <c r="M107" i="49"/>
  <c r="M106" i="49"/>
  <c r="M105" i="49"/>
  <c r="M104" i="49"/>
  <c r="M103" i="49"/>
  <c r="M102" i="49"/>
  <c r="M101" i="49"/>
  <c r="M100" i="49"/>
  <c r="M99" i="49"/>
  <c r="M98" i="49"/>
  <c r="M97" i="49"/>
  <c r="M96" i="49"/>
  <c r="M95" i="49"/>
  <c r="M94" i="49"/>
  <c r="M93" i="49"/>
  <c r="M92" i="49"/>
  <c r="M91" i="49"/>
  <c r="M90" i="49"/>
  <c r="M89" i="49"/>
  <c r="M88" i="49"/>
  <c r="M87" i="49"/>
  <c r="M86" i="49"/>
  <c r="M85" i="49"/>
  <c r="M84" i="49"/>
  <c r="M83" i="49"/>
  <c r="M82" i="49"/>
  <c r="M81" i="49"/>
  <c r="M80" i="49"/>
  <c r="M79" i="49"/>
  <c r="M78" i="49"/>
  <c r="M77" i="49"/>
  <c r="M76" i="49"/>
  <c r="M75" i="49"/>
  <c r="M74" i="49"/>
  <c r="M73" i="49"/>
  <c r="M72" i="49"/>
  <c r="M71" i="49"/>
  <c r="M70" i="49"/>
  <c r="M69" i="49"/>
  <c r="M68" i="49"/>
  <c r="M67" i="49"/>
  <c r="M66" i="49"/>
  <c r="M65" i="49"/>
  <c r="M64" i="49"/>
  <c r="M63" i="49"/>
  <c r="M62" i="49"/>
  <c r="M61" i="49"/>
  <c r="M60" i="49"/>
  <c r="M59" i="49"/>
  <c r="M58" i="49"/>
  <c r="M57" i="49"/>
  <c r="M56" i="49"/>
  <c r="M55" i="49"/>
  <c r="M54" i="49"/>
  <c r="M53" i="49"/>
  <c r="M52" i="49"/>
  <c r="M51" i="49"/>
  <c r="M50" i="49"/>
  <c r="M49" i="49"/>
  <c r="M48" i="49"/>
  <c r="M47" i="49"/>
  <c r="M46" i="49"/>
  <c r="M45" i="49"/>
  <c r="M44" i="49"/>
  <c r="M43" i="49"/>
  <c r="M42" i="49"/>
  <c r="M41" i="49"/>
  <c r="M40" i="49"/>
  <c r="M39" i="49"/>
  <c r="M38" i="49"/>
  <c r="M37" i="49"/>
  <c r="M36" i="49"/>
  <c r="M35" i="49"/>
  <c r="M34" i="49"/>
  <c r="M33" i="49"/>
  <c r="M32" i="49"/>
  <c r="M31" i="49"/>
  <c r="M30" i="49"/>
  <c r="M29" i="49"/>
  <c r="M28" i="49"/>
  <c r="M27" i="49"/>
  <c r="M26" i="49"/>
  <c r="M25" i="49"/>
  <c r="M24" i="49"/>
  <c r="M23" i="49"/>
  <c r="M22" i="49"/>
  <c r="M21" i="49"/>
  <c r="M20" i="49"/>
  <c r="M19" i="49"/>
  <c r="M18" i="49"/>
  <c r="M17" i="49"/>
  <c r="M16" i="49"/>
  <c r="M15" i="49"/>
  <c r="M14" i="49"/>
  <c r="M13" i="49"/>
  <c r="M12" i="49"/>
  <c r="M11" i="49"/>
  <c r="M10" i="49"/>
  <c r="BW171" i="58"/>
  <c r="BW170" i="58"/>
  <c r="BW169" i="58"/>
  <c r="BW168" i="58"/>
  <c r="BW167" i="58"/>
  <c r="BW166" i="58"/>
  <c r="BW165" i="58"/>
  <c r="BW164" i="58"/>
  <c r="BW163" i="58"/>
  <c r="BW162" i="58"/>
  <c r="BW161" i="58"/>
  <c r="BW160" i="58"/>
  <c r="BW159" i="58"/>
  <c r="BW158" i="58"/>
  <c r="BW157" i="58"/>
  <c r="BW156" i="58"/>
  <c r="BW155" i="58"/>
  <c r="BW154" i="58"/>
  <c r="BW152" i="58"/>
  <c r="BW151" i="58"/>
  <c r="BW150" i="58"/>
  <c r="BW149" i="58"/>
  <c r="BW148" i="58"/>
  <c r="BW147" i="58"/>
  <c r="BW146" i="58"/>
  <c r="BW145" i="58"/>
  <c r="BW144" i="58"/>
  <c r="BW143" i="58"/>
  <c r="BW142" i="58"/>
  <c r="BW141" i="58"/>
  <c r="BW140" i="58"/>
  <c r="BW139" i="58"/>
  <c r="BW138" i="58"/>
  <c r="BW137" i="58"/>
  <c r="BW136" i="58"/>
  <c r="BW135" i="58"/>
  <c r="BW134" i="58"/>
  <c r="BW133" i="58"/>
  <c r="BW132" i="58"/>
  <c r="BW131" i="58"/>
  <c r="BW130" i="58"/>
  <c r="BW129" i="58"/>
  <c r="BW128" i="58"/>
  <c r="BW127" i="58"/>
  <c r="BW126" i="58"/>
  <c r="BW125" i="58"/>
  <c r="BW124" i="58"/>
  <c r="BW123" i="58"/>
  <c r="BW122" i="58"/>
  <c r="N43" i="56"/>
  <c r="N42" i="56"/>
  <c r="N41" i="56"/>
  <c r="N40" i="56"/>
  <c r="N39" i="56"/>
  <c r="N38" i="56"/>
  <c r="N37" i="56"/>
  <c r="N36" i="56"/>
  <c r="N35" i="56"/>
  <c r="N34" i="56"/>
  <c r="N33" i="56"/>
  <c r="R395" i="49"/>
  <c r="R394" i="49"/>
  <c r="R393" i="49"/>
  <c r="R392" i="49"/>
  <c r="R391" i="49"/>
  <c r="R390" i="49"/>
  <c r="R389" i="49"/>
  <c r="R388" i="49"/>
  <c r="R387" i="49"/>
  <c r="R386" i="49"/>
  <c r="R385" i="49"/>
  <c r="R384" i="49"/>
  <c r="R383" i="49"/>
  <c r="R382" i="49"/>
  <c r="R381" i="49"/>
  <c r="R380" i="49"/>
  <c r="R379" i="49"/>
  <c r="R378" i="49"/>
  <c r="R377" i="49"/>
  <c r="R376" i="49"/>
  <c r="R375" i="49"/>
  <c r="R374" i="49"/>
  <c r="R373" i="49"/>
  <c r="R372" i="49"/>
  <c r="R371" i="49"/>
  <c r="R370" i="49"/>
  <c r="R369" i="49"/>
  <c r="R368" i="49"/>
  <c r="R367" i="49"/>
  <c r="R366" i="49"/>
  <c r="R365" i="49"/>
  <c r="R364" i="49"/>
  <c r="R362" i="49"/>
  <c r="R360" i="49"/>
  <c r="R359" i="49"/>
  <c r="R358" i="49"/>
  <c r="R356" i="49"/>
  <c r="R355" i="49"/>
  <c r="R354" i="49"/>
  <c r="R353" i="49"/>
  <c r="R352" i="49"/>
  <c r="R351" i="49"/>
  <c r="R350" i="49"/>
  <c r="R349" i="49"/>
  <c r="R348" i="49"/>
  <c r="R347" i="49"/>
  <c r="R346" i="49"/>
  <c r="R345" i="49"/>
  <c r="R343" i="49"/>
  <c r="R342" i="49"/>
  <c r="R341" i="49"/>
  <c r="R340" i="49"/>
  <c r="R339" i="49"/>
  <c r="R338" i="49"/>
  <c r="R337" i="49"/>
  <c r="R336" i="49"/>
  <c r="R335" i="49"/>
  <c r="R334" i="49"/>
  <c r="R333" i="49"/>
  <c r="R332" i="49"/>
  <c r="R331" i="49"/>
  <c r="R330" i="49"/>
  <c r="R329" i="49"/>
  <c r="R328" i="49"/>
  <c r="R327" i="49"/>
  <c r="R326" i="49"/>
  <c r="R325" i="49"/>
  <c r="R324" i="49"/>
  <c r="R323" i="49"/>
  <c r="R322" i="49"/>
  <c r="R321" i="49"/>
  <c r="R320" i="49"/>
  <c r="R319" i="49"/>
  <c r="R318" i="49"/>
  <c r="R317" i="49"/>
  <c r="R316" i="49"/>
  <c r="R315" i="49"/>
  <c r="R314" i="49"/>
  <c r="R313" i="49"/>
  <c r="R312" i="49"/>
  <c r="R311" i="49"/>
  <c r="R310" i="49"/>
  <c r="R309" i="49"/>
  <c r="R308" i="49"/>
  <c r="R307" i="49"/>
  <c r="R305" i="49"/>
  <c r="R304" i="49"/>
  <c r="R303" i="49"/>
  <c r="R302" i="49"/>
  <c r="R301" i="49"/>
  <c r="R300" i="49"/>
  <c r="R298" i="49"/>
  <c r="R297" i="49"/>
  <c r="R296" i="49"/>
  <c r="R295" i="49"/>
  <c r="R294" i="49"/>
  <c r="R293" i="49"/>
  <c r="R292" i="49"/>
  <c r="R291" i="49"/>
  <c r="R290" i="49"/>
  <c r="R289" i="49"/>
  <c r="R288" i="49"/>
  <c r="R287" i="49"/>
  <c r="R286" i="49"/>
  <c r="R285" i="49"/>
  <c r="R284" i="49"/>
  <c r="R283" i="49"/>
  <c r="R282" i="49"/>
  <c r="R281" i="49"/>
  <c r="R280" i="49"/>
  <c r="R279" i="49"/>
  <c r="R278" i="49"/>
  <c r="R277" i="49"/>
  <c r="R276" i="49"/>
  <c r="R275" i="49"/>
  <c r="R274" i="49"/>
  <c r="R273" i="49"/>
  <c r="R270" i="49"/>
  <c r="R269" i="49"/>
  <c r="R268" i="49"/>
  <c r="R267" i="49"/>
  <c r="R266" i="49"/>
  <c r="R265" i="49"/>
  <c r="R264" i="49"/>
  <c r="R263" i="49"/>
  <c r="R262" i="49"/>
  <c r="R261" i="49"/>
  <c r="R260" i="49"/>
  <c r="R259" i="49"/>
  <c r="R258" i="49"/>
  <c r="R257" i="49"/>
  <c r="R256" i="49"/>
  <c r="R255" i="49"/>
  <c r="R254" i="49"/>
  <c r="R253" i="49"/>
  <c r="R252" i="49"/>
  <c r="R251" i="49"/>
  <c r="R250" i="49"/>
  <c r="R249" i="49"/>
  <c r="R248" i="49"/>
  <c r="R247" i="49"/>
  <c r="R246" i="49"/>
  <c r="R245" i="49"/>
  <c r="R244" i="49"/>
  <c r="R243" i="49"/>
  <c r="R242" i="49"/>
  <c r="R241" i="49"/>
  <c r="R240" i="49"/>
  <c r="R239" i="49"/>
  <c r="R238" i="49"/>
  <c r="R237" i="49"/>
  <c r="R236" i="49"/>
  <c r="R235" i="49"/>
  <c r="R234" i="49"/>
  <c r="R233" i="49"/>
  <c r="R232" i="49"/>
  <c r="R231" i="49"/>
  <c r="R230" i="49"/>
  <c r="R229" i="49"/>
  <c r="R227" i="49"/>
  <c r="R226" i="49"/>
  <c r="R225" i="49"/>
  <c r="R224" i="49"/>
  <c r="R223" i="49"/>
  <c r="R222" i="49"/>
  <c r="R221" i="49"/>
  <c r="R219" i="49"/>
  <c r="R218" i="49"/>
  <c r="R217" i="49"/>
  <c r="R214" i="49"/>
  <c r="R213" i="49"/>
  <c r="R212" i="49"/>
  <c r="R211" i="49"/>
  <c r="R210" i="49"/>
  <c r="R209" i="49"/>
  <c r="R208" i="49"/>
  <c r="R206" i="49"/>
  <c r="R205" i="49"/>
  <c r="R204" i="49"/>
  <c r="R203" i="49"/>
  <c r="R199" i="49"/>
  <c r="R198" i="49"/>
  <c r="R197" i="49"/>
  <c r="R196" i="49"/>
  <c r="R194" i="49"/>
  <c r="R193" i="49"/>
  <c r="R192" i="49"/>
  <c r="R191" i="49"/>
  <c r="R190" i="49"/>
  <c r="R189" i="49"/>
  <c r="R188" i="49"/>
  <c r="R187" i="49"/>
  <c r="R186" i="49"/>
  <c r="R185" i="49"/>
  <c r="R184" i="49"/>
  <c r="R183" i="49"/>
  <c r="R182" i="49"/>
  <c r="R181" i="49"/>
  <c r="R180" i="49"/>
  <c r="R179" i="49"/>
  <c r="R178" i="49"/>
  <c r="R177" i="49"/>
  <c r="R176" i="49"/>
  <c r="R175" i="49"/>
  <c r="R174" i="49"/>
  <c r="R173" i="49"/>
  <c r="R172" i="49"/>
  <c r="R171" i="49"/>
  <c r="R170" i="49"/>
  <c r="R169" i="49"/>
  <c r="R168" i="49"/>
  <c r="R167" i="49"/>
  <c r="R165" i="49"/>
  <c r="R164" i="49"/>
  <c r="R162" i="49"/>
  <c r="R160" i="49"/>
  <c r="R158" i="49"/>
  <c r="R156" i="49"/>
  <c r="R155" i="49"/>
  <c r="R152" i="49"/>
  <c r="R151" i="49"/>
  <c r="R150" i="49"/>
  <c r="R149" i="49"/>
  <c r="R148" i="49"/>
  <c r="R147" i="49"/>
  <c r="R144" i="49"/>
  <c r="R142" i="49"/>
  <c r="R140" i="49"/>
  <c r="R139" i="49"/>
  <c r="R138" i="49"/>
  <c r="R136" i="49"/>
  <c r="R133" i="49"/>
  <c r="R132" i="49"/>
  <c r="R130" i="49"/>
  <c r="R129" i="49"/>
  <c r="R126" i="49"/>
  <c r="R123" i="49"/>
  <c r="R122" i="49"/>
  <c r="R121" i="49"/>
  <c r="R120" i="49"/>
  <c r="R119" i="49"/>
  <c r="R118" i="49"/>
  <c r="R117" i="49"/>
  <c r="R116" i="49"/>
  <c r="R115" i="49"/>
  <c r="R114" i="49"/>
  <c r="R108" i="49"/>
  <c r="R107" i="49"/>
  <c r="R104" i="49"/>
  <c r="R98" i="49"/>
  <c r="R97" i="49"/>
  <c r="R94" i="49"/>
  <c r="R93" i="49"/>
  <c r="R90" i="49"/>
  <c r="R87" i="49"/>
  <c r="F9" i="58"/>
  <c r="F115" i="58" s="1"/>
  <c r="O203" i="58"/>
  <c r="P203" i="58" s="1"/>
  <c r="O202" i="58"/>
  <c r="P202" i="58" s="1"/>
  <c r="O201" i="58"/>
  <c r="P201" i="58" s="1"/>
  <c r="O200" i="58"/>
  <c r="P200" i="58" s="1"/>
  <c r="O199" i="58"/>
  <c r="P199" i="58" s="1"/>
  <c r="O198" i="58"/>
  <c r="P198" i="58" s="1"/>
  <c r="O197" i="58"/>
  <c r="P197" i="58" s="1"/>
  <c r="O196" i="58"/>
  <c r="P196" i="58" s="1"/>
  <c r="O195" i="58"/>
  <c r="P195" i="58" s="1"/>
  <c r="O194" i="58"/>
  <c r="P194" i="58" s="1"/>
  <c r="O193" i="58"/>
  <c r="P193" i="58" s="1"/>
  <c r="O192" i="58"/>
  <c r="P192" i="58" s="1"/>
  <c r="O191" i="58"/>
  <c r="P191" i="58" s="1"/>
  <c r="O190" i="58"/>
  <c r="P190" i="58" s="1"/>
  <c r="O189" i="58"/>
  <c r="P189" i="58" s="1"/>
  <c r="O188" i="58"/>
  <c r="P188" i="58" s="1"/>
  <c r="O187" i="58"/>
  <c r="P187" i="58" s="1"/>
  <c r="O186" i="58"/>
  <c r="P186" i="58" s="1"/>
  <c r="O185" i="58"/>
  <c r="P185" i="58" s="1"/>
  <c r="O184" i="58"/>
  <c r="P184" i="58" s="1"/>
  <c r="O183" i="58"/>
  <c r="P183" i="58" s="1"/>
  <c r="BS131" i="58"/>
  <c r="BS130" i="58"/>
  <c r="BS129" i="58"/>
  <c r="BS128" i="58"/>
  <c r="BS127" i="58"/>
  <c r="BS126" i="58"/>
  <c r="BS125" i="58"/>
  <c r="BS124" i="58"/>
  <c r="BS123" i="58"/>
  <c r="BS122" i="58"/>
  <c r="BS121" i="58"/>
  <c r="BS120" i="58"/>
  <c r="BS119" i="58"/>
  <c r="BS118" i="58"/>
  <c r="E34" i="76" a="1"/>
  <c r="E41" i="76" a="1"/>
  <c r="E34" i="64" a="1"/>
  <c r="E41" i="64" a="1"/>
  <c r="O6" i="56" l="1"/>
  <c r="N6" i="56"/>
  <c r="S61" i="49"/>
  <c r="S20" i="49"/>
  <c r="S72" i="49"/>
  <c r="O5" i="56"/>
  <c r="N5" i="56"/>
  <c r="O4" i="56"/>
  <c r="N4" i="56"/>
  <c r="S70" i="49"/>
  <c r="S75" i="49"/>
  <c r="BG36" i="76"/>
  <c r="BG45" i="76" s="1"/>
  <c r="BD36" i="76"/>
  <c r="BD45" i="76" s="1"/>
  <c r="BA36" i="76"/>
  <c r="BA45" i="76" s="1"/>
  <c r="AX36" i="76"/>
  <c r="AX45" i="76" s="1"/>
  <c r="S14" i="49"/>
  <c r="S79" i="49"/>
  <c r="AO36" i="76"/>
  <c r="AO45" i="76" s="1"/>
  <c r="AI36" i="76"/>
  <c r="AI45" i="76" s="1"/>
  <c r="W36" i="76"/>
  <c r="W45" i="76" s="1"/>
  <c r="AF36" i="76"/>
  <c r="AF45" i="76" s="1"/>
  <c r="Z36" i="76"/>
  <c r="Z45" i="76" s="1"/>
  <c r="T36" i="76"/>
  <c r="T45" i="76" s="1"/>
  <c r="E34" i="76"/>
  <c r="K45" i="76"/>
  <c r="Q36" i="76"/>
  <c r="Q45" i="76" s="1"/>
  <c r="H36" i="76"/>
  <c r="H45" i="76" s="1"/>
  <c r="E41" i="76"/>
  <c r="E36" i="76"/>
  <c r="E45" i="76" s="1"/>
  <c r="E34" i="64"/>
  <c r="E36" i="64" s="1"/>
  <c r="E45" i="64" s="1"/>
  <c r="E41" i="64"/>
  <c r="S25" i="49"/>
  <c r="S24" i="49"/>
  <c r="S135" i="49"/>
  <c r="S141" i="49"/>
  <c r="S112" i="49"/>
  <c r="S154" i="49"/>
  <c r="S100" i="49"/>
  <c r="S57" i="49"/>
  <c r="A2" i="56"/>
  <c r="CE5" i="49"/>
  <c r="N2" i="56"/>
  <c r="N3" i="56"/>
  <c r="I7" i="49"/>
  <c r="Y1" i="54" a="1"/>
  <c r="R649" i="49"/>
  <c r="R648" i="49"/>
  <c r="R647" i="49"/>
  <c r="R646" i="49"/>
  <c r="R645" i="49"/>
  <c r="R644" i="49"/>
  <c r="R643" i="49"/>
  <c r="R642" i="49"/>
  <c r="R641" i="49"/>
  <c r="R640" i="49"/>
  <c r="R639" i="49"/>
  <c r="R638" i="49"/>
  <c r="R637" i="49"/>
  <c r="R636" i="49"/>
  <c r="R635" i="49"/>
  <c r="R634" i="49"/>
  <c r="R633" i="49"/>
  <c r="R632" i="49"/>
  <c r="R631" i="49"/>
  <c r="R630" i="49"/>
  <c r="R629" i="49"/>
  <c r="R628" i="49"/>
  <c r="R627" i="49"/>
  <c r="R626" i="49"/>
  <c r="R625" i="49"/>
  <c r="R624" i="49"/>
  <c r="R623" i="49"/>
  <c r="R622" i="49"/>
  <c r="R621" i="49"/>
  <c r="R620" i="49"/>
  <c r="R619" i="49"/>
  <c r="R618" i="49"/>
  <c r="R617" i="49"/>
  <c r="R616" i="49"/>
  <c r="R615" i="49"/>
  <c r="R614" i="49"/>
  <c r="R613" i="49"/>
  <c r="R612" i="49"/>
  <c r="R611" i="49"/>
  <c r="R610" i="49"/>
  <c r="R609" i="49"/>
  <c r="R608" i="49"/>
  <c r="R607" i="49"/>
  <c r="R606" i="49"/>
  <c r="R605" i="49"/>
  <c r="R604" i="49"/>
  <c r="R603" i="49"/>
  <c r="R602" i="49"/>
  <c r="R601" i="49"/>
  <c r="R600" i="49"/>
  <c r="R599" i="49"/>
  <c r="R598" i="49"/>
  <c r="R597" i="49"/>
  <c r="R596" i="49"/>
  <c r="R595" i="49"/>
  <c r="R594" i="49"/>
  <c r="R593" i="49"/>
  <c r="R592" i="49"/>
  <c r="R591" i="49"/>
  <c r="R590" i="49"/>
  <c r="R589" i="49"/>
  <c r="R588" i="49"/>
  <c r="R587" i="49"/>
  <c r="R586" i="49"/>
  <c r="R585" i="49"/>
  <c r="R584" i="49"/>
  <c r="R583" i="49"/>
  <c r="R582" i="49"/>
  <c r="R581" i="49"/>
  <c r="R580" i="49"/>
  <c r="R579" i="49"/>
  <c r="R578" i="49"/>
  <c r="R577" i="49"/>
  <c r="R576" i="49"/>
  <c r="R575" i="49"/>
  <c r="R574" i="49"/>
  <c r="R573" i="49"/>
  <c r="R572" i="49"/>
  <c r="R571" i="49"/>
  <c r="R570" i="49"/>
  <c r="R569" i="49"/>
  <c r="R568" i="49"/>
  <c r="R567" i="49"/>
  <c r="R566" i="49"/>
  <c r="R565" i="49"/>
  <c r="R564" i="49"/>
  <c r="R563" i="49"/>
  <c r="R562" i="49"/>
  <c r="R561" i="49"/>
  <c r="R560" i="49"/>
  <c r="R559" i="49"/>
  <c r="R558" i="49"/>
  <c r="R557" i="49"/>
  <c r="R556" i="49"/>
  <c r="R555" i="49"/>
  <c r="R554" i="49"/>
  <c r="R553" i="49"/>
  <c r="R552" i="49"/>
  <c r="R551" i="49"/>
  <c r="R550" i="49"/>
  <c r="R549" i="49"/>
  <c r="R548" i="49"/>
  <c r="R547" i="49"/>
  <c r="R546" i="49"/>
  <c r="R545" i="49"/>
  <c r="R544" i="49"/>
  <c r="R543" i="49"/>
  <c r="R542" i="49"/>
  <c r="R541" i="49"/>
  <c r="R540" i="49"/>
  <c r="R539" i="49"/>
  <c r="R538" i="49"/>
  <c r="R537" i="49"/>
  <c r="R536" i="49"/>
  <c r="R535" i="49"/>
  <c r="R534" i="49"/>
  <c r="R533" i="49"/>
  <c r="R532" i="49"/>
  <c r="R531" i="49"/>
  <c r="R530" i="49"/>
  <c r="R529" i="49"/>
  <c r="R528" i="49"/>
  <c r="R527" i="49"/>
  <c r="R526" i="49"/>
  <c r="R525" i="49"/>
  <c r="R524" i="49"/>
  <c r="R523" i="49"/>
  <c r="R522" i="49"/>
  <c r="R521" i="49"/>
  <c r="R520" i="49"/>
  <c r="R519" i="49"/>
  <c r="R518" i="49"/>
  <c r="R517" i="49"/>
  <c r="R516" i="49"/>
  <c r="R515" i="49"/>
  <c r="R514" i="49"/>
  <c r="R513" i="49"/>
  <c r="R512" i="49"/>
  <c r="R511" i="49"/>
  <c r="R510" i="49"/>
  <c r="R509" i="49"/>
  <c r="R508" i="49"/>
  <c r="R507" i="49"/>
  <c r="R506" i="49"/>
  <c r="R505" i="49"/>
  <c r="R504" i="49"/>
  <c r="R503" i="49"/>
  <c r="R502" i="49"/>
  <c r="R501" i="49"/>
  <c r="R500" i="49"/>
  <c r="R499" i="49"/>
  <c r="R498" i="49"/>
  <c r="R497" i="49"/>
  <c r="R496" i="49"/>
  <c r="R495" i="49"/>
  <c r="R494" i="49"/>
  <c r="R493" i="49"/>
  <c r="R492" i="49"/>
  <c r="R491" i="49"/>
  <c r="R490" i="49"/>
  <c r="R489" i="49"/>
  <c r="R488" i="49"/>
  <c r="R487" i="49"/>
  <c r="R486" i="49"/>
  <c r="R485" i="49"/>
  <c r="R484" i="49"/>
  <c r="R483" i="49"/>
  <c r="R482" i="49"/>
  <c r="R481" i="49"/>
  <c r="R480" i="49"/>
  <c r="R479" i="49"/>
  <c r="R478" i="49"/>
  <c r="R477" i="49"/>
  <c r="R475" i="49"/>
  <c r="R474" i="49"/>
  <c r="R473" i="49"/>
  <c r="R472" i="49"/>
  <c r="R471" i="49"/>
  <c r="R470" i="49"/>
  <c r="R469" i="49"/>
  <c r="R468" i="49"/>
  <c r="R467" i="49"/>
  <c r="R466" i="49"/>
  <c r="R465" i="49"/>
  <c r="R464" i="49"/>
  <c r="R463" i="49"/>
  <c r="R462" i="49"/>
  <c r="R461" i="49"/>
  <c r="R460" i="49"/>
  <c r="R459" i="49"/>
  <c r="R458" i="49"/>
  <c r="R457" i="49"/>
  <c r="R456" i="49"/>
  <c r="R455" i="49"/>
  <c r="R454" i="49"/>
  <c r="R453" i="49"/>
  <c r="R452" i="49"/>
  <c r="R451" i="49"/>
  <c r="R450" i="49"/>
  <c r="R449" i="49"/>
  <c r="R448" i="49"/>
  <c r="R447" i="49"/>
  <c r="R446" i="49"/>
  <c r="R445" i="49"/>
  <c r="R444" i="49"/>
  <c r="R443" i="49"/>
  <c r="R442" i="49"/>
  <c r="R441" i="49"/>
  <c r="R440" i="49"/>
  <c r="R439" i="49"/>
  <c r="R438" i="49"/>
  <c r="R437" i="49"/>
  <c r="R436" i="49"/>
  <c r="R435" i="49"/>
  <c r="R434" i="49"/>
  <c r="R433" i="49"/>
  <c r="R432" i="49"/>
  <c r="R431" i="49"/>
  <c r="R430" i="49"/>
  <c r="R429" i="49"/>
  <c r="R428" i="49"/>
  <c r="R427" i="49"/>
  <c r="R426" i="49"/>
  <c r="R425" i="49"/>
  <c r="R424" i="49"/>
  <c r="R423" i="49"/>
  <c r="R422" i="49"/>
  <c r="R421" i="49"/>
  <c r="R420" i="49"/>
  <c r="R419" i="49"/>
  <c r="R418" i="49"/>
  <c r="R417" i="49"/>
  <c r="R416" i="49"/>
  <c r="R415" i="49"/>
  <c r="R414" i="49"/>
  <c r="R413" i="49"/>
  <c r="R412" i="49"/>
  <c r="R411" i="49"/>
  <c r="R410" i="49"/>
  <c r="R409" i="49"/>
  <c r="R408" i="49"/>
  <c r="R407" i="49"/>
  <c r="R406" i="49"/>
  <c r="R405" i="49"/>
  <c r="R404" i="49"/>
  <c r="R403" i="49"/>
  <c r="R402" i="49"/>
  <c r="R401" i="49"/>
  <c r="R400" i="49"/>
  <c r="R399" i="49"/>
  <c r="R398" i="49"/>
  <c r="R397" i="49"/>
  <c r="R396" i="49"/>
  <c r="B788" i="54" a="1"/>
  <c r="B788" i="54" s="1"/>
  <c r="B787" i="54" a="1"/>
  <c r="B787" i="54" s="1"/>
  <c r="B786" i="54" a="1"/>
  <c r="B786" i="54" s="1"/>
  <c r="B785" i="54" a="1"/>
  <c r="B785" i="54" s="1"/>
  <c r="B784" i="54" a="1"/>
  <c r="B784" i="54" s="1"/>
  <c r="B783" i="54" a="1"/>
  <c r="B783" i="54" s="1"/>
  <c r="B782" i="54" a="1"/>
  <c r="B782" i="54" s="1"/>
  <c r="B781" i="54" a="1"/>
  <c r="B781" i="54" s="1"/>
  <c r="B780" i="54" a="1"/>
  <c r="B780" i="54" s="1"/>
  <c r="B779" i="54" a="1"/>
  <c r="B779" i="54" s="1"/>
  <c r="B778" i="54" a="1"/>
  <c r="B778" i="54" s="1"/>
  <c r="B777" i="54" a="1"/>
  <c r="B777" i="54" s="1"/>
  <c r="B776" i="54" a="1"/>
  <c r="B776" i="54" s="1"/>
  <c r="B775" i="54" a="1"/>
  <c r="B775" i="54" s="1"/>
  <c r="B774" i="54" a="1"/>
  <c r="B774" i="54" s="1"/>
  <c r="B773" i="54" a="1"/>
  <c r="B773" i="54" s="1"/>
  <c r="B772" i="54" a="1"/>
  <c r="B772" i="54" s="1"/>
  <c r="B771" i="54" a="1"/>
  <c r="B771" i="54" s="1"/>
  <c r="B770" i="54" a="1"/>
  <c r="B770" i="54" s="1"/>
  <c r="B769" i="54" a="1"/>
  <c r="B769" i="54" s="1"/>
  <c r="B768" i="54" a="1"/>
  <c r="B768" i="54" s="1"/>
  <c r="B767" i="54" a="1"/>
  <c r="B767" i="54" s="1"/>
  <c r="B766" i="54" a="1"/>
  <c r="B766" i="54" s="1"/>
  <c r="B765" i="54" a="1"/>
  <c r="B765" i="54" s="1"/>
  <c r="B764" i="54" a="1"/>
  <c r="B764" i="54" s="1"/>
  <c r="B763" i="54" a="1"/>
  <c r="B763" i="54" s="1"/>
  <c r="B762" i="54" a="1"/>
  <c r="B762" i="54" s="1"/>
  <c r="B761" i="54" a="1"/>
  <c r="B761" i="54" s="1"/>
  <c r="B760" i="54" a="1"/>
  <c r="B760" i="54" s="1"/>
  <c r="B759" i="54" a="1"/>
  <c r="B759" i="54" s="1"/>
  <c r="B758" i="54" a="1"/>
  <c r="B758" i="54" s="1"/>
  <c r="B757" i="54" a="1"/>
  <c r="B757" i="54" s="1"/>
  <c r="B756" i="54" a="1"/>
  <c r="B756" i="54" s="1"/>
  <c r="B755" i="54" a="1"/>
  <c r="B755" i="54" s="1"/>
  <c r="B754" i="54" a="1"/>
  <c r="B754" i="54" s="1"/>
  <c r="B753" i="54" a="1"/>
  <c r="B753" i="54" s="1"/>
  <c r="B752" i="54" a="1"/>
  <c r="B752" i="54" s="1"/>
  <c r="B751" i="54" a="1"/>
  <c r="B751" i="54" s="1"/>
  <c r="B750" i="54" a="1"/>
  <c r="B750" i="54" s="1"/>
  <c r="B749" i="54" a="1"/>
  <c r="B749" i="54" s="1"/>
  <c r="B748" i="54" a="1"/>
  <c r="B748" i="54" s="1"/>
  <c r="B747" i="54" a="1"/>
  <c r="B747" i="54" s="1"/>
  <c r="B746" i="54" a="1"/>
  <c r="B746" i="54" s="1"/>
  <c r="B745" i="54" a="1"/>
  <c r="B745" i="54" s="1"/>
  <c r="B744" i="54" a="1"/>
  <c r="B744" i="54" s="1"/>
  <c r="B743" i="54" a="1"/>
  <c r="B743" i="54" s="1"/>
  <c r="B742" i="54" a="1"/>
  <c r="B742" i="54" s="1"/>
  <c r="B741" i="54" a="1"/>
  <c r="B741" i="54" s="1"/>
  <c r="B740" i="54" a="1"/>
  <c r="B740" i="54" s="1"/>
  <c r="B739" i="54" a="1"/>
  <c r="B739" i="54" s="1"/>
  <c r="B738" i="54" a="1"/>
  <c r="B738" i="54" s="1"/>
  <c r="B737" i="54" a="1"/>
  <c r="B737" i="54" s="1"/>
  <c r="B736" i="54" a="1"/>
  <c r="B736" i="54" s="1"/>
  <c r="B735" i="54" a="1"/>
  <c r="B735" i="54" s="1"/>
  <c r="B734" i="54" a="1"/>
  <c r="B734" i="54" s="1"/>
  <c r="B733" i="54" a="1"/>
  <c r="B733" i="54" s="1"/>
  <c r="B732" i="54" a="1"/>
  <c r="B732" i="54" s="1"/>
  <c r="B731" i="54" a="1"/>
  <c r="B731" i="54" s="1"/>
  <c r="B730" i="54" a="1"/>
  <c r="B730" i="54" s="1"/>
  <c r="B729" i="54" a="1"/>
  <c r="B729" i="54" s="1"/>
  <c r="B728" i="54" a="1"/>
  <c r="B728" i="54" s="1"/>
  <c r="B727" i="54" a="1"/>
  <c r="B727" i="54" s="1"/>
  <c r="B726" i="54" a="1"/>
  <c r="B726" i="54" s="1"/>
  <c r="B725" i="54" a="1"/>
  <c r="B725" i="54" s="1"/>
  <c r="B724" i="54" a="1"/>
  <c r="B724" i="54" s="1"/>
  <c r="B723" i="54" a="1"/>
  <c r="B723" i="54" s="1"/>
  <c r="B722" i="54" a="1"/>
  <c r="B722" i="54" s="1"/>
  <c r="B721" i="54" a="1"/>
  <c r="B721" i="54" s="1"/>
  <c r="B720" i="54" a="1"/>
  <c r="B720" i="54" s="1"/>
  <c r="B719" i="54" a="1"/>
  <c r="B719" i="54" s="1"/>
  <c r="B718" i="54" a="1"/>
  <c r="B718" i="54" s="1"/>
  <c r="B717" i="54" a="1"/>
  <c r="B717" i="54" s="1"/>
  <c r="B716" i="54" a="1"/>
  <c r="B716" i="54" s="1"/>
  <c r="B715" i="54" a="1"/>
  <c r="B715" i="54" s="1"/>
  <c r="B714" i="54" a="1"/>
  <c r="B714" i="54" s="1"/>
  <c r="B713" i="54" a="1"/>
  <c r="B713" i="54" s="1"/>
  <c r="B712" i="54" a="1"/>
  <c r="B712" i="54" s="1"/>
  <c r="B711" i="54" a="1"/>
  <c r="B711" i="54" s="1"/>
  <c r="B710" i="54" a="1"/>
  <c r="B710" i="54" s="1"/>
  <c r="B709" i="54" a="1"/>
  <c r="B709" i="54" s="1"/>
  <c r="B708" i="54" a="1"/>
  <c r="B708" i="54" s="1"/>
  <c r="B707" i="54" a="1"/>
  <c r="B707" i="54" s="1"/>
  <c r="B706" i="54" a="1"/>
  <c r="B706" i="54" s="1"/>
  <c r="B705" i="54" a="1"/>
  <c r="B705" i="54" s="1"/>
  <c r="B704" i="54" a="1"/>
  <c r="B704" i="54" s="1"/>
  <c r="B703" i="54" a="1"/>
  <c r="B703" i="54" s="1"/>
  <c r="B702" i="54" a="1"/>
  <c r="B702" i="54" s="1"/>
  <c r="B701" i="54" a="1"/>
  <c r="B701" i="54" s="1"/>
  <c r="B700" i="54" a="1"/>
  <c r="B700" i="54" s="1"/>
  <c r="B699" i="54" a="1"/>
  <c r="B699" i="54" s="1"/>
  <c r="B698" i="54" a="1"/>
  <c r="B698" i="54" s="1"/>
  <c r="B697" i="54" a="1"/>
  <c r="B697" i="54" s="1"/>
  <c r="B696" i="54" a="1"/>
  <c r="B696" i="54" s="1"/>
  <c r="B695" i="54" a="1"/>
  <c r="B695" i="54" s="1"/>
  <c r="B694" i="54" a="1"/>
  <c r="B694" i="54" s="1"/>
  <c r="B693" i="54" a="1"/>
  <c r="B693" i="54" s="1"/>
  <c r="B692" i="54" a="1"/>
  <c r="B692" i="54" s="1"/>
  <c r="B691" i="54" a="1"/>
  <c r="B691" i="54" s="1"/>
  <c r="B690" i="54" a="1"/>
  <c r="B690" i="54" s="1"/>
  <c r="B689" i="54" a="1"/>
  <c r="B689" i="54" s="1"/>
  <c r="B688" i="54" a="1"/>
  <c r="B688" i="54" s="1"/>
  <c r="B687" i="54" a="1"/>
  <c r="B687" i="54" s="1"/>
  <c r="B686" i="54" a="1"/>
  <c r="B686" i="54" s="1"/>
  <c r="B685" i="54" a="1"/>
  <c r="B685" i="54" s="1"/>
  <c r="B684" i="54" a="1"/>
  <c r="B684" i="54" s="1"/>
  <c r="B683" i="54" a="1"/>
  <c r="B683" i="54" s="1"/>
  <c r="B682" i="54" a="1"/>
  <c r="B682" i="54" s="1"/>
  <c r="B681" i="54" a="1"/>
  <c r="B681" i="54" s="1"/>
  <c r="B680" i="54" a="1"/>
  <c r="B680" i="54" s="1"/>
  <c r="B679" i="54" a="1"/>
  <c r="B679" i="54" s="1"/>
  <c r="B678" i="54" a="1"/>
  <c r="B678" i="54" s="1"/>
  <c r="B677" i="54" a="1"/>
  <c r="B677" i="54" s="1"/>
  <c r="B676" i="54" a="1"/>
  <c r="B676" i="54" s="1"/>
  <c r="B675" i="54" a="1"/>
  <c r="B675" i="54" s="1"/>
  <c r="B674" i="54" a="1"/>
  <c r="B674" i="54" s="1"/>
  <c r="B673" i="54" a="1"/>
  <c r="B673" i="54" s="1"/>
  <c r="B672" i="54" a="1"/>
  <c r="B672" i="54" s="1"/>
  <c r="B671" i="54" a="1"/>
  <c r="B671" i="54" s="1"/>
  <c r="B670" i="54" a="1"/>
  <c r="B670" i="54" s="1"/>
  <c r="B669" i="54" a="1"/>
  <c r="B669" i="54" s="1"/>
  <c r="B668" i="54" a="1"/>
  <c r="B668" i="54" s="1"/>
  <c r="B667" i="54" a="1"/>
  <c r="B667" i="54" s="1"/>
  <c r="B666" i="54" a="1"/>
  <c r="B666" i="54" s="1"/>
  <c r="B665" i="54" a="1"/>
  <c r="B665" i="54" s="1"/>
  <c r="B664" i="54" a="1"/>
  <c r="B664" i="54" s="1"/>
  <c r="B663" i="54" a="1"/>
  <c r="B663" i="54" s="1"/>
  <c r="B662" i="54" a="1"/>
  <c r="B662" i="54" s="1"/>
  <c r="B661" i="54" a="1"/>
  <c r="B661" i="54" s="1"/>
  <c r="B660" i="54" a="1"/>
  <c r="B660" i="54" s="1"/>
  <c r="B659" i="54" a="1"/>
  <c r="B659" i="54" s="1"/>
  <c r="B658" i="54" a="1"/>
  <c r="B658" i="54" s="1"/>
  <c r="B657" i="54" a="1"/>
  <c r="B657" i="54" s="1"/>
  <c r="B656" i="54" a="1"/>
  <c r="B656" i="54" s="1"/>
  <c r="B655" i="54" a="1"/>
  <c r="B655" i="54" s="1"/>
  <c r="B654" i="54" a="1"/>
  <c r="B654" i="54" s="1"/>
  <c r="B653" i="54" a="1"/>
  <c r="B653" i="54" s="1"/>
  <c r="B652" i="54" a="1"/>
  <c r="B652" i="54" s="1"/>
  <c r="B651" i="54" a="1"/>
  <c r="B651" i="54" s="1"/>
  <c r="B650" i="54" a="1"/>
  <c r="B650" i="54" s="1"/>
  <c r="B649" i="54" a="1"/>
  <c r="B649" i="54" s="1"/>
  <c r="B648" i="54" a="1"/>
  <c r="B648" i="54" s="1"/>
  <c r="B647" i="54" a="1"/>
  <c r="B647" i="54" s="1"/>
  <c r="B646" i="54" a="1"/>
  <c r="B646" i="54" s="1"/>
  <c r="B645" i="54" a="1"/>
  <c r="B645" i="54" s="1"/>
  <c r="B644" i="54" a="1"/>
  <c r="B644" i="54" s="1"/>
  <c r="B643" i="54" a="1"/>
  <c r="B643" i="54" s="1"/>
  <c r="B642" i="54" a="1"/>
  <c r="B642" i="54" s="1"/>
  <c r="B641" i="54" a="1"/>
  <c r="B641" i="54" s="1"/>
  <c r="B640" i="54" a="1"/>
  <c r="B640" i="54" s="1"/>
  <c r="B639" i="54" a="1"/>
  <c r="B639" i="54" s="1"/>
  <c r="B638" i="54" a="1"/>
  <c r="B638" i="54" s="1"/>
  <c r="B637" i="54" a="1"/>
  <c r="B637" i="54" s="1"/>
  <c r="B636" i="54" a="1"/>
  <c r="B636" i="54" s="1"/>
  <c r="B635" i="54" a="1"/>
  <c r="B635" i="54" s="1"/>
  <c r="B634" i="54" a="1"/>
  <c r="B634" i="54" s="1"/>
  <c r="B633" i="54" a="1"/>
  <c r="B633" i="54" s="1"/>
  <c r="B632" i="54" a="1"/>
  <c r="B632" i="54" s="1"/>
  <c r="B631" i="54" a="1"/>
  <c r="B631" i="54" s="1"/>
  <c r="B630" i="54" a="1"/>
  <c r="B630" i="54" s="1"/>
  <c r="B629" i="54" a="1"/>
  <c r="B629" i="54" s="1"/>
  <c r="B628" i="54" a="1"/>
  <c r="B628" i="54" s="1"/>
  <c r="B627" i="54" a="1"/>
  <c r="B627" i="54" s="1"/>
  <c r="B626" i="54" a="1"/>
  <c r="B626" i="54" s="1"/>
  <c r="B625" i="54" a="1"/>
  <c r="B625" i="54" s="1"/>
  <c r="B624" i="54" a="1"/>
  <c r="B624" i="54" s="1"/>
  <c r="B623" i="54" a="1"/>
  <c r="B623" i="54" s="1"/>
  <c r="B622" i="54" a="1"/>
  <c r="B622" i="54" s="1"/>
  <c r="B621" i="54" a="1"/>
  <c r="B621" i="54" s="1"/>
  <c r="B620" i="54" a="1"/>
  <c r="B620" i="54" s="1"/>
  <c r="B619" i="54" a="1"/>
  <c r="B619" i="54" s="1"/>
  <c r="B618" i="54" a="1"/>
  <c r="B618" i="54" s="1"/>
  <c r="B617" i="54" a="1"/>
  <c r="B617" i="54" s="1"/>
  <c r="B616" i="54" a="1"/>
  <c r="B616" i="54" s="1"/>
  <c r="B615" i="54" a="1"/>
  <c r="B615" i="54" s="1"/>
  <c r="B614" i="54" a="1"/>
  <c r="B614" i="54" s="1"/>
  <c r="B613" i="54" a="1"/>
  <c r="B613" i="54" s="1"/>
  <c r="B612" i="54" a="1"/>
  <c r="B612" i="54" s="1"/>
  <c r="B611" i="54" a="1"/>
  <c r="B611" i="54" s="1"/>
  <c r="B610" i="54" a="1"/>
  <c r="B610" i="54" s="1"/>
  <c r="B609" i="54" a="1"/>
  <c r="B609" i="54" s="1"/>
  <c r="B608" i="54" a="1"/>
  <c r="B608" i="54" s="1"/>
  <c r="B607" i="54" a="1"/>
  <c r="B607" i="54" s="1"/>
  <c r="B606" i="54" a="1"/>
  <c r="B606" i="54" s="1"/>
  <c r="B605" i="54" a="1"/>
  <c r="B605" i="54" s="1"/>
  <c r="B604" i="54" a="1"/>
  <c r="B604" i="54" s="1"/>
  <c r="B603" i="54" a="1"/>
  <c r="B603" i="54" s="1"/>
  <c r="B602" i="54" a="1"/>
  <c r="B602" i="54" s="1"/>
  <c r="B601" i="54" a="1"/>
  <c r="B601" i="54" s="1"/>
  <c r="B600" i="54" a="1"/>
  <c r="B600" i="54" s="1"/>
  <c r="B599" i="54" a="1"/>
  <c r="B599" i="54" s="1"/>
  <c r="B598" i="54" a="1"/>
  <c r="B598" i="54" s="1"/>
  <c r="B597" i="54" a="1"/>
  <c r="B597" i="54" s="1"/>
  <c r="B596" i="54" a="1"/>
  <c r="B596" i="54" s="1"/>
  <c r="B595" i="54" a="1"/>
  <c r="B595" i="54" s="1"/>
  <c r="B594" i="54" a="1"/>
  <c r="B594" i="54" s="1"/>
  <c r="B593" i="54" a="1"/>
  <c r="B593" i="54" s="1"/>
  <c r="B592" i="54" a="1"/>
  <c r="B592" i="54" s="1"/>
  <c r="B591" i="54" a="1"/>
  <c r="B591" i="54" s="1"/>
  <c r="B590" i="54" a="1"/>
  <c r="B590" i="54" s="1"/>
  <c r="B589" i="54" a="1"/>
  <c r="B589" i="54" s="1"/>
  <c r="B588" i="54" a="1"/>
  <c r="B588" i="54" s="1"/>
  <c r="B587" i="54" a="1"/>
  <c r="B587" i="54" s="1"/>
  <c r="B586" i="54" a="1"/>
  <c r="B586" i="54" s="1"/>
  <c r="B585" i="54" a="1"/>
  <c r="B585" i="54" s="1"/>
  <c r="B584" i="54" a="1"/>
  <c r="B584" i="54" s="1"/>
  <c r="B583" i="54" a="1"/>
  <c r="B583" i="54" s="1"/>
  <c r="B582" i="54" a="1"/>
  <c r="B582" i="54" s="1"/>
  <c r="B581" i="54" a="1"/>
  <c r="B581" i="54" s="1"/>
  <c r="B580" i="54" a="1"/>
  <c r="B580" i="54" s="1"/>
  <c r="B579" i="54" a="1"/>
  <c r="B579" i="54" s="1"/>
  <c r="B578" i="54" a="1"/>
  <c r="B578" i="54" s="1"/>
  <c r="B577" i="54" a="1"/>
  <c r="B577" i="54" s="1"/>
  <c r="B576" i="54" a="1"/>
  <c r="B576" i="54" s="1"/>
  <c r="B575" i="54" a="1"/>
  <c r="B575" i="54" s="1"/>
  <c r="B574" i="54" a="1"/>
  <c r="B574" i="54" s="1"/>
  <c r="B573" i="54" a="1"/>
  <c r="B573" i="54" s="1"/>
  <c r="B572" i="54" a="1"/>
  <c r="B572" i="54" s="1"/>
  <c r="B571" i="54" a="1"/>
  <c r="B571" i="54" s="1"/>
  <c r="B570" i="54" a="1"/>
  <c r="B570" i="54" s="1"/>
  <c r="B569" i="54" a="1"/>
  <c r="B569" i="54" s="1"/>
  <c r="B568" i="54" a="1"/>
  <c r="B568" i="54" s="1"/>
  <c r="B567" i="54" a="1"/>
  <c r="B567" i="54" s="1"/>
  <c r="B566" i="54" a="1"/>
  <c r="B566" i="54" s="1"/>
  <c r="B565" i="54" a="1"/>
  <c r="B565" i="54" s="1"/>
  <c r="B564" i="54" a="1"/>
  <c r="B564" i="54" s="1"/>
  <c r="B563" i="54" a="1"/>
  <c r="B563" i="54" s="1"/>
  <c r="B562" i="54" a="1"/>
  <c r="B562" i="54" s="1"/>
  <c r="B561" i="54" a="1"/>
  <c r="B561" i="54" s="1"/>
  <c r="B560" i="54" a="1"/>
  <c r="B560" i="54" s="1"/>
  <c r="B559" i="54" a="1"/>
  <c r="B559" i="54" s="1"/>
  <c r="B558" i="54" a="1"/>
  <c r="B558" i="54" s="1"/>
  <c r="B557" i="54" a="1"/>
  <c r="B557" i="54" s="1"/>
  <c r="B556" i="54" a="1"/>
  <c r="B556" i="54" s="1"/>
  <c r="B555" i="54" a="1"/>
  <c r="B555" i="54" s="1"/>
  <c r="B554" i="54" a="1"/>
  <c r="B554" i="54" s="1"/>
  <c r="B553" i="54" a="1"/>
  <c r="B553" i="54" s="1"/>
  <c r="B552" i="54" a="1"/>
  <c r="B552" i="54" s="1"/>
  <c r="B551" i="54" a="1"/>
  <c r="B551" i="54" s="1"/>
  <c r="B550" i="54" a="1"/>
  <c r="B550" i="54" s="1"/>
  <c r="B549" i="54" a="1"/>
  <c r="B549" i="54" s="1"/>
  <c r="B548" i="54" a="1"/>
  <c r="B548" i="54" s="1"/>
  <c r="B547" i="54" a="1"/>
  <c r="B547" i="54" s="1"/>
  <c r="B546" i="54" a="1"/>
  <c r="B546" i="54" s="1"/>
  <c r="B545" i="54" a="1"/>
  <c r="B545" i="54" s="1"/>
  <c r="B544" i="54" a="1"/>
  <c r="B544" i="54" s="1"/>
  <c r="B543" i="54" a="1"/>
  <c r="B543" i="54" s="1"/>
  <c r="B542" i="54" a="1"/>
  <c r="B542" i="54" s="1"/>
  <c r="B541" i="54" a="1"/>
  <c r="B541" i="54" s="1"/>
  <c r="B540" i="54" a="1"/>
  <c r="B540" i="54" s="1"/>
  <c r="B539" i="54" a="1"/>
  <c r="B539" i="54" s="1"/>
  <c r="B538" i="54" a="1"/>
  <c r="B538" i="54" s="1"/>
  <c r="B537" i="54" a="1"/>
  <c r="B537" i="54" s="1"/>
  <c r="B536" i="54" a="1"/>
  <c r="B536" i="54" s="1"/>
  <c r="B535" i="54" a="1"/>
  <c r="B535" i="54" s="1"/>
  <c r="B534" i="54" a="1"/>
  <c r="B534" i="54" s="1"/>
  <c r="B533" i="54" a="1"/>
  <c r="B533" i="54" s="1"/>
  <c r="B532" i="54" a="1"/>
  <c r="B532" i="54" s="1"/>
  <c r="B531" i="54" a="1"/>
  <c r="B531" i="54" s="1"/>
  <c r="B530" i="54" a="1"/>
  <c r="B530" i="54" s="1"/>
  <c r="B529" i="54" a="1"/>
  <c r="B529" i="54" s="1"/>
  <c r="B528" i="54" a="1"/>
  <c r="B528" i="54" s="1"/>
  <c r="B527" i="54" a="1"/>
  <c r="B527" i="54" s="1"/>
  <c r="B526" i="54" a="1"/>
  <c r="B526" i="54" s="1"/>
  <c r="B525" i="54" a="1"/>
  <c r="B525" i="54" s="1"/>
  <c r="B524" i="54" a="1"/>
  <c r="B524" i="54" s="1"/>
  <c r="B523" i="54" a="1"/>
  <c r="B523" i="54" s="1"/>
  <c r="B522" i="54" a="1"/>
  <c r="B522" i="54" s="1"/>
  <c r="B521" i="54" a="1"/>
  <c r="B521" i="54" s="1"/>
  <c r="B520" i="54" a="1"/>
  <c r="B520" i="54" s="1"/>
  <c r="B519" i="54" a="1"/>
  <c r="B519" i="54" s="1"/>
  <c r="B518" i="54" a="1"/>
  <c r="B518" i="54" s="1"/>
  <c r="B517" i="54" a="1"/>
  <c r="B517" i="54" s="1"/>
  <c r="B516" i="54" a="1"/>
  <c r="B516" i="54" s="1"/>
  <c r="B515" i="54" a="1"/>
  <c r="B515" i="54" s="1"/>
  <c r="B514" i="54" a="1"/>
  <c r="B514" i="54" s="1"/>
  <c r="B513" i="54" a="1"/>
  <c r="B513" i="54" s="1"/>
  <c r="B512" i="54" a="1"/>
  <c r="B512" i="54" s="1"/>
  <c r="B511" i="54" a="1"/>
  <c r="B511" i="54" s="1"/>
  <c r="B510" i="54" a="1"/>
  <c r="B510" i="54" s="1"/>
  <c r="B509" i="54" a="1"/>
  <c r="B509" i="54" s="1"/>
  <c r="B508" i="54" a="1"/>
  <c r="B508" i="54" s="1"/>
  <c r="B507" i="54" a="1"/>
  <c r="B507" i="54" s="1"/>
  <c r="B506" i="54" a="1"/>
  <c r="B506" i="54" s="1"/>
  <c r="B505" i="54" a="1"/>
  <c r="B505" i="54" s="1"/>
  <c r="B504" i="54" a="1"/>
  <c r="B504" i="54" s="1"/>
  <c r="B503" i="54" a="1"/>
  <c r="B503" i="54" s="1"/>
  <c r="B502" i="54" a="1"/>
  <c r="B502" i="54" s="1"/>
  <c r="B501" i="54" a="1"/>
  <c r="B501" i="54" s="1"/>
  <c r="B500" i="54" a="1"/>
  <c r="B500" i="54" s="1"/>
  <c r="B499" i="54" a="1"/>
  <c r="B499" i="54" s="1"/>
  <c r="B498" i="54" a="1"/>
  <c r="B498" i="54" s="1"/>
  <c r="B497" i="54" a="1"/>
  <c r="B497" i="54" s="1"/>
  <c r="B496" i="54" a="1"/>
  <c r="B496" i="54" s="1"/>
  <c r="B495" i="54" a="1"/>
  <c r="B495" i="54" s="1"/>
  <c r="B494" i="54" a="1"/>
  <c r="B494" i="54" s="1"/>
  <c r="B493" i="54" a="1"/>
  <c r="B493" i="54" s="1"/>
  <c r="B492" i="54" a="1"/>
  <c r="B492" i="54" s="1"/>
  <c r="B491" i="54" a="1"/>
  <c r="B491" i="54" s="1"/>
  <c r="B490" i="54" a="1"/>
  <c r="B490" i="54" s="1"/>
  <c r="B489" i="54" a="1"/>
  <c r="B489" i="54" s="1"/>
  <c r="B488" i="54" a="1"/>
  <c r="B488" i="54" s="1"/>
  <c r="B487" i="54" a="1"/>
  <c r="B487" i="54" s="1"/>
  <c r="B486" i="54" a="1"/>
  <c r="B486" i="54" s="1"/>
  <c r="B485" i="54" a="1"/>
  <c r="B485" i="54" s="1"/>
  <c r="B484" i="54" a="1"/>
  <c r="B484" i="54" s="1"/>
  <c r="B483" i="54" a="1"/>
  <c r="B483" i="54" s="1"/>
  <c r="B482" i="54" a="1"/>
  <c r="B482" i="54" s="1"/>
  <c r="B481" i="54" a="1"/>
  <c r="B481" i="54" s="1"/>
  <c r="B480" i="54" a="1"/>
  <c r="B480" i="54" s="1"/>
  <c r="B479" i="54" a="1"/>
  <c r="B479" i="54" s="1"/>
  <c r="B478" i="54" a="1"/>
  <c r="B478" i="54" s="1"/>
  <c r="B477" i="54" a="1"/>
  <c r="B477" i="54" s="1"/>
  <c r="B476" i="54" a="1"/>
  <c r="B476" i="54" s="1"/>
  <c r="B475" i="54" a="1"/>
  <c r="B475" i="54" s="1"/>
  <c r="B474" i="54" a="1"/>
  <c r="B474" i="54" s="1"/>
  <c r="B473" i="54" a="1"/>
  <c r="B473" i="54" s="1"/>
  <c r="B472" i="54" a="1"/>
  <c r="B472" i="54" s="1"/>
  <c r="B471" i="54" a="1"/>
  <c r="B471" i="54" s="1"/>
  <c r="B470" i="54" a="1"/>
  <c r="B470" i="54" s="1"/>
  <c r="B469" i="54" a="1"/>
  <c r="B469" i="54" s="1"/>
  <c r="B468" i="54" a="1"/>
  <c r="B468" i="54" s="1"/>
  <c r="B467" i="54" a="1"/>
  <c r="B467" i="54" s="1"/>
  <c r="B466" i="54" a="1"/>
  <c r="B466" i="54" s="1"/>
  <c r="B465" i="54" a="1"/>
  <c r="B465" i="54" s="1"/>
  <c r="B464" i="54" a="1"/>
  <c r="B464" i="54" s="1"/>
  <c r="B463" i="54" a="1"/>
  <c r="B463" i="54" s="1"/>
  <c r="B462" i="54" a="1"/>
  <c r="B462" i="54" s="1"/>
  <c r="B461" i="54" a="1"/>
  <c r="B461" i="54" s="1"/>
  <c r="B460" i="54" a="1"/>
  <c r="B460" i="54" s="1"/>
  <c r="B459" i="54" a="1"/>
  <c r="B459" i="54" s="1"/>
  <c r="B458" i="54" a="1"/>
  <c r="B458" i="54" s="1"/>
  <c r="B457" i="54" a="1"/>
  <c r="B457" i="54" s="1"/>
  <c r="B456" i="54" a="1"/>
  <c r="B456" i="54" s="1"/>
  <c r="B455" i="54" a="1"/>
  <c r="B455" i="54" s="1"/>
  <c r="B454" i="54" a="1"/>
  <c r="B454" i="54" s="1"/>
  <c r="B453" i="54" a="1"/>
  <c r="B453" i="54" s="1"/>
  <c r="B452" i="54" a="1"/>
  <c r="B452" i="54" s="1"/>
  <c r="B451" i="54" a="1"/>
  <c r="B451" i="54" s="1"/>
  <c r="B450" i="54" a="1"/>
  <c r="B450" i="54" s="1"/>
  <c r="B449" i="54" a="1"/>
  <c r="B449" i="54" s="1"/>
  <c r="B448" i="54" a="1"/>
  <c r="B448" i="54" s="1"/>
  <c r="B447" i="54" a="1"/>
  <c r="B447" i="54" s="1"/>
  <c r="B446" i="54" a="1"/>
  <c r="B446" i="54" s="1"/>
  <c r="B445" i="54" a="1"/>
  <c r="B445" i="54" s="1"/>
  <c r="B444" i="54" a="1"/>
  <c r="B444" i="54" s="1"/>
  <c r="B443" i="54" a="1"/>
  <c r="B443" i="54" s="1"/>
  <c r="B442" i="54" a="1"/>
  <c r="B442" i="54" s="1"/>
  <c r="B441" i="54" a="1"/>
  <c r="B441" i="54" s="1"/>
  <c r="B440" i="54" a="1"/>
  <c r="B440" i="54" s="1"/>
  <c r="B439" i="54" a="1"/>
  <c r="B439" i="54" s="1"/>
  <c r="B438" i="54" a="1"/>
  <c r="B438" i="54" s="1"/>
  <c r="B437" i="54" a="1"/>
  <c r="B437" i="54" s="1"/>
  <c r="B436" i="54" a="1"/>
  <c r="B436" i="54" s="1"/>
  <c r="B435" i="54" a="1"/>
  <c r="B435" i="54" s="1"/>
  <c r="B434" i="54" a="1"/>
  <c r="B434" i="54" s="1"/>
  <c r="B433" i="54" a="1"/>
  <c r="B433" i="54" s="1"/>
  <c r="B432" i="54" a="1"/>
  <c r="B432" i="54" s="1"/>
  <c r="B431" i="54" a="1"/>
  <c r="B431" i="54" s="1"/>
  <c r="B430" i="54" a="1"/>
  <c r="B430" i="54" s="1"/>
  <c r="B429" i="54" a="1"/>
  <c r="B429" i="54" s="1"/>
  <c r="B428" i="54" a="1"/>
  <c r="B428" i="54" s="1"/>
  <c r="B427" i="54" a="1"/>
  <c r="B427" i="54" s="1"/>
  <c r="B426" i="54" a="1"/>
  <c r="B426" i="54" s="1"/>
  <c r="B425" i="54" a="1"/>
  <c r="B425" i="54" s="1"/>
  <c r="B424" i="54" a="1"/>
  <c r="B424" i="54" s="1"/>
  <c r="B423" i="54" a="1"/>
  <c r="B423" i="54" s="1"/>
  <c r="B422" i="54" a="1"/>
  <c r="B422" i="54" s="1"/>
  <c r="B421" i="54" a="1"/>
  <c r="B421" i="54" s="1"/>
  <c r="B420" i="54" a="1"/>
  <c r="B420" i="54" s="1"/>
  <c r="B419" i="54" a="1"/>
  <c r="B419" i="54" s="1"/>
  <c r="B418" i="54" a="1"/>
  <c r="B418" i="54" s="1"/>
  <c r="B417" i="54" a="1"/>
  <c r="B417" i="54" s="1"/>
  <c r="B416" i="54" a="1"/>
  <c r="B416" i="54" s="1"/>
  <c r="B415" i="54" a="1"/>
  <c r="B415" i="54" s="1"/>
  <c r="B414" i="54" a="1"/>
  <c r="B414" i="54" s="1"/>
  <c r="B413" i="54" a="1"/>
  <c r="B413" i="54" s="1"/>
  <c r="B412" i="54" a="1"/>
  <c r="B412" i="54" s="1"/>
  <c r="B411" i="54" a="1"/>
  <c r="B411" i="54" s="1"/>
  <c r="B410" i="54" a="1"/>
  <c r="B410" i="54" s="1"/>
  <c r="B409" i="54" a="1"/>
  <c r="B409" i="54" s="1"/>
  <c r="B408" i="54" a="1"/>
  <c r="B408" i="54" s="1"/>
  <c r="B407" i="54" a="1"/>
  <c r="B407" i="54" s="1"/>
  <c r="B406" i="54" a="1"/>
  <c r="B406" i="54" s="1"/>
  <c r="B405" i="54" a="1"/>
  <c r="B405" i="54" s="1"/>
  <c r="B404" i="54" a="1"/>
  <c r="B404" i="54" s="1"/>
  <c r="B403" i="54" a="1"/>
  <c r="B403" i="54" s="1"/>
  <c r="B402" i="54" a="1"/>
  <c r="B402" i="54" s="1"/>
  <c r="B401" i="54" a="1"/>
  <c r="B401" i="54" s="1"/>
  <c r="B400" i="54" a="1"/>
  <c r="B400" i="54" s="1"/>
  <c r="B399" i="54" a="1"/>
  <c r="B399" i="54" s="1"/>
  <c r="B398" i="54" a="1"/>
  <c r="B398" i="54" s="1"/>
  <c r="B397" i="54" a="1"/>
  <c r="B397" i="54" s="1"/>
  <c r="B396" i="54" a="1"/>
  <c r="B396" i="54" s="1"/>
  <c r="B395" i="54" a="1"/>
  <c r="B395" i="54" s="1"/>
  <c r="B394" i="54" a="1"/>
  <c r="B394" i="54" s="1"/>
  <c r="B393" i="54" a="1"/>
  <c r="B393" i="54" s="1"/>
  <c r="B392" i="54" a="1"/>
  <c r="B392" i="54" s="1"/>
  <c r="B391" i="54" a="1"/>
  <c r="B391" i="54" s="1"/>
  <c r="B390" i="54" a="1"/>
  <c r="B390" i="54" s="1"/>
  <c r="B389" i="54" a="1"/>
  <c r="B389" i="54" s="1"/>
  <c r="B388" i="54" a="1"/>
  <c r="B388" i="54" s="1"/>
  <c r="B387" i="54" a="1"/>
  <c r="B387" i="54" s="1"/>
  <c r="B386" i="54" a="1"/>
  <c r="B386" i="54" s="1"/>
  <c r="B385" i="54" a="1"/>
  <c r="B385" i="54" s="1"/>
  <c r="B384" i="54" a="1"/>
  <c r="B384" i="54" s="1"/>
  <c r="B383" i="54" a="1"/>
  <c r="B383" i="54" s="1"/>
  <c r="B382" i="54" a="1"/>
  <c r="B382" i="54" s="1"/>
  <c r="B381" i="54" a="1"/>
  <c r="B381" i="54" s="1"/>
  <c r="B380" i="54" a="1"/>
  <c r="B380" i="54" s="1"/>
  <c r="B379" i="54" a="1"/>
  <c r="B379" i="54" s="1"/>
  <c r="B378" i="54" a="1"/>
  <c r="B378" i="54" s="1"/>
  <c r="B377" i="54" a="1"/>
  <c r="B377" i="54" s="1"/>
  <c r="B376" i="54" a="1"/>
  <c r="B376" i="54" s="1"/>
  <c r="B375" i="54" a="1"/>
  <c r="B375" i="54" s="1"/>
  <c r="B374" i="54" a="1"/>
  <c r="B374" i="54" s="1"/>
  <c r="B373" i="54" a="1"/>
  <c r="B373" i="54" s="1"/>
  <c r="B372" i="54" a="1"/>
  <c r="B372" i="54" s="1"/>
  <c r="B371" i="54" a="1"/>
  <c r="B371" i="54" s="1"/>
  <c r="B370" i="54" a="1"/>
  <c r="B370" i="54" s="1"/>
  <c r="B369" i="54" a="1"/>
  <c r="B369" i="54" s="1"/>
  <c r="B368" i="54" a="1"/>
  <c r="B368" i="54" s="1"/>
  <c r="B367" i="54" a="1"/>
  <c r="B367" i="54" s="1"/>
  <c r="B366" i="54" a="1"/>
  <c r="B366" i="54" s="1"/>
  <c r="B365" i="54" a="1"/>
  <c r="B365" i="54" s="1"/>
  <c r="B364" i="54" a="1"/>
  <c r="B364" i="54" s="1"/>
  <c r="B363" i="54" a="1"/>
  <c r="B363" i="54" s="1"/>
  <c r="B362" i="54" a="1"/>
  <c r="B362" i="54" s="1"/>
  <c r="B361" i="54" a="1"/>
  <c r="B361" i="54" s="1"/>
  <c r="B360" i="54" a="1"/>
  <c r="B360" i="54" s="1"/>
  <c r="B359" i="54" a="1"/>
  <c r="B359" i="54" s="1"/>
  <c r="B358" i="54" a="1"/>
  <c r="B358" i="54" s="1"/>
  <c r="B357" i="54" a="1"/>
  <c r="B357" i="54" s="1"/>
  <c r="B356" i="54" a="1"/>
  <c r="B356" i="54" s="1"/>
  <c r="B355" i="54" a="1"/>
  <c r="B355" i="54" s="1"/>
  <c r="B354" i="54" a="1"/>
  <c r="B354" i="54" s="1"/>
  <c r="B353" i="54" a="1"/>
  <c r="B353" i="54" s="1"/>
  <c r="B352" i="54" a="1"/>
  <c r="B352" i="54" s="1"/>
  <c r="B351" i="54" a="1"/>
  <c r="B351" i="54" s="1"/>
  <c r="B350" i="54" a="1"/>
  <c r="B350" i="54" s="1"/>
  <c r="B349" i="54" a="1"/>
  <c r="B349" i="54" s="1"/>
  <c r="B348" i="54" a="1"/>
  <c r="B348" i="54" s="1"/>
  <c r="B347" i="54" a="1"/>
  <c r="B347" i="54" s="1"/>
  <c r="B346" i="54" a="1"/>
  <c r="B346" i="54" s="1"/>
  <c r="B345" i="54" a="1"/>
  <c r="B345" i="54" s="1"/>
  <c r="B344" i="54" a="1"/>
  <c r="B344" i="54" s="1"/>
  <c r="B343" i="54" a="1"/>
  <c r="B343" i="54" s="1"/>
  <c r="B342" i="54" a="1"/>
  <c r="B342" i="54" s="1"/>
  <c r="B341" i="54" a="1"/>
  <c r="B341" i="54" s="1"/>
  <c r="B340" i="54" a="1"/>
  <c r="B340" i="54" s="1"/>
  <c r="B339" i="54" a="1"/>
  <c r="B339" i="54" s="1"/>
  <c r="B338" i="54" a="1"/>
  <c r="B338" i="54" s="1"/>
  <c r="B337" i="54" a="1"/>
  <c r="B337" i="54" s="1"/>
  <c r="B336" i="54" a="1"/>
  <c r="B336" i="54" s="1"/>
  <c r="B335" i="54" a="1"/>
  <c r="B335" i="54" s="1"/>
  <c r="B334" i="54" a="1"/>
  <c r="B334" i="54" s="1"/>
  <c r="B333" i="54" a="1"/>
  <c r="B333" i="54" s="1"/>
  <c r="B332" i="54" a="1"/>
  <c r="B332" i="54" s="1"/>
  <c r="B331" i="54" a="1"/>
  <c r="B331" i="54" s="1"/>
  <c r="B330" i="54" a="1"/>
  <c r="B330" i="54" s="1"/>
  <c r="B329" i="54" a="1"/>
  <c r="B329" i="54" s="1"/>
  <c r="B328" i="54" a="1"/>
  <c r="B328" i="54" s="1"/>
  <c r="B327" i="54" a="1"/>
  <c r="B327" i="54" s="1"/>
  <c r="B326" i="54" a="1"/>
  <c r="B326" i="54" s="1"/>
  <c r="B325" i="54" a="1"/>
  <c r="B325" i="54" s="1"/>
  <c r="B324" i="54" a="1"/>
  <c r="B324" i="54" s="1"/>
  <c r="B323" i="54" a="1"/>
  <c r="B323" i="54" s="1"/>
  <c r="B322" i="54" a="1"/>
  <c r="B322" i="54" s="1"/>
  <c r="B321" i="54" a="1"/>
  <c r="B321" i="54" s="1"/>
  <c r="B320" i="54" a="1"/>
  <c r="B320" i="54" s="1"/>
  <c r="B319" i="54" a="1"/>
  <c r="B319" i="54" s="1"/>
  <c r="B318" i="54" a="1"/>
  <c r="B318" i="54" s="1"/>
  <c r="B317" i="54" a="1"/>
  <c r="B317" i="54" s="1"/>
  <c r="B316" i="54" a="1"/>
  <c r="B316" i="54" s="1"/>
  <c r="B315" i="54" a="1"/>
  <c r="B315" i="54" s="1"/>
  <c r="B314" i="54" a="1"/>
  <c r="B314" i="54" s="1"/>
  <c r="B313" i="54" a="1"/>
  <c r="B313" i="54" s="1"/>
  <c r="B312" i="54" a="1"/>
  <c r="B312" i="54" s="1"/>
  <c r="B311" i="54" a="1"/>
  <c r="B311" i="54" s="1"/>
  <c r="B310" i="54" a="1"/>
  <c r="B310" i="54" s="1"/>
  <c r="B309" i="54" a="1"/>
  <c r="B309" i="54" s="1"/>
  <c r="B308" i="54" a="1"/>
  <c r="B308" i="54" s="1"/>
  <c r="B307" i="54" a="1"/>
  <c r="B307" i="54" s="1"/>
  <c r="B306" i="54" a="1"/>
  <c r="B306" i="54" s="1"/>
  <c r="B305" i="54" a="1"/>
  <c r="B305" i="54" s="1"/>
  <c r="B304" i="54" a="1"/>
  <c r="B304" i="54" s="1"/>
  <c r="B303" i="54" a="1"/>
  <c r="B303" i="54" s="1"/>
  <c r="B302" i="54" a="1"/>
  <c r="B302" i="54" s="1"/>
  <c r="B301" i="54" a="1"/>
  <c r="B301" i="54" s="1"/>
  <c r="B300" i="54" a="1"/>
  <c r="B300" i="54" s="1"/>
  <c r="B299" i="54" a="1"/>
  <c r="B299" i="54" s="1"/>
  <c r="B298" i="54" a="1"/>
  <c r="B298" i="54" s="1"/>
  <c r="B297" i="54" a="1"/>
  <c r="B297" i="54" s="1"/>
  <c r="B296" i="54" a="1"/>
  <c r="B296" i="54" s="1"/>
  <c r="B295" i="54" a="1"/>
  <c r="B295" i="54" s="1"/>
  <c r="B294" i="54" a="1"/>
  <c r="B294" i="54" s="1"/>
  <c r="B293" i="54" a="1"/>
  <c r="B293" i="54" s="1"/>
  <c r="B292" i="54" a="1"/>
  <c r="B292" i="54" s="1"/>
  <c r="B291" i="54" a="1"/>
  <c r="B291" i="54" s="1"/>
  <c r="B290" i="54" a="1"/>
  <c r="B290" i="54" s="1"/>
  <c r="B289" i="54" a="1"/>
  <c r="B289" i="54" s="1"/>
  <c r="B288" i="54" a="1"/>
  <c r="B288" i="54" s="1"/>
  <c r="B287" i="54" a="1"/>
  <c r="B287" i="54" s="1"/>
  <c r="B286" i="54" a="1"/>
  <c r="B286" i="54" s="1"/>
  <c r="B285" i="54" a="1"/>
  <c r="B285" i="54" s="1"/>
  <c r="B284" i="54" a="1"/>
  <c r="B284" i="54" s="1"/>
  <c r="B283" i="54" a="1"/>
  <c r="B283" i="54" s="1"/>
  <c r="B282" i="54" a="1"/>
  <c r="B282" i="54" s="1"/>
  <c r="B281" i="54" a="1"/>
  <c r="B281" i="54" s="1"/>
  <c r="B280" i="54" a="1"/>
  <c r="B280" i="54" s="1"/>
  <c r="B279" i="54" a="1"/>
  <c r="B279" i="54" s="1"/>
  <c r="B278" i="54" a="1"/>
  <c r="B278" i="54" s="1"/>
  <c r="B277" i="54" a="1"/>
  <c r="B277" i="54" s="1"/>
  <c r="B276" i="54" a="1"/>
  <c r="B276" i="54" s="1"/>
  <c r="B275" i="54" a="1"/>
  <c r="B275" i="54" s="1"/>
  <c r="B274" i="54" a="1"/>
  <c r="B274" i="54" s="1"/>
  <c r="B273" i="54" a="1"/>
  <c r="B273" i="54" s="1"/>
  <c r="B272" i="54" a="1"/>
  <c r="B272" i="54" s="1"/>
  <c r="B271" i="54" a="1"/>
  <c r="B271" i="54" s="1"/>
  <c r="B270" i="54" a="1"/>
  <c r="B270" i="54" s="1"/>
  <c r="B269" i="54" a="1"/>
  <c r="B269" i="54" s="1"/>
  <c r="B268" i="54" a="1"/>
  <c r="B268" i="54" s="1"/>
  <c r="B267" i="54" a="1"/>
  <c r="B267" i="54" s="1"/>
  <c r="B266" i="54" a="1"/>
  <c r="B266" i="54" s="1"/>
  <c r="B265" i="54" a="1"/>
  <c r="B265" i="54" s="1"/>
  <c r="B264" i="54" a="1"/>
  <c r="B264" i="54" s="1"/>
  <c r="B263" i="54" a="1"/>
  <c r="B263" i="54" s="1"/>
  <c r="B262" i="54" a="1"/>
  <c r="B262" i="54" s="1"/>
  <c r="B261" i="54" a="1"/>
  <c r="B261" i="54" s="1"/>
  <c r="B260" i="54" a="1"/>
  <c r="B260" i="54" s="1"/>
  <c r="B259" i="54" a="1"/>
  <c r="B259" i="54" s="1"/>
  <c r="B258" i="54" a="1"/>
  <c r="B258" i="54" s="1"/>
  <c r="B257" i="54" a="1"/>
  <c r="B257" i="54" s="1"/>
  <c r="B256" i="54" a="1"/>
  <c r="B256" i="54" s="1"/>
  <c r="B255" i="54" a="1"/>
  <c r="B255" i="54" s="1"/>
  <c r="B254" i="54" a="1"/>
  <c r="B254" i="54" s="1"/>
  <c r="B253" i="54" a="1"/>
  <c r="B253" i="54" s="1"/>
  <c r="B252" i="54" a="1"/>
  <c r="B252" i="54" s="1"/>
  <c r="B251" i="54" a="1"/>
  <c r="B251" i="54" s="1"/>
  <c r="B250" i="54" a="1"/>
  <c r="B250" i="54" s="1"/>
  <c r="B249" i="54" a="1"/>
  <c r="B249" i="54" s="1"/>
  <c r="B248" i="54" a="1"/>
  <c r="B248" i="54" s="1"/>
  <c r="B247" i="54" a="1"/>
  <c r="B247" i="54" s="1"/>
  <c r="B246" i="54" a="1"/>
  <c r="B246" i="54" s="1"/>
  <c r="B245" i="54" a="1"/>
  <c r="B245" i="54" s="1"/>
  <c r="B244" i="54" a="1"/>
  <c r="B244" i="54" s="1"/>
  <c r="B243" i="54" a="1"/>
  <c r="B243" i="54" s="1"/>
  <c r="B242" i="54" a="1"/>
  <c r="B242" i="54" s="1"/>
  <c r="B241" i="54" a="1"/>
  <c r="B241" i="54" s="1"/>
  <c r="B240" i="54" a="1"/>
  <c r="B240" i="54" s="1"/>
  <c r="B239" i="54" a="1"/>
  <c r="B239" i="54" s="1"/>
  <c r="B238" i="54" a="1"/>
  <c r="B238" i="54" s="1"/>
  <c r="B237" i="54" a="1"/>
  <c r="B237" i="54" s="1"/>
  <c r="B236" i="54" a="1"/>
  <c r="B236" i="54" s="1"/>
  <c r="B235" i="54" a="1"/>
  <c r="B235" i="54" s="1"/>
  <c r="B234" i="54" a="1"/>
  <c r="B234" i="54" s="1"/>
  <c r="B233" i="54" a="1"/>
  <c r="B233" i="54" s="1"/>
  <c r="B232" i="54" a="1"/>
  <c r="B232" i="54" s="1"/>
  <c r="B231" i="54" a="1"/>
  <c r="B231" i="54" s="1"/>
  <c r="B230" i="54" a="1"/>
  <c r="B230" i="54" s="1"/>
  <c r="B229" i="54" a="1"/>
  <c r="B229" i="54" s="1"/>
  <c r="B228" i="54" a="1"/>
  <c r="B228" i="54" s="1"/>
  <c r="B227" i="54" a="1"/>
  <c r="B227" i="54" s="1"/>
  <c r="B226" i="54" a="1"/>
  <c r="B226" i="54" s="1"/>
  <c r="B225" i="54" a="1"/>
  <c r="B225" i="54" s="1"/>
  <c r="B224" i="54" a="1"/>
  <c r="B224" i="54" s="1"/>
  <c r="B223" i="54" a="1"/>
  <c r="B223" i="54" s="1"/>
  <c r="B222" i="54" a="1"/>
  <c r="B222" i="54" s="1"/>
  <c r="B221" i="54" a="1"/>
  <c r="B221" i="54" s="1"/>
  <c r="B220" i="54" a="1"/>
  <c r="B220" i="54" s="1"/>
  <c r="B219" i="54" a="1"/>
  <c r="B219" i="54" s="1"/>
  <c r="B218" i="54" a="1"/>
  <c r="B218" i="54" s="1"/>
  <c r="B217" i="54" a="1"/>
  <c r="B217" i="54" s="1"/>
  <c r="B216" i="54" a="1"/>
  <c r="B216" i="54" s="1"/>
  <c r="B215" i="54" a="1"/>
  <c r="B215" i="54" s="1"/>
  <c r="B214" i="54" a="1"/>
  <c r="B214" i="54" s="1"/>
  <c r="B213" i="54" a="1"/>
  <c r="B213" i="54" s="1"/>
  <c r="B212" i="54" a="1"/>
  <c r="B212" i="54" s="1"/>
  <c r="B211" i="54" a="1"/>
  <c r="B211" i="54" s="1"/>
  <c r="B210" i="54" a="1"/>
  <c r="B210" i="54" s="1"/>
  <c r="B209" i="54" a="1"/>
  <c r="B209" i="54" s="1"/>
  <c r="B208" i="54" a="1"/>
  <c r="B208" i="54" s="1"/>
  <c r="B207" i="54" a="1"/>
  <c r="B207" i="54" s="1"/>
  <c r="B206" i="54" a="1"/>
  <c r="B206" i="54" s="1"/>
  <c r="B205" i="54" a="1"/>
  <c r="B205" i="54" s="1"/>
  <c r="B204" i="54" a="1"/>
  <c r="B204" i="54" s="1"/>
  <c r="B203" i="54" a="1"/>
  <c r="B203" i="54" s="1"/>
  <c r="B202" i="54" a="1"/>
  <c r="B202" i="54" s="1"/>
  <c r="B201" i="54" a="1"/>
  <c r="B201" i="54" s="1"/>
  <c r="B200" i="54" a="1"/>
  <c r="B200" i="54" s="1"/>
  <c r="B199" i="54" a="1"/>
  <c r="B199" i="54" s="1"/>
  <c r="B198" i="54" a="1"/>
  <c r="B198" i="54" s="1"/>
  <c r="B197" i="54" a="1"/>
  <c r="B197" i="54" s="1"/>
  <c r="B196" i="54" a="1"/>
  <c r="B196" i="54" s="1"/>
  <c r="B195" i="54" a="1"/>
  <c r="B195" i="54" s="1"/>
  <c r="B194" i="54" a="1"/>
  <c r="B194" i="54" s="1"/>
  <c r="B193" i="54" a="1"/>
  <c r="B193" i="54" s="1"/>
  <c r="B192" i="54" a="1"/>
  <c r="B192" i="54" s="1"/>
  <c r="B191" i="54" a="1"/>
  <c r="B191" i="54" s="1"/>
  <c r="B190" i="54" a="1"/>
  <c r="B190" i="54" s="1"/>
  <c r="B189" i="54" a="1"/>
  <c r="B189" i="54" s="1"/>
  <c r="B188" i="54" a="1"/>
  <c r="B188" i="54" s="1"/>
  <c r="B187" i="54" a="1"/>
  <c r="B187" i="54" s="1"/>
  <c r="B186" i="54" a="1"/>
  <c r="B186" i="54" s="1"/>
  <c r="B185" i="54" a="1"/>
  <c r="B185" i="54" s="1"/>
  <c r="B184" i="54" a="1"/>
  <c r="B184" i="54" s="1"/>
  <c r="B183" i="54" a="1"/>
  <c r="B183" i="54" s="1"/>
  <c r="B182" i="54" a="1"/>
  <c r="B182" i="54" s="1"/>
  <c r="B181" i="54" a="1"/>
  <c r="B181" i="54" s="1"/>
  <c r="B180" i="54" a="1"/>
  <c r="B180" i="54" s="1"/>
  <c r="B179" i="54" a="1"/>
  <c r="B179" i="54" s="1"/>
  <c r="B178" i="54" a="1"/>
  <c r="B178" i="54" s="1"/>
  <c r="B177" i="54" a="1"/>
  <c r="B177" i="54" s="1"/>
  <c r="B176" i="54" a="1"/>
  <c r="B176" i="54" s="1"/>
  <c r="B175" i="54" a="1"/>
  <c r="B175" i="54" s="1"/>
  <c r="B174" i="54" a="1"/>
  <c r="B174" i="54" s="1"/>
  <c r="B173" i="54" a="1"/>
  <c r="B173" i="54" s="1"/>
  <c r="B172" i="54" a="1"/>
  <c r="B172" i="54" s="1"/>
  <c r="B171" i="54" a="1"/>
  <c r="B171" i="54" s="1"/>
  <c r="B170" i="54" a="1"/>
  <c r="B170" i="54" s="1"/>
  <c r="B169" i="54" a="1"/>
  <c r="B169" i="54" s="1"/>
  <c r="B168" i="54" a="1"/>
  <c r="B168" i="54" s="1"/>
  <c r="B167" i="54" a="1"/>
  <c r="B167" i="54" s="1"/>
  <c r="B166" i="54" a="1"/>
  <c r="B166" i="54" s="1"/>
  <c r="B165" i="54" a="1"/>
  <c r="B165" i="54" s="1"/>
  <c r="B164" i="54" a="1"/>
  <c r="B164" i="54" s="1"/>
  <c r="B163" i="54" a="1"/>
  <c r="B163" i="54" s="1"/>
  <c r="B162" i="54" a="1"/>
  <c r="B162" i="54" s="1"/>
  <c r="B161" i="54" a="1"/>
  <c r="B161" i="54" s="1"/>
  <c r="B160" i="54" a="1"/>
  <c r="B160" i="54" s="1"/>
  <c r="B159" i="54" a="1"/>
  <c r="B159" i="54" s="1"/>
  <c r="B158" i="54" a="1"/>
  <c r="B158" i="54" s="1"/>
  <c r="B157" i="54" a="1"/>
  <c r="B157" i="54" s="1"/>
  <c r="B156" i="54" a="1"/>
  <c r="B156" i="54" s="1"/>
  <c r="B155" i="54" a="1"/>
  <c r="B155" i="54" s="1"/>
  <c r="B154" i="54" a="1"/>
  <c r="B154" i="54" s="1"/>
  <c r="B153" i="54" a="1"/>
  <c r="B153" i="54" s="1"/>
  <c r="B152" i="54" a="1"/>
  <c r="B152" i="54" s="1"/>
  <c r="B151" i="54" a="1"/>
  <c r="B151" i="54" s="1"/>
  <c r="B150" i="54" a="1"/>
  <c r="B150" i="54" s="1"/>
  <c r="B149" i="54" a="1"/>
  <c r="B149" i="54" s="1"/>
  <c r="B148" i="54" a="1"/>
  <c r="B148" i="54" s="1"/>
  <c r="B147" i="54" a="1"/>
  <c r="B147" i="54" s="1"/>
  <c r="B146" i="54" a="1"/>
  <c r="B146" i="54" s="1"/>
  <c r="B145" i="54" a="1"/>
  <c r="B145" i="54" s="1"/>
  <c r="B144" i="54" a="1"/>
  <c r="B144" i="54" s="1"/>
  <c r="B143" i="54" a="1"/>
  <c r="B143" i="54" s="1"/>
  <c r="B142" i="54" a="1"/>
  <c r="B142" i="54" s="1"/>
  <c r="B141" i="54" a="1"/>
  <c r="B141" i="54" s="1"/>
  <c r="B140" i="54" a="1"/>
  <c r="B140" i="54" s="1"/>
  <c r="B139" i="54" a="1"/>
  <c r="B139" i="54" s="1"/>
  <c r="B138" i="54" a="1"/>
  <c r="B138" i="54" s="1"/>
  <c r="B137" i="54" a="1"/>
  <c r="B137" i="54" s="1"/>
  <c r="B136" i="54" a="1"/>
  <c r="B136" i="54" s="1"/>
  <c r="B135" i="54" a="1"/>
  <c r="B135" i="54" s="1"/>
  <c r="B134" i="54" a="1"/>
  <c r="B134" i="54" s="1"/>
  <c r="B133" i="54" a="1"/>
  <c r="B133" i="54" s="1"/>
  <c r="B132" i="54" a="1"/>
  <c r="B132" i="54" s="1"/>
  <c r="B131" i="54" a="1"/>
  <c r="B131" i="54" s="1"/>
  <c r="B130" i="54" a="1"/>
  <c r="B130" i="54" s="1"/>
  <c r="B129" i="54" a="1"/>
  <c r="B129" i="54" s="1"/>
  <c r="B128" i="54" a="1"/>
  <c r="B128" i="54" s="1"/>
  <c r="B127" i="54" a="1"/>
  <c r="B127" i="54" s="1"/>
  <c r="B126" i="54" a="1"/>
  <c r="B126" i="54" s="1"/>
  <c r="B125" i="54" a="1"/>
  <c r="B125" i="54" s="1"/>
  <c r="B124" i="54" a="1"/>
  <c r="B124" i="54" s="1"/>
  <c r="B123" i="54" a="1"/>
  <c r="B123" i="54" s="1"/>
  <c r="B122" i="54" a="1"/>
  <c r="B122" i="54" s="1"/>
  <c r="B121" i="54" a="1"/>
  <c r="B121" i="54" s="1"/>
  <c r="B120" i="54" a="1"/>
  <c r="B120" i="54" s="1"/>
  <c r="B119" i="54" a="1"/>
  <c r="B119" i="54" s="1"/>
  <c r="B118" i="54" a="1"/>
  <c r="B118" i="54" s="1"/>
  <c r="B117" i="54" a="1"/>
  <c r="B117" i="54" s="1"/>
  <c r="B116" i="54" a="1"/>
  <c r="B116" i="54" s="1"/>
  <c r="B115" i="54" a="1"/>
  <c r="B115" i="54" s="1"/>
  <c r="B114" i="54" a="1"/>
  <c r="B114" i="54" s="1"/>
  <c r="B113" i="54" a="1"/>
  <c r="B113" i="54" s="1"/>
  <c r="B112" i="54" a="1"/>
  <c r="B112" i="54" s="1"/>
  <c r="B111" i="54" a="1"/>
  <c r="B111" i="54" s="1"/>
  <c r="B110" i="54" a="1"/>
  <c r="B110" i="54" s="1"/>
  <c r="B109" i="54" a="1"/>
  <c r="B109" i="54" s="1"/>
  <c r="B108" i="54" a="1"/>
  <c r="B108" i="54" s="1"/>
  <c r="B107" i="54" a="1"/>
  <c r="B107" i="54" s="1"/>
  <c r="B106" i="54" a="1"/>
  <c r="B106" i="54" s="1"/>
  <c r="B105" i="54" a="1"/>
  <c r="B105" i="54" s="1"/>
  <c r="B104" i="54" a="1"/>
  <c r="B104" i="54" s="1"/>
  <c r="B103" i="54" a="1"/>
  <c r="B103" i="54" s="1"/>
  <c r="B102" i="54" a="1"/>
  <c r="B102" i="54" s="1"/>
  <c r="B101" i="54" a="1"/>
  <c r="B101" i="54" s="1"/>
  <c r="B100" i="54" a="1"/>
  <c r="B100" i="54" s="1"/>
  <c r="B99" i="54" a="1"/>
  <c r="B99" i="54" s="1"/>
  <c r="B98" i="54" a="1"/>
  <c r="B98" i="54" s="1"/>
  <c r="B97" i="54" a="1"/>
  <c r="B97" i="54" s="1"/>
  <c r="B96" i="54" a="1"/>
  <c r="B96" i="54" s="1"/>
  <c r="B95" i="54" a="1"/>
  <c r="B95" i="54" s="1"/>
  <c r="B94" i="54" a="1"/>
  <c r="B94" i="54" s="1"/>
  <c r="B93" i="54" a="1"/>
  <c r="B93" i="54" s="1"/>
  <c r="B92" i="54" a="1"/>
  <c r="B92" i="54" s="1"/>
  <c r="B91" i="54" a="1"/>
  <c r="B91" i="54" s="1"/>
  <c r="B90" i="54" a="1"/>
  <c r="B90" i="54" s="1"/>
  <c r="B89" i="54" a="1"/>
  <c r="B89" i="54" s="1"/>
  <c r="B88" i="54" a="1"/>
  <c r="B88" i="54" s="1"/>
  <c r="B87" i="54" a="1"/>
  <c r="B87" i="54" s="1"/>
  <c r="B86" i="54" a="1"/>
  <c r="B86" i="54" s="1"/>
  <c r="B85" i="54" a="1"/>
  <c r="B85" i="54" s="1"/>
  <c r="B84" i="54" a="1"/>
  <c r="B84" i="54" s="1"/>
  <c r="B83" i="54" a="1"/>
  <c r="B83" i="54" s="1"/>
  <c r="B82" i="54" a="1"/>
  <c r="B82" i="54" s="1"/>
  <c r="B81" i="54" a="1"/>
  <c r="B81" i="54" s="1"/>
  <c r="B80" i="54" a="1"/>
  <c r="B80" i="54" s="1"/>
  <c r="B79" i="54" a="1"/>
  <c r="B79" i="54" s="1"/>
  <c r="B78" i="54" a="1"/>
  <c r="B78" i="54" s="1"/>
  <c r="B77" i="54" a="1"/>
  <c r="B77" i="54" s="1"/>
  <c r="B76" i="54" a="1"/>
  <c r="B76" i="54" s="1"/>
  <c r="B75" i="54" a="1"/>
  <c r="B75" i="54" s="1"/>
  <c r="B74" i="54" a="1"/>
  <c r="B74" i="54" s="1"/>
  <c r="B73" i="54" a="1"/>
  <c r="B73" i="54" s="1"/>
  <c r="B72" i="54" a="1"/>
  <c r="B72" i="54" s="1"/>
  <c r="B71" i="54" a="1"/>
  <c r="B71" i="54" s="1"/>
  <c r="B70" i="54" a="1"/>
  <c r="B70" i="54" s="1"/>
  <c r="B69" i="54" a="1"/>
  <c r="B69" i="54" s="1"/>
  <c r="B68" i="54" a="1"/>
  <c r="B68" i="54" s="1"/>
  <c r="B67" i="54" a="1"/>
  <c r="B67" i="54" s="1"/>
  <c r="B66" i="54" a="1"/>
  <c r="B66" i="54" s="1"/>
  <c r="B65" i="54" a="1"/>
  <c r="B65" i="54" s="1"/>
  <c r="B64" i="54" a="1"/>
  <c r="B64" i="54" s="1"/>
  <c r="B63" i="54" a="1"/>
  <c r="B63" i="54" s="1"/>
  <c r="B62" i="54" a="1"/>
  <c r="B62" i="54" s="1"/>
  <c r="B61" i="54" a="1"/>
  <c r="B61" i="54" s="1"/>
  <c r="B60" i="54" a="1"/>
  <c r="B60" i="54" s="1"/>
  <c r="B59" i="54" a="1"/>
  <c r="B59" i="54" s="1"/>
  <c r="B58" i="54" a="1"/>
  <c r="B58" i="54" s="1"/>
  <c r="B57" i="54" a="1"/>
  <c r="B57" i="54" s="1"/>
  <c r="B56" i="54" a="1"/>
  <c r="B56" i="54" s="1"/>
  <c r="B55" i="54" a="1"/>
  <c r="B55" i="54" s="1"/>
  <c r="B54" i="54" a="1"/>
  <c r="B54" i="54" s="1"/>
  <c r="B53" i="54" a="1"/>
  <c r="B53" i="54" s="1"/>
  <c r="B52" i="54" a="1"/>
  <c r="B52" i="54" s="1"/>
  <c r="B51" i="54" a="1"/>
  <c r="B51" i="54" s="1"/>
  <c r="B50" i="54" a="1"/>
  <c r="B50" i="54" s="1"/>
  <c r="B49" i="54" a="1"/>
  <c r="B49" i="54" s="1"/>
  <c r="B48" i="54" a="1"/>
  <c r="B48" i="54" s="1"/>
  <c r="B47" i="54" a="1"/>
  <c r="B47" i="54" s="1"/>
  <c r="B46" i="54" a="1"/>
  <c r="B46" i="54" s="1"/>
  <c r="B45" i="54" a="1"/>
  <c r="B45" i="54" s="1"/>
  <c r="B44" i="54" a="1"/>
  <c r="B44" i="54" s="1"/>
  <c r="B43" i="54" a="1"/>
  <c r="B43" i="54" s="1"/>
  <c r="B42" i="54" a="1"/>
  <c r="B42" i="54" s="1"/>
  <c r="B41" i="54" a="1"/>
  <c r="B41" i="54" s="1"/>
  <c r="B40" i="54" a="1"/>
  <c r="B40" i="54" s="1"/>
  <c r="B39" i="54" a="1"/>
  <c r="B39" i="54" s="1"/>
  <c r="B38" i="54" a="1"/>
  <c r="B38" i="54" s="1"/>
  <c r="B37" i="54" a="1"/>
  <c r="B37" i="54" s="1"/>
  <c r="B36" i="54" a="1"/>
  <c r="B36" i="54" s="1"/>
  <c r="B35" i="54" a="1"/>
  <c r="B35" i="54" s="1"/>
  <c r="B34" i="54" a="1"/>
  <c r="B34" i="54" s="1"/>
  <c r="B33" i="54" a="1"/>
  <c r="B33" i="54" s="1"/>
  <c r="B32" i="54" a="1"/>
  <c r="B32" i="54" s="1"/>
  <c r="B31" i="54" a="1"/>
  <c r="B31" i="54" s="1"/>
  <c r="B30" i="54" a="1"/>
  <c r="B30" i="54" s="1"/>
  <c r="B29" i="54" a="1"/>
  <c r="B29" i="54" s="1"/>
  <c r="B28" i="54" a="1"/>
  <c r="B28" i="54" s="1"/>
  <c r="B27" i="54" a="1"/>
  <c r="B27" i="54" s="1"/>
  <c r="B26" i="54" a="1"/>
  <c r="B26" i="54" s="1"/>
  <c r="B25" i="54" a="1"/>
  <c r="B25" i="54" s="1"/>
  <c r="B24" i="54" a="1"/>
  <c r="B24" i="54" s="1"/>
  <c r="B23" i="54" a="1"/>
  <c r="B23" i="54" s="1"/>
  <c r="B22" i="54" a="1"/>
  <c r="B22" i="54" s="1"/>
  <c r="B21" i="54" a="1"/>
  <c r="B21" i="54" s="1"/>
  <c r="B20" i="54" a="1"/>
  <c r="B20" i="54" s="1"/>
  <c r="B19" i="54" a="1"/>
  <c r="B19" i="54" s="1"/>
  <c r="B18" i="54" a="1"/>
  <c r="B18" i="54" s="1"/>
  <c r="B17" i="54" a="1"/>
  <c r="B17" i="54" s="1"/>
  <c r="B16" i="54" a="1"/>
  <c r="B16" i="54" s="1"/>
  <c r="B15" i="54" a="1"/>
  <c r="B15" i="54" s="1"/>
  <c r="B14" i="54" a="1"/>
  <c r="B14" i="54" s="1"/>
  <c r="B13" i="54" a="1"/>
  <c r="B13" i="54" s="1"/>
  <c r="B12" i="54" a="1"/>
  <c r="B12" i="54" s="1"/>
  <c r="B11" i="54" a="1"/>
  <c r="B11" i="54" s="1"/>
  <c r="B10" i="54" a="1"/>
  <c r="B10" i="54" s="1"/>
  <c r="B9" i="54" a="1"/>
  <c r="B9" i="54" s="1"/>
  <c r="B8" i="54" a="1"/>
  <c r="B8" i="54" s="1"/>
  <c r="B7" i="54" a="1"/>
  <c r="B7" i="54" s="1"/>
  <c r="B6" i="54" a="1"/>
  <c r="B6" i="54" s="1"/>
  <c r="B5" i="54" a="1"/>
  <c r="B5" i="54" s="1"/>
  <c r="B4" i="54" a="1"/>
  <c r="B4" i="54" s="1"/>
  <c r="B3" i="54" a="1"/>
  <c r="B3" i="54" s="1"/>
  <c r="B2" i="54" a="1"/>
  <c r="B2" i="54" s="1"/>
  <c r="K116" i="58" l="1"/>
  <c r="K117" i="58"/>
  <c r="K114" i="58"/>
  <c r="K115" i="58"/>
  <c r="Y1" i="54"/>
  <c r="K111" i="58" s="1"/>
  <c r="K113" i="58"/>
  <c r="K112" i="58"/>
  <c r="P2" i="54"/>
  <c r="CD134" i="58"/>
  <c r="CD133" i="58"/>
  <c r="CD132" i="58"/>
  <c r="BW111" i="58"/>
  <c r="BW112" i="58"/>
  <c r="BW113" i="58"/>
  <c r="BW114" i="58"/>
  <c r="BW115" i="58"/>
  <c r="BW116" i="58"/>
  <c r="BW117" i="58"/>
  <c r="BW118" i="58"/>
  <c r="BW119" i="58"/>
  <c r="BW120" i="58"/>
  <c r="BW121" i="58"/>
  <c r="Q132" i="58"/>
  <c r="R132" i="58"/>
  <c r="Q133" i="58"/>
  <c r="R133" i="58"/>
  <c r="Q134" i="58"/>
  <c r="R134" i="58"/>
  <c r="Q135" i="58"/>
  <c r="R135" i="58"/>
  <c r="Q136" i="58"/>
  <c r="R136" i="58"/>
  <c r="Q137" i="58"/>
  <c r="R137" i="58"/>
  <c r="Q138" i="58"/>
  <c r="R138" i="58"/>
  <c r="Q139" i="58"/>
  <c r="R139" i="58"/>
  <c r="Q140" i="58"/>
  <c r="R140" i="58"/>
  <c r="Q141" i="58"/>
  <c r="R141" i="58"/>
  <c r="Q142" i="58"/>
  <c r="R142" i="58"/>
  <c r="Q143" i="58"/>
  <c r="R143" i="58"/>
  <c r="Q144" i="58"/>
  <c r="R144" i="58"/>
  <c r="Q145" i="58"/>
  <c r="R145" i="58"/>
  <c r="Q146" i="58"/>
  <c r="R146" i="58"/>
  <c r="Q147" i="58"/>
  <c r="R147" i="58"/>
  <c r="Q148" i="58"/>
  <c r="R148" i="58"/>
  <c r="Q149" i="58"/>
  <c r="R149" i="58"/>
  <c r="Q150" i="58"/>
  <c r="R150" i="58"/>
  <c r="Q151" i="58"/>
  <c r="R151" i="58"/>
  <c r="Q152" i="58"/>
  <c r="R152" i="58"/>
  <c r="Q154" i="58"/>
  <c r="R154" i="58"/>
  <c r="Q155" i="58"/>
  <c r="R155" i="58"/>
  <c r="Q156" i="58"/>
  <c r="R156" i="58"/>
  <c r="Q157" i="58"/>
  <c r="R157" i="58"/>
  <c r="Q158" i="58"/>
  <c r="R158" i="58"/>
  <c r="Q159" i="58"/>
  <c r="R159" i="58"/>
  <c r="Q160" i="58"/>
  <c r="R160" i="58"/>
  <c r="Q161" i="58"/>
  <c r="R161" i="58"/>
  <c r="Q162" i="58"/>
  <c r="R162" i="58"/>
  <c r="Q163" i="58"/>
  <c r="R163" i="58"/>
  <c r="Q164" i="58"/>
  <c r="R164" i="58"/>
  <c r="Q165" i="58"/>
  <c r="R165" i="58"/>
  <c r="Q166" i="58"/>
  <c r="R166" i="58"/>
  <c r="O167" i="58"/>
  <c r="P167" i="58" s="1"/>
  <c r="Q167" i="58"/>
  <c r="R167" i="58"/>
  <c r="O168" i="58"/>
  <c r="S168" i="58" s="1"/>
  <c r="Q168" i="58"/>
  <c r="R168" i="58"/>
  <c r="O169" i="58"/>
  <c r="P169" i="58" s="1"/>
  <c r="Q169" i="58"/>
  <c r="R169" i="58"/>
  <c r="O170" i="58"/>
  <c r="S170" i="58" s="1"/>
  <c r="Q170" i="58"/>
  <c r="R170" i="58"/>
  <c r="O171" i="58"/>
  <c r="P171" i="58" s="1"/>
  <c r="Q171" i="58"/>
  <c r="R171" i="58"/>
  <c r="O172" i="58"/>
  <c r="P172" i="58" s="1"/>
  <c r="Q172" i="58"/>
  <c r="R172" i="58"/>
  <c r="O173" i="58"/>
  <c r="S173" i="58" s="1"/>
  <c r="Q173" i="58"/>
  <c r="R173" i="58"/>
  <c r="O174" i="58"/>
  <c r="S174" i="58" s="1"/>
  <c r="Q174" i="58"/>
  <c r="R174" i="58"/>
  <c r="O175" i="58"/>
  <c r="P175" i="58" s="1"/>
  <c r="Q175" i="58"/>
  <c r="R175" i="58"/>
  <c r="O176" i="58"/>
  <c r="S176" i="58" s="1"/>
  <c r="Q176" i="58"/>
  <c r="R176" i="58"/>
  <c r="O177" i="58"/>
  <c r="S177" i="58" s="1"/>
  <c r="Q177" i="58"/>
  <c r="R177" i="58"/>
  <c r="O178" i="58"/>
  <c r="S178" i="58" s="1"/>
  <c r="Q178" i="58"/>
  <c r="R178" i="58"/>
  <c r="O179" i="58"/>
  <c r="S179" i="58" s="1"/>
  <c r="Q179" i="58"/>
  <c r="R179" i="58"/>
  <c r="O180" i="58"/>
  <c r="P180" i="58" s="1"/>
  <c r="Q180" i="58"/>
  <c r="R180" i="58"/>
  <c r="O181" i="58"/>
  <c r="S181" i="58" s="1"/>
  <c r="Q181" i="58"/>
  <c r="R181" i="58"/>
  <c r="O182" i="58"/>
  <c r="S182" i="58" s="1"/>
  <c r="Q182" i="58"/>
  <c r="R182" i="58"/>
  <c r="Q183" i="58"/>
  <c r="R183" i="58"/>
  <c r="S184" i="58"/>
  <c r="Q184" i="58"/>
  <c r="R184" i="58"/>
  <c r="Q185" i="58"/>
  <c r="R185" i="58"/>
  <c r="S186" i="58"/>
  <c r="Q186" i="58"/>
  <c r="R186" i="58"/>
  <c r="Q187" i="58"/>
  <c r="R187" i="58"/>
  <c r="S187" i="58"/>
  <c r="Q188" i="58"/>
  <c r="R188" i="58"/>
  <c r="S189" i="58"/>
  <c r="Q189" i="58"/>
  <c r="R189" i="58"/>
  <c r="Q190" i="58"/>
  <c r="R190" i="58"/>
  <c r="Q191" i="58"/>
  <c r="R191" i="58"/>
  <c r="S192" i="58"/>
  <c r="Q192" i="58"/>
  <c r="R192" i="58"/>
  <c r="Q193" i="58"/>
  <c r="R193" i="58"/>
  <c r="S194" i="58"/>
  <c r="Q194" i="58"/>
  <c r="R194" i="58"/>
  <c r="Q195" i="58"/>
  <c r="R195" i="58"/>
  <c r="S195" i="58"/>
  <c r="Q196" i="58"/>
  <c r="R196" i="58"/>
  <c r="S196" i="58"/>
  <c r="S197" i="58"/>
  <c r="Q197" i="58"/>
  <c r="R197" i="58"/>
  <c r="Q198" i="58"/>
  <c r="R198" i="58"/>
  <c r="S198" i="58"/>
  <c r="Q199" i="58"/>
  <c r="R199" i="58"/>
  <c r="S200" i="58"/>
  <c r="Q200" i="58"/>
  <c r="R200" i="58"/>
  <c r="Q201" i="58"/>
  <c r="R201" i="58"/>
  <c r="S201" i="58"/>
  <c r="S202" i="58"/>
  <c r="Q202" i="58"/>
  <c r="R202" i="58"/>
  <c r="S203" i="58"/>
  <c r="Q203" i="58"/>
  <c r="R203" i="58"/>
  <c r="O204" i="58"/>
  <c r="P204" i="58" s="1"/>
  <c r="Q204" i="58"/>
  <c r="R204" i="58"/>
  <c r="O205" i="58"/>
  <c r="S205" i="58" s="1"/>
  <c r="Q205" i="58"/>
  <c r="R205" i="58"/>
  <c r="O206" i="58"/>
  <c r="P206" i="58" s="1"/>
  <c r="Q206" i="58"/>
  <c r="R206" i="58"/>
  <c r="O207" i="58"/>
  <c r="P207" i="58" s="1"/>
  <c r="Q207" i="58"/>
  <c r="R207" i="58"/>
  <c r="O208" i="58"/>
  <c r="S208" i="58" s="1"/>
  <c r="Q208" i="58"/>
  <c r="R208" i="58"/>
  <c r="O209" i="58"/>
  <c r="S209" i="58" s="1"/>
  <c r="Q209" i="58"/>
  <c r="R209" i="58"/>
  <c r="O210" i="58"/>
  <c r="S210" i="58" s="1"/>
  <c r="Q210" i="58"/>
  <c r="R210" i="58"/>
  <c r="O211" i="58"/>
  <c r="S211" i="58" s="1"/>
  <c r="Q211" i="58"/>
  <c r="R211" i="58"/>
  <c r="O212" i="58"/>
  <c r="P212" i="58" s="1"/>
  <c r="Q212" i="58"/>
  <c r="R212" i="58"/>
  <c r="O213" i="58"/>
  <c r="S213" i="58" s="1"/>
  <c r="Q213" i="58"/>
  <c r="R213" i="58"/>
  <c r="O214" i="58"/>
  <c r="P214" i="58" s="1"/>
  <c r="Q214" i="58"/>
  <c r="R214" i="58"/>
  <c r="O215" i="58"/>
  <c r="P215" i="58" s="1"/>
  <c r="Q215" i="58"/>
  <c r="R215" i="58"/>
  <c r="O216" i="58"/>
  <c r="S216" i="58" s="1"/>
  <c r="Q216" i="58"/>
  <c r="R216" i="58"/>
  <c r="O217" i="58"/>
  <c r="S217" i="58" s="1"/>
  <c r="Q217" i="58"/>
  <c r="R217" i="58"/>
  <c r="O218" i="58"/>
  <c r="S218" i="58" s="1"/>
  <c r="Q218" i="58"/>
  <c r="R218" i="58"/>
  <c r="O219" i="58"/>
  <c r="S219" i="58" s="1"/>
  <c r="Q219" i="58"/>
  <c r="R219" i="58"/>
  <c r="O220" i="58"/>
  <c r="P220" i="58" s="1"/>
  <c r="Q220" i="58"/>
  <c r="R220" i="58"/>
  <c r="O221" i="58"/>
  <c r="S221" i="58" s="1"/>
  <c r="Q221" i="58"/>
  <c r="R221" i="58"/>
  <c r="O222" i="58"/>
  <c r="P222" i="58" s="1"/>
  <c r="Q222" i="58"/>
  <c r="R222" i="58"/>
  <c r="O223" i="58"/>
  <c r="P223" i="58" s="1"/>
  <c r="Q223" i="58"/>
  <c r="R223" i="58"/>
  <c r="O224" i="58"/>
  <c r="S224" i="58" s="1"/>
  <c r="Q224" i="58"/>
  <c r="R224" i="58"/>
  <c r="O225" i="58"/>
  <c r="S225" i="58" s="1"/>
  <c r="Q225" i="58"/>
  <c r="R225" i="58"/>
  <c r="O226" i="58"/>
  <c r="S226" i="58" s="1"/>
  <c r="Q226" i="58"/>
  <c r="R226" i="58"/>
  <c r="O227" i="58"/>
  <c r="P227" i="58" s="1"/>
  <c r="Q227" i="58"/>
  <c r="R227" i="58"/>
  <c r="O228" i="58"/>
  <c r="P228" i="58" s="1"/>
  <c r="Q228" i="58"/>
  <c r="R228" i="58"/>
  <c r="O229" i="58"/>
  <c r="S229" i="58" s="1"/>
  <c r="Q229" i="58"/>
  <c r="R229" i="58"/>
  <c r="O230" i="58"/>
  <c r="S230" i="58" s="1"/>
  <c r="Q230" i="58"/>
  <c r="R230" i="58"/>
  <c r="O231" i="58"/>
  <c r="P231" i="58" s="1"/>
  <c r="Q231" i="58"/>
  <c r="R231" i="58"/>
  <c r="O232" i="58"/>
  <c r="P232" i="58" s="1"/>
  <c r="R232" i="58"/>
  <c r="O233" i="58"/>
  <c r="P233" i="58" s="1"/>
  <c r="Q233" i="58"/>
  <c r="R233" i="58"/>
  <c r="O234" i="58"/>
  <c r="S235" i="58" s="1"/>
  <c r="Q234" i="58"/>
  <c r="R234" i="58"/>
  <c r="O235" i="58"/>
  <c r="P235" i="58" s="1"/>
  <c r="Q235" i="58"/>
  <c r="R235" i="58"/>
  <c r="Q129" i="54"/>
  <c r="Q128" i="54"/>
  <c r="Q127" i="54"/>
  <c r="Q126" i="54"/>
  <c r="Q125" i="54"/>
  <c r="Q124" i="54"/>
  <c r="Q123" i="54"/>
  <c r="Q122" i="54"/>
  <c r="Q121" i="54"/>
  <c r="Q120" i="54"/>
  <c r="Q119" i="54"/>
  <c r="Q118" i="54"/>
  <c r="Q117" i="54"/>
  <c r="Q116" i="54"/>
  <c r="Q115" i="54"/>
  <c r="Q114" i="54"/>
  <c r="Q113" i="54"/>
  <c r="Q112" i="54"/>
  <c r="Q111" i="54"/>
  <c r="Q110" i="54"/>
  <c r="Q109" i="54"/>
  <c r="Q108" i="54"/>
  <c r="Q107" i="54"/>
  <c r="Q106" i="54"/>
  <c r="Q105" i="54"/>
  <c r="Q104" i="54"/>
  <c r="Q103" i="54"/>
  <c r="Q102" i="54"/>
  <c r="Q101" i="54"/>
  <c r="Q100" i="54"/>
  <c r="Q99" i="54"/>
  <c r="Q98" i="54"/>
  <c r="Q97" i="54"/>
  <c r="Q96" i="54"/>
  <c r="Q95" i="54"/>
  <c r="Q94" i="54"/>
  <c r="Q93" i="54"/>
  <c r="Q92" i="54"/>
  <c r="Q91" i="54"/>
  <c r="Q90" i="54"/>
  <c r="Q89" i="54"/>
  <c r="Q88" i="54"/>
  <c r="R801" i="49"/>
  <c r="R800" i="49"/>
  <c r="R799" i="49"/>
  <c r="R798" i="49"/>
  <c r="R797" i="49"/>
  <c r="R796" i="49"/>
  <c r="R795" i="49"/>
  <c r="R794" i="49"/>
  <c r="R793" i="49"/>
  <c r="R792" i="49"/>
  <c r="R791" i="49"/>
  <c r="R790" i="49"/>
  <c r="R789" i="49"/>
  <c r="R788" i="49"/>
  <c r="R787" i="49"/>
  <c r="R786" i="49"/>
  <c r="R785" i="49"/>
  <c r="R784" i="49"/>
  <c r="R783" i="49"/>
  <c r="R782" i="49"/>
  <c r="R781" i="49"/>
  <c r="R780" i="49"/>
  <c r="R779" i="49"/>
  <c r="R778" i="49"/>
  <c r="R777" i="49"/>
  <c r="R776" i="49"/>
  <c r="R775" i="49"/>
  <c r="R774" i="49"/>
  <c r="R773" i="49"/>
  <c r="R772" i="49"/>
  <c r="R771" i="49"/>
  <c r="R770" i="49"/>
  <c r="R769" i="49"/>
  <c r="R768" i="49"/>
  <c r="R767" i="49"/>
  <c r="R766" i="49"/>
  <c r="R765" i="49"/>
  <c r="R764" i="49"/>
  <c r="R763" i="49"/>
  <c r="R762" i="49"/>
  <c r="R761" i="49"/>
  <c r="R760" i="49"/>
  <c r="R759" i="49"/>
  <c r="R758" i="49"/>
  <c r="R757" i="49"/>
  <c r="R756" i="49"/>
  <c r="R755" i="49"/>
  <c r="R754" i="49"/>
  <c r="R753" i="49"/>
  <c r="R752" i="49"/>
  <c r="R751" i="49"/>
  <c r="R750" i="49"/>
  <c r="R749" i="49"/>
  <c r="R748" i="49"/>
  <c r="R747" i="49"/>
  <c r="R746" i="49"/>
  <c r="R745" i="49"/>
  <c r="R744" i="49"/>
  <c r="R743" i="49"/>
  <c r="R742" i="49"/>
  <c r="R741" i="49"/>
  <c r="R740" i="49"/>
  <c r="R739" i="49"/>
  <c r="R738" i="49"/>
  <c r="R737" i="49"/>
  <c r="R736" i="49"/>
  <c r="R735" i="49"/>
  <c r="R734" i="49"/>
  <c r="R733" i="49"/>
  <c r="R732" i="49"/>
  <c r="R731" i="49"/>
  <c r="R730" i="49"/>
  <c r="R729" i="49"/>
  <c r="R728" i="49"/>
  <c r="R727" i="49"/>
  <c r="R726" i="49"/>
  <c r="R725" i="49"/>
  <c r="R724" i="49"/>
  <c r="R723" i="49"/>
  <c r="R722" i="49"/>
  <c r="R721" i="49"/>
  <c r="R720" i="49"/>
  <c r="R719" i="49"/>
  <c r="R718" i="49"/>
  <c r="R717" i="49"/>
  <c r="R716" i="49"/>
  <c r="R715" i="49"/>
  <c r="R714" i="49"/>
  <c r="R713" i="49"/>
  <c r="R712" i="49"/>
  <c r="R711" i="49"/>
  <c r="R710" i="49"/>
  <c r="R709" i="49"/>
  <c r="R708" i="49"/>
  <c r="R707" i="49"/>
  <c r="R706" i="49"/>
  <c r="R705" i="49"/>
  <c r="R704" i="49"/>
  <c r="R703" i="49"/>
  <c r="R702" i="49"/>
  <c r="R701" i="49"/>
  <c r="R700" i="49"/>
  <c r="R699" i="49"/>
  <c r="R698" i="49"/>
  <c r="R697" i="49"/>
  <c r="R696" i="49"/>
  <c r="R695" i="49"/>
  <c r="R694" i="49"/>
  <c r="R693" i="49"/>
  <c r="R692" i="49"/>
  <c r="R691" i="49"/>
  <c r="R690" i="49"/>
  <c r="R689" i="49"/>
  <c r="R688" i="49"/>
  <c r="R687" i="49"/>
  <c r="R686" i="49"/>
  <c r="R685" i="49"/>
  <c r="R684" i="49"/>
  <c r="R683" i="49"/>
  <c r="R682" i="49"/>
  <c r="R681" i="49"/>
  <c r="R680" i="49"/>
  <c r="R679" i="49"/>
  <c r="R678" i="49"/>
  <c r="R677" i="49"/>
  <c r="R676" i="49"/>
  <c r="R675" i="49"/>
  <c r="R674" i="49"/>
  <c r="R673" i="49"/>
  <c r="R672" i="49"/>
  <c r="R671" i="49"/>
  <c r="R670" i="49"/>
  <c r="R669" i="49"/>
  <c r="R668" i="49"/>
  <c r="R667" i="49"/>
  <c r="R666" i="49"/>
  <c r="R665" i="49"/>
  <c r="R664" i="49"/>
  <c r="R663" i="49"/>
  <c r="R662" i="49"/>
  <c r="R661" i="49"/>
  <c r="R660" i="49"/>
  <c r="R659" i="49"/>
  <c r="R658" i="49"/>
  <c r="R657" i="49"/>
  <c r="R656" i="49"/>
  <c r="R655" i="49"/>
  <c r="R654" i="49"/>
  <c r="R653" i="49"/>
  <c r="R652" i="49"/>
  <c r="R651" i="49"/>
  <c r="R650" i="49"/>
  <c r="S21" i="54"/>
  <c r="S4" i="54"/>
  <c r="P130" i="54"/>
  <c r="S130" i="54" s="1"/>
  <c r="P129" i="54"/>
  <c r="S129" i="54" s="1"/>
  <c r="P128" i="54"/>
  <c r="S128" i="54" s="1"/>
  <c r="P127" i="54"/>
  <c r="S127" i="54" s="1"/>
  <c r="P126" i="54"/>
  <c r="S126" i="54" s="1"/>
  <c r="P125" i="54"/>
  <c r="S125" i="54" s="1"/>
  <c r="P124" i="54"/>
  <c r="S124" i="54" s="1"/>
  <c r="P123" i="54"/>
  <c r="S123" i="54" s="1"/>
  <c r="P122" i="54"/>
  <c r="S122" i="54" s="1"/>
  <c r="P121" i="54"/>
  <c r="S121" i="54" s="1"/>
  <c r="P120" i="54"/>
  <c r="S120" i="54" s="1"/>
  <c r="P119" i="54"/>
  <c r="S119" i="54" s="1"/>
  <c r="P118" i="54"/>
  <c r="S118" i="54" s="1"/>
  <c r="P117" i="54"/>
  <c r="S117" i="54" s="1"/>
  <c r="P116" i="54"/>
  <c r="S116" i="54" s="1"/>
  <c r="P115" i="54"/>
  <c r="S115" i="54" s="1"/>
  <c r="P114" i="54"/>
  <c r="S114" i="54" s="1"/>
  <c r="P113" i="54"/>
  <c r="S113" i="54" s="1"/>
  <c r="P112" i="54"/>
  <c r="S112" i="54" s="1"/>
  <c r="P111" i="54"/>
  <c r="S111" i="54" s="1"/>
  <c r="P110" i="54"/>
  <c r="S110" i="54" s="1"/>
  <c r="P109" i="54"/>
  <c r="S109" i="54" s="1"/>
  <c r="P108" i="54"/>
  <c r="S108" i="54" s="1"/>
  <c r="P107" i="54"/>
  <c r="S107" i="54" s="1"/>
  <c r="P106" i="54"/>
  <c r="S106" i="54" s="1"/>
  <c r="P105" i="54"/>
  <c r="S105" i="54" s="1"/>
  <c r="P104" i="54"/>
  <c r="S104" i="54" s="1"/>
  <c r="P103" i="54"/>
  <c r="S103" i="54" s="1"/>
  <c r="P102" i="54"/>
  <c r="S102" i="54" s="1"/>
  <c r="P101" i="54"/>
  <c r="S101" i="54" s="1"/>
  <c r="P100" i="54"/>
  <c r="S100" i="54" s="1"/>
  <c r="P99" i="54"/>
  <c r="S99" i="54" s="1"/>
  <c r="P98" i="54"/>
  <c r="S98" i="54" s="1"/>
  <c r="P97" i="54"/>
  <c r="S97" i="54" s="1"/>
  <c r="P96" i="54"/>
  <c r="S96" i="54" s="1"/>
  <c r="P95" i="54"/>
  <c r="S95" i="54" s="1"/>
  <c r="P94" i="54"/>
  <c r="S94" i="54" s="1"/>
  <c r="P93" i="54"/>
  <c r="S93" i="54" s="1"/>
  <c r="P92" i="54"/>
  <c r="S92" i="54" s="1"/>
  <c r="P91" i="54"/>
  <c r="S91" i="54" s="1"/>
  <c r="P90" i="54"/>
  <c r="S90" i="54" s="1"/>
  <c r="P89" i="54"/>
  <c r="S89" i="54" s="1"/>
  <c r="P88" i="54"/>
  <c r="S88" i="54" s="1"/>
  <c r="P87" i="54"/>
  <c r="S87" i="54" s="1"/>
  <c r="P86" i="54"/>
  <c r="S86" i="54" s="1"/>
  <c r="P85" i="54"/>
  <c r="S85" i="54" s="1"/>
  <c r="P84" i="54"/>
  <c r="S84" i="54" s="1"/>
  <c r="P83" i="54"/>
  <c r="S83" i="54" s="1"/>
  <c r="P82" i="54"/>
  <c r="S82" i="54" s="1"/>
  <c r="P81" i="54"/>
  <c r="S81" i="54" s="1"/>
  <c r="P80" i="54"/>
  <c r="S80" i="54" s="1"/>
  <c r="P79" i="54"/>
  <c r="S79" i="54" s="1"/>
  <c r="P78" i="54"/>
  <c r="S78" i="54" s="1"/>
  <c r="P77" i="54"/>
  <c r="S77" i="54" s="1"/>
  <c r="P76" i="54"/>
  <c r="S76" i="54" s="1"/>
  <c r="P75" i="54"/>
  <c r="S75" i="54" s="1"/>
  <c r="P74" i="54"/>
  <c r="S74" i="54" s="1"/>
  <c r="P73" i="54"/>
  <c r="S73" i="54" s="1"/>
  <c r="P72" i="54"/>
  <c r="S72" i="54" s="1"/>
  <c r="P71" i="54"/>
  <c r="S71" i="54" s="1"/>
  <c r="P70" i="54"/>
  <c r="S70" i="54" s="1"/>
  <c r="P69" i="54"/>
  <c r="S69" i="54" s="1"/>
  <c r="P68" i="54"/>
  <c r="S68" i="54" s="1"/>
  <c r="P67" i="54"/>
  <c r="S67" i="54" s="1"/>
  <c r="P66" i="54"/>
  <c r="S66" i="54" s="1"/>
  <c r="P65" i="54"/>
  <c r="S65" i="54" s="1"/>
  <c r="P64" i="54"/>
  <c r="S64" i="54" s="1"/>
  <c r="P63" i="54"/>
  <c r="S63" i="54" s="1"/>
  <c r="P62" i="54"/>
  <c r="S62" i="54" s="1"/>
  <c r="P61" i="54"/>
  <c r="S61" i="54" s="1"/>
  <c r="P60" i="54"/>
  <c r="S60" i="54" s="1"/>
  <c r="P59" i="54"/>
  <c r="S59" i="54" s="1"/>
  <c r="P58" i="54"/>
  <c r="S58" i="54" s="1"/>
  <c r="P57" i="54"/>
  <c r="S57" i="54" s="1"/>
  <c r="P56" i="54"/>
  <c r="S56" i="54" s="1"/>
  <c r="BA6" i="53"/>
  <c r="AZ6" i="53"/>
  <c r="AY6" i="53"/>
  <c r="N173" i="54"/>
  <c r="O173" i="54" s="1"/>
  <c r="N172" i="54"/>
  <c r="O172" i="54" s="1"/>
  <c r="N171" i="54"/>
  <c r="O171" i="54" s="1"/>
  <c r="N170" i="54"/>
  <c r="O170" i="54" s="1"/>
  <c r="N169" i="54"/>
  <c r="O169" i="54" s="1"/>
  <c r="N168" i="54"/>
  <c r="O168" i="54" s="1"/>
  <c r="N167" i="54"/>
  <c r="O167" i="54" s="1"/>
  <c r="N166" i="54"/>
  <c r="O166" i="54" s="1"/>
  <c r="N165" i="54"/>
  <c r="O165" i="54" s="1"/>
  <c r="N164" i="54"/>
  <c r="O164" i="54" s="1"/>
  <c r="N163" i="54"/>
  <c r="O163" i="54" s="1"/>
  <c r="N162" i="54"/>
  <c r="O162" i="54" s="1"/>
  <c r="N161" i="54"/>
  <c r="O161" i="54" s="1"/>
  <c r="N160" i="54"/>
  <c r="O160" i="54" s="1"/>
  <c r="N159" i="54"/>
  <c r="O159" i="54" s="1"/>
  <c r="N158" i="54"/>
  <c r="O158" i="54" s="1"/>
  <c r="N157" i="54"/>
  <c r="O157" i="54" s="1"/>
  <c r="N156" i="54"/>
  <c r="O156" i="54" s="1"/>
  <c r="N155" i="54"/>
  <c r="O155" i="54" s="1"/>
  <c r="N154" i="54"/>
  <c r="O154" i="54" s="1"/>
  <c r="N153" i="54"/>
  <c r="O153" i="54" s="1"/>
  <c r="N152" i="54"/>
  <c r="O152" i="54" s="1"/>
  <c r="N151" i="54"/>
  <c r="O151" i="54" s="1"/>
  <c r="N150" i="54"/>
  <c r="O150" i="54" s="1"/>
  <c r="N149" i="54"/>
  <c r="O149" i="54" s="1"/>
  <c r="N148" i="54"/>
  <c r="O148" i="54" s="1"/>
  <c r="N147" i="54"/>
  <c r="O147" i="54" s="1"/>
  <c r="N146" i="54"/>
  <c r="O146" i="54" s="1"/>
  <c r="N145" i="54"/>
  <c r="O145" i="54" s="1"/>
  <c r="N144" i="54"/>
  <c r="O144" i="54" s="1"/>
  <c r="N143" i="54"/>
  <c r="O143" i="54" s="1"/>
  <c r="N142" i="54"/>
  <c r="O142" i="54" s="1"/>
  <c r="N141" i="54"/>
  <c r="O141" i="54" s="1"/>
  <c r="N140" i="54"/>
  <c r="O140" i="54" s="1"/>
  <c r="N139" i="54"/>
  <c r="O139" i="54" s="1"/>
  <c r="N138" i="54"/>
  <c r="O138" i="54" s="1"/>
  <c r="N137" i="54"/>
  <c r="O137" i="54" s="1"/>
  <c r="N136" i="54"/>
  <c r="O136" i="54" s="1"/>
  <c r="N135" i="54"/>
  <c r="O135" i="54" s="1"/>
  <c r="N134" i="54"/>
  <c r="O134" i="54" s="1"/>
  <c r="N133" i="54"/>
  <c r="O133" i="54" s="1"/>
  <c r="N132" i="54"/>
  <c r="O132" i="54" s="1"/>
  <c r="N131" i="54"/>
  <c r="O131" i="54" s="1"/>
  <c r="N130" i="54"/>
  <c r="O130" i="54" s="1"/>
  <c r="N129" i="54"/>
  <c r="O129" i="54" s="1"/>
  <c r="N128" i="54"/>
  <c r="O128" i="54" s="1"/>
  <c r="N127" i="54"/>
  <c r="O127" i="54" s="1"/>
  <c r="N126" i="54"/>
  <c r="O126" i="54" s="1"/>
  <c r="N125" i="54"/>
  <c r="O125" i="54" s="1"/>
  <c r="N124" i="54"/>
  <c r="O124" i="54" s="1"/>
  <c r="N123" i="54"/>
  <c r="O123" i="54" s="1"/>
  <c r="N122" i="54"/>
  <c r="O122" i="54" s="1"/>
  <c r="N121" i="54"/>
  <c r="O121" i="54" s="1"/>
  <c r="N120" i="54"/>
  <c r="O120" i="54" s="1"/>
  <c r="N119" i="54"/>
  <c r="O119" i="54" s="1"/>
  <c r="N118" i="54"/>
  <c r="O118" i="54" s="1"/>
  <c r="N117" i="54"/>
  <c r="O117" i="54" s="1"/>
  <c r="N116" i="54"/>
  <c r="O116" i="54" s="1"/>
  <c r="N115" i="54"/>
  <c r="O115" i="54" s="1"/>
  <c r="N114" i="54"/>
  <c r="O114" i="54" s="1"/>
  <c r="N113" i="54"/>
  <c r="O113" i="54" s="1"/>
  <c r="N112" i="54"/>
  <c r="O112" i="54" s="1"/>
  <c r="N111" i="54"/>
  <c r="O111" i="54" s="1"/>
  <c r="N110" i="54"/>
  <c r="O110" i="54" s="1"/>
  <c r="N109" i="54"/>
  <c r="O109" i="54" s="1"/>
  <c r="N108" i="54"/>
  <c r="O108" i="54" s="1"/>
  <c r="N107" i="54"/>
  <c r="O107" i="54" s="1"/>
  <c r="N106" i="54"/>
  <c r="O106" i="54" s="1"/>
  <c r="N105" i="54"/>
  <c r="O105" i="54" s="1"/>
  <c r="N104" i="54"/>
  <c r="O104" i="54" s="1"/>
  <c r="N103" i="54"/>
  <c r="O103" i="54" s="1"/>
  <c r="N102" i="54"/>
  <c r="O102" i="54" s="1"/>
  <c r="N101" i="54"/>
  <c r="O101" i="54" s="1"/>
  <c r="N100" i="54"/>
  <c r="O100" i="54" s="1"/>
  <c r="N99" i="54"/>
  <c r="O99" i="54" s="1"/>
  <c r="N98" i="54"/>
  <c r="O98" i="54" s="1"/>
  <c r="N97" i="54"/>
  <c r="O97" i="54" s="1"/>
  <c r="N96" i="54"/>
  <c r="O96" i="54" s="1"/>
  <c r="N95" i="54"/>
  <c r="O95" i="54" s="1"/>
  <c r="N94" i="54"/>
  <c r="O94" i="54" s="1"/>
  <c r="N93" i="54"/>
  <c r="O93" i="54" s="1"/>
  <c r="N92" i="54"/>
  <c r="O92" i="54" s="1"/>
  <c r="N91" i="54"/>
  <c r="O91" i="54" s="1"/>
  <c r="N90" i="54"/>
  <c r="O90" i="54" s="1"/>
  <c r="N89" i="54"/>
  <c r="O89" i="54" s="1"/>
  <c r="N88" i="54"/>
  <c r="O88" i="54" s="1"/>
  <c r="N87" i="54"/>
  <c r="O87" i="54" s="1"/>
  <c r="N86" i="54"/>
  <c r="O86" i="54" s="1"/>
  <c r="N85" i="54"/>
  <c r="O85" i="54" s="1"/>
  <c r="N84" i="54"/>
  <c r="O84" i="54" s="1"/>
  <c r="N83" i="54"/>
  <c r="O83" i="54" s="1"/>
  <c r="N82" i="54"/>
  <c r="O82" i="54" s="1"/>
  <c r="N81" i="54"/>
  <c r="O81" i="54" s="1"/>
  <c r="N80" i="54"/>
  <c r="O80" i="54" s="1"/>
  <c r="N79" i="54"/>
  <c r="O79" i="54" s="1"/>
  <c r="N78" i="54"/>
  <c r="O78" i="54" s="1"/>
  <c r="N77" i="54"/>
  <c r="O77" i="54" s="1"/>
  <c r="N76" i="54"/>
  <c r="O76" i="54" s="1"/>
  <c r="N75" i="54"/>
  <c r="O75" i="54" s="1"/>
  <c r="N74" i="54"/>
  <c r="O74" i="54" s="1"/>
  <c r="N73" i="54"/>
  <c r="O73" i="54" s="1"/>
  <c r="N72" i="54"/>
  <c r="O72" i="54" s="1"/>
  <c r="N71" i="54"/>
  <c r="O71" i="54" s="1"/>
  <c r="N70" i="54"/>
  <c r="O70" i="54" s="1"/>
  <c r="N69" i="54"/>
  <c r="O69" i="54" s="1"/>
  <c r="N68" i="54"/>
  <c r="O68" i="54" s="1"/>
  <c r="N67" i="54"/>
  <c r="O67" i="54" s="1"/>
  <c r="N66" i="54"/>
  <c r="O66" i="54" s="1"/>
  <c r="N65" i="54"/>
  <c r="O65" i="54" s="1"/>
  <c r="N64" i="54"/>
  <c r="O64" i="54" s="1"/>
  <c r="N63" i="54"/>
  <c r="O63" i="54" s="1"/>
  <c r="N62" i="54"/>
  <c r="O62" i="54" s="1"/>
  <c r="N61" i="54"/>
  <c r="O61" i="54" s="1"/>
  <c r="N60" i="54"/>
  <c r="O60" i="54" s="1"/>
  <c r="N59" i="54"/>
  <c r="O59" i="54" s="1"/>
  <c r="N58" i="54"/>
  <c r="O58" i="54" s="1"/>
  <c r="N57" i="54"/>
  <c r="O57" i="54" s="1"/>
  <c r="N56" i="54"/>
  <c r="O56" i="54" s="1"/>
  <c r="N55" i="54"/>
  <c r="O55" i="54" s="1"/>
  <c r="N54" i="54"/>
  <c r="O54" i="54" s="1"/>
  <c r="N53" i="54"/>
  <c r="O53" i="54" s="1"/>
  <c r="N52" i="54"/>
  <c r="O52" i="54" s="1"/>
  <c r="N51" i="54"/>
  <c r="O51" i="54" s="1"/>
  <c r="N50" i="54"/>
  <c r="O50" i="54" s="1"/>
  <c r="N49" i="54"/>
  <c r="O49" i="54" s="1"/>
  <c r="N48" i="54"/>
  <c r="O48" i="54" s="1"/>
  <c r="N47" i="54"/>
  <c r="O47" i="54" s="1"/>
  <c r="N46" i="54"/>
  <c r="O46" i="54" s="1"/>
  <c r="N45" i="54"/>
  <c r="O45" i="54" s="1"/>
  <c r="N44" i="54"/>
  <c r="O44" i="54" s="1"/>
  <c r="N43" i="54"/>
  <c r="O43" i="54" s="1"/>
  <c r="N42" i="54"/>
  <c r="O42" i="54" s="1"/>
  <c r="N41" i="54"/>
  <c r="O41" i="54" s="1"/>
  <c r="N40" i="54"/>
  <c r="O40" i="54" s="1"/>
  <c r="N39" i="54"/>
  <c r="O39" i="54" s="1"/>
  <c r="N38" i="54"/>
  <c r="O38" i="54" s="1"/>
  <c r="N37" i="54"/>
  <c r="O37" i="54" s="1"/>
  <c r="N36" i="54"/>
  <c r="O36" i="54" s="1"/>
  <c r="N35" i="54"/>
  <c r="O35" i="54" s="1"/>
  <c r="N34" i="54"/>
  <c r="O34" i="54" s="1"/>
  <c r="N33" i="54"/>
  <c r="O33" i="54" s="1"/>
  <c r="O529" i="54"/>
  <c r="N275" i="54"/>
  <c r="O275" i="54" s="1"/>
  <c r="N274" i="54"/>
  <c r="O274" i="54" s="1"/>
  <c r="N273" i="54"/>
  <c r="O273" i="54" s="1"/>
  <c r="N272" i="54"/>
  <c r="O272" i="54" s="1"/>
  <c r="N271" i="54"/>
  <c r="O271" i="54" s="1"/>
  <c r="N270" i="54"/>
  <c r="O270" i="54" s="1"/>
  <c r="N269" i="54"/>
  <c r="O269" i="54" s="1"/>
  <c r="N268" i="54"/>
  <c r="O268" i="54" s="1"/>
  <c r="N267" i="54"/>
  <c r="O267" i="54" s="1"/>
  <c r="N266" i="54"/>
  <c r="O266" i="54" s="1"/>
  <c r="N265" i="54"/>
  <c r="O265" i="54" s="1"/>
  <c r="N264" i="54"/>
  <c r="O264" i="54" s="1"/>
  <c r="N263" i="54"/>
  <c r="O263" i="54" s="1"/>
  <c r="N262" i="54"/>
  <c r="O262" i="54" s="1"/>
  <c r="N261" i="54"/>
  <c r="O261" i="54" s="1"/>
  <c r="N260" i="54"/>
  <c r="O260" i="54" s="1"/>
  <c r="N259" i="54"/>
  <c r="O259" i="54" s="1"/>
  <c r="N258" i="54"/>
  <c r="O258" i="54" s="1"/>
  <c r="N257" i="54"/>
  <c r="O257" i="54" s="1"/>
  <c r="N256" i="54"/>
  <c r="O256" i="54" s="1"/>
  <c r="N255" i="54"/>
  <c r="O255" i="54" s="1"/>
  <c r="N254" i="54"/>
  <c r="O254" i="54" s="1"/>
  <c r="N253" i="54"/>
  <c r="O253" i="54" s="1"/>
  <c r="N252" i="54"/>
  <c r="O252" i="54" s="1"/>
  <c r="N251" i="54"/>
  <c r="O251" i="54" s="1"/>
  <c r="N250" i="54"/>
  <c r="O250" i="54" s="1"/>
  <c r="N249" i="54"/>
  <c r="O249" i="54" s="1"/>
  <c r="N248" i="54"/>
  <c r="O248" i="54" s="1"/>
  <c r="N247" i="54"/>
  <c r="O247" i="54" s="1"/>
  <c r="N246" i="54"/>
  <c r="O246" i="54" s="1"/>
  <c r="N245" i="54"/>
  <c r="O245" i="54" s="1"/>
  <c r="N244" i="54"/>
  <c r="O244" i="54" s="1"/>
  <c r="N243" i="54"/>
  <c r="O243" i="54" s="1"/>
  <c r="N242" i="54"/>
  <c r="O242" i="54" s="1"/>
  <c r="N241" i="54"/>
  <c r="O241" i="54" s="1"/>
  <c r="N240" i="54"/>
  <c r="O240" i="54" s="1"/>
  <c r="N239" i="54"/>
  <c r="O239" i="54" s="1"/>
  <c r="N238" i="54"/>
  <c r="O238" i="54" s="1"/>
  <c r="N237" i="54"/>
  <c r="O237" i="54" s="1"/>
  <c r="N236" i="54"/>
  <c r="O236" i="54" s="1"/>
  <c r="N235" i="54"/>
  <c r="O235" i="54" s="1"/>
  <c r="N234" i="54"/>
  <c r="O234" i="54" s="1"/>
  <c r="N233" i="54"/>
  <c r="O233" i="54" s="1"/>
  <c r="N232" i="54"/>
  <c r="O232" i="54" s="1"/>
  <c r="N231" i="54"/>
  <c r="O231" i="54" s="1"/>
  <c r="N230" i="54"/>
  <c r="O230" i="54" s="1"/>
  <c r="N229" i="54"/>
  <c r="O229" i="54" s="1"/>
  <c r="N228" i="54"/>
  <c r="O228" i="54" s="1"/>
  <c r="N227" i="54"/>
  <c r="O227" i="54" s="1"/>
  <c r="N226" i="54"/>
  <c r="O226" i="54" s="1"/>
  <c r="N225" i="54"/>
  <c r="O225" i="54" s="1"/>
  <c r="N224" i="54"/>
  <c r="O224" i="54" s="1"/>
  <c r="N223" i="54"/>
  <c r="O223" i="54" s="1"/>
  <c r="N222" i="54"/>
  <c r="O222" i="54" s="1"/>
  <c r="N221" i="54"/>
  <c r="O221" i="54" s="1"/>
  <c r="N220" i="54"/>
  <c r="O220" i="54" s="1"/>
  <c r="N219" i="54"/>
  <c r="O219" i="54" s="1"/>
  <c r="N218" i="54"/>
  <c r="O218" i="54" s="1"/>
  <c r="N217" i="54"/>
  <c r="O217" i="54" s="1"/>
  <c r="N216" i="54"/>
  <c r="O216" i="54" s="1"/>
  <c r="N215" i="54"/>
  <c r="O215" i="54" s="1"/>
  <c r="N214" i="54"/>
  <c r="O214" i="54" s="1"/>
  <c r="N213" i="54"/>
  <c r="O213" i="54" s="1"/>
  <c r="N212" i="54"/>
  <c r="O212" i="54" s="1"/>
  <c r="N211" i="54"/>
  <c r="O211" i="54" s="1"/>
  <c r="N210" i="54"/>
  <c r="O210" i="54" s="1"/>
  <c r="N209" i="54"/>
  <c r="O209" i="54" s="1"/>
  <c r="N208" i="54"/>
  <c r="O208" i="54" s="1"/>
  <c r="N207" i="54"/>
  <c r="O207" i="54" s="1"/>
  <c r="N206" i="54"/>
  <c r="O206" i="54" s="1"/>
  <c r="N205" i="54"/>
  <c r="O205" i="54" s="1"/>
  <c r="N204" i="54"/>
  <c r="O204" i="54" s="1"/>
  <c r="N203" i="54"/>
  <c r="O203" i="54" s="1"/>
  <c r="N202" i="54"/>
  <c r="O202" i="54" s="1"/>
  <c r="N201" i="54"/>
  <c r="O201" i="54" s="1"/>
  <c r="N200" i="54"/>
  <c r="O200" i="54" s="1"/>
  <c r="N199" i="54"/>
  <c r="O199" i="54" s="1"/>
  <c r="N198" i="54"/>
  <c r="O198" i="54" s="1"/>
  <c r="N197" i="54"/>
  <c r="O197" i="54" s="1"/>
  <c r="N196" i="54"/>
  <c r="O196" i="54" s="1"/>
  <c r="N195" i="54"/>
  <c r="O195" i="54" s="1"/>
  <c r="N194" i="54"/>
  <c r="O194" i="54" s="1"/>
  <c r="N193" i="54"/>
  <c r="O193" i="54" s="1"/>
  <c r="N192" i="54"/>
  <c r="O192" i="54" s="1"/>
  <c r="N191" i="54"/>
  <c r="O191" i="54" s="1"/>
  <c r="N190" i="54"/>
  <c r="O190" i="54" s="1"/>
  <c r="N189" i="54"/>
  <c r="O189" i="54" s="1"/>
  <c r="N188" i="54"/>
  <c r="O188" i="54" s="1"/>
  <c r="N187" i="54"/>
  <c r="O187" i="54" s="1"/>
  <c r="N186" i="54"/>
  <c r="O186" i="54" s="1"/>
  <c r="N185" i="54"/>
  <c r="O185" i="54" s="1"/>
  <c r="N184" i="54"/>
  <c r="O184" i="54" s="1"/>
  <c r="N183" i="54"/>
  <c r="O183" i="54" s="1"/>
  <c r="N182" i="54"/>
  <c r="O182" i="54" s="1"/>
  <c r="N181" i="54"/>
  <c r="O181" i="54" s="1"/>
  <c r="N180" i="54"/>
  <c r="O180" i="54" s="1"/>
  <c r="N179" i="54"/>
  <c r="O179" i="54" s="1"/>
  <c r="N178" i="54"/>
  <c r="O178" i="54" s="1"/>
  <c r="N177" i="54"/>
  <c r="O177" i="54" s="1"/>
  <c r="N176" i="54"/>
  <c r="O176" i="54" s="1"/>
  <c r="N175" i="54"/>
  <c r="O175" i="54" s="1"/>
  <c r="N174" i="54"/>
  <c r="O174" i="54" s="1"/>
  <c r="P179" i="58" l="1"/>
  <c r="P234" i="58"/>
  <c r="S220" i="58"/>
  <c r="P219" i="58"/>
  <c r="P177" i="58"/>
  <c r="P225" i="58"/>
  <c r="S222" i="58"/>
  <c r="P211" i="58"/>
  <c r="P213" i="58"/>
  <c r="P229" i="58"/>
  <c r="BZ111" i="58" a="1"/>
  <c r="S204" i="58"/>
  <c r="S171" i="58"/>
  <c r="P209" i="58"/>
  <c r="S206" i="58"/>
  <c r="P226" i="58"/>
  <c r="P178" i="58"/>
  <c r="S228" i="58"/>
  <c r="P230" i="58"/>
  <c r="P217" i="58"/>
  <c r="P182" i="58"/>
  <c r="P173" i="58"/>
  <c r="P174" i="58"/>
  <c r="P170" i="58"/>
  <c r="S214" i="58"/>
  <c r="S212" i="58"/>
  <c r="S185" i="58"/>
  <c r="P210" i="58"/>
  <c r="S193" i="58"/>
  <c r="P205" i="58"/>
  <c r="S227" i="58"/>
  <c r="P218" i="58"/>
  <c r="S190" i="58"/>
  <c r="P181" i="58"/>
  <c r="S169" i="58"/>
  <c r="S188" i="58"/>
  <c r="S234" i="58"/>
  <c r="S180" i="58"/>
  <c r="P221" i="58"/>
  <c r="S172" i="58"/>
  <c r="S233" i="58"/>
  <c r="P224" i="58"/>
  <c r="P216" i="58"/>
  <c r="P208" i="58"/>
  <c r="P176" i="58"/>
  <c r="P168" i="58"/>
  <c r="S231" i="58"/>
  <c r="S223" i="58"/>
  <c r="S215" i="58"/>
  <c r="S207" i="58"/>
  <c r="S199" i="58"/>
  <c r="S191" i="58"/>
  <c r="S183" i="58"/>
  <c r="S175" i="58"/>
  <c r="S167" i="58"/>
  <c r="S232" i="58"/>
  <c r="I6" i="49"/>
  <c r="F2" i="49"/>
  <c r="K8" i="49"/>
  <c r="F145" i="58" l="1"/>
  <c r="F146" i="58"/>
  <c r="F144" i="58"/>
  <c r="CB111" i="58" a="1"/>
  <c r="CB111" i="58" s="1"/>
  <c r="BY111" i="58" s="1" a="1"/>
  <c r="O132" i="58" s="1"/>
  <c r="BZ111" i="58"/>
  <c r="O166" i="58"/>
  <c r="O158" i="58"/>
  <c r="O150" i="58"/>
  <c r="O142" i="58"/>
  <c r="O134" i="58"/>
  <c r="O165" i="58"/>
  <c r="O157" i="58"/>
  <c r="O149" i="58"/>
  <c r="O141" i="58"/>
  <c r="O133" i="58"/>
  <c r="BS117" i="58"/>
  <c r="O164" i="58"/>
  <c r="O156" i="58"/>
  <c r="O148" i="58"/>
  <c r="O140" i="58"/>
  <c r="BS116" i="58"/>
  <c r="O163" i="58"/>
  <c r="O155" i="58"/>
  <c r="O147" i="58"/>
  <c r="O139" i="58"/>
  <c r="BS115" i="58"/>
  <c r="O162" i="58"/>
  <c r="O154" i="58"/>
  <c r="O146" i="58"/>
  <c r="O138" i="58"/>
  <c r="BS114" i="58"/>
  <c r="O161" i="58"/>
  <c r="O153" i="58"/>
  <c r="O145" i="58"/>
  <c r="O137" i="58"/>
  <c r="O160" i="58"/>
  <c r="O152" i="58"/>
  <c r="O144" i="58"/>
  <c r="O136" i="58"/>
  <c r="O159" i="58"/>
  <c r="O151" i="58"/>
  <c r="O143" i="58"/>
  <c r="O135" i="58"/>
  <c r="CC111" i="58" a="1"/>
  <c r="BY111" i="58" l="1"/>
  <c r="BS113" i="58"/>
  <c r="S152" i="58"/>
  <c r="P152" i="58"/>
  <c r="P142" i="58"/>
  <c r="S142" i="58"/>
  <c r="P151" i="58"/>
  <c r="S151" i="58"/>
  <c r="S141" i="58"/>
  <c r="P141" i="58"/>
  <c r="P150" i="58"/>
  <c r="S150" i="58"/>
  <c r="P159" i="58"/>
  <c r="S159" i="58"/>
  <c r="P140" i="58"/>
  <c r="S140" i="58"/>
  <c r="S149" i="58"/>
  <c r="P149" i="58"/>
  <c r="P158" i="58"/>
  <c r="S158" i="58"/>
  <c r="P137" i="58"/>
  <c r="S137" i="58"/>
  <c r="S146" i="58"/>
  <c r="P146" i="58"/>
  <c r="P155" i="58"/>
  <c r="S155" i="58"/>
  <c r="P164" i="58"/>
  <c r="S164" i="58"/>
  <c r="S136" i="58"/>
  <c r="P136" i="58"/>
  <c r="P145" i="58"/>
  <c r="S145" i="58"/>
  <c r="S154" i="58"/>
  <c r="P154" i="58"/>
  <c r="P163" i="58"/>
  <c r="S163" i="58"/>
  <c r="P135" i="58"/>
  <c r="S135" i="58"/>
  <c r="S144" i="58"/>
  <c r="P144" i="58"/>
  <c r="P153" i="58"/>
  <c r="S162" i="58"/>
  <c r="P162" i="58"/>
  <c r="P134" i="58"/>
  <c r="S134" i="58"/>
  <c r="P143" i="58"/>
  <c r="S143" i="58"/>
  <c r="P161" i="58"/>
  <c r="S161" i="58"/>
  <c r="S133" i="58"/>
  <c r="P133" i="58"/>
  <c r="S160" i="58"/>
  <c r="P160" i="58"/>
  <c r="P132" i="58"/>
  <c r="S132" i="58"/>
  <c r="S139" i="58"/>
  <c r="P139" i="58"/>
  <c r="P148" i="58"/>
  <c r="S148" i="58"/>
  <c r="S157" i="58"/>
  <c r="P157" i="58"/>
  <c r="P166" i="58"/>
  <c r="S166" i="58"/>
  <c r="S138" i="58"/>
  <c r="P138" i="58"/>
  <c r="P147" i="58"/>
  <c r="S147" i="58"/>
  <c r="P156" i="58"/>
  <c r="S156" i="58"/>
  <c r="S165" i="58"/>
  <c r="P165" i="58"/>
  <c r="CD125" i="58"/>
  <c r="CD129" i="58"/>
  <c r="CD128" i="58"/>
  <c r="CD127" i="58"/>
  <c r="CD126" i="58"/>
  <c r="CD124" i="58"/>
  <c r="CD131" i="58"/>
  <c r="CD123" i="58"/>
  <c r="CD130" i="58"/>
  <c r="CD122" i="58"/>
  <c r="CC111" i="58"/>
  <c r="CD111" i="58" s="1"/>
  <c r="CD119" i="58"/>
  <c r="CD118" i="58"/>
  <c r="CD112" i="58"/>
  <c r="CD117" i="58"/>
  <c r="CD120" i="58"/>
  <c r="CD116" i="58"/>
  <c r="CD115" i="58"/>
  <c r="CD114" i="58"/>
  <c r="CD121" i="58"/>
  <c r="CD113" i="58"/>
  <c r="S24" i="54"/>
  <c r="P23" i="54"/>
  <c r="S3" i="54"/>
  <c r="Q11" i="49"/>
  <c r="R11" i="49" s="1"/>
  <c r="Q10" i="49"/>
  <c r="R10" i="49" s="1"/>
  <c r="O11" i="49"/>
  <c r="S11" i="49" s="1"/>
  <c r="P11" i="49" l="1"/>
  <c r="CE111" i="58" a="1"/>
  <c r="CE111" i="58" s="1"/>
  <c r="Q505" i="49"/>
  <c r="M79" i="54" a="1"/>
  <c r="M79" i="54" s="1"/>
  <c r="L79" i="54" a="1"/>
  <c r="L79" i="54" s="1"/>
  <c r="K79" i="54" a="1"/>
  <c r="K79" i="54" s="1"/>
  <c r="J79" i="54" a="1"/>
  <c r="J79" i="54" s="1"/>
  <c r="I79" i="54" a="1"/>
  <c r="I79" i="54" s="1"/>
  <c r="H79" i="54" a="1"/>
  <c r="H79" i="54" s="1"/>
  <c r="G79" i="54" a="1"/>
  <c r="G79" i="54" s="1"/>
  <c r="F79" i="54" a="1"/>
  <c r="F79" i="54" s="1"/>
  <c r="E79" i="54" a="1"/>
  <c r="E79" i="54" s="1"/>
  <c r="D79" i="54" a="1"/>
  <c r="D79" i="54" s="1"/>
  <c r="C79" i="54" a="1"/>
  <c r="C79" i="54" s="1"/>
  <c r="A79" i="54" a="1"/>
  <c r="A79" i="54" s="1"/>
  <c r="M78" i="54" a="1"/>
  <c r="M78" i="54" s="1"/>
  <c r="L78" i="54" a="1"/>
  <c r="L78" i="54" s="1"/>
  <c r="K78" i="54" a="1"/>
  <c r="K78" i="54" s="1"/>
  <c r="J78" i="54" a="1"/>
  <c r="J78" i="54" s="1"/>
  <c r="I78" i="54" a="1"/>
  <c r="I78" i="54" s="1"/>
  <c r="H78" i="54" a="1"/>
  <c r="H78" i="54" s="1"/>
  <c r="G78" i="54" a="1"/>
  <c r="G78" i="54" s="1"/>
  <c r="F78" i="54" a="1"/>
  <c r="F78" i="54" s="1"/>
  <c r="E78" i="54" a="1"/>
  <c r="E78" i="54" s="1"/>
  <c r="D78" i="54" a="1"/>
  <c r="D78" i="54" s="1"/>
  <c r="C78" i="54" a="1"/>
  <c r="C78" i="54" s="1"/>
  <c r="A78" i="54" a="1"/>
  <c r="A78" i="54" s="1"/>
  <c r="M77" i="54" a="1"/>
  <c r="M77" i="54" s="1"/>
  <c r="L77" i="54" a="1"/>
  <c r="L77" i="54" s="1"/>
  <c r="K77" i="54" a="1"/>
  <c r="K77" i="54" s="1"/>
  <c r="J77" i="54" a="1"/>
  <c r="J77" i="54" s="1"/>
  <c r="I77" i="54" a="1"/>
  <c r="I77" i="54" s="1"/>
  <c r="H77" i="54" a="1"/>
  <c r="H77" i="54" s="1"/>
  <c r="G77" i="54" a="1"/>
  <c r="G77" i="54" s="1"/>
  <c r="F77" i="54" a="1"/>
  <c r="F77" i="54" s="1"/>
  <c r="E77" i="54" a="1"/>
  <c r="E77" i="54" s="1"/>
  <c r="D77" i="54" a="1"/>
  <c r="D77" i="54" s="1"/>
  <c r="C77" i="54" a="1"/>
  <c r="C77" i="54" s="1"/>
  <c r="A77" i="54" a="1"/>
  <c r="A77" i="54" s="1"/>
  <c r="M76" i="54" a="1"/>
  <c r="M76" i="54" s="1"/>
  <c r="L76" i="54" a="1"/>
  <c r="L76" i="54" s="1"/>
  <c r="K76" i="54" a="1"/>
  <c r="K76" i="54" s="1"/>
  <c r="J76" i="54" a="1"/>
  <c r="J76" i="54" s="1"/>
  <c r="I76" i="54" a="1"/>
  <c r="I76" i="54" s="1"/>
  <c r="H76" i="54" a="1"/>
  <c r="H76" i="54" s="1"/>
  <c r="G76" i="54" a="1"/>
  <c r="G76" i="54" s="1"/>
  <c r="F76" i="54" a="1"/>
  <c r="F76" i="54" s="1"/>
  <c r="E76" i="54" a="1"/>
  <c r="E76" i="54" s="1"/>
  <c r="D76" i="54" a="1"/>
  <c r="D76" i="54" s="1"/>
  <c r="C76" i="54" a="1"/>
  <c r="C76" i="54" s="1"/>
  <c r="A76" i="54" a="1"/>
  <c r="A76" i="54" s="1"/>
  <c r="M75" i="54" a="1"/>
  <c r="M75" i="54" s="1"/>
  <c r="L75" i="54" a="1"/>
  <c r="L75" i="54" s="1"/>
  <c r="AE75" i="54" s="1"/>
  <c r="K75" i="54" a="1"/>
  <c r="K75" i="54" s="1"/>
  <c r="J75" i="54" a="1"/>
  <c r="J75" i="54" s="1"/>
  <c r="I75" i="54" a="1"/>
  <c r="I75" i="54" s="1"/>
  <c r="H75" i="54" a="1"/>
  <c r="H75" i="54" s="1"/>
  <c r="G75" i="54" a="1"/>
  <c r="G75" i="54" s="1"/>
  <c r="F75" i="54" a="1"/>
  <c r="F75" i="54" s="1"/>
  <c r="E75" i="54" a="1"/>
  <c r="E75" i="54" s="1"/>
  <c r="D75" i="54" a="1"/>
  <c r="D75" i="54" s="1"/>
  <c r="C75" i="54" a="1"/>
  <c r="C75" i="54" s="1"/>
  <c r="A75" i="54" a="1"/>
  <c r="A75" i="54" s="1"/>
  <c r="M74" i="54" a="1"/>
  <c r="M74" i="54" s="1"/>
  <c r="L74" i="54" a="1"/>
  <c r="L74" i="54" s="1"/>
  <c r="AE74" i="54" s="1"/>
  <c r="K74" i="54" a="1"/>
  <c r="K74" i="54" s="1"/>
  <c r="J74" i="54" a="1"/>
  <c r="J74" i="54" s="1"/>
  <c r="I74" i="54" a="1"/>
  <c r="I74" i="54" s="1"/>
  <c r="H74" i="54" a="1"/>
  <c r="H74" i="54" s="1"/>
  <c r="G74" i="54" a="1"/>
  <c r="G74" i="54" s="1"/>
  <c r="F74" i="54" a="1"/>
  <c r="F74" i="54" s="1"/>
  <c r="E74" i="54" a="1"/>
  <c r="E74" i="54" s="1"/>
  <c r="D74" i="54" a="1"/>
  <c r="D74" i="54" s="1"/>
  <c r="C74" i="54" a="1"/>
  <c r="C74" i="54" s="1"/>
  <c r="A74" i="54" a="1"/>
  <c r="A74" i="54" s="1"/>
  <c r="M73" i="54" a="1"/>
  <c r="M73" i="54" s="1"/>
  <c r="L73" i="54" a="1"/>
  <c r="L73" i="54" s="1"/>
  <c r="AE73" i="54" s="1"/>
  <c r="K73" i="54" a="1"/>
  <c r="K73" i="54" s="1"/>
  <c r="J73" i="54" a="1"/>
  <c r="J73" i="54" s="1"/>
  <c r="I73" i="54" a="1"/>
  <c r="I73" i="54" s="1"/>
  <c r="H73" i="54" a="1"/>
  <c r="H73" i="54" s="1"/>
  <c r="G73" i="54" a="1"/>
  <c r="G73" i="54" s="1"/>
  <c r="F73" i="54" a="1"/>
  <c r="F73" i="54" s="1"/>
  <c r="E73" i="54" a="1"/>
  <c r="E73" i="54" s="1"/>
  <c r="D73" i="54" a="1"/>
  <c r="D73" i="54" s="1"/>
  <c r="C73" i="54" a="1"/>
  <c r="C73" i="54" s="1"/>
  <c r="A73" i="54" a="1"/>
  <c r="A73" i="54" s="1"/>
  <c r="M72" i="54" a="1"/>
  <c r="M72" i="54" s="1"/>
  <c r="L72" i="54" a="1"/>
  <c r="L72" i="54" s="1"/>
  <c r="AE72" i="54" s="1"/>
  <c r="K72" i="54" a="1"/>
  <c r="K72" i="54" s="1"/>
  <c r="J72" i="54" a="1"/>
  <c r="J72" i="54" s="1"/>
  <c r="I72" i="54" a="1"/>
  <c r="I72" i="54" s="1"/>
  <c r="H72" i="54" a="1"/>
  <c r="H72" i="54" s="1"/>
  <c r="G72" i="54" a="1"/>
  <c r="G72" i="54" s="1"/>
  <c r="F72" i="54" a="1"/>
  <c r="F72" i="54" s="1"/>
  <c r="E72" i="54" a="1"/>
  <c r="E72" i="54" s="1"/>
  <c r="D72" i="54" a="1"/>
  <c r="D72" i="54" s="1"/>
  <c r="C72" i="54" a="1"/>
  <c r="C72" i="54" s="1"/>
  <c r="A72" i="54" a="1"/>
  <c r="A72" i="54" s="1"/>
  <c r="M71" i="54" a="1"/>
  <c r="M71" i="54" s="1"/>
  <c r="L71" i="54" a="1"/>
  <c r="L71" i="54" s="1"/>
  <c r="AE71" i="54" s="1"/>
  <c r="K71" i="54" a="1"/>
  <c r="K71" i="54" s="1"/>
  <c r="J71" i="54" a="1"/>
  <c r="J71" i="54" s="1"/>
  <c r="I71" i="54" a="1"/>
  <c r="I71" i="54" s="1"/>
  <c r="H71" i="54" a="1"/>
  <c r="H71" i="54" s="1"/>
  <c r="G71" i="54" a="1"/>
  <c r="G71" i="54" s="1"/>
  <c r="F71" i="54" a="1"/>
  <c r="F71" i="54" s="1"/>
  <c r="E71" i="54" a="1"/>
  <c r="E71" i="54" s="1"/>
  <c r="D71" i="54" a="1"/>
  <c r="D71" i="54" s="1"/>
  <c r="C71" i="54" a="1"/>
  <c r="C71" i="54" s="1"/>
  <c r="A71" i="54" a="1"/>
  <c r="A71" i="54" s="1"/>
  <c r="M70" i="54" a="1"/>
  <c r="M70" i="54" s="1"/>
  <c r="L70" i="54" a="1"/>
  <c r="L70" i="54" s="1"/>
  <c r="AE70" i="54" s="1"/>
  <c r="K70" i="54" a="1"/>
  <c r="K70" i="54" s="1"/>
  <c r="J70" i="54" a="1"/>
  <c r="J70" i="54" s="1"/>
  <c r="I70" i="54" a="1"/>
  <c r="I70" i="54" s="1"/>
  <c r="H70" i="54" a="1"/>
  <c r="H70" i="54" s="1"/>
  <c r="G70" i="54" a="1"/>
  <c r="G70" i="54" s="1"/>
  <c r="F70" i="54" a="1"/>
  <c r="F70" i="54" s="1"/>
  <c r="E70" i="54" a="1"/>
  <c r="E70" i="54" s="1"/>
  <c r="D70" i="54" a="1"/>
  <c r="D70" i="54" s="1"/>
  <c r="C70" i="54" a="1"/>
  <c r="C70" i="54" s="1"/>
  <c r="A70" i="54" a="1"/>
  <c r="A70" i="54" s="1"/>
  <c r="M69" i="54" a="1"/>
  <c r="M69" i="54" s="1"/>
  <c r="L69" i="54" a="1"/>
  <c r="L69" i="54" s="1"/>
  <c r="AE69" i="54" s="1"/>
  <c r="K69" i="54" a="1"/>
  <c r="K69" i="54" s="1"/>
  <c r="J69" i="54" a="1"/>
  <c r="J69" i="54" s="1"/>
  <c r="I69" i="54" a="1"/>
  <c r="I69" i="54" s="1"/>
  <c r="H69" i="54" a="1"/>
  <c r="H69" i="54" s="1"/>
  <c r="G69" i="54" a="1"/>
  <c r="G69" i="54" s="1"/>
  <c r="F69" i="54" a="1"/>
  <c r="F69" i="54" s="1"/>
  <c r="E69" i="54" a="1"/>
  <c r="E69" i="54" s="1"/>
  <c r="D69" i="54" a="1"/>
  <c r="D69" i="54" s="1"/>
  <c r="C69" i="54" a="1"/>
  <c r="C69" i="54" s="1"/>
  <c r="A69" i="54" a="1"/>
  <c r="A69" i="54" s="1"/>
  <c r="M68" i="54" a="1"/>
  <c r="M68" i="54" s="1"/>
  <c r="L68" i="54" a="1"/>
  <c r="L68" i="54" s="1"/>
  <c r="AE68" i="54" s="1"/>
  <c r="K68" i="54" a="1"/>
  <c r="K68" i="54" s="1"/>
  <c r="J68" i="54" a="1"/>
  <c r="J68" i="54" s="1"/>
  <c r="I68" i="54" a="1"/>
  <c r="I68" i="54" s="1"/>
  <c r="H68" i="54" a="1"/>
  <c r="H68" i="54" s="1"/>
  <c r="G68" i="54" a="1"/>
  <c r="G68" i="54" s="1"/>
  <c r="F68" i="54" a="1"/>
  <c r="F68" i="54" s="1"/>
  <c r="E68" i="54" a="1"/>
  <c r="E68" i="54" s="1"/>
  <c r="D68" i="54" a="1"/>
  <c r="D68" i="54" s="1"/>
  <c r="C68" i="54" a="1"/>
  <c r="C68" i="54" s="1"/>
  <c r="A68" i="54" a="1"/>
  <c r="A68" i="54" s="1"/>
  <c r="M67" i="54" a="1"/>
  <c r="M67" i="54" s="1"/>
  <c r="L67" i="54" a="1"/>
  <c r="L67" i="54" s="1"/>
  <c r="AE67" i="54" s="1"/>
  <c r="K67" i="54" a="1"/>
  <c r="K67" i="54" s="1"/>
  <c r="J67" i="54" a="1"/>
  <c r="J67" i="54" s="1"/>
  <c r="I67" i="54" a="1"/>
  <c r="I67" i="54" s="1"/>
  <c r="H67" i="54" a="1"/>
  <c r="H67" i="54" s="1"/>
  <c r="G67" i="54" a="1"/>
  <c r="G67" i="54" s="1"/>
  <c r="F67" i="54" a="1"/>
  <c r="F67" i="54" s="1"/>
  <c r="E67" i="54" a="1"/>
  <c r="E67" i="54" s="1"/>
  <c r="D67" i="54" a="1"/>
  <c r="D67" i="54" s="1"/>
  <c r="C67" i="54" a="1"/>
  <c r="C67" i="54" s="1"/>
  <c r="A67" i="54" a="1"/>
  <c r="A67" i="54" s="1"/>
  <c r="M66" i="54" a="1"/>
  <c r="M66" i="54" s="1"/>
  <c r="L66" i="54" a="1"/>
  <c r="L66" i="54" s="1"/>
  <c r="AE66" i="54" s="1"/>
  <c r="K66" i="54" a="1"/>
  <c r="K66" i="54" s="1"/>
  <c r="J66" i="54" a="1"/>
  <c r="J66" i="54" s="1"/>
  <c r="I66" i="54" a="1"/>
  <c r="I66" i="54" s="1"/>
  <c r="H66" i="54" a="1"/>
  <c r="H66" i="54" s="1"/>
  <c r="G66" i="54" a="1"/>
  <c r="G66" i="54" s="1"/>
  <c r="F66" i="54" a="1"/>
  <c r="F66" i="54" s="1"/>
  <c r="E66" i="54" a="1"/>
  <c r="E66" i="54" s="1"/>
  <c r="D66" i="54" a="1"/>
  <c r="D66" i="54" s="1"/>
  <c r="C66" i="54" a="1"/>
  <c r="C66" i="54" s="1"/>
  <c r="A66" i="54" a="1"/>
  <c r="A66" i="54" s="1"/>
  <c r="M65" i="54" a="1"/>
  <c r="M65" i="54" s="1"/>
  <c r="L65" i="54" a="1"/>
  <c r="L65" i="54" s="1"/>
  <c r="AE65" i="54" s="1"/>
  <c r="K65" i="54" a="1"/>
  <c r="K65" i="54" s="1"/>
  <c r="J65" i="54" a="1"/>
  <c r="J65" i="54" s="1"/>
  <c r="I65" i="54" a="1"/>
  <c r="I65" i="54" s="1"/>
  <c r="H65" i="54" a="1"/>
  <c r="H65" i="54" s="1"/>
  <c r="G65" i="54" a="1"/>
  <c r="G65" i="54" s="1"/>
  <c r="F65" i="54" a="1"/>
  <c r="F65" i="54" s="1"/>
  <c r="E65" i="54" a="1"/>
  <c r="E65" i="54" s="1"/>
  <c r="D65" i="54" a="1"/>
  <c r="D65" i="54" s="1"/>
  <c r="C65" i="54" a="1"/>
  <c r="C65" i="54" s="1"/>
  <c r="A65" i="54" a="1"/>
  <c r="A65" i="54" s="1"/>
  <c r="M64" i="54" a="1"/>
  <c r="M64" i="54" s="1"/>
  <c r="L64" i="54" a="1"/>
  <c r="L64" i="54" s="1"/>
  <c r="AE64" i="54" s="1"/>
  <c r="K64" i="54" a="1"/>
  <c r="K64" i="54" s="1"/>
  <c r="J64" i="54" a="1"/>
  <c r="J64" i="54" s="1"/>
  <c r="I64" i="54" a="1"/>
  <c r="I64" i="54" s="1"/>
  <c r="H64" i="54" a="1"/>
  <c r="H64" i="54" s="1"/>
  <c r="G64" i="54" a="1"/>
  <c r="G64" i="54" s="1"/>
  <c r="F64" i="54" a="1"/>
  <c r="F64" i="54" s="1"/>
  <c r="E64" i="54" a="1"/>
  <c r="E64" i="54" s="1"/>
  <c r="D64" i="54" a="1"/>
  <c r="D64" i="54" s="1"/>
  <c r="C64" i="54" a="1"/>
  <c r="C64" i="54" s="1"/>
  <c r="A64" i="54" a="1"/>
  <c r="A64" i="54" s="1"/>
  <c r="M63" i="54" a="1"/>
  <c r="M63" i="54" s="1"/>
  <c r="L63" i="54" a="1"/>
  <c r="L63" i="54" s="1"/>
  <c r="AE63" i="54" s="1"/>
  <c r="K63" i="54" a="1"/>
  <c r="K63" i="54" s="1"/>
  <c r="J63" i="54" a="1"/>
  <c r="J63" i="54" s="1"/>
  <c r="I63" i="54" a="1"/>
  <c r="I63" i="54" s="1"/>
  <c r="H63" i="54" a="1"/>
  <c r="H63" i="54" s="1"/>
  <c r="G63" i="54" a="1"/>
  <c r="G63" i="54" s="1"/>
  <c r="F63" i="54" a="1"/>
  <c r="F63" i="54" s="1"/>
  <c r="E63" i="54" a="1"/>
  <c r="E63" i="54" s="1"/>
  <c r="D63" i="54" a="1"/>
  <c r="D63" i="54" s="1"/>
  <c r="C63" i="54" a="1"/>
  <c r="C63" i="54" s="1"/>
  <c r="A63" i="54" a="1"/>
  <c r="A63" i="54" s="1"/>
  <c r="M62" i="54" a="1"/>
  <c r="M62" i="54" s="1"/>
  <c r="L62" i="54" a="1"/>
  <c r="L62" i="54" s="1"/>
  <c r="AE62" i="54" s="1"/>
  <c r="K62" i="54" a="1"/>
  <c r="K62" i="54" s="1"/>
  <c r="J62" i="54" a="1"/>
  <c r="J62" i="54" s="1"/>
  <c r="I62" i="54" a="1"/>
  <c r="I62" i="54" s="1"/>
  <c r="H62" i="54" a="1"/>
  <c r="H62" i="54" s="1"/>
  <c r="G62" i="54" a="1"/>
  <c r="G62" i="54" s="1"/>
  <c r="F62" i="54" a="1"/>
  <c r="F62" i="54" s="1"/>
  <c r="E62" i="54" a="1"/>
  <c r="E62" i="54" s="1"/>
  <c r="D62" i="54" a="1"/>
  <c r="D62" i="54" s="1"/>
  <c r="C62" i="54" a="1"/>
  <c r="C62" i="54" s="1"/>
  <c r="A62" i="54" a="1"/>
  <c r="A62" i="54" s="1"/>
  <c r="M61" i="54" a="1"/>
  <c r="M61" i="54" s="1"/>
  <c r="L61" i="54" a="1"/>
  <c r="L61" i="54" s="1"/>
  <c r="AE61" i="54" s="1"/>
  <c r="K61" i="54" a="1"/>
  <c r="K61" i="54" s="1"/>
  <c r="J61" i="54" a="1"/>
  <c r="J61" i="54" s="1"/>
  <c r="I61" i="54" a="1"/>
  <c r="I61" i="54" s="1"/>
  <c r="H61" i="54" a="1"/>
  <c r="H61" i="54" s="1"/>
  <c r="G61" i="54" a="1"/>
  <c r="G61" i="54" s="1"/>
  <c r="F61" i="54" a="1"/>
  <c r="F61" i="54" s="1"/>
  <c r="E61" i="54" a="1"/>
  <c r="E61" i="54" s="1"/>
  <c r="D61" i="54" a="1"/>
  <c r="D61" i="54" s="1"/>
  <c r="C61" i="54" a="1"/>
  <c r="C61" i="54" s="1"/>
  <c r="A61" i="54" a="1"/>
  <c r="A61" i="54" s="1"/>
  <c r="M60" i="54" a="1"/>
  <c r="M60" i="54" s="1"/>
  <c r="L60" i="54" a="1"/>
  <c r="L60" i="54" s="1"/>
  <c r="AE60" i="54" s="1"/>
  <c r="K60" i="54" a="1"/>
  <c r="K60" i="54" s="1"/>
  <c r="J60" i="54" a="1"/>
  <c r="J60" i="54" s="1"/>
  <c r="I60" i="54" a="1"/>
  <c r="I60" i="54" s="1"/>
  <c r="H60" i="54" a="1"/>
  <c r="H60" i="54" s="1"/>
  <c r="G60" i="54" a="1"/>
  <c r="G60" i="54" s="1"/>
  <c r="F60" i="54" a="1"/>
  <c r="F60" i="54" s="1"/>
  <c r="E60" i="54" a="1"/>
  <c r="E60" i="54" s="1"/>
  <c r="D60" i="54" a="1"/>
  <c r="D60" i="54" s="1"/>
  <c r="C60" i="54" a="1"/>
  <c r="C60" i="54" s="1"/>
  <c r="A60" i="54" a="1"/>
  <c r="A60" i="54" s="1"/>
  <c r="M59" i="54" a="1"/>
  <c r="M59" i="54" s="1"/>
  <c r="L59" i="54" a="1"/>
  <c r="L59" i="54" s="1"/>
  <c r="AE59" i="54" s="1"/>
  <c r="K59" i="54" a="1"/>
  <c r="K59" i="54" s="1"/>
  <c r="J59" i="54" a="1"/>
  <c r="J59" i="54" s="1"/>
  <c r="I59" i="54" a="1"/>
  <c r="I59" i="54" s="1"/>
  <c r="H59" i="54" a="1"/>
  <c r="H59" i="54" s="1"/>
  <c r="G59" i="54" a="1"/>
  <c r="G59" i="54" s="1"/>
  <c r="F59" i="54" a="1"/>
  <c r="F59" i="54" s="1"/>
  <c r="E59" i="54" a="1"/>
  <c r="E59" i="54" s="1"/>
  <c r="D59" i="54" a="1"/>
  <c r="D59" i="54" s="1"/>
  <c r="C59" i="54" a="1"/>
  <c r="C59" i="54" s="1"/>
  <c r="A59" i="54" a="1"/>
  <c r="A59" i="54" s="1"/>
  <c r="M58" i="54" a="1"/>
  <c r="M58" i="54" s="1"/>
  <c r="L58" i="54" a="1"/>
  <c r="L58" i="54" s="1"/>
  <c r="AE58" i="54" s="1"/>
  <c r="K58" i="54" a="1"/>
  <c r="K58" i="54" s="1"/>
  <c r="J58" i="54" a="1"/>
  <c r="J58" i="54" s="1"/>
  <c r="I58" i="54" a="1"/>
  <c r="I58" i="54" s="1"/>
  <c r="H58" i="54" a="1"/>
  <c r="H58" i="54" s="1"/>
  <c r="G58" i="54" a="1"/>
  <c r="G58" i="54" s="1"/>
  <c r="F58" i="54" a="1"/>
  <c r="F58" i="54" s="1"/>
  <c r="E58" i="54" a="1"/>
  <c r="E58" i="54" s="1"/>
  <c r="D58" i="54" a="1"/>
  <c r="D58" i="54" s="1"/>
  <c r="C58" i="54" a="1"/>
  <c r="C58" i="54" s="1"/>
  <c r="A58" i="54" a="1"/>
  <c r="A58" i="54" s="1"/>
  <c r="M57" i="54" a="1"/>
  <c r="M57" i="54" s="1"/>
  <c r="L57" i="54" a="1"/>
  <c r="L57" i="54" s="1"/>
  <c r="AE57" i="54" s="1"/>
  <c r="K57" i="54" a="1"/>
  <c r="K57" i="54" s="1"/>
  <c r="J57" i="54" a="1"/>
  <c r="J57" i="54" s="1"/>
  <c r="I57" i="54" a="1"/>
  <c r="I57" i="54" s="1"/>
  <c r="H57" i="54" a="1"/>
  <c r="H57" i="54" s="1"/>
  <c r="G57" i="54" a="1"/>
  <c r="G57" i="54" s="1"/>
  <c r="F57" i="54" a="1"/>
  <c r="F57" i="54" s="1"/>
  <c r="E57" i="54" a="1"/>
  <c r="E57" i="54" s="1"/>
  <c r="D57" i="54" a="1"/>
  <c r="D57" i="54" s="1"/>
  <c r="C57" i="54" a="1"/>
  <c r="C57" i="54" s="1"/>
  <c r="A57" i="54" a="1"/>
  <c r="A57" i="54" s="1"/>
  <c r="M56" i="54" a="1"/>
  <c r="M56" i="54" s="1"/>
  <c r="L56" i="54" a="1"/>
  <c r="L56" i="54" s="1"/>
  <c r="AE56" i="54" s="1"/>
  <c r="K56" i="54" a="1"/>
  <c r="K56" i="54" s="1"/>
  <c r="J56" i="54" a="1"/>
  <c r="J56" i="54" s="1"/>
  <c r="I56" i="54" a="1"/>
  <c r="I56" i="54" s="1"/>
  <c r="H56" i="54" a="1"/>
  <c r="H56" i="54" s="1"/>
  <c r="G56" i="54" a="1"/>
  <c r="G56" i="54" s="1"/>
  <c r="F56" i="54" a="1"/>
  <c r="F56" i="54" s="1"/>
  <c r="E56" i="54" a="1"/>
  <c r="E56" i="54" s="1"/>
  <c r="D56" i="54" a="1"/>
  <c r="D56" i="54" s="1"/>
  <c r="C56" i="54" a="1"/>
  <c r="C56" i="54" s="1"/>
  <c r="A56" i="54" a="1"/>
  <c r="A56" i="54" s="1"/>
  <c r="M55" i="54" a="1"/>
  <c r="M55" i="54" s="1"/>
  <c r="L55" i="54" a="1"/>
  <c r="L55" i="54" s="1"/>
  <c r="AE55" i="54" s="1"/>
  <c r="K55" i="54" a="1"/>
  <c r="K55" i="54" s="1"/>
  <c r="J55" i="54" a="1"/>
  <c r="J55" i="54" s="1"/>
  <c r="I55" i="54" a="1"/>
  <c r="I55" i="54" s="1"/>
  <c r="H55" i="54" a="1"/>
  <c r="H55" i="54" s="1"/>
  <c r="G55" i="54" a="1"/>
  <c r="G55" i="54" s="1"/>
  <c r="F55" i="54" a="1"/>
  <c r="F55" i="54" s="1"/>
  <c r="E55" i="54" a="1"/>
  <c r="E55" i="54" s="1"/>
  <c r="D55" i="54" a="1"/>
  <c r="D55" i="54" s="1"/>
  <c r="C55" i="54" a="1"/>
  <c r="C55" i="54" s="1"/>
  <c r="A55" i="54" a="1"/>
  <c r="A55" i="54" s="1"/>
  <c r="M54" i="54" a="1"/>
  <c r="M54" i="54" s="1"/>
  <c r="L54" i="54" a="1"/>
  <c r="L54" i="54" s="1"/>
  <c r="AE54" i="54" s="1"/>
  <c r="K54" i="54" a="1"/>
  <c r="K54" i="54" s="1"/>
  <c r="J54" i="54" a="1"/>
  <c r="J54" i="54" s="1"/>
  <c r="I54" i="54" a="1"/>
  <c r="I54" i="54" s="1"/>
  <c r="H54" i="54" a="1"/>
  <c r="H54" i="54" s="1"/>
  <c r="G54" i="54" a="1"/>
  <c r="G54" i="54" s="1"/>
  <c r="F54" i="54" a="1"/>
  <c r="F54" i="54" s="1"/>
  <c r="E54" i="54" a="1"/>
  <c r="E54" i="54" s="1"/>
  <c r="D54" i="54" a="1"/>
  <c r="D54" i="54" s="1"/>
  <c r="C54" i="54" a="1"/>
  <c r="C54" i="54" s="1"/>
  <c r="A54" i="54" a="1"/>
  <c r="A54" i="54" s="1"/>
  <c r="M53" i="54" a="1"/>
  <c r="M53" i="54" s="1"/>
  <c r="L53" i="54" a="1"/>
  <c r="L53" i="54" s="1"/>
  <c r="AE53" i="54" s="1"/>
  <c r="K53" i="54" a="1"/>
  <c r="K53" i="54" s="1"/>
  <c r="J53" i="54" a="1"/>
  <c r="J53" i="54" s="1"/>
  <c r="I53" i="54" a="1"/>
  <c r="I53" i="54" s="1"/>
  <c r="H53" i="54" a="1"/>
  <c r="H53" i="54" s="1"/>
  <c r="G53" i="54" a="1"/>
  <c r="G53" i="54" s="1"/>
  <c r="F53" i="54" a="1"/>
  <c r="F53" i="54" s="1"/>
  <c r="E53" i="54" a="1"/>
  <c r="E53" i="54" s="1"/>
  <c r="D53" i="54" a="1"/>
  <c r="D53" i="54" s="1"/>
  <c r="C53" i="54" a="1"/>
  <c r="C53" i="54" s="1"/>
  <c r="A53" i="54" a="1"/>
  <c r="A53" i="54" s="1"/>
  <c r="M52" i="54" a="1"/>
  <c r="M52" i="54" s="1"/>
  <c r="L52" i="54" a="1"/>
  <c r="L52" i="54" s="1"/>
  <c r="AE52" i="54" s="1"/>
  <c r="K52" i="54" a="1"/>
  <c r="K52" i="54" s="1"/>
  <c r="J52" i="54" a="1"/>
  <c r="J52" i="54" s="1"/>
  <c r="I52" i="54" a="1"/>
  <c r="I52" i="54" s="1"/>
  <c r="H52" i="54" a="1"/>
  <c r="H52" i="54" s="1"/>
  <c r="G52" i="54" a="1"/>
  <c r="G52" i="54" s="1"/>
  <c r="F52" i="54" a="1"/>
  <c r="F52" i="54" s="1"/>
  <c r="E52" i="54" a="1"/>
  <c r="E52" i="54" s="1"/>
  <c r="D52" i="54" a="1"/>
  <c r="D52" i="54" s="1"/>
  <c r="C52" i="54" a="1"/>
  <c r="C52" i="54" s="1"/>
  <c r="A52" i="54" a="1"/>
  <c r="A52" i="54" s="1"/>
  <c r="M51" i="54" a="1"/>
  <c r="M51" i="54" s="1"/>
  <c r="L51" i="54" a="1"/>
  <c r="L51" i="54" s="1"/>
  <c r="AE51" i="54" s="1"/>
  <c r="K51" i="54" a="1"/>
  <c r="K51" i="54" s="1"/>
  <c r="J51" i="54" a="1"/>
  <c r="J51" i="54" s="1"/>
  <c r="I51" i="54" a="1"/>
  <c r="I51" i="54" s="1"/>
  <c r="H51" i="54" a="1"/>
  <c r="H51" i="54" s="1"/>
  <c r="G51" i="54" a="1"/>
  <c r="G51" i="54" s="1"/>
  <c r="F51" i="54" a="1"/>
  <c r="F51" i="54" s="1"/>
  <c r="E51" i="54" a="1"/>
  <c r="E51" i="54" s="1"/>
  <c r="D51" i="54" a="1"/>
  <c r="D51" i="54" s="1"/>
  <c r="C51" i="54" a="1"/>
  <c r="C51" i="54" s="1"/>
  <c r="A51" i="54" a="1"/>
  <c r="A51" i="54" s="1"/>
  <c r="M50" i="54" a="1"/>
  <c r="M50" i="54" s="1"/>
  <c r="L50" i="54" a="1"/>
  <c r="L50" i="54" s="1"/>
  <c r="AE50" i="54" s="1"/>
  <c r="K50" i="54" a="1"/>
  <c r="K50" i="54" s="1"/>
  <c r="J50" i="54" a="1"/>
  <c r="J50" i="54" s="1"/>
  <c r="I50" i="54" a="1"/>
  <c r="I50" i="54" s="1"/>
  <c r="H50" i="54" a="1"/>
  <c r="H50" i="54" s="1"/>
  <c r="G50" i="54" a="1"/>
  <c r="G50" i="54" s="1"/>
  <c r="F50" i="54" a="1"/>
  <c r="F50" i="54" s="1"/>
  <c r="E50" i="54" a="1"/>
  <c r="E50" i="54" s="1"/>
  <c r="D50" i="54" a="1"/>
  <c r="D50" i="54" s="1"/>
  <c r="C50" i="54" a="1"/>
  <c r="C50" i="54" s="1"/>
  <c r="A50" i="54" a="1"/>
  <c r="A50" i="54" s="1"/>
  <c r="M49" i="54" a="1"/>
  <c r="M49" i="54" s="1"/>
  <c r="L49" i="54" a="1"/>
  <c r="L49" i="54" s="1"/>
  <c r="AE49" i="54" s="1"/>
  <c r="K49" i="54" a="1"/>
  <c r="K49" i="54" s="1"/>
  <c r="J49" i="54" a="1"/>
  <c r="J49" i="54" s="1"/>
  <c r="I49" i="54" a="1"/>
  <c r="I49" i="54" s="1"/>
  <c r="H49" i="54" a="1"/>
  <c r="H49" i="54" s="1"/>
  <c r="G49" i="54" a="1"/>
  <c r="G49" i="54" s="1"/>
  <c r="F49" i="54" a="1"/>
  <c r="F49" i="54" s="1"/>
  <c r="E49" i="54" a="1"/>
  <c r="E49" i="54" s="1"/>
  <c r="D49" i="54" a="1"/>
  <c r="D49" i="54" s="1"/>
  <c r="C49" i="54" a="1"/>
  <c r="C49" i="54" s="1"/>
  <c r="A49" i="54" a="1"/>
  <c r="A49" i="54" s="1"/>
  <c r="M48" i="54" a="1"/>
  <c r="M48" i="54" s="1"/>
  <c r="L48" i="54" a="1"/>
  <c r="L48" i="54" s="1"/>
  <c r="AE48" i="54" s="1"/>
  <c r="K48" i="54" a="1"/>
  <c r="K48" i="54" s="1"/>
  <c r="J48" i="54" a="1"/>
  <c r="J48" i="54" s="1"/>
  <c r="I48" i="54" a="1"/>
  <c r="I48" i="54" s="1"/>
  <c r="H48" i="54" a="1"/>
  <c r="H48" i="54" s="1"/>
  <c r="G48" i="54" a="1"/>
  <c r="G48" i="54" s="1"/>
  <c r="F48" i="54" a="1"/>
  <c r="F48" i="54" s="1"/>
  <c r="E48" i="54" a="1"/>
  <c r="E48" i="54" s="1"/>
  <c r="D48" i="54" a="1"/>
  <c r="D48" i="54" s="1"/>
  <c r="C48" i="54" a="1"/>
  <c r="C48" i="54" s="1"/>
  <c r="A48" i="54" a="1"/>
  <c r="A48" i="54" s="1"/>
  <c r="M47" i="54" a="1"/>
  <c r="M47" i="54" s="1"/>
  <c r="L47" i="54" a="1"/>
  <c r="L47" i="54" s="1"/>
  <c r="AE47" i="54" s="1"/>
  <c r="K47" i="54" a="1"/>
  <c r="K47" i="54" s="1"/>
  <c r="J47" i="54" a="1"/>
  <c r="J47" i="54" s="1"/>
  <c r="I47" i="54" a="1"/>
  <c r="I47" i="54" s="1"/>
  <c r="H47" i="54" a="1"/>
  <c r="H47" i="54" s="1"/>
  <c r="G47" i="54" a="1"/>
  <c r="G47" i="54" s="1"/>
  <c r="F47" i="54" a="1"/>
  <c r="F47" i="54" s="1"/>
  <c r="E47" i="54" a="1"/>
  <c r="E47" i="54" s="1"/>
  <c r="D47" i="54" a="1"/>
  <c r="D47" i="54" s="1"/>
  <c r="C47" i="54" a="1"/>
  <c r="C47" i="54" s="1"/>
  <c r="A47" i="54" a="1"/>
  <c r="A47" i="54" s="1"/>
  <c r="M46" i="54" a="1"/>
  <c r="M46" i="54" s="1"/>
  <c r="L46" i="54" a="1"/>
  <c r="L46" i="54" s="1"/>
  <c r="AE46" i="54" s="1"/>
  <c r="K46" i="54" a="1"/>
  <c r="K46" i="54" s="1"/>
  <c r="J46" i="54" a="1"/>
  <c r="J46" i="54" s="1"/>
  <c r="I46" i="54" a="1"/>
  <c r="I46" i="54" s="1"/>
  <c r="H46" i="54" a="1"/>
  <c r="H46" i="54" s="1"/>
  <c r="G46" i="54" a="1"/>
  <c r="G46" i="54" s="1"/>
  <c r="F46" i="54" a="1"/>
  <c r="F46" i="54" s="1"/>
  <c r="E46" i="54" a="1"/>
  <c r="E46" i="54" s="1"/>
  <c r="D46" i="54" a="1"/>
  <c r="D46" i="54" s="1"/>
  <c r="C46" i="54" a="1"/>
  <c r="C46" i="54" s="1"/>
  <c r="A46" i="54" a="1"/>
  <c r="A46" i="54" s="1"/>
  <c r="M45" i="54" a="1"/>
  <c r="M45" i="54" s="1"/>
  <c r="L45" i="54" a="1"/>
  <c r="L45" i="54" s="1"/>
  <c r="AE45" i="54" s="1"/>
  <c r="K45" i="54" a="1"/>
  <c r="K45" i="54" s="1"/>
  <c r="J45" i="54" a="1"/>
  <c r="J45" i="54" s="1"/>
  <c r="I45" i="54" a="1"/>
  <c r="I45" i="54" s="1"/>
  <c r="H45" i="54" a="1"/>
  <c r="H45" i="54" s="1"/>
  <c r="G45" i="54" a="1"/>
  <c r="G45" i="54" s="1"/>
  <c r="F45" i="54" a="1"/>
  <c r="F45" i="54" s="1"/>
  <c r="E45" i="54" a="1"/>
  <c r="E45" i="54" s="1"/>
  <c r="D45" i="54" a="1"/>
  <c r="D45" i="54" s="1"/>
  <c r="C45" i="54" a="1"/>
  <c r="C45" i="54" s="1"/>
  <c r="A45" i="54" a="1"/>
  <c r="A45" i="54" s="1"/>
  <c r="M44" i="54" a="1"/>
  <c r="M44" i="54" s="1"/>
  <c r="L44" i="54" a="1"/>
  <c r="L44" i="54" s="1"/>
  <c r="AE44" i="54" s="1"/>
  <c r="K44" i="54" a="1"/>
  <c r="K44" i="54" s="1"/>
  <c r="J44" i="54" a="1"/>
  <c r="J44" i="54" s="1"/>
  <c r="I44" i="54" a="1"/>
  <c r="I44" i="54" s="1"/>
  <c r="H44" i="54" a="1"/>
  <c r="H44" i="54" s="1"/>
  <c r="G44" i="54" a="1"/>
  <c r="G44" i="54" s="1"/>
  <c r="F44" i="54" a="1"/>
  <c r="F44" i="54" s="1"/>
  <c r="E44" i="54" a="1"/>
  <c r="E44" i="54" s="1"/>
  <c r="D44" i="54" a="1"/>
  <c r="D44" i="54" s="1"/>
  <c r="C44" i="54" a="1"/>
  <c r="C44" i="54" s="1"/>
  <c r="A44" i="54" a="1"/>
  <c r="A44" i="54" s="1"/>
  <c r="M43" i="54" a="1"/>
  <c r="M43" i="54" s="1"/>
  <c r="L43" i="54" a="1"/>
  <c r="L43" i="54" s="1"/>
  <c r="AE43" i="54" s="1"/>
  <c r="K43" i="54" a="1"/>
  <c r="K43" i="54" s="1"/>
  <c r="J43" i="54" a="1"/>
  <c r="J43" i="54" s="1"/>
  <c r="I43" i="54" a="1"/>
  <c r="I43" i="54" s="1"/>
  <c r="H43" i="54" a="1"/>
  <c r="H43" i="54" s="1"/>
  <c r="G43" i="54" a="1"/>
  <c r="G43" i="54" s="1"/>
  <c r="F43" i="54" a="1"/>
  <c r="F43" i="54" s="1"/>
  <c r="E43" i="54" a="1"/>
  <c r="E43" i="54" s="1"/>
  <c r="D43" i="54" a="1"/>
  <c r="D43" i="54" s="1"/>
  <c r="C43" i="54" a="1"/>
  <c r="C43" i="54" s="1"/>
  <c r="A43" i="54" a="1"/>
  <c r="A43" i="54" s="1"/>
  <c r="M42" i="54" a="1"/>
  <c r="M42" i="54" s="1"/>
  <c r="L42" i="54" a="1"/>
  <c r="L42" i="54" s="1"/>
  <c r="AE42" i="54" s="1"/>
  <c r="K42" i="54" a="1"/>
  <c r="K42" i="54" s="1"/>
  <c r="J42" i="54" a="1"/>
  <c r="J42" i="54" s="1"/>
  <c r="I42" i="54" a="1"/>
  <c r="I42" i="54" s="1"/>
  <c r="H42" i="54" a="1"/>
  <c r="H42" i="54" s="1"/>
  <c r="G42" i="54" a="1"/>
  <c r="G42" i="54" s="1"/>
  <c r="F42" i="54" a="1"/>
  <c r="F42" i="54" s="1"/>
  <c r="E42" i="54" a="1"/>
  <c r="E42" i="54" s="1"/>
  <c r="D42" i="54" a="1"/>
  <c r="D42" i="54" s="1"/>
  <c r="C42" i="54" a="1"/>
  <c r="C42" i="54" s="1"/>
  <c r="A42" i="54" a="1"/>
  <c r="A42" i="54" s="1"/>
  <c r="M41" i="54" a="1"/>
  <c r="M41" i="54" s="1"/>
  <c r="L41" i="54" a="1"/>
  <c r="L41" i="54" s="1"/>
  <c r="AE41" i="54" s="1"/>
  <c r="K41" i="54" a="1"/>
  <c r="K41" i="54" s="1"/>
  <c r="J41" i="54" a="1"/>
  <c r="J41" i="54" s="1"/>
  <c r="I41" i="54" a="1"/>
  <c r="I41" i="54" s="1"/>
  <c r="H41" i="54" a="1"/>
  <c r="H41" i="54" s="1"/>
  <c r="G41" i="54" a="1"/>
  <c r="G41" i="54" s="1"/>
  <c r="F41" i="54" a="1"/>
  <c r="F41" i="54" s="1"/>
  <c r="E41" i="54" a="1"/>
  <c r="E41" i="54" s="1"/>
  <c r="D41" i="54" a="1"/>
  <c r="D41" i="54" s="1"/>
  <c r="C41" i="54" a="1"/>
  <c r="C41" i="54" s="1"/>
  <c r="A41" i="54" a="1"/>
  <c r="A41" i="54" s="1"/>
  <c r="M40" i="54" a="1"/>
  <c r="M40" i="54" s="1"/>
  <c r="L40" i="54" a="1"/>
  <c r="L40" i="54" s="1"/>
  <c r="AE40" i="54" s="1"/>
  <c r="K40" i="54" a="1"/>
  <c r="K40" i="54" s="1"/>
  <c r="J40" i="54" a="1"/>
  <c r="J40" i="54" s="1"/>
  <c r="I40" i="54" a="1"/>
  <c r="I40" i="54" s="1"/>
  <c r="H40" i="54" a="1"/>
  <c r="H40" i="54" s="1"/>
  <c r="G40" i="54" a="1"/>
  <c r="G40" i="54" s="1"/>
  <c r="F40" i="54" a="1"/>
  <c r="F40" i="54" s="1"/>
  <c r="E40" i="54" a="1"/>
  <c r="E40" i="54" s="1"/>
  <c r="D40" i="54" a="1"/>
  <c r="D40" i="54" s="1"/>
  <c r="C40" i="54" a="1"/>
  <c r="C40" i="54" s="1"/>
  <c r="A40" i="54" a="1"/>
  <c r="A40" i="54" s="1"/>
  <c r="M39" i="54" a="1"/>
  <c r="M39" i="54" s="1"/>
  <c r="L39" i="54" a="1"/>
  <c r="L39" i="54" s="1"/>
  <c r="AE39" i="54" s="1"/>
  <c r="K39" i="54" a="1"/>
  <c r="K39" i="54" s="1"/>
  <c r="J39" i="54" a="1"/>
  <c r="J39" i="54" s="1"/>
  <c r="I39" i="54" a="1"/>
  <c r="I39" i="54" s="1"/>
  <c r="H39" i="54" a="1"/>
  <c r="H39" i="54" s="1"/>
  <c r="G39" i="54" a="1"/>
  <c r="G39" i="54" s="1"/>
  <c r="F39" i="54" a="1"/>
  <c r="F39" i="54" s="1"/>
  <c r="E39" i="54" a="1"/>
  <c r="E39" i="54" s="1"/>
  <c r="D39" i="54" a="1"/>
  <c r="D39" i="54" s="1"/>
  <c r="C39" i="54" a="1"/>
  <c r="C39" i="54" s="1"/>
  <c r="A39" i="54" a="1"/>
  <c r="A39" i="54" s="1"/>
  <c r="M38" i="54" a="1"/>
  <c r="M38" i="54" s="1"/>
  <c r="L38" i="54" a="1"/>
  <c r="L38" i="54" s="1"/>
  <c r="AE38" i="54" s="1"/>
  <c r="K38" i="54" a="1"/>
  <c r="K38" i="54" s="1"/>
  <c r="J38" i="54" a="1"/>
  <c r="J38" i="54" s="1"/>
  <c r="I38" i="54" a="1"/>
  <c r="I38" i="54" s="1"/>
  <c r="H38" i="54" a="1"/>
  <c r="H38" i="54" s="1"/>
  <c r="G38" i="54" a="1"/>
  <c r="G38" i="54" s="1"/>
  <c r="F38" i="54" a="1"/>
  <c r="F38" i="54" s="1"/>
  <c r="E38" i="54" a="1"/>
  <c r="E38" i="54" s="1"/>
  <c r="D38" i="54" a="1"/>
  <c r="D38" i="54" s="1"/>
  <c r="C38" i="54" a="1"/>
  <c r="C38" i="54" s="1"/>
  <c r="A38" i="54" a="1"/>
  <c r="A38" i="54" s="1"/>
  <c r="M37" i="54" a="1"/>
  <c r="M37" i="54" s="1"/>
  <c r="L37" i="54" a="1"/>
  <c r="L37" i="54" s="1"/>
  <c r="AE37" i="54" s="1"/>
  <c r="K37" i="54" a="1"/>
  <c r="K37" i="54" s="1"/>
  <c r="J37" i="54" a="1"/>
  <c r="J37" i="54" s="1"/>
  <c r="I37" i="54" a="1"/>
  <c r="I37" i="54" s="1"/>
  <c r="H37" i="54" a="1"/>
  <c r="H37" i="54" s="1"/>
  <c r="G37" i="54" a="1"/>
  <c r="G37" i="54" s="1"/>
  <c r="F37" i="54" a="1"/>
  <c r="F37" i="54" s="1"/>
  <c r="E37" i="54" a="1"/>
  <c r="E37" i="54" s="1"/>
  <c r="D37" i="54" a="1"/>
  <c r="D37" i="54" s="1"/>
  <c r="C37" i="54" a="1"/>
  <c r="C37" i="54" s="1"/>
  <c r="A37" i="54" a="1"/>
  <c r="A37" i="54" s="1"/>
  <c r="M36" i="54" a="1"/>
  <c r="M36" i="54" s="1"/>
  <c r="L36" i="54" a="1"/>
  <c r="L36" i="54" s="1"/>
  <c r="AE36" i="54" s="1"/>
  <c r="K36" i="54" a="1"/>
  <c r="K36" i="54" s="1"/>
  <c r="J36" i="54" a="1"/>
  <c r="J36" i="54" s="1"/>
  <c r="I36" i="54" a="1"/>
  <c r="I36" i="54" s="1"/>
  <c r="H36" i="54" a="1"/>
  <c r="H36" i="54" s="1"/>
  <c r="G36" i="54" a="1"/>
  <c r="G36" i="54" s="1"/>
  <c r="F36" i="54" a="1"/>
  <c r="F36" i="54" s="1"/>
  <c r="E36" i="54" a="1"/>
  <c r="E36" i="54" s="1"/>
  <c r="D36" i="54" a="1"/>
  <c r="D36" i="54" s="1"/>
  <c r="C36" i="54" a="1"/>
  <c r="C36" i="54" s="1"/>
  <c r="A36" i="54" a="1"/>
  <c r="A36" i="54" s="1"/>
  <c r="M35" i="54" a="1"/>
  <c r="M35" i="54" s="1"/>
  <c r="L35" i="54" a="1"/>
  <c r="L35" i="54" s="1"/>
  <c r="AE35" i="54" s="1"/>
  <c r="K35" i="54" a="1"/>
  <c r="K35" i="54" s="1"/>
  <c r="J35" i="54" a="1"/>
  <c r="J35" i="54" s="1"/>
  <c r="I35" i="54" a="1"/>
  <c r="I35" i="54" s="1"/>
  <c r="H35" i="54" a="1"/>
  <c r="H35" i="54" s="1"/>
  <c r="G35" i="54" a="1"/>
  <c r="G35" i="54" s="1"/>
  <c r="F35" i="54" a="1"/>
  <c r="F35" i="54" s="1"/>
  <c r="E35" i="54" a="1"/>
  <c r="E35" i="54" s="1"/>
  <c r="D35" i="54" a="1"/>
  <c r="D35" i="54" s="1"/>
  <c r="C35" i="54" a="1"/>
  <c r="C35" i="54" s="1"/>
  <c r="A35" i="54" a="1"/>
  <c r="A35" i="54" s="1"/>
  <c r="M34" i="54" a="1"/>
  <c r="M34" i="54" s="1"/>
  <c r="L34" i="54" a="1"/>
  <c r="L34" i="54" s="1"/>
  <c r="AE34" i="54" s="1"/>
  <c r="K34" i="54" a="1"/>
  <c r="K34" i="54" s="1"/>
  <c r="J34" i="54" a="1"/>
  <c r="J34" i="54" s="1"/>
  <c r="I34" i="54" a="1"/>
  <c r="I34" i="54" s="1"/>
  <c r="H34" i="54" a="1"/>
  <c r="H34" i="54" s="1"/>
  <c r="G34" i="54" a="1"/>
  <c r="G34" i="54" s="1"/>
  <c r="F34" i="54" a="1"/>
  <c r="F34" i="54" s="1"/>
  <c r="E34" i="54" a="1"/>
  <c r="E34" i="54" s="1"/>
  <c r="D34" i="54" a="1"/>
  <c r="D34" i="54" s="1"/>
  <c r="C34" i="54" a="1"/>
  <c r="C34" i="54" s="1"/>
  <c r="A34" i="54" a="1"/>
  <c r="A34" i="54" s="1"/>
  <c r="M33" i="54" a="1"/>
  <c r="M33" i="54" s="1"/>
  <c r="L33" i="54" a="1"/>
  <c r="L33" i="54" s="1"/>
  <c r="AE33" i="54" s="1"/>
  <c r="K33" i="54" a="1"/>
  <c r="K33" i="54" s="1"/>
  <c r="J33" i="54" a="1"/>
  <c r="J33" i="54" s="1"/>
  <c r="I33" i="54" a="1"/>
  <c r="I33" i="54" s="1"/>
  <c r="H33" i="54" a="1"/>
  <c r="H33" i="54" s="1"/>
  <c r="G33" i="54" a="1"/>
  <c r="G33" i="54" s="1"/>
  <c r="F33" i="54" a="1"/>
  <c r="F33" i="54" s="1"/>
  <c r="E33" i="54" a="1"/>
  <c r="E33" i="54" s="1"/>
  <c r="D33" i="54" a="1"/>
  <c r="D33" i="54" s="1"/>
  <c r="C33" i="54" a="1"/>
  <c r="C33" i="54" s="1"/>
  <c r="A33" i="54" a="1"/>
  <c r="A33" i="54" s="1"/>
  <c r="K32" i="54" a="1"/>
  <c r="K32" i="54" s="1"/>
  <c r="J32" i="54" a="1"/>
  <c r="J32" i="54" s="1"/>
  <c r="I32" i="54" a="1"/>
  <c r="I32" i="54" s="1"/>
  <c r="H32" i="54" a="1"/>
  <c r="H32" i="54" s="1"/>
  <c r="G32" i="54" a="1"/>
  <c r="G32" i="54" s="1"/>
  <c r="F32" i="54" a="1"/>
  <c r="F32" i="54" s="1"/>
  <c r="E32" i="54" a="1"/>
  <c r="E32" i="54" s="1"/>
  <c r="D32" i="54" a="1"/>
  <c r="D32" i="54" s="1"/>
  <c r="C32" i="54" a="1"/>
  <c r="C32" i="54" s="1"/>
  <c r="A32" i="54" a="1"/>
  <c r="A32" i="54" s="1"/>
  <c r="K31" i="54" a="1"/>
  <c r="K31" i="54" s="1"/>
  <c r="J31" i="54" a="1"/>
  <c r="J31" i="54" s="1"/>
  <c r="I31" i="54" a="1"/>
  <c r="I31" i="54" s="1"/>
  <c r="H31" i="54" a="1"/>
  <c r="H31" i="54" s="1"/>
  <c r="G31" i="54" a="1"/>
  <c r="G31" i="54" s="1"/>
  <c r="F31" i="54" a="1"/>
  <c r="F31" i="54" s="1"/>
  <c r="E31" i="54" a="1"/>
  <c r="E31" i="54" s="1"/>
  <c r="D31" i="54" a="1"/>
  <c r="D31" i="54" s="1"/>
  <c r="C31" i="54" a="1"/>
  <c r="C31" i="54" s="1"/>
  <c r="A31" i="54" a="1"/>
  <c r="A31" i="54" s="1"/>
  <c r="K30" i="54" a="1"/>
  <c r="K30" i="54" s="1"/>
  <c r="J30" i="54" a="1"/>
  <c r="J30" i="54" s="1"/>
  <c r="I30" i="54" a="1"/>
  <c r="I30" i="54" s="1"/>
  <c r="H30" i="54" a="1"/>
  <c r="H30" i="54" s="1"/>
  <c r="G30" i="54" a="1"/>
  <c r="G30" i="54" s="1"/>
  <c r="F30" i="54" a="1"/>
  <c r="F30" i="54" s="1"/>
  <c r="E30" i="54" a="1"/>
  <c r="E30" i="54" s="1"/>
  <c r="D30" i="54" a="1"/>
  <c r="D30" i="54" s="1"/>
  <c r="C30" i="54" a="1"/>
  <c r="C30" i="54" s="1"/>
  <c r="A30" i="54" a="1"/>
  <c r="A30" i="54" s="1"/>
  <c r="K29" i="54" a="1"/>
  <c r="K29" i="54" s="1"/>
  <c r="J29" i="54" a="1"/>
  <c r="J29" i="54" s="1"/>
  <c r="I29" i="54" a="1"/>
  <c r="I29" i="54" s="1"/>
  <c r="H29" i="54" a="1"/>
  <c r="H29" i="54" s="1"/>
  <c r="G29" i="54" a="1"/>
  <c r="G29" i="54" s="1"/>
  <c r="F29" i="54" a="1"/>
  <c r="F29" i="54" s="1"/>
  <c r="E29" i="54" a="1"/>
  <c r="E29" i="54" s="1"/>
  <c r="D29" i="54" a="1"/>
  <c r="D29" i="54" s="1"/>
  <c r="C29" i="54" a="1"/>
  <c r="C29" i="54" s="1"/>
  <c r="A29" i="54" a="1"/>
  <c r="A29" i="54" s="1"/>
  <c r="K28" i="54" a="1"/>
  <c r="K28" i="54" s="1"/>
  <c r="J28" i="54" a="1"/>
  <c r="J28" i="54" s="1"/>
  <c r="I28" i="54" a="1"/>
  <c r="I28" i="54" s="1"/>
  <c r="H28" i="54" a="1"/>
  <c r="H28" i="54" s="1"/>
  <c r="G28" i="54" a="1"/>
  <c r="G28" i="54" s="1"/>
  <c r="F28" i="54" a="1"/>
  <c r="F28" i="54" s="1"/>
  <c r="E28" i="54" a="1"/>
  <c r="E28" i="54" s="1"/>
  <c r="D28" i="54" a="1"/>
  <c r="D28" i="54" s="1"/>
  <c r="C28" i="54" a="1"/>
  <c r="C28" i="54" s="1"/>
  <c r="A28" i="54" a="1"/>
  <c r="A28" i="54" s="1"/>
  <c r="K27" i="54" a="1"/>
  <c r="K27" i="54" s="1"/>
  <c r="J27" i="54" a="1"/>
  <c r="J27" i="54" s="1"/>
  <c r="I27" i="54" a="1"/>
  <c r="I27" i="54" s="1"/>
  <c r="H27" i="54" a="1"/>
  <c r="H27" i="54" s="1"/>
  <c r="G27" i="54" a="1"/>
  <c r="G27" i="54" s="1"/>
  <c r="F27" i="54" a="1"/>
  <c r="F27" i="54" s="1"/>
  <c r="E27" i="54" a="1"/>
  <c r="E27" i="54" s="1"/>
  <c r="D27" i="54" a="1"/>
  <c r="D27" i="54" s="1"/>
  <c r="C27" i="54" a="1"/>
  <c r="C27" i="54" s="1"/>
  <c r="A27" i="54" a="1"/>
  <c r="A27" i="54" s="1"/>
  <c r="K26" i="54" a="1"/>
  <c r="K26" i="54" s="1"/>
  <c r="J26" i="54" a="1"/>
  <c r="J26" i="54" s="1"/>
  <c r="I26" i="54" a="1"/>
  <c r="I26" i="54" s="1"/>
  <c r="H26" i="54" a="1"/>
  <c r="H26" i="54" s="1"/>
  <c r="G26" i="54" a="1"/>
  <c r="G26" i="54" s="1"/>
  <c r="F26" i="54" a="1"/>
  <c r="F26" i="54" s="1"/>
  <c r="E26" i="54" a="1"/>
  <c r="E26" i="54" s="1"/>
  <c r="D26" i="54" a="1"/>
  <c r="D26" i="54" s="1"/>
  <c r="C26" i="54" a="1"/>
  <c r="C26" i="54" s="1"/>
  <c r="A26" i="54" a="1"/>
  <c r="A26" i="54" s="1"/>
  <c r="K25" i="54" a="1"/>
  <c r="K25" i="54" s="1"/>
  <c r="J25" i="54" a="1"/>
  <c r="J25" i="54" s="1"/>
  <c r="I25" i="54" a="1"/>
  <c r="I25" i="54" s="1"/>
  <c r="H25" i="54" a="1"/>
  <c r="H25" i="54" s="1"/>
  <c r="G25" i="54" a="1"/>
  <c r="G25" i="54" s="1"/>
  <c r="F25" i="54" a="1"/>
  <c r="F25" i="54" s="1"/>
  <c r="E25" i="54" a="1"/>
  <c r="E25" i="54" s="1"/>
  <c r="D25" i="54" a="1"/>
  <c r="D25" i="54" s="1"/>
  <c r="C25" i="54" a="1"/>
  <c r="C25" i="54" s="1"/>
  <c r="A25" i="54" a="1"/>
  <c r="A25" i="54" s="1"/>
  <c r="K24" i="54" a="1"/>
  <c r="K24" i="54" s="1"/>
  <c r="J24" i="54" a="1"/>
  <c r="J24" i="54" s="1"/>
  <c r="I24" i="54" a="1"/>
  <c r="I24" i="54" s="1"/>
  <c r="H24" i="54" a="1"/>
  <c r="H24" i="54" s="1"/>
  <c r="G24" i="54" a="1"/>
  <c r="G24" i="54" s="1"/>
  <c r="F24" i="54" a="1"/>
  <c r="F24" i="54" s="1"/>
  <c r="E24" i="54" a="1"/>
  <c r="E24" i="54" s="1"/>
  <c r="D24" i="54" a="1"/>
  <c r="D24" i="54" s="1"/>
  <c r="C24" i="54" a="1"/>
  <c r="C24" i="54" s="1"/>
  <c r="A24" i="54" a="1"/>
  <c r="A24" i="54" s="1"/>
  <c r="K23" i="54" a="1"/>
  <c r="K23" i="54" s="1"/>
  <c r="J23" i="54" a="1"/>
  <c r="J23" i="54" s="1"/>
  <c r="I23" i="54" a="1"/>
  <c r="I23" i="54" s="1"/>
  <c r="H23" i="54" a="1"/>
  <c r="H23" i="54" s="1"/>
  <c r="G23" i="54" a="1"/>
  <c r="G23" i="54" s="1"/>
  <c r="F23" i="54" a="1"/>
  <c r="F23" i="54" s="1"/>
  <c r="E23" i="54" a="1"/>
  <c r="E23" i="54" s="1"/>
  <c r="D23" i="54" a="1"/>
  <c r="D23" i="54" s="1"/>
  <c r="C23" i="54" a="1"/>
  <c r="C23" i="54" s="1"/>
  <c r="A23" i="54" a="1"/>
  <c r="A23" i="54" s="1"/>
  <c r="K22" i="54" a="1"/>
  <c r="K22" i="54" s="1"/>
  <c r="J22" i="54" a="1"/>
  <c r="J22" i="54" s="1"/>
  <c r="I22" i="54" a="1"/>
  <c r="I22" i="54" s="1"/>
  <c r="H22" i="54" a="1"/>
  <c r="H22" i="54" s="1"/>
  <c r="G22" i="54" a="1"/>
  <c r="G22" i="54" s="1"/>
  <c r="F22" i="54" a="1"/>
  <c r="F22" i="54" s="1"/>
  <c r="E22" i="54" a="1"/>
  <c r="E22" i="54" s="1"/>
  <c r="D22" i="54" a="1"/>
  <c r="D22" i="54" s="1"/>
  <c r="C22" i="54" a="1"/>
  <c r="C22" i="54" s="1"/>
  <c r="A22" i="54" a="1"/>
  <c r="A22" i="54" s="1"/>
  <c r="K21" i="54" a="1"/>
  <c r="K21" i="54" s="1"/>
  <c r="J21" i="54" a="1"/>
  <c r="J21" i="54" s="1"/>
  <c r="I21" i="54" a="1"/>
  <c r="I21" i="54" s="1"/>
  <c r="H21" i="54" a="1"/>
  <c r="H21" i="54" s="1"/>
  <c r="G21" i="54" a="1"/>
  <c r="G21" i="54" s="1"/>
  <c r="F21" i="54" a="1"/>
  <c r="F21" i="54" s="1"/>
  <c r="E21" i="54" a="1"/>
  <c r="E21" i="54" s="1"/>
  <c r="D21" i="54" a="1"/>
  <c r="D21" i="54" s="1"/>
  <c r="C21" i="54" a="1"/>
  <c r="C21" i="54" s="1"/>
  <c r="A21" i="54" a="1"/>
  <c r="A21" i="54" s="1"/>
  <c r="K20" i="54" a="1"/>
  <c r="K20" i="54" s="1"/>
  <c r="J20" i="54" a="1"/>
  <c r="J20" i="54" s="1"/>
  <c r="I20" i="54" a="1"/>
  <c r="I20" i="54" s="1"/>
  <c r="H20" i="54" a="1"/>
  <c r="H20" i="54" s="1"/>
  <c r="G20" i="54" a="1"/>
  <c r="G20" i="54" s="1"/>
  <c r="F20" i="54" a="1"/>
  <c r="F20" i="54" s="1"/>
  <c r="E20" i="54" a="1"/>
  <c r="E20" i="54" s="1"/>
  <c r="D20" i="54" a="1"/>
  <c r="D20" i="54" s="1"/>
  <c r="C20" i="54" a="1"/>
  <c r="C20" i="54" s="1"/>
  <c r="A20" i="54" a="1"/>
  <c r="A20" i="54" s="1"/>
  <c r="K19" i="54" a="1"/>
  <c r="K19" i="54" s="1"/>
  <c r="J19" i="54" a="1"/>
  <c r="J19" i="54" s="1"/>
  <c r="I19" i="54" a="1"/>
  <c r="I19" i="54" s="1"/>
  <c r="H19" i="54" a="1"/>
  <c r="H19" i="54" s="1"/>
  <c r="G19" i="54" a="1"/>
  <c r="G19" i="54" s="1"/>
  <c r="F19" i="54" a="1"/>
  <c r="F19" i="54" s="1"/>
  <c r="E19" i="54" a="1"/>
  <c r="E19" i="54" s="1"/>
  <c r="D19" i="54" a="1"/>
  <c r="D19" i="54" s="1"/>
  <c r="C19" i="54" a="1"/>
  <c r="C19" i="54" s="1"/>
  <c r="A19" i="54" a="1"/>
  <c r="A19" i="54" s="1"/>
  <c r="K18" i="54" a="1"/>
  <c r="K18" i="54" s="1"/>
  <c r="J18" i="54" a="1"/>
  <c r="J18" i="54" s="1"/>
  <c r="I18" i="54" a="1"/>
  <c r="I18" i="54" s="1"/>
  <c r="H18" i="54" a="1"/>
  <c r="H18" i="54" s="1"/>
  <c r="G18" i="54" a="1"/>
  <c r="G18" i="54" s="1"/>
  <c r="F18" i="54" a="1"/>
  <c r="F18" i="54" s="1"/>
  <c r="E18" i="54" a="1"/>
  <c r="E18" i="54" s="1"/>
  <c r="D18" i="54" a="1"/>
  <c r="D18" i="54" s="1"/>
  <c r="C18" i="54" a="1"/>
  <c r="C18" i="54" s="1"/>
  <c r="A18" i="54" a="1"/>
  <c r="A18" i="54" s="1"/>
  <c r="K17" i="54" a="1"/>
  <c r="K17" i="54" s="1"/>
  <c r="J17" i="54" a="1"/>
  <c r="J17" i="54" s="1"/>
  <c r="I17" i="54" a="1"/>
  <c r="I17" i="54" s="1"/>
  <c r="H17" i="54" a="1"/>
  <c r="H17" i="54" s="1"/>
  <c r="G17" i="54" a="1"/>
  <c r="G17" i="54" s="1"/>
  <c r="F17" i="54" a="1"/>
  <c r="F17" i="54" s="1"/>
  <c r="E17" i="54" a="1"/>
  <c r="E17" i="54" s="1"/>
  <c r="D17" i="54" a="1"/>
  <c r="D17" i="54" s="1"/>
  <c r="C17" i="54" a="1"/>
  <c r="C17" i="54" s="1"/>
  <c r="A17" i="54" a="1"/>
  <c r="A17" i="54" s="1"/>
  <c r="K16" i="54" a="1"/>
  <c r="K16" i="54" s="1"/>
  <c r="J16" i="54" a="1"/>
  <c r="J16" i="54" s="1"/>
  <c r="I16" i="54" a="1"/>
  <c r="I16" i="54" s="1"/>
  <c r="H16" i="54" a="1"/>
  <c r="H16" i="54" s="1"/>
  <c r="G16" i="54" a="1"/>
  <c r="G16" i="54" s="1"/>
  <c r="F16" i="54" a="1"/>
  <c r="F16" i="54" s="1"/>
  <c r="E16" i="54" a="1"/>
  <c r="E16" i="54" s="1"/>
  <c r="D16" i="54" a="1"/>
  <c r="D16" i="54" s="1"/>
  <c r="C16" i="54" a="1"/>
  <c r="C16" i="54" s="1"/>
  <c r="A16" i="54" a="1"/>
  <c r="A16" i="54" s="1"/>
  <c r="K15" i="54" a="1"/>
  <c r="K15" i="54" s="1"/>
  <c r="J15" i="54" a="1"/>
  <c r="J15" i="54" s="1"/>
  <c r="I15" i="54" a="1"/>
  <c r="I15" i="54" s="1"/>
  <c r="H15" i="54" a="1"/>
  <c r="H15" i="54" s="1"/>
  <c r="G15" i="54" a="1"/>
  <c r="G15" i="54" s="1"/>
  <c r="F15" i="54" a="1"/>
  <c r="F15" i="54" s="1"/>
  <c r="E15" i="54" a="1"/>
  <c r="E15" i="54" s="1"/>
  <c r="D15" i="54" a="1"/>
  <c r="D15" i="54" s="1"/>
  <c r="C15" i="54" a="1"/>
  <c r="C15" i="54" s="1"/>
  <c r="A15" i="54" a="1"/>
  <c r="A15" i="54" s="1"/>
  <c r="K14" i="54" a="1"/>
  <c r="K14" i="54" s="1"/>
  <c r="J14" i="54" a="1"/>
  <c r="J14" i="54" s="1"/>
  <c r="I14" i="54" a="1"/>
  <c r="I14" i="54" s="1"/>
  <c r="H14" i="54" a="1"/>
  <c r="H14" i="54" s="1"/>
  <c r="G14" i="54" a="1"/>
  <c r="G14" i="54" s="1"/>
  <c r="F14" i="54" a="1"/>
  <c r="F14" i="54" s="1"/>
  <c r="E14" i="54" a="1"/>
  <c r="E14" i="54" s="1"/>
  <c r="D14" i="54" a="1"/>
  <c r="D14" i="54" s="1"/>
  <c r="C14" i="54" a="1"/>
  <c r="C14" i="54" s="1"/>
  <c r="A14" i="54" a="1"/>
  <c r="A14" i="54" s="1"/>
  <c r="K13" i="54" a="1"/>
  <c r="K13" i="54" s="1"/>
  <c r="J13" i="54" a="1"/>
  <c r="J13" i="54" s="1"/>
  <c r="I13" i="54" a="1"/>
  <c r="I13" i="54" s="1"/>
  <c r="H13" i="54" a="1"/>
  <c r="H13" i="54" s="1"/>
  <c r="G13" i="54" a="1"/>
  <c r="G13" i="54" s="1"/>
  <c r="F13" i="54" a="1"/>
  <c r="F13" i="54" s="1"/>
  <c r="E13" i="54" a="1"/>
  <c r="E13" i="54" s="1"/>
  <c r="D13" i="54" a="1"/>
  <c r="D13" i="54" s="1"/>
  <c r="C13" i="54" a="1"/>
  <c r="C13" i="54" s="1"/>
  <c r="A13" i="54" a="1"/>
  <c r="A13" i="54" s="1"/>
  <c r="K12" i="54" a="1"/>
  <c r="K12" i="54" s="1"/>
  <c r="J12" i="54" a="1"/>
  <c r="J12" i="54" s="1"/>
  <c r="I12" i="54" a="1"/>
  <c r="I12" i="54" s="1"/>
  <c r="H12" i="54" a="1"/>
  <c r="H12" i="54" s="1"/>
  <c r="G12" i="54" a="1"/>
  <c r="G12" i="54" s="1"/>
  <c r="F12" i="54" a="1"/>
  <c r="F12" i="54" s="1"/>
  <c r="E12" i="54" a="1"/>
  <c r="E12" i="54" s="1"/>
  <c r="D12" i="54" a="1"/>
  <c r="D12" i="54" s="1"/>
  <c r="C12" i="54" a="1"/>
  <c r="C12" i="54" s="1"/>
  <c r="A12" i="54" a="1"/>
  <c r="A12" i="54" s="1"/>
  <c r="K11" i="54" a="1"/>
  <c r="K11" i="54" s="1"/>
  <c r="J11" i="54" a="1"/>
  <c r="J11" i="54" s="1"/>
  <c r="I11" i="54" a="1"/>
  <c r="I11" i="54" s="1"/>
  <c r="H11" i="54" a="1"/>
  <c r="H11" i="54" s="1"/>
  <c r="G11" i="54" a="1"/>
  <c r="G11" i="54" s="1"/>
  <c r="F11" i="54" a="1"/>
  <c r="F11" i="54" s="1"/>
  <c r="E11" i="54" a="1"/>
  <c r="E11" i="54" s="1"/>
  <c r="D11" i="54" a="1"/>
  <c r="D11" i="54" s="1"/>
  <c r="C11" i="54" a="1"/>
  <c r="C11" i="54" s="1"/>
  <c r="A11" i="54" a="1"/>
  <c r="A11" i="54" s="1"/>
  <c r="K10" i="54" a="1"/>
  <c r="K10" i="54" s="1"/>
  <c r="J10" i="54" a="1"/>
  <c r="J10" i="54" s="1"/>
  <c r="I10" i="54" a="1"/>
  <c r="I10" i="54" s="1"/>
  <c r="H10" i="54" a="1"/>
  <c r="H10" i="54" s="1"/>
  <c r="G10" i="54" a="1"/>
  <c r="G10" i="54" s="1"/>
  <c r="F10" i="54" a="1"/>
  <c r="F10" i="54" s="1"/>
  <c r="E10" i="54" a="1"/>
  <c r="E10" i="54" s="1"/>
  <c r="D10" i="54" a="1"/>
  <c r="D10" i="54" s="1"/>
  <c r="C10" i="54" a="1"/>
  <c r="C10" i="54" s="1"/>
  <c r="A10" i="54" a="1"/>
  <c r="A10" i="54" s="1"/>
  <c r="K9" i="54" a="1"/>
  <c r="K9" i="54" s="1"/>
  <c r="J9" i="54" a="1"/>
  <c r="J9" i="54" s="1"/>
  <c r="I9" i="54" a="1"/>
  <c r="I9" i="54" s="1"/>
  <c r="H9" i="54" a="1"/>
  <c r="H9" i="54" s="1"/>
  <c r="G9" i="54" a="1"/>
  <c r="G9" i="54" s="1"/>
  <c r="F9" i="54" a="1"/>
  <c r="F9" i="54" s="1"/>
  <c r="E9" i="54" a="1"/>
  <c r="E9" i="54" s="1"/>
  <c r="D9" i="54" a="1"/>
  <c r="D9" i="54" s="1"/>
  <c r="C9" i="54" a="1"/>
  <c r="C9" i="54" s="1"/>
  <c r="A9" i="54" a="1"/>
  <c r="A9" i="54" s="1"/>
  <c r="K8" i="54" a="1"/>
  <c r="K8" i="54" s="1"/>
  <c r="J8" i="54" a="1"/>
  <c r="J8" i="54" s="1"/>
  <c r="I8" i="54" a="1"/>
  <c r="I8" i="54" s="1"/>
  <c r="H8" i="54" a="1"/>
  <c r="H8" i="54" s="1"/>
  <c r="G8" i="54" a="1"/>
  <c r="G8" i="54" s="1"/>
  <c r="F8" i="54" a="1"/>
  <c r="F8" i="54" s="1"/>
  <c r="E8" i="54" a="1"/>
  <c r="E8" i="54" s="1"/>
  <c r="D8" i="54" a="1"/>
  <c r="D8" i="54" s="1"/>
  <c r="C8" i="54" a="1"/>
  <c r="C8" i="54" s="1"/>
  <c r="A8" i="54" a="1"/>
  <c r="A8" i="54" s="1"/>
  <c r="K7" i="54" a="1"/>
  <c r="K7" i="54" s="1"/>
  <c r="J7" i="54" a="1"/>
  <c r="J7" i="54" s="1"/>
  <c r="I7" i="54" a="1"/>
  <c r="I7" i="54" s="1"/>
  <c r="H7" i="54" a="1"/>
  <c r="H7" i="54" s="1"/>
  <c r="G7" i="54" a="1"/>
  <c r="G7" i="54" s="1"/>
  <c r="F7" i="54" a="1"/>
  <c r="F7" i="54" s="1"/>
  <c r="E7" i="54" a="1"/>
  <c r="E7" i="54" s="1"/>
  <c r="D7" i="54" a="1"/>
  <c r="D7" i="54" s="1"/>
  <c r="C7" i="54" a="1"/>
  <c r="C7" i="54" s="1"/>
  <c r="A7" i="54" a="1"/>
  <c r="A7" i="54" s="1"/>
  <c r="K6" i="54" a="1"/>
  <c r="K6" i="54" s="1"/>
  <c r="J6" i="54" a="1"/>
  <c r="J6" i="54" s="1"/>
  <c r="I6" i="54" a="1"/>
  <c r="I6" i="54" s="1"/>
  <c r="H6" i="54" a="1"/>
  <c r="H6" i="54" s="1"/>
  <c r="G6" i="54" a="1"/>
  <c r="G6" i="54" s="1"/>
  <c r="F6" i="54" a="1"/>
  <c r="F6" i="54" s="1"/>
  <c r="E6" i="54" a="1"/>
  <c r="E6" i="54" s="1"/>
  <c r="D6" i="54" a="1"/>
  <c r="D6" i="54" s="1"/>
  <c r="C6" i="54" a="1"/>
  <c r="C6" i="54" s="1"/>
  <c r="A6" i="54" a="1"/>
  <c r="A6" i="54" s="1"/>
  <c r="K5" i="54" a="1"/>
  <c r="K5" i="54" s="1"/>
  <c r="J5" i="54" a="1"/>
  <c r="J5" i="54" s="1"/>
  <c r="I5" i="54" a="1"/>
  <c r="I5" i="54" s="1"/>
  <c r="H5" i="54" a="1"/>
  <c r="H5" i="54" s="1"/>
  <c r="G5" i="54" a="1"/>
  <c r="G5" i="54" s="1"/>
  <c r="F5" i="54" a="1"/>
  <c r="F5" i="54" s="1"/>
  <c r="E5" i="54" a="1"/>
  <c r="E5" i="54" s="1"/>
  <c r="D5" i="54" a="1"/>
  <c r="D5" i="54" s="1"/>
  <c r="C5" i="54" a="1"/>
  <c r="C5" i="54" s="1"/>
  <c r="A5" i="54" a="1"/>
  <c r="A5" i="54" s="1"/>
  <c r="K4" i="54" a="1"/>
  <c r="K4" i="54" s="1"/>
  <c r="J4" i="54" a="1"/>
  <c r="J4" i="54" s="1"/>
  <c r="I4" i="54" a="1"/>
  <c r="I4" i="54" s="1"/>
  <c r="H4" i="54" a="1"/>
  <c r="H4" i="54" s="1"/>
  <c r="G4" i="54" a="1"/>
  <c r="G4" i="54" s="1"/>
  <c r="F4" i="54" a="1"/>
  <c r="F4" i="54" s="1"/>
  <c r="E4" i="54" a="1"/>
  <c r="E4" i="54" s="1"/>
  <c r="D4" i="54" a="1"/>
  <c r="D4" i="54" s="1"/>
  <c r="C4" i="54" a="1"/>
  <c r="C4" i="54" s="1"/>
  <c r="A4" i="54" a="1"/>
  <c r="A4" i="54" s="1"/>
  <c r="K3" i="54" a="1"/>
  <c r="K3" i="54" s="1"/>
  <c r="J3" i="54" a="1"/>
  <c r="J3" i="54" s="1"/>
  <c r="I3" i="54" a="1"/>
  <c r="I3" i="54" s="1"/>
  <c r="H3" i="54" a="1"/>
  <c r="H3" i="54" s="1"/>
  <c r="G3" i="54" a="1"/>
  <c r="G3" i="54" s="1"/>
  <c r="F3" i="54" a="1"/>
  <c r="F3" i="54" s="1"/>
  <c r="E3" i="54" a="1"/>
  <c r="E3" i="54" s="1"/>
  <c r="D3" i="54" a="1"/>
  <c r="D3" i="54" s="1"/>
  <c r="C3" i="54" a="1"/>
  <c r="C3" i="54" s="1"/>
  <c r="A3" i="54" a="1"/>
  <c r="A3" i="54" s="1"/>
  <c r="J2" i="54" a="1"/>
  <c r="J2" i="54" s="1"/>
  <c r="I2" i="54" a="1"/>
  <c r="I2" i="54" s="1"/>
  <c r="H2" i="54" a="1"/>
  <c r="H2" i="54" s="1"/>
  <c r="G2" i="54" a="1"/>
  <c r="G2" i="54" s="1"/>
  <c r="F2" i="54" a="1"/>
  <c r="F2" i="54" s="1"/>
  <c r="E2" i="54" a="1"/>
  <c r="E2" i="54" s="1"/>
  <c r="D2" i="54" a="1"/>
  <c r="D2" i="54" s="1"/>
  <c r="C2" i="54" a="1"/>
  <c r="C2" i="54" s="1"/>
  <c r="A2" i="54" a="1"/>
  <c r="A2" i="54" s="1"/>
  <c r="M1" i="54" a="1"/>
  <c r="M1" i="54" s="1"/>
  <c r="L1" i="54" a="1"/>
  <c r="L1" i="54" s="1"/>
  <c r="J1" i="54" a="1"/>
  <c r="J1" i="54" s="1"/>
  <c r="I1" i="54" a="1"/>
  <c r="I1" i="54" s="1"/>
  <c r="H1" i="54" a="1"/>
  <c r="H1" i="54" s="1"/>
  <c r="G1" i="54" a="1"/>
  <c r="G1" i="54" s="1"/>
  <c r="F1" i="54" a="1"/>
  <c r="F1" i="54" s="1"/>
  <c r="E1" i="54" a="1"/>
  <c r="E1" i="54" s="1"/>
  <c r="D1" i="54" a="1"/>
  <c r="D1" i="54" s="1"/>
  <c r="B1" i="54" a="1"/>
  <c r="B1" i="54" s="1"/>
  <c r="A1" i="54" a="1"/>
  <c r="A1" i="54" s="1"/>
  <c r="P246" i="54" a="1"/>
  <c r="P246" i="54" s="1"/>
  <c r="S246" i="54" s="1"/>
  <c r="P245" i="54" a="1"/>
  <c r="P245" i="54" s="1"/>
  <c r="S245" i="54" s="1"/>
  <c r="P244" i="54" a="1"/>
  <c r="P244" i="54" s="1"/>
  <c r="S244" i="54" s="1"/>
  <c r="P243" i="54" a="1"/>
  <c r="P243" i="54" s="1"/>
  <c r="S243" i="54" s="1"/>
  <c r="P242" i="54" a="1"/>
  <c r="P242" i="54" s="1"/>
  <c r="S242" i="54" s="1"/>
  <c r="P241" i="54" a="1"/>
  <c r="P241" i="54" s="1"/>
  <c r="S241" i="54" s="1"/>
  <c r="P240" i="54" a="1"/>
  <c r="P240" i="54" s="1"/>
  <c r="S240" i="54" s="1"/>
  <c r="P239" i="54" a="1"/>
  <c r="P239" i="54" s="1"/>
  <c r="S239" i="54" s="1"/>
  <c r="P238" i="54" a="1"/>
  <c r="P238" i="54" s="1"/>
  <c r="S238" i="54" s="1"/>
  <c r="P237" i="54" a="1"/>
  <c r="P237" i="54" s="1"/>
  <c r="S237" i="54" s="1"/>
  <c r="P236" i="54" a="1"/>
  <c r="P236" i="54" s="1"/>
  <c r="S236" i="54" s="1"/>
  <c r="P235" i="54" a="1"/>
  <c r="P235" i="54" s="1"/>
  <c r="S235" i="54" s="1"/>
  <c r="P234" i="54" a="1"/>
  <c r="P234" i="54" s="1"/>
  <c r="S234" i="54" s="1"/>
  <c r="P233" i="54" a="1"/>
  <c r="P233" i="54" s="1"/>
  <c r="S233" i="54" s="1"/>
  <c r="P232" i="54" a="1"/>
  <c r="P232" i="54" s="1"/>
  <c r="S232" i="54" s="1"/>
  <c r="P231" i="54" a="1"/>
  <c r="P231" i="54" s="1"/>
  <c r="S231" i="54" s="1"/>
  <c r="P230" i="54" a="1"/>
  <c r="P230" i="54" s="1"/>
  <c r="S230" i="54" s="1"/>
  <c r="P229" i="54" a="1"/>
  <c r="P229" i="54" s="1"/>
  <c r="S229" i="54" s="1"/>
  <c r="P228" i="54" a="1"/>
  <c r="P228" i="54" s="1"/>
  <c r="S228" i="54" s="1"/>
  <c r="P227" i="54" a="1"/>
  <c r="P227" i="54" s="1"/>
  <c r="S227" i="54" s="1"/>
  <c r="P226" i="54" a="1"/>
  <c r="P226" i="54" s="1"/>
  <c r="S226" i="54" s="1"/>
  <c r="P225" i="54" a="1"/>
  <c r="P225" i="54" s="1"/>
  <c r="S225" i="54" s="1"/>
  <c r="P224" i="54" a="1"/>
  <c r="P224" i="54" s="1"/>
  <c r="S224" i="54" s="1"/>
  <c r="P223" i="54" a="1"/>
  <c r="P223" i="54" s="1"/>
  <c r="S223" i="54" s="1"/>
  <c r="P222" i="54" a="1"/>
  <c r="P222" i="54" s="1"/>
  <c r="S222" i="54" s="1"/>
  <c r="P221" i="54" a="1"/>
  <c r="P221" i="54" s="1"/>
  <c r="S221" i="54" s="1"/>
  <c r="P220" i="54" a="1"/>
  <c r="P220" i="54" s="1"/>
  <c r="S220" i="54" s="1"/>
  <c r="P219" i="54" a="1"/>
  <c r="P219" i="54" s="1"/>
  <c r="S219" i="54" s="1"/>
  <c r="P218" i="54" a="1"/>
  <c r="P218" i="54" s="1"/>
  <c r="S218" i="54" s="1"/>
  <c r="P217" i="54" a="1"/>
  <c r="P217" i="54" s="1"/>
  <c r="S217" i="54" s="1"/>
  <c r="P216" i="54" a="1"/>
  <c r="P216" i="54" s="1"/>
  <c r="S216" i="54" s="1"/>
  <c r="P215" i="54" a="1"/>
  <c r="P215" i="54" s="1"/>
  <c r="S215" i="54" s="1"/>
  <c r="P214" i="54" a="1"/>
  <c r="P214" i="54" s="1"/>
  <c r="S214" i="54" s="1"/>
  <c r="P213" i="54" a="1"/>
  <c r="P213" i="54" s="1"/>
  <c r="S213" i="54" s="1"/>
  <c r="P212" i="54" a="1"/>
  <c r="P212" i="54" s="1"/>
  <c r="S212" i="54" s="1"/>
  <c r="P211" i="54" a="1"/>
  <c r="P211" i="54" s="1"/>
  <c r="S211" i="54" s="1"/>
  <c r="P210" i="54" a="1"/>
  <c r="P210" i="54" s="1"/>
  <c r="S210" i="54" s="1"/>
  <c r="P209" i="54" a="1"/>
  <c r="P209" i="54" s="1"/>
  <c r="S209" i="54" s="1"/>
  <c r="P208" i="54" a="1"/>
  <c r="P208" i="54" s="1"/>
  <c r="S208" i="54" s="1"/>
  <c r="P207" i="54" a="1"/>
  <c r="P207" i="54" s="1"/>
  <c r="S207" i="54" s="1"/>
  <c r="P206" i="54" a="1"/>
  <c r="P206" i="54" s="1"/>
  <c r="S206" i="54" s="1"/>
  <c r="P205" i="54" a="1"/>
  <c r="P205" i="54" s="1"/>
  <c r="S205" i="54" s="1"/>
  <c r="P204" i="54" a="1"/>
  <c r="P204" i="54" s="1"/>
  <c r="S204" i="54" s="1"/>
  <c r="P203" i="54" a="1"/>
  <c r="P203" i="54" s="1"/>
  <c r="S203" i="54" s="1"/>
  <c r="P202" i="54" a="1"/>
  <c r="P202" i="54" s="1"/>
  <c r="S202" i="54" s="1"/>
  <c r="P201" i="54" a="1"/>
  <c r="P201" i="54" s="1"/>
  <c r="S201" i="54" s="1"/>
  <c r="P200" i="54" a="1"/>
  <c r="P200" i="54" s="1"/>
  <c r="S200" i="54" s="1"/>
  <c r="P199" i="54" a="1"/>
  <c r="P199" i="54" s="1"/>
  <c r="S199" i="54" s="1"/>
  <c r="P198" i="54" a="1"/>
  <c r="P198" i="54" s="1"/>
  <c r="S198" i="54" s="1"/>
  <c r="P197" i="54" a="1"/>
  <c r="P197" i="54" s="1"/>
  <c r="S197" i="54" s="1"/>
  <c r="P196" i="54" a="1"/>
  <c r="P196" i="54" s="1"/>
  <c r="S196" i="54" s="1"/>
  <c r="P195" i="54" a="1"/>
  <c r="P195" i="54" s="1"/>
  <c r="S195" i="54" s="1"/>
  <c r="P194" i="54" a="1"/>
  <c r="P194" i="54" s="1"/>
  <c r="S194" i="54" s="1"/>
  <c r="P193" i="54" a="1"/>
  <c r="P193" i="54" s="1"/>
  <c r="S193" i="54" s="1"/>
  <c r="P192" i="54" a="1"/>
  <c r="P192" i="54" s="1"/>
  <c r="S192" i="54" s="1"/>
  <c r="P191" i="54" a="1"/>
  <c r="P191" i="54" s="1"/>
  <c r="S191" i="54" s="1"/>
  <c r="P190" i="54" a="1"/>
  <c r="P190" i="54" s="1"/>
  <c r="S190" i="54" s="1"/>
  <c r="P189" i="54" a="1"/>
  <c r="P189" i="54" s="1"/>
  <c r="S189" i="54" s="1"/>
  <c r="P188" i="54" a="1"/>
  <c r="P188" i="54" s="1"/>
  <c r="S188" i="54" s="1"/>
  <c r="P187" i="54" a="1"/>
  <c r="P187" i="54" s="1"/>
  <c r="S187" i="54" s="1"/>
  <c r="P186" i="54" a="1"/>
  <c r="P186" i="54" s="1"/>
  <c r="S186" i="54" s="1"/>
  <c r="P185" i="54" a="1"/>
  <c r="P185" i="54" s="1"/>
  <c r="S185" i="54" s="1"/>
  <c r="P184" i="54" a="1"/>
  <c r="P184" i="54" s="1"/>
  <c r="S184" i="54" s="1"/>
  <c r="P183" i="54" a="1"/>
  <c r="P183" i="54" s="1"/>
  <c r="S183" i="54" s="1"/>
  <c r="P182" i="54" a="1"/>
  <c r="P182" i="54" s="1"/>
  <c r="S182" i="54" s="1"/>
  <c r="P181" i="54" a="1"/>
  <c r="P181" i="54" s="1"/>
  <c r="S181" i="54" s="1"/>
  <c r="P180" i="54" a="1"/>
  <c r="P180" i="54" s="1"/>
  <c r="S180" i="54" s="1"/>
  <c r="P179" i="54" a="1"/>
  <c r="P179" i="54" s="1"/>
  <c r="S179" i="54" s="1"/>
  <c r="P178" i="54" a="1"/>
  <c r="P178" i="54" s="1"/>
  <c r="S178" i="54" s="1"/>
  <c r="P177" i="54" a="1"/>
  <c r="P177" i="54" s="1"/>
  <c r="S177" i="54" s="1"/>
  <c r="P176" i="54" a="1"/>
  <c r="P176" i="54" s="1"/>
  <c r="S176" i="54" s="1"/>
  <c r="P175" i="54" a="1"/>
  <c r="P175" i="54" s="1"/>
  <c r="S175" i="54" s="1"/>
  <c r="P174" i="54" a="1"/>
  <c r="P174" i="54" s="1"/>
  <c r="S174" i="54" s="1"/>
  <c r="P173" i="54" a="1"/>
  <c r="P173" i="54" s="1"/>
  <c r="S173" i="54" s="1"/>
  <c r="P172" i="54" a="1"/>
  <c r="P172" i="54" s="1"/>
  <c r="S172" i="54" s="1"/>
  <c r="P171" i="54" a="1"/>
  <c r="P171" i="54" s="1"/>
  <c r="S171" i="54" s="1"/>
  <c r="P170" i="54" a="1"/>
  <c r="P170" i="54" s="1"/>
  <c r="S170" i="54" s="1"/>
  <c r="P169" i="54" a="1"/>
  <c r="P169" i="54" s="1"/>
  <c r="S169" i="54" s="1"/>
  <c r="P168" i="54" a="1"/>
  <c r="P168" i="54" s="1"/>
  <c r="S168" i="54" s="1"/>
  <c r="P167" i="54" a="1"/>
  <c r="P167" i="54" s="1"/>
  <c r="S167" i="54" s="1"/>
  <c r="P166" i="54" a="1"/>
  <c r="P166" i="54" s="1"/>
  <c r="S166" i="54" s="1"/>
  <c r="P165" i="54" a="1"/>
  <c r="P165" i="54" s="1"/>
  <c r="S165" i="54" s="1"/>
  <c r="P164" i="54" a="1"/>
  <c r="P164" i="54" s="1"/>
  <c r="S164" i="54" s="1"/>
  <c r="P163" i="54" a="1"/>
  <c r="P163" i="54" s="1"/>
  <c r="S163" i="54" s="1"/>
  <c r="P162" i="54" a="1"/>
  <c r="P162" i="54" s="1"/>
  <c r="S162" i="54" s="1"/>
  <c r="P161" i="54" a="1"/>
  <c r="P161" i="54" s="1"/>
  <c r="S161" i="54" s="1"/>
  <c r="P160" i="54" a="1"/>
  <c r="P160" i="54" s="1"/>
  <c r="S160" i="54" s="1"/>
  <c r="P159" i="54" a="1"/>
  <c r="P159" i="54" s="1"/>
  <c r="S159" i="54" s="1"/>
  <c r="P158" i="54" a="1"/>
  <c r="P158" i="54" s="1"/>
  <c r="S158" i="54" s="1"/>
  <c r="P157" i="54" a="1"/>
  <c r="P157" i="54" s="1"/>
  <c r="S157" i="54" s="1"/>
  <c r="P156" i="54" a="1"/>
  <c r="P156" i="54" s="1"/>
  <c r="S156" i="54" s="1"/>
  <c r="P155" i="54" a="1"/>
  <c r="P155" i="54" s="1"/>
  <c r="S155" i="54" s="1"/>
  <c r="P154" i="54" a="1"/>
  <c r="P154" i="54" s="1"/>
  <c r="S154" i="54" s="1"/>
  <c r="P153" i="54" a="1"/>
  <c r="P153" i="54" s="1"/>
  <c r="S153" i="54" s="1"/>
  <c r="P152" i="54" a="1"/>
  <c r="P152" i="54" s="1"/>
  <c r="S152" i="54" s="1"/>
  <c r="P151" i="54" a="1"/>
  <c r="P151" i="54" s="1"/>
  <c r="S151" i="54" s="1"/>
  <c r="P150" i="54" a="1"/>
  <c r="P150" i="54" s="1"/>
  <c r="S150" i="54" s="1"/>
  <c r="P149" i="54" a="1"/>
  <c r="P149" i="54" s="1"/>
  <c r="S149" i="54" s="1"/>
  <c r="P148" i="54" a="1"/>
  <c r="P148" i="54" s="1"/>
  <c r="S148" i="54" s="1"/>
  <c r="P147" i="54" a="1"/>
  <c r="P147" i="54" s="1"/>
  <c r="S147" i="54" s="1"/>
  <c r="P146" i="54" a="1"/>
  <c r="P146" i="54" s="1"/>
  <c r="S146" i="54" s="1"/>
  <c r="P145" i="54" a="1"/>
  <c r="P145" i="54" s="1"/>
  <c r="S145" i="54" s="1"/>
  <c r="P144" i="54" a="1"/>
  <c r="P144" i="54" s="1"/>
  <c r="S144" i="54" s="1"/>
  <c r="P143" i="54" a="1"/>
  <c r="P143" i="54" s="1"/>
  <c r="S143" i="54" s="1"/>
  <c r="P142" i="54" a="1"/>
  <c r="P142" i="54" s="1"/>
  <c r="S142" i="54" s="1"/>
  <c r="P141" i="54" a="1"/>
  <c r="P141" i="54" s="1"/>
  <c r="S141" i="54" s="1"/>
  <c r="P140" i="54" a="1"/>
  <c r="P140" i="54" s="1"/>
  <c r="S140" i="54" s="1"/>
  <c r="P139" i="54" a="1"/>
  <c r="P139" i="54" s="1"/>
  <c r="S139" i="54" s="1"/>
  <c r="P138" i="54" a="1"/>
  <c r="P138" i="54" s="1"/>
  <c r="S138" i="54" s="1"/>
  <c r="P137" i="54" a="1"/>
  <c r="P137" i="54" s="1"/>
  <c r="S137" i="54" s="1"/>
  <c r="P136" i="54" a="1"/>
  <c r="P136" i="54" s="1"/>
  <c r="S136" i="54" s="1"/>
  <c r="P135" i="54" a="1"/>
  <c r="P135" i="54" s="1"/>
  <c r="S135" i="54" s="1"/>
  <c r="P134" i="54" a="1"/>
  <c r="P134" i="54" s="1"/>
  <c r="S134" i="54" s="1"/>
  <c r="P133" i="54" a="1"/>
  <c r="P133" i="54" s="1"/>
  <c r="S133" i="54" s="1"/>
  <c r="P132" i="54" a="1"/>
  <c r="P132" i="54" s="1"/>
  <c r="S132" i="54" s="1"/>
  <c r="P131" i="54" a="1"/>
  <c r="P131" i="54" s="1"/>
  <c r="S131" i="54" s="1"/>
  <c r="M154" i="54" a="1"/>
  <c r="M154" i="54" s="1"/>
  <c r="L154" i="54" a="1"/>
  <c r="L154" i="54" s="1"/>
  <c r="K154" i="54" a="1"/>
  <c r="K154" i="54" s="1"/>
  <c r="J154" i="54" a="1"/>
  <c r="J154" i="54" s="1"/>
  <c r="I154" i="54" a="1"/>
  <c r="I154" i="54" s="1"/>
  <c r="H154" i="54" a="1"/>
  <c r="H154" i="54" s="1"/>
  <c r="G154" i="54" a="1"/>
  <c r="G154" i="54" s="1"/>
  <c r="F154" i="54" a="1"/>
  <c r="F154" i="54" s="1"/>
  <c r="E154" i="54" a="1"/>
  <c r="E154" i="54" s="1"/>
  <c r="D154" i="54" a="1"/>
  <c r="D154" i="54" s="1"/>
  <c r="C154" i="54" a="1"/>
  <c r="C154" i="54" s="1"/>
  <c r="A154" i="54" a="1"/>
  <c r="A154" i="54" s="1"/>
  <c r="M153" i="54" a="1"/>
  <c r="M153" i="54" s="1"/>
  <c r="L153" i="54" a="1"/>
  <c r="L153" i="54" s="1"/>
  <c r="K153" i="54" a="1"/>
  <c r="K153" i="54" s="1"/>
  <c r="J153" i="54" a="1"/>
  <c r="J153" i="54" s="1"/>
  <c r="I153" i="54" a="1"/>
  <c r="I153" i="54" s="1"/>
  <c r="H153" i="54" a="1"/>
  <c r="H153" i="54" s="1"/>
  <c r="G153" i="54" a="1"/>
  <c r="G153" i="54" s="1"/>
  <c r="F153" i="54" a="1"/>
  <c r="F153" i="54" s="1"/>
  <c r="E153" i="54" a="1"/>
  <c r="E153" i="54" s="1"/>
  <c r="D153" i="54" a="1"/>
  <c r="D153" i="54" s="1"/>
  <c r="C153" i="54" a="1"/>
  <c r="C153" i="54" s="1"/>
  <c r="A153" i="54" a="1"/>
  <c r="A153" i="54" s="1"/>
  <c r="M152" i="54" a="1"/>
  <c r="M152" i="54" s="1"/>
  <c r="L152" i="54" a="1"/>
  <c r="L152" i="54" s="1"/>
  <c r="K152" i="54" a="1"/>
  <c r="K152" i="54" s="1"/>
  <c r="J152" i="54" a="1"/>
  <c r="J152" i="54" s="1"/>
  <c r="I152" i="54" a="1"/>
  <c r="I152" i="54" s="1"/>
  <c r="H152" i="54" a="1"/>
  <c r="H152" i="54" s="1"/>
  <c r="G152" i="54" a="1"/>
  <c r="G152" i="54" s="1"/>
  <c r="F152" i="54" a="1"/>
  <c r="F152" i="54" s="1"/>
  <c r="E152" i="54" a="1"/>
  <c r="E152" i="54" s="1"/>
  <c r="D152" i="54" a="1"/>
  <c r="D152" i="54" s="1"/>
  <c r="C152" i="54" a="1"/>
  <c r="C152" i="54" s="1"/>
  <c r="A152" i="54" a="1"/>
  <c r="A152" i="54" s="1"/>
  <c r="M151" i="54" a="1"/>
  <c r="M151" i="54" s="1"/>
  <c r="L151" i="54" a="1"/>
  <c r="L151" i="54" s="1"/>
  <c r="K151" i="54" a="1"/>
  <c r="K151" i="54" s="1"/>
  <c r="J151" i="54" a="1"/>
  <c r="J151" i="54" s="1"/>
  <c r="I151" i="54" a="1"/>
  <c r="I151" i="54" s="1"/>
  <c r="H151" i="54" a="1"/>
  <c r="H151" i="54" s="1"/>
  <c r="G151" i="54" a="1"/>
  <c r="G151" i="54" s="1"/>
  <c r="F151" i="54" a="1"/>
  <c r="F151" i="54" s="1"/>
  <c r="E151" i="54" a="1"/>
  <c r="E151" i="54" s="1"/>
  <c r="D151" i="54" a="1"/>
  <c r="D151" i="54" s="1"/>
  <c r="C151" i="54" a="1"/>
  <c r="C151" i="54" s="1"/>
  <c r="A151" i="54" a="1"/>
  <c r="A151" i="54" s="1"/>
  <c r="M150" i="54" a="1"/>
  <c r="M150" i="54" s="1"/>
  <c r="L150" i="54" a="1"/>
  <c r="L150" i="54" s="1"/>
  <c r="K150" i="54" a="1"/>
  <c r="K150" i="54" s="1"/>
  <c r="J150" i="54" a="1"/>
  <c r="J150" i="54" s="1"/>
  <c r="I150" i="54" a="1"/>
  <c r="I150" i="54" s="1"/>
  <c r="H150" i="54" a="1"/>
  <c r="H150" i="54" s="1"/>
  <c r="G150" i="54" a="1"/>
  <c r="G150" i="54" s="1"/>
  <c r="F150" i="54" a="1"/>
  <c r="F150" i="54" s="1"/>
  <c r="E150" i="54" a="1"/>
  <c r="E150" i="54" s="1"/>
  <c r="D150" i="54" a="1"/>
  <c r="D150" i="54" s="1"/>
  <c r="C150" i="54" a="1"/>
  <c r="C150" i="54" s="1"/>
  <c r="A150" i="54" a="1"/>
  <c r="A150" i="54" s="1"/>
  <c r="M149" i="54" a="1"/>
  <c r="M149" i="54" s="1"/>
  <c r="L149" i="54" a="1"/>
  <c r="L149" i="54" s="1"/>
  <c r="K149" i="54" a="1"/>
  <c r="K149" i="54" s="1"/>
  <c r="J149" i="54" a="1"/>
  <c r="J149" i="54" s="1"/>
  <c r="I149" i="54" a="1"/>
  <c r="I149" i="54" s="1"/>
  <c r="H149" i="54" a="1"/>
  <c r="H149" i="54" s="1"/>
  <c r="G149" i="54" a="1"/>
  <c r="G149" i="54" s="1"/>
  <c r="F149" i="54" a="1"/>
  <c r="F149" i="54" s="1"/>
  <c r="E149" i="54" a="1"/>
  <c r="E149" i="54" s="1"/>
  <c r="D149" i="54" a="1"/>
  <c r="D149" i="54" s="1"/>
  <c r="C149" i="54" a="1"/>
  <c r="C149" i="54" s="1"/>
  <c r="A149" i="54" a="1"/>
  <c r="A149" i="54" s="1"/>
  <c r="M148" i="54" a="1"/>
  <c r="M148" i="54" s="1"/>
  <c r="L148" i="54" a="1"/>
  <c r="L148" i="54" s="1"/>
  <c r="K148" i="54" a="1"/>
  <c r="K148" i="54" s="1"/>
  <c r="J148" i="54" a="1"/>
  <c r="J148" i="54" s="1"/>
  <c r="I148" i="54" a="1"/>
  <c r="I148" i="54" s="1"/>
  <c r="H148" i="54" a="1"/>
  <c r="H148" i="54" s="1"/>
  <c r="G148" i="54" a="1"/>
  <c r="G148" i="54" s="1"/>
  <c r="F148" i="54" a="1"/>
  <c r="F148" i="54" s="1"/>
  <c r="E148" i="54" a="1"/>
  <c r="E148" i="54" s="1"/>
  <c r="D148" i="54" a="1"/>
  <c r="D148" i="54" s="1"/>
  <c r="C148" i="54" a="1"/>
  <c r="C148" i="54" s="1"/>
  <c r="A148" i="54" a="1"/>
  <c r="A148" i="54" s="1"/>
  <c r="M147" i="54" a="1"/>
  <c r="M147" i="54" s="1"/>
  <c r="L147" i="54" a="1"/>
  <c r="L147" i="54" s="1"/>
  <c r="K147" i="54" a="1"/>
  <c r="K147" i="54" s="1"/>
  <c r="J147" i="54" a="1"/>
  <c r="J147" i="54" s="1"/>
  <c r="I147" i="54" a="1"/>
  <c r="I147" i="54" s="1"/>
  <c r="H147" i="54" a="1"/>
  <c r="H147" i="54" s="1"/>
  <c r="G147" i="54" a="1"/>
  <c r="G147" i="54" s="1"/>
  <c r="F147" i="54" a="1"/>
  <c r="F147" i="54" s="1"/>
  <c r="E147" i="54" a="1"/>
  <c r="E147" i="54" s="1"/>
  <c r="D147" i="54" a="1"/>
  <c r="D147" i="54" s="1"/>
  <c r="C147" i="54" a="1"/>
  <c r="C147" i="54" s="1"/>
  <c r="A147" i="54" a="1"/>
  <c r="A147" i="54" s="1"/>
  <c r="M146" i="54" a="1"/>
  <c r="M146" i="54" s="1"/>
  <c r="L146" i="54" a="1"/>
  <c r="L146" i="54" s="1"/>
  <c r="K146" i="54" a="1"/>
  <c r="K146" i="54" s="1"/>
  <c r="J146" i="54" a="1"/>
  <c r="J146" i="54" s="1"/>
  <c r="I146" i="54" a="1"/>
  <c r="I146" i="54" s="1"/>
  <c r="H146" i="54" a="1"/>
  <c r="H146" i="54" s="1"/>
  <c r="G146" i="54" a="1"/>
  <c r="G146" i="54" s="1"/>
  <c r="F146" i="54" a="1"/>
  <c r="F146" i="54" s="1"/>
  <c r="E146" i="54" a="1"/>
  <c r="E146" i="54" s="1"/>
  <c r="D146" i="54" a="1"/>
  <c r="D146" i="54" s="1"/>
  <c r="C146" i="54" a="1"/>
  <c r="C146" i="54" s="1"/>
  <c r="A146" i="54" a="1"/>
  <c r="A146" i="54" s="1"/>
  <c r="M145" i="54" a="1"/>
  <c r="M145" i="54" s="1"/>
  <c r="L145" i="54" a="1"/>
  <c r="L145" i="54" s="1"/>
  <c r="K145" i="54" a="1"/>
  <c r="K145" i="54" s="1"/>
  <c r="J145" i="54" a="1"/>
  <c r="J145" i="54" s="1"/>
  <c r="I145" i="54" a="1"/>
  <c r="I145" i="54" s="1"/>
  <c r="H145" i="54" a="1"/>
  <c r="H145" i="54" s="1"/>
  <c r="G145" i="54" a="1"/>
  <c r="G145" i="54" s="1"/>
  <c r="F145" i="54" a="1"/>
  <c r="F145" i="54" s="1"/>
  <c r="E145" i="54" a="1"/>
  <c r="E145" i="54" s="1"/>
  <c r="D145" i="54" a="1"/>
  <c r="D145" i="54" s="1"/>
  <c r="C145" i="54" a="1"/>
  <c r="C145" i="54" s="1"/>
  <c r="A145" i="54" a="1"/>
  <c r="A145" i="54" s="1"/>
  <c r="M144" i="54" a="1"/>
  <c r="M144" i="54" s="1"/>
  <c r="L144" i="54" a="1"/>
  <c r="L144" i="54" s="1"/>
  <c r="K144" i="54" a="1"/>
  <c r="K144" i="54" s="1"/>
  <c r="J144" i="54" a="1"/>
  <c r="J144" i="54" s="1"/>
  <c r="I144" i="54" a="1"/>
  <c r="I144" i="54" s="1"/>
  <c r="H144" i="54" a="1"/>
  <c r="H144" i="54" s="1"/>
  <c r="G144" i="54" a="1"/>
  <c r="G144" i="54" s="1"/>
  <c r="F144" i="54" a="1"/>
  <c r="F144" i="54" s="1"/>
  <c r="E144" i="54" a="1"/>
  <c r="E144" i="54" s="1"/>
  <c r="D144" i="54" a="1"/>
  <c r="D144" i="54" s="1"/>
  <c r="C144" i="54" a="1"/>
  <c r="C144" i="54" s="1"/>
  <c r="A144" i="54" a="1"/>
  <c r="A144" i="54" s="1"/>
  <c r="M143" i="54" a="1"/>
  <c r="M143" i="54" s="1"/>
  <c r="L143" i="54" a="1"/>
  <c r="L143" i="54" s="1"/>
  <c r="K143" i="54" a="1"/>
  <c r="K143" i="54" s="1"/>
  <c r="J143" i="54" a="1"/>
  <c r="J143" i="54" s="1"/>
  <c r="I143" i="54" a="1"/>
  <c r="I143" i="54" s="1"/>
  <c r="H143" i="54" a="1"/>
  <c r="H143" i="54" s="1"/>
  <c r="G143" i="54" a="1"/>
  <c r="G143" i="54" s="1"/>
  <c r="F143" i="54" a="1"/>
  <c r="F143" i="54" s="1"/>
  <c r="E143" i="54" a="1"/>
  <c r="E143" i="54" s="1"/>
  <c r="D143" i="54" a="1"/>
  <c r="D143" i="54" s="1"/>
  <c r="C143" i="54" a="1"/>
  <c r="C143" i="54" s="1"/>
  <c r="A143" i="54" a="1"/>
  <c r="A143" i="54" s="1"/>
  <c r="M142" i="54" a="1"/>
  <c r="M142" i="54" s="1"/>
  <c r="L142" i="54" a="1"/>
  <c r="L142" i="54" s="1"/>
  <c r="K142" i="54" a="1"/>
  <c r="K142" i="54" s="1"/>
  <c r="J142" i="54" a="1"/>
  <c r="J142" i="54" s="1"/>
  <c r="I142" i="54" a="1"/>
  <c r="I142" i="54" s="1"/>
  <c r="H142" i="54" a="1"/>
  <c r="H142" i="54" s="1"/>
  <c r="G142" i="54" a="1"/>
  <c r="G142" i="54" s="1"/>
  <c r="F142" i="54" a="1"/>
  <c r="F142" i="54" s="1"/>
  <c r="E142" i="54" a="1"/>
  <c r="E142" i="54" s="1"/>
  <c r="D142" i="54" a="1"/>
  <c r="D142" i="54" s="1"/>
  <c r="C142" i="54" a="1"/>
  <c r="C142" i="54" s="1"/>
  <c r="A142" i="54" a="1"/>
  <c r="A142" i="54" s="1"/>
  <c r="M141" i="54" a="1"/>
  <c r="M141" i="54" s="1"/>
  <c r="L141" i="54" a="1"/>
  <c r="L141" i="54" s="1"/>
  <c r="K141" i="54" a="1"/>
  <c r="K141" i="54" s="1"/>
  <c r="J141" i="54" a="1"/>
  <c r="J141" i="54" s="1"/>
  <c r="I141" i="54" a="1"/>
  <c r="I141" i="54" s="1"/>
  <c r="H141" i="54" a="1"/>
  <c r="H141" i="54" s="1"/>
  <c r="G141" i="54" a="1"/>
  <c r="G141" i="54" s="1"/>
  <c r="F141" i="54" a="1"/>
  <c r="F141" i="54" s="1"/>
  <c r="E141" i="54" a="1"/>
  <c r="E141" i="54" s="1"/>
  <c r="D141" i="54" a="1"/>
  <c r="D141" i="54" s="1"/>
  <c r="C141" i="54" a="1"/>
  <c r="C141" i="54" s="1"/>
  <c r="A141" i="54" a="1"/>
  <c r="A141" i="54" s="1"/>
  <c r="M140" i="54" a="1"/>
  <c r="M140" i="54" s="1"/>
  <c r="L140" i="54" a="1"/>
  <c r="L140" i="54" s="1"/>
  <c r="K140" i="54" a="1"/>
  <c r="K140" i="54" s="1"/>
  <c r="J140" i="54" a="1"/>
  <c r="J140" i="54" s="1"/>
  <c r="I140" i="54" a="1"/>
  <c r="I140" i="54" s="1"/>
  <c r="H140" i="54" a="1"/>
  <c r="H140" i="54" s="1"/>
  <c r="G140" i="54" a="1"/>
  <c r="G140" i="54" s="1"/>
  <c r="F140" i="54" a="1"/>
  <c r="F140" i="54" s="1"/>
  <c r="E140" i="54" a="1"/>
  <c r="E140" i="54" s="1"/>
  <c r="D140" i="54" a="1"/>
  <c r="D140" i="54" s="1"/>
  <c r="C140" i="54" a="1"/>
  <c r="C140" i="54" s="1"/>
  <c r="A140" i="54" a="1"/>
  <c r="A140" i="54" s="1"/>
  <c r="M139" i="54" a="1"/>
  <c r="M139" i="54" s="1"/>
  <c r="L139" i="54" a="1"/>
  <c r="L139" i="54" s="1"/>
  <c r="K139" i="54" a="1"/>
  <c r="K139" i="54" s="1"/>
  <c r="J139" i="54" a="1"/>
  <c r="J139" i="54" s="1"/>
  <c r="I139" i="54" a="1"/>
  <c r="I139" i="54" s="1"/>
  <c r="H139" i="54" a="1"/>
  <c r="H139" i="54" s="1"/>
  <c r="G139" i="54" a="1"/>
  <c r="G139" i="54" s="1"/>
  <c r="F139" i="54" a="1"/>
  <c r="F139" i="54" s="1"/>
  <c r="E139" i="54" a="1"/>
  <c r="E139" i="54" s="1"/>
  <c r="D139" i="54" a="1"/>
  <c r="D139" i="54" s="1"/>
  <c r="C139" i="54" a="1"/>
  <c r="C139" i="54" s="1"/>
  <c r="A139" i="54" a="1"/>
  <c r="A139" i="54" s="1"/>
  <c r="M138" i="54" a="1"/>
  <c r="M138" i="54" s="1"/>
  <c r="L138" i="54" a="1"/>
  <c r="L138" i="54" s="1"/>
  <c r="K138" i="54" a="1"/>
  <c r="K138" i="54" s="1"/>
  <c r="J138" i="54" a="1"/>
  <c r="J138" i="54" s="1"/>
  <c r="I138" i="54" a="1"/>
  <c r="I138" i="54" s="1"/>
  <c r="H138" i="54" a="1"/>
  <c r="H138" i="54" s="1"/>
  <c r="G138" i="54" a="1"/>
  <c r="G138" i="54" s="1"/>
  <c r="F138" i="54" a="1"/>
  <c r="F138" i="54" s="1"/>
  <c r="E138" i="54" a="1"/>
  <c r="E138" i="54" s="1"/>
  <c r="D138" i="54" a="1"/>
  <c r="D138" i="54" s="1"/>
  <c r="C138" i="54" a="1"/>
  <c r="C138" i="54" s="1"/>
  <c r="A138" i="54" a="1"/>
  <c r="A138" i="54" s="1"/>
  <c r="M137" i="54" a="1"/>
  <c r="M137" i="54" s="1"/>
  <c r="L137" i="54" a="1"/>
  <c r="L137" i="54" s="1"/>
  <c r="K137" i="54" a="1"/>
  <c r="K137" i="54" s="1"/>
  <c r="J137" i="54" a="1"/>
  <c r="J137" i="54" s="1"/>
  <c r="I137" i="54" a="1"/>
  <c r="I137" i="54" s="1"/>
  <c r="H137" i="54" a="1"/>
  <c r="H137" i="54" s="1"/>
  <c r="G137" i="54" a="1"/>
  <c r="G137" i="54" s="1"/>
  <c r="F137" i="54" a="1"/>
  <c r="F137" i="54" s="1"/>
  <c r="E137" i="54" a="1"/>
  <c r="E137" i="54" s="1"/>
  <c r="D137" i="54" a="1"/>
  <c r="D137" i="54" s="1"/>
  <c r="C137" i="54" a="1"/>
  <c r="C137" i="54" s="1"/>
  <c r="A137" i="54" a="1"/>
  <c r="A137" i="54" s="1"/>
  <c r="M136" i="54" a="1"/>
  <c r="M136" i="54" s="1"/>
  <c r="L136" i="54" a="1"/>
  <c r="L136" i="54" s="1"/>
  <c r="K136" i="54" a="1"/>
  <c r="K136" i="54" s="1"/>
  <c r="J136" i="54" a="1"/>
  <c r="J136" i="54" s="1"/>
  <c r="I136" i="54" a="1"/>
  <c r="I136" i="54" s="1"/>
  <c r="H136" i="54" a="1"/>
  <c r="H136" i="54" s="1"/>
  <c r="G136" i="54" a="1"/>
  <c r="G136" i="54" s="1"/>
  <c r="F136" i="54" a="1"/>
  <c r="F136" i="54" s="1"/>
  <c r="E136" i="54" a="1"/>
  <c r="E136" i="54" s="1"/>
  <c r="D136" i="54" a="1"/>
  <c r="D136" i="54" s="1"/>
  <c r="C136" i="54" a="1"/>
  <c r="C136" i="54" s="1"/>
  <c r="A136" i="54" a="1"/>
  <c r="A136" i="54" s="1"/>
  <c r="M135" i="54" a="1"/>
  <c r="M135" i="54" s="1"/>
  <c r="L135" i="54" a="1"/>
  <c r="L135" i="54" s="1"/>
  <c r="K135" i="54" a="1"/>
  <c r="K135" i="54" s="1"/>
  <c r="J135" i="54" a="1"/>
  <c r="J135" i="54" s="1"/>
  <c r="I135" i="54" a="1"/>
  <c r="I135" i="54" s="1"/>
  <c r="H135" i="54" a="1"/>
  <c r="H135" i="54" s="1"/>
  <c r="G135" i="54" a="1"/>
  <c r="G135" i="54" s="1"/>
  <c r="F135" i="54" a="1"/>
  <c r="F135" i="54" s="1"/>
  <c r="E135" i="54" a="1"/>
  <c r="E135" i="54" s="1"/>
  <c r="D135" i="54" a="1"/>
  <c r="D135" i="54" s="1"/>
  <c r="C135" i="54" a="1"/>
  <c r="C135" i="54" s="1"/>
  <c r="A135" i="54" a="1"/>
  <c r="A135" i="54" s="1"/>
  <c r="M134" i="54" a="1"/>
  <c r="M134" i="54" s="1"/>
  <c r="L134" i="54" a="1"/>
  <c r="L134" i="54" s="1"/>
  <c r="K134" i="54" a="1"/>
  <c r="K134" i="54" s="1"/>
  <c r="J134" i="54" a="1"/>
  <c r="J134" i="54" s="1"/>
  <c r="I134" i="54" a="1"/>
  <c r="I134" i="54" s="1"/>
  <c r="H134" i="54" a="1"/>
  <c r="H134" i="54" s="1"/>
  <c r="G134" i="54" a="1"/>
  <c r="G134" i="54" s="1"/>
  <c r="F134" i="54" a="1"/>
  <c r="F134" i="54" s="1"/>
  <c r="E134" i="54" a="1"/>
  <c r="E134" i="54" s="1"/>
  <c r="D134" i="54" a="1"/>
  <c r="D134" i="54" s="1"/>
  <c r="C134" i="54" a="1"/>
  <c r="C134" i="54" s="1"/>
  <c r="A134" i="54" a="1"/>
  <c r="A134" i="54" s="1"/>
  <c r="M133" i="54" a="1"/>
  <c r="M133" i="54" s="1"/>
  <c r="L133" i="54" a="1"/>
  <c r="L133" i="54" s="1"/>
  <c r="K133" i="54" a="1"/>
  <c r="K133" i="54" s="1"/>
  <c r="J133" i="54" a="1"/>
  <c r="J133" i="54" s="1"/>
  <c r="I133" i="54" a="1"/>
  <c r="I133" i="54" s="1"/>
  <c r="H133" i="54" a="1"/>
  <c r="H133" i="54" s="1"/>
  <c r="G133" i="54" a="1"/>
  <c r="G133" i="54" s="1"/>
  <c r="F133" i="54" a="1"/>
  <c r="F133" i="54" s="1"/>
  <c r="E133" i="54" a="1"/>
  <c r="E133" i="54" s="1"/>
  <c r="D133" i="54" a="1"/>
  <c r="D133" i="54" s="1"/>
  <c r="C133" i="54" a="1"/>
  <c r="C133" i="54" s="1"/>
  <c r="A133" i="54" a="1"/>
  <c r="A133" i="54" s="1"/>
  <c r="M132" i="54" a="1"/>
  <c r="M132" i="54" s="1"/>
  <c r="L132" i="54" a="1"/>
  <c r="L132" i="54" s="1"/>
  <c r="K132" i="54" a="1"/>
  <c r="K132" i="54" s="1"/>
  <c r="J132" i="54" a="1"/>
  <c r="J132" i="54" s="1"/>
  <c r="I132" i="54" a="1"/>
  <c r="I132" i="54" s="1"/>
  <c r="H132" i="54" a="1"/>
  <c r="H132" i="54" s="1"/>
  <c r="G132" i="54" a="1"/>
  <c r="G132" i="54" s="1"/>
  <c r="F132" i="54" a="1"/>
  <c r="F132" i="54" s="1"/>
  <c r="E132" i="54" a="1"/>
  <c r="E132" i="54" s="1"/>
  <c r="D132" i="54" a="1"/>
  <c r="D132" i="54" s="1"/>
  <c r="C132" i="54" a="1"/>
  <c r="C132" i="54" s="1"/>
  <c r="A132" i="54" a="1"/>
  <c r="A132" i="54" s="1"/>
  <c r="M131" i="54" a="1"/>
  <c r="M131" i="54" s="1"/>
  <c r="L131" i="54" a="1"/>
  <c r="L131" i="54" s="1"/>
  <c r="K131" i="54" a="1"/>
  <c r="K131" i="54" s="1"/>
  <c r="J131" i="54" a="1"/>
  <c r="J131" i="54" s="1"/>
  <c r="I131" i="54" a="1"/>
  <c r="I131" i="54" s="1"/>
  <c r="H131" i="54" a="1"/>
  <c r="H131" i="54" s="1"/>
  <c r="G131" i="54" a="1"/>
  <c r="G131" i="54" s="1"/>
  <c r="F131" i="54" a="1"/>
  <c r="F131" i="54" s="1"/>
  <c r="E131" i="54" a="1"/>
  <c r="E131" i="54" s="1"/>
  <c r="D131" i="54" a="1"/>
  <c r="D131" i="54" s="1"/>
  <c r="C131" i="54" a="1"/>
  <c r="C131" i="54" s="1"/>
  <c r="A131" i="54" a="1"/>
  <c r="A131" i="54" s="1"/>
  <c r="M130" i="54" a="1"/>
  <c r="M130" i="54" s="1"/>
  <c r="L130" i="54" a="1"/>
  <c r="L130" i="54" s="1"/>
  <c r="K130" i="54" a="1"/>
  <c r="K130" i="54" s="1"/>
  <c r="J130" i="54" a="1"/>
  <c r="J130" i="54" s="1"/>
  <c r="I130" i="54" a="1"/>
  <c r="I130" i="54" s="1"/>
  <c r="H130" i="54" a="1"/>
  <c r="H130" i="54" s="1"/>
  <c r="G130" i="54" a="1"/>
  <c r="G130" i="54" s="1"/>
  <c r="F130" i="54" a="1"/>
  <c r="F130" i="54" s="1"/>
  <c r="E130" i="54" a="1"/>
  <c r="E130" i="54" s="1"/>
  <c r="D130" i="54" a="1"/>
  <c r="D130" i="54" s="1"/>
  <c r="C130" i="54" a="1"/>
  <c r="C130" i="54" s="1"/>
  <c r="A130" i="54" a="1"/>
  <c r="A130" i="54" s="1"/>
  <c r="M129" i="54" a="1"/>
  <c r="M129" i="54" s="1"/>
  <c r="L129" i="54" a="1"/>
  <c r="L129" i="54" s="1"/>
  <c r="K129" i="54" a="1"/>
  <c r="K129" i="54" s="1"/>
  <c r="J129" i="54" a="1"/>
  <c r="J129" i="54" s="1"/>
  <c r="I129" i="54" a="1"/>
  <c r="I129" i="54" s="1"/>
  <c r="H129" i="54" a="1"/>
  <c r="H129" i="54" s="1"/>
  <c r="G129" i="54" a="1"/>
  <c r="G129" i="54" s="1"/>
  <c r="F129" i="54" a="1"/>
  <c r="F129" i="54" s="1"/>
  <c r="E129" i="54" a="1"/>
  <c r="E129" i="54" s="1"/>
  <c r="D129" i="54" a="1"/>
  <c r="D129" i="54" s="1"/>
  <c r="C129" i="54" a="1"/>
  <c r="C129" i="54" s="1"/>
  <c r="A129" i="54" a="1"/>
  <c r="A129" i="54" s="1"/>
  <c r="M128" i="54" a="1"/>
  <c r="M128" i="54" s="1"/>
  <c r="L128" i="54" a="1"/>
  <c r="L128" i="54" s="1"/>
  <c r="K128" i="54" a="1"/>
  <c r="K128" i="54" s="1"/>
  <c r="J128" i="54" a="1"/>
  <c r="J128" i="54" s="1"/>
  <c r="I128" i="54" a="1"/>
  <c r="I128" i="54" s="1"/>
  <c r="H128" i="54" a="1"/>
  <c r="H128" i="54" s="1"/>
  <c r="G128" i="54" a="1"/>
  <c r="G128" i="54" s="1"/>
  <c r="F128" i="54" a="1"/>
  <c r="F128" i="54" s="1"/>
  <c r="E128" i="54" a="1"/>
  <c r="E128" i="54" s="1"/>
  <c r="D128" i="54" a="1"/>
  <c r="D128" i="54" s="1"/>
  <c r="C128" i="54" a="1"/>
  <c r="C128" i="54" s="1"/>
  <c r="A128" i="54" a="1"/>
  <c r="A128" i="54" s="1"/>
  <c r="M127" i="54" a="1"/>
  <c r="M127" i="54" s="1"/>
  <c r="L127" i="54" a="1"/>
  <c r="L127" i="54" s="1"/>
  <c r="K127" i="54" a="1"/>
  <c r="K127" i="54" s="1"/>
  <c r="J127" i="54" a="1"/>
  <c r="J127" i="54" s="1"/>
  <c r="I127" i="54" a="1"/>
  <c r="I127" i="54" s="1"/>
  <c r="H127" i="54" a="1"/>
  <c r="H127" i="54" s="1"/>
  <c r="G127" i="54" a="1"/>
  <c r="G127" i="54" s="1"/>
  <c r="F127" i="54" a="1"/>
  <c r="F127" i="54" s="1"/>
  <c r="E127" i="54" a="1"/>
  <c r="E127" i="54" s="1"/>
  <c r="D127" i="54" a="1"/>
  <c r="D127" i="54" s="1"/>
  <c r="C127" i="54" a="1"/>
  <c r="C127" i="54" s="1"/>
  <c r="A127" i="54" a="1"/>
  <c r="A127" i="54" s="1"/>
  <c r="M126" i="54" a="1"/>
  <c r="M126" i="54" s="1"/>
  <c r="L126" i="54" a="1"/>
  <c r="L126" i="54" s="1"/>
  <c r="K126" i="54" a="1"/>
  <c r="K126" i="54" s="1"/>
  <c r="J126" i="54" a="1"/>
  <c r="J126" i="54" s="1"/>
  <c r="I126" i="54" a="1"/>
  <c r="I126" i="54" s="1"/>
  <c r="H126" i="54" a="1"/>
  <c r="H126" i="54" s="1"/>
  <c r="G126" i="54" a="1"/>
  <c r="G126" i="54" s="1"/>
  <c r="F126" i="54" a="1"/>
  <c r="F126" i="54" s="1"/>
  <c r="E126" i="54" a="1"/>
  <c r="E126" i="54" s="1"/>
  <c r="D126" i="54" a="1"/>
  <c r="D126" i="54" s="1"/>
  <c r="C126" i="54" a="1"/>
  <c r="C126" i="54" s="1"/>
  <c r="A126" i="54" a="1"/>
  <c r="A126" i="54" s="1"/>
  <c r="M125" i="54" a="1"/>
  <c r="M125" i="54" s="1"/>
  <c r="L125" i="54" a="1"/>
  <c r="L125" i="54" s="1"/>
  <c r="K125" i="54" a="1"/>
  <c r="K125" i="54" s="1"/>
  <c r="J125" i="54" a="1"/>
  <c r="J125" i="54" s="1"/>
  <c r="I125" i="54" a="1"/>
  <c r="I125" i="54" s="1"/>
  <c r="H125" i="54" a="1"/>
  <c r="H125" i="54" s="1"/>
  <c r="G125" i="54" a="1"/>
  <c r="G125" i="54" s="1"/>
  <c r="F125" i="54" a="1"/>
  <c r="F125" i="54" s="1"/>
  <c r="E125" i="54" a="1"/>
  <c r="E125" i="54" s="1"/>
  <c r="D125" i="54" a="1"/>
  <c r="D125" i="54" s="1"/>
  <c r="C125" i="54" a="1"/>
  <c r="C125" i="54" s="1"/>
  <c r="A125" i="54" a="1"/>
  <c r="A125" i="54" s="1"/>
  <c r="M124" i="54" a="1"/>
  <c r="M124" i="54" s="1"/>
  <c r="L124" i="54" a="1"/>
  <c r="L124" i="54" s="1"/>
  <c r="K124" i="54" a="1"/>
  <c r="K124" i="54" s="1"/>
  <c r="J124" i="54" a="1"/>
  <c r="J124" i="54" s="1"/>
  <c r="I124" i="54" a="1"/>
  <c r="I124" i="54" s="1"/>
  <c r="H124" i="54" a="1"/>
  <c r="H124" i="54" s="1"/>
  <c r="G124" i="54" a="1"/>
  <c r="G124" i="54" s="1"/>
  <c r="F124" i="54" a="1"/>
  <c r="F124" i="54" s="1"/>
  <c r="E124" i="54" a="1"/>
  <c r="E124" i="54" s="1"/>
  <c r="D124" i="54" a="1"/>
  <c r="D124" i="54" s="1"/>
  <c r="C124" i="54" a="1"/>
  <c r="C124" i="54" s="1"/>
  <c r="A124" i="54" a="1"/>
  <c r="A124" i="54" s="1"/>
  <c r="M123" i="54" a="1"/>
  <c r="M123" i="54" s="1"/>
  <c r="L123" i="54" a="1"/>
  <c r="L123" i="54" s="1"/>
  <c r="K123" i="54" a="1"/>
  <c r="K123" i="54" s="1"/>
  <c r="J123" i="54" a="1"/>
  <c r="J123" i="54" s="1"/>
  <c r="I123" i="54" a="1"/>
  <c r="I123" i="54" s="1"/>
  <c r="H123" i="54" a="1"/>
  <c r="H123" i="54" s="1"/>
  <c r="G123" i="54" a="1"/>
  <c r="G123" i="54" s="1"/>
  <c r="F123" i="54" a="1"/>
  <c r="F123" i="54" s="1"/>
  <c r="E123" i="54" a="1"/>
  <c r="E123" i="54" s="1"/>
  <c r="D123" i="54" a="1"/>
  <c r="D123" i="54" s="1"/>
  <c r="C123" i="54" a="1"/>
  <c r="C123" i="54" s="1"/>
  <c r="A123" i="54" a="1"/>
  <c r="A123" i="54" s="1"/>
  <c r="M122" i="54" a="1"/>
  <c r="M122" i="54" s="1"/>
  <c r="L122" i="54" a="1"/>
  <c r="L122" i="54" s="1"/>
  <c r="K122" i="54" a="1"/>
  <c r="K122" i="54" s="1"/>
  <c r="J122" i="54" a="1"/>
  <c r="J122" i="54" s="1"/>
  <c r="I122" i="54" a="1"/>
  <c r="I122" i="54" s="1"/>
  <c r="H122" i="54" a="1"/>
  <c r="H122" i="54" s="1"/>
  <c r="G122" i="54" a="1"/>
  <c r="G122" i="54" s="1"/>
  <c r="F122" i="54" a="1"/>
  <c r="F122" i="54" s="1"/>
  <c r="E122" i="54" a="1"/>
  <c r="E122" i="54" s="1"/>
  <c r="D122" i="54" a="1"/>
  <c r="D122" i="54" s="1"/>
  <c r="C122" i="54" a="1"/>
  <c r="C122" i="54" s="1"/>
  <c r="A122" i="54" a="1"/>
  <c r="A122" i="54" s="1"/>
  <c r="M121" i="54" a="1"/>
  <c r="M121" i="54" s="1"/>
  <c r="L121" i="54" a="1"/>
  <c r="L121" i="54" s="1"/>
  <c r="K121" i="54" a="1"/>
  <c r="K121" i="54" s="1"/>
  <c r="J121" i="54" a="1"/>
  <c r="J121" i="54" s="1"/>
  <c r="I121" i="54" a="1"/>
  <c r="I121" i="54" s="1"/>
  <c r="H121" i="54" a="1"/>
  <c r="H121" i="54" s="1"/>
  <c r="G121" i="54" a="1"/>
  <c r="G121" i="54" s="1"/>
  <c r="F121" i="54" a="1"/>
  <c r="F121" i="54" s="1"/>
  <c r="E121" i="54" a="1"/>
  <c r="E121" i="54" s="1"/>
  <c r="D121" i="54" a="1"/>
  <c r="D121" i="54" s="1"/>
  <c r="C121" i="54" a="1"/>
  <c r="C121" i="54" s="1"/>
  <c r="A121" i="54" a="1"/>
  <c r="A121" i="54" s="1"/>
  <c r="M120" i="54" a="1"/>
  <c r="M120" i="54" s="1"/>
  <c r="L120" i="54" a="1"/>
  <c r="L120" i="54" s="1"/>
  <c r="K120" i="54" a="1"/>
  <c r="K120" i="54" s="1"/>
  <c r="J120" i="54" a="1"/>
  <c r="J120" i="54" s="1"/>
  <c r="I120" i="54" a="1"/>
  <c r="I120" i="54" s="1"/>
  <c r="H120" i="54" a="1"/>
  <c r="H120" i="54" s="1"/>
  <c r="G120" i="54" a="1"/>
  <c r="G120" i="54" s="1"/>
  <c r="F120" i="54" a="1"/>
  <c r="F120" i="54" s="1"/>
  <c r="E120" i="54" a="1"/>
  <c r="E120" i="54" s="1"/>
  <c r="D120" i="54" a="1"/>
  <c r="D120" i="54" s="1"/>
  <c r="C120" i="54" a="1"/>
  <c r="C120" i="54" s="1"/>
  <c r="A120" i="54" a="1"/>
  <c r="A120" i="54" s="1"/>
  <c r="M119" i="54" a="1"/>
  <c r="M119" i="54" s="1"/>
  <c r="L119" i="54" a="1"/>
  <c r="L119" i="54" s="1"/>
  <c r="K119" i="54" a="1"/>
  <c r="K119" i="54" s="1"/>
  <c r="J119" i="54" a="1"/>
  <c r="J119" i="54" s="1"/>
  <c r="I119" i="54" a="1"/>
  <c r="I119" i="54" s="1"/>
  <c r="H119" i="54" a="1"/>
  <c r="H119" i="54" s="1"/>
  <c r="G119" i="54" a="1"/>
  <c r="G119" i="54" s="1"/>
  <c r="F119" i="54" a="1"/>
  <c r="F119" i="54" s="1"/>
  <c r="E119" i="54" a="1"/>
  <c r="E119" i="54" s="1"/>
  <c r="D119" i="54" a="1"/>
  <c r="D119" i="54" s="1"/>
  <c r="C119" i="54" a="1"/>
  <c r="C119" i="54" s="1"/>
  <c r="A119" i="54" a="1"/>
  <c r="A119" i="54" s="1"/>
  <c r="M118" i="54" a="1"/>
  <c r="M118" i="54" s="1"/>
  <c r="L118" i="54" a="1"/>
  <c r="L118" i="54" s="1"/>
  <c r="K118" i="54" a="1"/>
  <c r="K118" i="54" s="1"/>
  <c r="J118" i="54" a="1"/>
  <c r="J118" i="54" s="1"/>
  <c r="I118" i="54" a="1"/>
  <c r="I118" i="54" s="1"/>
  <c r="H118" i="54" a="1"/>
  <c r="H118" i="54" s="1"/>
  <c r="G118" i="54" a="1"/>
  <c r="G118" i="54" s="1"/>
  <c r="F118" i="54" a="1"/>
  <c r="F118" i="54" s="1"/>
  <c r="E118" i="54" a="1"/>
  <c r="E118" i="54" s="1"/>
  <c r="D118" i="54" a="1"/>
  <c r="D118" i="54" s="1"/>
  <c r="C118" i="54" a="1"/>
  <c r="C118" i="54" s="1"/>
  <c r="A118" i="54" a="1"/>
  <c r="A118" i="54" s="1"/>
  <c r="M117" i="54" a="1"/>
  <c r="M117" i="54" s="1"/>
  <c r="L117" i="54" a="1"/>
  <c r="L117" i="54" s="1"/>
  <c r="K117" i="54" a="1"/>
  <c r="K117" i="54" s="1"/>
  <c r="J117" i="54" a="1"/>
  <c r="J117" i="54" s="1"/>
  <c r="I117" i="54" a="1"/>
  <c r="I117" i="54" s="1"/>
  <c r="H117" i="54" a="1"/>
  <c r="H117" i="54" s="1"/>
  <c r="G117" i="54" a="1"/>
  <c r="G117" i="54" s="1"/>
  <c r="F117" i="54" a="1"/>
  <c r="F117" i="54" s="1"/>
  <c r="E117" i="54" a="1"/>
  <c r="E117" i="54" s="1"/>
  <c r="D117" i="54" a="1"/>
  <c r="D117" i="54" s="1"/>
  <c r="C117" i="54" a="1"/>
  <c r="C117" i="54" s="1"/>
  <c r="A117" i="54" a="1"/>
  <c r="A117" i="54" s="1"/>
  <c r="M116" i="54" a="1"/>
  <c r="M116" i="54" s="1"/>
  <c r="L116" i="54" a="1"/>
  <c r="L116" i="54" s="1"/>
  <c r="K116" i="54" a="1"/>
  <c r="K116" i="54" s="1"/>
  <c r="J116" i="54" a="1"/>
  <c r="J116" i="54" s="1"/>
  <c r="I116" i="54" a="1"/>
  <c r="I116" i="54" s="1"/>
  <c r="H116" i="54" a="1"/>
  <c r="H116" i="54" s="1"/>
  <c r="G116" i="54" a="1"/>
  <c r="G116" i="54" s="1"/>
  <c r="F116" i="54" a="1"/>
  <c r="F116" i="54" s="1"/>
  <c r="E116" i="54" a="1"/>
  <c r="E116" i="54" s="1"/>
  <c r="D116" i="54" a="1"/>
  <c r="D116" i="54" s="1"/>
  <c r="C116" i="54" a="1"/>
  <c r="C116" i="54" s="1"/>
  <c r="A116" i="54" a="1"/>
  <c r="A116" i="54" s="1"/>
  <c r="M115" i="54" a="1"/>
  <c r="M115" i="54" s="1"/>
  <c r="L115" i="54" a="1"/>
  <c r="L115" i="54" s="1"/>
  <c r="K115" i="54" a="1"/>
  <c r="K115" i="54" s="1"/>
  <c r="J115" i="54" a="1"/>
  <c r="J115" i="54" s="1"/>
  <c r="I115" i="54" a="1"/>
  <c r="I115" i="54" s="1"/>
  <c r="H115" i="54" a="1"/>
  <c r="H115" i="54" s="1"/>
  <c r="G115" i="54" a="1"/>
  <c r="G115" i="54" s="1"/>
  <c r="F115" i="54" a="1"/>
  <c r="F115" i="54" s="1"/>
  <c r="E115" i="54" a="1"/>
  <c r="E115" i="54" s="1"/>
  <c r="D115" i="54" a="1"/>
  <c r="D115" i="54" s="1"/>
  <c r="C115" i="54" a="1"/>
  <c r="C115" i="54" s="1"/>
  <c r="A115" i="54" a="1"/>
  <c r="A115" i="54" s="1"/>
  <c r="M114" i="54" a="1"/>
  <c r="M114" i="54" s="1"/>
  <c r="L114" i="54" a="1"/>
  <c r="L114" i="54" s="1"/>
  <c r="K114" i="54" a="1"/>
  <c r="K114" i="54" s="1"/>
  <c r="J114" i="54" a="1"/>
  <c r="J114" i="54" s="1"/>
  <c r="I114" i="54" a="1"/>
  <c r="I114" i="54" s="1"/>
  <c r="H114" i="54" a="1"/>
  <c r="H114" i="54" s="1"/>
  <c r="G114" i="54" a="1"/>
  <c r="G114" i="54" s="1"/>
  <c r="F114" i="54" a="1"/>
  <c r="F114" i="54" s="1"/>
  <c r="E114" i="54" a="1"/>
  <c r="E114" i="54" s="1"/>
  <c r="D114" i="54" a="1"/>
  <c r="D114" i="54" s="1"/>
  <c r="C114" i="54" a="1"/>
  <c r="C114" i="54" s="1"/>
  <c r="A114" i="54" a="1"/>
  <c r="A114" i="54" s="1"/>
  <c r="M113" i="54" a="1"/>
  <c r="M113" i="54" s="1"/>
  <c r="L113" i="54" a="1"/>
  <c r="L113" i="54" s="1"/>
  <c r="K113" i="54" a="1"/>
  <c r="K113" i="54" s="1"/>
  <c r="J113" i="54" a="1"/>
  <c r="J113" i="54" s="1"/>
  <c r="I113" i="54" a="1"/>
  <c r="I113" i="54" s="1"/>
  <c r="H113" i="54" a="1"/>
  <c r="H113" i="54" s="1"/>
  <c r="G113" i="54" a="1"/>
  <c r="G113" i="54" s="1"/>
  <c r="F113" i="54" a="1"/>
  <c r="F113" i="54" s="1"/>
  <c r="E113" i="54" a="1"/>
  <c r="E113" i="54" s="1"/>
  <c r="D113" i="54" a="1"/>
  <c r="D113" i="54" s="1"/>
  <c r="C113" i="54" a="1"/>
  <c r="C113" i="54" s="1"/>
  <c r="A113" i="54" a="1"/>
  <c r="A113" i="54" s="1"/>
  <c r="M112" i="54" a="1"/>
  <c r="M112" i="54" s="1"/>
  <c r="L112" i="54" a="1"/>
  <c r="L112" i="54" s="1"/>
  <c r="K112" i="54" a="1"/>
  <c r="K112" i="54" s="1"/>
  <c r="J112" i="54" a="1"/>
  <c r="J112" i="54" s="1"/>
  <c r="I112" i="54" a="1"/>
  <c r="I112" i="54" s="1"/>
  <c r="H112" i="54" a="1"/>
  <c r="H112" i="54" s="1"/>
  <c r="G112" i="54" a="1"/>
  <c r="G112" i="54" s="1"/>
  <c r="F112" i="54" a="1"/>
  <c r="F112" i="54" s="1"/>
  <c r="E112" i="54" a="1"/>
  <c r="E112" i="54" s="1"/>
  <c r="D112" i="54" a="1"/>
  <c r="D112" i="54" s="1"/>
  <c r="C112" i="54" a="1"/>
  <c r="C112" i="54" s="1"/>
  <c r="A112" i="54" a="1"/>
  <c r="A112" i="54" s="1"/>
  <c r="M111" i="54" a="1"/>
  <c r="M111" i="54" s="1"/>
  <c r="L111" i="54" a="1"/>
  <c r="L111" i="54" s="1"/>
  <c r="K111" i="54" a="1"/>
  <c r="K111" i="54" s="1"/>
  <c r="J111" i="54" a="1"/>
  <c r="J111" i="54" s="1"/>
  <c r="I111" i="54" a="1"/>
  <c r="I111" i="54" s="1"/>
  <c r="H111" i="54" a="1"/>
  <c r="H111" i="54" s="1"/>
  <c r="G111" i="54" a="1"/>
  <c r="G111" i="54" s="1"/>
  <c r="F111" i="54" a="1"/>
  <c r="F111" i="54" s="1"/>
  <c r="E111" i="54" a="1"/>
  <c r="E111" i="54" s="1"/>
  <c r="D111" i="54" a="1"/>
  <c r="D111" i="54" s="1"/>
  <c r="C111" i="54" a="1"/>
  <c r="C111" i="54" s="1"/>
  <c r="A111" i="54" a="1"/>
  <c r="A111" i="54" s="1"/>
  <c r="M110" i="54" a="1"/>
  <c r="M110" i="54" s="1"/>
  <c r="L110" i="54" a="1"/>
  <c r="L110" i="54" s="1"/>
  <c r="K110" i="54" a="1"/>
  <c r="K110" i="54" s="1"/>
  <c r="J110" i="54" a="1"/>
  <c r="J110" i="54" s="1"/>
  <c r="I110" i="54" a="1"/>
  <c r="I110" i="54" s="1"/>
  <c r="H110" i="54" a="1"/>
  <c r="H110" i="54" s="1"/>
  <c r="G110" i="54" a="1"/>
  <c r="G110" i="54" s="1"/>
  <c r="F110" i="54" a="1"/>
  <c r="F110" i="54" s="1"/>
  <c r="E110" i="54" a="1"/>
  <c r="E110" i="54" s="1"/>
  <c r="D110" i="54" a="1"/>
  <c r="D110" i="54" s="1"/>
  <c r="C110" i="54" a="1"/>
  <c r="C110" i="54" s="1"/>
  <c r="A110" i="54" a="1"/>
  <c r="A110" i="54" s="1"/>
  <c r="M109" i="54" a="1"/>
  <c r="M109" i="54" s="1"/>
  <c r="L109" i="54" a="1"/>
  <c r="L109" i="54" s="1"/>
  <c r="K109" i="54" a="1"/>
  <c r="K109" i="54" s="1"/>
  <c r="J109" i="54" a="1"/>
  <c r="J109" i="54" s="1"/>
  <c r="I109" i="54" a="1"/>
  <c r="I109" i="54" s="1"/>
  <c r="H109" i="54" a="1"/>
  <c r="H109" i="54" s="1"/>
  <c r="G109" i="54" a="1"/>
  <c r="G109" i="54" s="1"/>
  <c r="F109" i="54" a="1"/>
  <c r="F109" i="54" s="1"/>
  <c r="E109" i="54" a="1"/>
  <c r="E109" i="54" s="1"/>
  <c r="D109" i="54" a="1"/>
  <c r="D109" i="54" s="1"/>
  <c r="C109" i="54" a="1"/>
  <c r="C109" i="54" s="1"/>
  <c r="A109" i="54" a="1"/>
  <c r="A109" i="54" s="1"/>
  <c r="M108" i="54" a="1"/>
  <c r="M108" i="54" s="1"/>
  <c r="L108" i="54" a="1"/>
  <c r="L108" i="54" s="1"/>
  <c r="K108" i="54" a="1"/>
  <c r="K108" i="54" s="1"/>
  <c r="J108" i="54" a="1"/>
  <c r="J108" i="54" s="1"/>
  <c r="I108" i="54" a="1"/>
  <c r="I108" i="54" s="1"/>
  <c r="H108" i="54" a="1"/>
  <c r="H108" i="54" s="1"/>
  <c r="G108" i="54" a="1"/>
  <c r="G108" i="54" s="1"/>
  <c r="F108" i="54" a="1"/>
  <c r="F108" i="54" s="1"/>
  <c r="E108" i="54" a="1"/>
  <c r="E108" i="54" s="1"/>
  <c r="D108" i="54" a="1"/>
  <c r="D108" i="54" s="1"/>
  <c r="C108" i="54" a="1"/>
  <c r="C108" i="54" s="1"/>
  <c r="A108" i="54" a="1"/>
  <c r="A108" i="54" s="1"/>
  <c r="M107" i="54" a="1"/>
  <c r="M107" i="54" s="1"/>
  <c r="L107" i="54" a="1"/>
  <c r="L107" i="54" s="1"/>
  <c r="K107" i="54" a="1"/>
  <c r="K107" i="54" s="1"/>
  <c r="J107" i="54" a="1"/>
  <c r="J107" i="54" s="1"/>
  <c r="I107" i="54" a="1"/>
  <c r="I107" i="54" s="1"/>
  <c r="H107" i="54" a="1"/>
  <c r="H107" i="54" s="1"/>
  <c r="G107" i="54" a="1"/>
  <c r="G107" i="54" s="1"/>
  <c r="F107" i="54" a="1"/>
  <c r="F107" i="54" s="1"/>
  <c r="E107" i="54" a="1"/>
  <c r="E107" i="54" s="1"/>
  <c r="D107" i="54" a="1"/>
  <c r="D107" i="54" s="1"/>
  <c r="C107" i="54" a="1"/>
  <c r="C107" i="54" s="1"/>
  <c r="A107" i="54" a="1"/>
  <c r="A107" i="54" s="1"/>
  <c r="M106" i="54" a="1"/>
  <c r="M106" i="54" s="1"/>
  <c r="L106" i="54" a="1"/>
  <c r="L106" i="54" s="1"/>
  <c r="K106" i="54" a="1"/>
  <c r="K106" i="54" s="1"/>
  <c r="J106" i="54" a="1"/>
  <c r="J106" i="54" s="1"/>
  <c r="I106" i="54" a="1"/>
  <c r="I106" i="54" s="1"/>
  <c r="H106" i="54" a="1"/>
  <c r="H106" i="54" s="1"/>
  <c r="G106" i="54" a="1"/>
  <c r="G106" i="54" s="1"/>
  <c r="F106" i="54" a="1"/>
  <c r="F106" i="54" s="1"/>
  <c r="E106" i="54" a="1"/>
  <c r="E106" i="54" s="1"/>
  <c r="D106" i="54" a="1"/>
  <c r="D106" i="54" s="1"/>
  <c r="C106" i="54" a="1"/>
  <c r="C106" i="54" s="1"/>
  <c r="A106" i="54" a="1"/>
  <c r="A106" i="54" s="1"/>
  <c r="M105" i="54" a="1"/>
  <c r="M105" i="54" s="1"/>
  <c r="L105" i="54" a="1"/>
  <c r="L105" i="54" s="1"/>
  <c r="K105" i="54" a="1"/>
  <c r="K105" i="54" s="1"/>
  <c r="J105" i="54" a="1"/>
  <c r="J105" i="54" s="1"/>
  <c r="I105" i="54" a="1"/>
  <c r="I105" i="54" s="1"/>
  <c r="H105" i="54" a="1"/>
  <c r="H105" i="54" s="1"/>
  <c r="G105" i="54" a="1"/>
  <c r="G105" i="54" s="1"/>
  <c r="F105" i="54" a="1"/>
  <c r="F105" i="54" s="1"/>
  <c r="E105" i="54" a="1"/>
  <c r="E105" i="54" s="1"/>
  <c r="D105" i="54" a="1"/>
  <c r="D105" i="54" s="1"/>
  <c r="C105" i="54" a="1"/>
  <c r="C105" i="54" s="1"/>
  <c r="A105" i="54" a="1"/>
  <c r="A105" i="54" s="1"/>
  <c r="M104" i="54" a="1"/>
  <c r="M104" i="54" s="1"/>
  <c r="L104" i="54" a="1"/>
  <c r="L104" i="54" s="1"/>
  <c r="K104" i="54" a="1"/>
  <c r="K104" i="54" s="1"/>
  <c r="J104" i="54" a="1"/>
  <c r="J104" i="54" s="1"/>
  <c r="I104" i="54" a="1"/>
  <c r="I104" i="54" s="1"/>
  <c r="H104" i="54" a="1"/>
  <c r="H104" i="54" s="1"/>
  <c r="G104" i="54" a="1"/>
  <c r="G104" i="54" s="1"/>
  <c r="F104" i="54" a="1"/>
  <c r="F104" i="54" s="1"/>
  <c r="E104" i="54" a="1"/>
  <c r="E104" i="54" s="1"/>
  <c r="D104" i="54" a="1"/>
  <c r="D104" i="54" s="1"/>
  <c r="C104" i="54" a="1"/>
  <c r="C104" i="54" s="1"/>
  <c r="A104" i="54" a="1"/>
  <c r="A104" i="54" s="1"/>
  <c r="M103" i="54" a="1"/>
  <c r="M103" i="54" s="1"/>
  <c r="L103" i="54" a="1"/>
  <c r="L103" i="54" s="1"/>
  <c r="K103" i="54" a="1"/>
  <c r="K103" i="54" s="1"/>
  <c r="J103" i="54" a="1"/>
  <c r="J103" i="54" s="1"/>
  <c r="I103" i="54" a="1"/>
  <c r="I103" i="54" s="1"/>
  <c r="H103" i="54" a="1"/>
  <c r="H103" i="54" s="1"/>
  <c r="G103" i="54" a="1"/>
  <c r="G103" i="54" s="1"/>
  <c r="F103" i="54" a="1"/>
  <c r="F103" i="54" s="1"/>
  <c r="E103" i="54" a="1"/>
  <c r="E103" i="54" s="1"/>
  <c r="D103" i="54" a="1"/>
  <c r="D103" i="54" s="1"/>
  <c r="C103" i="54" a="1"/>
  <c r="C103" i="54" s="1"/>
  <c r="A103" i="54" a="1"/>
  <c r="A103" i="54" s="1"/>
  <c r="M102" i="54" a="1"/>
  <c r="M102" i="54" s="1"/>
  <c r="L102" i="54" a="1"/>
  <c r="L102" i="54" s="1"/>
  <c r="K102" i="54" a="1"/>
  <c r="K102" i="54" s="1"/>
  <c r="J102" i="54" a="1"/>
  <c r="J102" i="54" s="1"/>
  <c r="I102" i="54" a="1"/>
  <c r="I102" i="54" s="1"/>
  <c r="H102" i="54" a="1"/>
  <c r="H102" i="54" s="1"/>
  <c r="G102" i="54" a="1"/>
  <c r="G102" i="54" s="1"/>
  <c r="F102" i="54" a="1"/>
  <c r="F102" i="54" s="1"/>
  <c r="E102" i="54" a="1"/>
  <c r="E102" i="54" s="1"/>
  <c r="D102" i="54" a="1"/>
  <c r="D102" i="54" s="1"/>
  <c r="C102" i="54" a="1"/>
  <c r="C102" i="54" s="1"/>
  <c r="A102" i="54" a="1"/>
  <c r="A102" i="54" s="1"/>
  <c r="M101" i="54" a="1"/>
  <c r="M101" i="54" s="1"/>
  <c r="L101" i="54" a="1"/>
  <c r="L101" i="54" s="1"/>
  <c r="K101" i="54" a="1"/>
  <c r="K101" i="54" s="1"/>
  <c r="J101" i="54" a="1"/>
  <c r="J101" i="54" s="1"/>
  <c r="I101" i="54" a="1"/>
  <c r="I101" i="54" s="1"/>
  <c r="H101" i="54" a="1"/>
  <c r="H101" i="54" s="1"/>
  <c r="G101" i="54" a="1"/>
  <c r="G101" i="54" s="1"/>
  <c r="F101" i="54" a="1"/>
  <c r="F101" i="54" s="1"/>
  <c r="E101" i="54" a="1"/>
  <c r="E101" i="54" s="1"/>
  <c r="D101" i="54" a="1"/>
  <c r="D101" i="54" s="1"/>
  <c r="C101" i="54" a="1"/>
  <c r="C101" i="54" s="1"/>
  <c r="A101" i="54" a="1"/>
  <c r="A101" i="54" s="1"/>
  <c r="M100" i="54" a="1"/>
  <c r="M100" i="54" s="1"/>
  <c r="L100" i="54" a="1"/>
  <c r="L100" i="54" s="1"/>
  <c r="K100" i="54" a="1"/>
  <c r="K100" i="54" s="1"/>
  <c r="J100" i="54" a="1"/>
  <c r="J100" i="54" s="1"/>
  <c r="I100" i="54" a="1"/>
  <c r="I100" i="54" s="1"/>
  <c r="H100" i="54" a="1"/>
  <c r="H100" i="54" s="1"/>
  <c r="G100" i="54" a="1"/>
  <c r="G100" i="54" s="1"/>
  <c r="F100" i="54" a="1"/>
  <c r="F100" i="54" s="1"/>
  <c r="E100" i="54" a="1"/>
  <c r="E100" i="54" s="1"/>
  <c r="D100" i="54" a="1"/>
  <c r="D100" i="54" s="1"/>
  <c r="C100" i="54" a="1"/>
  <c r="C100" i="54" s="1"/>
  <c r="A100" i="54" a="1"/>
  <c r="A100" i="54" s="1"/>
  <c r="M99" i="54" a="1"/>
  <c r="M99" i="54" s="1"/>
  <c r="L99" i="54" a="1"/>
  <c r="L99" i="54" s="1"/>
  <c r="K99" i="54" a="1"/>
  <c r="K99" i="54" s="1"/>
  <c r="J99" i="54" a="1"/>
  <c r="J99" i="54" s="1"/>
  <c r="I99" i="54" a="1"/>
  <c r="I99" i="54" s="1"/>
  <c r="H99" i="54" a="1"/>
  <c r="H99" i="54" s="1"/>
  <c r="G99" i="54" a="1"/>
  <c r="G99" i="54" s="1"/>
  <c r="F99" i="54" a="1"/>
  <c r="F99" i="54" s="1"/>
  <c r="E99" i="54" a="1"/>
  <c r="E99" i="54" s="1"/>
  <c r="D99" i="54" a="1"/>
  <c r="D99" i="54" s="1"/>
  <c r="C99" i="54" a="1"/>
  <c r="C99" i="54" s="1"/>
  <c r="A99" i="54" a="1"/>
  <c r="A99" i="54" s="1"/>
  <c r="M98" i="54" a="1"/>
  <c r="M98" i="54" s="1"/>
  <c r="L98" i="54" a="1"/>
  <c r="L98" i="54" s="1"/>
  <c r="K98" i="54" a="1"/>
  <c r="K98" i="54" s="1"/>
  <c r="J98" i="54" a="1"/>
  <c r="J98" i="54" s="1"/>
  <c r="I98" i="54" a="1"/>
  <c r="I98" i="54" s="1"/>
  <c r="H98" i="54" a="1"/>
  <c r="H98" i="54" s="1"/>
  <c r="G98" i="54" a="1"/>
  <c r="G98" i="54" s="1"/>
  <c r="F98" i="54" a="1"/>
  <c r="F98" i="54" s="1"/>
  <c r="E98" i="54" a="1"/>
  <c r="E98" i="54" s="1"/>
  <c r="D98" i="54" a="1"/>
  <c r="D98" i="54" s="1"/>
  <c r="C98" i="54" a="1"/>
  <c r="C98" i="54" s="1"/>
  <c r="A98" i="54" a="1"/>
  <c r="A98" i="54" s="1"/>
  <c r="M97" i="54" a="1"/>
  <c r="M97" i="54" s="1"/>
  <c r="L97" i="54" a="1"/>
  <c r="L97" i="54" s="1"/>
  <c r="K97" i="54" a="1"/>
  <c r="K97" i="54" s="1"/>
  <c r="J97" i="54" a="1"/>
  <c r="J97" i="54" s="1"/>
  <c r="I97" i="54" a="1"/>
  <c r="I97" i="54" s="1"/>
  <c r="H97" i="54" a="1"/>
  <c r="H97" i="54" s="1"/>
  <c r="G97" i="54" a="1"/>
  <c r="G97" i="54" s="1"/>
  <c r="F97" i="54" a="1"/>
  <c r="F97" i="54" s="1"/>
  <c r="E97" i="54" a="1"/>
  <c r="E97" i="54" s="1"/>
  <c r="D97" i="54" a="1"/>
  <c r="D97" i="54" s="1"/>
  <c r="C97" i="54" a="1"/>
  <c r="C97" i="54" s="1"/>
  <c r="A97" i="54" a="1"/>
  <c r="A97" i="54" s="1"/>
  <c r="M96" i="54" a="1"/>
  <c r="M96" i="54" s="1"/>
  <c r="L96" i="54" a="1"/>
  <c r="L96" i="54" s="1"/>
  <c r="K96" i="54" a="1"/>
  <c r="K96" i="54" s="1"/>
  <c r="J96" i="54" a="1"/>
  <c r="J96" i="54" s="1"/>
  <c r="I96" i="54" a="1"/>
  <c r="I96" i="54" s="1"/>
  <c r="H96" i="54" a="1"/>
  <c r="H96" i="54" s="1"/>
  <c r="G96" i="54" a="1"/>
  <c r="G96" i="54" s="1"/>
  <c r="F96" i="54" a="1"/>
  <c r="F96" i="54" s="1"/>
  <c r="E96" i="54" a="1"/>
  <c r="E96" i="54" s="1"/>
  <c r="D96" i="54" a="1"/>
  <c r="D96" i="54" s="1"/>
  <c r="C96" i="54" a="1"/>
  <c r="C96" i="54" s="1"/>
  <c r="A96" i="54" a="1"/>
  <c r="A96" i="54" s="1"/>
  <c r="M95" i="54" a="1"/>
  <c r="M95" i="54" s="1"/>
  <c r="L95" i="54" a="1"/>
  <c r="L95" i="54" s="1"/>
  <c r="K95" i="54" a="1"/>
  <c r="K95" i="54" s="1"/>
  <c r="J95" i="54" a="1"/>
  <c r="J95" i="54" s="1"/>
  <c r="I95" i="54" a="1"/>
  <c r="I95" i="54" s="1"/>
  <c r="H95" i="54" a="1"/>
  <c r="H95" i="54" s="1"/>
  <c r="G95" i="54" a="1"/>
  <c r="G95" i="54" s="1"/>
  <c r="F95" i="54" a="1"/>
  <c r="F95" i="54" s="1"/>
  <c r="E95" i="54" a="1"/>
  <c r="E95" i="54" s="1"/>
  <c r="D95" i="54" a="1"/>
  <c r="D95" i="54" s="1"/>
  <c r="C95" i="54" a="1"/>
  <c r="C95" i="54" s="1"/>
  <c r="A95" i="54" a="1"/>
  <c r="A95" i="54" s="1"/>
  <c r="M94" i="54" a="1"/>
  <c r="M94" i="54" s="1"/>
  <c r="L94" i="54" a="1"/>
  <c r="L94" i="54" s="1"/>
  <c r="K94" i="54" a="1"/>
  <c r="K94" i="54" s="1"/>
  <c r="J94" i="54" a="1"/>
  <c r="J94" i="54" s="1"/>
  <c r="I94" i="54" a="1"/>
  <c r="I94" i="54" s="1"/>
  <c r="H94" i="54" a="1"/>
  <c r="H94" i="54" s="1"/>
  <c r="G94" i="54" a="1"/>
  <c r="G94" i="54" s="1"/>
  <c r="F94" i="54" a="1"/>
  <c r="F94" i="54" s="1"/>
  <c r="E94" i="54" a="1"/>
  <c r="E94" i="54" s="1"/>
  <c r="D94" i="54" a="1"/>
  <c r="D94" i="54" s="1"/>
  <c r="C94" i="54" a="1"/>
  <c r="C94" i="54" s="1"/>
  <c r="A94" i="54" a="1"/>
  <c r="A94" i="54" s="1"/>
  <c r="M93" i="54" a="1"/>
  <c r="M93" i="54" s="1"/>
  <c r="L93" i="54" a="1"/>
  <c r="L93" i="54" s="1"/>
  <c r="K93" i="54" a="1"/>
  <c r="K93" i="54" s="1"/>
  <c r="J93" i="54" a="1"/>
  <c r="J93" i="54" s="1"/>
  <c r="I93" i="54" a="1"/>
  <c r="I93" i="54" s="1"/>
  <c r="H93" i="54" a="1"/>
  <c r="H93" i="54" s="1"/>
  <c r="G93" i="54" a="1"/>
  <c r="G93" i="54" s="1"/>
  <c r="F93" i="54" a="1"/>
  <c r="F93" i="54" s="1"/>
  <c r="E93" i="54" a="1"/>
  <c r="E93" i="54" s="1"/>
  <c r="D93" i="54" a="1"/>
  <c r="D93" i="54" s="1"/>
  <c r="C93" i="54" a="1"/>
  <c r="C93" i="54" s="1"/>
  <c r="A93" i="54" a="1"/>
  <c r="A93" i="54" s="1"/>
  <c r="M92" i="54" a="1"/>
  <c r="M92" i="54" s="1"/>
  <c r="L92" i="54" a="1"/>
  <c r="L92" i="54" s="1"/>
  <c r="K92" i="54" a="1"/>
  <c r="K92" i="54" s="1"/>
  <c r="J92" i="54" a="1"/>
  <c r="J92" i="54" s="1"/>
  <c r="I92" i="54" a="1"/>
  <c r="I92" i="54" s="1"/>
  <c r="H92" i="54" a="1"/>
  <c r="H92" i="54" s="1"/>
  <c r="G92" i="54" a="1"/>
  <c r="G92" i="54" s="1"/>
  <c r="F92" i="54" a="1"/>
  <c r="F92" i="54" s="1"/>
  <c r="E92" i="54" a="1"/>
  <c r="E92" i="54" s="1"/>
  <c r="D92" i="54" a="1"/>
  <c r="D92" i="54" s="1"/>
  <c r="C92" i="54" a="1"/>
  <c r="C92" i="54" s="1"/>
  <c r="A92" i="54" a="1"/>
  <c r="A92" i="54" s="1"/>
  <c r="M91" i="54" a="1"/>
  <c r="M91" i="54" s="1"/>
  <c r="L91" i="54" a="1"/>
  <c r="L91" i="54" s="1"/>
  <c r="K91" i="54" a="1"/>
  <c r="K91" i="54" s="1"/>
  <c r="J91" i="54" a="1"/>
  <c r="J91" i="54" s="1"/>
  <c r="I91" i="54" a="1"/>
  <c r="I91" i="54" s="1"/>
  <c r="H91" i="54" a="1"/>
  <c r="H91" i="54" s="1"/>
  <c r="G91" i="54" a="1"/>
  <c r="G91" i="54" s="1"/>
  <c r="F91" i="54" a="1"/>
  <c r="F91" i="54" s="1"/>
  <c r="E91" i="54" a="1"/>
  <c r="E91" i="54" s="1"/>
  <c r="D91" i="54" a="1"/>
  <c r="D91" i="54" s="1"/>
  <c r="C91" i="54" a="1"/>
  <c r="C91" i="54" s="1"/>
  <c r="A91" i="54" a="1"/>
  <c r="A91" i="54" s="1"/>
  <c r="M90" i="54" a="1"/>
  <c r="M90" i="54" s="1"/>
  <c r="L90" i="54" a="1"/>
  <c r="L90" i="54" s="1"/>
  <c r="K90" i="54" a="1"/>
  <c r="K90" i="54" s="1"/>
  <c r="J90" i="54" a="1"/>
  <c r="J90" i="54" s="1"/>
  <c r="I90" i="54" a="1"/>
  <c r="I90" i="54" s="1"/>
  <c r="H90" i="54" a="1"/>
  <c r="H90" i="54" s="1"/>
  <c r="G90" i="54" a="1"/>
  <c r="G90" i="54" s="1"/>
  <c r="F90" i="54" a="1"/>
  <c r="F90" i="54" s="1"/>
  <c r="E90" i="54" a="1"/>
  <c r="E90" i="54" s="1"/>
  <c r="D90" i="54" a="1"/>
  <c r="D90" i="54" s="1"/>
  <c r="C90" i="54" a="1"/>
  <c r="C90" i="54" s="1"/>
  <c r="A90" i="54" a="1"/>
  <c r="A90" i="54" s="1"/>
  <c r="M89" i="54" a="1"/>
  <c r="M89" i="54" s="1"/>
  <c r="L89" i="54" a="1"/>
  <c r="L89" i="54" s="1"/>
  <c r="K89" i="54" a="1"/>
  <c r="K89" i="54" s="1"/>
  <c r="J89" i="54" a="1"/>
  <c r="J89" i="54" s="1"/>
  <c r="I89" i="54" a="1"/>
  <c r="I89" i="54" s="1"/>
  <c r="H89" i="54" a="1"/>
  <c r="H89" i="54" s="1"/>
  <c r="G89" i="54" a="1"/>
  <c r="G89" i="54" s="1"/>
  <c r="F89" i="54" a="1"/>
  <c r="F89" i="54" s="1"/>
  <c r="E89" i="54" a="1"/>
  <c r="E89" i="54" s="1"/>
  <c r="D89" i="54" a="1"/>
  <c r="D89" i="54" s="1"/>
  <c r="C89" i="54" a="1"/>
  <c r="C89" i="54" s="1"/>
  <c r="A89" i="54" a="1"/>
  <c r="A89" i="54" s="1"/>
  <c r="M88" i="54" a="1"/>
  <c r="M88" i="54" s="1"/>
  <c r="L88" i="54" a="1"/>
  <c r="L88" i="54" s="1"/>
  <c r="K88" i="54" a="1"/>
  <c r="K88" i="54" s="1"/>
  <c r="J88" i="54" a="1"/>
  <c r="J88" i="54" s="1"/>
  <c r="I88" i="54" a="1"/>
  <c r="I88" i="54" s="1"/>
  <c r="H88" i="54" a="1"/>
  <c r="H88" i="54" s="1"/>
  <c r="G88" i="54" a="1"/>
  <c r="G88" i="54" s="1"/>
  <c r="F88" i="54" a="1"/>
  <c r="F88" i="54" s="1"/>
  <c r="E88" i="54" a="1"/>
  <c r="E88" i="54" s="1"/>
  <c r="D88" i="54" a="1"/>
  <c r="D88" i="54" s="1"/>
  <c r="C88" i="54" a="1"/>
  <c r="C88" i="54" s="1"/>
  <c r="A88" i="54" a="1"/>
  <c r="A88" i="54" s="1"/>
  <c r="M87" i="54" a="1"/>
  <c r="M87" i="54" s="1"/>
  <c r="L87" i="54" a="1"/>
  <c r="L87" i="54" s="1"/>
  <c r="K87" i="54" a="1"/>
  <c r="K87" i="54" s="1"/>
  <c r="J87" i="54" a="1"/>
  <c r="J87" i="54" s="1"/>
  <c r="I87" i="54" a="1"/>
  <c r="I87" i="54" s="1"/>
  <c r="H87" i="54" a="1"/>
  <c r="H87" i="54" s="1"/>
  <c r="G87" i="54" a="1"/>
  <c r="G87" i="54" s="1"/>
  <c r="F87" i="54" a="1"/>
  <c r="F87" i="54" s="1"/>
  <c r="E87" i="54" a="1"/>
  <c r="E87" i="54" s="1"/>
  <c r="D87" i="54" a="1"/>
  <c r="D87" i="54" s="1"/>
  <c r="C87" i="54" a="1"/>
  <c r="C87" i="54" s="1"/>
  <c r="A87" i="54" a="1"/>
  <c r="A87" i="54" s="1"/>
  <c r="M86" i="54" a="1"/>
  <c r="M86" i="54" s="1"/>
  <c r="L86" i="54" a="1"/>
  <c r="L86" i="54" s="1"/>
  <c r="K86" i="54" a="1"/>
  <c r="K86" i="54" s="1"/>
  <c r="J86" i="54" a="1"/>
  <c r="J86" i="54" s="1"/>
  <c r="I86" i="54" a="1"/>
  <c r="I86" i="54" s="1"/>
  <c r="H86" i="54" a="1"/>
  <c r="H86" i="54" s="1"/>
  <c r="G86" i="54" a="1"/>
  <c r="G86" i="54" s="1"/>
  <c r="F86" i="54" a="1"/>
  <c r="F86" i="54" s="1"/>
  <c r="E86" i="54" a="1"/>
  <c r="E86" i="54" s="1"/>
  <c r="D86" i="54" a="1"/>
  <c r="D86" i="54" s="1"/>
  <c r="C86" i="54" a="1"/>
  <c r="C86" i="54" s="1"/>
  <c r="A86" i="54" a="1"/>
  <c r="A86" i="54" s="1"/>
  <c r="M85" i="54" a="1"/>
  <c r="M85" i="54" s="1"/>
  <c r="L85" i="54" a="1"/>
  <c r="L85" i="54" s="1"/>
  <c r="K85" i="54" a="1"/>
  <c r="K85" i="54" s="1"/>
  <c r="J85" i="54" a="1"/>
  <c r="J85" i="54" s="1"/>
  <c r="I85" i="54" a="1"/>
  <c r="I85" i="54" s="1"/>
  <c r="H85" i="54" a="1"/>
  <c r="H85" i="54" s="1"/>
  <c r="G85" i="54" a="1"/>
  <c r="G85" i="54" s="1"/>
  <c r="F85" i="54" a="1"/>
  <c r="F85" i="54" s="1"/>
  <c r="E85" i="54" a="1"/>
  <c r="E85" i="54" s="1"/>
  <c r="D85" i="54" a="1"/>
  <c r="D85" i="54" s="1"/>
  <c r="C85" i="54" a="1"/>
  <c r="C85" i="54" s="1"/>
  <c r="A85" i="54" a="1"/>
  <c r="A85" i="54" s="1"/>
  <c r="M84" i="54" a="1"/>
  <c r="M84" i="54" s="1"/>
  <c r="L84" i="54" a="1"/>
  <c r="L84" i="54" s="1"/>
  <c r="K84" i="54" a="1"/>
  <c r="K84" i="54" s="1"/>
  <c r="J84" i="54" a="1"/>
  <c r="J84" i="54" s="1"/>
  <c r="I84" i="54" a="1"/>
  <c r="I84" i="54" s="1"/>
  <c r="H84" i="54" a="1"/>
  <c r="H84" i="54" s="1"/>
  <c r="G84" i="54" a="1"/>
  <c r="G84" i="54" s="1"/>
  <c r="F84" i="54" a="1"/>
  <c r="F84" i="54" s="1"/>
  <c r="E84" i="54" a="1"/>
  <c r="E84" i="54" s="1"/>
  <c r="D84" i="54" a="1"/>
  <c r="D84" i="54" s="1"/>
  <c r="C84" i="54" a="1"/>
  <c r="C84" i="54" s="1"/>
  <c r="A84" i="54" a="1"/>
  <c r="A84" i="54" s="1"/>
  <c r="M83" i="54" a="1"/>
  <c r="M83" i="54" s="1"/>
  <c r="L83" i="54" a="1"/>
  <c r="L83" i="54" s="1"/>
  <c r="K83" i="54" a="1"/>
  <c r="K83" i="54" s="1"/>
  <c r="J83" i="54" a="1"/>
  <c r="J83" i="54" s="1"/>
  <c r="I83" i="54" a="1"/>
  <c r="I83" i="54" s="1"/>
  <c r="H83" i="54" a="1"/>
  <c r="H83" i="54" s="1"/>
  <c r="G83" i="54" a="1"/>
  <c r="G83" i="54" s="1"/>
  <c r="F83" i="54" a="1"/>
  <c r="F83" i="54" s="1"/>
  <c r="E83" i="54" a="1"/>
  <c r="E83" i="54" s="1"/>
  <c r="D83" i="54" a="1"/>
  <c r="D83" i="54" s="1"/>
  <c r="C83" i="54" a="1"/>
  <c r="C83" i="54" s="1"/>
  <c r="A83" i="54" a="1"/>
  <c r="A83" i="54" s="1"/>
  <c r="M82" i="54" a="1"/>
  <c r="M82" i="54" s="1"/>
  <c r="L82" i="54" a="1"/>
  <c r="L82" i="54" s="1"/>
  <c r="K82" i="54" a="1"/>
  <c r="K82" i="54" s="1"/>
  <c r="J82" i="54" a="1"/>
  <c r="J82" i="54" s="1"/>
  <c r="I82" i="54" a="1"/>
  <c r="I82" i="54" s="1"/>
  <c r="H82" i="54" a="1"/>
  <c r="H82" i="54" s="1"/>
  <c r="G82" i="54" a="1"/>
  <c r="G82" i="54" s="1"/>
  <c r="F82" i="54" a="1"/>
  <c r="F82" i="54" s="1"/>
  <c r="E82" i="54" a="1"/>
  <c r="E82" i="54" s="1"/>
  <c r="D82" i="54" a="1"/>
  <c r="D82" i="54" s="1"/>
  <c r="C82" i="54" a="1"/>
  <c r="C82" i="54" s="1"/>
  <c r="A82" i="54" a="1"/>
  <c r="A82" i="54" s="1"/>
  <c r="M81" i="54" a="1"/>
  <c r="M81" i="54" s="1"/>
  <c r="L81" i="54" a="1"/>
  <c r="L81" i="54" s="1"/>
  <c r="K81" i="54" a="1"/>
  <c r="K81" i="54" s="1"/>
  <c r="J81" i="54" a="1"/>
  <c r="J81" i="54" s="1"/>
  <c r="I81" i="54" a="1"/>
  <c r="I81" i="54" s="1"/>
  <c r="H81" i="54" a="1"/>
  <c r="H81" i="54" s="1"/>
  <c r="G81" i="54" a="1"/>
  <c r="G81" i="54" s="1"/>
  <c r="F81" i="54" a="1"/>
  <c r="F81" i="54" s="1"/>
  <c r="E81" i="54" a="1"/>
  <c r="E81" i="54" s="1"/>
  <c r="D81" i="54" a="1"/>
  <c r="D81" i="54" s="1"/>
  <c r="C81" i="54" a="1"/>
  <c r="C81" i="54" s="1"/>
  <c r="A81" i="54" a="1"/>
  <c r="A81" i="54" s="1"/>
  <c r="M80" i="54" a="1"/>
  <c r="M80" i="54" s="1"/>
  <c r="L80" i="54" a="1"/>
  <c r="L80" i="54" s="1"/>
  <c r="K80" i="54" a="1"/>
  <c r="K80" i="54" s="1"/>
  <c r="J80" i="54" a="1"/>
  <c r="J80" i="54" s="1"/>
  <c r="I80" i="54" a="1"/>
  <c r="I80" i="54" s="1"/>
  <c r="H80" i="54" a="1"/>
  <c r="H80" i="54" s="1"/>
  <c r="G80" i="54" a="1"/>
  <c r="G80" i="54" s="1"/>
  <c r="F80" i="54" a="1"/>
  <c r="F80" i="54" s="1"/>
  <c r="E80" i="54" a="1"/>
  <c r="E80" i="54" s="1"/>
  <c r="D80" i="54" a="1"/>
  <c r="D80" i="54" s="1"/>
  <c r="C80" i="54" a="1"/>
  <c r="C80" i="54" s="1"/>
  <c r="A80" i="54" a="1"/>
  <c r="A80" i="54" s="1"/>
  <c r="M205" i="54" a="1"/>
  <c r="M205" i="54" s="1"/>
  <c r="L205" i="54" a="1"/>
  <c r="L205" i="54" s="1"/>
  <c r="K205" i="54" a="1"/>
  <c r="K205" i="54" s="1"/>
  <c r="J205" i="54" a="1"/>
  <c r="J205" i="54" s="1"/>
  <c r="I205" i="54" a="1"/>
  <c r="I205" i="54" s="1"/>
  <c r="H205" i="54" a="1"/>
  <c r="H205" i="54" s="1"/>
  <c r="G205" i="54" a="1"/>
  <c r="G205" i="54" s="1"/>
  <c r="F205" i="54" a="1"/>
  <c r="F205" i="54" s="1"/>
  <c r="E205" i="54" a="1"/>
  <c r="E205" i="54" s="1"/>
  <c r="D205" i="54" a="1"/>
  <c r="D205" i="54" s="1"/>
  <c r="C205" i="54" a="1"/>
  <c r="C205" i="54" s="1"/>
  <c r="A205" i="54" a="1"/>
  <c r="A205" i="54" s="1"/>
  <c r="M204" i="54" a="1"/>
  <c r="M204" i="54" s="1"/>
  <c r="L204" i="54" a="1"/>
  <c r="L204" i="54" s="1"/>
  <c r="K204" i="54" a="1"/>
  <c r="K204" i="54" s="1"/>
  <c r="J204" i="54" a="1"/>
  <c r="J204" i="54" s="1"/>
  <c r="I204" i="54" a="1"/>
  <c r="I204" i="54" s="1"/>
  <c r="H204" i="54" a="1"/>
  <c r="H204" i="54" s="1"/>
  <c r="G204" i="54" a="1"/>
  <c r="G204" i="54" s="1"/>
  <c r="F204" i="54" a="1"/>
  <c r="F204" i="54" s="1"/>
  <c r="E204" i="54" a="1"/>
  <c r="E204" i="54" s="1"/>
  <c r="D204" i="54" a="1"/>
  <c r="D204" i="54" s="1"/>
  <c r="C204" i="54" a="1"/>
  <c r="C204" i="54" s="1"/>
  <c r="A204" i="54" a="1"/>
  <c r="A204" i="54" s="1"/>
  <c r="M203" i="54" a="1"/>
  <c r="M203" i="54" s="1"/>
  <c r="L203" i="54" a="1"/>
  <c r="L203" i="54" s="1"/>
  <c r="K203" i="54" a="1"/>
  <c r="K203" i="54" s="1"/>
  <c r="J203" i="54" a="1"/>
  <c r="J203" i="54" s="1"/>
  <c r="I203" i="54" a="1"/>
  <c r="I203" i="54" s="1"/>
  <c r="H203" i="54" a="1"/>
  <c r="H203" i="54" s="1"/>
  <c r="G203" i="54" a="1"/>
  <c r="G203" i="54" s="1"/>
  <c r="F203" i="54" a="1"/>
  <c r="F203" i="54" s="1"/>
  <c r="E203" i="54" a="1"/>
  <c r="E203" i="54" s="1"/>
  <c r="D203" i="54" a="1"/>
  <c r="D203" i="54" s="1"/>
  <c r="C203" i="54" a="1"/>
  <c r="C203" i="54" s="1"/>
  <c r="A203" i="54" a="1"/>
  <c r="A203" i="54" s="1"/>
  <c r="M202" i="54" a="1"/>
  <c r="M202" i="54" s="1"/>
  <c r="L202" i="54" a="1"/>
  <c r="L202" i="54" s="1"/>
  <c r="K202" i="54" a="1"/>
  <c r="K202" i="54" s="1"/>
  <c r="J202" i="54" a="1"/>
  <c r="J202" i="54" s="1"/>
  <c r="I202" i="54" a="1"/>
  <c r="I202" i="54" s="1"/>
  <c r="H202" i="54" a="1"/>
  <c r="H202" i="54" s="1"/>
  <c r="G202" i="54" a="1"/>
  <c r="G202" i="54" s="1"/>
  <c r="F202" i="54" a="1"/>
  <c r="F202" i="54" s="1"/>
  <c r="E202" i="54" a="1"/>
  <c r="E202" i="54" s="1"/>
  <c r="D202" i="54" a="1"/>
  <c r="D202" i="54" s="1"/>
  <c r="C202" i="54" a="1"/>
  <c r="C202" i="54" s="1"/>
  <c r="A202" i="54" a="1"/>
  <c r="A202" i="54" s="1"/>
  <c r="M201" i="54" a="1"/>
  <c r="M201" i="54" s="1"/>
  <c r="L201" i="54" a="1"/>
  <c r="L201" i="54" s="1"/>
  <c r="K201" i="54" a="1"/>
  <c r="K201" i="54" s="1"/>
  <c r="J201" i="54" a="1"/>
  <c r="J201" i="54" s="1"/>
  <c r="I201" i="54" a="1"/>
  <c r="I201" i="54" s="1"/>
  <c r="H201" i="54" a="1"/>
  <c r="H201" i="54" s="1"/>
  <c r="G201" i="54" a="1"/>
  <c r="G201" i="54" s="1"/>
  <c r="F201" i="54" a="1"/>
  <c r="F201" i="54" s="1"/>
  <c r="E201" i="54" a="1"/>
  <c r="E201" i="54" s="1"/>
  <c r="D201" i="54" a="1"/>
  <c r="D201" i="54" s="1"/>
  <c r="C201" i="54" a="1"/>
  <c r="C201" i="54" s="1"/>
  <c r="A201" i="54" a="1"/>
  <c r="A201" i="54" s="1"/>
  <c r="M200" i="54" a="1"/>
  <c r="M200" i="54" s="1"/>
  <c r="L200" i="54" a="1"/>
  <c r="L200" i="54" s="1"/>
  <c r="K200" i="54" a="1"/>
  <c r="K200" i="54" s="1"/>
  <c r="J200" i="54" a="1"/>
  <c r="J200" i="54" s="1"/>
  <c r="I200" i="54" a="1"/>
  <c r="I200" i="54" s="1"/>
  <c r="H200" i="54" a="1"/>
  <c r="H200" i="54" s="1"/>
  <c r="G200" i="54" a="1"/>
  <c r="G200" i="54" s="1"/>
  <c r="F200" i="54" a="1"/>
  <c r="F200" i="54" s="1"/>
  <c r="E200" i="54" a="1"/>
  <c r="E200" i="54" s="1"/>
  <c r="D200" i="54" a="1"/>
  <c r="D200" i="54" s="1"/>
  <c r="C200" i="54" a="1"/>
  <c r="C200" i="54" s="1"/>
  <c r="A200" i="54" a="1"/>
  <c r="A200" i="54" s="1"/>
  <c r="M199" i="54" a="1"/>
  <c r="M199" i="54" s="1"/>
  <c r="L199" i="54" a="1"/>
  <c r="L199" i="54" s="1"/>
  <c r="K199" i="54" a="1"/>
  <c r="K199" i="54" s="1"/>
  <c r="J199" i="54" a="1"/>
  <c r="J199" i="54" s="1"/>
  <c r="I199" i="54" a="1"/>
  <c r="I199" i="54" s="1"/>
  <c r="H199" i="54" a="1"/>
  <c r="H199" i="54" s="1"/>
  <c r="G199" i="54" a="1"/>
  <c r="G199" i="54" s="1"/>
  <c r="F199" i="54" a="1"/>
  <c r="F199" i="54" s="1"/>
  <c r="E199" i="54" a="1"/>
  <c r="E199" i="54" s="1"/>
  <c r="D199" i="54" a="1"/>
  <c r="D199" i="54" s="1"/>
  <c r="C199" i="54" a="1"/>
  <c r="C199" i="54" s="1"/>
  <c r="A199" i="54" a="1"/>
  <c r="A199" i="54" s="1"/>
  <c r="M198" i="54" a="1"/>
  <c r="M198" i="54" s="1"/>
  <c r="L198" i="54" a="1"/>
  <c r="L198" i="54" s="1"/>
  <c r="K198" i="54" a="1"/>
  <c r="K198" i="54" s="1"/>
  <c r="J198" i="54" a="1"/>
  <c r="J198" i="54" s="1"/>
  <c r="I198" i="54" a="1"/>
  <c r="I198" i="54" s="1"/>
  <c r="H198" i="54" a="1"/>
  <c r="H198" i="54" s="1"/>
  <c r="G198" i="54" a="1"/>
  <c r="G198" i="54" s="1"/>
  <c r="F198" i="54" a="1"/>
  <c r="F198" i="54" s="1"/>
  <c r="E198" i="54" a="1"/>
  <c r="E198" i="54" s="1"/>
  <c r="D198" i="54" a="1"/>
  <c r="D198" i="54" s="1"/>
  <c r="C198" i="54" a="1"/>
  <c r="C198" i="54" s="1"/>
  <c r="A198" i="54" a="1"/>
  <c r="A198" i="54" s="1"/>
  <c r="M197" i="54" a="1"/>
  <c r="M197" i="54" s="1"/>
  <c r="L197" i="54" a="1"/>
  <c r="L197" i="54" s="1"/>
  <c r="K197" i="54" a="1"/>
  <c r="K197" i="54" s="1"/>
  <c r="J197" i="54" a="1"/>
  <c r="J197" i="54" s="1"/>
  <c r="I197" i="54" a="1"/>
  <c r="I197" i="54" s="1"/>
  <c r="H197" i="54" a="1"/>
  <c r="H197" i="54" s="1"/>
  <c r="G197" i="54" a="1"/>
  <c r="G197" i="54" s="1"/>
  <c r="F197" i="54" a="1"/>
  <c r="F197" i="54" s="1"/>
  <c r="E197" i="54" a="1"/>
  <c r="E197" i="54" s="1"/>
  <c r="D197" i="54" a="1"/>
  <c r="D197" i="54" s="1"/>
  <c r="C197" i="54" a="1"/>
  <c r="C197" i="54" s="1"/>
  <c r="A197" i="54" a="1"/>
  <c r="A197" i="54" s="1"/>
  <c r="M196" i="54" a="1"/>
  <c r="M196" i="54" s="1"/>
  <c r="L196" i="54" a="1"/>
  <c r="L196" i="54" s="1"/>
  <c r="K196" i="54" a="1"/>
  <c r="K196" i="54" s="1"/>
  <c r="J196" i="54" a="1"/>
  <c r="J196" i="54" s="1"/>
  <c r="I196" i="54" a="1"/>
  <c r="I196" i="54" s="1"/>
  <c r="H196" i="54" a="1"/>
  <c r="H196" i="54" s="1"/>
  <c r="G196" i="54" a="1"/>
  <c r="G196" i="54" s="1"/>
  <c r="F196" i="54" a="1"/>
  <c r="F196" i="54" s="1"/>
  <c r="E196" i="54" a="1"/>
  <c r="E196" i="54" s="1"/>
  <c r="D196" i="54" a="1"/>
  <c r="D196" i="54" s="1"/>
  <c r="C196" i="54" a="1"/>
  <c r="C196" i="54" s="1"/>
  <c r="A196" i="54" a="1"/>
  <c r="A196" i="54" s="1"/>
  <c r="M195" i="54" a="1"/>
  <c r="M195" i="54" s="1"/>
  <c r="L195" i="54" a="1"/>
  <c r="L195" i="54" s="1"/>
  <c r="K195" i="54" a="1"/>
  <c r="K195" i="54" s="1"/>
  <c r="J195" i="54" a="1"/>
  <c r="J195" i="54" s="1"/>
  <c r="I195" i="54" a="1"/>
  <c r="I195" i="54" s="1"/>
  <c r="H195" i="54" a="1"/>
  <c r="H195" i="54" s="1"/>
  <c r="G195" i="54" a="1"/>
  <c r="G195" i="54" s="1"/>
  <c r="F195" i="54" a="1"/>
  <c r="F195" i="54" s="1"/>
  <c r="E195" i="54" a="1"/>
  <c r="E195" i="54" s="1"/>
  <c r="D195" i="54" a="1"/>
  <c r="D195" i="54" s="1"/>
  <c r="C195" i="54" a="1"/>
  <c r="C195" i="54" s="1"/>
  <c r="A195" i="54" a="1"/>
  <c r="A195" i="54" s="1"/>
  <c r="M194" i="54" a="1"/>
  <c r="M194" i="54" s="1"/>
  <c r="L194" i="54" a="1"/>
  <c r="L194" i="54" s="1"/>
  <c r="K194" i="54" a="1"/>
  <c r="K194" i="54" s="1"/>
  <c r="J194" i="54" a="1"/>
  <c r="J194" i="54" s="1"/>
  <c r="I194" i="54" a="1"/>
  <c r="I194" i="54" s="1"/>
  <c r="H194" i="54" a="1"/>
  <c r="H194" i="54" s="1"/>
  <c r="G194" i="54" a="1"/>
  <c r="G194" i="54" s="1"/>
  <c r="F194" i="54" a="1"/>
  <c r="F194" i="54" s="1"/>
  <c r="E194" i="54" a="1"/>
  <c r="E194" i="54" s="1"/>
  <c r="D194" i="54" a="1"/>
  <c r="D194" i="54" s="1"/>
  <c r="C194" i="54" a="1"/>
  <c r="C194" i="54" s="1"/>
  <c r="A194" i="54" a="1"/>
  <c r="A194" i="54" s="1"/>
  <c r="M193" i="54" a="1"/>
  <c r="M193" i="54" s="1"/>
  <c r="L193" i="54" a="1"/>
  <c r="L193" i="54" s="1"/>
  <c r="K193" i="54" a="1"/>
  <c r="K193" i="54" s="1"/>
  <c r="J193" i="54" a="1"/>
  <c r="J193" i="54" s="1"/>
  <c r="I193" i="54" a="1"/>
  <c r="I193" i="54" s="1"/>
  <c r="H193" i="54" a="1"/>
  <c r="H193" i="54" s="1"/>
  <c r="G193" i="54" a="1"/>
  <c r="G193" i="54" s="1"/>
  <c r="F193" i="54" a="1"/>
  <c r="F193" i="54" s="1"/>
  <c r="E193" i="54" a="1"/>
  <c r="E193" i="54" s="1"/>
  <c r="D193" i="54" a="1"/>
  <c r="D193" i="54" s="1"/>
  <c r="C193" i="54" a="1"/>
  <c r="C193" i="54" s="1"/>
  <c r="A193" i="54" a="1"/>
  <c r="A193" i="54" s="1"/>
  <c r="M192" i="54" a="1"/>
  <c r="M192" i="54" s="1"/>
  <c r="L192" i="54" a="1"/>
  <c r="L192" i="54" s="1"/>
  <c r="K192" i="54" a="1"/>
  <c r="K192" i="54" s="1"/>
  <c r="J192" i="54" a="1"/>
  <c r="J192" i="54" s="1"/>
  <c r="I192" i="54" a="1"/>
  <c r="I192" i="54" s="1"/>
  <c r="H192" i="54" a="1"/>
  <c r="H192" i="54" s="1"/>
  <c r="G192" i="54" a="1"/>
  <c r="G192" i="54" s="1"/>
  <c r="F192" i="54" a="1"/>
  <c r="F192" i="54" s="1"/>
  <c r="E192" i="54" a="1"/>
  <c r="E192" i="54" s="1"/>
  <c r="D192" i="54" a="1"/>
  <c r="D192" i="54" s="1"/>
  <c r="C192" i="54" a="1"/>
  <c r="C192" i="54" s="1"/>
  <c r="A192" i="54" a="1"/>
  <c r="A192" i="54" s="1"/>
  <c r="M191" i="54" a="1"/>
  <c r="M191" i="54" s="1"/>
  <c r="L191" i="54" a="1"/>
  <c r="L191" i="54" s="1"/>
  <c r="K191" i="54" a="1"/>
  <c r="K191" i="54" s="1"/>
  <c r="J191" i="54" a="1"/>
  <c r="J191" i="54" s="1"/>
  <c r="I191" i="54" a="1"/>
  <c r="I191" i="54" s="1"/>
  <c r="H191" i="54" a="1"/>
  <c r="H191" i="54" s="1"/>
  <c r="G191" i="54" a="1"/>
  <c r="G191" i="54" s="1"/>
  <c r="F191" i="54" a="1"/>
  <c r="F191" i="54" s="1"/>
  <c r="E191" i="54" a="1"/>
  <c r="E191" i="54" s="1"/>
  <c r="D191" i="54" a="1"/>
  <c r="D191" i="54" s="1"/>
  <c r="C191" i="54" a="1"/>
  <c r="C191" i="54" s="1"/>
  <c r="A191" i="54" a="1"/>
  <c r="A191" i="54" s="1"/>
  <c r="M190" i="54" a="1"/>
  <c r="M190" i="54" s="1"/>
  <c r="L190" i="54" a="1"/>
  <c r="L190" i="54" s="1"/>
  <c r="K190" i="54" a="1"/>
  <c r="K190" i="54" s="1"/>
  <c r="J190" i="54" a="1"/>
  <c r="J190" i="54" s="1"/>
  <c r="I190" i="54" a="1"/>
  <c r="I190" i="54" s="1"/>
  <c r="H190" i="54" a="1"/>
  <c r="H190" i="54" s="1"/>
  <c r="G190" i="54" a="1"/>
  <c r="G190" i="54" s="1"/>
  <c r="F190" i="54" a="1"/>
  <c r="F190" i="54" s="1"/>
  <c r="E190" i="54" a="1"/>
  <c r="E190" i="54" s="1"/>
  <c r="D190" i="54" a="1"/>
  <c r="D190" i="54" s="1"/>
  <c r="C190" i="54" a="1"/>
  <c r="C190" i="54" s="1"/>
  <c r="A190" i="54" a="1"/>
  <c r="A190" i="54" s="1"/>
  <c r="M189" i="54" a="1"/>
  <c r="M189" i="54" s="1"/>
  <c r="L189" i="54" a="1"/>
  <c r="L189" i="54" s="1"/>
  <c r="K189" i="54" a="1"/>
  <c r="K189" i="54" s="1"/>
  <c r="J189" i="54" a="1"/>
  <c r="J189" i="54" s="1"/>
  <c r="I189" i="54" a="1"/>
  <c r="I189" i="54" s="1"/>
  <c r="H189" i="54" a="1"/>
  <c r="H189" i="54" s="1"/>
  <c r="G189" i="54" a="1"/>
  <c r="G189" i="54" s="1"/>
  <c r="F189" i="54" a="1"/>
  <c r="F189" i="54" s="1"/>
  <c r="E189" i="54" a="1"/>
  <c r="E189" i="54" s="1"/>
  <c r="D189" i="54" a="1"/>
  <c r="D189" i="54" s="1"/>
  <c r="C189" i="54" a="1"/>
  <c r="C189" i="54" s="1"/>
  <c r="A189" i="54" a="1"/>
  <c r="A189" i="54" s="1"/>
  <c r="M188" i="54" a="1"/>
  <c r="M188" i="54" s="1"/>
  <c r="L188" i="54" a="1"/>
  <c r="L188" i="54" s="1"/>
  <c r="K188" i="54" a="1"/>
  <c r="K188" i="54" s="1"/>
  <c r="J188" i="54" a="1"/>
  <c r="J188" i="54" s="1"/>
  <c r="I188" i="54" a="1"/>
  <c r="I188" i="54" s="1"/>
  <c r="H188" i="54" a="1"/>
  <c r="H188" i="54" s="1"/>
  <c r="G188" i="54" a="1"/>
  <c r="G188" i="54" s="1"/>
  <c r="F188" i="54" a="1"/>
  <c r="F188" i="54" s="1"/>
  <c r="E188" i="54" a="1"/>
  <c r="E188" i="54" s="1"/>
  <c r="D188" i="54" a="1"/>
  <c r="D188" i="54" s="1"/>
  <c r="C188" i="54" a="1"/>
  <c r="C188" i="54" s="1"/>
  <c r="A188" i="54" a="1"/>
  <c r="A188" i="54" s="1"/>
  <c r="M187" i="54" a="1"/>
  <c r="M187" i="54" s="1"/>
  <c r="L187" i="54" a="1"/>
  <c r="L187" i="54" s="1"/>
  <c r="K187" i="54" a="1"/>
  <c r="K187" i="54" s="1"/>
  <c r="J187" i="54" a="1"/>
  <c r="J187" i="54" s="1"/>
  <c r="I187" i="54" a="1"/>
  <c r="I187" i="54" s="1"/>
  <c r="H187" i="54" a="1"/>
  <c r="H187" i="54" s="1"/>
  <c r="G187" i="54" a="1"/>
  <c r="G187" i="54" s="1"/>
  <c r="F187" i="54" a="1"/>
  <c r="F187" i="54" s="1"/>
  <c r="E187" i="54" a="1"/>
  <c r="E187" i="54" s="1"/>
  <c r="D187" i="54" a="1"/>
  <c r="D187" i="54" s="1"/>
  <c r="C187" i="54" a="1"/>
  <c r="C187" i="54" s="1"/>
  <c r="A187" i="54" a="1"/>
  <c r="A187" i="54" s="1"/>
  <c r="M186" i="54" a="1"/>
  <c r="M186" i="54" s="1"/>
  <c r="L186" i="54" a="1"/>
  <c r="L186" i="54" s="1"/>
  <c r="K186" i="54" a="1"/>
  <c r="K186" i="54" s="1"/>
  <c r="J186" i="54" a="1"/>
  <c r="J186" i="54" s="1"/>
  <c r="I186" i="54" a="1"/>
  <c r="I186" i="54" s="1"/>
  <c r="H186" i="54" a="1"/>
  <c r="H186" i="54" s="1"/>
  <c r="G186" i="54" a="1"/>
  <c r="G186" i="54" s="1"/>
  <c r="F186" i="54" a="1"/>
  <c r="F186" i="54" s="1"/>
  <c r="E186" i="54" a="1"/>
  <c r="E186" i="54" s="1"/>
  <c r="D186" i="54" a="1"/>
  <c r="D186" i="54" s="1"/>
  <c r="C186" i="54" a="1"/>
  <c r="C186" i="54" s="1"/>
  <c r="A186" i="54" a="1"/>
  <c r="A186" i="54" s="1"/>
  <c r="M185" i="54" a="1"/>
  <c r="M185" i="54" s="1"/>
  <c r="L185" i="54" a="1"/>
  <c r="L185" i="54" s="1"/>
  <c r="K185" i="54" a="1"/>
  <c r="K185" i="54" s="1"/>
  <c r="J185" i="54" a="1"/>
  <c r="J185" i="54" s="1"/>
  <c r="I185" i="54" a="1"/>
  <c r="I185" i="54" s="1"/>
  <c r="H185" i="54" a="1"/>
  <c r="H185" i="54" s="1"/>
  <c r="G185" i="54" a="1"/>
  <c r="G185" i="54" s="1"/>
  <c r="F185" i="54" a="1"/>
  <c r="F185" i="54" s="1"/>
  <c r="E185" i="54" a="1"/>
  <c r="E185" i="54" s="1"/>
  <c r="D185" i="54" a="1"/>
  <c r="D185" i="54" s="1"/>
  <c r="C185" i="54" a="1"/>
  <c r="C185" i="54" s="1"/>
  <c r="A185" i="54" a="1"/>
  <c r="A185" i="54" s="1"/>
  <c r="M184" i="54" a="1"/>
  <c r="M184" i="54" s="1"/>
  <c r="L184" i="54" a="1"/>
  <c r="L184" i="54" s="1"/>
  <c r="K184" i="54" a="1"/>
  <c r="K184" i="54" s="1"/>
  <c r="J184" i="54" a="1"/>
  <c r="J184" i="54" s="1"/>
  <c r="I184" i="54" a="1"/>
  <c r="I184" i="54" s="1"/>
  <c r="H184" i="54" a="1"/>
  <c r="H184" i="54" s="1"/>
  <c r="G184" i="54" a="1"/>
  <c r="G184" i="54" s="1"/>
  <c r="F184" i="54" a="1"/>
  <c r="F184" i="54" s="1"/>
  <c r="E184" i="54" a="1"/>
  <c r="E184" i="54" s="1"/>
  <c r="D184" i="54" a="1"/>
  <c r="D184" i="54" s="1"/>
  <c r="C184" i="54" a="1"/>
  <c r="C184" i="54" s="1"/>
  <c r="A184" i="54" a="1"/>
  <c r="A184" i="54" s="1"/>
  <c r="M183" i="54" a="1"/>
  <c r="M183" i="54" s="1"/>
  <c r="L183" i="54" a="1"/>
  <c r="L183" i="54" s="1"/>
  <c r="K183" i="54" a="1"/>
  <c r="K183" i="54" s="1"/>
  <c r="J183" i="54" a="1"/>
  <c r="J183" i="54" s="1"/>
  <c r="I183" i="54" a="1"/>
  <c r="I183" i="54" s="1"/>
  <c r="H183" i="54" a="1"/>
  <c r="H183" i="54" s="1"/>
  <c r="G183" i="54" a="1"/>
  <c r="G183" i="54" s="1"/>
  <c r="F183" i="54" a="1"/>
  <c r="F183" i="54" s="1"/>
  <c r="E183" i="54" a="1"/>
  <c r="E183" i="54" s="1"/>
  <c r="D183" i="54" a="1"/>
  <c r="D183" i="54" s="1"/>
  <c r="C183" i="54" a="1"/>
  <c r="C183" i="54" s="1"/>
  <c r="A183" i="54" a="1"/>
  <c r="A183" i="54" s="1"/>
  <c r="M182" i="54" a="1"/>
  <c r="M182" i="54" s="1"/>
  <c r="L182" i="54" a="1"/>
  <c r="L182" i="54" s="1"/>
  <c r="K182" i="54" a="1"/>
  <c r="K182" i="54" s="1"/>
  <c r="J182" i="54" a="1"/>
  <c r="J182" i="54" s="1"/>
  <c r="I182" i="54" a="1"/>
  <c r="I182" i="54" s="1"/>
  <c r="H182" i="54" a="1"/>
  <c r="H182" i="54" s="1"/>
  <c r="G182" i="54" a="1"/>
  <c r="G182" i="54" s="1"/>
  <c r="F182" i="54" a="1"/>
  <c r="F182" i="54" s="1"/>
  <c r="E182" i="54" a="1"/>
  <c r="E182" i="54" s="1"/>
  <c r="D182" i="54" a="1"/>
  <c r="D182" i="54" s="1"/>
  <c r="C182" i="54" a="1"/>
  <c r="C182" i="54" s="1"/>
  <c r="A182" i="54" a="1"/>
  <c r="A182" i="54" s="1"/>
  <c r="M181" i="54" a="1"/>
  <c r="M181" i="54" s="1"/>
  <c r="L181" i="54" a="1"/>
  <c r="L181" i="54" s="1"/>
  <c r="K181" i="54" a="1"/>
  <c r="K181" i="54" s="1"/>
  <c r="J181" i="54" a="1"/>
  <c r="J181" i="54" s="1"/>
  <c r="I181" i="54" a="1"/>
  <c r="I181" i="54" s="1"/>
  <c r="H181" i="54" a="1"/>
  <c r="H181" i="54" s="1"/>
  <c r="G181" i="54" a="1"/>
  <c r="G181" i="54" s="1"/>
  <c r="F181" i="54" a="1"/>
  <c r="F181" i="54" s="1"/>
  <c r="E181" i="54" a="1"/>
  <c r="E181" i="54" s="1"/>
  <c r="D181" i="54" a="1"/>
  <c r="D181" i="54" s="1"/>
  <c r="C181" i="54" a="1"/>
  <c r="C181" i="54" s="1"/>
  <c r="A181" i="54" a="1"/>
  <c r="A181" i="54" s="1"/>
  <c r="M180" i="54" a="1"/>
  <c r="M180" i="54" s="1"/>
  <c r="L180" i="54" a="1"/>
  <c r="L180" i="54" s="1"/>
  <c r="K180" i="54" a="1"/>
  <c r="K180" i="54" s="1"/>
  <c r="J180" i="54" a="1"/>
  <c r="J180" i="54" s="1"/>
  <c r="I180" i="54" a="1"/>
  <c r="I180" i="54" s="1"/>
  <c r="H180" i="54" a="1"/>
  <c r="H180" i="54" s="1"/>
  <c r="G180" i="54" a="1"/>
  <c r="G180" i="54" s="1"/>
  <c r="F180" i="54" a="1"/>
  <c r="F180" i="54" s="1"/>
  <c r="E180" i="54" a="1"/>
  <c r="E180" i="54" s="1"/>
  <c r="D180" i="54" a="1"/>
  <c r="D180" i="54" s="1"/>
  <c r="C180" i="54" a="1"/>
  <c r="C180" i="54" s="1"/>
  <c r="A180" i="54" a="1"/>
  <c r="A180" i="54" s="1"/>
  <c r="M179" i="54" a="1"/>
  <c r="M179" i="54" s="1"/>
  <c r="L179" i="54" a="1"/>
  <c r="L179" i="54" s="1"/>
  <c r="K179" i="54" a="1"/>
  <c r="K179" i="54" s="1"/>
  <c r="J179" i="54" a="1"/>
  <c r="J179" i="54" s="1"/>
  <c r="I179" i="54" a="1"/>
  <c r="I179" i="54" s="1"/>
  <c r="H179" i="54" a="1"/>
  <c r="H179" i="54" s="1"/>
  <c r="G179" i="54" a="1"/>
  <c r="G179" i="54" s="1"/>
  <c r="F179" i="54" a="1"/>
  <c r="F179" i="54" s="1"/>
  <c r="E179" i="54" a="1"/>
  <c r="E179" i="54" s="1"/>
  <c r="D179" i="54" a="1"/>
  <c r="D179" i="54" s="1"/>
  <c r="C179" i="54" a="1"/>
  <c r="C179" i="54" s="1"/>
  <c r="A179" i="54" a="1"/>
  <c r="A179" i="54" s="1"/>
  <c r="M178" i="54" a="1"/>
  <c r="M178" i="54" s="1"/>
  <c r="L178" i="54" a="1"/>
  <c r="L178" i="54" s="1"/>
  <c r="K178" i="54" a="1"/>
  <c r="K178" i="54" s="1"/>
  <c r="J178" i="54" a="1"/>
  <c r="J178" i="54" s="1"/>
  <c r="I178" i="54" a="1"/>
  <c r="I178" i="54" s="1"/>
  <c r="H178" i="54" a="1"/>
  <c r="H178" i="54" s="1"/>
  <c r="G178" i="54" a="1"/>
  <c r="G178" i="54" s="1"/>
  <c r="F178" i="54" a="1"/>
  <c r="F178" i="54" s="1"/>
  <c r="E178" i="54" a="1"/>
  <c r="E178" i="54" s="1"/>
  <c r="D178" i="54" a="1"/>
  <c r="D178" i="54" s="1"/>
  <c r="C178" i="54" a="1"/>
  <c r="C178" i="54" s="1"/>
  <c r="A178" i="54" a="1"/>
  <c r="A178" i="54" s="1"/>
  <c r="M177" i="54" a="1"/>
  <c r="M177" i="54" s="1"/>
  <c r="L177" i="54" a="1"/>
  <c r="L177" i="54" s="1"/>
  <c r="K177" i="54" a="1"/>
  <c r="K177" i="54" s="1"/>
  <c r="J177" i="54" a="1"/>
  <c r="J177" i="54" s="1"/>
  <c r="I177" i="54" a="1"/>
  <c r="I177" i="54" s="1"/>
  <c r="H177" i="54" a="1"/>
  <c r="H177" i="54" s="1"/>
  <c r="G177" i="54" a="1"/>
  <c r="G177" i="54" s="1"/>
  <c r="F177" i="54" a="1"/>
  <c r="F177" i="54" s="1"/>
  <c r="E177" i="54" a="1"/>
  <c r="E177" i="54" s="1"/>
  <c r="D177" i="54" a="1"/>
  <c r="D177" i="54" s="1"/>
  <c r="C177" i="54" a="1"/>
  <c r="C177" i="54" s="1"/>
  <c r="A177" i="54" a="1"/>
  <c r="A177" i="54" s="1"/>
  <c r="M176" i="54" a="1"/>
  <c r="M176" i="54" s="1"/>
  <c r="L176" i="54" a="1"/>
  <c r="L176" i="54" s="1"/>
  <c r="K176" i="54" a="1"/>
  <c r="K176" i="54" s="1"/>
  <c r="J176" i="54" a="1"/>
  <c r="J176" i="54" s="1"/>
  <c r="I176" i="54" a="1"/>
  <c r="I176" i="54" s="1"/>
  <c r="H176" i="54" a="1"/>
  <c r="H176" i="54" s="1"/>
  <c r="G176" i="54" a="1"/>
  <c r="G176" i="54" s="1"/>
  <c r="F176" i="54" a="1"/>
  <c r="F176" i="54" s="1"/>
  <c r="E176" i="54" a="1"/>
  <c r="E176" i="54" s="1"/>
  <c r="D176" i="54" a="1"/>
  <c r="D176" i="54" s="1"/>
  <c r="C176" i="54" a="1"/>
  <c r="C176" i="54" s="1"/>
  <c r="A176" i="54" a="1"/>
  <c r="A176" i="54" s="1"/>
  <c r="M175" i="54" a="1"/>
  <c r="M175" i="54" s="1"/>
  <c r="L175" i="54" a="1"/>
  <c r="L175" i="54" s="1"/>
  <c r="K175" i="54" a="1"/>
  <c r="K175" i="54" s="1"/>
  <c r="J175" i="54" a="1"/>
  <c r="J175" i="54" s="1"/>
  <c r="I175" i="54" a="1"/>
  <c r="I175" i="54" s="1"/>
  <c r="H175" i="54" a="1"/>
  <c r="H175" i="54" s="1"/>
  <c r="G175" i="54" a="1"/>
  <c r="G175" i="54" s="1"/>
  <c r="F175" i="54" a="1"/>
  <c r="F175" i="54" s="1"/>
  <c r="E175" i="54" a="1"/>
  <c r="E175" i="54" s="1"/>
  <c r="D175" i="54" a="1"/>
  <c r="D175" i="54" s="1"/>
  <c r="C175" i="54" a="1"/>
  <c r="C175" i="54" s="1"/>
  <c r="A175" i="54" a="1"/>
  <c r="A175" i="54" s="1"/>
  <c r="M174" i="54" a="1"/>
  <c r="M174" i="54" s="1"/>
  <c r="L174" i="54" a="1"/>
  <c r="L174" i="54" s="1"/>
  <c r="K174" i="54" a="1"/>
  <c r="K174" i="54" s="1"/>
  <c r="J174" i="54" a="1"/>
  <c r="J174" i="54" s="1"/>
  <c r="I174" i="54" a="1"/>
  <c r="I174" i="54" s="1"/>
  <c r="H174" i="54" a="1"/>
  <c r="H174" i="54" s="1"/>
  <c r="G174" i="54" a="1"/>
  <c r="G174" i="54" s="1"/>
  <c r="F174" i="54" a="1"/>
  <c r="F174" i="54" s="1"/>
  <c r="E174" i="54" a="1"/>
  <c r="E174" i="54" s="1"/>
  <c r="D174" i="54" a="1"/>
  <c r="D174" i="54" s="1"/>
  <c r="C174" i="54" a="1"/>
  <c r="C174" i="54" s="1"/>
  <c r="A174" i="54" a="1"/>
  <c r="A174" i="54" s="1"/>
  <c r="M173" i="54" a="1"/>
  <c r="M173" i="54" s="1"/>
  <c r="L173" i="54" a="1"/>
  <c r="L173" i="54" s="1"/>
  <c r="K173" i="54" a="1"/>
  <c r="K173" i="54" s="1"/>
  <c r="J173" i="54" a="1"/>
  <c r="J173" i="54" s="1"/>
  <c r="I173" i="54" a="1"/>
  <c r="I173" i="54" s="1"/>
  <c r="H173" i="54" a="1"/>
  <c r="H173" i="54" s="1"/>
  <c r="G173" i="54" a="1"/>
  <c r="G173" i="54" s="1"/>
  <c r="F173" i="54" a="1"/>
  <c r="F173" i="54" s="1"/>
  <c r="E173" i="54" a="1"/>
  <c r="E173" i="54" s="1"/>
  <c r="D173" i="54" a="1"/>
  <c r="D173" i="54" s="1"/>
  <c r="C173" i="54" a="1"/>
  <c r="C173" i="54" s="1"/>
  <c r="A173" i="54" a="1"/>
  <c r="A173" i="54" s="1"/>
  <c r="M172" i="54" a="1"/>
  <c r="M172" i="54" s="1"/>
  <c r="L172" i="54" a="1"/>
  <c r="L172" i="54" s="1"/>
  <c r="K172" i="54" a="1"/>
  <c r="K172" i="54" s="1"/>
  <c r="J172" i="54" a="1"/>
  <c r="J172" i="54" s="1"/>
  <c r="I172" i="54" a="1"/>
  <c r="I172" i="54" s="1"/>
  <c r="H172" i="54" a="1"/>
  <c r="H172" i="54" s="1"/>
  <c r="G172" i="54" a="1"/>
  <c r="G172" i="54" s="1"/>
  <c r="F172" i="54" a="1"/>
  <c r="F172" i="54" s="1"/>
  <c r="E172" i="54" a="1"/>
  <c r="E172" i="54" s="1"/>
  <c r="D172" i="54" a="1"/>
  <c r="D172" i="54" s="1"/>
  <c r="C172" i="54" a="1"/>
  <c r="C172" i="54" s="1"/>
  <c r="A172" i="54" a="1"/>
  <c r="A172" i="54" s="1"/>
  <c r="M171" i="54" a="1"/>
  <c r="M171" i="54" s="1"/>
  <c r="L171" i="54" a="1"/>
  <c r="L171" i="54" s="1"/>
  <c r="K171" i="54" a="1"/>
  <c r="K171" i="54" s="1"/>
  <c r="J171" i="54" a="1"/>
  <c r="J171" i="54" s="1"/>
  <c r="I171" i="54" a="1"/>
  <c r="I171" i="54" s="1"/>
  <c r="H171" i="54" a="1"/>
  <c r="H171" i="54" s="1"/>
  <c r="G171" i="54" a="1"/>
  <c r="G171" i="54" s="1"/>
  <c r="F171" i="54" a="1"/>
  <c r="F171" i="54" s="1"/>
  <c r="E171" i="54" a="1"/>
  <c r="E171" i="54" s="1"/>
  <c r="D171" i="54" a="1"/>
  <c r="D171" i="54" s="1"/>
  <c r="C171" i="54" a="1"/>
  <c r="C171" i="54" s="1"/>
  <c r="A171" i="54" a="1"/>
  <c r="A171" i="54" s="1"/>
  <c r="M170" i="54" a="1"/>
  <c r="M170" i="54" s="1"/>
  <c r="L170" i="54" a="1"/>
  <c r="L170" i="54" s="1"/>
  <c r="K170" i="54" a="1"/>
  <c r="K170" i="54" s="1"/>
  <c r="J170" i="54" a="1"/>
  <c r="J170" i="54" s="1"/>
  <c r="I170" i="54" a="1"/>
  <c r="I170" i="54" s="1"/>
  <c r="H170" i="54" a="1"/>
  <c r="H170" i="54" s="1"/>
  <c r="G170" i="54" a="1"/>
  <c r="G170" i="54" s="1"/>
  <c r="F170" i="54" a="1"/>
  <c r="F170" i="54" s="1"/>
  <c r="E170" i="54" a="1"/>
  <c r="E170" i="54" s="1"/>
  <c r="D170" i="54" a="1"/>
  <c r="D170" i="54" s="1"/>
  <c r="C170" i="54" a="1"/>
  <c r="C170" i="54" s="1"/>
  <c r="A170" i="54" a="1"/>
  <c r="A170" i="54" s="1"/>
  <c r="M169" i="54" a="1"/>
  <c r="M169" i="54" s="1"/>
  <c r="L169" i="54" a="1"/>
  <c r="L169" i="54" s="1"/>
  <c r="K169" i="54" a="1"/>
  <c r="K169" i="54" s="1"/>
  <c r="J169" i="54" a="1"/>
  <c r="J169" i="54" s="1"/>
  <c r="I169" i="54" a="1"/>
  <c r="I169" i="54" s="1"/>
  <c r="H169" i="54" a="1"/>
  <c r="H169" i="54" s="1"/>
  <c r="G169" i="54" a="1"/>
  <c r="G169" i="54" s="1"/>
  <c r="F169" i="54" a="1"/>
  <c r="F169" i="54" s="1"/>
  <c r="E169" i="54" a="1"/>
  <c r="E169" i="54" s="1"/>
  <c r="D169" i="54" a="1"/>
  <c r="D169" i="54" s="1"/>
  <c r="C169" i="54" a="1"/>
  <c r="C169" i="54" s="1"/>
  <c r="A169" i="54" a="1"/>
  <c r="A169" i="54" s="1"/>
  <c r="M168" i="54" a="1"/>
  <c r="M168" i="54" s="1"/>
  <c r="L168" i="54" a="1"/>
  <c r="L168" i="54" s="1"/>
  <c r="K168" i="54" a="1"/>
  <c r="K168" i="54" s="1"/>
  <c r="J168" i="54" a="1"/>
  <c r="J168" i="54" s="1"/>
  <c r="I168" i="54" a="1"/>
  <c r="I168" i="54" s="1"/>
  <c r="H168" i="54" a="1"/>
  <c r="H168" i="54" s="1"/>
  <c r="G168" i="54" a="1"/>
  <c r="G168" i="54" s="1"/>
  <c r="F168" i="54" a="1"/>
  <c r="F168" i="54" s="1"/>
  <c r="E168" i="54" a="1"/>
  <c r="E168" i="54" s="1"/>
  <c r="D168" i="54" a="1"/>
  <c r="D168" i="54" s="1"/>
  <c r="C168" i="54" a="1"/>
  <c r="C168" i="54" s="1"/>
  <c r="A168" i="54" a="1"/>
  <c r="A168" i="54" s="1"/>
  <c r="M167" i="54" a="1"/>
  <c r="M167" i="54" s="1"/>
  <c r="L167" i="54" a="1"/>
  <c r="L167" i="54" s="1"/>
  <c r="K167" i="54" a="1"/>
  <c r="K167" i="54" s="1"/>
  <c r="J167" i="54" a="1"/>
  <c r="J167" i="54" s="1"/>
  <c r="I167" i="54" a="1"/>
  <c r="I167" i="54" s="1"/>
  <c r="H167" i="54" a="1"/>
  <c r="H167" i="54" s="1"/>
  <c r="G167" i="54" a="1"/>
  <c r="G167" i="54" s="1"/>
  <c r="F167" i="54" a="1"/>
  <c r="F167" i="54" s="1"/>
  <c r="E167" i="54" a="1"/>
  <c r="E167" i="54" s="1"/>
  <c r="D167" i="54" a="1"/>
  <c r="D167" i="54" s="1"/>
  <c r="C167" i="54" a="1"/>
  <c r="C167" i="54" s="1"/>
  <c r="A167" i="54" a="1"/>
  <c r="A167" i="54" s="1"/>
  <c r="M166" i="54" a="1"/>
  <c r="M166" i="54" s="1"/>
  <c r="L166" i="54" a="1"/>
  <c r="L166" i="54" s="1"/>
  <c r="K166" i="54" a="1"/>
  <c r="K166" i="54" s="1"/>
  <c r="J166" i="54" a="1"/>
  <c r="J166" i="54" s="1"/>
  <c r="I166" i="54" a="1"/>
  <c r="I166" i="54" s="1"/>
  <c r="H166" i="54" a="1"/>
  <c r="H166" i="54" s="1"/>
  <c r="G166" i="54" a="1"/>
  <c r="G166" i="54" s="1"/>
  <c r="F166" i="54" a="1"/>
  <c r="F166" i="54" s="1"/>
  <c r="E166" i="54" a="1"/>
  <c r="E166" i="54" s="1"/>
  <c r="D166" i="54" a="1"/>
  <c r="D166" i="54" s="1"/>
  <c r="C166" i="54" a="1"/>
  <c r="C166" i="54" s="1"/>
  <c r="A166" i="54" a="1"/>
  <c r="A166" i="54" s="1"/>
  <c r="M165" i="54" a="1"/>
  <c r="M165" i="54" s="1"/>
  <c r="L165" i="54" a="1"/>
  <c r="L165" i="54" s="1"/>
  <c r="K165" i="54" a="1"/>
  <c r="K165" i="54" s="1"/>
  <c r="J165" i="54" a="1"/>
  <c r="J165" i="54" s="1"/>
  <c r="I165" i="54" a="1"/>
  <c r="I165" i="54" s="1"/>
  <c r="H165" i="54" a="1"/>
  <c r="H165" i="54" s="1"/>
  <c r="G165" i="54" a="1"/>
  <c r="G165" i="54" s="1"/>
  <c r="F165" i="54" a="1"/>
  <c r="F165" i="54" s="1"/>
  <c r="E165" i="54" a="1"/>
  <c r="E165" i="54" s="1"/>
  <c r="D165" i="54" a="1"/>
  <c r="D165" i="54" s="1"/>
  <c r="C165" i="54" a="1"/>
  <c r="C165" i="54" s="1"/>
  <c r="A165" i="54" a="1"/>
  <c r="A165" i="54" s="1"/>
  <c r="M164" i="54" a="1"/>
  <c r="M164" i="54" s="1"/>
  <c r="L164" i="54" a="1"/>
  <c r="L164" i="54" s="1"/>
  <c r="K164" i="54" a="1"/>
  <c r="K164" i="54" s="1"/>
  <c r="J164" i="54" a="1"/>
  <c r="J164" i="54" s="1"/>
  <c r="I164" i="54" a="1"/>
  <c r="I164" i="54" s="1"/>
  <c r="H164" i="54" a="1"/>
  <c r="H164" i="54" s="1"/>
  <c r="G164" i="54" a="1"/>
  <c r="G164" i="54" s="1"/>
  <c r="F164" i="54" a="1"/>
  <c r="F164" i="54" s="1"/>
  <c r="E164" i="54" a="1"/>
  <c r="E164" i="54" s="1"/>
  <c r="D164" i="54" a="1"/>
  <c r="D164" i="54" s="1"/>
  <c r="C164" i="54" a="1"/>
  <c r="C164" i="54" s="1"/>
  <c r="A164" i="54" a="1"/>
  <c r="A164" i="54" s="1"/>
  <c r="M163" i="54" a="1"/>
  <c r="M163" i="54" s="1"/>
  <c r="L163" i="54" a="1"/>
  <c r="L163" i="54" s="1"/>
  <c r="K163" i="54" a="1"/>
  <c r="K163" i="54" s="1"/>
  <c r="J163" i="54" a="1"/>
  <c r="J163" i="54" s="1"/>
  <c r="I163" i="54" a="1"/>
  <c r="I163" i="54" s="1"/>
  <c r="H163" i="54" a="1"/>
  <c r="H163" i="54" s="1"/>
  <c r="G163" i="54" a="1"/>
  <c r="G163" i="54" s="1"/>
  <c r="F163" i="54" a="1"/>
  <c r="F163" i="54" s="1"/>
  <c r="E163" i="54" a="1"/>
  <c r="E163" i="54" s="1"/>
  <c r="D163" i="54" a="1"/>
  <c r="D163" i="54" s="1"/>
  <c r="C163" i="54" a="1"/>
  <c r="C163" i="54" s="1"/>
  <c r="A163" i="54" a="1"/>
  <c r="A163" i="54" s="1"/>
  <c r="M162" i="54" a="1"/>
  <c r="M162" i="54" s="1"/>
  <c r="L162" i="54" a="1"/>
  <c r="L162" i="54" s="1"/>
  <c r="K162" i="54" a="1"/>
  <c r="K162" i="54" s="1"/>
  <c r="J162" i="54" a="1"/>
  <c r="J162" i="54" s="1"/>
  <c r="I162" i="54" a="1"/>
  <c r="I162" i="54" s="1"/>
  <c r="H162" i="54" a="1"/>
  <c r="H162" i="54" s="1"/>
  <c r="G162" i="54" a="1"/>
  <c r="G162" i="54" s="1"/>
  <c r="F162" i="54" a="1"/>
  <c r="F162" i="54" s="1"/>
  <c r="E162" i="54" a="1"/>
  <c r="E162" i="54" s="1"/>
  <c r="D162" i="54" a="1"/>
  <c r="D162" i="54" s="1"/>
  <c r="C162" i="54" a="1"/>
  <c r="C162" i="54" s="1"/>
  <c r="A162" i="54" a="1"/>
  <c r="A162" i="54" s="1"/>
  <c r="M161" i="54" a="1"/>
  <c r="M161" i="54" s="1"/>
  <c r="L161" i="54" a="1"/>
  <c r="L161" i="54" s="1"/>
  <c r="K161" i="54" a="1"/>
  <c r="K161" i="54" s="1"/>
  <c r="J161" i="54" a="1"/>
  <c r="J161" i="54" s="1"/>
  <c r="I161" i="54" a="1"/>
  <c r="I161" i="54" s="1"/>
  <c r="H161" i="54" a="1"/>
  <c r="H161" i="54" s="1"/>
  <c r="G161" i="54" a="1"/>
  <c r="G161" i="54" s="1"/>
  <c r="F161" i="54" a="1"/>
  <c r="F161" i="54" s="1"/>
  <c r="E161" i="54" a="1"/>
  <c r="E161" i="54" s="1"/>
  <c r="D161" i="54" a="1"/>
  <c r="D161" i="54" s="1"/>
  <c r="C161" i="54" a="1"/>
  <c r="C161" i="54" s="1"/>
  <c r="A161" i="54" a="1"/>
  <c r="A161" i="54" s="1"/>
  <c r="M160" i="54" a="1"/>
  <c r="M160" i="54" s="1"/>
  <c r="L160" i="54" a="1"/>
  <c r="L160" i="54" s="1"/>
  <c r="K160" i="54" a="1"/>
  <c r="K160" i="54" s="1"/>
  <c r="J160" i="54" a="1"/>
  <c r="J160" i="54" s="1"/>
  <c r="I160" i="54" a="1"/>
  <c r="I160" i="54" s="1"/>
  <c r="H160" i="54" a="1"/>
  <c r="H160" i="54" s="1"/>
  <c r="G160" i="54" a="1"/>
  <c r="G160" i="54" s="1"/>
  <c r="F160" i="54" a="1"/>
  <c r="F160" i="54" s="1"/>
  <c r="E160" i="54" a="1"/>
  <c r="E160" i="54" s="1"/>
  <c r="D160" i="54" a="1"/>
  <c r="D160" i="54" s="1"/>
  <c r="C160" i="54" a="1"/>
  <c r="C160" i="54" s="1"/>
  <c r="A160" i="54" a="1"/>
  <c r="A160" i="54" s="1"/>
  <c r="M159" i="54" a="1"/>
  <c r="M159" i="54" s="1"/>
  <c r="L159" i="54" a="1"/>
  <c r="L159" i="54" s="1"/>
  <c r="K159" i="54" a="1"/>
  <c r="K159" i="54" s="1"/>
  <c r="J159" i="54" a="1"/>
  <c r="J159" i="54" s="1"/>
  <c r="I159" i="54" a="1"/>
  <c r="I159" i="54" s="1"/>
  <c r="H159" i="54" a="1"/>
  <c r="H159" i="54" s="1"/>
  <c r="G159" i="54" a="1"/>
  <c r="G159" i="54" s="1"/>
  <c r="F159" i="54" a="1"/>
  <c r="F159" i="54" s="1"/>
  <c r="E159" i="54" a="1"/>
  <c r="E159" i="54" s="1"/>
  <c r="D159" i="54" a="1"/>
  <c r="D159" i="54" s="1"/>
  <c r="C159" i="54" a="1"/>
  <c r="C159" i="54" s="1"/>
  <c r="A159" i="54" a="1"/>
  <c r="A159" i="54" s="1"/>
  <c r="M158" i="54" a="1"/>
  <c r="M158" i="54" s="1"/>
  <c r="L158" i="54" a="1"/>
  <c r="L158" i="54" s="1"/>
  <c r="K158" i="54" a="1"/>
  <c r="K158" i="54" s="1"/>
  <c r="J158" i="54" a="1"/>
  <c r="J158" i="54" s="1"/>
  <c r="I158" i="54" a="1"/>
  <c r="I158" i="54" s="1"/>
  <c r="H158" i="54" a="1"/>
  <c r="H158" i="54" s="1"/>
  <c r="G158" i="54" a="1"/>
  <c r="G158" i="54" s="1"/>
  <c r="F158" i="54" a="1"/>
  <c r="F158" i="54" s="1"/>
  <c r="E158" i="54" a="1"/>
  <c r="E158" i="54" s="1"/>
  <c r="D158" i="54" a="1"/>
  <c r="D158" i="54" s="1"/>
  <c r="C158" i="54" a="1"/>
  <c r="C158" i="54" s="1"/>
  <c r="A158" i="54" a="1"/>
  <c r="A158" i="54" s="1"/>
  <c r="M157" i="54" a="1"/>
  <c r="M157" i="54" s="1"/>
  <c r="L157" i="54" a="1"/>
  <c r="L157" i="54" s="1"/>
  <c r="K157" i="54" a="1"/>
  <c r="K157" i="54" s="1"/>
  <c r="J157" i="54" a="1"/>
  <c r="J157" i="54" s="1"/>
  <c r="I157" i="54" a="1"/>
  <c r="I157" i="54" s="1"/>
  <c r="H157" i="54" a="1"/>
  <c r="H157" i="54" s="1"/>
  <c r="G157" i="54" a="1"/>
  <c r="G157" i="54" s="1"/>
  <c r="F157" i="54" a="1"/>
  <c r="F157" i="54" s="1"/>
  <c r="E157" i="54" a="1"/>
  <c r="E157" i="54" s="1"/>
  <c r="D157" i="54" a="1"/>
  <c r="D157" i="54" s="1"/>
  <c r="C157" i="54" a="1"/>
  <c r="C157" i="54" s="1"/>
  <c r="A157" i="54" a="1"/>
  <c r="A157" i="54" s="1"/>
  <c r="M156" i="54" a="1"/>
  <c r="M156" i="54" s="1"/>
  <c r="L156" i="54" a="1"/>
  <c r="L156" i="54" s="1"/>
  <c r="K156" i="54" a="1"/>
  <c r="K156" i="54" s="1"/>
  <c r="J156" i="54" a="1"/>
  <c r="J156" i="54" s="1"/>
  <c r="I156" i="54" a="1"/>
  <c r="I156" i="54" s="1"/>
  <c r="H156" i="54" a="1"/>
  <c r="H156" i="54" s="1"/>
  <c r="G156" i="54" a="1"/>
  <c r="G156" i="54" s="1"/>
  <c r="F156" i="54" a="1"/>
  <c r="F156" i="54" s="1"/>
  <c r="E156" i="54" a="1"/>
  <c r="E156" i="54" s="1"/>
  <c r="D156" i="54" a="1"/>
  <c r="D156" i="54" s="1"/>
  <c r="C156" i="54" a="1"/>
  <c r="C156" i="54" s="1"/>
  <c r="A156" i="54" a="1"/>
  <c r="A156" i="54" s="1"/>
  <c r="M155" i="54" a="1"/>
  <c r="M155" i="54" s="1"/>
  <c r="L155" i="54" a="1"/>
  <c r="L155" i="54" s="1"/>
  <c r="K155" i="54" a="1"/>
  <c r="K155" i="54" s="1"/>
  <c r="J155" i="54" a="1"/>
  <c r="J155" i="54" s="1"/>
  <c r="I155" i="54" a="1"/>
  <c r="I155" i="54" s="1"/>
  <c r="H155" i="54" a="1"/>
  <c r="H155" i="54" s="1"/>
  <c r="G155" i="54" a="1"/>
  <c r="G155" i="54" s="1"/>
  <c r="F155" i="54" a="1"/>
  <c r="F155" i="54" s="1"/>
  <c r="E155" i="54" a="1"/>
  <c r="E155" i="54" s="1"/>
  <c r="D155" i="54" a="1"/>
  <c r="D155" i="54" s="1"/>
  <c r="C155" i="54" a="1"/>
  <c r="C155" i="54" s="1"/>
  <c r="A155" i="54" a="1"/>
  <c r="A155" i="54" s="1"/>
  <c r="N528" i="54" a="1"/>
  <c r="N528" i="54" s="1"/>
  <c r="O528" i="54" s="1"/>
  <c r="M528" i="54" a="1"/>
  <c r="M528" i="54" s="1"/>
  <c r="L528" i="54" a="1"/>
  <c r="L528" i="54" s="1"/>
  <c r="K528" i="54" a="1"/>
  <c r="K528" i="54" s="1"/>
  <c r="J528" i="54" a="1"/>
  <c r="J528" i="54" s="1"/>
  <c r="I528" i="54" a="1"/>
  <c r="I528" i="54" s="1"/>
  <c r="H528" i="54" a="1"/>
  <c r="H528" i="54" s="1"/>
  <c r="G528" i="54" a="1"/>
  <c r="G528" i="54" s="1"/>
  <c r="F528" i="54" a="1"/>
  <c r="F528" i="54" s="1"/>
  <c r="E528" i="54" a="1"/>
  <c r="E528" i="54" s="1"/>
  <c r="D528" i="54" a="1"/>
  <c r="D528" i="54" s="1"/>
  <c r="C528" i="54" a="1"/>
  <c r="C528" i="54" s="1"/>
  <c r="A528" i="54" a="1"/>
  <c r="A528" i="54" s="1"/>
  <c r="N527" i="54" a="1"/>
  <c r="N527" i="54" s="1"/>
  <c r="O527" i="54" s="1"/>
  <c r="M527" i="54" a="1"/>
  <c r="M527" i="54" s="1"/>
  <c r="L527" i="54" a="1"/>
  <c r="L527" i="54" s="1"/>
  <c r="K527" i="54" a="1"/>
  <c r="K527" i="54" s="1"/>
  <c r="J527" i="54" a="1"/>
  <c r="J527" i="54" s="1"/>
  <c r="I527" i="54" a="1"/>
  <c r="I527" i="54" s="1"/>
  <c r="H527" i="54" a="1"/>
  <c r="H527" i="54" s="1"/>
  <c r="G527" i="54" a="1"/>
  <c r="G527" i="54" s="1"/>
  <c r="F527" i="54" a="1"/>
  <c r="F527" i="54" s="1"/>
  <c r="E527" i="54" a="1"/>
  <c r="E527" i="54" s="1"/>
  <c r="D527" i="54" a="1"/>
  <c r="D527" i="54" s="1"/>
  <c r="C527" i="54" a="1"/>
  <c r="C527" i="54" s="1"/>
  <c r="A527" i="54" a="1"/>
  <c r="A527" i="54" s="1"/>
  <c r="N526" i="54" a="1"/>
  <c r="N526" i="54" s="1"/>
  <c r="O526" i="54" s="1"/>
  <c r="M526" i="54" a="1"/>
  <c r="M526" i="54" s="1"/>
  <c r="L526" i="54" a="1"/>
  <c r="L526" i="54" s="1"/>
  <c r="K526" i="54" a="1"/>
  <c r="K526" i="54" s="1"/>
  <c r="J526" i="54" a="1"/>
  <c r="J526" i="54" s="1"/>
  <c r="I526" i="54" a="1"/>
  <c r="I526" i="54" s="1"/>
  <c r="H526" i="54" a="1"/>
  <c r="H526" i="54" s="1"/>
  <c r="G526" i="54" a="1"/>
  <c r="G526" i="54" s="1"/>
  <c r="F526" i="54" a="1"/>
  <c r="F526" i="54" s="1"/>
  <c r="E526" i="54" a="1"/>
  <c r="E526" i="54" s="1"/>
  <c r="D526" i="54" a="1"/>
  <c r="D526" i="54" s="1"/>
  <c r="C526" i="54" a="1"/>
  <c r="C526" i="54" s="1"/>
  <c r="A526" i="54" a="1"/>
  <c r="A526" i="54" s="1"/>
  <c r="N525" i="54" a="1"/>
  <c r="N525" i="54" s="1"/>
  <c r="O525" i="54" s="1"/>
  <c r="M525" i="54" a="1"/>
  <c r="M525" i="54" s="1"/>
  <c r="L525" i="54" a="1"/>
  <c r="L525" i="54" s="1"/>
  <c r="K525" i="54" a="1"/>
  <c r="K525" i="54" s="1"/>
  <c r="J525" i="54" a="1"/>
  <c r="J525" i="54" s="1"/>
  <c r="I525" i="54" a="1"/>
  <c r="I525" i="54" s="1"/>
  <c r="H525" i="54" a="1"/>
  <c r="H525" i="54" s="1"/>
  <c r="G525" i="54" a="1"/>
  <c r="G525" i="54" s="1"/>
  <c r="F525" i="54" a="1"/>
  <c r="F525" i="54" s="1"/>
  <c r="E525" i="54" a="1"/>
  <c r="E525" i="54" s="1"/>
  <c r="D525" i="54" a="1"/>
  <c r="D525" i="54" s="1"/>
  <c r="C525" i="54" a="1"/>
  <c r="C525" i="54" s="1"/>
  <c r="A525" i="54" a="1"/>
  <c r="A525" i="54" s="1"/>
  <c r="N524" i="54" a="1"/>
  <c r="N524" i="54" s="1"/>
  <c r="O524" i="54" s="1"/>
  <c r="M524" i="54" a="1"/>
  <c r="M524" i="54" s="1"/>
  <c r="L524" i="54" a="1"/>
  <c r="L524" i="54" s="1"/>
  <c r="K524" i="54" a="1"/>
  <c r="K524" i="54" s="1"/>
  <c r="J524" i="54" a="1"/>
  <c r="J524" i="54" s="1"/>
  <c r="I524" i="54" a="1"/>
  <c r="I524" i="54" s="1"/>
  <c r="H524" i="54" a="1"/>
  <c r="H524" i="54" s="1"/>
  <c r="G524" i="54" a="1"/>
  <c r="G524" i="54" s="1"/>
  <c r="F524" i="54" a="1"/>
  <c r="F524" i="54" s="1"/>
  <c r="E524" i="54" a="1"/>
  <c r="E524" i="54" s="1"/>
  <c r="D524" i="54" a="1"/>
  <c r="D524" i="54" s="1"/>
  <c r="C524" i="54" a="1"/>
  <c r="C524" i="54" s="1"/>
  <c r="A524" i="54" a="1"/>
  <c r="A524" i="54" s="1"/>
  <c r="N523" i="54" a="1"/>
  <c r="N523" i="54" s="1"/>
  <c r="O523" i="54" s="1"/>
  <c r="M523" i="54" a="1"/>
  <c r="M523" i="54" s="1"/>
  <c r="L523" i="54" a="1"/>
  <c r="L523" i="54" s="1"/>
  <c r="K523" i="54" a="1"/>
  <c r="K523" i="54" s="1"/>
  <c r="J523" i="54" a="1"/>
  <c r="J523" i="54" s="1"/>
  <c r="I523" i="54" a="1"/>
  <c r="I523" i="54" s="1"/>
  <c r="H523" i="54" a="1"/>
  <c r="H523" i="54" s="1"/>
  <c r="G523" i="54" a="1"/>
  <c r="G523" i="54" s="1"/>
  <c r="F523" i="54" a="1"/>
  <c r="F523" i="54" s="1"/>
  <c r="E523" i="54" a="1"/>
  <c r="E523" i="54" s="1"/>
  <c r="D523" i="54" a="1"/>
  <c r="D523" i="54" s="1"/>
  <c r="C523" i="54" a="1"/>
  <c r="C523" i="54" s="1"/>
  <c r="A523" i="54" a="1"/>
  <c r="A523" i="54" s="1"/>
  <c r="N522" i="54" a="1"/>
  <c r="N522" i="54" s="1"/>
  <c r="O522" i="54" s="1"/>
  <c r="M522" i="54" a="1"/>
  <c r="M522" i="54" s="1"/>
  <c r="L522" i="54" a="1"/>
  <c r="L522" i="54" s="1"/>
  <c r="K522" i="54" a="1"/>
  <c r="K522" i="54" s="1"/>
  <c r="J522" i="54" a="1"/>
  <c r="J522" i="54" s="1"/>
  <c r="I522" i="54" a="1"/>
  <c r="I522" i="54" s="1"/>
  <c r="H522" i="54" a="1"/>
  <c r="H522" i="54" s="1"/>
  <c r="G522" i="54" a="1"/>
  <c r="G522" i="54" s="1"/>
  <c r="F522" i="54" a="1"/>
  <c r="F522" i="54" s="1"/>
  <c r="E522" i="54" a="1"/>
  <c r="E522" i="54" s="1"/>
  <c r="D522" i="54" a="1"/>
  <c r="D522" i="54" s="1"/>
  <c r="C522" i="54" a="1"/>
  <c r="C522" i="54" s="1"/>
  <c r="A522" i="54" a="1"/>
  <c r="A522" i="54" s="1"/>
  <c r="N521" i="54" a="1"/>
  <c r="N521" i="54" s="1"/>
  <c r="O521" i="54" s="1"/>
  <c r="M521" i="54" a="1"/>
  <c r="M521" i="54" s="1"/>
  <c r="L521" i="54" a="1"/>
  <c r="L521" i="54" s="1"/>
  <c r="K521" i="54" a="1"/>
  <c r="K521" i="54" s="1"/>
  <c r="J521" i="54" a="1"/>
  <c r="J521" i="54" s="1"/>
  <c r="I521" i="54" a="1"/>
  <c r="I521" i="54" s="1"/>
  <c r="H521" i="54" a="1"/>
  <c r="H521" i="54" s="1"/>
  <c r="G521" i="54" a="1"/>
  <c r="G521" i="54" s="1"/>
  <c r="F521" i="54" a="1"/>
  <c r="F521" i="54" s="1"/>
  <c r="E521" i="54" a="1"/>
  <c r="E521" i="54" s="1"/>
  <c r="D521" i="54" a="1"/>
  <c r="D521" i="54" s="1"/>
  <c r="C521" i="54" a="1"/>
  <c r="C521" i="54" s="1"/>
  <c r="A521" i="54" a="1"/>
  <c r="A521" i="54" s="1"/>
  <c r="N520" i="54" a="1"/>
  <c r="N520" i="54" s="1"/>
  <c r="O520" i="54" s="1"/>
  <c r="M520" i="54" a="1"/>
  <c r="M520" i="54" s="1"/>
  <c r="L520" i="54" a="1"/>
  <c r="L520" i="54" s="1"/>
  <c r="K520" i="54" a="1"/>
  <c r="K520" i="54" s="1"/>
  <c r="J520" i="54" a="1"/>
  <c r="J520" i="54" s="1"/>
  <c r="I520" i="54" a="1"/>
  <c r="I520" i="54" s="1"/>
  <c r="H520" i="54" a="1"/>
  <c r="H520" i="54" s="1"/>
  <c r="G520" i="54" a="1"/>
  <c r="G520" i="54" s="1"/>
  <c r="F520" i="54" a="1"/>
  <c r="F520" i="54" s="1"/>
  <c r="E520" i="54" a="1"/>
  <c r="E520" i="54" s="1"/>
  <c r="D520" i="54" a="1"/>
  <c r="D520" i="54" s="1"/>
  <c r="C520" i="54" a="1"/>
  <c r="C520" i="54" s="1"/>
  <c r="A520" i="54" a="1"/>
  <c r="A520" i="54" s="1"/>
  <c r="N519" i="54" a="1"/>
  <c r="N519" i="54" s="1"/>
  <c r="O519" i="54" s="1"/>
  <c r="M519" i="54" a="1"/>
  <c r="M519" i="54" s="1"/>
  <c r="L519" i="54" a="1"/>
  <c r="L519" i="54" s="1"/>
  <c r="K519" i="54" a="1"/>
  <c r="K519" i="54" s="1"/>
  <c r="J519" i="54" a="1"/>
  <c r="J519" i="54" s="1"/>
  <c r="I519" i="54" a="1"/>
  <c r="I519" i="54" s="1"/>
  <c r="H519" i="54" a="1"/>
  <c r="H519" i="54" s="1"/>
  <c r="G519" i="54" a="1"/>
  <c r="G519" i="54" s="1"/>
  <c r="F519" i="54" a="1"/>
  <c r="F519" i="54" s="1"/>
  <c r="E519" i="54" a="1"/>
  <c r="E519" i="54" s="1"/>
  <c r="D519" i="54" a="1"/>
  <c r="D519" i="54" s="1"/>
  <c r="C519" i="54" a="1"/>
  <c r="C519" i="54" s="1"/>
  <c r="A519" i="54" a="1"/>
  <c r="A519" i="54" s="1"/>
  <c r="N518" i="54" a="1"/>
  <c r="N518" i="54" s="1"/>
  <c r="O518" i="54" s="1"/>
  <c r="M518" i="54" a="1"/>
  <c r="M518" i="54" s="1"/>
  <c r="L518" i="54" a="1"/>
  <c r="L518" i="54" s="1"/>
  <c r="K518" i="54" a="1"/>
  <c r="K518" i="54" s="1"/>
  <c r="J518" i="54" a="1"/>
  <c r="J518" i="54" s="1"/>
  <c r="I518" i="54" a="1"/>
  <c r="I518" i="54" s="1"/>
  <c r="H518" i="54" a="1"/>
  <c r="H518" i="54" s="1"/>
  <c r="G518" i="54" a="1"/>
  <c r="G518" i="54" s="1"/>
  <c r="F518" i="54" a="1"/>
  <c r="F518" i="54" s="1"/>
  <c r="E518" i="54" a="1"/>
  <c r="E518" i="54" s="1"/>
  <c r="D518" i="54" a="1"/>
  <c r="D518" i="54" s="1"/>
  <c r="C518" i="54" a="1"/>
  <c r="C518" i="54" s="1"/>
  <c r="A518" i="54" a="1"/>
  <c r="A518" i="54" s="1"/>
  <c r="N517" i="54" a="1"/>
  <c r="N517" i="54" s="1"/>
  <c r="O517" i="54" s="1"/>
  <c r="M517" i="54" a="1"/>
  <c r="M517" i="54" s="1"/>
  <c r="L517" i="54" a="1"/>
  <c r="L517" i="54" s="1"/>
  <c r="K517" i="54" a="1"/>
  <c r="K517" i="54" s="1"/>
  <c r="J517" i="54" a="1"/>
  <c r="J517" i="54" s="1"/>
  <c r="I517" i="54" a="1"/>
  <c r="I517" i="54" s="1"/>
  <c r="H517" i="54" a="1"/>
  <c r="H517" i="54" s="1"/>
  <c r="G517" i="54" a="1"/>
  <c r="G517" i="54" s="1"/>
  <c r="F517" i="54" a="1"/>
  <c r="F517" i="54" s="1"/>
  <c r="E517" i="54" a="1"/>
  <c r="E517" i="54" s="1"/>
  <c r="D517" i="54" a="1"/>
  <c r="D517" i="54" s="1"/>
  <c r="C517" i="54" a="1"/>
  <c r="C517" i="54" s="1"/>
  <c r="A517" i="54" a="1"/>
  <c r="A517" i="54" s="1"/>
  <c r="N516" i="54" a="1"/>
  <c r="N516" i="54" s="1"/>
  <c r="O516" i="54" s="1"/>
  <c r="M516" i="54" a="1"/>
  <c r="M516" i="54" s="1"/>
  <c r="L516" i="54" a="1"/>
  <c r="L516" i="54" s="1"/>
  <c r="K516" i="54" a="1"/>
  <c r="K516" i="54" s="1"/>
  <c r="J516" i="54" a="1"/>
  <c r="J516" i="54" s="1"/>
  <c r="I516" i="54" a="1"/>
  <c r="I516" i="54" s="1"/>
  <c r="H516" i="54" a="1"/>
  <c r="H516" i="54" s="1"/>
  <c r="G516" i="54" a="1"/>
  <c r="G516" i="54" s="1"/>
  <c r="F516" i="54" a="1"/>
  <c r="F516" i="54" s="1"/>
  <c r="E516" i="54" a="1"/>
  <c r="E516" i="54" s="1"/>
  <c r="D516" i="54" a="1"/>
  <c r="D516" i="54" s="1"/>
  <c r="C516" i="54" a="1"/>
  <c r="C516" i="54" s="1"/>
  <c r="A516" i="54" a="1"/>
  <c r="A516" i="54" s="1"/>
  <c r="N515" i="54" a="1"/>
  <c r="N515" i="54" s="1"/>
  <c r="O515" i="54" s="1"/>
  <c r="M515" i="54" a="1"/>
  <c r="M515" i="54" s="1"/>
  <c r="L515" i="54" a="1"/>
  <c r="L515" i="54" s="1"/>
  <c r="K515" i="54" a="1"/>
  <c r="K515" i="54" s="1"/>
  <c r="J515" i="54" a="1"/>
  <c r="J515" i="54" s="1"/>
  <c r="I515" i="54" a="1"/>
  <c r="I515" i="54" s="1"/>
  <c r="H515" i="54" a="1"/>
  <c r="H515" i="54" s="1"/>
  <c r="G515" i="54" a="1"/>
  <c r="G515" i="54" s="1"/>
  <c r="F515" i="54" a="1"/>
  <c r="F515" i="54" s="1"/>
  <c r="E515" i="54" a="1"/>
  <c r="E515" i="54" s="1"/>
  <c r="D515" i="54" a="1"/>
  <c r="D515" i="54" s="1"/>
  <c r="C515" i="54" a="1"/>
  <c r="C515" i="54" s="1"/>
  <c r="A515" i="54" a="1"/>
  <c r="A515" i="54" s="1"/>
  <c r="N514" i="54" a="1"/>
  <c r="N514" i="54" s="1"/>
  <c r="O514" i="54" s="1"/>
  <c r="M514" i="54" a="1"/>
  <c r="M514" i="54" s="1"/>
  <c r="L514" i="54" a="1"/>
  <c r="L514" i="54" s="1"/>
  <c r="K514" i="54" a="1"/>
  <c r="K514" i="54" s="1"/>
  <c r="J514" i="54" a="1"/>
  <c r="J514" i="54" s="1"/>
  <c r="I514" i="54" a="1"/>
  <c r="I514" i="54" s="1"/>
  <c r="H514" i="54" a="1"/>
  <c r="H514" i="54" s="1"/>
  <c r="G514" i="54" a="1"/>
  <c r="G514" i="54" s="1"/>
  <c r="F514" i="54" a="1"/>
  <c r="F514" i="54" s="1"/>
  <c r="E514" i="54" a="1"/>
  <c r="E514" i="54" s="1"/>
  <c r="D514" i="54" a="1"/>
  <c r="D514" i="54" s="1"/>
  <c r="C514" i="54" a="1"/>
  <c r="C514" i="54" s="1"/>
  <c r="A514" i="54" a="1"/>
  <c r="A514" i="54" s="1"/>
  <c r="N513" i="54" a="1"/>
  <c r="N513" i="54" s="1"/>
  <c r="O513" i="54" s="1"/>
  <c r="M513" i="54" a="1"/>
  <c r="M513" i="54" s="1"/>
  <c r="L513" i="54" a="1"/>
  <c r="L513" i="54" s="1"/>
  <c r="K513" i="54" a="1"/>
  <c r="K513" i="54" s="1"/>
  <c r="J513" i="54" a="1"/>
  <c r="J513" i="54" s="1"/>
  <c r="I513" i="54" a="1"/>
  <c r="I513" i="54" s="1"/>
  <c r="H513" i="54" a="1"/>
  <c r="H513" i="54" s="1"/>
  <c r="G513" i="54" a="1"/>
  <c r="G513" i="54" s="1"/>
  <c r="F513" i="54" a="1"/>
  <c r="F513" i="54" s="1"/>
  <c r="E513" i="54" a="1"/>
  <c r="E513" i="54" s="1"/>
  <c r="D513" i="54" a="1"/>
  <c r="D513" i="54" s="1"/>
  <c r="C513" i="54" a="1"/>
  <c r="C513" i="54" s="1"/>
  <c r="A513" i="54" a="1"/>
  <c r="A513" i="54" s="1"/>
  <c r="N512" i="54" a="1"/>
  <c r="N512" i="54" s="1"/>
  <c r="O512" i="54" s="1"/>
  <c r="M512" i="54" a="1"/>
  <c r="M512" i="54" s="1"/>
  <c r="L512" i="54" a="1"/>
  <c r="L512" i="54" s="1"/>
  <c r="K512" i="54" a="1"/>
  <c r="K512" i="54" s="1"/>
  <c r="J512" i="54" a="1"/>
  <c r="J512" i="54" s="1"/>
  <c r="I512" i="54" a="1"/>
  <c r="I512" i="54" s="1"/>
  <c r="H512" i="54" a="1"/>
  <c r="H512" i="54" s="1"/>
  <c r="G512" i="54" a="1"/>
  <c r="G512" i="54" s="1"/>
  <c r="F512" i="54" a="1"/>
  <c r="F512" i="54" s="1"/>
  <c r="E512" i="54" a="1"/>
  <c r="E512" i="54" s="1"/>
  <c r="D512" i="54" a="1"/>
  <c r="D512" i="54" s="1"/>
  <c r="C512" i="54" a="1"/>
  <c r="C512" i="54" s="1"/>
  <c r="A512" i="54" a="1"/>
  <c r="A512" i="54" s="1"/>
  <c r="N511" i="54" a="1"/>
  <c r="N511" i="54" s="1"/>
  <c r="O511" i="54" s="1"/>
  <c r="M511" i="54" a="1"/>
  <c r="M511" i="54" s="1"/>
  <c r="L511" i="54" a="1"/>
  <c r="L511" i="54" s="1"/>
  <c r="K511" i="54" a="1"/>
  <c r="K511" i="54" s="1"/>
  <c r="J511" i="54" a="1"/>
  <c r="J511" i="54" s="1"/>
  <c r="I511" i="54" a="1"/>
  <c r="I511" i="54" s="1"/>
  <c r="H511" i="54" a="1"/>
  <c r="H511" i="54" s="1"/>
  <c r="G511" i="54" a="1"/>
  <c r="G511" i="54" s="1"/>
  <c r="F511" i="54" a="1"/>
  <c r="F511" i="54" s="1"/>
  <c r="E511" i="54" a="1"/>
  <c r="E511" i="54" s="1"/>
  <c r="D511" i="54" a="1"/>
  <c r="D511" i="54" s="1"/>
  <c r="C511" i="54" a="1"/>
  <c r="C511" i="54" s="1"/>
  <c r="A511" i="54" a="1"/>
  <c r="A511" i="54" s="1"/>
  <c r="N510" i="54" a="1"/>
  <c r="N510" i="54" s="1"/>
  <c r="O510" i="54" s="1"/>
  <c r="M510" i="54" a="1"/>
  <c r="M510" i="54" s="1"/>
  <c r="L510" i="54" a="1"/>
  <c r="L510" i="54" s="1"/>
  <c r="K510" i="54" a="1"/>
  <c r="K510" i="54" s="1"/>
  <c r="J510" i="54" a="1"/>
  <c r="J510" i="54" s="1"/>
  <c r="I510" i="54" a="1"/>
  <c r="I510" i="54" s="1"/>
  <c r="H510" i="54" a="1"/>
  <c r="H510" i="54" s="1"/>
  <c r="G510" i="54" a="1"/>
  <c r="G510" i="54" s="1"/>
  <c r="F510" i="54" a="1"/>
  <c r="F510" i="54" s="1"/>
  <c r="E510" i="54" a="1"/>
  <c r="E510" i="54" s="1"/>
  <c r="D510" i="54" a="1"/>
  <c r="D510" i="54" s="1"/>
  <c r="C510" i="54" a="1"/>
  <c r="C510" i="54" s="1"/>
  <c r="A510" i="54" a="1"/>
  <c r="A510" i="54" s="1"/>
  <c r="N509" i="54" a="1"/>
  <c r="N509" i="54" s="1"/>
  <c r="O509" i="54" s="1"/>
  <c r="M509" i="54" a="1"/>
  <c r="M509" i="54" s="1"/>
  <c r="L509" i="54" a="1"/>
  <c r="L509" i="54" s="1"/>
  <c r="K509" i="54" a="1"/>
  <c r="K509" i="54" s="1"/>
  <c r="J509" i="54" a="1"/>
  <c r="J509" i="54" s="1"/>
  <c r="I509" i="54" a="1"/>
  <c r="I509" i="54" s="1"/>
  <c r="H509" i="54" a="1"/>
  <c r="H509" i="54" s="1"/>
  <c r="G509" i="54" a="1"/>
  <c r="G509" i="54" s="1"/>
  <c r="F509" i="54" a="1"/>
  <c r="F509" i="54" s="1"/>
  <c r="E509" i="54" a="1"/>
  <c r="E509" i="54" s="1"/>
  <c r="D509" i="54" a="1"/>
  <c r="D509" i="54" s="1"/>
  <c r="C509" i="54" a="1"/>
  <c r="C509" i="54" s="1"/>
  <c r="A509" i="54" a="1"/>
  <c r="A509" i="54" s="1"/>
  <c r="N508" i="54" a="1"/>
  <c r="N508" i="54" s="1"/>
  <c r="O508" i="54" s="1"/>
  <c r="M508" i="54" a="1"/>
  <c r="M508" i="54" s="1"/>
  <c r="L508" i="54" a="1"/>
  <c r="L508" i="54" s="1"/>
  <c r="K508" i="54" a="1"/>
  <c r="K508" i="54" s="1"/>
  <c r="J508" i="54" a="1"/>
  <c r="J508" i="54" s="1"/>
  <c r="I508" i="54" a="1"/>
  <c r="I508" i="54" s="1"/>
  <c r="H508" i="54" a="1"/>
  <c r="H508" i="54" s="1"/>
  <c r="G508" i="54" a="1"/>
  <c r="G508" i="54" s="1"/>
  <c r="F508" i="54" a="1"/>
  <c r="F508" i="54" s="1"/>
  <c r="E508" i="54" a="1"/>
  <c r="E508" i="54" s="1"/>
  <c r="D508" i="54" a="1"/>
  <c r="D508" i="54" s="1"/>
  <c r="C508" i="54" a="1"/>
  <c r="C508" i="54" s="1"/>
  <c r="A508" i="54" a="1"/>
  <c r="A508" i="54" s="1"/>
  <c r="N507" i="54" a="1"/>
  <c r="N507" i="54" s="1"/>
  <c r="O507" i="54" s="1"/>
  <c r="M507" i="54" a="1"/>
  <c r="M507" i="54" s="1"/>
  <c r="L507" i="54" a="1"/>
  <c r="L507" i="54" s="1"/>
  <c r="K507" i="54" a="1"/>
  <c r="K507" i="54" s="1"/>
  <c r="J507" i="54" a="1"/>
  <c r="J507" i="54" s="1"/>
  <c r="I507" i="54" a="1"/>
  <c r="I507" i="54" s="1"/>
  <c r="H507" i="54" a="1"/>
  <c r="H507" i="54" s="1"/>
  <c r="G507" i="54" a="1"/>
  <c r="G507" i="54" s="1"/>
  <c r="F507" i="54" a="1"/>
  <c r="F507" i="54" s="1"/>
  <c r="E507" i="54" a="1"/>
  <c r="E507" i="54" s="1"/>
  <c r="D507" i="54" a="1"/>
  <c r="D507" i="54" s="1"/>
  <c r="C507" i="54" a="1"/>
  <c r="C507" i="54" s="1"/>
  <c r="A507" i="54" a="1"/>
  <c r="A507" i="54" s="1"/>
  <c r="N506" i="54" a="1"/>
  <c r="N506" i="54" s="1"/>
  <c r="O506" i="54" s="1"/>
  <c r="M506" i="54" a="1"/>
  <c r="M506" i="54" s="1"/>
  <c r="L506" i="54" a="1"/>
  <c r="L506" i="54" s="1"/>
  <c r="K506" i="54" a="1"/>
  <c r="K506" i="54" s="1"/>
  <c r="J506" i="54" a="1"/>
  <c r="J506" i="54" s="1"/>
  <c r="I506" i="54" a="1"/>
  <c r="I506" i="54" s="1"/>
  <c r="H506" i="54" a="1"/>
  <c r="H506" i="54" s="1"/>
  <c r="G506" i="54" a="1"/>
  <c r="G506" i="54" s="1"/>
  <c r="F506" i="54" a="1"/>
  <c r="F506" i="54" s="1"/>
  <c r="E506" i="54" a="1"/>
  <c r="E506" i="54" s="1"/>
  <c r="D506" i="54" a="1"/>
  <c r="D506" i="54" s="1"/>
  <c r="C506" i="54" a="1"/>
  <c r="C506" i="54" s="1"/>
  <c r="A506" i="54" a="1"/>
  <c r="A506" i="54" s="1"/>
  <c r="N505" i="54" a="1"/>
  <c r="N505" i="54" s="1"/>
  <c r="O505" i="54" s="1"/>
  <c r="M505" i="54" a="1"/>
  <c r="M505" i="54" s="1"/>
  <c r="L505" i="54" a="1"/>
  <c r="L505" i="54" s="1"/>
  <c r="K505" i="54" a="1"/>
  <c r="K505" i="54" s="1"/>
  <c r="J505" i="54" a="1"/>
  <c r="J505" i="54" s="1"/>
  <c r="I505" i="54" a="1"/>
  <c r="I505" i="54" s="1"/>
  <c r="H505" i="54" a="1"/>
  <c r="H505" i="54" s="1"/>
  <c r="G505" i="54" a="1"/>
  <c r="G505" i="54" s="1"/>
  <c r="F505" i="54" a="1"/>
  <c r="F505" i="54" s="1"/>
  <c r="E505" i="54" a="1"/>
  <c r="E505" i="54" s="1"/>
  <c r="D505" i="54" a="1"/>
  <c r="D505" i="54" s="1"/>
  <c r="C505" i="54" a="1"/>
  <c r="C505" i="54" s="1"/>
  <c r="A505" i="54" a="1"/>
  <c r="A505" i="54" s="1"/>
  <c r="N504" i="54" a="1"/>
  <c r="N504" i="54" s="1"/>
  <c r="O504" i="54" s="1"/>
  <c r="M504" i="54" a="1"/>
  <c r="M504" i="54" s="1"/>
  <c r="L504" i="54" a="1"/>
  <c r="L504" i="54" s="1"/>
  <c r="K504" i="54" a="1"/>
  <c r="K504" i="54" s="1"/>
  <c r="J504" i="54" a="1"/>
  <c r="J504" i="54" s="1"/>
  <c r="I504" i="54" a="1"/>
  <c r="I504" i="54" s="1"/>
  <c r="H504" i="54" a="1"/>
  <c r="H504" i="54" s="1"/>
  <c r="G504" i="54" a="1"/>
  <c r="G504" i="54" s="1"/>
  <c r="F504" i="54" a="1"/>
  <c r="F504" i="54" s="1"/>
  <c r="E504" i="54" a="1"/>
  <c r="E504" i="54" s="1"/>
  <c r="D504" i="54" a="1"/>
  <c r="D504" i="54" s="1"/>
  <c r="C504" i="54" a="1"/>
  <c r="C504" i="54" s="1"/>
  <c r="A504" i="54" a="1"/>
  <c r="A504" i="54" s="1"/>
  <c r="N503" i="54" a="1"/>
  <c r="N503" i="54" s="1"/>
  <c r="O503" i="54" s="1"/>
  <c r="M503" i="54" a="1"/>
  <c r="M503" i="54" s="1"/>
  <c r="L503" i="54" a="1"/>
  <c r="L503" i="54" s="1"/>
  <c r="K503" i="54" a="1"/>
  <c r="K503" i="54" s="1"/>
  <c r="J503" i="54" a="1"/>
  <c r="J503" i="54" s="1"/>
  <c r="I503" i="54" a="1"/>
  <c r="I503" i="54" s="1"/>
  <c r="H503" i="54" a="1"/>
  <c r="H503" i="54" s="1"/>
  <c r="G503" i="54" a="1"/>
  <c r="G503" i="54" s="1"/>
  <c r="F503" i="54" a="1"/>
  <c r="F503" i="54" s="1"/>
  <c r="E503" i="54" a="1"/>
  <c r="E503" i="54" s="1"/>
  <c r="D503" i="54" a="1"/>
  <c r="D503" i="54" s="1"/>
  <c r="C503" i="54" a="1"/>
  <c r="C503" i="54" s="1"/>
  <c r="A503" i="54" a="1"/>
  <c r="A503" i="54" s="1"/>
  <c r="N502" i="54" a="1"/>
  <c r="N502" i="54" s="1"/>
  <c r="O502" i="54" s="1"/>
  <c r="M502" i="54" a="1"/>
  <c r="M502" i="54" s="1"/>
  <c r="L502" i="54" a="1"/>
  <c r="L502" i="54" s="1"/>
  <c r="K502" i="54" a="1"/>
  <c r="K502" i="54" s="1"/>
  <c r="J502" i="54" a="1"/>
  <c r="J502" i="54" s="1"/>
  <c r="I502" i="54" a="1"/>
  <c r="I502" i="54" s="1"/>
  <c r="H502" i="54" a="1"/>
  <c r="H502" i="54" s="1"/>
  <c r="G502" i="54" a="1"/>
  <c r="G502" i="54" s="1"/>
  <c r="F502" i="54" a="1"/>
  <c r="F502" i="54" s="1"/>
  <c r="E502" i="54" a="1"/>
  <c r="E502" i="54" s="1"/>
  <c r="D502" i="54" a="1"/>
  <c r="D502" i="54" s="1"/>
  <c r="C502" i="54" a="1"/>
  <c r="C502" i="54" s="1"/>
  <c r="A502" i="54" a="1"/>
  <c r="A502" i="54" s="1"/>
  <c r="N501" i="54" a="1"/>
  <c r="N501" i="54" s="1"/>
  <c r="O501" i="54" s="1"/>
  <c r="M501" i="54" a="1"/>
  <c r="M501" i="54" s="1"/>
  <c r="L501" i="54" a="1"/>
  <c r="L501" i="54" s="1"/>
  <c r="K501" i="54" a="1"/>
  <c r="K501" i="54" s="1"/>
  <c r="J501" i="54" a="1"/>
  <c r="J501" i="54" s="1"/>
  <c r="I501" i="54" a="1"/>
  <c r="I501" i="54" s="1"/>
  <c r="H501" i="54" a="1"/>
  <c r="H501" i="54" s="1"/>
  <c r="G501" i="54" a="1"/>
  <c r="G501" i="54" s="1"/>
  <c r="F501" i="54" a="1"/>
  <c r="F501" i="54" s="1"/>
  <c r="E501" i="54" a="1"/>
  <c r="E501" i="54" s="1"/>
  <c r="D501" i="54" a="1"/>
  <c r="D501" i="54" s="1"/>
  <c r="C501" i="54" a="1"/>
  <c r="C501" i="54" s="1"/>
  <c r="A501" i="54" a="1"/>
  <c r="A501" i="54" s="1"/>
  <c r="N500" i="54" a="1"/>
  <c r="N500" i="54" s="1"/>
  <c r="O500" i="54" s="1"/>
  <c r="M500" i="54" a="1"/>
  <c r="M500" i="54" s="1"/>
  <c r="L500" i="54" a="1"/>
  <c r="L500" i="54" s="1"/>
  <c r="K500" i="54" a="1"/>
  <c r="K500" i="54" s="1"/>
  <c r="J500" i="54" a="1"/>
  <c r="J500" i="54" s="1"/>
  <c r="I500" i="54" a="1"/>
  <c r="I500" i="54" s="1"/>
  <c r="H500" i="54" a="1"/>
  <c r="H500" i="54" s="1"/>
  <c r="G500" i="54" a="1"/>
  <c r="G500" i="54" s="1"/>
  <c r="F500" i="54" a="1"/>
  <c r="F500" i="54" s="1"/>
  <c r="E500" i="54" a="1"/>
  <c r="E500" i="54" s="1"/>
  <c r="D500" i="54" a="1"/>
  <c r="D500" i="54" s="1"/>
  <c r="C500" i="54" a="1"/>
  <c r="C500" i="54" s="1"/>
  <c r="A500" i="54" a="1"/>
  <c r="A500" i="54" s="1"/>
  <c r="N499" i="54" a="1"/>
  <c r="N499" i="54" s="1"/>
  <c r="O499" i="54" s="1"/>
  <c r="M499" i="54" a="1"/>
  <c r="M499" i="54" s="1"/>
  <c r="L499" i="54" a="1"/>
  <c r="L499" i="54" s="1"/>
  <c r="K499" i="54" a="1"/>
  <c r="K499" i="54" s="1"/>
  <c r="J499" i="54" a="1"/>
  <c r="J499" i="54" s="1"/>
  <c r="I499" i="54" a="1"/>
  <c r="I499" i="54" s="1"/>
  <c r="H499" i="54" a="1"/>
  <c r="H499" i="54" s="1"/>
  <c r="G499" i="54" a="1"/>
  <c r="G499" i="54" s="1"/>
  <c r="F499" i="54" a="1"/>
  <c r="F499" i="54" s="1"/>
  <c r="E499" i="54" a="1"/>
  <c r="E499" i="54" s="1"/>
  <c r="D499" i="54" a="1"/>
  <c r="D499" i="54" s="1"/>
  <c r="C499" i="54" a="1"/>
  <c r="C499" i="54" s="1"/>
  <c r="A499" i="54" a="1"/>
  <c r="A499" i="54" s="1"/>
  <c r="N498" i="54" a="1"/>
  <c r="N498" i="54" s="1"/>
  <c r="O498" i="54" s="1"/>
  <c r="M498" i="54" a="1"/>
  <c r="M498" i="54" s="1"/>
  <c r="L498" i="54" a="1"/>
  <c r="L498" i="54" s="1"/>
  <c r="K498" i="54" a="1"/>
  <c r="K498" i="54" s="1"/>
  <c r="J498" i="54" a="1"/>
  <c r="J498" i="54" s="1"/>
  <c r="I498" i="54" a="1"/>
  <c r="I498" i="54" s="1"/>
  <c r="H498" i="54" a="1"/>
  <c r="H498" i="54" s="1"/>
  <c r="G498" i="54" a="1"/>
  <c r="G498" i="54" s="1"/>
  <c r="F498" i="54" a="1"/>
  <c r="F498" i="54" s="1"/>
  <c r="E498" i="54" a="1"/>
  <c r="E498" i="54" s="1"/>
  <c r="D498" i="54" a="1"/>
  <c r="D498" i="54" s="1"/>
  <c r="C498" i="54" a="1"/>
  <c r="C498" i="54" s="1"/>
  <c r="A498" i="54" a="1"/>
  <c r="A498" i="54" s="1"/>
  <c r="N497" i="54" a="1"/>
  <c r="N497" i="54" s="1"/>
  <c r="O497" i="54" s="1"/>
  <c r="M497" i="54" a="1"/>
  <c r="M497" i="54" s="1"/>
  <c r="L497" i="54" a="1"/>
  <c r="L497" i="54" s="1"/>
  <c r="K497" i="54" a="1"/>
  <c r="K497" i="54" s="1"/>
  <c r="J497" i="54" a="1"/>
  <c r="J497" i="54" s="1"/>
  <c r="I497" i="54" a="1"/>
  <c r="I497" i="54" s="1"/>
  <c r="H497" i="54" a="1"/>
  <c r="H497" i="54" s="1"/>
  <c r="G497" i="54" a="1"/>
  <c r="G497" i="54" s="1"/>
  <c r="F497" i="54" a="1"/>
  <c r="F497" i="54" s="1"/>
  <c r="E497" i="54" a="1"/>
  <c r="E497" i="54" s="1"/>
  <c r="D497" i="54" a="1"/>
  <c r="D497" i="54" s="1"/>
  <c r="C497" i="54" a="1"/>
  <c r="C497" i="54" s="1"/>
  <c r="A497" i="54" a="1"/>
  <c r="A497" i="54" s="1"/>
  <c r="N496" i="54" a="1"/>
  <c r="N496" i="54" s="1"/>
  <c r="O496" i="54" s="1"/>
  <c r="M496" i="54" a="1"/>
  <c r="M496" i="54" s="1"/>
  <c r="L496" i="54" a="1"/>
  <c r="L496" i="54" s="1"/>
  <c r="K496" i="54" a="1"/>
  <c r="K496" i="54" s="1"/>
  <c r="J496" i="54" a="1"/>
  <c r="J496" i="54" s="1"/>
  <c r="I496" i="54" a="1"/>
  <c r="I496" i="54" s="1"/>
  <c r="H496" i="54" a="1"/>
  <c r="H496" i="54" s="1"/>
  <c r="G496" i="54" a="1"/>
  <c r="G496" i="54" s="1"/>
  <c r="F496" i="54" a="1"/>
  <c r="F496" i="54" s="1"/>
  <c r="E496" i="54" a="1"/>
  <c r="E496" i="54" s="1"/>
  <c r="D496" i="54" a="1"/>
  <c r="D496" i="54" s="1"/>
  <c r="C496" i="54" a="1"/>
  <c r="C496" i="54" s="1"/>
  <c r="A496" i="54" a="1"/>
  <c r="A496" i="54" s="1"/>
  <c r="N495" i="54" a="1"/>
  <c r="N495" i="54" s="1"/>
  <c r="O495" i="54" s="1"/>
  <c r="M495" i="54" a="1"/>
  <c r="M495" i="54" s="1"/>
  <c r="L495" i="54" a="1"/>
  <c r="L495" i="54" s="1"/>
  <c r="K495" i="54" a="1"/>
  <c r="K495" i="54" s="1"/>
  <c r="J495" i="54" a="1"/>
  <c r="J495" i="54" s="1"/>
  <c r="I495" i="54" a="1"/>
  <c r="I495" i="54" s="1"/>
  <c r="H495" i="54" a="1"/>
  <c r="H495" i="54" s="1"/>
  <c r="G495" i="54" a="1"/>
  <c r="G495" i="54" s="1"/>
  <c r="F495" i="54" a="1"/>
  <c r="F495" i="54" s="1"/>
  <c r="E495" i="54" a="1"/>
  <c r="E495" i="54" s="1"/>
  <c r="D495" i="54" a="1"/>
  <c r="D495" i="54" s="1"/>
  <c r="C495" i="54" a="1"/>
  <c r="C495" i="54" s="1"/>
  <c r="A495" i="54" a="1"/>
  <c r="A495" i="54" s="1"/>
  <c r="N494" i="54" a="1"/>
  <c r="N494" i="54" s="1"/>
  <c r="O494" i="54" s="1"/>
  <c r="M494" i="54" a="1"/>
  <c r="M494" i="54" s="1"/>
  <c r="L494" i="54" a="1"/>
  <c r="L494" i="54" s="1"/>
  <c r="K494" i="54" a="1"/>
  <c r="K494" i="54" s="1"/>
  <c r="J494" i="54" a="1"/>
  <c r="J494" i="54" s="1"/>
  <c r="I494" i="54" a="1"/>
  <c r="I494" i="54" s="1"/>
  <c r="H494" i="54" a="1"/>
  <c r="H494" i="54" s="1"/>
  <c r="G494" i="54" a="1"/>
  <c r="G494" i="54" s="1"/>
  <c r="F494" i="54" a="1"/>
  <c r="F494" i="54" s="1"/>
  <c r="E494" i="54" a="1"/>
  <c r="E494" i="54" s="1"/>
  <c r="D494" i="54" a="1"/>
  <c r="D494" i="54" s="1"/>
  <c r="C494" i="54" a="1"/>
  <c r="C494" i="54" s="1"/>
  <c r="A494" i="54" a="1"/>
  <c r="A494" i="54" s="1"/>
  <c r="N493" i="54" a="1"/>
  <c r="N493" i="54" s="1"/>
  <c r="O493" i="54" s="1"/>
  <c r="M493" i="54" a="1"/>
  <c r="M493" i="54" s="1"/>
  <c r="L493" i="54" a="1"/>
  <c r="L493" i="54" s="1"/>
  <c r="K493" i="54" a="1"/>
  <c r="K493" i="54" s="1"/>
  <c r="J493" i="54" a="1"/>
  <c r="J493" i="54" s="1"/>
  <c r="I493" i="54" a="1"/>
  <c r="I493" i="54" s="1"/>
  <c r="H493" i="54" a="1"/>
  <c r="H493" i="54" s="1"/>
  <c r="G493" i="54" a="1"/>
  <c r="G493" i="54" s="1"/>
  <c r="F493" i="54" a="1"/>
  <c r="F493" i="54" s="1"/>
  <c r="E493" i="54" a="1"/>
  <c r="E493" i="54" s="1"/>
  <c r="D493" i="54" a="1"/>
  <c r="D493" i="54" s="1"/>
  <c r="C493" i="54" a="1"/>
  <c r="C493" i="54" s="1"/>
  <c r="A493" i="54" a="1"/>
  <c r="A493" i="54" s="1"/>
  <c r="N492" i="54" a="1"/>
  <c r="N492" i="54" s="1"/>
  <c r="O492" i="54" s="1"/>
  <c r="M492" i="54" a="1"/>
  <c r="M492" i="54" s="1"/>
  <c r="L492" i="54" a="1"/>
  <c r="L492" i="54" s="1"/>
  <c r="K492" i="54" a="1"/>
  <c r="K492" i="54" s="1"/>
  <c r="J492" i="54" a="1"/>
  <c r="J492" i="54" s="1"/>
  <c r="I492" i="54" a="1"/>
  <c r="I492" i="54" s="1"/>
  <c r="H492" i="54" a="1"/>
  <c r="H492" i="54" s="1"/>
  <c r="G492" i="54" a="1"/>
  <c r="G492" i="54" s="1"/>
  <c r="F492" i="54" a="1"/>
  <c r="F492" i="54" s="1"/>
  <c r="E492" i="54" a="1"/>
  <c r="E492" i="54" s="1"/>
  <c r="D492" i="54" a="1"/>
  <c r="D492" i="54" s="1"/>
  <c r="C492" i="54" a="1"/>
  <c r="C492" i="54" s="1"/>
  <c r="A492" i="54" a="1"/>
  <c r="A492" i="54" s="1"/>
  <c r="N491" i="54" a="1"/>
  <c r="N491" i="54" s="1"/>
  <c r="O491" i="54" s="1"/>
  <c r="M491" i="54" a="1"/>
  <c r="M491" i="54" s="1"/>
  <c r="L491" i="54" a="1"/>
  <c r="L491" i="54" s="1"/>
  <c r="K491" i="54" a="1"/>
  <c r="K491" i="54" s="1"/>
  <c r="J491" i="54" a="1"/>
  <c r="J491" i="54" s="1"/>
  <c r="I491" i="54" a="1"/>
  <c r="I491" i="54" s="1"/>
  <c r="H491" i="54" a="1"/>
  <c r="H491" i="54" s="1"/>
  <c r="G491" i="54" a="1"/>
  <c r="G491" i="54" s="1"/>
  <c r="F491" i="54" a="1"/>
  <c r="F491" i="54" s="1"/>
  <c r="E491" i="54" a="1"/>
  <c r="E491" i="54" s="1"/>
  <c r="D491" i="54" a="1"/>
  <c r="D491" i="54" s="1"/>
  <c r="C491" i="54" a="1"/>
  <c r="C491" i="54" s="1"/>
  <c r="A491" i="54" a="1"/>
  <c r="A491" i="54" s="1"/>
  <c r="N490" i="54" a="1"/>
  <c r="N490" i="54" s="1"/>
  <c r="O490" i="54" s="1"/>
  <c r="M490" i="54" a="1"/>
  <c r="M490" i="54" s="1"/>
  <c r="L490" i="54" a="1"/>
  <c r="L490" i="54" s="1"/>
  <c r="K490" i="54" a="1"/>
  <c r="K490" i="54" s="1"/>
  <c r="J490" i="54" a="1"/>
  <c r="J490" i="54" s="1"/>
  <c r="I490" i="54" a="1"/>
  <c r="I490" i="54" s="1"/>
  <c r="H490" i="54" a="1"/>
  <c r="H490" i="54" s="1"/>
  <c r="G490" i="54" a="1"/>
  <c r="G490" i="54" s="1"/>
  <c r="F490" i="54" a="1"/>
  <c r="F490" i="54" s="1"/>
  <c r="E490" i="54" a="1"/>
  <c r="E490" i="54" s="1"/>
  <c r="D490" i="54" a="1"/>
  <c r="D490" i="54" s="1"/>
  <c r="C490" i="54" a="1"/>
  <c r="C490" i="54" s="1"/>
  <c r="A490" i="54" a="1"/>
  <c r="A490" i="54" s="1"/>
  <c r="N489" i="54" a="1"/>
  <c r="N489" i="54" s="1"/>
  <c r="O489" i="54" s="1"/>
  <c r="M489" i="54" a="1"/>
  <c r="M489" i="54" s="1"/>
  <c r="L489" i="54" a="1"/>
  <c r="L489" i="54" s="1"/>
  <c r="K489" i="54" a="1"/>
  <c r="K489" i="54" s="1"/>
  <c r="J489" i="54" a="1"/>
  <c r="J489" i="54" s="1"/>
  <c r="I489" i="54" a="1"/>
  <c r="I489" i="54" s="1"/>
  <c r="H489" i="54" a="1"/>
  <c r="H489" i="54" s="1"/>
  <c r="G489" i="54" a="1"/>
  <c r="G489" i="54" s="1"/>
  <c r="F489" i="54" a="1"/>
  <c r="F489" i="54" s="1"/>
  <c r="E489" i="54" a="1"/>
  <c r="E489" i="54" s="1"/>
  <c r="D489" i="54" a="1"/>
  <c r="D489" i="54" s="1"/>
  <c r="C489" i="54" a="1"/>
  <c r="C489" i="54" s="1"/>
  <c r="A489" i="54" a="1"/>
  <c r="A489" i="54" s="1"/>
  <c r="N488" i="54" a="1"/>
  <c r="N488" i="54" s="1"/>
  <c r="O488" i="54" s="1"/>
  <c r="M488" i="54" a="1"/>
  <c r="M488" i="54" s="1"/>
  <c r="L488" i="54" a="1"/>
  <c r="L488" i="54" s="1"/>
  <c r="K488" i="54" a="1"/>
  <c r="K488" i="54" s="1"/>
  <c r="J488" i="54" a="1"/>
  <c r="J488" i="54" s="1"/>
  <c r="I488" i="54" a="1"/>
  <c r="I488" i="54" s="1"/>
  <c r="H488" i="54" a="1"/>
  <c r="H488" i="54" s="1"/>
  <c r="G488" i="54" a="1"/>
  <c r="G488" i="54" s="1"/>
  <c r="F488" i="54" a="1"/>
  <c r="F488" i="54" s="1"/>
  <c r="E488" i="54" a="1"/>
  <c r="E488" i="54" s="1"/>
  <c r="D488" i="54" a="1"/>
  <c r="D488" i="54" s="1"/>
  <c r="C488" i="54" a="1"/>
  <c r="C488" i="54" s="1"/>
  <c r="A488" i="54" a="1"/>
  <c r="A488" i="54" s="1"/>
  <c r="N487" i="54" a="1"/>
  <c r="N487" i="54" s="1"/>
  <c r="O487" i="54" s="1"/>
  <c r="M487" i="54" a="1"/>
  <c r="M487" i="54" s="1"/>
  <c r="L487" i="54" a="1"/>
  <c r="L487" i="54" s="1"/>
  <c r="K487" i="54" a="1"/>
  <c r="K487" i="54" s="1"/>
  <c r="J487" i="54" a="1"/>
  <c r="J487" i="54" s="1"/>
  <c r="I487" i="54" a="1"/>
  <c r="I487" i="54" s="1"/>
  <c r="H487" i="54" a="1"/>
  <c r="H487" i="54" s="1"/>
  <c r="G487" i="54" a="1"/>
  <c r="G487" i="54" s="1"/>
  <c r="F487" i="54" a="1"/>
  <c r="F487" i="54" s="1"/>
  <c r="E487" i="54" a="1"/>
  <c r="E487" i="54" s="1"/>
  <c r="D487" i="54" a="1"/>
  <c r="D487" i="54" s="1"/>
  <c r="C487" i="54" a="1"/>
  <c r="C487" i="54" s="1"/>
  <c r="A487" i="54" a="1"/>
  <c r="A487" i="54" s="1"/>
  <c r="N486" i="54" a="1"/>
  <c r="N486" i="54" s="1"/>
  <c r="O486" i="54" s="1"/>
  <c r="M486" i="54" a="1"/>
  <c r="M486" i="54" s="1"/>
  <c r="L486" i="54" a="1"/>
  <c r="L486" i="54" s="1"/>
  <c r="K486" i="54" a="1"/>
  <c r="K486" i="54" s="1"/>
  <c r="J486" i="54" a="1"/>
  <c r="J486" i="54" s="1"/>
  <c r="I486" i="54" a="1"/>
  <c r="I486" i="54" s="1"/>
  <c r="H486" i="54" a="1"/>
  <c r="H486" i="54" s="1"/>
  <c r="G486" i="54" a="1"/>
  <c r="G486" i="54" s="1"/>
  <c r="F486" i="54" a="1"/>
  <c r="F486" i="54" s="1"/>
  <c r="E486" i="54" a="1"/>
  <c r="E486" i="54" s="1"/>
  <c r="D486" i="54" a="1"/>
  <c r="D486" i="54" s="1"/>
  <c r="C486" i="54" a="1"/>
  <c r="C486" i="54" s="1"/>
  <c r="A486" i="54" a="1"/>
  <c r="A486" i="54" s="1"/>
  <c r="N485" i="54" a="1"/>
  <c r="N485" i="54" s="1"/>
  <c r="O485" i="54" s="1"/>
  <c r="M485" i="54" a="1"/>
  <c r="M485" i="54" s="1"/>
  <c r="L485" i="54" a="1"/>
  <c r="L485" i="54" s="1"/>
  <c r="K485" i="54" a="1"/>
  <c r="K485" i="54" s="1"/>
  <c r="J485" i="54" a="1"/>
  <c r="J485" i="54" s="1"/>
  <c r="I485" i="54" a="1"/>
  <c r="I485" i="54" s="1"/>
  <c r="H485" i="54" a="1"/>
  <c r="H485" i="54" s="1"/>
  <c r="G485" i="54" a="1"/>
  <c r="G485" i="54" s="1"/>
  <c r="F485" i="54" a="1"/>
  <c r="F485" i="54" s="1"/>
  <c r="E485" i="54" a="1"/>
  <c r="E485" i="54" s="1"/>
  <c r="D485" i="54" a="1"/>
  <c r="D485" i="54" s="1"/>
  <c r="C485" i="54" a="1"/>
  <c r="C485" i="54" s="1"/>
  <c r="A485" i="54" a="1"/>
  <c r="A485" i="54" s="1"/>
  <c r="N484" i="54" a="1"/>
  <c r="N484" i="54" s="1"/>
  <c r="O484" i="54" s="1"/>
  <c r="M484" i="54" a="1"/>
  <c r="M484" i="54" s="1"/>
  <c r="L484" i="54" a="1"/>
  <c r="L484" i="54" s="1"/>
  <c r="K484" i="54" a="1"/>
  <c r="K484" i="54" s="1"/>
  <c r="J484" i="54" a="1"/>
  <c r="J484" i="54" s="1"/>
  <c r="I484" i="54" a="1"/>
  <c r="I484" i="54" s="1"/>
  <c r="H484" i="54" a="1"/>
  <c r="H484" i="54" s="1"/>
  <c r="G484" i="54" a="1"/>
  <c r="G484" i="54" s="1"/>
  <c r="F484" i="54" a="1"/>
  <c r="F484" i="54" s="1"/>
  <c r="E484" i="54" a="1"/>
  <c r="E484" i="54" s="1"/>
  <c r="D484" i="54" a="1"/>
  <c r="D484" i="54" s="1"/>
  <c r="C484" i="54" a="1"/>
  <c r="C484" i="54" s="1"/>
  <c r="A484" i="54" a="1"/>
  <c r="A484" i="54" s="1"/>
  <c r="N483" i="54" a="1"/>
  <c r="N483" i="54" s="1"/>
  <c r="O483" i="54" s="1"/>
  <c r="M483" i="54" a="1"/>
  <c r="M483" i="54" s="1"/>
  <c r="L483" i="54" a="1"/>
  <c r="L483" i="54" s="1"/>
  <c r="K483" i="54" a="1"/>
  <c r="K483" i="54" s="1"/>
  <c r="J483" i="54" a="1"/>
  <c r="J483" i="54" s="1"/>
  <c r="I483" i="54" a="1"/>
  <c r="I483" i="54" s="1"/>
  <c r="H483" i="54" a="1"/>
  <c r="H483" i="54" s="1"/>
  <c r="G483" i="54" a="1"/>
  <c r="G483" i="54" s="1"/>
  <c r="F483" i="54" a="1"/>
  <c r="F483" i="54" s="1"/>
  <c r="E483" i="54" a="1"/>
  <c r="E483" i="54" s="1"/>
  <c r="D483" i="54" a="1"/>
  <c r="D483" i="54" s="1"/>
  <c r="C483" i="54" a="1"/>
  <c r="C483" i="54" s="1"/>
  <c r="A483" i="54" a="1"/>
  <c r="A483" i="54" s="1"/>
  <c r="N482" i="54" a="1"/>
  <c r="N482" i="54" s="1"/>
  <c r="O482" i="54" s="1"/>
  <c r="M482" i="54" a="1"/>
  <c r="M482" i="54" s="1"/>
  <c r="L482" i="54" a="1"/>
  <c r="L482" i="54" s="1"/>
  <c r="K482" i="54" a="1"/>
  <c r="K482" i="54" s="1"/>
  <c r="J482" i="54" a="1"/>
  <c r="J482" i="54" s="1"/>
  <c r="I482" i="54" a="1"/>
  <c r="I482" i="54" s="1"/>
  <c r="H482" i="54" a="1"/>
  <c r="H482" i="54" s="1"/>
  <c r="G482" i="54" a="1"/>
  <c r="G482" i="54" s="1"/>
  <c r="F482" i="54" a="1"/>
  <c r="F482" i="54" s="1"/>
  <c r="E482" i="54" a="1"/>
  <c r="E482" i="54" s="1"/>
  <c r="D482" i="54" a="1"/>
  <c r="D482" i="54" s="1"/>
  <c r="C482" i="54" a="1"/>
  <c r="C482" i="54" s="1"/>
  <c r="A482" i="54" a="1"/>
  <c r="A482" i="54" s="1"/>
  <c r="N481" i="54" a="1"/>
  <c r="N481" i="54" s="1"/>
  <c r="O481" i="54" s="1"/>
  <c r="M481" i="54" a="1"/>
  <c r="M481" i="54" s="1"/>
  <c r="L481" i="54" a="1"/>
  <c r="L481" i="54" s="1"/>
  <c r="K481" i="54" a="1"/>
  <c r="K481" i="54" s="1"/>
  <c r="J481" i="54" a="1"/>
  <c r="J481" i="54" s="1"/>
  <c r="I481" i="54" a="1"/>
  <c r="I481" i="54" s="1"/>
  <c r="H481" i="54" a="1"/>
  <c r="H481" i="54" s="1"/>
  <c r="G481" i="54" a="1"/>
  <c r="G481" i="54" s="1"/>
  <c r="F481" i="54" a="1"/>
  <c r="F481" i="54" s="1"/>
  <c r="E481" i="54" a="1"/>
  <c r="E481" i="54" s="1"/>
  <c r="D481" i="54" a="1"/>
  <c r="D481" i="54" s="1"/>
  <c r="C481" i="54" a="1"/>
  <c r="C481" i="54" s="1"/>
  <c r="A481" i="54" a="1"/>
  <c r="A481" i="54" s="1"/>
  <c r="N480" i="54" a="1"/>
  <c r="N480" i="54" s="1"/>
  <c r="O480" i="54" s="1"/>
  <c r="M480" i="54" a="1"/>
  <c r="M480" i="54" s="1"/>
  <c r="L480" i="54" a="1"/>
  <c r="L480" i="54" s="1"/>
  <c r="K480" i="54" a="1"/>
  <c r="K480" i="54" s="1"/>
  <c r="J480" i="54" a="1"/>
  <c r="J480" i="54" s="1"/>
  <c r="I480" i="54" a="1"/>
  <c r="I480" i="54" s="1"/>
  <c r="H480" i="54" a="1"/>
  <c r="H480" i="54" s="1"/>
  <c r="G480" i="54" a="1"/>
  <c r="G480" i="54" s="1"/>
  <c r="F480" i="54" a="1"/>
  <c r="F480" i="54" s="1"/>
  <c r="E480" i="54" a="1"/>
  <c r="E480" i="54" s="1"/>
  <c r="D480" i="54" a="1"/>
  <c r="D480" i="54" s="1"/>
  <c r="C480" i="54" a="1"/>
  <c r="C480" i="54" s="1"/>
  <c r="A480" i="54" a="1"/>
  <c r="A480" i="54" s="1"/>
  <c r="N479" i="54" a="1"/>
  <c r="N479" i="54" s="1"/>
  <c r="O479" i="54" s="1"/>
  <c r="M479" i="54" a="1"/>
  <c r="M479" i="54" s="1"/>
  <c r="L479" i="54" a="1"/>
  <c r="L479" i="54" s="1"/>
  <c r="K479" i="54" a="1"/>
  <c r="K479" i="54" s="1"/>
  <c r="J479" i="54" a="1"/>
  <c r="J479" i="54" s="1"/>
  <c r="I479" i="54" a="1"/>
  <c r="I479" i="54" s="1"/>
  <c r="H479" i="54" a="1"/>
  <c r="H479" i="54" s="1"/>
  <c r="G479" i="54" a="1"/>
  <c r="G479" i="54" s="1"/>
  <c r="F479" i="54" a="1"/>
  <c r="F479" i="54" s="1"/>
  <c r="E479" i="54" a="1"/>
  <c r="E479" i="54" s="1"/>
  <c r="D479" i="54" a="1"/>
  <c r="D479" i="54" s="1"/>
  <c r="C479" i="54" a="1"/>
  <c r="C479" i="54" s="1"/>
  <c r="A479" i="54" a="1"/>
  <c r="A479" i="54" s="1"/>
  <c r="N478" i="54" a="1"/>
  <c r="N478" i="54" s="1"/>
  <c r="O478" i="54" s="1"/>
  <c r="M478" i="54" a="1"/>
  <c r="M478" i="54" s="1"/>
  <c r="L478" i="54" a="1"/>
  <c r="L478" i="54" s="1"/>
  <c r="K478" i="54" a="1"/>
  <c r="K478" i="54" s="1"/>
  <c r="J478" i="54" a="1"/>
  <c r="J478" i="54" s="1"/>
  <c r="I478" i="54" a="1"/>
  <c r="I478" i="54" s="1"/>
  <c r="H478" i="54" a="1"/>
  <c r="H478" i="54" s="1"/>
  <c r="G478" i="54" a="1"/>
  <c r="G478" i="54" s="1"/>
  <c r="F478" i="54" a="1"/>
  <c r="F478" i="54" s="1"/>
  <c r="E478" i="54" a="1"/>
  <c r="E478" i="54" s="1"/>
  <c r="D478" i="54" a="1"/>
  <c r="D478" i="54" s="1"/>
  <c r="C478" i="54" a="1"/>
  <c r="C478" i="54" s="1"/>
  <c r="A478" i="54" a="1"/>
  <c r="A478" i="54" s="1"/>
  <c r="N477" i="54" a="1"/>
  <c r="N477" i="54" s="1"/>
  <c r="O477" i="54" s="1"/>
  <c r="M477" i="54" a="1"/>
  <c r="M477" i="54" s="1"/>
  <c r="L477" i="54" a="1"/>
  <c r="L477" i="54" s="1"/>
  <c r="K477" i="54" a="1"/>
  <c r="K477" i="54" s="1"/>
  <c r="J477" i="54" a="1"/>
  <c r="J477" i="54" s="1"/>
  <c r="I477" i="54" a="1"/>
  <c r="I477" i="54" s="1"/>
  <c r="H477" i="54" a="1"/>
  <c r="H477" i="54" s="1"/>
  <c r="G477" i="54" a="1"/>
  <c r="G477" i="54" s="1"/>
  <c r="F477" i="54" a="1"/>
  <c r="F477" i="54" s="1"/>
  <c r="E477" i="54" a="1"/>
  <c r="E477" i="54" s="1"/>
  <c r="D477" i="54" a="1"/>
  <c r="D477" i="54" s="1"/>
  <c r="C477" i="54" a="1"/>
  <c r="C477" i="54" s="1"/>
  <c r="A477" i="54" a="1"/>
  <c r="A477" i="54" s="1"/>
  <c r="N476" i="54" a="1"/>
  <c r="N476" i="54" s="1"/>
  <c r="O476" i="54" s="1"/>
  <c r="M476" i="54" a="1"/>
  <c r="M476" i="54" s="1"/>
  <c r="L476" i="54" a="1"/>
  <c r="L476" i="54" s="1"/>
  <c r="K476" i="54" a="1"/>
  <c r="K476" i="54" s="1"/>
  <c r="J476" i="54" a="1"/>
  <c r="J476" i="54" s="1"/>
  <c r="I476" i="54" a="1"/>
  <c r="I476" i="54" s="1"/>
  <c r="H476" i="54" a="1"/>
  <c r="H476" i="54" s="1"/>
  <c r="G476" i="54" a="1"/>
  <c r="G476" i="54" s="1"/>
  <c r="F476" i="54" a="1"/>
  <c r="F476" i="54" s="1"/>
  <c r="E476" i="54" a="1"/>
  <c r="E476" i="54" s="1"/>
  <c r="D476" i="54" a="1"/>
  <c r="D476" i="54" s="1"/>
  <c r="C476" i="54" a="1"/>
  <c r="C476" i="54" s="1"/>
  <c r="A476" i="54" a="1"/>
  <c r="A476" i="54" s="1"/>
  <c r="N475" i="54" a="1"/>
  <c r="N475" i="54" s="1"/>
  <c r="O475" i="54" s="1"/>
  <c r="M475" i="54" a="1"/>
  <c r="M475" i="54" s="1"/>
  <c r="L475" i="54" a="1"/>
  <c r="L475" i="54" s="1"/>
  <c r="K475" i="54" a="1"/>
  <c r="K475" i="54" s="1"/>
  <c r="J475" i="54" a="1"/>
  <c r="J475" i="54" s="1"/>
  <c r="I475" i="54" a="1"/>
  <c r="I475" i="54" s="1"/>
  <c r="H475" i="54" a="1"/>
  <c r="H475" i="54" s="1"/>
  <c r="G475" i="54" a="1"/>
  <c r="G475" i="54" s="1"/>
  <c r="F475" i="54" a="1"/>
  <c r="F475" i="54" s="1"/>
  <c r="E475" i="54" a="1"/>
  <c r="E475" i="54" s="1"/>
  <c r="D475" i="54" a="1"/>
  <c r="D475" i="54" s="1"/>
  <c r="C475" i="54" a="1"/>
  <c r="C475" i="54" s="1"/>
  <c r="A475" i="54" a="1"/>
  <c r="A475" i="54" s="1"/>
  <c r="N474" i="54" a="1"/>
  <c r="N474" i="54" s="1"/>
  <c r="O474" i="54" s="1"/>
  <c r="M474" i="54" a="1"/>
  <c r="M474" i="54" s="1"/>
  <c r="L474" i="54" a="1"/>
  <c r="L474" i="54" s="1"/>
  <c r="K474" i="54" a="1"/>
  <c r="K474" i="54" s="1"/>
  <c r="J474" i="54" a="1"/>
  <c r="J474" i="54" s="1"/>
  <c r="I474" i="54" a="1"/>
  <c r="I474" i="54" s="1"/>
  <c r="H474" i="54" a="1"/>
  <c r="H474" i="54" s="1"/>
  <c r="G474" i="54" a="1"/>
  <c r="G474" i="54" s="1"/>
  <c r="F474" i="54" a="1"/>
  <c r="F474" i="54" s="1"/>
  <c r="E474" i="54" a="1"/>
  <c r="E474" i="54" s="1"/>
  <c r="D474" i="54" a="1"/>
  <c r="D474" i="54" s="1"/>
  <c r="C474" i="54" a="1"/>
  <c r="C474" i="54" s="1"/>
  <c r="A474" i="54" a="1"/>
  <c r="A474" i="54" s="1"/>
  <c r="N473" i="54" a="1"/>
  <c r="N473" i="54" s="1"/>
  <c r="O473" i="54" s="1"/>
  <c r="M473" i="54" a="1"/>
  <c r="M473" i="54" s="1"/>
  <c r="L473" i="54" a="1"/>
  <c r="L473" i="54" s="1"/>
  <c r="K473" i="54" a="1"/>
  <c r="K473" i="54" s="1"/>
  <c r="J473" i="54" a="1"/>
  <c r="J473" i="54" s="1"/>
  <c r="I473" i="54" a="1"/>
  <c r="I473" i="54" s="1"/>
  <c r="H473" i="54" a="1"/>
  <c r="H473" i="54" s="1"/>
  <c r="G473" i="54" a="1"/>
  <c r="G473" i="54" s="1"/>
  <c r="F473" i="54" a="1"/>
  <c r="F473" i="54" s="1"/>
  <c r="E473" i="54" a="1"/>
  <c r="E473" i="54" s="1"/>
  <c r="D473" i="54" a="1"/>
  <c r="D473" i="54" s="1"/>
  <c r="C473" i="54" a="1"/>
  <c r="C473" i="54" s="1"/>
  <c r="A473" i="54" a="1"/>
  <c r="A473" i="54" s="1"/>
  <c r="N472" i="54" a="1"/>
  <c r="N472" i="54" s="1"/>
  <c r="O472" i="54" s="1"/>
  <c r="M472" i="54" a="1"/>
  <c r="M472" i="54" s="1"/>
  <c r="L472" i="54" a="1"/>
  <c r="L472" i="54" s="1"/>
  <c r="K472" i="54" a="1"/>
  <c r="K472" i="54" s="1"/>
  <c r="J472" i="54" a="1"/>
  <c r="J472" i="54" s="1"/>
  <c r="I472" i="54" a="1"/>
  <c r="I472" i="54" s="1"/>
  <c r="H472" i="54" a="1"/>
  <c r="H472" i="54" s="1"/>
  <c r="G472" i="54" a="1"/>
  <c r="G472" i="54" s="1"/>
  <c r="F472" i="54" a="1"/>
  <c r="F472" i="54" s="1"/>
  <c r="E472" i="54" a="1"/>
  <c r="E472" i="54" s="1"/>
  <c r="D472" i="54" a="1"/>
  <c r="D472" i="54" s="1"/>
  <c r="C472" i="54" a="1"/>
  <c r="C472" i="54" s="1"/>
  <c r="A472" i="54" a="1"/>
  <c r="A472" i="54" s="1"/>
  <c r="N471" i="54" a="1"/>
  <c r="N471" i="54" s="1"/>
  <c r="O471" i="54" s="1"/>
  <c r="M471" i="54" a="1"/>
  <c r="M471" i="54" s="1"/>
  <c r="L471" i="54" a="1"/>
  <c r="L471" i="54" s="1"/>
  <c r="K471" i="54" a="1"/>
  <c r="K471" i="54" s="1"/>
  <c r="J471" i="54" a="1"/>
  <c r="J471" i="54" s="1"/>
  <c r="I471" i="54" a="1"/>
  <c r="I471" i="54" s="1"/>
  <c r="H471" i="54" a="1"/>
  <c r="H471" i="54" s="1"/>
  <c r="G471" i="54" a="1"/>
  <c r="G471" i="54" s="1"/>
  <c r="F471" i="54" a="1"/>
  <c r="F471" i="54" s="1"/>
  <c r="E471" i="54" a="1"/>
  <c r="E471" i="54" s="1"/>
  <c r="D471" i="54" a="1"/>
  <c r="D471" i="54" s="1"/>
  <c r="C471" i="54" a="1"/>
  <c r="C471" i="54" s="1"/>
  <c r="A471" i="54" a="1"/>
  <c r="A471" i="54" s="1"/>
  <c r="N470" i="54" a="1"/>
  <c r="N470" i="54" s="1"/>
  <c r="O470" i="54" s="1"/>
  <c r="M470" i="54" a="1"/>
  <c r="M470" i="54" s="1"/>
  <c r="L470" i="54" a="1"/>
  <c r="L470" i="54" s="1"/>
  <c r="K470" i="54" a="1"/>
  <c r="K470" i="54" s="1"/>
  <c r="J470" i="54" a="1"/>
  <c r="J470" i="54" s="1"/>
  <c r="I470" i="54" a="1"/>
  <c r="I470" i="54" s="1"/>
  <c r="H470" i="54" a="1"/>
  <c r="H470" i="54" s="1"/>
  <c r="G470" i="54" a="1"/>
  <c r="G470" i="54" s="1"/>
  <c r="F470" i="54" a="1"/>
  <c r="F470" i="54" s="1"/>
  <c r="E470" i="54" a="1"/>
  <c r="E470" i="54" s="1"/>
  <c r="D470" i="54" a="1"/>
  <c r="D470" i="54" s="1"/>
  <c r="C470" i="54" a="1"/>
  <c r="C470" i="54" s="1"/>
  <c r="A470" i="54" a="1"/>
  <c r="A470" i="54" s="1"/>
  <c r="N469" i="54" a="1"/>
  <c r="N469" i="54" s="1"/>
  <c r="O469" i="54" s="1"/>
  <c r="M469" i="54" a="1"/>
  <c r="M469" i="54" s="1"/>
  <c r="L469" i="54" a="1"/>
  <c r="L469" i="54" s="1"/>
  <c r="K469" i="54" a="1"/>
  <c r="K469" i="54" s="1"/>
  <c r="J469" i="54" a="1"/>
  <c r="J469" i="54" s="1"/>
  <c r="I469" i="54" a="1"/>
  <c r="I469" i="54" s="1"/>
  <c r="H469" i="54" a="1"/>
  <c r="H469" i="54" s="1"/>
  <c r="G469" i="54" a="1"/>
  <c r="G469" i="54" s="1"/>
  <c r="F469" i="54" a="1"/>
  <c r="F469" i="54" s="1"/>
  <c r="E469" i="54" a="1"/>
  <c r="E469" i="54" s="1"/>
  <c r="D469" i="54" a="1"/>
  <c r="D469" i="54" s="1"/>
  <c r="C469" i="54" a="1"/>
  <c r="C469" i="54" s="1"/>
  <c r="A469" i="54" a="1"/>
  <c r="A469" i="54" s="1"/>
  <c r="N468" i="54" a="1"/>
  <c r="N468" i="54" s="1"/>
  <c r="O468" i="54" s="1"/>
  <c r="M468" i="54" a="1"/>
  <c r="M468" i="54" s="1"/>
  <c r="L468" i="54" a="1"/>
  <c r="L468" i="54" s="1"/>
  <c r="K468" i="54" a="1"/>
  <c r="K468" i="54" s="1"/>
  <c r="J468" i="54" a="1"/>
  <c r="J468" i="54" s="1"/>
  <c r="I468" i="54" a="1"/>
  <c r="I468" i="54" s="1"/>
  <c r="H468" i="54" a="1"/>
  <c r="H468" i="54" s="1"/>
  <c r="G468" i="54" a="1"/>
  <c r="G468" i="54" s="1"/>
  <c r="F468" i="54" a="1"/>
  <c r="F468" i="54" s="1"/>
  <c r="E468" i="54" a="1"/>
  <c r="E468" i="54" s="1"/>
  <c r="D468" i="54" a="1"/>
  <c r="D468" i="54" s="1"/>
  <c r="C468" i="54" a="1"/>
  <c r="C468" i="54" s="1"/>
  <c r="A468" i="54" a="1"/>
  <c r="A468" i="54" s="1"/>
  <c r="N467" i="54" a="1"/>
  <c r="N467" i="54" s="1"/>
  <c r="O467" i="54" s="1"/>
  <c r="M467" i="54" a="1"/>
  <c r="M467" i="54" s="1"/>
  <c r="L467" i="54" a="1"/>
  <c r="L467" i="54" s="1"/>
  <c r="K467" i="54" a="1"/>
  <c r="K467" i="54" s="1"/>
  <c r="J467" i="54" a="1"/>
  <c r="J467" i="54" s="1"/>
  <c r="I467" i="54" a="1"/>
  <c r="I467" i="54" s="1"/>
  <c r="H467" i="54" a="1"/>
  <c r="H467" i="54" s="1"/>
  <c r="G467" i="54" a="1"/>
  <c r="G467" i="54" s="1"/>
  <c r="F467" i="54" a="1"/>
  <c r="F467" i="54" s="1"/>
  <c r="E467" i="54" a="1"/>
  <c r="E467" i="54" s="1"/>
  <c r="D467" i="54" a="1"/>
  <c r="D467" i="54" s="1"/>
  <c r="C467" i="54" a="1"/>
  <c r="C467" i="54" s="1"/>
  <c r="A467" i="54" a="1"/>
  <c r="A467" i="54" s="1"/>
  <c r="N466" i="54" a="1"/>
  <c r="N466" i="54" s="1"/>
  <c r="O466" i="54" s="1"/>
  <c r="M466" i="54" a="1"/>
  <c r="M466" i="54" s="1"/>
  <c r="L466" i="54" a="1"/>
  <c r="L466" i="54" s="1"/>
  <c r="K466" i="54" a="1"/>
  <c r="K466" i="54" s="1"/>
  <c r="J466" i="54" a="1"/>
  <c r="J466" i="54" s="1"/>
  <c r="I466" i="54" a="1"/>
  <c r="I466" i="54" s="1"/>
  <c r="H466" i="54" a="1"/>
  <c r="H466" i="54" s="1"/>
  <c r="G466" i="54" a="1"/>
  <c r="G466" i="54" s="1"/>
  <c r="F466" i="54" a="1"/>
  <c r="F466" i="54" s="1"/>
  <c r="E466" i="54" a="1"/>
  <c r="E466" i="54" s="1"/>
  <c r="D466" i="54" a="1"/>
  <c r="D466" i="54" s="1"/>
  <c r="C466" i="54" a="1"/>
  <c r="C466" i="54" s="1"/>
  <c r="A466" i="54" a="1"/>
  <c r="A466" i="54" s="1"/>
  <c r="N465" i="54" a="1"/>
  <c r="N465" i="54" s="1"/>
  <c r="O465" i="54" s="1"/>
  <c r="M465" i="54" a="1"/>
  <c r="M465" i="54" s="1"/>
  <c r="L465" i="54" a="1"/>
  <c r="L465" i="54" s="1"/>
  <c r="K465" i="54" a="1"/>
  <c r="K465" i="54" s="1"/>
  <c r="J465" i="54" a="1"/>
  <c r="J465" i="54" s="1"/>
  <c r="I465" i="54" a="1"/>
  <c r="I465" i="54" s="1"/>
  <c r="H465" i="54" a="1"/>
  <c r="H465" i="54" s="1"/>
  <c r="G465" i="54" a="1"/>
  <c r="G465" i="54" s="1"/>
  <c r="F465" i="54" a="1"/>
  <c r="F465" i="54" s="1"/>
  <c r="E465" i="54" a="1"/>
  <c r="E465" i="54" s="1"/>
  <c r="D465" i="54" a="1"/>
  <c r="D465" i="54" s="1"/>
  <c r="C465" i="54" a="1"/>
  <c r="C465" i="54" s="1"/>
  <c r="A465" i="54" a="1"/>
  <c r="A465" i="54" s="1"/>
  <c r="N464" i="54" a="1"/>
  <c r="N464" i="54" s="1"/>
  <c r="O464" i="54" s="1"/>
  <c r="M464" i="54" a="1"/>
  <c r="M464" i="54" s="1"/>
  <c r="L464" i="54" a="1"/>
  <c r="L464" i="54" s="1"/>
  <c r="K464" i="54" a="1"/>
  <c r="K464" i="54" s="1"/>
  <c r="J464" i="54" a="1"/>
  <c r="J464" i="54" s="1"/>
  <c r="I464" i="54" a="1"/>
  <c r="I464" i="54" s="1"/>
  <c r="H464" i="54" a="1"/>
  <c r="H464" i="54" s="1"/>
  <c r="G464" i="54" a="1"/>
  <c r="G464" i="54" s="1"/>
  <c r="F464" i="54" a="1"/>
  <c r="F464" i="54" s="1"/>
  <c r="E464" i="54" a="1"/>
  <c r="E464" i="54" s="1"/>
  <c r="D464" i="54" a="1"/>
  <c r="D464" i="54" s="1"/>
  <c r="C464" i="54" a="1"/>
  <c r="C464" i="54" s="1"/>
  <c r="A464" i="54" a="1"/>
  <c r="A464" i="54" s="1"/>
  <c r="N463" i="54" a="1"/>
  <c r="N463" i="54" s="1"/>
  <c r="O463" i="54" s="1"/>
  <c r="M463" i="54" a="1"/>
  <c r="M463" i="54" s="1"/>
  <c r="L463" i="54" a="1"/>
  <c r="L463" i="54" s="1"/>
  <c r="K463" i="54" a="1"/>
  <c r="K463" i="54" s="1"/>
  <c r="J463" i="54" a="1"/>
  <c r="J463" i="54" s="1"/>
  <c r="I463" i="54" a="1"/>
  <c r="I463" i="54" s="1"/>
  <c r="H463" i="54" a="1"/>
  <c r="H463" i="54" s="1"/>
  <c r="G463" i="54" a="1"/>
  <c r="G463" i="54" s="1"/>
  <c r="F463" i="54" a="1"/>
  <c r="F463" i="54" s="1"/>
  <c r="E463" i="54" a="1"/>
  <c r="E463" i="54" s="1"/>
  <c r="D463" i="54" a="1"/>
  <c r="D463" i="54" s="1"/>
  <c r="C463" i="54" a="1"/>
  <c r="C463" i="54" s="1"/>
  <c r="A463" i="54" a="1"/>
  <c r="A463" i="54" s="1"/>
  <c r="N462" i="54" a="1"/>
  <c r="N462" i="54" s="1"/>
  <c r="O462" i="54" s="1"/>
  <c r="M462" i="54" a="1"/>
  <c r="M462" i="54" s="1"/>
  <c r="L462" i="54" a="1"/>
  <c r="L462" i="54" s="1"/>
  <c r="K462" i="54" a="1"/>
  <c r="K462" i="54" s="1"/>
  <c r="J462" i="54" a="1"/>
  <c r="J462" i="54" s="1"/>
  <c r="I462" i="54" a="1"/>
  <c r="I462" i="54" s="1"/>
  <c r="H462" i="54" a="1"/>
  <c r="H462" i="54" s="1"/>
  <c r="G462" i="54" a="1"/>
  <c r="G462" i="54" s="1"/>
  <c r="F462" i="54" a="1"/>
  <c r="F462" i="54" s="1"/>
  <c r="E462" i="54" a="1"/>
  <c r="E462" i="54" s="1"/>
  <c r="D462" i="54" a="1"/>
  <c r="D462" i="54" s="1"/>
  <c r="C462" i="54" a="1"/>
  <c r="C462" i="54" s="1"/>
  <c r="A462" i="54" a="1"/>
  <c r="A462" i="54" s="1"/>
  <c r="N461" i="54" a="1"/>
  <c r="N461" i="54" s="1"/>
  <c r="O461" i="54" s="1"/>
  <c r="M461" i="54" a="1"/>
  <c r="M461" i="54" s="1"/>
  <c r="L461" i="54" a="1"/>
  <c r="L461" i="54" s="1"/>
  <c r="K461" i="54" a="1"/>
  <c r="K461" i="54" s="1"/>
  <c r="J461" i="54" a="1"/>
  <c r="J461" i="54" s="1"/>
  <c r="I461" i="54" a="1"/>
  <c r="I461" i="54" s="1"/>
  <c r="H461" i="54" a="1"/>
  <c r="H461" i="54" s="1"/>
  <c r="G461" i="54" a="1"/>
  <c r="G461" i="54" s="1"/>
  <c r="F461" i="54" a="1"/>
  <c r="F461" i="54" s="1"/>
  <c r="E461" i="54" a="1"/>
  <c r="E461" i="54" s="1"/>
  <c r="D461" i="54" a="1"/>
  <c r="D461" i="54" s="1"/>
  <c r="C461" i="54" a="1"/>
  <c r="C461" i="54" s="1"/>
  <c r="A461" i="54" a="1"/>
  <c r="A461" i="54" s="1"/>
  <c r="N460" i="54" a="1"/>
  <c r="N460" i="54" s="1"/>
  <c r="O460" i="54" s="1"/>
  <c r="M460" i="54" a="1"/>
  <c r="M460" i="54" s="1"/>
  <c r="L460" i="54" a="1"/>
  <c r="L460" i="54" s="1"/>
  <c r="K460" i="54" a="1"/>
  <c r="K460" i="54" s="1"/>
  <c r="J460" i="54" a="1"/>
  <c r="J460" i="54" s="1"/>
  <c r="I460" i="54" a="1"/>
  <c r="I460" i="54" s="1"/>
  <c r="H460" i="54" a="1"/>
  <c r="H460" i="54" s="1"/>
  <c r="G460" i="54" a="1"/>
  <c r="G460" i="54" s="1"/>
  <c r="F460" i="54" a="1"/>
  <c r="F460" i="54" s="1"/>
  <c r="E460" i="54" a="1"/>
  <c r="E460" i="54" s="1"/>
  <c r="D460" i="54" a="1"/>
  <c r="D460" i="54" s="1"/>
  <c r="C460" i="54" a="1"/>
  <c r="C460" i="54" s="1"/>
  <c r="A460" i="54" a="1"/>
  <c r="A460" i="54" s="1"/>
  <c r="N459" i="54" a="1"/>
  <c r="N459" i="54" s="1"/>
  <c r="O459" i="54" s="1"/>
  <c r="M459" i="54" a="1"/>
  <c r="M459" i="54" s="1"/>
  <c r="L459" i="54" a="1"/>
  <c r="L459" i="54" s="1"/>
  <c r="K459" i="54" a="1"/>
  <c r="K459" i="54" s="1"/>
  <c r="J459" i="54" a="1"/>
  <c r="J459" i="54" s="1"/>
  <c r="I459" i="54" a="1"/>
  <c r="I459" i="54" s="1"/>
  <c r="H459" i="54" a="1"/>
  <c r="H459" i="54" s="1"/>
  <c r="G459" i="54" a="1"/>
  <c r="G459" i="54" s="1"/>
  <c r="F459" i="54" a="1"/>
  <c r="F459" i="54" s="1"/>
  <c r="E459" i="54" a="1"/>
  <c r="E459" i="54" s="1"/>
  <c r="D459" i="54" a="1"/>
  <c r="D459" i="54" s="1"/>
  <c r="C459" i="54" a="1"/>
  <c r="C459" i="54" s="1"/>
  <c r="A459" i="54" a="1"/>
  <c r="A459" i="54" s="1"/>
  <c r="N458" i="54" a="1"/>
  <c r="N458" i="54" s="1"/>
  <c r="O458" i="54" s="1"/>
  <c r="M458" i="54" a="1"/>
  <c r="M458" i="54" s="1"/>
  <c r="L458" i="54" a="1"/>
  <c r="L458" i="54" s="1"/>
  <c r="K458" i="54" a="1"/>
  <c r="K458" i="54" s="1"/>
  <c r="J458" i="54" a="1"/>
  <c r="J458" i="54" s="1"/>
  <c r="I458" i="54" a="1"/>
  <c r="I458" i="54" s="1"/>
  <c r="H458" i="54" a="1"/>
  <c r="H458" i="54" s="1"/>
  <c r="G458" i="54" a="1"/>
  <c r="G458" i="54" s="1"/>
  <c r="F458" i="54" a="1"/>
  <c r="F458" i="54" s="1"/>
  <c r="E458" i="54" a="1"/>
  <c r="E458" i="54" s="1"/>
  <c r="D458" i="54" a="1"/>
  <c r="D458" i="54" s="1"/>
  <c r="C458" i="54" a="1"/>
  <c r="C458" i="54" s="1"/>
  <c r="A458" i="54" a="1"/>
  <c r="A458" i="54" s="1"/>
  <c r="N457" i="54" a="1"/>
  <c r="N457" i="54" s="1"/>
  <c r="O457" i="54" s="1"/>
  <c r="M457" i="54" a="1"/>
  <c r="M457" i="54" s="1"/>
  <c r="L457" i="54" a="1"/>
  <c r="L457" i="54" s="1"/>
  <c r="K457" i="54" a="1"/>
  <c r="K457" i="54" s="1"/>
  <c r="J457" i="54" a="1"/>
  <c r="J457" i="54" s="1"/>
  <c r="I457" i="54" a="1"/>
  <c r="I457" i="54" s="1"/>
  <c r="H457" i="54" a="1"/>
  <c r="H457" i="54" s="1"/>
  <c r="G457" i="54" a="1"/>
  <c r="G457" i="54" s="1"/>
  <c r="F457" i="54" a="1"/>
  <c r="F457" i="54" s="1"/>
  <c r="E457" i="54" a="1"/>
  <c r="E457" i="54" s="1"/>
  <c r="D457" i="54" a="1"/>
  <c r="D457" i="54" s="1"/>
  <c r="C457" i="54" a="1"/>
  <c r="C457" i="54" s="1"/>
  <c r="A457" i="54" a="1"/>
  <c r="A457" i="54" s="1"/>
  <c r="N456" i="54" a="1"/>
  <c r="N456" i="54" s="1"/>
  <c r="O456" i="54" s="1"/>
  <c r="M456" i="54" a="1"/>
  <c r="M456" i="54" s="1"/>
  <c r="L456" i="54" a="1"/>
  <c r="L456" i="54" s="1"/>
  <c r="K456" i="54" a="1"/>
  <c r="K456" i="54" s="1"/>
  <c r="J456" i="54" a="1"/>
  <c r="J456" i="54" s="1"/>
  <c r="I456" i="54" a="1"/>
  <c r="I456" i="54" s="1"/>
  <c r="H456" i="54" a="1"/>
  <c r="H456" i="54" s="1"/>
  <c r="G456" i="54" a="1"/>
  <c r="G456" i="54" s="1"/>
  <c r="F456" i="54" a="1"/>
  <c r="F456" i="54" s="1"/>
  <c r="E456" i="54" a="1"/>
  <c r="E456" i="54" s="1"/>
  <c r="D456" i="54" a="1"/>
  <c r="D456" i="54" s="1"/>
  <c r="C456" i="54" a="1"/>
  <c r="C456" i="54" s="1"/>
  <c r="A456" i="54" a="1"/>
  <c r="A456" i="54" s="1"/>
  <c r="N455" i="54" a="1"/>
  <c r="N455" i="54" s="1"/>
  <c r="O455" i="54" s="1"/>
  <c r="M455" i="54" a="1"/>
  <c r="M455" i="54" s="1"/>
  <c r="L455" i="54" a="1"/>
  <c r="L455" i="54" s="1"/>
  <c r="K455" i="54" a="1"/>
  <c r="K455" i="54" s="1"/>
  <c r="J455" i="54" a="1"/>
  <c r="J455" i="54" s="1"/>
  <c r="I455" i="54" a="1"/>
  <c r="I455" i="54" s="1"/>
  <c r="H455" i="54" a="1"/>
  <c r="H455" i="54" s="1"/>
  <c r="G455" i="54" a="1"/>
  <c r="G455" i="54" s="1"/>
  <c r="F455" i="54" a="1"/>
  <c r="F455" i="54" s="1"/>
  <c r="E455" i="54" a="1"/>
  <c r="E455" i="54" s="1"/>
  <c r="D455" i="54" a="1"/>
  <c r="D455" i="54" s="1"/>
  <c r="C455" i="54" a="1"/>
  <c r="C455" i="54" s="1"/>
  <c r="A455" i="54" a="1"/>
  <c r="A455" i="54" s="1"/>
  <c r="N454" i="54" a="1"/>
  <c r="N454" i="54" s="1"/>
  <c r="O454" i="54" s="1"/>
  <c r="M454" i="54" a="1"/>
  <c r="M454" i="54" s="1"/>
  <c r="L454" i="54" a="1"/>
  <c r="L454" i="54" s="1"/>
  <c r="K454" i="54" a="1"/>
  <c r="K454" i="54" s="1"/>
  <c r="J454" i="54" a="1"/>
  <c r="J454" i="54" s="1"/>
  <c r="I454" i="54" a="1"/>
  <c r="I454" i="54" s="1"/>
  <c r="H454" i="54" a="1"/>
  <c r="H454" i="54" s="1"/>
  <c r="G454" i="54" a="1"/>
  <c r="G454" i="54" s="1"/>
  <c r="F454" i="54" a="1"/>
  <c r="F454" i="54" s="1"/>
  <c r="E454" i="54" a="1"/>
  <c r="E454" i="54" s="1"/>
  <c r="D454" i="54" a="1"/>
  <c r="D454" i="54" s="1"/>
  <c r="C454" i="54" a="1"/>
  <c r="C454" i="54" s="1"/>
  <c r="A454" i="54" a="1"/>
  <c r="A454" i="54" s="1"/>
  <c r="N453" i="54" a="1"/>
  <c r="N453" i="54" s="1"/>
  <c r="O453" i="54" s="1"/>
  <c r="M453" i="54" a="1"/>
  <c r="M453" i="54" s="1"/>
  <c r="L453" i="54" a="1"/>
  <c r="L453" i="54" s="1"/>
  <c r="K453" i="54" a="1"/>
  <c r="K453" i="54" s="1"/>
  <c r="J453" i="54" a="1"/>
  <c r="J453" i="54" s="1"/>
  <c r="I453" i="54" a="1"/>
  <c r="I453" i="54" s="1"/>
  <c r="H453" i="54" a="1"/>
  <c r="H453" i="54" s="1"/>
  <c r="G453" i="54" a="1"/>
  <c r="G453" i="54" s="1"/>
  <c r="F453" i="54" a="1"/>
  <c r="F453" i="54" s="1"/>
  <c r="E453" i="54" a="1"/>
  <c r="E453" i="54" s="1"/>
  <c r="D453" i="54" a="1"/>
  <c r="D453" i="54" s="1"/>
  <c r="C453" i="54" a="1"/>
  <c r="C453" i="54" s="1"/>
  <c r="A453" i="54" a="1"/>
  <c r="A453" i="54" s="1"/>
  <c r="N452" i="54" a="1"/>
  <c r="N452" i="54" s="1"/>
  <c r="O452" i="54" s="1"/>
  <c r="M452" i="54" a="1"/>
  <c r="M452" i="54" s="1"/>
  <c r="L452" i="54" a="1"/>
  <c r="L452" i="54" s="1"/>
  <c r="K452" i="54" a="1"/>
  <c r="K452" i="54" s="1"/>
  <c r="J452" i="54" a="1"/>
  <c r="J452" i="54" s="1"/>
  <c r="I452" i="54" a="1"/>
  <c r="I452" i="54" s="1"/>
  <c r="H452" i="54" a="1"/>
  <c r="H452" i="54" s="1"/>
  <c r="G452" i="54" a="1"/>
  <c r="G452" i="54" s="1"/>
  <c r="F452" i="54" a="1"/>
  <c r="F452" i="54" s="1"/>
  <c r="E452" i="54" a="1"/>
  <c r="E452" i="54" s="1"/>
  <c r="D452" i="54" a="1"/>
  <c r="D452" i="54" s="1"/>
  <c r="C452" i="54" a="1"/>
  <c r="C452" i="54" s="1"/>
  <c r="A452" i="54" a="1"/>
  <c r="A452" i="54" s="1"/>
  <c r="N451" i="54" a="1"/>
  <c r="N451" i="54" s="1"/>
  <c r="O451" i="54" s="1"/>
  <c r="M451" i="54" a="1"/>
  <c r="M451" i="54" s="1"/>
  <c r="L451" i="54" a="1"/>
  <c r="L451" i="54" s="1"/>
  <c r="K451" i="54" a="1"/>
  <c r="K451" i="54" s="1"/>
  <c r="J451" i="54" a="1"/>
  <c r="J451" i="54" s="1"/>
  <c r="I451" i="54" a="1"/>
  <c r="I451" i="54" s="1"/>
  <c r="H451" i="54" a="1"/>
  <c r="H451" i="54" s="1"/>
  <c r="G451" i="54" a="1"/>
  <c r="G451" i="54" s="1"/>
  <c r="F451" i="54" a="1"/>
  <c r="F451" i="54" s="1"/>
  <c r="E451" i="54" a="1"/>
  <c r="E451" i="54" s="1"/>
  <c r="D451" i="54" a="1"/>
  <c r="D451" i="54" s="1"/>
  <c r="C451" i="54" a="1"/>
  <c r="C451" i="54" s="1"/>
  <c r="A451" i="54" a="1"/>
  <c r="A451" i="54" s="1"/>
  <c r="N450" i="54" a="1"/>
  <c r="N450" i="54" s="1"/>
  <c r="O450" i="54" s="1"/>
  <c r="M450" i="54" a="1"/>
  <c r="M450" i="54" s="1"/>
  <c r="L450" i="54" a="1"/>
  <c r="L450" i="54" s="1"/>
  <c r="K450" i="54" a="1"/>
  <c r="K450" i="54" s="1"/>
  <c r="J450" i="54" a="1"/>
  <c r="J450" i="54" s="1"/>
  <c r="I450" i="54" a="1"/>
  <c r="I450" i="54" s="1"/>
  <c r="H450" i="54" a="1"/>
  <c r="H450" i="54" s="1"/>
  <c r="G450" i="54" a="1"/>
  <c r="G450" i="54" s="1"/>
  <c r="F450" i="54" a="1"/>
  <c r="F450" i="54" s="1"/>
  <c r="E450" i="54" a="1"/>
  <c r="E450" i="54" s="1"/>
  <c r="D450" i="54" a="1"/>
  <c r="D450" i="54" s="1"/>
  <c r="C450" i="54" a="1"/>
  <c r="C450" i="54" s="1"/>
  <c r="A450" i="54" a="1"/>
  <c r="A450" i="54" s="1"/>
  <c r="N449" i="54" a="1"/>
  <c r="N449" i="54" s="1"/>
  <c r="O449" i="54" s="1"/>
  <c r="M449" i="54" a="1"/>
  <c r="M449" i="54" s="1"/>
  <c r="L449" i="54" a="1"/>
  <c r="L449" i="54" s="1"/>
  <c r="K449" i="54" a="1"/>
  <c r="K449" i="54" s="1"/>
  <c r="J449" i="54" a="1"/>
  <c r="J449" i="54" s="1"/>
  <c r="I449" i="54" a="1"/>
  <c r="I449" i="54" s="1"/>
  <c r="H449" i="54" a="1"/>
  <c r="H449" i="54" s="1"/>
  <c r="G449" i="54" a="1"/>
  <c r="G449" i="54" s="1"/>
  <c r="F449" i="54" a="1"/>
  <c r="F449" i="54" s="1"/>
  <c r="E449" i="54" a="1"/>
  <c r="E449" i="54" s="1"/>
  <c r="D449" i="54" a="1"/>
  <c r="D449" i="54" s="1"/>
  <c r="C449" i="54" a="1"/>
  <c r="C449" i="54" s="1"/>
  <c r="A449" i="54" a="1"/>
  <c r="A449" i="54" s="1"/>
  <c r="N448" i="54" a="1"/>
  <c r="N448" i="54" s="1"/>
  <c r="O448" i="54" s="1"/>
  <c r="M448" i="54" a="1"/>
  <c r="M448" i="54" s="1"/>
  <c r="L448" i="54" a="1"/>
  <c r="L448" i="54" s="1"/>
  <c r="K448" i="54" a="1"/>
  <c r="K448" i="54" s="1"/>
  <c r="J448" i="54" a="1"/>
  <c r="J448" i="54" s="1"/>
  <c r="I448" i="54" a="1"/>
  <c r="I448" i="54" s="1"/>
  <c r="H448" i="54" a="1"/>
  <c r="H448" i="54" s="1"/>
  <c r="G448" i="54" a="1"/>
  <c r="G448" i="54" s="1"/>
  <c r="F448" i="54" a="1"/>
  <c r="F448" i="54" s="1"/>
  <c r="E448" i="54" a="1"/>
  <c r="E448" i="54" s="1"/>
  <c r="D448" i="54" a="1"/>
  <c r="D448" i="54" s="1"/>
  <c r="C448" i="54" a="1"/>
  <c r="C448" i="54" s="1"/>
  <c r="A448" i="54" a="1"/>
  <c r="A448" i="54" s="1"/>
  <c r="N447" i="54" a="1"/>
  <c r="N447" i="54" s="1"/>
  <c r="O447" i="54" s="1"/>
  <c r="M447" i="54" a="1"/>
  <c r="M447" i="54" s="1"/>
  <c r="L447" i="54" a="1"/>
  <c r="L447" i="54" s="1"/>
  <c r="K447" i="54" a="1"/>
  <c r="K447" i="54" s="1"/>
  <c r="J447" i="54" a="1"/>
  <c r="J447" i="54" s="1"/>
  <c r="I447" i="54" a="1"/>
  <c r="I447" i="54" s="1"/>
  <c r="H447" i="54" a="1"/>
  <c r="H447" i="54" s="1"/>
  <c r="G447" i="54" a="1"/>
  <c r="G447" i="54" s="1"/>
  <c r="F447" i="54" a="1"/>
  <c r="F447" i="54" s="1"/>
  <c r="E447" i="54" a="1"/>
  <c r="E447" i="54" s="1"/>
  <c r="D447" i="54" a="1"/>
  <c r="D447" i="54" s="1"/>
  <c r="C447" i="54" a="1"/>
  <c r="C447" i="54" s="1"/>
  <c r="A447" i="54" a="1"/>
  <c r="A447" i="54" s="1"/>
  <c r="N446" i="54" a="1"/>
  <c r="N446" i="54" s="1"/>
  <c r="O446" i="54" s="1"/>
  <c r="M446" i="54" a="1"/>
  <c r="M446" i="54" s="1"/>
  <c r="L446" i="54" a="1"/>
  <c r="L446" i="54" s="1"/>
  <c r="K446" i="54" a="1"/>
  <c r="K446" i="54" s="1"/>
  <c r="J446" i="54" a="1"/>
  <c r="J446" i="54" s="1"/>
  <c r="I446" i="54" a="1"/>
  <c r="I446" i="54" s="1"/>
  <c r="H446" i="54" a="1"/>
  <c r="H446" i="54" s="1"/>
  <c r="G446" i="54" a="1"/>
  <c r="G446" i="54" s="1"/>
  <c r="F446" i="54" a="1"/>
  <c r="F446" i="54" s="1"/>
  <c r="E446" i="54" a="1"/>
  <c r="E446" i="54" s="1"/>
  <c r="D446" i="54" a="1"/>
  <c r="D446" i="54" s="1"/>
  <c r="C446" i="54" a="1"/>
  <c r="C446" i="54" s="1"/>
  <c r="A446" i="54" a="1"/>
  <c r="A446" i="54" s="1"/>
  <c r="N445" i="54" a="1"/>
  <c r="N445" i="54" s="1"/>
  <c r="O445" i="54" s="1"/>
  <c r="M445" i="54" a="1"/>
  <c r="M445" i="54" s="1"/>
  <c r="L445" i="54" a="1"/>
  <c r="L445" i="54" s="1"/>
  <c r="K445" i="54" a="1"/>
  <c r="K445" i="54" s="1"/>
  <c r="J445" i="54" a="1"/>
  <c r="J445" i="54" s="1"/>
  <c r="I445" i="54" a="1"/>
  <c r="I445" i="54" s="1"/>
  <c r="H445" i="54" a="1"/>
  <c r="H445" i="54" s="1"/>
  <c r="G445" i="54" a="1"/>
  <c r="G445" i="54" s="1"/>
  <c r="F445" i="54" a="1"/>
  <c r="F445" i="54" s="1"/>
  <c r="E445" i="54" a="1"/>
  <c r="E445" i="54" s="1"/>
  <c r="D445" i="54" a="1"/>
  <c r="D445" i="54" s="1"/>
  <c r="C445" i="54" a="1"/>
  <c r="C445" i="54" s="1"/>
  <c r="A445" i="54" a="1"/>
  <c r="A445" i="54" s="1"/>
  <c r="N444" i="54" a="1"/>
  <c r="N444" i="54" s="1"/>
  <c r="O444" i="54" s="1"/>
  <c r="M444" i="54" a="1"/>
  <c r="M444" i="54" s="1"/>
  <c r="L444" i="54" a="1"/>
  <c r="L444" i="54" s="1"/>
  <c r="K444" i="54" a="1"/>
  <c r="K444" i="54" s="1"/>
  <c r="J444" i="54" a="1"/>
  <c r="J444" i="54" s="1"/>
  <c r="I444" i="54" a="1"/>
  <c r="I444" i="54" s="1"/>
  <c r="H444" i="54" a="1"/>
  <c r="H444" i="54" s="1"/>
  <c r="G444" i="54" a="1"/>
  <c r="G444" i="54" s="1"/>
  <c r="F444" i="54" a="1"/>
  <c r="F444" i="54" s="1"/>
  <c r="E444" i="54" a="1"/>
  <c r="E444" i="54" s="1"/>
  <c r="D444" i="54" a="1"/>
  <c r="D444" i="54" s="1"/>
  <c r="C444" i="54" a="1"/>
  <c r="C444" i="54" s="1"/>
  <c r="A444" i="54" a="1"/>
  <c r="A444" i="54" s="1"/>
  <c r="N443" i="54" a="1"/>
  <c r="N443" i="54" s="1"/>
  <c r="O443" i="54" s="1"/>
  <c r="M443" i="54" a="1"/>
  <c r="M443" i="54" s="1"/>
  <c r="L443" i="54" a="1"/>
  <c r="L443" i="54" s="1"/>
  <c r="K443" i="54" a="1"/>
  <c r="K443" i="54" s="1"/>
  <c r="J443" i="54" a="1"/>
  <c r="J443" i="54" s="1"/>
  <c r="I443" i="54" a="1"/>
  <c r="I443" i="54" s="1"/>
  <c r="H443" i="54" a="1"/>
  <c r="H443" i="54" s="1"/>
  <c r="G443" i="54" a="1"/>
  <c r="G443" i="54" s="1"/>
  <c r="F443" i="54" a="1"/>
  <c r="F443" i="54" s="1"/>
  <c r="E443" i="54" a="1"/>
  <c r="E443" i="54" s="1"/>
  <c r="D443" i="54" a="1"/>
  <c r="D443" i="54" s="1"/>
  <c r="C443" i="54" a="1"/>
  <c r="C443" i="54" s="1"/>
  <c r="A443" i="54" a="1"/>
  <c r="A443" i="54" s="1"/>
  <c r="N442" i="54" a="1"/>
  <c r="N442" i="54" s="1"/>
  <c r="O442" i="54" s="1"/>
  <c r="M442" i="54" a="1"/>
  <c r="M442" i="54" s="1"/>
  <c r="L442" i="54" a="1"/>
  <c r="L442" i="54" s="1"/>
  <c r="K442" i="54" a="1"/>
  <c r="K442" i="54" s="1"/>
  <c r="J442" i="54" a="1"/>
  <c r="J442" i="54" s="1"/>
  <c r="I442" i="54" a="1"/>
  <c r="I442" i="54" s="1"/>
  <c r="H442" i="54" a="1"/>
  <c r="H442" i="54" s="1"/>
  <c r="G442" i="54" a="1"/>
  <c r="G442" i="54" s="1"/>
  <c r="F442" i="54" a="1"/>
  <c r="F442" i="54" s="1"/>
  <c r="E442" i="54" a="1"/>
  <c r="E442" i="54" s="1"/>
  <c r="D442" i="54" a="1"/>
  <c r="D442" i="54" s="1"/>
  <c r="C442" i="54" a="1"/>
  <c r="C442" i="54" s="1"/>
  <c r="A442" i="54" a="1"/>
  <c r="A442" i="54" s="1"/>
  <c r="N441" i="54" a="1"/>
  <c r="N441" i="54" s="1"/>
  <c r="O441" i="54" s="1"/>
  <c r="M441" i="54" a="1"/>
  <c r="M441" i="54" s="1"/>
  <c r="L441" i="54" a="1"/>
  <c r="L441" i="54" s="1"/>
  <c r="K441" i="54" a="1"/>
  <c r="K441" i="54" s="1"/>
  <c r="J441" i="54" a="1"/>
  <c r="J441" i="54" s="1"/>
  <c r="I441" i="54" a="1"/>
  <c r="I441" i="54" s="1"/>
  <c r="H441" i="54" a="1"/>
  <c r="H441" i="54" s="1"/>
  <c r="G441" i="54" a="1"/>
  <c r="G441" i="54" s="1"/>
  <c r="F441" i="54" a="1"/>
  <c r="F441" i="54" s="1"/>
  <c r="E441" i="54" a="1"/>
  <c r="E441" i="54" s="1"/>
  <c r="D441" i="54" a="1"/>
  <c r="D441" i="54" s="1"/>
  <c r="C441" i="54" a="1"/>
  <c r="C441" i="54" s="1"/>
  <c r="A441" i="54" a="1"/>
  <c r="A441" i="54" s="1"/>
  <c r="N440" i="54" a="1"/>
  <c r="N440" i="54" s="1"/>
  <c r="O440" i="54" s="1"/>
  <c r="M440" i="54" a="1"/>
  <c r="M440" i="54" s="1"/>
  <c r="L440" i="54" a="1"/>
  <c r="L440" i="54" s="1"/>
  <c r="K440" i="54" a="1"/>
  <c r="K440" i="54" s="1"/>
  <c r="J440" i="54" a="1"/>
  <c r="J440" i="54" s="1"/>
  <c r="I440" i="54" a="1"/>
  <c r="I440" i="54" s="1"/>
  <c r="H440" i="54" a="1"/>
  <c r="H440" i="54" s="1"/>
  <c r="G440" i="54" a="1"/>
  <c r="G440" i="54" s="1"/>
  <c r="F440" i="54" a="1"/>
  <c r="F440" i="54" s="1"/>
  <c r="E440" i="54" a="1"/>
  <c r="E440" i="54" s="1"/>
  <c r="D440" i="54" a="1"/>
  <c r="D440" i="54" s="1"/>
  <c r="C440" i="54" a="1"/>
  <c r="C440" i="54" s="1"/>
  <c r="A440" i="54" a="1"/>
  <c r="A440" i="54" s="1"/>
  <c r="N439" i="54" a="1"/>
  <c r="N439" i="54" s="1"/>
  <c r="O439" i="54" s="1"/>
  <c r="M439" i="54" a="1"/>
  <c r="M439" i="54" s="1"/>
  <c r="L439" i="54" a="1"/>
  <c r="L439" i="54" s="1"/>
  <c r="K439" i="54" a="1"/>
  <c r="K439" i="54" s="1"/>
  <c r="J439" i="54" a="1"/>
  <c r="J439" i="54" s="1"/>
  <c r="I439" i="54" a="1"/>
  <c r="I439" i="54" s="1"/>
  <c r="H439" i="54" a="1"/>
  <c r="H439" i="54" s="1"/>
  <c r="G439" i="54" a="1"/>
  <c r="G439" i="54" s="1"/>
  <c r="F439" i="54" a="1"/>
  <c r="F439" i="54" s="1"/>
  <c r="E439" i="54" a="1"/>
  <c r="E439" i="54" s="1"/>
  <c r="D439" i="54" a="1"/>
  <c r="D439" i="54" s="1"/>
  <c r="C439" i="54" a="1"/>
  <c r="C439" i="54" s="1"/>
  <c r="A439" i="54" a="1"/>
  <c r="A439" i="54" s="1"/>
  <c r="N438" i="54" a="1"/>
  <c r="N438" i="54" s="1"/>
  <c r="O438" i="54" s="1"/>
  <c r="M438" i="54" a="1"/>
  <c r="M438" i="54" s="1"/>
  <c r="L438" i="54" a="1"/>
  <c r="L438" i="54" s="1"/>
  <c r="K438" i="54" a="1"/>
  <c r="K438" i="54" s="1"/>
  <c r="J438" i="54" a="1"/>
  <c r="J438" i="54" s="1"/>
  <c r="I438" i="54" a="1"/>
  <c r="I438" i="54" s="1"/>
  <c r="H438" i="54" a="1"/>
  <c r="H438" i="54" s="1"/>
  <c r="G438" i="54" a="1"/>
  <c r="G438" i="54" s="1"/>
  <c r="F438" i="54" a="1"/>
  <c r="F438" i="54" s="1"/>
  <c r="E438" i="54" a="1"/>
  <c r="E438" i="54" s="1"/>
  <c r="D438" i="54" a="1"/>
  <c r="D438" i="54" s="1"/>
  <c r="C438" i="54" a="1"/>
  <c r="C438" i="54" s="1"/>
  <c r="A438" i="54" a="1"/>
  <c r="A438" i="54" s="1"/>
  <c r="N437" i="54" a="1"/>
  <c r="N437" i="54" s="1"/>
  <c r="O437" i="54" s="1"/>
  <c r="M437" i="54" a="1"/>
  <c r="M437" i="54" s="1"/>
  <c r="L437" i="54" a="1"/>
  <c r="L437" i="54" s="1"/>
  <c r="K437" i="54" a="1"/>
  <c r="K437" i="54" s="1"/>
  <c r="J437" i="54" a="1"/>
  <c r="J437" i="54" s="1"/>
  <c r="I437" i="54" a="1"/>
  <c r="I437" i="54" s="1"/>
  <c r="H437" i="54" a="1"/>
  <c r="H437" i="54" s="1"/>
  <c r="G437" i="54" a="1"/>
  <c r="G437" i="54" s="1"/>
  <c r="F437" i="54" a="1"/>
  <c r="F437" i="54" s="1"/>
  <c r="E437" i="54" a="1"/>
  <c r="E437" i="54" s="1"/>
  <c r="D437" i="54" a="1"/>
  <c r="D437" i="54" s="1"/>
  <c r="C437" i="54" a="1"/>
  <c r="C437" i="54" s="1"/>
  <c r="A437" i="54" a="1"/>
  <c r="A437" i="54" s="1"/>
  <c r="N436" i="54" a="1"/>
  <c r="N436" i="54" s="1"/>
  <c r="O436" i="54" s="1"/>
  <c r="M436" i="54" a="1"/>
  <c r="M436" i="54" s="1"/>
  <c r="L436" i="54" a="1"/>
  <c r="L436" i="54" s="1"/>
  <c r="K436" i="54" a="1"/>
  <c r="K436" i="54" s="1"/>
  <c r="J436" i="54" a="1"/>
  <c r="J436" i="54" s="1"/>
  <c r="I436" i="54" a="1"/>
  <c r="I436" i="54" s="1"/>
  <c r="H436" i="54" a="1"/>
  <c r="H436" i="54" s="1"/>
  <c r="G436" i="54" a="1"/>
  <c r="G436" i="54" s="1"/>
  <c r="F436" i="54" a="1"/>
  <c r="F436" i="54" s="1"/>
  <c r="E436" i="54" a="1"/>
  <c r="E436" i="54" s="1"/>
  <c r="D436" i="54" a="1"/>
  <c r="D436" i="54" s="1"/>
  <c r="C436" i="54" a="1"/>
  <c r="C436" i="54" s="1"/>
  <c r="A436" i="54" a="1"/>
  <c r="A436" i="54" s="1"/>
  <c r="N435" i="54" a="1"/>
  <c r="N435" i="54" s="1"/>
  <c r="O435" i="54" s="1"/>
  <c r="M435" i="54" a="1"/>
  <c r="M435" i="54" s="1"/>
  <c r="L435" i="54" a="1"/>
  <c r="L435" i="54" s="1"/>
  <c r="K435" i="54" a="1"/>
  <c r="K435" i="54" s="1"/>
  <c r="J435" i="54" a="1"/>
  <c r="J435" i="54" s="1"/>
  <c r="I435" i="54" a="1"/>
  <c r="I435" i="54" s="1"/>
  <c r="H435" i="54" a="1"/>
  <c r="H435" i="54" s="1"/>
  <c r="G435" i="54" a="1"/>
  <c r="G435" i="54" s="1"/>
  <c r="F435" i="54" a="1"/>
  <c r="F435" i="54" s="1"/>
  <c r="E435" i="54" a="1"/>
  <c r="E435" i="54" s="1"/>
  <c r="D435" i="54" a="1"/>
  <c r="D435" i="54" s="1"/>
  <c r="C435" i="54" a="1"/>
  <c r="C435" i="54" s="1"/>
  <c r="A435" i="54" a="1"/>
  <c r="A435" i="54" s="1"/>
  <c r="N434" i="54" a="1"/>
  <c r="N434" i="54" s="1"/>
  <c r="O434" i="54" s="1"/>
  <c r="M434" i="54" a="1"/>
  <c r="M434" i="54" s="1"/>
  <c r="L434" i="54" a="1"/>
  <c r="L434" i="54" s="1"/>
  <c r="K434" i="54" a="1"/>
  <c r="K434" i="54" s="1"/>
  <c r="J434" i="54" a="1"/>
  <c r="J434" i="54" s="1"/>
  <c r="I434" i="54" a="1"/>
  <c r="I434" i="54" s="1"/>
  <c r="H434" i="54" a="1"/>
  <c r="H434" i="54" s="1"/>
  <c r="G434" i="54" a="1"/>
  <c r="G434" i="54" s="1"/>
  <c r="F434" i="54" a="1"/>
  <c r="F434" i="54" s="1"/>
  <c r="E434" i="54" a="1"/>
  <c r="E434" i="54" s="1"/>
  <c r="D434" i="54" a="1"/>
  <c r="D434" i="54" s="1"/>
  <c r="C434" i="54" a="1"/>
  <c r="C434" i="54" s="1"/>
  <c r="A434" i="54" a="1"/>
  <c r="A434" i="54" s="1"/>
  <c r="N433" i="54" a="1"/>
  <c r="N433" i="54" s="1"/>
  <c r="O433" i="54" s="1"/>
  <c r="M433" i="54" a="1"/>
  <c r="M433" i="54" s="1"/>
  <c r="L433" i="54" a="1"/>
  <c r="L433" i="54" s="1"/>
  <c r="K433" i="54" a="1"/>
  <c r="K433" i="54" s="1"/>
  <c r="J433" i="54" a="1"/>
  <c r="J433" i="54" s="1"/>
  <c r="I433" i="54" a="1"/>
  <c r="I433" i="54" s="1"/>
  <c r="H433" i="54" a="1"/>
  <c r="H433" i="54" s="1"/>
  <c r="G433" i="54" a="1"/>
  <c r="G433" i="54" s="1"/>
  <c r="F433" i="54" a="1"/>
  <c r="F433" i="54" s="1"/>
  <c r="E433" i="54" a="1"/>
  <c r="E433" i="54" s="1"/>
  <c r="D433" i="54" a="1"/>
  <c r="D433" i="54" s="1"/>
  <c r="C433" i="54" a="1"/>
  <c r="C433" i="54" s="1"/>
  <c r="A433" i="54" a="1"/>
  <c r="A433" i="54" s="1"/>
  <c r="N432" i="54" a="1"/>
  <c r="N432" i="54" s="1"/>
  <c r="O432" i="54" s="1"/>
  <c r="M432" i="54" a="1"/>
  <c r="M432" i="54" s="1"/>
  <c r="L432" i="54" a="1"/>
  <c r="L432" i="54" s="1"/>
  <c r="K432" i="54" a="1"/>
  <c r="K432" i="54" s="1"/>
  <c r="J432" i="54" a="1"/>
  <c r="J432" i="54" s="1"/>
  <c r="I432" i="54" a="1"/>
  <c r="I432" i="54" s="1"/>
  <c r="H432" i="54" a="1"/>
  <c r="H432" i="54" s="1"/>
  <c r="G432" i="54" a="1"/>
  <c r="G432" i="54" s="1"/>
  <c r="F432" i="54" a="1"/>
  <c r="F432" i="54" s="1"/>
  <c r="E432" i="54" a="1"/>
  <c r="E432" i="54" s="1"/>
  <c r="D432" i="54" a="1"/>
  <c r="D432" i="54" s="1"/>
  <c r="C432" i="54" a="1"/>
  <c r="C432" i="54" s="1"/>
  <c r="A432" i="54" a="1"/>
  <c r="A432" i="54" s="1"/>
  <c r="N431" i="54" a="1"/>
  <c r="N431" i="54" s="1"/>
  <c r="O431" i="54" s="1"/>
  <c r="M431" i="54" a="1"/>
  <c r="M431" i="54" s="1"/>
  <c r="L431" i="54" a="1"/>
  <c r="L431" i="54" s="1"/>
  <c r="K431" i="54" a="1"/>
  <c r="K431" i="54" s="1"/>
  <c r="J431" i="54" a="1"/>
  <c r="J431" i="54" s="1"/>
  <c r="I431" i="54" a="1"/>
  <c r="I431" i="54" s="1"/>
  <c r="H431" i="54" a="1"/>
  <c r="H431" i="54" s="1"/>
  <c r="G431" i="54" a="1"/>
  <c r="G431" i="54" s="1"/>
  <c r="F431" i="54" a="1"/>
  <c r="F431" i="54" s="1"/>
  <c r="E431" i="54" a="1"/>
  <c r="E431" i="54" s="1"/>
  <c r="D431" i="54" a="1"/>
  <c r="D431" i="54" s="1"/>
  <c r="C431" i="54" a="1"/>
  <c r="C431" i="54" s="1"/>
  <c r="A431" i="54" a="1"/>
  <c r="A431" i="54" s="1"/>
  <c r="N430" i="54" a="1"/>
  <c r="N430" i="54" s="1"/>
  <c r="O430" i="54" s="1"/>
  <c r="M430" i="54" a="1"/>
  <c r="M430" i="54" s="1"/>
  <c r="L430" i="54" a="1"/>
  <c r="L430" i="54" s="1"/>
  <c r="K430" i="54" a="1"/>
  <c r="K430" i="54" s="1"/>
  <c r="J430" i="54" a="1"/>
  <c r="J430" i="54" s="1"/>
  <c r="I430" i="54" a="1"/>
  <c r="I430" i="54" s="1"/>
  <c r="H430" i="54" a="1"/>
  <c r="H430" i="54" s="1"/>
  <c r="G430" i="54" a="1"/>
  <c r="G430" i="54" s="1"/>
  <c r="F430" i="54" a="1"/>
  <c r="F430" i="54" s="1"/>
  <c r="E430" i="54" a="1"/>
  <c r="E430" i="54" s="1"/>
  <c r="D430" i="54" a="1"/>
  <c r="D430" i="54" s="1"/>
  <c r="C430" i="54" a="1"/>
  <c r="C430" i="54" s="1"/>
  <c r="A430" i="54" a="1"/>
  <c r="A430" i="54" s="1"/>
  <c r="N429" i="54" a="1"/>
  <c r="N429" i="54" s="1"/>
  <c r="O429" i="54" s="1"/>
  <c r="M429" i="54" a="1"/>
  <c r="M429" i="54" s="1"/>
  <c r="L429" i="54" a="1"/>
  <c r="L429" i="54" s="1"/>
  <c r="K429" i="54" a="1"/>
  <c r="K429" i="54" s="1"/>
  <c r="J429" i="54" a="1"/>
  <c r="J429" i="54" s="1"/>
  <c r="I429" i="54" a="1"/>
  <c r="I429" i="54" s="1"/>
  <c r="H429" i="54" a="1"/>
  <c r="H429" i="54" s="1"/>
  <c r="G429" i="54" a="1"/>
  <c r="G429" i="54" s="1"/>
  <c r="F429" i="54" a="1"/>
  <c r="F429" i="54" s="1"/>
  <c r="E429" i="54" a="1"/>
  <c r="E429" i="54" s="1"/>
  <c r="D429" i="54" a="1"/>
  <c r="D429" i="54" s="1"/>
  <c r="C429" i="54" a="1"/>
  <c r="C429" i="54" s="1"/>
  <c r="A429" i="54" a="1"/>
  <c r="A429" i="54" s="1"/>
  <c r="N428" i="54" a="1"/>
  <c r="N428" i="54" s="1"/>
  <c r="O428" i="54" s="1"/>
  <c r="M428" i="54" a="1"/>
  <c r="M428" i="54" s="1"/>
  <c r="L428" i="54" a="1"/>
  <c r="L428" i="54" s="1"/>
  <c r="K428" i="54" a="1"/>
  <c r="K428" i="54" s="1"/>
  <c r="J428" i="54" a="1"/>
  <c r="J428" i="54" s="1"/>
  <c r="I428" i="54" a="1"/>
  <c r="I428" i="54" s="1"/>
  <c r="H428" i="54" a="1"/>
  <c r="H428" i="54" s="1"/>
  <c r="G428" i="54" a="1"/>
  <c r="G428" i="54" s="1"/>
  <c r="F428" i="54" a="1"/>
  <c r="F428" i="54" s="1"/>
  <c r="E428" i="54" a="1"/>
  <c r="E428" i="54" s="1"/>
  <c r="D428" i="54" a="1"/>
  <c r="D428" i="54" s="1"/>
  <c r="C428" i="54" a="1"/>
  <c r="C428" i="54" s="1"/>
  <c r="A428" i="54" a="1"/>
  <c r="A428" i="54" s="1"/>
  <c r="N427" i="54" a="1"/>
  <c r="N427" i="54" s="1"/>
  <c r="O427" i="54" s="1"/>
  <c r="M427" i="54" a="1"/>
  <c r="M427" i="54" s="1"/>
  <c r="L427" i="54" a="1"/>
  <c r="L427" i="54" s="1"/>
  <c r="K427" i="54" a="1"/>
  <c r="K427" i="54" s="1"/>
  <c r="J427" i="54" a="1"/>
  <c r="J427" i="54" s="1"/>
  <c r="I427" i="54" a="1"/>
  <c r="I427" i="54" s="1"/>
  <c r="H427" i="54" a="1"/>
  <c r="H427" i="54" s="1"/>
  <c r="G427" i="54" a="1"/>
  <c r="G427" i="54" s="1"/>
  <c r="F427" i="54" a="1"/>
  <c r="F427" i="54" s="1"/>
  <c r="E427" i="54" a="1"/>
  <c r="E427" i="54" s="1"/>
  <c r="D427" i="54" a="1"/>
  <c r="D427" i="54" s="1"/>
  <c r="C427" i="54" a="1"/>
  <c r="C427" i="54" s="1"/>
  <c r="A427" i="54" a="1"/>
  <c r="A427" i="54" s="1"/>
  <c r="N426" i="54" a="1"/>
  <c r="N426" i="54" s="1"/>
  <c r="O426" i="54" s="1"/>
  <c r="M426" i="54" a="1"/>
  <c r="M426" i="54" s="1"/>
  <c r="L426" i="54" a="1"/>
  <c r="L426" i="54" s="1"/>
  <c r="K426" i="54" a="1"/>
  <c r="K426" i="54" s="1"/>
  <c r="J426" i="54" a="1"/>
  <c r="J426" i="54" s="1"/>
  <c r="I426" i="54" a="1"/>
  <c r="I426" i="54" s="1"/>
  <c r="H426" i="54" a="1"/>
  <c r="H426" i="54" s="1"/>
  <c r="G426" i="54" a="1"/>
  <c r="G426" i="54" s="1"/>
  <c r="F426" i="54" a="1"/>
  <c r="F426" i="54" s="1"/>
  <c r="E426" i="54" a="1"/>
  <c r="E426" i="54" s="1"/>
  <c r="D426" i="54" a="1"/>
  <c r="D426" i="54" s="1"/>
  <c r="C426" i="54" a="1"/>
  <c r="C426" i="54" s="1"/>
  <c r="A426" i="54" a="1"/>
  <c r="A426" i="54" s="1"/>
  <c r="N425" i="54" a="1"/>
  <c r="N425" i="54" s="1"/>
  <c r="O425" i="54" s="1"/>
  <c r="M425" i="54" a="1"/>
  <c r="M425" i="54" s="1"/>
  <c r="L425" i="54" a="1"/>
  <c r="L425" i="54" s="1"/>
  <c r="K425" i="54" a="1"/>
  <c r="K425" i="54" s="1"/>
  <c r="J425" i="54" a="1"/>
  <c r="J425" i="54" s="1"/>
  <c r="I425" i="54" a="1"/>
  <c r="I425" i="54" s="1"/>
  <c r="H425" i="54" a="1"/>
  <c r="H425" i="54" s="1"/>
  <c r="G425" i="54" a="1"/>
  <c r="G425" i="54" s="1"/>
  <c r="F425" i="54" a="1"/>
  <c r="F425" i="54" s="1"/>
  <c r="E425" i="54" a="1"/>
  <c r="E425" i="54" s="1"/>
  <c r="D425" i="54" a="1"/>
  <c r="D425" i="54" s="1"/>
  <c r="C425" i="54" a="1"/>
  <c r="C425" i="54" s="1"/>
  <c r="A425" i="54" a="1"/>
  <c r="A425" i="54" s="1"/>
  <c r="N424" i="54" a="1"/>
  <c r="N424" i="54" s="1"/>
  <c r="O424" i="54" s="1"/>
  <c r="M424" i="54" a="1"/>
  <c r="M424" i="54" s="1"/>
  <c r="L424" i="54" a="1"/>
  <c r="L424" i="54" s="1"/>
  <c r="K424" i="54" a="1"/>
  <c r="K424" i="54" s="1"/>
  <c r="J424" i="54" a="1"/>
  <c r="J424" i="54" s="1"/>
  <c r="I424" i="54" a="1"/>
  <c r="I424" i="54" s="1"/>
  <c r="H424" i="54" a="1"/>
  <c r="H424" i="54" s="1"/>
  <c r="G424" i="54" a="1"/>
  <c r="G424" i="54" s="1"/>
  <c r="F424" i="54" a="1"/>
  <c r="F424" i="54" s="1"/>
  <c r="E424" i="54" a="1"/>
  <c r="E424" i="54" s="1"/>
  <c r="D424" i="54" a="1"/>
  <c r="D424" i="54" s="1"/>
  <c r="C424" i="54" a="1"/>
  <c r="C424" i="54" s="1"/>
  <c r="A424" i="54" a="1"/>
  <c r="A424" i="54" s="1"/>
  <c r="N423" i="54" a="1"/>
  <c r="N423" i="54" s="1"/>
  <c r="O423" i="54" s="1"/>
  <c r="M423" i="54" a="1"/>
  <c r="M423" i="54" s="1"/>
  <c r="L423" i="54" a="1"/>
  <c r="L423" i="54" s="1"/>
  <c r="K423" i="54" a="1"/>
  <c r="K423" i="54" s="1"/>
  <c r="J423" i="54" a="1"/>
  <c r="J423" i="54" s="1"/>
  <c r="I423" i="54" a="1"/>
  <c r="I423" i="54" s="1"/>
  <c r="H423" i="54" a="1"/>
  <c r="H423" i="54" s="1"/>
  <c r="G423" i="54" a="1"/>
  <c r="G423" i="54" s="1"/>
  <c r="F423" i="54" a="1"/>
  <c r="F423" i="54" s="1"/>
  <c r="E423" i="54" a="1"/>
  <c r="E423" i="54" s="1"/>
  <c r="D423" i="54" a="1"/>
  <c r="D423" i="54" s="1"/>
  <c r="C423" i="54" a="1"/>
  <c r="C423" i="54" s="1"/>
  <c r="A423" i="54" a="1"/>
  <c r="A423" i="54" s="1"/>
  <c r="N422" i="54" a="1"/>
  <c r="N422" i="54" s="1"/>
  <c r="O422" i="54" s="1"/>
  <c r="M422" i="54" a="1"/>
  <c r="M422" i="54" s="1"/>
  <c r="L422" i="54" a="1"/>
  <c r="L422" i="54" s="1"/>
  <c r="K422" i="54" a="1"/>
  <c r="K422" i="54" s="1"/>
  <c r="J422" i="54" a="1"/>
  <c r="J422" i="54" s="1"/>
  <c r="I422" i="54" a="1"/>
  <c r="I422" i="54" s="1"/>
  <c r="H422" i="54" a="1"/>
  <c r="H422" i="54" s="1"/>
  <c r="G422" i="54" a="1"/>
  <c r="G422" i="54" s="1"/>
  <c r="F422" i="54" a="1"/>
  <c r="F422" i="54" s="1"/>
  <c r="E422" i="54" a="1"/>
  <c r="E422" i="54" s="1"/>
  <c r="D422" i="54" a="1"/>
  <c r="D422" i="54" s="1"/>
  <c r="C422" i="54" a="1"/>
  <c r="C422" i="54" s="1"/>
  <c r="A422" i="54" a="1"/>
  <c r="A422" i="54" s="1"/>
  <c r="N421" i="54" a="1"/>
  <c r="N421" i="54" s="1"/>
  <c r="O421" i="54" s="1"/>
  <c r="M421" i="54" a="1"/>
  <c r="M421" i="54" s="1"/>
  <c r="L421" i="54" a="1"/>
  <c r="L421" i="54" s="1"/>
  <c r="K421" i="54" a="1"/>
  <c r="K421" i="54" s="1"/>
  <c r="J421" i="54" a="1"/>
  <c r="J421" i="54" s="1"/>
  <c r="I421" i="54" a="1"/>
  <c r="I421" i="54" s="1"/>
  <c r="H421" i="54" a="1"/>
  <c r="H421" i="54" s="1"/>
  <c r="G421" i="54" a="1"/>
  <c r="G421" i="54" s="1"/>
  <c r="F421" i="54" a="1"/>
  <c r="F421" i="54" s="1"/>
  <c r="E421" i="54" a="1"/>
  <c r="E421" i="54" s="1"/>
  <c r="D421" i="54" a="1"/>
  <c r="D421" i="54" s="1"/>
  <c r="C421" i="54" a="1"/>
  <c r="C421" i="54" s="1"/>
  <c r="A421" i="54" a="1"/>
  <c r="A421" i="54" s="1"/>
  <c r="N420" i="54" a="1"/>
  <c r="N420" i="54" s="1"/>
  <c r="O420" i="54" s="1"/>
  <c r="M420" i="54" a="1"/>
  <c r="M420" i="54" s="1"/>
  <c r="L420" i="54" a="1"/>
  <c r="L420" i="54" s="1"/>
  <c r="K420" i="54" a="1"/>
  <c r="K420" i="54" s="1"/>
  <c r="J420" i="54" a="1"/>
  <c r="J420" i="54" s="1"/>
  <c r="I420" i="54" a="1"/>
  <c r="I420" i="54" s="1"/>
  <c r="H420" i="54" a="1"/>
  <c r="H420" i="54" s="1"/>
  <c r="G420" i="54" a="1"/>
  <c r="G420" i="54" s="1"/>
  <c r="F420" i="54" a="1"/>
  <c r="F420" i="54" s="1"/>
  <c r="E420" i="54" a="1"/>
  <c r="E420" i="54" s="1"/>
  <c r="D420" i="54" a="1"/>
  <c r="D420" i="54" s="1"/>
  <c r="C420" i="54" a="1"/>
  <c r="C420" i="54" s="1"/>
  <c r="A420" i="54" a="1"/>
  <c r="A420" i="54" s="1"/>
  <c r="N419" i="54" a="1"/>
  <c r="N419" i="54" s="1"/>
  <c r="O419" i="54" s="1"/>
  <c r="M419" i="54" a="1"/>
  <c r="M419" i="54" s="1"/>
  <c r="L419" i="54" a="1"/>
  <c r="L419" i="54" s="1"/>
  <c r="K419" i="54" a="1"/>
  <c r="K419" i="54" s="1"/>
  <c r="J419" i="54" a="1"/>
  <c r="J419" i="54" s="1"/>
  <c r="I419" i="54" a="1"/>
  <c r="I419" i="54" s="1"/>
  <c r="H419" i="54" a="1"/>
  <c r="H419" i="54" s="1"/>
  <c r="G419" i="54" a="1"/>
  <c r="G419" i="54" s="1"/>
  <c r="F419" i="54" a="1"/>
  <c r="F419" i="54" s="1"/>
  <c r="E419" i="54" a="1"/>
  <c r="E419" i="54" s="1"/>
  <c r="D419" i="54" a="1"/>
  <c r="D419" i="54" s="1"/>
  <c r="C419" i="54" a="1"/>
  <c r="C419" i="54" s="1"/>
  <c r="A419" i="54" a="1"/>
  <c r="A419" i="54" s="1"/>
  <c r="N418" i="54" a="1"/>
  <c r="N418" i="54" s="1"/>
  <c r="O418" i="54" s="1"/>
  <c r="M418" i="54" a="1"/>
  <c r="M418" i="54" s="1"/>
  <c r="L418" i="54" a="1"/>
  <c r="L418" i="54" s="1"/>
  <c r="K418" i="54" a="1"/>
  <c r="K418" i="54" s="1"/>
  <c r="J418" i="54" a="1"/>
  <c r="J418" i="54" s="1"/>
  <c r="I418" i="54" a="1"/>
  <c r="I418" i="54" s="1"/>
  <c r="H418" i="54" a="1"/>
  <c r="H418" i="54" s="1"/>
  <c r="G418" i="54" a="1"/>
  <c r="G418" i="54" s="1"/>
  <c r="F418" i="54" a="1"/>
  <c r="F418" i="54" s="1"/>
  <c r="E418" i="54" a="1"/>
  <c r="E418" i="54" s="1"/>
  <c r="D418" i="54" a="1"/>
  <c r="D418" i="54" s="1"/>
  <c r="C418" i="54" a="1"/>
  <c r="C418" i="54" s="1"/>
  <c r="A418" i="54" a="1"/>
  <c r="A418" i="54" s="1"/>
  <c r="N417" i="54" a="1"/>
  <c r="N417" i="54" s="1"/>
  <c r="O417" i="54" s="1"/>
  <c r="M417" i="54" a="1"/>
  <c r="M417" i="54" s="1"/>
  <c r="L417" i="54" a="1"/>
  <c r="L417" i="54" s="1"/>
  <c r="K417" i="54" a="1"/>
  <c r="K417" i="54" s="1"/>
  <c r="J417" i="54" a="1"/>
  <c r="J417" i="54" s="1"/>
  <c r="I417" i="54" a="1"/>
  <c r="I417" i="54" s="1"/>
  <c r="H417" i="54" a="1"/>
  <c r="H417" i="54" s="1"/>
  <c r="G417" i="54" a="1"/>
  <c r="G417" i="54" s="1"/>
  <c r="F417" i="54" a="1"/>
  <c r="F417" i="54" s="1"/>
  <c r="E417" i="54" a="1"/>
  <c r="E417" i="54" s="1"/>
  <c r="D417" i="54" a="1"/>
  <c r="D417" i="54" s="1"/>
  <c r="C417" i="54" a="1"/>
  <c r="C417" i="54" s="1"/>
  <c r="A417" i="54" a="1"/>
  <c r="A417" i="54" s="1"/>
  <c r="N416" i="54" a="1"/>
  <c r="N416" i="54" s="1"/>
  <c r="O416" i="54" s="1"/>
  <c r="M416" i="54" a="1"/>
  <c r="M416" i="54" s="1"/>
  <c r="L416" i="54" a="1"/>
  <c r="L416" i="54" s="1"/>
  <c r="K416" i="54" a="1"/>
  <c r="K416" i="54" s="1"/>
  <c r="J416" i="54" a="1"/>
  <c r="J416" i="54" s="1"/>
  <c r="I416" i="54" a="1"/>
  <c r="I416" i="54" s="1"/>
  <c r="H416" i="54" a="1"/>
  <c r="H416" i="54" s="1"/>
  <c r="G416" i="54" a="1"/>
  <c r="G416" i="54" s="1"/>
  <c r="F416" i="54" a="1"/>
  <c r="F416" i="54" s="1"/>
  <c r="E416" i="54" a="1"/>
  <c r="E416" i="54" s="1"/>
  <c r="D416" i="54" a="1"/>
  <c r="D416" i="54" s="1"/>
  <c r="C416" i="54" a="1"/>
  <c r="C416" i="54" s="1"/>
  <c r="A416" i="54" a="1"/>
  <c r="A416" i="54" s="1"/>
  <c r="N415" i="54" a="1"/>
  <c r="N415" i="54" s="1"/>
  <c r="O415" i="54" s="1"/>
  <c r="M415" i="54" a="1"/>
  <c r="M415" i="54" s="1"/>
  <c r="L415" i="54" a="1"/>
  <c r="L415" i="54" s="1"/>
  <c r="K415" i="54" a="1"/>
  <c r="K415" i="54" s="1"/>
  <c r="J415" i="54" a="1"/>
  <c r="J415" i="54" s="1"/>
  <c r="I415" i="54" a="1"/>
  <c r="I415" i="54" s="1"/>
  <c r="H415" i="54" a="1"/>
  <c r="H415" i="54" s="1"/>
  <c r="G415" i="54" a="1"/>
  <c r="G415" i="54" s="1"/>
  <c r="F415" i="54" a="1"/>
  <c r="F415" i="54" s="1"/>
  <c r="E415" i="54" a="1"/>
  <c r="E415" i="54" s="1"/>
  <c r="D415" i="54" a="1"/>
  <c r="D415" i="54" s="1"/>
  <c r="C415" i="54" a="1"/>
  <c r="C415" i="54" s="1"/>
  <c r="A415" i="54" a="1"/>
  <c r="A415" i="54" s="1"/>
  <c r="N414" i="54" a="1"/>
  <c r="N414" i="54" s="1"/>
  <c r="O414" i="54" s="1"/>
  <c r="M414" i="54" a="1"/>
  <c r="M414" i="54" s="1"/>
  <c r="L414" i="54" a="1"/>
  <c r="L414" i="54" s="1"/>
  <c r="K414" i="54" a="1"/>
  <c r="K414" i="54" s="1"/>
  <c r="J414" i="54" a="1"/>
  <c r="J414" i="54" s="1"/>
  <c r="I414" i="54" a="1"/>
  <c r="I414" i="54" s="1"/>
  <c r="H414" i="54" a="1"/>
  <c r="H414" i="54" s="1"/>
  <c r="G414" i="54" a="1"/>
  <c r="G414" i="54" s="1"/>
  <c r="F414" i="54" a="1"/>
  <c r="F414" i="54" s="1"/>
  <c r="E414" i="54" a="1"/>
  <c r="E414" i="54" s="1"/>
  <c r="D414" i="54" a="1"/>
  <c r="D414" i="54" s="1"/>
  <c r="C414" i="54" a="1"/>
  <c r="C414" i="54" s="1"/>
  <c r="A414" i="54" a="1"/>
  <c r="A414" i="54" s="1"/>
  <c r="N413" i="54" a="1"/>
  <c r="N413" i="54" s="1"/>
  <c r="O413" i="54" s="1"/>
  <c r="M413" i="54" a="1"/>
  <c r="M413" i="54" s="1"/>
  <c r="L413" i="54" a="1"/>
  <c r="L413" i="54" s="1"/>
  <c r="K413" i="54" a="1"/>
  <c r="K413" i="54" s="1"/>
  <c r="J413" i="54" a="1"/>
  <c r="J413" i="54" s="1"/>
  <c r="I413" i="54" a="1"/>
  <c r="I413" i="54" s="1"/>
  <c r="H413" i="54" a="1"/>
  <c r="H413" i="54" s="1"/>
  <c r="G413" i="54" a="1"/>
  <c r="G413" i="54" s="1"/>
  <c r="F413" i="54" a="1"/>
  <c r="F413" i="54" s="1"/>
  <c r="E413" i="54" a="1"/>
  <c r="E413" i="54" s="1"/>
  <c r="D413" i="54" a="1"/>
  <c r="D413" i="54" s="1"/>
  <c r="C413" i="54" a="1"/>
  <c r="C413" i="54" s="1"/>
  <c r="A413" i="54" a="1"/>
  <c r="A413" i="54" s="1"/>
  <c r="N412" i="54" a="1"/>
  <c r="N412" i="54" s="1"/>
  <c r="O412" i="54" s="1"/>
  <c r="M412" i="54" a="1"/>
  <c r="M412" i="54" s="1"/>
  <c r="L412" i="54" a="1"/>
  <c r="L412" i="54" s="1"/>
  <c r="K412" i="54" a="1"/>
  <c r="K412" i="54" s="1"/>
  <c r="J412" i="54" a="1"/>
  <c r="J412" i="54" s="1"/>
  <c r="I412" i="54" a="1"/>
  <c r="I412" i="54" s="1"/>
  <c r="H412" i="54" a="1"/>
  <c r="H412" i="54" s="1"/>
  <c r="G412" i="54" a="1"/>
  <c r="G412" i="54" s="1"/>
  <c r="F412" i="54" a="1"/>
  <c r="F412" i="54" s="1"/>
  <c r="E412" i="54" a="1"/>
  <c r="E412" i="54" s="1"/>
  <c r="D412" i="54" a="1"/>
  <c r="D412" i="54" s="1"/>
  <c r="C412" i="54" a="1"/>
  <c r="C412" i="54" s="1"/>
  <c r="A412" i="54" a="1"/>
  <c r="A412" i="54" s="1"/>
  <c r="N411" i="54" a="1"/>
  <c r="N411" i="54" s="1"/>
  <c r="O411" i="54" s="1"/>
  <c r="M411" i="54" a="1"/>
  <c r="M411" i="54" s="1"/>
  <c r="L411" i="54" a="1"/>
  <c r="L411" i="54" s="1"/>
  <c r="K411" i="54" a="1"/>
  <c r="K411" i="54" s="1"/>
  <c r="J411" i="54" a="1"/>
  <c r="J411" i="54" s="1"/>
  <c r="I411" i="54" a="1"/>
  <c r="I411" i="54" s="1"/>
  <c r="H411" i="54" a="1"/>
  <c r="H411" i="54" s="1"/>
  <c r="G411" i="54" a="1"/>
  <c r="G411" i="54" s="1"/>
  <c r="F411" i="54" a="1"/>
  <c r="F411" i="54" s="1"/>
  <c r="E411" i="54" a="1"/>
  <c r="E411" i="54" s="1"/>
  <c r="D411" i="54" a="1"/>
  <c r="D411" i="54" s="1"/>
  <c r="C411" i="54" a="1"/>
  <c r="C411" i="54" s="1"/>
  <c r="A411" i="54" a="1"/>
  <c r="A411" i="54" s="1"/>
  <c r="N410" i="54" a="1"/>
  <c r="N410" i="54" s="1"/>
  <c r="O410" i="54" s="1"/>
  <c r="M410" i="54" a="1"/>
  <c r="M410" i="54" s="1"/>
  <c r="L410" i="54" a="1"/>
  <c r="L410" i="54" s="1"/>
  <c r="K410" i="54" a="1"/>
  <c r="K410" i="54" s="1"/>
  <c r="J410" i="54" a="1"/>
  <c r="J410" i="54" s="1"/>
  <c r="I410" i="54" a="1"/>
  <c r="I410" i="54" s="1"/>
  <c r="H410" i="54" a="1"/>
  <c r="H410" i="54" s="1"/>
  <c r="G410" i="54" a="1"/>
  <c r="G410" i="54" s="1"/>
  <c r="F410" i="54" a="1"/>
  <c r="F410" i="54" s="1"/>
  <c r="E410" i="54" a="1"/>
  <c r="E410" i="54" s="1"/>
  <c r="D410" i="54" a="1"/>
  <c r="D410" i="54" s="1"/>
  <c r="C410" i="54" a="1"/>
  <c r="C410" i="54" s="1"/>
  <c r="A410" i="54" a="1"/>
  <c r="A410" i="54" s="1"/>
  <c r="N409" i="54" a="1"/>
  <c r="N409" i="54" s="1"/>
  <c r="O409" i="54" s="1"/>
  <c r="M409" i="54" a="1"/>
  <c r="M409" i="54" s="1"/>
  <c r="L409" i="54" a="1"/>
  <c r="L409" i="54" s="1"/>
  <c r="K409" i="54" a="1"/>
  <c r="K409" i="54" s="1"/>
  <c r="J409" i="54" a="1"/>
  <c r="J409" i="54" s="1"/>
  <c r="I409" i="54" a="1"/>
  <c r="I409" i="54" s="1"/>
  <c r="H409" i="54" a="1"/>
  <c r="H409" i="54" s="1"/>
  <c r="G409" i="54" a="1"/>
  <c r="G409" i="54" s="1"/>
  <c r="F409" i="54" a="1"/>
  <c r="F409" i="54" s="1"/>
  <c r="E409" i="54" a="1"/>
  <c r="E409" i="54" s="1"/>
  <c r="D409" i="54" a="1"/>
  <c r="D409" i="54" s="1"/>
  <c r="C409" i="54" a="1"/>
  <c r="C409" i="54" s="1"/>
  <c r="A409" i="54" a="1"/>
  <c r="A409" i="54" s="1"/>
  <c r="N408" i="54" a="1"/>
  <c r="N408" i="54" s="1"/>
  <c r="O408" i="54" s="1"/>
  <c r="M408" i="54" a="1"/>
  <c r="M408" i="54" s="1"/>
  <c r="L408" i="54" a="1"/>
  <c r="L408" i="54" s="1"/>
  <c r="K408" i="54" a="1"/>
  <c r="K408" i="54" s="1"/>
  <c r="J408" i="54" a="1"/>
  <c r="J408" i="54" s="1"/>
  <c r="I408" i="54" a="1"/>
  <c r="I408" i="54" s="1"/>
  <c r="H408" i="54" a="1"/>
  <c r="H408" i="54" s="1"/>
  <c r="G408" i="54" a="1"/>
  <c r="G408" i="54" s="1"/>
  <c r="F408" i="54" a="1"/>
  <c r="F408" i="54" s="1"/>
  <c r="E408" i="54" a="1"/>
  <c r="E408" i="54" s="1"/>
  <c r="D408" i="54" a="1"/>
  <c r="D408" i="54" s="1"/>
  <c r="C408" i="54" a="1"/>
  <c r="C408" i="54" s="1"/>
  <c r="A408" i="54" a="1"/>
  <c r="A408" i="54" s="1"/>
  <c r="N407" i="54" a="1"/>
  <c r="N407" i="54" s="1"/>
  <c r="O407" i="54" s="1"/>
  <c r="M407" i="54" a="1"/>
  <c r="M407" i="54" s="1"/>
  <c r="L407" i="54" a="1"/>
  <c r="L407" i="54" s="1"/>
  <c r="K407" i="54" a="1"/>
  <c r="K407" i="54" s="1"/>
  <c r="J407" i="54" a="1"/>
  <c r="J407" i="54" s="1"/>
  <c r="I407" i="54" a="1"/>
  <c r="I407" i="54" s="1"/>
  <c r="H407" i="54" a="1"/>
  <c r="H407" i="54" s="1"/>
  <c r="G407" i="54" a="1"/>
  <c r="G407" i="54" s="1"/>
  <c r="F407" i="54" a="1"/>
  <c r="F407" i="54" s="1"/>
  <c r="E407" i="54" a="1"/>
  <c r="E407" i="54" s="1"/>
  <c r="D407" i="54" a="1"/>
  <c r="D407" i="54" s="1"/>
  <c r="C407" i="54" a="1"/>
  <c r="C407" i="54" s="1"/>
  <c r="A407" i="54" a="1"/>
  <c r="A407" i="54" s="1"/>
  <c r="N406" i="54" a="1"/>
  <c r="N406" i="54" s="1"/>
  <c r="O406" i="54" s="1"/>
  <c r="M406" i="54" a="1"/>
  <c r="M406" i="54" s="1"/>
  <c r="L406" i="54" a="1"/>
  <c r="L406" i="54" s="1"/>
  <c r="K406" i="54" a="1"/>
  <c r="K406" i="54" s="1"/>
  <c r="J406" i="54" a="1"/>
  <c r="J406" i="54" s="1"/>
  <c r="I406" i="54" a="1"/>
  <c r="I406" i="54" s="1"/>
  <c r="H406" i="54" a="1"/>
  <c r="H406" i="54" s="1"/>
  <c r="G406" i="54" a="1"/>
  <c r="G406" i="54" s="1"/>
  <c r="F406" i="54" a="1"/>
  <c r="F406" i="54" s="1"/>
  <c r="E406" i="54" a="1"/>
  <c r="E406" i="54" s="1"/>
  <c r="D406" i="54" a="1"/>
  <c r="D406" i="54" s="1"/>
  <c r="C406" i="54" a="1"/>
  <c r="C406" i="54" s="1"/>
  <c r="A406" i="54" a="1"/>
  <c r="A406" i="54" s="1"/>
  <c r="N405" i="54" a="1"/>
  <c r="N405" i="54" s="1"/>
  <c r="O405" i="54" s="1"/>
  <c r="M405" i="54" a="1"/>
  <c r="M405" i="54" s="1"/>
  <c r="L405" i="54" a="1"/>
  <c r="L405" i="54" s="1"/>
  <c r="K405" i="54" a="1"/>
  <c r="K405" i="54" s="1"/>
  <c r="J405" i="54" a="1"/>
  <c r="J405" i="54" s="1"/>
  <c r="I405" i="54" a="1"/>
  <c r="I405" i="54" s="1"/>
  <c r="H405" i="54" a="1"/>
  <c r="H405" i="54" s="1"/>
  <c r="G405" i="54" a="1"/>
  <c r="G405" i="54" s="1"/>
  <c r="F405" i="54" a="1"/>
  <c r="F405" i="54" s="1"/>
  <c r="E405" i="54" a="1"/>
  <c r="E405" i="54" s="1"/>
  <c r="D405" i="54" a="1"/>
  <c r="D405" i="54" s="1"/>
  <c r="C405" i="54" a="1"/>
  <c r="C405" i="54" s="1"/>
  <c r="A405" i="54" a="1"/>
  <c r="A405" i="54" s="1"/>
  <c r="N404" i="54" a="1"/>
  <c r="N404" i="54" s="1"/>
  <c r="O404" i="54" s="1"/>
  <c r="M404" i="54" a="1"/>
  <c r="M404" i="54" s="1"/>
  <c r="L404" i="54" a="1"/>
  <c r="L404" i="54" s="1"/>
  <c r="K404" i="54" a="1"/>
  <c r="K404" i="54" s="1"/>
  <c r="J404" i="54" a="1"/>
  <c r="J404" i="54" s="1"/>
  <c r="I404" i="54" a="1"/>
  <c r="I404" i="54" s="1"/>
  <c r="H404" i="54" a="1"/>
  <c r="H404" i="54" s="1"/>
  <c r="G404" i="54" a="1"/>
  <c r="G404" i="54" s="1"/>
  <c r="F404" i="54" a="1"/>
  <c r="F404" i="54" s="1"/>
  <c r="E404" i="54" a="1"/>
  <c r="E404" i="54" s="1"/>
  <c r="D404" i="54" a="1"/>
  <c r="D404" i="54" s="1"/>
  <c r="C404" i="54" a="1"/>
  <c r="C404" i="54" s="1"/>
  <c r="A404" i="54" a="1"/>
  <c r="A404" i="54" s="1"/>
  <c r="N403" i="54" a="1"/>
  <c r="N403" i="54" s="1"/>
  <c r="O403" i="54" s="1"/>
  <c r="M403" i="54" a="1"/>
  <c r="M403" i="54" s="1"/>
  <c r="L403" i="54" a="1"/>
  <c r="L403" i="54" s="1"/>
  <c r="K403" i="54" a="1"/>
  <c r="K403" i="54" s="1"/>
  <c r="J403" i="54" a="1"/>
  <c r="J403" i="54" s="1"/>
  <c r="I403" i="54" a="1"/>
  <c r="I403" i="54" s="1"/>
  <c r="H403" i="54" a="1"/>
  <c r="H403" i="54" s="1"/>
  <c r="G403" i="54" a="1"/>
  <c r="G403" i="54" s="1"/>
  <c r="F403" i="54" a="1"/>
  <c r="F403" i="54" s="1"/>
  <c r="E403" i="54" a="1"/>
  <c r="E403" i="54" s="1"/>
  <c r="D403" i="54" a="1"/>
  <c r="D403" i="54" s="1"/>
  <c r="C403" i="54" a="1"/>
  <c r="C403" i="54" s="1"/>
  <c r="A403" i="54" a="1"/>
  <c r="A403" i="54" s="1"/>
  <c r="N402" i="54" a="1"/>
  <c r="N402" i="54" s="1"/>
  <c r="O402" i="54" s="1"/>
  <c r="M402" i="54" a="1"/>
  <c r="M402" i="54" s="1"/>
  <c r="L402" i="54" a="1"/>
  <c r="L402" i="54" s="1"/>
  <c r="K402" i="54" a="1"/>
  <c r="K402" i="54" s="1"/>
  <c r="J402" i="54" a="1"/>
  <c r="J402" i="54" s="1"/>
  <c r="I402" i="54" a="1"/>
  <c r="I402" i="54" s="1"/>
  <c r="H402" i="54" a="1"/>
  <c r="H402" i="54" s="1"/>
  <c r="G402" i="54" a="1"/>
  <c r="G402" i="54" s="1"/>
  <c r="F402" i="54" a="1"/>
  <c r="F402" i="54" s="1"/>
  <c r="E402" i="54" a="1"/>
  <c r="E402" i="54" s="1"/>
  <c r="D402" i="54" a="1"/>
  <c r="D402" i="54" s="1"/>
  <c r="C402" i="54" a="1"/>
  <c r="C402" i="54" s="1"/>
  <c r="A402" i="54" a="1"/>
  <c r="A402" i="54" s="1"/>
  <c r="N401" i="54" a="1"/>
  <c r="N401" i="54" s="1"/>
  <c r="O401" i="54" s="1"/>
  <c r="M401" i="54" a="1"/>
  <c r="M401" i="54" s="1"/>
  <c r="L401" i="54" a="1"/>
  <c r="L401" i="54" s="1"/>
  <c r="K401" i="54" a="1"/>
  <c r="K401" i="54" s="1"/>
  <c r="J401" i="54" a="1"/>
  <c r="J401" i="54" s="1"/>
  <c r="I401" i="54" a="1"/>
  <c r="I401" i="54" s="1"/>
  <c r="H401" i="54" a="1"/>
  <c r="H401" i="54" s="1"/>
  <c r="G401" i="54" a="1"/>
  <c r="G401" i="54" s="1"/>
  <c r="F401" i="54" a="1"/>
  <c r="F401" i="54" s="1"/>
  <c r="E401" i="54" a="1"/>
  <c r="E401" i="54" s="1"/>
  <c r="D401" i="54" a="1"/>
  <c r="D401" i="54" s="1"/>
  <c r="C401" i="54" a="1"/>
  <c r="C401" i="54" s="1"/>
  <c r="A401" i="54" a="1"/>
  <c r="A401" i="54" s="1"/>
  <c r="N400" i="54" a="1"/>
  <c r="N400" i="54" s="1"/>
  <c r="O400" i="54" s="1"/>
  <c r="M400" i="54" a="1"/>
  <c r="M400" i="54" s="1"/>
  <c r="L400" i="54" a="1"/>
  <c r="L400" i="54" s="1"/>
  <c r="K400" i="54" a="1"/>
  <c r="K400" i="54" s="1"/>
  <c r="J400" i="54" a="1"/>
  <c r="J400" i="54" s="1"/>
  <c r="I400" i="54" a="1"/>
  <c r="I400" i="54" s="1"/>
  <c r="H400" i="54" a="1"/>
  <c r="H400" i="54" s="1"/>
  <c r="G400" i="54" a="1"/>
  <c r="G400" i="54" s="1"/>
  <c r="F400" i="54" a="1"/>
  <c r="F400" i="54" s="1"/>
  <c r="E400" i="54" a="1"/>
  <c r="E400" i="54" s="1"/>
  <c r="D400" i="54" a="1"/>
  <c r="D400" i="54" s="1"/>
  <c r="C400" i="54" a="1"/>
  <c r="C400" i="54" s="1"/>
  <c r="A400" i="54" a="1"/>
  <c r="A400" i="54" s="1"/>
  <c r="N399" i="54" a="1"/>
  <c r="N399" i="54" s="1"/>
  <c r="O399" i="54" s="1"/>
  <c r="M399" i="54" a="1"/>
  <c r="M399" i="54" s="1"/>
  <c r="L399" i="54" a="1"/>
  <c r="L399" i="54" s="1"/>
  <c r="K399" i="54" a="1"/>
  <c r="K399" i="54" s="1"/>
  <c r="J399" i="54" a="1"/>
  <c r="J399" i="54" s="1"/>
  <c r="I399" i="54" a="1"/>
  <c r="I399" i="54" s="1"/>
  <c r="H399" i="54" a="1"/>
  <c r="H399" i="54" s="1"/>
  <c r="G399" i="54" a="1"/>
  <c r="G399" i="54" s="1"/>
  <c r="F399" i="54" a="1"/>
  <c r="F399" i="54" s="1"/>
  <c r="E399" i="54" a="1"/>
  <c r="E399" i="54" s="1"/>
  <c r="D399" i="54" a="1"/>
  <c r="D399" i="54" s="1"/>
  <c r="C399" i="54" a="1"/>
  <c r="C399" i="54" s="1"/>
  <c r="A399" i="54" a="1"/>
  <c r="A399" i="54" s="1"/>
  <c r="N398" i="54" a="1"/>
  <c r="N398" i="54" s="1"/>
  <c r="O398" i="54" s="1"/>
  <c r="M398" i="54" a="1"/>
  <c r="M398" i="54" s="1"/>
  <c r="L398" i="54" a="1"/>
  <c r="L398" i="54" s="1"/>
  <c r="K398" i="54" a="1"/>
  <c r="K398" i="54" s="1"/>
  <c r="J398" i="54" a="1"/>
  <c r="J398" i="54" s="1"/>
  <c r="I398" i="54" a="1"/>
  <c r="I398" i="54" s="1"/>
  <c r="H398" i="54" a="1"/>
  <c r="H398" i="54" s="1"/>
  <c r="G398" i="54" a="1"/>
  <c r="G398" i="54" s="1"/>
  <c r="F398" i="54" a="1"/>
  <c r="F398" i="54" s="1"/>
  <c r="E398" i="54" a="1"/>
  <c r="E398" i="54" s="1"/>
  <c r="D398" i="54" a="1"/>
  <c r="D398" i="54" s="1"/>
  <c r="C398" i="54" a="1"/>
  <c r="C398" i="54" s="1"/>
  <c r="A398" i="54" a="1"/>
  <c r="A398" i="54" s="1"/>
  <c r="N397" i="54" a="1"/>
  <c r="N397" i="54" s="1"/>
  <c r="O397" i="54" s="1"/>
  <c r="M397" i="54" a="1"/>
  <c r="M397" i="54" s="1"/>
  <c r="L397" i="54" a="1"/>
  <c r="L397" i="54" s="1"/>
  <c r="K397" i="54" a="1"/>
  <c r="K397" i="54" s="1"/>
  <c r="J397" i="54" a="1"/>
  <c r="J397" i="54" s="1"/>
  <c r="I397" i="54" a="1"/>
  <c r="I397" i="54" s="1"/>
  <c r="H397" i="54" a="1"/>
  <c r="H397" i="54" s="1"/>
  <c r="G397" i="54" a="1"/>
  <c r="G397" i="54" s="1"/>
  <c r="F397" i="54" a="1"/>
  <c r="F397" i="54" s="1"/>
  <c r="E397" i="54" a="1"/>
  <c r="E397" i="54" s="1"/>
  <c r="D397" i="54" a="1"/>
  <c r="D397" i="54" s="1"/>
  <c r="C397" i="54" a="1"/>
  <c r="C397" i="54" s="1"/>
  <c r="A397" i="54" a="1"/>
  <c r="A397" i="54" s="1"/>
  <c r="N396" i="54" a="1"/>
  <c r="N396" i="54" s="1"/>
  <c r="O396" i="54" s="1"/>
  <c r="M396" i="54" a="1"/>
  <c r="M396" i="54" s="1"/>
  <c r="L396" i="54" a="1"/>
  <c r="L396" i="54" s="1"/>
  <c r="K396" i="54" a="1"/>
  <c r="K396" i="54" s="1"/>
  <c r="J396" i="54" a="1"/>
  <c r="J396" i="54" s="1"/>
  <c r="I396" i="54" a="1"/>
  <c r="I396" i="54" s="1"/>
  <c r="H396" i="54" a="1"/>
  <c r="H396" i="54" s="1"/>
  <c r="G396" i="54" a="1"/>
  <c r="G396" i="54" s="1"/>
  <c r="F396" i="54" a="1"/>
  <c r="F396" i="54" s="1"/>
  <c r="E396" i="54" a="1"/>
  <c r="E396" i="54" s="1"/>
  <c r="D396" i="54" a="1"/>
  <c r="D396" i="54" s="1"/>
  <c r="C396" i="54" a="1"/>
  <c r="C396" i="54" s="1"/>
  <c r="A396" i="54" a="1"/>
  <c r="A396" i="54" s="1"/>
  <c r="N395" i="54" a="1"/>
  <c r="N395" i="54" s="1"/>
  <c r="O395" i="54" s="1"/>
  <c r="M395" i="54" a="1"/>
  <c r="M395" i="54" s="1"/>
  <c r="L395" i="54" a="1"/>
  <c r="L395" i="54" s="1"/>
  <c r="K395" i="54" a="1"/>
  <c r="K395" i="54" s="1"/>
  <c r="J395" i="54" a="1"/>
  <c r="J395" i="54" s="1"/>
  <c r="I395" i="54" a="1"/>
  <c r="I395" i="54" s="1"/>
  <c r="H395" i="54" a="1"/>
  <c r="H395" i="54" s="1"/>
  <c r="G395" i="54" a="1"/>
  <c r="G395" i="54" s="1"/>
  <c r="F395" i="54" a="1"/>
  <c r="F395" i="54" s="1"/>
  <c r="E395" i="54" a="1"/>
  <c r="E395" i="54" s="1"/>
  <c r="D395" i="54" a="1"/>
  <c r="D395" i="54" s="1"/>
  <c r="C395" i="54" a="1"/>
  <c r="C395" i="54" s="1"/>
  <c r="A395" i="54" a="1"/>
  <c r="A395" i="54" s="1"/>
  <c r="N394" i="54" a="1"/>
  <c r="N394" i="54" s="1"/>
  <c r="O394" i="54" s="1"/>
  <c r="M394" i="54" a="1"/>
  <c r="M394" i="54" s="1"/>
  <c r="L394" i="54" a="1"/>
  <c r="L394" i="54" s="1"/>
  <c r="K394" i="54" a="1"/>
  <c r="K394" i="54" s="1"/>
  <c r="J394" i="54" a="1"/>
  <c r="J394" i="54" s="1"/>
  <c r="I394" i="54" a="1"/>
  <c r="I394" i="54" s="1"/>
  <c r="H394" i="54" a="1"/>
  <c r="H394" i="54" s="1"/>
  <c r="G394" i="54" a="1"/>
  <c r="G394" i="54" s="1"/>
  <c r="F394" i="54" a="1"/>
  <c r="F394" i="54" s="1"/>
  <c r="E394" i="54" a="1"/>
  <c r="E394" i="54" s="1"/>
  <c r="D394" i="54" a="1"/>
  <c r="D394" i="54" s="1"/>
  <c r="C394" i="54" a="1"/>
  <c r="C394" i="54" s="1"/>
  <c r="A394" i="54" a="1"/>
  <c r="A394" i="54" s="1"/>
  <c r="N393" i="54" a="1"/>
  <c r="N393" i="54" s="1"/>
  <c r="O393" i="54" s="1"/>
  <c r="M393" i="54" a="1"/>
  <c r="M393" i="54" s="1"/>
  <c r="L393" i="54" a="1"/>
  <c r="L393" i="54" s="1"/>
  <c r="K393" i="54" a="1"/>
  <c r="K393" i="54" s="1"/>
  <c r="J393" i="54" a="1"/>
  <c r="J393" i="54" s="1"/>
  <c r="I393" i="54" a="1"/>
  <c r="I393" i="54" s="1"/>
  <c r="H393" i="54" a="1"/>
  <c r="H393" i="54" s="1"/>
  <c r="G393" i="54" a="1"/>
  <c r="G393" i="54" s="1"/>
  <c r="F393" i="54" a="1"/>
  <c r="F393" i="54" s="1"/>
  <c r="E393" i="54" a="1"/>
  <c r="E393" i="54" s="1"/>
  <c r="D393" i="54" a="1"/>
  <c r="D393" i="54" s="1"/>
  <c r="C393" i="54" a="1"/>
  <c r="C393" i="54" s="1"/>
  <c r="A393" i="54" a="1"/>
  <c r="A393" i="54" s="1"/>
  <c r="N392" i="54" a="1"/>
  <c r="N392" i="54" s="1"/>
  <c r="O392" i="54" s="1"/>
  <c r="M392" i="54" a="1"/>
  <c r="M392" i="54" s="1"/>
  <c r="L392" i="54" a="1"/>
  <c r="L392" i="54" s="1"/>
  <c r="K392" i="54" a="1"/>
  <c r="K392" i="54" s="1"/>
  <c r="J392" i="54" a="1"/>
  <c r="J392" i="54" s="1"/>
  <c r="I392" i="54" a="1"/>
  <c r="I392" i="54" s="1"/>
  <c r="H392" i="54" a="1"/>
  <c r="H392" i="54" s="1"/>
  <c r="G392" i="54" a="1"/>
  <c r="G392" i="54" s="1"/>
  <c r="F392" i="54" a="1"/>
  <c r="F392" i="54" s="1"/>
  <c r="E392" i="54" a="1"/>
  <c r="E392" i="54" s="1"/>
  <c r="D392" i="54" a="1"/>
  <c r="D392" i="54" s="1"/>
  <c r="C392" i="54" a="1"/>
  <c r="C392" i="54" s="1"/>
  <c r="A392" i="54" a="1"/>
  <c r="A392" i="54" s="1"/>
  <c r="N391" i="54" a="1"/>
  <c r="N391" i="54" s="1"/>
  <c r="O391" i="54" s="1"/>
  <c r="M391" i="54" a="1"/>
  <c r="M391" i="54" s="1"/>
  <c r="L391" i="54" a="1"/>
  <c r="L391" i="54" s="1"/>
  <c r="K391" i="54" a="1"/>
  <c r="K391" i="54" s="1"/>
  <c r="J391" i="54" a="1"/>
  <c r="J391" i="54" s="1"/>
  <c r="I391" i="54" a="1"/>
  <c r="I391" i="54" s="1"/>
  <c r="H391" i="54" a="1"/>
  <c r="H391" i="54" s="1"/>
  <c r="G391" i="54" a="1"/>
  <c r="G391" i="54" s="1"/>
  <c r="F391" i="54" a="1"/>
  <c r="F391" i="54" s="1"/>
  <c r="E391" i="54" a="1"/>
  <c r="E391" i="54" s="1"/>
  <c r="D391" i="54" a="1"/>
  <c r="D391" i="54" s="1"/>
  <c r="C391" i="54" a="1"/>
  <c r="C391" i="54" s="1"/>
  <c r="A391" i="54" a="1"/>
  <c r="A391" i="54" s="1"/>
  <c r="N390" i="54" a="1"/>
  <c r="N390" i="54" s="1"/>
  <c r="O390" i="54" s="1"/>
  <c r="M390" i="54" a="1"/>
  <c r="M390" i="54" s="1"/>
  <c r="L390" i="54" a="1"/>
  <c r="L390" i="54" s="1"/>
  <c r="K390" i="54" a="1"/>
  <c r="K390" i="54" s="1"/>
  <c r="J390" i="54" a="1"/>
  <c r="J390" i="54" s="1"/>
  <c r="I390" i="54" a="1"/>
  <c r="I390" i="54" s="1"/>
  <c r="H390" i="54" a="1"/>
  <c r="H390" i="54" s="1"/>
  <c r="G390" i="54" a="1"/>
  <c r="G390" i="54" s="1"/>
  <c r="F390" i="54" a="1"/>
  <c r="F390" i="54" s="1"/>
  <c r="E390" i="54" a="1"/>
  <c r="E390" i="54" s="1"/>
  <c r="D390" i="54" a="1"/>
  <c r="D390" i="54" s="1"/>
  <c r="C390" i="54" a="1"/>
  <c r="C390" i="54" s="1"/>
  <c r="A390" i="54" a="1"/>
  <c r="A390" i="54" s="1"/>
  <c r="N389" i="54" a="1"/>
  <c r="N389" i="54" s="1"/>
  <c r="O389" i="54" s="1"/>
  <c r="M389" i="54" a="1"/>
  <c r="M389" i="54" s="1"/>
  <c r="L389" i="54" a="1"/>
  <c r="L389" i="54" s="1"/>
  <c r="K389" i="54" a="1"/>
  <c r="K389" i="54" s="1"/>
  <c r="J389" i="54" a="1"/>
  <c r="J389" i="54" s="1"/>
  <c r="I389" i="54" a="1"/>
  <c r="I389" i="54" s="1"/>
  <c r="H389" i="54" a="1"/>
  <c r="H389" i="54" s="1"/>
  <c r="G389" i="54" a="1"/>
  <c r="G389" i="54" s="1"/>
  <c r="F389" i="54" a="1"/>
  <c r="F389" i="54" s="1"/>
  <c r="E389" i="54" a="1"/>
  <c r="E389" i="54" s="1"/>
  <c r="D389" i="54" a="1"/>
  <c r="D389" i="54" s="1"/>
  <c r="C389" i="54" a="1"/>
  <c r="C389" i="54" s="1"/>
  <c r="A389" i="54" a="1"/>
  <c r="A389" i="54" s="1"/>
  <c r="N388" i="54" a="1"/>
  <c r="N388" i="54" s="1"/>
  <c r="O388" i="54" s="1"/>
  <c r="M388" i="54" a="1"/>
  <c r="M388" i="54" s="1"/>
  <c r="L388" i="54" a="1"/>
  <c r="L388" i="54" s="1"/>
  <c r="K388" i="54" a="1"/>
  <c r="K388" i="54" s="1"/>
  <c r="J388" i="54" a="1"/>
  <c r="J388" i="54" s="1"/>
  <c r="I388" i="54" a="1"/>
  <c r="I388" i="54" s="1"/>
  <c r="H388" i="54" a="1"/>
  <c r="H388" i="54" s="1"/>
  <c r="G388" i="54" a="1"/>
  <c r="G388" i="54" s="1"/>
  <c r="F388" i="54" a="1"/>
  <c r="F388" i="54" s="1"/>
  <c r="E388" i="54" a="1"/>
  <c r="E388" i="54" s="1"/>
  <c r="D388" i="54" a="1"/>
  <c r="D388" i="54" s="1"/>
  <c r="C388" i="54" a="1"/>
  <c r="C388" i="54" s="1"/>
  <c r="A388" i="54" a="1"/>
  <c r="A388" i="54" s="1"/>
  <c r="N387" i="54" a="1"/>
  <c r="N387" i="54" s="1"/>
  <c r="O387" i="54" s="1"/>
  <c r="M387" i="54" a="1"/>
  <c r="M387" i="54" s="1"/>
  <c r="L387" i="54" a="1"/>
  <c r="L387" i="54" s="1"/>
  <c r="K387" i="54" a="1"/>
  <c r="K387" i="54" s="1"/>
  <c r="J387" i="54" a="1"/>
  <c r="J387" i="54" s="1"/>
  <c r="I387" i="54" a="1"/>
  <c r="I387" i="54" s="1"/>
  <c r="H387" i="54" a="1"/>
  <c r="H387" i="54" s="1"/>
  <c r="G387" i="54" a="1"/>
  <c r="G387" i="54" s="1"/>
  <c r="F387" i="54" a="1"/>
  <c r="F387" i="54" s="1"/>
  <c r="E387" i="54" a="1"/>
  <c r="E387" i="54" s="1"/>
  <c r="D387" i="54" a="1"/>
  <c r="D387" i="54" s="1"/>
  <c r="C387" i="54" a="1"/>
  <c r="C387" i="54" s="1"/>
  <c r="A387" i="54" a="1"/>
  <c r="A387" i="54" s="1"/>
  <c r="N386" i="54" a="1"/>
  <c r="N386" i="54" s="1"/>
  <c r="O386" i="54" s="1"/>
  <c r="M386" i="54" a="1"/>
  <c r="M386" i="54" s="1"/>
  <c r="L386" i="54" a="1"/>
  <c r="L386" i="54" s="1"/>
  <c r="K386" i="54" a="1"/>
  <c r="K386" i="54" s="1"/>
  <c r="J386" i="54" a="1"/>
  <c r="J386" i="54" s="1"/>
  <c r="I386" i="54" a="1"/>
  <c r="I386" i="54" s="1"/>
  <c r="H386" i="54" a="1"/>
  <c r="H386" i="54" s="1"/>
  <c r="G386" i="54" a="1"/>
  <c r="G386" i="54" s="1"/>
  <c r="F386" i="54" a="1"/>
  <c r="F386" i="54" s="1"/>
  <c r="E386" i="54" a="1"/>
  <c r="E386" i="54" s="1"/>
  <c r="D386" i="54" a="1"/>
  <c r="D386" i="54" s="1"/>
  <c r="C386" i="54" a="1"/>
  <c r="C386" i="54" s="1"/>
  <c r="A386" i="54" a="1"/>
  <c r="A386" i="54" s="1"/>
  <c r="N385" i="54" a="1"/>
  <c r="N385" i="54" s="1"/>
  <c r="O385" i="54" s="1"/>
  <c r="M385" i="54" a="1"/>
  <c r="M385" i="54" s="1"/>
  <c r="L385" i="54" a="1"/>
  <c r="L385" i="54" s="1"/>
  <c r="K385" i="54" a="1"/>
  <c r="K385" i="54" s="1"/>
  <c r="J385" i="54" a="1"/>
  <c r="J385" i="54" s="1"/>
  <c r="I385" i="54" a="1"/>
  <c r="I385" i="54" s="1"/>
  <c r="H385" i="54" a="1"/>
  <c r="H385" i="54" s="1"/>
  <c r="G385" i="54" a="1"/>
  <c r="G385" i="54" s="1"/>
  <c r="F385" i="54" a="1"/>
  <c r="F385" i="54" s="1"/>
  <c r="E385" i="54" a="1"/>
  <c r="E385" i="54" s="1"/>
  <c r="D385" i="54" a="1"/>
  <c r="D385" i="54" s="1"/>
  <c r="C385" i="54" a="1"/>
  <c r="C385" i="54" s="1"/>
  <c r="A385" i="54" a="1"/>
  <c r="A385" i="54" s="1"/>
  <c r="N384" i="54" a="1"/>
  <c r="N384" i="54" s="1"/>
  <c r="O384" i="54" s="1"/>
  <c r="M384" i="54" a="1"/>
  <c r="M384" i="54" s="1"/>
  <c r="L384" i="54" a="1"/>
  <c r="L384" i="54" s="1"/>
  <c r="K384" i="54" a="1"/>
  <c r="K384" i="54" s="1"/>
  <c r="J384" i="54" a="1"/>
  <c r="J384" i="54" s="1"/>
  <c r="I384" i="54" a="1"/>
  <c r="I384" i="54" s="1"/>
  <c r="H384" i="54" a="1"/>
  <c r="H384" i="54" s="1"/>
  <c r="G384" i="54" a="1"/>
  <c r="G384" i="54" s="1"/>
  <c r="F384" i="54" a="1"/>
  <c r="F384" i="54" s="1"/>
  <c r="E384" i="54" a="1"/>
  <c r="E384" i="54" s="1"/>
  <c r="D384" i="54" a="1"/>
  <c r="D384" i="54" s="1"/>
  <c r="C384" i="54" a="1"/>
  <c r="C384" i="54" s="1"/>
  <c r="A384" i="54" a="1"/>
  <c r="A384" i="54" s="1"/>
  <c r="N383" i="54" a="1"/>
  <c r="N383" i="54" s="1"/>
  <c r="O383" i="54" s="1"/>
  <c r="M383" i="54" a="1"/>
  <c r="M383" i="54" s="1"/>
  <c r="L383" i="54" a="1"/>
  <c r="L383" i="54" s="1"/>
  <c r="K383" i="54" a="1"/>
  <c r="K383" i="54" s="1"/>
  <c r="J383" i="54" a="1"/>
  <c r="J383" i="54" s="1"/>
  <c r="I383" i="54" a="1"/>
  <c r="I383" i="54" s="1"/>
  <c r="H383" i="54" a="1"/>
  <c r="H383" i="54" s="1"/>
  <c r="G383" i="54" a="1"/>
  <c r="G383" i="54" s="1"/>
  <c r="F383" i="54" a="1"/>
  <c r="F383" i="54" s="1"/>
  <c r="E383" i="54" a="1"/>
  <c r="E383" i="54" s="1"/>
  <c r="D383" i="54" a="1"/>
  <c r="D383" i="54" s="1"/>
  <c r="C383" i="54" a="1"/>
  <c r="C383" i="54" s="1"/>
  <c r="A383" i="54" a="1"/>
  <c r="A383" i="54" s="1"/>
  <c r="N382" i="54" a="1"/>
  <c r="N382" i="54" s="1"/>
  <c r="O382" i="54" s="1"/>
  <c r="M382" i="54" a="1"/>
  <c r="M382" i="54" s="1"/>
  <c r="L382" i="54" a="1"/>
  <c r="L382" i="54" s="1"/>
  <c r="K382" i="54" a="1"/>
  <c r="K382" i="54" s="1"/>
  <c r="J382" i="54" a="1"/>
  <c r="J382" i="54" s="1"/>
  <c r="I382" i="54" a="1"/>
  <c r="I382" i="54" s="1"/>
  <c r="H382" i="54" a="1"/>
  <c r="H382" i="54" s="1"/>
  <c r="G382" i="54" a="1"/>
  <c r="G382" i="54" s="1"/>
  <c r="F382" i="54" a="1"/>
  <c r="F382" i="54" s="1"/>
  <c r="E382" i="54" a="1"/>
  <c r="E382" i="54" s="1"/>
  <c r="D382" i="54" a="1"/>
  <c r="D382" i="54" s="1"/>
  <c r="C382" i="54" a="1"/>
  <c r="C382" i="54" s="1"/>
  <c r="A382" i="54" a="1"/>
  <c r="A382" i="54" s="1"/>
  <c r="N381" i="54" a="1"/>
  <c r="N381" i="54" s="1"/>
  <c r="O381" i="54" s="1"/>
  <c r="M381" i="54" a="1"/>
  <c r="M381" i="54" s="1"/>
  <c r="L381" i="54" a="1"/>
  <c r="L381" i="54" s="1"/>
  <c r="K381" i="54" a="1"/>
  <c r="K381" i="54" s="1"/>
  <c r="J381" i="54" a="1"/>
  <c r="J381" i="54" s="1"/>
  <c r="I381" i="54" a="1"/>
  <c r="I381" i="54" s="1"/>
  <c r="H381" i="54" a="1"/>
  <c r="H381" i="54" s="1"/>
  <c r="G381" i="54" a="1"/>
  <c r="G381" i="54" s="1"/>
  <c r="F381" i="54" a="1"/>
  <c r="F381" i="54" s="1"/>
  <c r="E381" i="54" a="1"/>
  <c r="E381" i="54" s="1"/>
  <c r="D381" i="54" a="1"/>
  <c r="D381" i="54" s="1"/>
  <c r="C381" i="54" a="1"/>
  <c r="C381" i="54" s="1"/>
  <c r="A381" i="54" a="1"/>
  <c r="A381" i="54" s="1"/>
  <c r="N380" i="54" a="1"/>
  <c r="N380" i="54" s="1"/>
  <c r="O380" i="54" s="1"/>
  <c r="M380" i="54" a="1"/>
  <c r="M380" i="54" s="1"/>
  <c r="L380" i="54" a="1"/>
  <c r="L380" i="54" s="1"/>
  <c r="K380" i="54" a="1"/>
  <c r="K380" i="54" s="1"/>
  <c r="J380" i="54" a="1"/>
  <c r="J380" i="54" s="1"/>
  <c r="I380" i="54" a="1"/>
  <c r="I380" i="54" s="1"/>
  <c r="H380" i="54" a="1"/>
  <c r="H380" i="54" s="1"/>
  <c r="G380" i="54" a="1"/>
  <c r="G380" i="54" s="1"/>
  <c r="F380" i="54" a="1"/>
  <c r="F380" i="54" s="1"/>
  <c r="E380" i="54" a="1"/>
  <c r="E380" i="54" s="1"/>
  <c r="D380" i="54" a="1"/>
  <c r="D380" i="54" s="1"/>
  <c r="C380" i="54" a="1"/>
  <c r="C380" i="54" s="1"/>
  <c r="A380" i="54" a="1"/>
  <c r="A380" i="54" s="1"/>
  <c r="N379" i="54" a="1"/>
  <c r="N379" i="54" s="1"/>
  <c r="O379" i="54" s="1"/>
  <c r="M379" i="54" a="1"/>
  <c r="M379" i="54" s="1"/>
  <c r="L379" i="54" a="1"/>
  <c r="L379" i="54" s="1"/>
  <c r="K379" i="54" a="1"/>
  <c r="K379" i="54" s="1"/>
  <c r="J379" i="54" a="1"/>
  <c r="J379" i="54" s="1"/>
  <c r="I379" i="54" a="1"/>
  <c r="I379" i="54" s="1"/>
  <c r="H379" i="54" a="1"/>
  <c r="H379" i="54" s="1"/>
  <c r="G379" i="54" a="1"/>
  <c r="G379" i="54" s="1"/>
  <c r="F379" i="54" a="1"/>
  <c r="F379" i="54" s="1"/>
  <c r="E379" i="54" a="1"/>
  <c r="E379" i="54" s="1"/>
  <c r="D379" i="54" a="1"/>
  <c r="D379" i="54" s="1"/>
  <c r="C379" i="54" a="1"/>
  <c r="C379" i="54" s="1"/>
  <c r="A379" i="54" a="1"/>
  <c r="A379" i="54" s="1"/>
  <c r="N378" i="54" a="1"/>
  <c r="N378" i="54" s="1"/>
  <c r="O378" i="54" s="1"/>
  <c r="M378" i="54" a="1"/>
  <c r="M378" i="54" s="1"/>
  <c r="L378" i="54" a="1"/>
  <c r="L378" i="54" s="1"/>
  <c r="K378" i="54" a="1"/>
  <c r="K378" i="54" s="1"/>
  <c r="J378" i="54" a="1"/>
  <c r="J378" i="54" s="1"/>
  <c r="I378" i="54" a="1"/>
  <c r="I378" i="54" s="1"/>
  <c r="H378" i="54" a="1"/>
  <c r="H378" i="54" s="1"/>
  <c r="G378" i="54" a="1"/>
  <c r="G378" i="54" s="1"/>
  <c r="F378" i="54" a="1"/>
  <c r="F378" i="54" s="1"/>
  <c r="E378" i="54" a="1"/>
  <c r="E378" i="54" s="1"/>
  <c r="D378" i="54" a="1"/>
  <c r="D378" i="54" s="1"/>
  <c r="C378" i="54" a="1"/>
  <c r="C378" i="54" s="1"/>
  <c r="A378" i="54" a="1"/>
  <c r="A378" i="54" s="1"/>
  <c r="N377" i="54" a="1"/>
  <c r="N377" i="54" s="1"/>
  <c r="O377" i="54" s="1"/>
  <c r="M377" i="54" a="1"/>
  <c r="M377" i="54" s="1"/>
  <c r="L377" i="54" a="1"/>
  <c r="L377" i="54" s="1"/>
  <c r="K377" i="54" a="1"/>
  <c r="K377" i="54" s="1"/>
  <c r="J377" i="54" a="1"/>
  <c r="J377" i="54" s="1"/>
  <c r="I377" i="54" a="1"/>
  <c r="I377" i="54" s="1"/>
  <c r="H377" i="54" a="1"/>
  <c r="H377" i="54" s="1"/>
  <c r="G377" i="54" a="1"/>
  <c r="G377" i="54" s="1"/>
  <c r="F377" i="54" a="1"/>
  <c r="F377" i="54" s="1"/>
  <c r="E377" i="54" a="1"/>
  <c r="E377" i="54" s="1"/>
  <c r="D377" i="54" a="1"/>
  <c r="D377" i="54" s="1"/>
  <c r="C377" i="54" a="1"/>
  <c r="C377" i="54" s="1"/>
  <c r="A377" i="54" a="1"/>
  <c r="A377" i="54" s="1"/>
  <c r="N376" i="54" a="1"/>
  <c r="N376" i="54" s="1"/>
  <c r="O376" i="54" s="1"/>
  <c r="M376" i="54" a="1"/>
  <c r="M376" i="54" s="1"/>
  <c r="L376" i="54" a="1"/>
  <c r="L376" i="54" s="1"/>
  <c r="K376" i="54" a="1"/>
  <c r="K376" i="54" s="1"/>
  <c r="J376" i="54" a="1"/>
  <c r="J376" i="54" s="1"/>
  <c r="I376" i="54" a="1"/>
  <c r="I376" i="54" s="1"/>
  <c r="H376" i="54" a="1"/>
  <c r="H376" i="54" s="1"/>
  <c r="G376" i="54" a="1"/>
  <c r="G376" i="54" s="1"/>
  <c r="F376" i="54" a="1"/>
  <c r="F376" i="54" s="1"/>
  <c r="E376" i="54" a="1"/>
  <c r="E376" i="54" s="1"/>
  <c r="D376" i="54" a="1"/>
  <c r="D376" i="54" s="1"/>
  <c r="C376" i="54" a="1"/>
  <c r="C376" i="54" s="1"/>
  <c r="A376" i="54" a="1"/>
  <c r="A376" i="54" s="1"/>
  <c r="N375" i="54" a="1"/>
  <c r="N375" i="54" s="1"/>
  <c r="O375" i="54" s="1"/>
  <c r="M375" i="54" a="1"/>
  <c r="M375" i="54" s="1"/>
  <c r="L375" i="54" a="1"/>
  <c r="L375" i="54" s="1"/>
  <c r="K375" i="54" a="1"/>
  <c r="K375" i="54" s="1"/>
  <c r="J375" i="54" a="1"/>
  <c r="J375" i="54" s="1"/>
  <c r="I375" i="54" a="1"/>
  <c r="I375" i="54" s="1"/>
  <c r="H375" i="54" a="1"/>
  <c r="H375" i="54" s="1"/>
  <c r="G375" i="54" a="1"/>
  <c r="G375" i="54" s="1"/>
  <c r="F375" i="54" a="1"/>
  <c r="F375" i="54" s="1"/>
  <c r="E375" i="54" a="1"/>
  <c r="E375" i="54" s="1"/>
  <c r="D375" i="54" a="1"/>
  <c r="D375" i="54" s="1"/>
  <c r="C375" i="54" a="1"/>
  <c r="C375" i="54" s="1"/>
  <c r="A375" i="54" a="1"/>
  <c r="A375" i="54" s="1"/>
  <c r="N374" i="54" a="1"/>
  <c r="N374" i="54" s="1"/>
  <c r="O374" i="54" s="1"/>
  <c r="M374" i="54" a="1"/>
  <c r="M374" i="54" s="1"/>
  <c r="L374" i="54" a="1"/>
  <c r="L374" i="54" s="1"/>
  <c r="K374" i="54" a="1"/>
  <c r="K374" i="54" s="1"/>
  <c r="J374" i="54" a="1"/>
  <c r="J374" i="54" s="1"/>
  <c r="I374" i="54" a="1"/>
  <c r="I374" i="54" s="1"/>
  <c r="H374" i="54" a="1"/>
  <c r="H374" i="54" s="1"/>
  <c r="G374" i="54" a="1"/>
  <c r="G374" i="54" s="1"/>
  <c r="F374" i="54" a="1"/>
  <c r="F374" i="54" s="1"/>
  <c r="E374" i="54" a="1"/>
  <c r="E374" i="54" s="1"/>
  <c r="D374" i="54" a="1"/>
  <c r="D374" i="54" s="1"/>
  <c r="C374" i="54" a="1"/>
  <c r="C374" i="54" s="1"/>
  <c r="A374" i="54" a="1"/>
  <c r="A374" i="54" s="1"/>
  <c r="N373" i="54" a="1"/>
  <c r="N373" i="54" s="1"/>
  <c r="O373" i="54" s="1"/>
  <c r="M373" i="54" a="1"/>
  <c r="M373" i="54" s="1"/>
  <c r="L373" i="54" a="1"/>
  <c r="L373" i="54" s="1"/>
  <c r="K373" i="54" a="1"/>
  <c r="K373" i="54" s="1"/>
  <c r="J373" i="54" a="1"/>
  <c r="J373" i="54" s="1"/>
  <c r="I373" i="54" a="1"/>
  <c r="I373" i="54" s="1"/>
  <c r="H373" i="54" a="1"/>
  <c r="H373" i="54" s="1"/>
  <c r="G373" i="54" a="1"/>
  <c r="G373" i="54" s="1"/>
  <c r="F373" i="54" a="1"/>
  <c r="F373" i="54" s="1"/>
  <c r="E373" i="54" a="1"/>
  <c r="E373" i="54" s="1"/>
  <c r="D373" i="54" a="1"/>
  <c r="D373" i="54" s="1"/>
  <c r="C373" i="54" a="1"/>
  <c r="C373" i="54" s="1"/>
  <c r="A373" i="54" a="1"/>
  <c r="A373" i="54" s="1"/>
  <c r="N372" i="54" a="1"/>
  <c r="N372" i="54" s="1"/>
  <c r="O372" i="54" s="1"/>
  <c r="M372" i="54" a="1"/>
  <c r="M372" i="54" s="1"/>
  <c r="L372" i="54" a="1"/>
  <c r="L372" i="54" s="1"/>
  <c r="K372" i="54" a="1"/>
  <c r="K372" i="54" s="1"/>
  <c r="J372" i="54" a="1"/>
  <c r="J372" i="54" s="1"/>
  <c r="I372" i="54" a="1"/>
  <c r="I372" i="54" s="1"/>
  <c r="H372" i="54" a="1"/>
  <c r="H372" i="54" s="1"/>
  <c r="G372" i="54" a="1"/>
  <c r="G372" i="54" s="1"/>
  <c r="F372" i="54" a="1"/>
  <c r="F372" i="54" s="1"/>
  <c r="E372" i="54" a="1"/>
  <c r="E372" i="54" s="1"/>
  <c r="D372" i="54" a="1"/>
  <c r="D372" i="54" s="1"/>
  <c r="C372" i="54" a="1"/>
  <c r="C372" i="54" s="1"/>
  <c r="A372" i="54" a="1"/>
  <c r="A372" i="54" s="1"/>
  <c r="N371" i="54" a="1"/>
  <c r="N371" i="54" s="1"/>
  <c r="O371" i="54" s="1"/>
  <c r="M371" i="54" a="1"/>
  <c r="M371" i="54" s="1"/>
  <c r="L371" i="54" a="1"/>
  <c r="L371" i="54" s="1"/>
  <c r="K371" i="54" a="1"/>
  <c r="K371" i="54" s="1"/>
  <c r="J371" i="54" a="1"/>
  <c r="J371" i="54" s="1"/>
  <c r="I371" i="54" a="1"/>
  <c r="I371" i="54" s="1"/>
  <c r="H371" i="54" a="1"/>
  <c r="H371" i="54" s="1"/>
  <c r="G371" i="54" a="1"/>
  <c r="G371" i="54" s="1"/>
  <c r="F371" i="54" a="1"/>
  <c r="F371" i="54" s="1"/>
  <c r="E371" i="54" a="1"/>
  <c r="E371" i="54" s="1"/>
  <c r="D371" i="54" a="1"/>
  <c r="D371" i="54" s="1"/>
  <c r="C371" i="54" a="1"/>
  <c r="C371" i="54" s="1"/>
  <c r="A371" i="54" a="1"/>
  <c r="A371" i="54" s="1"/>
  <c r="N370" i="54" a="1"/>
  <c r="N370" i="54" s="1"/>
  <c r="O370" i="54" s="1"/>
  <c r="M370" i="54" a="1"/>
  <c r="M370" i="54" s="1"/>
  <c r="L370" i="54" a="1"/>
  <c r="L370" i="54" s="1"/>
  <c r="K370" i="54" a="1"/>
  <c r="K370" i="54" s="1"/>
  <c r="J370" i="54" a="1"/>
  <c r="J370" i="54" s="1"/>
  <c r="I370" i="54" a="1"/>
  <c r="I370" i="54" s="1"/>
  <c r="H370" i="54" a="1"/>
  <c r="H370" i="54" s="1"/>
  <c r="G370" i="54" a="1"/>
  <c r="G370" i="54" s="1"/>
  <c r="F370" i="54" a="1"/>
  <c r="F370" i="54" s="1"/>
  <c r="E370" i="54" a="1"/>
  <c r="E370" i="54" s="1"/>
  <c r="D370" i="54" a="1"/>
  <c r="D370" i="54" s="1"/>
  <c r="C370" i="54" a="1"/>
  <c r="C370" i="54" s="1"/>
  <c r="A370" i="54" a="1"/>
  <c r="A370" i="54" s="1"/>
  <c r="N369" i="54" a="1"/>
  <c r="N369" i="54" s="1"/>
  <c r="O369" i="54" s="1"/>
  <c r="M369" i="54" a="1"/>
  <c r="M369" i="54" s="1"/>
  <c r="L369" i="54" a="1"/>
  <c r="L369" i="54" s="1"/>
  <c r="K369" i="54" a="1"/>
  <c r="K369" i="54" s="1"/>
  <c r="J369" i="54" a="1"/>
  <c r="J369" i="54" s="1"/>
  <c r="I369" i="54" a="1"/>
  <c r="I369" i="54" s="1"/>
  <c r="H369" i="54" a="1"/>
  <c r="H369" i="54" s="1"/>
  <c r="G369" i="54" a="1"/>
  <c r="G369" i="54" s="1"/>
  <c r="F369" i="54" a="1"/>
  <c r="F369" i="54" s="1"/>
  <c r="E369" i="54" a="1"/>
  <c r="E369" i="54" s="1"/>
  <c r="D369" i="54" a="1"/>
  <c r="D369" i="54" s="1"/>
  <c r="C369" i="54" a="1"/>
  <c r="C369" i="54" s="1"/>
  <c r="A369" i="54" a="1"/>
  <c r="A369" i="54" s="1"/>
  <c r="N368" i="54" a="1"/>
  <c r="N368" i="54" s="1"/>
  <c r="O368" i="54" s="1"/>
  <c r="M368" i="54" a="1"/>
  <c r="M368" i="54" s="1"/>
  <c r="L368" i="54" a="1"/>
  <c r="L368" i="54" s="1"/>
  <c r="K368" i="54" a="1"/>
  <c r="K368" i="54" s="1"/>
  <c r="J368" i="54" a="1"/>
  <c r="J368" i="54" s="1"/>
  <c r="I368" i="54" a="1"/>
  <c r="I368" i="54" s="1"/>
  <c r="H368" i="54" a="1"/>
  <c r="H368" i="54" s="1"/>
  <c r="G368" i="54" a="1"/>
  <c r="G368" i="54" s="1"/>
  <c r="F368" i="54" a="1"/>
  <c r="F368" i="54" s="1"/>
  <c r="E368" i="54" a="1"/>
  <c r="E368" i="54" s="1"/>
  <c r="D368" i="54" a="1"/>
  <c r="D368" i="54" s="1"/>
  <c r="C368" i="54" a="1"/>
  <c r="C368" i="54" s="1"/>
  <c r="A368" i="54" a="1"/>
  <c r="A368" i="54" s="1"/>
  <c r="N367" i="54" a="1"/>
  <c r="N367" i="54" s="1"/>
  <c r="O367" i="54" s="1"/>
  <c r="M367" i="54" a="1"/>
  <c r="M367" i="54" s="1"/>
  <c r="L367" i="54" a="1"/>
  <c r="L367" i="54" s="1"/>
  <c r="K367" i="54" a="1"/>
  <c r="K367" i="54" s="1"/>
  <c r="J367" i="54" a="1"/>
  <c r="J367" i="54" s="1"/>
  <c r="I367" i="54" a="1"/>
  <c r="I367" i="54" s="1"/>
  <c r="H367" i="54" a="1"/>
  <c r="H367" i="54" s="1"/>
  <c r="G367" i="54" a="1"/>
  <c r="G367" i="54" s="1"/>
  <c r="F367" i="54" a="1"/>
  <c r="F367" i="54" s="1"/>
  <c r="E367" i="54" a="1"/>
  <c r="E367" i="54" s="1"/>
  <c r="D367" i="54" a="1"/>
  <c r="D367" i="54" s="1"/>
  <c r="C367" i="54" a="1"/>
  <c r="C367" i="54" s="1"/>
  <c r="A367" i="54" a="1"/>
  <c r="A367" i="54" s="1"/>
  <c r="N366" i="54" a="1"/>
  <c r="N366" i="54" s="1"/>
  <c r="O366" i="54" s="1"/>
  <c r="M366" i="54" a="1"/>
  <c r="M366" i="54" s="1"/>
  <c r="L366" i="54" a="1"/>
  <c r="L366" i="54" s="1"/>
  <c r="K366" i="54" a="1"/>
  <c r="K366" i="54" s="1"/>
  <c r="J366" i="54" a="1"/>
  <c r="J366" i="54" s="1"/>
  <c r="I366" i="54" a="1"/>
  <c r="I366" i="54" s="1"/>
  <c r="H366" i="54" a="1"/>
  <c r="H366" i="54" s="1"/>
  <c r="G366" i="54" a="1"/>
  <c r="G366" i="54" s="1"/>
  <c r="F366" i="54" a="1"/>
  <c r="F366" i="54" s="1"/>
  <c r="E366" i="54" a="1"/>
  <c r="E366" i="54" s="1"/>
  <c r="D366" i="54" a="1"/>
  <c r="D366" i="54" s="1"/>
  <c r="C366" i="54" a="1"/>
  <c r="C366" i="54" s="1"/>
  <c r="A366" i="54" a="1"/>
  <c r="A366" i="54" s="1"/>
  <c r="N365" i="54" a="1"/>
  <c r="N365" i="54" s="1"/>
  <c r="O365" i="54" s="1"/>
  <c r="M365" i="54" a="1"/>
  <c r="M365" i="54" s="1"/>
  <c r="L365" i="54" a="1"/>
  <c r="L365" i="54" s="1"/>
  <c r="K365" i="54" a="1"/>
  <c r="K365" i="54" s="1"/>
  <c r="J365" i="54" a="1"/>
  <c r="J365" i="54" s="1"/>
  <c r="I365" i="54" a="1"/>
  <c r="I365" i="54" s="1"/>
  <c r="H365" i="54" a="1"/>
  <c r="H365" i="54" s="1"/>
  <c r="G365" i="54" a="1"/>
  <c r="G365" i="54" s="1"/>
  <c r="F365" i="54" a="1"/>
  <c r="F365" i="54" s="1"/>
  <c r="E365" i="54" a="1"/>
  <c r="E365" i="54" s="1"/>
  <c r="D365" i="54" a="1"/>
  <c r="D365" i="54" s="1"/>
  <c r="C365" i="54" a="1"/>
  <c r="C365" i="54" s="1"/>
  <c r="A365" i="54" a="1"/>
  <c r="A365" i="54" s="1"/>
  <c r="N364" i="54" a="1"/>
  <c r="N364" i="54" s="1"/>
  <c r="O364" i="54" s="1"/>
  <c r="M364" i="54" a="1"/>
  <c r="M364" i="54" s="1"/>
  <c r="L364" i="54" a="1"/>
  <c r="L364" i="54" s="1"/>
  <c r="K364" i="54" a="1"/>
  <c r="K364" i="54" s="1"/>
  <c r="J364" i="54" a="1"/>
  <c r="J364" i="54" s="1"/>
  <c r="I364" i="54" a="1"/>
  <c r="I364" i="54" s="1"/>
  <c r="H364" i="54" a="1"/>
  <c r="H364" i="54" s="1"/>
  <c r="G364" i="54" a="1"/>
  <c r="G364" i="54" s="1"/>
  <c r="F364" i="54" a="1"/>
  <c r="F364" i="54" s="1"/>
  <c r="E364" i="54" a="1"/>
  <c r="E364" i="54" s="1"/>
  <c r="D364" i="54" a="1"/>
  <c r="D364" i="54" s="1"/>
  <c r="C364" i="54" a="1"/>
  <c r="C364" i="54" s="1"/>
  <c r="A364" i="54" a="1"/>
  <c r="A364" i="54" s="1"/>
  <c r="N363" i="54" a="1"/>
  <c r="N363" i="54" s="1"/>
  <c r="O363" i="54" s="1"/>
  <c r="M363" i="54" a="1"/>
  <c r="M363" i="54" s="1"/>
  <c r="L363" i="54" a="1"/>
  <c r="L363" i="54" s="1"/>
  <c r="K363" i="54" a="1"/>
  <c r="K363" i="54" s="1"/>
  <c r="J363" i="54" a="1"/>
  <c r="J363" i="54" s="1"/>
  <c r="I363" i="54" a="1"/>
  <c r="I363" i="54" s="1"/>
  <c r="H363" i="54" a="1"/>
  <c r="H363" i="54" s="1"/>
  <c r="G363" i="54" a="1"/>
  <c r="G363" i="54" s="1"/>
  <c r="F363" i="54" a="1"/>
  <c r="F363" i="54" s="1"/>
  <c r="E363" i="54" a="1"/>
  <c r="E363" i="54" s="1"/>
  <c r="D363" i="54" a="1"/>
  <c r="D363" i="54" s="1"/>
  <c r="C363" i="54" a="1"/>
  <c r="C363" i="54" s="1"/>
  <c r="A363" i="54" a="1"/>
  <c r="A363" i="54" s="1"/>
  <c r="N362" i="54" a="1"/>
  <c r="N362" i="54" s="1"/>
  <c r="O362" i="54" s="1"/>
  <c r="M362" i="54" a="1"/>
  <c r="M362" i="54" s="1"/>
  <c r="L362" i="54" a="1"/>
  <c r="L362" i="54" s="1"/>
  <c r="K362" i="54" a="1"/>
  <c r="K362" i="54" s="1"/>
  <c r="J362" i="54" a="1"/>
  <c r="J362" i="54" s="1"/>
  <c r="I362" i="54" a="1"/>
  <c r="I362" i="54" s="1"/>
  <c r="H362" i="54" a="1"/>
  <c r="H362" i="54" s="1"/>
  <c r="G362" i="54" a="1"/>
  <c r="G362" i="54" s="1"/>
  <c r="F362" i="54" a="1"/>
  <c r="F362" i="54" s="1"/>
  <c r="E362" i="54" a="1"/>
  <c r="E362" i="54" s="1"/>
  <c r="D362" i="54" a="1"/>
  <c r="D362" i="54" s="1"/>
  <c r="C362" i="54" a="1"/>
  <c r="C362" i="54" s="1"/>
  <c r="A362" i="54" a="1"/>
  <c r="A362" i="54" s="1"/>
  <c r="N361" i="54" a="1"/>
  <c r="N361" i="54" s="1"/>
  <c r="O361" i="54" s="1"/>
  <c r="M361" i="54" a="1"/>
  <c r="M361" i="54" s="1"/>
  <c r="L361" i="54" a="1"/>
  <c r="L361" i="54" s="1"/>
  <c r="K361" i="54" a="1"/>
  <c r="K361" i="54" s="1"/>
  <c r="J361" i="54" a="1"/>
  <c r="J361" i="54" s="1"/>
  <c r="I361" i="54" a="1"/>
  <c r="I361" i="54" s="1"/>
  <c r="H361" i="54" a="1"/>
  <c r="H361" i="54" s="1"/>
  <c r="G361" i="54" a="1"/>
  <c r="G361" i="54" s="1"/>
  <c r="F361" i="54" a="1"/>
  <c r="F361" i="54" s="1"/>
  <c r="E361" i="54" a="1"/>
  <c r="E361" i="54" s="1"/>
  <c r="D361" i="54" a="1"/>
  <c r="D361" i="54" s="1"/>
  <c r="C361" i="54" a="1"/>
  <c r="C361" i="54" s="1"/>
  <c r="A361" i="54" a="1"/>
  <c r="A361" i="54" s="1"/>
  <c r="N360" i="54" a="1"/>
  <c r="N360" i="54" s="1"/>
  <c r="O360" i="54" s="1"/>
  <c r="M360" i="54" a="1"/>
  <c r="M360" i="54" s="1"/>
  <c r="L360" i="54" a="1"/>
  <c r="L360" i="54" s="1"/>
  <c r="K360" i="54" a="1"/>
  <c r="K360" i="54" s="1"/>
  <c r="J360" i="54" a="1"/>
  <c r="J360" i="54" s="1"/>
  <c r="I360" i="54" a="1"/>
  <c r="I360" i="54" s="1"/>
  <c r="H360" i="54" a="1"/>
  <c r="H360" i="54" s="1"/>
  <c r="G360" i="54" a="1"/>
  <c r="G360" i="54" s="1"/>
  <c r="F360" i="54" a="1"/>
  <c r="F360" i="54" s="1"/>
  <c r="E360" i="54" a="1"/>
  <c r="E360" i="54" s="1"/>
  <c r="D360" i="54" a="1"/>
  <c r="D360" i="54" s="1"/>
  <c r="C360" i="54" a="1"/>
  <c r="C360" i="54" s="1"/>
  <c r="A360" i="54" a="1"/>
  <c r="A360" i="54" s="1"/>
  <c r="N359" i="54" a="1"/>
  <c r="N359" i="54" s="1"/>
  <c r="O359" i="54" s="1"/>
  <c r="M359" i="54" a="1"/>
  <c r="M359" i="54" s="1"/>
  <c r="L359" i="54" a="1"/>
  <c r="L359" i="54" s="1"/>
  <c r="K359" i="54" a="1"/>
  <c r="K359" i="54" s="1"/>
  <c r="J359" i="54" a="1"/>
  <c r="J359" i="54" s="1"/>
  <c r="I359" i="54" a="1"/>
  <c r="I359" i="54" s="1"/>
  <c r="H359" i="54" a="1"/>
  <c r="H359" i="54" s="1"/>
  <c r="G359" i="54" a="1"/>
  <c r="G359" i="54" s="1"/>
  <c r="F359" i="54" a="1"/>
  <c r="F359" i="54" s="1"/>
  <c r="E359" i="54" a="1"/>
  <c r="E359" i="54" s="1"/>
  <c r="D359" i="54" a="1"/>
  <c r="D359" i="54" s="1"/>
  <c r="C359" i="54" a="1"/>
  <c r="C359" i="54" s="1"/>
  <c r="A359" i="54" a="1"/>
  <c r="A359" i="54" s="1"/>
  <c r="N358" i="54" a="1"/>
  <c r="N358" i="54" s="1"/>
  <c r="O358" i="54" s="1"/>
  <c r="M358" i="54" a="1"/>
  <c r="M358" i="54" s="1"/>
  <c r="L358" i="54" a="1"/>
  <c r="L358" i="54" s="1"/>
  <c r="K358" i="54" a="1"/>
  <c r="K358" i="54" s="1"/>
  <c r="J358" i="54" a="1"/>
  <c r="J358" i="54" s="1"/>
  <c r="I358" i="54" a="1"/>
  <c r="I358" i="54" s="1"/>
  <c r="H358" i="54" a="1"/>
  <c r="H358" i="54" s="1"/>
  <c r="G358" i="54" a="1"/>
  <c r="G358" i="54" s="1"/>
  <c r="F358" i="54" a="1"/>
  <c r="F358" i="54" s="1"/>
  <c r="E358" i="54" a="1"/>
  <c r="E358" i="54" s="1"/>
  <c r="D358" i="54" a="1"/>
  <c r="D358" i="54" s="1"/>
  <c r="C358" i="54" a="1"/>
  <c r="C358" i="54" s="1"/>
  <c r="A358" i="54" a="1"/>
  <c r="A358" i="54" s="1"/>
  <c r="N357" i="54" a="1"/>
  <c r="N357" i="54" s="1"/>
  <c r="O357" i="54" s="1"/>
  <c r="M357" i="54" a="1"/>
  <c r="M357" i="54" s="1"/>
  <c r="L357" i="54" a="1"/>
  <c r="L357" i="54" s="1"/>
  <c r="K357" i="54" a="1"/>
  <c r="K357" i="54" s="1"/>
  <c r="J357" i="54" a="1"/>
  <c r="J357" i="54" s="1"/>
  <c r="I357" i="54" a="1"/>
  <c r="I357" i="54" s="1"/>
  <c r="H357" i="54" a="1"/>
  <c r="H357" i="54" s="1"/>
  <c r="G357" i="54" a="1"/>
  <c r="G357" i="54" s="1"/>
  <c r="F357" i="54" a="1"/>
  <c r="F357" i="54" s="1"/>
  <c r="E357" i="54" a="1"/>
  <c r="E357" i="54" s="1"/>
  <c r="D357" i="54" a="1"/>
  <c r="D357" i="54" s="1"/>
  <c r="C357" i="54" a="1"/>
  <c r="C357" i="54" s="1"/>
  <c r="A357" i="54" a="1"/>
  <c r="A357" i="54" s="1"/>
  <c r="N356" i="54" a="1"/>
  <c r="N356" i="54" s="1"/>
  <c r="O356" i="54" s="1"/>
  <c r="M356" i="54" a="1"/>
  <c r="M356" i="54" s="1"/>
  <c r="L356" i="54" a="1"/>
  <c r="L356" i="54" s="1"/>
  <c r="K356" i="54" a="1"/>
  <c r="K356" i="54" s="1"/>
  <c r="J356" i="54" a="1"/>
  <c r="J356" i="54" s="1"/>
  <c r="I356" i="54" a="1"/>
  <c r="I356" i="54" s="1"/>
  <c r="H356" i="54" a="1"/>
  <c r="H356" i="54" s="1"/>
  <c r="G356" i="54" a="1"/>
  <c r="G356" i="54" s="1"/>
  <c r="F356" i="54" a="1"/>
  <c r="F356" i="54" s="1"/>
  <c r="E356" i="54" a="1"/>
  <c r="E356" i="54" s="1"/>
  <c r="D356" i="54" a="1"/>
  <c r="D356" i="54" s="1"/>
  <c r="C356" i="54" a="1"/>
  <c r="C356" i="54" s="1"/>
  <c r="A356" i="54" a="1"/>
  <c r="A356" i="54" s="1"/>
  <c r="N355" i="54" a="1"/>
  <c r="N355" i="54" s="1"/>
  <c r="O355" i="54" s="1"/>
  <c r="M355" i="54" a="1"/>
  <c r="M355" i="54" s="1"/>
  <c r="L355" i="54" a="1"/>
  <c r="L355" i="54" s="1"/>
  <c r="K355" i="54" a="1"/>
  <c r="K355" i="54" s="1"/>
  <c r="J355" i="54" a="1"/>
  <c r="J355" i="54" s="1"/>
  <c r="I355" i="54" a="1"/>
  <c r="I355" i="54" s="1"/>
  <c r="H355" i="54" a="1"/>
  <c r="H355" i="54" s="1"/>
  <c r="G355" i="54" a="1"/>
  <c r="G355" i="54" s="1"/>
  <c r="F355" i="54" a="1"/>
  <c r="F355" i="54" s="1"/>
  <c r="E355" i="54" a="1"/>
  <c r="E355" i="54" s="1"/>
  <c r="D355" i="54" a="1"/>
  <c r="D355" i="54" s="1"/>
  <c r="C355" i="54" a="1"/>
  <c r="C355" i="54" s="1"/>
  <c r="A355" i="54" a="1"/>
  <c r="A355" i="54" s="1"/>
  <c r="N354" i="54" a="1"/>
  <c r="N354" i="54" s="1"/>
  <c r="O354" i="54" s="1"/>
  <c r="M354" i="54" a="1"/>
  <c r="M354" i="54" s="1"/>
  <c r="L354" i="54" a="1"/>
  <c r="L354" i="54" s="1"/>
  <c r="K354" i="54" a="1"/>
  <c r="K354" i="54" s="1"/>
  <c r="J354" i="54" a="1"/>
  <c r="J354" i="54" s="1"/>
  <c r="I354" i="54" a="1"/>
  <c r="I354" i="54" s="1"/>
  <c r="H354" i="54" a="1"/>
  <c r="H354" i="54" s="1"/>
  <c r="G354" i="54" a="1"/>
  <c r="G354" i="54" s="1"/>
  <c r="F354" i="54" a="1"/>
  <c r="F354" i="54" s="1"/>
  <c r="E354" i="54" a="1"/>
  <c r="E354" i="54" s="1"/>
  <c r="D354" i="54" a="1"/>
  <c r="D354" i="54" s="1"/>
  <c r="C354" i="54" a="1"/>
  <c r="C354" i="54" s="1"/>
  <c r="A354" i="54" a="1"/>
  <c r="A354" i="54" s="1"/>
  <c r="N353" i="54" a="1"/>
  <c r="N353" i="54" s="1"/>
  <c r="O353" i="54" s="1"/>
  <c r="M353" i="54" a="1"/>
  <c r="M353" i="54" s="1"/>
  <c r="L353" i="54" a="1"/>
  <c r="L353" i="54" s="1"/>
  <c r="K353" i="54" a="1"/>
  <c r="K353" i="54" s="1"/>
  <c r="J353" i="54" a="1"/>
  <c r="J353" i="54" s="1"/>
  <c r="I353" i="54" a="1"/>
  <c r="I353" i="54" s="1"/>
  <c r="H353" i="54" a="1"/>
  <c r="H353" i="54" s="1"/>
  <c r="G353" i="54" a="1"/>
  <c r="G353" i="54" s="1"/>
  <c r="F353" i="54" a="1"/>
  <c r="F353" i="54" s="1"/>
  <c r="E353" i="54" a="1"/>
  <c r="E353" i="54" s="1"/>
  <c r="D353" i="54" a="1"/>
  <c r="D353" i="54" s="1"/>
  <c r="C353" i="54" a="1"/>
  <c r="C353" i="54" s="1"/>
  <c r="A353" i="54" a="1"/>
  <c r="A353" i="54" s="1"/>
  <c r="N352" i="54" a="1"/>
  <c r="N352" i="54" s="1"/>
  <c r="O352" i="54" s="1"/>
  <c r="M352" i="54" a="1"/>
  <c r="M352" i="54" s="1"/>
  <c r="L352" i="54" a="1"/>
  <c r="L352" i="54" s="1"/>
  <c r="K352" i="54" a="1"/>
  <c r="K352" i="54" s="1"/>
  <c r="J352" i="54" a="1"/>
  <c r="J352" i="54" s="1"/>
  <c r="I352" i="54" a="1"/>
  <c r="I352" i="54" s="1"/>
  <c r="H352" i="54" a="1"/>
  <c r="H352" i="54" s="1"/>
  <c r="G352" i="54" a="1"/>
  <c r="G352" i="54" s="1"/>
  <c r="F352" i="54" a="1"/>
  <c r="F352" i="54" s="1"/>
  <c r="E352" i="54" a="1"/>
  <c r="E352" i="54" s="1"/>
  <c r="D352" i="54" a="1"/>
  <c r="D352" i="54" s="1"/>
  <c r="C352" i="54" a="1"/>
  <c r="C352" i="54" s="1"/>
  <c r="A352" i="54" a="1"/>
  <c r="A352" i="54" s="1"/>
  <c r="N351" i="54" a="1"/>
  <c r="N351" i="54" s="1"/>
  <c r="O351" i="54" s="1"/>
  <c r="M351" i="54" a="1"/>
  <c r="M351" i="54" s="1"/>
  <c r="L351" i="54" a="1"/>
  <c r="L351" i="54" s="1"/>
  <c r="K351" i="54" a="1"/>
  <c r="K351" i="54" s="1"/>
  <c r="J351" i="54" a="1"/>
  <c r="J351" i="54" s="1"/>
  <c r="I351" i="54" a="1"/>
  <c r="I351" i="54" s="1"/>
  <c r="H351" i="54" a="1"/>
  <c r="H351" i="54" s="1"/>
  <c r="G351" i="54" a="1"/>
  <c r="G351" i="54" s="1"/>
  <c r="F351" i="54" a="1"/>
  <c r="F351" i="54" s="1"/>
  <c r="E351" i="54" a="1"/>
  <c r="E351" i="54" s="1"/>
  <c r="D351" i="54" a="1"/>
  <c r="D351" i="54" s="1"/>
  <c r="C351" i="54" a="1"/>
  <c r="C351" i="54" s="1"/>
  <c r="A351" i="54" a="1"/>
  <c r="A351" i="54" s="1"/>
  <c r="N350" i="54" a="1"/>
  <c r="N350" i="54" s="1"/>
  <c r="O350" i="54" s="1"/>
  <c r="M350" i="54" a="1"/>
  <c r="M350" i="54" s="1"/>
  <c r="L350" i="54" a="1"/>
  <c r="L350" i="54" s="1"/>
  <c r="K350" i="54" a="1"/>
  <c r="K350" i="54" s="1"/>
  <c r="J350" i="54" a="1"/>
  <c r="J350" i="54" s="1"/>
  <c r="I350" i="54" a="1"/>
  <c r="I350" i="54" s="1"/>
  <c r="H350" i="54" a="1"/>
  <c r="H350" i="54" s="1"/>
  <c r="G350" i="54" a="1"/>
  <c r="G350" i="54" s="1"/>
  <c r="F350" i="54" a="1"/>
  <c r="F350" i="54" s="1"/>
  <c r="E350" i="54" a="1"/>
  <c r="E350" i="54" s="1"/>
  <c r="D350" i="54" a="1"/>
  <c r="D350" i="54" s="1"/>
  <c r="C350" i="54" a="1"/>
  <c r="C350" i="54" s="1"/>
  <c r="A350" i="54" a="1"/>
  <c r="A350" i="54" s="1"/>
  <c r="N349" i="54" a="1"/>
  <c r="N349" i="54" s="1"/>
  <c r="O349" i="54" s="1"/>
  <c r="M349" i="54" a="1"/>
  <c r="M349" i="54" s="1"/>
  <c r="L349" i="54" a="1"/>
  <c r="L349" i="54" s="1"/>
  <c r="K349" i="54" a="1"/>
  <c r="K349" i="54" s="1"/>
  <c r="J349" i="54" a="1"/>
  <c r="J349" i="54" s="1"/>
  <c r="I349" i="54" a="1"/>
  <c r="I349" i="54" s="1"/>
  <c r="H349" i="54" a="1"/>
  <c r="H349" i="54" s="1"/>
  <c r="G349" i="54" a="1"/>
  <c r="G349" i="54" s="1"/>
  <c r="F349" i="54" a="1"/>
  <c r="F349" i="54" s="1"/>
  <c r="E349" i="54" a="1"/>
  <c r="E349" i="54" s="1"/>
  <c r="D349" i="54" a="1"/>
  <c r="D349" i="54" s="1"/>
  <c r="C349" i="54" a="1"/>
  <c r="C349" i="54" s="1"/>
  <c r="A349" i="54" a="1"/>
  <c r="A349" i="54" s="1"/>
  <c r="N348" i="54" a="1"/>
  <c r="N348" i="54" s="1"/>
  <c r="O348" i="54" s="1"/>
  <c r="M348" i="54" a="1"/>
  <c r="M348" i="54" s="1"/>
  <c r="L348" i="54" a="1"/>
  <c r="L348" i="54" s="1"/>
  <c r="K348" i="54" a="1"/>
  <c r="K348" i="54" s="1"/>
  <c r="J348" i="54" a="1"/>
  <c r="J348" i="54" s="1"/>
  <c r="I348" i="54" a="1"/>
  <c r="I348" i="54" s="1"/>
  <c r="H348" i="54" a="1"/>
  <c r="H348" i="54" s="1"/>
  <c r="G348" i="54" a="1"/>
  <c r="G348" i="54" s="1"/>
  <c r="F348" i="54" a="1"/>
  <c r="F348" i="54" s="1"/>
  <c r="E348" i="54" a="1"/>
  <c r="E348" i="54" s="1"/>
  <c r="D348" i="54" a="1"/>
  <c r="D348" i="54" s="1"/>
  <c r="C348" i="54" a="1"/>
  <c r="C348" i="54" s="1"/>
  <c r="A348" i="54" a="1"/>
  <c r="A348" i="54" s="1"/>
  <c r="N347" i="54" a="1"/>
  <c r="N347" i="54" s="1"/>
  <c r="O347" i="54" s="1"/>
  <c r="M347" i="54" a="1"/>
  <c r="M347" i="54" s="1"/>
  <c r="L347" i="54" a="1"/>
  <c r="L347" i="54" s="1"/>
  <c r="K347" i="54" a="1"/>
  <c r="K347" i="54" s="1"/>
  <c r="J347" i="54" a="1"/>
  <c r="J347" i="54" s="1"/>
  <c r="I347" i="54" a="1"/>
  <c r="I347" i="54" s="1"/>
  <c r="H347" i="54" a="1"/>
  <c r="H347" i="54" s="1"/>
  <c r="G347" i="54" a="1"/>
  <c r="G347" i="54" s="1"/>
  <c r="F347" i="54" a="1"/>
  <c r="F347" i="54" s="1"/>
  <c r="E347" i="54" a="1"/>
  <c r="E347" i="54" s="1"/>
  <c r="D347" i="54" a="1"/>
  <c r="D347" i="54" s="1"/>
  <c r="C347" i="54" a="1"/>
  <c r="C347" i="54" s="1"/>
  <c r="A347" i="54" a="1"/>
  <c r="A347" i="54" s="1"/>
  <c r="N346" i="54" a="1"/>
  <c r="N346" i="54" s="1"/>
  <c r="O346" i="54" s="1"/>
  <c r="M346" i="54" a="1"/>
  <c r="M346" i="54" s="1"/>
  <c r="L346" i="54" a="1"/>
  <c r="L346" i="54" s="1"/>
  <c r="K346" i="54" a="1"/>
  <c r="K346" i="54" s="1"/>
  <c r="J346" i="54" a="1"/>
  <c r="J346" i="54" s="1"/>
  <c r="I346" i="54" a="1"/>
  <c r="I346" i="54" s="1"/>
  <c r="H346" i="54" a="1"/>
  <c r="H346" i="54" s="1"/>
  <c r="G346" i="54" a="1"/>
  <c r="G346" i="54" s="1"/>
  <c r="F346" i="54" a="1"/>
  <c r="F346" i="54" s="1"/>
  <c r="E346" i="54" a="1"/>
  <c r="E346" i="54" s="1"/>
  <c r="D346" i="54" a="1"/>
  <c r="D346" i="54" s="1"/>
  <c r="C346" i="54" a="1"/>
  <c r="C346" i="54" s="1"/>
  <c r="A346" i="54" a="1"/>
  <c r="A346" i="54" s="1"/>
  <c r="N345" i="54" a="1"/>
  <c r="N345" i="54" s="1"/>
  <c r="O345" i="54" s="1"/>
  <c r="M345" i="54" a="1"/>
  <c r="M345" i="54" s="1"/>
  <c r="L345" i="54" a="1"/>
  <c r="L345" i="54" s="1"/>
  <c r="K345" i="54" a="1"/>
  <c r="K345" i="54" s="1"/>
  <c r="J345" i="54" a="1"/>
  <c r="J345" i="54" s="1"/>
  <c r="I345" i="54" a="1"/>
  <c r="I345" i="54" s="1"/>
  <c r="H345" i="54" a="1"/>
  <c r="H345" i="54" s="1"/>
  <c r="G345" i="54" a="1"/>
  <c r="G345" i="54" s="1"/>
  <c r="F345" i="54" a="1"/>
  <c r="F345" i="54" s="1"/>
  <c r="E345" i="54" a="1"/>
  <c r="E345" i="54" s="1"/>
  <c r="D345" i="54" a="1"/>
  <c r="D345" i="54" s="1"/>
  <c r="C345" i="54" a="1"/>
  <c r="C345" i="54" s="1"/>
  <c r="A345" i="54" a="1"/>
  <c r="A345" i="54" s="1"/>
  <c r="N344" i="54" a="1"/>
  <c r="N344" i="54" s="1"/>
  <c r="O344" i="54" s="1"/>
  <c r="M344" i="54" a="1"/>
  <c r="M344" i="54" s="1"/>
  <c r="L344" i="54" a="1"/>
  <c r="L344" i="54" s="1"/>
  <c r="K344" i="54" a="1"/>
  <c r="K344" i="54" s="1"/>
  <c r="J344" i="54" a="1"/>
  <c r="J344" i="54" s="1"/>
  <c r="I344" i="54" a="1"/>
  <c r="I344" i="54" s="1"/>
  <c r="H344" i="54" a="1"/>
  <c r="H344" i="54" s="1"/>
  <c r="G344" i="54" a="1"/>
  <c r="G344" i="54" s="1"/>
  <c r="F344" i="54" a="1"/>
  <c r="F344" i="54" s="1"/>
  <c r="E344" i="54" a="1"/>
  <c r="E344" i="54" s="1"/>
  <c r="D344" i="54" a="1"/>
  <c r="D344" i="54" s="1"/>
  <c r="C344" i="54" a="1"/>
  <c r="C344" i="54" s="1"/>
  <c r="A344" i="54" a="1"/>
  <c r="A344" i="54" s="1"/>
  <c r="N343" i="54" a="1"/>
  <c r="N343" i="54" s="1"/>
  <c r="O343" i="54" s="1"/>
  <c r="M343" i="54" a="1"/>
  <c r="M343" i="54" s="1"/>
  <c r="L343" i="54" a="1"/>
  <c r="L343" i="54" s="1"/>
  <c r="K343" i="54" a="1"/>
  <c r="K343" i="54" s="1"/>
  <c r="J343" i="54" a="1"/>
  <c r="J343" i="54" s="1"/>
  <c r="I343" i="54" a="1"/>
  <c r="I343" i="54" s="1"/>
  <c r="H343" i="54" a="1"/>
  <c r="H343" i="54" s="1"/>
  <c r="G343" i="54" a="1"/>
  <c r="G343" i="54" s="1"/>
  <c r="F343" i="54" a="1"/>
  <c r="F343" i="54" s="1"/>
  <c r="E343" i="54" a="1"/>
  <c r="E343" i="54" s="1"/>
  <c r="D343" i="54" a="1"/>
  <c r="D343" i="54" s="1"/>
  <c r="C343" i="54" a="1"/>
  <c r="C343" i="54" s="1"/>
  <c r="A343" i="54" a="1"/>
  <c r="A343" i="54" s="1"/>
  <c r="N342" i="54" a="1"/>
  <c r="N342" i="54" s="1"/>
  <c r="O342" i="54" s="1"/>
  <c r="M342" i="54" a="1"/>
  <c r="M342" i="54" s="1"/>
  <c r="L342" i="54" a="1"/>
  <c r="L342" i="54" s="1"/>
  <c r="K342" i="54" a="1"/>
  <c r="K342" i="54" s="1"/>
  <c r="J342" i="54" a="1"/>
  <c r="J342" i="54" s="1"/>
  <c r="I342" i="54" a="1"/>
  <c r="I342" i="54" s="1"/>
  <c r="H342" i="54" a="1"/>
  <c r="H342" i="54" s="1"/>
  <c r="G342" i="54" a="1"/>
  <c r="G342" i="54" s="1"/>
  <c r="F342" i="54" a="1"/>
  <c r="F342" i="54" s="1"/>
  <c r="E342" i="54" a="1"/>
  <c r="E342" i="54" s="1"/>
  <c r="D342" i="54" a="1"/>
  <c r="D342" i="54" s="1"/>
  <c r="C342" i="54" a="1"/>
  <c r="C342" i="54" s="1"/>
  <c r="A342" i="54" a="1"/>
  <c r="A342" i="54" s="1"/>
  <c r="N341" i="54" a="1"/>
  <c r="N341" i="54" s="1"/>
  <c r="O341" i="54" s="1"/>
  <c r="M341" i="54" a="1"/>
  <c r="M341" i="54" s="1"/>
  <c r="L341" i="54" a="1"/>
  <c r="L341" i="54" s="1"/>
  <c r="K341" i="54" a="1"/>
  <c r="K341" i="54" s="1"/>
  <c r="J341" i="54" a="1"/>
  <c r="J341" i="54" s="1"/>
  <c r="I341" i="54" a="1"/>
  <c r="I341" i="54" s="1"/>
  <c r="H341" i="54" a="1"/>
  <c r="H341" i="54" s="1"/>
  <c r="G341" i="54" a="1"/>
  <c r="G341" i="54" s="1"/>
  <c r="F341" i="54" a="1"/>
  <c r="F341" i="54" s="1"/>
  <c r="E341" i="54" a="1"/>
  <c r="E341" i="54" s="1"/>
  <c r="D341" i="54" a="1"/>
  <c r="D341" i="54" s="1"/>
  <c r="C341" i="54" a="1"/>
  <c r="C341" i="54" s="1"/>
  <c r="A341" i="54" a="1"/>
  <c r="A341" i="54" s="1"/>
  <c r="N340" i="54" a="1"/>
  <c r="N340" i="54" s="1"/>
  <c r="O340" i="54" s="1"/>
  <c r="M340" i="54" a="1"/>
  <c r="M340" i="54" s="1"/>
  <c r="L340" i="54" a="1"/>
  <c r="L340" i="54" s="1"/>
  <c r="K340" i="54" a="1"/>
  <c r="K340" i="54" s="1"/>
  <c r="J340" i="54" a="1"/>
  <c r="J340" i="54" s="1"/>
  <c r="I340" i="54" a="1"/>
  <c r="I340" i="54" s="1"/>
  <c r="H340" i="54" a="1"/>
  <c r="H340" i="54" s="1"/>
  <c r="G340" i="54" a="1"/>
  <c r="G340" i="54" s="1"/>
  <c r="F340" i="54" a="1"/>
  <c r="F340" i="54" s="1"/>
  <c r="E340" i="54" a="1"/>
  <c r="E340" i="54" s="1"/>
  <c r="D340" i="54" a="1"/>
  <c r="D340" i="54" s="1"/>
  <c r="C340" i="54" a="1"/>
  <c r="C340" i="54" s="1"/>
  <c r="A340" i="54" a="1"/>
  <c r="A340" i="54" s="1"/>
  <c r="N339" i="54" a="1"/>
  <c r="N339" i="54" s="1"/>
  <c r="O339" i="54" s="1"/>
  <c r="M339" i="54" a="1"/>
  <c r="M339" i="54" s="1"/>
  <c r="L339" i="54" a="1"/>
  <c r="L339" i="54" s="1"/>
  <c r="K339" i="54" a="1"/>
  <c r="K339" i="54" s="1"/>
  <c r="J339" i="54" a="1"/>
  <c r="J339" i="54" s="1"/>
  <c r="I339" i="54" a="1"/>
  <c r="I339" i="54" s="1"/>
  <c r="H339" i="54" a="1"/>
  <c r="H339" i="54" s="1"/>
  <c r="G339" i="54" a="1"/>
  <c r="G339" i="54" s="1"/>
  <c r="F339" i="54" a="1"/>
  <c r="F339" i="54" s="1"/>
  <c r="E339" i="54" a="1"/>
  <c r="E339" i="54" s="1"/>
  <c r="D339" i="54" a="1"/>
  <c r="D339" i="54" s="1"/>
  <c r="C339" i="54" a="1"/>
  <c r="C339" i="54" s="1"/>
  <c r="A339" i="54" a="1"/>
  <c r="A339" i="54" s="1"/>
  <c r="N338" i="54" a="1"/>
  <c r="N338" i="54" s="1"/>
  <c r="O338" i="54" s="1"/>
  <c r="M338" i="54" a="1"/>
  <c r="M338" i="54" s="1"/>
  <c r="L338" i="54" a="1"/>
  <c r="L338" i="54" s="1"/>
  <c r="K338" i="54" a="1"/>
  <c r="K338" i="54" s="1"/>
  <c r="J338" i="54" a="1"/>
  <c r="J338" i="54" s="1"/>
  <c r="I338" i="54" a="1"/>
  <c r="I338" i="54" s="1"/>
  <c r="H338" i="54" a="1"/>
  <c r="H338" i="54" s="1"/>
  <c r="G338" i="54" a="1"/>
  <c r="G338" i="54" s="1"/>
  <c r="F338" i="54" a="1"/>
  <c r="F338" i="54" s="1"/>
  <c r="E338" i="54" a="1"/>
  <c r="E338" i="54" s="1"/>
  <c r="D338" i="54" a="1"/>
  <c r="D338" i="54" s="1"/>
  <c r="C338" i="54" a="1"/>
  <c r="C338" i="54" s="1"/>
  <c r="A338" i="54" a="1"/>
  <c r="A338" i="54" s="1"/>
  <c r="N337" i="54" a="1"/>
  <c r="N337" i="54" s="1"/>
  <c r="O337" i="54" s="1"/>
  <c r="M337" i="54" a="1"/>
  <c r="M337" i="54" s="1"/>
  <c r="L337" i="54" a="1"/>
  <c r="L337" i="54" s="1"/>
  <c r="K337" i="54" a="1"/>
  <c r="K337" i="54" s="1"/>
  <c r="J337" i="54" a="1"/>
  <c r="J337" i="54" s="1"/>
  <c r="I337" i="54" a="1"/>
  <c r="I337" i="54" s="1"/>
  <c r="H337" i="54" a="1"/>
  <c r="H337" i="54" s="1"/>
  <c r="G337" i="54" a="1"/>
  <c r="G337" i="54" s="1"/>
  <c r="F337" i="54" a="1"/>
  <c r="F337" i="54" s="1"/>
  <c r="E337" i="54" a="1"/>
  <c r="E337" i="54" s="1"/>
  <c r="D337" i="54" a="1"/>
  <c r="D337" i="54" s="1"/>
  <c r="C337" i="54" a="1"/>
  <c r="C337" i="54" s="1"/>
  <c r="A337" i="54" a="1"/>
  <c r="A337" i="54" s="1"/>
  <c r="N336" i="54" a="1"/>
  <c r="N336" i="54" s="1"/>
  <c r="O336" i="54" s="1"/>
  <c r="M336" i="54" a="1"/>
  <c r="M336" i="54" s="1"/>
  <c r="L336" i="54" a="1"/>
  <c r="L336" i="54" s="1"/>
  <c r="K336" i="54" a="1"/>
  <c r="K336" i="54" s="1"/>
  <c r="J336" i="54" a="1"/>
  <c r="J336" i="54" s="1"/>
  <c r="I336" i="54" a="1"/>
  <c r="I336" i="54" s="1"/>
  <c r="H336" i="54" a="1"/>
  <c r="H336" i="54" s="1"/>
  <c r="G336" i="54" a="1"/>
  <c r="G336" i="54" s="1"/>
  <c r="F336" i="54" a="1"/>
  <c r="F336" i="54" s="1"/>
  <c r="E336" i="54" a="1"/>
  <c r="E336" i="54" s="1"/>
  <c r="D336" i="54" a="1"/>
  <c r="D336" i="54" s="1"/>
  <c r="C336" i="54" a="1"/>
  <c r="C336" i="54" s="1"/>
  <c r="A336" i="54" a="1"/>
  <c r="A336" i="54" s="1"/>
  <c r="N335" i="54" a="1"/>
  <c r="N335" i="54" s="1"/>
  <c r="O335" i="54" s="1"/>
  <c r="M335" i="54" a="1"/>
  <c r="M335" i="54" s="1"/>
  <c r="L335" i="54" a="1"/>
  <c r="L335" i="54" s="1"/>
  <c r="K335" i="54" a="1"/>
  <c r="K335" i="54" s="1"/>
  <c r="J335" i="54" a="1"/>
  <c r="J335" i="54" s="1"/>
  <c r="I335" i="54" a="1"/>
  <c r="I335" i="54" s="1"/>
  <c r="H335" i="54" a="1"/>
  <c r="H335" i="54" s="1"/>
  <c r="G335" i="54" a="1"/>
  <c r="G335" i="54" s="1"/>
  <c r="F335" i="54" a="1"/>
  <c r="F335" i="54" s="1"/>
  <c r="E335" i="54" a="1"/>
  <c r="E335" i="54" s="1"/>
  <c r="D335" i="54" a="1"/>
  <c r="D335" i="54" s="1"/>
  <c r="C335" i="54" a="1"/>
  <c r="C335" i="54" s="1"/>
  <c r="A335" i="54" a="1"/>
  <c r="A335" i="54" s="1"/>
  <c r="N334" i="54" a="1"/>
  <c r="N334" i="54" s="1"/>
  <c r="O334" i="54" s="1"/>
  <c r="M334" i="54" a="1"/>
  <c r="M334" i="54" s="1"/>
  <c r="L334" i="54" a="1"/>
  <c r="L334" i="54" s="1"/>
  <c r="K334" i="54" a="1"/>
  <c r="K334" i="54" s="1"/>
  <c r="J334" i="54" a="1"/>
  <c r="J334" i="54" s="1"/>
  <c r="I334" i="54" a="1"/>
  <c r="I334" i="54" s="1"/>
  <c r="H334" i="54" a="1"/>
  <c r="H334" i="54" s="1"/>
  <c r="G334" i="54" a="1"/>
  <c r="G334" i="54" s="1"/>
  <c r="F334" i="54" a="1"/>
  <c r="F334" i="54" s="1"/>
  <c r="E334" i="54" a="1"/>
  <c r="E334" i="54" s="1"/>
  <c r="D334" i="54" a="1"/>
  <c r="D334" i="54" s="1"/>
  <c r="C334" i="54" a="1"/>
  <c r="C334" i="54" s="1"/>
  <c r="A334" i="54" a="1"/>
  <c r="A334" i="54" s="1"/>
  <c r="N333" i="54" a="1"/>
  <c r="N333" i="54" s="1"/>
  <c r="O333" i="54" s="1"/>
  <c r="M333" i="54" a="1"/>
  <c r="M333" i="54" s="1"/>
  <c r="L333" i="54" a="1"/>
  <c r="L333" i="54" s="1"/>
  <c r="K333" i="54" a="1"/>
  <c r="K333" i="54" s="1"/>
  <c r="J333" i="54" a="1"/>
  <c r="J333" i="54" s="1"/>
  <c r="I333" i="54" a="1"/>
  <c r="I333" i="54" s="1"/>
  <c r="H333" i="54" a="1"/>
  <c r="H333" i="54" s="1"/>
  <c r="G333" i="54" a="1"/>
  <c r="G333" i="54" s="1"/>
  <c r="F333" i="54" a="1"/>
  <c r="F333" i="54" s="1"/>
  <c r="E333" i="54" a="1"/>
  <c r="E333" i="54" s="1"/>
  <c r="D333" i="54" a="1"/>
  <c r="D333" i="54" s="1"/>
  <c r="C333" i="54" a="1"/>
  <c r="C333" i="54" s="1"/>
  <c r="A333" i="54" a="1"/>
  <c r="A333" i="54" s="1"/>
  <c r="N332" i="54" a="1"/>
  <c r="N332" i="54" s="1"/>
  <c r="O332" i="54" s="1"/>
  <c r="M332" i="54" a="1"/>
  <c r="M332" i="54" s="1"/>
  <c r="L332" i="54" a="1"/>
  <c r="L332" i="54" s="1"/>
  <c r="K332" i="54" a="1"/>
  <c r="K332" i="54" s="1"/>
  <c r="J332" i="54" a="1"/>
  <c r="J332" i="54" s="1"/>
  <c r="I332" i="54" a="1"/>
  <c r="I332" i="54" s="1"/>
  <c r="H332" i="54" a="1"/>
  <c r="H332" i="54" s="1"/>
  <c r="G332" i="54" a="1"/>
  <c r="G332" i="54" s="1"/>
  <c r="F332" i="54" a="1"/>
  <c r="F332" i="54" s="1"/>
  <c r="E332" i="54" a="1"/>
  <c r="E332" i="54" s="1"/>
  <c r="D332" i="54" a="1"/>
  <c r="D332" i="54" s="1"/>
  <c r="C332" i="54" a="1"/>
  <c r="C332" i="54" s="1"/>
  <c r="A332" i="54" a="1"/>
  <c r="A332" i="54" s="1"/>
  <c r="N331" i="54" a="1"/>
  <c r="N331" i="54" s="1"/>
  <c r="O331" i="54" s="1"/>
  <c r="M331" i="54" a="1"/>
  <c r="M331" i="54" s="1"/>
  <c r="L331" i="54" a="1"/>
  <c r="L331" i="54" s="1"/>
  <c r="K331" i="54" a="1"/>
  <c r="K331" i="54" s="1"/>
  <c r="J331" i="54" a="1"/>
  <c r="J331" i="54" s="1"/>
  <c r="I331" i="54" a="1"/>
  <c r="I331" i="54" s="1"/>
  <c r="H331" i="54" a="1"/>
  <c r="H331" i="54" s="1"/>
  <c r="G331" i="54" a="1"/>
  <c r="G331" i="54" s="1"/>
  <c r="F331" i="54" a="1"/>
  <c r="F331" i="54" s="1"/>
  <c r="E331" i="54" a="1"/>
  <c r="E331" i="54" s="1"/>
  <c r="D331" i="54" a="1"/>
  <c r="D331" i="54" s="1"/>
  <c r="C331" i="54" a="1"/>
  <c r="C331" i="54" s="1"/>
  <c r="A331" i="54" a="1"/>
  <c r="A331" i="54" s="1"/>
  <c r="N330" i="54" a="1"/>
  <c r="N330" i="54" s="1"/>
  <c r="O330" i="54" s="1"/>
  <c r="M330" i="54" a="1"/>
  <c r="M330" i="54" s="1"/>
  <c r="L330" i="54" a="1"/>
  <c r="L330" i="54" s="1"/>
  <c r="K330" i="54" a="1"/>
  <c r="K330" i="54" s="1"/>
  <c r="J330" i="54" a="1"/>
  <c r="J330" i="54" s="1"/>
  <c r="I330" i="54" a="1"/>
  <c r="I330" i="54" s="1"/>
  <c r="H330" i="54" a="1"/>
  <c r="H330" i="54" s="1"/>
  <c r="G330" i="54" a="1"/>
  <c r="G330" i="54" s="1"/>
  <c r="F330" i="54" a="1"/>
  <c r="F330" i="54" s="1"/>
  <c r="E330" i="54" a="1"/>
  <c r="E330" i="54" s="1"/>
  <c r="D330" i="54" a="1"/>
  <c r="D330" i="54" s="1"/>
  <c r="C330" i="54" a="1"/>
  <c r="C330" i="54" s="1"/>
  <c r="A330" i="54" a="1"/>
  <c r="A330" i="54" s="1"/>
  <c r="N329" i="54" a="1"/>
  <c r="N329" i="54" s="1"/>
  <c r="O329" i="54" s="1"/>
  <c r="M329" i="54" a="1"/>
  <c r="M329" i="54" s="1"/>
  <c r="L329" i="54" a="1"/>
  <c r="L329" i="54" s="1"/>
  <c r="K329" i="54" a="1"/>
  <c r="K329" i="54" s="1"/>
  <c r="J329" i="54" a="1"/>
  <c r="J329" i="54" s="1"/>
  <c r="I329" i="54" a="1"/>
  <c r="I329" i="54" s="1"/>
  <c r="H329" i="54" a="1"/>
  <c r="H329" i="54" s="1"/>
  <c r="G329" i="54" a="1"/>
  <c r="G329" i="54" s="1"/>
  <c r="F329" i="54" a="1"/>
  <c r="F329" i="54" s="1"/>
  <c r="E329" i="54" a="1"/>
  <c r="E329" i="54" s="1"/>
  <c r="D329" i="54" a="1"/>
  <c r="D329" i="54" s="1"/>
  <c r="C329" i="54" a="1"/>
  <c r="C329" i="54" s="1"/>
  <c r="A329" i="54" a="1"/>
  <c r="A329" i="54" s="1"/>
  <c r="N328" i="54" a="1"/>
  <c r="N328" i="54" s="1"/>
  <c r="O328" i="54" s="1"/>
  <c r="M328" i="54" a="1"/>
  <c r="M328" i="54" s="1"/>
  <c r="L328" i="54" a="1"/>
  <c r="L328" i="54" s="1"/>
  <c r="K328" i="54" a="1"/>
  <c r="K328" i="54" s="1"/>
  <c r="J328" i="54" a="1"/>
  <c r="J328" i="54" s="1"/>
  <c r="I328" i="54" a="1"/>
  <c r="I328" i="54" s="1"/>
  <c r="H328" i="54" a="1"/>
  <c r="H328" i="54" s="1"/>
  <c r="G328" i="54" a="1"/>
  <c r="G328" i="54" s="1"/>
  <c r="F328" i="54" a="1"/>
  <c r="F328" i="54" s="1"/>
  <c r="E328" i="54" a="1"/>
  <c r="E328" i="54" s="1"/>
  <c r="D328" i="54" a="1"/>
  <c r="D328" i="54" s="1"/>
  <c r="C328" i="54" a="1"/>
  <c r="C328" i="54" s="1"/>
  <c r="A328" i="54" a="1"/>
  <c r="A328" i="54" s="1"/>
  <c r="N327" i="54" a="1"/>
  <c r="N327" i="54" s="1"/>
  <c r="O327" i="54" s="1"/>
  <c r="M327" i="54" a="1"/>
  <c r="M327" i="54" s="1"/>
  <c r="L327" i="54" a="1"/>
  <c r="L327" i="54" s="1"/>
  <c r="K327" i="54" a="1"/>
  <c r="K327" i="54" s="1"/>
  <c r="J327" i="54" a="1"/>
  <c r="J327" i="54" s="1"/>
  <c r="I327" i="54" a="1"/>
  <c r="I327" i="54" s="1"/>
  <c r="H327" i="54" a="1"/>
  <c r="H327" i="54" s="1"/>
  <c r="G327" i="54" a="1"/>
  <c r="G327" i="54" s="1"/>
  <c r="F327" i="54" a="1"/>
  <c r="F327" i="54" s="1"/>
  <c r="E327" i="54" a="1"/>
  <c r="E327" i="54" s="1"/>
  <c r="D327" i="54" a="1"/>
  <c r="D327" i="54" s="1"/>
  <c r="C327" i="54" a="1"/>
  <c r="C327" i="54" s="1"/>
  <c r="A327" i="54" a="1"/>
  <c r="A327" i="54" s="1"/>
  <c r="N326" i="54" a="1"/>
  <c r="N326" i="54" s="1"/>
  <c r="O326" i="54" s="1"/>
  <c r="M326" i="54" a="1"/>
  <c r="M326" i="54" s="1"/>
  <c r="L326" i="54" a="1"/>
  <c r="L326" i="54" s="1"/>
  <c r="K326" i="54" a="1"/>
  <c r="K326" i="54" s="1"/>
  <c r="J326" i="54" a="1"/>
  <c r="J326" i="54" s="1"/>
  <c r="I326" i="54" a="1"/>
  <c r="I326" i="54" s="1"/>
  <c r="H326" i="54" a="1"/>
  <c r="H326" i="54" s="1"/>
  <c r="G326" i="54" a="1"/>
  <c r="G326" i="54" s="1"/>
  <c r="F326" i="54" a="1"/>
  <c r="F326" i="54" s="1"/>
  <c r="E326" i="54" a="1"/>
  <c r="E326" i="54" s="1"/>
  <c r="D326" i="54" a="1"/>
  <c r="D326" i="54" s="1"/>
  <c r="C326" i="54" a="1"/>
  <c r="C326" i="54" s="1"/>
  <c r="A326" i="54" a="1"/>
  <c r="A326" i="54" s="1"/>
  <c r="N325" i="54" a="1"/>
  <c r="N325" i="54" s="1"/>
  <c r="O325" i="54" s="1"/>
  <c r="M325" i="54" a="1"/>
  <c r="M325" i="54" s="1"/>
  <c r="L325" i="54" a="1"/>
  <c r="L325" i="54" s="1"/>
  <c r="K325" i="54" a="1"/>
  <c r="K325" i="54" s="1"/>
  <c r="J325" i="54" a="1"/>
  <c r="J325" i="54" s="1"/>
  <c r="I325" i="54" a="1"/>
  <c r="I325" i="54" s="1"/>
  <c r="H325" i="54" a="1"/>
  <c r="H325" i="54" s="1"/>
  <c r="G325" i="54" a="1"/>
  <c r="G325" i="54" s="1"/>
  <c r="F325" i="54" a="1"/>
  <c r="F325" i="54" s="1"/>
  <c r="E325" i="54" a="1"/>
  <c r="E325" i="54" s="1"/>
  <c r="D325" i="54" a="1"/>
  <c r="D325" i="54" s="1"/>
  <c r="C325" i="54" a="1"/>
  <c r="C325" i="54" s="1"/>
  <c r="A325" i="54" a="1"/>
  <c r="A325" i="54" s="1"/>
  <c r="N324" i="54" a="1"/>
  <c r="N324" i="54" s="1"/>
  <c r="O324" i="54" s="1"/>
  <c r="M324" i="54" a="1"/>
  <c r="M324" i="54" s="1"/>
  <c r="L324" i="54" a="1"/>
  <c r="L324" i="54" s="1"/>
  <c r="K324" i="54" a="1"/>
  <c r="K324" i="54" s="1"/>
  <c r="J324" i="54" a="1"/>
  <c r="J324" i="54" s="1"/>
  <c r="I324" i="54" a="1"/>
  <c r="I324" i="54" s="1"/>
  <c r="H324" i="54" a="1"/>
  <c r="H324" i="54" s="1"/>
  <c r="G324" i="54" a="1"/>
  <c r="G324" i="54" s="1"/>
  <c r="F324" i="54" a="1"/>
  <c r="F324" i="54" s="1"/>
  <c r="E324" i="54" a="1"/>
  <c r="E324" i="54" s="1"/>
  <c r="D324" i="54" a="1"/>
  <c r="D324" i="54" s="1"/>
  <c r="C324" i="54" a="1"/>
  <c r="C324" i="54" s="1"/>
  <c r="A324" i="54" a="1"/>
  <c r="A324" i="54" s="1"/>
  <c r="N323" i="54" a="1"/>
  <c r="N323" i="54" s="1"/>
  <c r="O323" i="54" s="1"/>
  <c r="M323" i="54" a="1"/>
  <c r="M323" i="54" s="1"/>
  <c r="L323" i="54" a="1"/>
  <c r="L323" i="54" s="1"/>
  <c r="K323" i="54" a="1"/>
  <c r="K323" i="54" s="1"/>
  <c r="J323" i="54" a="1"/>
  <c r="J323" i="54" s="1"/>
  <c r="I323" i="54" a="1"/>
  <c r="I323" i="54" s="1"/>
  <c r="H323" i="54" a="1"/>
  <c r="H323" i="54" s="1"/>
  <c r="G323" i="54" a="1"/>
  <c r="G323" i="54" s="1"/>
  <c r="F323" i="54" a="1"/>
  <c r="F323" i="54" s="1"/>
  <c r="E323" i="54" a="1"/>
  <c r="E323" i="54" s="1"/>
  <c r="D323" i="54" a="1"/>
  <c r="D323" i="54" s="1"/>
  <c r="C323" i="54" a="1"/>
  <c r="C323" i="54" s="1"/>
  <c r="A323" i="54" a="1"/>
  <c r="A323" i="54" s="1"/>
  <c r="N322" i="54" a="1"/>
  <c r="N322" i="54" s="1"/>
  <c r="O322" i="54" s="1"/>
  <c r="M322" i="54" a="1"/>
  <c r="M322" i="54" s="1"/>
  <c r="L322" i="54" a="1"/>
  <c r="L322" i="54" s="1"/>
  <c r="K322" i="54" a="1"/>
  <c r="K322" i="54" s="1"/>
  <c r="J322" i="54" a="1"/>
  <c r="J322" i="54" s="1"/>
  <c r="I322" i="54" a="1"/>
  <c r="I322" i="54" s="1"/>
  <c r="H322" i="54" a="1"/>
  <c r="H322" i="54" s="1"/>
  <c r="G322" i="54" a="1"/>
  <c r="G322" i="54" s="1"/>
  <c r="F322" i="54" a="1"/>
  <c r="F322" i="54" s="1"/>
  <c r="E322" i="54" a="1"/>
  <c r="E322" i="54" s="1"/>
  <c r="D322" i="54" a="1"/>
  <c r="D322" i="54" s="1"/>
  <c r="C322" i="54" a="1"/>
  <c r="C322" i="54" s="1"/>
  <c r="A322" i="54" a="1"/>
  <c r="A322" i="54" s="1"/>
  <c r="N321" i="54" a="1"/>
  <c r="N321" i="54" s="1"/>
  <c r="O321" i="54" s="1"/>
  <c r="M321" i="54" a="1"/>
  <c r="M321" i="54" s="1"/>
  <c r="L321" i="54" a="1"/>
  <c r="L321" i="54" s="1"/>
  <c r="K321" i="54" a="1"/>
  <c r="K321" i="54" s="1"/>
  <c r="J321" i="54" a="1"/>
  <c r="J321" i="54" s="1"/>
  <c r="I321" i="54" a="1"/>
  <c r="I321" i="54" s="1"/>
  <c r="H321" i="54" a="1"/>
  <c r="H321" i="54" s="1"/>
  <c r="G321" i="54" a="1"/>
  <c r="G321" i="54" s="1"/>
  <c r="F321" i="54" a="1"/>
  <c r="F321" i="54" s="1"/>
  <c r="E321" i="54" a="1"/>
  <c r="E321" i="54" s="1"/>
  <c r="D321" i="54" a="1"/>
  <c r="D321" i="54" s="1"/>
  <c r="C321" i="54" a="1"/>
  <c r="C321" i="54" s="1"/>
  <c r="A321" i="54" a="1"/>
  <c r="A321" i="54" s="1"/>
  <c r="N320" i="54" a="1"/>
  <c r="N320" i="54" s="1"/>
  <c r="O320" i="54" s="1"/>
  <c r="M320" i="54" a="1"/>
  <c r="M320" i="54" s="1"/>
  <c r="L320" i="54" a="1"/>
  <c r="L320" i="54" s="1"/>
  <c r="K320" i="54" a="1"/>
  <c r="K320" i="54" s="1"/>
  <c r="J320" i="54" a="1"/>
  <c r="J320" i="54" s="1"/>
  <c r="I320" i="54" a="1"/>
  <c r="I320" i="54" s="1"/>
  <c r="H320" i="54" a="1"/>
  <c r="H320" i="54" s="1"/>
  <c r="G320" i="54" a="1"/>
  <c r="G320" i="54" s="1"/>
  <c r="F320" i="54" a="1"/>
  <c r="F320" i="54" s="1"/>
  <c r="E320" i="54" a="1"/>
  <c r="E320" i="54" s="1"/>
  <c r="D320" i="54" a="1"/>
  <c r="D320" i="54" s="1"/>
  <c r="C320" i="54" a="1"/>
  <c r="C320" i="54" s="1"/>
  <c r="A320" i="54" a="1"/>
  <c r="A320" i="54" s="1"/>
  <c r="N319" i="54" a="1"/>
  <c r="N319" i="54" s="1"/>
  <c r="O319" i="54" s="1"/>
  <c r="M319" i="54" a="1"/>
  <c r="M319" i="54" s="1"/>
  <c r="L319" i="54" a="1"/>
  <c r="L319" i="54" s="1"/>
  <c r="K319" i="54" a="1"/>
  <c r="K319" i="54" s="1"/>
  <c r="J319" i="54" a="1"/>
  <c r="J319" i="54" s="1"/>
  <c r="I319" i="54" a="1"/>
  <c r="I319" i="54" s="1"/>
  <c r="H319" i="54" a="1"/>
  <c r="H319" i="54" s="1"/>
  <c r="G319" i="54" a="1"/>
  <c r="G319" i="54" s="1"/>
  <c r="F319" i="54" a="1"/>
  <c r="F319" i="54" s="1"/>
  <c r="E319" i="54" a="1"/>
  <c r="E319" i="54" s="1"/>
  <c r="D319" i="54" a="1"/>
  <c r="D319" i="54" s="1"/>
  <c r="C319" i="54" a="1"/>
  <c r="C319" i="54" s="1"/>
  <c r="A319" i="54" a="1"/>
  <c r="A319" i="54" s="1"/>
  <c r="N318" i="54" a="1"/>
  <c r="N318" i="54" s="1"/>
  <c r="O318" i="54" s="1"/>
  <c r="M318" i="54" a="1"/>
  <c r="M318" i="54" s="1"/>
  <c r="L318" i="54" a="1"/>
  <c r="L318" i="54" s="1"/>
  <c r="K318" i="54" a="1"/>
  <c r="K318" i="54" s="1"/>
  <c r="J318" i="54" a="1"/>
  <c r="J318" i="54" s="1"/>
  <c r="I318" i="54" a="1"/>
  <c r="I318" i="54" s="1"/>
  <c r="H318" i="54" a="1"/>
  <c r="H318" i="54" s="1"/>
  <c r="G318" i="54" a="1"/>
  <c r="G318" i="54" s="1"/>
  <c r="F318" i="54" a="1"/>
  <c r="F318" i="54" s="1"/>
  <c r="E318" i="54" a="1"/>
  <c r="E318" i="54" s="1"/>
  <c r="D318" i="54" a="1"/>
  <c r="D318" i="54" s="1"/>
  <c r="C318" i="54" a="1"/>
  <c r="C318" i="54" s="1"/>
  <c r="A318" i="54" a="1"/>
  <c r="A318" i="54" s="1"/>
  <c r="N317" i="54" a="1"/>
  <c r="N317" i="54" s="1"/>
  <c r="O317" i="54" s="1"/>
  <c r="M317" i="54" a="1"/>
  <c r="M317" i="54" s="1"/>
  <c r="L317" i="54" a="1"/>
  <c r="L317" i="54" s="1"/>
  <c r="K317" i="54" a="1"/>
  <c r="K317" i="54" s="1"/>
  <c r="J317" i="54" a="1"/>
  <c r="J317" i="54" s="1"/>
  <c r="I317" i="54" a="1"/>
  <c r="I317" i="54" s="1"/>
  <c r="H317" i="54" a="1"/>
  <c r="H317" i="54" s="1"/>
  <c r="G317" i="54" a="1"/>
  <c r="G317" i="54" s="1"/>
  <c r="F317" i="54" a="1"/>
  <c r="F317" i="54" s="1"/>
  <c r="E317" i="54" a="1"/>
  <c r="E317" i="54" s="1"/>
  <c r="D317" i="54" a="1"/>
  <c r="D317" i="54" s="1"/>
  <c r="C317" i="54" a="1"/>
  <c r="C317" i="54" s="1"/>
  <c r="A317" i="54" a="1"/>
  <c r="A317" i="54" s="1"/>
  <c r="N316" i="54" a="1"/>
  <c r="N316" i="54" s="1"/>
  <c r="O316" i="54" s="1"/>
  <c r="M316" i="54" a="1"/>
  <c r="M316" i="54" s="1"/>
  <c r="L316" i="54" a="1"/>
  <c r="L316" i="54" s="1"/>
  <c r="K316" i="54" a="1"/>
  <c r="K316" i="54" s="1"/>
  <c r="J316" i="54" a="1"/>
  <c r="J316" i="54" s="1"/>
  <c r="I316" i="54" a="1"/>
  <c r="I316" i="54" s="1"/>
  <c r="H316" i="54" a="1"/>
  <c r="H316" i="54" s="1"/>
  <c r="G316" i="54" a="1"/>
  <c r="G316" i="54" s="1"/>
  <c r="F316" i="54" a="1"/>
  <c r="F316" i="54" s="1"/>
  <c r="E316" i="54" a="1"/>
  <c r="E316" i="54" s="1"/>
  <c r="D316" i="54" a="1"/>
  <c r="D316" i="54" s="1"/>
  <c r="C316" i="54" a="1"/>
  <c r="C316" i="54" s="1"/>
  <c r="A316" i="54" a="1"/>
  <c r="A316" i="54" s="1"/>
  <c r="N315" i="54" a="1"/>
  <c r="N315" i="54" s="1"/>
  <c r="O315" i="54" s="1"/>
  <c r="M315" i="54" a="1"/>
  <c r="M315" i="54" s="1"/>
  <c r="L315" i="54" a="1"/>
  <c r="L315" i="54" s="1"/>
  <c r="K315" i="54" a="1"/>
  <c r="K315" i="54" s="1"/>
  <c r="J315" i="54" a="1"/>
  <c r="J315" i="54" s="1"/>
  <c r="I315" i="54" a="1"/>
  <c r="I315" i="54" s="1"/>
  <c r="H315" i="54" a="1"/>
  <c r="H315" i="54" s="1"/>
  <c r="G315" i="54" a="1"/>
  <c r="G315" i="54" s="1"/>
  <c r="F315" i="54" a="1"/>
  <c r="F315" i="54" s="1"/>
  <c r="E315" i="54" a="1"/>
  <c r="E315" i="54" s="1"/>
  <c r="D315" i="54" a="1"/>
  <c r="D315" i="54" s="1"/>
  <c r="C315" i="54" a="1"/>
  <c r="C315" i="54" s="1"/>
  <c r="A315" i="54" a="1"/>
  <c r="A315" i="54" s="1"/>
  <c r="N314" i="54" a="1"/>
  <c r="N314" i="54" s="1"/>
  <c r="O314" i="54" s="1"/>
  <c r="M314" i="54" a="1"/>
  <c r="M314" i="54" s="1"/>
  <c r="L314" i="54" a="1"/>
  <c r="L314" i="54" s="1"/>
  <c r="K314" i="54" a="1"/>
  <c r="K314" i="54" s="1"/>
  <c r="J314" i="54" a="1"/>
  <c r="J314" i="54" s="1"/>
  <c r="I314" i="54" a="1"/>
  <c r="I314" i="54" s="1"/>
  <c r="H314" i="54" a="1"/>
  <c r="H314" i="54" s="1"/>
  <c r="G314" i="54" a="1"/>
  <c r="G314" i="54" s="1"/>
  <c r="F314" i="54" a="1"/>
  <c r="F314" i="54" s="1"/>
  <c r="E314" i="54" a="1"/>
  <c r="E314" i="54" s="1"/>
  <c r="D314" i="54" a="1"/>
  <c r="D314" i="54" s="1"/>
  <c r="C314" i="54" a="1"/>
  <c r="C314" i="54" s="1"/>
  <c r="A314" i="54" a="1"/>
  <c r="A314" i="54" s="1"/>
  <c r="N313" i="54" a="1"/>
  <c r="N313" i="54" s="1"/>
  <c r="O313" i="54" s="1"/>
  <c r="M313" i="54" a="1"/>
  <c r="M313" i="54" s="1"/>
  <c r="L313" i="54" a="1"/>
  <c r="L313" i="54" s="1"/>
  <c r="K313" i="54" a="1"/>
  <c r="K313" i="54" s="1"/>
  <c r="J313" i="54" a="1"/>
  <c r="J313" i="54" s="1"/>
  <c r="I313" i="54" a="1"/>
  <c r="I313" i="54" s="1"/>
  <c r="H313" i="54" a="1"/>
  <c r="H313" i="54" s="1"/>
  <c r="G313" i="54" a="1"/>
  <c r="G313" i="54" s="1"/>
  <c r="F313" i="54" a="1"/>
  <c r="F313" i="54" s="1"/>
  <c r="E313" i="54" a="1"/>
  <c r="E313" i="54" s="1"/>
  <c r="D313" i="54" a="1"/>
  <c r="D313" i="54" s="1"/>
  <c r="C313" i="54" a="1"/>
  <c r="C313" i="54" s="1"/>
  <c r="A313" i="54" a="1"/>
  <c r="A313" i="54" s="1"/>
  <c r="N312" i="54" a="1"/>
  <c r="N312" i="54" s="1"/>
  <c r="O312" i="54" s="1"/>
  <c r="M312" i="54" a="1"/>
  <c r="M312" i="54" s="1"/>
  <c r="L312" i="54" a="1"/>
  <c r="L312" i="54" s="1"/>
  <c r="K312" i="54" a="1"/>
  <c r="K312" i="54" s="1"/>
  <c r="J312" i="54" a="1"/>
  <c r="J312" i="54" s="1"/>
  <c r="I312" i="54" a="1"/>
  <c r="I312" i="54" s="1"/>
  <c r="H312" i="54" a="1"/>
  <c r="H312" i="54" s="1"/>
  <c r="G312" i="54" a="1"/>
  <c r="G312" i="54" s="1"/>
  <c r="F312" i="54" a="1"/>
  <c r="F312" i="54" s="1"/>
  <c r="E312" i="54" a="1"/>
  <c r="E312" i="54" s="1"/>
  <c r="D312" i="54" a="1"/>
  <c r="D312" i="54" s="1"/>
  <c r="C312" i="54" a="1"/>
  <c r="C312" i="54" s="1"/>
  <c r="A312" i="54" a="1"/>
  <c r="A312" i="54" s="1"/>
  <c r="N311" i="54" a="1"/>
  <c r="N311" i="54" s="1"/>
  <c r="O311" i="54" s="1"/>
  <c r="M311" i="54" a="1"/>
  <c r="M311" i="54" s="1"/>
  <c r="L311" i="54" a="1"/>
  <c r="L311" i="54" s="1"/>
  <c r="K311" i="54" a="1"/>
  <c r="K311" i="54" s="1"/>
  <c r="J311" i="54" a="1"/>
  <c r="J311" i="54" s="1"/>
  <c r="I311" i="54" a="1"/>
  <c r="I311" i="54" s="1"/>
  <c r="H311" i="54" a="1"/>
  <c r="H311" i="54" s="1"/>
  <c r="G311" i="54" a="1"/>
  <c r="G311" i="54" s="1"/>
  <c r="F311" i="54" a="1"/>
  <c r="F311" i="54" s="1"/>
  <c r="E311" i="54" a="1"/>
  <c r="E311" i="54" s="1"/>
  <c r="D311" i="54" a="1"/>
  <c r="D311" i="54" s="1"/>
  <c r="C311" i="54" a="1"/>
  <c r="C311" i="54" s="1"/>
  <c r="A311" i="54" a="1"/>
  <c r="A311" i="54" s="1"/>
  <c r="N310" i="54" a="1"/>
  <c r="N310" i="54" s="1"/>
  <c r="O310" i="54" s="1"/>
  <c r="M310" i="54" a="1"/>
  <c r="M310" i="54" s="1"/>
  <c r="L310" i="54" a="1"/>
  <c r="L310" i="54" s="1"/>
  <c r="K310" i="54" a="1"/>
  <c r="K310" i="54" s="1"/>
  <c r="J310" i="54" a="1"/>
  <c r="J310" i="54" s="1"/>
  <c r="I310" i="54" a="1"/>
  <c r="I310" i="54" s="1"/>
  <c r="H310" i="54" a="1"/>
  <c r="H310" i="54" s="1"/>
  <c r="G310" i="54" a="1"/>
  <c r="G310" i="54" s="1"/>
  <c r="F310" i="54" a="1"/>
  <c r="F310" i="54" s="1"/>
  <c r="E310" i="54" a="1"/>
  <c r="E310" i="54" s="1"/>
  <c r="D310" i="54" a="1"/>
  <c r="D310" i="54" s="1"/>
  <c r="C310" i="54" a="1"/>
  <c r="C310" i="54" s="1"/>
  <c r="A310" i="54" a="1"/>
  <c r="A310" i="54" s="1"/>
  <c r="N309" i="54" a="1"/>
  <c r="N309" i="54" s="1"/>
  <c r="O309" i="54" s="1"/>
  <c r="M309" i="54" a="1"/>
  <c r="M309" i="54" s="1"/>
  <c r="L309" i="54" a="1"/>
  <c r="L309" i="54" s="1"/>
  <c r="K309" i="54" a="1"/>
  <c r="K309" i="54" s="1"/>
  <c r="J309" i="54" a="1"/>
  <c r="J309" i="54" s="1"/>
  <c r="I309" i="54" a="1"/>
  <c r="I309" i="54" s="1"/>
  <c r="H309" i="54" a="1"/>
  <c r="H309" i="54" s="1"/>
  <c r="G309" i="54" a="1"/>
  <c r="G309" i="54" s="1"/>
  <c r="F309" i="54" a="1"/>
  <c r="F309" i="54" s="1"/>
  <c r="E309" i="54" a="1"/>
  <c r="E309" i="54" s="1"/>
  <c r="D309" i="54" a="1"/>
  <c r="D309" i="54" s="1"/>
  <c r="C309" i="54" a="1"/>
  <c r="C309" i="54" s="1"/>
  <c r="A309" i="54" a="1"/>
  <c r="A309" i="54" s="1"/>
  <c r="N308" i="54" a="1"/>
  <c r="N308" i="54" s="1"/>
  <c r="O308" i="54" s="1"/>
  <c r="M308" i="54" a="1"/>
  <c r="M308" i="54" s="1"/>
  <c r="L308" i="54" a="1"/>
  <c r="L308" i="54" s="1"/>
  <c r="K308" i="54" a="1"/>
  <c r="K308" i="54" s="1"/>
  <c r="J308" i="54" a="1"/>
  <c r="J308" i="54" s="1"/>
  <c r="I308" i="54" a="1"/>
  <c r="I308" i="54" s="1"/>
  <c r="H308" i="54" a="1"/>
  <c r="H308" i="54" s="1"/>
  <c r="G308" i="54" a="1"/>
  <c r="G308" i="54" s="1"/>
  <c r="F308" i="54" a="1"/>
  <c r="F308" i="54" s="1"/>
  <c r="E308" i="54" a="1"/>
  <c r="E308" i="54" s="1"/>
  <c r="D308" i="54" a="1"/>
  <c r="D308" i="54" s="1"/>
  <c r="C308" i="54" a="1"/>
  <c r="C308" i="54" s="1"/>
  <c r="A308" i="54" a="1"/>
  <c r="A308" i="54" s="1"/>
  <c r="N307" i="54" a="1"/>
  <c r="N307" i="54" s="1"/>
  <c r="O307" i="54" s="1"/>
  <c r="M307" i="54" a="1"/>
  <c r="M307" i="54" s="1"/>
  <c r="L307" i="54" a="1"/>
  <c r="L307" i="54" s="1"/>
  <c r="K307" i="54" a="1"/>
  <c r="K307" i="54" s="1"/>
  <c r="J307" i="54" a="1"/>
  <c r="J307" i="54" s="1"/>
  <c r="I307" i="54" a="1"/>
  <c r="I307" i="54" s="1"/>
  <c r="H307" i="54" a="1"/>
  <c r="H307" i="54" s="1"/>
  <c r="G307" i="54" a="1"/>
  <c r="G307" i="54" s="1"/>
  <c r="F307" i="54" a="1"/>
  <c r="F307" i="54" s="1"/>
  <c r="E307" i="54" a="1"/>
  <c r="E307" i="54" s="1"/>
  <c r="D307" i="54" a="1"/>
  <c r="D307" i="54" s="1"/>
  <c r="C307" i="54" a="1"/>
  <c r="C307" i="54" s="1"/>
  <c r="A307" i="54" a="1"/>
  <c r="A307" i="54" s="1"/>
  <c r="N306" i="54" a="1"/>
  <c r="N306" i="54" s="1"/>
  <c r="O306" i="54" s="1"/>
  <c r="M306" i="54" a="1"/>
  <c r="M306" i="54" s="1"/>
  <c r="L306" i="54" a="1"/>
  <c r="L306" i="54" s="1"/>
  <c r="K306" i="54" a="1"/>
  <c r="K306" i="54" s="1"/>
  <c r="J306" i="54" a="1"/>
  <c r="J306" i="54" s="1"/>
  <c r="I306" i="54" a="1"/>
  <c r="I306" i="54" s="1"/>
  <c r="H306" i="54" a="1"/>
  <c r="H306" i="54" s="1"/>
  <c r="G306" i="54" a="1"/>
  <c r="G306" i="54" s="1"/>
  <c r="F306" i="54" a="1"/>
  <c r="F306" i="54" s="1"/>
  <c r="E306" i="54" a="1"/>
  <c r="E306" i="54" s="1"/>
  <c r="D306" i="54" a="1"/>
  <c r="D306" i="54" s="1"/>
  <c r="C306" i="54" a="1"/>
  <c r="C306" i="54" s="1"/>
  <c r="A306" i="54" a="1"/>
  <c r="A306" i="54" s="1"/>
  <c r="N305" i="54" a="1"/>
  <c r="N305" i="54" s="1"/>
  <c r="O305" i="54" s="1"/>
  <c r="M305" i="54" a="1"/>
  <c r="M305" i="54" s="1"/>
  <c r="L305" i="54" a="1"/>
  <c r="L305" i="54" s="1"/>
  <c r="K305" i="54" a="1"/>
  <c r="K305" i="54" s="1"/>
  <c r="J305" i="54" a="1"/>
  <c r="J305" i="54" s="1"/>
  <c r="I305" i="54" a="1"/>
  <c r="I305" i="54" s="1"/>
  <c r="H305" i="54" a="1"/>
  <c r="H305" i="54" s="1"/>
  <c r="G305" i="54" a="1"/>
  <c r="G305" i="54" s="1"/>
  <c r="F305" i="54" a="1"/>
  <c r="F305" i="54" s="1"/>
  <c r="E305" i="54" a="1"/>
  <c r="E305" i="54" s="1"/>
  <c r="D305" i="54" a="1"/>
  <c r="D305" i="54" s="1"/>
  <c r="C305" i="54" a="1"/>
  <c r="C305" i="54" s="1"/>
  <c r="A305" i="54" a="1"/>
  <c r="A305" i="54" s="1"/>
  <c r="N304" i="54" a="1"/>
  <c r="N304" i="54" s="1"/>
  <c r="O304" i="54" s="1"/>
  <c r="M304" i="54" a="1"/>
  <c r="M304" i="54" s="1"/>
  <c r="L304" i="54" a="1"/>
  <c r="L304" i="54" s="1"/>
  <c r="K304" i="54" a="1"/>
  <c r="K304" i="54" s="1"/>
  <c r="J304" i="54" a="1"/>
  <c r="J304" i="54" s="1"/>
  <c r="I304" i="54" a="1"/>
  <c r="I304" i="54" s="1"/>
  <c r="H304" i="54" a="1"/>
  <c r="H304" i="54" s="1"/>
  <c r="G304" i="54" a="1"/>
  <c r="G304" i="54" s="1"/>
  <c r="F304" i="54" a="1"/>
  <c r="F304" i="54" s="1"/>
  <c r="E304" i="54" a="1"/>
  <c r="E304" i="54" s="1"/>
  <c r="D304" i="54" a="1"/>
  <c r="D304" i="54" s="1"/>
  <c r="C304" i="54" a="1"/>
  <c r="C304" i="54" s="1"/>
  <c r="A304" i="54" a="1"/>
  <c r="A304" i="54" s="1"/>
  <c r="N303" i="54" a="1"/>
  <c r="N303" i="54" s="1"/>
  <c r="O303" i="54" s="1"/>
  <c r="M303" i="54" a="1"/>
  <c r="M303" i="54" s="1"/>
  <c r="L303" i="54" a="1"/>
  <c r="L303" i="54" s="1"/>
  <c r="K303" i="54" a="1"/>
  <c r="K303" i="54" s="1"/>
  <c r="J303" i="54" a="1"/>
  <c r="J303" i="54" s="1"/>
  <c r="I303" i="54" a="1"/>
  <c r="I303" i="54" s="1"/>
  <c r="H303" i="54" a="1"/>
  <c r="H303" i="54" s="1"/>
  <c r="G303" i="54" a="1"/>
  <c r="G303" i="54" s="1"/>
  <c r="F303" i="54" a="1"/>
  <c r="F303" i="54" s="1"/>
  <c r="E303" i="54" a="1"/>
  <c r="E303" i="54" s="1"/>
  <c r="D303" i="54" a="1"/>
  <c r="D303" i="54" s="1"/>
  <c r="C303" i="54" a="1"/>
  <c r="C303" i="54" s="1"/>
  <c r="A303" i="54" a="1"/>
  <c r="A303" i="54" s="1"/>
  <c r="N302" i="54" a="1"/>
  <c r="N302" i="54" s="1"/>
  <c r="O302" i="54" s="1"/>
  <c r="M302" i="54" a="1"/>
  <c r="M302" i="54" s="1"/>
  <c r="L302" i="54" a="1"/>
  <c r="L302" i="54" s="1"/>
  <c r="K302" i="54" a="1"/>
  <c r="K302" i="54" s="1"/>
  <c r="J302" i="54" a="1"/>
  <c r="J302" i="54" s="1"/>
  <c r="I302" i="54" a="1"/>
  <c r="I302" i="54" s="1"/>
  <c r="H302" i="54" a="1"/>
  <c r="H302" i="54" s="1"/>
  <c r="G302" i="54" a="1"/>
  <c r="G302" i="54" s="1"/>
  <c r="F302" i="54" a="1"/>
  <c r="F302" i="54" s="1"/>
  <c r="E302" i="54" a="1"/>
  <c r="E302" i="54" s="1"/>
  <c r="D302" i="54" a="1"/>
  <c r="D302" i="54" s="1"/>
  <c r="C302" i="54" a="1"/>
  <c r="C302" i="54" s="1"/>
  <c r="A302" i="54" a="1"/>
  <c r="A302" i="54" s="1"/>
  <c r="N301" i="54" a="1"/>
  <c r="N301" i="54" s="1"/>
  <c r="O301" i="54" s="1"/>
  <c r="M301" i="54" a="1"/>
  <c r="M301" i="54" s="1"/>
  <c r="L301" i="54" a="1"/>
  <c r="L301" i="54" s="1"/>
  <c r="K301" i="54" a="1"/>
  <c r="K301" i="54" s="1"/>
  <c r="J301" i="54" a="1"/>
  <c r="J301" i="54" s="1"/>
  <c r="I301" i="54" a="1"/>
  <c r="I301" i="54" s="1"/>
  <c r="H301" i="54" a="1"/>
  <c r="H301" i="54" s="1"/>
  <c r="G301" i="54" a="1"/>
  <c r="G301" i="54" s="1"/>
  <c r="F301" i="54" a="1"/>
  <c r="F301" i="54" s="1"/>
  <c r="E301" i="54" a="1"/>
  <c r="E301" i="54" s="1"/>
  <c r="D301" i="54" a="1"/>
  <c r="D301" i="54" s="1"/>
  <c r="C301" i="54" a="1"/>
  <c r="C301" i="54" s="1"/>
  <c r="A301" i="54" a="1"/>
  <c r="A301" i="54" s="1"/>
  <c r="N300" i="54" a="1"/>
  <c r="N300" i="54" s="1"/>
  <c r="O300" i="54" s="1"/>
  <c r="M300" i="54" a="1"/>
  <c r="M300" i="54" s="1"/>
  <c r="L300" i="54" a="1"/>
  <c r="L300" i="54" s="1"/>
  <c r="K300" i="54" a="1"/>
  <c r="K300" i="54" s="1"/>
  <c r="J300" i="54" a="1"/>
  <c r="J300" i="54" s="1"/>
  <c r="I300" i="54" a="1"/>
  <c r="I300" i="54" s="1"/>
  <c r="H300" i="54" a="1"/>
  <c r="H300" i="54" s="1"/>
  <c r="G300" i="54" a="1"/>
  <c r="G300" i="54" s="1"/>
  <c r="F300" i="54" a="1"/>
  <c r="F300" i="54" s="1"/>
  <c r="E300" i="54" a="1"/>
  <c r="E300" i="54" s="1"/>
  <c r="D300" i="54" a="1"/>
  <c r="D300" i="54" s="1"/>
  <c r="C300" i="54" a="1"/>
  <c r="C300" i="54" s="1"/>
  <c r="A300" i="54" a="1"/>
  <c r="A300" i="54" s="1"/>
  <c r="N299" i="54" a="1"/>
  <c r="N299" i="54" s="1"/>
  <c r="O299" i="54" s="1"/>
  <c r="M299" i="54" a="1"/>
  <c r="M299" i="54" s="1"/>
  <c r="L299" i="54" a="1"/>
  <c r="L299" i="54" s="1"/>
  <c r="K299" i="54" a="1"/>
  <c r="K299" i="54" s="1"/>
  <c r="J299" i="54" a="1"/>
  <c r="J299" i="54" s="1"/>
  <c r="I299" i="54" a="1"/>
  <c r="I299" i="54" s="1"/>
  <c r="H299" i="54" a="1"/>
  <c r="H299" i="54" s="1"/>
  <c r="G299" i="54" a="1"/>
  <c r="G299" i="54" s="1"/>
  <c r="F299" i="54" a="1"/>
  <c r="F299" i="54" s="1"/>
  <c r="E299" i="54" a="1"/>
  <c r="E299" i="54" s="1"/>
  <c r="D299" i="54" a="1"/>
  <c r="D299" i="54" s="1"/>
  <c r="C299" i="54" a="1"/>
  <c r="C299" i="54" s="1"/>
  <c r="A299" i="54" a="1"/>
  <c r="A299" i="54" s="1"/>
  <c r="N298" i="54" a="1"/>
  <c r="N298" i="54" s="1"/>
  <c r="O298" i="54" s="1"/>
  <c r="M298" i="54" a="1"/>
  <c r="M298" i="54" s="1"/>
  <c r="L298" i="54" a="1"/>
  <c r="L298" i="54" s="1"/>
  <c r="K298" i="54" a="1"/>
  <c r="K298" i="54" s="1"/>
  <c r="J298" i="54" a="1"/>
  <c r="J298" i="54" s="1"/>
  <c r="I298" i="54" a="1"/>
  <c r="I298" i="54" s="1"/>
  <c r="H298" i="54" a="1"/>
  <c r="H298" i="54" s="1"/>
  <c r="G298" i="54" a="1"/>
  <c r="G298" i="54" s="1"/>
  <c r="F298" i="54" a="1"/>
  <c r="F298" i="54" s="1"/>
  <c r="E298" i="54" a="1"/>
  <c r="E298" i="54" s="1"/>
  <c r="D298" i="54" a="1"/>
  <c r="D298" i="54" s="1"/>
  <c r="C298" i="54" a="1"/>
  <c r="C298" i="54" s="1"/>
  <c r="A298" i="54" a="1"/>
  <c r="A298" i="54" s="1"/>
  <c r="N297" i="54" a="1"/>
  <c r="N297" i="54" s="1"/>
  <c r="O297" i="54" s="1"/>
  <c r="M297" i="54" a="1"/>
  <c r="M297" i="54" s="1"/>
  <c r="L297" i="54" a="1"/>
  <c r="L297" i="54" s="1"/>
  <c r="K297" i="54" a="1"/>
  <c r="K297" i="54" s="1"/>
  <c r="J297" i="54" a="1"/>
  <c r="J297" i="54" s="1"/>
  <c r="I297" i="54" a="1"/>
  <c r="I297" i="54" s="1"/>
  <c r="H297" i="54" a="1"/>
  <c r="H297" i="54" s="1"/>
  <c r="G297" i="54" a="1"/>
  <c r="G297" i="54" s="1"/>
  <c r="F297" i="54" a="1"/>
  <c r="F297" i="54" s="1"/>
  <c r="E297" i="54" a="1"/>
  <c r="E297" i="54" s="1"/>
  <c r="D297" i="54" a="1"/>
  <c r="D297" i="54" s="1"/>
  <c r="C297" i="54" a="1"/>
  <c r="C297" i="54" s="1"/>
  <c r="A297" i="54" a="1"/>
  <c r="A297" i="54" s="1"/>
  <c r="N296" i="54" a="1"/>
  <c r="N296" i="54" s="1"/>
  <c r="O296" i="54" s="1"/>
  <c r="M296" i="54" a="1"/>
  <c r="M296" i="54" s="1"/>
  <c r="L296" i="54" a="1"/>
  <c r="L296" i="54" s="1"/>
  <c r="K296" i="54" a="1"/>
  <c r="K296" i="54" s="1"/>
  <c r="J296" i="54" a="1"/>
  <c r="J296" i="54" s="1"/>
  <c r="I296" i="54" a="1"/>
  <c r="I296" i="54" s="1"/>
  <c r="H296" i="54" a="1"/>
  <c r="H296" i="54" s="1"/>
  <c r="G296" i="54" a="1"/>
  <c r="G296" i="54" s="1"/>
  <c r="F296" i="54" a="1"/>
  <c r="F296" i="54" s="1"/>
  <c r="E296" i="54" a="1"/>
  <c r="E296" i="54" s="1"/>
  <c r="D296" i="54" a="1"/>
  <c r="D296" i="54" s="1"/>
  <c r="C296" i="54" a="1"/>
  <c r="C296" i="54" s="1"/>
  <c r="A296" i="54" a="1"/>
  <c r="A296" i="54" s="1"/>
  <c r="N295" i="54" a="1"/>
  <c r="N295" i="54" s="1"/>
  <c r="O295" i="54" s="1"/>
  <c r="M295" i="54" a="1"/>
  <c r="M295" i="54" s="1"/>
  <c r="L295" i="54" a="1"/>
  <c r="L295" i="54" s="1"/>
  <c r="K295" i="54" a="1"/>
  <c r="K295" i="54" s="1"/>
  <c r="J295" i="54" a="1"/>
  <c r="J295" i="54" s="1"/>
  <c r="I295" i="54" a="1"/>
  <c r="I295" i="54" s="1"/>
  <c r="H295" i="54" a="1"/>
  <c r="H295" i="54" s="1"/>
  <c r="G295" i="54" a="1"/>
  <c r="G295" i="54" s="1"/>
  <c r="F295" i="54" a="1"/>
  <c r="F295" i="54" s="1"/>
  <c r="E295" i="54" a="1"/>
  <c r="E295" i="54" s="1"/>
  <c r="D295" i="54" a="1"/>
  <c r="D295" i="54" s="1"/>
  <c r="C295" i="54" a="1"/>
  <c r="C295" i="54" s="1"/>
  <c r="A295" i="54" a="1"/>
  <c r="A295" i="54" s="1"/>
  <c r="N294" i="54" a="1"/>
  <c r="N294" i="54" s="1"/>
  <c r="O294" i="54" s="1"/>
  <c r="M294" i="54" a="1"/>
  <c r="M294" i="54" s="1"/>
  <c r="L294" i="54" a="1"/>
  <c r="L294" i="54" s="1"/>
  <c r="K294" i="54" a="1"/>
  <c r="K294" i="54" s="1"/>
  <c r="J294" i="54" a="1"/>
  <c r="J294" i="54" s="1"/>
  <c r="I294" i="54" a="1"/>
  <c r="I294" i="54" s="1"/>
  <c r="H294" i="54" a="1"/>
  <c r="H294" i="54" s="1"/>
  <c r="G294" i="54" a="1"/>
  <c r="G294" i="54" s="1"/>
  <c r="F294" i="54" a="1"/>
  <c r="F294" i="54" s="1"/>
  <c r="E294" i="54" a="1"/>
  <c r="E294" i="54" s="1"/>
  <c r="D294" i="54" a="1"/>
  <c r="D294" i="54" s="1"/>
  <c r="C294" i="54" a="1"/>
  <c r="C294" i="54" s="1"/>
  <c r="A294" i="54" a="1"/>
  <c r="A294" i="54" s="1"/>
  <c r="N293" i="54" a="1"/>
  <c r="N293" i="54" s="1"/>
  <c r="O293" i="54" s="1"/>
  <c r="M293" i="54" a="1"/>
  <c r="M293" i="54" s="1"/>
  <c r="L293" i="54" a="1"/>
  <c r="L293" i="54" s="1"/>
  <c r="K293" i="54" a="1"/>
  <c r="K293" i="54" s="1"/>
  <c r="J293" i="54" a="1"/>
  <c r="J293" i="54" s="1"/>
  <c r="I293" i="54" a="1"/>
  <c r="I293" i="54" s="1"/>
  <c r="H293" i="54" a="1"/>
  <c r="H293" i="54" s="1"/>
  <c r="G293" i="54" a="1"/>
  <c r="G293" i="54" s="1"/>
  <c r="F293" i="54" a="1"/>
  <c r="F293" i="54" s="1"/>
  <c r="E293" i="54" a="1"/>
  <c r="E293" i="54" s="1"/>
  <c r="D293" i="54" a="1"/>
  <c r="D293" i="54" s="1"/>
  <c r="C293" i="54" a="1"/>
  <c r="C293" i="54" s="1"/>
  <c r="A293" i="54" a="1"/>
  <c r="A293" i="54" s="1"/>
  <c r="N292" i="54" a="1"/>
  <c r="N292" i="54" s="1"/>
  <c r="O292" i="54" s="1"/>
  <c r="M292" i="54" a="1"/>
  <c r="M292" i="54" s="1"/>
  <c r="L292" i="54" a="1"/>
  <c r="L292" i="54" s="1"/>
  <c r="K292" i="54" a="1"/>
  <c r="K292" i="54" s="1"/>
  <c r="J292" i="54" a="1"/>
  <c r="J292" i="54" s="1"/>
  <c r="I292" i="54" a="1"/>
  <c r="I292" i="54" s="1"/>
  <c r="H292" i="54" a="1"/>
  <c r="H292" i="54" s="1"/>
  <c r="G292" i="54" a="1"/>
  <c r="G292" i="54" s="1"/>
  <c r="F292" i="54" a="1"/>
  <c r="F292" i="54" s="1"/>
  <c r="E292" i="54" a="1"/>
  <c r="E292" i="54" s="1"/>
  <c r="D292" i="54" a="1"/>
  <c r="D292" i="54" s="1"/>
  <c r="C292" i="54" a="1"/>
  <c r="C292" i="54" s="1"/>
  <c r="A292" i="54" a="1"/>
  <c r="A292" i="54" s="1"/>
  <c r="N291" i="54" a="1"/>
  <c r="N291" i="54" s="1"/>
  <c r="O291" i="54" s="1"/>
  <c r="M291" i="54" a="1"/>
  <c r="M291" i="54" s="1"/>
  <c r="L291" i="54" a="1"/>
  <c r="L291" i="54" s="1"/>
  <c r="K291" i="54" a="1"/>
  <c r="K291" i="54" s="1"/>
  <c r="J291" i="54" a="1"/>
  <c r="J291" i="54" s="1"/>
  <c r="I291" i="54" a="1"/>
  <c r="I291" i="54" s="1"/>
  <c r="H291" i="54" a="1"/>
  <c r="H291" i="54" s="1"/>
  <c r="G291" i="54" a="1"/>
  <c r="G291" i="54" s="1"/>
  <c r="F291" i="54" a="1"/>
  <c r="F291" i="54" s="1"/>
  <c r="E291" i="54" a="1"/>
  <c r="E291" i="54" s="1"/>
  <c r="D291" i="54" a="1"/>
  <c r="D291" i="54" s="1"/>
  <c r="C291" i="54" a="1"/>
  <c r="C291" i="54" s="1"/>
  <c r="A291" i="54" a="1"/>
  <c r="A291" i="54" s="1"/>
  <c r="N290" i="54" a="1"/>
  <c r="N290" i="54" s="1"/>
  <c r="O290" i="54" s="1"/>
  <c r="M290" i="54" a="1"/>
  <c r="M290" i="54" s="1"/>
  <c r="L290" i="54" a="1"/>
  <c r="L290" i="54" s="1"/>
  <c r="K290" i="54" a="1"/>
  <c r="K290" i="54" s="1"/>
  <c r="J290" i="54" a="1"/>
  <c r="J290" i="54" s="1"/>
  <c r="I290" i="54" a="1"/>
  <c r="I290" i="54" s="1"/>
  <c r="H290" i="54" a="1"/>
  <c r="H290" i="54" s="1"/>
  <c r="G290" i="54" a="1"/>
  <c r="G290" i="54" s="1"/>
  <c r="F290" i="54" a="1"/>
  <c r="F290" i="54" s="1"/>
  <c r="E290" i="54" a="1"/>
  <c r="E290" i="54" s="1"/>
  <c r="D290" i="54" a="1"/>
  <c r="D290" i="54" s="1"/>
  <c r="C290" i="54" a="1"/>
  <c r="C290" i="54" s="1"/>
  <c r="A290" i="54" a="1"/>
  <c r="A290" i="54" s="1"/>
  <c r="N289" i="54" a="1"/>
  <c r="N289" i="54" s="1"/>
  <c r="O289" i="54" s="1"/>
  <c r="M289" i="54" a="1"/>
  <c r="M289" i="54" s="1"/>
  <c r="L289" i="54" a="1"/>
  <c r="L289" i="54" s="1"/>
  <c r="K289" i="54" a="1"/>
  <c r="K289" i="54" s="1"/>
  <c r="J289" i="54" a="1"/>
  <c r="J289" i="54" s="1"/>
  <c r="I289" i="54" a="1"/>
  <c r="I289" i="54" s="1"/>
  <c r="H289" i="54" a="1"/>
  <c r="H289" i="54" s="1"/>
  <c r="G289" i="54" a="1"/>
  <c r="G289" i="54" s="1"/>
  <c r="F289" i="54" a="1"/>
  <c r="F289" i="54" s="1"/>
  <c r="E289" i="54" a="1"/>
  <c r="E289" i="54" s="1"/>
  <c r="D289" i="54" a="1"/>
  <c r="D289" i="54" s="1"/>
  <c r="C289" i="54" a="1"/>
  <c r="C289" i="54" s="1"/>
  <c r="A289" i="54" a="1"/>
  <c r="A289" i="54" s="1"/>
  <c r="N288" i="54" a="1"/>
  <c r="N288" i="54" s="1"/>
  <c r="O288" i="54" s="1"/>
  <c r="M288" i="54" a="1"/>
  <c r="M288" i="54" s="1"/>
  <c r="L288" i="54" a="1"/>
  <c r="L288" i="54" s="1"/>
  <c r="K288" i="54" a="1"/>
  <c r="K288" i="54" s="1"/>
  <c r="J288" i="54" a="1"/>
  <c r="J288" i="54" s="1"/>
  <c r="I288" i="54" a="1"/>
  <c r="I288" i="54" s="1"/>
  <c r="H288" i="54" a="1"/>
  <c r="H288" i="54" s="1"/>
  <c r="G288" i="54" a="1"/>
  <c r="G288" i="54" s="1"/>
  <c r="F288" i="54" a="1"/>
  <c r="F288" i="54" s="1"/>
  <c r="E288" i="54" a="1"/>
  <c r="E288" i="54" s="1"/>
  <c r="D288" i="54" a="1"/>
  <c r="D288" i="54" s="1"/>
  <c r="C288" i="54" a="1"/>
  <c r="C288" i="54" s="1"/>
  <c r="A288" i="54" a="1"/>
  <c r="A288" i="54" s="1"/>
  <c r="N287" i="54" a="1"/>
  <c r="N287" i="54" s="1"/>
  <c r="O287" i="54" s="1"/>
  <c r="M287" i="54" a="1"/>
  <c r="M287" i="54" s="1"/>
  <c r="L287" i="54" a="1"/>
  <c r="L287" i="54" s="1"/>
  <c r="K287" i="54" a="1"/>
  <c r="K287" i="54" s="1"/>
  <c r="J287" i="54" a="1"/>
  <c r="J287" i="54" s="1"/>
  <c r="I287" i="54" a="1"/>
  <c r="I287" i="54" s="1"/>
  <c r="H287" i="54" a="1"/>
  <c r="H287" i="54" s="1"/>
  <c r="G287" i="54" a="1"/>
  <c r="G287" i="54" s="1"/>
  <c r="F287" i="54" a="1"/>
  <c r="F287" i="54" s="1"/>
  <c r="E287" i="54" a="1"/>
  <c r="E287" i="54" s="1"/>
  <c r="D287" i="54" a="1"/>
  <c r="D287" i="54" s="1"/>
  <c r="C287" i="54" a="1"/>
  <c r="C287" i="54" s="1"/>
  <c r="A287" i="54" a="1"/>
  <c r="A287" i="54" s="1"/>
  <c r="N286" i="54" a="1"/>
  <c r="N286" i="54" s="1"/>
  <c r="O286" i="54" s="1"/>
  <c r="M286" i="54" a="1"/>
  <c r="M286" i="54" s="1"/>
  <c r="L286" i="54" a="1"/>
  <c r="L286" i="54" s="1"/>
  <c r="K286" i="54" a="1"/>
  <c r="K286" i="54" s="1"/>
  <c r="J286" i="54" a="1"/>
  <c r="J286" i="54" s="1"/>
  <c r="I286" i="54" a="1"/>
  <c r="I286" i="54" s="1"/>
  <c r="H286" i="54" a="1"/>
  <c r="H286" i="54" s="1"/>
  <c r="G286" i="54" a="1"/>
  <c r="G286" i="54" s="1"/>
  <c r="F286" i="54" a="1"/>
  <c r="F286" i="54" s="1"/>
  <c r="E286" i="54" a="1"/>
  <c r="E286" i="54" s="1"/>
  <c r="D286" i="54" a="1"/>
  <c r="D286" i="54" s="1"/>
  <c r="C286" i="54" a="1"/>
  <c r="C286" i="54" s="1"/>
  <c r="A286" i="54" a="1"/>
  <c r="A286" i="54" s="1"/>
  <c r="N285" i="54" a="1"/>
  <c r="N285" i="54" s="1"/>
  <c r="O285" i="54" s="1"/>
  <c r="M285" i="54" a="1"/>
  <c r="M285" i="54" s="1"/>
  <c r="L285" i="54" a="1"/>
  <c r="L285" i="54" s="1"/>
  <c r="K285" i="54" a="1"/>
  <c r="K285" i="54" s="1"/>
  <c r="J285" i="54" a="1"/>
  <c r="J285" i="54" s="1"/>
  <c r="I285" i="54" a="1"/>
  <c r="I285" i="54" s="1"/>
  <c r="H285" i="54" a="1"/>
  <c r="H285" i="54" s="1"/>
  <c r="G285" i="54" a="1"/>
  <c r="G285" i="54" s="1"/>
  <c r="F285" i="54" a="1"/>
  <c r="F285" i="54" s="1"/>
  <c r="E285" i="54" a="1"/>
  <c r="E285" i="54" s="1"/>
  <c r="D285" i="54" a="1"/>
  <c r="D285" i="54" s="1"/>
  <c r="C285" i="54" a="1"/>
  <c r="C285" i="54" s="1"/>
  <c r="A285" i="54" a="1"/>
  <c r="A285" i="54" s="1"/>
  <c r="N284" i="54" a="1"/>
  <c r="N284" i="54" s="1"/>
  <c r="O284" i="54" s="1"/>
  <c r="M284" i="54" a="1"/>
  <c r="M284" i="54" s="1"/>
  <c r="L284" i="54" a="1"/>
  <c r="L284" i="54" s="1"/>
  <c r="K284" i="54" a="1"/>
  <c r="K284" i="54" s="1"/>
  <c r="J284" i="54" a="1"/>
  <c r="J284" i="54" s="1"/>
  <c r="I284" i="54" a="1"/>
  <c r="I284" i="54" s="1"/>
  <c r="H284" i="54" a="1"/>
  <c r="H284" i="54" s="1"/>
  <c r="G284" i="54" a="1"/>
  <c r="G284" i="54" s="1"/>
  <c r="F284" i="54" a="1"/>
  <c r="F284" i="54" s="1"/>
  <c r="E284" i="54" a="1"/>
  <c r="E284" i="54" s="1"/>
  <c r="D284" i="54" a="1"/>
  <c r="D284" i="54" s="1"/>
  <c r="C284" i="54" a="1"/>
  <c r="C284" i="54" s="1"/>
  <c r="A284" i="54" a="1"/>
  <c r="A284" i="54" s="1"/>
  <c r="N283" i="54" a="1"/>
  <c r="N283" i="54" s="1"/>
  <c r="O283" i="54" s="1"/>
  <c r="M283" i="54" a="1"/>
  <c r="M283" i="54" s="1"/>
  <c r="L283" i="54" a="1"/>
  <c r="L283" i="54" s="1"/>
  <c r="K283" i="54" a="1"/>
  <c r="K283" i="54" s="1"/>
  <c r="J283" i="54" a="1"/>
  <c r="J283" i="54" s="1"/>
  <c r="I283" i="54" a="1"/>
  <c r="I283" i="54" s="1"/>
  <c r="H283" i="54" a="1"/>
  <c r="H283" i="54" s="1"/>
  <c r="G283" i="54" a="1"/>
  <c r="G283" i="54" s="1"/>
  <c r="F283" i="54" a="1"/>
  <c r="F283" i="54" s="1"/>
  <c r="E283" i="54" a="1"/>
  <c r="E283" i="54" s="1"/>
  <c r="D283" i="54" a="1"/>
  <c r="D283" i="54" s="1"/>
  <c r="C283" i="54" a="1"/>
  <c r="C283" i="54" s="1"/>
  <c r="A283" i="54" a="1"/>
  <c r="A283" i="54" s="1"/>
  <c r="N282" i="54" a="1"/>
  <c r="N282" i="54" s="1"/>
  <c r="O282" i="54" s="1"/>
  <c r="M282" i="54" a="1"/>
  <c r="M282" i="54" s="1"/>
  <c r="L282" i="54" a="1"/>
  <c r="L282" i="54" s="1"/>
  <c r="K282" i="54" a="1"/>
  <c r="K282" i="54" s="1"/>
  <c r="J282" i="54" a="1"/>
  <c r="J282" i="54" s="1"/>
  <c r="I282" i="54" a="1"/>
  <c r="I282" i="54" s="1"/>
  <c r="H282" i="54" a="1"/>
  <c r="H282" i="54" s="1"/>
  <c r="G282" i="54" a="1"/>
  <c r="G282" i="54" s="1"/>
  <c r="F282" i="54" a="1"/>
  <c r="F282" i="54" s="1"/>
  <c r="E282" i="54" a="1"/>
  <c r="E282" i="54" s="1"/>
  <c r="D282" i="54" a="1"/>
  <c r="D282" i="54" s="1"/>
  <c r="C282" i="54" a="1"/>
  <c r="C282" i="54" s="1"/>
  <c r="A282" i="54" a="1"/>
  <c r="A282" i="54" s="1"/>
  <c r="N281" i="54" a="1"/>
  <c r="N281" i="54" s="1"/>
  <c r="O281" i="54" s="1"/>
  <c r="M281" i="54" a="1"/>
  <c r="M281" i="54" s="1"/>
  <c r="L281" i="54" a="1"/>
  <c r="L281" i="54" s="1"/>
  <c r="K281" i="54" a="1"/>
  <c r="K281" i="54" s="1"/>
  <c r="J281" i="54" a="1"/>
  <c r="J281" i="54" s="1"/>
  <c r="I281" i="54" a="1"/>
  <c r="I281" i="54" s="1"/>
  <c r="H281" i="54" a="1"/>
  <c r="H281" i="54" s="1"/>
  <c r="G281" i="54" a="1"/>
  <c r="G281" i="54" s="1"/>
  <c r="F281" i="54" a="1"/>
  <c r="F281" i="54" s="1"/>
  <c r="E281" i="54" a="1"/>
  <c r="E281" i="54" s="1"/>
  <c r="D281" i="54" a="1"/>
  <c r="D281" i="54" s="1"/>
  <c r="C281" i="54" a="1"/>
  <c r="C281" i="54" s="1"/>
  <c r="A281" i="54" a="1"/>
  <c r="A281" i="54" s="1"/>
  <c r="N280" i="54" a="1"/>
  <c r="N280" i="54" s="1"/>
  <c r="O280" i="54" s="1"/>
  <c r="M280" i="54" a="1"/>
  <c r="M280" i="54" s="1"/>
  <c r="L280" i="54" a="1"/>
  <c r="L280" i="54" s="1"/>
  <c r="K280" i="54" a="1"/>
  <c r="K280" i="54" s="1"/>
  <c r="J280" i="54" a="1"/>
  <c r="J280" i="54" s="1"/>
  <c r="I280" i="54" a="1"/>
  <c r="I280" i="54" s="1"/>
  <c r="H280" i="54" a="1"/>
  <c r="H280" i="54" s="1"/>
  <c r="G280" i="54" a="1"/>
  <c r="G280" i="54" s="1"/>
  <c r="F280" i="54" a="1"/>
  <c r="F280" i="54" s="1"/>
  <c r="E280" i="54" a="1"/>
  <c r="E280" i="54" s="1"/>
  <c r="D280" i="54" a="1"/>
  <c r="D280" i="54" s="1"/>
  <c r="C280" i="54" a="1"/>
  <c r="C280" i="54" s="1"/>
  <c r="A280" i="54" a="1"/>
  <c r="A280" i="54" s="1"/>
  <c r="N279" i="54" a="1"/>
  <c r="N279" i="54" s="1"/>
  <c r="O279" i="54" s="1"/>
  <c r="M279" i="54" a="1"/>
  <c r="M279" i="54" s="1"/>
  <c r="L279" i="54" a="1"/>
  <c r="L279" i="54" s="1"/>
  <c r="K279" i="54" a="1"/>
  <c r="K279" i="54" s="1"/>
  <c r="J279" i="54" a="1"/>
  <c r="J279" i="54" s="1"/>
  <c r="I279" i="54" a="1"/>
  <c r="I279" i="54" s="1"/>
  <c r="H279" i="54" a="1"/>
  <c r="H279" i="54" s="1"/>
  <c r="G279" i="54" a="1"/>
  <c r="G279" i="54" s="1"/>
  <c r="F279" i="54" a="1"/>
  <c r="F279" i="54" s="1"/>
  <c r="E279" i="54" a="1"/>
  <c r="E279" i="54" s="1"/>
  <c r="D279" i="54" a="1"/>
  <c r="D279" i="54" s="1"/>
  <c r="C279" i="54" a="1"/>
  <c r="C279" i="54" s="1"/>
  <c r="A279" i="54" a="1"/>
  <c r="A279" i="54" s="1"/>
  <c r="N278" i="54" a="1"/>
  <c r="N278" i="54" s="1"/>
  <c r="O278" i="54" s="1"/>
  <c r="M278" i="54" a="1"/>
  <c r="M278" i="54" s="1"/>
  <c r="L278" i="54" a="1"/>
  <c r="L278" i="54" s="1"/>
  <c r="K278" i="54" a="1"/>
  <c r="K278" i="54" s="1"/>
  <c r="J278" i="54" a="1"/>
  <c r="J278" i="54" s="1"/>
  <c r="I278" i="54" a="1"/>
  <c r="I278" i="54" s="1"/>
  <c r="H278" i="54" a="1"/>
  <c r="H278" i="54" s="1"/>
  <c r="G278" i="54" a="1"/>
  <c r="G278" i="54" s="1"/>
  <c r="F278" i="54" a="1"/>
  <c r="F278" i="54" s="1"/>
  <c r="E278" i="54" a="1"/>
  <c r="E278" i="54" s="1"/>
  <c r="D278" i="54" a="1"/>
  <c r="D278" i="54" s="1"/>
  <c r="C278" i="54" a="1"/>
  <c r="C278" i="54" s="1"/>
  <c r="A278" i="54" a="1"/>
  <c r="A278" i="54" s="1"/>
  <c r="N277" i="54" a="1"/>
  <c r="N277" i="54" s="1"/>
  <c r="O277" i="54" s="1"/>
  <c r="M277" i="54" a="1"/>
  <c r="M277" i="54" s="1"/>
  <c r="L277" i="54" a="1"/>
  <c r="L277" i="54" s="1"/>
  <c r="K277" i="54" a="1"/>
  <c r="K277" i="54" s="1"/>
  <c r="J277" i="54" a="1"/>
  <c r="J277" i="54" s="1"/>
  <c r="I277" i="54" a="1"/>
  <c r="I277" i="54" s="1"/>
  <c r="H277" i="54" a="1"/>
  <c r="H277" i="54" s="1"/>
  <c r="G277" i="54" a="1"/>
  <c r="G277" i="54" s="1"/>
  <c r="F277" i="54" a="1"/>
  <c r="F277" i="54" s="1"/>
  <c r="E277" i="54" a="1"/>
  <c r="E277" i="54" s="1"/>
  <c r="D277" i="54" a="1"/>
  <c r="D277" i="54" s="1"/>
  <c r="C277" i="54" a="1"/>
  <c r="C277" i="54" s="1"/>
  <c r="A277" i="54" a="1"/>
  <c r="A277" i="54" s="1"/>
  <c r="N276" i="54" a="1"/>
  <c r="N276" i="54" s="1"/>
  <c r="O276" i="54" s="1"/>
  <c r="M276" i="54" a="1"/>
  <c r="M276" i="54" s="1"/>
  <c r="L276" i="54" a="1"/>
  <c r="L276" i="54" s="1"/>
  <c r="K276" i="54" a="1"/>
  <c r="K276" i="54" s="1"/>
  <c r="J276" i="54" a="1"/>
  <c r="J276" i="54" s="1"/>
  <c r="I276" i="54" a="1"/>
  <c r="I276" i="54" s="1"/>
  <c r="H276" i="54" a="1"/>
  <c r="H276" i="54" s="1"/>
  <c r="G276" i="54" a="1"/>
  <c r="G276" i="54" s="1"/>
  <c r="F276" i="54" a="1"/>
  <c r="F276" i="54" s="1"/>
  <c r="E276" i="54" a="1"/>
  <c r="E276" i="54" s="1"/>
  <c r="D276" i="54" a="1"/>
  <c r="D276" i="54" s="1"/>
  <c r="C276" i="54" a="1"/>
  <c r="C276" i="54" s="1"/>
  <c r="A276" i="54" a="1"/>
  <c r="A276" i="54" s="1"/>
  <c r="M275" i="54" a="1"/>
  <c r="M275" i="54" s="1"/>
  <c r="L275" i="54" a="1"/>
  <c r="L275" i="54" s="1"/>
  <c r="K275" i="54" a="1"/>
  <c r="K275" i="54" s="1"/>
  <c r="J275" i="54" a="1"/>
  <c r="J275" i="54" s="1"/>
  <c r="I275" i="54" a="1"/>
  <c r="I275" i="54" s="1"/>
  <c r="H275" i="54" a="1"/>
  <c r="H275" i="54" s="1"/>
  <c r="G275" i="54" a="1"/>
  <c r="G275" i="54" s="1"/>
  <c r="F275" i="54" a="1"/>
  <c r="F275" i="54" s="1"/>
  <c r="E275" i="54" a="1"/>
  <c r="E275" i="54" s="1"/>
  <c r="D275" i="54" a="1"/>
  <c r="D275" i="54" s="1"/>
  <c r="C275" i="54" a="1"/>
  <c r="C275" i="54" s="1"/>
  <c r="A275" i="54" a="1"/>
  <c r="A275" i="54" s="1"/>
  <c r="M274" i="54" a="1"/>
  <c r="M274" i="54" s="1"/>
  <c r="L274" i="54" a="1"/>
  <c r="L274" i="54" s="1"/>
  <c r="K274" i="54" a="1"/>
  <c r="K274" i="54" s="1"/>
  <c r="J274" i="54" a="1"/>
  <c r="J274" i="54" s="1"/>
  <c r="I274" i="54" a="1"/>
  <c r="I274" i="54" s="1"/>
  <c r="H274" i="54" a="1"/>
  <c r="H274" i="54" s="1"/>
  <c r="G274" i="54" a="1"/>
  <c r="G274" i="54" s="1"/>
  <c r="F274" i="54" a="1"/>
  <c r="F274" i="54" s="1"/>
  <c r="E274" i="54" a="1"/>
  <c r="E274" i="54" s="1"/>
  <c r="D274" i="54" a="1"/>
  <c r="D274" i="54" s="1"/>
  <c r="C274" i="54" a="1"/>
  <c r="C274" i="54" s="1"/>
  <c r="A274" i="54" a="1"/>
  <c r="A274" i="54" s="1"/>
  <c r="M273" i="54" a="1"/>
  <c r="M273" i="54" s="1"/>
  <c r="L273" i="54" a="1"/>
  <c r="L273" i="54" s="1"/>
  <c r="K273" i="54" a="1"/>
  <c r="K273" i="54" s="1"/>
  <c r="J273" i="54" a="1"/>
  <c r="J273" i="54" s="1"/>
  <c r="I273" i="54" a="1"/>
  <c r="I273" i="54" s="1"/>
  <c r="H273" i="54" a="1"/>
  <c r="H273" i="54" s="1"/>
  <c r="G273" i="54" a="1"/>
  <c r="G273" i="54" s="1"/>
  <c r="F273" i="54" a="1"/>
  <c r="F273" i="54" s="1"/>
  <c r="E273" i="54" a="1"/>
  <c r="E273" i="54" s="1"/>
  <c r="D273" i="54" a="1"/>
  <c r="D273" i="54" s="1"/>
  <c r="C273" i="54" a="1"/>
  <c r="C273" i="54" s="1"/>
  <c r="A273" i="54" a="1"/>
  <c r="A273" i="54" s="1"/>
  <c r="M272" i="54" a="1"/>
  <c r="M272" i="54" s="1"/>
  <c r="L272" i="54" a="1"/>
  <c r="L272" i="54" s="1"/>
  <c r="K272" i="54" a="1"/>
  <c r="K272" i="54" s="1"/>
  <c r="J272" i="54" a="1"/>
  <c r="J272" i="54" s="1"/>
  <c r="I272" i="54" a="1"/>
  <c r="I272" i="54" s="1"/>
  <c r="H272" i="54" a="1"/>
  <c r="H272" i="54" s="1"/>
  <c r="G272" i="54" a="1"/>
  <c r="G272" i="54" s="1"/>
  <c r="F272" i="54" a="1"/>
  <c r="F272" i="54" s="1"/>
  <c r="E272" i="54" a="1"/>
  <c r="E272" i="54" s="1"/>
  <c r="D272" i="54" a="1"/>
  <c r="D272" i="54" s="1"/>
  <c r="C272" i="54" a="1"/>
  <c r="C272" i="54" s="1"/>
  <c r="A272" i="54" a="1"/>
  <c r="A272" i="54" s="1"/>
  <c r="M271" i="54" a="1"/>
  <c r="M271" i="54" s="1"/>
  <c r="L271" i="54" a="1"/>
  <c r="L271" i="54" s="1"/>
  <c r="K271" i="54" a="1"/>
  <c r="K271" i="54" s="1"/>
  <c r="J271" i="54" a="1"/>
  <c r="J271" i="54" s="1"/>
  <c r="I271" i="54" a="1"/>
  <c r="I271" i="54" s="1"/>
  <c r="H271" i="54" a="1"/>
  <c r="H271" i="54" s="1"/>
  <c r="G271" i="54" a="1"/>
  <c r="G271" i="54" s="1"/>
  <c r="F271" i="54" a="1"/>
  <c r="F271" i="54" s="1"/>
  <c r="E271" i="54" a="1"/>
  <c r="E271" i="54" s="1"/>
  <c r="D271" i="54" a="1"/>
  <c r="D271" i="54" s="1"/>
  <c r="C271" i="54" a="1"/>
  <c r="C271" i="54" s="1"/>
  <c r="A271" i="54" a="1"/>
  <c r="A271" i="54" s="1"/>
  <c r="M270" i="54" a="1"/>
  <c r="M270" i="54" s="1"/>
  <c r="L270" i="54" a="1"/>
  <c r="L270" i="54" s="1"/>
  <c r="K270" i="54" a="1"/>
  <c r="K270" i="54" s="1"/>
  <c r="J270" i="54" a="1"/>
  <c r="J270" i="54" s="1"/>
  <c r="I270" i="54" a="1"/>
  <c r="I270" i="54" s="1"/>
  <c r="H270" i="54" a="1"/>
  <c r="H270" i="54" s="1"/>
  <c r="G270" i="54" a="1"/>
  <c r="G270" i="54" s="1"/>
  <c r="F270" i="54" a="1"/>
  <c r="F270" i="54" s="1"/>
  <c r="E270" i="54" a="1"/>
  <c r="E270" i="54" s="1"/>
  <c r="D270" i="54" a="1"/>
  <c r="D270" i="54" s="1"/>
  <c r="C270" i="54" a="1"/>
  <c r="C270" i="54" s="1"/>
  <c r="A270" i="54" a="1"/>
  <c r="A270" i="54" s="1"/>
  <c r="M269" i="54" a="1"/>
  <c r="M269" i="54" s="1"/>
  <c r="L269" i="54" a="1"/>
  <c r="L269" i="54" s="1"/>
  <c r="K269" i="54" a="1"/>
  <c r="K269" i="54" s="1"/>
  <c r="J269" i="54" a="1"/>
  <c r="J269" i="54" s="1"/>
  <c r="I269" i="54" a="1"/>
  <c r="I269" i="54" s="1"/>
  <c r="H269" i="54" a="1"/>
  <c r="H269" i="54" s="1"/>
  <c r="G269" i="54" a="1"/>
  <c r="G269" i="54" s="1"/>
  <c r="F269" i="54" a="1"/>
  <c r="F269" i="54" s="1"/>
  <c r="E269" i="54" a="1"/>
  <c r="E269" i="54" s="1"/>
  <c r="D269" i="54" a="1"/>
  <c r="D269" i="54" s="1"/>
  <c r="C269" i="54" a="1"/>
  <c r="C269" i="54" s="1"/>
  <c r="A269" i="54" a="1"/>
  <c r="A269" i="54" s="1"/>
  <c r="M268" i="54" a="1"/>
  <c r="M268" i="54" s="1"/>
  <c r="L268" i="54" a="1"/>
  <c r="L268" i="54" s="1"/>
  <c r="K268" i="54" a="1"/>
  <c r="K268" i="54" s="1"/>
  <c r="J268" i="54" a="1"/>
  <c r="J268" i="54" s="1"/>
  <c r="I268" i="54" a="1"/>
  <c r="I268" i="54" s="1"/>
  <c r="H268" i="54" a="1"/>
  <c r="H268" i="54" s="1"/>
  <c r="G268" i="54" a="1"/>
  <c r="G268" i="54" s="1"/>
  <c r="F268" i="54" a="1"/>
  <c r="F268" i="54" s="1"/>
  <c r="E268" i="54" a="1"/>
  <c r="E268" i="54" s="1"/>
  <c r="D268" i="54" a="1"/>
  <c r="D268" i="54" s="1"/>
  <c r="C268" i="54" a="1"/>
  <c r="C268" i="54" s="1"/>
  <c r="A268" i="54" a="1"/>
  <c r="A268" i="54" s="1"/>
  <c r="M267" i="54" a="1"/>
  <c r="M267" i="54" s="1"/>
  <c r="L267" i="54" a="1"/>
  <c r="L267" i="54" s="1"/>
  <c r="K267" i="54" a="1"/>
  <c r="K267" i="54" s="1"/>
  <c r="J267" i="54" a="1"/>
  <c r="J267" i="54" s="1"/>
  <c r="I267" i="54" a="1"/>
  <c r="I267" i="54" s="1"/>
  <c r="H267" i="54" a="1"/>
  <c r="H267" i="54" s="1"/>
  <c r="G267" i="54" a="1"/>
  <c r="G267" i="54" s="1"/>
  <c r="F267" i="54" a="1"/>
  <c r="F267" i="54" s="1"/>
  <c r="E267" i="54" a="1"/>
  <c r="E267" i="54" s="1"/>
  <c r="D267" i="54" a="1"/>
  <c r="D267" i="54" s="1"/>
  <c r="C267" i="54" a="1"/>
  <c r="C267" i="54" s="1"/>
  <c r="A267" i="54" a="1"/>
  <c r="A267" i="54" s="1"/>
  <c r="M266" i="54" a="1"/>
  <c r="M266" i="54" s="1"/>
  <c r="L266" i="54" a="1"/>
  <c r="L266" i="54" s="1"/>
  <c r="K266" i="54" a="1"/>
  <c r="K266" i="54" s="1"/>
  <c r="J266" i="54" a="1"/>
  <c r="J266" i="54" s="1"/>
  <c r="I266" i="54" a="1"/>
  <c r="I266" i="54" s="1"/>
  <c r="H266" i="54" a="1"/>
  <c r="H266" i="54" s="1"/>
  <c r="G266" i="54" a="1"/>
  <c r="G266" i="54" s="1"/>
  <c r="F266" i="54" a="1"/>
  <c r="F266" i="54" s="1"/>
  <c r="E266" i="54" a="1"/>
  <c r="E266" i="54" s="1"/>
  <c r="D266" i="54" a="1"/>
  <c r="D266" i="54" s="1"/>
  <c r="C266" i="54" a="1"/>
  <c r="C266" i="54" s="1"/>
  <c r="A266" i="54" a="1"/>
  <c r="A266" i="54" s="1"/>
  <c r="M265" i="54" a="1"/>
  <c r="M265" i="54" s="1"/>
  <c r="L265" i="54" a="1"/>
  <c r="L265" i="54" s="1"/>
  <c r="K265" i="54" a="1"/>
  <c r="K265" i="54" s="1"/>
  <c r="J265" i="54" a="1"/>
  <c r="J265" i="54" s="1"/>
  <c r="I265" i="54" a="1"/>
  <c r="I265" i="54" s="1"/>
  <c r="H265" i="54" a="1"/>
  <c r="H265" i="54" s="1"/>
  <c r="G265" i="54" a="1"/>
  <c r="G265" i="54" s="1"/>
  <c r="F265" i="54" a="1"/>
  <c r="F265" i="54" s="1"/>
  <c r="E265" i="54" a="1"/>
  <c r="E265" i="54" s="1"/>
  <c r="D265" i="54" a="1"/>
  <c r="D265" i="54" s="1"/>
  <c r="C265" i="54" a="1"/>
  <c r="C265" i="54" s="1"/>
  <c r="A265" i="54" a="1"/>
  <c r="A265" i="54" s="1"/>
  <c r="M264" i="54" a="1"/>
  <c r="M264" i="54" s="1"/>
  <c r="L264" i="54" a="1"/>
  <c r="L264" i="54" s="1"/>
  <c r="K264" i="54" a="1"/>
  <c r="K264" i="54" s="1"/>
  <c r="J264" i="54" a="1"/>
  <c r="J264" i="54" s="1"/>
  <c r="I264" i="54" a="1"/>
  <c r="I264" i="54" s="1"/>
  <c r="H264" i="54" a="1"/>
  <c r="H264" i="54" s="1"/>
  <c r="G264" i="54" a="1"/>
  <c r="G264" i="54" s="1"/>
  <c r="F264" i="54" a="1"/>
  <c r="F264" i="54" s="1"/>
  <c r="E264" i="54" a="1"/>
  <c r="E264" i="54" s="1"/>
  <c r="D264" i="54" a="1"/>
  <c r="D264" i="54" s="1"/>
  <c r="C264" i="54" a="1"/>
  <c r="C264" i="54" s="1"/>
  <c r="A264" i="54" a="1"/>
  <c r="A264" i="54" s="1"/>
  <c r="M263" i="54" a="1"/>
  <c r="M263" i="54" s="1"/>
  <c r="L263" i="54" a="1"/>
  <c r="L263" i="54" s="1"/>
  <c r="K263" i="54" a="1"/>
  <c r="K263" i="54" s="1"/>
  <c r="J263" i="54" a="1"/>
  <c r="J263" i="54" s="1"/>
  <c r="I263" i="54" a="1"/>
  <c r="I263" i="54" s="1"/>
  <c r="H263" i="54" a="1"/>
  <c r="H263" i="54" s="1"/>
  <c r="G263" i="54" a="1"/>
  <c r="G263" i="54" s="1"/>
  <c r="F263" i="54" a="1"/>
  <c r="F263" i="54" s="1"/>
  <c r="E263" i="54" a="1"/>
  <c r="E263" i="54" s="1"/>
  <c r="D263" i="54" a="1"/>
  <c r="D263" i="54" s="1"/>
  <c r="C263" i="54" a="1"/>
  <c r="C263" i="54" s="1"/>
  <c r="A263" i="54" a="1"/>
  <c r="A263" i="54" s="1"/>
  <c r="M262" i="54" a="1"/>
  <c r="M262" i="54" s="1"/>
  <c r="L262" i="54" a="1"/>
  <c r="L262" i="54" s="1"/>
  <c r="K262" i="54" a="1"/>
  <c r="K262" i="54" s="1"/>
  <c r="J262" i="54" a="1"/>
  <c r="J262" i="54" s="1"/>
  <c r="I262" i="54" a="1"/>
  <c r="I262" i="54" s="1"/>
  <c r="H262" i="54" a="1"/>
  <c r="H262" i="54" s="1"/>
  <c r="G262" i="54" a="1"/>
  <c r="G262" i="54" s="1"/>
  <c r="F262" i="54" a="1"/>
  <c r="F262" i="54" s="1"/>
  <c r="E262" i="54" a="1"/>
  <c r="E262" i="54" s="1"/>
  <c r="D262" i="54" a="1"/>
  <c r="D262" i="54" s="1"/>
  <c r="C262" i="54" a="1"/>
  <c r="C262" i="54" s="1"/>
  <c r="A262" i="54" a="1"/>
  <c r="A262" i="54" s="1"/>
  <c r="M261" i="54" a="1"/>
  <c r="M261" i="54" s="1"/>
  <c r="L261" i="54" a="1"/>
  <c r="L261" i="54" s="1"/>
  <c r="K261" i="54" a="1"/>
  <c r="K261" i="54" s="1"/>
  <c r="J261" i="54" a="1"/>
  <c r="J261" i="54" s="1"/>
  <c r="I261" i="54" a="1"/>
  <c r="I261" i="54" s="1"/>
  <c r="H261" i="54" a="1"/>
  <c r="H261" i="54" s="1"/>
  <c r="G261" i="54" a="1"/>
  <c r="G261" i="54" s="1"/>
  <c r="F261" i="54" a="1"/>
  <c r="F261" i="54" s="1"/>
  <c r="E261" i="54" a="1"/>
  <c r="E261" i="54" s="1"/>
  <c r="D261" i="54" a="1"/>
  <c r="D261" i="54" s="1"/>
  <c r="C261" i="54" a="1"/>
  <c r="C261" i="54" s="1"/>
  <c r="A261" i="54" a="1"/>
  <c r="A261" i="54" s="1"/>
  <c r="M260" i="54" a="1"/>
  <c r="M260" i="54" s="1"/>
  <c r="L260" i="54" a="1"/>
  <c r="L260" i="54" s="1"/>
  <c r="K260" i="54" a="1"/>
  <c r="K260" i="54" s="1"/>
  <c r="J260" i="54" a="1"/>
  <c r="J260" i="54" s="1"/>
  <c r="I260" i="54" a="1"/>
  <c r="I260" i="54" s="1"/>
  <c r="H260" i="54" a="1"/>
  <c r="H260" i="54" s="1"/>
  <c r="G260" i="54" a="1"/>
  <c r="G260" i="54" s="1"/>
  <c r="F260" i="54" a="1"/>
  <c r="F260" i="54" s="1"/>
  <c r="E260" i="54" a="1"/>
  <c r="E260" i="54" s="1"/>
  <c r="D260" i="54" a="1"/>
  <c r="D260" i="54" s="1"/>
  <c r="C260" i="54" a="1"/>
  <c r="C260" i="54" s="1"/>
  <c r="A260" i="54" a="1"/>
  <c r="A260" i="54" s="1"/>
  <c r="M259" i="54" a="1"/>
  <c r="M259" i="54" s="1"/>
  <c r="L259" i="54" a="1"/>
  <c r="L259" i="54" s="1"/>
  <c r="K259" i="54" a="1"/>
  <c r="K259" i="54" s="1"/>
  <c r="J259" i="54" a="1"/>
  <c r="J259" i="54" s="1"/>
  <c r="I259" i="54" a="1"/>
  <c r="I259" i="54" s="1"/>
  <c r="H259" i="54" a="1"/>
  <c r="H259" i="54" s="1"/>
  <c r="G259" i="54" a="1"/>
  <c r="G259" i="54" s="1"/>
  <c r="F259" i="54" a="1"/>
  <c r="F259" i="54" s="1"/>
  <c r="E259" i="54" a="1"/>
  <c r="E259" i="54" s="1"/>
  <c r="D259" i="54" a="1"/>
  <c r="D259" i="54" s="1"/>
  <c r="C259" i="54" a="1"/>
  <c r="C259" i="54" s="1"/>
  <c r="A259" i="54" a="1"/>
  <c r="A259" i="54" s="1"/>
  <c r="M258" i="54" a="1"/>
  <c r="M258" i="54" s="1"/>
  <c r="L258" i="54" a="1"/>
  <c r="L258" i="54" s="1"/>
  <c r="K258" i="54" a="1"/>
  <c r="K258" i="54" s="1"/>
  <c r="J258" i="54" a="1"/>
  <c r="J258" i="54" s="1"/>
  <c r="I258" i="54" a="1"/>
  <c r="I258" i="54" s="1"/>
  <c r="H258" i="54" a="1"/>
  <c r="H258" i="54" s="1"/>
  <c r="G258" i="54" a="1"/>
  <c r="G258" i="54" s="1"/>
  <c r="F258" i="54" a="1"/>
  <c r="F258" i="54" s="1"/>
  <c r="E258" i="54" a="1"/>
  <c r="E258" i="54" s="1"/>
  <c r="D258" i="54" a="1"/>
  <c r="D258" i="54" s="1"/>
  <c r="C258" i="54" a="1"/>
  <c r="C258" i="54" s="1"/>
  <c r="A258" i="54" a="1"/>
  <c r="A258" i="54" s="1"/>
  <c r="M257" i="54" a="1"/>
  <c r="M257" i="54" s="1"/>
  <c r="L257" i="54" a="1"/>
  <c r="L257" i="54" s="1"/>
  <c r="K257" i="54" a="1"/>
  <c r="K257" i="54" s="1"/>
  <c r="J257" i="54" a="1"/>
  <c r="J257" i="54" s="1"/>
  <c r="I257" i="54" a="1"/>
  <c r="I257" i="54" s="1"/>
  <c r="H257" i="54" a="1"/>
  <c r="H257" i="54" s="1"/>
  <c r="G257" i="54" a="1"/>
  <c r="G257" i="54" s="1"/>
  <c r="F257" i="54" a="1"/>
  <c r="F257" i="54" s="1"/>
  <c r="E257" i="54" a="1"/>
  <c r="E257" i="54" s="1"/>
  <c r="D257" i="54" a="1"/>
  <c r="D257" i="54" s="1"/>
  <c r="C257" i="54" a="1"/>
  <c r="C257" i="54" s="1"/>
  <c r="A257" i="54" a="1"/>
  <c r="A257" i="54" s="1"/>
  <c r="M256" i="54" a="1"/>
  <c r="M256" i="54" s="1"/>
  <c r="L256" i="54" a="1"/>
  <c r="L256" i="54" s="1"/>
  <c r="K256" i="54" a="1"/>
  <c r="K256" i="54" s="1"/>
  <c r="J256" i="54" a="1"/>
  <c r="J256" i="54" s="1"/>
  <c r="I256" i="54" a="1"/>
  <c r="I256" i="54" s="1"/>
  <c r="H256" i="54" a="1"/>
  <c r="H256" i="54" s="1"/>
  <c r="G256" i="54" a="1"/>
  <c r="G256" i="54" s="1"/>
  <c r="F256" i="54" a="1"/>
  <c r="F256" i="54" s="1"/>
  <c r="E256" i="54" a="1"/>
  <c r="E256" i="54" s="1"/>
  <c r="D256" i="54" a="1"/>
  <c r="D256" i="54" s="1"/>
  <c r="C256" i="54" a="1"/>
  <c r="C256" i="54" s="1"/>
  <c r="A256" i="54" a="1"/>
  <c r="A256" i="54" s="1"/>
  <c r="M255" i="54" a="1"/>
  <c r="M255" i="54" s="1"/>
  <c r="L255" i="54" a="1"/>
  <c r="L255" i="54" s="1"/>
  <c r="K255" i="54" a="1"/>
  <c r="K255" i="54" s="1"/>
  <c r="J255" i="54" a="1"/>
  <c r="J255" i="54" s="1"/>
  <c r="I255" i="54" a="1"/>
  <c r="I255" i="54" s="1"/>
  <c r="H255" i="54" a="1"/>
  <c r="H255" i="54" s="1"/>
  <c r="G255" i="54" a="1"/>
  <c r="G255" i="54" s="1"/>
  <c r="F255" i="54" a="1"/>
  <c r="F255" i="54" s="1"/>
  <c r="E255" i="54" a="1"/>
  <c r="E255" i="54" s="1"/>
  <c r="D255" i="54" a="1"/>
  <c r="D255" i="54" s="1"/>
  <c r="C255" i="54" a="1"/>
  <c r="C255" i="54" s="1"/>
  <c r="A255" i="54" a="1"/>
  <c r="A255" i="54" s="1"/>
  <c r="M254" i="54" a="1"/>
  <c r="M254" i="54" s="1"/>
  <c r="L254" i="54" a="1"/>
  <c r="L254" i="54" s="1"/>
  <c r="K254" i="54" a="1"/>
  <c r="K254" i="54" s="1"/>
  <c r="J254" i="54" a="1"/>
  <c r="J254" i="54" s="1"/>
  <c r="I254" i="54" a="1"/>
  <c r="I254" i="54" s="1"/>
  <c r="H254" i="54" a="1"/>
  <c r="H254" i="54" s="1"/>
  <c r="G254" i="54" a="1"/>
  <c r="G254" i="54" s="1"/>
  <c r="F254" i="54" a="1"/>
  <c r="F254" i="54" s="1"/>
  <c r="E254" i="54" a="1"/>
  <c r="E254" i="54" s="1"/>
  <c r="D254" i="54" a="1"/>
  <c r="D254" i="54" s="1"/>
  <c r="C254" i="54" a="1"/>
  <c r="C254" i="54" s="1"/>
  <c r="A254" i="54" a="1"/>
  <c r="A254" i="54" s="1"/>
  <c r="M253" i="54" a="1"/>
  <c r="M253" i="54" s="1"/>
  <c r="L253" i="54" a="1"/>
  <c r="L253" i="54" s="1"/>
  <c r="K253" i="54" a="1"/>
  <c r="K253" i="54" s="1"/>
  <c r="J253" i="54" a="1"/>
  <c r="J253" i="54" s="1"/>
  <c r="I253" i="54" a="1"/>
  <c r="I253" i="54" s="1"/>
  <c r="H253" i="54" a="1"/>
  <c r="H253" i="54" s="1"/>
  <c r="G253" i="54" a="1"/>
  <c r="G253" i="54" s="1"/>
  <c r="F253" i="54" a="1"/>
  <c r="F253" i="54" s="1"/>
  <c r="E253" i="54" a="1"/>
  <c r="E253" i="54" s="1"/>
  <c r="D253" i="54" a="1"/>
  <c r="D253" i="54" s="1"/>
  <c r="C253" i="54" a="1"/>
  <c r="C253" i="54" s="1"/>
  <c r="A253" i="54" a="1"/>
  <c r="A253" i="54" s="1"/>
  <c r="M252" i="54" a="1"/>
  <c r="M252" i="54" s="1"/>
  <c r="L252" i="54" a="1"/>
  <c r="L252" i="54" s="1"/>
  <c r="K252" i="54" a="1"/>
  <c r="K252" i="54" s="1"/>
  <c r="J252" i="54" a="1"/>
  <c r="J252" i="54" s="1"/>
  <c r="I252" i="54" a="1"/>
  <c r="I252" i="54" s="1"/>
  <c r="H252" i="54" a="1"/>
  <c r="H252" i="54" s="1"/>
  <c r="G252" i="54" a="1"/>
  <c r="G252" i="54" s="1"/>
  <c r="F252" i="54" a="1"/>
  <c r="F252" i="54" s="1"/>
  <c r="E252" i="54" a="1"/>
  <c r="E252" i="54" s="1"/>
  <c r="D252" i="54" a="1"/>
  <c r="D252" i="54" s="1"/>
  <c r="C252" i="54" a="1"/>
  <c r="C252" i="54" s="1"/>
  <c r="A252" i="54" a="1"/>
  <c r="A252" i="54" s="1"/>
  <c r="M251" i="54" a="1"/>
  <c r="M251" i="54" s="1"/>
  <c r="L251" i="54" a="1"/>
  <c r="L251" i="54" s="1"/>
  <c r="K251" i="54" a="1"/>
  <c r="K251" i="54" s="1"/>
  <c r="J251" i="54" a="1"/>
  <c r="J251" i="54" s="1"/>
  <c r="I251" i="54" a="1"/>
  <c r="I251" i="54" s="1"/>
  <c r="H251" i="54" a="1"/>
  <c r="H251" i="54" s="1"/>
  <c r="G251" i="54" a="1"/>
  <c r="G251" i="54" s="1"/>
  <c r="F251" i="54" a="1"/>
  <c r="F251" i="54" s="1"/>
  <c r="E251" i="54" a="1"/>
  <c r="E251" i="54" s="1"/>
  <c r="D251" i="54" a="1"/>
  <c r="D251" i="54" s="1"/>
  <c r="C251" i="54" a="1"/>
  <c r="C251" i="54" s="1"/>
  <c r="A251" i="54" a="1"/>
  <c r="A251" i="54" s="1"/>
  <c r="M250" i="54" a="1"/>
  <c r="M250" i="54" s="1"/>
  <c r="L250" i="54" a="1"/>
  <c r="L250" i="54" s="1"/>
  <c r="K250" i="54" a="1"/>
  <c r="K250" i="54" s="1"/>
  <c r="J250" i="54" a="1"/>
  <c r="J250" i="54" s="1"/>
  <c r="I250" i="54" a="1"/>
  <c r="I250" i="54" s="1"/>
  <c r="H250" i="54" a="1"/>
  <c r="H250" i="54" s="1"/>
  <c r="G250" i="54" a="1"/>
  <c r="G250" i="54" s="1"/>
  <c r="F250" i="54" a="1"/>
  <c r="F250" i="54" s="1"/>
  <c r="E250" i="54" a="1"/>
  <c r="E250" i="54" s="1"/>
  <c r="D250" i="54" a="1"/>
  <c r="D250" i="54" s="1"/>
  <c r="C250" i="54" a="1"/>
  <c r="C250" i="54" s="1"/>
  <c r="A250" i="54" a="1"/>
  <c r="A250" i="54" s="1"/>
  <c r="M249" i="54" a="1"/>
  <c r="M249" i="54" s="1"/>
  <c r="L249" i="54" a="1"/>
  <c r="L249" i="54" s="1"/>
  <c r="K249" i="54" a="1"/>
  <c r="K249" i="54" s="1"/>
  <c r="J249" i="54" a="1"/>
  <c r="J249" i="54" s="1"/>
  <c r="I249" i="54" a="1"/>
  <c r="I249" i="54" s="1"/>
  <c r="H249" i="54" a="1"/>
  <c r="H249" i="54" s="1"/>
  <c r="G249" i="54" a="1"/>
  <c r="G249" i="54" s="1"/>
  <c r="F249" i="54" a="1"/>
  <c r="F249" i="54" s="1"/>
  <c r="E249" i="54" a="1"/>
  <c r="E249" i="54" s="1"/>
  <c r="D249" i="54" a="1"/>
  <c r="D249" i="54" s="1"/>
  <c r="C249" i="54" a="1"/>
  <c r="C249" i="54" s="1"/>
  <c r="A249" i="54" a="1"/>
  <c r="A249" i="54" s="1"/>
  <c r="M248" i="54" a="1"/>
  <c r="M248" i="54" s="1"/>
  <c r="L248" i="54" a="1"/>
  <c r="L248" i="54" s="1"/>
  <c r="K248" i="54" a="1"/>
  <c r="K248" i="54" s="1"/>
  <c r="J248" i="54" a="1"/>
  <c r="J248" i="54" s="1"/>
  <c r="I248" i="54" a="1"/>
  <c r="I248" i="54" s="1"/>
  <c r="H248" i="54" a="1"/>
  <c r="H248" i="54" s="1"/>
  <c r="G248" i="54" a="1"/>
  <c r="G248" i="54" s="1"/>
  <c r="F248" i="54" a="1"/>
  <c r="F248" i="54" s="1"/>
  <c r="E248" i="54" a="1"/>
  <c r="E248" i="54" s="1"/>
  <c r="D248" i="54" a="1"/>
  <c r="D248" i="54" s="1"/>
  <c r="C248" i="54" a="1"/>
  <c r="C248" i="54" s="1"/>
  <c r="A248" i="54" a="1"/>
  <c r="A248" i="54" s="1"/>
  <c r="M247" i="54" a="1"/>
  <c r="M247" i="54" s="1"/>
  <c r="L247" i="54" a="1"/>
  <c r="L247" i="54" s="1"/>
  <c r="K247" i="54" a="1"/>
  <c r="K247" i="54" s="1"/>
  <c r="J247" i="54" a="1"/>
  <c r="J247" i="54" s="1"/>
  <c r="I247" i="54" a="1"/>
  <c r="I247" i="54" s="1"/>
  <c r="H247" i="54" a="1"/>
  <c r="H247" i="54" s="1"/>
  <c r="G247" i="54" a="1"/>
  <c r="G247" i="54" s="1"/>
  <c r="F247" i="54" a="1"/>
  <c r="F247" i="54" s="1"/>
  <c r="E247" i="54" a="1"/>
  <c r="E247" i="54" s="1"/>
  <c r="D247" i="54" a="1"/>
  <c r="D247" i="54" s="1"/>
  <c r="C247" i="54" a="1"/>
  <c r="C247" i="54" s="1"/>
  <c r="A247" i="54" a="1"/>
  <c r="A247" i="54" s="1"/>
  <c r="M246" i="54" a="1"/>
  <c r="M246" i="54" s="1"/>
  <c r="L246" i="54" a="1"/>
  <c r="L246" i="54" s="1"/>
  <c r="K246" i="54" a="1"/>
  <c r="K246" i="54" s="1"/>
  <c r="J246" i="54" a="1"/>
  <c r="J246" i="54" s="1"/>
  <c r="I246" i="54" a="1"/>
  <c r="I246" i="54" s="1"/>
  <c r="H246" i="54" a="1"/>
  <c r="H246" i="54" s="1"/>
  <c r="G246" i="54" a="1"/>
  <c r="G246" i="54" s="1"/>
  <c r="F246" i="54" a="1"/>
  <c r="F246" i="54" s="1"/>
  <c r="E246" i="54" a="1"/>
  <c r="E246" i="54" s="1"/>
  <c r="D246" i="54" a="1"/>
  <c r="D246" i="54" s="1"/>
  <c r="C246" i="54" a="1"/>
  <c r="C246" i="54" s="1"/>
  <c r="A246" i="54" a="1"/>
  <c r="A246" i="54" s="1"/>
  <c r="M245" i="54" a="1"/>
  <c r="M245" i="54" s="1"/>
  <c r="L245" i="54" a="1"/>
  <c r="L245" i="54" s="1"/>
  <c r="K245" i="54" a="1"/>
  <c r="K245" i="54" s="1"/>
  <c r="J245" i="54" a="1"/>
  <c r="J245" i="54" s="1"/>
  <c r="I245" i="54" a="1"/>
  <c r="I245" i="54" s="1"/>
  <c r="H245" i="54" a="1"/>
  <c r="H245" i="54" s="1"/>
  <c r="G245" i="54" a="1"/>
  <c r="G245" i="54" s="1"/>
  <c r="F245" i="54" a="1"/>
  <c r="F245" i="54" s="1"/>
  <c r="E245" i="54" a="1"/>
  <c r="E245" i="54" s="1"/>
  <c r="D245" i="54" a="1"/>
  <c r="D245" i="54" s="1"/>
  <c r="C245" i="54" a="1"/>
  <c r="C245" i="54" s="1"/>
  <c r="A245" i="54" a="1"/>
  <c r="A245" i="54" s="1"/>
  <c r="M244" i="54" a="1"/>
  <c r="M244" i="54" s="1"/>
  <c r="L244" i="54" a="1"/>
  <c r="L244" i="54" s="1"/>
  <c r="K244" i="54" a="1"/>
  <c r="K244" i="54" s="1"/>
  <c r="J244" i="54" a="1"/>
  <c r="J244" i="54" s="1"/>
  <c r="I244" i="54" a="1"/>
  <c r="I244" i="54" s="1"/>
  <c r="H244" i="54" a="1"/>
  <c r="H244" i="54" s="1"/>
  <c r="G244" i="54" a="1"/>
  <c r="G244" i="54" s="1"/>
  <c r="F244" i="54" a="1"/>
  <c r="F244" i="54" s="1"/>
  <c r="E244" i="54" a="1"/>
  <c r="E244" i="54" s="1"/>
  <c r="D244" i="54" a="1"/>
  <c r="D244" i="54" s="1"/>
  <c r="C244" i="54" a="1"/>
  <c r="C244" i="54" s="1"/>
  <c r="A244" i="54" a="1"/>
  <c r="A244" i="54" s="1"/>
  <c r="M243" i="54" a="1"/>
  <c r="M243" i="54" s="1"/>
  <c r="L243" i="54" a="1"/>
  <c r="L243" i="54" s="1"/>
  <c r="K243" i="54" a="1"/>
  <c r="K243" i="54" s="1"/>
  <c r="J243" i="54" a="1"/>
  <c r="J243" i="54" s="1"/>
  <c r="I243" i="54" a="1"/>
  <c r="I243" i="54" s="1"/>
  <c r="H243" i="54" a="1"/>
  <c r="H243" i="54" s="1"/>
  <c r="G243" i="54" a="1"/>
  <c r="G243" i="54" s="1"/>
  <c r="F243" i="54" a="1"/>
  <c r="F243" i="54" s="1"/>
  <c r="E243" i="54" a="1"/>
  <c r="E243" i="54" s="1"/>
  <c r="D243" i="54" a="1"/>
  <c r="D243" i="54" s="1"/>
  <c r="C243" i="54" a="1"/>
  <c r="C243" i="54" s="1"/>
  <c r="A243" i="54" a="1"/>
  <c r="A243" i="54" s="1"/>
  <c r="M242" i="54" a="1"/>
  <c r="M242" i="54" s="1"/>
  <c r="L242" i="54" a="1"/>
  <c r="L242" i="54" s="1"/>
  <c r="K242" i="54" a="1"/>
  <c r="K242" i="54" s="1"/>
  <c r="J242" i="54" a="1"/>
  <c r="J242" i="54" s="1"/>
  <c r="I242" i="54" a="1"/>
  <c r="I242" i="54" s="1"/>
  <c r="H242" i="54" a="1"/>
  <c r="H242" i="54" s="1"/>
  <c r="G242" i="54" a="1"/>
  <c r="G242" i="54" s="1"/>
  <c r="F242" i="54" a="1"/>
  <c r="F242" i="54" s="1"/>
  <c r="E242" i="54" a="1"/>
  <c r="E242" i="54" s="1"/>
  <c r="D242" i="54" a="1"/>
  <c r="D242" i="54" s="1"/>
  <c r="C242" i="54" a="1"/>
  <c r="C242" i="54" s="1"/>
  <c r="A242" i="54" a="1"/>
  <c r="A242" i="54" s="1"/>
  <c r="M241" i="54" a="1"/>
  <c r="M241" i="54" s="1"/>
  <c r="L241" i="54" a="1"/>
  <c r="L241" i="54" s="1"/>
  <c r="K241" i="54" a="1"/>
  <c r="K241" i="54" s="1"/>
  <c r="J241" i="54" a="1"/>
  <c r="J241" i="54" s="1"/>
  <c r="I241" i="54" a="1"/>
  <c r="I241" i="54" s="1"/>
  <c r="H241" i="54" a="1"/>
  <c r="H241" i="54" s="1"/>
  <c r="G241" i="54" a="1"/>
  <c r="G241" i="54" s="1"/>
  <c r="F241" i="54" a="1"/>
  <c r="F241" i="54" s="1"/>
  <c r="E241" i="54" a="1"/>
  <c r="E241" i="54" s="1"/>
  <c r="D241" i="54" a="1"/>
  <c r="D241" i="54" s="1"/>
  <c r="C241" i="54" a="1"/>
  <c r="C241" i="54" s="1"/>
  <c r="A241" i="54" a="1"/>
  <c r="A241" i="54" s="1"/>
  <c r="M240" i="54" a="1"/>
  <c r="M240" i="54" s="1"/>
  <c r="L240" i="54" a="1"/>
  <c r="L240" i="54" s="1"/>
  <c r="K240" i="54" a="1"/>
  <c r="K240" i="54" s="1"/>
  <c r="J240" i="54" a="1"/>
  <c r="J240" i="54" s="1"/>
  <c r="I240" i="54" a="1"/>
  <c r="I240" i="54" s="1"/>
  <c r="H240" i="54" a="1"/>
  <c r="H240" i="54" s="1"/>
  <c r="G240" i="54" a="1"/>
  <c r="G240" i="54" s="1"/>
  <c r="F240" i="54" a="1"/>
  <c r="F240" i="54" s="1"/>
  <c r="E240" i="54" a="1"/>
  <c r="E240" i="54" s="1"/>
  <c r="D240" i="54" a="1"/>
  <c r="D240" i="54" s="1"/>
  <c r="C240" i="54" a="1"/>
  <c r="C240" i="54" s="1"/>
  <c r="A240" i="54" a="1"/>
  <c r="A240" i="54" s="1"/>
  <c r="M239" i="54" a="1"/>
  <c r="M239" i="54" s="1"/>
  <c r="L239" i="54" a="1"/>
  <c r="L239" i="54" s="1"/>
  <c r="K239" i="54" a="1"/>
  <c r="K239" i="54" s="1"/>
  <c r="J239" i="54" a="1"/>
  <c r="J239" i="54" s="1"/>
  <c r="I239" i="54" a="1"/>
  <c r="I239" i="54" s="1"/>
  <c r="H239" i="54" a="1"/>
  <c r="H239" i="54" s="1"/>
  <c r="G239" i="54" a="1"/>
  <c r="G239" i="54" s="1"/>
  <c r="F239" i="54" a="1"/>
  <c r="F239" i="54" s="1"/>
  <c r="E239" i="54" a="1"/>
  <c r="E239" i="54" s="1"/>
  <c r="D239" i="54" a="1"/>
  <c r="D239" i="54" s="1"/>
  <c r="C239" i="54" a="1"/>
  <c r="C239" i="54" s="1"/>
  <c r="A239" i="54" a="1"/>
  <c r="A239" i="54" s="1"/>
  <c r="M238" i="54" a="1"/>
  <c r="M238" i="54" s="1"/>
  <c r="L238" i="54" a="1"/>
  <c r="L238" i="54" s="1"/>
  <c r="K238" i="54" a="1"/>
  <c r="K238" i="54" s="1"/>
  <c r="J238" i="54" a="1"/>
  <c r="J238" i="54" s="1"/>
  <c r="I238" i="54" a="1"/>
  <c r="I238" i="54" s="1"/>
  <c r="H238" i="54" a="1"/>
  <c r="H238" i="54" s="1"/>
  <c r="G238" i="54" a="1"/>
  <c r="G238" i="54" s="1"/>
  <c r="F238" i="54" a="1"/>
  <c r="F238" i="54" s="1"/>
  <c r="E238" i="54" a="1"/>
  <c r="E238" i="54" s="1"/>
  <c r="D238" i="54" a="1"/>
  <c r="D238" i="54" s="1"/>
  <c r="C238" i="54" a="1"/>
  <c r="C238" i="54" s="1"/>
  <c r="A238" i="54" a="1"/>
  <c r="A238" i="54" s="1"/>
  <c r="M237" i="54" a="1"/>
  <c r="M237" i="54" s="1"/>
  <c r="L237" i="54" a="1"/>
  <c r="L237" i="54" s="1"/>
  <c r="K237" i="54" a="1"/>
  <c r="K237" i="54" s="1"/>
  <c r="J237" i="54" a="1"/>
  <c r="J237" i="54" s="1"/>
  <c r="I237" i="54" a="1"/>
  <c r="I237" i="54" s="1"/>
  <c r="H237" i="54" a="1"/>
  <c r="H237" i="54" s="1"/>
  <c r="G237" i="54" a="1"/>
  <c r="G237" i="54" s="1"/>
  <c r="F237" i="54" a="1"/>
  <c r="F237" i="54" s="1"/>
  <c r="E237" i="54" a="1"/>
  <c r="E237" i="54" s="1"/>
  <c r="D237" i="54" a="1"/>
  <c r="D237" i="54" s="1"/>
  <c r="C237" i="54" a="1"/>
  <c r="C237" i="54" s="1"/>
  <c r="A237" i="54" a="1"/>
  <c r="A237" i="54" s="1"/>
  <c r="M236" i="54" a="1"/>
  <c r="M236" i="54" s="1"/>
  <c r="L236" i="54" a="1"/>
  <c r="L236" i="54" s="1"/>
  <c r="K236" i="54" a="1"/>
  <c r="K236" i="54" s="1"/>
  <c r="J236" i="54" a="1"/>
  <c r="J236" i="54" s="1"/>
  <c r="I236" i="54" a="1"/>
  <c r="I236" i="54" s="1"/>
  <c r="H236" i="54" a="1"/>
  <c r="H236" i="54" s="1"/>
  <c r="G236" i="54" a="1"/>
  <c r="G236" i="54" s="1"/>
  <c r="F236" i="54" a="1"/>
  <c r="F236" i="54" s="1"/>
  <c r="E236" i="54" a="1"/>
  <c r="E236" i="54" s="1"/>
  <c r="D236" i="54" a="1"/>
  <c r="D236" i="54" s="1"/>
  <c r="C236" i="54" a="1"/>
  <c r="C236" i="54" s="1"/>
  <c r="A236" i="54" a="1"/>
  <c r="A236" i="54" s="1"/>
  <c r="M235" i="54" a="1"/>
  <c r="M235" i="54" s="1"/>
  <c r="L235" i="54" a="1"/>
  <c r="L235" i="54" s="1"/>
  <c r="K235" i="54" a="1"/>
  <c r="K235" i="54" s="1"/>
  <c r="J235" i="54" a="1"/>
  <c r="J235" i="54" s="1"/>
  <c r="I235" i="54" a="1"/>
  <c r="I235" i="54" s="1"/>
  <c r="H235" i="54" a="1"/>
  <c r="H235" i="54" s="1"/>
  <c r="G235" i="54" a="1"/>
  <c r="G235" i="54" s="1"/>
  <c r="F235" i="54" a="1"/>
  <c r="F235" i="54" s="1"/>
  <c r="E235" i="54" a="1"/>
  <c r="E235" i="54" s="1"/>
  <c r="D235" i="54" a="1"/>
  <c r="D235" i="54" s="1"/>
  <c r="C235" i="54" a="1"/>
  <c r="C235" i="54" s="1"/>
  <c r="A235" i="54" a="1"/>
  <c r="A235" i="54" s="1"/>
  <c r="M234" i="54" a="1"/>
  <c r="M234" i="54" s="1"/>
  <c r="L234" i="54" a="1"/>
  <c r="L234" i="54" s="1"/>
  <c r="K234" i="54" a="1"/>
  <c r="K234" i="54" s="1"/>
  <c r="J234" i="54" a="1"/>
  <c r="J234" i="54" s="1"/>
  <c r="I234" i="54" a="1"/>
  <c r="I234" i="54" s="1"/>
  <c r="H234" i="54" a="1"/>
  <c r="H234" i="54" s="1"/>
  <c r="G234" i="54" a="1"/>
  <c r="G234" i="54" s="1"/>
  <c r="F234" i="54" a="1"/>
  <c r="F234" i="54" s="1"/>
  <c r="E234" i="54" a="1"/>
  <c r="E234" i="54" s="1"/>
  <c r="D234" i="54" a="1"/>
  <c r="D234" i="54" s="1"/>
  <c r="C234" i="54" a="1"/>
  <c r="C234" i="54" s="1"/>
  <c r="A234" i="54" a="1"/>
  <c r="A234" i="54" s="1"/>
  <c r="M233" i="54" a="1"/>
  <c r="M233" i="54" s="1"/>
  <c r="L233" i="54" a="1"/>
  <c r="L233" i="54" s="1"/>
  <c r="K233" i="54" a="1"/>
  <c r="K233" i="54" s="1"/>
  <c r="J233" i="54" a="1"/>
  <c r="J233" i="54" s="1"/>
  <c r="I233" i="54" a="1"/>
  <c r="I233" i="54" s="1"/>
  <c r="H233" i="54" a="1"/>
  <c r="H233" i="54" s="1"/>
  <c r="G233" i="54" a="1"/>
  <c r="G233" i="54" s="1"/>
  <c r="F233" i="54" a="1"/>
  <c r="F233" i="54" s="1"/>
  <c r="E233" i="54" a="1"/>
  <c r="E233" i="54" s="1"/>
  <c r="D233" i="54" a="1"/>
  <c r="D233" i="54" s="1"/>
  <c r="C233" i="54" a="1"/>
  <c r="C233" i="54" s="1"/>
  <c r="A233" i="54" a="1"/>
  <c r="A233" i="54" s="1"/>
  <c r="M232" i="54" a="1"/>
  <c r="M232" i="54" s="1"/>
  <c r="L232" i="54" a="1"/>
  <c r="L232" i="54" s="1"/>
  <c r="K232" i="54" a="1"/>
  <c r="K232" i="54" s="1"/>
  <c r="J232" i="54" a="1"/>
  <c r="J232" i="54" s="1"/>
  <c r="I232" i="54" a="1"/>
  <c r="I232" i="54" s="1"/>
  <c r="H232" i="54" a="1"/>
  <c r="H232" i="54" s="1"/>
  <c r="G232" i="54" a="1"/>
  <c r="G232" i="54" s="1"/>
  <c r="F232" i="54" a="1"/>
  <c r="F232" i="54" s="1"/>
  <c r="E232" i="54" a="1"/>
  <c r="E232" i="54" s="1"/>
  <c r="D232" i="54" a="1"/>
  <c r="D232" i="54" s="1"/>
  <c r="C232" i="54" a="1"/>
  <c r="C232" i="54" s="1"/>
  <c r="A232" i="54" a="1"/>
  <c r="A232" i="54" s="1"/>
  <c r="M231" i="54" a="1"/>
  <c r="M231" i="54" s="1"/>
  <c r="L231" i="54" a="1"/>
  <c r="L231" i="54" s="1"/>
  <c r="K231" i="54" a="1"/>
  <c r="K231" i="54" s="1"/>
  <c r="J231" i="54" a="1"/>
  <c r="J231" i="54" s="1"/>
  <c r="I231" i="54" a="1"/>
  <c r="I231" i="54" s="1"/>
  <c r="H231" i="54" a="1"/>
  <c r="H231" i="54" s="1"/>
  <c r="G231" i="54" a="1"/>
  <c r="G231" i="54" s="1"/>
  <c r="F231" i="54" a="1"/>
  <c r="F231" i="54" s="1"/>
  <c r="E231" i="54" a="1"/>
  <c r="E231" i="54" s="1"/>
  <c r="D231" i="54" a="1"/>
  <c r="D231" i="54" s="1"/>
  <c r="C231" i="54" a="1"/>
  <c r="C231" i="54" s="1"/>
  <c r="A231" i="54" a="1"/>
  <c r="A231" i="54" s="1"/>
  <c r="M230" i="54" a="1"/>
  <c r="M230" i="54" s="1"/>
  <c r="L230" i="54" a="1"/>
  <c r="L230" i="54" s="1"/>
  <c r="K230" i="54" a="1"/>
  <c r="K230" i="54" s="1"/>
  <c r="J230" i="54" a="1"/>
  <c r="J230" i="54" s="1"/>
  <c r="I230" i="54" a="1"/>
  <c r="I230" i="54" s="1"/>
  <c r="H230" i="54" a="1"/>
  <c r="H230" i="54" s="1"/>
  <c r="G230" i="54" a="1"/>
  <c r="G230" i="54" s="1"/>
  <c r="F230" i="54" a="1"/>
  <c r="F230" i="54" s="1"/>
  <c r="E230" i="54" a="1"/>
  <c r="E230" i="54" s="1"/>
  <c r="D230" i="54" a="1"/>
  <c r="D230" i="54" s="1"/>
  <c r="C230" i="54" a="1"/>
  <c r="C230" i="54" s="1"/>
  <c r="A230" i="54" a="1"/>
  <c r="A230" i="54" s="1"/>
  <c r="M229" i="54" a="1"/>
  <c r="M229" i="54" s="1"/>
  <c r="L229" i="54" a="1"/>
  <c r="L229" i="54" s="1"/>
  <c r="K229" i="54" a="1"/>
  <c r="K229" i="54" s="1"/>
  <c r="J229" i="54" a="1"/>
  <c r="J229" i="54" s="1"/>
  <c r="I229" i="54" a="1"/>
  <c r="I229" i="54" s="1"/>
  <c r="H229" i="54" a="1"/>
  <c r="H229" i="54" s="1"/>
  <c r="G229" i="54" a="1"/>
  <c r="G229" i="54" s="1"/>
  <c r="F229" i="54" a="1"/>
  <c r="F229" i="54" s="1"/>
  <c r="E229" i="54" a="1"/>
  <c r="E229" i="54" s="1"/>
  <c r="D229" i="54" a="1"/>
  <c r="D229" i="54" s="1"/>
  <c r="C229" i="54" a="1"/>
  <c r="C229" i="54" s="1"/>
  <c r="A229" i="54" a="1"/>
  <c r="A229" i="54" s="1"/>
  <c r="M228" i="54" a="1"/>
  <c r="M228" i="54" s="1"/>
  <c r="L228" i="54" a="1"/>
  <c r="L228" i="54" s="1"/>
  <c r="K228" i="54" a="1"/>
  <c r="K228" i="54" s="1"/>
  <c r="J228" i="54" a="1"/>
  <c r="J228" i="54" s="1"/>
  <c r="I228" i="54" a="1"/>
  <c r="I228" i="54" s="1"/>
  <c r="H228" i="54" a="1"/>
  <c r="H228" i="54" s="1"/>
  <c r="G228" i="54" a="1"/>
  <c r="G228" i="54" s="1"/>
  <c r="F228" i="54" a="1"/>
  <c r="F228" i="54" s="1"/>
  <c r="E228" i="54" a="1"/>
  <c r="E228" i="54" s="1"/>
  <c r="D228" i="54" a="1"/>
  <c r="D228" i="54" s="1"/>
  <c r="C228" i="54" a="1"/>
  <c r="C228" i="54" s="1"/>
  <c r="A228" i="54" a="1"/>
  <c r="A228" i="54" s="1"/>
  <c r="M227" i="54" a="1"/>
  <c r="M227" i="54" s="1"/>
  <c r="L227" i="54" a="1"/>
  <c r="L227" i="54" s="1"/>
  <c r="K227" i="54" a="1"/>
  <c r="K227" i="54" s="1"/>
  <c r="J227" i="54" a="1"/>
  <c r="J227" i="54" s="1"/>
  <c r="I227" i="54" a="1"/>
  <c r="I227" i="54" s="1"/>
  <c r="H227" i="54" a="1"/>
  <c r="H227" i="54" s="1"/>
  <c r="G227" i="54" a="1"/>
  <c r="G227" i="54" s="1"/>
  <c r="F227" i="54" a="1"/>
  <c r="F227" i="54" s="1"/>
  <c r="E227" i="54" a="1"/>
  <c r="E227" i="54" s="1"/>
  <c r="D227" i="54" a="1"/>
  <c r="D227" i="54" s="1"/>
  <c r="C227" i="54" a="1"/>
  <c r="C227" i="54" s="1"/>
  <c r="A227" i="54" a="1"/>
  <c r="A227" i="54" s="1"/>
  <c r="M226" i="54" a="1"/>
  <c r="M226" i="54" s="1"/>
  <c r="L226" i="54" a="1"/>
  <c r="L226" i="54" s="1"/>
  <c r="K226" i="54" a="1"/>
  <c r="K226" i="54" s="1"/>
  <c r="J226" i="54" a="1"/>
  <c r="J226" i="54" s="1"/>
  <c r="I226" i="54" a="1"/>
  <c r="I226" i="54" s="1"/>
  <c r="H226" i="54" a="1"/>
  <c r="H226" i="54" s="1"/>
  <c r="G226" i="54" a="1"/>
  <c r="G226" i="54" s="1"/>
  <c r="F226" i="54" a="1"/>
  <c r="F226" i="54" s="1"/>
  <c r="E226" i="54" a="1"/>
  <c r="E226" i="54" s="1"/>
  <c r="D226" i="54" a="1"/>
  <c r="D226" i="54" s="1"/>
  <c r="C226" i="54" a="1"/>
  <c r="C226" i="54" s="1"/>
  <c r="A226" i="54" a="1"/>
  <c r="A226" i="54" s="1"/>
  <c r="M225" i="54" a="1"/>
  <c r="M225" i="54" s="1"/>
  <c r="L225" i="54" a="1"/>
  <c r="L225" i="54" s="1"/>
  <c r="K225" i="54" a="1"/>
  <c r="K225" i="54" s="1"/>
  <c r="J225" i="54" a="1"/>
  <c r="J225" i="54" s="1"/>
  <c r="I225" i="54" a="1"/>
  <c r="I225" i="54" s="1"/>
  <c r="H225" i="54" a="1"/>
  <c r="H225" i="54" s="1"/>
  <c r="G225" i="54" a="1"/>
  <c r="G225" i="54" s="1"/>
  <c r="F225" i="54" a="1"/>
  <c r="F225" i="54" s="1"/>
  <c r="E225" i="54" a="1"/>
  <c r="E225" i="54" s="1"/>
  <c r="D225" i="54" a="1"/>
  <c r="D225" i="54" s="1"/>
  <c r="C225" i="54" a="1"/>
  <c r="C225" i="54" s="1"/>
  <c r="A225" i="54" a="1"/>
  <c r="A225" i="54" s="1"/>
  <c r="M224" i="54" a="1"/>
  <c r="M224" i="54" s="1"/>
  <c r="L224" i="54" a="1"/>
  <c r="L224" i="54" s="1"/>
  <c r="K224" i="54" a="1"/>
  <c r="K224" i="54" s="1"/>
  <c r="J224" i="54" a="1"/>
  <c r="J224" i="54" s="1"/>
  <c r="I224" i="54" a="1"/>
  <c r="I224" i="54" s="1"/>
  <c r="H224" i="54" a="1"/>
  <c r="H224" i="54" s="1"/>
  <c r="G224" i="54" a="1"/>
  <c r="G224" i="54" s="1"/>
  <c r="F224" i="54" a="1"/>
  <c r="F224" i="54" s="1"/>
  <c r="E224" i="54" a="1"/>
  <c r="E224" i="54" s="1"/>
  <c r="D224" i="54" a="1"/>
  <c r="D224" i="54" s="1"/>
  <c r="C224" i="54" a="1"/>
  <c r="C224" i="54" s="1"/>
  <c r="A224" i="54" a="1"/>
  <c r="A224" i="54" s="1"/>
  <c r="M223" i="54" a="1"/>
  <c r="M223" i="54" s="1"/>
  <c r="L223" i="54" a="1"/>
  <c r="L223" i="54" s="1"/>
  <c r="K223" i="54" a="1"/>
  <c r="K223" i="54" s="1"/>
  <c r="J223" i="54" a="1"/>
  <c r="J223" i="54" s="1"/>
  <c r="I223" i="54" a="1"/>
  <c r="I223" i="54" s="1"/>
  <c r="H223" i="54" a="1"/>
  <c r="H223" i="54" s="1"/>
  <c r="G223" i="54" a="1"/>
  <c r="G223" i="54" s="1"/>
  <c r="F223" i="54" a="1"/>
  <c r="F223" i="54" s="1"/>
  <c r="E223" i="54" a="1"/>
  <c r="E223" i="54" s="1"/>
  <c r="D223" i="54" a="1"/>
  <c r="D223" i="54" s="1"/>
  <c r="C223" i="54" a="1"/>
  <c r="C223" i="54" s="1"/>
  <c r="A223" i="54" a="1"/>
  <c r="A223" i="54" s="1"/>
  <c r="M222" i="54" a="1"/>
  <c r="M222" i="54" s="1"/>
  <c r="L222" i="54" a="1"/>
  <c r="L222" i="54" s="1"/>
  <c r="K222" i="54" a="1"/>
  <c r="K222" i="54" s="1"/>
  <c r="J222" i="54" a="1"/>
  <c r="J222" i="54" s="1"/>
  <c r="I222" i="54" a="1"/>
  <c r="I222" i="54" s="1"/>
  <c r="H222" i="54" a="1"/>
  <c r="H222" i="54" s="1"/>
  <c r="G222" i="54" a="1"/>
  <c r="G222" i="54" s="1"/>
  <c r="F222" i="54" a="1"/>
  <c r="F222" i="54" s="1"/>
  <c r="E222" i="54" a="1"/>
  <c r="E222" i="54" s="1"/>
  <c r="D222" i="54" a="1"/>
  <c r="D222" i="54" s="1"/>
  <c r="C222" i="54" a="1"/>
  <c r="C222" i="54" s="1"/>
  <c r="A222" i="54" a="1"/>
  <c r="A222" i="54" s="1"/>
  <c r="M221" i="54" a="1"/>
  <c r="M221" i="54" s="1"/>
  <c r="L221" i="54" a="1"/>
  <c r="L221" i="54" s="1"/>
  <c r="K221" i="54" a="1"/>
  <c r="K221" i="54" s="1"/>
  <c r="J221" i="54" a="1"/>
  <c r="J221" i="54" s="1"/>
  <c r="I221" i="54" a="1"/>
  <c r="I221" i="54" s="1"/>
  <c r="H221" i="54" a="1"/>
  <c r="H221" i="54" s="1"/>
  <c r="G221" i="54" a="1"/>
  <c r="G221" i="54" s="1"/>
  <c r="F221" i="54" a="1"/>
  <c r="F221" i="54" s="1"/>
  <c r="E221" i="54" a="1"/>
  <c r="E221" i="54" s="1"/>
  <c r="D221" i="54" a="1"/>
  <c r="D221" i="54" s="1"/>
  <c r="C221" i="54" a="1"/>
  <c r="C221" i="54" s="1"/>
  <c r="A221" i="54" a="1"/>
  <c r="A221" i="54" s="1"/>
  <c r="M220" i="54" a="1"/>
  <c r="M220" i="54" s="1"/>
  <c r="L220" i="54" a="1"/>
  <c r="L220" i="54" s="1"/>
  <c r="K220" i="54" a="1"/>
  <c r="K220" i="54" s="1"/>
  <c r="J220" i="54" a="1"/>
  <c r="J220" i="54" s="1"/>
  <c r="I220" i="54" a="1"/>
  <c r="I220" i="54" s="1"/>
  <c r="H220" i="54" a="1"/>
  <c r="H220" i="54" s="1"/>
  <c r="G220" i="54" a="1"/>
  <c r="G220" i="54" s="1"/>
  <c r="F220" i="54" a="1"/>
  <c r="F220" i="54" s="1"/>
  <c r="E220" i="54" a="1"/>
  <c r="E220" i="54" s="1"/>
  <c r="D220" i="54" a="1"/>
  <c r="D220" i="54" s="1"/>
  <c r="C220" i="54" a="1"/>
  <c r="C220" i="54" s="1"/>
  <c r="A220" i="54" a="1"/>
  <c r="A220" i="54" s="1"/>
  <c r="M219" i="54" a="1"/>
  <c r="M219" i="54" s="1"/>
  <c r="L219" i="54" a="1"/>
  <c r="L219" i="54" s="1"/>
  <c r="K219" i="54" a="1"/>
  <c r="K219" i="54" s="1"/>
  <c r="J219" i="54" a="1"/>
  <c r="J219" i="54" s="1"/>
  <c r="I219" i="54" a="1"/>
  <c r="I219" i="54" s="1"/>
  <c r="H219" i="54" a="1"/>
  <c r="H219" i="54" s="1"/>
  <c r="G219" i="54" a="1"/>
  <c r="G219" i="54" s="1"/>
  <c r="F219" i="54" a="1"/>
  <c r="F219" i="54" s="1"/>
  <c r="E219" i="54" a="1"/>
  <c r="E219" i="54" s="1"/>
  <c r="D219" i="54" a="1"/>
  <c r="D219" i="54" s="1"/>
  <c r="C219" i="54" a="1"/>
  <c r="C219" i="54" s="1"/>
  <c r="A219" i="54" a="1"/>
  <c r="A219" i="54" s="1"/>
  <c r="M218" i="54" a="1"/>
  <c r="M218" i="54" s="1"/>
  <c r="L218" i="54" a="1"/>
  <c r="L218" i="54" s="1"/>
  <c r="K218" i="54" a="1"/>
  <c r="K218" i="54" s="1"/>
  <c r="J218" i="54" a="1"/>
  <c r="J218" i="54" s="1"/>
  <c r="I218" i="54" a="1"/>
  <c r="I218" i="54" s="1"/>
  <c r="H218" i="54" a="1"/>
  <c r="H218" i="54" s="1"/>
  <c r="G218" i="54" a="1"/>
  <c r="G218" i="54" s="1"/>
  <c r="F218" i="54" a="1"/>
  <c r="F218" i="54" s="1"/>
  <c r="E218" i="54" a="1"/>
  <c r="E218" i="54" s="1"/>
  <c r="D218" i="54" a="1"/>
  <c r="D218" i="54" s="1"/>
  <c r="C218" i="54" a="1"/>
  <c r="C218" i="54" s="1"/>
  <c r="A218" i="54" a="1"/>
  <c r="A218" i="54" s="1"/>
  <c r="M217" i="54" a="1"/>
  <c r="M217" i="54" s="1"/>
  <c r="L217" i="54" a="1"/>
  <c r="L217" i="54" s="1"/>
  <c r="K217" i="54" a="1"/>
  <c r="K217" i="54" s="1"/>
  <c r="J217" i="54" a="1"/>
  <c r="J217" i="54" s="1"/>
  <c r="I217" i="54" a="1"/>
  <c r="I217" i="54" s="1"/>
  <c r="H217" i="54" a="1"/>
  <c r="H217" i="54" s="1"/>
  <c r="G217" i="54" a="1"/>
  <c r="G217" i="54" s="1"/>
  <c r="F217" i="54" a="1"/>
  <c r="F217" i="54" s="1"/>
  <c r="E217" i="54" a="1"/>
  <c r="E217" i="54" s="1"/>
  <c r="D217" i="54" a="1"/>
  <c r="D217" i="54" s="1"/>
  <c r="C217" i="54" a="1"/>
  <c r="C217" i="54" s="1"/>
  <c r="A217" i="54" a="1"/>
  <c r="A217" i="54" s="1"/>
  <c r="M216" i="54" a="1"/>
  <c r="M216" i="54" s="1"/>
  <c r="L216" i="54" a="1"/>
  <c r="L216" i="54" s="1"/>
  <c r="K216" i="54" a="1"/>
  <c r="K216" i="54" s="1"/>
  <c r="J216" i="54" a="1"/>
  <c r="J216" i="54" s="1"/>
  <c r="I216" i="54" a="1"/>
  <c r="I216" i="54" s="1"/>
  <c r="H216" i="54" a="1"/>
  <c r="H216" i="54" s="1"/>
  <c r="G216" i="54" a="1"/>
  <c r="G216" i="54" s="1"/>
  <c r="F216" i="54" a="1"/>
  <c r="F216" i="54" s="1"/>
  <c r="E216" i="54" a="1"/>
  <c r="E216" i="54" s="1"/>
  <c r="D216" i="54" a="1"/>
  <c r="D216" i="54" s="1"/>
  <c r="C216" i="54" a="1"/>
  <c r="C216" i="54" s="1"/>
  <c r="A216" i="54" a="1"/>
  <c r="A216" i="54" s="1"/>
  <c r="M215" i="54" a="1"/>
  <c r="M215" i="54" s="1"/>
  <c r="L215" i="54" a="1"/>
  <c r="L215" i="54" s="1"/>
  <c r="K215" i="54" a="1"/>
  <c r="K215" i="54" s="1"/>
  <c r="J215" i="54" a="1"/>
  <c r="J215" i="54" s="1"/>
  <c r="I215" i="54" a="1"/>
  <c r="I215" i="54" s="1"/>
  <c r="H215" i="54" a="1"/>
  <c r="H215" i="54" s="1"/>
  <c r="G215" i="54" a="1"/>
  <c r="G215" i="54" s="1"/>
  <c r="F215" i="54" a="1"/>
  <c r="F215" i="54" s="1"/>
  <c r="E215" i="54" a="1"/>
  <c r="E215" i="54" s="1"/>
  <c r="D215" i="54" a="1"/>
  <c r="D215" i="54" s="1"/>
  <c r="C215" i="54" a="1"/>
  <c r="C215" i="54" s="1"/>
  <c r="A215" i="54" a="1"/>
  <c r="A215" i="54" s="1"/>
  <c r="M214" i="54" a="1"/>
  <c r="M214" i="54" s="1"/>
  <c r="L214" i="54" a="1"/>
  <c r="L214" i="54" s="1"/>
  <c r="K214" i="54" a="1"/>
  <c r="K214" i="54" s="1"/>
  <c r="J214" i="54" a="1"/>
  <c r="J214" i="54" s="1"/>
  <c r="I214" i="54" a="1"/>
  <c r="I214" i="54" s="1"/>
  <c r="H214" i="54" a="1"/>
  <c r="H214" i="54" s="1"/>
  <c r="G214" i="54" a="1"/>
  <c r="G214" i="54" s="1"/>
  <c r="F214" i="54" a="1"/>
  <c r="F214" i="54" s="1"/>
  <c r="E214" i="54" a="1"/>
  <c r="E214" i="54" s="1"/>
  <c r="D214" i="54" a="1"/>
  <c r="D214" i="54" s="1"/>
  <c r="C214" i="54" a="1"/>
  <c r="C214" i="54" s="1"/>
  <c r="A214" i="54" a="1"/>
  <c r="A214" i="54" s="1"/>
  <c r="M213" i="54" a="1"/>
  <c r="M213" i="54" s="1"/>
  <c r="L213" i="54" a="1"/>
  <c r="L213" i="54" s="1"/>
  <c r="K213" i="54" a="1"/>
  <c r="K213" i="54" s="1"/>
  <c r="J213" i="54" a="1"/>
  <c r="J213" i="54" s="1"/>
  <c r="I213" i="54" a="1"/>
  <c r="I213" i="54" s="1"/>
  <c r="H213" i="54" a="1"/>
  <c r="H213" i="54" s="1"/>
  <c r="G213" i="54" a="1"/>
  <c r="G213" i="54" s="1"/>
  <c r="F213" i="54" a="1"/>
  <c r="F213" i="54" s="1"/>
  <c r="E213" i="54" a="1"/>
  <c r="E213" i="54" s="1"/>
  <c r="D213" i="54" a="1"/>
  <c r="D213" i="54" s="1"/>
  <c r="C213" i="54" a="1"/>
  <c r="C213" i="54" s="1"/>
  <c r="A213" i="54" a="1"/>
  <c r="A213" i="54" s="1"/>
  <c r="M212" i="54" a="1"/>
  <c r="M212" i="54" s="1"/>
  <c r="L212" i="54" a="1"/>
  <c r="L212" i="54" s="1"/>
  <c r="K212" i="54" a="1"/>
  <c r="K212" i="54" s="1"/>
  <c r="J212" i="54" a="1"/>
  <c r="J212" i="54" s="1"/>
  <c r="I212" i="54" a="1"/>
  <c r="I212" i="54" s="1"/>
  <c r="H212" i="54" a="1"/>
  <c r="H212" i="54" s="1"/>
  <c r="G212" i="54" a="1"/>
  <c r="G212" i="54" s="1"/>
  <c r="F212" i="54" a="1"/>
  <c r="F212" i="54" s="1"/>
  <c r="E212" i="54" a="1"/>
  <c r="E212" i="54" s="1"/>
  <c r="D212" i="54" a="1"/>
  <c r="D212" i="54" s="1"/>
  <c r="C212" i="54" a="1"/>
  <c r="C212" i="54" s="1"/>
  <c r="A212" i="54" a="1"/>
  <c r="A212" i="54" s="1"/>
  <c r="M211" i="54" a="1"/>
  <c r="M211" i="54" s="1"/>
  <c r="L211" i="54" a="1"/>
  <c r="L211" i="54" s="1"/>
  <c r="K211" i="54" a="1"/>
  <c r="K211" i="54" s="1"/>
  <c r="J211" i="54" a="1"/>
  <c r="J211" i="54" s="1"/>
  <c r="I211" i="54" a="1"/>
  <c r="I211" i="54" s="1"/>
  <c r="H211" i="54" a="1"/>
  <c r="H211" i="54" s="1"/>
  <c r="G211" i="54" a="1"/>
  <c r="G211" i="54" s="1"/>
  <c r="F211" i="54" a="1"/>
  <c r="F211" i="54" s="1"/>
  <c r="E211" i="54" a="1"/>
  <c r="E211" i="54" s="1"/>
  <c r="D211" i="54" a="1"/>
  <c r="D211" i="54" s="1"/>
  <c r="C211" i="54" a="1"/>
  <c r="C211" i="54" s="1"/>
  <c r="A211" i="54" a="1"/>
  <c r="A211" i="54" s="1"/>
  <c r="M210" i="54" a="1"/>
  <c r="M210" i="54" s="1"/>
  <c r="L210" i="54" a="1"/>
  <c r="L210" i="54" s="1"/>
  <c r="K210" i="54" a="1"/>
  <c r="K210" i="54" s="1"/>
  <c r="J210" i="54" a="1"/>
  <c r="J210" i="54" s="1"/>
  <c r="I210" i="54" a="1"/>
  <c r="I210" i="54" s="1"/>
  <c r="H210" i="54" a="1"/>
  <c r="H210" i="54" s="1"/>
  <c r="G210" i="54" a="1"/>
  <c r="G210" i="54" s="1"/>
  <c r="F210" i="54" a="1"/>
  <c r="F210" i="54" s="1"/>
  <c r="E210" i="54" a="1"/>
  <c r="E210" i="54" s="1"/>
  <c r="D210" i="54" a="1"/>
  <c r="D210" i="54" s="1"/>
  <c r="C210" i="54" a="1"/>
  <c r="C210" i="54" s="1"/>
  <c r="A210" i="54" a="1"/>
  <c r="A210" i="54" s="1"/>
  <c r="M209" i="54" a="1"/>
  <c r="M209" i="54" s="1"/>
  <c r="L209" i="54" a="1"/>
  <c r="L209" i="54" s="1"/>
  <c r="K209" i="54" a="1"/>
  <c r="K209" i="54" s="1"/>
  <c r="J209" i="54" a="1"/>
  <c r="J209" i="54" s="1"/>
  <c r="I209" i="54" a="1"/>
  <c r="I209" i="54" s="1"/>
  <c r="H209" i="54" a="1"/>
  <c r="H209" i="54" s="1"/>
  <c r="G209" i="54" a="1"/>
  <c r="G209" i="54" s="1"/>
  <c r="F209" i="54" a="1"/>
  <c r="F209" i="54" s="1"/>
  <c r="E209" i="54" a="1"/>
  <c r="E209" i="54" s="1"/>
  <c r="D209" i="54" a="1"/>
  <c r="D209" i="54" s="1"/>
  <c r="C209" i="54" a="1"/>
  <c r="C209" i="54" s="1"/>
  <c r="A209" i="54" a="1"/>
  <c r="A209" i="54" s="1"/>
  <c r="M208" i="54" a="1"/>
  <c r="M208" i="54" s="1"/>
  <c r="L208" i="54" a="1"/>
  <c r="L208" i="54" s="1"/>
  <c r="K208" i="54" a="1"/>
  <c r="K208" i="54" s="1"/>
  <c r="J208" i="54" a="1"/>
  <c r="J208" i="54" s="1"/>
  <c r="I208" i="54" a="1"/>
  <c r="I208" i="54" s="1"/>
  <c r="H208" i="54" a="1"/>
  <c r="H208" i="54" s="1"/>
  <c r="G208" i="54" a="1"/>
  <c r="G208" i="54" s="1"/>
  <c r="F208" i="54" a="1"/>
  <c r="F208" i="54" s="1"/>
  <c r="E208" i="54" a="1"/>
  <c r="E208" i="54" s="1"/>
  <c r="D208" i="54" a="1"/>
  <c r="D208" i="54" s="1"/>
  <c r="C208" i="54" a="1"/>
  <c r="C208" i="54" s="1"/>
  <c r="A208" i="54" a="1"/>
  <c r="A208" i="54" s="1"/>
  <c r="M207" i="54" a="1"/>
  <c r="M207" i="54" s="1"/>
  <c r="L207" i="54" a="1"/>
  <c r="L207" i="54" s="1"/>
  <c r="K207" i="54" a="1"/>
  <c r="K207" i="54" s="1"/>
  <c r="J207" i="54" a="1"/>
  <c r="J207" i="54" s="1"/>
  <c r="I207" i="54" a="1"/>
  <c r="I207" i="54" s="1"/>
  <c r="H207" i="54" a="1"/>
  <c r="H207" i="54" s="1"/>
  <c r="G207" i="54" a="1"/>
  <c r="G207" i="54" s="1"/>
  <c r="F207" i="54" a="1"/>
  <c r="F207" i="54" s="1"/>
  <c r="E207" i="54" a="1"/>
  <c r="E207" i="54" s="1"/>
  <c r="D207" i="54" a="1"/>
  <c r="D207" i="54" s="1"/>
  <c r="C207" i="54" a="1"/>
  <c r="C207" i="54" s="1"/>
  <c r="A207" i="54" a="1"/>
  <c r="A207" i="54" s="1"/>
  <c r="M206" i="54" a="1"/>
  <c r="M206" i="54" s="1"/>
  <c r="L206" i="54" a="1"/>
  <c r="L206" i="54" s="1"/>
  <c r="K206" i="54" a="1"/>
  <c r="K206" i="54" s="1"/>
  <c r="J206" i="54" a="1"/>
  <c r="J206" i="54" s="1"/>
  <c r="I206" i="54" a="1"/>
  <c r="I206" i="54" s="1"/>
  <c r="H206" i="54" a="1"/>
  <c r="H206" i="54" s="1"/>
  <c r="G206" i="54" a="1"/>
  <c r="G206" i="54" s="1"/>
  <c r="F206" i="54" a="1"/>
  <c r="F206" i="54" s="1"/>
  <c r="E206" i="54" a="1"/>
  <c r="E206" i="54" s="1"/>
  <c r="D206" i="54" a="1"/>
  <c r="D206" i="54" s="1"/>
  <c r="C206" i="54" a="1"/>
  <c r="C206" i="54" s="1"/>
  <c r="A206" i="54" a="1"/>
  <c r="A206" i="54" s="1"/>
  <c r="BY6" i="53"/>
  <c r="BX6" i="53"/>
  <c r="BW6" i="53"/>
  <c r="BV6" i="53"/>
  <c r="BU6" i="53"/>
  <c r="BT6" i="53"/>
  <c r="BS6" i="53"/>
  <c r="BR6" i="53"/>
  <c r="BQ6" i="53"/>
  <c r="BP6" i="53"/>
  <c r="BO6" i="53"/>
  <c r="BN6" i="53"/>
  <c r="BM6" i="53"/>
  <c r="BL6" i="53"/>
  <c r="BK6" i="53"/>
  <c r="BJ6" i="53"/>
  <c r="BI6" i="53"/>
  <c r="BH6" i="53"/>
  <c r="BG6" i="53"/>
  <c r="BF6" i="53"/>
  <c r="BE6" i="53"/>
  <c r="BD6" i="53"/>
  <c r="BC6" i="53"/>
  <c r="BB6" i="53"/>
  <c r="BP14" i="53"/>
  <c r="BO14" i="53"/>
  <c r="BN14" i="53"/>
  <c r="BM14" i="53"/>
  <c r="BL14" i="53"/>
  <c r="BK14" i="53"/>
  <c r="BJ14" i="53"/>
  <c r="BI14" i="53"/>
  <c r="BH14" i="53"/>
  <c r="BG14" i="53"/>
  <c r="BF14" i="53"/>
  <c r="BE14" i="53"/>
  <c r="BD14" i="53"/>
  <c r="BC14" i="53"/>
  <c r="BB14" i="53"/>
  <c r="BA14" i="53"/>
  <c r="AZ14" i="53"/>
  <c r="A14" i="53"/>
  <c r="AB1" i="54"/>
  <c r="AA1" i="54" s="1"/>
  <c r="P1002" i="54" a="1"/>
  <c r="P1002" i="54" s="1"/>
  <c r="P1001" i="54" a="1"/>
  <c r="P1001" i="54" s="1"/>
  <c r="P1000" i="54" a="1"/>
  <c r="P1000" i="54" s="1"/>
  <c r="P999" i="54" a="1"/>
  <c r="P999" i="54" s="1"/>
  <c r="P998" i="54" a="1"/>
  <c r="P998" i="54" s="1"/>
  <c r="P997" i="54" a="1"/>
  <c r="P997" i="54" s="1"/>
  <c r="P996" i="54" a="1"/>
  <c r="P996" i="54" s="1"/>
  <c r="P995" i="54" a="1"/>
  <c r="P995" i="54" s="1"/>
  <c r="P994" i="54" a="1"/>
  <c r="P994" i="54" s="1"/>
  <c r="P993" i="54" a="1"/>
  <c r="P993" i="54" s="1"/>
  <c r="P992" i="54" a="1"/>
  <c r="P992" i="54" s="1"/>
  <c r="P991" i="54" a="1"/>
  <c r="P991" i="54" s="1"/>
  <c r="P990" i="54" a="1"/>
  <c r="P990" i="54" s="1"/>
  <c r="P989" i="54" a="1"/>
  <c r="P989" i="54" s="1"/>
  <c r="P988" i="54" a="1"/>
  <c r="P988" i="54" s="1"/>
  <c r="P987" i="54" a="1"/>
  <c r="P987" i="54" s="1"/>
  <c r="P986" i="54" a="1"/>
  <c r="P986" i="54" s="1"/>
  <c r="P985" i="54" a="1"/>
  <c r="P985" i="54" s="1"/>
  <c r="P984" i="54" a="1"/>
  <c r="P984" i="54" s="1"/>
  <c r="P983" i="54" a="1"/>
  <c r="P983" i="54" s="1"/>
  <c r="P982" i="54" a="1"/>
  <c r="P982" i="54" s="1"/>
  <c r="P981" i="54" a="1"/>
  <c r="P981" i="54" s="1"/>
  <c r="P980" i="54" a="1"/>
  <c r="P980" i="54" s="1"/>
  <c r="P979" i="54" a="1"/>
  <c r="P979" i="54" s="1"/>
  <c r="P978" i="54" a="1"/>
  <c r="P978" i="54" s="1"/>
  <c r="P977" i="54" a="1"/>
  <c r="P977" i="54" s="1"/>
  <c r="P976" i="54" a="1"/>
  <c r="P976" i="54" s="1"/>
  <c r="P975" i="54" a="1"/>
  <c r="P975" i="54" s="1"/>
  <c r="P974" i="54" a="1"/>
  <c r="P974" i="54" s="1"/>
  <c r="P973" i="54" a="1"/>
  <c r="P973" i="54" s="1"/>
  <c r="P972" i="54" a="1"/>
  <c r="P972" i="54" s="1"/>
  <c r="P971" i="54" a="1"/>
  <c r="P971" i="54" s="1"/>
  <c r="P970" i="54" a="1"/>
  <c r="P970" i="54" s="1"/>
  <c r="P969" i="54" a="1"/>
  <c r="P969" i="54" s="1"/>
  <c r="P968" i="54" a="1"/>
  <c r="P968" i="54" s="1"/>
  <c r="P967" i="54" a="1"/>
  <c r="P967" i="54" s="1"/>
  <c r="P966" i="54" a="1"/>
  <c r="P966" i="54" s="1"/>
  <c r="P965" i="54" a="1"/>
  <c r="P965" i="54" s="1"/>
  <c r="P964" i="54" a="1"/>
  <c r="P964" i="54" s="1"/>
  <c r="P963" i="54" a="1"/>
  <c r="P963" i="54" s="1"/>
  <c r="P962" i="54" a="1"/>
  <c r="P962" i="54" s="1"/>
  <c r="P961" i="54" a="1"/>
  <c r="P961" i="54" s="1"/>
  <c r="P960" i="54" a="1"/>
  <c r="P960" i="54" s="1"/>
  <c r="P959" i="54" a="1"/>
  <c r="P959" i="54" s="1"/>
  <c r="P958" i="54" a="1"/>
  <c r="P958" i="54" s="1"/>
  <c r="P957" i="54" a="1"/>
  <c r="P957" i="54" s="1"/>
  <c r="P956" i="54" a="1"/>
  <c r="P956" i="54" s="1"/>
  <c r="P955" i="54" a="1"/>
  <c r="P955" i="54" s="1"/>
  <c r="P954" i="54" a="1"/>
  <c r="P954" i="54" s="1"/>
  <c r="P953" i="54" a="1"/>
  <c r="P953" i="54" s="1"/>
  <c r="P952" i="54" a="1"/>
  <c r="P952" i="54" s="1"/>
  <c r="P951" i="54" a="1"/>
  <c r="P951" i="54" s="1"/>
  <c r="P950" i="54" a="1"/>
  <c r="P950" i="54" s="1"/>
  <c r="P949" i="54" a="1"/>
  <c r="P949" i="54" s="1"/>
  <c r="P948" i="54" a="1"/>
  <c r="P948" i="54" s="1"/>
  <c r="P947" i="54" a="1"/>
  <c r="P947" i="54" s="1"/>
  <c r="P946" i="54" a="1"/>
  <c r="P946" i="54" s="1"/>
  <c r="P945" i="54" a="1"/>
  <c r="P945" i="54" s="1"/>
  <c r="P944" i="54" a="1"/>
  <c r="P944" i="54" s="1"/>
  <c r="P943" i="54" a="1"/>
  <c r="P943" i="54" s="1"/>
  <c r="P942" i="54" a="1"/>
  <c r="P942" i="54" s="1"/>
  <c r="P941" i="54" a="1"/>
  <c r="P941" i="54" s="1"/>
  <c r="P940" i="54" a="1"/>
  <c r="P940" i="54" s="1"/>
  <c r="P939" i="54" a="1"/>
  <c r="P939" i="54" s="1"/>
  <c r="P938" i="54" a="1"/>
  <c r="P938" i="54" s="1"/>
  <c r="P937" i="54" a="1"/>
  <c r="P937" i="54" s="1"/>
  <c r="P936" i="54" a="1"/>
  <c r="P936" i="54" s="1"/>
  <c r="P935" i="54" a="1"/>
  <c r="P935" i="54" s="1"/>
  <c r="P934" i="54" a="1"/>
  <c r="P934" i="54" s="1"/>
  <c r="P933" i="54" a="1"/>
  <c r="P933" i="54" s="1"/>
  <c r="P932" i="54" a="1"/>
  <c r="P932" i="54" s="1"/>
  <c r="P931" i="54" a="1"/>
  <c r="P931" i="54" s="1"/>
  <c r="P930" i="54" a="1"/>
  <c r="P930" i="54" s="1"/>
  <c r="P929" i="54" a="1"/>
  <c r="P929" i="54" s="1"/>
  <c r="P928" i="54" a="1"/>
  <c r="P928" i="54" s="1"/>
  <c r="P927" i="54" a="1"/>
  <c r="P927" i="54" s="1"/>
  <c r="P926" i="54" a="1"/>
  <c r="P926" i="54" s="1"/>
  <c r="P925" i="54" a="1"/>
  <c r="P925" i="54" s="1"/>
  <c r="P924" i="54" a="1"/>
  <c r="P924" i="54" s="1"/>
  <c r="P923" i="54" a="1"/>
  <c r="P923" i="54" s="1"/>
  <c r="P922" i="54" a="1"/>
  <c r="P922" i="54" s="1"/>
  <c r="P921" i="54" a="1"/>
  <c r="P921" i="54" s="1"/>
  <c r="P920" i="54" a="1"/>
  <c r="P920" i="54" s="1"/>
  <c r="P919" i="54" a="1"/>
  <c r="P919" i="54" s="1"/>
  <c r="P918" i="54" a="1"/>
  <c r="P918" i="54" s="1"/>
  <c r="P917" i="54" a="1"/>
  <c r="P917" i="54" s="1"/>
  <c r="P916" i="54" a="1"/>
  <c r="P916" i="54" s="1"/>
  <c r="P915" i="54" a="1"/>
  <c r="P915" i="54" s="1"/>
  <c r="P914" i="54" a="1"/>
  <c r="P914" i="54" s="1"/>
  <c r="P913" i="54" a="1"/>
  <c r="P913" i="54" s="1"/>
  <c r="P912" i="54" a="1"/>
  <c r="P912" i="54" s="1"/>
  <c r="P911" i="54" a="1"/>
  <c r="P911" i="54" s="1"/>
  <c r="P910" i="54" a="1"/>
  <c r="P910" i="54" s="1"/>
  <c r="P909" i="54" a="1"/>
  <c r="P909" i="54" s="1"/>
  <c r="P908" i="54" a="1"/>
  <c r="P908" i="54" s="1"/>
  <c r="P907" i="54" a="1"/>
  <c r="P907" i="54" s="1"/>
  <c r="P906" i="54" a="1"/>
  <c r="P906" i="54" s="1"/>
  <c r="P905" i="54" a="1"/>
  <c r="P905" i="54" s="1"/>
  <c r="P904" i="54" a="1"/>
  <c r="P904" i="54" s="1"/>
  <c r="P903" i="54" a="1"/>
  <c r="P903" i="54" s="1"/>
  <c r="P902" i="54" a="1"/>
  <c r="P902" i="54" s="1"/>
  <c r="P901" i="54" a="1"/>
  <c r="P901" i="54" s="1"/>
  <c r="P900" i="54" a="1"/>
  <c r="P900" i="54" s="1"/>
  <c r="P899" i="54" a="1"/>
  <c r="P899" i="54" s="1"/>
  <c r="P898" i="54" a="1"/>
  <c r="P898" i="54" s="1"/>
  <c r="P897" i="54" a="1"/>
  <c r="P897" i="54" s="1"/>
  <c r="P896" i="54" a="1"/>
  <c r="P896" i="54" s="1"/>
  <c r="P895" i="54" a="1"/>
  <c r="P895" i="54" s="1"/>
  <c r="P894" i="54" a="1"/>
  <c r="P894" i="54" s="1"/>
  <c r="P893" i="54" a="1"/>
  <c r="P893" i="54" s="1"/>
  <c r="P892" i="54" a="1"/>
  <c r="P892" i="54" s="1"/>
  <c r="P891" i="54" a="1"/>
  <c r="P891" i="54" s="1"/>
  <c r="P890" i="54" a="1"/>
  <c r="P890" i="54" s="1"/>
  <c r="P889" i="54" a="1"/>
  <c r="P889" i="54" s="1"/>
  <c r="P888" i="54" a="1"/>
  <c r="P888" i="54" s="1"/>
  <c r="P887" i="54" a="1"/>
  <c r="P887" i="54" s="1"/>
  <c r="P886" i="54" a="1"/>
  <c r="P886" i="54" s="1"/>
  <c r="P885" i="54" a="1"/>
  <c r="P885" i="54" s="1"/>
  <c r="P884" i="54" a="1"/>
  <c r="P884" i="54" s="1"/>
  <c r="P883" i="54" a="1"/>
  <c r="P883" i="54" s="1"/>
  <c r="P882" i="54" a="1"/>
  <c r="P882" i="54" s="1"/>
  <c r="P881" i="54" a="1"/>
  <c r="P881" i="54" s="1"/>
  <c r="P880" i="54" a="1"/>
  <c r="P880" i="54" s="1"/>
  <c r="P879" i="54" a="1"/>
  <c r="P879" i="54" s="1"/>
  <c r="P878" i="54" a="1"/>
  <c r="P878" i="54" s="1"/>
  <c r="P877" i="54" a="1"/>
  <c r="P877" i="54" s="1"/>
  <c r="P876" i="54" a="1"/>
  <c r="P876" i="54" s="1"/>
  <c r="P875" i="54" a="1"/>
  <c r="P875" i="54" s="1"/>
  <c r="P874" i="54" a="1"/>
  <c r="P874" i="54" s="1"/>
  <c r="P873" i="54" a="1"/>
  <c r="P873" i="54" s="1"/>
  <c r="P872" i="54" a="1"/>
  <c r="P872" i="54" s="1"/>
  <c r="P871" i="54" a="1"/>
  <c r="P871" i="54" s="1"/>
  <c r="P870" i="54" a="1"/>
  <c r="P870" i="54" s="1"/>
  <c r="P869" i="54" a="1"/>
  <c r="P869" i="54" s="1"/>
  <c r="P868" i="54" a="1"/>
  <c r="P868" i="54" s="1"/>
  <c r="P867" i="54" a="1"/>
  <c r="P867" i="54" s="1"/>
  <c r="P866" i="54" a="1"/>
  <c r="P866" i="54" s="1"/>
  <c r="P865" i="54" a="1"/>
  <c r="P865" i="54" s="1"/>
  <c r="P864" i="54" a="1"/>
  <c r="P864" i="54" s="1"/>
  <c r="P863" i="54" a="1"/>
  <c r="P863" i="54" s="1"/>
  <c r="P862" i="54" a="1"/>
  <c r="P862" i="54" s="1"/>
  <c r="P861" i="54" a="1"/>
  <c r="P861" i="54" s="1"/>
  <c r="P860" i="54" a="1"/>
  <c r="P860" i="54" s="1"/>
  <c r="P859" i="54" a="1"/>
  <c r="P859" i="54" s="1"/>
  <c r="P858" i="54" a="1"/>
  <c r="P858" i="54" s="1"/>
  <c r="P857" i="54" a="1"/>
  <c r="P857" i="54" s="1"/>
  <c r="P856" i="54" a="1"/>
  <c r="P856" i="54" s="1"/>
  <c r="P855" i="54" a="1"/>
  <c r="P855" i="54" s="1"/>
  <c r="P854" i="54" a="1"/>
  <c r="P854" i="54" s="1"/>
  <c r="P853" i="54" a="1"/>
  <c r="P853" i="54" s="1"/>
  <c r="P852" i="54" a="1"/>
  <c r="P852" i="54" s="1"/>
  <c r="P851" i="54" a="1"/>
  <c r="P851" i="54" s="1"/>
  <c r="P850" i="54" a="1"/>
  <c r="P850" i="54" s="1"/>
  <c r="P849" i="54" a="1"/>
  <c r="P849" i="54" s="1"/>
  <c r="P848" i="54" a="1"/>
  <c r="P848" i="54" s="1"/>
  <c r="P847" i="54" a="1"/>
  <c r="P847" i="54" s="1"/>
  <c r="P846" i="54" a="1"/>
  <c r="P846" i="54" s="1"/>
  <c r="P845" i="54" a="1"/>
  <c r="P845" i="54" s="1"/>
  <c r="P844" i="54" a="1"/>
  <c r="P844" i="54" s="1"/>
  <c r="P843" i="54" a="1"/>
  <c r="P843" i="54" s="1"/>
  <c r="P842" i="54" a="1"/>
  <c r="P842" i="54" s="1"/>
  <c r="P841" i="54" a="1"/>
  <c r="P841" i="54" s="1"/>
  <c r="P840" i="54" a="1"/>
  <c r="P840" i="54" s="1"/>
  <c r="P839" i="54" a="1"/>
  <c r="P839" i="54" s="1"/>
  <c r="P838" i="54" a="1"/>
  <c r="P838" i="54" s="1"/>
  <c r="P837" i="54" a="1"/>
  <c r="P837" i="54" s="1"/>
  <c r="P836" i="54" a="1"/>
  <c r="P836" i="54" s="1"/>
  <c r="P835" i="54" a="1"/>
  <c r="P835" i="54" s="1"/>
  <c r="P834" i="54" a="1"/>
  <c r="P834" i="54" s="1"/>
  <c r="P833" i="54" a="1"/>
  <c r="P833" i="54" s="1"/>
  <c r="P832" i="54" a="1"/>
  <c r="P832" i="54" s="1"/>
  <c r="P831" i="54" a="1"/>
  <c r="P831" i="54" s="1"/>
  <c r="P830" i="54" a="1"/>
  <c r="P830" i="54" s="1"/>
  <c r="P829" i="54" a="1"/>
  <c r="P829" i="54" s="1"/>
  <c r="P828" i="54" a="1"/>
  <c r="P828" i="54" s="1"/>
  <c r="P827" i="54" a="1"/>
  <c r="P827" i="54" s="1"/>
  <c r="P826" i="54" a="1"/>
  <c r="P826" i="54" s="1"/>
  <c r="P825" i="54" a="1"/>
  <c r="P825" i="54" s="1"/>
  <c r="P824" i="54" a="1"/>
  <c r="P824" i="54" s="1"/>
  <c r="P823" i="54" a="1"/>
  <c r="P823" i="54" s="1"/>
  <c r="P822" i="54" a="1"/>
  <c r="P822" i="54" s="1"/>
  <c r="P821" i="54" a="1"/>
  <c r="P821" i="54" s="1"/>
  <c r="P820" i="54" a="1"/>
  <c r="P820" i="54" s="1"/>
  <c r="P819" i="54" a="1"/>
  <c r="P819" i="54" s="1"/>
  <c r="P818" i="54" a="1"/>
  <c r="P818" i="54" s="1"/>
  <c r="P817" i="54" a="1"/>
  <c r="P817" i="54" s="1"/>
  <c r="P816" i="54" a="1"/>
  <c r="P816" i="54" s="1"/>
  <c r="P815" i="54" a="1"/>
  <c r="P815" i="54" s="1"/>
  <c r="P814" i="54" a="1"/>
  <c r="P814" i="54" s="1"/>
  <c r="P813" i="54" a="1"/>
  <c r="P813" i="54" s="1"/>
  <c r="P812" i="54" a="1"/>
  <c r="P812" i="54" s="1"/>
  <c r="P811" i="54" a="1"/>
  <c r="P811" i="54" s="1"/>
  <c r="P810" i="54" a="1"/>
  <c r="P810" i="54" s="1"/>
  <c r="P809" i="54" a="1"/>
  <c r="P809" i="54" s="1"/>
  <c r="P808" i="54" a="1"/>
  <c r="P808" i="54" s="1"/>
  <c r="P807" i="54" a="1"/>
  <c r="P807" i="54" s="1"/>
  <c r="P806" i="54" a="1"/>
  <c r="P806" i="54" s="1"/>
  <c r="P805" i="54" a="1"/>
  <c r="P805" i="54" s="1"/>
  <c r="P804" i="54" a="1"/>
  <c r="P804" i="54" s="1"/>
  <c r="P803" i="54" a="1"/>
  <c r="P803" i="54" s="1"/>
  <c r="P802" i="54" a="1"/>
  <c r="P802" i="54" s="1"/>
  <c r="P801" i="54" a="1"/>
  <c r="P801" i="54" s="1"/>
  <c r="P800" i="54" a="1"/>
  <c r="P800" i="54" s="1"/>
  <c r="P799" i="54" a="1"/>
  <c r="P799" i="54" s="1"/>
  <c r="P798" i="54" a="1"/>
  <c r="P798" i="54" s="1"/>
  <c r="P797" i="54" a="1"/>
  <c r="P797" i="54" s="1"/>
  <c r="P796" i="54" a="1"/>
  <c r="P796" i="54" s="1"/>
  <c r="P795" i="54" a="1"/>
  <c r="P795" i="54" s="1"/>
  <c r="P794" i="54" a="1"/>
  <c r="P794" i="54" s="1"/>
  <c r="P793" i="54" a="1"/>
  <c r="P793" i="54" s="1"/>
  <c r="P792" i="54" a="1"/>
  <c r="P792" i="54" s="1"/>
  <c r="P791" i="54" a="1"/>
  <c r="P791" i="54" s="1"/>
  <c r="P790" i="54" a="1"/>
  <c r="P790" i="54" s="1"/>
  <c r="P789" i="54" a="1"/>
  <c r="P789" i="54" s="1"/>
  <c r="P788" i="54" a="1"/>
  <c r="P788" i="54" s="1"/>
  <c r="P787" i="54" a="1"/>
  <c r="P787" i="54" s="1"/>
  <c r="P786" i="54" a="1"/>
  <c r="P786" i="54" s="1"/>
  <c r="P785" i="54" a="1"/>
  <c r="P785" i="54" s="1"/>
  <c r="P784" i="54" a="1"/>
  <c r="P784" i="54" s="1"/>
  <c r="P783" i="54" a="1"/>
  <c r="P783" i="54" s="1"/>
  <c r="P782" i="54" a="1"/>
  <c r="P782" i="54" s="1"/>
  <c r="P781" i="54" a="1"/>
  <c r="P781" i="54" s="1"/>
  <c r="P780" i="54" a="1"/>
  <c r="P780" i="54" s="1"/>
  <c r="P779" i="54" a="1"/>
  <c r="P779" i="54" s="1"/>
  <c r="P778" i="54" a="1"/>
  <c r="P778" i="54" s="1"/>
  <c r="P777" i="54" a="1"/>
  <c r="P777" i="54" s="1"/>
  <c r="P776" i="54" a="1"/>
  <c r="P776" i="54" s="1"/>
  <c r="P775" i="54" a="1"/>
  <c r="P775" i="54" s="1"/>
  <c r="P774" i="54" a="1"/>
  <c r="P774" i="54" s="1"/>
  <c r="P773" i="54" a="1"/>
  <c r="P773" i="54" s="1"/>
  <c r="P772" i="54" a="1"/>
  <c r="P772" i="54" s="1"/>
  <c r="P771" i="54" a="1"/>
  <c r="P771" i="54" s="1"/>
  <c r="P770" i="54" a="1"/>
  <c r="P770" i="54" s="1"/>
  <c r="P769" i="54" a="1"/>
  <c r="P769" i="54" s="1"/>
  <c r="P768" i="54" a="1"/>
  <c r="P768" i="54" s="1"/>
  <c r="P767" i="54" a="1"/>
  <c r="P767" i="54" s="1"/>
  <c r="P766" i="54" a="1"/>
  <c r="P766" i="54" s="1"/>
  <c r="P765" i="54" a="1"/>
  <c r="P765" i="54" s="1"/>
  <c r="P764" i="54" a="1"/>
  <c r="P764" i="54" s="1"/>
  <c r="P763" i="54" a="1"/>
  <c r="P763" i="54" s="1"/>
  <c r="P762" i="54" a="1"/>
  <c r="P762" i="54" s="1"/>
  <c r="P761" i="54" a="1"/>
  <c r="P761" i="54" s="1"/>
  <c r="P760" i="54" a="1"/>
  <c r="P760" i="54" s="1"/>
  <c r="P759" i="54" a="1"/>
  <c r="P759" i="54" s="1"/>
  <c r="P758" i="54" a="1"/>
  <c r="P758" i="54" s="1"/>
  <c r="P757" i="54" a="1"/>
  <c r="P757" i="54" s="1"/>
  <c r="P756" i="54" a="1"/>
  <c r="P756" i="54" s="1"/>
  <c r="P755" i="54" a="1"/>
  <c r="P755" i="54" s="1"/>
  <c r="P754" i="54" a="1"/>
  <c r="P754" i="54" s="1"/>
  <c r="P753" i="54" a="1"/>
  <c r="P753" i="54" s="1"/>
  <c r="P752" i="54" a="1"/>
  <c r="P752" i="54" s="1"/>
  <c r="P751" i="54" a="1"/>
  <c r="P751" i="54" s="1"/>
  <c r="P750" i="54" a="1"/>
  <c r="P750" i="54" s="1"/>
  <c r="P749" i="54" a="1"/>
  <c r="P749" i="54" s="1"/>
  <c r="P748" i="54" a="1"/>
  <c r="P748" i="54" s="1"/>
  <c r="P747" i="54" a="1"/>
  <c r="P747" i="54" s="1"/>
  <c r="P746" i="54" a="1"/>
  <c r="P746" i="54" s="1"/>
  <c r="P745" i="54" a="1"/>
  <c r="P745" i="54" s="1"/>
  <c r="P744" i="54" a="1"/>
  <c r="P744" i="54" s="1"/>
  <c r="P743" i="54" a="1"/>
  <c r="P743" i="54" s="1"/>
  <c r="P742" i="54" a="1"/>
  <c r="P742" i="54" s="1"/>
  <c r="P741" i="54" a="1"/>
  <c r="P741" i="54" s="1"/>
  <c r="P740" i="54" a="1"/>
  <c r="P740" i="54" s="1"/>
  <c r="P739" i="54" a="1"/>
  <c r="P739" i="54" s="1"/>
  <c r="P738" i="54" a="1"/>
  <c r="P738" i="54" s="1"/>
  <c r="P737" i="54" a="1"/>
  <c r="P737" i="54" s="1"/>
  <c r="P736" i="54" a="1"/>
  <c r="P736" i="54" s="1"/>
  <c r="P735" i="54" a="1"/>
  <c r="P735" i="54" s="1"/>
  <c r="P734" i="54" a="1"/>
  <c r="P734" i="54" s="1"/>
  <c r="P733" i="54" a="1"/>
  <c r="P733" i="54" s="1"/>
  <c r="P732" i="54" a="1"/>
  <c r="P732" i="54" s="1"/>
  <c r="P731" i="54" a="1"/>
  <c r="P731" i="54" s="1"/>
  <c r="P730" i="54" a="1"/>
  <c r="P730" i="54" s="1"/>
  <c r="P729" i="54" a="1"/>
  <c r="P729" i="54" s="1"/>
  <c r="P728" i="54" a="1"/>
  <c r="P728" i="54" s="1"/>
  <c r="P727" i="54" a="1"/>
  <c r="P727" i="54" s="1"/>
  <c r="P726" i="54" a="1"/>
  <c r="P726" i="54" s="1"/>
  <c r="P725" i="54" a="1"/>
  <c r="P725" i="54" s="1"/>
  <c r="P724" i="54" a="1"/>
  <c r="P724" i="54" s="1"/>
  <c r="P723" i="54" a="1"/>
  <c r="P723" i="54" s="1"/>
  <c r="P722" i="54" a="1"/>
  <c r="P722" i="54" s="1"/>
  <c r="P721" i="54" a="1"/>
  <c r="P721" i="54" s="1"/>
  <c r="P720" i="54" a="1"/>
  <c r="P720" i="54" s="1"/>
  <c r="P719" i="54" a="1"/>
  <c r="P719" i="54" s="1"/>
  <c r="P718" i="54" a="1"/>
  <c r="P718" i="54" s="1"/>
  <c r="P717" i="54" a="1"/>
  <c r="P717" i="54" s="1"/>
  <c r="P716" i="54" a="1"/>
  <c r="P716" i="54" s="1"/>
  <c r="P715" i="54" a="1"/>
  <c r="P715" i="54" s="1"/>
  <c r="P714" i="54" a="1"/>
  <c r="P714" i="54" s="1"/>
  <c r="P713" i="54" a="1"/>
  <c r="P713" i="54" s="1"/>
  <c r="P712" i="54" a="1"/>
  <c r="P712" i="54" s="1"/>
  <c r="P711" i="54" a="1"/>
  <c r="P711" i="54" s="1"/>
  <c r="P710" i="54" a="1"/>
  <c r="P710" i="54" s="1"/>
  <c r="P709" i="54" a="1"/>
  <c r="P709" i="54" s="1"/>
  <c r="P708" i="54" a="1"/>
  <c r="P708" i="54" s="1"/>
  <c r="P707" i="54" a="1"/>
  <c r="P707" i="54" s="1"/>
  <c r="P706" i="54" a="1"/>
  <c r="P706" i="54" s="1"/>
  <c r="P705" i="54" a="1"/>
  <c r="P705" i="54" s="1"/>
  <c r="P704" i="54" a="1"/>
  <c r="P704" i="54" s="1"/>
  <c r="P703" i="54" a="1"/>
  <c r="P703" i="54" s="1"/>
  <c r="P702" i="54" a="1"/>
  <c r="P702" i="54" s="1"/>
  <c r="P701" i="54" a="1"/>
  <c r="P701" i="54" s="1"/>
  <c r="P700" i="54" a="1"/>
  <c r="P700" i="54" s="1"/>
  <c r="P699" i="54" a="1"/>
  <c r="P699" i="54" s="1"/>
  <c r="P698" i="54" a="1"/>
  <c r="P698" i="54" s="1"/>
  <c r="P697" i="54" a="1"/>
  <c r="P697" i="54" s="1"/>
  <c r="P696" i="54" a="1"/>
  <c r="P696" i="54" s="1"/>
  <c r="P695" i="54" a="1"/>
  <c r="P695" i="54" s="1"/>
  <c r="P694" i="54" a="1"/>
  <c r="P694" i="54" s="1"/>
  <c r="P693" i="54" a="1"/>
  <c r="P693" i="54" s="1"/>
  <c r="P692" i="54" a="1"/>
  <c r="P692" i="54" s="1"/>
  <c r="P691" i="54" a="1"/>
  <c r="P691" i="54" s="1"/>
  <c r="P690" i="54" a="1"/>
  <c r="P690" i="54" s="1"/>
  <c r="P689" i="54" a="1"/>
  <c r="P689" i="54" s="1"/>
  <c r="P688" i="54" a="1"/>
  <c r="P688" i="54" s="1"/>
  <c r="P687" i="54" a="1"/>
  <c r="P687" i="54" s="1"/>
  <c r="P686" i="54" a="1"/>
  <c r="P686" i="54" s="1"/>
  <c r="P685" i="54" a="1"/>
  <c r="P685" i="54" s="1"/>
  <c r="P684" i="54" a="1"/>
  <c r="P684" i="54" s="1"/>
  <c r="P683" i="54" a="1"/>
  <c r="P683" i="54" s="1"/>
  <c r="P682" i="54" a="1"/>
  <c r="P682" i="54" s="1"/>
  <c r="P681" i="54" a="1"/>
  <c r="P681" i="54" s="1"/>
  <c r="P680" i="54" a="1"/>
  <c r="P680" i="54" s="1"/>
  <c r="P679" i="54" a="1"/>
  <c r="P679" i="54" s="1"/>
  <c r="P678" i="54" a="1"/>
  <c r="P678" i="54" s="1"/>
  <c r="P677" i="54" a="1"/>
  <c r="P677" i="54" s="1"/>
  <c r="P676" i="54" a="1"/>
  <c r="P676" i="54" s="1"/>
  <c r="P675" i="54" a="1"/>
  <c r="P675" i="54" s="1"/>
  <c r="P674" i="54" a="1"/>
  <c r="P674" i="54" s="1"/>
  <c r="P673" i="54" a="1"/>
  <c r="P673" i="54" s="1"/>
  <c r="P672" i="54" a="1"/>
  <c r="P672" i="54" s="1"/>
  <c r="P671" i="54" a="1"/>
  <c r="P671" i="54" s="1"/>
  <c r="P670" i="54" a="1"/>
  <c r="P670" i="54" s="1"/>
  <c r="P669" i="54" a="1"/>
  <c r="P669" i="54" s="1"/>
  <c r="P668" i="54" a="1"/>
  <c r="P668" i="54" s="1"/>
  <c r="P667" i="54" a="1"/>
  <c r="P667" i="54" s="1"/>
  <c r="P666" i="54" a="1"/>
  <c r="P666" i="54" s="1"/>
  <c r="P665" i="54" a="1"/>
  <c r="P665" i="54" s="1"/>
  <c r="S665" i="54" s="1"/>
  <c r="P664" i="54" a="1"/>
  <c r="P664" i="54" s="1"/>
  <c r="S664" i="54" s="1"/>
  <c r="P663" i="54" a="1"/>
  <c r="P663" i="54" s="1"/>
  <c r="S663" i="54" s="1"/>
  <c r="P662" i="54" a="1"/>
  <c r="P662" i="54" s="1"/>
  <c r="S662" i="54" s="1"/>
  <c r="P661" i="54" a="1"/>
  <c r="P661" i="54" s="1"/>
  <c r="S661" i="54" s="1"/>
  <c r="P660" i="54" a="1"/>
  <c r="P660" i="54" s="1"/>
  <c r="S660" i="54" s="1"/>
  <c r="P659" i="54" a="1"/>
  <c r="P659" i="54" s="1"/>
  <c r="S659" i="54" s="1"/>
  <c r="P658" i="54" a="1"/>
  <c r="P658" i="54" s="1"/>
  <c r="S658" i="54" s="1"/>
  <c r="P657" i="54" a="1"/>
  <c r="P657" i="54" s="1"/>
  <c r="S657" i="54" s="1"/>
  <c r="P656" i="54" a="1"/>
  <c r="P656" i="54" s="1"/>
  <c r="S656" i="54" s="1"/>
  <c r="P655" i="54" a="1"/>
  <c r="P655" i="54" s="1"/>
  <c r="S655" i="54" s="1"/>
  <c r="P654" i="54" a="1"/>
  <c r="P654" i="54" s="1"/>
  <c r="S654" i="54" s="1"/>
  <c r="P653" i="54" a="1"/>
  <c r="P653" i="54" s="1"/>
  <c r="S653" i="54" s="1"/>
  <c r="P652" i="54" a="1"/>
  <c r="P652" i="54" s="1"/>
  <c r="S652" i="54" s="1"/>
  <c r="P651" i="54" a="1"/>
  <c r="P651" i="54" s="1"/>
  <c r="S651" i="54" s="1"/>
  <c r="P650" i="54" a="1"/>
  <c r="P650" i="54" s="1"/>
  <c r="S650" i="54" s="1"/>
  <c r="P649" i="54" a="1"/>
  <c r="P649" i="54" s="1"/>
  <c r="S649" i="54" s="1"/>
  <c r="P648" i="54" a="1"/>
  <c r="P648" i="54" s="1"/>
  <c r="S648" i="54" s="1"/>
  <c r="P647" i="54" a="1"/>
  <c r="P647" i="54" s="1"/>
  <c r="S647" i="54" s="1"/>
  <c r="P646" i="54" a="1"/>
  <c r="P646" i="54" s="1"/>
  <c r="S646" i="54" s="1"/>
  <c r="P645" i="54" a="1"/>
  <c r="P645" i="54" s="1"/>
  <c r="S645" i="54" s="1"/>
  <c r="P644" i="54" a="1"/>
  <c r="P644" i="54" s="1"/>
  <c r="S644" i="54" s="1"/>
  <c r="P643" i="54" a="1"/>
  <c r="P643" i="54" s="1"/>
  <c r="S643" i="54" s="1"/>
  <c r="P642" i="54" a="1"/>
  <c r="P642" i="54" s="1"/>
  <c r="S642" i="54" s="1"/>
  <c r="P641" i="54" a="1"/>
  <c r="P641" i="54" s="1"/>
  <c r="S641" i="54" s="1"/>
  <c r="P640" i="54" a="1"/>
  <c r="P640" i="54" s="1"/>
  <c r="S640" i="54" s="1"/>
  <c r="P639" i="54" a="1"/>
  <c r="P639" i="54" s="1"/>
  <c r="S639" i="54" s="1"/>
  <c r="P638" i="54" a="1"/>
  <c r="P638" i="54" s="1"/>
  <c r="S638" i="54" s="1"/>
  <c r="P637" i="54" a="1"/>
  <c r="P637" i="54" s="1"/>
  <c r="S637" i="54" s="1"/>
  <c r="P636" i="54" a="1"/>
  <c r="P636" i="54" s="1"/>
  <c r="S636" i="54" s="1"/>
  <c r="P635" i="54" a="1"/>
  <c r="P635" i="54" s="1"/>
  <c r="S635" i="54" s="1"/>
  <c r="P634" i="54" a="1"/>
  <c r="P634" i="54" s="1"/>
  <c r="S634" i="54" s="1"/>
  <c r="P633" i="54" a="1"/>
  <c r="P633" i="54" s="1"/>
  <c r="S633" i="54" s="1"/>
  <c r="P632" i="54" a="1"/>
  <c r="P632" i="54" s="1"/>
  <c r="S632" i="54" s="1"/>
  <c r="P631" i="54" a="1"/>
  <c r="P631" i="54" s="1"/>
  <c r="S631" i="54" s="1"/>
  <c r="P630" i="54" a="1"/>
  <c r="P630" i="54" s="1"/>
  <c r="S630" i="54" s="1"/>
  <c r="P629" i="54" a="1"/>
  <c r="P629" i="54" s="1"/>
  <c r="S629" i="54" s="1"/>
  <c r="P628" i="54" a="1"/>
  <c r="P628" i="54" s="1"/>
  <c r="S628" i="54" s="1"/>
  <c r="P627" i="54" a="1"/>
  <c r="P627" i="54" s="1"/>
  <c r="S627" i="54" s="1"/>
  <c r="P626" i="54" a="1"/>
  <c r="P626" i="54" s="1"/>
  <c r="S626" i="54" s="1"/>
  <c r="P625" i="54" a="1"/>
  <c r="P625" i="54" s="1"/>
  <c r="S625" i="54" s="1"/>
  <c r="P624" i="54" a="1"/>
  <c r="P624" i="54" s="1"/>
  <c r="S624" i="54" s="1"/>
  <c r="P623" i="54" a="1"/>
  <c r="P623" i="54" s="1"/>
  <c r="S623" i="54" s="1"/>
  <c r="P622" i="54" a="1"/>
  <c r="P622" i="54" s="1"/>
  <c r="S622" i="54" s="1"/>
  <c r="P621" i="54" a="1"/>
  <c r="P621" i="54" s="1"/>
  <c r="S621" i="54" s="1"/>
  <c r="P620" i="54" a="1"/>
  <c r="P620" i="54" s="1"/>
  <c r="S620" i="54" s="1"/>
  <c r="P619" i="54" a="1"/>
  <c r="P619" i="54" s="1"/>
  <c r="S619" i="54" s="1"/>
  <c r="P618" i="54" a="1"/>
  <c r="P618" i="54" s="1"/>
  <c r="S618" i="54" s="1"/>
  <c r="P617" i="54" a="1"/>
  <c r="P617" i="54" s="1"/>
  <c r="S617" i="54" s="1"/>
  <c r="P616" i="54" a="1"/>
  <c r="P616" i="54" s="1"/>
  <c r="S616" i="54" s="1"/>
  <c r="P615" i="54" a="1"/>
  <c r="P615" i="54" s="1"/>
  <c r="S615" i="54" s="1"/>
  <c r="P614" i="54" a="1"/>
  <c r="P614" i="54" s="1"/>
  <c r="S614" i="54" s="1"/>
  <c r="P613" i="54" a="1"/>
  <c r="P613" i="54" s="1"/>
  <c r="S613" i="54" s="1"/>
  <c r="P612" i="54" a="1"/>
  <c r="P612" i="54" s="1"/>
  <c r="S612" i="54" s="1"/>
  <c r="P611" i="54" a="1"/>
  <c r="P611" i="54" s="1"/>
  <c r="S611" i="54" s="1"/>
  <c r="P610" i="54" a="1"/>
  <c r="P610" i="54" s="1"/>
  <c r="S610" i="54" s="1"/>
  <c r="P609" i="54" a="1"/>
  <c r="P609" i="54" s="1"/>
  <c r="S609" i="54" s="1"/>
  <c r="P608" i="54" a="1"/>
  <c r="P608" i="54" s="1"/>
  <c r="S608" i="54" s="1"/>
  <c r="P607" i="54" a="1"/>
  <c r="P607" i="54" s="1"/>
  <c r="S607" i="54" s="1"/>
  <c r="P606" i="54" a="1"/>
  <c r="P606" i="54" s="1"/>
  <c r="S606" i="54" s="1"/>
  <c r="P605" i="54" a="1"/>
  <c r="P605" i="54" s="1"/>
  <c r="S605" i="54" s="1"/>
  <c r="P604" i="54" a="1"/>
  <c r="P604" i="54" s="1"/>
  <c r="S604" i="54" s="1"/>
  <c r="P603" i="54" a="1"/>
  <c r="P603" i="54" s="1"/>
  <c r="S603" i="54" s="1"/>
  <c r="P602" i="54" a="1"/>
  <c r="P602" i="54" s="1"/>
  <c r="S602" i="54" s="1"/>
  <c r="P601" i="54" a="1"/>
  <c r="P601" i="54" s="1"/>
  <c r="S601" i="54" s="1"/>
  <c r="P600" i="54" a="1"/>
  <c r="P600" i="54" s="1"/>
  <c r="S600" i="54" s="1"/>
  <c r="P599" i="54" a="1"/>
  <c r="P599" i="54" s="1"/>
  <c r="S599" i="54" s="1"/>
  <c r="P598" i="54" a="1"/>
  <c r="P598" i="54" s="1"/>
  <c r="S598" i="54" s="1"/>
  <c r="P597" i="54" a="1"/>
  <c r="P597" i="54" s="1"/>
  <c r="S597" i="54" s="1"/>
  <c r="P596" i="54" a="1"/>
  <c r="P596" i="54" s="1"/>
  <c r="S596" i="54" s="1"/>
  <c r="P595" i="54" a="1"/>
  <c r="P595" i="54" s="1"/>
  <c r="S595" i="54" s="1"/>
  <c r="P594" i="54" a="1"/>
  <c r="P594" i="54" s="1"/>
  <c r="S594" i="54" s="1"/>
  <c r="P593" i="54" a="1"/>
  <c r="P593" i="54" s="1"/>
  <c r="S593" i="54" s="1"/>
  <c r="P592" i="54" a="1"/>
  <c r="P592" i="54" s="1"/>
  <c r="S592" i="54" s="1"/>
  <c r="P591" i="54" a="1"/>
  <c r="P591" i="54" s="1"/>
  <c r="S591" i="54" s="1"/>
  <c r="P590" i="54" a="1"/>
  <c r="P590" i="54" s="1"/>
  <c r="S590" i="54" s="1"/>
  <c r="P589" i="54" a="1"/>
  <c r="P589" i="54" s="1"/>
  <c r="S589" i="54" s="1"/>
  <c r="P588" i="54" a="1"/>
  <c r="P588" i="54" s="1"/>
  <c r="S588" i="54" s="1"/>
  <c r="P587" i="54" a="1"/>
  <c r="P587" i="54" s="1"/>
  <c r="S587" i="54" s="1"/>
  <c r="P586" i="54" a="1"/>
  <c r="P586" i="54" s="1"/>
  <c r="S586" i="54" s="1"/>
  <c r="P585" i="54" a="1"/>
  <c r="P585" i="54" s="1"/>
  <c r="S585" i="54" s="1"/>
  <c r="P584" i="54" a="1"/>
  <c r="P584" i="54" s="1"/>
  <c r="S584" i="54" s="1"/>
  <c r="P583" i="54" a="1"/>
  <c r="P583" i="54" s="1"/>
  <c r="S583" i="54" s="1"/>
  <c r="P582" i="54" a="1"/>
  <c r="P582" i="54" s="1"/>
  <c r="S582" i="54" s="1"/>
  <c r="P581" i="54" a="1"/>
  <c r="P581" i="54" s="1"/>
  <c r="S581" i="54" s="1"/>
  <c r="P580" i="54" a="1"/>
  <c r="P580" i="54" s="1"/>
  <c r="S580" i="54" s="1"/>
  <c r="P579" i="54" a="1"/>
  <c r="P579" i="54" s="1"/>
  <c r="S579" i="54" s="1"/>
  <c r="P578" i="54" a="1"/>
  <c r="P578" i="54" s="1"/>
  <c r="S578" i="54" s="1"/>
  <c r="P577" i="54" a="1"/>
  <c r="P577" i="54" s="1"/>
  <c r="S577" i="54" s="1"/>
  <c r="P576" i="54" a="1"/>
  <c r="P576" i="54" s="1"/>
  <c r="S576" i="54" s="1"/>
  <c r="P575" i="54" a="1"/>
  <c r="P575" i="54" s="1"/>
  <c r="S575" i="54" s="1"/>
  <c r="P574" i="54" a="1"/>
  <c r="P574" i="54" s="1"/>
  <c r="S574" i="54" s="1"/>
  <c r="P573" i="54" a="1"/>
  <c r="P573" i="54" s="1"/>
  <c r="S573" i="54" s="1"/>
  <c r="P572" i="54" a="1"/>
  <c r="P572" i="54" s="1"/>
  <c r="S572" i="54" s="1"/>
  <c r="P571" i="54" a="1"/>
  <c r="P571" i="54" s="1"/>
  <c r="S571" i="54" s="1"/>
  <c r="P570" i="54" a="1"/>
  <c r="P570" i="54" s="1"/>
  <c r="S570" i="54" s="1"/>
  <c r="P569" i="54" a="1"/>
  <c r="P569" i="54" s="1"/>
  <c r="S569" i="54" s="1"/>
  <c r="P568" i="54" a="1"/>
  <c r="P568" i="54" s="1"/>
  <c r="S568" i="54" s="1"/>
  <c r="P567" i="54" a="1"/>
  <c r="P567" i="54" s="1"/>
  <c r="S567" i="54" s="1"/>
  <c r="P566" i="54" a="1"/>
  <c r="P566" i="54" s="1"/>
  <c r="S566" i="54" s="1"/>
  <c r="P565" i="54" a="1"/>
  <c r="P565" i="54" s="1"/>
  <c r="S565" i="54" s="1"/>
  <c r="P564" i="54" a="1"/>
  <c r="P564" i="54" s="1"/>
  <c r="S564" i="54" s="1"/>
  <c r="P563" i="54" a="1"/>
  <c r="P563" i="54" s="1"/>
  <c r="S563" i="54" s="1"/>
  <c r="P562" i="54" a="1"/>
  <c r="P562" i="54" s="1"/>
  <c r="S562" i="54" s="1"/>
  <c r="P561" i="54" a="1"/>
  <c r="P561" i="54" s="1"/>
  <c r="S561" i="54" s="1"/>
  <c r="P560" i="54" a="1"/>
  <c r="P560" i="54" s="1"/>
  <c r="S560" i="54" s="1"/>
  <c r="P559" i="54" a="1"/>
  <c r="P559" i="54" s="1"/>
  <c r="S559" i="54" s="1"/>
  <c r="P558" i="54" a="1"/>
  <c r="P558" i="54" s="1"/>
  <c r="S558" i="54" s="1"/>
  <c r="P557" i="54" a="1"/>
  <c r="P557" i="54" s="1"/>
  <c r="S557" i="54" s="1"/>
  <c r="P556" i="54" a="1"/>
  <c r="P556" i="54" s="1"/>
  <c r="S556" i="54" s="1"/>
  <c r="P555" i="54" a="1"/>
  <c r="P555" i="54" s="1"/>
  <c r="S555" i="54" s="1"/>
  <c r="P554" i="54" a="1"/>
  <c r="P554" i="54" s="1"/>
  <c r="S554" i="54" s="1"/>
  <c r="P553" i="54" a="1"/>
  <c r="P553" i="54" s="1"/>
  <c r="S553" i="54" s="1"/>
  <c r="P552" i="54" a="1"/>
  <c r="P552" i="54" s="1"/>
  <c r="S552" i="54" s="1"/>
  <c r="P551" i="54" a="1"/>
  <c r="P551" i="54" s="1"/>
  <c r="S551" i="54" s="1"/>
  <c r="P550" i="54" a="1"/>
  <c r="P550" i="54" s="1"/>
  <c r="S550" i="54" s="1"/>
  <c r="P549" i="54" a="1"/>
  <c r="P549" i="54" s="1"/>
  <c r="S549" i="54" s="1"/>
  <c r="P548" i="54" a="1"/>
  <c r="P548" i="54" s="1"/>
  <c r="S548" i="54" s="1"/>
  <c r="P547" i="54" a="1"/>
  <c r="P547" i="54" s="1"/>
  <c r="S547" i="54" s="1"/>
  <c r="P546" i="54" a="1"/>
  <c r="P546" i="54" s="1"/>
  <c r="S546" i="54" s="1"/>
  <c r="P545" i="54" a="1"/>
  <c r="P545" i="54" s="1"/>
  <c r="S545" i="54" s="1"/>
  <c r="P544" i="54" a="1"/>
  <c r="P544" i="54" s="1"/>
  <c r="S544" i="54" s="1"/>
  <c r="P543" i="54" a="1"/>
  <c r="P543" i="54" s="1"/>
  <c r="S543" i="54" s="1"/>
  <c r="P542" i="54" a="1"/>
  <c r="P542" i="54" s="1"/>
  <c r="S542" i="54" s="1"/>
  <c r="P541" i="54" a="1"/>
  <c r="P541" i="54" s="1"/>
  <c r="S541" i="54" s="1"/>
  <c r="P540" i="54" a="1"/>
  <c r="P540" i="54" s="1"/>
  <c r="S540" i="54" s="1"/>
  <c r="P539" i="54" a="1"/>
  <c r="P539" i="54" s="1"/>
  <c r="S539" i="54" s="1"/>
  <c r="P538" i="54" a="1"/>
  <c r="P538" i="54" s="1"/>
  <c r="S538" i="54" s="1"/>
  <c r="P537" i="54" a="1"/>
  <c r="P537" i="54" s="1"/>
  <c r="S537" i="54" s="1"/>
  <c r="P536" i="54" a="1"/>
  <c r="P536" i="54" s="1"/>
  <c r="S536" i="54" s="1"/>
  <c r="P535" i="54" a="1"/>
  <c r="P535" i="54" s="1"/>
  <c r="S535" i="54" s="1"/>
  <c r="P534" i="54" a="1"/>
  <c r="P534" i="54" s="1"/>
  <c r="S534" i="54" s="1"/>
  <c r="P533" i="54" a="1"/>
  <c r="P533" i="54" s="1"/>
  <c r="S533" i="54" s="1"/>
  <c r="P532" i="54" a="1"/>
  <c r="P532" i="54" s="1"/>
  <c r="S532" i="54" s="1"/>
  <c r="P531" i="54" a="1"/>
  <c r="P531" i="54" s="1"/>
  <c r="S531" i="54" s="1"/>
  <c r="P530" i="54" a="1"/>
  <c r="P530" i="54" s="1"/>
  <c r="S530" i="54" s="1"/>
  <c r="P529" i="54" a="1"/>
  <c r="P529" i="54" s="1"/>
  <c r="S529" i="54" s="1"/>
  <c r="P528" i="54" a="1"/>
  <c r="P528" i="54" s="1"/>
  <c r="S528" i="54" s="1"/>
  <c r="P527" i="54" a="1"/>
  <c r="P527" i="54" s="1"/>
  <c r="S527" i="54" s="1"/>
  <c r="P526" i="54" a="1"/>
  <c r="P526" i="54" s="1"/>
  <c r="S526" i="54" s="1"/>
  <c r="P525" i="54" a="1"/>
  <c r="P525" i="54" s="1"/>
  <c r="S525" i="54" s="1"/>
  <c r="P524" i="54" a="1"/>
  <c r="P524" i="54" s="1"/>
  <c r="S524" i="54" s="1"/>
  <c r="P523" i="54" a="1"/>
  <c r="P523" i="54" s="1"/>
  <c r="S523" i="54" s="1"/>
  <c r="P522" i="54" a="1"/>
  <c r="P522" i="54" s="1"/>
  <c r="S522" i="54" s="1"/>
  <c r="P521" i="54" a="1"/>
  <c r="P521" i="54" s="1"/>
  <c r="S521" i="54" s="1"/>
  <c r="P520" i="54" a="1"/>
  <c r="P520" i="54" s="1"/>
  <c r="S520" i="54" s="1"/>
  <c r="P519" i="54" a="1"/>
  <c r="P519" i="54" s="1"/>
  <c r="S519" i="54" s="1"/>
  <c r="P518" i="54" a="1"/>
  <c r="P518" i="54" s="1"/>
  <c r="S518" i="54" s="1"/>
  <c r="P517" i="54" a="1"/>
  <c r="P517" i="54" s="1"/>
  <c r="S517" i="54" s="1"/>
  <c r="P516" i="54" a="1"/>
  <c r="P516" i="54" s="1"/>
  <c r="S516" i="54" s="1"/>
  <c r="P515" i="54" a="1"/>
  <c r="P515" i="54" s="1"/>
  <c r="S515" i="54" s="1"/>
  <c r="P514" i="54" a="1"/>
  <c r="P514" i="54" s="1"/>
  <c r="S514" i="54" s="1"/>
  <c r="P513" i="54" a="1"/>
  <c r="P513" i="54" s="1"/>
  <c r="S513" i="54" s="1"/>
  <c r="P512" i="54" a="1"/>
  <c r="P512" i="54" s="1"/>
  <c r="S512" i="54" s="1"/>
  <c r="P511" i="54" a="1"/>
  <c r="P511" i="54" s="1"/>
  <c r="S511" i="54" s="1"/>
  <c r="P510" i="54" a="1"/>
  <c r="P510" i="54" s="1"/>
  <c r="S510" i="54" s="1"/>
  <c r="P509" i="54" a="1"/>
  <c r="P509" i="54" s="1"/>
  <c r="S509" i="54" s="1"/>
  <c r="P508" i="54" a="1"/>
  <c r="P508" i="54" s="1"/>
  <c r="S508" i="54" s="1"/>
  <c r="P507" i="54" a="1"/>
  <c r="P507" i="54" s="1"/>
  <c r="S507" i="54" s="1"/>
  <c r="P506" i="54" a="1"/>
  <c r="P506" i="54" s="1"/>
  <c r="S506" i="54" s="1"/>
  <c r="P505" i="54" a="1"/>
  <c r="P505" i="54" s="1"/>
  <c r="S505" i="54" s="1"/>
  <c r="P504" i="54" a="1"/>
  <c r="P504" i="54" s="1"/>
  <c r="S504" i="54" s="1"/>
  <c r="P503" i="54" a="1"/>
  <c r="P503" i="54" s="1"/>
  <c r="S503" i="54" s="1"/>
  <c r="P502" i="54" a="1"/>
  <c r="P502" i="54" s="1"/>
  <c r="S502" i="54" s="1"/>
  <c r="P501" i="54" a="1"/>
  <c r="P501" i="54" s="1"/>
  <c r="S501" i="54" s="1"/>
  <c r="P500" i="54" a="1"/>
  <c r="P500" i="54" s="1"/>
  <c r="S500" i="54" s="1"/>
  <c r="P499" i="54" a="1"/>
  <c r="P499" i="54" s="1"/>
  <c r="S499" i="54" s="1"/>
  <c r="P498" i="54" a="1"/>
  <c r="P498" i="54" s="1"/>
  <c r="S498" i="54" s="1"/>
  <c r="P497" i="54" a="1"/>
  <c r="P497" i="54" s="1"/>
  <c r="S497" i="54" s="1"/>
  <c r="P496" i="54" a="1"/>
  <c r="P496" i="54" s="1"/>
  <c r="S496" i="54" s="1"/>
  <c r="P495" i="54" a="1"/>
  <c r="P495" i="54" s="1"/>
  <c r="S495" i="54" s="1"/>
  <c r="P494" i="54" a="1"/>
  <c r="P494" i="54" s="1"/>
  <c r="S494" i="54" s="1"/>
  <c r="P493" i="54" a="1"/>
  <c r="P493" i="54" s="1"/>
  <c r="S493" i="54" s="1"/>
  <c r="P492" i="54" a="1"/>
  <c r="P492" i="54" s="1"/>
  <c r="S492" i="54" s="1"/>
  <c r="P491" i="54" a="1"/>
  <c r="P491" i="54" s="1"/>
  <c r="S491" i="54" s="1"/>
  <c r="P490" i="54" a="1"/>
  <c r="P490" i="54" s="1"/>
  <c r="S490" i="54" s="1"/>
  <c r="P489" i="54" a="1"/>
  <c r="P489" i="54" s="1"/>
  <c r="S489" i="54" s="1"/>
  <c r="P488" i="54" a="1"/>
  <c r="P488" i="54" s="1"/>
  <c r="S488" i="54" s="1"/>
  <c r="P487" i="54" a="1"/>
  <c r="P487" i="54" s="1"/>
  <c r="S487" i="54" s="1"/>
  <c r="P486" i="54" a="1"/>
  <c r="P486" i="54" s="1"/>
  <c r="S486" i="54" s="1"/>
  <c r="P485" i="54" a="1"/>
  <c r="P485" i="54" s="1"/>
  <c r="S485" i="54" s="1"/>
  <c r="P484" i="54" a="1"/>
  <c r="P484" i="54" s="1"/>
  <c r="S484" i="54" s="1"/>
  <c r="P483" i="54" a="1"/>
  <c r="P483" i="54" s="1"/>
  <c r="S483" i="54" s="1"/>
  <c r="P482" i="54" a="1"/>
  <c r="P482" i="54" s="1"/>
  <c r="S482" i="54" s="1"/>
  <c r="P481" i="54" a="1"/>
  <c r="P481" i="54" s="1"/>
  <c r="S481" i="54" s="1"/>
  <c r="P480" i="54" a="1"/>
  <c r="P480" i="54" s="1"/>
  <c r="S480" i="54" s="1"/>
  <c r="P479" i="54" a="1"/>
  <c r="P479" i="54" s="1"/>
  <c r="S479" i="54" s="1"/>
  <c r="P478" i="54" a="1"/>
  <c r="P478" i="54" s="1"/>
  <c r="S478" i="54" s="1"/>
  <c r="P477" i="54" a="1"/>
  <c r="P477" i="54" s="1"/>
  <c r="S477" i="54" s="1"/>
  <c r="P476" i="54" a="1"/>
  <c r="P476" i="54" s="1"/>
  <c r="S476" i="54" s="1"/>
  <c r="P475" i="54" a="1"/>
  <c r="P475" i="54" s="1"/>
  <c r="S475" i="54" s="1"/>
  <c r="P474" i="54" a="1"/>
  <c r="P474" i="54" s="1"/>
  <c r="S474" i="54" s="1"/>
  <c r="P473" i="54" a="1"/>
  <c r="P473" i="54" s="1"/>
  <c r="S473" i="54" s="1"/>
  <c r="P472" i="54" a="1"/>
  <c r="P472" i="54" s="1"/>
  <c r="S472" i="54" s="1"/>
  <c r="P471" i="54" a="1"/>
  <c r="P471" i="54" s="1"/>
  <c r="S471" i="54" s="1"/>
  <c r="P470" i="54" a="1"/>
  <c r="P470" i="54" s="1"/>
  <c r="S470" i="54" s="1"/>
  <c r="P469" i="54" a="1"/>
  <c r="P469" i="54" s="1"/>
  <c r="S469" i="54" s="1"/>
  <c r="P468" i="54" a="1"/>
  <c r="P468" i="54" s="1"/>
  <c r="S468" i="54" s="1"/>
  <c r="P467" i="54" a="1"/>
  <c r="P467" i="54" s="1"/>
  <c r="S467" i="54" s="1"/>
  <c r="P466" i="54" a="1"/>
  <c r="P466" i="54" s="1"/>
  <c r="S466" i="54" s="1"/>
  <c r="P465" i="54" a="1"/>
  <c r="P465" i="54" s="1"/>
  <c r="S465" i="54" s="1"/>
  <c r="P464" i="54" a="1"/>
  <c r="P464" i="54" s="1"/>
  <c r="S464" i="54" s="1"/>
  <c r="P463" i="54" a="1"/>
  <c r="P463" i="54" s="1"/>
  <c r="S463" i="54" s="1"/>
  <c r="P462" i="54" a="1"/>
  <c r="P462" i="54" s="1"/>
  <c r="S462" i="54" s="1"/>
  <c r="P461" i="54" a="1"/>
  <c r="P461" i="54" s="1"/>
  <c r="S461" i="54" s="1"/>
  <c r="P460" i="54" a="1"/>
  <c r="P460" i="54" s="1"/>
  <c r="S460" i="54" s="1"/>
  <c r="P459" i="54" a="1"/>
  <c r="P459" i="54" s="1"/>
  <c r="S459" i="54" s="1"/>
  <c r="P458" i="54" a="1"/>
  <c r="P458" i="54" s="1"/>
  <c r="S458" i="54" s="1"/>
  <c r="P457" i="54" a="1"/>
  <c r="P457" i="54" s="1"/>
  <c r="S457" i="54" s="1"/>
  <c r="P456" i="54" a="1"/>
  <c r="P456" i="54" s="1"/>
  <c r="S456" i="54" s="1"/>
  <c r="P455" i="54" a="1"/>
  <c r="P455" i="54" s="1"/>
  <c r="S455" i="54" s="1"/>
  <c r="P454" i="54" a="1"/>
  <c r="P454" i="54" s="1"/>
  <c r="S454" i="54" s="1"/>
  <c r="P453" i="54" a="1"/>
  <c r="P453" i="54" s="1"/>
  <c r="S453" i="54" s="1"/>
  <c r="P452" i="54" a="1"/>
  <c r="P452" i="54" s="1"/>
  <c r="S452" i="54" s="1"/>
  <c r="P451" i="54" a="1"/>
  <c r="P451" i="54" s="1"/>
  <c r="S451" i="54" s="1"/>
  <c r="P450" i="54" a="1"/>
  <c r="P450" i="54" s="1"/>
  <c r="S450" i="54" s="1"/>
  <c r="P449" i="54" a="1"/>
  <c r="P449" i="54" s="1"/>
  <c r="S449" i="54" s="1"/>
  <c r="P448" i="54" a="1"/>
  <c r="P448" i="54" s="1"/>
  <c r="S448" i="54" s="1"/>
  <c r="P447" i="54" a="1"/>
  <c r="P447" i="54" s="1"/>
  <c r="S447" i="54" s="1"/>
  <c r="P446" i="54" a="1"/>
  <c r="P446" i="54" s="1"/>
  <c r="S446" i="54" s="1"/>
  <c r="P445" i="54" a="1"/>
  <c r="P445" i="54" s="1"/>
  <c r="S445" i="54" s="1"/>
  <c r="P444" i="54" a="1"/>
  <c r="P444" i="54" s="1"/>
  <c r="S444" i="54" s="1"/>
  <c r="P443" i="54" a="1"/>
  <c r="P443" i="54" s="1"/>
  <c r="S443" i="54" s="1"/>
  <c r="P442" i="54" a="1"/>
  <c r="P442" i="54" s="1"/>
  <c r="S442" i="54" s="1"/>
  <c r="P441" i="54" a="1"/>
  <c r="P441" i="54" s="1"/>
  <c r="S441" i="54" s="1"/>
  <c r="P440" i="54" a="1"/>
  <c r="P440" i="54" s="1"/>
  <c r="S440" i="54" s="1"/>
  <c r="P439" i="54" a="1"/>
  <c r="P439" i="54" s="1"/>
  <c r="S439" i="54" s="1"/>
  <c r="P438" i="54" a="1"/>
  <c r="P438" i="54" s="1"/>
  <c r="S438" i="54" s="1"/>
  <c r="P437" i="54" a="1"/>
  <c r="P437" i="54" s="1"/>
  <c r="S437" i="54" s="1"/>
  <c r="P436" i="54" a="1"/>
  <c r="P436" i="54" s="1"/>
  <c r="S436" i="54" s="1"/>
  <c r="P435" i="54" a="1"/>
  <c r="P435" i="54" s="1"/>
  <c r="S435" i="54" s="1"/>
  <c r="P434" i="54" a="1"/>
  <c r="P434" i="54" s="1"/>
  <c r="S434" i="54" s="1"/>
  <c r="P433" i="54" a="1"/>
  <c r="P433" i="54" s="1"/>
  <c r="S433" i="54" s="1"/>
  <c r="P432" i="54" a="1"/>
  <c r="P432" i="54" s="1"/>
  <c r="S432" i="54" s="1"/>
  <c r="P431" i="54" a="1"/>
  <c r="P431" i="54" s="1"/>
  <c r="S431" i="54" s="1"/>
  <c r="P430" i="54" a="1"/>
  <c r="P430" i="54" s="1"/>
  <c r="S430" i="54" s="1"/>
  <c r="P429" i="54" a="1"/>
  <c r="P429" i="54" s="1"/>
  <c r="S429" i="54" s="1"/>
  <c r="P428" i="54" a="1"/>
  <c r="P428" i="54" s="1"/>
  <c r="S428" i="54" s="1"/>
  <c r="P427" i="54" a="1"/>
  <c r="P427" i="54" s="1"/>
  <c r="S427" i="54" s="1"/>
  <c r="P426" i="54" a="1"/>
  <c r="P426" i="54" s="1"/>
  <c r="S426" i="54" s="1"/>
  <c r="P425" i="54" a="1"/>
  <c r="P425" i="54" s="1"/>
  <c r="S425" i="54" s="1"/>
  <c r="P424" i="54" a="1"/>
  <c r="P424" i="54" s="1"/>
  <c r="S424" i="54" s="1"/>
  <c r="P423" i="54" a="1"/>
  <c r="P423" i="54" s="1"/>
  <c r="S423" i="54" s="1"/>
  <c r="P422" i="54" a="1"/>
  <c r="P422" i="54" s="1"/>
  <c r="S422" i="54" s="1"/>
  <c r="P421" i="54" a="1"/>
  <c r="P421" i="54" s="1"/>
  <c r="S421" i="54" s="1"/>
  <c r="P420" i="54" a="1"/>
  <c r="P420" i="54" s="1"/>
  <c r="S420" i="54" s="1"/>
  <c r="P419" i="54" a="1"/>
  <c r="P419" i="54" s="1"/>
  <c r="S419" i="54" s="1"/>
  <c r="P418" i="54" a="1"/>
  <c r="P418" i="54" s="1"/>
  <c r="S418" i="54" s="1"/>
  <c r="P417" i="54" a="1"/>
  <c r="P417" i="54" s="1"/>
  <c r="S417" i="54" s="1"/>
  <c r="P416" i="54" a="1"/>
  <c r="P416" i="54" s="1"/>
  <c r="S416" i="54" s="1"/>
  <c r="P415" i="54" a="1"/>
  <c r="P415" i="54" s="1"/>
  <c r="S415" i="54" s="1"/>
  <c r="P414" i="54" a="1"/>
  <c r="P414" i="54" s="1"/>
  <c r="S414" i="54" s="1"/>
  <c r="P413" i="54" a="1"/>
  <c r="P413" i="54" s="1"/>
  <c r="S413" i="54" s="1"/>
  <c r="P412" i="54" a="1"/>
  <c r="P412" i="54" s="1"/>
  <c r="S412" i="54" s="1"/>
  <c r="P411" i="54" a="1"/>
  <c r="P411" i="54" s="1"/>
  <c r="S411" i="54" s="1"/>
  <c r="P410" i="54" a="1"/>
  <c r="P410" i="54" s="1"/>
  <c r="S410" i="54" s="1"/>
  <c r="P409" i="54" a="1"/>
  <c r="P409" i="54" s="1"/>
  <c r="S409" i="54" s="1"/>
  <c r="P408" i="54" a="1"/>
  <c r="P408" i="54" s="1"/>
  <c r="S408" i="54" s="1"/>
  <c r="P407" i="54" a="1"/>
  <c r="P407" i="54" s="1"/>
  <c r="S407" i="54" s="1"/>
  <c r="P406" i="54" a="1"/>
  <c r="P406" i="54" s="1"/>
  <c r="S406" i="54" s="1"/>
  <c r="P405" i="54" a="1"/>
  <c r="P405" i="54" s="1"/>
  <c r="S405" i="54" s="1"/>
  <c r="P404" i="54" a="1"/>
  <c r="P404" i="54" s="1"/>
  <c r="S404" i="54" s="1"/>
  <c r="P403" i="54" a="1"/>
  <c r="P403" i="54" s="1"/>
  <c r="S403" i="54" s="1"/>
  <c r="P402" i="54" a="1"/>
  <c r="P402" i="54" s="1"/>
  <c r="S402" i="54" s="1"/>
  <c r="P401" i="54" a="1"/>
  <c r="P401" i="54" s="1"/>
  <c r="S401" i="54" s="1"/>
  <c r="P400" i="54" a="1"/>
  <c r="P400" i="54" s="1"/>
  <c r="S400" i="54" s="1"/>
  <c r="P399" i="54" a="1"/>
  <c r="P399" i="54" s="1"/>
  <c r="S399" i="54" s="1"/>
  <c r="P398" i="54" a="1"/>
  <c r="P398" i="54" s="1"/>
  <c r="S398" i="54" s="1"/>
  <c r="P397" i="54" a="1"/>
  <c r="P397" i="54" s="1"/>
  <c r="S397" i="54" s="1"/>
  <c r="P396" i="54" a="1"/>
  <c r="P396" i="54" s="1"/>
  <c r="S396" i="54" s="1"/>
  <c r="P395" i="54" a="1"/>
  <c r="P395" i="54" s="1"/>
  <c r="S395" i="54" s="1"/>
  <c r="P394" i="54" a="1"/>
  <c r="P394" i="54" s="1"/>
  <c r="S394" i="54" s="1"/>
  <c r="P393" i="54" a="1"/>
  <c r="P393" i="54" s="1"/>
  <c r="S393" i="54" s="1"/>
  <c r="P392" i="54" a="1"/>
  <c r="P392" i="54" s="1"/>
  <c r="S392" i="54" s="1"/>
  <c r="P391" i="54" a="1"/>
  <c r="P391" i="54" s="1"/>
  <c r="S391" i="54" s="1"/>
  <c r="P390" i="54" a="1"/>
  <c r="P390" i="54" s="1"/>
  <c r="S390" i="54" s="1"/>
  <c r="P389" i="54" a="1"/>
  <c r="P389" i="54" s="1"/>
  <c r="S389" i="54" s="1"/>
  <c r="P388" i="54" a="1"/>
  <c r="P388" i="54" s="1"/>
  <c r="S388" i="54" s="1"/>
  <c r="P387" i="54" a="1"/>
  <c r="P387" i="54" s="1"/>
  <c r="S387" i="54" s="1"/>
  <c r="P386" i="54" a="1"/>
  <c r="P386" i="54" s="1"/>
  <c r="S386" i="54" s="1"/>
  <c r="P385" i="54" a="1"/>
  <c r="P385" i="54" s="1"/>
  <c r="S385" i="54" s="1"/>
  <c r="P384" i="54" a="1"/>
  <c r="P384" i="54" s="1"/>
  <c r="S384" i="54" s="1"/>
  <c r="P383" i="54" a="1"/>
  <c r="P383" i="54" s="1"/>
  <c r="S383" i="54" s="1"/>
  <c r="P382" i="54" a="1"/>
  <c r="P382" i="54" s="1"/>
  <c r="S382" i="54" s="1"/>
  <c r="P381" i="54" a="1"/>
  <c r="P381" i="54" s="1"/>
  <c r="S381" i="54" s="1"/>
  <c r="P380" i="54" a="1"/>
  <c r="P380" i="54" s="1"/>
  <c r="S380" i="54" s="1"/>
  <c r="P379" i="54" a="1"/>
  <c r="P379" i="54" s="1"/>
  <c r="S379" i="54" s="1"/>
  <c r="P378" i="54" a="1"/>
  <c r="P378" i="54" s="1"/>
  <c r="S378" i="54" s="1"/>
  <c r="P377" i="54" a="1"/>
  <c r="P377" i="54" s="1"/>
  <c r="S377" i="54" s="1"/>
  <c r="P376" i="54" a="1"/>
  <c r="P376" i="54" s="1"/>
  <c r="S376" i="54" s="1"/>
  <c r="P375" i="54" a="1"/>
  <c r="P375" i="54" s="1"/>
  <c r="S375" i="54" s="1"/>
  <c r="P374" i="54" a="1"/>
  <c r="P374" i="54" s="1"/>
  <c r="S374" i="54" s="1"/>
  <c r="P373" i="54" a="1"/>
  <c r="P373" i="54" s="1"/>
  <c r="S373" i="54" s="1"/>
  <c r="P372" i="54" a="1"/>
  <c r="P372" i="54" s="1"/>
  <c r="S372" i="54" s="1"/>
  <c r="P371" i="54" a="1"/>
  <c r="P371" i="54" s="1"/>
  <c r="S371" i="54" s="1"/>
  <c r="P370" i="54" a="1"/>
  <c r="P370" i="54" s="1"/>
  <c r="S370" i="54" s="1"/>
  <c r="P369" i="54" a="1"/>
  <c r="P369" i="54" s="1"/>
  <c r="S369" i="54" s="1"/>
  <c r="P368" i="54" a="1"/>
  <c r="P368" i="54" s="1"/>
  <c r="S368" i="54" s="1"/>
  <c r="P367" i="54" a="1"/>
  <c r="P367" i="54" s="1"/>
  <c r="S367" i="54" s="1"/>
  <c r="P366" i="54" a="1"/>
  <c r="P366" i="54" s="1"/>
  <c r="S366" i="54" s="1"/>
  <c r="P365" i="54" a="1"/>
  <c r="P365" i="54" s="1"/>
  <c r="S365" i="54" s="1"/>
  <c r="P364" i="54" a="1"/>
  <c r="P364" i="54" s="1"/>
  <c r="S364" i="54" s="1"/>
  <c r="P363" i="54" a="1"/>
  <c r="P363" i="54" s="1"/>
  <c r="S363" i="54" s="1"/>
  <c r="P362" i="54" a="1"/>
  <c r="P362" i="54" s="1"/>
  <c r="S362" i="54" s="1"/>
  <c r="P361" i="54" a="1"/>
  <c r="P361" i="54" s="1"/>
  <c r="S361" i="54" s="1"/>
  <c r="P360" i="54" a="1"/>
  <c r="P360" i="54" s="1"/>
  <c r="S360" i="54" s="1"/>
  <c r="P359" i="54" a="1"/>
  <c r="P359" i="54" s="1"/>
  <c r="S359" i="54" s="1"/>
  <c r="P358" i="54" a="1"/>
  <c r="P358" i="54" s="1"/>
  <c r="S358" i="54" s="1"/>
  <c r="P357" i="54" a="1"/>
  <c r="P357" i="54" s="1"/>
  <c r="S357" i="54" s="1"/>
  <c r="P356" i="54" a="1"/>
  <c r="P356" i="54" s="1"/>
  <c r="S356" i="54" s="1"/>
  <c r="P355" i="54" a="1"/>
  <c r="P355" i="54" s="1"/>
  <c r="S355" i="54" s="1"/>
  <c r="P354" i="54" a="1"/>
  <c r="P354" i="54" s="1"/>
  <c r="S354" i="54" s="1"/>
  <c r="P353" i="54" a="1"/>
  <c r="P353" i="54" s="1"/>
  <c r="S353" i="54" s="1"/>
  <c r="P352" i="54" a="1"/>
  <c r="P352" i="54" s="1"/>
  <c r="S352" i="54" s="1"/>
  <c r="P351" i="54" a="1"/>
  <c r="P351" i="54" s="1"/>
  <c r="S351" i="54" s="1"/>
  <c r="P350" i="54" a="1"/>
  <c r="P350" i="54" s="1"/>
  <c r="S350" i="54" s="1"/>
  <c r="P349" i="54" a="1"/>
  <c r="P349" i="54" s="1"/>
  <c r="S349" i="54" s="1"/>
  <c r="P348" i="54" a="1"/>
  <c r="P348" i="54" s="1"/>
  <c r="S348" i="54" s="1"/>
  <c r="P347" i="54" a="1"/>
  <c r="P347" i="54" s="1"/>
  <c r="S347" i="54" s="1"/>
  <c r="P346" i="54" a="1"/>
  <c r="P346" i="54" s="1"/>
  <c r="S346" i="54" s="1"/>
  <c r="P345" i="54" a="1"/>
  <c r="P345" i="54" s="1"/>
  <c r="S345" i="54" s="1"/>
  <c r="P344" i="54" a="1"/>
  <c r="P344" i="54" s="1"/>
  <c r="S344" i="54" s="1"/>
  <c r="P343" i="54" a="1"/>
  <c r="P343" i="54" s="1"/>
  <c r="S343" i="54" s="1"/>
  <c r="P342" i="54" a="1"/>
  <c r="P342" i="54" s="1"/>
  <c r="S342" i="54" s="1"/>
  <c r="P341" i="54" a="1"/>
  <c r="P341" i="54" s="1"/>
  <c r="S341" i="54" s="1"/>
  <c r="P340" i="54" a="1"/>
  <c r="P340" i="54" s="1"/>
  <c r="S340" i="54" s="1"/>
  <c r="P339" i="54" a="1"/>
  <c r="P339" i="54" s="1"/>
  <c r="S339" i="54" s="1"/>
  <c r="P338" i="54" a="1"/>
  <c r="P338" i="54" s="1"/>
  <c r="S338" i="54" s="1"/>
  <c r="P337" i="54" a="1"/>
  <c r="P337" i="54" s="1"/>
  <c r="S337" i="54" s="1"/>
  <c r="P336" i="54" a="1"/>
  <c r="P336" i="54" s="1"/>
  <c r="S336" i="54" s="1"/>
  <c r="P335" i="54" a="1"/>
  <c r="P335" i="54" s="1"/>
  <c r="S335" i="54" s="1"/>
  <c r="P334" i="54" a="1"/>
  <c r="P334" i="54" s="1"/>
  <c r="S334" i="54" s="1"/>
  <c r="P333" i="54" a="1"/>
  <c r="P333" i="54" s="1"/>
  <c r="S333" i="54" s="1"/>
  <c r="P332" i="54" a="1"/>
  <c r="P332" i="54" s="1"/>
  <c r="S332" i="54" s="1"/>
  <c r="P331" i="54" a="1"/>
  <c r="P331" i="54" s="1"/>
  <c r="S331" i="54" s="1"/>
  <c r="P330" i="54" a="1"/>
  <c r="P330" i="54" s="1"/>
  <c r="S330" i="54" s="1"/>
  <c r="P329" i="54" a="1"/>
  <c r="P329" i="54" s="1"/>
  <c r="S329" i="54" s="1"/>
  <c r="P328" i="54" a="1"/>
  <c r="P328" i="54" s="1"/>
  <c r="S328" i="54" s="1"/>
  <c r="P327" i="54" a="1"/>
  <c r="P327" i="54" s="1"/>
  <c r="S327" i="54" s="1"/>
  <c r="P326" i="54" a="1"/>
  <c r="P326" i="54" s="1"/>
  <c r="S326" i="54" s="1"/>
  <c r="P325" i="54" a="1"/>
  <c r="P325" i="54" s="1"/>
  <c r="S325" i="54" s="1"/>
  <c r="P324" i="54" a="1"/>
  <c r="P324" i="54" s="1"/>
  <c r="S324" i="54" s="1"/>
  <c r="P323" i="54" a="1"/>
  <c r="P323" i="54" s="1"/>
  <c r="S323" i="54" s="1"/>
  <c r="P322" i="54" a="1"/>
  <c r="P322" i="54" s="1"/>
  <c r="S322" i="54" s="1"/>
  <c r="P321" i="54" a="1"/>
  <c r="P321" i="54" s="1"/>
  <c r="S321" i="54" s="1"/>
  <c r="P320" i="54" a="1"/>
  <c r="P320" i="54" s="1"/>
  <c r="S320" i="54" s="1"/>
  <c r="P319" i="54" a="1"/>
  <c r="P319" i="54" s="1"/>
  <c r="S319" i="54" s="1"/>
  <c r="P318" i="54" a="1"/>
  <c r="P318" i="54" s="1"/>
  <c r="S318" i="54" s="1"/>
  <c r="P317" i="54" a="1"/>
  <c r="P317" i="54" s="1"/>
  <c r="S317" i="54" s="1"/>
  <c r="P316" i="54" a="1"/>
  <c r="P316" i="54" s="1"/>
  <c r="S316" i="54" s="1"/>
  <c r="P315" i="54" a="1"/>
  <c r="P315" i="54" s="1"/>
  <c r="S315" i="54" s="1"/>
  <c r="P314" i="54" a="1"/>
  <c r="P314" i="54" s="1"/>
  <c r="S314" i="54" s="1"/>
  <c r="P313" i="54" a="1"/>
  <c r="P313" i="54" s="1"/>
  <c r="S313" i="54" s="1"/>
  <c r="P312" i="54" a="1"/>
  <c r="P312" i="54" s="1"/>
  <c r="S312" i="54" s="1"/>
  <c r="P311" i="54" a="1"/>
  <c r="P311" i="54" s="1"/>
  <c r="S311" i="54" s="1"/>
  <c r="P310" i="54" a="1"/>
  <c r="P310" i="54" s="1"/>
  <c r="S310" i="54" s="1"/>
  <c r="P309" i="54" a="1"/>
  <c r="P309" i="54" s="1"/>
  <c r="S309" i="54" s="1"/>
  <c r="P308" i="54" a="1"/>
  <c r="P308" i="54" s="1"/>
  <c r="S308" i="54" s="1"/>
  <c r="P307" i="54" a="1"/>
  <c r="P307" i="54" s="1"/>
  <c r="S307" i="54" s="1"/>
  <c r="P306" i="54" a="1"/>
  <c r="P306" i="54" s="1"/>
  <c r="S306" i="54" s="1"/>
  <c r="P305" i="54" a="1"/>
  <c r="P305" i="54" s="1"/>
  <c r="S305" i="54" s="1"/>
  <c r="P304" i="54" a="1"/>
  <c r="P304" i="54" s="1"/>
  <c r="S304" i="54" s="1"/>
  <c r="P303" i="54" a="1"/>
  <c r="P303" i="54" s="1"/>
  <c r="S303" i="54" s="1"/>
  <c r="P302" i="54" a="1"/>
  <c r="P302" i="54" s="1"/>
  <c r="S302" i="54" s="1"/>
  <c r="P301" i="54" a="1"/>
  <c r="P301" i="54" s="1"/>
  <c r="S301" i="54" s="1"/>
  <c r="P300" i="54" a="1"/>
  <c r="P300" i="54" s="1"/>
  <c r="S300" i="54" s="1"/>
  <c r="P299" i="54" a="1"/>
  <c r="P299" i="54" s="1"/>
  <c r="S299" i="54" s="1"/>
  <c r="P298" i="54" a="1"/>
  <c r="P298" i="54" s="1"/>
  <c r="S298" i="54" s="1"/>
  <c r="P297" i="54" a="1"/>
  <c r="P297" i="54" s="1"/>
  <c r="S297" i="54" s="1"/>
  <c r="P296" i="54" a="1"/>
  <c r="P296" i="54" s="1"/>
  <c r="S296" i="54" s="1"/>
  <c r="P295" i="54" a="1"/>
  <c r="P295" i="54" s="1"/>
  <c r="S295" i="54" s="1"/>
  <c r="P294" i="54" a="1"/>
  <c r="P294" i="54" s="1"/>
  <c r="S294" i="54" s="1"/>
  <c r="P293" i="54" a="1"/>
  <c r="P293" i="54" s="1"/>
  <c r="S293" i="54" s="1"/>
  <c r="P292" i="54" a="1"/>
  <c r="P292" i="54" s="1"/>
  <c r="S292" i="54" s="1"/>
  <c r="P291" i="54" a="1"/>
  <c r="P291" i="54" s="1"/>
  <c r="S291" i="54" s="1"/>
  <c r="P290" i="54" a="1"/>
  <c r="P290" i="54" s="1"/>
  <c r="S290" i="54" s="1"/>
  <c r="P289" i="54" a="1"/>
  <c r="P289" i="54" s="1"/>
  <c r="S289" i="54" s="1"/>
  <c r="P288" i="54" a="1"/>
  <c r="P288" i="54" s="1"/>
  <c r="S288" i="54" s="1"/>
  <c r="P287" i="54" a="1"/>
  <c r="P287" i="54" s="1"/>
  <c r="S287" i="54" s="1"/>
  <c r="P286" i="54" a="1"/>
  <c r="P286" i="54" s="1"/>
  <c r="S286" i="54" s="1"/>
  <c r="P285" i="54" a="1"/>
  <c r="P285" i="54" s="1"/>
  <c r="S285" i="54" s="1"/>
  <c r="P284" i="54" a="1"/>
  <c r="P284" i="54" s="1"/>
  <c r="S284" i="54" s="1"/>
  <c r="P283" i="54" a="1"/>
  <c r="P283" i="54" s="1"/>
  <c r="S283" i="54" s="1"/>
  <c r="P282" i="54" a="1"/>
  <c r="P282" i="54" s="1"/>
  <c r="S282" i="54" s="1"/>
  <c r="P281" i="54" a="1"/>
  <c r="P281" i="54" s="1"/>
  <c r="S281" i="54" s="1"/>
  <c r="P280" i="54" a="1"/>
  <c r="P280" i="54" s="1"/>
  <c r="S280" i="54" s="1"/>
  <c r="P279" i="54" a="1"/>
  <c r="P279" i="54" s="1"/>
  <c r="S279" i="54" s="1"/>
  <c r="P278" i="54" a="1"/>
  <c r="P278" i="54" s="1"/>
  <c r="S278" i="54" s="1"/>
  <c r="P277" i="54" a="1"/>
  <c r="P277" i="54" s="1"/>
  <c r="S277" i="54" s="1"/>
  <c r="P276" i="54" a="1"/>
  <c r="P276" i="54" s="1"/>
  <c r="S276" i="54" s="1"/>
  <c r="P275" i="54" a="1"/>
  <c r="P275" i="54" s="1"/>
  <c r="S275" i="54" s="1"/>
  <c r="P274" i="54" a="1"/>
  <c r="P274" i="54" s="1"/>
  <c r="S274" i="54" s="1"/>
  <c r="P273" i="54" a="1"/>
  <c r="P273" i="54" s="1"/>
  <c r="S273" i="54" s="1"/>
  <c r="P272" i="54" a="1"/>
  <c r="P272" i="54" s="1"/>
  <c r="S272" i="54" s="1"/>
  <c r="P271" i="54" a="1"/>
  <c r="P271" i="54" s="1"/>
  <c r="S271" i="54" s="1"/>
  <c r="P270" i="54" a="1"/>
  <c r="P270" i="54" s="1"/>
  <c r="S270" i="54" s="1"/>
  <c r="P269" i="54" a="1"/>
  <c r="P269" i="54" s="1"/>
  <c r="S269" i="54" s="1"/>
  <c r="P268" i="54" a="1"/>
  <c r="P268" i="54" s="1"/>
  <c r="S268" i="54" s="1"/>
  <c r="P267" i="54" a="1"/>
  <c r="P267" i="54" s="1"/>
  <c r="S267" i="54" s="1"/>
  <c r="P266" i="54" a="1"/>
  <c r="P266" i="54" s="1"/>
  <c r="S266" i="54" s="1"/>
  <c r="P265" i="54" a="1"/>
  <c r="P265" i="54" s="1"/>
  <c r="S265" i="54" s="1"/>
  <c r="P264" i="54" a="1"/>
  <c r="P264" i="54" s="1"/>
  <c r="S264" i="54" s="1"/>
  <c r="P263" i="54" a="1"/>
  <c r="P263" i="54" s="1"/>
  <c r="S263" i="54" s="1"/>
  <c r="P262" i="54" a="1"/>
  <c r="P262" i="54" s="1"/>
  <c r="S262" i="54" s="1"/>
  <c r="P261" i="54" a="1"/>
  <c r="P261" i="54" s="1"/>
  <c r="S261" i="54" s="1"/>
  <c r="P260" i="54" a="1"/>
  <c r="P260" i="54" s="1"/>
  <c r="S260" i="54" s="1"/>
  <c r="P259" i="54" a="1"/>
  <c r="P259" i="54" s="1"/>
  <c r="S259" i="54" s="1"/>
  <c r="P258" i="54" a="1"/>
  <c r="P258" i="54" s="1"/>
  <c r="S258" i="54" s="1"/>
  <c r="P257" i="54" a="1"/>
  <c r="P257" i="54" s="1"/>
  <c r="S257" i="54" s="1"/>
  <c r="P256" i="54" a="1"/>
  <c r="P256" i="54" s="1"/>
  <c r="S256" i="54" s="1"/>
  <c r="P255" i="54" a="1"/>
  <c r="P255" i="54" s="1"/>
  <c r="S255" i="54" s="1"/>
  <c r="P254" i="54" a="1"/>
  <c r="P254" i="54" s="1"/>
  <c r="S254" i="54" s="1"/>
  <c r="P253" i="54" a="1"/>
  <c r="P253" i="54" s="1"/>
  <c r="S253" i="54" s="1"/>
  <c r="P252" i="54" a="1"/>
  <c r="P252" i="54" s="1"/>
  <c r="S252" i="54" s="1"/>
  <c r="P251" i="54" a="1"/>
  <c r="P251" i="54" s="1"/>
  <c r="S251" i="54" s="1"/>
  <c r="P250" i="54" a="1"/>
  <c r="P250" i="54" s="1"/>
  <c r="S250" i="54" s="1"/>
  <c r="P249" i="54" a="1"/>
  <c r="P249" i="54" s="1"/>
  <c r="S249" i="54" s="1"/>
  <c r="P248" i="54" a="1"/>
  <c r="P248" i="54" s="1"/>
  <c r="S248" i="54" s="1"/>
  <c r="P247" i="54" a="1"/>
  <c r="P247" i="54" s="1"/>
  <c r="S247" i="54" s="1"/>
  <c r="Q74" i="49"/>
  <c r="R74" i="49" s="1"/>
  <c r="O74" i="49"/>
  <c r="S74" i="49" s="1"/>
  <c r="Q29" i="49"/>
  <c r="R29" i="49" s="1"/>
  <c r="O29" i="49"/>
  <c r="S29" i="49" s="1"/>
  <c r="Q28" i="49"/>
  <c r="R28" i="49" s="1"/>
  <c r="O28" i="49"/>
  <c r="S28" i="49" s="1"/>
  <c r="Q27" i="49"/>
  <c r="R27" i="49" s="1"/>
  <c r="O27" i="49"/>
  <c r="S27" i="49" s="1"/>
  <c r="Q26" i="49"/>
  <c r="R26" i="49" s="1"/>
  <c r="O26" i="49"/>
  <c r="S26" i="49" s="1"/>
  <c r="Q25" i="49"/>
  <c r="R25" i="49" s="1"/>
  <c r="O25" i="49"/>
  <c r="Q24" i="49"/>
  <c r="R24" i="49" s="1"/>
  <c r="O24" i="49"/>
  <c r="Q23" i="49"/>
  <c r="R23" i="49" s="1"/>
  <c r="O23" i="49"/>
  <c r="S23" i="49" s="1"/>
  <c r="Q22" i="49"/>
  <c r="R22" i="49" s="1"/>
  <c r="O22" i="49"/>
  <c r="S22" i="49" s="1"/>
  <c r="Q21" i="49"/>
  <c r="R21" i="49" s="1"/>
  <c r="O21" i="49"/>
  <c r="S21" i="49" s="1"/>
  <c r="Q20" i="49"/>
  <c r="R20" i="49" s="1"/>
  <c r="O20" i="49"/>
  <c r="Q19" i="49"/>
  <c r="R19" i="49" s="1"/>
  <c r="O19" i="49"/>
  <c r="S19" i="49" s="1"/>
  <c r="Q18" i="49"/>
  <c r="R18" i="49" s="1"/>
  <c r="O18" i="49"/>
  <c r="S18" i="49" s="1"/>
  <c r="Q17" i="49"/>
  <c r="R17" i="49" s="1"/>
  <c r="O17" i="49"/>
  <c r="S17" i="49" s="1"/>
  <c r="Q16" i="49"/>
  <c r="R16" i="49" s="1"/>
  <c r="O16" i="49"/>
  <c r="S16" i="49" s="1"/>
  <c r="Q15" i="49"/>
  <c r="R15" i="49" s="1"/>
  <c r="O15" i="49"/>
  <c r="S15" i="49" s="1"/>
  <c r="Q14" i="49"/>
  <c r="R14" i="49" s="1"/>
  <c r="O14" i="49"/>
  <c r="CE3" i="49" s="1"/>
  <c r="Q13" i="49"/>
  <c r="R13" i="49" s="1"/>
  <c r="O13" i="49"/>
  <c r="S13" i="49" s="1"/>
  <c r="Q12" i="49"/>
  <c r="R12" i="49" s="1"/>
  <c r="O12" i="49"/>
  <c r="S12" i="49" s="1"/>
  <c r="Q464" i="49"/>
  <c r="O464" i="49"/>
  <c r="Q463" i="49"/>
  <c r="O463" i="49"/>
  <c r="Q462" i="49"/>
  <c r="O462" i="49"/>
  <c r="Q461" i="49"/>
  <c r="O461" i="49"/>
  <c r="Q460" i="49"/>
  <c r="O460" i="49"/>
  <c r="Q459" i="49"/>
  <c r="O459" i="49"/>
  <c r="Q458" i="49"/>
  <c r="O458" i="49"/>
  <c r="Q457" i="49"/>
  <c r="O457" i="49"/>
  <c r="Q456" i="49"/>
  <c r="O456" i="49"/>
  <c r="Q455" i="49"/>
  <c r="O455" i="49"/>
  <c r="Q454" i="49"/>
  <c r="O454" i="49"/>
  <c r="Q453" i="49"/>
  <c r="O453" i="49"/>
  <c r="Q452" i="49"/>
  <c r="O452" i="49"/>
  <c r="Q451" i="49"/>
  <c r="O451" i="49"/>
  <c r="Q450" i="49"/>
  <c r="O450" i="49"/>
  <c r="Q449" i="49"/>
  <c r="O449" i="49"/>
  <c r="Q448" i="49"/>
  <c r="O448" i="49"/>
  <c r="Q447" i="49"/>
  <c r="O447" i="49"/>
  <c r="Q446" i="49"/>
  <c r="O446" i="49"/>
  <c r="Q445" i="49"/>
  <c r="O445" i="49"/>
  <c r="Q444" i="49"/>
  <c r="O444" i="49"/>
  <c r="Q443" i="49"/>
  <c r="O443" i="49"/>
  <c r="Q442" i="49"/>
  <c r="O442" i="49"/>
  <c r="Q441" i="49"/>
  <c r="O441" i="49"/>
  <c r="Q440" i="49"/>
  <c r="O440" i="49"/>
  <c r="Q439" i="49"/>
  <c r="O439" i="49"/>
  <c r="Q438" i="49"/>
  <c r="O438" i="49"/>
  <c r="Q437" i="49"/>
  <c r="O437" i="49"/>
  <c r="Q436" i="49"/>
  <c r="O436" i="49"/>
  <c r="Q435" i="49"/>
  <c r="O435" i="49"/>
  <c r="Q434" i="49"/>
  <c r="O434" i="49"/>
  <c r="Q433" i="49"/>
  <c r="O433" i="49"/>
  <c r="Q432" i="49"/>
  <c r="O432" i="49"/>
  <c r="Q431" i="49"/>
  <c r="O431" i="49"/>
  <c r="Q430" i="49"/>
  <c r="O430" i="49"/>
  <c r="Q429" i="49"/>
  <c r="O429" i="49"/>
  <c r="Q428" i="49"/>
  <c r="O428" i="49"/>
  <c r="Q427" i="49"/>
  <c r="O427" i="49"/>
  <c r="Q426" i="49"/>
  <c r="O426" i="49"/>
  <c r="Q425" i="49"/>
  <c r="O425" i="49"/>
  <c r="Q424" i="49"/>
  <c r="O424" i="49"/>
  <c r="Q423" i="49"/>
  <c r="O423" i="49"/>
  <c r="Q422" i="49"/>
  <c r="O422" i="49"/>
  <c r="Q421" i="49"/>
  <c r="O421" i="49"/>
  <c r="Q420" i="49"/>
  <c r="O420" i="49"/>
  <c r="Q419" i="49"/>
  <c r="O419" i="49"/>
  <c r="Q418" i="49"/>
  <c r="O418" i="49"/>
  <c r="Q417" i="49"/>
  <c r="O417" i="49"/>
  <c r="Q416" i="49"/>
  <c r="O416" i="49"/>
  <c r="Q415" i="49"/>
  <c r="O415" i="49"/>
  <c r="Q414" i="49"/>
  <c r="O414" i="49"/>
  <c r="Q413" i="49"/>
  <c r="O413" i="49"/>
  <c r="Q412" i="49"/>
  <c r="O412" i="49"/>
  <c r="Q411" i="49"/>
  <c r="O411" i="49"/>
  <c r="Q410" i="49"/>
  <c r="O410" i="49"/>
  <c r="Q409" i="49"/>
  <c r="O409" i="49"/>
  <c r="Q408" i="49"/>
  <c r="O408" i="49"/>
  <c r="Q407" i="49"/>
  <c r="O407" i="49"/>
  <c r="Q406" i="49"/>
  <c r="O406" i="49"/>
  <c r="Q405" i="49"/>
  <c r="O405" i="49"/>
  <c r="Q404" i="49"/>
  <c r="O404" i="49"/>
  <c r="Q403" i="49"/>
  <c r="O403" i="49"/>
  <c r="Q402" i="49"/>
  <c r="O402" i="49"/>
  <c r="Q401" i="49"/>
  <c r="O401" i="49"/>
  <c r="Q400" i="49"/>
  <c r="O400" i="49"/>
  <c r="Q399" i="49"/>
  <c r="O399" i="49"/>
  <c r="Q398" i="49"/>
  <c r="O398" i="49"/>
  <c r="Q397" i="49"/>
  <c r="O397" i="49"/>
  <c r="Q396" i="49"/>
  <c r="O396" i="49"/>
  <c r="Q395" i="49"/>
  <c r="O395" i="49"/>
  <c r="Q394" i="49"/>
  <c r="O394" i="49"/>
  <c r="Q393" i="49"/>
  <c r="O393" i="49"/>
  <c r="Q392" i="49"/>
  <c r="O392" i="49"/>
  <c r="Q391" i="49"/>
  <c r="O391" i="49"/>
  <c r="Q390" i="49"/>
  <c r="O390" i="49"/>
  <c r="Q389" i="49"/>
  <c r="O389" i="49"/>
  <c r="Q388" i="49"/>
  <c r="O388" i="49"/>
  <c r="Q387" i="49"/>
  <c r="O387" i="49"/>
  <c r="Q386" i="49"/>
  <c r="O386" i="49"/>
  <c r="Q385" i="49"/>
  <c r="O385" i="49"/>
  <c r="Q384" i="49"/>
  <c r="O384" i="49"/>
  <c r="Q383" i="49"/>
  <c r="O383" i="49"/>
  <c r="Q382" i="49"/>
  <c r="O382" i="49"/>
  <c r="Q381" i="49"/>
  <c r="O381" i="49"/>
  <c r="Q380" i="49"/>
  <c r="O380" i="49"/>
  <c r="Q379" i="49"/>
  <c r="O379" i="49"/>
  <c r="Q378" i="49"/>
  <c r="O378" i="49"/>
  <c r="Q377" i="49"/>
  <c r="O377" i="49"/>
  <c r="Q376" i="49"/>
  <c r="O376" i="49"/>
  <c r="Q375" i="49"/>
  <c r="O375" i="49"/>
  <c r="Q374" i="49"/>
  <c r="O374" i="49"/>
  <c r="Q373" i="49"/>
  <c r="O373" i="49"/>
  <c r="Q372" i="49"/>
  <c r="O372" i="49"/>
  <c r="Q371" i="49"/>
  <c r="O371" i="49"/>
  <c r="Q370" i="49"/>
  <c r="O370" i="49"/>
  <c r="Q369" i="49"/>
  <c r="O369" i="49"/>
  <c r="Q368" i="49"/>
  <c r="O368" i="49"/>
  <c r="Q367" i="49"/>
  <c r="O367" i="49"/>
  <c r="Q366" i="49"/>
  <c r="O366" i="49"/>
  <c r="Q365" i="49"/>
  <c r="O365" i="49"/>
  <c r="Q364" i="49"/>
  <c r="O364" i="49"/>
  <c r="Q363" i="49"/>
  <c r="R363" i="49" s="1"/>
  <c r="O363" i="49"/>
  <c r="S363" i="49" s="1"/>
  <c r="Q362" i="49"/>
  <c r="O362" i="49"/>
  <c r="Q361" i="49"/>
  <c r="R361" i="49" s="1"/>
  <c r="O361" i="49"/>
  <c r="S361" i="49" s="1"/>
  <c r="Q360" i="49"/>
  <c r="O360" i="49"/>
  <c r="Q359" i="49"/>
  <c r="O359" i="49"/>
  <c r="Q358" i="49"/>
  <c r="O358" i="49"/>
  <c r="Q357" i="49"/>
  <c r="R357" i="49" s="1"/>
  <c r="O357" i="49"/>
  <c r="S357" i="49" s="1"/>
  <c r="Q356" i="49"/>
  <c r="O356" i="49"/>
  <c r="Q355" i="49"/>
  <c r="O355" i="49"/>
  <c r="Q354" i="49"/>
  <c r="O354" i="49"/>
  <c r="Q353" i="49"/>
  <c r="O353" i="49"/>
  <c r="Q352" i="49"/>
  <c r="O352" i="49"/>
  <c r="Q351" i="49"/>
  <c r="O351" i="49"/>
  <c r="Q350" i="49"/>
  <c r="O350" i="49"/>
  <c r="Q349" i="49"/>
  <c r="O349" i="49"/>
  <c r="Q348" i="49"/>
  <c r="O348" i="49"/>
  <c r="Q347" i="49"/>
  <c r="O347" i="49"/>
  <c r="Q346" i="49"/>
  <c r="O346" i="49"/>
  <c r="Q345" i="49"/>
  <c r="O345" i="49"/>
  <c r="Q344" i="49"/>
  <c r="R344" i="49" s="1"/>
  <c r="O344" i="49"/>
  <c r="S344" i="49" s="1"/>
  <c r="Q343" i="49"/>
  <c r="O343" i="49"/>
  <c r="Q342" i="49"/>
  <c r="O342" i="49"/>
  <c r="Q341" i="49"/>
  <c r="O341" i="49"/>
  <c r="Q340" i="49"/>
  <c r="O340" i="49"/>
  <c r="Q339" i="49"/>
  <c r="O339" i="49"/>
  <c r="Q338" i="49"/>
  <c r="O338" i="49"/>
  <c r="Q337" i="49"/>
  <c r="O337" i="49"/>
  <c r="Q336" i="49"/>
  <c r="O336" i="49"/>
  <c r="Q335" i="49"/>
  <c r="O335" i="49"/>
  <c r="Q334" i="49"/>
  <c r="O334" i="49"/>
  <c r="Q333" i="49"/>
  <c r="O333" i="49"/>
  <c r="Q332" i="49"/>
  <c r="O332" i="49"/>
  <c r="Q331" i="49"/>
  <c r="O331" i="49"/>
  <c r="Q330" i="49"/>
  <c r="O330" i="49"/>
  <c r="Q329" i="49"/>
  <c r="O329" i="49"/>
  <c r="Q328" i="49"/>
  <c r="O328" i="49"/>
  <c r="Q327" i="49"/>
  <c r="O327" i="49"/>
  <c r="Q326" i="49"/>
  <c r="O326" i="49"/>
  <c r="Q325" i="49"/>
  <c r="O325" i="49"/>
  <c r="Q324" i="49"/>
  <c r="O324" i="49"/>
  <c r="Q323" i="49"/>
  <c r="O323" i="49"/>
  <c r="Q322" i="49"/>
  <c r="O322" i="49"/>
  <c r="Q321" i="49"/>
  <c r="O321" i="49"/>
  <c r="Q320" i="49"/>
  <c r="O320" i="49"/>
  <c r="Q319" i="49"/>
  <c r="O319" i="49"/>
  <c r="Q318" i="49"/>
  <c r="O318" i="49"/>
  <c r="Q317" i="49"/>
  <c r="O317" i="49"/>
  <c r="Q316" i="49"/>
  <c r="O316" i="49"/>
  <c r="Q315" i="49"/>
  <c r="O315" i="49"/>
  <c r="Q314" i="49"/>
  <c r="O314" i="49"/>
  <c r="Q313" i="49"/>
  <c r="O313" i="49"/>
  <c r="Q312" i="49"/>
  <c r="O312" i="49"/>
  <c r="Q311" i="49"/>
  <c r="O311" i="49"/>
  <c r="Q310" i="49"/>
  <c r="O310" i="49"/>
  <c r="Q309" i="49"/>
  <c r="O309" i="49"/>
  <c r="Q308" i="49"/>
  <c r="O308" i="49"/>
  <c r="Q307" i="49"/>
  <c r="O307" i="49"/>
  <c r="Q306" i="49"/>
  <c r="R306" i="49" s="1"/>
  <c r="O306" i="49"/>
  <c r="S306" i="49" s="1"/>
  <c r="Q305" i="49"/>
  <c r="O305" i="49"/>
  <c r="Q304" i="49"/>
  <c r="O304" i="49"/>
  <c r="Q303" i="49"/>
  <c r="O303" i="49"/>
  <c r="Q302" i="49"/>
  <c r="O302" i="49"/>
  <c r="Q301" i="49"/>
  <c r="O301" i="49"/>
  <c r="Q300" i="49"/>
  <c r="O300" i="49"/>
  <c r="Q299" i="49"/>
  <c r="R299" i="49" s="1"/>
  <c r="O299" i="49"/>
  <c r="S299" i="49" s="1"/>
  <c r="Q298" i="49"/>
  <c r="O298" i="49"/>
  <c r="Q297" i="49"/>
  <c r="O297" i="49"/>
  <c r="Q296" i="49"/>
  <c r="O296" i="49"/>
  <c r="Q295" i="49"/>
  <c r="O295" i="49"/>
  <c r="Q294" i="49"/>
  <c r="O294" i="49"/>
  <c r="Q293" i="49"/>
  <c r="O293" i="49"/>
  <c r="Q292" i="49"/>
  <c r="O292" i="49"/>
  <c r="Q291" i="49"/>
  <c r="O291" i="49"/>
  <c r="Q290" i="49"/>
  <c r="O290" i="49"/>
  <c r="Q289" i="49"/>
  <c r="O289" i="49"/>
  <c r="Q288" i="49"/>
  <c r="O288" i="49"/>
  <c r="Q287" i="49"/>
  <c r="O287" i="49"/>
  <c r="Q286" i="49"/>
  <c r="O286" i="49"/>
  <c r="Q285" i="49"/>
  <c r="O285" i="49"/>
  <c r="Q284" i="49"/>
  <c r="O284" i="49"/>
  <c r="Q283" i="49"/>
  <c r="O283" i="49"/>
  <c r="Q282" i="49"/>
  <c r="O282" i="49"/>
  <c r="Q281" i="49"/>
  <c r="O281" i="49"/>
  <c r="Q280" i="49"/>
  <c r="O280" i="49"/>
  <c r="Q279" i="49"/>
  <c r="O279" i="49"/>
  <c r="Q278" i="49"/>
  <c r="O278" i="49"/>
  <c r="Q277" i="49"/>
  <c r="O277" i="49"/>
  <c r="Q276" i="49"/>
  <c r="O276" i="49"/>
  <c r="Q275" i="49"/>
  <c r="O275" i="49"/>
  <c r="Q274" i="49"/>
  <c r="O274" i="49"/>
  <c r="Q273" i="49"/>
  <c r="O273" i="49"/>
  <c r="Q272" i="49"/>
  <c r="R272" i="49" s="1"/>
  <c r="O272" i="49"/>
  <c r="S272" i="49" s="1"/>
  <c r="Q271" i="49"/>
  <c r="R271" i="49" s="1"/>
  <c r="O271" i="49"/>
  <c r="S271" i="49" s="1"/>
  <c r="Q270" i="49"/>
  <c r="O270" i="49"/>
  <c r="Q269" i="49"/>
  <c r="O269" i="49"/>
  <c r="Q268" i="49"/>
  <c r="O268" i="49"/>
  <c r="Q267" i="49"/>
  <c r="O267" i="49"/>
  <c r="Q266" i="49"/>
  <c r="O266" i="49"/>
  <c r="Q265" i="49"/>
  <c r="O265" i="49"/>
  <c r="Q264" i="49"/>
  <c r="O264" i="49"/>
  <c r="Q263" i="49"/>
  <c r="O263" i="49"/>
  <c r="Q262" i="49"/>
  <c r="O262" i="49"/>
  <c r="Q261" i="49"/>
  <c r="O261" i="49"/>
  <c r="Q260" i="49"/>
  <c r="O260" i="49"/>
  <c r="Q259" i="49"/>
  <c r="O259" i="49"/>
  <c r="Q258" i="49"/>
  <c r="O258" i="49"/>
  <c r="Q257" i="49"/>
  <c r="O257" i="49"/>
  <c r="Q256" i="49"/>
  <c r="O256" i="49"/>
  <c r="Q255" i="49"/>
  <c r="O255" i="49"/>
  <c r="Q254" i="49"/>
  <c r="O254" i="49"/>
  <c r="Q253" i="49"/>
  <c r="O253" i="49"/>
  <c r="Q252" i="49"/>
  <c r="O252" i="49"/>
  <c r="Q251" i="49"/>
  <c r="O251" i="49"/>
  <c r="Q250" i="49"/>
  <c r="O250" i="49"/>
  <c r="Q249" i="49"/>
  <c r="O249" i="49"/>
  <c r="Q248" i="49"/>
  <c r="O248" i="49"/>
  <c r="Q247" i="49"/>
  <c r="O247" i="49"/>
  <c r="Q246" i="49"/>
  <c r="O246" i="49"/>
  <c r="Q245" i="49"/>
  <c r="O245" i="49"/>
  <c r="Q244" i="49"/>
  <c r="O244" i="49"/>
  <c r="Q243" i="49"/>
  <c r="O243" i="49"/>
  <c r="Q242" i="49"/>
  <c r="O242" i="49"/>
  <c r="Q241" i="49"/>
  <c r="O241" i="49"/>
  <c r="Q240" i="49"/>
  <c r="O240" i="49"/>
  <c r="Q239" i="49"/>
  <c r="O239" i="49"/>
  <c r="Q238" i="49"/>
  <c r="O238" i="49"/>
  <c r="Q237" i="49"/>
  <c r="O237" i="49"/>
  <c r="Q236" i="49"/>
  <c r="O236" i="49"/>
  <c r="Q235" i="49"/>
  <c r="O235" i="49"/>
  <c r="Q234" i="49"/>
  <c r="O234" i="49"/>
  <c r="Q233" i="49"/>
  <c r="O233" i="49"/>
  <c r="Q232" i="49"/>
  <c r="O232" i="49"/>
  <c r="Q231" i="49"/>
  <c r="O231" i="49"/>
  <c r="Q230" i="49"/>
  <c r="O230" i="49"/>
  <c r="Q229" i="49"/>
  <c r="O229" i="49"/>
  <c r="Q228" i="49"/>
  <c r="R228" i="49" s="1"/>
  <c r="O228" i="49"/>
  <c r="S228" i="49" s="1"/>
  <c r="Q227" i="49"/>
  <c r="O227" i="49"/>
  <c r="Q226" i="49"/>
  <c r="O226" i="49"/>
  <c r="Q225" i="49"/>
  <c r="O225" i="49"/>
  <c r="Q224" i="49"/>
  <c r="O224" i="49"/>
  <c r="Q223" i="49"/>
  <c r="O223" i="49"/>
  <c r="Q222" i="49"/>
  <c r="O222" i="49"/>
  <c r="Q221" i="49"/>
  <c r="O221" i="49"/>
  <c r="Q220" i="49"/>
  <c r="R220" i="49" s="1"/>
  <c r="O220" i="49"/>
  <c r="S220" i="49" s="1"/>
  <c r="Q219" i="49"/>
  <c r="O219" i="49"/>
  <c r="Q218" i="49"/>
  <c r="O218" i="49"/>
  <c r="Q217" i="49"/>
  <c r="O217" i="49"/>
  <c r="Q216" i="49"/>
  <c r="R216" i="49" s="1"/>
  <c r="O216" i="49"/>
  <c r="S216" i="49" s="1"/>
  <c r="Q215" i="49"/>
  <c r="R215" i="49" s="1"/>
  <c r="O215" i="49"/>
  <c r="S215" i="49" s="1"/>
  <c r="Q214" i="49"/>
  <c r="O214" i="49"/>
  <c r="Q213" i="49"/>
  <c r="O213" i="49"/>
  <c r="Q212" i="49"/>
  <c r="O212" i="49"/>
  <c r="Q211" i="49"/>
  <c r="O211" i="49"/>
  <c r="Q210" i="49"/>
  <c r="O210" i="49"/>
  <c r="Q209" i="49"/>
  <c r="O209" i="49"/>
  <c r="Q208" i="49"/>
  <c r="O208" i="49"/>
  <c r="Q207" i="49"/>
  <c r="R207" i="49" s="1"/>
  <c r="O207" i="49"/>
  <c r="S207" i="49" s="1"/>
  <c r="Q206" i="49"/>
  <c r="O206" i="49"/>
  <c r="Q205" i="49"/>
  <c r="O205" i="49"/>
  <c r="Q204" i="49"/>
  <c r="O204" i="49"/>
  <c r="Q203" i="49"/>
  <c r="O203" i="49"/>
  <c r="Q202" i="49"/>
  <c r="R202" i="49" s="1"/>
  <c r="O202" i="49"/>
  <c r="S202" i="49" s="1"/>
  <c r="Q201" i="49"/>
  <c r="R201" i="49" s="1"/>
  <c r="O201" i="49"/>
  <c r="S201" i="49" s="1"/>
  <c r="Q200" i="49"/>
  <c r="R200" i="49" s="1"/>
  <c r="O200" i="49"/>
  <c r="S200" i="49" s="1"/>
  <c r="Q199" i="49"/>
  <c r="O199" i="49"/>
  <c r="Q198" i="49"/>
  <c r="O198" i="49"/>
  <c r="Q197" i="49"/>
  <c r="O197" i="49"/>
  <c r="Q196" i="49"/>
  <c r="O196" i="49"/>
  <c r="Q195" i="49"/>
  <c r="R195" i="49" s="1"/>
  <c r="O195" i="49"/>
  <c r="S195" i="49" s="1"/>
  <c r="Q194" i="49"/>
  <c r="O194" i="49"/>
  <c r="Q193" i="49"/>
  <c r="O193" i="49"/>
  <c r="Q192" i="49"/>
  <c r="O192" i="49"/>
  <c r="Q191" i="49"/>
  <c r="O191" i="49"/>
  <c r="Q190" i="49"/>
  <c r="O190" i="49"/>
  <c r="Q189" i="49"/>
  <c r="O189" i="49"/>
  <c r="Q188" i="49"/>
  <c r="O188" i="49"/>
  <c r="Q187" i="49"/>
  <c r="O187" i="49"/>
  <c r="Q186" i="49"/>
  <c r="O186" i="49"/>
  <c r="Q185" i="49"/>
  <c r="O185" i="49"/>
  <c r="Q184" i="49"/>
  <c r="O184" i="49"/>
  <c r="Q183" i="49"/>
  <c r="O183" i="49"/>
  <c r="Q182" i="49"/>
  <c r="O182" i="49"/>
  <c r="Q181" i="49"/>
  <c r="O181" i="49"/>
  <c r="Q180" i="49"/>
  <c r="O180" i="49"/>
  <c r="Q179" i="49"/>
  <c r="O179" i="49"/>
  <c r="Q178" i="49"/>
  <c r="O178" i="49"/>
  <c r="Q177" i="49"/>
  <c r="O177" i="49"/>
  <c r="Q176" i="49"/>
  <c r="O176" i="49"/>
  <c r="Q175" i="49"/>
  <c r="O175" i="49"/>
  <c r="Q174" i="49"/>
  <c r="O174" i="49"/>
  <c r="Q173" i="49"/>
  <c r="O173" i="49"/>
  <c r="Q172" i="49"/>
  <c r="O172" i="49"/>
  <c r="Q171" i="49"/>
  <c r="O171" i="49"/>
  <c r="Q170" i="49"/>
  <c r="O170" i="49"/>
  <c r="Q169" i="49"/>
  <c r="O169" i="49"/>
  <c r="Q168" i="49"/>
  <c r="O168" i="49"/>
  <c r="Q167" i="49"/>
  <c r="O167" i="49"/>
  <c r="Q166" i="49"/>
  <c r="R166" i="49" s="1"/>
  <c r="O166" i="49"/>
  <c r="S166" i="49" s="1"/>
  <c r="Q165" i="49"/>
  <c r="O165" i="49"/>
  <c r="Q164" i="49"/>
  <c r="O164" i="49"/>
  <c r="Q163" i="49"/>
  <c r="R163" i="49" s="1"/>
  <c r="O163" i="49"/>
  <c r="S163" i="49" s="1"/>
  <c r="Q162" i="49"/>
  <c r="O162" i="49"/>
  <c r="Q161" i="49"/>
  <c r="R161" i="49" s="1"/>
  <c r="O161" i="49"/>
  <c r="S161" i="49" s="1"/>
  <c r="Q160" i="49"/>
  <c r="O160" i="49"/>
  <c r="Q159" i="49"/>
  <c r="R159" i="49" s="1"/>
  <c r="O159" i="49"/>
  <c r="S159" i="49" s="1"/>
  <c r="Q158" i="49"/>
  <c r="O158" i="49"/>
  <c r="Q157" i="49"/>
  <c r="R157" i="49" s="1"/>
  <c r="O157" i="49"/>
  <c r="S157" i="49" s="1"/>
  <c r="Q156" i="49"/>
  <c r="O156" i="49"/>
  <c r="Q155" i="49"/>
  <c r="O155" i="49"/>
  <c r="Q154" i="49"/>
  <c r="R154" i="49" s="1"/>
  <c r="O154" i="49"/>
  <c r="Q153" i="49"/>
  <c r="R153" i="49" s="1"/>
  <c r="O153" i="49"/>
  <c r="S153" i="49" s="1"/>
  <c r="Q152" i="49"/>
  <c r="O152" i="49"/>
  <c r="Q151" i="49"/>
  <c r="O151" i="49"/>
  <c r="Q150" i="49"/>
  <c r="O150" i="49"/>
  <c r="Q149" i="49"/>
  <c r="O149" i="49"/>
  <c r="Q148" i="49"/>
  <c r="O148" i="49"/>
  <c r="Q147" i="49"/>
  <c r="O147" i="49"/>
  <c r="Q146" i="49"/>
  <c r="R146" i="49" s="1"/>
  <c r="O146" i="49"/>
  <c r="S146" i="49" s="1"/>
  <c r="Q145" i="49"/>
  <c r="R145" i="49" s="1"/>
  <c r="O145" i="49"/>
  <c r="S145" i="49" s="1"/>
  <c r="Q144" i="49"/>
  <c r="O144" i="49"/>
  <c r="Q143" i="49"/>
  <c r="R143" i="49" s="1"/>
  <c r="O143" i="49"/>
  <c r="S143" i="49" s="1"/>
  <c r="Q142" i="49"/>
  <c r="O142" i="49"/>
  <c r="Q141" i="49"/>
  <c r="R141" i="49" s="1"/>
  <c r="O141" i="49"/>
  <c r="Q140" i="49"/>
  <c r="O140" i="49"/>
  <c r="Q139" i="49"/>
  <c r="O139" i="49"/>
  <c r="Q138" i="49"/>
  <c r="O138" i="49"/>
  <c r="Q137" i="49"/>
  <c r="R137" i="49" s="1"/>
  <c r="O137" i="49"/>
  <c r="S137" i="49" s="1"/>
  <c r="Q136" i="49"/>
  <c r="O136" i="49"/>
  <c r="Q135" i="49"/>
  <c r="R135" i="49" s="1"/>
  <c r="O135" i="49"/>
  <c r="Q134" i="49"/>
  <c r="R134" i="49" s="1"/>
  <c r="O134" i="49"/>
  <c r="S134" i="49" s="1"/>
  <c r="Q133" i="49"/>
  <c r="O133" i="49"/>
  <c r="Q132" i="49"/>
  <c r="O132" i="49"/>
  <c r="Q131" i="49"/>
  <c r="R131" i="49" s="1"/>
  <c r="O131" i="49"/>
  <c r="S131" i="49" s="1"/>
  <c r="Q130" i="49"/>
  <c r="O130" i="49"/>
  <c r="Q129" i="49"/>
  <c r="O129" i="49"/>
  <c r="Q128" i="49"/>
  <c r="R128" i="49" s="1"/>
  <c r="O128" i="49"/>
  <c r="S128" i="49" s="1"/>
  <c r="Q127" i="49"/>
  <c r="R127" i="49" s="1"/>
  <c r="O127" i="49"/>
  <c r="S127" i="49" s="1"/>
  <c r="Q126" i="49"/>
  <c r="O126" i="49"/>
  <c r="Q125" i="49"/>
  <c r="R125" i="49" s="1"/>
  <c r="O125" i="49"/>
  <c r="S125" i="49" s="1"/>
  <c r="Q124" i="49"/>
  <c r="R124" i="49" s="1"/>
  <c r="O124" i="49"/>
  <c r="S124" i="49" s="1"/>
  <c r="Q123" i="49"/>
  <c r="O123" i="49"/>
  <c r="Q122" i="49"/>
  <c r="O122" i="49"/>
  <c r="Q121" i="49"/>
  <c r="O121" i="49"/>
  <c r="Q120" i="49"/>
  <c r="O120" i="49"/>
  <c r="Q119" i="49"/>
  <c r="O119" i="49"/>
  <c r="Q118" i="49"/>
  <c r="O118" i="49"/>
  <c r="Q117" i="49"/>
  <c r="O117" i="49"/>
  <c r="Q116" i="49"/>
  <c r="O116" i="49"/>
  <c r="Q115" i="49"/>
  <c r="O115" i="49"/>
  <c r="Q114" i="49"/>
  <c r="O114" i="49"/>
  <c r="Q113" i="49"/>
  <c r="R113" i="49" s="1"/>
  <c r="O113" i="49"/>
  <c r="S113" i="49" s="1"/>
  <c r="Q112" i="49"/>
  <c r="R112" i="49" s="1"/>
  <c r="O112" i="49"/>
  <c r="Q111" i="49"/>
  <c r="R111" i="49" s="1"/>
  <c r="O111" i="49"/>
  <c r="S111" i="49" s="1"/>
  <c r="Q110" i="49"/>
  <c r="R110" i="49" s="1"/>
  <c r="O110" i="49"/>
  <c r="S110" i="49" s="1"/>
  <c r="Q109" i="49"/>
  <c r="R109" i="49" s="1"/>
  <c r="O109" i="49"/>
  <c r="S109" i="49" s="1"/>
  <c r="Q108" i="49"/>
  <c r="O108" i="49"/>
  <c r="Q107" i="49"/>
  <c r="O107" i="49"/>
  <c r="Q106" i="49"/>
  <c r="R106" i="49" s="1"/>
  <c r="O106" i="49"/>
  <c r="S106" i="49" s="1"/>
  <c r="Q105" i="49"/>
  <c r="R105" i="49" s="1"/>
  <c r="O105" i="49"/>
  <c r="S105" i="49" s="1"/>
  <c r="Q104" i="49"/>
  <c r="O104" i="49"/>
  <c r="Q103" i="49"/>
  <c r="R103" i="49" s="1"/>
  <c r="O103" i="49"/>
  <c r="S103" i="49" s="1"/>
  <c r="Q102" i="49"/>
  <c r="R102" i="49" s="1"/>
  <c r="O102" i="49"/>
  <c r="S102" i="49" s="1"/>
  <c r="Q101" i="49"/>
  <c r="R101" i="49" s="1"/>
  <c r="O101" i="49"/>
  <c r="S101" i="49" s="1"/>
  <c r="Q100" i="49"/>
  <c r="R100" i="49" s="1"/>
  <c r="O100" i="49"/>
  <c r="Q99" i="49"/>
  <c r="R99" i="49" s="1"/>
  <c r="O99" i="49"/>
  <c r="S99" i="49" s="1"/>
  <c r="Q98" i="49"/>
  <c r="O98" i="49"/>
  <c r="Q97" i="49"/>
  <c r="O97" i="49"/>
  <c r="Q96" i="49"/>
  <c r="R96" i="49" s="1"/>
  <c r="O96" i="49"/>
  <c r="S96" i="49" s="1"/>
  <c r="Q95" i="49"/>
  <c r="R95" i="49" s="1"/>
  <c r="O95" i="49"/>
  <c r="S95" i="49" s="1"/>
  <c r="Q94" i="49"/>
  <c r="O94" i="49"/>
  <c r="Q93" i="49"/>
  <c r="O93" i="49"/>
  <c r="Q92" i="49"/>
  <c r="R92" i="49" s="1"/>
  <c r="O92" i="49"/>
  <c r="S92" i="49" s="1"/>
  <c r="Q91" i="49"/>
  <c r="R91" i="49" s="1"/>
  <c r="O91" i="49"/>
  <c r="S91" i="49" s="1"/>
  <c r="Q90" i="49"/>
  <c r="O90" i="49"/>
  <c r="Q89" i="49"/>
  <c r="R89" i="49" s="1"/>
  <c r="O89" i="49"/>
  <c r="S89" i="49" s="1"/>
  <c r="Q88" i="49"/>
  <c r="R88" i="49" s="1"/>
  <c r="O88" i="49"/>
  <c r="S88" i="49" s="1"/>
  <c r="Q87" i="49"/>
  <c r="O87" i="49"/>
  <c r="Q86" i="49"/>
  <c r="R86" i="49" s="1"/>
  <c r="O86" i="49"/>
  <c r="S86" i="49" s="1"/>
  <c r="Q85" i="49"/>
  <c r="R85" i="49" s="1"/>
  <c r="O85" i="49"/>
  <c r="S85" i="49" s="1"/>
  <c r="Q84" i="49"/>
  <c r="R84" i="49" s="1"/>
  <c r="O84" i="49"/>
  <c r="S84" i="49" s="1"/>
  <c r="Q83" i="49"/>
  <c r="R83" i="49" s="1"/>
  <c r="O83" i="49"/>
  <c r="S83" i="49" s="1"/>
  <c r="Q82" i="49"/>
  <c r="R82" i="49" s="1"/>
  <c r="O82" i="49"/>
  <c r="S82" i="49" s="1"/>
  <c r="Q81" i="49"/>
  <c r="R81" i="49" s="1"/>
  <c r="O81" i="49"/>
  <c r="S81" i="49" s="1"/>
  <c r="Q80" i="49"/>
  <c r="R80" i="49" s="1"/>
  <c r="O80" i="49"/>
  <c r="S80" i="49" s="1"/>
  <c r="Q79" i="49"/>
  <c r="R79" i="49" s="1"/>
  <c r="O79" i="49"/>
  <c r="Q78" i="49"/>
  <c r="R78" i="49" s="1"/>
  <c r="O78" i="49"/>
  <c r="S78" i="49" s="1"/>
  <c r="Q77" i="49"/>
  <c r="R77" i="49" s="1"/>
  <c r="O77" i="49"/>
  <c r="S77" i="49" s="1"/>
  <c r="Q76" i="49"/>
  <c r="R76" i="49" s="1"/>
  <c r="O76" i="49"/>
  <c r="S76" i="49" s="1"/>
  <c r="Q75" i="49"/>
  <c r="R75" i="49" s="1"/>
  <c r="O75" i="49"/>
  <c r="Q73" i="49"/>
  <c r="R73" i="49" s="1"/>
  <c r="O73" i="49"/>
  <c r="S73" i="49" s="1"/>
  <c r="Q72" i="49"/>
  <c r="R72" i="49" s="1"/>
  <c r="O72" i="49"/>
  <c r="Q71" i="49"/>
  <c r="R71" i="49" s="1"/>
  <c r="O71" i="49"/>
  <c r="S71" i="49" s="1"/>
  <c r="Q70" i="49"/>
  <c r="R70" i="49" s="1"/>
  <c r="O70" i="49"/>
  <c r="Q69" i="49"/>
  <c r="R69" i="49" s="1"/>
  <c r="O69" i="49"/>
  <c r="S69" i="49" s="1"/>
  <c r="Q68" i="49"/>
  <c r="R68" i="49" s="1"/>
  <c r="O68" i="49"/>
  <c r="S68" i="49" s="1"/>
  <c r="Q67" i="49"/>
  <c r="R67" i="49" s="1"/>
  <c r="O67" i="49"/>
  <c r="S67" i="49" s="1"/>
  <c r="Q66" i="49"/>
  <c r="R66" i="49" s="1"/>
  <c r="O66" i="49"/>
  <c r="S66" i="49" s="1"/>
  <c r="Q65" i="49"/>
  <c r="R65" i="49" s="1"/>
  <c r="O65" i="49"/>
  <c r="S65" i="49" s="1"/>
  <c r="Q64" i="49"/>
  <c r="R64" i="49" s="1"/>
  <c r="O64" i="49"/>
  <c r="S64" i="49" s="1"/>
  <c r="Q63" i="49"/>
  <c r="R63" i="49" s="1"/>
  <c r="O63" i="49"/>
  <c r="S63" i="49" s="1"/>
  <c r="Q62" i="49"/>
  <c r="R62" i="49" s="1"/>
  <c r="O62" i="49"/>
  <c r="S62" i="49" s="1"/>
  <c r="Q61" i="49"/>
  <c r="R61" i="49" s="1"/>
  <c r="O61" i="49"/>
  <c r="Q60" i="49"/>
  <c r="R60" i="49" s="1"/>
  <c r="O60" i="49"/>
  <c r="S60" i="49" s="1"/>
  <c r="Q59" i="49"/>
  <c r="R59" i="49" s="1"/>
  <c r="O59" i="49"/>
  <c r="S59" i="49" s="1"/>
  <c r="Q58" i="49"/>
  <c r="R58" i="49" s="1"/>
  <c r="O58" i="49"/>
  <c r="S58" i="49" s="1"/>
  <c r="Q57" i="49"/>
  <c r="R57" i="49" s="1"/>
  <c r="O57" i="49"/>
  <c r="Q56" i="49"/>
  <c r="R56" i="49" s="1"/>
  <c r="O56" i="49"/>
  <c r="S56" i="49" s="1"/>
  <c r="Q55" i="49"/>
  <c r="R55" i="49" s="1"/>
  <c r="O55" i="49"/>
  <c r="S55" i="49" s="1"/>
  <c r="Q54" i="49"/>
  <c r="R54" i="49" s="1"/>
  <c r="O54" i="49"/>
  <c r="S54" i="49" s="1"/>
  <c r="Q53" i="49"/>
  <c r="R53" i="49" s="1"/>
  <c r="O53" i="49"/>
  <c r="S53" i="49" s="1"/>
  <c r="Q52" i="49"/>
  <c r="R52" i="49" s="1"/>
  <c r="O52" i="49"/>
  <c r="S52" i="49" s="1"/>
  <c r="Q51" i="49"/>
  <c r="R51" i="49" s="1"/>
  <c r="O51" i="49"/>
  <c r="S51" i="49" s="1"/>
  <c r="Q50" i="49"/>
  <c r="R50" i="49" s="1"/>
  <c r="O50" i="49"/>
  <c r="S50" i="49" s="1"/>
  <c r="Q49" i="49"/>
  <c r="R49" i="49" s="1"/>
  <c r="O49" i="49"/>
  <c r="S49" i="49" s="1"/>
  <c r="Q48" i="49"/>
  <c r="R48" i="49" s="1"/>
  <c r="O48" i="49"/>
  <c r="S48" i="49" s="1"/>
  <c r="Q47" i="49"/>
  <c r="R47" i="49" s="1"/>
  <c r="O47" i="49"/>
  <c r="S47" i="49" s="1"/>
  <c r="Q46" i="49"/>
  <c r="R46" i="49" s="1"/>
  <c r="O46" i="49"/>
  <c r="S46" i="49" s="1"/>
  <c r="Q45" i="49"/>
  <c r="R45" i="49" s="1"/>
  <c r="O45" i="49"/>
  <c r="S45" i="49" s="1"/>
  <c r="Q44" i="49"/>
  <c r="R44" i="49" s="1"/>
  <c r="O44" i="49"/>
  <c r="S44" i="49" s="1"/>
  <c r="Q43" i="49"/>
  <c r="R43" i="49" s="1"/>
  <c r="O43" i="49"/>
  <c r="S43" i="49" s="1"/>
  <c r="Q42" i="49"/>
  <c r="R42" i="49" s="1"/>
  <c r="O42" i="49"/>
  <c r="S42" i="49" s="1"/>
  <c r="Q41" i="49"/>
  <c r="R41" i="49" s="1"/>
  <c r="O41" i="49"/>
  <c r="S41" i="49" s="1"/>
  <c r="Q40" i="49"/>
  <c r="R40" i="49" s="1"/>
  <c r="O40" i="49"/>
  <c r="S40" i="49" s="1"/>
  <c r="Q39" i="49"/>
  <c r="R39" i="49" s="1"/>
  <c r="O39" i="49"/>
  <c r="S39" i="49" s="1"/>
  <c r="Q38" i="49"/>
  <c r="R38" i="49" s="1"/>
  <c r="O38" i="49"/>
  <c r="S38" i="49" s="1"/>
  <c r="Q37" i="49"/>
  <c r="R37" i="49" s="1"/>
  <c r="O37" i="49"/>
  <c r="S37" i="49" s="1"/>
  <c r="Q36" i="49"/>
  <c r="R36" i="49" s="1"/>
  <c r="O36" i="49"/>
  <c r="S36" i="49" s="1"/>
  <c r="Q35" i="49"/>
  <c r="R35" i="49" s="1"/>
  <c r="O35" i="49"/>
  <c r="S35" i="49" s="1"/>
  <c r="Q34" i="49"/>
  <c r="R34" i="49" s="1"/>
  <c r="O34" i="49"/>
  <c r="S34" i="49" s="1"/>
  <c r="Q33" i="49"/>
  <c r="R33" i="49" s="1"/>
  <c r="O33" i="49"/>
  <c r="S33" i="49" s="1"/>
  <c r="Q32" i="49"/>
  <c r="R32" i="49" s="1"/>
  <c r="O32" i="49"/>
  <c r="S32" i="49" s="1"/>
  <c r="Q31" i="49"/>
  <c r="R31" i="49" s="1"/>
  <c r="O31" i="49"/>
  <c r="S31" i="49" s="1"/>
  <c r="Q30" i="49"/>
  <c r="R30" i="49" s="1"/>
  <c r="O30" i="49"/>
  <c r="S30" i="49" s="1"/>
  <c r="P20" i="54"/>
  <c r="S20" i="54" s="1"/>
  <c r="P19" i="54"/>
  <c r="S19" i="54" s="1"/>
  <c r="P18" i="54"/>
  <c r="S18" i="54" s="1"/>
  <c r="P17" i="54"/>
  <c r="S17" i="54" s="1"/>
  <c r="P16" i="54"/>
  <c r="S16" i="54" s="1"/>
  <c r="P15" i="54"/>
  <c r="S15" i="54" s="1"/>
  <c r="P14" i="54"/>
  <c r="S14" i="54" s="1"/>
  <c r="P13" i="54"/>
  <c r="S13" i="54" s="1"/>
  <c r="P12" i="54"/>
  <c r="S12" i="54" s="1"/>
  <c r="P11" i="54"/>
  <c r="S11" i="54" s="1"/>
  <c r="P10" i="54"/>
  <c r="S10" i="54" s="1"/>
  <c r="P9" i="54"/>
  <c r="S9" i="54" s="1"/>
  <c r="AO5" i="58"/>
  <c r="AO10" i="58"/>
  <c r="O11" i="58"/>
  <c r="P11" i="58" s="1"/>
  <c r="Q11" i="58"/>
  <c r="R11" i="58"/>
  <c r="AO11" i="58"/>
  <c r="O12" i="58"/>
  <c r="S12" i="58" s="1"/>
  <c r="Q12" i="58"/>
  <c r="R12" i="58"/>
  <c r="AO12" i="58"/>
  <c r="M13" i="58"/>
  <c r="O13" i="58"/>
  <c r="P13" i="58" s="1"/>
  <c r="Q13" i="58"/>
  <c r="R13" i="58"/>
  <c r="AO13" i="58"/>
  <c r="O14" i="58"/>
  <c r="S14" i="58" s="1"/>
  <c r="Q14" i="58"/>
  <c r="R14" i="58"/>
  <c r="AO14" i="58"/>
  <c r="O15" i="58"/>
  <c r="P15" i="58" s="1"/>
  <c r="Q15" i="58"/>
  <c r="R15" i="58"/>
  <c r="AO15" i="58"/>
  <c r="O16" i="58"/>
  <c r="P16" i="58" s="1"/>
  <c r="Q16" i="58"/>
  <c r="R16" i="58"/>
  <c r="AO16" i="58"/>
  <c r="O17" i="58"/>
  <c r="P17" i="58" s="1"/>
  <c r="Q17" i="58"/>
  <c r="R17" i="58" s="1"/>
  <c r="AO17" i="58"/>
  <c r="S3362" i="58"/>
  <c r="S3361" i="58"/>
  <c r="S3360" i="58"/>
  <c r="S3359" i="58"/>
  <c r="S3358" i="58"/>
  <c r="S3357" i="58"/>
  <c r="S3356" i="58"/>
  <c r="S3355" i="58"/>
  <c r="S3354" i="58"/>
  <c r="S3353" i="58"/>
  <c r="S3352" i="58"/>
  <c r="S3351" i="58"/>
  <c r="S3350" i="58"/>
  <c r="S3349" i="58"/>
  <c r="S3348" i="58"/>
  <c r="S3347" i="58"/>
  <c r="S3346" i="58"/>
  <c r="S3345" i="58"/>
  <c r="S3344" i="58"/>
  <c r="S3343" i="58"/>
  <c r="S3342" i="58"/>
  <c r="S3341" i="58"/>
  <c r="S3340" i="58"/>
  <c r="S3339" i="58"/>
  <c r="S3338" i="58"/>
  <c r="S3337" i="58"/>
  <c r="S3336" i="58"/>
  <c r="S3335" i="58"/>
  <c r="S3334" i="58"/>
  <c r="S3333" i="58"/>
  <c r="S3332" i="58"/>
  <c r="S3331" i="58"/>
  <c r="S3330" i="58"/>
  <c r="S3329" i="58"/>
  <c r="S3328" i="58"/>
  <c r="S3327" i="58"/>
  <c r="S3326" i="58"/>
  <c r="S3325" i="58"/>
  <c r="S3324" i="58"/>
  <c r="S3323" i="58"/>
  <c r="S3322" i="58"/>
  <c r="S3321" i="58"/>
  <c r="S3320" i="58"/>
  <c r="S3319" i="58"/>
  <c r="S3318" i="58"/>
  <c r="S3317" i="58"/>
  <c r="S3316" i="58"/>
  <c r="S3315" i="58"/>
  <c r="S3314" i="58"/>
  <c r="S3313" i="58"/>
  <c r="S3312" i="58"/>
  <c r="S3311" i="58"/>
  <c r="S3310" i="58"/>
  <c r="S3309" i="58"/>
  <c r="S3308" i="58"/>
  <c r="S3307" i="58"/>
  <c r="S3306" i="58"/>
  <c r="S3305" i="58"/>
  <c r="S3304" i="58"/>
  <c r="S3303" i="58"/>
  <c r="S3302" i="58"/>
  <c r="S3301" i="58"/>
  <c r="S3300" i="58"/>
  <c r="S3299" i="58"/>
  <c r="S3298" i="58"/>
  <c r="S3297" i="58"/>
  <c r="S3296" i="58"/>
  <c r="S3295" i="58"/>
  <c r="S3294" i="58"/>
  <c r="S3293" i="58"/>
  <c r="S3292" i="58"/>
  <c r="S3291" i="58"/>
  <c r="S3290" i="58"/>
  <c r="S3289" i="58"/>
  <c r="S3288" i="58"/>
  <c r="S3287" i="58"/>
  <c r="S3286" i="58"/>
  <c r="S3285" i="58"/>
  <c r="S3284" i="58"/>
  <c r="S3283" i="58"/>
  <c r="S3282" i="58"/>
  <c r="S3281" i="58"/>
  <c r="S3280" i="58"/>
  <c r="S3279" i="58"/>
  <c r="S3278" i="58"/>
  <c r="S3277" i="58"/>
  <c r="S3276" i="58"/>
  <c r="S3275" i="58"/>
  <c r="S3274" i="58"/>
  <c r="S3273" i="58"/>
  <c r="S3272" i="58"/>
  <c r="S3271" i="58"/>
  <c r="S3270" i="58"/>
  <c r="S3269" i="58"/>
  <c r="S3268" i="58"/>
  <c r="S3267" i="58"/>
  <c r="S3266" i="58"/>
  <c r="S3265" i="58"/>
  <c r="S3264" i="58"/>
  <c r="S3263" i="58"/>
  <c r="S3262" i="58"/>
  <c r="S3261" i="58"/>
  <c r="S3260" i="58"/>
  <c r="S3259" i="58"/>
  <c r="S3258" i="58"/>
  <c r="S3257" i="58"/>
  <c r="S3256" i="58"/>
  <c r="S3255" i="58"/>
  <c r="S3254" i="58"/>
  <c r="S3253" i="58"/>
  <c r="S3252" i="58"/>
  <c r="S3251" i="58"/>
  <c r="S3250" i="58"/>
  <c r="S3249" i="58"/>
  <c r="S3248" i="58"/>
  <c r="S3247" i="58"/>
  <c r="S3246" i="58"/>
  <c r="S3245" i="58"/>
  <c r="S3244" i="58"/>
  <c r="S3243" i="58"/>
  <c r="S3242" i="58"/>
  <c r="S3241" i="58"/>
  <c r="S3240" i="58"/>
  <c r="S3239" i="58"/>
  <c r="S3238" i="58"/>
  <c r="S3237" i="58"/>
  <c r="S3236" i="58"/>
  <c r="S3235" i="58"/>
  <c r="S3234" i="58"/>
  <c r="S3233" i="58"/>
  <c r="S3232" i="58"/>
  <c r="S3231" i="58"/>
  <c r="S3230" i="58"/>
  <c r="S3229" i="58"/>
  <c r="S3228" i="58"/>
  <c r="S3227" i="58"/>
  <c r="S3226" i="58"/>
  <c r="S3225" i="58"/>
  <c r="S3224" i="58"/>
  <c r="S3223" i="58"/>
  <c r="S3222" i="58"/>
  <c r="S3221" i="58"/>
  <c r="S3220" i="58"/>
  <c r="S3219" i="58"/>
  <c r="S3218" i="58"/>
  <c r="S3217" i="58"/>
  <c r="S3216" i="58"/>
  <c r="S3215" i="58"/>
  <c r="S3214" i="58"/>
  <c r="S3213" i="58"/>
  <c r="S3212" i="58"/>
  <c r="S3211" i="58"/>
  <c r="S3210" i="58"/>
  <c r="S3209" i="58"/>
  <c r="S3208" i="58"/>
  <c r="S3207" i="58"/>
  <c r="S3206" i="58"/>
  <c r="S3205" i="58"/>
  <c r="S3204" i="58"/>
  <c r="S3203" i="58"/>
  <c r="S3202" i="58"/>
  <c r="S3201" i="58"/>
  <c r="S3200" i="58"/>
  <c r="S3199" i="58"/>
  <c r="S3198" i="58"/>
  <c r="S3197" i="58"/>
  <c r="S3196" i="58"/>
  <c r="S3195" i="58"/>
  <c r="S3194" i="58"/>
  <c r="S3193" i="58"/>
  <c r="S3192" i="58"/>
  <c r="S3191" i="58"/>
  <c r="S3190" i="58"/>
  <c r="S3189" i="58"/>
  <c r="S3188" i="58"/>
  <c r="S3187" i="58"/>
  <c r="S3186" i="58"/>
  <c r="S3185" i="58"/>
  <c r="S3184" i="58"/>
  <c r="S3183" i="58"/>
  <c r="S3182" i="58"/>
  <c r="S3181" i="58"/>
  <c r="S3180" i="58"/>
  <c r="S3179" i="58"/>
  <c r="S3178" i="58"/>
  <c r="S3177" i="58"/>
  <c r="S3176" i="58"/>
  <c r="S3175" i="58"/>
  <c r="S3174" i="58"/>
  <c r="S3173" i="58"/>
  <c r="S3172" i="58"/>
  <c r="S3171" i="58"/>
  <c r="S3170" i="58"/>
  <c r="S3169" i="58"/>
  <c r="S3168" i="58"/>
  <c r="S3167" i="58"/>
  <c r="S3166" i="58"/>
  <c r="S3165" i="58"/>
  <c r="S3164" i="58"/>
  <c r="S3163" i="58"/>
  <c r="S3162" i="58"/>
  <c r="S3161" i="58"/>
  <c r="S3160" i="58"/>
  <c r="S3159" i="58"/>
  <c r="S3158" i="58"/>
  <c r="S3157" i="58"/>
  <c r="S3156" i="58"/>
  <c r="S3155" i="58"/>
  <c r="S3154" i="58"/>
  <c r="S3153" i="58"/>
  <c r="S3152" i="58"/>
  <c r="S3151" i="58"/>
  <c r="S3150" i="58"/>
  <c r="S3149" i="58"/>
  <c r="S3148" i="58"/>
  <c r="S3147" i="58"/>
  <c r="S3146" i="58"/>
  <c r="S3145" i="58"/>
  <c r="S3144" i="58"/>
  <c r="S3143" i="58"/>
  <c r="S3142" i="58"/>
  <c r="S3141" i="58"/>
  <c r="S3140" i="58"/>
  <c r="S3139" i="58"/>
  <c r="S3138" i="58"/>
  <c r="S3137" i="58"/>
  <c r="S3136" i="58"/>
  <c r="S3135" i="58"/>
  <c r="S3134" i="58"/>
  <c r="S3133" i="58"/>
  <c r="S3132" i="58"/>
  <c r="S3131" i="58"/>
  <c r="S3130" i="58"/>
  <c r="S3129" i="58"/>
  <c r="S3128" i="58"/>
  <c r="S3127" i="58"/>
  <c r="S3126" i="58"/>
  <c r="S3125" i="58"/>
  <c r="S3124" i="58"/>
  <c r="S3123" i="58"/>
  <c r="S3122" i="58"/>
  <c r="S3121" i="58"/>
  <c r="S3120" i="58"/>
  <c r="S3119" i="58"/>
  <c r="S3118" i="58"/>
  <c r="S3117" i="58"/>
  <c r="S3116" i="58"/>
  <c r="S3115" i="58"/>
  <c r="S3114" i="58"/>
  <c r="S3113" i="58"/>
  <c r="S3112" i="58"/>
  <c r="S3111" i="58"/>
  <c r="S3110" i="58"/>
  <c r="S3109" i="58"/>
  <c r="S3108" i="58"/>
  <c r="S3107" i="58"/>
  <c r="S3106" i="58"/>
  <c r="S3105" i="58"/>
  <c r="S3104" i="58"/>
  <c r="S3103" i="58"/>
  <c r="S3102" i="58"/>
  <c r="S3101" i="58"/>
  <c r="S3100" i="58"/>
  <c r="S3099" i="58"/>
  <c r="S3098" i="58"/>
  <c r="S3097" i="58"/>
  <c r="S3096" i="58"/>
  <c r="S3095" i="58"/>
  <c r="S3094" i="58"/>
  <c r="S3093" i="58"/>
  <c r="S3092" i="58"/>
  <c r="S3091" i="58"/>
  <c r="S3090" i="58"/>
  <c r="S3089" i="58"/>
  <c r="S3088" i="58"/>
  <c r="S3087" i="58"/>
  <c r="S3086" i="58"/>
  <c r="S3085" i="58"/>
  <c r="S3084" i="58"/>
  <c r="S3083" i="58"/>
  <c r="S3082" i="58"/>
  <c r="S3081" i="58"/>
  <c r="S3080" i="58"/>
  <c r="S3079" i="58"/>
  <c r="S3078" i="58"/>
  <c r="S3077" i="58"/>
  <c r="S3076" i="58"/>
  <c r="S3075" i="58"/>
  <c r="S3074" i="58"/>
  <c r="S3073" i="58"/>
  <c r="S3072" i="58"/>
  <c r="S3071" i="58"/>
  <c r="S3070" i="58"/>
  <c r="S3069" i="58"/>
  <c r="S3068" i="58"/>
  <c r="S3067" i="58"/>
  <c r="S3066" i="58"/>
  <c r="S3065" i="58"/>
  <c r="S3064" i="58"/>
  <c r="S3063" i="58"/>
  <c r="S3062" i="58"/>
  <c r="S3061" i="58"/>
  <c r="S3060" i="58"/>
  <c r="S3059" i="58"/>
  <c r="S3058" i="58"/>
  <c r="S3057" i="58"/>
  <c r="S3056" i="58"/>
  <c r="S3055" i="58"/>
  <c r="S3054" i="58"/>
  <c r="S3053" i="58"/>
  <c r="S3052" i="58"/>
  <c r="S3051" i="58"/>
  <c r="S3050" i="58"/>
  <c r="S3049" i="58"/>
  <c r="S3048" i="58"/>
  <c r="S3047" i="58"/>
  <c r="S3046" i="58"/>
  <c r="S3045" i="58"/>
  <c r="S3044" i="58"/>
  <c r="S3043" i="58"/>
  <c r="S3042" i="58"/>
  <c r="S3041" i="58"/>
  <c r="S3040" i="58"/>
  <c r="S3039" i="58"/>
  <c r="S3038" i="58"/>
  <c r="S3037" i="58"/>
  <c r="S3036" i="58"/>
  <c r="S3035" i="58"/>
  <c r="S3034" i="58"/>
  <c r="S3033" i="58"/>
  <c r="S3032" i="58"/>
  <c r="S3031" i="58"/>
  <c r="S3030" i="58"/>
  <c r="S3029" i="58"/>
  <c r="S3028" i="58"/>
  <c r="S3027" i="58"/>
  <c r="S3026" i="58"/>
  <c r="S3025" i="58"/>
  <c r="S3024" i="58"/>
  <c r="S3023" i="58"/>
  <c r="S3022" i="58"/>
  <c r="S3021" i="58"/>
  <c r="S3020" i="58"/>
  <c r="S3019" i="58"/>
  <c r="S3018" i="58"/>
  <c r="S3017" i="58"/>
  <c r="S3016" i="58"/>
  <c r="S3015" i="58"/>
  <c r="S3014" i="58"/>
  <c r="S3013" i="58"/>
  <c r="S3012" i="58"/>
  <c r="S3011" i="58"/>
  <c r="S3010" i="58"/>
  <c r="S3009" i="58"/>
  <c r="S3008" i="58"/>
  <c r="S3007" i="58"/>
  <c r="S3006" i="58"/>
  <c r="S3005" i="58"/>
  <c r="S3004" i="58"/>
  <c r="S3003" i="58"/>
  <c r="S3002" i="58"/>
  <c r="S3001" i="58"/>
  <c r="S3000" i="58"/>
  <c r="S2999" i="58"/>
  <c r="S2998" i="58"/>
  <c r="S2997" i="58"/>
  <c r="S2996" i="58"/>
  <c r="S2995" i="58"/>
  <c r="S2994" i="58"/>
  <c r="S2993" i="58"/>
  <c r="S2992" i="58"/>
  <c r="S2991" i="58"/>
  <c r="S2990" i="58"/>
  <c r="S2989" i="58"/>
  <c r="S2988" i="58"/>
  <c r="S2987" i="58"/>
  <c r="S2986" i="58"/>
  <c r="S2985" i="58"/>
  <c r="S2984" i="58"/>
  <c r="S2983" i="58"/>
  <c r="S2982" i="58"/>
  <c r="S2981" i="58"/>
  <c r="S2980" i="58"/>
  <c r="S2979" i="58"/>
  <c r="S2978" i="58"/>
  <c r="S2977" i="58"/>
  <c r="S2976" i="58"/>
  <c r="S2975" i="58"/>
  <c r="S2974" i="58"/>
  <c r="S2973" i="58"/>
  <c r="S2972" i="58"/>
  <c r="S2971" i="58"/>
  <c r="S2970" i="58"/>
  <c r="S2969" i="58"/>
  <c r="S2968" i="58"/>
  <c r="S2967" i="58"/>
  <c r="S2966" i="58"/>
  <c r="S2965" i="58"/>
  <c r="S2964" i="58"/>
  <c r="S2963" i="58"/>
  <c r="S2962" i="58"/>
  <c r="S2961" i="58"/>
  <c r="S2960" i="58"/>
  <c r="S2959" i="58"/>
  <c r="S2958" i="58"/>
  <c r="S2957" i="58"/>
  <c r="S2956" i="58"/>
  <c r="S2955" i="58"/>
  <c r="S2954" i="58"/>
  <c r="S2953" i="58"/>
  <c r="S2952" i="58"/>
  <c r="S2951" i="58"/>
  <c r="S2950" i="58"/>
  <c r="S2949" i="58"/>
  <c r="S2948" i="58"/>
  <c r="S2947" i="58"/>
  <c r="S2946" i="58"/>
  <c r="S2945" i="58"/>
  <c r="S2944" i="58"/>
  <c r="S2943" i="58"/>
  <c r="S2942" i="58"/>
  <c r="S2941" i="58"/>
  <c r="S2940" i="58"/>
  <c r="S2939" i="58"/>
  <c r="S2938" i="58"/>
  <c r="S2937" i="58"/>
  <c r="S2936" i="58"/>
  <c r="S2935" i="58"/>
  <c r="S2934" i="58"/>
  <c r="S2933" i="58"/>
  <c r="S2932" i="58"/>
  <c r="S2931" i="58"/>
  <c r="S2930" i="58"/>
  <c r="S2929" i="58"/>
  <c r="S2928" i="58"/>
  <c r="S2927" i="58"/>
  <c r="S2926" i="58"/>
  <c r="S2925" i="58"/>
  <c r="S2924" i="58"/>
  <c r="S2923" i="58"/>
  <c r="S2922" i="58"/>
  <c r="S2921" i="58"/>
  <c r="S2920" i="58"/>
  <c r="S2919" i="58"/>
  <c r="S2918" i="58"/>
  <c r="S2917" i="58"/>
  <c r="S2916" i="58"/>
  <c r="S2915" i="58"/>
  <c r="S2914" i="58"/>
  <c r="S2913" i="58"/>
  <c r="S2912" i="58"/>
  <c r="S2911" i="58"/>
  <c r="S2910" i="58"/>
  <c r="S2909" i="58"/>
  <c r="S2908" i="58"/>
  <c r="S2907" i="58"/>
  <c r="S2906" i="58"/>
  <c r="S2905" i="58"/>
  <c r="S2904" i="58"/>
  <c r="S2903" i="58"/>
  <c r="S2902" i="58"/>
  <c r="S2901" i="58"/>
  <c r="S2900" i="58"/>
  <c r="S2899" i="58"/>
  <c r="S2898" i="58"/>
  <c r="S2897" i="58"/>
  <c r="S2896" i="58"/>
  <c r="S2895" i="58"/>
  <c r="S2894" i="58"/>
  <c r="S2893" i="58"/>
  <c r="S2892" i="58"/>
  <c r="S2891" i="58"/>
  <c r="S2890" i="58"/>
  <c r="S2889" i="58"/>
  <c r="S2888" i="58"/>
  <c r="S2887" i="58"/>
  <c r="S2886" i="58"/>
  <c r="S2885" i="58"/>
  <c r="S2884" i="58"/>
  <c r="S2883" i="58"/>
  <c r="S2882" i="58"/>
  <c r="S2881" i="58"/>
  <c r="S2880" i="58"/>
  <c r="S2879" i="58"/>
  <c r="S2878" i="58"/>
  <c r="S2877" i="58"/>
  <c r="S2876" i="58"/>
  <c r="S2875" i="58"/>
  <c r="S2874" i="58"/>
  <c r="S2873" i="58"/>
  <c r="S2872" i="58"/>
  <c r="S2871" i="58"/>
  <c r="S2870" i="58"/>
  <c r="S2869" i="58"/>
  <c r="S2868" i="58"/>
  <c r="S2867" i="58"/>
  <c r="S2866" i="58"/>
  <c r="S2865" i="58"/>
  <c r="S2864" i="58"/>
  <c r="S2863" i="58"/>
  <c r="S2862" i="58"/>
  <c r="S2861" i="58"/>
  <c r="S2860" i="58"/>
  <c r="S2859" i="58"/>
  <c r="S2858" i="58"/>
  <c r="S2857" i="58"/>
  <c r="S2856" i="58"/>
  <c r="S2855" i="58"/>
  <c r="S2854" i="58"/>
  <c r="S2853" i="58"/>
  <c r="S2852" i="58"/>
  <c r="S2851" i="58"/>
  <c r="S2850" i="58"/>
  <c r="S2849" i="58"/>
  <c r="S2848" i="58"/>
  <c r="S2847" i="58"/>
  <c r="S2846" i="58"/>
  <c r="S2845" i="58"/>
  <c r="S2844" i="58"/>
  <c r="S2843" i="58"/>
  <c r="S2842" i="58"/>
  <c r="S2841" i="58"/>
  <c r="S2840" i="58"/>
  <c r="S2839" i="58"/>
  <c r="S2838" i="58"/>
  <c r="S2837" i="58"/>
  <c r="S2836" i="58"/>
  <c r="S2835" i="58"/>
  <c r="S2834" i="58"/>
  <c r="S2833" i="58"/>
  <c r="S2832" i="58"/>
  <c r="S2831" i="58"/>
  <c r="S2830" i="58"/>
  <c r="S2829" i="58"/>
  <c r="S2828" i="58"/>
  <c r="S2827" i="58"/>
  <c r="S2826" i="58"/>
  <c r="S2825" i="58"/>
  <c r="S2824" i="58"/>
  <c r="S2823" i="58"/>
  <c r="S2822" i="58"/>
  <c r="S2821" i="58"/>
  <c r="S2820" i="58"/>
  <c r="S2819" i="58"/>
  <c r="S2818" i="58"/>
  <c r="S2817" i="58"/>
  <c r="S2816" i="58"/>
  <c r="S2815" i="58"/>
  <c r="S2814" i="58"/>
  <c r="S2813" i="58"/>
  <c r="S2812" i="58"/>
  <c r="S2811" i="58"/>
  <c r="S2810" i="58"/>
  <c r="S2809" i="58"/>
  <c r="S2808" i="58"/>
  <c r="S2807" i="58"/>
  <c r="S2806" i="58"/>
  <c r="S2805" i="58"/>
  <c r="S2804" i="58"/>
  <c r="S2803" i="58"/>
  <c r="S2802" i="58"/>
  <c r="S2801" i="58"/>
  <c r="S2800" i="58"/>
  <c r="S2799" i="58"/>
  <c r="S2798" i="58"/>
  <c r="S2797" i="58"/>
  <c r="S2796" i="58"/>
  <c r="S2795" i="58"/>
  <c r="S2794" i="58"/>
  <c r="S2793" i="58"/>
  <c r="S2792" i="58"/>
  <c r="S2791" i="58"/>
  <c r="S2790" i="58"/>
  <c r="S2789" i="58"/>
  <c r="S2788" i="58"/>
  <c r="S2787" i="58"/>
  <c r="S2786" i="58"/>
  <c r="S2785" i="58"/>
  <c r="S2784" i="58"/>
  <c r="S2783" i="58"/>
  <c r="S2782" i="58"/>
  <c r="S2781" i="58"/>
  <c r="S2780" i="58"/>
  <c r="S2779" i="58"/>
  <c r="S2778" i="58"/>
  <c r="S2777" i="58"/>
  <c r="S2776" i="58"/>
  <c r="S2775" i="58"/>
  <c r="S2774" i="58"/>
  <c r="S2773" i="58"/>
  <c r="S2772" i="58"/>
  <c r="S2771" i="58"/>
  <c r="S2770" i="58"/>
  <c r="S2769" i="58"/>
  <c r="S2768" i="58"/>
  <c r="S2767" i="58"/>
  <c r="S2766" i="58"/>
  <c r="S2765" i="58"/>
  <c r="S2764" i="58"/>
  <c r="S2763" i="58"/>
  <c r="S2762" i="58"/>
  <c r="S2761" i="58"/>
  <c r="S2760" i="58"/>
  <c r="S2759" i="58"/>
  <c r="S2758" i="58"/>
  <c r="S2757" i="58"/>
  <c r="S2756" i="58"/>
  <c r="S2755" i="58"/>
  <c r="S2754" i="58"/>
  <c r="S2753" i="58"/>
  <c r="S2752" i="58"/>
  <c r="S2751" i="58"/>
  <c r="S2750" i="58"/>
  <c r="S2749" i="58"/>
  <c r="S2748" i="58"/>
  <c r="S2747" i="58"/>
  <c r="S2746" i="58"/>
  <c r="S2745" i="58"/>
  <c r="S2744" i="58"/>
  <c r="S2743" i="58"/>
  <c r="S2742" i="58"/>
  <c r="S2741" i="58"/>
  <c r="S2740" i="58"/>
  <c r="S2739" i="58"/>
  <c r="S2738" i="58"/>
  <c r="S2737" i="58"/>
  <c r="S2736" i="58"/>
  <c r="S2735" i="58"/>
  <c r="S2734" i="58"/>
  <c r="S2733" i="58"/>
  <c r="S2732" i="58"/>
  <c r="S2731" i="58"/>
  <c r="S2730" i="58"/>
  <c r="S2729" i="58"/>
  <c r="S2728" i="58"/>
  <c r="S2727" i="58"/>
  <c r="S2726" i="58"/>
  <c r="S2725" i="58"/>
  <c r="S2724" i="58"/>
  <c r="S2723" i="58"/>
  <c r="S2722" i="58"/>
  <c r="S2721" i="58"/>
  <c r="S2720" i="58"/>
  <c r="S2719" i="58"/>
  <c r="S2718" i="58"/>
  <c r="S2717" i="58"/>
  <c r="S2716" i="58"/>
  <c r="S2715" i="58"/>
  <c r="S2714" i="58"/>
  <c r="S2713" i="58"/>
  <c r="S2712" i="58"/>
  <c r="S2711" i="58"/>
  <c r="S2710" i="58"/>
  <c r="S2709" i="58"/>
  <c r="S2708" i="58"/>
  <c r="S2707" i="58"/>
  <c r="S2706" i="58"/>
  <c r="S2705" i="58"/>
  <c r="S2704" i="58"/>
  <c r="S2703" i="58"/>
  <c r="S2702" i="58"/>
  <c r="S2701" i="58"/>
  <c r="S2700" i="58"/>
  <c r="S2699" i="58"/>
  <c r="S2698" i="58"/>
  <c r="S2697" i="58"/>
  <c r="S2696" i="58"/>
  <c r="S2695" i="58"/>
  <c r="S2694" i="58"/>
  <c r="S2693" i="58"/>
  <c r="S2692" i="58"/>
  <c r="S2691" i="58"/>
  <c r="S2690" i="58"/>
  <c r="S2689" i="58"/>
  <c r="S2688" i="58"/>
  <c r="S2687" i="58"/>
  <c r="S2686" i="58"/>
  <c r="S2685" i="58"/>
  <c r="S2684" i="58"/>
  <c r="S2683" i="58"/>
  <c r="S2682" i="58"/>
  <c r="S2681" i="58"/>
  <c r="S2680" i="58"/>
  <c r="S2679" i="58"/>
  <c r="S2678" i="58"/>
  <c r="S2677" i="58"/>
  <c r="S2676" i="58"/>
  <c r="S2675" i="58"/>
  <c r="S2674" i="58"/>
  <c r="S2673" i="58"/>
  <c r="S2672" i="58"/>
  <c r="S2671" i="58"/>
  <c r="S2670" i="58"/>
  <c r="S2669" i="58"/>
  <c r="S2668" i="58"/>
  <c r="S2667" i="58"/>
  <c r="S2666" i="58"/>
  <c r="S2665" i="58"/>
  <c r="S2664" i="58"/>
  <c r="S2663" i="58"/>
  <c r="S2662" i="58"/>
  <c r="S2661" i="58"/>
  <c r="S2660" i="58"/>
  <c r="S2659" i="58"/>
  <c r="S2658" i="58"/>
  <c r="S2657" i="58"/>
  <c r="S2656" i="58"/>
  <c r="S2655" i="58"/>
  <c r="S2654" i="58"/>
  <c r="S2653" i="58"/>
  <c r="S2652" i="58"/>
  <c r="S2651" i="58"/>
  <c r="S2650" i="58"/>
  <c r="S2649" i="58"/>
  <c r="S2648" i="58"/>
  <c r="S2647" i="58"/>
  <c r="S2646" i="58"/>
  <c r="S2645" i="58"/>
  <c r="S2644" i="58"/>
  <c r="S2643" i="58"/>
  <c r="S2642" i="58"/>
  <c r="S2641" i="58"/>
  <c r="S2640" i="58"/>
  <c r="S2639" i="58"/>
  <c r="S2638" i="58"/>
  <c r="S2637" i="58"/>
  <c r="S2636" i="58"/>
  <c r="S2635" i="58"/>
  <c r="S2634" i="58"/>
  <c r="S2633" i="58"/>
  <c r="S2632" i="58"/>
  <c r="S2631" i="58"/>
  <c r="S2630" i="58"/>
  <c r="S2629" i="58"/>
  <c r="S2628" i="58"/>
  <c r="S2627" i="58"/>
  <c r="S2626" i="58"/>
  <c r="S2625" i="58"/>
  <c r="S2624" i="58"/>
  <c r="S2623" i="58"/>
  <c r="S2622" i="58"/>
  <c r="S2621" i="58"/>
  <c r="S2620" i="58"/>
  <c r="S2619" i="58"/>
  <c r="S2618" i="58"/>
  <c r="S2617" i="58"/>
  <c r="S2616" i="58"/>
  <c r="S2615" i="58"/>
  <c r="S2614" i="58"/>
  <c r="S2613" i="58"/>
  <c r="S2612" i="58"/>
  <c r="S2611" i="58"/>
  <c r="S2610" i="58"/>
  <c r="S2609" i="58"/>
  <c r="S2608" i="58"/>
  <c r="S2607" i="58"/>
  <c r="S2606" i="58"/>
  <c r="S2605" i="58"/>
  <c r="S2604" i="58"/>
  <c r="S2603" i="58"/>
  <c r="S2602" i="58"/>
  <c r="S2601" i="58"/>
  <c r="S2600" i="58"/>
  <c r="S2599" i="58"/>
  <c r="S2598" i="58"/>
  <c r="S2597" i="58"/>
  <c r="S2596" i="58"/>
  <c r="S2595" i="58"/>
  <c r="S2594" i="58"/>
  <c r="S2593" i="58"/>
  <c r="S2592" i="58"/>
  <c r="S2591" i="58"/>
  <c r="S2590" i="58"/>
  <c r="S2589" i="58"/>
  <c r="S2588" i="58"/>
  <c r="S2587" i="58"/>
  <c r="S2586" i="58"/>
  <c r="S2585" i="58"/>
  <c r="S2584" i="58"/>
  <c r="S2583" i="58"/>
  <c r="S2582" i="58"/>
  <c r="S2581" i="58"/>
  <c r="S2580" i="58"/>
  <c r="S2579" i="58"/>
  <c r="S2578" i="58"/>
  <c r="S2577" i="58"/>
  <c r="S2576" i="58"/>
  <c r="S2575" i="58"/>
  <c r="S2574" i="58"/>
  <c r="S2573" i="58"/>
  <c r="S2572" i="58"/>
  <c r="S2571" i="58"/>
  <c r="S2570" i="58"/>
  <c r="S2569" i="58"/>
  <c r="S2568" i="58"/>
  <c r="S2567" i="58"/>
  <c r="S2566" i="58"/>
  <c r="S2565" i="58"/>
  <c r="S2564" i="58"/>
  <c r="S2563" i="58"/>
  <c r="S2562" i="58"/>
  <c r="S2561" i="58"/>
  <c r="S2560" i="58"/>
  <c r="S2559" i="58"/>
  <c r="S2558" i="58"/>
  <c r="S2557" i="58"/>
  <c r="S2556" i="58"/>
  <c r="S2555" i="58"/>
  <c r="S2554" i="58"/>
  <c r="S2553" i="58"/>
  <c r="S2552" i="58"/>
  <c r="S2551" i="58"/>
  <c r="S2550" i="58"/>
  <c r="S2549" i="58"/>
  <c r="S2548" i="58"/>
  <c r="S2547" i="58"/>
  <c r="S2546" i="58"/>
  <c r="S2545" i="58"/>
  <c r="S2544" i="58"/>
  <c r="S2543" i="58"/>
  <c r="S2542" i="58"/>
  <c r="S2541" i="58"/>
  <c r="S2540" i="58"/>
  <c r="S2539" i="58"/>
  <c r="S2538" i="58"/>
  <c r="S2537" i="58"/>
  <c r="S2536" i="58"/>
  <c r="S2535" i="58"/>
  <c r="S2534" i="58"/>
  <c r="S2533" i="58"/>
  <c r="S2532" i="58"/>
  <c r="S2531" i="58"/>
  <c r="S2530" i="58"/>
  <c r="S2529" i="58"/>
  <c r="S2528" i="58"/>
  <c r="S2527" i="58"/>
  <c r="S2526" i="58"/>
  <c r="S2525" i="58"/>
  <c r="S2524" i="58"/>
  <c r="S2523" i="58"/>
  <c r="S2522" i="58"/>
  <c r="S2521" i="58"/>
  <c r="S2520" i="58"/>
  <c r="S2519" i="58"/>
  <c r="S2518" i="58"/>
  <c r="S2517" i="58"/>
  <c r="S2516" i="58"/>
  <c r="S2515" i="58"/>
  <c r="S2514" i="58"/>
  <c r="S2513" i="58"/>
  <c r="S2512" i="58"/>
  <c r="S2511" i="58"/>
  <c r="S2510" i="58"/>
  <c r="S2509" i="58"/>
  <c r="S2508" i="58"/>
  <c r="S2507" i="58"/>
  <c r="S2506" i="58"/>
  <c r="S2505" i="58"/>
  <c r="S2504" i="58"/>
  <c r="S2503" i="58"/>
  <c r="S2502" i="58"/>
  <c r="S2501" i="58"/>
  <c r="S2500" i="58"/>
  <c r="S2499" i="58"/>
  <c r="S2498" i="58"/>
  <c r="S2497" i="58"/>
  <c r="S2496" i="58"/>
  <c r="S2495" i="58"/>
  <c r="S2494" i="58"/>
  <c r="S2493" i="58"/>
  <c r="S2492" i="58"/>
  <c r="S2491" i="58"/>
  <c r="S2490" i="58"/>
  <c r="S2489" i="58"/>
  <c r="S2488" i="58"/>
  <c r="S2487" i="58"/>
  <c r="S2486" i="58"/>
  <c r="S2485" i="58"/>
  <c r="S2484" i="58"/>
  <c r="S2483" i="58"/>
  <c r="S2482" i="58"/>
  <c r="S2481" i="58"/>
  <c r="S2480" i="58"/>
  <c r="S2479" i="58"/>
  <c r="S2478" i="58"/>
  <c r="S2477" i="58"/>
  <c r="S2476" i="58"/>
  <c r="S2475" i="58"/>
  <c r="S2474" i="58"/>
  <c r="S2473" i="58"/>
  <c r="S2472" i="58"/>
  <c r="S2471" i="58"/>
  <c r="S2470" i="58"/>
  <c r="S2469" i="58"/>
  <c r="S2468" i="58"/>
  <c r="S2467" i="58"/>
  <c r="S2466" i="58"/>
  <c r="S2465" i="58"/>
  <c r="S2464" i="58"/>
  <c r="S2463" i="58"/>
  <c r="S2462" i="58"/>
  <c r="S2461" i="58"/>
  <c r="S2460" i="58"/>
  <c r="S2459" i="58"/>
  <c r="S2458" i="58"/>
  <c r="O2457" i="58"/>
  <c r="S2457" i="58" s="1"/>
  <c r="O2456" i="58"/>
  <c r="S2456" i="58" s="1"/>
  <c r="O2455" i="58"/>
  <c r="S2455" i="58" s="1"/>
  <c r="O2454" i="58"/>
  <c r="S2454" i="58" s="1"/>
  <c r="O2453" i="58"/>
  <c r="S2453" i="58" s="1"/>
  <c r="O2452" i="58"/>
  <c r="S2452" i="58" s="1"/>
  <c r="O2451" i="58"/>
  <c r="S2451" i="58" s="1"/>
  <c r="O2450" i="58"/>
  <c r="S2450" i="58" s="1"/>
  <c r="O2449" i="58"/>
  <c r="S2449" i="58" s="1"/>
  <c r="O2448" i="58"/>
  <c r="S2448" i="58" s="1"/>
  <c r="O2447" i="58"/>
  <c r="S2447" i="58" s="1"/>
  <c r="O2446" i="58"/>
  <c r="S2446" i="58" s="1"/>
  <c r="O2445" i="58"/>
  <c r="S2445" i="58" s="1"/>
  <c r="O2444" i="58"/>
  <c r="S2444" i="58" s="1"/>
  <c r="O2443" i="58"/>
  <c r="S2443" i="58" s="1"/>
  <c r="O2442" i="58"/>
  <c r="S2442" i="58" s="1"/>
  <c r="O2441" i="58"/>
  <c r="S2441" i="58" s="1"/>
  <c r="O2440" i="58"/>
  <c r="S2440" i="58" s="1"/>
  <c r="O2439" i="58"/>
  <c r="S2439" i="58" s="1"/>
  <c r="O2438" i="58"/>
  <c r="S2438" i="58" s="1"/>
  <c r="O2437" i="58"/>
  <c r="S2437" i="58" s="1"/>
  <c r="O2436" i="58"/>
  <c r="S2436" i="58" s="1"/>
  <c r="O2435" i="58"/>
  <c r="S2435" i="58" s="1"/>
  <c r="O2434" i="58"/>
  <c r="S2434" i="58" s="1"/>
  <c r="O2433" i="58"/>
  <c r="S2433" i="58" s="1"/>
  <c r="O2432" i="58"/>
  <c r="S2432" i="58" s="1"/>
  <c r="O2431" i="58"/>
  <c r="S2431" i="58" s="1"/>
  <c r="O2430" i="58"/>
  <c r="S2430" i="58" s="1"/>
  <c r="O2429" i="58"/>
  <c r="S2429" i="58" s="1"/>
  <c r="O2428" i="58"/>
  <c r="S2428" i="58" s="1"/>
  <c r="O2427" i="58"/>
  <c r="S2427" i="58" s="1"/>
  <c r="O2426" i="58"/>
  <c r="S2426" i="58" s="1"/>
  <c r="O2425" i="58"/>
  <c r="S2425" i="58" s="1"/>
  <c r="O2424" i="58"/>
  <c r="S2424" i="58" s="1"/>
  <c r="O2423" i="58"/>
  <c r="S2423" i="58" s="1"/>
  <c r="O2422" i="58"/>
  <c r="S2422" i="58" s="1"/>
  <c r="O2421" i="58"/>
  <c r="S2421" i="58" s="1"/>
  <c r="O2420" i="58"/>
  <c r="S2420" i="58" s="1"/>
  <c r="O2419" i="58"/>
  <c r="S2419" i="58" s="1"/>
  <c r="O2418" i="58"/>
  <c r="S2418" i="58" s="1"/>
  <c r="O2417" i="58"/>
  <c r="S2417" i="58" s="1"/>
  <c r="O2416" i="58"/>
  <c r="S2416" i="58" s="1"/>
  <c r="O2415" i="58"/>
  <c r="S2415" i="58" s="1"/>
  <c r="O2414" i="58"/>
  <c r="S2414" i="58" s="1"/>
  <c r="O2413" i="58"/>
  <c r="S2413" i="58" s="1"/>
  <c r="O2412" i="58"/>
  <c r="S2412" i="58" s="1"/>
  <c r="O2411" i="58"/>
  <c r="S2411" i="58" s="1"/>
  <c r="O2410" i="58"/>
  <c r="S2410" i="58" s="1"/>
  <c r="O2409" i="58"/>
  <c r="S2409" i="58" s="1"/>
  <c r="O2408" i="58"/>
  <c r="S2408" i="58" s="1"/>
  <c r="O2407" i="58"/>
  <c r="S2407" i="58" s="1"/>
  <c r="O2406" i="58"/>
  <c r="S2406" i="58" s="1"/>
  <c r="O2405" i="58"/>
  <c r="S2405" i="58" s="1"/>
  <c r="O2404" i="58"/>
  <c r="S2404" i="58" s="1"/>
  <c r="O2403" i="58"/>
  <c r="S2403" i="58" s="1"/>
  <c r="O2402" i="58"/>
  <c r="S2402" i="58" s="1"/>
  <c r="O2401" i="58"/>
  <c r="S2401" i="58" s="1"/>
  <c r="O2400" i="58"/>
  <c r="S2400" i="58" s="1"/>
  <c r="O2399" i="58"/>
  <c r="S2399" i="58" s="1"/>
  <c r="O2398" i="58"/>
  <c r="S2398" i="58" s="1"/>
  <c r="O2397" i="58"/>
  <c r="S2397" i="58" s="1"/>
  <c r="O2396" i="58"/>
  <c r="S2396" i="58" s="1"/>
  <c r="O2395" i="58"/>
  <c r="S2395" i="58" s="1"/>
  <c r="O2394" i="58"/>
  <c r="S2394" i="58" s="1"/>
  <c r="O2393" i="58"/>
  <c r="S2393" i="58" s="1"/>
  <c r="O2392" i="58"/>
  <c r="S2392" i="58" s="1"/>
  <c r="O2391" i="58"/>
  <c r="S2391" i="58" s="1"/>
  <c r="O2390" i="58"/>
  <c r="S2390" i="58" s="1"/>
  <c r="O2389" i="58"/>
  <c r="S2389" i="58" s="1"/>
  <c r="O2388" i="58"/>
  <c r="S2388" i="58" s="1"/>
  <c r="O2387" i="58"/>
  <c r="S2387" i="58" s="1"/>
  <c r="O2386" i="58"/>
  <c r="S2386" i="58" s="1"/>
  <c r="O2385" i="58"/>
  <c r="S2385" i="58" s="1"/>
  <c r="O2384" i="58"/>
  <c r="S2384" i="58" s="1"/>
  <c r="O2383" i="58"/>
  <c r="S2383" i="58" s="1"/>
  <c r="O2382" i="58"/>
  <c r="S2382" i="58" s="1"/>
  <c r="O2381" i="58"/>
  <c r="S2381" i="58" s="1"/>
  <c r="O2380" i="58"/>
  <c r="S2380" i="58" s="1"/>
  <c r="O2379" i="58"/>
  <c r="S2379" i="58" s="1"/>
  <c r="O2378" i="58"/>
  <c r="S2378" i="58" s="1"/>
  <c r="O2377" i="58"/>
  <c r="S2377" i="58" s="1"/>
  <c r="O2376" i="58"/>
  <c r="S2376" i="58" s="1"/>
  <c r="O2375" i="58"/>
  <c r="S2375" i="58" s="1"/>
  <c r="O2374" i="58"/>
  <c r="S2374" i="58" s="1"/>
  <c r="O2373" i="58"/>
  <c r="S2373" i="58" s="1"/>
  <c r="O2372" i="58"/>
  <c r="S2372" i="58" s="1"/>
  <c r="O2371" i="58"/>
  <c r="S2371" i="58" s="1"/>
  <c r="O2370" i="58"/>
  <c r="S2370" i="58" s="1"/>
  <c r="O2369" i="58"/>
  <c r="S2369" i="58" s="1"/>
  <c r="O2368" i="58"/>
  <c r="S2368" i="58" s="1"/>
  <c r="O2367" i="58"/>
  <c r="S2367" i="58" s="1"/>
  <c r="O2366" i="58"/>
  <c r="S2366" i="58" s="1"/>
  <c r="O2365" i="58"/>
  <c r="S2365" i="58" s="1"/>
  <c r="O2364" i="58"/>
  <c r="S2364" i="58" s="1"/>
  <c r="O2363" i="58"/>
  <c r="S2363" i="58" s="1"/>
  <c r="O2362" i="58"/>
  <c r="S2362" i="58" s="1"/>
  <c r="O2361" i="58"/>
  <c r="S2361" i="58" s="1"/>
  <c r="O2360" i="58"/>
  <c r="S2360" i="58" s="1"/>
  <c r="O2359" i="58"/>
  <c r="S2359" i="58" s="1"/>
  <c r="O2358" i="58"/>
  <c r="S2358" i="58" s="1"/>
  <c r="O2357" i="58"/>
  <c r="S2357" i="58" s="1"/>
  <c r="O2356" i="58"/>
  <c r="S2356" i="58" s="1"/>
  <c r="O2355" i="58"/>
  <c r="S2355" i="58" s="1"/>
  <c r="O2354" i="58"/>
  <c r="S2354" i="58" s="1"/>
  <c r="O2353" i="58"/>
  <c r="S2353" i="58" s="1"/>
  <c r="O2352" i="58"/>
  <c r="S2352" i="58" s="1"/>
  <c r="O2351" i="58"/>
  <c r="S2351" i="58" s="1"/>
  <c r="O2350" i="58"/>
  <c r="S2350" i="58" s="1"/>
  <c r="O2349" i="58"/>
  <c r="S2349" i="58" s="1"/>
  <c r="O2348" i="58"/>
  <c r="S2348" i="58" s="1"/>
  <c r="O2347" i="58"/>
  <c r="S2347" i="58" s="1"/>
  <c r="O2346" i="58"/>
  <c r="S2346" i="58" s="1"/>
  <c r="O2345" i="58"/>
  <c r="S2345" i="58" s="1"/>
  <c r="O2344" i="58"/>
  <c r="S2344" i="58" s="1"/>
  <c r="O2343" i="58"/>
  <c r="S2343" i="58" s="1"/>
  <c r="O2342" i="58"/>
  <c r="S2342" i="58" s="1"/>
  <c r="O2341" i="58"/>
  <c r="S2341" i="58" s="1"/>
  <c r="O2340" i="58"/>
  <c r="S2340" i="58" s="1"/>
  <c r="O2339" i="58"/>
  <c r="S2339" i="58" s="1"/>
  <c r="O2338" i="58"/>
  <c r="S2338" i="58" s="1"/>
  <c r="O2337" i="58"/>
  <c r="S2337" i="58" s="1"/>
  <c r="O2336" i="58"/>
  <c r="S2336" i="58" s="1"/>
  <c r="O2335" i="58"/>
  <c r="S2335" i="58" s="1"/>
  <c r="O2334" i="58"/>
  <c r="S2334" i="58" s="1"/>
  <c r="O2333" i="58"/>
  <c r="S2333" i="58" s="1"/>
  <c r="O2332" i="58"/>
  <c r="S2332" i="58" s="1"/>
  <c r="O2331" i="58"/>
  <c r="S2331" i="58" s="1"/>
  <c r="O2330" i="58"/>
  <c r="S2330" i="58" s="1"/>
  <c r="O2329" i="58"/>
  <c r="S2329" i="58" s="1"/>
  <c r="O2328" i="58"/>
  <c r="S2328" i="58" s="1"/>
  <c r="O2327" i="58"/>
  <c r="S2327" i="58" s="1"/>
  <c r="O2326" i="58"/>
  <c r="S2326" i="58" s="1"/>
  <c r="O2325" i="58"/>
  <c r="S2325" i="58" s="1"/>
  <c r="O2324" i="58"/>
  <c r="S2324" i="58" s="1"/>
  <c r="O2323" i="58"/>
  <c r="S2323" i="58" s="1"/>
  <c r="O2322" i="58"/>
  <c r="S2322" i="58" s="1"/>
  <c r="O2321" i="58"/>
  <c r="S2321" i="58" s="1"/>
  <c r="O2320" i="58"/>
  <c r="S2320" i="58" s="1"/>
  <c r="O2319" i="58"/>
  <c r="S2319" i="58" s="1"/>
  <c r="O2318" i="58"/>
  <c r="S2318" i="58" s="1"/>
  <c r="O2317" i="58"/>
  <c r="S2317" i="58" s="1"/>
  <c r="O2316" i="58"/>
  <c r="S2316" i="58" s="1"/>
  <c r="O2315" i="58"/>
  <c r="S2315" i="58" s="1"/>
  <c r="O2314" i="58"/>
  <c r="S2314" i="58" s="1"/>
  <c r="O2313" i="58"/>
  <c r="S2313" i="58" s="1"/>
  <c r="O2312" i="58"/>
  <c r="S2312" i="58" s="1"/>
  <c r="O2311" i="58"/>
  <c r="S2311" i="58" s="1"/>
  <c r="O2310" i="58"/>
  <c r="S2310" i="58" s="1"/>
  <c r="O2309" i="58"/>
  <c r="S2309" i="58" s="1"/>
  <c r="O2308" i="58"/>
  <c r="S2308" i="58" s="1"/>
  <c r="O2307" i="58"/>
  <c r="S2307" i="58" s="1"/>
  <c r="O2306" i="58"/>
  <c r="S2306" i="58" s="1"/>
  <c r="O2305" i="58"/>
  <c r="S2305" i="58" s="1"/>
  <c r="O2304" i="58"/>
  <c r="S2304" i="58" s="1"/>
  <c r="O2303" i="58"/>
  <c r="S2303" i="58" s="1"/>
  <c r="O2302" i="58"/>
  <c r="S2302" i="58" s="1"/>
  <c r="O2301" i="58"/>
  <c r="S2301" i="58" s="1"/>
  <c r="O2300" i="58"/>
  <c r="S2300" i="58" s="1"/>
  <c r="O2299" i="58"/>
  <c r="S2299" i="58" s="1"/>
  <c r="O2298" i="58"/>
  <c r="S2298" i="58" s="1"/>
  <c r="O2297" i="58"/>
  <c r="S2297" i="58" s="1"/>
  <c r="O2296" i="58"/>
  <c r="S2296" i="58" s="1"/>
  <c r="O2295" i="58"/>
  <c r="S2295" i="58" s="1"/>
  <c r="O2294" i="58"/>
  <c r="S2294" i="58" s="1"/>
  <c r="O2293" i="58"/>
  <c r="S2293" i="58" s="1"/>
  <c r="O2292" i="58"/>
  <c r="S2292" i="58" s="1"/>
  <c r="O2291" i="58"/>
  <c r="S2291" i="58" s="1"/>
  <c r="O2290" i="58"/>
  <c r="S2290" i="58" s="1"/>
  <c r="O2289" i="58"/>
  <c r="S2289" i="58" s="1"/>
  <c r="O2288" i="58"/>
  <c r="S2288" i="58" s="1"/>
  <c r="O2287" i="58"/>
  <c r="S2287" i="58" s="1"/>
  <c r="O2286" i="58"/>
  <c r="S2286" i="58" s="1"/>
  <c r="O2285" i="58"/>
  <c r="S2285" i="58" s="1"/>
  <c r="O2284" i="58"/>
  <c r="S2284" i="58" s="1"/>
  <c r="O2283" i="58"/>
  <c r="S2283" i="58" s="1"/>
  <c r="O2282" i="58"/>
  <c r="S2282" i="58" s="1"/>
  <c r="O2281" i="58"/>
  <c r="S2281" i="58" s="1"/>
  <c r="O2280" i="58"/>
  <c r="S2280" i="58" s="1"/>
  <c r="O2279" i="58"/>
  <c r="S2279" i="58" s="1"/>
  <c r="O2278" i="58"/>
  <c r="S2278" i="58" s="1"/>
  <c r="O2277" i="58"/>
  <c r="S2277" i="58" s="1"/>
  <c r="O2276" i="58"/>
  <c r="S2276" i="58" s="1"/>
  <c r="O2275" i="58"/>
  <c r="S2275" i="58" s="1"/>
  <c r="O2274" i="58"/>
  <c r="S2274" i="58" s="1"/>
  <c r="O2273" i="58"/>
  <c r="S2273" i="58" s="1"/>
  <c r="O2272" i="58"/>
  <c r="S2272" i="58" s="1"/>
  <c r="O2271" i="58"/>
  <c r="S2271" i="58" s="1"/>
  <c r="O2270" i="58"/>
  <c r="S2270" i="58" s="1"/>
  <c r="O2269" i="58"/>
  <c r="S2269" i="58" s="1"/>
  <c r="O2268" i="58"/>
  <c r="S2268" i="58" s="1"/>
  <c r="O2267" i="58"/>
  <c r="S2267" i="58" s="1"/>
  <c r="O2266" i="58"/>
  <c r="S2266" i="58" s="1"/>
  <c r="O2265" i="58"/>
  <c r="S2265" i="58" s="1"/>
  <c r="O2264" i="58"/>
  <c r="S2264" i="58" s="1"/>
  <c r="O2263" i="58"/>
  <c r="S2263" i="58" s="1"/>
  <c r="O2262" i="58"/>
  <c r="S2262" i="58" s="1"/>
  <c r="O2261" i="58"/>
  <c r="S2261" i="58" s="1"/>
  <c r="O2260" i="58"/>
  <c r="S2260" i="58" s="1"/>
  <c r="O2259" i="58"/>
  <c r="S2259" i="58" s="1"/>
  <c r="O2258" i="58"/>
  <c r="S2258" i="58" s="1"/>
  <c r="O2257" i="58"/>
  <c r="S2257" i="58" s="1"/>
  <c r="O2256" i="58"/>
  <c r="S2256" i="58" s="1"/>
  <c r="O2255" i="58"/>
  <c r="S2255" i="58" s="1"/>
  <c r="O2254" i="58"/>
  <c r="S2254" i="58" s="1"/>
  <c r="O2253" i="58"/>
  <c r="S2253" i="58" s="1"/>
  <c r="O2252" i="58"/>
  <c r="S2252" i="58" s="1"/>
  <c r="O2251" i="58"/>
  <c r="S2251" i="58" s="1"/>
  <c r="O2250" i="58"/>
  <c r="S2250" i="58" s="1"/>
  <c r="O2249" i="58"/>
  <c r="S2249" i="58" s="1"/>
  <c r="O2248" i="58"/>
  <c r="S2248" i="58" s="1"/>
  <c r="O2247" i="58"/>
  <c r="S2247" i="58" s="1"/>
  <c r="O2246" i="58"/>
  <c r="S2246" i="58" s="1"/>
  <c r="O2245" i="58"/>
  <c r="S2245" i="58" s="1"/>
  <c r="O2244" i="58"/>
  <c r="S2244" i="58" s="1"/>
  <c r="O2243" i="58"/>
  <c r="S2243" i="58" s="1"/>
  <c r="O2242" i="58"/>
  <c r="S2242" i="58" s="1"/>
  <c r="O2241" i="58"/>
  <c r="S2241" i="58" s="1"/>
  <c r="O2240" i="58"/>
  <c r="S2240" i="58" s="1"/>
  <c r="O2239" i="58"/>
  <c r="S2239" i="58" s="1"/>
  <c r="O2238" i="58"/>
  <c r="S2238" i="58" s="1"/>
  <c r="O2237" i="58"/>
  <c r="S2237" i="58" s="1"/>
  <c r="O2236" i="58"/>
  <c r="S2236" i="58" s="1"/>
  <c r="O2235" i="58"/>
  <c r="S2235" i="58" s="1"/>
  <c r="O2234" i="58"/>
  <c r="S2234" i="58" s="1"/>
  <c r="O2233" i="58"/>
  <c r="S2233" i="58" s="1"/>
  <c r="O2232" i="58"/>
  <c r="S2232" i="58" s="1"/>
  <c r="O2231" i="58"/>
  <c r="S2231" i="58" s="1"/>
  <c r="O2230" i="58"/>
  <c r="S2230" i="58" s="1"/>
  <c r="O2229" i="58"/>
  <c r="S2229" i="58" s="1"/>
  <c r="O2228" i="58"/>
  <c r="S2228" i="58" s="1"/>
  <c r="O2227" i="58"/>
  <c r="S2227" i="58" s="1"/>
  <c r="O2226" i="58"/>
  <c r="S2226" i="58" s="1"/>
  <c r="O2225" i="58"/>
  <c r="S2225" i="58" s="1"/>
  <c r="O2224" i="58"/>
  <c r="S2224" i="58" s="1"/>
  <c r="O2223" i="58"/>
  <c r="S2223" i="58" s="1"/>
  <c r="O2222" i="58"/>
  <c r="S2222" i="58" s="1"/>
  <c r="O2221" i="58"/>
  <c r="S2221" i="58" s="1"/>
  <c r="O2220" i="58"/>
  <c r="S2220" i="58" s="1"/>
  <c r="O2219" i="58"/>
  <c r="S2219" i="58" s="1"/>
  <c r="O2218" i="58"/>
  <c r="S2218" i="58" s="1"/>
  <c r="O2217" i="58"/>
  <c r="S2217" i="58" s="1"/>
  <c r="O2216" i="58"/>
  <c r="S2216" i="58" s="1"/>
  <c r="O2215" i="58"/>
  <c r="S2215" i="58" s="1"/>
  <c r="O2214" i="58"/>
  <c r="S2214" i="58" s="1"/>
  <c r="O2213" i="58"/>
  <c r="S2213" i="58" s="1"/>
  <c r="O2212" i="58"/>
  <c r="S2212" i="58" s="1"/>
  <c r="O2211" i="58"/>
  <c r="S2211" i="58" s="1"/>
  <c r="O2210" i="58"/>
  <c r="S2210" i="58" s="1"/>
  <c r="O2209" i="58"/>
  <c r="S2209" i="58" s="1"/>
  <c r="O2208" i="58"/>
  <c r="S2208" i="58" s="1"/>
  <c r="O2207" i="58"/>
  <c r="S2207" i="58" s="1"/>
  <c r="O2206" i="58"/>
  <c r="S2206" i="58" s="1"/>
  <c r="O2205" i="58"/>
  <c r="S2205" i="58" s="1"/>
  <c r="O2204" i="58"/>
  <c r="S2204" i="58" s="1"/>
  <c r="O2203" i="58"/>
  <c r="S2203" i="58" s="1"/>
  <c r="O2202" i="58"/>
  <c r="S2202" i="58" s="1"/>
  <c r="O2201" i="58"/>
  <c r="S2201" i="58" s="1"/>
  <c r="O2200" i="58"/>
  <c r="S2200" i="58" s="1"/>
  <c r="O2199" i="58"/>
  <c r="S2199" i="58" s="1"/>
  <c r="O2198" i="58"/>
  <c r="S2198" i="58" s="1"/>
  <c r="O2197" i="58"/>
  <c r="S2197" i="58" s="1"/>
  <c r="O2196" i="58"/>
  <c r="S2196" i="58" s="1"/>
  <c r="O2195" i="58"/>
  <c r="S2195" i="58" s="1"/>
  <c r="O2194" i="58"/>
  <c r="S2194" i="58" s="1"/>
  <c r="O2193" i="58"/>
  <c r="S2193" i="58" s="1"/>
  <c r="O2192" i="58"/>
  <c r="S2192" i="58" s="1"/>
  <c r="O2191" i="58"/>
  <c r="S2191" i="58" s="1"/>
  <c r="O2190" i="58"/>
  <c r="S2190" i="58" s="1"/>
  <c r="O2189" i="58"/>
  <c r="S2189" i="58" s="1"/>
  <c r="O2188" i="58"/>
  <c r="S2188" i="58" s="1"/>
  <c r="O2187" i="58"/>
  <c r="S2187" i="58" s="1"/>
  <c r="O2186" i="58"/>
  <c r="S2186" i="58" s="1"/>
  <c r="O2185" i="58"/>
  <c r="S2185" i="58" s="1"/>
  <c r="O2184" i="58"/>
  <c r="S2184" i="58" s="1"/>
  <c r="O2183" i="58"/>
  <c r="S2183" i="58" s="1"/>
  <c r="O2182" i="58"/>
  <c r="S2182" i="58" s="1"/>
  <c r="O2181" i="58"/>
  <c r="S2181" i="58" s="1"/>
  <c r="O2180" i="58"/>
  <c r="S2180" i="58" s="1"/>
  <c r="O2179" i="58"/>
  <c r="S2179" i="58" s="1"/>
  <c r="O2178" i="58"/>
  <c r="S2178" i="58" s="1"/>
  <c r="O2177" i="58"/>
  <c r="S2177" i="58" s="1"/>
  <c r="O2176" i="58"/>
  <c r="S2176" i="58" s="1"/>
  <c r="O2175" i="58"/>
  <c r="S2175" i="58" s="1"/>
  <c r="O2174" i="58"/>
  <c r="S2174" i="58" s="1"/>
  <c r="O2173" i="58"/>
  <c r="S2173" i="58" s="1"/>
  <c r="O2172" i="58"/>
  <c r="S2172" i="58" s="1"/>
  <c r="O2171" i="58"/>
  <c r="S2171" i="58" s="1"/>
  <c r="O2170" i="58"/>
  <c r="S2170" i="58" s="1"/>
  <c r="O2169" i="58"/>
  <c r="S2169" i="58" s="1"/>
  <c r="O2168" i="58"/>
  <c r="S2168" i="58" s="1"/>
  <c r="O2167" i="58"/>
  <c r="S2167" i="58" s="1"/>
  <c r="O2166" i="58"/>
  <c r="S2166" i="58" s="1"/>
  <c r="O2165" i="58"/>
  <c r="S2165" i="58" s="1"/>
  <c r="O2164" i="58"/>
  <c r="S2164" i="58" s="1"/>
  <c r="O2163" i="58"/>
  <c r="S2163" i="58" s="1"/>
  <c r="O2162" i="58"/>
  <c r="S2162" i="58" s="1"/>
  <c r="O2161" i="58"/>
  <c r="S2161" i="58" s="1"/>
  <c r="O2160" i="58"/>
  <c r="S2160" i="58" s="1"/>
  <c r="O2159" i="58"/>
  <c r="S2159" i="58" s="1"/>
  <c r="O2158" i="58"/>
  <c r="S2158" i="58" s="1"/>
  <c r="O2157" i="58"/>
  <c r="S2157" i="58" s="1"/>
  <c r="O2156" i="58"/>
  <c r="S2156" i="58" s="1"/>
  <c r="O2155" i="58"/>
  <c r="S2155" i="58" s="1"/>
  <c r="O2154" i="58"/>
  <c r="S2154" i="58" s="1"/>
  <c r="O2153" i="58"/>
  <c r="S2153" i="58" s="1"/>
  <c r="O2152" i="58"/>
  <c r="S2152" i="58" s="1"/>
  <c r="O2151" i="58"/>
  <c r="S2151" i="58" s="1"/>
  <c r="O2150" i="58"/>
  <c r="S2150" i="58" s="1"/>
  <c r="O2149" i="58"/>
  <c r="S2149" i="58" s="1"/>
  <c r="O2148" i="58"/>
  <c r="S2148" i="58" s="1"/>
  <c r="O2147" i="58"/>
  <c r="S2147" i="58" s="1"/>
  <c r="O2146" i="58"/>
  <c r="S2146" i="58" s="1"/>
  <c r="O2145" i="58"/>
  <c r="S2145" i="58" s="1"/>
  <c r="O2144" i="58"/>
  <c r="S2144" i="58" s="1"/>
  <c r="O2143" i="58"/>
  <c r="S2143" i="58" s="1"/>
  <c r="O2142" i="58"/>
  <c r="S2142" i="58" s="1"/>
  <c r="O2141" i="58"/>
  <c r="S2141" i="58" s="1"/>
  <c r="O2140" i="58"/>
  <c r="S2140" i="58" s="1"/>
  <c r="O2139" i="58"/>
  <c r="S2139" i="58" s="1"/>
  <c r="O2138" i="58"/>
  <c r="S2138" i="58" s="1"/>
  <c r="O2137" i="58"/>
  <c r="S2137" i="58" s="1"/>
  <c r="O2136" i="58"/>
  <c r="S2136" i="58" s="1"/>
  <c r="O2135" i="58"/>
  <c r="S2135" i="58" s="1"/>
  <c r="O2134" i="58"/>
  <c r="S2134" i="58" s="1"/>
  <c r="O2133" i="58"/>
  <c r="S2133" i="58" s="1"/>
  <c r="O2132" i="58"/>
  <c r="S2132" i="58" s="1"/>
  <c r="O2131" i="58"/>
  <c r="S2131" i="58" s="1"/>
  <c r="O2130" i="58"/>
  <c r="S2130" i="58" s="1"/>
  <c r="O2129" i="58"/>
  <c r="S2129" i="58" s="1"/>
  <c r="O2128" i="58"/>
  <c r="S2128" i="58" s="1"/>
  <c r="O2127" i="58"/>
  <c r="S2127" i="58" s="1"/>
  <c r="O2126" i="58"/>
  <c r="S2126" i="58" s="1"/>
  <c r="O2125" i="58"/>
  <c r="S2125" i="58" s="1"/>
  <c r="O2124" i="58"/>
  <c r="S2124" i="58" s="1"/>
  <c r="O2123" i="58"/>
  <c r="S2123" i="58" s="1"/>
  <c r="O2122" i="58"/>
  <c r="S2122" i="58" s="1"/>
  <c r="O2121" i="58"/>
  <c r="S2121" i="58" s="1"/>
  <c r="O2120" i="58"/>
  <c r="S2120" i="58" s="1"/>
  <c r="O2119" i="58"/>
  <c r="S2119" i="58" s="1"/>
  <c r="O2118" i="58"/>
  <c r="S2118" i="58" s="1"/>
  <c r="O2117" i="58"/>
  <c r="S2117" i="58" s="1"/>
  <c r="O2116" i="58"/>
  <c r="S2116" i="58" s="1"/>
  <c r="O2115" i="58"/>
  <c r="S2115" i="58" s="1"/>
  <c r="O2114" i="58"/>
  <c r="S2114" i="58" s="1"/>
  <c r="O2113" i="58"/>
  <c r="S2113" i="58" s="1"/>
  <c r="O2112" i="58"/>
  <c r="S2112" i="58" s="1"/>
  <c r="O2111" i="58"/>
  <c r="S2111" i="58" s="1"/>
  <c r="O2110" i="58"/>
  <c r="S2110" i="58" s="1"/>
  <c r="O2109" i="58"/>
  <c r="S2109" i="58" s="1"/>
  <c r="O2108" i="58"/>
  <c r="S2108" i="58" s="1"/>
  <c r="O2107" i="58"/>
  <c r="S2107" i="58" s="1"/>
  <c r="O2106" i="58"/>
  <c r="S2106" i="58" s="1"/>
  <c r="O2105" i="58"/>
  <c r="S2105" i="58" s="1"/>
  <c r="O2104" i="58"/>
  <c r="S2104" i="58" s="1"/>
  <c r="O2103" i="58"/>
  <c r="S2103" i="58" s="1"/>
  <c r="O2102" i="58"/>
  <c r="S2102" i="58" s="1"/>
  <c r="O2101" i="58"/>
  <c r="S2101" i="58" s="1"/>
  <c r="O2100" i="58"/>
  <c r="S2100" i="58" s="1"/>
  <c r="O2099" i="58"/>
  <c r="S2099" i="58" s="1"/>
  <c r="O2098" i="58"/>
  <c r="S2098" i="58" s="1"/>
  <c r="O2097" i="58"/>
  <c r="S2097" i="58" s="1"/>
  <c r="O2096" i="58"/>
  <c r="S2096" i="58" s="1"/>
  <c r="O2095" i="58"/>
  <c r="S2095" i="58" s="1"/>
  <c r="O2094" i="58"/>
  <c r="S2094" i="58" s="1"/>
  <c r="O2093" i="58"/>
  <c r="S2093" i="58" s="1"/>
  <c r="O2092" i="58"/>
  <c r="S2092" i="58" s="1"/>
  <c r="O2091" i="58"/>
  <c r="S2091" i="58" s="1"/>
  <c r="O2090" i="58"/>
  <c r="S2090" i="58" s="1"/>
  <c r="O2089" i="58"/>
  <c r="S2089" i="58" s="1"/>
  <c r="O2088" i="58"/>
  <c r="S2088" i="58" s="1"/>
  <c r="O2087" i="58"/>
  <c r="S2087" i="58" s="1"/>
  <c r="O2086" i="58"/>
  <c r="S2086" i="58" s="1"/>
  <c r="O2085" i="58"/>
  <c r="S2085" i="58" s="1"/>
  <c r="O2084" i="58"/>
  <c r="S2084" i="58" s="1"/>
  <c r="O2083" i="58"/>
  <c r="S2083" i="58" s="1"/>
  <c r="O2082" i="58"/>
  <c r="S2082" i="58" s="1"/>
  <c r="O2081" i="58"/>
  <c r="S2081" i="58" s="1"/>
  <c r="O2080" i="58"/>
  <c r="S2080" i="58" s="1"/>
  <c r="O2079" i="58"/>
  <c r="S2079" i="58" s="1"/>
  <c r="O2078" i="58"/>
  <c r="S2078" i="58" s="1"/>
  <c r="O2077" i="58"/>
  <c r="S2077" i="58" s="1"/>
  <c r="O2076" i="58"/>
  <c r="S2076" i="58" s="1"/>
  <c r="O2075" i="58"/>
  <c r="S2075" i="58" s="1"/>
  <c r="O2074" i="58"/>
  <c r="S2074" i="58" s="1"/>
  <c r="O2073" i="58"/>
  <c r="S2073" i="58" s="1"/>
  <c r="O2072" i="58"/>
  <c r="S2072" i="58" s="1"/>
  <c r="O2071" i="58"/>
  <c r="S2071" i="58" s="1"/>
  <c r="O2070" i="58"/>
  <c r="S2070" i="58" s="1"/>
  <c r="O2069" i="58"/>
  <c r="S2069" i="58" s="1"/>
  <c r="O2068" i="58"/>
  <c r="S2068" i="58" s="1"/>
  <c r="O2067" i="58"/>
  <c r="S2067" i="58" s="1"/>
  <c r="O2066" i="58"/>
  <c r="S2066" i="58" s="1"/>
  <c r="O2065" i="58"/>
  <c r="S2065" i="58" s="1"/>
  <c r="O2064" i="58"/>
  <c r="S2064" i="58" s="1"/>
  <c r="O2063" i="58"/>
  <c r="S2063" i="58" s="1"/>
  <c r="O2062" i="58"/>
  <c r="S2062" i="58" s="1"/>
  <c r="O2061" i="58"/>
  <c r="S2061" i="58" s="1"/>
  <c r="O2060" i="58"/>
  <c r="S2060" i="58" s="1"/>
  <c r="O2059" i="58"/>
  <c r="S2059" i="58" s="1"/>
  <c r="O2058" i="58"/>
  <c r="S2058" i="58" s="1"/>
  <c r="O2057" i="58"/>
  <c r="S2057" i="58" s="1"/>
  <c r="O2056" i="58"/>
  <c r="S2056" i="58" s="1"/>
  <c r="O2055" i="58"/>
  <c r="S2055" i="58" s="1"/>
  <c r="O2054" i="58"/>
  <c r="S2054" i="58" s="1"/>
  <c r="O2053" i="58"/>
  <c r="S2053" i="58" s="1"/>
  <c r="O2052" i="58"/>
  <c r="S2052" i="58" s="1"/>
  <c r="O2051" i="58"/>
  <c r="S2051" i="58" s="1"/>
  <c r="O2050" i="58"/>
  <c r="S2050" i="58" s="1"/>
  <c r="O2049" i="58"/>
  <c r="S2049" i="58" s="1"/>
  <c r="O2048" i="58"/>
  <c r="S2048" i="58" s="1"/>
  <c r="O2047" i="58"/>
  <c r="S2047" i="58" s="1"/>
  <c r="O2046" i="58"/>
  <c r="S2046" i="58" s="1"/>
  <c r="O2045" i="58"/>
  <c r="S2045" i="58" s="1"/>
  <c r="O2044" i="58"/>
  <c r="S2044" i="58" s="1"/>
  <c r="O2043" i="58"/>
  <c r="S2043" i="58" s="1"/>
  <c r="O2042" i="58"/>
  <c r="S2042" i="58" s="1"/>
  <c r="O2041" i="58"/>
  <c r="S2041" i="58" s="1"/>
  <c r="O2040" i="58"/>
  <c r="S2040" i="58" s="1"/>
  <c r="O2039" i="58"/>
  <c r="S2039" i="58" s="1"/>
  <c r="O2038" i="58"/>
  <c r="S2038" i="58" s="1"/>
  <c r="O2037" i="58"/>
  <c r="S2037" i="58" s="1"/>
  <c r="O2036" i="58"/>
  <c r="S2036" i="58" s="1"/>
  <c r="O2035" i="58"/>
  <c r="S2035" i="58" s="1"/>
  <c r="O2034" i="58"/>
  <c r="S2034" i="58" s="1"/>
  <c r="O2033" i="58"/>
  <c r="S2033" i="58" s="1"/>
  <c r="O2032" i="58"/>
  <c r="S2032" i="58" s="1"/>
  <c r="O2031" i="58"/>
  <c r="S2031" i="58" s="1"/>
  <c r="O2030" i="58"/>
  <c r="S2030" i="58" s="1"/>
  <c r="O2029" i="58"/>
  <c r="S2029" i="58" s="1"/>
  <c r="O2028" i="58"/>
  <c r="S2028" i="58" s="1"/>
  <c r="O2027" i="58"/>
  <c r="S2027" i="58" s="1"/>
  <c r="O2026" i="58"/>
  <c r="S2026" i="58" s="1"/>
  <c r="O2025" i="58"/>
  <c r="S2025" i="58" s="1"/>
  <c r="O2024" i="58"/>
  <c r="S2024" i="58" s="1"/>
  <c r="O2023" i="58"/>
  <c r="S2023" i="58" s="1"/>
  <c r="O2022" i="58"/>
  <c r="S2022" i="58" s="1"/>
  <c r="O2021" i="58"/>
  <c r="S2021" i="58" s="1"/>
  <c r="O2020" i="58"/>
  <c r="S2020" i="58" s="1"/>
  <c r="O2019" i="58"/>
  <c r="S2019" i="58" s="1"/>
  <c r="O2018" i="58"/>
  <c r="S2018" i="58" s="1"/>
  <c r="O2017" i="58"/>
  <c r="S2017" i="58" s="1"/>
  <c r="O2016" i="58"/>
  <c r="S2016" i="58" s="1"/>
  <c r="O2015" i="58"/>
  <c r="S2015" i="58" s="1"/>
  <c r="O2014" i="58"/>
  <c r="S2014" i="58" s="1"/>
  <c r="O2013" i="58"/>
  <c r="S2013" i="58" s="1"/>
  <c r="O2012" i="58"/>
  <c r="S2012" i="58" s="1"/>
  <c r="O2011" i="58"/>
  <c r="S2011" i="58" s="1"/>
  <c r="O2010" i="58"/>
  <c r="S2010" i="58" s="1"/>
  <c r="O2009" i="58"/>
  <c r="S2009" i="58" s="1"/>
  <c r="O2008" i="58"/>
  <c r="S2008" i="58" s="1"/>
  <c r="O2007" i="58"/>
  <c r="S2007" i="58" s="1"/>
  <c r="O2006" i="58"/>
  <c r="S2006" i="58" s="1"/>
  <c r="O2005" i="58"/>
  <c r="S2005" i="58" s="1"/>
  <c r="O2004" i="58"/>
  <c r="S2004" i="58" s="1"/>
  <c r="O2003" i="58"/>
  <c r="S2003" i="58" s="1"/>
  <c r="O2002" i="58"/>
  <c r="S2002" i="58" s="1"/>
  <c r="O2001" i="58"/>
  <c r="S2001" i="58" s="1"/>
  <c r="O2000" i="58"/>
  <c r="S2000" i="58" s="1"/>
  <c r="O1999" i="58"/>
  <c r="S1999" i="58" s="1"/>
  <c r="O1998" i="58"/>
  <c r="S1998" i="58" s="1"/>
  <c r="O1997" i="58"/>
  <c r="S1997" i="58" s="1"/>
  <c r="O1996" i="58"/>
  <c r="S1996" i="58" s="1"/>
  <c r="O1995" i="58"/>
  <c r="S1995" i="58" s="1"/>
  <c r="O1994" i="58"/>
  <c r="S1994" i="58" s="1"/>
  <c r="O1993" i="58"/>
  <c r="S1993" i="58" s="1"/>
  <c r="O1992" i="58"/>
  <c r="S1992" i="58" s="1"/>
  <c r="O1991" i="58"/>
  <c r="S1991" i="58" s="1"/>
  <c r="O1990" i="58"/>
  <c r="S1990" i="58" s="1"/>
  <c r="O1989" i="58"/>
  <c r="S1989" i="58" s="1"/>
  <c r="O1988" i="58"/>
  <c r="S1988" i="58" s="1"/>
  <c r="O1987" i="58"/>
  <c r="S1987" i="58" s="1"/>
  <c r="O1986" i="58"/>
  <c r="S1986" i="58" s="1"/>
  <c r="O1985" i="58"/>
  <c r="S1985" i="58" s="1"/>
  <c r="O1984" i="58"/>
  <c r="S1984" i="58" s="1"/>
  <c r="O1983" i="58"/>
  <c r="S1983" i="58" s="1"/>
  <c r="O1982" i="58"/>
  <c r="S1982" i="58" s="1"/>
  <c r="O1981" i="58"/>
  <c r="S1981" i="58" s="1"/>
  <c r="O1980" i="58"/>
  <c r="S1980" i="58" s="1"/>
  <c r="O1979" i="58"/>
  <c r="S1979" i="58" s="1"/>
  <c r="O1978" i="58"/>
  <c r="S1978" i="58" s="1"/>
  <c r="O1977" i="58"/>
  <c r="S1977" i="58" s="1"/>
  <c r="O1976" i="58"/>
  <c r="S1976" i="58" s="1"/>
  <c r="O1975" i="58"/>
  <c r="S1975" i="58" s="1"/>
  <c r="O1974" i="58"/>
  <c r="S1974" i="58" s="1"/>
  <c r="O1973" i="58"/>
  <c r="S1973" i="58" s="1"/>
  <c r="O1972" i="58"/>
  <c r="S1972" i="58" s="1"/>
  <c r="O1971" i="58"/>
  <c r="S1971" i="58" s="1"/>
  <c r="O1970" i="58"/>
  <c r="S1970" i="58" s="1"/>
  <c r="O1969" i="58"/>
  <c r="S1969" i="58" s="1"/>
  <c r="O1968" i="58"/>
  <c r="S1968" i="58" s="1"/>
  <c r="O1967" i="58"/>
  <c r="S1967" i="58" s="1"/>
  <c r="O1966" i="58"/>
  <c r="S1966" i="58" s="1"/>
  <c r="O1965" i="58"/>
  <c r="S1965" i="58" s="1"/>
  <c r="O1964" i="58"/>
  <c r="S1964" i="58" s="1"/>
  <c r="O1963" i="58"/>
  <c r="S1963" i="58" s="1"/>
  <c r="O1962" i="58"/>
  <c r="S1962" i="58" s="1"/>
  <c r="O1961" i="58"/>
  <c r="S1961" i="58" s="1"/>
  <c r="O1960" i="58"/>
  <c r="S1960" i="58" s="1"/>
  <c r="O1959" i="58"/>
  <c r="S1959" i="58" s="1"/>
  <c r="O1958" i="58"/>
  <c r="S1958" i="58" s="1"/>
  <c r="O1957" i="58"/>
  <c r="S1957" i="58" s="1"/>
  <c r="O1956" i="58"/>
  <c r="S1956" i="58" s="1"/>
  <c r="O1955" i="58"/>
  <c r="S1955" i="58" s="1"/>
  <c r="O1954" i="58"/>
  <c r="S1954" i="58" s="1"/>
  <c r="O1953" i="58"/>
  <c r="S1953" i="58" s="1"/>
  <c r="O1952" i="58"/>
  <c r="S1952" i="58" s="1"/>
  <c r="O1951" i="58"/>
  <c r="S1951" i="58" s="1"/>
  <c r="O1950" i="58"/>
  <c r="S1950" i="58" s="1"/>
  <c r="O1949" i="58"/>
  <c r="S1949" i="58" s="1"/>
  <c r="O1948" i="58"/>
  <c r="S1948" i="58" s="1"/>
  <c r="O1947" i="58"/>
  <c r="S1947" i="58" s="1"/>
  <c r="O1946" i="58"/>
  <c r="S1946" i="58" s="1"/>
  <c r="O1945" i="58"/>
  <c r="S1945" i="58" s="1"/>
  <c r="O1944" i="58"/>
  <c r="S1944" i="58" s="1"/>
  <c r="O1943" i="58"/>
  <c r="S1943" i="58" s="1"/>
  <c r="O1942" i="58"/>
  <c r="S1942" i="58" s="1"/>
  <c r="O1941" i="58"/>
  <c r="S1941" i="58" s="1"/>
  <c r="O1940" i="58"/>
  <c r="S1940" i="58" s="1"/>
  <c r="O1939" i="58"/>
  <c r="S1939" i="58" s="1"/>
  <c r="O1938" i="58"/>
  <c r="S1938" i="58" s="1"/>
  <c r="O1937" i="58"/>
  <c r="S1937" i="58" s="1"/>
  <c r="O1936" i="58"/>
  <c r="S1936" i="58" s="1"/>
  <c r="O1935" i="58"/>
  <c r="S1935" i="58" s="1"/>
  <c r="O1934" i="58"/>
  <c r="S1934" i="58" s="1"/>
  <c r="O1933" i="58"/>
  <c r="S1933" i="58" s="1"/>
  <c r="O1932" i="58"/>
  <c r="S1932" i="58" s="1"/>
  <c r="O1931" i="58"/>
  <c r="S1931" i="58" s="1"/>
  <c r="O1930" i="58"/>
  <c r="S1930" i="58" s="1"/>
  <c r="O1929" i="58"/>
  <c r="S1929" i="58" s="1"/>
  <c r="O1928" i="58"/>
  <c r="S1928" i="58" s="1"/>
  <c r="O1927" i="58"/>
  <c r="S1927" i="58" s="1"/>
  <c r="O1926" i="58"/>
  <c r="S1926" i="58" s="1"/>
  <c r="O1925" i="58"/>
  <c r="S1925" i="58" s="1"/>
  <c r="O1924" i="58"/>
  <c r="S1924" i="58" s="1"/>
  <c r="O1923" i="58"/>
  <c r="S1923" i="58" s="1"/>
  <c r="O1922" i="58"/>
  <c r="S1922" i="58" s="1"/>
  <c r="O1921" i="58"/>
  <c r="S1921" i="58" s="1"/>
  <c r="O1920" i="58"/>
  <c r="S1920" i="58" s="1"/>
  <c r="O1919" i="58"/>
  <c r="S1919" i="58" s="1"/>
  <c r="O1918" i="58"/>
  <c r="S1918" i="58" s="1"/>
  <c r="O1917" i="58"/>
  <c r="S1917" i="58" s="1"/>
  <c r="O1916" i="58"/>
  <c r="S1916" i="58" s="1"/>
  <c r="O1915" i="58"/>
  <c r="S1915" i="58" s="1"/>
  <c r="O1914" i="58"/>
  <c r="S1914" i="58" s="1"/>
  <c r="O1913" i="58"/>
  <c r="S1913" i="58" s="1"/>
  <c r="O1912" i="58"/>
  <c r="S1912" i="58" s="1"/>
  <c r="O1911" i="58"/>
  <c r="S1911" i="58" s="1"/>
  <c r="O1910" i="58"/>
  <c r="S1910" i="58" s="1"/>
  <c r="O1909" i="58"/>
  <c r="S1909" i="58" s="1"/>
  <c r="O1908" i="58"/>
  <c r="S1908" i="58" s="1"/>
  <c r="O1907" i="58"/>
  <c r="S1907" i="58" s="1"/>
  <c r="O1906" i="58"/>
  <c r="S1906" i="58" s="1"/>
  <c r="O1905" i="58"/>
  <c r="S1905" i="58" s="1"/>
  <c r="O1904" i="58"/>
  <c r="S1904" i="58" s="1"/>
  <c r="O1903" i="58"/>
  <c r="S1903" i="58" s="1"/>
  <c r="O1902" i="58"/>
  <c r="S1902" i="58" s="1"/>
  <c r="O1901" i="58"/>
  <c r="S1901" i="58" s="1"/>
  <c r="O1900" i="58"/>
  <c r="S1900" i="58" s="1"/>
  <c r="O1899" i="58"/>
  <c r="S1899" i="58" s="1"/>
  <c r="O1898" i="58"/>
  <c r="S1898" i="58" s="1"/>
  <c r="O1897" i="58"/>
  <c r="S1897" i="58" s="1"/>
  <c r="O1896" i="58"/>
  <c r="S1896" i="58" s="1"/>
  <c r="O1895" i="58"/>
  <c r="S1895" i="58" s="1"/>
  <c r="O1894" i="58"/>
  <c r="S1894" i="58" s="1"/>
  <c r="O1893" i="58"/>
  <c r="S1893" i="58" s="1"/>
  <c r="O1892" i="58"/>
  <c r="S1892" i="58" s="1"/>
  <c r="O1891" i="58"/>
  <c r="S1891" i="58" s="1"/>
  <c r="O1890" i="58"/>
  <c r="S1890" i="58" s="1"/>
  <c r="O1889" i="58"/>
  <c r="S1889" i="58" s="1"/>
  <c r="O1888" i="58"/>
  <c r="S1888" i="58" s="1"/>
  <c r="O1887" i="58"/>
  <c r="S1887" i="58" s="1"/>
  <c r="O1886" i="58"/>
  <c r="S1886" i="58" s="1"/>
  <c r="O1885" i="58"/>
  <c r="S1885" i="58" s="1"/>
  <c r="O1884" i="58"/>
  <c r="S1884" i="58" s="1"/>
  <c r="O1883" i="58"/>
  <c r="S1883" i="58" s="1"/>
  <c r="O1882" i="58"/>
  <c r="S1882" i="58" s="1"/>
  <c r="O1881" i="58"/>
  <c r="S1881" i="58" s="1"/>
  <c r="O1880" i="58"/>
  <c r="S1880" i="58" s="1"/>
  <c r="O1879" i="58"/>
  <c r="S1879" i="58" s="1"/>
  <c r="O1878" i="58"/>
  <c r="S1878" i="58" s="1"/>
  <c r="O1877" i="58"/>
  <c r="S1877" i="58" s="1"/>
  <c r="O1876" i="58"/>
  <c r="S1876" i="58" s="1"/>
  <c r="O1875" i="58"/>
  <c r="S1875" i="58" s="1"/>
  <c r="O1874" i="58"/>
  <c r="S1874" i="58" s="1"/>
  <c r="O1873" i="58"/>
  <c r="S1873" i="58" s="1"/>
  <c r="O1872" i="58"/>
  <c r="S1872" i="58" s="1"/>
  <c r="O1871" i="58"/>
  <c r="S1871" i="58" s="1"/>
  <c r="O1870" i="58"/>
  <c r="S1870" i="58" s="1"/>
  <c r="O1869" i="58"/>
  <c r="S1869" i="58" s="1"/>
  <c r="O1868" i="58"/>
  <c r="S1868" i="58" s="1"/>
  <c r="O1867" i="58"/>
  <c r="S1867" i="58" s="1"/>
  <c r="O1866" i="58"/>
  <c r="S1866" i="58" s="1"/>
  <c r="O1865" i="58"/>
  <c r="S1865" i="58" s="1"/>
  <c r="O1864" i="58"/>
  <c r="S1864" i="58" s="1"/>
  <c r="O1863" i="58"/>
  <c r="S1863" i="58" s="1"/>
  <c r="O1862" i="58"/>
  <c r="S1862" i="58" s="1"/>
  <c r="O1861" i="58"/>
  <c r="S1861" i="58" s="1"/>
  <c r="O1860" i="58"/>
  <c r="S1860" i="58" s="1"/>
  <c r="O1859" i="58"/>
  <c r="S1859" i="58" s="1"/>
  <c r="O1858" i="58"/>
  <c r="S1858" i="58" s="1"/>
  <c r="O1857" i="58"/>
  <c r="S1857" i="58" s="1"/>
  <c r="O1856" i="58"/>
  <c r="S1856" i="58" s="1"/>
  <c r="O1855" i="58"/>
  <c r="S1855" i="58" s="1"/>
  <c r="O1854" i="58"/>
  <c r="S1854" i="58" s="1"/>
  <c r="O1853" i="58"/>
  <c r="S1853" i="58" s="1"/>
  <c r="O1852" i="58"/>
  <c r="S1852" i="58" s="1"/>
  <c r="O1851" i="58"/>
  <c r="S1851" i="58" s="1"/>
  <c r="O1850" i="58"/>
  <c r="S1850" i="58" s="1"/>
  <c r="O1849" i="58"/>
  <c r="S1849" i="58" s="1"/>
  <c r="O1848" i="58"/>
  <c r="S1848" i="58" s="1"/>
  <c r="O1847" i="58"/>
  <c r="S1847" i="58" s="1"/>
  <c r="O1846" i="58"/>
  <c r="S1846" i="58" s="1"/>
  <c r="O1845" i="58"/>
  <c r="S1845" i="58" s="1"/>
  <c r="O1844" i="58"/>
  <c r="S1844" i="58" s="1"/>
  <c r="O1843" i="58"/>
  <c r="S1843" i="58" s="1"/>
  <c r="O1842" i="58"/>
  <c r="S1842" i="58" s="1"/>
  <c r="O1841" i="58"/>
  <c r="S1841" i="58" s="1"/>
  <c r="O1840" i="58"/>
  <c r="S1840" i="58" s="1"/>
  <c r="O1839" i="58"/>
  <c r="S1839" i="58" s="1"/>
  <c r="O1838" i="58"/>
  <c r="S1838" i="58" s="1"/>
  <c r="O1837" i="58"/>
  <c r="S1837" i="58" s="1"/>
  <c r="O1836" i="58"/>
  <c r="S1836" i="58" s="1"/>
  <c r="O1835" i="58"/>
  <c r="S1835" i="58" s="1"/>
  <c r="O1834" i="58"/>
  <c r="S1834" i="58" s="1"/>
  <c r="O1833" i="58"/>
  <c r="S1833" i="58" s="1"/>
  <c r="O1832" i="58"/>
  <c r="S1832" i="58" s="1"/>
  <c r="O1831" i="58"/>
  <c r="S1831" i="58" s="1"/>
  <c r="O1830" i="58"/>
  <c r="S1830" i="58" s="1"/>
  <c r="O1829" i="58"/>
  <c r="S1829" i="58" s="1"/>
  <c r="O1828" i="58"/>
  <c r="S1828" i="58" s="1"/>
  <c r="O1827" i="58"/>
  <c r="S1827" i="58" s="1"/>
  <c r="O1826" i="58"/>
  <c r="S1826" i="58" s="1"/>
  <c r="O1825" i="58"/>
  <c r="S1825" i="58" s="1"/>
  <c r="O1824" i="58"/>
  <c r="S1824" i="58" s="1"/>
  <c r="O1823" i="58"/>
  <c r="S1823" i="58" s="1"/>
  <c r="O1822" i="58"/>
  <c r="S1822" i="58" s="1"/>
  <c r="O1821" i="58"/>
  <c r="S1821" i="58" s="1"/>
  <c r="O1820" i="58"/>
  <c r="S1820" i="58" s="1"/>
  <c r="O1819" i="58"/>
  <c r="S1819" i="58" s="1"/>
  <c r="O1818" i="58"/>
  <c r="S1818" i="58" s="1"/>
  <c r="O1817" i="58"/>
  <c r="S1817" i="58" s="1"/>
  <c r="O1816" i="58"/>
  <c r="S1816" i="58" s="1"/>
  <c r="O1815" i="58"/>
  <c r="S1815" i="58" s="1"/>
  <c r="O1814" i="58"/>
  <c r="S1814" i="58" s="1"/>
  <c r="O1813" i="58"/>
  <c r="S1813" i="58" s="1"/>
  <c r="O1812" i="58"/>
  <c r="S1812" i="58" s="1"/>
  <c r="O1811" i="58"/>
  <c r="S1811" i="58" s="1"/>
  <c r="O1810" i="58"/>
  <c r="S1810" i="58" s="1"/>
  <c r="O1809" i="58"/>
  <c r="S1809" i="58" s="1"/>
  <c r="O1808" i="58"/>
  <c r="S1808" i="58" s="1"/>
  <c r="O1807" i="58"/>
  <c r="S1807" i="58" s="1"/>
  <c r="O1806" i="58"/>
  <c r="S1806" i="58" s="1"/>
  <c r="O1805" i="58"/>
  <c r="S1805" i="58" s="1"/>
  <c r="O1804" i="58"/>
  <c r="S1804" i="58" s="1"/>
  <c r="O1803" i="58"/>
  <c r="S1803" i="58" s="1"/>
  <c r="O1802" i="58"/>
  <c r="S1802" i="58" s="1"/>
  <c r="O1801" i="58"/>
  <c r="S1801" i="58" s="1"/>
  <c r="O1800" i="58"/>
  <c r="S1800" i="58" s="1"/>
  <c r="O1799" i="58"/>
  <c r="S1799" i="58" s="1"/>
  <c r="O1798" i="58"/>
  <c r="S1798" i="58" s="1"/>
  <c r="O1797" i="58"/>
  <c r="S1797" i="58" s="1"/>
  <c r="O1796" i="58"/>
  <c r="S1796" i="58" s="1"/>
  <c r="O1795" i="58"/>
  <c r="S1795" i="58" s="1"/>
  <c r="O1794" i="58"/>
  <c r="S1794" i="58" s="1"/>
  <c r="O1793" i="58"/>
  <c r="S1793" i="58" s="1"/>
  <c r="O1792" i="58"/>
  <c r="S1792" i="58" s="1"/>
  <c r="O1791" i="58"/>
  <c r="S1791" i="58" s="1"/>
  <c r="O1790" i="58"/>
  <c r="S1790" i="58" s="1"/>
  <c r="O1789" i="58"/>
  <c r="S1789" i="58" s="1"/>
  <c r="O1788" i="58"/>
  <c r="S1788" i="58" s="1"/>
  <c r="O1787" i="58"/>
  <c r="S1787" i="58" s="1"/>
  <c r="O1786" i="58"/>
  <c r="S1786" i="58" s="1"/>
  <c r="O1785" i="58"/>
  <c r="S1785" i="58" s="1"/>
  <c r="O1784" i="58"/>
  <c r="S1784" i="58" s="1"/>
  <c r="O1783" i="58"/>
  <c r="S1783" i="58" s="1"/>
  <c r="O1782" i="58"/>
  <c r="S1782" i="58" s="1"/>
  <c r="O1781" i="58"/>
  <c r="S1781" i="58" s="1"/>
  <c r="O1780" i="58"/>
  <c r="S1780" i="58" s="1"/>
  <c r="O1779" i="58"/>
  <c r="S1779" i="58" s="1"/>
  <c r="O1778" i="58"/>
  <c r="S1778" i="58" s="1"/>
  <c r="O1777" i="58"/>
  <c r="S1777" i="58" s="1"/>
  <c r="O1776" i="58"/>
  <c r="S1776" i="58" s="1"/>
  <c r="O1775" i="58"/>
  <c r="S1775" i="58" s="1"/>
  <c r="O1774" i="58"/>
  <c r="S1774" i="58" s="1"/>
  <c r="O1773" i="58"/>
  <c r="S1773" i="58" s="1"/>
  <c r="O1772" i="58"/>
  <c r="S1772" i="58" s="1"/>
  <c r="O1771" i="58"/>
  <c r="S1771" i="58" s="1"/>
  <c r="O1770" i="58"/>
  <c r="S1770" i="58" s="1"/>
  <c r="O1769" i="58"/>
  <c r="S1769" i="58" s="1"/>
  <c r="O1768" i="58"/>
  <c r="S1768" i="58" s="1"/>
  <c r="O1767" i="58"/>
  <c r="S1767" i="58" s="1"/>
  <c r="O1766" i="58"/>
  <c r="S1766" i="58" s="1"/>
  <c r="O1765" i="58"/>
  <c r="S1765" i="58" s="1"/>
  <c r="O1764" i="58"/>
  <c r="S1764" i="58" s="1"/>
  <c r="O1763" i="58"/>
  <c r="S1763" i="58" s="1"/>
  <c r="O1762" i="58"/>
  <c r="S1762" i="58" s="1"/>
  <c r="O1761" i="58"/>
  <c r="S1761" i="58" s="1"/>
  <c r="O1760" i="58"/>
  <c r="S1760" i="58" s="1"/>
  <c r="O1759" i="58"/>
  <c r="S1759" i="58" s="1"/>
  <c r="O1758" i="58"/>
  <c r="S1758" i="58" s="1"/>
  <c r="O1757" i="58"/>
  <c r="S1757" i="58" s="1"/>
  <c r="O1756" i="58"/>
  <c r="S1756" i="58" s="1"/>
  <c r="O1755" i="58"/>
  <c r="S1755" i="58" s="1"/>
  <c r="O1754" i="58"/>
  <c r="S1754" i="58" s="1"/>
  <c r="O1753" i="58"/>
  <c r="S1753" i="58" s="1"/>
  <c r="O1752" i="58"/>
  <c r="S1752" i="58" s="1"/>
  <c r="O1751" i="58"/>
  <c r="S1751" i="58" s="1"/>
  <c r="O1750" i="58"/>
  <c r="S1750" i="58" s="1"/>
  <c r="O1749" i="58"/>
  <c r="S1749" i="58" s="1"/>
  <c r="O1748" i="58"/>
  <c r="S1748" i="58" s="1"/>
  <c r="O1747" i="58"/>
  <c r="S1747" i="58" s="1"/>
  <c r="O1746" i="58"/>
  <c r="S1746" i="58" s="1"/>
  <c r="O1745" i="58"/>
  <c r="S1745" i="58" s="1"/>
  <c r="O1744" i="58"/>
  <c r="S1744" i="58" s="1"/>
  <c r="O1743" i="58"/>
  <c r="S1743" i="58" s="1"/>
  <c r="O1742" i="58"/>
  <c r="S1742" i="58" s="1"/>
  <c r="O1741" i="58"/>
  <c r="S1741" i="58" s="1"/>
  <c r="O1740" i="58"/>
  <c r="S1740" i="58" s="1"/>
  <c r="O1739" i="58"/>
  <c r="S1739" i="58" s="1"/>
  <c r="O1738" i="58"/>
  <c r="S1738" i="58" s="1"/>
  <c r="O1737" i="58"/>
  <c r="S1737" i="58" s="1"/>
  <c r="O1736" i="58"/>
  <c r="S1736" i="58" s="1"/>
  <c r="O1735" i="58"/>
  <c r="S1735" i="58" s="1"/>
  <c r="O1734" i="58"/>
  <c r="S1734" i="58" s="1"/>
  <c r="O1733" i="58"/>
  <c r="S1733" i="58" s="1"/>
  <c r="O1732" i="58"/>
  <c r="S1732" i="58" s="1"/>
  <c r="O1731" i="58"/>
  <c r="S1731" i="58" s="1"/>
  <c r="O1730" i="58"/>
  <c r="S1730" i="58" s="1"/>
  <c r="O1729" i="58"/>
  <c r="S1729" i="58" s="1"/>
  <c r="O1728" i="58"/>
  <c r="S1728" i="58" s="1"/>
  <c r="O1727" i="58"/>
  <c r="S1727" i="58" s="1"/>
  <c r="O1726" i="58"/>
  <c r="S1726" i="58" s="1"/>
  <c r="O1725" i="58"/>
  <c r="S1725" i="58" s="1"/>
  <c r="O1724" i="58"/>
  <c r="S1724" i="58" s="1"/>
  <c r="O1723" i="58"/>
  <c r="S1723" i="58" s="1"/>
  <c r="O1722" i="58"/>
  <c r="S1722" i="58" s="1"/>
  <c r="O1721" i="58"/>
  <c r="S1721" i="58" s="1"/>
  <c r="O1720" i="58"/>
  <c r="S1720" i="58" s="1"/>
  <c r="O1719" i="58"/>
  <c r="S1719" i="58" s="1"/>
  <c r="O1718" i="58"/>
  <c r="S1718" i="58" s="1"/>
  <c r="O1717" i="58"/>
  <c r="S1717" i="58" s="1"/>
  <c r="O1716" i="58"/>
  <c r="S1716" i="58" s="1"/>
  <c r="O1715" i="58"/>
  <c r="S1715" i="58" s="1"/>
  <c r="O1714" i="58"/>
  <c r="S1714" i="58" s="1"/>
  <c r="O1713" i="58"/>
  <c r="S1713" i="58" s="1"/>
  <c r="O1712" i="58"/>
  <c r="S1712" i="58" s="1"/>
  <c r="O1711" i="58"/>
  <c r="S1711" i="58" s="1"/>
  <c r="O1710" i="58"/>
  <c r="S1710" i="58" s="1"/>
  <c r="O1709" i="58"/>
  <c r="S1709" i="58" s="1"/>
  <c r="O1708" i="58"/>
  <c r="S1708" i="58" s="1"/>
  <c r="O1707" i="58"/>
  <c r="S1707" i="58" s="1"/>
  <c r="O1706" i="58"/>
  <c r="S1706" i="58" s="1"/>
  <c r="O1705" i="58"/>
  <c r="S1705" i="58" s="1"/>
  <c r="O1704" i="58"/>
  <c r="S1704" i="58" s="1"/>
  <c r="O1703" i="58"/>
  <c r="S1703" i="58" s="1"/>
  <c r="O1702" i="58"/>
  <c r="S1702" i="58" s="1"/>
  <c r="O1701" i="58"/>
  <c r="S1701" i="58" s="1"/>
  <c r="O1700" i="58"/>
  <c r="S1700" i="58" s="1"/>
  <c r="O1699" i="58"/>
  <c r="S1699" i="58" s="1"/>
  <c r="O1698" i="58"/>
  <c r="S1698" i="58" s="1"/>
  <c r="O1697" i="58"/>
  <c r="S1697" i="58" s="1"/>
  <c r="O1696" i="58"/>
  <c r="S1696" i="58" s="1"/>
  <c r="O1695" i="58"/>
  <c r="S1695" i="58" s="1"/>
  <c r="O1694" i="58"/>
  <c r="S1694" i="58" s="1"/>
  <c r="O1693" i="58"/>
  <c r="S1693" i="58" s="1"/>
  <c r="O1692" i="58"/>
  <c r="S1692" i="58" s="1"/>
  <c r="O1691" i="58"/>
  <c r="S1691" i="58" s="1"/>
  <c r="O1690" i="58"/>
  <c r="S1690" i="58" s="1"/>
  <c r="O1689" i="58"/>
  <c r="S1689" i="58" s="1"/>
  <c r="O1688" i="58"/>
  <c r="S1688" i="58" s="1"/>
  <c r="O1687" i="58"/>
  <c r="S1687" i="58" s="1"/>
  <c r="O1686" i="58"/>
  <c r="S1686" i="58" s="1"/>
  <c r="O1685" i="58"/>
  <c r="S1685" i="58" s="1"/>
  <c r="O1684" i="58"/>
  <c r="S1684" i="58" s="1"/>
  <c r="O1683" i="58"/>
  <c r="S1683" i="58" s="1"/>
  <c r="O1682" i="58"/>
  <c r="S1682" i="58" s="1"/>
  <c r="O1681" i="58"/>
  <c r="S1681" i="58" s="1"/>
  <c r="O1680" i="58"/>
  <c r="S1680" i="58" s="1"/>
  <c r="O1679" i="58"/>
  <c r="S1679" i="58" s="1"/>
  <c r="O1678" i="58"/>
  <c r="S1678" i="58" s="1"/>
  <c r="O1677" i="58"/>
  <c r="S1677" i="58" s="1"/>
  <c r="O1676" i="58"/>
  <c r="S1676" i="58" s="1"/>
  <c r="O1675" i="58"/>
  <c r="S1675" i="58" s="1"/>
  <c r="O1674" i="58"/>
  <c r="S1674" i="58" s="1"/>
  <c r="O1673" i="58"/>
  <c r="S1673" i="58" s="1"/>
  <c r="O1672" i="58"/>
  <c r="S1672" i="58" s="1"/>
  <c r="O1671" i="58"/>
  <c r="S1671" i="58" s="1"/>
  <c r="O1670" i="58"/>
  <c r="S1670" i="58" s="1"/>
  <c r="O1669" i="58"/>
  <c r="S1669" i="58" s="1"/>
  <c r="O1668" i="58"/>
  <c r="S1668" i="58" s="1"/>
  <c r="O1667" i="58"/>
  <c r="S1667" i="58" s="1"/>
  <c r="O1666" i="58"/>
  <c r="S1666" i="58" s="1"/>
  <c r="O1665" i="58"/>
  <c r="S1665" i="58" s="1"/>
  <c r="O1664" i="58"/>
  <c r="S1664" i="58" s="1"/>
  <c r="O1663" i="58"/>
  <c r="S1663" i="58" s="1"/>
  <c r="O1662" i="58"/>
  <c r="S1662" i="58" s="1"/>
  <c r="O1661" i="58"/>
  <c r="S1661" i="58" s="1"/>
  <c r="O1660" i="58"/>
  <c r="S1660" i="58" s="1"/>
  <c r="O1659" i="58"/>
  <c r="S1659" i="58" s="1"/>
  <c r="O1658" i="58"/>
  <c r="S1658" i="58" s="1"/>
  <c r="O1657" i="58"/>
  <c r="S1657" i="58" s="1"/>
  <c r="O1656" i="58"/>
  <c r="S1656" i="58" s="1"/>
  <c r="O1655" i="58"/>
  <c r="S1655" i="58" s="1"/>
  <c r="O1654" i="58"/>
  <c r="S1654" i="58" s="1"/>
  <c r="O1653" i="58"/>
  <c r="S1653" i="58" s="1"/>
  <c r="O1652" i="58"/>
  <c r="S1652" i="58" s="1"/>
  <c r="O1651" i="58"/>
  <c r="S1651" i="58" s="1"/>
  <c r="O1650" i="58"/>
  <c r="S1650" i="58" s="1"/>
  <c r="O1649" i="58"/>
  <c r="S1649" i="58" s="1"/>
  <c r="O1648" i="58"/>
  <c r="S1648" i="58" s="1"/>
  <c r="O1647" i="58"/>
  <c r="S1647" i="58" s="1"/>
  <c r="O1646" i="58"/>
  <c r="S1646" i="58" s="1"/>
  <c r="O1645" i="58"/>
  <c r="S1645" i="58" s="1"/>
  <c r="O1644" i="58"/>
  <c r="S1644" i="58" s="1"/>
  <c r="O1643" i="58"/>
  <c r="S1643" i="58" s="1"/>
  <c r="O1642" i="58"/>
  <c r="S1642" i="58" s="1"/>
  <c r="O1641" i="58"/>
  <c r="S1641" i="58" s="1"/>
  <c r="O1640" i="58"/>
  <c r="S1640" i="58" s="1"/>
  <c r="O1639" i="58"/>
  <c r="S1639" i="58" s="1"/>
  <c r="O1638" i="58"/>
  <c r="S1638" i="58" s="1"/>
  <c r="O1637" i="58"/>
  <c r="S1637" i="58" s="1"/>
  <c r="O1636" i="58"/>
  <c r="S1636" i="58" s="1"/>
  <c r="O1635" i="58"/>
  <c r="S1635" i="58" s="1"/>
  <c r="O1634" i="58"/>
  <c r="S1634" i="58" s="1"/>
  <c r="O1633" i="58"/>
  <c r="S1633" i="58" s="1"/>
  <c r="O1632" i="58"/>
  <c r="S1632" i="58" s="1"/>
  <c r="O1631" i="58"/>
  <c r="S1631" i="58" s="1"/>
  <c r="O1630" i="58"/>
  <c r="S1630" i="58" s="1"/>
  <c r="O1629" i="58"/>
  <c r="S1629" i="58" s="1"/>
  <c r="O1628" i="58"/>
  <c r="S1628" i="58" s="1"/>
  <c r="O1627" i="58"/>
  <c r="S1627" i="58" s="1"/>
  <c r="O1626" i="58"/>
  <c r="S1626" i="58" s="1"/>
  <c r="O1625" i="58"/>
  <c r="S1625" i="58" s="1"/>
  <c r="O1624" i="58"/>
  <c r="S1624" i="58" s="1"/>
  <c r="O1623" i="58"/>
  <c r="S1623" i="58" s="1"/>
  <c r="O1622" i="58"/>
  <c r="S1622" i="58" s="1"/>
  <c r="O1621" i="58"/>
  <c r="S1621" i="58" s="1"/>
  <c r="O1620" i="58"/>
  <c r="S1620" i="58" s="1"/>
  <c r="O1619" i="58"/>
  <c r="S1619" i="58" s="1"/>
  <c r="O1618" i="58"/>
  <c r="S1618" i="58" s="1"/>
  <c r="O1617" i="58"/>
  <c r="S1617" i="58" s="1"/>
  <c r="O1616" i="58"/>
  <c r="S1616" i="58" s="1"/>
  <c r="O1615" i="58"/>
  <c r="S1615" i="58" s="1"/>
  <c r="O1614" i="58"/>
  <c r="S1614" i="58" s="1"/>
  <c r="O1613" i="58"/>
  <c r="S1613" i="58" s="1"/>
  <c r="O1612" i="58"/>
  <c r="S1612" i="58" s="1"/>
  <c r="O1611" i="58"/>
  <c r="S1611" i="58" s="1"/>
  <c r="O1610" i="58"/>
  <c r="S1610" i="58" s="1"/>
  <c r="O1609" i="58"/>
  <c r="S1609" i="58" s="1"/>
  <c r="O1608" i="58"/>
  <c r="P1608" i="58" s="1"/>
  <c r="O1607" i="58"/>
  <c r="O1606" i="58"/>
  <c r="P1606" i="58" s="1"/>
  <c r="O1605" i="58"/>
  <c r="S1605" i="58" s="1"/>
  <c r="O1604" i="58"/>
  <c r="P1604" i="58" s="1"/>
  <c r="O1603" i="58"/>
  <c r="O1602" i="58"/>
  <c r="O1601" i="58"/>
  <c r="S1601" i="58" s="1"/>
  <c r="O1600" i="58"/>
  <c r="P1600" i="58" s="1"/>
  <c r="O1599" i="58"/>
  <c r="S1599" i="58" s="1"/>
  <c r="O1598" i="58"/>
  <c r="P1598" i="58" s="1"/>
  <c r="O1597" i="58"/>
  <c r="O1596" i="58"/>
  <c r="O1595" i="58"/>
  <c r="O1594" i="58"/>
  <c r="O1593" i="58"/>
  <c r="S1593" i="58" s="1"/>
  <c r="O1592" i="58"/>
  <c r="S1592" i="58" s="1"/>
  <c r="O1591" i="58"/>
  <c r="O1590" i="58"/>
  <c r="P1590" i="58" s="1"/>
  <c r="O1589" i="58"/>
  <c r="O1588" i="58"/>
  <c r="P1588" i="58" s="1"/>
  <c r="O1587" i="58"/>
  <c r="O1586" i="58"/>
  <c r="P1586" i="58" s="1"/>
  <c r="O1585" i="58"/>
  <c r="O1584" i="58"/>
  <c r="P1584" i="58" s="1"/>
  <c r="O1583" i="58"/>
  <c r="S1583" i="58" s="1"/>
  <c r="O1582" i="58"/>
  <c r="O1581" i="58"/>
  <c r="O1580" i="58"/>
  <c r="O1579" i="58"/>
  <c r="S1579" i="58" s="1"/>
  <c r="O1578" i="58"/>
  <c r="O1577" i="58"/>
  <c r="P1577" i="58" s="1"/>
  <c r="O1576" i="58"/>
  <c r="O1575" i="58"/>
  <c r="P1575" i="58" s="1"/>
  <c r="O1574" i="58"/>
  <c r="P1574" i="58" s="1"/>
  <c r="O1573" i="58"/>
  <c r="O1572" i="58"/>
  <c r="P1572" i="58" s="1"/>
  <c r="O1571" i="58"/>
  <c r="S1571" i="58" s="1"/>
  <c r="O1570" i="58"/>
  <c r="P1570" i="58" s="1"/>
  <c r="O1569" i="58"/>
  <c r="S1569" i="58" s="1"/>
  <c r="O1568" i="58"/>
  <c r="O1567" i="58"/>
  <c r="O1566" i="58"/>
  <c r="P1566" i="58" s="1"/>
  <c r="O1565" i="58"/>
  <c r="S1565" i="58" s="1"/>
  <c r="O1564" i="58"/>
  <c r="P1564" i="58" s="1"/>
  <c r="O1563" i="58"/>
  <c r="S1563" i="58" s="1"/>
  <c r="O1562" i="58"/>
  <c r="P1562" i="58" s="1"/>
  <c r="O1561" i="58"/>
  <c r="O1560" i="58"/>
  <c r="P1560" i="58" s="1"/>
  <c r="O1559" i="58"/>
  <c r="O1558" i="58"/>
  <c r="O1557" i="58"/>
  <c r="P1557" i="58" s="1"/>
  <c r="O1556" i="58"/>
  <c r="P1556" i="58" s="1"/>
  <c r="O1555" i="58"/>
  <c r="S1555" i="58" s="1"/>
  <c r="O1554" i="58"/>
  <c r="O1553" i="58"/>
  <c r="O1552" i="58"/>
  <c r="O1551" i="58"/>
  <c r="P1551" i="58" s="1"/>
  <c r="O1550" i="58"/>
  <c r="O1549" i="58"/>
  <c r="S1549" i="58" s="1"/>
  <c r="O1548" i="58"/>
  <c r="O1547" i="58"/>
  <c r="S1547" i="58" s="1"/>
  <c r="O1546" i="58"/>
  <c r="O1545" i="58"/>
  <c r="S1545" i="58" s="1"/>
  <c r="O1544" i="58"/>
  <c r="P1544" i="58" s="1"/>
  <c r="O1543" i="58"/>
  <c r="S1543" i="58" s="1"/>
  <c r="O1542" i="58"/>
  <c r="O1541" i="58"/>
  <c r="S1541" i="58" s="1"/>
  <c r="O1540" i="58"/>
  <c r="P1540" i="58" s="1"/>
  <c r="O1539" i="58"/>
  <c r="O1538" i="58"/>
  <c r="S1538" i="58" s="1"/>
  <c r="O1537" i="58"/>
  <c r="S1537" i="58" s="1"/>
  <c r="O1536" i="58"/>
  <c r="S1536" i="58" s="1"/>
  <c r="O1535" i="58"/>
  <c r="O1534" i="58"/>
  <c r="O1533" i="58"/>
  <c r="O1532" i="58"/>
  <c r="P1532" i="58" s="1"/>
  <c r="O1531" i="58"/>
  <c r="O1530" i="58"/>
  <c r="O1529" i="58"/>
  <c r="S1529" i="58" s="1"/>
  <c r="O1528" i="58"/>
  <c r="S1528" i="58" s="1"/>
  <c r="O1527" i="58"/>
  <c r="P1527" i="58" s="1"/>
  <c r="O1526" i="58"/>
  <c r="O1525" i="58"/>
  <c r="P1525" i="58" s="1"/>
  <c r="O1524" i="58"/>
  <c r="O1523" i="58"/>
  <c r="S1523" i="58" s="1"/>
  <c r="O1522" i="58"/>
  <c r="S1522" i="58" s="1"/>
  <c r="O1521" i="58"/>
  <c r="S1521" i="58" s="1"/>
  <c r="O1520" i="58"/>
  <c r="P1520" i="58" s="1"/>
  <c r="O1519" i="58"/>
  <c r="S1519" i="58" s="1"/>
  <c r="O1518" i="58"/>
  <c r="O1517" i="58"/>
  <c r="O1516" i="58"/>
  <c r="P1516" i="58" s="1"/>
  <c r="O1515" i="58"/>
  <c r="S1515" i="58" s="1"/>
  <c r="O1514" i="58"/>
  <c r="P1514" i="58" s="1"/>
  <c r="O1513" i="58"/>
  <c r="S1513" i="58" s="1"/>
  <c r="O1512" i="58"/>
  <c r="O1511" i="58"/>
  <c r="P1511" i="58" s="1"/>
  <c r="O1510" i="58"/>
  <c r="P1510" i="58" s="1"/>
  <c r="O1509" i="58"/>
  <c r="O1508" i="58"/>
  <c r="O1507" i="58"/>
  <c r="O1506" i="58"/>
  <c r="P1506" i="58" s="1"/>
  <c r="N1506" i="58"/>
  <c r="O1505" i="58"/>
  <c r="N1505" i="58"/>
  <c r="O1504" i="58"/>
  <c r="S1504" i="58" s="1"/>
  <c r="N1504" i="58"/>
  <c r="O1503" i="58"/>
  <c r="N1503" i="58"/>
  <c r="O1502" i="58"/>
  <c r="P1502" i="58" s="1"/>
  <c r="N1502" i="58"/>
  <c r="O1501" i="58"/>
  <c r="N1501" i="58"/>
  <c r="O1500" i="58"/>
  <c r="N1500" i="58"/>
  <c r="O1499" i="58"/>
  <c r="N1499" i="58"/>
  <c r="O1498" i="58"/>
  <c r="S1498" i="58" s="1"/>
  <c r="N1498" i="58"/>
  <c r="O1497" i="58"/>
  <c r="N1497" i="58"/>
  <c r="O1496" i="58"/>
  <c r="N1496" i="58"/>
  <c r="O1495" i="58"/>
  <c r="P1495" i="58" s="1"/>
  <c r="N1495" i="58"/>
  <c r="O1494" i="58"/>
  <c r="N1494" i="58"/>
  <c r="O1493" i="58"/>
  <c r="N1493" i="58"/>
  <c r="O1492" i="58"/>
  <c r="N1492" i="58"/>
  <c r="O1491" i="58"/>
  <c r="N1491" i="58"/>
  <c r="O1490" i="58"/>
  <c r="S1490" i="58" s="1"/>
  <c r="N1490" i="58"/>
  <c r="O1489" i="58"/>
  <c r="P1489" i="58" s="1"/>
  <c r="N1489" i="58"/>
  <c r="O1488" i="58"/>
  <c r="P1488" i="58" s="1"/>
  <c r="N1488" i="58"/>
  <c r="O1487" i="58"/>
  <c r="P1487" i="58" s="1"/>
  <c r="N1487" i="58"/>
  <c r="O1486" i="58"/>
  <c r="S1486" i="58" s="1"/>
  <c r="N1486" i="58"/>
  <c r="O1485" i="58"/>
  <c r="N1485" i="58"/>
  <c r="O1484" i="58"/>
  <c r="S1484" i="58" s="1"/>
  <c r="N1484" i="58"/>
  <c r="O1483" i="58"/>
  <c r="P1483" i="58" s="1"/>
  <c r="N1483" i="58"/>
  <c r="O1482" i="58"/>
  <c r="P1482" i="58" s="1"/>
  <c r="N1482" i="58"/>
  <c r="O1481" i="58"/>
  <c r="N1481" i="58"/>
  <c r="O1480" i="58"/>
  <c r="S1480" i="58" s="1"/>
  <c r="N1480" i="58"/>
  <c r="O1479" i="58"/>
  <c r="P1479" i="58" s="1"/>
  <c r="N1479" i="58"/>
  <c r="O1478" i="58"/>
  <c r="S1478" i="58" s="1"/>
  <c r="N1478" i="58"/>
  <c r="O1477" i="58"/>
  <c r="P1477" i="58" s="1"/>
  <c r="N1477" i="58"/>
  <c r="O1476" i="58"/>
  <c r="N1476" i="58"/>
  <c r="O1475" i="58"/>
  <c r="N1475" i="58"/>
  <c r="O1474" i="58"/>
  <c r="S1474" i="58" s="1"/>
  <c r="N1474" i="58"/>
  <c r="O1473" i="58"/>
  <c r="P1473" i="58" s="1"/>
  <c r="N1473" i="58"/>
  <c r="O1472" i="58"/>
  <c r="S1472" i="58" s="1"/>
  <c r="N1472" i="58"/>
  <c r="O1471" i="58"/>
  <c r="N1471" i="58"/>
  <c r="O1470" i="58"/>
  <c r="P1470" i="58" s="1"/>
  <c r="N1470" i="58"/>
  <c r="O1469" i="58"/>
  <c r="N1469" i="58"/>
  <c r="O1468" i="58"/>
  <c r="N1468" i="58"/>
  <c r="O1467" i="58"/>
  <c r="P1467" i="58" s="1"/>
  <c r="N1467" i="58"/>
  <c r="O1466" i="58"/>
  <c r="S1466" i="58" s="1"/>
  <c r="N1466" i="58"/>
  <c r="O1465" i="58"/>
  <c r="P1465" i="58" s="1"/>
  <c r="N1465" i="58"/>
  <c r="O1464" i="58"/>
  <c r="N1464" i="58"/>
  <c r="O1463" i="58"/>
  <c r="P1463" i="58" s="1"/>
  <c r="N1463" i="58"/>
  <c r="O1462" i="58"/>
  <c r="S1462" i="58" s="1"/>
  <c r="N1462" i="58"/>
  <c r="O1461" i="58"/>
  <c r="P1461" i="58" s="1"/>
  <c r="N1461" i="58"/>
  <c r="O1460" i="58"/>
  <c r="N1460" i="58"/>
  <c r="O1459" i="58"/>
  <c r="P1459" i="58" s="1"/>
  <c r="N1459" i="58"/>
  <c r="O1458" i="58"/>
  <c r="N1458" i="58"/>
  <c r="O1457" i="58"/>
  <c r="P1457" i="58" s="1"/>
  <c r="N1457" i="58"/>
  <c r="O1456" i="58"/>
  <c r="S1456" i="58" s="1"/>
  <c r="N1456" i="58"/>
  <c r="O1455" i="58"/>
  <c r="P1455" i="58" s="1"/>
  <c r="N1455" i="58"/>
  <c r="O1454" i="58"/>
  <c r="N1454" i="58"/>
  <c r="O1453" i="58"/>
  <c r="N1453" i="58"/>
  <c r="O1452" i="58"/>
  <c r="P1452" i="58" s="1"/>
  <c r="N1452" i="58"/>
  <c r="O1451" i="58"/>
  <c r="N1451" i="58"/>
  <c r="O1450" i="58"/>
  <c r="P1450" i="58" s="1"/>
  <c r="N1450" i="58"/>
  <c r="O1449" i="58"/>
  <c r="P1449" i="58" s="1"/>
  <c r="N1449" i="58"/>
  <c r="O1448" i="58"/>
  <c r="S1448" i="58" s="1"/>
  <c r="N1448" i="58"/>
  <c r="O1447" i="58"/>
  <c r="P1447" i="58" s="1"/>
  <c r="N1447" i="58"/>
  <c r="O1446" i="58"/>
  <c r="S1446" i="58" s="1"/>
  <c r="N1446" i="58"/>
  <c r="O1445" i="58"/>
  <c r="P1445" i="58" s="1"/>
  <c r="N1445" i="58"/>
  <c r="O1444" i="58"/>
  <c r="N1444" i="58"/>
  <c r="O1443" i="58"/>
  <c r="P1443" i="58" s="1"/>
  <c r="N1443" i="58"/>
  <c r="O1442" i="58"/>
  <c r="P1442" i="58" s="1"/>
  <c r="N1442" i="58"/>
  <c r="O1441" i="58"/>
  <c r="N1441" i="58"/>
  <c r="O1440" i="58"/>
  <c r="N1440" i="58"/>
  <c r="O1439" i="58"/>
  <c r="N1439" i="58"/>
  <c r="O1438" i="58"/>
  <c r="S1438" i="58" s="1"/>
  <c r="N1438" i="58"/>
  <c r="O1437" i="58"/>
  <c r="N1437" i="58"/>
  <c r="O1436" i="58"/>
  <c r="S1436" i="58" s="1"/>
  <c r="N1436" i="58"/>
  <c r="O1435" i="58"/>
  <c r="P1435" i="58" s="1"/>
  <c r="N1435" i="58"/>
  <c r="O1434" i="58"/>
  <c r="S1434" i="58" s="1"/>
  <c r="N1434" i="58"/>
  <c r="O1433" i="58"/>
  <c r="P1433" i="58" s="1"/>
  <c r="N1433" i="58"/>
  <c r="O1432" i="58"/>
  <c r="N1432" i="58"/>
  <c r="O1431" i="58"/>
  <c r="N1431" i="58"/>
  <c r="O1430" i="58"/>
  <c r="N1430" i="58"/>
  <c r="O1429" i="58"/>
  <c r="N1429" i="58"/>
  <c r="O1428" i="58"/>
  <c r="N1428" i="58"/>
  <c r="O1427" i="58"/>
  <c r="P1427" i="58" s="1"/>
  <c r="N1427" i="58"/>
  <c r="O1426" i="58"/>
  <c r="P1426" i="58" s="1"/>
  <c r="N1426" i="58"/>
  <c r="O1425" i="58"/>
  <c r="N1425" i="58"/>
  <c r="O1424" i="58"/>
  <c r="S1424" i="58" s="1"/>
  <c r="N1424" i="58"/>
  <c r="O1423" i="58"/>
  <c r="P1423" i="58" s="1"/>
  <c r="N1423" i="58"/>
  <c r="O1422" i="58"/>
  <c r="N1422" i="58"/>
  <c r="O1421" i="58"/>
  <c r="N1421" i="58"/>
  <c r="O1420" i="58"/>
  <c r="S1420" i="58" s="1"/>
  <c r="N1420" i="58"/>
  <c r="O1419" i="58"/>
  <c r="P1419" i="58" s="1"/>
  <c r="N1419" i="58"/>
  <c r="O1418" i="58"/>
  <c r="N1418" i="58"/>
  <c r="O1417" i="58"/>
  <c r="P1417" i="58" s="1"/>
  <c r="N1417" i="58"/>
  <c r="O1416" i="58"/>
  <c r="S1416" i="58" s="1"/>
  <c r="N1416" i="58"/>
  <c r="O1415" i="58"/>
  <c r="P1415" i="58" s="1"/>
  <c r="N1415" i="58"/>
  <c r="O1414" i="58"/>
  <c r="S1414" i="58" s="1"/>
  <c r="N1414" i="58"/>
  <c r="O1413" i="58"/>
  <c r="N1413" i="58"/>
  <c r="O1412" i="58"/>
  <c r="N1412" i="58"/>
  <c r="O1411" i="58"/>
  <c r="P1411" i="58" s="1"/>
  <c r="N1411" i="58"/>
  <c r="O1410" i="58"/>
  <c r="P1410" i="58" s="1"/>
  <c r="N1410" i="58"/>
  <c r="O1409" i="58"/>
  <c r="P1409" i="58" s="1"/>
  <c r="N1409" i="58"/>
  <c r="O1408" i="58"/>
  <c r="S1408" i="58" s="1"/>
  <c r="N1408" i="58"/>
  <c r="O1407" i="58"/>
  <c r="N1407" i="58"/>
  <c r="O1406" i="58"/>
  <c r="S1406" i="58" s="1"/>
  <c r="N1406" i="58"/>
  <c r="O1405" i="58"/>
  <c r="N1405" i="58"/>
  <c r="O1404" i="58"/>
  <c r="S1404" i="58" s="1"/>
  <c r="N1404" i="58"/>
  <c r="O1403" i="58"/>
  <c r="P1403" i="58" s="1"/>
  <c r="N1403" i="58"/>
  <c r="O1402" i="58"/>
  <c r="N1402" i="58"/>
  <c r="O1401" i="58"/>
  <c r="P1401" i="58" s="1"/>
  <c r="N1401" i="58"/>
  <c r="O1400" i="58"/>
  <c r="N1400" i="58"/>
  <c r="O1399" i="58"/>
  <c r="N1399" i="58"/>
  <c r="O1398" i="58"/>
  <c r="N1398" i="58"/>
  <c r="O1397" i="58"/>
  <c r="P1397" i="58" s="1"/>
  <c r="N1397" i="58"/>
  <c r="O1396" i="58"/>
  <c r="N1396" i="58"/>
  <c r="O1395" i="58"/>
  <c r="P1395" i="58" s="1"/>
  <c r="N1395" i="58"/>
  <c r="O1394" i="58"/>
  <c r="S1394" i="58" s="1"/>
  <c r="N1394" i="58"/>
  <c r="O1393" i="58"/>
  <c r="N1393" i="58"/>
  <c r="O1392" i="58"/>
  <c r="S1392" i="58" s="1"/>
  <c r="N1392" i="58"/>
  <c r="O1391" i="58"/>
  <c r="N1391" i="58"/>
  <c r="O1390" i="58"/>
  <c r="N1390" i="58"/>
  <c r="O1389" i="58"/>
  <c r="N1389" i="58"/>
  <c r="O1388" i="58"/>
  <c r="N1388" i="58"/>
  <c r="O1387" i="58"/>
  <c r="N1387" i="58"/>
  <c r="O1386" i="58"/>
  <c r="S1386" i="58" s="1"/>
  <c r="N1386" i="58"/>
  <c r="O1385" i="58"/>
  <c r="N1385" i="58"/>
  <c r="O1384" i="58"/>
  <c r="S1384" i="58" s="1"/>
  <c r="N1384" i="58"/>
  <c r="O1383" i="58"/>
  <c r="N1383" i="58"/>
  <c r="O1382" i="58"/>
  <c r="N1382" i="58"/>
  <c r="O1381" i="58"/>
  <c r="N1381" i="58"/>
  <c r="O1380" i="58"/>
  <c r="S1380" i="58" s="1"/>
  <c r="N1380" i="58"/>
  <c r="O1379" i="58"/>
  <c r="N1379" i="58"/>
  <c r="O1378" i="58"/>
  <c r="S1378" i="58" s="1"/>
  <c r="N1378" i="58"/>
  <c r="O1377" i="58"/>
  <c r="N1377" i="58"/>
  <c r="O1376" i="58"/>
  <c r="N1376" i="58"/>
  <c r="O1375" i="58"/>
  <c r="N1375" i="58"/>
  <c r="O1374" i="58"/>
  <c r="N1374" i="58"/>
  <c r="O1373" i="58"/>
  <c r="P1373" i="58" s="1"/>
  <c r="N1373" i="58"/>
  <c r="O1363" i="58"/>
  <c r="P1363" i="58" s="1"/>
  <c r="N1363" i="58"/>
  <c r="O1362" i="58"/>
  <c r="P1362" i="58" s="1"/>
  <c r="N1362" i="58"/>
  <c r="O1361" i="58"/>
  <c r="P1361" i="58" s="1"/>
  <c r="N1361" i="58"/>
  <c r="O1360" i="58"/>
  <c r="S1360" i="58" s="1"/>
  <c r="N1360" i="58"/>
  <c r="O1359" i="58"/>
  <c r="N1359" i="58"/>
  <c r="O1358" i="58"/>
  <c r="S1358" i="58" s="1"/>
  <c r="N1358" i="58"/>
  <c r="O1357" i="58"/>
  <c r="P1357" i="58" s="1"/>
  <c r="N1357" i="58"/>
  <c r="O1356" i="58"/>
  <c r="S1356" i="58" s="1"/>
  <c r="N1356" i="58"/>
  <c r="O1355" i="58"/>
  <c r="P1355" i="58" s="1"/>
  <c r="N1355" i="58"/>
  <c r="O1354" i="58"/>
  <c r="P1354" i="58" s="1"/>
  <c r="N1354" i="58"/>
  <c r="O1353" i="58"/>
  <c r="P1353" i="58" s="1"/>
  <c r="N1353" i="58"/>
  <c r="O1352" i="58"/>
  <c r="P1352" i="58" s="1"/>
  <c r="N1352" i="58"/>
  <c r="O1351" i="58"/>
  <c r="P1351" i="58" s="1"/>
  <c r="N1351" i="58"/>
  <c r="O1350" i="58"/>
  <c r="N1350" i="58"/>
  <c r="O1349" i="58"/>
  <c r="P1349" i="58" s="1"/>
  <c r="N1349" i="58"/>
  <c r="O1348" i="58"/>
  <c r="S1348" i="58" s="1"/>
  <c r="N1348" i="58"/>
  <c r="O1347" i="58"/>
  <c r="P1347" i="58" s="1"/>
  <c r="N1347" i="58"/>
  <c r="O1346" i="58"/>
  <c r="N1346" i="58"/>
  <c r="O1345" i="58"/>
  <c r="P1345" i="58" s="1"/>
  <c r="N1345" i="58"/>
  <c r="O1344" i="58"/>
  <c r="S1344" i="58" s="1"/>
  <c r="N1344" i="58"/>
  <c r="O1343" i="58"/>
  <c r="N1343" i="58"/>
  <c r="O1342" i="58"/>
  <c r="S1342" i="58" s="1"/>
  <c r="N1342" i="58"/>
  <c r="O1341" i="58"/>
  <c r="P1341" i="58" s="1"/>
  <c r="N1341" i="58"/>
  <c r="O1340" i="58"/>
  <c r="N1340" i="58"/>
  <c r="O1339" i="58"/>
  <c r="P1339" i="58" s="1"/>
  <c r="N1339" i="58"/>
  <c r="O1338" i="58"/>
  <c r="P1338" i="58" s="1"/>
  <c r="N1338" i="58"/>
  <c r="O1337" i="58"/>
  <c r="N1337" i="58"/>
  <c r="O1336" i="58"/>
  <c r="S1336" i="58" s="1"/>
  <c r="N1336" i="58"/>
  <c r="O1335" i="58"/>
  <c r="P1335" i="58" s="1"/>
  <c r="N1335" i="58"/>
  <c r="O1334" i="58"/>
  <c r="N1334" i="58"/>
  <c r="O1333" i="58"/>
  <c r="P1333" i="58" s="1"/>
  <c r="N1333" i="58"/>
  <c r="O1332" i="58"/>
  <c r="S1332" i="58" s="1"/>
  <c r="N1332" i="58"/>
  <c r="O1331" i="58"/>
  <c r="P1331" i="58" s="1"/>
  <c r="N1331" i="58"/>
  <c r="O1330" i="58"/>
  <c r="N1330" i="58"/>
  <c r="O1329" i="58"/>
  <c r="P1329" i="58" s="1"/>
  <c r="N1329" i="58"/>
  <c r="O1328" i="58"/>
  <c r="S1328" i="58" s="1"/>
  <c r="N1328" i="58"/>
  <c r="O1327" i="58"/>
  <c r="N1327" i="58"/>
  <c r="O1326" i="58"/>
  <c r="S1326" i="58" s="1"/>
  <c r="N1326" i="58"/>
  <c r="O1325" i="58"/>
  <c r="P1325" i="58" s="1"/>
  <c r="N1325" i="58"/>
  <c r="O1324" i="58"/>
  <c r="N1324" i="58"/>
  <c r="O1323" i="58"/>
  <c r="P1323" i="58" s="1"/>
  <c r="N1323" i="58"/>
  <c r="O1322" i="58"/>
  <c r="P1322" i="58" s="1"/>
  <c r="N1322" i="58"/>
  <c r="O1321" i="58"/>
  <c r="N1321" i="58"/>
  <c r="O1320" i="58"/>
  <c r="S1320" i="58" s="1"/>
  <c r="N1320" i="58"/>
  <c r="O1319" i="58"/>
  <c r="P1319" i="58" s="1"/>
  <c r="N1319" i="58"/>
  <c r="O1318" i="58"/>
  <c r="N1318" i="58"/>
  <c r="O1317" i="58"/>
  <c r="P1317" i="58" s="1"/>
  <c r="N1317" i="58"/>
  <c r="O1316" i="58"/>
  <c r="S1316" i="58" s="1"/>
  <c r="N1316" i="58"/>
  <c r="O1315" i="58"/>
  <c r="P1315" i="58" s="1"/>
  <c r="N1315" i="58"/>
  <c r="O1314" i="58"/>
  <c r="P1314" i="58" s="1"/>
  <c r="N1314" i="58"/>
  <c r="O1313" i="58"/>
  <c r="P1313" i="58" s="1"/>
  <c r="N1313" i="58"/>
  <c r="O1312" i="58"/>
  <c r="S1312" i="58" s="1"/>
  <c r="N1312" i="58"/>
  <c r="O1311" i="58"/>
  <c r="N1311" i="58"/>
  <c r="O1310" i="58"/>
  <c r="S1310" i="58" s="1"/>
  <c r="N1310" i="58"/>
  <c r="O1309" i="58"/>
  <c r="P1309" i="58" s="1"/>
  <c r="N1309" i="58"/>
  <c r="O1308" i="58"/>
  <c r="S1308" i="58" s="1"/>
  <c r="N1308" i="58"/>
  <c r="O1307" i="58"/>
  <c r="P1307" i="58" s="1"/>
  <c r="N1307" i="58"/>
  <c r="O1306" i="58"/>
  <c r="P1306" i="58" s="1"/>
  <c r="N1306" i="58"/>
  <c r="O1305" i="58"/>
  <c r="P1305" i="58" s="1"/>
  <c r="N1305" i="58"/>
  <c r="O1304" i="58"/>
  <c r="N1304" i="58"/>
  <c r="O1303" i="58"/>
  <c r="P1303" i="58" s="1"/>
  <c r="N1303" i="58"/>
  <c r="O1302" i="58"/>
  <c r="N1302" i="58"/>
  <c r="O1301" i="58"/>
  <c r="P1301" i="58" s="1"/>
  <c r="N1301" i="58"/>
  <c r="O1300" i="58"/>
  <c r="N1300" i="58"/>
  <c r="O1299" i="58"/>
  <c r="P1299" i="58" s="1"/>
  <c r="N1299" i="58"/>
  <c r="O1298" i="58"/>
  <c r="P1298" i="58" s="1"/>
  <c r="N1298" i="58"/>
  <c r="O1297" i="58"/>
  <c r="N1297" i="58"/>
  <c r="O1296" i="58"/>
  <c r="S1296" i="58" s="1"/>
  <c r="N1296" i="58"/>
  <c r="O1295" i="58"/>
  <c r="N1295" i="58"/>
  <c r="O1294" i="58"/>
  <c r="S1294" i="58" s="1"/>
  <c r="N1294" i="58"/>
  <c r="O1293" i="58"/>
  <c r="P1293" i="58" s="1"/>
  <c r="N1293" i="58"/>
  <c r="O1292" i="58"/>
  <c r="N1292" i="58"/>
  <c r="O1291" i="58"/>
  <c r="P1291" i="58" s="1"/>
  <c r="N1291" i="58"/>
  <c r="O1290" i="58"/>
  <c r="P1290" i="58" s="1"/>
  <c r="N1290" i="58"/>
  <c r="O1289" i="58"/>
  <c r="N1289" i="58"/>
  <c r="O1288" i="58"/>
  <c r="P1288" i="58" s="1"/>
  <c r="N1288" i="58"/>
  <c r="O1287" i="58"/>
  <c r="P1287" i="58" s="1"/>
  <c r="N1287" i="58"/>
  <c r="O1286" i="58"/>
  <c r="N1286" i="58"/>
  <c r="O1285" i="58"/>
  <c r="P1285" i="58" s="1"/>
  <c r="N1285" i="58"/>
  <c r="O1284" i="58"/>
  <c r="S1284" i="58" s="1"/>
  <c r="N1284" i="58"/>
  <c r="O1283" i="58"/>
  <c r="P1283" i="58" s="1"/>
  <c r="N1283" i="58"/>
  <c r="O1282" i="58"/>
  <c r="P1282" i="58" s="1"/>
  <c r="N1282" i="58"/>
  <c r="O1281" i="58"/>
  <c r="P1281" i="58" s="1"/>
  <c r="N1281" i="58"/>
  <c r="O1280" i="58"/>
  <c r="P1280" i="58" s="1"/>
  <c r="N1280" i="58"/>
  <c r="O1279" i="58"/>
  <c r="P1279" i="58" s="1"/>
  <c r="N1279" i="58"/>
  <c r="O1278" i="58"/>
  <c r="P1278" i="58" s="1"/>
  <c r="N1278" i="58"/>
  <c r="O1277" i="58"/>
  <c r="N1277" i="58"/>
  <c r="O1276" i="58"/>
  <c r="P1276" i="58" s="1"/>
  <c r="N1276" i="58"/>
  <c r="O1275" i="58"/>
  <c r="P1275" i="58" s="1"/>
  <c r="N1275" i="58"/>
  <c r="O1274" i="58"/>
  <c r="P1274" i="58" s="1"/>
  <c r="N1274" i="58"/>
  <c r="O1273" i="58"/>
  <c r="N1273" i="58"/>
  <c r="O1272" i="58"/>
  <c r="P1272" i="58" s="1"/>
  <c r="N1272" i="58"/>
  <c r="O1271" i="58"/>
  <c r="P1271" i="58" s="1"/>
  <c r="N1271" i="58"/>
  <c r="O1270" i="58"/>
  <c r="P1270" i="58" s="1"/>
  <c r="N1270" i="58"/>
  <c r="O1269" i="58"/>
  <c r="P1269" i="58" s="1"/>
  <c r="N1269" i="58"/>
  <c r="O1268" i="58"/>
  <c r="P1268" i="58" s="1"/>
  <c r="N1268" i="58"/>
  <c r="O1267" i="58"/>
  <c r="N1267" i="58"/>
  <c r="O1266" i="58"/>
  <c r="P1266" i="58" s="1"/>
  <c r="N1266" i="58"/>
  <c r="O1265" i="58"/>
  <c r="P1265" i="58" s="1"/>
  <c r="N1265" i="58"/>
  <c r="O1264" i="58"/>
  <c r="P1264" i="58" s="1"/>
  <c r="N1264" i="58"/>
  <c r="O1263" i="58"/>
  <c r="N1263" i="58"/>
  <c r="O1262" i="58"/>
  <c r="N1262" i="58"/>
  <c r="O1261" i="58"/>
  <c r="P1261" i="58" s="1"/>
  <c r="N1261" i="58"/>
  <c r="O1260" i="58"/>
  <c r="P1260" i="58" s="1"/>
  <c r="N1260" i="58"/>
  <c r="O1259" i="58"/>
  <c r="N1259" i="58"/>
  <c r="O1258" i="58"/>
  <c r="P1258" i="58" s="1"/>
  <c r="N1258" i="58"/>
  <c r="O1257" i="58"/>
  <c r="P1257" i="58" s="1"/>
  <c r="N1257" i="58"/>
  <c r="O1256" i="58"/>
  <c r="P1256" i="58" s="1"/>
  <c r="N1256" i="58"/>
  <c r="O1255" i="58"/>
  <c r="P1255" i="58" s="1"/>
  <c r="N1255" i="58"/>
  <c r="O1254" i="58"/>
  <c r="N1254" i="58"/>
  <c r="O1253" i="58"/>
  <c r="P1253" i="58" s="1"/>
  <c r="N1253" i="58"/>
  <c r="O1252" i="58"/>
  <c r="P1252" i="58" s="1"/>
  <c r="N1252" i="58"/>
  <c r="O1251" i="58"/>
  <c r="P1251" i="58" s="1"/>
  <c r="N1251" i="58"/>
  <c r="O1250" i="58"/>
  <c r="P1250" i="58" s="1"/>
  <c r="N1250" i="58"/>
  <c r="O1249" i="58"/>
  <c r="N1249" i="58"/>
  <c r="O1248" i="58"/>
  <c r="P1248" i="58" s="1"/>
  <c r="N1248" i="58"/>
  <c r="O1247" i="58"/>
  <c r="P1247" i="58" s="1"/>
  <c r="N1247" i="58"/>
  <c r="O1246" i="58"/>
  <c r="P1246" i="58" s="1"/>
  <c r="N1246" i="58"/>
  <c r="O1245" i="58"/>
  <c r="P1245" i="58" s="1"/>
  <c r="N1245" i="58"/>
  <c r="O1244" i="58"/>
  <c r="P1244" i="58" s="1"/>
  <c r="N1244" i="58"/>
  <c r="O1243" i="58"/>
  <c r="N1243" i="58"/>
  <c r="O1242" i="58"/>
  <c r="P1242" i="58" s="1"/>
  <c r="N1242" i="58"/>
  <c r="O1241" i="58"/>
  <c r="N1241" i="58"/>
  <c r="O1240" i="58"/>
  <c r="N1240" i="58"/>
  <c r="O1239" i="58"/>
  <c r="P1239" i="58" s="1"/>
  <c r="N1239" i="58"/>
  <c r="O1238" i="58"/>
  <c r="P1238" i="58" s="1"/>
  <c r="N1238" i="58"/>
  <c r="O1237" i="58"/>
  <c r="N1237" i="58"/>
  <c r="O1236" i="58"/>
  <c r="P1236" i="58" s="1"/>
  <c r="N1236" i="58"/>
  <c r="O1235" i="58"/>
  <c r="N1235" i="58"/>
  <c r="O1234" i="58"/>
  <c r="P1234" i="58" s="1"/>
  <c r="N1234" i="58"/>
  <c r="O1233" i="58"/>
  <c r="N1233" i="58"/>
  <c r="O1232" i="58"/>
  <c r="N1232" i="58"/>
  <c r="O1231" i="58"/>
  <c r="P1231" i="58" s="1"/>
  <c r="N1231" i="58"/>
  <c r="O1230" i="58"/>
  <c r="P1230" i="58" s="1"/>
  <c r="N1230" i="58"/>
  <c r="O1229" i="58"/>
  <c r="N1229" i="58"/>
  <c r="O1228" i="58"/>
  <c r="P1228" i="58" s="1"/>
  <c r="N1228" i="58"/>
  <c r="O1227" i="58"/>
  <c r="N1227" i="58"/>
  <c r="O1226" i="58"/>
  <c r="N1226" i="58"/>
  <c r="O1225" i="58"/>
  <c r="N1225" i="58"/>
  <c r="O1224" i="58"/>
  <c r="P1224" i="58" s="1"/>
  <c r="N1224" i="58"/>
  <c r="O1223" i="58"/>
  <c r="N1223" i="58"/>
  <c r="O1222" i="58"/>
  <c r="N1222" i="58"/>
  <c r="O1221" i="58"/>
  <c r="P1221" i="58" s="1"/>
  <c r="N1221" i="58"/>
  <c r="O1220" i="58"/>
  <c r="P1220" i="58" s="1"/>
  <c r="N1220" i="58"/>
  <c r="O1219" i="58"/>
  <c r="N1219" i="58"/>
  <c r="O1218" i="58"/>
  <c r="P1218" i="58" s="1"/>
  <c r="N1218" i="58"/>
  <c r="O1217" i="58"/>
  <c r="N1217" i="58"/>
  <c r="O1216" i="58"/>
  <c r="P1216" i="58" s="1"/>
  <c r="N1216" i="58"/>
  <c r="O1215" i="58"/>
  <c r="N1215" i="58"/>
  <c r="O1214" i="58"/>
  <c r="N1214" i="58"/>
  <c r="O1213" i="58"/>
  <c r="P1213" i="58" s="1"/>
  <c r="N1213" i="58"/>
  <c r="O1212" i="58"/>
  <c r="P1212" i="58" s="1"/>
  <c r="N1212" i="58"/>
  <c r="O1211" i="58"/>
  <c r="N1211" i="58"/>
  <c r="O1210" i="58"/>
  <c r="P1210" i="58" s="1"/>
  <c r="N1210" i="58"/>
  <c r="O1209" i="58"/>
  <c r="N1209" i="58"/>
  <c r="O1208" i="58"/>
  <c r="N1208" i="58"/>
  <c r="O1207" i="58"/>
  <c r="P1207" i="58" s="1"/>
  <c r="N1207" i="58"/>
  <c r="O1206" i="58"/>
  <c r="P1206" i="58" s="1"/>
  <c r="N1206" i="58"/>
  <c r="O1205" i="58"/>
  <c r="N1205" i="58"/>
  <c r="O1204" i="58"/>
  <c r="P1204" i="58" s="1"/>
  <c r="N1204" i="58"/>
  <c r="O1203" i="58"/>
  <c r="N1203" i="58"/>
  <c r="O1202" i="58"/>
  <c r="N1202" i="58"/>
  <c r="O1201" i="58"/>
  <c r="N1201" i="58"/>
  <c r="O1200" i="58"/>
  <c r="N1200" i="58"/>
  <c r="O1199" i="58"/>
  <c r="P1199" i="58" s="1"/>
  <c r="N1199" i="58"/>
  <c r="O1198" i="58"/>
  <c r="P1198" i="58" s="1"/>
  <c r="N1198" i="58"/>
  <c r="O1197" i="58"/>
  <c r="P1197" i="58" s="1"/>
  <c r="N1197" i="58"/>
  <c r="O1196" i="58"/>
  <c r="P1196" i="58" s="1"/>
  <c r="N1196" i="58"/>
  <c r="O1195" i="58"/>
  <c r="N1195" i="58"/>
  <c r="O1194" i="58"/>
  <c r="N1194" i="58"/>
  <c r="O1193" i="58"/>
  <c r="N1193" i="58"/>
  <c r="O1192" i="58"/>
  <c r="P1192" i="58" s="1"/>
  <c r="N1192" i="58"/>
  <c r="O1191" i="58"/>
  <c r="N1191" i="58"/>
  <c r="O1190" i="58"/>
  <c r="P1190" i="58" s="1"/>
  <c r="N1190" i="58"/>
  <c r="O1189" i="58"/>
  <c r="P1189" i="58" s="1"/>
  <c r="N1189" i="58"/>
  <c r="O1188" i="58"/>
  <c r="P1188" i="58" s="1"/>
  <c r="N1188" i="58"/>
  <c r="O1187" i="58"/>
  <c r="N1187" i="58"/>
  <c r="O1186" i="58"/>
  <c r="P1186" i="58" s="1"/>
  <c r="N1186" i="58"/>
  <c r="O1185" i="58"/>
  <c r="N1185" i="58"/>
  <c r="O1184" i="58"/>
  <c r="P1184" i="58" s="1"/>
  <c r="N1184" i="58"/>
  <c r="O1183" i="58"/>
  <c r="P1183" i="58" s="1"/>
  <c r="N1183" i="58"/>
  <c r="O1182" i="58"/>
  <c r="N1182" i="58"/>
  <c r="O1181" i="58"/>
  <c r="P1181" i="58" s="1"/>
  <c r="N1181" i="58"/>
  <c r="O1180" i="58"/>
  <c r="P1180" i="58" s="1"/>
  <c r="N1180" i="58"/>
  <c r="O1179" i="58"/>
  <c r="N1179" i="58"/>
  <c r="O1178" i="58"/>
  <c r="P1178" i="58" s="1"/>
  <c r="N1178" i="58"/>
  <c r="O1177" i="58"/>
  <c r="N1177" i="58"/>
  <c r="O1176" i="58"/>
  <c r="P1176" i="58" s="1"/>
  <c r="N1176" i="58"/>
  <c r="O1175" i="58"/>
  <c r="P1175" i="58" s="1"/>
  <c r="N1175" i="58"/>
  <c r="O1174" i="58"/>
  <c r="N1174" i="58"/>
  <c r="O1173" i="58"/>
  <c r="P1173" i="58" s="1"/>
  <c r="N1173" i="58"/>
  <c r="O1172" i="58"/>
  <c r="P1172" i="58" s="1"/>
  <c r="N1172" i="58"/>
  <c r="O1171" i="58"/>
  <c r="N1171" i="58"/>
  <c r="O1170" i="58"/>
  <c r="P1170" i="58" s="1"/>
  <c r="N1170" i="58"/>
  <c r="O1169" i="58"/>
  <c r="N1169" i="58"/>
  <c r="O1168" i="58"/>
  <c r="P1168" i="58" s="1"/>
  <c r="N1168" i="58"/>
  <c r="O1167" i="58"/>
  <c r="N1167" i="58"/>
  <c r="O1166" i="58"/>
  <c r="N1166" i="58"/>
  <c r="O1165" i="58"/>
  <c r="P1165" i="58" s="1"/>
  <c r="N1165" i="58"/>
  <c r="O1164" i="58"/>
  <c r="P1164" i="58" s="1"/>
  <c r="N1164" i="58"/>
  <c r="O1163" i="58"/>
  <c r="N1163" i="58"/>
  <c r="O1162" i="58"/>
  <c r="P1162" i="58" s="1"/>
  <c r="N1162" i="58"/>
  <c r="O1161" i="58"/>
  <c r="N1161" i="58"/>
  <c r="O1160" i="58"/>
  <c r="P1160" i="58" s="1"/>
  <c r="N1160" i="58"/>
  <c r="O1159" i="58"/>
  <c r="N1159" i="58"/>
  <c r="O1158" i="58"/>
  <c r="N1158" i="58"/>
  <c r="O1157" i="58"/>
  <c r="P1157" i="58" s="1"/>
  <c r="N1157" i="58"/>
  <c r="O1156" i="58"/>
  <c r="P1156" i="58" s="1"/>
  <c r="N1156" i="58"/>
  <c r="O1155" i="58"/>
  <c r="N1155" i="58"/>
  <c r="O1154" i="58"/>
  <c r="P1154" i="58" s="1"/>
  <c r="N1154" i="58"/>
  <c r="O1153" i="58"/>
  <c r="N1153" i="58"/>
  <c r="O1152" i="58"/>
  <c r="P1152" i="58" s="1"/>
  <c r="N1152" i="58"/>
  <c r="O1151" i="58"/>
  <c r="P1151" i="58" s="1"/>
  <c r="N1151" i="58"/>
  <c r="O1150" i="58"/>
  <c r="N1150" i="58"/>
  <c r="O1149" i="58"/>
  <c r="P1149" i="58" s="1"/>
  <c r="N1149" i="58"/>
  <c r="O1148" i="58"/>
  <c r="P1148" i="58" s="1"/>
  <c r="N1148" i="58"/>
  <c r="O1147" i="58"/>
  <c r="N1147" i="58"/>
  <c r="O1146" i="58"/>
  <c r="P1146" i="58" s="1"/>
  <c r="N1146" i="58"/>
  <c r="O1145" i="58"/>
  <c r="N1145" i="58"/>
  <c r="O1144" i="58"/>
  <c r="P1144" i="58" s="1"/>
  <c r="N1144" i="58"/>
  <c r="O1143" i="58"/>
  <c r="P1143" i="58" s="1"/>
  <c r="N1143" i="58"/>
  <c r="O1142" i="58"/>
  <c r="N1142" i="58"/>
  <c r="O1141" i="58"/>
  <c r="P1141" i="58" s="1"/>
  <c r="N1141" i="58"/>
  <c r="O1140" i="58"/>
  <c r="P1140" i="58" s="1"/>
  <c r="N1140" i="58"/>
  <c r="O1139" i="58"/>
  <c r="N1139" i="58"/>
  <c r="O1138" i="58"/>
  <c r="P1138" i="58" s="1"/>
  <c r="N1138" i="58"/>
  <c r="O1137" i="58"/>
  <c r="N1137" i="58"/>
  <c r="O1136" i="58"/>
  <c r="P1136" i="58" s="1"/>
  <c r="N1136" i="58"/>
  <c r="O1135" i="58"/>
  <c r="P1135" i="58" s="1"/>
  <c r="N1135" i="58"/>
  <c r="O1134" i="58"/>
  <c r="N1134" i="58"/>
  <c r="O1133" i="58"/>
  <c r="P1133" i="58" s="1"/>
  <c r="N1133" i="58"/>
  <c r="O1132" i="58"/>
  <c r="P1132" i="58" s="1"/>
  <c r="N1132" i="58"/>
  <c r="O1131" i="58"/>
  <c r="N1131" i="58"/>
  <c r="O1130" i="58"/>
  <c r="P1130" i="58" s="1"/>
  <c r="N1130" i="58"/>
  <c r="O1129" i="58"/>
  <c r="N1129" i="58"/>
  <c r="O1128" i="58"/>
  <c r="N1128" i="58"/>
  <c r="O1127" i="58"/>
  <c r="P1127" i="58" s="1"/>
  <c r="N1127" i="58"/>
  <c r="O1126" i="58"/>
  <c r="N1126" i="58"/>
  <c r="O1125" i="58"/>
  <c r="P1125" i="58" s="1"/>
  <c r="N1125" i="58"/>
  <c r="O1124" i="58"/>
  <c r="P1124" i="58" s="1"/>
  <c r="N1124" i="58"/>
  <c r="O1123" i="58"/>
  <c r="N1123" i="58"/>
  <c r="O1122" i="58"/>
  <c r="P1122" i="58" s="1"/>
  <c r="N1122" i="58"/>
  <c r="O1121" i="58"/>
  <c r="N1121" i="58"/>
  <c r="O1120" i="58"/>
  <c r="P1120" i="58" s="1"/>
  <c r="N1120" i="58"/>
  <c r="O1119" i="58"/>
  <c r="P1119" i="58" s="1"/>
  <c r="N1119" i="58"/>
  <c r="O1118" i="58"/>
  <c r="N1118" i="58"/>
  <c r="O1117" i="58"/>
  <c r="P1117" i="58" s="1"/>
  <c r="N1117" i="58"/>
  <c r="O1116" i="58"/>
  <c r="P1116" i="58" s="1"/>
  <c r="N1116" i="58"/>
  <c r="O1115" i="58"/>
  <c r="N1115" i="58"/>
  <c r="O1114" i="58"/>
  <c r="P1114" i="58" s="1"/>
  <c r="N1114" i="58"/>
  <c r="O1113" i="58"/>
  <c r="N1113" i="58"/>
  <c r="O1112" i="58"/>
  <c r="N1112" i="58"/>
  <c r="O1111" i="58"/>
  <c r="N1111" i="58"/>
  <c r="O1110" i="58"/>
  <c r="N1110" i="58"/>
  <c r="O1109" i="58"/>
  <c r="P1109" i="58" s="1"/>
  <c r="N1109" i="58"/>
  <c r="O1108" i="58"/>
  <c r="P1108" i="58" s="1"/>
  <c r="N1108" i="58"/>
  <c r="O1107" i="58"/>
  <c r="N1107" i="58"/>
  <c r="O1106" i="58"/>
  <c r="P1106" i="58" s="1"/>
  <c r="N1106" i="58"/>
  <c r="O1105" i="58"/>
  <c r="N1105" i="58"/>
  <c r="O1104" i="58"/>
  <c r="N1104" i="58"/>
  <c r="O1103" i="58"/>
  <c r="P1103" i="58" s="1"/>
  <c r="N1103" i="58"/>
  <c r="O1102" i="58"/>
  <c r="N1102" i="58"/>
  <c r="O1101" i="58"/>
  <c r="P1101" i="58" s="1"/>
  <c r="N1101" i="58"/>
  <c r="O1100" i="58"/>
  <c r="P1100" i="58" s="1"/>
  <c r="N1100" i="58"/>
  <c r="O1099" i="58"/>
  <c r="N1099" i="58"/>
  <c r="O1098" i="58"/>
  <c r="P1098" i="58" s="1"/>
  <c r="N1098" i="58"/>
  <c r="O1097" i="58"/>
  <c r="N1097" i="58"/>
  <c r="O1096" i="58"/>
  <c r="N1096" i="58"/>
  <c r="O1095" i="58"/>
  <c r="P1095" i="58" s="1"/>
  <c r="N1095" i="58"/>
  <c r="O1094" i="58"/>
  <c r="N1094" i="58"/>
  <c r="O1093" i="58"/>
  <c r="P1093" i="58" s="1"/>
  <c r="N1093" i="58"/>
  <c r="O1092" i="58"/>
  <c r="P1092" i="58" s="1"/>
  <c r="N1092" i="58"/>
  <c r="O1091" i="58"/>
  <c r="N1091" i="58"/>
  <c r="O1090" i="58"/>
  <c r="N1090" i="58"/>
  <c r="O1089" i="58"/>
  <c r="N1089" i="58"/>
  <c r="O1088" i="58"/>
  <c r="P1088" i="58" s="1"/>
  <c r="N1088" i="58"/>
  <c r="O1087" i="58"/>
  <c r="N1087" i="58"/>
  <c r="O1086" i="58"/>
  <c r="N1086" i="58"/>
  <c r="O1085" i="58"/>
  <c r="P1085" i="58" s="1"/>
  <c r="N1085" i="58"/>
  <c r="O1084" i="58"/>
  <c r="P1084" i="58" s="1"/>
  <c r="N1084" i="58"/>
  <c r="O1083" i="58"/>
  <c r="N1083" i="58"/>
  <c r="O1082" i="58"/>
  <c r="P1082" i="58" s="1"/>
  <c r="N1082" i="58"/>
  <c r="O1081" i="58"/>
  <c r="N1081" i="58"/>
  <c r="O1080" i="58"/>
  <c r="N1080" i="58"/>
  <c r="O1079" i="58"/>
  <c r="N1079" i="58"/>
  <c r="O1078" i="58"/>
  <c r="N1078" i="58"/>
  <c r="O1077" i="58"/>
  <c r="P1077" i="58" s="1"/>
  <c r="N1077" i="58"/>
  <c r="O1076" i="58"/>
  <c r="P1076" i="58" s="1"/>
  <c r="N1076" i="58"/>
  <c r="O1075" i="58"/>
  <c r="N1075" i="58"/>
  <c r="O1074" i="58"/>
  <c r="P1074" i="58" s="1"/>
  <c r="N1074" i="58"/>
  <c r="O1073" i="58"/>
  <c r="P1073" i="58" s="1"/>
  <c r="N1073" i="58"/>
  <c r="O1072" i="58"/>
  <c r="S1072" i="58" s="1"/>
  <c r="N1072" i="58"/>
  <c r="O1071" i="58"/>
  <c r="N1071" i="58"/>
  <c r="O1070" i="58"/>
  <c r="P1070" i="58" s="1"/>
  <c r="N1070" i="58"/>
  <c r="O1069" i="58"/>
  <c r="P1069" i="58" s="1"/>
  <c r="N1069" i="58"/>
  <c r="O1068" i="58"/>
  <c r="N1068" i="58"/>
  <c r="O1067" i="58"/>
  <c r="P1067" i="58" s="1"/>
  <c r="N1067" i="58"/>
  <c r="O1066" i="58"/>
  <c r="P1066" i="58" s="1"/>
  <c r="N1066" i="58"/>
  <c r="O1065" i="58"/>
  <c r="P1065" i="58" s="1"/>
  <c r="N1065" i="58"/>
  <c r="O1064" i="58"/>
  <c r="P1064" i="58" s="1"/>
  <c r="N1064" i="58"/>
  <c r="O1063" i="58"/>
  <c r="P1063" i="58" s="1"/>
  <c r="N1063" i="58"/>
  <c r="O1062" i="58"/>
  <c r="N1062" i="58"/>
  <c r="O1061" i="58"/>
  <c r="P1061" i="58" s="1"/>
  <c r="N1061" i="58"/>
  <c r="O1060" i="58"/>
  <c r="N1060" i="58"/>
  <c r="O1059" i="58"/>
  <c r="N1059" i="58"/>
  <c r="O1058" i="58"/>
  <c r="S1058" i="58" s="1"/>
  <c r="N1058" i="58"/>
  <c r="O1057" i="58"/>
  <c r="P1057" i="58" s="1"/>
  <c r="N1057" i="58"/>
  <c r="O1056" i="58"/>
  <c r="S1056" i="58" s="1"/>
  <c r="N1056" i="58"/>
  <c r="O1055" i="58"/>
  <c r="N1055" i="58"/>
  <c r="O1054" i="58"/>
  <c r="P1054" i="58" s="1"/>
  <c r="N1054" i="58"/>
  <c r="O1053" i="58"/>
  <c r="S1053" i="58" s="1"/>
  <c r="N1053" i="58"/>
  <c r="O1052" i="58"/>
  <c r="S1052" i="58" s="1"/>
  <c r="N1052" i="58"/>
  <c r="O1051" i="58"/>
  <c r="S1051" i="58" s="1"/>
  <c r="N1051" i="58"/>
  <c r="O1050" i="58"/>
  <c r="P1050" i="58" s="1"/>
  <c r="N1050" i="58"/>
  <c r="O1049" i="58"/>
  <c r="S1049" i="58" s="1"/>
  <c r="N1049" i="58"/>
  <c r="O1048" i="58"/>
  <c r="P1048" i="58" s="1"/>
  <c r="N1048" i="58"/>
  <c r="O1047" i="58"/>
  <c r="S1047" i="58" s="1"/>
  <c r="N1047" i="58"/>
  <c r="O1046" i="58"/>
  <c r="N1046" i="58"/>
  <c r="O1045" i="58"/>
  <c r="S1045" i="58" s="1"/>
  <c r="N1045" i="58"/>
  <c r="O1044" i="58"/>
  <c r="S1044" i="58" s="1"/>
  <c r="N1044" i="58"/>
  <c r="O1043" i="58"/>
  <c r="S1043" i="58" s="1"/>
  <c r="N1043" i="58"/>
  <c r="O1042" i="58"/>
  <c r="S1042" i="58" s="1"/>
  <c r="N1042" i="58"/>
  <c r="O1041" i="58"/>
  <c r="S1041" i="58" s="1"/>
  <c r="N1041" i="58"/>
  <c r="O1040" i="58"/>
  <c r="N1040" i="58"/>
  <c r="O1039" i="58"/>
  <c r="N1039" i="58"/>
  <c r="O1038" i="58"/>
  <c r="P1038" i="58" s="1"/>
  <c r="N1038" i="58"/>
  <c r="O1037" i="58"/>
  <c r="S1037" i="58" s="1"/>
  <c r="N1037" i="58"/>
  <c r="O1036" i="58"/>
  <c r="N1036" i="58"/>
  <c r="O1035" i="58"/>
  <c r="S1035" i="58" s="1"/>
  <c r="N1035" i="58"/>
  <c r="O1034" i="58"/>
  <c r="P1034" i="58" s="1"/>
  <c r="N1034" i="58"/>
  <c r="O1033" i="58"/>
  <c r="N1033" i="58"/>
  <c r="O1032" i="58"/>
  <c r="S1032" i="58" s="1"/>
  <c r="N1032" i="58"/>
  <c r="O1031" i="58"/>
  <c r="S1031" i="58" s="1"/>
  <c r="N1031" i="58"/>
  <c r="O1030" i="58"/>
  <c r="N1030" i="58"/>
  <c r="O1029" i="58"/>
  <c r="S1029" i="58" s="1"/>
  <c r="N1029" i="58"/>
  <c r="O1028" i="58"/>
  <c r="S1028" i="58" s="1"/>
  <c r="N1028" i="58"/>
  <c r="O1027" i="58"/>
  <c r="S1027" i="58" s="1"/>
  <c r="N1027" i="58"/>
  <c r="O1026" i="58"/>
  <c r="S1026" i="58" s="1"/>
  <c r="N1026" i="58"/>
  <c r="O1025" i="58"/>
  <c r="S1025" i="58" s="1"/>
  <c r="N1025" i="58"/>
  <c r="O1024" i="58"/>
  <c r="P1024" i="58" s="1"/>
  <c r="N1024" i="58"/>
  <c r="O1023" i="58"/>
  <c r="N1023" i="58"/>
  <c r="O1022" i="58"/>
  <c r="P1022" i="58" s="1"/>
  <c r="N1022" i="58"/>
  <c r="O1021" i="58"/>
  <c r="S1021" i="58" s="1"/>
  <c r="N1021" i="58"/>
  <c r="O1020" i="58"/>
  <c r="S1020" i="58" s="1"/>
  <c r="N1020" i="58"/>
  <c r="O1019" i="58"/>
  <c r="S1019" i="58" s="1"/>
  <c r="N1019" i="58"/>
  <c r="O1018" i="58"/>
  <c r="P1018" i="58" s="1"/>
  <c r="N1018" i="58"/>
  <c r="O1017" i="58"/>
  <c r="S1017" i="58" s="1"/>
  <c r="N1017" i="58"/>
  <c r="O1016" i="58"/>
  <c r="N1016" i="58"/>
  <c r="O1015" i="58"/>
  <c r="S1015" i="58" s="1"/>
  <c r="N1015" i="58"/>
  <c r="O1014" i="58"/>
  <c r="N1014" i="58"/>
  <c r="O1013" i="58"/>
  <c r="S1013" i="58" s="1"/>
  <c r="N1013" i="58"/>
  <c r="O1012" i="58"/>
  <c r="S1012" i="58" s="1"/>
  <c r="N1012" i="58"/>
  <c r="O1011" i="58"/>
  <c r="S1011" i="58" s="1"/>
  <c r="N1011" i="58"/>
  <c r="O1010" i="58"/>
  <c r="S1010" i="58" s="1"/>
  <c r="N1010" i="58"/>
  <c r="O1009" i="58"/>
  <c r="N1009" i="58"/>
  <c r="O1008" i="58"/>
  <c r="S1008" i="58" s="1"/>
  <c r="N1008" i="58"/>
  <c r="O1007" i="58"/>
  <c r="N1007" i="58"/>
  <c r="O1006" i="58"/>
  <c r="P1006" i="58" s="1"/>
  <c r="N1006" i="58"/>
  <c r="O1005" i="58"/>
  <c r="S1005" i="58" s="1"/>
  <c r="N1005" i="58"/>
  <c r="O1004" i="58"/>
  <c r="S1004" i="58" s="1"/>
  <c r="N1004" i="58"/>
  <c r="O1003" i="58"/>
  <c r="S1003" i="58" s="1"/>
  <c r="N1003" i="58"/>
  <c r="O1002" i="58"/>
  <c r="P1002" i="58" s="1"/>
  <c r="N1002" i="58"/>
  <c r="O1001" i="58"/>
  <c r="S1001" i="58" s="1"/>
  <c r="N1001" i="58"/>
  <c r="O1000" i="58"/>
  <c r="P1000" i="58" s="1"/>
  <c r="N1000" i="58"/>
  <c r="O999" i="58"/>
  <c r="S999" i="58" s="1"/>
  <c r="N999" i="58"/>
  <c r="O998" i="58"/>
  <c r="N998" i="58"/>
  <c r="O997" i="58"/>
  <c r="S997" i="58" s="1"/>
  <c r="N997" i="58"/>
  <c r="O996" i="58"/>
  <c r="S996" i="58" s="1"/>
  <c r="N996" i="58"/>
  <c r="O995" i="58"/>
  <c r="S995" i="58" s="1"/>
  <c r="N995" i="58"/>
  <c r="O994" i="58"/>
  <c r="S994" i="58" s="1"/>
  <c r="N994" i="58"/>
  <c r="O993" i="58"/>
  <c r="N993" i="58"/>
  <c r="O992" i="58"/>
  <c r="S992" i="58" s="1"/>
  <c r="N992" i="58"/>
  <c r="O991" i="58"/>
  <c r="N991" i="58"/>
  <c r="O990" i="58"/>
  <c r="P990" i="58" s="1"/>
  <c r="N990" i="58"/>
  <c r="O989" i="58"/>
  <c r="S989" i="58" s="1"/>
  <c r="N989" i="58"/>
  <c r="O988" i="58"/>
  <c r="N988" i="58"/>
  <c r="O987" i="58"/>
  <c r="S987" i="58" s="1"/>
  <c r="N987" i="58"/>
  <c r="O986" i="58"/>
  <c r="P986" i="58" s="1"/>
  <c r="N986" i="58"/>
  <c r="O985" i="58"/>
  <c r="N985" i="58"/>
  <c r="O984" i="58"/>
  <c r="S984" i="58" s="1"/>
  <c r="N984" i="58"/>
  <c r="O983" i="58"/>
  <c r="N983" i="58"/>
  <c r="O982" i="58"/>
  <c r="S982" i="58" s="1"/>
  <c r="N982" i="58"/>
  <c r="O981" i="58"/>
  <c r="N981" i="58"/>
  <c r="O980" i="58"/>
  <c r="S980" i="58" s="1"/>
  <c r="N980" i="58"/>
  <c r="O979" i="58"/>
  <c r="N979" i="58"/>
  <c r="O978" i="58"/>
  <c r="S978" i="58" s="1"/>
  <c r="N978" i="58"/>
  <c r="O977" i="58"/>
  <c r="N977" i="58"/>
  <c r="O976" i="58"/>
  <c r="S976" i="58" s="1"/>
  <c r="N976" i="58"/>
  <c r="O975" i="58"/>
  <c r="S975" i="58" s="1"/>
  <c r="N975" i="58"/>
  <c r="O974" i="58"/>
  <c r="S974" i="58" s="1"/>
  <c r="N974" i="58"/>
  <c r="O973" i="58"/>
  <c r="S973" i="58" s="1"/>
  <c r="N973" i="58"/>
  <c r="O972" i="58"/>
  <c r="S972" i="58" s="1"/>
  <c r="N972" i="58"/>
  <c r="O971" i="58"/>
  <c r="S971" i="58" s="1"/>
  <c r="N971" i="58"/>
  <c r="O970" i="58"/>
  <c r="P970" i="58" s="1"/>
  <c r="N970" i="58"/>
  <c r="O969" i="58"/>
  <c r="S969" i="58" s="1"/>
  <c r="N969" i="58"/>
  <c r="O968" i="58"/>
  <c r="S968" i="58" s="1"/>
  <c r="N968" i="58"/>
  <c r="O967" i="58"/>
  <c r="S967" i="58" s="1"/>
  <c r="N967" i="58"/>
  <c r="O966" i="58"/>
  <c r="S966" i="58" s="1"/>
  <c r="N966" i="58"/>
  <c r="O965" i="58"/>
  <c r="S965" i="58" s="1"/>
  <c r="N965" i="58"/>
  <c r="O964" i="58"/>
  <c r="S964" i="58" s="1"/>
  <c r="N964" i="58"/>
  <c r="O963" i="58"/>
  <c r="S963" i="58" s="1"/>
  <c r="N963" i="58"/>
  <c r="O962" i="58"/>
  <c r="S962" i="58" s="1"/>
  <c r="N962" i="58"/>
  <c r="O961" i="58"/>
  <c r="S961" i="58" s="1"/>
  <c r="N961" i="58"/>
  <c r="O960" i="58"/>
  <c r="S960" i="58" s="1"/>
  <c r="N960" i="58"/>
  <c r="O959" i="58"/>
  <c r="S959" i="58" s="1"/>
  <c r="N959" i="58"/>
  <c r="O958" i="58"/>
  <c r="S958" i="58" s="1"/>
  <c r="N958" i="58"/>
  <c r="O957" i="58"/>
  <c r="S957" i="58" s="1"/>
  <c r="N957" i="58"/>
  <c r="O956" i="58"/>
  <c r="S956" i="58" s="1"/>
  <c r="N956" i="58"/>
  <c r="O955" i="58"/>
  <c r="S955" i="58" s="1"/>
  <c r="N955" i="58"/>
  <c r="O954" i="58"/>
  <c r="S954" i="58" s="1"/>
  <c r="N954" i="58"/>
  <c r="O953" i="58"/>
  <c r="S953" i="58" s="1"/>
  <c r="N953" i="58"/>
  <c r="O952" i="58"/>
  <c r="S952" i="58" s="1"/>
  <c r="N952" i="58"/>
  <c r="O951" i="58"/>
  <c r="S951" i="58" s="1"/>
  <c r="N951" i="58"/>
  <c r="O950" i="58"/>
  <c r="S950" i="58" s="1"/>
  <c r="N950" i="58"/>
  <c r="O949" i="58"/>
  <c r="S949" i="58" s="1"/>
  <c r="N949" i="58"/>
  <c r="O948" i="58"/>
  <c r="S948" i="58" s="1"/>
  <c r="N948" i="58"/>
  <c r="O947" i="58"/>
  <c r="S947" i="58" s="1"/>
  <c r="N947" i="58"/>
  <c r="O946" i="58"/>
  <c r="S946" i="58" s="1"/>
  <c r="N946" i="58"/>
  <c r="O945" i="58"/>
  <c r="S945" i="58" s="1"/>
  <c r="N945" i="58"/>
  <c r="O944" i="58"/>
  <c r="P944" i="58" s="1"/>
  <c r="N944" i="58"/>
  <c r="O943" i="58"/>
  <c r="S943" i="58" s="1"/>
  <c r="N943" i="58"/>
  <c r="O942" i="58"/>
  <c r="S942" i="58" s="1"/>
  <c r="N942" i="58"/>
  <c r="O941" i="58"/>
  <c r="S941" i="58" s="1"/>
  <c r="N941" i="58"/>
  <c r="O940" i="58"/>
  <c r="P940" i="58" s="1"/>
  <c r="N940" i="58"/>
  <c r="O939" i="58"/>
  <c r="S939" i="58" s="1"/>
  <c r="N939" i="58"/>
  <c r="O938" i="58"/>
  <c r="S938" i="58" s="1"/>
  <c r="N938" i="58"/>
  <c r="O937" i="58"/>
  <c r="S937" i="58" s="1"/>
  <c r="N937" i="58"/>
  <c r="O936" i="58"/>
  <c r="S936" i="58" s="1"/>
  <c r="N936" i="58"/>
  <c r="O935" i="58"/>
  <c r="S935" i="58" s="1"/>
  <c r="N935" i="58"/>
  <c r="O934" i="58"/>
  <c r="S934" i="58" s="1"/>
  <c r="N934" i="58"/>
  <c r="O933" i="58"/>
  <c r="S933" i="58" s="1"/>
  <c r="N933" i="58"/>
  <c r="O932" i="58"/>
  <c r="S932" i="58" s="1"/>
  <c r="N932" i="58"/>
  <c r="O931" i="58"/>
  <c r="S931" i="58" s="1"/>
  <c r="N931" i="58"/>
  <c r="O930" i="58"/>
  <c r="P930" i="58" s="1"/>
  <c r="N930" i="58"/>
  <c r="O929" i="58"/>
  <c r="S929" i="58" s="1"/>
  <c r="N929" i="58"/>
  <c r="O928" i="58"/>
  <c r="S928" i="58" s="1"/>
  <c r="N928" i="58"/>
  <c r="O927" i="58"/>
  <c r="S927" i="58" s="1"/>
  <c r="N927" i="58"/>
  <c r="O926" i="58"/>
  <c r="S926" i="58" s="1"/>
  <c r="N926" i="58"/>
  <c r="O925" i="58"/>
  <c r="S925" i="58" s="1"/>
  <c r="N925" i="58"/>
  <c r="O924" i="58"/>
  <c r="S924" i="58" s="1"/>
  <c r="N924" i="58"/>
  <c r="O923" i="58"/>
  <c r="S923" i="58" s="1"/>
  <c r="N923" i="58"/>
  <c r="O922" i="58"/>
  <c r="S922" i="58" s="1"/>
  <c r="N922" i="58"/>
  <c r="O921" i="58"/>
  <c r="S921" i="58" s="1"/>
  <c r="N921" i="58"/>
  <c r="O920" i="58"/>
  <c r="P920" i="58" s="1"/>
  <c r="N920" i="58"/>
  <c r="O919" i="58"/>
  <c r="S919" i="58" s="1"/>
  <c r="N919" i="58"/>
  <c r="O918" i="58"/>
  <c r="S918" i="58" s="1"/>
  <c r="N918" i="58"/>
  <c r="O917" i="58"/>
  <c r="S917" i="58" s="1"/>
  <c r="N917" i="58"/>
  <c r="O916" i="58"/>
  <c r="S916" i="58" s="1"/>
  <c r="N916" i="58"/>
  <c r="O915" i="58"/>
  <c r="S915" i="58" s="1"/>
  <c r="N915" i="58"/>
  <c r="O914" i="58"/>
  <c r="S914" i="58" s="1"/>
  <c r="N914" i="58"/>
  <c r="O913" i="58"/>
  <c r="S913" i="58" s="1"/>
  <c r="N913" i="58"/>
  <c r="O912" i="58"/>
  <c r="S912" i="58" s="1"/>
  <c r="N912" i="58"/>
  <c r="O911" i="58"/>
  <c r="S911" i="58" s="1"/>
  <c r="N911" i="58"/>
  <c r="O910" i="58"/>
  <c r="P910" i="58" s="1"/>
  <c r="N910" i="58"/>
  <c r="O909" i="58"/>
  <c r="S909" i="58" s="1"/>
  <c r="N909" i="58"/>
  <c r="O908" i="58"/>
  <c r="S908" i="58" s="1"/>
  <c r="N908" i="58"/>
  <c r="O907" i="58"/>
  <c r="S907" i="58" s="1"/>
  <c r="N907" i="58"/>
  <c r="O906" i="58"/>
  <c r="S906" i="58" s="1"/>
  <c r="N906" i="58"/>
  <c r="O905" i="58"/>
  <c r="S905" i="58" s="1"/>
  <c r="N905" i="58"/>
  <c r="O904" i="58"/>
  <c r="P904" i="58" s="1"/>
  <c r="N904" i="58"/>
  <c r="O903" i="58"/>
  <c r="S903" i="58" s="1"/>
  <c r="N903" i="58"/>
  <c r="O902" i="58"/>
  <c r="S902" i="58" s="1"/>
  <c r="N902" i="58"/>
  <c r="O901" i="58"/>
  <c r="S901" i="58" s="1"/>
  <c r="N901" i="58"/>
  <c r="O900" i="58"/>
  <c r="P900" i="58" s="1"/>
  <c r="N900" i="58"/>
  <c r="O899" i="58"/>
  <c r="S899" i="58" s="1"/>
  <c r="N899" i="58"/>
  <c r="O898" i="58"/>
  <c r="P898" i="58" s="1"/>
  <c r="N898" i="58"/>
  <c r="O897" i="58"/>
  <c r="S897" i="58" s="1"/>
  <c r="N897" i="58"/>
  <c r="O896" i="58"/>
  <c r="S896" i="58" s="1"/>
  <c r="N896" i="58"/>
  <c r="O895" i="58"/>
  <c r="S895" i="58" s="1"/>
  <c r="N895" i="58"/>
  <c r="O894" i="58"/>
  <c r="S894" i="58" s="1"/>
  <c r="N894" i="58"/>
  <c r="O893" i="58"/>
  <c r="S893" i="58" s="1"/>
  <c r="N893" i="58"/>
  <c r="O892" i="58"/>
  <c r="S892" i="58" s="1"/>
  <c r="N892" i="58"/>
  <c r="O891" i="58"/>
  <c r="S891" i="58" s="1"/>
  <c r="N891" i="58"/>
  <c r="O890" i="58"/>
  <c r="P890" i="58" s="1"/>
  <c r="N890" i="58"/>
  <c r="O889" i="58"/>
  <c r="S889" i="58" s="1"/>
  <c r="N889" i="58"/>
  <c r="O888" i="58"/>
  <c r="S888" i="58" s="1"/>
  <c r="N888" i="58"/>
  <c r="O887" i="58"/>
  <c r="S887" i="58" s="1"/>
  <c r="N887" i="58"/>
  <c r="O886" i="58"/>
  <c r="S886" i="58" s="1"/>
  <c r="N886" i="58"/>
  <c r="O885" i="58"/>
  <c r="S885" i="58" s="1"/>
  <c r="N885" i="58"/>
  <c r="O884" i="58"/>
  <c r="S884" i="58" s="1"/>
  <c r="N884" i="58"/>
  <c r="O883" i="58"/>
  <c r="S883" i="58" s="1"/>
  <c r="N883" i="58"/>
  <c r="O882" i="58"/>
  <c r="P882" i="58" s="1"/>
  <c r="N882" i="58"/>
  <c r="O881" i="58"/>
  <c r="S881" i="58" s="1"/>
  <c r="N881" i="58"/>
  <c r="O880" i="58"/>
  <c r="S880" i="58" s="1"/>
  <c r="N880" i="58"/>
  <c r="O879" i="58"/>
  <c r="S879" i="58" s="1"/>
  <c r="N879" i="58"/>
  <c r="O878" i="58"/>
  <c r="S878" i="58" s="1"/>
  <c r="N878" i="58"/>
  <c r="O877" i="58"/>
  <c r="S877" i="58" s="1"/>
  <c r="N877" i="58"/>
  <c r="O876" i="58"/>
  <c r="S876" i="58" s="1"/>
  <c r="N876" i="58"/>
  <c r="O875" i="58"/>
  <c r="S875" i="58" s="1"/>
  <c r="N875" i="58"/>
  <c r="O874" i="58"/>
  <c r="P874" i="58" s="1"/>
  <c r="N874" i="58"/>
  <c r="O873" i="58"/>
  <c r="S873" i="58" s="1"/>
  <c r="N873" i="58"/>
  <c r="O872" i="58"/>
  <c r="S872" i="58" s="1"/>
  <c r="N872" i="58"/>
  <c r="O871" i="58"/>
  <c r="S871" i="58" s="1"/>
  <c r="N871" i="58"/>
  <c r="O870" i="58"/>
  <c r="S870" i="58" s="1"/>
  <c r="N870" i="58"/>
  <c r="O869" i="58"/>
  <c r="S869" i="58" s="1"/>
  <c r="N869" i="58"/>
  <c r="O868" i="58"/>
  <c r="S868" i="58" s="1"/>
  <c r="N868" i="58"/>
  <c r="O867" i="58"/>
  <c r="S867" i="58" s="1"/>
  <c r="N867" i="58"/>
  <c r="O866" i="58"/>
  <c r="P866" i="58" s="1"/>
  <c r="N866" i="58"/>
  <c r="O865" i="58"/>
  <c r="S865" i="58" s="1"/>
  <c r="N865" i="58"/>
  <c r="O864" i="58"/>
  <c r="P864" i="58" s="1"/>
  <c r="N864" i="58"/>
  <c r="O863" i="58"/>
  <c r="S863" i="58" s="1"/>
  <c r="N863" i="58"/>
  <c r="O862" i="58"/>
  <c r="S862" i="58" s="1"/>
  <c r="N862" i="58"/>
  <c r="O861" i="58"/>
  <c r="S861" i="58" s="1"/>
  <c r="N861" i="58"/>
  <c r="O860" i="58"/>
  <c r="S860" i="58" s="1"/>
  <c r="N860" i="58"/>
  <c r="O859" i="58"/>
  <c r="S859" i="58" s="1"/>
  <c r="N859" i="58"/>
  <c r="O858" i="58"/>
  <c r="P858" i="58" s="1"/>
  <c r="N858" i="58"/>
  <c r="O857" i="58"/>
  <c r="S857" i="58" s="1"/>
  <c r="N857" i="58"/>
  <c r="O856" i="58"/>
  <c r="S856" i="58" s="1"/>
  <c r="N856" i="58"/>
  <c r="O855" i="58"/>
  <c r="S855" i="58" s="1"/>
  <c r="N855" i="58"/>
  <c r="O854" i="58"/>
  <c r="S854" i="58" s="1"/>
  <c r="N854" i="58"/>
  <c r="O853" i="58"/>
  <c r="S853" i="58" s="1"/>
  <c r="N853" i="58"/>
  <c r="O852" i="58"/>
  <c r="S852" i="58" s="1"/>
  <c r="N852" i="58"/>
  <c r="O851" i="58"/>
  <c r="S851" i="58" s="1"/>
  <c r="N851" i="58"/>
  <c r="O850" i="58"/>
  <c r="P850" i="58" s="1"/>
  <c r="N850" i="58"/>
  <c r="O849" i="58"/>
  <c r="S849" i="58" s="1"/>
  <c r="N849" i="58"/>
  <c r="O848" i="58"/>
  <c r="S848" i="58" s="1"/>
  <c r="N848" i="58"/>
  <c r="O847" i="58"/>
  <c r="S847" i="58" s="1"/>
  <c r="N847" i="58"/>
  <c r="O846" i="58"/>
  <c r="S846" i="58" s="1"/>
  <c r="N846" i="58"/>
  <c r="O845" i="58"/>
  <c r="S845" i="58" s="1"/>
  <c r="N845" i="58"/>
  <c r="O844" i="58"/>
  <c r="P844" i="58" s="1"/>
  <c r="N844" i="58"/>
  <c r="Q843" i="58"/>
  <c r="O843" i="58"/>
  <c r="P843" i="58" s="1"/>
  <c r="N843" i="58"/>
  <c r="Q842" i="58"/>
  <c r="O842" i="58"/>
  <c r="N842" i="58"/>
  <c r="Q841" i="58"/>
  <c r="O841" i="58"/>
  <c r="P841" i="58" s="1"/>
  <c r="N841" i="58"/>
  <c r="Q840" i="58"/>
  <c r="O840" i="58"/>
  <c r="S840" i="58" s="1"/>
  <c r="N840" i="58"/>
  <c r="Q839" i="58"/>
  <c r="O839" i="58"/>
  <c r="S839" i="58" s="1"/>
  <c r="N839" i="58"/>
  <c r="Q838" i="58"/>
  <c r="O838" i="58"/>
  <c r="S838" i="58" s="1"/>
  <c r="N838" i="58"/>
  <c r="Q837" i="58"/>
  <c r="O837" i="58"/>
  <c r="S837" i="58" s="1"/>
  <c r="N837" i="58"/>
  <c r="Q836" i="58"/>
  <c r="O836" i="58"/>
  <c r="P836" i="58" s="1"/>
  <c r="N836" i="58"/>
  <c r="Q835" i="58"/>
  <c r="O835" i="58"/>
  <c r="P835" i="58" s="1"/>
  <c r="N835" i="58"/>
  <c r="Q834" i="58"/>
  <c r="O834" i="58"/>
  <c r="N834" i="58"/>
  <c r="Q833" i="58"/>
  <c r="O833" i="58"/>
  <c r="P833" i="58" s="1"/>
  <c r="N833" i="58"/>
  <c r="Q832" i="58"/>
  <c r="O832" i="58"/>
  <c r="N832" i="58"/>
  <c r="Q831" i="58"/>
  <c r="O831" i="58"/>
  <c r="P831" i="58" s="1"/>
  <c r="N831" i="58"/>
  <c r="Q830" i="58"/>
  <c r="O830" i="58"/>
  <c r="P830" i="58" s="1"/>
  <c r="N830" i="58"/>
  <c r="Q829" i="58"/>
  <c r="O829" i="58"/>
  <c r="S829" i="58" s="1"/>
  <c r="N829" i="58"/>
  <c r="Q828" i="58"/>
  <c r="O828" i="58"/>
  <c r="P828" i="58" s="1"/>
  <c r="N828" i="58"/>
  <c r="Q827" i="58"/>
  <c r="O827" i="58"/>
  <c r="N827" i="58"/>
  <c r="Q826" i="58"/>
  <c r="O826" i="58"/>
  <c r="N826" i="58"/>
  <c r="Q825" i="58"/>
  <c r="O825" i="58"/>
  <c r="P825" i="58" s="1"/>
  <c r="N825" i="58"/>
  <c r="Q824" i="58"/>
  <c r="O824" i="58"/>
  <c r="S824" i="58" s="1"/>
  <c r="N824" i="58"/>
  <c r="Q823" i="58"/>
  <c r="O823" i="58"/>
  <c r="S823" i="58" s="1"/>
  <c r="N823" i="58"/>
  <c r="Q822" i="58"/>
  <c r="O822" i="58"/>
  <c r="P822" i="58" s="1"/>
  <c r="N822" i="58"/>
  <c r="Q821" i="58"/>
  <c r="O821" i="58"/>
  <c r="N821" i="58"/>
  <c r="Q820" i="58"/>
  <c r="O820" i="58"/>
  <c r="P820" i="58" s="1"/>
  <c r="N820" i="58"/>
  <c r="Q819" i="58"/>
  <c r="O819" i="58"/>
  <c r="P819" i="58" s="1"/>
  <c r="N819" i="58"/>
  <c r="Q818" i="58"/>
  <c r="O818" i="58"/>
  <c r="N818" i="58"/>
  <c r="Q817" i="58"/>
  <c r="O817" i="58"/>
  <c r="P817" i="58" s="1"/>
  <c r="N817" i="58"/>
  <c r="Q816" i="58"/>
  <c r="O816" i="58"/>
  <c r="S816" i="58" s="1"/>
  <c r="N816" i="58"/>
  <c r="Q815" i="58"/>
  <c r="O815" i="58"/>
  <c r="S815" i="58" s="1"/>
  <c r="N815" i="58"/>
  <c r="R814" i="58"/>
  <c r="Q814" i="58"/>
  <c r="O814" i="58"/>
  <c r="P814" i="58" s="1"/>
  <c r="N814" i="58"/>
  <c r="R813" i="58"/>
  <c r="Q813" i="58"/>
  <c r="O813" i="58"/>
  <c r="N813" i="58"/>
  <c r="R812" i="58"/>
  <c r="Q812" i="58"/>
  <c r="O812" i="58"/>
  <c r="S812" i="58" s="1"/>
  <c r="N812" i="58"/>
  <c r="R811" i="58"/>
  <c r="Q811" i="58"/>
  <c r="O811" i="58"/>
  <c r="N811" i="58"/>
  <c r="R810" i="58"/>
  <c r="Q810" i="58"/>
  <c r="O810" i="58"/>
  <c r="P810" i="58" s="1"/>
  <c r="N810" i="58"/>
  <c r="R809" i="58"/>
  <c r="Q809" i="58"/>
  <c r="O809" i="58"/>
  <c r="N809" i="58"/>
  <c r="R808" i="58"/>
  <c r="Q808" i="58"/>
  <c r="O808" i="58"/>
  <c r="N808" i="58"/>
  <c r="R807" i="58"/>
  <c r="Q807" i="58"/>
  <c r="O807" i="58"/>
  <c r="P807" i="58" s="1"/>
  <c r="N807" i="58"/>
  <c r="R806" i="58"/>
  <c r="Q806" i="58"/>
  <c r="O806" i="58"/>
  <c r="N806" i="58"/>
  <c r="R805" i="58"/>
  <c r="Q805" i="58"/>
  <c r="O805" i="58"/>
  <c r="N805" i="58"/>
  <c r="R804" i="58"/>
  <c r="Q804" i="58"/>
  <c r="O804" i="58"/>
  <c r="S804" i="58" s="1"/>
  <c r="N804" i="58"/>
  <c r="R803" i="58"/>
  <c r="Q803" i="58"/>
  <c r="O803" i="58"/>
  <c r="S803" i="58" s="1"/>
  <c r="N803" i="58"/>
  <c r="R802" i="58"/>
  <c r="Q802" i="58"/>
  <c r="O802" i="58"/>
  <c r="P802" i="58" s="1"/>
  <c r="N802" i="58"/>
  <c r="R801" i="58"/>
  <c r="Q801" i="58"/>
  <c r="O801" i="58"/>
  <c r="N801" i="58"/>
  <c r="R800" i="58"/>
  <c r="Q800" i="58"/>
  <c r="O800" i="58"/>
  <c r="N800" i="58"/>
  <c r="R799" i="58"/>
  <c r="Q799" i="58"/>
  <c r="O799" i="58"/>
  <c r="P799" i="58" s="1"/>
  <c r="N799" i="58"/>
  <c r="R798" i="58"/>
  <c r="Q798" i="58"/>
  <c r="O798" i="58"/>
  <c r="P798" i="58" s="1"/>
  <c r="N798" i="58"/>
  <c r="R797" i="58"/>
  <c r="Q797" i="58"/>
  <c r="O797" i="58"/>
  <c r="N797" i="58"/>
  <c r="R796" i="58"/>
  <c r="Q796" i="58"/>
  <c r="O796" i="58"/>
  <c r="N796" i="58"/>
  <c r="R795" i="58"/>
  <c r="Q795" i="58"/>
  <c r="O795" i="58"/>
  <c r="S795" i="58" s="1"/>
  <c r="N795" i="58"/>
  <c r="R794" i="58"/>
  <c r="Q794" i="58"/>
  <c r="O794" i="58"/>
  <c r="P794" i="58" s="1"/>
  <c r="N794" i="58"/>
  <c r="R793" i="58"/>
  <c r="Q793" i="58"/>
  <c r="O793" i="58"/>
  <c r="N793" i="58"/>
  <c r="R792" i="58"/>
  <c r="Q792" i="58"/>
  <c r="O792" i="58"/>
  <c r="N792" i="58"/>
  <c r="R791" i="58"/>
  <c r="Q791" i="58"/>
  <c r="O791" i="58"/>
  <c r="P791" i="58" s="1"/>
  <c r="N791" i="58"/>
  <c r="R790" i="58"/>
  <c r="Q790" i="58"/>
  <c r="O790" i="58"/>
  <c r="P790" i="58" s="1"/>
  <c r="N790" i="58"/>
  <c r="R789" i="58"/>
  <c r="Q789" i="58"/>
  <c r="O789" i="58"/>
  <c r="N789" i="58"/>
  <c r="R788" i="58"/>
  <c r="Q788" i="58"/>
  <c r="O788" i="58"/>
  <c r="S788" i="58" s="1"/>
  <c r="N788" i="58"/>
  <c r="R787" i="58"/>
  <c r="Q787" i="58"/>
  <c r="O787" i="58"/>
  <c r="S787" i="58" s="1"/>
  <c r="N787" i="58"/>
  <c r="R786" i="58"/>
  <c r="Q786" i="58"/>
  <c r="O786" i="58"/>
  <c r="P786" i="58" s="1"/>
  <c r="N786" i="58"/>
  <c r="R785" i="58"/>
  <c r="Q785" i="58"/>
  <c r="O785" i="58"/>
  <c r="N785" i="58"/>
  <c r="R784" i="58"/>
  <c r="Q784" i="58"/>
  <c r="O784" i="58"/>
  <c r="N784" i="58"/>
  <c r="R783" i="58"/>
  <c r="Q783" i="58"/>
  <c r="O783" i="58"/>
  <c r="N783" i="58"/>
  <c r="R782" i="58"/>
  <c r="Q782" i="58"/>
  <c r="O782" i="58"/>
  <c r="P782" i="58" s="1"/>
  <c r="N782" i="58"/>
  <c r="R781" i="58"/>
  <c r="Q781" i="58"/>
  <c r="O781" i="58"/>
  <c r="N781" i="58"/>
  <c r="R780" i="58"/>
  <c r="Q780" i="58"/>
  <c r="O780" i="58"/>
  <c r="S780" i="58" s="1"/>
  <c r="N780" i="58"/>
  <c r="R779" i="58"/>
  <c r="Q779" i="58"/>
  <c r="O779" i="58"/>
  <c r="P779" i="58" s="1"/>
  <c r="N779" i="58"/>
  <c r="R778" i="58"/>
  <c r="Q778" i="58"/>
  <c r="O778" i="58"/>
  <c r="P778" i="58" s="1"/>
  <c r="N778" i="58"/>
  <c r="R777" i="58"/>
  <c r="Q777" i="58"/>
  <c r="O777" i="58"/>
  <c r="N777" i="58"/>
  <c r="R776" i="58"/>
  <c r="Q776" i="58"/>
  <c r="O776" i="58"/>
  <c r="N776" i="58"/>
  <c r="R775" i="58"/>
  <c r="Q775" i="58"/>
  <c r="O775" i="58"/>
  <c r="S775" i="58" s="1"/>
  <c r="N775" i="58"/>
  <c r="R774" i="58"/>
  <c r="Q774" i="58"/>
  <c r="O774" i="58"/>
  <c r="P774" i="58" s="1"/>
  <c r="N774" i="58"/>
  <c r="R773" i="58"/>
  <c r="Q773" i="58"/>
  <c r="O773" i="58"/>
  <c r="N773" i="58"/>
  <c r="R772" i="58"/>
  <c r="Q772" i="58"/>
  <c r="O772" i="58"/>
  <c r="S772" i="58" s="1"/>
  <c r="N772" i="58"/>
  <c r="R771" i="58"/>
  <c r="Q771" i="58"/>
  <c r="O771" i="58"/>
  <c r="P771" i="58" s="1"/>
  <c r="N771" i="58"/>
  <c r="R770" i="58"/>
  <c r="Q770" i="58"/>
  <c r="O770" i="58"/>
  <c r="N770" i="58"/>
  <c r="R769" i="58"/>
  <c r="Q769" i="58"/>
  <c r="O769" i="58"/>
  <c r="N769" i="58"/>
  <c r="R768" i="58"/>
  <c r="Q768" i="58"/>
  <c r="O768" i="58"/>
  <c r="N768" i="58"/>
  <c r="R767" i="58"/>
  <c r="Q767" i="58"/>
  <c r="O767" i="58"/>
  <c r="S767" i="58" s="1"/>
  <c r="N767" i="58"/>
  <c r="R766" i="58"/>
  <c r="Q766" i="58"/>
  <c r="O766" i="58"/>
  <c r="P766" i="58" s="1"/>
  <c r="N766" i="58"/>
  <c r="R765" i="58"/>
  <c r="Q765" i="58"/>
  <c r="O765" i="58"/>
  <c r="N765" i="58"/>
  <c r="R764" i="58"/>
  <c r="Q764" i="58"/>
  <c r="O764" i="58"/>
  <c r="S764" i="58" s="1"/>
  <c r="N764" i="58"/>
  <c r="R763" i="58"/>
  <c r="Q763" i="58"/>
  <c r="O763" i="58"/>
  <c r="P763" i="58" s="1"/>
  <c r="N763" i="58"/>
  <c r="R762" i="58"/>
  <c r="Q762" i="58"/>
  <c r="O762" i="58"/>
  <c r="P762" i="58" s="1"/>
  <c r="N762" i="58"/>
  <c r="R761" i="58"/>
  <c r="Q761" i="58"/>
  <c r="O761" i="58"/>
  <c r="N761" i="58"/>
  <c r="R760" i="58"/>
  <c r="Q760" i="58"/>
  <c r="O760" i="58"/>
  <c r="N760" i="58"/>
  <c r="R759" i="58"/>
  <c r="Q759" i="58"/>
  <c r="O759" i="58"/>
  <c r="S759" i="58" s="1"/>
  <c r="N759" i="58"/>
  <c r="R758" i="58"/>
  <c r="Q758" i="58"/>
  <c r="O758" i="58"/>
  <c r="P758" i="58" s="1"/>
  <c r="N758" i="58"/>
  <c r="R757" i="58"/>
  <c r="Q757" i="58"/>
  <c r="O757" i="58"/>
  <c r="N757" i="58"/>
  <c r="R756" i="58"/>
  <c r="Q756" i="58"/>
  <c r="O756" i="58"/>
  <c r="S756" i="58" s="1"/>
  <c r="N756" i="58"/>
  <c r="R755" i="58"/>
  <c r="Q755" i="58"/>
  <c r="O755" i="58"/>
  <c r="P755" i="58" s="1"/>
  <c r="N755" i="58"/>
  <c r="R754" i="58"/>
  <c r="Q754" i="58"/>
  <c r="O754" i="58"/>
  <c r="P754" i="58" s="1"/>
  <c r="N754" i="58"/>
  <c r="R753" i="58"/>
  <c r="Q753" i="58"/>
  <c r="O753" i="58"/>
  <c r="N753" i="58"/>
  <c r="R752" i="58"/>
  <c r="Q752" i="58"/>
  <c r="O752" i="58"/>
  <c r="N752" i="58"/>
  <c r="R751" i="58"/>
  <c r="Q751" i="58"/>
  <c r="O751" i="58"/>
  <c r="P751" i="58" s="1"/>
  <c r="N751" i="58"/>
  <c r="R750" i="58"/>
  <c r="Q750" i="58"/>
  <c r="O750" i="58"/>
  <c r="P750" i="58" s="1"/>
  <c r="N750" i="58"/>
  <c r="R749" i="58"/>
  <c r="Q749" i="58"/>
  <c r="O749" i="58"/>
  <c r="N749" i="58"/>
  <c r="R748" i="58"/>
  <c r="Q748" i="58"/>
  <c r="O748" i="58"/>
  <c r="S748" i="58" s="1"/>
  <c r="N748" i="58"/>
  <c r="R747" i="58"/>
  <c r="Q747" i="58"/>
  <c r="O747" i="58"/>
  <c r="N747" i="58"/>
  <c r="R746" i="58"/>
  <c r="Q746" i="58"/>
  <c r="O746" i="58"/>
  <c r="P746" i="58" s="1"/>
  <c r="N746" i="58"/>
  <c r="R745" i="58"/>
  <c r="Q745" i="58"/>
  <c r="O745" i="58"/>
  <c r="N745" i="58"/>
  <c r="R744" i="58"/>
  <c r="Q744" i="58"/>
  <c r="O744" i="58"/>
  <c r="N744" i="58"/>
  <c r="R743" i="58"/>
  <c r="Q743" i="58"/>
  <c r="O743" i="58"/>
  <c r="P743" i="58" s="1"/>
  <c r="N743" i="58"/>
  <c r="R742" i="58"/>
  <c r="Q742" i="58"/>
  <c r="O742" i="58"/>
  <c r="N742" i="58"/>
  <c r="R741" i="58"/>
  <c r="Q741" i="58"/>
  <c r="O741" i="58"/>
  <c r="N741" i="58"/>
  <c r="R740" i="58"/>
  <c r="Q740" i="58"/>
  <c r="O740" i="58"/>
  <c r="S740" i="58" s="1"/>
  <c r="N740" i="58"/>
  <c r="R739" i="58"/>
  <c r="Q739" i="58"/>
  <c r="O739" i="58"/>
  <c r="S739" i="58" s="1"/>
  <c r="N739" i="58"/>
  <c r="R738" i="58"/>
  <c r="Q738" i="58"/>
  <c r="O738" i="58"/>
  <c r="P738" i="58" s="1"/>
  <c r="N738" i="58"/>
  <c r="R737" i="58"/>
  <c r="Q737" i="58"/>
  <c r="O737" i="58"/>
  <c r="N737" i="58"/>
  <c r="R736" i="58"/>
  <c r="Q736" i="58"/>
  <c r="O736" i="58"/>
  <c r="N736" i="58"/>
  <c r="R735" i="58"/>
  <c r="Q735" i="58"/>
  <c r="O735" i="58"/>
  <c r="P735" i="58" s="1"/>
  <c r="N735" i="58"/>
  <c r="R734" i="58"/>
  <c r="Q734" i="58"/>
  <c r="O734" i="58"/>
  <c r="P734" i="58" s="1"/>
  <c r="N734" i="58"/>
  <c r="R733" i="58"/>
  <c r="Q733" i="58"/>
  <c r="O733" i="58"/>
  <c r="N733" i="58"/>
  <c r="R732" i="58"/>
  <c r="Q732" i="58"/>
  <c r="O732" i="58"/>
  <c r="N732" i="58"/>
  <c r="R731" i="58"/>
  <c r="Q731" i="58"/>
  <c r="O731" i="58"/>
  <c r="S731" i="58" s="1"/>
  <c r="N731" i="58"/>
  <c r="R730" i="58"/>
  <c r="Q730" i="58"/>
  <c r="O730" i="58"/>
  <c r="P730" i="58" s="1"/>
  <c r="N730" i="58"/>
  <c r="R729" i="58"/>
  <c r="Q729" i="58"/>
  <c r="O729" i="58"/>
  <c r="N729" i="58"/>
  <c r="R728" i="58"/>
  <c r="Q728" i="58"/>
  <c r="O728" i="58"/>
  <c r="N728" i="58"/>
  <c r="R727" i="58"/>
  <c r="Q727" i="58"/>
  <c r="O727" i="58"/>
  <c r="S727" i="58" s="1"/>
  <c r="N727" i="58"/>
  <c r="R726" i="58"/>
  <c r="Q726" i="58"/>
  <c r="O726" i="58"/>
  <c r="P726" i="58" s="1"/>
  <c r="N726" i="58"/>
  <c r="R725" i="58"/>
  <c r="Q725" i="58"/>
  <c r="O725" i="58"/>
  <c r="N725" i="58"/>
  <c r="R724" i="58"/>
  <c r="Q724" i="58"/>
  <c r="O724" i="58"/>
  <c r="S724" i="58" s="1"/>
  <c r="N724" i="58"/>
  <c r="R723" i="58"/>
  <c r="Q723" i="58"/>
  <c r="O723" i="58"/>
  <c r="S723" i="58" s="1"/>
  <c r="N723" i="58"/>
  <c r="R722" i="58"/>
  <c r="Q722" i="58"/>
  <c r="O722" i="58"/>
  <c r="P722" i="58" s="1"/>
  <c r="N722" i="58"/>
  <c r="R721" i="58"/>
  <c r="Q721" i="58"/>
  <c r="O721" i="58"/>
  <c r="N721" i="58"/>
  <c r="R720" i="58"/>
  <c r="Q720" i="58"/>
  <c r="O720" i="58"/>
  <c r="N720" i="58"/>
  <c r="R719" i="58"/>
  <c r="Q719" i="58"/>
  <c r="O719" i="58"/>
  <c r="N719" i="58"/>
  <c r="R718" i="58"/>
  <c r="Q718" i="58"/>
  <c r="O718" i="58"/>
  <c r="P718" i="58" s="1"/>
  <c r="N718" i="58"/>
  <c r="R717" i="58"/>
  <c r="Q717" i="58"/>
  <c r="O717" i="58"/>
  <c r="N717" i="58"/>
  <c r="R716" i="58"/>
  <c r="Q716" i="58"/>
  <c r="O716" i="58"/>
  <c r="S716" i="58" s="1"/>
  <c r="N716" i="58"/>
  <c r="R715" i="58"/>
  <c r="Q715" i="58"/>
  <c r="O715" i="58"/>
  <c r="P715" i="58" s="1"/>
  <c r="N715" i="58"/>
  <c r="R714" i="58"/>
  <c r="Q714" i="58"/>
  <c r="O714" i="58"/>
  <c r="P714" i="58" s="1"/>
  <c r="N714" i="58"/>
  <c r="R713" i="58"/>
  <c r="Q713" i="58"/>
  <c r="O713" i="58"/>
  <c r="N713" i="58"/>
  <c r="R712" i="58"/>
  <c r="Q712" i="58"/>
  <c r="O712" i="58"/>
  <c r="N712" i="58"/>
  <c r="R711" i="58"/>
  <c r="Q711" i="58"/>
  <c r="O711" i="58"/>
  <c r="S711" i="58" s="1"/>
  <c r="N711" i="58"/>
  <c r="R710" i="58"/>
  <c r="Q710" i="58"/>
  <c r="O710" i="58"/>
  <c r="P710" i="58" s="1"/>
  <c r="N710" i="58"/>
  <c r="R709" i="58"/>
  <c r="Q709" i="58"/>
  <c r="O709" i="58"/>
  <c r="N709" i="58"/>
  <c r="R708" i="58"/>
  <c r="Q708" i="58"/>
  <c r="O708" i="58"/>
  <c r="S708" i="58" s="1"/>
  <c r="N708" i="58"/>
  <c r="R707" i="58"/>
  <c r="Q707" i="58"/>
  <c r="O707" i="58"/>
  <c r="P707" i="58" s="1"/>
  <c r="N707" i="58"/>
  <c r="R706" i="58"/>
  <c r="Q706" i="58"/>
  <c r="O706" i="58"/>
  <c r="N706" i="58"/>
  <c r="R705" i="58"/>
  <c r="Q705" i="58"/>
  <c r="O705" i="58"/>
  <c r="N705" i="58"/>
  <c r="R704" i="58"/>
  <c r="Q704" i="58"/>
  <c r="O704" i="58"/>
  <c r="N704" i="58"/>
  <c r="R703" i="58"/>
  <c r="Q703" i="58"/>
  <c r="O703" i="58"/>
  <c r="S703" i="58" s="1"/>
  <c r="N703" i="58"/>
  <c r="R702" i="58"/>
  <c r="Q702" i="58"/>
  <c r="O702" i="58"/>
  <c r="P702" i="58" s="1"/>
  <c r="N702" i="58"/>
  <c r="R701" i="58"/>
  <c r="Q701" i="58"/>
  <c r="O701" i="58"/>
  <c r="N701" i="58"/>
  <c r="R700" i="58"/>
  <c r="Q700" i="58"/>
  <c r="O700" i="58"/>
  <c r="S700" i="58" s="1"/>
  <c r="N700" i="58"/>
  <c r="R699" i="58"/>
  <c r="Q699" i="58"/>
  <c r="O699" i="58"/>
  <c r="P699" i="58" s="1"/>
  <c r="N699" i="58"/>
  <c r="R698" i="58"/>
  <c r="Q698" i="58"/>
  <c r="O698" i="58"/>
  <c r="P698" i="58" s="1"/>
  <c r="N698" i="58"/>
  <c r="R697" i="58"/>
  <c r="Q697" i="58"/>
  <c r="O697" i="58"/>
  <c r="N697" i="58"/>
  <c r="R696" i="58"/>
  <c r="Q696" i="58"/>
  <c r="O696" i="58"/>
  <c r="N696" i="58"/>
  <c r="R695" i="58"/>
  <c r="Q695" i="58"/>
  <c r="O695" i="58"/>
  <c r="S695" i="58" s="1"/>
  <c r="N695" i="58"/>
  <c r="R694" i="58"/>
  <c r="Q694" i="58"/>
  <c r="O694" i="58"/>
  <c r="P694" i="58" s="1"/>
  <c r="N694" i="58"/>
  <c r="R693" i="58"/>
  <c r="Q693" i="58"/>
  <c r="O693" i="58"/>
  <c r="N693" i="58"/>
  <c r="R692" i="58"/>
  <c r="Q692" i="58"/>
  <c r="O692" i="58"/>
  <c r="S692" i="58" s="1"/>
  <c r="N692" i="58"/>
  <c r="R691" i="58"/>
  <c r="Q691" i="58"/>
  <c r="O691" i="58"/>
  <c r="S691" i="58" s="1"/>
  <c r="N691" i="58"/>
  <c r="R690" i="58"/>
  <c r="Q690" i="58"/>
  <c r="O690" i="58"/>
  <c r="P690" i="58" s="1"/>
  <c r="N690" i="58"/>
  <c r="R689" i="58"/>
  <c r="Q689" i="58"/>
  <c r="O689" i="58"/>
  <c r="N689" i="58"/>
  <c r="R688" i="58"/>
  <c r="Q688" i="58"/>
  <c r="O688" i="58"/>
  <c r="N688" i="58"/>
  <c r="R687" i="58"/>
  <c r="Q687" i="58"/>
  <c r="O687" i="58"/>
  <c r="P687" i="58" s="1"/>
  <c r="N687" i="58"/>
  <c r="R686" i="58"/>
  <c r="Q686" i="58"/>
  <c r="O686" i="58"/>
  <c r="P686" i="58" s="1"/>
  <c r="N686" i="58"/>
  <c r="R685" i="58"/>
  <c r="Q685" i="58"/>
  <c r="O685" i="58"/>
  <c r="N685" i="58"/>
  <c r="R684" i="58"/>
  <c r="Q684" i="58"/>
  <c r="O684" i="58"/>
  <c r="S684" i="58" s="1"/>
  <c r="N684" i="58"/>
  <c r="R683" i="58"/>
  <c r="Q683" i="58"/>
  <c r="O683" i="58"/>
  <c r="N683" i="58"/>
  <c r="R682" i="58"/>
  <c r="Q682" i="58"/>
  <c r="O682" i="58"/>
  <c r="P682" i="58" s="1"/>
  <c r="N682" i="58"/>
  <c r="R681" i="58"/>
  <c r="Q681" i="58"/>
  <c r="O681" i="58"/>
  <c r="N681" i="58"/>
  <c r="R680" i="58"/>
  <c r="Q680" i="58"/>
  <c r="O680" i="58"/>
  <c r="N680" i="58"/>
  <c r="R679" i="58"/>
  <c r="Q679" i="58"/>
  <c r="O679" i="58"/>
  <c r="P679" i="58" s="1"/>
  <c r="N679" i="58"/>
  <c r="R678" i="58"/>
  <c r="Q678" i="58"/>
  <c r="O678" i="58"/>
  <c r="N678" i="58"/>
  <c r="R677" i="58"/>
  <c r="Q677" i="58"/>
  <c r="O677" i="58"/>
  <c r="N677" i="58"/>
  <c r="R676" i="58"/>
  <c r="Q676" i="58"/>
  <c r="O676" i="58"/>
  <c r="S676" i="58" s="1"/>
  <c r="N676" i="58"/>
  <c r="R675" i="58"/>
  <c r="Q675" i="58"/>
  <c r="O675" i="58"/>
  <c r="S675" i="58" s="1"/>
  <c r="N675" i="58"/>
  <c r="R674" i="58"/>
  <c r="Q674" i="58"/>
  <c r="O674" i="58"/>
  <c r="P674" i="58" s="1"/>
  <c r="N674" i="58"/>
  <c r="R673" i="58"/>
  <c r="Q673" i="58"/>
  <c r="O673" i="58"/>
  <c r="N673" i="58"/>
  <c r="R672" i="58"/>
  <c r="Q672" i="58"/>
  <c r="O672" i="58"/>
  <c r="N672" i="58"/>
  <c r="R671" i="58"/>
  <c r="Q671" i="58"/>
  <c r="O671" i="58"/>
  <c r="P671" i="58" s="1"/>
  <c r="N671" i="58"/>
  <c r="R670" i="58"/>
  <c r="Q670" i="58"/>
  <c r="O670" i="58"/>
  <c r="P670" i="58" s="1"/>
  <c r="N670" i="58"/>
  <c r="R669" i="58"/>
  <c r="Q669" i="58"/>
  <c r="O669" i="58"/>
  <c r="N669" i="58"/>
  <c r="R668" i="58"/>
  <c r="Q668" i="58"/>
  <c r="O668" i="58"/>
  <c r="N668" i="58"/>
  <c r="R667" i="58"/>
  <c r="Q667" i="58"/>
  <c r="O667" i="58"/>
  <c r="S667" i="58" s="1"/>
  <c r="N667" i="58"/>
  <c r="R666" i="58"/>
  <c r="Q666" i="58"/>
  <c r="O666" i="58"/>
  <c r="P666" i="58" s="1"/>
  <c r="N666" i="58"/>
  <c r="R665" i="58"/>
  <c r="Q665" i="58"/>
  <c r="O665" i="58"/>
  <c r="N665" i="58"/>
  <c r="R664" i="58"/>
  <c r="Q664" i="58"/>
  <c r="O664" i="58"/>
  <c r="N664" i="58"/>
  <c r="R663" i="58"/>
  <c r="Q663" i="58"/>
  <c r="O663" i="58"/>
  <c r="S663" i="58" s="1"/>
  <c r="N663" i="58"/>
  <c r="R662" i="58"/>
  <c r="Q662" i="58"/>
  <c r="O662" i="58"/>
  <c r="P662" i="58" s="1"/>
  <c r="N662" i="58"/>
  <c r="R661" i="58"/>
  <c r="Q661" i="58"/>
  <c r="O661" i="58"/>
  <c r="N661" i="58"/>
  <c r="R660" i="58"/>
  <c r="Q660" i="58"/>
  <c r="O660" i="58"/>
  <c r="S660" i="58" s="1"/>
  <c r="N660" i="58"/>
  <c r="R659" i="58"/>
  <c r="Q659" i="58"/>
  <c r="O659" i="58"/>
  <c r="S659" i="58" s="1"/>
  <c r="N659" i="58"/>
  <c r="R658" i="58"/>
  <c r="Q658" i="58"/>
  <c r="O658" i="58"/>
  <c r="P658" i="58" s="1"/>
  <c r="N658" i="58"/>
  <c r="R657" i="58"/>
  <c r="Q657" i="58"/>
  <c r="O657" i="58"/>
  <c r="N657" i="58"/>
  <c r="R656" i="58"/>
  <c r="Q656" i="58"/>
  <c r="O656" i="58"/>
  <c r="N656" i="58"/>
  <c r="R655" i="58"/>
  <c r="Q655" i="58"/>
  <c r="O655" i="58"/>
  <c r="N655" i="58"/>
  <c r="R654" i="58"/>
  <c r="Q654" i="58"/>
  <c r="O654" i="58"/>
  <c r="P654" i="58" s="1"/>
  <c r="N654" i="58"/>
  <c r="R653" i="58"/>
  <c r="Q653" i="58"/>
  <c r="O653" i="58"/>
  <c r="N653" i="58"/>
  <c r="R652" i="58"/>
  <c r="Q652" i="58"/>
  <c r="O652" i="58"/>
  <c r="S652" i="58" s="1"/>
  <c r="N652" i="58"/>
  <c r="R651" i="58"/>
  <c r="Q651" i="58"/>
  <c r="O651" i="58"/>
  <c r="P651" i="58" s="1"/>
  <c r="N651" i="58"/>
  <c r="R650" i="58"/>
  <c r="Q650" i="58"/>
  <c r="O650" i="58"/>
  <c r="P650" i="58" s="1"/>
  <c r="N650" i="58"/>
  <c r="R649" i="58"/>
  <c r="Q649" i="58"/>
  <c r="O649" i="58"/>
  <c r="N649" i="58"/>
  <c r="R648" i="58"/>
  <c r="Q648" i="58"/>
  <c r="O648" i="58"/>
  <c r="N648" i="58"/>
  <c r="R647" i="58"/>
  <c r="Q647" i="58"/>
  <c r="O647" i="58"/>
  <c r="S647" i="58" s="1"/>
  <c r="N647" i="58"/>
  <c r="R646" i="58"/>
  <c r="Q646" i="58"/>
  <c r="O646" i="58"/>
  <c r="P646" i="58" s="1"/>
  <c r="N646" i="58"/>
  <c r="R645" i="58"/>
  <c r="Q645" i="58"/>
  <c r="O645" i="58"/>
  <c r="N645" i="58"/>
  <c r="R644" i="58"/>
  <c r="Q644" i="58"/>
  <c r="O644" i="58"/>
  <c r="S644" i="58" s="1"/>
  <c r="N644" i="58"/>
  <c r="R643" i="58"/>
  <c r="Q643" i="58"/>
  <c r="O643" i="58"/>
  <c r="P643" i="58" s="1"/>
  <c r="N643" i="58"/>
  <c r="R642" i="58"/>
  <c r="Q642" i="58"/>
  <c r="O642" i="58"/>
  <c r="N642" i="58"/>
  <c r="R641" i="58"/>
  <c r="Q641" i="58"/>
  <c r="O641" i="58"/>
  <c r="N641" i="58"/>
  <c r="R640" i="58"/>
  <c r="Q640" i="58"/>
  <c r="O640" i="58"/>
  <c r="N640" i="58"/>
  <c r="R639" i="58"/>
  <c r="Q639" i="58"/>
  <c r="O639" i="58"/>
  <c r="S639" i="58" s="1"/>
  <c r="N639" i="58"/>
  <c r="R638" i="58"/>
  <c r="Q638" i="58"/>
  <c r="O638" i="58"/>
  <c r="P638" i="58" s="1"/>
  <c r="N638" i="58"/>
  <c r="R637" i="58"/>
  <c r="Q637" i="58"/>
  <c r="O637" i="58"/>
  <c r="N637" i="58"/>
  <c r="R636" i="58"/>
  <c r="Q636" i="58"/>
  <c r="O636" i="58"/>
  <c r="S636" i="58" s="1"/>
  <c r="N636" i="58"/>
  <c r="R635" i="58"/>
  <c r="Q635" i="58"/>
  <c r="O635" i="58"/>
  <c r="P635" i="58" s="1"/>
  <c r="N635" i="58"/>
  <c r="R634" i="58"/>
  <c r="Q634" i="58"/>
  <c r="O634" i="58"/>
  <c r="P634" i="58" s="1"/>
  <c r="N634" i="58"/>
  <c r="R633" i="58"/>
  <c r="Q633" i="58"/>
  <c r="O633" i="58"/>
  <c r="N633" i="58"/>
  <c r="R632" i="58"/>
  <c r="Q632" i="58"/>
  <c r="O632" i="58"/>
  <c r="N632" i="58"/>
  <c r="R631" i="58"/>
  <c r="Q631" i="58"/>
  <c r="O631" i="58"/>
  <c r="S631" i="58" s="1"/>
  <c r="N631" i="58"/>
  <c r="R630" i="58"/>
  <c r="Q630" i="58"/>
  <c r="O630" i="58"/>
  <c r="P630" i="58" s="1"/>
  <c r="N630" i="58"/>
  <c r="R629" i="58"/>
  <c r="Q629" i="58"/>
  <c r="O629" i="58"/>
  <c r="N629" i="58"/>
  <c r="R628" i="58"/>
  <c r="Q628" i="58"/>
  <c r="O628" i="58"/>
  <c r="S628" i="58" s="1"/>
  <c r="N628" i="58"/>
  <c r="R627" i="58"/>
  <c r="Q627" i="58"/>
  <c r="O627" i="58"/>
  <c r="S627" i="58" s="1"/>
  <c r="N627" i="58"/>
  <c r="R626" i="58"/>
  <c r="Q626" i="58"/>
  <c r="O626" i="58"/>
  <c r="P626" i="58" s="1"/>
  <c r="N626" i="58"/>
  <c r="R625" i="58"/>
  <c r="Q625" i="58"/>
  <c r="O625" i="58"/>
  <c r="N625" i="58"/>
  <c r="R624" i="58"/>
  <c r="Q624" i="58"/>
  <c r="O624" i="58"/>
  <c r="N624" i="58"/>
  <c r="R623" i="58"/>
  <c r="Q623" i="58"/>
  <c r="O623" i="58"/>
  <c r="P623" i="58" s="1"/>
  <c r="N623" i="58"/>
  <c r="R622" i="58"/>
  <c r="Q622" i="58"/>
  <c r="O622" i="58"/>
  <c r="P622" i="58" s="1"/>
  <c r="N622" i="58"/>
  <c r="R621" i="58"/>
  <c r="Q621" i="58"/>
  <c r="O621" i="58"/>
  <c r="N621" i="58"/>
  <c r="R620" i="58"/>
  <c r="Q620" i="58"/>
  <c r="O620" i="58"/>
  <c r="S620" i="58" s="1"/>
  <c r="N620" i="58"/>
  <c r="R619" i="58"/>
  <c r="Q619" i="58"/>
  <c r="O619" i="58"/>
  <c r="N619" i="58"/>
  <c r="R618" i="58"/>
  <c r="Q618" i="58"/>
  <c r="O618" i="58"/>
  <c r="P618" i="58" s="1"/>
  <c r="N618" i="58"/>
  <c r="R617" i="58"/>
  <c r="Q617" i="58"/>
  <c r="O617" i="58"/>
  <c r="N617" i="58"/>
  <c r="R616" i="58"/>
  <c r="Q616" i="58"/>
  <c r="O616" i="58"/>
  <c r="N616" i="58"/>
  <c r="R615" i="58"/>
  <c r="Q615" i="58"/>
  <c r="O615" i="58"/>
  <c r="P615" i="58" s="1"/>
  <c r="N615" i="58"/>
  <c r="R614" i="58"/>
  <c r="Q614" i="58"/>
  <c r="O614" i="58"/>
  <c r="N614" i="58"/>
  <c r="R613" i="58"/>
  <c r="Q613" i="58"/>
  <c r="O613" i="58"/>
  <c r="N613" i="58"/>
  <c r="R612" i="58"/>
  <c r="Q612" i="58"/>
  <c r="O612" i="58"/>
  <c r="S612" i="58" s="1"/>
  <c r="N612" i="58"/>
  <c r="R611" i="58"/>
  <c r="Q611" i="58"/>
  <c r="O611" i="58"/>
  <c r="S611" i="58" s="1"/>
  <c r="N611" i="58"/>
  <c r="R610" i="58"/>
  <c r="Q610" i="58"/>
  <c r="O610" i="58"/>
  <c r="P610" i="58" s="1"/>
  <c r="N610" i="58"/>
  <c r="R609" i="58"/>
  <c r="Q609" i="58"/>
  <c r="O609" i="58"/>
  <c r="N609" i="58"/>
  <c r="R608" i="58"/>
  <c r="Q608" i="58"/>
  <c r="O608" i="58"/>
  <c r="N608" i="58"/>
  <c r="R607" i="58"/>
  <c r="Q607" i="58"/>
  <c r="O607" i="58"/>
  <c r="P607" i="58" s="1"/>
  <c r="N607" i="58"/>
  <c r="R606" i="58"/>
  <c r="Q606" i="58"/>
  <c r="O606" i="58"/>
  <c r="P606" i="58" s="1"/>
  <c r="N606" i="58"/>
  <c r="R605" i="58"/>
  <c r="Q605" i="58"/>
  <c r="O605" i="58"/>
  <c r="N605" i="58"/>
  <c r="R604" i="58"/>
  <c r="Q604" i="58"/>
  <c r="O604" i="58"/>
  <c r="N604" i="58"/>
  <c r="R603" i="58"/>
  <c r="Q603" i="58"/>
  <c r="O603" i="58"/>
  <c r="S603" i="58" s="1"/>
  <c r="N603" i="58"/>
  <c r="R602" i="58"/>
  <c r="Q602" i="58"/>
  <c r="O602" i="58"/>
  <c r="P602" i="58" s="1"/>
  <c r="N602" i="58"/>
  <c r="R601" i="58"/>
  <c r="Q601" i="58"/>
  <c r="O601" i="58"/>
  <c r="N601" i="58"/>
  <c r="R600" i="58"/>
  <c r="Q600" i="58"/>
  <c r="O600" i="58"/>
  <c r="S600" i="58" s="1"/>
  <c r="N600" i="58"/>
  <c r="R599" i="58"/>
  <c r="Q599" i="58"/>
  <c r="O599" i="58"/>
  <c r="P599" i="58" s="1"/>
  <c r="N599" i="58"/>
  <c r="R598" i="58"/>
  <c r="Q598" i="58"/>
  <c r="O598" i="58"/>
  <c r="P598" i="58" s="1"/>
  <c r="N598" i="58"/>
  <c r="R597" i="58"/>
  <c r="Q597" i="58"/>
  <c r="O597" i="58"/>
  <c r="N597" i="58"/>
  <c r="R596" i="58"/>
  <c r="Q596" i="58"/>
  <c r="O596" i="58"/>
  <c r="N596" i="58"/>
  <c r="R595" i="58"/>
  <c r="Q595" i="58"/>
  <c r="O595" i="58"/>
  <c r="S595" i="58" s="1"/>
  <c r="N595" i="58"/>
  <c r="R594" i="58"/>
  <c r="Q594" i="58"/>
  <c r="O594" i="58"/>
  <c r="P594" i="58" s="1"/>
  <c r="N594" i="58"/>
  <c r="R593" i="58"/>
  <c r="Q593" i="58"/>
  <c r="O593" i="58"/>
  <c r="N593" i="58"/>
  <c r="R592" i="58"/>
  <c r="Q592" i="58"/>
  <c r="O592" i="58"/>
  <c r="S592" i="58" s="1"/>
  <c r="N592" i="58"/>
  <c r="R591" i="58"/>
  <c r="Q591" i="58"/>
  <c r="O591" i="58"/>
  <c r="S591" i="58" s="1"/>
  <c r="N591" i="58"/>
  <c r="R590" i="58"/>
  <c r="Q590" i="58"/>
  <c r="O590" i="58"/>
  <c r="N590" i="58"/>
  <c r="R589" i="58"/>
  <c r="Q589" i="58"/>
  <c r="O589" i="58"/>
  <c r="N589" i="58"/>
  <c r="R588" i="58"/>
  <c r="Q588" i="58"/>
  <c r="O588" i="58"/>
  <c r="N588" i="58"/>
  <c r="R587" i="58"/>
  <c r="Q587" i="58"/>
  <c r="O587" i="58"/>
  <c r="P587" i="58" s="1"/>
  <c r="N587" i="58"/>
  <c r="R586" i="58"/>
  <c r="Q586" i="58"/>
  <c r="O586" i="58"/>
  <c r="N586" i="58"/>
  <c r="R585" i="58"/>
  <c r="Q585" i="58"/>
  <c r="O585" i="58"/>
  <c r="N585" i="58"/>
  <c r="R584" i="58"/>
  <c r="Q584" i="58"/>
  <c r="O584" i="58"/>
  <c r="S584" i="58" s="1"/>
  <c r="N584" i="58"/>
  <c r="R583" i="58"/>
  <c r="Q583" i="58"/>
  <c r="O583" i="58"/>
  <c r="S583" i="58" s="1"/>
  <c r="N583" i="58"/>
  <c r="R582" i="58"/>
  <c r="Q582" i="58"/>
  <c r="O582" i="58"/>
  <c r="N582" i="58"/>
  <c r="R581" i="58"/>
  <c r="Q581" i="58"/>
  <c r="O581" i="58"/>
  <c r="N581" i="58"/>
  <c r="R580" i="58"/>
  <c r="Q580" i="58"/>
  <c r="O580" i="58"/>
  <c r="P580" i="58" s="1"/>
  <c r="N580" i="58"/>
  <c r="R579" i="58"/>
  <c r="Q579" i="58"/>
  <c r="O579" i="58"/>
  <c r="P579" i="58" s="1"/>
  <c r="N579" i="58"/>
  <c r="R578" i="58"/>
  <c r="Q578" i="58"/>
  <c r="O578" i="58"/>
  <c r="P578" i="58" s="1"/>
  <c r="N578" i="58"/>
  <c r="R577" i="58"/>
  <c r="Q577" i="58"/>
  <c r="O577" i="58"/>
  <c r="N577" i="58"/>
  <c r="R576" i="58"/>
  <c r="Q576" i="58"/>
  <c r="O576" i="58"/>
  <c r="S576" i="58" s="1"/>
  <c r="N576" i="58"/>
  <c r="R575" i="58"/>
  <c r="Q575" i="58"/>
  <c r="O575" i="58"/>
  <c r="S575" i="58" s="1"/>
  <c r="N575" i="58"/>
  <c r="R574" i="58"/>
  <c r="Q574" i="58"/>
  <c r="O574" i="58"/>
  <c r="P574" i="58" s="1"/>
  <c r="N574" i="58"/>
  <c r="R573" i="58"/>
  <c r="Q573" i="58"/>
  <c r="O573" i="58"/>
  <c r="N573" i="58"/>
  <c r="R572" i="58"/>
  <c r="Q572" i="58"/>
  <c r="O572" i="58"/>
  <c r="S572" i="58" s="1"/>
  <c r="N572" i="58"/>
  <c r="R571" i="58"/>
  <c r="Q571" i="58"/>
  <c r="O571" i="58"/>
  <c r="P571" i="58" s="1"/>
  <c r="N571" i="58"/>
  <c r="R570" i="58"/>
  <c r="Q570" i="58"/>
  <c r="O570" i="58"/>
  <c r="N570" i="58"/>
  <c r="R569" i="58"/>
  <c r="Q569" i="58"/>
  <c r="O569" i="58"/>
  <c r="N569" i="58"/>
  <c r="R568" i="58"/>
  <c r="Q568" i="58"/>
  <c r="O568" i="58"/>
  <c r="P568" i="58" s="1"/>
  <c r="N568" i="58"/>
  <c r="R567" i="58"/>
  <c r="Q567" i="58"/>
  <c r="O567" i="58"/>
  <c r="N567" i="58"/>
  <c r="R566" i="58"/>
  <c r="Q566" i="58"/>
  <c r="O566" i="58"/>
  <c r="S566" i="58" s="1"/>
  <c r="N566" i="58"/>
  <c r="R565" i="58"/>
  <c r="Q565" i="58"/>
  <c r="O565" i="58"/>
  <c r="N565" i="58"/>
  <c r="R564" i="58"/>
  <c r="Q564" i="58"/>
  <c r="O564" i="58"/>
  <c r="S564" i="58" s="1"/>
  <c r="N564" i="58"/>
  <c r="R563" i="58"/>
  <c r="Q563" i="58"/>
  <c r="O563" i="58"/>
  <c r="S563" i="58" s="1"/>
  <c r="N563" i="58"/>
  <c r="R562" i="58"/>
  <c r="Q562" i="58"/>
  <c r="O562" i="58"/>
  <c r="S562" i="58" s="1"/>
  <c r="N562" i="58"/>
  <c r="R561" i="58"/>
  <c r="Q561" i="58"/>
  <c r="O561" i="58"/>
  <c r="N561" i="58"/>
  <c r="R560" i="58"/>
  <c r="Q560" i="58"/>
  <c r="O560" i="58"/>
  <c r="S560" i="58" s="1"/>
  <c r="N560" i="58"/>
  <c r="R559" i="58"/>
  <c r="Q559" i="58"/>
  <c r="O559" i="58"/>
  <c r="S559" i="58" s="1"/>
  <c r="N559" i="58"/>
  <c r="R558" i="58"/>
  <c r="Q558" i="58"/>
  <c r="O558" i="58"/>
  <c r="S558" i="58" s="1"/>
  <c r="N558" i="58"/>
  <c r="R557" i="58"/>
  <c r="Q557" i="58"/>
  <c r="O557" i="58"/>
  <c r="N557" i="58"/>
  <c r="R556" i="58"/>
  <c r="Q556" i="58"/>
  <c r="O556" i="58"/>
  <c r="N556" i="58"/>
  <c r="R555" i="58"/>
  <c r="Q555" i="58"/>
  <c r="O555" i="58"/>
  <c r="S555" i="58" s="1"/>
  <c r="N555" i="58"/>
  <c r="R554" i="58"/>
  <c r="Q554" i="58"/>
  <c r="O554" i="58"/>
  <c r="P554" i="58" s="1"/>
  <c r="N554" i="58"/>
  <c r="R553" i="58"/>
  <c r="Q553" i="58"/>
  <c r="O553" i="58"/>
  <c r="N553" i="58"/>
  <c r="R552" i="58"/>
  <c r="Q552" i="58"/>
  <c r="O552" i="58"/>
  <c r="S552" i="58" s="1"/>
  <c r="N552" i="58"/>
  <c r="R551" i="58"/>
  <c r="Q551" i="58"/>
  <c r="O551" i="58"/>
  <c r="P551" i="58" s="1"/>
  <c r="N551" i="58"/>
  <c r="R550" i="58"/>
  <c r="Q550" i="58"/>
  <c r="O550" i="58"/>
  <c r="S550" i="58" s="1"/>
  <c r="N550" i="58"/>
  <c r="R549" i="58"/>
  <c r="Q549" i="58"/>
  <c r="O549" i="58"/>
  <c r="N549" i="58"/>
  <c r="R548" i="58"/>
  <c r="Q548" i="58"/>
  <c r="O548" i="58"/>
  <c r="P548" i="58" s="1"/>
  <c r="N548" i="58"/>
  <c r="R547" i="58"/>
  <c r="Q547" i="58"/>
  <c r="O547" i="58"/>
  <c r="S547" i="58" s="1"/>
  <c r="N547" i="58"/>
  <c r="R546" i="58"/>
  <c r="Q546" i="58"/>
  <c r="O546" i="58"/>
  <c r="S546" i="58" s="1"/>
  <c r="N546" i="58"/>
  <c r="R545" i="58"/>
  <c r="Q545" i="58"/>
  <c r="O545" i="58"/>
  <c r="N545" i="58"/>
  <c r="R544" i="58"/>
  <c r="Q544" i="58"/>
  <c r="O544" i="58"/>
  <c r="S544" i="58" s="1"/>
  <c r="N544" i="58"/>
  <c r="R543" i="58"/>
  <c r="Q543" i="58"/>
  <c r="O543" i="58"/>
  <c r="S543" i="58" s="1"/>
  <c r="N543" i="58"/>
  <c r="R542" i="58"/>
  <c r="Q542" i="58"/>
  <c r="O542" i="58"/>
  <c r="P542" i="58" s="1"/>
  <c r="N542" i="58"/>
  <c r="R541" i="58"/>
  <c r="Q541" i="58"/>
  <c r="O541" i="58"/>
  <c r="N541" i="58"/>
  <c r="R540" i="58"/>
  <c r="Q540" i="58"/>
  <c r="O540" i="58"/>
  <c r="S540" i="58" s="1"/>
  <c r="N540" i="58"/>
  <c r="R539" i="58"/>
  <c r="Q539" i="58"/>
  <c r="O539" i="58"/>
  <c r="P539" i="58" s="1"/>
  <c r="N539" i="58"/>
  <c r="R538" i="58"/>
  <c r="Q538" i="58"/>
  <c r="O538" i="58"/>
  <c r="N538" i="58"/>
  <c r="R537" i="58"/>
  <c r="Q537" i="58"/>
  <c r="O537" i="58"/>
  <c r="N537" i="58"/>
  <c r="R536" i="58"/>
  <c r="Q536" i="58"/>
  <c r="O536" i="58"/>
  <c r="P536" i="58" s="1"/>
  <c r="N536" i="58"/>
  <c r="R535" i="58"/>
  <c r="Q535" i="58"/>
  <c r="O535" i="58"/>
  <c r="N535" i="58"/>
  <c r="R534" i="58"/>
  <c r="Q534" i="58"/>
  <c r="O534" i="58"/>
  <c r="S534" i="58" s="1"/>
  <c r="N534" i="58"/>
  <c r="R533" i="58"/>
  <c r="Q533" i="58"/>
  <c r="O533" i="58"/>
  <c r="N533" i="58"/>
  <c r="R532" i="58"/>
  <c r="Q532" i="58"/>
  <c r="O532" i="58"/>
  <c r="S532" i="58" s="1"/>
  <c r="N532" i="58"/>
  <c r="R531" i="58"/>
  <c r="Q531" i="58"/>
  <c r="O531" i="58"/>
  <c r="S531" i="58" s="1"/>
  <c r="N531" i="58"/>
  <c r="R530" i="58"/>
  <c r="Q530" i="58"/>
  <c r="O530" i="58"/>
  <c r="S530" i="58" s="1"/>
  <c r="N530" i="58"/>
  <c r="R529" i="58"/>
  <c r="Q529" i="58"/>
  <c r="O529" i="58"/>
  <c r="N529" i="58"/>
  <c r="R528" i="58"/>
  <c r="Q528" i="58"/>
  <c r="O528" i="58"/>
  <c r="S528" i="58" s="1"/>
  <c r="N528" i="58"/>
  <c r="R527" i="58"/>
  <c r="Q527" i="58"/>
  <c r="O527" i="58"/>
  <c r="S527" i="58" s="1"/>
  <c r="N527" i="58"/>
  <c r="R526" i="58"/>
  <c r="Q526" i="58"/>
  <c r="O526" i="58"/>
  <c r="S526" i="58" s="1"/>
  <c r="N526" i="58"/>
  <c r="R525" i="58"/>
  <c r="Q525" i="58"/>
  <c r="O525" i="58"/>
  <c r="N525" i="58"/>
  <c r="R524" i="58"/>
  <c r="Q524" i="58"/>
  <c r="O524" i="58"/>
  <c r="N524" i="58"/>
  <c r="R523" i="58"/>
  <c r="Q523" i="58"/>
  <c r="O523" i="58"/>
  <c r="S523" i="58" s="1"/>
  <c r="N523" i="58"/>
  <c r="R522" i="58"/>
  <c r="Q522" i="58"/>
  <c r="O522" i="58"/>
  <c r="P522" i="58" s="1"/>
  <c r="N522" i="58"/>
  <c r="R521" i="58"/>
  <c r="Q521" i="58"/>
  <c r="O521" i="58"/>
  <c r="N521" i="58"/>
  <c r="R520" i="58"/>
  <c r="Q520" i="58"/>
  <c r="O520" i="58"/>
  <c r="S520" i="58" s="1"/>
  <c r="N520" i="58"/>
  <c r="R519" i="58"/>
  <c r="Q519" i="58"/>
  <c r="O519" i="58"/>
  <c r="P519" i="58" s="1"/>
  <c r="N519" i="58"/>
  <c r="R518" i="58"/>
  <c r="Q518" i="58"/>
  <c r="O518" i="58"/>
  <c r="S518" i="58" s="1"/>
  <c r="N518" i="58"/>
  <c r="R517" i="58"/>
  <c r="Q517" i="58"/>
  <c r="O517" i="58"/>
  <c r="N517" i="58"/>
  <c r="R508" i="58"/>
  <c r="Q508" i="58"/>
  <c r="O508" i="58"/>
  <c r="P508" i="58" s="1"/>
  <c r="N508" i="58"/>
  <c r="R507" i="58"/>
  <c r="Q507" i="58"/>
  <c r="O507" i="58"/>
  <c r="S507" i="58" s="1"/>
  <c r="N507" i="58"/>
  <c r="R506" i="58"/>
  <c r="Q506" i="58"/>
  <c r="O506" i="58"/>
  <c r="S506" i="58" s="1"/>
  <c r="N506" i="58"/>
  <c r="R505" i="58"/>
  <c r="Q505" i="58"/>
  <c r="O505" i="58"/>
  <c r="N505" i="58"/>
  <c r="R504" i="58"/>
  <c r="Q504" i="58"/>
  <c r="O504" i="58"/>
  <c r="S504" i="58" s="1"/>
  <c r="N504" i="58"/>
  <c r="R503" i="58"/>
  <c r="Q503" i="58"/>
  <c r="O503" i="58"/>
  <c r="S503" i="58" s="1"/>
  <c r="N503" i="58"/>
  <c r="R502" i="58"/>
  <c r="Q502" i="58"/>
  <c r="O502" i="58"/>
  <c r="P502" i="58" s="1"/>
  <c r="N502" i="58"/>
  <c r="R501" i="58"/>
  <c r="Q501" i="58"/>
  <c r="O501" i="58"/>
  <c r="N501" i="58"/>
  <c r="R500" i="58"/>
  <c r="Q500" i="58"/>
  <c r="O500" i="58"/>
  <c r="S500" i="58" s="1"/>
  <c r="N500" i="58"/>
  <c r="R499" i="58"/>
  <c r="Q499" i="58"/>
  <c r="O499" i="58"/>
  <c r="P499" i="58" s="1"/>
  <c r="N499" i="58"/>
  <c r="R498" i="58"/>
  <c r="Q498" i="58"/>
  <c r="O498" i="58"/>
  <c r="N498" i="58"/>
  <c r="R497" i="58"/>
  <c r="Q497" i="58"/>
  <c r="O497" i="58"/>
  <c r="N497" i="58"/>
  <c r="R496" i="58"/>
  <c r="Q496" i="58"/>
  <c r="O496" i="58"/>
  <c r="P496" i="58" s="1"/>
  <c r="N496" i="58"/>
  <c r="R495" i="58"/>
  <c r="Q495" i="58"/>
  <c r="O495" i="58"/>
  <c r="N495" i="58"/>
  <c r="R494" i="58"/>
  <c r="Q494" i="58"/>
  <c r="O494" i="58"/>
  <c r="S494" i="58" s="1"/>
  <c r="N494" i="58"/>
  <c r="R493" i="58"/>
  <c r="Q493" i="58"/>
  <c r="O493" i="58"/>
  <c r="N493" i="58"/>
  <c r="R492" i="58"/>
  <c r="Q492" i="58"/>
  <c r="O492" i="58"/>
  <c r="S492" i="58" s="1"/>
  <c r="N492" i="58"/>
  <c r="R491" i="58"/>
  <c r="Q491" i="58"/>
  <c r="O491" i="58"/>
  <c r="S491" i="58" s="1"/>
  <c r="N491" i="58"/>
  <c r="R490" i="58"/>
  <c r="Q490" i="58"/>
  <c r="O490" i="58"/>
  <c r="S490" i="58" s="1"/>
  <c r="N490" i="58"/>
  <c r="R489" i="58"/>
  <c r="Q489" i="58"/>
  <c r="O489" i="58"/>
  <c r="N489" i="58"/>
  <c r="R488" i="58"/>
  <c r="Q488" i="58"/>
  <c r="O488" i="58"/>
  <c r="S488" i="58" s="1"/>
  <c r="N488" i="58"/>
  <c r="R487" i="58"/>
  <c r="Q487" i="58"/>
  <c r="O487" i="58"/>
  <c r="S487" i="58" s="1"/>
  <c r="N487" i="58"/>
  <c r="R486" i="58"/>
  <c r="Q486" i="58"/>
  <c r="O486" i="58"/>
  <c r="S486" i="58" s="1"/>
  <c r="N486" i="58"/>
  <c r="R485" i="58"/>
  <c r="Q485" i="58"/>
  <c r="O485" i="58"/>
  <c r="N485" i="58"/>
  <c r="R484" i="58"/>
  <c r="Q484" i="58"/>
  <c r="O484" i="58"/>
  <c r="N484" i="58"/>
  <c r="R483" i="58"/>
  <c r="Q483" i="58"/>
  <c r="O483" i="58"/>
  <c r="S483" i="58" s="1"/>
  <c r="N483" i="58"/>
  <c r="R482" i="58"/>
  <c r="Q482" i="58"/>
  <c r="O482" i="58"/>
  <c r="P482" i="58" s="1"/>
  <c r="N482" i="58"/>
  <c r="R481" i="58"/>
  <c r="Q481" i="58"/>
  <c r="O481" i="58"/>
  <c r="N481" i="58"/>
  <c r="R480" i="58"/>
  <c r="Q480" i="58"/>
  <c r="O480" i="58"/>
  <c r="S480" i="58" s="1"/>
  <c r="N480" i="58"/>
  <c r="R479" i="58"/>
  <c r="Q479" i="58"/>
  <c r="O479" i="58"/>
  <c r="P479" i="58" s="1"/>
  <c r="N479" i="58"/>
  <c r="R478" i="58"/>
  <c r="Q478" i="58"/>
  <c r="O478" i="58"/>
  <c r="S478" i="58" s="1"/>
  <c r="N478" i="58"/>
  <c r="R477" i="58"/>
  <c r="Q477" i="58"/>
  <c r="O477" i="58"/>
  <c r="N477" i="58"/>
  <c r="R476" i="58"/>
  <c r="Q476" i="58"/>
  <c r="O476" i="58"/>
  <c r="P476" i="58" s="1"/>
  <c r="N476" i="58"/>
  <c r="R475" i="58"/>
  <c r="Q475" i="58"/>
  <c r="O475" i="58"/>
  <c r="S475" i="58" s="1"/>
  <c r="N475" i="58"/>
  <c r="R474" i="58"/>
  <c r="Q474" i="58"/>
  <c r="O474" i="58"/>
  <c r="S474" i="58" s="1"/>
  <c r="N474" i="58"/>
  <c r="R473" i="58"/>
  <c r="Q473" i="58"/>
  <c r="O473" i="58"/>
  <c r="N473" i="58"/>
  <c r="R472" i="58"/>
  <c r="Q472" i="58"/>
  <c r="O472" i="58"/>
  <c r="S472" i="58" s="1"/>
  <c r="N472" i="58"/>
  <c r="R471" i="58"/>
  <c r="Q471" i="58"/>
  <c r="O471" i="58"/>
  <c r="S471" i="58" s="1"/>
  <c r="N471" i="58"/>
  <c r="R470" i="58"/>
  <c r="Q470" i="58"/>
  <c r="O470" i="58"/>
  <c r="P470" i="58" s="1"/>
  <c r="N470" i="58"/>
  <c r="R469" i="58"/>
  <c r="Q469" i="58"/>
  <c r="O469" i="58"/>
  <c r="N469" i="58"/>
  <c r="R468" i="58"/>
  <c r="Q468" i="58"/>
  <c r="O468" i="58"/>
  <c r="S468" i="58" s="1"/>
  <c r="N468" i="58"/>
  <c r="R467" i="58"/>
  <c r="Q467" i="58"/>
  <c r="O467" i="58"/>
  <c r="P467" i="58" s="1"/>
  <c r="N467" i="58"/>
  <c r="R466" i="58"/>
  <c r="Q466" i="58"/>
  <c r="O466" i="58"/>
  <c r="N466" i="58"/>
  <c r="R465" i="58"/>
  <c r="Q465" i="58"/>
  <c r="O465" i="58"/>
  <c r="N465" i="58"/>
  <c r="R464" i="58"/>
  <c r="Q464" i="58"/>
  <c r="O464" i="58"/>
  <c r="P464" i="58" s="1"/>
  <c r="N464" i="58"/>
  <c r="R463" i="58"/>
  <c r="Q463" i="58"/>
  <c r="O463" i="58"/>
  <c r="N463" i="58"/>
  <c r="R462" i="58"/>
  <c r="Q462" i="58"/>
  <c r="O462" i="58"/>
  <c r="S462" i="58" s="1"/>
  <c r="N462" i="58"/>
  <c r="O461" i="58"/>
  <c r="P461" i="58" s="1"/>
  <c r="N461" i="58"/>
  <c r="O460" i="58"/>
  <c r="P460" i="58" s="1"/>
  <c r="N460" i="58"/>
  <c r="O459" i="58"/>
  <c r="P459" i="58" s="1"/>
  <c r="N459" i="58"/>
  <c r="O458" i="58"/>
  <c r="P458" i="58" s="1"/>
  <c r="N458" i="58"/>
  <c r="O457" i="58"/>
  <c r="P457" i="58" s="1"/>
  <c r="N457" i="58"/>
  <c r="O456" i="58"/>
  <c r="P456" i="58" s="1"/>
  <c r="N456" i="58"/>
  <c r="O455" i="58"/>
  <c r="P455" i="58" s="1"/>
  <c r="N455" i="58"/>
  <c r="O454" i="58"/>
  <c r="P454" i="58" s="1"/>
  <c r="N454" i="58"/>
  <c r="R453" i="58"/>
  <c r="O453" i="58"/>
  <c r="P453" i="58" s="1"/>
  <c r="N453" i="58"/>
  <c r="R452" i="58"/>
  <c r="Q452" i="58"/>
  <c r="O452" i="58"/>
  <c r="P452" i="58" s="1"/>
  <c r="N452" i="58"/>
  <c r="R451" i="58"/>
  <c r="Q451" i="58"/>
  <c r="O451" i="58"/>
  <c r="S451" i="58" s="1"/>
  <c r="N451" i="58"/>
  <c r="R450" i="58"/>
  <c r="Q450" i="58"/>
  <c r="O450" i="58"/>
  <c r="N450" i="58"/>
  <c r="R449" i="58"/>
  <c r="Q449" i="58"/>
  <c r="O449" i="58"/>
  <c r="N449" i="58"/>
  <c r="R448" i="58"/>
  <c r="Q448" i="58"/>
  <c r="O448" i="58"/>
  <c r="S448" i="58" s="1"/>
  <c r="N448" i="58"/>
  <c r="R447" i="58"/>
  <c r="Q447" i="58"/>
  <c r="O447" i="58"/>
  <c r="P447" i="58" s="1"/>
  <c r="N447" i="58"/>
  <c r="R446" i="58"/>
  <c r="Q446" i="58"/>
  <c r="O446" i="58"/>
  <c r="N446" i="58"/>
  <c r="R445" i="58"/>
  <c r="Q445" i="58"/>
  <c r="O445" i="58"/>
  <c r="N445" i="58"/>
  <c r="R444" i="58"/>
  <c r="Q444" i="58"/>
  <c r="O444" i="58"/>
  <c r="P444" i="58" s="1"/>
  <c r="N444" i="58"/>
  <c r="R443" i="58"/>
  <c r="Q443" i="58"/>
  <c r="O443" i="58"/>
  <c r="P443" i="58" s="1"/>
  <c r="N443" i="58"/>
  <c r="R442" i="58"/>
  <c r="Q442" i="58"/>
  <c r="O442" i="58"/>
  <c r="N442" i="58"/>
  <c r="R441" i="58"/>
  <c r="Q441" i="58"/>
  <c r="O441" i="58"/>
  <c r="N441" i="58"/>
  <c r="R440" i="58"/>
  <c r="Q440" i="58"/>
  <c r="O440" i="58"/>
  <c r="S440" i="58" s="1"/>
  <c r="N440" i="58"/>
  <c r="R439" i="58"/>
  <c r="Q439" i="58"/>
  <c r="O439" i="58"/>
  <c r="P439" i="58" s="1"/>
  <c r="N439" i="58"/>
  <c r="R438" i="58"/>
  <c r="Q438" i="58"/>
  <c r="O438" i="58"/>
  <c r="N438" i="58"/>
  <c r="R437" i="58"/>
  <c r="Q437" i="58"/>
  <c r="O437" i="58"/>
  <c r="N437" i="58"/>
  <c r="R436" i="58"/>
  <c r="Q436" i="58"/>
  <c r="O436" i="58"/>
  <c r="N436" i="58"/>
  <c r="R435" i="58"/>
  <c r="Q435" i="58"/>
  <c r="O435" i="58"/>
  <c r="P435" i="58" s="1"/>
  <c r="N435" i="58"/>
  <c r="R434" i="58"/>
  <c r="Q434" i="58"/>
  <c r="O434" i="58"/>
  <c r="N434" i="58"/>
  <c r="R433" i="58"/>
  <c r="Q433" i="58"/>
  <c r="O433" i="58"/>
  <c r="N433" i="58"/>
  <c r="R432" i="58"/>
  <c r="Q432" i="58"/>
  <c r="O432" i="58"/>
  <c r="P432" i="58" s="1"/>
  <c r="N432" i="58"/>
  <c r="R431" i="58"/>
  <c r="Q431" i="58"/>
  <c r="O431" i="58"/>
  <c r="N431" i="58"/>
  <c r="R430" i="58"/>
  <c r="Q430" i="58"/>
  <c r="O430" i="58"/>
  <c r="N430" i="58"/>
  <c r="R429" i="58"/>
  <c r="Q429" i="58"/>
  <c r="O429" i="58"/>
  <c r="N429" i="58"/>
  <c r="R428" i="58"/>
  <c r="Q428" i="58"/>
  <c r="O428" i="58"/>
  <c r="S428" i="58" s="1"/>
  <c r="N428" i="58"/>
  <c r="R427" i="58"/>
  <c r="Q427" i="58"/>
  <c r="O427" i="58"/>
  <c r="P427" i="58" s="1"/>
  <c r="N427" i="58"/>
  <c r="R426" i="58"/>
  <c r="Q426" i="58"/>
  <c r="O426" i="58"/>
  <c r="N426" i="58"/>
  <c r="R425" i="58"/>
  <c r="Q425" i="58"/>
  <c r="O425" i="58"/>
  <c r="P425" i="58" s="1"/>
  <c r="N425" i="58"/>
  <c r="R424" i="58"/>
  <c r="Q424" i="58"/>
  <c r="O424" i="58"/>
  <c r="S424" i="58" s="1"/>
  <c r="N424" i="58"/>
  <c r="R423" i="58"/>
  <c r="Q423" i="58"/>
  <c r="O423" i="58"/>
  <c r="P423" i="58" s="1"/>
  <c r="N423" i="58"/>
  <c r="R422" i="58"/>
  <c r="Q422" i="58"/>
  <c r="O422" i="58"/>
  <c r="N422" i="58"/>
  <c r="R421" i="58"/>
  <c r="Q421" i="58"/>
  <c r="O421" i="58"/>
  <c r="P421" i="58" s="1"/>
  <c r="N421" i="58"/>
  <c r="R420" i="58"/>
  <c r="Q420" i="58"/>
  <c r="O420" i="58"/>
  <c r="P420" i="58" s="1"/>
  <c r="N420" i="58"/>
  <c r="R419" i="58"/>
  <c r="Q419" i="58"/>
  <c r="O419" i="58"/>
  <c r="P419" i="58" s="1"/>
  <c r="N419" i="58"/>
  <c r="R418" i="58"/>
  <c r="Q418" i="58"/>
  <c r="O418" i="58"/>
  <c r="N418" i="58"/>
  <c r="R417" i="58"/>
  <c r="Q417" i="58"/>
  <c r="O417" i="58"/>
  <c r="P417" i="58" s="1"/>
  <c r="N417" i="58"/>
  <c r="R416" i="58"/>
  <c r="Q416" i="58"/>
  <c r="O416" i="58"/>
  <c r="S416" i="58" s="1"/>
  <c r="N416" i="58"/>
  <c r="R415" i="58"/>
  <c r="Q415" i="58"/>
  <c r="O415" i="58"/>
  <c r="P415" i="58" s="1"/>
  <c r="N415" i="58"/>
  <c r="R414" i="58"/>
  <c r="Q414" i="58"/>
  <c r="O414" i="58"/>
  <c r="N414" i="58"/>
  <c r="R413" i="58"/>
  <c r="Q413" i="58"/>
  <c r="O413" i="58"/>
  <c r="P413" i="58" s="1"/>
  <c r="N413" i="58"/>
  <c r="R412" i="58"/>
  <c r="Q412" i="58"/>
  <c r="O412" i="58"/>
  <c r="S412" i="58" s="1"/>
  <c r="N412" i="58"/>
  <c r="R411" i="58"/>
  <c r="Q411" i="58"/>
  <c r="O411" i="58"/>
  <c r="P411" i="58" s="1"/>
  <c r="N411" i="58"/>
  <c r="R410" i="58"/>
  <c r="Q410" i="58"/>
  <c r="O410" i="58"/>
  <c r="N410" i="58"/>
  <c r="R409" i="58"/>
  <c r="Q409" i="58"/>
  <c r="O409" i="58"/>
  <c r="P409" i="58" s="1"/>
  <c r="N409" i="58"/>
  <c r="R408" i="58"/>
  <c r="Q408" i="58"/>
  <c r="O408" i="58"/>
  <c r="S408" i="58" s="1"/>
  <c r="N408" i="58"/>
  <c r="R407" i="58"/>
  <c r="Q407" i="58"/>
  <c r="O407" i="58"/>
  <c r="P407" i="58" s="1"/>
  <c r="N407" i="58"/>
  <c r="R406" i="58"/>
  <c r="Q406" i="58"/>
  <c r="O406" i="58"/>
  <c r="N406" i="58"/>
  <c r="R405" i="58"/>
  <c r="Q405" i="58"/>
  <c r="O405" i="58"/>
  <c r="P405" i="58" s="1"/>
  <c r="N405" i="58"/>
  <c r="R404" i="58"/>
  <c r="Q404" i="58"/>
  <c r="O404" i="58"/>
  <c r="N404" i="58"/>
  <c r="R403" i="58"/>
  <c r="Q403" i="58"/>
  <c r="O403" i="58"/>
  <c r="P403" i="58" s="1"/>
  <c r="N403" i="58"/>
  <c r="R402" i="58"/>
  <c r="Q402" i="58"/>
  <c r="O402" i="58"/>
  <c r="N402" i="58"/>
  <c r="R401" i="58"/>
  <c r="Q401" i="58"/>
  <c r="O401" i="58"/>
  <c r="P401" i="58" s="1"/>
  <c r="N401" i="58"/>
  <c r="R400" i="58"/>
  <c r="Q400" i="58"/>
  <c r="O400" i="58"/>
  <c r="S400" i="58" s="1"/>
  <c r="N400" i="58"/>
  <c r="R399" i="58"/>
  <c r="Q399" i="58"/>
  <c r="O399" i="58"/>
  <c r="P399" i="58" s="1"/>
  <c r="N399" i="58"/>
  <c r="R398" i="58"/>
  <c r="Q398" i="58"/>
  <c r="O398" i="58"/>
  <c r="N398" i="58"/>
  <c r="R397" i="58"/>
  <c r="Q397" i="58"/>
  <c r="O397" i="58"/>
  <c r="N397" i="58"/>
  <c r="R396" i="58"/>
  <c r="Q396" i="58"/>
  <c r="O396" i="58"/>
  <c r="P396" i="58" s="1"/>
  <c r="N396" i="58"/>
  <c r="R395" i="58"/>
  <c r="Q395" i="58"/>
  <c r="O395" i="58"/>
  <c r="P395" i="58" s="1"/>
  <c r="N395" i="58"/>
  <c r="R394" i="58"/>
  <c r="Q394" i="58"/>
  <c r="O394" i="58"/>
  <c r="N394" i="58"/>
  <c r="R393" i="58"/>
  <c r="Q393" i="58"/>
  <c r="O393" i="58"/>
  <c r="P393" i="58" s="1"/>
  <c r="N393" i="58"/>
  <c r="R392" i="58"/>
  <c r="Q392" i="58"/>
  <c r="O392" i="58"/>
  <c r="P392" i="58" s="1"/>
  <c r="N392" i="58"/>
  <c r="S391" i="58"/>
  <c r="R391" i="58"/>
  <c r="Q391" i="58"/>
  <c r="O391" i="58"/>
  <c r="P391" i="58" s="1"/>
  <c r="N391" i="58"/>
  <c r="S390" i="58"/>
  <c r="R390" i="58"/>
  <c r="Q390" i="58"/>
  <c r="O390" i="58"/>
  <c r="P390" i="58" s="1"/>
  <c r="N390" i="58"/>
  <c r="S389" i="58"/>
  <c r="R389" i="58"/>
  <c r="Q389" i="58"/>
  <c r="O389" i="58"/>
  <c r="P389" i="58" s="1"/>
  <c r="N389" i="58"/>
  <c r="S388" i="58"/>
  <c r="R388" i="58"/>
  <c r="Q388" i="58"/>
  <c r="O388" i="58"/>
  <c r="P388" i="58" s="1"/>
  <c r="N388" i="58"/>
  <c r="S387" i="58"/>
  <c r="R387" i="58"/>
  <c r="Q387" i="58"/>
  <c r="O387" i="58"/>
  <c r="P387" i="58" s="1"/>
  <c r="N387" i="58"/>
  <c r="R386" i="58"/>
  <c r="Q386" i="58"/>
  <c r="O386" i="58"/>
  <c r="P386" i="58" s="1"/>
  <c r="N386" i="58"/>
  <c r="S385" i="58"/>
  <c r="R385" i="58"/>
  <c r="Q385" i="58"/>
  <c r="O385" i="58"/>
  <c r="P385" i="58" s="1"/>
  <c r="N385" i="58"/>
  <c r="R384" i="58"/>
  <c r="Q384" i="58"/>
  <c r="O384" i="58"/>
  <c r="S384" i="58" s="1"/>
  <c r="N384" i="58"/>
  <c r="R383" i="58"/>
  <c r="Q383" i="58"/>
  <c r="O383" i="58"/>
  <c r="P383" i="58" s="1"/>
  <c r="N383" i="58"/>
  <c r="R382" i="58"/>
  <c r="Q382" i="58"/>
  <c r="O382" i="58"/>
  <c r="S382" i="58" s="1"/>
  <c r="N382" i="58"/>
  <c r="R381" i="58"/>
  <c r="Q381" i="58"/>
  <c r="O381" i="58"/>
  <c r="S381" i="58" s="1"/>
  <c r="N381" i="58"/>
  <c r="R380" i="58"/>
  <c r="Q380" i="58"/>
  <c r="O380" i="58"/>
  <c r="N380" i="58"/>
  <c r="R379" i="58"/>
  <c r="Q379" i="58"/>
  <c r="O379" i="58"/>
  <c r="S379" i="58" s="1"/>
  <c r="N379" i="58"/>
  <c r="R378" i="58"/>
  <c r="Q378" i="58"/>
  <c r="O378" i="58"/>
  <c r="P378" i="58" s="1"/>
  <c r="N378" i="58"/>
  <c r="R377" i="58"/>
  <c r="Q377" i="58"/>
  <c r="O377" i="58"/>
  <c r="S377" i="58" s="1"/>
  <c r="N377" i="58"/>
  <c r="R376" i="58"/>
  <c r="Q376" i="58"/>
  <c r="O376" i="58"/>
  <c r="S376" i="58" s="1"/>
  <c r="N376" i="58"/>
  <c r="R375" i="58"/>
  <c r="Q375" i="58"/>
  <c r="O375" i="58"/>
  <c r="P375" i="58" s="1"/>
  <c r="N375" i="58"/>
  <c r="R374" i="58"/>
  <c r="Q374" i="58"/>
  <c r="O374" i="58"/>
  <c r="P374" i="58" s="1"/>
  <c r="N374" i="58"/>
  <c r="R373" i="58"/>
  <c r="Q373" i="58"/>
  <c r="O373" i="58"/>
  <c r="S373" i="58" s="1"/>
  <c r="N373" i="58"/>
  <c r="R372" i="58"/>
  <c r="Q372" i="58"/>
  <c r="O372" i="58"/>
  <c r="N372" i="58"/>
  <c r="R371" i="58"/>
  <c r="Q371" i="58"/>
  <c r="O371" i="58"/>
  <c r="P371" i="58" s="1"/>
  <c r="N371" i="58"/>
  <c r="R370" i="58"/>
  <c r="Q370" i="58"/>
  <c r="O370" i="58"/>
  <c r="P370" i="58" s="1"/>
  <c r="N370" i="58"/>
  <c r="R369" i="58"/>
  <c r="Q369" i="58"/>
  <c r="O369" i="58"/>
  <c r="S369" i="58" s="1"/>
  <c r="N369" i="58"/>
  <c r="R368" i="58"/>
  <c r="Q368" i="58"/>
  <c r="O368" i="58"/>
  <c r="S368" i="58" s="1"/>
  <c r="N368" i="58"/>
  <c r="R367" i="58"/>
  <c r="Q367" i="58"/>
  <c r="O367" i="58"/>
  <c r="P367" i="58" s="1"/>
  <c r="N367" i="58"/>
  <c r="R366" i="58"/>
  <c r="Q366" i="58"/>
  <c r="O366" i="58"/>
  <c r="S366" i="58" s="1"/>
  <c r="N366" i="58"/>
  <c r="R365" i="58"/>
  <c r="Q365" i="58"/>
  <c r="O365" i="58"/>
  <c r="S365" i="58" s="1"/>
  <c r="N365" i="58"/>
  <c r="R364" i="58"/>
  <c r="Q364" i="58"/>
  <c r="O364" i="58"/>
  <c r="N364" i="58"/>
  <c r="R363" i="58"/>
  <c r="Q363" i="58"/>
  <c r="O363" i="58"/>
  <c r="S363" i="58" s="1"/>
  <c r="N363" i="58"/>
  <c r="R362" i="58"/>
  <c r="Q362" i="58"/>
  <c r="O362" i="58"/>
  <c r="P362" i="58" s="1"/>
  <c r="N362" i="58"/>
  <c r="R361" i="58"/>
  <c r="Q361" i="58"/>
  <c r="O361" i="58"/>
  <c r="S361" i="58" s="1"/>
  <c r="N361" i="58"/>
  <c r="R360" i="58"/>
  <c r="Q360" i="58"/>
  <c r="O360" i="58"/>
  <c r="S360" i="58" s="1"/>
  <c r="N360" i="58"/>
  <c r="R359" i="58"/>
  <c r="Q359" i="58"/>
  <c r="O359" i="58"/>
  <c r="P359" i="58" s="1"/>
  <c r="N359" i="58"/>
  <c r="R358" i="58"/>
  <c r="Q358" i="58"/>
  <c r="O358" i="58"/>
  <c r="P358" i="58" s="1"/>
  <c r="N358" i="58"/>
  <c r="R357" i="58"/>
  <c r="Q357" i="58"/>
  <c r="O357" i="58"/>
  <c r="S357" i="58" s="1"/>
  <c r="N357" i="58"/>
  <c r="R356" i="58"/>
  <c r="Q356" i="58"/>
  <c r="O356" i="58"/>
  <c r="N356" i="58"/>
  <c r="R355" i="58"/>
  <c r="Q355" i="58"/>
  <c r="O355" i="58"/>
  <c r="P355" i="58" s="1"/>
  <c r="N355" i="58"/>
  <c r="R354" i="58"/>
  <c r="Q354" i="58"/>
  <c r="O354" i="58"/>
  <c r="P354" i="58" s="1"/>
  <c r="N354" i="58"/>
  <c r="R353" i="58"/>
  <c r="Q353" i="58"/>
  <c r="O353" i="58"/>
  <c r="S353" i="58" s="1"/>
  <c r="N353" i="58"/>
  <c r="R352" i="58"/>
  <c r="Q352" i="58"/>
  <c r="O352" i="58"/>
  <c r="S352" i="58" s="1"/>
  <c r="N352" i="58"/>
  <c r="R351" i="58"/>
  <c r="Q351" i="58"/>
  <c r="O351" i="58"/>
  <c r="P351" i="58" s="1"/>
  <c r="N351" i="58"/>
  <c r="R350" i="58"/>
  <c r="Q350" i="58"/>
  <c r="O350" i="58"/>
  <c r="S350" i="58" s="1"/>
  <c r="N350" i="58"/>
  <c r="R349" i="58"/>
  <c r="Q349" i="58"/>
  <c r="O349" i="58"/>
  <c r="S349" i="58" s="1"/>
  <c r="N349" i="58"/>
  <c r="R348" i="58"/>
  <c r="Q348" i="58"/>
  <c r="O348" i="58"/>
  <c r="N348" i="58"/>
  <c r="R347" i="58"/>
  <c r="Q347" i="58"/>
  <c r="O347" i="58"/>
  <c r="S347" i="58" s="1"/>
  <c r="N347" i="58"/>
  <c r="R346" i="58"/>
  <c r="Q346" i="58"/>
  <c r="O346" i="58"/>
  <c r="P346" i="58" s="1"/>
  <c r="N346" i="58"/>
  <c r="R345" i="58"/>
  <c r="Q345" i="58"/>
  <c r="O345" i="58"/>
  <c r="S345" i="58" s="1"/>
  <c r="N345" i="58"/>
  <c r="R344" i="58"/>
  <c r="Q344" i="58"/>
  <c r="O344" i="58"/>
  <c r="S344" i="58" s="1"/>
  <c r="N344" i="58"/>
  <c r="R343" i="58"/>
  <c r="Q343" i="58"/>
  <c r="O343" i="58"/>
  <c r="P343" i="58" s="1"/>
  <c r="N343" i="58"/>
  <c r="R342" i="58"/>
  <c r="Q342" i="58"/>
  <c r="O342" i="58"/>
  <c r="S342" i="58" s="1"/>
  <c r="N342" i="58"/>
  <c r="R341" i="58"/>
  <c r="Q341" i="58"/>
  <c r="O341" i="58"/>
  <c r="S341" i="58" s="1"/>
  <c r="N341" i="58"/>
  <c r="R340" i="58"/>
  <c r="Q340" i="58"/>
  <c r="O340" i="58"/>
  <c r="N340" i="58"/>
  <c r="R339" i="58"/>
  <c r="Q339" i="58"/>
  <c r="O339" i="58"/>
  <c r="S339" i="58" s="1"/>
  <c r="N339" i="58"/>
  <c r="R338" i="58"/>
  <c r="Q338" i="58"/>
  <c r="O338" i="58"/>
  <c r="P338" i="58" s="1"/>
  <c r="N338" i="58"/>
  <c r="R337" i="58"/>
  <c r="Q337" i="58"/>
  <c r="O337" i="58"/>
  <c r="S337" i="58" s="1"/>
  <c r="N337" i="58"/>
  <c r="R336" i="58"/>
  <c r="Q336" i="58"/>
  <c r="O336" i="58"/>
  <c r="S336" i="58" s="1"/>
  <c r="N336" i="58"/>
  <c r="R335" i="58"/>
  <c r="Q335" i="58"/>
  <c r="O335" i="58"/>
  <c r="P335" i="58" s="1"/>
  <c r="N335" i="58"/>
  <c r="R334" i="58"/>
  <c r="Q334" i="58"/>
  <c r="O334" i="58"/>
  <c r="S334" i="58" s="1"/>
  <c r="N334" i="58"/>
  <c r="R333" i="58"/>
  <c r="Q333" i="58"/>
  <c r="O333" i="58"/>
  <c r="S333" i="58" s="1"/>
  <c r="N333" i="58"/>
  <c r="R332" i="58"/>
  <c r="Q332" i="58"/>
  <c r="O332" i="58"/>
  <c r="N332" i="58"/>
  <c r="R331" i="58"/>
  <c r="Q331" i="58"/>
  <c r="O331" i="58"/>
  <c r="S331" i="58" s="1"/>
  <c r="N331" i="58"/>
  <c r="R330" i="58"/>
  <c r="Q330" i="58"/>
  <c r="O330" i="58"/>
  <c r="P330" i="58" s="1"/>
  <c r="N330" i="58"/>
  <c r="R329" i="58"/>
  <c r="Q329" i="58"/>
  <c r="O329" i="58"/>
  <c r="S329" i="58" s="1"/>
  <c r="N329" i="58"/>
  <c r="R328" i="58"/>
  <c r="Q328" i="58"/>
  <c r="O328" i="58"/>
  <c r="S328" i="58" s="1"/>
  <c r="N328" i="58"/>
  <c r="R327" i="58"/>
  <c r="Q327" i="58"/>
  <c r="O327" i="58"/>
  <c r="P327" i="58" s="1"/>
  <c r="N327" i="58"/>
  <c r="R326" i="58"/>
  <c r="Q326" i="58"/>
  <c r="O326" i="58"/>
  <c r="P326" i="58" s="1"/>
  <c r="N326" i="58"/>
  <c r="R325" i="58"/>
  <c r="Q325" i="58"/>
  <c r="O325" i="58"/>
  <c r="S325" i="58" s="1"/>
  <c r="N325" i="58"/>
  <c r="R324" i="58"/>
  <c r="Q324" i="58"/>
  <c r="O324" i="58"/>
  <c r="N324" i="58"/>
  <c r="R323" i="58"/>
  <c r="Q323" i="58"/>
  <c r="O323" i="58"/>
  <c r="S323" i="58" s="1"/>
  <c r="N323" i="58"/>
  <c r="R322" i="58"/>
  <c r="Q322" i="58"/>
  <c r="O322" i="58"/>
  <c r="P322" i="58" s="1"/>
  <c r="N322" i="58"/>
  <c r="R321" i="58"/>
  <c r="Q321" i="58"/>
  <c r="O321" i="58"/>
  <c r="S321" i="58" s="1"/>
  <c r="N321" i="58"/>
  <c r="R320" i="58"/>
  <c r="Q320" i="58"/>
  <c r="O320" i="58"/>
  <c r="S320" i="58" s="1"/>
  <c r="N320" i="58"/>
  <c r="R319" i="58"/>
  <c r="Q319" i="58"/>
  <c r="O319" i="58"/>
  <c r="P319" i="58" s="1"/>
  <c r="N319" i="58"/>
  <c r="R318" i="58"/>
  <c r="Q318" i="58"/>
  <c r="O318" i="58"/>
  <c r="S318" i="58" s="1"/>
  <c r="N318" i="58"/>
  <c r="R317" i="58"/>
  <c r="Q317" i="58"/>
  <c r="O317" i="58"/>
  <c r="S317" i="58" s="1"/>
  <c r="N317" i="58"/>
  <c r="R316" i="58"/>
  <c r="Q316" i="58"/>
  <c r="O316" i="58"/>
  <c r="N316" i="58"/>
  <c r="R315" i="58"/>
  <c r="Q315" i="58"/>
  <c r="O315" i="58"/>
  <c r="P315" i="58" s="1"/>
  <c r="N315" i="58"/>
  <c r="R314" i="58"/>
  <c r="Q314" i="58"/>
  <c r="O314" i="58"/>
  <c r="P314" i="58" s="1"/>
  <c r="N314" i="58"/>
  <c r="R313" i="58"/>
  <c r="Q313" i="58"/>
  <c r="O313" i="58"/>
  <c r="S313" i="58" s="1"/>
  <c r="N313" i="58"/>
  <c r="R312" i="58"/>
  <c r="Q312" i="58"/>
  <c r="O312" i="58"/>
  <c r="S312" i="58" s="1"/>
  <c r="N312" i="58"/>
  <c r="R311" i="58"/>
  <c r="Q311" i="58"/>
  <c r="O311" i="58"/>
  <c r="P311" i="58" s="1"/>
  <c r="N311" i="58"/>
  <c r="R310" i="58"/>
  <c r="Q310" i="58"/>
  <c r="O310" i="58"/>
  <c r="S310" i="58" s="1"/>
  <c r="N310" i="58"/>
  <c r="R309" i="58"/>
  <c r="Q309" i="58"/>
  <c r="O309" i="58"/>
  <c r="S309" i="58" s="1"/>
  <c r="N309" i="58"/>
  <c r="R308" i="58"/>
  <c r="Q308" i="58"/>
  <c r="O308" i="58"/>
  <c r="N308" i="58"/>
  <c r="R307" i="58"/>
  <c r="Q307" i="58"/>
  <c r="O307" i="58"/>
  <c r="S307" i="58" s="1"/>
  <c r="R306" i="58"/>
  <c r="Q306" i="58"/>
  <c r="O306" i="58"/>
  <c r="P306" i="58" s="1"/>
  <c r="R305" i="58"/>
  <c r="Q305" i="58"/>
  <c r="O305" i="58"/>
  <c r="S305" i="58" s="1"/>
  <c r="R304" i="58"/>
  <c r="Q304" i="58"/>
  <c r="O304" i="58"/>
  <c r="R303" i="58"/>
  <c r="Q303" i="58"/>
  <c r="O303" i="58"/>
  <c r="R302" i="58"/>
  <c r="Q302" i="58"/>
  <c r="O302" i="58"/>
  <c r="P302" i="58" s="1"/>
  <c r="R301" i="58"/>
  <c r="Q301" i="58"/>
  <c r="O301" i="58"/>
  <c r="P301" i="58" s="1"/>
  <c r="R300" i="58"/>
  <c r="Q300" i="58"/>
  <c r="O300" i="58"/>
  <c r="S300" i="58" s="1"/>
  <c r="R299" i="58"/>
  <c r="Q299" i="58"/>
  <c r="O299" i="58"/>
  <c r="S299" i="58" s="1"/>
  <c r="R298" i="58"/>
  <c r="Q298" i="58"/>
  <c r="O298" i="58"/>
  <c r="P298" i="58" s="1"/>
  <c r="R297" i="58"/>
  <c r="Q297" i="58"/>
  <c r="O297" i="58"/>
  <c r="S297" i="58" s="1"/>
  <c r="R296" i="58"/>
  <c r="Q296" i="58"/>
  <c r="O296" i="58"/>
  <c r="R295" i="58"/>
  <c r="Q295" i="58"/>
  <c r="O295" i="58"/>
  <c r="R294" i="58"/>
  <c r="Q294" i="58"/>
  <c r="O294" i="58"/>
  <c r="R293" i="58"/>
  <c r="Q293" i="58"/>
  <c r="O293" i="58"/>
  <c r="S293" i="58" s="1"/>
  <c r="R292" i="58"/>
  <c r="Q292" i="58"/>
  <c r="O292" i="58"/>
  <c r="P292" i="58" s="1"/>
  <c r="R291" i="58"/>
  <c r="Q291" i="58"/>
  <c r="O291" i="58"/>
  <c r="S291" i="58" s="1"/>
  <c r="R290" i="58"/>
  <c r="Q290" i="58"/>
  <c r="O290" i="58"/>
  <c r="P290" i="58" s="1"/>
  <c r="R289" i="58"/>
  <c r="Q289" i="58"/>
  <c r="O289" i="58"/>
  <c r="S289" i="58" s="1"/>
  <c r="R288" i="58"/>
  <c r="Q288" i="58"/>
  <c r="O288" i="58"/>
  <c r="R287" i="58"/>
  <c r="Q287" i="58"/>
  <c r="O287" i="58"/>
  <c r="S287" i="58" s="1"/>
  <c r="R286" i="58"/>
  <c r="Q286" i="58"/>
  <c r="O286" i="58"/>
  <c r="P286" i="58" s="1"/>
  <c r="R285" i="58"/>
  <c r="Q285" i="58"/>
  <c r="O285" i="58"/>
  <c r="S285" i="58" s="1"/>
  <c r="R284" i="58"/>
  <c r="Q284" i="58"/>
  <c r="O284" i="58"/>
  <c r="P284" i="58" s="1"/>
  <c r="R283" i="58"/>
  <c r="Q283" i="58"/>
  <c r="O283" i="58"/>
  <c r="S283" i="58" s="1"/>
  <c r="R282" i="58"/>
  <c r="Q282" i="58"/>
  <c r="O282" i="58"/>
  <c r="P282" i="58" s="1"/>
  <c r="R281" i="58"/>
  <c r="Q281" i="58"/>
  <c r="O281" i="58"/>
  <c r="R280" i="58"/>
  <c r="Q280" i="58"/>
  <c r="O280" i="58"/>
  <c r="R279" i="58"/>
  <c r="Q279" i="58"/>
  <c r="O279" i="58"/>
  <c r="S279" i="58" s="1"/>
  <c r="R278" i="58"/>
  <c r="Q278" i="58"/>
  <c r="O278" i="58"/>
  <c r="P278" i="58" s="1"/>
  <c r="R277" i="58"/>
  <c r="Q277" i="58"/>
  <c r="O277" i="58"/>
  <c r="P277" i="58" s="1"/>
  <c r="R276" i="58"/>
  <c r="Q276" i="58"/>
  <c r="O276" i="58"/>
  <c r="S276" i="58" s="1"/>
  <c r="R275" i="58"/>
  <c r="Q275" i="58"/>
  <c r="O275" i="58"/>
  <c r="P275" i="58" s="1"/>
  <c r="R274" i="58"/>
  <c r="Q274" i="58"/>
  <c r="O274" i="58"/>
  <c r="P274" i="58" s="1"/>
  <c r="R273" i="58"/>
  <c r="Q273" i="58"/>
  <c r="O273" i="58"/>
  <c r="S273" i="58" s="1"/>
  <c r="R272" i="58"/>
  <c r="Q272" i="58"/>
  <c r="O272" i="58"/>
  <c r="R271" i="58"/>
  <c r="Q271" i="58"/>
  <c r="O271" i="58"/>
  <c r="R270" i="58"/>
  <c r="Q270" i="58"/>
  <c r="O270" i="58"/>
  <c r="P270" i="58" s="1"/>
  <c r="R269" i="58"/>
  <c r="Q269" i="58"/>
  <c r="O269" i="58"/>
  <c r="P269" i="58" s="1"/>
  <c r="R268" i="58"/>
  <c r="Q268" i="58"/>
  <c r="O268" i="58"/>
  <c r="S268" i="58" s="1"/>
  <c r="R267" i="58"/>
  <c r="Q267" i="58"/>
  <c r="O267" i="58"/>
  <c r="P267" i="58" s="1"/>
  <c r="R266" i="58"/>
  <c r="Q266" i="58"/>
  <c r="O266" i="58"/>
  <c r="P266" i="58" s="1"/>
  <c r="R265" i="58"/>
  <c r="Q265" i="58"/>
  <c r="O265" i="58"/>
  <c r="S265" i="58" s="1"/>
  <c r="R264" i="58"/>
  <c r="Q264" i="58"/>
  <c r="O264" i="58"/>
  <c r="R263" i="58"/>
  <c r="Q263" i="58"/>
  <c r="O263" i="58"/>
  <c r="R262" i="58"/>
  <c r="Q262" i="58"/>
  <c r="O262" i="58"/>
  <c r="R261" i="58"/>
  <c r="Q261" i="58"/>
  <c r="O261" i="58"/>
  <c r="S261" i="58" s="1"/>
  <c r="R260" i="58"/>
  <c r="Q260" i="58"/>
  <c r="O260" i="58"/>
  <c r="S260" i="58" s="1"/>
  <c r="R259" i="58"/>
  <c r="Q259" i="58"/>
  <c r="O259" i="58"/>
  <c r="S259" i="58" s="1"/>
  <c r="R258" i="58"/>
  <c r="Q258" i="58"/>
  <c r="O258" i="58"/>
  <c r="P258" i="58" s="1"/>
  <c r="R257" i="58"/>
  <c r="Q257" i="58"/>
  <c r="O257" i="58"/>
  <c r="S257" i="58" s="1"/>
  <c r="R256" i="58"/>
  <c r="Q256" i="58"/>
  <c r="O256" i="58"/>
  <c r="R255" i="58"/>
  <c r="Q255" i="58"/>
  <c r="O255" i="58"/>
  <c r="S255" i="58" s="1"/>
  <c r="R254" i="58"/>
  <c r="Q254" i="58"/>
  <c r="O254" i="58"/>
  <c r="P254" i="58" s="1"/>
  <c r="R253" i="58"/>
  <c r="Q253" i="58"/>
  <c r="O253" i="58"/>
  <c r="S253" i="58" s="1"/>
  <c r="R252" i="58"/>
  <c r="Q252" i="58"/>
  <c r="O252" i="58"/>
  <c r="P252" i="58" s="1"/>
  <c r="R251" i="58"/>
  <c r="Q251" i="58"/>
  <c r="O251" i="58"/>
  <c r="S251" i="58" s="1"/>
  <c r="R250" i="58"/>
  <c r="Q250" i="58"/>
  <c r="O250" i="58"/>
  <c r="P250" i="58" s="1"/>
  <c r="R249" i="58"/>
  <c r="Q249" i="58"/>
  <c r="O249" i="58"/>
  <c r="R248" i="58"/>
  <c r="Q248" i="58"/>
  <c r="O248" i="58"/>
  <c r="R247" i="58"/>
  <c r="Q247" i="58"/>
  <c r="O247" i="58"/>
  <c r="S247" i="58" s="1"/>
  <c r="R246" i="58"/>
  <c r="Q246" i="58"/>
  <c r="O246" i="58"/>
  <c r="P246" i="58" s="1"/>
  <c r="R245" i="58"/>
  <c r="Q245" i="58"/>
  <c r="O245" i="58"/>
  <c r="P245" i="58" s="1"/>
  <c r="R244" i="58"/>
  <c r="Q244" i="58"/>
  <c r="O244" i="58"/>
  <c r="S244" i="58" s="1"/>
  <c r="R243" i="58"/>
  <c r="Q243" i="58"/>
  <c r="O243" i="58"/>
  <c r="S243" i="58" s="1"/>
  <c r="R242" i="58"/>
  <c r="Q242" i="58"/>
  <c r="O242" i="58"/>
  <c r="P242" i="58" s="1"/>
  <c r="R241" i="58"/>
  <c r="Q241" i="58"/>
  <c r="O241" i="58"/>
  <c r="S241" i="58" s="1"/>
  <c r="R240" i="58"/>
  <c r="Q240" i="58"/>
  <c r="O240" i="58"/>
  <c r="R239" i="58"/>
  <c r="Q239" i="58"/>
  <c r="O239" i="58"/>
  <c r="R238" i="58"/>
  <c r="Q238" i="58"/>
  <c r="O238" i="58"/>
  <c r="P238" i="58" s="1"/>
  <c r="R237" i="58"/>
  <c r="Q237" i="58"/>
  <c r="O237" i="58"/>
  <c r="P237" i="58" s="1"/>
  <c r="R236" i="58"/>
  <c r="Q236" i="58"/>
  <c r="O236" i="58"/>
  <c r="S236" i="58" s="1"/>
  <c r="R109" i="58"/>
  <c r="Q109" i="58"/>
  <c r="O109" i="58"/>
  <c r="P109" i="58" s="1"/>
  <c r="R108" i="58"/>
  <c r="Q108" i="58"/>
  <c r="O108" i="58"/>
  <c r="S108" i="58" s="1"/>
  <c r="R107" i="58"/>
  <c r="Q107" i="58"/>
  <c r="O107" i="58"/>
  <c r="S107" i="58" s="1"/>
  <c r="R106" i="58"/>
  <c r="Q106" i="58"/>
  <c r="O106" i="58"/>
  <c r="P106" i="58" s="1"/>
  <c r="R105" i="58"/>
  <c r="Q105" i="58"/>
  <c r="O105" i="58"/>
  <c r="S105" i="58" s="1"/>
  <c r="R104" i="58"/>
  <c r="Q104" i="58"/>
  <c r="O104" i="58"/>
  <c r="R103" i="58"/>
  <c r="Q103" i="58"/>
  <c r="O103" i="58"/>
  <c r="S103" i="58" s="1"/>
  <c r="R102" i="58"/>
  <c r="Q102" i="58"/>
  <c r="O102" i="58"/>
  <c r="P102" i="58" s="1"/>
  <c r="R101" i="58"/>
  <c r="Q101" i="58"/>
  <c r="O101" i="58"/>
  <c r="P101" i="58" s="1"/>
  <c r="R100" i="58"/>
  <c r="Q100" i="58"/>
  <c r="O100" i="58"/>
  <c r="S100" i="58" s="1"/>
  <c r="R99" i="58"/>
  <c r="Q99" i="58"/>
  <c r="O99" i="58"/>
  <c r="S99" i="58" s="1"/>
  <c r="R98" i="58"/>
  <c r="Q98" i="58"/>
  <c r="O98" i="58"/>
  <c r="P98" i="58" s="1"/>
  <c r="R97" i="58"/>
  <c r="Q97" i="58"/>
  <c r="O97" i="58"/>
  <c r="S97" i="58" s="1"/>
  <c r="R96" i="58"/>
  <c r="Q96" i="58"/>
  <c r="O96" i="58"/>
  <c r="R95" i="58"/>
  <c r="Q95" i="58"/>
  <c r="O95" i="58"/>
  <c r="S95" i="58" s="1"/>
  <c r="R94" i="58"/>
  <c r="Q94" i="58"/>
  <c r="O94" i="58"/>
  <c r="P94" i="58" s="1"/>
  <c r="R93" i="58"/>
  <c r="Q93" i="58"/>
  <c r="O93" i="58"/>
  <c r="S93" i="58" s="1"/>
  <c r="R92" i="58"/>
  <c r="Q92" i="58"/>
  <c r="O92" i="58"/>
  <c r="P92" i="58" s="1"/>
  <c r="R91" i="58"/>
  <c r="Q91" i="58"/>
  <c r="O91" i="58"/>
  <c r="S91" i="58" s="1"/>
  <c r="R90" i="58"/>
  <c r="Q90" i="58"/>
  <c r="O90" i="58"/>
  <c r="P90" i="58" s="1"/>
  <c r="R89" i="58"/>
  <c r="Q89" i="58"/>
  <c r="O89" i="58"/>
  <c r="S89" i="58" s="1"/>
  <c r="R88" i="58"/>
  <c r="Q88" i="58"/>
  <c r="O88" i="58"/>
  <c r="R87" i="58"/>
  <c r="Q87" i="58"/>
  <c r="O87" i="58"/>
  <c r="S87" i="58" s="1"/>
  <c r="R86" i="58"/>
  <c r="Q86" i="58"/>
  <c r="O86" i="58"/>
  <c r="P86" i="58" s="1"/>
  <c r="R85" i="58"/>
  <c r="Q85" i="58"/>
  <c r="O85" i="58"/>
  <c r="S85" i="58" s="1"/>
  <c r="R84" i="58"/>
  <c r="Q84" i="58"/>
  <c r="O84" i="58"/>
  <c r="P84" i="58" s="1"/>
  <c r="R83" i="58"/>
  <c r="Q83" i="58"/>
  <c r="O83" i="58"/>
  <c r="S83" i="58" s="1"/>
  <c r="R82" i="58"/>
  <c r="Q82" i="58"/>
  <c r="O82" i="58"/>
  <c r="P82" i="58" s="1"/>
  <c r="R81" i="58"/>
  <c r="Q81" i="58"/>
  <c r="O81" i="58"/>
  <c r="S81" i="58" s="1"/>
  <c r="R80" i="58"/>
  <c r="Q80" i="58"/>
  <c r="O80" i="58"/>
  <c r="R79" i="58"/>
  <c r="Q79" i="58"/>
  <c r="O79" i="58"/>
  <c r="S79" i="58" s="1"/>
  <c r="R78" i="58"/>
  <c r="Q78" i="58"/>
  <c r="O78" i="58"/>
  <c r="P78" i="58" s="1"/>
  <c r="R77" i="58"/>
  <c r="Q77" i="58"/>
  <c r="O77" i="58"/>
  <c r="P77" i="58" s="1"/>
  <c r="R76" i="58"/>
  <c r="Q76" i="58"/>
  <c r="O76" i="58"/>
  <c r="S76" i="58" s="1"/>
  <c r="R75" i="58"/>
  <c r="Q75" i="58"/>
  <c r="O75" i="58"/>
  <c r="S75" i="58" s="1"/>
  <c r="R74" i="58"/>
  <c r="Q74" i="58"/>
  <c r="O74" i="58"/>
  <c r="P74" i="58" s="1"/>
  <c r="R73" i="58"/>
  <c r="Q73" i="58"/>
  <c r="O73" i="58"/>
  <c r="S73" i="58" s="1"/>
  <c r="R72" i="58"/>
  <c r="Q72" i="58"/>
  <c r="O72" i="58"/>
  <c r="R71" i="58"/>
  <c r="Q71" i="58"/>
  <c r="O71" i="58"/>
  <c r="S71" i="58" s="1"/>
  <c r="R70" i="58"/>
  <c r="Q70" i="58"/>
  <c r="O70" i="58"/>
  <c r="P70" i="58" s="1"/>
  <c r="R69" i="58"/>
  <c r="Q69" i="58"/>
  <c r="O69" i="58"/>
  <c r="S69" i="58" s="1"/>
  <c r="R68" i="58"/>
  <c r="Q68" i="58"/>
  <c r="O68" i="58"/>
  <c r="S68" i="58" s="1"/>
  <c r="R67" i="58"/>
  <c r="Q67" i="58"/>
  <c r="O67" i="58"/>
  <c r="S67" i="58" s="1"/>
  <c r="R66" i="58"/>
  <c r="Q66" i="58"/>
  <c r="O66" i="58"/>
  <c r="P66" i="58" s="1"/>
  <c r="R65" i="58"/>
  <c r="Q65" i="58"/>
  <c r="O65" i="58"/>
  <c r="S65" i="58" s="1"/>
  <c r="R64" i="58"/>
  <c r="Q64" i="58"/>
  <c r="O64" i="58"/>
  <c r="R63" i="58"/>
  <c r="Q63" i="58"/>
  <c r="O63" i="58"/>
  <c r="S63" i="58" s="1"/>
  <c r="R62" i="58"/>
  <c r="Q62" i="58"/>
  <c r="O62" i="58"/>
  <c r="P62" i="58" s="1"/>
  <c r="R61" i="58"/>
  <c r="Q61" i="58"/>
  <c r="O61" i="58"/>
  <c r="S61" i="58" s="1"/>
  <c r="R60" i="58"/>
  <c r="Q60" i="58"/>
  <c r="O60" i="58"/>
  <c r="P60" i="58" s="1"/>
  <c r="R59" i="58"/>
  <c r="Q59" i="58"/>
  <c r="O59" i="58"/>
  <c r="S59" i="58" s="1"/>
  <c r="R58" i="58"/>
  <c r="Q58" i="58"/>
  <c r="O58" i="58"/>
  <c r="P58" i="58" s="1"/>
  <c r="R57" i="58"/>
  <c r="Q57" i="58"/>
  <c r="O57" i="58"/>
  <c r="S57" i="58" s="1"/>
  <c r="R56" i="58"/>
  <c r="Q56" i="58"/>
  <c r="O56" i="58"/>
  <c r="R55" i="58"/>
  <c r="Q55" i="58"/>
  <c r="O55" i="58"/>
  <c r="S55" i="58" s="1"/>
  <c r="R54" i="58"/>
  <c r="Q54" i="58"/>
  <c r="O54" i="58"/>
  <c r="P54" i="58" s="1"/>
  <c r="R53" i="58"/>
  <c r="Q53" i="58"/>
  <c r="O53" i="58"/>
  <c r="S53" i="58" s="1"/>
  <c r="R52" i="58"/>
  <c r="Q52" i="58"/>
  <c r="O52" i="58"/>
  <c r="P52" i="58" s="1"/>
  <c r="R51" i="58"/>
  <c r="Q51" i="58"/>
  <c r="O51" i="58"/>
  <c r="S51" i="58" s="1"/>
  <c r="R50" i="58"/>
  <c r="Q50" i="58"/>
  <c r="O50" i="58"/>
  <c r="P50" i="58" s="1"/>
  <c r="R49" i="58"/>
  <c r="Q49" i="58"/>
  <c r="O49" i="58"/>
  <c r="S49" i="58" s="1"/>
  <c r="R48" i="58"/>
  <c r="Q48" i="58"/>
  <c r="O48" i="58"/>
  <c r="R47" i="58"/>
  <c r="Q47" i="58"/>
  <c r="O47" i="58"/>
  <c r="S47" i="58" s="1"/>
  <c r="R46" i="58"/>
  <c r="Q46" i="58"/>
  <c r="O46" i="58"/>
  <c r="P46" i="58" s="1"/>
  <c r="R45" i="58"/>
  <c r="Q45" i="58"/>
  <c r="O45" i="58"/>
  <c r="S45" i="58" s="1"/>
  <c r="R44" i="58"/>
  <c r="Q44" i="58"/>
  <c r="O44" i="58"/>
  <c r="S44" i="58" s="1"/>
  <c r="R43" i="58"/>
  <c r="Q43" i="58"/>
  <c r="O43" i="58"/>
  <c r="S43" i="58" s="1"/>
  <c r="R42" i="58"/>
  <c r="Q42" i="58"/>
  <c r="O42" i="58"/>
  <c r="P42" i="58" s="1"/>
  <c r="R41" i="58"/>
  <c r="Q41" i="58"/>
  <c r="O41" i="58"/>
  <c r="S41" i="58" s="1"/>
  <c r="R40" i="58"/>
  <c r="Q40" i="58"/>
  <c r="O40" i="58"/>
  <c r="R39" i="58"/>
  <c r="Q39" i="58"/>
  <c r="O39" i="58"/>
  <c r="S39" i="58" s="1"/>
  <c r="R38" i="58"/>
  <c r="Q38" i="58"/>
  <c r="O38" i="58"/>
  <c r="P38" i="58" s="1"/>
  <c r="AO37" i="58"/>
  <c r="R37" i="58"/>
  <c r="Q37" i="58"/>
  <c r="O37" i="58"/>
  <c r="AO36" i="58"/>
  <c r="R36" i="58"/>
  <c r="Q36" i="58"/>
  <c r="O36" i="58"/>
  <c r="P36" i="58" s="1"/>
  <c r="AO35" i="58"/>
  <c r="Q35" i="58"/>
  <c r="R35" i="58" s="1"/>
  <c r="O35" i="58"/>
  <c r="P35" i="58" s="1"/>
  <c r="AO34" i="58"/>
  <c r="R34" i="58"/>
  <c r="Q34" i="58"/>
  <c r="O34" i="58"/>
  <c r="P34" i="58" s="1"/>
  <c r="AO33" i="58"/>
  <c r="R33" i="58"/>
  <c r="Q33" i="58"/>
  <c r="O33" i="58"/>
  <c r="AO32" i="58"/>
  <c r="R32" i="58"/>
  <c r="Q32" i="58"/>
  <c r="O32" i="58"/>
  <c r="S32" i="58" s="1"/>
  <c r="AO31" i="58"/>
  <c r="R31" i="58"/>
  <c r="Q31" i="58"/>
  <c r="O31" i="58"/>
  <c r="S31" i="58" s="1"/>
  <c r="AO30" i="58"/>
  <c r="R30" i="58"/>
  <c r="Q30" i="58"/>
  <c r="O30" i="58"/>
  <c r="P30" i="58" s="1"/>
  <c r="AO29" i="58"/>
  <c r="R29" i="58"/>
  <c r="Q29" i="58"/>
  <c r="O29" i="58"/>
  <c r="AO28" i="58"/>
  <c r="R28" i="58"/>
  <c r="Q28" i="58"/>
  <c r="O28" i="58"/>
  <c r="S28" i="58" s="1"/>
  <c r="AO27" i="58"/>
  <c r="R27" i="58"/>
  <c r="Q27" i="58"/>
  <c r="O27" i="58"/>
  <c r="S27" i="58" s="1"/>
  <c r="AO26" i="58"/>
  <c r="R26" i="58"/>
  <c r="Q26" i="58"/>
  <c r="O26" i="58"/>
  <c r="P26" i="58" s="1"/>
  <c r="AO25" i="58"/>
  <c r="Q25" i="58"/>
  <c r="R25" i="58" s="1"/>
  <c r="O25" i="58"/>
  <c r="AO24" i="58"/>
  <c r="R24" i="58"/>
  <c r="Q24" i="58"/>
  <c r="O24" i="58"/>
  <c r="S24" i="58" s="1"/>
  <c r="AO23" i="58"/>
  <c r="R23" i="58"/>
  <c r="Q23" i="58"/>
  <c r="O23" i="58"/>
  <c r="S23" i="58" s="1"/>
  <c r="AO22" i="58"/>
  <c r="R22" i="58"/>
  <c r="Q22" i="58"/>
  <c r="O22" i="58"/>
  <c r="P22" i="58" s="1"/>
  <c r="AO21" i="58"/>
  <c r="Q21" i="58"/>
  <c r="R21" i="58" s="1"/>
  <c r="O21" i="58"/>
  <c r="AO20" i="58"/>
  <c r="Q20" i="58"/>
  <c r="R20" i="58" s="1"/>
  <c r="O20" i="58"/>
  <c r="AO19" i="58"/>
  <c r="Q19" i="58"/>
  <c r="R19" i="58" s="1"/>
  <c r="O19" i="58"/>
  <c r="P19" i="58" s="1"/>
  <c r="AO18" i="58"/>
  <c r="Q18" i="58"/>
  <c r="R18" i="58" s="1"/>
  <c r="O18" i="58"/>
  <c r="P18" i="58" s="1"/>
  <c r="O1" i="58"/>
  <c r="AO4" i="58"/>
  <c r="AO3" i="58"/>
  <c r="AO2" i="58"/>
  <c r="AO36" i="49"/>
  <c r="AO37" i="49"/>
  <c r="R802" i="49"/>
  <c r="R803" i="49"/>
  <c r="R804" i="49"/>
  <c r="R805" i="49"/>
  <c r="R806" i="49"/>
  <c r="R807" i="49"/>
  <c r="R808" i="49"/>
  <c r="R809" i="49"/>
  <c r="R810" i="49"/>
  <c r="R811" i="49"/>
  <c r="R812" i="49"/>
  <c r="R813" i="49"/>
  <c r="R814" i="49"/>
  <c r="R815" i="49"/>
  <c r="R816" i="49"/>
  <c r="R817" i="49"/>
  <c r="R818" i="49"/>
  <c r="R819" i="49"/>
  <c r="R820" i="49"/>
  <c r="R821" i="49"/>
  <c r="S3369" i="49"/>
  <c r="S3368" i="49"/>
  <c r="S3367" i="49"/>
  <c r="S3366" i="49"/>
  <c r="S3365" i="49"/>
  <c r="S3364" i="49"/>
  <c r="S3363" i="49"/>
  <c r="S3362" i="49"/>
  <c r="S3361" i="49"/>
  <c r="S3360" i="49"/>
  <c r="S3359" i="49"/>
  <c r="S3358" i="49"/>
  <c r="S3357" i="49"/>
  <c r="S3356" i="49"/>
  <c r="S3355" i="49"/>
  <c r="S3354" i="49"/>
  <c r="S3353" i="49"/>
  <c r="S3352" i="49"/>
  <c r="S3351" i="49"/>
  <c r="S3350" i="49"/>
  <c r="S3349" i="49"/>
  <c r="S3348" i="49"/>
  <c r="S3347" i="49"/>
  <c r="S3346" i="49"/>
  <c r="S3345" i="49"/>
  <c r="S3344" i="49"/>
  <c r="S3343" i="49"/>
  <c r="S3342" i="49"/>
  <c r="S3341" i="49"/>
  <c r="S3340" i="49"/>
  <c r="S3339" i="49"/>
  <c r="S3338" i="49"/>
  <c r="S3337" i="49"/>
  <c r="S3336" i="49"/>
  <c r="S3335" i="49"/>
  <c r="S3334" i="49"/>
  <c r="S3333" i="49"/>
  <c r="S3332" i="49"/>
  <c r="S3331" i="49"/>
  <c r="S3330" i="49"/>
  <c r="S3329" i="49"/>
  <c r="S3328" i="49"/>
  <c r="S3327" i="49"/>
  <c r="S3326" i="49"/>
  <c r="S3325" i="49"/>
  <c r="S3324" i="49"/>
  <c r="S3323" i="49"/>
  <c r="S3322" i="49"/>
  <c r="S3321" i="49"/>
  <c r="S3320" i="49"/>
  <c r="S3319" i="49"/>
  <c r="S3318" i="49"/>
  <c r="S3317" i="49"/>
  <c r="S3316" i="49"/>
  <c r="S3315" i="49"/>
  <c r="S3314" i="49"/>
  <c r="S3313" i="49"/>
  <c r="S3312" i="49"/>
  <c r="S3311" i="49"/>
  <c r="S3310" i="49"/>
  <c r="S3309" i="49"/>
  <c r="S3308" i="49"/>
  <c r="S3307" i="49"/>
  <c r="S3306" i="49"/>
  <c r="S3305" i="49"/>
  <c r="S3304" i="49"/>
  <c r="S3303" i="49"/>
  <c r="S3302" i="49"/>
  <c r="S3301" i="49"/>
  <c r="S3300" i="49"/>
  <c r="S3299" i="49"/>
  <c r="S3298" i="49"/>
  <c r="S3297" i="49"/>
  <c r="S3296" i="49"/>
  <c r="S3295" i="49"/>
  <c r="S3294" i="49"/>
  <c r="S3293" i="49"/>
  <c r="S3292" i="49"/>
  <c r="S3291" i="49"/>
  <c r="S3290" i="49"/>
  <c r="S3289" i="49"/>
  <c r="S3288" i="49"/>
  <c r="S3287" i="49"/>
  <c r="S3286" i="49"/>
  <c r="S3285" i="49"/>
  <c r="S3284" i="49"/>
  <c r="S3283" i="49"/>
  <c r="S3282" i="49"/>
  <c r="S3281" i="49"/>
  <c r="S3280" i="49"/>
  <c r="S3279" i="49"/>
  <c r="S3278" i="49"/>
  <c r="S3277" i="49"/>
  <c r="S3276" i="49"/>
  <c r="S3275" i="49"/>
  <c r="S3274" i="49"/>
  <c r="S3273" i="49"/>
  <c r="S3272" i="49"/>
  <c r="S3271" i="49"/>
  <c r="S3270" i="49"/>
  <c r="S3269" i="49"/>
  <c r="S3268" i="49"/>
  <c r="S3267" i="49"/>
  <c r="S3266" i="49"/>
  <c r="S3265" i="49"/>
  <c r="S3264" i="49"/>
  <c r="S3263" i="49"/>
  <c r="S3262" i="49"/>
  <c r="S3261" i="49"/>
  <c r="S3260" i="49"/>
  <c r="S3259" i="49"/>
  <c r="S3258" i="49"/>
  <c r="S3257" i="49"/>
  <c r="S3256" i="49"/>
  <c r="S3255" i="49"/>
  <c r="S3254" i="49"/>
  <c r="S3253" i="49"/>
  <c r="S3252" i="49"/>
  <c r="S3251" i="49"/>
  <c r="S3250" i="49"/>
  <c r="S3249" i="49"/>
  <c r="S3248" i="49"/>
  <c r="S3247" i="49"/>
  <c r="S3246" i="49"/>
  <c r="S3245" i="49"/>
  <c r="S3244" i="49"/>
  <c r="S3243" i="49"/>
  <c r="S3242" i="49"/>
  <c r="S3241" i="49"/>
  <c r="S3240" i="49"/>
  <c r="S3239" i="49"/>
  <c r="S3238" i="49"/>
  <c r="S3237" i="49"/>
  <c r="S3236" i="49"/>
  <c r="S3235" i="49"/>
  <c r="S3234" i="49"/>
  <c r="S3233" i="49"/>
  <c r="S3232" i="49"/>
  <c r="S3231" i="49"/>
  <c r="S3230" i="49"/>
  <c r="S3229" i="49"/>
  <c r="S3228" i="49"/>
  <c r="S3227" i="49"/>
  <c r="S3226" i="49"/>
  <c r="S3225" i="49"/>
  <c r="S3224" i="49"/>
  <c r="S3223" i="49"/>
  <c r="S3222" i="49"/>
  <c r="S3221" i="49"/>
  <c r="S3220" i="49"/>
  <c r="S3219" i="49"/>
  <c r="S3218" i="49"/>
  <c r="S3217" i="49"/>
  <c r="S3216" i="49"/>
  <c r="S3215" i="49"/>
  <c r="S3214" i="49"/>
  <c r="S3213" i="49"/>
  <c r="S3212" i="49"/>
  <c r="S3211" i="49"/>
  <c r="S3210" i="49"/>
  <c r="S3209" i="49"/>
  <c r="S3208" i="49"/>
  <c r="S3207" i="49"/>
  <c r="S3206" i="49"/>
  <c r="S3205" i="49"/>
  <c r="S3204" i="49"/>
  <c r="S3203" i="49"/>
  <c r="S3202" i="49"/>
  <c r="S3201" i="49"/>
  <c r="S3200" i="49"/>
  <c r="S3199" i="49"/>
  <c r="S3198" i="49"/>
  <c r="S3197" i="49"/>
  <c r="S3196" i="49"/>
  <c r="S3195" i="49"/>
  <c r="S3194" i="49"/>
  <c r="S3193" i="49"/>
  <c r="S3192" i="49"/>
  <c r="S3191" i="49"/>
  <c r="S3190" i="49"/>
  <c r="S3189" i="49"/>
  <c r="S3188" i="49"/>
  <c r="S3187" i="49"/>
  <c r="S3186" i="49"/>
  <c r="S3185" i="49"/>
  <c r="S3184" i="49"/>
  <c r="S3183" i="49"/>
  <c r="S3182" i="49"/>
  <c r="S3181" i="49"/>
  <c r="S3180" i="49"/>
  <c r="S3179" i="49"/>
  <c r="S3178" i="49"/>
  <c r="S3177" i="49"/>
  <c r="S3176" i="49"/>
  <c r="S3175" i="49"/>
  <c r="S3174" i="49"/>
  <c r="S3173" i="49"/>
  <c r="S3172" i="49"/>
  <c r="S3171" i="49"/>
  <c r="S3170" i="49"/>
  <c r="S3169" i="49"/>
  <c r="S3168" i="49"/>
  <c r="S3167" i="49"/>
  <c r="S3166" i="49"/>
  <c r="S3165" i="49"/>
  <c r="S3164" i="49"/>
  <c r="S3163" i="49"/>
  <c r="S3162" i="49"/>
  <c r="S3161" i="49"/>
  <c r="S3160" i="49"/>
  <c r="S3159" i="49"/>
  <c r="S3158" i="49"/>
  <c r="S3157" i="49"/>
  <c r="S3156" i="49"/>
  <c r="S3155" i="49"/>
  <c r="S3154" i="49"/>
  <c r="S3153" i="49"/>
  <c r="S3152" i="49"/>
  <c r="S3151" i="49"/>
  <c r="S3150" i="49"/>
  <c r="S3149" i="49"/>
  <c r="S3148" i="49"/>
  <c r="S3147" i="49"/>
  <c r="S3146" i="49"/>
  <c r="S3145" i="49"/>
  <c r="S3144" i="49"/>
  <c r="S3143" i="49"/>
  <c r="S3142" i="49"/>
  <c r="S3141" i="49"/>
  <c r="S3140" i="49"/>
  <c r="S3139" i="49"/>
  <c r="S3138" i="49"/>
  <c r="S3137" i="49"/>
  <c r="S3136" i="49"/>
  <c r="S3135" i="49"/>
  <c r="S3134" i="49"/>
  <c r="S3133" i="49"/>
  <c r="S3132" i="49"/>
  <c r="S3131" i="49"/>
  <c r="S3130" i="49"/>
  <c r="S3129" i="49"/>
  <c r="S3128" i="49"/>
  <c r="S3127" i="49"/>
  <c r="S3126" i="49"/>
  <c r="S3125" i="49"/>
  <c r="S3124" i="49"/>
  <c r="S3123" i="49"/>
  <c r="S3122" i="49"/>
  <c r="S3121" i="49"/>
  <c r="S3120" i="49"/>
  <c r="S3119" i="49"/>
  <c r="S3118" i="49"/>
  <c r="S3117" i="49"/>
  <c r="S3116" i="49"/>
  <c r="S3115" i="49"/>
  <c r="S3114" i="49"/>
  <c r="S3113" i="49"/>
  <c r="S3112" i="49"/>
  <c r="S3111" i="49"/>
  <c r="S3110" i="49"/>
  <c r="S3109" i="49"/>
  <c r="S3108" i="49"/>
  <c r="S3107" i="49"/>
  <c r="S3106" i="49"/>
  <c r="S3105" i="49"/>
  <c r="S3104" i="49"/>
  <c r="S3103" i="49"/>
  <c r="S3102" i="49"/>
  <c r="S3101" i="49"/>
  <c r="S3100" i="49"/>
  <c r="S3099" i="49"/>
  <c r="S3098" i="49"/>
  <c r="S3097" i="49"/>
  <c r="S3096" i="49"/>
  <c r="S3095" i="49"/>
  <c r="S3094" i="49"/>
  <c r="S3093" i="49"/>
  <c r="S3092" i="49"/>
  <c r="S3091" i="49"/>
  <c r="S3090" i="49"/>
  <c r="S3089" i="49"/>
  <c r="S3088" i="49"/>
  <c r="S3087" i="49"/>
  <c r="S3086" i="49"/>
  <c r="S3085" i="49"/>
  <c r="S3084" i="49"/>
  <c r="S3083" i="49"/>
  <c r="S3082" i="49"/>
  <c r="S3081" i="49"/>
  <c r="S3080" i="49"/>
  <c r="S3079" i="49"/>
  <c r="S3078" i="49"/>
  <c r="S3077" i="49"/>
  <c r="S3076" i="49"/>
  <c r="S3075" i="49"/>
  <c r="S3074" i="49"/>
  <c r="S3073" i="49"/>
  <c r="S3072" i="49"/>
  <c r="S3071" i="49"/>
  <c r="S3070" i="49"/>
  <c r="S3069" i="49"/>
  <c r="S3068" i="49"/>
  <c r="S3067" i="49"/>
  <c r="S3066" i="49"/>
  <c r="S3065" i="49"/>
  <c r="S3064" i="49"/>
  <c r="S3063" i="49"/>
  <c r="S3062" i="49"/>
  <c r="S3061" i="49"/>
  <c r="S3060" i="49"/>
  <c r="S3059" i="49"/>
  <c r="S3058" i="49"/>
  <c r="S3057" i="49"/>
  <c r="S3056" i="49"/>
  <c r="S3055" i="49"/>
  <c r="S3054" i="49"/>
  <c r="S3053" i="49"/>
  <c r="S3052" i="49"/>
  <c r="S3051" i="49"/>
  <c r="S3050" i="49"/>
  <c r="S3049" i="49"/>
  <c r="S3048" i="49"/>
  <c r="S3047" i="49"/>
  <c r="S3046" i="49"/>
  <c r="S3045" i="49"/>
  <c r="S3044" i="49"/>
  <c r="S3043" i="49"/>
  <c r="S3042" i="49"/>
  <c r="S3041" i="49"/>
  <c r="S3040" i="49"/>
  <c r="S3039" i="49"/>
  <c r="S3038" i="49"/>
  <c r="S3037" i="49"/>
  <c r="S3036" i="49"/>
  <c r="S3035" i="49"/>
  <c r="S3034" i="49"/>
  <c r="S3033" i="49"/>
  <c r="S3032" i="49"/>
  <c r="S3031" i="49"/>
  <c r="S3030" i="49"/>
  <c r="S3029" i="49"/>
  <c r="S3028" i="49"/>
  <c r="S3027" i="49"/>
  <c r="S3026" i="49"/>
  <c r="S3025" i="49"/>
  <c r="S3024" i="49"/>
  <c r="S3023" i="49"/>
  <c r="S3022" i="49"/>
  <c r="S3021" i="49"/>
  <c r="S3020" i="49"/>
  <c r="S3019" i="49"/>
  <c r="S3018" i="49"/>
  <c r="S3017" i="49"/>
  <c r="S3016" i="49"/>
  <c r="S3015" i="49"/>
  <c r="S3014" i="49"/>
  <c r="S3013" i="49"/>
  <c r="S3012" i="49"/>
  <c r="S3011" i="49"/>
  <c r="S3010" i="49"/>
  <c r="S3009" i="49"/>
  <c r="S3008" i="49"/>
  <c r="S3007" i="49"/>
  <c r="S3006" i="49"/>
  <c r="S3005" i="49"/>
  <c r="S3004" i="49"/>
  <c r="S3003" i="49"/>
  <c r="S3002" i="49"/>
  <c r="S3001" i="49"/>
  <c r="S3000" i="49"/>
  <c r="S2999" i="49"/>
  <c r="S2998" i="49"/>
  <c r="S2997" i="49"/>
  <c r="S2996" i="49"/>
  <c r="S2995" i="49"/>
  <c r="S2994" i="49"/>
  <c r="S2993" i="49"/>
  <c r="S2992" i="49"/>
  <c r="S2991" i="49"/>
  <c r="S2990" i="49"/>
  <c r="S2989" i="49"/>
  <c r="S2988" i="49"/>
  <c r="S2987" i="49"/>
  <c r="S2986" i="49"/>
  <c r="S2985" i="49"/>
  <c r="S2984" i="49"/>
  <c r="S2983" i="49"/>
  <c r="S2982" i="49"/>
  <c r="S2981" i="49"/>
  <c r="S2980" i="49"/>
  <c r="S2979" i="49"/>
  <c r="S2978" i="49"/>
  <c r="S2977" i="49"/>
  <c r="S2976" i="49"/>
  <c r="S2975" i="49"/>
  <c r="S2974" i="49"/>
  <c r="S2973" i="49"/>
  <c r="S2972" i="49"/>
  <c r="S2971" i="49"/>
  <c r="S2970" i="49"/>
  <c r="S2969" i="49"/>
  <c r="S2968" i="49"/>
  <c r="S2967" i="49"/>
  <c r="S2966" i="49"/>
  <c r="S2965" i="49"/>
  <c r="S2964" i="49"/>
  <c r="S2963" i="49"/>
  <c r="S2962" i="49"/>
  <c r="S2961" i="49"/>
  <c r="S2960" i="49"/>
  <c r="S2959" i="49"/>
  <c r="S2958" i="49"/>
  <c r="S2957" i="49"/>
  <c r="S2956" i="49"/>
  <c r="S2955" i="49"/>
  <c r="S2954" i="49"/>
  <c r="S2953" i="49"/>
  <c r="S2952" i="49"/>
  <c r="S2951" i="49"/>
  <c r="S2950" i="49"/>
  <c r="S2949" i="49"/>
  <c r="S2948" i="49"/>
  <c r="S2947" i="49"/>
  <c r="S2946" i="49"/>
  <c r="S2945" i="49"/>
  <c r="S2944" i="49"/>
  <c r="S2943" i="49"/>
  <c r="S2942" i="49"/>
  <c r="S2941" i="49"/>
  <c r="S2940" i="49"/>
  <c r="S2939" i="49"/>
  <c r="S2938" i="49"/>
  <c r="S2937" i="49"/>
  <c r="S2936" i="49"/>
  <c r="S2935" i="49"/>
  <c r="S2934" i="49"/>
  <c r="S2933" i="49"/>
  <c r="S2932" i="49"/>
  <c r="S2931" i="49"/>
  <c r="S2930" i="49"/>
  <c r="S2929" i="49"/>
  <c r="S2928" i="49"/>
  <c r="S2927" i="49"/>
  <c r="S2926" i="49"/>
  <c r="S2925" i="49"/>
  <c r="S2924" i="49"/>
  <c r="S2923" i="49"/>
  <c r="S2922" i="49"/>
  <c r="S2921" i="49"/>
  <c r="S2920" i="49"/>
  <c r="S2919" i="49"/>
  <c r="S2918" i="49"/>
  <c r="S2917" i="49"/>
  <c r="S2916" i="49"/>
  <c r="S2915" i="49"/>
  <c r="S2914" i="49"/>
  <c r="S2913" i="49"/>
  <c r="S2912" i="49"/>
  <c r="S2911" i="49"/>
  <c r="S2910" i="49"/>
  <c r="S2909" i="49"/>
  <c r="S2908" i="49"/>
  <c r="S2907" i="49"/>
  <c r="S2906" i="49"/>
  <c r="S2905" i="49"/>
  <c r="S2904" i="49"/>
  <c r="S2903" i="49"/>
  <c r="S2902" i="49"/>
  <c r="S2901" i="49"/>
  <c r="S2900" i="49"/>
  <c r="S2899" i="49"/>
  <c r="S2898" i="49"/>
  <c r="S2897" i="49"/>
  <c r="S2896" i="49"/>
  <c r="S2895" i="49"/>
  <c r="S2894" i="49"/>
  <c r="S2893" i="49"/>
  <c r="S2892" i="49"/>
  <c r="S2891" i="49"/>
  <c r="S2890" i="49"/>
  <c r="S2889" i="49"/>
  <c r="S2888" i="49"/>
  <c r="S2887" i="49"/>
  <c r="S2886" i="49"/>
  <c r="S2885" i="49"/>
  <c r="S2884" i="49"/>
  <c r="S2883" i="49"/>
  <c r="S2882" i="49"/>
  <c r="S2881" i="49"/>
  <c r="S2880" i="49"/>
  <c r="S2879" i="49"/>
  <c r="S2878" i="49"/>
  <c r="S2877" i="49"/>
  <c r="S2876" i="49"/>
  <c r="S2875" i="49"/>
  <c r="S2874" i="49"/>
  <c r="S2873" i="49"/>
  <c r="S2872" i="49"/>
  <c r="S2871" i="49"/>
  <c r="S2870" i="49"/>
  <c r="S2869" i="49"/>
  <c r="S2868" i="49"/>
  <c r="S2867" i="49"/>
  <c r="S2866" i="49"/>
  <c r="S2865" i="49"/>
  <c r="S2864" i="49"/>
  <c r="S2863" i="49"/>
  <c r="S2862" i="49"/>
  <c r="S2861" i="49"/>
  <c r="S2860" i="49"/>
  <c r="S2859" i="49"/>
  <c r="S2858" i="49"/>
  <c r="S2857" i="49"/>
  <c r="S2856" i="49"/>
  <c r="S2855" i="49"/>
  <c r="S2854" i="49"/>
  <c r="S2853" i="49"/>
  <c r="S2852" i="49"/>
  <c r="S2851" i="49"/>
  <c r="S2850" i="49"/>
  <c r="S2849" i="49"/>
  <c r="S2848" i="49"/>
  <c r="S2847" i="49"/>
  <c r="S2846" i="49"/>
  <c r="S2845" i="49"/>
  <c r="S2844" i="49"/>
  <c r="S2843" i="49"/>
  <c r="S2842" i="49"/>
  <c r="S2841" i="49"/>
  <c r="S2840" i="49"/>
  <c r="S2839" i="49"/>
  <c r="S2838" i="49"/>
  <c r="S2837" i="49"/>
  <c r="S2836" i="49"/>
  <c r="S2835" i="49"/>
  <c r="S2834" i="49"/>
  <c r="S2833" i="49"/>
  <c r="S2832" i="49"/>
  <c r="S2831" i="49"/>
  <c r="S2830" i="49"/>
  <c r="S2829" i="49"/>
  <c r="S2828" i="49"/>
  <c r="S2827" i="49"/>
  <c r="S2826" i="49"/>
  <c r="S2825" i="49"/>
  <c r="S2824" i="49"/>
  <c r="S2823" i="49"/>
  <c r="S2822" i="49"/>
  <c r="S2821" i="49"/>
  <c r="S2820" i="49"/>
  <c r="S2819" i="49"/>
  <c r="S2818" i="49"/>
  <c r="S2817" i="49"/>
  <c r="S2816" i="49"/>
  <c r="S2815" i="49"/>
  <c r="S2814" i="49"/>
  <c r="S2813" i="49"/>
  <c r="S2812" i="49"/>
  <c r="S2811" i="49"/>
  <c r="S2810" i="49"/>
  <c r="S2809" i="49"/>
  <c r="S2808" i="49"/>
  <c r="S2807" i="49"/>
  <c r="S2806" i="49"/>
  <c r="S2805" i="49"/>
  <c r="S2804" i="49"/>
  <c r="S2803" i="49"/>
  <c r="S2802" i="49"/>
  <c r="S2801" i="49"/>
  <c r="S2800" i="49"/>
  <c r="S2799" i="49"/>
  <c r="S2798" i="49"/>
  <c r="S2797" i="49"/>
  <c r="S2796" i="49"/>
  <c r="S2795" i="49"/>
  <c r="S2794" i="49"/>
  <c r="S2793" i="49"/>
  <c r="S2792" i="49"/>
  <c r="S2791" i="49"/>
  <c r="S2790" i="49"/>
  <c r="S2789" i="49"/>
  <c r="S2788" i="49"/>
  <c r="S2787" i="49"/>
  <c r="S2786" i="49"/>
  <c r="S2785" i="49"/>
  <c r="S2784" i="49"/>
  <c r="S2783" i="49"/>
  <c r="S2782" i="49"/>
  <c r="S2781" i="49"/>
  <c r="S2780" i="49"/>
  <c r="S2779" i="49"/>
  <c r="S2778" i="49"/>
  <c r="S2777" i="49"/>
  <c r="S2776" i="49"/>
  <c r="S2775" i="49"/>
  <c r="S2774" i="49"/>
  <c r="S2773" i="49"/>
  <c r="S2772" i="49"/>
  <c r="S2771" i="49"/>
  <c r="S2770" i="49"/>
  <c r="S2769" i="49"/>
  <c r="S2768" i="49"/>
  <c r="S2767" i="49"/>
  <c r="S2766" i="49"/>
  <c r="S2765" i="49"/>
  <c r="S2764" i="49"/>
  <c r="S2763" i="49"/>
  <c r="S2762" i="49"/>
  <c r="S2761" i="49"/>
  <c r="S2760" i="49"/>
  <c r="S2759" i="49"/>
  <c r="S2758" i="49"/>
  <c r="S2757" i="49"/>
  <c r="S2756" i="49"/>
  <c r="S2755" i="49"/>
  <c r="S2754" i="49"/>
  <c r="S2753" i="49"/>
  <c r="S2752" i="49"/>
  <c r="S2751" i="49"/>
  <c r="S2750" i="49"/>
  <c r="S2749" i="49"/>
  <c r="S2748" i="49"/>
  <c r="S2747" i="49"/>
  <c r="S2746" i="49"/>
  <c r="S2745" i="49"/>
  <c r="S2744" i="49"/>
  <c r="S2743" i="49"/>
  <c r="S2742" i="49"/>
  <c r="S2741" i="49"/>
  <c r="S2740" i="49"/>
  <c r="S2739" i="49"/>
  <c r="S2738" i="49"/>
  <c r="S2737" i="49"/>
  <c r="S2736" i="49"/>
  <c r="S2735" i="49"/>
  <c r="S2734" i="49"/>
  <c r="S2733" i="49"/>
  <c r="S2732" i="49"/>
  <c r="S2731" i="49"/>
  <c r="S2730" i="49"/>
  <c r="S2729" i="49"/>
  <c r="S2728" i="49"/>
  <c r="S2727" i="49"/>
  <c r="S2726" i="49"/>
  <c r="S2725" i="49"/>
  <c r="S2724" i="49"/>
  <c r="S2723" i="49"/>
  <c r="S2722" i="49"/>
  <c r="S2721" i="49"/>
  <c r="S2720" i="49"/>
  <c r="S2719" i="49"/>
  <c r="S2718" i="49"/>
  <c r="S2717" i="49"/>
  <c r="S2716" i="49"/>
  <c r="S2715" i="49"/>
  <c r="S2714" i="49"/>
  <c r="S2713" i="49"/>
  <c r="S2712" i="49"/>
  <c r="S2711" i="49"/>
  <c r="S2710" i="49"/>
  <c r="S2709" i="49"/>
  <c r="S2708" i="49"/>
  <c r="S2707" i="49"/>
  <c r="S2706" i="49"/>
  <c r="S2705" i="49"/>
  <c r="S2704" i="49"/>
  <c r="S2703" i="49"/>
  <c r="S2702" i="49"/>
  <c r="S2701" i="49"/>
  <c r="S2700" i="49"/>
  <c r="S2699" i="49"/>
  <c r="S2698" i="49"/>
  <c r="S2697" i="49"/>
  <c r="S2696" i="49"/>
  <c r="S2695" i="49"/>
  <c r="S2694" i="49"/>
  <c r="S2693" i="49"/>
  <c r="S2692" i="49"/>
  <c r="S2691" i="49"/>
  <c r="S2690" i="49"/>
  <c r="S2689" i="49"/>
  <c r="S2688" i="49"/>
  <c r="S2687" i="49"/>
  <c r="S2686" i="49"/>
  <c r="S2685" i="49"/>
  <c r="S2684" i="49"/>
  <c r="S2683" i="49"/>
  <c r="S2682" i="49"/>
  <c r="S2681" i="49"/>
  <c r="S2680" i="49"/>
  <c r="S2679" i="49"/>
  <c r="S2678" i="49"/>
  <c r="S2677" i="49"/>
  <c r="S2676" i="49"/>
  <c r="S2675" i="49"/>
  <c r="S2674" i="49"/>
  <c r="S2673" i="49"/>
  <c r="S2672" i="49"/>
  <c r="S2671" i="49"/>
  <c r="S2670" i="49"/>
  <c r="S2669" i="49"/>
  <c r="S2668" i="49"/>
  <c r="S2667" i="49"/>
  <c r="S2666" i="49"/>
  <c r="S2665" i="49"/>
  <c r="S2664" i="49"/>
  <c r="S2663" i="49"/>
  <c r="S2662" i="49"/>
  <c r="S2661" i="49"/>
  <c r="S2660" i="49"/>
  <c r="S2659" i="49"/>
  <c r="S2658" i="49"/>
  <c r="S2657" i="49"/>
  <c r="S2656" i="49"/>
  <c r="S2655" i="49"/>
  <c r="S2654" i="49"/>
  <c r="S2653" i="49"/>
  <c r="S2652" i="49"/>
  <c r="S2651" i="49"/>
  <c r="S2650" i="49"/>
  <c r="S2649" i="49"/>
  <c r="S2648" i="49"/>
  <c r="S2647" i="49"/>
  <c r="S2646" i="49"/>
  <c r="S2645" i="49"/>
  <c r="S2644" i="49"/>
  <c r="S2643" i="49"/>
  <c r="S2642" i="49"/>
  <c r="S2641" i="49"/>
  <c r="S2640" i="49"/>
  <c r="S2639" i="49"/>
  <c r="S2638" i="49"/>
  <c r="S2637" i="49"/>
  <c r="S2636" i="49"/>
  <c r="S2635" i="49"/>
  <c r="S2634" i="49"/>
  <c r="S2633" i="49"/>
  <c r="S2632" i="49"/>
  <c r="S2631" i="49"/>
  <c r="S2630" i="49"/>
  <c r="S2629" i="49"/>
  <c r="S2628" i="49"/>
  <c r="S2627" i="49"/>
  <c r="S2626" i="49"/>
  <c r="S2625" i="49"/>
  <c r="S2624" i="49"/>
  <c r="S2623" i="49"/>
  <c r="S2622" i="49"/>
  <c r="S2621" i="49"/>
  <c r="S2620" i="49"/>
  <c r="S2619" i="49"/>
  <c r="S2618" i="49"/>
  <c r="S2617" i="49"/>
  <c r="S2616" i="49"/>
  <c r="S2615" i="49"/>
  <c r="S2614" i="49"/>
  <c r="S2613" i="49"/>
  <c r="S2612" i="49"/>
  <c r="S2611" i="49"/>
  <c r="S2610" i="49"/>
  <c r="S2609" i="49"/>
  <c r="S2608" i="49"/>
  <c r="S2607" i="49"/>
  <c r="S2606" i="49"/>
  <c r="S2605" i="49"/>
  <c r="S2604" i="49"/>
  <c r="S2603" i="49"/>
  <c r="S2602" i="49"/>
  <c r="S2601" i="49"/>
  <c r="S2600" i="49"/>
  <c r="S2599" i="49"/>
  <c r="S2598" i="49"/>
  <c r="S2597" i="49"/>
  <c r="S2596" i="49"/>
  <c r="S2595" i="49"/>
  <c r="S2594" i="49"/>
  <c r="S2593" i="49"/>
  <c r="S2592" i="49"/>
  <c r="S2591" i="49"/>
  <c r="S2590" i="49"/>
  <c r="S2589" i="49"/>
  <c r="S2588" i="49"/>
  <c r="S2587" i="49"/>
  <c r="S2586" i="49"/>
  <c r="S2585" i="49"/>
  <c r="S2584" i="49"/>
  <c r="S2583" i="49"/>
  <c r="S2582" i="49"/>
  <c r="S2581" i="49"/>
  <c r="S2580" i="49"/>
  <c r="S2579" i="49"/>
  <c r="S2578" i="49"/>
  <c r="S2577" i="49"/>
  <c r="S2576" i="49"/>
  <c r="S2575" i="49"/>
  <c r="S2574" i="49"/>
  <c r="S2573" i="49"/>
  <c r="S2572" i="49"/>
  <c r="S2571" i="49"/>
  <c r="S2570" i="49"/>
  <c r="S2569" i="49"/>
  <c r="S2568" i="49"/>
  <c r="S2567" i="49"/>
  <c r="S2566" i="49"/>
  <c r="S2565" i="49"/>
  <c r="S2564" i="49"/>
  <c r="S2563" i="49"/>
  <c r="S2562" i="49"/>
  <c r="S2561" i="49"/>
  <c r="S2560" i="49"/>
  <c r="S2559" i="49"/>
  <c r="S2558" i="49"/>
  <c r="S2557" i="49"/>
  <c r="S2556" i="49"/>
  <c r="S2555" i="49"/>
  <c r="S2554" i="49"/>
  <c r="S2553" i="49"/>
  <c r="S2552" i="49"/>
  <c r="S2551" i="49"/>
  <c r="S2550" i="49"/>
  <c r="S2549" i="49"/>
  <c r="S2548" i="49"/>
  <c r="S2547" i="49"/>
  <c r="S2546" i="49"/>
  <c r="S2545" i="49"/>
  <c r="S2544" i="49"/>
  <c r="S2543" i="49"/>
  <c r="S2542" i="49"/>
  <c r="S2541" i="49"/>
  <c r="S2540" i="49"/>
  <c r="S2539" i="49"/>
  <c r="S2538" i="49"/>
  <c r="S2537" i="49"/>
  <c r="S2536" i="49"/>
  <c r="S2535" i="49"/>
  <c r="S2534" i="49"/>
  <c r="S2533" i="49"/>
  <c r="S2532" i="49"/>
  <c r="S2531" i="49"/>
  <c r="S2530" i="49"/>
  <c r="S2529" i="49"/>
  <c r="S2528" i="49"/>
  <c r="S2527" i="49"/>
  <c r="S2526" i="49"/>
  <c r="S2525" i="49"/>
  <c r="S2524" i="49"/>
  <c r="S2523" i="49"/>
  <c r="S2522" i="49"/>
  <c r="S2521" i="49"/>
  <c r="S2520" i="49"/>
  <c r="S2519" i="49"/>
  <c r="S2518" i="49"/>
  <c r="S2517" i="49"/>
  <c r="S2516" i="49"/>
  <c r="S2515" i="49"/>
  <c r="S2514" i="49"/>
  <c r="S2513" i="49"/>
  <c r="S2512" i="49"/>
  <c r="S2511" i="49"/>
  <c r="S2510" i="49"/>
  <c r="S2509" i="49"/>
  <c r="S2508" i="49"/>
  <c r="S2507" i="49"/>
  <c r="S2506" i="49"/>
  <c r="S2505" i="49"/>
  <c r="S2504" i="49"/>
  <c r="S2503" i="49"/>
  <c r="S2502" i="49"/>
  <c r="S2501" i="49"/>
  <c r="S2500" i="49"/>
  <c r="S2499" i="49"/>
  <c r="S2498" i="49"/>
  <c r="S2497" i="49"/>
  <c r="S2496" i="49"/>
  <c r="S2495" i="49"/>
  <c r="S2494" i="49"/>
  <c r="S2493" i="49"/>
  <c r="S2492" i="49"/>
  <c r="S2491" i="49"/>
  <c r="S2490" i="49"/>
  <c r="S2489" i="49"/>
  <c r="S2488" i="49"/>
  <c r="S2487" i="49"/>
  <c r="S2486" i="49"/>
  <c r="S2485" i="49"/>
  <c r="S2484" i="49"/>
  <c r="S2483" i="49"/>
  <c r="S2482" i="49"/>
  <c r="S2481" i="49"/>
  <c r="S2480" i="49"/>
  <c r="S2479" i="49"/>
  <c r="S2478" i="49"/>
  <c r="S2477" i="49"/>
  <c r="S2476" i="49"/>
  <c r="S2475" i="49"/>
  <c r="S2474" i="49"/>
  <c r="S2473" i="49"/>
  <c r="S2472" i="49"/>
  <c r="S2471" i="49"/>
  <c r="S2470" i="49"/>
  <c r="S2469" i="49"/>
  <c r="S2468" i="49"/>
  <c r="S2467" i="49"/>
  <c r="S2466" i="49"/>
  <c r="S2465" i="49"/>
  <c r="O2464" i="49"/>
  <c r="S2464" i="49" s="1"/>
  <c r="O2463" i="49"/>
  <c r="S2463" i="49" s="1"/>
  <c r="O2462" i="49"/>
  <c r="S2462" i="49" s="1"/>
  <c r="O2461" i="49"/>
  <c r="S2461" i="49" s="1"/>
  <c r="O2460" i="49"/>
  <c r="S2460" i="49" s="1"/>
  <c r="O2459" i="49"/>
  <c r="S2459" i="49" s="1"/>
  <c r="O2458" i="49"/>
  <c r="S2458" i="49" s="1"/>
  <c r="O2457" i="49"/>
  <c r="S2457" i="49" s="1"/>
  <c r="O2456" i="49"/>
  <c r="S2456" i="49" s="1"/>
  <c r="O2455" i="49"/>
  <c r="S2455" i="49" s="1"/>
  <c r="O2454" i="49"/>
  <c r="S2454" i="49" s="1"/>
  <c r="O2453" i="49"/>
  <c r="S2453" i="49" s="1"/>
  <c r="O2452" i="49"/>
  <c r="S2452" i="49" s="1"/>
  <c r="O2451" i="49"/>
  <c r="S2451" i="49" s="1"/>
  <c r="O2450" i="49"/>
  <c r="S2450" i="49" s="1"/>
  <c r="O2449" i="49"/>
  <c r="S2449" i="49" s="1"/>
  <c r="O2448" i="49"/>
  <c r="S2448" i="49" s="1"/>
  <c r="O2447" i="49"/>
  <c r="S2447" i="49" s="1"/>
  <c r="O2446" i="49"/>
  <c r="S2446" i="49" s="1"/>
  <c r="O2445" i="49"/>
  <c r="S2445" i="49" s="1"/>
  <c r="O2444" i="49"/>
  <c r="S2444" i="49" s="1"/>
  <c r="O2443" i="49"/>
  <c r="S2443" i="49" s="1"/>
  <c r="O2442" i="49"/>
  <c r="S2442" i="49" s="1"/>
  <c r="O2441" i="49"/>
  <c r="S2441" i="49" s="1"/>
  <c r="O2440" i="49"/>
  <c r="S2440" i="49" s="1"/>
  <c r="O2439" i="49"/>
  <c r="S2439" i="49" s="1"/>
  <c r="O2438" i="49"/>
  <c r="S2438" i="49" s="1"/>
  <c r="O2437" i="49"/>
  <c r="S2437" i="49" s="1"/>
  <c r="O2436" i="49"/>
  <c r="S2436" i="49" s="1"/>
  <c r="O2435" i="49"/>
  <c r="S2435" i="49" s="1"/>
  <c r="O2434" i="49"/>
  <c r="S2434" i="49" s="1"/>
  <c r="O2433" i="49"/>
  <c r="S2433" i="49" s="1"/>
  <c r="O2432" i="49"/>
  <c r="S2432" i="49" s="1"/>
  <c r="O2431" i="49"/>
  <c r="S2431" i="49" s="1"/>
  <c r="O2430" i="49"/>
  <c r="S2430" i="49" s="1"/>
  <c r="O2429" i="49"/>
  <c r="S2429" i="49" s="1"/>
  <c r="O2428" i="49"/>
  <c r="S2428" i="49" s="1"/>
  <c r="O2427" i="49"/>
  <c r="S2427" i="49" s="1"/>
  <c r="O2426" i="49"/>
  <c r="S2426" i="49" s="1"/>
  <c r="O2425" i="49"/>
  <c r="S2425" i="49" s="1"/>
  <c r="O2424" i="49"/>
  <c r="S2424" i="49" s="1"/>
  <c r="O2423" i="49"/>
  <c r="S2423" i="49" s="1"/>
  <c r="O2422" i="49"/>
  <c r="S2422" i="49" s="1"/>
  <c r="O2421" i="49"/>
  <c r="S2421" i="49" s="1"/>
  <c r="O2420" i="49"/>
  <c r="S2420" i="49" s="1"/>
  <c r="O2419" i="49"/>
  <c r="S2419" i="49" s="1"/>
  <c r="O2418" i="49"/>
  <c r="S2418" i="49" s="1"/>
  <c r="O2417" i="49"/>
  <c r="S2417" i="49" s="1"/>
  <c r="O2416" i="49"/>
  <c r="S2416" i="49" s="1"/>
  <c r="O2415" i="49"/>
  <c r="S2415" i="49" s="1"/>
  <c r="O2414" i="49"/>
  <c r="S2414" i="49" s="1"/>
  <c r="O2413" i="49"/>
  <c r="S2413" i="49" s="1"/>
  <c r="O2412" i="49"/>
  <c r="S2412" i="49" s="1"/>
  <c r="O2411" i="49"/>
  <c r="S2411" i="49" s="1"/>
  <c r="O2410" i="49"/>
  <c r="S2410" i="49" s="1"/>
  <c r="O2409" i="49"/>
  <c r="S2409" i="49" s="1"/>
  <c r="O2408" i="49"/>
  <c r="S2408" i="49" s="1"/>
  <c r="O2407" i="49"/>
  <c r="S2407" i="49" s="1"/>
  <c r="O2406" i="49"/>
  <c r="S2406" i="49" s="1"/>
  <c r="O2405" i="49"/>
  <c r="S2405" i="49" s="1"/>
  <c r="O2404" i="49"/>
  <c r="S2404" i="49" s="1"/>
  <c r="O2403" i="49"/>
  <c r="S2403" i="49" s="1"/>
  <c r="O2402" i="49"/>
  <c r="S2402" i="49" s="1"/>
  <c r="O2401" i="49"/>
  <c r="S2401" i="49" s="1"/>
  <c r="O2400" i="49"/>
  <c r="S2400" i="49" s="1"/>
  <c r="O2399" i="49"/>
  <c r="S2399" i="49" s="1"/>
  <c r="O2398" i="49"/>
  <c r="S2398" i="49" s="1"/>
  <c r="O2397" i="49"/>
  <c r="S2397" i="49" s="1"/>
  <c r="O2396" i="49"/>
  <c r="S2396" i="49" s="1"/>
  <c r="O2395" i="49"/>
  <c r="S2395" i="49" s="1"/>
  <c r="O2394" i="49"/>
  <c r="S2394" i="49" s="1"/>
  <c r="O2393" i="49"/>
  <c r="S2393" i="49" s="1"/>
  <c r="O2392" i="49"/>
  <c r="S2392" i="49" s="1"/>
  <c r="O2391" i="49"/>
  <c r="S2391" i="49" s="1"/>
  <c r="O2390" i="49"/>
  <c r="S2390" i="49" s="1"/>
  <c r="O2389" i="49"/>
  <c r="S2389" i="49" s="1"/>
  <c r="O2388" i="49"/>
  <c r="S2388" i="49" s="1"/>
  <c r="O2387" i="49"/>
  <c r="S2387" i="49" s="1"/>
  <c r="O2386" i="49"/>
  <c r="S2386" i="49" s="1"/>
  <c r="O2385" i="49"/>
  <c r="S2385" i="49" s="1"/>
  <c r="O2384" i="49"/>
  <c r="S2384" i="49" s="1"/>
  <c r="O2383" i="49"/>
  <c r="S2383" i="49" s="1"/>
  <c r="O2382" i="49"/>
  <c r="S2382" i="49" s="1"/>
  <c r="O2381" i="49"/>
  <c r="S2381" i="49" s="1"/>
  <c r="O2380" i="49"/>
  <c r="S2380" i="49" s="1"/>
  <c r="O2379" i="49"/>
  <c r="S2379" i="49" s="1"/>
  <c r="O2378" i="49"/>
  <c r="S2378" i="49" s="1"/>
  <c r="O2377" i="49"/>
  <c r="S2377" i="49" s="1"/>
  <c r="O2376" i="49"/>
  <c r="S2376" i="49" s="1"/>
  <c r="O2375" i="49"/>
  <c r="S2375" i="49" s="1"/>
  <c r="O2374" i="49"/>
  <c r="S2374" i="49" s="1"/>
  <c r="O2373" i="49"/>
  <c r="S2373" i="49" s="1"/>
  <c r="O2372" i="49"/>
  <c r="S2372" i="49" s="1"/>
  <c r="O2371" i="49"/>
  <c r="S2371" i="49" s="1"/>
  <c r="O2370" i="49"/>
  <c r="S2370" i="49" s="1"/>
  <c r="O2369" i="49"/>
  <c r="S2369" i="49" s="1"/>
  <c r="O2368" i="49"/>
  <c r="S2368" i="49" s="1"/>
  <c r="O2367" i="49"/>
  <c r="S2367" i="49" s="1"/>
  <c r="O2366" i="49"/>
  <c r="S2366" i="49" s="1"/>
  <c r="O2365" i="49"/>
  <c r="S2365" i="49" s="1"/>
  <c r="O2364" i="49"/>
  <c r="S2364" i="49" s="1"/>
  <c r="O2363" i="49"/>
  <c r="S2363" i="49" s="1"/>
  <c r="O2362" i="49"/>
  <c r="S2362" i="49" s="1"/>
  <c r="O2361" i="49"/>
  <c r="S2361" i="49" s="1"/>
  <c r="O2360" i="49"/>
  <c r="S2360" i="49" s="1"/>
  <c r="O2359" i="49"/>
  <c r="S2359" i="49" s="1"/>
  <c r="O2358" i="49"/>
  <c r="S2358" i="49" s="1"/>
  <c r="O2357" i="49"/>
  <c r="S2357" i="49" s="1"/>
  <c r="O2356" i="49"/>
  <c r="S2356" i="49" s="1"/>
  <c r="O2355" i="49"/>
  <c r="S2355" i="49" s="1"/>
  <c r="O2354" i="49"/>
  <c r="S2354" i="49" s="1"/>
  <c r="O2353" i="49"/>
  <c r="S2353" i="49" s="1"/>
  <c r="O2352" i="49"/>
  <c r="S2352" i="49" s="1"/>
  <c r="O2351" i="49"/>
  <c r="S2351" i="49" s="1"/>
  <c r="O2350" i="49"/>
  <c r="S2350" i="49" s="1"/>
  <c r="O2349" i="49"/>
  <c r="S2349" i="49" s="1"/>
  <c r="O2348" i="49"/>
  <c r="S2348" i="49" s="1"/>
  <c r="O2347" i="49"/>
  <c r="S2347" i="49" s="1"/>
  <c r="O2346" i="49"/>
  <c r="S2346" i="49" s="1"/>
  <c r="O2345" i="49"/>
  <c r="S2345" i="49" s="1"/>
  <c r="O2344" i="49"/>
  <c r="S2344" i="49" s="1"/>
  <c r="O2343" i="49"/>
  <c r="S2343" i="49" s="1"/>
  <c r="O2342" i="49"/>
  <c r="S2342" i="49" s="1"/>
  <c r="O2341" i="49"/>
  <c r="S2341" i="49" s="1"/>
  <c r="O2340" i="49"/>
  <c r="S2340" i="49" s="1"/>
  <c r="O2339" i="49"/>
  <c r="S2339" i="49" s="1"/>
  <c r="O2338" i="49"/>
  <c r="S2338" i="49" s="1"/>
  <c r="O2337" i="49"/>
  <c r="S2337" i="49" s="1"/>
  <c r="O2336" i="49"/>
  <c r="S2336" i="49" s="1"/>
  <c r="O2335" i="49"/>
  <c r="S2335" i="49" s="1"/>
  <c r="O2334" i="49"/>
  <c r="S2334" i="49" s="1"/>
  <c r="O2333" i="49"/>
  <c r="S2333" i="49" s="1"/>
  <c r="O2332" i="49"/>
  <c r="S2332" i="49" s="1"/>
  <c r="O2331" i="49"/>
  <c r="S2331" i="49" s="1"/>
  <c r="O2330" i="49"/>
  <c r="S2330" i="49" s="1"/>
  <c r="O2329" i="49"/>
  <c r="S2329" i="49" s="1"/>
  <c r="O2328" i="49"/>
  <c r="S2328" i="49" s="1"/>
  <c r="O2327" i="49"/>
  <c r="S2327" i="49" s="1"/>
  <c r="O2326" i="49"/>
  <c r="S2326" i="49" s="1"/>
  <c r="O2325" i="49"/>
  <c r="S2325" i="49" s="1"/>
  <c r="O2324" i="49"/>
  <c r="S2324" i="49" s="1"/>
  <c r="O2323" i="49"/>
  <c r="S2323" i="49" s="1"/>
  <c r="O2322" i="49"/>
  <c r="S2322" i="49" s="1"/>
  <c r="O2321" i="49"/>
  <c r="S2321" i="49" s="1"/>
  <c r="O2320" i="49"/>
  <c r="S2320" i="49" s="1"/>
  <c r="O2319" i="49"/>
  <c r="S2319" i="49" s="1"/>
  <c r="O2318" i="49"/>
  <c r="S2318" i="49" s="1"/>
  <c r="O2317" i="49"/>
  <c r="S2317" i="49" s="1"/>
  <c r="O2316" i="49"/>
  <c r="S2316" i="49" s="1"/>
  <c r="O2315" i="49"/>
  <c r="S2315" i="49" s="1"/>
  <c r="O2314" i="49"/>
  <c r="S2314" i="49" s="1"/>
  <c r="O2313" i="49"/>
  <c r="S2313" i="49" s="1"/>
  <c r="O2312" i="49"/>
  <c r="S2312" i="49" s="1"/>
  <c r="O2311" i="49"/>
  <c r="S2311" i="49" s="1"/>
  <c r="O2310" i="49"/>
  <c r="S2310" i="49" s="1"/>
  <c r="O2309" i="49"/>
  <c r="S2309" i="49" s="1"/>
  <c r="O2308" i="49"/>
  <c r="S2308" i="49" s="1"/>
  <c r="O2307" i="49"/>
  <c r="S2307" i="49" s="1"/>
  <c r="O2306" i="49"/>
  <c r="S2306" i="49" s="1"/>
  <c r="O2305" i="49"/>
  <c r="S2305" i="49" s="1"/>
  <c r="O2304" i="49"/>
  <c r="S2304" i="49" s="1"/>
  <c r="O2303" i="49"/>
  <c r="S2303" i="49" s="1"/>
  <c r="O2302" i="49"/>
  <c r="S2302" i="49" s="1"/>
  <c r="O2301" i="49"/>
  <c r="S2301" i="49" s="1"/>
  <c r="O2300" i="49"/>
  <c r="S2300" i="49" s="1"/>
  <c r="O2299" i="49"/>
  <c r="S2299" i="49" s="1"/>
  <c r="O2298" i="49"/>
  <c r="S2298" i="49" s="1"/>
  <c r="O2297" i="49"/>
  <c r="S2297" i="49" s="1"/>
  <c r="O2296" i="49"/>
  <c r="S2296" i="49" s="1"/>
  <c r="O2295" i="49"/>
  <c r="S2295" i="49" s="1"/>
  <c r="O2294" i="49"/>
  <c r="S2294" i="49" s="1"/>
  <c r="O2293" i="49"/>
  <c r="S2293" i="49" s="1"/>
  <c r="O2292" i="49"/>
  <c r="S2292" i="49" s="1"/>
  <c r="O2291" i="49"/>
  <c r="S2291" i="49" s="1"/>
  <c r="O2290" i="49"/>
  <c r="S2290" i="49" s="1"/>
  <c r="O2289" i="49"/>
  <c r="S2289" i="49" s="1"/>
  <c r="O2288" i="49"/>
  <c r="S2288" i="49" s="1"/>
  <c r="O2287" i="49"/>
  <c r="S2287" i="49" s="1"/>
  <c r="O2286" i="49"/>
  <c r="S2286" i="49" s="1"/>
  <c r="O2285" i="49"/>
  <c r="S2285" i="49" s="1"/>
  <c r="O2284" i="49"/>
  <c r="S2284" i="49" s="1"/>
  <c r="O2283" i="49"/>
  <c r="S2283" i="49" s="1"/>
  <c r="O2282" i="49"/>
  <c r="S2282" i="49" s="1"/>
  <c r="O2281" i="49"/>
  <c r="S2281" i="49" s="1"/>
  <c r="O2280" i="49"/>
  <c r="S2280" i="49" s="1"/>
  <c r="O2279" i="49"/>
  <c r="S2279" i="49" s="1"/>
  <c r="O2278" i="49"/>
  <c r="S2278" i="49" s="1"/>
  <c r="O2277" i="49"/>
  <c r="S2277" i="49" s="1"/>
  <c r="O2276" i="49"/>
  <c r="S2276" i="49" s="1"/>
  <c r="O2275" i="49"/>
  <c r="S2275" i="49" s="1"/>
  <c r="O2274" i="49"/>
  <c r="S2274" i="49" s="1"/>
  <c r="O2273" i="49"/>
  <c r="S2273" i="49" s="1"/>
  <c r="O2272" i="49"/>
  <c r="S2272" i="49" s="1"/>
  <c r="O2271" i="49"/>
  <c r="S2271" i="49" s="1"/>
  <c r="O2270" i="49"/>
  <c r="S2270" i="49" s="1"/>
  <c r="O2269" i="49"/>
  <c r="S2269" i="49" s="1"/>
  <c r="O2268" i="49"/>
  <c r="S2268" i="49" s="1"/>
  <c r="O2267" i="49"/>
  <c r="S2267" i="49" s="1"/>
  <c r="O2266" i="49"/>
  <c r="S2266" i="49" s="1"/>
  <c r="O2265" i="49"/>
  <c r="S2265" i="49" s="1"/>
  <c r="O2264" i="49"/>
  <c r="S2264" i="49" s="1"/>
  <c r="O2263" i="49"/>
  <c r="S2263" i="49" s="1"/>
  <c r="O2262" i="49"/>
  <c r="S2262" i="49" s="1"/>
  <c r="O2261" i="49"/>
  <c r="S2261" i="49" s="1"/>
  <c r="O2260" i="49"/>
  <c r="S2260" i="49" s="1"/>
  <c r="O2259" i="49"/>
  <c r="S2259" i="49" s="1"/>
  <c r="O2258" i="49"/>
  <c r="S2258" i="49" s="1"/>
  <c r="O2257" i="49"/>
  <c r="S2257" i="49" s="1"/>
  <c r="O2256" i="49"/>
  <c r="S2256" i="49" s="1"/>
  <c r="O2255" i="49"/>
  <c r="S2255" i="49" s="1"/>
  <c r="O2254" i="49"/>
  <c r="S2254" i="49" s="1"/>
  <c r="O2253" i="49"/>
  <c r="S2253" i="49" s="1"/>
  <c r="O2252" i="49"/>
  <c r="S2252" i="49" s="1"/>
  <c r="O2251" i="49"/>
  <c r="S2251" i="49" s="1"/>
  <c r="O2250" i="49"/>
  <c r="S2250" i="49" s="1"/>
  <c r="O2249" i="49"/>
  <c r="S2249" i="49" s="1"/>
  <c r="O2248" i="49"/>
  <c r="S2248" i="49" s="1"/>
  <c r="O2247" i="49"/>
  <c r="S2247" i="49" s="1"/>
  <c r="O2246" i="49"/>
  <c r="S2246" i="49" s="1"/>
  <c r="O2245" i="49"/>
  <c r="S2245" i="49" s="1"/>
  <c r="O2244" i="49"/>
  <c r="S2244" i="49" s="1"/>
  <c r="O2243" i="49"/>
  <c r="S2243" i="49" s="1"/>
  <c r="O2242" i="49"/>
  <c r="S2242" i="49" s="1"/>
  <c r="O2241" i="49"/>
  <c r="S2241" i="49" s="1"/>
  <c r="O2240" i="49"/>
  <c r="S2240" i="49" s="1"/>
  <c r="O2239" i="49"/>
  <c r="S2239" i="49" s="1"/>
  <c r="O2238" i="49"/>
  <c r="S2238" i="49" s="1"/>
  <c r="O2237" i="49"/>
  <c r="S2237" i="49" s="1"/>
  <c r="O2236" i="49"/>
  <c r="S2236" i="49" s="1"/>
  <c r="O2235" i="49"/>
  <c r="S2235" i="49" s="1"/>
  <c r="O2234" i="49"/>
  <c r="S2234" i="49" s="1"/>
  <c r="O2233" i="49"/>
  <c r="S2233" i="49" s="1"/>
  <c r="O2232" i="49"/>
  <c r="S2232" i="49" s="1"/>
  <c r="O2231" i="49"/>
  <c r="S2231" i="49" s="1"/>
  <c r="O2230" i="49"/>
  <c r="S2230" i="49" s="1"/>
  <c r="O2229" i="49"/>
  <c r="S2229" i="49" s="1"/>
  <c r="O2228" i="49"/>
  <c r="S2228" i="49" s="1"/>
  <c r="O2227" i="49"/>
  <c r="S2227" i="49" s="1"/>
  <c r="O2226" i="49"/>
  <c r="S2226" i="49" s="1"/>
  <c r="O2225" i="49"/>
  <c r="S2225" i="49" s="1"/>
  <c r="O2224" i="49"/>
  <c r="S2224" i="49" s="1"/>
  <c r="O2223" i="49"/>
  <c r="S2223" i="49" s="1"/>
  <c r="O2222" i="49"/>
  <c r="S2222" i="49" s="1"/>
  <c r="O2221" i="49"/>
  <c r="S2221" i="49" s="1"/>
  <c r="O2220" i="49"/>
  <c r="S2220" i="49" s="1"/>
  <c r="O2219" i="49"/>
  <c r="S2219" i="49" s="1"/>
  <c r="O2218" i="49"/>
  <c r="S2218" i="49" s="1"/>
  <c r="O2217" i="49"/>
  <c r="S2217" i="49" s="1"/>
  <c r="O2216" i="49"/>
  <c r="S2216" i="49" s="1"/>
  <c r="O2215" i="49"/>
  <c r="S2215" i="49" s="1"/>
  <c r="O2214" i="49"/>
  <c r="S2214" i="49" s="1"/>
  <c r="O2213" i="49"/>
  <c r="S2213" i="49" s="1"/>
  <c r="O2212" i="49"/>
  <c r="S2212" i="49" s="1"/>
  <c r="O2211" i="49"/>
  <c r="S2211" i="49" s="1"/>
  <c r="O2210" i="49"/>
  <c r="S2210" i="49" s="1"/>
  <c r="O2209" i="49"/>
  <c r="S2209" i="49" s="1"/>
  <c r="O2208" i="49"/>
  <c r="S2208" i="49" s="1"/>
  <c r="O2207" i="49"/>
  <c r="S2207" i="49" s="1"/>
  <c r="O2206" i="49"/>
  <c r="S2206" i="49" s="1"/>
  <c r="O2205" i="49"/>
  <c r="S2205" i="49" s="1"/>
  <c r="O2204" i="49"/>
  <c r="S2204" i="49" s="1"/>
  <c r="O2203" i="49"/>
  <c r="S2203" i="49" s="1"/>
  <c r="O2202" i="49"/>
  <c r="S2202" i="49" s="1"/>
  <c r="O2201" i="49"/>
  <c r="S2201" i="49" s="1"/>
  <c r="O2200" i="49"/>
  <c r="S2200" i="49" s="1"/>
  <c r="O2199" i="49"/>
  <c r="S2199" i="49" s="1"/>
  <c r="O2198" i="49"/>
  <c r="S2198" i="49" s="1"/>
  <c r="O2197" i="49"/>
  <c r="S2197" i="49" s="1"/>
  <c r="O2196" i="49"/>
  <c r="S2196" i="49" s="1"/>
  <c r="O2195" i="49"/>
  <c r="S2195" i="49" s="1"/>
  <c r="O2194" i="49"/>
  <c r="S2194" i="49" s="1"/>
  <c r="O2193" i="49"/>
  <c r="S2193" i="49" s="1"/>
  <c r="O2192" i="49"/>
  <c r="S2192" i="49" s="1"/>
  <c r="O2191" i="49"/>
  <c r="S2191" i="49" s="1"/>
  <c r="O2190" i="49"/>
  <c r="S2190" i="49" s="1"/>
  <c r="O2189" i="49"/>
  <c r="S2189" i="49" s="1"/>
  <c r="O2188" i="49"/>
  <c r="S2188" i="49" s="1"/>
  <c r="O2187" i="49"/>
  <c r="S2187" i="49" s="1"/>
  <c r="O2186" i="49"/>
  <c r="S2186" i="49" s="1"/>
  <c r="O2185" i="49"/>
  <c r="S2185" i="49" s="1"/>
  <c r="O2184" i="49"/>
  <c r="S2184" i="49" s="1"/>
  <c r="O2183" i="49"/>
  <c r="S2183" i="49" s="1"/>
  <c r="O2182" i="49"/>
  <c r="S2182" i="49" s="1"/>
  <c r="O2181" i="49"/>
  <c r="S2181" i="49" s="1"/>
  <c r="O2180" i="49"/>
  <c r="S2180" i="49" s="1"/>
  <c r="O2179" i="49"/>
  <c r="S2179" i="49" s="1"/>
  <c r="O2178" i="49"/>
  <c r="S2178" i="49" s="1"/>
  <c r="O2177" i="49"/>
  <c r="S2177" i="49" s="1"/>
  <c r="O2176" i="49"/>
  <c r="S2176" i="49" s="1"/>
  <c r="O2175" i="49"/>
  <c r="S2175" i="49" s="1"/>
  <c r="O2174" i="49"/>
  <c r="S2174" i="49" s="1"/>
  <c r="O2173" i="49"/>
  <c r="S2173" i="49" s="1"/>
  <c r="O2172" i="49"/>
  <c r="S2172" i="49" s="1"/>
  <c r="O2171" i="49"/>
  <c r="S2171" i="49" s="1"/>
  <c r="O2170" i="49"/>
  <c r="S2170" i="49" s="1"/>
  <c r="O2169" i="49"/>
  <c r="S2169" i="49" s="1"/>
  <c r="O2168" i="49"/>
  <c r="S2168" i="49" s="1"/>
  <c r="O2167" i="49"/>
  <c r="S2167" i="49" s="1"/>
  <c r="O2166" i="49"/>
  <c r="S2166" i="49" s="1"/>
  <c r="O2165" i="49"/>
  <c r="S2165" i="49" s="1"/>
  <c r="O2164" i="49"/>
  <c r="S2164" i="49" s="1"/>
  <c r="O2163" i="49"/>
  <c r="S2163" i="49" s="1"/>
  <c r="O2162" i="49"/>
  <c r="S2162" i="49" s="1"/>
  <c r="O2161" i="49"/>
  <c r="S2161" i="49" s="1"/>
  <c r="O2160" i="49"/>
  <c r="S2160" i="49" s="1"/>
  <c r="O2159" i="49"/>
  <c r="S2159" i="49" s="1"/>
  <c r="O2158" i="49"/>
  <c r="S2158" i="49" s="1"/>
  <c r="O2157" i="49"/>
  <c r="S2157" i="49" s="1"/>
  <c r="O2156" i="49"/>
  <c r="S2156" i="49" s="1"/>
  <c r="O2155" i="49"/>
  <c r="S2155" i="49" s="1"/>
  <c r="O2154" i="49"/>
  <c r="S2154" i="49" s="1"/>
  <c r="O2153" i="49"/>
  <c r="S2153" i="49" s="1"/>
  <c r="O2152" i="49"/>
  <c r="S2152" i="49" s="1"/>
  <c r="O2151" i="49"/>
  <c r="S2151" i="49" s="1"/>
  <c r="O2150" i="49"/>
  <c r="S2150" i="49" s="1"/>
  <c r="O2149" i="49"/>
  <c r="S2149" i="49" s="1"/>
  <c r="O2148" i="49"/>
  <c r="S2148" i="49" s="1"/>
  <c r="O2147" i="49"/>
  <c r="S2147" i="49" s="1"/>
  <c r="O2146" i="49"/>
  <c r="S2146" i="49" s="1"/>
  <c r="O2145" i="49"/>
  <c r="S2145" i="49" s="1"/>
  <c r="O2144" i="49"/>
  <c r="S2144" i="49" s="1"/>
  <c r="O2143" i="49"/>
  <c r="S2143" i="49" s="1"/>
  <c r="O2142" i="49"/>
  <c r="S2142" i="49" s="1"/>
  <c r="O2141" i="49"/>
  <c r="S2141" i="49" s="1"/>
  <c r="O2140" i="49"/>
  <c r="S2140" i="49" s="1"/>
  <c r="O2139" i="49"/>
  <c r="S2139" i="49" s="1"/>
  <c r="O2138" i="49"/>
  <c r="S2138" i="49" s="1"/>
  <c r="O2137" i="49"/>
  <c r="S2137" i="49" s="1"/>
  <c r="O2136" i="49"/>
  <c r="S2136" i="49" s="1"/>
  <c r="O2135" i="49"/>
  <c r="S2135" i="49" s="1"/>
  <c r="O2134" i="49"/>
  <c r="S2134" i="49" s="1"/>
  <c r="O2133" i="49"/>
  <c r="S2133" i="49" s="1"/>
  <c r="O2132" i="49"/>
  <c r="S2132" i="49" s="1"/>
  <c r="O2131" i="49"/>
  <c r="S2131" i="49" s="1"/>
  <c r="O2130" i="49"/>
  <c r="S2130" i="49" s="1"/>
  <c r="O2129" i="49"/>
  <c r="S2129" i="49" s="1"/>
  <c r="O2128" i="49"/>
  <c r="S2128" i="49" s="1"/>
  <c r="O2127" i="49"/>
  <c r="S2127" i="49" s="1"/>
  <c r="O2126" i="49"/>
  <c r="S2126" i="49" s="1"/>
  <c r="O2125" i="49"/>
  <c r="S2125" i="49" s="1"/>
  <c r="O2124" i="49"/>
  <c r="S2124" i="49" s="1"/>
  <c r="O2123" i="49"/>
  <c r="S2123" i="49" s="1"/>
  <c r="O2122" i="49"/>
  <c r="S2122" i="49" s="1"/>
  <c r="O2121" i="49"/>
  <c r="S2121" i="49" s="1"/>
  <c r="O2120" i="49"/>
  <c r="S2120" i="49" s="1"/>
  <c r="O2119" i="49"/>
  <c r="S2119" i="49" s="1"/>
  <c r="O2118" i="49"/>
  <c r="S2118" i="49" s="1"/>
  <c r="O2117" i="49"/>
  <c r="S2117" i="49" s="1"/>
  <c r="O2116" i="49"/>
  <c r="S2116" i="49" s="1"/>
  <c r="O2115" i="49"/>
  <c r="S2115" i="49" s="1"/>
  <c r="O2114" i="49"/>
  <c r="S2114" i="49" s="1"/>
  <c r="O2113" i="49"/>
  <c r="S2113" i="49" s="1"/>
  <c r="O2112" i="49"/>
  <c r="S2112" i="49" s="1"/>
  <c r="O2111" i="49"/>
  <c r="S2111" i="49" s="1"/>
  <c r="O2110" i="49"/>
  <c r="S2110" i="49" s="1"/>
  <c r="O2109" i="49"/>
  <c r="S2109" i="49" s="1"/>
  <c r="O2108" i="49"/>
  <c r="S2108" i="49" s="1"/>
  <c r="O2107" i="49"/>
  <c r="S2107" i="49" s="1"/>
  <c r="O2106" i="49"/>
  <c r="S2106" i="49" s="1"/>
  <c r="O2105" i="49"/>
  <c r="S2105" i="49" s="1"/>
  <c r="O2104" i="49"/>
  <c r="S2104" i="49" s="1"/>
  <c r="O2103" i="49"/>
  <c r="S2103" i="49" s="1"/>
  <c r="O2102" i="49"/>
  <c r="S2102" i="49" s="1"/>
  <c r="O2101" i="49"/>
  <c r="S2101" i="49" s="1"/>
  <c r="O2100" i="49"/>
  <c r="S2100" i="49" s="1"/>
  <c r="O2099" i="49"/>
  <c r="S2099" i="49" s="1"/>
  <c r="O2098" i="49"/>
  <c r="S2098" i="49" s="1"/>
  <c r="O2097" i="49"/>
  <c r="S2097" i="49" s="1"/>
  <c r="O2096" i="49"/>
  <c r="S2096" i="49" s="1"/>
  <c r="O2095" i="49"/>
  <c r="S2095" i="49" s="1"/>
  <c r="O2094" i="49"/>
  <c r="S2094" i="49" s="1"/>
  <c r="O2093" i="49"/>
  <c r="S2093" i="49" s="1"/>
  <c r="O2092" i="49"/>
  <c r="S2092" i="49" s="1"/>
  <c r="O2091" i="49"/>
  <c r="S2091" i="49" s="1"/>
  <c r="O2090" i="49"/>
  <c r="S2090" i="49" s="1"/>
  <c r="O2089" i="49"/>
  <c r="S2089" i="49" s="1"/>
  <c r="O2088" i="49"/>
  <c r="S2088" i="49" s="1"/>
  <c r="O2087" i="49"/>
  <c r="S2087" i="49" s="1"/>
  <c r="O2086" i="49"/>
  <c r="S2086" i="49" s="1"/>
  <c r="O2085" i="49"/>
  <c r="S2085" i="49" s="1"/>
  <c r="O2084" i="49"/>
  <c r="S2084" i="49" s="1"/>
  <c r="O2083" i="49"/>
  <c r="S2083" i="49" s="1"/>
  <c r="O2082" i="49"/>
  <c r="S2082" i="49" s="1"/>
  <c r="O2081" i="49"/>
  <c r="S2081" i="49" s="1"/>
  <c r="O2080" i="49"/>
  <c r="S2080" i="49" s="1"/>
  <c r="O2079" i="49"/>
  <c r="S2079" i="49" s="1"/>
  <c r="O2078" i="49"/>
  <c r="S2078" i="49" s="1"/>
  <c r="O2077" i="49"/>
  <c r="S2077" i="49" s="1"/>
  <c r="O2076" i="49"/>
  <c r="S2076" i="49" s="1"/>
  <c r="O2075" i="49"/>
  <c r="S2075" i="49" s="1"/>
  <c r="O2074" i="49"/>
  <c r="S2074" i="49" s="1"/>
  <c r="O2073" i="49"/>
  <c r="S2073" i="49" s="1"/>
  <c r="O2072" i="49"/>
  <c r="S2072" i="49" s="1"/>
  <c r="O2071" i="49"/>
  <c r="S2071" i="49" s="1"/>
  <c r="O2070" i="49"/>
  <c r="S2070" i="49" s="1"/>
  <c r="O2069" i="49"/>
  <c r="S2069" i="49" s="1"/>
  <c r="O2068" i="49"/>
  <c r="S2068" i="49" s="1"/>
  <c r="O2067" i="49"/>
  <c r="S2067" i="49" s="1"/>
  <c r="O2066" i="49"/>
  <c r="S2066" i="49" s="1"/>
  <c r="O2065" i="49"/>
  <c r="S2065" i="49" s="1"/>
  <c r="O2064" i="49"/>
  <c r="S2064" i="49" s="1"/>
  <c r="O2063" i="49"/>
  <c r="S2063" i="49" s="1"/>
  <c r="O2062" i="49"/>
  <c r="S2062" i="49" s="1"/>
  <c r="O2061" i="49"/>
  <c r="S2061" i="49" s="1"/>
  <c r="O2060" i="49"/>
  <c r="S2060" i="49" s="1"/>
  <c r="O2059" i="49"/>
  <c r="S2059" i="49" s="1"/>
  <c r="O2058" i="49"/>
  <c r="S2058" i="49" s="1"/>
  <c r="O2057" i="49"/>
  <c r="S2057" i="49" s="1"/>
  <c r="O2056" i="49"/>
  <c r="S2056" i="49" s="1"/>
  <c r="O2055" i="49"/>
  <c r="S2055" i="49" s="1"/>
  <c r="O2054" i="49"/>
  <c r="S2054" i="49" s="1"/>
  <c r="O2053" i="49"/>
  <c r="S2053" i="49" s="1"/>
  <c r="O2052" i="49"/>
  <c r="S2052" i="49" s="1"/>
  <c r="O2051" i="49"/>
  <c r="S2051" i="49" s="1"/>
  <c r="O2050" i="49"/>
  <c r="S2050" i="49" s="1"/>
  <c r="O2049" i="49"/>
  <c r="S2049" i="49" s="1"/>
  <c r="O2048" i="49"/>
  <c r="S2048" i="49" s="1"/>
  <c r="O2047" i="49"/>
  <c r="S2047" i="49" s="1"/>
  <c r="O2046" i="49"/>
  <c r="S2046" i="49" s="1"/>
  <c r="O2045" i="49"/>
  <c r="S2045" i="49" s="1"/>
  <c r="O2044" i="49"/>
  <c r="S2044" i="49" s="1"/>
  <c r="O2043" i="49"/>
  <c r="S2043" i="49" s="1"/>
  <c r="O2042" i="49"/>
  <c r="S2042" i="49" s="1"/>
  <c r="O2041" i="49"/>
  <c r="S2041" i="49" s="1"/>
  <c r="O2040" i="49"/>
  <c r="S2040" i="49" s="1"/>
  <c r="O2039" i="49"/>
  <c r="S2039" i="49" s="1"/>
  <c r="O2038" i="49"/>
  <c r="S2038" i="49" s="1"/>
  <c r="O2037" i="49"/>
  <c r="S2037" i="49" s="1"/>
  <c r="O2036" i="49"/>
  <c r="S2036" i="49" s="1"/>
  <c r="O2035" i="49"/>
  <c r="S2035" i="49" s="1"/>
  <c r="O2034" i="49"/>
  <c r="S2034" i="49" s="1"/>
  <c r="O2033" i="49"/>
  <c r="S2033" i="49" s="1"/>
  <c r="O2032" i="49"/>
  <c r="S2032" i="49" s="1"/>
  <c r="O2031" i="49"/>
  <c r="S2031" i="49" s="1"/>
  <c r="O2030" i="49"/>
  <c r="S2030" i="49" s="1"/>
  <c r="O2029" i="49"/>
  <c r="S2029" i="49" s="1"/>
  <c r="O2028" i="49"/>
  <c r="S2028" i="49" s="1"/>
  <c r="O2027" i="49"/>
  <c r="S2027" i="49" s="1"/>
  <c r="O2026" i="49"/>
  <c r="S2026" i="49" s="1"/>
  <c r="O2025" i="49"/>
  <c r="S2025" i="49" s="1"/>
  <c r="O2024" i="49"/>
  <c r="S2024" i="49" s="1"/>
  <c r="O2023" i="49"/>
  <c r="S2023" i="49" s="1"/>
  <c r="O2022" i="49"/>
  <c r="S2022" i="49" s="1"/>
  <c r="O2021" i="49"/>
  <c r="S2021" i="49" s="1"/>
  <c r="O2020" i="49"/>
  <c r="S2020" i="49" s="1"/>
  <c r="O2019" i="49"/>
  <c r="S2019" i="49" s="1"/>
  <c r="O2018" i="49"/>
  <c r="S2018" i="49" s="1"/>
  <c r="O2017" i="49"/>
  <c r="S2017" i="49" s="1"/>
  <c r="O2016" i="49"/>
  <c r="S2016" i="49" s="1"/>
  <c r="O2015" i="49"/>
  <c r="S2015" i="49" s="1"/>
  <c r="O2014" i="49"/>
  <c r="S2014" i="49" s="1"/>
  <c r="O2013" i="49"/>
  <c r="S2013" i="49" s="1"/>
  <c r="O2012" i="49"/>
  <c r="S2012" i="49" s="1"/>
  <c r="O2011" i="49"/>
  <c r="S2011" i="49" s="1"/>
  <c r="O2010" i="49"/>
  <c r="S2010" i="49" s="1"/>
  <c r="O2009" i="49"/>
  <c r="S2009" i="49" s="1"/>
  <c r="O2008" i="49"/>
  <c r="S2008" i="49" s="1"/>
  <c r="O2007" i="49"/>
  <c r="S2007" i="49" s="1"/>
  <c r="O2006" i="49"/>
  <c r="S2006" i="49" s="1"/>
  <c r="O2005" i="49"/>
  <c r="S2005" i="49" s="1"/>
  <c r="O2004" i="49"/>
  <c r="S2004" i="49" s="1"/>
  <c r="O2003" i="49"/>
  <c r="S2003" i="49" s="1"/>
  <c r="O2002" i="49"/>
  <c r="S2002" i="49" s="1"/>
  <c r="O2001" i="49"/>
  <c r="S2001" i="49" s="1"/>
  <c r="O2000" i="49"/>
  <c r="S2000" i="49" s="1"/>
  <c r="O1999" i="49"/>
  <c r="S1999" i="49" s="1"/>
  <c r="O1998" i="49"/>
  <c r="S1998" i="49" s="1"/>
  <c r="O1997" i="49"/>
  <c r="S1997" i="49" s="1"/>
  <c r="O1996" i="49"/>
  <c r="S1996" i="49" s="1"/>
  <c r="O1995" i="49"/>
  <c r="S1995" i="49" s="1"/>
  <c r="O1994" i="49"/>
  <c r="S1994" i="49" s="1"/>
  <c r="O1993" i="49"/>
  <c r="S1993" i="49" s="1"/>
  <c r="O1992" i="49"/>
  <c r="S1992" i="49" s="1"/>
  <c r="O1991" i="49"/>
  <c r="S1991" i="49" s="1"/>
  <c r="O1990" i="49"/>
  <c r="S1990" i="49" s="1"/>
  <c r="O1989" i="49"/>
  <c r="S1989" i="49" s="1"/>
  <c r="O1988" i="49"/>
  <c r="S1988" i="49" s="1"/>
  <c r="O1987" i="49"/>
  <c r="S1987" i="49" s="1"/>
  <c r="O1986" i="49"/>
  <c r="S1986" i="49" s="1"/>
  <c r="O1985" i="49"/>
  <c r="S1985" i="49" s="1"/>
  <c r="O1984" i="49"/>
  <c r="S1984" i="49" s="1"/>
  <c r="O1983" i="49"/>
  <c r="S1983" i="49" s="1"/>
  <c r="O1982" i="49"/>
  <c r="S1982" i="49" s="1"/>
  <c r="O1981" i="49"/>
  <c r="S1981" i="49" s="1"/>
  <c r="O1980" i="49"/>
  <c r="S1980" i="49" s="1"/>
  <c r="O1979" i="49"/>
  <c r="S1979" i="49" s="1"/>
  <c r="O1978" i="49"/>
  <c r="S1978" i="49" s="1"/>
  <c r="O1977" i="49"/>
  <c r="S1977" i="49" s="1"/>
  <c r="O1976" i="49"/>
  <c r="S1976" i="49" s="1"/>
  <c r="O1975" i="49"/>
  <c r="S1975" i="49" s="1"/>
  <c r="O1974" i="49"/>
  <c r="S1974" i="49" s="1"/>
  <c r="O1973" i="49"/>
  <c r="S1973" i="49" s="1"/>
  <c r="O1972" i="49"/>
  <c r="S1972" i="49" s="1"/>
  <c r="O1971" i="49"/>
  <c r="S1971" i="49" s="1"/>
  <c r="O1970" i="49"/>
  <c r="S1970" i="49" s="1"/>
  <c r="O1969" i="49"/>
  <c r="S1969" i="49" s="1"/>
  <c r="O1968" i="49"/>
  <c r="S1968" i="49" s="1"/>
  <c r="O1967" i="49"/>
  <c r="S1967" i="49" s="1"/>
  <c r="O1966" i="49"/>
  <c r="S1966" i="49" s="1"/>
  <c r="O1965" i="49"/>
  <c r="S1965" i="49" s="1"/>
  <c r="O1964" i="49"/>
  <c r="S1964" i="49" s="1"/>
  <c r="O1963" i="49"/>
  <c r="S1963" i="49" s="1"/>
  <c r="O1962" i="49"/>
  <c r="S1962" i="49" s="1"/>
  <c r="O1961" i="49"/>
  <c r="S1961" i="49" s="1"/>
  <c r="O1960" i="49"/>
  <c r="S1960" i="49" s="1"/>
  <c r="O1959" i="49"/>
  <c r="S1959" i="49" s="1"/>
  <c r="O1958" i="49"/>
  <c r="S1958" i="49" s="1"/>
  <c r="O1957" i="49"/>
  <c r="S1957" i="49" s="1"/>
  <c r="O1956" i="49"/>
  <c r="S1956" i="49" s="1"/>
  <c r="O1955" i="49"/>
  <c r="S1955" i="49" s="1"/>
  <c r="O1954" i="49"/>
  <c r="S1954" i="49" s="1"/>
  <c r="O1953" i="49"/>
  <c r="S1953" i="49" s="1"/>
  <c r="O1952" i="49"/>
  <c r="S1952" i="49" s="1"/>
  <c r="O1951" i="49"/>
  <c r="S1951" i="49" s="1"/>
  <c r="O1950" i="49"/>
  <c r="S1950" i="49" s="1"/>
  <c r="O1949" i="49"/>
  <c r="S1949" i="49" s="1"/>
  <c r="O1948" i="49"/>
  <c r="S1948" i="49" s="1"/>
  <c r="O1947" i="49"/>
  <c r="S1947" i="49" s="1"/>
  <c r="O1946" i="49"/>
  <c r="S1946" i="49" s="1"/>
  <c r="O1945" i="49"/>
  <c r="S1945" i="49" s="1"/>
  <c r="O1944" i="49"/>
  <c r="S1944" i="49" s="1"/>
  <c r="O1943" i="49"/>
  <c r="S1943" i="49" s="1"/>
  <c r="O1942" i="49"/>
  <c r="S1942" i="49" s="1"/>
  <c r="O1941" i="49"/>
  <c r="S1941" i="49" s="1"/>
  <c r="O1940" i="49"/>
  <c r="S1940" i="49" s="1"/>
  <c r="O1939" i="49"/>
  <c r="S1939" i="49" s="1"/>
  <c r="O1938" i="49"/>
  <c r="S1938" i="49" s="1"/>
  <c r="O1937" i="49"/>
  <c r="S1937" i="49" s="1"/>
  <c r="O1936" i="49"/>
  <c r="S1936" i="49" s="1"/>
  <c r="O1935" i="49"/>
  <c r="S1935" i="49" s="1"/>
  <c r="O1934" i="49"/>
  <c r="S1934" i="49" s="1"/>
  <c r="O1933" i="49"/>
  <c r="S1933" i="49" s="1"/>
  <c r="O1932" i="49"/>
  <c r="S1932" i="49" s="1"/>
  <c r="O1931" i="49"/>
  <c r="S1931" i="49" s="1"/>
  <c r="O1930" i="49"/>
  <c r="S1930" i="49" s="1"/>
  <c r="O1929" i="49"/>
  <c r="S1929" i="49" s="1"/>
  <c r="O1928" i="49"/>
  <c r="S1928" i="49" s="1"/>
  <c r="O1927" i="49"/>
  <c r="S1927" i="49" s="1"/>
  <c r="O1926" i="49"/>
  <c r="S1926" i="49" s="1"/>
  <c r="O1925" i="49"/>
  <c r="S1925" i="49" s="1"/>
  <c r="O1924" i="49"/>
  <c r="S1924" i="49" s="1"/>
  <c r="O1923" i="49"/>
  <c r="S1923" i="49" s="1"/>
  <c r="O1922" i="49"/>
  <c r="S1922" i="49" s="1"/>
  <c r="O1921" i="49"/>
  <c r="S1921" i="49" s="1"/>
  <c r="O1920" i="49"/>
  <c r="S1920" i="49" s="1"/>
  <c r="O1919" i="49"/>
  <c r="S1919" i="49" s="1"/>
  <c r="O1918" i="49"/>
  <c r="S1918" i="49" s="1"/>
  <c r="O1917" i="49"/>
  <c r="S1917" i="49" s="1"/>
  <c r="O1916" i="49"/>
  <c r="S1916" i="49" s="1"/>
  <c r="O1915" i="49"/>
  <c r="S1915" i="49" s="1"/>
  <c r="O1914" i="49"/>
  <c r="S1914" i="49" s="1"/>
  <c r="O1913" i="49"/>
  <c r="S1913" i="49" s="1"/>
  <c r="O1912" i="49"/>
  <c r="S1912" i="49" s="1"/>
  <c r="O1911" i="49"/>
  <c r="S1911" i="49" s="1"/>
  <c r="O1910" i="49"/>
  <c r="S1910" i="49" s="1"/>
  <c r="O1909" i="49"/>
  <c r="S1909" i="49" s="1"/>
  <c r="O1908" i="49"/>
  <c r="S1908" i="49" s="1"/>
  <c r="O1907" i="49"/>
  <c r="S1907" i="49" s="1"/>
  <c r="O1906" i="49"/>
  <c r="S1906" i="49" s="1"/>
  <c r="O1905" i="49"/>
  <c r="S1905" i="49" s="1"/>
  <c r="O1904" i="49"/>
  <c r="S1904" i="49" s="1"/>
  <c r="O1903" i="49"/>
  <c r="S1903" i="49" s="1"/>
  <c r="O1902" i="49"/>
  <c r="S1902" i="49" s="1"/>
  <c r="O1901" i="49"/>
  <c r="S1901" i="49" s="1"/>
  <c r="O1900" i="49"/>
  <c r="S1900" i="49" s="1"/>
  <c r="O1899" i="49"/>
  <c r="S1899" i="49" s="1"/>
  <c r="O1898" i="49"/>
  <c r="S1898" i="49" s="1"/>
  <c r="O1897" i="49"/>
  <c r="S1897" i="49" s="1"/>
  <c r="O1896" i="49"/>
  <c r="S1896" i="49" s="1"/>
  <c r="O1895" i="49"/>
  <c r="S1895" i="49" s="1"/>
  <c r="O1894" i="49"/>
  <c r="S1894" i="49" s="1"/>
  <c r="O1893" i="49"/>
  <c r="S1893" i="49" s="1"/>
  <c r="O1892" i="49"/>
  <c r="S1892" i="49" s="1"/>
  <c r="O1891" i="49"/>
  <c r="S1891" i="49" s="1"/>
  <c r="O1890" i="49"/>
  <c r="S1890" i="49" s="1"/>
  <c r="O1889" i="49"/>
  <c r="S1889" i="49" s="1"/>
  <c r="O1888" i="49"/>
  <c r="S1888" i="49" s="1"/>
  <c r="O1887" i="49"/>
  <c r="S1887" i="49" s="1"/>
  <c r="O1886" i="49"/>
  <c r="S1886" i="49" s="1"/>
  <c r="O1885" i="49"/>
  <c r="S1885" i="49" s="1"/>
  <c r="O1884" i="49"/>
  <c r="S1884" i="49" s="1"/>
  <c r="O1883" i="49"/>
  <c r="S1883" i="49" s="1"/>
  <c r="O1882" i="49"/>
  <c r="S1882" i="49" s="1"/>
  <c r="O1881" i="49"/>
  <c r="S1881" i="49" s="1"/>
  <c r="O1880" i="49"/>
  <c r="S1880" i="49" s="1"/>
  <c r="O1879" i="49"/>
  <c r="S1879" i="49" s="1"/>
  <c r="O1878" i="49"/>
  <c r="S1878" i="49" s="1"/>
  <c r="O1877" i="49"/>
  <c r="S1877" i="49" s="1"/>
  <c r="O1876" i="49"/>
  <c r="S1876" i="49" s="1"/>
  <c r="O1875" i="49"/>
  <c r="S1875" i="49" s="1"/>
  <c r="O1874" i="49"/>
  <c r="S1874" i="49" s="1"/>
  <c r="O1873" i="49"/>
  <c r="S1873" i="49" s="1"/>
  <c r="O1872" i="49"/>
  <c r="S1872" i="49" s="1"/>
  <c r="O1871" i="49"/>
  <c r="S1871" i="49" s="1"/>
  <c r="O1870" i="49"/>
  <c r="S1870" i="49" s="1"/>
  <c r="O1869" i="49"/>
  <c r="S1869" i="49" s="1"/>
  <c r="O1868" i="49"/>
  <c r="S1868" i="49" s="1"/>
  <c r="O1867" i="49"/>
  <c r="S1867" i="49" s="1"/>
  <c r="O1866" i="49"/>
  <c r="S1866" i="49" s="1"/>
  <c r="O1865" i="49"/>
  <c r="S1865" i="49" s="1"/>
  <c r="O1864" i="49"/>
  <c r="S1864" i="49" s="1"/>
  <c r="O1863" i="49"/>
  <c r="S1863" i="49" s="1"/>
  <c r="O1862" i="49"/>
  <c r="S1862" i="49" s="1"/>
  <c r="O1861" i="49"/>
  <c r="S1861" i="49" s="1"/>
  <c r="O1860" i="49"/>
  <c r="S1860" i="49" s="1"/>
  <c r="O1859" i="49"/>
  <c r="S1859" i="49" s="1"/>
  <c r="O1858" i="49"/>
  <c r="S1858" i="49" s="1"/>
  <c r="O1857" i="49"/>
  <c r="S1857" i="49" s="1"/>
  <c r="O1856" i="49"/>
  <c r="S1856" i="49" s="1"/>
  <c r="O1855" i="49"/>
  <c r="S1855" i="49" s="1"/>
  <c r="O1854" i="49"/>
  <c r="S1854" i="49" s="1"/>
  <c r="O1853" i="49"/>
  <c r="S1853" i="49" s="1"/>
  <c r="O1852" i="49"/>
  <c r="S1852" i="49" s="1"/>
  <c r="O1851" i="49"/>
  <c r="S1851" i="49" s="1"/>
  <c r="O1850" i="49"/>
  <c r="S1850" i="49" s="1"/>
  <c r="O1849" i="49"/>
  <c r="S1849" i="49" s="1"/>
  <c r="O1848" i="49"/>
  <c r="S1848" i="49" s="1"/>
  <c r="O1847" i="49"/>
  <c r="S1847" i="49" s="1"/>
  <c r="O1846" i="49"/>
  <c r="S1846" i="49" s="1"/>
  <c r="O1845" i="49"/>
  <c r="S1845" i="49" s="1"/>
  <c r="O1844" i="49"/>
  <c r="S1844" i="49" s="1"/>
  <c r="O1843" i="49"/>
  <c r="S1843" i="49" s="1"/>
  <c r="O1842" i="49"/>
  <c r="S1842" i="49" s="1"/>
  <c r="O1841" i="49"/>
  <c r="S1841" i="49" s="1"/>
  <c r="O1840" i="49"/>
  <c r="S1840" i="49" s="1"/>
  <c r="O1839" i="49"/>
  <c r="S1839" i="49" s="1"/>
  <c r="O1838" i="49"/>
  <c r="S1838" i="49" s="1"/>
  <c r="O1837" i="49"/>
  <c r="S1837" i="49" s="1"/>
  <c r="O1836" i="49"/>
  <c r="S1836" i="49" s="1"/>
  <c r="O1835" i="49"/>
  <c r="S1835" i="49" s="1"/>
  <c r="O1834" i="49"/>
  <c r="S1834" i="49" s="1"/>
  <c r="O1833" i="49"/>
  <c r="S1833" i="49" s="1"/>
  <c r="O1832" i="49"/>
  <c r="S1832" i="49" s="1"/>
  <c r="O1831" i="49"/>
  <c r="S1831" i="49" s="1"/>
  <c r="O1830" i="49"/>
  <c r="S1830" i="49" s="1"/>
  <c r="O1829" i="49"/>
  <c r="S1829" i="49" s="1"/>
  <c r="O1828" i="49"/>
  <c r="S1828" i="49" s="1"/>
  <c r="O1827" i="49"/>
  <c r="S1827" i="49" s="1"/>
  <c r="O1826" i="49"/>
  <c r="S1826" i="49" s="1"/>
  <c r="O1825" i="49"/>
  <c r="S1825" i="49" s="1"/>
  <c r="O1824" i="49"/>
  <c r="S1824" i="49" s="1"/>
  <c r="O1823" i="49"/>
  <c r="S1823" i="49" s="1"/>
  <c r="O1822" i="49"/>
  <c r="S1822" i="49" s="1"/>
  <c r="O1821" i="49"/>
  <c r="S1821" i="49" s="1"/>
  <c r="O1820" i="49"/>
  <c r="S1820" i="49" s="1"/>
  <c r="O1819" i="49"/>
  <c r="S1819" i="49" s="1"/>
  <c r="O1818" i="49"/>
  <c r="S1818" i="49" s="1"/>
  <c r="O1817" i="49"/>
  <c r="S1817" i="49" s="1"/>
  <c r="O1816" i="49"/>
  <c r="S1816" i="49" s="1"/>
  <c r="O1815" i="49"/>
  <c r="S1815" i="49" s="1"/>
  <c r="O1814" i="49"/>
  <c r="S1814" i="49" s="1"/>
  <c r="O1813" i="49"/>
  <c r="S1813" i="49" s="1"/>
  <c r="O1812" i="49"/>
  <c r="S1812" i="49" s="1"/>
  <c r="O1811" i="49"/>
  <c r="S1811" i="49" s="1"/>
  <c r="O1810" i="49"/>
  <c r="S1810" i="49" s="1"/>
  <c r="O1809" i="49"/>
  <c r="S1809" i="49" s="1"/>
  <c r="O1808" i="49"/>
  <c r="S1808" i="49" s="1"/>
  <c r="O1807" i="49"/>
  <c r="S1807" i="49" s="1"/>
  <c r="O1806" i="49"/>
  <c r="S1806" i="49" s="1"/>
  <c r="O1805" i="49"/>
  <c r="S1805" i="49" s="1"/>
  <c r="O1804" i="49"/>
  <c r="S1804" i="49" s="1"/>
  <c r="O1803" i="49"/>
  <c r="S1803" i="49" s="1"/>
  <c r="O1802" i="49"/>
  <c r="S1802" i="49" s="1"/>
  <c r="O1801" i="49"/>
  <c r="S1801" i="49" s="1"/>
  <c r="O1800" i="49"/>
  <c r="S1800" i="49" s="1"/>
  <c r="O1799" i="49"/>
  <c r="S1799" i="49" s="1"/>
  <c r="O1798" i="49"/>
  <c r="S1798" i="49" s="1"/>
  <c r="O1797" i="49"/>
  <c r="S1797" i="49" s="1"/>
  <c r="O1796" i="49"/>
  <c r="S1796" i="49" s="1"/>
  <c r="O1795" i="49"/>
  <c r="S1795" i="49" s="1"/>
  <c r="O1794" i="49"/>
  <c r="S1794" i="49" s="1"/>
  <c r="O1793" i="49"/>
  <c r="S1793" i="49" s="1"/>
  <c r="O1792" i="49"/>
  <c r="S1792" i="49" s="1"/>
  <c r="O1791" i="49"/>
  <c r="S1791" i="49" s="1"/>
  <c r="O1790" i="49"/>
  <c r="S1790" i="49" s="1"/>
  <c r="O1789" i="49"/>
  <c r="S1789" i="49" s="1"/>
  <c r="O1788" i="49"/>
  <c r="S1788" i="49" s="1"/>
  <c r="O1787" i="49"/>
  <c r="S1787" i="49" s="1"/>
  <c r="O1786" i="49"/>
  <c r="S1786" i="49" s="1"/>
  <c r="O1785" i="49"/>
  <c r="S1785" i="49" s="1"/>
  <c r="O1784" i="49"/>
  <c r="S1784" i="49" s="1"/>
  <c r="O1783" i="49"/>
  <c r="S1783" i="49" s="1"/>
  <c r="O1782" i="49"/>
  <c r="S1782" i="49" s="1"/>
  <c r="O1781" i="49"/>
  <c r="S1781" i="49" s="1"/>
  <c r="O1780" i="49"/>
  <c r="S1780" i="49" s="1"/>
  <c r="O1779" i="49"/>
  <c r="S1779" i="49" s="1"/>
  <c r="O1778" i="49"/>
  <c r="S1778" i="49" s="1"/>
  <c r="O1777" i="49"/>
  <c r="S1777" i="49" s="1"/>
  <c r="O1776" i="49"/>
  <c r="S1776" i="49" s="1"/>
  <c r="O1775" i="49"/>
  <c r="S1775" i="49" s="1"/>
  <c r="O1774" i="49"/>
  <c r="S1774" i="49" s="1"/>
  <c r="O1773" i="49"/>
  <c r="S1773" i="49" s="1"/>
  <c r="O1772" i="49"/>
  <c r="S1772" i="49" s="1"/>
  <c r="O1771" i="49"/>
  <c r="S1771" i="49" s="1"/>
  <c r="O1770" i="49"/>
  <c r="S1770" i="49" s="1"/>
  <c r="O1769" i="49"/>
  <c r="S1769" i="49" s="1"/>
  <c r="O1768" i="49"/>
  <c r="S1768" i="49" s="1"/>
  <c r="O1767" i="49"/>
  <c r="S1767" i="49" s="1"/>
  <c r="O1766" i="49"/>
  <c r="S1766" i="49" s="1"/>
  <c r="O1765" i="49"/>
  <c r="S1765" i="49" s="1"/>
  <c r="O1764" i="49"/>
  <c r="S1764" i="49" s="1"/>
  <c r="O1763" i="49"/>
  <c r="S1763" i="49" s="1"/>
  <c r="O1762" i="49"/>
  <c r="S1762" i="49" s="1"/>
  <c r="O1761" i="49"/>
  <c r="S1761" i="49" s="1"/>
  <c r="O1760" i="49"/>
  <c r="S1760" i="49" s="1"/>
  <c r="O1759" i="49"/>
  <c r="S1759" i="49" s="1"/>
  <c r="O1758" i="49"/>
  <c r="S1758" i="49" s="1"/>
  <c r="O1757" i="49"/>
  <c r="S1757" i="49" s="1"/>
  <c r="O1756" i="49"/>
  <c r="S1756" i="49" s="1"/>
  <c r="O1755" i="49"/>
  <c r="S1755" i="49" s="1"/>
  <c r="O1754" i="49"/>
  <c r="S1754" i="49" s="1"/>
  <c r="O1753" i="49"/>
  <c r="S1753" i="49" s="1"/>
  <c r="O1752" i="49"/>
  <c r="S1752" i="49" s="1"/>
  <c r="O1751" i="49"/>
  <c r="S1751" i="49" s="1"/>
  <c r="O1750" i="49"/>
  <c r="S1750" i="49" s="1"/>
  <c r="O1749" i="49"/>
  <c r="S1749" i="49" s="1"/>
  <c r="O1748" i="49"/>
  <c r="S1748" i="49" s="1"/>
  <c r="O1747" i="49"/>
  <c r="S1747" i="49" s="1"/>
  <c r="O1746" i="49"/>
  <c r="S1746" i="49" s="1"/>
  <c r="O1745" i="49"/>
  <c r="S1745" i="49" s="1"/>
  <c r="O1744" i="49"/>
  <c r="S1744" i="49" s="1"/>
  <c r="O1743" i="49"/>
  <c r="S1743" i="49" s="1"/>
  <c r="O1742" i="49"/>
  <c r="S1742" i="49" s="1"/>
  <c r="O1741" i="49"/>
  <c r="S1741" i="49" s="1"/>
  <c r="O1740" i="49"/>
  <c r="S1740" i="49" s="1"/>
  <c r="O1739" i="49"/>
  <c r="S1739" i="49" s="1"/>
  <c r="O1738" i="49"/>
  <c r="S1738" i="49" s="1"/>
  <c r="O1737" i="49"/>
  <c r="S1737" i="49" s="1"/>
  <c r="O1736" i="49"/>
  <c r="S1736" i="49" s="1"/>
  <c r="O1735" i="49"/>
  <c r="S1735" i="49" s="1"/>
  <c r="O1734" i="49"/>
  <c r="S1734" i="49" s="1"/>
  <c r="O1733" i="49"/>
  <c r="S1733" i="49" s="1"/>
  <c r="O1732" i="49"/>
  <c r="S1732" i="49" s="1"/>
  <c r="O1731" i="49"/>
  <c r="S1731" i="49" s="1"/>
  <c r="O1730" i="49"/>
  <c r="S1730" i="49" s="1"/>
  <c r="O1729" i="49"/>
  <c r="S1729" i="49" s="1"/>
  <c r="O1728" i="49"/>
  <c r="S1728" i="49" s="1"/>
  <c r="O1727" i="49"/>
  <c r="S1727" i="49" s="1"/>
  <c r="O1726" i="49"/>
  <c r="S1726" i="49" s="1"/>
  <c r="O1725" i="49"/>
  <c r="S1725" i="49" s="1"/>
  <c r="O1724" i="49"/>
  <c r="S1724" i="49" s="1"/>
  <c r="O1723" i="49"/>
  <c r="S1723" i="49" s="1"/>
  <c r="O1722" i="49"/>
  <c r="S1722" i="49" s="1"/>
  <c r="O1721" i="49"/>
  <c r="S1721" i="49" s="1"/>
  <c r="O1720" i="49"/>
  <c r="S1720" i="49" s="1"/>
  <c r="O1719" i="49"/>
  <c r="S1719" i="49" s="1"/>
  <c r="O1718" i="49"/>
  <c r="S1718" i="49" s="1"/>
  <c r="O1717" i="49"/>
  <c r="S1717" i="49" s="1"/>
  <c r="O1716" i="49"/>
  <c r="S1716" i="49" s="1"/>
  <c r="O1715" i="49"/>
  <c r="S1715" i="49" s="1"/>
  <c r="O1714" i="49"/>
  <c r="S1714" i="49" s="1"/>
  <c r="O1713" i="49"/>
  <c r="S1713" i="49" s="1"/>
  <c r="O1712" i="49"/>
  <c r="S1712" i="49" s="1"/>
  <c r="O1711" i="49"/>
  <c r="S1711" i="49" s="1"/>
  <c r="O1710" i="49"/>
  <c r="S1710" i="49" s="1"/>
  <c r="O1709" i="49"/>
  <c r="S1709" i="49" s="1"/>
  <c r="O1708" i="49"/>
  <c r="S1708" i="49" s="1"/>
  <c r="O1707" i="49"/>
  <c r="S1707" i="49" s="1"/>
  <c r="O1706" i="49"/>
  <c r="S1706" i="49" s="1"/>
  <c r="O1705" i="49"/>
  <c r="S1705" i="49" s="1"/>
  <c r="O1704" i="49"/>
  <c r="S1704" i="49" s="1"/>
  <c r="O1703" i="49"/>
  <c r="S1703" i="49" s="1"/>
  <c r="O1702" i="49"/>
  <c r="S1702" i="49" s="1"/>
  <c r="O1701" i="49"/>
  <c r="S1701" i="49" s="1"/>
  <c r="O1700" i="49"/>
  <c r="S1700" i="49" s="1"/>
  <c r="O1699" i="49"/>
  <c r="S1699" i="49" s="1"/>
  <c r="O1698" i="49"/>
  <c r="S1698" i="49" s="1"/>
  <c r="O1697" i="49"/>
  <c r="S1697" i="49" s="1"/>
  <c r="O1696" i="49"/>
  <c r="S1696" i="49" s="1"/>
  <c r="O1695" i="49"/>
  <c r="S1695" i="49" s="1"/>
  <c r="O1694" i="49"/>
  <c r="S1694" i="49" s="1"/>
  <c r="O1693" i="49"/>
  <c r="S1693" i="49" s="1"/>
  <c r="O1692" i="49"/>
  <c r="S1692" i="49" s="1"/>
  <c r="O1691" i="49"/>
  <c r="S1691" i="49" s="1"/>
  <c r="O1690" i="49"/>
  <c r="S1690" i="49" s="1"/>
  <c r="O1689" i="49"/>
  <c r="S1689" i="49" s="1"/>
  <c r="O1688" i="49"/>
  <c r="S1688" i="49" s="1"/>
  <c r="O1687" i="49"/>
  <c r="S1687" i="49" s="1"/>
  <c r="O1686" i="49"/>
  <c r="S1686" i="49" s="1"/>
  <c r="O1685" i="49"/>
  <c r="S1685" i="49" s="1"/>
  <c r="O1684" i="49"/>
  <c r="S1684" i="49" s="1"/>
  <c r="O1683" i="49"/>
  <c r="S1683" i="49" s="1"/>
  <c r="O1682" i="49"/>
  <c r="S1682" i="49" s="1"/>
  <c r="O1681" i="49"/>
  <c r="S1681" i="49" s="1"/>
  <c r="O1680" i="49"/>
  <c r="S1680" i="49" s="1"/>
  <c r="O1679" i="49"/>
  <c r="S1679" i="49" s="1"/>
  <c r="O1678" i="49"/>
  <c r="S1678" i="49" s="1"/>
  <c r="O1677" i="49"/>
  <c r="S1677" i="49" s="1"/>
  <c r="O1676" i="49"/>
  <c r="S1676" i="49" s="1"/>
  <c r="O1675" i="49"/>
  <c r="S1675" i="49" s="1"/>
  <c r="O1674" i="49"/>
  <c r="S1674" i="49" s="1"/>
  <c r="O1673" i="49"/>
  <c r="S1673" i="49" s="1"/>
  <c r="O1672" i="49"/>
  <c r="S1672" i="49" s="1"/>
  <c r="O1671" i="49"/>
  <c r="S1671" i="49" s="1"/>
  <c r="O1670" i="49"/>
  <c r="S1670" i="49" s="1"/>
  <c r="O1669" i="49"/>
  <c r="S1669" i="49" s="1"/>
  <c r="O1668" i="49"/>
  <c r="S1668" i="49" s="1"/>
  <c r="O1667" i="49"/>
  <c r="S1667" i="49" s="1"/>
  <c r="O1666" i="49"/>
  <c r="S1666" i="49" s="1"/>
  <c r="O1665" i="49"/>
  <c r="S1665" i="49" s="1"/>
  <c r="O1664" i="49"/>
  <c r="S1664" i="49" s="1"/>
  <c r="O1663" i="49"/>
  <c r="S1663" i="49" s="1"/>
  <c r="O1662" i="49"/>
  <c r="S1662" i="49" s="1"/>
  <c r="O1661" i="49"/>
  <c r="S1661" i="49" s="1"/>
  <c r="O1660" i="49"/>
  <c r="S1660" i="49" s="1"/>
  <c r="O1659" i="49"/>
  <c r="S1659" i="49" s="1"/>
  <c r="O1658" i="49"/>
  <c r="S1658" i="49" s="1"/>
  <c r="O1657" i="49"/>
  <c r="S1657" i="49" s="1"/>
  <c r="O1656" i="49"/>
  <c r="S1656" i="49" s="1"/>
  <c r="O1655" i="49"/>
  <c r="S1655" i="49" s="1"/>
  <c r="O1654" i="49"/>
  <c r="S1654" i="49" s="1"/>
  <c r="O1653" i="49"/>
  <c r="S1653" i="49" s="1"/>
  <c r="O1652" i="49"/>
  <c r="S1652" i="49" s="1"/>
  <c r="O1651" i="49"/>
  <c r="S1651" i="49" s="1"/>
  <c r="O1650" i="49"/>
  <c r="S1650" i="49" s="1"/>
  <c r="O1649" i="49"/>
  <c r="S1649" i="49" s="1"/>
  <c r="O1648" i="49"/>
  <c r="S1648" i="49" s="1"/>
  <c r="O1647" i="49"/>
  <c r="S1647" i="49" s="1"/>
  <c r="O1646" i="49"/>
  <c r="S1646" i="49" s="1"/>
  <c r="O1645" i="49"/>
  <c r="S1645" i="49" s="1"/>
  <c r="O1644" i="49"/>
  <c r="S1644" i="49" s="1"/>
  <c r="O1643" i="49"/>
  <c r="S1643" i="49" s="1"/>
  <c r="O1642" i="49"/>
  <c r="S1642" i="49" s="1"/>
  <c r="O1641" i="49"/>
  <c r="S1641" i="49" s="1"/>
  <c r="O1640" i="49"/>
  <c r="S1640" i="49" s="1"/>
  <c r="O1639" i="49"/>
  <c r="S1639" i="49" s="1"/>
  <c r="O1638" i="49"/>
  <c r="S1638" i="49" s="1"/>
  <c r="O1637" i="49"/>
  <c r="S1637" i="49" s="1"/>
  <c r="O1636" i="49"/>
  <c r="S1636" i="49" s="1"/>
  <c r="O1635" i="49"/>
  <c r="S1635" i="49" s="1"/>
  <c r="O1634" i="49"/>
  <c r="S1634" i="49" s="1"/>
  <c r="O1633" i="49"/>
  <c r="S1633" i="49" s="1"/>
  <c r="O1632" i="49"/>
  <c r="S1632" i="49" s="1"/>
  <c r="O1631" i="49"/>
  <c r="S1631" i="49" s="1"/>
  <c r="O1630" i="49"/>
  <c r="S1630" i="49" s="1"/>
  <c r="O1629" i="49"/>
  <c r="S1629" i="49" s="1"/>
  <c r="O1628" i="49"/>
  <c r="S1628" i="49" s="1"/>
  <c r="O1627" i="49"/>
  <c r="S1627" i="49" s="1"/>
  <c r="O1626" i="49"/>
  <c r="S1626" i="49" s="1"/>
  <c r="O1625" i="49"/>
  <c r="S1625" i="49" s="1"/>
  <c r="O1624" i="49"/>
  <c r="S1624" i="49" s="1"/>
  <c r="O1623" i="49"/>
  <c r="S1623" i="49" s="1"/>
  <c r="O1622" i="49"/>
  <c r="S1622" i="49" s="1"/>
  <c r="O1621" i="49"/>
  <c r="S1621" i="49" s="1"/>
  <c r="O1620" i="49"/>
  <c r="S1620" i="49" s="1"/>
  <c r="O1619" i="49"/>
  <c r="S1619" i="49" s="1"/>
  <c r="O1618" i="49"/>
  <c r="S1618" i="49" s="1"/>
  <c r="O1617" i="49"/>
  <c r="S1617" i="49" s="1"/>
  <c r="O1616" i="49"/>
  <c r="S1616" i="49" s="1"/>
  <c r="O1615" i="49"/>
  <c r="S1615" i="49" s="1"/>
  <c r="O1614" i="49"/>
  <c r="S1614" i="49" s="1"/>
  <c r="O1613" i="49"/>
  <c r="O1612" i="49"/>
  <c r="S1612" i="49" s="1"/>
  <c r="O1611" i="49"/>
  <c r="S1611" i="49" s="1"/>
  <c r="O1610" i="49"/>
  <c r="S1610" i="49" s="1"/>
  <c r="O1609" i="49"/>
  <c r="S1609" i="49" s="1"/>
  <c r="O1608" i="49"/>
  <c r="S1608" i="49" s="1"/>
  <c r="O1607" i="49"/>
  <c r="S1607" i="49" s="1"/>
  <c r="O1606" i="49"/>
  <c r="S1606" i="49" s="1"/>
  <c r="O1605" i="49"/>
  <c r="S1605" i="49" s="1"/>
  <c r="O1604" i="49"/>
  <c r="S1604" i="49" s="1"/>
  <c r="O1603" i="49"/>
  <c r="S1603" i="49" s="1"/>
  <c r="O1602" i="49"/>
  <c r="S1602" i="49" s="1"/>
  <c r="O1601" i="49"/>
  <c r="S1601" i="49" s="1"/>
  <c r="O1600" i="49"/>
  <c r="S1600" i="49" s="1"/>
  <c r="O1599" i="49"/>
  <c r="O1598" i="49"/>
  <c r="S1598" i="49" s="1"/>
  <c r="O1597" i="49"/>
  <c r="O1596" i="49"/>
  <c r="S1596" i="49" s="1"/>
  <c r="O1595" i="49"/>
  <c r="S1595" i="49" s="1"/>
  <c r="O1594" i="49"/>
  <c r="S1594" i="49" s="1"/>
  <c r="O1593" i="49"/>
  <c r="S1593" i="49" s="1"/>
  <c r="O1592" i="49"/>
  <c r="S1592" i="49" s="1"/>
  <c r="O1591" i="49"/>
  <c r="S1591" i="49" s="1"/>
  <c r="O1590" i="49"/>
  <c r="S1590" i="49" s="1"/>
  <c r="O1589" i="49"/>
  <c r="S1589" i="49" s="1"/>
  <c r="O1588" i="49"/>
  <c r="O1587" i="49"/>
  <c r="O1586" i="49"/>
  <c r="S1586" i="49" s="1"/>
  <c r="O1585" i="49"/>
  <c r="O1584" i="49"/>
  <c r="S1584" i="49" s="1"/>
  <c r="O1583" i="49"/>
  <c r="O1582" i="49"/>
  <c r="S1582" i="49" s="1"/>
  <c r="O1581" i="49"/>
  <c r="S1581" i="49" s="1"/>
  <c r="O1580" i="49"/>
  <c r="S1580" i="49" s="1"/>
  <c r="O1579" i="49"/>
  <c r="O1578" i="49"/>
  <c r="S1578" i="49" s="1"/>
  <c r="O1577" i="49"/>
  <c r="S1577" i="49" s="1"/>
  <c r="O1576" i="49"/>
  <c r="S1576" i="49" s="1"/>
  <c r="O1575" i="49"/>
  <c r="S1575" i="49" s="1"/>
  <c r="O1574" i="49"/>
  <c r="O1573" i="49"/>
  <c r="S1573" i="49" s="1"/>
  <c r="O1572" i="49"/>
  <c r="O1571" i="49"/>
  <c r="S1571" i="49" s="1"/>
  <c r="O1570" i="49"/>
  <c r="S1570" i="49" s="1"/>
  <c r="O1569" i="49"/>
  <c r="S1569" i="49" s="1"/>
  <c r="O1568" i="49"/>
  <c r="S1568" i="49" s="1"/>
  <c r="O1567" i="49"/>
  <c r="S1567" i="49" s="1"/>
  <c r="O1566" i="49"/>
  <c r="S1566" i="49" s="1"/>
  <c r="O1565" i="49"/>
  <c r="S1565" i="49" s="1"/>
  <c r="O1564" i="49"/>
  <c r="S1564" i="49" s="1"/>
  <c r="O1563" i="49"/>
  <c r="O1562" i="49"/>
  <c r="S1562" i="49" s="1"/>
  <c r="O1561" i="49"/>
  <c r="S1561" i="49" s="1"/>
  <c r="O1560" i="49"/>
  <c r="S1560" i="49" s="1"/>
  <c r="O1559" i="49"/>
  <c r="S1559" i="49" s="1"/>
  <c r="O1558" i="49"/>
  <c r="O1557" i="49"/>
  <c r="S1557" i="49" s="1"/>
  <c r="O1556" i="49"/>
  <c r="S1556" i="49" s="1"/>
  <c r="O1555" i="49"/>
  <c r="S1555" i="49" s="1"/>
  <c r="O1554" i="49"/>
  <c r="S1554" i="49" s="1"/>
  <c r="O1553" i="49"/>
  <c r="S1553" i="49" s="1"/>
  <c r="O1552" i="49"/>
  <c r="S1552" i="49" s="1"/>
  <c r="O1551" i="49"/>
  <c r="S1551" i="49" s="1"/>
  <c r="O1550" i="49"/>
  <c r="S1550" i="49" s="1"/>
  <c r="O1549" i="49"/>
  <c r="O1548" i="49"/>
  <c r="S1548" i="49" s="1"/>
  <c r="O1547" i="49"/>
  <c r="S1547" i="49" s="1"/>
  <c r="O1546" i="49"/>
  <c r="S1546" i="49" s="1"/>
  <c r="O1545" i="49"/>
  <c r="S1545" i="49" s="1"/>
  <c r="O1544" i="49"/>
  <c r="S1544" i="49" s="1"/>
  <c r="O1543" i="49"/>
  <c r="S1543" i="49" s="1"/>
  <c r="O1542" i="49"/>
  <c r="S1542" i="49" s="1"/>
  <c r="O1541" i="49"/>
  <c r="S1541" i="49" s="1"/>
  <c r="O1540" i="49"/>
  <c r="S1540" i="49" s="1"/>
  <c r="O1539" i="49"/>
  <c r="S1539" i="49" s="1"/>
  <c r="O1538" i="49"/>
  <c r="S1538" i="49" s="1"/>
  <c r="O1537" i="49"/>
  <c r="S1537" i="49" s="1"/>
  <c r="O1536" i="49"/>
  <c r="S1536" i="49" s="1"/>
  <c r="O1535" i="49"/>
  <c r="O1534" i="49"/>
  <c r="S1534" i="49" s="1"/>
  <c r="O1533" i="49"/>
  <c r="O1532" i="49"/>
  <c r="S1532" i="49" s="1"/>
  <c r="O1531" i="49"/>
  <c r="O1530" i="49"/>
  <c r="O1529" i="49"/>
  <c r="O1528" i="49"/>
  <c r="O1527" i="49"/>
  <c r="O1526" i="49"/>
  <c r="O1525" i="49"/>
  <c r="O1524" i="49"/>
  <c r="O1523" i="49"/>
  <c r="O1522" i="49"/>
  <c r="O1521" i="49"/>
  <c r="O1520" i="49"/>
  <c r="O1519" i="49"/>
  <c r="O1518" i="49"/>
  <c r="O1517" i="49"/>
  <c r="O1516" i="49"/>
  <c r="O1515" i="49"/>
  <c r="O1514" i="49"/>
  <c r="O1513" i="49"/>
  <c r="O1512" i="49"/>
  <c r="O1511" i="49"/>
  <c r="O1510" i="49"/>
  <c r="O1509" i="49"/>
  <c r="O1508" i="49"/>
  <c r="O1507" i="49"/>
  <c r="O1506" i="49"/>
  <c r="O1505" i="49"/>
  <c r="O1504" i="49"/>
  <c r="O1503" i="49"/>
  <c r="O1502" i="49"/>
  <c r="O1501" i="49"/>
  <c r="O1500" i="49"/>
  <c r="O1499" i="49"/>
  <c r="O1498" i="49"/>
  <c r="O1497" i="49"/>
  <c r="O1496" i="49"/>
  <c r="O1495" i="49"/>
  <c r="O1494" i="49"/>
  <c r="O1493" i="49"/>
  <c r="O1492" i="49"/>
  <c r="O1491" i="49"/>
  <c r="O1490" i="49"/>
  <c r="O1489" i="49"/>
  <c r="O1488" i="49"/>
  <c r="O1487" i="49"/>
  <c r="O1486" i="49"/>
  <c r="O1485" i="49"/>
  <c r="O1484" i="49"/>
  <c r="O1483" i="49"/>
  <c r="O1482" i="49"/>
  <c r="O1481" i="49"/>
  <c r="O1480" i="49"/>
  <c r="O1479" i="49"/>
  <c r="O1478" i="49"/>
  <c r="O1477" i="49"/>
  <c r="O1476" i="49"/>
  <c r="O1475" i="49"/>
  <c r="O1474" i="49"/>
  <c r="O1473" i="49"/>
  <c r="O1472" i="49"/>
  <c r="O1471" i="49"/>
  <c r="O1470" i="49"/>
  <c r="O1469" i="49"/>
  <c r="O1468" i="49"/>
  <c r="O1467" i="49"/>
  <c r="O1466" i="49"/>
  <c r="O1465" i="49"/>
  <c r="O1464" i="49"/>
  <c r="O1463" i="49"/>
  <c r="O1462" i="49"/>
  <c r="O1461" i="49"/>
  <c r="O1460" i="49"/>
  <c r="O1459" i="49"/>
  <c r="O1458" i="49"/>
  <c r="O1457" i="49"/>
  <c r="O1456" i="49"/>
  <c r="O1455" i="49"/>
  <c r="O1454" i="49"/>
  <c r="O1453" i="49"/>
  <c r="O1452" i="49"/>
  <c r="O1451" i="49"/>
  <c r="O1450" i="49"/>
  <c r="O1449" i="49"/>
  <c r="O1448" i="49"/>
  <c r="O1447" i="49"/>
  <c r="O1446" i="49"/>
  <c r="O1445" i="49"/>
  <c r="O1444" i="49"/>
  <c r="O1443" i="49"/>
  <c r="O1442" i="49"/>
  <c r="O1441" i="49"/>
  <c r="O1440" i="49"/>
  <c r="O1439" i="49"/>
  <c r="O1438" i="49"/>
  <c r="O1437" i="49"/>
  <c r="O1436" i="49"/>
  <c r="O1435" i="49"/>
  <c r="O1434" i="49"/>
  <c r="O1433" i="49"/>
  <c r="O1432" i="49"/>
  <c r="O1431" i="49"/>
  <c r="O1430" i="49"/>
  <c r="O1429" i="49"/>
  <c r="O1428" i="49"/>
  <c r="O1427" i="49"/>
  <c r="O1426" i="49"/>
  <c r="O1425" i="49"/>
  <c r="O1424" i="49"/>
  <c r="O1423" i="49"/>
  <c r="O1422" i="49"/>
  <c r="O1421" i="49"/>
  <c r="O1420" i="49"/>
  <c r="O1419" i="49"/>
  <c r="O1418" i="49"/>
  <c r="O1417" i="49"/>
  <c r="O1416" i="49"/>
  <c r="O1415" i="49"/>
  <c r="O1414" i="49"/>
  <c r="O1413" i="49"/>
  <c r="O1412" i="49"/>
  <c r="O1411" i="49"/>
  <c r="O1410" i="49"/>
  <c r="O1409" i="49"/>
  <c r="O1408" i="49"/>
  <c r="O1407" i="49"/>
  <c r="O1406" i="49"/>
  <c r="O1405" i="49"/>
  <c r="O1404" i="49"/>
  <c r="O1403" i="49"/>
  <c r="O1402" i="49"/>
  <c r="O1401" i="49"/>
  <c r="O1400" i="49"/>
  <c r="O1399" i="49"/>
  <c r="O1398" i="49"/>
  <c r="O1397" i="49"/>
  <c r="O1396" i="49"/>
  <c r="O1395" i="49"/>
  <c r="O1394" i="49"/>
  <c r="O1393" i="49"/>
  <c r="O1392" i="49"/>
  <c r="O1391" i="49"/>
  <c r="O1390" i="49"/>
  <c r="O1389" i="49"/>
  <c r="O1388" i="49"/>
  <c r="O1387" i="49"/>
  <c r="O1386" i="49"/>
  <c r="O1385" i="49"/>
  <c r="O1384" i="49"/>
  <c r="O1383" i="49"/>
  <c r="O1382" i="49"/>
  <c r="O1381" i="49"/>
  <c r="O1380" i="49"/>
  <c r="O470" i="49"/>
  <c r="O469" i="49"/>
  <c r="O468" i="49"/>
  <c r="O467" i="49"/>
  <c r="O466" i="49"/>
  <c r="O465" i="49"/>
  <c r="O1370" i="49"/>
  <c r="O1369" i="49"/>
  <c r="O1368" i="49"/>
  <c r="O1367" i="49"/>
  <c r="O1366" i="49"/>
  <c r="O1365" i="49"/>
  <c r="O1364" i="49"/>
  <c r="O1363" i="49"/>
  <c r="O1362" i="49"/>
  <c r="O1361" i="49"/>
  <c r="O1360" i="49"/>
  <c r="O1359" i="49"/>
  <c r="O1358" i="49"/>
  <c r="O1357" i="49"/>
  <c r="O1356" i="49"/>
  <c r="O1355" i="49"/>
  <c r="O1354" i="49"/>
  <c r="O1353" i="49"/>
  <c r="O1352" i="49"/>
  <c r="O1351" i="49"/>
  <c r="O1350" i="49"/>
  <c r="O1349" i="49"/>
  <c r="O1348" i="49"/>
  <c r="O1347" i="49"/>
  <c r="O1346" i="49"/>
  <c r="O1345" i="49"/>
  <c r="O1344" i="49"/>
  <c r="O1343" i="49"/>
  <c r="O1342" i="49"/>
  <c r="O1341" i="49"/>
  <c r="O1340" i="49"/>
  <c r="O1339" i="49"/>
  <c r="O1338" i="49"/>
  <c r="O1337" i="49"/>
  <c r="O1336" i="49"/>
  <c r="O1335" i="49"/>
  <c r="O1334" i="49"/>
  <c r="O1333" i="49"/>
  <c r="O1332" i="49"/>
  <c r="O1331" i="49"/>
  <c r="O1330" i="49"/>
  <c r="O1329" i="49"/>
  <c r="O1328" i="49"/>
  <c r="O1327" i="49"/>
  <c r="O1326" i="49"/>
  <c r="O1325" i="49"/>
  <c r="O1324" i="49"/>
  <c r="O1323" i="49"/>
  <c r="O1322" i="49"/>
  <c r="O1321" i="49"/>
  <c r="O1320" i="49"/>
  <c r="O1319" i="49"/>
  <c r="O1318" i="49"/>
  <c r="O1317" i="49"/>
  <c r="O1316" i="49"/>
  <c r="O1315" i="49"/>
  <c r="O1314" i="49"/>
  <c r="O1313" i="49"/>
  <c r="O1312" i="49"/>
  <c r="O1311" i="49"/>
  <c r="O1310" i="49"/>
  <c r="O1309" i="49"/>
  <c r="O1308" i="49"/>
  <c r="O1307" i="49"/>
  <c r="O1306" i="49"/>
  <c r="O1305" i="49"/>
  <c r="O1304" i="49"/>
  <c r="O1303" i="49"/>
  <c r="O1302" i="49"/>
  <c r="O1301" i="49"/>
  <c r="O1300" i="49"/>
  <c r="O1299" i="49"/>
  <c r="O1298" i="49"/>
  <c r="O1297" i="49"/>
  <c r="O1296" i="49"/>
  <c r="O1295" i="49"/>
  <c r="O1294" i="49"/>
  <c r="O1293" i="49"/>
  <c r="O1292" i="49"/>
  <c r="O1291" i="49"/>
  <c r="O1290" i="49"/>
  <c r="O1289" i="49"/>
  <c r="O1288" i="49"/>
  <c r="O1287" i="49"/>
  <c r="O1286" i="49"/>
  <c r="O1285" i="49"/>
  <c r="O1284" i="49"/>
  <c r="O1283" i="49"/>
  <c r="O1282" i="49"/>
  <c r="O1281" i="49"/>
  <c r="O1280" i="49"/>
  <c r="O1279" i="49"/>
  <c r="O1278" i="49"/>
  <c r="O1277" i="49"/>
  <c r="O1276" i="49"/>
  <c r="O1275" i="49"/>
  <c r="O1274" i="49"/>
  <c r="O1273" i="49"/>
  <c r="O1272" i="49"/>
  <c r="O1271" i="49"/>
  <c r="O1270" i="49"/>
  <c r="O1269" i="49"/>
  <c r="O1268" i="49"/>
  <c r="O1267" i="49"/>
  <c r="O1266" i="49"/>
  <c r="O1265" i="49"/>
  <c r="O1264" i="49"/>
  <c r="O1263" i="49"/>
  <c r="O1262" i="49"/>
  <c r="O1261" i="49"/>
  <c r="O1260" i="49"/>
  <c r="O1259" i="49"/>
  <c r="O1258" i="49"/>
  <c r="O1257" i="49"/>
  <c r="O1256" i="49"/>
  <c r="O1255" i="49"/>
  <c r="O1254" i="49"/>
  <c r="O1253" i="49"/>
  <c r="O1252" i="49"/>
  <c r="O1251" i="49"/>
  <c r="O1250" i="49"/>
  <c r="O1249" i="49"/>
  <c r="O1248" i="49"/>
  <c r="O1247" i="49"/>
  <c r="O1246" i="49"/>
  <c r="O1245" i="49"/>
  <c r="O1244" i="49"/>
  <c r="O1243" i="49"/>
  <c r="O1242" i="49"/>
  <c r="O1241" i="49"/>
  <c r="O1240" i="49"/>
  <c r="O1239" i="49"/>
  <c r="O1238" i="49"/>
  <c r="O1237" i="49"/>
  <c r="O1236" i="49"/>
  <c r="O1235" i="49"/>
  <c r="O1234" i="49"/>
  <c r="O1233" i="49"/>
  <c r="O1232" i="49"/>
  <c r="O1231" i="49"/>
  <c r="O1230" i="49"/>
  <c r="O1229" i="49"/>
  <c r="O1228" i="49"/>
  <c r="O1227" i="49"/>
  <c r="O1226" i="49"/>
  <c r="O1225" i="49"/>
  <c r="O1224" i="49"/>
  <c r="O1223" i="49"/>
  <c r="O1222" i="49"/>
  <c r="O1221" i="49"/>
  <c r="O1220" i="49"/>
  <c r="O1219" i="49"/>
  <c r="O1218" i="49"/>
  <c r="O1217" i="49"/>
  <c r="O1216" i="49"/>
  <c r="O1215" i="49"/>
  <c r="O1214" i="49"/>
  <c r="O1213" i="49"/>
  <c r="O1212" i="49"/>
  <c r="O1211" i="49"/>
  <c r="O1210" i="49"/>
  <c r="O1209" i="49"/>
  <c r="O1208" i="49"/>
  <c r="O1207" i="49"/>
  <c r="O1206" i="49"/>
  <c r="O1205" i="49"/>
  <c r="O1204" i="49"/>
  <c r="O1203" i="49"/>
  <c r="O1202" i="49"/>
  <c r="O1201" i="49"/>
  <c r="O1200" i="49"/>
  <c r="O1199" i="49"/>
  <c r="O1198" i="49"/>
  <c r="O1197" i="49"/>
  <c r="O1196" i="49"/>
  <c r="O1195" i="49"/>
  <c r="O1194" i="49"/>
  <c r="O1193" i="49"/>
  <c r="O1192" i="49"/>
  <c r="O1191" i="49"/>
  <c r="O1190" i="49"/>
  <c r="O1189" i="49"/>
  <c r="O1188" i="49"/>
  <c r="O1187" i="49"/>
  <c r="O1186" i="49"/>
  <c r="O1185" i="49"/>
  <c r="O1184" i="49"/>
  <c r="O1183" i="49"/>
  <c r="O1182" i="49"/>
  <c r="O1181" i="49"/>
  <c r="O1180" i="49"/>
  <c r="O1179" i="49"/>
  <c r="O1178" i="49"/>
  <c r="O1177" i="49"/>
  <c r="O1176" i="49"/>
  <c r="O1175" i="49"/>
  <c r="O1174" i="49"/>
  <c r="O1173" i="49"/>
  <c r="O1172" i="49"/>
  <c r="O1171" i="49"/>
  <c r="O1170" i="49"/>
  <c r="O1169" i="49"/>
  <c r="O1168" i="49"/>
  <c r="O1167" i="49"/>
  <c r="O1166" i="49"/>
  <c r="O1165" i="49"/>
  <c r="O1164" i="49"/>
  <c r="O1163" i="49"/>
  <c r="O1162" i="49"/>
  <c r="O1161" i="49"/>
  <c r="O1160" i="49"/>
  <c r="O1159" i="49"/>
  <c r="O1158" i="49"/>
  <c r="O1157" i="49"/>
  <c r="O1156" i="49"/>
  <c r="O1155" i="49"/>
  <c r="O1154" i="49"/>
  <c r="O1153" i="49"/>
  <c r="O1152" i="49"/>
  <c r="O1151" i="49"/>
  <c r="O1150" i="49"/>
  <c r="O1149" i="49"/>
  <c r="O1148" i="49"/>
  <c r="O1147" i="49"/>
  <c r="O1146" i="49"/>
  <c r="O1145" i="49"/>
  <c r="O1144" i="49"/>
  <c r="O1143" i="49"/>
  <c r="O1142" i="49"/>
  <c r="O1141" i="49"/>
  <c r="O1140" i="49"/>
  <c r="O1139" i="49"/>
  <c r="O1138" i="49"/>
  <c r="O1137" i="49"/>
  <c r="O1136" i="49"/>
  <c r="O1135" i="49"/>
  <c r="O1134" i="49"/>
  <c r="O1133" i="49"/>
  <c r="O1132" i="49"/>
  <c r="O1131" i="49"/>
  <c r="O1130" i="49"/>
  <c r="O1129" i="49"/>
  <c r="O1128" i="49"/>
  <c r="O1127" i="49"/>
  <c r="O1126" i="49"/>
  <c r="O1125" i="49"/>
  <c r="O1124" i="49"/>
  <c r="O1123" i="49"/>
  <c r="O1122" i="49"/>
  <c r="O1121" i="49"/>
  <c r="O1120" i="49"/>
  <c r="O1119" i="49"/>
  <c r="O1118" i="49"/>
  <c r="O1117" i="49"/>
  <c r="O1116" i="49"/>
  <c r="O1115" i="49"/>
  <c r="O1114" i="49"/>
  <c r="O1113" i="49"/>
  <c r="O1112" i="49"/>
  <c r="O1111" i="49"/>
  <c r="O1110" i="49"/>
  <c r="O1109" i="49"/>
  <c r="O1108" i="49"/>
  <c r="O1107" i="49"/>
  <c r="O1106" i="49"/>
  <c r="O1105" i="49"/>
  <c r="O1104" i="49"/>
  <c r="O1103" i="49"/>
  <c r="O1102" i="49"/>
  <c r="O1101" i="49"/>
  <c r="O1100" i="49"/>
  <c r="O1099" i="49"/>
  <c r="O1098" i="49"/>
  <c r="O1097" i="49"/>
  <c r="O1096" i="49"/>
  <c r="O1095" i="49"/>
  <c r="O1094" i="49"/>
  <c r="O1093" i="49"/>
  <c r="O1092" i="49"/>
  <c r="O1091" i="49"/>
  <c r="O1090" i="49"/>
  <c r="O1089" i="49"/>
  <c r="O1088" i="49"/>
  <c r="O1087" i="49"/>
  <c r="O1086" i="49"/>
  <c r="O1085" i="49"/>
  <c r="O1084" i="49"/>
  <c r="O1083" i="49"/>
  <c r="O1082" i="49"/>
  <c r="O1081" i="49"/>
  <c r="O1080" i="49"/>
  <c r="O1079" i="49"/>
  <c r="O1078" i="49"/>
  <c r="O1077" i="49"/>
  <c r="O1076" i="49"/>
  <c r="O1075" i="49"/>
  <c r="O1074" i="49"/>
  <c r="O1073" i="49"/>
  <c r="O1072" i="49"/>
  <c r="O1071" i="49"/>
  <c r="O1070" i="49"/>
  <c r="O1069" i="49"/>
  <c r="O1068" i="49"/>
  <c r="O1067" i="49"/>
  <c r="O1066" i="49"/>
  <c r="O1065" i="49"/>
  <c r="O1064" i="49"/>
  <c r="O1063" i="49"/>
  <c r="O1062" i="49"/>
  <c r="O1061" i="49"/>
  <c r="O1060" i="49"/>
  <c r="O1059" i="49"/>
  <c r="O1058" i="49"/>
  <c r="O1057" i="49"/>
  <c r="O1056" i="49"/>
  <c r="O1055" i="49"/>
  <c r="O1054" i="49"/>
  <c r="O1053" i="49"/>
  <c r="O1052" i="49"/>
  <c r="O1051" i="49"/>
  <c r="O1050" i="49"/>
  <c r="O1049" i="49"/>
  <c r="O1048" i="49"/>
  <c r="O1047" i="49"/>
  <c r="O1046" i="49"/>
  <c r="O1045" i="49"/>
  <c r="O1044" i="49"/>
  <c r="O1043" i="49"/>
  <c r="O1042" i="49"/>
  <c r="O1041" i="49"/>
  <c r="O1040" i="49"/>
  <c r="O1039" i="49"/>
  <c r="O1038" i="49"/>
  <c r="O1037" i="49"/>
  <c r="O1036" i="49"/>
  <c r="O1035" i="49"/>
  <c r="O1034" i="49"/>
  <c r="O1033" i="49"/>
  <c r="O1032" i="49"/>
  <c r="O1031" i="49"/>
  <c r="O1030" i="49"/>
  <c r="O1029" i="49"/>
  <c r="O1028" i="49"/>
  <c r="O1027" i="49"/>
  <c r="O1026" i="49"/>
  <c r="O1025" i="49"/>
  <c r="O1024" i="49"/>
  <c r="O1023" i="49"/>
  <c r="O1022" i="49"/>
  <c r="O1021" i="49"/>
  <c r="O1020" i="49"/>
  <c r="O1019" i="49"/>
  <c r="O1018" i="49"/>
  <c r="O1017" i="49"/>
  <c r="O1016" i="49"/>
  <c r="O1015" i="49"/>
  <c r="O1014" i="49"/>
  <c r="O1013" i="49"/>
  <c r="O1012" i="49"/>
  <c r="O1011" i="49"/>
  <c r="O1010" i="49"/>
  <c r="O1009" i="49"/>
  <c r="O1008" i="49"/>
  <c r="O1007" i="49"/>
  <c r="O1006" i="49"/>
  <c r="O1005" i="49"/>
  <c r="O1004" i="49"/>
  <c r="O1003" i="49"/>
  <c r="O1002" i="49"/>
  <c r="O1001" i="49"/>
  <c r="O1000" i="49"/>
  <c r="O999" i="49"/>
  <c r="O998" i="49"/>
  <c r="O997" i="49"/>
  <c r="O996" i="49"/>
  <c r="O995" i="49"/>
  <c r="O994" i="49"/>
  <c r="O993" i="49"/>
  <c r="O992" i="49"/>
  <c r="O991" i="49"/>
  <c r="O990" i="49"/>
  <c r="O989" i="49"/>
  <c r="O988" i="49"/>
  <c r="O987" i="49"/>
  <c r="O986" i="49"/>
  <c r="O985" i="49"/>
  <c r="O984" i="49"/>
  <c r="O983" i="49"/>
  <c r="O982" i="49"/>
  <c r="O981" i="49"/>
  <c r="O980" i="49"/>
  <c r="O979" i="49"/>
  <c r="O978" i="49"/>
  <c r="O977" i="49"/>
  <c r="O976" i="49"/>
  <c r="O975" i="49"/>
  <c r="O974" i="49"/>
  <c r="O973" i="49"/>
  <c r="O972" i="49"/>
  <c r="O971" i="49"/>
  <c r="O970" i="49"/>
  <c r="O969" i="49"/>
  <c r="O968" i="49"/>
  <c r="O967" i="49"/>
  <c r="O966" i="49"/>
  <c r="O965" i="49"/>
  <c r="O964" i="49"/>
  <c r="O963" i="49"/>
  <c r="O962" i="49"/>
  <c r="O961" i="49"/>
  <c r="O960" i="49"/>
  <c r="O959" i="49"/>
  <c r="O958" i="49"/>
  <c r="O957" i="49"/>
  <c r="O956" i="49"/>
  <c r="O955" i="49"/>
  <c r="O954" i="49"/>
  <c r="O953" i="49"/>
  <c r="O952" i="49"/>
  <c r="O951" i="49"/>
  <c r="O950" i="49"/>
  <c r="O949" i="49"/>
  <c r="O948" i="49"/>
  <c r="O947" i="49"/>
  <c r="O946" i="49"/>
  <c r="O945" i="49"/>
  <c r="O944" i="49"/>
  <c r="O943" i="49"/>
  <c r="O942" i="49"/>
  <c r="O941" i="49"/>
  <c r="O940" i="49"/>
  <c r="O939" i="49"/>
  <c r="O938" i="49"/>
  <c r="O937" i="49"/>
  <c r="O936" i="49"/>
  <c r="O935" i="49"/>
  <c r="O934" i="49"/>
  <c r="O933" i="49"/>
  <c r="O932" i="49"/>
  <c r="O931" i="49"/>
  <c r="O930" i="49"/>
  <c r="O929" i="49"/>
  <c r="O928" i="49"/>
  <c r="O927" i="49"/>
  <c r="O926" i="49"/>
  <c r="O925" i="49"/>
  <c r="O924" i="49"/>
  <c r="O923" i="49"/>
  <c r="O922" i="49"/>
  <c r="O921" i="49"/>
  <c r="O920" i="49"/>
  <c r="O919" i="49"/>
  <c r="O918" i="49"/>
  <c r="O917" i="49"/>
  <c r="O916" i="49"/>
  <c r="O915" i="49"/>
  <c r="O914" i="49"/>
  <c r="O913" i="49"/>
  <c r="O912" i="49"/>
  <c r="O911" i="49"/>
  <c r="O910" i="49"/>
  <c r="O909" i="49"/>
  <c r="O908" i="49"/>
  <c r="O907" i="49"/>
  <c r="O906" i="49"/>
  <c r="O905" i="49"/>
  <c r="O904" i="49"/>
  <c r="O903" i="49"/>
  <c r="O902" i="49"/>
  <c r="O901" i="49"/>
  <c r="O900" i="49"/>
  <c r="O899" i="49"/>
  <c r="O898" i="49"/>
  <c r="O897" i="49"/>
  <c r="O896" i="49"/>
  <c r="O895" i="49"/>
  <c r="O894" i="49"/>
  <c r="O893" i="49"/>
  <c r="O892" i="49"/>
  <c r="O891" i="49"/>
  <c r="O890" i="49"/>
  <c r="O889" i="49"/>
  <c r="O888" i="49"/>
  <c r="O887" i="49"/>
  <c r="O886" i="49"/>
  <c r="O885" i="49"/>
  <c r="O884" i="49"/>
  <c r="O883" i="49"/>
  <c r="O882" i="49"/>
  <c r="O881" i="49"/>
  <c r="O880" i="49"/>
  <c r="O879" i="49"/>
  <c r="O878" i="49"/>
  <c r="O877" i="49"/>
  <c r="O876" i="49"/>
  <c r="O875" i="49"/>
  <c r="O874" i="49"/>
  <c r="O873" i="49"/>
  <c r="O872" i="49"/>
  <c r="O871" i="49"/>
  <c r="O870" i="49"/>
  <c r="O869" i="49"/>
  <c r="O868" i="49"/>
  <c r="O867" i="49"/>
  <c r="O866" i="49"/>
  <c r="O865" i="49"/>
  <c r="O864" i="49"/>
  <c r="O863" i="49"/>
  <c r="O862" i="49"/>
  <c r="O861" i="49"/>
  <c r="O860" i="49"/>
  <c r="O859" i="49"/>
  <c r="O858" i="49"/>
  <c r="O857" i="49"/>
  <c r="O856" i="49"/>
  <c r="O855" i="49"/>
  <c r="O854" i="49"/>
  <c r="O853" i="49"/>
  <c r="O852" i="49"/>
  <c r="O851" i="49"/>
  <c r="O850" i="49"/>
  <c r="O849" i="49"/>
  <c r="O848" i="49"/>
  <c r="O847" i="49"/>
  <c r="O846" i="49"/>
  <c r="O845" i="49"/>
  <c r="O844" i="49"/>
  <c r="O843" i="49"/>
  <c r="O842" i="49"/>
  <c r="O841" i="49"/>
  <c r="O840" i="49"/>
  <c r="O839" i="49"/>
  <c r="O838" i="49"/>
  <c r="O837" i="49"/>
  <c r="O836" i="49"/>
  <c r="O835" i="49"/>
  <c r="O834" i="49"/>
  <c r="O833" i="49"/>
  <c r="O832" i="49"/>
  <c r="O831" i="49"/>
  <c r="O830" i="49"/>
  <c r="O829" i="49"/>
  <c r="O828" i="49"/>
  <c r="O827" i="49"/>
  <c r="O826" i="49"/>
  <c r="O825" i="49"/>
  <c r="O824" i="49"/>
  <c r="O823" i="49"/>
  <c r="O822" i="49"/>
  <c r="O821" i="49"/>
  <c r="O820" i="49"/>
  <c r="O819" i="49"/>
  <c r="O818" i="49"/>
  <c r="O817" i="49"/>
  <c r="O816" i="49"/>
  <c r="O815" i="49"/>
  <c r="O814" i="49"/>
  <c r="O813" i="49"/>
  <c r="O812" i="49"/>
  <c r="O811" i="49"/>
  <c r="O810" i="49"/>
  <c r="O809" i="49"/>
  <c r="O808" i="49"/>
  <c r="O807" i="49"/>
  <c r="O806" i="49"/>
  <c r="O805" i="49"/>
  <c r="O804" i="49"/>
  <c r="O803" i="49"/>
  <c r="O802" i="49"/>
  <c r="O801" i="49"/>
  <c r="O800" i="49"/>
  <c r="O799" i="49"/>
  <c r="O798" i="49"/>
  <c r="O797" i="49"/>
  <c r="O796" i="49"/>
  <c r="O795" i="49"/>
  <c r="O794" i="49"/>
  <c r="O793" i="49"/>
  <c r="O792" i="49"/>
  <c r="O791" i="49"/>
  <c r="O790" i="49"/>
  <c r="O789" i="49"/>
  <c r="O788" i="49"/>
  <c r="O787" i="49"/>
  <c r="O786" i="49"/>
  <c r="O785" i="49"/>
  <c r="O784" i="49"/>
  <c r="O783" i="49"/>
  <c r="O782" i="49"/>
  <c r="O781" i="49"/>
  <c r="O780" i="49"/>
  <c r="O779" i="49"/>
  <c r="O778" i="49"/>
  <c r="O777" i="49"/>
  <c r="O776" i="49"/>
  <c r="O775" i="49"/>
  <c r="O774" i="49"/>
  <c r="O773" i="49"/>
  <c r="O772" i="49"/>
  <c r="O771" i="49"/>
  <c r="O770" i="49"/>
  <c r="O769" i="49"/>
  <c r="O768" i="49"/>
  <c r="O767" i="49"/>
  <c r="O766" i="49"/>
  <c r="O765" i="49"/>
  <c r="O764" i="49"/>
  <c r="O763" i="49"/>
  <c r="O762" i="49"/>
  <c r="O761" i="49"/>
  <c r="O760" i="49"/>
  <c r="O759" i="49"/>
  <c r="O758" i="49"/>
  <c r="O757" i="49"/>
  <c r="O756" i="49"/>
  <c r="O755" i="49"/>
  <c r="O754" i="49"/>
  <c r="O753" i="49"/>
  <c r="O752" i="49"/>
  <c r="O751" i="49"/>
  <c r="O750" i="49"/>
  <c r="O749" i="49"/>
  <c r="O748" i="49"/>
  <c r="O747" i="49"/>
  <c r="O746" i="49"/>
  <c r="O745" i="49"/>
  <c r="O744" i="49"/>
  <c r="O743" i="49"/>
  <c r="O742" i="49"/>
  <c r="O741" i="49"/>
  <c r="O740" i="49"/>
  <c r="O739" i="49"/>
  <c r="O738" i="49"/>
  <c r="O737" i="49"/>
  <c r="O736" i="49"/>
  <c r="O735" i="49"/>
  <c r="O734" i="49"/>
  <c r="O733" i="49"/>
  <c r="O732" i="49"/>
  <c r="O731" i="49"/>
  <c r="O730" i="49"/>
  <c r="O729" i="49"/>
  <c r="O728" i="49"/>
  <c r="O727" i="49"/>
  <c r="O726" i="49"/>
  <c r="O725" i="49"/>
  <c r="O724" i="49"/>
  <c r="O723" i="49"/>
  <c r="O722" i="49"/>
  <c r="O721" i="49"/>
  <c r="O720" i="49"/>
  <c r="O719" i="49"/>
  <c r="O718" i="49"/>
  <c r="O717" i="49"/>
  <c r="O716" i="49"/>
  <c r="O715" i="49"/>
  <c r="O714" i="49"/>
  <c r="O713" i="49"/>
  <c r="O712" i="49"/>
  <c r="O711" i="49"/>
  <c r="O710" i="49"/>
  <c r="O709" i="49"/>
  <c r="O708" i="49"/>
  <c r="O707" i="49"/>
  <c r="O706" i="49"/>
  <c r="O705" i="49"/>
  <c r="O704" i="49"/>
  <c r="O703" i="49"/>
  <c r="O702" i="49"/>
  <c r="O701" i="49"/>
  <c r="O700" i="49"/>
  <c r="O699" i="49"/>
  <c r="O698" i="49"/>
  <c r="O697" i="49"/>
  <c r="O696" i="49"/>
  <c r="O695" i="49"/>
  <c r="O694" i="49"/>
  <c r="O693" i="49"/>
  <c r="O692" i="49"/>
  <c r="O691" i="49"/>
  <c r="O690" i="49"/>
  <c r="O689" i="49"/>
  <c r="O688" i="49"/>
  <c r="O687" i="49"/>
  <c r="O686" i="49"/>
  <c r="O685" i="49"/>
  <c r="O684" i="49"/>
  <c r="O683" i="49"/>
  <c r="O682" i="49"/>
  <c r="O681" i="49"/>
  <c r="O680" i="49"/>
  <c r="O679" i="49"/>
  <c r="O678" i="49"/>
  <c r="O677" i="49"/>
  <c r="O676" i="49"/>
  <c r="O675" i="49"/>
  <c r="O674" i="49"/>
  <c r="O673" i="49"/>
  <c r="O672" i="49"/>
  <c r="O671" i="49"/>
  <c r="O670" i="49"/>
  <c r="O669" i="49"/>
  <c r="O668" i="49"/>
  <c r="O667" i="49"/>
  <c r="O666" i="49"/>
  <c r="O665" i="49"/>
  <c r="O664" i="49"/>
  <c r="O663" i="49"/>
  <c r="O662" i="49"/>
  <c r="O661" i="49"/>
  <c r="O660" i="49"/>
  <c r="O659" i="49"/>
  <c r="O658" i="49"/>
  <c r="O657" i="49"/>
  <c r="O656" i="49"/>
  <c r="O655" i="49"/>
  <c r="O654" i="49"/>
  <c r="O653" i="49"/>
  <c r="O652" i="49"/>
  <c r="O651" i="49"/>
  <c r="O650" i="49"/>
  <c r="O649" i="49"/>
  <c r="O648" i="49"/>
  <c r="O647" i="49"/>
  <c r="O646" i="49"/>
  <c r="O645" i="49"/>
  <c r="O644" i="49"/>
  <c r="O643" i="49"/>
  <c r="O642" i="49"/>
  <c r="O641" i="49"/>
  <c r="O640" i="49"/>
  <c r="O639" i="49"/>
  <c r="O638" i="49"/>
  <c r="O637" i="49"/>
  <c r="O636" i="49"/>
  <c r="O635" i="49"/>
  <c r="O634" i="49"/>
  <c r="O633" i="49"/>
  <c r="O632" i="49"/>
  <c r="O631" i="49"/>
  <c r="O630" i="49"/>
  <c r="O629" i="49"/>
  <c r="O628" i="49"/>
  <c r="O627" i="49"/>
  <c r="O626" i="49"/>
  <c r="O625" i="49"/>
  <c r="O624" i="49"/>
  <c r="O623" i="49"/>
  <c r="O622" i="49"/>
  <c r="O621" i="49"/>
  <c r="O620" i="49"/>
  <c r="O619" i="49"/>
  <c r="O618" i="49"/>
  <c r="O617" i="49"/>
  <c r="O616" i="49"/>
  <c r="O615" i="49"/>
  <c r="O614" i="49"/>
  <c r="O613" i="49"/>
  <c r="O612" i="49"/>
  <c r="O611" i="49"/>
  <c r="O610" i="49"/>
  <c r="O609" i="49"/>
  <c r="O608" i="49"/>
  <c r="O607" i="49"/>
  <c r="O606" i="49"/>
  <c r="O605" i="49"/>
  <c r="O604" i="49"/>
  <c r="O603" i="49"/>
  <c r="O602" i="49"/>
  <c r="O601" i="49"/>
  <c r="O600" i="49"/>
  <c r="O599" i="49"/>
  <c r="O598" i="49"/>
  <c r="O597" i="49"/>
  <c r="O596" i="49"/>
  <c r="O595" i="49"/>
  <c r="O594" i="49"/>
  <c r="O593" i="49"/>
  <c r="O592" i="49"/>
  <c r="O591" i="49"/>
  <c r="O590" i="49"/>
  <c r="O589" i="49"/>
  <c r="O588" i="49"/>
  <c r="O587" i="49"/>
  <c r="O586" i="49"/>
  <c r="O585" i="49"/>
  <c r="O584" i="49"/>
  <c r="O583" i="49"/>
  <c r="O582" i="49"/>
  <c r="O581" i="49"/>
  <c r="O580" i="49"/>
  <c r="O579" i="49"/>
  <c r="O578" i="49"/>
  <c r="O577" i="49"/>
  <c r="O576" i="49"/>
  <c r="O575" i="49"/>
  <c r="O574" i="49"/>
  <c r="O573" i="49"/>
  <c r="O572" i="49"/>
  <c r="O571" i="49"/>
  <c r="O570" i="49"/>
  <c r="O569" i="49"/>
  <c r="O568" i="49"/>
  <c r="O567" i="49"/>
  <c r="O566" i="49"/>
  <c r="O565" i="49"/>
  <c r="O564" i="49"/>
  <c r="O563" i="49"/>
  <c r="O562" i="49"/>
  <c r="O561" i="49"/>
  <c r="O560" i="49"/>
  <c r="O559" i="49"/>
  <c r="O558" i="49"/>
  <c r="O557" i="49"/>
  <c r="O556" i="49"/>
  <c r="O555" i="49"/>
  <c r="O554" i="49"/>
  <c r="O553" i="49"/>
  <c r="O552" i="49"/>
  <c r="O551" i="49"/>
  <c r="O550" i="49"/>
  <c r="O549" i="49"/>
  <c r="O548" i="49"/>
  <c r="O547" i="49"/>
  <c r="O546" i="49"/>
  <c r="O545" i="49"/>
  <c r="O544" i="49"/>
  <c r="O543" i="49"/>
  <c r="O542" i="49"/>
  <c r="O541" i="49"/>
  <c r="O540" i="49"/>
  <c r="O539" i="49"/>
  <c r="O538" i="49"/>
  <c r="O537" i="49"/>
  <c r="O536" i="49"/>
  <c r="O535" i="49"/>
  <c r="O534" i="49"/>
  <c r="O533" i="49"/>
  <c r="O532" i="49"/>
  <c r="O531" i="49"/>
  <c r="O530" i="49"/>
  <c r="O529" i="49"/>
  <c r="O528" i="49"/>
  <c r="O527" i="49"/>
  <c r="O526" i="49"/>
  <c r="O525" i="49"/>
  <c r="O524" i="49"/>
  <c r="O515" i="49"/>
  <c r="O514" i="49"/>
  <c r="O513" i="49"/>
  <c r="O512" i="49"/>
  <c r="O511" i="49"/>
  <c r="O510" i="49"/>
  <c r="O509" i="49"/>
  <c r="O508" i="49"/>
  <c r="O507" i="49"/>
  <c r="O506" i="49"/>
  <c r="O505" i="49"/>
  <c r="O504" i="49"/>
  <c r="O503" i="49"/>
  <c r="O502" i="49"/>
  <c r="O501" i="49"/>
  <c r="O500" i="49"/>
  <c r="O499" i="49"/>
  <c r="O498" i="49"/>
  <c r="O497" i="49"/>
  <c r="O496" i="49"/>
  <c r="O495" i="49"/>
  <c r="O494" i="49"/>
  <c r="O493" i="49"/>
  <c r="O492" i="49"/>
  <c r="O491" i="49"/>
  <c r="O490" i="49"/>
  <c r="O489" i="49"/>
  <c r="O488" i="49"/>
  <c r="O487" i="49"/>
  <c r="O486" i="49"/>
  <c r="O485" i="49"/>
  <c r="O484" i="49"/>
  <c r="O483" i="49"/>
  <c r="O482" i="49"/>
  <c r="O481" i="49"/>
  <c r="O480" i="49"/>
  <c r="O479" i="49"/>
  <c r="O478" i="49"/>
  <c r="O477" i="49"/>
  <c r="O476" i="49"/>
  <c r="S476" i="49" s="1"/>
  <c r="O475" i="49"/>
  <c r="O474" i="49"/>
  <c r="O473" i="49"/>
  <c r="O472" i="49"/>
  <c r="O471" i="49"/>
  <c r="O10" i="49"/>
  <c r="S10" i="49" s="1"/>
  <c r="P1" i="54"/>
  <c r="S1" i="54" s="1"/>
  <c r="A727" i="54" a="1"/>
  <c r="A727" i="54" s="1"/>
  <c r="A620" i="54" a="1"/>
  <c r="A620" i="54" s="1"/>
  <c r="A583" i="54" a="1"/>
  <c r="A583" i="54" s="1"/>
  <c r="B935" i="54" a="1"/>
  <c r="B935" i="54" s="1"/>
  <c r="B927" i="54" a="1"/>
  <c r="B927" i="54" s="1"/>
  <c r="B919" i="54" a="1"/>
  <c r="B919" i="54" s="1"/>
  <c r="B911" i="54" a="1"/>
  <c r="B911" i="54" s="1"/>
  <c r="B903" i="54" a="1"/>
  <c r="B903" i="54" s="1"/>
  <c r="B895" i="54" a="1"/>
  <c r="B895" i="54" s="1"/>
  <c r="B887" i="54" a="1"/>
  <c r="B887" i="54" s="1"/>
  <c r="B879" i="54" a="1"/>
  <c r="B879" i="54" s="1"/>
  <c r="B871" i="54" a="1"/>
  <c r="B871" i="54" s="1"/>
  <c r="B863" i="54" a="1"/>
  <c r="B863" i="54" s="1"/>
  <c r="B855" i="54" a="1"/>
  <c r="B855" i="54" s="1"/>
  <c r="B847" i="54" a="1"/>
  <c r="B847" i="54" s="1"/>
  <c r="B839" i="54" a="1"/>
  <c r="B839" i="54" s="1"/>
  <c r="B831" i="54" a="1"/>
  <c r="B831" i="54" s="1"/>
  <c r="B823" i="54" a="1"/>
  <c r="B823" i="54" s="1"/>
  <c r="B820" i="54" a="1"/>
  <c r="B820" i="54" s="1"/>
  <c r="B815" i="54" a="1"/>
  <c r="B815" i="54" s="1"/>
  <c r="B813" i="54" a="1"/>
  <c r="B813" i="54" s="1"/>
  <c r="B812" i="54" a="1"/>
  <c r="B812" i="54" s="1"/>
  <c r="B810" i="54" a="1"/>
  <c r="B810" i="54" s="1"/>
  <c r="B809" i="54" a="1"/>
  <c r="B809" i="54" s="1"/>
  <c r="B808" i="54" a="1"/>
  <c r="B808" i="54" s="1"/>
  <c r="B807" i="54" a="1"/>
  <c r="B807" i="54" s="1"/>
  <c r="B806" i="54" a="1"/>
  <c r="B806" i="54" s="1"/>
  <c r="B805" i="54" a="1"/>
  <c r="B805" i="54" s="1"/>
  <c r="B804" i="54" a="1"/>
  <c r="B804" i="54" s="1"/>
  <c r="B802" i="54" a="1"/>
  <c r="B802" i="54" s="1"/>
  <c r="B801" i="54" a="1"/>
  <c r="B801" i="54" s="1"/>
  <c r="B800" i="54" a="1"/>
  <c r="B800" i="54" s="1"/>
  <c r="B799" i="54" a="1"/>
  <c r="B799" i="54" s="1"/>
  <c r="B798" i="54" a="1"/>
  <c r="B798" i="54" s="1"/>
  <c r="B797" i="54" a="1"/>
  <c r="B797" i="54" s="1"/>
  <c r="B796" i="54" a="1"/>
  <c r="B796" i="54" s="1"/>
  <c r="B795" i="54" a="1"/>
  <c r="B795" i="54" s="1"/>
  <c r="B794" i="54" a="1"/>
  <c r="B794" i="54" s="1"/>
  <c r="B793" i="54" a="1"/>
  <c r="B793" i="54" s="1"/>
  <c r="B792" i="54" a="1"/>
  <c r="B792" i="54" s="1"/>
  <c r="B791" i="54" a="1"/>
  <c r="B791" i="54" s="1"/>
  <c r="B790" i="54" a="1"/>
  <c r="B790" i="54" s="1"/>
  <c r="B789" i="54" a="1"/>
  <c r="B789" i="54" s="1"/>
  <c r="Q721" i="49"/>
  <c r="Q720" i="49"/>
  <c r="Q719" i="49"/>
  <c r="Q718" i="49"/>
  <c r="Q717" i="49"/>
  <c r="Q716" i="49"/>
  <c r="Q715" i="49"/>
  <c r="Q714" i="49"/>
  <c r="Q713" i="49"/>
  <c r="Q712" i="49"/>
  <c r="Q711" i="49"/>
  <c r="Q710" i="49"/>
  <c r="Q709" i="49"/>
  <c r="Q708" i="49"/>
  <c r="Q707" i="49"/>
  <c r="Q706" i="49"/>
  <c r="Q705" i="49"/>
  <c r="Q704" i="49"/>
  <c r="Q703" i="49"/>
  <c r="Q702" i="49"/>
  <c r="Q701" i="49"/>
  <c r="Q700" i="49"/>
  <c r="Q699" i="49"/>
  <c r="Q698" i="49"/>
  <c r="Q697" i="49"/>
  <c r="Q696" i="49"/>
  <c r="Q695" i="49"/>
  <c r="Q694" i="49"/>
  <c r="Q693" i="49"/>
  <c r="Q692" i="49"/>
  <c r="Q691" i="49"/>
  <c r="Q690" i="49"/>
  <c r="Q689" i="49"/>
  <c r="Q688" i="49"/>
  <c r="Q687" i="49"/>
  <c r="Q686" i="49"/>
  <c r="Q685" i="49"/>
  <c r="Q684" i="49"/>
  <c r="Q683" i="49"/>
  <c r="Q682" i="49"/>
  <c r="Q681" i="49"/>
  <c r="Q680" i="49"/>
  <c r="Q679" i="49"/>
  <c r="Q678" i="49"/>
  <c r="Q677" i="49"/>
  <c r="Q676" i="49"/>
  <c r="Q675" i="49"/>
  <c r="Q674" i="49"/>
  <c r="Q673" i="49"/>
  <c r="Q672" i="49"/>
  <c r="Q671" i="49"/>
  <c r="Q670" i="49"/>
  <c r="Q669" i="49"/>
  <c r="Q668" i="49"/>
  <c r="Q667" i="49"/>
  <c r="Q666" i="49"/>
  <c r="Q665" i="49"/>
  <c r="Q664" i="49"/>
  <c r="Q663" i="49"/>
  <c r="Q662" i="49"/>
  <c r="Q661" i="49"/>
  <c r="Q660" i="49"/>
  <c r="Q659" i="49"/>
  <c r="Q658" i="49"/>
  <c r="Q657" i="49"/>
  <c r="Q656" i="49"/>
  <c r="Q655" i="49"/>
  <c r="Q654" i="49"/>
  <c r="Q653" i="49"/>
  <c r="Q652" i="49"/>
  <c r="Q651" i="49"/>
  <c r="Q650" i="49"/>
  <c r="Q649" i="49"/>
  <c r="Q648" i="49"/>
  <c r="Q647" i="49"/>
  <c r="Q646" i="49"/>
  <c r="Q645" i="49"/>
  <c r="Q644" i="49"/>
  <c r="Q643" i="49"/>
  <c r="Q642" i="49"/>
  <c r="Q641" i="49"/>
  <c r="Q640" i="49"/>
  <c r="Q639" i="49"/>
  <c r="Q638" i="49"/>
  <c r="Q637" i="49"/>
  <c r="Q636" i="49"/>
  <c r="Q635" i="49"/>
  <c r="Q634" i="49"/>
  <c r="Q633" i="49"/>
  <c r="Q632" i="49"/>
  <c r="Q631" i="49"/>
  <c r="Q630" i="49"/>
  <c r="Q629" i="49"/>
  <c r="Q628" i="49"/>
  <c r="Q627" i="49"/>
  <c r="Q626" i="49"/>
  <c r="Q625" i="49"/>
  <c r="Q624" i="49"/>
  <c r="Q623" i="49"/>
  <c r="Q622" i="49"/>
  <c r="Q621" i="49"/>
  <c r="Q620" i="49"/>
  <c r="Q619" i="49"/>
  <c r="Q618" i="49"/>
  <c r="Q617" i="49"/>
  <c r="Q616" i="49"/>
  <c r="Q615" i="49"/>
  <c r="Q614" i="49"/>
  <c r="Q613" i="49"/>
  <c r="Q612" i="49"/>
  <c r="Q611" i="49"/>
  <c r="Q610" i="49"/>
  <c r="Q609" i="49"/>
  <c r="Q608" i="49"/>
  <c r="Q607" i="49"/>
  <c r="Q606" i="49"/>
  <c r="Q605" i="49"/>
  <c r="Q604" i="49"/>
  <c r="Q603" i="49"/>
  <c r="Q602" i="49"/>
  <c r="Q601" i="49"/>
  <c r="Q600" i="49"/>
  <c r="Q599" i="49"/>
  <c r="Q598" i="49"/>
  <c r="Q597" i="49"/>
  <c r="Q596" i="49"/>
  <c r="Q595" i="49"/>
  <c r="Q594" i="49"/>
  <c r="Q593" i="49"/>
  <c r="Q592" i="49"/>
  <c r="Q591" i="49"/>
  <c r="Q590" i="49"/>
  <c r="Q589" i="49"/>
  <c r="Q588" i="49"/>
  <c r="Q587" i="49"/>
  <c r="Q586" i="49"/>
  <c r="Q585" i="49"/>
  <c r="Q584" i="49"/>
  <c r="Q583" i="49"/>
  <c r="Q582" i="49"/>
  <c r="Q581" i="49"/>
  <c r="Q580" i="49"/>
  <c r="Q579" i="49"/>
  <c r="Q578" i="49"/>
  <c r="Q577" i="49"/>
  <c r="Q576" i="49"/>
  <c r="Q575" i="49"/>
  <c r="Q574" i="49"/>
  <c r="Q573" i="49"/>
  <c r="Q572" i="49"/>
  <c r="Q571" i="49"/>
  <c r="Q570" i="49"/>
  <c r="Q569" i="49"/>
  <c r="Q568" i="49"/>
  <c r="Q567" i="49"/>
  <c r="Q566" i="49"/>
  <c r="Q565" i="49"/>
  <c r="Q564" i="49"/>
  <c r="Q563" i="49"/>
  <c r="Q562" i="49"/>
  <c r="Q561" i="49"/>
  <c r="Q560" i="49"/>
  <c r="Q559" i="49"/>
  <c r="Q558" i="49"/>
  <c r="Q557" i="49"/>
  <c r="Q556" i="49"/>
  <c r="Q555" i="49"/>
  <c r="Q554" i="49"/>
  <c r="Q553" i="49"/>
  <c r="Q552" i="49"/>
  <c r="Q551" i="49"/>
  <c r="Q550" i="49"/>
  <c r="Q549" i="49"/>
  <c r="Q548" i="49"/>
  <c r="Q547" i="49"/>
  <c r="Q546" i="49"/>
  <c r="Q545" i="49"/>
  <c r="Q544" i="49"/>
  <c r="Q543" i="49"/>
  <c r="Q542" i="49"/>
  <c r="Q541" i="49"/>
  <c r="Q540" i="49"/>
  <c r="Q539" i="49"/>
  <c r="Q538" i="49"/>
  <c r="Q537" i="49"/>
  <c r="Q536" i="49"/>
  <c r="Q535" i="49"/>
  <c r="Q534" i="49"/>
  <c r="Q533" i="49"/>
  <c r="Q532" i="49"/>
  <c r="Q531" i="49"/>
  <c r="Q530" i="49"/>
  <c r="Q529" i="49"/>
  <c r="Q528" i="49"/>
  <c r="Q527" i="49"/>
  <c r="Q526" i="49"/>
  <c r="Q525" i="49"/>
  <c r="Q524" i="49"/>
  <c r="Q515" i="49"/>
  <c r="Q514" i="49"/>
  <c r="Q513" i="49"/>
  <c r="Q512" i="49"/>
  <c r="Q511" i="49"/>
  <c r="Q510" i="49"/>
  <c r="Q509" i="49"/>
  <c r="Q508" i="49"/>
  <c r="Q507" i="49"/>
  <c r="Q506" i="49"/>
  <c r="Q504" i="49"/>
  <c r="Q503" i="49"/>
  <c r="Q502" i="49"/>
  <c r="Q501" i="49"/>
  <c r="Q500" i="49"/>
  <c r="Q499" i="49"/>
  <c r="Q498" i="49"/>
  <c r="Q497" i="49"/>
  <c r="Q496" i="49"/>
  <c r="Q495" i="49"/>
  <c r="Q494" i="49"/>
  <c r="Q493" i="49"/>
  <c r="Q492" i="49"/>
  <c r="Q491" i="49"/>
  <c r="Q490" i="49"/>
  <c r="Q489" i="49"/>
  <c r="Q488" i="49"/>
  <c r="Q487" i="49"/>
  <c r="Q486" i="49"/>
  <c r="Q485" i="49"/>
  <c r="Q484" i="49"/>
  <c r="Q483" i="49"/>
  <c r="Q482" i="49"/>
  <c r="Q481" i="49"/>
  <c r="Q480" i="49"/>
  <c r="Q479" i="49"/>
  <c r="Q478" i="49"/>
  <c r="Q477" i="49"/>
  <c r="Q476" i="49"/>
  <c r="R476" i="49" s="1"/>
  <c r="Q475" i="49"/>
  <c r="Q474" i="49"/>
  <c r="Q473" i="49"/>
  <c r="Q472" i="49"/>
  <c r="Q471" i="49"/>
  <c r="Q850" i="49"/>
  <c r="Q849" i="49"/>
  <c r="Q848" i="49"/>
  <c r="Q847" i="49"/>
  <c r="Q846" i="49"/>
  <c r="Q845" i="49"/>
  <c r="Q844" i="49"/>
  <c r="Q843" i="49"/>
  <c r="Q842" i="49"/>
  <c r="Q841" i="49"/>
  <c r="Q840" i="49"/>
  <c r="Q839" i="49"/>
  <c r="Q838" i="49"/>
  <c r="Q837" i="49"/>
  <c r="Q836" i="49"/>
  <c r="Q835" i="49"/>
  <c r="Q834" i="49"/>
  <c r="Q833" i="49"/>
  <c r="Q832" i="49"/>
  <c r="Q831" i="49"/>
  <c r="Q830" i="49"/>
  <c r="Q829" i="49"/>
  <c r="Q828" i="49"/>
  <c r="Q827" i="49"/>
  <c r="Q826" i="49"/>
  <c r="Q825" i="49"/>
  <c r="Q824" i="49"/>
  <c r="Q823" i="49"/>
  <c r="Q822" i="49"/>
  <c r="Q821" i="49"/>
  <c r="Q820" i="49"/>
  <c r="Q819" i="49"/>
  <c r="Q818" i="49"/>
  <c r="Q817" i="49"/>
  <c r="Q816" i="49"/>
  <c r="Q815" i="49"/>
  <c r="Q814" i="49"/>
  <c r="Q813" i="49"/>
  <c r="Q812" i="49"/>
  <c r="Q811" i="49"/>
  <c r="Q810" i="49"/>
  <c r="Q809" i="49"/>
  <c r="Q808" i="49"/>
  <c r="Q807" i="49"/>
  <c r="Q806" i="49"/>
  <c r="Q805" i="49"/>
  <c r="Q804" i="49"/>
  <c r="Q803" i="49"/>
  <c r="Q802" i="49"/>
  <c r="Q801" i="49"/>
  <c r="Q800" i="49"/>
  <c r="Q799" i="49"/>
  <c r="Q798" i="49"/>
  <c r="Q797" i="49"/>
  <c r="Q796" i="49"/>
  <c r="Q795" i="49"/>
  <c r="Q794" i="49"/>
  <c r="Q793" i="49"/>
  <c r="Q792" i="49"/>
  <c r="Q791" i="49"/>
  <c r="Q790" i="49"/>
  <c r="Q789" i="49"/>
  <c r="Q788" i="49"/>
  <c r="Q787" i="49"/>
  <c r="Q786" i="49"/>
  <c r="Q785" i="49"/>
  <c r="Q784" i="49"/>
  <c r="Q783" i="49"/>
  <c r="Q782" i="49"/>
  <c r="Q781" i="49"/>
  <c r="Q780" i="49"/>
  <c r="Q779" i="49"/>
  <c r="Q778" i="49"/>
  <c r="Q777" i="49"/>
  <c r="Q776" i="49"/>
  <c r="Q775" i="49"/>
  <c r="Q774" i="49"/>
  <c r="Q773" i="49"/>
  <c r="Q772" i="49"/>
  <c r="Q771" i="49"/>
  <c r="Q770" i="49"/>
  <c r="Q769" i="49"/>
  <c r="Q768" i="49"/>
  <c r="Q767" i="49"/>
  <c r="Q766" i="49"/>
  <c r="Q765" i="49"/>
  <c r="Q764" i="49"/>
  <c r="Q763" i="49"/>
  <c r="Q762" i="49"/>
  <c r="Q761" i="49"/>
  <c r="Q760" i="49"/>
  <c r="Q759" i="49"/>
  <c r="Q758" i="49"/>
  <c r="Q757" i="49"/>
  <c r="Q756" i="49"/>
  <c r="Q755" i="49"/>
  <c r="Q754" i="49"/>
  <c r="Q753" i="49"/>
  <c r="Q752" i="49"/>
  <c r="Q751" i="49"/>
  <c r="Q750" i="49"/>
  <c r="Q749" i="49"/>
  <c r="Q748" i="49"/>
  <c r="Q747" i="49"/>
  <c r="Q746" i="49"/>
  <c r="Q745" i="49"/>
  <c r="Q744" i="49"/>
  <c r="Q743" i="49"/>
  <c r="Q742" i="49"/>
  <c r="Q741" i="49"/>
  <c r="Q740" i="49"/>
  <c r="Q739" i="49"/>
  <c r="Q738" i="49"/>
  <c r="Q737" i="49"/>
  <c r="Q736" i="49"/>
  <c r="Q735" i="49"/>
  <c r="Q734" i="49"/>
  <c r="Q733" i="49"/>
  <c r="Q732" i="49"/>
  <c r="Q731" i="49"/>
  <c r="Q730" i="49"/>
  <c r="Q729" i="49"/>
  <c r="Q728" i="49"/>
  <c r="Q727" i="49"/>
  <c r="Q726" i="49"/>
  <c r="Q725" i="49"/>
  <c r="Q724" i="49"/>
  <c r="Q723" i="49"/>
  <c r="Q722" i="49"/>
  <c r="N1513" i="49"/>
  <c r="N1512" i="49"/>
  <c r="N1511" i="49"/>
  <c r="N1510" i="49"/>
  <c r="N1509" i="49"/>
  <c r="N1508" i="49"/>
  <c r="N1507" i="49"/>
  <c r="N1506" i="49"/>
  <c r="N1505" i="49"/>
  <c r="N1504" i="49"/>
  <c r="N1503" i="49"/>
  <c r="N1502" i="49"/>
  <c r="N1501" i="49"/>
  <c r="N1500" i="49"/>
  <c r="N1499" i="49"/>
  <c r="N1498" i="49"/>
  <c r="N1497" i="49"/>
  <c r="N1496" i="49"/>
  <c r="N1495" i="49"/>
  <c r="N1494" i="49"/>
  <c r="N1493" i="49"/>
  <c r="N1492" i="49"/>
  <c r="N1491" i="49"/>
  <c r="N1490" i="49"/>
  <c r="N1489" i="49"/>
  <c r="N1488" i="49"/>
  <c r="N1487" i="49"/>
  <c r="N1486" i="49"/>
  <c r="N1485" i="49"/>
  <c r="N1484" i="49"/>
  <c r="N1483" i="49"/>
  <c r="N1482" i="49"/>
  <c r="N1481" i="49"/>
  <c r="N1480" i="49"/>
  <c r="N1479" i="49"/>
  <c r="N1478" i="49"/>
  <c r="N1477" i="49"/>
  <c r="N1476" i="49"/>
  <c r="N1475" i="49"/>
  <c r="N1474" i="49"/>
  <c r="N1473" i="49"/>
  <c r="N1472" i="49"/>
  <c r="N1471" i="49"/>
  <c r="N1470" i="49"/>
  <c r="N1469" i="49"/>
  <c r="N1468" i="49"/>
  <c r="N1467" i="49"/>
  <c r="N1466" i="49"/>
  <c r="N1465" i="49"/>
  <c r="N1464" i="49"/>
  <c r="N1463" i="49"/>
  <c r="N1462" i="49"/>
  <c r="N1461" i="49"/>
  <c r="N1460" i="49"/>
  <c r="N1459" i="49"/>
  <c r="N1458" i="49"/>
  <c r="N1457" i="49"/>
  <c r="N1456" i="49"/>
  <c r="N1455" i="49"/>
  <c r="N1454" i="49"/>
  <c r="N1453" i="49"/>
  <c r="N1452" i="49"/>
  <c r="N1451" i="49"/>
  <c r="N1450" i="49"/>
  <c r="N1449" i="49"/>
  <c r="N1448" i="49"/>
  <c r="N1447" i="49"/>
  <c r="N1446" i="49"/>
  <c r="N1445" i="49"/>
  <c r="N1444" i="49"/>
  <c r="N1443" i="49"/>
  <c r="N1442" i="49"/>
  <c r="N1441" i="49"/>
  <c r="N1440" i="49"/>
  <c r="N1439" i="49"/>
  <c r="N1438" i="49"/>
  <c r="N1437" i="49"/>
  <c r="N1436" i="49"/>
  <c r="N1435" i="49"/>
  <c r="N1434" i="49"/>
  <c r="N1433" i="49"/>
  <c r="N1432" i="49"/>
  <c r="N1431" i="49"/>
  <c r="N1430" i="49"/>
  <c r="N1429" i="49"/>
  <c r="N1428" i="49"/>
  <c r="N1427" i="49"/>
  <c r="N1426" i="49"/>
  <c r="N1425" i="49"/>
  <c r="N1424" i="49"/>
  <c r="N1423" i="49"/>
  <c r="N1422" i="49"/>
  <c r="N1421" i="49"/>
  <c r="N1420" i="49"/>
  <c r="N1419" i="49"/>
  <c r="N1418" i="49"/>
  <c r="N1417" i="49"/>
  <c r="N1416" i="49"/>
  <c r="N1415" i="49"/>
  <c r="N1414" i="49"/>
  <c r="N1413" i="49"/>
  <c r="N1412" i="49"/>
  <c r="N1411" i="49"/>
  <c r="N1410" i="49"/>
  <c r="N1409" i="49"/>
  <c r="N1408" i="49"/>
  <c r="N1407" i="49"/>
  <c r="N1406" i="49"/>
  <c r="N1405" i="49"/>
  <c r="N1404" i="49"/>
  <c r="N1403" i="49"/>
  <c r="N1402" i="49"/>
  <c r="N1401" i="49"/>
  <c r="N1400" i="49"/>
  <c r="N1399" i="49"/>
  <c r="N1398" i="49"/>
  <c r="N1397" i="49"/>
  <c r="N1396" i="49"/>
  <c r="N1395" i="49"/>
  <c r="N1394" i="49"/>
  <c r="N1393" i="49"/>
  <c r="N1392" i="49"/>
  <c r="N1391" i="49"/>
  <c r="N1390" i="49"/>
  <c r="N1389" i="49"/>
  <c r="N1388" i="49"/>
  <c r="N1387" i="49"/>
  <c r="N1386" i="49"/>
  <c r="N1385" i="49"/>
  <c r="N1384" i="49"/>
  <c r="N1383" i="49"/>
  <c r="N1382" i="49"/>
  <c r="N1381" i="49"/>
  <c r="N1380" i="49"/>
  <c r="N1370" i="49"/>
  <c r="N1369" i="49"/>
  <c r="N1368" i="49"/>
  <c r="N1367" i="49"/>
  <c r="N1366" i="49"/>
  <c r="N1365" i="49"/>
  <c r="N1364" i="49"/>
  <c r="N1363" i="49"/>
  <c r="N1362" i="49"/>
  <c r="N1361" i="49"/>
  <c r="N1360" i="49"/>
  <c r="N1359" i="49"/>
  <c r="N1358" i="49"/>
  <c r="N1357" i="49"/>
  <c r="N1356" i="49"/>
  <c r="N1355" i="49"/>
  <c r="N1354" i="49"/>
  <c r="N1353" i="49"/>
  <c r="N1352" i="49"/>
  <c r="N1351" i="49"/>
  <c r="N1350" i="49"/>
  <c r="N1349" i="49"/>
  <c r="N1348" i="49"/>
  <c r="N1347" i="49"/>
  <c r="N1346" i="49"/>
  <c r="N1345" i="49"/>
  <c r="N1344" i="49"/>
  <c r="N1343" i="49"/>
  <c r="N1342" i="49"/>
  <c r="N1341" i="49"/>
  <c r="N1340" i="49"/>
  <c r="N1339" i="49"/>
  <c r="N1338" i="49"/>
  <c r="N1337" i="49"/>
  <c r="N1336" i="49"/>
  <c r="N1335" i="49"/>
  <c r="N1334" i="49"/>
  <c r="N1333" i="49"/>
  <c r="N1332" i="49"/>
  <c r="N1331" i="49"/>
  <c r="N1330" i="49"/>
  <c r="N1329" i="49"/>
  <c r="N1328" i="49"/>
  <c r="N1327" i="49"/>
  <c r="N1326" i="49"/>
  <c r="N1325" i="49"/>
  <c r="N1324" i="49"/>
  <c r="N1323" i="49"/>
  <c r="N1322" i="49"/>
  <c r="N1321" i="49"/>
  <c r="N1320" i="49"/>
  <c r="N1319" i="49"/>
  <c r="N1318" i="49"/>
  <c r="N1317" i="49"/>
  <c r="N1316" i="49"/>
  <c r="N1315" i="49"/>
  <c r="N1314" i="49"/>
  <c r="N1313" i="49"/>
  <c r="N1312" i="49"/>
  <c r="N1311" i="49"/>
  <c r="N1310" i="49"/>
  <c r="N1309" i="49"/>
  <c r="N1308" i="49"/>
  <c r="N1307" i="49"/>
  <c r="N1306" i="49"/>
  <c r="N1305" i="49"/>
  <c r="N1304" i="49"/>
  <c r="N1303" i="49"/>
  <c r="N1302" i="49"/>
  <c r="N1301" i="49"/>
  <c r="N1300" i="49"/>
  <c r="N1299" i="49"/>
  <c r="N1298" i="49"/>
  <c r="N1297" i="49"/>
  <c r="N1296" i="49"/>
  <c r="N1295" i="49"/>
  <c r="N1294" i="49"/>
  <c r="N1293" i="49"/>
  <c r="N1292" i="49"/>
  <c r="N1291" i="49"/>
  <c r="N1290" i="49"/>
  <c r="N1289" i="49"/>
  <c r="N1288" i="49"/>
  <c r="N1287" i="49"/>
  <c r="N1286" i="49"/>
  <c r="N1285" i="49"/>
  <c r="N1284" i="49"/>
  <c r="N1283" i="49"/>
  <c r="N1282" i="49"/>
  <c r="N1281" i="49"/>
  <c r="N1280" i="49"/>
  <c r="N1279" i="49"/>
  <c r="N1278" i="49"/>
  <c r="N1277" i="49"/>
  <c r="N1276" i="49"/>
  <c r="N1275" i="49"/>
  <c r="N1274" i="49"/>
  <c r="N1273" i="49"/>
  <c r="N1272" i="49"/>
  <c r="N1271" i="49"/>
  <c r="N1270" i="49"/>
  <c r="N1269" i="49"/>
  <c r="N1268" i="49"/>
  <c r="N1267" i="49"/>
  <c r="N1266" i="49"/>
  <c r="N1265" i="49"/>
  <c r="N1264" i="49"/>
  <c r="N1263" i="49"/>
  <c r="N1262" i="49"/>
  <c r="N1261" i="49"/>
  <c r="N1260" i="49"/>
  <c r="N1259" i="49"/>
  <c r="N1258" i="49"/>
  <c r="N1257" i="49"/>
  <c r="N1256" i="49"/>
  <c r="N1255" i="49"/>
  <c r="N1254" i="49"/>
  <c r="N1253" i="49"/>
  <c r="N1252" i="49"/>
  <c r="N1251" i="49"/>
  <c r="N1250" i="49"/>
  <c r="N1249" i="49"/>
  <c r="N1248" i="49"/>
  <c r="N1247" i="49"/>
  <c r="N1246" i="49"/>
  <c r="N1245" i="49"/>
  <c r="N1244" i="49"/>
  <c r="N1243" i="49"/>
  <c r="N1242" i="49"/>
  <c r="N1241" i="49"/>
  <c r="N1240" i="49"/>
  <c r="N1239" i="49"/>
  <c r="N1238" i="49"/>
  <c r="N1237" i="49"/>
  <c r="N1236" i="49"/>
  <c r="N1235" i="49"/>
  <c r="N1234" i="49"/>
  <c r="N1233" i="49"/>
  <c r="N1232" i="49"/>
  <c r="N1231" i="49"/>
  <c r="N1230" i="49"/>
  <c r="N1229" i="49"/>
  <c r="N1228" i="49"/>
  <c r="N1227" i="49"/>
  <c r="N1226" i="49"/>
  <c r="N1225" i="49"/>
  <c r="N1224" i="49"/>
  <c r="N1223" i="49"/>
  <c r="N1222" i="49"/>
  <c r="N1221" i="49"/>
  <c r="N1220" i="49"/>
  <c r="N1219" i="49"/>
  <c r="N1218" i="49"/>
  <c r="N1217" i="49"/>
  <c r="N1216" i="49"/>
  <c r="N1215" i="49"/>
  <c r="N1214" i="49"/>
  <c r="N1213" i="49"/>
  <c r="N1212" i="49"/>
  <c r="N1211" i="49"/>
  <c r="N1210" i="49"/>
  <c r="N1209" i="49"/>
  <c r="N1208" i="49"/>
  <c r="N1207" i="49"/>
  <c r="N1206" i="49"/>
  <c r="N1205" i="49"/>
  <c r="N1204" i="49"/>
  <c r="N1203" i="49"/>
  <c r="N1202" i="49"/>
  <c r="N1201" i="49"/>
  <c r="N1200" i="49"/>
  <c r="N1199" i="49"/>
  <c r="N1198" i="49"/>
  <c r="N1197" i="49"/>
  <c r="N1196" i="49"/>
  <c r="N1195" i="49"/>
  <c r="N1194" i="49"/>
  <c r="N1193" i="49"/>
  <c r="N1192" i="49"/>
  <c r="N1191" i="49"/>
  <c r="N1190" i="49"/>
  <c r="N1189" i="49"/>
  <c r="N1188" i="49"/>
  <c r="N1187" i="49"/>
  <c r="N1186" i="49"/>
  <c r="N1185" i="49"/>
  <c r="N1184" i="49"/>
  <c r="N1183" i="49"/>
  <c r="N1182" i="49"/>
  <c r="N1181" i="49"/>
  <c r="N1180" i="49"/>
  <c r="N1179" i="49"/>
  <c r="N1178" i="49"/>
  <c r="N1177" i="49"/>
  <c r="N1176" i="49"/>
  <c r="N1175" i="49"/>
  <c r="N1174" i="49"/>
  <c r="N1173" i="49"/>
  <c r="N1172" i="49"/>
  <c r="N1171" i="49"/>
  <c r="N1170" i="49"/>
  <c r="N1169" i="49"/>
  <c r="N1168" i="49"/>
  <c r="N1167" i="49"/>
  <c r="N1166" i="49"/>
  <c r="N1165" i="49"/>
  <c r="N1164" i="49"/>
  <c r="N1163" i="49"/>
  <c r="N1162" i="49"/>
  <c r="N1161" i="49"/>
  <c r="N1160" i="49"/>
  <c r="N1159" i="49"/>
  <c r="N1158" i="49"/>
  <c r="N1157" i="49"/>
  <c r="N1156" i="49"/>
  <c r="N1155" i="49"/>
  <c r="N1154" i="49"/>
  <c r="N1153" i="49"/>
  <c r="N1152" i="49"/>
  <c r="N1151" i="49"/>
  <c r="N1150" i="49"/>
  <c r="N1149" i="49"/>
  <c r="N1148" i="49"/>
  <c r="N1147" i="49"/>
  <c r="N1146" i="49"/>
  <c r="N1145" i="49"/>
  <c r="N1144" i="49"/>
  <c r="N1143" i="49"/>
  <c r="N1142" i="49"/>
  <c r="N1141" i="49"/>
  <c r="N1140" i="49"/>
  <c r="N1139" i="49"/>
  <c r="N1138" i="49"/>
  <c r="N1137" i="49"/>
  <c r="N1136" i="49"/>
  <c r="N1135" i="49"/>
  <c r="N1134" i="49"/>
  <c r="N1133" i="49"/>
  <c r="N1132" i="49"/>
  <c r="N1131" i="49"/>
  <c r="N1130" i="49"/>
  <c r="N1129" i="49"/>
  <c r="N1128" i="49"/>
  <c r="N1127" i="49"/>
  <c r="N1126" i="49"/>
  <c r="N1125" i="49"/>
  <c r="N1124" i="49"/>
  <c r="N1123" i="49"/>
  <c r="N1122" i="49"/>
  <c r="N1121" i="49"/>
  <c r="N1120" i="49"/>
  <c r="N1119" i="49"/>
  <c r="N1118" i="49"/>
  <c r="N1117" i="49"/>
  <c r="N1116" i="49"/>
  <c r="N1115" i="49"/>
  <c r="N1114" i="49"/>
  <c r="N1113" i="49"/>
  <c r="N1112" i="49"/>
  <c r="N1111" i="49"/>
  <c r="N1110" i="49"/>
  <c r="N1109" i="49"/>
  <c r="N1108" i="49"/>
  <c r="N1107" i="49"/>
  <c r="N1106" i="49"/>
  <c r="N1105" i="49"/>
  <c r="N1104" i="49"/>
  <c r="N1103" i="49"/>
  <c r="N1102" i="49"/>
  <c r="N1101" i="49"/>
  <c r="N1100" i="49"/>
  <c r="N1099" i="49"/>
  <c r="N1098" i="49"/>
  <c r="N1097" i="49"/>
  <c r="N1096" i="49"/>
  <c r="N1095" i="49"/>
  <c r="N1094" i="49"/>
  <c r="N1093" i="49"/>
  <c r="N1092" i="49"/>
  <c r="N1091" i="49"/>
  <c r="N1090" i="49"/>
  <c r="N1089" i="49"/>
  <c r="N1088" i="49"/>
  <c r="N1087" i="49"/>
  <c r="N1086" i="49"/>
  <c r="N1085" i="49"/>
  <c r="N1084" i="49"/>
  <c r="N1083" i="49"/>
  <c r="N1082" i="49"/>
  <c r="N1081" i="49"/>
  <c r="N1080" i="49"/>
  <c r="N1079" i="49"/>
  <c r="N1078" i="49"/>
  <c r="N1077" i="49"/>
  <c r="N1076" i="49"/>
  <c r="N1075" i="49"/>
  <c r="N1074" i="49"/>
  <c r="N1073" i="49"/>
  <c r="N1072" i="49"/>
  <c r="N1071" i="49"/>
  <c r="N1070" i="49"/>
  <c r="N1069" i="49"/>
  <c r="N1068" i="49"/>
  <c r="N1067" i="49"/>
  <c r="N1066" i="49"/>
  <c r="N1065" i="49"/>
  <c r="N1064" i="49"/>
  <c r="N1063" i="49"/>
  <c r="N1062" i="49"/>
  <c r="N1061" i="49"/>
  <c r="N1060" i="49"/>
  <c r="N1059" i="49"/>
  <c r="N1058" i="49"/>
  <c r="N1057" i="49"/>
  <c r="N1056" i="49"/>
  <c r="N1055" i="49"/>
  <c r="N1054" i="49"/>
  <c r="N1053" i="49"/>
  <c r="N1052" i="49"/>
  <c r="N1051" i="49"/>
  <c r="N1050" i="49"/>
  <c r="N1049" i="49"/>
  <c r="N1048" i="49"/>
  <c r="N1047" i="49"/>
  <c r="N1046" i="49"/>
  <c r="N1045" i="49"/>
  <c r="N1044" i="49"/>
  <c r="N1043" i="49"/>
  <c r="N1042" i="49"/>
  <c r="N1041" i="49"/>
  <c r="N1040" i="49"/>
  <c r="N1039" i="49"/>
  <c r="N1038" i="49"/>
  <c r="N1037" i="49"/>
  <c r="N1036" i="49"/>
  <c r="N1035" i="49"/>
  <c r="N1034" i="49"/>
  <c r="N1033" i="49"/>
  <c r="N1032" i="49"/>
  <c r="N1031" i="49"/>
  <c r="N1030" i="49"/>
  <c r="N1029" i="49"/>
  <c r="N1028" i="49"/>
  <c r="N1027" i="49"/>
  <c r="N1026" i="49"/>
  <c r="N1025" i="49"/>
  <c r="N1024" i="49"/>
  <c r="N1023" i="49"/>
  <c r="N1022" i="49"/>
  <c r="N1021" i="49"/>
  <c r="N1020" i="49"/>
  <c r="N1019" i="49"/>
  <c r="N1018" i="49"/>
  <c r="N1017" i="49"/>
  <c r="N1016" i="49"/>
  <c r="N1015" i="49"/>
  <c r="N1014" i="49"/>
  <c r="N1013" i="49"/>
  <c r="N1012" i="49"/>
  <c r="N1011" i="49"/>
  <c r="N1010" i="49"/>
  <c r="N1009" i="49"/>
  <c r="N1008" i="49"/>
  <c r="N1007" i="49"/>
  <c r="N1006" i="49"/>
  <c r="N1005" i="49"/>
  <c r="N1004" i="49"/>
  <c r="N1003" i="49"/>
  <c r="N1002" i="49"/>
  <c r="N1001" i="49"/>
  <c r="N1000" i="49"/>
  <c r="N999" i="49"/>
  <c r="N998" i="49"/>
  <c r="N997" i="49"/>
  <c r="N996" i="49"/>
  <c r="N995" i="49"/>
  <c r="N994" i="49"/>
  <c r="N993" i="49"/>
  <c r="N992" i="49"/>
  <c r="N991" i="49"/>
  <c r="N990" i="49"/>
  <c r="N989" i="49"/>
  <c r="N988" i="49"/>
  <c r="N987" i="49"/>
  <c r="N986" i="49"/>
  <c r="N985" i="49"/>
  <c r="N984" i="49"/>
  <c r="N983" i="49"/>
  <c r="N982" i="49"/>
  <c r="N981" i="49"/>
  <c r="N980" i="49"/>
  <c r="N979" i="49"/>
  <c r="N978" i="49"/>
  <c r="N977" i="49"/>
  <c r="N976" i="49"/>
  <c r="N975" i="49"/>
  <c r="N974" i="49"/>
  <c r="N973" i="49"/>
  <c r="N972" i="49"/>
  <c r="N971" i="49"/>
  <c r="N970" i="49"/>
  <c r="N969" i="49"/>
  <c r="N968" i="49"/>
  <c r="N967" i="49"/>
  <c r="N966" i="49"/>
  <c r="N965" i="49"/>
  <c r="N964" i="49"/>
  <c r="N963" i="49"/>
  <c r="N962" i="49"/>
  <c r="N961" i="49"/>
  <c r="N960" i="49"/>
  <c r="N959" i="49"/>
  <c r="N958" i="49"/>
  <c r="N957" i="49"/>
  <c r="N956" i="49"/>
  <c r="N955" i="49"/>
  <c r="N954" i="49"/>
  <c r="N953" i="49"/>
  <c r="N952" i="49"/>
  <c r="N951" i="49"/>
  <c r="N950" i="49"/>
  <c r="N949" i="49"/>
  <c r="N948" i="49"/>
  <c r="N947" i="49"/>
  <c r="N946" i="49"/>
  <c r="N945" i="49"/>
  <c r="N944" i="49"/>
  <c r="N943" i="49"/>
  <c r="N942" i="49"/>
  <c r="N941" i="49"/>
  <c r="N940" i="49"/>
  <c r="N939" i="49"/>
  <c r="N938" i="49"/>
  <c r="N937" i="49"/>
  <c r="N936" i="49"/>
  <c r="N935" i="49"/>
  <c r="N934" i="49"/>
  <c r="N933" i="49"/>
  <c r="N932" i="49"/>
  <c r="N931" i="49"/>
  <c r="N930" i="49"/>
  <c r="N929" i="49"/>
  <c r="N928" i="49"/>
  <c r="N927" i="49"/>
  <c r="N926" i="49"/>
  <c r="N925" i="49"/>
  <c r="N924" i="49"/>
  <c r="N923" i="49"/>
  <c r="N922" i="49"/>
  <c r="N921" i="49"/>
  <c r="N920" i="49"/>
  <c r="N919" i="49"/>
  <c r="N918" i="49"/>
  <c r="N917" i="49"/>
  <c r="N916" i="49"/>
  <c r="N915" i="49"/>
  <c r="N914" i="49"/>
  <c r="N913" i="49"/>
  <c r="N912" i="49"/>
  <c r="N911" i="49"/>
  <c r="N910" i="49"/>
  <c r="N909" i="49"/>
  <c r="N908" i="49"/>
  <c r="N907" i="49"/>
  <c r="N906" i="49"/>
  <c r="N905" i="49"/>
  <c r="N904" i="49"/>
  <c r="N903" i="49"/>
  <c r="N902" i="49"/>
  <c r="N901" i="49"/>
  <c r="N900" i="49"/>
  <c r="N899" i="49"/>
  <c r="N898" i="49"/>
  <c r="N897" i="49"/>
  <c r="N896" i="49"/>
  <c r="N895" i="49"/>
  <c r="N894" i="49"/>
  <c r="N893" i="49"/>
  <c r="N892" i="49"/>
  <c r="N891" i="49"/>
  <c r="N890" i="49"/>
  <c r="N889" i="49"/>
  <c r="N888" i="49"/>
  <c r="N887" i="49"/>
  <c r="N886" i="49"/>
  <c r="N885" i="49"/>
  <c r="N884" i="49"/>
  <c r="N883" i="49"/>
  <c r="N882" i="49"/>
  <c r="N881" i="49"/>
  <c r="N880" i="49"/>
  <c r="N879" i="49"/>
  <c r="N878" i="49"/>
  <c r="N877" i="49"/>
  <c r="N876" i="49"/>
  <c r="N875" i="49"/>
  <c r="N874" i="49"/>
  <c r="N873" i="49"/>
  <c r="N872" i="49"/>
  <c r="N871" i="49"/>
  <c r="N870" i="49"/>
  <c r="N869" i="49"/>
  <c r="N868" i="49"/>
  <c r="N867" i="49"/>
  <c r="N866" i="49"/>
  <c r="N865" i="49"/>
  <c r="N864" i="49"/>
  <c r="N863" i="49"/>
  <c r="N862" i="49"/>
  <c r="N861" i="49"/>
  <c r="N860" i="49"/>
  <c r="N859" i="49"/>
  <c r="N858" i="49"/>
  <c r="N857" i="49"/>
  <c r="N856" i="49"/>
  <c r="N855" i="49"/>
  <c r="N854" i="49"/>
  <c r="N853" i="49"/>
  <c r="N852" i="49"/>
  <c r="N851" i="49"/>
  <c r="N850" i="49"/>
  <c r="N849" i="49"/>
  <c r="N848" i="49"/>
  <c r="N847" i="49"/>
  <c r="N846" i="49"/>
  <c r="N845" i="49"/>
  <c r="N844" i="49"/>
  <c r="N843" i="49"/>
  <c r="N842" i="49"/>
  <c r="N841" i="49"/>
  <c r="N840" i="49"/>
  <c r="N839" i="49"/>
  <c r="N838" i="49"/>
  <c r="N837" i="49"/>
  <c r="N836" i="49"/>
  <c r="N835" i="49"/>
  <c r="N834" i="49"/>
  <c r="N833" i="49"/>
  <c r="N832" i="49"/>
  <c r="N831" i="49"/>
  <c r="N830" i="49"/>
  <c r="N829" i="49"/>
  <c r="N828" i="49"/>
  <c r="N827" i="49"/>
  <c r="N826" i="49"/>
  <c r="N825" i="49"/>
  <c r="N824" i="49"/>
  <c r="N823" i="49"/>
  <c r="N822" i="49"/>
  <c r="N821" i="49"/>
  <c r="N820" i="49"/>
  <c r="N819" i="49"/>
  <c r="N818" i="49"/>
  <c r="N817" i="49"/>
  <c r="N816" i="49"/>
  <c r="N815" i="49"/>
  <c r="N814" i="49"/>
  <c r="N813" i="49"/>
  <c r="N812" i="49"/>
  <c r="N811" i="49"/>
  <c r="N810" i="49"/>
  <c r="N809" i="49"/>
  <c r="N808" i="49"/>
  <c r="N807" i="49"/>
  <c r="N806" i="49"/>
  <c r="N805" i="49"/>
  <c r="N804" i="49"/>
  <c r="N803" i="49"/>
  <c r="N802" i="49"/>
  <c r="N801" i="49"/>
  <c r="N800" i="49"/>
  <c r="N799" i="49"/>
  <c r="N798" i="49"/>
  <c r="N797" i="49"/>
  <c r="N796" i="49"/>
  <c r="N795" i="49"/>
  <c r="N794" i="49"/>
  <c r="N793" i="49"/>
  <c r="N792" i="49"/>
  <c r="N791" i="49"/>
  <c r="N790" i="49"/>
  <c r="N789" i="49"/>
  <c r="N788" i="49"/>
  <c r="N787" i="49"/>
  <c r="N786" i="49"/>
  <c r="N785" i="49"/>
  <c r="N784" i="49"/>
  <c r="N783" i="49"/>
  <c r="N782" i="49"/>
  <c r="N781" i="49"/>
  <c r="N780" i="49"/>
  <c r="N779" i="49"/>
  <c r="N778" i="49"/>
  <c r="N777" i="49"/>
  <c r="N776" i="49"/>
  <c r="N775" i="49"/>
  <c r="N774" i="49"/>
  <c r="N773" i="49"/>
  <c r="N772" i="49"/>
  <c r="N771" i="49"/>
  <c r="N770" i="49"/>
  <c r="N769" i="49"/>
  <c r="N768" i="49"/>
  <c r="N767" i="49"/>
  <c r="N766" i="49"/>
  <c r="N765" i="49"/>
  <c r="N764" i="49"/>
  <c r="N763" i="49"/>
  <c r="N762" i="49"/>
  <c r="N761" i="49"/>
  <c r="N760" i="49"/>
  <c r="N759" i="49"/>
  <c r="N758" i="49"/>
  <c r="N757" i="49"/>
  <c r="N756" i="49"/>
  <c r="N755" i="49"/>
  <c r="N754" i="49"/>
  <c r="N753" i="49"/>
  <c r="N752" i="49"/>
  <c r="N751" i="49"/>
  <c r="N750" i="49"/>
  <c r="N749" i="49"/>
  <c r="N748" i="49"/>
  <c r="N747" i="49"/>
  <c r="N746" i="49"/>
  <c r="N745" i="49"/>
  <c r="N744" i="49"/>
  <c r="N743" i="49"/>
  <c r="N742" i="49"/>
  <c r="N741" i="49"/>
  <c r="N740" i="49"/>
  <c r="N739" i="49"/>
  <c r="N738" i="49"/>
  <c r="N737" i="49"/>
  <c r="N736" i="49"/>
  <c r="N735" i="49"/>
  <c r="N734" i="49"/>
  <c r="N733" i="49"/>
  <c r="N732" i="49"/>
  <c r="N731" i="49"/>
  <c r="N730" i="49"/>
  <c r="N729" i="49"/>
  <c r="N728" i="49"/>
  <c r="N727" i="49"/>
  <c r="N726" i="49"/>
  <c r="N725" i="49"/>
  <c r="N724" i="49"/>
  <c r="N723" i="49"/>
  <c r="N722" i="49"/>
  <c r="N721" i="49"/>
  <c r="N720" i="49"/>
  <c r="N719" i="49"/>
  <c r="N718" i="49"/>
  <c r="N717" i="49"/>
  <c r="N716" i="49"/>
  <c r="N715" i="49"/>
  <c r="N714" i="49"/>
  <c r="N713" i="49"/>
  <c r="N712" i="49"/>
  <c r="N711" i="49"/>
  <c r="N710" i="49"/>
  <c r="N709" i="49"/>
  <c r="N708" i="49"/>
  <c r="N707" i="49"/>
  <c r="N706" i="49"/>
  <c r="N705" i="49"/>
  <c r="N704" i="49"/>
  <c r="N703" i="49"/>
  <c r="N702" i="49"/>
  <c r="N701" i="49"/>
  <c r="N700" i="49"/>
  <c r="N699" i="49"/>
  <c r="N698" i="49"/>
  <c r="N697" i="49"/>
  <c r="N696" i="49"/>
  <c r="N695" i="49"/>
  <c r="N694" i="49"/>
  <c r="N693" i="49"/>
  <c r="N692" i="49"/>
  <c r="N691" i="49"/>
  <c r="N690" i="49"/>
  <c r="N689" i="49"/>
  <c r="N688" i="49"/>
  <c r="N687" i="49"/>
  <c r="N686" i="49"/>
  <c r="N685" i="49"/>
  <c r="N684" i="49"/>
  <c r="N683" i="49"/>
  <c r="N682" i="49"/>
  <c r="N681" i="49"/>
  <c r="N680" i="49"/>
  <c r="N679" i="49"/>
  <c r="N678" i="49"/>
  <c r="N677" i="49"/>
  <c r="N676" i="49"/>
  <c r="N675" i="49"/>
  <c r="N674" i="49"/>
  <c r="N673" i="49"/>
  <c r="N672" i="49"/>
  <c r="N671" i="49"/>
  <c r="N670" i="49"/>
  <c r="N669" i="49"/>
  <c r="N668" i="49"/>
  <c r="N667" i="49"/>
  <c r="N666" i="49"/>
  <c r="N665" i="49"/>
  <c r="N664" i="49"/>
  <c r="N663" i="49"/>
  <c r="N662" i="49"/>
  <c r="N661" i="49"/>
  <c r="N660" i="49"/>
  <c r="N659" i="49"/>
  <c r="N658" i="49"/>
  <c r="N657" i="49"/>
  <c r="N656" i="49"/>
  <c r="N655" i="49"/>
  <c r="N654" i="49"/>
  <c r="N653" i="49"/>
  <c r="N652" i="49"/>
  <c r="N651" i="49"/>
  <c r="N650" i="49"/>
  <c r="N649" i="49"/>
  <c r="N648" i="49"/>
  <c r="N647" i="49"/>
  <c r="N646" i="49"/>
  <c r="N645" i="49"/>
  <c r="N644" i="49"/>
  <c r="N643" i="49"/>
  <c r="N642" i="49"/>
  <c r="N641" i="49"/>
  <c r="N640" i="49"/>
  <c r="N639" i="49"/>
  <c r="N638" i="49"/>
  <c r="N637" i="49"/>
  <c r="N636" i="49"/>
  <c r="N635" i="49"/>
  <c r="N634" i="49"/>
  <c r="N633" i="49"/>
  <c r="N632" i="49"/>
  <c r="N631" i="49"/>
  <c r="N630" i="49"/>
  <c r="N629" i="49"/>
  <c r="N628" i="49"/>
  <c r="N627" i="49"/>
  <c r="N626" i="49"/>
  <c r="N625" i="49"/>
  <c r="N624" i="49"/>
  <c r="N623" i="49"/>
  <c r="N622" i="49"/>
  <c r="N621" i="49"/>
  <c r="N620" i="49"/>
  <c r="N619" i="49"/>
  <c r="N618" i="49"/>
  <c r="N617" i="49"/>
  <c r="N616" i="49"/>
  <c r="N615" i="49"/>
  <c r="N614" i="49"/>
  <c r="N613" i="49"/>
  <c r="N612" i="49"/>
  <c r="N611" i="49"/>
  <c r="N610" i="49"/>
  <c r="N609" i="49"/>
  <c r="N608" i="49"/>
  <c r="N607" i="49"/>
  <c r="N606" i="49"/>
  <c r="N605" i="49"/>
  <c r="N604" i="49"/>
  <c r="N603" i="49"/>
  <c r="N602" i="49"/>
  <c r="N601" i="49"/>
  <c r="N600" i="49"/>
  <c r="N599" i="49"/>
  <c r="N598" i="49"/>
  <c r="N597" i="49"/>
  <c r="N596" i="49"/>
  <c r="N595" i="49"/>
  <c r="N594" i="49"/>
  <c r="N593" i="49"/>
  <c r="N592" i="49"/>
  <c r="N591" i="49"/>
  <c r="N590" i="49"/>
  <c r="N589" i="49"/>
  <c r="N588" i="49"/>
  <c r="N587" i="49"/>
  <c r="N586" i="49"/>
  <c r="N585" i="49"/>
  <c r="N584" i="49"/>
  <c r="N583" i="49"/>
  <c r="N582" i="49"/>
  <c r="N581" i="49"/>
  <c r="N580" i="49"/>
  <c r="N579" i="49"/>
  <c r="N578" i="49"/>
  <c r="N577" i="49"/>
  <c r="N576" i="49"/>
  <c r="N575" i="49"/>
  <c r="N574" i="49"/>
  <c r="N573" i="49"/>
  <c r="N572" i="49"/>
  <c r="N571" i="49"/>
  <c r="N570" i="49"/>
  <c r="N569" i="49"/>
  <c r="N568" i="49"/>
  <c r="N567" i="49"/>
  <c r="N566" i="49"/>
  <c r="N565" i="49"/>
  <c r="N564" i="49"/>
  <c r="N563" i="49"/>
  <c r="N562" i="49"/>
  <c r="N561" i="49"/>
  <c r="N560" i="49"/>
  <c r="N559" i="49"/>
  <c r="N558" i="49"/>
  <c r="N557" i="49"/>
  <c r="N556" i="49"/>
  <c r="N555" i="49"/>
  <c r="N554" i="49"/>
  <c r="N553" i="49"/>
  <c r="N552" i="49"/>
  <c r="N551" i="49"/>
  <c r="N550" i="49"/>
  <c r="N549" i="49"/>
  <c r="N548" i="49"/>
  <c r="N547" i="49"/>
  <c r="N546" i="49"/>
  <c r="N545" i="49"/>
  <c r="N544" i="49"/>
  <c r="N543" i="49"/>
  <c r="N542" i="49"/>
  <c r="N541" i="49"/>
  <c r="N540" i="49"/>
  <c r="N539" i="49"/>
  <c r="N538" i="49"/>
  <c r="N537" i="49"/>
  <c r="N536" i="49"/>
  <c r="N535" i="49"/>
  <c r="N534" i="49"/>
  <c r="N533" i="49"/>
  <c r="N532" i="49"/>
  <c r="N531" i="49"/>
  <c r="N530" i="49"/>
  <c r="N529" i="49"/>
  <c r="N528" i="49"/>
  <c r="N527" i="49"/>
  <c r="N526" i="49"/>
  <c r="N525" i="49"/>
  <c r="AO44" i="49"/>
  <c r="AO43" i="49"/>
  <c r="AO42" i="49"/>
  <c r="AO41" i="49"/>
  <c r="AO39" i="49"/>
  <c r="AO38" i="49"/>
  <c r="AO35" i="49"/>
  <c r="AO34" i="49"/>
  <c r="AO32" i="49"/>
  <c r="AO30" i="49"/>
  <c r="AO28" i="49"/>
  <c r="AO27" i="49"/>
  <c r="AO26" i="49"/>
  <c r="AO25" i="49"/>
  <c r="AO24" i="49"/>
  <c r="AO23" i="49"/>
  <c r="AO22" i="49"/>
  <c r="AO21" i="49"/>
  <c r="AO20" i="49"/>
  <c r="AO18" i="49"/>
  <c r="AO17" i="49"/>
  <c r="AO16" i="49"/>
  <c r="AO15" i="49"/>
  <c r="AO14" i="49"/>
  <c r="AO10" i="49"/>
  <c r="AO9" i="49"/>
  <c r="AO8" i="49"/>
  <c r="AO7" i="49"/>
  <c r="AO6" i="49"/>
  <c r="AO5" i="49"/>
  <c r="AO4" i="49"/>
  <c r="AO3" i="49"/>
  <c r="AO2" i="49"/>
  <c r="L25" i="54" l="1" a="1"/>
  <c r="L25" i="54" s="1"/>
  <c r="AE25" i="54" s="1"/>
  <c r="L27" i="54" a="1"/>
  <c r="L27" i="54" s="1"/>
  <c r="AE27" i="54" s="1"/>
  <c r="L29" i="54" a="1"/>
  <c r="L29" i="54" s="1"/>
  <c r="AE29" i="54" s="1"/>
  <c r="L31" i="54" a="1"/>
  <c r="L31" i="54" s="1"/>
  <c r="AE31" i="54" s="1"/>
  <c r="L24" i="54" a="1"/>
  <c r="L24" i="54" s="1"/>
  <c r="AE24" i="54" s="1"/>
  <c r="L26" i="54" a="1"/>
  <c r="L26" i="54" s="1"/>
  <c r="AE26" i="54" s="1"/>
  <c r="L28" i="54" a="1"/>
  <c r="L28" i="54" s="1"/>
  <c r="AE28" i="54" s="1"/>
  <c r="L30" i="54" a="1"/>
  <c r="L30" i="54" s="1"/>
  <c r="AE30" i="54" s="1"/>
  <c r="L32" i="54" a="1"/>
  <c r="L32" i="54" s="1"/>
  <c r="AE32" i="54" s="1"/>
  <c r="P611" i="49"/>
  <c r="CA10" i="49" a="1"/>
  <c r="L22" i="54" a="1"/>
  <c r="L22" i="54" s="1"/>
  <c r="AE22" i="54" s="1"/>
  <c r="BS112" i="58"/>
  <c r="L18" i="54" a="1"/>
  <c r="L18" i="54" s="1"/>
  <c r="AE18" i="54" s="1"/>
  <c r="L9" i="54" a="1"/>
  <c r="L9" i="54" s="1"/>
  <c r="AE9" i="54" s="1"/>
  <c r="L6" i="54" a="1"/>
  <c r="L6" i="54" s="1"/>
  <c r="AE6" i="54" s="1"/>
  <c r="L12" i="54" a="1"/>
  <c r="L12" i="54" s="1"/>
  <c r="AE12" i="54" s="1"/>
  <c r="L23" i="54" a="1"/>
  <c r="L23" i="54" s="1"/>
  <c r="AE23" i="54" s="1"/>
  <c r="L14" i="54" a="1"/>
  <c r="L14" i="54" s="1"/>
  <c r="AE14" i="54" s="1"/>
  <c r="L11" i="54" a="1"/>
  <c r="L11" i="54" s="1"/>
  <c r="AE11" i="54" s="1"/>
  <c r="L8" i="54" a="1"/>
  <c r="L8" i="54" s="1"/>
  <c r="AE8" i="54" s="1"/>
  <c r="L10" i="54" a="1"/>
  <c r="L10" i="54" s="1"/>
  <c r="AE10" i="54" s="1"/>
  <c r="L21" i="54" a="1"/>
  <c r="L21" i="54" s="1"/>
  <c r="AE21" i="54" s="1"/>
  <c r="L7" i="54" a="1"/>
  <c r="L7" i="54" s="1"/>
  <c r="AE7" i="54" s="1"/>
  <c r="L19" i="54" a="1"/>
  <c r="L19" i="54" s="1"/>
  <c r="AE19" i="54" s="1"/>
  <c r="L20" i="54" a="1"/>
  <c r="L20" i="54" s="1"/>
  <c r="AE20" i="54" s="1"/>
  <c r="S62" i="58"/>
  <c r="S367" i="58"/>
  <c r="L16" i="54" a="1"/>
  <c r="L16" i="54" s="1"/>
  <c r="AE16" i="54" s="1"/>
  <c r="L13" i="54" a="1"/>
  <c r="L13" i="54" s="1"/>
  <c r="AE13" i="54" s="1"/>
  <c r="B2" i="53" a="1"/>
  <c r="B2" i="53" s="1"/>
  <c r="B1" i="53" a="1"/>
  <c r="B1" i="53" s="1"/>
  <c r="L15" i="54" a="1"/>
  <c r="L15" i="54" s="1"/>
  <c r="AE15" i="54" s="1"/>
  <c r="L17" i="54" a="1"/>
  <c r="L17" i="54" s="1"/>
  <c r="AE17" i="54" s="1"/>
  <c r="L3" i="54" a="1"/>
  <c r="L3" i="54" s="1"/>
  <c r="AE3" i="54" s="1"/>
  <c r="L2" i="54" a="1"/>
  <c r="L2" i="54" s="1"/>
  <c r="AE2" i="54" s="1"/>
  <c r="L4" i="54" a="1"/>
  <c r="L4" i="54" s="1"/>
  <c r="AE4" i="54" s="1"/>
  <c r="P1380" i="49"/>
  <c r="L5" i="54" a="1"/>
  <c r="L5" i="54" s="1"/>
  <c r="AE5" i="54" s="1"/>
  <c r="P466" i="49"/>
  <c r="P30" i="49"/>
  <c r="P98" i="49"/>
  <c r="P221" i="49"/>
  <c r="P20" i="49"/>
  <c r="P23" i="49"/>
  <c r="P153" i="49"/>
  <c r="M29" i="54" s="1" a="1"/>
  <c r="M29" i="54" s="1"/>
  <c r="P160" i="49"/>
  <c r="P188" i="49"/>
  <c r="P196" i="49"/>
  <c r="P212" i="49"/>
  <c r="P261" i="49"/>
  <c r="P277" i="49"/>
  <c r="P285" i="49"/>
  <c r="P293" i="49"/>
  <c r="P301" i="49"/>
  <c r="P309" i="49"/>
  <c r="P317" i="49"/>
  <c r="P325" i="49"/>
  <c r="P341" i="49"/>
  <c r="P357" i="49"/>
  <c r="P373" i="49"/>
  <c r="P381" i="49"/>
  <c r="P389" i="49"/>
  <c r="P397" i="49"/>
  <c r="P405" i="49"/>
  <c r="P437" i="49"/>
  <c r="P445" i="49"/>
  <c r="P453" i="49"/>
  <c r="P461" i="49"/>
  <c r="P28" i="49"/>
  <c r="P467" i="49"/>
  <c r="P34" i="49"/>
  <c r="P38" i="49"/>
  <c r="P42" i="49"/>
  <c r="P50" i="49"/>
  <c r="P80" i="49"/>
  <c r="P87" i="49"/>
  <c r="P133" i="49"/>
  <c r="P143" i="49"/>
  <c r="M28" i="54" s="1" a="1"/>
  <c r="M28" i="54" s="1"/>
  <c r="P235" i="49"/>
  <c r="P259" i="49"/>
  <c r="P275" i="49"/>
  <c r="P307" i="49"/>
  <c r="P315" i="49"/>
  <c r="P339" i="49"/>
  <c r="P347" i="49"/>
  <c r="P355" i="49"/>
  <c r="P371" i="49"/>
  <c r="P395" i="49"/>
  <c r="P419" i="49"/>
  <c r="P427" i="49"/>
  <c r="P435" i="49"/>
  <c r="P443" i="49"/>
  <c r="P459" i="49"/>
  <c r="P468" i="49"/>
  <c r="P31" i="49"/>
  <c r="P58" i="49"/>
  <c r="P99" i="49"/>
  <c r="P123" i="49"/>
  <c r="P130" i="49"/>
  <c r="P181" i="49"/>
  <c r="P213" i="49"/>
  <c r="P230" i="49"/>
  <c r="P238" i="49"/>
  <c r="P246" i="49"/>
  <c r="P254" i="49"/>
  <c r="P270" i="49"/>
  <c r="P278" i="49"/>
  <c r="P286" i="49"/>
  <c r="P294" i="49"/>
  <c r="P302" i="49"/>
  <c r="P310" i="49"/>
  <c r="P318" i="49"/>
  <c r="P326" i="49"/>
  <c r="P334" i="49"/>
  <c r="P342" i="49"/>
  <c r="P350" i="49"/>
  <c r="P358" i="49"/>
  <c r="P366" i="49"/>
  <c r="P374" i="49"/>
  <c r="P382" i="49"/>
  <c r="P398" i="49"/>
  <c r="P406" i="49"/>
  <c r="P414" i="49"/>
  <c r="P422" i="49"/>
  <c r="P430" i="49"/>
  <c r="P438" i="49"/>
  <c r="P446" i="49"/>
  <c r="P469" i="49"/>
  <c r="P39" i="49"/>
  <c r="P84" i="49"/>
  <c r="P103" i="49"/>
  <c r="P113" i="49"/>
  <c r="P151" i="49"/>
  <c r="P222" i="49"/>
  <c r="P470" i="49"/>
  <c r="P92" i="49"/>
  <c r="P117" i="49"/>
  <c r="P134" i="49"/>
  <c r="P179" i="49"/>
  <c r="P187" i="49"/>
  <c r="P195" i="49"/>
  <c r="P211" i="49"/>
  <c r="P219" i="49"/>
  <c r="P228" i="49"/>
  <c r="M32" i="54" s="1" a="1"/>
  <c r="M32" i="54" s="1"/>
  <c r="P244" i="49"/>
  <c r="P252" i="49"/>
  <c r="P260" i="49"/>
  <c r="P268" i="49"/>
  <c r="P292" i="49"/>
  <c r="P300" i="49"/>
  <c r="P308" i="49"/>
  <c r="P332" i="49"/>
  <c r="P348" i="49"/>
  <c r="P364" i="49"/>
  <c r="P388" i="49"/>
  <c r="P396" i="49"/>
  <c r="P412" i="49"/>
  <c r="P420" i="49"/>
  <c r="P428" i="49"/>
  <c r="P452" i="49"/>
  <c r="P460" i="49"/>
  <c r="P18" i="49"/>
  <c r="P36" i="49"/>
  <c r="P48" i="49"/>
  <c r="P89" i="49"/>
  <c r="P162" i="49"/>
  <c r="P190" i="49"/>
  <c r="P206" i="49"/>
  <c r="P327" i="49"/>
  <c r="P335" i="49"/>
  <c r="P343" i="49"/>
  <c r="P351" i="49"/>
  <c r="P359" i="49"/>
  <c r="P367" i="49"/>
  <c r="P375" i="49"/>
  <c r="P383" i="49"/>
  <c r="P391" i="49"/>
  <c r="P399" i="49"/>
  <c r="P407" i="49"/>
  <c r="P415" i="49"/>
  <c r="P423" i="49"/>
  <c r="P431" i="49"/>
  <c r="P439" i="49"/>
  <c r="P447" i="49"/>
  <c r="P455" i="49"/>
  <c r="P463" i="49"/>
  <c r="P12" i="49"/>
  <c r="P465" i="49"/>
  <c r="P204" i="49"/>
  <c r="P52" i="49"/>
  <c r="P64" i="49"/>
  <c r="P79" i="49"/>
  <c r="P93" i="49"/>
  <c r="P111" i="49"/>
  <c r="P121" i="49"/>
  <c r="P125" i="49"/>
  <c r="P166" i="49"/>
  <c r="P170" i="49"/>
  <c r="P338" i="49"/>
  <c r="P346" i="49"/>
  <c r="P354" i="49"/>
  <c r="P362" i="49"/>
  <c r="P370" i="49"/>
  <c r="P378" i="49"/>
  <c r="P386" i="49"/>
  <c r="P394" i="49"/>
  <c r="P402" i="49"/>
  <c r="P410" i="49"/>
  <c r="P418" i="49"/>
  <c r="P426" i="49"/>
  <c r="P434" i="49"/>
  <c r="P442" i="49"/>
  <c r="P450" i="49"/>
  <c r="P458" i="49"/>
  <c r="P15" i="49"/>
  <c r="P25" i="49"/>
  <c r="P284" i="49"/>
  <c r="P26" i="49"/>
  <c r="P17" i="49"/>
  <c r="P74" i="49"/>
  <c r="B828" i="54" a="1"/>
  <c r="B828" i="54" s="1"/>
  <c r="B836" i="54" a="1"/>
  <c r="B836" i="54" s="1"/>
  <c r="B844" i="54" a="1"/>
  <c r="B844" i="54" s="1"/>
  <c r="B852" i="54" a="1"/>
  <c r="B852" i="54" s="1"/>
  <c r="B860" i="54" a="1"/>
  <c r="B860" i="54" s="1"/>
  <c r="B868" i="54" a="1"/>
  <c r="B868" i="54" s="1"/>
  <c r="B876" i="54" a="1"/>
  <c r="B876" i="54" s="1"/>
  <c r="B884" i="54" a="1"/>
  <c r="B884" i="54" s="1"/>
  <c r="B892" i="54" a="1"/>
  <c r="B892" i="54" s="1"/>
  <c r="B900" i="54" a="1"/>
  <c r="B900" i="54" s="1"/>
  <c r="B908" i="54" a="1"/>
  <c r="B908" i="54" s="1"/>
  <c r="B916" i="54" a="1"/>
  <c r="B916" i="54" s="1"/>
  <c r="B924" i="54" a="1"/>
  <c r="B924" i="54" s="1"/>
  <c r="B932" i="54" a="1"/>
  <c r="B932" i="54" s="1"/>
  <c r="A580" i="54" a="1"/>
  <c r="A580" i="54" s="1"/>
  <c r="A596" i="54" a="1"/>
  <c r="A596" i="54" s="1"/>
  <c r="A668" i="54" a="1"/>
  <c r="A668" i="54" s="1"/>
  <c r="A935" i="54" a="1"/>
  <c r="A935" i="54" s="1"/>
  <c r="B821" i="54" a="1"/>
  <c r="B821" i="54" s="1"/>
  <c r="B829" i="54" a="1"/>
  <c r="B829" i="54" s="1"/>
  <c r="B837" i="54" a="1"/>
  <c r="B837" i="54" s="1"/>
  <c r="B845" i="54" a="1"/>
  <c r="B845" i="54" s="1"/>
  <c r="B853" i="54" a="1"/>
  <c r="B853" i="54" s="1"/>
  <c r="B861" i="54" a="1"/>
  <c r="B861" i="54" s="1"/>
  <c r="B869" i="54" a="1"/>
  <c r="B869" i="54" s="1"/>
  <c r="B877" i="54" a="1"/>
  <c r="B877" i="54" s="1"/>
  <c r="B885" i="54" a="1"/>
  <c r="B885" i="54" s="1"/>
  <c r="B893" i="54" a="1"/>
  <c r="B893" i="54" s="1"/>
  <c r="B901" i="54" a="1"/>
  <c r="B901" i="54" s="1"/>
  <c r="B909" i="54" a="1"/>
  <c r="B909" i="54" s="1"/>
  <c r="B917" i="54" a="1"/>
  <c r="B917" i="54" s="1"/>
  <c r="B925" i="54" a="1"/>
  <c r="B925" i="54" s="1"/>
  <c r="B933" i="54" a="1"/>
  <c r="B933" i="54" s="1"/>
  <c r="A581" i="54" a="1"/>
  <c r="A581" i="54" s="1"/>
  <c r="A604" i="54" a="1"/>
  <c r="A604" i="54" s="1"/>
  <c r="A684" i="54" a="1"/>
  <c r="A684" i="54" s="1"/>
  <c r="A999" i="54" a="1"/>
  <c r="A999" i="54" s="1"/>
  <c r="P19" i="49"/>
  <c r="B814" i="54" a="1"/>
  <c r="B814" i="54" s="1"/>
  <c r="B822" i="54" a="1"/>
  <c r="B822" i="54" s="1"/>
  <c r="B830" i="54" a="1"/>
  <c r="B830" i="54" s="1"/>
  <c r="B838" i="54" a="1"/>
  <c r="B838" i="54" s="1"/>
  <c r="B846" i="54" a="1"/>
  <c r="B846" i="54" s="1"/>
  <c r="B854" i="54" a="1"/>
  <c r="B854" i="54" s="1"/>
  <c r="B862" i="54" a="1"/>
  <c r="B862" i="54" s="1"/>
  <c r="B870" i="54" a="1"/>
  <c r="B870" i="54" s="1"/>
  <c r="B878" i="54" a="1"/>
  <c r="B878" i="54" s="1"/>
  <c r="B886" i="54" a="1"/>
  <c r="B886" i="54" s="1"/>
  <c r="B894" i="54" a="1"/>
  <c r="B894" i="54" s="1"/>
  <c r="B902" i="54" a="1"/>
  <c r="B902" i="54" s="1"/>
  <c r="B910" i="54" a="1"/>
  <c r="B910" i="54" s="1"/>
  <c r="B918" i="54" a="1"/>
  <c r="B918" i="54" s="1"/>
  <c r="B926" i="54" a="1"/>
  <c r="B926" i="54" s="1"/>
  <c r="B934" i="54" a="1"/>
  <c r="B934" i="54" s="1"/>
  <c r="A582" i="54" a="1"/>
  <c r="A582" i="54" s="1"/>
  <c r="A612" i="54" a="1"/>
  <c r="A612" i="54" s="1"/>
  <c r="A704" i="54" a="1"/>
  <c r="A704" i="54" s="1"/>
  <c r="B816" i="54" a="1"/>
  <c r="B816" i="54" s="1"/>
  <c r="B824" i="54" a="1"/>
  <c r="B824" i="54" s="1"/>
  <c r="B832" i="54" a="1"/>
  <c r="B832" i="54" s="1"/>
  <c r="B840" i="54" a="1"/>
  <c r="B840" i="54" s="1"/>
  <c r="B848" i="54" a="1"/>
  <c r="B848" i="54" s="1"/>
  <c r="B856" i="54" a="1"/>
  <c r="B856" i="54" s="1"/>
  <c r="B864" i="54" a="1"/>
  <c r="B864" i="54" s="1"/>
  <c r="B872" i="54" a="1"/>
  <c r="B872" i="54" s="1"/>
  <c r="B880" i="54" a="1"/>
  <c r="B880" i="54" s="1"/>
  <c r="B888" i="54" a="1"/>
  <c r="B888" i="54" s="1"/>
  <c r="B896" i="54" a="1"/>
  <c r="B896" i="54" s="1"/>
  <c r="B904" i="54" a="1"/>
  <c r="B904" i="54" s="1"/>
  <c r="B912" i="54" a="1"/>
  <c r="B912" i="54" s="1"/>
  <c r="B920" i="54" a="1"/>
  <c r="B920" i="54" s="1"/>
  <c r="B928" i="54" a="1"/>
  <c r="B928" i="54" s="1"/>
  <c r="A575" i="54" a="1"/>
  <c r="A575" i="54" s="1"/>
  <c r="A584" i="54" a="1"/>
  <c r="A584" i="54" s="1"/>
  <c r="A628" i="54" a="1"/>
  <c r="A628" i="54" s="1"/>
  <c r="A748" i="54" a="1"/>
  <c r="A748" i="54" s="1"/>
  <c r="B817" i="54" a="1"/>
  <c r="B817" i="54" s="1"/>
  <c r="B825" i="54" a="1"/>
  <c r="B825" i="54" s="1"/>
  <c r="B833" i="54" a="1"/>
  <c r="B833" i="54" s="1"/>
  <c r="B841" i="54" a="1"/>
  <c r="B841" i="54" s="1"/>
  <c r="B849" i="54" a="1"/>
  <c r="B849" i="54" s="1"/>
  <c r="B857" i="54" a="1"/>
  <c r="B857" i="54" s="1"/>
  <c r="B865" i="54" a="1"/>
  <c r="B865" i="54" s="1"/>
  <c r="B873" i="54" a="1"/>
  <c r="B873" i="54" s="1"/>
  <c r="B881" i="54" a="1"/>
  <c r="B881" i="54" s="1"/>
  <c r="B889" i="54" a="1"/>
  <c r="B889" i="54" s="1"/>
  <c r="B897" i="54" a="1"/>
  <c r="B897" i="54" s="1"/>
  <c r="B905" i="54" a="1"/>
  <c r="B905" i="54" s="1"/>
  <c r="B913" i="54" a="1"/>
  <c r="B913" i="54" s="1"/>
  <c r="B921" i="54" a="1"/>
  <c r="B921" i="54" s="1"/>
  <c r="B929" i="54" a="1"/>
  <c r="B929" i="54" s="1"/>
  <c r="A576" i="54" a="1"/>
  <c r="A576" i="54" s="1"/>
  <c r="A586" i="54" a="1"/>
  <c r="A586" i="54" s="1"/>
  <c r="A636" i="54" a="1"/>
  <c r="A636" i="54" s="1"/>
  <c r="A768" i="54" a="1"/>
  <c r="A768" i="54" s="1"/>
  <c r="B818" i="54" a="1"/>
  <c r="B818" i="54" s="1"/>
  <c r="B826" i="54" a="1"/>
  <c r="B826" i="54" s="1"/>
  <c r="B834" i="54" a="1"/>
  <c r="B834" i="54" s="1"/>
  <c r="B842" i="54" a="1"/>
  <c r="B842" i="54" s="1"/>
  <c r="B850" i="54" a="1"/>
  <c r="B850" i="54" s="1"/>
  <c r="B858" i="54" a="1"/>
  <c r="B858" i="54" s="1"/>
  <c r="B866" i="54" a="1"/>
  <c r="B866" i="54" s="1"/>
  <c r="B874" i="54" a="1"/>
  <c r="B874" i="54" s="1"/>
  <c r="B882" i="54" a="1"/>
  <c r="B882" i="54" s="1"/>
  <c r="B890" i="54" a="1"/>
  <c r="B890" i="54" s="1"/>
  <c r="B898" i="54" a="1"/>
  <c r="B898" i="54" s="1"/>
  <c r="B906" i="54" a="1"/>
  <c r="B906" i="54" s="1"/>
  <c r="B914" i="54" a="1"/>
  <c r="B914" i="54" s="1"/>
  <c r="B922" i="54" a="1"/>
  <c r="B922" i="54" s="1"/>
  <c r="B930" i="54" a="1"/>
  <c r="B930" i="54" s="1"/>
  <c r="A578" i="54" a="1"/>
  <c r="A578" i="54" s="1"/>
  <c r="A587" i="54" a="1"/>
  <c r="A587" i="54" s="1"/>
  <c r="A645" i="54" a="1"/>
  <c r="A645" i="54" s="1"/>
  <c r="A807" i="54" a="1"/>
  <c r="A807" i="54" s="1"/>
  <c r="B803" i="54" a="1"/>
  <c r="B803" i="54" s="1"/>
  <c r="B811" i="54" a="1"/>
  <c r="B811" i="54" s="1"/>
  <c r="B819" i="54" a="1"/>
  <c r="B819" i="54" s="1"/>
  <c r="B827" i="54" a="1"/>
  <c r="B827" i="54" s="1"/>
  <c r="B835" i="54" a="1"/>
  <c r="B835" i="54" s="1"/>
  <c r="B843" i="54" a="1"/>
  <c r="B843" i="54" s="1"/>
  <c r="B851" i="54" a="1"/>
  <c r="B851" i="54" s="1"/>
  <c r="B859" i="54" a="1"/>
  <c r="B859" i="54" s="1"/>
  <c r="B867" i="54" a="1"/>
  <c r="B867" i="54" s="1"/>
  <c r="B875" i="54" a="1"/>
  <c r="B875" i="54" s="1"/>
  <c r="B883" i="54" a="1"/>
  <c r="B883" i="54" s="1"/>
  <c r="B891" i="54" a="1"/>
  <c r="B891" i="54" s="1"/>
  <c r="B899" i="54" a="1"/>
  <c r="B899" i="54" s="1"/>
  <c r="B907" i="54" a="1"/>
  <c r="B907" i="54" s="1"/>
  <c r="B915" i="54" a="1"/>
  <c r="B915" i="54" s="1"/>
  <c r="B923" i="54" a="1"/>
  <c r="B923" i="54" s="1"/>
  <c r="B931" i="54" a="1"/>
  <c r="B931" i="54" s="1"/>
  <c r="A579" i="54" a="1"/>
  <c r="A579" i="54" s="1"/>
  <c r="A588" i="54" a="1"/>
  <c r="A588" i="54" s="1"/>
  <c r="A654" i="54" a="1"/>
  <c r="A654" i="54" s="1"/>
  <c r="A871" i="54" a="1"/>
  <c r="A871" i="54" s="1"/>
  <c r="P27" i="49"/>
  <c r="P14" i="49"/>
  <c r="P22" i="49"/>
  <c r="P16" i="49"/>
  <c r="P24" i="49"/>
  <c r="P13" i="49"/>
  <c r="P21" i="49"/>
  <c r="P29" i="49"/>
  <c r="A594" i="54" a="1"/>
  <c r="A594" i="54" s="1"/>
  <c r="A602" i="54" a="1"/>
  <c r="A602" i="54" s="1"/>
  <c r="A610" i="54" a="1"/>
  <c r="A610" i="54" s="1"/>
  <c r="A618" i="54" a="1"/>
  <c r="A618" i="54" s="1"/>
  <c r="A626" i="54" a="1"/>
  <c r="A626" i="54" s="1"/>
  <c r="A634" i="54" a="1"/>
  <c r="A634" i="54" s="1"/>
  <c r="A642" i="54" a="1"/>
  <c r="A642" i="54" s="1"/>
  <c r="A652" i="54" a="1"/>
  <c r="A652" i="54" s="1"/>
  <c r="A663" i="54" a="1"/>
  <c r="A663" i="54" s="1"/>
  <c r="A679" i="54" a="1"/>
  <c r="A679" i="54" s="1"/>
  <c r="A700" i="54" a="1"/>
  <c r="A700" i="54" s="1"/>
  <c r="A720" i="54" a="1"/>
  <c r="A720" i="54" s="1"/>
  <c r="A743" i="54" a="1"/>
  <c r="A743" i="54" s="1"/>
  <c r="A764" i="54" a="1"/>
  <c r="A764" i="54" s="1"/>
  <c r="A791" i="54" a="1"/>
  <c r="A791" i="54" s="1"/>
  <c r="A855" i="54" a="1"/>
  <c r="A855" i="54" s="1"/>
  <c r="A919" i="54" a="1"/>
  <c r="A919" i="54" s="1"/>
  <c r="A983" i="54" a="1"/>
  <c r="A983" i="54" s="1"/>
  <c r="A1047" i="54" a="1"/>
  <c r="A1047" i="54" s="1"/>
  <c r="P198" i="49"/>
  <c r="P237" i="49"/>
  <c r="P291" i="49"/>
  <c r="A595" i="54" a="1"/>
  <c r="A595" i="54" s="1"/>
  <c r="A603" i="54" a="1"/>
  <c r="A603" i="54" s="1"/>
  <c r="A611" i="54" a="1"/>
  <c r="A611" i="54" s="1"/>
  <c r="A619" i="54" a="1"/>
  <c r="A619" i="54" s="1"/>
  <c r="A627" i="54" a="1"/>
  <c r="A627" i="54" s="1"/>
  <c r="A635" i="54" a="1"/>
  <c r="A635" i="54" s="1"/>
  <c r="A644" i="54" a="1"/>
  <c r="A644" i="54" s="1"/>
  <c r="A653" i="54" a="1"/>
  <c r="A653" i="54" s="1"/>
  <c r="A664" i="54" a="1"/>
  <c r="A664" i="54" s="1"/>
  <c r="A680" i="54" a="1"/>
  <c r="A680" i="54" s="1"/>
  <c r="A703" i="54" a="1"/>
  <c r="A703" i="54" s="1"/>
  <c r="A724" i="54" a="1"/>
  <c r="A724" i="54" s="1"/>
  <c r="A744" i="54" a="1"/>
  <c r="A744" i="54" s="1"/>
  <c r="A767" i="54" a="1"/>
  <c r="A767" i="54" s="1"/>
  <c r="A799" i="54" a="1"/>
  <c r="A799" i="54" s="1"/>
  <c r="A863" i="54" a="1"/>
  <c r="A863" i="54" s="1"/>
  <c r="A927" i="54" a="1"/>
  <c r="A927" i="54" s="1"/>
  <c r="A991" i="54" a="1"/>
  <c r="A991" i="54" s="1"/>
  <c r="P299" i="49"/>
  <c r="A589" i="54" a="1"/>
  <c r="A589" i="54" s="1"/>
  <c r="A597" i="54" a="1"/>
  <c r="A597" i="54" s="1"/>
  <c r="A605" i="54" a="1"/>
  <c r="A605" i="54" s="1"/>
  <c r="A613" i="54" a="1"/>
  <c r="A613" i="54" s="1"/>
  <c r="A621" i="54" a="1"/>
  <c r="A621" i="54" s="1"/>
  <c r="A629" i="54" a="1"/>
  <c r="A629" i="54" s="1"/>
  <c r="A637" i="54" a="1"/>
  <c r="A637" i="54" s="1"/>
  <c r="A646" i="54" a="1"/>
  <c r="A646" i="54" s="1"/>
  <c r="A655" i="54" a="1"/>
  <c r="A655" i="54" s="1"/>
  <c r="A669" i="54" a="1"/>
  <c r="A669" i="54" s="1"/>
  <c r="A687" i="54" a="1"/>
  <c r="A687" i="54" s="1"/>
  <c r="A708" i="54" a="1"/>
  <c r="A708" i="54" s="1"/>
  <c r="A728" i="54" a="1"/>
  <c r="A728" i="54" s="1"/>
  <c r="A751" i="54" a="1"/>
  <c r="A751" i="54" s="1"/>
  <c r="A772" i="54" a="1"/>
  <c r="A772" i="54" s="1"/>
  <c r="A815" i="54" a="1"/>
  <c r="A815" i="54" s="1"/>
  <c r="A879" i="54" a="1"/>
  <c r="A879" i="54" s="1"/>
  <c r="A943" i="54" a="1"/>
  <c r="A943" i="54" s="1"/>
  <c r="A1007" i="54" a="1"/>
  <c r="A1007" i="54" s="1"/>
  <c r="P243" i="49"/>
  <c r="A590" i="54" a="1"/>
  <c r="A590" i="54" s="1"/>
  <c r="A598" i="54" a="1"/>
  <c r="A598" i="54" s="1"/>
  <c r="A606" i="54" a="1"/>
  <c r="A606" i="54" s="1"/>
  <c r="A614" i="54" a="1"/>
  <c r="A614" i="54" s="1"/>
  <c r="A622" i="54" a="1"/>
  <c r="A622" i="54" s="1"/>
  <c r="A630" i="54" a="1"/>
  <c r="A630" i="54" s="1"/>
  <c r="A638" i="54" a="1"/>
  <c r="A638" i="54" s="1"/>
  <c r="A647" i="54" a="1"/>
  <c r="A647" i="54" s="1"/>
  <c r="A656" i="54" a="1"/>
  <c r="A656" i="54" s="1"/>
  <c r="A671" i="54" a="1"/>
  <c r="A671" i="54" s="1"/>
  <c r="A688" i="54" a="1"/>
  <c r="A688" i="54" s="1"/>
  <c r="A711" i="54" a="1"/>
  <c r="A711" i="54" s="1"/>
  <c r="A732" i="54" a="1"/>
  <c r="A732" i="54" s="1"/>
  <c r="A752" i="54" a="1"/>
  <c r="A752" i="54" s="1"/>
  <c r="A775" i="54" a="1"/>
  <c r="A775" i="54" s="1"/>
  <c r="A823" i="54" a="1"/>
  <c r="A823" i="54" s="1"/>
  <c r="A887" i="54" a="1"/>
  <c r="A887" i="54" s="1"/>
  <c r="A951" i="54" a="1"/>
  <c r="A951" i="54" s="1"/>
  <c r="A1015" i="54" a="1"/>
  <c r="A1015" i="54" s="1"/>
  <c r="P189" i="49"/>
  <c r="P451" i="49"/>
  <c r="A591" i="54" a="1"/>
  <c r="A591" i="54" s="1"/>
  <c r="A599" i="54" a="1"/>
  <c r="A599" i="54" s="1"/>
  <c r="A607" i="54" a="1"/>
  <c r="A607" i="54" s="1"/>
  <c r="A615" i="54" a="1"/>
  <c r="A615" i="54" s="1"/>
  <c r="A623" i="54" a="1"/>
  <c r="A623" i="54" s="1"/>
  <c r="A631" i="54" a="1"/>
  <c r="A631" i="54" s="1"/>
  <c r="A639" i="54" a="1"/>
  <c r="A639" i="54" s="1"/>
  <c r="A648" i="54" a="1"/>
  <c r="A648" i="54" s="1"/>
  <c r="A657" i="54" a="1"/>
  <c r="A657" i="54" s="1"/>
  <c r="A672" i="54" a="1"/>
  <c r="A672" i="54" s="1"/>
  <c r="A692" i="54" a="1"/>
  <c r="A692" i="54" s="1"/>
  <c r="A712" i="54" a="1"/>
  <c r="A712" i="54" s="1"/>
  <c r="A735" i="54" a="1"/>
  <c r="A735" i="54" s="1"/>
  <c r="A756" i="54" a="1"/>
  <c r="A756" i="54" s="1"/>
  <c r="A776" i="54" a="1"/>
  <c r="A776" i="54" s="1"/>
  <c r="A831" i="54" a="1"/>
  <c r="A831" i="54" s="1"/>
  <c r="A895" i="54" a="1"/>
  <c r="A895" i="54" s="1"/>
  <c r="A959" i="54" a="1"/>
  <c r="A959" i="54" s="1"/>
  <c r="A1023" i="54" a="1"/>
  <c r="A1023" i="54" s="1"/>
  <c r="P40" i="49"/>
  <c r="A592" i="54" a="1"/>
  <c r="A592" i="54" s="1"/>
  <c r="A600" i="54" a="1"/>
  <c r="A600" i="54" s="1"/>
  <c r="A608" i="54" a="1"/>
  <c r="A608" i="54" s="1"/>
  <c r="A616" i="54" a="1"/>
  <c r="A616" i="54" s="1"/>
  <c r="A624" i="54" a="1"/>
  <c r="A624" i="54" s="1"/>
  <c r="A632" i="54" a="1"/>
  <c r="A632" i="54" s="1"/>
  <c r="A640" i="54" a="1"/>
  <c r="A640" i="54" s="1"/>
  <c r="A649" i="54" a="1"/>
  <c r="A649" i="54" s="1"/>
  <c r="A660" i="54" a="1"/>
  <c r="A660" i="54" s="1"/>
  <c r="A676" i="54" a="1"/>
  <c r="A676" i="54" s="1"/>
  <c r="A695" i="54" a="1"/>
  <c r="A695" i="54" s="1"/>
  <c r="A716" i="54" a="1"/>
  <c r="A716" i="54" s="1"/>
  <c r="A736" i="54" a="1"/>
  <c r="A736" i="54" s="1"/>
  <c r="A759" i="54" a="1"/>
  <c r="A759" i="54" s="1"/>
  <c r="A783" i="54" a="1"/>
  <c r="A783" i="54" s="1"/>
  <c r="A839" i="54" a="1"/>
  <c r="A839" i="54" s="1"/>
  <c r="A903" i="54" a="1"/>
  <c r="A903" i="54" s="1"/>
  <c r="A967" i="54" a="1"/>
  <c r="A967" i="54" s="1"/>
  <c r="A1031" i="54" a="1"/>
  <c r="A1031" i="54" s="1"/>
  <c r="A577" i="54" a="1"/>
  <c r="A577" i="54" s="1"/>
  <c r="A585" i="54" a="1"/>
  <c r="A585" i="54" s="1"/>
  <c r="A593" i="54" a="1"/>
  <c r="A593" i="54" s="1"/>
  <c r="A601" i="54" a="1"/>
  <c r="A601" i="54" s="1"/>
  <c r="A609" i="54" a="1"/>
  <c r="A609" i="54" s="1"/>
  <c r="A617" i="54" a="1"/>
  <c r="A617" i="54" s="1"/>
  <c r="A625" i="54" a="1"/>
  <c r="A625" i="54" s="1"/>
  <c r="A633" i="54" a="1"/>
  <c r="A633" i="54" s="1"/>
  <c r="A641" i="54" a="1"/>
  <c r="A641" i="54" s="1"/>
  <c r="A650" i="54" a="1"/>
  <c r="A650" i="54" s="1"/>
  <c r="A661" i="54" a="1"/>
  <c r="A661" i="54" s="1"/>
  <c r="A677" i="54" a="1"/>
  <c r="A677" i="54" s="1"/>
  <c r="A696" i="54" a="1"/>
  <c r="A696" i="54" s="1"/>
  <c r="A719" i="54" a="1"/>
  <c r="A719" i="54" s="1"/>
  <c r="A740" i="54" a="1"/>
  <c r="A740" i="54" s="1"/>
  <c r="A760" i="54" a="1"/>
  <c r="A760" i="54" s="1"/>
  <c r="A784" i="54" a="1"/>
  <c r="A784" i="54" s="1"/>
  <c r="A847" i="54" a="1"/>
  <c r="A847" i="54" s="1"/>
  <c r="A911" i="54" a="1"/>
  <c r="A911" i="54" s="1"/>
  <c r="A975" i="54" a="1"/>
  <c r="A975" i="54" s="1"/>
  <c r="A1039" i="54" a="1"/>
  <c r="A1039" i="54" s="1"/>
  <c r="P183" i="49"/>
  <c r="P324" i="49"/>
  <c r="A1055" i="54" a="1"/>
  <c r="A1055" i="54" s="1"/>
  <c r="P68" i="49"/>
  <c r="P112" i="49"/>
  <c r="P236" i="49"/>
  <c r="P340" i="49"/>
  <c r="P365" i="49"/>
  <c r="A1103" i="54" a="1"/>
  <c r="A1103" i="54" s="1"/>
  <c r="A1215" i="54" a="1"/>
  <c r="A1215" i="54" s="1"/>
  <c r="P462" i="49"/>
  <c r="P32" i="49"/>
  <c r="P120" i="49"/>
  <c r="P171" i="49"/>
  <c r="P182" i="49"/>
  <c r="P197" i="49"/>
  <c r="P276" i="49"/>
  <c r="P283" i="49"/>
  <c r="P363" i="49"/>
  <c r="P413" i="49"/>
  <c r="P77" i="49"/>
  <c r="P85" i="49"/>
  <c r="P106" i="49"/>
  <c r="P109" i="49"/>
  <c r="P128" i="49"/>
  <c r="P159" i="49"/>
  <c r="P220" i="49"/>
  <c r="P251" i="49"/>
  <c r="P262" i="49"/>
  <c r="P316" i="49"/>
  <c r="P323" i="49"/>
  <c r="P147" i="49"/>
  <c r="P178" i="49"/>
  <c r="P202" i="49"/>
  <c r="P51" i="49"/>
  <c r="P57" i="49"/>
  <c r="P71" i="49"/>
  <c r="P172" i="49"/>
  <c r="P44" i="49"/>
  <c r="P67" i="49"/>
  <c r="P81" i="49"/>
  <c r="P152" i="49"/>
  <c r="P266" i="49"/>
  <c r="P403" i="49"/>
  <c r="P49" i="49"/>
  <c r="P55" i="49"/>
  <c r="P65" i="49"/>
  <c r="P76" i="49"/>
  <c r="P90" i="49"/>
  <c r="P96" i="49"/>
  <c r="P104" i="49"/>
  <c r="P168" i="49"/>
  <c r="P176" i="49"/>
  <c r="P203" i="49"/>
  <c r="P214" i="49"/>
  <c r="P227" i="49"/>
  <c r="P245" i="49"/>
  <c r="P253" i="49"/>
  <c r="P267" i="49"/>
  <c r="P331" i="49"/>
  <c r="P349" i="49"/>
  <c r="P372" i="49"/>
  <c r="P387" i="49"/>
  <c r="P404" i="49"/>
  <c r="P429" i="49"/>
  <c r="P444" i="49"/>
  <c r="P142" i="49"/>
  <c r="P158" i="49"/>
  <c r="P174" i="49"/>
  <c r="P33" i="49"/>
  <c r="P41" i="49"/>
  <c r="P59" i="49"/>
  <c r="P70" i="49"/>
  <c r="P100" i="49"/>
  <c r="P108" i="49"/>
  <c r="P114" i="49"/>
  <c r="P122" i="49"/>
  <c r="P132" i="49"/>
  <c r="P144" i="49"/>
  <c r="P146" i="49"/>
  <c r="P164" i="49"/>
  <c r="P180" i="49"/>
  <c r="P205" i="49"/>
  <c r="P229" i="49"/>
  <c r="P269" i="49"/>
  <c r="P333" i="49"/>
  <c r="P356" i="49"/>
  <c r="P379" i="49"/>
  <c r="P411" i="49"/>
  <c r="P421" i="49"/>
  <c r="P436" i="49"/>
  <c r="P35" i="49"/>
  <c r="P43" i="49"/>
  <c r="P62" i="49"/>
  <c r="P72" i="49"/>
  <c r="P75" i="49"/>
  <c r="P83" i="49"/>
  <c r="P116" i="49"/>
  <c r="P124" i="49"/>
  <c r="P136" i="49"/>
  <c r="P138" i="49"/>
  <c r="P148" i="49"/>
  <c r="P150" i="49"/>
  <c r="P154" i="49"/>
  <c r="M30" i="54" s="1" a="1"/>
  <c r="M30" i="54" s="1"/>
  <c r="P169" i="49"/>
  <c r="P186" i="49"/>
  <c r="P258" i="49"/>
  <c r="P46" i="49"/>
  <c r="P54" i="49"/>
  <c r="P66" i="49"/>
  <c r="P91" i="49"/>
  <c r="P95" i="49"/>
  <c r="P161" i="49"/>
  <c r="P177" i="49"/>
  <c r="P56" i="49"/>
  <c r="P60" i="49"/>
  <c r="P97" i="49"/>
  <c r="P101" i="49"/>
  <c r="P105" i="49"/>
  <c r="P107" i="49"/>
  <c r="P119" i="49"/>
  <c r="P127" i="49"/>
  <c r="P129" i="49"/>
  <c r="P131" i="49"/>
  <c r="P163" i="49"/>
  <c r="P173" i="49"/>
  <c r="P210" i="49"/>
  <c r="P274" i="49"/>
  <c r="P282" i="49"/>
  <c r="P290" i="49"/>
  <c r="P298" i="49"/>
  <c r="P306" i="49"/>
  <c r="P314" i="49"/>
  <c r="P322" i="49"/>
  <c r="P115" i="49"/>
  <c r="P137" i="49"/>
  <c r="M26" i="54" s="1" a="1"/>
  <c r="M26" i="54" s="1"/>
  <c r="P141" i="49"/>
  <c r="M27" i="54" s="1" a="1"/>
  <c r="M27" i="54" s="1"/>
  <c r="P145" i="49"/>
  <c r="P157" i="49"/>
  <c r="M31" i="54" s="1" a="1"/>
  <c r="M31" i="54" s="1"/>
  <c r="P390" i="49"/>
  <c r="P47" i="49"/>
  <c r="P63" i="49"/>
  <c r="P73" i="49"/>
  <c r="P82" i="49"/>
  <c r="P88" i="49"/>
  <c r="P135" i="49"/>
  <c r="M25" i="54" s="1" a="1"/>
  <c r="M25" i="54" s="1"/>
  <c r="P139" i="49"/>
  <c r="P149" i="49"/>
  <c r="P155" i="49"/>
  <c r="P380" i="49"/>
  <c r="P454" i="49"/>
  <c r="P200" i="49"/>
  <c r="P247" i="49"/>
  <c r="P265" i="49"/>
  <c r="P337" i="49"/>
  <c r="P401" i="49"/>
  <c r="P37" i="49"/>
  <c r="P45" i="49"/>
  <c r="P53" i="49"/>
  <c r="P61" i="49"/>
  <c r="P69" i="49"/>
  <c r="P78" i="49"/>
  <c r="P86" i="49"/>
  <c r="P94" i="49"/>
  <c r="P102" i="49"/>
  <c r="P110" i="49"/>
  <c r="P118" i="49"/>
  <c r="P126" i="49"/>
  <c r="P140" i="49"/>
  <c r="P156" i="49"/>
  <c r="P165" i="49"/>
  <c r="P185" i="49"/>
  <c r="P208" i="49"/>
  <c r="P218" i="49"/>
  <c r="P226" i="49"/>
  <c r="P234" i="49"/>
  <c r="P242" i="49"/>
  <c r="P255" i="49"/>
  <c r="P273" i="49"/>
  <c r="P281" i="49"/>
  <c r="P289" i="49"/>
  <c r="P297" i="49"/>
  <c r="P305" i="49"/>
  <c r="P313" i="49"/>
  <c r="P321" i="49"/>
  <c r="P329" i="49"/>
  <c r="P393" i="49"/>
  <c r="P457" i="49"/>
  <c r="P167" i="49"/>
  <c r="P193" i="49"/>
  <c r="P216" i="49"/>
  <c r="P224" i="49"/>
  <c r="P232" i="49"/>
  <c r="P240" i="49"/>
  <c r="P250" i="49"/>
  <c r="P263" i="49"/>
  <c r="P385" i="49"/>
  <c r="P449" i="49"/>
  <c r="P201" i="49"/>
  <c r="P248" i="49"/>
  <c r="P271" i="49"/>
  <c r="P279" i="49"/>
  <c r="P287" i="49"/>
  <c r="P295" i="49"/>
  <c r="P303" i="49"/>
  <c r="P311" i="49"/>
  <c r="P319" i="49"/>
  <c r="P377" i="49"/>
  <c r="P441" i="49"/>
  <c r="P191" i="49"/>
  <c r="P209" i="49"/>
  <c r="P256" i="49"/>
  <c r="P330" i="49"/>
  <c r="P369" i="49"/>
  <c r="P433" i="49"/>
  <c r="P199" i="49"/>
  <c r="P217" i="49"/>
  <c r="P225" i="49"/>
  <c r="P233" i="49"/>
  <c r="P241" i="49"/>
  <c r="P264" i="49"/>
  <c r="P361" i="49"/>
  <c r="P425" i="49"/>
  <c r="P175" i="49"/>
  <c r="P184" i="49"/>
  <c r="P194" i="49"/>
  <c r="P207" i="49"/>
  <c r="P249" i="49"/>
  <c r="P272" i="49"/>
  <c r="P280" i="49"/>
  <c r="P288" i="49"/>
  <c r="P353" i="49"/>
  <c r="P417" i="49"/>
  <c r="P192" i="49"/>
  <c r="P215" i="49"/>
  <c r="P223" i="49"/>
  <c r="P231" i="49"/>
  <c r="P239" i="49"/>
  <c r="P257" i="49"/>
  <c r="P345" i="49"/>
  <c r="P409" i="49"/>
  <c r="P296" i="49"/>
  <c r="P304" i="49"/>
  <c r="P312" i="49"/>
  <c r="P320" i="49"/>
  <c r="P328" i="49"/>
  <c r="P336" i="49"/>
  <c r="P344" i="49"/>
  <c r="P352" i="49"/>
  <c r="P360" i="49"/>
  <c r="P368" i="49"/>
  <c r="P376" i="49"/>
  <c r="P384" i="49"/>
  <c r="P392" i="49"/>
  <c r="P400" i="49"/>
  <c r="P408" i="49"/>
  <c r="P416" i="49"/>
  <c r="P424" i="49"/>
  <c r="P432" i="49"/>
  <c r="P440" i="49"/>
  <c r="P448" i="49"/>
  <c r="P456" i="49"/>
  <c r="P464" i="49"/>
  <c r="A1063" i="54" a="1"/>
  <c r="A1063" i="54" s="1"/>
  <c r="A1071" i="54" a="1"/>
  <c r="A1071" i="54" s="1"/>
  <c r="A1079" i="54" a="1"/>
  <c r="A1079" i="54" s="1"/>
  <c r="A1087" i="54" a="1"/>
  <c r="A1087" i="54" s="1"/>
  <c r="A1223" i="54" a="1"/>
  <c r="A1223" i="54" s="1"/>
  <c r="A1095" i="54" a="1"/>
  <c r="A1095" i="54" s="1"/>
  <c r="A1111" i="54" a="1"/>
  <c r="A1111" i="54" s="1"/>
  <c r="A1127" i="54" a="1"/>
  <c r="A1127" i="54" s="1"/>
  <c r="A1159" i="54" a="1"/>
  <c r="A1159" i="54" s="1"/>
  <c r="A1167" i="54" a="1"/>
  <c r="A1167" i="54" s="1"/>
  <c r="C1" i="54" a="1"/>
  <c r="C1" i="54" s="1"/>
  <c r="A1135" i="54" a="1"/>
  <c r="A1135" i="54" s="1"/>
  <c r="A1233" i="54" a="1"/>
  <c r="A1233" i="54" s="1"/>
  <c r="A1119" i="54" a="1"/>
  <c r="A1119" i="54" s="1"/>
  <c r="A1151" i="54" a="1"/>
  <c r="A1151" i="54" s="1"/>
  <c r="A1143" i="54" a="1"/>
  <c r="A1143" i="54" s="1"/>
  <c r="P692" i="49"/>
  <c r="A1199" i="54" a="1"/>
  <c r="A1199" i="54" s="1"/>
  <c r="P1060" i="49"/>
  <c r="P778" i="49"/>
  <c r="P922" i="49"/>
  <c r="A1207" i="54" a="1"/>
  <c r="A1207" i="54" s="1"/>
  <c r="A1175" i="54" a="1"/>
  <c r="A1175" i="54" s="1"/>
  <c r="A1183" i="54" a="1"/>
  <c r="A1183" i="54" s="1"/>
  <c r="A1191" i="54" a="1"/>
  <c r="A1191" i="54" s="1"/>
  <c r="A662" i="54" a="1"/>
  <c r="A662" i="54" s="1"/>
  <c r="A670" i="54" a="1"/>
  <c r="A670" i="54" s="1"/>
  <c r="A678" i="54" a="1"/>
  <c r="A678" i="54" s="1"/>
  <c r="A686" i="54" a="1"/>
  <c r="A686" i="54" s="1"/>
  <c r="A694" i="54" a="1"/>
  <c r="A694" i="54" s="1"/>
  <c r="A702" i="54" a="1"/>
  <c r="A702" i="54" s="1"/>
  <c r="A710" i="54" a="1"/>
  <c r="A710" i="54" s="1"/>
  <c r="A718" i="54" a="1"/>
  <c r="A718" i="54" s="1"/>
  <c r="A726" i="54" a="1"/>
  <c r="A726" i="54" s="1"/>
  <c r="A734" i="54" a="1"/>
  <c r="A734" i="54" s="1"/>
  <c r="A742" i="54" a="1"/>
  <c r="A742" i="54" s="1"/>
  <c r="A750" i="54" a="1"/>
  <c r="A750" i="54" s="1"/>
  <c r="A758" i="54" a="1"/>
  <c r="A758" i="54" s="1"/>
  <c r="A766" i="54" a="1"/>
  <c r="A766" i="54" s="1"/>
  <c r="A774" i="54" a="1"/>
  <c r="A774" i="54" s="1"/>
  <c r="A782" i="54" a="1"/>
  <c r="A782" i="54" s="1"/>
  <c r="A790" i="54" a="1"/>
  <c r="A790" i="54" s="1"/>
  <c r="A798" i="54" a="1"/>
  <c r="A798" i="54" s="1"/>
  <c r="A806" i="54" a="1"/>
  <c r="A806" i="54" s="1"/>
  <c r="A814" i="54" a="1"/>
  <c r="A814" i="54" s="1"/>
  <c r="A822" i="54" a="1"/>
  <c r="A822" i="54" s="1"/>
  <c r="A830" i="54" a="1"/>
  <c r="A830" i="54" s="1"/>
  <c r="A838" i="54" a="1"/>
  <c r="A838" i="54" s="1"/>
  <c r="A846" i="54" a="1"/>
  <c r="A846" i="54" s="1"/>
  <c r="A854" i="54" a="1"/>
  <c r="A854" i="54" s="1"/>
  <c r="A862" i="54" a="1"/>
  <c r="A862" i="54" s="1"/>
  <c r="A870" i="54" a="1"/>
  <c r="A870" i="54" s="1"/>
  <c r="A878" i="54" a="1"/>
  <c r="A878" i="54" s="1"/>
  <c r="A886" i="54" a="1"/>
  <c r="A886" i="54" s="1"/>
  <c r="A894" i="54" a="1"/>
  <c r="A894" i="54" s="1"/>
  <c r="A902" i="54" a="1"/>
  <c r="A902" i="54" s="1"/>
  <c r="A910" i="54" a="1"/>
  <c r="A910" i="54" s="1"/>
  <c r="A918" i="54" a="1"/>
  <c r="A918" i="54" s="1"/>
  <c r="A926" i="54" a="1"/>
  <c r="A926" i="54" s="1"/>
  <c r="A934" i="54" a="1"/>
  <c r="A934" i="54" s="1"/>
  <c r="A942" i="54" a="1"/>
  <c r="A942" i="54" s="1"/>
  <c r="A950" i="54" a="1"/>
  <c r="A950" i="54" s="1"/>
  <c r="A958" i="54" a="1"/>
  <c r="A958" i="54" s="1"/>
  <c r="A966" i="54" a="1"/>
  <c r="A966" i="54" s="1"/>
  <c r="A974" i="54" a="1"/>
  <c r="A974" i="54" s="1"/>
  <c r="A982" i="54" a="1"/>
  <c r="A982" i="54" s="1"/>
  <c r="A990" i="54" a="1"/>
  <c r="A990" i="54" s="1"/>
  <c r="A998" i="54" a="1"/>
  <c r="A998" i="54" s="1"/>
  <c r="A1006" i="54" a="1"/>
  <c r="A1006" i="54" s="1"/>
  <c r="A1014" i="54" a="1"/>
  <c r="A1014" i="54" s="1"/>
  <c r="A1022" i="54" a="1"/>
  <c r="A1022" i="54" s="1"/>
  <c r="A1030" i="54" a="1"/>
  <c r="A1030" i="54" s="1"/>
  <c r="A1038" i="54" a="1"/>
  <c r="A1038" i="54" s="1"/>
  <c r="A1046" i="54" a="1"/>
  <c r="A1046" i="54" s="1"/>
  <c r="A1054" i="54" a="1"/>
  <c r="A1054" i="54" s="1"/>
  <c r="A1062" i="54" a="1"/>
  <c r="A1062" i="54" s="1"/>
  <c r="A1070" i="54" a="1"/>
  <c r="A1070" i="54" s="1"/>
  <c r="A1078" i="54" a="1"/>
  <c r="A1078" i="54" s="1"/>
  <c r="A1086" i="54" a="1"/>
  <c r="A1086" i="54" s="1"/>
  <c r="A1094" i="54" a="1"/>
  <c r="A1094" i="54" s="1"/>
  <c r="A1102" i="54" a="1"/>
  <c r="A1102" i="54" s="1"/>
  <c r="A1110" i="54" a="1"/>
  <c r="A1110" i="54" s="1"/>
  <c r="A1118" i="54" a="1"/>
  <c r="A1118" i="54" s="1"/>
  <c r="A1126" i="54" a="1"/>
  <c r="A1126" i="54" s="1"/>
  <c r="A1134" i="54" a="1"/>
  <c r="A1134" i="54" s="1"/>
  <c r="A1142" i="54" a="1"/>
  <c r="A1142" i="54" s="1"/>
  <c r="A1150" i="54" a="1"/>
  <c r="A1150" i="54" s="1"/>
  <c r="A1158" i="54" a="1"/>
  <c r="A1158" i="54" s="1"/>
  <c r="A1166" i="54" a="1"/>
  <c r="A1166" i="54" s="1"/>
  <c r="A1174" i="54" a="1"/>
  <c r="A1174" i="54" s="1"/>
  <c r="A1182" i="54" a="1"/>
  <c r="A1182" i="54" s="1"/>
  <c r="A1190" i="54" a="1"/>
  <c r="A1190" i="54" s="1"/>
  <c r="A1198" i="54" a="1"/>
  <c r="A1198" i="54" s="1"/>
  <c r="A1206" i="54" a="1"/>
  <c r="A1206" i="54" s="1"/>
  <c r="A1214" i="54" a="1"/>
  <c r="A1214" i="54" s="1"/>
  <c r="A1222" i="54" a="1"/>
  <c r="A1222" i="54" s="1"/>
  <c r="A1232" i="54" a="1"/>
  <c r="A1232" i="54" s="1"/>
  <c r="A1254" i="54" a="1"/>
  <c r="A1254" i="54" s="1"/>
  <c r="A792" i="54" a="1"/>
  <c r="A792" i="54" s="1"/>
  <c r="A800" i="54" a="1"/>
  <c r="A800" i="54" s="1"/>
  <c r="A808" i="54" a="1"/>
  <c r="A808" i="54" s="1"/>
  <c r="A816" i="54" a="1"/>
  <c r="A816" i="54" s="1"/>
  <c r="A824" i="54" a="1"/>
  <c r="A824" i="54" s="1"/>
  <c r="A832" i="54" a="1"/>
  <c r="A832" i="54" s="1"/>
  <c r="A840" i="54" a="1"/>
  <c r="A840" i="54" s="1"/>
  <c r="A848" i="54" a="1"/>
  <c r="A848" i="54" s="1"/>
  <c r="A856" i="54" a="1"/>
  <c r="A856" i="54" s="1"/>
  <c r="A864" i="54" a="1"/>
  <c r="A864" i="54" s="1"/>
  <c r="A872" i="54" a="1"/>
  <c r="A872" i="54" s="1"/>
  <c r="A880" i="54" a="1"/>
  <c r="A880" i="54" s="1"/>
  <c r="A888" i="54" a="1"/>
  <c r="A888" i="54" s="1"/>
  <c r="A896" i="54" a="1"/>
  <c r="A896" i="54" s="1"/>
  <c r="A904" i="54" a="1"/>
  <c r="A904" i="54" s="1"/>
  <c r="A912" i="54" a="1"/>
  <c r="A912" i="54" s="1"/>
  <c r="A920" i="54" a="1"/>
  <c r="A920" i="54" s="1"/>
  <c r="A928" i="54" a="1"/>
  <c r="A928" i="54" s="1"/>
  <c r="A936" i="54" a="1"/>
  <c r="A936" i="54" s="1"/>
  <c r="A944" i="54" a="1"/>
  <c r="A944" i="54" s="1"/>
  <c r="A952" i="54" a="1"/>
  <c r="A952" i="54" s="1"/>
  <c r="A960" i="54" a="1"/>
  <c r="A960" i="54" s="1"/>
  <c r="A968" i="54" a="1"/>
  <c r="A968" i="54" s="1"/>
  <c r="A976" i="54" a="1"/>
  <c r="A976" i="54" s="1"/>
  <c r="A984" i="54" a="1"/>
  <c r="A984" i="54" s="1"/>
  <c r="A992" i="54" a="1"/>
  <c r="A992" i="54" s="1"/>
  <c r="A1000" i="54" a="1"/>
  <c r="A1000" i="54" s="1"/>
  <c r="A1008" i="54" a="1"/>
  <c r="A1008" i="54" s="1"/>
  <c r="A1016" i="54" a="1"/>
  <c r="A1016" i="54" s="1"/>
  <c r="A1024" i="54" a="1"/>
  <c r="A1024" i="54" s="1"/>
  <c r="A1032" i="54" a="1"/>
  <c r="A1032" i="54" s="1"/>
  <c r="A1040" i="54" a="1"/>
  <c r="A1040" i="54" s="1"/>
  <c r="A1048" i="54" a="1"/>
  <c r="A1048" i="54" s="1"/>
  <c r="A1056" i="54" a="1"/>
  <c r="A1056" i="54" s="1"/>
  <c r="A1064" i="54" a="1"/>
  <c r="A1064" i="54" s="1"/>
  <c r="A1072" i="54" a="1"/>
  <c r="A1072" i="54" s="1"/>
  <c r="A1080" i="54" a="1"/>
  <c r="A1080" i="54" s="1"/>
  <c r="A1088" i="54" a="1"/>
  <c r="A1088" i="54" s="1"/>
  <c r="A1096" i="54" a="1"/>
  <c r="A1096" i="54" s="1"/>
  <c r="A1104" i="54" a="1"/>
  <c r="A1104" i="54" s="1"/>
  <c r="A1112" i="54" a="1"/>
  <c r="A1112" i="54" s="1"/>
  <c r="A1120" i="54" a="1"/>
  <c r="A1120" i="54" s="1"/>
  <c r="A1128" i="54" a="1"/>
  <c r="A1128" i="54" s="1"/>
  <c r="A1136" i="54" a="1"/>
  <c r="A1136" i="54" s="1"/>
  <c r="A1144" i="54" a="1"/>
  <c r="A1144" i="54" s="1"/>
  <c r="A1152" i="54" a="1"/>
  <c r="A1152" i="54" s="1"/>
  <c r="A1160" i="54" a="1"/>
  <c r="A1160" i="54" s="1"/>
  <c r="A1168" i="54" a="1"/>
  <c r="A1168" i="54" s="1"/>
  <c r="A1176" i="54" a="1"/>
  <c r="A1176" i="54" s="1"/>
  <c r="A1184" i="54" a="1"/>
  <c r="A1184" i="54" s="1"/>
  <c r="A1192" i="54" a="1"/>
  <c r="A1192" i="54" s="1"/>
  <c r="A1200" i="54" a="1"/>
  <c r="A1200" i="54" s="1"/>
  <c r="A1208" i="54" a="1"/>
  <c r="A1208" i="54" s="1"/>
  <c r="A1216" i="54" a="1"/>
  <c r="A1216" i="54" s="1"/>
  <c r="A1224" i="54" a="1"/>
  <c r="A1224" i="54" s="1"/>
  <c r="A1234" i="54" a="1"/>
  <c r="A1234" i="54" s="1"/>
  <c r="A665" i="54" a="1"/>
  <c r="A665" i="54" s="1"/>
  <c r="A673" i="54" a="1"/>
  <c r="A673" i="54" s="1"/>
  <c r="A681" i="54" a="1"/>
  <c r="A681" i="54" s="1"/>
  <c r="A689" i="54" a="1"/>
  <c r="A689" i="54" s="1"/>
  <c r="A697" i="54" a="1"/>
  <c r="A697" i="54" s="1"/>
  <c r="A705" i="54" a="1"/>
  <c r="A705" i="54" s="1"/>
  <c r="A713" i="54" a="1"/>
  <c r="A713" i="54" s="1"/>
  <c r="A721" i="54" a="1"/>
  <c r="A721" i="54" s="1"/>
  <c r="A729" i="54" a="1"/>
  <c r="A729" i="54" s="1"/>
  <c r="A737" i="54" a="1"/>
  <c r="A737" i="54" s="1"/>
  <c r="A745" i="54" a="1"/>
  <c r="A745" i="54" s="1"/>
  <c r="A753" i="54" a="1"/>
  <c r="A753" i="54" s="1"/>
  <c r="A761" i="54" a="1"/>
  <c r="A761" i="54" s="1"/>
  <c r="A769" i="54" a="1"/>
  <c r="A769" i="54" s="1"/>
  <c r="A777" i="54" a="1"/>
  <c r="A777" i="54" s="1"/>
  <c r="A785" i="54" a="1"/>
  <c r="A785" i="54" s="1"/>
  <c r="A793" i="54" a="1"/>
  <c r="A793" i="54" s="1"/>
  <c r="A801" i="54" a="1"/>
  <c r="A801" i="54" s="1"/>
  <c r="A809" i="54" a="1"/>
  <c r="A809" i="54" s="1"/>
  <c r="A817" i="54" a="1"/>
  <c r="A817" i="54" s="1"/>
  <c r="A825" i="54" a="1"/>
  <c r="A825" i="54" s="1"/>
  <c r="A833" i="54" a="1"/>
  <c r="A833" i="54" s="1"/>
  <c r="A841" i="54" a="1"/>
  <c r="A841" i="54" s="1"/>
  <c r="A849" i="54" a="1"/>
  <c r="A849" i="54" s="1"/>
  <c r="A857" i="54" a="1"/>
  <c r="A857" i="54" s="1"/>
  <c r="A865" i="54" a="1"/>
  <c r="A865" i="54" s="1"/>
  <c r="A873" i="54" a="1"/>
  <c r="A873" i="54" s="1"/>
  <c r="A881" i="54" a="1"/>
  <c r="A881" i="54" s="1"/>
  <c r="A889" i="54" a="1"/>
  <c r="A889" i="54" s="1"/>
  <c r="A897" i="54" a="1"/>
  <c r="A897" i="54" s="1"/>
  <c r="A905" i="54" a="1"/>
  <c r="A905" i="54" s="1"/>
  <c r="A913" i="54" a="1"/>
  <c r="A913" i="54" s="1"/>
  <c r="A921" i="54" a="1"/>
  <c r="A921" i="54" s="1"/>
  <c r="A929" i="54" a="1"/>
  <c r="A929" i="54" s="1"/>
  <c r="A937" i="54" a="1"/>
  <c r="A937" i="54" s="1"/>
  <c r="A945" i="54" a="1"/>
  <c r="A945" i="54" s="1"/>
  <c r="A953" i="54" a="1"/>
  <c r="A953" i="54" s="1"/>
  <c r="A961" i="54" a="1"/>
  <c r="A961" i="54" s="1"/>
  <c r="A969" i="54" a="1"/>
  <c r="A969" i="54" s="1"/>
  <c r="A977" i="54" a="1"/>
  <c r="A977" i="54" s="1"/>
  <c r="A985" i="54" a="1"/>
  <c r="A985" i="54" s="1"/>
  <c r="A993" i="54" a="1"/>
  <c r="A993" i="54" s="1"/>
  <c r="A1001" i="54" a="1"/>
  <c r="A1001" i="54" s="1"/>
  <c r="A1009" i="54" a="1"/>
  <c r="A1009" i="54" s="1"/>
  <c r="A1017" i="54" a="1"/>
  <c r="A1017" i="54" s="1"/>
  <c r="A1025" i="54" a="1"/>
  <c r="A1025" i="54" s="1"/>
  <c r="A1033" i="54" a="1"/>
  <c r="A1033" i="54" s="1"/>
  <c r="A1041" i="54" a="1"/>
  <c r="A1041" i="54" s="1"/>
  <c r="A1049" i="54" a="1"/>
  <c r="A1049" i="54" s="1"/>
  <c r="A1057" i="54" a="1"/>
  <c r="A1057" i="54" s="1"/>
  <c r="A1065" i="54" a="1"/>
  <c r="A1065" i="54" s="1"/>
  <c r="A1073" i="54" a="1"/>
  <c r="A1073" i="54" s="1"/>
  <c r="A1081" i="54" a="1"/>
  <c r="A1081" i="54" s="1"/>
  <c r="A1089" i="54" a="1"/>
  <c r="A1089" i="54" s="1"/>
  <c r="A1097" i="54" a="1"/>
  <c r="A1097" i="54" s="1"/>
  <c r="A1105" i="54" a="1"/>
  <c r="A1105" i="54" s="1"/>
  <c r="A1113" i="54" a="1"/>
  <c r="A1113" i="54" s="1"/>
  <c r="A1121" i="54" a="1"/>
  <c r="A1121" i="54" s="1"/>
  <c r="A1129" i="54" a="1"/>
  <c r="A1129" i="54" s="1"/>
  <c r="A1137" i="54" a="1"/>
  <c r="A1137" i="54" s="1"/>
  <c r="A1145" i="54" a="1"/>
  <c r="A1145" i="54" s="1"/>
  <c r="A1153" i="54" a="1"/>
  <c r="A1153" i="54" s="1"/>
  <c r="A1161" i="54" a="1"/>
  <c r="A1161" i="54" s="1"/>
  <c r="A1169" i="54" a="1"/>
  <c r="A1169" i="54" s="1"/>
  <c r="A1177" i="54" a="1"/>
  <c r="A1177" i="54" s="1"/>
  <c r="A1185" i="54" a="1"/>
  <c r="A1185" i="54" s="1"/>
  <c r="A1193" i="54" a="1"/>
  <c r="A1193" i="54" s="1"/>
  <c r="A1201" i="54" a="1"/>
  <c r="A1201" i="54" s="1"/>
  <c r="A1209" i="54" a="1"/>
  <c r="A1209" i="54" s="1"/>
  <c r="A1217" i="54" a="1"/>
  <c r="A1217" i="54" s="1"/>
  <c r="A1225" i="54" a="1"/>
  <c r="A1225" i="54" s="1"/>
  <c r="A1236" i="54" a="1"/>
  <c r="A1236" i="54" s="1"/>
  <c r="A658" i="54" a="1"/>
  <c r="A658" i="54" s="1"/>
  <c r="A666" i="54" a="1"/>
  <c r="A666" i="54" s="1"/>
  <c r="A674" i="54" a="1"/>
  <c r="A674" i="54" s="1"/>
  <c r="A682" i="54" a="1"/>
  <c r="A682" i="54" s="1"/>
  <c r="A690" i="54" a="1"/>
  <c r="A690" i="54" s="1"/>
  <c r="A698" i="54" a="1"/>
  <c r="A698" i="54" s="1"/>
  <c r="A706" i="54" a="1"/>
  <c r="A706" i="54" s="1"/>
  <c r="A714" i="54" a="1"/>
  <c r="A714" i="54" s="1"/>
  <c r="A722" i="54" a="1"/>
  <c r="A722" i="54" s="1"/>
  <c r="A730" i="54" a="1"/>
  <c r="A730" i="54" s="1"/>
  <c r="A738" i="54" a="1"/>
  <c r="A738" i="54" s="1"/>
  <c r="A746" i="54" a="1"/>
  <c r="A746" i="54" s="1"/>
  <c r="A754" i="54" a="1"/>
  <c r="A754" i="54" s="1"/>
  <c r="A762" i="54" a="1"/>
  <c r="A762" i="54" s="1"/>
  <c r="A770" i="54" a="1"/>
  <c r="A770" i="54" s="1"/>
  <c r="A778" i="54" a="1"/>
  <c r="A778" i="54" s="1"/>
  <c r="A786" i="54" a="1"/>
  <c r="A786" i="54" s="1"/>
  <c r="A794" i="54" a="1"/>
  <c r="A794" i="54" s="1"/>
  <c r="A802" i="54" a="1"/>
  <c r="A802" i="54" s="1"/>
  <c r="A810" i="54" a="1"/>
  <c r="A810" i="54" s="1"/>
  <c r="A818" i="54" a="1"/>
  <c r="A818" i="54" s="1"/>
  <c r="A826" i="54" a="1"/>
  <c r="A826" i="54" s="1"/>
  <c r="A834" i="54" a="1"/>
  <c r="A834" i="54" s="1"/>
  <c r="A842" i="54" a="1"/>
  <c r="A842" i="54" s="1"/>
  <c r="A850" i="54" a="1"/>
  <c r="A850" i="54" s="1"/>
  <c r="A858" i="54" a="1"/>
  <c r="A858" i="54" s="1"/>
  <c r="A866" i="54" a="1"/>
  <c r="A866" i="54" s="1"/>
  <c r="A874" i="54" a="1"/>
  <c r="A874" i="54" s="1"/>
  <c r="A882" i="54" a="1"/>
  <c r="A882" i="54" s="1"/>
  <c r="A890" i="54" a="1"/>
  <c r="A890" i="54" s="1"/>
  <c r="A898" i="54" a="1"/>
  <c r="A898" i="54" s="1"/>
  <c r="A906" i="54" a="1"/>
  <c r="A906" i="54" s="1"/>
  <c r="A914" i="54" a="1"/>
  <c r="A914" i="54" s="1"/>
  <c r="A922" i="54" a="1"/>
  <c r="A922" i="54" s="1"/>
  <c r="A930" i="54" a="1"/>
  <c r="A930" i="54" s="1"/>
  <c r="A938" i="54" a="1"/>
  <c r="A938" i="54" s="1"/>
  <c r="A946" i="54" a="1"/>
  <c r="A946" i="54" s="1"/>
  <c r="A954" i="54" a="1"/>
  <c r="A954" i="54" s="1"/>
  <c r="A962" i="54" a="1"/>
  <c r="A962" i="54" s="1"/>
  <c r="A970" i="54" a="1"/>
  <c r="A970" i="54" s="1"/>
  <c r="A978" i="54" a="1"/>
  <c r="A978" i="54" s="1"/>
  <c r="A986" i="54" a="1"/>
  <c r="A986" i="54" s="1"/>
  <c r="A994" i="54" a="1"/>
  <c r="A994" i="54" s="1"/>
  <c r="A1002" i="54" a="1"/>
  <c r="A1002" i="54" s="1"/>
  <c r="A1010" i="54" a="1"/>
  <c r="A1010" i="54" s="1"/>
  <c r="A1018" i="54" a="1"/>
  <c r="A1018" i="54" s="1"/>
  <c r="A1026" i="54" a="1"/>
  <c r="A1026" i="54" s="1"/>
  <c r="A1034" i="54" a="1"/>
  <c r="A1034" i="54" s="1"/>
  <c r="A1042" i="54" a="1"/>
  <c r="A1042" i="54" s="1"/>
  <c r="A1050" i="54" a="1"/>
  <c r="A1050" i="54" s="1"/>
  <c r="A1058" i="54" a="1"/>
  <c r="A1058" i="54" s="1"/>
  <c r="A1066" i="54" a="1"/>
  <c r="A1066" i="54" s="1"/>
  <c r="A1074" i="54" a="1"/>
  <c r="A1074" i="54" s="1"/>
  <c r="A1082" i="54" a="1"/>
  <c r="A1082" i="54" s="1"/>
  <c r="A1090" i="54" a="1"/>
  <c r="A1090" i="54" s="1"/>
  <c r="A1098" i="54" a="1"/>
  <c r="A1098" i="54" s="1"/>
  <c r="A1106" i="54" a="1"/>
  <c r="A1106" i="54" s="1"/>
  <c r="A1114" i="54" a="1"/>
  <c r="A1114" i="54" s="1"/>
  <c r="A1122" i="54" a="1"/>
  <c r="A1122" i="54" s="1"/>
  <c r="A1130" i="54" a="1"/>
  <c r="A1130" i="54" s="1"/>
  <c r="A1138" i="54" a="1"/>
  <c r="A1138" i="54" s="1"/>
  <c r="A1146" i="54" a="1"/>
  <c r="A1146" i="54" s="1"/>
  <c r="A1154" i="54" a="1"/>
  <c r="A1154" i="54" s="1"/>
  <c r="A1162" i="54" a="1"/>
  <c r="A1162" i="54" s="1"/>
  <c r="A1170" i="54" a="1"/>
  <c r="A1170" i="54" s="1"/>
  <c r="A1178" i="54" a="1"/>
  <c r="A1178" i="54" s="1"/>
  <c r="A1186" i="54" a="1"/>
  <c r="A1186" i="54" s="1"/>
  <c r="A1194" i="54" a="1"/>
  <c r="A1194" i="54" s="1"/>
  <c r="A1202" i="54" a="1"/>
  <c r="A1202" i="54" s="1"/>
  <c r="A1210" i="54" a="1"/>
  <c r="A1210" i="54" s="1"/>
  <c r="A1218" i="54" a="1"/>
  <c r="A1218" i="54" s="1"/>
  <c r="A1226" i="54" a="1"/>
  <c r="A1226" i="54" s="1"/>
  <c r="A1239" i="54" a="1"/>
  <c r="A1239" i="54" s="1"/>
  <c r="P1280" i="49"/>
  <c r="A643" i="54" a="1"/>
  <c r="A643" i="54" s="1"/>
  <c r="A651" i="54" a="1"/>
  <c r="A651" i="54" s="1"/>
  <c r="A659" i="54" a="1"/>
  <c r="A659" i="54" s="1"/>
  <c r="A667" i="54" a="1"/>
  <c r="A667" i="54" s="1"/>
  <c r="A675" i="54" a="1"/>
  <c r="A675" i="54" s="1"/>
  <c r="A683" i="54" a="1"/>
  <c r="A683" i="54" s="1"/>
  <c r="A691" i="54" a="1"/>
  <c r="A691" i="54" s="1"/>
  <c r="A699" i="54" a="1"/>
  <c r="A699" i="54" s="1"/>
  <c r="A707" i="54" a="1"/>
  <c r="A707" i="54" s="1"/>
  <c r="A715" i="54" a="1"/>
  <c r="A715" i="54" s="1"/>
  <c r="A723" i="54" a="1"/>
  <c r="A723" i="54" s="1"/>
  <c r="A731" i="54" a="1"/>
  <c r="A731" i="54" s="1"/>
  <c r="A739" i="54" a="1"/>
  <c r="A739" i="54" s="1"/>
  <c r="A747" i="54" a="1"/>
  <c r="A747" i="54" s="1"/>
  <c r="A755" i="54" a="1"/>
  <c r="A755" i="54" s="1"/>
  <c r="A763" i="54" a="1"/>
  <c r="A763" i="54" s="1"/>
  <c r="A771" i="54" a="1"/>
  <c r="A771" i="54" s="1"/>
  <c r="A779" i="54" a="1"/>
  <c r="A779" i="54" s="1"/>
  <c r="A787" i="54" a="1"/>
  <c r="A787" i="54" s="1"/>
  <c r="A795" i="54" a="1"/>
  <c r="A795" i="54" s="1"/>
  <c r="A803" i="54" a="1"/>
  <c r="A803" i="54" s="1"/>
  <c r="A811" i="54" a="1"/>
  <c r="A811" i="54" s="1"/>
  <c r="A819" i="54" a="1"/>
  <c r="A819" i="54" s="1"/>
  <c r="A827" i="54" a="1"/>
  <c r="A827" i="54" s="1"/>
  <c r="A835" i="54" a="1"/>
  <c r="A835" i="54" s="1"/>
  <c r="A843" i="54" a="1"/>
  <c r="A843" i="54" s="1"/>
  <c r="A851" i="54" a="1"/>
  <c r="A851" i="54" s="1"/>
  <c r="A859" i="54" a="1"/>
  <c r="A859" i="54" s="1"/>
  <c r="A867" i="54" a="1"/>
  <c r="A867" i="54" s="1"/>
  <c r="A875" i="54" a="1"/>
  <c r="A875" i="54" s="1"/>
  <c r="A883" i="54" a="1"/>
  <c r="A883" i="54" s="1"/>
  <c r="A891" i="54" a="1"/>
  <c r="A891" i="54" s="1"/>
  <c r="A899" i="54" a="1"/>
  <c r="A899" i="54" s="1"/>
  <c r="A907" i="54" a="1"/>
  <c r="A907" i="54" s="1"/>
  <c r="A915" i="54" a="1"/>
  <c r="A915" i="54" s="1"/>
  <c r="A923" i="54" a="1"/>
  <c r="A923" i="54" s="1"/>
  <c r="A931" i="54" a="1"/>
  <c r="A931" i="54" s="1"/>
  <c r="A939" i="54" a="1"/>
  <c r="A939" i="54" s="1"/>
  <c r="A947" i="54" a="1"/>
  <c r="A947" i="54" s="1"/>
  <c r="A955" i="54" a="1"/>
  <c r="A955" i="54" s="1"/>
  <c r="A963" i="54" a="1"/>
  <c r="A963" i="54" s="1"/>
  <c r="A971" i="54" a="1"/>
  <c r="A971" i="54" s="1"/>
  <c r="A979" i="54" a="1"/>
  <c r="A979" i="54" s="1"/>
  <c r="A987" i="54" a="1"/>
  <c r="A987" i="54" s="1"/>
  <c r="A995" i="54" a="1"/>
  <c r="A995" i="54" s="1"/>
  <c r="A1003" i="54" a="1"/>
  <c r="A1003" i="54" s="1"/>
  <c r="A1011" i="54" a="1"/>
  <c r="A1011" i="54" s="1"/>
  <c r="A1019" i="54" a="1"/>
  <c r="A1019" i="54" s="1"/>
  <c r="A1027" i="54" a="1"/>
  <c r="A1027" i="54" s="1"/>
  <c r="A1035" i="54" a="1"/>
  <c r="A1035" i="54" s="1"/>
  <c r="A1043" i="54" a="1"/>
  <c r="A1043" i="54" s="1"/>
  <c r="A1051" i="54" a="1"/>
  <c r="A1051" i="54" s="1"/>
  <c r="A1059" i="54" a="1"/>
  <c r="A1059" i="54" s="1"/>
  <c r="A1067" i="54" a="1"/>
  <c r="A1067" i="54" s="1"/>
  <c r="A1075" i="54" a="1"/>
  <c r="A1075" i="54" s="1"/>
  <c r="A1083" i="54" a="1"/>
  <c r="A1083" i="54" s="1"/>
  <c r="A1091" i="54" a="1"/>
  <c r="A1091" i="54" s="1"/>
  <c r="A1099" i="54" a="1"/>
  <c r="A1099" i="54" s="1"/>
  <c r="A1107" i="54" a="1"/>
  <c r="A1107" i="54" s="1"/>
  <c r="A1115" i="54" a="1"/>
  <c r="A1115" i="54" s="1"/>
  <c r="A1123" i="54" a="1"/>
  <c r="A1123" i="54" s="1"/>
  <c r="A1131" i="54" a="1"/>
  <c r="A1131" i="54" s="1"/>
  <c r="A1139" i="54" a="1"/>
  <c r="A1139" i="54" s="1"/>
  <c r="A1147" i="54" a="1"/>
  <c r="A1147" i="54" s="1"/>
  <c r="A1155" i="54" a="1"/>
  <c r="A1155" i="54" s="1"/>
  <c r="A1163" i="54" a="1"/>
  <c r="A1163" i="54" s="1"/>
  <c r="A1171" i="54" a="1"/>
  <c r="A1171" i="54" s="1"/>
  <c r="A1179" i="54" a="1"/>
  <c r="A1179" i="54" s="1"/>
  <c r="A1187" i="54" a="1"/>
  <c r="A1187" i="54" s="1"/>
  <c r="A1195" i="54" a="1"/>
  <c r="A1195" i="54" s="1"/>
  <c r="A1203" i="54" a="1"/>
  <c r="A1203" i="54" s="1"/>
  <c r="A1211" i="54" a="1"/>
  <c r="A1211" i="54" s="1"/>
  <c r="A1219" i="54" a="1"/>
  <c r="A1219" i="54" s="1"/>
  <c r="A1227" i="54" a="1"/>
  <c r="A1227" i="54" s="1"/>
  <c r="A1248" i="54" a="1"/>
  <c r="A1248" i="54" s="1"/>
  <c r="P1456" i="49"/>
  <c r="A780" i="54" a="1"/>
  <c r="A780" i="54" s="1"/>
  <c r="A788" i="54" a="1"/>
  <c r="A788" i="54" s="1"/>
  <c r="A796" i="54" a="1"/>
  <c r="A796" i="54" s="1"/>
  <c r="A804" i="54" a="1"/>
  <c r="A804" i="54" s="1"/>
  <c r="A812" i="54" a="1"/>
  <c r="A812" i="54" s="1"/>
  <c r="A820" i="54" a="1"/>
  <c r="A820" i="54" s="1"/>
  <c r="A828" i="54" a="1"/>
  <c r="A828" i="54" s="1"/>
  <c r="A836" i="54" a="1"/>
  <c r="A836" i="54" s="1"/>
  <c r="A844" i="54" a="1"/>
  <c r="A844" i="54" s="1"/>
  <c r="A852" i="54" a="1"/>
  <c r="A852" i="54" s="1"/>
  <c r="A860" i="54" a="1"/>
  <c r="A860" i="54" s="1"/>
  <c r="A868" i="54" a="1"/>
  <c r="A868" i="54" s="1"/>
  <c r="A876" i="54" a="1"/>
  <c r="A876" i="54" s="1"/>
  <c r="A884" i="54" a="1"/>
  <c r="A884" i="54" s="1"/>
  <c r="A892" i="54" a="1"/>
  <c r="A892" i="54" s="1"/>
  <c r="A900" i="54" a="1"/>
  <c r="A900" i="54" s="1"/>
  <c r="A908" i="54" a="1"/>
  <c r="A908" i="54" s="1"/>
  <c r="A916" i="54" a="1"/>
  <c r="A916" i="54" s="1"/>
  <c r="A924" i="54" a="1"/>
  <c r="A924" i="54" s="1"/>
  <c r="A932" i="54" a="1"/>
  <c r="A932" i="54" s="1"/>
  <c r="A940" i="54" a="1"/>
  <c r="A940" i="54" s="1"/>
  <c r="A948" i="54" a="1"/>
  <c r="A948" i="54" s="1"/>
  <c r="A956" i="54" a="1"/>
  <c r="A956" i="54" s="1"/>
  <c r="A964" i="54" a="1"/>
  <c r="A964" i="54" s="1"/>
  <c r="A972" i="54" a="1"/>
  <c r="A972" i="54" s="1"/>
  <c r="A980" i="54" a="1"/>
  <c r="A980" i="54" s="1"/>
  <c r="A988" i="54" a="1"/>
  <c r="A988" i="54" s="1"/>
  <c r="A996" i="54" a="1"/>
  <c r="A996" i="54" s="1"/>
  <c r="A1004" i="54" a="1"/>
  <c r="A1004" i="54" s="1"/>
  <c r="A1012" i="54" a="1"/>
  <c r="A1012" i="54" s="1"/>
  <c r="A1020" i="54" a="1"/>
  <c r="A1020" i="54" s="1"/>
  <c r="A1028" i="54" a="1"/>
  <c r="A1028" i="54" s="1"/>
  <c r="A1036" i="54" a="1"/>
  <c r="A1036" i="54" s="1"/>
  <c r="A1044" i="54" a="1"/>
  <c r="A1044" i="54" s="1"/>
  <c r="A1052" i="54" a="1"/>
  <c r="A1052" i="54" s="1"/>
  <c r="A1060" i="54" a="1"/>
  <c r="A1060" i="54" s="1"/>
  <c r="A1068" i="54" a="1"/>
  <c r="A1068" i="54" s="1"/>
  <c r="A1076" i="54" a="1"/>
  <c r="A1076" i="54" s="1"/>
  <c r="A1084" i="54" a="1"/>
  <c r="A1084" i="54" s="1"/>
  <c r="A1092" i="54" a="1"/>
  <c r="A1092" i="54" s="1"/>
  <c r="A1100" i="54" a="1"/>
  <c r="A1100" i="54" s="1"/>
  <c r="A1108" i="54" a="1"/>
  <c r="A1108" i="54" s="1"/>
  <c r="A1116" i="54" a="1"/>
  <c r="A1116" i="54" s="1"/>
  <c r="A1124" i="54" a="1"/>
  <c r="A1124" i="54" s="1"/>
  <c r="A1132" i="54" a="1"/>
  <c r="A1132" i="54" s="1"/>
  <c r="A1140" i="54" a="1"/>
  <c r="A1140" i="54" s="1"/>
  <c r="A1148" i="54" a="1"/>
  <c r="A1148" i="54" s="1"/>
  <c r="A1156" i="54" a="1"/>
  <c r="A1156" i="54" s="1"/>
  <c r="A1164" i="54" a="1"/>
  <c r="A1164" i="54" s="1"/>
  <c r="A1172" i="54" a="1"/>
  <c r="A1172" i="54" s="1"/>
  <c r="A1180" i="54" a="1"/>
  <c r="A1180" i="54" s="1"/>
  <c r="A1188" i="54" a="1"/>
  <c r="A1188" i="54" s="1"/>
  <c r="A1196" i="54" a="1"/>
  <c r="A1196" i="54" s="1"/>
  <c r="A1204" i="54" a="1"/>
  <c r="A1204" i="54" s="1"/>
  <c r="A1212" i="54" a="1"/>
  <c r="A1212" i="54" s="1"/>
  <c r="A1220" i="54" a="1"/>
  <c r="A1220" i="54" s="1"/>
  <c r="A1228" i="54" a="1"/>
  <c r="A1228" i="54" s="1"/>
  <c r="A1249" i="54" a="1"/>
  <c r="A1249" i="54" s="1"/>
  <c r="P1568" i="49"/>
  <c r="A685" i="54" a="1"/>
  <c r="A685" i="54" s="1"/>
  <c r="A693" i="54" a="1"/>
  <c r="A693" i="54" s="1"/>
  <c r="A701" i="54" a="1"/>
  <c r="A701" i="54" s="1"/>
  <c r="A709" i="54" a="1"/>
  <c r="A709" i="54" s="1"/>
  <c r="A717" i="54" a="1"/>
  <c r="A717" i="54" s="1"/>
  <c r="A725" i="54" a="1"/>
  <c r="A725" i="54" s="1"/>
  <c r="A733" i="54" a="1"/>
  <c r="A733" i="54" s="1"/>
  <c r="A741" i="54" a="1"/>
  <c r="A741" i="54" s="1"/>
  <c r="A749" i="54" a="1"/>
  <c r="A749" i="54" s="1"/>
  <c r="A757" i="54" a="1"/>
  <c r="A757" i="54" s="1"/>
  <c r="A765" i="54" a="1"/>
  <c r="A765" i="54" s="1"/>
  <c r="A773" i="54" a="1"/>
  <c r="A773" i="54" s="1"/>
  <c r="A781" i="54" a="1"/>
  <c r="A781" i="54" s="1"/>
  <c r="A789" i="54" a="1"/>
  <c r="A789" i="54" s="1"/>
  <c r="A797" i="54" a="1"/>
  <c r="A797" i="54" s="1"/>
  <c r="A805" i="54" a="1"/>
  <c r="A805" i="54" s="1"/>
  <c r="A813" i="54" a="1"/>
  <c r="A813" i="54" s="1"/>
  <c r="A821" i="54" a="1"/>
  <c r="A821" i="54" s="1"/>
  <c r="A829" i="54" a="1"/>
  <c r="A829" i="54" s="1"/>
  <c r="A837" i="54" a="1"/>
  <c r="A837" i="54" s="1"/>
  <c r="A845" i="54" a="1"/>
  <c r="A845" i="54" s="1"/>
  <c r="A853" i="54" a="1"/>
  <c r="A853" i="54" s="1"/>
  <c r="A861" i="54" a="1"/>
  <c r="A861" i="54" s="1"/>
  <c r="A869" i="54" a="1"/>
  <c r="A869" i="54" s="1"/>
  <c r="A877" i="54" a="1"/>
  <c r="A877" i="54" s="1"/>
  <c r="A885" i="54" a="1"/>
  <c r="A885" i="54" s="1"/>
  <c r="A893" i="54" a="1"/>
  <c r="A893" i="54" s="1"/>
  <c r="A901" i="54" a="1"/>
  <c r="A901" i="54" s="1"/>
  <c r="A909" i="54" a="1"/>
  <c r="A909" i="54" s="1"/>
  <c r="A917" i="54" a="1"/>
  <c r="A917" i="54" s="1"/>
  <c r="A925" i="54" a="1"/>
  <c r="A925" i="54" s="1"/>
  <c r="A933" i="54" a="1"/>
  <c r="A933" i="54" s="1"/>
  <c r="A941" i="54" a="1"/>
  <c r="A941" i="54" s="1"/>
  <c r="A949" i="54" a="1"/>
  <c r="A949" i="54" s="1"/>
  <c r="A957" i="54" a="1"/>
  <c r="A957" i="54" s="1"/>
  <c r="A965" i="54" a="1"/>
  <c r="A965" i="54" s="1"/>
  <c r="A973" i="54" a="1"/>
  <c r="A973" i="54" s="1"/>
  <c r="A981" i="54" a="1"/>
  <c r="A981" i="54" s="1"/>
  <c r="A989" i="54" a="1"/>
  <c r="A989" i="54" s="1"/>
  <c r="A997" i="54" a="1"/>
  <c r="A997" i="54" s="1"/>
  <c r="A1005" i="54" a="1"/>
  <c r="A1005" i="54" s="1"/>
  <c r="A1013" i="54" a="1"/>
  <c r="A1013" i="54" s="1"/>
  <c r="A1021" i="54" a="1"/>
  <c r="A1021" i="54" s="1"/>
  <c r="A1029" i="54" a="1"/>
  <c r="A1029" i="54" s="1"/>
  <c r="A1037" i="54" a="1"/>
  <c r="A1037" i="54" s="1"/>
  <c r="A1045" i="54" a="1"/>
  <c r="A1045" i="54" s="1"/>
  <c r="A1053" i="54" a="1"/>
  <c r="A1053" i="54" s="1"/>
  <c r="A1061" i="54" a="1"/>
  <c r="A1061" i="54" s="1"/>
  <c r="A1069" i="54" a="1"/>
  <c r="A1069" i="54" s="1"/>
  <c r="A1077" i="54" a="1"/>
  <c r="A1077" i="54" s="1"/>
  <c r="A1085" i="54" a="1"/>
  <c r="A1085" i="54" s="1"/>
  <c r="A1093" i="54" a="1"/>
  <c r="A1093" i="54" s="1"/>
  <c r="A1101" i="54" a="1"/>
  <c r="A1101" i="54" s="1"/>
  <c r="A1109" i="54" a="1"/>
  <c r="A1109" i="54" s="1"/>
  <c r="A1117" i="54" a="1"/>
  <c r="A1117" i="54" s="1"/>
  <c r="A1125" i="54" a="1"/>
  <c r="A1125" i="54" s="1"/>
  <c r="A1133" i="54" a="1"/>
  <c r="A1133" i="54" s="1"/>
  <c r="A1141" i="54" a="1"/>
  <c r="A1141" i="54" s="1"/>
  <c r="A1149" i="54" a="1"/>
  <c r="A1149" i="54" s="1"/>
  <c r="A1157" i="54" a="1"/>
  <c r="A1157" i="54" s="1"/>
  <c r="A1165" i="54" a="1"/>
  <c r="A1165" i="54" s="1"/>
  <c r="A1173" i="54" a="1"/>
  <c r="A1173" i="54" s="1"/>
  <c r="A1181" i="54" a="1"/>
  <c r="A1181" i="54" s="1"/>
  <c r="A1189" i="54" a="1"/>
  <c r="A1189" i="54" s="1"/>
  <c r="A1197" i="54" a="1"/>
  <c r="A1197" i="54" s="1"/>
  <c r="A1205" i="54" a="1"/>
  <c r="A1205" i="54" s="1"/>
  <c r="A1213" i="54" a="1"/>
  <c r="A1213" i="54" s="1"/>
  <c r="A1221" i="54" a="1"/>
  <c r="A1221" i="54" s="1"/>
  <c r="A1231" i="54" a="1"/>
  <c r="A1231" i="54" s="1"/>
  <c r="A1251" i="54" a="1"/>
  <c r="A1251" i="54" s="1"/>
  <c r="P1174" i="49"/>
  <c r="P1356" i="49"/>
  <c r="P1084" i="49"/>
  <c r="P1172" i="49"/>
  <c r="P716" i="49"/>
  <c r="P1176" i="49"/>
  <c r="P1346" i="49"/>
  <c r="P804" i="49"/>
  <c r="P1200" i="49"/>
  <c r="P845" i="49"/>
  <c r="P1212" i="49"/>
  <c r="P1386" i="58"/>
  <c r="A1240" i="54" a="1"/>
  <c r="A1240" i="54" s="1"/>
  <c r="P560" i="49"/>
  <c r="A1241" i="54" a="1"/>
  <c r="A1241" i="54" s="1"/>
  <c r="A1242" i="54" a="1"/>
  <c r="A1242" i="54" s="1"/>
  <c r="A1244" i="54" a="1"/>
  <c r="A1244" i="54" s="1"/>
  <c r="A1258" i="54" a="1"/>
  <c r="A1258" i="54" s="1"/>
  <c r="A1250" i="54" a="1"/>
  <c r="A1250" i="54" s="1"/>
  <c r="A1259" i="54" a="1"/>
  <c r="A1259" i="54" s="1"/>
  <c r="P1069" i="49"/>
  <c r="A1262" i="54" a="1"/>
  <c r="A1262" i="54" s="1"/>
  <c r="A1235" i="54" a="1"/>
  <c r="A1235" i="54" s="1"/>
  <c r="A1243" i="54" a="1"/>
  <c r="A1243" i="54" s="1"/>
  <c r="A1252" i="54" a="1"/>
  <c r="A1252" i="54" s="1"/>
  <c r="A1267" i="54" a="1"/>
  <c r="A1267" i="54" s="1"/>
  <c r="P820" i="49"/>
  <c r="P1133" i="49"/>
  <c r="P1348" i="49"/>
  <c r="A1229" i="54" a="1"/>
  <c r="A1229" i="54" s="1"/>
  <c r="A1237" i="54" a="1"/>
  <c r="A1237" i="54" s="1"/>
  <c r="A1246" i="54" a="1"/>
  <c r="A1246" i="54" s="1"/>
  <c r="A1255" i="54" a="1"/>
  <c r="A1255" i="54" s="1"/>
  <c r="P636" i="49"/>
  <c r="P1428" i="49"/>
  <c r="A1230" i="54" a="1"/>
  <c r="A1230" i="54" s="1"/>
  <c r="A1238" i="54" a="1"/>
  <c r="A1238" i="54" s="1"/>
  <c r="A1247" i="54" a="1"/>
  <c r="A1247" i="54" s="1"/>
  <c r="A1256" i="54" a="1"/>
  <c r="A1256" i="54" s="1"/>
  <c r="P644" i="49"/>
  <c r="P924" i="49"/>
  <c r="A1257" i="54" a="1"/>
  <c r="A1257" i="54" s="1"/>
  <c r="P660" i="49"/>
  <c r="P972" i="49"/>
  <c r="P1199" i="49"/>
  <c r="P1565" i="49"/>
  <c r="S579" i="58"/>
  <c r="S1048" i="58"/>
  <c r="P957" i="58"/>
  <c r="P934" i="58"/>
  <c r="S904" i="58"/>
  <c r="S864" i="58"/>
  <c r="P1583" i="58"/>
  <c r="P872" i="58"/>
  <c r="P982" i="58"/>
  <c r="P837" i="58"/>
  <c r="S1218" i="58"/>
  <c r="S634" i="58"/>
  <c r="S662" i="58"/>
  <c r="P14" i="58"/>
  <c r="P1175" i="49"/>
  <c r="P1359" i="49"/>
  <c r="P1511" i="49"/>
  <c r="P1087" i="49"/>
  <c r="P887" i="49"/>
  <c r="P1591" i="49"/>
  <c r="P688" i="49"/>
  <c r="P663" i="58"/>
  <c r="S844" i="58"/>
  <c r="S898" i="58"/>
  <c r="S1162" i="58"/>
  <c r="S944" i="58"/>
  <c r="P547" i="58"/>
  <c r="S1306" i="58"/>
  <c r="P1438" i="58"/>
  <c r="S1106" i="58"/>
  <c r="S1279" i="58"/>
  <c r="S1482" i="58"/>
  <c r="S1600" i="58"/>
  <c r="S77" i="58"/>
  <c r="P247" i="58"/>
  <c r="P268" i="58"/>
  <c r="P273" i="58"/>
  <c r="S630" i="58"/>
  <c r="S831" i="58"/>
  <c r="S882" i="58"/>
  <c r="S1135" i="58"/>
  <c r="P534" i="58"/>
  <c r="S970" i="58"/>
  <c r="S1349" i="58"/>
  <c r="P108" i="58"/>
  <c r="S470" i="58"/>
  <c r="S822" i="58"/>
  <c r="P884" i="58"/>
  <c r="P918" i="58"/>
  <c r="P952" i="58"/>
  <c r="S15" i="58"/>
  <c r="P323" i="58"/>
  <c r="S874" i="58"/>
  <c r="S1288" i="58"/>
  <c r="P353" i="58"/>
  <c r="S735" i="58"/>
  <c r="P868" i="58"/>
  <c r="P888" i="58"/>
  <c r="P908" i="58"/>
  <c r="S940" i="58"/>
  <c r="P950" i="58"/>
  <c r="P1017" i="58"/>
  <c r="P1328" i="58"/>
  <c r="P947" i="58"/>
  <c r="P1344" i="58"/>
  <c r="P1521" i="58"/>
  <c r="P318" i="58"/>
  <c r="P369" i="58"/>
  <c r="P527" i="58"/>
  <c r="S771" i="58"/>
  <c r="S1495" i="58"/>
  <c r="P1537" i="58"/>
  <c r="P51" i="58"/>
  <c r="S401" i="58"/>
  <c r="P612" i="58"/>
  <c r="S698" i="58"/>
  <c r="P899" i="58"/>
  <c r="S920" i="58"/>
  <c r="P954" i="58"/>
  <c r="S651" i="58"/>
  <c r="P856" i="58"/>
  <c r="P876" i="58"/>
  <c r="P928" i="58"/>
  <c r="P980" i="58"/>
  <c r="P12" i="58"/>
  <c r="S762" i="58"/>
  <c r="P962" i="58"/>
  <c r="S1510" i="58"/>
  <c r="S16" i="58"/>
  <c r="P591" i="58"/>
  <c r="S890" i="58"/>
  <c r="S1564" i="58"/>
  <c r="P331" i="58"/>
  <c r="P627" i="58"/>
  <c r="P838" i="58"/>
  <c r="P852" i="58"/>
  <c r="S858" i="58"/>
  <c r="P894" i="58"/>
  <c r="P909" i="58"/>
  <c r="P912" i="58"/>
  <c r="P938" i="58"/>
  <c r="P984" i="58"/>
  <c r="S1057" i="58"/>
  <c r="P1072" i="58"/>
  <c r="S1103" i="58"/>
  <c r="S1114" i="58"/>
  <c r="S1183" i="58"/>
  <c r="S1270" i="58"/>
  <c r="S1410" i="58"/>
  <c r="S1452" i="58"/>
  <c r="R10" i="58"/>
  <c r="S405" i="58"/>
  <c r="P451" i="58"/>
  <c r="S623" i="58"/>
  <c r="S638" i="58"/>
  <c r="S702" i="58"/>
  <c r="S782" i="58"/>
  <c r="S836" i="58"/>
  <c r="P880" i="58"/>
  <c r="P892" i="58"/>
  <c r="S900" i="58"/>
  <c r="P922" i="58"/>
  <c r="P960" i="58"/>
  <c r="P966" i="58"/>
  <c r="P972" i="58"/>
  <c r="S1054" i="58"/>
  <c r="S1065" i="58"/>
  <c r="S1345" i="58"/>
  <c r="P1360" i="58"/>
  <c r="P1434" i="58"/>
  <c r="S1449" i="58"/>
  <c r="S1506" i="58"/>
  <c r="S1527" i="58"/>
  <c r="S1540" i="58"/>
  <c r="N10" i="58"/>
  <c r="S443" i="58"/>
  <c r="S718" i="58"/>
  <c r="S794" i="58"/>
  <c r="S11" i="58"/>
  <c r="P79" i="58"/>
  <c r="S396" i="58"/>
  <c r="S594" i="58"/>
  <c r="S687" i="58"/>
  <c r="S722" i="58"/>
  <c r="P740" i="58"/>
  <c r="S850" i="58"/>
  <c r="S910" i="58"/>
  <c r="P976" i="58"/>
  <c r="P1020" i="58"/>
  <c r="S1127" i="58"/>
  <c r="S1305" i="58"/>
  <c r="P1308" i="58"/>
  <c r="P1408" i="58"/>
  <c r="S1473" i="58"/>
  <c r="S1488" i="58"/>
  <c r="S1562" i="58"/>
  <c r="S13" i="58"/>
  <c r="P39" i="58"/>
  <c r="P44" i="58"/>
  <c r="S84" i="58"/>
  <c r="P244" i="58"/>
  <c r="P350" i="58"/>
  <c r="P379" i="58"/>
  <c r="P543" i="58"/>
  <c r="S554" i="58"/>
  <c r="P576" i="58"/>
  <c r="S587" i="58"/>
  <c r="S820" i="58"/>
  <c r="S835" i="58"/>
  <c r="P848" i="58"/>
  <c r="P860" i="58"/>
  <c r="S866" i="58"/>
  <c r="P893" i="58"/>
  <c r="S930" i="58"/>
  <c r="S1002" i="58"/>
  <c r="S1074" i="58"/>
  <c r="S1151" i="58"/>
  <c r="S1170" i="58"/>
  <c r="S1272" i="58"/>
  <c r="S1361" i="58"/>
  <c r="P1543" i="58"/>
  <c r="P1549" i="58"/>
  <c r="S1570" i="58"/>
  <c r="S1577" i="58"/>
  <c r="S539" i="58"/>
  <c r="S568" i="58"/>
  <c r="S643" i="58"/>
  <c r="S682" i="58"/>
  <c r="S750" i="58"/>
  <c r="P299" i="58"/>
  <c r="P339" i="58"/>
  <c r="P412" i="58"/>
  <c r="P471" i="58"/>
  <c r="P787" i="58"/>
  <c r="P896" i="58"/>
  <c r="P906" i="58"/>
  <c r="P916" i="58"/>
  <c r="P926" i="58"/>
  <c r="P933" i="58"/>
  <c r="P943" i="58"/>
  <c r="P948" i="58"/>
  <c r="P958" i="58"/>
  <c r="P965" i="58"/>
  <c r="P975" i="58"/>
  <c r="P997" i="58"/>
  <c r="S1018" i="58"/>
  <c r="P1045" i="58"/>
  <c r="S1197" i="58"/>
  <c r="S1285" i="58"/>
  <c r="P1380" i="58"/>
  <c r="S1409" i="58"/>
  <c r="P1472" i="58"/>
  <c r="P1528" i="58"/>
  <c r="S1557" i="58"/>
  <c r="P1563" i="58"/>
  <c r="P253" i="58"/>
  <c r="P297" i="58"/>
  <c r="P559" i="58"/>
  <c r="S618" i="58"/>
  <c r="S686" i="58"/>
  <c r="S726" i="58"/>
  <c r="P846" i="58"/>
  <c r="P854" i="58"/>
  <c r="P862" i="58"/>
  <c r="P870" i="58"/>
  <c r="P878" i="58"/>
  <c r="P886" i="58"/>
  <c r="P901" i="58"/>
  <c r="P914" i="58"/>
  <c r="P924" i="58"/>
  <c r="P931" i="58"/>
  <c r="P936" i="58"/>
  <c r="P941" i="58"/>
  <c r="P946" i="58"/>
  <c r="P956" i="58"/>
  <c r="P963" i="58"/>
  <c r="P968" i="58"/>
  <c r="P973" i="58"/>
  <c r="P978" i="58"/>
  <c r="S990" i="58"/>
  <c r="P1008" i="58"/>
  <c r="P1052" i="58"/>
  <c r="S1190" i="58"/>
  <c r="S1256" i="58"/>
  <c r="S1282" i="58"/>
  <c r="S1314" i="58"/>
  <c r="P1336" i="58"/>
  <c r="S1465" i="58"/>
  <c r="P1486" i="58"/>
  <c r="P1523" i="58"/>
  <c r="P1541" i="58"/>
  <c r="P1545" i="58"/>
  <c r="S1551" i="58"/>
  <c r="P1569" i="58"/>
  <c r="P1601" i="58"/>
  <c r="S1608" i="58"/>
  <c r="P91" i="58"/>
  <c r="P241" i="58"/>
  <c r="P287" i="58"/>
  <c r="S301" i="58"/>
  <c r="P328" i="58"/>
  <c r="P347" i="58"/>
  <c r="S536" i="58"/>
  <c r="S578" i="58"/>
  <c r="S622" i="58"/>
  <c r="S654" i="58"/>
  <c r="S671" i="58"/>
  <c r="S715" i="58"/>
  <c r="P1049" i="58"/>
  <c r="S1130" i="58"/>
  <c r="S1333" i="58"/>
  <c r="S1354" i="58"/>
  <c r="P1384" i="58"/>
  <c r="S1395" i="58"/>
  <c r="P1436" i="58"/>
  <c r="P1480" i="58"/>
  <c r="S343" i="58"/>
  <c r="S432" i="58"/>
  <c r="S499" i="58"/>
  <c r="S607" i="58"/>
  <c r="S658" i="58"/>
  <c r="S755" i="58"/>
  <c r="S778" i="58"/>
  <c r="S791" i="58"/>
  <c r="P727" i="58"/>
  <c r="P902" i="58"/>
  <c r="P917" i="58"/>
  <c r="P927" i="58"/>
  <c r="P932" i="58"/>
  <c r="P942" i="58"/>
  <c r="P949" i="58"/>
  <c r="P959" i="58"/>
  <c r="P964" i="58"/>
  <c r="P974" i="58"/>
  <c r="S1006" i="58"/>
  <c r="S1064" i="58"/>
  <c r="S1082" i="58"/>
  <c r="S1120" i="58"/>
  <c r="S1138" i="58"/>
  <c r="S1246" i="58"/>
  <c r="P1312" i="58"/>
  <c r="S1426" i="58"/>
  <c r="S1459" i="58"/>
  <c r="P1484" i="58"/>
  <c r="S1502" i="58"/>
  <c r="P1565" i="58"/>
  <c r="P1599" i="58"/>
  <c r="S30" i="58"/>
  <c r="P325" i="58"/>
  <c r="P400" i="58"/>
  <c r="P676" i="58"/>
  <c r="P691" i="58"/>
  <c r="S746" i="58"/>
  <c r="S763" i="58"/>
  <c r="S786" i="58"/>
  <c r="S807" i="58"/>
  <c r="P915" i="58"/>
  <c r="P925" i="58"/>
  <c r="S326" i="58"/>
  <c r="P377" i="58"/>
  <c r="P440" i="58"/>
  <c r="P251" i="58"/>
  <c r="P261" i="58"/>
  <c r="P283" i="58"/>
  <c r="P307" i="58"/>
  <c r="S314" i="58"/>
  <c r="P320" i="58"/>
  <c r="S362" i="58"/>
  <c r="P408" i="58"/>
  <c r="P462" i="58"/>
  <c r="P475" i="58"/>
  <c r="S482" i="58"/>
  <c r="S519" i="58"/>
  <c r="S246" i="58"/>
  <c r="P276" i="58"/>
  <c r="S290" i="58"/>
  <c r="P300" i="58"/>
  <c r="P313" i="58"/>
  <c r="P357" i="58"/>
  <c r="S421" i="58"/>
  <c r="S278" i="58"/>
  <c r="S355" i="58"/>
  <c r="S425" i="58"/>
  <c r="S502" i="58"/>
  <c r="S374" i="58"/>
  <c r="S464" i="58"/>
  <c r="S508" i="58"/>
  <c r="S548" i="58"/>
  <c r="P69" i="58"/>
  <c r="P71" i="58"/>
  <c r="P83" i="58"/>
  <c r="P85" i="58"/>
  <c r="P93" i="58"/>
  <c r="S60" i="58"/>
  <c r="P68" i="58"/>
  <c r="S98" i="58"/>
  <c r="P592" i="49"/>
  <c r="P720" i="49"/>
  <c r="P952" i="49"/>
  <c r="P1157" i="49"/>
  <c r="P1272" i="49"/>
  <c r="P1461" i="49"/>
  <c r="P1586" i="49"/>
  <c r="P1026" i="49"/>
  <c r="P1320" i="49"/>
  <c r="P1512" i="49"/>
  <c r="P648" i="49"/>
  <c r="P840" i="49"/>
  <c r="P27" i="58"/>
  <c r="P63" i="58"/>
  <c r="P76" i="58"/>
  <c r="P260" i="58"/>
  <c r="P366" i="58"/>
  <c r="P376" i="58"/>
  <c r="P518" i="58"/>
  <c r="P600" i="58"/>
  <c r="P631" i="58"/>
  <c r="P695" i="58"/>
  <c r="P845" i="58"/>
  <c r="P847" i="58"/>
  <c r="P849" i="58"/>
  <c r="P851" i="58"/>
  <c r="P853" i="58"/>
  <c r="P855" i="58"/>
  <c r="P857" i="58"/>
  <c r="P859" i="58"/>
  <c r="P861" i="58"/>
  <c r="P863" i="58"/>
  <c r="P865" i="58"/>
  <c r="P867" i="58"/>
  <c r="P869" i="58"/>
  <c r="P871" i="58"/>
  <c r="P873" i="58"/>
  <c r="P875" i="58"/>
  <c r="P877" i="58"/>
  <c r="P879" i="58"/>
  <c r="P881" i="58"/>
  <c r="P883" i="58"/>
  <c r="P885" i="58"/>
  <c r="P887" i="58"/>
  <c r="P889" i="58"/>
  <c r="P891" i="58"/>
  <c r="P907" i="58"/>
  <c r="P923" i="58"/>
  <c r="P939" i="58"/>
  <c r="P955" i="58"/>
  <c r="P971" i="58"/>
  <c r="S981" i="58"/>
  <c r="P981" i="58"/>
  <c r="P1111" i="58"/>
  <c r="S1111" i="58"/>
  <c r="P1167" i="58"/>
  <c r="S1167" i="58"/>
  <c r="S1292" i="58"/>
  <c r="P1292" i="58"/>
  <c r="S1300" i="58"/>
  <c r="P1300" i="58"/>
  <c r="S1304" i="58"/>
  <c r="P1304" i="58"/>
  <c r="P1346" i="58"/>
  <c r="S1346" i="58"/>
  <c r="S1468" i="58"/>
  <c r="P1468" i="58"/>
  <c r="S1585" i="58"/>
  <c r="P1585" i="58"/>
  <c r="P1263" i="58"/>
  <c r="S1263" i="58"/>
  <c r="P43" i="58"/>
  <c r="P59" i="58"/>
  <c r="P236" i="58"/>
  <c r="P243" i="58"/>
  <c r="P293" i="58"/>
  <c r="P310" i="58"/>
  <c r="P337" i="58"/>
  <c r="P342" i="58"/>
  <c r="P345" i="58"/>
  <c r="P361" i="58"/>
  <c r="P373" i="58"/>
  <c r="P494" i="58"/>
  <c r="P503" i="58"/>
  <c r="P531" i="58"/>
  <c r="P584" i="58"/>
  <c r="P644" i="58"/>
  <c r="P708" i="58"/>
  <c r="P759" i="58"/>
  <c r="S843" i="58"/>
  <c r="P905" i="58"/>
  <c r="P921" i="58"/>
  <c r="P937" i="58"/>
  <c r="P953" i="58"/>
  <c r="P969" i="58"/>
  <c r="S1016" i="58"/>
  <c r="P1016" i="58"/>
  <c r="P1104" i="58"/>
  <c r="S1104" i="58"/>
  <c r="P1229" i="58"/>
  <c r="S1229" i="58"/>
  <c r="S1398" i="58"/>
  <c r="P1398" i="58"/>
  <c r="P1534" i="58"/>
  <c r="S1534" i="58"/>
  <c r="S1567" i="58"/>
  <c r="P1567" i="58"/>
  <c r="S1033" i="58"/>
  <c r="P1033" i="58"/>
  <c r="P1240" i="58"/>
  <c r="S1240" i="58"/>
  <c r="S34" i="58"/>
  <c r="S38" i="58"/>
  <c r="S54" i="58"/>
  <c r="S101" i="58"/>
  <c r="S258" i="58"/>
  <c r="S371" i="58"/>
  <c r="S420" i="58"/>
  <c r="P424" i="58"/>
  <c r="S479" i="58"/>
  <c r="P487" i="58"/>
  <c r="P507" i="58"/>
  <c r="P566" i="58"/>
  <c r="S571" i="58"/>
  <c r="P595" i="58"/>
  <c r="P659" i="58"/>
  <c r="P723" i="58"/>
  <c r="S766" i="58"/>
  <c r="P772" i="58"/>
  <c r="S779" i="58"/>
  <c r="S790" i="58"/>
  <c r="S810" i="58"/>
  <c r="S830" i="58"/>
  <c r="P903" i="58"/>
  <c r="P919" i="58"/>
  <c r="P935" i="58"/>
  <c r="P951" i="58"/>
  <c r="P967" i="58"/>
  <c r="S979" i="58"/>
  <c r="P979" i="58"/>
  <c r="S988" i="58"/>
  <c r="P988" i="58"/>
  <c r="P1202" i="58"/>
  <c r="S1202" i="58"/>
  <c r="P1289" i="58"/>
  <c r="S1289" i="58"/>
  <c r="P1297" i="58"/>
  <c r="S1297" i="58"/>
  <c r="S1340" i="58"/>
  <c r="P1340" i="58"/>
  <c r="S1458" i="58"/>
  <c r="P1458" i="58"/>
  <c r="P1493" i="58"/>
  <c r="S1493" i="58"/>
  <c r="S1535" i="58"/>
  <c r="P1535" i="58"/>
  <c r="P1499" i="58"/>
  <c r="S1499" i="58"/>
  <c r="P31" i="58"/>
  <c r="S52" i="58"/>
  <c r="S92" i="58"/>
  <c r="P265" i="58"/>
  <c r="P305" i="58"/>
  <c r="S330" i="58"/>
  <c r="P334" i="58"/>
  <c r="P363" i="58"/>
  <c r="P382" i="58"/>
  <c r="S393" i="58"/>
  <c r="S409" i="58"/>
  <c r="S435" i="58"/>
  <c r="S444" i="58"/>
  <c r="S467" i="58"/>
  <c r="P478" i="58"/>
  <c r="S542" i="58"/>
  <c r="S602" i="58"/>
  <c r="S615" i="58"/>
  <c r="S626" i="58"/>
  <c r="S666" i="58"/>
  <c r="S679" i="58"/>
  <c r="S690" i="58"/>
  <c r="S730" i="58"/>
  <c r="S743" i="58"/>
  <c r="S754" i="58"/>
  <c r="S799" i="58"/>
  <c r="S814" i="58"/>
  <c r="S819" i="58"/>
  <c r="S828" i="58"/>
  <c r="S1009" i="58"/>
  <c r="P1009" i="58"/>
  <c r="P1222" i="58"/>
  <c r="S1222" i="58"/>
  <c r="P1330" i="58"/>
  <c r="S1330" i="58"/>
  <c r="P1451" i="58"/>
  <c r="S1451" i="58"/>
  <c r="P1159" i="58"/>
  <c r="S1159" i="58"/>
  <c r="P1321" i="58"/>
  <c r="S1321" i="58"/>
  <c r="P55" i="58"/>
  <c r="S66" i="58"/>
  <c r="P75" i="58"/>
  <c r="P100" i="58"/>
  <c r="S109" i="58"/>
  <c r="S254" i="58"/>
  <c r="P257" i="58"/>
  <c r="P259" i="58"/>
  <c r="P309" i="58"/>
  <c r="S319" i="58"/>
  <c r="P321" i="58"/>
  <c r="S327" i="58"/>
  <c r="P329" i="58"/>
  <c r="P336" i="58"/>
  <c r="P341" i="58"/>
  <c r="P344" i="58"/>
  <c r="P360" i="58"/>
  <c r="S439" i="58"/>
  <c r="S476" i="58"/>
  <c r="P491" i="58"/>
  <c r="S496" i="58"/>
  <c r="S522" i="58"/>
  <c r="S551" i="58"/>
  <c r="S606" i="58"/>
  <c r="S635" i="58"/>
  <c r="S650" i="58"/>
  <c r="S670" i="58"/>
  <c r="S699" i="58"/>
  <c r="S714" i="58"/>
  <c r="S734" i="58"/>
  <c r="S977" i="58"/>
  <c r="P977" i="58"/>
  <c r="S985" i="58"/>
  <c r="P985" i="58"/>
  <c r="P1090" i="58"/>
  <c r="S1090" i="58"/>
  <c r="P1215" i="58"/>
  <c r="S1215" i="58"/>
  <c r="P1254" i="58"/>
  <c r="S1254" i="58"/>
  <c r="P1337" i="58"/>
  <c r="S1337" i="58"/>
  <c r="P1558" i="58"/>
  <c r="S1558" i="58"/>
  <c r="P1597" i="58"/>
  <c r="S1597" i="58"/>
  <c r="S277" i="58"/>
  <c r="S284" i="58"/>
  <c r="S358" i="58"/>
  <c r="S370" i="58"/>
  <c r="S375" i="58"/>
  <c r="S417" i="58"/>
  <c r="S452" i="58"/>
  <c r="P550" i="58"/>
  <c r="P563" i="58"/>
  <c r="P572" i="58"/>
  <c r="S599" i="58"/>
  <c r="S694" i="58"/>
  <c r="P897" i="58"/>
  <c r="P913" i="58"/>
  <c r="P929" i="58"/>
  <c r="P945" i="58"/>
  <c r="P961" i="58"/>
  <c r="S993" i="58"/>
  <c r="P993" i="58"/>
  <c r="S1000" i="58"/>
  <c r="S1024" i="58"/>
  <c r="S1036" i="58"/>
  <c r="P1036" i="58"/>
  <c r="S1040" i="58"/>
  <c r="P1040" i="58"/>
  <c r="S1068" i="58"/>
  <c r="P1068" i="58"/>
  <c r="P1277" i="58"/>
  <c r="S1277" i="58"/>
  <c r="S1324" i="58"/>
  <c r="P1324" i="58"/>
  <c r="S1430" i="58"/>
  <c r="P1430" i="58"/>
  <c r="S1470" i="58"/>
  <c r="S1552" i="58"/>
  <c r="P1552" i="58"/>
  <c r="S1559" i="58"/>
  <c r="P1559" i="58"/>
  <c r="P1267" i="58"/>
  <c r="S1267" i="58"/>
  <c r="P49" i="58"/>
  <c r="P67" i="58"/>
  <c r="S707" i="58"/>
  <c r="S751" i="58"/>
  <c r="S758" i="58"/>
  <c r="S798" i="58"/>
  <c r="P804" i="58"/>
  <c r="P895" i="58"/>
  <c r="P911" i="58"/>
  <c r="S983" i="58"/>
  <c r="P983" i="58"/>
  <c r="P1087" i="58"/>
  <c r="S1087" i="58"/>
  <c r="P1208" i="58"/>
  <c r="S1208" i="58"/>
  <c r="S1352" i="58"/>
  <c r="S1511" i="58"/>
  <c r="S1591" i="58"/>
  <c r="P1591" i="58"/>
  <c r="P1013" i="58"/>
  <c r="S1022" i="58"/>
  <c r="S1034" i="58"/>
  <c r="P1056" i="58"/>
  <c r="S1146" i="58"/>
  <c r="S1178" i="58"/>
  <c r="S1192" i="58"/>
  <c r="S1199" i="58"/>
  <c r="S1206" i="58"/>
  <c r="S1213" i="58"/>
  <c r="S1251" i="58"/>
  <c r="S1261" i="58"/>
  <c r="S1274" i="58"/>
  <c r="S1298" i="58"/>
  <c r="S1301" i="58"/>
  <c r="S1313" i="58"/>
  <c r="S1322" i="58"/>
  <c r="P1392" i="58"/>
  <c r="P992" i="58"/>
  <c r="P1001" i="58"/>
  <c r="P1004" i="58"/>
  <c r="P1025" i="58"/>
  <c r="P1032" i="58"/>
  <c r="S1050" i="58"/>
  <c r="S1098" i="58"/>
  <c r="S1119" i="58"/>
  <c r="S1122" i="58"/>
  <c r="S1136" i="58"/>
  <c r="S1143" i="58"/>
  <c r="S1175" i="58"/>
  <c r="S1234" i="58"/>
  <c r="S1248" i="58"/>
  <c r="S1258" i="58"/>
  <c r="S1281" i="58"/>
  <c r="P1284" i="58"/>
  <c r="P1296" i="58"/>
  <c r="P1320" i="58"/>
  <c r="S1353" i="58"/>
  <c r="P1356" i="58"/>
  <c r="S1362" i="58"/>
  <c r="S1442" i="58"/>
  <c r="P1456" i="58"/>
  <c r="P1462" i="58"/>
  <c r="P1478" i="58"/>
  <c r="S1487" i="58"/>
  <c r="P1513" i="58"/>
  <c r="S1520" i="58"/>
  <c r="S1525" i="58"/>
  <c r="S1544" i="58"/>
  <c r="S1575" i="58"/>
  <c r="S1586" i="58"/>
  <c r="S1598" i="58"/>
  <c r="S986" i="58"/>
  <c r="P1029" i="58"/>
  <c r="S1038" i="58"/>
  <c r="P1041" i="58"/>
  <c r="S1088" i="58"/>
  <c r="S1095" i="58"/>
  <c r="S1154" i="58"/>
  <c r="S1186" i="58"/>
  <c r="S1224" i="58"/>
  <c r="S1231" i="58"/>
  <c r="S1238" i="58"/>
  <c r="S1265" i="58"/>
  <c r="S1290" i="58"/>
  <c r="S1293" i="58"/>
  <c r="S1317" i="58"/>
  <c r="S1329" i="58"/>
  <c r="S1338" i="58"/>
  <c r="P23" i="58"/>
  <c r="P28" i="58"/>
  <c r="P45" i="58"/>
  <c r="P47" i="58"/>
  <c r="P53" i="58"/>
  <c r="P61" i="58"/>
  <c r="S70" i="58"/>
  <c r="P81" i="58"/>
  <c r="S86" i="58"/>
  <c r="S94" i="58"/>
  <c r="P99" i="58"/>
  <c r="P107" i="58"/>
  <c r="S239" i="58"/>
  <c r="P239" i="58"/>
  <c r="P262" i="58"/>
  <c r="S262" i="58"/>
  <c r="S281" i="58"/>
  <c r="P281" i="58"/>
  <c r="S356" i="58"/>
  <c r="P356" i="58"/>
  <c r="S567" i="58"/>
  <c r="P567" i="58"/>
  <c r="P806" i="58"/>
  <c r="S806" i="58"/>
  <c r="S1046" i="58"/>
  <c r="P1046" i="58"/>
  <c r="S1055" i="58"/>
  <c r="P1055" i="58"/>
  <c r="P1079" i="58"/>
  <c r="S1079" i="58"/>
  <c r="S308" i="58"/>
  <c r="P308" i="58"/>
  <c r="S436" i="58"/>
  <c r="P436" i="58"/>
  <c r="S102" i="58"/>
  <c r="S311" i="58"/>
  <c r="S354" i="58"/>
  <c r="S359" i="58"/>
  <c r="P431" i="58"/>
  <c r="S431" i="58"/>
  <c r="S463" i="58"/>
  <c r="P463" i="58"/>
  <c r="S538" i="58"/>
  <c r="P538" i="58"/>
  <c r="S556" i="58"/>
  <c r="P556" i="58"/>
  <c r="P642" i="58"/>
  <c r="S642" i="58"/>
  <c r="P706" i="58"/>
  <c r="S706" i="58"/>
  <c r="S991" i="58"/>
  <c r="P991" i="58"/>
  <c r="S295" i="58"/>
  <c r="P295" i="58"/>
  <c r="S484" i="58"/>
  <c r="P484" i="58"/>
  <c r="S1039" i="58"/>
  <c r="P1039" i="58"/>
  <c r="P1096" i="58"/>
  <c r="S1096" i="58"/>
  <c r="S1318" i="58"/>
  <c r="P1318" i="58"/>
  <c r="S1546" i="58"/>
  <c r="P1546" i="58"/>
  <c r="P87" i="58"/>
  <c r="P95" i="58"/>
  <c r="S245" i="58"/>
  <c r="S269" i="58"/>
  <c r="S655" i="58"/>
  <c r="P655" i="58"/>
  <c r="S719" i="58"/>
  <c r="P719" i="58"/>
  <c r="P770" i="58"/>
  <c r="S770" i="58"/>
  <c r="S364" i="58"/>
  <c r="P364" i="58"/>
  <c r="P1086" i="58"/>
  <c r="S1086" i="58"/>
  <c r="P103" i="58"/>
  <c r="S252" i="58"/>
  <c r="S263" i="58"/>
  <c r="P263" i="58"/>
  <c r="S338" i="58"/>
  <c r="S340" i="58"/>
  <c r="P340" i="58"/>
  <c r="S348" i="58"/>
  <c r="P348" i="58"/>
  <c r="S351" i="58"/>
  <c r="S380" i="58"/>
  <c r="P380" i="58"/>
  <c r="S383" i="58"/>
  <c r="S404" i="58"/>
  <c r="P404" i="58"/>
  <c r="P586" i="58"/>
  <c r="S586" i="58"/>
  <c r="S604" i="58"/>
  <c r="P604" i="58"/>
  <c r="S668" i="58"/>
  <c r="P668" i="58"/>
  <c r="S732" i="58"/>
  <c r="P732" i="58"/>
  <c r="S783" i="58"/>
  <c r="P783" i="58"/>
  <c r="S832" i="58"/>
  <c r="P832" i="58"/>
  <c r="S998" i="58"/>
  <c r="P998" i="58"/>
  <c r="S1007" i="58"/>
  <c r="P1007" i="58"/>
  <c r="S1030" i="58"/>
  <c r="P1030" i="58"/>
  <c r="S237" i="58"/>
  <c r="P294" i="58"/>
  <c r="S294" i="58"/>
  <c r="S303" i="58"/>
  <c r="P303" i="58"/>
  <c r="S322" i="58"/>
  <c r="S324" i="58"/>
  <c r="P324" i="58"/>
  <c r="S332" i="58"/>
  <c r="P332" i="58"/>
  <c r="S335" i="58"/>
  <c r="S346" i="58"/>
  <c r="S372" i="58"/>
  <c r="P372" i="58"/>
  <c r="S378" i="58"/>
  <c r="P397" i="58"/>
  <c r="S397" i="58"/>
  <c r="S498" i="58"/>
  <c r="P498" i="58"/>
  <c r="S524" i="58"/>
  <c r="P524" i="58"/>
  <c r="S535" i="58"/>
  <c r="P535" i="58"/>
  <c r="S619" i="58"/>
  <c r="P619" i="58"/>
  <c r="S683" i="58"/>
  <c r="P683" i="58"/>
  <c r="S747" i="58"/>
  <c r="P747" i="58"/>
  <c r="P1166" i="58"/>
  <c r="S1166" i="58"/>
  <c r="P1232" i="58"/>
  <c r="S1232" i="58"/>
  <c r="S1440" i="58"/>
  <c r="P1440" i="58"/>
  <c r="S22" i="58"/>
  <c r="S316" i="58"/>
  <c r="P316" i="58"/>
  <c r="P570" i="58"/>
  <c r="S570" i="58"/>
  <c r="S796" i="58"/>
  <c r="P796" i="58"/>
  <c r="S1014" i="58"/>
  <c r="P1014" i="58"/>
  <c r="S1023" i="58"/>
  <c r="P1023" i="58"/>
  <c r="S495" i="58"/>
  <c r="P495" i="58"/>
  <c r="P1110" i="58"/>
  <c r="S1110" i="58"/>
  <c r="P1194" i="58"/>
  <c r="S1194" i="58"/>
  <c r="S1454" i="58"/>
  <c r="P1454" i="58"/>
  <c r="S249" i="58"/>
  <c r="P249" i="58"/>
  <c r="S271" i="58"/>
  <c r="P271" i="58"/>
  <c r="S466" i="58"/>
  <c r="P466" i="58"/>
  <c r="P614" i="58"/>
  <c r="S614" i="58"/>
  <c r="P678" i="58"/>
  <c r="S678" i="58"/>
  <c r="P742" i="58"/>
  <c r="S742" i="58"/>
  <c r="S811" i="58"/>
  <c r="P811" i="58"/>
  <c r="S286" i="58"/>
  <c r="P1191" i="58"/>
  <c r="S1191" i="58"/>
  <c r="P1205" i="58"/>
  <c r="S1205" i="58"/>
  <c r="P1273" i="58"/>
  <c r="S1273" i="58"/>
  <c r="P1343" i="58"/>
  <c r="S1343" i="58"/>
  <c r="P1391" i="58"/>
  <c r="S1391" i="58"/>
  <c r="S1517" i="58"/>
  <c r="P1517" i="58"/>
  <c r="S267" i="58"/>
  <c r="S275" i="58"/>
  <c r="P279" i="58"/>
  <c r="P285" i="58"/>
  <c r="P289" i="58"/>
  <c r="P291" i="58"/>
  <c r="S292" i="58"/>
  <c r="S315" i="58"/>
  <c r="P317" i="58"/>
  <c r="P333" i="58"/>
  <c r="P349" i="58"/>
  <c r="P365" i="58"/>
  <c r="P381" i="58"/>
  <c r="P416" i="58"/>
  <c r="P448" i="58"/>
  <c r="P472" i="58"/>
  <c r="P486" i="58"/>
  <c r="P492" i="58"/>
  <c r="P504" i="58"/>
  <c r="P526" i="58"/>
  <c r="P532" i="58"/>
  <c r="P544" i="58"/>
  <c r="P558" i="58"/>
  <c r="P564" i="58"/>
  <c r="P575" i="58"/>
  <c r="P583" i="58"/>
  <c r="P611" i="58"/>
  <c r="P647" i="58"/>
  <c r="P660" i="58"/>
  <c r="P675" i="58"/>
  <c r="P711" i="58"/>
  <c r="P724" i="58"/>
  <c r="P739" i="58"/>
  <c r="P775" i="58"/>
  <c r="P788" i="58"/>
  <c r="P803" i="58"/>
  <c r="P816" i="58"/>
  <c r="P824" i="58"/>
  <c r="P840" i="58"/>
  <c r="P989" i="58"/>
  <c r="P996" i="58"/>
  <c r="P1005" i="58"/>
  <c r="P1012" i="58"/>
  <c r="P1021" i="58"/>
  <c r="P1028" i="58"/>
  <c r="P1037" i="58"/>
  <c r="P1044" i="58"/>
  <c r="P1053" i="58"/>
  <c r="P1118" i="58"/>
  <c r="S1118" i="58"/>
  <c r="P1128" i="58"/>
  <c r="S1128" i="58"/>
  <c r="P1142" i="58"/>
  <c r="S1142" i="58"/>
  <c r="P1174" i="58"/>
  <c r="S1174" i="58"/>
  <c r="P1226" i="58"/>
  <c r="S1226" i="58"/>
  <c r="S1286" i="58"/>
  <c r="P1286" i="58"/>
  <c r="P1295" i="58"/>
  <c r="S1295" i="58"/>
  <c r="S1334" i="58"/>
  <c r="P1334" i="58"/>
  <c r="S1553" i="58"/>
  <c r="P1553" i="58"/>
  <c r="S1568" i="58"/>
  <c r="P1568" i="58"/>
  <c r="S1607" i="58"/>
  <c r="P1607" i="58"/>
  <c r="P352" i="58"/>
  <c r="P368" i="58"/>
  <c r="P384" i="58"/>
  <c r="P428" i="58"/>
  <c r="P474" i="58"/>
  <c r="P480" i="58"/>
  <c r="P483" i="58"/>
  <c r="P506" i="58"/>
  <c r="P520" i="58"/>
  <c r="P523" i="58"/>
  <c r="P546" i="58"/>
  <c r="P552" i="58"/>
  <c r="P555" i="58"/>
  <c r="P603" i="58"/>
  <c r="P639" i="58"/>
  <c r="P652" i="58"/>
  <c r="P667" i="58"/>
  <c r="P703" i="58"/>
  <c r="P716" i="58"/>
  <c r="P731" i="58"/>
  <c r="P767" i="58"/>
  <c r="P780" i="58"/>
  <c r="P795" i="58"/>
  <c r="P987" i="58"/>
  <c r="P994" i="58"/>
  <c r="P1003" i="58"/>
  <c r="P1010" i="58"/>
  <c r="P1019" i="58"/>
  <c r="P1026" i="58"/>
  <c r="P1035" i="58"/>
  <c r="P1042" i="58"/>
  <c r="P1051" i="58"/>
  <c r="P1058" i="58"/>
  <c r="S1061" i="58"/>
  <c r="S1067" i="58"/>
  <c r="S1070" i="58"/>
  <c r="S1073" i="58"/>
  <c r="P1080" i="58"/>
  <c r="S1080" i="58"/>
  <c r="P1094" i="58"/>
  <c r="S1094" i="58"/>
  <c r="P1223" i="58"/>
  <c r="S1223" i="58"/>
  <c r="P1237" i="58"/>
  <c r="S1237" i="58"/>
  <c r="P1359" i="58"/>
  <c r="S1359" i="58"/>
  <c r="S1388" i="58"/>
  <c r="P1388" i="58"/>
  <c r="S1500" i="58"/>
  <c r="P1500" i="58"/>
  <c r="P1150" i="58"/>
  <c r="S1150" i="58"/>
  <c r="P1182" i="58"/>
  <c r="S1182" i="58"/>
  <c r="S1350" i="58"/>
  <c r="P1350" i="58"/>
  <c r="P1481" i="58"/>
  <c r="S1481" i="58"/>
  <c r="P1497" i="58"/>
  <c r="S1497" i="58"/>
  <c r="P468" i="58"/>
  <c r="P500" i="58"/>
  <c r="P540" i="58"/>
  <c r="P636" i="58"/>
  <c r="P700" i="58"/>
  <c r="P764" i="58"/>
  <c r="P815" i="58"/>
  <c r="P823" i="58"/>
  <c r="P839" i="58"/>
  <c r="P999" i="58"/>
  <c r="P1015" i="58"/>
  <c r="P1031" i="58"/>
  <c r="P1047" i="58"/>
  <c r="P1102" i="58"/>
  <c r="S1102" i="58"/>
  <c r="P1112" i="58"/>
  <c r="S1112" i="58"/>
  <c r="P1126" i="58"/>
  <c r="S1126" i="58"/>
  <c r="P1311" i="58"/>
  <c r="S1311" i="58"/>
  <c r="S1494" i="58"/>
  <c r="P1494" i="58"/>
  <c r="S1531" i="58"/>
  <c r="P1531" i="58"/>
  <c r="P1550" i="58"/>
  <c r="S1550" i="58"/>
  <c r="P488" i="58"/>
  <c r="P528" i="58"/>
  <c r="P560" i="58"/>
  <c r="P592" i="58"/>
  <c r="P628" i="58"/>
  <c r="P692" i="58"/>
  <c r="P756" i="58"/>
  <c r="P1078" i="58"/>
  <c r="S1078" i="58"/>
  <c r="P1158" i="58"/>
  <c r="S1158" i="58"/>
  <c r="P1200" i="58"/>
  <c r="S1200" i="58"/>
  <c r="P1214" i="58"/>
  <c r="S1214" i="58"/>
  <c r="P1262" i="58"/>
  <c r="S1262" i="58"/>
  <c r="S1302" i="58"/>
  <c r="P1302" i="58"/>
  <c r="P1475" i="58"/>
  <c r="S1475" i="58"/>
  <c r="P1491" i="58"/>
  <c r="S1491" i="58"/>
  <c r="P1505" i="58"/>
  <c r="S1505" i="58"/>
  <c r="S1561" i="58"/>
  <c r="P1561" i="58"/>
  <c r="S1603" i="58"/>
  <c r="P1603" i="58"/>
  <c r="P255" i="58"/>
  <c r="P312" i="58"/>
  <c r="S413" i="58"/>
  <c r="S447" i="58"/>
  <c r="P490" i="58"/>
  <c r="P530" i="58"/>
  <c r="P562" i="58"/>
  <c r="S580" i="58"/>
  <c r="S610" i="58"/>
  <c r="P620" i="58"/>
  <c r="S646" i="58"/>
  <c r="S674" i="58"/>
  <c r="P684" i="58"/>
  <c r="S710" i="58"/>
  <c r="S738" i="58"/>
  <c r="P748" i="58"/>
  <c r="S774" i="58"/>
  <c r="S802" i="58"/>
  <c r="P812" i="58"/>
  <c r="P995" i="58"/>
  <c r="P1011" i="58"/>
  <c r="P1027" i="58"/>
  <c r="P1043" i="58"/>
  <c r="P1134" i="58"/>
  <c r="S1134" i="58"/>
  <c r="P1259" i="58"/>
  <c r="S1259" i="58"/>
  <c r="P1327" i="58"/>
  <c r="S1327" i="58"/>
  <c r="S1376" i="58"/>
  <c r="P1376" i="58"/>
  <c r="P1581" i="58"/>
  <c r="S1581" i="58"/>
  <c r="S1309" i="58"/>
  <c r="P1316" i="58"/>
  <c r="S1325" i="58"/>
  <c r="P1332" i="58"/>
  <c r="S1341" i="58"/>
  <c r="P1348" i="58"/>
  <c r="S1357" i="58"/>
  <c r="P1394" i="58"/>
  <c r="S1403" i="58"/>
  <c r="P1414" i="58"/>
  <c r="S1417" i="58"/>
  <c r="P1420" i="58"/>
  <c r="S1423" i="58"/>
  <c r="P1446" i="58"/>
  <c r="S1152" i="58"/>
  <c r="S1168" i="58"/>
  <c r="S1184" i="58"/>
  <c r="S1221" i="58"/>
  <c r="S1230" i="58"/>
  <c r="S1239" i="58"/>
  <c r="S1242" i="58"/>
  <c r="S1257" i="58"/>
  <c r="S1271" i="58"/>
  <c r="S1291" i="58"/>
  <c r="S1307" i="58"/>
  <c r="S1323" i="58"/>
  <c r="S1339" i="58"/>
  <c r="S1355" i="58"/>
  <c r="S1397" i="58"/>
  <c r="P1406" i="58"/>
  <c r="S1411" i="58"/>
  <c r="S1435" i="58"/>
  <c r="S1443" i="58"/>
  <c r="S1479" i="58"/>
  <c r="S1514" i="58"/>
  <c r="S1532" i="58"/>
  <c r="S1604" i="58"/>
  <c r="S1255" i="58"/>
  <c r="S1266" i="58"/>
  <c r="S1269" i="58"/>
  <c r="S1280" i="58"/>
  <c r="S1287" i="58"/>
  <c r="P1294" i="58"/>
  <c r="S1303" i="58"/>
  <c r="P1310" i="58"/>
  <c r="S1319" i="58"/>
  <c r="P1326" i="58"/>
  <c r="S1335" i="58"/>
  <c r="P1342" i="58"/>
  <c r="S1351" i="58"/>
  <c r="P1358" i="58"/>
  <c r="S1401" i="58"/>
  <c r="P1404" i="58"/>
  <c r="P1424" i="58"/>
  <c r="S1433" i="58"/>
  <c r="S1450" i="58"/>
  <c r="S1455" i="58"/>
  <c r="S1463" i="58"/>
  <c r="P1474" i="58"/>
  <c r="P1490" i="58"/>
  <c r="P1504" i="58"/>
  <c r="P1515" i="58"/>
  <c r="P1519" i="58"/>
  <c r="P1522" i="58"/>
  <c r="P1529" i="58"/>
  <c r="P1555" i="58"/>
  <c r="S1574" i="58"/>
  <c r="P1593" i="58"/>
  <c r="P1605" i="58"/>
  <c r="S1144" i="58"/>
  <c r="S1160" i="58"/>
  <c r="S1176" i="58"/>
  <c r="S1189" i="58"/>
  <c r="S1198" i="58"/>
  <c r="S1207" i="58"/>
  <c r="S1210" i="58"/>
  <c r="S1216" i="58"/>
  <c r="S1247" i="58"/>
  <c r="S1250" i="58"/>
  <c r="S1253" i="58"/>
  <c r="S1264" i="58"/>
  <c r="S1275" i="58"/>
  <c r="S1278" i="58"/>
  <c r="S1283" i="58"/>
  <c r="S1299" i="58"/>
  <c r="S1315" i="58"/>
  <c r="S1331" i="58"/>
  <c r="S1347" i="58"/>
  <c r="S1363" i="58"/>
  <c r="P1378" i="58"/>
  <c r="P1416" i="58"/>
  <c r="S1419" i="58"/>
  <c r="S1427" i="58"/>
  <c r="P1448" i="58"/>
  <c r="S1461" i="58"/>
  <c r="S1467" i="58"/>
  <c r="S1483" i="58"/>
  <c r="S1516" i="58"/>
  <c r="P1538" i="58"/>
  <c r="S1560" i="58"/>
  <c r="P1579" i="58"/>
  <c r="S1590" i="58"/>
  <c r="S1594" i="58"/>
  <c r="P1594" i="58"/>
  <c r="S1606" i="58"/>
  <c r="S33" i="58"/>
  <c r="P33" i="58"/>
  <c r="S398" i="58"/>
  <c r="P398" i="58"/>
  <c r="S414" i="58"/>
  <c r="P414" i="58"/>
  <c r="P1217" i="58"/>
  <c r="S1217" i="58"/>
  <c r="S406" i="58"/>
  <c r="P406" i="58"/>
  <c r="S422" i="58"/>
  <c r="P422" i="58"/>
  <c r="S442" i="58"/>
  <c r="P442" i="58"/>
  <c r="P582" i="58"/>
  <c r="S582" i="58"/>
  <c r="S597" i="58"/>
  <c r="P597" i="58"/>
  <c r="S664" i="58"/>
  <c r="P664" i="58"/>
  <c r="S728" i="58"/>
  <c r="P728" i="58"/>
  <c r="S792" i="58"/>
  <c r="P792" i="58"/>
  <c r="P1081" i="58"/>
  <c r="S1081" i="58"/>
  <c r="P1097" i="58"/>
  <c r="S1097" i="58"/>
  <c r="P1113" i="58"/>
  <c r="S1113" i="58"/>
  <c r="P1129" i="58"/>
  <c r="S1129" i="58"/>
  <c r="P1145" i="58"/>
  <c r="S1145" i="58"/>
  <c r="P1161" i="58"/>
  <c r="S1161" i="58"/>
  <c r="P1177" i="58"/>
  <c r="S1177" i="58"/>
  <c r="P1211" i="58"/>
  <c r="S1211" i="58"/>
  <c r="P21" i="58"/>
  <c r="P24" i="58"/>
  <c r="S36" i="58"/>
  <c r="S42" i="58"/>
  <c r="S48" i="58"/>
  <c r="P48" i="58"/>
  <c r="P65" i="58"/>
  <c r="S74" i="58"/>
  <c r="S80" i="58"/>
  <c r="P80" i="58"/>
  <c r="P97" i="58"/>
  <c r="S106" i="58"/>
  <c r="S240" i="58"/>
  <c r="P240" i="58"/>
  <c r="S266" i="58"/>
  <c r="S272" i="58"/>
  <c r="P272" i="58"/>
  <c r="S298" i="58"/>
  <c r="S304" i="58"/>
  <c r="P304" i="58"/>
  <c r="S437" i="58"/>
  <c r="P437" i="58"/>
  <c r="S656" i="58"/>
  <c r="P656" i="58"/>
  <c r="S720" i="58"/>
  <c r="P720" i="58"/>
  <c r="S784" i="58"/>
  <c r="P784" i="58"/>
  <c r="S434" i="58"/>
  <c r="P434" i="58"/>
  <c r="S449" i="58"/>
  <c r="P449" i="58"/>
  <c r="S712" i="58"/>
  <c r="P712" i="58"/>
  <c r="S834" i="58"/>
  <c r="P834" i="58"/>
  <c r="S29" i="58"/>
  <c r="P29" i="58"/>
  <c r="P32" i="58"/>
  <c r="S37" i="58"/>
  <c r="P37" i="58"/>
  <c r="P41" i="58"/>
  <c r="S50" i="58"/>
  <c r="S56" i="58"/>
  <c r="P56" i="58"/>
  <c r="P73" i="58"/>
  <c r="S82" i="58"/>
  <c r="S88" i="58"/>
  <c r="P88" i="58"/>
  <c r="P105" i="58"/>
  <c r="S242" i="58"/>
  <c r="S248" i="58"/>
  <c r="P248" i="58"/>
  <c r="S274" i="58"/>
  <c r="S280" i="58"/>
  <c r="P280" i="58"/>
  <c r="S306" i="58"/>
  <c r="S395" i="58"/>
  <c r="S403" i="58"/>
  <c r="S411" i="58"/>
  <c r="S419" i="58"/>
  <c r="S427" i="58"/>
  <c r="S429" i="58"/>
  <c r="P429" i="58"/>
  <c r="S446" i="58"/>
  <c r="P446" i="58"/>
  <c r="S640" i="58"/>
  <c r="P640" i="58"/>
  <c r="S704" i="58"/>
  <c r="P704" i="58"/>
  <c r="S768" i="58"/>
  <c r="P768" i="58"/>
  <c r="P1227" i="58"/>
  <c r="S1227" i="58"/>
  <c r="S1602" i="58"/>
  <c r="P1602" i="58"/>
  <c r="O2" i="58"/>
  <c r="P20" i="58"/>
  <c r="S46" i="58"/>
  <c r="S78" i="58"/>
  <c r="S238" i="58"/>
  <c r="S270" i="58"/>
  <c r="S302" i="58"/>
  <c r="S394" i="58"/>
  <c r="P394" i="58"/>
  <c r="S402" i="58"/>
  <c r="P402" i="58"/>
  <c r="S410" i="58"/>
  <c r="P410" i="58"/>
  <c r="S418" i="58"/>
  <c r="P418" i="58"/>
  <c r="S426" i="58"/>
  <c r="P426" i="58"/>
  <c r="S441" i="58"/>
  <c r="P441" i="58"/>
  <c r="S573" i="58"/>
  <c r="P573" i="58"/>
  <c r="S596" i="58"/>
  <c r="P596" i="58"/>
  <c r="S632" i="58"/>
  <c r="P632" i="58"/>
  <c r="S696" i="58"/>
  <c r="P696" i="58"/>
  <c r="S760" i="58"/>
  <c r="P760" i="58"/>
  <c r="S1062" i="58"/>
  <c r="P1062" i="58"/>
  <c r="S26" i="58"/>
  <c r="S58" i="58"/>
  <c r="S64" i="58"/>
  <c r="P64" i="58"/>
  <c r="S90" i="58"/>
  <c r="S96" i="58"/>
  <c r="P96" i="58"/>
  <c r="S250" i="58"/>
  <c r="S256" i="58"/>
  <c r="P256" i="58"/>
  <c r="S282" i="58"/>
  <c r="S288" i="58"/>
  <c r="P288" i="58"/>
  <c r="S438" i="58"/>
  <c r="P438" i="58"/>
  <c r="S624" i="58"/>
  <c r="P624" i="58"/>
  <c r="S688" i="58"/>
  <c r="P688" i="58"/>
  <c r="S752" i="58"/>
  <c r="P752" i="58"/>
  <c r="S648" i="58"/>
  <c r="P648" i="58"/>
  <c r="P1429" i="58"/>
  <c r="S1429" i="58"/>
  <c r="S1595" i="58"/>
  <c r="P1595" i="58"/>
  <c r="P25" i="58"/>
  <c r="S433" i="58"/>
  <c r="P433" i="58"/>
  <c r="S450" i="58"/>
  <c r="P450" i="58"/>
  <c r="S588" i="58"/>
  <c r="P588" i="58"/>
  <c r="P590" i="58"/>
  <c r="S590" i="58"/>
  <c r="S616" i="58"/>
  <c r="P616" i="58"/>
  <c r="S680" i="58"/>
  <c r="P680" i="58"/>
  <c r="S744" i="58"/>
  <c r="P744" i="58"/>
  <c r="S808" i="58"/>
  <c r="P808" i="58"/>
  <c r="P827" i="58"/>
  <c r="S827" i="58"/>
  <c r="S776" i="58"/>
  <c r="P776" i="58"/>
  <c r="P1233" i="58"/>
  <c r="S1233" i="58"/>
  <c r="S40" i="58"/>
  <c r="P40" i="58"/>
  <c r="P57" i="58"/>
  <c r="S72" i="58"/>
  <c r="P72" i="58"/>
  <c r="P89" i="58"/>
  <c r="S104" i="58"/>
  <c r="P104" i="58"/>
  <c r="S264" i="58"/>
  <c r="P264" i="58"/>
  <c r="S296" i="58"/>
  <c r="P296" i="58"/>
  <c r="S399" i="58"/>
  <c r="S407" i="58"/>
  <c r="S415" i="58"/>
  <c r="S423" i="58"/>
  <c r="S430" i="58"/>
  <c r="P430" i="58"/>
  <c r="S445" i="58"/>
  <c r="P445" i="58"/>
  <c r="S608" i="58"/>
  <c r="P608" i="58"/>
  <c r="S672" i="58"/>
  <c r="P672" i="58"/>
  <c r="S736" i="58"/>
  <c r="P736" i="58"/>
  <c r="S800" i="58"/>
  <c r="P800" i="58"/>
  <c r="S821" i="58"/>
  <c r="P821" i="58"/>
  <c r="S473" i="58"/>
  <c r="P473" i="58"/>
  <c r="S489" i="58"/>
  <c r="P489" i="58"/>
  <c r="S505" i="58"/>
  <c r="P505" i="58"/>
  <c r="S529" i="58"/>
  <c r="P529" i="58"/>
  <c r="S545" i="58"/>
  <c r="P545" i="58"/>
  <c r="S561" i="58"/>
  <c r="P561" i="58"/>
  <c r="S574" i="58"/>
  <c r="S585" i="58"/>
  <c r="P585" i="58"/>
  <c r="S605" i="58"/>
  <c r="P605" i="58"/>
  <c r="S613" i="58"/>
  <c r="P613" i="58"/>
  <c r="S621" i="58"/>
  <c r="P621" i="58"/>
  <c r="S629" i="58"/>
  <c r="P629" i="58"/>
  <c r="S637" i="58"/>
  <c r="P637" i="58"/>
  <c r="S645" i="58"/>
  <c r="P645" i="58"/>
  <c r="S653" i="58"/>
  <c r="P653" i="58"/>
  <c r="S661" i="58"/>
  <c r="P661" i="58"/>
  <c r="S669" i="58"/>
  <c r="P669" i="58"/>
  <c r="S677" i="58"/>
  <c r="P677" i="58"/>
  <c r="S685" i="58"/>
  <c r="P685" i="58"/>
  <c r="S693" i="58"/>
  <c r="P693" i="58"/>
  <c r="S701" i="58"/>
  <c r="P701" i="58"/>
  <c r="S709" i="58"/>
  <c r="P709" i="58"/>
  <c r="S717" i="58"/>
  <c r="P717" i="58"/>
  <c r="S725" i="58"/>
  <c r="P725" i="58"/>
  <c r="S733" i="58"/>
  <c r="P733" i="58"/>
  <c r="S741" i="58"/>
  <c r="P741" i="58"/>
  <c r="S749" i="58"/>
  <c r="P749" i="58"/>
  <c r="S757" i="58"/>
  <c r="P757" i="58"/>
  <c r="S765" i="58"/>
  <c r="P765" i="58"/>
  <c r="S773" i="58"/>
  <c r="P773" i="58"/>
  <c r="S781" i="58"/>
  <c r="P781" i="58"/>
  <c r="S789" i="58"/>
  <c r="P789" i="58"/>
  <c r="S797" i="58"/>
  <c r="P797" i="58"/>
  <c r="S805" i="58"/>
  <c r="P805" i="58"/>
  <c r="S813" i="58"/>
  <c r="P813" i="58"/>
  <c r="S842" i="58"/>
  <c r="P842" i="58"/>
  <c r="P1075" i="58"/>
  <c r="S1075" i="58"/>
  <c r="P1091" i="58"/>
  <c r="S1091" i="58"/>
  <c r="P1107" i="58"/>
  <c r="S1107" i="58"/>
  <c r="P1123" i="58"/>
  <c r="S1123" i="58"/>
  <c r="P1139" i="58"/>
  <c r="S1139" i="58"/>
  <c r="P1155" i="58"/>
  <c r="S1155" i="58"/>
  <c r="P1171" i="58"/>
  <c r="S1171" i="58"/>
  <c r="P1187" i="58"/>
  <c r="S1187" i="58"/>
  <c r="P1193" i="58"/>
  <c r="S1193" i="58"/>
  <c r="S1432" i="58"/>
  <c r="P1432" i="58"/>
  <c r="S469" i="58"/>
  <c r="P469" i="58"/>
  <c r="S485" i="58"/>
  <c r="P485" i="58"/>
  <c r="S501" i="58"/>
  <c r="P501" i="58"/>
  <c r="S525" i="58"/>
  <c r="P525" i="58"/>
  <c r="S541" i="58"/>
  <c r="P541" i="58"/>
  <c r="S557" i="58"/>
  <c r="P557" i="58"/>
  <c r="S593" i="58"/>
  <c r="P593" i="58"/>
  <c r="P1059" i="58"/>
  <c r="S1059" i="58"/>
  <c r="P1203" i="58"/>
  <c r="S1203" i="58"/>
  <c r="P1209" i="58"/>
  <c r="S1209" i="58"/>
  <c r="P1249" i="58"/>
  <c r="S1249" i="58"/>
  <c r="P1418" i="58"/>
  <c r="S1418" i="58"/>
  <c r="P1441" i="58"/>
  <c r="S1441" i="58"/>
  <c r="S581" i="58"/>
  <c r="P581" i="58"/>
  <c r="P829" i="58"/>
  <c r="P1071" i="58"/>
  <c r="S1071" i="58"/>
  <c r="P1089" i="58"/>
  <c r="S1089" i="58"/>
  <c r="P1105" i="58"/>
  <c r="S1105" i="58"/>
  <c r="P1121" i="58"/>
  <c r="S1121" i="58"/>
  <c r="P1137" i="58"/>
  <c r="S1137" i="58"/>
  <c r="P1153" i="58"/>
  <c r="S1153" i="58"/>
  <c r="P1169" i="58"/>
  <c r="S1169" i="58"/>
  <c r="P1185" i="58"/>
  <c r="S1185" i="58"/>
  <c r="P1243" i="58"/>
  <c r="S1243" i="58"/>
  <c r="S1578" i="58"/>
  <c r="P1578" i="58"/>
  <c r="S1587" i="58"/>
  <c r="P1587" i="58"/>
  <c r="S465" i="58"/>
  <c r="P465" i="58"/>
  <c r="S481" i="58"/>
  <c r="P481" i="58"/>
  <c r="S497" i="58"/>
  <c r="P497" i="58"/>
  <c r="S521" i="58"/>
  <c r="P521" i="58"/>
  <c r="S537" i="58"/>
  <c r="P537" i="58"/>
  <c r="S553" i="58"/>
  <c r="P553" i="58"/>
  <c r="S569" i="58"/>
  <c r="P569" i="58"/>
  <c r="S601" i="58"/>
  <c r="P601" i="58"/>
  <c r="S609" i="58"/>
  <c r="P609" i="58"/>
  <c r="S617" i="58"/>
  <c r="P617" i="58"/>
  <c r="S625" i="58"/>
  <c r="P625" i="58"/>
  <c r="S633" i="58"/>
  <c r="P633" i="58"/>
  <c r="S641" i="58"/>
  <c r="P641" i="58"/>
  <c r="S649" i="58"/>
  <c r="P649" i="58"/>
  <c r="S657" i="58"/>
  <c r="P657" i="58"/>
  <c r="S665" i="58"/>
  <c r="P665" i="58"/>
  <c r="S673" i="58"/>
  <c r="P673" i="58"/>
  <c r="S681" i="58"/>
  <c r="P681" i="58"/>
  <c r="S689" i="58"/>
  <c r="P689" i="58"/>
  <c r="S697" i="58"/>
  <c r="P697" i="58"/>
  <c r="S705" i="58"/>
  <c r="P705" i="58"/>
  <c r="S713" i="58"/>
  <c r="P713" i="58"/>
  <c r="S721" i="58"/>
  <c r="P721" i="58"/>
  <c r="S729" i="58"/>
  <c r="P729" i="58"/>
  <c r="S737" i="58"/>
  <c r="P737" i="58"/>
  <c r="S745" i="58"/>
  <c r="P745" i="58"/>
  <c r="S753" i="58"/>
  <c r="P753" i="58"/>
  <c r="S761" i="58"/>
  <c r="P761" i="58"/>
  <c r="S769" i="58"/>
  <c r="P769" i="58"/>
  <c r="S777" i="58"/>
  <c r="P777" i="58"/>
  <c r="S785" i="58"/>
  <c r="P785" i="58"/>
  <c r="S793" i="58"/>
  <c r="P793" i="58"/>
  <c r="S801" i="58"/>
  <c r="P801" i="58"/>
  <c r="S809" i="58"/>
  <c r="P809" i="58"/>
  <c r="S1060" i="58"/>
  <c r="P1060" i="58"/>
  <c r="P1083" i="58"/>
  <c r="S1083" i="58"/>
  <c r="P1099" i="58"/>
  <c r="S1099" i="58"/>
  <c r="P1115" i="58"/>
  <c r="S1115" i="58"/>
  <c r="P1131" i="58"/>
  <c r="S1131" i="58"/>
  <c r="P1147" i="58"/>
  <c r="S1147" i="58"/>
  <c r="P1163" i="58"/>
  <c r="S1163" i="58"/>
  <c r="P1179" i="58"/>
  <c r="S1179" i="58"/>
  <c r="P1219" i="58"/>
  <c r="S1219" i="58"/>
  <c r="P1225" i="58"/>
  <c r="S1225" i="58"/>
  <c r="S1512" i="58"/>
  <c r="P1512" i="58"/>
  <c r="S589" i="58"/>
  <c r="P589" i="58"/>
  <c r="S818" i="58"/>
  <c r="P818" i="58"/>
  <c r="P1195" i="58"/>
  <c r="S1195" i="58"/>
  <c r="P1201" i="58"/>
  <c r="S1201" i="58"/>
  <c r="P1393" i="58"/>
  <c r="S1393" i="58"/>
  <c r="S1402" i="58"/>
  <c r="P1402" i="58"/>
  <c r="P1508" i="58"/>
  <c r="S1508" i="58"/>
  <c r="S477" i="58"/>
  <c r="P477" i="58"/>
  <c r="S493" i="58"/>
  <c r="P493" i="58"/>
  <c r="S517" i="58"/>
  <c r="P517" i="58"/>
  <c r="S533" i="58"/>
  <c r="P533" i="58"/>
  <c r="S549" i="58"/>
  <c r="P549" i="58"/>
  <c r="S565" i="58"/>
  <c r="P565" i="58"/>
  <c r="S577" i="58"/>
  <c r="P577" i="58"/>
  <c r="S598" i="58"/>
  <c r="S826" i="58"/>
  <c r="P826" i="58"/>
  <c r="S1066" i="58"/>
  <c r="P1235" i="58"/>
  <c r="S1235" i="58"/>
  <c r="P1241" i="58"/>
  <c r="S1241" i="58"/>
  <c r="S817" i="58"/>
  <c r="S825" i="58"/>
  <c r="S833" i="58"/>
  <c r="S841" i="58"/>
  <c r="S1375" i="58"/>
  <c r="P1375" i="58"/>
  <c r="S1387" i="58"/>
  <c r="P1387" i="58"/>
  <c r="S1390" i="58"/>
  <c r="P1390" i="58"/>
  <c r="P1407" i="58"/>
  <c r="S1407" i="58"/>
  <c r="P1542" i="58"/>
  <c r="S1542" i="58"/>
  <c r="S1396" i="58"/>
  <c r="P1396" i="58"/>
  <c r="P1399" i="58"/>
  <c r="S1399" i="58"/>
  <c r="P1413" i="58"/>
  <c r="S1413" i="58"/>
  <c r="S1460" i="58"/>
  <c r="P1460" i="58"/>
  <c r="P1471" i="58"/>
  <c r="S1471" i="58"/>
  <c r="S1492" i="58"/>
  <c r="P1492" i="58"/>
  <c r="P1503" i="58"/>
  <c r="S1503" i="58"/>
  <c r="S1539" i="58"/>
  <c r="P1539" i="58"/>
  <c r="P1596" i="58"/>
  <c r="S1596" i="58"/>
  <c r="S1069" i="58"/>
  <c r="S1076" i="58"/>
  <c r="S1084" i="58"/>
  <c r="S1092" i="58"/>
  <c r="S1100" i="58"/>
  <c r="S1108" i="58"/>
  <c r="S1116" i="58"/>
  <c r="S1124" i="58"/>
  <c r="S1132" i="58"/>
  <c r="S1140" i="58"/>
  <c r="S1148" i="58"/>
  <c r="S1156" i="58"/>
  <c r="S1164" i="58"/>
  <c r="S1172" i="58"/>
  <c r="S1180" i="58"/>
  <c r="S1188" i="58"/>
  <c r="S1196" i="58"/>
  <c r="S1204" i="58"/>
  <c r="S1212" i="58"/>
  <c r="S1220" i="58"/>
  <c r="S1228" i="58"/>
  <c r="S1236" i="58"/>
  <c r="S1244" i="58"/>
  <c r="S1252" i="58"/>
  <c r="S1260" i="58"/>
  <c r="S1268" i="58"/>
  <c r="S1276" i="58"/>
  <c r="S1379" i="58"/>
  <c r="P1379" i="58"/>
  <c r="S1382" i="58"/>
  <c r="P1382" i="58"/>
  <c r="S1422" i="58"/>
  <c r="P1422" i="58"/>
  <c r="P1439" i="58"/>
  <c r="S1439" i="58"/>
  <c r="P1466" i="58"/>
  <c r="P1498" i="58"/>
  <c r="S1584" i="58"/>
  <c r="S1588" i="58"/>
  <c r="P1592" i="58"/>
  <c r="S1400" i="58"/>
  <c r="P1400" i="58"/>
  <c r="P1425" i="58"/>
  <c r="S1425" i="58"/>
  <c r="P1518" i="58"/>
  <c r="S1518" i="58"/>
  <c r="P1536" i="58"/>
  <c r="S1428" i="58"/>
  <c r="P1428" i="58"/>
  <c r="P1431" i="58"/>
  <c r="S1431" i="58"/>
  <c r="S1464" i="58"/>
  <c r="P1464" i="58"/>
  <c r="S1496" i="58"/>
  <c r="P1496" i="58"/>
  <c r="S1533" i="58"/>
  <c r="P1533" i="58"/>
  <c r="S1554" i="58"/>
  <c r="P1554" i="58"/>
  <c r="S1573" i="58"/>
  <c r="P1573" i="58"/>
  <c r="S1063" i="58"/>
  <c r="S1077" i="58"/>
  <c r="S1085" i="58"/>
  <c r="S1093" i="58"/>
  <c r="S1101" i="58"/>
  <c r="S1109" i="58"/>
  <c r="S1117" i="58"/>
  <c r="S1125" i="58"/>
  <c r="S1133" i="58"/>
  <c r="S1141" i="58"/>
  <c r="S1149" i="58"/>
  <c r="S1157" i="58"/>
  <c r="S1165" i="58"/>
  <c r="S1173" i="58"/>
  <c r="S1181" i="58"/>
  <c r="S1245" i="58"/>
  <c r="S1374" i="58"/>
  <c r="P1374" i="58"/>
  <c r="S1507" i="58"/>
  <c r="P1507" i="58"/>
  <c r="P1526" i="58"/>
  <c r="S1526" i="58"/>
  <c r="P1548" i="58"/>
  <c r="S1548" i="58"/>
  <c r="P1582" i="58"/>
  <c r="S1582" i="58"/>
  <c r="S1381" i="58"/>
  <c r="P1381" i="58"/>
  <c r="P1389" i="58"/>
  <c r="S1389" i="58"/>
  <c r="P1421" i="58"/>
  <c r="S1421" i="58"/>
  <c r="P1453" i="58"/>
  <c r="S1453" i="58"/>
  <c r="P1485" i="58"/>
  <c r="S1485" i="58"/>
  <c r="S1412" i="58"/>
  <c r="P1412" i="58"/>
  <c r="S1444" i="58"/>
  <c r="P1444" i="58"/>
  <c r="S1476" i="58"/>
  <c r="P1476" i="58"/>
  <c r="S1509" i="58"/>
  <c r="P1509" i="58"/>
  <c r="S1589" i="58"/>
  <c r="P1589" i="58"/>
  <c r="S1377" i="58"/>
  <c r="P1377" i="58"/>
  <c r="S1385" i="58"/>
  <c r="P1385" i="58"/>
  <c r="P1405" i="58"/>
  <c r="S1405" i="58"/>
  <c r="S1415" i="58"/>
  <c r="P1437" i="58"/>
  <c r="S1437" i="58"/>
  <c r="S1447" i="58"/>
  <c r="P1469" i="58"/>
  <c r="S1469" i="58"/>
  <c r="P1501" i="58"/>
  <c r="S1501" i="58"/>
  <c r="S1556" i="58"/>
  <c r="P1571" i="58"/>
  <c r="S1530" i="58"/>
  <c r="P1530" i="58"/>
  <c r="S1576" i="58"/>
  <c r="P1576" i="58"/>
  <c r="S1383" i="58"/>
  <c r="P1383" i="58"/>
  <c r="S1445" i="58"/>
  <c r="S1457" i="58"/>
  <c r="S1477" i="58"/>
  <c r="S1489" i="58"/>
  <c r="P1524" i="58"/>
  <c r="S1524" i="58"/>
  <c r="P1547" i="58"/>
  <c r="S1566" i="58"/>
  <c r="S1572" i="58"/>
  <c r="P1580" i="58"/>
  <c r="S1580" i="58"/>
  <c r="P502" i="49"/>
  <c r="P555" i="49"/>
  <c r="P788" i="49"/>
  <c r="P884" i="49"/>
  <c r="P1012" i="49"/>
  <c r="P1132" i="49"/>
  <c r="P1188" i="49"/>
  <c r="P1308" i="49"/>
  <c r="P1412" i="49"/>
  <c r="P1540" i="49"/>
  <c r="P1193" i="49"/>
  <c r="P1257" i="49"/>
  <c r="P564" i="49"/>
  <c r="P815" i="49"/>
  <c r="P1044" i="49"/>
  <c r="P1324" i="49"/>
  <c r="P1403" i="49"/>
  <c r="P604" i="49"/>
  <c r="P696" i="49"/>
  <c r="P828" i="49"/>
  <c r="P927" i="49"/>
  <c r="P1231" i="49"/>
  <c r="P1352" i="49"/>
  <c r="P1464" i="49"/>
  <c r="P1475" i="49"/>
  <c r="P969" i="49"/>
  <c r="P552" i="49"/>
  <c r="P647" i="49"/>
  <c r="P780" i="49"/>
  <c r="P847" i="49"/>
  <c r="P988" i="49"/>
  <c r="P1116" i="49"/>
  <c r="P1185" i="49"/>
  <c r="P1295" i="49"/>
  <c r="P1392" i="49"/>
  <c r="P1527" i="49"/>
  <c r="P1121" i="49"/>
  <c r="P1186" i="49"/>
  <c r="P826" i="49"/>
  <c r="P1402" i="49"/>
  <c r="P1610" i="49"/>
  <c r="P481" i="49"/>
  <c r="P653" i="49"/>
  <c r="P1144" i="49"/>
  <c r="P1389" i="49"/>
  <c r="P897" i="49"/>
  <c r="P1194" i="49"/>
  <c r="P802" i="49"/>
  <c r="P866" i="49"/>
  <c r="P898" i="49"/>
  <c r="P1226" i="49"/>
  <c r="P1426" i="49"/>
  <c r="P506" i="49"/>
  <c r="P877" i="49"/>
  <c r="P1450" i="49"/>
  <c r="P512" i="49"/>
  <c r="P610" i="49"/>
  <c r="P880" i="49"/>
  <c r="P1325" i="49"/>
  <c r="P1413" i="49"/>
  <c r="P569" i="49"/>
  <c r="P970" i="49"/>
  <c r="P1290" i="49"/>
  <c r="P538" i="49"/>
  <c r="P1093" i="49"/>
  <c r="P1557" i="49"/>
  <c r="P570" i="49"/>
  <c r="P1050" i="49"/>
  <c r="P1298" i="49"/>
  <c r="P1506" i="49"/>
  <c r="P1013" i="49"/>
  <c r="P746" i="49"/>
  <c r="P1098" i="49"/>
  <c r="P1314" i="49"/>
  <c r="P1514" i="49"/>
  <c r="P600" i="49"/>
  <c r="P728" i="49"/>
  <c r="P784" i="49"/>
  <c r="P808" i="49"/>
  <c r="P968" i="49"/>
  <c r="P1048" i="49"/>
  <c r="P1088" i="49"/>
  <c r="P1136" i="49"/>
  <c r="P1208" i="49"/>
  <c r="P1278" i="49"/>
  <c r="P1400" i="49"/>
  <c r="P1520" i="49"/>
  <c r="P734" i="49"/>
  <c r="P1014" i="49"/>
  <c r="P703" i="49"/>
  <c r="P736" i="49"/>
  <c r="P790" i="49"/>
  <c r="P848" i="49"/>
  <c r="P888" i="49"/>
  <c r="P928" i="49"/>
  <c r="P984" i="49"/>
  <c r="P1016" i="49"/>
  <c r="P1096" i="49"/>
  <c r="P1152" i="49"/>
  <c r="P1184" i="49"/>
  <c r="P1224" i="49"/>
  <c r="P1294" i="49"/>
  <c r="P1326" i="49"/>
  <c r="P1360" i="49"/>
  <c r="P1472" i="49"/>
  <c r="P1528" i="49"/>
  <c r="P1584" i="49"/>
  <c r="P528" i="49"/>
  <c r="P568" i="49"/>
  <c r="P616" i="49"/>
  <c r="P704" i="49"/>
  <c r="P752" i="49"/>
  <c r="P791" i="49"/>
  <c r="P824" i="49"/>
  <c r="P856" i="49"/>
  <c r="P896" i="49"/>
  <c r="P936" i="49"/>
  <c r="P1072" i="49"/>
  <c r="P1104" i="49"/>
  <c r="P1328" i="49"/>
  <c r="P1416" i="49"/>
  <c r="P1480" i="49"/>
  <c r="P1536" i="49"/>
  <c r="A1264" i="54" a="1"/>
  <c r="A1264" i="54" s="1"/>
  <c r="P532" i="49"/>
  <c r="P576" i="49"/>
  <c r="P624" i="49"/>
  <c r="P664" i="49"/>
  <c r="P712" i="49"/>
  <c r="P760" i="49"/>
  <c r="P792" i="49"/>
  <c r="P904" i="49"/>
  <c r="P941" i="49"/>
  <c r="P992" i="49"/>
  <c r="P1029" i="49"/>
  <c r="P1080" i="49"/>
  <c r="P1160" i="49"/>
  <c r="P1232" i="49"/>
  <c r="P1296" i="49"/>
  <c r="P1336" i="49"/>
  <c r="P1424" i="49"/>
  <c r="P1488" i="49"/>
  <c r="P1592" i="49"/>
  <c r="P705" i="49"/>
  <c r="P583" i="49"/>
  <c r="P632" i="49"/>
  <c r="P672" i="49"/>
  <c r="P768" i="49"/>
  <c r="P800" i="49"/>
  <c r="P831" i="49"/>
  <c r="P872" i="49"/>
  <c r="P912" i="49"/>
  <c r="P943" i="49"/>
  <c r="P1000" i="49"/>
  <c r="P1032" i="49"/>
  <c r="P1120" i="49"/>
  <c r="P1168" i="49"/>
  <c r="P1248" i="49"/>
  <c r="P1344" i="49"/>
  <c r="P1384" i="49"/>
  <c r="P1504" i="49"/>
  <c r="P1542" i="49"/>
  <c r="P1600" i="49"/>
  <c r="P473" i="49"/>
  <c r="P544" i="49"/>
  <c r="P584" i="49"/>
  <c r="P680" i="49"/>
  <c r="P718" i="49"/>
  <c r="P776" i="49"/>
  <c r="P832" i="49"/>
  <c r="P920" i="49"/>
  <c r="P944" i="49"/>
  <c r="P1008" i="49"/>
  <c r="P1040" i="49"/>
  <c r="P1086" i="49"/>
  <c r="P1264" i="49"/>
  <c r="P1310" i="49"/>
  <c r="P1440" i="49"/>
  <c r="P1552" i="49"/>
  <c r="P1608" i="49"/>
  <c r="P490" i="49"/>
  <c r="A1266" i="54" a="1"/>
  <c r="A1266" i="54" s="1"/>
  <c r="P505" i="49"/>
  <c r="P533" i="49"/>
  <c r="P621" i="49"/>
  <c r="P677" i="49"/>
  <c r="P735" i="49"/>
  <c r="P846" i="49"/>
  <c r="P875" i="49"/>
  <c r="P893" i="49"/>
  <c r="P923" i="49"/>
  <c r="P942" i="49"/>
  <c r="P973" i="49"/>
  <c r="P1071" i="49"/>
  <c r="P1159" i="49"/>
  <c r="P1230" i="49"/>
  <c r="P1269" i="49"/>
  <c r="P1509" i="49"/>
  <c r="P1559" i="49"/>
  <c r="P1589" i="49"/>
  <c r="P514" i="49"/>
  <c r="P706" i="49"/>
  <c r="P938" i="49"/>
  <c r="P1090" i="49"/>
  <c r="P1202" i="49"/>
  <c r="P1307" i="49"/>
  <c r="P1410" i="49"/>
  <c r="P1482" i="49"/>
  <c r="P1594" i="49"/>
  <c r="P1411" i="49"/>
  <c r="P1603" i="49"/>
  <c r="P476" i="49"/>
  <c r="P539" i="49"/>
  <c r="P565" i="49"/>
  <c r="P597" i="49"/>
  <c r="P629" i="49"/>
  <c r="P717" i="49"/>
  <c r="P749" i="49"/>
  <c r="P829" i="49"/>
  <c r="P901" i="49"/>
  <c r="P925" i="49"/>
  <c r="P1077" i="49"/>
  <c r="P1165" i="49"/>
  <c r="P1309" i="49"/>
  <c r="P1477" i="49"/>
  <c r="P1541" i="49"/>
  <c r="P1107" i="49"/>
  <c r="P1227" i="49"/>
  <c r="P661" i="49"/>
  <c r="P787" i="49"/>
  <c r="P1045" i="49"/>
  <c r="P1101" i="49"/>
  <c r="P1141" i="49"/>
  <c r="P1213" i="49"/>
  <c r="P1245" i="49"/>
  <c r="P1397" i="49"/>
  <c r="P1573" i="49"/>
  <c r="P979" i="49"/>
  <c r="P1427" i="49"/>
  <c r="P1531" i="49"/>
  <c r="P1611" i="49"/>
  <c r="A1260" i="54" a="1"/>
  <c r="A1260" i="54" s="1"/>
  <c r="P484" i="49"/>
  <c r="P549" i="49"/>
  <c r="P662" i="49"/>
  <c r="P861" i="49"/>
  <c r="P885" i="49"/>
  <c r="P957" i="49"/>
  <c r="P997" i="49"/>
  <c r="P1021" i="49"/>
  <c r="P1214" i="49"/>
  <c r="P1285" i="49"/>
  <c r="P1311" i="49"/>
  <c r="P1365" i="49"/>
  <c r="P1445" i="49"/>
  <c r="P1525" i="49"/>
  <c r="P1543" i="49"/>
  <c r="P1575" i="49"/>
  <c r="P1605" i="49"/>
  <c r="P618" i="49"/>
  <c r="P835" i="49"/>
  <c r="P987" i="49"/>
  <c r="P1122" i="49"/>
  <c r="P1258" i="49"/>
  <c r="P1434" i="49"/>
  <c r="P1555" i="49"/>
  <c r="A1245" i="54" a="1"/>
  <c r="A1245" i="54" s="1"/>
  <c r="A1253" i="54" a="1"/>
  <c r="A1253" i="54" s="1"/>
  <c r="A1261" i="54" a="1"/>
  <c r="A1261" i="54" s="1"/>
  <c r="P486" i="49"/>
  <c r="P551" i="49"/>
  <c r="P580" i="49"/>
  <c r="P608" i="49"/>
  <c r="P640" i="49"/>
  <c r="P663" i="49"/>
  <c r="P701" i="49"/>
  <c r="P725" i="49"/>
  <c r="P764" i="49"/>
  <c r="P789" i="49"/>
  <c r="P813" i="49"/>
  <c r="P837" i="49"/>
  <c r="P864" i="49"/>
  <c r="P886" i="49"/>
  <c r="P916" i="49"/>
  <c r="P933" i="49"/>
  <c r="P960" i="49"/>
  <c r="P999" i="49"/>
  <c r="P1024" i="49"/>
  <c r="P1056" i="49"/>
  <c r="P1085" i="49"/>
  <c r="P1112" i="49"/>
  <c r="P1148" i="49"/>
  <c r="P1173" i="49"/>
  <c r="P1192" i="49"/>
  <c r="P1216" i="49"/>
  <c r="P1256" i="49"/>
  <c r="P1288" i="49"/>
  <c r="P1312" i="49"/>
  <c r="P1340" i="49"/>
  <c r="P1408" i="49"/>
  <c r="P1448" i="49"/>
  <c r="P1492" i="49"/>
  <c r="P1526" i="49"/>
  <c r="P1544" i="49"/>
  <c r="P1576" i="49"/>
  <c r="P1607" i="49"/>
  <c r="P658" i="49"/>
  <c r="P850" i="49"/>
  <c r="P1010" i="49"/>
  <c r="P1154" i="49"/>
  <c r="P1266" i="49"/>
  <c r="P1435" i="49"/>
  <c r="P1562" i="49"/>
  <c r="P581" i="49"/>
  <c r="P765" i="49"/>
  <c r="P1197" i="49"/>
  <c r="P1221" i="49"/>
  <c r="P1261" i="49"/>
  <c r="P1317" i="49"/>
  <c r="P1493" i="49"/>
  <c r="P1581" i="49"/>
  <c r="P699" i="49"/>
  <c r="P1011" i="49"/>
  <c r="P1571" i="49"/>
  <c r="P471" i="49"/>
  <c r="P487" i="49"/>
  <c r="P548" i="49"/>
  <c r="P599" i="49"/>
  <c r="P615" i="49"/>
  <c r="P630" i="49"/>
  <c r="P646" i="49"/>
  <c r="P676" i="49"/>
  <c r="P687" i="49"/>
  <c r="P702" i="49"/>
  <c r="P732" i="49"/>
  <c r="P748" i="49"/>
  <c r="P775" i="49"/>
  <c r="P814" i="49"/>
  <c r="P860" i="49"/>
  <c r="P871" i="49"/>
  <c r="P900" i="49"/>
  <c r="P956" i="49"/>
  <c r="P983" i="49"/>
  <c r="P998" i="49"/>
  <c r="P1055" i="49"/>
  <c r="P1070" i="49"/>
  <c r="P1100" i="49"/>
  <c r="P1127" i="49"/>
  <c r="P1143" i="49"/>
  <c r="P1158" i="49"/>
  <c r="P1198" i="49"/>
  <c r="P1228" i="49"/>
  <c r="P1244" i="49"/>
  <c r="P1260" i="49"/>
  <c r="P1276" i="49"/>
  <c r="P1292" i="49"/>
  <c r="P1342" i="49"/>
  <c r="P1358" i="49"/>
  <c r="P1390" i="49"/>
  <c r="P1423" i="49"/>
  <c r="P1439" i="49"/>
  <c r="P1476" i="49"/>
  <c r="P1556" i="49"/>
  <c r="P1590" i="49"/>
  <c r="P1606" i="49"/>
  <c r="P478" i="49"/>
  <c r="P494" i="49"/>
  <c r="P557" i="49"/>
  <c r="P573" i="49"/>
  <c r="P589" i="49"/>
  <c r="P605" i="49"/>
  <c r="P645" i="49"/>
  <c r="P733" i="49"/>
  <c r="P805" i="49"/>
  <c r="P917" i="49"/>
  <c r="P965" i="49"/>
  <c r="P1053" i="49"/>
  <c r="P1117" i="49"/>
  <c r="P1181" i="49"/>
  <c r="P1229" i="49"/>
  <c r="P1277" i="49"/>
  <c r="P1293" i="49"/>
  <c r="P1341" i="49"/>
  <c r="P1357" i="49"/>
  <c r="P1405" i="49"/>
  <c r="P1421" i="49"/>
  <c r="P1469" i="49"/>
  <c r="P1485" i="49"/>
  <c r="S1533" i="49"/>
  <c r="P1533" i="49"/>
  <c r="S1549" i="49"/>
  <c r="P1549" i="49"/>
  <c r="S1597" i="49"/>
  <c r="P1597" i="49"/>
  <c r="S1613" i="49"/>
  <c r="P1613" i="49"/>
  <c r="P509" i="49"/>
  <c r="P670" i="49"/>
  <c r="P694" i="49"/>
  <c r="P758" i="49"/>
  <c r="P830" i="49"/>
  <c r="P878" i="49"/>
  <c r="P926" i="49"/>
  <c r="P990" i="49"/>
  <c r="P1078" i="49"/>
  <c r="P1142" i="49"/>
  <c r="P1190" i="49"/>
  <c r="P1254" i="49"/>
  <c r="P1302" i="49"/>
  <c r="P1318" i="49"/>
  <c r="P1366" i="49"/>
  <c r="P1382" i="49"/>
  <c r="P1430" i="49"/>
  <c r="P1446" i="49"/>
  <c r="P1494" i="49"/>
  <c r="P1510" i="49"/>
  <c r="S1558" i="49"/>
  <c r="P1558" i="49"/>
  <c r="S1574" i="49"/>
  <c r="P1574" i="49"/>
  <c r="P495" i="49"/>
  <c r="P678" i="49"/>
  <c r="P750" i="49"/>
  <c r="P862" i="49"/>
  <c r="P902" i="49"/>
  <c r="P918" i="49"/>
  <c r="P958" i="49"/>
  <c r="P1030" i="49"/>
  <c r="P1102" i="49"/>
  <c r="P1118" i="49"/>
  <c r="P1246" i="49"/>
  <c r="P1262" i="49"/>
  <c r="P1462" i="49"/>
  <c r="P1478" i="49"/>
  <c r="P527" i="49"/>
  <c r="P543" i="49"/>
  <c r="P631" i="49"/>
  <c r="P719" i="49"/>
  <c r="P783" i="49"/>
  <c r="P855" i="49"/>
  <c r="P903" i="49"/>
  <c r="P951" i="49"/>
  <c r="P1015" i="49"/>
  <c r="P1039" i="49"/>
  <c r="P1103" i="49"/>
  <c r="P1167" i="49"/>
  <c r="P1215" i="49"/>
  <c r="P1263" i="49"/>
  <c r="P1279" i="49"/>
  <c r="P1327" i="49"/>
  <c r="P1343" i="49"/>
  <c r="P1391" i="49"/>
  <c r="P1407" i="49"/>
  <c r="P1455" i="49"/>
  <c r="P1471" i="49"/>
  <c r="P1519" i="49"/>
  <c r="S1535" i="49"/>
  <c r="P1535" i="49"/>
  <c r="S1583" i="49"/>
  <c r="P1583" i="49"/>
  <c r="S1599" i="49"/>
  <c r="P1599" i="49"/>
  <c r="P479" i="49"/>
  <c r="P498" i="49"/>
  <c r="P588" i="49"/>
  <c r="P622" i="49"/>
  <c r="P637" i="49"/>
  <c r="P652" i="49"/>
  <c r="P679" i="49"/>
  <c r="P693" i="49"/>
  <c r="P709" i="49"/>
  <c r="P724" i="49"/>
  <c r="P751" i="49"/>
  <c r="P766" i="49"/>
  <c r="P781" i="49"/>
  <c r="P806" i="49"/>
  <c r="P821" i="49"/>
  <c r="P836" i="49"/>
  <c r="P863" i="49"/>
  <c r="P876" i="49"/>
  <c r="P919" i="49"/>
  <c r="P932" i="49"/>
  <c r="P959" i="49"/>
  <c r="P974" i="49"/>
  <c r="P989" i="49"/>
  <c r="P1005" i="49"/>
  <c r="P1020" i="49"/>
  <c r="P1031" i="49"/>
  <c r="P1046" i="49"/>
  <c r="P1061" i="49"/>
  <c r="P1076" i="49"/>
  <c r="P1119" i="49"/>
  <c r="P1134" i="49"/>
  <c r="P1149" i="49"/>
  <c r="P1164" i="49"/>
  <c r="P1189" i="49"/>
  <c r="P1205" i="49"/>
  <c r="P1220" i="49"/>
  <c r="P1247" i="49"/>
  <c r="P1284" i="49"/>
  <c r="P1333" i="49"/>
  <c r="P1349" i="49"/>
  <c r="P1364" i="49"/>
  <c r="P1381" i="49"/>
  <c r="P1398" i="49"/>
  <c r="P1414" i="49"/>
  <c r="P1429" i="49"/>
  <c r="P1447" i="49"/>
  <c r="P1463" i="49"/>
  <c r="P1479" i="49"/>
  <c r="P1495" i="49"/>
  <c r="P1564" i="49"/>
  <c r="P1580" i="49"/>
  <c r="P1596" i="49"/>
  <c r="P1612" i="49"/>
  <c r="P1089" i="49"/>
  <c r="P1561" i="49"/>
  <c r="P572" i="49"/>
  <c r="P591" i="49"/>
  <c r="P623" i="49"/>
  <c r="P638" i="49"/>
  <c r="P668" i="49"/>
  <c r="P695" i="49"/>
  <c r="P710" i="49"/>
  <c r="P740" i="49"/>
  <c r="P767" i="49"/>
  <c r="P782" i="49"/>
  <c r="P796" i="49"/>
  <c r="P807" i="49"/>
  <c r="P822" i="49"/>
  <c r="P852" i="49"/>
  <c r="P908" i="49"/>
  <c r="P948" i="49"/>
  <c r="P975" i="49"/>
  <c r="P991" i="49"/>
  <c r="P1006" i="49"/>
  <c r="P1047" i="49"/>
  <c r="P1062" i="49"/>
  <c r="P1108" i="49"/>
  <c r="P1135" i="49"/>
  <c r="P1150" i="49"/>
  <c r="P1180" i="49"/>
  <c r="P1191" i="49"/>
  <c r="P1206" i="49"/>
  <c r="P1236" i="49"/>
  <c r="P1300" i="49"/>
  <c r="P1334" i="49"/>
  <c r="P1350" i="49"/>
  <c r="P1383" i="49"/>
  <c r="P1399" i="49"/>
  <c r="P1415" i="49"/>
  <c r="P1431" i="49"/>
  <c r="P1500" i="49"/>
  <c r="P1516" i="49"/>
  <c r="P1532" i="49"/>
  <c r="P1548" i="49"/>
  <c r="P1598" i="49"/>
  <c r="P1614" i="49"/>
  <c r="P1289" i="49"/>
  <c r="S1585" i="49"/>
  <c r="P1585" i="49"/>
  <c r="P482" i="49"/>
  <c r="P503" i="49"/>
  <c r="P524" i="49"/>
  <c r="P540" i="49"/>
  <c r="P556" i="49"/>
  <c r="P575" i="49"/>
  <c r="P612" i="49"/>
  <c r="P639" i="49"/>
  <c r="P654" i="49"/>
  <c r="P669" i="49"/>
  <c r="P684" i="49"/>
  <c r="P711" i="49"/>
  <c r="P726" i="49"/>
  <c r="P741" i="49"/>
  <c r="P756" i="49"/>
  <c r="P797" i="49"/>
  <c r="P823" i="49"/>
  <c r="P838" i="49"/>
  <c r="P853" i="49"/>
  <c r="P879" i="49"/>
  <c r="P894" i="49"/>
  <c r="P909" i="49"/>
  <c r="P934" i="49"/>
  <c r="P949" i="49"/>
  <c r="P964" i="49"/>
  <c r="P980" i="49"/>
  <c r="P1007" i="49"/>
  <c r="P1022" i="49"/>
  <c r="P1036" i="49"/>
  <c r="P1063" i="49"/>
  <c r="P1079" i="49"/>
  <c r="P1094" i="49"/>
  <c r="P1109" i="49"/>
  <c r="P1124" i="49"/>
  <c r="P1151" i="49"/>
  <c r="P1166" i="49"/>
  <c r="P1182" i="49"/>
  <c r="P1207" i="49"/>
  <c r="P1222" i="49"/>
  <c r="P1237" i="49"/>
  <c r="P1253" i="49"/>
  <c r="P1270" i="49"/>
  <c r="P1286" i="49"/>
  <c r="P1301" i="49"/>
  <c r="P1319" i="49"/>
  <c r="P1335" i="49"/>
  <c r="P1351" i="49"/>
  <c r="P1367" i="49"/>
  <c r="P1436" i="49"/>
  <c r="P1452" i="49"/>
  <c r="P1468" i="49"/>
  <c r="P1484" i="49"/>
  <c r="P1501" i="49"/>
  <c r="P1517" i="49"/>
  <c r="P1534" i="49"/>
  <c r="P1550" i="49"/>
  <c r="P1566" i="49"/>
  <c r="P1582" i="49"/>
  <c r="P1615" i="49"/>
  <c r="P825" i="49"/>
  <c r="P1225" i="49"/>
  <c r="P1481" i="49"/>
  <c r="P525" i="49"/>
  <c r="P541" i="49"/>
  <c r="P558" i="49"/>
  <c r="P596" i="49"/>
  <c r="P613" i="49"/>
  <c r="P628" i="49"/>
  <c r="P655" i="49"/>
  <c r="P671" i="49"/>
  <c r="P685" i="49"/>
  <c r="P700" i="49"/>
  <c r="P727" i="49"/>
  <c r="P742" i="49"/>
  <c r="P757" i="49"/>
  <c r="P773" i="49"/>
  <c r="P798" i="49"/>
  <c r="P812" i="49"/>
  <c r="P839" i="49"/>
  <c r="P854" i="49"/>
  <c r="P869" i="49"/>
  <c r="P895" i="49"/>
  <c r="P910" i="49"/>
  <c r="P935" i="49"/>
  <c r="P950" i="49"/>
  <c r="P966" i="49"/>
  <c r="P981" i="49"/>
  <c r="P996" i="49"/>
  <c r="P1023" i="49"/>
  <c r="P1037" i="49"/>
  <c r="P1052" i="49"/>
  <c r="P1068" i="49"/>
  <c r="P1095" i="49"/>
  <c r="P1110" i="49"/>
  <c r="P1125" i="49"/>
  <c r="P1140" i="49"/>
  <c r="P1183" i="49"/>
  <c r="P1196" i="49"/>
  <c r="P1223" i="49"/>
  <c r="P1238" i="49"/>
  <c r="P1255" i="49"/>
  <c r="P1271" i="49"/>
  <c r="P1287" i="49"/>
  <c r="P1303" i="49"/>
  <c r="P1388" i="49"/>
  <c r="P1404" i="49"/>
  <c r="P1420" i="49"/>
  <c r="P1437" i="49"/>
  <c r="P1453" i="49"/>
  <c r="P1470" i="49"/>
  <c r="P1486" i="49"/>
  <c r="P1502" i="49"/>
  <c r="P1518" i="49"/>
  <c r="P1551" i="49"/>
  <c r="P1567" i="49"/>
  <c r="P1604" i="49"/>
  <c r="P643" i="49"/>
  <c r="P683" i="49"/>
  <c r="P795" i="49"/>
  <c r="P947" i="49"/>
  <c r="P1083" i="49"/>
  <c r="P1171" i="49"/>
  <c r="P1363" i="49"/>
  <c r="P1483" i="49"/>
  <c r="P1507" i="49"/>
  <c r="S1563" i="49"/>
  <c r="P1563" i="49"/>
  <c r="P526" i="49"/>
  <c r="P559" i="49"/>
  <c r="P614" i="49"/>
  <c r="P686" i="49"/>
  <c r="P743" i="49"/>
  <c r="P759" i="49"/>
  <c r="P774" i="49"/>
  <c r="P799" i="49"/>
  <c r="P870" i="49"/>
  <c r="P911" i="49"/>
  <c r="P967" i="49"/>
  <c r="P982" i="49"/>
  <c r="P1038" i="49"/>
  <c r="P1054" i="49"/>
  <c r="P1111" i="49"/>
  <c r="P1126" i="49"/>
  <c r="P1239" i="49"/>
  <c r="P1406" i="49"/>
  <c r="P1422" i="49"/>
  <c r="P1438" i="49"/>
  <c r="P1454" i="49"/>
  <c r="P1487" i="49"/>
  <c r="P1503" i="49"/>
  <c r="P620" i="49"/>
  <c r="P708" i="49"/>
  <c r="P772" i="49"/>
  <c r="P844" i="49"/>
  <c r="P868" i="49"/>
  <c r="P892" i="49"/>
  <c r="P940" i="49"/>
  <c r="P1004" i="49"/>
  <c r="P1028" i="49"/>
  <c r="P1092" i="49"/>
  <c r="P1156" i="49"/>
  <c r="P1204" i="49"/>
  <c r="P1252" i="49"/>
  <c r="P1268" i="49"/>
  <c r="P1316" i="49"/>
  <c r="P1332" i="49"/>
  <c r="P1396" i="49"/>
  <c r="P1444" i="49"/>
  <c r="P1460" i="49"/>
  <c r="P1508" i="49"/>
  <c r="P1524" i="49"/>
  <c r="S1572" i="49"/>
  <c r="P1572" i="49"/>
  <c r="S1588" i="49"/>
  <c r="P1588" i="49"/>
  <c r="P656" i="49"/>
  <c r="P744" i="49"/>
  <c r="P816" i="49"/>
  <c r="P976" i="49"/>
  <c r="P1064" i="49"/>
  <c r="P1128" i="49"/>
  <c r="P1240" i="49"/>
  <c r="P1304" i="49"/>
  <c r="P1368" i="49"/>
  <c r="P1432" i="49"/>
  <c r="P1496" i="49"/>
  <c r="P1560" i="49"/>
  <c r="P674" i="49"/>
  <c r="P794" i="49"/>
  <c r="P492" i="49"/>
  <c r="P529" i="49"/>
  <c r="P577" i="49"/>
  <c r="P626" i="49"/>
  <c r="P682" i="49"/>
  <c r="P713" i="49"/>
  <c r="P754" i="49"/>
  <c r="P786" i="49"/>
  <c r="P833" i="49"/>
  <c r="P865" i="49"/>
  <c r="P905" i="49"/>
  <c r="P946" i="49"/>
  <c r="P1017" i="49"/>
  <c r="P1058" i="49"/>
  <c r="P1097" i="49"/>
  <c r="P1129" i="49"/>
  <c r="P1162" i="49"/>
  <c r="P1201" i="49"/>
  <c r="P1265" i="49"/>
  <c r="P1297" i="49"/>
  <c r="P1322" i="49"/>
  <c r="P1354" i="49"/>
  <c r="P1409" i="49"/>
  <c r="P1433" i="49"/>
  <c r="P1458" i="49"/>
  <c r="P1513" i="49"/>
  <c r="P1538" i="49"/>
  <c r="P1593" i="49"/>
  <c r="P499" i="49"/>
  <c r="P530" i="49"/>
  <c r="P578" i="49"/>
  <c r="P634" i="49"/>
  <c r="P689" i="49"/>
  <c r="P714" i="49"/>
  <c r="P761" i="49"/>
  <c r="P793" i="49"/>
  <c r="P834" i="49"/>
  <c r="P874" i="49"/>
  <c r="P906" i="49"/>
  <c r="P1018" i="49"/>
  <c r="P1065" i="49"/>
  <c r="P1137" i="49"/>
  <c r="P1169" i="49"/>
  <c r="P1233" i="49"/>
  <c r="P1329" i="49"/>
  <c r="P1361" i="49"/>
  <c r="P1385" i="49"/>
  <c r="P1465" i="49"/>
  <c r="P1489" i="49"/>
  <c r="P1545" i="49"/>
  <c r="P1569" i="49"/>
  <c r="P602" i="49"/>
  <c r="P666" i="49"/>
  <c r="P1130" i="49"/>
  <c r="P500" i="49"/>
  <c r="P537" i="49"/>
  <c r="P586" i="49"/>
  <c r="P642" i="49"/>
  <c r="P690" i="49"/>
  <c r="P721" i="49"/>
  <c r="P762" i="49"/>
  <c r="P801" i="49"/>
  <c r="P881" i="49"/>
  <c r="P913" i="49"/>
  <c r="P953" i="49"/>
  <c r="P993" i="49"/>
  <c r="P1033" i="49"/>
  <c r="P1066" i="49"/>
  <c r="P1106" i="49"/>
  <c r="P1138" i="49"/>
  <c r="P1170" i="49"/>
  <c r="P1209" i="49"/>
  <c r="P1234" i="49"/>
  <c r="P1273" i="49"/>
  <c r="P1305" i="49"/>
  <c r="P1330" i="49"/>
  <c r="P1362" i="49"/>
  <c r="P1386" i="49"/>
  <c r="P1466" i="49"/>
  <c r="P1490" i="49"/>
  <c r="P1521" i="49"/>
  <c r="P1546" i="49"/>
  <c r="P1570" i="49"/>
  <c r="P1601" i="49"/>
  <c r="R94" i="54"/>
  <c r="C573" i="54" a="1"/>
  <c r="C573" i="54" s="1"/>
  <c r="A571" i="54" a="1"/>
  <c r="A571" i="54" s="1"/>
  <c r="C565" i="54" a="1"/>
  <c r="C565" i="54" s="1"/>
  <c r="A563" i="54" a="1"/>
  <c r="A563" i="54" s="1"/>
  <c r="C557" i="54" a="1"/>
  <c r="C557" i="54" s="1"/>
  <c r="A555" i="54" a="1"/>
  <c r="A555" i="54" s="1"/>
  <c r="C549" i="54" a="1"/>
  <c r="C549" i="54" s="1"/>
  <c r="A547" i="54" a="1"/>
  <c r="A547" i="54" s="1"/>
  <c r="A542" i="54" a="1"/>
  <c r="A542" i="54" s="1"/>
  <c r="C536" i="54" a="1"/>
  <c r="C536" i="54" s="1"/>
  <c r="A534" i="54" a="1"/>
  <c r="A534" i="54" s="1"/>
  <c r="C570" i="54" a="1"/>
  <c r="C570" i="54" s="1"/>
  <c r="A568" i="54" a="1"/>
  <c r="A568" i="54" s="1"/>
  <c r="C562" i="54" a="1"/>
  <c r="C562" i="54" s="1"/>
  <c r="A560" i="54" a="1"/>
  <c r="A560" i="54" s="1"/>
  <c r="C554" i="54" a="1"/>
  <c r="C554" i="54" s="1"/>
  <c r="A552" i="54" a="1"/>
  <c r="A552" i="54" s="1"/>
  <c r="C546" i="54" a="1"/>
  <c r="C546" i="54" s="1"/>
  <c r="A544" i="54" a="1"/>
  <c r="A544" i="54" s="1"/>
  <c r="C541" i="54" a="1"/>
  <c r="C541" i="54" s="1"/>
  <c r="A539" i="54" a="1"/>
  <c r="A539" i="54" s="1"/>
  <c r="C533" i="54" a="1"/>
  <c r="C533" i="54" s="1"/>
  <c r="A531" i="54" a="1"/>
  <c r="A531" i="54" s="1"/>
  <c r="A573" i="54" a="1"/>
  <c r="A573" i="54" s="1"/>
  <c r="C567" i="54" a="1"/>
  <c r="C567" i="54" s="1"/>
  <c r="A565" i="54" a="1"/>
  <c r="A565" i="54" s="1"/>
  <c r="C559" i="54" a="1"/>
  <c r="C559" i="54" s="1"/>
  <c r="A557" i="54" a="1"/>
  <c r="A557" i="54" s="1"/>
  <c r="C551" i="54" a="1"/>
  <c r="C551" i="54" s="1"/>
  <c r="A549" i="54" a="1"/>
  <c r="A549" i="54" s="1"/>
  <c r="C543" i="54" a="1"/>
  <c r="C543" i="54" s="1"/>
  <c r="C538" i="54" a="1"/>
  <c r="C538" i="54" s="1"/>
  <c r="A536" i="54" a="1"/>
  <c r="A536" i="54" s="1"/>
  <c r="C530" i="54" a="1"/>
  <c r="C530" i="54" s="1"/>
  <c r="C572" i="54" a="1"/>
  <c r="C572" i="54" s="1"/>
  <c r="A570" i="54" a="1"/>
  <c r="A570" i="54" s="1"/>
  <c r="C564" i="54" a="1"/>
  <c r="C564" i="54" s="1"/>
  <c r="A562" i="54" a="1"/>
  <c r="A562" i="54" s="1"/>
  <c r="C556" i="54" a="1"/>
  <c r="C556" i="54" s="1"/>
  <c r="A554" i="54" a="1"/>
  <c r="A554" i="54" s="1"/>
  <c r="C548" i="54" a="1"/>
  <c r="C548" i="54" s="1"/>
  <c r="A546" i="54" a="1"/>
  <c r="A546" i="54" s="1"/>
  <c r="A541" i="54" a="1"/>
  <c r="A541" i="54" s="1"/>
  <c r="C535" i="54" a="1"/>
  <c r="C535" i="54" s="1"/>
  <c r="A533" i="54" a="1"/>
  <c r="A533" i="54" s="1"/>
  <c r="C569" i="54" a="1"/>
  <c r="C569" i="54" s="1"/>
  <c r="A567" i="54" a="1"/>
  <c r="A567" i="54" s="1"/>
  <c r="C561" i="54" a="1"/>
  <c r="C561" i="54" s="1"/>
  <c r="A559" i="54" a="1"/>
  <c r="A559" i="54" s="1"/>
  <c r="C553" i="54" a="1"/>
  <c r="C553" i="54" s="1"/>
  <c r="A551" i="54" a="1"/>
  <c r="A551" i="54" s="1"/>
  <c r="C545" i="54" a="1"/>
  <c r="C545" i="54" s="1"/>
  <c r="C540" i="54" a="1"/>
  <c r="C540" i="54" s="1"/>
  <c r="A538" i="54" a="1"/>
  <c r="A538" i="54" s="1"/>
  <c r="C532" i="54" a="1"/>
  <c r="C532" i="54" s="1"/>
  <c r="A530" i="54" a="1"/>
  <c r="A530" i="54" s="1"/>
  <c r="C574" i="54" a="1"/>
  <c r="C574" i="54" s="1"/>
  <c r="A572" i="54" a="1"/>
  <c r="A572" i="54" s="1"/>
  <c r="C566" i="54" a="1"/>
  <c r="C566" i="54" s="1"/>
  <c r="A564" i="54" a="1"/>
  <c r="A564" i="54" s="1"/>
  <c r="C558" i="54" a="1"/>
  <c r="C558" i="54" s="1"/>
  <c r="A556" i="54" a="1"/>
  <c r="A556" i="54" s="1"/>
  <c r="C550" i="54" a="1"/>
  <c r="C550" i="54" s="1"/>
  <c r="A548" i="54" a="1"/>
  <c r="A548" i="54" s="1"/>
  <c r="A543" i="54" a="1"/>
  <c r="A543" i="54" s="1"/>
  <c r="C537" i="54" a="1"/>
  <c r="C537" i="54" s="1"/>
  <c r="A535" i="54" a="1"/>
  <c r="A535" i="54" s="1"/>
  <c r="C529" i="54" a="1"/>
  <c r="C529" i="54" s="1"/>
  <c r="C571" i="54" a="1"/>
  <c r="C571" i="54" s="1"/>
  <c r="A569" i="54" a="1"/>
  <c r="A569" i="54" s="1"/>
  <c r="C563" i="54" a="1"/>
  <c r="C563" i="54" s="1"/>
  <c r="A561" i="54" a="1"/>
  <c r="A561" i="54" s="1"/>
  <c r="C555" i="54" a="1"/>
  <c r="C555" i="54" s="1"/>
  <c r="A553" i="54" a="1"/>
  <c r="A553" i="54" s="1"/>
  <c r="C547" i="54" a="1"/>
  <c r="C547" i="54" s="1"/>
  <c r="A545" i="54" a="1"/>
  <c r="A545" i="54" s="1"/>
  <c r="C542" i="54" a="1"/>
  <c r="C542" i="54" s="1"/>
  <c r="A540" i="54" a="1"/>
  <c r="A540" i="54" s="1"/>
  <c r="C534" i="54" a="1"/>
  <c r="C534" i="54" s="1"/>
  <c r="A532" i="54" a="1"/>
  <c r="A532" i="54" s="1"/>
  <c r="A574" i="54" a="1"/>
  <c r="A574" i="54" s="1"/>
  <c r="C568" i="54" a="1"/>
  <c r="C568" i="54" s="1"/>
  <c r="A566" i="54" a="1"/>
  <c r="A566" i="54" s="1"/>
  <c r="C560" i="54" a="1"/>
  <c r="C560" i="54" s="1"/>
  <c r="A558" i="54" a="1"/>
  <c r="A558" i="54" s="1"/>
  <c r="C552" i="54" a="1"/>
  <c r="C552" i="54" s="1"/>
  <c r="A550" i="54" a="1"/>
  <c r="A550" i="54" s="1"/>
  <c r="C544" i="54" a="1"/>
  <c r="C544" i="54" s="1"/>
  <c r="C539" i="54" a="1"/>
  <c r="C539" i="54" s="1"/>
  <c r="A537" i="54" a="1"/>
  <c r="A537" i="54" s="1"/>
  <c r="C531" i="54" a="1"/>
  <c r="C531" i="54" s="1"/>
  <c r="A529" i="54" a="1"/>
  <c r="A529" i="54" s="1"/>
  <c r="P738" i="49"/>
  <c r="P858" i="49"/>
  <c r="P986" i="49"/>
  <c r="P1082" i="49"/>
  <c r="P507" i="49"/>
  <c r="P545" i="49"/>
  <c r="P593" i="49"/>
  <c r="P697" i="49"/>
  <c r="P722" i="49"/>
  <c r="P769" i="49"/>
  <c r="P810" i="49"/>
  <c r="P841" i="49"/>
  <c r="P882" i="49"/>
  <c r="P914" i="49"/>
  <c r="P954" i="49"/>
  <c r="P994" i="49"/>
  <c r="P1041" i="49"/>
  <c r="P1073" i="49"/>
  <c r="P1145" i="49"/>
  <c r="P1210" i="49"/>
  <c r="P1242" i="49"/>
  <c r="P1274" i="49"/>
  <c r="P1306" i="49"/>
  <c r="P1337" i="49"/>
  <c r="P1393" i="49"/>
  <c r="P1417" i="49"/>
  <c r="P1441" i="49"/>
  <c r="P1473" i="49"/>
  <c r="P1497" i="49"/>
  <c r="P1522" i="49"/>
  <c r="P1553" i="49"/>
  <c r="P1602" i="49"/>
  <c r="P546" i="49"/>
  <c r="P977" i="49"/>
  <c r="P1034" i="49"/>
  <c r="P508" i="49"/>
  <c r="P554" i="49"/>
  <c r="P594" i="49"/>
  <c r="P649" i="49"/>
  <c r="P698" i="49"/>
  <c r="P729" i="49"/>
  <c r="P770" i="49"/>
  <c r="P817" i="49"/>
  <c r="P842" i="49"/>
  <c r="P889" i="49"/>
  <c r="P921" i="49"/>
  <c r="P961" i="49"/>
  <c r="P1001" i="49"/>
  <c r="P1042" i="49"/>
  <c r="P1074" i="49"/>
  <c r="P1113" i="49"/>
  <c r="P1146" i="49"/>
  <c r="P1177" i="49"/>
  <c r="P1217" i="49"/>
  <c r="P1249" i="49"/>
  <c r="P1281" i="49"/>
  <c r="P1338" i="49"/>
  <c r="P1369" i="49"/>
  <c r="P1394" i="49"/>
  <c r="P1418" i="49"/>
  <c r="P1442" i="49"/>
  <c r="P1474" i="49"/>
  <c r="P1498" i="49"/>
  <c r="P1529" i="49"/>
  <c r="P1554" i="49"/>
  <c r="P1577" i="49"/>
  <c r="P730" i="49"/>
  <c r="P930" i="49"/>
  <c r="P978" i="49"/>
  <c r="P1025" i="49"/>
  <c r="P562" i="49"/>
  <c r="P609" i="49"/>
  <c r="P650" i="49"/>
  <c r="P737" i="49"/>
  <c r="P777" i="49"/>
  <c r="P818" i="49"/>
  <c r="P849" i="49"/>
  <c r="P890" i="49"/>
  <c r="P929" i="49"/>
  <c r="P962" i="49"/>
  <c r="P1002" i="49"/>
  <c r="P1049" i="49"/>
  <c r="P1114" i="49"/>
  <c r="P1153" i="49"/>
  <c r="P1178" i="49"/>
  <c r="P1218" i="49"/>
  <c r="P1250" i="49"/>
  <c r="P1282" i="49"/>
  <c r="P1313" i="49"/>
  <c r="P1345" i="49"/>
  <c r="P1370" i="49"/>
  <c r="P1401" i="49"/>
  <c r="P1425" i="49"/>
  <c r="P1449" i="49"/>
  <c r="P1505" i="49"/>
  <c r="P1530" i="49"/>
  <c r="P1578" i="49"/>
  <c r="P1609" i="49"/>
  <c r="P625" i="49"/>
  <c r="P665" i="49"/>
  <c r="P753" i="49"/>
  <c r="P785" i="49"/>
  <c r="P857" i="49"/>
  <c r="P945" i="49"/>
  <c r="P1057" i="49"/>
  <c r="P1161" i="49"/>
  <c r="P1321" i="49"/>
  <c r="P1353" i="49"/>
  <c r="P1457" i="49"/>
  <c r="P1537" i="49"/>
  <c r="P472" i="49"/>
  <c r="P504" i="49"/>
  <c r="P474" i="49"/>
  <c r="P515" i="49"/>
  <c r="P731" i="49"/>
  <c r="P915" i="49"/>
  <c r="P1027" i="49"/>
  <c r="P1059" i="49"/>
  <c r="P1115" i="49"/>
  <c r="P1235" i="49"/>
  <c r="P1315" i="49"/>
  <c r="P531" i="49"/>
  <c r="P723" i="49"/>
  <c r="P811" i="49"/>
  <c r="P891" i="49"/>
  <c r="P1091" i="49"/>
  <c r="P1347" i="49"/>
  <c r="P619" i="49"/>
  <c r="P859" i="49"/>
  <c r="P579" i="49"/>
  <c r="P707" i="49"/>
  <c r="P1187" i="49"/>
  <c r="P1299" i="49"/>
  <c r="P667" i="49"/>
  <c r="P851" i="49"/>
  <c r="P635" i="49"/>
  <c r="P1067" i="49"/>
  <c r="P1275" i="49"/>
  <c r="P493" i="49"/>
  <c r="P659" i="49"/>
  <c r="P747" i="49"/>
  <c r="P899" i="49"/>
  <c r="P939" i="49"/>
  <c r="P1163" i="49"/>
  <c r="P1251" i="49"/>
  <c r="P1355" i="49"/>
  <c r="P489" i="49"/>
  <c r="P511" i="49"/>
  <c r="P534" i="49"/>
  <c r="P567" i="49"/>
  <c r="P603" i="49"/>
  <c r="P480" i="49"/>
  <c r="P535" i="49"/>
  <c r="P582" i="49"/>
  <c r="P595" i="49"/>
  <c r="P606" i="49"/>
  <c r="P550" i="49"/>
  <c r="P574" i="49"/>
  <c r="P598" i="49"/>
  <c r="P607" i="49"/>
  <c r="P496" i="49"/>
  <c r="P477" i="49"/>
  <c r="P497" i="49"/>
  <c r="P542" i="49"/>
  <c r="P590" i="49"/>
  <c r="P488" i="49"/>
  <c r="P510" i="49"/>
  <c r="P566" i="49"/>
  <c r="A1269" i="54" a="1"/>
  <c r="A1269" i="54" s="1"/>
  <c r="P547" i="49"/>
  <c r="P675" i="49"/>
  <c r="P739" i="49"/>
  <c r="P803" i="49"/>
  <c r="P867" i="49"/>
  <c r="P931" i="49"/>
  <c r="P571" i="49"/>
  <c r="P601" i="49"/>
  <c r="P641" i="49"/>
  <c r="P673" i="49"/>
  <c r="P771" i="49"/>
  <c r="P971" i="49"/>
  <c r="P1003" i="49"/>
  <c r="P1139" i="49"/>
  <c r="P1219" i="49"/>
  <c r="P1243" i="49"/>
  <c r="P1291" i="49"/>
  <c r="P1339" i="49"/>
  <c r="P1499" i="49"/>
  <c r="P1547" i="49"/>
  <c r="P1595" i="49"/>
  <c r="P483" i="49"/>
  <c r="P513" i="49"/>
  <c r="P553" i="49"/>
  <c r="P617" i="49"/>
  <c r="P681" i="49"/>
  <c r="P485" i="49"/>
  <c r="P955" i="49"/>
  <c r="P963" i="49"/>
  <c r="P1035" i="49"/>
  <c r="P1043" i="49"/>
  <c r="P1123" i="49"/>
  <c r="P1147" i="49"/>
  <c r="P1155" i="49"/>
  <c r="P1195" i="49"/>
  <c r="P1203" i="49"/>
  <c r="P1259" i="49"/>
  <c r="P1267" i="49"/>
  <c r="P1323" i="49"/>
  <c r="P1331" i="49"/>
  <c r="P1387" i="49"/>
  <c r="P1395" i="49"/>
  <c r="P1451" i="49"/>
  <c r="P1459" i="49"/>
  <c r="P1515" i="49"/>
  <c r="P1523" i="49"/>
  <c r="S1579" i="49"/>
  <c r="P1579" i="49"/>
  <c r="S1587" i="49"/>
  <c r="P1587" i="49"/>
  <c r="P501" i="49"/>
  <c r="P563" i="49"/>
  <c r="P587" i="49"/>
  <c r="P627" i="49"/>
  <c r="P651" i="49"/>
  <c r="P691" i="49"/>
  <c r="P715" i="49"/>
  <c r="P755" i="49"/>
  <c r="P779" i="49"/>
  <c r="P819" i="49"/>
  <c r="P843" i="49"/>
  <c r="P883" i="49"/>
  <c r="P907" i="49"/>
  <c r="P475" i="49"/>
  <c r="P561" i="49"/>
  <c r="P585" i="49"/>
  <c r="P827" i="49"/>
  <c r="P1051" i="49"/>
  <c r="P1099" i="49"/>
  <c r="P1419" i="49"/>
  <c r="P1467" i="49"/>
  <c r="A1265" i="54" a="1"/>
  <c r="A1265" i="54" s="1"/>
  <c r="P491" i="49"/>
  <c r="P633" i="49"/>
  <c r="P657" i="49"/>
  <c r="P763" i="49"/>
  <c r="P995" i="49"/>
  <c r="P1019" i="49"/>
  <c r="P1075" i="49"/>
  <c r="P1131" i="49"/>
  <c r="P1179" i="49"/>
  <c r="P1211" i="49"/>
  <c r="P1283" i="49"/>
  <c r="P1443" i="49"/>
  <c r="P1491" i="49"/>
  <c r="P1539" i="49"/>
  <c r="S22" i="54"/>
  <c r="P536" i="49"/>
  <c r="P745" i="49"/>
  <c r="P809" i="49"/>
  <c r="P873" i="49"/>
  <c r="P937" i="49"/>
  <c r="P985" i="49"/>
  <c r="P1009" i="49"/>
  <c r="P1081" i="49"/>
  <c r="P1105" i="49"/>
  <c r="P1241" i="49"/>
  <c r="A1268" i="54" a="1"/>
  <c r="A1268" i="54" s="1"/>
  <c r="A1263" i="54" a="1"/>
  <c r="A1263" i="54" s="1"/>
  <c r="O2572" i="54" a="1"/>
  <c r="O2572" i="54" s="1"/>
  <c r="O2564" i="54" a="1"/>
  <c r="O2564" i="54" s="1"/>
  <c r="O2556" i="54" a="1"/>
  <c r="O2556" i="54" s="1"/>
  <c r="O2548" i="54" a="1"/>
  <c r="O2548" i="54" s="1"/>
  <c r="O2540" i="54" a="1"/>
  <c r="O2540" i="54" s="1"/>
  <c r="O2532" i="54" a="1"/>
  <c r="O2532" i="54" s="1"/>
  <c r="O2524" i="54" a="1"/>
  <c r="O2524" i="54" s="1"/>
  <c r="O2516" i="54" a="1"/>
  <c r="O2516" i="54" s="1"/>
  <c r="O2508" i="54" a="1"/>
  <c r="O2508" i="54" s="1"/>
  <c r="O2500" i="54" a="1"/>
  <c r="O2500" i="54" s="1"/>
  <c r="O2492" i="54" a="1"/>
  <c r="O2492" i="54" s="1"/>
  <c r="O2571" i="54" a="1"/>
  <c r="O2571" i="54" s="1"/>
  <c r="O2563" i="54" a="1"/>
  <c r="O2563" i="54" s="1"/>
  <c r="O2555" i="54" a="1"/>
  <c r="O2555" i="54" s="1"/>
  <c r="O2547" i="54" a="1"/>
  <c r="O2547" i="54" s="1"/>
  <c r="O2539" i="54" a="1"/>
  <c r="O2539" i="54" s="1"/>
  <c r="O2531" i="54" a="1"/>
  <c r="O2531" i="54" s="1"/>
  <c r="O2523" i="54" a="1"/>
  <c r="O2523" i="54" s="1"/>
  <c r="O2515" i="54" a="1"/>
  <c r="O2515" i="54" s="1"/>
  <c r="O2507" i="54" a="1"/>
  <c r="O2507" i="54" s="1"/>
  <c r="O2499" i="54" a="1"/>
  <c r="O2499" i="54" s="1"/>
  <c r="O2491" i="54" a="1"/>
  <c r="O2491" i="54" s="1"/>
  <c r="O2570" i="54" a="1"/>
  <c r="O2570" i="54" s="1"/>
  <c r="O2562" i="54" a="1"/>
  <c r="O2562" i="54" s="1"/>
  <c r="O2554" i="54" a="1"/>
  <c r="O2554" i="54" s="1"/>
  <c r="O2546" i="54" a="1"/>
  <c r="O2546" i="54" s="1"/>
  <c r="O2538" i="54" a="1"/>
  <c r="O2538" i="54" s="1"/>
  <c r="O2530" i="54" a="1"/>
  <c r="O2530" i="54" s="1"/>
  <c r="O2522" i="54" a="1"/>
  <c r="O2522" i="54" s="1"/>
  <c r="O2514" i="54" a="1"/>
  <c r="O2514" i="54" s="1"/>
  <c r="O2506" i="54" a="1"/>
  <c r="O2506" i="54" s="1"/>
  <c r="O2498" i="54" a="1"/>
  <c r="O2498" i="54" s="1"/>
  <c r="O2490" i="54" a="1"/>
  <c r="O2490" i="54" s="1"/>
  <c r="O2577" i="54" a="1"/>
  <c r="O2577" i="54" s="1"/>
  <c r="O2569" i="54" a="1"/>
  <c r="O2569" i="54" s="1"/>
  <c r="O2561" i="54" a="1"/>
  <c r="O2561" i="54" s="1"/>
  <c r="O2553" i="54" a="1"/>
  <c r="O2553" i="54" s="1"/>
  <c r="O2545" i="54" a="1"/>
  <c r="O2545" i="54" s="1"/>
  <c r="O2537" i="54" a="1"/>
  <c r="O2537" i="54" s="1"/>
  <c r="O2529" i="54" a="1"/>
  <c r="O2529" i="54" s="1"/>
  <c r="O2521" i="54" a="1"/>
  <c r="O2521" i="54" s="1"/>
  <c r="O2513" i="54" a="1"/>
  <c r="O2513" i="54" s="1"/>
  <c r="O2505" i="54" a="1"/>
  <c r="O2505" i="54" s="1"/>
  <c r="O2497" i="54" a="1"/>
  <c r="O2497" i="54" s="1"/>
  <c r="O2576" i="54" a="1"/>
  <c r="O2576" i="54" s="1"/>
  <c r="O2568" i="54" a="1"/>
  <c r="O2568" i="54" s="1"/>
  <c r="O2560" i="54" a="1"/>
  <c r="O2560" i="54" s="1"/>
  <c r="O2552" i="54" a="1"/>
  <c r="O2552" i="54" s="1"/>
  <c r="O2544" i="54" a="1"/>
  <c r="O2544" i="54" s="1"/>
  <c r="O2536" i="54" a="1"/>
  <c r="O2536" i="54" s="1"/>
  <c r="O2528" i="54" a="1"/>
  <c r="O2528" i="54" s="1"/>
  <c r="O2520" i="54" a="1"/>
  <c r="O2520" i="54" s="1"/>
  <c r="O2512" i="54" a="1"/>
  <c r="O2512" i="54" s="1"/>
  <c r="O2504" i="54" a="1"/>
  <c r="O2504" i="54" s="1"/>
  <c r="O2496" i="54" a="1"/>
  <c r="O2496" i="54" s="1"/>
  <c r="O2575" i="54" a="1"/>
  <c r="O2575" i="54" s="1"/>
  <c r="O2567" i="54" a="1"/>
  <c r="O2567" i="54" s="1"/>
  <c r="O2559" i="54" a="1"/>
  <c r="O2559" i="54" s="1"/>
  <c r="O2551" i="54" a="1"/>
  <c r="O2551" i="54" s="1"/>
  <c r="O2543" i="54" a="1"/>
  <c r="O2543" i="54" s="1"/>
  <c r="O2535" i="54" a="1"/>
  <c r="O2535" i="54" s="1"/>
  <c r="O2527" i="54" a="1"/>
  <c r="O2527" i="54" s="1"/>
  <c r="O2519" i="54" a="1"/>
  <c r="O2519" i="54" s="1"/>
  <c r="O2511" i="54" a="1"/>
  <c r="O2511" i="54" s="1"/>
  <c r="O2503" i="54" a="1"/>
  <c r="O2503" i="54" s="1"/>
  <c r="O2495" i="54" a="1"/>
  <c r="O2495" i="54" s="1"/>
  <c r="O2574" i="54" a="1"/>
  <c r="O2574" i="54" s="1"/>
  <c r="O2566" i="54" a="1"/>
  <c r="O2566" i="54" s="1"/>
  <c r="O2558" i="54" a="1"/>
  <c r="O2558" i="54" s="1"/>
  <c r="O2550" i="54" a="1"/>
  <c r="O2550" i="54" s="1"/>
  <c r="O2542" i="54" a="1"/>
  <c r="O2542" i="54" s="1"/>
  <c r="O2534" i="54" a="1"/>
  <c r="O2534" i="54" s="1"/>
  <c r="O2526" i="54" a="1"/>
  <c r="O2526" i="54" s="1"/>
  <c r="O2518" i="54" a="1"/>
  <c r="O2518" i="54" s="1"/>
  <c r="O2510" i="54" a="1"/>
  <c r="O2510" i="54" s="1"/>
  <c r="O2502" i="54" a="1"/>
  <c r="O2502" i="54" s="1"/>
  <c r="O2494" i="54" a="1"/>
  <c r="O2494" i="54" s="1"/>
  <c r="O2573" i="54" a="1"/>
  <c r="O2573" i="54" s="1"/>
  <c r="O2565" i="54" a="1"/>
  <c r="O2565" i="54" s="1"/>
  <c r="O2557" i="54" a="1"/>
  <c r="O2557" i="54" s="1"/>
  <c r="O2549" i="54" a="1"/>
  <c r="O2549" i="54" s="1"/>
  <c r="O2541" i="54" a="1"/>
  <c r="O2541" i="54" s="1"/>
  <c r="O2533" i="54" a="1"/>
  <c r="O2533" i="54" s="1"/>
  <c r="O2525" i="54" a="1"/>
  <c r="O2525" i="54" s="1"/>
  <c r="O2517" i="54" a="1"/>
  <c r="O2517" i="54" s="1"/>
  <c r="O2509" i="54" a="1"/>
  <c r="O2509" i="54" s="1"/>
  <c r="O2501" i="54" a="1"/>
  <c r="O2501" i="54" s="1"/>
  <c r="O2493" i="54" a="1"/>
  <c r="O2493" i="54" s="1"/>
  <c r="P10" i="49"/>
  <c r="M2" i="54" s="1" a="1"/>
  <c r="M2" i="54" s="1"/>
  <c r="M24" i="54" l="1" a="1"/>
  <c r="M24" i="54" s="1"/>
  <c r="M21" i="54" a="1"/>
  <c r="M21" i="54" s="1"/>
  <c r="CA10" i="49"/>
  <c r="N30" i="54"/>
  <c r="O30" i="54" s="1"/>
  <c r="N29" i="54"/>
  <c r="O29" i="54" s="1"/>
  <c r="N27" i="54"/>
  <c r="O27" i="54" s="1"/>
  <c r="N28" i="54"/>
  <c r="O28" i="54" s="1"/>
  <c r="N25" i="54"/>
  <c r="O25" i="54" s="1"/>
  <c r="N24" i="54"/>
  <c r="O24" i="54" s="1"/>
  <c r="N31" i="54"/>
  <c r="O31" i="54" s="1"/>
  <c r="N26" i="54"/>
  <c r="O26" i="54" s="1"/>
  <c r="N32" i="54"/>
  <c r="O32" i="54" s="1"/>
  <c r="M22" i="54" a="1"/>
  <c r="M22" i="54" s="1"/>
  <c r="M23" i="54" a="1"/>
  <c r="M23" i="54" s="1"/>
  <c r="S17" i="58"/>
  <c r="M7" i="54" a="1"/>
  <c r="M7" i="54" s="1"/>
  <c r="M17" i="54" a="1"/>
  <c r="M17" i="54" s="1"/>
  <c r="M13" i="54" a="1"/>
  <c r="M13" i="54" s="1"/>
  <c r="M8" i="54" a="1"/>
  <c r="M8" i="54" s="1"/>
  <c r="M11" i="54" a="1"/>
  <c r="M11" i="54" s="1"/>
  <c r="M9" i="54" a="1"/>
  <c r="M9" i="54" s="1"/>
  <c r="M16" i="54" a="1"/>
  <c r="M16" i="54" s="1"/>
  <c r="M19" i="54" a="1"/>
  <c r="M19" i="54" s="1"/>
  <c r="M14" i="54" a="1"/>
  <c r="M14" i="54" s="1"/>
  <c r="M10" i="54" a="1"/>
  <c r="M10" i="54" s="1"/>
  <c r="M18" i="54" a="1"/>
  <c r="M18" i="54" s="1"/>
  <c r="M15" i="54" a="1"/>
  <c r="M15" i="54" s="1"/>
  <c r="M12" i="54" a="1"/>
  <c r="M12" i="54" s="1"/>
  <c r="M20" i="54" a="1"/>
  <c r="M20" i="54" s="1"/>
  <c r="M5" i="54" a="1"/>
  <c r="M5" i="54" s="1"/>
  <c r="M3" i="54" a="1"/>
  <c r="M3" i="54" s="1"/>
  <c r="M6" i="54" a="1"/>
  <c r="M6" i="54" s="1"/>
  <c r="AX6" i="53"/>
  <c r="AX14" i="53"/>
  <c r="M4" i="54" a="1"/>
  <c r="M4" i="54" s="1"/>
  <c r="K2" i="54" a="1"/>
  <c r="K2" i="54" s="1"/>
  <c r="K1" i="54" a="1"/>
  <c r="K1" i="54" s="1"/>
  <c r="S23" i="54"/>
  <c r="S21" i="58"/>
  <c r="R93" i="54"/>
  <c r="R92" i="54" s="1"/>
  <c r="R91" i="54" s="1"/>
  <c r="R90" i="54" s="1"/>
  <c r="R89" i="54" s="1"/>
  <c r="R88" i="54" s="1"/>
  <c r="R87" i="54" s="1"/>
  <c r="S18" i="58"/>
  <c r="S35" i="58"/>
  <c r="S19" i="58"/>
  <c r="S25" i="58"/>
  <c r="S20" i="58"/>
  <c r="BS111" i="58" l="1"/>
  <c r="U12" i="58" a="1"/>
  <c r="U12" i="58" s="1"/>
  <c r="AS6" i="53"/>
  <c r="AK6" i="53"/>
  <c r="AC6" i="53"/>
  <c r="U6" i="53"/>
  <c r="AN6" i="53"/>
  <c r="AR6" i="53"/>
  <c r="AJ6" i="53"/>
  <c r="AB6" i="53"/>
  <c r="T6" i="53"/>
  <c r="AQ6" i="53"/>
  <c r="AI6" i="53"/>
  <c r="AA6" i="53"/>
  <c r="AP6" i="53"/>
  <c r="AH6" i="53"/>
  <c r="Z6" i="53"/>
  <c r="AW6" i="53"/>
  <c r="AO6" i="53"/>
  <c r="AG6" i="53"/>
  <c r="Y6" i="53"/>
  <c r="AV6" i="53"/>
  <c r="AF6" i="53"/>
  <c r="X6" i="53"/>
  <c r="AE6" i="53"/>
  <c r="AD6" i="53"/>
  <c r="W6" i="53"/>
  <c r="AU6" i="53"/>
  <c r="AT6" i="53"/>
  <c r="AM6" i="53"/>
  <c r="V6" i="53"/>
  <c r="AL6" i="53"/>
  <c r="U1" i="49" a="1"/>
  <c r="U1" i="49" s="1"/>
  <c r="AQ14" i="53"/>
  <c r="AI14" i="53"/>
  <c r="AA14" i="53"/>
  <c r="S14" i="53"/>
  <c r="K14" i="53"/>
  <c r="C14" i="53"/>
  <c r="AP14" i="53"/>
  <c r="AH14" i="53"/>
  <c r="Z14" i="53"/>
  <c r="R14" i="53"/>
  <c r="J14" i="53"/>
  <c r="AW14" i="53"/>
  <c r="AO14" i="53"/>
  <c r="AG14" i="53"/>
  <c r="Y14" i="53"/>
  <c r="Q14" i="53"/>
  <c r="I14" i="53"/>
  <c r="AV14" i="53"/>
  <c r="AN14" i="53"/>
  <c r="AF14" i="53"/>
  <c r="X14" i="53"/>
  <c r="P14" i="53"/>
  <c r="H14" i="53"/>
  <c r="AU14" i="53"/>
  <c r="AM14" i="53"/>
  <c r="AE14" i="53"/>
  <c r="W14" i="53"/>
  <c r="O14" i="53"/>
  <c r="G14" i="53"/>
  <c r="AT14" i="53"/>
  <c r="AL14" i="53"/>
  <c r="AD14" i="53"/>
  <c r="V14" i="53"/>
  <c r="N14" i="53"/>
  <c r="F14" i="53"/>
  <c r="AS14" i="53"/>
  <c r="AK14" i="53"/>
  <c r="AC14" i="53"/>
  <c r="U14" i="53"/>
  <c r="M14" i="53"/>
  <c r="E14" i="53"/>
  <c r="AR14" i="53"/>
  <c r="AJ14" i="53"/>
  <c r="AB14" i="53"/>
  <c r="T14" i="53"/>
  <c r="L14" i="53"/>
  <c r="D14" i="53"/>
  <c r="R86" i="54"/>
  <c r="R85" i="54" s="1"/>
  <c r="R84" i="54" s="1"/>
  <c r="R83" i="54" s="1"/>
  <c r="R82" i="54" s="1"/>
  <c r="R81" i="54" s="1"/>
  <c r="R80" i="54" s="1"/>
  <c r="R79" i="54" s="1"/>
  <c r="R78" i="54" s="1"/>
  <c r="R77" i="54" s="1"/>
  <c r="R76" i="54" s="1"/>
  <c r="R75" i="54" s="1"/>
  <c r="R74" i="54" s="1"/>
  <c r="R73" i="54" s="1"/>
  <c r="R72" i="54" s="1"/>
  <c r="R71" i="54" s="1"/>
  <c r="R70" i="54" s="1"/>
  <c r="R69" i="54" s="1"/>
  <c r="R68" i="54" s="1"/>
  <c r="R67" i="54" s="1"/>
  <c r="R66" i="54" s="1"/>
  <c r="R65" i="54" s="1"/>
  <c r="R64" i="54" s="1"/>
  <c r="R63" i="54" s="1"/>
  <c r="R62" i="54" s="1"/>
  <c r="R61" i="54" s="1"/>
  <c r="R60" i="54" s="1"/>
  <c r="R59" i="54" s="1"/>
  <c r="R58" i="54" s="1"/>
  <c r="R57" i="54" s="1"/>
  <c r="R56" i="54" s="1"/>
  <c r="R55" i="54" s="1"/>
  <c r="R54" i="54" s="1"/>
  <c r="R53" i="54" s="1"/>
  <c r="R52" i="54" s="1"/>
  <c r="R51" i="54" s="1"/>
  <c r="R50" i="54" s="1"/>
  <c r="R49" i="54" s="1"/>
  <c r="R48" i="54" s="1"/>
  <c r="R47" i="54" s="1"/>
  <c r="R46" i="54" s="1"/>
  <c r="R45" i="54" s="1"/>
  <c r="R44" i="54" s="1"/>
  <c r="R43" i="54" s="1"/>
  <c r="R42" i="54" s="1"/>
  <c r="R41" i="54" s="1"/>
  <c r="R40" i="54" s="1"/>
  <c r="R39" i="54" s="1"/>
  <c r="R38" i="54" s="1"/>
  <c r="R37" i="54" s="1"/>
  <c r="R36" i="54" s="1"/>
  <c r="R35" i="54" s="1"/>
  <c r="R34" i="54" s="1"/>
  <c r="R33" i="54" s="1"/>
  <c r="R32" i="54" s="1"/>
  <c r="R31" i="54" s="1"/>
  <c r="R30" i="54" s="1"/>
  <c r="R29" i="54" s="1"/>
  <c r="R28" i="54" s="1"/>
  <c r="R27" i="54" s="1"/>
  <c r="R26" i="54" s="1"/>
  <c r="R25" i="54" s="1"/>
  <c r="R24" i="54" s="1"/>
  <c r="N22" i="54" l="1"/>
  <c r="O22" i="54" s="1"/>
  <c r="N23" i="54"/>
  <c r="O23" i="54" s="1"/>
  <c r="R23" i="54" s="1"/>
  <c r="N20" i="54"/>
  <c r="O20" i="54" s="1"/>
  <c r="N21" i="54"/>
  <c r="O21" i="54" s="1"/>
  <c r="N18" i="54"/>
  <c r="O18" i="54" s="1"/>
  <c r="N19" i="54"/>
  <c r="O19" i="54" s="1"/>
  <c r="N17" i="54"/>
  <c r="O17" i="54" s="1"/>
  <c r="N16" i="54"/>
  <c r="O16" i="54" s="1"/>
  <c r="N13" i="54"/>
  <c r="O13" i="54" s="1"/>
  <c r="N15" i="54"/>
  <c r="O15" i="54" s="1"/>
  <c r="N14" i="54"/>
  <c r="O14" i="54" s="1"/>
  <c r="N11" i="54"/>
  <c r="O11" i="54" s="1"/>
  <c r="N12" i="54"/>
  <c r="O12" i="54" s="1"/>
  <c r="N8" i="54"/>
  <c r="O8" i="54" s="1"/>
  <c r="N9" i="54"/>
  <c r="O9" i="54" s="1"/>
  <c r="N10" i="54"/>
  <c r="O10" i="54" s="1"/>
  <c r="N6" i="54"/>
  <c r="O6" i="54" s="1"/>
  <c r="N7" i="54"/>
  <c r="O7" i="54" s="1"/>
  <c r="N5" i="54"/>
  <c r="O5" i="54" s="1"/>
  <c r="N4" i="54"/>
  <c r="O4" i="54" s="1"/>
  <c r="N3" i="54"/>
  <c r="O3" i="54" s="1"/>
  <c r="N2" i="54"/>
  <c r="O2" i="54" s="1"/>
  <c r="N1" i="54"/>
  <c r="B14" i="53"/>
  <c r="R22" i="54" l="1"/>
  <c r="R21" i="54" s="1"/>
  <c r="R20" i="54" s="1"/>
  <c r="R19" i="54" s="1"/>
  <c r="R18" i="54" s="1"/>
  <c r="R17" i="54" s="1"/>
  <c r="R16" i="54" s="1"/>
  <c r="R15" i="54" s="1"/>
  <c r="R14" i="54" s="1"/>
  <c r="R13" i="54" s="1"/>
  <c r="R12" i="54" s="1"/>
  <c r="R11" i="54" s="1"/>
  <c r="R10" i="54" s="1"/>
  <c r="R9" i="54" s="1"/>
  <c r="R8" i="54" s="1"/>
  <c r="R7" i="54" s="1"/>
  <c r="R6" i="54" s="1"/>
  <c r="R5" i="54" s="1"/>
  <c r="R4" i="54" s="1"/>
  <c r="R3" i="54" s="1"/>
  <c r="R2" i="54" s="1"/>
  <c r="AY14" i="53" l="1"/>
  <c r="B6" i="53"/>
  <c r="C6" i="53"/>
  <c r="M6" i="53"/>
  <c r="K6" i="53"/>
  <c r="S6" i="53"/>
  <c r="N6" i="53"/>
  <c r="R6" i="53"/>
  <c r="O6" i="53"/>
  <c r="H6" i="53"/>
  <c r="G6" i="53"/>
  <c r="I6" i="53"/>
  <c r="J6" i="53"/>
  <c r="Q6" i="53"/>
  <c r="P6" i="53"/>
  <c r="E6" i="53"/>
  <c r="D6" i="53"/>
  <c r="F6" i="53"/>
  <c r="L6" i="53"/>
  <c r="BZ1" i="53" l="1" a="1"/>
  <c r="BZ1" i="53" s="1"/>
  <c r="CB1" i="53" s="1" a="1"/>
  <c r="Q86" i="54" l="1"/>
  <c r="Q87" i="54"/>
  <c r="Q85" i="54"/>
  <c r="Q80" i="54"/>
  <c r="Q84" i="54"/>
  <c r="Q79" i="54"/>
  <c r="Q83" i="54"/>
  <c r="Q82" i="54"/>
  <c r="Q81" i="54"/>
  <c r="Q78" i="54"/>
  <c r="Q77" i="54"/>
  <c r="Q75" i="54"/>
  <c r="Q76" i="54"/>
  <c r="CB1" i="53"/>
  <c r="Q70" i="54"/>
  <c r="Q62" i="54"/>
  <c r="Q69" i="54"/>
  <c r="Q61" i="54"/>
  <c r="Q59" i="54"/>
  <c r="Q68" i="54"/>
  <c r="Q60" i="54"/>
  <c r="Q67" i="54"/>
  <c r="Q71" i="54"/>
  <c r="Q63" i="54"/>
  <c r="Q74" i="54"/>
  <c r="Q66" i="54"/>
  <c r="Q72" i="54"/>
  <c r="Q64" i="54"/>
  <c r="Q73" i="54"/>
  <c r="Q65" i="54"/>
  <c r="Q17" i="54"/>
  <c r="Q34" i="54"/>
  <c r="Q16" i="54"/>
  <c r="Q7" i="54"/>
  <c r="Q52" i="54"/>
  <c r="Q50" i="54"/>
  <c r="Q5" i="54"/>
  <c r="Q8" i="54"/>
  <c r="Q46" i="54"/>
  <c r="Q53" i="54"/>
  <c r="Q32" i="54"/>
  <c r="Q9" i="54"/>
  <c r="Q18" i="54"/>
  <c r="Q10" i="54"/>
  <c r="Q57" i="54"/>
  <c r="Q35" i="54"/>
  <c r="Q56" i="54"/>
  <c r="Q47" i="54"/>
  <c r="Q38" i="54"/>
  <c r="Q20" i="54"/>
  <c r="Q45" i="54"/>
  <c r="Q30" i="54"/>
  <c r="Q37" i="54"/>
  <c r="Q41" i="54"/>
  <c r="Q11" i="54"/>
  <c r="Q40" i="54"/>
  <c r="Q31" i="54"/>
  <c r="Q22" i="54"/>
  <c r="Q43" i="54"/>
  <c r="Q29" i="54"/>
  <c r="Q58" i="54"/>
  <c r="Q27" i="54"/>
  <c r="Q49" i="54"/>
  <c r="Q19" i="54"/>
  <c r="Q48" i="54"/>
  <c r="Q39" i="54"/>
  <c r="Q4" i="54"/>
  <c r="Q33" i="54"/>
  <c r="Q25" i="54"/>
  <c r="Q42" i="54"/>
  <c r="Q24" i="54"/>
  <c r="Q15" i="54"/>
  <c r="Q6" i="54"/>
  <c r="Q3" i="54"/>
  <c r="Q13" i="54"/>
  <c r="Q26" i="54"/>
  <c r="Q54" i="54"/>
  <c r="Q36" i="54"/>
  <c r="Q44" i="54"/>
  <c r="Q51" i="54"/>
  <c r="Q55" i="54"/>
  <c r="Q28" i="54"/>
  <c r="Q12" i="54"/>
  <c r="Q23" i="54"/>
  <c r="Q14" i="54"/>
  <c r="Q21" i="54"/>
  <c r="Q2" i="54"/>
  <c r="J3" i="58" l="1"/>
  <c r="J1" i="58"/>
  <c r="J4" i="58"/>
  <c r="J5" i="58"/>
  <c r="S386" i="58"/>
  <c r="J7" i="49" l="1"/>
  <c r="F1" i="49"/>
  <c r="J6" i="49"/>
  <c r="J4" i="49"/>
  <c r="U14" i="49" a="1"/>
  <c r="J5" i="49"/>
  <c r="J3" i="49"/>
  <c r="J1" i="49"/>
  <c r="P8" i="54" l="1"/>
  <c r="S8" i="54" s="1"/>
  <c r="P7" i="54"/>
  <c r="S7" i="54" s="1"/>
  <c r="U14" i="49"/>
  <c r="S5" i="54"/>
  <c r="S6" i="54"/>
  <c r="CI9" i="49" a="1"/>
  <c r="S2" i="54"/>
  <c r="F1" i="56"/>
  <c r="G8" i="56" l="1"/>
  <c r="K8" i="56"/>
  <c r="J8" i="56"/>
  <c r="F8" i="56"/>
  <c r="D8" i="56"/>
  <c r="I8" i="56"/>
  <c r="E8" i="56"/>
  <c r="L8" i="56"/>
  <c r="C8" i="56"/>
  <c r="H8" i="56"/>
  <c r="M8" i="56"/>
  <c r="P52" i="54"/>
  <c r="S52" i="54" s="1"/>
  <c r="P55" i="54"/>
  <c r="S55" i="54" s="1"/>
  <c r="P53" i="54"/>
  <c r="S53" i="54" s="1"/>
  <c r="P51" i="54"/>
  <c r="S51" i="54" s="1"/>
  <c r="P50" i="54"/>
  <c r="S50" i="54" s="1"/>
  <c r="P49" i="54"/>
  <c r="S49" i="54" s="1"/>
  <c r="P48" i="54"/>
  <c r="S48" i="54" s="1"/>
  <c r="P47" i="54"/>
  <c r="S47" i="54" s="1"/>
  <c r="P54" i="54"/>
  <c r="S54" i="54" s="1"/>
  <c r="P45" i="54"/>
  <c r="S45" i="54" s="1"/>
  <c r="P36" i="54"/>
  <c r="S36" i="54" s="1"/>
  <c r="P29" i="54"/>
  <c r="S29" i="54" s="1"/>
  <c r="P43" i="54"/>
  <c r="S43" i="54" s="1"/>
  <c r="P28" i="54"/>
  <c r="S28" i="54" s="1"/>
  <c r="P27" i="54"/>
  <c r="S27" i="54" s="1"/>
  <c r="P31" i="54"/>
  <c r="S31" i="54" s="1"/>
  <c r="P33" i="54"/>
  <c r="S33" i="54" s="1"/>
  <c r="P46" i="54"/>
  <c r="S46" i="54" s="1"/>
  <c r="P37" i="54"/>
  <c r="S37" i="54" s="1"/>
  <c r="P30" i="54"/>
  <c r="S30" i="54" s="1"/>
  <c r="P38" i="54"/>
  <c r="S38" i="54" s="1"/>
  <c r="P34" i="54"/>
  <c r="S34" i="54" s="1"/>
  <c r="P41" i="54"/>
  <c r="S41" i="54" s="1"/>
  <c r="P42" i="54"/>
  <c r="S42" i="54" s="1"/>
  <c r="P32" i="54"/>
  <c r="S32" i="54" s="1"/>
  <c r="P44" i="54"/>
  <c r="S44" i="54" s="1"/>
  <c r="P35" i="54"/>
  <c r="S35" i="54" s="1"/>
  <c r="P40" i="54"/>
  <c r="S40" i="54" s="1"/>
  <c r="P39" i="54"/>
  <c r="S39" i="54" s="1"/>
  <c r="P25" i="54"/>
  <c r="S25" i="54" s="1"/>
  <c r="CI9" i="49"/>
  <c r="P26" i="54"/>
  <c r="S26" i="54" s="1"/>
  <c r="AF24" i="54"/>
  <c r="AF16" i="54"/>
  <c r="AF18" i="54"/>
  <c r="AF13" i="54"/>
  <c r="AF20" i="54"/>
  <c r="AF14" i="54"/>
  <c r="AF3" i="54"/>
  <c r="AF8" i="54"/>
  <c r="AF26" i="54"/>
  <c r="AF22" i="54"/>
  <c r="AF10" i="54"/>
  <c r="AF11" i="54"/>
  <c r="AF7" i="54"/>
  <c r="AF15" i="54"/>
  <c r="AF17" i="54"/>
  <c r="AF25" i="54"/>
  <c r="AF2" i="54"/>
  <c r="AF19" i="54"/>
  <c r="AF4" i="54"/>
  <c r="AF23" i="54"/>
  <c r="AF5" i="54"/>
  <c r="AF6" i="54"/>
  <c r="AF12" i="54"/>
  <c r="AF9" i="54"/>
  <c r="AF21" i="5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966B2BD-5245-4DF6-8791-C528565A570E}" keepAlive="1" name="Query - Table1 (2)" description="Connection to the 'Table1 (2)' query in the workbook." type="5" refreshedVersion="8" background="1" saveData="1">
    <dbPr connection="Provider=Microsoft.Mashup.OleDb.1;Data Source=$Workbook$;Location=&quot;Table1 (2)&quot;;Extended Properties=&quot;&quot;" command="SELECT * FROM [Table1 (2)]"/>
  </connection>
  <connection id="2" xr16:uid="{07F8B850-1A40-4AD9-AF8C-8B0400EE3D46}" keepAlive="1" name="Query - Table3_15" description="Connection to the 'Table3_15' query in the workbook." type="5" refreshedVersion="8" background="1" saveData="1">
    <dbPr connection="Provider=Microsoft.Mashup.OleDb.1;Data Source=$Workbook$;Location=Table3_15;Extended Properties=&quot;&quot;" command="SELECT * FROM [Table3_15]"/>
  </connection>
  <connection id="3" xr16:uid="{5D675A75-4297-493F-ABDE-510103C3ECAF}" keepAlive="1" name="Query - Table6" description="Connection to the 'Table6' query in the workbook." type="5" refreshedVersion="8" background="1" saveData="1">
    <dbPr connection="Provider=Microsoft.Mashup.OleDb.1;Data Source=$Workbook$;Location=Table6;Extended Properties=&quot;&quot;" command="SELECT * FROM [Table6]"/>
  </connection>
  <connection id="4" xr16:uid="{85723CE6-1C09-4703-968B-24735C2E2B54}" keepAlive="1" name="Query - Table6 (2)" description="Connection to the 'Table6 (2)' query in the workbook." type="5" refreshedVersion="8" background="1" saveData="1">
    <dbPr connection="Provider=Microsoft.Mashup.OleDb.1;Data Source=$Workbook$;Location=&quot;Table6 (2)&quot;;Extended Properties=&quot;&quot;" command="SELECT * FROM [Table6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<sst xmlns="http://schemas.openxmlformats.org/spreadsheetml/2006/main" count="11639" uniqueCount="3673">
  <si>
    <t>Action</t>
  </si>
  <si>
    <t>Y</t>
  </si>
  <si>
    <t>I</t>
  </si>
  <si>
    <t>Test Data</t>
  </si>
  <si>
    <t>Set1</t>
  </si>
  <si>
    <t>Set2</t>
  </si>
  <si>
    <t>WebElement</t>
  </si>
  <si>
    <t>XPath</t>
  </si>
  <si>
    <t>Element Type</t>
  </si>
  <si>
    <t>Execution Flag</t>
  </si>
  <si>
    <t>Save</t>
  </si>
  <si>
    <t>input</t>
  </si>
  <si>
    <t>button</t>
  </si>
  <si>
    <t>a</t>
  </si>
  <si>
    <t>table</t>
  </si>
  <si>
    <t/>
  </si>
  <si>
    <t>Select item-3</t>
  </si>
  <si>
    <t>Select item-4</t>
  </si>
  <si>
    <t>Select item-5</t>
  </si>
  <si>
    <t>Select Test Case</t>
  </si>
  <si>
    <t>Billing-CP-Base.xls</t>
  </si>
  <si>
    <t>mat-select</t>
  </si>
  <si>
    <t>PAS Conf_New199</t>
  </si>
  <si>
    <t>https://jarusagentportal-net8.azurewebsites.net/</t>
  </si>
  <si>
    <t>Sample.xls</t>
  </si>
  <si>
    <t>PAS Conf_New199.xls</t>
  </si>
  <si>
    <t>Logical Name</t>
  </si>
  <si>
    <t>Control Name</t>
  </si>
  <si>
    <t>Control Type</t>
  </si>
  <si>
    <t>Control Id</t>
  </si>
  <si>
    <t>"//*[@id=\"</t>
  </si>
  <si>
    <t>\"]"</t>
  </si>
  <si>
    <t>Locator</t>
  </si>
  <si>
    <t>Script</t>
  </si>
  <si>
    <t>await page.locator(</t>
  </si>
  <si>
    <t>Verification Point</t>
  </si>
  <si>
    <t>Assertion</t>
  </si>
  <si>
    <t>Excepected Result</t>
  </si>
  <si>
    <t>toHaveAttribute</t>
  </si>
  <si>
    <t>await expect(</t>
  </si>
  <si>
    <t>}</t>
  </si>
  <si>
    <t>Data File Path</t>
  </si>
  <si>
    <t>Scenario Name</t>
  </si>
  <si>
    <t>Data File Name</t>
  </si>
  <si>
    <t>HO-Pol-data.xlsx</t>
  </si>
  <si>
    <t>Test Script Name</t>
  </si>
  <si>
    <t>Playwright Installed Path</t>
  </si>
  <si>
    <t>PAS-Homowners</t>
  </si>
  <si>
    <t>PAS-Homowners.xls</t>
  </si>
  <si>
    <t>Search By</t>
  </si>
  <si>
    <t>mat-select-0</t>
  </si>
  <si>
    <t>Select item-1</t>
  </si>
  <si>
    <t>Select item-2</t>
  </si>
  <si>
    <t>searchText</t>
  </si>
  <si>
    <t>Jagath Praveen Kodumagulla</t>
  </si>
  <si>
    <t>PAS-Homowners - Copy</t>
  </si>
  <si>
    <t>PAS-Homowners1</t>
  </si>
  <si>
    <t>.ng-star-inserted mat-option:nth-of-type(1)</t>
  </si>
  <si>
    <t>.ng-star-inserted mat-option:nth-of-type(2)</t>
  </si>
  <si>
    <t>.ng-star-inserted mat-option:nth-of-type(3)</t>
  </si>
  <si>
    <t>.ng-star-inserted mat-option:nth-of-type(4)</t>
  </si>
  <si>
    <t>.ng-star-inserted mat-option:nth-of-type(5)</t>
  </si>
  <si>
    <t>C:/Users/jagathpraveenk/Playwright/tests</t>
  </si>
  <si>
    <t>Back</t>
  </si>
  <si>
    <t>PAS-Homowners1 - Copy</t>
  </si>
  <si>
    <t>LOB Full Term Amount Current Term Amount Net Change
Homeowners $685.00 $685.00 $685.00
Total Policy Premium $685.00 $685.00 $685.00</t>
  </si>
  <si>
    <t>Coverage Premium
Homeowners Premium
$685
Dwelling 1 - 5 Boston Ave #88, Minnehaha OK 57105
$685
Coverage A for Dwelling Dwelling Limit $100,000.00, Deductible $250, Wind/Hail Deductible $250, Theft Deductible $250
$685
Coverage B for Other Structures Limit $100,000.00
Included
Coverage C for Personal Property Personal Property Limit $40,000.00
Included
Coverage D for loss of use, additional living expense Limit $100,000.00
Included
Coverage E for Personal Liability Limit $100,000
Included
Coverage F for Medical Payment to others Limit $1,000
Included
Loss Settlement Option Loss Settlement Option Actual Cash Value
Included</t>
  </si>
  <si>
    <t>rateRuleLogTable</t>
  </si>
  <si>
    <t>Number Edition Name
FORMS
HO 0003 09 08 SPECIAL FORM
OTHER ENDORSEMENTS
HO 2557 01 06 INCREASED COST ORDINANCE OR LAW
HO 4815 01 06 ACTUAL CASH VALUE
UNCATEGORIZED FORMS
HO-3</t>
  </si>
  <si>
    <t>Reassign</t>
  </si>
  <si>
    <t>Accept All</t>
  </si>
  <si>
    <t>Reject All</t>
  </si>
  <si>
    <t>Type Item Rule # Description Authority Status Actions
Doc Request
1 Waiting for User Documents. Level 2 Pending</t>
  </si>
  <si>
    <t>Document Date
Document Type
Actions
12/20/2024 Quote Summary
12/20/2024 Policy Document</t>
  </si>
  <si>
    <t>Payment Plan Installment(s) Amount
Monthly 12 $57.08</t>
  </si>
  <si>
    <t>Issue</t>
  </si>
  <si>
    <t>issue-button</t>
  </si>
  <si>
    <t>Select Scenario</t>
  </si>
  <si>
    <t>Select Page in Scenario</t>
  </si>
  <si>
    <t>Step1</t>
  </si>
  <si>
    <t>Step3</t>
  </si>
  <si>
    <t>Step4</t>
  </si>
  <si>
    <t>Step5</t>
  </si>
  <si>
    <t>Step6</t>
  </si>
  <si>
    <t>Step7</t>
  </si>
  <si>
    <t>Step8</t>
  </si>
  <si>
    <t>Step9</t>
  </si>
  <si>
    <t>HOLOB</t>
  </si>
  <si>
    <t>}]</t>
  </si>
  <si>
    <t>C:\Users\jagathpraveenk\Playwright\tests\HOLOB</t>
  </si>
  <si>
    <t>import { test } from '@playwright/test';</t>
  </si>
  <si>
    <t>Base URL</t>
  </si>
  <si>
    <t>Physical Name</t>
  </si>
  <si>
    <t>Verification</t>
  </si>
  <si>
    <t>C:\Users\jagathpraveenk\Playwright\tests\LOB-CP\POM\01-NewQuoteLocator.json</t>
  </si>
  <si>
    <t>Enter Playwright Installed Path</t>
  </si>
  <si>
    <t>Click on Create Test Suite Button</t>
  </si>
  <si>
    <t>Step2</t>
  </si>
  <si>
    <t>Click on CRAWL Web Page Button</t>
  </si>
  <si>
    <t>Click on Select Scenario Button</t>
  </si>
  <si>
    <t>TestData</t>
  </si>
  <si>
    <t>PageName</t>
  </si>
  <si>
    <t>02NewQuote</t>
  </si>
  <si>
    <t>Sheet1</t>
  </si>
  <si>
    <t>Test Automation</t>
  </si>
  <si>
    <t>@echo off</t>
  </si>
  <si>
    <t>C:</t>
  </si>
  <si>
    <t>npx playwright test test.list.ts</t>
  </si>
  <si>
    <t>@echo off kjp</t>
  </si>
  <si>
    <t xml:space="preserve">                                                     Or</t>
  </si>
  <si>
    <t>Flag (for required page type Y)</t>
  </si>
  <si>
    <t>`</t>
  </si>
  <si>
    <t>Select Pages for Scenario</t>
  </si>
  <si>
    <t>Select Scenarios for Business flow</t>
  </si>
  <si>
    <r>
      <t>import</t>
    </r>
    <r>
      <rPr>
        <sz val="8"/>
        <color rgb="FFCCCCCC"/>
        <rFont val="Consolas"/>
        <family val="3"/>
      </rPr>
      <t xml:space="preserve"> { </t>
    </r>
    <r>
      <rPr>
        <sz val="8"/>
        <color rgb="FF9CDCFE"/>
        <rFont val="Consolas"/>
        <family val="3"/>
      </rPr>
      <t>defineConfig</t>
    </r>
    <r>
      <rPr>
        <sz val="8"/>
        <color rgb="FFCCCCCC"/>
        <rFont val="Consolas"/>
        <family val="3"/>
      </rPr>
      <t xml:space="preserve">, </t>
    </r>
    <r>
      <rPr>
        <sz val="8"/>
        <color rgb="FF9CDCFE"/>
        <rFont val="Consolas"/>
        <family val="3"/>
      </rPr>
      <t>devices</t>
    </r>
    <r>
      <rPr>
        <sz val="8"/>
        <color rgb="FFCCCCCC"/>
        <rFont val="Consolas"/>
        <family val="3"/>
      </rPr>
      <t xml:space="preserve"> } </t>
    </r>
    <r>
      <rPr>
        <sz val="8"/>
        <color rgb="FFC586C0"/>
        <rFont val="Consolas"/>
        <family val="3"/>
      </rPr>
      <t>from</t>
    </r>
    <r>
      <rPr>
        <sz val="8"/>
        <color rgb="FFCCCCCC"/>
        <rFont val="Consolas"/>
        <family val="3"/>
      </rPr>
      <t xml:space="preserve"> </t>
    </r>
    <r>
      <rPr>
        <sz val="8"/>
        <color rgb="FFCE9178"/>
        <rFont val="Consolas"/>
        <family val="3"/>
      </rPr>
      <t>'@playwright/test'</t>
    </r>
    <r>
      <rPr>
        <sz val="8"/>
        <color rgb="FFCCCCCC"/>
        <rFont val="Consolas"/>
        <family val="3"/>
      </rPr>
      <t>;</t>
    </r>
  </si>
  <si>
    <r>
      <t>import</t>
    </r>
    <r>
      <rPr>
        <sz val="8"/>
        <color rgb="FFCCCCCC"/>
        <rFont val="Consolas"/>
        <family val="3"/>
      </rPr>
      <t xml:space="preserve"> { </t>
    </r>
    <r>
      <rPr>
        <sz val="8"/>
        <color rgb="FF9CDCFE"/>
        <rFont val="Consolas"/>
        <family val="3"/>
      </rPr>
      <t>PlaywrightTestConfig</t>
    </r>
    <r>
      <rPr>
        <sz val="8"/>
        <color rgb="FFCCCCCC"/>
        <rFont val="Consolas"/>
        <family val="3"/>
      </rPr>
      <t xml:space="preserve"> } </t>
    </r>
    <r>
      <rPr>
        <sz val="8"/>
        <color rgb="FFC586C0"/>
        <rFont val="Consolas"/>
        <family val="3"/>
      </rPr>
      <t>from</t>
    </r>
    <r>
      <rPr>
        <sz val="8"/>
        <color rgb="FFCCCCCC"/>
        <rFont val="Consolas"/>
        <family val="3"/>
      </rPr>
      <t xml:space="preserve"> </t>
    </r>
    <r>
      <rPr>
        <sz val="8"/>
        <color rgb="FFCE9178"/>
        <rFont val="Consolas"/>
        <family val="3"/>
      </rPr>
      <t>'@playwright/test'</t>
    </r>
    <r>
      <rPr>
        <sz val="8"/>
        <color rgb="FFCCCCCC"/>
        <rFont val="Consolas"/>
        <family val="3"/>
      </rPr>
      <t>;</t>
    </r>
  </si>
  <si>
    <r>
      <t>const</t>
    </r>
    <r>
      <rPr>
        <sz val="8"/>
        <color rgb="FFCCCCCC"/>
        <rFont val="Consolas"/>
        <family val="3"/>
      </rPr>
      <t xml:space="preserve"> </t>
    </r>
    <r>
      <rPr>
        <sz val="8"/>
        <color rgb="FF4FC1FF"/>
        <rFont val="Consolas"/>
        <family val="3"/>
      </rPr>
      <t>config</t>
    </r>
    <r>
      <rPr>
        <sz val="8"/>
        <color rgb="FFD4D4D4"/>
        <rFont val="Consolas"/>
        <family val="3"/>
      </rPr>
      <t>:</t>
    </r>
    <r>
      <rPr>
        <sz val="8"/>
        <color rgb="FFCCCCCC"/>
        <rFont val="Consolas"/>
        <family val="3"/>
      </rPr>
      <t xml:space="preserve"> </t>
    </r>
    <r>
      <rPr>
        <sz val="8"/>
        <color rgb="FF4EC9B0"/>
        <rFont val="Consolas"/>
        <family val="3"/>
      </rPr>
      <t>PlaywrightTestConfig</t>
    </r>
    <r>
      <rPr>
        <sz val="8"/>
        <color rgb="FFCCCCCC"/>
        <rFont val="Consolas"/>
        <family val="3"/>
      </rPr>
      <t xml:space="preserve"> </t>
    </r>
    <r>
      <rPr>
        <sz val="8"/>
        <color rgb="FFD4D4D4"/>
        <rFont val="Consolas"/>
        <family val="3"/>
      </rPr>
      <t>=</t>
    </r>
    <r>
      <rPr>
        <sz val="8"/>
        <color rgb="FFCCCCCC"/>
        <rFont val="Consolas"/>
        <family val="3"/>
      </rPr>
      <t xml:space="preserve"> {</t>
    </r>
  </si>
  <si>
    <r>
      <t xml:space="preserve">  </t>
    </r>
    <r>
      <rPr>
        <sz val="8"/>
        <color rgb="FF9CDCFE"/>
        <rFont val="Consolas"/>
        <family val="3"/>
      </rPr>
      <t>testMatch:</t>
    </r>
    <r>
      <rPr>
        <sz val="8"/>
        <color rgb="FFCCCCCC"/>
        <rFont val="Consolas"/>
        <family val="3"/>
      </rPr>
      <t xml:space="preserve"> </t>
    </r>
    <r>
      <rPr>
        <sz val="8"/>
        <color rgb="FFCE9178"/>
        <rFont val="Consolas"/>
        <family val="3"/>
      </rPr>
      <t>'**/*.{spec,test}.{js,ts}'</t>
    </r>
    <r>
      <rPr>
        <sz val="8"/>
        <color rgb="FFCCCCCC"/>
        <rFont val="Consolas"/>
        <family val="3"/>
      </rPr>
      <t>,</t>
    </r>
  </si>
  <si>
    <r>
      <t xml:space="preserve">  </t>
    </r>
    <r>
      <rPr>
        <sz val="8"/>
        <color rgb="FF6A9955"/>
        <rFont val="Consolas"/>
        <family val="3"/>
      </rPr>
      <t>// Other configurations...</t>
    </r>
  </si>
  <si>
    <t>};</t>
  </si>
  <si>
    <t>//export default config;</t>
  </si>
  <si>
    <t>/**</t>
  </si>
  <si>
    <t> * Read environment variables from file.</t>
  </si>
  <si>
    <t> * https://github.com/motdotla/dotenv</t>
  </si>
  <si>
    <t> */</t>
  </si>
  <si>
    <t>// import dotenv from 'dotenv';</t>
  </si>
  <si>
    <t>// import path from 'path';</t>
  </si>
  <si>
    <t>// dotenv.config({ path: path.resolve(__dirname, '.env') });</t>
  </si>
  <si>
    <t> * See https://playwright.dev/docs/test-configuration.</t>
  </si>
  <si>
    <r>
      <t>export</t>
    </r>
    <r>
      <rPr>
        <sz val="8"/>
        <color rgb="FFCCCCCC"/>
        <rFont val="Consolas"/>
        <family val="3"/>
      </rPr>
      <t xml:space="preserve"> </t>
    </r>
    <r>
      <rPr>
        <sz val="8"/>
        <color rgb="FFC586C0"/>
        <rFont val="Consolas"/>
        <family val="3"/>
      </rPr>
      <t>default</t>
    </r>
    <r>
      <rPr>
        <sz val="8"/>
        <color rgb="FFCCCCCC"/>
        <rFont val="Consolas"/>
        <family val="3"/>
      </rPr>
      <t xml:space="preserve"> </t>
    </r>
    <r>
      <rPr>
        <sz val="8"/>
        <color rgb="FFDCDCAA"/>
        <rFont val="Consolas"/>
        <family val="3"/>
      </rPr>
      <t>defineConfig</t>
    </r>
    <r>
      <rPr>
        <sz val="8"/>
        <color rgb="FFCCCCCC"/>
        <rFont val="Consolas"/>
        <family val="3"/>
      </rPr>
      <t>({</t>
    </r>
  </si>
  <si>
    <r>
      <t xml:space="preserve">  </t>
    </r>
    <r>
      <rPr>
        <sz val="8"/>
        <color rgb="FF6A9955"/>
        <rFont val="Consolas"/>
        <family val="3"/>
      </rPr>
      <t>//workers: 1,</t>
    </r>
  </si>
  <si>
    <r>
      <t> </t>
    </r>
    <r>
      <rPr>
        <sz val="8"/>
        <color rgb="FF9CDCFE"/>
        <rFont val="Consolas"/>
        <family val="3"/>
      </rPr>
      <t>testMatch:</t>
    </r>
    <r>
      <rPr>
        <sz val="8"/>
        <color rgb="FFCCCCCC"/>
        <rFont val="Consolas"/>
        <family val="3"/>
      </rPr>
      <t xml:space="preserve"> </t>
    </r>
    <r>
      <rPr>
        <sz val="8"/>
        <color rgb="FFCE9178"/>
        <rFont val="Consolas"/>
        <family val="3"/>
      </rPr>
      <t>'test.list.ts'</t>
    </r>
    <r>
      <rPr>
        <sz val="8"/>
        <color rgb="FFCCCCCC"/>
        <rFont val="Consolas"/>
        <family val="3"/>
      </rPr>
      <t>,</t>
    </r>
  </si>
  <si>
    <r>
      <t xml:space="preserve">  </t>
    </r>
    <r>
      <rPr>
        <sz val="8"/>
        <color rgb="FF9CDCFE"/>
        <rFont val="Consolas"/>
        <family val="3"/>
      </rPr>
      <t>timeout:</t>
    </r>
    <r>
      <rPr>
        <sz val="8"/>
        <color rgb="FFCCCCCC"/>
        <rFont val="Consolas"/>
        <family val="3"/>
      </rPr>
      <t xml:space="preserve"> </t>
    </r>
    <r>
      <rPr>
        <sz val="8"/>
        <color rgb="FFB5CEA8"/>
        <rFont val="Consolas"/>
        <family val="3"/>
      </rPr>
      <t>120_0000</t>
    </r>
    <r>
      <rPr>
        <sz val="8"/>
        <color rgb="FFCCCCCC"/>
        <rFont val="Consolas"/>
        <family val="3"/>
      </rPr>
      <t>,</t>
    </r>
  </si>
  <si>
    <r>
      <t xml:space="preserve">  </t>
    </r>
    <r>
      <rPr>
        <sz val="8"/>
        <color rgb="FF9CDCFE"/>
        <rFont val="Consolas"/>
        <family val="3"/>
      </rPr>
      <t>testDir:</t>
    </r>
    <r>
      <rPr>
        <sz val="8"/>
        <color rgb="FFCCCCCC"/>
        <rFont val="Consolas"/>
        <family val="3"/>
      </rPr>
      <t xml:space="preserve"> </t>
    </r>
    <r>
      <rPr>
        <sz val="8"/>
        <color rgb="FFCE9178"/>
        <rFont val="Consolas"/>
        <family val="3"/>
      </rPr>
      <t>'./tests'</t>
    </r>
    <r>
      <rPr>
        <sz val="8"/>
        <color rgb="FFCCCCCC"/>
        <rFont val="Consolas"/>
        <family val="3"/>
      </rPr>
      <t>,</t>
    </r>
  </si>
  <si>
    <r>
      <t xml:space="preserve">  </t>
    </r>
    <r>
      <rPr>
        <sz val="8"/>
        <color rgb="FF6A9955"/>
        <rFont val="Consolas"/>
        <family val="3"/>
      </rPr>
      <t>/* Run tests in files in parallel */</t>
    </r>
  </si>
  <si>
    <r>
      <t xml:space="preserve">  </t>
    </r>
    <r>
      <rPr>
        <sz val="8"/>
        <color rgb="FF9CDCFE"/>
        <rFont val="Consolas"/>
        <family val="3"/>
      </rPr>
      <t>fullyParallel:</t>
    </r>
    <r>
      <rPr>
        <sz val="8"/>
        <color rgb="FFCCCCCC"/>
        <rFont val="Consolas"/>
        <family val="3"/>
      </rPr>
      <t xml:space="preserve"> </t>
    </r>
    <r>
      <rPr>
        <sz val="8"/>
        <color rgb="FF569CD6"/>
        <rFont val="Consolas"/>
        <family val="3"/>
      </rPr>
      <t>true</t>
    </r>
    <r>
      <rPr>
        <sz val="8"/>
        <color rgb="FFCCCCCC"/>
        <rFont val="Consolas"/>
        <family val="3"/>
      </rPr>
      <t>,</t>
    </r>
  </si>
  <si>
    <r>
      <t xml:space="preserve">  </t>
    </r>
    <r>
      <rPr>
        <sz val="8"/>
        <color rgb="FF6A9955"/>
        <rFont val="Consolas"/>
        <family val="3"/>
      </rPr>
      <t>/* Fail the build on CI if you accidentally left test.only in the source code. */</t>
    </r>
  </si>
  <si>
    <r>
      <t xml:space="preserve">  </t>
    </r>
    <r>
      <rPr>
        <sz val="8"/>
        <color rgb="FF9CDCFE"/>
        <rFont val="Consolas"/>
        <family val="3"/>
      </rPr>
      <t>forbidOnly:</t>
    </r>
    <r>
      <rPr>
        <sz val="8"/>
        <color rgb="FFCCCCCC"/>
        <rFont val="Consolas"/>
        <family val="3"/>
      </rPr>
      <t xml:space="preserve"> </t>
    </r>
    <r>
      <rPr>
        <sz val="8"/>
        <color rgb="FFD4D4D4"/>
        <rFont val="Consolas"/>
        <family val="3"/>
      </rPr>
      <t>!!</t>
    </r>
    <r>
      <rPr>
        <sz val="8"/>
        <color rgb="FF9CDCFE"/>
        <rFont val="Consolas"/>
        <family val="3"/>
      </rPr>
      <t>process</t>
    </r>
    <r>
      <rPr>
        <sz val="8"/>
        <color rgb="FFCCCCCC"/>
        <rFont val="Consolas"/>
        <family val="3"/>
      </rPr>
      <t>.</t>
    </r>
    <r>
      <rPr>
        <sz val="8"/>
        <color rgb="FF9CDCFE"/>
        <rFont val="Consolas"/>
        <family val="3"/>
      </rPr>
      <t>env</t>
    </r>
    <r>
      <rPr>
        <sz val="8"/>
        <color rgb="FFCCCCCC"/>
        <rFont val="Consolas"/>
        <family val="3"/>
      </rPr>
      <t>.</t>
    </r>
    <r>
      <rPr>
        <sz val="8"/>
        <color rgb="FF4FC1FF"/>
        <rFont val="Consolas"/>
        <family val="3"/>
      </rPr>
      <t>CI</t>
    </r>
    <r>
      <rPr>
        <sz val="8"/>
        <color rgb="FFCCCCCC"/>
        <rFont val="Consolas"/>
        <family val="3"/>
      </rPr>
      <t>,</t>
    </r>
  </si>
  <si>
    <r>
      <t xml:space="preserve">  </t>
    </r>
    <r>
      <rPr>
        <sz val="8"/>
        <color rgb="FF6A9955"/>
        <rFont val="Consolas"/>
        <family val="3"/>
      </rPr>
      <t>/* Retry on CI only */</t>
    </r>
  </si>
  <si>
    <r>
      <t xml:space="preserve">  </t>
    </r>
    <r>
      <rPr>
        <sz val="8"/>
        <color rgb="FF9CDCFE"/>
        <rFont val="Consolas"/>
        <family val="3"/>
      </rPr>
      <t>retries:</t>
    </r>
    <r>
      <rPr>
        <sz val="8"/>
        <color rgb="FFCCCCCC"/>
        <rFont val="Consolas"/>
        <family val="3"/>
      </rPr>
      <t xml:space="preserve"> </t>
    </r>
    <r>
      <rPr>
        <sz val="8"/>
        <color rgb="FF9CDCFE"/>
        <rFont val="Consolas"/>
        <family val="3"/>
      </rPr>
      <t>process</t>
    </r>
    <r>
      <rPr>
        <sz val="8"/>
        <color rgb="FFCCCCCC"/>
        <rFont val="Consolas"/>
        <family val="3"/>
      </rPr>
      <t>.</t>
    </r>
    <r>
      <rPr>
        <sz val="8"/>
        <color rgb="FF9CDCFE"/>
        <rFont val="Consolas"/>
        <family val="3"/>
      </rPr>
      <t>env</t>
    </r>
    <r>
      <rPr>
        <sz val="8"/>
        <color rgb="FFCCCCCC"/>
        <rFont val="Consolas"/>
        <family val="3"/>
      </rPr>
      <t>.</t>
    </r>
    <r>
      <rPr>
        <sz val="8"/>
        <color rgb="FF4FC1FF"/>
        <rFont val="Consolas"/>
        <family val="3"/>
      </rPr>
      <t>CI</t>
    </r>
    <r>
      <rPr>
        <sz val="8"/>
        <color rgb="FFCCCCCC"/>
        <rFont val="Consolas"/>
        <family val="3"/>
      </rPr>
      <t xml:space="preserve"> </t>
    </r>
    <r>
      <rPr>
        <sz val="8"/>
        <color rgb="FFD4D4D4"/>
        <rFont val="Consolas"/>
        <family val="3"/>
      </rPr>
      <t>?</t>
    </r>
    <r>
      <rPr>
        <sz val="8"/>
        <color rgb="FFCCCCCC"/>
        <rFont val="Consolas"/>
        <family val="3"/>
      </rPr>
      <t xml:space="preserve"> </t>
    </r>
    <r>
      <rPr>
        <sz val="8"/>
        <color rgb="FFB5CEA8"/>
        <rFont val="Consolas"/>
        <family val="3"/>
      </rPr>
      <t>2</t>
    </r>
    <r>
      <rPr>
        <sz val="8"/>
        <color rgb="FFCCCCCC"/>
        <rFont val="Consolas"/>
        <family val="3"/>
      </rPr>
      <t xml:space="preserve"> </t>
    </r>
    <r>
      <rPr>
        <sz val="8"/>
        <color rgb="FFD4D4D4"/>
        <rFont val="Consolas"/>
        <family val="3"/>
      </rPr>
      <t>:</t>
    </r>
    <r>
      <rPr>
        <sz val="8"/>
        <color rgb="FFCCCCCC"/>
        <rFont val="Consolas"/>
        <family val="3"/>
      </rPr>
      <t xml:space="preserve"> </t>
    </r>
    <r>
      <rPr>
        <sz val="8"/>
        <color rgb="FFB5CEA8"/>
        <rFont val="Consolas"/>
        <family val="3"/>
      </rPr>
      <t>0</t>
    </r>
    <r>
      <rPr>
        <sz val="8"/>
        <color rgb="FFCCCCCC"/>
        <rFont val="Consolas"/>
        <family val="3"/>
      </rPr>
      <t>,</t>
    </r>
  </si>
  <si>
    <r>
      <t xml:space="preserve">  </t>
    </r>
    <r>
      <rPr>
        <sz val="8"/>
        <color rgb="FF6A9955"/>
        <rFont val="Consolas"/>
        <family val="3"/>
      </rPr>
      <t>/* Opt out of parallel tests on CI. */</t>
    </r>
  </si>
  <si>
    <r>
      <t xml:space="preserve">  </t>
    </r>
    <r>
      <rPr>
        <sz val="8"/>
        <color rgb="FF9CDCFE"/>
        <rFont val="Consolas"/>
        <family val="3"/>
      </rPr>
      <t>workers:</t>
    </r>
    <r>
      <rPr>
        <sz val="8"/>
        <color rgb="FFCCCCCC"/>
        <rFont val="Consolas"/>
        <family val="3"/>
      </rPr>
      <t xml:space="preserve"> </t>
    </r>
    <r>
      <rPr>
        <sz val="8"/>
        <color rgb="FFB5CEA8"/>
        <rFont val="Consolas"/>
        <family val="3"/>
      </rPr>
      <t>1</t>
    </r>
    <r>
      <rPr>
        <sz val="8"/>
        <color rgb="FFCCCCCC"/>
        <rFont val="Consolas"/>
        <family val="3"/>
      </rPr>
      <t>,</t>
    </r>
    <r>
      <rPr>
        <sz val="8"/>
        <color rgb="FF6A9955"/>
        <rFont val="Consolas"/>
        <family val="3"/>
      </rPr>
      <t>//process.env.CI ? 1 : undefined,</t>
    </r>
  </si>
  <si>
    <r>
      <t xml:space="preserve">  </t>
    </r>
    <r>
      <rPr>
        <sz val="8"/>
        <color rgb="FF6A9955"/>
        <rFont val="Consolas"/>
        <family val="3"/>
      </rPr>
      <t>/* Reporter to use. See https://playwright.dev/docs/test-reporters */</t>
    </r>
  </si>
  <si>
    <r>
      <t xml:space="preserve">  </t>
    </r>
    <r>
      <rPr>
        <sz val="8"/>
        <color rgb="FF9CDCFE"/>
        <rFont val="Consolas"/>
        <family val="3"/>
      </rPr>
      <t>reporter:</t>
    </r>
    <r>
      <rPr>
        <sz val="8"/>
        <color rgb="FFCCCCCC"/>
        <rFont val="Consolas"/>
        <family val="3"/>
      </rPr>
      <t xml:space="preserve"> </t>
    </r>
    <r>
      <rPr>
        <sz val="8"/>
        <color rgb="FFCE9178"/>
        <rFont val="Consolas"/>
        <family val="3"/>
      </rPr>
      <t>'html'</t>
    </r>
    <r>
      <rPr>
        <sz val="8"/>
        <color rgb="FFCCCCCC"/>
        <rFont val="Consolas"/>
        <family val="3"/>
      </rPr>
      <t>,</t>
    </r>
  </si>
  <si>
    <r>
      <t xml:space="preserve">  </t>
    </r>
    <r>
      <rPr>
        <sz val="8"/>
        <color rgb="FF6A9955"/>
        <rFont val="Consolas"/>
        <family val="3"/>
      </rPr>
      <t>/* Shared settings for all the projects below. See https://playwright.dev/docs/api/class-testoptions. */</t>
    </r>
  </si>
  <si>
    <r>
      <t xml:space="preserve">  </t>
    </r>
    <r>
      <rPr>
        <sz val="8"/>
        <color rgb="FF9CDCFE"/>
        <rFont val="Consolas"/>
        <family val="3"/>
      </rPr>
      <t>use:</t>
    </r>
    <r>
      <rPr>
        <sz val="8"/>
        <color rgb="FFCCCCCC"/>
        <rFont val="Consolas"/>
        <family val="3"/>
      </rPr>
      <t xml:space="preserve"> {</t>
    </r>
  </si>
  <si>
    <r>
      <t xml:space="preserve">    </t>
    </r>
    <r>
      <rPr>
        <sz val="8"/>
        <color rgb="FF6A9955"/>
        <rFont val="Consolas"/>
        <family val="3"/>
      </rPr>
      <t>/* Base URL to use in actions like `await page.goto('/')`. */</t>
    </r>
  </si>
  <si>
    <r>
      <t xml:space="preserve">    </t>
    </r>
    <r>
      <rPr>
        <sz val="8"/>
        <color rgb="FF6A9955"/>
        <rFont val="Consolas"/>
        <family val="3"/>
      </rPr>
      <t>// baseURL: 'http://127.0.0.1:3000',</t>
    </r>
  </si>
  <si>
    <r>
      <t xml:space="preserve">  </t>
    </r>
    <r>
      <rPr>
        <sz val="8"/>
        <color rgb="FF9CDCFE"/>
        <rFont val="Consolas"/>
        <family val="3"/>
      </rPr>
      <t>headless:</t>
    </r>
    <r>
      <rPr>
        <sz val="8"/>
        <color rgb="FFCCCCCC"/>
        <rFont val="Consolas"/>
        <family val="3"/>
      </rPr>
      <t xml:space="preserve"> </t>
    </r>
    <r>
      <rPr>
        <sz val="8"/>
        <color rgb="FF569CD6"/>
        <rFont val="Consolas"/>
        <family val="3"/>
      </rPr>
      <t>false</t>
    </r>
    <r>
      <rPr>
        <sz val="8"/>
        <color rgb="FFCCCCCC"/>
        <rFont val="Consolas"/>
        <family val="3"/>
      </rPr>
      <t>,</t>
    </r>
  </si>
  <si>
    <r>
      <t xml:space="preserve">    </t>
    </r>
    <r>
      <rPr>
        <sz val="8"/>
        <color rgb="FF6A9955"/>
        <rFont val="Consolas"/>
        <family val="3"/>
      </rPr>
      <t>/* Collect trace when retrying the failed test. See https://playwright.dev/docs/trace-viewer */</t>
    </r>
  </si>
  <si>
    <r>
      <t xml:space="preserve">    </t>
    </r>
    <r>
      <rPr>
        <sz val="8"/>
        <color rgb="FF9CDCFE"/>
        <rFont val="Consolas"/>
        <family val="3"/>
      </rPr>
      <t>trace:</t>
    </r>
    <r>
      <rPr>
        <sz val="8"/>
        <color rgb="FFCCCCCC"/>
        <rFont val="Consolas"/>
        <family val="3"/>
      </rPr>
      <t xml:space="preserve"> </t>
    </r>
    <r>
      <rPr>
        <sz val="8"/>
        <color rgb="FFCE9178"/>
        <rFont val="Consolas"/>
        <family val="3"/>
      </rPr>
      <t>'on-first-retry'</t>
    </r>
    <r>
      <rPr>
        <sz val="8"/>
        <color rgb="FFCCCCCC"/>
        <rFont val="Consolas"/>
        <family val="3"/>
      </rPr>
      <t>,</t>
    </r>
  </si>
  <si>
    <t>  },</t>
  </si>
  <si>
    <r>
      <t xml:space="preserve">  </t>
    </r>
    <r>
      <rPr>
        <sz val="8"/>
        <color rgb="FF6A9955"/>
        <rFont val="Consolas"/>
        <family val="3"/>
      </rPr>
      <t>/* Configure projects for major browsers */</t>
    </r>
  </si>
  <si>
    <r>
      <t xml:space="preserve">  </t>
    </r>
    <r>
      <rPr>
        <sz val="8"/>
        <color rgb="FF9CDCFE"/>
        <rFont val="Consolas"/>
        <family val="3"/>
      </rPr>
      <t>projects:</t>
    </r>
    <r>
      <rPr>
        <sz val="8"/>
        <color rgb="FFCCCCCC"/>
        <rFont val="Consolas"/>
        <family val="3"/>
      </rPr>
      <t xml:space="preserve"> [</t>
    </r>
  </si>
  <si>
    <r>
      <t>   </t>
    </r>
    <r>
      <rPr>
        <sz val="8"/>
        <color rgb="FF6A9955"/>
        <rFont val="Consolas"/>
        <family val="3"/>
      </rPr>
      <t>// {</t>
    </r>
  </si>
  <si>
    <r>
      <t>     </t>
    </r>
    <r>
      <rPr>
        <sz val="8"/>
        <color rgb="FF6A9955"/>
        <rFont val="Consolas"/>
        <family val="3"/>
      </rPr>
      <t>// name: 'chromium',</t>
    </r>
  </si>
  <si>
    <r>
      <t>     </t>
    </r>
    <r>
      <rPr>
        <sz val="8"/>
        <color rgb="FF6A9955"/>
        <rFont val="Consolas"/>
        <family val="3"/>
      </rPr>
      <t>// use: { ...devices['Desktop Chrome'] },</t>
    </r>
  </si>
  <si>
    <r>
      <t xml:space="preserve">    </t>
    </r>
    <r>
      <rPr>
        <sz val="8"/>
        <color rgb="FF6A9955"/>
        <rFont val="Consolas"/>
        <family val="3"/>
      </rPr>
      <t>//},</t>
    </r>
  </si>
  <si>
    <r>
      <t>   </t>
    </r>
    <r>
      <rPr>
        <sz val="8"/>
        <color rgb="FF6A9955"/>
        <rFont val="Consolas"/>
        <family val="3"/>
      </rPr>
      <t>/* {</t>
    </r>
  </si>
  <si>
    <t>      name: 'firefox',</t>
  </si>
  <si>
    <t>      use: { ...devices['Desktop Firefox'] },</t>
  </si>
  <si>
    <t>    },</t>
  </si>
  <si>
    <t>    {</t>
  </si>
  <si>
    <t>      name: 'webkit',</t>
  </si>
  <si>
    <t>      use: { ...devices['Desktop Safari'] },</t>
  </si>
  <si>
    <t>    },*/</t>
  </si>
  <si>
    <r>
      <t xml:space="preserve">    </t>
    </r>
    <r>
      <rPr>
        <sz val="8"/>
        <color rgb="FF6A9955"/>
        <rFont val="Consolas"/>
        <family val="3"/>
      </rPr>
      <t>/* Test against mobile viewports. */</t>
    </r>
  </si>
  <si>
    <r>
      <t xml:space="preserve">    </t>
    </r>
    <r>
      <rPr>
        <sz val="8"/>
        <color rgb="FF6A9955"/>
        <rFont val="Consolas"/>
        <family val="3"/>
      </rPr>
      <t>// {</t>
    </r>
  </si>
  <si>
    <r>
      <t xml:space="preserve">    </t>
    </r>
    <r>
      <rPr>
        <sz val="8"/>
        <color rgb="FF6A9955"/>
        <rFont val="Consolas"/>
        <family val="3"/>
      </rPr>
      <t>//   name: 'Mobile Chrome',</t>
    </r>
  </si>
  <si>
    <r>
      <t xml:space="preserve">    </t>
    </r>
    <r>
      <rPr>
        <sz val="8"/>
        <color rgb="FF6A9955"/>
        <rFont val="Consolas"/>
        <family val="3"/>
      </rPr>
      <t>//   use: { ...devices['Pixel 5'] },</t>
    </r>
  </si>
  <si>
    <r>
      <t xml:space="preserve">    </t>
    </r>
    <r>
      <rPr>
        <sz val="8"/>
        <color rgb="FF6A9955"/>
        <rFont val="Consolas"/>
        <family val="3"/>
      </rPr>
      <t>// },</t>
    </r>
  </si>
  <si>
    <r>
      <t xml:space="preserve">    </t>
    </r>
    <r>
      <rPr>
        <sz val="8"/>
        <color rgb="FF6A9955"/>
        <rFont val="Consolas"/>
        <family val="3"/>
      </rPr>
      <t>//   name: 'Mobile Safari',</t>
    </r>
  </si>
  <si>
    <r>
      <t xml:space="preserve">    </t>
    </r>
    <r>
      <rPr>
        <sz val="8"/>
        <color rgb="FF6A9955"/>
        <rFont val="Consolas"/>
        <family val="3"/>
      </rPr>
      <t>//   use: { ...devices['iPhone 12'] },</t>
    </r>
  </si>
  <si>
    <r>
      <t xml:space="preserve">    </t>
    </r>
    <r>
      <rPr>
        <sz val="8"/>
        <color rgb="FF6A9955"/>
        <rFont val="Consolas"/>
        <family val="3"/>
      </rPr>
      <t>/* Test against branded browsers. */</t>
    </r>
  </si>
  <si>
    <r>
      <t xml:space="preserve">    </t>
    </r>
    <r>
      <rPr>
        <sz val="8"/>
        <color rgb="FF6A9955"/>
        <rFont val="Consolas"/>
        <family val="3"/>
      </rPr>
      <t>//   name: 'Microsoft Edge',</t>
    </r>
  </si>
  <si>
    <r>
      <t xml:space="preserve">    </t>
    </r>
    <r>
      <rPr>
        <sz val="8"/>
        <color rgb="FF6A9955"/>
        <rFont val="Consolas"/>
        <family val="3"/>
      </rPr>
      <t>//   use: { ...devices['Desktop Edge'], channel: 'msedge' },</t>
    </r>
  </si>
  <si>
    <r>
      <t>       </t>
    </r>
    <r>
      <rPr>
        <sz val="8"/>
        <color rgb="FF9CDCFE"/>
        <rFont val="Consolas"/>
        <family val="3"/>
      </rPr>
      <t>name:</t>
    </r>
    <r>
      <rPr>
        <sz val="8"/>
        <color rgb="FFCCCCCC"/>
        <rFont val="Consolas"/>
        <family val="3"/>
      </rPr>
      <t xml:space="preserve"> </t>
    </r>
    <r>
      <rPr>
        <sz val="8"/>
        <color rgb="FFCE9178"/>
        <rFont val="Consolas"/>
        <family val="3"/>
      </rPr>
      <t>'Google Chrome'</t>
    </r>
    <r>
      <rPr>
        <sz val="8"/>
        <color rgb="FFCCCCCC"/>
        <rFont val="Consolas"/>
        <family val="3"/>
      </rPr>
      <t>,</t>
    </r>
  </si>
  <si>
    <r>
      <t>       </t>
    </r>
    <r>
      <rPr>
        <sz val="8"/>
        <color rgb="FF9CDCFE"/>
        <rFont val="Consolas"/>
        <family val="3"/>
      </rPr>
      <t>use:</t>
    </r>
    <r>
      <rPr>
        <sz val="8"/>
        <color rgb="FFCCCCCC"/>
        <rFont val="Consolas"/>
        <family val="3"/>
      </rPr>
      <t xml:space="preserve"> { </t>
    </r>
    <r>
      <rPr>
        <sz val="8"/>
        <color rgb="FFD4D4D4"/>
        <rFont val="Consolas"/>
        <family val="3"/>
      </rPr>
      <t>...</t>
    </r>
    <r>
      <rPr>
        <sz val="8"/>
        <color rgb="FF4FC1FF"/>
        <rFont val="Consolas"/>
        <family val="3"/>
      </rPr>
      <t>devices</t>
    </r>
    <r>
      <rPr>
        <sz val="8"/>
        <color rgb="FFCCCCCC"/>
        <rFont val="Consolas"/>
        <family val="3"/>
      </rPr>
      <t>[</t>
    </r>
    <r>
      <rPr>
        <sz val="8"/>
        <color rgb="FFCE9178"/>
        <rFont val="Consolas"/>
        <family val="3"/>
      </rPr>
      <t>'Desktop Chrome'</t>
    </r>
    <r>
      <rPr>
        <sz val="8"/>
        <color rgb="FFCCCCCC"/>
        <rFont val="Consolas"/>
        <family val="3"/>
      </rPr>
      <t xml:space="preserve">], </t>
    </r>
    <r>
      <rPr>
        <sz val="8"/>
        <color rgb="FF9CDCFE"/>
        <rFont val="Consolas"/>
        <family val="3"/>
      </rPr>
      <t>channel:</t>
    </r>
    <r>
      <rPr>
        <sz val="8"/>
        <color rgb="FFCCCCCC"/>
        <rFont val="Consolas"/>
        <family val="3"/>
      </rPr>
      <t xml:space="preserve"> </t>
    </r>
    <r>
      <rPr>
        <sz val="8"/>
        <color rgb="FFCE9178"/>
        <rFont val="Consolas"/>
        <family val="3"/>
      </rPr>
      <t>'chrome'</t>
    </r>
    <r>
      <rPr>
        <sz val="8"/>
        <color rgb="FFCCCCCC"/>
        <rFont val="Consolas"/>
        <family val="3"/>
      </rPr>
      <t xml:space="preserve"> },</t>
    </r>
  </si>
  <si>
    <t>     },</t>
  </si>
  <si>
    <t>  ],</t>
  </si>
  <si>
    <r>
      <t xml:space="preserve">  </t>
    </r>
    <r>
      <rPr>
        <sz val="8"/>
        <color rgb="FF6A9955"/>
        <rFont val="Consolas"/>
        <family val="3"/>
      </rPr>
      <t>/* Run your local dev server before starting the tests */</t>
    </r>
  </si>
  <si>
    <r>
      <t xml:space="preserve">  </t>
    </r>
    <r>
      <rPr>
        <sz val="8"/>
        <color rgb="FF6A9955"/>
        <rFont val="Consolas"/>
        <family val="3"/>
      </rPr>
      <t>// webServer: {</t>
    </r>
  </si>
  <si>
    <r>
      <t xml:space="preserve">  </t>
    </r>
    <r>
      <rPr>
        <sz val="8"/>
        <color rgb="FF6A9955"/>
        <rFont val="Consolas"/>
        <family val="3"/>
      </rPr>
      <t>//   command: 'npm run start',</t>
    </r>
  </si>
  <si>
    <r>
      <t xml:space="preserve">  </t>
    </r>
    <r>
      <rPr>
        <sz val="8"/>
        <color rgb="FF6A9955"/>
        <rFont val="Consolas"/>
        <family val="3"/>
      </rPr>
      <t>//   url: 'http://127.0.0.1:3000',</t>
    </r>
  </si>
  <si>
    <r>
      <t xml:space="preserve">  </t>
    </r>
    <r>
      <rPr>
        <sz val="8"/>
        <color rgb="FF6A9955"/>
        <rFont val="Consolas"/>
        <family val="3"/>
      </rPr>
      <t>//   reuseExistingServer: !process.env.CI,</t>
    </r>
  </si>
  <si>
    <r>
      <t xml:space="preserve">  </t>
    </r>
    <r>
      <rPr>
        <sz val="8"/>
        <color rgb="FF6A9955"/>
        <rFont val="Consolas"/>
        <family val="3"/>
      </rPr>
      <t>// },</t>
    </r>
  </si>
  <si>
    <t>});</t>
  </si>
  <si>
    <t>Form</t>
  </si>
  <si>
    <t>ZipCode</t>
  </si>
  <si>
    <t>TerritoryCode</t>
  </si>
  <si>
    <t>15082</t>
  </si>
  <si>
    <t>435</t>
  </si>
  <si>
    <t>15083</t>
  </si>
  <si>
    <t>442</t>
  </si>
  <si>
    <t>15084</t>
  </si>
  <si>
    <t>15085</t>
  </si>
  <si>
    <t>15086</t>
  </si>
  <si>
    <t>15087</t>
  </si>
  <si>
    <t>15088</t>
  </si>
  <si>
    <t>15089</t>
  </si>
  <si>
    <t>15090</t>
  </si>
  <si>
    <t>15091</t>
  </si>
  <si>
    <t>15095</t>
  </si>
  <si>
    <t>15096</t>
  </si>
  <si>
    <t>15101</t>
  </si>
  <si>
    <t>15102</t>
  </si>
  <si>
    <t>15104</t>
  </si>
  <si>
    <t>15106</t>
  </si>
  <si>
    <t>15108</t>
  </si>
  <si>
    <t>15110</t>
  </si>
  <si>
    <t>15112</t>
  </si>
  <si>
    <t>15116</t>
  </si>
  <si>
    <t>15120</t>
  </si>
  <si>
    <t>15122</t>
  </si>
  <si>
    <t>15123</t>
  </si>
  <si>
    <t>15126</t>
  </si>
  <si>
    <t>15127</t>
  </si>
  <si>
    <t>15129</t>
  </si>
  <si>
    <t>15131</t>
  </si>
  <si>
    <t>15132</t>
  </si>
  <si>
    <t>15133</t>
  </si>
  <si>
    <t>15134</t>
  </si>
  <si>
    <t>15135</t>
  </si>
  <si>
    <t>15136</t>
  </si>
  <si>
    <t>15137</t>
  </si>
  <si>
    <t>15139</t>
  </si>
  <si>
    <t>15140</t>
  </si>
  <si>
    <t>15142</t>
  </si>
  <si>
    <t>15143</t>
  </si>
  <si>
    <t>15144</t>
  </si>
  <si>
    <t>15145</t>
  </si>
  <si>
    <t>15146</t>
  </si>
  <si>
    <t>15147</t>
  </si>
  <si>
    <t>15148</t>
  </si>
  <si>
    <t>15201</t>
  </si>
  <si>
    <t>434</t>
  </si>
  <si>
    <t>15202</t>
  </si>
  <si>
    <t>15203</t>
  </si>
  <si>
    <t>15204</t>
  </si>
  <si>
    <t>15205</t>
  </si>
  <si>
    <t>15206</t>
  </si>
  <si>
    <t>15207</t>
  </si>
  <si>
    <t>15208</t>
  </si>
  <si>
    <t>15209</t>
  </si>
  <si>
    <t>15210</t>
  </si>
  <si>
    <t>15211</t>
  </si>
  <si>
    <t>15212</t>
  </si>
  <si>
    <t>15213</t>
  </si>
  <si>
    <t>15214</t>
  </si>
  <si>
    <t>15215</t>
  </si>
  <si>
    <t>15216</t>
  </si>
  <si>
    <t>15217</t>
  </si>
  <si>
    <t>15218</t>
  </si>
  <si>
    <t>15219</t>
  </si>
  <si>
    <t>15220</t>
  </si>
  <si>
    <t>15221</t>
  </si>
  <si>
    <t>15222</t>
  </si>
  <si>
    <t>15223</t>
  </si>
  <si>
    <t>15224</t>
  </si>
  <si>
    <t>15225</t>
  </si>
  <si>
    <t>15226</t>
  </si>
  <si>
    <t>15227</t>
  </si>
  <si>
    <t>15228</t>
  </si>
  <si>
    <t>15229</t>
  </si>
  <si>
    <t>15230</t>
  </si>
  <si>
    <t>15231</t>
  </si>
  <si>
    <t>15232</t>
  </si>
  <si>
    <t>15233</t>
  </si>
  <si>
    <t>15234</t>
  </si>
  <si>
    <t>15235</t>
  </si>
  <si>
    <t>15236</t>
  </si>
  <si>
    <t>15237</t>
  </si>
  <si>
    <t>15238</t>
  </si>
  <si>
    <t>15239</t>
  </si>
  <si>
    <t>15240</t>
  </si>
  <si>
    <t>15241</t>
  </si>
  <si>
    <t>15242</t>
  </si>
  <si>
    <t>15243</t>
  </si>
  <si>
    <t>15244</t>
  </si>
  <si>
    <t>15250</t>
  </si>
  <si>
    <t>15251</t>
  </si>
  <si>
    <t>15252</t>
  </si>
  <si>
    <t>15253</t>
  </si>
  <si>
    <t>15254</t>
  </si>
  <si>
    <t>15255</t>
  </si>
  <si>
    <t>15257</t>
  </si>
  <si>
    <t>15258</t>
  </si>
  <si>
    <t>15259</t>
  </si>
  <si>
    <t>15260</t>
  </si>
  <si>
    <t>15261</t>
  </si>
  <si>
    <t>15262</t>
  </si>
  <si>
    <t>15263</t>
  </si>
  <si>
    <t>15264</t>
  </si>
  <si>
    <t>15265</t>
  </si>
  <si>
    <t>15267</t>
  </si>
  <si>
    <t>15268</t>
  </si>
  <si>
    <t>15270</t>
  </si>
  <si>
    <t>15272</t>
  </si>
  <si>
    <t>15274</t>
  </si>
  <si>
    <t>15275</t>
  </si>
  <si>
    <t>15276</t>
  </si>
  <si>
    <t>15277</t>
  </si>
  <si>
    <t>15278</t>
  </si>
  <si>
    <t>15279</t>
  </si>
  <si>
    <t>15281</t>
  </si>
  <si>
    <t>15282</t>
  </si>
  <si>
    <t>15283</t>
  </si>
  <si>
    <t>15285</t>
  </si>
  <si>
    <t>15286</t>
  </si>
  <si>
    <t>15289</t>
  </si>
  <si>
    <t>15290</t>
  </si>
  <si>
    <t>15295</t>
  </si>
  <si>
    <t>15301</t>
  </si>
  <si>
    <t>441</t>
  </si>
  <si>
    <t>15310</t>
  </si>
  <si>
    <t>443</t>
  </si>
  <si>
    <t>15311</t>
  </si>
  <si>
    <t>15312</t>
  </si>
  <si>
    <t>15313</t>
  </si>
  <si>
    <t>15314</t>
  </si>
  <si>
    <t>15315</t>
  </si>
  <si>
    <t>15316</t>
  </si>
  <si>
    <t>15317</t>
  </si>
  <si>
    <t>15320</t>
  </si>
  <si>
    <t>15321</t>
  </si>
  <si>
    <t>15322</t>
  </si>
  <si>
    <t>15323</t>
  </si>
  <si>
    <t>15324</t>
  </si>
  <si>
    <t>15325</t>
  </si>
  <si>
    <t>15327</t>
  </si>
  <si>
    <t>15329</t>
  </si>
  <si>
    <t>15330</t>
  </si>
  <si>
    <t>15331</t>
  </si>
  <si>
    <t>15332</t>
  </si>
  <si>
    <t>15333</t>
  </si>
  <si>
    <t>15334</t>
  </si>
  <si>
    <t>15336</t>
  </si>
  <si>
    <t>15337</t>
  </si>
  <si>
    <t>15338</t>
  </si>
  <si>
    <t>15339</t>
  </si>
  <si>
    <t>15340</t>
  </si>
  <si>
    <t>15341</t>
  </si>
  <si>
    <t>15342</t>
  </si>
  <si>
    <t>15344</t>
  </si>
  <si>
    <t>15345</t>
  </si>
  <si>
    <t>15346</t>
  </si>
  <si>
    <t>15347</t>
  </si>
  <si>
    <t>15348</t>
  </si>
  <si>
    <t>15349</t>
  </si>
  <si>
    <t>15350</t>
  </si>
  <si>
    <t>15351</t>
  </si>
  <si>
    <t>15352</t>
  </si>
  <si>
    <t>15353</t>
  </si>
  <si>
    <t>15357</t>
  </si>
  <si>
    <t>15358</t>
  </si>
  <si>
    <t>15359</t>
  </si>
  <si>
    <t>15360</t>
  </si>
  <si>
    <t>15361</t>
  </si>
  <si>
    <t>15362</t>
  </si>
  <si>
    <t>15363</t>
  </si>
  <si>
    <t>15364</t>
  </si>
  <si>
    <t>15365</t>
  </si>
  <si>
    <t>15366</t>
  </si>
  <si>
    <t>15367</t>
  </si>
  <si>
    <t>15368</t>
  </si>
  <si>
    <t>15370</t>
  </si>
  <si>
    <t>15376</t>
  </si>
  <si>
    <t>15377</t>
  </si>
  <si>
    <t>15378</t>
  </si>
  <si>
    <t>15379</t>
  </si>
  <si>
    <t>15380</t>
  </si>
  <si>
    <t>15401</t>
  </si>
  <si>
    <t>15410</t>
  </si>
  <si>
    <t>15411</t>
  </si>
  <si>
    <t>15412</t>
  </si>
  <si>
    <t>15413</t>
  </si>
  <si>
    <t>15415</t>
  </si>
  <si>
    <t>15416</t>
  </si>
  <si>
    <t>15417</t>
  </si>
  <si>
    <t>15419</t>
  </si>
  <si>
    <t>15420</t>
  </si>
  <si>
    <t>15421</t>
  </si>
  <si>
    <t>15422</t>
  </si>
  <si>
    <t>15423</t>
  </si>
  <si>
    <t>15424</t>
  </si>
  <si>
    <t>15425</t>
  </si>
  <si>
    <t>15427</t>
  </si>
  <si>
    <t>15428</t>
  </si>
  <si>
    <t>15429</t>
  </si>
  <si>
    <t>15430</t>
  </si>
  <si>
    <t>15431</t>
  </si>
  <si>
    <t>15432</t>
  </si>
  <si>
    <t>15433</t>
  </si>
  <si>
    <t>15434</t>
  </si>
  <si>
    <t>15435</t>
  </si>
  <si>
    <t>15436</t>
  </si>
  <si>
    <t>15437</t>
  </si>
  <si>
    <t>15438</t>
  </si>
  <si>
    <t>15439</t>
  </si>
  <si>
    <t>15440</t>
  </si>
  <si>
    <t>15442</t>
  </si>
  <si>
    <t>15443</t>
  </si>
  <si>
    <t>15444</t>
  </si>
  <si>
    <t>15445</t>
  </si>
  <si>
    <t>15446</t>
  </si>
  <si>
    <t>15447</t>
  </si>
  <si>
    <t>15448</t>
  </si>
  <si>
    <t>15449</t>
  </si>
  <si>
    <t>15450</t>
  </si>
  <si>
    <t>15451</t>
  </si>
  <si>
    <t>15454</t>
  </si>
  <si>
    <t>15455</t>
  </si>
  <si>
    <t>15456</t>
  </si>
  <si>
    <t>15458</t>
  </si>
  <si>
    <t>15459</t>
  </si>
  <si>
    <t>15460</t>
  </si>
  <si>
    <t>15461</t>
  </si>
  <si>
    <t>15462</t>
  </si>
  <si>
    <t>15463</t>
  </si>
  <si>
    <t>15464</t>
  </si>
  <si>
    <t>15465</t>
  </si>
  <si>
    <t>15466</t>
  </si>
  <si>
    <t>15467</t>
  </si>
  <si>
    <t>15468</t>
  </si>
  <si>
    <t>15469</t>
  </si>
  <si>
    <t>15470</t>
  </si>
  <si>
    <t>15472</t>
  </si>
  <si>
    <t>15473</t>
  </si>
  <si>
    <t>15474</t>
  </si>
  <si>
    <t>15475</t>
  </si>
  <si>
    <t>15476</t>
  </si>
  <si>
    <t>15477</t>
  </si>
  <si>
    <t>15478</t>
  </si>
  <si>
    <t>15479</t>
  </si>
  <si>
    <t>15480</t>
  </si>
  <si>
    <t>15482</t>
  </si>
  <si>
    <t>15483</t>
  </si>
  <si>
    <t>15484</t>
  </si>
  <si>
    <t>15485</t>
  </si>
  <si>
    <t>15486</t>
  </si>
  <si>
    <t>15488</t>
  </si>
  <si>
    <t>15489</t>
  </si>
  <si>
    <t>15490</t>
  </si>
  <si>
    <t>15492</t>
  </si>
  <si>
    <t>15501</t>
  </si>
  <si>
    <t>15502</t>
  </si>
  <si>
    <t>15510</t>
  </si>
  <si>
    <t>15520</t>
  </si>
  <si>
    <t>15521</t>
  </si>
  <si>
    <t>449</t>
  </si>
  <si>
    <t>15522</t>
  </si>
  <si>
    <t>15530</t>
  </si>
  <si>
    <t>15531</t>
  </si>
  <si>
    <t>15532</t>
  </si>
  <si>
    <t>15533</t>
  </si>
  <si>
    <t>15534</t>
  </si>
  <si>
    <t>15535</t>
  </si>
  <si>
    <t>15536</t>
  </si>
  <si>
    <t>15537</t>
  </si>
  <si>
    <t>15538</t>
  </si>
  <si>
    <t>15539</t>
  </si>
  <si>
    <t>15540</t>
  </si>
  <si>
    <t>15541</t>
  </si>
  <si>
    <t>15542</t>
  </si>
  <si>
    <t>15544</t>
  </si>
  <si>
    <t>15545</t>
  </si>
  <si>
    <t>15546</t>
  </si>
  <si>
    <t>15547</t>
  </si>
  <si>
    <t>15548</t>
  </si>
  <si>
    <t>15549</t>
  </si>
  <si>
    <t>15550</t>
  </si>
  <si>
    <t>15551</t>
  </si>
  <si>
    <t>15552</t>
  </si>
  <si>
    <t>15553</t>
  </si>
  <si>
    <t>15554</t>
  </si>
  <si>
    <t>15555</t>
  </si>
  <si>
    <t>15557</t>
  </si>
  <si>
    <t>15558</t>
  </si>
  <si>
    <t>15559</t>
  </si>
  <si>
    <t>15560</t>
  </si>
  <si>
    <t>15561</t>
  </si>
  <si>
    <t>15562</t>
  </si>
  <si>
    <t>15563</t>
  </si>
  <si>
    <t>15564</t>
  </si>
  <si>
    <t>15565</t>
  </si>
  <si>
    <t>15601</t>
  </si>
  <si>
    <t>15605</t>
  </si>
  <si>
    <t>15606</t>
  </si>
  <si>
    <t>15610</t>
  </si>
  <si>
    <t>15611</t>
  </si>
  <si>
    <t>15612</t>
  </si>
  <si>
    <t>15613</t>
  </si>
  <si>
    <t>15615</t>
  </si>
  <si>
    <t>15616</t>
  </si>
  <si>
    <t>15617</t>
  </si>
  <si>
    <t>15618</t>
  </si>
  <si>
    <t>15619</t>
  </si>
  <si>
    <t>15620</t>
  </si>
  <si>
    <t>15621</t>
  </si>
  <si>
    <t>15622</t>
  </si>
  <si>
    <t>15623</t>
  </si>
  <si>
    <t>15624</t>
  </si>
  <si>
    <t>15625</t>
  </si>
  <si>
    <t>15626</t>
  </si>
  <si>
    <t>15627</t>
  </si>
  <si>
    <t>15628</t>
  </si>
  <si>
    <t>15629</t>
  </si>
  <si>
    <t>15631</t>
  </si>
  <si>
    <t>15632</t>
  </si>
  <si>
    <t>15633</t>
  </si>
  <si>
    <t>15634</t>
  </si>
  <si>
    <t>15635</t>
  </si>
  <si>
    <t>15636</t>
  </si>
  <si>
    <t>15637</t>
  </si>
  <si>
    <t>15638</t>
  </si>
  <si>
    <t>15639</t>
  </si>
  <si>
    <t>15640</t>
  </si>
  <si>
    <t>15641</t>
  </si>
  <si>
    <t>15642</t>
  </si>
  <si>
    <t>15644</t>
  </si>
  <si>
    <t>15646</t>
  </si>
  <si>
    <t>15647</t>
  </si>
  <si>
    <t>15650</t>
  </si>
  <si>
    <t>15655</t>
  </si>
  <si>
    <t>15656</t>
  </si>
  <si>
    <t>15658</t>
  </si>
  <si>
    <t>15660</t>
  </si>
  <si>
    <t>15661</t>
  </si>
  <si>
    <t>15662</t>
  </si>
  <si>
    <t>15663</t>
  </si>
  <si>
    <t>15664</t>
  </si>
  <si>
    <t>15665</t>
  </si>
  <si>
    <t>15666</t>
  </si>
  <si>
    <t>15668</t>
  </si>
  <si>
    <t>15670</t>
  </si>
  <si>
    <t>15671</t>
  </si>
  <si>
    <t>15672</t>
  </si>
  <si>
    <t>15673</t>
  </si>
  <si>
    <t>15674</t>
  </si>
  <si>
    <t>15675</t>
  </si>
  <si>
    <t>15676</t>
  </si>
  <si>
    <t>15677</t>
  </si>
  <si>
    <t>15678</t>
  </si>
  <si>
    <t>15679</t>
  </si>
  <si>
    <t>15680</t>
  </si>
  <si>
    <t>15681</t>
  </si>
  <si>
    <t>15682</t>
  </si>
  <si>
    <t>15683</t>
  </si>
  <si>
    <t>15684</t>
  </si>
  <si>
    <t>15685</t>
  </si>
  <si>
    <t>15686</t>
  </si>
  <si>
    <t>15687</t>
  </si>
  <si>
    <t>15688</t>
  </si>
  <si>
    <t>15689</t>
  </si>
  <si>
    <t>15690</t>
  </si>
  <si>
    <t>15691</t>
  </si>
  <si>
    <t>15692</t>
  </si>
  <si>
    <t>15693</t>
  </si>
  <si>
    <t>15695</t>
  </si>
  <si>
    <t>15696</t>
  </si>
  <si>
    <t>15697</t>
  </si>
  <si>
    <t>15698</t>
  </si>
  <si>
    <t>15701</t>
  </si>
  <si>
    <t>15705</t>
  </si>
  <si>
    <t>15710</t>
  </si>
  <si>
    <t>15711</t>
  </si>
  <si>
    <t>15712</t>
  </si>
  <si>
    <t>15713</t>
  </si>
  <si>
    <t>15714</t>
  </si>
  <si>
    <t>15715</t>
  </si>
  <si>
    <t>15716</t>
  </si>
  <si>
    <t>15717</t>
  </si>
  <si>
    <t>15720</t>
  </si>
  <si>
    <t>15721</t>
  </si>
  <si>
    <t>15722</t>
  </si>
  <si>
    <t>15723</t>
  </si>
  <si>
    <t>15724</t>
  </si>
  <si>
    <t>15725</t>
  </si>
  <si>
    <t>15727</t>
  </si>
  <si>
    <t>15728</t>
  </si>
  <si>
    <t>15729</t>
  </si>
  <si>
    <t>15730</t>
  </si>
  <si>
    <t>15731</t>
  </si>
  <si>
    <t>15732</t>
  </si>
  <si>
    <t>15733</t>
  </si>
  <si>
    <t>15734</t>
  </si>
  <si>
    <t>15736</t>
  </si>
  <si>
    <t>15737</t>
  </si>
  <si>
    <t>15738</t>
  </si>
  <si>
    <t>15739</t>
  </si>
  <si>
    <t>15741</t>
  </si>
  <si>
    <t>15742</t>
  </si>
  <si>
    <t>15744</t>
  </si>
  <si>
    <t>15745</t>
  </si>
  <si>
    <t>15746</t>
  </si>
  <si>
    <t>15747</t>
  </si>
  <si>
    <t>15748</t>
  </si>
  <si>
    <t>15750</t>
  </si>
  <si>
    <t>15752</t>
  </si>
  <si>
    <t>15753</t>
  </si>
  <si>
    <t>15754</t>
  </si>
  <si>
    <t>15756</t>
  </si>
  <si>
    <t>15757</t>
  </si>
  <si>
    <t>15758</t>
  </si>
  <si>
    <t>15759</t>
  </si>
  <si>
    <t>15760</t>
  </si>
  <si>
    <t>15761</t>
  </si>
  <si>
    <t>15762</t>
  </si>
  <si>
    <t>15763</t>
  </si>
  <si>
    <t>15764</t>
  </si>
  <si>
    <t>15765</t>
  </si>
  <si>
    <t>15767</t>
  </si>
  <si>
    <t>15770</t>
  </si>
  <si>
    <t>15771</t>
  </si>
  <si>
    <t>15772</t>
  </si>
  <si>
    <t>15773</t>
  </si>
  <si>
    <t>15774</t>
  </si>
  <si>
    <t>15775</t>
  </si>
  <si>
    <t>15776</t>
  </si>
  <si>
    <t>15777</t>
  </si>
  <si>
    <t>15778</t>
  </si>
  <si>
    <t>15779</t>
  </si>
  <si>
    <t>15780</t>
  </si>
  <si>
    <t>15781</t>
  </si>
  <si>
    <t>15783</t>
  </si>
  <si>
    <t>15784</t>
  </si>
  <si>
    <t>15801</t>
  </si>
  <si>
    <t>15821</t>
  </si>
  <si>
    <t>15822</t>
  </si>
  <si>
    <t>15823</t>
  </si>
  <si>
    <t>15824</t>
  </si>
  <si>
    <t>15825</t>
  </si>
  <si>
    <t>15827</t>
  </si>
  <si>
    <t>15828</t>
  </si>
  <si>
    <t>15829</t>
  </si>
  <si>
    <t>15831</t>
  </si>
  <si>
    <t>15832</t>
  </si>
  <si>
    <t>15834</t>
  </si>
  <si>
    <t>15840</t>
  </si>
  <si>
    <t>15841</t>
  </si>
  <si>
    <t>15845</t>
  </si>
  <si>
    <t>15846</t>
  </si>
  <si>
    <t>15847</t>
  </si>
  <si>
    <t>15848</t>
  </si>
  <si>
    <t>15849</t>
  </si>
  <si>
    <t>15851</t>
  </si>
  <si>
    <t>15853</t>
  </si>
  <si>
    <t>15856</t>
  </si>
  <si>
    <t>15857</t>
  </si>
  <si>
    <t>15860</t>
  </si>
  <si>
    <t>15861</t>
  </si>
  <si>
    <t>15863</t>
  </si>
  <si>
    <t>15864</t>
  </si>
  <si>
    <t>15865</t>
  </si>
  <si>
    <t>15866</t>
  </si>
  <si>
    <t>15868</t>
  </si>
  <si>
    <t>15870</t>
  </si>
  <si>
    <t>15901</t>
  </si>
  <si>
    <t>15902</t>
  </si>
  <si>
    <t>15904</t>
  </si>
  <si>
    <t>15905</t>
  </si>
  <si>
    <t>15906</t>
  </si>
  <si>
    <t>15907</t>
  </si>
  <si>
    <t>15909</t>
  </si>
  <si>
    <t>15920</t>
  </si>
  <si>
    <t>15921</t>
  </si>
  <si>
    <t>15922</t>
  </si>
  <si>
    <t>15923</t>
  </si>
  <si>
    <t>15924</t>
  </si>
  <si>
    <t>15925</t>
  </si>
  <si>
    <t>15926</t>
  </si>
  <si>
    <t>15927</t>
  </si>
  <si>
    <t>15928</t>
  </si>
  <si>
    <t>15929</t>
  </si>
  <si>
    <t>15930</t>
  </si>
  <si>
    <t>15931</t>
  </si>
  <si>
    <t>15934</t>
  </si>
  <si>
    <t>15935</t>
  </si>
  <si>
    <t>15936</t>
  </si>
  <si>
    <t>15937</t>
  </si>
  <si>
    <t>15938</t>
  </si>
  <si>
    <t>15940</t>
  </si>
  <si>
    <t>15942</t>
  </si>
  <si>
    <t>15943</t>
  </si>
  <si>
    <t>15944</t>
  </si>
  <si>
    <t>15945</t>
  </si>
  <si>
    <t>15946</t>
  </si>
  <si>
    <t>15948</t>
  </si>
  <si>
    <t>15949</t>
  </si>
  <si>
    <t>15951</t>
  </si>
  <si>
    <t>15952</t>
  </si>
  <si>
    <t>15953</t>
  </si>
  <si>
    <t>15954</t>
  </si>
  <si>
    <t>15955</t>
  </si>
  <si>
    <t>15956</t>
  </si>
  <si>
    <t>15957</t>
  </si>
  <si>
    <t>15958</t>
  </si>
  <si>
    <t>15959</t>
  </si>
  <si>
    <t>15960</t>
  </si>
  <si>
    <t>15961</t>
  </si>
  <si>
    <t>15962</t>
  </si>
  <si>
    <t>15963</t>
  </si>
  <si>
    <t>16001</t>
  </si>
  <si>
    <t>16002</t>
  </si>
  <si>
    <t>16003</t>
  </si>
  <si>
    <t>16016</t>
  </si>
  <si>
    <t>16017</t>
  </si>
  <si>
    <t>16018</t>
  </si>
  <si>
    <t>16020</t>
  </si>
  <si>
    <t>16021</t>
  </si>
  <si>
    <t>16022</t>
  </si>
  <si>
    <t>16023</t>
  </si>
  <si>
    <t>16024</t>
  </si>
  <si>
    <t>16025</t>
  </si>
  <si>
    <t>16027</t>
  </si>
  <si>
    <t>16028</t>
  </si>
  <si>
    <t>16029</t>
  </si>
  <si>
    <t>16030</t>
  </si>
  <si>
    <t>16033</t>
  </si>
  <si>
    <t>16034</t>
  </si>
  <si>
    <t>16035</t>
  </si>
  <si>
    <t>16036</t>
  </si>
  <si>
    <t>16037</t>
  </si>
  <si>
    <t>16038</t>
  </si>
  <si>
    <t>16039</t>
  </si>
  <si>
    <t>16040</t>
  </si>
  <si>
    <t>16041</t>
  </si>
  <si>
    <t>16045</t>
  </si>
  <si>
    <t>16046</t>
  </si>
  <si>
    <t>16048</t>
  </si>
  <si>
    <t>16049</t>
  </si>
  <si>
    <t>16050</t>
  </si>
  <si>
    <t>16051</t>
  </si>
  <si>
    <t>16052</t>
  </si>
  <si>
    <t>16053</t>
  </si>
  <si>
    <t>16054</t>
  </si>
  <si>
    <t>16055</t>
  </si>
  <si>
    <t>16056</t>
  </si>
  <si>
    <t>16057</t>
  </si>
  <si>
    <t>16058</t>
  </si>
  <si>
    <t>16059</t>
  </si>
  <si>
    <t>16061</t>
  </si>
  <si>
    <t>16063</t>
  </si>
  <si>
    <t>16066</t>
  </si>
  <si>
    <t>16101</t>
  </si>
  <si>
    <t>16102</t>
  </si>
  <si>
    <t>16103</t>
  </si>
  <si>
    <t>16105</t>
  </si>
  <si>
    <t>16107</t>
  </si>
  <si>
    <t>16108</t>
  </si>
  <si>
    <t>16110</t>
  </si>
  <si>
    <t>16111</t>
  </si>
  <si>
    <t>16112</t>
  </si>
  <si>
    <t>16113</t>
  </si>
  <si>
    <t>16114</t>
  </si>
  <si>
    <t>16115</t>
  </si>
  <si>
    <t>440</t>
  </si>
  <si>
    <t>16116</t>
  </si>
  <si>
    <t>16117</t>
  </si>
  <si>
    <t>16120</t>
  </si>
  <si>
    <t>16121</t>
  </si>
  <si>
    <t>16123</t>
  </si>
  <si>
    <t>16124</t>
  </si>
  <si>
    <t>16125</t>
  </si>
  <si>
    <t>16127</t>
  </si>
  <si>
    <t>16130</t>
  </si>
  <si>
    <t>16131</t>
  </si>
  <si>
    <t>16132</t>
  </si>
  <si>
    <t>16133</t>
  </si>
  <si>
    <t>16134</t>
  </si>
  <si>
    <t>16136</t>
  </si>
  <si>
    <t>16137</t>
  </si>
  <si>
    <t>16140</t>
  </si>
  <si>
    <t>16141</t>
  </si>
  <si>
    <t>16142</t>
  </si>
  <si>
    <t>16143</t>
  </si>
  <si>
    <t>16145</t>
  </si>
  <si>
    <t>16146</t>
  </si>
  <si>
    <t>16148</t>
  </si>
  <si>
    <t>16150</t>
  </si>
  <si>
    <t>16151</t>
  </si>
  <si>
    <t>16153</t>
  </si>
  <si>
    <t>16154</t>
  </si>
  <si>
    <t>16155</t>
  </si>
  <si>
    <t>16156</t>
  </si>
  <si>
    <t>16157</t>
  </si>
  <si>
    <t>16159</t>
  </si>
  <si>
    <t>16160</t>
  </si>
  <si>
    <t>16161</t>
  </si>
  <si>
    <t>16172</t>
  </si>
  <si>
    <t>16201</t>
  </si>
  <si>
    <t>16210</t>
  </si>
  <si>
    <t>16211</t>
  </si>
  <si>
    <t>16212</t>
  </si>
  <si>
    <t>16213</t>
  </si>
  <si>
    <t>16214</t>
  </si>
  <si>
    <t>16215</t>
  </si>
  <si>
    <t>16217</t>
  </si>
  <si>
    <t>16218</t>
  </si>
  <si>
    <t>16220</t>
  </si>
  <si>
    <t>16221</t>
  </si>
  <si>
    <t>16222</t>
  </si>
  <si>
    <t>16223</t>
  </si>
  <si>
    <t>16224</t>
  </si>
  <si>
    <t>16225</t>
  </si>
  <si>
    <t>16226</t>
  </si>
  <si>
    <t>16228</t>
  </si>
  <si>
    <t>16229</t>
  </si>
  <si>
    <t>16230</t>
  </si>
  <si>
    <t>16232</t>
  </si>
  <si>
    <t>16233</t>
  </si>
  <si>
    <t>16234</t>
  </si>
  <si>
    <t>16235</t>
  </si>
  <si>
    <t>16236</t>
  </si>
  <si>
    <t>16238</t>
  </si>
  <si>
    <t>16239</t>
  </si>
  <si>
    <t>16240</t>
  </si>
  <si>
    <t>16242</t>
  </si>
  <si>
    <t>16244</t>
  </si>
  <si>
    <t>16245</t>
  </si>
  <si>
    <t>16246</t>
  </si>
  <si>
    <t>16248</t>
  </si>
  <si>
    <t>16249</t>
  </si>
  <si>
    <t>16250</t>
  </si>
  <si>
    <t>16253</t>
  </si>
  <si>
    <t>16254</t>
  </si>
  <si>
    <t>16255</t>
  </si>
  <si>
    <t>16256</t>
  </si>
  <si>
    <t>16257</t>
  </si>
  <si>
    <t>16258</t>
  </si>
  <si>
    <t>16259</t>
  </si>
  <si>
    <t>16260</t>
  </si>
  <si>
    <t>16261</t>
  </si>
  <si>
    <t>16262</t>
  </si>
  <si>
    <t>16263</t>
  </si>
  <si>
    <t>16301</t>
  </si>
  <si>
    <t>16311</t>
  </si>
  <si>
    <t>16312</t>
  </si>
  <si>
    <t>16313</t>
  </si>
  <si>
    <t>16314</t>
  </si>
  <si>
    <t>16316</t>
  </si>
  <si>
    <t>16317</t>
  </si>
  <si>
    <t>16319</t>
  </si>
  <si>
    <t>16321</t>
  </si>
  <si>
    <t>16322</t>
  </si>
  <si>
    <t>16323</t>
  </si>
  <si>
    <t>16326</t>
  </si>
  <si>
    <t>16327</t>
  </si>
  <si>
    <t>16328</t>
  </si>
  <si>
    <t>16329</t>
  </si>
  <si>
    <t>16331</t>
  </si>
  <si>
    <t>16332</t>
  </si>
  <si>
    <t>16333</t>
  </si>
  <si>
    <t>16334</t>
  </si>
  <si>
    <t>16335</t>
  </si>
  <si>
    <t>16340</t>
  </si>
  <si>
    <t>16341</t>
  </si>
  <si>
    <t>16342</t>
  </si>
  <si>
    <t>16343</t>
  </si>
  <si>
    <t>16344</t>
  </si>
  <si>
    <t>16345</t>
  </si>
  <si>
    <t>16346</t>
  </si>
  <si>
    <t>16347</t>
  </si>
  <si>
    <t>16350</t>
  </si>
  <si>
    <t>16351</t>
  </si>
  <si>
    <t>16352</t>
  </si>
  <si>
    <t>16353</t>
  </si>
  <si>
    <t>16354</t>
  </si>
  <si>
    <t>16360</t>
  </si>
  <si>
    <t>16361</t>
  </si>
  <si>
    <t>16362</t>
  </si>
  <si>
    <t>16364</t>
  </si>
  <si>
    <t>16365</t>
  </si>
  <si>
    <t>16366</t>
  </si>
  <si>
    <t>16367</t>
  </si>
  <si>
    <t>16368</t>
  </si>
  <si>
    <t>16369</t>
  </si>
  <si>
    <t>16370</t>
  </si>
  <si>
    <t>16371</t>
  </si>
  <si>
    <t>16372</t>
  </si>
  <si>
    <t>16373</t>
  </si>
  <si>
    <t>16374</t>
  </si>
  <si>
    <t>16375</t>
  </si>
  <si>
    <t>16388</t>
  </si>
  <si>
    <t>16401</t>
  </si>
  <si>
    <t>437</t>
  </si>
  <si>
    <t>16402</t>
  </si>
  <si>
    <t>16403</t>
  </si>
  <si>
    <t>16404</t>
  </si>
  <si>
    <t>16405</t>
  </si>
  <si>
    <t>16406</t>
  </si>
  <si>
    <t>16407</t>
  </si>
  <si>
    <t>16410</t>
  </si>
  <si>
    <t>16411</t>
  </si>
  <si>
    <t>16412</t>
  </si>
  <si>
    <t>16413</t>
  </si>
  <si>
    <t>16415</t>
  </si>
  <si>
    <t>16416</t>
  </si>
  <si>
    <t>16417</t>
  </si>
  <si>
    <t>16420</t>
  </si>
  <si>
    <t>16421</t>
  </si>
  <si>
    <t>16422</t>
  </si>
  <si>
    <t>16423</t>
  </si>
  <si>
    <t>16424</t>
  </si>
  <si>
    <t>16426</t>
  </si>
  <si>
    <t>16427</t>
  </si>
  <si>
    <t>16428</t>
  </si>
  <si>
    <t>16430</t>
  </si>
  <si>
    <t>16432</t>
  </si>
  <si>
    <t>16433</t>
  </si>
  <si>
    <t>16434</t>
  </si>
  <si>
    <t>16435</t>
  </si>
  <si>
    <t>16436</t>
  </si>
  <si>
    <t>16438</t>
  </si>
  <si>
    <t>16440</t>
  </si>
  <si>
    <t>16441</t>
  </si>
  <si>
    <t>16442</t>
  </si>
  <si>
    <t>16443</t>
  </si>
  <si>
    <t>16444</t>
  </si>
  <si>
    <t>16475</t>
  </si>
  <si>
    <t>16501</t>
  </si>
  <si>
    <t>436</t>
  </si>
  <si>
    <t>16502</t>
  </si>
  <si>
    <t>16503</t>
  </si>
  <si>
    <t>16504</t>
  </si>
  <si>
    <t>16505</t>
  </si>
  <si>
    <t>16506</t>
  </si>
  <si>
    <t>16507</t>
  </si>
  <si>
    <t>16508</t>
  </si>
  <si>
    <t>16509</t>
  </si>
  <si>
    <t>16510</t>
  </si>
  <si>
    <t>16511</t>
  </si>
  <si>
    <t>16512</t>
  </si>
  <si>
    <t>16514</t>
  </si>
  <si>
    <t>16515</t>
  </si>
  <si>
    <t>16522</t>
  </si>
  <si>
    <t>16530</t>
  </si>
  <si>
    <t>16531</t>
  </si>
  <si>
    <t>16532</t>
  </si>
  <si>
    <t>16533</t>
  </si>
  <si>
    <t>16534</t>
  </si>
  <si>
    <t>16538</t>
  </si>
  <si>
    <t>16541</t>
  </si>
  <si>
    <t>16544</t>
  </si>
  <si>
    <t>16546</t>
  </si>
  <si>
    <t>16550</t>
  </si>
  <si>
    <t>16553</t>
  </si>
  <si>
    <t>16554</t>
  </si>
  <si>
    <t>16563</t>
  </si>
  <si>
    <t>16565</t>
  </si>
  <si>
    <t>16601</t>
  </si>
  <si>
    <t>16602</t>
  </si>
  <si>
    <t>16603</t>
  </si>
  <si>
    <t>16611</t>
  </si>
  <si>
    <t>16613</t>
  </si>
  <si>
    <t>16616</t>
  </si>
  <si>
    <t>16617</t>
  </si>
  <si>
    <t>16619</t>
  </si>
  <si>
    <t>16620</t>
  </si>
  <si>
    <t>16621</t>
  </si>
  <si>
    <t>16622</t>
  </si>
  <si>
    <t>16623</t>
  </si>
  <si>
    <t>16624</t>
  </si>
  <si>
    <t>16625</t>
  </si>
  <si>
    <t>16627</t>
  </si>
  <si>
    <t>16629</t>
  </si>
  <si>
    <t>16630</t>
  </si>
  <si>
    <t>16631</t>
  </si>
  <si>
    <t>16633</t>
  </si>
  <si>
    <t>16634</t>
  </si>
  <si>
    <t>16635</t>
  </si>
  <si>
    <t>16636</t>
  </si>
  <si>
    <t>16637</t>
  </si>
  <si>
    <t>16638</t>
  </si>
  <si>
    <t>16639</t>
  </si>
  <si>
    <t>16640</t>
  </si>
  <si>
    <t>16641</t>
  </si>
  <si>
    <t>16644</t>
  </si>
  <si>
    <t>16645</t>
  </si>
  <si>
    <t>16646</t>
  </si>
  <si>
    <t>16647</t>
  </si>
  <si>
    <t>16648</t>
  </si>
  <si>
    <t>16650</t>
  </si>
  <si>
    <t>16651</t>
  </si>
  <si>
    <t>16652</t>
  </si>
  <si>
    <t>16654</t>
  </si>
  <si>
    <t>16655</t>
  </si>
  <si>
    <t>16656</t>
  </si>
  <si>
    <t>16657</t>
  </si>
  <si>
    <t>16659</t>
  </si>
  <si>
    <t>16660</t>
  </si>
  <si>
    <t>16661</t>
  </si>
  <si>
    <t>16662</t>
  </si>
  <si>
    <t>16663</t>
  </si>
  <si>
    <t>16664</t>
  </si>
  <si>
    <t>16665</t>
  </si>
  <si>
    <t>16666</t>
  </si>
  <si>
    <t>16667</t>
  </si>
  <si>
    <t>16668</t>
  </si>
  <si>
    <t>16669</t>
  </si>
  <si>
    <t>16670</t>
  </si>
  <si>
    <t>16671</t>
  </si>
  <si>
    <t>16672</t>
  </si>
  <si>
    <t>16673</t>
  </si>
  <si>
    <t>16674</t>
  </si>
  <si>
    <t>16675</t>
  </si>
  <si>
    <t>16677</t>
  </si>
  <si>
    <t>16678</t>
  </si>
  <si>
    <t>16679</t>
  </si>
  <si>
    <t>16680</t>
  </si>
  <si>
    <t>16681</t>
  </si>
  <si>
    <t>16682</t>
  </si>
  <si>
    <t>16683</t>
  </si>
  <si>
    <t>16684</t>
  </si>
  <si>
    <t>16685</t>
  </si>
  <si>
    <t>16686</t>
  </si>
  <si>
    <t>16689</t>
  </si>
  <si>
    <t>16691</t>
  </si>
  <si>
    <t>16692</t>
  </si>
  <si>
    <t>16693</t>
  </si>
  <si>
    <t>16694</t>
  </si>
  <si>
    <t>16695</t>
  </si>
  <si>
    <t>16698</t>
  </si>
  <si>
    <t>16699</t>
  </si>
  <si>
    <t>16701</t>
  </si>
  <si>
    <t>16720</t>
  </si>
  <si>
    <t>16724</t>
  </si>
  <si>
    <t>16725</t>
  </si>
  <si>
    <t>16726</t>
  </si>
  <si>
    <t>16727</t>
  </si>
  <si>
    <t>16728</t>
  </si>
  <si>
    <t>16729</t>
  </si>
  <si>
    <t>16730</t>
  </si>
  <si>
    <t>16731</t>
  </si>
  <si>
    <t>16732</t>
  </si>
  <si>
    <t>16733</t>
  </si>
  <si>
    <t>16734</t>
  </si>
  <si>
    <t>16735</t>
  </si>
  <si>
    <t>16738</t>
  </si>
  <si>
    <t>16740</t>
  </si>
  <si>
    <t>16743</t>
  </si>
  <si>
    <t>16744</t>
  </si>
  <si>
    <t>16745</t>
  </si>
  <si>
    <t>16746</t>
  </si>
  <si>
    <t>16748</t>
  </si>
  <si>
    <t>16749</t>
  </si>
  <si>
    <t>16750</t>
  </si>
  <si>
    <t>16801</t>
  </si>
  <si>
    <t>16802</t>
  </si>
  <si>
    <t>16803</t>
  </si>
  <si>
    <t>16804</t>
  </si>
  <si>
    <t>16805</t>
  </si>
  <si>
    <t>16820</t>
  </si>
  <si>
    <t>16821</t>
  </si>
  <si>
    <t>16822</t>
  </si>
  <si>
    <t>16823</t>
  </si>
  <si>
    <t>16825</t>
  </si>
  <si>
    <t>16826</t>
  </si>
  <si>
    <t>16827</t>
  </si>
  <si>
    <t>16828</t>
  </si>
  <si>
    <t>16829</t>
  </si>
  <si>
    <t>16830</t>
  </si>
  <si>
    <t>16832</t>
  </si>
  <si>
    <t>16833</t>
  </si>
  <si>
    <t>16834</t>
  </si>
  <si>
    <t>16835</t>
  </si>
  <si>
    <t>16836</t>
  </si>
  <si>
    <t>16837</t>
  </si>
  <si>
    <t>16838</t>
  </si>
  <si>
    <t>16839</t>
  </si>
  <si>
    <t>16840</t>
  </si>
  <si>
    <t>16841</t>
  </si>
  <si>
    <t>16843</t>
  </si>
  <si>
    <t>16844</t>
  </si>
  <si>
    <t>16845</t>
  </si>
  <si>
    <t>16847</t>
  </si>
  <si>
    <t>16848</t>
  </si>
  <si>
    <t>16849</t>
  </si>
  <si>
    <t>16850</t>
  </si>
  <si>
    <t>16851</t>
  </si>
  <si>
    <t>16852</t>
  </si>
  <si>
    <t>16853</t>
  </si>
  <si>
    <t>16854</t>
  </si>
  <si>
    <t>16855</t>
  </si>
  <si>
    <t>16856</t>
  </si>
  <si>
    <t>16858</t>
  </si>
  <si>
    <t>16859</t>
  </si>
  <si>
    <t>16860</t>
  </si>
  <si>
    <t>16861</t>
  </si>
  <si>
    <t>16863</t>
  </si>
  <si>
    <t>16864</t>
  </si>
  <si>
    <t>16865</t>
  </si>
  <si>
    <t>16866</t>
  </si>
  <si>
    <t>16868</t>
  </si>
  <si>
    <t>16870</t>
  </si>
  <si>
    <t>16871</t>
  </si>
  <si>
    <t>16872</t>
  </si>
  <si>
    <t>16873</t>
  </si>
  <si>
    <t>16874</t>
  </si>
  <si>
    <t>16875</t>
  </si>
  <si>
    <t>16876</t>
  </si>
  <si>
    <t>16877</t>
  </si>
  <si>
    <t>16878</t>
  </si>
  <si>
    <t>16879</t>
  </si>
  <si>
    <t>16881</t>
  </si>
  <si>
    <t>16882</t>
  </si>
  <si>
    <t>16901</t>
  </si>
  <si>
    <t>16910</t>
  </si>
  <si>
    <t>16911</t>
  </si>
  <si>
    <t>16912</t>
  </si>
  <si>
    <t>16914</t>
  </si>
  <si>
    <t>16915</t>
  </si>
  <si>
    <t>16917</t>
  </si>
  <si>
    <t>16920</t>
  </si>
  <si>
    <t>16921</t>
  </si>
  <si>
    <t>16922</t>
  </si>
  <si>
    <t>16923</t>
  </si>
  <si>
    <t>16925</t>
  </si>
  <si>
    <t>16926</t>
  </si>
  <si>
    <t>16927</t>
  </si>
  <si>
    <t>16928</t>
  </si>
  <si>
    <t>16929</t>
  </si>
  <si>
    <t>16930</t>
  </si>
  <si>
    <t>16932</t>
  </si>
  <si>
    <t>16933</t>
  </si>
  <si>
    <t>16935</t>
  </si>
  <si>
    <t>16936</t>
  </si>
  <si>
    <t>16937</t>
  </si>
  <si>
    <t>16938</t>
  </si>
  <si>
    <t>16939</t>
  </si>
  <si>
    <t>16940</t>
  </si>
  <si>
    <t>16941</t>
  </si>
  <si>
    <t>16942</t>
  </si>
  <si>
    <t>16943</t>
  </si>
  <si>
    <t>16945</t>
  </si>
  <si>
    <t>16946</t>
  </si>
  <si>
    <t>16947</t>
  </si>
  <si>
    <t>16948</t>
  </si>
  <si>
    <t>16950</t>
  </si>
  <si>
    <t>17001</t>
  </si>
  <si>
    <t>433</t>
  </si>
  <si>
    <t>17002</t>
  </si>
  <si>
    <t>17003</t>
  </si>
  <si>
    <t>17004</t>
  </si>
  <si>
    <t>17005</t>
  </si>
  <si>
    <t>17006</t>
  </si>
  <si>
    <t>17007</t>
  </si>
  <si>
    <t>17008</t>
  </si>
  <si>
    <t>17009</t>
  </si>
  <si>
    <t>17010</t>
  </si>
  <si>
    <t>17011</t>
  </si>
  <si>
    <t>17012</t>
  </si>
  <si>
    <t>17013</t>
  </si>
  <si>
    <t>17014</t>
  </si>
  <si>
    <t>17015</t>
  </si>
  <si>
    <t>17016</t>
  </si>
  <si>
    <t>17017</t>
  </si>
  <si>
    <t>17018</t>
  </si>
  <si>
    <t>17019</t>
  </si>
  <si>
    <t>17020</t>
  </si>
  <si>
    <t>17021</t>
  </si>
  <si>
    <t>17022</t>
  </si>
  <si>
    <t>432</t>
  </si>
  <si>
    <t>17023</t>
  </si>
  <si>
    <t>17024</t>
  </si>
  <si>
    <t>17025</t>
  </si>
  <si>
    <t>17026</t>
  </si>
  <si>
    <t>17027</t>
  </si>
  <si>
    <t>17028</t>
  </si>
  <si>
    <t>17029</t>
  </si>
  <si>
    <t>17030</t>
  </si>
  <si>
    <t>17032</t>
  </si>
  <si>
    <t>17033</t>
  </si>
  <si>
    <t>17034</t>
  </si>
  <si>
    <t>17035</t>
  </si>
  <si>
    <t>17036</t>
  </si>
  <si>
    <t>17037</t>
  </si>
  <si>
    <t>17038</t>
  </si>
  <si>
    <t>17039</t>
  </si>
  <si>
    <t>17040</t>
  </si>
  <si>
    <t>17041</t>
  </si>
  <si>
    <t>17042</t>
  </si>
  <si>
    <t>17043</t>
  </si>
  <si>
    <t>17044</t>
  </si>
  <si>
    <t>17045</t>
  </si>
  <si>
    <t>17046</t>
  </si>
  <si>
    <t>17047</t>
  </si>
  <si>
    <t>17048</t>
  </si>
  <si>
    <t>17049</t>
  </si>
  <si>
    <t>17050</t>
  </si>
  <si>
    <t>17051</t>
  </si>
  <si>
    <t>17052</t>
  </si>
  <si>
    <t>17053</t>
  </si>
  <si>
    <t>17054</t>
  </si>
  <si>
    <t>17055</t>
  </si>
  <si>
    <t>17056</t>
  </si>
  <si>
    <t>17057</t>
  </si>
  <si>
    <t>17058</t>
  </si>
  <si>
    <t>17059</t>
  </si>
  <si>
    <t>17060</t>
  </si>
  <si>
    <t>17061</t>
  </si>
  <si>
    <t>17062</t>
  </si>
  <si>
    <t>17063</t>
  </si>
  <si>
    <t>17064</t>
  </si>
  <si>
    <t>17065</t>
  </si>
  <si>
    <t>17066</t>
  </si>
  <si>
    <t>17067</t>
  </si>
  <si>
    <t>17068</t>
  </si>
  <si>
    <t>17069</t>
  </si>
  <si>
    <t>17070</t>
  </si>
  <si>
    <t>17071</t>
  </si>
  <si>
    <t>17072</t>
  </si>
  <si>
    <t>17073</t>
  </si>
  <si>
    <t>17074</t>
  </si>
  <si>
    <t>17075</t>
  </si>
  <si>
    <t>17076</t>
  </si>
  <si>
    <t>17077</t>
  </si>
  <si>
    <t>17078</t>
  </si>
  <si>
    <t>17080</t>
  </si>
  <si>
    <t>17081</t>
  </si>
  <si>
    <t>17082</t>
  </si>
  <si>
    <t>17083</t>
  </si>
  <si>
    <t>17084</t>
  </si>
  <si>
    <t>17085</t>
  </si>
  <si>
    <t>17086</t>
  </si>
  <si>
    <t>17087</t>
  </si>
  <si>
    <t>17088</t>
  </si>
  <si>
    <t>17089</t>
  </si>
  <si>
    <t>17090</t>
  </si>
  <si>
    <t>17091</t>
  </si>
  <si>
    <t>17093</t>
  </si>
  <si>
    <t>17094</t>
  </si>
  <si>
    <t>17097</t>
  </si>
  <si>
    <t>17098</t>
  </si>
  <si>
    <t>17099</t>
  </si>
  <si>
    <t>17101</t>
  </si>
  <si>
    <t>17102</t>
  </si>
  <si>
    <t>17103</t>
  </si>
  <si>
    <t>17104</t>
  </si>
  <si>
    <t>17105</t>
  </si>
  <si>
    <t>17106</t>
  </si>
  <si>
    <t>17107</t>
  </si>
  <si>
    <t>17108</t>
  </si>
  <si>
    <t>17109</t>
  </si>
  <si>
    <t>17110</t>
  </si>
  <si>
    <t>17111</t>
  </si>
  <si>
    <t>17112</t>
  </si>
  <si>
    <t>17113</t>
  </si>
  <si>
    <t>17120</t>
  </si>
  <si>
    <t>17121</t>
  </si>
  <si>
    <t>17122</t>
  </si>
  <si>
    <t>17123</t>
  </si>
  <si>
    <t>17124</t>
  </si>
  <si>
    <t>17125</t>
  </si>
  <si>
    <t>17126</t>
  </si>
  <si>
    <t>17127</t>
  </si>
  <si>
    <t>17128</t>
  </si>
  <si>
    <t>17129</t>
  </si>
  <si>
    <t>17130</t>
  </si>
  <si>
    <t>17140</t>
  </si>
  <si>
    <t>17177</t>
  </si>
  <si>
    <t>17201</t>
  </si>
  <si>
    <t>17202</t>
  </si>
  <si>
    <t>17210</t>
  </si>
  <si>
    <t>17211</t>
  </si>
  <si>
    <t>17212</t>
  </si>
  <si>
    <t>17213</t>
  </si>
  <si>
    <t>17214</t>
  </si>
  <si>
    <t>17215</t>
  </si>
  <si>
    <t>17217</t>
  </si>
  <si>
    <t>17219</t>
  </si>
  <si>
    <t>17220</t>
  </si>
  <si>
    <t>17221</t>
  </si>
  <si>
    <t>17222</t>
  </si>
  <si>
    <t>17223</t>
  </si>
  <si>
    <t>17224</t>
  </si>
  <si>
    <t>17225</t>
  </si>
  <si>
    <t>17228</t>
  </si>
  <si>
    <t>17229</t>
  </si>
  <si>
    <t>17231</t>
  </si>
  <si>
    <t>17232</t>
  </si>
  <si>
    <t>17233</t>
  </si>
  <si>
    <t>17235</t>
  </si>
  <si>
    <t>17236</t>
  </si>
  <si>
    <t>17237</t>
  </si>
  <si>
    <t>17238</t>
  </si>
  <si>
    <t>17239</t>
  </si>
  <si>
    <t>17240</t>
  </si>
  <si>
    <t>17241</t>
  </si>
  <si>
    <t>17243</t>
  </si>
  <si>
    <t>17244</t>
  </si>
  <si>
    <t>17246</t>
  </si>
  <si>
    <t>17247</t>
  </si>
  <si>
    <t>17249</t>
  </si>
  <si>
    <t>17250</t>
  </si>
  <si>
    <t>17251</t>
  </si>
  <si>
    <t>17252</t>
  </si>
  <si>
    <t>17253</t>
  </si>
  <si>
    <t>17254</t>
  </si>
  <si>
    <t>17255</t>
  </si>
  <si>
    <t>17256</t>
  </si>
  <si>
    <t>17257</t>
  </si>
  <si>
    <t>17260</t>
  </si>
  <si>
    <t>17261</t>
  </si>
  <si>
    <t>17262</t>
  </si>
  <si>
    <t>17263</t>
  </si>
  <si>
    <t>17264</t>
  </si>
  <si>
    <t>17265</t>
  </si>
  <si>
    <t>17266</t>
  </si>
  <si>
    <t>17267</t>
  </si>
  <si>
    <t>17268</t>
  </si>
  <si>
    <t>17270</t>
  </si>
  <si>
    <t>17271</t>
  </si>
  <si>
    <t>17272</t>
  </si>
  <si>
    <t>17301</t>
  </si>
  <si>
    <t>17302</t>
  </si>
  <si>
    <t>17303</t>
  </si>
  <si>
    <t>17304</t>
  </si>
  <si>
    <t>17306</t>
  </si>
  <si>
    <t>17307</t>
  </si>
  <si>
    <t>17309</t>
  </si>
  <si>
    <t>17310</t>
  </si>
  <si>
    <t>17311</t>
  </si>
  <si>
    <t>17312</t>
  </si>
  <si>
    <t>17313</t>
  </si>
  <si>
    <t>17314</t>
  </si>
  <si>
    <t>17315</t>
  </si>
  <si>
    <t>17316</t>
  </si>
  <si>
    <t>17317</t>
  </si>
  <si>
    <t>17318</t>
  </si>
  <si>
    <t>451</t>
  </si>
  <si>
    <t>17319</t>
  </si>
  <si>
    <t>17320</t>
  </si>
  <si>
    <t>17321</t>
  </si>
  <si>
    <t>17322</t>
  </si>
  <si>
    <t>17323</t>
  </si>
  <si>
    <t>17324</t>
  </si>
  <si>
    <t>17325</t>
  </si>
  <si>
    <t>17326</t>
  </si>
  <si>
    <t>17327</t>
  </si>
  <si>
    <t>17329</t>
  </si>
  <si>
    <t>17331</t>
  </si>
  <si>
    <t>17332</t>
  </si>
  <si>
    <t>17333</t>
  </si>
  <si>
    <t>17334</t>
  </si>
  <si>
    <t>17337</t>
  </si>
  <si>
    <t>17339</t>
  </si>
  <si>
    <t>17340</t>
  </si>
  <si>
    <t>17342</t>
  </si>
  <si>
    <t>17343</t>
  </si>
  <si>
    <t>17344</t>
  </si>
  <si>
    <t>17345</t>
  </si>
  <si>
    <t>17347</t>
  </si>
  <si>
    <t>17349</t>
  </si>
  <si>
    <t>17350</t>
  </si>
  <si>
    <t>17352</t>
  </si>
  <si>
    <t>17353</t>
  </si>
  <si>
    <t>17354</t>
  </si>
  <si>
    <t>17355</t>
  </si>
  <si>
    <t>17356</t>
  </si>
  <si>
    <t>17358</t>
  </si>
  <si>
    <t>17360</t>
  </si>
  <si>
    <t>17361</t>
  </si>
  <si>
    <t>17362</t>
  </si>
  <si>
    <t>17363</t>
  </si>
  <si>
    <t>17364</t>
  </si>
  <si>
    <t>17365</t>
  </si>
  <si>
    <t>17366</t>
  </si>
  <si>
    <t>17368</t>
  </si>
  <si>
    <t>17370</t>
  </si>
  <si>
    <t>17371</t>
  </si>
  <si>
    <t>17372</t>
  </si>
  <si>
    <t>17375</t>
  </si>
  <si>
    <t>17401</t>
  </si>
  <si>
    <t>17402</t>
  </si>
  <si>
    <t>17403</t>
  </si>
  <si>
    <t>17404</t>
  </si>
  <si>
    <t>17405</t>
  </si>
  <si>
    <t>17406</t>
  </si>
  <si>
    <t>17407</t>
  </si>
  <si>
    <t>17408</t>
  </si>
  <si>
    <t>17415</t>
  </si>
  <si>
    <t>17501</t>
  </si>
  <si>
    <t>17502</t>
  </si>
  <si>
    <t>17503</t>
  </si>
  <si>
    <t>17504</t>
  </si>
  <si>
    <t>17505</t>
  </si>
  <si>
    <t>17506</t>
  </si>
  <si>
    <t>17507</t>
  </si>
  <si>
    <t>17508</t>
  </si>
  <si>
    <t>17509</t>
  </si>
  <si>
    <t>17512</t>
  </si>
  <si>
    <t>17516</t>
  </si>
  <si>
    <t>17517</t>
  </si>
  <si>
    <t>17518</t>
  </si>
  <si>
    <t>17519</t>
  </si>
  <si>
    <t>17520</t>
  </si>
  <si>
    <t>17521</t>
  </si>
  <si>
    <t>17522</t>
  </si>
  <si>
    <t>17527</t>
  </si>
  <si>
    <t>17528</t>
  </si>
  <si>
    <t>17529</t>
  </si>
  <si>
    <t>17532</t>
  </si>
  <si>
    <t>17533</t>
  </si>
  <si>
    <t>17534</t>
  </si>
  <si>
    <t>17535</t>
  </si>
  <si>
    <t>17536</t>
  </si>
  <si>
    <t>17537</t>
  </si>
  <si>
    <t>17538</t>
  </si>
  <si>
    <t>17540</t>
  </si>
  <si>
    <t>17543</t>
  </si>
  <si>
    <t>17545</t>
  </si>
  <si>
    <t>17547</t>
  </si>
  <si>
    <t>17549</t>
  </si>
  <si>
    <t>17550</t>
  </si>
  <si>
    <t>17551</t>
  </si>
  <si>
    <t>17552</t>
  </si>
  <si>
    <t>17554</t>
  </si>
  <si>
    <t>17555</t>
  </si>
  <si>
    <t>17557</t>
  </si>
  <si>
    <t>17560</t>
  </si>
  <si>
    <t>17562</t>
  </si>
  <si>
    <t>17563</t>
  </si>
  <si>
    <t>17564</t>
  </si>
  <si>
    <t>17565</t>
  </si>
  <si>
    <t>17566</t>
  </si>
  <si>
    <t>17567</t>
  </si>
  <si>
    <t>17568</t>
  </si>
  <si>
    <t>17569</t>
  </si>
  <si>
    <t>17570</t>
  </si>
  <si>
    <t>17572</t>
  </si>
  <si>
    <t>17573</t>
  </si>
  <si>
    <t>17575</t>
  </si>
  <si>
    <t>17576</t>
  </si>
  <si>
    <t>17578</t>
  </si>
  <si>
    <t>17579</t>
  </si>
  <si>
    <t>17580</t>
  </si>
  <si>
    <t>17581</t>
  </si>
  <si>
    <t>17582</t>
  </si>
  <si>
    <t>17583</t>
  </si>
  <si>
    <t>17584</t>
  </si>
  <si>
    <t>17585</t>
  </si>
  <si>
    <t>17601</t>
  </si>
  <si>
    <t>17602</t>
  </si>
  <si>
    <t>17603</t>
  </si>
  <si>
    <t>17604</t>
  </si>
  <si>
    <t>17605</t>
  </si>
  <si>
    <t>17606</t>
  </si>
  <si>
    <t>17607</t>
  </si>
  <si>
    <t>17608</t>
  </si>
  <si>
    <t>17611</t>
  </si>
  <si>
    <t>17701</t>
  </si>
  <si>
    <t>448</t>
  </si>
  <si>
    <t>17702</t>
  </si>
  <si>
    <t>17703</t>
  </si>
  <si>
    <t>17705</t>
  </si>
  <si>
    <t>17720</t>
  </si>
  <si>
    <t>17721</t>
  </si>
  <si>
    <t>17723</t>
  </si>
  <si>
    <t>17724</t>
  </si>
  <si>
    <t>17726</t>
  </si>
  <si>
    <t>17727</t>
  </si>
  <si>
    <t>17728</t>
  </si>
  <si>
    <t>17729</t>
  </si>
  <si>
    <t>17730</t>
  </si>
  <si>
    <t>17731</t>
  </si>
  <si>
    <t>17735</t>
  </si>
  <si>
    <t>17737</t>
  </si>
  <si>
    <t>17738</t>
  </si>
  <si>
    <t>17739</t>
  </si>
  <si>
    <t>17740</t>
  </si>
  <si>
    <t>17742</t>
  </si>
  <si>
    <t>17744</t>
  </si>
  <si>
    <t>17745</t>
  </si>
  <si>
    <t>17747</t>
  </si>
  <si>
    <t>17748</t>
  </si>
  <si>
    <t>17749</t>
  </si>
  <si>
    <t>17750</t>
  </si>
  <si>
    <t>17751</t>
  </si>
  <si>
    <t>17752</t>
  </si>
  <si>
    <t>17754</t>
  </si>
  <si>
    <t>17756</t>
  </si>
  <si>
    <t>17758</t>
  </si>
  <si>
    <t>17760</t>
  </si>
  <si>
    <t>17762</t>
  </si>
  <si>
    <t>17763</t>
  </si>
  <si>
    <t>17764</t>
  </si>
  <si>
    <t>17765</t>
  </si>
  <si>
    <t>17767</t>
  </si>
  <si>
    <t>17768</t>
  </si>
  <si>
    <t>17769</t>
  </si>
  <si>
    <t>17771</t>
  </si>
  <si>
    <t>17772</t>
  </si>
  <si>
    <t>17773</t>
  </si>
  <si>
    <t>17774</t>
  </si>
  <si>
    <t>17776</t>
  </si>
  <si>
    <t>17777</t>
  </si>
  <si>
    <t>17778</t>
  </si>
  <si>
    <t>17779</t>
  </si>
  <si>
    <t>17801</t>
  </si>
  <si>
    <t>17810</t>
  </si>
  <si>
    <t>17812</t>
  </si>
  <si>
    <t>17813</t>
  </si>
  <si>
    <t>17814</t>
  </si>
  <si>
    <t>17815</t>
  </si>
  <si>
    <t>17820</t>
  </si>
  <si>
    <t>17821</t>
  </si>
  <si>
    <t>17822</t>
  </si>
  <si>
    <t>17823</t>
  </si>
  <si>
    <t>17824</t>
  </si>
  <si>
    <t>17827</t>
  </si>
  <si>
    <t>17829</t>
  </si>
  <si>
    <t>17830</t>
  </si>
  <si>
    <t>17831</t>
  </si>
  <si>
    <t>17832</t>
  </si>
  <si>
    <t>17833</t>
  </si>
  <si>
    <t>17834</t>
  </si>
  <si>
    <t>17835</t>
  </si>
  <si>
    <t>17836</t>
  </si>
  <si>
    <t>17837</t>
  </si>
  <si>
    <t>17839</t>
  </si>
  <si>
    <t>17840</t>
  </si>
  <si>
    <t>17841</t>
  </si>
  <si>
    <t>17842</t>
  </si>
  <si>
    <t>17843</t>
  </si>
  <si>
    <t>17844</t>
  </si>
  <si>
    <t>17845</t>
  </si>
  <si>
    <t>17846</t>
  </si>
  <si>
    <t>17847</t>
  </si>
  <si>
    <t>17850</t>
  </si>
  <si>
    <t>17851</t>
  </si>
  <si>
    <t>17853</t>
  </si>
  <si>
    <t>17855</t>
  </si>
  <si>
    <t>17856</t>
  </si>
  <si>
    <t>17857</t>
  </si>
  <si>
    <t>17858</t>
  </si>
  <si>
    <t>17859</t>
  </si>
  <si>
    <t>17860</t>
  </si>
  <si>
    <t>17861</t>
  </si>
  <si>
    <t>17862</t>
  </si>
  <si>
    <t>17864</t>
  </si>
  <si>
    <t>17865</t>
  </si>
  <si>
    <t>17866</t>
  </si>
  <si>
    <t>17867</t>
  </si>
  <si>
    <t>17868</t>
  </si>
  <si>
    <t>17870</t>
  </si>
  <si>
    <t>17872</t>
  </si>
  <si>
    <t>17876</t>
  </si>
  <si>
    <t>17877</t>
  </si>
  <si>
    <t>17878</t>
  </si>
  <si>
    <t>17880</t>
  </si>
  <si>
    <t>17881</t>
  </si>
  <si>
    <t>17882</t>
  </si>
  <si>
    <t>17883</t>
  </si>
  <si>
    <t>17884</t>
  </si>
  <si>
    <t>17885</t>
  </si>
  <si>
    <t>17886</t>
  </si>
  <si>
    <t>17887</t>
  </si>
  <si>
    <t>17888</t>
  </si>
  <si>
    <t>17889</t>
  </si>
  <si>
    <t>17901</t>
  </si>
  <si>
    <t>17920</t>
  </si>
  <si>
    <t>17921</t>
  </si>
  <si>
    <t>17922</t>
  </si>
  <si>
    <t>17923</t>
  </si>
  <si>
    <t>17925</t>
  </si>
  <si>
    <t>17929</t>
  </si>
  <si>
    <t>17930</t>
  </si>
  <si>
    <t>17931</t>
  </si>
  <si>
    <t>17932</t>
  </si>
  <si>
    <t>17933</t>
  </si>
  <si>
    <t>17934</t>
  </si>
  <si>
    <t>17935</t>
  </si>
  <si>
    <t>17936</t>
  </si>
  <si>
    <t>17938</t>
  </si>
  <si>
    <t>17941</t>
  </si>
  <si>
    <t>17942</t>
  </si>
  <si>
    <t>17943</t>
  </si>
  <si>
    <t>17944</t>
  </si>
  <si>
    <t>17945</t>
  </si>
  <si>
    <t>17946</t>
  </si>
  <si>
    <t>17948</t>
  </si>
  <si>
    <t>17949</t>
  </si>
  <si>
    <t>17951</t>
  </si>
  <si>
    <t>17952</t>
  </si>
  <si>
    <t>17953</t>
  </si>
  <si>
    <t>17954</t>
  </si>
  <si>
    <t>17957</t>
  </si>
  <si>
    <t>17959</t>
  </si>
  <si>
    <t>17960</t>
  </si>
  <si>
    <t>17961</t>
  </si>
  <si>
    <t>17963</t>
  </si>
  <si>
    <t>17964</t>
  </si>
  <si>
    <t>17965</t>
  </si>
  <si>
    <t>17966</t>
  </si>
  <si>
    <t>17967</t>
  </si>
  <si>
    <t>17968</t>
  </si>
  <si>
    <t>17970</t>
  </si>
  <si>
    <t>17972</t>
  </si>
  <si>
    <t>17974</t>
  </si>
  <si>
    <t>17976</t>
  </si>
  <si>
    <t>17978</t>
  </si>
  <si>
    <t>17979</t>
  </si>
  <si>
    <t>17980</t>
  </si>
  <si>
    <t>17981</t>
  </si>
  <si>
    <t>17982</t>
  </si>
  <si>
    <t>17983</t>
  </si>
  <si>
    <t>17985</t>
  </si>
  <si>
    <t>18001</t>
  </si>
  <si>
    <t>430</t>
  </si>
  <si>
    <t>18002</t>
  </si>
  <si>
    <t>18003</t>
  </si>
  <si>
    <t>18010</t>
  </si>
  <si>
    <t>431</t>
  </si>
  <si>
    <t>18011</t>
  </si>
  <si>
    <t>18012</t>
  </si>
  <si>
    <t>18013</t>
  </si>
  <si>
    <t>18014</t>
  </si>
  <si>
    <t>18015</t>
  </si>
  <si>
    <t>18016</t>
  </si>
  <si>
    <t>18017</t>
  </si>
  <si>
    <t>18018</t>
  </si>
  <si>
    <t>18020</t>
  </si>
  <si>
    <t>18025</t>
  </si>
  <si>
    <t>18030</t>
  </si>
  <si>
    <t>18031</t>
  </si>
  <si>
    <t>18032</t>
  </si>
  <si>
    <t>18034</t>
  </si>
  <si>
    <t>18035</t>
  </si>
  <si>
    <t>18036</t>
  </si>
  <si>
    <t>18037</t>
  </si>
  <si>
    <t>18038</t>
  </si>
  <si>
    <t>18039</t>
  </si>
  <si>
    <t>444</t>
  </si>
  <si>
    <t>18040</t>
  </si>
  <si>
    <t>18041</t>
  </si>
  <si>
    <t>445</t>
  </si>
  <si>
    <t>18042</t>
  </si>
  <si>
    <t>18043</t>
  </si>
  <si>
    <t>18044</t>
  </si>
  <si>
    <t>18045</t>
  </si>
  <si>
    <t>18046</t>
  </si>
  <si>
    <t>18049</t>
  </si>
  <si>
    <t>18050</t>
  </si>
  <si>
    <t>18051</t>
  </si>
  <si>
    <t>18052</t>
  </si>
  <si>
    <t>18053</t>
  </si>
  <si>
    <t>18054</t>
  </si>
  <si>
    <t>18055</t>
  </si>
  <si>
    <t>18056</t>
  </si>
  <si>
    <t>18058</t>
  </si>
  <si>
    <t>18059</t>
  </si>
  <si>
    <t>18060</t>
  </si>
  <si>
    <t>18062</t>
  </si>
  <si>
    <t>18063</t>
  </si>
  <si>
    <t>18064</t>
  </si>
  <si>
    <t>18065</t>
  </si>
  <si>
    <t>18066</t>
  </si>
  <si>
    <t>18067</t>
  </si>
  <si>
    <t>18068</t>
  </si>
  <si>
    <t>18069</t>
  </si>
  <si>
    <t>18070</t>
  </si>
  <si>
    <t>18071</t>
  </si>
  <si>
    <t>18072</t>
  </si>
  <si>
    <t>18073</t>
  </si>
  <si>
    <t>18074</t>
  </si>
  <si>
    <t>18076</t>
  </si>
  <si>
    <t>18077</t>
  </si>
  <si>
    <t>18078</t>
  </si>
  <si>
    <t>18079</t>
  </si>
  <si>
    <t>18080</t>
  </si>
  <si>
    <t>18081</t>
  </si>
  <si>
    <t>18083</t>
  </si>
  <si>
    <t>18084</t>
  </si>
  <si>
    <t>18085</t>
  </si>
  <si>
    <t>18086</t>
  </si>
  <si>
    <t>18087</t>
  </si>
  <si>
    <t>18088</t>
  </si>
  <si>
    <t>18091</t>
  </si>
  <si>
    <t>18092</t>
  </si>
  <si>
    <t>18098</t>
  </si>
  <si>
    <t>18099</t>
  </si>
  <si>
    <t>18101</t>
  </si>
  <si>
    <t>18102</t>
  </si>
  <si>
    <t>18103</t>
  </si>
  <si>
    <t>18104</t>
  </si>
  <si>
    <t>18105</t>
  </si>
  <si>
    <t>18106</t>
  </si>
  <si>
    <t>18109</t>
  </si>
  <si>
    <t>18175</t>
  </si>
  <si>
    <t>18195</t>
  </si>
  <si>
    <t>18201</t>
  </si>
  <si>
    <t>439</t>
  </si>
  <si>
    <t>18202</t>
  </si>
  <si>
    <t>18210</t>
  </si>
  <si>
    <t>18211</t>
  </si>
  <si>
    <t>18212</t>
  </si>
  <si>
    <t>18214</t>
  </si>
  <si>
    <t>18216</t>
  </si>
  <si>
    <t>18218</t>
  </si>
  <si>
    <t>18219</t>
  </si>
  <si>
    <t>18220</t>
  </si>
  <si>
    <t>18221</t>
  </si>
  <si>
    <t>18222</t>
  </si>
  <si>
    <t>18223</t>
  </si>
  <si>
    <t>18224</t>
  </si>
  <si>
    <t>18225</t>
  </si>
  <si>
    <t>18229</t>
  </si>
  <si>
    <t>18230</t>
  </si>
  <si>
    <t>18231</t>
  </si>
  <si>
    <t>18232</t>
  </si>
  <si>
    <t>18234</t>
  </si>
  <si>
    <t>18235</t>
  </si>
  <si>
    <t>18237</t>
  </si>
  <si>
    <t>18239</t>
  </si>
  <si>
    <t>18240</t>
  </si>
  <si>
    <t>18241</t>
  </si>
  <si>
    <t>18242</t>
  </si>
  <si>
    <t>18244</t>
  </si>
  <si>
    <t>18245</t>
  </si>
  <si>
    <t>18246</t>
  </si>
  <si>
    <t>18247</t>
  </si>
  <si>
    <t>18248</t>
  </si>
  <si>
    <t>18249</t>
  </si>
  <si>
    <t>18250</t>
  </si>
  <si>
    <t>18251</t>
  </si>
  <si>
    <t>18252</t>
  </si>
  <si>
    <t>18254</t>
  </si>
  <si>
    <t>18255</t>
  </si>
  <si>
    <t>18256</t>
  </si>
  <si>
    <t>18301</t>
  </si>
  <si>
    <t>18302</t>
  </si>
  <si>
    <t>18320</t>
  </si>
  <si>
    <t>18321</t>
  </si>
  <si>
    <t>18322</t>
  </si>
  <si>
    <t>18323</t>
  </si>
  <si>
    <t>18324</t>
  </si>
  <si>
    <t>18325</t>
  </si>
  <si>
    <t>18326</t>
  </si>
  <si>
    <t>18327</t>
  </si>
  <si>
    <t>18328</t>
  </si>
  <si>
    <t>18330</t>
  </si>
  <si>
    <t>18331</t>
  </si>
  <si>
    <t>18332</t>
  </si>
  <si>
    <t>18333</t>
  </si>
  <si>
    <t>18334</t>
  </si>
  <si>
    <t>18335</t>
  </si>
  <si>
    <t>18336</t>
  </si>
  <si>
    <t>18337</t>
  </si>
  <si>
    <t>18340</t>
  </si>
  <si>
    <t>18341</t>
  </si>
  <si>
    <t>18342</t>
  </si>
  <si>
    <t>18343</t>
  </si>
  <si>
    <t>18344</t>
  </si>
  <si>
    <t>18346</t>
  </si>
  <si>
    <t>18347</t>
  </si>
  <si>
    <t>18348</t>
  </si>
  <si>
    <t>18349</t>
  </si>
  <si>
    <t>18350</t>
  </si>
  <si>
    <t>18351</t>
  </si>
  <si>
    <t>18352</t>
  </si>
  <si>
    <t>18353</t>
  </si>
  <si>
    <t>18354</t>
  </si>
  <si>
    <t>18355</t>
  </si>
  <si>
    <t>18356</t>
  </si>
  <si>
    <t>18357</t>
  </si>
  <si>
    <t>18360</t>
  </si>
  <si>
    <t>18370</t>
  </si>
  <si>
    <t>18371</t>
  </si>
  <si>
    <t>18372</t>
  </si>
  <si>
    <t>18403</t>
  </si>
  <si>
    <t>438</t>
  </si>
  <si>
    <t>18405</t>
  </si>
  <si>
    <t>18407</t>
  </si>
  <si>
    <t>18410</t>
  </si>
  <si>
    <t>18411</t>
  </si>
  <si>
    <t>18413</t>
  </si>
  <si>
    <t>18414</t>
  </si>
  <si>
    <t>18415</t>
  </si>
  <si>
    <t>18416</t>
  </si>
  <si>
    <t>18417</t>
  </si>
  <si>
    <t>18419</t>
  </si>
  <si>
    <t>18420</t>
  </si>
  <si>
    <t>18421</t>
  </si>
  <si>
    <t>18424</t>
  </si>
  <si>
    <t>18425</t>
  </si>
  <si>
    <t>18426</t>
  </si>
  <si>
    <t>18427</t>
  </si>
  <si>
    <t>18428</t>
  </si>
  <si>
    <t>18430</t>
  </si>
  <si>
    <t>18431</t>
  </si>
  <si>
    <t>18433</t>
  </si>
  <si>
    <t>18434</t>
  </si>
  <si>
    <t>18435</t>
  </si>
  <si>
    <t>18436</t>
  </si>
  <si>
    <t>18437</t>
  </si>
  <si>
    <t>18438</t>
  </si>
  <si>
    <t>18439</t>
  </si>
  <si>
    <t>18440</t>
  </si>
  <si>
    <t>18441</t>
  </si>
  <si>
    <t>18443</t>
  </si>
  <si>
    <t>18444</t>
  </si>
  <si>
    <t>18445</t>
  </si>
  <si>
    <t>18446</t>
  </si>
  <si>
    <t>18447</t>
  </si>
  <si>
    <t>18448</t>
  </si>
  <si>
    <t>18449</t>
  </si>
  <si>
    <t>18451</t>
  </si>
  <si>
    <t>18452</t>
  </si>
  <si>
    <t>18453</t>
  </si>
  <si>
    <t>18454</t>
  </si>
  <si>
    <t>18455</t>
  </si>
  <si>
    <t>18456</t>
  </si>
  <si>
    <t>18457</t>
  </si>
  <si>
    <t>18458</t>
  </si>
  <si>
    <t>18459</t>
  </si>
  <si>
    <t>18460</t>
  </si>
  <si>
    <t>18461</t>
  </si>
  <si>
    <t>18462</t>
  </si>
  <si>
    <t>18463</t>
  </si>
  <si>
    <t>18464</t>
  </si>
  <si>
    <t>18465</t>
  </si>
  <si>
    <t>18466</t>
  </si>
  <si>
    <t>18469</t>
  </si>
  <si>
    <t>18470</t>
  </si>
  <si>
    <t>18471</t>
  </si>
  <si>
    <t>18472</t>
  </si>
  <si>
    <t>18473</t>
  </si>
  <si>
    <t>18501</t>
  </si>
  <si>
    <t>18502</t>
  </si>
  <si>
    <t>18503</t>
  </si>
  <si>
    <t>18504</t>
  </si>
  <si>
    <t>18505</t>
  </si>
  <si>
    <t>18507</t>
  </si>
  <si>
    <t>18508</t>
  </si>
  <si>
    <t>18509</t>
  </si>
  <si>
    <t>18510</t>
  </si>
  <si>
    <t>18512</t>
  </si>
  <si>
    <t>18514</t>
  </si>
  <si>
    <t>18515</t>
  </si>
  <si>
    <t>18517</t>
  </si>
  <si>
    <t>18518</t>
  </si>
  <si>
    <t>18519</t>
  </si>
  <si>
    <t>18601</t>
  </si>
  <si>
    <t>18602</t>
  </si>
  <si>
    <t>18603</t>
  </si>
  <si>
    <t>18610</t>
  </si>
  <si>
    <t>18611</t>
  </si>
  <si>
    <t>18612</t>
  </si>
  <si>
    <t>18614</t>
  </si>
  <si>
    <t>18615</t>
  </si>
  <si>
    <t>18616</t>
  </si>
  <si>
    <t>18617</t>
  </si>
  <si>
    <t>18618</t>
  </si>
  <si>
    <t>18619</t>
  </si>
  <si>
    <t>18621</t>
  </si>
  <si>
    <t>18622</t>
  </si>
  <si>
    <t>18623</t>
  </si>
  <si>
    <t>18624</t>
  </si>
  <si>
    <t>18625</t>
  </si>
  <si>
    <t>18626</t>
  </si>
  <si>
    <t>18627</t>
  </si>
  <si>
    <t>18628</t>
  </si>
  <si>
    <t>18629</t>
  </si>
  <si>
    <t>18630</t>
  </si>
  <si>
    <t>18631</t>
  </si>
  <si>
    <t>18632</t>
  </si>
  <si>
    <t>18634</t>
  </si>
  <si>
    <t>18635</t>
  </si>
  <si>
    <t>18636</t>
  </si>
  <si>
    <t>18640</t>
  </si>
  <si>
    <t>18641</t>
  </si>
  <si>
    <t>18642</t>
  </si>
  <si>
    <t>18643</t>
  </si>
  <si>
    <t>18644</t>
  </si>
  <si>
    <t>18651</t>
  </si>
  <si>
    <t>18653</t>
  </si>
  <si>
    <t>18654</t>
  </si>
  <si>
    <t>18655</t>
  </si>
  <si>
    <t>18656</t>
  </si>
  <si>
    <t>18657</t>
  </si>
  <si>
    <t>18660</t>
  </si>
  <si>
    <t>18661</t>
  </si>
  <si>
    <t>18701</t>
  </si>
  <si>
    <t>18702</t>
  </si>
  <si>
    <t>18703</t>
  </si>
  <si>
    <t>18704</t>
  </si>
  <si>
    <t>18705</t>
  </si>
  <si>
    <t>18706</t>
  </si>
  <si>
    <t>18707</t>
  </si>
  <si>
    <t>18708</t>
  </si>
  <si>
    <t>18709</t>
  </si>
  <si>
    <t>18710</t>
  </si>
  <si>
    <t>18711</t>
  </si>
  <si>
    <t>18762</t>
  </si>
  <si>
    <t>18764</t>
  </si>
  <si>
    <t>18765</t>
  </si>
  <si>
    <t>18766</t>
  </si>
  <si>
    <t>18767</t>
  </si>
  <si>
    <t>18769</t>
  </si>
  <si>
    <t>18773</t>
  </si>
  <si>
    <t>18801</t>
  </si>
  <si>
    <t>18810</t>
  </si>
  <si>
    <t>18812</t>
  </si>
  <si>
    <t>18813</t>
  </si>
  <si>
    <t>18814</t>
  </si>
  <si>
    <t>18815</t>
  </si>
  <si>
    <t>18816</t>
  </si>
  <si>
    <t>18817</t>
  </si>
  <si>
    <t>18818</t>
  </si>
  <si>
    <t>18820</t>
  </si>
  <si>
    <t>18821</t>
  </si>
  <si>
    <t>18822</t>
  </si>
  <si>
    <t>18823</t>
  </si>
  <si>
    <t>18824</t>
  </si>
  <si>
    <t>18825</t>
  </si>
  <si>
    <t>18826</t>
  </si>
  <si>
    <t>18827</t>
  </si>
  <si>
    <t>18828</t>
  </si>
  <si>
    <t>18829</t>
  </si>
  <si>
    <t>18830</t>
  </si>
  <si>
    <t>18831</t>
  </si>
  <si>
    <t>18832</t>
  </si>
  <si>
    <t>18833</t>
  </si>
  <si>
    <t>18834</t>
  </si>
  <si>
    <t>18837</t>
  </si>
  <si>
    <t>18840</t>
  </si>
  <si>
    <t>18842</t>
  </si>
  <si>
    <t>18843</t>
  </si>
  <si>
    <t>18844</t>
  </si>
  <si>
    <t>18845</t>
  </si>
  <si>
    <t>18846</t>
  </si>
  <si>
    <t>18847</t>
  </si>
  <si>
    <t>18848</t>
  </si>
  <si>
    <t>18850</t>
  </si>
  <si>
    <t>18851</t>
  </si>
  <si>
    <t>18853</t>
  </si>
  <si>
    <t>18854</t>
  </si>
  <si>
    <t>18901</t>
  </si>
  <si>
    <t>18902</t>
  </si>
  <si>
    <t>18910</t>
  </si>
  <si>
    <t>18911</t>
  </si>
  <si>
    <t>18912</t>
  </si>
  <si>
    <t>18913</t>
  </si>
  <si>
    <t>18914</t>
  </si>
  <si>
    <t>18915</t>
  </si>
  <si>
    <t>18916</t>
  </si>
  <si>
    <t>18917</t>
  </si>
  <si>
    <t>18918</t>
  </si>
  <si>
    <t>18920</t>
  </si>
  <si>
    <t>18921</t>
  </si>
  <si>
    <t>18922</t>
  </si>
  <si>
    <t>18923</t>
  </si>
  <si>
    <t>18924</t>
  </si>
  <si>
    <t>18925</t>
  </si>
  <si>
    <t>18926</t>
  </si>
  <si>
    <t>18927</t>
  </si>
  <si>
    <t>18928</t>
  </si>
  <si>
    <t>18929</t>
  </si>
  <si>
    <t>18930</t>
  </si>
  <si>
    <t>18931</t>
  </si>
  <si>
    <t>18932</t>
  </si>
  <si>
    <t>18933</t>
  </si>
  <si>
    <t>18934</t>
  </si>
  <si>
    <t>18935</t>
  </si>
  <si>
    <t>18936</t>
  </si>
  <si>
    <t>18938</t>
  </si>
  <si>
    <t>18940</t>
  </si>
  <si>
    <t>18942</t>
  </si>
  <si>
    <t>18943</t>
  </si>
  <si>
    <t>18944</t>
  </si>
  <si>
    <t>18946</t>
  </si>
  <si>
    <t>18947</t>
  </si>
  <si>
    <t>18949</t>
  </si>
  <si>
    <t>18950</t>
  </si>
  <si>
    <t>18951</t>
  </si>
  <si>
    <t>18953</t>
  </si>
  <si>
    <t>18954</t>
  </si>
  <si>
    <t>18955</t>
  </si>
  <si>
    <t>18956</t>
  </si>
  <si>
    <t>18957</t>
  </si>
  <si>
    <t>18958</t>
  </si>
  <si>
    <t>18960</t>
  </si>
  <si>
    <t>18962</t>
  </si>
  <si>
    <t>18963</t>
  </si>
  <si>
    <t>18964</t>
  </si>
  <si>
    <t>18966</t>
  </si>
  <si>
    <t>18968</t>
  </si>
  <si>
    <t>18969</t>
  </si>
  <si>
    <t>18970</t>
  </si>
  <si>
    <t>18971</t>
  </si>
  <si>
    <t>18972</t>
  </si>
  <si>
    <t>18974</t>
  </si>
  <si>
    <t>18976</t>
  </si>
  <si>
    <t>18977</t>
  </si>
  <si>
    <t>18979</t>
  </si>
  <si>
    <t>18980</t>
  </si>
  <si>
    <t>18981</t>
  </si>
  <si>
    <t>18991</t>
  </si>
  <si>
    <t>19001</t>
  </si>
  <si>
    <t>19002</t>
  </si>
  <si>
    <t>19003</t>
  </si>
  <si>
    <t>447</t>
  </si>
  <si>
    <t>19004</t>
  </si>
  <si>
    <t>19006</t>
  </si>
  <si>
    <t>19007</t>
  </si>
  <si>
    <t>19008</t>
  </si>
  <si>
    <t>19009</t>
  </si>
  <si>
    <t>19010</t>
  </si>
  <si>
    <t>19012</t>
  </si>
  <si>
    <t>19013</t>
  </si>
  <si>
    <t>19014</t>
  </si>
  <si>
    <t>19015</t>
  </si>
  <si>
    <t>19016</t>
  </si>
  <si>
    <t>19017</t>
  </si>
  <si>
    <t>19018</t>
  </si>
  <si>
    <t>19019</t>
  </si>
  <si>
    <t>404</t>
  </si>
  <si>
    <t>19020</t>
  </si>
  <si>
    <t>19021</t>
  </si>
  <si>
    <t>19022</t>
  </si>
  <si>
    <t>19023</t>
  </si>
  <si>
    <t>19025</t>
  </si>
  <si>
    <t>19026</t>
  </si>
  <si>
    <t>19027</t>
  </si>
  <si>
    <t>19028</t>
  </si>
  <si>
    <t>19029</t>
  </si>
  <si>
    <t>19030</t>
  </si>
  <si>
    <t>19031</t>
  </si>
  <si>
    <t>19032</t>
  </si>
  <si>
    <t>19033</t>
  </si>
  <si>
    <t>19034</t>
  </si>
  <si>
    <t>19035</t>
  </si>
  <si>
    <t>19036</t>
  </si>
  <si>
    <t>19037</t>
  </si>
  <si>
    <t>19038</t>
  </si>
  <si>
    <t>19039</t>
  </si>
  <si>
    <t>19040</t>
  </si>
  <si>
    <t>19041</t>
  </si>
  <si>
    <t>19043</t>
  </si>
  <si>
    <t>19044</t>
  </si>
  <si>
    <t>19046</t>
  </si>
  <si>
    <t>19047</t>
  </si>
  <si>
    <t>19048</t>
  </si>
  <si>
    <t>19049</t>
  </si>
  <si>
    <t>19050</t>
  </si>
  <si>
    <t>19052</t>
  </si>
  <si>
    <t>19053</t>
  </si>
  <si>
    <t>19054</t>
  </si>
  <si>
    <t>19055</t>
  </si>
  <si>
    <t>19056</t>
  </si>
  <si>
    <t>19057</t>
  </si>
  <si>
    <t>19058</t>
  </si>
  <si>
    <t>19060</t>
  </si>
  <si>
    <t>19061</t>
  </si>
  <si>
    <t>19063</t>
  </si>
  <si>
    <t>19064</t>
  </si>
  <si>
    <t>19065</t>
  </si>
  <si>
    <t>19066</t>
  </si>
  <si>
    <t>19067</t>
  </si>
  <si>
    <t>19070</t>
  </si>
  <si>
    <t>19072</t>
  </si>
  <si>
    <t>19073</t>
  </si>
  <si>
    <t>19074</t>
  </si>
  <si>
    <t>19075</t>
  </si>
  <si>
    <t>19076</t>
  </si>
  <si>
    <t>19078</t>
  </si>
  <si>
    <t>19079</t>
  </si>
  <si>
    <t>19080</t>
  </si>
  <si>
    <t>446</t>
  </si>
  <si>
    <t>19081</t>
  </si>
  <si>
    <t>19082</t>
  </si>
  <si>
    <t>19083</t>
  </si>
  <si>
    <t>19085</t>
  </si>
  <si>
    <t>19086</t>
  </si>
  <si>
    <t>19087</t>
  </si>
  <si>
    <t>19088</t>
  </si>
  <si>
    <t>19089</t>
  </si>
  <si>
    <t>19090</t>
  </si>
  <si>
    <t>19091</t>
  </si>
  <si>
    <t>19092</t>
  </si>
  <si>
    <t>19093</t>
  </si>
  <si>
    <t>19094</t>
  </si>
  <si>
    <t>19095</t>
  </si>
  <si>
    <t>19096</t>
  </si>
  <si>
    <t>19098</t>
  </si>
  <si>
    <t>19101</t>
  </si>
  <si>
    <t>19102</t>
  </si>
  <si>
    <t>19103</t>
  </si>
  <si>
    <t>19104</t>
  </si>
  <si>
    <t>19105</t>
  </si>
  <si>
    <t>19106</t>
  </si>
  <si>
    <t>19107</t>
  </si>
  <si>
    <t>19108</t>
  </si>
  <si>
    <t>19109</t>
  </si>
  <si>
    <t>19110</t>
  </si>
  <si>
    <t>19111</t>
  </si>
  <si>
    <t>19112</t>
  </si>
  <si>
    <t>19113</t>
  </si>
  <si>
    <t>19114</t>
  </si>
  <si>
    <t>19115</t>
  </si>
  <si>
    <t>19116</t>
  </si>
  <si>
    <t>19118</t>
  </si>
  <si>
    <t>19119</t>
  </si>
  <si>
    <t>19120</t>
  </si>
  <si>
    <t>19121</t>
  </si>
  <si>
    <t>19122</t>
  </si>
  <si>
    <t>19123</t>
  </si>
  <si>
    <t>19124</t>
  </si>
  <si>
    <t>19125</t>
  </si>
  <si>
    <t>19126</t>
  </si>
  <si>
    <t>19127</t>
  </si>
  <si>
    <t>19128</t>
  </si>
  <si>
    <t>19129</t>
  </si>
  <si>
    <t>19130</t>
  </si>
  <si>
    <t>19131</t>
  </si>
  <si>
    <t>19132</t>
  </si>
  <si>
    <t>19133</t>
  </si>
  <si>
    <t>19134</t>
  </si>
  <si>
    <t>19135</t>
  </si>
  <si>
    <t>19136</t>
  </si>
  <si>
    <t>19137</t>
  </si>
  <si>
    <t>19138</t>
  </si>
  <si>
    <t>19139</t>
  </si>
  <si>
    <t>19140</t>
  </si>
  <si>
    <t>19141</t>
  </si>
  <si>
    <t>19142</t>
  </si>
  <si>
    <t>19143</t>
  </si>
  <si>
    <t>19144</t>
  </si>
  <si>
    <t>19145</t>
  </si>
  <si>
    <t>19146</t>
  </si>
  <si>
    <t>19147</t>
  </si>
  <si>
    <t>19148</t>
  </si>
  <si>
    <t>19149</t>
  </si>
  <si>
    <t>19150</t>
  </si>
  <si>
    <t>19151</t>
  </si>
  <si>
    <t>19152</t>
  </si>
  <si>
    <t>19153</t>
  </si>
  <si>
    <t>19154</t>
  </si>
  <si>
    <t>19155</t>
  </si>
  <si>
    <t>19160</t>
  </si>
  <si>
    <t>19161</t>
  </si>
  <si>
    <t>19162</t>
  </si>
  <si>
    <t>19170</t>
  </si>
  <si>
    <t>19171</t>
  </si>
  <si>
    <t>19172</t>
  </si>
  <si>
    <t>19173</t>
  </si>
  <si>
    <t>19175</t>
  </si>
  <si>
    <t>19176</t>
  </si>
  <si>
    <t>19177</t>
  </si>
  <si>
    <t>19178</t>
  </si>
  <si>
    <t>19181</t>
  </si>
  <si>
    <t>19182</t>
  </si>
  <si>
    <t>19184</t>
  </si>
  <si>
    <t>19185</t>
  </si>
  <si>
    <t>19187</t>
  </si>
  <si>
    <t>19188</t>
  </si>
  <si>
    <t>19190</t>
  </si>
  <si>
    <t>19191</t>
  </si>
  <si>
    <t>19192</t>
  </si>
  <si>
    <t>19193</t>
  </si>
  <si>
    <t>19194</t>
  </si>
  <si>
    <t>19195</t>
  </si>
  <si>
    <t>19196</t>
  </si>
  <si>
    <t>19197</t>
  </si>
  <si>
    <t>19244</t>
  </si>
  <si>
    <t>19255</t>
  </si>
  <si>
    <t>19301</t>
  </si>
  <si>
    <t>19310</t>
  </si>
  <si>
    <t>19311</t>
  </si>
  <si>
    <t>19312</t>
  </si>
  <si>
    <t>19316</t>
  </si>
  <si>
    <t>19317</t>
  </si>
  <si>
    <t>19318</t>
  </si>
  <si>
    <t>19319</t>
  </si>
  <si>
    <t>19320</t>
  </si>
  <si>
    <t>19330</t>
  </si>
  <si>
    <t>19331</t>
  </si>
  <si>
    <t>19333</t>
  </si>
  <si>
    <t>19335</t>
  </si>
  <si>
    <t>19339</t>
  </si>
  <si>
    <t>19340</t>
  </si>
  <si>
    <t>19341</t>
  </si>
  <si>
    <t>19342</t>
  </si>
  <si>
    <t>19343</t>
  </si>
  <si>
    <t>19344</t>
  </si>
  <si>
    <t>19345</t>
  </si>
  <si>
    <t>19346</t>
  </si>
  <si>
    <t>19347</t>
  </si>
  <si>
    <t>19348</t>
  </si>
  <si>
    <t>19350</t>
  </si>
  <si>
    <t>19351</t>
  </si>
  <si>
    <t>19352</t>
  </si>
  <si>
    <t>19353</t>
  </si>
  <si>
    <t>19354</t>
  </si>
  <si>
    <t>19355</t>
  </si>
  <si>
    <t>19357</t>
  </si>
  <si>
    <t>19358</t>
  </si>
  <si>
    <t>19360</t>
  </si>
  <si>
    <t>19362</t>
  </si>
  <si>
    <t>19363</t>
  </si>
  <si>
    <t>19365</t>
  </si>
  <si>
    <t>19366</t>
  </si>
  <si>
    <t>19367</t>
  </si>
  <si>
    <t>19369</t>
  </si>
  <si>
    <t>19371</t>
  </si>
  <si>
    <t>19372</t>
  </si>
  <si>
    <t>19373</t>
  </si>
  <si>
    <t>19374</t>
  </si>
  <si>
    <t>19375</t>
  </si>
  <si>
    <t>19376</t>
  </si>
  <si>
    <t>19380</t>
  </si>
  <si>
    <t>19381</t>
  </si>
  <si>
    <t>19382</t>
  </si>
  <si>
    <t>19383</t>
  </si>
  <si>
    <t>19390</t>
  </si>
  <si>
    <t>19395</t>
  </si>
  <si>
    <t>19397</t>
  </si>
  <si>
    <t>19398</t>
  </si>
  <si>
    <t>19399</t>
  </si>
  <si>
    <t>19401</t>
  </si>
  <si>
    <t>19403</t>
  </si>
  <si>
    <t>19404</t>
  </si>
  <si>
    <t>19405</t>
  </si>
  <si>
    <t>19406</t>
  </si>
  <si>
    <t>19407</t>
  </si>
  <si>
    <t>19408</t>
  </si>
  <si>
    <t>19409</t>
  </si>
  <si>
    <t>19415</t>
  </si>
  <si>
    <t>19421</t>
  </si>
  <si>
    <t>19422</t>
  </si>
  <si>
    <t>19423</t>
  </si>
  <si>
    <t>19424</t>
  </si>
  <si>
    <t>19425</t>
  </si>
  <si>
    <t>19426</t>
  </si>
  <si>
    <t>19428</t>
  </si>
  <si>
    <t>19429</t>
  </si>
  <si>
    <t>19430</t>
  </si>
  <si>
    <t>19432</t>
  </si>
  <si>
    <t>19435</t>
  </si>
  <si>
    <t>19436</t>
  </si>
  <si>
    <t>19437</t>
  </si>
  <si>
    <t>19438</t>
  </si>
  <si>
    <t>19440</t>
  </si>
  <si>
    <t>19441</t>
  </si>
  <si>
    <t>19442</t>
  </si>
  <si>
    <t>19443</t>
  </si>
  <si>
    <t>19444</t>
  </si>
  <si>
    <t>19446</t>
  </si>
  <si>
    <t>19450</t>
  </si>
  <si>
    <t>19451</t>
  </si>
  <si>
    <t>19453</t>
  </si>
  <si>
    <t>19454</t>
  </si>
  <si>
    <t>19455</t>
  </si>
  <si>
    <t>19456</t>
  </si>
  <si>
    <t>19457</t>
  </si>
  <si>
    <t>19460</t>
  </si>
  <si>
    <t>19462</t>
  </si>
  <si>
    <t>19464</t>
  </si>
  <si>
    <t>19465</t>
  </si>
  <si>
    <t>19468</t>
  </si>
  <si>
    <t>19470</t>
  </si>
  <si>
    <t>19472</t>
  </si>
  <si>
    <t>19473</t>
  </si>
  <si>
    <t>19474</t>
  </si>
  <si>
    <t>19475</t>
  </si>
  <si>
    <t>19477</t>
  </si>
  <si>
    <t>19478</t>
  </si>
  <si>
    <t>19480</t>
  </si>
  <si>
    <t>19481</t>
  </si>
  <si>
    <t>19482</t>
  </si>
  <si>
    <t>19483</t>
  </si>
  <si>
    <t>19484</t>
  </si>
  <si>
    <t>19485</t>
  </si>
  <si>
    <t>19486</t>
  </si>
  <si>
    <t>19487</t>
  </si>
  <si>
    <t>19489</t>
  </si>
  <si>
    <t>19490</t>
  </si>
  <si>
    <t>19492</t>
  </si>
  <si>
    <t>19493</t>
  </si>
  <si>
    <t>19494</t>
  </si>
  <si>
    <t>19495</t>
  </si>
  <si>
    <t>19496</t>
  </si>
  <si>
    <t>19501</t>
  </si>
  <si>
    <t>19503</t>
  </si>
  <si>
    <t>19504</t>
  </si>
  <si>
    <t>19505</t>
  </si>
  <si>
    <t>19506</t>
  </si>
  <si>
    <t>19507</t>
  </si>
  <si>
    <t>19508</t>
  </si>
  <si>
    <t>19510</t>
  </si>
  <si>
    <t>19511</t>
  </si>
  <si>
    <t>19512</t>
  </si>
  <si>
    <t>19516</t>
  </si>
  <si>
    <t>19518</t>
  </si>
  <si>
    <t>19519</t>
  </si>
  <si>
    <t>19520</t>
  </si>
  <si>
    <t>19522</t>
  </si>
  <si>
    <t>19523</t>
  </si>
  <si>
    <t>19525</t>
  </si>
  <si>
    <t>19526</t>
  </si>
  <si>
    <t>19529</t>
  </si>
  <si>
    <t>19530</t>
  </si>
  <si>
    <t>19533</t>
  </si>
  <si>
    <t>19534</t>
  </si>
  <si>
    <t>19535</t>
  </si>
  <si>
    <t>19536</t>
  </si>
  <si>
    <t>19538</t>
  </si>
  <si>
    <t>19539</t>
  </si>
  <si>
    <t>19540</t>
  </si>
  <si>
    <t>19541</t>
  </si>
  <si>
    <t>19542</t>
  </si>
  <si>
    <t>19543</t>
  </si>
  <si>
    <t>19544</t>
  </si>
  <si>
    <t>19545</t>
  </si>
  <si>
    <t>19547</t>
  </si>
  <si>
    <t>19548</t>
  </si>
  <si>
    <t>19549</t>
  </si>
  <si>
    <t>19550</t>
  </si>
  <si>
    <t>19551</t>
  </si>
  <si>
    <t>19554</t>
  </si>
  <si>
    <t>19555</t>
  </si>
  <si>
    <t>19559</t>
  </si>
  <si>
    <t>19560</t>
  </si>
  <si>
    <t>19562</t>
  </si>
  <si>
    <t>19564</t>
  </si>
  <si>
    <t>19565</t>
  </si>
  <si>
    <t>19567</t>
  </si>
  <si>
    <t>19601</t>
  </si>
  <si>
    <t>450</t>
  </si>
  <si>
    <t>19602</t>
  </si>
  <si>
    <t>19603</t>
  </si>
  <si>
    <t>19604</t>
  </si>
  <si>
    <t>19605</t>
  </si>
  <si>
    <t>19606</t>
  </si>
  <si>
    <t>19607</t>
  </si>
  <si>
    <t>19608</t>
  </si>
  <si>
    <t>19609</t>
  </si>
  <si>
    <t>19610</t>
  </si>
  <si>
    <t>19611</t>
  </si>
  <si>
    <t>19612</t>
  </si>
  <si>
    <t>19640</t>
  </si>
  <si>
    <t>15001</t>
  </si>
  <si>
    <t>15003</t>
  </si>
  <si>
    <t>15004</t>
  </si>
  <si>
    <t>15005</t>
  </si>
  <si>
    <t>15006</t>
  </si>
  <si>
    <t>15007</t>
  </si>
  <si>
    <t>15009</t>
  </si>
  <si>
    <t>15010</t>
  </si>
  <si>
    <t>15012</t>
  </si>
  <si>
    <t>15014</t>
  </si>
  <si>
    <t>15015</t>
  </si>
  <si>
    <t>15017</t>
  </si>
  <si>
    <t>15018</t>
  </si>
  <si>
    <t>15019</t>
  </si>
  <si>
    <t>15020</t>
  </si>
  <si>
    <t>15021</t>
  </si>
  <si>
    <t>15022</t>
  </si>
  <si>
    <t>15024</t>
  </si>
  <si>
    <t>15025</t>
  </si>
  <si>
    <t>15026</t>
  </si>
  <si>
    <t>15027</t>
  </si>
  <si>
    <t>15028</t>
  </si>
  <si>
    <t>15030</t>
  </si>
  <si>
    <t>15031</t>
  </si>
  <si>
    <t>15032</t>
  </si>
  <si>
    <t>15033</t>
  </si>
  <si>
    <t>15034</t>
  </si>
  <si>
    <t>15035</t>
  </si>
  <si>
    <t>15037</t>
  </si>
  <si>
    <t>15038</t>
  </si>
  <si>
    <t>15042</t>
  </si>
  <si>
    <t>15043</t>
  </si>
  <si>
    <t>15044</t>
  </si>
  <si>
    <t>15045</t>
  </si>
  <si>
    <t>15046</t>
  </si>
  <si>
    <t>15047</t>
  </si>
  <si>
    <t>15049</t>
  </si>
  <si>
    <t>15050</t>
  </si>
  <si>
    <t>15051</t>
  </si>
  <si>
    <t>15052</t>
  </si>
  <si>
    <t>15053</t>
  </si>
  <si>
    <t>15054</t>
  </si>
  <si>
    <t>15055</t>
  </si>
  <si>
    <t>15056</t>
  </si>
  <si>
    <t>15057</t>
  </si>
  <si>
    <t>15059</t>
  </si>
  <si>
    <t>15060</t>
  </si>
  <si>
    <t>15061</t>
  </si>
  <si>
    <t>15062</t>
  </si>
  <si>
    <t>15063</t>
  </si>
  <si>
    <t>15064</t>
  </si>
  <si>
    <t>15065</t>
  </si>
  <si>
    <t>15066</t>
  </si>
  <si>
    <t>15067</t>
  </si>
  <si>
    <t>15068</t>
  </si>
  <si>
    <t>15069</t>
  </si>
  <si>
    <t>15071</t>
  </si>
  <si>
    <t>15072</t>
  </si>
  <si>
    <t>15074</t>
  </si>
  <si>
    <t>15075</t>
  </si>
  <si>
    <t>15076</t>
  </si>
  <si>
    <t>15077</t>
  </si>
  <si>
    <t>15078</t>
  </si>
  <si>
    <t>15081</t>
  </si>
  <si>
    <t>FormType</t>
  </si>
  <si>
    <t>CoverageCode</t>
  </si>
  <si>
    <t>FamilyCount</t>
  </si>
  <si>
    <t>Ratio</t>
  </si>
  <si>
    <t>*</t>
  </si>
  <si>
    <t>CoverageA</t>
  </si>
  <si>
    <t>CoverageB</t>
  </si>
  <si>
    <t>CoverageC</t>
  </si>
  <si>
    <t>HO5</t>
  </si>
  <si>
    <t>CoverageD</t>
  </si>
  <si>
    <t>HO4</t>
  </si>
  <si>
    <t>HO6</t>
  </si>
  <si>
    <t>HO8</t>
  </si>
  <si>
    <t>Territory</t>
  </si>
  <si>
    <t>LossCost</t>
  </si>
  <si>
    <t>HO1</t>
  </si>
  <si>
    <t>397.68</t>
  </si>
  <si>
    <t>185.49</t>
  </si>
  <si>
    <t>145.14</t>
  </si>
  <si>
    <t>165.21</t>
  </si>
  <si>
    <t>201.34</t>
  </si>
  <si>
    <t>196.19</t>
  </si>
  <si>
    <t>215.53</t>
  </si>
  <si>
    <t>194.42</t>
  </si>
  <si>
    <t>170.88</t>
  </si>
  <si>
    <t>201.67</t>
  </si>
  <si>
    <t>185.45</t>
  </si>
  <si>
    <t>199.06</t>
  </si>
  <si>
    <t>155.06</t>
  </si>
  <si>
    <t>194.36</t>
  </si>
  <si>
    <t>220.34</t>
  </si>
  <si>
    <t>202.18</t>
  </si>
  <si>
    <t>203.68</t>
  </si>
  <si>
    <t>254.14</t>
  </si>
  <si>
    <t>205.51</t>
  </si>
  <si>
    <t>214.91</t>
  </si>
  <si>
    <t>HO2</t>
  </si>
  <si>
    <t>HO3</t>
  </si>
  <si>
    <t>34.32</t>
  </si>
  <si>
    <t>18.58</t>
  </si>
  <si>
    <t>20.32</t>
  </si>
  <si>
    <t>17.62</t>
  </si>
  <si>
    <t>16.45</t>
  </si>
  <si>
    <t>22.07</t>
  </si>
  <si>
    <t>21.8</t>
  </si>
  <si>
    <t>21.3</t>
  </si>
  <si>
    <t>20.03</t>
  </si>
  <si>
    <t>17.91</t>
  </si>
  <si>
    <t>21.71</t>
  </si>
  <si>
    <t>21.39</t>
  </si>
  <si>
    <t>22</t>
  </si>
  <si>
    <t>18.86</t>
  </si>
  <si>
    <t>19.94</t>
  </si>
  <si>
    <t>21.38</t>
  </si>
  <si>
    <t>27.13</t>
  </si>
  <si>
    <t>21.17</t>
  </si>
  <si>
    <t>20.87</t>
  </si>
  <si>
    <t>26.28</t>
  </si>
  <si>
    <t>20.04</t>
  </si>
  <si>
    <t>30.89</t>
  </si>
  <si>
    <t>16.71</t>
  </si>
  <si>
    <t>18.29</t>
  </si>
  <si>
    <t>15.86</t>
  </si>
  <si>
    <t>14.81</t>
  </si>
  <si>
    <t>19.87</t>
  </si>
  <si>
    <t>19.62</t>
  </si>
  <si>
    <t>19.17</t>
  </si>
  <si>
    <t>18.03</t>
  </si>
  <si>
    <t>16.12</t>
  </si>
  <si>
    <t>19.54</t>
  </si>
  <si>
    <t>19.25</t>
  </si>
  <si>
    <t>19.8</t>
  </si>
  <si>
    <t>16.97</t>
  </si>
  <si>
    <t>17.94</t>
  </si>
  <si>
    <t>19.24</t>
  </si>
  <si>
    <t>24.42</t>
  </si>
  <si>
    <t>19.05</t>
  </si>
  <si>
    <t>18.79</t>
  </si>
  <si>
    <t>23.65</t>
  </si>
  <si>
    <t>18.04</t>
  </si>
  <si>
    <t>RelativityFactor</t>
  </si>
  <si>
    <t>0.9</t>
  </si>
  <si>
    <t>0.95</t>
  </si>
  <si>
    <t>1</t>
  </si>
  <si>
    <t>1.2</t>
  </si>
  <si>
    <t>1.17</t>
  </si>
  <si>
    <t>Rule/Step Name</t>
  </si>
  <si>
    <t>When</t>
  </si>
  <si>
    <t>Variable</t>
  </si>
  <si>
    <t>Expression</t>
  </si>
  <si>
    <t>Result</t>
  </si>
  <si>
    <t>RunRuleSetForEach(#Products, "Rate Product")</t>
  </si>
  <si>
    <t>Set LOB</t>
  </si>
  <si>
    <t>LOBCode</t>
  </si>
  <si>
    <t>#LOBCode</t>
  </si>
  <si>
    <t>LOBCode = "HO_AAIS"</t>
  </si>
  <si>
    <t>RunRuleSet("Rate HO")</t>
  </si>
  <si>
    <t>RunRuleSetForEach(#RiskItems, "Rate HO Dwelling")</t>
  </si>
  <si>
    <t>Detach forms</t>
  </si>
  <si>
    <t>Warning("TODO: How to detach forms?")</t>
  </si>
  <si>
    <t>Form Type</t>
  </si>
  <si>
    <t>#FormType</t>
  </si>
  <si>
    <t>Territory Code</t>
  </si>
  <si>
    <t>@TerritoryCode</t>
  </si>
  <si>
    <t>LookupRate("HO TerritoryCode", #PropertyZip)</t>
  </si>
  <si>
    <t>RunRuleSet("Rate HO Dwelling - Assign Limits")</t>
  </si>
  <si>
    <t>Reference limit for most forms</t>
  </si>
  <si>
    <t>RefLimit</t>
  </si>
  <si>
    <t>#HOCoverageALimitAmount</t>
  </si>
  <si>
    <t>Coverage A - Remove percent</t>
  </si>
  <si>
    <t>#HOCoverageALimitPercent</t>
  </si>
  <si>
    <t>LookupRate("HO Default Limit Ratios", #FormType, "CoverageB", #FamilyCount)</t>
  </si>
  <si>
    <t>Percent displayed</t>
  </si>
  <si>
    <t>#HOCoverageBLimitPercent</t>
  </si>
  <si>
    <t>Amount</t>
  </si>
  <si>
    <t>#HOCoverageBLimitAmount</t>
  </si>
  <si>
    <t>RefLimit * Ratio</t>
  </si>
  <si>
    <t>LookupRate("HO Default Limit Ratios", #FormType, "CoverageC", #FamilyCount)</t>
  </si>
  <si>
    <t>#HOCoverageCLimitPercent</t>
  </si>
  <si>
    <t>#HOCoverageCLimitAmount</t>
  </si>
  <si>
    <t>LookupRate("HO Default Limit Ratios", #FormType, "CoverageD", #FamilyCount)</t>
  </si>
  <si>
    <t>#HOCoverageDLimitPercent</t>
  </si>
  <si>
    <t>#HOCoverageDLimitAmount</t>
  </si>
  <si>
    <t>Coverage A increased</t>
  </si>
  <si>
    <t>@CovAIncreasedLimit</t>
  </si>
  <si>
    <t>If(HasCoverage("CovAIncreasedLimit"), #HOCovAIncreasedLimit, 0)</t>
  </si>
  <si>
    <t>Coverage C increased</t>
  </si>
  <si>
    <t>@CovCIncreasedLimit</t>
  </si>
  <si>
    <t>If(HasCoverage("CovCIncreasedLimit"), #HOCovCIncreasedLimit, 0)</t>
  </si>
  <si>
    <t>Coverage C reduced</t>
  </si>
  <si>
    <t>@CovCReducedLimit</t>
  </si>
  <si>
    <t>If(HasCoverage("CovCReducedLimit"), #HOCovCReducedLimit, 0)</t>
  </si>
  <si>
    <t>Coverage D increased</t>
  </si>
  <si>
    <t>@CovDIncreasedLimit</t>
  </si>
  <si>
    <t>If(HasCoverage("CovDIncreasedLimit"), #HOCovDIncreasedLimit, 0)</t>
  </si>
  <si>
    <t>Coverage D increased amount</t>
  </si>
  <si>
    <t>@CovDIncreasedLimitAmount</t>
  </si>
  <si>
    <t>@CovDIncreasedLimit * RefLimit</t>
  </si>
  <si>
    <t>RunRuleset("Rate HO Dwelling - Base")</t>
  </si>
  <si>
    <t>Set default limits</t>
  </si>
  <si>
    <t>Lookup base loss cost</t>
  </si>
  <si>
    <t>@BaseLossCost</t>
  </si>
  <si>
    <t>LookupRate("HO Base Loss Cost", #FormType, @TerritoryCode)</t>
  </si>
  <si>
    <t>Lookup form relativity</t>
  </si>
  <si>
    <t>FormRelativity</t>
  </si>
  <si>
    <t>LookupRate("HO Form Relativity", #FormType)</t>
  </si>
  <si>
    <t>Multiply base loss and form relativity</t>
  </si>
  <si>
    <t>@BaseRate</t>
  </si>
  <si>
    <t>FormRelativity * @BaseLossCost</t>
  </si>
  <si>
    <t>Assign occupancy</t>
  </si>
  <si>
    <t>Occupancy</t>
  </si>
  <si>
    <t>if (#OccupancyType = "O", "Owners", "Non-Owners")</t>
  </si>
  <si>
    <t>Owners</t>
  </si>
  <si>
    <t>Nearby water source</t>
  </si>
  <si>
    <t>WaterSource</t>
  </si>
  <si>
    <t>IsIn("Yes", #HydrantQuestion, #WaterSourceQuestion, #TankerQuestion)</t>
  </si>
  <si>
    <t>Lookup protection class</t>
  </si>
  <si>
    <t>PCClass</t>
  </si>
  <si>
    <t>LookupRate("HO Protection Class", #FDDistance, If(WaterSource, 1, 0))</t>
  </si>
  <si>
    <t>PP</t>
  </si>
  <si>
    <t>Lookup PC relativity</t>
  </si>
  <si>
    <t>@PCRelativity</t>
  </si>
  <si>
    <t>LookupRate("HO PC Relativity", Occupancy, #ConstructionType, PCClass)</t>
  </si>
  <si>
    <t>Apply PC relativity</t>
  </si>
  <si>
    <t>@BaseRate * @PCRelativity</t>
  </si>
  <si>
    <t>CovA relativity</t>
  </si>
  <si>
    <t>InsuranceRel</t>
  </si>
  <si>
    <t>LookupInterpolatedRate("HO Insurance Relativity", "CoverageA", #HOCoverageALimitAmount)</t>
  </si>
  <si>
    <t>Apply insurance relativity</t>
  </si>
  <si>
    <t>@BaseRate * InsuranceRel</t>
  </si>
  <si>
    <t>RunRuleSet("Rate HO Dwelling - Deductibles")</t>
  </si>
  <si>
    <t>Check for wind/hail</t>
  </si>
  <si>
    <t>HasWindHail</t>
  </si>
  <si>
    <t>HasCoverage("WindHailDeductible")</t>
  </si>
  <si>
    <t>Check for theft</t>
  </si>
  <si>
    <t>HasIncreasedTheft</t>
  </si>
  <si>
    <t>HasCoverage("IncreasedTheftDeductible") AND !HasWindHail AND #HOAllPerilsDeductible = 100</t>
  </si>
  <si>
    <t>5.1 Flat deductible</t>
  </si>
  <si>
    <t>!HasWindHail AND !HasIncreasedTheft</t>
  </si>
  <si>
    <t>@BaseRate * LookupInterpolatedRate("HO Deductible Factor", #HOAllPerilsDeductible)</t>
  </si>
  <si>
    <t>Save rate prior to premium modifications</t>
  </si>
  <si>
    <t>@BaseRatePreMods</t>
  </si>
  <si>
    <t>RunRuleSet("Rate HO Dwelling - Premium Modifications")</t>
  </si>
  <si>
    <t>Save original rate</t>
  </si>
  <si>
    <t>OriginalRate</t>
  </si>
  <si>
    <t>6.5 Automatic adjustment of limits</t>
  </si>
  <si>
    <t>Warning("TODO")</t>
  </si>
  <si>
    <t>6.6 Additional insurance</t>
  </si>
  <si>
    <t>RunRuleSet("Rate HO Dwelling - Liability Medical")</t>
  </si>
  <si>
    <t>#CoverageMLimit</t>
  </si>
  <si>
    <t>CovL limit factor</t>
  </si>
  <si>
    <t>CovLFactor</t>
  </si>
  <si>
    <t>LookupRate("HO CovL Limit Factors", #CoverageLLimit)</t>
  </si>
  <si>
    <t>8.1.1</t>
  </si>
  <si>
    <t>#CoverageLAmount</t>
  </si>
  <si>
    <t>LookupRate("HO CovL Limit Cost", #CoverageLLimit)</t>
  </si>
  <si>
    <t>8.1.2</t>
  </si>
  <si>
    <t>#CoverageMAmount</t>
  </si>
  <si>
    <t>LookupRate("HO CovM Limit Cost", #CoverageMLimit)</t>
  </si>
  <si>
    <t>Cov L increase</t>
  </si>
  <si>
    <t>#CoverageLAmount + LookupRate("HO CovL Loss Cost", #FormType, #FamilyCount) * CovLFactor</t>
  </si>
  <si>
    <t>Cov M increase</t>
  </si>
  <si>
    <t>#CoverageMAmount + LookupRate("HO CovM Loss Cost", #FormType, #FamilyCount, #CoverageMLimit)</t>
  </si>
  <si>
    <t>#PropertyEmployeeCount &gt; 2</t>
  </si>
  <si>
    <t>Number to charge for</t>
  </si>
  <si>
    <t>EmployeeFactor</t>
  </si>
  <si>
    <t>#PropertyEmployeeCount - 2</t>
  </si>
  <si>
    <t>#CoverageLAmount + LookupRate("HO Domestic Employees Loss Cost", "L", #CoverageLLimit) * EmployeeFactor * CovLFactor</t>
  </si>
  <si>
    <t>Cov M amount</t>
  </si>
  <si>
    <t>#CoverageMAmount + LookupRate("HO Domestic Employees Loss Cost", "M", #CoverageMLimit) * EmployeeFactor</t>
  </si>
  <si>
    <t>3.8 Additional interests</t>
  </si>
  <si>
    <t>RunRuleSetForEach(#ProductPartyRoles, "Rate HO Additional Interests")</t>
  </si>
  <si>
    <t>RunRuleSetForEach(#Coverages, "Rate HO Dwelling - Coverages")</t>
  </si>
  <si>
    <t>Coverage Code</t>
  </si>
  <si>
    <t>#CoverageCode</t>
  </si>
  <si>
    <t>Remove unused</t>
  </si>
  <si>
    <t>7.8 Related Private Structures</t>
  </si>
  <si>
    <t>RunRuleSetForEach(#RiskItemSubRiskItems, "Rate HO Dwelling - Sub Risk Items")</t>
  </si>
  <si>
    <t>Total CovA Premium</t>
  </si>
  <si>
    <t>#CoverageAPremium</t>
  </si>
  <si>
    <t>Aggregate Premiums</t>
  </si>
  <si>
    <t>AggregatePremiums()</t>
  </si>
  <si>
    <t>AggregatePremiumsForPolicy()</t>
  </si>
  <si>
    <t>HO7</t>
  </si>
  <si>
    <t>Zip</t>
  </si>
  <si>
    <t>Limit</t>
  </si>
  <si>
    <t>FamilyNumbers</t>
  </si>
  <si>
    <t>FDDistance</t>
  </si>
  <si>
    <t>ProtectionClass</t>
  </si>
  <si>
    <t>P1</t>
  </si>
  <si>
    <t>P2</t>
  </si>
  <si>
    <t>P3</t>
  </si>
  <si>
    <t>P4</t>
  </si>
  <si>
    <t>P5</t>
  </si>
  <si>
    <t>0</t>
  </si>
  <si>
    <t>UP</t>
  </si>
  <si>
    <t>Construction</t>
  </si>
  <si>
    <t>Protection</t>
  </si>
  <si>
    <t>Factor</t>
  </si>
  <si>
    <t>Non-Owners</t>
  </si>
  <si>
    <t>Frame</t>
  </si>
  <si>
    <t>1.3988</t>
  </si>
  <si>
    <t>1.078</t>
  </si>
  <si>
    <t>1.089</t>
  </si>
  <si>
    <t>1.1</t>
  </si>
  <si>
    <t>1.111</t>
  </si>
  <si>
    <t>1.122</t>
  </si>
  <si>
    <t>1.5387</t>
  </si>
  <si>
    <t>Masonry</t>
  </si>
  <si>
    <t>1.156</t>
  </si>
  <si>
    <t>0.98</t>
  </si>
  <si>
    <t>0.99</t>
  </si>
  <si>
    <t>1.01</t>
  </si>
  <si>
    <t>1.02</t>
  </si>
  <si>
    <t>1.2716</t>
  </si>
  <si>
    <t>1.5141</t>
  </si>
  <si>
    <t>1.1287</t>
  </si>
  <si>
    <t>1.1402</t>
  </si>
  <si>
    <t>1.1517</t>
  </si>
  <si>
    <t>1.1632</t>
  </si>
  <si>
    <t>1.1747</t>
  </si>
  <si>
    <t>1.6044</t>
  </si>
  <si>
    <t>1.3267</t>
  </si>
  <si>
    <t>1.5675</t>
  </si>
  <si>
    <t xml:space="preserve"> Personal Lines Rating</t>
  </si>
  <si>
    <t xml:space="preserve"> Rate each line</t>
  </si>
  <si>
    <t>RunRuleSetForEach( #Products, "Rate LOB")</t>
  </si>
  <si>
    <t xml:space="preserve"> Rate Homeowners LOB</t>
  </si>
  <si>
    <t>RunRuleSet("Rate Homeowners")</t>
  </si>
  <si>
    <t xml:space="preserve"> Rate all dwellings</t>
  </si>
  <si>
    <t>RunRuleSetForEach( #Dwellings, "Rate Dwelling")</t>
  </si>
  <si>
    <t>Detach Existing Forms</t>
  </si>
  <si>
    <t>DetachFormsFromObject("RiskItem", "HO 0002","HO 0003","HO 0004","HO 0005","HO 0006","HO 0008","HO 4857","HO 4815","HO 2557")</t>
  </si>
  <si>
    <t xml:space="preserve"> Rule 301. Base Premium Computation</t>
  </si>
  <si>
    <t xml:space="preserve"> A. All forms except HO 4 and HO 6</t>
  </si>
  <si>
    <t xml:space="preserve"> 1. One or two family dwelling</t>
  </si>
  <si>
    <t>a.</t>
  </si>
  <si>
    <t>BasePremium</t>
  </si>
  <si>
    <t>LookupRate ("Base Class Premium", #FormType)</t>
  </si>
  <si>
    <t>b.1</t>
  </si>
  <si>
    <t>FormFactor</t>
  </si>
  <si>
    <t>LookupRate ("Form Factor", #FormType)</t>
  </si>
  <si>
    <t>b.2</t>
  </si>
  <si>
    <t>min(#DistanceToFireStation, 10)</t>
  </si>
  <si>
    <t>ProtectionClassFactor</t>
  </si>
  <si>
    <t>LookupRate ("Protection Class Factor", #FormType, ProtectionClass, #ConstructionType)</t>
  </si>
  <si>
    <t>c.</t>
  </si>
  <si>
    <t>BasePremium * FormFactor</t>
  </si>
  <si>
    <t>d.</t>
  </si>
  <si>
    <t>BasePremium * ProtectionClassFactor</t>
  </si>
  <si>
    <t>e.1</t>
  </si>
  <si>
    <t>BasePremiumBeforeKeyFactor</t>
  </si>
  <si>
    <t>e.3</t>
  </si>
  <si>
    <t>KeyFactor</t>
  </si>
  <si>
    <t>LookupInterpolatedRate("Amount of Insurance Factor", #FormType, #CoverageALimit)</t>
  </si>
  <si>
    <t>f.</t>
  </si>
  <si>
    <t>BasePremium * KeyFactor</t>
  </si>
  <si>
    <t>2. Three or four family dwelling</t>
  </si>
  <si>
    <t xml:space="preserve"> 3. Attach Base Forms</t>
  </si>
  <si>
    <t>a. Attach HO2 Form</t>
  </si>
  <si>
    <t>AttachFormToObject("RiskItem", "HO 0002", "09 08")</t>
  </si>
  <si>
    <t xml:space="preserve"> Rule 302. Loss Settlement Options</t>
  </si>
  <si>
    <t xml:space="preserve"> B. Actual Cash Value Loss Settlement, HO2 HO3 HO5</t>
  </si>
  <si>
    <t>#LossSettlementOption = "Actual Cash Value"</t>
  </si>
  <si>
    <t xml:space="preserve"> 1. Premium Computation</t>
  </si>
  <si>
    <t>a. Calculate liability to cost</t>
  </si>
  <si>
    <t>LiabToCostPercentage</t>
  </si>
  <si>
    <t>(#CoverageALimit * 100)</t>
  </si>
  <si>
    <t>b. Liability to Cost</t>
  </si>
  <si>
    <t>LiabToCostPercentage/#PropertyValue</t>
  </si>
  <si>
    <t>c. Lookup Liability factor for less than 50%</t>
  </si>
  <si>
    <t>LiabToCostPercentage &lt; 50</t>
  </si>
  <si>
    <t>ACVFactor</t>
  </si>
  <si>
    <t>LookupRate ("Loss Settlement Factor", "Actual Cash Value Under 50")</t>
  </si>
  <si>
    <t>f. Base Premium Computation</t>
  </si>
  <si>
    <t>BasePremium * ACVFactor</t>
  </si>
  <si>
    <t>2. Endorsement</t>
  </si>
  <si>
    <t>AttachFormToObject("RiskItem", "HO 4815", "01 06")</t>
  </si>
  <si>
    <t xml:space="preserve"> Rule 303. Ordinance or Law Coverage All forms except HO8</t>
  </si>
  <si>
    <t xml:space="preserve"> B. Increased Amount of Coverage</t>
  </si>
  <si>
    <t xml:space="preserve"> 2. Premium Determination</t>
  </si>
  <si>
    <t>a.1 Forms HO2 HO3 HO5</t>
  </si>
  <si>
    <t>OrdinanceOrLawFactor</t>
  </si>
  <si>
    <t>a.2 Forms HO2 HO3 HO5</t>
  </si>
  <si>
    <t>BasePremium * OrdinanceOrLawFactor</t>
  </si>
  <si>
    <t>3. Endorsement</t>
  </si>
  <si>
    <t>AttachFormToObject("RiskItem", "HO 2557", "01 06")</t>
  </si>
  <si>
    <t>Set Coverage A Premium</t>
  </si>
  <si>
    <t>Detach Optional Coverage Forms</t>
  </si>
  <si>
    <t>DetachFormsFromObject("RiskItem","HO 3061","HO 2565","HO 2754","HO 2708","HO 2089")</t>
  </si>
  <si>
    <t>Rate Optional Coverages</t>
  </si>
  <si>
    <t>RunRulesetForEach(#Coverages, "Rate HO Optional Coverage")</t>
  </si>
  <si>
    <t xml:space="preserve"> Set Premiums</t>
  </si>
  <si>
    <t>Set Dwelling Premium</t>
  </si>
  <si>
    <t>#BaseRiskItemPremium</t>
  </si>
  <si>
    <t>AggregateRiskItemPremiums()</t>
  </si>
  <si>
    <t>Set Product Premium</t>
  </si>
  <si>
    <t>#BaseProductPremium</t>
  </si>
  <si>
    <t>AggregateProductPremiums()</t>
  </si>
  <si>
    <t>Total premium</t>
  </si>
  <si>
    <t>Set Transaction Queue</t>
  </si>
  <si>
    <t>#DefaultQueue</t>
  </si>
  <si>
    <t>Underwriter</t>
  </si>
  <si>
    <t> Personal Lines Rating</t>
  </si>
  <si>
    <t> Rate each line</t>
  </si>
  <si>
    <t> Rate Homeowners LOB</t>
  </si>
  <si>
    <t> Rate all dwellings</t>
  </si>
  <si>
    <t> Rule 301. Base Premium Computation</t>
  </si>
  <si>
    <t> A. All forms except HO 4 and HO 6</t>
  </si>
  <si>
    <t> 1. One or two family dwelling</t>
  </si>
  <si>
    <t> 3. Attach Base Forms</t>
  </si>
  <si>
    <t> Rule 302. Loss Settlement Options</t>
  </si>
  <si>
    <t> B. Actual Cash Value Loss Settlement, HO2 HO3 HO5</t>
  </si>
  <si>
    <t> 1. Premium Computation</t>
  </si>
  <si>
    <t> Rule 303. Ordinance or Law Coverage All forms except HO8</t>
  </si>
  <si>
    <t> B. Increased Amount of Coverage</t>
  </si>
  <si>
    <t> 2. Premium Determination</t>
  </si>
  <si>
    <t> Set Premiums</t>
  </si>
  <si>
    <t>"Underwriter"</t>
  </si>
  <si>
    <t>Data[index]</t>
  </si>
  <si>
    <t>King</t>
  </si>
  <si>
    <t>Kris</t>
  </si>
  <si>
    <t>Markers</t>
  </si>
  <si>
    <t>1400 American lane</t>
  </si>
  <si>
    <t>Chicago</t>
  </si>
  <si>
    <t>test@test.com</t>
  </si>
  <si>
    <t>Data.forEach((item, index) =&gt; {</t>
  </si>
  <si>
    <r>
      <t>for</t>
    </r>
    <r>
      <rPr>
        <sz val="8"/>
        <color rgb="FFCCCCCC"/>
        <rFont val="Consolas"/>
        <family val="3"/>
      </rPr>
      <t xml:space="preserve"> (</t>
    </r>
    <r>
      <rPr>
        <sz val="8"/>
        <color rgb="FF569CD6"/>
        <rFont val="Consolas"/>
        <family val="3"/>
      </rPr>
      <t>let</t>
    </r>
    <r>
      <rPr>
        <sz val="8"/>
        <color rgb="FFCCCCCC"/>
        <rFont val="Consolas"/>
        <family val="3"/>
      </rPr>
      <t xml:space="preserve"> </t>
    </r>
    <r>
      <rPr>
        <sz val="8"/>
        <color rgb="FF9CDCFE"/>
        <rFont val="Consolas"/>
        <family val="3"/>
      </rPr>
      <t>i</t>
    </r>
    <r>
      <rPr>
        <sz val="8"/>
        <color rgb="FFCCCCCC"/>
        <rFont val="Consolas"/>
        <family val="3"/>
      </rPr>
      <t xml:space="preserve"> </t>
    </r>
    <r>
      <rPr>
        <sz val="8"/>
        <color rgb="FFD4D4D4"/>
        <rFont val="Consolas"/>
        <family val="3"/>
      </rPr>
      <t>=</t>
    </r>
    <r>
      <rPr>
        <sz val="8"/>
        <color rgb="FFCCCCCC"/>
        <rFont val="Consolas"/>
        <family val="3"/>
      </rPr>
      <t xml:space="preserve"> </t>
    </r>
    <r>
      <rPr>
        <sz val="8"/>
        <color rgb="FFB5CEA8"/>
        <rFont val="Consolas"/>
        <family val="3"/>
      </rPr>
      <t>1</t>
    </r>
    <r>
      <rPr>
        <sz val="8"/>
        <color rgb="FFCCCCCC"/>
        <rFont val="Consolas"/>
        <family val="3"/>
      </rPr>
      <t xml:space="preserve">; </t>
    </r>
    <r>
      <rPr>
        <sz val="8"/>
        <color rgb="FF9CDCFE"/>
        <rFont val="Consolas"/>
        <family val="3"/>
      </rPr>
      <t>i</t>
    </r>
    <r>
      <rPr>
        <sz val="8"/>
        <color rgb="FFCCCCCC"/>
        <rFont val="Consolas"/>
        <family val="3"/>
      </rPr>
      <t xml:space="preserve"> </t>
    </r>
    <r>
      <rPr>
        <sz val="8"/>
        <color rgb="FFD4D4D4"/>
        <rFont val="Consolas"/>
        <family val="3"/>
      </rPr>
      <t>&lt;</t>
    </r>
    <r>
      <rPr>
        <sz val="8"/>
        <color rgb="FFCCCCCC"/>
        <rFont val="Consolas"/>
        <family val="3"/>
      </rPr>
      <t xml:space="preserve"> </t>
    </r>
    <r>
      <rPr>
        <sz val="8"/>
        <color rgb="FFB5CEA8"/>
        <rFont val="Consolas"/>
        <family val="3"/>
      </rPr>
      <t>30</t>
    </r>
    <r>
      <rPr>
        <sz val="8"/>
        <color rgb="FFCCCCCC"/>
        <rFont val="Consolas"/>
        <family val="3"/>
      </rPr>
      <t xml:space="preserve">; </t>
    </r>
    <r>
      <rPr>
        <sz val="8"/>
        <color rgb="FF9CDCFE"/>
        <rFont val="Consolas"/>
        <family val="3"/>
      </rPr>
      <t>i</t>
    </r>
    <r>
      <rPr>
        <sz val="8"/>
        <color rgb="FFD4D4D4"/>
        <rFont val="Consolas"/>
        <family val="3"/>
      </rPr>
      <t>++</t>
    </r>
    <r>
      <rPr>
        <sz val="8"/>
        <color rgb="FFCCCCCC"/>
        <rFont val="Consolas"/>
        <family val="3"/>
      </rPr>
      <t>) {</t>
    </r>
  </si>
  <si>
    <t>await page.locator("//html/body/div[3]/div[2]/div/div/mat-option[" + i + "]/span").click();</t>
  </si>
  <si>
    <t>let form: String;</t>
  </si>
  <si>
    <t>if (form=="HO-4"){</t>
  </si>
  <si>
    <t>break;}}</t>
  </si>
  <si>
    <t>Linda Chipman</t>
  </si>
  <si>
    <t>ABC Commercial Marine</t>
  </si>
  <si>
    <t>PA</t>
  </si>
  <si>
    <t>Kansas</t>
  </si>
  <si>
    <t>#</t>
  </si>
  <si>
    <t>60196</t>
  </si>
  <si>
    <t>5678234598</t>
  </si>
  <si>
    <t>Comment1</t>
  </si>
  <si>
    <t>5</t>
  </si>
  <si>
    <t>2009</t>
  </si>
  <si>
    <t>25000</t>
  </si>
  <si>
    <t>1000</t>
  </si>
  <si>
    <t>100000</t>
  </si>
  <si>
    <t>Kristene</t>
  </si>
  <si>
    <t>Scaumburg</t>
  </si>
  <si>
    <t>Illinois</t>
  </si>
  <si>
    <t>Data[0].ClickonPolicy</t>
  </si>
  <si>
    <t>Data[0].ClickonNewQuote</t>
  </si>
  <si>
    <t>Data[0].EntervalidtextinAgency</t>
  </si>
  <si>
    <t>Data[0].SelectClickonAgency</t>
  </si>
  <si>
    <t>Data[0].ClickonProducer</t>
  </si>
  <si>
    <t>Data[0].ClickonCompany</t>
  </si>
  <si>
    <t>Data[0].ClickonRiskState</t>
  </si>
  <si>
    <t>Data[0].ClickonPerson</t>
  </si>
  <si>
    <t>Data[0].EntervalidtextinApplicantFirstName</t>
  </si>
  <si>
    <t>Data[0].EntervalidtextinInsuredLastName</t>
  </si>
  <si>
    <t>Data[0].EntervalidtextinAddressLine1</t>
  </si>
  <si>
    <t>Data[0].EntervalidtextinCity</t>
  </si>
  <si>
    <t>Data[0].ClickonState</t>
  </si>
  <si>
    <t>Data[0].EntervalidtextinZip</t>
  </si>
  <si>
    <t>Data[0].EntervalidtextinEmail</t>
  </si>
  <si>
    <t>Data[0].EntervalidtextinPhone</t>
  </si>
  <si>
    <t>Data[0].ClickonHO</t>
  </si>
  <si>
    <t>Data[0].ClickonGINext</t>
  </si>
  <si>
    <t>Data[0].Comment1</t>
  </si>
  <si>
    <t>Data[0].ClickonaddressId</t>
  </si>
  <si>
    <t>Data[0].SelectClickonaddressId1</t>
  </si>
  <si>
    <t>Data[0].EntervalidtextindistanceToFireStation</t>
  </si>
  <si>
    <t>Data[0].EntervalidtextinyearBuilt</t>
  </si>
  <si>
    <t>Data[0].ClickonformName</t>
  </si>
  <si>
    <t>Data[0].EntervalidtextinpropertyValue</t>
  </si>
  <si>
    <t>Data[0].Entervalidtextinarea</t>
  </si>
  <si>
    <t>Data[0].ClickonoccupancyType</t>
  </si>
  <si>
    <t>Data[0].SelectClickonoccupancyType1</t>
  </si>
  <si>
    <t>Data[0].EntervalidtextinnumberOfFamilies</t>
  </si>
  <si>
    <t>Data[0].ClickonchoiceValue</t>
  </si>
  <si>
    <t>Data[0].SelectClickonchoiceValue1</t>
  </si>
  <si>
    <t>Data[0].ClickonresidenceType</t>
  </si>
  <si>
    <t>Data[0].SelectClickonresidenceType1</t>
  </si>
  <si>
    <t>Data[0].ClickonconstructionType</t>
  </si>
  <si>
    <t>Data[0].SelectClickonconstructionType1</t>
  </si>
  <si>
    <t>Data[0].ClickonexteriorWallType</t>
  </si>
  <si>
    <t>Data[0].SelectClickonexteriorWallType1</t>
  </si>
  <si>
    <t>Data[0].ClickonprimaryHeatingType</t>
  </si>
  <si>
    <t>Data[0].SelectClickonprimaryHeatingType1</t>
  </si>
  <si>
    <t>Data[0].ClickonroofMaterialType</t>
  </si>
  <si>
    <t>Data[0].SelectClickonroofMaterialType1</t>
  </si>
  <si>
    <t>Data[0].EntervalidtextinDwellingLimit</t>
  </si>
  <si>
    <t>Data[0].Clickondeductible1</t>
  </si>
  <si>
    <t>Data[0].SelectClickondeductible12</t>
  </si>
  <si>
    <t>Data[0].Clickondeductible2</t>
  </si>
  <si>
    <t>Data[0].SelectClickondeductible22</t>
  </si>
  <si>
    <t>Data[0].EntervalidtextinCovBlimit1</t>
  </si>
  <si>
    <t>Data[0].Clickonlimit1CovC</t>
  </si>
  <si>
    <t>Data[0].SelectClickonlimit13</t>
  </si>
  <si>
    <t>Data[0].ClickonHONext</t>
  </si>
  <si>
    <t>Data[0].Clickon</t>
  </si>
  <si>
    <t>Data[0].ClickonrateRuleLogTable</t>
  </si>
  <si>
    <t>Data[0].ClickonQSNextButton</t>
  </si>
  <si>
    <t>Data[1].ClickonPolicy</t>
  </si>
  <si>
    <t>Data[1].ClickonNewQuote</t>
  </si>
  <si>
    <t>Data[1].EntervalidtextinAgency</t>
  </si>
  <si>
    <t>Data[1].SelectClickonAgency</t>
  </si>
  <si>
    <t>Data[1].ClickonProducer</t>
  </si>
  <si>
    <t>Data[1].ClickonCompany</t>
  </si>
  <si>
    <t>Data[1].ClickonRiskState</t>
  </si>
  <si>
    <t>Data[1].ClickonPerson</t>
  </si>
  <si>
    <t>Data[1].EntervalidtextinApplicantFirstName</t>
  </si>
  <si>
    <t>Data[1].EntervalidtextinInsuredLastName</t>
  </si>
  <si>
    <t>Data[1].EntervalidtextinAddressLine1</t>
  </si>
  <si>
    <t>Data[1].EntervalidtextinCity</t>
  </si>
  <si>
    <t>Data[1].ClickonState</t>
  </si>
  <si>
    <t>Data[1].EntervalidtextinZip</t>
  </si>
  <si>
    <t>Data[1].EntervalidtextinEmail</t>
  </si>
  <si>
    <t>Data[1].EntervalidtextinPhone</t>
  </si>
  <si>
    <t>Data[1].ClickonHO</t>
  </si>
  <si>
    <t>Data[1].ClickonGINext</t>
  </si>
  <si>
    <t>Data[1].Comment1</t>
  </si>
  <si>
    <t>Data[1].ClickonaddressId</t>
  </si>
  <si>
    <t>Data[1].SelectClickonaddressId1</t>
  </si>
  <si>
    <t>Data[1].EntervalidtextindistanceToFireStation</t>
  </si>
  <si>
    <t>Data[1].EntervalidtextinyearBuilt</t>
  </si>
  <si>
    <t>Data[1].ClickonformName</t>
  </si>
  <si>
    <t>Data[1].EntervalidtextinpropertyValue</t>
  </si>
  <si>
    <t>Data[1].Entervalidtextinarea</t>
  </si>
  <si>
    <t>Data[1].ClickonoccupancyType</t>
  </si>
  <si>
    <t>Data[1].SelectClickonoccupancyType1</t>
  </si>
  <si>
    <t>Data[1].EntervalidtextinnumberOfFamilies</t>
  </si>
  <si>
    <t>Data[1].ClickonchoiceValue</t>
  </si>
  <si>
    <t>Data[1].SelectClickonchoiceValue1</t>
  </si>
  <si>
    <t>Data[1].ClickonresidenceType</t>
  </si>
  <si>
    <t>Data[1].SelectClickonresidenceType1</t>
  </si>
  <si>
    <t>Data[1].ClickonconstructionType</t>
  </si>
  <si>
    <t>Data[1].SelectClickonconstructionType1</t>
  </si>
  <si>
    <t>Data[1].ClickonexteriorWallType</t>
  </si>
  <si>
    <t>Data[1].SelectClickonexteriorWallType1</t>
  </si>
  <si>
    <t>Data[1].ClickonprimaryHeatingType</t>
  </si>
  <si>
    <t>Data[1].SelectClickonprimaryHeatingType1</t>
  </si>
  <si>
    <t>Data[1].ClickonroofMaterialType</t>
  </si>
  <si>
    <t>Data[1].SelectClickonroofMaterialType1</t>
  </si>
  <si>
    <t>Data[1].EntervalidtextinDwellingLimit</t>
  </si>
  <si>
    <t>Data[1].Clickondeductible1</t>
  </si>
  <si>
    <t>Data[1].SelectClickondeductible12</t>
  </si>
  <si>
    <t>Data[1].Clickondeductible2</t>
  </si>
  <si>
    <t>Data[1].SelectClickondeductible22</t>
  </si>
  <si>
    <t>Data[1].EntervalidtextinCovBlimit1</t>
  </si>
  <si>
    <t>Data[1].Clickonlimit1CovC</t>
  </si>
  <si>
    <t>Data[1].SelectClickonlimit13</t>
  </si>
  <si>
    <t>Data[1].ClickonHONext</t>
  </si>
  <si>
    <t>Data[1].Clickon</t>
  </si>
  <si>
    <t>Data[1].ClickonrateRuleLogTable</t>
  </si>
  <si>
    <t>Data[1].ClickonQSNextButton</t>
  </si>
  <si>
    <t>}});</t>
  </si>
  <si>
    <t>GetQuotenumber</t>
  </si>
  <si>
    <t>Getratelog</t>
  </si>
  <si>
    <t xml:space="preserve">import { test, expect,Page} from '@playwright/test';
import ExcelJS from 'exceljs';
import * as XLSX from 'xlsx';
import * as fs from 'fs';
import { TIMEOUT } from 'dns';
export default function createTests() {
let Quotenumber: String;
let Ratelog: String;
test.describe('NewQuote', () =&gt; {
let page: Page;
test.beforeAll(async ({ browser }) =&gt; {
page = await browser.newPage();
await page.goto('https://jarusagentportal-net8.azurewebsites.net/');
});
</t>
  </si>
  <si>
    <r>
      <t>Year of Construction</t>
    </r>
    <r>
      <rPr>
        <sz val="11"/>
        <color rgb="FFFF0000"/>
        <rFont val="Calibri"/>
        <family val="2"/>
        <scheme val="minor"/>
      </rPr>
      <t>*</t>
    </r>
  </si>
  <si>
    <r>
      <t>Current Market Value</t>
    </r>
    <r>
      <rPr>
        <sz val="11"/>
        <color rgb="FFFF0000"/>
        <rFont val="Calibri"/>
        <family val="2"/>
        <scheme val="minor"/>
      </rPr>
      <t>*</t>
    </r>
  </si>
  <si>
    <r>
      <t>Residence Type</t>
    </r>
    <r>
      <rPr>
        <sz val="11"/>
        <color rgb="FFFF0000"/>
        <rFont val="Calibri"/>
        <family val="2"/>
        <scheme val="minor"/>
      </rPr>
      <t>*</t>
    </r>
  </si>
  <si>
    <r>
      <t>Occupancy Type</t>
    </r>
    <r>
      <rPr>
        <sz val="11"/>
        <color rgb="FFFF0000"/>
        <rFont val="Calibri"/>
        <family val="2"/>
        <scheme val="minor"/>
      </rPr>
      <t>*</t>
    </r>
  </si>
  <si>
    <r>
      <t>Construction Type</t>
    </r>
    <r>
      <rPr>
        <sz val="11"/>
        <color rgb="FFFF0000"/>
        <rFont val="Calibri"/>
        <family val="2"/>
        <scheme val="minor"/>
      </rPr>
      <t>*</t>
    </r>
  </si>
  <si>
    <r>
      <t>Number of Floors</t>
    </r>
    <r>
      <rPr>
        <sz val="11"/>
        <color rgb="FFFF0000"/>
        <rFont val="Calibri"/>
        <family val="2"/>
        <scheme val="minor"/>
      </rPr>
      <t>*</t>
    </r>
  </si>
  <si>
    <r>
      <t>Number of Families</t>
    </r>
    <r>
      <rPr>
        <sz val="11"/>
        <color rgb="FFFF0000"/>
        <rFont val="Calibri"/>
        <family val="2"/>
        <scheme val="minor"/>
      </rPr>
      <t>*</t>
    </r>
  </si>
  <si>
    <r>
      <t>Distance to closest responding fire department (miles)</t>
    </r>
    <r>
      <rPr>
        <sz val="11"/>
        <color rgb="FFFF0000"/>
        <rFont val="Calibri"/>
        <family val="2"/>
        <scheme val="minor"/>
      </rPr>
      <t>*</t>
    </r>
  </si>
  <si>
    <r>
      <t>Number of domestic employees</t>
    </r>
    <r>
      <rPr>
        <sz val="11"/>
        <color rgb="FFFF0000"/>
        <rFont val="Calibri"/>
        <family val="2"/>
        <scheme val="minor"/>
      </rPr>
      <t>*</t>
    </r>
  </si>
  <si>
    <r>
      <t>Total number of family units in the building</t>
    </r>
    <r>
      <rPr>
        <sz val="11"/>
        <color rgb="FFFF0000"/>
        <rFont val="Calibri"/>
        <family val="2"/>
        <scheme val="minor"/>
      </rPr>
      <t>*</t>
    </r>
  </si>
  <si>
    <t>Limit - A</t>
  </si>
  <si>
    <t>Actual</t>
  </si>
  <si>
    <t>Expected</t>
  </si>
  <si>
    <t>Status</t>
  </si>
  <si>
    <t>example.spec</t>
  </si>
  <si>
    <t xml:space="preserve"> Rate Products</t>
  </si>
  <si>
    <t>HO_AAIS</t>
  </si>
  <si>
    <t xml:space="preserve"> Rate HO</t>
  </si>
  <si>
    <t>Warning</t>
  </si>
  <si>
    <t xml:space="preserve"> Assign default limits</t>
  </si>
  <si>
    <t xml:space="preserve"> Forms 01 02 03 05 08</t>
  </si>
  <si>
    <t xml:space="preserve"> Coverage B</t>
  </si>
  <si>
    <t xml:space="preserve"> Coverage C</t>
  </si>
  <si>
    <t xml:space="preserve"> Coverage D (all forms)</t>
  </si>
  <si>
    <t xml:space="preserve"> Assign global increased/decreased variables</t>
  </si>
  <si>
    <t xml:space="preserve"> 4.1.1 Base Rating</t>
  </si>
  <si>
    <t xml:space="preserve"> 4.1.1.a</t>
  </si>
  <si>
    <t xml:space="preserve"> 4.1.1.b</t>
  </si>
  <si>
    <t xml:space="preserve"> 4.1.1.c</t>
  </si>
  <si>
    <t xml:space="preserve"> 4.1.2 Deductible Rating</t>
  </si>
  <si>
    <t xml:space="preserve"> 6.0 Rate premium modifications</t>
  </si>
  <si>
    <t xml:space="preserve"> 6.1 Protective Devices</t>
  </si>
  <si>
    <t xml:space="preserve"> 8.0 Optional liability coverages</t>
  </si>
  <si>
    <t xml:space="preserve"> 8.1 CovL and CovM basic, increased, or reduced limits</t>
  </si>
  <si>
    <t xml:space="preserve"> 8.2 Three and four family dwellings</t>
  </si>
  <si>
    <t xml:space="preserve"> 8.3 Domestic employees</t>
  </si>
  <si>
    <t xml:space="preserve"> Rate Coverages</t>
  </si>
  <si>
    <t>CoverageL</t>
  </si>
  <si>
    <t>CoverageM</t>
  </si>
  <si>
    <t>AllPerilsDeductible</t>
  </si>
  <si>
    <t>DefaultLimitRatios</t>
  </si>
  <si>
    <t>BaseLossCost</t>
  </si>
  <si>
    <t>PCRelativity</t>
  </si>
  <si>
    <t>{</t>
  </si>
  <si>
    <t xml:space="preserve">    </t>
  </si>
  <si>
    <t xml:space="preserve">        </t>
  </si>
  <si>
    <t>        {</t>
  </si>
  <si>
    <t xml:space="preserve">            </t>
  </si>
  <si>
    <t>            {</t>
  </si>
  <si>
    <t xml:space="preserve">                </t>
  </si>
  <si>
    <t xml:space="preserve">                    </t>
  </si>
  <si>
    <t>ClickonPolicy</t>
  </si>
  <si>
    <t>ClickonNewQuote</t>
  </si>
  <si>
    <t>EntervalidtextinAgency</t>
  </si>
  <si>
    <t>SelectAgency</t>
  </si>
  <si>
    <t>ClickonProducer</t>
  </si>
  <si>
    <t>ClickonCompany</t>
  </si>
  <si>
    <t>ClickonRiskState</t>
  </si>
  <si>
    <t>ClickonPerson</t>
  </si>
  <si>
    <t>EntervalidtextinApplicantFirstName</t>
  </si>
  <si>
    <t>EntervalidtextinInsuredLastName</t>
  </si>
  <si>
    <t>EntervalidtextinAddressLine1</t>
  </si>
  <si>
    <t>EntervalidtextinCity</t>
  </si>
  <si>
    <t>ClickonState</t>
  </si>
  <si>
    <t>EntervalidtextinZip</t>
  </si>
  <si>
    <t>EntervalidtextinEmail</t>
  </si>
  <si>
    <t>EntervalidtextinPhone</t>
  </si>
  <si>
    <t>ClickonHOAAIS</t>
  </si>
  <si>
    <t>ClickonGeninfoNext</t>
  </si>
  <si>
    <t>ClickonSelectAddress</t>
  </si>
  <si>
    <t>ClickonFormType</t>
  </si>
  <si>
    <t>EntervalidtextinYearBuilt</t>
  </si>
  <si>
    <t>EntervalidtextinCurrentMarketValue</t>
  </si>
  <si>
    <t>ClickonResidenceType</t>
  </si>
  <si>
    <t>ClickonOccupancyType</t>
  </si>
  <si>
    <t>ClickonConstructionType</t>
  </si>
  <si>
    <t>EntervalidtextinNumberofFloors</t>
  </si>
  <si>
    <t>EntervalidtextinNumberofFamilies</t>
  </si>
  <si>
    <t>EntervalidtextinDistance</t>
  </si>
  <si>
    <t>EntervalidtextinnumberOfEmployees</t>
  </si>
  <si>
    <t>EntervalidtextindecimalValue</t>
  </si>
  <si>
    <t>Entervalidtextinlimit1</t>
  </si>
  <si>
    <t>ClickonHONext</t>
  </si>
  <si>
    <t>Clickonarrow</t>
  </si>
  <si>
    <t>    "ClickonPolicy"</t>
  </si>
  <si>
    <t>    "ClickonNewQuote"</t>
  </si>
  <si>
    <t>    "EntervalidtextinAgency"</t>
  </si>
  <si>
    <t>    "SelectAgency"</t>
  </si>
  <si>
    <t>    "ClickonProducer"</t>
  </si>
  <si>
    <t>    "ClickonCompany"</t>
  </si>
  <si>
    <t>    "ClickonRiskState"</t>
  </si>
  <si>
    <t>    "ClickonPerson"</t>
  </si>
  <si>
    <t>    "EntervalidtextinApplicantFirstName"</t>
  </si>
  <si>
    <t>    "EntervalidtextinInsuredLastName"</t>
  </si>
  <si>
    <t>    "EntervalidtextinAddressLine1"</t>
  </si>
  <si>
    <t>    "EntervalidtextinCity"</t>
  </si>
  <si>
    <t>    "ClickonState"</t>
  </si>
  <si>
    <t>    "EntervalidtextinZip"</t>
  </si>
  <si>
    <t>    "EntervalidtextinEmail"</t>
  </si>
  <si>
    <t>    "EntervalidtextinPhone"</t>
  </si>
  <si>
    <t>    "ClickonHOAAIS"</t>
  </si>
  <si>
    <t>    "ClickonGeninfoNext"</t>
  </si>
  <si>
    <t>    "Comment1"</t>
  </si>
  <si>
    <t>    "ClickonSelectAddress"</t>
  </si>
  <si>
    <t>    "ClickonFormType"</t>
  </si>
  <si>
    <t>    "EntervalidtextinYearBuilt"</t>
  </si>
  <si>
    <t>    "EntervalidtextinCurrentMarketValue"</t>
  </si>
  <si>
    <t>    "ClickonResidenceType"</t>
  </si>
  <si>
    <t>    "ClickonOccupancyType"</t>
  </si>
  <si>
    <t>    "ClickonConstructionType"</t>
  </si>
  <si>
    <t>    "EntervalidtextinNumberofFloors"</t>
  </si>
  <si>
    <t>    "EntervalidtextinNumberofFamilies"</t>
  </si>
  <si>
    <t>    "EntervalidtextinDistance"</t>
  </si>
  <si>
    <t>    "EntervalidtextinnumberOfEmployees"</t>
  </si>
  <si>
    <t>    "EntervalidtextindecimalValue"</t>
  </si>
  <si>
    <t>    "Entervalidtextinlimit1"</t>
  </si>
  <si>
    <t>    "ClickonHONext"</t>
  </si>
  <si>
    <t>    "GetQuotenumber"</t>
  </si>
  <si>
    <t>    "Clickonarrow"</t>
  </si>
  <si>
    <t>    "Getratelog"</t>
  </si>
  <si>
    <t>        "ClickonPolicy"</t>
  </si>
  <si>
    <t>        "ClickonNewQuote"</t>
  </si>
  <si>
    <t>        "EntervalidtextinAgency"</t>
  </si>
  <si>
    <t>        "SelectAgency"</t>
  </si>
  <si>
    <t>        "ClickonProducer"</t>
  </si>
  <si>
    <t>        "ClickonCompany"</t>
  </si>
  <si>
    <t>        "ClickonRiskState"</t>
  </si>
  <si>
    <t>        "ClickonPerson"</t>
  </si>
  <si>
    <t>        "EntervalidtextinApplicantFirstName"</t>
  </si>
  <si>
    <t>        "EntervalidtextinInsuredLastName"</t>
  </si>
  <si>
    <t>        "EntervalidtextinAddressLine1"</t>
  </si>
  <si>
    <t>        "EntervalidtextinCity"</t>
  </si>
  <si>
    <t>        "ClickonState"</t>
  </si>
  <si>
    <t>        "EntervalidtextinZip"</t>
  </si>
  <si>
    <t>        "EntervalidtextinEmail"</t>
  </si>
  <si>
    <t>        "EntervalidtextinPhone"</t>
  </si>
  <si>
    <t>        "ClickonHOAAIS"</t>
  </si>
  <si>
    <t>        "ClickonGeninfoNext"</t>
  </si>
  <si>
    <t>        "Comment1"</t>
  </si>
  <si>
    <t>        "ClickonSelectAddress"</t>
  </si>
  <si>
    <t>        "ClickonFormType"</t>
  </si>
  <si>
    <t>        "EntervalidtextinYearBuilt"</t>
  </si>
  <si>
    <t>        "EntervalidtextinCurrentMarketValue"</t>
  </si>
  <si>
    <t>        "ClickonResidenceType"</t>
  </si>
  <si>
    <t>        "ClickonOccupancyType"</t>
  </si>
  <si>
    <t>        "ClickonConstructionType"</t>
  </si>
  <si>
    <t>        "EntervalidtextinNumberofFloors"</t>
  </si>
  <si>
    <t>        "EntervalidtextinNumberofFamilies"</t>
  </si>
  <si>
    <t>        "EntervalidtextinDistance"</t>
  </si>
  <si>
    <t>        "EntervalidtextinnumberOfEmployees"</t>
  </si>
  <si>
    <t>        "EntervalidtextindecimalValue"</t>
  </si>
  <si>
    <t>        "Entervalidtextinlimit1"</t>
  </si>
  <si>
    <t>        "ClickonHONext"</t>
  </si>
  <si>
    <t>        "GetQuotenumber"</t>
  </si>
  <si>
    <t>        "Clickonarrow"</t>
  </si>
  <si>
    <t>        "Getratelog"</t>
  </si>
  <si>
    <t>            "ClickonPolicy"</t>
  </si>
  <si>
    <t>            "ClickonNewQuote"</t>
  </si>
  <si>
    <t>            "EntervalidtextinAgency"</t>
  </si>
  <si>
    <t>            "SelectAgency"</t>
  </si>
  <si>
    <t>            "ClickonProducer"</t>
  </si>
  <si>
    <t>            "ClickonCompany"</t>
  </si>
  <si>
    <t>            "ClickonRiskState"</t>
  </si>
  <si>
    <t>            "ClickonPerson"</t>
  </si>
  <si>
    <t>            "EntervalidtextinApplicantFirstName"</t>
  </si>
  <si>
    <t>            "EntervalidtextinInsuredLastName"</t>
  </si>
  <si>
    <t>            "EntervalidtextinAddressLine1"</t>
  </si>
  <si>
    <t>            "EntervalidtextinCity"</t>
  </si>
  <si>
    <t>            "ClickonState"</t>
  </si>
  <si>
    <t>            "EntervalidtextinZip"</t>
  </si>
  <si>
    <t>            "EntervalidtextinEmail"</t>
  </si>
  <si>
    <t>            "EntervalidtextinPhone"</t>
  </si>
  <si>
    <t>            "ClickonHOAAIS"</t>
  </si>
  <si>
    <t>            "ClickonGeninfoNext"</t>
  </si>
  <si>
    <t>            "Comment1"</t>
  </si>
  <si>
    <t>            "ClickonSelectAddress"</t>
  </si>
  <si>
    <t>            "ClickonFormType"</t>
  </si>
  <si>
    <t>            "EntervalidtextinYearBuilt"</t>
  </si>
  <si>
    <t>            "EntervalidtextinCurrentMarketValue"</t>
  </si>
  <si>
    <t>            "ClickonResidenceType"</t>
  </si>
  <si>
    <t>            "ClickonOccupancyType"</t>
  </si>
  <si>
    <t>            "ClickonConstructionType"</t>
  </si>
  <si>
    <t>            "EntervalidtextinNumberofFloors"</t>
  </si>
  <si>
    <t>            "EntervalidtextinNumberofFamilies"</t>
  </si>
  <si>
    <t>            "EntervalidtextinDistance"</t>
  </si>
  <si>
    <t>            "EntervalidtextinnumberOfEmployees"</t>
  </si>
  <si>
    <t>            "EntervalidtextindecimalValue"</t>
  </si>
  <si>
    <t>            "Entervalidtextinlimit1"</t>
  </si>
  <si>
    <t>            "ClickonHONext"</t>
  </si>
  <si>
    <t>            "GetQuotenumber"</t>
  </si>
  <si>
    <t>            "Clickonarrow"</t>
  </si>
  <si>
    <t>            "Getratelog"</t>
  </si>
  <si>
    <t>                "ClickonPolicy"</t>
  </si>
  <si>
    <t>                "ClickonNewQuote"</t>
  </si>
  <si>
    <t>                "EntervalidtextinAgency"</t>
  </si>
  <si>
    <t>                "SelectAgency"</t>
  </si>
  <si>
    <t>                "ClickonProducer"</t>
  </si>
  <si>
    <t>                "ClickonCompany"</t>
  </si>
  <si>
    <t>                "ClickonRiskState"</t>
  </si>
  <si>
    <t>                "ClickonPerson"</t>
  </si>
  <si>
    <t>                "EntervalidtextinApplicantFirstName"</t>
  </si>
  <si>
    <t>                "EntervalidtextinInsuredLastName"</t>
  </si>
  <si>
    <t>                "EntervalidtextinAddressLine1"</t>
  </si>
  <si>
    <t>                "EntervalidtextinCity"</t>
  </si>
  <si>
    <t>                "ClickonState"</t>
  </si>
  <si>
    <t>                "EntervalidtextinZip"</t>
  </si>
  <si>
    <t>                "EntervalidtextinEmail"</t>
  </si>
  <si>
    <t>                "EntervalidtextinPhone"</t>
  </si>
  <si>
    <t>                "ClickonHOAAIS"</t>
  </si>
  <si>
    <t>                "ClickonGeninfoNext"</t>
  </si>
  <si>
    <t>                "Comment1"</t>
  </si>
  <si>
    <t>                "ClickonSelectAddress"</t>
  </si>
  <si>
    <t>                "ClickonFormType"</t>
  </si>
  <si>
    <t>                "EntervalidtextinYearBuilt"</t>
  </si>
  <si>
    <t>                "EntervalidtextinCurrentMarketValue"</t>
  </si>
  <si>
    <t>                "ClickonResidenceType"</t>
  </si>
  <si>
    <t>                "ClickonOccupancyType"</t>
  </si>
  <si>
    <t>                "ClickonConstructionType"</t>
  </si>
  <si>
    <t>                "EntervalidtextinNumberofFloors"</t>
  </si>
  <si>
    <t>                "EntervalidtextinNumberofFamilies"</t>
  </si>
  <si>
    <t>                "EntervalidtextinDistance"</t>
  </si>
  <si>
    <t>                "EntervalidtextinnumberOfEmployees"</t>
  </si>
  <si>
    <t>                "EntervalidtextindecimalValue"</t>
  </si>
  <si>
    <t>                "Entervalidtextinlimit1"</t>
  </si>
  <si>
    <t>                "ClickonHONext"</t>
  </si>
  <si>
    <t>                "GetQuotenumber"</t>
  </si>
  <si>
    <t>                "Clickonarrow"</t>
  </si>
  <si>
    <t>                "Getratelog"</t>
  </si>
  <si>
    <t>                    "ClickonPolicy"</t>
  </si>
  <si>
    <t>                    "ClickonNewQuote"</t>
  </si>
  <si>
    <t>                    "EntervalidtextinAgency"</t>
  </si>
  <si>
    <t>                    "SelectAgency"</t>
  </si>
  <si>
    <t>                    "ClickonProducer"</t>
  </si>
  <si>
    <t>                    "ClickonCompany"</t>
  </si>
  <si>
    <t>                    "ClickonRiskState"</t>
  </si>
  <si>
    <t>                    "ClickonPerson"</t>
  </si>
  <si>
    <t>                    "EntervalidtextinApplicantFirstName"</t>
  </si>
  <si>
    <t>                    "EntervalidtextinInsuredLastName"</t>
  </si>
  <si>
    <t>                    "EntervalidtextinAddressLine1"</t>
  </si>
  <si>
    <t>                    "EntervalidtextinCity"</t>
  </si>
  <si>
    <t>                    "ClickonState"</t>
  </si>
  <si>
    <t>                    "EntervalidtextinZip"</t>
  </si>
  <si>
    <t>                    "EntervalidtextinEmail"</t>
  </si>
  <si>
    <t>                    "EntervalidtextinPhone"</t>
  </si>
  <si>
    <t>                    "ClickonHOAAIS"</t>
  </si>
  <si>
    <t>                    "ClickonGeninfoNext"</t>
  </si>
  <si>
    <t>                    "Comment1"</t>
  </si>
  <si>
    <t>                    "ClickonSelectAddress"</t>
  </si>
  <si>
    <t>                    "ClickonFormType"</t>
  </si>
  <si>
    <t>                    "EntervalidtextinYearBuilt"</t>
  </si>
  <si>
    <t>                    "EntervalidtextinCurrentMarketValue"</t>
  </si>
  <si>
    <t>                    "ClickonResidenceType"</t>
  </si>
  <si>
    <t>                    "ClickonOccupancyType"</t>
  </si>
  <si>
    <t>                    "ClickonConstructionType"</t>
  </si>
  <si>
    <t>                    "EntervalidtextinNumberofFloors"</t>
  </si>
  <si>
    <t>                    "EntervalidtextinNumberofFamilies"</t>
  </si>
  <si>
    <t>                    "EntervalidtextinDistance"</t>
  </si>
  <si>
    <t>                    "EntervalidtextinnumberOfEmployees"</t>
  </si>
  <si>
    <t>                    "EntervalidtextindecimalValue"</t>
  </si>
  <si>
    <t>                    "Entervalidtextinlimit1"</t>
  </si>
  <si>
    <t>                    "ClickonHONext"</t>
  </si>
  <si>
    <t>                    "GetQuotenumber"</t>
  </si>
  <si>
    <t>                    "Clickonarrow"</t>
  </si>
  <si>
    <t>                    "Getratelog"</t>
  </si>
  <si>
    <t xml:space="preserve"> King</t>
  </si>
  <si>
    <t xml:space="preserve"> Linda Chipman</t>
  </si>
  <si>
    <t xml:space="preserve"> ABC Commercial Marine</t>
  </si>
  <si>
    <t xml:space="preserve"> PA</t>
  </si>
  <si>
    <t xml:space="preserve"> Kris</t>
  </si>
  <si>
    <t xml:space="preserve"> Parker</t>
  </si>
  <si>
    <t xml:space="preserve"> Chicago</t>
  </si>
  <si>
    <t xml:space="preserve"> Illinois</t>
  </si>
  <si>
    <t xml:space="preserve"> test@test.com</t>
  </si>
  <si>
    <t xml:space="preserve"> 1400 Chicago IL</t>
  </si>
  <si>
    <t xml:space="preserve"> HO-5</t>
  </si>
  <si>
    <t xml:space="preserve"> Dwelling</t>
  </si>
  <si>
    <t xml:space="preserve"> Owners</t>
  </si>
  <si>
    <t xml:space="preserve"> Frame</t>
  </si>
  <si>
    <t>Comment1}</t>
  </si>
  <si>
    <t xml:space="preserve"> HO-8</t>
  </si>
  <si>
    <t xml:space="preserve"> Apartment</t>
  </si>
  <si>
    <t>Comment1}{</t>
  </si>
  <si>
    <t xml:space="preserve"> HO-2</t>
  </si>
  <si>
    <t>E1</t>
  </si>
  <si>
    <t>H1</t>
  </si>
  <si>
    <t>L1</t>
  </si>
  <si>
    <t>T1</t>
  </si>
  <si>
    <t>X1</t>
  </si>
  <si>
    <t>AB1</t>
  </si>
  <si>
    <t>AF1</t>
  </si>
  <si>
    <t>Basis</t>
  </si>
  <si>
    <t>10000</t>
  </si>
  <si>
    <t>0.415</t>
  </si>
  <si>
    <t>15000</t>
  </si>
  <si>
    <t>0.448</t>
  </si>
  <si>
    <t>20000</t>
  </si>
  <si>
    <t>0.48</t>
  </si>
  <si>
    <t>0.513</t>
  </si>
  <si>
    <t>30000</t>
  </si>
  <si>
    <t>0.545</t>
  </si>
  <si>
    <t>35000</t>
  </si>
  <si>
    <t>0.578</t>
  </si>
  <si>
    <t>40000</t>
  </si>
  <si>
    <t>0.61</t>
  </si>
  <si>
    <t>45000</t>
  </si>
  <si>
    <t>0.643</t>
  </si>
  <si>
    <t>50000</t>
  </si>
  <si>
    <t>0.675</t>
  </si>
  <si>
    <t>55000</t>
  </si>
  <si>
    <t>0.708</t>
  </si>
  <si>
    <t>60000</t>
  </si>
  <si>
    <t>0.74</t>
  </si>
  <si>
    <t>65000</t>
  </si>
  <si>
    <t>0.773</t>
  </si>
  <si>
    <t>70000</t>
  </si>
  <si>
    <t>0.805</t>
  </si>
  <si>
    <t>75000</t>
  </si>
  <si>
    <t>0.838</t>
  </si>
  <si>
    <t>80000</t>
  </si>
  <si>
    <t>0.87</t>
  </si>
  <si>
    <t>85000</t>
  </si>
  <si>
    <t>0.903</t>
  </si>
  <si>
    <t>90000</t>
  </si>
  <si>
    <t>0.935</t>
  </si>
  <si>
    <t>95000</t>
  </si>
  <si>
    <t>0.968</t>
  </si>
  <si>
    <t>110000</t>
  </si>
  <si>
    <t>1.065</t>
  </si>
  <si>
    <t>120000</t>
  </si>
  <si>
    <t>1.134</t>
  </si>
  <si>
    <t>130000</t>
  </si>
  <si>
    <t>1.203</t>
  </si>
  <si>
    <t>140000</t>
  </si>
  <si>
    <t>1.283</t>
  </si>
  <si>
    <t>150000</t>
  </si>
  <si>
    <t>1.363</t>
  </si>
  <si>
    <t>160000</t>
  </si>
  <si>
    <t>1.448</t>
  </si>
  <si>
    <t>170000</t>
  </si>
  <si>
    <t>1.534</t>
  </si>
  <si>
    <t>180000</t>
  </si>
  <si>
    <t>1.619</t>
  </si>
  <si>
    <t>190000</t>
  </si>
  <si>
    <t>1.704</t>
  </si>
  <si>
    <t>200000</t>
  </si>
  <si>
    <t>1.789</t>
  </si>
  <si>
    <t>210000</t>
  </si>
  <si>
    <t>1.874</t>
  </si>
  <si>
    <t>220000</t>
  </si>
  <si>
    <t>1.96</t>
  </si>
  <si>
    <t>230000</t>
  </si>
  <si>
    <t>2.045</t>
  </si>
  <si>
    <t>240000</t>
  </si>
  <si>
    <t>2.13</t>
  </si>
  <si>
    <t>250000</t>
  </si>
  <si>
    <t>2.215</t>
  </si>
  <si>
    <t>260000</t>
  </si>
  <si>
    <t>2.3</t>
  </si>
  <si>
    <t>270000</t>
  </si>
  <si>
    <t>2.386</t>
  </si>
  <si>
    <t>280000</t>
  </si>
  <si>
    <t>2.471</t>
  </si>
  <si>
    <t>290000</t>
  </si>
  <si>
    <t>2.556</t>
  </si>
  <si>
    <t>300000</t>
  </si>
  <si>
    <t>2.641</t>
  </si>
  <si>
    <t>310000</t>
  </si>
  <si>
    <t>2.726</t>
  </si>
  <si>
    <t>320000</t>
  </si>
  <si>
    <t>2.812</t>
  </si>
  <si>
    <t>330000</t>
  </si>
  <si>
    <t>2.891</t>
  </si>
  <si>
    <t>340000</t>
  </si>
  <si>
    <t>2.966</t>
  </si>
  <si>
    <t>350000</t>
  </si>
  <si>
    <t>3.04</t>
  </si>
  <si>
    <t>360000</t>
  </si>
  <si>
    <t>3.115</t>
  </si>
  <si>
    <t>370000</t>
  </si>
  <si>
    <t>3.19</t>
  </si>
  <si>
    <t>380000</t>
  </si>
  <si>
    <t>3.261</t>
  </si>
  <si>
    <t>390000</t>
  </si>
  <si>
    <t>3.331</t>
  </si>
  <si>
    <t>400000</t>
  </si>
  <si>
    <t>3.4</t>
  </si>
  <si>
    <t>410000</t>
  </si>
  <si>
    <t>3.469</t>
  </si>
  <si>
    <t>420000</t>
  </si>
  <si>
    <t>3.538</t>
  </si>
  <si>
    <t>430000</t>
  </si>
  <si>
    <t>3.608</t>
  </si>
  <si>
    <t>440000</t>
  </si>
  <si>
    <t>3.677</t>
  </si>
  <si>
    <t>450000</t>
  </si>
  <si>
    <t>3.746</t>
  </si>
  <si>
    <t>460000</t>
  </si>
  <si>
    <t>3.815</t>
  </si>
  <si>
    <t>470000</t>
  </si>
  <si>
    <t>3.884</t>
  </si>
  <si>
    <t>480000</t>
  </si>
  <si>
    <t>3.954</t>
  </si>
  <si>
    <t>490000</t>
  </si>
  <si>
    <t>4.023</t>
  </si>
  <si>
    <t>500000</t>
  </si>
  <si>
    <t>4.092</t>
  </si>
  <si>
    <t>510000</t>
  </si>
  <si>
    <t>4.161</t>
  </si>
  <si>
    <t>520000</t>
  </si>
  <si>
    <t>4.231</t>
  </si>
  <si>
    <t>530000</t>
  </si>
  <si>
    <t>4.3</t>
  </si>
  <si>
    <t>540000</t>
  </si>
  <si>
    <t>4.369</t>
  </si>
  <si>
    <t>550000</t>
  </si>
  <si>
    <t>4.438</t>
  </si>
  <si>
    <t>560000</t>
  </si>
  <si>
    <t>4.507</t>
  </si>
  <si>
    <t>570000</t>
  </si>
  <si>
    <t>4.577</t>
  </si>
  <si>
    <t>580000</t>
  </si>
  <si>
    <t>4.643</t>
  </si>
  <si>
    <t>590000</t>
  </si>
  <si>
    <t>4.707</t>
  </si>
  <si>
    <t>600000</t>
  </si>
  <si>
    <t>4.771</t>
  </si>
  <si>
    <t>610000</t>
  </si>
  <si>
    <t>4.835</t>
  </si>
  <si>
    <t>620000</t>
  </si>
  <si>
    <t>4.899</t>
  </si>
  <si>
    <t>630000</t>
  </si>
  <si>
    <t>4.96</t>
  </si>
  <si>
    <t>640000</t>
  </si>
  <si>
    <t>5.019</t>
  </si>
  <si>
    <t>650000</t>
  </si>
  <si>
    <t>5.077</t>
  </si>
  <si>
    <t>660000</t>
  </si>
  <si>
    <t>5.136</t>
  </si>
  <si>
    <t>670000</t>
  </si>
  <si>
    <t>5.194</t>
  </si>
  <si>
    <t>680000</t>
  </si>
  <si>
    <t>5.25</t>
  </si>
  <si>
    <t>690000</t>
  </si>
  <si>
    <t>5.304</t>
  </si>
  <si>
    <t>700000</t>
  </si>
  <si>
    <t>5.357</t>
  </si>
  <si>
    <t>710000</t>
  </si>
  <si>
    <t>5.41</t>
  </si>
  <si>
    <t>720000</t>
  </si>
  <si>
    <t>5.463</t>
  </si>
  <si>
    <t>730000</t>
  </si>
  <si>
    <t>5.517</t>
  </si>
  <si>
    <t>740000</t>
  </si>
  <si>
    <t>5.57</t>
  </si>
  <si>
    <t>750000</t>
  </si>
  <si>
    <t>5.623</t>
  </si>
  <si>
    <t>5000</t>
  </si>
  <si>
    <t>6000</t>
  </si>
  <si>
    <t>7000</t>
  </si>
  <si>
    <t>8000</t>
  </si>
  <si>
    <t>9000</t>
  </si>
  <si>
    <t>11000</t>
  </si>
  <si>
    <t>12000</t>
  </si>
  <si>
    <t>1.13</t>
  </si>
  <si>
    <t>13000</t>
  </si>
  <si>
    <t>1.195</t>
  </si>
  <si>
    <t>14000</t>
  </si>
  <si>
    <t>1.26</t>
  </si>
  <si>
    <t>1.325</t>
  </si>
  <si>
    <t>16000</t>
  </si>
  <si>
    <t>1.387</t>
  </si>
  <si>
    <t>17000</t>
  </si>
  <si>
    <t>1.449</t>
  </si>
  <si>
    <t>18000</t>
  </si>
  <si>
    <t>1.511</t>
  </si>
  <si>
    <t>19000</t>
  </si>
  <si>
    <t>1.574</t>
  </si>
  <si>
    <t>1.636</t>
  </si>
  <si>
    <t>21000</t>
  </si>
  <si>
    <t>1.698</t>
  </si>
  <si>
    <t>22000</t>
  </si>
  <si>
    <t>1.76</t>
  </si>
  <si>
    <t>23000</t>
  </si>
  <si>
    <t>1.823</t>
  </si>
  <si>
    <t>24000</t>
  </si>
  <si>
    <t>1.885</t>
  </si>
  <si>
    <t>26000</t>
  </si>
  <si>
    <t>2.007</t>
  </si>
  <si>
    <t>28000</t>
  </si>
  <si>
    <t>2.126</t>
  </si>
  <si>
    <t>2.245</t>
  </si>
  <si>
    <t>32000</t>
  </si>
  <si>
    <t>2.364</t>
  </si>
  <si>
    <t>34000</t>
  </si>
  <si>
    <t>2.483</t>
  </si>
  <si>
    <t>36000</t>
  </si>
  <si>
    <t>2.601</t>
  </si>
  <si>
    <t>38000</t>
  </si>
  <si>
    <t>2.718</t>
  </si>
  <si>
    <t>2.834</t>
  </si>
  <si>
    <t>42000</t>
  </si>
  <si>
    <t>2.951</t>
  </si>
  <si>
    <t>44000</t>
  </si>
  <si>
    <t>3.068</t>
  </si>
  <si>
    <t>46000</t>
  </si>
  <si>
    <t>3.183</t>
  </si>
  <si>
    <t>48000</t>
  </si>
  <si>
    <t>3.297</t>
  </si>
  <si>
    <t>3.411</t>
  </si>
  <si>
    <t>52000</t>
  </si>
  <si>
    <t>3.525</t>
  </si>
  <si>
    <t>54000</t>
  </si>
  <si>
    <t>3.638</t>
  </si>
  <si>
    <t>56000</t>
  </si>
  <si>
    <t>3.747</t>
  </si>
  <si>
    <t>58000</t>
  </si>
  <si>
    <t>3.85</t>
  </si>
  <si>
    <t>62000</t>
  </si>
  <si>
    <t>4.057</t>
  </si>
  <si>
    <t>64000</t>
  </si>
  <si>
    <t>4.16</t>
  </si>
  <si>
    <t>66000</t>
  </si>
  <si>
    <t>4.261</t>
  </si>
  <si>
    <t>68000</t>
  </si>
  <si>
    <t>4.359</t>
  </si>
  <si>
    <t>4.457</t>
  </si>
  <si>
    <t>4.702</t>
  </si>
  <si>
    <t>4.934</t>
  </si>
  <si>
    <t>5.166</t>
  </si>
  <si>
    <t>5.397</t>
  </si>
  <si>
    <t>5.629</t>
  </si>
  <si>
    <t>5.861</t>
  </si>
  <si>
    <t>105000</t>
  </si>
  <si>
    <t>6.093</t>
  </si>
  <si>
    <t>6.325</t>
  </si>
  <si>
    <t>115000</t>
  </si>
  <si>
    <t>6.556</t>
  </si>
  <si>
    <t>6.788</t>
  </si>
  <si>
    <t>125000</t>
  </si>
  <si>
    <t>7.02</t>
  </si>
  <si>
    <t>7.252</t>
  </si>
  <si>
    <t>135000</t>
  </si>
  <si>
    <t>7.483</t>
  </si>
  <si>
    <t>7.715</t>
  </si>
  <si>
    <t>145000</t>
  </si>
  <si>
    <t>7.947</t>
  </si>
  <si>
    <t>8.179</t>
  </si>
  <si>
    <t>155000</t>
  </si>
  <si>
    <t>8.411</t>
  </si>
  <si>
    <t>8.642</t>
  </si>
  <si>
    <t>165000</t>
  </si>
  <si>
    <t>8.874</t>
  </si>
  <si>
    <t>9.106</t>
  </si>
  <si>
    <t>175000</t>
  </si>
  <si>
    <t>9.338</t>
  </si>
  <si>
    <t>9.57</t>
  </si>
  <si>
    <t>185000</t>
  </si>
  <si>
    <t>9.801</t>
  </si>
  <si>
    <t>10.033</t>
  </si>
  <si>
    <t>195000</t>
  </si>
  <si>
    <t>10.265</t>
  </si>
  <si>
    <t>10.497</t>
  </si>
  <si>
    <t>205000</t>
  </si>
  <si>
    <t>10.728</t>
  </si>
  <si>
    <t>10.96</t>
  </si>
  <si>
    <t>215000</t>
  </si>
  <si>
    <t>11.192</t>
  </si>
  <si>
    <t>11.424</t>
  </si>
  <si>
    <t>225000</t>
  </si>
  <si>
    <t>11.656</t>
  </si>
  <si>
    <t>11.887</t>
  </si>
  <si>
    <t>235000</t>
  </si>
  <si>
    <t>12.119</t>
  </si>
  <si>
    <t>12.351</t>
  </si>
  <si>
    <t>245000</t>
  </si>
  <si>
    <t>12.583</t>
  </si>
  <si>
    <t>12.815</t>
  </si>
  <si>
    <t>255000</t>
  </si>
  <si>
    <t>13.046</t>
  </si>
  <si>
    <t>13.278</t>
  </si>
  <si>
    <t>265000</t>
  </si>
  <si>
    <t>13.51</t>
  </si>
  <si>
    <t>13.742</t>
  </si>
  <si>
    <t>275000</t>
  </si>
  <si>
    <t>13.974</t>
  </si>
  <si>
    <t>Each Additional 10000</t>
  </si>
  <si>
    <t>0.053</t>
  </si>
  <si>
    <t>Each Additional 5000</t>
  </si>
  <si>
    <t>0.232</t>
  </si>
  <si>
    <t>Insurancerelativity</t>
  </si>
  <si>
    <t>Q-0007897-00.txt</t>
  </si>
  <si>
    <t>Q-0007908-00.txt</t>
  </si>
  <si>
    <t>Q-0007910-00.txt</t>
  </si>
  <si>
    <t>Quote Number</t>
  </si>
  <si>
    <t>Expected Premium</t>
  </si>
  <si>
    <t>Actual Premium</t>
  </si>
  <si>
    <t>Q-0007921-00.txt</t>
  </si>
  <si>
    <t>Q-0007922-00.txt</t>
  </si>
  <si>
    <t>D:\Playwright-Automation</t>
  </si>
  <si>
    <t>02LoginUsername</t>
  </si>
  <si>
    <t>Output-data.xlsx</t>
  </si>
  <si>
    <t>PersonalUmbrella.spec</t>
  </si>
  <si>
    <t>pwrun.</t>
  </si>
  <si>
    <t>test.list</t>
  </si>
  <si>
    <t>PersonalAutoRenewal.spec</t>
  </si>
  <si>
    <t>PersonalUmbrellaData.j</t>
  </si>
  <si>
    <t>PersonalAutoRenewalData.j</t>
  </si>
  <si>
    <t>PWReinstate.spec</t>
  </si>
  <si>
    <t>COP.</t>
  </si>
  <si>
    <t>~$COP.</t>
  </si>
  <si>
    <t>02LoginUsername.</t>
  </si>
  <si>
    <t>PWReinstateData.j</t>
  </si>
  <si>
    <t>03LoginPassword</t>
  </si>
  <si>
    <t xml:space="preserve">Click on  </t>
  </si>
  <si>
    <t>//html/body/app-root[1]/div[1]/app-header[1]/mat-toolbar[1]/mat-nav-list[1]/a[3]</t>
  </si>
  <si>
    <t>//html/body/app-root[1]/div[1]/app-header[1]/mat-toolbar[1]/mat-nav-list[1]/a[4]</t>
  </si>
  <si>
    <t>Click on  mat-select-0</t>
  </si>
  <si>
    <t>//html/body/app-root[1]/div[1]/app-header[1]/mat-toolbar[1]/app-quick-search[1]/div[1]/div[1]/mat-form-field[1]/div[1]/div[1]/div[2]/mat-select[1]</t>
  </si>
  <si>
    <t>Enter valid text in searchText</t>
  </si>
  <si>
    <t>//html/body/app-root[1]/div[1]/app-header[1]/mat-toolbar[1]/app-quick-search[1]/div[1]/div[2]/mat-form-field[1]/div[1]/div[1]/div[2]/input[1]</t>
  </si>
  <si>
    <t>//html/body/app-root[1]/div[1]/app-header[1]/mat-toolbar[1]/div[2]/button[1]</t>
  </si>
  <si>
    <t>td</t>
  </si>
  <si>
    <t>//html/body/app-root[1]/div[1]/app-header[1]/mat-toolbar[1]/mat-nav-list[1]/a[1]</t>
  </si>
  <si>
    <t>//html/body/app-root[1]/div[1]/app-header[1]/mat-toolbar[1]/mat-nav-list[1]/a[2]</t>
  </si>
  <si>
    <t>p</t>
  </si>
  <si>
    <t>025OOSInfoPage.</t>
  </si>
  <si>
    <t>026OOSGIPage.</t>
  </si>
  <si>
    <t>027OOSCOPPage.</t>
  </si>
  <si>
    <t>028OOSDefPointsPage.</t>
  </si>
  <si>
    <t>029OOSQSPage.</t>
  </si>
  <si>
    <t>030OOSApplPage.</t>
  </si>
  <si>
    <t>031OOSFormsPage.</t>
  </si>
  <si>
    <t>032OOSTSPage.</t>
  </si>
  <si>
    <t>033EndorsementReviewPage.</t>
  </si>
  <si>
    <t>03LoginPassword.</t>
  </si>
  <si>
    <t>04StaySignedIn.</t>
  </si>
  <si>
    <t>05CustomerAccountPage.</t>
  </si>
  <si>
    <t>06COPPage.</t>
  </si>
  <si>
    <t>07AddLocation.</t>
  </si>
  <si>
    <t>08COPPageWithLocation.</t>
  </si>
  <si>
    <t>09DeficiencyPointsPage.</t>
  </si>
  <si>
    <t>COPOutOfSequence.spec</t>
  </si>
  <si>
    <t>HOCopyQuote</t>
  </si>
  <si>
    <t>08ApplicationPage</t>
  </si>
  <si>
    <t>07QuoteSummaryPage</t>
  </si>
  <si>
    <t>06HOProductPage</t>
  </si>
  <si>
    <t>05GeneralInformationPage</t>
  </si>
  <si>
    <t>04StaySignIn</t>
  </si>
  <si>
    <t>09FormsPage</t>
  </si>
  <si>
    <t>14COpyQuoteApplicationPage</t>
  </si>
  <si>
    <t>13CopyQuoteQSPage</t>
  </si>
  <si>
    <t>12CopyQuoteHOPage</t>
  </si>
  <si>
    <t>11COpyQuoteGIPage</t>
  </si>
  <si>
    <t>10CopyQuoteConfirmationPage</t>
  </si>
  <si>
    <t>HOCopyQuote.</t>
  </si>
  <si>
    <t>mat-radio-button</t>
  </si>
  <si>
    <t>Click on  mat-radio-90</t>
  </si>
  <si>
    <t>Click on  mat-radio-93</t>
  </si>
  <si>
    <t>Click on  mat-radio-96</t>
  </si>
  <si>
    <t>Click on  mat-radio-99</t>
  </si>
  <si>
    <t>Click on  mat-radio-102</t>
  </si>
  <si>
    <t>//html/body/app-root[1]/div[1]/div[1]/app-quote-stepper[1]/div[1]/div[2]/form[1]/mat-horizontal-stepper[1]/div[1]/div[2]/div[4]/div[1]/mat-card[1]/div[1]/div[1]/div[1]/a[1]</t>
  </si>
  <si>
    <t>//html/body/app-root[1]/div[1]/div[1]/app-quote-stepper[1]/div[1]/div[2]/form[1]/mat-horizontal-stepper[1]/div[1]/div[2]/div[4]/div[1]/mat-card[1]/mat-card-content[1]/p[1]</t>
  </si>
  <si>
    <t>//html/body/app-root[1]/div[1]/div[1]/app-quote-stepper[1]/div[1]/div[2]/form[1]/mat-horizontal-stepper[1]/div[1]/div[2]/div[4]/div[1]/mat-card[1]/mat-card-content[1]/app-application[1]/quote-summary-info-partial[1]/div[3]/div[1]/p[1]</t>
  </si>
  <si>
    <t>//html/body/app-root[1]/div[1]/div[1]/app-quote-stepper[1]/div[1]/div[2]/form[1]/mat-horizontal-stepper[1]/div[1]/div[2]/div[4]/div[1]/mat-card[1]/mat-card-content[1]/app-application[1]/quote-summary-info-partial[1]/div[3]/div[1]/p[1]/a[1]</t>
  </si>
  <si>
    <t>//html/body/app-root[1]/div[1]/div[1]/app-quote-stepper[1]/div[1]/div[2]/form[1]/mat-horizontal-stepper[1]/div[1]/div[2]/div[4]/div[1]/mat-card[1]/mat-card-content[1]/app-application[1]/quote-summary-info-partial[1]/div[3]/div[1]/p[2]</t>
  </si>
  <si>
    <t>//html/body/app-root[1]/div[1]/div[1]/app-quote-stepper[1]/div[1]/div[2]/form[1]/mat-horizontal-stepper[1]/div[1]/div[2]/div[4]/div[1]/mat-card[1]/mat-card-content[1]/app-application[1]/quote-summary-info-partial[1]/div[3]/div[1]/p[3]</t>
  </si>
  <si>
    <t>//html/body/app-root[1]/div[1]/div[1]/app-quote-stepper[1]/div[1]/div[2]/form[1]/mat-horizontal-stepper[1]/div[1]/div[2]/div[4]/div[1]/mat-card[1]/mat-card-content[1]/app-application[1]/quote-summary-info-partial[1]/div[3]/div[1]/p[3]/a[1]</t>
  </si>
  <si>
    <t>//html/body/app-root[1]/div[1]/div[1]/app-quote-stepper[1]/div[1]/div[2]/form[1]/mat-horizontal-stepper[1]/div[1]/div[2]/div[4]/div[1]/mat-card[1]/mat-card-content[1]/app-application[1]/quote-summary-info-partial[1]/div[3]/div[1]/p[4]</t>
  </si>
  <si>
    <t>//html/body/app-root[1]/div[1]/div[1]/app-quote-stepper[1]/div[1]/div[2]/form[1]/mat-horizontal-stepper[1]/div[1]/div[2]/div[4]/div[1]/mat-card[1]/mat-card-content[1]/app-application[1]/quote-summary-info-partial[1]/div[3]/div[1]/p[4]/a[1]</t>
  </si>
  <si>
    <t>//html/body/app-root[1]/div[1]/div[1]/app-quote-stepper[1]/div[1]/div[2]/form[1]/mat-horizontal-stepper[1]/div[1]/div[2]/div[4]/div[1]/mat-card[1]/mat-card-content[1]/app-application[1]/quote-summary-info-partial[1]/div[3]/div[2]/p[1]</t>
  </si>
  <si>
    <t>//html/body/app-root[1]/div[1]/div[1]/app-quote-stepper[1]/div[1]/div[2]/form[1]/mat-horizontal-stepper[1]/div[1]/div[2]/div[4]/div[1]/mat-card[1]/mat-card-content[1]/app-application[1]/quote-summary-info-partial[1]/div[3]/div[2]/p[2]</t>
  </si>
  <si>
    <t>//html/body/app-root[1]/div[1]/div[1]/app-quote-stepper[1]/div[1]/div[2]/form[1]/mat-horizontal-stepper[1]/div[1]/div[2]/div[4]/div[1]/mat-card[1]/mat-card-content[1]/app-application[1]/quote-summary-info-partial[1]/div[3]/div[2]/p[3]</t>
  </si>
  <si>
    <t>//html/body/app-root[1]/div[1]/div[1]/app-quote-stepper[1]/div[1]/div[2]/form[1]/mat-horizontal-stepper[1]/div[1]/div[2]/div[4]/div[1]/mat-card[1]/mat-card-content[1]/app-application[1]/quote-summary-info-partial[1]/div[3]/div[2]/p[3]/a[1]</t>
  </si>
  <si>
    <t>//html/body/app-root[1]/div[1]/div[1]/app-quote-stepper[1]/div[1]/div[2]/form[1]/mat-horizontal-stepper[1]/div[1]/div[2]/div[4]/div[1]/mat-card[1]/mat-card-content[1]/app-application[1]/quote-summary-info-partial[1]/div[3]/div[2]/p[4]</t>
  </si>
  <si>
    <t>//html/body/app-root[1]/div[1]/div[1]/app-quote-stepper[1]/div[1]/div[2]/form[1]/mat-horizontal-stepper[1]/div[1]/div[2]/div[4]/div[1]/mat-card[1]/mat-card-content[1]/app-application[1]/quote-summary-info-partial[1]/div[3]/div[2]/p[4]/a[1]</t>
  </si>
  <si>
    <t>//html/body/app-root[1]/div[1]/div[1]/app-quote-stepper[1]/div[1]/div[2]/form[1]/mat-horizontal-stepper[1]/div[1]/div[2]/div[4]/div[1]/mat-card[1]/mat-card-content[1]/app-application[1]/quote-summary-info-partial[1]/div[3]/div[2]/p[5]</t>
  </si>
  <si>
    <t>//html/body/app-root[1]/div[1]/div[1]/app-quote-stepper[1]/div[1]/div[2]/form[1]/mat-horizontal-stepper[1]/div[1]/div[2]/div[4]/div[1]/mat-card[1]/mat-card-content[1]/app-application[1]/quote-summary-info-partial[1]/div[3]/div[3]/p[1]</t>
  </si>
  <si>
    <t>//html/body/app-root[1]/div[1]/div[1]/app-quote-stepper[1]/div[1]/div[2]/form[1]/mat-horizontal-stepper[1]/div[1]/div[2]/div[4]/div[1]/mat-card[1]/mat-card-content[1]/app-application[1]/quote-summary-info-partial[1]/div[3]/div[3]/p[2]</t>
  </si>
  <si>
    <t>//html/body/app-root[1]/div[1]/div[1]/app-quote-stepper[1]/div[1]/div[2]/form[1]/mat-horizontal-stepper[1]/div[1]/div[2]/div[4]/div[1]/mat-card[1]/mat-card-content[1]/app-application[1]/quote-summary-info-partial[1]/div[3]/div[3]/p[3]</t>
  </si>
  <si>
    <t>//html/body/app-root[1]/div[1]/div[1]/app-quote-stepper[1]/div[1]/div[2]/form[1]/mat-horizontal-stepper[1]/div[1]/div[2]/div[4]/div[1]/mat-card[1]/mat-card-content[1]/app-application[1]/quote-summary-info-partial[1]/div[3]/div[3]/p[4]</t>
  </si>
  <si>
    <t>//html/body/app-root[1]/div[1]/div[1]/app-quote-stepper[1]/div[1]/div[2]/form[1]/mat-horizontal-stepper[1]/div[1]/div[2]/div[4]/div[1]/mat-card[1]/mat-card-content[1]/app-application[1]/div[1]/premium-summary[1]/div[1]/div[1]/table[1]</t>
  </si>
  <si>
    <t>//html/body/app-root[1]/div[1]/div[1]/app-quote-stepper[1]/div[1]/div[2]/form[1]/mat-horizontal-stepper[1]/div[1]/div[2]/div[4]/div[1]/mat-card[1]/mat-card-content[1]/app-application[1]/div[1]/premium-summary[1]/div[1]/div[1]/table[1]/tbody[1]/tr[1]/td[1]</t>
  </si>
  <si>
    <t>//html/body/app-root[1]/div[1]/div[1]/app-quote-stepper[1]/div[1]/div[2]/form[1]/mat-horizontal-stepper[1]/div[1]/div[2]/div[4]/div[1]/mat-card[1]/mat-card-content[1]/app-application[1]/div[1]/premium-summary[1]/div[1]/div[1]/table[1]/tbody[1]/tr[1]/td[2]</t>
  </si>
  <si>
    <t>//html/body/app-root[1]/div[1]/div[1]/app-quote-stepper[1]/div[1]/div[2]/form[1]/mat-horizontal-stepper[1]/div[1]/div[2]/div[4]/div[1]/mat-card[1]/mat-card-content[1]/app-application[1]/div[1]/premium-summary[1]/div[1]/div[1]/table[1]/tbody[1]/tr[1]/td[3]</t>
  </si>
  <si>
    <t>//html/body/app-root[1]/div[1]/div[1]/app-quote-stepper[1]/div[1]/div[2]/form[1]/mat-horizontal-stepper[1]/div[1]/div[2]/div[4]/div[1]/mat-card[1]/mat-card-content[1]/app-application[1]/div[1]/premium-summary[1]/div[1]/div[1]/table[1]/tbody[1]/tr[1]/td[4]</t>
  </si>
  <si>
    <t>//html/body/app-root[1]/div[1]/div[1]/app-quote-stepper[1]/div[1]/div[2]/form[1]/mat-horizontal-stepper[1]/div[1]/div[2]/div[4]/div[1]/mat-card[1]/mat-card-content[1]/app-application[1]/div[1]/premium-summary[1]/div[1]/div[1]/table[1]/tfoot[1]/tr[1]/td[1]</t>
  </si>
  <si>
    <t>//html/body/app-root[1]/div[1]/div[1]/app-quote-stepper[1]/div[1]/div[2]/form[1]/mat-horizontal-stepper[1]/div[1]/div[2]/div[4]/div[1]/mat-card[1]/mat-card-content[1]/app-application[1]/div[1]/premium-summary[1]/div[1]/div[1]/table[1]/tfoot[1]/tr[1]/td[2]</t>
  </si>
  <si>
    <t>//html/body/app-root[1]/div[1]/div[1]/app-quote-stepper[1]/div[1]/div[2]/form[1]/mat-horizontal-stepper[1]/div[1]/div[2]/div[4]/div[1]/mat-card[1]/mat-card-content[1]/app-application[1]/div[1]/premium-summary[1]/div[1]/div[1]/table[1]/tfoot[1]/tr[1]/td[3]</t>
  </si>
  <si>
    <t>//html/body/app-root[1]/div[1]/div[1]/app-quote-stepper[1]/div[1]/div[2]/form[1]/mat-horizontal-stepper[1]/div[1]/div[2]/div[4]/div[1]/mat-card[1]/mat-card-content[1]/app-application[1]/div[1]/premium-summary[1]/div[1]/div[1]/table[1]/tfoot[1]/tr[1]/td[4]</t>
  </si>
  <si>
    <t>//html/body/app-root[1]/div[1]/div[1]/app-quote-stepper[1]/div[1]/div[2]/form[1]/mat-horizontal-stepper[1]/div[1]/div[2]/div[4]/div[1]/mat-card[1]/mat-card-content[1]/app-application[1]/div[1]/app-additional-interest-table[1]/div[1]/div[1]/button[1]</t>
  </si>
  <si>
    <t>//html/body/app-root[1]/div[1]/div[1]/app-quote-stepper[1]/div[1]/div[2]/form[1]/mat-horizontal-stepper[1]/div[1]/div[2]/div[4]/div[1]/mat-card[1]/mat-card-content[1]/app-application[1]/div[1]/app-underwriting-questions-root[1]/div[1]/div[1]/div[1]/div[1]/div[2]/div[1]/app-underwriting-questions-child[1]/div[1]/div[1]/app-question-answers[1]/div[1]/div[1]/app-question-answer[1]/div[1]/form[1]/div[1]/app-dynamic-form-item[1]/div[1]/div[1]/div[1]/div[2]/mat-radio-group[1]/mat-radio-button[1]</t>
  </si>
  <si>
    <t>//html/body/app-root[1]/div[1]/div[1]/app-quote-stepper[1]/div[1]/div[2]/form[1]/mat-horizontal-stepper[1]/div[1]/div[2]/div[4]/div[1]/mat-card[1]/mat-card-content[1]/app-application[1]/div[1]/app-underwriting-questions-root[1]/div[1]/div[1]/div[1]/div[1]/div[2]/div[1]/app-underwriting-questions-child[1]/div[1]/div[1]/app-question-answers[1]/div[1]/div[1]/app-question-answer[1]/div[1]/form[1]/div[1]/app-dynamic-form-item[1]/div[1]/div[1]/div[1]/div[2]/mat-radio-group[1]/mat-radio-button[2]</t>
  </si>
  <si>
    <t>//html/body/app-root[1]/div[1]/div[1]/app-quote-stepper[1]/div[1]/div[2]/form[1]/mat-horizontal-stepper[1]/div[1]/div[2]/div[4]/div[1]/mat-card[1]/mat-card-content[1]/app-application[1]/div[1]/app-underwriting-questions-root[1]/div[1]/div[1]/div[1]/div[1]/div[2]/div[1]/app-underwriting-questions-child[1]/div[1]/div[1]/app-question-answers[1]/div[1]/div[2]/app-question-answer[1]/div[1]/form[1]/div[1]/app-dynamic-form-item[1]/div[1]/div[1]/div[1]/div[2]/mat-radio-group[1]/mat-radio-button[1]</t>
  </si>
  <si>
    <t>//html/body/app-root[1]/div[1]/div[1]/app-quote-stepper[1]/div[1]/div[2]/form[1]/mat-horizontal-stepper[1]/div[1]/div[2]/div[4]/div[1]/mat-card[1]/mat-card-content[1]/app-application[1]/div[1]/app-underwriting-questions-root[1]/div[1]/div[1]/div[1]/div[1]/div[2]/div[1]/app-underwriting-questions-child[1]/div[1]/div[1]/app-question-answers[1]/div[1]/div[2]/app-question-answer[1]/div[1]/form[1]/div[1]/app-dynamic-form-item[1]/div[1]/div[1]/div[1]/div[2]/mat-radio-group[1]/mat-radio-button[2]</t>
  </si>
  <si>
    <t>//html/body/app-root[1]/div[1]/div[1]/app-quote-stepper[1]/div[1]/div[2]/form[1]/mat-horizontal-stepper[1]/div[1]/div[2]/div[4]/div[1]/mat-card[1]/mat-card-content[1]/app-application[1]/div[1]/app-underwriting-questions-root[1]/div[1]/div[1]/div[1]/div[1]/div[2]/div[1]/app-underwriting-questions-child[1]/div[1]/div[1]/app-question-answers[1]/div[1]/div[3]/app-question-answer[1]/div[1]/form[1]/div[1]/app-dynamic-form-item[1]/div[1]/div[1]/div[1]/div[2]/mat-radio-group[1]/mat-radio-button[1]</t>
  </si>
  <si>
    <t>//html/body/app-root[1]/div[1]/div[1]/app-quote-stepper[1]/div[1]/div[2]/form[1]/mat-horizontal-stepper[1]/div[1]/div[2]/div[4]/div[1]/mat-card[1]/mat-card-content[1]/app-application[1]/div[1]/app-underwriting-questions-root[1]/div[1]/div[1]/div[1]/div[1]/div[2]/div[1]/app-underwriting-questions-child[1]/div[1]/div[1]/app-question-answers[1]/div[1]/div[3]/app-question-answer[1]/div[1]/form[1]/div[1]/app-dynamic-form-item[1]/div[1]/div[1]/div[1]/div[2]/mat-radio-group[1]/mat-radio-button[2]</t>
  </si>
  <si>
    <t>//html/body/app-root[1]/div[1]/div[1]/app-quote-stepper[1]/div[1]/div[2]/form[1]/mat-horizontal-stepper[1]/div[1]/div[2]/div[4]/div[1]/mat-card[1]/mat-card-content[1]/app-application[1]/div[1]/app-underwriting-questions-root[1]/div[1]/div[1]/div[1]/div[1]/div[2]/div[1]/app-underwriting-questions-child[1]/div[1]/div[1]/app-question-answers[1]/div[1]/div[4]/app-question-answer[1]/div[1]/form[1]/div[1]/app-dynamic-form-item[1]/div[1]/div[1]/div[1]/div[2]/mat-radio-group[1]/mat-radio-button[1]</t>
  </si>
  <si>
    <t>//html/body/app-root[1]/div[1]/div[1]/app-quote-stepper[1]/div[1]/div[2]/form[1]/mat-horizontal-stepper[1]/div[1]/div[2]/div[4]/div[1]/mat-card[1]/mat-card-content[1]/app-application[1]/div[1]/app-underwriting-questions-root[1]/div[1]/div[1]/div[1]/div[1]/div[2]/div[1]/app-underwriting-questions-child[1]/div[1]/div[1]/app-question-answers[1]/div[1]/div[4]/app-question-answer[1]/div[1]/form[1]/div[1]/app-dynamic-form-item[1]/div[1]/div[1]/div[1]/div[2]/mat-radio-group[1]/mat-radio-button[2]</t>
  </si>
  <si>
    <t>//html/body/app-root[1]/div[1]/div[1]/app-quote-stepper[1]/div[1]/div[2]/form[1]/mat-horizontal-stepper[1]/div[1]/div[2]/div[4]/div[1]/mat-card[1]/mat-card-content[1]/app-application[1]/div[1]/app-underwriting-questions-root[1]/div[1]/div[1]/div[1]/div[1]/div[2]/div[1]/app-underwriting-questions-child[1]/div[1]/div[1]/app-question-answers[1]/div[1]/div[5]/app-question-answer[1]/div[1]/form[1]/div[1]/app-dynamic-form-item[1]/div[1]/div[1]/div[1]/div[2]/mat-radio-group[1]/mat-radio-button[1]</t>
  </si>
  <si>
    <t>//html/body/app-root[1]/div[1]/div[1]/app-quote-stepper[1]/div[1]/div[2]/form[1]/mat-horizontal-stepper[1]/div[1]/div[2]/div[4]/div[1]/mat-card[1]/mat-card-content[1]/app-application[1]/div[1]/app-underwriting-questions-root[1]/div[1]/div[1]/div[1]/div[1]/div[2]/div[1]/app-underwriting-questions-child[1]/div[1]/div[1]/app-question-answers[1]/div[1]/div[5]/app-question-answer[1]/div[1]/form[1]/div[1]/app-dynamic-form-item[1]/div[1]/div[1]/div[1]/div[2]/mat-radio-group[1]/mat-radio-button[2]</t>
  </si>
  <si>
    <t>//html/body/app-root[1]/div[1]/div[1]/app-quote-stepper[1]/div[1]/div[2]/form[1]/mat-horizontal-stepper[1]/div[1]/div[2]/div[4]/div[1]/mat-card[1]/mat-card-content[1]/app-application[1]/div[1]/app-underwriting-questions-root[1]/div[1]/div[1]/div[1]/div[1]/div[2]/div[1]/app-underwriting-questions-child[1]/div[1]/div[1]/app-question-answers[1]/div[1]/div[6]/app-question-answer[1]/div[1]/form[1]/div[1]/app-dynamic-form-item[1]/div[1]/div[1]/div[1]/div[2]/mat-radio-group[1]/mat-radio-button[1]</t>
  </si>
  <si>
    <t>//html/body/app-root[1]/div[1]/div[1]/app-quote-stepper[1]/div[1]/div[2]/form[1]/mat-horizontal-stepper[1]/div[1]/div[2]/div[4]/div[1]/mat-card[1]/mat-card-content[1]/app-application[1]/div[1]/app-underwriting-questions-root[1]/div[1]/div[1]/div[1]/div[1]/div[2]/div[1]/app-underwriting-questions-child[1]/div[1]/div[1]/app-question-answers[1]/div[1]/div[6]/app-question-answer[1]/div[1]/form[1]/div[1]/app-dynamic-form-item[1]/div[1]/div[1]/div[1]/div[2]/mat-radio-group[1]/mat-radio-button[2]</t>
  </si>
  <si>
    <t>//html/body/app-root[1]/div[1]/div[1]/app-quote-stepper[1]/div[1]/div[2]/form[1]/mat-horizontal-stepper[1]/div[1]/div[2]/div[4]/div[1]/mat-card[1]/mat-card-content[1]/app-application[1]/div[1]/app-billing-information[1]/div[1]/div[1]/div[1]/div[1]/mat-radio-group[1]/mat-radio-button[1]</t>
  </si>
  <si>
    <t>Click on  directBill</t>
  </si>
  <si>
    <t>//html/body/app-root[1]/div[1]/div[1]/app-quote-stepper[1]/div[1]/div[2]/form[1]/mat-horizontal-stepper[1]/div[1]/div[2]/div[4]/div[1]/mat-card[1]/mat-card-content[1]/app-application[1]/div[1]/app-billing-information[1]/div[1]/div[1]/div[1]/div[1]/mat-radio-group[1]/mat-radio-button[2]</t>
  </si>
  <si>
    <t>//html/body/app-root[1]/div[1]/div[1]/app-quote-stepper[1]/div[1]/div[2]/form[1]/mat-horizontal-stepper[1]/div[1]/div[2]/div[4]/div[1]/mat-card[1]/mat-card-content[1]/app-application[1]/div[1]/app-billing-information[1]/div[1]/div[1]/div[2]/table[1]</t>
  </si>
  <si>
    <t>//html/body/app-root[1]/div[1]/div[1]/app-quote-stepper[1]/div[1]/div[2]/form[1]/mat-horizontal-stepper[1]/div[1]/div[2]/div[4]/div[1]/mat-card[1]/mat-card-content[1]/app-application[1]/div[1]/app-billing-information[1]/div[1]/div[1]/div[2]/table[1]/tbody[1]/tr[1]/td[1]</t>
  </si>
  <si>
    <t>//html/body/app-root[1]/div[1]/div[1]/app-quote-stepper[1]/div[1]/div[2]/form[1]/mat-horizontal-stepper[1]/div[1]/div[2]/div[4]/div[1]/mat-card[1]/mat-card-content[1]/app-application[1]/div[1]/app-billing-information[1]/div[1]/div[1]/div[2]/table[1]/tbody[1]/tr[1]/td[1]/mat-radio-group[1]/mat-radio-button[1]</t>
  </si>
  <si>
    <t>//html/body/app-root[1]/div[1]/div[1]/app-quote-stepper[1]/div[1]/div[2]/form[1]/mat-horizontal-stepper[1]/div[1]/div[2]/div[4]/div[1]/mat-card[1]/mat-card-content[1]/app-application[1]/div[1]/app-billing-information[1]/div[1]/div[1]/div[2]/table[1]/tbody[1]/tr[1]/td[2]</t>
  </si>
  <si>
    <t>//html/body/app-root[1]/div[1]/div[1]/app-quote-stepper[1]/div[1]/div[2]/form[1]/mat-horizontal-stepper[1]/div[1]/div[2]/div[4]/div[1]/mat-card[1]/mat-card-content[1]/app-application[1]/div[1]/app-billing-information[1]/div[1]/div[1]/div[2]/table[1]/tbody[1]/tr[1]/td[3]</t>
  </si>
  <si>
    <t>//html/body/app-root[1]/div[1]/div[1]/app-quote-stepper[1]/div[1]/div[2]/form[1]/mat-horizontal-stepper[1]/div[1]/div[2]/div[4]/div[1]/mat-card[1]/mat-card-content[1]/app-application[1]/div[1]/app-billing-information[1]/div[1]/div[1]/div[2]/table[1]/tbody[1]/tr[1]/td[4]</t>
  </si>
  <si>
    <t>//html/body/app-root[1]/div[1]/div[1]/app-quote-stepper[1]/div[1]/div[2]/form[1]/mat-horizontal-stepper[1]/div[1]/div[2]/div[4]/div[1]/mat-card[1]/mat-card-content[1]/app-application[1]/div[1]/app-billing-information[1]/div[1]/div[1]/div[2]/table[1]/tbody[2]/tr[1]/td[1]</t>
  </si>
  <si>
    <t>Click on  Semi Annual</t>
  </si>
  <si>
    <t>//html/body/app-root[1]/div[1]/div[1]/app-quote-stepper[1]/div[1]/div[2]/form[1]/mat-horizontal-stepper[1]/div[1]/div[2]/div[4]/div[1]/mat-card[1]/mat-card-content[1]/app-application[1]/div[1]/app-billing-information[1]/div[1]/div[1]/div[2]/table[1]/tbody[2]/tr[1]/td[1]/mat-radio-group[1]/mat-radio-button[1]</t>
  </si>
  <si>
    <t>//html/body/app-root[1]/div[1]/div[1]/app-quote-stepper[1]/div[1]/div[2]/form[1]/mat-horizontal-stepper[1]/div[1]/div[2]/div[4]/div[1]/mat-card[1]/mat-card-content[1]/app-application[1]/div[1]/app-billing-information[1]/div[1]/div[1]/div[2]/table[1]/tbody[2]/tr[1]/td[2]</t>
  </si>
  <si>
    <t>//html/body/app-root[1]/div[1]/div[1]/app-quote-stepper[1]/div[1]/div[2]/form[1]/mat-horizontal-stepper[1]/div[1]/div[2]/div[4]/div[1]/mat-card[1]/mat-card-content[1]/app-application[1]/div[1]/app-billing-information[1]/div[1]/div[1]/div[2]/table[1]/tbody[2]/tr[1]/td[3]</t>
  </si>
  <si>
    <t>//html/body/app-root[1]/div[1]/div[1]/app-quote-stepper[1]/div[1]/div[2]/form[1]/mat-horizontal-stepper[1]/div[1]/div[2]/div[4]/div[1]/mat-card[1]/mat-card-content[1]/app-application[1]/div[1]/app-billing-information[1]/div[1]/div[1]/div[2]/table[1]/tbody[2]/tr[1]/td[4]</t>
  </si>
  <si>
    <t>//html/body/app-root[1]/div[1]/div[1]/app-quote-stepper[1]/div[1]/div[2]/form[1]/mat-horizontal-stepper[1]/div[1]/div[2]/div[4]/div[1]/mat-card[1]/mat-card-content[1]/app-application[1]/div[1]/app-billing-information[1]/div[1]/div[1]/div[2]/table[1]/tbody[3]/tr[1]/td[1]</t>
  </si>
  <si>
    <t>Click on  Quarterly</t>
  </si>
  <si>
    <t>//html/body/app-root[1]/div[1]/div[1]/app-quote-stepper[1]/div[1]/div[2]/form[1]/mat-horizontal-stepper[1]/div[1]/div[2]/div[4]/div[1]/mat-card[1]/mat-card-content[1]/app-application[1]/div[1]/app-billing-information[1]/div[1]/div[1]/div[2]/table[1]/tbody[3]/tr[1]/td[1]/mat-radio-group[1]/mat-radio-button[1]</t>
  </si>
  <si>
    <t>//html/body/app-root[1]/div[1]/div[1]/app-quote-stepper[1]/div[1]/div[2]/form[1]/mat-horizontal-stepper[1]/div[1]/div[2]/div[4]/div[1]/mat-card[1]/mat-card-content[1]/app-application[1]/div[1]/app-billing-information[1]/div[1]/div[1]/div[2]/table[1]/tbody[3]/tr[1]/td[2]</t>
  </si>
  <si>
    <t>//html/body/app-root[1]/div[1]/div[1]/app-quote-stepper[1]/div[1]/div[2]/form[1]/mat-horizontal-stepper[1]/div[1]/div[2]/div[4]/div[1]/mat-card[1]/mat-card-content[1]/app-application[1]/div[1]/app-billing-information[1]/div[1]/div[1]/div[2]/table[1]/tbody[3]/tr[1]/td[3]</t>
  </si>
  <si>
    <t>//html/body/app-root[1]/div[1]/div[1]/app-quote-stepper[1]/div[1]/div[2]/form[1]/mat-horizontal-stepper[1]/div[1]/div[2]/div[4]/div[1]/mat-card[1]/mat-card-content[1]/app-application[1]/div[1]/app-billing-information[1]/div[1]/div[1]/div[2]/table[1]/tbody[3]/tr[1]/td[4]</t>
  </si>
  <si>
    <t>//html/body/app-root[1]/div[1]/div[1]/app-quote-stepper[1]/div[1]/div[2]/form[1]/mat-horizontal-stepper[1]/div[1]/div[2]/div[4]/div[1]/mat-card[1]/mat-card-content[1]/app-application[1]/div[1]/app-billing-information[1]/div[1]/div[1]/div[2]/table[1]/tbody[4]/tr[1]/td[1]</t>
  </si>
  <si>
    <t>Click on  Monthly</t>
  </si>
  <si>
    <t>//html/body/app-root[1]/div[1]/div[1]/app-quote-stepper[1]/div[1]/div[2]/form[1]/mat-horizontal-stepper[1]/div[1]/div[2]/div[4]/div[1]/mat-card[1]/mat-card-content[1]/app-application[1]/div[1]/app-billing-information[1]/div[1]/div[1]/div[2]/table[1]/tbody[4]/tr[1]/td[1]/mat-radio-group[1]/mat-radio-button[1]</t>
  </si>
  <si>
    <t>//html/body/app-root[1]/div[1]/div[1]/app-quote-stepper[1]/div[1]/div[2]/form[1]/mat-horizontal-stepper[1]/div[1]/div[2]/div[4]/div[1]/mat-card[1]/mat-card-content[1]/app-application[1]/div[1]/app-billing-information[1]/div[1]/div[1]/div[2]/table[1]/tbody[4]/tr[1]/td[2]</t>
  </si>
  <si>
    <t>//html/body/app-root[1]/div[1]/div[1]/app-quote-stepper[1]/div[1]/div[2]/form[1]/mat-horizontal-stepper[1]/div[1]/div[2]/div[4]/div[1]/mat-card[1]/mat-card-content[1]/app-application[1]/div[1]/app-billing-information[1]/div[1]/div[1]/div[2]/table[1]/tbody[4]/tr[1]/td[3]</t>
  </si>
  <si>
    <t>//html/body/app-root[1]/div[1]/div[1]/app-quote-stepper[1]/div[1]/div[2]/form[1]/mat-horizontal-stepper[1]/div[1]/div[2]/div[4]/div[1]/mat-card[1]/mat-card-content[1]/app-application[1]/div[1]/app-billing-information[1]/div[1]/div[1]/div[2]/table[1]/tbody[4]/tr[1]/td[4]</t>
  </si>
  <si>
    <t>//html/body/app-root[1]/div[1]/div[1]/app-quote-stepper[1]/div[1]/div[2]/form[1]/mat-horizontal-stepper[1]/div[1]/div[2]/div[4]/div[1]/mat-card[1]/mat-card-content[1]/app-application[1]/div[1]/app-billing-information[1]/div[1]/div[1]/app-payor-information[1]/div[2]/div[1]/div[1]/div[2]/div[1]/mat-form-field[1]/div[1]/div[1]/div[2]/mat-select[1]</t>
  </si>
  <si>
    <t>Click on  dueDay</t>
  </si>
  <si>
    <t>//html/body/app-root[1]/div[1]/div[1]/app-quote-stepper[1]/div[1]/div[2]/form[1]/mat-horizontal-stepper[1]/div[1]/div[2]/div[4]/div[1]/mat-card[1]/mat-card-content[1]/app-application[1]/div[1]/app-billing-information[1]/div[1]/div[3]/div[1]/div[1]/div[1]/mat-radio-group[1]/mat-radio-button[1]</t>
  </si>
  <si>
    <t>Click on  accountNumber</t>
  </si>
  <si>
    <t>//html/body/app-root[1]/div[1]/div[1]/app-quote-stepper[1]/div[1]/div[2]/form[1]/mat-horizontal-stepper[1]/div[1]/div[2]/div[4]/div[1]/mat-card[1]/mat-card-content[1]/app-application[1]/div[1]/app-billing-information[1]/div[1]/div[3]/div[1]/div[1]/div[1]/mat-radio-group[1]/mat-radio-button[2]</t>
  </si>
  <si>
    <t>//html/body/app-root[1]/div[1]/div[1]/app-quote-stepper[1]/div[1]/div[2]/form[1]/mat-horizontal-stepper[1]/div[1]/div[2]/div[4]/div[1]/mat-card[1]/mat-card-content[1]/app-application[1]/div[1]/app-billing-information[1]/div[1]/div[3]/div[1]/div[2]/div[1]/div[1]/mat-form-field[1]/div[1]/div[1]/div[2]/input[1]</t>
  </si>
  <si>
    <t>Click on  customer-account-next-button</t>
  </si>
  <si>
    <t>//html/body/app-root[1]/div[1]/div[1]/app-quote-stepper[1]/div[1]/div[2]/form[1]/mat-horizontal-stepper[1]/div[1]/div[2]/div[4]/div[1]/mat-card[1]/mat-card-content[1]/app-application[1]/div[1]/div[1]/button[1]</t>
  </si>
  <si>
    <t>//html/body/app-root[1]/div[1]/div[1]/app-quote-stepper[1]/div[1]/div[2]/form[1]/mat-horizontal-stepper[1]/div[1]/div[2]/div[4]/div[1]/mat-card[1]/mat-card-content[1]/app-application[1]/div[1]/div[1]/button[2]</t>
  </si>
  <si>
    <t>Click on  mat-radio-87</t>
  </si>
  <si>
    <t>Click on  mat-radio-88</t>
  </si>
  <si>
    <t>Click on  mat-radio-91</t>
  </si>
  <si>
    <t>Click on  mat-radio-94</t>
  </si>
  <si>
    <t>Click on  mat-radio-97</t>
  </si>
  <si>
    <t>Click on  mat-radio-100</t>
  </si>
  <si>
    <t>Click on  mat-radio-103</t>
  </si>
  <si>
    <t>Click on  agencyBill</t>
  </si>
  <si>
    <t>Click on  Annual</t>
  </si>
  <si>
    <t>Click on  mat-select-96</t>
  </si>
  <si>
    <t>span</t>
  </si>
  <si>
    <t>VerifyPayorName</t>
  </si>
  <si>
    <t>//html/body/app-root/div/div/app-quote-stepper/div/div[2]/form/mat-horizontal-stepper/div/div[2]/div[4]/div/mat-card/mat-card-content/app-application/div/app-billing-information/div/div[1]/app-payor-information/div[2]/div/div/div[4]/div/mat-form-field/div[1]/div/div[2]/mat-select/div/div[1]/span/span</t>
  </si>
  <si>
    <t>Dwyne Jhonson</t>
  </si>
  <si>
    <t>Enter valid text in mat-input-69</t>
  </si>
  <si>
    <t>Click on  application-next-button</t>
  </si>
  <si>
    <t>04StaySignIn.</t>
  </si>
  <si>
    <t>05GeneralInformationPage.</t>
  </si>
  <si>
    <t>06HOProductPage.</t>
  </si>
  <si>
    <t>07QuoteSummaryPage.</t>
  </si>
  <si>
    <t>08ApplicationPage.</t>
  </si>
  <si>
    <t>09FormsPage.</t>
  </si>
  <si>
    <t>10CopyQuoteConfirmationPage.</t>
  </si>
  <si>
    <t>11COpyQuoteGIPage.</t>
  </si>
  <si>
    <t>12CopyQuoteHOPage.</t>
  </si>
  <si>
    <t>13CopyQuoteQSPage.</t>
  </si>
  <si>
    <t>14COpyQuoteApplicationPage.</t>
  </si>
  <si>
    <t>~$HOCopyQuote.</t>
  </si>
  <si>
    <t>COPOutOfSequenceData.j</t>
  </si>
  <si>
    <t>HOCopyQuote.spec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</si>
</sst>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_);\(&quot;$&quot;#,##0.00\)"/>
    <numFmt numFmtId="164" formatCode="\ ;;;**"/>
  </numFmts>
  <fonts count="47">
    <font>
      <sz val="11"/>
      <color theme="1"/>
      <name val="Calibri"/>
      <family val="2"/>
      <scheme val="minor"/>
    </font>
    <font>
      <sz val="8"/>
      <name val="Calibri"/>
      <family val="2"/>
      <scheme val="minor"/>
    </font>
    <font>
      <u/>
      <sz val="11"/>
      <color theme="10"/>
      <name val="Calibri"/>
      <family val="2"/>
      <scheme val="minor"/>
    </font>
    <font>
      <sz val="10"/>
      <name val="Tahoma"/>
      <family val="2"/>
    </font>
    <font>
      <b/>
      <sz val="10"/>
      <color theme="1"/>
      <name val="Calibri"/>
      <family val="2"/>
      <scheme val="minor"/>
    </font>
    <font>
      <sz val="10"/>
      <color theme="1"/>
      <name val="Calibri"/>
      <family val="2"/>
      <scheme val="minor"/>
    </font>
    <font>
      <sz val="10"/>
      <name val="Calibri"/>
      <family val="2"/>
      <scheme val="minor"/>
    </font>
    <font>
      <sz val="10"/>
      <color theme="0" tint="-0.34998626667073579"/>
      <name val="Calibri"/>
      <family val="2"/>
      <scheme val="minor"/>
    </font>
    <font>
      <b/>
      <sz val="10"/>
      <color theme="0"/>
      <name val="Calibri"/>
      <family val="2"/>
      <scheme val="minor"/>
    </font>
    <font>
      <b/>
      <sz val="10"/>
      <name val="Calibri"/>
      <family val="2"/>
      <scheme val="minor"/>
    </font>
    <font>
      <sz val="11"/>
      <color theme="0"/>
      <name val="Calibri"/>
      <family val="2"/>
      <scheme val="minor"/>
    </font>
    <font>
      <sz val="11"/>
      <color rgb="FF000000"/>
      <name val="Aptos Narrow"/>
      <family val="2"/>
    </font>
    <font>
      <sz val="8"/>
      <color rgb="FFCCCCCC"/>
      <name val="Consolas"/>
      <family val="3"/>
    </font>
    <font>
      <sz val="8"/>
      <color rgb="FFC586C0"/>
      <name val="Consolas"/>
      <family val="3"/>
    </font>
    <font>
      <sz val="8"/>
      <color rgb="FF9CDCFE"/>
      <name val="Consolas"/>
      <family val="3"/>
    </font>
    <font>
      <sz val="8"/>
      <color rgb="FF569CD6"/>
      <name val="Consolas"/>
      <family val="3"/>
    </font>
    <font>
      <sz val="8"/>
      <color rgb="FF4FC1FF"/>
      <name val="Consolas"/>
      <family val="3"/>
    </font>
    <font>
      <sz val="8"/>
      <color rgb="FF6A9955"/>
      <name val="Consolas"/>
      <family val="3"/>
    </font>
    <font>
      <sz val="10"/>
      <color theme="2" tint="-0.249977111117893"/>
      <name val="Calibri"/>
      <family val="2"/>
      <scheme val="minor"/>
    </font>
    <font>
      <b/>
      <sz val="10"/>
      <color rgb="FFFFFF00"/>
      <name val="Calibri"/>
      <family val="2"/>
      <scheme val="minor"/>
    </font>
    <font>
      <b/>
      <sz val="11"/>
      <color rgb="FFFFFF00"/>
      <name val="Calibri"/>
      <family val="2"/>
      <scheme val="minor"/>
    </font>
    <font>
      <sz val="10"/>
      <color rgb="FFFF0000"/>
      <name val="Calibri"/>
      <family val="2"/>
      <scheme val="minor"/>
    </font>
    <font>
      <sz val="10"/>
      <color rgb="FFFFFF00"/>
      <name val="Calibri"/>
      <family val="2"/>
      <scheme val="minor"/>
    </font>
    <font>
      <sz val="10"/>
      <color rgb="FFFFFF00"/>
      <name val="Tahoma"/>
      <family val="2"/>
    </font>
    <font>
      <u/>
      <sz val="11"/>
      <color rgb="FFFFFF00"/>
      <name val="Calibri"/>
      <family val="2"/>
      <scheme val="minor"/>
    </font>
    <font>
      <b/>
      <sz val="15"/>
      <color rgb="FFFFFF00"/>
      <name val="Calibri"/>
      <family val="2"/>
      <scheme val="minor"/>
    </font>
    <font>
      <sz val="11"/>
      <color rgb="FFFFFF00"/>
      <name val="Calibri"/>
      <family val="2"/>
      <scheme val="minor"/>
    </font>
    <font>
      <sz val="10"/>
      <color theme="0"/>
      <name val="Calibri"/>
      <family val="2"/>
      <scheme val="minor"/>
    </font>
    <font>
      <sz val="11"/>
      <name val="Calibri"/>
      <family val="2"/>
      <scheme val="minor"/>
    </font>
    <font>
      <b/>
      <sz val="15"/>
      <color theme="1"/>
      <name val="Calibri"/>
      <family val="2"/>
      <scheme val="minor"/>
    </font>
    <font>
      <b/>
      <sz val="10"/>
      <color rgb="FF00B050"/>
      <name val="Calibri"/>
      <family val="2"/>
      <scheme val="minor"/>
    </font>
    <font>
      <sz val="10"/>
      <color rgb="FF00B050"/>
      <name val="Calibri"/>
      <family val="2"/>
      <scheme val="minor"/>
    </font>
    <font>
      <b/>
      <sz val="15"/>
      <name val="Calibri"/>
      <family val="2"/>
      <scheme val="minor"/>
    </font>
    <font>
      <sz val="8"/>
      <color rgb="FFCE9178"/>
      <name val="Consolas"/>
      <family val="3"/>
    </font>
    <font>
      <sz val="8"/>
      <color rgb="FFD4D4D4"/>
      <name val="Consolas"/>
      <family val="3"/>
    </font>
    <font>
      <sz val="8"/>
      <color rgb="FF4EC9B0"/>
      <name val="Consolas"/>
      <family val="3"/>
    </font>
    <font>
      <sz val="8"/>
      <color rgb="FFDCDCAA"/>
      <name val="Consolas"/>
      <family val="3"/>
    </font>
    <font>
      <sz val="8"/>
      <color rgb="FFB5CEA8"/>
      <name val="Consolas"/>
      <family val="3"/>
    </font>
    <font>
      <b/>
      <sz val="14"/>
      <name val="Calibri"/>
      <family val="2"/>
    </font>
    <font>
      <sz val="11"/>
      <name val="Calibri"/>
      <family val="2"/>
    </font>
    <font>
      <b/>
      <sz val="9"/>
      <color rgb="FF000000"/>
      <name val="Var(--font-family)"/>
    </font>
    <font>
      <sz val="9"/>
      <color rgb="FF000000"/>
      <name val="Var(--font-family)"/>
    </font>
    <font>
      <sz val="9"/>
      <color rgb="FF000000"/>
      <name val="JarusIcons"/>
    </font>
    <font>
      <sz val="11"/>
      <color rgb="FFFF0000"/>
      <name val="Calibri"/>
      <family val="2"/>
      <scheme val="minor"/>
    </font>
    <font>
      <b/>
      <sz val="14"/>
      <name val="Calibri"/>
      <family val="2"/>
    </font>
    <font>
      <sz val="11"/>
      <name val="Calibri"/>
      <family val="2"/>
    </font>
    <font>
      <b/>
      <sz val="11"/>
      <color theme="1"/>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bgColor indexed="64"/>
      </patternFill>
    </fill>
    <fill>
      <patternFill patternType="solid">
        <fgColor rgb="FF1F1F1F"/>
        <bgColor indexed="64"/>
      </patternFill>
    </fill>
    <fill>
      <patternFill patternType="solid">
        <fgColor theme="4" tint="-0.249977111117893"/>
        <bgColor indexed="64"/>
      </patternFill>
    </fill>
    <fill>
      <patternFill patternType="solid">
        <fgColor theme="1"/>
        <bgColor indexed="64"/>
      </patternFill>
    </fill>
    <fill>
      <patternFill patternType="solid">
        <fgColor them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rgb="FFFFFF00"/>
      </left>
      <right style="thin">
        <color rgb="FFFFFF00"/>
      </right>
      <top style="thin">
        <color rgb="FFFFFF00"/>
      </top>
      <bottom style="thin">
        <color rgb="FFFFFF00"/>
      </bottom>
      <diagonal/>
    </border>
    <border>
      <left/>
      <right style="thin">
        <color indexed="64"/>
      </right>
      <top/>
      <bottom style="thin">
        <color indexed="64"/>
      </bottom>
      <diagonal/>
    </border>
    <border>
      <left/>
      <right style="thin">
        <color indexed="64"/>
      </right>
      <top style="thin">
        <color indexed="64"/>
      </top>
      <bottom/>
      <diagonal/>
    </border>
    <border>
      <left style="thick">
        <color rgb="FFFFFF00"/>
      </left>
      <right/>
      <top/>
      <bottom/>
      <diagonal/>
    </border>
    <border>
      <left style="thick">
        <color rgb="FFFFFF00"/>
      </left>
      <right/>
      <top style="thick">
        <color rgb="FFFFFF00"/>
      </top>
      <bottom/>
      <diagonal/>
    </border>
    <border>
      <left style="thick">
        <color rgb="FFFFFF00"/>
      </left>
      <right/>
      <top/>
      <bottom style="thick">
        <color rgb="FFFFFF00"/>
      </bottom>
      <diagonal/>
    </border>
    <border>
      <left/>
      <right style="thick">
        <color rgb="FFFFFF00"/>
      </right>
      <top style="thick">
        <color rgb="FFFFFF00"/>
      </top>
      <bottom/>
      <diagonal/>
    </border>
    <border>
      <left/>
      <right style="thick">
        <color rgb="FFFFFF00"/>
      </right>
      <top/>
      <bottom/>
      <diagonal/>
    </border>
    <border>
      <left style="medium">
        <color indexed="64"/>
      </left>
      <right style="thick">
        <color rgb="FFFFFF00"/>
      </right>
      <top/>
      <bottom/>
      <diagonal/>
    </border>
    <border>
      <left/>
      <right style="thick">
        <color rgb="FFFFFF00"/>
      </right>
      <top/>
      <bottom style="thick">
        <color rgb="FFFFFF00"/>
      </bottom>
      <diagonal/>
    </border>
    <border>
      <left/>
      <right style="medium">
        <color rgb="FFFFFFFF"/>
      </right>
      <top/>
      <bottom/>
      <diagonal/>
    </border>
  </borders>
  <cellStyleXfs count="2">
    <xf numFmtId="0" fontId="0" fillId="0" borderId="0"/>
    <xf numFmtId="0" fontId="2" fillId="0" borderId="0" applyNumberFormat="0" applyFill="0" applyBorder="0" applyAlignment="0" applyProtection="0"/>
  </cellStyleXfs>
  <cellXfs count="139">
    <xf numFmtId="0" fontId="0" fillId="0" borderId="0" xfId="0"/>
    <xf numFmtId="0" fontId="0" fillId="0" borderId="0" xfId="0" applyAlignment="1">
      <alignment wrapText="1"/>
    </xf>
    <xf numFmtId="0" fontId="5" fillId="4" borderId="0" xfId="0" applyFont="1" applyFill="1"/>
    <xf numFmtId="0" fontId="5" fillId="5" borderId="0" xfId="0" applyFont="1" applyFill="1"/>
    <xf numFmtId="0" fontId="5" fillId="6" borderId="0" xfId="0" applyFont="1" applyFill="1"/>
    <xf numFmtId="0" fontId="7" fillId="6" borderId="0" xfId="0" applyFont="1" applyFill="1"/>
    <xf numFmtId="0" fontId="5" fillId="3" borderId="1" xfId="0" applyFont="1" applyFill="1" applyBorder="1"/>
    <xf numFmtId="0" fontId="10" fillId="0" borderId="0" xfId="0" applyFont="1"/>
    <xf numFmtId="0" fontId="2" fillId="0" borderId="0" xfId="1"/>
    <xf numFmtId="0" fontId="5" fillId="6" borderId="0" xfId="0" applyFont="1" applyFill="1" applyAlignment="1">
      <alignment wrapText="1"/>
    </xf>
    <xf numFmtId="0" fontId="4" fillId="2" borderId="5" xfId="0" applyFont="1" applyFill="1" applyBorder="1"/>
    <xf numFmtId="0" fontId="13" fillId="0" borderId="0" xfId="0" applyFont="1" applyAlignment="1">
      <alignment vertical="center"/>
    </xf>
    <xf numFmtId="0" fontId="0" fillId="8" borderId="0" xfId="0" applyFill="1" applyAlignment="1">
      <alignment vertical="center"/>
    </xf>
    <xf numFmtId="0" fontId="15" fillId="0" borderId="0" xfId="0" applyFont="1" applyAlignment="1">
      <alignment vertical="center"/>
    </xf>
    <xf numFmtId="0" fontId="12"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3" fillId="0" borderId="0" xfId="0" applyFont="1" applyAlignment="1">
      <alignment vertical="center" wrapText="1"/>
    </xf>
    <xf numFmtId="0" fontId="15" fillId="0" borderId="0" xfId="0" applyFont="1" applyAlignment="1">
      <alignment vertical="center" wrapText="1"/>
    </xf>
    <xf numFmtId="0" fontId="12" fillId="0" borderId="0" xfId="0" applyFont="1" applyAlignment="1">
      <alignment vertical="center" wrapText="1"/>
    </xf>
    <xf numFmtId="0" fontId="14" fillId="0" borderId="0" xfId="0" applyFont="1" applyAlignment="1">
      <alignment vertical="center"/>
    </xf>
    <xf numFmtId="0" fontId="0" fillId="0" borderId="13" xfId="0" applyBorder="1" applyAlignment="1">
      <alignment wrapText="1"/>
    </xf>
    <xf numFmtId="0" fontId="0" fillId="0" borderId="0" xfId="0" applyAlignment="1">
      <alignment vertical="top" wrapText="1"/>
    </xf>
    <xf numFmtId="0" fontId="0" fillId="0" borderId="11" xfId="0" applyBorder="1" applyAlignment="1">
      <alignment wrapText="1"/>
    </xf>
    <xf numFmtId="0" fontId="5" fillId="3" borderId="0" xfId="0" applyFont="1" applyFill="1"/>
    <xf numFmtId="0" fontId="12" fillId="0" borderId="0" xfId="0" quotePrefix="1" applyFont="1" applyAlignment="1">
      <alignment vertical="center" wrapText="1"/>
    </xf>
    <xf numFmtId="0" fontId="5" fillId="6" borderId="10" xfId="0" applyFont="1" applyFill="1" applyBorder="1" applyAlignment="1">
      <alignment wrapText="1"/>
    </xf>
    <xf numFmtId="0" fontId="8" fillId="7" borderId="14" xfId="0" applyFont="1" applyFill="1" applyBorder="1" applyAlignment="1">
      <alignment wrapText="1"/>
    </xf>
    <xf numFmtId="0" fontId="7" fillId="6" borderId="10" xfId="0" applyFont="1" applyFill="1" applyBorder="1" applyAlignment="1">
      <alignment wrapText="1"/>
    </xf>
    <xf numFmtId="0" fontId="6" fillId="6" borderId="10" xfId="0" applyFont="1" applyFill="1" applyBorder="1" applyAlignment="1">
      <alignment wrapText="1"/>
    </xf>
    <xf numFmtId="0" fontId="5" fillId="6" borderId="11" xfId="0" applyFont="1" applyFill="1" applyBorder="1" applyAlignment="1">
      <alignment wrapText="1"/>
    </xf>
    <xf numFmtId="0" fontId="7" fillId="6" borderId="11" xfId="0" applyFont="1" applyFill="1" applyBorder="1" applyAlignment="1">
      <alignment wrapText="1"/>
    </xf>
    <xf numFmtId="0" fontId="6" fillId="6" borderId="11" xfId="0" applyFont="1" applyFill="1" applyBorder="1" applyAlignment="1">
      <alignment wrapText="1"/>
    </xf>
    <xf numFmtId="0" fontId="6" fillId="4" borderId="11" xfId="0" applyFont="1" applyFill="1" applyBorder="1" applyAlignment="1">
      <alignment wrapText="1"/>
    </xf>
    <xf numFmtId="0" fontId="6" fillId="3" borderId="13" xfId="0" applyFont="1" applyFill="1" applyBorder="1" applyAlignment="1">
      <alignment wrapText="1"/>
    </xf>
    <xf numFmtId="0" fontId="3" fillId="0" borderId="13" xfId="0" applyFont="1" applyBorder="1" applyAlignment="1">
      <alignment horizontal="left" vertical="top" wrapText="1"/>
    </xf>
    <xf numFmtId="0" fontId="3" fillId="0" borderId="12" xfId="0" applyFont="1" applyBorder="1" applyAlignment="1">
      <alignment horizontal="left" vertical="top" wrapText="1"/>
    </xf>
    <xf numFmtId="0" fontId="21" fillId="3" borderId="13" xfId="0" applyFont="1" applyFill="1" applyBorder="1" applyAlignment="1">
      <alignment wrapText="1"/>
    </xf>
    <xf numFmtId="0" fontId="18" fillId="6" borderId="11" xfId="0" applyFont="1" applyFill="1" applyBorder="1" applyAlignment="1">
      <alignment wrapText="1"/>
    </xf>
    <xf numFmtId="0" fontId="8" fillId="7" borderId="10" xfId="0" applyFont="1" applyFill="1" applyBorder="1" applyAlignment="1">
      <alignment wrapText="1"/>
    </xf>
    <xf numFmtId="0" fontId="3" fillId="0" borderId="15" xfId="0" applyFont="1" applyBorder="1" applyAlignment="1">
      <alignment horizontal="left" vertical="top" wrapText="1"/>
    </xf>
    <xf numFmtId="0" fontId="3" fillId="0" borderId="11" xfId="0" applyFont="1" applyBorder="1" applyAlignment="1">
      <alignment horizontal="left" vertical="top" wrapText="1"/>
    </xf>
    <xf numFmtId="0" fontId="2" fillId="3" borderId="15" xfId="1" applyFill="1" applyBorder="1" applyAlignment="1">
      <alignment wrapText="1"/>
    </xf>
    <xf numFmtId="0" fontId="19" fillId="9" borderId="2" xfId="0" applyFont="1" applyFill="1" applyBorder="1" applyAlignment="1">
      <alignment wrapText="1"/>
    </xf>
    <xf numFmtId="0" fontId="0" fillId="0" borderId="12" xfId="0" applyBorder="1" applyAlignment="1">
      <alignment wrapText="1"/>
    </xf>
    <xf numFmtId="0" fontId="5" fillId="3" borderId="15" xfId="0" applyFont="1" applyFill="1" applyBorder="1" applyAlignment="1">
      <alignment wrapText="1"/>
    </xf>
    <xf numFmtId="0" fontId="5" fillId="4" borderId="11" xfId="0" applyFont="1" applyFill="1" applyBorder="1" applyAlignment="1">
      <alignment wrapText="1"/>
    </xf>
    <xf numFmtId="0" fontId="5" fillId="4" borderId="0" xfId="0" applyFont="1" applyFill="1" applyAlignment="1">
      <alignment wrapText="1"/>
    </xf>
    <xf numFmtId="0" fontId="6" fillId="10" borderId="0" xfId="0" applyFont="1" applyFill="1"/>
    <xf numFmtId="0" fontId="6" fillId="10" borderId="16" xfId="0" applyFont="1" applyFill="1" applyBorder="1" applyAlignment="1">
      <alignment vertical="center" wrapText="1"/>
    </xf>
    <xf numFmtId="0" fontId="19" fillId="10" borderId="5" xfId="0" applyFont="1" applyFill="1" applyBorder="1" applyAlignment="1">
      <alignment horizontal="center" vertical="center"/>
    </xf>
    <xf numFmtId="0" fontId="20" fillId="10" borderId="0" xfId="0" applyFont="1" applyFill="1" applyAlignment="1">
      <alignment horizontal="center" vertical="center"/>
    </xf>
    <xf numFmtId="0" fontId="19" fillId="10" borderId="0" xfId="0" applyFont="1" applyFill="1" applyAlignment="1">
      <alignment horizontal="center" vertical="center"/>
    </xf>
    <xf numFmtId="0" fontId="22" fillId="10" borderId="0" xfId="0" applyFont="1" applyFill="1"/>
    <xf numFmtId="0" fontId="19" fillId="10" borderId="3" xfId="0" applyFont="1" applyFill="1" applyBorder="1"/>
    <xf numFmtId="0" fontId="23" fillId="10" borderId="7" xfId="0" applyFont="1" applyFill="1" applyBorder="1" applyAlignment="1">
      <alignment horizontal="left" vertical="top" wrapText="1"/>
    </xf>
    <xf numFmtId="0" fontId="23" fillId="10" borderId="5" xfId="0" applyFont="1" applyFill="1" applyBorder="1" applyAlignment="1">
      <alignment horizontal="left" vertical="top" wrapText="1"/>
    </xf>
    <xf numFmtId="0" fontId="22" fillId="10" borderId="0" xfId="0" applyFont="1" applyFill="1" applyAlignment="1">
      <alignment wrapText="1"/>
    </xf>
    <xf numFmtId="0" fontId="24" fillId="10" borderId="1" xfId="1" applyFont="1" applyFill="1" applyBorder="1" applyAlignment="1"/>
    <xf numFmtId="0" fontId="22" fillId="10" borderId="0" xfId="0" applyFont="1" applyFill="1" applyProtection="1">
      <protection hidden="1"/>
    </xf>
    <xf numFmtId="0" fontId="22" fillId="10" borderId="0" xfId="0" quotePrefix="1" applyFont="1" applyFill="1"/>
    <xf numFmtId="0" fontId="26" fillId="10" borderId="0" xfId="0" applyFont="1" applyFill="1"/>
    <xf numFmtId="0" fontId="19" fillId="10" borderId="6" xfId="0" applyFont="1" applyFill="1" applyBorder="1" applyAlignment="1">
      <alignment horizontal="center" vertical="center"/>
    </xf>
    <xf numFmtId="0" fontId="22" fillId="10" borderId="16" xfId="0" applyFont="1" applyFill="1" applyBorder="1" applyAlignment="1">
      <alignment vertical="center" wrapText="1"/>
    </xf>
    <xf numFmtId="164" fontId="26" fillId="10" borderId="0" xfId="0" applyNumberFormat="1" applyFont="1" applyFill="1"/>
    <xf numFmtId="0" fontId="19" fillId="10" borderId="5" xfId="0" applyFont="1" applyFill="1" applyBorder="1"/>
    <xf numFmtId="0" fontId="26" fillId="10" borderId="0" xfId="0" applyFont="1" applyFill="1" applyProtection="1">
      <protection hidden="1"/>
    </xf>
    <xf numFmtId="0" fontId="22" fillId="10" borderId="16" xfId="0" applyFont="1" applyFill="1" applyBorder="1" applyAlignment="1">
      <alignment horizontal="center" vertical="center" wrapText="1"/>
    </xf>
    <xf numFmtId="0" fontId="22" fillId="10" borderId="9" xfId="0" applyFont="1" applyFill="1" applyBorder="1"/>
    <xf numFmtId="0" fontId="22" fillId="10" borderId="9" xfId="0" applyFont="1" applyFill="1" applyBorder="1" applyAlignment="1">
      <alignment wrapText="1"/>
    </xf>
    <xf numFmtId="0" fontId="27" fillId="10" borderId="16" xfId="0" applyFont="1" applyFill="1" applyBorder="1" applyAlignment="1">
      <alignment horizontal="center" vertical="center" wrapText="1"/>
    </xf>
    <xf numFmtId="0" fontId="27" fillId="10" borderId="16" xfId="0" applyFont="1" applyFill="1" applyBorder="1" applyAlignment="1">
      <alignment vertical="center" wrapText="1"/>
    </xf>
    <xf numFmtId="0" fontId="25" fillId="10" borderId="0" xfId="0" applyFont="1" applyFill="1" applyAlignment="1">
      <alignment vertical="center"/>
    </xf>
    <xf numFmtId="0" fontId="19" fillId="10" borderId="4" xfId="0" applyFont="1" applyFill="1" applyBorder="1" applyAlignment="1">
      <alignment horizontal="center" vertical="center"/>
    </xf>
    <xf numFmtId="0" fontId="27" fillId="10" borderId="18" xfId="0" applyFont="1" applyFill="1" applyBorder="1" applyAlignment="1">
      <alignment horizontal="center" vertical="center" wrapText="1"/>
    </xf>
    <xf numFmtId="0" fontId="22" fillId="10" borderId="17" xfId="0" applyFont="1" applyFill="1" applyBorder="1"/>
    <xf numFmtId="0" fontId="22" fillId="10" borderId="17" xfId="0" applyFont="1" applyFill="1" applyBorder="1" applyAlignment="1">
      <alignment vertical="center" wrapText="1"/>
    </xf>
    <xf numFmtId="0" fontId="19" fillId="10" borderId="17" xfId="0" applyFont="1" applyFill="1" applyBorder="1" applyAlignment="1">
      <alignment horizontal="center" vertical="center" wrapText="1"/>
    </xf>
    <xf numFmtId="0" fontId="27" fillId="10" borderId="17" xfId="0" applyFont="1" applyFill="1" applyBorder="1" applyAlignment="1">
      <alignment horizontal="center" vertical="center" wrapText="1"/>
    </xf>
    <xf numFmtId="0" fontId="22" fillId="10" borderId="10" xfId="0" applyFont="1" applyFill="1" applyBorder="1" applyAlignment="1">
      <alignment wrapText="1"/>
    </xf>
    <xf numFmtId="0" fontId="22" fillId="10" borderId="11" xfId="0" applyFont="1" applyFill="1" applyBorder="1" applyAlignment="1">
      <alignment wrapText="1"/>
    </xf>
    <xf numFmtId="0" fontId="26" fillId="10" borderId="11" xfId="0" applyFont="1" applyFill="1" applyBorder="1" applyAlignment="1">
      <alignment wrapText="1"/>
    </xf>
    <xf numFmtId="0" fontId="27" fillId="10" borderId="11" xfId="0" applyFont="1" applyFill="1" applyBorder="1" applyAlignment="1">
      <alignment wrapText="1"/>
    </xf>
    <xf numFmtId="0" fontId="28" fillId="10" borderId="0" xfId="0" applyFont="1" applyFill="1"/>
    <xf numFmtId="0" fontId="22" fillId="10" borderId="19" xfId="0" applyFont="1" applyFill="1" applyBorder="1" applyAlignment="1">
      <alignment wrapText="1"/>
    </xf>
    <xf numFmtId="0" fontId="9" fillId="10" borderId="0" xfId="0" applyFont="1" applyFill="1" applyAlignment="1">
      <alignment vertical="center"/>
    </xf>
    <xf numFmtId="0" fontId="9" fillId="10" borderId="0" xfId="0" applyFont="1" applyFill="1"/>
    <xf numFmtId="0" fontId="28" fillId="10" borderId="0" xfId="0" applyFont="1" applyFill="1" applyAlignment="1">
      <alignment wrapText="1"/>
    </xf>
    <xf numFmtId="0" fontId="27" fillId="10" borderId="18" xfId="0" applyFont="1" applyFill="1" applyBorder="1" applyAlignment="1">
      <alignment vertical="center" wrapText="1"/>
    </xf>
    <xf numFmtId="0" fontId="30" fillId="10" borderId="17" xfId="0" applyFont="1" applyFill="1" applyBorder="1" applyAlignment="1">
      <alignment horizontal="left" vertical="center"/>
    </xf>
    <xf numFmtId="0" fontId="30" fillId="10" borderId="17" xfId="0" applyFont="1" applyFill="1" applyBorder="1" applyAlignment="1">
      <alignment horizontal="center" vertical="center" wrapText="1"/>
    </xf>
    <xf numFmtId="0" fontId="31" fillId="10" borderId="17" xfId="0" applyFont="1" applyFill="1" applyBorder="1" applyAlignment="1">
      <alignment vertical="center" wrapText="1"/>
    </xf>
    <xf numFmtId="0" fontId="6" fillId="10" borderId="20" xfId="0" applyFont="1" applyFill="1" applyBorder="1"/>
    <xf numFmtId="0" fontId="9" fillId="10" borderId="20" xfId="0" applyFont="1" applyFill="1" applyBorder="1" applyAlignment="1">
      <alignment vertical="center"/>
    </xf>
    <xf numFmtId="0" fontId="6" fillId="10" borderId="20" xfId="0" applyFont="1" applyFill="1" applyBorder="1" applyAlignment="1">
      <alignment vertical="center"/>
    </xf>
    <xf numFmtId="0" fontId="6" fillId="10" borderId="21" xfId="0" applyFont="1" applyFill="1" applyBorder="1"/>
    <xf numFmtId="0" fontId="6" fillId="10" borderId="22" xfId="0" applyFont="1" applyFill="1" applyBorder="1"/>
    <xf numFmtId="0" fontId="22" fillId="10" borderId="23" xfId="0" applyFont="1" applyFill="1" applyBorder="1" applyAlignment="1">
      <alignment wrapText="1"/>
    </xf>
    <xf numFmtId="0" fontId="22" fillId="10" borderId="24" xfId="0" applyFont="1" applyFill="1" applyBorder="1"/>
    <xf numFmtId="0" fontId="8" fillId="10" borderId="24" xfId="0" applyFont="1" applyFill="1" applyBorder="1" applyAlignment="1">
      <alignment horizontal="left" vertical="center"/>
    </xf>
    <xf numFmtId="0" fontId="6" fillId="10" borderId="24" xfId="0" applyFont="1" applyFill="1" applyBorder="1"/>
    <xf numFmtId="0" fontId="5" fillId="10" borderId="25" xfId="0" applyFont="1" applyFill="1" applyBorder="1" applyAlignment="1">
      <alignment wrapText="1"/>
    </xf>
    <xf numFmtId="0" fontId="22" fillId="10" borderId="26" xfId="0" applyFont="1" applyFill="1" applyBorder="1"/>
    <xf numFmtId="0" fontId="22" fillId="10" borderId="23" xfId="0" applyFont="1" applyFill="1" applyBorder="1"/>
    <xf numFmtId="0" fontId="6" fillId="10" borderId="23" xfId="0" applyFont="1" applyFill="1" applyBorder="1"/>
    <xf numFmtId="0" fontId="6" fillId="10" borderId="26" xfId="0" applyFont="1" applyFill="1" applyBorder="1"/>
    <xf numFmtId="0" fontId="29" fillId="5" borderId="0" xfId="0" applyFont="1" applyFill="1" applyAlignment="1">
      <alignment vertical="center"/>
    </xf>
    <xf numFmtId="0" fontId="32" fillId="5" borderId="0" xfId="0" applyFont="1" applyFill="1" applyAlignment="1">
      <alignment vertical="center"/>
    </xf>
    <xf numFmtId="0" fontId="9" fillId="10" borderId="6" xfId="0" applyFont="1" applyFill="1" applyBorder="1" applyAlignment="1">
      <alignment horizontal="center" vertical="center"/>
    </xf>
    <xf numFmtId="0" fontId="9" fillId="10" borderId="17" xfId="0" applyFont="1" applyFill="1" applyBorder="1" applyAlignment="1">
      <alignment horizontal="left" vertical="center"/>
    </xf>
    <xf numFmtId="0" fontId="6" fillId="10" borderId="17" xfId="0" applyFont="1" applyFill="1" applyBorder="1" applyAlignment="1">
      <alignment vertical="center" wrapText="1"/>
    </xf>
    <xf numFmtId="0" fontId="6" fillId="10" borderId="18" xfId="0" applyFont="1" applyFill="1" applyBorder="1" applyAlignment="1">
      <alignment vertical="center" wrapText="1"/>
    </xf>
    <xf numFmtId="0" fontId="38" fillId="0" borderId="0" xfId="0" applyFont="1"/>
    <xf numFmtId="0" fontId="39" fillId="0" borderId="0" xfId="0" applyFont="1"/>
    <xf numFmtId="0" fontId="40" fillId="0" borderId="27" xfId="0" applyFont="1" applyBorder="1" applyAlignment="1">
      <alignment horizontal="left" vertical="center" wrapText="1"/>
    </xf>
    <xf numFmtId="0" fontId="40" fillId="0" borderId="0" xfId="0" applyFont="1" applyAlignment="1">
      <alignment horizontal="left" vertical="center" wrapText="1"/>
    </xf>
    <xf numFmtId="0" fontId="41" fillId="0" borderId="0" xfId="0" applyFont="1" applyAlignment="1">
      <alignment horizontal="left" vertical="center" wrapText="1" indent="2"/>
    </xf>
    <xf numFmtId="0" fontId="41" fillId="0" borderId="0" xfId="0" applyFont="1" applyAlignment="1">
      <alignment horizontal="left" vertical="center" wrapText="1"/>
    </xf>
    <xf numFmtId="0" fontId="42" fillId="0" borderId="0" xfId="0" applyFont="1" applyAlignment="1">
      <alignment horizontal="left" vertical="center" wrapText="1"/>
    </xf>
    <xf numFmtId="0" fontId="41" fillId="0" borderId="0" xfId="0" applyFont="1" applyAlignment="1">
      <alignment horizontal="left" vertical="center" wrapText="1" indent="4"/>
    </xf>
    <xf numFmtId="0" fontId="41" fillId="0" borderId="0" xfId="0" applyFont="1" applyAlignment="1">
      <alignment horizontal="left" vertical="center" wrapText="1" indent="5"/>
    </xf>
    <xf numFmtId="0" fontId="41" fillId="0" borderId="0" xfId="0" applyFont="1" applyAlignment="1">
      <alignment horizontal="left" vertical="center" wrapText="1" indent="6"/>
    </xf>
    <xf numFmtId="0" fontId="41" fillId="0" borderId="0" xfId="0" applyFont="1" applyAlignment="1">
      <alignment horizontal="left" vertical="center" wrapText="1" indent="8"/>
    </xf>
    <xf numFmtId="0" fontId="41" fillId="0" borderId="0" xfId="0" applyFont="1" applyAlignment="1">
      <alignment horizontal="left" vertical="center" wrapText="1" indent="9"/>
    </xf>
    <xf numFmtId="0" fontId="41" fillId="0" borderId="0" xfId="0" applyFont="1" applyAlignment="1">
      <alignment horizontal="left" vertical="center" wrapText="1" indent="10"/>
    </xf>
    <xf numFmtId="0" fontId="41" fillId="0" borderId="0" xfId="0" applyFont="1" applyAlignment="1">
      <alignment horizontal="left" vertical="center" wrapText="1" indent="12"/>
    </xf>
    <xf numFmtId="0" fontId="4" fillId="2" borderId="5" xfId="0" applyFont="1" applyFill="1" applyBorder="1" applyAlignment="1">
      <alignment wrapText="1"/>
    </xf>
    <xf numFmtId="49" fontId="0" fillId="0" borderId="0" xfId="0" applyNumberFormat="1"/>
    <xf numFmtId="49" fontId="0" fillId="0" borderId="0" xfId="0" applyNumberFormat="1" applyAlignment="1">
      <alignment wrapText="1"/>
    </xf>
    <xf numFmtId="0" fontId="44" fillId="0" borderId="0" xfId="0" applyFont="1"/>
    <xf numFmtId="0" fontId="45" fillId="0" borderId="0" xfId="0" applyFont="1"/>
    <xf numFmtId="0" fontId="0" fillId="11" borderId="1" xfId="0" applyFill="1" applyBorder="1" applyAlignment="1">
      <alignment wrapText="1"/>
    </xf>
    <xf numFmtId="0" fontId="0" fillId="0" borderId="1" xfId="0" applyBorder="1"/>
    <xf numFmtId="0" fontId="46" fillId="2" borderId="1" xfId="0" applyFont="1" applyFill="1" applyBorder="1" applyAlignment="1">
      <alignment wrapText="1"/>
    </xf>
    <xf numFmtId="0" fontId="46" fillId="2" borderId="1" xfId="0" applyFont="1" applyFill="1" applyBorder="1"/>
    <xf numFmtId="0" fontId="0" fillId="0" borderId="1" xfId="0" applyBorder="1" applyAlignment="1">
      <alignment wrapText="1"/>
    </xf>
    <xf numFmtId="0" fontId="29" fillId="5" borderId="0" xfId="0" applyFont="1" applyFill="1" applyAlignment="1">
      <alignment horizontal="center" vertical="center"/>
    </xf>
    <xf numFmtId="0" fontId="29" fillId="5" borderId="8" xfId="0" applyFont="1" applyFill="1" applyBorder="1" applyAlignment="1">
      <alignment horizontal="center" vertical="center"/>
    </xf>
    <xf numFmtId="7" fontId="0" fillId="0" borderId="12" xfId="0" applyNumberFormat="1" applyBorder="1" applyAlignment="1">
      <alignment wrapText="1"/>
    </xf>
  </cellXfs>
  <cellStyles count="2">
    <cellStyle name="Hyperlink" xfId="1" builtinId="8"/>
    <cellStyle name="Normal" xfId="0" builtinId="0"/>
  </cellStyles>
  <dxfs count="30">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i val="0"/>
        <strike val="0"/>
        <condense val="0"/>
        <extend val="0"/>
        <outline val="0"/>
        <shadow val="0"/>
        <u val="none"/>
        <vertAlign val="baseline"/>
        <sz val="14"/>
        <color auto="1"/>
        <name val="Calibri"/>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i val="0"/>
        <strike val="0"/>
        <condense val="0"/>
        <extend val="0"/>
        <outline val="0"/>
        <shadow val="0"/>
        <u val="none"/>
        <vertAlign val="baseline"/>
        <sz val="14"/>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i val="0"/>
        <strike val="0"/>
        <condense val="0"/>
        <extend val="0"/>
        <outline val="0"/>
        <shadow val="0"/>
        <u val="none"/>
        <vertAlign val="baseline"/>
        <sz val="14"/>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i val="0"/>
        <strike val="0"/>
        <condense val="0"/>
        <extend val="0"/>
        <outline val="0"/>
        <shadow val="0"/>
        <u val="none"/>
        <vertAlign val="baseline"/>
        <sz val="14"/>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i val="0"/>
        <strike val="0"/>
        <condense val="0"/>
        <extend val="0"/>
        <outline val="0"/>
        <shadow val="0"/>
        <u val="none"/>
        <vertAlign val="baseline"/>
        <sz val="14"/>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i val="0"/>
        <strike val="0"/>
        <condense val="0"/>
        <extend val="0"/>
        <outline val="0"/>
        <shadow val="0"/>
        <u val="none"/>
        <vertAlign val="baseline"/>
        <sz val="14"/>
        <color auto="1"/>
        <name val="Calibri"/>
        <family val="2"/>
        <scheme val="none"/>
      </font>
    </dxf>
  </dxfs>
  <tableStyles count="0" defaultTableStyle="TableStyleMedium2" defaultPivotStyle="PivotStyleLight16"/>
  <colors>
    <mruColors>
      <color rgb="FF2102BE"/>
      <color rgb="FFD3F2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533400</xdr:colOff>
          <xdr:row>4</xdr:row>
          <xdr:rowOff>57150</xdr:rowOff>
        </xdr:from>
        <xdr:to>
          <xdr:col>13</xdr:col>
          <xdr:colOff>228600</xdr:colOff>
          <xdr:row>8</xdr:row>
          <xdr:rowOff>95250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Crawl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4</xdr:row>
          <xdr:rowOff>57150</xdr:rowOff>
        </xdr:from>
        <xdr:to>
          <xdr:col>13</xdr:col>
          <xdr:colOff>228600</xdr:colOff>
          <xdr:row>8</xdr:row>
          <xdr:rowOff>95250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0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Crawl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4</xdr:row>
          <xdr:rowOff>57150</xdr:rowOff>
        </xdr:from>
        <xdr:to>
          <xdr:col>13</xdr:col>
          <xdr:colOff>228600</xdr:colOff>
          <xdr:row>8</xdr:row>
          <xdr:rowOff>95250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0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Crawl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4</xdr:row>
          <xdr:rowOff>57150</xdr:rowOff>
        </xdr:from>
        <xdr:to>
          <xdr:col>13</xdr:col>
          <xdr:colOff>228600</xdr:colOff>
          <xdr:row>8</xdr:row>
          <xdr:rowOff>95250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0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Crawl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13603</xdr:colOff>
      <xdr:row>116</xdr:row>
      <xdr:rowOff>98737</xdr:rowOff>
    </xdr:from>
    <xdr:to>
      <xdr:col>5</xdr:col>
      <xdr:colOff>3031123</xdr:colOff>
      <xdr:row>118</xdr:row>
      <xdr:rowOff>112645</xdr:rowOff>
    </xdr:to>
    <xdr:grpSp>
      <xdr:nvGrpSpPr>
        <xdr:cNvPr id="5" name="Group 4">
          <a:extLst>
            <a:ext uri="{FF2B5EF4-FFF2-40B4-BE49-F238E27FC236}">
              <a16:creationId xmlns:a16="http://schemas.microsoft.com/office/drawing/2014/main" id="{D10AEE5F-1CBE-49FE-B36F-7055F3FCBEDE}"/>
            </a:ext>
          </a:extLst>
        </xdr:cNvPr>
        <xdr:cNvGrpSpPr/>
      </xdr:nvGrpSpPr>
      <xdr:grpSpPr>
        <a:xfrm>
          <a:off x="427733" y="2210802"/>
          <a:ext cx="3017520" cy="353495"/>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Button1_Click" textlink="">
        <xdr:nvSpPr>
          <xdr:cNvPr id="6" name="Rectangle: Rounded Corners 5">
            <a:extLst>
              <a:ext uri="{FF2B5EF4-FFF2-40B4-BE49-F238E27FC236}">
                <a16:creationId xmlns:a16="http://schemas.microsoft.com/office/drawing/2014/main" id="{AC4E0668-694C-9277-3299-D85F68CF18DC}"/>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test_copy" textlink="">
        <xdr:nvSpPr>
          <xdr:cNvPr id="7" name="Rectangle: Rounded Corners 4">
            <a:extLst>
              <a:ext uri="{FF2B5EF4-FFF2-40B4-BE49-F238E27FC236}">
                <a16:creationId xmlns:a16="http://schemas.microsoft.com/office/drawing/2014/main" id="{E48D6D8B-9D7E-4588-D75C-7707E43D8998}"/>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l" defTabSz="889000">
              <a:lnSpc>
                <a:spcPct val="90000"/>
              </a:lnSpc>
              <a:spcBef>
                <a:spcPct val="0"/>
              </a:spcBef>
              <a:spcAft>
                <a:spcPct val="35000"/>
              </a:spcAft>
              <a:buNone/>
            </a:pPr>
            <a:r>
              <a:rPr lang="en-US" sz="1000" b="1" kern="1200" baseline="0">
                <a:solidFill>
                  <a:schemeClr val="accent1">
                    <a:lumMod val="50000"/>
                  </a:schemeClr>
                </a:solidFill>
              </a:rPr>
              <a:t>Create Test Script</a:t>
            </a:r>
            <a:endParaRPr lang="en-US" sz="1000" b="1" kern="1200">
              <a:solidFill>
                <a:schemeClr val="accent1">
                  <a:lumMod val="50000"/>
                </a:schemeClr>
              </a:solidFill>
            </a:endParaRPr>
          </a:p>
        </xdr:txBody>
      </xdr:sp>
    </xdr:grpSp>
    <xdr:clientData/>
  </xdr:twoCellAnchor>
  <xdr:twoCellAnchor>
    <xdr:from>
      <xdr:col>45</xdr:col>
      <xdr:colOff>236220</xdr:colOff>
      <xdr:row>2</xdr:row>
      <xdr:rowOff>266701</xdr:rowOff>
    </xdr:from>
    <xdr:to>
      <xdr:col>48</xdr:col>
      <xdr:colOff>419100</xdr:colOff>
      <xdr:row>3</xdr:row>
      <xdr:rowOff>121920</xdr:rowOff>
    </xdr:to>
    <xdr:grpSp>
      <xdr:nvGrpSpPr>
        <xdr:cNvPr id="11" name="Group 10">
          <a:extLst>
            <a:ext uri="{FF2B5EF4-FFF2-40B4-BE49-F238E27FC236}">
              <a16:creationId xmlns:a16="http://schemas.microsoft.com/office/drawing/2014/main" id="{26058197-7E2F-402E-9B66-C4F118EB84D3}"/>
            </a:ext>
          </a:extLst>
        </xdr:cNvPr>
        <xdr:cNvGrpSpPr/>
      </xdr:nvGrpSpPr>
      <xdr:grpSpPr>
        <a:xfrm>
          <a:off x="66745568" y="0"/>
          <a:ext cx="3611880" cy="0"/>
          <a:chOff x="4077522" y="1650620"/>
          <a:chExt cx="979965" cy="489982"/>
        </a:xfrm>
        <a:solidFill>
          <a:schemeClr val="accent1"/>
        </a:solidFill>
        <a:effectLst>
          <a:outerShdw blurRad="50800" dist="38100" dir="2700000" algn="tl" rotWithShape="0">
            <a:prstClr val="black">
              <a:alpha val="40000"/>
            </a:prstClr>
          </a:outerShdw>
        </a:effectLst>
      </xdr:grpSpPr>
      <xdr:sp macro="[0]!Display_TC" textlink="">
        <xdr:nvSpPr>
          <xdr:cNvPr id="12" name="Rectangle: Rounded Corners 11">
            <a:extLst>
              <a:ext uri="{FF2B5EF4-FFF2-40B4-BE49-F238E27FC236}">
                <a16:creationId xmlns:a16="http://schemas.microsoft.com/office/drawing/2014/main" id="{F72BF6B5-704C-9850-F3D3-6501B2D5A895}"/>
              </a:ext>
            </a:extLst>
          </xdr:cNvPr>
          <xdr:cNvSpPr/>
        </xdr:nvSpPr>
        <xdr:spPr>
          <a:xfrm>
            <a:off x="4077522" y="1650620"/>
            <a:ext cx="979965" cy="489982"/>
          </a:xfrm>
          <a:prstGeom prst="roundRect">
            <a:avLst/>
          </a:prstGeom>
          <a:grpFill/>
          <a:ln>
            <a:solidFill>
              <a:schemeClr val="accent1"/>
            </a:solidFill>
          </a:ln>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0]!Display_TC" textlink="">
        <xdr:nvSpPr>
          <xdr:cNvPr id="13" name="Rectangle: Rounded Corners 4">
            <a:extLst>
              <a:ext uri="{FF2B5EF4-FFF2-40B4-BE49-F238E27FC236}">
                <a16:creationId xmlns:a16="http://schemas.microsoft.com/office/drawing/2014/main" id="{23E8E7EA-014B-4F68-2914-DC183DD289EE}"/>
              </a:ext>
            </a:extLst>
          </xdr:cNvPr>
          <xdr:cNvSpPr txBox="1"/>
        </xdr:nvSpPr>
        <xdr:spPr>
          <a:xfrm>
            <a:off x="4101441" y="1674539"/>
            <a:ext cx="932127" cy="374531"/>
          </a:xfrm>
          <a:prstGeom prst="rect">
            <a:avLst/>
          </a:prstGeom>
          <a:grpFill/>
          <a:ln>
            <a:solidFill>
              <a:schemeClr val="accent1"/>
            </a:solidFill>
          </a:ln>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ctr" defTabSz="889000">
              <a:lnSpc>
                <a:spcPct val="90000"/>
              </a:lnSpc>
              <a:spcBef>
                <a:spcPct val="0"/>
              </a:spcBef>
              <a:spcAft>
                <a:spcPct val="35000"/>
              </a:spcAft>
              <a:buNone/>
            </a:pPr>
            <a:r>
              <a:rPr lang="en-US" sz="1000" kern="1200">
                <a:solidFill>
                  <a:schemeClr val="accent1">
                    <a:lumMod val="50000"/>
                  </a:schemeClr>
                </a:solidFill>
              </a:rPr>
              <a:t>Edit Test</a:t>
            </a:r>
            <a:r>
              <a:rPr lang="en-US" sz="1000" kern="1200" baseline="0">
                <a:solidFill>
                  <a:schemeClr val="accent1">
                    <a:lumMod val="50000"/>
                  </a:schemeClr>
                </a:solidFill>
              </a:rPr>
              <a:t> Cases</a:t>
            </a:r>
            <a:endParaRPr lang="en-US" sz="1000" kern="1200">
              <a:solidFill>
                <a:schemeClr val="accent1">
                  <a:lumMod val="50000"/>
                </a:schemeClr>
              </a:solidFill>
            </a:endParaRPr>
          </a:p>
        </xdr:txBody>
      </xdr:sp>
    </xdr:grpSp>
    <xdr:clientData/>
  </xdr:twoCellAnchor>
  <xdr:twoCellAnchor>
    <xdr:from>
      <xdr:col>4</xdr:col>
      <xdr:colOff>11632</xdr:colOff>
      <xdr:row>182</xdr:row>
      <xdr:rowOff>8321</xdr:rowOff>
    </xdr:from>
    <xdr:to>
      <xdr:col>4</xdr:col>
      <xdr:colOff>2700781</xdr:colOff>
      <xdr:row>183</xdr:row>
      <xdr:rowOff>8303</xdr:rowOff>
    </xdr:to>
    <xdr:sp macro="" textlink="">
      <xdr:nvSpPr>
        <xdr:cNvPr id="17" name="Rectangle: Rounded Corners 16">
          <a:extLst>
            <a:ext uri="{FF2B5EF4-FFF2-40B4-BE49-F238E27FC236}">
              <a16:creationId xmlns:a16="http://schemas.microsoft.com/office/drawing/2014/main" id="{8E5CD215-318E-4FB9-A220-CC3DB41D3FC9}"/>
            </a:ext>
          </a:extLst>
        </xdr:cNvPr>
        <xdr:cNvSpPr/>
      </xdr:nvSpPr>
      <xdr:spPr>
        <a:xfrm>
          <a:off x="3444480" y="2386685"/>
          <a:ext cx="2689149" cy="184709"/>
        </a:xfrm>
        <a:prstGeom prst="roundRect">
          <a:avLst/>
        </a:prstGeom>
        <a:solidFill>
          <a:schemeClr val="accent4">
            <a:lumMod val="20000"/>
            <a:lumOff val="80000"/>
          </a:schemeClr>
        </a:solidFill>
        <a:ln>
          <a:noFill/>
        </a:ln>
      </xdr:spPr>
      <xdr:style>
        <a:lnRef idx="0">
          <a:scrgbClr r="0" g="0" b="0"/>
        </a:lnRef>
        <a:fillRef idx="0">
          <a:scrgbClr r="0" g="0" b="0"/>
        </a:fillRef>
        <a:effectRef idx="0">
          <a:scrgbClr r="0" g="0" b="0"/>
        </a:effectRef>
        <a:fontRef idx="minor">
          <a:schemeClr val="lt1"/>
        </a:fontRef>
      </xdr:style>
      <xdr:txBody>
        <a:bodyPr anchor="ctr"/>
        <a:lstStyle/>
        <a:p>
          <a:pPr algn="l"/>
          <a:r>
            <a:rPr lang="en-IN" sz="1000" b="1">
              <a:solidFill>
                <a:schemeClr val="accent1">
                  <a:lumMod val="50000"/>
                </a:schemeClr>
              </a:solidFill>
            </a:rPr>
            <a:t>Select Scenario</a:t>
          </a:r>
        </a:p>
      </xdr:txBody>
    </xdr:sp>
    <xdr:clientData/>
  </xdr:twoCellAnchor>
  <xdr:twoCellAnchor>
    <xdr:from>
      <xdr:col>4</xdr:col>
      <xdr:colOff>11632</xdr:colOff>
      <xdr:row>183</xdr:row>
      <xdr:rowOff>159182</xdr:rowOff>
    </xdr:from>
    <xdr:to>
      <xdr:col>4</xdr:col>
      <xdr:colOff>2700781</xdr:colOff>
      <xdr:row>184</xdr:row>
      <xdr:rowOff>159164</xdr:rowOff>
    </xdr:to>
    <xdr:sp macro="" textlink="">
      <xdr:nvSpPr>
        <xdr:cNvPr id="23" name="Rectangle: Rounded Corners 22">
          <a:extLst>
            <a:ext uri="{FF2B5EF4-FFF2-40B4-BE49-F238E27FC236}">
              <a16:creationId xmlns:a16="http://schemas.microsoft.com/office/drawing/2014/main" id="{6C376C92-CCFB-4878-A9D7-E331182EE386}"/>
            </a:ext>
          </a:extLst>
        </xdr:cNvPr>
        <xdr:cNvSpPr/>
      </xdr:nvSpPr>
      <xdr:spPr>
        <a:xfrm>
          <a:off x="3444480" y="2722273"/>
          <a:ext cx="2689149" cy="184709"/>
        </a:xfrm>
        <a:prstGeom prst="roundRect">
          <a:avLst/>
        </a:prstGeom>
        <a:solidFill>
          <a:schemeClr val="accent4">
            <a:lumMod val="20000"/>
            <a:lumOff val="80000"/>
          </a:schemeClr>
        </a:solidFill>
        <a:ln>
          <a:noFill/>
        </a:ln>
      </xdr:spPr>
      <xdr:style>
        <a:lnRef idx="0">
          <a:scrgbClr r="0" g="0" b="0"/>
        </a:lnRef>
        <a:fillRef idx="0">
          <a:scrgbClr r="0" g="0" b="0"/>
        </a:fillRef>
        <a:effectRef idx="0">
          <a:scrgbClr r="0" g="0" b="0"/>
        </a:effectRef>
        <a:fontRef idx="minor">
          <a:schemeClr val="lt1"/>
        </a:fontRef>
      </xdr:style>
      <xdr:txBody>
        <a:bodyPr anchor="ctr"/>
        <a:lstStyle/>
        <a:p>
          <a:pPr algn="l"/>
          <a:r>
            <a:rPr lang="en-IN" sz="1000" b="1">
              <a:solidFill>
                <a:schemeClr val="accent1">
                  <a:lumMod val="50000"/>
                </a:schemeClr>
              </a:solidFill>
            </a:rPr>
            <a:t>Select Page in Scenario</a:t>
          </a:r>
        </a:p>
      </xdr:txBody>
    </xdr:sp>
    <xdr:clientData/>
  </xdr:twoCellAnchor>
  <xdr:twoCellAnchor>
    <xdr:from>
      <xdr:col>5</xdr:col>
      <xdr:colOff>13603</xdr:colOff>
      <xdr:row>113</xdr:row>
      <xdr:rowOff>79514</xdr:rowOff>
    </xdr:from>
    <xdr:to>
      <xdr:col>5</xdr:col>
      <xdr:colOff>3031123</xdr:colOff>
      <xdr:row>115</xdr:row>
      <xdr:rowOff>33131</xdr:rowOff>
    </xdr:to>
    <xdr:grpSp>
      <xdr:nvGrpSpPr>
        <xdr:cNvPr id="19" name="Group 18">
          <a:extLst>
            <a:ext uri="{FF2B5EF4-FFF2-40B4-BE49-F238E27FC236}">
              <a16:creationId xmlns:a16="http://schemas.microsoft.com/office/drawing/2014/main" id="{34B2F77C-E710-41FC-9839-1E65F010349D}"/>
            </a:ext>
          </a:extLst>
        </xdr:cNvPr>
        <xdr:cNvGrpSpPr/>
      </xdr:nvGrpSpPr>
      <xdr:grpSpPr>
        <a:xfrm>
          <a:off x="427733" y="1512405"/>
          <a:ext cx="3017520" cy="458856"/>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Button1_Click" textlink="">
        <xdr:nvSpPr>
          <xdr:cNvPr id="20" name="Rectangle: Rounded Corners 19">
            <a:extLst>
              <a:ext uri="{FF2B5EF4-FFF2-40B4-BE49-F238E27FC236}">
                <a16:creationId xmlns:a16="http://schemas.microsoft.com/office/drawing/2014/main" id="{178C616C-F90D-28A7-503E-D84342B74050}"/>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Main1_Id12" textlink="">
        <xdr:nvSpPr>
          <xdr:cNvPr id="21" name="Rectangle: Rounded Corners 4">
            <a:extLst>
              <a:ext uri="{FF2B5EF4-FFF2-40B4-BE49-F238E27FC236}">
                <a16:creationId xmlns:a16="http://schemas.microsoft.com/office/drawing/2014/main" id="{C679C9BF-30A2-5B3C-F872-2932156F54E5}"/>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r>
              <a:rPr lang="en-IN" sz="1100" b="1">
                <a:solidFill>
                  <a:schemeClr val="accent1">
                    <a:lumMod val="50000"/>
                  </a:schemeClr>
                </a:solidFill>
                <a:effectLst/>
                <a:latin typeface="+mn-lt"/>
                <a:ea typeface="+mn-ea"/>
                <a:cs typeface="+mn-cs"/>
              </a:rPr>
              <a:t>CRAWL Web Page</a:t>
            </a:r>
            <a:endParaRPr lang="en-IN" sz="1000">
              <a:solidFill>
                <a:schemeClr val="accent1">
                  <a:lumMod val="50000"/>
                </a:schemeClr>
              </a:solidFill>
              <a:effectLst/>
            </a:endParaRPr>
          </a:p>
        </xdr:txBody>
      </xdr:sp>
    </xdr:grpSp>
    <xdr:clientData/>
  </xdr:twoCellAnchor>
  <xdr:twoCellAnchor>
    <xdr:from>
      <xdr:col>5</xdr:col>
      <xdr:colOff>14666</xdr:colOff>
      <xdr:row>111</xdr:row>
      <xdr:rowOff>1429</xdr:rowOff>
    </xdr:from>
    <xdr:to>
      <xdr:col>5</xdr:col>
      <xdr:colOff>1345095</xdr:colOff>
      <xdr:row>112</xdr:row>
      <xdr:rowOff>159026</xdr:rowOff>
    </xdr:to>
    <xdr:grpSp>
      <xdr:nvGrpSpPr>
        <xdr:cNvPr id="26" name="Group 25">
          <a:extLst>
            <a:ext uri="{FF2B5EF4-FFF2-40B4-BE49-F238E27FC236}">
              <a16:creationId xmlns:a16="http://schemas.microsoft.com/office/drawing/2014/main" id="{A973A83E-BB29-49CF-9A52-6E29DDED813B}"/>
            </a:ext>
          </a:extLst>
        </xdr:cNvPr>
        <xdr:cNvGrpSpPr/>
      </xdr:nvGrpSpPr>
      <xdr:grpSpPr>
        <a:xfrm>
          <a:off x="428796" y="920799"/>
          <a:ext cx="1330429" cy="348097"/>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CreateDir" textlink="">
        <xdr:nvSpPr>
          <xdr:cNvPr id="27" name="Rectangle: Rounded Corners 26">
            <a:extLst>
              <a:ext uri="{FF2B5EF4-FFF2-40B4-BE49-F238E27FC236}">
                <a16:creationId xmlns:a16="http://schemas.microsoft.com/office/drawing/2014/main" id="{57342825-3A09-1F35-6C23-CE45D5014CAB}"/>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CreateDir" textlink="">
        <xdr:nvSpPr>
          <xdr:cNvPr id="28" name="Rectangle: Rounded Corners 4">
            <a:extLst>
              <a:ext uri="{FF2B5EF4-FFF2-40B4-BE49-F238E27FC236}">
                <a16:creationId xmlns:a16="http://schemas.microsoft.com/office/drawing/2014/main" id="{E1AA38C8-80FF-C000-B58E-69904976CD3C}"/>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l" defTabSz="889000">
              <a:lnSpc>
                <a:spcPct val="90000"/>
              </a:lnSpc>
              <a:spcBef>
                <a:spcPct val="0"/>
              </a:spcBef>
              <a:spcAft>
                <a:spcPct val="35000"/>
              </a:spcAft>
              <a:buNone/>
            </a:pPr>
            <a:r>
              <a:rPr lang="en-US" sz="1000" b="1" kern="1200" baseline="0">
                <a:solidFill>
                  <a:schemeClr val="accent1">
                    <a:lumMod val="50000"/>
                  </a:schemeClr>
                </a:solidFill>
              </a:rPr>
              <a:t>Create Business Flow</a:t>
            </a:r>
            <a:endParaRPr lang="en-US" sz="1000" b="1" kern="1200">
              <a:solidFill>
                <a:schemeClr val="accent1">
                  <a:lumMod val="50000"/>
                </a:schemeClr>
              </a:solidFill>
            </a:endParaRPr>
          </a:p>
        </xdr:txBody>
      </xdr:sp>
    </xdr:grpSp>
    <xdr:clientData/>
  </xdr:twoCellAnchor>
  <xdr:twoCellAnchor>
    <xdr:from>
      <xdr:col>5</xdr:col>
      <xdr:colOff>1702904</xdr:colOff>
      <xdr:row>110</xdr:row>
      <xdr:rowOff>166541</xdr:rowOff>
    </xdr:from>
    <xdr:to>
      <xdr:col>5</xdr:col>
      <xdr:colOff>3028123</xdr:colOff>
      <xdr:row>112</xdr:row>
      <xdr:rowOff>138608</xdr:rowOff>
    </xdr:to>
    <xdr:grpSp>
      <xdr:nvGrpSpPr>
        <xdr:cNvPr id="29" name="Group 28">
          <a:extLst>
            <a:ext uri="{FF2B5EF4-FFF2-40B4-BE49-F238E27FC236}">
              <a16:creationId xmlns:a16="http://schemas.microsoft.com/office/drawing/2014/main" id="{ABD37E7B-BA30-4E57-8C84-606C93F4EFF8}"/>
            </a:ext>
          </a:extLst>
        </xdr:cNvPr>
        <xdr:cNvGrpSpPr/>
      </xdr:nvGrpSpPr>
      <xdr:grpSpPr>
        <a:xfrm>
          <a:off x="2117034" y="887128"/>
          <a:ext cx="1325219" cy="361350"/>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Button1_Click" textlink="">
        <xdr:nvSpPr>
          <xdr:cNvPr id="30" name="Rectangle: Rounded Corners 29">
            <a:extLst>
              <a:ext uri="{FF2B5EF4-FFF2-40B4-BE49-F238E27FC236}">
                <a16:creationId xmlns:a16="http://schemas.microsoft.com/office/drawing/2014/main" id="{291067E9-1938-EB1A-1C86-73859F9759DE}"/>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FSOGetSpecialFolder" textlink="">
        <xdr:nvSpPr>
          <xdr:cNvPr id="31" name="Rectangle: Rounded Corners 4">
            <a:extLst>
              <a:ext uri="{FF2B5EF4-FFF2-40B4-BE49-F238E27FC236}">
                <a16:creationId xmlns:a16="http://schemas.microsoft.com/office/drawing/2014/main" id="{1D7014FC-B01D-0D8F-1DE7-02FEC006BB5C}"/>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l" defTabSz="889000">
              <a:lnSpc>
                <a:spcPct val="90000"/>
              </a:lnSpc>
              <a:spcBef>
                <a:spcPct val="0"/>
              </a:spcBef>
              <a:spcAft>
                <a:spcPct val="35000"/>
              </a:spcAft>
              <a:buNone/>
            </a:pPr>
            <a:r>
              <a:rPr lang="en-US" sz="1000" b="1" kern="1200" baseline="0">
                <a:solidFill>
                  <a:schemeClr val="accent1">
                    <a:lumMod val="50000"/>
                  </a:schemeClr>
                </a:solidFill>
              </a:rPr>
              <a:t>Open Business Flow</a:t>
            </a:r>
            <a:endParaRPr lang="en-US" sz="1000" b="1" kern="1200">
              <a:solidFill>
                <a:schemeClr val="accent1">
                  <a:lumMod val="50000"/>
                </a:schemeClr>
              </a:solidFill>
            </a:endParaRPr>
          </a:p>
        </xdr:txBody>
      </xdr:sp>
    </xdr:grpSp>
    <xdr:clientData/>
  </xdr:twoCellAnchor>
  <xdr:twoCellAnchor>
    <xdr:from>
      <xdr:col>5</xdr:col>
      <xdr:colOff>13603</xdr:colOff>
      <xdr:row>109</xdr:row>
      <xdr:rowOff>50085</xdr:rowOff>
    </xdr:from>
    <xdr:to>
      <xdr:col>5</xdr:col>
      <xdr:colOff>3031123</xdr:colOff>
      <xdr:row>110</xdr:row>
      <xdr:rowOff>46384</xdr:rowOff>
    </xdr:to>
    <xdr:grpSp>
      <xdr:nvGrpSpPr>
        <xdr:cNvPr id="32" name="Group 31">
          <a:extLst>
            <a:ext uri="{FF2B5EF4-FFF2-40B4-BE49-F238E27FC236}">
              <a16:creationId xmlns:a16="http://schemas.microsoft.com/office/drawing/2014/main" id="{3EAFA499-A6B1-417C-A7B6-29AC239E3E64}"/>
            </a:ext>
          </a:extLst>
        </xdr:cNvPr>
        <xdr:cNvGrpSpPr/>
      </xdr:nvGrpSpPr>
      <xdr:grpSpPr>
        <a:xfrm>
          <a:off x="427733" y="431085"/>
          <a:ext cx="3017520" cy="335886"/>
          <a:chOff x="4077522" y="1650620"/>
          <a:chExt cx="979965" cy="489982"/>
        </a:xfrm>
        <a:gradFill>
          <a:gsLst>
            <a:gs pos="13000">
              <a:srgbClr val="FFFF00"/>
            </a:gs>
            <a:gs pos="100000">
              <a:srgbClr val="FFFF00"/>
            </a:gs>
          </a:gsLst>
          <a:path path="circle">
            <a:fillToRect l="100000" t="100000"/>
          </a:path>
        </a:gradFill>
        <a:effectLst>
          <a:outerShdw blurRad="50800" dist="38100" dir="2700000" algn="tl" rotWithShape="0">
            <a:prstClr val="black">
              <a:alpha val="40000"/>
            </a:prstClr>
          </a:outerShdw>
        </a:effectLst>
      </xdr:grpSpPr>
      <xdr:sp macro="[0]!FSOGetSpecialFolder1" textlink="">
        <xdr:nvSpPr>
          <xdr:cNvPr id="33" name="Rectangle: Rounded Corners 32">
            <a:extLst>
              <a:ext uri="{FF2B5EF4-FFF2-40B4-BE49-F238E27FC236}">
                <a16:creationId xmlns:a16="http://schemas.microsoft.com/office/drawing/2014/main" id="{204614A1-357A-FFC0-24E4-C70051A3D3D7}"/>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FSOGetSpecialFolder1" textlink="">
        <xdr:nvSpPr>
          <xdr:cNvPr id="34" name="Rectangle: Rounded Corners 4">
            <a:extLst>
              <a:ext uri="{FF2B5EF4-FFF2-40B4-BE49-F238E27FC236}">
                <a16:creationId xmlns:a16="http://schemas.microsoft.com/office/drawing/2014/main" id="{F6DFB26C-A8EF-26DF-9C06-1AA24813A326}"/>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r>
              <a:rPr lang="en-IN" sz="1100" b="1">
                <a:solidFill>
                  <a:schemeClr val="accent1">
                    <a:lumMod val="50000"/>
                  </a:schemeClr>
                </a:solidFill>
                <a:effectLst/>
                <a:latin typeface="+mn-lt"/>
                <a:ea typeface="+mn-ea"/>
                <a:cs typeface="+mn-cs"/>
              </a:rPr>
              <a:t>Select Playwright</a:t>
            </a:r>
            <a:r>
              <a:rPr lang="en-IN" sz="1100" b="1" baseline="0">
                <a:solidFill>
                  <a:schemeClr val="accent1">
                    <a:lumMod val="50000"/>
                  </a:schemeClr>
                </a:solidFill>
                <a:effectLst/>
                <a:latin typeface="+mn-lt"/>
                <a:ea typeface="+mn-ea"/>
                <a:cs typeface="+mn-cs"/>
              </a:rPr>
              <a:t> installed folder</a:t>
            </a:r>
            <a:endParaRPr lang="en-IN" sz="1000">
              <a:solidFill>
                <a:schemeClr val="accent1">
                  <a:lumMod val="50000"/>
                </a:schemeClr>
              </a:solidFill>
              <a:effectLst/>
            </a:endParaRPr>
          </a:p>
        </xdr:txBody>
      </xdr:sp>
    </xdr:grpSp>
    <xdr:clientData/>
  </xdr:twoCellAnchor>
  <xdr:twoCellAnchor>
    <xdr:from>
      <xdr:col>5</xdr:col>
      <xdr:colOff>13605</xdr:colOff>
      <xdr:row>119</xdr:row>
      <xdr:rowOff>118610</xdr:rowOff>
    </xdr:from>
    <xdr:to>
      <xdr:col>5</xdr:col>
      <xdr:colOff>3031125</xdr:colOff>
      <xdr:row>121</xdr:row>
      <xdr:rowOff>132519</xdr:rowOff>
    </xdr:to>
    <xdr:grpSp>
      <xdr:nvGrpSpPr>
        <xdr:cNvPr id="2" name="Group 1">
          <a:extLst>
            <a:ext uri="{FF2B5EF4-FFF2-40B4-BE49-F238E27FC236}">
              <a16:creationId xmlns:a16="http://schemas.microsoft.com/office/drawing/2014/main" id="{605F539F-E810-4325-BA3D-B54F3D62DA22}"/>
            </a:ext>
          </a:extLst>
        </xdr:cNvPr>
        <xdr:cNvGrpSpPr/>
      </xdr:nvGrpSpPr>
      <xdr:grpSpPr>
        <a:xfrm>
          <a:off x="427735" y="2744197"/>
          <a:ext cx="3017520" cy="353496"/>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Button1_Click" textlink="">
        <xdr:nvSpPr>
          <xdr:cNvPr id="3" name="Rectangle: Rounded Corners 2">
            <a:extLst>
              <a:ext uri="{FF2B5EF4-FFF2-40B4-BE49-F238E27FC236}">
                <a16:creationId xmlns:a16="http://schemas.microsoft.com/office/drawing/2014/main" id="{BC21E1ED-BE32-7705-D07C-AEF1ABC3949A}"/>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Create_bat" textlink="">
        <xdr:nvSpPr>
          <xdr:cNvPr id="4" name="Rectangle: Rounded Corners 4">
            <a:extLst>
              <a:ext uri="{FF2B5EF4-FFF2-40B4-BE49-F238E27FC236}">
                <a16:creationId xmlns:a16="http://schemas.microsoft.com/office/drawing/2014/main" id="{BA16644A-96BC-123A-CC1E-EE0BC0916DBD}"/>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l" defTabSz="889000">
              <a:lnSpc>
                <a:spcPct val="90000"/>
              </a:lnSpc>
              <a:spcBef>
                <a:spcPct val="0"/>
              </a:spcBef>
              <a:spcAft>
                <a:spcPct val="35000"/>
              </a:spcAft>
              <a:buNone/>
            </a:pPr>
            <a:r>
              <a:rPr lang="en-US" sz="1000" b="1" kern="1200" baseline="0">
                <a:solidFill>
                  <a:schemeClr val="accent1">
                    <a:lumMod val="50000"/>
                  </a:schemeClr>
                </a:solidFill>
              </a:rPr>
              <a:t>Execute Selected Scenariosx</a:t>
            </a:r>
            <a:endParaRPr lang="en-US" sz="1000" b="1" kern="1200">
              <a:solidFill>
                <a:schemeClr val="accent1">
                  <a:lumMod val="50000"/>
                </a:schemeClr>
              </a:solidFill>
            </a:endParaRPr>
          </a:p>
        </xdr:txBody>
      </xdr:sp>
    </xdr:grpSp>
    <xdr:clientData/>
  </xdr:twoCellAnchor>
  <xdr:twoCellAnchor>
    <xdr:from>
      <xdr:col>5</xdr:col>
      <xdr:colOff>26505</xdr:colOff>
      <xdr:row>122</xdr:row>
      <xdr:rowOff>106016</xdr:rowOff>
    </xdr:from>
    <xdr:to>
      <xdr:col>5</xdr:col>
      <xdr:colOff>3044025</xdr:colOff>
      <xdr:row>124</xdr:row>
      <xdr:rowOff>119925</xdr:rowOff>
    </xdr:to>
    <xdr:grpSp>
      <xdr:nvGrpSpPr>
        <xdr:cNvPr id="8" name="Group 7">
          <a:extLst>
            <a:ext uri="{FF2B5EF4-FFF2-40B4-BE49-F238E27FC236}">
              <a16:creationId xmlns:a16="http://schemas.microsoft.com/office/drawing/2014/main" id="{0A1FABAC-33E0-431C-B767-02689D016A90}"/>
            </a:ext>
          </a:extLst>
        </xdr:cNvPr>
        <xdr:cNvGrpSpPr/>
      </xdr:nvGrpSpPr>
      <xdr:grpSpPr>
        <a:xfrm>
          <a:off x="440635" y="3245125"/>
          <a:ext cx="3017520" cy="353496"/>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Button1_Click" textlink="">
        <xdr:nvSpPr>
          <xdr:cNvPr id="9" name="Rectangle: Rounded Corners 8">
            <a:extLst>
              <a:ext uri="{FF2B5EF4-FFF2-40B4-BE49-F238E27FC236}">
                <a16:creationId xmlns:a16="http://schemas.microsoft.com/office/drawing/2014/main" id="{63E837CB-762A-EFA4-7DA5-92E5E1B701CF}"/>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ImportTextFileDatatoExcel123" textlink="">
        <xdr:nvSpPr>
          <xdr:cNvPr id="10" name="Rectangle: Rounded Corners 4">
            <a:extLst>
              <a:ext uri="{FF2B5EF4-FFF2-40B4-BE49-F238E27FC236}">
                <a16:creationId xmlns:a16="http://schemas.microsoft.com/office/drawing/2014/main" id="{1467212F-7998-357A-3CE5-7C6DA565A0FA}"/>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l" defTabSz="889000">
              <a:lnSpc>
                <a:spcPct val="90000"/>
              </a:lnSpc>
              <a:spcBef>
                <a:spcPct val="0"/>
              </a:spcBef>
              <a:spcAft>
                <a:spcPct val="35000"/>
              </a:spcAft>
              <a:buNone/>
            </a:pPr>
            <a:r>
              <a:rPr lang="en-US" sz="1000" b="1" kern="1200" baseline="0">
                <a:solidFill>
                  <a:schemeClr val="accent1">
                    <a:lumMod val="50000"/>
                  </a:schemeClr>
                </a:solidFill>
              </a:rPr>
              <a:t>Validate Ratelogs</a:t>
            </a:r>
            <a:endParaRPr lang="en-US" sz="1000" b="1" kern="1200">
              <a:solidFill>
                <a:schemeClr val="accent1">
                  <a:lumMod val="50000"/>
                </a:schemeClr>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22860</xdr:colOff>
      <xdr:row>1</xdr:row>
      <xdr:rowOff>15240</xdr:rowOff>
    </xdr:from>
    <xdr:to>
      <xdr:col>4</xdr:col>
      <xdr:colOff>3063240</xdr:colOff>
      <xdr:row>2</xdr:row>
      <xdr:rowOff>60960</xdr:rowOff>
    </xdr:to>
    <xdr:grpSp>
      <xdr:nvGrpSpPr>
        <xdr:cNvPr id="26" name="Group 25">
          <a:extLst>
            <a:ext uri="{FF2B5EF4-FFF2-40B4-BE49-F238E27FC236}">
              <a16:creationId xmlns:a16="http://schemas.microsoft.com/office/drawing/2014/main" id="{00000000-0008-0000-0700-00001A000000}"/>
            </a:ext>
          </a:extLst>
        </xdr:cNvPr>
        <xdr:cNvGrpSpPr/>
      </xdr:nvGrpSpPr>
      <xdr:grpSpPr>
        <a:xfrm>
          <a:off x="1985010" y="0"/>
          <a:ext cx="1716405" cy="0"/>
          <a:chOff x="4077522" y="1650620"/>
          <a:chExt cx="979965" cy="489982"/>
        </a:xfrm>
        <a:solidFill>
          <a:schemeClr val="accent1"/>
        </a:solidFill>
        <a:effectLst>
          <a:outerShdw blurRad="50800" dist="38100" dir="2700000" algn="tl" rotWithShape="0">
            <a:prstClr val="black">
              <a:alpha val="40000"/>
            </a:prstClr>
          </a:outerShdw>
        </a:effectLst>
      </xdr:grpSpPr>
      <xdr:sp macro="[0]!Group18_Click"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4077522" y="1650620"/>
            <a:ext cx="979965" cy="489982"/>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sp>
      <xdr:sp macro="[0]!Button18_Click" textlink="">
        <xdr:nvSpPr>
          <xdr:cNvPr id="28" name="Rectangle: Rounded Corners 4">
            <a:extLst>
              <a:ext uri="{FF2B5EF4-FFF2-40B4-BE49-F238E27FC236}">
                <a16:creationId xmlns:a16="http://schemas.microsoft.com/office/drawing/2014/main" id="{00000000-0008-0000-0700-00001C000000}"/>
              </a:ext>
            </a:extLst>
          </xdr:cNvPr>
          <xdr:cNvSpPr txBox="1"/>
        </xdr:nvSpPr>
        <xdr:spPr>
          <a:xfrm>
            <a:off x="4101442" y="1674539"/>
            <a:ext cx="932127" cy="42579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ctr" defTabSz="889000">
              <a:lnSpc>
                <a:spcPct val="90000"/>
              </a:lnSpc>
              <a:spcBef>
                <a:spcPct val="0"/>
              </a:spcBef>
              <a:spcAft>
                <a:spcPct val="35000"/>
              </a:spcAft>
              <a:buNone/>
            </a:pPr>
            <a:r>
              <a:rPr lang="en-US" sz="1000" kern="1200"/>
              <a:t>Get Test Cases</a:t>
            </a:r>
          </a:p>
        </xdr:txBody>
      </xdr:sp>
    </xdr:grpSp>
    <xdr:clientData/>
  </xdr:twoCellAnchor>
  <xdr:twoCellAnchor>
    <xdr:from>
      <xdr:col>3</xdr:col>
      <xdr:colOff>601980</xdr:colOff>
      <xdr:row>2</xdr:row>
      <xdr:rowOff>102870</xdr:rowOff>
    </xdr:from>
    <xdr:to>
      <xdr:col>5</xdr:col>
      <xdr:colOff>0</xdr:colOff>
      <xdr:row>3</xdr:row>
      <xdr:rowOff>15239</xdr:rowOff>
    </xdr:to>
    <xdr:grpSp>
      <xdr:nvGrpSpPr>
        <xdr:cNvPr id="32" name="Group 31">
          <a:extLst>
            <a:ext uri="{FF2B5EF4-FFF2-40B4-BE49-F238E27FC236}">
              <a16:creationId xmlns:a16="http://schemas.microsoft.com/office/drawing/2014/main" id="{00000000-0008-0000-0700-000020000000}"/>
            </a:ext>
          </a:extLst>
        </xdr:cNvPr>
        <xdr:cNvGrpSpPr/>
      </xdr:nvGrpSpPr>
      <xdr:grpSpPr>
        <a:xfrm>
          <a:off x="1421130" y="0"/>
          <a:ext cx="2284095" cy="0"/>
          <a:chOff x="4077522" y="1650620"/>
          <a:chExt cx="979965" cy="489982"/>
        </a:xfrm>
        <a:solidFill>
          <a:schemeClr val="accent1"/>
        </a:solidFill>
        <a:effectLst>
          <a:outerShdw blurRad="50800" dist="38100" dir="2700000" algn="tl" rotWithShape="0">
            <a:prstClr val="black">
              <a:alpha val="40000"/>
            </a:prstClr>
          </a:outerShdw>
        </a:effectLst>
      </xdr:grpSpPr>
      <xdr:sp macro="[0]!Button1_Click" textlink="">
        <xdr:nvSpPr>
          <xdr:cNvPr id="33" name="Rectangle: Rounded Corners 32">
            <a:extLst>
              <a:ext uri="{FF2B5EF4-FFF2-40B4-BE49-F238E27FC236}">
                <a16:creationId xmlns:a16="http://schemas.microsoft.com/office/drawing/2014/main" id="{00000000-0008-0000-0700-000021000000}"/>
              </a:ext>
            </a:extLst>
          </xdr:cNvPr>
          <xdr:cNvSpPr/>
        </xdr:nvSpPr>
        <xdr:spPr>
          <a:xfrm>
            <a:off x="4077522" y="1650620"/>
            <a:ext cx="979965" cy="489982"/>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sp>
      <xdr:sp macro="[0]!test_copy" textlink="">
        <xdr:nvSpPr>
          <xdr:cNvPr id="34" name="Rectangle: Rounded Corners 4">
            <a:extLst>
              <a:ext uri="{FF2B5EF4-FFF2-40B4-BE49-F238E27FC236}">
                <a16:creationId xmlns:a16="http://schemas.microsoft.com/office/drawing/2014/main" id="{00000000-0008-0000-0700-000022000000}"/>
              </a:ext>
            </a:extLst>
          </xdr:cNvPr>
          <xdr:cNvSpPr txBox="1"/>
        </xdr:nvSpPr>
        <xdr:spPr>
          <a:xfrm>
            <a:off x="4101441" y="1674538"/>
            <a:ext cx="932127" cy="442143"/>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ctr" defTabSz="889000">
              <a:lnSpc>
                <a:spcPct val="90000"/>
              </a:lnSpc>
              <a:spcBef>
                <a:spcPct val="0"/>
              </a:spcBef>
              <a:spcAft>
                <a:spcPct val="35000"/>
              </a:spcAft>
              <a:buNone/>
            </a:pPr>
            <a:r>
              <a:rPr lang="en-US" sz="1000" kern="1200" baseline="0"/>
              <a:t>Extract </a:t>
            </a:r>
            <a:r>
              <a:rPr lang="en-US" sz="1000" kern="1200"/>
              <a:t>Test</a:t>
            </a:r>
            <a:r>
              <a:rPr lang="en-US" sz="1000" kern="1200" baseline="0"/>
              <a:t> Case from POM</a:t>
            </a:r>
            <a:endParaRPr lang="en-US" sz="1000" kern="1200"/>
          </a:p>
        </xdr:txBody>
      </xdr:sp>
    </xdr:grpSp>
    <xdr:clientData/>
  </xdr:twoCellAnchor>
  <xdr:twoCellAnchor>
    <xdr:from>
      <xdr:col>0</xdr:col>
      <xdr:colOff>59055</xdr:colOff>
      <xdr:row>0</xdr:row>
      <xdr:rowOff>137160</xdr:rowOff>
    </xdr:from>
    <xdr:to>
      <xdr:col>3</xdr:col>
      <xdr:colOff>163831</xdr:colOff>
      <xdr:row>1</xdr:row>
      <xdr:rowOff>121920</xdr:rowOff>
    </xdr:to>
    <xdr:grpSp>
      <xdr:nvGrpSpPr>
        <xdr:cNvPr id="35" name="Group 34">
          <a:extLst>
            <a:ext uri="{FF2B5EF4-FFF2-40B4-BE49-F238E27FC236}">
              <a16:creationId xmlns:a16="http://schemas.microsoft.com/office/drawing/2014/main" id="{00000000-0008-0000-0700-000023000000}"/>
            </a:ext>
          </a:extLst>
        </xdr:cNvPr>
        <xdr:cNvGrpSpPr/>
      </xdr:nvGrpSpPr>
      <xdr:grpSpPr>
        <a:xfrm>
          <a:off x="0" y="0"/>
          <a:ext cx="982981" cy="0"/>
          <a:chOff x="5095875" y="190500"/>
          <a:chExt cx="1163956" cy="436245"/>
        </a:xfrm>
      </xdr:grpSpPr>
      <xdr:sp macro="[0]!Create_Project_Button3_Click" textlink="">
        <xdr:nvSpPr>
          <xdr:cNvPr id="36" name="Arrow: Right 35" descr="Home">
            <a:extLst>
              <a:ext uri="{FF2B5EF4-FFF2-40B4-BE49-F238E27FC236}">
                <a16:creationId xmlns:a16="http://schemas.microsoft.com/office/drawing/2014/main" id="{00000000-0008-0000-0700-000024000000}"/>
              </a:ext>
            </a:extLst>
          </xdr:cNvPr>
          <xdr:cNvSpPr/>
        </xdr:nvSpPr>
        <xdr:spPr>
          <a:xfrm rot="10800000">
            <a:off x="5095875" y="190500"/>
            <a:ext cx="1163956" cy="436245"/>
          </a:xfrm>
          <a:prstGeom prst="rightArrow">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sp>
      <xdr:pic macro="[0]!Create_Project_Button3_Click">
        <xdr:nvPicPr>
          <xdr:cNvPr id="37" name="Picture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1"/>
          <a:stretch>
            <a:fillRect/>
          </a:stretch>
        </xdr:blipFill>
        <xdr:spPr>
          <a:xfrm>
            <a:off x="5167311" y="250030"/>
            <a:ext cx="997160" cy="333404"/>
          </a:xfrm>
          <a:prstGeom prst="rect">
            <a:avLst/>
          </a:prstGeom>
        </xdr:spPr>
      </xdr:pic>
    </xdr:grpSp>
    <xdr:clientData/>
  </xdr:twoCellAnchor>
  <xdr:twoCellAnchor>
    <xdr:from>
      <xdr:col>45</xdr:col>
      <xdr:colOff>236220</xdr:colOff>
      <xdr:row>2</xdr:row>
      <xdr:rowOff>266701</xdr:rowOff>
    </xdr:from>
    <xdr:to>
      <xdr:col>48</xdr:col>
      <xdr:colOff>419100</xdr:colOff>
      <xdr:row>3</xdr:row>
      <xdr:rowOff>121920</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63167895" y="0"/>
          <a:ext cx="3611880" cy="0"/>
          <a:chOff x="4077522" y="1650620"/>
          <a:chExt cx="979965" cy="489982"/>
        </a:xfrm>
        <a:solidFill>
          <a:schemeClr val="accent1"/>
        </a:solidFill>
        <a:effectLst>
          <a:outerShdw blurRad="50800" dist="38100" dir="2700000" algn="tl" rotWithShape="0">
            <a:prstClr val="black">
              <a:alpha val="40000"/>
            </a:prstClr>
          </a:outerShdw>
        </a:effectLst>
      </xdr:grpSpPr>
      <xdr:sp macro="[0]!Display_TC" textlink="">
        <xdr:nvSpPr>
          <xdr:cNvPr id="6" name="Rectangle: Rounded Corners 5">
            <a:extLst>
              <a:ext uri="{FF2B5EF4-FFF2-40B4-BE49-F238E27FC236}">
                <a16:creationId xmlns:a16="http://schemas.microsoft.com/office/drawing/2014/main" id="{00000000-0008-0000-0700-000006000000}"/>
              </a:ext>
            </a:extLst>
          </xdr:cNvPr>
          <xdr:cNvSpPr/>
        </xdr:nvSpPr>
        <xdr:spPr>
          <a:xfrm>
            <a:off x="4077522" y="1650620"/>
            <a:ext cx="979965" cy="489982"/>
          </a:xfrm>
          <a:prstGeom prst="roundRect">
            <a:avLst/>
          </a:prstGeom>
          <a:grpFill/>
          <a:ln>
            <a:solidFill>
              <a:schemeClr val="accent1"/>
            </a:solidFill>
          </a:ln>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0]!Display_TC" textlink="">
        <xdr:nvSpPr>
          <xdr:cNvPr id="7" name="Rectangle: Rounded Corners 4">
            <a:extLst>
              <a:ext uri="{FF2B5EF4-FFF2-40B4-BE49-F238E27FC236}">
                <a16:creationId xmlns:a16="http://schemas.microsoft.com/office/drawing/2014/main" id="{00000000-0008-0000-0700-000007000000}"/>
              </a:ext>
            </a:extLst>
          </xdr:cNvPr>
          <xdr:cNvSpPr txBox="1"/>
        </xdr:nvSpPr>
        <xdr:spPr>
          <a:xfrm>
            <a:off x="4101441" y="1674539"/>
            <a:ext cx="932127" cy="374531"/>
          </a:xfrm>
          <a:prstGeom prst="rect">
            <a:avLst/>
          </a:prstGeom>
          <a:grpFill/>
          <a:ln>
            <a:solidFill>
              <a:schemeClr val="accent1"/>
            </a:solidFill>
          </a:ln>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ctr" defTabSz="889000">
              <a:lnSpc>
                <a:spcPct val="90000"/>
              </a:lnSpc>
              <a:spcBef>
                <a:spcPct val="0"/>
              </a:spcBef>
              <a:spcAft>
                <a:spcPct val="35000"/>
              </a:spcAft>
              <a:buNone/>
            </a:pPr>
            <a:r>
              <a:rPr lang="en-US" sz="1000" kern="1200"/>
              <a:t>Edit Test</a:t>
            </a:r>
            <a:r>
              <a:rPr lang="en-US" sz="1000" kern="1200" baseline="0"/>
              <a:t> Cases</a:t>
            </a:r>
            <a:endParaRPr lang="en-US" sz="1000" kern="1200"/>
          </a:p>
        </xdr:txBody>
      </xdr:sp>
    </xdr:grpSp>
    <xdr:clientData/>
  </xdr:twoCellAnchor>
  <xdr:twoCellAnchor>
    <xdr:from>
      <xdr:col>5</xdr:col>
      <xdr:colOff>388620</xdr:colOff>
      <xdr:row>3</xdr:row>
      <xdr:rowOff>0</xdr:rowOff>
    </xdr:from>
    <xdr:to>
      <xdr:col>6</xdr:col>
      <xdr:colOff>807720</xdr:colOff>
      <xdr:row>4</xdr:row>
      <xdr:rowOff>114300</xdr:rowOff>
    </xdr:to>
    <xdr:sp macro="[0]!CreateDir" textlink="">
      <xdr:nvSpPr>
        <xdr:cNvPr id="3" name="Rectangle: Rounded Corners 2">
          <a:extLst>
            <a:ext uri="{FF2B5EF4-FFF2-40B4-BE49-F238E27FC236}">
              <a16:creationId xmlns:a16="http://schemas.microsoft.com/office/drawing/2014/main" id="{9657EB65-0C6C-75B3-1968-B3A57BEA4519}"/>
            </a:ext>
          </a:extLst>
        </xdr:cNvPr>
        <xdr:cNvSpPr/>
      </xdr:nvSpPr>
      <xdr:spPr>
        <a:xfrm>
          <a:off x="3909060" y="1066800"/>
          <a:ext cx="1592580" cy="28956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a:lstStyle/>
        <a:p>
          <a:r>
            <a:rPr lang="en-IN"/>
            <a:t>Create Test Case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049D94-E128-4612-87E5-4AE0667662DA}" name="TerritoryCode" displayName="TerritoryCode" ref="A1:B2194" totalsRowShown="0" headerRowDxfId="29" dataDxfId="28">
  <autoFilter ref="A1:B2194" xr:uid="{71049D94-E128-4612-87E5-4AE0667662DA}"/>
  <tableColumns count="2">
    <tableColumn id="1" xr3:uid="{3D950CD4-9F38-43EA-96CF-B77D8A4690CB}" name="ZipCode" dataDxfId="27"/>
    <tableColumn id="2" xr3:uid="{FA8F0748-05D9-46A2-8CC7-F818B60B7011}" name="TerritoryCode"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F74A59-B34B-4E0E-B88C-CEB4A5B3AFEE}" name="DefaultLimitRatios" displayName="DefaultLimitRatios" ref="D1:G129" totalsRowShown="0" headerRowDxfId="25" dataDxfId="24">
  <autoFilter ref="D1:G129" xr:uid="{80F74A59-B34B-4E0E-B88C-CEB4A5B3AFEE}"/>
  <tableColumns count="4">
    <tableColumn id="1" xr3:uid="{555A6A07-FDAF-4895-97B3-7154DD5923D2}" name="FormType" dataDxfId="23"/>
    <tableColumn id="2" xr3:uid="{0B65B7C3-6561-4821-86B2-081F1E493CF1}" name="CoverageCode" dataDxfId="22"/>
    <tableColumn id="3" xr3:uid="{685FCE19-B96B-4357-9DB1-E29F37C63BBF}" name="FamilyCount" dataDxfId="21"/>
    <tableColumn id="4" xr3:uid="{DEB0078F-58DE-47C5-AE2C-99CB760F1489}" name="Ratio"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028B1B-1400-4B11-BA24-AF994E2A20C1}" name="BaseLossCost" displayName="BaseLossCost" ref="I1:K148" totalsRowShown="0" headerRowDxfId="19" dataDxfId="18">
  <autoFilter ref="I1:K148" xr:uid="{30028B1B-1400-4B11-BA24-AF994E2A20C1}"/>
  <tableColumns count="3">
    <tableColumn id="1" xr3:uid="{7E5A5EC4-3295-4E14-BCBD-F7CD31BDDFC3}" name="FormType" dataDxfId="17"/>
    <tableColumn id="2" xr3:uid="{97403433-7BE6-4018-9AE2-E8F3CFF5AB60}" name="Territory" dataDxfId="16"/>
    <tableColumn id="3" xr3:uid="{DC2FD402-C21E-421E-BCF8-4E3F643B430E}" name="LossCost" dataDxfId="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08F688C-807F-4C1B-906B-20D12ED0F28E}" name="FormRelativity" displayName="FormRelativity" ref="M1:N8" totalsRowShown="0" headerRowDxfId="14" dataDxfId="13">
  <autoFilter ref="M1:N8" xr:uid="{208F688C-807F-4C1B-906B-20D12ED0F28E}"/>
  <tableColumns count="2">
    <tableColumn id="1" xr3:uid="{C0F27CA6-27FE-4F8F-9F89-E83F7FDD986B}" name="FormType" dataDxfId="12"/>
    <tableColumn id="2" xr3:uid="{DEA2FCCA-4442-4FAC-B04E-B3D6A1FA5ADF}" name="RelativityFactor" dataDxfId="1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BE1314A-0DDC-4928-B458-4AAD3322427F}" name="ProtectionClass" displayName="ProtectionClass" ref="P1:R1013" totalsRowShown="0">
  <autoFilter ref="P1:R1013" xr:uid="{FBE1314A-0DDC-4928-B458-4AAD3322427F}"/>
  <tableColumns count="3">
    <tableColumn id="1" xr3:uid="{1422F1FB-2867-4E23-8AB0-DA7163471AD4}" name="FDDistance"/>
    <tableColumn id="2" xr3:uid="{BA013D78-6823-4D8A-B7FA-8A6CF84318ED}" name="WaterSource"/>
    <tableColumn id="3" xr3:uid="{0F807219-CF54-4046-8EED-ACAA17C00145}" name="ProtectionClas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87891B-0132-4738-98FF-C1DB721925B6}" name="PCRelativity" displayName="PCRelativity" ref="T1:W29" totalsRowShown="0" headerRowDxfId="10" dataDxfId="9">
  <autoFilter ref="T1:W29" xr:uid="{D287891B-0132-4738-98FF-C1DB721925B6}"/>
  <tableColumns count="4">
    <tableColumn id="1" xr3:uid="{03FDF181-1472-4ECA-BB9A-B56E003246FE}" name="Form" dataDxfId="8"/>
    <tableColumn id="2" xr3:uid="{10DD13A5-8C9B-4077-8FB2-44B94000500F}" name="Construction" dataDxfId="7"/>
    <tableColumn id="3" xr3:uid="{314B3248-CD04-464A-BD90-C3926D395523}" name="Protection" dataDxfId="6"/>
    <tableColumn id="4" xr3:uid="{37E44303-249D-44EB-BCA6-7369160F953A}" name="Factor" dataDxfId="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EBCC04-FD40-4C02-925D-D14B19E98622}" name="Insurancerelativity" displayName="Insurancerelativity" ref="Y1:AA171" totalsRowShown="0" headerRowDxfId="4" dataDxfId="3">
  <autoFilter ref="Y1:AA171" xr:uid="{45EBCC04-FD40-4C02-925D-D14B19E98622}"/>
  <tableColumns count="3">
    <tableColumn id="1" xr3:uid="{32AFCBF8-F66D-4F3B-A2FF-B9F73ABBD2E8}" name="Basis" dataDxfId="2"/>
    <tableColumn id="2" xr3:uid="{F9A20D81-ECD2-41BD-9914-895B8C26B218}" name="Amount" dataDxfId="1"/>
    <tableColumn id="3" xr3:uid="{7954AF69-CDAD-4FFE-AAB9-605E44132050}" name="Factor"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C1BAC-979E-4484-B602-A9B09CDEA79D}">
  <sheetPr codeName="Sheet24"/>
  <dimension ref="A1:GZ107"/>
  <sheetViews>
    <sheetView showGridLines="0" showRowColHeaders="0" workbookViewId="0">
      <selection activeCell="Y12" sqref="Y12"/>
    </sheetView>
  </sheetViews>
  <sheetFormatPr defaultRowHeight="15"/>
  <cols>
    <col min="1" max="1" width="39" bestFit="1" customWidth="1"/>
    <col min="2" max="2" width="45.28515625" customWidth="1"/>
    <col min="3" max="3" width="69.85546875" customWidth="1"/>
    <col min="4" max="4" width="32.5703125" customWidth="1"/>
    <col min="5" max="5" width="29.140625" customWidth="1"/>
  </cols>
  <sheetData>
    <row r="1" spans="1:208">
      <c r="A1" s="128"/>
      <c r="B1" s="128"/>
      <c r="C1" s="1"/>
      <c r="D1" s="1"/>
      <c r="E1" s="1"/>
      <c r="K1" s="1"/>
      <c r="O1" s="1"/>
      <c r="U1" s="1"/>
      <c r="AG1" s="1"/>
      <c r="AL1" s="1"/>
      <c r="AU1" s="1"/>
      <c r="BA1" s="1"/>
      <c r="BE1" s="1"/>
      <c r="BH1" s="1"/>
      <c r="BI1" s="1"/>
      <c r="BO1" s="1"/>
      <c r="BQ1" s="1"/>
      <c r="BS1" s="1"/>
      <c r="BX1" s="1"/>
      <c r="BZ1" s="1"/>
      <c r="CE1" s="1"/>
      <c r="CI1" s="1"/>
      <c r="CP1" s="1"/>
      <c r="CU1" s="1"/>
      <c r="DH1" s="1"/>
      <c r="DK1" s="1"/>
      <c r="DQ1" s="1"/>
      <c r="DT1" s="1"/>
      <c r="EK1" s="1"/>
      <c r="EP1" s="1"/>
      <c r="EU1" s="1"/>
      <c r="FE1" s="1"/>
      <c r="FJ1" s="1"/>
      <c r="FM1" s="1"/>
      <c r="FQ1" s="1"/>
      <c r="FW1" s="1"/>
      <c r="GB1" s="1"/>
      <c r="GE1" s="1"/>
      <c r="GM1" s="1"/>
      <c r="GS1" s="1"/>
      <c r="GU1" s="1"/>
      <c r="GW1" s="1"/>
      <c r="GY1" s="1"/>
      <c r="GZ1" s="1"/>
    </row>
    <row r="2" spans="1:208">
      <c r="A2" s="128"/>
      <c r="B2" s="128"/>
      <c r="C2" s="1"/>
      <c r="D2" s="1"/>
      <c r="E2" s="1"/>
    </row>
    <row r="3" spans="1:208">
      <c r="A3" s="128"/>
      <c r="B3" s="128"/>
      <c r="C3" s="1"/>
      <c r="D3" s="1"/>
      <c r="E3" s="1"/>
    </row>
    <row r="4" spans="1:208">
      <c r="A4" s="128"/>
      <c r="B4" s="128"/>
      <c r="C4" s="1"/>
      <c r="D4" s="1"/>
      <c r="E4" s="1"/>
    </row>
    <row r="5" spans="1:208">
      <c r="A5" s="128"/>
      <c r="B5" s="128"/>
      <c r="C5" s="1"/>
      <c r="D5" s="1"/>
      <c r="E5" s="1"/>
    </row>
    <row r="6" spans="1:208">
      <c r="A6" s="128"/>
      <c r="B6" s="128"/>
      <c r="C6" s="1"/>
      <c r="D6" s="1"/>
      <c r="E6" s="1"/>
    </row>
    <row r="7" spans="1:208">
      <c r="A7" s="128"/>
      <c r="B7" s="128"/>
      <c r="C7" s="1"/>
      <c r="D7" s="1"/>
      <c r="E7" s="1"/>
    </row>
    <row r="8" spans="1:208">
      <c r="A8" s="128"/>
      <c r="B8" s="128"/>
      <c r="C8" s="1"/>
      <c r="D8" s="1"/>
      <c r="E8" s="1"/>
    </row>
    <row r="9" spans="1:208">
      <c r="A9" s="128"/>
      <c r="B9" s="128"/>
      <c r="C9" s="1"/>
      <c r="D9" s="1"/>
      <c r="E9" s="1"/>
    </row>
    <row r="10" spans="1:208">
      <c r="A10" s="128"/>
      <c r="B10" s="128"/>
      <c r="C10" s="1"/>
      <c r="D10" s="1"/>
      <c r="E10" s="1"/>
    </row>
    <row r="11" spans="1:208">
      <c r="A11" s="128"/>
      <c r="B11" s="128"/>
      <c r="C11" s="1"/>
      <c r="D11" s="1"/>
      <c r="E11" s="1"/>
    </row>
    <row r="12" spans="1:208">
      <c r="A12" s="128"/>
      <c r="B12" s="128"/>
      <c r="C12" s="1"/>
      <c r="D12" s="1"/>
      <c r="E12" s="1"/>
    </row>
    <row r="13" spans="1:208">
      <c r="A13" s="128"/>
      <c r="B13" s="128"/>
      <c r="C13" s="1"/>
      <c r="D13" s="1"/>
      <c r="E13" s="1"/>
    </row>
    <row r="14" spans="1:208">
      <c r="A14" s="128"/>
      <c r="B14" s="128"/>
      <c r="C14" s="1"/>
      <c r="D14" s="1"/>
      <c r="E14" s="1"/>
    </row>
    <row r="15" spans="1:208">
      <c r="A15" s="128"/>
      <c r="B15" s="128"/>
      <c r="C15" s="1"/>
      <c r="D15" s="1"/>
      <c r="E15" s="1"/>
    </row>
    <row r="16" spans="1:208">
      <c r="A16" s="128"/>
      <c r="B16" s="128"/>
      <c r="C16" s="1"/>
      <c r="D16" s="1"/>
      <c r="E16" s="1"/>
    </row>
    <row r="17" spans="1:5">
      <c r="A17" s="128"/>
      <c r="B17" s="128"/>
      <c r="C17" s="1"/>
      <c r="D17" s="1"/>
      <c r="E17" s="1"/>
    </row>
    <row r="18" spans="1:5">
      <c r="A18" s="128"/>
      <c r="B18" s="128"/>
      <c r="C18" s="1"/>
      <c r="D18" s="1"/>
      <c r="E18" s="1"/>
    </row>
    <row r="19" spans="1:5">
      <c r="A19" s="128"/>
      <c r="B19" s="128"/>
      <c r="C19" s="1"/>
      <c r="D19" s="1"/>
      <c r="E19" s="1"/>
    </row>
    <row r="20" spans="1:5">
      <c r="A20" s="128"/>
      <c r="B20" s="128"/>
      <c r="C20" s="1"/>
      <c r="D20" s="1"/>
      <c r="E20" s="1"/>
    </row>
    <row r="21" spans="1:5">
      <c r="A21" s="128"/>
      <c r="B21" s="128"/>
      <c r="C21" s="1"/>
      <c r="D21" s="1"/>
      <c r="E21" s="1"/>
    </row>
    <row r="22" spans="1:5">
      <c r="A22" s="128"/>
      <c r="B22" s="128"/>
      <c r="C22" s="1"/>
      <c r="D22" s="1"/>
      <c r="E22" s="1"/>
    </row>
    <row r="23" spans="1:5">
      <c r="A23" s="128"/>
      <c r="B23" s="128"/>
      <c r="C23" s="1"/>
      <c r="D23" s="1"/>
      <c r="E23" s="1"/>
    </row>
    <row r="24" spans="1:5">
      <c r="A24" s="128"/>
      <c r="B24" s="128"/>
      <c r="C24" s="1"/>
      <c r="D24" s="1"/>
      <c r="E24" s="1"/>
    </row>
    <row r="25" spans="1:5">
      <c r="A25" s="128"/>
      <c r="B25" s="128"/>
      <c r="C25" s="1"/>
      <c r="D25" s="1"/>
      <c r="E25" s="1"/>
    </row>
    <row r="26" spans="1:5">
      <c r="A26" s="128"/>
      <c r="B26" s="128"/>
      <c r="C26" s="1"/>
      <c r="D26" s="1"/>
      <c r="E26" s="1"/>
    </row>
    <row r="27" spans="1:5">
      <c r="A27" s="128"/>
      <c r="B27" s="128"/>
      <c r="C27" s="1"/>
      <c r="D27" s="1"/>
      <c r="E27" s="1"/>
    </row>
    <row r="28" spans="1:5">
      <c r="A28" s="128"/>
      <c r="B28" s="128"/>
      <c r="C28" s="1"/>
      <c r="D28" s="1"/>
      <c r="E28" s="1"/>
    </row>
    <row r="29" spans="1:5">
      <c r="A29" s="128"/>
      <c r="B29" s="128"/>
      <c r="C29" s="1"/>
      <c r="D29" s="1"/>
      <c r="E29" s="1"/>
    </row>
    <row r="30" spans="1:5">
      <c r="A30" s="128"/>
      <c r="B30" s="128"/>
      <c r="C30" s="1"/>
      <c r="D30" s="1"/>
      <c r="E30" s="1"/>
    </row>
    <row r="31" spans="1:5">
      <c r="A31" s="128"/>
      <c r="B31" s="128"/>
      <c r="C31" s="1"/>
      <c r="D31" s="1"/>
      <c r="E31" s="1"/>
    </row>
    <row r="32" spans="1:5">
      <c r="A32" s="128"/>
      <c r="B32" s="128"/>
      <c r="C32" s="1"/>
      <c r="D32" s="1"/>
      <c r="E32" s="1"/>
    </row>
    <row r="33" spans="1:5">
      <c r="A33" s="128"/>
      <c r="B33" s="128"/>
      <c r="C33" s="1"/>
      <c r="D33" s="1"/>
      <c r="E33" s="1"/>
    </row>
    <row r="34" spans="1:5">
      <c r="A34" s="128"/>
      <c r="B34" s="128"/>
      <c r="C34" s="1"/>
      <c r="D34" s="1"/>
      <c r="E34" s="1"/>
    </row>
    <row r="35" spans="1:5">
      <c r="A35" s="128"/>
      <c r="B35" s="128"/>
      <c r="C35" s="1"/>
      <c r="D35" s="1"/>
      <c r="E35" s="1"/>
    </row>
    <row r="36" spans="1:5">
      <c r="A36" s="128"/>
      <c r="B36" s="128"/>
      <c r="C36" s="1"/>
      <c r="D36" s="1"/>
      <c r="E36" s="1"/>
    </row>
    <row r="37" spans="1:5">
      <c r="A37" s="128"/>
      <c r="B37" s="128"/>
      <c r="C37" s="1"/>
      <c r="D37" s="1"/>
      <c r="E37" s="1"/>
    </row>
    <row r="38" spans="1:5">
      <c r="A38" s="128"/>
      <c r="B38" s="128"/>
      <c r="C38" s="1"/>
      <c r="D38" s="1"/>
      <c r="E38" s="1"/>
    </row>
    <row r="39" spans="1:5">
      <c r="A39" s="128"/>
      <c r="B39" s="128"/>
      <c r="C39" s="1"/>
      <c r="D39" s="1"/>
      <c r="E39" s="1"/>
    </row>
    <row r="40" spans="1:5">
      <c r="A40" s="128"/>
      <c r="B40" s="128"/>
      <c r="C40" s="1"/>
      <c r="D40" s="1"/>
      <c r="E40" s="1"/>
    </row>
    <row r="41" spans="1:5">
      <c r="A41" s="128"/>
      <c r="B41" s="128"/>
      <c r="C41" s="1"/>
      <c r="D41" s="1"/>
      <c r="E41" s="1"/>
    </row>
    <row r="42" spans="1:5">
      <c r="A42" s="128"/>
      <c r="B42" s="128"/>
      <c r="C42" s="1"/>
      <c r="D42" s="1"/>
      <c r="E42" s="1"/>
    </row>
    <row r="43" spans="1:5">
      <c r="A43" s="128"/>
      <c r="B43" s="128"/>
      <c r="C43" s="1"/>
      <c r="D43" s="1"/>
      <c r="E43" s="1"/>
    </row>
    <row r="44" spans="1:5">
      <c r="A44" s="128"/>
      <c r="B44" s="128"/>
      <c r="C44" s="1"/>
      <c r="D44" s="1"/>
      <c r="E44" s="1"/>
    </row>
    <row r="45" spans="1:5">
      <c r="A45" s="128"/>
      <c r="B45" s="128"/>
      <c r="C45" s="1"/>
      <c r="D45" s="1"/>
      <c r="E45" s="1"/>
    </row>
    <row r="46" spans="1:5">
      <c r="A46" s="128"/>
      <c r="B46" s="128"/>
      <c r="C46" s="1"/>
      <c r="D46" s="1"/>
      <c r="E46" s="1"/>
    </row>
    <row r="47" spans="1:5">
      <c r="A47" s="128"/>
      <c r="B47" s="128"/>
      <c r="C47" s="1"/>
      <c r="D47" s="1"/>
      <c r="E47" s="1"/>
    </row>
    <row r="48" spans="1:5">
      <c r="A48" s="128"/>
      <c r="B48" s="128"/>
      <c r="C48" s="1"/>
      <c r="D48" s="1"/>
      <c r="E48" s="1"/>
    </row>
    <row r="49" spans="1:5">
      <c r="A49" s="128"/>
      <c r="B49" s="128"/>
      <c r="C49" s="1"/>
      <c r="D49" s="1"/>
      <c r="E49" s="1"/>
    </row>
    <row r="50" spans="1:5">
      <c r="A50" s="128"/>
      <c r="B50" s="128"/>
      <c r="C50" s="1"/>
      <c r="D50" s="1"/>
      <c r="E50" s="1"/>
    </row>
    <row r="51" spans="1:5">
      <c r="A51" s="128"/>
      <c r="B51" s="128"/>
      <c r="C51" s="1"/>
      <c r="D51" s="1"/>
      <c r="E51" s="1"/>
    </row>
    <row r="52" spans="1:5">
      <c r="A52" s="128"/>
      <c r="B52" s="128"/>
      <c r="C52" s="1"/>
      <c r="D52" s="1"/>
      <c r="E52" s="1"/>
    </row>
    <row r="53" spans="1:5">
      <c r="A53" s="128"/>
      <c r="B53" s="128"/>
      <c r="C53" s="1"/>
      <c r="D53" s="1"/>
      <c r="E53" s="1"/>
    </row>
    <row r="54" spans="1:5">
      <c r="A54" s="128"/>
      <c r="B54" s="128"/>
      <c r="C54" s="1"/>
      <c r="D54" s="1"/>
      <c r="E54" s="1"/>
    </row>
    <row r="55" spans="1:5">
      <c r="A55" s="128"/>
      <c r="B55" s="128"/>
      <c r="C55" s="1"/>
      <c r="D55" s="1"/>
      <c r="E55" s="1"/>
    </row>
    <row r="56" spans="1:5">
      <c r="A56" s="128"/>
      <c r="B56" s="128"/>
      <c r="C56" s="1"/>
      <c r="D56" s="1"/>
      <c r="E56" s="1"/>
    </row>
    <row r="57" spans="1:5">
      <c r="A57" s="128"/>
      <c r="B57" s="128"/>
      <c r="C57" s="1"/>
      <c r="D57" s="1"/>
      <c r="E57" s="1"/>
    </row>
    <row r="58" spans="1:5">
      <c r="A58" s="128"/>
      <c r="B58" s="128"/>
      <c r="C58" s="1"/>
      <c r="D58" s="1"/>
      <c r="E58" s="1"/>
    </row>
    <row r="59" spans="1:5">
      <c r="A59" s="128"/>
      <c r="B59" s="128"/>
      <c r="C59" s="1"/>
      <c r="D59" s="1"/>
      <c r="E59" s="1"/>
    </row>
    <row r="60" spans="1:5">
      <c r="A60" s="128"/>
      <c r="B60" s="128"/>
      <c r="C60" s="1"/>
      <c r="D60" s="1"/>
      <c r="E60" s="1"/>
    </row>
    <row r="61" spans="1:5">
      <c r="A61" s="128"/>
      <c r="B61" s="128"/>
      <c r="C61" s="1"/>
      <c r="D61" s="1"/>
      <c r="E61" s="1"/>
    </row>
    <row r="62" spans="1:5">
      <c r="A62" s="128"/>
      <c r="B62" s="128"/>
      <c r="C62" s="1"/>
      <c r="D62" s="1"/>
      <c r="E62" s="1"/>
    </row>
    <row r="63" spans="1:5">
      <c r="A63" s="128"/>
      <c r="B63" s="128"/>
      <c r="C63" s="1"/>
      <c r="D63" s="1"/>
      <c r="E63" s="1"/>
    </row>
    <row r="64" spans="1:5">
      <c r="A64" s="128"/>
      <c r="B64" s="128"/>
      <c r="C64" s="1"/>
      <c r="D64" s="1"/>
      <c r="E64" s="1"/>
    </row>
    <row r="65" spans="1:5">
      <c r="A65" s="128"/>
      <c r="B65" s="128"/>
      <c r="C65" s="1"/>
      <c r="D65" s="1"/>
      <c r="E65" s="1"/>
    </row>
    <row r="66" spans="1:5">
      <c r="A66" s="128"/>
      <c r="B66" s="128"/>
      <c r="C66" s="1"/>
      <c r="D66" s="1"/>
      <c r="E66" s="1"/>
    </row>
    <row r="67" spans="1:5">
      <c r="A67" s="128"/>
      <c r="B67" s="128"/>
      <c r="C67" s="1"/>
      <c r="D67" s="1"/>
      <c r="E67" s="1"/>
    </row>
    <row r="68" spans="1:5">
      <c r="A68" s="128"/>
      <c r="B68" s="128"/>
      <c r="C68" s="1"/>
      <c r="D68" s="1"/>
      <c r="E68" s="1"/>
    </row>
    <row r="69" spans="1:5">
      <c r="A69" s="128"/>
      <c r="B69" s="128"/>
      <c r="C69" s="1"/>
      <c r="D69" s="1"/>
      <c r="E69" s="1"/>
    </row>
    <row r="70" spans="1:5">
      <c r="A70" s="128"/>
      <c r="B70" s="128"/>
      <c r="C70" s="1"/>
      <c r="D70" s="1"/>
      <c r="E70" s="1"/>
    </row>
    <row r="71" spans="1:5">
      <c r="A71" s="128"/>
      <c r="B71" s="128"/>
      <c r="C71" s="1"/>
      <c r="D71" s="1"/>
      <c r="E71" s="1"/>
    </row>
    <row r="72" spans="1:5">
      <c r="A72" s="128"/>
      <c r="B72" s="128"/>
      <c r="C72" s="1"/>
      <c r="D72" s="1"/>
      <c r="E72" s="1"/>
    </row>
    <row r="73" spans="1:5">
      <c r="A73" s="128"/>
      <c r="B73" s="128"/>
      <c r="C73" s="1"/>
      <c r="D73" s="1"/>
      <c r="E73" s="1"/>
    </row>
    <row r="74" spans="1:5">
      <c r="A74" s="128"/>
      <c r="B74" s="128"/>
      <c r="C74" s="1"/>
      <c r="D74" s="1"/>
      <c r="E74" s="1"/>
    </row>
    <row r="75" spans="1:5">
      <c r="A75" s="128"/>
      <c r="B75" s="128"/>
      <c r="C75" s="1"/>
      <c r="D75" s="1"/>
      <c r="E75" s="1"/>
    </row>
    <row r="76" spans="1:5">
      <c r="A76" s="128"/>
      <c r="B76" s="128"/>
      <c r="C76" s="1"/>
      <c r="D76" s="1"/>
      <c r="E76" s="1"/>
    </row>
    <row r="77" spans="1:5">
      <c r="A77" s="128"/>
      <c r="B77" s="128"/>
      <c r="C77" s="1"/>
      <c r="D77" s="1"/>
      <c r="E77" s="1"/>
    </row>
    <row r="78" spans="1:5">
      <c r="A78" s="128"/>
      <c r="B78" s="128"/>
      <c r="C78" s="1"/>
      <c r="D78" s="1"/>
      <c r="E78" s="1"/>
    </row>
    <row r="79" spans="1:5">
      <c r="A79" s="128"/>
      <c r="B79" s="128"/>
      <c r="C79" s="1"/>
      <c r="D79" s="1"/>
      <c r="E79" s="1"/>
    </row>
    <row r="80" spans="1:5">
      <c r="A80" s="128"/>
      <c r="B80" s="128"/>
      <c r="C80" s="1"/>
      <c r="D80" s="1"/>
      <c r="E80" s="1"/>
    </row>
    <row r="81" spans="1:5">
      <c r="A81" s="128"/>
      <c r="B81" s="128"/>
      <c r="C81" s="1"/>
      <c r="D81" s="1"/>
      <c r="E81" s="1"/>
    </row>
    <row r="82" spans="1:5">
      <c r="A82" s="128"/>
      <c r="B82" s="128"/>
      <c r="C82" s="1"/>
      <c r="D82" s="1"/>
      <c r="E82" s="1"/>
    </row>
    <row r="83" spans="1:5">
      <c r="A83" s="128"/>
      <c r="B83" s="128"/>
      <c r="C83" s="1"/>
      <c r="D83" s="1"/>
      <c r="E83" s="1"/>
    </row>
    <row r="84" spans="1:5">
      <c r="A84" s="128"/>
      <c r="B84" s="128"/>
      <c r="C84" s="1"/>
      <c r="D84" s="1"/>
      <c r="E84" s="1"/>
    </row>
    <row r="85" spans="1:5">
      <c r="A85" s="128"/>
      <c r="B85" s="128"/>
      <c r="C85" s="1"/>
      <c r="D85" s="1"/>
      <c r="E85" s="1"/>
    </row>
    <row r="86" spans="1:5">
      <c r="A86" s="128"/>
      <c r="B86" s="128"/>
      <c r="C86" s="1"/>
      <c r="D86" s="1"/>
      <c r="E86" s="1"/>
    </row>
    <row r="87" spans="1:5">
      <c r="A87" s="128"/>
      <c r="B87" s="128"/>
      <c r="C87" s="1"/>
      <c r="D87" s="1"/>
      <c r="E87" s="1"/>
    </row>
    <row r="88" spans="1:5">
      <c r="A88" s="128"/>
      <c r="B88" s="128"/>
      <c r="C88" s="1"/>
      <c r="D88" s="1"/>
      <c r="E88" s="1"/>
    </row>
    <row r="89" spans="1:5">
      <c r="A89" s="128"/>
      <c r="B89" s="128"/>
      <c r="C89" s="1"/>
      <c r="D89" s="1"/>
      <c r="E89" s="1"/>
    </row>
    <row r="90" spans="1:5">
      <c r="A90" s="128"/>
      <c r="B90" s="128"/>
      <c r="C90" s="1"/>
      <c r="D90" s="1"/>
      <c r="E90" s="1"/>
    </row>
    <row r="91" spans="1:5">
      <c r="A91" s="128"/>
      <c r="B91" s="128"/>
      <c r="C91" s="1"/>
      <c r="D91" s="1"/>
      <c r="E91" s="1"/>
    </row>
    <row r="92" spans="1:5">
      <c r="A92" s="128"/>
      <c r="B92" s="128"/>
      <c r="C92" s="1"/>
      <c r="D92" s="1"/>
      <c r="E92" s="1"/>
    </row>
    <row r="93" spans="1:5">
      <c r="A93" s="128"/>
      <c r="B93" s="128"/>
      <c r="C93" s="1"/>
      <c r="D93" s="1"/>
      <c r="E93" s="1"/>
    </row>
    <row r="94" spans="1:5">
      <c r="A94" s="128"/>
      <c r="B94" s="128"/>
      <c r="C94" s="1"/>
      <c r="D94" s="1"/>
      <c r="E94" s="1"/>
    </row>
    <row r="95" spans="1:5">
      <c r="A95" s="128"/>
      <c r="B95" s="128"/>
      <c r="C95" s="1"/>
      <c r="D95" s="1"/>
      <c r="E95" s="1"/>
    </row>
    <row r="96" spans="1:5">
      <c r="A96" s="128"/>
      <c r="B96" s="128"/>
      <c r="C96" s="1"/>
      <c r="D96" s="1"/>
      <c r="E96" s="1"/>
    </row>
    <row r="97" spans="1:5">
      <c r="A97" s="128"/>
      <c r="B97" s="128"/>
      <c r="C97" s="1"/>
      <c r="D97" s="1"/>
      <c r="E97" s="1"/>
    </row>
    <row r="98" spans="1:5">
      <c r="A98" s="128"/>
      <c r="B98" s="128"/>
      <c r="C98" s="1"/>
      <c r="D98" s="1"/>
      <c r="E98" s="1"/>
    </row>
    <row r="99" spans="1:5">
      <c r="A99" s="128"/>
      <c r="B99" s="128"/>
      <c r="C99" s="1"/>
      <c r="D99" s="1"/>
      <c r="E99" s="1"/>
    </row>
    <row r="100" spans="1:5">
      <c r="A100" s="128"/>
      <c r="B100" s="128"/>
      <c r="C100" s="1"/>
      <c r="D100" s="1"/>
      <c r="E100" s="1"/>
    </row>
    <row r="101" spans="1:5">
      <c r="A101" s="127"/>
      <c r="B101" s="127"/>
    </row>
    <row r="102" spans="1:5">
      <c r="A102" s="127"/>
      <c r="B102" s="127"/>
    </row>
    <row r="103" spans="1:5">
      <c r="A103" s="127"/>
      <c r="B103" s="127"/>
    </row>
    <row r="104" spans="1:5">
      <c r="A104" s="127"/>
      <c r="B104" s="127"/>
    </row>
    <row r="105" spans="1:5">
      <c r="A105" s="127"/>
      <c r="B105" s="127"/>
    </row>
    <row r="106" spans="1:5">
      <c r="A106" s="127"/>
      <c r="B106" s="127"/>
    </row>
    <row r="107" spans="1:5">
      <c r="A107" s="127"/>
      <c r="B107" s="12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anchor moveWithCells="1" sizeWithCells="1">
                  <from>
                    <xdr:col>10</xdr:col>
                    <xdr:colOff>533400</xdr:colOff>
                    <xdr:row>4</xdr:row>
                    <xdr:rowOff>57150</xdr:rowOff>
                  </from>
                  <to>
                    <xdr:col>13</xdr:col>
                    <xdr:colOff>228600</xdr:colOff>
                    <xdr:row>8</xdr:row>
                    <xdr:rowOff>95250</xdr:rowOff>
                  </to>
                </anchor>
              </controlPr>
            </control>
          </mc:Choice>
        </mc:AlternateContent>
        <mc:AlternateContent xmlns:mc="http://schemas.openxmlformats.org/markup-compatibility/2006">
          <mc:Choice Requires="x14">
            <control shapeId="47106" r:id="rId5" name="Button 2">
              <controlPr defaultSize="0" print="0" autoFill="0" autoPict="0">
                <anchor moveWithCells="1" sizeWithCells="1">
                  <from>
                    <xdr:col>10</xdr:col>
                    <xdr:colOff>533400</xdr:colOff>
                    <xdr:row>4</xdr:row>
                    <xdr:rowOff>57150</xdr:rowOff>
                  </from>
                  <to>
                    <xdr:col>13</xdr:col>
                    <xdr:colOff>228600</xdr:colOff>
                    <xdr:row>8</xdr:row>
                    <xdr:rowOff>95250</xdr:rowOff>
                  </to>
                </anchor>
              </controlPr>
            </control>
          </mc:Choice>
        </mc:AlternateContent>
        <mc:AlternateContent xmlns:mc="http://schemas.openxmlformats.org/markup-compatibility/2006">
          <mc:Choice Requires="x14">
            <control shapeId="47107" r:id="rId6" name="Button 3">
              <controlPr defaultSize="0" print="0" autoFill="0" autoPict="0">
                <anchor moveWithCells="1" sizeWithCells="1">
                  <from>
                    <xdr:col>10</xdr:col>
                    <xdr:colOff>533400</xdr:colOff>
                    <xdr:row>4</xdr:row>
                    <xdr:rowOff>57150</xdr:rowOff>
                  </from>
                  <to>
                    <xdr:col>13</xdr:col>
                    <xdr:colOff>228600</xdr:colOff>
                    <xdr:row>8</xdr:row>
                    <xdr:rowOff>95250</xdr:rowOff>
                  </to>
                </anchor>
              </controlPr>
            </control>
          </mc:Choice>
        </mc:AlternateContent>
        <mc:AlternateContent xmlns:mc="http://schemas.openxmlformats.org/markup-compatibility/2006">
          <mc:Choice Requires="x14">
            <control shapeId="47108" r:id="rId7" name="Button 4">
              <controlPr defaultSize="0" print="0" autoFill="0" autoPict="0">
                <anchor moveWithCells="1" sizeWithCells="1">
                  <from>
                    <xdr:col>10</xdr:col>
                    <xdr:colOff>533400</xdr:colOff>
                    <xdr:row>4</xdr:row>
                    <xdr:rowOff>57150</xdr:rowOff>
                  </from>
                  <to>
                    <xdr:col>13</xdr:col>
                    <xdr:colOff>228600</xdr:colOff>
                    <xdr:row>8</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E9FA6-E428-4130-ADB9-23369352DFC0}">
  <sheetPr codeName="Sheet38"/>
  <dimension ref="A1:B107"/>
  <sheetViews>
    <sheetView showGridLines="0" showRowColHeaders="0" topLeftCell="A37" workbookViewId="0">
      <selection activeCell="Y12" sqref="Y12"/>
    </sheetView>
  </sheetViews>
  <sheetFormatPr defaultRowHeight="15"/>
  <cols>
    <col min="1" max="1" width="39" bestFit="1" customWidth="1"/>
    <col min="2" max="2" width="21" bestFit="1" customWidth="1"/>
  </cols>
  <sheetData>
    <row r="1" spans="1:2">
      <c r="A1" s="127" t="s">
        <v>2782</v>
      </c>
      <c r="B1" s="127" t="s">
        <v>15</v>
      </c>
    </row>
    <row r="2" spans="1:2">
      <c r="A2" s="127" t="s">
        <v>2794</v>
      </c>
      <c r="B2" s="127" t="s">
        <v>2640</v>
      </c>
    </row>
    <row r="3" spans="1:2">
      <c r="A3" s="127" t="s">
        <v>2795</v>
      </c>
      <c r="B3" s="127" t="s">
        <v>2640</v>
      </c>
    </row>
    <row r="4" spans="1:2">
      <c r="A4" s="127" t="s">
        <v>2796</v>
      </c>
      <c r="B4" s="127" t="s">
        <v>2766</v>
      </c>
    </row>
    <row r="5" spans="1:2">
      <c r="A5" s="127" t="s">
        <v>2797</v>
      </c>
      <c r="B5" s="127" t="s">
        <v>2640</v>
      </c>
    </row>
    <row r="6" spans="1:2">
      <c r="A6" s="127" t="s">
        <v>2798</v>
      </c>
      <c r="B6" s="127" t="s">
        <v>2778</v>
      </c>
    </row>
    <row r="7" spans="1:2">
      <c r="A7" s="127" t="s">
        <v>2799</v>
      </c>
      <c r="B7" s="127" t="s">
        <v>2779</v>
      </c>
    </row>
    <row r="8" spans="1:2">
      <c r="A8" s="127" t="s">
        <v>2800</v>
      </c>
      <c r="B8" s="127" t="s">
        <v>2780</v>
      </c>
    </row>
    <row r="9" spans="1:2">
      <c r="A9" s="127" t="s">
        <v>2801</v>
      </c>
      <c r="B9" s="127" t="s">
        <v>2640</v>
      </c>
    </row>
    <row r="10" spans="1:2">
      <c r="A10" s="127" t="s">
        <v>2802</v>
      </c>
      <c r="B10" s="127" t="s">
        <v>2767</v>
      </c>
    </row>
    <row r="11" spans="1:2">
      <c r="A11" s="127" t="s">
        <v>2803</v>
      </c>
      <c r="B11" s="127" t="s">
        <v>2768</v>
      </c>
    </row>
    <row r="12" spans="1:2">
      <c r="A12" s="127" t="s">
        <v>2804</v>
      </c>
      <c r="B12" s="127" t="s">
        <v>2769</v>
      </c>
    </row>
    <row r="13" spans="1:2">
      <c r="A13" s="127" t="s">
        <v>2805</v>
      </c>
      <c r="B13" s="127" t="s">
        <v>2770</v>
      </c>
    </row>
    <row r="14" spans="1:2">
      <c r="A14" s="127" t="s">
        <v>2806</v>
      </c>
      <c r="B14" s="127" t="s">
        <v>2781</v>
      </c>
    </row>
    <row r="15" spans="1:2">
      <c r="A15" s="127" t="s">
        <v>2807</v>
      </c>
      <c r="B15" s="127" t="s">
        <v>2783</v>
      </c>
    </row>
    <row r="16" spans="1:2">
      <c r="A16" s="127" t="s">
        <v>2808</v>
      </c>
      <c r="B16" s="127" t="s">
        <v>2771</v>
      </c>
    </row>
    <row r="17" spans="1:2">
      <c r="A17" s="127" t="s">
        <v>2809</v>
      </c>
      <c r="B17" s="127" t="s">
        <v>2784</v>
      </c>
    </row>
    <row r="18" spans="1:2">
      <c r="A18" s="127" t="s">
        <v>2810</v>
      </c>
      <c r="B18" s="127" t="s">
        <v>2640</v>
      </c>
    </row>
    <row r="19" spans="1:2">
      <c r="A19" s="127" t="s">
        <v>2811</v>
      </c>
      <c r="B19" s="127" t="s">
        <v>2640</v>
      </c>
    </row>
    <row r="20" spans="1:2">
      <c r="A20" s="127" t="s">
        <v>2812</v>
      </c>
      <c r="B20" s="127" t="s">
        <v>2785</v>
      </c>
    </row>
    <row r="21" spans="1:2">
      <c r="A21" s="127" t="s">
        <v>2813</v>
      </c>
      <c r="B21" s="127" t="s">
        <v>2640</v>
      </c>
    </row>
    <row r="22" spans="1:2">
      <c r="A22" s="127" t="s">
        <v>2814</v>
      </c>
      <c r="B22" s="127" t="s">
        <v>2640</v>
      </c>
    </row>
    <row r="23" spans="1:2">
      <c r="A23" s="127" t="s">
        <v>2815</v>
      </c>
      <c r="B23" s="127" t="s">
        <v>2786</v>
      </c>
    </row>
    <row r="24" spans="1:2">
      <c r="A24" s="127" t="s">
        <v>2816</v>
      </c>
      <c r="B24" s="127" t="s">
        <v>2787</v>
      </c>
    </row>
    <row r="25" spans="1:2">
      <c r="A25" s="127" t="s">
        <v>2817</v>
      </c>
      <c r="B25" s="127" t="s">
        <v>2640</v>
      </c>
    </row>
    <row r="26" spans="1:2">
      <c r="A26" s="127" t="s">
        <v>2818</v>
      </c>
      <c r="B26" s="127" t="s">
        <v>2788</v>
      </c>
    </row>
    <row r="27" spans="1:2">
      <c r="A27" s="127" t="s">
        <v>2819</v>
      </c>
      <c r="B27" s="127" t="s">
        <v>2789</v>
      </c>
    </row>
    <row r="28" spans="1:2">
      <c r="A28" s="127" t="s">
        <v>2820</v>
      </c>
      <c r="B28" s="127" t="s">
        <v>2640</v>
      </c>
    </row>
    <row r="29" spans="1:2">
      <c r="A29" s="127" t="s">
        <v>2821</v>
      </c>
      <c r="B29" s="127" t="s">
        <v>2640</v>
      </c>
    </row>
    <row r="30" spans="1:2">
      <c r="A30" s="127" t="s">
        <v>2822</v>
      </c>
      <c r="B30" s="127" t="s">
        <v>2489</v>
      </c>
    </row>
    <row r="31" spans="1:2">
      <c r="A31" s="127" t="s">
        <v>2823</v>
      </c>
      <c r="B31" s="127" t="s">
        <v>2640</v>
      </c>
    </row>
    <row r="32" spans="1:2">
      <c r="A32" s="127" t="s">
        <v>2824</v>
      </c>
      <c r="B32" s="127" t="s">
        <v>2640</v>
      </c>
    </row>
    <row r="33" spans="1:2">
      <c r="A33" s="127" t="s">
        <v>2825</v>
      </c>
      <c r="B33" s="127" t="s">
        <v>2640</v>
      </c>
    </row>
    <row r="34" spans="1:2">
      <c r="A34" s="127" t="s">
        <v>2826</v>
      </c>
      <c r="B34" s="127" t="s">
        <v>2640</v>
      </c>
    </row>
    <row r="35" spans="1:2">
      <c r="A35" s="127" t="s">
        <v>2827</v>
      </c>
      <c r="B35" s="127" t="s">
        <v>2640</v>
      </c>
    </row>
    <row r="36" spans="1:2">
      <c r="A36" s="127" t="s">
        <v>2828</v>
      </c>
      <c r="B36" s="127" t="s">
        <v>2640</v>
      </c>
    </row>
    <row r="37" spans="1:2">
      <c r="A37" s="127" t="s">
        <v>2829</v>
      </c>
      <c r="B37" s="127" t="s">
        <v>2640</v>
      </c>
    </row>
    <row r="38" spans="1:2">
      <c r="A38" s="127" t="s">
        <v>2830</v>
      </c>
      <c r="B38" s="127" t="s">
        <v>2640</v>
      </c>
    </row>
    <row r="39" spans="1:2">
      <c r="A39" s="127" t="s">
        <v>2831</v>
      </c>
      <c r="B39" s="127" t="s">
        <v>2640</v>
      </c>
    </row>
    <row r="40" spans="1:2">
      <c r="A40" s="127" t="s">
        <v>2832</v>
      </c>
      <c r="B40" s="127" t="s">
        <v>2640</v>
      </c>
    </row>
    <row r="41" spans="1:2">
      <c r="A41" s="127" t="s">
        <v>2833</v>
      </c>
      <c r="B41" s="127" t="s">
        <v>2640</v>
      </c>
    </row>
    <row r="42" spans="1:2">
      <c r="A42" s="127" t="s">
        <v>2834</v>
      </c>
      <c r="B42" s="127" t="s">
        <v>2640</v>
      </c>
    </row>
    <row r="43" spans="1:2">
      <c r="A43" s="127" t="s">
        <v>2835</v>
      </c>
      <c r="B43" s="127" t="s">
        <v>2790</v>
      </c>
    </row>
    <row r="44" spans="1:2">
      <c r="A44" s="127" t="s">
        <v>2836</v>
      </c>
      <c r="B44" s="127" t="s">
        <v>2640</v>
      </c>
    </row>
    <row r="45" spans="1:2">
      <c r="A45" s="127" t="s">
        <v>2837</v>
      </c>
      <c r="B45" s="127" t="s">
        <v>2640</v>
      </c>
    </row>
    <row r="46" spans="1:2">
      <c r="A46" s="127" t="s">
        <v>2838</v>
      </c>
      <c r="B46" s="127" t="s">
        <v>2640</v>
      </c>
    </row>
    <row r="47" spans="1:2">
      <c r="A47" s="127" t="s">
        <v>2839</v>
      </c>
      <c r="B47" s="127" t="s">
        <v>2640</v>
      </c>
    </row>
    <row r="48" spans="1:2">
      <c r="A48" s="127" t="s">
        <v>2840</v>
      </c>
      <c r="B48" s="127" t="s">
        <v>2790</v>
      </c>
    </row>
    <row r="49" spans="1:2">
      <c r="A49" s="127" t="s">
        <v>2841</v>
      </c>
      <c r="B49" s="127" t="s">
        <v>2640</v>
      </c>
    </row>
    <row r="50" spans="1:2">
      <c r="A50" s="127" t="s">
        <v>2842</v>
      </c>
      <c r="B50" s="127" t="s">
        <v>2640</v>
      </c>
    </row>
    <row r="51" spans="1:2">
      <c r="A51" s="127" t="s">
        <v>2843</v>
      </c>
      <c r="B51" s="127" t="s">
        <v>2640</v>
      </c>
    </row>
    <row r="52" spans="1:2">
      <c r="A52" s="127" t="s">
        <v>2844</v>
      </c>
      <c r="B52" s="127" t="s">
        <v>2640</v>
      </c>
    </row>
    <row r="53" spans="1:2">
      <c r="A53" s="127" t="s">
        <v>2845</v>
      </c>
      <c r="B53" s="127" t="s">
        <v>2640</v>
      </c>
    </row>
    <row r="54" spans="1:2">
      <c r="A54" s="127" t="s">
        <v>2846</v>
      </c>
      <c r="B54" s="127" t="s">
        <v>2640</v>
      </c>
    </row>
    <row r="55" spans="1:2">
      <c r="A55" s="127" t="s">
        <v>2847</v>
      </c>
      <c r="B55" s="127" t="s">
        <v>2640</v>
      </c>
    </row>
    <row r="56" spans="1:2">
      <c r="A56" s="127" t="s">
        <v>2848</v>
      </c>
      <c r="B56" s="127" t="s">
        <v>2640</v>
      </c>
    </row>
    <row r="57" spans="1:2">
      <c r="A57" s="127" t="s">
        <v>2849</v>
      </c>
      <c r="B57" s="127" t="s">
        <v>2766</v>
      </c>
    </row>
    <row r="58" spans="1:2">
      <c r="A58" s="127" t="s">
        <v>2850</v>
      </c>
      <c r="B58" s="127" t="s">
        <v>2640</v>
      </c>
    </row>
    <row r="59" spans="1:2">
      <c r="A59" s="127" t="s">
        <v>2851</v>
      </c>
      <c r="B59" s="127" t="s">
        <v>2778</v>
      </c>
    </row>
    <row r="60" spans="1:2">
      <c r="A60" s="127" t="s">
        <v>2852</v>
      </c>
      <c r="B60" s="127" t="s">
        <v>2779</v>
      </c>
    </row>
    <row r="61" spans="1:2">
      <c r="A61" s="127" t="s">
        <v>2853</v>
      </c>
      <c r="B61" s="127" t="s">
        <v>2780</v>
      </c>
    </row>
    <row r="62" spans="1:2">
      <c r="A62" s="127" t="s">
        <v>2854</v>
      </c>
      <c r="B62" s="127" t="s">
        <v>2640</v>
      </c>
    </row>
    <row r="63" spans="1:2">
      <c r="A63" s="127" t="s">
        <v>2855</v>
      </c>
      <c r="B63" s="127" t="s">
        <v>2791</v>
      </c>
    </row>
    <row r="64" spans="1:2">
      <c r="A64" s="127" t="s">
        <v>2856</v>
      </c>
      <c r="B64" s="127" t="s">
        <v>2768</v>
      </c>
    </row>
    <row r="65" spans="1:2">
      <c r="A65" s="127" t="s">
        <v>2857</v>
      </c>
      <c r="B65" s="127" t="s">
        <v>2769</v>
      </c>
    </row>
    <row r="66" spans="1:2">
      <c r="A66" s="127" t="s">
        <v>2858</v>
      </c>
      <c r="B66" s="127" t="s">
        <v>2792</v>
      </c>
    </row>
    <row r="67" spans="1:2">
      <c r="A67" s="127" t="s">
        <v>2859</v>
      </c>
      <c r="B67" s="127" t="s">
        <v>2793</v>
      </c>
    </row>
    <row r="68" spans="1:2">
      <c r="A68" s="127" t="s">
        <v>2860</v>
      </c>
      <c r="B68" s="127" t="s">
        <v>2783</v>
      </c>
    </row>
    <row r="69" spans="1:2">
      <c r="A69" s="127" t="s">
        <v>2861</v>
      </c>
      <c r="B69" s="127" t="s">
        <v>2771</v>
      </c>
    </row>
    <row r="70" spans="1:2">
      <c r="A70" s="127" t="s">
        <v>2862</v>
      </c>
      <c r="B70" s="127" t="s">
        <v>2784</v>
      </c>
    </row>
    <row r="71" spans="1:2">
      <c r="A71" s="127" t="s">
        <v>2863</v>
      </c>
      <c r="B71" s="127" t="s">
        <v>2640</v>
      </c>
    </row>
    <row r="72" spans="1:2">
      <c r="A72" s="127" t="s">
        <v>2864</v>
      </c>
      <c r="B72" s="127" t="s">
        <v>2640</v>
      </c>
    </row>
    <row r="73" spans="1:2">
      <c r="A73" s="127" t="s">
        <v>2865</v>
      </c>
      <c r="B73" s="127" t="s">
        <v>2785</v>
      </c>
    </row>
    <row r="74" spans="1:2">
      <c r="A74" s="127" t="s">
        <v>2866</v>
      </c>
      <c r="B74" s="127" t="s">
        <v>2640</v>
      </c>
    </row>
    <row r="75" spans="1:2">
      <c r="A75" s="127" t="s">
        <v>2867</v>
      </c>
      <c r="B75" s="127" t="s">
        <v>2640</v>
      </c>
    </row>
    <row r="76" spans="1:2">
      <c r="A76" s="127" t="s">
        <v>2868</v>
      </c>
      <c r="B76" s="127" t="s">
        <v>2786</v>
      </c>
    </row>
    <row r="77" spans="1:2">
      <c r="A77" s="127" t="s">
        <v>2869</v>
      </c>
      <c r="B77" s="127" t="s">
        <v>2787</v>
      </c>
    </row>
    <row r="78" spans="1:2">
      <c r="A78" s="127" t="s">
        <v>2870</v>
      </c>
      <c r="B78" s="127" t="s">
        <v>2640</v>
      </c>
    </row>
    <row r="79" spans="1:2">
      <c r="A79" s="127" t="s">
        <v>2871</v>
      </c>
      <c r="B79" s="127" t="s">
        <v>2788</v>
      </c>
    </row>
    <row r="80" spans="1:2">
      <c r="A80" s="127" t="s">
        <v>2872</v>
      </c>
      <c r="B80" s="127" t="s">
        <v>2789</v>
      </c>
    </row>
    <row r="81" spans="1:2">
      <c r="A81" s="127" t="s">
        <v>2873</v>
      </c>
      <c r="B81" s="127" t="s">
        <v>2640</v>
      </c>
    </row>
    <row r="82" spans="1:2">
      <c r="A82" s="127" t="s">
        <v>2874</v>
      </c>
      <c r="B82" s="127" t="s">
        <v>2640</v>
      </c>
    </row>
    <row r="83" spans="1:2">
      <c r="A83" s="127" t="s">
        <v>2875</v>
      </c>
      <c r="B83" s="127" t="s">
        <v>2489</v>
      </c>
    </row>
    <row r="84" spans="1:2">
      <c r="A84" s="127" t="s">
        <v>2876</v>
      </c>
      <c r="B84" s="127" t="s">
        <v>2640</v>
      </c>
    </row>
    <row r="85" spans="1:2">
      <c r="A85" s="127" t="s">
        <v>2877</v>
      </c>
      <c r="B85" s="127" t="s">
        <v>2640</v>
      </c>
    </row>
    <row r="86" spans="1:2">
      <c r="A86" s="127" t="s">
        <v>2878</v>
      </c>
      <c r="B86" s="127" t="s">
        <v>2640</v>
      </c>
    </row>
    <row r="87" spans="1:2">
      <c r="A87" s="127" t="s">
        <v>2879</v>
      </c>
      <c r="B87" s="127" t="s">
        <v>2640</v>
      </c>
    </row>
    <row r="88" spans="1:2">
      <c r="A88" s="127" t="s">
        <v>2880</v>
      </c>
      <c r="B88" s="127" t="s">
        <v>2640</v>
      </c>
    </row>
    <row r="89" spans="1:2">
      <c r="A89" s="127" t="s">
        <v>2881</v>
      </c>
      <c r="B89" s="127" t="s">
        <v>2640</v>
      </c>
    </row>
    <row r="90" spans="1:2">
      <c r="A90" s="127" t="s">
        <v>2882</v>
      </c>
      <c r="B90" s="127" t="s">
        <v>2640</v>
      </c>
    </row>
    <row r="91" spans="1:2">
      <c r="A91" s="127" t="s">
        <v>2883</v>
      </c>
      <c r="B91" s="127" t="s">
        <v>2640</v>
      </c>
    </row>
    <row r="92" spans="1:2">
      <c r="A92" s="127" t="s">
        <v>2884</v>
      </c>
      <c r="B92" s="127" t="s">
        <v>2640</v>
      </c>
    </row>
    <row r="93" spans="1:2">
      <c r="A93" s="127" t="s">
        <v>2885</v>
      </c>
      <c r="B93" s="127" t="s">
        <v>2640</v>
      </c>
    </row>
    <row r="94" spans="1:2">
      <c r="A94" s="127" t="s">
        <v>2886</v>
      </c>
      <c r="B94" s="127" t="s">
        <v>2640</v>
      </c>
    </row>
    <row r="95" spans="1:2">
      <c r="A95" s="127" t="s">
        <v>2887</v>
      </c>
      <c r="B95" s="127" t="s">
        <v>2640</v>
      </c>
    </row>
    <row r="96" spans="1:2">
      <c r="A96" s="127" t="s">
        <v>2888</v>
      </c>
      <c r="B96" s="127" t="s">
        <v>2790</v>
      </c>
    </row>
    <row r="97" spans="1:2">
      <c r="A97" s="127" t="s">
        <v>2889</v>
      </c>
      <c r="B97" s="127" t="s">
        <v>2640</v>
      </c>
    </row>
    <row r="98" spans="1:2">
      <c r="A98" s="127" t="s">
        <v>2890</v>
      </c>
      <c r="B98" s="127" t="s">
        <v>2640</v>
      </c>
    </row>
    <row r="99" spans="1:2">
      <c r="A99" s="127" t="s">
        <v>2891</v>
      </c>
      <c r="B99" s="127" t="s">
        <v>2640</v>
      </c>
    </row>
    <row r="100" spans="1:2">
      <c r="A100" s="127" t="s">
        <v>2892</v>
      </c>
      <c r="B100" s="127" t="s">
        <v>2640</v>
      </c>
    </row>
    <row r="101" spans="1:2">
      <c r="A101" s="127" t="s">
        <v>2893</v>
      </c>
      <c r="B101" s="127" t="s">
        <v>2790</v>
      </c>
    </row>
    <row r="102" spans="1:2">
      <c r="A102" s="127" t="s">
        <v>2894</v>
      </c>
      <c r="B102" s="127" t="s">
        <v>2640</v>
      </c>
    </row>
    <row r="103" spans="1:2">
      <c r="A103" s="127" t="s">
        <v>2895</v>
      </c>
      <c r="B103" s="127" t="s">
        <v>2640</v>
      </c>
    </row>
    <row r="104" spans="1:2">
      <c r="A104" s="127" t="s">
        <v>2896</v>
      </c>
      <c r="B104" s="127" t="s">
        <v>2640</v>
      </c>
    </row>
    <row r="105" spans="1:2">
      <c r="A105" s="127" t="s">
        <v>2897</v>
      </c>
      <c r="B105" s="127" t="s">
        <v>2640</v>
      </c>
    </row>
    <row r="106" spans="1:2">
      <c r="A106" s="127" t="s">
        <v>2898</v>
      </c>
      <c r="B106" s="127" t="s">
        <v>2640</v>
      </c>
    </row>
    <row r="107" spans="1:2">
      <c r="A107" s="127" t="s">
        <v>2899</v>
      </c>
      <c r="B107" s="127" t="s">
        <v>2640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A01A3-BEB4-411B-90C3-0B5397E8146C}">
  <sheetPr codeName="Sheet39"/>
  <dimension ref="A1:A89"/>
  <sheetViews>
    <sheetView topLeftCell="A88" workbookViewId="0">
      <selection activeCell="Y12" sqref="Y12"/>
    </sheetView>
  </sheetViews>
  <sheetFormatPr defaultRowHeight="15"/>
  <sheetData>
    <row r="1" spans="1:1">
      <c r="A1" s="11" t="s">
        <v>114</v>
      </c>
    </row>
    <row r="2" spans="1:1">
      <c r="A2" s="11" t="s">
        <v>115</v>
      </c>
    </row>
    <row r="3" spans="1:1">
      <c r="A3" s="12"/>
    </row>
    <row r="4" spans="1:1">
      <c r="A4" s="13" t="s">
        <v>116</v>
      </c>
    </row>
    <row r="5" spans="1:1">
      <c r="A5" s="14" t="s">
        <v>117</v>
      </c>
    </row>
    <row r="6" spans="1:1">
      <c r="A6" s="14" t="s">
        <v>118</v>
      </c>
    </row>
    <row r="7" spans="1:1">
      <c r="A7" s="14" t="s">
        <v>119</v>
      </c>
    </row>
    <row r="8" spans="1:1">
      <c r="A8" s="12"/>
    </row>
    <row r="9" spans="1:1">
      <c r="A9" s="16" t="s">
        <v>120</v>
      </c>
    </row>
    <row r="10" spans="1:1">
      <c r="A10" s="16" t="s">
        <v>121</v>
      </c>
    </row>
    <row r="11" spans="1:1">
      <c r="A11" s="16" t="s">
        <v>122</v>
      </c>
    </row>
    <row r="12" spans="1:1">
      <c r="A12" s="16" t="s">
        <v>123</v>
      </c>
    </row>
    <row r="13" spans="1:1">
      <c r="A13" s="16" t="s">
        <v>124</v>
      </c>
    </row>
    <row r="14" spans="1:1">
      <c r="A14" s="16" t="s">
        <v>125</v>
      </c>
    </row>
    <row r="15" spans="1:1">
      <c r="A15" s="16" t="s">
        <v>126</v>
      </c>
    </row>
    <row r="16" spans="1:1">
      <c r="A16" s="16" t="s">
        <v>127</v>
      </c>
    </row>
    <row r="17" spans="1:1">
      <c r="A17" s="12"/>
    </row>
    <row r="18" spans="1:1">
      <c r="A18" s="16" t="s">
        <v>121</v>
      </c>
    </row>
    <row r="19" spans="1:1">
      <c r="A19" s="16" t="s">
        <v>128</v>
      </c>
    </row>
    <row r="20" spans="1:1">
      <c r="A20" s="16" t="s">
        <v>124</v>
      </c>
    </row>
    <row r="21" spans="1:1">
      <c r="A21" s="11" t="s">
        <v>129</v>
      </c>
    </row>
    <row r="22" spans="1:1">
      <c r="A22" s="14" t="s">
        <v>130</v>
      </c>
    </row>
    <row r="23" spans="1:1">
      <c r="A23" s="14" t="s">
        <v>131</v>
      </c>
    </row>
    <row r="24" spans="1:1">
      <c r="A24" s="14" t="s">
        <v>132</v>
      </c>
    </row>
    <row r="25" spans="1:1">
      <c r="A25" s="14" t="s">
        <v>133</v>
      </c>
    </row>
    <row r="26" spans="1:1">
      <c r="A26" s="14" t="s">
        <v>134</v>
      </c>
    </row>
    <row r="27" spans="1:1">
      <c r="A27" s="14" t="s">
        <v>135</v>
      </c>
    </row>
    <row r="28" spans="1:1">
      <c r="A28" s="14" t="s">
        <v>136</v>
      </c>
    </row>
    <row r="29" spans="1:1">
      <c r="A29" s="14" t="s">
        <v>137</v>
      </c>
    </row>
    <row r="30" spans="1:1">
      <c r="A30" s="14" t="s">
        <v>138</v>
      </c>
    </row>
    <row r="31" spans="1:1">
      <c r="A31" s="14" t="s">
        <v>139</v>
      </c>
    </row>
    <row r="32" spans="1:1">
      <c r="A32" s="14" t="s">
        <v>140</v>
      </c>
    </row>
    <row r="33" spans="1:1">
      <c r="A33" s="14" t="s">
        <v>141</v>
      </c>
    </row>
    <row r="34" spans="1:1">
      <c r="A34" s="14" t="s">
        <v>142</v>
      </c>
    </row>
    <row r="35" spans="1:1">
      <c r="A35" s="14" t="s">
        <v>143</v>
      </c>
    </row>
    <row r="36" spans="1:1">
      <c r="A36" s="14" t="s">
        <v>144</v>
      </c>
    </row>
    <row r="37" spans="1:1">
      <c r="A37" s="14" t="s">
        <v>145</v>
      </c>
    </row>
    <row r="38" spans="1:1">
      <c r="A38" s="14" t="s">
        <v>146</v>
      </c>
    </row>
    <row r="39" spans="1:1">
      <c r="A39" s="14" t="s">
        <v>147</v>
      </c>
    </row>
    <row r="40" spans="1:1">
      <c r="A40" s="14" t="s">
        <v>148</v>
      </c>
    </row>
    <row r="41" spans="1:1">
      <c r="A41" s="14" t="s">
        <v>149</v>
      </c>
    </row>
    <row r="42" spans="1:1">
      <c r="A42" s="14" t="s">
        <v>150</v>
      </c>
    </row>
    <row r="43" spans="1:1">
      <c r="A43" s="14" t="s">
        <v>151</v>
      </c>
    </row>
    <row r="44" spans="1:1">
      <c r="A44" s="12"/>
    </row>
    <row r="45" spans="1:1">
      <c r="A45" s="14" t="s">
        <v>152</v>
      </c>
    </row>
    <row r="46" spans="1:1">
      <c r="A46" s="14" t="s">
        <v>153</v>
      </c>
    </row>
    <row r="47" spans="1:1">
      <c r="A47" s="14" t="s">
        <v>154</v>
      </c>
    </row>
    <row r="48" spans="1:1">
      <c r="A48" s="14" t="s">
        <v>155</v>
      </c>
    </row>
    <row r="49" spans="1:1">
      <c r="A49" s="14" t="s">
        <v>156</v>
      </c>
    </row>
    <row r="50" spans="1:1">
      <c r="A50" s="14" t="s">
        <v>157</v>
      </c>
    </row>
    <row r="51" spans="1:1">
      <c r="A51" s="12"/>
    </row>
    <row r="52" spans="1:1">
      <c r="A52" s="14" t="s">
        <v>158</v>
      </c>
    </row>
    <row r="53" spans="1:1">
      <c r="A53" s="16" t="s">
        <v>159</v>
      </c>
    </row>
    <row r="54" spans="1:1">
      <c r="A54" s="16" t="s">
        <v>160</v>
      </c>
    </row>
    <row r="55" spans="1:1">
      <c r="A55" s="16" t="s">
        <v>161</v>
      </c>
    </row>
    <row r="56" spans="1:1">
      <c r="A56" s="12"/>
    </row>
    <row r="57" spans="1:1">
      <c r="A57" s="16" t="s">
        <v>162</v>
      </c>
    </row>
    <row r="58" spans="1:1">
      <c r="A58" s="16" t="s">
        <v>163</v>
      </c>
    </row>
    <row r="59" spans="1:1">
      <c r="A59" s="16" t="s">
        <v>164</v>
      </c>
    </row>
    <row r="60" spans="1:1">
      <c r="A60" s="16" t="s">
        <v>165</v>
      </c>
    </row>
    <row r="61" spans="1:1">
      <c r="A61" s="12"/>
    </row>
    <row r="62" spans="1:1">
      <c r="A62" s="14" t="s">
        <v>166</v>
      </c>
    </row>
    <row r="63" spans="1:1">
      <c r="A63" s="14" t="s">
        <v>167</v>
      </c>
    </row>
    <row r="64" spans="1:1">
      <c r="A64" s="14" t="s">
        <v>168</v>
      </c>
    </row>
    <row r="65" spans="1:1">
      <c r="A65" s="14" t="s">
        <v>169</v>
      </c>
    </row>
    <row r="66" spans="1:1">
      <c r="A66" s="14" t="s">
        <v>170</v>
      </c>
    </row>
    <row r="67" spans="1:1">
      <c r="A67" s="14" t="s">
        <v>167</v>
      </c>
    </row>
    <row r="68" spans="1:1">
      <c r="A68" s="14" t="s">
        <v>171</v>
      </c>
    </row>
    <row r="69" spans="1:1">
      <c r="A69" s="14" t="s">
        <v>172</v>
      </c>
    </row>
    <row r="70" spans="1:1">
      <c r="A70" s="14" t="s">
        <v>170</v>
      </c>
    </row>
    <row r="71" spans="1:1">
      <c r="A71" s="12"/>
    </row>
    <row r="72" spans="1:1">
      <c r="A72" s="14" t="s">
        <v>173</v>
      </c>
    </row>
    <row r="73" spans="1:1">
      <c r="A73" s="14" t="s">
        <v>167</v>
      </c>
    </row>
    <row r="74" spans="1:1">
      <c r="A74" s="14" t="s">
        <v>174</v>
      </c>
    </row>
    <row r="75" spans="1:1">
      <c r="A75" s="14" t="s">
        <v>175</v>
      </c>
    </row>
    <row r="76" spans="1:1">
      <c r="A76" s="14" t="s">
        <v>170</v>
      </c>
    </row>
    <row r="77" spans="1:1">
      <c r="A77" s="14" t="s">
        <v>162</v>
      </c>
    </row>
    <row r="78" spans="1:1">
      <c r="A78" s="14" t="s">
        <v>176</v>
      </c>
    </row>
    <row r="79" spans="1:1">
      <c r="A79" s="14" t="s">
        <v>177</v>
      </c>
    </row>
    <row r="80" spans="1:1">
      <c r="A80" s="14" t="s">
        <v>178</v>
      </c>
    </row>
    <row r="81" spans="1:1">
      <c r="A81" s="14" t="s">
        <v>179</v>
      </c>
    </row>
    <row r="82" spans="1:1">
      <c r="A82" s="12"/>
    </row>
    <row r="83" spans="1:1">
      <c r="A83" s="14" t="s">
        <v>180</v>
      </c>
    </row>
    <row r="84" spans="1:1">
      <c r="A84" s="14" t="s">
        <v>181</v>
      </c>
    </row>
    <row r="85" spans="1:1">
      <c r="A85" s="14" t="s">
        <v>182</v>
      </c>
    </row>
    <row r="86" spans="1:1">
      <c r="A86" s="14" t="s">
        <v>183</v>
      </c>
    </row>
    <row r="87" spans="1:1">
      <c r="A87" s="14" t="s">
        <v>184</v>
      </c>
    </row>
    <row r="88" spans="1:1">
      <c r="A88" s="14" t="s">
        <v>185</v>
      </c>
    </row>
    <row r="89" spans="1:1">
      <c r="A89" s="14" t="s">
        <v>186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4D3E2-D00F-4FF3-92A6-B85EF49FD48B}">
  <sheetPr codeName="Sheet8"/>
  <dimension ref="A1"/>
  <sheetViews>
    <sheetView workbookViewId="0"/>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9FC9F-BAE4-4590-9755-BDC6433E4899}">
  <sheetPr codeName="Sheet34"/>
  <dimension ref="A1:EB3362"/>
  <sheetViews>
    <sheetView showGridLines="0" tabSelected="1" topLeftCell="C118" zoomScale="115" zoomScaleNormal="112" workbookViewId="0">
      <selection activeCell="J115" sqref="J115"/>
    </sheetView>
  </sheetViews>
  <sheetFormatPr defaultColWidth="17.140625" defaultRowHeight="15"/>
  <cols>
    <col min="1" max="2" width="0" style="61" hidden="1" customWidth="1"/>
    <col min="3" max="3" width="4.28515625" style="81" customWidth="1"/>
    <col min="4" max="4" width="9.7109375" style="61" hidden="1" customWidth="1"/>
    <col min="5" max="5" width="1.85546875" style="83" customWidth="1"/>
    <col min="6" max="6" width="46.7109375" style="61" customWidth="1"/>
    <col min="7" max="7" width="0.7109375" style="61" customWidth="1"/>
    <col min="8" max="8" width="17" style="61" hidden="1" customWidth="1"/>
    <col min="9" max="9" width="66.85546875" style="61" customWidth="1"/>
    <col min="10" max="10" width="56.7109375" style="61" customWidth="1"/>
    <col min="11" max="11" width="5.7109375" style="83" customWidth="1"/>
    <col min="12" max="16" width="17.140625" style="61" customWidth="1"/>
    <col min="17" max="17" width="28.42578125" style="61" customWidth="1"/>
    <col min="18" max="18" width="168.28515625" style="61" customWidth="1"/>
    <col min="19" max="19" width="86.28515625" style="61" customWidth="1"/>
    <col min="20" max="70" width="17.140625" style="61" customWidth="1"/>
    <col min="71" max="71" width="24.28515625" style="61" customWidth="1"/>
    <col min="72" max="73" width="17.140625" style="61" customWidth="1"/>
    <col min="74" max="74" width="7.7109375" style="61" customWidth="1"/>
    <col min="75" max="129" width="17.140625" style="61" customWidth="1"/>
    <col min="130" max="16384" width="17.140625" style="61"/>
  </cols>
  <sheetData>
    <row r="1" spans="1:132" s="53" customFormat="1" ht="13.5" hidden="1" thickBot="1">
      <c r="C1" s="79"/>
      <c r="E1" s="48"/>
      <c r="J1" s="53" t="str">
        <f>F8&amp;"\"&amp;F9&amp;"\"&amp;O1&amp;"-Output"</f>
        <v>D:\Playwright-Automation\HOCopyQuote\02NewQuote-Output</v>
      </c>
      <c r="K1" s="48"/>
      <c r="N1" s="54" t="s">
        <v>45</v>
      </c>
      <c r="O1" s="55" t="str">
        <f>F185</f>
        <v>02NewQuote</v>
      </c>
      <c r="P1" s="56"/>
      <c r="X1" s="53" t="s">
        <v>22</v>
      </c>
    </row>
    <row r="2" spans="1:132" s="53" customFormat="1" ht="13.5" hidden="1" thickBot="1">
      <c r="A2" s="53" t="s">
        <v>94</v>
      </c>
      <c r="C2" s="80"/>
      <c r="E2" s="48"/>
      <c r="J2" s="53" t="s">
        <v>62</v>
      </c>
      <c r="K2" s="48"/>
      <c r="N2" s="54"/>
      <c r="O2" s="55" t="str">
        <f>O1</f>
        <v>02NewQuote</v>
      </c>
      <c r="P2" s="56"/>
      <c r="X2" s="53" t="s">
        <v>55</v>
      </c>
      <c r="AN2" s="53" t="s">
        <v>25</v>
      </c>
      <c r="AO2" s="53" t="str">
        <f>IFERROR(LEFT(AP2,LEN(AP2)-4),"")</f>
        <v>Billing-CP-Base</v>
      </c>
      <c r="AP2" s="53" t="s">
        <v>20</v>
      </c>
    </row>
    <row r="3" spans="1:132" s="53" customFormat="1" hidden="1">
      <c r="C3" s="80"/>
      <c r="E3" s="48"/>
      <c r="F3" s="57"/>
      <c r="G3" s="57"/>
      <c r="J3" s="53" t="str">
        <f>F8&amp;"\"&amp;F9&amp;"\"&amp;O1&amp;"_new.spec"&amp;".ts"</f>
        <v>D:\Playwright-Automation\HOCopyQuote\02NewQuote_new.spec.ts</v>
      </c>
      <c r="K3" s="48"/>
      <c r="N3" s="54" t="s">
        <v>43</v>
      </c>
      <c r="O3" s="58" t="s">
        <v>44</v>
      </c>
      <c r="X3" s="53" t="s">
        <v>47</v>
      </c>
      <c r="AN3" s="53" t="s">
        <v>48</v>
      </c>
      <c r="AO3" s="53" t="str">
        <f t="shared" ref="AO3:AO5" si="0">IFERROR(LEFT(AP3,LEN(AP3)-4),"")</f>
        <v>PAS Conf_New199</v>
      </c>
      <c r="AP3" s="53" t="s">
        <v>25</v>
      </c>
    </row>
    <row r="4" spans="1:132" s="53" customFormat="1" ht="12.75" hidden="1">
      <c r="C4" s="80"/>
      <c r="E4" s="48"/>
      <c r="F4" s="57"/>
      <c r="G4" s="57"/>
      <c r="J4" s="53" t="str">
        <f>F8&amp;"\"&amp;F9&amp;"\"&amp;O1&amp;".spec"&amp;".ts"</f>
        <v>D:\Playwright-Automation\HOCopyQuote\02NewQuote.spec.ts</v>
      </c>
      <c r="K4" s="48"/>
      <c r="X4" s="53" t="s">
        <v>64</v>
      </c>
      <c r="AF4" s="53" t="s">
        <v>19</v>
      </c>
      <c r="AO4" s="53" t="str">
        <f t="shared" si="0"/>
        <v/>
      </c>
    </row>
    <row r="5" spans="1:132" s="53" customFormat="1" ht="28.15" hidden="1" customHeight="1">
      <c r="C5" s="80"/>
      <c r="E5" s="48"/>
      <c r="F5" s="57"/>
      <c r="G5" s="57"/>
      <c r="J5" s="53" t="str">
        <f>F8&amp;"\"&amp;F9&amp;"\Data\"&amp;O1&amp;"data"&amp;".json"</f>
        <v>D:\Playwright-Automation\HOCopyQuote\Data\02NewQuotedata.json</v>
      </c>
      <c r="K5" s="48"/>
      <c r="X5" s="53" t="s">
        <v>56</v>
      </c>
      <c r="AD5" s="53" t="s">
        <v>25</v>
      </c>
      <c r="AF5" s="53" t="s">
        <v>24</v>
      </c>
      <c r="AO5" s="53" t="str">
        <f t="shared" si="0"/>
        <v/>
      </c>
    </row>
    <row r="6" spans="1:132" s="53" customFormat="1" ht="30" customHeight="1" thickBot="1">
      <c r="C6" s="80"/>
      <c r="D6" s="136" t="s">
        <v>104</v>
      </c>
      <c r="E6" s="136"/>
      <c r="F6" s="137"/>
      <c r="G6" s="3"/>
      <c r="H6" s="136" t="s">
        <v>112</v>
      </c>
      <c r="I6" s="136"/>
      <c r="J6" s="106" t="s">
        <v>113</v>
      </c>
      <c r="K6" s="107"/>
      <c r="L6" s="72"/>
      <c r="M6" s="72"/>
      <c r="N6" s="72"/>
      <c r="O6" s="72"/>
      <c r="P6" s="72"/>
      <c r="Q6" s="72"/>
      <c r="R6" s="72"/>
      <c r="S6" s="72"/>
      <c r="T6" s="72"/>
      <c r="U6" s="72"/>
      <c r="V6" s="72"/>
      <c r="W6" s="72"/>
      <c r="X6" s="72"/>
      <c r="Y6" s="72"/>
      <c r="Z6" s="72"/>
      <c r="AA6" s="72"/>
      <c r="AB6" s="72"/>
      <c r="AC6" s="72"/>
      <c r="AD6" s="72"/>
      <c r="AE6" s="72"/>
      <c r="AF6" s="72"/>
      <c r="AG6" s="72"/>
      <c r="AH6" s="72"/>
      <c r="AI6" s="72"/>
      <c r="AJ6" s="72"/>
      <c r="AK6" s="72"/>
      <c r="AL6" s="72"/>
      <c r="AM6" s="72"/>
      <c r="AN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CZ6" s="59"/>
      <c r="DA6" s="59"/>
      <c r="DB6" s="59"/>
      <c r="DC6" s="59"/>
      <c r="DD6" s="59"/>
      <c r="DE6" s="59"/>
      <c r="DF6" s="59"/>
      <c r="DG6" s="59"/>
      <c r="DH6" s="59"/>
      <c r="DI6" s="59"/>
      <c r="DJ6" s="59"/>
      <c r="DK6" s="59"/>
      <c r="DL6" s="59"/>
      <c r="EB6" s="60" t="s">
        <v>105</v>
      </c>
    </row>
    <row r="7" spans="1:132" s="53" customFormat="1" ht="15.75" hidden="1" thickBot="1">
      <c r="C7" s="80"/>
      <c r="E7" s="48"/>
      <c r="H7" s="75" t="s">
        <v>91</v>
      </c>
      <c r="I7" s="75"/>
      <c r="K7" s="48"/>
      <c r="BS7" s="61" t="s">
        <v>23</v>
      </c>
      <c r="CZ7" s="59"/>
      <c r="DA7" s="59"/>
      <c r="DB7" s="59"/>
      <c r="DC7" s="59"/>
      <c r="DD7" s="59"/>
      <c r="DE7" s="59"/>
      <c r="DF7" s="59"/>
      <c r="DG7" s="59"/>
      <c r="DH7" s="59"/>
      <c r="DI7" s="59"/>
      <c r="DJ7" s="59"/>
      <c r="DK7" s="59"/>
      <c r="DL7" s="59"/>
    </row>
    <row r="8" spans="1:132" s="53" customFormat="1" ht="13.5" hidden="1" thickBot="1">
      <c r="C8" s="80"/>
      <c r="D8" s="73" t="s">
        <v>79</v>
      </c>
      <c r="E8" s="85" t="s">
        <v>95</v>
      </c>
      <c r="F8" s="53" t="s">
        <v>3502</v>
      </c>
      <c r="H8" s="75"/>
      <c r="I8" s="75"/>
      <c r="J8" s="73"/>
      <c r="K8" s="108"/>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CZ8" s="59"/>
      <c r="DA8" s="59"/>
      <c r="DB8" s="59"/>
      <c r="DC8" s="59"/>
      <c r="DD8" s="59"/>
      <c r="DE8" s="59"/>
      <c r="DF8" s="59"/>
      <c r="DG8" s="59"/>
      <c r="DH8" s="59"/>
      <c r="DI8" s="59"/>
      <c r="DJ8" s="59"/>
      <c r="DK8" s="59"/>
      <c r="DL8" s="59"/>
    </row>
    <row r="9" spans="1:132" s="53" customFormat="1" ht="28.15" hidden="1" customHeight="1" thickBot="1">
      <c r="C9" s="80"/>
      <c r="D9" s="73" t="s">
        <v>97</v>
      </c>
      <c r="E9" s="85" t="s">
        <v>3546</v>
      </c>
      <c r="F9" s="53" t="str">
        <f>F113</f>
        <v>HOCopyQuote</v>
      </c>
      <c r="H9" s="75"/>
      <c r="I9" s="75"/>
      <c r="J9" s="63"/>
      <c r="K9" s="49"/>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4"/>
      <c r="CZ9" s="59"/>
      <c r="DA9" s="59"/>
      <c r="DB9" s="59"/>
      <c r="DC9" s="59"/>
      <c r="DD9" s="59"/>
      <c r="DE9" s="59"/>
      <c r="DF9" s="59"/>
      <c r="DG9" s="59"/>
      <c r="DH9" s="59"/>
      <c r="DI9" s="59"/>
      <c r="DJ9" s="59"/>
      <c r="DK9" s="59"/>
      <c r="DL9" s="59"/>
    </row>
    <row r="10" spans="1:132" s="53" customFormat="1" ht="28.15" hidden="1" customHeight="1">
      <c r="A10" s="65"/>
      <c r="B10" s="65"/>
      <c r="C10" s="80"/>
      <c r="D10" s="50" t="s">
        <v>0</v>
      </c>
      <c r="E10" s="86" t="s">
        <v>26</v>
      </c>
      <c r="F10" s="65" t="s">
        <v>27</v>
      </c>
      <c r="G10" s="65" t="s">
        <v>28</v>
      </c>
      <c r="H10" s="76" t="s">
        <v>29</v>
      </c>
      <c r="I10" s="76" t="s">
        <v>35</v>
      </c>
      <c r="J10" s="63" t="s">
        <v>36</v>
      </c>
      <c r="K10" s="49" t="s">
        <v>37</v>
      </c>
      <c r="L10" s="63"/>
      <c r="M10" s="63" t="s">
        <v>32</v>
      </c>
      <c r="N10" s="63" t="str">
        <f>O1&amp;"_locators.json"</f>
        <v>02NewQuote_locators.json</v>
      </c>
      <c r="O10" s="63"/>
      <c r="P10" s="63"/>
      <c r="Q10" s="63"/>
      <c r="R10" s="63" t="str">
        <f>O1&amp;"Locator1"</f>
        <v>02NewQuoteLocator1</v>
      </c>
      <c r="S10" s="63" t="s">
        <v>33</v>
      </c>
      <c r="T10" s="63"/>
      <c r="U10" s="63"/>
      <c r="V10" s="63"/>
      <c r="W10" s="63"/>
      <c r="X10" s="63"/>
      <c r="Y10" s="63"/>
      <c r="Z10" s="63"/>
      <c r="AA10" s="63"/>
      <c r="AB10" s="63"/>
      <c r="AC10" s="63"/>
      <c r="AD10" s="63"/>
      <c r="AE10" s="63"/>
      <c r="AF10" s="63"/>
      <c r="AG10" s="63"/>
      <c r="AH10" s="63"/>
      <c r="AI10" s="63"/>
      <c r="AJ10" s="63"/>
      <c r="AK10" s="63"/>
      <c r="AL10" s="63"/>
      <c r="AM10" s="63"/>
      <c r="AN10" s="63"/>
      <c r="AO10" s="63" t="str">
        <f t="shared" ref="AO10:AO37" si="1">IFERROR(LEFT(AP10,LEN(AP10)-4),"")</f>
        <v/>
      </c>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CZ10" s="59"/>
      <c r="DA10" s="59"/>
      <c r="DB10" s="59"/>
      <c r="DC10" s="59"/>
      <c r="DD10" s="59"/>
      <c r="DE10" s="59"/>
      <c r="DF10" s="59"/>
      <c r="DG10" s="59"/>
      <c r="DH10" s="59"/>
      <c r="DI10" s="59"/>
      <c r="DJ10" s="59"/>
      <c r="DK10" s="59"/>
      <c r="DL10" s="59"/>
    </row>
    <row r="11" spans="1:132" s="53" customFormat="1" ht="28.15" hidden="1" customHeight="1">
      <c r="A11" s="61"/>
      <c r="B11" s="61"/>
      <c r="C11" s="80"/>
      <c r="D11" s="51"/>
      <c r="E11" s="83"/>
      <c r="F11" s="61"/>
      <c r="G11" s="61"/>
      <c r="H11" s="76"/>
      <c r="I11" s="76"/>
      <c r="J11" s="63"/>
      <c r="K11" s="49"/>
      <c r="L11" s="63"/>
      <c r="M11" s="63" t="s">
        <v>30</v>
      </c>
      <c r="N11" s="63" t="s">
        <v>31</v>
      </c>
      <c r="O11" s="63" t="str">
        <f t="shared" ref="O11:O42" si="2">IF(D11="input","fill",IF(I11&lt;&gt;"","innerText",IF(J11="Y",$T$110,"click")))</f>
        <v>click</v>
      </c>
      <c r="P11" s="63" t="str">
        <f t="shared" ref="P11:P42" si="3">IF(OR(O11="Click",O11="innerText"),"();","("&amp;""""&amp;K11&amp;""""&amp;");")</f>
        <v>();</v>
      </c>
      <c r="Q11" s="63" t="str">
        <f t="shared" ref="Q11:Q42" si="4">IF(C11="Y",IF(H11&lt;&gt;"Xpath",M11&amp;F11&amp;N11,""""&amp;F11&amp;""""),"")</f>
        <v/>
      </c>
      <c r="R11" s="63" t="str">
        <f t="shared" ref="R11:R42" si="5">IF(C11="Y",""""&amp;E11&amp;""""&amp;":"&amp;Q11&amp;",","")</f>
        <v/>
      </c>
      <c r="S11" s="63" t="str">
        <f t="shared" ref="S11:S42" si="6">IF(O11="innerText",I11&amp;"="&amp;IF(C11="Y",IF(J11&lt;&gt;"Y",$S$9&amp;$R$10&amp;"."&amp;E11&amp;")."&amp;IF(OR(O11="click",O11="innerText"),O11&amp;"();",O11&amp;"("&amp;$Q$9&amp;"."&amp;E11&amp;");"),$S$110&amp;$R$10&amp;"."&amp;E11&amp;")."&amp;IF(O11="click",O11&amp;"();",O11&amp;"("&amp;"'"&amp;K11&amp;"'"&amp;");")),""),IF(C11="Y",IF(J11&lt;&gt;"Y",$S$9&amp;$R$10&amp;"."&amp;E11&amp;")."&amp;IF(OR(O11="click",O11="innerText"),O11&amp;"();",O11&amp;"("&amp;$Q$9&amp;"."&amp;E11&amp;");"),$S$110&amp;$R$10&amp;"."&amp;E11&amp;")."&amp;IF(O11="click",O11&amp;"();",O11&amp;"("&amp;"'"&amp;K11&amp;"'"&amp;");")),""))</f>
        <v/>
      </c>
      <c r="T11" s="63"/>
      <c r="U11" s="63"/>
      <c r="V11" s="63"/>
      <c r="W11" s="63"/>
      <c r="X11" s="63"/>
      <c r="Y11" s="63"/>
      <c r="Z11" s="63"/>
      <c r="AA11" s="63"/>
      <c r="AB11" s="63"/>
      <c r="AC11" s="63"/>
      <c r="AD11" s="63"/>
      <c r="AE11" s="63"/>
      <c r="AF11" s="63"/>
      <c r="AG11" s="63"/>
      <c r="AH11" s="63"/>
      <c r="AI11" s="63"/>
      <c r="AJ11" s="63"/>
      <c r="AK11" s="63"/>
      <c r="AL11" s="63"/>
      <c r="AM11" s="63"/>
      <c r="AN11" s="63"/>
      <c r="AO11" s="63" t="str">
        <f t="shared" si="1"/>
        <v/>
      </c>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CZ11" s="59"/>
      <c r="DA11" s="59"/>
      <c r="DB11" s="59"/>
      <c r="DC11" s="59"/>
      <c r="DD11" s="59"/>
      <c r="DE11" s="59"/>
      <c r="DF11" s="59"/>
      <c r="DG11" s="59"/>
      <c r="DH11" s="59"/>
      <c r="DI11" s="59"/>
      <c r="DJ11" s="59"/>
      <c r="DK11" s="59"/>
      <c r="DL11" s="59"/>
    </row>
    <row r="12" spans="1:132" ht="28.15" hidden="1" customHeight="1">
      <c r="C12" s="80"/>
      <c r="D12" s="51"/>
      <c r="H12" s="76"/>
      <c r="I12" s="76"/>
      <c r="J12" s="63"/>
      <c r="K12" s="49"/>
      <c r="L12" s="63"/>
      <c r="M12" s="63" t="s">
        <v>30</v>
      </c>
      <c r="N12" s="63" t="s">
        <v>31</v>
      </c>
      <c r="O12" s="63" t="str">
        <f t="shared" si="2"/>
        <v>click</v>
      </c>
      <c r="P12" s="63" t="str">
        <f t="shared" si="3"/>
        <v>();</v>
      </c>
      <c r="Q12" s="63" t="str">
        <f t="shared" si="4"/>
        <v/>
      </c>
      <c r="R12" s="63" t="str">
        <f t="shared" si="5"/>
        <v/>
      </c>
      <c r="S12" s="63" t="str">
        <f t="shared" si="6"/>
        <v/>
      </c>
      <c r="T12" s="63"/>
      <c r="U12" s="63" t="str" cm="1">
        <f t="array" ref="U12:U25">_xlfn._xlws.FILTER($I$1:$I$389,$I$1:$I$389 &lt;&gt; "")</f>
        <v>Verification Point</v>
      </c>
      <c r="V12" s="63"/>
      <c r="W12" s="63"/>
      <c r="X12" s="63"/>
      <c r="Y12" s="63"/>
      <c r="Z12" s="63"/>
      <c r="AA12" s="63"/>
      <c r="AB12" s="63"/>
      <c r="AC12" s="63"/>
      <c r="AD12" s="63"/>
      <c r="AE12" s="63"/>
      <c r="AF12" s="63"/>
      <c r="AG12" s="63"/>
      <c r="AH12" s="63"/>
      <c r="AI12" s="63"/>
      <c r="AJ12" s="63"/>
      <c r="AK12" s="63"/>
      <c r="AL12" s="63"/>
      <c r="AM12" s="63"/>
      <c r="AN12" s="63"/>
      <c r="AO12" s="63" t="str">
        <f t="shared" si="1"/>
        <v/>
      </c>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CZ12" s="66"/>
      <c r="DA12" s="66"/>
      <c r="DB12" s="66"/>
      <c r="DC12" s="66"/>
      <c r="DD12" s="66"/>
      <c r="DE12" s="66"/>
      <c r="DF12" s="66"/>
      <c r="DG12" s="66"/>
      <c r="DH12" s="66"/>
      <c r="DI12" s="66"/>
      <c r="DJ12" s="66"/>
      <c r="DK12" s="66"/>
      <c r="DL12" s="66"/>
    </row>
    <row r="13" spans="1:132" ht="28.15" hidden="1" customHeight="1">
      <c r="C13" s="80"/>
      <c r="D13" s="51"/>
      <c r="H13" s="76"/>
      <c r="I13" s="76"/>
      <c r="J13" s="63"/>
      <c r="K13" s="49"/>
      <c r="L13" s="63"/>
      <c r="M13" s="63" t="str">
        <f>IF(H13="XPath","","//*[@id=\")</f>
        <v>//*[@id=\</v>
      </c>
      <c r="N13" s="63" t="s">
        <v>31</v>
      </c>
      <c r="O13" s="63" t="str">
        <f t="shared" si="2"/>
        <v>click</v>
      </c>
      <c r="P13" s="63" t="str">
        <f t="shared" si="3"/>
        <v>();</v>
      </c>
      <c r="Q13" s="63" t="str">
        <f t="shared" si="4"/>
        <v/>
      </c>
      <c r="R13" s="63" t="str">
        <f t="shared" si="5"/>
        <v/>
      </c>
      <c r="S13" s="63" t="str">
        <f t="shared" si="6"/>
        <v/>
      </c>
      <c r="T13" s="63"/>
      <c r="U13" s="63" t="str">
        <v>02LoginUsername</v>
      </c>
      <c r="V13" s="63"/>
      <c r="W13" s="63"/>
      <c r="X13" s="63"/>
      <c r="Y13" s="63"/>
      <c r="Z13" s="63"/>
      <c r="AA13" s="63"/>
      <c r="AB13" s="63"/>
      <c r="AC13" s="63"/>
      <c r="AD13" s="63"/>
      <c r="AE13" s="63"/>
      <c r="AF13" s="63"/>
      <c r="AG13" s="63"/>
      <c r="AH13" s="63"/>
      <c r="AI13" s="63"/>
      <c r="AJ13" s="63"/>
      <c r="AK13" s="63"/>
      <c r="AL13" s="63"/>
      <c r="AM13" s="63"/>
      <c r="AN13" s="63"/>
      <c r="AO13" s="63" t="str">
        <f t="shared" si="1"/>
        <v/>
      </c>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CZ13" s="66"/>
      <c r="DA13" s="66"/>
      <c r="DB13" s="66"/>
      <c r="DC13" s="66"/>
      <c r="DD13" s="66"/>
      <c r="DE13" s="66"/>
      <c r="DF13" s="66"/>
      <c r="DG13" s="66"/>
      <c r="DH13" s="66"/>
      <c r="DI13" s="66"/>
      <c r="DJ13" s="66"/>
      <c r="DK13" s="66"/>
      <c r="DL13" s="66"/>
    </row>
    <row r="14" spans="1:132" ht="28.15" hidden="1" customHeight="1">
      <c r="C14" s="80"/>
      <c r="D14" s="51"/>
      <c r="H14" s="76"/>
      <c r="I14" s="76"/>
      <c r="J14" s="63"/>
      <c r="K14" s="49"/>
      <c r="L14" s="63"/>
      <c r="M14" s="63" t="s">
        <v>30</v>
      </c>
      <c r="N14" s="63" t="s">
        <v>31</v>
      </c>
      <c r="O14" s="63" t="str">
        <f t="shared" si="2"/>
        <v>click</v>
      </c>
      <c r="P14" s="63" t="str">
        <f t="shared" si="3"/>
        <v>();</v>
      </c>
      <c r="Q14" s="63" t="str">
        <f t="shared" si="4"/>
        <v/>
      </c>
      <c r="R14" s="63" t="str">
        <f t="shared" si="5"/>
        <v/>
      </c>
      <c r="S14" s="63" t="str">
        <f t="shared" si="6"/>
        <v/>
      </c>
      <c r="T14" s="63"/>
      <c r="U14" s="63" t="str">
        <v>03LoginPassword</v>
      </c>
      <c r="V14" s="63"/>
      <c r="W14" s="63"/>
      <c r="X14" s="63"/>
      <c r="Y14" s="63"/>
      <c r="Z14" s="63"/>
      <c r="AA14" s="63"/>
      <c r="AB14" s="63"/>
      <c r="AC14" s="63"/>
      <c r="AD14" s="63"/>
      <c r="AE14" s="63"/>
      <c r="AF14" s="63"/>
      <c r="AG14" s="63"/>
      <c r="AH14" s="63"/>
      <c r="AI14" s="63"/>
      <c r="AJ14" s="63"/>
      <c r="AK14" s="63"/>
      <c r="AL14" s="63"/>
      <c r="AM14" s="63"/>
      <c r="AN14" s="63"/>
      <c r="AO14" s="63" t="str">
        <f t="shared" si="1"/>
        <v/>
      </c>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CZ14" s="66"/>
      <c r="DA14" s="66"/>
      <c r="DB14" s="66"/>
      <c r="DC14" s="66"/>
      <c r="DD14" s="66"/>
      <c r="DE14" s="66"/>
      <c r="DF14" s="66"/>
      <c r="DG14" s="66"/>
      <c r="DH14" s="66"/>
      <c r="DI14" s="66"/>
      <c r="DJ14" s="66"/>
      <c r="DK14" s="66"/>
      <c r="DL14" s="66"/>
    </row>
    <row r="15" spans="1:132" ht="28.15" hidden="1" customHeight="1">
      <c r="C15" s="80"/>
      <c r="D15" s="51"/>
      <c r="H15" s="76"/>
      <c r="I15" s="76"/>
      <c r="J15" s="63"/>
      <c r="K15" s="49"/>
      <c r="L15" s="63"/>
      <c r="M15" s="63" t="s">
        <v>30</v>
      </c>
      <c r="N15" s="63" t="s">
        <v>31</v>
      </c>
      <c r="O15" s="63" t="str">
        <f t="shared" si="2"/>
        <v>click</v>
      </c>
      <c r="P15" s="63" t="str">
        <f t="shared" si="3"/>
        <v>();</v>
      </c>
      <c r="Q15" s="63" t="str">
        <f t="shared" si="4"/>
        <v/>
      </c>
      <c r="R15" s="63" t="str">
        <f t="shared" si="5"/>
        <v/>
      </c>
      <c r="S15" s="63" t="str">
        <f t="shared" si="6"/>
        <v/>
      </c>
      <c r="T15" s="63"/>
      <c r="U15" s="63" t="str">
        <v>04StaySignIn</v>
      </c>
      <c r="V15" s="63"/>
      <c r="W15" s="63"/>
      <c r="X15" s="63"/>
      <c r="Y15" s="63"/>
      <c r="Z15" s="63"/>
      <c r="AA15" s="63"/>
      <c r="AB15" s="63"/>
      <c r="AC15" s="63"/>
      <c r="AD15" s="63"/>
      <c r="AE15" s="63"/>
      <c r="AF15" s="63"/>
      <c r="AG15" s="63"/>
      <c r="AH15" s="63"/>
      <c r="AI15" s="63"/>
      <c r="AJ15" s="63"/>
      <c r="AK15" s="63"/>
      <c r="AL15" s="63"/>
      <c r="AM15" s="63"/>
      <c r="AN15" s="63"/>
      <c r="AO15" s="63" t="str">
        <f t="shared" si="1"/>
        <v/>
      </c>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CZ15" s="66"/>
      <c r="DA15" s="66"/>
      <c r="DB15" s="66"/>
      <c r="DC15" s="66"/>
      <c r="DD15" s="66"/>
      <c r="DE15" s="66"/>
      <c r="DF15" s="66"/>
      <c r="DG15" s="66"/>
      <c r="DH15" s="66"/>
      <c r="DI15" s="66"/>
      <c r="DJ15" s="66"/>
      <c r="DK15" s="66"/>
      <c r="DL15" s="66"/>
    </row>
    <row r="16" spans="1:132" ht="28.15" hidden="1" customHeight="1">
      <c r="C16" s="80"/>
      <c r="D16" s="51" t="s">
        <v>21</v>
      </c>
      <c r="E16" s="83" t="s">
        <v>49</v>
      </c>
      <c r="F16" s="61" t="s">
        <v>50</v>
      </c>
      <c r="H16" s="76"/>
      <c r="I16" s="76"/>
      <c r="J16" s="63"/>
      <c r="K16" s="49"/>
      <c r="L16" s="63"/>
      <c r="M16" s="63" t="s">
        <v>30</v>
      </c>
      <c r="N16" s="63" t="s">
        <v>31</v>
      </c>
      <c r="O16" s="63" t="str">
        <f t="shared" si="2"/>
        <v>click</v>
      </c>
      <c r="P16" s="63" t="str">
        <f t="shared" si="3"/>
        <v>();</v>
      </c>
      <c r="Q16" s="63" t="str">
        <f t="shared" si="4"/>
        <v/>
      </c>
      <c r="R16" s="63" t="str">
        <f t="shared" si="5"/>
        <v/>
      </c>
      <c r="S16" s="63" t="str">
        <f t="shared" si="6"/>
        <v/>
      </c>
      <c r="T16" s="63"/>
      <c r="U16" s="63" t="str">
        <v>05GeneralInformationPage</v>
      </c>
      <c r="V16" s="63"/>
      <c r="W16" s="63"/>
      <c r="X16" s="63"/>
      <c r="Y16" s="63"/>
      <c r="Z16" s="63"/>
      <c r="AA16" s="63"/>
      <c r="AB16" s="63"/>
      <c r="AC16" s="63"/>
      <c r="AD16" s="63"/>
      <c r="AE16" s="63"/>
      <c r="AF16" s="63"/>
      <c r="AG16" s="63"/>
      <c r="AH16" s="63"/>
      <c r="AI16" s="63"/>
      <c r="AJ16" s="63"/>
      <c r="AK16" s="63"/>
      <c r="AL16" s="63"/>
      <c r="AM16" s="63"/>
      <c r="AN16" s="63"/>
      <c r="AO16" s="63" t="str">
        <f t="shared" si="1"/>
        <v/>
      </c>
      <c r="AP16" s="63"/>
      <c r="AQ16" s="63"/>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CZ16" s="66"/>
      <c r="DA16" s="66"/>
      <c r="DB16" s="66"/>
      <c r="DC16" s="66"/>
      <c r="DD16" s="66"/>
      <c r="DE16" s="66"/>
      <c r="DF16" s="66"/>
      <c r="DG16" s="66"/>
      <c r="DH16" s="66"/>
      <c r="DI16" s="66"/>
      <c r="DJ16" s="66"/>
      <c r="DK16" s="66"/>
      <c r="DL16" s="66"/>
    </row>
    <row r="17" spans="1:116" s="53" customFormat="1" ht="28.15" hidden="1" customHeight="1">
      <c r="A17" s="61"/>
      <c r="B17" s="61"/>
      <c r="C17" s="80"/>
      <c r="D17" s="51" t="s">
        <v>2</v>
      </c>
      <c r="E17" s="83" t="s">
        <v>51</v>
      </c>
      <c r="F17" s="61" t="s">
        <v>57</v>
      </c>
      <c r="G17" s="61" t="s">
        <v>6</v>
      </c>
      <c r="H17" s="76" t="s">
        <v>7</v>
      </c>
      <c r="I17" s="76"/>
      <c r="J17" s="63"/>
      <c r="K17" s="49"/>
      <c r="L17" s="63"/>
      <c r="M17" s="63" t="s">
        <v>30</v>
      </c>
      <c r="N17" s="63" t="s">
        <v>31</v>
      </c>
      <c r="O17" s="63" t="str">
        <f t="shared" si="2"/>
        <v>click</v>
      </c>
      <c r="P17" s="63" t="str">
        <f t="shared" si="3"/>
        <v>();</v>
      </c>
      <c r="Q17" s="63" t="str">
        <f t="shared" si="4"/>
        <v/>
      </c>
      <c r="R17" s="63" t="str">
        <f t="shared" si="5"/>
        <v/>
      </c>
      <c r="S17" s="63" t="str">
        <f t="shared" si="6"/>
        <v/>
      </c>
      <c r="T17" s="63"/>
      <c r="U17" s="63" t="str">
        <v>06HOProductPage</v>
      </c>
      <c r="V17" s="63"/>
      <c r="W17" s="63"/>
      <c r="X17" s="63"/>
      <c r="Y17" s="63"/>
      <c r="Z17" s="63"/>
      <c r="AA17" s="63"/>
      <c r="AB17" s="63"/>
      <c r="AC17" s="63"/>
      <c r="AD17" s="63"/>
      <c r="AE17" s="63"/>
      <c r="AF17" s="63"/>
      <c r="AG17" s="63"/>
      <c r="AH17" s="63"/>
      <c r="AI17" s="63"/>
      <c r="AJ17" s="63"/>
      <c r="AK17" s="63"/>
      <c r="AL17" s="63"/>
      <c r="AM17" s="63"/>
      <c r="AN17" s="63"/>
      <c r="AO17" s="63" t="str">
        <f t="shared" si="1"/>
        <v/>
      </c>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CZ17" s="59"/>
      <c r="DA17" s="59"/>
      <c r="DB17" s="59"/>
      <c r="DC17" s="59"/>
      <c r="DD17" s="59"/>
      <c r="DE17" s="59"/>
      <c r="DF17" s="59"/>
      <c r="DG17" s="59"/>
      <c r="DH17" s="59"/>
      <c r="DI17" s="59"/>
      <c r="DJ17" s="59"/>
      <c r="DK17" s="59"/>
      <c r="DL17" s="59"/>
    </row>
    <row r="18" spans="1:116" s="53" customFormat="1" ht="28.15" hidden="1" customHeight="1">
      <c r="A18" s="61"/>
      <c r="B18" s="61"/>
      <c r="C18" s="80"/>
      <c r="D18" s="51" t="s">
        <v>2</v>
      </c>
      <c r="E18" s="83" t="s">
        <v>52</v>
      </c>
      <c r="F18" s="61" t="s">
        <v>58</v>
      </c>
      <c r="G18" s="61" t="s">
        <v>6</v>
      </c>
      <c r="H18" s="76" t="s">
        <v>7</v>
      </c>
      <c r="I18" s="76"/>
      <c r="J18" s="63"/>
      <c r="K18" s="49"/>
      <c r="L18" s="63"/>
      <c r="M18" s="63" t="s">
        <v>30</v>
      </c>
      <c r="N18" s="63" t="s">
        <v>31</v>
      </c>
      <c r="O18" s="63" t="str">
        <f t="shared" si="2"/>
        <v>click</v>
      </c>
      <c r="P18" s="63" t="str">
        <f t="shared" si="3"/>
        <v>();</v>
      </c>
      <c r="Q18" s="63" t="str">
        <f t="shared" si="4"/>
        <v/>
      </c>
      <c r="R18" s="63" t="str">
        <f t="shared" si="5"/>
        <v/>
      </c>
      <c r="S18" s="63" t="str">
        <f t="shared" si="6"/>
        <v/>
      </c>
      <c r="T18" s="63"/>
      <c r="U18" s="63" t="str">
        <v>07QuoteSummaryPage</v>
      </c>
      <c r="V18" s="63"/>
      <c r="W18" s="63"/>
      <c r="X18" s="63"/>
      <c r="Y18" s="63"/>
      <c r="Z18" s="63"/>
      <c r="AA18" s="63"/>
      <c r="AB18" s="63"/>
      <c r="AC18" s="63"/>
      <c r="AD18" s="63"/>
      <c r="AE18" s="63"/>
      <c r="AF18" s="63"/>
      <c r="AG18" s="63"/>
      <c r="AH18" s="63"/>
      <c r="AI18" s="63"/>
      <c r="AJ18" s="63"/>
      <c r="AK18" s="63"/>
      <c r="AL18" s="63"/>
      <c r="AM18" s="63"/>
      <c r="AN18" s="63"/>
      <c r="AO18" s="63" t="str">
        <f t="shared" si="1"/>
        <v/>
      </c>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CZ18" s="59"/>
      <c r="DA18" s="59"/>
      <c r="DB18" s="59"/>
      <c r="DC18" s="59"/>
      <c r="DD18" s="59"/>
      <c r="DE18" s="59"/>
      <c r="DF18" s="59"/>
      <c r="DG18" s="59"/>
      <c r="DH18" s="59"/>
      <c r="DI18" s="59"/>
      <c r="DJ18" s="59"/>
      <c r="DK18" s="59"/>
      <c r="DL18" s="59"/>
    </row>
    <row r="19" spans="1:116" s="53" customFormat="1" ht="28.15" hidden="1" customHeight="1">
      <c r="A19" s="61"/>
      <c r="B19" s="61"/>
      <c r="C19" s="80"/>
      <c r="D19" s="51" t="s">
        <v>2</v>
      </c>
      <c r="E19" s="83" t="s">
        <v>16</v>
      </c>
      <c r="F19" s="61" t="s">
        <v>59</v>
      </c>
      <c r="G19" s="61" t="s">
        <v>6</v>
      </c>
      <c r="H19" s="76" t="s">
        <v>7</v>
      </c>
      <c r="I19" s="76"/>
      <c r="J19" s="63"/>
      <c r="K19" s="49"/>
      <c r="L19" s="63"/>
      <c r="M19" s="63" t="s">
        <v>30</v>
      </c>
      <c r="N19" s="63" t="s">
        <v>31</v>
      </c>
      <c r="O19" s="63" t="str">
        <f t="shared" si="2"/>
        <v>click</v>
      </c>
      <c r="P19" s="63" t="str">
        <f t="shared" si="3"/>
        <v>();</v>
      </c>
      <c r="Q19" s="63" t="str">
        <f t="shared" si="4"/>
        <v/>
      </c>
      <c r="R19" s="63" t="str">
        <f t="shared" si="5"/>
        <v/>
      </c>
      <c r="S19" s="63" t="str">
        <f t="shared" si="6"/>
        <v/>
      </c>
      <c r="T19" s="63"/>
      <c r="U19" s="63" t="str">
        <v>08ApplicationPage</v>
      </c>
      <c r="V19" s="63"/>
      <c r="W19" s="63"/>
      <c r="X19" s="63"/>
      <c r="Y19" s="63"/>
      <c r="Z19" s="63"/>
      <c r="AA19" s="63"/>
      <c r="AB19" s="63"/>
      <c r="AC19" s="63"/>
      <c r="AD19" s="63"/>
      <c r="AE19" s="63"/>
      <c r="AF19" s="63"/>
      <c r="AG19" s="63"/>
      <c r="AH19" s="63"/>
      <c r="AI19" s="63"/>
      <c r="AJ19" s="63"/>
      <c r="AK19" s="63"/>
      <c r="AL19" s="63"/>
      <c r="AM19" s="63"/>
      <c r="AN19" s="63"/>
      <c r="AO19" s="63" t="str">
        <f t="shared" si="1"/>
        <v/>
      </c>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CZ19" s="59"/>
      <c r="DA19" s="59"/>
      <c r="DB19" s="59"/>
      <c r="DC19" s="59"/>
      <c r="DD19" s="59"/>
      <c r="DE19" s="59"/>
      <c r="DF19" s="59"/>
      <c r="DG19" s="59"/>
      <c r="DH19" s="59"/>
      <c r="DI19" s="59"/>
      <c r="DJ19" s="59"/>
      <c r="DK19" s="59"/>
      <c r="DL19" s="59"/>
    </row>
    <row r="20" spans="1:116" s="53" customFormat="1" ht="28.15" hidden="1" customHeight="1">
      <c r="A20" s="61"/>
      <c r="B20" s="61"/>
      <c r="C20" s="80"/>
      <c r="D20" s="51" t="s">
        <v>2</v>
      </c>
      <c r="E20" s="83" t="s">
        <v>17</v>
      </c>
      <c r="F20" s="61" t="s">
        <v>60</v>
      </c>
      <c r="G20" s="61" t="s">
        <v>6</v>
      </c>
      <c r="H20" s="76" t="s">
        <v>7</v>
      </c>
      <c r="I20" s="76"/>
      <c r="J20" s="63"/>
      <c r="K20" s="49"/>
      <c r="L20" s="63"/>
      <c r="M20" s="63" t="s">
        <v>30</v>
      </c>
      <c r="N20" s="63" t="s">
        <v>31</v>
      </c>
      <c r="O20" s="63" t="str">
        <f t="shared" si="2"/>
        <v>click</v>
      </c>
      <c r="P20" s="63" t="str">
        <f t="shared" si="3"/>
        <v>();</v>
      </c>
      <c r="Q20" s="63" t="str">
        <f t="shared" si="4"/>
        <v/>
      </c>
      <c r="R20" s="63" t="str">
        <f t="shared" si="5"/>
        <v/>
      </c>
      <c r="S20" s="63" t="str">
        <f t="shared" si="6"/>
        <v/>
      </c>
      <c r="T20" s="63"/>
      <c r="U20" s="63" t="str">
        <v>09FormsPage</v>
      </c>
      <c r="V20" s="63"/>
      <c r="W20" s="63"/>
      <c r="X20" s="63"/>
      <c r="Y20" s="63"/>
      <c r="Z20" s="63"/>
      <c r="AA20" s="63"/>
      <c r="AB20" s="63"/>
      <c r="AC20" s="63"/>
      <c r="AD20" s="63"/>
      <c r="AE20" s="63"/>
      <c r="AF20" s="63"/>
      <c r="AG20" s="63"/>
      <c r="AH20" s="63"/>
      <c r="AI20" s="63"/>
      <c r="AJ20" s="63"/>
      <c r="AK20" s="63"/>
      <c r="AL20" s="63"/>
      <c r="AM20" s="63"/>
      <c r="AN20" s="63"/>
      <c r="AO20" s="63" t="str">
        <f t="shared" si="1"/>
        <v/>
      </c>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CZ20" s="59"/>
      <c r="DA20" s="59"/>
      <c r="DB20" s="59"/>
      <c r="DC20" s="59"/>
      <c r="DD20" s="59"/>
      <c r="DE20" s="59"/>
      <c r="DF20" s="59"/>
      <c r="DG20" s="59"/>
      <c r="DH20" s="59"/>
      <c r="DI20" s="59"/>
      <c r="DJ20" s="59"/>
      <c r="DK20" s="59"/>
      <c r="DL20" s="59"/>
    </row>
    <row r="21" spans="1:116" s="53" customFormat="1" ht="28.15" hidden="1" customHeight="1">
      <c r="A21" s="61"/>
      <c r="B21" s="61"/>
      <c r="C21" s="80"/>
      <c r="D21" s="51" t="s">
        <v>2</v>
      </c>
      <c r="E21" s="83" t="s">
        <v>18</v>
      </c>
      <c r="F21" s="61" t="s">
        <v>61</v>
      </c>
      <c r="G21" s="61" t="s">
        <v>6</v>
      </c>
      <c r="H21" s="76" t="s">
        <v>7</v>
      </c>
      <c r="I21" s="76"/>
      <c r="J21" s="63"/>
      <c r="K21" s="49"/>
      <c r="L21" s="63"/>
      <c r="M21" s="63" t="s">
        <v>30</v>
      </c>
      <c r="N21" s="63" t="s">
        <v>31</v>
      </c>
      <c r="O21" s="63" t="str">
        <f t="shared" si="2"/>
        <v>click</v>
      </c>
      <c r="P21" s="63" t="str">
        <f t="shared" si="3"/>
        <v>();</v>
      </c>
      <c r="Q21" s="63" t="str">
        <f t="shared" si="4"/>
        <v/>
      </c>
      <c r="R21" s="63" t="str">
        <f t="shared" si="5"/>
        <v/>
      </c>
      <c r="S21" s="63" t="str">
        <f t="shared" si="6"/>
        <v/>
      </c>
      <c r="T21" s="63"/>
      <c r="U21" s="63" t="str">
        <v>10CopyQuoteConfirmationPage</v>
      </c>
      <c r="V21" s="63"/>
      <c r="W21" s="63"/>
      <c r="X21" s="63"/>
      <c r="Y21" s="63"/>
      <c r="Z21" s="63"/>
      <c r="AA21" s="63"/>
      <c r="AB21" s="63"/>
      <c r="AC21" s="63"/>
      <c r="AD21" s="63"/>
      <c r="AE21" s="63"/>
      <c r="AF21" s="63"/>
      <c r="AG21" s="63"/>
      <c r="AH21" s="63"/>
      <c r="AI21" s="63"/>
      <c r="AJ21" s="63"/>
      <c r="AK21" s="63"/>
      <c r="AL21" s="63"/>
      <c r="AM21" s="63"/>
      <c r="AN21" s="63"/>
      <c r="AO21" s="63" t="str">
        <f t="shared" si="1"/>
        <v/>
      </c>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CZ21" s="59"/>
      <c r="DA21" s="59"/>
      <c r="DB21" s="59"/>
      <c r="DC21" s="59"/>
      <c r="DD21" s="59"/>
      <c r="DE21" s="59"/>
      <c r="DF21" s="59"/>
      <c r="DG21" s="59"/>
      <c r="DH21" s="59"/>
      <c r="DI21" s="59"/>
      <c r="DJ21" s="59"/>
      <c r="DK21" s="59"/>
      <c r="DL21" s="59"/>
    </row>
    <row r="22" spans="1:116" s="53" customFormat="1" ht="28.15" hidden="1" customHeight="1">
      <c r="A22" s="61"/>
      <c r="B22" s="61"/>
      <c r="C22" s="80"/>
      <c r="D22" s="51" t="s">
        <v>11</v>
      </c>
      <c r="E22" s="83"/>
      <c r="F22" s="61" t="s">
        <v>53</v>
      </c>
      <c r="G22" s="61"/>
      <c r="H22" s="76"/>
      <c r="I22" s="76"/>
      <c r="J22" s="63"/>
      <c r="K22" s="49"/>
      <c r="L22" s="63"/>
      <c r="M22" s="63" t="s">
        <v>30</v>
      </c>
      <c r="N22" s="63" t="s">
        <v>31</v>
      </c>
      <c r="O22" s="63" t="str">
        <f t="shared" si="2"/>
        <v>fill</v>
      </c>
      <c r="P22" s="63" t="str">
        <f t="shared" si="3"/>
        <v>("");</v>
      </c>
      <c r="Q22" s="63" t="str">
        <f t="shared" si="4"/>
        <v/>
      </c>
      <c r="R22" s="63" t="str">
        <f t="shared" si="5"/>
        <v/>
      </c>
      <c r="S22" s="63" t="str">
        <f t="shared" si="6"/>
        <v/>
      </c>
      <c r="T22" s="63"/>
      <c r="U22" s="63" t="str">
        <v>11COpyQuoteGIPage</v>
      </c>
      <c r="V22" s="63"/>
      <c r="W22" s="63"/>
      <c r="X22" s="63"/>
      <c r="Y22" s="63"/>
      <c r="Z22" s="63"/>
      <c r="AA22" s="63"/>
      <c r="AB22" s="63"/>
      <c r="AC22" s="63"/>
      <c r="AD22" s="63"/>
      <c r="AE22" s="63"/>
      <c r="AF22" s="63"/>
      <c r="AG22" s="63"/>
      <c r="AH22" s="63"/>
      <c r="AI22" s="63"/>
      <c r="AJ22" s="63"/>
      <c r="AK22" s="63"/>
      <c r="AL22" s="63"/>
      <c r="AM22" s="63"/>
      <c r="AN22" s="63"/>
      <c r="AO22" s="63" t="str">
        <f t="shared" si="1"/>
        <v/>
      </c>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CZ22" s="59"/>
      <c r="DA22" s="59"/>
      <c r="DB22" s="59"/>
      <c r="DC22" s="59"/>
      <c r="DD22" s="59"/>
      <c r="DE22" s="59"/>
      <c r="DF22" s="59"/>
      <c r="DG22" s="59"/>
      <c r="DH22" s="59"/>
      <c r="DI22" s="59"/>
      <c r="DJ22" s="59"/>
      <c r="DK22" s="59"/>
      <c r="DL22" s="59"/>
    </row>
    <row r="23" spans="1:116" s="53" customFormat="1" ht="28.15" hidden="1" customHeight="1">
      <c r="A23" s="61"/>
      <c r="B23" s="61"/>
      <c r="C23" s="80"/>
      <c r="D23" s="51" t="s">
        <v>12</v>
      </c>
      <c r="E23" s="83" t="s">
        <v>54</v>
      </c>
      <c r="F23" s="61"/>
      <c r="G23" s="61"/>
      <c r="H23" s="76"/>
      <c r="I23" s="76"/>
      <c r="J23" s="63"/>
      <c r="K23" s="49"/>
      <c r="L23" s="63"/>
      <c r="M23" s="63" t="s">
        <v>30</v>
      </c>
      <c r="N23" s="63" t="s">
        <v>31</v>
      </c>
      <c r="O23" s="63" t="str">
        <f t="shared" si="2"/>
        <v>click</v>
      </c>
      <c r="P23" s="63" t="str">
        <f t="shared" si="3"/>
        <v>();</v>
      </c>
      <c r="Q23" s="63" t="str">
        <f t="shared" si="4"/>
        <v/>
      </c>
      <c r="R23" s="63" t="str">
        <f t="shared" si="5"/>
        <v/>
      </c>
      <c r="S23" s="63" t="str">
        <f t="shared" si="6"/>
        <v/>
      </c>
      <c r="T23" s="63"/>
      <c r="U23" s="63" t="str">
        <v>12CopyQuoteHOPage</v>
      </c>
      <c r="V23" s="63"/>
      <c r="W23" s="63"/>
      <c r="X23" s="63"/>
      <c r="Y23" s="63"/>
      <c r="Z23" s="63"/>
      <c r="AA23" s="63"/>
      <c r="AB23" s="63"/>
      <c r="AC23" s="63"/>
      <c r="AD23" s="63"/>
      <c r="AE23" s="63"/>
      <c r="AF23" s="63"/>
      <c r="AG23" s="63"/>
      <c r="AH23" s="63"/>
      <c r="AI23" s="63"/>
      <c r="AJ23" s="63"/>
      <c r="AK23" s="63"/>
      <c r="AL23" s="63"/>
      <c r="AM23" s="63"/>
      <c r="AN23" s="63"/>
      <c r="AO23" s="63" t="str">
        <f t="shared" si="1"/>
        <v/>
      </c>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CZ23" s="59"/>
      <c r="DA23" s="59"/>
      <c r="DB23" s="59"/>
      <c r="DC23" s="59"/>
      <c r="DD23" s="59"/>
      <c r="DE23" s="59"/>
      <c r="DF23" s="59"/>
      <c r="DG23" s="59"/>
      <c r="DH23" s="59"/>
      <c r="DI23" s="59"/>
      <c r="DJ23" s="59"/>
      <c r="DK23" s="59"/>
      <c r="DL23" s="59"/>
    </row>
    <row r="24" spans="1:116" s="53" customFormat="1" ht="28.15" hidden="1" customHeight="1">
      <c r="A24" s="61"/>
      <c r="B24" s="61"/>
      <c r="C24" s="80"/>
      <c r="D24" s="51" t="s">
        <v>12</v>
      </c>
      <c r="E24" s="87" t="s">
        <v>69</v>
      </c>
      <c r="F24" s="61"/>
      <c r="G24" s="61"/>
      <c r="H24" s="76"/>
      <c r="I24" s="76"/>
      <c r="J24" s="63"/>
      <c r="K24" s="49"/>
      <c r="L24" s="63"/>
      <c r="M24" s="63" t="s">
        <v>30</v>
      </c>
      <c r="N24" s="63" t="s">
        <v>31</v>
      </c>
      <c r="O24" s="63" t="str">
        <f t="shared" si="2"/>
        <v>click</v>
      </c>
      <c r="P24" s="63" t="str">
        <f t="shared" si="3"/>
        <v>();</v>
      </c>
      <c r="Q24" s="63" t="str">
        <f t="shared" si="4"/>
        <v/>
      </c>
      <c r="R24" s="63" t="str">
        <f t="shared" si="5"/>
        <v/>
      </c>
      <c r="S24" s="63" t="str">
        <f t="shared" si="6"/>
        <v/>
      </c>
      <c r="T24" s="63"/>
      <c r="U24" s="63" t="str">
        <v>13CopyQuoteQSPage</v>
      </c>
      <c r="V24" s="63"/>
      <c r="W24" s="63"/>
      <c r="X24" s="63"/>
      <c r="Y24" s="63"/>
      <c r="Z24" s="63"/>
      <c r="AA24" s="63"/>
      <c r="AB24" s="63"/>
      <c r="AC24" s="63"/>
      <c r="AD24" s="63"/>
      <c r="AE24" s="63"/>
      <c r="AF24" s="63"/>
      <c r="AG24" s="63"/>
      <c r="AH24" s="63"/>
      <c r="AI24" s="63"/>
      <c r="AJ24" s="63"/>
      <c r="AK24" s="63"/>
      <c r="AL24" s="63"/>
      <c r="AM24" s="63"/>
      <c r="AN24" s="63"/>
      <c r="AO24" s="63" t="str">
        <f t="shared" si="1"/>
        <v/>
      </c>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CZ24" s="59"/>
      <c r="DA24" s="59"/>
      <c r="DB24" s="59"/>
      <c r="DC24" s="59"/>
      <c r="DD24" s="59"/>
      <c r="DE24" s="59"/>
      <c r="DF24" s="59"/>
      <c r="DG24" s="59"/>
      <c r="DH24" s="59"/>
      <c r="DI24" s="59"/>
      <c r="DJ24" s="59"/>
      <c r="DK24" s="59"/>
      <c r="DL24" s="59"/>
    </row>
    <row r="25" spans="1:116" s="53" customFormat="1" ht="28.15" hidden="1" customHeight="1">
      <c r="A25" s="61"/>
      <c r="B25" s="61"/>
      <c r="C25" s="80"/>
      <c r="D25" s="51" t="s">
        <v>12</v>
      </c>
      <c r="E25" s="87" t="s">
        <v>70</v>
      </c>
      <c r="F25" s="61"/>
      <c r="G25" s="61"/>
      <c r="H25" s="76"/>
      <c r="I25" s="76"/>
      <c r="J25" s="63"/>
      <c r="K25" s="49"/>
      <c r="L25" s="63"/>
      <c r="M25" s="63" t="s">
        <v>30</v>
      </c>
      <c r="N25" s="63" t="s">
        <v>31</v>
      </c>
      <c r="O25" s="63" t="str">
        <f t="shared" si="2"/>
        <v>click</v>
      </c>
      <c r="P25" s="63" t="str">
        <f t="shared" si="3"/>
        <v>();</v>
      </c>
      <c r="Q25" s="63" t="str">
        <f t="shared" si="4"/>
        <v/>
      </c>
      <c r="R25" s="63" t="str">
        <f t="shared" si="5"/>
        <v/>
      </c>
      <c r="S25" s="63" t="str">
        <f t="shared" si="6"/>
        <v/>
      </c>
      <c r="T25" s="63"/>
      <c r="U25" s="63" t="str">
        <v>14COpyQuoteApplicationPage</v>
      </c>
      <c r="V25" s="63"/>
      <c r="W25" s="63"/>
      <c r="X25" s="63"/>
      <c r="Y25" s="63"/>
      <c r="Z25" s="63"/>
      <c r="AA25" s="63"/>
      <c r="AB25" s="63"/>
      <c r="AC25" s="63"/>
      <c r="AD25" s="63"/>
      <c r="AE25" s="63"/>
      <c r="AF25" s="63"/>
      <c r="AG25" s="63"/>
      <c r="AH25" s="63"/>
      <c r="AI25" s="63"/>
      <c r="AJ25" s="63"/>
      <c r="AK25" s="63"/>
      <c r="AL25" s="63"/>
      <c r="AM25" s="63"/>
      <c r="AN25" s="63"/>
      <c r="AO25" s="63" t="str">
        <f t="shared" si="1"/>
        <v/>
      </c>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CZ25" s="59"/>
      <c r="DA25" s="59"/>
      <c r="DB25" s="59"/>
      <c r="DC25" s="59"/>
      <c r="DD25" s="59"/>
      <c r="DE25" s="59"/>
      <c r="DF25" s="59"/>
      <c r="DG25" s="59"/>
      <c r="DH25" s="59"/>
      <c r="DI25" s="59"/>
      <c r="DJ25" s="59"/>
      <c r="DK25" s="59"/>
      <c r="DL25" s="59"/>
    </row>
    <row r="26" spans="1:116" s="53" customFormat="1" ht="28.15" hidden="1" customHeight="1">
      <c r="A26" s="61"/>
      <c r="B26" s="61"/>
      <c r="C26" s="80"/>
      <c r="D26" s="51" t="s">
        <v>12</v>
      </c>
      <c r="E26" s="87" t="s">
        <v>71</v>
      </c>
      <c r="F26" s="61"/>
      <c r="G26" s="61"/>
      <c r="H26" s="76"/>
      <c r="I26" s="76"/>
      <c r="J26" s="63"/>
      <c r="K26" s="49"/>
      <c r="L26" s="63"/>
      <c r="M26" s="63" t="s">
        <v>30</v>
      </c>
      <c r="N26" s="63" t="s">
        <v>31</v>
      </c>
      <c r="O26" s="63" t="str">
        <f t="shared" si="2"/>
        <v>click</v>
      </c>
      <c r="P26" s="63" t="str">
        <f t="shared" si="3"/>
        <v>();</v>
      </c>
      <c r="Q26" s="63" t="str">
        <f t="shared" si="4"/>
        <v/>
      </c>
      <c r="R26" s="63" t="str">
        <f t="shared" si="5"/>
        <v/>
      </c>
      <c r="S26" s="63" t="str">
        <f t="shared" si="6"/>
        <v/>
      </c>
      <c r="T26" s="63"/>
      <c r="U26" s="63"/>
      <c r="V26" s="63"/>
      <c r="W26" s="63"/>
      <c r="X26" s="63"/>
      <c r="Y26" s="63"/>
      <c r="Z26" s="63"/>
      <c r="AA26" s="63"/>
      <c r="AB26" s="63"/>
      <c r="AC26" s="63"/>
      <c r="AD26" s="63"/>
      <c r="AE26" s="63"/>
      <c r="AF26" s="63"/>
      <c r="AG26" s="63"/>
      <c r="AH26" s="63"/>
      <c r="AI26" s="63"/>
      <c r="AJ26" s="63"/>
      <c r="AK26" s="63"/>
      <c r="AL26" s="63"/>
      <c r="AM26" s="63"/>
      <c r="AN26" s="63"/>
      <c r="AO26" s="63" t="str">
        <f t="shared" si="1"/>
        <v/>
      </c>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CZ26" s="59"/>
      <c r="DA26" s="59"/>
      <c r="DB26" s="59"/>
      <c r="DC26" s="59"/>
      <c r="DD26" s="59"/>
      <c r="DE26" s="59"/>
      <c r="DF26" s="59"/>
      <c r="DG26" s="59"/>
      <c r="DH26" s="59"/>
      <c r="DI26" s="59"/>
      <c r="DJ26" s="59"/>
      <c r="DK26" s="59"/>
      <c r="DL26" s="59"/>
    </row>
    <row r="27" spans="1:116" s="53" customFormat="1" ht="28.15" hidden="1" customHeight="1">
      <c r="A27" s="61"/>
      <c r="B27" s="61"/>
      <c r="C27" s="80"/>
      <c r="D27" s="51" t="s">
        <v>14</v>
      </c>
      <c r="E27" s="87" t="s">
        <v>72</v>
      </c>
      <c r="F27" s="61"/>
      <c r="G27" s="61"/>
      <c r="H27" s="76"/>
      <c r="I27" s="76"/>
      <c r="J27" s="63"/>
      <c r="K27" s="49"/>
      <c r="L27" s="63"/>
      <c r="M27" s="63" t="s">
        <v>30</v>
      </c>
      <c r="N27" s="63" t="s">
        <v>31</v>
      </c>
      <c r="O27" s="63" t="str">
        <f t="shared" si="2"/>
        <v>click</v>
      </c>
      <c r="P27" s="63" t="str">
        <f t="shared" si="3"/>
        <v>();</v>
      </c>
      <c r="Q27" s="63" t="str">
        <f t="shared" si="4"/>
        <v/>
      </c>
      <c r="R27" s="63" t="str">
        <f t="shared" si="5"/>
        <v/>
      </c>
      <c r="S27" s="63" t="str">
        <f t="shared" si="6"/>
        <v/>
      </c>
      <c r="T27" s="63"/>
      <c r="U27" s="63"/>
      <c r="V27" s="63"/>
      <c r="W27" s="63"/>
      <c r="X27" s="63"/>
      <c r="Y27" s="63"/>
      <c r="Z27" s="63"/>
      <c r="AA27" s="63"/>
      <c r="AB27" s="63"/>
      <c r="AC27" s="63"/>
      <c r="AD27" s="63"/>
      <c r="AE27" s="63"/>
      <c r="AF27" s="63"/>
      <c r="AG27" s="63"/>
      <c r="AH27" s="63"/>
      <c r="AI27" s="63"/>
      <c r="AJ27" s="63"/>
      <c r="AK27" s="63"/>
      <c r="AL27" s="63"/>
      <c r="AM27" s="63"/>
      <c r="AN27" s="63"/>
      <c r="AO27" s="63" t="str">
        <f t="shared" si="1"/>
        <v/>
      </c>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CZ27" s="59"/>
      <c r="DA27" s="59"/>
      <c r="DB27" s="59"/>
      <c r="DC27" s="59"/>
      <c r="DD27" s="59"/>
      <c r="DE27" s="59"/>
      <c r="DF27" s="59"/>
      <c r="DG27" s="59"/>
      <c r="DH27" s="59"/>
      <c r="DI27" s="59"/>
      <c r="DJ27" s="59"/>
      <c r="DK27" s="59"/>
      <c r="DL27" s="59"/>
    </row>
    <row r="28" spans="1:116" s="53" customFormat="1" ht="28.15" hidden="1" customHeight="1">
      <c r="A28" s="61"/>
      <c r="B28" s="61"/>
      <c r="C28" s="80"/>
      <c r="D28" s="51" t="s">
        <v>12</v>
      </c>
      <c r="E28" s="87" t="s">
        <v>10</v>
      </c>
      <c r="F28" s="61"/>
      <c r="G28" s="61"/>
      <c r="H28" s="76"/>
      <c r="I28" s="76"/>
      <c r="J28" s="63"/>
      <c r="K28" s="49"/>
      <c r="L28" s="63"/>
      <c r="M28" s="63" t="s">
        <v>30</v>
      </c>
      <c r="N28" s="63" t="s">
        <v>31</v>
      </c>
      <c r="O28" s="63" t="str">
        <f t="shared" si="2"/>
        <v>click</v>
      </c>
      <c r="P28" s="63" t="str">
        <f t="shared" si="3"/>
        <v>();</v>
      </c>
      <c r="Q28" s="63" t="str">
        <f t="shared" si="4"/>
        <v/>
      </c>
      <c r="R28" s="63" t="str">
        <f t="shared" si="5"/>
        <v/>
      </c>
      <c r="S28" s="63" t="str">
        <f t="shared" si="6"/>
        <v/>
      </c>
      <c r="T28" s="63"/>
      <c r="U28" s="63"/>
      <c r="V28" s="63"/>
      <c r="W28" s="63"/>
      <c r="X28" s="63"/>
      <c r="Y28" s="63"/>
      <c r="Z28" s="63"/>
      <c r="AA28" s="63"/>
      <c r="AB28" s="63"/>
      <c r="AC28" s="63"/>
      <c r="AD28" s="63"/>
      <c r="AE28" s="63"/>
      <c r="AF28" s="63"/>
      <c r="AG28" s="63"/>
      <c r="AH28" s="63"/>
      <c r="AI28" s="63"/>
      <c r="AJ28" s="63"/>
      <c r="AK28" s="63"/>
      <c r="AL28" s="63"/>
      <c r="AM28" s="63"/>
      <c r="AN28" s="63"/>
      <c r="AO28" s="63" t="str">
        <f t="shared" si="1"/>
        <v/>
      </c>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CZ28" s="59"/>
      <c r="DA28" s="59"/>
      <c r="DB28" s="59"/>
      <c r="DC28" s="59"/>
      <c r="DD28" s="59"/>
      <c r="DE28" s="59"/>
      <c r="DF28" s="59"/>
      <c r="DG28" s="59"/>
      <c r="DH28" s="59"/>
      <c r="DI28" s="59"/>
      <c r="DJ28" s="59"/>
      <c r="DK28" s="59"/>
      <c r="DL28" s="59"/>
    </row>
    <row r="29" spans="1:116" s="53" customFormat="1" ht="28.15" hidden="1" customHeight="1">
      <c r="A29" s="61"/>
      <c r="B29" s="61"/>
      <c r="C29" s="80"/>
      <c r="D29" s="51" t="s">
        <v>14</v>
      </c>
      <c r="E29" s="87" t="s">
        <v>65</v>
      </c>
      <c r="F29" s="61"/>
      <c r="G29" s="61"/>
      <c r="H29" s="76"/>
      <c r="I29" s="76"/>
      <c r="J29" s="63"/>
      <c r="K29" s="49"/>
      <c r="L29" s="63"/>
      <c r="M29" s="63" t="s">
        <v>30</v>
      </c>
      <c r="N29" s="63" t="s">
        <v>31</v>
      </c>
      <c r="O29" s="63" t="str">
        <f t="shared" si="2"/>
        <v>click</v>
      </c>
      <c r="P29" s="63" t="str">
        <f t="shared" si="3"/>
        <v>();</v>
      </c>
      <c r="Q29" s="63" t="str">
        <f t="shared" si="4"/>
        <v/>
      </c>
      <c r="R29" s="63" t="str">
        <f t="shared" si="5"/>
        <v/>
      </c>
      <c r="S29" s="63" t="str">
        <f t="shared" si="6"/>
        <v/>
      </c>
      <c r="T29" s="63"/>
      <c r="U29" s="63"/>
      <c r="V29" s="63"/>
      <c r="W29" s="63"/>
      <c r="X29" s="63"/>
      <c r="Y29" s="63"/>
      <c r="Z29" s="63"/>
      <c r="AA29" s="63"/>
      <c r="AB29" s="63"/>
      <c r="AC29" s="63"/>
      <c r="AD29" s="63"/>
      <c r="AE29" s="63"/>
      <c r="AF29" s="63"/>
      <c r="AG29" s="63"/>
      <c r="AH29" s="63"/>
      <c r="AI29" s="63"/>
      <c r="AJ29" s="63"/>
      <c r="AK29" s="63"/>
      <c r="AL29" s="63"/>
      <c r="AM29" s="63"/>
      <c r="AN29" s="63"/>
      <c r="AO29" s="63" t="str">
        <f t="shared" si="1"/>
        <v/>
      </c>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CZ29" s="59"/>
      <c r="DA29" s="59"/>
      <c r="DB29" s="59"/>
      <c r="DC29" s="59"/>
      <c r="DD29" s="59"/>
      <c r="DE29" s="59"/>
      <c r="DF29" s="59"/>
      <c r="DG29" s="59"/>
      <c r="DH29" s="59"/>
      <c r="DI29" s="59"/>
      <c r="DJ29" s="59"/>
      <c r="DK29" s="59"/>
      <c r="DL29" s="59"/>
    </row>
    <row r="30" spans="1:116" s="53" customFormat="1" ht="28.15" hidden="1" customHeight="1">
      <c r="A30" s="61"/>
      <c r="B30" s="61"/>
      <c r="C30" s="80"/>
      <c r="D30" s="51" t="s">
        <v>14</v>
      </c>
      <c r="E30" s="87" t="s">
        <v>66</v>
      </c>
      <c r="F30" s="61" t="s">
        <v>67</v>
      </c>
      <c r="G30" s="61"/>
      <c r="H30" s="76"/>
      <c r="I30" s="76"/>
      <c r="J30" s="63"/>
      <c r="K30" s="49"/>
      <c r="L30" s="63"/>
      <c r="M30" s="63" t="s">
        <v>30</v>
      </c>
      <c r="N30" s="63" t="s">
        <v>31</v>
      </c>
      <c r="O30" s="63" t="str">
        <f t="shared" si="2"/>
        <v>click</v>
      </c>
      <c r="P30" s="63" t="str">
        <f t="shared" si="3"/>
        <v>();</v>
      </c>
      <c r="Q30" s="63" t="str">
        <f t="shared" si="4"/>
        <v/>
      </c>
      <c r="R30" s="63" t="str">
        <f t="shared" si="5"/>
        <v/>
      </c>
      <c r="S30" s="63" t="str">
        <f t="shared" si="6"/>
        <v/>
      </c>
      <c r="T30" s="63"/>
      <c r="U30" s="63"/>
      <c r="V30" s="63"/>
      <c r="W30" s="63"/>
      <c r="X30" s="63"/>
      <c r="Y30" s="63"/>
      <c r="Z30" s="63"/>
      <c r="AA30" s="63"/>
      <c r="AB30" s="63"/>
      <c r="AC30" s="63"/>
      <c r="AD30" s="63"/>
      <c r="AE30" s="63"/>
      <c r="AF30" s="63"/>
      <c r="AG30" s="63"/>
      <c r="AH30" s="63"/>
      <c r="AI30" s="63"/>
      <c r="AJ30" s="63"/>
      <c r="AK30" s="63"/>
      <c r="AL30" s="63"/>
      <c r="AM30" s="63"/>
      <c r="AN30" s="63"/>
      <c r="AO30" s="63" t="str">
        <f t="shared" si="1"/>
        <v/>
      </c>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CZ30" s="59"/>
      <c r="DA30" s="59"/>
      <c r="DB30" s="59"/>
      <c r="DC30" s="59"/>
      <c r="DD30" s="59"/>
      <c r="DE30" s="59"/>
      <c r="DF30" s="59"/>
      <c r="DG30" s="59"/>
      <c r="DH30" s="59"/>
      <c r="DI30" s="59"/>
      <c r="DJ30" s="59"/>
      <c r="DK30" s="59"/>
      <c r="DL30" s="59"/>
    </row>
    <row r="31" spans="1:116" s="53" customFormat="1" ht="28.15" hidden="1" customHeight="1">
      <c r="A31" s="61"/>
      <c r="B31" s="61"/>
      <c r="C31" s="80"/>
      <c r="D31" s="51" t="s">
        <v>14</v>
      </c>
      <c r="E31" s="87" t="s">
        <v>68</v>
      </c>
      <c r="F31" s="61"/>
      <c r="G31" s="61"/>
      <c r="H31" s="76"/>
      <c r="I31" s="76"/>
      <c r="J31" s="63"/>
      <c r="K31" s="49"/>
      <c r="L31" s="63"/>
      <c r="M31" s="63" t="s">
        <v>30</v>
      </c>
      <c r="N31" s="63" t="s">
        <v>31</v>
      </c>
      <c r="O31" s="63" t="str">
        <f t="shared" si="2"/>
        <v>click</v>
      </c>
      <c r="P31" s="63" t="str">
        <f t="shared" si="3"/>
        <v>();</v>
      </c>
      <c r="Q31" s="63" t="str">
        <f t="shared" si="4"/>
        <v/>
      </c>
      <c r="R31" s="63" t="str">
        <f t="shared" si="5"/>
        <v/>
      </c>
      <c r="S31" s="63" t="str">
        <f t="shared" si="6"/>
        <v/>
      </c>
      <c r="T31" s="63"/>
      <c r="U31" s="63"/>
      <c r="V31" s="63"/>
      <c r="W31" s="63"/>
      <c r="X31" s="63"/>
      <c r="Y31" s="63"/>
      <c r="Z31" s="63"/>
      <c r="AA31" s="63"/>
      <c r="AB31" s="63"/>
      <c r="AC31" s="63"/>
      <c r="AD31" s="63"/>
      <c r="AE31" s="63"/>
      <c r="AF31" s="63"/>
      <c r="AG31" s="63"/>
      <c r="AH31" s="63"/>
      <c r="AI31" s="63"/>
      <c r="AJ31" s="63"/>
      <c r="AK31" s="63"/>
      <c r="AL31" s="63"/>
      <c r="AM31" s="63"/>
      <c r="AN31" s="63"/>
      <c r="AO31" s="63" t="str">
        <f t="shared" si="1"/>
        <v/>
      </c>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CZ31" s="59"/>
      <c r="DA31" s="59"/>
      <c r="DB31" s="59"/>
      <c r="DC31" s="59"/>
      <c r="DD31" s="59"/>
      <c r="DE31" s="59"/>
      <c r="DF31" s="59"/>
      <c r="DG31" s="59"/>
      <c r="DH31" s="59"/>
      <c r="DI31" s="59"/>
      <c r="DJ31" s="59"/>
      <c r="DK31" s="59"/>
      <c r="DL31" s="59"/>
    </row>
    <row r="32" spans="1:116" s="53" customFormat="1" ht="28.15" hidden="1" customHeight="1">
      <c r="A32" s="61"/>
      <c r="B32" s="61"/>
      <c r="C32" s="80"/>
      <c r="D32" s="51" t="s">
        <v>14</v>
      </c>
      <c r="E32" s="87" t="s">
        <v>73</v>
      </c>
      <c r="F32" s="61"/>
      <c r="G32" s="61"/>
      <c r="H32" s="76"/>
      <c r="I32" s="76"/>
      <c r="J32" s="63"/>
      <c r="K32" s="49"/>
      <c r="L32" s="63"/>
      <c r="M32" s="63" t="s">
        <v>30</v>
      </c>
      <c r="N32" s="63" t="s">
        <v>31</v>
      </c>
      <c r="O32" s="63" t="str">
        <f t="shared" si="2"/>
        <v>click</v>
      </c>
      <c r="P32" s="63" t="str">
        <f t="shared" si="3"/>
        <v>();</v>
      </c>
      <c r="Q32" s="63" t="str">
        <f t="shared" si="4"/>
        <v/>
      </c>
      <c r="R32" s="63" t="str">
        <f t="shared" si="5"/>
        <v/>
      </c>
      <c r="S32" s="63" t="str">
        <f t="shared" si="6"/>
        <v/>
      </c>
      <c r="T32" s="63"/>
      <c r="U32" s="63"/>
      <c r="V32" s="63"/>
      <c r="W32" s="63"/>
      <c r="X32" s="63"/>
      <c r="Y32" s="63"/>
      <c r="Z32" s="63"/>
      <c r="AA32" s="63"/>
      <c r="AB32" s="63"/>
      <c r="AC32" s="63"/>
      <c r="AD32" s="63"/>
      <c r="AE32" s="63"/>
      <c r="AF32" s="63"/>
      <c r="AG32" s="63"/>
      <c r="AH32" s="63"/>
      <c r="AI32" s="63"/>
      <c r="AJ32" s="63"/>
      <c r="AK32" s="63"/>
      <c r="AL32" s="63"/>
      <c r="AM32" s="63"/>
      <c r="AN32" s="63"/>
      <c r="AO32" s="63" t="str">
        <f t="shared" si="1"/>
        <v/>
      </c>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CZ32" s="59"/>
      <c r="DA32" s="59"/>
      <c r="DB32" s="59"/>
      <c r="DC32" s="59"/>
      <c r="DD32" s="59"/>
      <c r="DE32" s="59"/>
      <c r="DF32" s="59"/>
      <c r="DG32" s="59"/>
      <c r="DH32" s="59"/>
      <c r="DI32" s="59"/>
      <c r="DJ32" s="59"/>
      <c r="DK32" s="59"/>
      <c r="DL32" s="59"/>
    </row>
    <row r="33" spans="1:116" s="53" customFormat="1" ht="28.15" hidden="1" customHeight="1">
      <c r="A33" s="61"/>
      <c r="B33" s="61"/>
      <c r="C33" s="80"/>
      <c r="D33" s="51" t="s">
        <v>14</v>
      </c>
      <c r="E33" s="87" t="s">
        <v>74</v>
      </c>
      <c r="F33" s="61"/>
      <c r="G33" s="61"/>
      <c r="H33" s="76"/>
      <c r="I33" s="76"/>
      <c r="J33" s="63"/>
      <c r="K33" s="49"/>
      <c r="L33" s="63"/>
      <c r="M33" s="63" t="s">
        <v>30</v>
      </c>
      <c r="N33" s="63" t="s">
        <v>31</v>
      </c>
      <c r="O33" s="63" t="str">
        <f t="shared" si="2"/>
        <v>click</v>
      </c>
      <c r="P33" s="63" t="str">
        <f t="shared" si="3"/>
        <v>();</v>
      </c>
      <c r="Q33" s="63" t="str">
        <f t="shared" si="4"/>
        <v/>
      </c>
      <c r="R33" s="63" t="str">
        <f t="shared" si="5"/>
        <v/>
      </c>
      <c r="S33" s="63" t="str">
        <f t="shared" si="6"/>
        <v/>
      </c>
      <c r="T33" s="63"/>
      <c r="U33" s="63"/>
      <c r="V33" s="63"/>
      <c r="W33" s="63"/>
      <c r="X33" s="63"/>
      <c r="Y33" s="63"/>
      <c r="Z33" s="63"/>
      <c r="AA33" s="63"/>
      <c r="AB33" s="63"/>
      <c r="AC33" s="63"/>
      <c r="AD33" s="63"/>
      <c r="AE33" s="63"/>
      <c r="AF33" s="63"/>
      <c r="AG33" s="63"/>
      <c r="AH33" s="63"/>
      <c r="AI33" s="63"/>
      <c r="AJ33" s="63"/>
      <c r="AK33" s="63"/>
      <c r="AL33" s="63"/>
      <c r="AM33" s="63"/>
      <c r="AN33" s="63"/>
      <c r="AO33" s="63" t="str">
        <f t="shared" si="1"/>
        <v/>
      </c>
      <c r="AP33" s="63"/>
      <c r="AQ33" s="63"/>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CZ33" s="59"/>
      <c r="DA33" s="59"/>
      <c r="DB33" s="59"/>
      <c r="DC33" s="59"/>
      <c r="DD33" s="59"/>
      <c r="DE33" s="59"/>
      <c r="DF33" s="59"/>
      <c r="DG33" s="59"/>
      <c r="DH33" s="59"/>
      <c r="DI33" s="59"/>
      <c r="DJ33" s="59"/>
      <c r="DK33" s="59"/>
      <c r="DL33" s="59"/>
    </row>
    <row r="34" spans="1:116" s="53" customFormat="1" ht="28.15" hidden="1" customHeight="1">
      <c r="A34" s="61"/>
      <c r="B34" s="61"/>
      <c r="C34" s="80"/>
      <c r="D34" s="51" t="s">
        <v>12</v>
      </c>
      <c r="E34" s="83" t="s">
        <v>63</v>
      </c>
      <c r="F34" s="61"/>
      <c r="G34" s="61"/>
      <c r="H34" s="76"/>
      <c r="I34" s="76"/>
      <c r="J34" s="63"/>
      <c r="K34" s="49"/>
      <c r="L34" s="63"/>
      <c r="M34" s="63" t="s">
        <v>30</v>
      </c>
      <c r="N34" s="63" t="s">
        <v>31</v>
      </c>
      <c r="O34" s="63" t="str">
        <f t="shared" si="2"/>
        <v>click</v>
      </c>
      <c r="P34" s="63" t="str">
        <f t="shared" si="3"/>
        <v>();</v>
      </c>
      <c r="Q34" s="63" t="str">
        <f t="shared" si="4"/>
        <v/>
      </c>
      <c r="R34" s="63" t="str">
        <f t="shared" si="5"/>
        <v/>
      </c>
      <c r="S34" s="63" t="str">
        <f t="shared" si="6"/>
        <v/>
      </c>
      <c r="T34" s="63"/>
      <c r="U34" s="63"/>
      <c r="V34" s="63"/>
      <c r="W34" s="63"/>
      <c r="X34" s="63"/>
      <c r="Y34" s="63"/>
      <c r="Z34" s="63"/>
      <c r="AA34" s="63"/>
      <c r="AB34" s="63"/>
      <c r="AC34" s="63"/>
      <c r="AD34" s="63"/>
      <c r="AE34" s="63"/>
      <c r="AF34" s="63"/>
      <c r="AG34" s="63"/>
      <c r="AH34" s="63"/>
      <c r="AI34" s="63"/>
      <c r="AJ34" s="63"/>
      <c r="AK34" s="63"/>
      <c r="AL34" s="63"/>
      <c r="AM34" s="63"/>
      <c r="AN34" s="63"/>
      <c r="AO34" s="63" t="str">
        <f t="shared" si="1"/>
        <v/>
      </c>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CZ34" s="59"/>
      <c r="DA34" s="59"/>
      <c r="DB34" s="59"/>
      <c r="DC34" s="59"/>
      <c r="DD34" s="59"/>
      <c r="DE34" s="59"/>
      <c r="DF34" s="59"/>
      <c r="DG34" s="59"/>
      <c r="DH34" s="59"/>
      <c r="DI34" s="59"/>
      <c r="DJ34" s="59"/>
      <c r="DK34" s="59"/>
      <c r="DL34" s="59"/>
    </row>
    <row r="35" spans="1:116" s="53" customFormat="1" ht="28.15" hidden="1" customHeight="1">
      <c r="A35" s="61"/>
      <c r="B35" s="61"/>
      <c r="C35" s="80"/>
      <c r="D35" s="51" t="s">
        <v>12</v>
      </c>
      <c r="E35" s="83" t="s">
        <v>75</v>
      </c>
      <c r="F35" s="61" t="s">
        <v>76</v>
      </c>
      <c r="G35" s="61"/>
      <c r="H35" s="76"/>
      <c r="I35" s="76"/>
      <c r="J35" s="63"/>
      <c r="K35" s="49"/>
      <c r="L35" s="63"/>
      <c r="M35" s="63" t="s">
        <v>30</v>
      </c>
      <c r="N35" s="63" t="s">
        <v>31</v>
      </c>
      <c r="O35" s="63" t="str">
        <f t="shared" si="2"/>
        <v>click</v>
      </c>
      <c r="P35" s="63" t="str">
        <f t="shared" si="3"/>
        <v>();</v>
      </c>
      <c r="Q35" s="63" t="str">
        <f t="shared" si="4"/>
        <v/>
      </c>
      <c r="R35" s="63" t="str">
        <f t="shared" si="5"/>
        <v/>
      </c>
      <c r="S35" s="63" t="str">
        <f t="shared" si="6"/>
        <v/>
      </c>
      <c r="T35" s="63"/>
      <c r="U35" s="63"/>
      <c r="V35" s="63"/>
      <c r="W35" s="63"/>
      <c r="X35" s="63"/>
      <c r="Y35" s="63"/>
      <c r="Z35" s="63"/>
      <c r="AA35" s="63"/>
      <c r="AB35" s="63"/>
      <c r="AC35" s="63"/>
      <c r="AD35" s="63"/>
      <c r="AE35" s="63"/>
      <c r="AF35" s="63"/>
      <c r="AG35" s="63"/>
      <c r="AH35" s="63"/>
      <c r="AI35" s="63"/>
      <c r="AJ35" s="63"/>
      <c r="AK35" s="63"/>
      <c r="AL35" s="63"/>
      <c r="AM35" s="63"/>
      <c r="AN35" s="63"/>
      <c r="AO35" s="63" t="str">
        <f t="shared" si="1"/>
        <v/>
      </c>
      <c r="AP35" s="63"/>
      <c r="AQ35" s="63"/>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CZ35" s="59"/>
      <c r="DA35" s="59"/>
      <c r="DB35" s="59"/>
      <c r="DC35" s="59"/>
      <c r="DD35" s="59"/>
      <c r="DE35" s="59"/>
      <c r="DF35" s="59"/>
      <c r="DG35" s="59"/>
      <c r="DH35" s="59"/>
      <c r="DI35" s="59"/>
      <c r="DJ35" s="59"/>
      <c r="DK35" s="59"/>
      <c r="DL35" s="59"/>
    </row>
    <row r="36" spans="1:116" s="53" customFormat="1" ht="28.15" hidden="1" customHeight="1">
      <c r="A36" s="61"/>
      <c r="B36" s="61"/>
      <c r="C36" s="80"/>
      <c r="D36" s="51" t="s">
        <v>12</v>
      </c>
      <c r="E36" s="83"/>
      <c r="F36" s="61"/>
      <c r="G36" s="61"/>
      <c r="H36" s="76"/>
      <c r="I36" s="76"/>
      <c r="J36" s="63"/>
      <c r="K36" s="49"/>
      <c r="L36" s="63"/>
      <c r="M36" s="63" t="s">
        <v>30</v>
      </c>
      <c r="N36" s="63" t="s">
        <v>31</v>
      </c>
      <c r="O36" s="63" t="str">
        <f t="shared" si="2"/>
        <v>click</v>
      </c>
      <c r="P36" s="63" t="str">
        <f t="shared" si="3"/>
        <v>();</v>
      </c>
      <c r="Q36" s="63" t="str">
        <f t="shared" si="4"/>
        <v/>
      </c>
      <c r="R36" s="63" t="str">
        <f t="shared" si="5"/>
        <v/>
      </c>
      <c r="S36" s="63" t="str">
        <f t="shared" si="6"/>
        <v/>
      </c>
      <c r="T36" s="63"/>
      <c r="U36" s="63"/>
      <c r="V36" s="63"/>
      <c r="W36" s="63"/>
      <c r="X36" s="63"/>
      <c r="Y36" s="63"/>
      <c r="Z36" s="63"/>
      <c r="AA36" s="63"/>
      <c r="AB36" s="63"/>
      <c r="AC36" s="63"/>
      <c r="AD36" s="63"/>
      <c r="AE36" s="63"/>
      <c r="AF36" s="63"/>
      <c r="AG36" s="63"/>
      <c r="AH36" s="63"/>
      <c r="AI36" s="63"/>
      <c r="AJ36" s="63"/>
      <c r="AK36" s="63"/>
      <c r="AL36" s="63"/>
      <c r="AM36" s="63"/>
      <c r="AN36" s="63"/>
      <c r="AO36" s="63" t="str">
        <f t="shared" si="1"/>
        <v/>
      </c>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CZ36" s="59"/>
      <c r="DA36" s="59"/>
      <c r="DB36" s="59"/>
      <c r="DC36" s="59"/>
      <c r="DD36" s="59"/>
      <c r="DE36" s="59"/>
      <c r="DF36" s="59"/>
      <c r="DG36" s="59"/>
      <c r="DH36" s="59"/>
      <c r="DI36" s="59"/>
      <c r="DJ36" s="59"/>
      <c r="DK36" s="59"/>
      <c r="DL36" s="59"/>
    </row>
    <row r="37" spans="1:116" s="53" customFormat="1" ht="28.15" hidden="1" customHeight="1">
      <c r="A37" s="61"/>
      <c r="B37" s="61"/>
      <c r="C37" s="80"/>
      <c r="D37" s="51"/>
      <c r="E37" s="83"/>
      <c r="F37" s="61"/>
      <c r="G37" s="61"/>
      <c r="H37" s="76"/>
      <c r="I37" s="76"/>
      <c r="J37" s="63"/>
      <c r="K37" s="49"/>
      <c r="L37" s="63"/>
      <c r="M37" s="63" t="s">
        <v>30</v>
      </c>
      <c r="N37" s="63" t="s">
        <v>31</v>
      </c>
      <c r="O37" s="63" t="str">
        <f t="shared" si="2"/>
        <v>click</v>
      </c>
      <c r="P37" s="63" t="str">
        <f t="shared" si="3"/>
        <v>();</v>
      </c>
      <c r="Q37" s="63" t="str">
        <f t="shared" si="4"/>
        <v/>
      </c>
      <c r="R37" s="63" t="str">
        <f t="shared" si="5"/>
        <v/>
      </c>
      <c r="S37" s="63" t="str">
        <f t="shared" si="6"/>
        <v/>
      </c>
      <c r="T37" s="63"/>
      <c r="U37" s="63"/>
      <c r="V37" s="63"/>
      <c r="W37" s="63"/>
      <c r="X37" s="63"/>
      <c r="Y37" s="63"/>
      <c r="Z37" s="63"/>
      <c r="AA37" s="63"/>
      <c r="AB37" s="63"/>
      <c r="AC37" s="63"/>
      <c r="AD37" s="63"/>
      <c r="AE37" s="63"/>
      <c r="AF37" s="63"/>
      <c r="AG37" s="63"/>
      <c r="AH37" s="63"/>
      <c r="AI37" s="63"/>
      <c r="AJ37" s="63"/>
      <c r="AK37" s="63"/>
      <c r="AL37" s="63"/>
      <c r="AM37" s="63"/>
      <c r="AN37" s="63"/>
      <c r="AO37" s="63" t="str">
        <f t="shared" si="1"/>
        <v/>
      </c>
      <c r="AP37" s="63"/>
      <c r="AQ37" s="63"/>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CZ37" s="59"/>
      <c r="DA37" s="59"/>
      <c r="DB37" s="59"/>
      <c r="DC37" s="59"/>
      <c r="DD37" s="59"/>
      <c r="DE37" s="59"/>
      <c r="DF37" s="59"/>
      <c r="DG37" s="59"/>
      <c r="DH37" s="59"/>
      <c r="DI37" s="59"/>
      <c r="DJ37" s="59"/>
      <c r="DK37" s="59"/>
      <c r="DL37" s="59"/>
    </row>
    <row r="38" spans="1:116" s="53" customFormat="1" ht="28.15" hidden="1" customHeight="1">
      <c r="A38" s="61"/>
      <c r="B38" s="61"/>
      <c r="C38" s="80"/>
      <c r="D38" s="51"/>
      <c r="E38" s="83"/>
      <c r="F38" s="61"/>
      <c r="G38" s="61"/>
      <c r="H38" s="76"/>
      <c r="I38" s="76"/>
      <c r="J38" s="63"/>
      <c r="K38" s="49"/>
      <c r="L38" s="63"/>
      <c r="M38" s="63" t="s">
        <v>30</v>
      </c>
      <c r="N38" s="63" t="s">
        <v>31</v>
      </c>
      <c r="O38" s="63" t="str">
        <f t="shared" si="2"/>
        <v>click</v>
      </c>
      <c r="P38" s="63" t="str">
        <f t="shared" si="3"/>
        <v>();</v>
      </c>
      <c r="Q38" s="63" t="str">
        <f t="shared" si="4"/>
        <v/>
      </c>
      <c r="R38" s="63" t="str">
        <f t="shared" si="5"/>
        <v/>
      </c>
      <c r="S38" s="63" t="str">
        <f t="shared" si="6"/>
        <v/>
      </c>
      <c r="T38" s="63"/>
      <c r="U38" s="63"/>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CZ38" s="59"/>
      <c r="DA38" s="59"/>
      <c r="DB38" s="59"/>
      <c r="DC38" s="59"/>
      <c r="DD38" s="59"/>
      <c r="DE38" s="59"/>
      <c r="DF38" s="59"/>
      <c r="DG38" s="59"/>
      <c r="DH38" s="59"/>
      <c r="DI38" s="59"/>
      <c r="DJ38" s="59"/>
      <c r="DK38" s="59"/>
      <c r="DL38" s="59"/>
    </row>
    <row r="39" spans="1:116" s="53" customFormat="1" ht="28.15" hidden="1" customHeight="1">
      <c r="A39" s="61"/>
      <c r="B39" s="61"/>
      <c r="C39" s="80"/>
      <c r="D39" s="51"/>
      <c r="E39" s="83"/>
      <c r="F39" s="61"/>
      <c r="G39" s="61"/>
      <c r="H39" s="76"/>
      <c r="I39" s="76"/>
      <c r="J39" s="63"/>
      <c r="K39" s="49"/>
      <c r="L39" s="63"/>
      <c r="M39" s="63" t="s">
        <v>30</v>
      </c>
      <c r="N39" s="63" t="s">
        <v>31</v>
      </c>
      <c r="O39" s="63" t="str">
        <f t="shared" si="2"/>
        <v>click</v>
      </c>
      <c r="P39" s="63" t="str">
        <f t="shared" si="3"/>
        <v>();</v>
      </c>
      <c r="Q39" s="63" t="str">
        <f t="shared" si="4"/>
        <v/>
      </c>
      <c r="R39" s="63" t="str">
        <f t="shared" si="5"/>
        <v/>
      </c>
      <c r="S39" s="63" t="str">
        <f t="shared" si="6"/>
        <v/>
      </c>
      <c r="T39" s="63"/>
      <c r="U39" s="63"/>
      <c r="V39" s="63"/>
      <c r="W39" s="63"/>
      <c r="X39" s="63"/>
      <c r="Y39" s="63"/>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CZ39" s="59"/>
      <c r="DA39" s="59"/>
      <c r="DB39" s="59"/>
      <c r="DC39" s="59"/>
      <c r="DD39" s="59"/>
      <c r="DE39" s="59"/>
      <c r="DF39" s="59"/>
      <c r="DG39" s="59"/>
      <c r="DH39" s="59"/>
      <c r="DI39" s="59"/>
      <c r="DJ39" s="59"/>
      <c r="DK39" s="59"/>
      <c r="DL39" s="59"/>
    </row>
    <row r="40" spans="1:116" s="53" customFormat="1" ht="28.15" hidden="1" customHeight="1">
      <c r="A40" s="61"/>
      <c r="B40" s="61"/>
      <c r="C40" s="80"/>
      <c r="D40" s="51"/>
      <c r="E40" s="87"/>
      <c r="F40" s="61"/>
      <c r="G40" s="61"/>
      <c r="H40" s="76"/>
      <c r="I40" s="76"/>
      <c r="J40" s="63"/>
      <c r="K40" s="49"/>
      <c r="L40" s="63"/>
      <c r="M40" s="63" t="s">
        <v>30</v>
      </c>
      <c r="N40" s="63" t="s">
        <v>31</v>
      </c>
      <c r="O40" s="63" t="str">
        <f t="shared" si="2"/>
        <v>click</v>
      </c>
      <c r="P40" s="63" t="str">
        <f t="shared" si="3"/>
        <v>();</v>
      </c>
      <c r="Q40" s="63" t="str">
        <f t="shared" si="4"/>
        <v/>
      </c>
      <c r="R40" s="63" t="str">
        <f t="shared" si="5"/>
        <v/>
      </c>
      <c r="S40" s="63" t="str">
        <f t="shared" si="6"/>
        <v/>
      </c>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CZ40" s="59"/>
      <c r="DA40" s="59"/>
      <c r="DB40" s="59"/>
      <c r="DC40" s="59"/>
      <c r="DD40" s="59"/>
      <c r="DE40" s="59"/>
      <c r="DF40" s="59"/>
      <c r="DG40" s="59"/>
      <c r="DH40" s="59"/>
      <c r="DI40" s="59"/>
      <c r="DJ40" s="59"/>
      <c r="DK40" s="59"/>
      <c r="DL40" s="59"/>
    </row>
    <row r="41" spans="1:116" s="53" customFormat="1" ht="28.15" hidden="1" customHeight="1">
      <c r="A41" s="61"/>
      <c r="B41" s="61"/>
      <c r="C41" s="80"/>
      <c r="D41" s="51"/>
      <c r="E41" s="83"/>
      <c r="F41" s="61"/>
      <c r="G41" s="61"/>
      <c r="H41" s="76"/>
      <c r="I41" s="76"/>
      <c r="J41" s="63"/>
      <c r="K41" s="49"/>
      <c r="L41" s="63"/>
      <c r="M41" s="63" t="s">
        <v>30</v>
      </c>
      <c r="N41" s="63" t="s">
        <v>31</v>
      </c>
      <c r="O41" s="63" t="str">
        <f t="shared" si="2"/>
        <v>click</v>
      </c>
      <c r="P41" s="63" t="str">
        <f t="shared" si="3"/>
        <v>();</v>
      </c>
      <c r="Q41" s="63" t="str">
        <f t="shared" si="4"/>
        <v/>
      </c>
      <c r="R41" s="63" t="str">
        <f t="shared" si="5"/>
        <v/>
      </c>
      <c r="S41" s="63" t="str">
        <f t="shared" si="6"/>
        <v/>
      </c>
      <c r="T41" s="63"/>
      <c r="U41" s="63"/>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CZ41" s="59"/>
      <c r="DA41" s="59"/>
      <c r="DB41" s="59"/>
      <c r="DC41" s="59"/>
      <c r="DD41" s="59"/>
      <c r="DE41" s="59"/>
      <c r="DF41" s="59"/>
      <c r="DG41" s="59"/>
      <c r="DH41" s="59"/>
      <c r="DI41" s="59"/>
      <c r="DJ41" s="59"/>
      <c r="DK41" s="59"/>
      <c r="DL41" s="59"/>
    </row>
    <row r="42" spans="1:116" s="53" customFormat="1" ht="28.15" hidden="1" customHeight="1">
      <c r="A42" s="61"/>
      <c r="B42" s="61"/>
      <c r="C42" s="80"/>
      <c r="D42" s="51"/>
      <c r="E42" s="83"/>
      <c r="F42" s="61"/>
      <c r="G42" s="61"/>
      <c r="H42" s="76"/>
      <c r="I42" s="76"/>
      <c r="J42" s="63"/>
      <c r="K42" s="49"/>
      <c r="L42" s="63"/>
      <c r="M42" s="63" t="s">
        <v>30</v>
      </c>
      <c r="N42" s="63" t="s">
        <v>31</v>
      </c>
      <c r="O42" s="63" t="str">
        <f t="shared" si="2"/>
        <v>click</v>
      </c>
      <c r="P42" s="63" t="str">
        <f t="shared" si="3"/>
        <v>();</v>
      </c>
      <c r="Q42" s="63" t="str">
        <f t="shared" si="4"/>
        <v/>
      </c>
      <c r="R42" s="63" t="str">
        <f t="shared" si="5"/>
        <v/>
      </c>
      <c r="S42" s="63" t="str">
        <f t="shared" si="6"/>
        <v/>
      </c>
      <c r="T42" s="63"/>
      <c r="U42" s="63"/>
      <c r="V42" s="63"/>
      <c r="W42" s="63"/>
      <c r="X42" s="63"/>
      <c r="Y42" s="63"/>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CZ42" s="59"/>
      <c r="DA42" s="59"/>
      <c r="DB42" s="59"/>
      <c r="DC42" s="59"/>
      <c r="DD42" s="59"/>
      <c r="DE42" s="59"/>
      <c r="DF42" s="59"/>
      <c r="DG42" s="59"/>
      <c r="DH42" s="59"/>
      <c r="DI42" s="59"/>
      <c r="DJ42" s="59"/>
      <c r="DK42" s="59"/>
      <c r="DL42" s="59"/>
    </row>
    <row r="43" spans="1:116" s="53" customFormat="1" ht="28.15" hidden="1" customHeight="1">
      <c r="A43" s="61"/>
      <c r="B43" s="61"/>
      <c r="C43" s="80"/>
      <c r="D43" s="51"/>
      <c r="E43" s="83"/>
      <c r="F43" s="61"/>
      <c r="G43" s="61"/>
      <c r="H43" s="76"/>
      <c r="I43" s="76"/>
      <c r="J43" s="63"/>
      <c r="K43" s="49"/>
      <c r="L43" s="63"/>
      <c r="M43" s="63" t="s">
        <v>30</v>
      </c>
      <c r="N43" s="63" t="s">
        <v>31</v>
      </c>
      <c r="O43" s="63" t="str">
        <f t="shared" ref="O43:O63" si="7">IF(D43="input","fill",IF(I43&lt;&gt;"","innerText",IF(J43="Y",$T$110,"click")))</f>
        <v>click</v>
      </c>
      <c r="P43" s="63" t="str">
        <f t="shared" ref="P43:P74" si="8">IF(OR(O43="Click",O43="innerText"),"();","("&amp;""""&amp;K43&amp;""""&amp;");")</f>
        <v>();</v>
      </c>
      <c r="Q43" s="63" t="str">
        <f t="shared" ref="Q43:Q74" si="9">IF(C43="Y",IF(H43&lt;&gt;"Xpath",M43&amp;F43&amp;N43,""""&amp;F43&amp;""""),"")</f>
        <v/>
      </c>
      <c r="R43" s="63" t="str">
        <f t="shared" ref="R43:R74" si="10">IF(C43="Y",""""&amp;E43&amp;""""&amp;":"&amp;Q43&amp;",","")</f>
        <v/>
      </c>
      <c r="S43" s="63" t="str">
        <f t="shared" ref="S43:S74" si="11">IF(O43="innerText",I43&amp;"="&amp;IF(C43="Y",IF(J43&lt;&gt;"Y",$S$9&amp;$R$10&amp;"."&amp;E43&amp;")."&amp;IF(OR(O43="click",O43="innerText"),O43&amp;"();",O43&amp;"("&amp;$Q$9&amp;"."&amp;E43&amp;");"),$S$110&amp;$R$10&amp;"."&amp;E43&amp;")."&amp;IF(O43="click",O43&amp;"();",O43&amp;"("&amp;"'"&amp;K43&amp;"'"&amp;");")),""),IF(C43="Y",IF(J43&lt;&gt;"Y",$S$9&amp;$R$10&amp;"."&amp;E43&amp;")."&amp;IF(OR(O43="click",O43="innerText"),O43&amp;"();",O43&amp;"("&amp;$Q$9&amp;"."&amp;E43&amp;");"),$S$110&amp;$R$10&amp;"."&amp;E43&amp;")."&amp;IF(O43="click",O43&amp;"();",O43&amp;"("&amp;"'"&amp;K43&amp;"'"&amp;");")),""))</f>
        <v/>
      </c>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CZ43" s="59"/>
      <c r="DA43" s="59"/>
      <c r="DB43" s="59"/>
      <c r="DC43" s="59"/>
      <c r="DD43" s="59"/>
      <c r="DE43" s="59"/>
      <c r="DF43" s="59"/>
      <c r="DG43" s="59"/>
      <c r="DH43" s="59"/>
      <c r="DI43" s="59"/>
      <c r="DJ43" s="59"/>
      <c r="DK43" s="59"/>
      <c r="DL43" s="59"/>
    </row>
    <row r="44" spans="1:116" s="53" customFormat="1" ht="28.15" hidden="1" customHeight="1">
      <c r="A44" s="61"/>
      <c r="B44" s="61"/>
      <c r="C44" s="80"/>
      <c r="D44" s="51"/>
      <c r="E44" s="83"/>
      <c r="F44" s="61"/>
      <c r="G44" s="61"/>
      <c r="H44" s="76"/>
      <c r="I44" s="76"/>
      <c r="J44" s="63"/>
      <c r="K44" s="49"/>
      <c r="L44" s="63"/>
      <c r="M44" s="63" t="s">
        <v>30</v>
      </c>
      <c r="N44" s="63" t="s">
        <v>31</v>
      </c>
      <c r="O44" s="63" t="str">
        <f t="shared" si="7"/>
        <v>click</v>
      </c>
      <c r="P44" s="63" t="str">
        <f t="shared" si="8"/>
        <v>();</v>
      </c>
      <c r="Q44" s="63" t="str">
        <f t="shared" si="9"/>
        <v/>
      </c>
      <c r="R44" s="63" t="str">
        <f t="shared" si="10"/>
        <v/>
      </c>
      <c r="S44" s="63" t="str">
        <f t="shared" si="11"/>
        <v/>
      </c>
      <c r="T44" s="63"/>
      <c r="U44" s="63"/>
      <c r="V44" s="63"/>
      <c r="W44" s="63"/>
      <c r="X44" s="63"/>
      <c r="Y44" s="63"/>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CZ44" s="59"/>
      <c r="DA44" s="59"/>
      <c r="DB44" s="59"/>
      <c r="DC44" s="59"/>
      <c r="DD44" s="59"/>
      <c r="DE44" s="59"/>
      <c r="DF44" s="59"/>
      <c r="DG44" s="59"/>
      <c r="DH44" s="59"/>
      <c r="DI44" s="59"/>
      <c r="DJ44" s="59"/>
      <c r="DK44" s="59"/>
      <c r="DL44" s="59"/>
    </row>
    <row r="45" spans="1:116" s="53" customFormat="1" ht="28.15" hidden="1" customHeight="1">
      <c r="A45" s="61"/>
      <c r="B45" s="61"/>
      <c r="C45" s="80"/>
      <c r="D45" s="51"/>
      <c r="E45" s="83"/>
      <c r="F45" s="61"/>
      <c r="G45" s="61"/>
      <c r="H45" s="76"/>
      <c r="I45" s="76"/>
      <c r="J45" s="63"/>
      <c r="K45" s="49"/>
      <c r="L45" s="63"/>
      <c r="M45" s="63" t="s">
        <v>30</v>
      </c>
      <c r="N45" s="63" t="s">
        <v>31</v>
      </c>
      <c r="O45" s="63" t="str">
        <f t="shared" si="7"/>
        <v>click</v>
      </c>
      <c r="P45" s="63" t="str">
        <f t="shared" si="8"/>
        <v>();</v>
      </c>
      <c r="Q45" s="63" t="str">
        <f t="shared" si="9"/>
        <v/>
      </c>
      <c r="R45" s="63" t="str">
        <f t="shared" si="10"/>
        <v/>
      </c>
      <c r="S45" s="63" t="str">
        <f t="shared" si="11"/>
        <v/>
      </c>
      <c r="T45" s="63"/>
      <c r="U45" s="63"/>
      <c r="V45" s="63"/>
      <c r="W45" s="63"/>
      <c r="X45" s="63"/>
      <c r="Y45" s="63"/>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CZ45" s="59"/>
      <c r="DA45" s="59"/>
      <c r="DB45" s="59"/>
      <c r="DC45" s="59"/>
      <c r="DD45" s="59"/>
      <c r="DE45" s="59"/>
      <c r="DF45" s="59"/>
      <c r="DG45" s="59"/>
      <c r="DH45" s="59"/>
      <c r="DI45" s="59"/>
      <c r="DJ45" s="59"/>
      <c r="DK45" s="59"/>
      <c r="DL45" s="59"/>
    </row>
    <row r="46" spans="1:116" s="53" customFormat="1" ht="28.15" hidden="1" customHeight="1">
      <c r="A46" s="61"/>
      <c r="B46" s="61"/>
      <c r="C46" s="80"/>
      <c r="D46" s="51"/>
      <c r="E46" s="83"/>
      <c r="F46" s="61"/>
      <c r="G46" s="61"/>
      <c r="H46" s="76"/>
      <c r="I46" s="76"/>
      <c r="J46" s="63"/>
      <c r="K46" s="49"/>
      <c r="L46" s="63"/>
      <c r="M46" s="63" t="s">
        <v>30</v>
      </c>
      <c r="N46" s="63" t="s">
        <v>31</v>
      </c>
      <c r="O46" s="63" t="str">
        <f t="shared" si="7"/>
        <v>click</v>
      </c>
      <c r="P46" s="63" t="str">
        <f t="shared" si="8"/>
        <v>();</v>
      </c>
      <c r="Q46" s="63" t="str">
        <f t="shared" si="9"/>
        <v/>
      </c>
      <c r="R46" s="63" t="str">
        <f t="shared" si="10"/>
        <v/>
      </c>
      <c r="S46" s="63" t="str">
        <f t="shared" si="11"/>
        <v/>
      </c>
      <c r="T46" s="63"/>
      <c r="U46" s="63"/>
      <c r="V46" s="63"/>
      <c r="W46" s="63"/>
      <c r="X46" s="63"/>
      <c r="Y46" s="63"/>
      <c r="Z46" s="63"/>
      <c r="AA46" s="63"/>
      <c r="AB46" s="63"/>
      <c r="AC46" s="63"/>
      <c r="AD46" s="63"/>
      <c r="AE46" s="63"/>
      <c r="AF46" s="63"/>
      <c r="AG46" s="63"/>
      <c r="AH46" s="63"/>
      <c r="AI46" s="63"/>
      <c r="AJ46" s="63"/>
      <c r="AK46" s="63"/>
      <c r="AL46" s="63"/>
      <c r="AM46" s="63"/>
      <c r="AN46" s="63"/>
      <c r="AO46" s="63"/>
      <c r="AP46" s="63"/>
      <c r="AQ46" s="63"/>
      <c r="AR46" s="63"/>
      <c r="AS46" s="63"/>
      <c r="AT46" s="63"/>
      <c r="AU46" s="63"/>
      <c r="AV46" s="63"/>
      <c r="AW46" s="63"/>
      <c r="AX46" s="63"/>
      <c r="AY46" s="63"/>
      <c r="AZ46" s="63"/>
      <c r="BA46" s="63"/>
      <c r="BB46" s="63"/>
      <c r="BC46" s="63"/>
      <c r="BD46" s="63"/>
      <c r="BE46" s="63"/>
      <c r="BF46" s="63"/>
      <c r="BG46" s="63"/>
      <c r="BH46" s="63"/>
      <c r="BI46" s="63"/>
      <c r="BJ46" s="63"/>
      <c r="BK46" s="63"/>
      <c r="BL46" s="63"/>
      <c r="BM46" s="63"/>
      <c r="BN46" s="63"/>
      <c r="BO46" s="63"/>
      <c r="BP46" s="63"/>
      <c r="BQ46" s="63"/>
      <c r="BR46" s="63"/>
      <c r="BS46" s="63"/>
      <c r="CZ46" s="59"/>
      <c r="DA46" s="59"/>
      <c r="DB46" s="59"/>
      <c r="DC46" s="59"/>
      <c r="DD46" s="59"/>
      <c r="DE46" s="59"/>
      <c r="DF46" s="59"/>
      <c r="DG46" s="59"/>
      <c r="DH46" s="59"/>
      <c r="DI46" s="59"/>
      <c r="DJ46" s="59"/>
      <c r="DK46" s="59"/>
      <c r="DL46" s="59"/>
    </row>
    <row r="47" spans="1:116" s="53" customFormat="1" ht="28.15" hidden="1" customHeight="1">
      <c r="A47" s="61"/>
      <c r="B47" s="61"/>
      <c r="C47" s="80"/>
      <c r="D47" s="51"/>
      <c r="E47" s="83"/>
      <c r="F47" s="61"/>
      <c r="G47" s="61"/>
      <c r="H47" s="76"/>
      <c r="I47" s="76"/>
      <c r="J47" s="63"/>
      <c r="K47" s="49"/>
      <c r="L47" s="63"/>
      <c r="M47" s="63" t="s">
        <v>30</v>
      </c>
      <c r="N47" s="63" t="s">
        <v>31</v>
      </c>
      <c r="O47" s="63" t="str">
        <f t="shared" si="7"/>
        <v>click</v>
      </c>
      <c r="P47" s="63" t="str">
        <f t="shared" si="8"/>
        <v>();</v>
      </c>
      <c r="Q47" s="63" t="str">
        <f t="shared" si="9"/>
        <v/>
      </c>
      <c r="R47" s="63" t="str">
        <f t="shared" si="10"/>
        <v/>
      </c>
      <c r="S47" s="63" t="str">
        <f t="shared" si="11"/>
        <v/>
      </c>
      <c r="T47" s="63"/>
      <c r="U47" s="63"/>
      <c r="V47" s="63"/>
      <c r="W47" s="63"/>
      <c r="X47" s="63"/>
      <c r="Y47" s="63"/>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c r="BC47" s="63"/>
      <c r="BD47" s="63"/>
      <c r="BE47" s="63"/>
      <c r="BF47" s="63"/>
      <c r="BG47" s="63"/>
      <c r="BH47" s="63"/>
      <c r="BI47" s="63"/>
      <c r="BJ47" s="63"/>
      <c r="BK47" s="63"/>
      <c r="BL47" s="63"/>
      <c r="BM47" s="63"/>
      <c r="BN47" s="63"/>
      <c r="BO47" s="63"/>
      <c r="BP47" s="63"/>
      <c r="BQ47" s="63"/>
      <c r="BR47" s="63"/>
      <c r="BS47" s="63"/>
      <c r="CZ47" s="59"/>
      <c r="DA47" s="59"/>
      <c r="DB47" s="59"/>
      <c r="DC47" s="59"/>
      <c r="DD47" s="59"/>
      <c r="DE47" s="59"/>
      <c r="DF47" s="59"/>
      <c r="DG47" s="59"/>
      <c r="DH47" s="59"/>
      <c r="DI47" s="59"/>
      <c r="DJ47" s="59"/>
      <c r="DK47" s="59"/>
      <c r="DL47" s="59"/>
    </row>
    <row r="48" spans="1:116" s="53" customFormat="1" ht="28.15" hidden="1" customHeight="1">
      <c r="A48" s="61"/>
      <c r="B48" s="61"/>
      <c r="C48" s="80"/>
      <c r="D48" s="51"/>
      <c r="E48" s="83"/>
      <c r="F48" s="61"/>
      <c r="G48" s="61"/>
      <c r="H48" s="76"/>
      <c r="I48" s="76"/>
      <c r="J48" s="63"/>
      <c r="K48" s="49"/>
      <c r="L48" s="63"/>
      <c r="M48" s="63" t="s">
        <v>30</v>
      </c>
      <c r="N48" s="63" t="s">
        <v>31</v>
      </c>
      <c r="O48" s="63" t="str">
        <f t="shared" si="7"/>
        <v>click</v>
      </c>
      <c r="P48" s="63" t="str">
        <f t="shared" si="8"/>
        <v>();</v>
      </c>
      <c r="Q48" s="63" t="str">
        <f t="shared" si="9"/>
        <v/>
      </c>
      <c r="R48" s="63" t="str">
        <f t="shared" si="10"/>
        <v/>
      </c>
      <c r="S48" s="63" t="str">
        <f t="shared" si="11"/>
        <v/>
      </c>
      <c r="T48" s="63"/>
      <c r="U48" s="63"/>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CZ48" s="59"/>
      <c r="DA48" s="59"/>
      <c r="DB48" s="59"/>
      <c r="DC48" s="59"/>
      <c r="DD48" s="59"/>
      <c r="DE48" s="59"/>
      <c r="DF48" s="59"/>
      <c r="DG48" s="59"/>
      <c r="DH48" s="59"/>
      <c r="DI48" s="59"/>
      <c r="DJ48" s="59"/>
      <c r="DK48" s="59"/>
      <c r="DL48" s="59"/>
    </row>
    <row r="49" spans="1:116" s="53" customFormat="1" ht="28.15" hidden="1" customHeight="1">
      <c r="A49" s="61"/>
      <c r="B49" s="61"/>
      <c r="C49" s="80"/>
      <c r="D49" s="51"/>
      <c r="E49" s="83"/>
      <c r="F49" s="61"/>
      <c r="G49" s="61"/>
      <c r="H49" s="76"/>
      <c r="I49" s="76"/>
      <c r="J49" s="63"/>
      <c r="K49" s="49"/>
      <c r="L49" s="63"/>
      <c r="M49" s="63" t="s">
        <v>30</v>
      </c>
      <c r="N49" s="63" t="s">
        <v>31</v>
      </c>
      <c r="O49" s="63" t="str">
        <f t="shared" si="7"/>
        <v>click</v>
      </c>
      <c r="P49" s="63" t="str">
        <f t="shared" si="8"/>
        <v>();</v>
      </c>
      <c r="Q49" s="63" t="str">
        <f t="shared" si="9"/>
        <v/>
      </c>
      <c r="R49" s="63" t="str">
        <f t="shared" si="10"/>
        <v/>
      </c>
      <c r="S49" s="63" t="str">
        <f t="shared" si="11"/>
        <v/>
      </c>
      <c r="T49" s="63"/>
      <c r="U49" s="63"/>
      <c r="V49" s="63"/>
      <c r="W49" s="63"/>
      <c r="X49" s="63"/>
      <c r="Y49" s="63"/>
      <c r="Z49" s="63"/>
      <c r="AA49" s="63"/>
      <c r="AB49" s="63"/>
      <c r="AC49" s="63"/>
      <c r="AD49" s="63"/>
      <c r="AE49" s="63"/>
      <c r="AF49" s="63"/>
      <c r="AG49" s="63"/>
      <c r="AH49" s="63"/>
      <c r="AI49" s="63"/>
      <c r="AJ49" s="63"/>
      <c r="AK49" s="63"/>
      <c r="AL49" s="63"/>
      <c r="AM49" s="63"/>
      <c r="AN49" s="63"/>
      <c r="AO49" s="63"/>
      <c r="AP49" s="63"/>
      <c r="AQ49" s="63"/>
      <c r="AR49" s="63"/>
      <c r="AS49" s="63"/>
      <c r="AT49" s="63"/>
      <c r="AU49" s="63"/>
      <c r="AV49" s="63"/>
      <c r="AW49" s="63"/>
      <c r="AX49" s="63"/>
      <c r="AY49" s="63"/>
      <c r="AZ49" s="63"/>
      <c r="BA49" s="63"/>
      <c r="BB49" s="63"/>
      <c r="BC49" s="63"/>
      <c r="BD49" s="63"/>
      <c r="BE49" s="63"/>
      <c r="BF49" s="63"/>
      <c r="BG49" s="63"/>
      <c r="BH49" s="63"/>
      <c r="BI49" s="63"/>
      <c r="BJ49" s="63"/>
      <c r="BK49" s="63"/>
      <c r="BL49" s="63"/>
      <c r="BM49" s="63"/>
      <c r="BN49" s="63"/>
      <c r="BO49" s="63"/>
      <c r="BP49" s="63"/>
      <c r="BQ49" s="63"/>
      <c r="BR49" s="63"/>
      <c r="BS49" s="63"/>
      <c r="CZ49" s="59"/>
      <c r="DA49" s="59"/>
      <c r="DB49" s="59"/>
      <c r="DC49" s="59"/>
      <c r="DD49" s="59"/>
      <c r="DE49" s="59"/>
      <c r="DF49" s="59"/>
      <c r="DG49" s="59"/>
      <c r="DH49" s="59"/>
      <c r="DI49" s="59"/>
      <c r="DJ49" s="59"/>
      <c r="DK49" s="59"/>
      <c r="DL49" s="59"/>
    </row>
    <row r="50" spans="1:116" s="53" customFormat="1" ht="28.15" hidden="1" customHeight="1">
      <c r="A50" s="61"/>
      <c r="B50" s="61"/>
      <c r="C50" s="80"/>
      <c r="D50" s="51"/>
      <c r="E50" s="83"/>
      <c r="F50" s="61"/>
      <c r="G50" s="61"/>
      <c r="H50" s="76"/>
      <c r="I50" s="76"/>
      <c r="J50" s="63"/>
      <c r="K50" s="49"/>
      <c r="L50" s="63"/>
      <c r="M50" s="63" t="s">
        <v>30</v>
      </c>
      <c r="N50" s="63" t="s">
        <v>31</v>
      </c>
      <c r="O50" s="63" t="str">
        <f t="shared" si="7"/>
        <v>click</v>
      </c>
      <c r="P50" s="63" t="str">
        <f t="shared" si="8"/>
        <v>();</v>
      </c>
      <c r="Q50" s="63" t="str">
        <f t="shared" si="9"/>
        <v/>
      </c>
      <c r="R50" s="63" t="str">
        <f t="shared" si="10"/>
        <v/>
      </c>
      <c r="S50" s="63" t="str">
        <f t="shared" si="11"/>
        <v/>
      </c>
      <c r="T50" s="63"/>
      <c r="U50" s="63"/>
      <c r="V50" s="63"/>
      <c r="W50" s="63"/>
      <c r="X50" s="63"/>
      <c r="Y50" s="63"/>
      <c r="Z50" s="63"/>
      <c r="AA50" s="63"/>
      <c r="AB50" s="63"/>
      <c r="AC50" s="63"/>
      <c r="AD50" s="63"/>
      <c r="AE50" s="63"/>
      <c r="AF50" s="63"/>
      <c r="AG50" s="63"/>
      <c r="AH50" s="63"/>
      <c r="AI50" s="63"/>
      <c r="AJ50" s="63"/>
      <c r="AK50" s="63"/>
      <c r="AL50" s="63"/>
      <c r="AM50" s="63"/>
      <c r="AN50" s="63"/>
      <c r="AO50" s="63"/>
      <c r="AP50" s="63"/>
      <c r="AQ50" s="63"/>
      <c r="AR50" s="63"/>
      <c r="AS50" s="63"/>
      <c r="AT50" s="63"/>
      <c r="AU50" s="63"/>
      <c r="AV50" s="63"/>
      <c r="AW50" s="63"/>
      <c r="AX50" s="63"/>
      <c r="AY50" s="63"/>
      <c r="AZ50" s="63"/>
      <c r="BA50" s="63"/>
      <c r="BB50" s="63"/>
      <c r="BC50" s="63"/>
      <c r="BD50" s="63"/>
      <c r="BE50" s="63"/>
      <c r="BF50" s="63"/>
      <c r="BG50" s="63"/>
      <c r="BH50" s="63"/>
      <c r="BI50" s="63"/>
      <c r="BJ50" s="63"/>
      <c r="BK50" s="63"/>
      <c r="BL50" s="63"/>
      <c r="BM50" s="63"/>
      <c r="BN50" s="63"/>
      <c r="BO50" s="63"/>
      <c r="BP50" s="63"/>
      <c r="BQ50" s="63"/>
      <c r="BR50" s="63"/>
      <c r="BS50" s="63"/>
      <c r="CZ50" s="59"/>
      <c r="DA50" s="59"/>
      <c r="DB50" s="59"/>
      <c r="DC50" s="59"/>
      <c r="DD50" s="59"/>
      <c r="DE50" s="59"/>
      <c r="DF50" s="59"/>
      <c r="DG50" s="59"/>
      <c r="DH50" s="59"/>
      <c r="DI50" s="59"/>
      <c r="DJ50" s="59"/>
      <c r="DK50" s="59"/>
      <c r="DL50" s="59"/>
    </row>
    <row r="51" spans="1:116" s="53" customFormat="1" ht="28.15" hidden="1" customHeight="1">
      <c r="A51" s="61"/>
      <c r="B51" s="61"/>
      <c r="C51" s="80"/>
      <c r="D51" s="51"/>
      <c r="E51" s="83"/>
      <c r="F51" s="61"/>
      <c r="G51" s="61"/>
      <c r="H51" s="76"/>
      <c r="I51" s="76"/>
      <c r="J51" s="63"/>
      <c r="K51" s="49"/>
      <c r="L51" s="63"/>
      <c r="M51" s="63" t="s">
        <v>30</v>
      </c>
      <c r="N51" s="63" t="s">
        <v>31</v>
      </c>
      <c r="O51" s="63" t="str">
        <f t="shared" si="7"/>
        <v>click</v>
      </c>
      <c r="P51" s="63" t="str">
        <f t="shared" si="8"/>
        <v>();</v>
      </c>
      <c r="Q51" s="63" t="str">
        <f t="shared" si="9"/>
        <v/>
      </c>
      <c r="R51" s="63" t="str">
        <f t="shared" si="10"/>
        <v/>
      </c>
      <c r="S51" s="63" t="str">
        <f t="shared" si="11"/>
        <v/>
      </c>
      <c r="T51" s="63"/>
      <c r="U51" s="63"/>
      <c r="V51" s="63"/>
      <c r="W51" s="63"/>
      <c r="X51" s="63"/>
      <c r="Y51" s="63"/>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c r="BC51" s="63"/>
      <c r="BD51" s="63"/>
      <c r="BE51" s="63"/>
      <c r="BF51" s="63"/>
      <c r="BG51" s="63"/>
      <c r="BH51" s="63"/>
      <c r="BI51" s="63"/>
      <c r="BJ51" s="63"/>
      <c r="BK51" s="63"/>
      <c r="BL51" s="63"/>
      <c r="BM51" s="63"/>
      <c r="BN51" s="63"/>
      <c r="BO51" s="63"/>
      <c r="BP51" s="63"/>
      <c r="BQ51" s="63"/>
      <c r="BR51" s="63"/>
      <c r="BS51" s="63"/>
      <c r="CZ51" s="59"/>
      <c r="DA51" s="59"/>
      <c r="DB51" s="59"/>
      <c r="DC51" s="59"/>
      <c r="DD51" s="59"/>
      <c r="DE51" s="59"/>
      <c r="DF51" s="59"/>
      <c r="DG51" s="59"/>
      <c r="DH51" s="59"/>
      <c r="DI51" s="59"/>
      <c r="DJ51" s="59"/>
      <c r="DK51" s="59"/>
      <c r="DL51" s="59"/>
    </row>
    <row r="52" spans="1:116" s="53" customFormat="1" ht="28.15" hidden="1" customHeight="1">
      <c r="A52" s="61"/>
      <c r="B52" s="61"/>
      <c r="C52" s="80"/>
      <c r="D52" s="51"/>
      <c r="E52" s="83"/>
      <c r="F52" s="61"/>
      <c r="G52" s="61"/>
      <c r="H52" s="76"/>
      <c r="I52" s="76"/>
      <c r="J52" s="63"/>
      <c r="K52" s="49"/>
      <c r="L52" s="63"/>
      <c r="M52" s="63" t="s">
        <v>30</v>
      </c>
      <c r="N52" s="63" t="s">
        <v>31</v>
      </c>
      <c r="O52" s="63" t="str">
        <f t="shared" si="7"/>
        <v>click</v>
      </c>
      <c r="P52" s="63" t="str">
        <f t="shared" si="8"/>
        <v>();</v>
      </c>
      <c r="Q52" s="63" t="str">
        <f t="shared" si="9"/>
        <v/>
      </c>
      <c r="R52" s="63" t="str">
        <f t="shared" si="10"/>
        <v/>
      </c>
      <c r="S52" s="63" t="str">
        <f t="shared" si="11"/>
        <v/>
      </c>
      <c r="T52" s="63"/>
      <c r="U52" s="63"/>
      <c r="V52" s="63"/>
      <c r="W52" s="63"/>
      <c r="X52" s="63"/>
      <c r="Y52" s="63"/>
      <c r="Z52" s="63"/>
      <c r="AA52" s="63"/>
      <c r="AB52" s="63"/>
      <c r="AC52" s="63"/>
      <c r="AD52" s="63"/>
      <c r="AE52" s="63"/>
      <c r="AF52" s="63"/>
      <c r="AG52" s="63"/>
      <c r="AH52" s="63"/>
      <c r="AI52" s="63"/>
      <c r="AJ52" s="63"/>
      <c r="AK52" s="63"/>
      <c r="AL52" s="63"/>
      <c r="AM52" s="63"/>
      <c r="AN52" s="63"/>
      <c r="AO52" s="63"/>
      <c r="AP52" s="63"/>
      <c r="AQ52" s="63"/>
      <c r="AR52" s="63"/>
      <c r="AS52" s="63"/>
      <c r="AT52" s="63"/>
      <c r="AU52" s="63"/>
      <c r="AV52" s="63"/>
      <c r="AW52" s="63"/>
      <c r="AX52" s="63"/>
      <c r="AY52" s="63"/>
      <c r="AZ52" s="63"/>
      <c r="BA52" s="63"/>
      <c r="BB52" s="63"/>
      <c r="BC52" s="63"/>
      <c r="BD52" s="63"/>
      <c r="BE52" s="63"/>
      <c r="BF52" s="63"/>
      <c r="BG52" s="63"/>
      <c r="BH52" s="63"/>
      <c r="BI52" s="63"/>
      <c r="BJ52" s="63"/>
      <c r="BK52" s="63"/>
      <c r="BL52" s="63"/>
      <c r="BM52" s="63"/>
      <c r="BN52" s="63"/>
      <c r="BO52" s="63"/>
      <c r="BP52" s="63"/>
      <c r="BQ52" s="63"/>
      <c r="BR52" s="63"/>
      <c r="BS52" s="63"/>
      <c r="CZ52" s="59"/>
      <c r="DA52" s="59"/>
      <c r="DB52" s="59"/>
      <c r="DC52" s="59"/>
      <c r="DD52" s="59"/>
      <c r="DE52" s="59"/>
      <c r="DF52" s="59"/>
      <c r="DG52" s="59"/>
      <c r="DH52" s="59"/>
      <c r="DI52" s="59"/>
      <c r="DJ52" s="59"/>
      <c r="DK52" s="59"/>
      <c r="DL52" s="59"/>
    </row>
    <row r="53" spans="1:116" s="53" customFormat="1" ht="28.15" hidden="1" customHeight="1">
      <c r="A53" s="61"/>
      <c r="B53" s="61"/>
      <c r="C53" s="80"/>
      <c r="D53" s="51"/>
      <c r="E53" s="83"/>
      <c r="F53" s="61"/>
      <c r="G53" s="61"/>
      <c r="H53" s="76"/>
      <c r="I53" s="76"/>
      <c r="J53" s="63"/>
      <c r="K53" s="49"/>
      <c r="L53" s="63"/>
      <c r="M53" s="63" t="s">
        <v>30</v>
      </c>
      <c r="N53" s="63" t="s">
        <v>31</v>
      </c>
      <c r="O53" s="63" t="str">
        <f t="shared" si="7"/>
        <v>click</v>
      </c>
      <c r="P53" s="63" t="str">
        <f t="shared" si="8"/>
        <v>();</v>
      </c>
      <c r="Q53" s="63" t="str">
        <f t="shared" si="9"/>
        <v/>
      </c>
      <c r="R53" s="63" t="str">
        <f t="shared" si="10"/>
        <v/>
      </c>
      <c r="S53" s="63" t="str">
        <f t="shared" si="11"/>
        <v/>
      </c>
      <c r="T53" s="63"/>
      <c r="U53" s="63"/>
      <c r="V53" s="63"/>
      <c r="W53" s="63"/>
      <c r="X53" s="63"/>
      <c r="Y53" s="63"/>
      <c r="Z53" s="63"/>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c r="BC53" s="63"/>
      <c r="BD53" s="63"/>
      <c r="BE53" s="63"/>
      <c r="BF53" s="63"/>
      <c r="BG53" s="63"/>
      <c r="BH53" s="63"/>
      <c r="BI53" s="63"/>
      <c r="BJ53" s="63"/>
      <c r="BK53" s="63"/>
      <c r="BL53" s="63"/>
      <c r="BM53" s="63"/>
      <c r="BN53" s="63"/>
      <c r="BO53" s="63"/>
      <c r="BP53" s="63"/>
      <c r="BQ53" s="63"/>
      <c r="BR53" s="63"/>
      <c r="BS53" s="63"/>
      <c r="CZ53" s="59"/>
      <c r="DA53" s="59"/>
      <c r="DB53" s="59"/>
      <c r="DC53" s="59"/>
      <c r="DD53" s="59"/>
      <c r="DE53" s="59"/>
      <c r="DF53" s="59"/>
      <c r="DG53" s="59"/>
      <c r="DH53" s="59"/>
      <c r="DI53" s="59"/>
      <c r="DJ53" s="59"/>
      <c r="DK53" s="59"/>
      <c r="DL53" s="59"/>
    </row>
    <row r="54" spans="1:116" s="53" customFormat="1" ht="28.15" hidden="1" customHeight="1">
      <c r="A54" s="61"/>
      <c r="B54" s="61"/>
      <c r="C54" s="80"/>
      <c r="D54" s="51"/>
      <c r="E54" s="83"/>
      <c r="F54" s="61"/>
      <c r="G54" s="61"/>
      <c r="H54" s="76"/>
      <c r="I54" s="76"/>
      <c r="J54" s="63"/>
      <c r="K54" s="49"/>
      <c r="L54" s="63"/>
      <c r="M54" s="63" t="s">
        <v>30</v>
      </c>
      <c r="N54" s="63" t="s">
        <v>31</v>
      </c>
      <c r="O54" s="63" t="str">
        <f t="shared" si="7"/>
        <v>click</v>
      </c>
      <c r="P54" s="63" t="str">
        <f t="shared" si="8"/>
        <v>();</v>
      </c>
      <c r="Q54" s="63" t="str">
        <f t="shared" si="9"/>
        <v/>
      </c>
      <c r="R54" s="63" t="str">
        <f t="shared" si="10"/>
        <v/>
      </c>
      <c r="S54" s="63" t="str">
        <f t="shared" si="11"/>
        <v/>
      </c>
      <c r="T54" s="63"/>
      <c r="U54" s="63"/>
      <c r="V54" s="63"/>
      <c r="W54" s="63"/>
      <c r="X54" s="63"/>
      <c r="Y54" s="63"/>
      <c r="Z54" s="63"/>
      <c r="AA54" s="63"/>
      <c r="AB54" s="63"/>
      <c r="AC54" s="63"/>
      <c r="AD54" s="63"/>
      <c r="AE54" s="63"/>
      <c r="AF54" s="63"/>
      <c r="AG54" s="63"/>
      <c r="AH54" s="63"/>
      <c r="AI54" s="63"/>
      <c r="AJ54" s="63"/>
      <c r="AK54" s="63"/>
      <c r="AL54" s="63"/>
      <c r="AM54" s="63"/>
      <c r="AN54" s="63"/>
      <c r="AO54" s="63"/>
      <c r="AP54" s="63"/>
      <c r="AQ54" s="63"/>
      <c r="AR54" s="63"/>
      <c r="AS54" s="63"/>
      <c r="AT54" s="63"/>
      <c r="AU54" s="63"/>
      <c r="AV54" s="63"/>
      <c r="AW54" s="63"/>
      <c r="AX54" s="63"/>
      <c r="AY54" s="63"/>
      <c r="AZ54" s="63"/>
      <c r="BA54" s="63"/>
      <c r="BB54" s="63"/>
      <c r="BC54" s="63"/>
      <c r="BD54" s="63"/>
      <c r="BE54" s="63"/>
      <c r="BF54" s="63"/>
      <c r="BG54" s="63"/>
      <c r="BH54" s="63"/>
      <c r="BI54" s="63"/>
      <c r="BJ54" s="63"/>
      <c r="BK54" s="63"/>
      <c r="BL54" s="63"/>
      <c r="BM54" s="63"/>
      <c r="BN54" s="63"/>
      <c r="BO54" s="63"/>
      <c r="BP54" s="63"/>
      <c r="BQ54" s="63"/>
      <c r="BR54" s="63"/>
      <c r="BS54" s="63"/>
      <c r="CZ54" s="59"/>
      <c r="DA54" s="59"/>
      <c r="DB54" s="59"/>
      <c r="DC54" s="59"/>
      <c r="DD54" s="59"/>
      <c r="DE54" s="59"/>
      <c r="DF54" s="59"/>
      <c r="DG54" s="59"/>
      <c r="DH54" s="59"/>
      <c r="DI54" s="59"/>
      <c r="DJ54" s="59"/>
      <c r="DK54" s="59"/>
      <c r="DL54" s="59"/>
    </row>
    <row r="55" spans="1:116" s="53" customFormat="1" ht="28.15" hidden="1" customHeight="1">
      <c r="A55" s="61"/>
      <c r="B55" s="61"/>
      <c r="C55" s="80"/>
      <c r="D55" s="51"/>
      <c r="E55" s="83"/>
      <c r="F55" s="61"/>
      <c r="G55" s="61"/>
      <c r="H55" s="76"/>
      <c r="I55" s="76"/>
      <c r="J55" s="63"/>
      <c r="K55" s="49"/>
      <c r="L55" s="63"/>
      <c r="M55" s="63" t="s">
        <v>30</v>
      </c>
      <c r="N55" s="63" t="s">
        <v>31</v>
      </c>
      <c r="O55" s="63" t="str">
        <f t="shared" si="7"/>
        <v>click</v>
      </c>
      <c r="P55" s="63" t="str">
        <f t="shared" si="8"/>
        <v>();</v>
      </c>
      <c r="Q55" s="63" t="str">
        <f t="shared" si="9"/>
        <v/>
      </c>
      <c r="R55" s="63" t="str">
        <f t="shared" si="10"/>
        <v/>
      </c>
      <c r="S55" s="63" t="str">
        <f t="shared" si="11"/>
        <v/>
      </c>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c r="BJ55" s="63"/>
      <c r="BK55" s="63"/>
      <c r="BL55" s="63"/>
      <c r="BM55" s="63"/>
      <c r="BN55" s="63"/>
      <c r="BO55" s="63"/>
      <c r="BP55" s="63"/>
      <c r="BQ55" s="63"/>
      <c r="BR55" s="63"/>
      <c r="BS55" s="63"/>
      <c r="CZ55" s="59"/>
      <c r="DA55" s="59"/>
      <c r="DB55" s="59"/>
      <c r="DC55" s="59"/>
      <c r="DD55" s="59"/>
      <c r="DE55" s="59"/>
      <c r="DF55" s="59"/>
      <c r="DG55" s="59"/>
      <c r="DH55" s="59"/>
      <c r="DI55" s="59"/>
      <c r="DJ55" s="59"/>
      <c r="DK55" s="59"/>
      <c r="DL55" s="59"/>
    </row>
    <row r="56" spans="1:116" s="53" customFormat="1" ht="28.15" hidden="1" customHeight="1">
      <c r="A56" s="61"/>
      <c r="B56" s="61"/>
      <c r="C56" s="80"/>
      <c r="D56" s="51"/>
      <c r="E56" s="83"/>
      <c r="F56" s="61"/>
      <c r="G56" s="61"/>
      <c r="H56" s="76"/>
      <c r="I56" s="76"/>
      <c r="J56" s="63"/>
      <c r="K56" s="49"/>
      <c r="L56" s="63"/>
      <c r="M56" s="63" t="s">
        <v>30</v>
      </c>
      <c r="N56" s="63" t="s">
        <v>31</v>
      </c>
      <c r="O56" s="63" t="str">
        <f t="shared" si="7"/>
        <v>click</v>
      </c>
      <c r="P56" s="63" t="str">
        <f t="shared" si="8"/>
        <v>();</v>
      </c>
      <c r="Q56" s="63" t="str">
        <f t="shared" si="9"/>
        <v/>
      </c>
      <c r="R56" s="63" t="str">
        <f t="shared" si="10"/>
        <v/>
      </c>
      <c r="S56" s="63" t="str">
        <f t="shared" si="11"/>
        <v/>
      </c>
      <c r="T56" s="63"/>
      <c r="U56" s="63"/>
      <c r="V56" s="63"/>
      <c r="W56" s="63"/>
      <c r="X56" s="63"/>
      <c r="Y56" s="63"/>
      <c r="Z56" s="63"/>
      <c r="AA56" s="63"/>
      <c r="AB56" s="63"/>
      <c r="AC56" s="63"/>
      <c r="AD56" s="63"/>
      <c r="AE56" s="63"/>
      <c r="AF56" s="63"/>
      <c r="AG56" s="63"/>
      <c r="AH56" s="63"/>
      <c r="AI56" s="63"/>
      <c r="AJ56" s="63"/>
      <c r="AK56" s="63"/>
      <c r="AL56" s="63"/>
      <c r="AM56" s="63"/>
      <c r="AN56" s="63"/>
      <c r="AO56" s="63"/>
      <c r="AP56" s="63"/>
      <c r="AQ56" s="63"/>
      <c r="AR56" s="63"/>
      <c r="AS56" s="63"/>
      <c r="AT56" s="63"/>
      <c r="AU56" s="63"/>
      <c r="AV56" s="63"/>
      <c r="AW56" s="63"/>
      <c r="AX56" s="63"/>
      <c r="AY56" s="63"/>
      <c r="AZ56" s="63"/>
      <c r="BA56" s="63"/>
      <c r="BB56" s="63"/>
      <c r="BC56" s="63"/>
      <c r="BD56" s="63"/>
      <c r="BE56" s="63"/>
      <c r="BF56" s="63"/>
      <c r="BG56" s="63"/>
      <c r="BH56" s="63"/>
      <c r="BI56" s="63"/>
      <c r="BJ56" s="63"/>
      <c r="BK56" s="63"/>
      <c r="BL56" s="63"/>
      <c r="BM56" s="63"/>
      <c r="BN56" s="63"/>
      <c r="BO56" s="63"/>
      <c r="BP56" s="63"/>
      <c r="BQ56" s="63"/>
      <c r="BR56" s="63"/>
      <c r="BS56" s="63"/>
      <c r="CZ56" s="59"/>
      <c r="DA56" s="59"/>
      <c r="DB56" s="59"/>
      <c r="DC56" s="59"/>
      <c r="DD56" s="59"/>
      <c r="DE56" s="59"/>
      <c r="DF56" s="59"/>
      <c r="DG56" s="59"/>
      <c r="DH56" s="59"/>
      <c r="DI56" s="59"/>
      <c r="DJ56" s="59"/>
      <c r="DK56" s="59"/>
      <c r="DL56" s="59"/>
    </row>
    <row r="57" spans="1:116" s="53" customFormat="1" ht="28.15" hidden="1" customHeight="1">
      <c r="A57" s="61"/>
      <c r="B57" s="61"/>
      <c r="C57" s="80"/>
      <c r="D57" s="51"/>
      <c r="E57" s="83"/>
      <c r="F57" s="61"/>
      <c r="G57" s="61"/>
      <c r="H57" s="76"/>
      <c r="I57" s="76"/>
      <c r="J57" s="63"/>
      <c r="K57" s="49"/>
      <c r="L57" s="63"/>
      <c r="M57" s="63" t="s">
        <v>30</v>
      </c>
      <c r="N57" s="63" t="s">
        <v>31</v>
      </c>
      <c r="O57" s="63" t="str">
        <f t="shared" si="7"/>
        <v>click</v>
      </c>
      <c r="P57" s="63" t="str">
        <f t="shared" si="8"/>
        <v>();</v>
      </c>
      <c r="Q57" s="63" t="str">
        <f t="shared" si="9"/>
        <v/>
      </c>
      <c r="R57" s="63" t="str">
        <f t="shared" si="10"/>
        <v/>
      </c>
      <c r="S57" s="63" t="str">
        <f t="shared" si="11"/>
        <v/>
      </c>
      <c r="T57" s="63"/>
      <c r="U57" s="63"/>
      <c r="V57" s="63"/>
      <c r="W57" s="63"/>
      <c r="X57" s="63"/>
      <c r="Y57" s="63"/>
      <c r="Z57" s="63"/>
      <c r="AA57" s="63"/>
      <c r="AB57" s="63"/>
      <c r="AC57" s="63"/>
      <c r="AD57" s="63"/>
      <c r="AE57" s="63"/>
      <c r="AF57" s="63"/>
      <c r="AG57" s="63"/>
      <c r="AH57" s="63"/>
      <c r="AI57" s="63"/>
      <c r="AJ57" s="63"/>
      <c r="AK57" s="63"/>
      <c r="AL57" s="63"/>
      <c r="AM57" s="63"/>
      <c r="AN57" s="63"/>
      <c r="AO57" s="63"/>
      <c r="AP57" s="63"/>
      <c r="AQ57" s="63"/>
      <c r="AR57" s="63"/>
      <c r="AS57" s="63"/>
      <c r="AT57" s="63"/>
      <c r="AU57" s="63"/>
      <c r="AV57" s="63"/>
      <c r="AW57" s="63"/>
      <c r="AX57" s="63"/>
      <c r="AY57" s="63"/>
      <c r="AZ57" s="63"/>
      <c r="BA57" s="63"/>
      <c r="BB57" s="63"/>
      <c r="BC57" s="63"/>
      <c r="BD57" s="63"/>
      <c r="BE57" s="63"/>
      <c r="BF57" s="63"/>
      <c r="BG57" s="63"/>
      <c r="BH57" s="63"/>
      <c r="BI57" s="63"/>
      <c r="BJ57" s="63"/>
      <c r="BK57" s="63"/>
      <c r="BL57" s="63"/>
      <c r="BM57" s="63"/>
      <c r="BN57" s="63"/>
      <c r="BO57" s="63"/>
      <c r="BP57" s="63"/>
      <c r="BQ57" s="63"/>
      <c r="BR57" s="63"/>
      <c r="BS57" s="63"/>
      <c r="CZ57" s="59"/>
      <c r="DA57" s="59"/>
      <c r="DB57" s="59"/>
      <c r="DC57" s="59"/>
      <c r="DD57" s="59"/>
      <c r="DE57" s="59"/>
      <c r="DF57" s="59"/>
      <c r="DG57" s="59"/>
      <c r="DH57" s="59"/>
      <c r="DI57" s="59"/>
      <c r="DJ57" s="59"/>
      <c r="DK57" s="59"/>
      <c r="DL57" s="59"/>
    </row>
    <row r="58" spans="1:116" s="53" customFormat="1" ht="28.15" hidden="1" customHeight="1">
      <c r="A58" s="61"/>
      <c r="B58" s="61"/>
      <c r="C58" s="80"/>
      <c r="D58" s="51"/>
      <c r="E58" s="83"/>
      <c r="F58" s="61"/>
      <c r="G58" s="61"/>
      <c r="H58" s="76"/>
      <c r="I58" s="76"/>
      <c r="J58" s="63"/>
      <c r="K58" s="49"/>
      <c r="L58" s="63"/>
      <c r="M58" s="63" t="s">
        <v>30</v>
      </c>
      <c r="N58" s="63" t="s">
        <v>31</v>
      </c>
      <c r="O58" s="63" t="str">
        <f t="shared" si="7"/>
        <v>click</v>
      </c>
      <c r="P58" s="63" t="str">
        <f t="shared" si="8"/>
        <v>();</v>
      </c>
      <c r="Q58" s="63" t="str">
        <f t="shared" si="9"/>
        <v/>
      </c>
      <c r="R58" s="63" t="str">
        <f t="shared" si="10"/>
        <v/>
      </c>
      <c r="S58" s="63" t="str">
        <f t="shared" si="11"/>
        <v/>
      </c>
      <c r="T58" s="63"/>
      <c r="U58" s="63"/>
      <c r="V58" s="63"/>
      <c r="W58" s="63"/>
      <c r="X58" s="63"/>
      <c r="Y58" s="63"/>
      <c r="Z58" s="63"/>
      <c r="AA58" s="63"/>
      <c r="AB58" s="63"/>
      <c r="AC58" s="63"/>
      <c r="AD58" s="63"/>
      <c r="AE58" s="63"/>
      <c r="AF58" s="63"/>
      <c r="AG58" s="63"/>
      <c r="AH58" s="63"/>
      <c r="AI58" s="63"/>
      <c r="AJ58" s="63"/>
      <c r="AK58" s="63"/>
      <c r="AL58" s="63"/>
      <c r="AM58" s="63"/>
      <c r="AN58" s="63"/>
      <c r="AO58" s="63"/>
      <c r="AP58" s="63"/>
      <c r="AQ58" s="63"/>
      <c r="AR58" s="63"/>
      <c r="AS58" s="63"/>
      <c r="AT58" s="63"/>
      <c r="AU58" s="63"/>
      <c r="AV58" s="63"/>
      <c r="AW58" s="63"/>
      <c r="AX58" s="63"/>
      <c r="AY58" s="63"/>
      <c r="AZ58" s="63"/>
      <c r="BA58" s="63"/>
      <c r="BB58" s="63"/>
      <c r="BC58" s="63"/>
      <c r="BD58" s="63"/>
      <c r="BE58" s="63"/>
      <c r="BF58" s="63"/>
      <c r="BG58" s="63"/>
      <c r="BH58" s="63"/>
      <c r="BI58" s="63"/>
      <c r="BJ58" s="63"/>
      <c r="BK58" s="63"/>
      <c r="BL58" s="63"/>
      <c r="BM58" s="63"/>
      <c r="BN58" s="63"/>
      <c r="BO58" s="63"/>
      <c r="BP58" s="63"/>
      <c r="BQ58" s="63"/>
      <c r="BR58" s="63"/>
      <c r="BS58" s="63"/>
      <c r="CZ58" s="59"/>
      <c r="DA58" s="59"/>
      <c r="DB58" s="59"/>
      <c r="DC58" s="59"/>
      <c r="DD58" s="59"/>
      <c r="DE58" s="59"/>
      <c r="DF58" s="59"/>
      <c r="DG58" s="59"/>
      <c r="DH58" s="59"/>
      <c r="DI58" s="59"/>
      <c r="DJ58" s="59"/>
      <c r="DK58" s="59"/>
      <c r="DL58" s="59"/>
    </row>
    <row r="59" spans="1:116" s="53" customFormat="1" ht="28.15" hidden="1" customHeight="1">
      <c r="A59" s="61"/>
      <c r="B59" s="61"/>
      <c r="C59" s="80"/>
      <c r="D59" s="51"/>
      <c r="E59" s="83"/>
      <c r="F59" s="61"/>
      <c r="G59" s="61"/>
      <c r="H59" s="76"/>
      <c r="I59" s="76"/>
      <c r="J59" s="63"/>
      <c r="K59" s="49"/>
      <c r="L59" s="63"/>
      <c r="M59" s="63" t="s">
        <v>30</v>
      </c>
      <c r="N59" s="63" t="s">
        <v>31</v>
      </c>
      <c r="O59" s="63" t="str">
        <f t="shared" si="7"/>
        <v>click</v>
      </c>
      <c r="P59" s="63" t="str">
        <f t="shared" si="8"/>
        <v>();</v>
      </c>
      <c r="Q59" s="63" t="str">
        <f t="shared" si="9"/>
        <v/>
      </c>
      <c r="R59" s="63" t="str">
        <f t="shared" si="10"/>
        <v/>
      </c>
      <c r="S59" s="63" t="str">
        <f t="shared" si="11"/>
        <v/>
      </c>
      <c r="T59" s="63"/>
      <c r="U59" s="63"/>
      <c r="V59" s="63"/>
      <c r="W59" s="63"/>
      <c r="X59" s="63"/>
      <c r="Y59" s="63"/>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c r="BC59" s="63"/>
      <c r="BD59" s="63"/>
      <c r="BE59" s="63"/>
      <c r="BF59" s="63"/>
      <c r="BG59" s="63"/>
      <c r="BH59" s="63"/>
      <c r="BI59" s="63"/>
      <c r="BJ59" s="63"/>
      <c r="BK59" s="63"/>
      <c r="BL59" s="63"/>
      <c r="BM59" s="63"/>
      <c r="BN59" s="63"/>
      <c r="BO59" s="63"/>
      <c r="BP59" s="63"/>
      <c r="BQ59" s="63"/>
      <c r="BR59" s="63"/>
      <c r="BS59" s="63"/>
      <c r="CZ59" s="59"/>
      <c r="DA59" s="59"/>
      <c r="DB59" s="59"/>
      <c r="DC59" s="59"/>
      <c r="DD59" s="59"/>
      <c r="DE59" s="59"/>
      <c r="DF59" s="59"/>
      <c r="DG59" s="59"/>
      <c r="DH59" s="59"/>
      <c r="DI59" s="59"/>
      <c r="DJ59" s="59"/>
      <c r="DK59" s="59"/>
      <c r="DL59" s="59"/>
    </row>
    <row r="60" spans="1:116" s="53" customFormat="1" ht="28.15" hidden="1" customHeight="1">
      <c r="A60" s="61"/>
      <c r="B60" s="61"/>
      <c r="C60" s="80"/>
      <c r="D60" s="51"/>
      <c r="E60" s="83"/>
      <c r="F60" s="61"/>
      <c r="G60" s="61"/>
      <c r="H60" s="76"/>
      <c r="I60" s="76"/>
      <c r="J60" s="63"/>
      <c r="K60" s="49"/>
      <c r="L60" s="63"/>
      <c r="M60" s="63" t="s">
        <v>30</v>
      </c>
      <c r="N60" s="63" t="s">
        <v>31</v>
      </c>
      <c r="O60" s="63" t="str">
        <f t="shared" si="7"/>
        <v>click</v>
      </c>
      <c r="P60" s="63" t="str">
        <f t="shared" si="8"/>
        <v>();</v>
      </c>
      <c r="Q60" s="63" t="str">
        <f t="shared" si="9"/>
        <v/>
      </c>
      <c r="R60" s="63" t="str">
        <f t="shared" si="10"/>
        <v/>
      </c>
      <c r="S60" s="63" t="str">
        <f t="shared" si="11"/>
        <v/>
      </c>
      <c r="T60" s="63"/>
      <c r="U60" s="63"/>
      <c r="V60" s="63"/>
      <c r="W60" s="63"/>
      <c r="X60" s="63"/>
      <c r="Y60" s="63"/>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c r="BC60" s="63"/>
      <c r="BD60" s="63"/>
      <c r="BE60" s="63"/>
      <c r="BF60" s="63"/>
      <c r="BG60" s="63"/>
      <c r="BH60" s="63"/>
      <c r="BI60" s="63"/>
      <c r="BJ60" s="63"/>
      <c r="BK60" s="63"/>
      <c r="BL60" s="63"/>
      <c r="BM60" s="63"/>
      <c r="BN60" s="63"/>
      <c r="BO60" s="63"/>
      <c r="BP60" s="63"/>
      <c r="BQ60" s="63"/>
      <c r="BR60" s="63"/>
      <c r="BS60" s="63"/>
      <c r="CZ60" s="59"/>
      <c r="DA60" s="59"/>
      <c r="DB60" s="59"/>
      <c r="DC60" s="59"/>
      <c r="DD60" s="59"/>
      <c r="DE60" s="59"/>
      <c r="DF60" s="59"/>
      <c r="DG60" s="59"/>
      <c r="DH60" s="59"/>
      <c r="DI60" s="59"/>
      <c r="DJ60" s="59"/>
      <c r="DK60" s="59"/>
      <c r="DL60" s="59"/>
    </row>
    <row r="61" spans="1:116" s="53" customFormat="1" ht="28.15" hidden="1" customHeight="1">
      <c r="A61" s="61"/>
      <c r="B61" s="61"/>
      <c r="C61" s="80"/>
      <c r="D61" s="51"/>
      <c r="E61" s="83"/>
      <c r="F61" s="61"/>
      <c r="G61" s="61"/>
      <c r="H61" s="76"/>
      <c r="I61" s="76"/>
      <c r="J61" s="63"/>
      <c r="K61" s="49"/>
      <c r="L61" s="63"/>
      <c r="M61" s="63" t="s">
        <v>30</v>
      </c>
      <c r="N61" s="63" t="s">
        <v>31</v>
      </c>
      <c r="O61" s="63" t="str">
        <f t="shared" si="7"/>
        <v>click</v>
      </c>
      <c r="P61" s="63" t="str">
        <f t="shared" si="8"/>
        <v>();</v>
      </c>
      <c r="Q61" s="63" t="str">
        <f t="shared" si="9"/>
        <v/>
      </c>
      <c r="R61" s="63" t="str">
        <f t="shared" si="10"/>
        <v/>
      </c>
      <c r="S61" s="63" t="str">
        <f t="shared" si="11"/>
        <v/>
      </c>
      <c r="T61" s="63"/>
      <c r="U61" s="63"/>
      <c r="V61" s="63"/>
      <c r="W61" s="63"/>
      <c r="X61" s="63"/>
      <c r="Y61" s="63"/>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c r="BC61" s="63"/>
      <c r="BD61" s="63"/>
      <c r="BE61" s="63"/>
      <c r="BF61" s="63"/>
      <c r="BG61" s="63"/>
      <c r="BH61" s="63"/>
      <c r="BI61" s="63"/>
      <c r="BJ61" s="63"/>
      <c r="BK61" s="63"/>
      <c r="BL61" s="63"/>
      <c r="BM61" s="63"/>
      <c r="BN61" s="63"/>
      <c r="BO61" s="63"/>
      <c r="BP61" s="63"/>
      <c r="BQ61" s="63"/>
      <c r="BR61" s="63"/>
      <c r="BS61" s="63"/>
      <c r="CZ61" s="59"/>
      <c r="DA61" s="59"/>
      <c r="DB61" s="59"/>
      <c r="DC61" s="59"/>
      <c r="DD61" s="59"/>
      <c r="DE61" s="59"/>
      <c r="DF61" s="59"/>
      <c r="DG61" s="59"/>
      <c r="DH61" s="59"/>
      <c r="DI61" s="59"/>
      <c r="DJ61" s="59"/>
      <c r="DK61" s="59"/>
      <c r="DL61" s="59"/>
    </row>
    <row r="62" spans="1:116" s="53" customFormat="1" ht="28.15" hidden="1" customHeight="1">
      <c r="A62" s="61"/>
      <c r="B62" s="61"/>
      <c r="C62" s="80"/>
      <c r="D62" s="51"/>
      <c r="E62" s="83"/>
      <c r="F62" s="61"/>
      <c r="G62" s="61"/>
      <c r="H62" s="76"/>
      <c r="I62" s="76"/>
      <c r="J62" s="63"/>
      <c r="K62" s="49"/>
      <c r="L62" s="63"/>
      <c r="M62" s="63" t="s">
        <v>30</v>
      </c>
      <c r="N62" s="63" t="s">
        <v>31</v>
      </c>
      <c r="O62" s="63" t="str">
        <f t="shared" si="7"/>
        <v>click</v>
      </c>
      <c r="P62" s="63" t="str">
        <f t="shared" si="8"/>
        <v>();</v>
      </c>
      <c r="Q62" s="63" t="str">
        <f t="shared" si="9"/>
        <v/>
      </c>
      <c r="R62" s="63" t="str">
        <f t="shared" si="10"/>
        <v/>
      </c>
      <c r="S62" s="63" t="str">
        <f t="shared" si="11"/>
        <v/>
      </c>
      <c r="T62" s="63"/>
      <c r="U62" s="63"/>
      <c r="V62" s="63"/>
      <c r="W62" s="63"/>
      <c r="X62" s="63"/>
      <c r="Y62" s="63"/>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c r="BC62" s="63"/>
      <c r="BD62" s="63"/>
      <c r="BE62" s="63"/>
      <c r="BF62" s="63"/>
      <c r="BG62" s="63"/>
      <c r="BH62" s="63"/>
      <c r="BI62" s="63"/>
      <c r="BJ62" s="63"/>
      <c r="BK62" s="63"/>
      <c r="BL62" s="63"/>
      <c r="BM62" s="63"/>
      <c r="BN62" s="63"/>
      <c r="BO62" s="63"/>
      <c r="BP62" s="63"/>
      <c r="BQ62" s="63"/>
      <c r="BR62" s="63"/>
      <c r="BS62" s="63"/>
      <c r="CZ62" s="59"/>
      <c r="DA62" s="59"/>
      <c r="DB62" s="59"/>
      <c r="DC62" s="59"/>
      <c r="DD62" s="59"/>
      <c r="DE62" s="59"/>
      <c r="DF62" s="59"/>
      <c r="DG62" s="59"/>
      <c r="DH62" s="59"/>
      <c r="DI62" s="59"/>
      <c r="DJ62" s="59"/>
      <c r="DK62" s="59"/>
      <c r="DL62" s="59"/>
    </row>
    <row r="63" spans="1:116" s="53" customFormat="1" ht="28.15" hidden="1" customHeight="1">
      <c r="A63" s="61"/>
      <c r="B63" s="61"/>
      <c r="C63" s="80"/>
      <c r="D63" s="51"/>
      <c r="E63" s="83"/>
      <c r="F63" s="61"/>
      <c r="G63" s="61"/>
      <c r="H63" s="76"/>
      <c r="I63" s="76"/>
      <c r="J63" s="63"/>
      <c r="K63" s="49"/>
      <c r="L63" s="63"/>
      <c r="M63" s="63" t="s">
        <v>30</v>
      </c>
      <c r="N63" s="63" t="s">
        <v>31</v>
      </c>
      <c r="O63" s="63" t="str">
        <f t="shared" si="7"/>
        <v>click</v>
      </c>
      <c r="P63" s="63" t="str">
        <f t="shared" si="8"/>
        <v>();</v>
      </c>
      <c r="Q63" s="63" t="str">
        <f t="shared" si="9"/>
        <v/>
      </c>
      <c r="R63" s="63" t="str">
        <f t="shared" si="10"/>
        <v/>
      </c>
      <c r="S63" s="63" t="str">
        <f t="shared" si="11"/>
        <v/>
      </c>
      <c r="T63" s="63"/>
      <c r="U63" s="63"/>
      <c r="V63" s="63"/>
      <c r="W63" s="63"/>
      <c r="X63" s="63"/>
      <c r="Y63" s="63"/>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c r="BC63" s="63"/>
      <c r="BD63" s="63"/>
      <c r="BE63" s="63"/>
      <c r="BF63" s="63"/>
      <c r="BG63" s="63"/>
      <c r="BH63" s="63"/>
      <c r="BI63" s="63"/>
      <c r="BJ63" s="63"/>
      <c r="BK63" s="63"/>
      <c r="BL63" s="63"/>
      <c r="BM63" s="63"/>
      <c r="BN63" s="63"/>
      <c r="BO63" s="63"/>
      <c r="BP63" s="63"/>
      <c r="BQ63" s="63"/>
      <c r="BR63" s="63"/>
      <c r="BS63" s="63"/>
      <c r="CZ63" s="59"/>
      <c r="DA63" s="59"/>
      <c r="DB63" s="59"/>
      <c r="DC63" s="59"/>
      <c r="DD63" s="59"/>
      <c r="DE63" s="59"/>
      <c r="DF63" s="59"/>
      <c r="DG63" s="59"/>
      <c r="DH63" s="59"/>
      <c r="DI63" s="59"/>
      <c r="DJ63" s="59"/>
      <c r="DK63" s="59"/>
      <c r="DL63" s="59"/>
    </row>
    <row r="64" spans="1:116" s="53" customFormat="1" ht="28.15" hidden="1" customHeight="1">
      <c r="A64" s="61"/>
      <c r="B64" s="61"/>
      <c r="C64" s="80"/>
      <c r="D64" s="51"/>
      <c r="E64" s="83"/>
      <c r="F64" s="61"/>
      <c r="G64" s="61"/>
      <c r="H64" s="76"/>
      <c r="I64" s="76"/>
      <c r="J64" s="63"/>
      <c r="K64" s="49"/>
      <c r="L64" s="63"/>
      <c r="M64" s="63" t="s">
        <v>30</v>
      </c>
      <c r="N64" s="63" t="s">
        <v>31</v>
      </c>
      <c r="O64" s="63" t="str">
        <f t="shared" ref="O64:O74" si="12">IF(D64="input","fill",IF(I64&lt;&gt;"","innerText",IF(J64="Y",$T$110,"click")))</f>
        <v>click</v>
      </c>
      <c r="P64" s="63" t="str">
        <f t="shared" si="8"/>
        <v>();</v>
      </c>
      <c r="Q64" s="63" t="str">
        <f t="shared" si="9"/>
        <v/>
      </c>
      <c r="R64" s="63" t="str">
        <f t="shared" si="10"/>
        <v/>
      </c>
      <c r="S64" s="63" t="str">
        <f t="shared" si="11"/>
        <v/>
      </c>
      <c r="T64" s="63"/>
      <c r="U64" s="63"/>
      <c r="V64" s="63"/>
      <c r="W64" s="63"/>
      <c r="X64" s="63"/>
      <c r="Y64" s="63"/>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c r="BC64" s="63"/>
      <c r="BD64" s="63"/>
      <c r="BE64" s="63"/>
      <c r="BF64" s="63"/>
      <c r="BG64" s="63"/>
      <c r="BH64" s="63"/>
      <c r="BI64" s="63"/>
      <c r="BJ64" s="63"/>
      <c r="BK64" s="63"/>
      <c r="BL64" s="63"/>
      <c r="BM64" s="63"/>
      <c r="BN64" s="63"/>
      <c r="BO64" s="63"/>
      <c r="BP64" s="63"/>
      <c r="BQ64" s="63"/>
      <c r="BR64" s="63"/>
      <c r="BS64" s="63"/>
      <c r="CZ64" s="59"/>
      <c r="DA64" s="59"/>
      <c r="DB64" s="59"/>
      <c r="DC64" s="59"/>
      <c r="DD64" s="59"/>
      <c r="DE64" s="59"/>
      <c r="DF64" s="59"/>
      <c r="DG64" s="59"/>
      <c r="DH64" s="59"/>
      <c r="DI64" s="59"/>
      <c r="DJ64" s="59"/>
      <c r="DK64" s="59"/>
      <c r="DL64" s="59"/>
    </row>
    <row r="65" spans="1:116" s="53" customFormat="1" ht="28.15" hidden="1" customHeight="1">
      <c r="A65" s="61"/>
      <c r="B65" s="61"/>
      <c r="C65" s="80"/>
      <c r="D65" s="51"/>
      <c r="E65" s="83"/>
      <c r="F65" s="61"/>
      <c r="G65" s="61"/>
      <c r="H65" s="76"/>
      <c r="I65" s="76"/>
      <c r="J65" s="63"/>
      <c r="K65" s="49"/>
      <c r="L65" s="63"/>
      <c r="M65" s="63" t="s">
        <v>30</v>
      </c>
      <c r="N65" s="63" t="s">
        <v>31</v>
      </c>
      <c r="O65" s="63" t="str">
        <f t="shared" si="12"/>
        <v>click</v>
      </c>
      <c r="P65" s="63" t="str">
        <f t="shared" si="8"/>
        <v>();</v>
      </c>
      <c r="Q65" s="63" t="str">
        <f t="shared" si="9"/>
        <v/>
      </c>
      <c r="R65" s="63" t="str">
        <f t="shared" si="10"/>
        <v/>
      </c>
      <c r="S65" s="63" t="str">
        <f t="shared" si="11"/>
        <v/>
      </c>
      <c r="T65" s="63"/>
      <c r="U65" s="63"/>
      <c r="V65" s="63"/>
      <c r="W65" s="63"/>
      <c r="X65" s="63"/>
      <c r="Y65" s="63"/>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c r="BC65" s="63"/>
      <c r="BD65" s="63"/>
      <c r="BE65" s="63"/>
      <c r="BF65" s="63"/>
      <c r="BG65" s="63"/>
      <c r="BH65" s="63"/>
      <c r="BI65" s="63"/>
      <c r="BJ65" s="63"/>
      <c r="BK65" s="63"/>
      <c r="BL65" s="63"/>
      <c r="BM65" s="63"/>
      <c r="BN65" s="63"/>
      <c r="BO65" s="63"/>
      <c r="BP65" s="63"/>
      <c r="BQ65" s="63"/>
      <c r="BR65" s="63"/>
      <c r="BS65" s="63"/>
      <c r="CZ65" s="59"/>
      <c r="DA65" s="59"/>
      <c r="DB65" s="59"/>
      <c r="DC65" s="59"/>
      <c r="DD65" s="59"/>
      <c r="DE65" s="59"/>
      <c r="DF65" s="59"/>
      <c r="DG65" s="59"/>
      <c r="DH65" s="59"/>
      <c r="DI65" s="59"/>
      <c r="DJ65" s="59"/>
      <c r="DK65" s="59"/>
      <c r="DL65" s="59"/>
    </row>
    <row r="66" spans="1:116" s="53" customFormat="1" ht="28.15" hidden="1" customHeight="1">
      <c r="A66" s="61"/>
      <c r="B66" s="61"/>
      <c r="C66" s="80"/>
      <c r="D66" s="51"/>
      <c r="E66" s="83"/>
      <c r="F66" s="61"/>
      <c r="G66" s="61"/>
      <c r="H66" s="76"/>
      <c r="I66" s="76"/>
      <c r="J66" s="63"/>
      <c r="K66" s="49"/>
      <c r="L66" s="63"/>
      <c r="M66" s="63" t="s">
        <v>30</v>
      </c>
      <c r="N66" s="63" t="s">
        <v>31</v>
      </c>
      <c r="O66" s="63" t="str">
        <f t="shared" si="12"/>
        <v>click</v>
      </c>
      <c r="P66" s="63" t="str">
        <f t="shared" si="8"/>
        <v>();</v>
      </c>
      <c r="Q66" s="63" t="str">
        <f t="shared" si="9"/>
        <v/>
      </c>
      <c r="R66" s="63" t="str">
        <f t="shared" si="10"/>
        <v/>
      </c>
      <c r="S66" s="63" t="str">
        <f t="shared" si="11"/>
        <v/>
      </c>
      <c r="T66" s="63"/>
      <c r="U66" s="63"/>
      <c r="V66" s="63"/>
      <c r="W66" s="63"/>
      <c r="X66" s="63"/>
      <c r="Y66" s="63"/>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c r="BC66" s="63"/>
      <c r="BD66" s="63"/>
      <c r="BE66" s="63"/>
      <c r="BF66" s="63"/>
      <c r="BG66" s="63"/>
      <c r="BH66" s="63"/>
      <c r="BI66" s="63"/>
      <c r="BJ66" s="63"/>
      <c r="BK66" s="63"/>
      <c r="BL66" s="63"/>
      <c r="BM66" s="63"/>
      <c r="BN66" s="63"/>
      <c r="BO66" s="63"/>
      <c r="BP66" s="63"/>
      <c r="BQ66" s="63"/>
      <c r="BR66" s="63"/>
      <c r="BS66" s="63"/>
      <c r="CZ66" s="59"/>
      <c r="DA66" s="59"/>
      <c r="DB66" s="59"/>
      <c r="DC66" s="59"/>
      <c r="DD66" s="59"/>
      <c r="DE66" s="59"/>
      <c r="DF66" s="59"/>
      <c r="DG66" s="59"/>
      <c r="DH66" s="59"/>
      <c r="DI66" s="59"/>
      <c r="DJ66" s="59"/>
      <c r="DK66" s="59"/>
      <c r="DL66" s="59"/>
    </row>
    <row r="67" spans="1:116" s="53" customFormat="1" ht="28.15" hidden="1" customHeight="1">
      <c r="A67" s="61"/>
      <c r="B67" s="61"/>
      <c r="C67" s="80"/>
      <c r="D67" s="51"/>
      <c r="E67" s="87"/>
      <c r="F67" s="61"/>
      <c r="G67" s="61"/>
      <c r="H67" s="76"/>
      <c r="I67" s="76"/>
      <c r="J67" s="63"/>
      <c r="K67" s="49"/>
      <c r="L67" s="63"/>
      <c r="M67" s="63" t="s">
        <v>30</v>
      </c>
      <c r="N67" s="63" t="s">
        <v>31</v>
      </c>
      <c r="O67" s="63" t="str">
        <f t="shared" si="12"/>
        <v>click</v>
      </c>
      <c r="P67" s="63" t="str">
        <f t="shared" si="8"/>
        <v>();</v>
      </c>
      <c r="Q67" s="63" t="str">
        <f t="shared" si="9"/>
        <v/>
      </c>
      <c r="R67" s="63" t="str">
        <f t="shared" si="10"/>
        <v/>
      </c>
      <c r="S67" s="63" t="str">
        <f t="shared" si="11"/>
        <v/>
      </c>
      <c r="T67" s="63"/>
      <c r="U67" s="63"/>
      <c r="V67" s="63"/>
      <c r="W67" s="63"/>
      <c r="X67" s="63"/>
      <c r="Y67" s="63"/>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c r="BC67" s="63"/>
      <c r="BD67" s="63"/>
      <c r="BE67" s="63"/>
      <c r="BF67" s="63"/>
      <c r="BG67" s="63"/>
      <c r="BH67" s="63"/>
      <c r="BI67" s="63"/>
      <c r="BJ67" s="63"/>
      <c r="BK67" s="63"/>
      <c r="BL67" s="63"/>
      <c r="BM67" s="63"/>
      <c r="BN67" s="63"/>
      <c r="BO67" s="63"/>
      <c r="BP67" s="63"/>
      <c r="BQ67" s="63"/>
      <c r="BR67" s="63"/>
      <c r="BS67" s="63"/>
      <c r="CZ67" s="59"/>
      <c r="DA67" s="59"/>
      <c r="DB67" s="59"/>
      <c r="DC67" s="59"/>
      <c r="DD67" s="59"/>
      <c r="DE67" s="59"/>
      <c r="DF67" s="59"/>
      <c r="DG67" s="59"/>
      <c r="DH67" s="59"/>
      <c r="DI67" s="59"/>
      <c r="DJ67" s="59"/>
      <c r="DK67" s="59"/>
      <c r="DL67" s="59"/>
    </row>
    <row r="68" spans="1:116" s="53" customFormat="1" ht="28.15" hidden="1" customHeight="1">
      <c r="A68" s="61"/>
      <c r="B68" s="61"/>
      <c r="C68" s="80"/>
      <c r="D68" s="51"/>
      <c r="E68" s="83"/>
      <c r="F68" s="61"/>
      <c r="G68" s="61"/>
      <c r="H68" s="76"/>
      <c r="I68" s="76"/>
      <c r="J68" s="63"/>
      <c r="K68" s="49"/>
      <c r="L68" s="63"/>
      <c r="M68" s="63" t="s">
        <v>30</v>
      </c>
      <c r="N68" s="63" t="s">
        <v>31</v>
      </c>
      <c r="O68" s="63" t="str">
        <f t="shared" si="12"/>
        <v>click</v>
      </c>
      <c r="P68" s="63" t="str">
        <f t="shared" si="8"/>
        <v>();</v>
      </c>
      <c r="Q68" s="63" t="str">
        <f t="shared" si="9"/>
        <v/>
      </c>
      <c r="R68" s="63" t="str">
        <f t="shared" si="10"/>
        <v/>
      </c>
      <c r="S68" s="63" t="str">
        <f t="shared" si="11"/>
        <v/>
      </c>
      <c r="T68" s="63"/>
      <c r="U68" s="63"/>
      <c r="V68" s="63"/>
      <c r="W68" s="63"/>
      <c r="X68" s="63"/>
      <c r="Y68" s="63"/>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c r="BC68" s="63"/>
      <c r="BD68" s="63"/>
      <c r="BE68" s="63"/>
      <c r="BF68" s="63"/>
      <c r="BG68" s="63"/>
      <c r="BH68" s="63"/>
      <c r="BI68" s="63"/>
      <c r="BJ68" s="63"/>
      <c r="BK68" s="63"/>
      <c r="BL68" s="63"/>
      <c r="BM68" s="63"/>
      <c r="BN68" s="63"/>
      <c r="BO68" s="63"/>
      <c r="BP68" s="63"/>
      <c r="BQ68" s="63"/>
      <c r="BR68" s="63"/>
      <c r="BS68" s="63"/>
      <c r="CZ68" s="59"/>
      <c r="DA68" s="59"/>
      <c r="DB68" s="59"/>
      <c r="DC68" s="59"/>
      <c r="DD68" s="59"/>
      <c r="DE68" s="59"/>
      <c r="DF68" s="59"/>
      <c r="DG68" s="59"/>
      <c r="DH68" s="59"/>
      <c r="DI68" s="59"/>
      <c r="DJ68" s="59"/>
      <c r="DK68" s="59"/>
      <c r="DL68" s="59"/>
    </row>
    <row r="69" spans="1:116" s="53" customFormat="1" ht="28.15" hidden="1" customHeight="1">
      <c r="A69" s="61"/>
      <c r="B69" s="61"/>
      <c r="C69" s="80"/>
      <c r="D69" s="51"/>
      <c r="E69" s="83"/>
      <c r="F69" s="61"/>
      <c r="G69" s="61"/>
      <c r="H69" s="76"/>
      <c r="I69" s="76"/>
      <c r="J69" s="63"/>
      <c r="K69" s="49"/>
      <c r="L69" s="63"/>
      <c r="M69" s="63" t="s">
        <v>30</v>
      </c>
      <c r="N69" s="63" t="s">
        <v>31</v>
      </c>
      <c r="O69" s="63" t="str">
        <f t="shared" si="12"/>
        <v>click</v>
      </c>
      <c r="P69" s="63" t="str">
        <f t="shared" si="8"/>
        <v>();</v>
      </c>
      <c r="Q69" s="63" t="str">
        <f t="shared" si="9"/>
        <v/>
      </c>
      <c r="R69" s="63" t="str">
        <f t="shared" si="10"/>
        <v/>
      </c>
      <c r="S69" s="63" t="str">
        <f t="shared" si="11"/>
        <v/>
      </c>
      <c r="T69" s="63"/>
      <c r="U69" s="63"/>
      <c r="V69" s="63"/>
      <c r="W69" s="63"/>
      <c r="X69" s="63"/>
      <c r="Y69" s="63"/>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c r="BC69" s="63"/>
      <c r="BD69" s="63"/>
      <c r="BE69" s="63"/>
      <c r="BF69" s="63"/>
      <c r="BG69" s="63"/>
      <c r="BH69" s="63"/>
      <c r="BI69" s="63"/>
      <c r="BJ69" s="63"/>
      <c r="BK69" s="63"/>
      <c r="BL69" s="63"/>
      <c r="BM69" s="63"/>
      <c r="BN69" s="63"/>
      <c r="BO69" s="63"/>
      <c r="BP69" s="63"/>
      <c r="BQ69" s="63"/>
      <c r="BR69" s="63"/>
      <c r="BS69" s="63"/>
      <c r="CZ69" s="59"/>
      <c r="DA69" s="59"/>
      <c r="DB69" s="59"/>
      <c r="DC69" s="59"/>
      <c r="DD69" s="59"/>
      <c r="DE69" s="59"/>
      <c r="DF69" s="59"/>
      <c r="DG69" s="59"/>
      <c r="DH69" s="59"/>
      <c r="DI69" s="59"/>
      <c r="DJ69" s="59"/>
      <c r="DK69" s="59"/>
      <c r="DL69" s="59"/>
    </row>
    <row r="70" spans="1:116" s="53" customFormat="1" ht="28.15" hidden="1" customHeight="1">
      <c r="A70" s="61"/>
      <c r="B70" s="61"/>
      <c r="C70" s="80"/>
      <c r="D70" s="51"/>
      <c r="E70" s="83"/>
      <c r="F70" s="61"/>
      <c r="G70" s="61"/>
      <c r="H70" s="76"/>
      <c r="I70" s="76"/>
      <c r="J70" s="63"/>
      <c r="K70" s="49"/>
      <c r="L70" s="63"/>
      <c r="M70" s="63" t="s">
        <v>30</v>
      </c>
      <c r="N70" s="63" t="s">
        <v>31</v>
      </c>
      <c r="O70" s="63" t="str">
        <f t="shared" si="12"/>
        <v>click</v>
      </c>
      <c r="P70" s="63" t="str">
        <f t="shared" si="8"/>
        <v>();</v>
      </c>
      <c r="Q70" s="63" t="str">
        <f t="shared" si="9"/>
        <v/>
      </c>
      <c r="R70" s="63" t="str">
        <f t="shared" si="10"/>
        <v/>
      </c>
      <c r="S70" s="63" t="str">
        <f t="shared" si="11"/>
        <v/>
      </c>
      <c r="T70" s="63"/>
      <c r="U70" s="63"/>
      <c r="V70" s="63"/>
      <c r="W70" s="63"/>
      <c r="X70" s="63"/>
      <c r="Y70" s="63"/>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c r="BC70" s="63"/>
      <c r="BD70" s="63"/>
      <c r="BE70" s="63"/>
      <c r="BF70" s="63"/>
      <c r="BG70" s="63"/>
      <c r="BH70" s="63"/>
      <c r="BI70" s="63"/>
      <c r="BJ70" s="63"/>
      <c r="BK70" s="63"/>
      <c r="BL70" s="63"/>
      <c r="BM70" s="63"/>
      <c r="BN70" s="63"/>
      <c r="BO70" s="63"/>
      <c r="BP70" s="63"/>
      <c r="BQ70" s="63"/>
      <c r="BR70" s="63"/>
      <c r="BS70" s="63"/>
      <c r="CZ70" s="59"/>
      <c r="DA70" s="59"/>
      <c r="DB70" s="59"/>
      <c r="DC70" s="59"/>
      <c r="DD70" s="59"/>
      <c r="DE70" s="59"/>
      <c r="DF70" s="59"/>
      <c r="DG70" s="59"/>
      <c r="DH70" s="59"/>
      <c r="DI70" s="59"/>
      <c r="DJ70" s="59"/>
      <c r="DK70" s="59"/>
      <c r="DL70" s="59"/>
    </row>
    <row r="71" spans="1:116" s="53" customFormat="1" ht="28.15" hidden="1" customHeight="1">
      <c r="A71" s="61"/>
      <c r="B71" s="61"/>
      <c r="C71" s="80"/>
      <c r="D71" s="51"/>
      <c r="E71" s="83"/>
      <c r="F71" s="61"/>
      <c r="G71" s="61"/>
      <c r="H71" s="76"/>
      <c r="I71" s="76"/>
      <c r="J71" s="63"/>
      <c r="K71" s="49"/>
      <c r="L71" s="63"/>
      <c r="M71" s="63" t="s">
        <v>30</v>
      </c>
      <c r="N71" s="63" t="s">
        <v>31</v>
      </c>
      <c r="O71" s="63" t="str">
        <f t="shared" si="12"/>
        <v>click</v>
      </c>
      <c r="P71" s="63" t="str">
        <f t="shared" si="8"/>
        <v>();</v>
      </c>
      <c r="Q71" s="63" t="str">
        <f t="shared" si="9"/>
        <v/>
      </c>
      <c r="R71" s="63" t="str">
        <f t="shared" si="10"/>
        <v/>
      </c>
      <c r="S71" s="63" t="str">
        <f t="shared" si="11"/>
        <v/>
      </c>
      <c r="T71" s="63"/>
      <c r="U71" s="63"/>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c r="BC71" s="63"/>
      <c r="BD71" s="63"/>
      <c r="BE71" s="63"/>
      <c r="BF71" s="63"/>
      <c r="BG71" s="63"/>
      <c r="BH71" s="63"/>
      <c r="BI71" s="63"/>
      <c r="BJ71" s="63"/>
      <c r="BK71" s="63"/>
      <c r="BL71" s="63"/>
      <c r="BM71" s="63"/>
      <c r="BN71" s="63"/>
      <c r="BO71" s="63"/>
      <c r="BP71" s="63"/>
      <c r="BQ71" s="63"/>
      <c r="BR71" s="63"/>
      <c r="BS71" s="63"/>
      <c r="CZ71" s="59"/>
      <c r="DA71" s="59"/>
      <c r="DB71" s="59"/>
      <c r="DC71" s="59"/>
      <c r="DD71" s="59"/>
      <c r="DE71" s="59"/>
      <c r="DF71" s="59"/>
      <c r="DG71" s="59"/>
      <c r="DH71" s="59"/>
      <c r="DI71" s="59"/>
      <c r="DJ71" s="59"/>
      <c r="DK71" s="59"/>
      <c r="DL71" s="59"/>
    </row>
    <row r="72" spans="1:116" s="53" customFormat="1" ht="28.15" hidden="1" customHeight="1">
      <c r="A72" s="61"/>
      <c r="B72" s="61"/>
      <c r="C72" s="80"/>
      <c r="D72" s="51"/>
      <c r="E72" s="83"/>
      <c r="F72" s="61"/>
      <c r="G72" s="61"/>
      <c r="H72" s="76"/>
      <c r="I72" s="76"/>
      <c r="J72" s="63"/>
      <c r="K72" s="49"/>
      <c r="L72" s="63"/>
      <c r="M72" s="63" t="s">
        <v>30</v>
      </c>
      <c r="N72" s="63" t="s">
        <v>31</v>
      </c>
      <c r="O72" s="63" t="str">
        <f t="shared" si="12"/>
        <v>click</v>
      </c>
      <c r="P72" s="63" t="str">
        <f t="shared" si="8"/>
        <v>();</v>
      </c>
      <c r="Q72" s="63" t="str">
        <f t="shared" si="9"/>
        <v/>
      </c>
      <c r="R72" s="63" t="str">
        <f t="shared" si="10"/>
        <v/>
      </c>
      <c r="S72" s="63" t="str">
        <f t="shared" si="11"/>
        <v/>
      </c>
      <c r="T72" s="63"/>
      <c r="U72" s="63"/>
      <c r="V72" s="63"/>
      <c r="W72" s="63"/>
      <c r="X72" s="63"/>
      <c r="Y72" s="63"/>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c r="BC72" s="63"/>
      <c r="BD72" s="63"/>
      <c r="BE72" s="63"/>
      <c r="BF72" s="63"/>
      <c r="BG72" s="63"/>
      <c r="BH72" s="63"/>
      <c r="BI72" s="63"/>
      <c r="BJ72" s="63"/>
      <c r="BK72" s="63"/>
      <c r="BL72" s="63"/>
      <c r="BM72" s="63"/>
      <c r="BN72" s="63"/>
      <c r="BO72" s="63"/>
      <c r="BP72" s="63"/>
      <c r="BQ72" s="63"/>
      <c r="BR72" s="63"/>
      <c r="BS72" s="63"/>
      <c r="CZ72" s="59"/>
      <c r="DA72" s="59"/>
      <c r="DB72" s="59"/>
      <c r="DC72" s="59"/>
      <c r="DD72" s="59"/>
      <c r="DE72" s="59"/>
      <c r="DF72" s="59"/>
      <c r="DG72" s="59"/>
      <c r="DH72" s="59"/>
      <c r="DI72" s="59"/>
      <c r="DJ72" s="59"/>
      <c r="DK72" s="59"/>
      <c r="DL72" s="59"/>
    </row>
    <row r="73" spans="1:116" s="53" customFormat="1" ht="28.15" hidden="1" customHeight="1">
      <c r="A73" s="61"/>
      <c r="B73" s="61"/>
      <c r="C73" s="80"/>
      <c r="D73" s="51"/>
      <c r="E73" s="83"/>
      <c r="F73" s="61"/>
      <c r="G73" s="61"/>
      <c r="H73" s="76"/>
      <c r="I73" s="76"/>
      <c r="J73" s="63"/>
      <c r="K73" s="49"/>
      <c r="L73" s="63"/>
      <c r="M73" s="63" t="s">
        <v>30</v>
      </c>
      <c r="N73" s="63" t="s">
        <v>31</v>
      </c>
      <c r="O73" s="63" t="str">
        <f t="shared" si="12"/>
        <v>click</v>
      </c>
      <c r="P73" s="63" t="str">
        <f t="shared" si="8"/>
        <v>();</v>
      </c>
      <c r="Q73" s="63" t="str">
        <f t="shared" si="9"/>
        <v/>
      </c>
      <c r="R73" s="63" t="str">
        <f t="shared" si="10"/>
        <v/>
      </c>
      <c r="S73" s="63" t="str">
        <f t="shared" si="11"/>
        <v/>
      </c>
      <c r="T73" s="63"/>
      <c r="U73" s="63"/>
      <c r="V73" s="63"/>
      <c r="W73" s="63"/>
      <c r="X73" s="63"/>
      <c r="Y73" s="63"/>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c r="BC73" s="63"/>
      <c r="BD73" s="63"/>
      <c r="BE73" s="63"/>
      <c r="BF73" s="63"/>
      <c r="BG73" s="63"/>
      <c r="BH73" s="63"/>
      <c r="BI73" s="63"/>
      <c r="BJ73" s="63"/>
      <c r="BK73" s="63"/>
      <c r="BL73" s="63"/>
      <c r="BM73" s="63"/>
      <c r="BN73" s="63"/>
      <c r="BO73" s="63"/>
      <c r="BP73" s="63"/>
      <c r="BQ73" s="63"/>
      <c r="BR73" s="63"/>
      <c r="BS73" s="63"/>
      <c r="CZ73" s="59"/>
      <c r="DA73" s="59"/>
      <c r="DB73" s="59"/>
      <c r="DC73" s="59"/>
      <c r="DD73" s="59"/>
      <c r="DE73" s="59"/>
      <c r="DF73" s="59"/>
      <c r="DG73" s="59"/>
      <c r="DH73" s="59"/>
      <c r="DI73" s="59"/>
      <c r="DJ73" s="59"/>
      <c r="DK73" s="59"/>
      <c r="DL73" s="59"/>
    </row>
    <row r="74" spans="1:116" s="53" customFormat="1" ht="28.15" hidden="1" customHeight="1">
      <c r="A74" s="61"/>
      <c r="B74" s="61"/>
      <c r="C74" s="80"/>
      <c r="D74" s="51"/>
      <c r="E74" s="83"/>
      <c r="F74" s="61"/>
      <c r="G74" s="61"/>
      <c r="H74" s="76"/>
      <c r="I74" s="76"/>
      <c r="J74" s="63"/>
      <c r="K74" s="49"/>
      <c r="L74" s="63"/>
      <c r="M74" s="63" t="s">
        <v>30</v>
      </c>
      <c r="N74" s="63" t="s">
        <v>31</v>
      </c>
      <c r="O74" s="63" t="str">
        <f t="shared" si="12"/>
        <v>click</v>
      </c>
      <c r="P74" s="63" t="str">
        <f t="shared" si="8"/>
        <v>();</v>
      </c>
      <c r="Q74" s="63" t="str">
        <f t="shared" si="9"/>
        <v/>
      </c>
      <c r="R74" s="63" t="str">
        <f t="shared" si="10"/>
        <v/>
      </c>
      <c r="S74" s="63" t="str">
        <f t="shared" si="11"/>
        <v/>
      </c>
      <c r="T74" s="63"/>
      <c r="U74" s="63"/>
      <c r="V74" s="63"/>
      <c r="W74" s="63"/>
      <c r="X74" s="63"/>
      <c r="Y74" s="63"/>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c r="BC74" s="63"/>
      <c r="BD74" s="63"/>
      <c r="BE74" s="63"/>
      <c r="BF74" s="63"/>
      <c r="BG74" s="63"/>
      <c r="BH74" s="63"/>
      <c r="BI74" s="63"/>
      <c r="BJ74" s="63"/>
      <c r="BK74" s="63"/>
      <c r="BL74" s="63"/>
      <c r="BM74" s="63"/>
      <c r="BN74" s="63"/>
      <c r="BO74" s="63"/>
      <c r="BP74" s="63"/>
      <c r="BQ74" s="63"/>
      <c r="BR74" s="63"/>
      <c r="BS74" s="63"/>
      <c r="CZ74" s="59"/>
      <c r="DA74" s="59"/>
      <c r="DB74" s="59"/>
      <c r="DC74" s="59"/>
      <c r="DD74" s="59"/>
      <c r="DE74" s="59"/>
      <c r="DF74" s="59"/>
      <c r="DG74" s="59"/>
      <c r="DH74" s="59"/>
      <c r="DI74" s="59"/>
      <c r="DJ74" s="59"/>
      <c r="DK74" s="59"/>
      <c r="DL74" s="59"/>
    </row>
    <row r="75" spans="1:116" s="53" customFormat="1" ht="28.15" hidden="1" customHeight="1">
      <c r="A75" s="61"/>
      <c r="B75" s="61"/>
      <c r="C75" s="80"/>
      <c r="D75" s="51"/>
      <c r="E75" s="83"/>
      <c r="F75" s="61"/>
      <c r="G75" s="61"/>
      <c r="H75" s="76"/>
      <c r="I75" s="76"/>
      <c r="J75" s="63"/>
      <c r="K75" s="49"/>
      <c r="L75" s="63"/>
      <c r="M75" s="63" t="s">
        <v>30</v>
      </c>
      <c r="N75" s="63" t="s">
        <v>31</v>
      </c>
      <c r="O75" s="63" t="str">
        <f t="shared" ref="O75:O109" si="13">IF(D75="input","fill",IF(I75&lt;&gt;"","innerText",IF(J75="Y",$T$110,"click")))</f>
        <v>click</v>
      </c>
      <c r="P75" s="63" t="str">
        <f t="shared" ref="P75:P106" si="14">IF(OR(O75="Click",O75="innerText"),"();","("&amp;""""&amp;K75&amp;""""&amp;");")</f>
        <v>();</v>
      </c>
      <c r="Q75" s="63" t="str">
        <f t="shared" ref="Q75:Q109" si="15">IF(C75="Y",IF(H75&lt;&gt;"Xpath",M75&amp;F75&amp;N75,""""&amp;F75&amp;""""),"")</f>
        <v/>
      </c>
      <c r="R75" s="63" t="str">
        <f t="shared" ref="R75:R106" si="16">IF(C75="Y",""""&amp;E75&amp;""""&amp;":"&amp;Q75&amp;",","")</f>
        <v/>
      </c>
      <c r="S75" s="63" t="str">
        <f t="shared" ref="S75:S109" si="17">IF(O75="innerText",I75&amp;"="&amp;IF(C75="Y",IF(J75&lt;&gt;"Y",$S$9&amp;$R$10&amp;"."&amp;E75&amp;")."&amp;IF(OR(O75="click",O75="innerText"),O75&amp;"();",O75&amp;"("&amp;$Q$9&amp;"."&amp;E75&amp;");"),$S$110&amp;$R$10&amp;"."&amp;E75&amp;")."&amp;IF(O75="click",O75&amp;"();",O75&amp;"("&amp;"'"&amp;K75&amp;"'"&amp;");")),""),IF(C75="Y",IF(J75&lt;&gt;"Y",$S$9&amp;$R$10&amp;"."&amp;E75&amp;")."&amp;IF(OR(O75="click",O75="innerText"),O75&amp;"();",O75&amp;"("&amp;$Q$9&amp;"."&amp;E75&amp;");"),$S$110&amp;$R$10&amp;"."&amp;E75&amp;")."&amp;IF(O75="click",O75&amp;"();",O75&amp;"("&amp;"'"&amp;K75&amp;"'"&amp;");")),""))</f>
        <v/>
      </c>
      <c r="T75" s="63"/>
      <c r="U75" s="63"/>
      <c r="V75" s="63"/>
      <c r="W75" s="63"/>
      <c r="X75" s="63"/>
      <c r="Y75" s="63"/>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c r="BC75" s="63"/>
      <c r="BD75" s="63"/>
      <c r="BE75" s="63"/>
      <c r="BF75" s="63"/>
      <c r="BG75" s="63"/>
      <c r="BH75" s="63"/>
      <c r="BI75" s="63"/>
      <c r="BJ75" s="63"/>
      <c r="BK75" s="63"/>
      <c r="BL75" s="63"/>
      <c r="BM75" s="63"/>
      <c r="BN75" s="63"/>
      <c r="BO75" s="63"/>
      <c r="BP75" s="63"/>
      <c r="BQ75" s="63"/>
      <c r="BR75" s="63"/>
      <c r="BS75" s="63"/>
      <c r="CZ75" s="59"/>
      <c r="DA75" s="59"/>
      <c r="DB75" s="59"/>
      <c r="DC75" s="59"/>
      <c r="DD75" s="59"/>
      <c r="DE75" s="59"/>
      <c r="DF75" s="59"/>
      <c r="DG75" s="59"/>
      <c r="DH75" s="59"/>
      <c r="DI75" s="59"/>
      <c r="DJ75" s="59"/>
      <c r="DK75" s="59"/>
      <c r="DL75" s="59"/>
    </row>
    <row r="76" spans="1:116" s="53" customFormat="1" ht="28.15" hidden="1" customHeight="1">
      <c r="A76" s="61"/>
      <c r="B76" s="61"/>
      <c r="C76" s="80"/>
      <c r="D76" s="51"/>
      <c r="E76" s="83"/>
      <c r="F76" s="61"/>
      <c r="G76" s="61"/>
      <c r="H76" s="76"/>
      <c r="I76" s="76"/>
      <c r="J76" s="63"/>
      <c r="K76" s="49"/>
      <c r="L76" s="63"/>
      <c r="M76" s="63" t="s">
        <v>30</v>
      </c>
      <c r="N76" s="63" t="s">
        <v>31</v>
      </c>
      <c r="O76" s="63" t="str">
        <f t="shared" si="13"/>
        <v>click</v>
      </c>
      <c r="P76" s="63" t="str">
        <f t="shared" si="14"/>
        <v>();</v>
      </c>
      <c r="Q76" s="63" t="str">
        <f t="shared" si="15"/>
        <v/>
      </c>
      <c r="R76" s="63" t="str">
        <f t="shared" si="16"/>
        <v/>
      </c>
      <c r="S76" s="63" t="str">
        <f t="shared" si="17"/>
        <v/>
      </c>
      <c r="T76" s="63"/>
      <c r="U76" s="63"/>
      <c r="V76" s="63"/>
      <c r="W76" s="63"/>
      <c r="X76" s="63"/>
      <c r="Y76" s="63"/>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c r="BC76" s="63"/>
      <c r="BD76" s="63"/>
      <c r="BE76" s="63"/>
      <c r="BF76" s="63"/>
      <c r="BG76" s="63"/>
      <c r="BH76" s="63"/>
      <c r="BI76" s="63"/>
      <c r="BJ76" s="63"/>
      <c r="BK76" s="63"/>
      <c r="BL76" s="63"/>
      <c r="BM76" s="63"/>
      <c r="BN76" s="63"/>
      <c r="BO76" s="63"/>
      <c r="BP76" s="63"/>
      <c r="BQ76" s="63"/>
      <c r="BR76" s="63"/>
      <c r="BS76" s="63"/>
      <c r="CZ76" s="59"/>
      <c r="DA76" s="59"/>
      <c r="DB76" s="59"/>
      <c r="DC76" s="59"/>
      <c r="DD76" s="59"/>
      <c r="DE76" s="59"/>
      <c r="DF76" s="59"/>
      <c r="DG76" s="59"/>
      <c r="DH76" s="59"/>
      <c r="DI76" s="59"/>
      <c r="DJ76" s="59"/>
      <c r="DK76" s="59"/>
      <c r="DL76" s="59"/>
    </row>
    <row r="77" spans="1:116" s="53" customFormat="1" ht="28.15" hidden="1" customHeight="1">
      <c r="A77" s="61"/>
      <c r="B77" s="61"/>
      <c r="C77" s="80"/>
      <c r="D77" s="51"/>
      <c r="E77" s="83"/>
      <c r="F77" s="61"/>
      <c r="G77" s="61"/>
      <c r="H77" s="76"/>
      <c r="I77" s="76"/>
      <c r="J77" s="63"/>
      <c r="K77" s="49"/>
      <c r="L77" s="63"/>
      <c r="M77" s="63" t="s">
        <v>30</v>
      </c>
      <c r="N77" s="63" t="s">
        <v>31</v>
      </c>
      <c r="O77" s="63" t="str">
        <f t="shared" si="13"/>
        <v>click</v>
      </c>
      <c r="P77" s="63" t="str">
        <f t="shared" si="14"/>
        <v>();</v>
      </c>
      <c r="Q77" s="63" t="str">
        <f t="shared" si="15"/>
        <v/>
      </c>
      <c r="R77" s="63" t="str">
        <f t="shared" si="16"/>
        <v/>
      </c>
      <c r="S77" s="63" t="str">
        <f t="shared" si="17"/>
        <v/>
      </c>
      <c r="T77" s="63"/>
      <c r="U77" s="63"/>
      <c r="V77" s="63"/>
      <c r="W77" s="63"/>
      <c r="X77" s="63"/>
      <c r="Y77" s="63"/>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c r="BC77" s="63"/>
      <c r="BD77" s="63"/>
      <c r="BE77" s="63"/>
      <c r="BF77" s="63"/>
      <c r="BG77" s="63"/>
      <c r="BH77" s="63"/>
      <c r="BI77" s="63"/>
      <c r="BJ77" s="63"/>
      <c r="BK77" s="63"/>
      <c r="BL77" s="63"/>
      <c r="BM77" s="63"/>
      <c r="BN77" s="63"/>
      <c r="BO77" s="63"/>
      <c r="BP77" s="63"/>
      <c r="BQ77" s="63"/>
      <c r="BR77" s="63"/>
      <c r="BS77" s="63"/>
      <c r="CZ77" s="59"/>
      <c r="DA77" s="59"/>
      <c r="DB77" s="59"/>
      <c r="DC77" s="59"/>
      <c r="DD77" s="59"/>
      <c r="DE77" s="59"/>
      <c r="DF77" s="59"/>
      <c r="DG77" s="59"/>
      <c r="DH77" s="59"/>
      <c r="DI77" s="59"/>
      <c r="DJ77" s="59"/>
      <c r="DK77" s="59"/>
      <c r="DL77" s="59"/>
    </row>
    <row r="78" spans="1:116" s="53" customFormat="1" ht="28.15" hidden="1" customHeight="1">
      <c r="A78" s="61"/>
      <c r="B78" s="61"/>
      <c r="C78" s="80"/>
      <c r="D78" s="51"/>
      <c r="E78" s="83"/>
      <c r="F78" s="61"/>
      <c r="G78" s="61"/>
      <c r="H78" s="76"/>
      <c r="I78" s="76"/>
      <c r="J78" s="63"/>
      <c r="K78" s="49"/>
      <c r="L78" s="63"/>
      <c r="M78" s="63" t="s">
        <v>30</v>
      </c>
      <c r="N78" s="63" t="s">
        <v>31</v>
      </c>
      <c r="O78" s="63" t="str">
        <f t="shared" si="13"/>
        <v>click</v>
      </c>
      <c r="P78" s="63" t="str">
        <f t="shared" si="14"/>
        <v>();</v>
      </c>
      <c r="Q78" s="63" t="str">
        <f t="shared" si="15"/>
        <v/>
      </c>
      <c r="R78" s="63" t="str">
        <f t="shared" si="16"/>
        <v/>
      </c>
      <c r="S78" s="63" t="str">
        <f t="shared" si="17"/>
        <v/>
      </c>
      <c r="T78" s="63"/>
      <c r="U78" s="63"/>
      <c r="V78" s="63"/>
      <c r="W78" s="63"/>
      <c r="X78" s="63"/>
      <c r="Y78" s="63"/>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c r="BC78" s="63"/>
      <c r="BD78" s="63"/>
      <c r="BE78" s="63"/>
      <c r="BF78" s="63"/>
      <c r="BG78" s="63"/>
      <c r="BH78" s="63"/>
      <c r="BI78" s="63"/>
      <c r="BJ78" s="63"/>
      <c r="BK78" s="63"/>
      <c r="BL78" s="63"/>
      <c r="BM78" s="63"/>
      <c r="BN78" s="63"/>
      <c r="BO78" s="63"/>
      <c r="BP78" s="63"/>
      <c r="BQ78" s="63"/>
      <c r="BR78" s="63"/>
      <c r="BS78" s="63"/>
      <c r="CZ78" s="59"/>
      <c r="DA78" s="59"/>
      <c r="DB78" s="59"/>
      <c r="DC78" s="59"/>
      <c r="DD78" s="59"/>
      <c r="DE78" s="59"/>
      <c r="DF78" s="59"/>
      <c r="DG78" s="59"/>
      <c r="DH78" s="59"/>
      <c r="DI78" s="59"/>
      <c r="DJ78" s="59"/>
      <c r="DK78" s="59"/>
      <c r="DL78" s="59"/>
    </row>
    <row r="79" spans="1:116" s="53" customFormat="1" ht="28.15" hidden="1" customHeight="1">
      <c r="A79" s="61"/>
      <c r="B79" s="61"/>
      <c r="C79" s="80"/>
      <c r="D79" s="51"/>
      <c r="E79" s="83"/>
      <c r="F79" s="61"/>
      <c r="G79" s="61"/>
      <c r="H79" s="76"/>
      <c r="I79" s="76"/>
      <c r="J79" s="63"/>
      <c r="K79" s="49"/>
      <c r="L79" s="63"/>
      <c r="M79" s="63" t="s">
        <v>30</v>
      </c>
      <c r="N79" s="63" t="s">
        <v>31</v>
      </c>
      <c r="O79" s="63" t="str">
        <f t="shared" si="13"/>
        <v>click</v>
      </c>
      <c r="P79" s="63" t="str">
        <f t="shared" si="14"/>
        <v>();</v>
      </c>
      <c r="Q79" s="63" t="str">
        <f t="shared" si="15"/>
        <v/>
      </c>
      <c r="R79" s="63" t="str">
        <f t="shared" si="16"/>
        <v/>
      </c>
      <c r="S79" s="63" t="str">
        <f t="shared" si="17"/>
        <v/>
      </c>
      <c r="T79" s="63"/>
      <c r="U79" s="63"/>
      <c r="V79" s="63"/>
      <c r="W79" s="63"/>
      <c r="X79" s="63"/>
      <c r="Y79" s="63"/>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c r="BC79" s="63"/>
      <c r="BD79" s="63"/>
      <c r="BE79" s="63"/>
      <c r="BF79" s="63"/>
      <c r="BG79" s="63"/>
      <c r="BH79" s="63"/>
      <c r="BI79" s="63"/>
      <c r="BJ79" s="63"/>
      <c r="BK79" s="63"/>
      <c r="BL79" s="63"/>
      <c r="BM79" s="63"/>
      <c r="BN79" s="63"/>
      <c r="BO79" s="63"/>
      <c r="BP79" s="63"/>
      <c r="BQ79" s="63"/>
      <c r="BR79" s="63"/>
      <c r="BS79" s="63"/>
      <c r="CZ79" s="59"/>
      <c r="DA79" s="59"/>
      <c r="DB79" s="59"/>
      <c r="DC79" s="59"/>
      <c r="DD79" s="59"/>
      <c r="DE79" s="59"/>
      <c r="DF79" s="59"/>
      <c r="DG79" s="59"/>
      <c r="DH79" s="59"/>
      <c r="DI79" s="59"/>
      <c r="DJ79" s="59"/>
      <c r="DK79" s="59"/>
      <c r="DL79" s="59"/>
    </row>
    <row r="80" spans="1:116" s="53" customFormat="1" ht="28.15" hidden="1" customHeight="1">
      <c r="A80" s="61"/>
      <c r="B80" s="61"/>
      <c r="C80" s="80"/>
      <c r="D80" s="51"/>
      <c r="E80" s="83"/>
      <c r="F80" s="61"/>
      <c r="G80" s="61"/>
      <c r="H80" s="76"/>
      <c r="I80" s="76"/>
      <c r="J80" s="63"/>
      <c r="K80" s="49"/>
      <c r="L80" s="63"/>
      <c r="M80" s="63" t="s">
        <v>30</v>
      </c>
      <c r="N80" s="63" t="s">
        <v>31</v>
      </c>
      <c r="O80" s="63" t="str">
        <f t="shared" si="13"/>
        <v>click</v>
      </c>
      <c r="P80" s="63" t="str">
        <f t="shared" si="14"/>
        <v>();</v>
      </c>
      <c r="Q80" s="63" t="str">
        <f t="shared" si="15"/>
        <v/>
      </c>
      <c r="R80" s="63" t="str">
        <f t="shared" si="16"/>
        <v/>
      </c>
      <c r="S80" s="63" t="str">
        <f t="shared" si="17"/>
        <v/>
      </c>
      <c r="T80" s="63"/>
      <c r="U80" s="63"/>
      <c r="V80" s="63"/>
      <c r="W80" s="63"/>
      <c r="X80" s="63"/>
      <c r="Y80" s="63"/>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c r="BC80" s="63"/>
      <c r="BD80" s="63"/>
      <c r="BE80" s="63"/>
      <c r="BF80" s="63"/>
      <c r="BG80" s="63"/>
      <c r="BH80" s="63"/>
      <c r="BI80" s="63"/>
      <c r="BJ80" s="63"/>
      <c r="BK80" s="63"/>
      <c r="BL80" s="63"/>
      <c r="BM80" s="63"/>
      <c r="BN80" s="63"/>
      <c r="BO80" s="63"/>
      <c r="BP80" s="63"/>
      <c r="BQ80" s="63"/>
      <c r="BR80" s="63"/>
      <c r="BS80" s="63"/>
      <c r="CZ80" s="59"/>
      <c r="DA80" s="59"/>
      <c r="DB80" s="59"/>
      <c r="DC80" s="59"/>
      <c r="DD80" s="59"/>
      <c r="DE80" s="59"/>
      <c r="DF80" s="59"/>
      <c r="DG80" s="59"/>
      <c r="DH80" s="59"/>
      <c r="DI80" s="59"/>
      <c r="DJ80" s="59"/>
      <c r="DK80" s="59"/>
      <c r="DL80" s="59"/>
    </row>
    <row r="81" spans="1:116" s="53" customFormat="1" ht="28.15" hidden="1" customHeight="1">
      <c r="A81" s="61"/>
      <c r="B81" s="61"/>
      <c r="C81" s="80"/>
      <c r="D81" s="51"/>
      <c r="E81" s="83"/>
      <c r="F81" s="61"/>
      <c r="G81" s="61"/>
      <c r="H81" s="76"/>
      <c r="I81" s="76"/>
      <c r="J81" s="63"/>
      <c r="K81" s="49"/>
      <c r="L81" s="63"/>
      <c r="M81" s="63" t="s">
        <v>30</v>
      </c>
      <c r="N81" s="63" t="s">
        <v>31</v>
      </c>
      <c r="O81" s="63" t="str">
        <f t="shared" si="13"/>
        <v>click</v>
      </c>
      <c r="P81" s="63" t="str">
        <f t="shared" si="14"/>
        <v>();</v>
      </c>
      <c r="Q81" s="63" t="str">
        <f t="shared" si="15"/>
        <v/>
      </c>
      <c r="R81" s="63" t="str">
        <f t="shared" si="16"/>
        <v/>
      </c>
      <c r="S81" s="63" t="str">
        <f t="shared" si="17"/>
        <v/>
      </c>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CZ81" s="59"/>
      <c r="DA81" s="59"/>
      <c r="DB81" s="59"/>
      <c r="DC81" s="59"/>
      <c r="DD81" s="59"/>
      <c r="DE81" s="59"/>
      <c r="DF81" s="59"/>
      <c r="DG81" s="59"/>
      <c r="DH81" s="59"/>
      <c r="DI81" s="59"/>
      <c r="DJ81" s="59"/>
      <c r="DK81" s="59"/>
      <c r="DL81" s="59"/>
    </row>
    <row r="82" spans="1:116" s="53" customFormat="1" ht="28.15" hidden="1" customHeight="1">
      <c r="A82" s="61"/>
      <c r="B82" s="61"/>
      <c r="C82" s="80"/>
      <c r="D82" s="51"/>
      <c r="E82" s="83"/>
      <c r="F82" s="61"/>
      <c r="G82" s="61"/>
      <c r="H82" s="76"/>
      <c r="I82" s="76"/>
      <c r="J82" s="63"/>
      <c r="K82" s="49"/>
      <c r="L82" s="63"/>
      <c r="M82" s="63" t="s">
        <v>30</v>
      </c>
      <c r="N82" s="63" t="s">
        <v>31</v>
      </c>
      <c r="O82" s="63" t="str">
        <f t="shared" si="13"/>
        <v>click</v>
      </c>
      <c r="P82" s="63" t="str">
        <f t="shared" si="14"/>
        <v>();</v>
      </c>
      <c r="Q82" s="63" t="str">
        <f t="shared" si="15"/>
        <v/>
      </c>
      <c r="R82" s="63" t="str">
        <f t="shared" si="16"/>
        <v/>
      </c>
      <c r="S82" s="63" t="str">
        <f t="shared" si="17"/>
        <v/>
      </c>
      <c r="T82" s="63"/>
      <c r="U82" s="63"/>
      <c r="V82" s="63"/>
      <c r="W82" s="63"/>
      <c r="X82" s="63"/>
      <c r="Y82" s="63"/>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c r="BC82" s="63"/>
      <c r="BD82" s="63"/>
      <c r="BE82" s="63"/>
      <c r="BF82" s="63"/>
      <c r="BG82" s="63"/>
      <c r="BH82" s="63"/>
      <c r="BI82" s="63"/>
      <c r="BJ82" s="63"/>
      <c r="BK82" s="63"/>
      <c r="BL82" s="63"/>
      <c r="BM82" s="63"/>
      <c r="BN82" s="63"/>
      <c r="BO82" s="63"/>
      <c r="BP82" s="63"/>
      <c r="BQ82" s="63"/>
      <c r="BR82" s="63"/>
      <c r="BS82" s="63"/>
      <c r="CZ82" s="59"/>
      <c r="DA82" s="59"/>
      <c r="DB82" s="59"/>
      <c r="DC82" s="59"/>
      <c r="DD82" s="59"/>
      <c r="DE82" s="59"/>
      <c r="DF82" s="59"/>
      <c r="DG82" s="59"/>
      <c r="DH82" s="59"/>
      <c r="DI82" s="59"/>
      <c r="DJ82" s="59"/>
      <c r="DK82" s="59"/>
      <c r="DL82" s="59"/>
    </row>
    <row r="83" spans="1:116" s="53" customFormat="1" ht="28.15" hidden="1" customHeight="1">
      <c r="A83" s="61"/>
      <c r="B83" s="61"/>
      <c r="C83" s="80"/>
      <c r="D83" s="51"/>
      <c r="E83" s="83"/>
      <c r="F83" s="61"/>
      <c r="G83" s="61"/>
      <c r="H83" s="76"/>
      <c r="I83" s="76"/>
      <c r="J83" s="63"/>
      <c r="K83" s="49"/>
      <c r="L83" s="63"/>
      <c r="M83" s="63" t="s">
        <v>30</v>
      </c>
      <c r="N83" s="63" t="s">
        <v>31</v>
      </c>
      <c r="O83" s="63" t="str">
        <f t="shared" si="13"/>
        <v>click</v>
      </c>
      <c r="P83" s="63" t="str">
        <f t="shared" si="14"/>
        <v>();</v>
      </c>
      <c r="Q83" s="63" t="str">
        <f t="shared" si="15"/>
        <v/>
      </c>
      <c r="R83" s="63" t="str">
        <f t="shared" si="16"/>
        <v/>
      </c>
      <c r="S83" s="63" t="str">
        <f t="shared" si="17"/>
        <v/>
      </c>
      <c r="T83" s="63"/>
      <c r="U83" s="63"/>
      <c r="V83" s="63"/>
      <c r="W83" s="63"/>
      <c r="X83" s="63"/>
      <c r="Y83" s="63"/>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c r="BC83" s="63"/>
      <c r="BD83" s="63"/>
      <c r="BE83" s="63"/>
      <c r="BF83" s="63"/>
      <c r="BG83" s="63"/>
      <c r="BH83" s="63"/>
      <c r="BI83" s="63"/>
      <c r="BJ83" s="63"/>
      <c r="BK83" s="63"/>
      <c r="BL83" s="63"/>
      <c r="BM83" s="63"/>
      <c r="BN83" s="63"/>
      <c r="BO83" s="63"/>
      <c r="BP83" s="63"/>
      <c r="BQ83" s="63"/>
      <c r="BR83" s="63"/>
      <c r="BS83" s="63"/>
      <c r="CZ83" s="59"/>
      <c r="DA83" s="59"/>
      <c r="DB83" s="59"/>
      <c r="DC83" s="59"/>
      <c r="DD83" s="59"/>
      <c r="DE83" s="59"/>
      <c r="DF83" s="59"/>
      <c r="DG83" s="59"/>
      <c r="DH83" s="59"/>
      <c r="DI83" s="59"/>
      <c r="DJ83" s="59"/>
      <c r="DK83" s="59"/>
      <c r="DL83" s="59"/>
    </row>
    <row r="84" spans="1:116" s="53" customFormat="1" ht="28.15" hidden="1" customHeight="1">
      <c r="A84" s="61"/>
      <c r="B84" s="61"/>
      <c r="C84" s="80"/>
      <c r="D84" s="51"/>
      <c r="E84" s="83"/>
      <c r="F84" s="61"/>
      <c r="G84" s="61"/>
      <c r="H84" s="76"/>
      <c r="I84" s="76"/>
      <c r="J84" s="63"/>
      <c r="K84" s="49"/>
      <c r="L84" s="63"/>
      <c r="M84" s="63" t="s">
        <v>30</v>
      </c>
      <c r="N84" s="63" t="s">
        <v>31</v>
      </c>
      <c r="O84" s="63" t="str">
        <f t="shared" si="13"/>
        <v>click</v>
      </c>
      <c r="P84" s="63" t="str">
        <f t="shared" si="14"/>
        <v>();</v>
      </c>
      <c r="Q84" s="63" t="str">
        <f t="shared" si="15"/>
        <v/>
      </c>
      <c r="R84" s="63" t="str">
        <f t="shared" si="16"/>
        <v/>
      </c>
      <c r="S84" s="63" t="str">
        <f t="shared" si="17"/>
        <v/>
      </c>
      <c r="T84" s="63"/>
      <c r="U84" s="63"/>
      <c r="V84" s="63"/>
      <c r="W84" s="63"/>
      <c r="X84" s="63"/>
      <c r="Y84" s="63"/>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A84" s="63"/>
      <c r="BB84" s="63"/>
      <c r="BC84" s="63"/>
      <c r="BD84" s="63"/>
      <c r="BE84" s="63"/>
      <c r="BF84" s="63"/>
      <c r="BG84" s="63"/>
      <c r="BH84" s="63"/>
      <c r="BI84" s="63"/>
      <c r="BJ84" s="63"/>
      <c r="BK84" s="63"/>
      <c r="BL84" s="63"/>
      <c r="BM84" s="63"/>
      <c r="BN84" s="63"/>
      <c r="BO84" s="63"/>
      <c r="BP84" s="63"/>
      <c r="BQ84" s="63"/>
      <c r="BR84" s="63"/>
      <c r="BS84" s="63"/>
      <c r="CZ84" s="59"/>
      <c r="DA84" s="59"/>
      <c r="DB84" s="59"/>
      <c r="DC84" s="59"/>
      <c r="DD84" s="59"/>
      <c r="DE84" s="59"/>
      <c r="DF84" s="59"/>
      <c r="DG84" s="59"/>
      <c r="DH84" s="59"/>
      <c r="DI84" s="59"/>
      <c r="DJ84" s="59"/>
      <c r="DK84" s="59"/>
      <c r="DL84" s="59"/>
    </row>
    <row r="85" spans="1:116" s="53" customFormat="1" ht="28.15" hidden="1" customHeight="1">
      <c r="A85" s="61"/>
      <c r="B85" s="61"/>
      <c r="C85" s="80"/>
      <c r="D85" s="51"/>
      <c r="E85" s="83"/>
      <c r="F85" s="61"/>
      <c r="G85" s="61"/>
      <c r="H85" s="76"/>
      <c r="I85" s="76"/>
      <c r="J85" s="63"/>
      <c r="K85" s="49"/>
      <c r="L85" s="63"/>
      <c r="M85" s="63" t="s">
        <v>30</v>
      </c>
      <c r="N85" s="63" t="s">
        <v>31</v>
      </c>
      <c r="O85" s="63" t="str">
        <f t="shared" si="13"/>
        <v>click</v>
      </c>
      <c r="P85" s="63" t="str">
        <f t="shared" si="14"/>
        <v>();</v>
      </c>
      <c r="Q85" s="63" t="str">
        <f t="shared" si="15"/>
        <v/>
      </c>
      <c r="R85" s="63" t="str">
        <f t="shared" si="16"/>
        <v/>
      </c>
      <c r="S85" s="63" t="str">
        <f t="shared" si="17"/>
        <v/>
      </c>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c r="BJ85" s="63"/>
      <c r="BK85" s="63"/>
      <c r="BL85" s="63"/>
      <c r="BM85" s="63"/>
      <c r="BN85" s="63"/>
      <c r="BO85" s="63"/>
      <c r="BP85" s="63"/>
      <c r="BQ85" s="63"/>
      <c r="BR85" s="63"/>
      <c r="BS85" s="63"/>
      <c r="CZ85" s="59"/>
      <c r="DA85" s="59"/>
      <c r="DB85" s="59"/>
      <c r="DC85" s="59"/>
      <c r="DD85" s="59"/>
      <c r="DE85" s="59"/>
      <c r="DF85" s="59"/>
      <c r="DG85" s="59"/>
      <c r="DH85" s="59"/>
      <c r="DI85" s="59"/>
      <c r="DJ85" s="59"/>
      <c r="DK85" s="59"/>
      <c r="DL85" s="59"/>
    </row>
    <row r="86" spans="1:116" s="53" customFormat="1" ht="28.15" hidden="1" customHeight="1">
      <c r="A86" s="61"/>
      <c r="B86" s="61"/>
      <c r="C86" s="80"/>
      <c r="D86" s="51"/>
      <c r="E86" s="83"/>
      <c r="F86" s="61"/>
      <c r="G86" s="61"/>
      <c r="H86" s="76"/>
      <c r="I86" s="76"/>
      <c r="J86" s="63"/>
      <c r="K86" s="49"/>
      <c r="L86" s="63"/>
      <c r="M86" s="63" t="s">
        <v>30</v>
      </c>
      <c r="N86" s="63" t="s">
        <v>31</v>
      </c>
      <c r="O86" s="63" t="str">
        <f t="shared" si="13"/>
        <v>click</v>
      </c>
      <c r="P86" s="63" t="str">
        <f t="shared" si="14"/>
        <v>();</v>
      </c>
      <c r="Q86" s="63" t="str">
        <f t="shared" si="15"/>
        <v/>
      </c>
      <c r="R86" s="63" t="str">
        <f t="shared" si="16"/>
        <v/>
      </c>
      <c r="S86" s="63" t="str">
        <f t="shared" si="17"/>
        <v/>
      </c>
      <c r="T86" s="63"/>
      <c r="U86" s="63"/>
      <c r="V86" s="63"/>
      <c r="W86" s="63"/>
      <c r="X86" s="63"/>
      <c r="Y86" s="63"/>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c r="BC86" s="63"/>
      <c r="BD86" s="63"/>
      <c r="BE86" s="63"/>
      <c r="BF86" s="63"/>
      <c r="BG86" s="63"/>
      <c r="BH86" s="63"/>
      <c r="BI86" s="63"/>
      <c r="BJ86" s="63"/>
      <c r="BK86" s="63"/>
      <c r="BL86" s="63"/>
      <c r="BM86" s="63"/>
      <c r="BN86" s="63"/>
      <c r="BO86" s="63"/>
      <c r="BP86" s="63"/>
      <c r="BQ86" s="63"/>
      <c r="BR86" s="63"/>
      <c r="BS86" s="63"/>
      <c r="CZ86" s="59"/>
      <c r="DA86" s="59"/>
      <c r="DB86" s="59"/>
      <c r="DC86" s="59"/>
      <c r="DD86" s="59"/>
      <c r="DE86" s="59"/>
      <c r="DF86" s="59"/>
      <c r="DG86" s="59"/>
      <c r="DH86" s="59"/>
      <c r="DI86" s="59"/>
      <c r="DJ86" s="59"/>
      <c r="DK86" s="59"/>
      <c r="DL86" s="59"/>
    </row>
    <row r="87" spans="1:116" s="53" customFormat="1" ht="28.15" hidden="1" customHeight="1">
      <c r="A87" s="61"/>
      <c r="B87" s="61"/>
      <c r="C87" s="80"/>
      <c r="D87" s="51"/>
      <c r="E87" s="83"/>
      <c r="F87" s="61"/>
      <c r="G87" s="61"/>
      <c r="H87" s="76"/>
      <c r="I87" s="76"/>
      <c r="J87" s="63"/>
      <c r="K87" s="49"/>
      <c r="L87" s="63"/>
      <c r="M87" s="63" t="s">
        <v>30</v>
      </c>
      <c r="N87" s="63" t="s">
        <v>31</v>
      </c>
      <c r="O87" s="63" t="str">
        <f t="shared" si="13"/>
        <v>click</v>
      </c>
      <c r="P87" s="63" t="str">
        <f t="shared" si="14"/>
        <v>();</v>
      </c>
      <c r="Q87" s="63" t="str">
        <f t="shared" si="15"/>
        <v/>
      </c>
      <c r="R87" s="63" t="str">
        <f t="shared" si="16"/>
        <v/>
      </c>
      <c r="S87" s="63" t="str">
        <f t="shared" si="17"/>
        <v/>
      </c>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c r="BK87" s="63"/>
      <c r="BL87" s="63"/>
      <c r="BM87" s="63"/>
      <c r="BN87" s="63"/>
      <c r="BO87" s="63"/>
      <c r="BP87" s="63"/>
      <c r="BQ87" s="63"/>
      <c r="BR87" s="63"/>
      <c r="BS87" s="63"/>
      <c r="CZ87" s="59"/>
      <c r="DA87" s="59"/>
      <c r="DB87" s="59"/>
      <c r="DC87" s="59"/>
      <c r="DD87" s="59"/>
      <c r="DE87" s="59"/>
      <c r="DF87" s="59"/>
      <c r="DG87" s="59"/>
      <c r="DH87" s="59"/>
      <c r="DI87" s="59"/>
      <c r="DJ87" s="59"/>
      <c r="DK87" s="59"/>
      <c r="DL87" s="59"/>
    </row>
    <row r="88" spans="1:116" s="53" customFormat="1" ht="28.15" hidden="1" customHeight="1">
      <c r="A88" s="61"/>
      <c r="B88" s="61"/>
      <c r="C88" s="80"/>
      <c r="D88" s="51"/>
      <c r="E88" s="83"/>
      <c r="F88" s="61"/>
      <c r="G88" s="61"/>
      <c r="H88" s="76"/>
      <c r="I88" s="76"/>
      <c r="J88" s="63"/>
      <c r="K88" s="49"/>
      <c r="L88" s="63"/>
      <c r="M88" s="63" t="s">
        <v>30</v>
      </c>
      <c r="N88" s="63" t="s">
        <v>31</v>
      </c>
      <c r="O88" s="63" t="str">
        <f t="shared" si="13"/>
        <v>click</v>
      </c>
      <c r="P88" s="63" t="str">
        <f t="shared" si="14"/>
        <v>();</v>
      </c>
      <c r="Q88" s="63" t="str">
        <f t="shared" si="15"/>
        <v/>
      </c>
      <c r="R88" s="63" t="str">
        <f t="shared" si="16"/>
        <v/>
      </c>
      <c r="S88" s="63" t="str">
        <f t="shared" si="17"/>
        <v/>
      </c>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c r="BK88" s="63"/>
      <c r="BL88" s="63"/>
      <c r="BM88" s="63"/>
      <c r="BN88" s="63"/>
      <c r="BO88" s="63"/>
      <c r="BP88" s="63"/>
      <c r="BQ88" s="63"/>
      <c r="BR88" s="63"/>
      <c r="BS88" s="63"/>
      <c r="CZ88" s="59"/>
      <c r="DA88" s="59"/>
      <c r="DB88" s="59"/>
      <c r="DC88" s="59"/>
      <c r="DD88" s="59"/>
      <c r="DE88" s="59"/>
      <c r="DF88" s="59"/>
      <c r="DG88" s="59"/>
      <c r="DH88" s="59"/>
      <c r="DI88" s="59"/>
      <c r="DJ88" s="59"/>
      <c r="DK88" s="59"/>
      <c r="DL88" s="59"/>
    </row>
    <row r="89" spans="1:116" s="53" customFormat="1" ht="28.15" hidden="1" customHeight="1">
      <c r="A89" s="61"/>
      <c r="B89" s="61"/>
      <c r="C89" s="80"/>
      <c r="D89" s="51"/>
      <c r="E89" s="83"/>
      <c r="F89" s="61"/>
      <c r="G89" s="61"/>
      <c r="H89" s="76"/>
      <c r="I89" s="76"/>
      <c r="J89" s="63"/>
      <c r="K89" s="49"/>
      <c r="L89" s="63"/>
      <c r="M89" s="63" t="s">
        <v>30</v>
      </c>
      <c r="N89" s="63" t="s">
        <v>31</v>
      </c>
      <c r="O89" s="63" t="str">
        <f t="shared" si="13"/>
        <v>click</v>
      </c>
      <c r="P89" s="63" t="str">
        <f t="shared" si="14"/>
        <v>();</v>
      </c>
      <c r="Q89" s="63" t="str">
        <f t="shared" si="15"/>
        <v/>
      </c>
      <c r="R89" s="63" t="str">
        <f t="shared" si="16"/>
        <v/>
      </c>
      <c r="S89" s="63" t="str">
        <f t="shared" si="17"/>
        <v/>
      </c>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c r="BK89" s="63"/>
      <c r="BL89" s="63"/>
      <c r="BM89" s="63"/>
      <c r="BN89" s="63"/>
      <c r="BO89" s="63"/>
      <c r="BP89" s="63"/>
      <c r="BQ89" s="63"/>
      <c r="BR89" s="63"/>
      <c r="BS89" s="63"/>
      <c r="CZ89" s="59"/>
      <c r="DA89" s="59"/>
      <c r="DB89" s="59"/>
      <c r="DC89" s="59"/>
      <c r="DD89" s="59"/>
      <c r="DE89" s="59"/>
      <c r="DF89" s="59"/>
      <c r="DG89" s="59"/>
      <c r="DH89" s="59"/>
      <c r="DI89" s="59"/>
      <c r="DJ89" s="59"/>
      <c r="DK89" s="59"/>
      <c r="DL89" s="59"/>
    </row>
    <row r="90" spans="1:116" s="53" customFormat="1" ht="28.15" hidden="1" customHeight="1">
      <c r="A90" s="61"/>
      <c r="B90" s="61"/>
      <c r="C90" s="80"/>
      <c r="D90" s="51"/>
      <c r="E90" s="83"/>
      <c r="F90" s="61"/>
      <c r="G90" s="61"/>
      <c r="H90" s="76"/>
      <c r="I90" s="76"/>
      <c r="J90" s="63"/>
      <c r="K90" s="49"/>
      <c r="L90" s="63"/>
      <c r="M90" s="63" t="s">
        <v>30</v>
      </c>
      <c r="N90" s="63" t="s">
        <v>31</v>
      </c>
      <c r="O90" s="63" t="str">
        <f t="shared" si="13"/>
        <v>click</v>
      </c>
      <c r="P90" s="63" t="str">
        <f t="shared" si="14"/>
        <v>();</v>
      </c>
      <c r="Q90" s="63" t="str">
        <f t="shared" si="15"/>
        <v/>
      </c>
      <c r="R90" s="63" t="str">
        <f t="shared" si="16"/>
        <v/>
      </c>
      <c r="S90" s="63" t="str">
        <f t="shared" si="17"/>
        <v/>
      </c>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c r="BK90" s="63"/>
      <c r="BL90" s="63"/>
      <c r="BM90" s="63"/>
      <c r="BN90" s="63"/>
      <c r="BO90" s="63"/>
      <c r="BP90" s="63"/>
      <c r="BQ90" s="63"/>
      <c r="BR90" s="63"/>
      <c r="BS90" s="63"/>
      <c r="CZ90" s="59"/>
      <c r="DA90" s="59"/>
      <c r="DB90" s="59"/>
      <c r="DC90" s="59"/>
      <c r="DD90" s="59"/>
      <c r="DE90" s="59"/>
      <c r="DF90" s="59"/>
      <c r="DG90" s="59"/>
      <c r="DH90" s="59"/>
      <c r="DI90" s="59"/>
      <c r="DJ90" s="59"/>
      <c r="DK90" s="59"/>
      <c r="DL90" s="59"/>
    </row>
    <row r="91" spans="1:116" ht="28.15" hidden="1" customHeight="1">
      <c r="C91" s="80"/>
      <c r="D91" s="51"/>
      <c r="H91" s="76"/>
      <c r="I91" s="76"/>
      <c r="J91" s="63"/>
      <c r="K91" s="49"/>
      <c r="L91" s="63"/>
      <c r="M91" s="63" t="s">
        <v>30</v>
      </c>
      <c r="N91" s="63" t="s">
        <v>31</v>
      </c>
      <c r="O91" s="63" t="str">
        <f t="shared" si="13"/>
        <v>click</v>
      </c>
      <c r="P91" s="63" t="str">
        <f t="shared" si="14"/>
        <v>();</v>
      </c>
      <c r="Q91" s="63" t="str">
        <f t="shared" si="15"/>
        <v/>
      </c>
      <c r="R91" s="63" t="str">
        <f t="shared" si="16"/>
        <v/>
      </c>
      <c r="S91" s="63" t="str">
        <f t="shared" si="17"/>
        <v/>
      </c>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c r="BK91" s="63"/>
      <c r="BL91" s="63"/>
      <c r="BM91" s="63"/>
      <c r="BN91" s="63"/>
      <c r="BO91" s="63"/>
      <c r="BP91" s="63"/>
      <c r="BQ91" s="63"/>
      <c r="BR91" s="63"/>
      <c r="BS91" s="63"/>
      <c r="CZ91" s="66"/>
      <c r="DA91" s="66"/>
      <c r="DB91" s="66"/>
      <c r="DC91" s="66"/>
      <c r="DD91" s="66"/>
      <c r="DE91" s="66"/>
      <c r="DF91" s="66"/>
      <c r="DG91" s="66"/>
      <c r="DH91" s="66"/>
      <c r="DI91" s="66"/>
      <c r="DJ91" s="66"/>
      <c r="DK91" s="66"/>
      <c r="DL91" s="66"/>
    </row>
    <row r="92" spans="1:116" s="53" customFormat="1" ht="28.15" hidden="1" customHeight="1">
      <c r="A92" s="61"/>
      <c r="B92" s="61"/>
      <c r="C92" s="80"/>
      <c r="D92" s="51"/>
      <c r="E92" s="83"/>
      <c r="F92" s="61"/>
      <c r="G92" s="61"/>
      <c r="H92" s="76"/>
      <c r="I92" s="76"/>
      <c r="J92" s="63"/>
      <c r="K92" s="49"/>
      <c r="L92" s="63"/>
      <c r="M92" s="63" t="s">
        <v>30</v>
      </c>
      <c r="N92" s="63" t="s">
        <v>31</v>
      </c>
      <c r="O92" s="63" t="str">
        <f t="shared" si="13"/>
        <v>click</v>
      </c>
      <c r="P92" s="63" t="str">
        <f t="shared" si="14"/>
        <v>();</v>
      </c>
      <c r="Q92" s="63" t="str">
        <f t="shared" si="15"/>
        <v/>
      </c>
      <c r="R92" s="63" t="str">
        <f t="shared" si="16"/>
        <v/>
      </c>
      <c r="S92" s="63" t="str">
        <f t="shared" si="17"/>
        <v/>
      </c>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c r="BK92" s="63"/>
      <c r="BL92" s="63"/>
      <c r="BM92" s="63"/>
      <c r="BN92" s="63"/>
      <c r="BO92" s="63"/>
      <c r="BP92" s="63"/>
      <c r="BQ92" s="63"/>
      <c r="BR92" s="63"/>
      <c r="BS92" s="63"/>
      <c r="CZ92" s="59"/>
      <c r="DA92" s="59"/>
      <c r="DB92" s="59"/>
      <c r="DC92" s="59"/>
      <c r="DD92" s="59"/>
      <c r="DE92" s="59"/>
      <c r="DF92" s="59"/>
      <c r="DG92" s="59"/>
      <c r="DH92" s="59"/>
      <c r="DI92" s="59"/>
      <c r="DJ92" s="59"/>
      <c r="DK92" s="59"/>
      <c r="DL92" s="59"/>
    </row>
    <row r="93" spans="1:116" s="53" customFormat="1" ht="28.15" hidden="1" customHeight="1">
      <c r="A93" s="61"/>
      <c r="B93" s="61"/>
      <c r="C93" s="80"/>
      <c r="D93" s="51"/>
      <c r="E93" s="83"/>
      <c r="F93" s="61"/>
      <c r="G93" s="61"/>
      <c r="H93" s="76"/>
      <c r="I93" s="76"/>
      <c r="J93" s="63"/>
      <c r="K93" s="49"/>
      <c r="L93" s="63"/>
      <c r="M93" s="63" t="s">
        <v>30</v>
      </c>
      <c r="N93" s="63" t="s">
        <v>31</v>
      </c>
      <c r="O93" s="63" t="str">
        <f t="shared" si="13"/>
        <v>click</v>
      </c>
      <c r="P93" s="63" t="str">
        <f t="shared" si="14"/>
        <v>();</v>
      </c>
      <c r="Q93" s="63" t="str">
        <f t="shared" si="15"/>
        <v/>
      </c>
      <c r="R93" s="63" t="str">
        <f t="shared" si="16"/>
        <v/>
      </c>
      <c r="S93" s="63" t="str">
        <f t="shared" si="17"/>
        <v/>
      </c>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c r="BK93" s="63"/>
      <c r="BL93" s="63"/>
      <c r="BM93" s="63"/>
      <c r="BN93" s="63"/>
      <c r="BO93" s="63"/>
      <c r="BP93" s="63"/>
      <c r="BQ93" s="63"/>
      <c r="BR93" s="63"/>
      <c r="BS93" s="63"/>
      <c r="CZ93" s="59"/>
      <c r="DA93" s="59"/>
      <c r="DB93" s="59"/>
      <c r="DC93" s="59"/>
      <c r="DD93" s="59"/>
      <c r="DE93" s="59"/>
      <c r="DF93" s="59"/>
      <c r="DG93" s="59"/>
      <c r="DH93" s="59"/>
      <c r="DI93" s="59"/>
      <c r="DJ93" s="59"/>
      <c r="DK93" s="59"/>
      <c r="DL93" s="59"/>
    </row>
    <row r="94" spans="1:116" s="53" customFormat="1" ht="28.15" hidden="1" customHeight="1">
      <c r="A94" s="61"/>
      <c r="B94" s="61"/>
      <c r="C94" s="80"/>
      <c r="D94" s="51"/>
      <c r="E94" s="83"/>
      <c r="F94" s="61"/>
      <c r="G94" s="61"/>
      <c r="H94" s="76"/>
      <c r="I94" s="76"/>
      <c r="J94" s="63"/>
      <c r="K94" s="49"/>
      <c r="L94" s="63"/>
      <c r="M94" s="63" t="s">
        <v>30</v>
      </c>
      <c r="N94" s="63" t="s">
        <v>31</v>
      </c>
      <c r="O94" s="63" t="str">
        <f t="shared" si="13"/>
        <v>click</v>
      </c>
      <c r="P94" s="63" t="str">
        <f t="shared" si="14"/>
        <v>();</v>
      </c>
      <c r="Q94" s="63" t="str">
        <f t="shared" si="15"/>
        <v/>
      </c>
      <c r="R94" s="63" t="str">
        <f t="shared" si="16"/>
        <v/>
      </c>
      <c r="S94" s="63" t="str">
        <f t="shared" si="17"/>
        <v/>
      </c>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c r="BK94" s="63"/>
      <c r="BL94" s="63"/>
      <c r="BM94" s="63"/>
      <c r="BN94" s="63"/>
      <c r="BO94" s="63"/>
      <c r="BP94" s="63"/>
      <c r="BQ94" s="63"/>
      <c r="BR94" s="63"/>
      <c r="BS94" s="63"/>
      <c r="CZ94" s="59"/>
      <c r="DA94" s="59"/>
      <c r="DB94" s="59"/>
      <c r="DC94" s="59"/>
      <c r="DD94" s="59"/>
      <c r="DE94" s="59"/>
      <c r="DF94" s="59"/>
      <c r="DG94" s="59"/>
      <c r="DH94" s="59"/>
      <c r="DI94" s="59"/>
      <c r="DJ94" s="59"/>
      <c r="DK94" s="59"/>
      <c r="DL94" s="59"/>
    </row>
    <row r="95" spans="1:116" s="53" customFormat="1" ht="28.15" hidden="1" customHeight="1">
      <c r="A95" s="61"/>
      <c r="B95" s="61"/>
      <c r="C95" s="80"/>
      <c r="D95" s="51"/>
      <c r="E95" s="83"/>
      <c r="F95" s="61"/>
      <c r="G95" s="61"/>
      <c r="H95" s="76"/>
      <c r="I95" s="76"/>
      <c r="J95" s="63"/>
      <c r="K95" s="49"/>
      <c r="L95" s="63"/>
      <c r="M95" s="63" t="s">
        <v>30</v>
      </c>
      <c r="N95" s="63" t="s">
        <v>31</v>
      </c>
      <c r="O95" s="63" t="str">
        <f t="shared" si="13"/>
        <v>click</v>
      </c>
      <c r="P95" s="63" t="str">
        <f t="shared" si="14"/>
        <v>();</v>
      </c>
      <c r="Q95" s="63" t="str">
        <f t="shared" si="15"/>
        <v/>
      </c>
      <c r="R95" s="63" t="str">
        <f t="shared" si="16"/>
        <v/>
      </c>
      <c r="S95" s="63" t="str">
        <f t="shared" si="17"/>
        <v/>
      </c>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c r="BK95" s="63"/>
      <c r="BL95" s="63"/>
      <c r="BM95" s="63"/>
      <c r="BN95" s="63"/>
      <c r="BO95" s="63"/>
      <c r="BP95" s="63"/>
      <c r="BQ95" s="63"/>
      <c r="BR95" s="63"/>
      <c r="BS95" s="63"/>
      <c r="CZ95" s="59"/>
      <c r="DA95" s="59"/>
      <c r="DB95" s="59"/>
      <c r="DC95" s="59"/>
      <c r="DD95" s="59"/>
      <c r="DE95" s="59"/>
      <c r="DF95" s="59"/>
      <c r="DG95" s="59"/>
      <c r="DH95" s="59"/>
      <c r="DI95" s="59"/>
      <c r="DJ95" s="59"/>
      <c r="DK95" s="59"/>
      <c r="DL95" s="59"/>
    </row>
    <row r="96" spans="1:116" s="53" customFormat="1" ht="28.15" hidden="1" customHeight="1">
      <c r="A96" s="61"/>
      <c r="B96" s="61"/>
      <c r="C96" s="80"/>
      <c r="D96" s="51"/>
      <c r="E96" s="83"/>
      <c r="F96" s="61"/>
      <c r="G96" s="61"/>
      <c r="H96" s="76"/>
      <c r="I96" s="76"/>
      <c r="J96" s="63"/>
      <c r="K96" s="49"/>
      <c r="L96" s="63"/>
      <c r="M96" s="63" t="s">
        <v>30</v>
      </c>
      <c r="N96" s="63" t="s">
        <v>31</v>
      </c>
      <c r="O96" s="63" t="str">
        <f t="shared" si="13"/>
        <v>click</v>
      </c>
      <c r="P96" s="63" t="str">
        <f t="shared" si="14"/>
        <v>();</v>
      </c>
      <c r="Q96" s="63" t="str">
        <f t="shared" si="15"/>
        <v/>
      </c>
      <c r="R96" s="63" t="str">
        <f t="shared" si="16"/>
        <v/>
      </c>
      <c r="S96" s="63" t="str">
        <f t="shared" si="17"/>
        <v/>
      </c>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c r="BK96" s="63"/>
      <c r="BL96" s="63"/>
      <c r="BM96" s="63"/>
      <c r="BN96" s="63"/>
      <c r="BO96" s="63"/>
      <c r="BP96" s="63"/>
      <c r="BQ96" s="63"/>
      <c r="BR96" s="63"/>
      <c r="BS96" s="63"/>
      <c r="CZ96" s="59"/>
      <c r="DA96" s="59"/>
      <c r="DB96" s="59"/>
      <c r="DC96" s="59"/>
      <c r="DD96" s="59"/>
      <c r="DE96" s="59"/>
      <c r="DF96" s="59"/>
      <c r="DG96" s="59"/>
      <c r="DH96" s="59"/>
      <c r="DI96" s="59"/>
      <c r="DJ96" s="59"/>
      <c r="DK96" s="59"/>
      <c r="DL96" s="59"/>
    </row>
    <row r="97" spans="1:132" s="53" customFormat="1" ht="28.15" hidden="1" customHeight="1">
      <c r="A97" s="61"/>
      <c r="B97" s="61"/>
      <c r="C97" s="80"/>
      <c r="D97" s="51"/>
      <c r="E97" s="83"/>
      <c r="F97" s="61"/>
      <c r="G97" s="61"/>
      <c r="H97" s="76"/>
      <c r="I97" s="76"/>
      <c r="J97" s="63"/>
      <c r="K97" s="49"/>
      <c r="L97" s="63"/>
      <c r="M97" s="63" t="s">
        <v>30</v>
      </c>
      <c r="N97" s="63" t="s">
        <v>31</v>
      </c>
      <c r="O97" s="63" t="str">
        <f t="shared" si="13"/>
        <v>click</v>
      </c>
      <c r="P97" s="63" t="str">
        <f t="shared" si="14"/>
        <v>();</v>
      </c>
      <c r="Q97" s="63" t="str">
        <f t="shared" si="15"/>
        <v/>
      </c>
      <c r="R97" s="63" t="str">
        <f t="shared" si="16"/>
        <v/>
      </c>
      <c r="S97" s="63" t="str">
        <f t="shared" si="17"/>
        <v/>
      </c>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c r="BK97" s="63"/>
      <c r="BL97" s="63"/>
      <c r="BM97" s="63"/>
      <c r="BN97" s="63"/>
      <c r="BO97" s="63"/>
      <c r="BP97" s="63"/>
      <c r="BQ97" s="63"/>
      <c r="BR97" s="63"/>
      <c r="BS97" s="63"/>
      <c r="CZ97" s="59"/>
      <c r="DA97" s="59"/>
      <c r="DB97" s="59"/>
      <c r="DC97" s="59"/>
      <c r="DD97" s="59"/>
      <c r="DE97" s="59"/>
      <c r="DF97" s="59"/>
      <c r="DG97" s="59"/>
      <c r="DH97" s="59"/>
      <c r="DI97" s="59"/>
      <c r="DJ97" s="59"/>
      <c r="DK97" s="59"/>
      <c r="DL97" s="59"/>
    </row>
    <row r="98" spans="1:132" s="53" customFormat="1" ht="28.15" hidden="1" customHeight="1">
      <c r="A98" s="61"/>
      <c r="B98" s="61"/>
      <c r="C98" s="80"/>
      <c r="D98" s="51"/>
      <c r="E98" s="83"/>
      <c r="F98" s="61"/>
      <c r="G98" s="61"/>
      <c r="H98" s="76"/>
      <c r="I98" s="76"/>
      <c r="J98" s="63"/>
      <c r="K98" s="49"/>
      <c r="L98" s="63"/>
      <c r="M98" s="63" t="s">
        <v>30</v>
      </c>
      <c r="N98" s="63" t="s">
        <v>31</v>
      </c>
      <c r="O98" s="63" t="str">
        <f t="shared" si="13"/>
        <v>click</v>
      </c>
      <c r="P98" s="63" t="str">
        <f t="shared" si="14"/>
        <v>();</v>
      </c>
      <c r="Q98" s="63" t="str">
        <f t="shared" si="15"/>
        <v/>
      </c>
      <c r="R98" s="63" t="str">
        <f t="shared" si="16"/>
        <v/>
      </c>
      <c r="S98" s="63" t="str">
        <f t="shared" si="17"/>
        <v/>
      </c>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c r="BK98" s="63"/>
      <c r="BL98" s="63"/>
      <c r="BM98" s="63"/>
      <c r="BN98" s="63"/>
      <c r="BO98" s="63"/>
      <c r="BP98" s="63"/>
      <c r="BQ98" s="63"/>
      <c r="BR98" s="63"/>
      <c r="BS98" s="63"/>
      <c r="CZ98" s="59"/>
      <c r="DA98" s="59"/>
      <c r="DB98" s="59"/>
      <c r="DC98" s="59"/>
      <c r="DD98" s="59"/>
      <c r="DE98" s="59"/>
      <c r="DF98" s="59"/>
      <c r="DG98" s="59"/>
      <c r="DH98" s="59"/>
      <c r="DI98" s="59"/>
      <c r="DJ98" s="59"/>
      <c r="DK98" s="59"/>
      <c r="DL98" s="59"/>
    </row>
    <row r="99" spans="1:132" s="53" customFormat="1" ht="28.15" hidden="1" customHeight="1">
      <c r="A99" s="61"/>
      <c r="B99" s="61"/>
      <c r="C99" s="80"/>
      <c r="D99" s="51"/>
      <c r="E99" s="83"/>
      <c r="F99" s="61"/>
      <c r="G99" s="61"/>
      <c r="H99" s="76"/>
      <c r="I99" s="76"/>
      <c r="J99" s="63"/>
      <c r="K99" s="49"/>
      <c r="L99" s="63"/>
      <c r="M99" s="63" t="s">
        <v>30</v>
      </c>
      <c r="N99" s="63" t="s">
        <v>31</v>
      </c>
      <c r="O99" s="63" t="str">
        <f t="shared" si="13"/>
        <v>click</v>
      </c>
      <c r="P99" s="63" t="str">
        <f t="shared" si="14"/>
        <v>();</v>
      </c>
      <c r="Q99" s="63" t="str">
        <f t="shared" si="15"/>
        <v/>
      </c>
      <c r="R99" s="63" t="str">
        <f t="shared" si="16"/>
        <v/>
      </c>
      <c r="S99" s="63" t="str">
        <f t="shared" si="17"/>
        <v/>
      </c>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c r="BK99" s="63"/>
      <c r="BL99" s="63"/>
      <c r="BM99" s="63"/>
      <c r="BN99" s="63"/>
      <c r="BO99" s="63"/>
      <c r="BP99" s="63"/>
      <c r="BQ99" s="63"/>
      <c r="BR99" s="63"/>
      <c r="BS99" s="63"/>
      <c r="CZ99" s="59"/>
      <c r="DA99" s="59"/>
      <c r="DB99" s="59"/>
      <c r="DC99" s="59"/>
      <c r="DD99" s="59"/>
      <c r="DE99" s="59"/>
      <c r="DF99" s="59"/>
      <c r="DG99" s="59"/>
      <c r="DH99" s="59"/>
      <c r="DI99" s="59"/>
      <c r="DJ99" s="59"/>
      <c r="DK99" s="59"/>
      <c r="DL99" s="59"/>
    </row>
    <row r="100" spans="1:132" s="53" customFormat="1" ht="28.15" hidden="1" customHeight="1">
      <c r="A100" s="61"/>
      <c r="B100" s="61"/>
      <c r="C100" s="80"/>
      <c r="D100" s="51"/>
      <c r="E100" s="83"/>
      <c r="F100" s="61"/>
      <c r="G100" s="61"/>
      <c r="H100" s="76"/>
      <c r="I100" s="76"/>
      <c r="J100" s="63"/>
      <c r="K100" s="49"/>
      <c r="L100" s="63"/>
      <c r="M100" s="63" t="s">
        <v>30</v>
      </c>
      <c r="N100" s="63" t="s">
        <v>31</v>
      </c>
      <c r="O100" s="63" t="str">
        <f t="shared" si="13"/>
        <v>click</v>
      </c>
      <c r="P100" s="63" t="str">
        <f t="shared" si="14"/>
        <v>();</v>
      </c>
      <c r="Q100" s="63" t="str">
        <f t="shared" si="15"/>
        <v/>
      </c>
      <c r="R100" s="63" t="str">
        <f t="shared" si="16"/>
        <v/>
      </c>
      <c r="S100" s="63" t="str">
        <f t="shared" si="17"/>
        <v/>
      </c>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c r="BK100" s="63"/>
      <c r="BL100" s="63"/>
      <c r="BM100" s="63"/>
      <c r="BN100" s="63"/>
      <c r="BO100" s="63"/>
      <c r="BP100" s="63"/>
      <c r="BQ100" s="63"/>
      <c r="BR100" s="63"/>
      <c r="BS100" s="63"/>
      <c r="CZ100" s="59"/>
      <c r="DA100" s="59"/>
      <c r="DB100" s="59"/>
      <c r="DC100" s="59"/>
      <c r="DD100" s="59"/>
      <c r="DE100" s="59"/>
      <c r="DF100" s="59"/>
      <c r="DG100" s="59"/>
      <c r="DH100" s="59"/>
      <c r="DI100" s="59"/>
      <c r="DJ100" s="59"/>
      <c r="DK100" s="59"/>
      <c r="DL100" s="59"/>
    </row>
    <row r="101" spans="1:132" s="53" customFormat="1" ht="28.15" hidden="1" customHeight="1">
      <c r="A101" s="61"/>
      <c r="B101" s="61"/>
      <c r="C101" s="80"/>
      <c r="D101" s="51"/>
      <c r="E101" s="83"/>
      <c r="F101" s="61"/>
      <c r="G101" s="61"/>
      <c r="H101" s="76"/>
      <c r="I101" s="76"/>
      <c r="J101" s="63"/>
      <c r="K101" s="49"/>
      <c r="L101" s="63"/>
      <c r="M101" s="63" t="s">
        <v>30</v>
      </c>
      <c r="N101" s="63" t="s">
        <v>31</v>
      </c>
      <c r="O101" s="63" t="str">
        <f t="shared" si="13"/>
        <v>click</v>
      </c>
      <c r="P101" s="63" t="str">
        <f t="shared" si="14"/>
        <v>();</v>
      </c>
      <c r="Q101" s="63" t="str">
        <f t="shared" si="15"/>
        <v/>
      </c>
      <c r="R101" s="63" t="str">
        <f t="shared" si="16"/>
        <v/>
      </c>
      <c r="S101" s="63" t="str">
        <f t="shared" si="17"/>
        <v/>
      </c>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c r="BK101" s="63"/>
      <c r="BL101" s="63"/>
      <c r="BM101" s="63"/>
      <c r="BN101" s="63"/>
      <c r="BO101" s="63"/>
      <c r="BP101" s="63"/>
      <c r="BQ101" s="63"/>
      <c r="BR101" s="63"/>
      <c r="BS101" s="63"/>
      <c r="CZ101" s="59"/>
      <c r="DA101" s="59"/>
      <c r="DB101" s="59"/>
      <c r="DC101" s="59"/>
      <c r="DD101" s="59"/>
      <c r="DE101" s="59"/>
      <c r="DF101" s="59"/>
      <c r="DG101" s="59"/>
      <c r="DH101" s="59"/>
      <c r="DI101" s="59"/>
      <c r="DJ101" s="59"/>
      <c r="DK101" s="59"/>
      <c r="DL101" s="59"/>
    </row>
    <row r="102" spans="1:132" s="53" customFormat="1" ht="28.15" hidden="1" customHeight="1">
      <c r="A102" s="61"/>
      <c r="B102" s="61"/>
      <c r="C102" s="80"/>
      <c r="D102" s="51"/>
      <c r="E102" s="83"/>
      <c r="F102" s="61"/>
      <c r="G102" s="61"/>
      <c r="H102" s="76"/>
      <c r="I102" s="76"/>
      <c r="J102" s="63"/>
      <c r="K102" s="49"/>
      <c r="L102" s="63"/>
      <c r="M102" s="63" t="s">
        <v>30</v>
      </c>
      <c r="N102" s="63" t="s">
        <v>31</v>
      </c>
      <c r="O102" s="63" t="str">
        <f t="shared" si="13"/>
        <v>click</v>
      </c>
      <c r="P102" s="63" t="str">
        <f t="shared" si="14"/>
        <v>();</v>
      </c>
      <c r="Q102" s="63" t="str">
        <f t="shared" si="15"/>
        <v/>
      </c>
      <c r="R102" s="63" t="str">
        <f t="shared" si="16"/>
        <v/>
      </c>
      <c r="S102" s="63" t="str">
        <f t="shared" si="17"/>
        <v/>
      </c>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c r="BK102" s="63"/>
      <c r="BL102" s="63"/>
      <c r="BM102" s="63"/>
      <c r="BN102" s="63"/>
      <c r="BO102" s="63"/>
      <c r="BP102" s="63"/>
      <c r="BQ102" s="63"/>
      <c r="BR102" s="63"/>
      <c r="BS102" s="63"/>
      <c r="CZ102" s="59"/>
      <c r="DA102" s="59"/>
      <c r="DB102" s="59"/>
      <c r="DC102" s="59"/>
      <c r="DD102" s="59"/>
      <c r="DE102" s="59"/>
      <c r="DF102" s="59"/>
      <c r="DG102" s="59"/>
      <c r="DH102" s="59"/>
      <c r="DI102" s="59"/>
      <c r="DJ102" s="59"/>
      <c r="DK102" s="59"/>
      <c r="DL102" s="59"/>
    </row>
    <row r="103" spans="1:132" s="53" customFormat="1" ht="28.15" hidden="1" customHeight="1">
      <c r="A103" s="61"/>
      <c r="B103" s="61"/>
      <c r="C103" s="80"/>
      <c r="D103" s="51"/>
      <c r="E103" s="83"/>
      <c r="F103" s="61"/>
      <c r="G103" s="61"/>
      <c r="H103" s="76"/>
      <c r="I103" s="76"/>
      <c r="J103" s="63"/>
      <c r="K103" s="49"/>
      <c r="L103" s="63"/>
      <c r="M103" s="63" t="s">
        <v>30</v>
      </c>
      <c r="N103" s="63" t="s">
        <v>31</v>
      </c>
      <c r="O103" s="63" t="str">
        <f t="shared" si="13"/>
        <v>click</v>
      </c>
      <c r="P103" s="63" t="str">
        <f t="shared" si="14"/>
        <v>();</v>
      </c>
      <c r="Q103" s="63" t="str">
        <f t="shared" si="15"/>
        <v/>
      </c>
      <c r="R103" s="63" t="str">
        <f t="shared" si="16"/>
        <v/>
      </c>
      <c r="S103" s="63" t="str">
        <f t="shared" si="17"/>
        <v/>
      </c>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63"/>
      <c r="BN103" s="63"/>
      <c r="BO103" s="63"/>
      <c r="BP103" s="63"/>
      <c r="BQ103" s="63"/>
      <c r="BR103" s="63"/>
      <c r="BS103" s="63"/>
      <c r="CZ103" s="59"/>
      <c r="DA103" s="59"/>
      <c r="DB103" s="59"/>
      <c r="DC103" s="59"/>
      <c r="DD103" s="59"/>
      <c r="DE103" s="59"/>
      <c r="DF103" s="59"/>
      <c r="DG103" s="59"/>
      <c r="DH103" s="59"/>
      <c r="DI103" s="59"/>
      <c r="DJ103" s="59"/>
      <c r="DK103" s="59"/>
      <c r="DL103" s="59"/>
    </row>
    <row r="104" spans="1:132" s="53" customFormat="1" ht="28.15" hidden="1" customHeight="1">
      <c r="A104" s="61"/>
      <c r="B104" s="61"/>
      <c r="C104" s="80"/>
      <c r="D104" s="51"/>
      <c r="E104" s="83"/>
      <c r="F104" s="61"/>
      <c r="G104" s="61"/>
      <c r="H104" s="76"/>
      <c r="I104" s="76"/>
      <c r="J104" s="63"/>
      <c r="K104" s="49"/>
      <c r="L104" s="63"/>
      <c r="M104" s="63" t="s">
        <v>30</v>
      </c>
      <c r="N104" s="63" t="s">
        <v>31</v>
      </c>
      <c r="O104" s="63" t="str">
        <f t="shared" si="13"/>
        <v>click</v>
      </c>
      <c r="P104" s="63" t="str">
        <f t="shared" si="14"/>
        <v>();</v>
      </c>
      <c r="Q104" s="63" t="str">
        <f t="shared" si="15"/>
        <v/>
      </c>
      <c r="R104" s="63" t="str">
        <f t="shared" si="16"/>
        <v/>
      </c>
      <c r="S104" s="63" t="str">
        <f t="shared" si="17"/>
        <v/>
      </c>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c r="BK104" s="63"/>
      <c r="BL104" s="63"/>
      <c r="BM104" s="63"/>
      <c r="BN104" s="63"/>
      <c r="BO104" s="63"/>
      <c r="BP104" s="63"/>
      <c r="BQ104" s="63"/>
      <c r="BR104" s="63"/>
      <c r="BS104" s="63"/>
      <c r="CZ104" s="59"/>
      <c r="DA104" s="59"/>
      <c r="DB104" s="59"/>
      <c r="DC104" s="59"/>
      <c r="DD104" s="59"/>
      <c r="DE104" s="59"/>
      <c r="DF104" s="59"/>
      <c r="DG104" s="59"/>
      <c r="DH104" s="59"/>
      <c r="DI104" s="59"/>
      <c r="DJ104" s="59"/>
      <c r="DK104" s="59"/>
      <c r="DL104" s="59"/>
    </row>
    <row r="105" spans="1:132" s="53" customFormat="1" ht="28.15" hidden="1" customHeight="1">
      <c r="A105" s="61"/>
      <c r="B105" s="61"/>
      <c r="C105" s="80"/>
      <c r="D105" s="51"/>
      <c r="E105" s="83"/>
      <c r="F105" s="61"/>
      <c r="G105" s="61"/>
      <c r="H105" s="76"/>
      <c r="I105" s="76"/>
      <c r="J105" s="63"/>
      <c r="K105" s="49"/>
      <c r="L105" s="63"/>
      <c r="M105" s="63" t="s">
        <v>30</v>
      </c>
      <c r="N105" s="63" t="s">
        <v>31</v>
      </c>
      <c r="O105" s="63" t="str">
        <f t="shared" si="13"/>
        <v>click</v>
      </c>
      <c r="P105" s="63" t="str">
        <f t="shared" si="14"/>
        <v>();</v>
      </c>
      <c r="Q105" s="63" t="str">
        <f t="shared" si="15"/>
        <v/>
      </c>
      <c r="R105" s="63" t="str">
        <f t="shared" si="16"/>
        <v/>
      </c>
      <c r="S105" s="63" t="str">
        <f t="shared" si="17"/>
        <v/>
      </c>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c r="BK105" s="63"/>
      <c r="BL105" s="63"/>
      <c r="BM105" s="63"/>
      <c r="BN105" s="63"/>
      <c r="BO105" s="63"/>
      <c r="BP105" s="63"/>
      <c r="BQ105" s="63"/>
      <c r="BR105" s="63"/>
      <c r="BS105" s="63"/>
      <c r="CZ105" s="59"/>
      <c r="DA105" s="59"/>
      <c r="DB105" s="59"/>
      <c r="DC105" s="59"/>
      <c r="DD105" s="59"/>
      <c r="DE105" s="59"/>
      <c r="DF105" s="59"/>
      <c r="DG105" s="59"/>
      <c r="DH105" s="59"/>
      <c r="DI105" s="59"/>
      <c r="DJ105" s="59"/>
      <c r="DK105" s="59"/>
      <c r="DL105" s="59"/>
    </row>
    <row r="106" spans="1:132" s="53" customFormat="1" ht="28.15" hidden="1" customHeight="1">
      <c r="A106" s="61"/>
      <c r="B106" s="61"/>
      <c r="C106" s="80"/>
      <c r="D106" s="51"/>
      <c r="E106" s="83"/>
      <c r="F106" s="61"/>
      <c r="G106" s="61"/>
      <c r="H106" s="76"/>
      <c r="I106" s="76"/>
      <c r="J106" s="63"/>
      <c r="K106" s="49"/>
      <c r="L106" s="63"/>
      <c r="M106" s="63" t="s">
        <v>30</v>
      </c>
      <c r="N106" s="63" t="s">
        <v>31</v>
      </c>
      <c r="O106" s="63" t="str">
        <f t="shared" si="13"/>
        <v>click</v>
      </c>
      <c r="P106" s="63" t="str">
        <f t="shared" si="14"/>
        <v>();</v>
      </c>
      <c r="Q106" s="63" t="str">
        <f t="shared" si="15"/>
        <v/>
      </c>
      <c r="R106" s="63" t="str">
        <f t="shared" si="16"/>
        <v/>
      </c>
      <c r="S106" s="63" t="str">
        <f t="shared" si="17"/>
        <v/>
      </c>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c r="BK106" s="63"/>
      <c r="BL106" s="63"/>
      <c r="BM106" s="63"/>
      <c r="BN106" s="63"/>
      <c r="BO106" s="63"/>
      <c r="BP106" s="63"/>
      <c r="BQ106" s="63"/>
      <c r="BR106" s="63"/>
      <c r="BS106" s="63"/>
      <c r="CZ106" s="59"/>
      <c r="DA106" s="59"/>
      <c r="DB106" s="59"/>
      <c r="DC106" s="59"/>
      <c r="DD106" s="59"/>
      <c r="DE106" s="59"/>
      <c r="DF106" s="59"/>
      <c r="DG106" s="59"/>
      <c r="DH106" s="59"/>
      <c r="DI106" s="59"/>
      <c r="DJ106" s="59"/>
      <c r="DK106" s="59"/>
      <c r="DL106" s="59"/>
    </row>
    <row r="107" spans="1:132" s="53" customFormat="1" ht="28.15" hidden="1" customHeight="1">
      <c r="A107" s="61"/>
      <c r="B107" s="61"/>
      <c r="C107" s="80"/>
      <c r="D107" s="51"/>
      <c r="E107" s="83"/>
      <c r="F107" s="61"/>
      <c r="G107" s="61"/>
      <c r="H107" s="76"/>
      <c r="I107" s="76"/>
      <c r="J107" s="63"/>
      <c r="K107" s="49"/>
      <c r="L107" s="63"/>
      <c r="M107" s="63" t="s">
        <v>30</v>
      </c>
      <c r="N107" s="63" t="s">
        <v>31</v>
      </c>
      <c r="O107" s="63" t="str">
        <f t="shared" si="13"/>
        <v>click</v>
      </c>
      <c r="P107" s="63" t="str">
        <f t="shared" ref="P107:P109" si="18">IF(OR(O107="Click",O107="innerText"),"();","("&amp;""""&amp;K107&amp;""""&amp;");")</f>
        <v>();</v>
      </c>
      <c r="Q107" s="63" t="str">
        <f t="shared" si="15"/>
        <v/>
      </c>
      <c r="R107" s="63" t="str">
        <f t="shared" ref="R107:R109" si="19">IF(C107="Y",""""&amp;E107&amp;""""&amp;":"&amp;Q107&amp;",","")</f>
        <v/>
      </c>
      <c r="S107" s="63" t="str">
        <f t="shared" si="17"/>
        <v/>
      </c>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c r="BK107" s="63"/>
      <c r="BL107" s="63"/>
      <c r="BM107" s="63"/>
      <c r="BN107" s="63"/>
      <c r="BO107" s="63"/>
      <c r="BP107" s="63"/>
      <c r="BQ107" s="63"/>
      <c r="BR107" s="63"/>
      <c r="BS107" s="63"/>
      <c r="CZ107" s="59"/>
      <c r="DA107" s="59"/>
      <c r="DB107" s="59"/>
      <c r="DC107" s="59"/>
      <c r="DD107" s="59"/>
      <c r="DE107" s="59"/>
      <c r="DF107" s="59"/>
      <c r="DG107" s="59"/>
      <c r="DH107" s="59"/>
      <c r="DI107" s="59"/>
      <c r="DJ107" s="59"/>
      <c r="DK107" s="59"/>
      <c r="DL107" s="59"/>
    </row>
    <row r="108" spans="1:132" s="53" customFormat="1" ht="28.15" hidden="1" customHeight="1">
      <c r="A108" s="61"/>
      <c r="B108" s="61"/>
      <c r="C108" s="80"/>
      <c r="D108" s="51"/>
      <c r="E108" s="83"/>
      <c r="F108" s="61"/>
      <c r="G108" s="61"/>
      <c r="H108" s="76"/>
      <c r="I108" s="76"/>
      <c r="J108" s="63"/>
      <c r="K108" s="49"/>
      <c r="L108" s="63"/>
      <c r="M108" s="63" t="s">
        <v>30</v>
      </c>
      <c r="N108" s="63" t="s">
        <v>31</v>
      </c>
      <c r="O108" s="63" t="str">
        <f t="shared" si="13"/>
        <v>click</v>
      </c>
      <c r="P108" s="63" t="str">
        <f t="shared" si="18"/>
        <v>();</v>
      </c>
      <c r="Q108" s="63" t="str">
        <f t="shared" si="15"/>
        <v/>
      </c>
      <c r="R108" s="63" t="str">
        <f t="shared" si="19"/>
        <v/>
      </c>
      <c r="S108" s="63" t="str">
        <f t="shared" si="17"/>
        <v/>
      </c>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c r="BK108" s="63"/>
      <c r="BL108" s="63"/>
      <c r="BM108" s="63"/>
      <c r="BN108" s="63"/>
      <c r="BO108" s="63"/>
      <c r="BP108" s="63"/>
      <c r="BQ108" s="63"/>
      <c r="BR108" s="63"/>
      <c r="BS108" s="63"/>
      <c r="CZ108" s="59"/>
      <c r="DA108" s="59"/>
      <c r="DB108" s="59"/>
      <c r="DC108" s="59"/>
      <c r="DD108" s="59"/>
      <c r="DE108" s="59"/>
      <c r="DF108" s="59"/>
      <c r="DG108" s="59"/>
      <c r="DH108" s="59"/>
      <c r="DI108" s="59"/>
      <c r="DJ108" s="59"/>
      <c r="DK108" s="59"/>
      <c r="DL108" s="59"/>
    </row>
    <row r="109" spans="1:132" s="53" customFormat="1" ht="28.15" hidden="1" customHeight="1" thickBot="1">
      <c r="A109" s="61"/>
      <c r="B109" s="61"/>
      <c r="C109" s="80"/>
      <c r="D109" s="51"/>
      <c r="E109" s="83"/>
      <c r="F109" s="61"/>
      <c r="G109" s="61"/>
      <c r="H109" s="76"/>
      <c r="I109" s="76"/>
      <c r="J109" s="63"/>
      <c r="K109" s="49"/>
      <c r="L109" s="63"/>
      <c r="M109" s="63" t="s">
        <v>30</v>
      </c>
      <c r="N109" s="63" t="s">
        <v>31</v>
      </c>
      <c r="O109" s="63" t="str">
        <f t="shared" si="13"/>
        <v>click</v>
      </c>
      <c r="P109" s="63" t="str">
        <f t="shared" si="18"/>
        <v>();</v>
      </c>
      <c r="Q109" s="63" t="str">
        <f t="shared" si="15"/>
        <v/>
      </c>
      <c r="R109" s="63" t="str">
        <f t="shared" si="19"/>
        <v/>
      </c>
      <c r="S109" s="63" t="str">
        <f t="shared" si="17"/>
        <v/>
      </c>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c r="BK109" s="63"/>
      <c r="BL109" s="63"/>
      <c r="BM109" s="63"/>
      <c r="BN109" s="63"/>
      <c r="BO109" s="63"/>
      <c r="BP109" s="63"/>
      <c r="BQ109" s="63"/>
      <c r="BR109" s="63"/>
      <c r="BS109" s="63"/>
      <c r="CZ109" s="59"/>
      <c r="DA109" s="59"/>
      <c r="DB109" s="59"/>
      <c r="DC109" s="59"/>
      <c r="DD109" s="59"/>
      <c r="DE109" s="59"/>
      <c r="DF109" s="59"/>
      <c r="DG109" s="59"/>
      <c r="DH109" s="59"/>
      <c r="DI109" s="59"/>
      <c r="DJ109" s="59"/>
      <c r="DK109" s="59"/>
      <c r="DL109" s="59"/>
    </row>
    <row r="110" spans="1:132" s="53" customFormat="1" ht="27" thickTop="1" thickBot="1">
      <c r="C110" s="80"/>
      <c r="E110" s="95" t="s">
        <v>111</v>
      </c>
      <c r="F110" s="97"/>
      <c r="H110" s="77" t="s">
        <v>110</v>
      </c>
      <c r="I110" s="89"/>
      <c r="J110" s="90"/>
      <c r="K110" s="109"/>
      <c r="L110" s="62"/>
      <c r="M110" s="62"/>
      <c r="N110" s="62"/>
      <c r="O110" s="62"/>
      <c r="P110" s="62"/>
      <c r="Q110" s="62"/>
      <c r="R110" s="62"/>
      <c r="S110" s="62"/>
      <c r="T110" s="62"/>
      <c r="U110" s="62"/>
      <c r="V110" s="62"/>
      <c r="W110" s="62"/>
      <c r="X110" s="62"/>
      <c r="Y110" s="62"/>
      <c r="Z110" s="62"/>
      <c r="AA110" s="62"/>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t="s">
        <v>101</v>
      </c>
      <c r="CZ110" s="59"/>
      <c r="DA110" s="59"/>
      <c r="DB110" s="59"/>
      <c r="DC110" s="59"/>
      <c r="DD110" s="59"/>
      <c r="DE110" s="59"/>
      <c r="DF110" s="59"/>
      <c r="DG110" s="59"/>
      <c r="DH110" s="59"/>
      <c r="DI110" s="59"/>
      <c r="DJ110" s="59"/>
      <c r="DK110" s="59"/>
      <c r="DL110" s="59"/>
      <c r="EB110" s="53" t="s">
        <v>106</v>
      </c>
    </row>
    <row r="111" spans="1:132" s="53" customFormat="1" ht="16.149999999999999" customHeight="1" thickBot="1">
      <c r="C111" s="80"/>
      <c r="D111" s="73" t="s">
        <v>80</v>
      </c>
      <c r="E111" s="93" t="s">
        <v>96</v>
      </c>
      <c r="F111" s="98"/>
      <c r="H111" s="78"/>
      <c r="I111" s="91" t="s">
        <v>3503</v>
      </c>
      <c r="J111" s="91" t="s">
        <v>3508</v>
      </c>
      <c r="K111" s="110" t="str">
        <f>IF(TC!Y1&lt;&gt;"",TC!Y1,"")</f>
        <v>COPOutOfSequence.spec</v>
      </c>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c r="BK111" s="63"/>
      <c r="BL111" s="63"/>
      <c r="BM111" s="63"/>
      <c r="BN111" s="63"/>
      <c r="BO111" s="63"/>
      <c r="BP111" s="63"/>
      <c r="BQ111" s="63"/>
      <c r="BR111" s="63"/>
      <c r="BS111" s="63" t="str">
        <f t="shared" ref="BS111:BS131" si="20">IF(H111="Y",I111,"")</f>
        <v/>
      </c>
      <c r="BV111" s="53">
        <v>1</v>
      </c>
      <c r="BW111" s="53" t="str">
        <f>IF(Create_TC_Web!Y1&lt;&gt;"",Create_TC_Web!Y1,"")</f>
        <v>14COpyQuoteApplicationPage</v>
      </c>
      <c r="BY111" s="53" t="str" cm="1">
        <f t="array" ref="BY111:BY124">_xlfn._xlws.FILTER(CB111:CB200,CB111:CB200&lt;&gt;0)</f>
        <v>Sheet1</v>
      </c>
      <c r="BZ111" s="53" cm="1">
        <f t="array" ref="BZ111:CA200">_xlfn._xlws.SORT(BV111:BW200,,-1)</f>
        <v>42</v>
      </c>
      <c r="CA111" s="53" t="str">
        <v/>
      </c>
      <c r="CB111" s="53" t="str" cm="1">
        <f t="array" ref="CB111:CB153">_xlfn._xlws.FILTER(CA111:CA200,CA111:CA200&lt;&gt;"")</f>
        <v>Sheet1</v>
      </c>
      <c r="CC111" s="53" t="str" cm="1">
        <f t="array" ref="CC111:CC131">_xlfn._xlws.FILTER(CA111:CA131,CA111:CA131&lt;&gt;0)</f>
        <v/>
      </c>
      <c r="CD111" s="53" t="str">
        <f>IF(LEFT(CC111,5)&lt;&gt;"Sheet",CC111,"")</f>
        <v/>
      </c>
      <c r="CE111" s="53" cm="1">
        <f t="array" ref="CE111">_xlfn._xlws.FILTER(CD111:CD132,CD111:CD132&lt;&gt;"")</f>
        <v>0</v>
      </c>
      <c r="CZ111" s="59"/>
      <c r="DA111" s="59"/>
      <c r="DB111" s="59"/>
      <c r="DC111" s="59"/>
      <c r="DD111" s="59"/>
      <c r="DE111" s="59"/>
      <c r="DF111" s="59"/>
      <c r="DG111" s="59"/>
      <c r="DH111" s="59"/>
      <c r="DI111" s="59"/>
      <c r="DJ111" s="59"/>
      <c r="DK111" s="59"/>
      <c r="DL111" s="59"/>
      <c r="EB111" s="53" t="str">
        <f>"cd " &amp; F8</f>
        <v>cd D:\Playwright-Automation</v>
      </c>
    </row>
    <row r="112" spans="1:132" s="53" customFormat="1" ht="15" customHeight="1" thickBot="1">
      <c r="C112" s="80"/>
      <c r="E112" s="94"/>
      <c r="F112" s="99" t="s">
        <v>109</v>
      </c>
      <c r="H112" s="78" t="s">
        <v>1</v>
      </c>
      <c r="I112" s="91" t="s">
        <v>3516</v>
      </c>
      <c r="J112" s="91" t="s">
        <v>3505</v>
      </c>
      <c r="K112" s="110" t="str">
        <f>IF(TC!Y2&lt;&gt;"",TC!Y2,"")</f>
        <v>example.spec</v>
      </c>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c r="BK112" s="63"/>
      <c r="BL112" s="63"/>
      <c r="BM112" s="63"/>
      <c r="BN112" s="63"/>
      <c r="BO112" s="63"/>
      <c r="BP112" s="63"/>
      <c r="BQ112" s="63"/>
      <c r="BR112" s="63"/>
      <c r="BS112" s="63" t="str">
        <f t="shared" si="20"/>
        <v>03LoginPassword</v>
      </c>
      <c r="BV112" s="53">
        <v>2</v>
      </c>
      <c r="BW112" s="53" t="str">
        <f>IF(Create_TC_Web!Y2&lt;&gt;"",Create_TC_Web!Y2,"")</f>
        <v>13CopyQuoteQSPage</v>
      </c>
      <c r="BY112" s="53" t="str">
        <v>02LoginUsername</v>
      </c>
      <c r="BZ112" s="53">
        <v>41</v>
      </c>
      <c r="CA112" s="53" t="str">
        <v/>
      </c>
      <c r="CB112" s="53" t="str">
        <v>02LoginUsername</v>
      </c>
      <c r="CC112" s="53" t="str">
        <v/>
      </c>
      <c r="CD112" s="53" t="str">
        <f t="shared" ref="CD112:CD134" si="21">IF(LEFT(CC112,5)&lt;&gt;"Sheet",CC112,"")</f>
        <v/>
      </c>
      <c r="CZ112" s="59"/>
      <c r="DA112" s="59"/>
      <c r="DB112" s="59"/>
      <c r="DC112" s="59"/>
      <c r="DD112" s="59"/>
      <c r="DE112" s="59"/>
      <c r="DF112" s="59"/>
      <c r="DG112" s="59"/>
      <c r="DH112" s="59"/>
      <c r="DI112" s="59"/>
      <c r="DJ112" s="59"/>
      <c r="DK112" s="59"/>
      <c r="DL112" s="59"/>
      <c r="EB112" s="53" t="s">
        <v>107</v>
      </c>
    </row>
    <row r="113" spans="3:116" s="53" customFormat="1" ht="25.9" customHeight="1" thickBot="1">
      <c r="C113" s="80"/>
      <c r="D113" s="73" t="s">
        <v>81</v>
      </c>
      <c r="E113" s="93" t="s">
        <v>98</v>
      </c>
      <c r="F113" s="100" t="s">
        <v>3546</v>
      </c>
      <c r="H113" s="78" t="s">
        <v>1</v>
      </c>
      <c r="I113" s="91" t="s">
        <v>3551</v>
      </c>
      <c r="J113" s="91" t="s">
        <v>3511</v>
      </c>
      <c r="K113" s="110" t="str">
        <f>IF(TC!Y3&lt;&gt;"",TC!Y3,"")</f>
        <v>HOCopyQuote.spec</v>
      </c>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c r="BK113" s="63"/>
      <c r="BL113" s="63"/>
      <c r="BM113" s="63"/>
      <c r="BN113" s="63"/>
      <c r="BO113" s="63"/>
      <c r="BP113" s="63"/>
      <c r="BQ113" s="63"/>
      <c r="BR113" s="63"/>
      <c r="BS113" s="63" t="str">
        <f t="shared" si="20"/>
        <v>04StaySignIn</v>
      </c>
      <c r="BV113" s="53">
        <v>3</v>
      </c>
      <c r="BW113" s="53" t="str">
        <f>IF(Create_TC_Web!Y3&lt;&gt;"",Create_TC_Web!Y3,"")</f>
        <v>12CopyQuoteHOPage</v>
      </c>
      <c r="BY113" s="53" t="str">
        <v>04StaySignIn</v>
      </c>
      <c r="BZ113" s="53">
        <v>40</v>
      </c>
      <c r="CA113" s="53" t="str">
        <v/>
      </c>
      <c r="CB113" s="53" t="str">
        <v>04StaySignIn</v>
      </c>
      <c r="CC113" s="53" t="str">
        <v/>
      </c>
      <c r="CD113" s="53" t="str">
        <f t="shared" si="21"/>
        <v/>
      </c>
      <c r="CZ113" s="59"/>
      <c r="DA113" s="59"/>
      <c r="DB113" s="59"/>
      <c r="DC113" s="59"/>
      <c r="DD113" s="59"/>
      <c r="DE113" s="59"/>
      <c r="DF113" s="59"/>
      <c r="DG113" s="59"/>
      <c r="DH113" s="59"/>
      <c r="DI113" s="59"/>
      <c r="DJ113" s="59"/>
      <c r="DK113" s="59"/>
      <c r="DL113" s="59"/>
    </row>
    <row r="114" spans="3:116" s="53" customFormat="1" ht="25.15" customHeight="1" thickBot="1">
      <c r="C114" s="80"/>
      <c r="E114" s="92"/>
      <c r="F114" s="98"/>
      <c r="H114" s="78"/>
      <c r="I114" s="91" t="s">
        <v>3550</v>
      </c>
      <c r="J114" s="91" t="s">
        <v>3545</v>
      </c>
      <c r="K114" s="110" t="str">
        <f>IF(TC!Y4&lt;&gt;"",TC!Y4,"")</f>
        <v>PersonalAutoRenewal.spec</v>
      </c>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c r="BK114" s="63"/>
      <c r="BL114" s="63"/>
      <c r="BM114" s="63"/>
      <c r="BN114" s="63"/>
      <c r="BO114" s="63"/>
      <c r="BP114" s="63"/>
      <c r="BQ114" s="63"/>
      <c r="BR114" s="63"/>
      <c r="BS114" s="63" t="str">
        <f t="shared" si="20"/>
        <v/>
      </c>
      <c r="BW114" s="53" t="str">
        <f>IF(Create_TC_Web!Y4&lt;&gt;"",Create_TC_Web!Y4,"")</f>
        <v>11COpyQuoteGIPage</v>
      </c>
      <c r="BY114" s="53" t="str">
        <v>05GeneralInformationPage</v>
      </c>
      <c r="BZ114" s="53">
        <v>39</v>
      </c>
      <c r="CA114" s="53" t="str">
        <v/>
      </c>
      <c r="CB114" s="53" t="str">
        <v>05GeneralInformationPage</v>
      </c>
      <c r="CC114" s="53" t="str">
        <v/>
      </c>
      <c r="CD114" s="53" t="str">
        <f t="shared" si="21"/>
        <v/>
      </c>
      <c r="CZ114" s="59"/>
      <c r="DA114" s="59"/>
      <c r="DB114" s="59"/>
      <c r="DC114" s="59"/>
      <c r="DD114" s="59"/>
      <c r="DE114" s="59"/>
      <c r="DF114" s="59"/>
      <c r="DG114" s="59"/>
      <c r="DH114" s="59"/>
      <c r="DI114" s="59"/>
      <c r="DJ114" s="59"/>
      <c r="DK114" s="59"/>
      <c r="DL114" s="59"/>
    </row>
    <row r="115" spans="3:116" s="53" customFormat="1" ht="15" customHeight="1" thickBot="1">
      <c r="C115" s="80"/>
      <c r="D115" s="73" t="s">
        <v>82</v>
      </c>
      <c r="E115" s="93" t="s">
        <v>77</v>
      </c>
      <c r="F115" s="101" t="str">
        <f>F9</f>
        <v>HOCopyQuote</v>
      </c>
      <c r="H115" s="78"/>
      <c r="I115" s="91" t="s">
        <v>3549</v>
      </c>
      <c r="J115" s="91" t="s">
        <v>3672</v>
      </c>
      <c r="K115" s="110" t="str">
        <f>IF(TC!Y5&lt;&gt;"",TC!Y5,"")</f>
        <v>PersonalUmbrella.spec</v>
      </c>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c r="BK115" s="63"/>
      <c r="BL115" s="63"/>
      <c r="BM115" s="63"/>
      <c r="BN115" s="63"/>
      <c r="BO115" s="63"/>
      <c r="BP115" s="63"/>
      <c r="BQ115" s="63"/>
      <c r="BR115" s="63"/>
      <c r="BS115" s="63" t="str">
        <f t="shared" si="20"/>
        <v/>
      </c>
      <c r="BV115" s="53">
        <v>4</v>
      </c>
      <c r="BW115" s="53" t="str">
        <f>IF(Create_TC_Web!Y5&lt;&gt;"",Create_TC_Web!Y5,"")</f>
        <v>10CopyQuoteConfirmationPage</v>
      </c>
      <c r="BY115" s="53" t="str">
        <v>06HOProductPage</v>
      </c>
      <c r="BZ115" s="53">
        <v>38</v>
      </c>
      <c r="CA115" s="53" t="str">
        <v/>
      </c>
      <c r="CB115" s="53" t="str">
        <v>06HOProductPage</v>
      </c>
      <c r="CC115" s="53" t="str">
        <v/>
      </c>
      <c r="CD115" s="53" t="str">
        <f t="shared" si="21"/>
        <v/>
      </c>
      <c r="CZ115" s="59"/>
      <c r="DA115" s="59"/>
      <c r="DB115" s="59"/>
      <c r="DC115" s="59"/>
      <c r="DD115" s="59"/>
      <c r="DE115" s="59"/>
      <c r="DF115" s="59"/>
      <c r="DG115" s="59"/>
      <c r="DH115" s="59"/>
      <c r="DI115" s="59"/>
      <c r="DJ115" s="59"/>
      <c r="DK115" s="59"/>
      <c r="DL115" s="59"/>
    </row>
    <row r="116" spans="3:116" s="53" customFormat="1" ht="13.5" thickBot="1">
      <c r="C116" s="80"/>
      <c r="E116" s="96"/>
      <c r="F116" s="102"/>
      <c r="H116" s="78"/>
      <c r="I116" s="91" t="s">
        <v>3548</v>
      </c>
      <c r="J116" s="91"/>
      <c r="K116" s="110" t="str">
        <f>IF(TC!Y6&lt;&gt;"",TC!Y6,"")</f>
        <v>PWReinstate.spec</v>
      </c>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c r="BK116" s="63"/>
      <c r="BL116" s="63"/>
      <c r="BM116" s="63"/>
      <c r="BN116" s="63"/>
      <c r="BO116" s="63"/>
      <c r="BP116" s="63"/>
      <c r="BQ116" s="63"/>
      <c r="BR116" s="63"/>
      <c r="BS116" s="63" t="str">
        <f t="shared" si="20"/>
        <v/>
      </c>
      <c r="BV116" s="53">
        <v>5</v>
      </c>
      <c r="BW116" s="53" t="str">
        <f>IF(Create_TC_Web!Y6&lt;&gt;"",Create_TC_Web!Y6,"")</f>
        <v>09FormsPage</v>
      </c>
      <c r="BY116" s="53" t="str">
        <v>08ApplicationPage</v>
      </c>
      <c r="BZ116" s="53">
        <v>37</v>
      </c>
      <c r="CA116" s="53" t="str">
        <v/>
      </c>
      <c r="CB116" s="53" t="str">
        <v>08ApplicationPage</v>
      </c>
      <c r="CC116" s="53" t="str">
        <v/>
      </c>
      <c r="CD116" s="53" t="str">
        <f t="shared" si="21"/>
        <v/>
      </c>
      <c r="CZ116" s="59"/>
      <c r="DA116" s="59"/>
      <c r="DB116" s="59"/>
      <c r="DC116" s="59"/>
      <c r="DD116" s="59"/>
      <c r="DE116" s="59"/>
      <c r="DF116" s="59"/>
      <c r="DG116" s="59"/>
      <c r="DH116" s="59"/>
      <c r="DI116" s="59"/>
      <c r="DJ116" s="59"/>
      <c r="DK116" s="59"/>
      <c r="DL116" s="59"/>
    </row>
    <row r="117" spans="3:116" s="53" customFormat="1" ht="13.5" thickTop="1">
      <c r="C117" s="80"/>
      <c r="E117" s="95"/>
      <c r="F117" s="103"/>
      <c r="H117" s="78"/>
      <c r="I117" s="91" t="s">
        <v>3547</v>
      </c>
      <c r="J117" s="91"/>
      <c r="K117" s="110" t="str">
        <f>IF(TC!Y7&lt;&gt;"",TC!Y7,"")</f>
        <v/>
      </c>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c r="BK117" s="63"/>
      <c r="BL117" s="63"/>
      <c r="BM117" s="63"/>
      <c r="BN117" s="63"/>
      <c r="BO117" s="63"/>
      <c r="BP117" s="63"/>
      <c r="BQ117" s="63"/>
      <c r="BR117" s="63"/>
      <c r="BS117" s="63" t="str">
        <f t="shared" si="20"/>
        <v/>
      </c>
      <c r="BV117" s="53">
        <v>6</v>
      </c>
      <c r="BW117" s="53" t="str">
        <f>IF(Create_TC_Web!Y7&lt;&gt;"",Create_TC_Web!Y7,"")</f>
        <v>08ApplicationPage</v>
      </c>
      <c r="BY117" s="53" t="str">
        <v>09FormsPage</v>
      </c>
      <c r="BZ117" s="53">
        <v>36</v>
      </c>
      <c r="CA117" s="53" t="str">
        <v/>
      </c>
      <c r="CB117" s="53" t="str">
        <v>09FormsPage</v>
      </c>
      <c r="CC117" s="53" t="str">
        <v/>
      </c>
      <c r="CD117" s="53" t="str">
        <f t="shared" si="21"/>
        <v/>
      </c>
      <c r="CZ117" s="59"/>
      <c r="DA117" s="59"/>
      <c r="DB117" s="59"/>
      <c r="DC117" s="59"/>
      <c r="DD117" s="59"/>
      <c r="DE117" s="59"/>
      <c r="DF117" s="59"/>
      <c r="DG117" s="59"/>
      <c r="DH117" s="59"/>
      <c r="DI117" s="59"/>
      <c r="DJ117" s="59"/>
      <c r="DK117" s="59"/>
      <c r="DL117" s="59"/>
    </row>
    <row r="118" spans="3:116" s="53" customFormat="1" ht="12.75">
      <c r="C118" s="80"/>
      <c r="E118" s="93" t="s">
        <v>96</v>
      </c>
      <c r="F118" s="98" t="str">
        <f t="shared" ref="F118:F119" si="22">IF(CF108&lt;&gt;"",CF108,"")</f>
        <v/>
      </c>
      <c r="H118" s="78"/>
      <c r="I118" s="91" t="s">
        <v>3552</v>
      </c>
      <c r="J118" s="91"/>
      <c r="K118" s="110" t="str">
        <f>IF(TC!Y8&lt;&gt;"",TC!Y8,"")</f>
        <v/>
      </c>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c r="BK118" s="63"/>
      <c r="BL118" s="63"/>
      <c r="BM118" s="63"/>
      <c r="BN118" s="63"/>
      <c r="BO118" s="63"/>
      <c r="BP118" s="63"/>
      <c r="BQ118" s="63"/>
      <c r="BR118" s="63"/>
      <c r="BS118" s="63" t="str">
        <f t="shared" si="20"/>
        <v/>
      </c>
      <c r="BW118" s="53" t="str">
        <f>IF(Create_TC_Web!Y8&lt;&gt;"",Create_TC_Web!Y8,"")</f>
        <v>07QuoteSummaryPage</v>
      </c>
      <c r="BY118" s="53" t="str">
        <v>10CopyQuoteConfirmationPage</v>
      </c>
      <c r="BZ118" s="53">
        <v>35</v>
      </c>
      <c r="CA118" s="53" t="str">
        <v/>
      </c>
      <c r="CB118" s="53" t="str">
        <v>10CopyQuoteConfirmationPage</v>
      </c>
      <c r="CC118" s="53" t="str">
        <v/>
      </c>
      <c r="CD118" s="53" t="str">
        <f t="shared" si="21"/>
        <v/>
      </c>
      <c r="CZ118" s="59"/>
      <c r="DA118" s="59"/>
      <c r="DB118" s="59"/>
      <c r="DC118" s="59"/>
      <c r="DD118" s="59"/>
      <c r="DE118" s="59"/>
      <c r="DF118" s="59"/>
      <c r="DG118" s="59"/>
      <c r="DH118" s="59"/>
      <c r="DI118" s="59"/>
      <c r="DJ118" s="59"/>
      <c r="DK118" s="59"/>
      <c r="DL118" s="59"/>
    </row>
    <row r="119" spans="3:116" s="53" customFormat="1" ht="13.5" thickBot="1">
      <c r="C119" s="80"/>
      <c r="E119" s="96"/>
      <c r="F119" s="102" t="str">
        <f t="shared" si="22"/>
        <v/>
      </c>
      <c r="H119" s="78"/>
      <c r="I119" s="91" t="s">
        <v>3557</v>
      </c>
      <c r="J119" s="91"/>
      <c r="K119" s="110" t="str">
        <f>IF(TC!Y9&lt;&gt;"",TC!Y9,"")</f>
        <v/>
      </c>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c r="BK119" s="63"/>
      <c r="BL119" s="63"/>
      <c r="BM119" s="63"/>
      <c r="BN119" s="63"/>
      <c r="BO119" s="63"/>
      <c r="BP119" s="63"/>
      <c r="BQ119" s="63"/>
      <c r="BR119" s="63"/>
      <c r="BS119" s="63" t="str">
        <f t="shared" si="20"/>
        <v/>
      </c>
      <c r="BV119" s="53">
        <v>7</v>
      </c>
      <c r="BW119" s="53" t="str">
        <f>IF(Create_TC_Web!Y9&lt;&gt;"",Create_TC_Web!Y9,"")</f>
        <v>06HOProductPage</v>
      </c>
      <c r="BY119" s="53" t="str">
        <v>12CopyQuoteHOPage</v>
      </c>
      <c r="BZ119" s="53">
        <v>34</v>
      </c>
      <c r="CA119" s="53" t="str">
        <v/>
      </c>
      <c r="CB119" s="53" t="str">
        <v>12CopyQuoteHOPage</v>
      </c>
      <c r="CC119" s="53" t="str">
        <v/>
      </c>
      <c r="CD119" s="53" t="str">
        <f t="shared" si="21"/>
        <v/>
      </c>
      <c r="CZ119" s="59"/>
      <c r="DA119" s="59"/>
      <c r="DB119" s="59"/>
      <c r="DC119" s="59"/>
      <c r="DD119" s="59"/>
      <c r="DE119" s="59"/>
      <c r="DF119" s="59"/>
      <c r="DG119" s="59"/>
      <c r="DH119" s="59"/>
      <c r="DI119" s="59"/>
      <c r="DJ119" s="59"/>
      <c r="DK119" s="59"/>
      <c r="DL119" s="59"/>
    </row>
    <row r="120" spans="3:116" s="53" customFormat="1" ht="13.5" thickTop="1">
      <c r="C120" s="80"/>
      <c r="E120" s="95"/>
      <c r="F120" s="104" t="s">
        <v>108</v>
      </c>
      <c r="H120" s="78"/>
      <c r="I120" s="91" t="s">
        <v>3556</v>
      </c>
      <c r="J120" s="91"/>
      <c r="K120" s="110" t="str">
        <f>IF(TC!Y10&lt;&gt;"",TC!Y10,"")</f>
        <v/>
      </c>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c r="BK120" s="63"/>
      <c r="BL120" s="63"/>
      <c r="BM120" s="63"/>
      <c r="BN120" s="63"/>
      <c r="BO120" s="63"/>
      <c r="BP120" s="63"/>
      <c r="BQ120" s="63"/>
      <c r="BR120" s="63"/>
      <c r="BS120" s="63" t="str">
        <f t="shared" si="20"/>
        <v/>
      </c>
      <c r="BV120" s="53">
        <v>8</v>
      </c>
      <c r="BW120" s="53" t="str">
        <f>IF(Create_TC_Web!Y10&lt;&gt;"",Create_TC_Web!Y10,"")</f>
        <v>05GeneralInformationPage</v>
      </c>
      <c r="BY120" s="53" t="str">
        <v>13CopyQuoteQSPage</v>
      </c>
      <c r="BZ120" s="53">
        <v>33</v>
      </c>
      <c r="CA120" s="53" t="str">
        <v/>
      </c>
      <c r="CB120" s="53" t="str">
        <v>13CopyQuoteQSPage</v>
      </c>
      <c r="CC120" s="53" t="str">
        <v/>
      </c>
      <c r="CD120" s="53" t="str">
        <f t="shared" si="21"/>
        <v/>
      </c>
      <c r="CZ120" s="59"/>
      <c r="DA120" s="59"/>
      <c r="DB120" s="59"/>
      <c r="DC120" s="59"/>
      <c r="DD120" s="59"/>
      <c r="DE120" s="59"/>
      <c r="DF120" s="59"/>
      <c r="DG120" s="59"/>
      <c r="DH120" s="59"/>
      <c r="DI120" s="59"/>
      <c r="DJ120" s="59"/>
      <c r="DK120" s="59"/>
      <c r="DL120" s="59"/>
    </row>
    <row r="121" spans="3:116" s="53" customFormat="1" ht="12.75">
      <c r="C121" s="80"/>
      <c r="E121" s="93"/>
      <c r="F121" s="100" t="s">
        <v>106</v>
      </c>
      <c r="H121" s="78"/>
      <c r="I121" s="91" t="s">
        <v>3555</v>
      </c>
      <c r="J121" s="91"/>
      <c r="K121" s="110" t="str">
        <f>IF(TC!Y11&lt;&gt;"",TC!Y11,"")</f>
        <v/>
      </c>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c r="BK121" s="63"/>
      <c r="BL121" s="63"/>
      <c r="BM121" s="63"/>
      <c r="BN121" s="63"/>
      <c r="BO121" s="63"/>
      <c r="BP121" s="63"/>
      <c r="BQ121" s="63"/>
      <c r="BR121" s="63"/>
      <c r="BS121" s="63" t="str">
        <f t="shared" si="20"/>
        <v/>
      </c>
      <c r="BV121" s="53">
        <v>9</v>
      </c>
      <c r="BW121" s="53" t="str">
        <f>IF(Create_TC_Web!Y11&lt;&gt;"",Create_TC_Web!Y11,"")</f>
        <v>04StaySignIn</v>
      </c>
      <c r="BY121" s="53" t="str">
        <v>14COpyQuoteApplicationPage</v>
      </c>
      <c r="BZ121" s="53">
        <v>32</v>
      </c>
      <c r="CA121" s="53" t="str">
        <v/>
      </c>
      <c r="CB121" s="53" t="str">
        <v>14COpyQuoteApplicationPage</v>
      </c>
      <c r="CC121" s="53" t="str">
        <v/>
      </c>
      <c r="CD121" s="53" t="str">
        <f t="shared" si="21"/>
        <v/>
      </c>
      <c r="CZ121" s="59"/>
      <c r="DA121" s="59"/>
      <c r="DB121" s="59"/>
      <c r="DC121" s="59"/>
      <c r="DD121" s="59"/>
      <c r="DE121" s="59"/>
      <c r="DF121" s="59"/>
      <c r="DG121" s="59"/>
      <c r="DH121" s="59"/>
      <c r="DI121" s="59"/>
      <c r="DJ121" s="59"/>
      <c r="DK121" s="59"/>
      <c r="DL121" s="59"/>
    </row>
    <row r="122" spans="3:116" s="53" customFormat="1" ht="13.5" thickBot="1">
      <c r="C122" s="80"/>
      <c r="E122" s="96"/>
      <c r="F122" s="105" t="str">
        <f>"cd " &amp; F8</f>
        <v>cd D:\Playwright-Automation</v>
      </c>
      <c r="H122" s="78"/>
      <c r="I122" s="91" t="s">
        <v>3554</v>
      </c>
      <c r="J122" s="91"/>
      <c r="K122" s="110" t="str">
        <f>IF(TC!Y12&lt;&gt;"",TC!Y12,"")</f>
        <v/>
      </c>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c r="BK122" s="63"/>
      <c r="BL122" s="63"/>
      <c r="BM122" s="63"/>
      <c r="BN122" s="63"/>
      <c r="BO122" s="63"/>
      <c r="BP122" s="63"/>
      <c r="BQ122" s="63"/>
      <c r="BR122" s="63"/>
      <c r="BS122" s="63" t="str">
        <f t="shared" si="20"/>
        <v/>
      </c>
      <c r="BW122" s="53" t="str">
        <f>IF(Create_TC_Web!Y12&lt;&gt;"",Create_TC_Web!Y12,"")</f>
        <v>03LoginPassword</v>
      </c>
      <c r="BY122" s="53" t="str">
        <v>11COpyQuoteGIPage</v>
      </c>
      <c r="BZ122" s="53">
        <v>31</v>
      </c>
      <c r="CA122" s="53" t="str">
        <v/>
      </c>
      <c r="CB122" s="53" t="str">
        <v>11COpyQuoteGIPage</v>
      </c>
      <c r="CC122" s="53" t="str">
        <v/>
      </c>
      <c r="CD122" s="53" t="str">
        <f t="shared" si="21"/>
        <v/>
      </c>
      <c r="CZ122" s="59"/>
      <c r="DA122" s="59"/>
      <c r="DB122" s="59"/>
      <c r="DC122" s="59"/>
      <c r="DD122" s="59"/>
      <c r="DE122" s="59"/>
      <c r="DF122" s="59"/>
      <c r="DG122" s="59"/>
      <c r="DH122" s="59"/>
      <c r="DI122" s="59"/>
      <c r="DJ122" s="59"/>
      <c r="DK122" s="59"/>
      <c r="DL122" s="59"/>
    </row>
    <row r="123" spans="3:116" s="53" customFormat="1" ht="13.5" thickTop="1">
      <c r="C123" s="80"/>
      <c r="E123" s="48"/>
      <c r="F123" s="48" t="s">
        <v>107</v>
      </c>
      <c r="H123" s="78"/>
      <c r="I123" s="91" t="s">
        <v>3553</v>
      </c>
      <c r="J123" s="91"/>
      <c r="K123" s="110" t="str">
        <f>IF(TC!Y13&lt;&gt;"",TC!Y13,"")</f>
        <v/>
      </c>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c r="BK123" s="63"/>
      <c r="BL123" s="63"/>
      <c r="BM123" s="63"/>
      <c r="BN123" s="63"/>
      <c r="BO123" s="63"/>
      <c r="BP123" s="63"/>
      <c r="BQ123" s="63"/>
      <c r="BR123" s="63"/>
      <c r="BS123" s="63" t="str">
        <f t="shared" si="20"/>
        <v/>
      </c>
      <c r="BV123" s="53">
        <v>10</v>
      </c>
      <c r="BW123" s="53" t="str">
        <f>IF(Create_TC_Web!Y13&lt;&gt;"",Create_TC_Web!Y13,"")</f>
        <v>02LoginUsername</v>
      </c>
      <c r="BY123" s="53" t="str">
        <v>07QuoteSummaryPage</v>
      </c>
      <c r="BZ123" s="53">
        <v>30</v>
      </c>
      <c r="CA123" s="53" t="str">
        <v/>
      </c>
      <c r="CB123" s="53" t="str">
        <v>07QuoteSummaryPage</v>
      </c>
      <c r="CC123" s="53" t="str">
        <v/>
      </c>
      <c r="CD123" s="53" t="str">
        <f t="shared" si="21"/>
        <v/>
      </c>
      <c r="CZ123" s="59"/>
      <c r="DA123" s="59"/>
      <c r="DB123" s="59"/>
      <c r="DC123" s="59"/>
      <c r="DD123" s="59"/>
      <c r="DE123" s="59"/>
      <c r="DF123" s="59"/>
      <c r="DG123" s="59"/>
      <c r="DH123" s="59"/>
      <c r="DI123" s="59"/>
      <c r="DJ123" s="59"/>
      <c r="DK123" s="59"/>
      <c r="DL123" s="59"/>
    </row>
    <row r="124" spans="3:116" s="53" customFormat="1" ht="12.75">
      <c r="C124" s="80"/>
      <c r="E124" s="48"/>
      <c r="F124" s="48"/>
      <c r="H124" s="78"/>
      <c r="I124" s="91"/>
      <c r="J124" s="91"/>
      <c r="K124" s="110" t="str">
        <f>IF(TC!Y14&lt;&gt;"",TC!Y14,"")</f>
        <v/>
      </c>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c r="BK124" s="63"/>
      <c r="BL124" s="63"/>
      <c r="BM124" s="63"/>
      <c r="BN124" s="63"/>
      <c r="BO124" s="63"/>
      <c r="BP124" s="63"/>
      <c r="BQ124" s="63"/>
      <c r="BR124" s="63"/>
      <c r="BS124" s="63" t="str">
        <f t="shared" si="20"/>
        <v/>
      </c>
      <c r="BV124" s="53">
        <v>11</v>
      </c>
      <c r="BW124" s="53" t="str">
        <f>IF(Create_TC_Web!Y14&lt;&gt;"",Create_TC_Web!Y14,"")</f>
        <v>Sheet1</v>
      </c>
      <c r="BY124" s="53" t="str">
        <v>03LoginPassword</v>
      </c>
      <c r="BZ124" s="53">
        <v>29</v>
      </c>
      <c r="CA124" s="53" t="str">
        <v/>
      </c>
      <c r="CB124" s="53" t="str">
        <v>03LoginPassword</v>
      </c>
      <c r="CC124" s="53" t="str">
        <v/>
      </c>
      <c r="CD124" s="53" t="str">
        <f t="shared" si="21"/>
        <v/>
      </c>
      <c r="CZ124" s="59"/>
      <c r="DA124" s="59"/>
      <c r="DB124" s="59"/>
      <c r="DC124" s="59"/>
      <c r="DD124" s="59"/>
      <c r="DE124" s="59"/>
      <c r="DF124" s="59"/>
      <c r="DG124" s="59"/>
      <c r="DH124" s="59"/>
      <c r="DI124" s="59"/>
      <c r="DJ124" s="59"/>
      <c r="DK124" s="59"/>
      <c r="DL124" s="59"/>
    </row>
    <row r="125" spans="3:116" s="53" customFormat="1" ht="12.75">
      <c r="C125" s="80"/>
      <c r="E125" s="48"/>
      <c r="F125" s="48"/>
      <c r="H125" s="78"/>
      <c r="I125" s="91"/>
      <c r="J125" s="91"/>
      <c r="K125" s="110" t="str">
        <f>IF(TC!Y15&lt;&gt;"",TC!Y15,"")</f>
        <v/>
      </c>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c r="BK125" s="63"/>
      <c r="BL125" s="63"/>
      <c r="BM125" s="63"/>
      <c r="BN125" s="63"/>
      <c r="BO125" s="63"/>
      <c r="BP125" s="63"/>
      <c r="BQ125" s="63"/>
      <c r="BR125" s="63"/>
      <c r="BS125" s="63" t="str">
        <f t="shared" si="20"/>
        <v/>
      </c>
      <c r="BV125" s="53">
        <v>12</v>
      </c>
      <c r="BW125" s="53" t="str">
        <f>IF(Create_TC_Web!Y15&lt;&gt;"",Create_TC_Web!Y15,"")</f>
        <v/>
      </c>
      <c r="BZ125" s="53">
        <v>28</v>
      </c>
      <c r="CA125" s="53" t="str">
        <v/>
      </c>
      <c r="CB125" s="53">
        <v>0</v>
      </c>
      <c r="CC125" s="53" t="str">
        <v/>
      </c>
      <c r="CD125" s="53" t="str">
        <f t="shared" si="21"/>
        <v/>
      </c>
      <c r="CZ125" s="59"/>
      <c r="DA125" s="59"/>
      <c r="DB125" s="59"/>
      <c r="DC125" s="59"/>
      <c r="DD125" s="59"/>
      <c r="DE125" s="59"/>
      <c r="DF125" s="59"/>
      <c r="DG125" s="59"/>
      <c r="DH125" s="59"/>
      <c r="DI125" s="59"/>
      <c r="DJ125" s="59"/>
      <c r="DK125" s="59"/>
      <c r="DL125" s="59"/>
    </row>
    <row r="126" spans="3:116" s="53" customFormat="1" ht="12.75">
      <c r="C126" s="80"/>
      <c r="E126" s="48"/>
      <c r="H126" s="78"/>
      <c r="I126" s="91"/>
      <c r="J126" s="91"/>
      <c r="K126" s="110" t="str">
        <f>IF(TC!Y16&lt;&gt;"",TC!Y16,"")</f>
        <v/>
      </c>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c r="BK126" s="63"/>
      <c r="BL126" s="63"/>
      <c r="BM126" s="63"/>
      <c r="BN126" s="63"/>
      <c r="BO126" s="63"/>
      <c r="BP126" s="63"/>
      <c r="BQ126" s="63"/>
      <c r="BR126" s="63"/>
      <c r="BS126" s="63" t="str">
        <f t="shared" si="20"/>
        <v/>
      </c>
      <c r="BW126" s="53" t="str">
        <f>IF(Create_TC_Web!Y16&lt;&gt;"",Create_TC_Web!Y16,"")</f>
        <v/>
      </c>
      <c r="BZ126" s="53">
        <v>27</v>
      </c>
      <c r="CA126" s="53" t="str">
        <v/>
      </c>
      <c r="CB126" s="53">
        <v>0</v>
      </c>
      <c r="CC126" s="53" t="str">
        <v/>
      </c>
      <c r="CD126" s="53" t="str">
        <f t="shared" si="21"/>
        <v/>
      </c>
      <c r="CZ126" s="59"/>
      <c r="DA126" s="59"/>
      <c r="DB126" s="59"/>
      <c r="DC126" s="59"/>
      <c r="DD126" s="59"/>
      <c r="DE126" s="59"/>
      <c r="DF126" s="59"/>
      <c r="DG126" s="59"/>
      <c r="DH126" s="59"/>
      <c r="DI126" s="59"/>
      <c r="DJ126" s="59"/>
      <c r="DK126" s="59"/>
      <c r="DL126" s="59"/>
    </row>
    <row r="127" spans="3:116" s="53" customFormat="1" ht="12.75">
      <c r="C127" s="80"/>
      <c r="E127" s="48"/>
      <c r="H127" s="78"/>
      <c r="I127" s="91"/>
      <c r="J127" s="91"/>
      <c r="K127" s="110" t="str">
        <f>IF(TC!Y17&lt;&gt;"",TC!Y17,"")</f>
        <v/>
      </c>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c r="BK127" s="63"/>
      <c r="BL127" s="63"/>
      <c r="BM127" s="63"/>
      <c r="BN127" s="63"/>
      <c r="BO127" s="63"/>
      <c r="BP127" s="63"/>
      <c r="BQ127" s="63"/>
      <c r="BR127" s="63"/>
      <c r="BS127" s="63" t="str">
        <f t="shared" si="20"/>
        <v/>
      </c>
      <c r="BV127" s="53">
        <v>13</v>
      </c>
      <c r="BW127" s="53" t="str">
        <f>IF(Create_TC_Web!Y17&lt;&gt;"",Create_TC_Web!Y17,"")</f>
        <v/>
      </c>
      <c r="BZ127" s="53">
        <v>26</v>
      </c>
      <c r="CA127" s="53" t="str">
        <v/>
      </c>
      <c r="CB127" s="53">
        <v>0</v>
      </c>
      <c r="CC127" s="53" t="str">
        <v/>
      </c>
      <c r="CD127" s="53" t="str">
        <f t="shared" si="21"/>
        <v/>
      </c>
      <c r="CZ127" s="59"/>
      <c r="DA127" s="59"/>
      <c r="DB127" s="59"/>
      <c r="DC127" s="59"/>
      <c r="DD127" s="59"/>
      <c r="DE127" s="59"/>
      <c r="DF127" s="59"/>
      <c r="DG127" s="59"/>
      <c r="DH127" s="59"/>
      <c r="DI127" s="59"/>
      <c r="DJ127" s="59"/>
      <c r="DK127" s="59"/>
      <c r="DL127" s="59"/>
    </row>
    <row r="128" spans="3:116" s="53" customFormat="1" ht="12.75">
      <c r="C128" s="82"/>
      <c r="E128" s="48"/>
      <c r="H128" s="78"/>
      <c r="I128" s="91"/>
      <c r="J128" s="91"/>
      <c r="K128" s="110" t="str">
        <f>IF(TC!Y18&lt;&gt;"",TC!Y18,"")</f>
        <v/>
      </c>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c r="BK128" s="63"/>
      <c r="BL128" s="63"/>
      <c r="BM128" s="63"/>
      <c r="BN128" s="63"/>
      <c r="BO128" s="63"/>
      <c r="BP128" s="63"/>
      <c r="BQ128" s="63"/>
      <c r="BR128" s="63"/>
      <c r="BS128" s="63" t="str">
        <f t="shared" si="20"/>
        <v/>
      </c>
      <c r="BV128" s="53">
        <v>14</v>
      </c>
      <c r="BW128" s="53" t="str">
        <f>IF(Create_TC_Web!Y18&lt;&gt;"",Create_TC_Web!Y18,"")</f>
        <v/>
      </c>
      <c r="BZ128" s="53">
        <v>25</v>
      </c>
      <c r="CA128" s="53" t="str">
        <v/>
      </c>
      <c r="CB128" s="53">
        <v>0</v>
      </c>
      <c r="CC128" s="53" t="str">
        <v/>
      </c>
      <c r="CD128" s="53" t="str">
        <f t="shared" si="21"/>
        <v/>
      </c>
      <c r="CZ128" s="59"/>
      <c r="DA128" s="59"/>
      <c r="DB128" s="59"/>
      <c r="DC128" s="59"/>
      <c r="DD128" s="59"/>
      <c r="DE128" s="59"/>
      <c r="DF128" s="59"/>
      <c r="DG128" s="59"/>
      <c r="DH128" s="59"/>
      <c r="DI128" s="59"/>
      <c r="DJ128" s="59"/>
      <c r="DK128" s="59"/>
      <c r="DL128" s="59"/>
    </row>
    <row r="129" spans="3:116" s="53" customFormat="1" ht="12.75">
      <c r="C129" s="82"/>
      <c r="E129" s="48"/>
      <c r="H129" s="78"/>
      <c r="I129" s="91"/>
      <c r="J129" s="91"/>
      <c r="K129" s="110" t="str">
        <f>IF(TC!Y19&lt;&gt;"",TC!Y19,"")</f>
        <v/>
      </c>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c r="BK129" s="63"/>
      <c r="BL129" s="63"/>
      <c r="BM129" s="63"/>
      <c r="BN129" s="63"/>
      <c r="BO129" s="63"/>
      <c r="BP129" s="63"/>
      <c r="BQ129" s="63"/>
      <c r="BR129" s="63"/>
      <c r="BS129" s="63" t="str">
        <f t="shared" si="20"/>
        <v/>
      </c>
      <c r="BV129" s="53">
        <v>15</v>
      </c>
      <c r="BW129" s="53" t="str">
        <f>IF(Create_TC_Web!Y19&lt;&gt;"",Create_TC_Web!Y19,"")</f>
        <v/>
      </c>
      <c r="BZ129" s="53">
        <v>24</v>
      </c>
      <c r="CA129" s="53" t="str">
        <v/>
      </c>
      <c r="CB129" s="53">
        <v>0</v>
      </c>
      <c r="CC129" s="53" t="str">
        <v/>
      </c>
      <c r="CD129" s="53" t="str">
        <f t="shared" si="21"/>
        <v/>
      </c>
      <c r="CZ129" s="59"/>
      <c r="DA129" s="59"/>
      <c r="DB129" s="59"/>
      <c r="DC129" s="59"/>
      <c r="DD129" s="59"/>
      <c r="DE129" s="59"/>
      <c r="DF129" s="59"/>
      <c r="DG129" s="59"/>
      <c r="DH129" s="59"/>
      <c r="DI129" s="59"/>
      <c r="DJ129" s="59"/>
      <c r="DK129" s="59"/>
      <c r="DL129" s="59"/>
    </row>
    <row r="130" spans="3:116" s="53" customFormat="1" ht="12.75">
      <c r="C130" s="82"/>
      <c r="E130" s="48"/>
      <c r="H130" s="74"/>
      <c r="I130" s="91"/>
      <c r="J130" s="88"/>
      <c r="K130" s="111" t="str">
        <f>IF(TC!Y20&lt;&gt;"",TC!Y20,"")</f>
        <v/>
      </c>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c r="BK130" s="63"/>
      <c r="BL130" s="63"/>
      <c r="BM130" s="63"/>
      <c r="BN130" s="63"/>
      <c r="BO130" s="63"/>
      <c r="BP130" s="63"/>
      <c r="BQ130" s="63"/>
      <c r="BR130" s="63"/>
      <c r="BS130" s="63" t="str">
        <f t="shared" si="20"/>
        <v/>
      </c>
      <c r="BW130" s="53" t="str">
        <f>IF(Create_TC_Web!Y20&lt;&gt;"",Create_TC_Web!Y20,"")</f>
        <v/>
      </c>
      <c r="BZ130" s="53">
        <v>23</v>
      </c>
      <c r="CA130" s="53" t="str">
        <v/>
      </c>
      <c r="CB130" s="53">
        <v>0</v>
      </c>
      <c r="CC130" s="53" t="str">
        <v/>
      </c>
      <c r="CD130" s="53" t="str">
        <f t="shared" si="21"/>
        <v/>
      </c>
      <c r="CZ130" s="59"/>
      <c r="DA130" s="59"/>
      <c r="DB130" s="59"/>
      <c r="DC130" s="59"/>
      <c r="DD130" s="59"/>
      <c r="DE130" s="59"/>
      <c r="DF130" s="59"/>
      <c r="DG130" s="59"/>
      <c r="DH130" s="59"/>
      <c r="DI130" s="59"/>
      <c r="DJ130" s="59"/>
      <c r="DK130" s="59"/>
      <c r="DL130" s="59"/>
    </row>
    <row r="131" spans="3:116" s="53" customFormat="1" ht="12.75">
      <c r="C131" s="80"/>
      <c r="E131" s="48"/>
      <c r="F131" s="53" t="str">
        <f t="shared" ref="F131:F143" si="23">IF(CF121&lt;&gt;"",CF121,"")</f>
        <v/>
      </c>
      <c r="H131" s="70"/>
      <c r="I131" s="91"/>
      <c r="J131" s="71"/>
      <c r="K131" s="49" t="str">
        <f>IF(TC!Y21&lt;&gt;"",TC!Y21,"")</f>
        <v/>
      </c>
      <c r="L131" s="63"/>
      <c r="M131" s="63"/>
      <c r="N131" s="63"/>
      <c r="O131" s="63"/>
      <c r="P131" s="63"/>
      <c r="Q131" s="63"/>
      <c r="R131" s="63"/>
      <c r="S131" s="63"/>
      <c r="T131" s="63"/>
      <c r="U131" s="63"/>
      <c r="V131" s="63"/>
      <c r="W131" s="63"/>
      <c r="X131" s="63"/>
      <c r="Y131" s="63"/>
      <c r="Z131" s="63"/>
      <c r="AA131" s="63"/>
      <c r="AB131" s="63"/>
      <c r="AC131" s="63"/>
      <c r="AD131" s="63"/>
      <c r="AE131" s="63"/>
      <c r="AF131" s="63"/>
      <c r="AG131" s="63"/>
      <c r="AH131" s="63"/>
      <c r="AI131" s="63"/>
      <c r="AJ131" s="63"/>
      <c r="AK131" s="63"/>
      <c r="AL131" s="63"/>
      <c r="AM131" s="63"/>
      <c r="AN131" s="63"/>
      <c r="AO131" s="63"/>
      <c r="AP131" s="63"/>
      <c r="AQ131" s="63"/>
      <c r="AR131" s="63"/>
      <c r="AS131" s="63"/>
      <c r="AT131" s="63"/>
      <c r="AU131" s="63"/>
      <c r="AV131" s="63"/>
      <c r="AW131" s="63"/>
      <c r="AX131" s="63"/>
      <c r="AY131" s="63"/>
      <c r="AZ131" s="63"/>
      <c r="BA131" s="63"/>
      <c r="BB131" s="63"/>
      <c r="BC131" s="63"/>
      <c r="BD131" s="63"/>
      <c r="BE131" s="63"/>
      <c r="BF131" s="63"/>
      <c r="BG131" s="63"/>
      <c r="BH131" s="63"/>
      <c r="BI131" s="63"/>
      <c r="BJ131" s="63"/>
      <c r="BK131" s="63"/>
      <c r="BL131" s="63"/>
      <c r="BM131" s="63"/>
      <c r="BN131" s="63"/>
      <c r="BO131" s="63"/>
      <c r="BP131" s="63"/>
      <c r="BQ131" s="63"/>
      <c r="BR131" s="63"/>
      <c r="BS131" s="63" t="str">
        <f t="shared" si="20"/>
        <v/>
      </c>
      <c r="BV131" s="53">
        <v>16</v>
      </c>
      <c r="BW131" s="53" t="str">
        <f>IF(Create_TC_Web!Y21&lt;&gt;"",Create_TC_Web!Y21,"")</f>
        <v/>
      </c>
      <c r="BZ131" s="53">
        <v>22</v>
      </c>
      <c r="CA131" s="53" t="str">
        <v/>
      </c>
      <c r="CB131" s="53">
        <v>0</v>
      </c>
      <c r="CC131" s="53" t="str">
        <v/>
      </c>
      <c r="CD131" s="53" t="str">
        <f t="shared" si="21"/>
        <v/>
      </c>
      <c r="CZ131" s="59"/>
      <c r="DA131" s="59"/>
      <c r="DB131" s="59"/>
      <c r="DC131" s="59"/>
      <c r="DD131" s="59"/>
      <c r="DE131" s="59"/>
      <c r="DF131" s="59"/>
      <c r="DG131" s="59"/>
      <c r="DH131" s="59"/>
      <c r="DI131" s="59"/>
      <c r="DJ131" s="59"/>
      <c r="DK131" s="59"/>
      <c r="DL131" s="59"/>
    </row>
    <row r="132" spans="3:116" s="53" customFormat="1" ht="12.75">
      <c r="C132" s="80"/>
      <c r="E132" s="48"/>
      <c r="F132" s="53" t="str">
        <f t="shared" si="23"/>
        <v/>
      </c>
      <c r="H132" s="70"/>
      <c r="I132" s="91"/>
      <c r="J132" s="71"/>
      <c r="K132" s="49" t="str">
        <f>IF(TC!Y22&lt;&gt;"",TC!Y22,"")</f>
        <v/>
      </c>
      <c r="M132" s="53" t="s">
        <v>30</v>
      </c>
      <c r="N132" s="53" t="s">
        <v>31</v>
      </c>
      <c r="O132" s="53" t="str">
        <f t="shared" ref="O132:O166" si="24">IF(D132="input","fill",IF(I132&lt;&gt;"","innerText",IF(J132="Y",$T$110,"click")))</f>
        <v>click</v>
      </c>
      <c r="P132" s="53" t="str">
        <f t="shared" ref="P132:P139" si="25">IF(OR(O132="Click",O132="innerText"),"();","("&amp;""""&amp;K132&amp;""""&amp;");")</f>
        <v>();</v>
      </c>
      <c r="Q132" s="53" t="str">
        <f t="shared" ref="Q132:Q149" si="26">IF(C132="Y",IF(H132&lt;&gt;"Xpath",M132&amp;F132&amp;N132,""""&amp;F132&amp;""""),"")</f>
        <v/>
      </c>
      <c r="R132" s="53" t="str">
        <f t="shared" ref="R132:R149" si="27">IF(C132="Y",""""&amp;E132&amp;""""&amp;":"&amp;Q132&amp;",","")</f>
        <v/>
      </c>
      <c r="S132" s="53" t="str">
        <f t="shared" ref="S132:S149" si="28">IF(O132="innerText",I132&amp;"="&amp;IF(C132="Y",IF(J132&lt;&gt;"Y",$S$9&amp;$R$10&amp;"."&amp;E132&amp;")."&amp;IF(OR(O132="click",O132="innerText"),O132&amp;"();",O132&amp;"("&amp;$Q$9&amp;"."&amp;E132&amp;");"),$S$110&amp;$R$10&amp;"."&amp;E132&amp;")."&amp;IF(O132="click",O132&amp;"();",O132&amp;"("&amp;"'"&amp;K132&amp;"'"&amp;");")),""),IF(C132="Y",IF(J132&lt;&gt;"Y",$S$9&amp;$R$10&amp;"."&amp;E132&amp;")."&amp;IF(OR(O132="click",O132="innerText"),O132&amp;"();",O132&amp;"("&amp;$Q$9&amp;"."&amp;E132&amp;");"),$S$110&amp;$R$10&amp;"."&amp;E132&amp;")."&amp;IF(O132="click",O132&amp;"();",O132&amp;"("&amp;"'"&amp;K132&amp;"'"&amp;");")),""))</f>
        <v/>
      </c>
      <c r="BV132" s="53">
        <v>17</v>
      </c>
      <c r="BW132" s="53" t="str">
        <f>IF(Create_TC_Web!Y22&lt;&gt;"",Create_TC_Web!Y22,"")</f>
        <v/>
      </c>
      <c r="BZ132" s="53">
        <v>21</v>
      </c>
      <c r="CA132" s="53" t="str">
        <v/>
      </c>
      <c r="CB132" s="53">
        <v>0</v>
      </c>
      <c r="CD132" s="53">
        <f t="shared" si="21"/>
        <v>0</v>
      </c>
      <c r="CZ132" s="59"/>
      <c r="DA132" s="59"/>
      <c r="DB132" s="59"/>
      <c r="DC132" s="59"/>
      <c r="DD132" s="59"/>
      <c r="DE132" s="59"/>
      <c r="DF132" s="59"/>
      <c r="DG132" s="59"/>
      <c r="DH132" s="59"/>
      <c r="DI132" s="59"/>
      <c r="DJ132" s="59"/>
      <c r="DK132" s="59"/>
      <c r="DL132" s="59"/>
    </row>
    <row r="133" spans="3:116" s="53" customFormat="1" ht="12.75">
      <c r="C133" s="80"/>
      <c r="E133" s="48"/>
      <c r="F133" s="53" t="str">
        <f t="shared" si="23"/>
        <v/>
      </c>
      <c r="H133" s="70"/>
      <c r="I133" s="91"/>
      <c r="J133" s="71"/>
      <c r="K133" s="49" t="str">
        <f>IF(TC!Y23&lt;&gt;"",TC!Y23,"")</f>
        <v/>
      </c>
      <c r="M133" s="53" t="s">
        <v>30</v>
      </c>
      <c r="N133" s="53" t="s">
        <v>31</v>
      </c>
      <c r="O133" s="53" t="str">
        <f t="shared" si="24"/>
        <v>click</v>
      </c>
      <c r="P133" s="53" t="str">
        <f t="shared" si="25"/>
        <v>();</v>
      </c>
      <c r="Q133" s="53" t="str">
        <f t="shared" si="26"/>
        <v/>
      </c>
      <c r="R133" s="53" t="str">
        <f t="shared" si="27"/>
        <v/>
      </c>
      <c r="S133" s="53" t="str">
        <f t="shared" si="28"/>
        <v/>
      </c>
      <c r="BV133" s="53">
        <v>18</v>
      </c>
      <c r="BW133" s="53" t="str">
        <f>IF(Create_TC_Web!Y23&lt;&gt;"",Create_TC_Web!Y23,"")</f>
        <v/>
      </c>
      <c r="BZ133" s="53">
        <v>20</v>
      </c>
      <c r="CA133" s="53" t="str">
        <v/>
      </c>
      <c r="CB133" s="53">
        <v>0</v>
      </c>
      <c r="CD133" s="53">
        <f t="shared" si="21"/>
        <v>0</v>
      </c>
      <c r="CZ133" s="59"/>
      <c r="DA133" s="59"/>
      <c r="DB133" s="59"/>
      <c r="DC133" s="59"/>
      <c r="DD133" s="59"/>
      <c r="DE133" s="59"/>
      <c r="DF133" s="59"/>
      <c r="DG133" s="59"/>
      <c r="DH133" s="59"/>
      <c r="DI133" s="59"/>
      <c r="DJ133" s="59"/>
      <c r="DK133" s="59"/>
      <c r="DL133" s="59"/>
    </row>
    <row r="134" spans="3:116" s="53" customFormat="1" ht="12.75">
      <c r="C134" s="80"/>
      <c r="E134" s="48"/>
      <c r="F134" s="53" t="str">
        <f t="shared" si="23"/>
        <v/>
      </c>
      <c r="H134" s="70"/>
      <c r="I134" s="91"/>
      <c r="J134" s="71"/>
      <c r="K134" s="49" t="str">
        <f>IF(TC!Y24&lt;&gt;"",TC!Y24,"")</f>
        <v/>
      </c>
      <c r="M134" s="53" t="s">
        <v>30</v>
      </c>
      <c r="N134" s="53" t="s">
        <v>31</v>
      </c>
      <c r="O134" s="53" t="str">
        <f t="shared" si="24"/>
        <v>click</v>
      </c>
      <c r="P134" s="53" t="str">
        <f t="shared" si="25"/>
        <v>();</v>
      </c>
      <c r="Q134" s="53" t="str">
        <f t="shared" si="26"/>
        <v/>
      </c>
      <c r="R134" s="53" t="str">
        <f t="shared" si="27"/>
        <v/>
      </c>
      <c r="S134" s="53" t="str">
        <f t="shared" si="28"/>
        <v/>
      </c>
      <c r="BW134" s="53" t="str">
        <f>IF(Create_TC_Web!Y24&lt;&gt;"",Create_TC_Web!Y24,"")</f>
        <v/>
      </c>
      <c r="BZ134" s="53">
        <v>19</v>
      </c>
      <c r="CA134" s="53" t="str">
        <v/>
      </c>
      <c r="CB134" s="53">
        <v>0</v>
      </c>
      <c r="CD134" s="53">
        <f t="shared" si="21"/>
        <v>0</v>
      </c>
      <c r="CZ134" s="59"/>
      <c r="DA134" s="59"/>
      <c r="DB134" s="59"/>
      <c r="DC134" s="59"/>
      <c r="DD134" s="59"/>
      <c r="DE134" s="59"/>
      <c r="DF134" s="59"/>
      <c r="DG134" s="59"/>
      <c r="DH134" s="59"/>
      <c r="DI134" s="59"/>
      <c r="DJ134" s="59"/>
      <c r="DK134" s="59"/>
      <c r="DL134" s="59"/>
    </row>
    <row r="135" spans="3:116" s="53" customFormat="1" ht="12.75">
      <c r="C135" s="80"/>
      <c r="E135" s="48"/>
      <c r="F135" s="53" t="str">
        <f t="shared" si="23"/>
        <v/>
      </c>
      <c r="H135" s="70"/>
      <c r="I135" s="91"/>
      <c r="J135" s="71"/>
      <c r="K135" s="49" t="str">
        <f>IF(TC!Y25&lt;&gt;"",TC!Y25,"")</f>
        <v/>
      </c>
      <c r="M135" s="53" t="s">
        <v>30</v>
      </c>
      <c r="N135" s="53" t="s">
        <v>31</v>
      </c>
      <c r="O135" s="53" t="str">
        <f t="shared" si="24"/>
        <v>click</v>
      </c>
      <c r="P135" s="53" t="str">
        <f t="shared" si="25"/>
        <v>();</v>
      </c>
      <c r="Q135" s="53" t="str">
        <f t="shared" si="26"/>
        <v/>
      </c>
      <c r="R135" s="53" t="str">
        <f t="shared" si="27"/>
        <v/>
      </c>
      <c r="S135" s="53" t="str">
        <f t="shared" si="28"/>
        <v/>
      </c>
      <c r="BV135" s="53">
        <v>19</v>
      </c>
      <c r="BW135" s="53" t="str">
        <f>IF(Create_TC_Web!Y25&lt;&gt;"",Create_TC_Web!Y25,"")</f>
        <v/>
      </c>
      <c r="BZ135" s="53">
        <v>18</v>
      </c>
      <c r="CA135" s="53" t="str">
        <v/>
      </c>
      <c r="CB135" s="53">
        <v>0</v>
      </c>
      <c r="CZ135" s="59"/>
      <c r="DA135" s="59"/>
      <c r="DB135" s="59"/>
      <c r="DC135" s="59"/>
      <c r="DD135" s="59"/>
      <c r="DE135" s="59"/>
      <c r="DF135" s="59"/>
      <c r="DG135" s="59"/>
      <c r="DH135" s="59"/>
      <c r="DI135" s="59"/>
      <c r="DJ135" s="59"/>
      <c r="DK135" s="59"/>
      <c r="DL135" s="59"/>
    </row>
    <row r="136" spans="3:116" s="53" customFormat="1" ht="12.75">
      <c r="C136" s="80"/>
      <c r="E136" s="48"/>
      <c r="F136" s="53" t="str">
        <f t="shared" si="23"/>
        <v/>
      </c>
      <c r="H136" s="70"/>
      <c r="I136" s="91"/>
      <c r="J136" s="71"/>
      <c r="K136" s="49" t="str">
        <f>IF(TC!Y26&lt;&gt;"",TC!Y26,"")</f>
        <v/>
      </c>
      <c r="M136" s="53" t="s">
        <v>30</v>
      </c>
      <c r="N136" s="53" t="s">
        <v>31</v>
      </c>
      <c r="O136" s="53" t="str">
        <f t="shared" si="24"/>
        <v>click</v>
      </c>
      <c r="P136" s="53" t="str">
        <f t="shared" si="25"/>
        <v>();</v>
      </c>
      <c r="Q136" s="53" t="str">
        <f t="shared" si="26"/>
        <v/>
      </c>
      <c r="R136" s="53" t="str">
        <f t="shared" si="27"/>
        <v/>
      </c>
      <c r="S136" s="53" t="str">
        <f t="shared" si="28"/>
        <v/>
      </c>
      <c r="BV136" s="53">
        <v>20</v>
      </c>
      <c r="BW136" s="53" t="str">
        <f>IF(Create_TC_Web!Y26&lt;&gt;"",Create_TC_Web!Y26,"")</f>
        <v/>
      </c>
      <c r="BZ136" s="53">
        <v>17</v>
      </c>
      <c r="CA136" s="53" t="str">
        <v/>
      </c>
      <c r="CB136" s="53">
        <v>0</v>
      </c>
      <c r="CZ136" s="59"/>
      <c r="DA136" s="59"/>
      <c r="DB136" s="59"/>
      <c r="DC136" s="59"/>
      <c r="DD136" s="59"/>
      <c r="DE136" s="59"/>
      <c r="DF136" s="59"/>
      <c r="DG136" s="59"/>
      <c r="DH136" s="59"/>
      <c r="DI136" s="59"/>
      <c r="DJ136" s="59"/>
      <c r="DK136" s="59"/>
      <c r="DL136" s="59"/>
    </row>
    <row r="137" spans="3:116" s="53" customFormat="1" ht="12.75">
      <c r="C137" s="80"/>
      <c r="E137" s="48"/>
      <c r="F137" s="53" t="str">
        <f t="shared" si="23"/>
        <v/>
      </c>
      <c r="H137" s="70"/>
      <c r="I137" s="91"/>
      <c r="J137" s="71"/>
      <c r="K137" s="49" t="str">
        <f>IF(TC!Y27&lt;&gt;"",TC!Y27,"")</f>
        <v/>
      </c>
      <c r="M137" s="53" t="s">
        <v>30</v>
      </c>
      <c r="N137" s="53" t="s">
        <v>31</v>
      </c>
      <c r="O137" s="53" t="str">
        <f t="shared" si="24"/>
        <v>click</v>
      </c>
      <c r="P137" s="53" t="str">
        <f t="shared" si="25"/>
        <v>();</v>
      </c>
      <c r="Q137" s="53" t="str">
        <f t="shared" si="26"/>
        <v/>
      </c>
      <c r="R137" s="53" t="str">
        <f t="shared" si="27"/>
        <v/>
      </c>
      <c r="S137" s="53" t="str">
        <f t="shared" si="28"/>
        <v/>
      </c>
      <c r="BV137" s="53">
        <v>21</v>
      </c>
      <c r="BW137" s="53" t="str">
        <f>IF(Create_TC_Web!Y27&lt;&gt;"",Create_TC_Web!Y27,"")</f>
        <v/>
      </c>
      <c r="BZ137" s="53">
        <v>16</v>
      </c>
      <c r="CA137" s="53" t="str">
        <v/>
      </c>
      <c r="CB137" s="53">
        <v>0</v>
      </c>
      <c r="CZ137" s="59"/>
      <c r="DA137" s="59"/>
      <c r="DB137" s="59"/>
      <c r="DC137" s="59"/>
      <c r="DD137" s="59"/>
      <c r="DE137" s="59"/>
      <c r="DF137" s="59"/>
      <c r="DG137" s="59"/>
      <c r="DH137" s="59"/>
      <c r="DI137" s="59"/>
      <c r="DJ137" s="59"/>
      <c r="DK137" s="59"/>
      <c r="DL137" s="59"/>
    </row>
    <row r="138" spans="3:116" s="53" customFormat="1" ht="12.75">
      <c r="C138" s="80"/>
      <c r="E138" s="48"/>
      <c r="F138" s="53" t="str">
        <f t="shared" si="23"/>
        <v/>
      </c>
      <c r="H138" s="70"/>
      <c r="I138" s="91"/>
      <c r="J138" s="63"/>
      <c r="K138" s="49" t="str">
        <f>IF(TC!Y28&lt;&gt;"",TC!Y28,"")</f>
        <v/>
      </c>
      <c r="M138" s="53" t="s">
        <v>30</v>
      </c>
      <c r="N138" s="53" t="s">
        <v>31</v>
      </c>
      <c r="O138" s="53" t="str">
        <f t="shared" si="24"/>
        <v>click</v>
      </c>
      <c r="P138" s="53" t="str">
        <f t="shared" si="25"/>
        <v>();</v>
      </c>
      <c r="Q138" s="53" t="str">
        <f t="shared" si="26"/>
        <v/>
      </c>
      <c r="R138" s="53" t="str">
        <f t="shared" si="27"/>
        <v/>
      </c>
      <c r="S138" s="53" t="str">
        <f t="shared" si="28"/>
        <v/>
      </c>
      <c r="BW138" s="53" t="str">
        <f>IF(Create_TC_Web!Y28&lt;&gt;"",Create_TC_Web!Y28,"")</f>
        <v/>
      </c>
      <c r="BZ138" s="53">
        <v>15</v>
      </c>
      <c r="CA138" s="53" t="str">
        <v/>
      </c>
      <c r="CB138" s="53">
        <v>0</v>
      </c>
      <c r="CZ138" s="59"/>
      <c r="DA138" s="59"/>
      <c r="DB138" s="59"/>
      <c r="DC138" s="59"/>
      <c r="DD138" s="59"/>
      <c r="DE138" s="59"/>
      <c r="DF138" s="59"/>
      <c r="DG138" s="59"/>
      <c r="DH138" s="59"/>
      <c r="DI138" s="59"/>
      <c r="DJ138" s="59"/>
      <c r="DK138" s="59"/>
      <c r="DL138" s="59"/>
    </row>
    <row r="139" spans="3:116" s="53" customFormat="1" ht="12.75">
      <c r="C139" s="80"/>
      <c r="E139" s="48"/>
      <c r="F139" s="53" t="str">
        <f t="shared" si="23"/>
        <v/>
      </c>
      <c r="H139" s="70"/>
      <c r="I139" s="91"/>
      <c r="J139" s="63"/>
      <c r="K139" s="49" t="str">
        <f>IF(TC!Y29&lt;&gt;"",TC!Y29,"")</f>
        <v/>
      </c>
      <c r="M139" s="53" t="s">
        <v>30</v>
      </c>
      <c r="N139" s="53" t="s">
        <v>31</v>
      </c>
      <c r="O139" s="53" t="str">
        <f t="shared" si="24"/>
        <v>click</v>
      </c>
      <c r="P139" s="53" t="str">
        <f t="shared" si="25"/>
        <v>();</v>
      </c>
      <c r="Q139" s="53" t="str">
        <f t="shared" si="26"/>
        <v/>
      </c>
      <c r="R139" s="53" t="str">
        <f t="shared" si="27"/>
        <v/>
      </c>
      <c r="S139" s="53" t="str">
        <f t="shared" si="28"/>
        <v/>
      </c>
      <c r="BV139" s="53">
        <v>22</v>
      </c>
      <c r="BW139" s="53" t="str">
        <f>IF(Create_TC_Web!Y29&lt;&gt;"",Create_TC_Web!Y29,"")</f>
        <v/>
      </c>
      <c r="BZ139" s="53">
        <v>14</v>
      </c>
      <c r="CA139" s="53" t="str">
        <v/>
      </c>
      <c r="CB139" s="53">
        <v>0</v>
      </c>
      <c r="CZ139" s="59"/>
      <c r="DA139" s="59"/>
      <c r="DB139" s="59"/>
      <c r="DC139" s="59"/>
      <c r="DD139" s="59"/>
      <c r="DE139" s="59"/>
      <c r="DF139" s="59"/>
      <c r="DG139" s="59"/>
      <c r="DH139" s="59"/>
      <c r="DI139" s="59"/>
      <c r="DJ139" s="59"/>
      <c r="DK139" s="59"/>
      <c r="DL139" s="59"/>
    </row>
    <row r="140" spans="3:116" s="53" customFormat="1" ht="12.75">
      <c r="C140" s="80"/>
      <c r="E140" s="48"/>
      <c r="F140" s="53" t="str">
        <f t="shared" si="23"/>
        <v/>
      </c>
      <c r="H140" s="70"/>
      <c r="I140" s="91"/>
      <c r="J140" s="63"/>
      <c r="K140" s="49" t="str">
        <f>IF(TC!Y30&lt;&gt;"",TC!Y30,"")</f>
        <v/>
      </c>
      <c r="M140" s="53" t="s">
        <v>30</v>
      </c>
      <c r="N140" s="53" t="s">
        <v>31</v>
      </c>
      <c r="O140" s="53" t="str">
        <f t="shared" si="24"/>
        <v>click</v>
      </c>
      <c r="P140" s="53" t="str">
        <f t="shared" ref="P140:P182" si="29">IF(OR(O140="Click",O140="innerText"),"();","("&amp;""""&amp;K140&amp;""""&amp;");")</f>
        <v>();</v>
      </c>
      <c r="Q140" s="53" t="str">
        <f t="shared" si="26"/>
        <v/>
      </c>
      <c r="R140" s="53" t="str">
        <f t="shared" si="27"/>
        <v/>
      </c>
      <c r="S140" s="53" t="str">
        <f t="shared" si="28"/>
        <v/>
      </c>
      <c r="BV140" s="53">
        <v>23</v>
      </c>
      <c r="BW140" s="53" t="str">
        <f>IF(Create_TC_Web!Y30&lt;&gt;"",Create_TC_Web!Y30,"")</f>
        <v/>
      </c>
      <c r="BZ140" s="53">
        <v>13</v>
      </c>
      <c r="CA140" s="53" t="str">
        <v/>
      </c>
      <c r="CB140" s="53">
        <v>0</v>
      </c>
    </row>
    <row r="141" spans="3:116" s="53" customFormat="1" ht="12.75">
      <c r="C141" s="80"/>
      <c r="E141" s="48"/>
      <c r="F141" s="53" t="str">
        <f t="shared" si="23"/>
        <v/>
      </c>
      <c r="H141" s="70"/>
      <c r="I141" s="91"/>
      <c r="J141" s="63"/>
      <c r="K141" s="49" t="str">
        <f>IF(TC!Y31&lt;&gt;"",TC!Y31,"")</f>
        <v/>
      </c>
      <c r="M141" s="53" t="s">
        <v>30</v>
      </c>
      <c r="N141" s="53" t="s">
        <v>31</v>
      </c>
      <c r="O141" s="53" t="str">
        <f t="shared" si="24"/>
        <v>click</v>
      </c>
      <c r="P141" s="53" t="str">
        <f t="shared" si="29"/>
        <v>();</v>
      </c>
      <c r="Q141" s="53" t="str">
        <f t="shared" si="26"/>
        <v/>
      </c>
      <c r="R141" s="53" t="str">
        <f t="shared" si="27"/>
        <v/>
      </c>
      <c r="S141" s="53" t="str">
        <f t="shared" si="28"/>
        <v/>
      </c>
      <c r="BV141" s="53">
        <v>24</v>
      </c>
      <c r="BW141" s="53" t="str">
        <f>IF(Create_TC_Web!Y31&lt;&gt;"",Create_TC_Web!Y31,"")</f>
        <v/>
      </c>
      <c r="BZ141" s="53">
        <v>12</v>
      </c>
      <c r="CA141" s="53" t="str">
        <v/>
      </c>
      <c r="CB141" s="53">
        <v>0</v>
      </c>
    </row>
    <row r="142" spans="3:116" s="53" customFormat="1" ht="12.75">
      <c r="C142" s="80"/>
      <c r="E142" s="48"/>
      <c r="F142" s="53" t="str">
        <f t="shared" si="23"/>
        <v/>
      </c>
      <c r="H142" s="70"/>
      <c r="I142" s="91"/>
      <c r="J142" s="63"/>
      <c r="K142" s="49" t="str">
        <f>IF(TC!Y32&lt;&gt;"",TC!Y32,"")</f>
        <v/>
      </c>
      <c r="M142" s="53" t="s">
        <v>30</v>
      </c>
      <c r="N142" s="53" t="s">
        <v>31</v>
      </c>
      <c r="O142" s="53" t="str">
        <f t="shared" si="24"/>
        <v>click</v>
      </c>
      <c r="P142" s="53" t="str">
        <f t="shared" si="29"/>
        <v>();</v>
      </c>
      <c r="Q142" s="53" t="str">
        <f t="shared" si="26"/>
        <v/>
      </c>
      <c r="R142" s="53" t="str">
        <f t="shared" si="27"/>
        <v/>
      </c>
      <c r="S142" s="53" t="str">
        <f t="shared" si="28"/>
        <v/>
      </c>
      <c r="BW142" s="53" t="str">
        <f>IF(Create_TC_Web!Y32&lt;&gt;"",Create_TC_Web!Y32,"")</f>
        <v/>
      </c>
      <c r="BZ142" s="53">
        <v>11</v>
      </c>
      <c r="CA142" s="53" t="str">
        <v>Sheet1</v>
      </c>
      <c r="CB142" s="53">
        <v>0</v>
      </c>
    </row>
    <row r="143" spans="3:116" s="53" customFormat="1" ht="12.75">
      <c r="C143" s="80"/>
      <c r="E143" s="48"/>
      <c r="F143" s="53" t="str">
        <f t="shared" si="23"/>
        <v/>
      </c>
      <c r="H143" s="70"/>
      <c r="I143" s="91"/>
      <c r="J143" s="63"/>
      <c r="K143" s="49" t="str">
        <f>IF(TC!Y33&lt;&gt;"",TC!Y33,"")</f>
        <v/>
      </c>
      <c r="M143" s="53" t="s">
        <v>30</v>
      </c>
      <c r="N143" s="53" t="s">
        <v>31</v>
      </c>
      <c r="O143" s="53" t="str">
        <f t="shared" si="24"/>
        <v>click</v>
      </c>
      <c r="P143" s="53" t="str">
        <f t="shared" si="29"/>
        <v>();</v>
      </c>
      <c r="Q143" s="53" t="str">
        <f t="shared" si="26"/>
        <v/>
      </c>
      <c r="R143" s="53" t="str">
        <f t="shared" si="27"/>
        <v/>
      </c>
      <c r="S143" s="53" t="str">
        <f t="shared" si="28"/>
        <v/>
      </c>
      <c r="BV143" s="53">
        <v>25</v>
      </c>
      <c r="BW143" s="53" t="str">
        <f>IF(Create_TC_Web!Y33&lt;&gt;"",Create_TC_Web!Y33,"")</f>
        <v/>
      </c>
      <c r="BZ143" s="53">
        <v>10</v>
      </c>
      <c r="CA143" s="53" t="str">
        <v>02LoginUsername</v>
      </c>
      <c r="CB143" s="53">
        <v>0</v>
      </c>
    </row>
    <row r="144" spans="3:116" s="53" customFormat="1" ht="12.75">
      <c r="C144" s="80"/>
      <c r="E144" s="48"/>
      <c r="F144" s="53" t="str">
        <f t="shared" ref="F144:F146" si="30">IF(AND(CA134&lt;&gt;0,CA134&lt;&gt;"Sheet1"),CA134,"")</f>
        <v/>
      </c>
      <c r="H144" s="70"/>
      <c r="I144" s="91"/>
      <c r="J144" s="63"/>
      <c r="K144" s="49" t="str">
        <f>IF(TC!Y34&lt;&gt;"",TC!Y34,"")</f>
        <v/>
      </c>
      <c r="M144" s="53" t="s">
        <v>30</v>
      </c>
      <c r="N144" s="53" t="s">
        <v>31</v>
      </c>
      <c r="O144" s="53" t="str">
        <f t="shared" si="24"/>
        <v>click</v>
      </c>
      <c r="P144" s="53" t="str">
        <f t="shared" si="29"/>
        <v>();</v>
      </c>
      <c r="Q144" s="53" t="str">
        <f t="shared" si="26"/>
        <v/>
      </c>
      <c r="R144" s="53" t="str">
        <f t="shared" si="27"/>
        <v/>
      </c>
      <c r="S144" s="53" t="str">
        <f t="shared" si="28"/>
        <v/>
      </c>
      <c r="BV144" s="53">
        <v>26</v>
      </c>
      <c r="BW144" s="53" t="str">
        <f>IF(Create_TC_Web!Y34&lt;&gt;"",Create_TC_Web!Y34,"")</f>
        <v/>
      </c>
      <c r="BZ144" s="53">
        <v>9</v>
      </c>
      <c r="CA144" s="53" t="str">
        <v>04StaySignIn</v>
      </c>
      <c r="CB144" s="53">
        <v>0</v>
      </c>
    </row>
    <row r="145" spans="3:114" s="53" customFormat="1" ht="12.75">
      <c r="C145" s="80"/>
      <c r="E145" s="48"/>
      <c r="F145" s="53" t="str">
        <f t="shared" si="30"/>
        <v/>
      </c>
      <c r="H145" s="70"/>
      <c r="I145" s="91"/>
      <c r="J145" s="63"/>
      <c r="K145" s="49" t="str">
        <f>IF(TC!Y35&lt;&gt;"",TC!Y35,"")</f>
        <v/>
      </c>
      <c r="M145" s="53" t="s">
        <v>30</v>
      </c>
      <c r="N145" s="53" t="s">
        <v>31</v>
      </c>
      <c r="O145" s="53" t="str">
        <f t="shared" si="24"/>
        <v>click</v>
      </c>
      <c r="P145" s="53" t="str">
        <f t="shared" si="29"/>
        <v>();</v>
      </c>
      <c r="Q145" s="53" t="str">
        <f t="shared" si="26"/>
        <v/>
      </c>
      <c r="R145" s="53" t="str">
        <f t="shared" si="27"/>
        <v/>
      </c>
      <c r="S145" s="53" t="str">
        <f t="shared" si="28"/>
        <v/>
      </c>
      <c r="BV145" s="53">
        <v>27</v>
      </c>
      <c r="BW145" s="53" t="str">
        <f>IF(Create_TC_Web!Y35&lt;&gt;"",Create_TC_Web!Y35,"")</f>
        <v/>
      </c>
      <c r="BZ145" s="53">
        <v>8</v>
      </c>
      <c r="CA145" s="53" t="str">
        <v>05GeneralInformationPage</v>
      </c>
      <c r="CB145" s="53">
        <v>0</v>
      </c>
    </row>
    <row r="146" spans="3:114" s="53" customFormat="1" ht="12.75">
      <c r="C146" s="80"/>
      <c r="E146" s="48"/>
      <c r="F146" s="53" t="str">
        <f t="shared" si="30"/>
        <v/>
      </c>
      <c r="H146" s="70"/>
      <c r="I146" s="91"/>
      <c r="J146" s="63"/>
      <c r="K146" s="49" t="str">
        <f>IF(TC!Y36&lt;&gt;"",TC!Y36,"")</f>
        <v/>
      </c>
      <c r="M146" s="53" t="s">
        <v>30</v>
      </c>
      <c r="N146" s="53" t="s">
        <v>31</v>
      </c>
      <c r="O146" s="53" t="str">
        <f t="shared" si="24"/>
        <v>click</v>
      </c>
      <c r="P146" s="53" t="str">
        <f t="shared" si="29"/>
        <v>();</v>
      </c>
      <c r="Q146" s="53" t="str">
        <f t="shared" si="26"/>
        <v/>
      </c>
      <c r="R146" s="53" t="str">
        <f t="shared" si="27"/>
        <v/>
      </c>
      <c r="S146" s="53" t="str">
        <f t="shared" si="28"/>
        <v/>
      </c>
      <c r="BW146" s="53" t="str">
        <f>IF(Create_TC_Web!Y36&lt;&gt;"",Create_TC_Web!Y36,"")</f>
        <v/>
      </c>
      <c r="BZ146" s="53">
        <v>7</v>
      </c>
      <c r="CA146" s="53" t="str">
        <v>06HOProductPage</v>
      </c>
      <c r="CB146" s="53">
        <v>0</v>
      </c>
      <c r="CU146" s="53" t="e">
        <v>#N/A</v>
      </c>
      <c r="CV146" s="53" t="e">
        <v>#N/A</v>
      </c>
      <c r="CW146" s="53" t="e">
        <v>#N/A</v>
      </c>
      <c r="CX146" s="53" t="e">
        <v>#N/A</v>
      </c>
      <c r="CY146" s="53" t="e">
        <v>#N/A</v>
      </c>
      <c r="DE146" s="53" t="e">
        <v>#N/A</v>
      </c>
      <c r="DF146" s="53" t="e">
        <v>#N/A</v>
      </c>
      <c r="DG146" s="53" t="e">
        <v>#N/A</v>
      </c>
      <c r="DH146" s="53" t="e">
        <v>#N/A</v>
      </c>
      <c r="DI146" s="53" t="e">
        <v>#N/A</v>
      </c>
      <c r="DJ146" s="53" t="e">
        <v>#N/A</v>
      </c>
    </row>
    <row r="147" spans="3:114" s="53" customFormat="1" ht="12.75">
      <c r="C147" s="80"/>
      <c r="E147" s="48"/>
      <c r="H147" s="70"/>
      <c r="I147" s="91"/>
      <c r="J147" s="63"/>
      <c r="K147" s="49" t="str">
        <f>IF(TC!Y37&lt;&gt;"",TC!Y37,"")</f>
        <v/>
      </c>
      <c r="M147" s="53" t="s">
        <v>30</v>
      </c>
      <c r="N147" s="53" t="s">
        <v>31</v>
      </c>
      <c r="O147" s="53" t="str">
        <f t="shared" si="24"/>
        <v>click</v>
      </c>
      <c r="P147" s="53" t="str">
        <f t="shared" si="29"/>
        <v>();</v>
      </c>
      <c r="Q147" s="53" t="str">
        <f t="shared" si="26"/>
        <v/>
      </c>
      <c r="R147" s="53" t="str">
        <f t="shared" si="27"/>
        <v/>
      </c>
      <c r="S147" s="53" t="str">
        <f t="shared" si="28"/>
        <v/>
      </c>
      <c r="BV147" s="53">
        <v>28</v>
      </c>
      <c r="BW147" s="53" t="str">
        <f>IF(Create_TC_Web!Y37&lt;&gt;"",Create_TC_Web!Y37,"")</f>
        <v/>
      </c>
      <c r="BZ147" s="53">
        <v>6</v>
      </c>
      <c r="CA147" s="53" t="str">
        <v>08ApplicationPage</v>
      </c>
      <c r="CB147" s="53">
        <v>0</v>
      </c>
      <c r="CU147" s="53" t="e">
        <v>#N/A</v>
      </c>
      <c r="CV147" s="53" t="e">
        <v>#N/A</v>
      </c>
      <c r="CW147" s="53" t="e">
        <v>#N/A</v>
      </c>
      <c r="CX147" s="53" t="e">
        <v>#N/A</v>
      </c>
      <c r="CY147" s="53" t="e">
        <v>#N/A</v>
      </c>
      <c r="DE147" s="53" t="e">
        <v>#N/A</v>
      </c>
      <c r="DF147" s="53" t="e">
        <v>#N/A</v>
      </c>
      <c r="DG147" s="53" t="e">
        <v>#N/A</v>
      </c>
      <c r="DH147" s="53" t="e">
        <v>#N/A</v>
      </c>
      <c r="DI147" s="53" t="e">
        <v>#N/A</v>
      </c>
      <c r="DJ147" s="53" t="e">
        <v>#N/A</v>
      </c>
    </row>
    <row r="148" spans="3:114" s="53" customFormat="1" ht="12.75">
      <c r="C148" s="80"/>
      <c r="E148" s="48"/>
      <c r="H148" s="70"/>
      <c r="I148" s="91"/>
      <c r="J148" s="63"/>
      <c r="K148" s="49" t="str">
        <f>IF(TC!Y38&lt;&gt;"",TC!Y38,"")</f>
        <v/>
      </c>
      <c r="M148" s="53" t="s">
        <v>30</v>
      </c>
      <c r="N148" s="53" t="s">
        <v>31</v>
      </c>
      <c r="O148" s="53" t="str">
        <f t="shared" si="24"/>
        <v>click</v>
      </c>
      <c r="P148" s="53" t="str">
        <f t="shared" si="29"/>
        <v>();</v>
      </c>
      <c r="Q148" s="53" t="str">
        <f t="shared" si="26"/>
        <v/>
      </c>
      <c r="R148" s="53" t="str">
        <f t="shared" si="27"/>
        <v/>
      </c>
      <c r="S148" s="53" t="str">
        <f t="shared" si="28"/>
        <v/>
      </c>
      <c r="BV148" s="53">
        <v>29</v>
      </c>
      <c r="BW148" s="53" t="str">
        <f>IF(Create_TC_Web!Y38&lt;&gt;"",Create_TC_Web!Y38,"")</f>
        <v/>
      </c>
      <c r="BZ148" s="53">
        <v>5</v>
      </c>
      <c r="CA148" s="53" t="str">
        <v>09FormsPage</v>
      </c>
      <c r="CB148" s="53">
        <v>0</v>
      </c>
      <c r="CU148" s="53" t="e">
        <v>#N/A</v>
      </c>
      <c r="CV148" s="53" t="e">
        <v>#N/A</v>
      </c>
      <c r="CW148" s="53" t="e">
        <v>#N/A</v>
      </c>
      <c r="CX148" s="53" t="e">
        <v>#N/A</v>
      </c>
      <c r="CY148" s="53" t="e">
        <v>#N/A</v>
      </c>
      <c r="DE148" s="53" t="e">
        <v>#N/A</v>
      </c>
      <c r="DF148" s="53" t="e">
        <v>#N/A</v>
      </c>
      <c r="DG148" s="53" t="e">
        <v>#N/A</v>
      </c>
      <c r="DH148" s="53" t="e">
        <v>#N/A</v>
      </c>
      <c r="DI148" s="53" t="e">
        <v>#N/A</v>
      </c>
      <c r="DJ148" s="53" t="e">
        <v>#N/A</v>
      </c>
    </row>
    <row r="149" spans="3:114" s="53" customFormat="1" ht="12.75">
      <c r="C149" s="80"/>
      <c r="E149" s="48"/>
      <c r="H149" s="70"/>
      <c r="I149" s="91"/>
      <c r="J149" s="63"/>
      <c r="K149" s="49" t="str">
        <f>IF(TC!Y39&lt;&gt;"",TC!Y39,"")</f>
        <v/>
      </c>
      <c r="M149" s="53" t="s">
        <v>30</v>
      </c>
      <c r="N149" s="53" t="s">
        <v>31</v>
      </c>
      <c r="O149" s="53" t="str">
        <f t="shared" si="24"/>
        <v>click</v>
      </c>
      <c r="P149" s="53" t="str">
        <f t="shared" si="29"/>
        <v>();</v>
      </c>
      <c r="Q149" s="53" t="str">
        <f t="shared" si="26"/>
        <v/>
      </c>
      <c r="R149" s="53" t="str">
        <f t="shared" si="27"/>
        <v/>
      </c>
      <c r="S149" s="53" t="str">
        <f t="shared" si="28"/>
        <v/>
      </c>
      <c r="BV149" s="53">
        <v>30</v>
      </c>
      <c r="BW149" s="53" t="str">
        <f>IF(Create_TC_Web!Y39&lt;&gt;"",Create_TC_Web!Y39,"")</f>
        <v/>
      </c>
      <c r="BZ149" s="53">
        <v>4</v>
      </c>
      <c r="CA149" s="53" t="str">
        <v>10CopyQuoteConfirmationPage</v>
      </c>
      <c r="CB149" s="53">
        <v>0</v>
      </c>
      <c r="CU149" s="53" t="e">
        <v>#N/A</v>
      </c>
      <c r="CV149" s="53" t="e">
        <v>#N/A</v>
      </c>
      <c r="CW149" s="53" t="e">
        <v>#N/A</v>
      </c>
      <c r="CX149" s="53" t="e">
        <v>#N/A</v>
      </c>
      <c r="CY149" s="53" t="e">
        <v>#N/A</v>
      </c>
      <c r="DE149" s="53" t="e">
        <v>#N/A</v>
      </c>
      <c r="DF149" s="53" t="e">
        <v>#N/A</v>
      </c>
      <c r="DG149" s="53" t="e">
        <v>#N/A</v>
      </c>
      <c r="DH149" s="53" t="e">
        <v>#N/A</v>
      </c>
      <c r="DI149" s="53" t="e">
        <v>#N/A</v>
      </c>
      <c r="DJ149" s="53" t="e">
        <v>#N/A</v>
      </c>
    </row>
    <row r="150" spans="3:114" s="53" customFormat="1" ht="12.75">
      <c r="C150" s="80"/>
      <c r="E150" s="48"/>
      <c r="H150" s="70"/>
      <c r="I150" s="91"/>
      <c r="J150" s="63"/>
      <c r="K150" s="49" t="str">
        <f>IF(TC!Y40&lt;&gt;"",TC!Y40,"")</f>
        <v/>
      </c>
      <c r="M150" s="53" t="s">
        <v>30</v>
      </c>
      <c r="N150" s="53" t="s">
        <v>31</v>
      </c>
      <c r="O150" s="53" t="str">
        <f t="shared" si="24"/>
        <v>click</v>
      </c>
      <c r="P150" s="53" t="str">
        <f t="shared" si="29"/>
        <v>();</v>
      </c>
      <c r="Q150" s="53" t="str">
        <f>IF(C152="Y",IF(H150&lt;&gt;"Xpath",M150&amp;F150&amp;N150,""""&amp;F150&amp;""""),"")</f>
        <v/>
      </c>
      <c r="R150" s="53" t="str">
        <f>IF(C152="Y",""""&amp;E150&amp;""""&amp;":"&amp;Q150&amp;",","")</f>
        <v/>
      </c>
      <c r="S150" s="53" t="str">
        <f>IF(O150="innerText",I150&amp;"="&amp;IF(C152="Y",IF(J150&lt;&gt;"Y",$S$9&amp;$R$10&amp;"."&amp;E150&amp;")."&amp;IF(OR(O150="click",O150="innerText"),O150&amp;"();",O150&amp;"("&amp;$Q$9&amp;"."&amp;E150&amp;");"),$S$110&amp;$R$10&amp;"."&amp;E150&amp;")."&amp;IF(O150="click",O150&amp;"();",O150&amp;"("&amp;"'"&amp;K150&amp;"'"&amp;");")),""),IF(C152="Y",IF(J150&lt;&gt;"Y",$S$9&amp;$R$10&amp;"."&amp;E150&amp;")."&amp;IF(OR(O150="click",O150="innerText"),O150&amp;"();",O150&amp;"("&amp;$Q$9&amp;"."&amp;E150&amp;");"),$S$110&amp;$R$10&amp;"."&amp;E150&amp;")."&amp;IF(O150="click",O150&amp;"();",O150&amp;"("&amp;"'"&amp;K150&amp;"'"&amp;");")),""))</f>
        <v/>
      </c>
      <c r="BW150" s="53" t="str">
        <f>IF(Create_TC_Web!Y40&lt;&gt;"",Create_TC_Web!Y40,"")</f>
        <v/>
      </c>
      <c r="BZ150" s="53">
        <v>3</v>
      </c>
      <c r="CA150" s="53" t="str">
        <v>12CopyQuoteHOPage</v>
      </c>
      <c r="CB150" s="53">
        <v>0</v>
      </c>
      <c r="CU150" s="53" t="e">
        <v>#N/A</v>
      </c>
      <c r="CV150" s="53" t="e">
        <v>#N/A</v>
      </c>
      <c r="CW150" s="53" t="e">
        <v>#N/A</v>
      </c>
      <c r="CX150" s="53" t="e">
        <v>#N/A</v>
      </c>
      <c r="CY150" s="53" t="e">
        <v>#N/A</v>
      </c>
      <c r="DE150" s="53" t="e">
        <v>#N/A</v>
      </c>
      <c r="DF150" s="53" t="e">
        <v>#N/A</v>
      </c>
      <c r="DG150" s="53" t="e">
        <v>#N/A</v>
      </c>
      <c r="DH150" s="53" t="e">
        <v>#N/A</v>
      </c>
      <c r="DI150" s="53" t="e">
        <v>#N/A</v>
      </c>
      <c r="DJ150" s="53" t="e">
        <v>#N/A</v>
      </c>
    </row>
    <row r="151" spans="3:114" s="53" customFormat="1" ht="12.75">
      <c r="C151" s="80"/>
      <c r="E151" s="48"/>
      <c r="H151" s="70"/>
      <c r="I151" s="91"/>
      <c r="J151" s="63"/>
      <c r="K151" s="49" t="str">
        <f>IF(TC!Y41&lt;&gt;"",TC!Y41,"")</f>
        <v/>
      </c>
      <c r="M151" s="53" t="s">
        <v>30</v>
      </c>
      <c r="N151" s="53" t="s">
        <v>31</v>
      </c>
      <c r="O151" s="53" t="str">
        <f t="shared" si="24"/>
        <v>click</v>
      </c>
      <c r="P151" s="53" t="str">
        <f t="shared" si="29"/>
        <v>();</v>
      </c>
      <c r="Q151" s="53" t="str">
        <f>IF(C150="Y",IF(H151&lt;&gt;"Xpath",M151&amp;F151&amp;N151,""""&amp;F151&amp;""""),"")</f>
        <v/>
      </c>
      <c r="R151" s="53" t="str">
        <f>IF(C150="Y",""""&amp;E151&amp;""""&amp;":"&amp;Q151&amp;",","")</f>
        <v/>
      </c>
      <c r="S151" s="53" t="str">
        <f>IF(O151="innerText",I151&amp;"="&amp;IF(C150="Y",IF(J151&lt;&gt;"Y",$S$9&amp;$R$10&amp;"."&amp;E151&amp;")."&amp;IF(OR(O151="click",O151="innerText"),O151&amp;"();",O151&amp;"("&amp;$Q$9&amp;"."&amp;E151&amp;");"),$S$110&amp;$R$10&amp;"."&amp;E151&amp;")."&amp;IF(O151="click",O151&amp;"();",O151&amp;"("&amp;"'"&amp;K151&amp;"'"&amp;");")),""),IF(C150="Y",IF(J151&lt;&gt;"Y",$S$9&amp;$R$10&amp;"."&amp;E151&amp;")."&amp;IF(OR(O151="click",O151="innerText"),O151&amp;"();",O151&amp;"("&amp;$Q$9&amp;"."&amp;E151&amp;");"),$S$110&amp;$R$10&amp;"."&amp;E151&amp;")."&amp;IF(O151="click",O151&amp;"();",O151&amp;"("&amp;"'"&amp;K151&amp;"'"&amp;");")),""))</f>
        <v/>
      </c>
      <c r="BV151" s="53">
        <v>31</v>
      </c>
      <c r="BW151" s="53" t="str">
        <f>IF(Create_TC_Web!Y41&lt;&gt;"",Create_TC_Web!Y41,"")</f>
        <v/>
      </c>
      <c r="BZ151" s="53">
        <v>2</v>
      </c>
      <c r="CA151" s="53" t="str">
        <v>13CopyQuoteQSPage</v>
      </c>
      <c r="CB151" s="53">
        <v>0</v>
      </c>
      <c r="CU151" s="53" t="e">
        <v>#N/A</v>
      </c>
      <c r="CV151" s="53" t="e">
        <v>#N/A</v>
      </c>
      <c r="CW151" s="53" t="e">
        <v>#N/A</v>
      </c>
      <c r="CX151" s="53" t="e">
        <v>#N/A</v>
      </c>
      <c r="CY151" s="53" t="e">
        <v>#N/A</v>
      </c>
      <c r="DE151" s="53" t="e">
        <v>#N/A</v>
      </c>
      <c r="DF151" s="53" t="e">
        <v>#N/A</v>
      </c>
      <c r="DG151" s="53" t="e">
        <v>#N/A</v>
      </c>
      <c r="DH151" s="53" t="e">
        <v>#N/A</v>
      </c>
      <c r="DI151" s="53" t="e">
        <v>#N/A</v>
      </c>
      <c r="DJ151" s="53" t="e">
        <v>#N/A</v>
      </c>
    </row>
    <row r="152" spans="3:114" s="53" customFormat="1" ht="12.75">
      <c r="C152" s="80"/>
      <c r="E152" s="48"/>
      <c r="H152" s="70"/>
      <c r="I152" s="91"/>
      <c r="J152" s="63"/>
      <c r="K152" s="49" t="str">
        <f>IF(TC!Y42&lt;&gt;"",TC!Y42,"")</f>
        <v/>
      </c>
      <c r="M152" s="53" t="s">
        <v>30</v>
      </c>
      <c r="N152" s="53" t="s">
        <v>31</v>
      </c>
      <c r="O152" s="53" t="str">
        <f t="shared" si="24"/>
        <v>click</v>
      </c>
      <c r="P152" s="53" t="str">
        <f t="shared" si="29"/>
        <v>();</v>
      </c>
      <c r="Q152" s="53" t="str">
        <f>IF(C151="Y",IF(H152&lt;&gt;"Xpath",M152&amp;F152&amp;N152,""""&amp;F152&amp;""""),"")</f>
        <v/>
      </c>
      <c r="R152" s="53" t="str">
        <f>IF(C151="Y",""""&amp;E152&amp;""""&amp;":"&amp;Q152&amp;",","")</f>
        <v/>
      </c>
      <c r="S152" s="53" t="str">
        <f>IF(O152="innerText",I152&amp;"="&amp;IF(C151="Y",IF(J152&lt;&gt;"Y",$S$9&amp;$R$10&amp;"."&amp;E152&amp;")."&amp;IF(OR(O152="click",O152="innerText"),O152&amp;"();",O152&amp;"("&amp;$Q$9&amp;"."&amp;E152&amp;");"),$S$110&amp;$R$10&amp;"."&amp;E152&amp;")."&amp;IF(O152="click",O152&amp;"();",O152&amp;"("&amp;"'"&amp;K152&amp;"'"&amp;");")),""),IF(C151="Y",IF(J152&lt;&gt;"Y",$S$9&amp;$R$10&amp;"."&amp;E152&amp;")."&amp;IF(OR(O152="click",O152="innerText"),O152&amp;"();",O152&amp;"("&amp;$Q$9&amp;"."&amp;E152&amp;");"),$S$110&amp;$R$10&amp;"."&amp;E152&amp;")."&amp;IF(O152="click",O152&amp;"();",O152&amp;"("&amp;"'"&amp;K152&amp;"'"&amp;");")),""))</f>
        <v/>
      </c>
      <c r="BV152" s="53">
        <v>32</v>
      </c>
      <c r="BW152" s="53" t="str">
        <f>IF(Create_TC_Web!Y42&lt;&gt;"",Create_TC_Web!Y42,"")</f>
        <v/>
      </c>
      <c r="BZ152" s="53">
        <v>1</v>
      </c>
      <c r="CA152" s="53" t="str">
        <v>14COpyQuoteApplicationPage</v>
      </c>
      <c r="CB152" s="53">
        <v>0</v>
      </c>
      <c r="CU152" s="53" t="e">
        <v>#N/A</v>
      </c>
      <c r="CV152" s="53" t="e">
        <v>#N/A</v>
      </c>
      <c r="CW152" s="53" t="e">
        <v>#N/A</v>
      </c>
      <c r="CX152" s="53" t="e">
        <v>#N/A</v>
      </c>
      <c r="CY152" s="53" t="e">
        <v>#N/A</v>
      </c>
      <c r="DE152" s="53" t="e">
        <v>#N/A</v>
      </c>
      <c r="DF152" s="53" t="e">
        <v>#N/A</v>
      </c>
      <c r="DG152" s="53" t="e">
        <v>#N/A</v>
      </c>
      <c r="DH152" s="53" t="e">
        <v>#N/A</v>
      </c>
      <c r="DI152" s="53" t="e">
        <v>#N/A</v>
      </c>
      <c r="DJ152" s="53" t="e">
        <v>#N/A</v>
      </c>
    </row>
    <row r="153" spans="3:114" s="53" customFormat="1" ht="12.75">
      <c r="E153" s="48"/>
      <c r="H153" s="70"/>
      <c r="I153" s="91"/>
      <c r="J153" s="63"/>
      <c r="K153" s="49" t="str">
        <f>IF(TC!Y43&lt;&gt;"",TC!Y43,"")</f>
        <v/>
      </c>
      <c r="M153" s="53" t="s">
        <v>30</v>
      </c>
      <c r="N153" s="53" t="s">
        <v>31</v>
      </c>
      <c r="O153" s="53" t="str">
        <f t="shared" si="24"/>
        <v>click</v>
      </c>
      <c r="P153" s="53" t="str">
        <f t="shared" si="29"/>
        <v>();</v>
      </c>
      <c r="BV153" s="53">
        <v>33</v>
      </c>
      <c r="BW153" s="53" t="str">
        <f>IF(Create_TC_Web!Y43&lt;&gt;"",Create_TC_Web!Y43,"")</f>
        <v/>
      </c>
      <c r="BZ153" s="53">
        <v>0</v>
      </c>
      <c r="CA153" s="53" t="str">
        <v>11COpyQuoteGIPage</v>
      </c>
      <c r="CB153" s="53">
        <v>0</v>
      </c>
      <c r="CU153" s="53" t="e">
        <v>#N/A</v>
      </c>
      <c r="CV153" s="53" t="e">
        <v>#N/A</v>
      </c>
      <c r="CW153" s="53" t="e">
        <v>#N/A</v>
      </c>
      <c r="CX153" s="53" t="e">
        <v>#N/A</v>
      </c>
      <c r="CY153" s="53" t="e">
        <v>#N/A</v>
      </c>
      <c r="DE153" s="53" t="e">
        <v>#N/A</v>
      </c>
      <c r="DF153" s="53" t="e">
        <v>#N/A</v>
      </c>
      <c r="DG153" s="53" t="e">
        <v>#N/A</v>
      </c>
      <c r="DH153" s="53" t="e">
        <v>#N/A</v>
      </c>
      <c r="DI153" s="53" t="e">
        <v>#N/A</v>
      </c>
      <c r="DJ153" s="53" t="e">
        <v>#N/A</v>
      </c>
    </row>
    <row r="154" spans="3:114" s="53" customFormat="1" ht="12.75">
      <c r="C154" s="80"/>
      <c r="E154" s="48"/>
      <c r="H154" s="70"/>
      <c r="I154" s="91"/>
      <c r="J154" s="63"/>
      <c r="K154" s="49" t="str">
        <f>IF(TC!Y44&lt;&gt;"",TC!Y44,"")</f>
        <v/>
      </c>
      <c r="M154" s="53" t="s">
        <v>30</v>
      </c>
      <c r="N154" s="53" t="s">
        <v>31</v>
      </c>
      <c r="O154" s="53" t="str">
        <f t="shared" si="24"/>
        <v>click</v>
      </c>
      <c r="P154" s="53" t="str">
        <f t="shared" si="29"/>
        <v>();</v>
      </c>
      <c r="Q154" s="53" t="str">
        <f t="shared" ref="Q154:Q182" si="31">IF(C154="Y",IF(H154&lt;&gt;"Xpath",M154&amp;F154&amp;N154,""""&amp;F154&amp;""""),"")</f>
        <v/>
      </c>
      <c r="R154" s="53" t="str">
        <f t="shared" ref="R154:R182" si="32">IF(C154="Y",""""&amp;E154&amp;""""&amp;":"&amp;Q154&amp;",","")</f>
        <v/>
      </c>
      <c r="S154" s="53" t="str">
        <f t="shared" ref="S154:S182" si="33">IF(O154="innerText",I154&amp;"="&amp;IF(C154="Y",IF(J154&lt;&gt;"Y",$S$9&amp;$R$10&amp;"."&amp;E154&amp;")."&amp;IF(OR(O154="click",O154="innerText"),O154&amp;"();",O154&amp;"("&amp;$Q$9&amp;"."&amp;E154&amp;");"),$S$110&amp;$R$10&amp;"."&amp;E154&amp;")."&amp;IF(O154="click",O154&amp;"();",O154&amp;"("&amp;"'"&amp;K154&amp;"'"&amp;");")),""),IF(C154="Y",IF(J154&lt;&gt;"Y",$S$9&amp;$R$10&amp;"."&amp;E154&amp;")."&amp;IF(OR(O154="click",O154="innerText"),O154&amp;"();",O154&amp;"("&amp;$Q$9&amp;"."&amp;E154&amp;");"),$S$110&amp;$R$10&amp;"."&amp;E154&amp;")."&amp;IF(O154="click",O154&amp;"();",O154&amp;"("&amp;"'"&amp;K154&amp;"'"&amp;");")),""))</f>
        <v/>
      </c>
      <c r="BW154" s="53" t="str">
        <f>IF(Create_TC_Web!Y44&lt;&gt;"",Create_TC_Web!Y44,"")</f>
        <v/>
      </c>
      <c r="BZ154" s="53">
        <v>0</v>
      </c>
      <c r="CA154" s="53" t="str">
        <v>07QuoteSummaryPage</v>
      </c>
      <c r="CU154" s="53" t="e">
        <v>#N/A</v>
      </c>
      <c r="CV154" s="53" t="e">
        <v>#N/A</v>
      </c>
      <c r="CW154" s="53" t="e">
        <v>#N/A</v>
      </c>
      <c r="CX154" s="53" t="e">
        <v>#N/A</v>
      </c>
      <c r="CY154" s="53" t="e">
        <v>#N/A</v>
      </c>
      <c r="DE154" s="53" t="e">
        <v>#N/A</v>
      </c>
      <c r="DF154" s="53" t="e">
        <v>#N/A</v>
      </c>
      <c r="DG154" s="53" t="e">
        <v>#N/A</v>
      </c>
      <c r="DH154" s="53" t="e">
        <v>#N/A</v>
      </c>
      <c r="DI154" s="53" t="e">
        <v>#N/A</v>
      </c>
      <c r="DJ154" s="53" t="e">
        <v>#N/A</v>
      </c>
    </row>
    <row r="155" spans="3:114" s="53" customFormat="1" ht="12.75">
      <c r="C155" s="80"/>
      <c r="E155" s="48"/>
      <c r="H155" s="70"/>
      <c r="I155" s="91"/>
      <c r="J155" s="63"/>
      <c r="K155" s="49" t="str">
        <f>IF(TC!Y45&lt;&gt;"",TC!Y45,"")</f>
        <v/>
      </c>
      <c r="M155" s="53" t="s">
        <v>30</v>
      </c>
      <c r="N155" s="53" t="s">
        <v>31</v>
      </c>
      <c r="O155" s="53" t="str">
        <f t="shared" si="24"/>
        <v>click</v>
      </c>
      <c r="P155" s="53" t="str">
        <f t="shared" si="29"/>
        <v>();</v>
      </c>
      <c r="Q155" s="53" t="str">
        <f t="shared" si="31"/>
        <v/>
      </c>
      <c r="R155" s="53" t="str">
        <f t="shared" si="32"/>
        <v/>
      </c>
      <c r="S155" s="53" t="str">
        <f t="shared" si="33"/>
        <v/>
      </c>
      <c r="BV155" s="53">
        <v>34</v>
      </c>
      <c r="BW155" s="53" t="str">
        <f>IF(Create_TC_Web!Y45&lt;&gt;"",Create_TC_Web!Y45,"")</f>
        <v/>
      </c>
      <c r="BZ155" s="53">
        <v>0</v>
      </c>
      <c r="CA155" s="53" t="str">
        <v>03LoginPassword</v>
      </c>
      <c r="CU155" s="53" t="e">
        <v>#N/A</v>
      </c>
      <c r="CV155" s="53" t="e">
        <v>#N/A</v>
      </c>
      <c r="CW155" s="53" t="e">
        <v>#N/A</v>
      </c>
      <c r="CX155" s="53" t="e">
        <v>#N/A</v>
      </c>
      <c r="CY155" s="53" t="e">
        <v>#N/A</v>
      </c>
      <c r="DE155" s="53" t="e">
        <v>#N/A</v>
      </c>
      <c r="DF155" s="53" t="e">
        <v>#N/A</v>
      </c>
      <c r="DG155" s="53" t="e">
        <v>#N/A</v>
      </c>
      <c r="DH155" s="53" t="e">
        <v>#N/A</v>
      </c>
      <c r="DI155" s="53" t="e">
        <v>#N/A</v>
      </c>
      <c r="DJ155" s="53" t="e">
        <v>#N/A</v>
      </c>
    </row>
    <row r="156" spans="3:114" s="53" customFormat="1" ht="12.75">
      <c r="C156" s="80"/>
      <c r="E156" s="48"/>
      <c r="H156" s="70"/>
      <c r="I156" s="91"/>
      <c r="J156" s="63"/>
      <c r="K156" s="49" t="str">
        <f>IF(TC!Y46&lt;&gt;"",TC!Y46,"")</f>
        <v/>
      </c>
      <c r="M156" s="53" t="s">
        <v>30</v>
      </c>
      <c r="N156" s="53" t="s">
        <v>31</v>
      </c>
      <c r="O156" s="53" t="str">
        <f t="shared" si="24"/>
        <v>click</v>
      </c>
      <c r="P156" s="53" t="str">
        <f t="shared" si="29"/>
        <v>();</v>
      </c>
      <c r="Q156" s="53" t="str">
        <f t="shared" si="31"/>
        <v/>
      </c>
      <c r="R156" s="53" t="str">
        <f t="shared" si="32"/>
        <v/>
      </c>
      <c r="S156" s="53" t="str">
        <f t="shared" si="33"/>
        <v/>
      </c>
      <c r="BV156" s="53">
        <v>35</v>
      </c>
      <c r="BW156" s="53" t="str">
        <f>IF(Create_TC_Web!Y46&lt;&gt;"",Create_TC_Web!Y46,"")</f>
        <v/>
      </c>
      <c r="BZ156" s="53">
        <v>0</v>
      </c>
      <c r="CA156" s="53" t="str">
        <v/>
      </c>
      <c r="CU156" s="53" t="e">
        <v>#N/A</v>
      </c>
      <c r="CV156" s="53" t="e">
        <v>#N/A</v>
      </c>
      <c r="CW156" s="53" t="e">
        <v>#N/A</v>
      </c>
      <c r="CX156" s="53" t="e">
        <v>#N/A</v>
      </c>
      <c r="CY156" s="53" t="e">
        <v>#N/A</v>
      </c>
      <c r="DE156" s="53" t="e">
        <v>#N/A</v>
      </c>
      <c r="DF156" s="53" t="e">
        <v>#N/A</v>
      </c>
      <c r="DG156" s="53" t="e">
        <v>#N/A</v>
      </c>
      <c r="DH156" s="53" t="e">
        <v>#N/A</v>
      </c>
      <c r="DI156" s="53" t="e">
        <v>#N/A</v>
      </c>
      <c r="DJ156" s="53" t="e">
        <v>#N/A</v>
      </c>
    </row>
    <row r="157" spans="3:114" s="53" customFormat="1" ht="12.75">
      <c r="C157" s="80"/>
      <c r="E157" s="48"/>
      <c r="H157" s="70"/>
      <c r="I157" s="91"/>
      <c r="J157" s="63"/>
      <c r="K157" s="49" t="str">
        <f>IF(TC!Y47&lt;&gt;"",TC!Y47,"")</f>
        <v/>
      </c>
      <c r="M157" s="53" t="s">
        <v>30</v>
      </c>
      <c r="N157" s="53" t="s">
        <v>31</v>
      </c>
      <c r="O157" s="53" t="str">
        <f t="shared" si="24"/>
        <v>click</v>
      </c>
      <c r="P157" s="53" t="str">
        <f t="shared" si="29"/>
        <v>();</v>
      </c>
      <c r="Q157" s="53" t="str">
        <f t="shared" si="31"/>
        <v/>
      </c>
      <c r="R157" s="53" t="str">
        <f t="shared" si="32"/>
        <v/>
      </c>
      <c r="S157" s="53" t="str">
        <f t="shared" si="33"/>
        <v/>
      </c>
      <c r="BV157" s="53">
        <v>36</v>
      </c>
      <c r="BW157" s="53" t="str">
        <f>IF(Create_TC_Web!Y47&lt;&gt;"",Create_TC_Web!Y47,"")</f>
        <v/>
      </c>
      <c r="BZ157" s="53">
        <v>0</v>
      </c>
      <c r="CA157" s="53" t="str">
        <v/>
      </c>
      <c r="CU157" s="53" t="e">
        <v>#N/A</v>
      </c>
      <c r="CV157" s="53" t="e">
        <v>#N/A</v>
      </c>
      <c r="CW157" s="53" t="e">
        <v>#N/A</v>
      </c>
      <c r="CX157" s="53" t="e">
        <v>#N/A</v>
      </c>
      <c r="CY157" s="53" t="e">
        <v>#N/A</v>
      </c>
      <c r="DE157" s="53" t="e">
        <v>#N/A</v>
      </c>
      <c r="DF157" s="53" t="e">
        <v>#N/A</v>
      </c>
      <c r="DG157" s="53" t="e">
        <v>#N/A</v>
      </c>
      <c r="DH157" s="53" t="e">
        <v>#N/A</v>
      </c>
      <c r="DI157" s="53" t="e">
        <v>#N/A</v>
      </c>
      <c r="DJ157" s="53" t="e">
        <v>#N/A</v>
      </c>
    </row>
    <row r="158" spans="3:114" s="53" customFormat="1" ht="12.75">
      <c r="C158" s="80"/>
      <c r="E158" s="48"/>
      <c r="H158" s="70"/>
      <c r="I158" s="91"/>
      <c r="J158" s="63"/>
      <c r="K158" s="49" t="str">
        <f>IF(TC!Y48&lt;&gt;"",TC!Y48,"")</f>
        <v/>
      </c>
      <c r="M158" s="53" t="s">
        <v>30</v>
      </c>
      <c r="N158" s="53" t="s">
        <v>31</v>
      </c>
      <c r="O158" s="53" t="str">
        <f t="shared" si="24"/>
        <v>click</v>
      </c>
      <c r="P158" s="53" t="str">
        <f t="shared" si="29"/>
        <v>();</v>
      </c>
      <c r="Q158" s="53" t="str">
        <f t="shared" si="31"/>
        <v/>
      </c>
      <c r="R158" s="53" t="str">
        <f t="shared" si="32"/>
        <v/>
      </c>
      <c r="S158" s="53" t="str">
        <f t="shared" si="33"/>
        <v/>
      </c>
      <c r="BW158" s="53" t="str">
        <f>IF(Create_TC_Web!Y48&lt;&gt;"",Create_TC_Web!Y48,"")</f>
        <v/>
      </c>
      <c r="BZ158" s="53">
        <v>0</v>
      </c>
      <c r="CA158" s="53" t="str">
        <v/>
      </c>
      <c r="CU158" s="53" t="e">
        <v>#N/A</v>
      </c>
      <c r="CV158" s="53" t="e">
        <v>#N/A</v>
      </c>
      <c r="CW158" s="53" t="e">
        <v>#N/A</v>
      </c>
      <c r="CX158" s="53" t="e">
        <v>#N/A</v>
      </c>
      <c r="CY158" s="53" t="e">
        <v>#N/A</v>
      </c>
      <c r="DE158" s="53" t="e">
        <v>#N/A</v>
      </c>
      <c r="DF158" s="53" t="e">
        <v>#N/A</v>
      </c>
      <c r="DG158" s="53" t="e">
        <v>#N/A</v>
      </c>
      <c r="DH158" s="53" t="e">
        <v>#N/A</v>
      </c>
      <c r="DI158" s="53" t="e">
        <v>#N/A</v>
      </c>
      <c r="DJ158" s="53" t="e">
        <v>#N/A</v>
      </c>
    </row>
    <row r="159" spans="3:114" s="53" customFormat="1" ht="12.75">
      <c r="C159" s="80"/>
      <c r="E159" s="48"/>
      <c r="H159" s="70"/>
      <c r="I159" s="91"/>
      <c r="J159" s="63"/>
      <c r="K159" s="49" t="str">
        <f>IF(TC!Y49&lt;&gt;"",TC!Y49,"")</f>
        <v/>
      </c>
      <c r="M159" s="53" t="s">
        <v>30</v>
      </c>
      <c r="N159" s="53" t="s">
        <v>31</v>
      </c>
      <c r="O159" s="53" t="str">
        <f t="shared" si="24"/>
        <v>click</v>
      </c>
      <c r="P159" s="53" t="str">
        <f t="shared" si="29"/>
        <v>();</v>
      </c>
      <c r="Q159" s="53" t="str">
        <f t="shared" si="31"/>
        <v/>
      </c>
      <c r="R159" s="53" t="str">
        <f t="shared" si="32"/>
        <v/>
      </c>
      <c r="S159" s="53" t="str">
        <f t="shared" si="33"/>
        <v/>
      </c>
      <c r="BV159" s="53">
        <v>37</v>
      </c>
      <c r="BW159" s="53" t="str">
        <f>IF(Create_TC_Web!Y49&lt;&gt;"",Create_TC_Web!Y49,"")</f>
        <v/>
      </c>
      <c r="BZ159" s="53">
        <v>0</v>
      </c>
      <c r="CA159" s="53" t="str">
        <v/>
      </c>
      <c r="CU159" s="53" t="e">
        <v>#N/A</v>
      </c>
      <c r="CV159" s="53" t="e">
        <v>#N/A</v>
      </c>
      <c r="CW159" s="53" t="e">
        <v>#N/A</v>
      </c>
      <c r="CX159" s="53" t="e">
        <v>#N/A</v>
      </c>
      <c r="CY159" s="53" t="e">
        <v>#N/A</v>
      </c>
      <c r="DE159" s="53" t="e">
        <v>#N/A</v>
      </c>
      <c r="DF159" s="53" t="e">
        <v>#N/A</v>
      </c>
      <c r="DG159" s="53" t="e">
        <v>#N/A</v>
      </c>
      <c r="DH159" s="53" t="e">
        <v>#N/A</v>
      </c>
      <c r="DI159" s="53" t="e">
        <v>#N/A</v>
      </c>
      <c r="DJ159" s="53" t="e">
        <v>#N/A</v>
      </c>
    </row>
    <row r="160" spans="3:114" s="53" customFormat="1" ht="12.75">
      <c r="C160" s="80"/>
      <c r="E160" s="48"/>
      <c r="H160" s="70"/>
      <c r="I160" s="91"/>
      <c r="J160" s="63"/>
      <c r="K160" s="49" t="str">
        <f>IF(TC!Y50&lt;&gt;"",TC!Y50,"")</f>
        <v/>
      </c>
      <c r="M160" s="53" t="s">
        <v>30</v>
      </c>
      <c r="N160" s="53" t="s">
        <v>31</v>
      </c>
      <c r="O160" s="53" t="str">
        <f t="shared" si="24"/>
        <v>click</v>
      </c>
      <c r="P160" s="53" t="str">
        <f t="shared" si="29"/>
        <v>();</v>
      </c>
      <c r="Q160" s="53" t="str">
        <f t="shared" si="31"/>
        <v/>
      </c>
      <c r="R160" s="53" t="str">
        <f t="shared" si="32"/>
        <v/>
      </c>
      <c r="S160" s="53" t="str">
        <f t="shared" si="33"/>
        <v/>
      </c>
      <c r="BV160" s="53">
        <v>38</v>
      </c>
      <c r="BW160" s="53" t="str">
        <f>IF(Create_TC_Web!Y50&lt;&gt;"",Create_TC_Web!Y50,"")</f>
        <v/>
      </c>
      <c r="BZ160" s="53">
        <v>0</v>
      </c>
      <c r="CA160" s="53" t="str">
        <v/>
      </c>
      <c r="CU160" s="53" t="e">
        <v>#N/A</v>
      </c>
      <c r="CV160" s="53" t="e">
        <v>#N/A</v>
      </c>
      <c r="CW160" s="53" t="e">
        <v>#N/A</v>
      </c>
      <c r="CX160" s="53" t="e">
        <v>#N/A</v>
      </c>
      <c r="CY160" s="53" t="e">
        <v>#N/A</v>
      </c>
      <c r="DE160" s="53" t="e">
        <v>#N/A</v>
      </c>
      <c r="DF160" s="53" t="e">
        <v>#N/A</v>
      </c>
      <c r="DG160" s="53" t="e">
        <v>#N/A</v>
      </c>
      <c r="DH160" s="53" t="e">
        <v>#N/A</v>
      </c>
      <c r="DI160" s="53" t="e">
        <v>#N/A</v>
      </c>
      <c r="DJ160" s="53" t="e">
        <v>#N/A</v>
      </c>
    </row>
    <row r="161" spans="3:114" s="53" customFormat="1" ht="12.75">
      <c r="C161" s="80"/>
      <c r="E161" s="48"/>
      <c r="H161" s="70"/>
      <c r="I161" s="91"/>
      <c r="J161" s="63"/>
      <c r="K161" s="49" t="str">
        <f>IF(TC!Y51&lt;&gt;"",TC!Y51,"")</f>
        <v/>
      </c>
      <c r="M161" s="53" t="s">
        <v>30</v>
      </c>
      <c r="N161" s="53" t="s">
        <v>31</v>
      </c>
      <c r="O161" s="53" t="str">
        <f t="shared" si="24"/>
        <v>click</v>
      </c>
      <c r="P161" s="53" t="str">
        <f t="shared" si="29"/>
        <v>();</v>
      </c>
      <c r="Q161" s="53" t="str">
        <f t="shared" si="31"/>
        <v/>
      </c>
      <c r="R161" s="53" t="str">
        <f t="shared" si="32"/>
        <v/>
      </c>
      <c r="S161" s="53" t="str">
        <f t="shared" si="33"/>
        <v/>
      </c>
      <c r="BV161" s="53">
        <v>39</v>
      </c>
      <c r="BW161" s="53" t="str">
        <f>IF(Create_TC_Web!Y51&lt;&gt;"",Create_TC_Web!Y51,"")</f>
        <v/>
      </c>
      <c r="BZ161" s="53">
        <v>0</v>
      </c>
      <c r="CA161" s="53" t="str">
        <v/>
      </c>
      <c r="CU161" s="53" t="e">
        <v>#N/A</v>
      </c>
      <c r="CV161" s="53" t="e">
        <v>#N/A</v>
      </c>
      <c r="CW161" s="53" t="e">
        <v>#N/A</v>
      </c>
      <c r="CX161" s="53" t="e">
        <v>#N/A</v>
      </c>
      <c r="CY161" s="53" t="e">
        <v>#N/A</v>
      </c>
      <c r="DE161" s="53" t="e">
        <v>#N/A</v>
      </c>
      <c r="DF161" s="53" t="e">
        <v>#N/A</v>
      </c>
      <c r="DG161" s="53" t="e">
        <v>#N/A</v>
      </c>
      <c r="DH161" s="53" t="e">
        <v>#N/A</v>
      </c>
      <c r="DI161" s="53" t="e">
        <v>#N/A</v>
      </c>
      <c r="DJ161" s="53" t="e">
        <v>#N/A</v>
      </c>
    </row>
    <row r="162" spans="3:114" s="53" customFormat="1" ht="12.75">
      <c r="C162" s="80"/>
      <c r="E162" s="48"/>
      <c r="H162" s="70"/>
      <c r="I162" s="91"/>
      <c r="J162" s="63"/>
      <c r="K162" s="49" t="str">
        <f>IF(TC!Y52&lt;&gt;"",TC!Y52,"")</f>
        <v/>
      </c>
      <c r="M162" s="53" t="s">
        <v>30</v>
      </c>
      <c r="N162" s="53" t="s">
        <v>31</v>
      </c>
      <c r="O162" s="53" t="str">
        <f t="shared" si="24"/>
        <v>click</v>
      </c>
      <c r="P162" s="53" t="str">
        <f t="shared" si="29"/>
        <v>();</v>
      </c>
      <c r="Q162" s="53" t="str">
        <f t="shared" si="31"/>
        <v/>
      </c>
      <c r="R162" s="53" t="str">
        <f t="shared" si="32"/>
        <v/>
      </c>
      <c r="S162" s="53" t="str">
        <f t="shared" si="33"/>
        <v/>
      </c>
      <c r="BW162" s="53" t="str">
        <f>IF(Create_TC_Web!Y52&lt;&gt;"",Create_TC_Web!Y52,"")</f>
        <v/>
      </c>
      <c r="BZ162" s="53">
        <v>0</v>
      </c>
      <c r="CA162" s="53" t="str">
        <v/>
      </c>
      <c r="CU162" s="53" t="e">
        <v>#N/A</v>
      </c>
      <c r="CV162" s="53" t="e">
        <v>#N/A</v>
      </c>
      <c r="CW162" s="53" t="e">
        <v>#N/A</v>
      </c>
      <c r="CX162" s="53" t="e">
        <v>#N/A</v>
      </c>
      <c r="CY162" s="53" t="e">
        <v>#N/A</v>
      </c>
      <c r="DE162" s="53" t="e">
        <v>#N/A</v>
      </c>
      <c r="DF162" s="53" t="e">
        <v>#N/A</v>
      </c>
      <c r="DG162" s="53" t="e">
        <v>#N/A</v>
      </c>
      <c r="DH162" s="53" t="e">
        <v>#N/A</v>
      </c>
      <c r="DI162" s="53" t="e">
        <v>#N/A</v>
      </c>
      <c r="DJ162" s="53" t="e">
        <v>#N/A</v>
      </c>
    </row>
    <row r="163" spans="3:114" s="53" customFormat="1" ht="12.75">
      <c r="C163" s="80"/>
      <c r="E163" s="48"/>
      <c r="H163" s="67"/>
      <c r="I163" s="91"/>
      <c r="J163" s="63"/>
      <c r="K163" s="49" t="str">
        <f>IF(TC!Y53&lt;&gt;"",TC!Y53,"")</f>
        <v/>
      </c>
      <c r="M163" s="53" t="s">
        <v>30</v>
      </c>
      <c r="N163" s="53" t="s">
        <v>31</v>
      </c>
      <c r="O163" s="53" t="str">
        <f t="shared" si="24"/>
        <v>click</v>
      </c>
      <c r="P163" s="53" t="str">
        <f t="shared" si="29"/>
        <v>();</v>
      </c>
      <c r="Q163" s="53" t="str">
        <f t="shared" si="31"/>
        <v/>
      </c>
      <c r="R163" s="53" t="str">
        <f t="shared" si="32"/>
        <v/>
      </c>
      <c r="S163" s="53" t="str">
        <f t="shared" si="33"/>
        <v/>
      </c>
      <c r="BV163" s="53">
        <v>40</v>
      </c>
      <c r="BW163" s="53" t="str">
        <f>IF(Create_TC_Web!Y53&lt;&gt;"",Create_TC_Web!Y53,"")</f>
        <v/>
      </c>
      <c r="BZ163" s="53">
        <v>0</v>
      </c>
      <c r="CA163" s="53" t="str">
        <v/>
      </c>
      <c r="CU163" s="53" t="e">
        <v>#N/A</v>
      </c>
      <c r="CV163" s="53" t="e">
        <v>#N/A</v>
      </c>
      <c r="CW163" s="53" t="e">
        <v>#N/A</v>
      </c>
      <c r="CX163" s="53" t="e">
        <v>#N/A</v>
      </c>
      <c r="CY163" s="53" t="e">
        <v>#N/A</v>
      </c>
      <c r="DE163" s="53" t="e">
        <v>#N/A</v>
      </c>
      <c r="DF163" s="53" t="e">
        <v>#N/A</v>
      </c>
      <c r="DG163" s="53" t="e">
        <v>#N/A</v>
      </c>
      <c r="DH163" s="53" t="e">
        <v>#N/A</v>
      </c>
      <c r="DI163" s="53" t="e">
        <v>#N/A</v>
      </c>
      <c r="DJ163" s="53" t="e">
        <v>#N/A</v>
      </c>
    </row>
    <row r="164" spans="3:114" s="53" customFormat="1" ht="12.75">
      <c r="C164" s="80"/>
      <c r="E164" s="48"/>
      <c r="H164" s="67"/>
      <c r="I164" s="71"/>
      <c r="J164" s="63"/>
      <c r="K164" s="49" t="str">
        <f>IF(TC!Y54&lt;&gt;"",TC!Y54,"")</f>
        <v/>
      </c>
      <c r="M164" s="53" t="s">
        <v>30</v>
      </c>
      <c r="N164" s="53" t="s">
        <v>31</v>
      </c>
      <c r="O164" s="53" t="str">
        <f t="shared" si="24"/>
        <v>click</v>
      </c>
      <c r="P164" s="53" t="str">
        <f t="shared" si="29"/>
        <v>();</v>
      </c>
      <c r="Q164" s="53" t="str">
        <f t="shared" si="31"/>
        <v/>
      </c>
      <c r="R164" s="53" t="str">
        <f t="shared" si="32"/>
        <v/>
      </c>
      <c r="S164" s="53" t="str">
        <f t="shared" si="33"/>
        <v/>
      </c>
      <c r="BV164" s="53">
        <v>41</v>
      </c>
      <c r="BW164" s="53" t="str">
        <f>IF(Create_TC_Web!Y54&lt;&gt;"",Create_TC_Web!Y54,"")</f>
        <v/>
      </c>
      <c r="BZ164" s="53">
        <v>0</v>
      </c>
      <c r="CA164" s="53" t="str">
        <v/>
      </c>
      <c r="CU164" s="53" t="e">
        <v>#N/A</v>
      </c>
      <c r="CV164" s="53" t="e">
        <v>#N/A</v>
      </c>
      <c r="CW164" s="53" t="e">
        <v>#N/A</v>
      </c>
      <c r="CX164" s="53" t="e">
        <v>#N/A</v>
      </c>
      <c r="CY164" s="53" t="e">
        <v>#N/A</v>
      </c>
      <c r="DE164" s="53" t="e">
        <v>#N/A</v>
      </c>
      <c r="DF164" s="53" t="e">
        <v>#N/A</v>
      </c>
      <c r="DG164" s="53" t="e">
        <v>#N/A</v>
      </c>
      <c r="DH164" s="53" t="e">
        <v>#N/A</v>
      </c>
      <c r="DI164" s="53" t="e">
        <v>#N/A</v>
      </c>
      <c r="DJ164" s="53" t="e">
        <v>#N/A</v>
      </c>
    </row>
    <row r="165" spans="3:114" s="53" customFormat="1" ht="12.75">
      <c r="C165" s="80"/>
      <c r="E165" s="48"/>
      <c r="H165" s="67"/>
      <c r="I165" s="71"/>
      <c r="J165" s="63"/>
      <c r="K165" s="49" t="str">
        <f>IF(TC!Y55&lt;&gt;"",TC!Y55,"")</f>
        <v/>
      </c>
      <c r="M165" s="53" t="s">
        <v>30</v>
      </c>
      <c r="N165" s="53" t="s">
        <v>31</v>
      </c>
      <c r="O165" s="53" t="str">
        <f t="shared" si="24"/>
        <v>click</v>
      </c>
      <c r="P165" s="53" t="str">
        <f t="shared" si="29"/>
        <v>();</v>
      </c>
      <c r="Q165" s="53" t="str">
        <f t="shared" si="31"/>
        <v/>
      </c>
      <c r="R165" s="53" t="str">
        <f t="shared" si="32"/>
        <v/>
      </c>
      <c r="S165" s="53" t="str">
        <f t="shared" si="33"/>
        <v/>
      </c>
      <c r="BV165" s="53">
        <v>42</v>
      </c>
      <c r="BW165" s="53" t="str">
        <f>IF(Create_TC_Web!Y55&lt;&gt;"",Create_TC_Web!Y55,"")</f>
        <v/>
      </c>
      <c r="BZ165" s="53">
        <v>0</v>
      </c>
      <c r="CA165" s="53" t="str">
        <v/>
      </c>
      <c r="CU165" s="53" t="e">
        <v>#N/A</v>
      </c>
      <c r="CV165" s="53" t="e">
        <v>#N/A</v>
      </c>
      <c r="CW165" s="53" t="e">
        <v>#N/A</v>
      </c>
      <c r="CX165" s="53" t="e">
        <v>#N/A</v>
      </c>
      <c r="CY165" s="53" t="e">
        <v>#N/A</v>
      </c>
      <c r="DE165" s="53" t="e">
        <v>#N/A</v>
      </c>
      <c r="DF165" s="53" t="e">
        <v>#N/A</v>
      </c>
      <c r="DG165" s="53" t="e">
        <v>#N/A</v>
      </c>
      <c r="DH165" s="53" t="e">
        <v>#N/A</v>
      </c>
      <c r="DI165" s="53" t="e">
        <v>#N/A</v>
      </c>
      <c r="DJ165" s="53" t="e">
        <v>#N/A</v>
      </c>
    </row>
    <row r="166" spans="3:114" s="53" customFormat="1" ht="12.75">
      <c r="C166" s="80"/>
      <c r="E166" s="48"/>
      <c r="H166" s="67"/>
      <c r="I166" s="71"/>
      <c r="J166" s="63"/>
      <c r="K166" s="49" t="str">
        <f>IF(TC!Y56&lt;&gt;"",TC!Y56,"")</f>
        <v/>
      </c>
      <c r="M166" s="53" t="s">
        <v>30</v>
      </c>
      <c r="N166" s="53" t="s">
        <v>31</v>
      </c>
      <c r="O166" s="53" t="str">
        <f t="shared" si="24"/>
        <v>click</v>
      </c>
      <c r="P166" s="53" t="str">
        <f t="shared" si="29"/>
        <v>();</v>
      </c>
      <c r="Q166" s="53" t="str">
        <f t="shared" si="31"/>
        <v/>
      </c>
      <c r="R166" s="53" t="str">
        <f t="shared" si="32"/>
        <v/>
      </c>
      <c r="S166" s="53" t="str">
        <f t="shared" si="33"/>
        <v/>
      </c>
      <c r="BW166" s="53" t="str">
        <f>IF(Create_TC_Web!Y56&lt;&gt;"",Create_TC_Web!Y56,"")</f>
        <v/>
      </c>
      <c r="BZ166" s="53">
        <v>0</v>
      </c>
      <c r="CA166" s="53" t="str">
        <v/>
      </c>
      <c r="CU166" s="53" t="e">
        <v>#N/A</v>
      </c>
      <c r="CV166" s="53" t="e">
        <v>#N/A</v>
      </c>
      <c r="CW166" s="53" t="e">
        <v>#N/A</v>
      </c>
      <c r="CX166" s="53" t="e">
        <v>#N/A</v>
      </c>
      <c r="CY166" s="53" t="e">
        <v>#N/A</v>
      </c>
      <c r="DE166" s="53" t="e">
        <v>#N/A</v>
      </c>
      <c r="DF166" s="53" t="e">
        <v>#N/A</v>
      </c>
      <c r="DG166" s="53" t="e">
        <v>#N/A</v>
      </c>
      <c r="DH166" s="53" t="e">
        <v>#N/A</v>
      </c>
      <c r="DI166" s="53" t="e">
        <v>#N/A</v>
      </c>
      <c r="DJ166" s="53" t="e">
        <v>#N/A</v>
      </c>
    </row>
    <row r="167" spans="3:114" s="53" customFormat="1" ht="12.75">
      <c r="C167" s="80"/>
      <c r="E167" s="48"/>
      <c r="K167" s="49" t="str">
        <f>IF(TC!Y57&lt;&gt;"",TC!Y57,"")</f>
        <v/>
      </c>
      <c r="M167" s="53" t="s">
        <v>30</v>
      </c>
      <c r="N167" s="53" t="s">
        <v>31</v>
      </c>
      <c r="O167" s="53" t="str">
        <f t="shared" ref="O167:O182" si="34">IF(D167="input","fill",IF(I167&lt;&gt;"","innerText",IF(J167="Y",$T$110,"click")))</f>
        <v>click</v>
      </c>
      <c r="P167" s="53" t="str">
        <f t="shared" si="29"/>
        <v>();</v>
      </c>
      <c r="Q167" s="53" t="str">
        <f t="shared" si="31"/>
        <v/>
      </c>
      <c r="R167" s="53" t="str">
        <f t="shared" si="32"/>
        <v/>
      </c>
      <c r="S167" s="53" t="str">
        <f t="shared" si="33"/>
        <v/>
      </c>
      <c r="BW167" s="53" t="str">
        <f>IF(Create_TC_Web!Y57&lt;&gt;"",Create_TC_Web!Y57,"")</f>
        <v/>
      </c>
      <c r="BZ167" s="53">
        <v>0</v>
      </c>
      <c r="CA167" s="53" t="str">
        <v/>
      </c>
      <c r="CU167" s="53" t="e">
        <v>#N/A</v>
      </c>
      <c r="CV167" s="53" t="e">
        <v>#N/A</v>
      </c>
      <c r="CW167" s="53" t="e">
        <v>#N/A</v>
      </c>
      <c r="CX167" s="53" t="e">
        <v>#N/A</v>
      </c>
      <c r="CY167" s="53" t="e">
        <v>#N/A</v>
      </c>
      <c r="DE167" s="53" t="e">
        <v>#N/A</v>
      </c>
      <c r="DF167" s="53" t="e">
        <v>#N/A</v>
      </c>
      <c r="DG167" s="53" t="e">
        <v>#N/A</v>
      </c>
      <c r="DH167" s="53" t="e">
        <v>#N/A</v>
      </c>
      <c r="DI167" s="53" t="e">
        <v>#N/A</v>
      </c>
      <c r="DJ167" s="53" t="e">
        <v>#N/A</v>
      </c>
    </row>
    <row r="168" spans="3:114" s="53" customFormat="1" ht="12.75">
      <c r="C168" s="80"/>
      <c r="E168" s="48"/>
      <c r="K168" s="48"/>
      <c r="M168" s="53" t="s">
        <v>30</v>
      </c>
      <c r="N168" s="53" t="s">
        <v>31</v>
      </c>
      <c r="O168" s="53" t="str">
        <f t="shared" si="34"/>
        <v>click</v>
      </c>
      <c r="P168" s="53" t="str">
        <f t="shared" si="29"/>
        <v>();</v>
      </c>
      <c r="Q168" s="53" t="str">
        <f t="shared" si="31"/>
        <v/>
      </c>
      <c r="R168" s="53" t="str">
        <f t="shared" si="32"/>
        <v/>
      </c>
      <c r="S168" s="53" t="str">
        <f t="shared" si="33"/>
        <v/>
      </c>
      <c r="BW168" s="53" t="str">
        <f>IF(Create_TC_Web!Y58&lt;&gt;"",Create_TC_Web!Y58,"")</f>
        <v/>
      </c>
      <c r="BZ168" s="53">
        <v>0</v>
      </c>
      <c r="CA168" s="53" t="str">
        <v/>
      </c>
      <c r="CU168" s="53" t="e">
        <v>#N/A</v>
      </c>
      <c r="CV168" s="53" t="e">
        <v>#N/A</v>
      </c>
      <c r="CW168" s="53" t="e">
        <v>#N/A</v>
      </c>
      <c r="CX168" s="53" t="e">
        <v>#N/A</v>
      </c>
      <c r="CY168" s="53" t="e">
        <v>#N/A</v>
      </c>
      <c r="DE168" s="53" t="e">
        <v>#N/A</v>
      </c>
      <c r="DF168" s="53" t="e">
        <v>#N/A</v>
      </c>
      <c r="DG168" s="53" t="e">
        <v>#N/A</v>
      </c>
      <c r="DH168" s="53" t="e">
        <v>#N/A</v>
      </c>
      <c r="DI168" s="53" t="e">
        <v>#N/A</v>
      </c>
      <c r="DJ168" s="53" t="e">
        <v>#N/A</v>
      </c>
    </row>
    <row r="169" spans="3:114" s="53" customFormat="1" ht="12.75">
      <c r="C169" s="80"/>
      <c r="E169" s="48"/>
      <c r="K169" s="48"/>
      <c r="M169" s="53" t="s">
        <v>30</v>
      </c>
      <c r="N169" s="53" t="s">
        <v>31</v>
      </c>
      <c r="O169" s="53" t="str">
        <f t="shared" si="34"/>
        <v>click</v>
      </c>
      <c r="P169" s="53" t="str">
        <f t="shared" si="29"/>
        <v>();</v>
      </c>
      <c r="Q169" s="53" t="str">
        <f t="shared" si="31"/>
        <v/>
      </c>
      <c r="R169" s="53" t="str">
        <f t="shared" si="32"/>
        <v/>
      </c>
      <c r="S169" s="53" t="str">
        <f t="shared" si="33"/>
        <v/>
      </c>
      <c r="BW169" s="53" t="str">
        <f>IF(Create_TC_Web!Y59&lt;&gt;"",Create_TC_Web!Y59,"")</f>
        <v/>
      </c>
      <c r="BZ169" s="53">
        <v>0</v>
      </c>
      <c r="CA169" s="53" t="str">
        <v/>
      </c>
      <c r="CU169" s="53" t="e">
        <v>#N/A</v>
      </c>
      <c r="CV169" s="53" t="e">
        <v>#N/A</v>
      </c>
      <c r="CW169" s="53" t="e">
        <v>#N/A</v>
      </c>
      <c r="CX169" s="53" t="e">
        <v>#N/A</v>
      </c>
      <c r="CY169" s="53" t="e">
        <v>#N/A</v>
      </c>
      <c r="DE169" s="53" t="e">
        <v>#N/A</v>
      </c>
      <c r="DF169" s="53" t="e">
        <v>#N/A</v>
      </c>
      <c r="DG169" s="53" t="e">
        <v>#N/A</v>
      </c>
      <c r="DH169" s="53" t="e">
        <v>#N/A</v>
      </c>
      <c r="DI169" s="53" t="e">
        <v>#N/A</v>
      </c>
      <c r="DJ169" s="53" t="e">
        <v>#N/A</v>
      </c>
    </row>
    <row r="170" spans="3:114" s="53" customFormat="1" ht="12.75">
      <c r="C170" s="80"/>
      <c r="E170" s="48"/>
      <c r="K170" s="48"/>
      <c r="M170" s="53" t="s">
        <v>30</v>
      </c>
      <c r="N170" s="53" t="s">
        <v>31</v>
      </c>
      <c r="O170" s="53" t="str">
        <f t="shared" si="34"/>
        <v>click</v>
      </c>
      <c r="P170" s="53" t="str">
        <f t="shared" si="29"/>
        <v>();</v>
      </c>
      <c r="Q170" s="53" t="str">
        <f t="shared" si="31"/>
        <v/>
      </c>
      <c r="R170" s="53" t="str">
        <f t="shared" si="32"/>
        <v/>
      </c>
      <c r="S170" s="53" t="str">
        <f t="shared" si="33"/>
        <v/>
      </c>
      <c r="BW170" s="53" t="str">
        <f>IF(Create_TC_Web!Y60&lt;&gt;"",Create_TC_Web!Y60,"")</f>
        <v/>
      </c>
      <c r="BZ170" s="53">
        <v>0</v>
      </c>
      <c r="CA170" s="53" t="str">
        <v/>
      </c>
      <c r="CU170" s="53" t="e">
        <v>#N/A</v>
      </c>
      <c r="CV170" s="53" t="e">
        <v>#N/A</v>
      </c>
      <c r="CW170" s="53" t="e">
        <v>#N/A</v>
      </c>
      <c r="CX170" s="53" t="e">
        <v>#N/A</v>
      </c>
      <c r="CY170" s="53" t="e">
        <v>#N/A</v>
      </c>
      <c r="DE170" s="53" t="e">
        <v>#N/A</v>
      </c>
      <c r="DF170" s="53" t="e">
        <v>#N/A</v>
      </c>
      <c r="DG170" s="53" t="e">
        <v>#N/A</v>
      </c>
      <c r="DH170" s="53" t="e">
        <v>#N/A</v>
      </c>
      <c r="DI170" s="53" t="e">
        <v>#N/A</v>
      </c>
      <c r="DJ170" s="53" t="e">
        <v>#N/A</v>
      </c>
    </row>
    <row r="171" spans="3:114" s="53" customFormat="1" ht="12.75">
      <c r="C171" s="80"/>
      <c r="E171" s="48"/>
      <c r="K171" s="48"/>
      <c r="M171" s="53" t="s">
        <v>30</v>
      </c>
      <c r="N171" s="53" t="s">
        <v>31</v>
      </c>
      <c r="O171" s="53" t="str">
        <f t="shared" si="34"/>
        <v>click</v>
      </c>
      <c r="P171" s="53" t="str">
        <f t="shared" si="29"/>
        <v>();</v>
      </c>
      <c r="Q171" s="53" t="str">
        <f t="shared" si="31"/>
        <v/>
      </c>
      <c r="R171" s="53" t="str">
        <f t="shared" si="32"/>
        <v/>
      </c>
      <c r="S171" s="53" t="str">
        <f t="shared" si="33"/>
        <v/>
      </c>
      <c r="BW171" s="53" t="str">
        <f>IF(Create_TC_Web!Y61&lt;&gt;"",Create_TC_Web!Y61,"")</f>
        <v/>
      </c>
      <c r="BZ171" s="53">
        <v>0</v>
      </c>
      <c r="CA171" s="53" t="str">
        <v/>
      </c>
      <c r="CU171" s="53" t="e">
        <v>#N/A</v>
      </c>
      <c r="CV171" s="53" t="e">
        <v>#N/A</v>
      </c>
      <c r="CW171" s="53" t="e">
        <v>#N/A</v>
      </c>
      <c r="CX171" s="53" t="e">
        <v>#N/A</v>
      </c>
      <c r="CY171" s="53" t="e">
        <v>#N/A</v>
      </c>
      <c r="DE171" s="53" t="e">
        <v>#N/A</v>
      </c>
      <c r="DF171" s="53" t="e">
        <v>#N/A</v>
      </c>
      <c r="DG171" s="53" t="e">
        <v>#N/A</v>
      </c>
      <c r="DH171" s="53" t="e">
        <v>#N/A</v>
      </c>
      <c r="DI171" s="53" t="e">
        <v>#N/A</v>
      </c>
      <c r="DJ171" s="53" t="e">
        <v>#N/A</v>
      </c>
    </row>
    <row r="172" spans="3:114" s="53" customFormat="1" ht="12.75">
      <c r="C172" s="80"/>
      <c r="E172" s="48"/>
      <c r="K172" s="48"/>
      <c r="M172" s="53" t="s">
        <v>30</v>
      </c>
      <c r="N172" s="53" t="s">
        <v>31</v>
      </c>
      <c r="O172" s="53" t="str">
        <f t="shared" si="34"/>
        <v>click</v>
      </c>
      <c r="P172" s="53" t="str">
        <f t="shared" si="29"/>
        <v>();</v>
      </c>
      <c r="Q172" s="53" t="str">
        <f t="shared" si="31"/>
        <v/>
      </c>
      <c r="R172" s="53" t="str">
        <f t="shared" si="32"/>
        <v/>
      </c>
      <c r="S172" s="53" t="str">
        <f t="shared" si="33"/>
        <v/>
      </c>
      <c r="BZ172" s="53">
        <v>0</v>
      </c>
      <c r="CA172" s="53">
        <v>0</v>
      </c>
      <c r="CU172" s="53" t="e">
        <v>#N/A</v>
      </c>
      <c r="CV172" s="53" t="e">
        <v>#N/A</v>
      </c>
      <c r="CW172" s="53" t="e">
        <v>#N/A</v>
      </c>
      <c r="CX172" s="53" t="e">
        <v>#N/A</v>
      </c>
      <c r="CY172" s="53" t="e">
        <v>#N/A</v>
      </c>
      <c r="DE172" s="53" t="e">
        <v>#N/A</v>
      </c>
      <c r="DF172" s="53" t="e">
        <v>#N/A</v>
      </c>
      <c r="DG172" s="53" t="e">
        <v>#N/A</v>
      </c>
      <c r="DH172" s="53" t="e">
        <v>#N/A</v>
      </c>
      <c r="DI172" s="53" t="e">
        <v>#N/A</v>
      </c>
      <c r="DJ172" s="53" t="e">
        <v>#N/A</v>
      </c>
    </row>
    <row r="173" spans="3:114" s="53" customFormat="1" ht="12.75">
      <c r="C173" s="80"/>
      <c r="E173" s="48"/>
      <c r="K173" s="48"/>
      <c r="M173" s="53" t="s">
        <v>30</v>
      </c>
      <c r="N173" s="53" t="s">
        <v>31</v>
      </c>
      <c r="O173" s="53" t="str">
        <f t="shared" si="34"/>
        <v>click</v>
      </c>
      <c r="P173" s="53" t="str">
        <f t="shared" si="29"/>
        <v>();</v>
      </c>
      <c r="Q173" s="53" t="str">
        <f t="shared" si="31"/>
        <v/>
      </c>
      <c r="R173" s="53" t="str">
        <f t="shared" si="32"/>
        <v/>
      </c>
      <c r="S173" s="53" t="str">
        <f t="shared" si="33"/>
        <v/>
      </c>
      <c r="BZ173" s="53">
        <v>0</v>
      </c>
      <c r="CA173" s="53">
        <v>0</v>
      </c>
      <c r="CU173" s="53" t="e">
        <v>#N/A</v>
      </c>
      <c r="CV173" s="53" t="e">
        <v>#N/A</v>
      </c>
      <c r="CW173" s="53" t="e">
        <v>#N/A</v>
      </c>
      <c r="CX173" s="53" t="e">
        <v>#N/A</v>
      </c>
      <c r="CY173" s="53" t="e">
        <v>#N/A</v>
      </c>
      <c r="DE173" s="53" t="e">
        <v>#N/A</v>
      </c>
      <c r="DF173" s="53" t="e">
        <v>#N/A</v>
      </c>
      <c r="DG173" s="53" t="e">
        <v>#N/A</v>
      </c>
      <c r="DH173" s="53" t="e">
        <v>#N/A</v>
      </c>
      <c r="DI173" s="53" t="e">
        <v>#N/A</v>
      </c>
      <c r="DJ173" s="53" t="e">
        <v>#N/A</v>
      </c>
    </row>
    <row r="174" spans="3:114" s="53" customFormat="1" ht="12.75">
      <c r="C174" s="80"/>
      <c r="E174" s="48"/>
      <c r="K174" s="48"/>
      <c r="M174" s="53" t="s">
        <v>30</v>
      </c>
      <c r="N174" s="53" t="s">
        <v>31</v>
      </c>
      <c r="O174" s="53" t="str">
        <f t="shared" si="34"/>
        <v>click</v>
      </c>
      <c r="P174" s="53" t="str">
        <f t="shared" si="29"/>
        <v>();</v>
      </c>
      <c r="Q174" s="53" t="str">
        <f t="shared" si="31"/>
        <v/>
      </c>
      <c r="R174" s="53" t="str">
        <f t="shared" si="32"/>
        <v/>
      </c>
      <c r="S174" s="53" t="str">
        <f t="shared" si="33"/>
        <v/>
      </c>
      <c r="BZ174" s="53">
        <v>0</v>
      </c>
      <c r="CA174" s="53">
        <v>0</v>
      </c>
      <c r="CU174" s="53" t="e">
        <v>#N/A</v>
      </c>
      <c r="CV174" s="53" t="e">
        <v>#N/A</v>
      </c>
      <c r="CW174" s="53" t="e">
        <v>#N/A</v>
      </c>
      <c r="CX174" s="53" t="e">
        <v>#N/A</v>
      </c>
      <c r="CY174" s="53" t="e">
        <v>#N/A</v>
      </c>
      <c r="DE174" s="53" t="e">
        <v>#N/A</v>
      </c>
      <c r="DF174" s="53" t="e">
        <v>#N/A</v>
      </c>
      <c r="DG174" s="53" t="e">
        <v>#N/A</v>
      </c>
      <c r="DH174" s="53" t="e">
        <v>#N/A</v>
      </c>
      <c r="DI174" s="53" t="e">
        <v>#N/A</v>
      </c>
      <c r="DJ174" s="53" t="e">
        <v>#N/A</v>
      </c>
    </row>
    <row r="175" spans="3:114" s="53" customFormat="1" ht="12.75">
      <c r="C175" s="80"/>
      <c r="E175" s="48"/>
      <c r="K175" s="48"/>
      <c r="M175" s="53" t="s">
        <v>30</v>
      </c>
      <c r="N175" s="53" t="s">
        <v>31</v>
      </c>
      <c r="O175" s="53" t="str">
        <f t="shared" si="34"/>
        <v>click</v>
      </c>
      <c r="P175" s="53" t="str">
        <f t="shared" si="29"/>
        <v>();</v>
      </c>
      <c r="Q175" s="53" t="str">
        <f t="shared" si="31"/>
        <v/>
      </c>
      <c r="R175" s="53" t="str">
        <f t="shared" si="32"/>
        <v/>
      </c>
      <c r="S175" s="53" t="str">
        <f t="shared" si="33"/>
        <v/>
      </c>
      <c r="BZ175" s="53">
        <v>0</v>
      </c>
      <c r="CA175" s="53">
        <v>0</v>
      </c>
      <c r="CU175" s="53" t="e">
        <v>#N/A</v>
      </c>
      <c r="CV175" s="53" t="e">
        <v>#N/A</v>
      </c>
      <c r="CW175" s="53" t="e">
        <v>#N/A</v>
      </c>
      <c r="CX175" s="53" t="e">
        <v>#N/A</v>
      </c>
      <c r="CY175" s="53" t="e">
        <v>#N/A</v>
      </c>
      <c r="DE175" s="53" t="e">
        <v>#N/A</v>
      </c>
      <c r="DF175" s="53" t="e">
        <v>#N/A</v>
      </c>
      <c r="DG175" s="53" t="e">
        <v>#N/A</v>
      </c>
      <c r="DH175" s="53" t="e">
        <v>#N/A</v>
      </c>
      <c r="DI175" s="53" t="e">
        <v>#N/A</v>
      </c>
      <c r="DJ175" s="53" t="e">
        <v>#N/A</v>
      </c>
    </row>
    <row r="176" spans="3:114" s="53" customFormat="1" ht="12.75">
      <c r="C176" s="80"/>
      <c r="E176" s="48"/>
      <c r="K176" s="48"/>
      <c r="M176" s="53" t="s">
        <v>30</v>
      </c>
      <c r="N176" s="53" t="s">
        <v>31</v>
      </c>
      <c r="O176" s="53" t="str">
        <f t="shared" si="34"/>
        <v>click</v>
      </c>
      <c r="P176" s="53" t="str">
        <f t="shared" si="29"/>
        <v>();</v>
      </c>
      <c r="Q176" s="53" t="str">
        <f t="shared" si="31"/>
        <v/>
      </c>
      <c r="R176" s="53" t="str">
        <f t="shared" si="32"/>
        <v/>
      </c>
      <c r="S176" s="53" t="str">
        <f t="shared" si="33"/>
        <v/>
      </c>
      <c r="BZ176" s="53">
        <v>0</v>
      </c>
      <c r="CA176" s="53">
        <v>0</v>
      </c>
      <c r="CU176" s="53" t="e">
        <v>#N/A</v>
      </c>
      <c r="CV176" s="53" t="e">
        <v>#N/A</v>
      </c>
      <c r="CW176" s="53" t="e">
        <v>#N/A</v>
      </c>
      <c r="CX176" s="53" t="e">
        <v>#N/A</v>
      </c>
      <c r="CY176" s="53" t="e">
        <v>#N/A</v>
      </c>
      <c r="DE176" s="53" t="e">
        <v>#N/A</v>
      </c>
      <c r="DF176" s="53" t="e">
        <v>#N/A</v>
      </c>
      <c r="DG176" s="53" t="e">
        <v>#N/A</v>
      </c>
      <c r="DH176" s="53" t="e">
        <v>#N/A</v>
      </c>
      <c r="DI176" s="53" t="e">
        <v>#N/A</v>
      </c>
      <c r="DJ176" s="53" t="e">
        <v>#N/A</v>
      </c>
    </row>
    <row r="177" spans="3:114" s="53" customFormat="1" ht="12.75">
      <c r="C177" s="80"/>
      <c r="E177" s="48"/>
      <c r="K177" s="48"/>
      <c r="M177" s="53" t="s">
        <v>30</v>
      </c>
      <c r="N177" s="53" t="s">
        <v>31</v>
      </c>
      <c r="O177" s="53" t="str">
        <f t="shared" si="34"/>
        <v>click</v>
      </c>
      <c r="P177" s="53" t="str">
        <f t="shared" si="29"/>
        <v>();</v>
      </c>
      <c r="Q177" s="53" t="str">
        <f t="shared" si="31"/>
        <v/>
      </c>
      <c r="R177" s="53" t="str">
        <f t="shared" si="32"/>
        <v/>
      </c>
      <c r="S177" s="53" t="str">
        <f t="shared" si="33"/>
        <v/>
      </c>
      <c r="BZ177" s="53">
        <v>0</v>
      </c>
      <c r="CA177" s="53">
        <v>0</v>
      </c>
      <c r="CU177" s="53" t="e">
        <v>#N/A</v>
      </c>
      <c r="CV177" s="53" t="e">
        <v>#N/A</v>
      </c>
      <c r="CW177" s="53" t="e">
        <v>#N/A</v>
      </c>
      <c r="CX177" s="53" t="e">
        <v>#N/A</v>
      </c>
      <c r="CY177" s="53" t="e">
        <v>#N/A</v>
      </c>
      <c r="DE177" s="53" t="e">
        <v>#N/A</v>
      </c>
      <c r="DF177" s="53" t="e">
        <v>#N/A</v>
      </c>
      <c r="DG177" s="53" t="e">
        <v>#N/A</v>
      </c>
      <c r="DH177" s="53" t="e">
        <v>#N/A</v>
      </c>
      <c r="DI177" s="53" t="e">
        <v>#N/A</v>
      </c>
      <c r="DJ177" s="53" t="e">
        <v>#N/A</v>
      </c>
    </row>
    <row r="178" spans="3:114" s="53" customFormat="1" ht="12.75">
      <c r="C178" s="80"/>
      <c r="E178" s="48"/>
      <c r="K178" s="48"/>
      <c r="M178" s="53" t="s">
        <v>30</v>
      </c>
      <c r="N178" s="53" t="s">
        <v>31</v>
      </c>
      <c r="O178" s="53" t="str">
        <f t="shared" si="34"/>
        <v>click</v>
      </c>
      <c r="P178" s="53" t="str">
        <f t="shared" si="29"/>
        <v>();</v>
      </c>
      <c r="Q178" s="53" t="str">
        <f t="shared" si="31"/>
        <v/>
      </c>
      <c r="R178" s="53" t="str">
        <f t="shared" si="32"/>
        <v/>
      </c>
      <c r="S178" s="53" t="str">
        <f t="shared" si="33"/>
        <v/>
      </c>
      <c r="BZ178" s="53">
        <v>0</v>
      </c>
      <c r="CA178" s="53">
        <v>0</v>
      </c>
      <c r="CU178" s="53" t="e">
        <v>#N/A</v>
      </c>
      <c r="CV178" s="53" t="e">
        <v>#N/A</v>
      </c>
      <c r="CW178" s="53" t="e">
        <v>#N/A</v>
      </c>
      <c r="CX178" s="53" t="e">
        <v>#N/A</v>
      </c>
      <c r="CY178" s="53" t="e">
        <v>#N/A</v>
      </c>
      <c r="DE178" s="53" t="e">
        <v>#N/A</v>
      </c>
      <c r="DF178" s="53" t="e">
        <v>#N/A</v>
      </c>
      <c r="DG178" s="53" t="e">
        <v>#N/A</v>
      </c>
      <c r="DH178" s="53" t="e">
        <v>#N/A</v>
      </c>
      <c r="DI178" s="53" t="e">
        <v>#N/A</v>
      </c>
      <c r="DJ178" s="53" t="e">
        <v>#N/A</v>
      </c>
    </row>
    <row r="179" spans="3:114" s="53" customFormat="1" ht="12.75">
      <c r="C179" s="80"/>
      <c r="E179" s="48"/>
      <c r="K179" s="48"/>
      <c r="M179" s="53" t="s">
        <v>30</v>
      </c>
      <c r="N179" s="53" t="s">
        <v>31</v>
      </c>
      <c r="O179" s="53" t="str">
        <f t="shared" si="34"/>
        <v>click</v>
      </c>
      <c r="P179" s="53" t="str">
        <f t="shared" si="29"/>
        <v>();</v>
      </c>
      <c r="Q179" s="53" t="str">
        <f t="shared" si="31"/>
        <v/>
      </c>
      <c r="R179" s="53" t="str">
        <f t="shared" si="32"/>
        <v/>
      </c>
      <c r="S179" s="53" t="str">
        <f t="shared" si="33"/>
        <v/>
      </c>
      <c r="BZ179" s="53">
        <v>0</v>
      </c>
      <c r="CA179" s="53">
        <v>0</v>
      </c>
      <c r="CU179" s="53" t="e">
        <v>#N/A</v>
      </c>
      <c r="CV179" s="53" t="e">
        <v>#N/A</v>
      </c>
      <c r="CW179" s="53" t="e">
        <v>#N/A</v>
      </c>
      <c r="CX179" s="53" t="e">
        <v>#N/A</v>
      </c>
      <c r="CY179" s="53" t="e">
        <v>#N/A</v>
      </c>
      <c r="DE179" s="53" t="e">
        <v>#N/A</v>
      </c>
      <c r="DF179" s="53" t="e">
        <v>#N/A</v>
      </c>
      <c r="DG179" s="53" t="e">
        <v>#N/A</v>
      </c>
      <c r="DH179" s="53" t="e">
        <v>#N/A</v>
      </c>
      <c r="DI179" s="53" t="e">
        <v>#N/A</v>
      </c>
      <c r="DJ179" s="53" t="e">
        <v>#N/A</v>
      </c>
    </row>
    <row r="180" spans="3:114" s="53" customFormat="1" ht="12.75">
      <c r="C180" s="80"/>
      <c r="E180" s="48"/>
      <c r="K180" s="48"/>
      <c r="M180" s="53" t="s">
        <v>30</v>
      </c>
      <c r="N180" s="53" t="s">
        <v>31</v>
      </c>
      <c r="O180" s="53" t="str">
        <f t="shared" si="34"/>
        <v>click</v>
      </c>
      <c r="P180" s="53" t="str">
        <f t="shared" si="29"/>
        <v>();</v>
      </c>
      <c r="Q180" s="53" t="str">
        <f t="shared" si="31"/>
        <v/>
      </c>
      <c r="R180" s="53" t="str">
        <f t="shared" si="32"/>
        <v/>
      </c>
      <c r="S180" s="53" t="str">
        <f t="shared" si="33"/>
        <v/>
      </c>
      <c r="BZ180" s="53">
        <v>0</v>
      </c>
      <c r="CA180" s="53">
        <v>0</v>
      </c>
      <c r="CU180" s="53" t="e">
        <v>#N/A</v>
      </c>
      <c r="CV180" s="53" t="e">
        <v>#N/A</v>
      </c>
      <c r="CW180" s="53" t="e">
        <v>#N/A</v>
      </c>
      <c r="CX180" s="53" t="e">
        <v>#N/A</v>
      </c>
      <c r="CY180" s="53" t="e">
        <v>#N/A</v>
      </c>
      <c r="DE180" s="53" t="e">
        <v>#N/A</v>
      </c>
      <c r="DF180" s="53" t="e">
        <v>#N/A</v>
      </c>
      <c r="DG180" s="53" t="e">
        <v>#N/A</v>
      </c>
      <c r="DH180" s="53" t="e">
        <v>#N/A</v>
      </c>
      <c r="DI180" s="53" t="e">
        <v>#N/A</v>
      </c>
      <c r="DJ180" s="53" t="e">
        <v>#N/A</v>
      </c>
    </row>
    <row r="181" spans="3:114" s="53" customFormat="1" ht="12.75">
      <c r="C181" s="80"/>
      <c r="E181" s="48"/>
      <c r="K181" s="48"/>
      <c r="M181" s="53" t="s">
        <v>30</v>
      </c>
      <c r="N181" s="53" t="s">
        <v>31</v>
      </c>
      <c r="O181" s="53" t="str">
        <f t="shared" si="34"/>
        <v>click</v>
      </c>
      <c r="P181" s="53" t="str">
        <f t="shared" si="29"/>
        <v>();</v>
      </c>
      <c r="Q181" s="53" t="str">
        <f t="shared" si="31"/>
        <v/>
      </c>
      <c r="R181" s="53" t="str">
        <f t="shared" si="32"/>
        <v/>
      </c>
      <c r="S181" s="53" t="str">
        <f t="shared" si="33"/>
        <v/>
      </c>
      <c r="BZ181" s="53">
        <v>0</v>
      </c>
      <c r="CA181" s="53">
        <v>0</v>
      </c>
      <c r="CU181" s="53" t="e">
        <v>#N/A</v>
      </c>
      <c r="CV181" s="53" t="e">
        <v>#N/A</v>
      </c>
      <c r="CW181" s="53" t="e">
        <v>#N/A</v>
      </c>
      <c r="CX181" s="53" t="e">
        <v>#N/A</v>
      </c>
      <c r="CY181" s="53" t="e">
        <v>#N/A</v>
      </c>
      <c r="DE181" s="53" t="e">
        <v>#N/A</v>
      </c>
      <c r="DF181" s="53" t="e">
        <v>#N/A</v>
      </c>
      <c r="DG181" s="53" t="e">
        <v>#N/A</v>
      </c>
      <c r="DH181" s="53" t="e">
        <v>#N/A</v>
      </c>
      <c r="DI181" s="53" t="e">
        <v>#N/A</v>
      </c>
      <c r="DJ181" s="53" t="e">
        <v>#N/A</v>
      </c>
    </row>
    <row r="182" spans="3:114" s="53" customFormat="1" ht="13.5" thickBot="1">
      <c r="C182" s="80"/>
      <c r="E182" s="48"/>
      <c r="K182" s="48"/>
      <c r="M182" s="53" t="s">
        <v>30</v>
      </c>
      <c r="N182" s="53" t="s">
        <v>31</v>
      </c>
      <c r="O182" s="53" t="str">
        <f t="shared" si="34"/>
        <v>click</v>
      </c>
      <c r="P182" s="53" t="str">
        <f t="shared" si="29"/>
        <v>();</v>
      </c>
      <c r="Q182" s="53" t="str">
        <f t="shared" si="31"/>
        <v/>
      </c>
      <c r="R182" s="53" t="str">
        <f t="shared" si="32"/>
        <v/>
      </c>
      <c r="S182" s="53" t="str">
        <f t="shared" si="33"/>
        <v/>
      </c>
      <c r="BZ182" s="53">
        <v>0</v>
      </c>
      <c r="CA182" s="53">
        <v>0</v>
      </c>
      <c r="CU182" s="53" t="e">
        <v>#N/A</v>
      </c>
      <c r="CV182" s="53" t="e">
        <v>#N/A</v>
      </c>
      <c r="CW182" s="53" t="e">
        <v>#N/A</v>
      </c>
      <c r="CX182" s="53" t="e">
        <v>#N/A</v>
      </c>
      <c r="CY182" s="53" t="e">
        <v>#N/A</v>
      </c>
      <c r="DE182" s="53" t="e">
        <v>#N/A</v>
      </c>
      <c r="DF182" s="53" t="e">
        <v>#N/A</v>
      </c>
      <c r="DG182" s="53" t="e">
        <v>#N/A</v>
      </c>
      <c r="DH182" s="53" t="e">
        <v>#N/A</v>
      </c>
      <c r="DI182" s="53" t="e">
        <v>#N/A</v>
      </c>
      <c r="DJ182" s="53" t="e">
        <v>#N/A</v>
      </c>
    </row>
    <row r="183" spans="3:114" s="53" customFormat="1" ht="13.5" thickBot="1">
      <c r="C183" s="80"/>
      <c r="D183" s="73" t="s">
        <v>83</v>
      </c>
      <c r="E183" s="85" t="s">
        <v>99</v>
      </c>
      <c r="K183" s="48"/>
      <c r="M183" s="53" t="s">
        <v>30</v>
      </c>
      <c r="N183" s="53" t="s">
        <v>31</v>
      </c>
      <c r="O183" s="53" t="str">
        <f t="shared" ref="O183:O203" si="35">IF(D183="input","fill",IF(I183&lt;&gt;"","innerText",IF(J183="Y",$T$110,"click")))</f>
        <v>click</v>
      </c>
      <c r="P183" s="53" t="str">
        <f t="shared" ref="P183:P203" si="36">IF(OR(O183="Click",O183="innerText"),"();","("&amp;""""&amp;K183&amp;""""&amp;");")</f>
        <v>();</v>
      </c>
      <c r="Q183" s="53" t="str">
        <f>IF(C183="Y",IF(H183&lt;&gt;"Xpath",M183&amp;#REF!&amp;N183,""""&amp;#REF!&amp;""""),"")</f>
        <v/>
      </c>
      <c r="R183" s="53" t="str">
        <f>IF(C183="Y",""""&amp;#REF!&amp;""""&amp;":"&amp;Q183&amp;",","")</f>
        <v/>
      </c>
      <c r="S183" s="53" t="str">
        <f>IF(O183="innerText",I183&amp;"="&amp;IF(C183="Y",IF(J183&lt;&gt;"Y",$S$9&amp;$R$10&amp;"."&amp;#REF!&amp;")."&amp;IF(OR(O183="click",O183="innerText"),O183&amp;"();",O183&amp;"("&amp;$Q$9&amp;"."&amp;#REF!&amp;");"),$S$110&amp;$R$10&amp;"."&amp;#REF!&amp;")."&amp;IF(O183="click",O183&amp;"();",O183&amp;"("&amp;"'"&amp;K183&amp;"'"&amp;");")),""),IF(C183="Y",IF(J183&lt;&gt;"Y",$S$9&amp;$R$10&amp;"."&amp;#REF!&amp;")."&amp;IF(OR(O183="click",O183="innerText"),O183&amp;"();",O183&amp;"("&amp;$Q$9&amp;"."&amp;#REF!&amp;");"),$S$110&amp;$R$10&amp;"."&amp;#REF!&amp;")."&amp;IF(O183="click",O183&amp;"();",O183&amp;"("&amp;"'"&amp;K183&amp;"'"&amp;");")),""))</f>
        <v/>
      </c>
      <c r="BZ183" s="53">
        <v>0</v>
      </c>
      <c r="CA183" s="53">
        <v>0</v>
      </c>
      <c r="CU183" s="53" t="e">
        <v>#N/A</v>
      </c>
      <c r="CV183" s="53" t="e">
        <v>#N/A</v>
      </c>
      <c r="CW183" s="53" t="e">
        <v>#N/A</v>
      </c>
      <c r="CX183" s="53" t="e">
        <v>#N/A</v>
      </c>
      <c r="CY183" s="53" t="e">
        <v>#N/A</v>
      </c>
      <c r="DE183" s="53" t="e">
        <v>#N/A</v>
      </c>
      <c r="DF183" s="53" t="e">
        <v>#N/A</v>
      </c>
      <c r="DG183" s="53" t="e">
        <v>#N/A</v>
      </c>
      <c r="DH183" s="53" t="e">
        <v>#N/A</v>
      </c>
      <c r="DI183" s="53" t="e">
        <v>#N/A</v>
      </c>
      <c r="DJ183" s="53" t="e">
        <v>#N/A</v>
      </c>
    </row>
    <row r="184" spans="3:114" s="53" customFormat="1" ht="13.5" thickBot="1">
      <c r="C184" s="80"/>
      <c r="D184" s="52"/>
      <c r="E184" s="48"/>
      <c r="K184" s="48"/>
      <c r="M184" s="53" t="s">
        <v>30</v>
      </c>
      <c r="N184" s="53" t="s">
        <v>31</v>
      </c>
      <c r="O184" s="53" t="str">
        <f t="shared" si="35"/>
        <v>click</v>
      </c>
      <c r="P184" s="53" t="str">
        <f t="shared" si="36"/>
        <v>();</v>
      </c>
      <c r="Q184" s="53" t="str">
        <f>IF(C184="Y",IF(H184&lt;&gt;"Xpath",M184&amp;#REF!&amp;N184,""""&amp;#REF!&amp;""""),"")</f>
        <v/>
      </c>
      <c r="R184" s="53" t="str">
        <f>IF(C184="Y",""""&amp;#REF!&amp;""""&amp;":"&amp;Q184&amp;",","")</f>
        <v/>
      </c>
      <c r="S184" s="53" t="str">
        <f>IF(O184="innerText",I184&amp;"="&amp;IF(C184="Y",IF(J184&lt;&gt;"Y",$S$9&amp;$R$10&amp;"."&amp;#REF!&amp;")."&amp;IF(OR(O184="click",O184="innerText"),O184&amp;"();",O184&amp;"("&amp;$Q$9&amp;"."&amp;#REF!&amp;");"),$S$110&amp;$R$10&amp;"."&amp;#REF!&amp;")."&amp;IF(O184="click",O184&amp;"();",O184&amp;"("&amp;"'"&amp;K184&amp;"'"&amp;");")),""),IF(C184="Y",IF(J184&lt;&gt;"Y",$S$9&amp;$R$10&amp;"."&amp;#REF!&amp;")."&amp;IF(OR(O184="click",O184="innerText"),O184&amp;"();",O184&amp;"("&amp;$Q$9&amp;"."&amp;#REF!&amp;");"),$S$110&amp;$R$10&amp;"."&amp;#REF!&amp;")."&amp;IF(O184="click",O184&amp;"();",O184&amp;"("&amp;"'"&amp;K184&amp;"'"&amp;");")),""))</f>
        <v/>
      </c>
      <c r="BZ184" s="53">
        <v>0</v>
      </c>
      <c r="CA184" s="53">
        <v>0</v>
      </c>
      <c r="CU184" s="53" t="e">
        <v>#N/A</v>
      </c>
      <c r="CV184" s="53" t="e">
        <v>#N/A</v>
      </c>
      <c r="CW184" s="53" t="e">
        <v>#N/A</v>
      </c>
      <c r="CX184" s="53" t="e">
        <v>#N/A</v>
      </c>
      <c r="CY184" s="53" t="e">
        <v>#N/A</v>
      </c>
      <c r="DE184" s="53" t="e">
        <v>#N/A</v>
      </c>
      <c r="DF184" s="53" t="e">
        <v>#N/A</v>
      </c>
      <c r="DG184" s="53" t="e">
        <v>#N/A</v>
      </c>
      <c r="DH184" s="53" t="e">
        <v>#N/A</v>
      </c>
      <c r="DI184" s="53" t="e">
        <v>#N/A</v>
      </c>
      <c r="DJ184" s="53" t="e">
        <v>#N/A</v>
      </c>
    </row>
    <row r="185" spans="3:114" s="53" customFormat="1" ht="13.5" thickBot="1">
      <c r="C185" s="80"/>
      <c r="D185" s="73" t="s">
        <v>84</v>
      </c>
      <c r="E185" s="85" t="s">
        <v>78</v>
      </c>
      <c r="F185" s="53" t="s">
        <v>102</v>
      </c>
      <c r="K185" s="48"/>
      <c r="M185" s="53" t="s">
        <v>30</v>
      </c>
      <c r="N185" s="53" t="s">
        <v>31</v>
      </c>
      <c r="O185" s="53" t="str">
        <f t="shared" si="35"/>
        <v>click</v>
      </c>
      <c r="P185" s="53" t="str">
        <f t="shared" si="36"/>
        <v>();</v>
      </c>
      <c r="Q185" s="53" t="str">
        <f>IF(C185="Y",IF(H185&lt;&gt;"Xpath",M185&amp;#REF!&amp;N185,""""&amp;#REF!&amp;""""),"")</f>
        <v/>
      </c>
      <c r="R185" s="53" t="str">
        <f>IF(C185="Y",""""&amp;#REF!&amp;""""&amp;":"&amp;Q185&amp;",","")</f>
        <v/>
      </c>
      <c r="S185" s="53" t="str">
        <f>IF(O185="innerText",I185&amp;"="&amp;IF(C185="Y",IF(J185&lt;&gt;"Y",$S$9&amp;$R$10&amp;"."&amp;#REF!&amp;")."&amp;IF(OR(O185="click",O185="innerText"),O185&amp;"();",O185&amp;"("&amp;$Q$9&amp;"."&amp;#REF!&amp;");"),$S$110&amp;$R$10&amp;"."&amp;#REF!&amp;")."&amp;IF(O185="click",O185&amp;"();",O185&amp;"("&amp;"'"&amp;K185&amp;"'"&amp;");")),""),IF(C185="Y",IF(J185&lt;&gt;"Y",$S$9&amp;$R$10&amp;"."&amp;#REF!&amp;")."&amp;IF(OR(O185="click",O185="innerText"),O185&amp;"();",O185&amp;"("&amp;$Q$9&amp;"."&amp;#REF!&amp;");"),$S$110&amp;$R$10&amp;"."&amp;#REF!&amp;")."&amp;IF(O185="click",O185&amp;"();",O185&amp;"("&amp;"'"&amp;K185&amp;"'"&amp;");")),""))</f>
        <v/>
      </c>
      <c r="BZ185" s="53">
        <v>0</v>
      </c>
      <c r="CA185" s="53">
        <v>0</v>
      </c>
      <c r="CU185" s="53" t="e">
        <v>#N/A</v>
      </c>
      <c r="CV185" s="53" t="e">
        <v>#N/A</v>
      </c>
      <c r="CW185" s="53" t="e">
        <v>#N/A</v>
      </c>
      <c r="CX185" s="53" t="e">
        <v>#N/A</v>
      </c>
      <c r="CY185" s="53" t="e">
        <v>#N/A</v>
      </c>
      <c r="DE185" s="53" t="e">
        <v>#N/A</v>
      </c>
      <c r="DF185" s="53" t="e">
        <v>#N/A</v>
      </c>
      <c r="DG185" s="53" t="e">
        <v>#N/A</v>
      </c>
      <c r="DH185" s="53" t="e">
        <v>#N/A</v>
      </c>
      <c r="DI185" s="53" t="e">
        <v>#N/A</v>
      </c>
      <c r="DJ185" s="53" t="e">
        <v>#N/A</v>
      </c>
    </row>
    <row r="186" spans="3:114" s="53" customFormat="1" ht="13.5" thickBot="1">
      <c r="C186" s="80"/>
      <c r="D186" s="52"/>
      <c r="E186" s="48"/>
      <c r="K186" s="48"/>
      <c r="M186" s="53" t="s">
        <v>30</v>
      </c>
      <c r="N186" s="53" t="s">
        <v>31</v>
      </c>
      <c r="O186" s="53" t="str">
        <f t="shared" si="35"/>
        <v>click</v>
      </c>
      <c r="P186" s="53" t="str">
        <f t="shared" si="36"/>
        <v>();</v>
      </c>
      <c r="Q186" s="53" t="str">
        <f>IF(C186="Y",IF(H186&lt;&gt;"Xpath",M186&amp;#REF!&amp;N186,""""&amp;#REF!&amp;""""),"")</f>
        <v/>
      </c>
      <c r="R186" s="53" t="str">
        <f>IF(C186="Y",""""&amp;#REF!&amp;""""&amp;":"&amp;Q186&amp;",","")</f>
        <v/>
      </c>
      <c r="S186" s="53" t="str">
        <f>IF(O186="innerText",I186&amp;"="&amp;IF(C186="Y",IF(J186&lt;&gt;"Y",$S$9&amp;$R$10&amp;"."&amp;#REF!&amp;")."&amp;IF(OR(O186="click",O186="innerText"),O186&amp;"();",O186&amp;"("&amp;$Q$9&amp;"."&amp;#REF!&amp;");"),$S$110&amp;$R$10&amp;"."&amp;#REF!&amp;")."&amp;IF(O186="click",O186&amp;"();",O186&amp;"("&amp;"'"&amp;K186&amp;"'"&amp;");")),""),IF(C186="Y",IF(J186&lt;&gt;"Y",$S$9&amp;$R$10&amp;"."&amp;#REF!&amp;")."&amp;IF(OR(O186="click",O186="innerText"),O186&amp;"();",O186&amp;"("&amp;$Q$9&amp;"."&amp;#REF!&amp;");"),$S$110&amp;$R$10&amp;"."&amp;#REF!&amp;")."&amp;IF(O186="click",O186&amp;"();",O186&amp;"("&amp;"'"&amp;K186&amp;"'"&amp;");")),""))</f>
        <v/>
      </c>
      <c r="BZ186" s="53">
        <v>0</v>
      </c>
      <c r="CA186" s="53">
        <v>0</v>
      </c>
      <c r="CU186" s="53" t="e">
        <v>#N/A</v>
      </c>
      <c r="CV186" s="53" t="e">
        <v>#N/A</v>
      </c>
      <c r="CW186" s="53" t="e">
        <v>#N/A</v>
      </c>
      <c r="CX186" s="53" t="e">
        <v>#N/A</v>
      </c>
      <c r="CY186" s="53" t="e">
        <v>#N/A</v>
      </c>
      <c r="DE186" s="53" t="e">
        <v>#N/A</v>
      </c>
      <c r="DF186" s="53" t="e">
        <v>#N/A</v>
      </c>
      <c r="DG186" s="53" t="e">
        <v>#N/A</v>
      </c>
      <c r="DH186" s="53" t="e">
        <v>#N/A</v>
      </c>
      <c r="DI186" s="53" t="e">
        <v>#N/A</v>
      </c>
      <c r="DJ186" s="53" t="e">
        <v>#N/A</v>
      </c>
    </row>
    <row r="187" spans="3:114" s="53" customFormat="1" ht="13.5" thickBot="1">
      <c r="C187" s="80"/>
      <c r="D187" s="73" t="s">
        <v>85</v>
      </c>
      <c r="E187" s="48"/>
      <c r="K187" s="48"/>
      <c r="M187" s="53" t="s">
        <v>30</v>
      </c>
      <c r="N187" s="53" t="s">
        <v>31</v>
      </c>
      <c r="O187" s="53" t="str">
        <f t="shared" si="35"/>
        <v>click</v>
      </c>
      <c r="P187" s="53" t="str">
        <f t="shared" si="36"/>
        <v>();</v>
      </c>
      <c r="Q187" s="53" t="str">
        <f>IF(C187="Y",IF(H187&lt;&gt;"Xpath",M187&amp;#REF!&amp;N187,""""&amp;#REF!&amp;""""),"")</f>
        <v/>
      </c>
      <c r="R187" s="53" t="str">
        <f>IF(C187="Y",""""&amp;#REF!&amp;""""&amp;":"&amp;Q187&amp;",","")</f>
        <v/>
      </c>
      <c r="S187" s="53" t="str">
        <f>IF(O187="innerText",I187&amp;"="&amp;IF(C187="Y",IF(J187&lt;&gt;"Y",$S$9&amp;$R$10&amp;"."&amp;#REF!&amp;")."&amp;IF(OR(O187="click",O187="innerText"),O187&amp;"();",O187&amp;"("&amp;$Q$9&amp;"."&amp;#REF!&amp;");"),$S$110&amp;$R$10&amp;"."&amp;#REF!&amp;")."&amp;IF(O187="click",O187&amp;"();",O187&amp;"("&amp;"'"&amp;K187&amp;"'"&amp;");")),""),IF(C187="Y",IF(J187&lt;&gt;"Y",$S$9&amp;$R$10&amp;"."&amp;#REF!&amp;")."&amp;IF(OR(O187="click",O187="innerText"),O187&amp;"();",O187&amp;"("&amp;$Q$9&amp;"."&amp;#REF!&amp;");"),$S$110&amp;$R$10&amp;"."&amp;#REF!&amp;")."&amp;IF(O187="click",O187&amp;"();",O187&amp;"("&amp;"'"&amp;K187&amp;"'"&amp;");")),""))</f>
        <v/>
      </c>
      <c r="BZ187" s="53">
        <v>0</v>
      </c>
      <c r="CA187" s="53">
        <v>0</v>
      </c>
      <c r="CU187" s="53" t="e">
        <v>#N/A</v>
      </c>
      <c r="CV187" s="53" t="e">
        <v>#N/A</v>
      </c>
      <c r="CW187" s="53" t="e">
        <v>#N/A</v>
      </c>
      <c r="CX187" s="53" t="e">
        <v>#N/A</v>
      </c>
      <c r="CY187" s="53" t="e">
        <v>#N/A</v>
      </c>
      <c r="DE187" s="53" t="e">
        <v>#N/A</v>
      </c>
      <c r="DF187" s="53" t="e">
        <v>#N/A</v>
      </c>
      <c r="DG187" s="53" t="e">
        <v>#N/A</v>
      </c>
      <c r="DH187" s="53" t="e">
        <v>#N/A</v>
      </c>
      <c r="DI187" s="53" t="e">
        <v>#N/A</v>
      </c>
      <c r="DJ187" s="53" t="e">
        <v>#N/A</v>
      </c>
    </row>
    <row r="188" spans="3:114" s="53" customFormat="1" ht="13.5" thickBot="1">
      <c r="C188" s="80"/>
      <c r="D188" s="52"/>
      <c r="E188" s="48"/>
      <c r="F188" s="53" t="str">
        <f>IF(CF112&lt;&gt;"",CF112,"")</f>
        <v/>
      </c>
      <c r="K188" s="48"/>
      <c r="M188" s="53" t="s">
        <v>30</v>
      </c>
      <c r="N188" s="53" t="s">
        <v>31</v>
      </c>
      <c r="O188" s="53" t="str">
        <f t="shared" si="35"/>
        <v>click</v>
      </c>
      <c r="P188" s="53" t="str">
        <f t="shared" si="36"/>
        <v>();</v>
      </c>
      <c r="Q188" s="53" t="str">
        <f>IF(C188="Y",IF(H188&lt;&gt;"Xpath",M188&amp;#REF!&amp;N188,""""&amp;#REF!&amp;""""),"")</f>
        <v/>
      </c>
      <c r="R188" s="53" t="str">
        <f>IF(C188="Y",""""&amp;#REF!&amp;""""&amp;":"&amp;Q188&amp;",","")</f>
        <v/>
      </c>
      <c r="S188" s="53" t="str">
        <f>IF(O188="innerText",I188&amp;"="&amp;IF(C188="Y",IF(J188&lt;&gt;"Y",$S$9&amp;$R$10&amp;"."&amp;#REF!&amp;")."&amp;IF(OR(O188="click",O188="innerText"),O188&amp;"();",O188&amp;"("&amp;$Q$9&amp;"."&amp;#REF!&amp;");"),$S$110&amp;$R$10&amp;"."&amp;#REF!&amp;")."&amp;IF(O188="click",O188&amp;"();",O188&amp;"("&amp;"'"&amp;K188&amp;"'"&amp;");")),""),IF(C188="Y",IF(J188&lt;&gt;"Y",$S$9&amp;$R$10&amp;"."&amp;#REF!&amp;")."&amp;IF(OR(O188="click",O188="innerText"),O188&amp;"();",O188&amp;"("&amp;$Q$9&amp;"."&amp;#REF!&amp;");"),$S$110&amp;$R$10&amp;"."&amp;#REF!&amp;")."&amp;IF(O188="click",O188&amp;"();",O188&amp;"("&amp;"'"&amp;K188&amp;"'"&amp;");")),""))</f>
        <v/>
      </c>
      <c r="BZ188" s="53">
        <v>0</v>
      </c>
      <c r="CA188" s="53">
        <v>0</v>
      </c>
      <c r="CU188" s="53" t="e">
        <v>#N/A</v>
      </c>
      <c r="CV188" s="53" t="e">
        <v>#N/A</v>
      </c>
      <c r="CW188" s="53" t="e">
        <v>#N/A</v>
      </c>
      <c r="CX188" s="53" t="e">
        <v>#N/A</v>
      </c>
      <c r="CY188" s="53" t="e">
        <v>#N/A</v>
      </c>
      <c r="DE188" s="53" t="e">
        <v>#N/A</v>
      </c>
      <c r="DF188" s="53" t="e">
        <v>#N/A</v>
      </c>
      <c r="DG188" s="53" t="e">
        <v>#N/A</v>
      </c>
      <c r="DH188" s="53" t="e">
        <v>#N/A</v>
      </c>
      <c r="DI188" s="53" t="e">
        <v>#N/A</v>
      </c>
      <c r="DJ188" s="53" t="e">
        <v>#N/A</v>
      </c>
    </row>
    <row r="189" spans="3:114" s="53" customFormat="1" ht="13.5" thickBot="1">
      <c r="C189" s="80"/>
      <c r="D189" s="73" t="s">
        <v>86</v>
      </c>
      <c r="E189" s="48"/>
      <c r="F189" s="53" t="str">
        <f>IF(CF113&lt;&gt;"",CF113,"")</f>
        <v/>
      </c>
      <c r="K189" s="48"/>
      <c r="M189" s="53" t="s">
        <v>30</v>
      </c>
      <c r="N189" s="53" t="s">
        <v>31</v>
      </c>
      <c r="O189" s="53" t="str">
        <f t="shared" si="35"/>
        <v>click</v>
      </c>
      <c r="P189" s="53" t="str">
        <f t="shared" si="36"/>
        <v>();</v>
      </c>
      <c r="Q189" s="53" t="str">
        <f>IF(C189="Y",IF(H189&lt;&gt;"Xpath",M189&amp;#REF!&amp;N189,""""&amp;#REF!&amp;""""),"")</f>
        <v/>
      </c>
      <c r="R189" s="53" t="str">
        <f>IF(C189="Y",""""&amp;#REF!&amp;""""&amp;":"&amp;Q189&amp;",","")</f>
        <v/>
      </c>
      <c r="S189" s="53" t="str">
        <f>IF(O189="innerText",I189&amp;"="&amp;IF(C189="Y",IF(J189&lt;&gt;"Y",$S$9&amp;$R$10&amp;"."&amp;#REF!&amp;")."&amp;IF(OR(O189="click",O189="innerText"),O189&amp;"();",O189&amp;"("&amp;$Q$9&amp;"."&amp;#REF!&amp;");"),$S$110&amp;$R$10&amp;"."&amp;#REF!&amp;")."&amp;IF(O189="click",O189&amp;"();",O189&amp;"("&amp;"'"&amp;K189&amp;"'"&amp;");")),""),IF(C189="Y",IF(J189&lt;&gt;"Y",$S$9&amp;$R$10&amp;"."&amp;#REF!&amp;")."&amp;IF(OR(O189="click",O189="innerText"),O189&amp;"();",O189&amp;"("&amp;$Q$9&amp;"."&amp;#REF!&amp;");"),$S$110&amp;$R$10&amp;"."&amp;#REF!&amp;")."&amp;IF(O189="click",O189&amp;"();",O189&amp;"("&amp;"'"&amp;K189&amp;"'"&amp;");")),""))</f>
        <v/>
      </c>
      <c r="BZ189" s="53">
        <v>0</v>
      </c>
      <c r="CA189" s="53">
        <v>0</v>
      </c>
      <c r="CU189" s="53" t="e">
        <v>#N/A</v>
      </c>
      <c r="CV189" s="53" t="e">
        <v>#N/A</v>
      </c>
      <c r="CW189" s="53" t="e">
        <v>#N/A</v>
      </c>
      <c r="CX189" s="53" t="e">
        <v>#N/A</v>
      </c>
      <c r="CY189" s="53" t="e">
        <v>#N/A</v>
      </c>
      <c r="DE189" s="53" t="e">
        <v>#N/A</v>
      </c>
      <c r="DF189" s="53" t="e">
        <v>#N/A</v>
      </c>
      <c r="DG189" s="53" t="e">
        <v>#N/A</v>
      </c>
      <c r="DH189" s="53" t="e">
        <v>#N/A</v>
      </c>
      <c r="DI189" s="53" t="e">
        <v>#N/A</v>
      </c>
      <c r="DJ189" s="53" t="e">
        <v>#N/A</v>
      </c>
    </row>
    <row r="190" spans="3:114" s="53" customFormat="1" ht="12.75">
      <c r="C190" s="80"/>
      <c r="D190" s="52"/>
      <c r="E190" s="48"/>
      <c r="F190" s="53" t="str">
        <f>IF(CF114&lt;&gt;"",CF114,"")</f>
        <v/>
      </c>
      <c r="K190" s="48"/>
      <c r="M190" s="53" t="s">
        <v>30</v>
      </c>
      <c r="N190" s="53" t="s">
        <v>31</v>
      </c>
      <c r="O190" s="53" t="str">
        <f t="shared" si="35"/>
        <v>click</v>
      </c>
      <c r="P190" s="53" t="str">
        <f t="shared" si="36"/>
        <v>();</v>
      </c>
      <c r="Q190" s="53" t="str">
        <f>IF(C190="Y",IF(H190&lt;&gt;"Xpath",M190&amp;#REF!&amp;N190,""""&amp;#REF!&amp;""""),"")</f>
        <v/>
      </c>
      <c r="R190" s="53" t="str">
        <f>IF(C190="Y",""""&amp;#REF!&amp;""""&amp;":"&amp;Q190&amp;",","")</f>
        <v/>
      </c>
      <c r="S190" s="53" t="str">
        <f>IF(O190="innerText",I190&amp;"="&amp;IF(C190="Y",IF(J190&lt;&gt;"Y",$S$9&amp;$R$10&amp;"."&amp;#REF!&amp;")."&amp;IF(OR(O190="click",O190="innerText"),O190&amp;"();",O190&amp;"("&amp;$Q$9&amp;"."&amp;#REF!&amp;");"),$S$110&amp;$R$10&amp;"."&amp;#REF!&amp;")."&amp;IF(O190="click",O190&amp;"();",O190&amp;"("&amp;"'"&amp;K190&amp;"'"&amp;");")),""),IF(C190="Y",IF(J190&lt;&gt;"Y",$S$9&amp;$R$10&amp;"."&amp;#REF!&amp;")."&amp;IF(OR(O190="click",O190="innerText"),O190&amp;"();",O190&amp;"("&amp;$Q$9&amp;"."&amp;#REF!&amp;");"),$S$110&amp;$R$10&amp;"."&amp;#REF!&amp;")."&amp;IF(O190="click",O190&amp;"();",O190&amp;"("&amp;"'"&amp;K190&amp;"'"&amp;");")),""))</f>
        <v/>
      </c>
      <c r="BZ190" s="53">
        <v>0</v>
      </c>
      <c r="CA190" s="53">
        <v>0</v>
      </c>
      <c r="CU190" s="53" t="e">
        <v>#N/A</v>
      </c>
      <c r="CV190" s="53" t="e">
        <v>#N/A</v>
      </c>
      <c r="CW190" s="53" t="e">
        <v>#N/A</v>
      </c>
      <c r="CX190" s="53" t="e">
        <v>#N/A</v>
      </c>
      <c r="CY190" s="53" t="e">
        <v>#N/A</v>
      </c>
      <c r="DE190" s="53" t="e">
        <v>#N/A</v>
      </c>
      <c r="DF190" s="53" t="e">
        <v>#N/A</v>
      </c>
      <c r="DG190" s="53" t="e">
        <v>#N/A</v>
      </c>
      <c r="DH190" s="53" t="e">
        <v>#N/A</v>
      </c>
      <c r="DI190" s="53" t="e">
        <v>#N/A</v>
      </c>
      <c r="DJ190" s="53" t="e">
        <v>#N/A</v>
      </c>
    </row>
    <row r="191" spans="3:114" s="53" customFormat="1" ht="12.75">
      <c r="C191" s="80"/>
      <c r="E191" s="48"/>
      <c r="K191" s="48"/>
      <c r="M191" s="53" t="s">
        <v>30</v>
      </c>
      <c r="N191" s="53" t="s">
        <v>31</v>
      </c>
      <c r="O191" s="53" t="str">
        <f t="shared" si="35"/>
        <v>click</v>
      </c>
      <c r="P191" s="53" t="str">
        <f t="shared" si="36"/>
        <v>();</v>
      </c>
      <c r="Q191" s="53" t="str">
        <f t="shared" ref="Q191:Q231" si="37">IF(C191="Y",IF(H191&lt;&gt;"Xpath",M191&amp;F191&amp;N191,""""&amp;F191&amp;""""),"")</f>
        <v/>
      </c>
      <c r="R191" s="53" t="str">
        <f t="shared" ref="R191:R254" si="38">IF(C191="Y",""""&amp;E191&amp;""""&amp;":"&amp;Q191&amp;",","")</f>
        <v/>
      </c>
      <c r="S191" s="53" t="str">
        <f t="shared" ref="S191:S231" si="39">IF(O191="innerText",I191&amp;"="&amp;IF(C191="Y",IF(J191&lt;&gt;"Y",$S$9&amp;$R$10&amp;"."&amp;E191&amp;")."&amp;IF(OR(O191="click",O191="innerText"),O191&amp;"();",O191&amp;"("&amp;$Q$9&amp;"."&amp;E191&amp;");"),$S$110&amp;$R$10&amp;"."&amp;E191&amp;")."&amp;IF(O191="click",O191&amp;"();",O191&amp;"("&amp;"'"&amp;K191&amp;"'"&amp;");")),""),IF(C191="Y",IF(J191&lt;&gt;"Y",$S$9&amp;$R$10&amp;"."&amp;E191&amp;")."&amp;IF(OR(O191="click",O191="innerText"),O191&amp;"();",O191&amp;"("&amp;$Q$9&amp;"."&amp;E191&amp;");"),$S$110&amp;$R$10&amp;"."&amp;E191&amp;")."&amp;IF(O191="click",O191&amp;"();",O191&amp;"("&amp;"'"&amp;K191&amp;"'"&amp;");")),""))</f>
        <v/>
      </c>
      <c r="BZ191" s="53">
        <v>0</v>
      </c>
      <c r="CA191" s="53">
        <v>0</v>
      </c>
      <c r="CU191" s="53" t="e">
        <v>#N/A</v>
      </c>
      <c r="CV191" s="53" t="e">
        <v>#N/A</v>
      </c>
      <c r="CW191" s="53" t="e">
        <v>#N/A</v>
      </c>
      <c r="CX191" s="53" t="e">
        <v>#N/A</v>
      </c>
      <c r="CY191" s="53" t="e">
        <v>#N/A</v>
      </c>
      <c r="DE191" s="53" t="e">
        <v>#N/A</v>
      </c>
      <c r="DF191" s="53" t="e">
        <v>#N/A</v>
      </c>
      <c r="DG191" s="53" t="e">
        <v>#N/A</v>
      </c>
      <c r="DH191" s="53" t="e">
        <v>#N/A</v>
      </c>
      <c r="DI191" s="53" t="e">
        <v>#N/A</v>
      </c>
      <c r="DJ191" s="53" t="e">
        <v>#N/A</v>
      </c>
    </row>
    <row r="192" spans="3:114" s="53" customFormat="1" ht="12.75">
      <c r="C192" s="80"/>
      <c r="E192" s="48"/>
      <c r="K192" s="48"/>
      <c r="M192" s="53" t="s">
        <v>30</v>
      </c>
      <c r="N192" s="53" t="s">
        <v>31</v>
      </c>
      <c r="O192" s="53" t="str">
        <f t="shared" si="35"/>
        <v>click</v>
      </c>
      <c r="P192" s="53" t="str">
        <f t="shared" si="36"/>
        <v>();</v>
      </c>
      <c r="Q192" s="53" t="str">
        <f t="shared" si="37"/>
        <v/>
      </c>
      <c r="R192" s="53" t="str">
        <f t="shared" si="38"/>
        <v/>
      </c>
      <c r="S192" s="53" t="str">
        <f t="shared" si="39"/>
        <v/>
      </c>
      <c r="BZ192" s="53">
        <v>0</v>
      </c>
      <c r="CA192" s="53">
        <v>0</v>
      </c>
      <c r="CU192" s="53" t="e">
        <v>#N/A</v>
      </c>
      <c r="CV192" s="53" t="e">
        <v>#N/A</v>
      </c>
      <c r="CW192" s="53" t="e">
        <v>#N/A</v>
      </c>
      <c r="CX192" s="53" t="e">
        <v>#N/A</v>
      </c>
      <c r="CY192" s="53" t="e">
        <v>#N/A</v>
      </c>
      <c r="DE192" s="53" t="e">
        <v>#N/A</v>
      </c>
      <c r="DF192" s="53" t="e">
        <v>#N/A</v>
      </c>
      <c r="DG192" s="53" t="e">
        <v>#N/A</v>
      </c>
      <c r="DH192" s="53" t="e">
        <v>#N/A</v>
      </c>
      <c r="DI192" s="53" t="e">
        <v>#N/A</v>
      </c>
      <c r="DJ192" s="53" t="e">
        <v>#N/A</v>
      </c>
    </row>
    <row r="193" spans="3:114" s="53" customFormat="1" ht="12.75">
      <c r="C193" s="80"/>
      <c r="E193" s="48"/>
      <c r="K193" s="48"/>
      <c r="M193" s="53" t="s">
        <v>30</v>
      </c>
      <c r="N193" s="53" t="s">
        <v>31</v>
      </c>
      <c r="O193" s="53" t="str">
        <f t="shared" si="35"/>
        <v>click</v>
      </c>
      <c r="P193" s="53" t="str">
        <f t="shared" si="36"/>
        <v>();</v>
      </c>
      <c r="Q193" s="53" t="str">
        <f t="shared" si="37"/>
        <v/>
      </c>
      <c r="R193" s="53" t="str">
        <f t="shared" si="38"/>
        <v/>
      </c>
      <c r="S193" s="53" t="str">
        <f t="shared" si="39"/>
        <v/>
      </c>
      <c r="BZ193" s="53">
        <v>0</v>
      </c>
      <c r="CA193" s="53">
        <v>0</v>
      </c>
      <c r="CU193" s="53" t="e">
        <v>#N/A</v>
      </c>
      <c r="CV193" s="53" t="e">
        <v>#N/A</v>
      </c>
      <c r="CW193" s="53" t="e">
        <v>#N/A</v>
      </c>
      <c r="CX193" s="53" t="e">
        <v>#N/A</v>
      </c>
      <c r="CY193" s="53" t="e">
        <v>#N/A</v>
      </c>
      <c r="DE193" s="53" t="e">
        <v>#N/A</v>
      </c>
      <c r="DF193" s="53" t="e">
        <v>#N/A</v>
      </c>
      <c r="DG193" s="53" t="e">
        <v>#N/A</v>
      </c>
      <c r="DH193" s="53" t="e">
        <v>#N/A</v>
      </c>
      <c r="DI193" s="53" t="e">
        <v>#N/A</v>
      </c>
      <c r="DJ193" s="53" t="e">
        <v>#N/A</v>
      </c>
    </row>
    <row r="194" spans="3:114" s="53" customFormat="1" ht="12.75">
      <c r="C194" s="80"/>
      <c r="E194" s="48"/>
      <c r="K194" s="48"/>
      <c r="M194" s="53" t="s">
        <v>30</v>
      </c>
      <c r="N194" s="53" t="s">
        <v>31</v>
      </c>
      <c r="O194" s="53" t="str">
        <f t="shared" si="35"/>
        <v>click</v>
      </c>
      <c r="P194" s="53" t="str">
        <f t="shared" si="36"/>
        <v>();</v>
      </c>
      <c r="Q194" s="53" t="str">
        <f t="shared" si="37"/>
        <v/>
      </c>
      <c r="R194" s="53" t="str">
        <f t="shared" si="38"/>
        <v/>
      </c>
      <c r="S194" s="53" t="str">
        <f t="shared" si="39"/>
        <v/>
      </c>
      <c r="BZ194" s="53">
        <v>0</v>
      </c>
      <c r="CA194" s="53">
        <v>0</v>
      </c>
      <c r="CU194" s="53" t="e">
        <v>#N/A</v>
      </c>
      <c r="CV194" s="53" t="e">
        <v>#N/A</v>
      </c>
      <c r="CW194" s="53" t="e">
        <v>#N/A</v>
      </c>
      <c r="CX194" s="53" t="e">
        <v>#N/A</v>
      </c>
      <c r="CY194" s="53" t="e">
        <v>#N/A</v>
      </c>
      <c r="DE194" s="53" t="e">
        <v>#N/A</v>
      </c>
      <c r="DF194" s="53" t="e">
        <v>#N/A</v>
      </c>
      <c r="DG194" s="53" t="e">
        <v>#N/A</v>
      </c>
      <c r="DH194" s="53" t="e">
        <v>#N/A</v>
      </c>
      <c r="DI194" s="53" t="e">
        <v>#N/A</v>
      </c>
      <c r="DJ194" s="53" t="e">
        <v>#N/A</v>
      </c>
    </row>
    <row r="195" spans="3:114" s="53" customFormat="1" ht="12.75">
      <c r="C195" s="80"/>
      <c r="E195" s="48"/>
      <c r="K195" s="48"/>
      <c r="M195" s="53" t="s">
        <v>30</v>
      </c>
      <c r="N195" s="53" t="s">
        <v>31</v>
      </c>
      <c r="O195" s="53" t="str">
        <f t="shared" si="35"/>
        <v>click</v>
      </c>
      <c r="P195" s="53" t="str">
        <f t="shared" si="36"/>
        <v>();</v>
      </c>
      <c r="Q195" s="53" t="str">
        <f t="shared" si="37"/>
        <v/>
      </c>
      <c r="R195" s="53" t="str">
        <f t="shared" si="38"/>
        <v/>
      </c>
      <c r="S195" s="53" t="str">
        <f t="shared" si="39"/>
        <v/>
      </c>
      <c r="BZ195" s="53">
        <v>0</v>
      </c>
      <c r="CA195" s="53">
        <v>0</v>
      </c>
      <c r="CU195" s="53" t="e">
        <v>#N/A</v>
      </c>
      <c r="CV195" s="53" t="e">
        <v>#N/A</v>
      </c>
      <c r="CW195" s="53" t="e">
        <v>#N/A</v>
      </c>
      <c r="CX195" s="53" t="e">
        <v>#N/A</v>
      </c>
      <c r="CY195" s="53" t="e">
        <v>#N/A</v>
      </c>
      <c r="DE195" s="53" t="e">
        <v>#N/A</v>
      </c>
      <c r="DF195" s="53" t="e">
        <v>#N/A</v>
      </c>
      <c r="DG195" s="53" t="e">
        <v>#N/A</v>
      </c>
      <c r="DH195" s="53" t="e">
        <v>#N/A</v>
      </c>
      <c r="DI195" s="53" t="e">
        <v>#N/A</v>
      </c>
      <c r="DJ195" s="53" t="e">
        <v>#N/A</v>
      </c>
    </row>
    <row r="196" spans="3:114" s="53" customFormat="1" ht="12.75">
      <c r="C196" s="80"/>
      <c r="E196" s="48"/>
      <c r="K196" s="48"/>
      <c r="M196" s="53" t="s">
        <v>30</v>
      </c>
      <c r="N196" s="53" t="s">
        <v>31</v>
      </c>
      <c r="O196" s="53" t="str">
        <f t="shared" si="35"/>
        <v>click</v>
      </c>
      <c r="P196" s="53" t="str">
        <f t="shared" si="36"/>
        <v>();</v>
      </c>
      <c r="Q196" s="53" t="str">
        <f t="shared" si="37"/>
        <v/>
      </c>
      <c r="R196" s="53" t="str">
        <f t="shared" si="38"/>
        <v/>
      </c>
      <c r="S196" s="53" t="str">
        <f t="shared" si="39"/>
        <v/>
      </c>
      <c r="BZ196" s="53">
        <v>0</v>
      </c>
      <c r="CA196" s="53">
        <v>0</v>
      </c>
      <c r="CU196" s="53" t="e">
        <v>#N/A</v>
      </c>
      <c r="CV196" s="53" t="e">
        <v>#N/A</v>
      </c>
      <c r="CW196" s="53" t="e">
        <v>#N/A</v>
      </c>
      <c r="CX196" s="53" t="e">
        <v>#N/A</v>
      </c>
      <c r="CY196" s="53" t="e">
        <v>#N/A</v>
      </c>
      <c r="DE196" s="53" t="e">
        <v>#N/A</v>
      </c>
      <c r="DF196" s="53" t="e">
        <v>#N/A</v>
      </c>
      <c r="DG196" s="53" t="e">
        <v>#N/A</v>
      </c>
      <c r="DH196" s="53" t="e">
        <v>#N/A</v>
      </c>
      <c r="DI196" s="53" t="e">
        <v>#N/A</v>
      </c>
      <c r="DJ196" s="53" t="e">
        <v>#N/A</v>
      </c>
    </row>
    <row r="197" spans="3:114" s="53" customFormat="1" ht="12.75">
      <c r="C197" s="80"/>
      <c r="E197" s="48"/>
      <c r="K197" s="48"/>
      <c r="M197" s="53" t="s">
        <v>30</v>
      </c>
      <c r="N197" s="53" t="s">
        <v>31</v>
      </c>
      <c r="O197" s="53" t="str">
        <f t="shared" si="35"/>
        <v>click</v>
      </c>
      <c r="P197" s="53" t="str">
        <f t="shared" si="36"/>
        <v>();</v>
      </c>
      <c r="Q197" s="53" t="str">
        <f t="shared" si="37"/>
        <v/>
      </c>
      <c r="R197" s="53" t="str">
        <f t="shared" si="38"/>
        <v/>
      </c>
      <c r="S197" s="53" t="str">
        <f t="shared" si="39"/>
        <v/>
      </c>
      <c r="BZ197" s="53">
        <v>0</v>
      </c>
      <c r="CA197" s="53">
        <v>0</v>
      </c>
      <c r="CU197" s="53" t="e">
        <v>#N/A</v>
      </c>
      <c r="CV197" s="53" t="e">
        <v>#N/A</v>
      </c>
      <c r="CW197" s="53" t="e">
        <v>#N/A</v>
      </c>
      <c r="CX197" s="53" t="e">
        <v>#N/A</v>
      </c>
      <c r="CY197" s="53" t="e">
        <v>#N/A</v>
      </c>
      <c r="DE197" s="53" t="e">
        <v>#N/A</v>
      </c>
      <c r="DF197" s="53" t="e">
        <v>#N/A</v>
      </c>
      <c r="DG197" s="53" t="e">
        <v>#N/A</v>
      </c>
      <c r="DH197" s="53" t="e">
        <v>#N/A</v>
      </c>
      <c r="DI197" s="53" t="e">
        <v>#N/A</v>
      </c>
      <c r="DJ197" s="53" t="e">
        <v>#N/A</v>
      </c>
    </row>
    <row r="198" spans="3:114" s="53" customFormat="1" ht="12.75">
      <c r="C198" s="80"/>
      <c r="E198" s="48"/>
      <c r="K198" s="48"/>
      <c r="M198" s="53" t="s">
        <v>30</v>
      </c>
      <c r="N198" s="53" t="s">
        <v>31</v>
      </c>
      <c r="O198" s="53" t="str">
        <f t="shared" si="35"/>
        <v>click</v>
      </c>
      <c r="P198" s="53" t="str">
        <f t="shared" si="36"/>
        <v>();</v>
      </c>
      <c r="Q198" s="53" t="str">
        <f t="shared" si="37"/>
        <v/>
      </c>
      <c r="R198" s="53" t="str">
        <f t="shared" si="38"/>
        <v/>
      </c>
      <c r="S198" s="53" t="str">
        <f t="shared" si="39"/>
        <v/>
      </c>
      <c r="BZ198" s="53">
        <v>0</v>
      </c>
      <c r="CA198" s="53">
        <v>0</v>
      </c>
      <c r="CU198" s="53" t="e">
        <v>#N/A</v>
      </c>
      <c r="CV198" s="53" t="e">
        <v>#N/A</v>
      </c>
      <c r="CW198" s="53" t="e">
        <v>#N/A</v>
      </c>
      <c r="CX198" s="53" t="e">
        <v>#N/A</v>
      </c>
      <c r="CY198" s="53" t="e">
        <v>#N/A</v>
      </c>
      <c r="DE198" s="53" t="e">
        <v>#N/A</v>
      </c>
      <c r="DF198" s="53" t="e">
        <v>#N/A</v>
      </c>
      <c r="DG198" s="53" t="e">
        <v>#N/A</v>
      </c>
      <c r="DH198" s="53" t="e">
        <v>#N/A</v>
      </c>
      <c r="DI198" s="53" t="e">
        <v>#N/A</v>
      </c>
      <c r="DJ198" s="53" t="e">
        <v>#N/A</v>
      </c>
    </row>
    <row r="199" spans="3:114" s="53" customFormat="1" ht="12.75">
      <c r="C199" s="80"/>
      <c r="E199" s="48"/>
      <c r="K199" s="48"/>
      <c r="M199" s="53" t="s">
        <v>30</v>
      </c>
      <c r="N199" s="53" t="s">
        <v>31</v>
      </c>
      <c r="O199" s="53" t="str">
        <f t="shared" si="35"/>
        <v>click</v>
      </c>
      <c r="P199" s="53" t="str">
        <f t="shared" si="36"/>
        <v>();</v>
      </c>
      <c r="Q199" s="53" t="str">
        <f t="shared" si="37"/>
        <v/>
      </c>
      <c r="R199" s="53" t="str">
        <f t="shared" si="38"/>
        <v/>
      </c>
      <c r="S199" s="53" t="str">
        <f t="shared" si="39"/>
        <v/>
      </c>
      <c r="BZ199" s="53">
        <v>0</v>
      </c>
      <c r="CA199" s="53">
        <v>0</v>
      </c>
      <c r="CU199" s="53" t="e">
        <v>#N/A</v>
      </c>
      <c r="CV199" s="53" t="e">
        <v>#N/A</v>
      </c>
      <c r="CW199" s="53" t="e">
        <v>#N/A</v>
      </c>
      <c r="CX199" s="53" t="e">
        <v>#N/A</v>
      </c>
      <c r="CY199" s="53" t="e">
        <v>#N/A</v>
      </c>
      <c r="DE199" s="53" t="e">
        <v>#N/A</v>
      </c>
      <c r="DF199" s="53" t="e">
        <v>#N/A</v>
      </c>
      <c r="DG199" s="53" t="e">
        <v>#N/A</v>
      </c>
      <c r="DH199" s="53" t="e">
        <v>#N/A</v>
      </c>
      <c r="DI199" s="53" t="e">
        <v>#N/A</v>
      </c>
      <c r="DJ199" s="53" t="e">
        <v>#N/A</v>
      </c>
    </row>
    <row r="200" spans="3:114" s="53" customFormat="1" ht="12.75">
      <c r="C200" s="80"/>
      <c r="E200" s="48"/>
      <c r="K200" s="48"/>
      <c r="M200" s="53" t="s">
        <v>30</v>
      </c>
      <c r="N200" s="53" t="s">
        <v>31</v>
      </c>
      <c r="O200" s="53" t="str">
        <f t="shared" si="35"/>
        <v>click</v>
      </c>
      <c r="P200" s="53" t="str">
        <f t="shared" si="36"/>
        <v>();</v>
      </c>
      <c r="Q200" s="53" t="str">
        <f t="shared" si="37"/>
        <v/>
      </c>
      <c r="R200" s="53" t="str">
        <f t="shared" si="38"/>
        <v/>
      </c>
      <c r="S200" s="53" t="str">
        <f t="shared" si="39"/>
        <v/>
      </c>
      <c r="BZ200" s="53">
        <v>0</v>
      </c>
      <c r="CA200" s="53">
        <v>0</v>
      </c>
      <c r="CU200" s="53" t="e">
        <v>#N/A</v>
      </c>
      <c r="CV200" s="53" t="e">
        <v>#N/A</v>
      </c>
      <c r="CW200" s="53" t="e">
        <v>#N/A</v>
      </c>
      <c r="CX200" s="53" t="e">
        <v>#N/A</v>
      </c>
      <c r="CY200" s="53" t="e">
        <v>#N/A</v>
      </c>
      <c r="DE200" s="53" t="e">
        <v>#N/A</v>
      </c>
      <c r="DF200" s="53" t="e">
        <v>#N/A</v>
      </c>
      <c r="DG200" s="53" t="e">
        <v>#N/A</v>
      </c>
      <c r="DH200" s="53" t="e">
        <v>#N/A</v>
      </c>
      <c r="DI200" s="53" t="e">
        <v>#N/A</v>
      </c>
      <c r="DJ200" s="53" t="e">
        <v>#N/A</v>
      </c>
    </row>
    <row r="201" spans="3:114" s="53" customFormat="1" ht="12.75">
      <c r="C201" s="80"/>
      <c r="E201" s="48"/>
      <c r="K201" s="48"/>
      <c r="M201" s="53" t="s">
        <v>30</v>
      </c>
      <c r="N201" s="53" t="s">
        <v>31</v>
      </c>
      <c r="O201" s="53" t="str">
        <f t="shared" si="35"/>
        <v>click</v>
      </c>
      <c r="P201" s="53" t="str">
        <f t="shared" si="36"/>
        <v>();</v>
      </c>
      <c r="Q201" s="53" t="str">
        <f t="shared" si="37"/>
        <v/>
      </c>
      <c r="R201" s="53" t="str">
        <f t="shared" si="38"/>
        <v/>
      </c>
      <c r="S201" s="53" t="str">
        <f t="shared" si="39"/>
        <v/>
      </c>
      <c r="CU201" s="53" t="e">
        <v>#N/A</v>
      </c>
      <c r="CV201" s="53" t="e">
        <v>#N/A</v>
      </c>
      <c r="CW201" s="53" t="e">
        <v>#N/A</v>
      </c>
      <c r="CX201" s="53" t="e">
        <v>#N/A</v>
      </c>
      <c r="CY201" s="53" t="e">
        <v>#N/A</v>
      </c>
      <c r="DE201" s="53" t="e">
        <v>#N/A</v>
      </c>
      <c r="DF201" s="53" t="e">
        <v>#N/A</v>
      </c>
      <c r="DG201" s="53" t="e">
        <v>#N/A</v>
      </c>
      <c r="DH201" s="53" t="e">
        <v>#N/A</v>
      </c>
      <c r="DI201" s="53" t="e">
        <v>#N/A</v>
      </c>
      <c r="DJ201" s="53" t="e">
        <v>#N/A</v>
      </c>
    </row>
    <row r="202" spans="3:114" s="53" customFormat="1" ht="12.75">
      <c r="C202" s="80"/>
      <c r="E202" s="48"/>
      <c r="K202" s="48"/>
      <c r="M202" s="53" t="s">
        <v>30</v>
      </c>
      <c r="N202" s="53" t="s">
        <v>31</v>
      </c>
      <c r="O202" s="53" t="str">
        <f t="shared" si="35"/>
        <v>click</v>
      </c>
      <c r="P202" s="53" t="str">
        <f t="shared" si="36"/>
        <v>();</v>
      </c>
      <c r="Q202" s="53" t="str">
        <f t="shared" si="37"/>
        <v/>
      </c>
      <c r="R202" s="53" t="str">
        <f t="shared" si="38"/>
        <v/>
      </c>
      <c r="S202" s="53" t="str">
        <f t="shared" si="39"/>
        <v/>
      </c>
      <c r="CU202" s="53" t="e">
        <v>#N/A</v>
      </c>
      <c r="CV202" s="53" t="e">
        <v>#N/A</v>
      </c>
      <c r="CW202" s="53" t="e">
        <v>#N/A</v>
      </c>
      <c r="CX202" s="53" t="e">
        <v>#N/A</v>
      </c>
      <c r="CY202" s="53" t="e">
        <v>#N/A</v>
      </c>
      <c r="DE202" s="53" t="e">
        <v>#N/A</v>
      </c>
      <c r="DF202" s="53" t="e">
        <v>#N/A</v>
      </c>
      <c r="DG202" s="53" t="e">
        <v>#N/A</v>
      </c>
      <c r="DH202" s="53" t="e">
        <v>#N/A</v>
      </c>
      <c r="DI202" s="53" t="e">
        <v>#N/A</v>
      </c>
      <c r="DJ202" s="53" t="e">
        <v>#N/A</v>
      </c>
    </row>
    <row r="203" spans="3:114" s="53" customFormat="1" ht="12.75">
      <c r="C203" s="80"/>
      <c r="E203" s="48"/>
      <c r="K203" s="48"/>
      <c r="M203" s="53" t="s">
        <v>30</v>
      </c>
      <c r="N203" s="53" t="s">
        <v>31</v>
      </c>
      <c r="O203" s="53" t="str">
        <f t="shared" si="35"/>
        <v>click</v>
      </c>
      <c r="P203" s="53" t="str">
        <f t="shared" si="36"/>
        <v>();</v>
      </c>
      <c r="Q203" s="53" t="str">
        <f t="shared" si="37"/>
        <v/>
      </c>
      <c r="R203" s="53" t="str">
        <f t="shared" si="38"/>
        <v/>
      </c>
      <c r="S203" s="53" t="str">
        <f t="shared" si="39"/>
        <v/>
      </c>
      <c r="CU203" s="53" t="e">
        <v>#N/A</v>
      </c>
      <c r="CV203" s="53" t="e">
        <v>#N/A</v>
      </c>
      <c r="CW203" s="53" t="e">
        <v>#N/A</v>
      </c>
      <c r="CX203" s="53" t="e">
        <v>#N/A</v>
      </c>
      <c r="CY203" s="53" t="e">
        <v>#N/A</v>
      </c>
      <c r="DE203" s="53" t="e">
        <v>#N/A</v>
      </c>
      <c r="DF203" s="53" t="e">
        <v>#N/A</v>
      </c>
      <c r="DG203" s="53" t="e">
        <v>#N/A</v>
      </c>
      <c r="DH203" s="53" t="e">
        <v>#N/A</v>
      </c>
      <c r="DI203" s="53" t="e">
        <v>#N/A</v>
      </c>
      <c r="DJ203" s="53" t="e">
        <v>#N/A</v>
      </c>
    </row>
    <row r="204" spans="3:114" s="53" customFormat="1" ht="12.75">
      <c r="C204" s="80"/>
      <c r="E204" s="48"/>
      <c r="K204" s="48"/>
      <c r="M204" s="53" t="s">
        <v>30</v>
      </c>
      <c r="N204" s="53" t="s">
        <v>31</v>
      </c>
      <c r="O204" s="53" t="str">
        <f t="shared" ref="O204:O214" si="40">IF(D204="input","fill",IF(I204&lt;&gt;"","innerText",IF(J204="Y",$T$110,"click")))</f>
        <v>click</v>
      </c>
      <c r="P204" s="53" t="str">
        <f t="shared" ref="P204:P267" si="41">IF(OR(O204="Click",O204="innerText"),"();","("&amp;""""&amp;K204&amp;""""&amp;");")</f>
        <v>();</v>
      </c>
      <c r="Q204" s="53" t="str">
        <f t="shared" si="37"/>
        <v/>
      </c>
      <c r="R204" s="53" t="str">
        <f t="shared" si="38"/>
        <v/>
      </c>
      <c r="S204" s="53" t="str">
        <f t="shared" si="39"/>
        <v/>
      </c>
      <c r="CU204" s="53" t="e">
        <v>#N/A</v>
      </c>
      <c r="CV204" s="53" t="e">
        <v>#N/A</v>
      </c>
      <c r="CW204" s="53" t="e">
        <v>#N/A</v>
      </c>
      <c r="CX204" s="53" t="e">
        <v>#N/A</v>
      </c>
      <c r="CY204" s="53" t="e">
        <v>#N/A</v>
      </c>
      <c r="DE204" s="53" t="e">
        <v>#N/A</v>
      </c>
      <c r="DF204" s="53" t="e">
        <v>#N/A</v>
      </c>
      <c r="DG204" s="53" t="e">
        <v>#N/A</v>
      </c>
      <c r="DH204" s="53" t="e">
        <v>#N/A</v>
      </c>
      <c r="DI204" s="53" t="e">
        <v>#N/A</v>
      </c>
      <c r="DJ204" s="53" t="e">
        <v>#N/A</v>
      </c>
    </row>
    <row r="205" spans="3:114" s="53" customFormat="1" ht="12.75">
      <c r="C205" s="80"/>
      <c r="E205" s="48"/>
      <c r="K205" s="48"/>
      <c r="M205" s="53" t="s">
        <v>30</v>
      </c>
      <c r="N205" s="53" t="s">
        <v>31</v>
      </c>
      <c r="O205" s="53" t="str">
        <f t="shared" si="40"/>
        <v>click</v>
      </c>
      <c r="P205" s="53" t="str">
        <f t="shared" si="41"/>
        <v>();</v>
      </c>
      <c r="Q205" s="53" t="str">
        <f t="shared" si="37"/>
        <v/>
      </c>
      <c r="R205" s="53" t="str">
        <f t="shared" si="38"/>
        <v/>
      </c>
      <c r="S205" s="53" t="str">
        <f t="shared" si="39"/>
        <v/>
      </c>
      <c r="CU205" s="53" t="e">
        <v>#N/A</v>
      </c>
      <c r="CV205" s="53" t="e">
        <v>#N/A</v>
      </c>
      <c r="CW205" s="53" t="e">
        <v>#N/A</v>
      </c>
      <c r="CX205" s="53" t="e">
        <v>#N/A</v>
      </c>
      <c r="CY205" s="53" t="e">
        <v>#N/A</v>
      </c>
      <c r="DE205" s="53" t="e">
        <v>#N/A</v>
      </c>
      <c r="DF205" s="53" t="e">
        <v>#N/A</v>
      </c>
      <c r="DG205" s="53" t="e">
        <v>#N/A</v>
      </c>
      <c r="DH205" s="53" t="e">
        <v>#N/A</v>
      </c>
      <c r="DI205" s="53" t="e">
        <v>#N/A</v>
      </c>
      <c r="DJ205" s="53" t="e">
        <v>#N/A</v>
      </c>
    </row>
    <row r="206" spans="3:114" s="53" customFormat="1" ht="12.75">
      <c r="C206" s="80"/>
      <c r="E206" s="48"/>
      <c r="K206" s="48"/>
      <c r="M206" s="53" t="s">
        <v>30</v>
      </c>
      <c r="N206" s="53" t="s">
        <v>31</v>
      </c>
      <c r="O206" s="53" t="str">
        <f t="shared" si="40"/>
        <v>click</v>
      </c>
      <c r="P206" s="53" t="str">
        <f t="shared" si="41"/>
        <v>();</v>
      </c>
      <c r="Q206" s="53" t="str">
        <f t="shared" si="37"/>
        <v/>
      </c>
      <c r="R206" s="53" t="str">
        <f t="shared" si="38"/>
        <v/>
      </c>
      <c r="S206" s="53" t="str">
        <f t="shared" si="39"/>
        <v/>
      </c>
      <c r="CU206" s="53" t="e">
        <v>#N/A</v>
      </c>
      <c r="CV206" s="53" t="e">
        <v>#N/A</v>
      </c>
      <c r="CW206" s="53" t="e">
        <v>#N/A</v>
      </c>
      <c r="CX206" s="53" t="e">
        <v>#N/A</v>
      </c>
      <c r="CY206" s="53" t="e">
        <v>#N/A</v>
      </c>
      <c r="DE206" s="53" t="e">
        <v>#N/A</v>
      </c>
      <c r="DF206" s="53" t="e">
        <v>#N/A</v>
      </c>
      <c r="DG206" s="53" t="e">
        <v>#N/A</v>
      </c>
      <c r="DH206" s="53" t="e">
        <v>#N/A</v>
      </c>
      <c r="DI206" s="53" t="e">
        <v>#N/A</v>
      </c>
      <c r="DJ206" s="53" t="e">
        <v>#N/A</v>
      </c>
    </row>
    <row r="207" spans="3:114" s="53" customFormat="1" ht="12.75">
      <c r="C207" s="80"/>
      <c r="E207" s="48"/>
      <c r="K207" s="48"/>
      <c r="M207" s="53" t="s">
        <v>30</v>
      </c>
      <c r="N207" s="53" t="s">
        <v>31</v>
      </c>
      <c r="O207" s="53" t="str">
        <f t="shared" si="40"/>
        <v>click</v>
      </c>
      <c r="P207" s="53" t="str">
        <f t="shared" si="41"/>
        <v>();</v>
      </c>
      <c r="Q207" s="53" t="str">
        <f t="shared" si="37"/>
        <v/>
      </c>
      <c r="R207" s="53" t="str">
        <f t="shared" si="38"/>
        <v/>
      </c>
      <c r="S207" s="53" t="str">
        <f t="shared" si="39"/>
        <v/>
      </c>
      <c r="CU207" s="53" t="e">
        <v>#N/A</v>
      </c>
      <c r="CV207" s="53" t="e">
        <v>#N/A</v>
      </c>
      <c r="CW207" s="53" t="e">
        <v>#N/A</v>
      </c>
      <c r="CX207" s="53" t="e">
        <v>#N/A</v>
      </c>
      <c r="CY207" s="53" t="e">
        <v>#N/A</v>
      </c>
      <c r="DE207" s="53" t="e">
        <v>#N/A</v>
      </c>
      <c r="DF207" s="53" t="e">
        <v>#N/A</v>
      </c>
      <c r="DG207" s="53" t="e">
        <v>#N/A</v>
      </c>
      <c r="DH207" s="53" t="e">
        <v>#N/A</v>
      </c>
      <c r="DI207" s="53" t="e">
        <v>#N/A</v>
      </c>
      <c r="DJ207" s="53" t="e">
        <v>#N/A</v>
      </c>
    </row>
    <row r="208" spans="3:114" s="53" customFormat="1" ht="12.75">
      <c r="C208" s="80"/>
      <c r="E208" s="48"/>
      <c r="K208" s="48"/>
      <c r="M208" s="53" t="s">
        <v>30</v>
      </c>
      <c r="N208" s="53" t="s">
        <v>31</v>
      </c>
      <c r="O208" s="53" t="str">
        <f t="shared" si="40"/>
        <v>click</v>
      </c>
      <c r="P208" s="53" t="str">
        <f t="shared" si="41"/>
        <v>();</v>
      </c>
      <c r="Q208" s="53" t="str">
        <f t="shared" si="37"/>
        <v/>
      </c>
      <c r="R208" s="53" t="str">
        <f t="shared" si="38"/>
        <v/>
      </c>
      <c r="S208" s="53" t="str">
        <f t="shared" si="39"/>
        <v/>
      </c>
      <c r="CU208" s="53" t="e">
        <v>#N/A</v>
      </c>
      <c r="CV208" s="53" t="e">
        <v>#N/A</v>
      </c>
      <c r="CW208" s="53" t="e">
        <v>#N/A</v>
      </c>
      <c r="CX208" s="53" t="e">
        <v>#N/A</v>
      </c>
      <c r="CY208" s="53" t="e">
        <v>#N/A</v>
      </c>
      <c r="DE208" s="53" t="e">
        <v>#N/A</v>
      </c>
      <c r="DF208" s="53" t="e">
        <v>#N/A</v>
      </c>
      <c r="DG208" s="53" t="e">
        <v>#N/A</v>
      </c>
      <c r="DH208" s="53" t="e">
        <v>#N/A</v>
      </c>
      <c r="DI208" s="53" t="e">
        <v>#N/A</v>
      </c>
      <c r="DJ208" s="53" t="e">
        <v>#N/A</v>
      </c>
    </row>
    <row r="209" spans="3:114" s="53" customFormat="1" ht="12.75">
      <c r="C209" s="80"/>
      <c r="E209" s="48"/>
      <c r="K209" s="48"/>
      <c r="M209" s="53" t="s">
        <v>30</v>
      </c>
      <c r="N209" s="53" t="s">
        <v>31</v>
      </c>
      <c r="O209" s="53" t="str">
        <f t="shared" si="40"/>
        <v>click</v>
      </c>
      <c r="P209" s="53" t="str">
        <f t="shared" si="41"/>
        <v>();</v>
      </c>
      <c r="Q209" s="53" t="str">
        <f t="shared" si="37"/>
        <v/>
      </c>
      <c r="R209" s="53" t="str">
        <f t="shared" si="38"/>
        <v/>
      </c>
      <c r="S209" s="53" t="str">
        <f t="shared" si="39"/>
        <v/>
      </c>
      <c r="CU209" s="53" t="e">
        <v>#N/A</v>
      </c>
      <c r="CV209" s="53" t="e">
        <v>#N/A</v>
      </c>
      <c r="CW209" s="53" t="e">
        <v>#N/A</v>
      </c>
      <c r="CX209" s="53" t="e">
        <v>#N/A</v>
      </c>
      <c r="CY209" s="53" t="e">
        <v>#N/A</v>
      </c>
      <c r="DE209" s="53" t="e">
        <v>#N/A</v>
      </c>
      <c r="DF209" s="53" t="e">
        <v>#N/A</v>
      </c>
      <c r="DG209" s="53" t="e">
        <v>#N/A</v>
      </c>
      <c r="DH209" s="53" t="e">
        <v>#N/A</v>
      </c>
      <c r="DI209" s="53" t="e">
        <v>#N/A</v>
      </c>
      <c r="DJ209" s="53" t="e">
        <v>#N/A</v>
      </c>
    </row>
    <row r="210" spans="3:114" s="53" customFormat="1" ht="12.75">
      <c r="C210" s="80"/>
      <c r="E210" s="48"/>
      <c r="K210" s="48"/>
      <c r="M210" s="53" t="s">
        <v>30</v>
      </c>
      <c r="N210" s="53" t="s">
        <v>31</v>
      </c>
      <c r="O210" s="53" t="str">
        <f t="shared" si="40"/>
        <v>click</v>
      </c>
      <c r="P210" s="53" t="str">
        <f t="shared" si="41"/>
        <v>();</v>
      </c>
      <c r="Q210" s="53" t="str">
        <f t="shared" si="37"/>
        <v/>
      </c>
      <c r="R210" s="53" t="str">
        <f t="shared" si="38"/>
        <v/>
      </c>
      <c r="S210" s="53" t="str">
        <f t="shared" si="39"/>
        <v/>
      </c>
      <c r="CU210" s="53" t="e">
        <v>#N/A</v>
      </c>
      <c r="CV210" s="53" t="e">
        <v>#N/A</v>
      </c>
      <c r="CW210" s="53" t="e">
        <v>#N/A</v>
      </c>
      <c r="CX210" s="53" t="e">
        <v>#N/A</v>
      </c>
      <c r="CY210" s="53" t="e">
        <v>#N/A</v>
      </c>
      <c r="DE210" s="53" t="e">
        <v>#N/A</v>
      </c>
      <c r="DF210" s="53" t="e">
        <v>#N/A</v>
      </c>
      <c r="DG210" s="53" t="e">
        <v>#N/A</v>
      </c>
      <c r="DH210" s="53" t="e">
        <v>#N/A</v>
      </c>
      <c r="DI210" s="53" t="e">
        <v>#N/A</v>
      </c>
      <c r="DJ210" s="53" t="e">
        <v>#N/A</v>
      </c>
    </row>
    <row r="211" spans="3:114" s="53" customFormat="1" ht="12.75">
      <c r="C211" s="80"/>
      <c r="E211" s="48"/>
      <c r="K211" s="48"/>
      <c r="M211" s="53" t="s">
        <v>30</v>
      </c>
      <c r="N211" s="53" t="s">
        <v>31</v>
      </c>
      <c r="O211" s="53" t="str">
        <f t="shared" si="40"/>
        <v>click</v>
      </c>
      <c r="P211" s="53" t="str">
        <f t="shared" si="41"/>
        <v>();</v>
      </c>
      <c r="Q211" s="53" t="str">
        <f t="shared" si="37"/>
        <v/>
      </c>
      <c r="R211" s="53" t="str">
        <f t="shared" si="38"/>
        <v/>
      </c>
      <c r="S211" s="53" t="str">
        <f t="shared" si="39"/>
        <v/>
      </c>
      <c r="CU211" s="53" t="e">
        <v>#N/A</v>
      </c>
      <c r="CV211" s="53" t="e">
        <v>#N/A</v>
      </c>
      <c r="CW211" s="53" t="e">
        <v>#N/A</v>
      </c>
      <c r="CX211" s="53" t="e">
        <v>#N/A</v>
      </c>
      <c r="CY211" s="53" t="e">
        <v>#N/A</v>
      </c>
      <c r="DE211" s="53" t="e">
        <v>#N/A</v>
      </c>
      <c r="DF211" s="53" t="e">
        <v>#N/A</v>
      </c>
      <c r="DG211" s="53" t="e">
        <v>#N/A</v>
      </c>
      <c r="DH211" s="53" t="e">
        <v>#N/A</v>
      </c>
      <c r="DI211" s="53" t="e">
        <v>#N/A</v>
      </c>
      <c r="DJ211" s="53" t="e">
        <v>#N/A</v>
      </c>
    </row>
    <row r="212" spans="3:114" s="53" customFormat="1" ht="12.75">
      <c r="C212" s="80"/>
      <c r="E212" s="48"/>
      <c r="K212" s="48"/>
      <c r="M212" s="53" t="s">
        <v>30</v>
      </c>
      <c r="N212" s="53" t="s">
        <v>31</v>
      </c>
      <c r="O212" s="53" t="str">
        <f t="shared" si="40"/>
        <v>click</v>
      </c>
      <c r="P212" s="53" t="str">
        <f t="shared" si="41"/>
        <v>();</v>
      </c>
      <c r="Q212" s="53" t="str">
        <f t="shared" si="37"/>
        <v/>
      </c>
      <c r="R212" s="53" t="str">
        <f t="shared" si="38"/>
        <v/>
      </c>
      <c r="S212" s="53" t="str">
        <f t="shared" si="39"/>
        <v/>
      </c>
      <c r="CU212" s="53" t="e">
        <v>#N/A</v>
      </c>
      <c r="CV212" s="53" t="e">
        <v>#N/A</v>
      </c>
      <c r="CW212" s="53" t="e">
        <v>#N/A</v>
      </c>
      <c r="CX212" s="53" t="e">
        <v>#N/A</v>
      </c>
      <c r="CY212" s="53" t="e">
        <v>#N/A</v>
      </c>
      <c r="DE212" s="53" t="e">
        <v>#N/A</v>
      </c>
      <c r="DF212" s="53" t="e">
        <v>#N/A</v>
      </c>
      <c r="DG212" s="53" t="e">
        <v>#N/A</v>
      </c>
      <c r="DH212" s="53" t="e">
        <v>#N/A</v>
      </c>
      <c r="DI212" s="53" t="e">
        <v>#N/A</v>
      </c>
      <c r="DJ212" s="53" t="e">
        <v>#N/A</v>
      </c>
    </row>
    <row r="213" spans="3:114" s="53" customFormat="1" ht="12.75">
      <c r="C213" s="80"/>
      <c r="E213" s="48"/>
      <c r="K213" s="48"/>
      <c r="M213" s="53" t="s">
        <v>30</v>
      </c>
      <c r="N213" s="53" t="s">
        <v>31</v>
      </c>
      <c r="O213" s="53" t="str">
        <f t="shared" si="40"/>
        <v>click</v>
      </c>
      <c r="P213" s="53" t="str">
        <f t="shared" si="41"/>
        <v>();</v>
      </c>
      <c r="Q213" s="53" t="str">
        <f t="shared" si="37"/>
        <v/>
      </c>
      <c r="R213" s="53" t="str">
        <f t="shared" si="38"/>
        <v/>
      </c>
      <c r="S213" s="53" t="str">
        <f t="shared" si="39"/>
        <v/>
      </c>
      <c r="CU213" s="53" t="e">
        <v>#N/A</v>
      </c>
      <c r="CV213" s="53" t="e">
        <v>#N/A</v>
      </c>
      <c r="CW213" s="53" t="e">
        <v>#N/A</v>
      </c>
      <c r="CX213" s="53" t="e">
        <v>#N/A</v>
      </c>
      <c r="CY213" s="53" t="e">
        <v>#N/A</v>
      </c>
      <c r="DE213" s="53" t="e">
        <v>#N/A</v>
      </c>
      <c r="DF213" s="53" t="e">
        <v>#N/A</v>
      </c>
      <c r="DG213" s="53" t="e">
        <v>#N/A</v>
      </c>
      <c r="DH213" s="53" t="e">
        <v>#N/A</v>
      </c>
      <c r="DI213" s="53" t="e">
        <v>#N/A</v>
      </c>
      <c r="DJ213" s="53" t="e">
        <v>#N/A</v>
      </c>
    </row>
    <row r="214" spans="3:114" s="53" customFormat="1" ht="12.75">
      <c r="C214" s="80"/>
      <c r="E214" s="48"/>
      <c r="K214" s="48"/>
      <c r="M214" s="53" t="s">
        <v>30</v>
      </c>
      <c r="N214" s="53" t="s">
        <v>31</v>
      </c>
      <c r="O214" s="53" t="str">
        <f t="shared" si="40"/>
        <v>click</v>
      </c>
      <c r="P214" s="53" t="str">
        <f t="shared" si="41"/>
        <v>();</v>
      </c>
      <c r="Q214" s="53" t="str">
        <f t="shared" si="37"/>
        <v/>
      </c>
      <c r="R214" s="53" t="str">
        <f t="shared" si="38"/>
        <v/>
      </c>
      <c r="S214" s="53" t="str">
        <f t="shared" si="39"/>
        <v/>
      </c>
      <c r="CU214" s="53" t="e">
        <v>#N/A</v>
      </c>
      <c r="CV214" s="53" t="e">
        <v>#N/A</v>
      </c>
      <c r="CW214" s="53" t="e">
        <v>#N/A</v>
      </c>
      <c r="CX214" s="53" t="e">
        <v>#N/A</v>
      </c>
      <c r="CY214" s="53" t="e">
        <v>#N/A</v>
      </c>
      <c r="DE214" s="53" t="e">
        <v>#N/A</v>
      </c>
      <c r="DF214" s="53" t="e">
        <v>#N/A</v>
      </c>
      <c r="DG214" s="53" t="e">
        <v>#N/A</v>
      </c>
      <c r="DH214" s="53" t="e">
        <v>#N/A</v>
      </c>
      <c r="DI214" s="53" t="e">
        <v>#N/A</v>
      </c>
      <c r="DJ214" s="53" t="e">
        <v>#N/A</v>
      </c>
    </row>
    <row r="215" spans="3:114" s="53" customFormat="1" ht="12.75">
      <c r="C215" s="80"/>
      <c r="E215" s="48"/>
      <c r="K215" s="48"/>
      <c r="M215" s="53" t="s">
        <v>30</v>
      </c>
      <c r="N215" s="53" t="s">
        <v>31</v>
      </c>
      <c r="O215" s="53" t="str">
        <f t="shared" ref="O215:O225" si="42">IF(D215="input","fill",IF(I215&lt;&gt;"","innerText",IF(J215="Y",$T$110,"click")))</f>
        <v>click</v>
      </c>
      <c r="P215" s="53" t="str">
        <f t="shared" si="41"/>
        <v>();</v>
      </c>
      <c r="Q215" s="53" t="str">
        <f t="shared" si="37"/>
        <v/>
      </c>
      <c r="R215" s="53" t="str">
        <f t="shared" si="38"/>
        <v/>
      </c>
      <c r="S215" s="53" t="str">
        <f t="shared" si="39"/>
        <v/>
      </c>
      <c r="CU215" s="53" t="e">
        <v>#N/A</v>
      </c>
      <c r="CV215" s="53" t="e">
        <v>#N/A</v>
      </c>
      <c r="CW215" s="53" t="e">
        <v>#N/A</v>
      </c>
      <c r="CX215" s="53" t="e">
        <v>#N/A</v>
      </c>
      <c r="CY215" s="53" t="e">
        <v>#N/A</v>
      </c>
      <c r="DE215" s="53" t="e">
        <v>#N/A</v>
      </c>
      <c r="DF215" s="53" t="e">
        <v>#N/A</v>
      </c>
      <c r="DG215" s="53" t="e">
        <v>#N/A</v>
      </c>
      <c r="DH215" s="53" t="e">
        <v>#N/A</v>
      </c>
      <c r="DI215" s="53" t="e">
        <v>#N/A</v>
      </c>
      <c r="DJ215" s="53" t="e">
        <v>#N/A</v>
      </c>
    </row>
    <row r="216" spans="3:114" s="53" customFormat="1" ht="12.75">
      <c r="C216" s="80"/>
      <c r="E216" s="48"/>
      <c r="K216" s="48"/>
      <c r="M216" s="53" t="s">
        <v>30</v>
      </c>
      <c r="N216" s="53" t="s">
        <v>31</v>
      </c>
      <c r="O216" s="53" t="str">
        <f t="shared" si="42"/>
        <v>click</v>
      </c>
      <c r="P216" s="53" t="str">
        <f t="shared" si="41"/>
        <v>();</v>
      </c>
      <c r="Q216" s="53" t="str">
        <f t="shared" si="37"/>
        <v/>
      </c>
      <c r="R216" s="53" t="str">
        <f t="shared" si="38"/>
        <v/>
      </c>
      <c r="S216" s="53" t="str">
        <f t="shared" si="39"/>
        <v/>
      </c>
      <c r="CU216" s="53" t="e">
        <v>#N/A</v>
      </c>
      <c r="CV216" s="53" t="e">
        <v>#N/A</v>
      </c>
      <c r="CW216" s="53" t="e">
        <v>#N/A</v>
      </c>
      <c r="CX216" s="53" t="e">
        <v>#N/A</v>
      </c>
      <c r="CY216" s="53" t="e">
        <v>#N/A</v>
      </c>
      <c r="DE216" s="53" t="e">
        <v>#N/A</v>
      </c>
      <c r="DF216" s="53" t="e">
        <v>#N/A</v>
      </c>
      <c r="DG216" s="53" t="e">
        <v>#N/A</v>
      </c>
      <c r="DH216" s="53" t="e">
        <v>#N/A</v>
      </c>
      <c r="DI216" s="53" t="e">
        <v>#N/A</v>
      </c>
      <c r="DJ216" s="53" t="e">
        <v>#N/A</v>
      </c>
    </row>
    <row r="217" spans="3:114" s="53" customFormat="1" ht="12.75">
      <c r="C217" s="80"/>
      <c r="E217" s="48"/>
      <c r="K217" s="48"/>
      <c r="M217" s="53" t="s">
        <v>30</v>
      </c>
      <c r="N217" s="53" t="s">
        <v>31</v>
      </c>
      <c r="O217" s="53" t="str">
        <f t="shared" si="42"/>
        <v>click</v>
      </c>
      <c r="P217" s="53" t="str">
        <f t="shared" si="41"/>
        <v>();</v>
      </c>
      <c r="Q217" s="53" t="str">
        <f t="shared" si="37"/>
        <v/>
      </c>
      <c r="R217" s="53" t="str">
        <f t="shared" si="38"/>
        <v/>
      </c>
      <c r="S217" s="53" t="str">
        <f t="shared" si="39"/>
        <v/>
      </c>
      <c r="CU217" s="53" t="e">
        <v>#N/A</v>
      </c>
      <c r="CV217" s="53" t="e">
        <v>#N/A</v>
      </c>
      <c r="CW217" s="53" t="e">
        <v>#N/A</v>
      </c>
      <c r="CX217" s="53" t="e">
        <v>#N/A</v>
      </c>
      <c r="CY217" s="53" t="e">
        <v>#N/A</v>
      </c>
      <c r="DE217" s="53" t="e">
        <v>#N/A</v>
      </c>
      <c r="DF217" s="53" t="e">
        <v>#N/A</v>
      </c>
      <c r="DG217" s="53" t="e">
        <v>#N/A</v>
      </c>
      <c r="DH217" s="53" t="e">
        <v>#N/A</v>
      </c>
      <c r="DI217" s="53" t="e">
        <v>#N/A</v>
      </c>
      <c r="DJ217" s="53" t="e">
        <v>#N/A</v>
      </c>
    </row>
    <row r="218" spans="3:114" s="53" customFormat="1" ht="12.75">
      <c r="C218" s="80"/>
      <c r="E218" s="48"/>
      <c r="K218" s="48"/>
      <c r="M218" s="53" t="s">
        <v>30</v>
      </c>
      <c r="N218" s="53" t="s">
        <v>31</v>
      </c>
      <c r="O218" s="53" t="str">
        <f t="shared" si="42"/>
        <v>click</v>
      </c>
      <c r="P218" s="53" t="str">
        <f t="shared" si="41"/>
        <v>();</v>
      </c>
      <c r="Q218" s="53" t="str">
        <f t="shared" si="37"/>
        <v/>
      </c>
      <c r="R218" s="53" t="str">
        <f t="shared" si="38"/>
        <v/>
      </c>
      <c r="S218" s="53" t="str">
        <f t="shared" si="39"/>
        <v/>
      </c>
      <c r="CU218" s="53" t="e">
        <v>#N/A</v>
      </c>
      <c r="CV218" s="53" t="e">
        <v>#N/A</v>
      </c>
      <c r="CW218" s="53" t="e">
        <v>#N/A</v>
      </c>
      <c r="CX218" s="53" t="e">
        <v>#N/A</v>
      </c>
      <c r="CY218" s="53" t="e">
        <v>#N/A</v>
      </c>
      <c r="DE218" s="53" t="e">
        <v>#N/A</v>
      </c>
      <c r="DF218" s="53" t="e">
        <v>#N/A</v>
      </c>
      <c r="DG218" s="53" t="e">
        <v>#N/A</v>
      </c>
      <c r="DH218" s="53" t="e">
        <v>#N/A</v>
      </c>
      <c r="DI218" s="53" t="e">
        <v>#N/A</v>
      </c>
      <c r="DJ218" s="53" t="e">
        <v>#N/A</v>
      </c>
    </row>
    <row r="219" spans="3:114" s="53" customFormat="1" ht="12.75">
      <c r="C219" s="80"/>
      <c r="E219" s="48"/>
      <c r="K219" s="48"/>
      <c r="M219" s="53" t="s">
        <v>30</v>
      </c>
      <c r="N219" s="53" t="s">
        <v>31</v>
      </c>
      <c r="O219" s="53" t="str">
        <f t="shared" si="42"/>
        <v>click</v>
      </c>
      <c r="P219" s="53" t="str">
        <f t="shared" si="41"/>
        <v>();</v>
      </c>
      <c r="Q219" s="53" t="str">
        <f t="shared" si="37"/>
        <v/>
      </c>
      <c r="R219" s="53" t="str">
        <f t="shared" si="38"/>
        <v/>
      </c>
      <c r="S219" s="53" t="str">
        <f t="shared" si="39"/>
        <v/>
      </c>
      <c r="CU219" s="53" t="e">
        <v>#N/A</v>
      </c>
      <c r="CV219" s="53" t="e">
        <v>#N/A</v>
      </c>
      <c r="CW219" s="53" t="e">
        <v>#N/A</v>
      </c>
      <c r="CX219" s="53" t="e">
        <v>#N/A</v>
      </c>
      <c r="CY219" s="53" t="e">
        <v>#N/A</v>
      </c>
      <c r="DE219" s="53" t="e">
        <v>#N/A</v>
      </c>
      <c r="DF219" s="53" t="e">
        <v>#N/A</v>
      </c>
      <c r="DG219" s="53" t="e">
        <v>#N/A</v>
      </c>
      <c r="DH219" s="53" t="e">
        <v>#N/A</v>
      </c>
      <c r="DI219" s="53" t="e">
        <v>#N/A</v>
      </c>
      <c r="DJ219" s="53" t="e">
        <v>#N/A</v>
      </c>
    </row>
    <row r="220" spans="3:114" s="53" customFormat="1" ht="12.75">
      <c r="C220" s="80"/>
      <c r="E220" s="48"/>
      <c r="K220" s="48"/>
      <c r="M220" s="53" t="s">
        <v>30</v>
      </c>
      <c r="N220" s="53" t="s">
        <v>31</v>
      </c>
      <c r="O220" s="53" t="str">
        <f t="shared" si="42"/>
        <v>click</v>
      </c>
      <c r="P220" s="53" t="str">
        <f t="shared" si="41"/>
        <v>();</v>
      </c>
      <c r="Q220" s="53" t="str">
        <f t="shared" si="37"/>
        <v/>
      </c>
      <c r="R220" s="53" t="str">
        <f t="shared" si="38"/>
        <v/>
      </c>
      <c r="S220" s="53" t="str">
        <f t="shared" si="39"/>
        <v/>
      </c>
      <c r="CU220" s="53" t="e">
        <v>#N/A</v>
      </c>
      <c r="CV220" s="53" t="e">
        <v>#N/A</v>
      </c>
      <c r="CW220" s="53" t="e">
        <v>#N/A</v>
      </c>
      <c r="CX220" s="53" t="e">
        <v>#N/A</v>
      </c>
      <c r="CY220" s="53" t="e">
        <v>#N/A</v>
      </c>
      <c r="DE220" s="53" t="e">
        <v>#N/A</v>
      </c>
      <c r="DF220" s="53" t="e">
        <v>#N/A</v>
      </c>
      <c r="DG220" s="53" t="e">
        <v>#N/A</v>
      </c>
      <c r="DH220" s="53" t="e">
        <v>#N/A</v>
      </c>
      <c r="DI220" s="53" t="e">
        <v>#N/A</v>
      </c>
      <c r="DJ220" s="53" t="e">
        <v>#N/A</v>
      </c>
    </row>
    <row r="221" spans="3:114" s="53" customFormat="1" ht="12.75">
      <c r="C221" s="80"/>
      <c r="E221" s="48"/>
      <c r="K221" s="48"/>
      <c r="M221" s="53" t="s">
        <v>30</v>
      </c>
      <c r="N221" s="53" t="s">
        <v>31</v>
      </c>
      <c r="O221" s="53" t="str">
        <f t="shared" si="42"/>
        <v>click</v>
      </c>
      <c r="P221" s="53" t="str">
        <f t="shared" si="41"/>
        <v>();</v>
      </c>
      <c r="Q221" s="53" t="str">
        <f t="shared" si="37"/>
        <v/>
      </c>
      <c r="R221" s="53" t="str">
        <f t="shared" si="38"/>
        <v/>
      </c>
      <c r="S221" s="53" t="str">
        <f t="shared" si="39"/>
        <v/>
      </c>
      <c r="CU221" s="53" t="e">
        <v>#N/A</v>
      </c>
      <c r="CV221" s="53" t="e">
        <v>#N/A</v>
      </c>
      <c r="CW221" s="53" t="e">
        <v>#N/A</v>
      </c>
      <c r="CX221" s="53" t="e">
        <v>#N/A</v>
      </c>
      <c r="CY221" s="53" t="e">
        <v>#N/A</v>
      </c>
      <c r="DE221" s="53" t="e">
        <v>#N/A</v>
      </c>
      <c r="DF221" s="53" t="e">
        <v>#N/A</v>
      </c>
      <c r="DG221" s="53" t="e">
        <v>#N/A</v>
      </c>
      <c r="DH221" s="53" t="e">
        <v>#N/A</v>
      </c>
      <c r="DI221" s="53" t="e">
        <v>#N/A</v>
      </c>
      <c r="DJ221" s="53" t="e">
        <v>#N/A</v>
      </c>
    </row>
    <row r="222" spans="3:114" s="53" customFormat="1" ht="12.75">
      <c r="C222" s="80"/>
      <c r="E222" s="48"/>
      <c r="K222" s="48"/>
      <c r="M222" s="53" t="s">
        <v>30</v>
      </c>
      <c r="N222" s="53" t="s">
        <v>31</v>
      </c>
      <c r="O222" s="53" t="str">
        <f t="shared" si="42"/>
        <v>click</v>
      </c>
      <c r="P222" s="53" t="str">
        <f t="shared" si="41"/>
        <v>();</v>
      </c>
      <c r="Q222" s="53" t="str">
        <f t="shared" si="37"/>
        <v/>
      </c>
      <c r="R222" s="53" t="str">
        <f t="shared" si="38"/>
        <v/>
      </c>
      <c r="S222" s="53" t="str">
        <f t="shared" si="39"/>
        <v/>
      </c>
      <c r="CU222" s="53" t="e">
        <v>#N/A</v>
      </c>
      <c r="CV222" s="53" t="e">
        <v>#N/A</v>
      </c>
      <c r="CW222" s="53" t="e">
        <v>#N/A</v>
      </c>
      <c r="CX222" s="53" t="e">
        <v>#N/A</v>
      </c>
      <c r="CY222" s="53" t="e">
        <v>#N/A</v>
      </c>
      <c r="DE222" s="53" t="e">
        <v>#N/A</v>
      </c>
      <c r="DF222" s="53" t="e">
        <v>#N/A</v>
      </c>
      <c r="DG222" s="53" t="e">
        <v>#N/A</v>
      </c>
      <c r="DH222" s="53" t="e">
        <v>#N/A</v>
      </c>
      <c r="DI222" s="53" t="e">
        <v>#N/A</v>
      </c>
      <c r="DJ222" s="53" t="e">
        <v>#N/A</v>
      </c>
    </row>
    <row r="223" spans="3:114" s="53" customFormat="1" ht="12.75">
      <c r="C223" s="80"/>
      <c r="E223" s="48"/>
      <c r="K223" s="48"/>
      <c r="M223" s="53" t="s">
        <v>30</v>
      </c>
      <c r="N223" s="53" t="s">
        <v>31</v>
      </c>
      <c r="O223" s="53" t="str">
        <f t="shared" si="42"/>
        <v>click</v>
      </c>
      <c r="P223" s="53" t="str">
        <f t="shared" si="41"/>
        <v>();</v>
      </c>
      <c r="Q223" s="53" t="str">
        <f t="shared" si="37"/>
        <v/>
      </c>
      <c r="R223" s="53" t="str">
        <f t="shared" si="38"/>
        <v/>
      </c>
      <c r="S223" s="53" t="str">
        <f t="shared" si="39"/>
        <v/>
      </c>
      <c r="CU223" s="53" t="e">
        <v>#N/A</v>
      </c>
      <c r="CV223" s="53" t="e">
        <v>#N/A</v>
      </c>
      <c r="CW223" s="53" t="e">
        <v>#N/A</v>
      </c>
      <c r="CX223" s="53" t="e">
        <v>#N/A</v>
      </c>
      <c r="CY223" s="53" t="e">
        <v>#N/A</v>
      </c>
      <c r="DE223" s="53" t="e">
        <v>#N/A</v>
      </c>
      <c r="DF223" s="53" t="e">
        <v>#N/A</v>
      </c>
      <c r="DG223" s="53" t="e">
        <v>#N/A</v>
      </c>
      <c r="DH223" s="53" t="e">
        <v>#N/A</v>
      </c>
      <c r="DI223" s="53" t="e">
        <v>#N/A</v>
      </c>
      <c r="DJ223" s="53" t="e">
        <v>#N/A</v>
      </c>
    </row>
    <row r="224" spans="3:114" s="53" customFormat="1" ht="12.75">
      <c r="C224" s="80"/>
      <c r="E224" s="48"/>
      <c r="K224" s="48"/>
      <c r="M224" s="53" t="s">
        <v>30</v>
      </c>
      <c r="N224" s="53" t="s">
        <v>31</v>
      </c>
      <c r="O224" s="53" t="str">
        <f t="shared" si="42"/>
        <v>click</v>
      </c>
      <c r="P224" s="53" t="str">
        <f t="shared" si="41"/>
        <v>();</v>
      </c>
      <c r="Q224" s="53" t="str">
        <f t="shared" si="37"/>
        <v/>
      </c>
      <c r="R224" s="53" t="str">
        <f t="shared" si="38"/>
        <v/>
      </c>
      <c r="S224" s="53" t="str">
        <f t="shared" si="39"/>
        <v/>
      </c>
      <c r="CU224" s="53" t="e">
        <v>#N/A</v>
      </c>
      <c r="CV224" s="53" t="e">
        <v>#N/A</v>
      </c>
      <c r="CW224" s="53" t="e">
        <v>#N/A</v>
      </c>
      <c r="CX224" s="53" t="e">
        <v>#N/A</v>
      </c>
      <c r="CY224" s="53" t="e">
        <v>#N/A</v>
      </c>
      <c r="DE224" s="53" t="e">
        <v>#N/A</v>
      </c>
      <c r="DF224" s="53" t="e">
        <v>#N/A</v>
      </c>
      <c r="DG224" s="53" t="e">
        <v>#N/A</v>
      </c>
      <c r="DH224" s="53" t="e">
        <v>#N/A</v>
      </c>
      <c r="DI224" s="53" t="e">
        <v>#N/A</v>
      </c>
      <c r="DJ224" s="53" t="e">
        <v>#N/A</v>
      </c>
    </row>
    <row r="225" spans="3:114" s="53" customFormat="1" ht="12.75">
      <c r="C225" s="80"/>
      <c r="E225" s="48"/>
      <c r="K225" s="48"/>
      <c r="M225" s="53" t="s">
        <v>30</v>
      </c>
      <c r="N225" s="53" t="s">
        <v>31</v>
      </c>
      <c r="O225" s="53" t="str">
        <f t="shared" si="42"/>
        <v>click</v>
      </c>
      <c r="P225" s="53" t="str">
        <f t="shared" si="41"/>
        <v>();</v>
      </c>
      <c r="Q225" s="53" t="str">
        <f t="shared" si="37"/>
        <v/>
      </c>
      <c r="R225" s="53" t="str">
        <f t="shared" si="38"/>
        <v/>
      </c>
      <c r="S225" s="53" t="str">
        <f t="shared" si="39"/>
        <v/>
      </c>
      <c r="CU225" s="53" t="e">
        <v>#N/A</v>
      </c>
      <c r="CV225" s="53" t="e">
        <v>#N/A</v>
      </c>
      <c r="CW225" s="53" t="e">
        <v>#N/A</v>
      </c>
      <c r="CX225" s="53" t="e">
        <v>#N/A</v>
      </c>
      <c r="CY225" s="53" t="e">
        <v>#N/A</v>
      </c>
      <c r="DE225" s="53" t="e">
        <v>#N/A</v>
      </c>
      <c r="DF225" s="53" t="e">
        <v>#N/A</v>
      </c>
      <c r="DG225" s="53" t="e">
        <v>#N/A</v>
      </c>
      <c r="DH225" s="53" t="e">
        <v>#N/A</v>
      </c>
      <c r="DI225" s="53" t="e">
        <v>#N/A</v>
      </c>
      <c r="DJ225" s="53" t="e">
        <v>#N/A</v>
      </c>
    </row>
    <row r="226" spans="3:114" s="53" customFormat="1" ht="12.75">
      <c r="C226" s="80"/>
      <c r="E226" s="48"/>
      <c r="K226" s="48"/>
      <c r="M226" s="53" t="s">
        <v>30</v>
      </c>
      <c r="N226" s="53" t="s">
        <v>31</v>
      </c>
      <c r="O226" s="53" t="str">
        <f t="shared" ref="O226:O232" si="43">IF(D227="input","fill",IF(I226&lt;&gt;"","innerText",IF(J226="Y",$T$110,"click")))</f>
        <v>click</v>
      </c>
      <c r="P226" s="53" t="str">
        <f t="shared" si="41"/>
        <v>();</v>
      </c>
      <c r="Q226" s="53" t="str">
        <f t="shared" si="37"/>
        <v/>
      </c>
      <c r="R226" s="53" t="str">
        <f t="shared" si="38"/>
        <v/>
      </c>
      <c r="S226" s="53" t="str">
        <f t="shared" si="39"/>
        <v/>
      </c>
      <c r="CU226" s="53" t="e">
        <v>#N/A</v>
      </c>
      <c r="CV226" s="53" t="e">
        <v>#N/A</v>
      </c>
      <c r="CW226" s="53" t="e">
        <v>#N/A</v>
      </c>
      <c r="CX226" s="53" t="e">
        <v>#N/A</v>
      </c>
      <c r="CY226" s="53" t="e">
        <v>#N/A</v>
      </c>
      <c r="DE226" s="53" t="e">
        <v>#N/A</v>
      </c>
      <c r="DF226" s="53" t="e">
        <v>#N/A</v>
      </c>
      <c r="DG226" s="53" t="e">
        <v>#N/A</v>
      </c>
      <c r="DH226" s="53" t="e">
        <v>#N/A</v>
      </c>
      <c r="DI226" s="53" t="e">
        <v>#N/A</v>
      </c>
      <c r="DJ226" s="53" t="e">
        <v>#N/A</v>
      </c>
    </row>
    <row r="227" spans="3:114" s="53" customFormat="1" ht="12.75">
      <c r="C227" s="80"/>
      <c r="E227" s="48"/>
      <c r="K227" s="48"/>
      <c r="M227" s="53" t="s">
        <v>30</v>
      </c>
      <c r="N227" s="53" t="s">
        <v>31</v>
      </c>
      <c r="O227" s="53" t="str">
        <f t="shared" si="43"/>
        <v>click</v>
      </c>
      <c r="P227" s="53" t="str">
        <f t="shared" si="41"/>
        <v>();</v>
      </c>
      <c r="Q227" s="53" t="str">
        <f t="shared" si="37"/>
        <v/>
      </c>
      <c r="R227" s="53" t="str">
        <f t="shared" si="38"/>
        <v/>
      </c>
      <c r="S227" s="53" t="str">
        <f t="shared" si="39"/>
        <v/>
      </c>
      <c r="CU227" s="53" t="e">
        <v>#N/A</v>
      </c>
      <c r="CV227" s="53" t="e">
        <v>#N/A</v>
      </c>
      <c r="CW227" s="53" t="e">
        <v>#N/A</v>
      </c>
      <c r="CX227" s="53" t="e">
        <v>#N/A</v>
      </c>
      <c r="CY227" s="53" t="e">
        <v>#N/A</v>
      </c>
      <c r="DE227" s="53" t="e">
        <v>#N/A</v>
      </c>
      <c r="DF227" s="53" t="e">
        <v>#N/A</v>
      </c>
      <c r="DG227" s="53" t="e">
        <v>#N/A</v>
      </c>
      <c r="DH227" s="53" t="e">
        <v>#N/A</v>
      </c>
      <c r="DI227" s="53" t="e">
        <v>#N/A</v>
      </c>
      <c r="DJ227" s="53" t="e">
        <v>#N/A</v>
      </c>
    </row>
    <row r="228" spans="3:114" s="53" customFormat="1" ht="12.75">
      <c r="C228" s="80"/>
      <c r="E228" s="48"/>
      <c r="K228" s="48"/>
      <c r="M228" s="53" t="s">
        <v>30</v>
      </c>
      <c r="N228" s="53" t="s">
        <v>31</v>
      </c>
      <c r="O228" s="53" t="str">
        <f t="shared" si="43"/>
        <v>click</v>
      </c>
      <c r="P228" s="53" t="str">
        <f t="shared" si="41"/>
        <v>();</v>
      </c>
      <c r="Q228" s="53" t="str">
        <f t="shared" si="37"/>
        <v/>
      </c>
      <c r="R228" s="53" t="str">
        <f t="shared" si="38"/>
        <v/>
      </c>
      <c r="S228" s="53" t="str">
        <f t="shared" si="39"/>
        <v/>
      </c>
      <c r="CU228" s="53" t="e">
        <v>#N/A</v>
      </c>
      <c r="CV228" s="53" t="e">
        <v>#N/A</v>
      </c>
      <c r="CW228" s="53" t="e">
        <v>#N/A</v>
      </c>
      <c r="CX228" s="53" t="e">
        <v>#N/A</v>
      </c>
      <c r="CY228" s="53" t="e">
        <v>#N/A</v>
      </c>
      <c r="DE228" s="53" t="e">
        <v>#N/A</v>
      </c>
      <c r="DF228" s="53" t="e">
        <v>#N/A</v>
      </c>
      <c r="DG228" s="53" t="e">
        <v>#N/A</v>
      </c>
      <c r="DH228" s="53" t="e">
        <v>#N/A</v>
      </c>
      <c r="DI228" s="53" t="e">
        <v>#N/A</v>
      </c>
      <c r="DJ228" s="53" t="e">
        <v>#N/A</v>
      </c>
    </row>
    <row r="229" spans="3:114" s="53" customFormat="1" ht="12.75">
      <c r="C229" s="80"/>
      <c r="E229" s="48"/>
      <c r="K229" s="48"/>
      <c r="M229" s="53" t="s">
        <v>30</v>
      </c>
      <c r="N229" s="53" t="s">
        <v>31</v>
      </c>
      <c r="O229" s="53" t="str">
        <f t="shared" si="43"/>
        <v>click</v>
      </c>
      <c r="P229" s="53" t="str">
        <f t="shared" si="41"/>
        <v>();</v>
      </c>
      <c r="Q229" s="53" t="str">
        <f t="shared" si="37"/>
        <v/>
      </c>
      <c r="R229" s="53" t="str">
        <f t="shared" si="38"/>
        <v/>
      </c>
      <c r="S229" s="53" t="str">
        <f t="shared" si="39"/>
        <v/>
      </c>
      <c r="CU229" s="53" t="e">
        <v>#N/A</v>
      </c>
      <c r="CV229" s="53" t="e">
        <v>#N/A</v>
      </c>
      <c r="CW229" s="53" t="e">
        <v>#N/A</v>
      </c>
      <c r="CX229" s="53" t="e">
        <v>#N/A</v>
      </c>
      <c r="CY229" s="53" t="e">
        <v>#N/A</v>
      </c>
      <c r="DE229" s="53" t="e">
        <v>#N/A</v>
      </c>
      <c r="DF229" s="53" t="e">
        <v>#N/A</v>
      </c>
      <c r="DG229" s="53" t="e">
        <v>#N/A</v>
      </c>
      <c r="DH229" s="53" t="e">
        <v>#N/A</v>
      </c>
      <c r="DI229" s="53" t="e">
        <v>#N/A</v>
      </c>
      <c r="DJ229" s="53" t="e">
        <v>#N/A</v>
      </c>
    </row>
    <row r="230" spans="3:114" s="53" customFormat="1" ht="12.75">
      <c r="C230" s="80"/>
      <c r="E230" s="48"/>
      <c r="K230" s="48"/>
      <c r="M230" s="53" t="s">
        <v>30</v>
      </c>
      <c r="N230" s="53" t="s">
        <v>31</v>
      </c>
      <c r="O230" s="53" t="str">
        <f t="shared" si="43"/>
        <v>click</v>
      </c>
      <c r="P230" s="53" t="str">
        <f t="shared" si="41"/>
        <v>();</v>
      </c>
      <c r="Q230" s="53" t="str">
        <f t="shared" si="37"/>
        <v/>
      </c>
      <c r="R230" s="53" t="str">
        <f t="shared" si="38"/>
        <v/>
      </c>
      <c r="S230" s="53" t="str">
        <f t="shared" si="39"/>
        <v/>
      </c>
      <c r="CU230" s="53" t="e">
        <v>#N/A</v>
      </c>
      <c r="CV230" s="53" t="e">
        <v>#N/A</v>
      </c>
      <c r="CW230" s="53" t="e">
        <v>#N/A</v>
      </c>
      <c r="CX230" s="53" t="e">
        <v>#N/A</v>
      </c>
      <c r="CY230" s="53" t="e">
        <v>#N/A</v>
      </c>
      <c r="DE230" s="53" t="e">
        <v>#N/A</v>
      </c>
      <c r="DF230" s="53" t="e">
        <v>#N/A</v>
      </c>
      <c r="DG230" s="53" t="e">
        <v>#N/A</v>
      </c>
      <c r="DH230" s="53" t="e">
        <v>#N/A</v>
      </c>
      <c r="DI230" s="53" t="e">
        <v>#N/A</v>
      </c>
      <c r="DJ230" s="53" t="e">
        <v>#N/A</v>
      </c>
    </row>
    <row r="231" spans="3:114" s="53" customFormat="1" ht="12.75">
      <c r="C231" s="80"/>
      <c r="E231" s="48"/>
      <c r="K231" s="48"/>
      <c r="M231" s="53" t="s">
        <v>30</v>
      </c>
      <c r="N231" s="53" t="s">
        <v>31</v>
      </c>
      <c r="O231" s="53" t="str">
        <f t="shared" si="43"/>
        <v>click</v>
      </c>
      <c r="P231" s="53" t="str">
        <f t="shared" si="41"/>
        <v>();</v>
      </c>
      <c r="Q231" s="53" t="str">
        <f t="shared" si="37"/>
        <v/>
      </c>
      <c r="R231" s="53" t="str">
        <f t="shared" si="38"/>
        <v/>
      </c>
      <c r="S231" s="53" t="str">
        <f t="shared" si="39"/>
        <v/>
      </c>
      <c r="CU231" s="53" t="e">
        <v>#N/A</v>
      </c>
      <c r="CV231" s="53" t="e">
        <v>#N/A</v>
      </c>
      <c r="CW231" s="53" t="e">
        <v>#N/A</v>
      </c>
      <c r="CX231" s="53" t="e">
        <v>#N/A</v>
      </c>
      <c r="CY231" s="53" t="e">
        <v>#N/A</v>
      </c>
      <c r="DE231" s="53" t="e">
        <v>#N/A</v>
      </c>
      <c r="DF231" s="53" t="e">
        <v>#N/A</v>
      </c>
      <c r="DG231" s="53" t="e">
        <v>#N/A</v>
      </c>
      <c r="DH231" s="53" t="e">
        <v>#N/A</v>
      </c>
      <c r="DI231" s="53" t="e">
        <v>#N/A</v>
      </c>
      <c r="DJ231" s="53" t="e">
        <v>#N/A</v>
      </c>
    </row>
    <row r="232" spans="3:114" s="53" customFormat="1" ht="12.75">
      <c r="C232" s="80"/>
      <c r="E232" s="48"/>
      <c r="K232" s="48"/>
      <c r="M232" s="53" t="s">
        <v>30</v>
      </c>
      <c r="N232" s="53" t="s">
        <v>31</v>
      </c>
      <c r="O232" s="53" t="str">
        <f t="shared" si="43"/>
        <v>click</v>
      </c>
      <c r="P232" s="53" t="str">
        <f t="shared" si="41"/>
        <v>();</v>
      </c>
      <c r="R232" s="53" t="str">
        <f t="shared" si="38"/>
        <v/>
      </c>
      <c r="S232" s="53" t="str">
        <f>IF(O231="innerText",I231&amp;"="&amp;IF(C232="Y",IF(J231&lt;&gt;"Y",$S$9&amp;$R$10&amp;"."&amp;E232&amp;")."&amp;IF(OR(O231="click",O231="innerText"),O231&amp;"();",O231&amp;"("&amp;$Q$9&amp;"."&amp;E232&amp;");"),$S$110&amp;$R$10&amp;"."&amp;E232&amp;")."&amp;IF(O231="click",O231&amp;"();",O231&amp;"("&amp;"'"&amp;K231&amp;"'"&amp;");")),""),IF(C232="Y",IF(J231&lt;&gt;"Y",$S$9&amp;$R$10&amp;"."&amp;E232&amp;")."&amp;IF(OR(O231="click",O231="innerText"),O231&amp;"();",O231&amp;"("&amp;$Q$9&amp;"."&amp;E232&amp;");"),$S$110&amp;$R$10&amp;"."&amp;E232&amp;")."&amp;IF(O231="click",O231&amp;"();",O231&amp;"("&amp;"'"&amp;K231&amp;"'"&amp;");")),""))</f>
        <v/>
      </c>
      <c r="CU232" s="53" t="e">
        <v>#N/A</v>
      </c>
      <c r="CV232" s="53" t="e">
        <v>#N/A</v>
      </c>
      <c r="CW232" s="53" t="e">
        <v>#N/A</v>
      </c>
      <c r="CX232" s="53" t="e">
        <v>#N/A</v>
      </c>
      <c r="CY232" s="53" t="e">
        <v>#N/A</v>
      </c>
      <c r="DE232" s="53" t="e">
        <v>#N/A</v>
      </c>
      <c r="DF232" s="53" t="e">
        <v>#N/A</v>
      </c>
      <c r="DG232" s="53" t="e">
        <v>#N/A</v>
      </c>
      <c r="DH232" s="53" t="e">
        <v>#N/A</v>
      </c>
      <c r="DI232" s="53" t="e">
        <v>#N/A</v>
      </c>
      <c r="DJ232" s="53" t="e">
        <v>#N/A</v>
      </c>
    </row>
    <row r="233" spans="3:114" s="53" customFormat="1" ht="12.75">
      <c r="C233" s="80"/>
      <c r="E233" s="48"/>
      <c r="K233" s="48"/>
      <c r="M233" s="53" t="s">
        <v>30</v>
      </c>
      <c r="N233" s="53" t="s">
        <v>31</v>
      </c>
      <c r="O233" s="53" t="str">
        <f t="shared" ref="O233:O296" si="44">IF(D233="input","fill",IF(I233&lt;&gt;"","innerText",IF(J233="Y",$T$110,"click")))</f>
        <v>click</v>
      </c>
      <c r="P233" s="53" t="str">
        <f t="shared" si="41"/>
        <v>();</v>
      </c>
      <c r="Q233" s="53" t="str">
        <f t="shared" ref="Q233:Q264" si="45">IF(C233="Y",IF(H233&lt;&gt;"Xpath",M233&amp;F233&amp;N233,""""&amp;F233&amp;""""),"")</f>
        <v/>
      </c>
      <c r="R233" s="53" t="str">
        <f t="shared" si="38"/>
        <v/>
      </c>
      <c r="S233" s="53" t="str">
        <f>IF(O232="innerText",I232&amp;"="&amp;IF(C233="Y",IF(J232&lt;&gt;"Y",$S$9&amp;$R$10&amp;"."&amp;E233&amp;")."&amp;IF(OR(O232="click",O232="innerText"),O232&amp;"();",O232&amp;"("&amp;$Q$9&amp;"."&amp;E233&amp;");"),$S$110&amp;$R$10&amp;"."&amp;E233&amp;")."&amp;IF(O232="click",O232&amp;"();",O232&amp;"("&amp;"'"&amp;K232&amp;"'"&amp;");")),""),IF(C233="Y",IF(J232&lt;&gt;"Y",$S$9&amp;$R$10&amp;"."&amp;E233&amp;")."&amp;IF(OR(O232="click",O232="innerText"),O232&amp;"();",O232&amp;"("&amp;$Q$9&amp;"."&amp;E233&amp;");"),$S$110&amp;$R$10&amp;"."&amp;E233&amp;")."&amp;IF(O232="click",O232&amp;"();",O232&amp;"("&amp;"'"&amp;K232&amp;"'"&amp;");")),""))</f>
        <v/>
      </c>
      <c r="CU233" s="53" t="e">
        <v>#N/A</v>
      </c>
      <c r="CV233" s="53" t="e">
        <v>#N/A</v>
      </c>
      <c r="CW233" s="53" t="e">
        <v>#N/A</v>
      </c>
      <c r="CX233" s="53" t="e">
        <v>#N/A</v>
      </c>
      <c r="CY233" s="53" t="e">
        <v>#N/A</v>
      </c>
      <c r="DE233" s="53" t="e">
        <v>#N/A</v>
      </c>
      <c r="DF233" s="53" t="e">
        <v>#N/A</v>
      </c>
      <c r="DG233" s="53" t="e">
        <v>#N/A</v>
      </c>
      <c r="DH233" s="53" t="e">
        <v>#N/A</v>
      </c>
      <c r="DI233" s="53" t="e">
        <v>#N/A</v>
      </c>
      <c r="DJ233" s="53" t="e">
        <v>#N/A</v>
      </c>
    </row>
    <row r="234" spans="3:114" s="53" customFormat="1" ht="12.75">
      <c r="C234" s="80"/>
      <c r="E234" s="48"/>
      <c r="K234" s="48"/>
      <c r="M234" s="53" t="s">
        <v>30</v>
      </c>
      <c r="N234" s="53" t="s">
        <v>31</v>
      </c>
      <c r="O234" s="53" t="str">
        <f t="shared" si="44"/>
        <v>click</v>
      </c>
      <c r="P234" s="53" t="str">
        <f t="shared" si="41"/>
        <v>();</v>
      </c>
      <c r="Q234" s="53" t="str">
        <f t="shared" si="45"/>
        <v/>
      </c>
      <c r="R234" s="53" t="str">
        <f t="shared" si="38"/>
        <v/>
      </c>
      <c r="S234" s="53" t="str">
        <f>IF(O233="innerText",I233&amp;"="&amp;IF(C234="Y",IF(J233&lt;&gt;"Y",$S$9&amp;$R$10&amp;"."&amp;E234&amp;")."&amp;IF(OR(O233="click",O233="innerText"),O233&amp;"();",O233&amp;"("&amp;$Q$9&amp;"."&amp;E234&amp;");"),$S$110&amp;$R$10&amp;"."&amp;E234&amp;")."&amp;IF(O233="click",O233&amp;"();",O233&amp;"("&amp;"'"&amp;K233&amp;"'"&amp;");")),""),IF(C234="Y",IF(J233&lt;&gt;"Y",$S$9&amp;$R$10&amp;"."&amp;E234&amp;")."&amp;IF(OR(O233="click",O233="innerText"),O233&amp;"();",O233&amp;"("&amp;$Q$9&amp;"."&amp;E234&amp;");"),$S$110&amp;$R$10&amp;"."&amp;E234&amp;")."&amp;IF(O233="click",O233&amp;"();",O233&amp;"("&amp;"'"&amp;K233&amp;"'"&amp;");")),""))</f>
        <v/>
      </c>
      <c r="CU234" s="53" t="e">
        <v>#N/A</v>
      </c>
      <c r="CV234" s="53" t="e">
        <v>#N/A</v>
      </c>
      <c r="CW234" s="53" t="e">
        <v>#N/A</v>
      </c>
      <c r="CX234" s="53" t="e">
        <v>#N/A</v>
      </c>
      <c r="CY234" s="53" t="e">
        <v>#N/A</v>
      </c>
      <c r="DE234" s="53" t="e">
        <v>#N/A</v>
      </c>
      <c r="DF234" s="53" t="e">
        <v>#N/A</v>
      </c>
      <c r="DG234" s="53" t="e">
        <v>#N/A</v>
      </c>
      <c r="DH234" s="53" t="e">
        <v>#N/A</v>
      </c>
      <c r="DI234" s="53" t="e">
        <v>#N/A</v>
      </c>
      <c r="DJ234" s="53" t="e">
        <v>#N/A</v>
      </c>
    </row>
    <row r="235" spans="3:114" s="53" customFormat="1" ht="12.75">
      <c r="C235" s="80"/>
      <c r="E235" s="48"/>
      <c r="K235" s="48"/>
      <c r="M235" s="53" t="s">
        <v>30</v>
      </c>
      <c r="N235" s="53" t="s">
        <v>31</v>
      </c>
      <c r="O235" s="53" t="str">
        <f t="shared" si="44"/>
        <v>click</v>
      </c>
      <c r="P235" s="53" t="str">
        <f t="shared" si="41"/>
        <v>();</v>
      </c>
      <c r="Q235" s="53" t="str">
        <f t="shared" si="45"/>
        <v/>
      </c>
      <c r="R235" s="53" t="str">
        <f t="shared" si="38"/>
        <v/>
      </c>
      <c r="S235" s="53" t="str">
        <f>IF(O234="innerText",I234&amp;"="&amp;IF(C235="Y",IF(J234&lt;&gt;"Y",$S$9&amp;$R$10&amp;"."&amp;E235&amp;")."&amp;IF(OR(O234="click",O234="innerText"),O234&amp;"();",O234&amp;"("&amp;$Q$9&amp;"."&amp;E235&amp;");"),$S$110&amp;$R$10&amp;"."&amp;E235&amp;")."&amp;IF(O234="click",O234&amp;"();",O234&amp;"("&amp;"'"&amp;K234&amp;"'"&amp;");")),""),IF(C235="Y",IF(J234&lt;&gt;"Y",$S$9&amp;$R$10&amp;"."&amp;E235&amp;")."&amp;IF(OR(O234="click",O234="innerText"),O234&amp;"();",O234&amp;"("&amp;$Q$9&amp;"."&amp;E235&amp;");"),$S$110&amp;$R$10&amp;"."&amp;E235&amp;")."&amp;IF(O234="click",O234&amp;"();",O234&amp;"("&amp;"'"&amp;K234&amp;"'"&amp;");")),""))</f>
        <v/>
      </c>
      <c r="CU235" s="53" t="e">
        <v>#N/A</v>
      </c>
      <c r="CV235" s="53" t="e">
        <v>#N/A</v>
      </c>
      <c r="CW235" s="53" t="e">
        <v>#N/A</v>
      </c>
      <c r="CX235" s="53" t="e">
        <v>#N/A</v>
      </c>
      <c r="CY235" s="53" t="e">
        <v>#N/A</v>
      </c>
      <c r="DE235" s="53" t="e">
        <v>#N/A</v>
      </c>
      <c r="DF235" s="53" t="e">
        <v>#N/A</v>
      </c>
      <c r="DG235" s="53" t="e">
        <v>#N/A</v>
      </c>
      <c r="DH235" s="53" t="e">
        <v>#N/A</v>
      </c>
      <c r="DI235" s="53" t="e">
        <v>#N/A</v>
      </c>
      <c r="DJ235" s="53" t="e">
        <v>#N/A</v>
      </c>
    </row>
    <row r="236" spans="3:114" s="53" customFormat="1" ht="12.75">
      <c r="C236" s="80"/>
      <c r="E236" s="48"/>
      <c r="K236" s="48"/>
      <c r="M236" s="53" t="s">
        <v>30</v>
      </c>
      <c r="N236" s="53" t="s">
        <v>31</v>
      </c>
      <c r="O236" s="53" t="str">
        <f t="shared" si="44"/>
        <v>click</v>
      </c>
      <c r="P236" s="53" t="str">
        <f t="shared" si="41"/>
        <v>();</v>
      </c>
      <c r="Q236" s="53" t="str">
        <f t="shared" si="45"/>
        <v/>
      </c>
      <c r="R236" s="53" t="str">
        <f t="shared" si="38"/>
        <v/>
      </c>
      <c r="S236" s="53" t="str">
        <f t="shared" ref="S236:S267" si="46">IF(O236="innerText",I236&amp;"="&amp;IF(C236="Y",IF(J236&lt;&gt;"Y",$S$9&amp;$R$10&amp;"."&amp;E236&amp;")."&amp;IF(OR(O236="click",O236="innerText"),O236&amp;"();",O236&amp;"("&amp;$Q$9&amp;"."&amp;E236&amp;");"),$S$110&amp;$R$10&amp;"."&amp;E236&amp;")."&amp;IF(O236="click",O236&amp;"();",O236&amp;"("&amp;"'"&amp;K236&amp;"'"&amp;");")),""),IF(C236="Y",IF(J236&lt;&gt;"Y",$S$9&amp;$R$10&amp;"."&amp;E236&amp;")."&amp;IF(OR(O236="click",O236="innerText"),O236&amp;"();",O236&amp;"("&amp;$Q$9&amp;"."&amp;E236&amp;");"),$S$110&amp;$R$10&amp;"."&amp;E236&amp;")."&amp;IF(O236="click",O236&amp;"();",O236&amp;"("&amp;"'"&amp;K236&amp;"'"&amp;");")),""))</f>
        <v/>
      </c>
      <c r="CU236" s="53" t="e">
        <v>#N/A</v>
      </c>
      <c r="CV236" s="53" t="e">
        <v>#N/A</v>
      </c>
      <c r="CW236" s="53" t="e">
        <v>#N/A</v>
      </c>
      <c r="CX236" s="53" t="e">
        <v>#N/A</v>
      </c>
      <c r="CY236" s="53" t="e">
        <v>#N/A</v>
      </c>
      <c r="DE236" s="53" t="e">
        <v>#N/A</v>
      </c>
      <c r="DF236" s="53" t="e">
        <v>#N/A</v>
      </c>
      <c r="DG236" s="53" t="e">
        <v>#N/A</v>
      </c>
      <c r="DH236" s="53" t="e">
        <v>#N/A</v>
      </c>
      <c r="DI236" s="53" t="e">
        <v>#N/A</v>
      </c>
      <c r="DJ236" s="53" t="e">
        <v>#N/A</v>
      </c>
    </row>
    <row r="237" spans="3:114" s="53" customFormat="1" ht="12.75">
      <c r="C237" s="80"/>
      <c r="E237" s="48"/>
      <c r="K237" s="48"/>
      <c r="M237" s="53" t="s">
        <v>30</v>
      </c>
      <c r="N237" s="53" t="s">
        <v>31</v>
      </c>
      <c r="O237" s="53" t="str">
        <f t="shared" si="44"/>
        <v>click</v>
      </c>
      <c r="P237" s="53" t="str">
        <f t="shared" si="41"/>
        <v>();</v>
      </c>
      <c r="Q237" s="53" t="str">
        <f t="shared" si="45"/>
        <v/>
      </c>
      <c r="R237" s="53" t="str">
        <f t="shared" si="38"/>
        <v/>
      </c>
      <c r="S237" s="53" t="str">
        <f t="shared" si="46"/>
        <v/>
      </c>
      <c r="CU237" s="53" t="e">
        <v>#N/A</v>
      </c>
      <c r="CV237" s="53" t="e">
        <v>#N/A</v>
      </c>
      <c r="CW237" s="53" t="e">
        <v>#N/A</v>
      </c>
      <c r="CX237" s="53" t="e">
        <v>#N/A</v>
      </c>
      <c r="CY237" s="53" t="e">
        <v>#N/A</v>
      </c>
      <c r="DE237" s="53" t="e">
        <v>#N/A</v>
      </c>
      <c r="DF237" s="53" t="e">
        <v>#N/A</v>
      </c>
      <c r="DG237" s="53" t="e">
        <v>#N/A</v>
      </c>
      <c r="DH237" s="53" t="e">
        <v>#N/A</v>
      </c>
      <c r="DI237" s="53" t="e">
        <v>#N/A</v>
      </c>
      <c r="DJ237" s="53" t="e">
        <v>#N/A</v>
      </c>
    </row>
    <row r="238" spans="3:114" s="53" customFormat="1" ht="12.75">
      <c r="C238" s="80"/>
      <c r="E238" s="48"/>
      <c r="K238" s="48"/>
      <c r="M238" s="53" t="s">
        <v>30</v>
      </c>
      <c r="N238" s="53" t="s">
        <v>31</v>
      </c>
      <c r="O238" s="53" t="str">
        <f t="shared" si="44"/>
        <v>click</v>
      </c>
      <c r="P238" s="53" t="str">
        <f t="shared" si="41"/>
        <v>();</v>
      </c>
      <c r="Q238" s="53" t="str">
        <f t="shared" si="45"/>
        <v/>
      </c>
      <c r="R238" s="53" t="str">
        <f t="shared" si="38"/>
        <v/>
      </c>
      <c r="S238" s="53" t="str">
        <f t="shared" si="46"/>
        <v/>
      </c>
      <c r="CU238" s="53" t="e">
        <v>#N/A</v>
      </c>
      <c r="CV238" s="53" t="e">
        <v>#N/A</v>
      </c>
      <c r="CW238" s="53" t="e">
        <v>#N/A</v>
      </c>
      <c r="CX238" s="53" t="e">
        <v>#N/A</v>
      </c>
      <c r="CY238" s="53" t="e">
        <v>#N/A</v>
      </c>
      <c r="DE238" s="53" t="e">
        <v>#N/A</v>
      </c>
      <c r="DF238" s="53" t="e">
        <v>#N/A</v>
      </c>
      <c r="DG238" s="53" t="e">
        <v>#N/A</v>
      </c>
      <c r="DH238" s="53" t="e">
        <v>#N/A</v>
      </c>
      <c r="DI238" s="53" t="e">
        <v>#N/A</v>
      </c>
      <c r="DJ238" s="53" t="e">
        <v>#N/A</v>
      </c>
    </row>
    <row r="239" spans="3:114" s="53" customFormat="1" ht="12.75">
      <c r="C239" s="80"/>
      <c r="E239" s="48"/>
      <c r="K239" s="48"/>
      <c r="M239" s="53" t="s">
        <v>30</v>
      </c>
      <c r="N239" s="53" t="s">
        <v>31</v>
      </c>
      <c r="O239" s="53" t="str">
        <f t="shared" si="44"/>
        <v>click</v>
      </c>
      <c r="P239" s="53" t="str">
        <f t="shared" si="41"/>
        <v>();</v>
      </c>
      <c r="Q239" s="53" t="str">
        <f t="shared" si="45"/>
        <v/>
      </c>
      <c r="R239" s="53" t="str">
        <f t="shared" si="38"/>
        <v/>
      </c>
      <c r="S239" s="53" t="str">
        <f t="shared" si="46"/>
        <v/>
      </c>
      <c r="CU239" s="53" t="e">
        <v>#N/A</v>
      </c>
      <c r="CV239" s="53" t="e">
        <v>#N/A</v>
      </c>
      <c r="CW239" s="53" t="e">
        <v>#N/A</v>
      </c>
      <c r="CX239" s="53" t="e">
        <v>#N/A</v>
      </c>
      <c r="CY239" s="53" t="e">
        <v>#N/A</v>
      </c>
      <c r="DE239" s="53" t="e">
        <v>#N/A</v>
      </c>
      <c r="DF239" s="53" t="e">
        <v>#N/A</v>
      </c>
      <c r="DG239" s="53" t="e">
        <v>#N/A</v>
      </c>
      <c r="DH239" s="53" t="e">
        <v>#N/A</v>
      </c>
      <c r="DI239" s="53" t="e">
        <v>#N/A</v>
      </c>
      <c r="DJ239" s="53" t="e">
        <v>#N/A</v>
      </c>
    </row>
    <row r="240" spans="3:114" s="53" customFormat="1" ht="12.75">
      <c r="C240" s="80"/>
      <c r="E240" s="48"/>
      <c r="K240" s="48"/>
      <c r="M240" s="53" t="s">
        <v>30</v>
      </c>
      <c r="N240" s="53" t="s">
        <v>31</v>
      </c>
      <c r="O240" s="53" t="str">
        <f t="shared" si="44"/>
        <v>click</v>
      </c>
      <c r="P240" s="53" t="str">
        <f t="shared" si="41"/>
        <v>();</v>
      </c>
      <c r="Q240" s="53" t="str">
        <f t="shared" si="45"/>
        <v/>
      </c>
      <c r="R240" s="53" t="str">
        <f t="shared" si="38"/>
        <v/>
      </c>
      <c r="S240" s="53" t="str">
        <f t="shared" si="46"/>
        <v/>
      </c>
      <c r="CU240" s="53" t="e">
        <v>#N/A</v>
      </c>
      <c r="CV240" s="53" t="e">
        <v>#N/A</v>
      </c>
      <c r="CW240" s="53" t="e">
        <v>#N/A</v>
      </c>
      <c r="CX240" s="53" t="e">
        <v>#N/A</v>
      </c>
      <c r="CY240" s="53" t="e">
        <v>#N/A</v>
      </c>
      <c r="DE240" s="53" t="e">
        <v>#N/A</v>
      </c>
      <c r="DF240" s="53" t="e">
        <v>#N/A</v>
      </c>
      <c r="DG240" s="53" t="e">
        <v>#N/A</v>
      </c>
      <c r="DH240" s="53" t="e">
        <v>#N/A</v>
      </c>
      <c r="DI240" s="53" t="e">
        <v>#N/A</v>
      </c>
      <c r="DJ240" s="53" t="e">
        <v>#N/A</v>
      </c>
    </row>
    <row r="241" spans="3:114" s="53" customFormat="1" ht="12.75">
      <c r="C241" s="80"/>
      <c r="E241" s="48"/>
      <c r="K241" s="48"/>
      <c r="M241" s="53" t="s">
        <v>30</v>
      </c>
      <c r="N241" s="53" t="s">
        <v>31</v>
      </c>
      <c r="O241" s="53" t="str">
        <f t="shared" si="44"/>
        <v>click</v>
      </c>
      <c r="P241" s="53" t="str">
        <f t="shared" si="41"/>
        <v>();</v>
      </c>
      <c r="Q241" s="53" t="str">
        <f t="shared" si="45"/>
        <v/>
      </c>
      <c r="R241" s="53" t="str">
        <f t="shared" si="38"/>
        <v/>
      </c>
      <c r="S241" s="53" t="str">
        <f t="shared" si="46"/>
        <v/>
      </c>
      <c r="CU241" s="53" t="e">
        <v>#N/A</v>
      </c>
      <c r="CV241" s="53" t="e">
        <v>#N/A</v>
      </c>
      <c r="CW241" s="53" t="e">
        <v>#N/A</v>
      </c>
      <c r="CX241" s="53" t="e">
        <v>#N/A</v>
      </c>
      <c r="CY241" s="53" t="e">
        <v>#N/A</v>
      </c>
      <c r="DE241" s="53" t="e">
        <v>#N/A</v>
      </c>
      <c r="DF241" s="53" t="e">
        <v>#N/A</v>
      </c>
      <c r="DG241" s="53" t="e">
        <v>#N/A</v>
      </c>
      <c r="DH241" s="53" t="e">
        <v>#N/A</v>
      </c>
      <c r="DI241" s="53" t="e">
        <v>#N/A</v>
      </c>
      <c r="DJ241" s="53" t="e">
        <v>#N/A</v>
      </c>
    </row>
    <row r="242" spans="3:114" s="53" customFormat="1" ht="12.75">
      <c r="C242" s="80"/>
      <c r="E242" s="48"/>
      <c r="K242" s="48"/>
      <c r="M242" s="53" t="s">
        <v>30</v>
      </c>
      <c r="N242" s="53" t="s">
        <v>31</v>
      </c>
      <c r="O242" s="53" t="str">
        <f t="shared" si="44"/>
        <v>click</v>
      </c>
      <c r="P242" s="53" t="str">
        <f t="shared" si="41"/>
        <v>();</v>
      </c>
      <c r="Q242" s="53" t="str">
        <f t="shared" si="45"/>
        <v/>
      </c>
      <c r="R242" s="53" t="str">
        <f t="shared" si="38"/>
        <v/>
      </c>
      <c r="S242" s="53" t="str">
        <f t="shared" si="46"/>
        <v/>
      </c>
      <c r="CU242" s="53" t="e">
        <v>#N/A</v>
      </c>
      <c r="CV242" s="53" t="e">
        <v>#N/A</v>
      </c>
      <c r="CW242" s="53" t="e">
        <v>#N/A</v>
      </c>
      <c r="CX242" s="53" t="e">
        <v>#N/A</v>
      </c>
      <c r="CY242" s="53" t="e">
        <v>#N/A</v>
      </c>
      <c r="DE242" s="53" t="e">
        <v>#N/A</v>
      </c>
      <c r="DF242" s="53" t="e">
        <v>#N/A</v>
      </c>
      <c r="DG242" s="53" t="e">
        <v>#N/A</v>
      </c>
      <c r="DH242" s="53" t="e">
        <v>#N/A</v>
      </c>
      <c r="DI242" s="53" t="e">
        <v>#N/A</v>
      </c>
      <c r="DJ242" s="53" t="e">
        <v>#N/A</v>
      </c>
    </row>
    <row r="243" spans="3:114" s="53" customFormat="1" ht="12.75">
      <c r="C243" s="80"/>
      <c r="E243" s="48"/>
      <c r="K243" s="48"/>
      <c r="M243" s="53" t="s">
        <v>30</v>
      </c>
      <c r="N243" s="53" t="s">
        <v>31</v>
      </c>
      <c r="O243" s="53" t="str">
        <f t="shared" si="44"/>
        <v>click</v>
      </c>
      <c r="P243" s="53" t="str">
        <f t="shared" si="41"/>
        <v>();</v>
      </c>
      <c r="Q243" s="53" t="str">
        <f t="shared" si="45"/>
        <v/>
      </c>
      <c r="R243" s="53" t="str">
        <f t="shared" si="38"/>
        <v/>
      </c>
      <c r="S243" s="53" t="str">
        <f t="shared" si="46"/>
        <v/>
      </c>
      <c r="CU243" s="53" t="e">
        <v>#N/A</v>
      </c>
      <c r="CV243" s="53" t="e">
        <v>#N/A</v>
      </c>
      <c r="CW243" s="53" t="e">
        <v>#N/A</v>
      </c>
      <c r="CX243" s="53" t="e">
        <v>#N/A</v>
      </c>
      <c r="CY243" s="53" t="e">
        <v>#N/A</v>
      </c>
      <c r="DE243" s="53" t="e">
        <v>#N/A</v>
      </c>
      <c r="DF243" s="53" t="e">
        <v>#N/A</v>
      </c>
      <c r="DG243" s="53" t="e">
        <v>#N/A</v>
      </c>
      <c r="DH243" s="53" t="e">
        <v>#N/A</v>
      </c>
      <c r="DI243" s="53" t="e">
        <v>#N/A</v>
      </c>
      <c r="DJ243" s="53" t="e">
        <v>#N/A</v>
      </c>
    </row>
    <row r="244" spans="3:114" s="53" customFormat="1" ht="12.75">
      <c r="C244" s="80"/>
      <c r="E244" s="48"/>
      <c r="K244" s="48"/>
      <c r="M244" s="53" t="s">
        <v>30</v>
      </c>
      <c r="N244" s="53" t="s">
        <v>31</v>
      </c>
      <c r="O244" s="53" t="str">
        <f t="shared" si="44"/>
        <v>click</v>
      </c>
      <c r="P244" s="53" t="str">
        <f t="shared" si="41"/>
        <v>();</v>
      </c>
      <c r="Q244" s="53" t="str">
        <f t="shared" si="45"/>
        <v/>
      </c>
      <c r="R244" s="53" t="str">
        <f t="shared" si="38"/>
        <v/>
      </c>
      <c r="S244" s="53" t="str">
        <f t="shared" si="46"/>
        <v/>
      </c>
      <c r="CU244" s="53" t="e">
        <v>#N/A</v>
      </c>
      <c r="CV244" s="53" t="e">
        <v>#N/A</v>
      </c>
      <c r="CW244" s="53" t="e">
        <v>#N/A</v>
      </c>
      <c r="CX244" s="53" t="e">
        <v>#N/A</v>
      </c>
      <c r="CY244" s="53" t="e">
        <v>#N/A</v>
      </c>
      <c r="DE244" s="53" t="e">
        <v>#N/A</v>
      </c>
      <c r="DF244" s="53" t="e">
        <v>#N/A</v>
      </c>
      <c r="DG244" s="53" t="e">
        <v>#N/A</v>
      </c>
      <c r="DH244" s="53" t="e">
        <v>#N/A</v>
      </c>
      <c r="DI244" s="53" t="e">
        <v>#N/A</v>
      </c>
      <c r="DJ244" s="53" t="e">
        <v>#N/A</v>
      </c>
    </row>
    <row r="245" spans="3:114" s="53" customFormat="1" ht="12.75">
      <c r="C245" s="80"/>
      <c r="E245" s="48"/>
      <c r="K245" s="48"/>
      <c r="M245" s="53" t="s">
        <v>30</v>
      </c>
      <c r="N245" s="53" t="s">
        <v>31</v>
      </c>
      <c r="O245" s="53" t="str">
        <f t="shared" si="44"/>
        <v>click</v>
      </c>
      <c r="P245" s="53" t="str">
        <f t="shared" si="41"/>
        <v>();</v>
      </c>
      <c r="Q245" s="53" t="str">
        <f t="shared" si="45"/>
        <v/>
      </c>
      <c r="R245" s="53" t="str">
        <f t="shared" si="38"/>
        <v/>
      </c>
      <c r="S245" s="53" t="str">
        <f t="shared" si="46"/>
        <v/>
      </c>
      <c r="CU245" s="53" t="e">
        <v>#N/A</v>
      </c>
      <c r="CV245" s="53" t="e">
        <v>#N/A</v>
      </c>
      <c r="CW245" s="53" t="e">
        <v>#N/A</v>
      </c>
      <c r="CX245" s="53" t="e">
        <v>#N/A</v>
      </c>
      <c r="CY245" s="53" t="e">
        <v>#N/A</v>
      </c>
      <c r="DE245" s="53" t="e">
        <v>#N/A</v>
      </c>
      <c r="DF245" s="53" t="e">
        <v>#N/A</v>
      </c>
      <c r="DG245" s="53" t="e">
        <v>#N/A</v>
      </c>
      <c r="DH245" s="53" t="e">
        <v>#N/A</v>
      </c>
      <c r="DI245" s="53" t="e">
        <v>#N/A</v>
      </c>
      <c r="DJ245" s="53" t="e">
        <v>#N/A</v>
      </c>
    </row>
    <row r="246" spans="3:114" s="53" customFormat="1" ht="12.75">
      <c r="C246" s="80"/>
      <c r="E246" s="48"/>
      <c r="K246" s="48"/>
      <c r="M246" s="53" t="s">
        <v>30</v>
      </c>
      <c r="N246" s="53" t="s">
        <v>31</v>
      </c>
      <c r="O246" s="53" t="str">
        <f t="shared" si="44"/>
        <v>click</v>
      </c>
      <c r="P246" s="53" t="str">
        <f t="shared" si="41"/>
        <v>();</v>
      </c>
      <c r="Q246" s="53" t="str">
        <f t="shared" si="45"/>
        <v/>
      </c>
      <c r="R246" s="53" t="str">
        <f t="shared" si="38"/>
        <v/>
      </c>
      <c r="S246" s="53" t="str">
        <f t="shared" si="46"/>
        <v/>
      </c>
      <c r="CU246" s="53" t="e">
        <v>#N/A</v>
      </c>
      <c r="CV246" s="53" t="e">
        <v>#N/A</v>
      </c>
      <c r="CW246" s="53" t="e">
        <v>#N/A</v>
      </c>
      <c r="CX246" s="53" t="e">
        <v>#N/A</v>
      </c>
      <c r="CY246" s="53" t="e">
        <v>#N/A</v>
      </c>
      <c r="DE246" s="53" t="e">
        <v>#N/A</v>
      </c>
      <c r="DF246" s="53" t="e">
        <v>#N/A</v>
      </c>
      <c r="DG246" s="53" t="e">
        <v>#N/A</v>
      </c>
      <c r="DH246" s="53" t="e">
        <v>#N/A</v>
      </c>
      <c r="DI246" s="53" t="e">
        <v>#N/A</v>
      </c>
      <c r="DJ246" s="53" t="e">
        <v>#N/A</v>
      </c>
    </row>
    <row r="247" spans="3:114" s="53" customFormat="1" ht="12.75">
      <c r="C247" s="80"/>
      <c r="E247" s="48"/>
      <c r="K247" s="48"/>
      <c r="M247" s="53" t="s">
        <v>30</v>
      </c>
      <c r="N247" s="53" t="s">
        <v>31</v>
      </c>
      <c r="O247" s="53" t="str">
        <f t="shared" si="44"/>
        <v>click</v>
      </c>
      <c r="P247" s="53" t="str">
        <f t="shared" si="41"/>
        <v>();</v>
      </c>
      <c r="Q247" s="53" t="str">
        <f t="shared" si="45"/>
        <v/>
      </c>
      <c r="R247" s="53" t="str">
        <f t="shared" si="38"/>
        <v/>
      </c>
      <c r="S247" s="53" t="str">
        <f t="shared" si="46"/>
        <v/>
      </c>
      <c r="CU247" s="53" t="e">
        <v>#N/A</v>
      </c>
      <c r="CV247" s="53" t="e">
        <v>#N/A</v>
      </c>
      <c r="CW247" s="53" t="e">
        <v>#N/A</v>
      </c>
      <c r="CX247" s="53" t="e">
        <v>#N/A</v>
      </c>
      <c r="CY247" s="53" t="e">
        <v>#N/A</v>
      </c>
      <c r="DE247" s="53" t="e">
        <v>#N/A</v>
      </c>
      <c r="DF247" s="53" t="e">
        <v>#N/A</v>
      </c>
      <c r="DG247" s="53" t="e">
        <v>#N/A</v>
      </c>
      <c r="DH247" s="53" t="e">
        <v>#N/A</v>
      </c>
      <c r="DI247" s="53" t="e">
        <v>#N/A</v>
      </c>
      <c r="DJ247" s="53" t="e">
        <v>#N/A</v>
      </c>
    </row>
    <row r="248" spans="3:114" s="53" customFormat="1" ht="12.75">
      <c r="C248" s="80"/>
      <c r="E248" s="48"/>
      <c r="K248" s="48"/>
      <c r="M248" s="53" t="s">
        <v>30</v>
      </c>
      <c r="N248" s="53" t="s">
        <v>31</v>
      </c>
      <c r="O248" s="53" t="str">
        <f t="shared" si="44"/>
        <v>click</v>
      </c>
      <c r="P248" s="53" t="str">
        <f t="shared" si="41"/>
        <v>();</v>
      </c>
      <c r="Q248" s="53" t="str">
        <f t="shared" si="45"/>
        <v/>
      </c>
      <c r="R248" s="53" t="str">
        <f t="shared" si="38"/>
        <v/>
      </c>
      <c r="S248" s="53" t="str">
        <f t="shared" si="46"/>
        <v/>
      </c>
      <c r="CU248" s="53" t="e">
        <v>#N/A</v>
      </c>
      <c r="CV248" s="53" t="e">
        <v>#N/A</v>
      </c>
      <c r="CW248" s="53" t="e">
        <v>#N/A</v>
      </c>
      <c r="CX248" s="53" t="e">
        <v>#N/A</v>
      </c>
      <c r="CY248" s="53" t="e">
        <v>#N/A</v>
      </c>
      <c r="DE248" s="53" t="e">
        <v>#N/A</v>
      </c>
      <c r="DF248" s="53" t="e">
        <v>#N/A</v>
      </c>
      <c r="DG248" s="53" t="e">
        <v>#N/A</v>
      </c>
      <c r="DH248" s="53" t="e">
        <v>#N/A</v>
      </c>
      <c r="DI248" s="53" t="e">
        <v>#N/A</v>
      </c>
      <c r="DJ248" s="53" t="e">
        <v>#N/A</v>
      </c>
    </row>
    <row r="249" spans="3:114" s="53" customFormat="1" ht="12.75">
      <c r="C249" s="80"/>
      <c r="E249" s="48"/>
      <c r="K249" s="48"/>
      <c r="M249" s="53" t="s">
        <v>30</v>
      </c>
      <c r="N249" s="53" t="s">
        <v>31</v>
      </c>
      <c r="O249" s="53" t="str">
        <f t="shared" si="44"/>
        <v>click</v>
      </c>
      <c r="P249" s="53" t="str">
        <f t="shared" si="41"/>
        <v>();</v>
      </c>
      <c r="Q249" s="53" t="str">
        <f t="shared" si="45"/>
        <v/>
      </c>
      <c r="R249" s="53" t="str">
        <f t="shared" si="38"/>
        <v/>
      </c>
      <c r="S249" s="53" t="str">
        <f t="shared" si="46"/>
        <v/>
      </c>
      <c r="CU249" s="53" t="e">
        <v>#N/A</v>
      </c>
      <c r="CV249" s="53" t="e">
        <v>#N/A</v>
      </c>
      <c r="CW249" s="53" t="e">
        <v>#N/A</v>
      </c>
      <c r="CX249" s="53" t="e">
        <v>#N/A</v>
      </c>
      <c r="CY249" s="53" t="e">
        <v>#N/A</v>
      </c>
      <c r="DE249" s="53" t="e">
        <v>#N/A</v>
      </c>
      <c r="DF249" s="53" t="e">
        <v>#N/A</v>
      </c>
      <c r="DG249" s="53" t="e">
        <v>#N/A</v>
      </c>
      <c r="DH249" s="53" t="e">
        <v>#N/A</v>
      </c>
      <c r="DI249" s="53" t="e">
        <v>#N/A</v>
      </c>
      <c r="DJ249" s="53" t="e">
        <v>#N/A</v>
      </c>
    </row>
    <row r="250" spans="3:114" s="53" customFormat="1" ht="12.75">
      <c r="C250" s="80"/>
      <c r="E250" s="48"/>
      <c r="K250" s="48"/>
      <c r="M250" s="53" t="s">
        <v>30</v>
      </c>
      <c r="N250" s="53" t="s">
        <v>31</v>
      </c>
      <c r="O250" s="53" t="str">
        <f t="shared" si="44"/>
        <v>click</v>
      </c>
      <c r="P250" s="53" t="str">
        <f t="shared" si="41"/>
        <v>();</v>
      </c>
      <c r="Q250" s="53" t="str">
        <f t="shared" si="45"/>
        <v/>
      </c>
      <c r="R250" s="53" t="str">
        <f t="shared" si="38"/>
        <v/>
      </c>
      <c r="S250" s="53" t="str">
        <f t="shared" si="46"/>
        <v/>
      </c>
      <c r="CU250" s="53" t="e">
        <v>#N/A</v>
      </c>
      <c r="CV250" s="53" t="e">
        <v>#N/A</v>
      </c>
      <c r="CW250" s="53" t="e">
        <v>#N/A</v>
      </c>
      <c r="CX250" s="53" t="e">
        <v>#N/A</v>
      </c>
      <c r="CY250" s="53" t="e">
        <v>#N/A</v>
      </c>
      <c r="DE250" s="53" t="e">
        <v>#N/A</v>
      </c>
      <c r="DF250" s="53" t="e">
        <v>#N/A</v>
      </c>
      <c r="DG250" s="53" t="e">
        <v>#N/A</v>
      </c>
      <c r="DH250" s="53" t="e">
        <v>#N/A</v>
      </c>
      <c r="DI250" s="53" t="e">
        <v>#N/A</v>
      </c>
      <c r="DJ250" s="53" t="e">
        <v>#N/A</v>
      </c>
    </row>
    <row r="251" spans="3:114" s="53" customFormat="1" ht="12.75">
      <c r="C251" s="80"/>
      <c r="E251" s="48"/>
      <c r="K251" s="48"/>
      <c r="M251" s="53" t="s">
        <v>30</v>
      </c>
      <c r="N251" s="53" t="s">
        <v>31</v>
      </c>
      <c r="O251" s="53" t="str">
        <f t="shared" si="44"/>
        <v>click</v>
      </c>
      <c r="P251" s="53" t="str">
        <f t="shared" si="41"/>
        <v>();</v>
      </c>
      <c r="Q251" s="53" t="str">
        <f t="shared" si="45"/>
        <v/>
      </c>
      <c r="R251" s="53" t="str">
        <f t="shared" si="38"/>
        <v/>
      </c>
      <c r="S251" s="53" t="str">
        <f t="shared" si="46"/>
        <v/>
      </c>
      <c r="CU251" s="53" t="e">
        <v>#N/A</v>
      </c>
      <c r="CV251" s="53" t="e">
        <v>#N/A</v>
      </c>
      <c r="CW251" s="53" t="e">
        <v>#N/A</v>
      </c>
      <c r="CX251" s="53" t="e">
        <v>#N/A</v>
      </c>
      <c r="CY251" s="53" t="e">
        <v>#N/A</v>
      </c>
      <c r="DE251" s="53" t="e">
        <v>#N/A</v>
      </c>
      <c r="DF251" s="53" t="e">
        <v>#N/A</v>
      </c>
      <c r="DG251" s="53" t="e">
        <v>#N/A</v>
      </c>
      <c r="DH251" s="53" t="e">
        <v>#N/A</v>
      </c>
      <c r="DI251" s="53" t="e">
        <v>#N/A</v>
      </c>
      <c r="DJ251" s="53" t="e">
        <v>#N/A</v>
      </c>
    </row>
    <row r="252" spans="3:114" s="53" customFormat="1" ht="12.75">
      <c r="C252" s="80"/>
      <c r="E252" s="48"/>
      <c r="K252" s="48"/>
      <c r="M252" s="53" t="s">
        <v>30</v>
      </c>
      <c r="N252" s="53" t="s">
        <v>31</v>
      </c>
      <c r="O252" s="53" t="str">
        <f t="shared" si="44"/>
        <v>click</v>
      </c>
      <c r="P252" s="53" t="str">
        <f t="shared" si="41"/>
        <v>();</v>
      </c>
      <c r="Q252" s="53" t="str">
        <f t="shared" si="45"/>
        <v/>
      </c>
      <c r="R252" s="53" t="str">
        <f t="shared" si="38"/>
        <v/>
      </c>
      <c r="S252" s="53" t="str">
        <f t="shared" si="46"/>
        <v/>
      </c>
      <c r="CU252" s="53" t="e">
        <v>#N/A</v>
      </c>
      <c r="CV252" s="53" t="e">
        <v>#N/A</v>
      </c>
      <c r="CW252" s="53" t="e">
        <v>#N/A</v>
      </c>
      <c r="CX252" s="53" t="e">
        <v>#N/A</v>
      </c>
      <c r="CY252" s="53" t="e">
        <v>#N/A</v>
      </c>
      <c r="DE252" s="53" t="e">
        <v>#N/A</v>
      </c>
      <c r="DF252" s="53" t="e">
        <v>#N/A</v>
      </c>
      <c r="DG252" s="53" t="e">
        <v>#N/A</v>
      </c>
      <c r="DH252" s="53" t="e">
        <v>#N/A</v>
      </c>
      <c r="DI252" s="53" t="e">
        <v>#N/A</v>
      </c>
      <c r="DJ252" s="53" t="e">
        <v>#N/A</v>
      </c>
    </row>
    <row r="253" spans="3:114" s="53" customFormat="1" ht="12.75">
      <c r="C253" s="80"/>
      <c r="E253" s="48"/>
      <c r="K253" s="48"/>
      <c r="M253" s="53" t="s">
        <v>30</v>
      </c>
      <c r="N253" s="53" t="s">
        <v>31</v>
      </c>
      <c r="O253" s="53" t="str">
        <f t="shared" si="44"/>
        <v>click</v>
      </c>
      <c r="P253" s="53" t="str">
        <f t="shared" si="41"/>
        <v>();</v>
      </c>
      <c r="Q253" s="53" t="str">
        <f t="shared" si="45"/>
        <v/>
      </c>
      <c r="R253" s="53" t="str">
        <f t="shared" si="38"/>
        <v/>
      </c>
      <c r="S253" s="53" t="str">
        <f t="shared" si="46"/>
        <v/>
      </c>
      <c r="CU253" s="53" t="e">
        <v>#N/A</v>
      </c>
      <c r="CV253" s="53" t="e">
        <v>#N/A</v>
      </c>
      <c r="CW253" s="53" t="e">
        <v>#N/A</v>
      </c>
      <c r="CX253" s="53" t="e">
        <v>#N/A</v>
      </c>
      <c r="CY253" s="53" t="e">
        <v>#N/A</v>
      </c>
      <c r="DE253" s="53" t="e">
        <v>#N/A</v>
      </c>
      <c r="DF253" s="53" t="e">
        <v>#N/A</v>
      </c>
      <c r="DG253" s="53" t="e">
        <v>#N/A</v>
      </c>
      <c r="DH253" s="53" t="e">
        <v>#N/A</v>
      </c>
      <c r="DI253" s="53" t="e">
        <v>#N/A</v>
      </c>
      <c r="DJ253" s="53" t="e">
        <v>#N/A</v>
      </c>
    </row>
    <row r="254" spans="3:114" s="53" customFormat="1" ht="12.75">
      <c r="C254" s="80"/>
      <c r="E254" s="48"/>
      <c r="K254" s="48"/>
      <c r="M254" s="53" t="s">
        <v>30</v>
      </c>
      <c r="N254" s="53" t="s">
        <v>31</v>
      </c>
      <c r="O254" s="53" t="str">
        <f t="shared" si="44"/>
        <v>click</v>
      </c>
      <c r="P254" s="53" t="str">
        <f t="shared" si="41"/>
        <v>();</v>
      </c>
      <c r="Q254" s="53" t="str">
        <f t="shared" si="45"/>
        <v/>
      </c>
      <c r="R254" s="53" t="str">
        <f t="shared" si="38"/>
        <v/>
      </c>
      <c r="S254" s="53" t="str">
        <f t="shared" si="46"/>
        <v/>
      </c>
      <c r="CU254" s="53" t="e">
        <v>#N/A</v>
      </c>
      <c r="CV254" s="53" t="e">
        <v>#N/A</v>
      </c>
      <c r="CW254" s="53" t="e">
        <v>#N/A</v>
      </c>
      <c r="CX254" s="53" t="e">
        <v>#N/A</v>
      </c>
      <c r="CY254" s="53" t="e">
        <v>#N/A</v>
      </c>
      <c r="DE254" s="53" t="e">
        <v>#N/A</v>
      </c>
      <c r="DF254" s="53" t="e">
        <v>#N/A</v>
      </c>
      <c r="DG254" s="53" t="e">
        <v>#N/A</v>
      </c>
      <c r="DH254" s="53" t="e">
        <v>#N/A</v>
      </c>
      <c r="DI254" s="53" t="e">
        <v>#N/A</v>
      </c>
      <c r="DJ254" s="53" t="e">
        <v>#N/A</v>
      </c>
    </row>
    <row r="255" spans="3:114" s="53" customFormat="1" ht="12.75">
      <c r="C255" s="80"/>
      <c r="E255" s="48"/>
      <c r="K255" s="48"/>
      <c r="M255" s="53" t="s">
        <v>30</v>
      </c>
      <c r="N255" s="53" t="s">
        <v>31</v>
      </c>
      <c r="O255" s="53" t="str">
        <f t="shared" si="44"/>
        <v>click</v>
      </c>
      <c r="P255" s="53" t="str">
        <f t="shared" si="41"/>
        <v>();</v>
      </c>
      <c r="Q255" s="53" t="str">
        <f t="shared" si="45"/>
        <v/>
      </c>
      <c r="R255" s="53" t="str">
        <f t="shared" ref="R255:R318" si="47">IF(C255="Y",""""&amp;E255&amp;""""&amp;":"&amp;Q255&amp;",","")</f>
        <v/>
      </c>
      <c r="S255" s="53" t="str">
        <f t="shared" si="46"/>
        <v/>
      </c>
      <c r="CU255" s="53" t="e">
        <v>#N/A</v>
      </c>
      <c r="CV255" s="53" t="e">
        <v>#N/A</v>
      </c>
      <c r="CW255" s="53" t="e">
        <v>#N/A</v>
      </c>
      <c r="CX255" s="53" t="e">
        <v>#N/A</v>
      </c>
      <c r="CY255" s="53" t="e">
        <v>#N/A</v>
      </c>
      <c r="DE255" s="53" t="e">
        <v>#N/A</v>
      </c>
      <c r="DF255" s="53" t="e">
        <v>#N/A</v>
      </c>
      <c r="DG255" s="53" t="e">
        <v>#N/A</v>
      </c>
      <c r="DH255" s="53" t="e">
        <v>#N/A</v>
      </c>
      <c r="DI255" s="53" t="e">
        <v>#N/A</v>
      </c>
      <c r="DJ255" s="53" t="e">
        <v>#N/A</v>
      </c>
    </row>
    <row r="256" spans="3:114" s="53" customFormat="1" ht="12.75">
      <c r="C256" s="80"/>
      <c r="E256" s="48"/>
      <c r="K256" s="48"/>
      <c r="M256" s="53" t="s">
        <v>30</v>
      </c>
      <c r="N256" s="53" t="s">
        <v>31</v>
      </c>
      <c r="O256" s="53" t="str">
        <f t="shared" si="44"/>
        <v>click</v>
      </c>
      <c r="P256" s="53" t="str">
        <f t="shared" si="41"/>
        <v>();</v>
      </c>
      <c r="Q256" s="53" t="str">
        <f t="shared" si="45"/>
        <v/>
      </c>
      <c r="R256" s="53" t="str">
        <f t="shared" si="47"/>
        <v/>
      </c>
      <c r="S256" s="53" t="str">
        <f t="shared" si="46"/>
        <v/>
      </c>
      <c r="CU256" s="53" t="e">
        <v>#N/A</v>
      </c>
      <c r="CV256" s="53" t="e">
        <v>#N/A</v>
      </c>
      <c r="CW256" s="53" t="e">
        <v>#N/A</v>
      </c>
      <c r="CX256" s="53" t="e">
        <v>#N/A</v>
      </c>
      <c r="CY256" s="53" t="e">
        <v>#N/A</v>
      </c>
      <c r="DE256" s="53" t="e">
        <v>#N/A</v>
      </c>
      <c r="DF256" s="53" t="e">
        <v>#N/A</v>
      </c>
      <c r="DG256" s="53" t="e">
        <v>#N/A</v>
      </c>
      <c r="DH256" s="53" t="e">
        <v>#N/A</v>
      </c>
      <c r="DI256" s="53" t="e">
        <v>#N/A</v>
      </c>
      <c r="DJ256" s="53" t="e">
        <v>#N/A</v>
      </c>
    </row>
    <row r="257" spans="3:114" s="53" customFormat="1" ht="12.75">
      <c r="C257" s="80"/>
      <c r="E257" s="48"/>
      <c r="K257" s="48"/>
      <c r="M257" s="53" t="s">
        <v>30</v>
      </c>
      <c r="N257" s="53" t="s">
        <v>31</v>
      </c>
      <c r="O257" s="53" t="str">
        <f t="shared" si="44"/>
        <v>click</v>
      </c>
      <c r="P257" s="53" t="str">
        <f t="shared" si="41"/>
        <v>();</v>
      </c>
      <c r="Q257" s="53" t="str">
        <f t="shared" si="45"/>
        <v/>
      </c>
      <c r="R257" s="53" t="str">
        <f t="shared" si="47"/>
        <v/>
      </c>
      <c r="S257" s="53" t="str">
        <f t="shared" si="46"/>
        <v/>
      </c>
      <c r="CU257" s="53" t="e">
        <v>#N/A</v>
      </c>
      <c r="CV257" s="53" t="e">
        <v>#N/A</v>
      </c>
      <c r="CW257" s="53" t="e">
        <v>#N/A</v>
      </c>
      <c r="CX257" s="53" t="e">
        <v>#N/A</v>
      </c>
      <c r="CY257" s="53" t="e">
        <v>#N/A</v>
      </c>
      <c r="DE257" s="53" t="e">
        <v>#N/A</v>
      </c>
      <c r="DF257" s="53" t="e">
        <v>#N/A</v>
      </c>
      <c r="DG257" s="53" t="e">
        <v>#N/A</v>
      </c>
      <c r="DH257" s="53" t="e">
        <v>#N/A</v>
      </c>
      <c r="DI257" s="53" t="e">
        <v>#N/A</v>
      </c>
      <c r="DJ257" s="53" t="e">
        <v>#N/A</v>
      </c>
    </row>
    <row r="258" spans="3:114" s="53" customFormat="1" ht="12.75">
      <c r="C258" s="80"/>
      <c r="E258" s="48"/>
      <c r="K258" s="48"/>
      <c r="M258" s="53" t="s">
        <v>30</v>
      </c>
      <c r="N258" s="53" t="s">
        <v>31</v>
      </c>
      <c r="O258" s="53" t="str">
        <f t="shared" si="44"/>
        <v>click</v>
      </c>
      <c r="P258" s="53" t="str">
        <f t="shared" si="41"/>
        <v>();</v>
      </c>
      <c r="Q258" s="53" t="str">
        <f t="shared" si="45"/>
        <v/>
      </c>
      <c r="R258" s="53" t="str">
        <f t="shared" si="47"/>
        <v/>
      </c>
      <c r="S258" s="53" t="str">
        <f t="shared" si="46"/>
        <v/>
      </c>
      <c r="CU258" s="53" t="e">
        <v>#N/A</v>
      </c>
      <c r="CV258" s="53" t="e">
        <v>#N/A</v>
      </c>
      <c r="CW258" s="53" t="e">
        <v>#N/A</v>
      </c>
      <c r="CX258" s="53" t="e">
        <v>#N/A</v>
      </c>
      <c r="CY258" s="53" t="e">
        <v>#N/A</v>
      </c>
      <c r="DE258" s="53" t="e">
        <v>#N/A</v>
      </c>
      <c r="DF258" s="53" t="e">
        <v>#N/A</v>
      </c>
      <c r="DG258" s="53" t="e">
        <v>#N/A</v>
      </c>
      <c r="DH258" s="53" t="e">
        <v>#N/A</v>
      </c>
      <c r="DI258" s="53" t="e">
        <v>#N/A</v>
      </c>
      <c r="DJ258" s="53" t="e">
        <v>#N/A</v>
      </c>
    </row>
    <row r="259" spans="3:114" s="53" customFormat="1" ht="12.75">
      <c r="C259" s="80"/>
      <c r="E259" s="48"/>
      <c r="K259" s="48"/>
      <c r="M259" s="53" t="s">
        <v>30</v>
      </c>
      <c r="N259" s="53" t="s">
        <v>31</v>
      </c>
      <c r="O259" s="53" t="str">
        <f t="shared" si="44"/>
        <v>click</v>
      </c>
      <c r="P259" s="53" t="str">
        <f t="shared" si="41"/>
        <v>();</v>
      </c>
      <c r="Q259" s="53" t="str">
        <f t="shared" si="45"/>
        <v/>
      </c>
      <c r="R259" s="53" t="str">
        <f t="shared" si="47"/>
        <v/>
      </c>
      <c r="S259" s="53" t="str">
        <f t="shared" si="46"/>
        <v/>
      </c>
      <c r="CU259" s="53" t="e">
        <v>#N/A</v>
      </c>
      <c r="CV259" s="53" t="e">
        <v>#N/A</v>
      </c>
      <c r="CW259" s="53" t="e">
        <v>#N/A</v>
      </c>
      <c r="CX259" s="53" t="e">
        <v>#N/A</v>
      </c>
      <c r="CY259" s="53" t="e">
        <v>#N/A</v>
      </c>
      <c r="DE259" s="53" t="e">
        <v>#N/A</v>
      </c>
      <c r="DF259" s="53" t="e">
        <v>#N/A</v>
      </c>
      <c r="DG259" s="53" t="e">
        <v>#N/A</v>
      </c>
      <c r="DH259" s="53" t="e">
        <v>#N/A</v>
      </c>
      <c r="DI259" s="53" t="e">
        <v>#N/A</v>
      </c>
      <c r="DJ259" s="53" t="e">
        <v>#N/A</v>
      </c>
    </row>
    <row r="260" spans="3:114" s="53" customFormat="1" ht="12.75">
      <c r="C260" s="80"/>
      <c r="E260" s="48"/>
      <c r="K260" s="48"/>
      <c r="M260" s="53" t="s">
        <v>30</v>
      </c>
      <c r="N260" s="53" t="s">
        <v>31</v>
      </c>
      <c r="O260" s="53" t="str">
        <f t="shared" si="44"/>
        <v>click</v>
      </c>
      <c r="P260" s="53" t="str">
        <f t="shared" si="41"/>
        <v>();</v>
      </c>
      <c r="Q260" s="53" t="str">
        <f t="shared" si="45"/>
        <v/>
      </c>
      <c r="R260" s="53" t="str">
        <f t="shared" si="47"/>
        <v/>
      </c>
      <c r="S260" s="53" t="str">
        <f t="shared" si="46"/>
        <v/>
      </c>
      <c r="CU260" s="53" t="e">
        <v>#N/A</v>
      </c>
      <c r="CV260" s="53" t="e">
        <v>#N/A</v>
      </c>
      <c r="CW260" s="53" t="e">
        <v>#N/A</v>
      </c>
      <c r="CX260" s="53" t="e">
        <v>#N/A</v>
      </c>
      <c r="CY260" s="53" t="e">
        <v>#N/A</v>
      </c>
      <c r="DE260" s="53" t="e">
        <v>#N/A</v>
      </c>
      <c r="DF260" s="53" t="e">
        <v>#N/A</v>
      </c>
      <c r="DG260" s="53" t="e">
        <v>#N/A</v>
      </c>
      <c r="DH260" s="53" t="e">
        <v>#N/A</v>
      </c>
      <c r="DI260" s="53" t="e">
        <v>#N/A</v>
      </c>
      <c r="DJ260" s="53" t="e">
        <v>#N/A</v>
      </c>
    </row>
    <row r="261" spans="3:114" s="53" customFormat="1" ht="12.75">
      <c r="C261" s="80"/>
      <c r="E261" s="48"/>
      <c r="K261" s="48"/>
      <c r="M261" s="53" t="s">
        <v>30</v>
      </c>
      <c r="N261" s="53" t="s">
        <v>31</v>
      </c>
      <c r="O261" s="53" t="str">
        <f t="shared" si="44"/>
        <v>click</v>
      </c>
      <c r="P261" s="53" t="str">
        <f t="shared" si="41"/>
        <v>();</v>
      </c>
      <c r="Q261" s="53" t="str">
        <f t="shared" si="45"/>
        <v/>
      </c>
      <c r="R261" s="53" t="str">
        <f t="shared" si="47"/>
        <v/>
      </c>
      <c r="S261" s="53" t="str">
        <f t="shared" si="46"/>
        <v/>
      </c>
      <c r="CU261" s="53" t="e">
        <v>#N/A</v>
      </c>
      <c r="CV261" s="53" t="e">
        <v>#N/A</v>
      </c>
      <c r="CW261" s="53" t="e">
        <v>#N/A</v>
      </c>
      <c r="CX261" s="53" t="e">
        <v>#N/A</v>
      </c>
      <c r="CY261" s="53" t="e">
        <v>#N/A</v>
      </c>
      <c r="DE261" s="53" t="e">
        <v>#N/A</v>
      </c>
      <c r="DF261" s="53" t="e">
        <v>#N/A</v>
      </c>
      <c r="DG261" s="53" t="e">
        <v>#N/A</v>
      </c>
      <c r="DH261" s="53" t="e">
        <v>#N/A</v>
      </c>
      <c r="DI261" s="53" t="e">
        <v>#N/A</v>
      </c>
      <c r="DJ261" s="53" t="e">
        <v>#N/A</v>
      </c>
    </row>
    <row r="262" spans="3:114" s="53" customFormat="1" ht="12.75">
      <c r="C262" s="80"/>
      <c r="E262" s="48"/>
      <c r="K262" s="48"/>
      <c r="M262" s="53" t="s">
        <v>30</v>
      </c>
      <c r="N262" s="53" t="s">
        <v>31</v>
      </c>
      <c r="O262" s="53" t="str">
        <f t="shared" si="44"/>
        <v>click</v>
      </c>
      <c r="P262" s="53" t="str">
        <f t="shared" si="41"/>
        <v>();</v>
      </c>
      <c r="Q262" s="53" t="str">
        <f t="shared" si="45"/>
        <v/>
      </c>
      <c r="R262" s="53" t="str">
        <f t="shared" si="47"/>
        <v/>
      </c>
      <c r="S262" s="53" t="str">
        <f t="shared" si="46"/>
        <v/>
      </c>
      <c r="CU262" s="53" t="e">
        <v>#N/A</v>
      </c>
      <c r="CV262" s="53" t="e">
        <v>#N/A</v>
      </c>
      <c r="CW262" s="53" t="e">
        <v>#N/A</v>
      </c>
      <c r="CX262" s="53" t="e">
        <v>#N/A</v>
      </c>
      <c r="CY262" s="53" t="e">
        <v>#N/A</v>
      </c>
      <c r="DE262" s="53" t="e">
        <v>#N/A</v>
      </c>
      <c r="DF262" s="53" t="e">
        <v>#N/A</v>
      </c>
      <c r="DG262" s="53" t="e">
        <v>#N/A</v>
      </c>
      <c r="DH262" s="53" t="e">
        <v>#N/A</v>
      </c>
      <c r="DI262" s="53" t="e">
        <v>#N/A</v>
      </c>
      <c r="DJ262" s="53" t="e">
        <v>#N/A</v>
      </c>
    </row>
    <row r="263" spans="3:114" s="53" customFormat="1" ht="12.75">
      <c r="C263" s="80"/>
      <c r="E263" s="48"/>
      <c r="K263" s="48"/>
      <c r="M263" s="53" t="s">
        <v>30</v>
      </c>
      <c r="N263" s="53" t="s">
        <v>31</v>
      </c>
      <c r="O263" s="53" t="str">
        <f t="shared" si="44"/>
        <v>click</v>
      </c>
      <c r="P263" s="53" t="str">
        <f t="shared" si="41"/>
        <v>();</v>
      </c>
      <c r="Q263" s="53" t="str">
        <f t="shared" si="45"/>
        <v/>
      </c>
      <c r="R263" s="53" t="str">
        <f t="shared" si="47"/>
        <v/>
      </c>
      <c r="S263" s="53" t="str">
        <f t="shared" si="46"/>
        <v/>
      </c>
      <c r="CU263" s="53" t="e">
        <v>#N/A</v>
      </c>
      <c r="CV263" s="53" t="e">
        <v>#N/A</v>
      </c>
      <c r="CW263" s="53" t="e">
        <v>#N/A</v>
      </c>
      <c r="CX263" s="53" t="e">
        <v>#N/A</v>
      </c>
      <c r="CY263" s="53" t="e">
        <v>#N/A</v>
      </c>
      <c r="DE263" s="53" t="e">
        <v>#N/A</v>
      </c>
      <c r="DF263" s="53" t="e">
        <v>#N/A</v>
      </c>
      <c r="DG263" s="53" t="e">
        <v>#N/A</v>
      </c>
      <c r="DH263" s="53" t="e">
        <v>#N/A</v>
      </c>
      <c r="DI263" s="53" t="e">
        <v>#N/A</v>
      </c>
      <c r="DJ263" s="53" t="e">
        <v>#N/A</v>
      </c>
    </row>
    <row r="264" spans="3:114" s="53" customFormat="1" ht="12.75">
      <c r="C264" s="80"/>
      <c r="E264" s="48"/>
      <c r="K264" s="48"/>
      <c r="M264" s="53" t="s">
        <v>30</v>
      </c>
      <c r="N264" s="53" t="s">
        <v>31</v>
      </c>
      <c r="O264" s="53" t="str">
        <f t="shared" si="44"/>
        <v>click</v>
      </c>
      <c r="P264" s="53" t="str">
        <f t="shared" si="41"/>
        <v>();</v>
      </c>
      <c r="Q264" s="53" t="str">
        <f t="shared" si="45"/>
        <v/>
      </c>
      <c r="R264" s="53" t="str">
        <f t="shared" si="47"/>
        <v/>
      </c>
      <c r="S264" s="53" t="str">
        <f t="shared" si="46"/>
        <v/>
      </c>
      <c r="CU264" s="53" t="e">
        <v>#N/A</v>
      </c>
      <c r="CV264" s="53" t="e">
        <v>#N/A</v>
      </c>
      <c r="CW264" s="53" t="e">
        <v>#N/A</v>
      </c>
      <c r="CX264" s="53" t="e">
        <v>#N/A</v>
      </c>
      <c r="CY264" s="53" t="e">
        <v>#N/A</v>
      </c>
      <c r="DE264" s="53" t="e">
        <v>#N/A</v>
      </c>
      <c r="DF264" s="53" t="e">
        <v>#N/A</v>
      </c>
      <c r="DG264" s="53" t="e">
        <v>#N/A</v>
      </c>
      <c r="DH264" s="53" t="e">
        <v>#N/A</v>
      </c>
      <c r="DI264" s="53" t="e">
        <v>#N/A</v>
      </c>
      <c r="DJ264" s="53" t="e">
        <v>#N/A</v>
      </c>
    </row>
    <row r="265" spans="3:114" s="53" customFormat="1" ht="12.75">
      <c r="C265" s="80"/>
      <c r="E265" s="48"/>
      <c r="K265" s="48"/>
      <c r="M265" s="53" t="s">
        <v>30</v>
      </c>
      <c r="N265" s="53" t="s">
        <v>31</v>
      </c>
      <c r="O265" s="53" t="str">
        <f t="shared" si="44"/>
        <v>click</v>
      </c>
      <c r="P265" s="53" t="str">
        <f t="shared" si="41"/>
        <v>();</v>
      </c>
      <c r="Q265" s="53" t="str">
        <f t="shared" ref="Q265:Q296" si="48">IF(C265="Y",IF(H265&lt;&gt;"Xpath",M265&amp;F265&amp;N265,""""&amp;F265&amp;""""),"")</f>
        <v/>
      </c>
      <c r="R265" s="53" t="str">
        <f t="shared" si="47"/>
        <v/>
      </c>
      <c r="S265" s="53" t="str">
        <f t="shared" si="46"/>
        <v/>
      </c>
      <c r="CU265" s="53" t="e">
        <v>#N/A</v>
      </c>
      <c r="CV265" s="53" t="e">
        <v>#N/A</v>
      </c>
      <c r="CW265" s="53" t="e">
        <v>#N/A</v>
      </c>
      <c r="CX265" s="53" t="e">
        <v>#N/A</v>
      </c>
      <c r="CY265" s="53" t="e">
        <v>#N/A</v>
      </c>
      <c r="DE265" s="53" t="e">
        <v>#N/A</v>
      </c>
      <c r="DF265" s="53" t="e">
        <v>#N/A</v>
      </c>
      <c r="DG265" s="53" t="e">
        <v>#N/A</v>
      </c>
      <c r="DH265" s="53" t="e">
        <v>#N/A</v>
      </c>
      <c r="DI265" s="53" t="e">
        <v>#N/A</v>
      </c>
      <c r="DJ265" s="53" t="e">
        <v>#N/A</v>
      </c>
    </row>
    <row r="266" spans="3:114" s="53" customFormat="1" ht="12.75">
      <c r="C266" s="80"/>
      <c r="E266" s="48"/>
      <c r="K266" s="48"/>
      <c r="M266" s="53" t="s">
        <v>30</v>
      </c>
      <c r="N266" s="53" t="s">
        <v>31</v>
      </c>
      <c r="O266" s="53" t="str">
        <f t="shared" si="44"/>
        <v>click</v>
      </c>
      <c r="P266" s="53" t="str">
        <f t="shared" si="41"/>
        <v>();</v>
      </c>
      <c r="Q266" s="53" t="str">
        <f t="shared" si="48"/>
        <v/>
      </c>
      <c r="R266" s="53" t="str">
        <f t="shared" si="47"/>
        <v/>
      </c>
      <c r="S266" s="53" t="str">
        <f t="shared" si="46"/>
        <v/>
      </c>
      <c r="CU266" s="53" t="e">
        <v>#N/A</v>
      </c>
      <c r="CV266" s="53" t="e">
        <v>#N/A</v>
      </c>
      <c r="CW266" s="53" t="e">
        <v>#N/A</v>
      </c>
      <c r="CX266" s="53" t="e">
        <v>#N/A</v>
      </c>
      <c r="CY266" s="53" t="e">
        <v>#N/A</v>
      </c>
      <c r="DE266" s="53" t="e">
        <v>#N/A</v>
      </c>
      <c r="DF266" s="53" t="e">
        <v>#N/A</v>
      </c>
      <c r="DG266" s="53" t="e">
        <v>#N/A</v>
      </c>
      <c r="DH266" s="53" t="e">
        <v>#N/A</v>
      </c>
      <c r="DI266" s="53" t="e">
        <v>#N/A</v>
      </c>
      <c r="DJ266" s="53" t="e">
        <v>#N/A</v>
      </c>
    </row>
    <row r="267" spans="3:114" s="53" customFormat="1" ht="12.75">
      <c r="C267" s="80"/>
      <c r="E267" s="48"/>
      <c r="K267" s="48"/>
      <c r="M267" s="53" t="s">
        <v>30</v>
      </c>
      <c r="N267" s="53" t="s">
        <v>31</v>
      </c>
      <c r="O267" s="53" t="str">
        <f t="shared" si="44"/>
        <v>click</v>
      </c>
      <c r="P267" s="53" t="str">
        <f t="shared" si="41"/>
        <v>();</v>
      </c>
      <c r="Q267" s="53" t="str">
        <f t="shared" si="48"/>
        <v/>
      </c>
      <c r="R267" s="53" t="str">
        <f t="shared" si="47"/>
        <v/>
      </c>
      <c r="S267" s="53" t="str">
        <f t="shared" si="46"/>
        <v/>
      </c>
      <c r="CU267" s="53" t="e">
        <v>#N/A</v>
      </c>
      <c r="CV267" s="53" t="e">
        <v>#N/A</v>
      </c>
      <c r="CW267" s="53" t="e">
        <v>#N/A</v>
      </c>
      <c r="CX267" s="53" t="e">
        <v>#N/A</v>
      </c>
      <c r="CY267" s="53" t="e">
        <v>#N/A</v>
      </c>
      <c r="DE267" s="53" t="e">
        <v>#N/A</v>
      </c>
      <c r="DF267" s="53" t="e">
        <v>#N/A</v>
      </c>
      <c r="DG267" s="53" t="e">
        <v>#N/A</v>
      </c>
      <c r="DH267" s="53" t="e">
        <v>#N/A</v>
      </c>
      <c r="DI267" s="53" t="e">
        <v>#N/A</v>
      </c>
      <c r="DJ267" s="53" t="e">
        <v>#N/A</v>
      </c>
    </row>
    <row r="268" spans="3:114" s="53" customFormat="1" ht="12.75">
      <c r="C268" s="80"/>
      <c r="E268" s="48"/>
      <c r="K268" s="48"/>
      <c r="M268" s="53" t="s">
        <v>30</v>
      </c>
      <c r="N268" s="53" t="s">
        <v>31</v>
      </c>
      <c r="O268" s="53" t="str">
        <f t="shared" si="44"/>
        <v>click</v>
      </c>
      <c r="P268" s="53" t="str">
        <f t="shared" ref="P268:P331" si="49">IF(OR(O268="Click",O268="innerText"),"();","("&amp;""""&amp;K268&amp;""""&amp;");")</f>
        <v>();</v>
      </c>
      <c r="Q268" s="53" t="str">
        <f t="shared" si="48"/>
        <v/>
      </c>
      <c r="R268" s="53" t="str">
        <f t="shared" si="47"/>
        <v/>
      </c>
      <c r="S268" s="53" t="str">
        <f t="shared" ref="S268:S299" si="50">IF(O268="innerText",I268&amp;"="&amp;IF(C268="Y",IF(J268&lt;&gt;"Y",$S$9&amp;$R$10&amp;"."&amp;E268&amp;")."&amp;IF(OR(O268="click",O268="innerText"),O268&amp;"();",O268&amp;"("&amp;$Q$9&amp;"."&amp;E268&amp;");"),$S$110&amp;$R$10&amp;"."&amp;E268&amp;")."&amp;IF(O268="click",O268&amp;"();",O268&amp;"("&amp;"'"&amp;K268&amp;"'"&amp;");")),""),IF(C268="Y",IF(J268&lt;&gt;"Y",$S$9&amp;$R$10&amp;"."&amp;E268&amp;")."&amp;IF(OR(O268="click",O268="innerText"),O268&amp;"();",O268&amp;"("&amp;$Q$9&amp;"."&amp;E268&amp;");"),$S$110&amp;$R$10&amp;"."&amp;E268&amp;")."&amp;IF(O268="click",O268&amp;"();",O268&amp;"("&amp;"'"&amp;K268&amp;"'"&amp;");")),""))</f>
        <v/>
      </c>
      <c r="CU268" s="53" t="e">
        <v>#N/A</v>
      </c>
      <c r="CV268" s="53" t="e">
        <v>#N/A</v>
      </c>
      <c r="CW268" s="53" t="e">
        <v>#N/A</v>
      </c>
      <c r="CX268" s="53" t="e">
        <v>#N/A</v>
      </c>
      <c r="CY268" s="53" t="e">
        <v>#N/A</v>
      </c>
      <c r="DE268" s="53" t="e">
        <v>#N/A</v>
      </c>
      <c r="DF268" s="53" t="e">
        <v>#N/A</v>
      </c>
      <c r="DG268" s="53" t="e">
        <v>#N/A</v>
      </c>
      <c r="DH268" s="53" t="e">
        <v>#N/A</v>
      </c>
      <c r="DI268" s="53" t="e">
        <v>#N/A</v>
      </c>
      <c r="DJ268" s="53" t="e">
        <v>#N/A</v>
      </c>
    </row>
    <row r="269" spans="3:114" s="53" customFormat="1" ht="12.75">
      <c r="C269" s="80"/>
      <c r="E269" s="48"/>
      <c r="K269" s="48"/>
      <c r="M269" s="53" t="s">
        <v>30</v>
      </c>
      <c r="N269" s="53" t="s">
        <v>31</v>
      </c>
      <c r="O269" s="53" t="str">
        <f t="shared" si="44"/>
        <v>click</v>
      </c>
      <c r="P269" s="53" t="str">
        <f t="shared" si="49"/>
        <v>();</v>
      </c>
      <c r="Q269" s="53" t="str">
        <f t="shared" si="48"/>
        <v/>
      </c>
      <c r="R269" s="53" t="str">
        <f t="shared" si="47"/>
        <v/>
      </c>
      <c r="S269" s="53" t="str">
        <f t="shared" si="50"/>
        <v/>
      </c>
      <c r="CU269" s="53" t="e">
        <v>#N/A</v>
      </c>
      <c r="CV269" s="53" t="e">
        <v>#N/A</v>
      </c>
      <c r="CW269" s="53" t="e">
        <v>#N/A</v>
      </c>
      <c r="CX269" s="53" t="e">
        <v>#N/A</v>
      </c>
      <c r="CY269" s="53" t="e">
        <v>#N/A</v>
      </c>
      <c r="DE269" s="53" t="e">
        <v>#N/A</v>
      </c>
      <c r="DF269" s="53" t="e">
        <v>#N/A</v>
      </c>
      <c r="DG269" s="53" t="e">
        <v>#N/A</v>
      </c>
      <c r="DH269" s="53" t="e">
        <v>#N/A</v>
      </c>
      <c r="DI269" s="53" t="e">
        <v>#N/A</v>
      </c>
      <c r="DJ269" s="53" t="e">
        <v>#N/A</v>
      </c>
    </row>
    <row r="270" spans="3:114" s="53" customFormat="1" ht="12.75">
      <c r="C270" s="80"/>
      <c r="E270" s="48"/>
      <c r="K270" s="48"/>
      <c r="M270" s="53" t="s">
        <v>30</v>
      </c>
      <c r="N270" s="53" t="s">
        <v>31</v>
      </c>
      <c r="O270" s="53" t="str">
        <f t="shared" si="44"/>
        <v>click</v>
      </c>
      <c r="P270" s="53" t="str">
        <f t="shared" si="49"/>
        <v>();</v>
      </c>
      <c r="Q270" s="53" t="str">
        <f t="shared" si="48"/>
        <v/>
      </c>
      <c r="R270" s="53" t="str">
        <f t="shared" si="47"/>
        <v/>
      </c>
      <c r="S270" s="53" t="str">
        <f t="shared" si="50"/>
        <v/>
      </c>
      <c r="CU270" s="53" t="e">
        <v>#N/A</v>
      </c>
      <c r="CV270" s="53" t="e">
        <v>#N/A</v>
      </c>
      <c r="CW270" s="53" t="e">
        <v>#N/A</v>
      </c>
      <c r="CX270" s="53" t="e">
        <v>#N/A</v>
      </c>
      <c r="CY270" s="53" t="e">
        <v>#N/A</v>
      </c>
      <c r="DE270" s="53" t="e">
        <v>#N/A</v>
      </c>
      <c r="DF270" s="53" t="e">
        <v>#N/A</v>
      </c>
      <c r="DG270" s="53" t="e">
        <v>#N/A</v>
      </c>
      <c r="DH270" s="53" t="e">
        <v>#N/A</v>
      </c>
      <c r="DI270" s="53" t="e">
        <v>#N/A</v>
      </c>
      <c r="DJ270" s="53" t="e">
        <v>#N/A</v>
      </c>
    </row>
    <row r="271" spans="3:114" s="53" customFormat="1" ht="12.75">
      <c r="C271" s="80"/>
      <c r="E271" s="48"/>
      <c r="K271" s="48"/>
      <c r="M271" s="53" t="s">
        <v>30</v>
      </c>
      <c r="N271" s="53" t="s">
        <v>31</v>
      </c>
      <c r="O271" s="53" t="str">
        <f t="shared" si="44"/>
        <v>click</v>
      </c>
      <c r="P271" s="53" t="str">
        <f t="shared" si="49"/>
        <v>();</v>
      </c>
      <c r="Q271" s="53" t="str">
        <f t="shared" si="48"/>
        <v/>
      </c>
      <c r="R271" s="53" t="str">
        <f t="shared" si="47"/>
        <v/>
      </c>
      <c r="S271" s="53" t="str">
        <f t="shared" si="50"/>
        <v/>
      </c>
      <c r="CU271" s="53" t="e">
        <v>#N/A</v>
      </c>
      <c r="CV271" s="53" t="e">
        <v>#N/A</v>
      </c>
      <c r="CW271" s="53" t="e">
        <v>#N/A</v>
      </c>
      <c r="CX271" s="53" t="e">
        <v>#N/A</v>
      </c>
      <c r="CY271" s="53" t="e">
        <v>#N/A</v>
      </c>
      <c r="DE271" s="53" t="e">
        <v>#N/A</v>
      </c>
      <c r="DF271" s="53" t="e">
        <v>#N/A</v>
      </c>
      <c r="DG271" s="53" t="e">
        <v>#N/A</v>
      </c>
      <c r="DH271" s="53" t="e">
        <v>#N/A</v>
      </c>
      <c r="DI271" s="53" t="e">
        <v>#N/A</v>
      </c>
      <c r="DJ271" s="53" t="e">
        <v>#N/A</v>
      </c>
    </row>
    <row r="272" spans="3:114" s="53" customFormat="1" ht="12.75">
      <c r="C272" s="80"/>
      <c r="E272" s="48"/>
      <c r="K272" s="48"/>
      <c r="M272" s="53" t="s">
        <v>30</v>
      </c>
      <c r="N272" s="53" t="s">
        <v>31</v>
      </c>
      <c r="O272" s="53" t="str">
        <f t="shared" si="44"/>
        <v>click</v>
      </c>
      <c r="P272" s="53" t="str">
        <f t="shared" si="49"/>
        <v>();</v>
      </c>
      <c r="Q272" s="53" t="str">
        <f t="shared" si="48"/>
        <v/>
      </c>
      <c r="R272" s="53" t="str">
        <f t="shared" si="47"/>
        <v/>
      </c>
      <c r="S272" s="53" t="str">
        <f t="shared" si="50"/>
        <v/>
      </c>
      <c r="CU272" s="53" t="e">
        <v>#N/A</v>
      </c>
      <c r="CV272" s="53" t="e">
        <v>#N/A</v>
      </c>
      <c r="CW272" s="53" t="e">
        <v>#N/A</v>
      </c>
      <c r="CX272" s="53" t="e">
        <v>#N/A</v>
      </c>
      <c r="CY272" s="53" t="e">
        <v>#N/A</v>
      </c>
      <c r="DE272" s="53" t="e">
        <v>#N/A</v>
      </c>
      <c r="DF272" s="53" t="e">
        <v>#N/A</v>
      </c>
      <c r="DG272" s="53" t="e">
        <v>#N/A</v>
      </c>
      <c r="DH272" s="53" t="e">
        <v>#N/A</v>
      </c>
      <c r="DI272" s="53" t="e">
        <v>#N/A</v>
      </c>
      <c r="DJ272" s="53" t="e">
        <v>#N/A</v>
      </c>
    </row>
    <row r="273" spans="3:114" s="53" customFormat="1" ht="12.75">
      <c r="C273" s="80"/>
      <c r="E273" s="48"/>
      <c r="K273" s="48"/>
      <c r="M273" s="53" t="s">
        <v>30</v>
      </c>
      <c r="N273" s="53" t="s">
        <v>31</v>
      </c>
      <c r="O273" s="53" t="str">
        <f t="shared" si="44"/>
        <v>click</v>
      </c>
      <c r="P273" s="53" t="str">
        <f t="shared" si="49"/>
        <v>();</v>
      </c>
      <c r="Q273" s="53" t="str">
        <f t="shared" si="48"/>
        <v/>
      </c>
      <c r="R273" s="53" t="str">
        <f t="shared" si="47"/>
        <v/>
      </c>
      <c r="S273" s="53" t="str">
        <f t="shared" si="50"/>
        <v/>
      </c>
      <c r="CU273" s="53" t="e">
        <v>#N/A</v>
      </c>
      <c r="CV273" s="53" t="e">
        <v>#N/A</v>
      </c>
      <c r="CW273" s="53" t="e">
        <v>#N/A</v>
      </c>
      <c r="CX273" s="53" t="e">
        <v>#N/A</v>
      </c>
      <c r="CY273" s="53" t="e">
        <v>#N/A</v>
      </c>
      <c r="DE273" s="53" t="e">
        <v>#N/A</v>
      </c>
      <c r="DF273" s="53" t="e">
        <v>#N/A</v>
      </c>
      <c r="DG273" s="53" t="e">
        <v>#N/A</v>
      </c>
      <c r="DH273" s="53" t="e">
        <v>#N/A</v>
      </c>
      <c r="DI273" s="53" t="e">
        <v>#N/A</v>
      </c>
      <c r="DJ273" s="53" t="e">
        <v>#N/A</v>
      </c>
    </row>
    <row r="274" spans="3:114" s="53" customFormat="1" ht="12.75">
      <c r="C274" s="80"/>
      <c r="E274" s="48"/>
      <c r="K274" s="48"/>
      <c r="M274" s="53" t="s">
        <v>30</v>
      </c>
      <c r="N274" s="53" t="s">
        <v>31</v>
      </c>
      <c r="O274" s="53" t="str">
        <f t="shared" si="44"/>
        <v>click</v>
      </c>
      <c r="P274" s="53" t="str">
        <f t="shared" si="49"/>
        <v>();</v>
      </c>
      <c r="Q274" s="53" t="str">
        <f t="shared" si="48"/>
        <v/>
      </c>
      <c r="R274" s="53" t="str">
        <f t="shared" si="47"/>
        <v/>
      </c>
      <c r="S274" s="53" t="str">
        <f t="shared" si="50"/>
        <v/>
      </c>
      <c r="CU274" s="53" t="e">
        <v>#N/A</v>
      </c>
      <c r="CV274" s="53" t="e">
        <v>#N/A</v>
      </c>
      <c r="CW274" s="53" t="e">
        <v>#N/A</v>
      </c>
      <c r="CX274" s="53" t="e">
        <v>#N/A</v>
      </c>
      <c r="CY274" s="53" t="e">
        <v>#N/A</v>
      </c>
      <c r="DE274" s="53" t="e">
        <v>#N/A</v>
      </c>
      <c r="DF274" s="53" t="e">
        <v>#N/A</v>
      </c>
      <c r="DG274" s="53" t="e">
        <v>#N/A</v>
      </c>
      <c r="DH274" s="53" t="e">
        <v>#N/A</v>
      </c>
      <c r="DI274" s="53" t="e">
        <v>#N/A</v>
      </c>
      <c r="DJ274" s="53" t="e">
        <v>#N/A</v>
      </c>
    </row>
    <row r="275" spans="3:114" s="53" customFormat="1" ht="12.75">
      <c r="C275" s="80"/>
      <c r="E275" s="48"/>
      <c r="K275" s="48"/>
      <c r="M275" s="53" t="s">
        <v>30</v>
      </c>
      <c r="N275" s="53" t="s">
        <v>31</v>
      </c>
      <c r="O275" s="53" t="str">
        <f t="shared" si="44"/>
        <v>click</v>
      </c>
      <c r="P275" s="53" t="str">
        <f t="shared" si="49"/>
        <v>();</v>
      </c>
      <c r="Q275" s="53" t="str">
        <f t="shared" si="48"/>
        <v/>
      </c>
      <c r="R275" s="53" t="str">
        <f t="shared" si="47"/>
        <v/>
      </c>
      <c r="S275" s="53" t="str">
        <f t="shared" si="50"/>
        <v/>
      </c>
      <c r="CU275" s="53" t="e">
        <v>#N/A</v>
      </c>
      <c r="CV275" s="53" t="e">
        <v>#N/A</v>
      </c>
      <c r="CW275" s="53" t="e">
        <v>#N/A</v>
      </c>
      <c r="CX275" s="53" t="e">
        <v>#N/A</v>
      </c>
      <c r="CY275" s="53" t="e">
        <v>#N/A</v>
      </c>
      <c r="DE275" s="53" t="e">
        <v>#N/A</v>
      </c>
      <c r="DF275" s="53" t="e">
        <v>#N/A</v>
      </c>
      <c r="DG275" s="53" t="e">
        <v>#N/A</v>
      </c>
      <c r="DH275" s="53" t="e">
        <v>#N/A</v>
      </c>
      <c r="DI275" s="53" t="e">
        <v>#N/A</v>
      </c>
      <c r="DJ275" s="53" t="e">
        <v>#N/A</v>
      </c>
    </row>
    <row r="276" spans="3:114" s="53" customFormat="1" ht="12.75">
      <c r="C276" s="80"/>
      <c r="E276" s="48"/>
      <c r="K276" s="48"/>
      <c r="M276" s="53" t="s">
        <v>30</v>
      </c>
      <c r="N276" s="53" t="s">
        <v>31</v>
      </c>
      <c r="O276" s="53" t="str">
        <f t="shared" si="44"/>
        <v>click</v>
      </c>
      <c r="P276" s="53" t="str">
        <f t="shared" si="49"/>
        <v>();</v>
      </c>
      <c r="Q276" s="53" t="str">
        <f t="shared" si="48"/>
        <v/>
      </c>
      <c r="R276" s="53" t="str">
        <f t="shared" si="47"/>
        <v/>
      </c>
      <c r="S276" s="53" t="str">
        <f t="shared" si="50"/>
        <v/>
      </c>
      <c r="CU276" s="53" t="e">
        <v>#N/A</v>
      </c>
      <c r="CV276" s="53" t="e">
        <v>#N/A</v>
      </c>
      <c r="CW276" s="53" t="e">
        <v>#N/A</v>
      </c>
      <c r="CX276" s="53" t="e">
        <v>#N/A</v>
      </c>
      <c r="CY276" s="53" t="e">
        <v>#N/A</v>
      </c>
      <c r="DE276" s="53" t="e">
        <v>#N/A</v>
      </c>
      <c r="DF276" s="53" t="e">
        <v>#N/A</v>
      </c>
      <c r="DG276" s="53" t="e">
        <v>#N/A</v>
      </c>
      <c r="DH276" s="53" t="e">
        <v>#N/A</v>
      </c>
      <c r="DI276" s="53" t="e">
        <v>#N/A</v>
      </c>
      <c r="DJ276" s="53" t="e">
        <v>#N/A</v>
      </c>
    </row>
    <row r="277" spans="3:114" s="53" customFormat="1" ht="12.75">
      <c r="C277" s="80"/>
      <c r="E277" s="48"/>
      <c r="K277" s="48"/>
      <c r="M277" s="53" t="s">
        <v>30</v>
      </c>
      <c r="N277" s="53" t="s">
        <v>31</v>
      </c>
      <c r="O277" s="53" t="str">
        <f t="shared" si="44"/>
        <v>click</v>
      </c>
      <c r="P277" s="53" t="str">
        <f t="shared" si="49"/>
        <v>();</v>
      </c>
      <c r="Q277" s="53" t="str">
        <f t="shared" si="48"/>
        <v/>
      </c>
      <c r="R277" s="53" t="str">
        <f t="shared" si="47"/>
        <v/>
      </c>
      <c r="S277" s="53" t="str">
        <f t="shared" si="50"/>
        <v/>
      </c>
      <c r="CU277" s="53" t="e">
        <v>#N/A</v>
      </c>
      <c r="CV277" s="53" t="e">
        <v>#N/A</v>
      </c>
      <c r="CW277" s="53" t="e">
        <v>#N/A</v>
      </c>
      <c r="CX277" s="53" t="e">
        <v>#N/A</v>
      </c>
      <c r="CY277" s="53" t="e">
        <v>#N/A</v>
      </c>
      <c r="DE277" s="53" t="e">
        <v>#N/A</v>
      </c>
      <c r="DF277" s="53" t="e">
        <v>#N/A</v>
      </c>
      <c r="DG277" s="53" t="e">
        <v>#N/A</v>
      </c>
      <c r="DH277" s="53" t="e">
        <v>#N/A</v>
      </c>
      <c r="DI277" s="53" t="e">
        <v>#N/A</v>
      </c>
      <c r="DJ277" s="53" t="e">
        <v>#N/A</v>
      </c>
    </row>
    <row r="278" spans="3:114" s="53" customFormat="1" ht="12.75">
      <c r="C278" s="80"/>
      <c r="E278" s="48"/>
      <c r="K278" s="48"/>
      <c r="M278" s="53" t="s">
        <v>30</v>
      </c>
      <c r="N278" s="53" t="s">
        <v>31</v>
      </c>
      <c r="O278" s="53" t="str">
        <f t="shared" si="44"/>
        <v>click</v>
      </c>
      <c r="P278" s="53" t="str">
        <f t="shared" si="49"/>
        <v>();</v>
      </c>
      <c r="Q278" s="53" t="str">
        <f t="shared" si="48"/>
        <v/>
      </c>
      <c r="R278" s="53" t="str">
        <f t="shared" si="47"/>
        <v/>
      </c>
      <c r="S278" s="53" t="str">
        <f t="shared" si="50"/>
        <v/>
      </c>
      <c r="CU278" s="53" t="e">
        <v>#N/A</v>
      </c>
      <c r="CV278" s="53" t="e">
        <v>#N/A</v>
      </c>
      <c r="CW278" s="53" t="e">
        <v>#N/A</v>
      </c>
      <c r="CX278" s="53" t="e">
        <v>#N/A</v>
      </c>
      <c r="CY278" s="53" t="e">
        <v>#N/A</v>
      </c>
      <c r="DE278" s="53" t="e">
        <v>#N/A</v>
      </c>
      <c r="DF278" s="53" t="e">
        <v>#N/A</v>
      </c>
      <c r="DG278" s="53" t="e">
        <v>#N/A</v>
      </c>
      <c r="DH278" s="53" t="e">
        <v>#N/A</v>
      </c>
      <c r="DI278" s="53" t="e">
        <v>#N/A</v>
      </c>
      <c r="DJ278" s="53" t="e">
        <v>#N/A</v>
      </c>
    </row>
    <row r="279" spans="3:114" s="53" customFormat="1" ht="12.75">
      <c r="C279" s="80"/>
      <c r="E279" s="48"/>
      <c r="K279" s="48"/>
      <c r="M279" s="53" t="s">
        <v>30</v>
      </c>
      <c r="N279" s="53" t="s">
        <v>31</v>
      </c>
      <c r="O279" s="53" t="str">
        <f t="shared" si="44"/>
        <v>click</v>
      </c>
      <c r="P279" s="53" t="str">
        <f t="shared" si="49"/>
        <v>();</v>
      </c>
      <c r="Q279" s="53" t="str">
        <f t="shared" si="48"/>
        <v/>
      </c>
      <c r="R279" s="53" t="str">
        <f t="shared" si="47"/>
        <v/>
      </c>
      <c r="S279" s="53" t="str">
        <f t="shared" si="50"/>
        <v/>
      </c>
      <c r="CU279" s="53" t="e">
        <v>#N/A</v>
      </c>
      <c r="CV279" s="53" t="e">
        <v>#N/A</v>
      </c>
      <c r="CW279" s="53" t="e">
        <v>#N/A</v>
      </c>
      <c r="CX279" s="53" t="e">
        <v>#N/A</v>
      </c>
      <c r="CY279" s="53" t="e">
        <v>#N/A</v>
      </c>
      <c r="DE279" s="53" t="e">
        <v>#N/A</v>
      </c>
      <c r="DF279" s="53" t="e">
        <v>#N/A</v>
      </c>
      <c r="DG279" s="53" t="e">
        <v>#N/A</v>
      </c>
      <c r="DH279" s="53" t="e">
        <v>#N/A</v>
      </c>
      <c r="DI279" s="53" t="e">
        <v>#N/A</v>
      </c>
      <c r="DJ279" s="53" t="e">
        <v>#N/A</v>
      </c>
    </row>
    <row r="280" spans="3:114" s="53" customFormat="1" ht="12.75">
      <c r="C280" s="80"/>
      <c r="E280" s="48"/>
      <c r="K280" s="48"/>
      <c r="M280" s="53" t="s">
        <v>30</v>
      </c>
      <c r="N280" s="53" t="s">
        <v>31</v>
      </c>
      <c r="O280" s="53" t="str">
        <f t="shared" si="44"/>
        <v>click</v>
      </c>
      <c r="P280" s="53" t="str">
        <f t="shared" si="49"/>
        <v>();</v>
      </c>
      <c r="Q280" s="53" t="str">
        <f t="shared" si="48"/>
        <v/>
      </c>
      <c r="R280" s="53" t="str">
        <f t="shared" si="47"/>
        <v/>
      </c>
      <c r="S280" s="53" t="str">
        <f t="shared" si="50"/>
        <v/>
      </c>
      <c r="CU280" s="53" t="e">
        <v>#N/A</v>
      </c>
      <c r="CV280" s="53" t="e">
        <v>#N/A</v>
      </c>
      <c r="CW280" s="53" t="e">
        <v>#N/A</v>
      </c>
      <c r="CX280" s="53" t="e">
        <v>#N/A</v>
      </c>
      <c r="CY280" s="53" t="e">
        <v>#N/A</v>
      </c>
      <c r="DE280" s="53" t="e">
        <v>#N/A</v>
      </c>
      <c r="DF280" s="53" t="e">
        <v>#N/A</v>
      </c>
      <c r="DG280" s="53" t="e">
        <v>#N/A</v>
      </c>
      <c r="DH280" s="53" t="e">
        <v>#N/A</v>
      </c>
      <c r="DI280" s="53" t="e">
        <v>#N/A</v>
      </c>
      <c r="DJ280" s="53" t="e">
        <v>#N/A</v>
      </c>
    </row>
    <row r="281" spans="3:114" s="53" customFormat="1" ht="12.75">
      <c r="C281" s="80"/>
      <c r="E281" s="48"/>
      <c r="K281" s="48"/>
      <c r="M281" s="53" t="s">
        <v>30</v>
      </c>
      <c r="N281" s="53" t="s">
        <v>31</v>
      </c>
      <c r="O281" s="53" t="str">
        <f t="shared" si="44"/>
        <v>click</v>
      </c>
      <c r="P281" s="53" t="str">
        <f t="shared" si="49"/>
        <v>();</v>
      </c>
      <c r="Q281" s="53" t="str">
        <f t="shared" si="48"/>
        <v/>
      </c>
      <c r="R281" s="53" t="str">
        <f t="shared" si="47"/>
        <v/>
      </c>
      <c r="S281" s="53" t="str">
        <f t="shared" si="50"/>
        <v/>
      </c>
      <c r="CU281" s="53" t="e">
        <v>#N/A</v>
      </c>
      <c r="CV281" s="53" t="e">
        <v>#N/A</v>
      </c>
      <c r="CW281" s="53" t="e">
        <v>#N/A</v>
      </c>
      <c r="CX281" s="53" t="e">
        <v>#N/A</v>
      </c>
      <c r="CY281" s="53" t="e">
        <v>#N/A</v>
      </c>
      <c r="DE281" s="53" t="e">
        <v>#N/A</v>
      </c>
      <c r="DF281" s="53" t="e">
        <v>#N/A</v>
      </c>
      <c r="DG281" s="53" t="e">
        <v>#N/A</v>
      </c>
      <c r="DH281" s="53" t="e">
        <v>#N/A</v>
      </c>
      <c r="DI281" s="53" t="e">
        <v>#N/A</v>
      </c>
      <c r="DJ281" s="53" t="e">
        <v>#N/A</v>
      </c>
    </row>
    <row r="282" spans="3:114" s="53" customFormat="1" ht="12.75">
      <c r="C282" s="80"/>
      <c r="E282" s="48"/>
      <c r="K282" s="48"/>
      <c r="M282" s="53" t="s">
        <v>30</v>
      </c>
      <c r="N282" s="53" t="s">
        <v>31</v>
      </c>
      <c r="O282" s="53" t="str">
        <f t="shared" si="44"/>
        <v>click</v>
      </c>
      <c r="P282" s="53" t="str">
        <f t="shared" si="49"/>
        <v>();</v>
      </c>
      <c r="Q282" s="53" t="str">
        <f t="shared" si="48"/>
        <v/>
      </c>
      <c r="R282" s="53" t="str">
        <f t="shared" si="47"/>
        <v/>
      </c>
      <c r="S282" s="53" t="str">
        <f t="shared" si="50"/>
        <v/>
      </c>
      <c r="CU282" s="53" t="e">
        <v>#N/A</v>
      </c>
      <c r="CV282" s="53" t="e">
        <v>#N/A</v>
      </c>
      <c r="CW282" s="53" t="e">
        <v>#N/A</v>
      </c>
      <c r="CX282" s="53" t="e">
        <v>#N/A</v>
      </c>
      <c r="CY282" s="53" t="e">
        <v>#N/A</v>
      </c>
      <c r="DE282" s="53" t="e">
        <v>#N/A</v>
      </c>
      <c r="DF282" s="53" t="e">
        <v>#N/A</v>
      </c>
      <c r="DG282" s="53" t="e">
        <v>#N/A</v>
      </c>
      <c r="DH282" s="53" t="e">
        <v>#N/A</v>
      </c>
      <c r="DI282" s="53" t="e">
        <v>#N/A</v>
      </c>
      <c r="DJ282" s="53" t="e">
        <v>#N/A</v>
      </c>
    </row>
    <row r="283" spans="3:114" s="53" customFormat="1" ht="12.75">
      <c r="C283" s="80"/>
      <c r="E283" s="48"/>
      <c r="K283" s="48"/>
      <c r="M283" s="53" t="s">
        <v>30</v>
      </c>
      <c r="N283" s="53" t="s">
        <v>31</v>
      </c>
      <c r="O283" s="53" t="str">
        <f t="shared" si="44"/>
        <v>click</v>
      </c>
      <c r="P283" s="53" t="str">
        <f t="shared" si="49"/>
        <v>();</v>
      </c>
      <c r="Q283" s="53" t="str">
        <f t="shared" si="48"/>
        <v/>
      </c>
      <c r="R283" s="53" t="str">
        <f t="shared" si="47"/>
        <v/>
      </c>
      <c r="S283" s="53" t="str">
        <f t="shared" si="50"/>
        <v/>
      </c>
      <c r="CU283" s="53" t="e">
        <v>#N/A</v>
      </c>
      <c r="CV283" s="53" t="e">
        <v>#N/A</v>
      </c>
      <c r="CW283" s="53" t="e">
        <v>#N/A</v>
      </c>
      <c r="CX283" s="53" t="e">
        <v>#N/A</v>
      </c>
      <c r="CY283" s="53" t="e">
        <v>#N/A</v>
      </c>
      <c r="DE283" s="53" t="e">
        <v>#N/A</v>
      </c>
      <c r="DF283" s="53" t="e">
        <v>#N/A</v>
      </c>
      <c r="DG283" s="53" t="e">
        <v>#N/A</v>
      </c>
      <c r="DH283" s="53" t="e">
        <v>#N/A</v>
      </c>
      <c r="DI283" s="53" t="e">
        <v>#N/A</v>
      </c>
      <c r="DJ283" s="53" t="e">
        <v>#N/A</v>
      </c>
    </row>
    <row r="284" spans="3:114" s="53" customFormat="1" ht="12.75">
      <c r="C284" s="80"/>
      <c r="E284" s="48"/>
      <c r="K284" s="48"/>
      <c r="M284" s="53" t="s">
        <v>30</v>
      </c>
      <c r="N284" s="53" t="s">
        <v>31</v>
      </c>
      <c r="O284" s="53" t="str">
        <f t="shared" si="44"/>
        <v>click</v>
      </c>
      <c r="P284" s="53" t="str">
        <f t="shared" si="49"/>
        <v>();</v>
      </c>
      <c r="Q284" s="53" t="str">
        <f t="shared" si="48"/>
        <v/>
      </c>
      <c r="R284" s="53" t="str">
        <f t="shared" si="47"/>
        <v/>
      </c>
      <c r="S284" s="53" t="str">
        <f t="shared" si="50"/>
        <v/>
      </c>
      <c r="CU284" s="53" t="e">
        <v>#N/A</v>
      </c>
      <c r="CV284" s="53" t="e">
        <v>#N/A</v>
      </c>
      <c r="CW284" s="53" t="e">
        <v>#N/A</v>
      </c>
      <c r="CX284" s="53" t="e">
        <v>#N/A</v>
      </c>
      <c r="CY284" s="53" t="e">
        <v>#N/A</v>
      </c>
      <c r="DE284" s="53" t="e">
        <v>#N/A</v>
      </c>
      <c r="DF284" s="53" t="e">
        <v>#N/A</v>
      </c>
      <c r="DG284" s="53" t="e">
        <v>#N/A</v>
      </c>
      <c r="DH284" s="53" t="e">
        <v>#N/A</v>
      </c>
      <c r="DI284" s="53" t="e">
        <v>#N/A</v>
      </c>
      <c r="DJ284" s="53" t="e">
        <v>#N/A</v>
      </c>
    </row>
    <row r="285" spans="3:114" s="53" customFormat="1" ht="12.75">
      <c r="C285" s="80"/>
      <c r="E285" s="48"/>
      <c r="K285" s="48"/>
      <c r="M285" s="53" t="s">
        <v>30</v>
      </c>
      <c r="N285" s="53" t="s">
        <v>31</v>
      </c>
      <c r="O285" s="53" t="str">
        <f t="shared" si="44"/>
        <v>click</v>
      </c>
      <c r="P285" s="53" t="str">
        <f t="shared" si="49"/>
        <v>();</v>
      </c>
      <c r="Q285" s="53" t="str">
        <f t="shared" si="48"/>
        <v/>
      </c>
      <c r="R285" s="53" t="str">
        <f t="shared" si="47"/>
        <v/>
      </c>
      <c r="S285" s="53" t="str">
        <f t="shared" si="50"/>
        <v/>
      </c>
      <c r="CU285" s="53" t="e">
        <v>#N/A</v>
      </c>
      <c r="CV285" s="53" t="e">
        <v>#N/A</v>
      </c>
      <c r="CW285" s="53" t="e">
        <v>#N/A</v>
      </c>
      <c r="CX285" s="53" t="e">
        <v>#N/A</v>
      </c>
      <c r="CY285" s="53" t="e">
        <v>#N/A</v>
      </c>
      <c r="DE285" s="53" t="e">
        <v>#N/A</v>
      </c>
      <c r="DF285" s="53" t="e">
        <v>#N/A</v>
      </c>
      <c r="DG285" s="53" t="e">
        <v>#N/A</v>
      </c>
      <c r="DH285" s="53" t="e">
        <v>#N/A</v>
      </c>
      <c r="DI285" s="53" t="e">
        <v>#N/A</v>
      </c>
      <c r="DJ285" s="53" t="e">
        <v>#N/A</v>
      </c>
    </row>
    <row r="286" spans="3:114" s="53" customFormat="1" ht="12.75">
      <c r="C286" s="80"/>
      <c r="E286" s="48"/>
      <c r="K286" s="48"/>
      <c r="M286" s="53" t="s">
        <v>30</v>
      </c>
      <c r="N286" s="53" t="s">
        <v>31</v>
      </c>
      <c r="O286" s="53" t="str">
        <f t="shared" si="44"/>
        <v>click</v>
      </c>
      <c r="P286" s="53" t="str">
        <f t="shared" si="49"/>
        <v>();</v>
      </c>
      <c r="Q286" s="53" t="str">
        <f t="shared" si="48"/>
        <v/>
      </c>
      <c r="R286" s="53" t="str">
        <f t="shared" si="47"/>
        <v/>
      </c>
      <c r="S286" s="53" t="str">
        <f t="shared" si="50"/>
        <v/>
      </c>
      <c r="CU286" s="53" t="e">
        <v>#N/A</v>
      </c>
      <c r="CV286" s="53" t="e">
        <v>#N/A</v>
      </c>
      <c r="CW286" s="53" t="e">
        <v>#N/A</v>
      </c>
      <c r="CX286" s="53" t="e">
        <v>#N/A</v>
      </c>
      <c r="CY286" s="53" t="e">
        <v>#N/A</v>
      </c>
      <c r="DE286" s="53" t="e">
        <v>#N/A</v>
      </c>
      <c r="DF286" s="53" t="e">
        <v>#N/A</v>
      </c>
      <c r="DG286" s="53" t="e">
        <v>#N/A</v>
      </c>
      <c r="DH286" s="53" t="e">
        <v>#N/A</v>
      </c>
      <c r="DI286" s="53" t="e">
        <v>#N/A</v>
      </c>
      <c r="DJ286" s="53" t="e">
        <v>#N/A</v>
      </c>
    </row>
    <row r="287" spans="3:114" s="53" customFormat="1" ht="12.75">
      <c r="C287" s="80"/>
      <c r="E287" s="48"/>
      <c r="K287" s="48"/>
      <c r="M287" s="53" t="s">
        <v>30</v>
      </c>
      <c r="N287" s="53" t="s">
        <v>31</v>
      </c>
      <c r="O287" s="53" t="str">
        <f t="shared" si="44"/>
        <v>click</v>
      </c>
      <c r="P287" s="53" t="str">
        <f t="shared" si="49"/>
        <v>();</v>
      </c>
      <c r="Q287" s="53" t="str">
        <f t="shared" si="48"/>
        <v/>
      </c>
      <c r="R287" s="53" t="str">
        <f t="shared" si="47"/>
        <v/>
      </c>
      <c r="S287" s="53" t="str">
        <f t="shared" si="50"/>
        <v/>
      </c>
      <c r="CU287" s="53" t="e">
        <v>#N/A</v>
      </c>
      <c r="CV287" s="53" t="e">
        <v>#N/A</v>
      </c>
      <c r="CW287" s="53" t="e">
        <v>#N/A</v>
      </c>
      <c r="CX287" s="53" t="e">
        <v>#N/A</v>
      </c>
      <c r="CY287" s="53" t="e">
        <v>#N/A</v>
      </c>
      <c r="DE287" s="53" t="e">
        <v>#N/A</v>
      </c>
      <c r="DF287" s="53" t="e">
        <v>#N/A</v>
      </c>
      <c r="DG287" s="53" t="e">
        <v>#N/A</v>
      </c>
      <c r="DH287" s="53" t="e">
        <v>#N/A</v>
      </c>
      <c r="DI287" s="53" t="e">
        <v>#N/A</v>
      </c>
      <c r="DJ287" s="53" t="e">
        <v>#N/A</v>
      </c>
    </row>
    <row r="288" spans="3:114" s="53" customFormat="1" ht="12.75">
      <c r="C288" s="80"/>
      <c r="E288" s="48"/>
      <c r="K288" s="48"/>
      <c r="M288" s="53" t="s">
        <v>30</v>
      </c>
      <c r="N288" s="53" t="s">
        <v>31</v>
      </c>
      <c r="O288" s="53" t="str">
        <f t="shared" si="44"/>
        <v>click</v>
      </c>
      <c r="P288" s="53" t="str">
        <f t="shared" si="49"/>
        <v>();</v>
      </c>
      <c r="Q288" s="53" t="str">
        <f t="shared" si="48"/>
        <v/>
      </c>
      <c r="R288" s="53" t="str">
        <f t="shared" si="47"/>
        <v/>
      </c>
      <c r="S288" s="53" t="str">
        <f t="shared" si="50"/>
        <v/>
      </c>
      <c r="CU288" s="53" t="e">
        <v>#N/A</v>
      </c>
      <c r="CV288" s="53" t="e">
        <v>#N/A</v>
      </c>
      <c r="CW288" s="53" t="e">
        <v>#N/A</v>
      </c>
      <c r="CX288" s="53" t="e">
        <v>#N/A</v>
      </c>
      <c r="CY288" s="53" t="e">
        <v>#N/A</v>
      </c>
      <c r="DE288" s="53" t="e">
        <v>#N/A</v>
      </c>
      <c r="DF288" s="53" t="e">
        <v>#N/A</v>
      </c>
      <c r="DG288" s="53" t="e">
        <v>#N/A</v>
      </c>
      <c r="DH288" s="53" t="e">
        <v>#N/A</v>
      </c>
      <c r="DI288" s="53" t="e">
        <v>#N/A</v>
      </c>
      <c r="DJ288" s="53" t="e">
        <v>#N/A</v>
      </c>
    </row>
    <row r="289" spans="3:114" s="53" customFormat="1" ht="12.75">
      <c r="C289" s="80"/>
      <c r="E289" s="48"/>
      <c r="K289" s="48"/>
      <c r="M289" s="53" t="s">
        <v>30</v>
      </c>
      <c r="N289" s="53" t="s">
        <v>31</v>
      </c>
      <c r="O289" s="53" t="str">
        <f t="shared" si="44"/>
        <v>click</v>
      </c>
      <c r="P289" s="53" t="str">
        <f t="shared" si="49"/>
        <v>();</v>
      </c>
      <c r="Q289" s="53" t="str">
        <f t="shared" si="48"/>
        <v/>
      </c>
      <c r="R289" s="53" t="str">
        <f t="shared" si="47"/>
        <v/>
      </c>
      <c r="S289" s="53" t="str">
        <f t="shared" si="50"/>
        <v/>
      </c>
      <c r="CU289" s="53" t="e">
        <v>#N/A</v>
      </c>
      <c r="CV289" s="53" t="e">
        <v>#N/A</v>
      </c>
      <c r="CW289" s="53" t="e">
        <v>#N/A</v>
      </c>
      <c r="CX289" s="53" t="e">
        <v>#N/A</v>
      </c>
      <c r="CY289" s="53" t="e">
        <v>#N/A</v>
      </c>
      <c r="DE289" s="53" t="e">
        <v>#N/A</v>
      </c>
      <c r="DF289" s="53" t="e">
        <v>#N/A</v>
      </c>
      <c r="DG289" s="53" t="e">
        <v>#N/A</v>
      </c>
      <c r="DH289" s="53" t="e">
        <v>#N/A</v>
      </c>
      <c r="DI289" s="53" t="e">
        <v>#N/A</v>
      </c>
      <c r="DJ289" s="53" t="e">
        <v>#N/A</v>
      </c>
    </row>
    <row r="290" spans="3:114" s="53" customFormat="1" ht="12.75">
      <c r="C290" s="80"/>
      <c r="E290" s="48"/>
      <c r="K290" s="48"/>
      <c r="M290" s="53" t="s">
        <v>30</v>
      </c>
      <c r="N290" s="53" t="s">
        <v>31</v>
      </c>
      <c r="O290" s="53" t="str">
        <f t="shared" si="44"/>
        <v>click</v>
      </c>
      <c r="P290" s="53" t="str">
        <f t="shared" si="49"/>
        <v>();</v>
      </c>
      <c r="Q290" s="53" t="str">
        <f t="shared" si="48"/>
        <v/>
      </c>
      <c r="R290" s="53" t="str">
        <f t="shared" si="47"/>
        <v/>
      </c>
      <c r="S290" s="53" t="str">
        <f t="shared" si="50"/>
        <v/>
      </c>
      <c r="CU290" s="53" t="e">
        <v>#N/A</v>
      </c>
      <c r="CV290" s="53" t="e">
        <v>#N/A</v>
      </c>
      <c r="CW290" s="53" t="e">
        <v>#N/A</v>
      </c>
      <c r="CX290" s="53" t="e">
        <v>#N/A</v>
      </c>
      <c r="CY290" s="53" t="e">
        <v>#N/A</v>
      </c>
      <c r="DE290" s="53" t="e">
        <v>#N/A</v>
      </c>
      <c r="DF290" s="53" t="e">
        <v>#N/A</v>
      </c>
      <c r="DG290" s="53" t="e">
        <v>#N/A</v>
      </c>
      <c r="DH290" s="53" t="e">
        <v>#N/A</v>
      </c>
      <c r="DI290" s="53" t="e">
        <v>#N/A</v>
      </c>
      <c r="DJ290" s="53" t="e">
        <v>#N/A</v>
      </c>
    </row>
    <row r="291" spans="3:114" s="53" customFormat="1" ht="12.75">
      <c r="C291" s="80"/>
      <c r="E291" s="48"/>
      <c r="K291" s="48"/>
      <c r="M291" s="53" t="s">
        <v>30</v>
      </c>
      <c r="N291" s="53" t="s">
        <v>31</v>
      </c>
      <c r="O291" s="53" t="str">
        <f t="shared" si="44"/>
        <v>click</v>
      </c>
      <c r="P291" s="53" t="str">
        <f t="shared" si="49"/>
        <v>();</v>
      </c>
      <c r="Q291" s="53" t="str">
        <f t="shared" si="48"/>
        <v/>
      </c>
      <c r="R291" s="53" t="str">
        <f t="shared" si="47"/>
        <v/>
      </c>
      <c r="S291" s="53" t="str">
        <f t="shared" si="50"/>
        <v/>
      </c>
      <c r="CU291" s="53" t="e">
        <v>#N/A</v>
      </c>
      <c r="CV291" s="53" t="e">
        <v>#N/A</v>
      </c>
      <c r="CW291" s="53" t="e">
        <v>#N/A</v>
      </c>
      <c r="CX291" s="53" t="e">
        <v>#N/A</v>
      </c>
      <c r="CY291" s="53" t="e">
        <v>#N/A</v>
      </c>
      <c r="DE291" s="53" t="e">
        <v>#N/A</v>
      </c>
      <c r="DF291" s="53" t="e">
        <v>#N/A</v>
      </c>
      <c r="DG291" s="53" t="e">
        <v>#N/A</v>
      </c>
      <c r="DH291" s="53" t="e">
        <v>#N/A</v>
      </c>
      <c r="DI291" s="53" t="e">
        <v>#N/A</v>
      </c>
      <c r="DJ291" s="53" t="e">
        <v>#N/A</v>
      </c>
    </row>
    <row r="292" spans="3:114" s="53" customFormat="1" ht="12.75">
      <c r="C292" s="80"/>
      <c r="E292" s="48"/>
      <c r="K292" s="48"/>
      <c r="M292" s="53" t="s">
        <v>30</v>
      </c>
      <c r="N292" s="53" t="s">
        <v>31</v>
      </c>
      <c r="O292" s="53" t="str">
        <f t="shared" si="44"/>
        <v>click</v>
      </c>
      <c r="P292" s="53" t="str">
        <f t="shared" si="49"/>
        <v>();</v>
      </c>
      <c r="Q292" s="53" t="str">
        <f t="shared" si="48"/>
        <v/>
      </c>
      <c r="R292" s="53" t="str">
        <f t="shared" si="47"/>
        <v/>
      </c>
      <c r="S292" s="53" t="str">
        <f t="shared" si="50"/>
        <v/>
      </c>
      <c r="CU292" s="53" t="e">
        <v>#N/A</v>
      </c>
      <c r="CV292" s="53" t="e">
        <v>#N/A</v>
      </c>
      <c r="CW292" s="53" t="e">
        <v>#N/A</v>
      </c>
      <c r="CX292" s="53" t="e">
        <v>#N/A</v>
      </c>
      <c r="CY292" s="53" t="e">
        <v>#N/A</v>
      </c>
      <c r="DE292" s="53" t="e">
        <v>#N/A</v>
      </c>
      <c r="DF292" s="53" t="e">
        <v>#N/A</v>
      </c>
      <c r="DG292" s="53" t="e">
        <v>#N/A</v>
      </c>
      <c r="DH292" s="53" t="e">
        <v>#N/A</v>
      </c>
      <c r="DI292" s="53" t="e">
        <v>#N/A</v>
      </c>
      <c r="DJ292" s="53" t="e">
        <v>#N/A</v>
      </c>
    </row>
    <row r="293" spans="3:114" s="53" customFormat="1" ht="12.75">
      <c r="C293" s="80"/>
      <c r="E293" s="48"/>
      <c r="K293" s="48"/>
      <c r="M293" s="53" t="s">
        <v>30</v>
      </c>
      <c r="N293" s="53" t="s">
        <v>31</v>
      </c>
      <c r="O293" s="53" t="str">
        <f t="shared" si="44"/>
        <v>click</v>
      </c>
      <c r="P293" s="53" t="str">
        <f t="shared" si="49"/>
        <v>();</v>
      </c>
      <c r="Q293" s="53" t="str">
        <f t="shared" si="48"/>
        <v/>
      </c>
      <c r="R293" s="53" t="str">
        <f t="shared" si="47"/>
        <v/>
      </c>
      <c r="S293" s="53" t="str">
        <f t="shared" si="50"/>
        <v/>
      </c>
      <c r="CU293" s="53" t="e">
        <v>#N/A</v>
      </c>
      <c r="CV293" s="53" t="e">
        <v>#N/A</v>
      </c>
      <c r="CW293" s="53" t="e">
        <v>#N/A</v>
      </c>
      <c r="CX293" s="53" t="e">
        <v>#N/A</v>
      </c>
      <c r="CY293" s="53" t="e">
        <v>#N/A</v>
      </c>
      <c r="DE293" s="53" t="e">
        <v>#N/A</v>
      </c>
      <c r="DF293" s="53" t="e">
        <v>#N/A</v>
      </c>
      <c r="DG293" s="53" t="e">
        <v>#N/A</v>
      </c>
      <c r="DH293" s="53" t="e">
        <v>#N/A</v>
      </c>
      <c r="DI293" s="53" t="e">
        <v>#N/A</v>
      </c>
      <c r="DJ293" s="53" t="e">
        <v>#N/A</v>
      </c>
    </row>
    <row r="294" spans="3:114" s="53" customFormat="1" ht="12.75">
      <c r="C294" s="80"/>
      <c r="E294" s="48"/>
      <c r="K294" s="48"/>
      <c r="M294" s="53" t="s">
        <v>30</v>
      </c>
      <c r="N294" s="53" t="s">
        <v>31</v>
      </c>
      <c r="O294" s="53" t="str">
        <f t="shared" si="44"/>
        <v>click</v>
      </c>
      <c r="P294" s="53" t="str">
        <f t="shared" si="49"/>
        <v>();</v>
      </c>
      <c r="Q294" s="53" t="str">
        <f t="shared" si="48"/>
        <v/>
      </c>
      <c r="R294" s="53" t="str">
        <f t="shared" si="47"/>
        <v/>
      </c>
      <c r="S294" s="53" t="str">
        <f t="shared" si="50"/>
        <v/>
      </c>
      <c r="CU294" s="53" t="e">
        <v>#N/A</v>
      </c>
      <c r="CV294" s="53" t="e">
        <v>#N/A</v>
      </c>
      <c r="CW294" s="53" t="e">
        <v>#N/A</v>
      </c>
      <c r="CX294" s="53" t="e">
        <v>#N/A</v>
      </c>
      <c r="CY294" s="53" t="e">
        <v>#N/A</v>
      </c>
      <c r="DE294" s="53" t="e">
        <v>#N/A</v>
      </c>
      <c r="DF294" s="53" t="e">
        <v>#N/A</v>
      </c>
      <c r="DG294" s="53" t="e">
        <v>#N/A</v>
      </c>
      <c r="DH294" s="53" t="e">
        <v>#N/A</v>
      </c>
      <c r="DI294" s="53" t="e">
        <v>#N/A</v>
      </c>
      <c r="DJ294" s="53" t="e">
        <v>#N/A</v>
      </c>
    </row>
    <row r="295" spans="3:114" s="53" customFormat="1" ht="12.75">
      <c r="C295" s="80"/>
      <c r="E295" s="48"/>
      <c r="K295" s="48"/>
      <c r="M295" s="53" t="s">
        <v>30</v>
      </c>
      <c r="N295" s="53" t="s">
        <v>31</v>
      </c>
      <c r="O295" s="53" t="str">
        <f t="shared" si="44"/>
        <v>click</v>
      </c>
      <c r="P295" s="53" t="str">
        <f t="shared" si="49"/>
        <v>();</v>
      </c>
      <c r="Q295" s="53" t="str">
        <f t="shared" si="48"/>
        <v/>
      </c>
      <c r="R295" s="53" t="str">
        <f t="shared" si="47"/>
        <v/>
      </c>
      <c r="S295" s="53" t="str">
        <f t="shared" si="50"/>
        <v/>
      </c>
      <c r="CU295" s="53" t="e">
        <v>#N/A</v>
      </c>
      <c r="CV295" s="53" t="e">
        <v>#N/A</v>
      </c>
      <c r="CW295" s="53" t="e">
        <v>#N/A</v>
      </c>
      <c r="CX295" s="53" t="e">
        <v>#N/A</v>
      </c>
      <c r="CY295" s="53" t="e">
        <v>#N/A</v>
      </c>
      <c r="DE295" s="53" t="e">
        <v>#N/A</v>
      </c>
      <c r="DF295" s="53" t="e">
        <v>#N/A</v>
      </c>
      <c r="DG295" s="53" t="e">
        <v>#N/A</v>
      </c>
      <c r="DH295" s="53" t="e">
        <v>#N/A</v>
      </c>
      <c r="DI295" s="53" t="e">
        <v>#N/A</v>
      </c>
      <c r="DJ295" s="53" t="e">
        <v>#N/A</v>
      </c>
    </row>
    <row r="296" spans="3:114" s="53" customFormat="1" ht="12.75">
      <c r="C296" s="80"/>
      <c r="E296" s="48"/>
      <c r="K296" s="48"/>
      <c r="M296" s="53" t="s">
        <v>30</v>
      </c>
      <c r="N296" s="53" t="s">
        <v>31</v>
      </c>
      <c r="O296" s="53" t="str">
        <f t="shared" si="44"/>
        <v>click</v>
      </c>
      <c r="P296" s="53" t="str">
        <f t="shared" si="49"/>
        <v>();</v>
      </c>
      <c r="Q296" s="53" t="str">
        <f t="shared" si="48"/>
        <v/>
      </c>
      <c r="R296" s="53" t="str">
        <f t="shared" si="47"/>
        <v/>
      </c>
      <c r="S296" s="53" t="str">
        <f t="shared" si="50"/>
        <v/>
      </c>
      <c r="CU296" s="53" t="e">
        <v>#N/A</v>
      </c>
      <c r="CV296" s="53" t="e">
        <v>#N/A</v>
      </c>
      <c r="CW296" s="53" t="e">
        <v>#N/A</v>
      </c>
      <c r="CX296" s="53" t="e">
        <v>#N/A</v>
      </c>
      <c r="CY296" s="53" t="e">
        <v>#N/A</v>
      </c>
      <c r="DE296" s="53" t="e">
        <v>#N/A</v>
      </c>
      <c r="DF296" s="53" t="e">
        <v>#N/A</v>
      </c>
      <c r="DG296" s="53" t="e">
        <v>#N/A</v>
      </c>
      <c r="DH296" s="53" t="e">
        <v>#N/A</v>
      </c>
      <c r="DI296" s="53" t="e">
        <v>#N/A</v>
      </c>
      <c r="DJ296" s="53" t="e">
        <v>#N/A</v>
      </c>
    </row>
    <row r="297" spans="3:114" s="53" customFormat="1" ht="12.75">
      <c r="C297" s="80"/>
      <c r="E297" s="48"/>
      <c r="K297" s="48"/>
      <c r="M297" s="53" t="s">
        <v>30</v>
      </c>
      <c r="N297" s="53" t="s">
        <v>31</v>
      </c>
      <c r="O297" s="53" t="str">
        <f t="shared" ref="O297:O360" si="51">IF(D297="input","fill",IF(I297&lt;&gt;"","innerText",IF(J297="Y",$T$110,"click")))</f>
        <v>click</v>
      </c>
      <c r="P297" s="53" t="str">
        <f t="shared" si="49"/>
        <v>();</v>
      </c>
      <c r="Q297" s="53" t="str">
        <f t="shared" ref="Q297:Q328" si="52">IF(C297="Y",IF(H297&lt;&gt;"Xpath",M297&amp;F297&amp;N297,""""&amp;F297&amp;""""),"")</f>
        <v/>
      </c>
      <c r="R297" s="53" t="str">
        <f t="shared" si="47"/>
        <v/>
      </c>
      <c r="S297" s="53" t="str">
        <f t="shared" si="50"/>
        <v/>
      </c>
      <c r="CU297" s="53" t="e">
        <v>#N/A</v>
      </c>
      <c r="CV297" s="53" t="e">
        <v>#N/A</v>
      </c>
      <c r="CW297" s="53" t="e">
        <v>#N/A</v>
      </c>
      <c r="CX297" s="53" t="e">
        <v>#N/A</v>
      </c>
      <c r="CY297" s="53" t="e">
        <v>#N/A</v>
      </c>
      <c r="DE297" s="53" t="e">
        <v>#N/A</v>
      </c>
      <c r="DF297" s="53" t="e">
        <v>#N/A</v>
      </c>
      <c r="DG297" s="53" t="e">
        <v>#N/A</v>
      </c>
      <c r="DH297" s="53" t="e">
        <v>#N/A</v>
      </c>
      <c r="DI297" s="53" t="e">
        <v>#N/A</v>
      </c>
      <c r="DJ297" s="53" t="e">
        <v>#N/A</v>
      </c>
    </row>
    <row r="298" spans="3:114" s="53" customFormat="1" ht="12.75">
      <c r="C298" s="80"/>
      <c r="E298" s="48"/>
      <c r="K298" s="48"/>
      <c r="M298" s="53" t="s">
        <v>30</v>
      </c>
      <c r="N298" s="53" t="s">
        <v>31</v>
      </c>
      <c r="O298" s="53" t="str">
        <f t="shared" si="51"/>
        <v>click</v>
      </c>
      <c r="P298" s="53" t="str">
        <f t="shared" si="49"/>
        <v>();</v>
      </c>
      <c r="Q298" s="53" t="str">
        <f t="shared" si="52"/>
        <v/>
      </c>
      <c r="R298" s="53" t="str">
        <f t="shared" si="47"/>
        <v/>
      </c>
      <c r="S298" s="53" t="str">
        <f t="shared" si="50"/>
        <v/>
      </c>
      <c r="CU298" s="53" t="e">
        <v>#N/A</v>
      </c>
      <c r="CV298" s="53" t="e">
        <v>#N/A</v>
      </c>
      <c r="CW298" s="53" t="e">
        <v>#N/A</v>
      </c>
      <c r="CX298" s="53" t="e">
        <v>#N/A</v>
      </c>
      <c r="CY298" s="53" t="e">
        <v>#N/A</v>
      </c>
      <c r="DE298" s="53" t="e">
        <v>#N/A</v>
      </c>
      <c r="DF298" s="53" t="e">
        <v>#N/A</v>
      </c>
      <c r="DG298" s="53" t="e">
        <v>#N/A</v>
      </c>
      <c r="DH298" s="53" t="e">
        <v>#N/A</v>
      </c>
      <c r="DI298" s="53" t="e">
        <v>#N/A</v>
      </c>
      <c r="DJ298" s="53" t="e">
        <v>#N/A</v>
      </c>
    </row>
    <row r="299" spans="3:114" s="53" customFormat="1" ht="12.75">
      <c r="C299" s="80"/>
      <c r="E299" s="48"/>
      <c r="K299" s="48"/>
      <c r="M299" s="53" t="s">
        <v>30</v>
      </c>
      <c r="N299" s="53" t="s">
        <v>31</v>
      </c>
      <c r="O299" s="53" t="str">
        <f t="shared" si="51"/>
        <v>click</v>
      </c>
      <c r="P299" s="53" t="str">
        <f t="shared" si="49"/>
        <v>();</v>
      </c>
      <c r="Q299" s="53" t="str">
        <f t="shared" si="52"/>
        <v/>
      </c>
      <c r="R299" s="53" t="str">
        <f t="shared" si="47"/>
        <v/>
      </c>
      <c r="S299" s="53" t="str">
        <f t="shared" si="50"/>
        <v/>
      </c>
      <c r="CU299" s="53" t="e">
        <v>#N/A</v>
      </c>
      <c r="CV299" s="53" t="e">
        <v>#N/A</v>
      </c>
      <c r="CW299" s="53" t="e">
        <v>#N/A</v>
      </c>
      <c r="CX299" s="53" t="e">
        <v>#N/A</v>
      </c>
      <c r="CY299" s="53" t="e">
        <v>#N/A</v>
      </c>
      <c r="DE299" s="53" t="e">
        <v>#N/A</v>
      </c>
      <c r="DF299" s="53" t="e">
        <v>#N/A</v>
      </c>
      <c r="DG299" s="53" t="e">
        <v>#N/A</v>
      </c>
      <c r="DH299" s="53" t="e">
        <v>#N/A</v>
      </c>
      <c r="DI299" s="53" t="e">
        <v>#N/A</v>
      </c>
      <c r="DJ299" s="53" t="e">
        <v>#N/A</v>
      </c>
    </row>
    <row r="300" spans="3:114" s="53" customFormat="1" ht="12.75">
      <c r="C300" s="80"/>
      <c r="E300" s="48"/>
      <c r="K300" s="48"/>
      <c r="M300" s="53" t="s">
        <v>30</v>
      </c>
      <c r="N300" s="53" t="s">
        <v>31</v>
      </c>
      <c r="O300" s="53" t="str">
        <f t="shared" si="51"/>
        <v>click</v>
      </c>
      <c r="P300" s="53" t="str">
        <f t="shared" si="49"/>
        <v>();</v>
      </c>
      <c r="Q300" s="53" t="str">
        <f t="shared" si="52"/>
        <v/>
      </c>
      <c r="R300" s="53" t="str">
        <f t="shared" si="47"/>
        <v/>
      </c>
      <c r="S300" s="53" t="str">
        <f t="shared" ref="S300:S331" si="53">IF(O300="innerText",I300&amp;"="&amp;IF(C300="Y",IF(J300&lt;&gt;"Y",$S$9&amp;$R$10&amp;"."&amp;E300&amp;")."&amp;IF(OR(O300="click",O300="innerText"),O300&amp;"();",O300&amp;"("&amp;$Q$9&amp;"."&amp;E300&amp;");"),$S$110&amp;$R$10&amp;"."&amp;E300&amp;")."&amp;IF(O300="click",O300&amp;"();",O300&amp;"("&amp;"'"&amp;K300&amp;"'"&amp;");")),""),IF(C300="Y",IF(J300&lt;&gt;"Y",$S$9&amp;$R$10&amp;"."&amp;E300&amp;")."&amp;IF(OR(O300="click",O300="innerText"),O300&amp;"();",O300&amp;"("&amp;$Q$9&amp;"."&amp;E300&amp;");"),$S$110&amp;$R$10&amp;"."&amp;E300&amp;")."&amp;IF(O300="click",O300&amp;"();",O300&amp;"("&amp;"'"&amp;K300&amp;"'"&amp;");")),""))</f>
        <v/>
      </c>
      <c r="CU300" s="53" t="e">
        <v>#N/A</v>
      </c>
      <c r="CV300" s="53" t="e">
        <v>#N/A</v>
      </c>
      <c r="CW300" s="53" t="e">
        <v>#N/A</v>
      </c>
      <c r="CX300" s="53" t="e">
        <v>#N/A</v>
      </c>
      <c r="CY300" s="53" t="e">
        <v>#N/A</v>
      </c>
      <c r="DE300" s="53" t="e">
        <v>#N/A</v>
      </c>
      <c r="DF300" s="53" t="e">
        <v>#N/A</v>
      </c>
      <c r="DG300" s="53" t="e">
        <v>#N/A</v>
      </c>
      <c r="DH300" s="53" t="e">
        <v>#N/A</v>
      </c>
      <c r="DI300" s="53" t="e">
        <v>#N/A</v>
      </c>
      <c r="DJ300" s="53" t="e">
        <v>#N/A</v>
      </c>
    </row>
    <row r="301" spans="3:114" s="53" customFormat="1" ht="12.75">
      <c r="C301" s="80"/>
      <c r="E301" s="48"/>
      <c r="K301" s="48"/>
      <c r="M301" s="53" t="s">
        <v>30</v>
      </c>
      <c r="N301" s="53" t="s">
        <v>31</v>
      </c>
      <c r="O301" s="53" t="str">
        <f t="shared" si="51"/>
        <v>click</v>
      </c>
      <c r="P301" s="53" t="str">
        <f t="shared" si="49"/>
        <v>();</v>
      </c>
      <c r="Q301" s="53" t="str">
        <f t="shared" si="52"/>
        <v/>
      </c>
      <c r="R301" s="53" t="str">
        <f t="shared" si="47"/>
        <v/>
      </c>
      <c r="S301" s="53" t="str">
        <f t="shared" si="53"/>
        <v/>
      </c>
      <c r="CU301" s="53" t="e">
        <v>#N/A</v>
      </c>
      <c r="CV301" s="53" t="e">
        <v>#N/A</v>
      </c>
      <c r="CW301" s="53" t="e">
        <v>#N/A</v>
      </c>
      <c r="CX301" s="53" t="e">
        <v>#N/A</v>
      </c>
      <c r="CY301" s="53" t="e">
        <v>#N/A</v>
      </c>
      <c r="DE301" s="53" t="e">
        <v>#N/A</v>
      </c>
      <c r="DF301" s="53" t="e">
        <v>#N/A</v>
      </c>
      <c r="DG301" s="53" t="e">
        <v>#N/A</v>
      </c>
      <c r="DH301" s="53" t="e">
        <v>#N/A</v>
      </c>
      <c r="DI301" s="53" t="e">
        <v>#N/A</v>
      </c>
      <c r="DJ301" s="53" t="e">
        <v>#N/A</v>
      </c>
    </row>
    <row r="302" spans="3:114" s="53" customFormat="1" ht="12.75">
      <c r="C302" s="80"/>
      <c r="E302" s="48"/>
      <c r="K302" s="48"/>
      <c r="M302" s="53" t="s">
        <v>30</v>
      </c>
      <c r="N302" s="53" t="s">
        <v>31</v>
      </c>
      <c r="O302" s="53" t="str">
        <f t="shared" si="51"/>
        <v>click</v>
      </c>
      <c r="P302" s="53" t="str">
        <f t="shared" si="49"/>
        <v>();</v>
      </c>
      <c r="Q302" s="53" t="str">
        <f t="shared" si="52"/>
        <v/>
      </c>
      <c r="R302" s="53" t="str">
        <f t="shared" si="47"/>
        <v/>
      </c>
      <c r="S302" s="53" t="str">
        <f t="shared" si="53"/>
        <v/>
      </c>
      <c r="CU302" s="53" t="e">
        <v>#N/A</v>
      </c>
      <c r="CV302" s="53" t="e">
        <v>#N/A</v>
      </c>
      <c r="CW302" s="53" t="e">
        <v>#N/A</v>
      </c>
      <c r="CX302" s="53" t="e">
        <v>#N/A</v>
      </c>
      <c r="CY302" s="53" t="e">
        <v>#N/A</v>
      </c>
      <c r="DE302" s="53" t="e">
        <v>#N/A</v>
      </c>
      <c r="DF302" s="53" t="e">
        <v>#N/A</v>
      </c>
      <c r="DG302" s="53" t="e">
        <v>#N/A</v>
      </c>
      <c r="DH302" s="53" t="e">
        <v>#N/A</v>
      </c>
      <c r="DI302" s="53" t="e">
        <v>#N/A</v>
      </c>
      <c r="DJ302" s="53" t="e">
        <v>#N/A</v>
      </c>
    </row>
    <row r="303" spans="3:114" s="53" customFormat="1" ht="12.75">
      <c r="C303" s="80"/>
      <c r="E303" s="48"/>
      <c r="K303" s="48"/>
      <c r="M303" s="53" t="s">
        <v>30</v>
      </c>
      <c r="N303" s="53" t="s">
        <v>31</v>
      </c>
      <c r="O303" s="53" t="str">
        <f t="shared" si="51"/>
        <v>click</v>
      </c>
      <c r="P303" s="53" t="str">
        <f t="shared" si="49"/>
        <v>();</v>
      </c>
      <c r="Q303" s="53" t="str">
        <f t="shared" si="52"/>
        <v/>
      </c>
      <c r="R303" s="53" t="str">
        <f t="shared" si="47"/>
        <v/>
      </c>
      <c r="S303" s="53" t="str">
        <f t="shared" si="53"/>
        <v/>
      </c>
      <c r="CU303" s="53" t="e">
        <v>#N/A</v>
      </c>
      <c r="CV303" s="53" t="e">
        <v>#N/A</v>
      </c>
      <c r="CW303" s="53" t="e">
        <v>#N/A</v>
      </c>
      <c r="CX303" s="53" t="e">
        <v>#N/A</v>
      </c>
      <c r="CY303" s="53" t="e">
        <v>#N/A</v>
      </c>
      <c r="DE303" s="53" t="e">
        <v>#N/A</v>
      </c>
      <c r="DF303" s="53" t="e">
        <v>#N/A</v>
      </c>
      <c r="DG303" s="53" t="e">
        <v>#N/A</v>
      </c>
      <c r="DH303" s="53" t="e">
        <v>#N/A</v>
      </c>
      <c r="DI303" s="53" t="e">
        <v>#N/A</v>
      </c>
      <c r="DJ303" s="53" t="e">
        <v>#N/A</v>
      </c>
    </row>
    <row r="304" spans="3:114" s="53" customFormat="1" ht="12.75">
      <c r="C304" s="80"/>
      <c r="E304" s="48"/>
      <c r="K304" s="48"/>
      <c r="M304" s="53" t="s">
        <v>30</v>
      </c>
      <c r="N304" s="53" t="s">
        <v>31</v>
      </c>
      <c r="O304" s="53" t="str">
        <f t="shared" si="51"/>
        <v>click</v>
      </c>
      <c r="P304" s="53" t="str">
        <f t="shared" si="49"/>
        <v>();</v>
      </c>
      <c r="Q304" s="53" t="str">
        <f t="shared" si="52"/>
        <v/>
      </c>
      <c r="R304" s="53" t="str">
        <f t="shared" si="47"/>
        <v/>
      </c>
      <c r="S304" s="53" t="str">
        <f t="shared" si="53"/>
        <v/>
      </c>
      <c r="CU304" s="53" t="e">
        <v>#N/A</v>
      </c>
      <c r="CV304" s="53" t="e">
        <v>#N/A</v>
      </c>
      <c r="CW304" s="53" t="e">
        <v>#N/A</v>
      </c>
      <c r="CX304" s="53" t="e">
        <v>#N/A</v>
      </c>
      <c r="CY304" s="53" t="e">
        <v>#N/A</v>
      </c>
      <c r="DE304" s="53" t="e">
        <v>#N/A</v>
      </c>
      <c r="DF304" s="53" t="e">
        <v>#N/A</v>
      </c>
      <c r="DG304" s="53" t="e">
        <v>#N/A</v>
      </c>
      <c r="DH304" s="53" t="e">
        <v>#N/A</v>
      </c>
      <c r="DI304" s="53" t="e">
        <v>#N/A</v>
      </c>
      <c r="DJ304" s="53" t="e">
        <v>#N/A</v>
      </c>
    </row>
    <row r="305" spans="3:114" s="53" customFormat="1" ht="12.75">
      <c r="C305" s="80"/>
      <c r="E305" s="48"/>
      <c r="K305" s="48"/>
      <c r="M305" s="53" t="s">
        <v>30</v>
      </c>
      <c r="N305" s="53" t="s">
        <v>31</v>
      </c>
      <c r="O305" s="53" t="str">
        <f t="shared" si="51"/>
        <v>click</v>
      </c>
      <c r="P305" s="53" t="str">
        <f t="shared" si="49"/>
        <v>();</v>
      </c>
      <c r="Q305" s="53" t="str">
        <f t="shared" si="52"/>
        <v/>
      </c>
      <c r="R305" s="53" t="str">
        <f t="shared" si="47"/>
        <v/>
      </c>
      <c r="S305" s="53" t="str">
        <f t="shared" si="53"/>
        <v/>
      </c>
      <c r="CU305" s="53" t="e">
        <v>#N/A</v>
      </c>
      <c r="CV305" s="53" t="e">
        <v>#N/A</v>
      </c>
      <c r="CW305" s="53" t="e">
        <v>#N/A</v>
      </c>
      <c r="CX305" s="53" t="e">
        <v>#N/A</v>
      </c>
      <c r="CY305" s="53" t="e">
        <v>#N/A</v>
      </c>
      <c r="DE305" s="53" t="e">
        <v>#N/A</v>
      </c>
      <c r="DF305" s="53" t="e">
        <v>#N/A</v>
      </c>
      <c r="DG305" s="53" t="e">
        <v>#N/A</v>
      </c>
      <c r="DH305" s="53" t="e">
        <v>#N/A</v>
      </c>
      <c r="DI305" s="53" t="e">
        <v>#N/A</v>
      </c>
      <c r="DJ305" s="53" t="e">
        <v>#N/A</v>
      </c>
    </row>
    <row r="306" spans="3:114" s="53" customFormat="1" ht="12.75">
      <c r="C306" s="80"/>
      <c r="E306" s="48"/>
      <c r="K306" s="48"/>
      <c r="M306" s="53" t="s">
        <v>30</v>
      </c>
      <c r="N306" s="53" t="s">
        <v>31</v>
      </c>
      <c r="O306" s="53" t="str">
        <f t="shared" si="51"/>
        <v>click</v>
      </c>
      <c r="P306" s="53" t="str">
        <f t="shared" si="49"/>
        <v>();</v>
      </c>
      <c r="Q306" s="53" t="str">
        <f t="shared" si="52"/>
        <v/>
      </c>
      <c r="R306" s="53" t="str">
        <f t="shared" si="47"/>
        <v/>
      </c>
      <c r="S306" s="53" t="str">
        <f t="shared" si="53"/>
        <v/>
      </c>
      <c r="CU306" s="53" t="e">
        <v>#N/A</v>
      </c>
      <c r="CV306" s="53" t="e">
        <v>#N/A</v>
      </c>
      <c r="CW306" s="53" t="e">
        <v>#N/A</v>
      </c>
      <c r="CX306" s="53" t="e">
        <v>#N/A</v>
      </c>
      <c r="CY306" s="53" t="e">
        <v>#N/A</v>
      </c>
      <c r="DE306" s="53" t="e">
        <v>#N/A</v>
      </c>
      <c r="DF306" s="53" t="e">
        <v>#N/A</v>
      </c>
      <c r="DG306" s="53" t="e">
        <v>#N/A</v>
      </c>
      <c r="DH306" s="53" t="e">
        <v>#N/A</v>
      </c>
      <c r="DI306" s="53" t="e">
        <v>#N/A</v>
      </c>
      <c r="DJ306" s="53" t="e">
        <v>#N/A</v>
      </c>
    </row>
    <row r="307" spans="3:114" s="53" customFormat="1" ht="12.75">
      <c r="C307" s="80"/>
      <c r="E307" s="48"/>
      <c r="K307" s="48"/>
      <c r="M307" s="53" t="s">
        <v>30</v>
      </c>
      <c r="N307" s="53" t="s">
        <v>31</v>
      </c>
      <c r="O307" s="53" t="str">
        <f t="shared" si="51"/>
        <v>click</v>
      </c>
      <c r="P307" s="53" t="str">
        <f t="shared" si="49"/>
        <v>();</v>
      </c>
      <c r="Q307" s="53" t="str">
        <f t="shared" si="52"/>
        <v/>
      </c>
      <c r="R307" s="53" t="str">
        <f t="shared" si="47"/>
        <v/>
      </c>
      <c r="S307" s="53" t="str">
        <f t="shared" si="53"/>
        <v/>
      </c>
      <c r="CU307" s="53" t="e">
        <v>#N/A</v>
      </c>
      <c r="CV307" s="53" t="e">
        <v>#N/A</v>
      </c>
      <c r="CW307" s="53" t="e">
        <v>#N/A</v>
      </c>
      <c r="CX307" s="53" t="e">
        <v>#N/A</v>
      </c>
      <c r="CY307" s="53" t="e">
        <v>#N/A</v>
      </c>
      <c r="DE307" s="53" t="e">
        <v>#N/A</v>
      </c>
      <c r="DF307" s="53" t="e">
        <v>#N/A</v>
      </c>
      <c r="DG307" s="53" t="e">
        <v>#N/A</v>
      </c>
      <c r="DH307" s="53" t="e">
        <v>#N/A</v>
      </c>
      <c r="DI307" s="53" t="e">
        <v>#N/A</v>
      </c>
      <c r="DJ307" s="53" t="e">
        <v>#N/A</v>
      </c>
    </row>
    <row r="308" spans="3:114" s="53" customFormat="1" ht="12.75">
      <c r="C308" s="80"/>
      <c r="E308" s="48"/>
      <c r="K308" s="48"/>
      <c r="N308" s="53" t="str">
        <f t="shared" ref="N308:N339" si="54">IF(A308="Y",""""&amp;C308&amp;""""&amp;": "&amp;M308&amp;",","")</f>
        <v/>
      </c>
      <c r="O308" s="53" t="str">
        <f t="shared" si="51"/>
        <v>click</v>
      </c>
      <c r="P308" s="53" t="str">
        <f t="shared" si="49"/>
        <v>();</v>
      </c>
      <c r="Q308" s="53" t="str">
        <f t="shared" si="52"/>
        <v/>
      </c>
      <c r="R308" s="53" t="str">
        <f t="shared" si="47"/>
        <v/>
      </c>
      <c r="S308" s="53" t="str">
        <f t="shared" si="53"/>
        <v/>
      </c>
      <c r="CU308" s="53" t="e">
        <v>#N/A</v>
      </c>
      <c r="CV308" s="53" t="e">
        <v>#N/A</v>
      </c>
      <c r="CW308" s="53" t="e">
        <v>#N/A</v>
      </c>
      <c r="CX308" s="53" t="e">
        <v>#N/A</v>
      </c>
      <c r="CY308" s="53" t="e">
        <v>#N/A</v>
      </c>
      <c r="DE308" s="53" t="e">
        <v>#N/A</v>
      </c>
      <c r="DF308" s="53" t="e">
        <v>#N/A</v>
      </c>
      <c r="DG308" s="53" t="e">
        <v>#N/A</v>
      </c>
      <c r="DH308" s="53" t="e">
        <v>#N/A</v>
      </c>
      <c r="DI308" s="53" t="e">
        <v>#N/A</v>
      </c>
      <c r="DJ308" s="53" t="e">
        <v>#N/A</v>
      </c>
    </row>
    <row r="309" spans="3:114" s="53" customFormat="1" ht="12.75">
      <c r="C309" s="80"/>
      <c r="E309" s="48"/>
      <c r="K309" s="48"/>
      <c r="N309" s="53" t="str">
        <f t="shared" si="54"/>
        <v/>
      </c>
      <c r="O309" s="53" t="str">
        <f t="shared" si="51"/>
        <v>click</v>
      </c>
      <c r="P309" s="53" t="str">
        <f t="shared" si="49"/>
        <v>();</v>
      </c>
      <c r="Q309" s="53" t="str">
        <f t="shared" si="52"/>
        <v/>
      </c>
      <c r="R309" s="53" t="str">
        <f t="shared" si="47"/>
        <v/>
      </c>
      <c r="S309" s="53" t="str">
        <f t="shared" si="53"/>
        <v/>
      </c>
      <c r="CU309" s="53" t="e">
        <v>#N/A</v>
      </c>
      <c r="CV309" s="53" t="e">
        <v>#N/A</v>
      </c>
      <c r="CW309" s="53" t="e">
        <v>#N/A</v>
      </c>
      <c r="CX309" s="53" t="e">
        <v>#N/A</v>
      </c>
      <c r="CY309" s="53" t="e">
        <v>#N/A</v>
      </c>
      <c r="DE309" s="53" t="e">
        <v>#N/A</v>
      </c>
      <c r="DF309" s="53" t="e">
        <v>#N/A</v>
      </c>
      <c r="DG309" s="53" t="e">
        <v>#N/A</v>
      </c>
      <c r="DH309" s="53" t="e">
        <v>#N/A</v>
      </c>
      <c r="DI309" s="53" t="e">
        <v>#N/A</v>
      </c>
      <c r="DJ309" s="53" t="e">
        <v>#N/A</v>
      </c>
    </row>
    <row r="310" spans="3:114" s="53" customFormat="1" ht="12.75">
      <c r="C310" s="80"/>
      <c r="E310" s="48"/>
      <c r="K310" s="48"/>
      <c r="N310" s="53" t="str">
        <f t="shared" si="54"/>
        <v/>
      </c>
      <c r="O310" s="53" t="str">
        <f t="shared" si="51"/>
        <v>click</v>
      </c>
      <c r="P310" s="53" t="str">
        <f t="shared" si="49"/>
        <v>();</v>
      </c>
      <c r="Q310" s="53" t="str">
        <f t="shared" si="52"/>
        <v/>
      </c>
      <c r="R310" s="53" t="str">
        <f t="shared" si="47"/>
        <v/>
      </c>
      <c r="S310" s="53" t="str">
        <f t="shared" si="53"/>
        <v/>
      </c>
      <c r="CU310" s="53" t="e">
        <v>#N/A</v>
      </c>
      <c r="CV310" s="53" t="e">
        <v>#N/A</v>
      </c>
      <c r="CW310" s="53" t="e">
        <v>#N/A</v>
      </c>
      <c r="CX310" s="53" t="e">
        <v>#N/A</v>
      </c>
      <c r="CY310" s="53" t="e">
        <v>#N/A</v>
      </c>
      <c r="DE310" s="53" t="e">
        <v>#N/A</v>
      </c>
      <c r="DF310" s="53" t="e">
        <v>#N/A</v>
      </c>
      <c r="DG310" s="53" t="e">
        <v>#N/A</v>
      </c>
      <c r="DH310" s="53" t="e">
        <v>#N/A</v>
      </c>
      <c r="DI310" s="53" t="e">
        <v>#N/A</v>
      </c>
      <c r="DJ310" s="53" t="e">
        <v>#N/A</v>
      </c>
    </row>
    <row r="311" spans="3:114" s="53" customFormat="1" ht="12.75">
      <c r="C311" s="80"/>
      <c r="E311" s="48"/>
      <c r="K311" s="48"/>
      <c r="N311" s="53" t="str">
        <f t="shared" si="54"/>
        <v/>
      </c>
      <c r="O311" s="53" t="str">
        <f t="shared" si="51"/>
        <v>click</v>
      </c>
      <c r="P311" s="53" t="str">
        <f t="shared" si="49"/>
        <v>();</v>
      </c>
      <c r="Q311" s="53" t="str">
        <f t="shared" si="52"/>
        <v/>
      </c>
      <c r="R311" s="53" t="str">
        <f t="shared" si="47"/>
        <v/>
      </c>
      <c r="S311" s="53" t="str">
        <f t="shared" si="53"/>
        <v/>
      </c>
      <c r="CU311" s="53" t="e">
        <v>#N/A</v>
      </c>
      <c r="CV311" s="53" t="e">
        <v>#N/A</v>
      </c>
      <c r="CW311" s="53" t="e">
        <v>#N/A</v>
      </c>
      <c r="CX311" s="53" t="e">
        <v>#N/A</v>
      </c>
      <c r="CY311" s="53" t="e">
        <v>#N/A</v>
      </c>
      <c r="DE311" s="53" t="e">
        <v>#N/A</v>
      </c>
      <c r="DF311" s="53" t="e">
        <v>#N/A</v>
      </c>
      <c r="DG311" s="53" t="e">
        <v>#N/A</v>
      </c>
      <c r="DH311" s="53" t="e">
        <v>#N/A</v>
      </c>
      <c r="DI311" s="53" t="e">
        <v>#N/A</v>
      </c>
      <c r="DJ311" s="53" t="e">
        <v>#N/A</v>
      </c>
    </row>
    <row r="312" spans="3:114" s="53" customFormat="1" ht="12.75">
      <c r="C312" s="80"/>
      <c r="E312" s="48"/>
      <c r="K312" s="48"/>
      <c r="N312" s="53" t="str">
        <f t="shared" si="54"/>
        <v/>
      </c>
      <c r="O312" s="53" t="str">
        <f t="shared" si="51"/>
        <v>click</v>
      </c>
      <c r="P312" s="53" t="str">
        <f t="shared" si="49"/>
        <v>();</v>
      </c>
      <c r="Q312" s="53" t="str">
        <f t="shared" si="52"/>
        <v/>
      </c>
      <c r="R312" s="53" t="str">
        <f t="shared" si="47"/>
        <v/>
      </c>
      <c r="S312" s="53" t="str">
        <f t="shared" si="53"/>
        <v/>
      </c>
      <c r="CU312" s="53" t="e">
        <v>#N/A</v>
      </c>
      <c r="CV312" s="53" t="e">
        <v>#N/A</v>
      </c>
      <c r="CW312" s="53" t="e">
        <v>#N/A</v>
      </c>
      <c r="CX312" s="53" t="e">
        <v>#N/A</v>
      </c>
      <c r="CY312" s="53" t="e">
        <v>#N/A</v>
      </c>
      <c r="DE312" s="53" t="e">
        <v>#N/A</v>
      </c>
      <c r="DF312" s="53" t="e">
        <v>#N/A</v>
      </c>
      <c r="DG312" s="53" t="e">
        <v>#N/A</v>
      </c>
      <c r="DH312" s="53" t="e">
        <v>#N/A</v>
      </c>
      <c r="DI312" s="53" t="e">
        <v>#N/A</v>
      </c>
      <c r="DJ312" s="53" t="e">
        <v>#N/A</v>
      </c>
    </row>
    <row r="313" spans="3:114" s="53" customFormat="1" ht="12.75">
      <c r="C313" s="80"/>
      <c r="E313" s="48"/>
      <c r="K313" s="48"/>
      <c r="N313" s="53" t="str">
        <f t="shared" si="54"/>
        <v/>
      </c>
      <c r="O313" s="53" t="str">
        <f t="shared" si="51"/>
        <v>click</v>
      </c>
      <c r="P313" s="53" t="str">
        <f t="shared" si="49"/>
        <v>();</v>
      </c>
      <c r="Q313" s="53" t="str">
        <f t="shared" si="52"/>
        <v/>
      </c>
      <c r="R313" s="53" t="str">
        <f t="shared" si="47"/>
        <v/>
      </c>
      <c r="S313" s="53" t="str">
        <f t="shared" si="53"/>
        <v/>
      </c>
      <c r="CU313" s="53" t="e">
        <v>#N/A</v>
      </c>
      <c r="CV313" s="53" t="e">
        <v>#N/A</v>
      </c>
      <c r="CW313" s="53" t="e">
        <v>#N/A</v>
      </c>
      <c r="CX313" s="53" t="e">
        <v>#N/A</v>
      </c>
      <c r="CY313" s="53" t="e">
        <v>#N/A</v>
      </c>
      <c r="DE313" s="53" t="e">
        <v>#N/A</v>
      </c>
      <c r="DF313" s="53" t="e">
        <v>#N/A</v>
      </c>
      <c r="DG313" s="53" t="e">
        <v>#N/A</v>
      </c>
      <c r="DH313" s="53" t="e">
        <v>#N/A</v>
      </c>
      <c r="DI313" s="53" t="e">
        <v>#N/A</v>
      </c>
      <c r="DJ313" s="53" t="e">
        <v>#N/A</v>
      </c>
    </row>
    <row r="314" spans="3:114" s="53" customFormat="1" ht="12.75">
      <c r="C314" s="80"/>
      <c r="E314" s="48"/>
      <c r="K314" s="48"/>
      <c r="N314" s="53" t="str">
        <f t="shared" si="54"/>
        <v/>
      </c>
      <c r="O314" s="53" t="str">
        <f t="shared" si="51"/>
        <v>click</v>
      </c>
      <c r="P314" s="53" t="str">
        <f t="shared" si="49"/>
        <v>();</v>
      </c>
      <c r="Q314" s="53" t="str">
        <f t="shared" si="52"/>
        <v/>
      </c>
      <c r="R314" s="53" t="str">
        <f t="shared" si="47"/>
        <v/>
      </c>
      <c r="S314" s="53" t="str">
        <f t="shared" si="53"/>
        <v/>
      </c>
      <c r="CU314" s="53" t="e">
        <v>#N/A</v>
      </c>
      <c r="CV314" s="53" t="e">
        <v>#N/A</v>
      </c>
      <c r="CW314" s="53" t="e">
        <v>#N/A</v>
      </c>
      <c r="CX314" s="53" t="e">
        <v>#N/A</v>
      </c>
      <c r="CY314" s="53" t="e">
        <v>#N/A</v>
      </c>
      <c r="DE314" s="53" t="e">
        <v>#N/A</v>
      </c>
      <c r="DF314" s="53" t="e">
        <v>#N/A</v>
      </c>
      <c r="DG314" s="53" t="e">
        <v>#N/A</v>
      </c>
      <c r="DH314" s="53" t="e">
        <v>#N/A</v>
      </c>
      <c r="DI314" s="53" t="e">
        <v>#N/A</v>
      </c>
      <c r="DJ314" s="53" t="e">
        <v>#N/A</v>
      </c>
    </row>
    <row r="315" spans="3:114" s="53" customFormat="1" ht="12.75">
      <c r="C315" s="80"/>
      <c r="E315" s="48"/>
      <c r="K315" s="48"/>
      <c r="N315" s="53" t="str">
        <f t="shared" si="54"/>
        <v/>
      </c>
      <c r="O315" s="53" t="str">
        <f t="shared" si="51"/>
        <v>click</v>
      </c>
      <c r="P315" s="53" t="str">
        <f t="shared" si="49"/>
        <v>();</v>
      </c>
      <c r="Q315" s="53" t="str">
        <f t="shared" si="52"/>
        <v/>
      </c>
      <c r="R315" s="53" t="str">
        <f t="shared" si="47"/>
        <v/>
      </c>
      <c r="S315" s="53" t="str">
        <f t="shared" si="53"/>
        <v/>
      </c>
      <c r="CU315" s="53" t="e">
        <v>#N/A</v>
      </c>
      <c r="CV315" s="53" t="e">
        <v>#N/A</v>
      </c>
      <c r="CW315" s="53" t="e">
        <v>#N/A</v>
      </c>
      <c r="CX315" s="53" t="e">
        <v>#N/A</v>
      </c>
      <c r="CY315" s="53" t="e">
        <v>#N/A</v>
      </c>
      <c r="DE315" s="53" t="e">
        <v>#N/A</v>
      </c>
      <c r="DF315" s="53" t="e">
        <v>#N/A</v>
      </c>
      <c r="DG315" s="53" t="e">
        <v>#N/A</v>
      </c>
      <c r="DH315" s="53" t="e">
        <v>#N/A</v>
      </c>
      <c r="DI315" s="53" t="e">
        <v>#N/A</v>
      </c>
      <c r="DJ315" s="53" t="e">
        <v>#N/A</v>
      </c>
    </row>
    <row r="316" spans="3:114" s="53" customFormat="1" ht="12.75">
      <c r="C316" s="80"/>
      <c r="E316" s="48"/>
      <c r="K316" s="48"/>
      <c r="N316" s="53" t="str">
        <f t="shared" si="54"/>
        <v/>
      </c>
      <c r="O316" s="53" t="str">
        <f t="shared" si="51"/>
        <v>click</v>
      </c>
      <c r="P316" s="53" t="str">
        <f t="shared" si="49"/>
        <v>();</v>
      </c>
      <c r="Q316" s="53" t="str">
        <f t="shared" si="52"/>
        <v/>
      </c>
      <c r="R316" s="53" t="str">
        <f t="shared" si="47"/>
        <v/>
      </c>
      <c r="S316" s="53" t="str">
        <f t="shared" si="53"/>
        <v/>
      </c>
      <c r="CU316" s="53" t="e">
        <v>#N/A</v>
      </c>
      <c r="CV316" s="53" t="e">
        <v>#N/A</v>
      </c>
      <c r="CW316" s="53" t="e">
        <v>#N/A</v>
      </c>
      <c r="CX316" s="53" t="e">
        <v>#N/A</v>
      </c>
      <c r="CY316" s="53" t="e">
        <v>#N/A</v>
      </c>
      <c r="DE316" s="53" t="e">
        <v>#N/A</v>
      </c>
      <c r="DF316" s="53" t="e">
        <v>#N/A</v>
      </c>
      <c r="DG316" s="53" t="e">
        <v>#N/A</v>
      </c>
      <c r="DH316" s="53" t="e">
        <v>#N/A</v>
      </c>
      <c r="DI316" s="53" t="e">
        <v>#N/A</v>
      </c>
      <c r="DJ316" s="53" t="e">
        <v>#N/A</v>
      </c>
    </row>
    <row r="317" spans="3:114" s="53" customFormat="1" ht="12.75">
      <c r="C317" s="80"/>
      <c r="E317" s="48"/>
      <c r="K317" s="48"/>
      <c r="N317" s="53" t="str">
        <f t="shared" si="54"/>
        <v/>
      </c>
      <c r="O317" s="53" t="str">
        <f t="shared" si="51"/>
        <v>click</v>
      </c>
      <c r="P317" s="53" t="str">
        <f t="shared" si="49"/>
        <v>();</v>
      </c>
      <c r="Q317" s="53" t="str">
        <f t="shared" si="52"/>
        <v/>
      </c>
      <c r="R317" s="53" t="str">
        <f t="shared" si="47"/>
        <v/>
      </c>
      <c r="S317" s="53" t="str">
        <f t="shared" si="53"/>
        <v/>
      </c>
      <c r="CU317" s="53" t="e">
        <v>#N/A</v>
      </c>
      <c r="CV317" s="53" t="e">
        <v>#N/A</v>
      </c>
      <c r="CW317" s="53" t="e">
        <v>#N/A</v>
      </c>
      <c r="CX317" s="53" t="e">
        <v>#N/A</v>
      </c>
      <c r="CY317" s="53" t="e">
        <v>#N/A</v>
      </c>
      <c r="DE317" s="53" t="e">
        <v>#N/A</v>
      </c>
      <c r="DF317" s="53" t="e">
        <v>#N/A</v>
      </c>
      <c r="DG317" s="53" t="e">
        <v>#N/A</v>
      </c>
      <c r="DH317" s="53" t="e">
        <v>#N/A</v>
      </c>
      <c r="DI317" s="53" t="e">
        <v>#N/A</v>
      </c>
      <c r="DJ317" s="53" t="e">
        <v>#N/A</v>
      </c>
    </row>
    <row r="318" spans="3:114" s="53" customFormat="1" ht="12.75">
      <c r="C318" s="80"/>
      <c r="E318" s="48"/>
      <c r="K318" s="48"/>
      <c r="N318" s="53" t="str">
        <f t="shared" si="54"/>
        <v/>
      </c>
      <c r="O318" s="53" t="str">
        <f t="shared" si="51"/>
        <v>click</v>
      </c>
      <c r="P318" s="53" t="str">
        <f t="shared" si="49"/>
        <v>();</v>
      </c>
      <c r="Q318" s="53" t="str">
        <f t="shared" si="52"/>
        <v/>
      </c>
      <c r="R318" s="53" t="str">
        <f t="shared" si="47"/>
        <v/>
      </c>
      <c r="S318" s="53" t="str">
        <f t="shared" si="53"/>
        <v/>
      </c>
      <c r="CU318" s="53" t="e">
        <v>#N/A</v>
      </c>
      <c r="CV318" s="53" t="e">
        <v>#N/A</v>
      </c>
      <c r="CW318" s="53" t="e">
        <v>#N/A</v>
      </c>
      <c r="CX318" s="53" t="e">
        <v>#N/A</v>
      </c>
      <c r="CY318" s="53" t="e">
        <v>#N/A</v>
      </c>
      <c r="DE318" s="53" t="e">
        <v>#N/A</v>
      </c>
      <c r="DF318" s="53" t="e">
        <v>#N/A</v>
      </c>
      <c r="DG318" s="53" t="e">
        <v>#N/A</v>
      </c>
      <c r="DH318" s="53" t="e">
        <v>#N/A</v>
      </c>
      <c r="DI318" s="53" t="e">
        <v>#N/A</v>
      </c>
      <c r="DJ318" s="53" t="e">
        <v>#N/A</v>
      </c>
    </row>
    <row r="319" spans="3:114" s="53" customFormat="1" ht="12.75">
      <c r="C319" s="80"/>
      <c r="E319" s="48"/>
      <c r="K319" s="48"/>
      <c r="N319" s="53" t="str">
        <f t="shared" si="54"/>
        <v/>
      </c>
      <c r="O319" s="53" t="str">
        <f t="shared" si="51"/>
        <v>click</v>
      </c>
      <c r="P319" s="53" t="str">
        <f t="shared" si="49"/>
        <v>();</v>
      </c>
      <c r="Q319" s="53" t="str">
        <f t="shared" si="52"/>
        <v/>
      </c>
      <c r="R319" s="53" t="str">
        <f t="shared" ref="R319:R382" si="55">IF(C319="Y",""""&amp;E319&amp;""""&amp;":"&amp;Q319&amp;",","")</f>
        <v/>
      </c>
      <c r="S319" s="53" t="str">
        <f t="shared" si="53"/>
        <v/>
      </c>
      <c r="CU319" s="53" t="e">
        <v>#N/A</v>
      </c>
      <c r="CV319" s="53" t="e">
        <v>#N/A</v>
      </c>
      <c r="CW319" s="53" t="e">
        <v>#N/A</v>
      </c>
      <c r="CX319" s="53" t="e">
        <v>#N/A</v>
      </c>
      <c r="CY319" s="53" t="e">
        <v>#N/A</v>
      </c>
      <c r="DE319" s="53" t="e">
        <v>#N/A</v>
      </c>
      <c r="DF319" s="53" t="e">
        <v>#N/A</v>
      </c>
      <c r="DG319" s="53" t="e">
        <v>#N/A</v>
      </c>
      <c r="DH319" s="53" t="e">
        <v>#N/A</v>
      </c>
      <c r="DI319" s="53" t="e">
        <v>#N/A</v>
      </c>
      <c r="DJ319" s="53" t="e">
        <v>#N/A</v>
      </c>
    </row>
    <row r="320" spans="3:114" s="53" customFormat="1" ht="12.75">
      <c r="C320" s="80"/>
      <c r="E320" s="48"/>
      <c r="K320" s="48"/>
      <c r="N320" s="53" t="str">
        <f t="shared" si="54"/>
        <v/>
      </c>
      <c r="O320" s="53" t="str">
        <f t="shared" si="51"/>
        <v>click</v>
      </c>
      <c r="P320" s="53" t="str">
        <f t="shared" si="49"/>
        <v>();</v>
      </c>
      <c r="Q320" s="53" t="str">
        <f t="shared" si="52"/>
        <v/>
      </c>
      <c r="R320" s="53" t="str">
        <f t="shared" si="55"/>
        <v/>
      </c>
      <c r="S320" s="53" t="str">
        <f t="shared" si="53"/>
        <v/>
      </c>
      <c r="CU320" s="53" t="e">
        <v>#N/A</v>
      </c>
      <c r="CV320" s="53" t="e">
        <v>#N/A</v>
      </c>
      <c r="CW320" s="53" t="e">
        <v>#N/A</v>
      </c>
      <c r="CX320" s="53" t="e">
        <v>#N/A</v>
      </c>
      <c r="CY320" s="53" t="e">
        <v>#N/A</v>
      </c>
      <c r="DE320" s="53" t="e">
        <v>#N/A</v>
      </c>
      <c r="DF320" s="53" t="e">
        <v>#N/A</v>
      </c>
      <c r="DG320" s="53" t="e">
        <v>#N/A</v>
      </c>
      <c r="DH320" s="53" t="e">
        <v>#N/A</v>
      </c>
      <c r="DI320" s="53" t="e">
        <v>#N/A</v>
      </c>
      <c r="DJ320" s="53" t="e">
        <v>#N/A</v>
      </c>
    </row>
    <row r="321" spans="3:114" s="53" customFormat="1" ht="12.75">
      <c r="C321" s="80"/>
      <c r="E321" s="48"/>
      <c r="K321" s="48"/>
      <c r="N321" s="53" t="str">
        <f t="shared" si="54"/>
        <v/>
      </c>
      <c r="O321" s="53" t="str">
        <f t="shared" si="51"/>
        <v>click</v>
      </c>
      <c r="P321" s="53" t="str">
        <f t="shared" si="49"/>
        <v>();</v>
      </c>
      <c r="Q321" s="53" t="str">
        <f t="shared" si="52"/>
        <v/>
      </c>
      <c r="R321" s="53" t="str">
        <f t="shared" si="55"/>
        <v/>
      </c>
      <c r="S321" s="53" t="str">
        <f t="shared" si="53"/>
        <v/>
      </c>
      <c r="CU321" s="53" t="e">
        <v>#N/A</v>
      </c>
      <c r="CV321" s="53" t="e">
        <v>#N/A</v>
      </c>
      <c r="CW321" s="53" t="e">
        <v>#N/A</v>
      </c>
      <c r="CX321" s="53" t="e">
        <v>#N/A</v>
      </c>
      <c r="CY321" s="53" t="e">
        <v>#N/A</v>
      </c>
      <c r="DE321" s="53" t="e">
        <v>#N/A</v>
      </c>
      <c r="DF321" s="53" t="e">
        <v>#N/A</v>
      </c>
      <c r="DG321" s="53" t="e">
        <v>#N/A</v>
      </c>
      <c r="DH321" s="53" t="e">
        <v>#N/A</v>
      </c>
      <c r="DI321" s="53" t="e">
        <v>#N/A</v>
      </c>
      <c r="DJ321" s="53" t="e">
        <v>#N/A</v>
      </c>
    </row>
    <row r="322" spans="3:114" s="53" customFormat="1" ht="12.75">
      <c r="C322" s="80"/>
      <c r="E322" s="48"/>
      <c r="K322" s="48"/>
      <c r="N322" s="53" t="str">
        <f t="shared" si="54"/>
        <v/>
      </c>
      <c r="O322" s="53" t="str">
        <f t="shared" si="51"/>
        <v>click</v>
      </c>
      <c r="P322" s="53" t="str">
        <f t="shared" si="49"/>
        <v>();</v>
      </c>
      <c r="Q322" s="53" t="str">
        <f t="shared" si="52"/>
        <v/>
      </c>
      <c r="R322" s="53" t="str">
        <f t="shared" si="55"/>
        <v/>
      </c>
      <c r="S322" s="53" t="str">
        <f t="shared" si="53"/>
        <v/>
      </c>
      <c r="CU322" s="53" t="e">
        <v>#N/A</v>
      </c>
      <c r="CV322" s="53" t="e">
        <v>#N/A</v>
      </c>
      <c r="CW322" s="53" t="e">
        <v>#N/A</v>
      </c>
      <c r="CX322" s="53" t="e">
        <v>#N/A</v>
      </c>
      <c r="CY322" s="53" t="e">
        <v>#N/A</v>
      </c>
      <c r="DE322" s="53" t="e">
        <v>#N/A</v>
      </c>
      <c r="DF322" s="53" t="e">
        <v>#N/A</v>
      </c>
      <c r="DG322" s="53" t="e">
        <v>#N/A</v>
      </c>
      <c r="DH322" s="53" t="e">
        <v>#N/A</v>
      </c>
      <c r="DI322" s="53" t="e">
        <v>#N/A</v>
      </c>
      <c r="DJ322" s="53" t="e">
        <v>#N/A</v>
      </c>
    </row>
    <row r="323" spans="3:114" s="53" customFormat="1" ht="12.75">
      <c r="C323" s="80"/>
      <c r="E323" s="48"/>
      <c r="K323" s="48"/>
      <c r="N323" s="53" t="str">
        <f t="shared" si="54"/>
        <v/>
      </c>
      <c r="O323" s="53" t="str">
        <f t="shared" si="51"/>
        <v>click</v>
      </c>
      <c r="P323" s="53" t="str">
        <f t="shared" si="49"/>
        <v>();</v>
      </c>
      <c r="Q323" s="53" t="str">
        <f t="shared" si="52"/>
        <v/>
      </c>
      <c r="R323" s="53" t="str">
        <f t="shared" si="55"/>
        <v/>
      </c>
      <c r="S323" s="53" t="str">
        <f t="shared" si="53"/>
        <v/>
      </c>
      <c r="CU323" s="53" t="e">
        <v>#N/A</v>
      </c>
      <c r="CV323" s="53" t="e">
        <v>#N/A</v>
      </c>
      <c r="CW323" s="53" t="e">
        <v>#N/A</v>
      </c>
      <c r="CX323" s="53" t="e">
        <v>#N/A</v>
      </c>
      <c r="CY323" s="53" t="e">
        <v>#N/A</v>
      </c>
      <c r="DE323" s="53" t="e">
        <v>#N/A</v>
      </c>
      <c r="DF323" s="53" t="e">
        <v>#N/A</v>
      </c>
      <c r="DG323" s="53" t="e">
        <v>#N/A</v>
      </c>
      <c r="DH323" s="53" t="e">
        <v>#N/A</v>
      </c>
      <c r="DI323" s="53" t="e">
        <v>#N/A</v>
      </c>
      <c r="DJ323" s="53" t="e">
        <v>#N/A</v>
      </c>
    </row>
    <row r="324" spans="3:114" s="53" customFormat="1" ht="12.75">
      <c r="C324" s="80"/>
      <c r="E324" s="48"/>
      <c r="K324" s="48"/>
      <c r="N324" s="53" t="str">
        <f t="shared" si="54"/>
        <v/>
      </c>
      <c r="O324" s="53" t="str">
        <f t="shared" si="51"/>
        <v>click</v>
      </c>
      <c r="P324" s="53" t="str">
        <f t="shared" si="49"/>
        <v>();</v>
      </c>
      <c r="Q324" s="53" t="str">
        <f t="shared" si="52"/>
        <v/>
      </c>
      <c r="R324" s="53" t="str">
        <f t="shared" si="55"/>
        <v/>
      </c>
      <c r="S324" s="53" t="str">
        <f t="shared" si="53"/>
        <v/>
      </c>
      <c r="CU324" s="53" t="e">
        <v>#N/A</v>
      </c>
      <c r="CV324" s="53" t="e">
        <v>#N/A</v>
      </c>
      <c r="CW324" s="53" t="e">
        <v>#N/A</v>
      </c>
      <c r="CX324" s="53" t="e">
        <v>#N/A</v>
      </c>
      <c r="CY324" s="53" t="e">
        <v>#N/A</v>
      </c>
      <c r="DE324" s="53" t="e">
        <v>#N/A</v>
      </c>
      <c r="DF324" s="53" t="e">
        <v>#N/A</v>
      </c>
      <c r="DG324" s="53" t="e">
        <v>#N/A</v>
      </c>
      <c r="DH324" s="53" t="e">
        <v>#N/A</v>
      </c>
      <c r="DI324" s="53" t="e">
        <v>#N/A</v>
      </c>
      <c r="DJ324" s="53" t="e">
        <v>#N/A</v>
      </c>
    </row>
    <row r="325" spans="3:114" s="53" customFormat="1" ht="12.75">
      <c r="C325" s="80"/>
      <c r="E325" s="48"/>
      <c r="K325" s="48"/>
      <c r="N325" s="53" t="str">
        <f t="shared" si="54"/>
        <v/>
      </c>
      <c r="O325" s="53" t="str">
        <f t="shared" si="51"/>
        <v>click</v>
      </c>
      <c r="P325" s="53" t="str">
        <f t="shared" si="49"/>
        <v>();</v>
      </c>
      <c r="Q325" s="53" t="str">
        <f t="shared" si="52"/>
        <v/>
      </c>
      <c r="R325" s="53" t="str">
        <f t="shared" si="55"/>
        <v/>
      </c>
      <c r="S325" s="53" t="str">
        <f t="shared" si="53"/>
        <v/>
      </c>
      <c r="CU325" s="53" t="e">
        <v>#N/A</v>
      </c>
      <c r="CV325" s="53" t="e">
        <v>#N/A</v>
      </c>
      <c r="CW325" s="53" t="e">
        <v>#N/A</v>
      </c>
      <c r="CX325" s="53" t="e">
        <v>#N/A</v>
      </c>
      <c r="CY325" s="53" t="e">
        <v>#N/A</v>
      </c>
      <c r="DE325" s="53" t="e">
        <v>#N/A</v>
      </c>
      <c r="DF325" s="53" t="e">
        <v>#N/A</v>
      </c>
      <c r="DG325" s="53" t="e">
        <v>#N/A</v>
      </c>
      <c r="DH325" s="53" t="e">
        <v>#N/A</v>
      </c>
      <c r="DI325" s="53" t="e">
        <v>#N/A</v>
      </c>
      <c r="DJ325" s="53" t="e">
        <v>#N/A</v>
      </c>
    </row>
    <row r="326" spans="3:114" s="53" customFormat="1" ht="12.75">
      <c r="C326" s="80"/>
      <c r="E326" s="48"/>
      <c r="K326" s="48"/>
      <c r="N326" s="53" t="str">
        <f t="shared" si="54"/>
        <v/>
      </c>
      <c r="O326" s="53" t="str">
        <f t="shared" si="51"/>
        <v>click</v>
      </c>
      <c r="P326" s="53" t="str">
        <f t="shared" si="49"/>
        <v>();</v>
      </c>
      <c r="Q326" s="53" t="str">
        <f t="shared" si="52"/>
        <v/>
      </c>
      <c r="R326" s="53" t="str">
        <f t="shared" si="55"/>
        <v/>
      </c>
      <c r="S326" s="53" t="str">
        <f t="shared" si="53"/>
        <v/>
      </c>
      <c r="CU326" s="53" t="e">
        <v>#N/A</v>
      </c>
      <c r="CV326" s="53" t="e">
        <v>#N/A</v>
      </c>
      <c r="CW326" s="53" t="e">
        <v>#N/A</v>
      </c>
      <c r="CX326" s="53" t="e">
        <v>#N/A</v>
      </c>
      <c r="CY326" s="53" t="e">
        <v>#N/A</v>
      </c>
      <c r="DE326" s="53" t="e">
        <v>#N/A</v>
      </c>
      <c r="DF326" s="53" t="e">
        <v>#N/A</v>
      </c>
      <c r="DG326" s="53" t="e">
        <v>#N/A</v>
      </c>
      <c r="DH326" s="53" t="e">
        <v>#N/A</v>
      </c>
      <c r="DI326" s="53" t="e">
        <v>#N/A</v>
      </c>
      <c r="DJ326" s="53" t="e">
        <v>#N/A</v>
      </c>
    </row>
    <row r="327" spans="3:114" s="53" customFormat="1" ht="12.75">
      <c r="C327" s="80"/>
      <c r="E327" s="48"/>
      <c r="K327" s="48"/>
      <c r="N327" s="53" t="str">
        <f t="shared" si="54"/>
        <v/>
      </c>
      <c r="O327" s="53" t="str">
        <f t="shared" si="51"/>
        <v>click</v>
      </c>
      <c r="P327" s="53" t="str">
        <f t="shared" si="49"/>
        <v>();</v>
      </c>
      <c r="Q327" s="53" t="str">
        <f t="shared" si="52"/>
        <v/>
      </c>
      <c r="R327" s="53" t="str">
        <f t="shared" si="55"/>
        <v/>
      </c>
      <c r="S327" s="53" t="str">
        <f t="shared" si="53"/>
        <v/>
      </c>
      <c r="CU327" s="53" t="e">
        <v>#N/A</v>
      </c>
      <c r="CV327" s="53" t="e">
        <v>#N/A</v>
      </c>
      <c r="CW327" s="53" t="e">
        <v>#N/A</v>
      </c>
      <c r="CX327" s="53" t="e">
        <v>#N/A</v>
      </c>
      <c r="CY327" s="53" t="e">
        <v>#N/A</v>
      </c>
      <c r="DE327" s="53" t="e">
        <v>#N/A</v>
      </c>
      <c r="DF327" s="53" t="e">
        <v>#N/A</v>
      </c>
      <c r="DG327" s="53" t="e">
        <v>#N/A</v>
      </c>
      <c r="DH327" s="53" t="e">
        <v>#N/A</v>
      </c>
      <c r="DI327" s="53" t="e">
        <v>#N/A</v>
      </c>
      <c r="DJ327" s="53" t="e">
        <v>#N/A</v>
      </c>
    </row>
    <row r="328" spans="3:114" s="53" customFormat="1" ht="12.75">
      <c r="C328" s="80"/>
      <c r="E328" s="48"/>
      <c r="K328" s="48"/>
      <c r="N328" s="53" t="str">
        <f t="shared" si="54"/>
        <v/>
      </c>
      <c r="O328" s="53" t="str">
        <f t="shared" si="51"/>
        <v>click</v>
      </c>
      <c r="P328" s="53" t="str">
        <f t="shared" si="49"/>
        <v>();</v>
      </c>
      <c r="Q328" s="53" t="str">
        <f t="shared" si="52"/>
        <v/>
      </c>
      <c r="R328" s="53" t="str">
        <f t="shared" si="55"/>
        <v/>
      </c>
      <c r="S328" s="53" t="str">
        <f t="shared" si="53"/>
        <v/>
      </c>
      <c r="CU328" s="53" t="e">
        <v>#N/A</v>
      </c>
      <c r="CV328" s="53" t="e">
        <v>#N/A</v>
      </c>
      <c r="CW328" s="53" t="e">
        <v>#N/A</v>
      </c>
      <c r="CX328" s="53" t="e">
        <v>#N/A</v>
      </c>
      <c r="CY328" s="53" t="e">
        <v>#N/A</v>
      </c>
      <c r="DE328" s="53" t="e">
        <v>#N/A</v>
      </c>
      <c r="DF328" s="53" t="e">
        <v>#N/A</v>
      </c>
      <c r="DG328" s="53" t="e">
        <v>#N/A</v>
      </c>
      <c r="DH328" s="53" t="e">
        <v>#N/A</v>
      </c>
      <c r="DI328" s="53" t="e">
        <v>#N/A</v>
      </c>
      <c r="DJ328" s="53" t="e">
        <v>#N/A</v>
      </c>
    </row>
    <row r="329" spans="3:114" s="53" customFormat="1" ht="12.75">
      <c r="C329" s="80"/>
      <c r="E329" s="48"/>
      <c r="K329" s="48"/>
      <c r="N329" s="53" t="str">
        <f t="shared" si="54"/>
        <v/>
      </c>
      <c r="O329" s="53" t="str">
        <f t="shared" si="51"/>
        <v>click</v>
      </c>
      <c r="P329" s="53" t="str">
        <f t="shared" si="49"/>
        <v>();</v>
      </c>
      <c r="Q329" s="53" t="str">
        <f t="shared" ref="Q329:Q360" si="56">IF(C329="Y",IF(H329&lt;&gt;"Xpath",M329&amp;F329&amp;N329,""""&amp;F329&amp;""""),"")</f>
        <v/>
      </c>
      <c r="R329" s="53" t="str">
        <f t="shared" si="55"/>
        <v/>
      </c>
      <c r="S329" s="53" t="str">
        <f t="shared" si="53"/>
        <v/>
      </c>
      <c r="CU329" s="53" t="e">
        <v>#N/A</v>
      </c>
      <c r="CV329" s="53" t="e">
        <v>#N/A</v>
      </c>
      <c r="CW329" s="53" t="e">
        <v>#N/A</v>
      </c>
      <c r="CX329" s="53" t="e">
        <v>#N/A</v>
      </c>
      <c r="CY329" s="53" t="e">
        <v>#N/A</v>
      </c>
      <c r="DE329" s="53" t="e">
        <v>#N/A</v>
      </c>
      <c r="DF329" s="53" t="e">
        <v>#N/A</v>
      </c>
      <c r="DG329" s="53" t="e">
        <v>#N/A</v>
      </c>
      <c r="DH329" s="53" t="e">
        <v>#N/A</v>
      </c>
      <c r="DI329" s="53" t="e">
        <v>#N/A</v>
      </c>
      <c r="DJ329" s="53" t="e">
        <v>#N/A</v>
      </c>
    </row>
    <row r="330" spans="3:114" s="53" customFormat="1" ht="12.75">
      <c r="C330" s="80"/>
      <c r="E330" s="48"/>
      <c r="K330" s="48"/>
      <c r="N330" s="53" t="str">
        <f t="shared" si="54"/>
        <v/>
      </c>
      <c r="O330" s="53" t="str">
        <f t="shared" si="51"/>
        <v>click</v>
      </c>
      <c r="P330" s="53" t="str">
        <f t="shared" si="49"/>
        <v>();</v>
      </c>
      <c r="Q330" s="53" t="str">
        <f t="shared" si="56"/>
        <v/>
      </c>
      <c r="R330" s="53" t="str">
        <f t="shared" si="55"/>
        <v/>
      </c>
      <c r="S330" s="53" t="str">
        <f t="shared" si="53"/>
        <v/>
      </c>
      <c r="CU330" s="53" t="e">
        <v>#N/A</v>
      </c>
      <c r="CV330" s="53" t="e">
        <v>#N/A</v>
      </c>
      <c r="CW330" s="53" t="e">
        <v>#N/A</v>
      </c>
      <c r="CX330" s="53" t="e">
        <v>#N/A</v>
      </c>
      <c r="CY330" s="53" t="e">
        <v>#N/A</v>
      </c>
      <c r="DE330" s="53" t="e">
        <v>#N/A</v>
      </c>
      <c r="DF330" s="53" t="e">
        <v>#N/A</v>
      </c>
      <c r="DG330" s="53" t="e">
        <v>#N/A</v>
      </c>
      <c r="DH330" s="53" t="e">
        <v>#N/A</v>
      </c>
      <c r="DI330" s="53" t="e">
        <v>#N/A</v>
      </c>
      <c r="DJ330" s="53" t="e">
        <v>#N/A</v>
      </c>
    </row>
    <row r="331" spans="3:114" s="53" customFormat="1" ht="12.75">
      <c r="C331" s="80"/>
      <c r="E331" s="48"/>
      <c r="K331" s="48"/>
      <c r="N331" s="53" t="str">
        <f t="shared" si="54"/>
        <v/>
      </c>
      <c r="O331" s="53" t="str">
        <f t="shared" si="51"/>
        <v>click</v>
      </c>
      <c r="P331" s="53" t="str">
        <f t="shared" si="49"/>
        <v>();</v>
      </c>
      <c r="Q331" s="53" t="str">
        <f t="shared" si="56"/>
        <v/>
      </c>
      <c r="R331" s="53" t="str">
        <f t="shared" si="55"/>
        <v/>
      </c>
      <c r="S331" s="53" t="str">
        <f t="shared" si="53"/>
        <v/>
      </c>
      <c r="CU331" s="53" t="e">
        <v>#N/A</v>
      </c>
      <c r="CV331" s="53" t="e">
        <v>#N/A</v>
      </c>
      <c r="CW331" s="53" t="e">
        <v>#N/A</v>
      </c>
      <c r="CX331" s="53" t="e">
        <v>#N/A</v>
      </c>
      <c r="CY331" s="53" t="e">
        <v>#N/A</v>
      </c>
      <c r="DE331" s="53" t="e">
        <v>#N/A</v>
      </c>
      <c r="DF331" s="53" t="e">
        <v>#N/A</v>
      </c>
      <c r="DG331" s="53" t="e">
        <v>#N/A</v>
      </c>
      <c r="DH331" s="53" t="e">
        <v>#N/A</v>
      </c>
      <c r="DI331" s="53" t="e">
        <v>#N/A</v>
      </c>
      <c r="DJ331" s="53" t="e">
        <v>#N/A</v>
      </c>
    </row>
    <row r="332" spans="3:114" s="53" customFormat="1" ht="12.75">
      <c r="C332" s="80"/>
      <c r="E332" s="48"/>
      <c r="K332" s="48"/>
      <c r="N332" s="53" t="str">
        <f t="shared" si="54"/>
        <v/>
      </c>
      <c r="O332" s="53" t="str">
        <f t="shared" si="51"/>
        <v>click</v>
      </c>
      <c r="P332" s="53" t="str">
        <f t="shared" ref="P332:P395" si="57">IF(OR(O332="Click",O332="innerText"),"();","("&amp;""""&amp;K332&amp;""""&amp;");")</f>
        <v>();</v>
      </c>
      <c r="Q332" s="53" t="str">
        <f t="shared" si="56"/>
        <v/>
      </c>
      <c r="R332" s="53" t="str">
        <f t="shared" si="55"/>
        <v/>
      </c>
      <c r="S332" s="53" t="str">
        <f t="shared" ref="S332:S363" si="58">IF(O332="innerText",I332&amp;"="&amp;IF(C332="Y",IF(J332&lt;&gt;"Y",$S$9&amp;$R$10&amp;"."&amp;E332&amp;")."&amp;IF(OR(O332="click",O332="innerText"),O332&amp;"();",O332&amp;"("&amp;$Q$9&amp;"."&amp;E332&amp;");"),$S$110&amp;$R$10&amp;"."&amp;E332&amp;")."&amp;IF(O332="click",O332&amp;"();",O332&amp;"("&amp;"'"&amp;K332&amp;"'"&amp;");")),""),IF(C332="Y",IF(J332&lt;&gt;"Y",$S$9&amp;$R$10&amp;"."&amp;E332&amp;")."&amp;IF(OR(O332="click",O332="innerText"),O332&amp;"();",O332&amp;"("&amp;$Q$9&amp;"."&amp;E332&amp;");"),$S$110&amp;$R$10&amp;"."&amp;E332&amp;")."&amp;IF(O332="click",O332&amp;"();",O332&amp;"("&amp;"'"&amp;K332&amp;"'"&amp;");")),""))</f>
        <v/>
      </c>
      <c r="CU332" s="53" t="e">
        <v>#N/A</v>
      </c>
      <c r="CV332" s="53" t="e">
        <v>#N/A</v>
      </c>
      <c r="CW332" s="53" t="e">
        <v>#N/A</v>
      </c>
      <c r="CX332" s="53" t="e">
        <v>#N/A</v>
      </c>
      <c r="CY332" s="53" t="e">
        <v>#N/A</v>
      </c>
      <c r="DE332" s="53" t="e">
        <v>#N/A</v>
      </c>
      <c r="DF332" s="53" t="e">
        <v>#N/A</v>
      </c>
      <c r="DG332" s="53" t="e">
        <v>#N/A</v>
      </c>
      <c r="DH332" s="53" t="e">
        <v>#N/A</v>
      </c>
      <c r="DI332" s="53" t="e">
        <v>#N/A</v>
      </c>
      <c r="DJ332" s="53" t="e">
        <v>#N/A</v>
      </c>
    </row>
    <row r="333" spans="3:114" s="53" customFormat="1" ht="12.75">
      <c r="C333" s="80"/>
      <c r="E333" s="48"/>
      <c r="K333" s="48"/>
      <c r="N333" s="53" t="str">
        <f t="shared" si="54"/>
        <v/>
      </c>
      <c r="O333" s="53" t="str">
        <f t="shared" si="51"/>
        <v>click</v>
      </c>
      <c r="P333" s="53" t="str">
        <f t="shared" si="57"/>
        <v>();</v>
      </c>
      <c r="Q333" s="53" t="str">
        <f t="shared" si="56"/>
        <v/>
      </c>
      <c r="R333" s="53" t="str">
        <f t="shared" si="55"/>
        <v/>
      </c>
      <c r="S333" s="53" t="str">
        <f t="shared" si="58"/>
        <v/>
      </c>
      <c r="CU333" s="53" t="e">
        <v>#N/A</v>
      </c>
      <c r="CV333" s="53" t="e">
        <v>#N/A</v>
      </c>
      <c r="CW333" s="53" t="e">
        <v>#N/A</v>
      </c>
      <c r="CX333" s="53" t="e">
        <v>#N/A</v>
      </c>
      <c r="CY333" s="53" t="e">
        <v>#N/A</v>
      </c>
      <c r="DE333" s="53" t="e">
        <v>#N/A</v>
      </c>
      <c r="DF333" s="53" t="e">
        <v>#N/A</v>
      </c>
      <c r="DG333" s="53" t="e">
        <v>#N/A</v>
      </c>
      <c r="DH333" s="53" t="e">
        <v>#N/A</v>
      </c>
      <c r="DI333" s="53" t="e">
        <v>#N/A</v>
      </c>
      <c r="DJ333" s="53" t="e">
        <v>#N/A</v>
      </c>
    </row>
    <row r="334" spans="3:114" s="53" customFormat="1" ht="12.75">
      <c r="C334" s="80"/>
      <c r="E334" s="48"/>
      <c r="K334" s="48"/>
      <c r="N334" s="53" t="str">
        <f t="shared" si="54"/>
        <v/>
      </c>
      <c r="O334" s="53" t="str">
        <f t="shared" si="51"/>
        <v>click</v>
      </c>
      <c r="P334" s="53" t="str">
        <f t="shared" si="57"/>
        <v>();</v>
      </c>
      <c r="Q334" s="53" t="str">
        <f t="shared" si="56"/>
        <v/>
      </c>
      <c r="R334" s="53" t="str">
        <f t="shared" si="55"/>
        <v/>
      </c>
      <c r="S334" s="53" t="str">
        <f t="shared" si="58"/>
        <v/>
      </c>
      <c r="CU334" s="53" t="e">
        <v>#N/A</v>
      </c>
      <c r="CV334" s="53" t="e">
        <v>#N/A</v>
      </c>
      <c r="CW334" s="53" t="e">
        <v>#N/A</v>
      </c>
      <c r="CX334" s="53" t="e">
        <v>#N/A</v>
      </c>
      <c r="CY334" s="53" t="e">
        <v>#N/A</v>
      </c>
      <c r="DE334" s="53" t="e">
        <v>#N/A</v>
      </c>
      <c r="DF334" s="53" t="e">
        <v>#N/A</v>
      </c>
      <c r="DG334" s="53" t="e">
        <v>#N/A</v>
      </c>
      <c r="DH334" s="53" t="e">
        <v>#N/A</v>
      </c>
      <c r="DI334" s="53" t="e">
        <v>#N/A</v>
      </c>
      <c r="DJ334" s="53" t="e">
        <v>#N/A</v>
      </c>
    </row>
    <row r="335" spans="3:114" s="53" customFormat="1" ht="12.75">
      <c r="C335" s="80"/>
      <c r="E335" s="48"/>
      <c r="K335" s="48"/>
      <c r="N335" s="53" t="str">
        <f t="shared" si="54"/>
        <v/>
      </c>
      <c r="O335" s="53" t="str">
        <f t="shared" si="51"/>
        <v>click</v>
      </c>
      <c r="P335" s="53" t="str">
        <f t="shared" si="57"/>
        <v>();</v>
      </c>
      <c r="Q335" s="53" t="str">
        <f t="shared" si="56"/>
        <v/>
      </c>
      <c r="R335" s="53" t="str">
        <f t="shared" si="55"/>
        <v/>
      </c>
      <c r="S335" s="53" t="str">
        <f t="shared" si="58"/>
        <v/>
      </c>
      <c r="CU335" s="53" t="e">
        <v>#N/A</v>
      </c>
      <c r="CV335" s="53" t="e">
        <v>#N/A</v>
      </c>
      <c r="CW335" s="53" t="e">
        <v>#N/A</v>
      </c>
      <c r="CX335" s="53" t="e">
        <v>#N/A</v>
      </c>
      <c r="CY335" s="53" t="e">
        <v>#N/A</v>
      </c>
      <c r="DE335" s="53" t="e">
        <v>#N/A</v>
      </c>
      <c r="DF335" s="53" t="e">
        <v>#N/A</v>
      </c>
      <c r="DG335" s="53" t="e">
        <v>#N/A</v>
      </c>
      <c r="DH335" s="53" t="e">
        <v>#N/A</v>
      </c>
      <c r="DI335" s="53" t="e">
        <v>#N/A</v>
      </c>
      <c r="DJ335" s="53" t="e">
        <v>#N/A</v>
      </c>
    </row>
    <row r="336" spans="3:114" s="53" customFormat="1" ht="12.75">
      <c r="C336" s="80"/>
      <c r="E336" s="48"/>
      <c r="K336" s="48"/>
      <c r="N336" s="53" t="str">
        <f t="shared" si="54"/>
        <v/>
      </c>
      <c r="O336" s="53" t="str">
        <f t="shared" si="51"/>
        <v>click</v>
      </c>
      <c r="P336" s="53" t="str">
        <f t="shared" si="57"/>
        <v>();</v>
      </c>
      <c r="Q336" s="53" t="str">
        <f t="shared" si="56"/>
        <v/>
      </c>
      <c r="R336" s="53" t="str">
        <f t="shared" si="55"/>
        <v/>
      </c>
      <c r="S336" s="53" t="str">
        <f t="shared" si="58"/>
        <v/>
      </c>
      <c r="CU336" s="53" t="e">
        <v>#N/A</v>
      </c>
      <c r="CV336" s="53" t="e">
        <v>#N/A</v>
      </c>
      <c r="CW336" s="53" t="e">
        <v>#N/A</v>
      </c>
      <c r="CX336" s="53" t="e">
        <v>#N/A</v>
      </c>
      <c r="CY336" s="53" t="e">
        <v>#N/A</v>
      </c>
      <c r="DE336" s="53" t="e">
        <v>#N/A</v>
      </c>
      <c r="DF336" s="53" t="e">
        <v>#N/A</v>
      </c>
      <c r="DG336" s="53" t="e">
        <v>#N/A</v>
      </c>
      <c r="DH336" s="53" t="e">
        <v>#N/A</v>
      </c>
      <c r="DI336" s="53" t="e">
        <v>#N/A</v>
      </c>
      <c r="DJ336" s="53" t="e">
        <v>#N/A</v>
      </c>
    </row>
    <row r="337" spans="3:114" s="53" customFormat="1" ht="12.75">
      <c r="C337" s="80"/>
      <c r="E337" s="48"/>
      <c r="K337" s="48"/>
      <c r="N337" s="53" t="str">
        <f t="shared" si="54"/>
        <v/>
      </c>
      <c r="O337" s="53" t="str">
        <f t="shared" si="51"/>
        <v>click</v>
      </c>
      <c r="P337" s="53" t="str">
        <f t="shared" si="57"/>
        <v>();</v>
      </c>
      <c r="Q337" s="53" t="str">
        <f t="shared" si="56"/>
        <v/>
      </c>
      <c r="R337" s="53" t="str">
        <f t="shared" si="55"/>
        <v/>
      </c>
      <c r="S337" s="53" t="str">
        <f t="shared" si="58"/>
        <v/>
      </c>
      <c r="CU337" s="53" t="e">
        <v>#N/A</v>
      </c>
      <c r="CV337" s="53" t="e">
        <v>#N/A</v>
      </c>
      <c r="CW337" s="53" t="e">
        <v>#N/A</v>
      </c>
      <c r="CX337" s="53" t="e">
        <v>#N/A</v>
      </c>
      <c r="CY337" s="53" t="e">
        <v>#N/A</v>
      </c>
      <c r="DE337" s="53" t="e">
        <v>#N/A</v>
      </c>
      <c r="DF337" s="53" t="e">
        <v>#N/A</v>
      </c>
      <c r="DG337" s="53" t="e">
        <v>#N/A</v>
      </c>
      <c r="DH337" s="53" t="e">
        <v>#N/A</v>
      </c>
      <c r="DI337" s="53" t="e">
        <v>#N/A</v>
      </c>
      <c r="DJ337" s="53" t="e">
        <v>#N/A</v>
      </c>
    </row>
    <row r="338" spans="3:114" s="53" customFormat="1" ht="12.75">
      <c r="C338" s="80"/>
      <c r="E338" s="48"/>
      <c r="K338" s="48"/>
      <c r="N338" s="53" t="str">
        <f t="shared" si="54"/>
        <v/>
      </c>
      <c r="O338" s="53" t="str">
        <f t="shared" si="51"/>
        <v>click</v>
      </c>
      <c r="P338" s="53" t="str">
        <f t="shared" si="57"/>
        <v>();</v>
      </c>
      <c r="Q338" s="53" t="str">
        <f t="shared" si="56"/>
        <v/>
      </c>
      <c r="R338" s="53" t="str">
        <f t="shared" si="55"/>
        <v/>
      </c>
      <c r="S338" s="53" t="str">
        <f t="shared" si="58"/>
        <v/>
      </c>
      <c r="CU338" s="53" t="e">
        <v>#N/A</v>
      </c>
      <c r="CV338" s="53" t="e">
        <v>#N/A</v>
      </c>
      <c r="CW338" s="53" t="e">
        <v>#N/A</v>
      </c>
      <c r="CX338" s="53" t="e">
        <v>#N/A</v>
      </c>
      <c r="CY338" s="53" t="e">
        <v>#N/A</v>
      </c>
      <c r="DE338" s="53" t="e">
        <v>#N/A</v>
      </c>
      <c r="DF338" s="53" t="e">
        <v>#N/A</v>
      </c>
      <c r="DG338" s="53" t="e">
        <v>#N/A</v>
      </c>
      <c r="DH338" s="53" t="e">
        <v>#N/A</v>
      </c>
      <c r="DI338" s="53" t="e">
        <v>#N/A</v>
      </c>
      <c r="DJ338" s="53" t="e">
        <v>#N/A</v>
      </c>
    </row>
    <row r="339" spans="3:114" s="53" customFormat="1" ht="12.75">
      <c r="C339" s="80"/>
      <c r="E339" s="48"/>
      <c r="K339" s="48"/>
      <c r="N339" s="53" t="str">
        <f t="shared" si="54"/>
        <v/>
      </c>
      <c r="O339" s="53" t="str">
        <f t="shared" si="51"/>
        <v>click</v>
      </c>
      <c r="P339" s="53" t="str">
        <f t="shared" si="57"/>
        <v>();</v>
      </c>
      <c r="Q339" s="53" t="str">
        <f t="shared" si="56"/>
        <v/>
      </c>
      <c r="R339" s="53" t="str">
        <f t="shared" si="55"/>
        <v/>
      </c>
      <c r="S339" s="53" t="str">
        <f t="shared" si="58"/>
        <v/>
      </c>
      <c r="CU339" s="53" t="e">
        <v>#N/A</v>
      </c>
      <c r="CV339" s="53" t="e">
        <v>#N/A</v>
      </c>
      <c r="CW339" s="53" t="e">
        <v>#N/A</v>
      </c>
      <c r="CX339" s="53" t="e">
        <v>#N/A</v>
      </c>
      <c r="CY339" s="53" t="e">
        <v>#N/A</v>
      </c>
      <c r="DE339" s="53" t="e">
        <v>#N/A</v>
      </c>
      <c r="DF339" s="53" t="e">
        <v>#N/A</v>
      </c>
      <c r="DG339" s="53" t="e">
        <v>#N/A</v>
      </c>
      <c r="DH339" s="53" t="e">
        <v>#N/A</v>
      </c>
      <c r="DI339" s="53" t="e">
        <v>#N/A</v>
      </c>
      <c r="DJ339" s="53" t="e">
        <v>#N/A</v>
      </c>
    </row>
    <row r="340" spans="3:114" s="53" customFormat="1" ht="12.75">
      <c r="C340" s="80"/>
      <c r="E340" s="48"/>
      <c r="K340" s="48"/>
      <c r="N340" s="53" t="str">
        <f t="shared" ref="N340:N371" si="59">IF(A340="Y",""""&amp;C340&amp;""""&amp;": "&amp;M340&amp;",","")</f>
        <v/>
      </c>
      <c r="O340" s="53" t="str">
        <f t="shared" si="51"/>
        <v>click</v>
      </c>
      <c r="P340" s="53" t="str">
        <f t="shared" si="57"/>
        <v>();</v>
      </c>
      <c r="Q340" s="53" t="str">
        <f t="shared" si="56"/>
        <v/>
      </c>
      <c r="R340" s="53" t="str">
        <f t="shared" si="55"/>
        <v/>
      </c>
      <c r="S340" s="53" t="str">
        <f t="shared" si="58"/>
        <v/>
      </c>
      <c r="CU340" s="53" t="e">
        <v>#N/A</v>
      </c>
      <c r="CV340" s="53" t="e">
        <v>#N/A</v>
      </c>
      <c r="CW340" s="53" t="e">
        <v>#N/A</v>
      </c>
      <c r="CX340" s="53" t="e">
        <v>#N/A</v>
      </c>
      <c r="CY340" s="53" t="e">
        <v>#N/A</v>
      </c>
      <c r="DE340" s="53" t="e">
        <v>#N/A</v>
      </c>
      <c r="DF340" s="53" t="e">
        <v>#N/A</v>
      </c>
      <c r="DG340" s="53" t="e">
        <v>#N/A</v>
      </c>
      <c r="DH340" s="53" t="e">
        <v>#N/A</v>
      </c>
      <c r="DI340" s="53" t="e">
        <v>#N/A</v>
      </c>
      <c r="DJ340" s="53" t="e">
        <v>#N/A</v>
      </c>
    </row>
    <row r="341" spans="3:114" s="53" customFormat="1" ht="12.75">
      <c r="C341" s="80"/>
      <c r="E341" s="48"/>
      <c r="K341" s="48"/>
      <c r="N341" s="53" t="str">
        <f t="shared" si="59"/>
        <v/>
      </c>
      <c r="O341" s="53" t="str">
        <f t="shared" si="51"/>
        <v>click</v>
      </c>
      <c r="P341" s="53" t="str">
        <f t="shared" si="57"/>
        <v>();</v>
      </c>
      <c r="Q341" s="53" t="str">
        <f t="shared" si="56"/>
        <v/>
      </c>
      <c r="R341" s="53" t="str">
        <f t="shared" si="55"/>
        <v/>
      </c>
      <c r="S341" s="53" t="str">
        <f t="shared" si="58"/>
        <v/>
      </c>
      <c r="CU341" s="53" t="e">
        <v>#N/A</v>
      </c>
      <c r="CV341" s="53" t="e">
        <v>#N/A</v>
      </c>
      <c r="CW341" s="53" t="e">
        <v>#N/A</v>
      </c>
      <c r="CX341" s="53" t="e">
        <v>#N/A</v>
      </c>
      <c r="CY341" s="53" t="e">
        <v>#N/A</v>
      </c>
      <c r="DE341" s="53" t="e">
        <v>#N/A</v>
      </c>
      <c r="DF341" s="53" t="e">
        <v>#N/A</v>
      </c>
      <c r="DG341" s="53" t="e">
        <v>#N/A</v>
      </c>
      <c r="DH341" s="53" t="e">
        <v>#N/A</v>
      </c>
      <c r="DI341" s="53" t="e">
        <v>#N/A</v>
      </c>
      <c r="DJ341" s="53" t="e">
        <v>#N/A</v>
      </c>
    </row>
    <row r="342" spans="3:114" s="53" customFormat="1" ht="12.75">
      <c r="C342" s="80"/>
      <c r="E342" s="48"/>
      <c r="K342" s="48"/>
      <c r="N342" s="53" t="str">
        <f t="shared" si="59"/>
        <v/>
      </c>
      <c r="O342" s="53" t="str">
        <f t="shared" si="51"/>
        <v>click</v>
      </c>
      <c r="P342" s="53" t="str">
        <f t="shared" si="57"/>
        <v>();</v>
      </c>
      <c r="Q342" s="53" t="str">
        <f t="shared" si="56"/>
        <v/>
      </c>
      <c r="R342" s="53" t="str">
        <f t="shared" si="55"/>
        <v/>
      </c>
      <c r="S342" s="53" t="str">
        <f t="shared" si="58"/>
        <v/>
      </c>
      <c r="CU342" s="53" t="e">
        <v>#N/A</v>
      </c>
      <c r="CV342" s="53" t="e">
        <v>#N/A</v>
      </c>
      <c r="CW342" s="53" t="e">
        <v>#N/A</v>
      </c>
      <c r="CX342" s="53" t="e">
        <v>#N/A</v>
      </c>
      <c r="CY342" s="53" t="e">
        <v>#N/A</v>
      </c>
      <c r="DE342" s="53" t="e">
        <v>#N/A</v>
      </c>
      <c r="DF342" s="53" t="e">
        <v>#N/A</v>
      </c>
      <c r="DG342" s="53" t="e">
        <v>#N/A</v>
      </c>
      <c r="DH342" s="53" t="e">
        <v>#N/A</v>
      </c>
      <c r="DI342" s="53" t="e">
        <v>#N/A</v>
      </c>
      <c r="DJ342" s="53" t="e">
        <v>#N/A</v>
      </c>
    </row>
    <row r="343" spans="3:114" s="53" customFormat="1" ht="12.75">
      <c r="C343" s="80"/>
      <c r="E343" s="48"/>
      <c r="K343" s="48"/>
      <c r="N343" s="53" t="str">
        <f t="shared" si="59"/>
        <v/>
      </c>
      <c r="O343" s="53" t="str">
        <f t="shared" si="51"/>
        <v>click</v>
      </c>
      <c r="P343" s="53" t="str">
        <f t="shared" si="57"/>
        <v>();</v>
      </c>
      <c r="Q343" s="53" t="str">
        <f t="shared" si="56"/>
        <v/>
      </c>
      <c r="R343" s="53" t="str">
        <f t="shared" si="55"/>
        <v/>
      </c>
      <c r="S343" s="53" t="str">
        <f t="shared" si="58"/>
        <v/>
      </c>
      <c r="CU343" s="53" t="e">
        <v>#N/A</v>
      </c>
      <c r="CV343" s="53" t="e">
        <v>#N/A</v>
      </c>
      <c r="CW343" s="53" t="e">
        <v>#N/A</v>
      </c>
      <c r="CX343" s="53" t="e">
        <v>#N/A</v>
      </c>
      <c r="CY343" s="53" t="e">
        <v>#N/A</v>
      </c>
      <c r="DE343" s="53" t="e">
        <v>#N/A</v>
      </c>
      <c r="DF343" s="53" t="e">
        <v>#N/A</v>
      </c>
      <c r="DG343" s="53" t="e">
        <v>#N/A</v>
      </c>
      <c r="DH343" s="53" t="e">
        <v>#N/A</v>
      </c>
      <c r="DI343" s="53" t="e">
        <v>#N/A</v>
      </c>
      <c r="DJ343" s="53" t="e">
        <v>#N/A</v>
      </c>
    </row>
    <row r="344" spans="3:114" s="53" customFormat="1" ht="12.75">
      <c r="C344" s="80"/>
      <c r="E344" s="48"/>
      <c r="K344" s="48"/>
      <c r="N344" s="53" t="str">
        <f t="shared" si="59"/>
        <v/>
      </c>
      <c r="O344" s="53" t="str">
        <f t="shared" si="51"/>
        <v>click</v>
      </c>
      <c r="P344" s="53" t="str">
        <f t="shared" si="57"/>
        <v>();</v>
      </c>
      <c r="Q344" s="53" t="str">
        <f t="shared" si="56"/>
        <v/>
      </c>
      <c r="R344" s="53" t="str">
        <f t="shared" si="55"/>
        <v/>
      </c>
      <c r="S344" s="53" t="str">
        <f t="shared" si="58"/>
        <v/>
      </c>
      <c r="CU344" s="53" t="e">
        <v>#N/A</v>
      </c>
      <c r="CV344" s="53" t="e">
        <v>#N/A</v>
      </c>
      <c r="CW344" s="53" t="e">
        <v>#N/A</v>
      </c>
      <c r="CX344" s="53" t="e">
        <v>#N/A</v>
      </c>
      <c r="CY344" s="53" t="e">
        <v>#N/A</v>
      </c>
      <c r="DE344" s="53" t="e">
        <v>#N/A</v>
      </c>
      <c r="DF344" s="53" t="e">
        <v>#N/A</v>
      </c>
      <c r="DG344" s="53" t="e">
        <v>#N/A</v>
      </c>
      <c r="DH344" s="53" t="e">
        <v>#N/A</v>
      </c>
      <c r="DI344" s="53" t="e">
        <v>#N/A</v>
      </c>
      <c r="DJ344" s="53" t="e">
        <v>#N/A</v>
      </c>
    </row>
    <row r="345" spans="3:114" s="53" customFormat="1" ht="12.75">
      <c r="C345" s="80"/>
      <c r="E345" s="48"/>
      <c r="K345" s="48"/>
      <c r="N345" s="53" t="str">
        <f t="shared" si="59"/>
        <v/>
      </c>
      <c r="O345" s="53" t="str">
        <f t="shared" si="51"/>
        <v>click</v>
      </c>
      <c r="P345" s="53" t="str">
        <f t="shared" si="57"/>
        <v>();</v>
      </c>
      <c r="Q345" s="53" t="str">
        <f t="shared" si="56"/>
        <v/>
      </c>
      <c r="R345" s="53" t="str">
        <f t="shared" si="55"/>
        <v/>
      </c>
      <c r="S345" s="53" t="str">
        <f t="shared" si="58"/>
        <v/>
      </c>
      <c r="CU345" s="53" t="e">
        <v>#N/A</v>
      </c>
      <c r="CV345" s="53" t="e">
        <v>#N/A</v>
      </c>
      <c r="CW345" s="53" t="e">
        <v>#N/A</v>
      </c>
      <c r="CX345" s="53" t="e">
        <v>#N/A</v>
      </c>
      <c r="CY345" s="53" t="e">
        <v>#N/A</v>
      </c>
      <c r="DE345" s="53" t="e">
        <v>#N/A</v>
      </c>
      <c r="DF345" s="53" t="e">
        <v>#N/A</v>
      </c>
      <c r="DG345" s="53" t="e">
        <v>#N/A</v>
      </c>
      <c r="DH345" s="53" t="e">
        <v>#N/A</v>
      </c>
      <c r="DI345" s="53" t="e">
        <v>#N/A</v>
      </c>
      <c r="DJ345" s="53" t="e">
        <v>#N/A</v>
      </c>
    </row>
    <row r="346" spans="3:114" s="53" customFormat="1" ht="12.75">
      <c r="C346" s="80"/>
      <c r="E346" s="48"/>
      <c r="K346" s="48"/>
      <c r="N346" s="53" t="str">
        <f t="shared" si="59"/>
        <v/>
      </c>
      <c r="O346" s="53" t="str">
        <f t="shared" si="51"/>
        <v>click</v>
      </c>
      <c r="P346" s="53" t="str">
        <f t="shared" si="57"/>
        <v>();</v>
      </c>
      <c r="Q346" s="53" t="str">
        <f t="shared" si="56"/>
        <v/>
      </c>
      <c r="R346" s="53" t="str">
        <f t="shared" si="55"/>
        <v/>
      </c>
      <c r="S346" s="53" t="str">
        <f t="shared" si="58"/>
        <v/>
      </c>
      <c r="CU346" s="53" t="e">
        <v>#N/A</v>
      </c>
      <c r="CV346" s="53" t="e">
        <v>#N/A</v>
      </c>
      <c r="CW346" s="53" t="e">
        <v>#N/A</v>
      </c>
      <c r="CX346" s="53" t="e">
        <v>#N/A</v>
      </c>
      <c r="CY346" s="53" t="e">
        <v>#N/A</v>
      </c>
      <c r="DE346" s="53" t="e">
        <v>#N/A</v>
      </c>
      <c r="DF346" s="53" t="e">
        <v>#N/A</v>
      </c>
      <c r="DG346" s="53" t="e">
        <v>#N/A</v>
      </c>
      <c r="DH346" s="53" t="e">
        <v>#N/A</v>
      </c>
      <c r="DI346" s="53" t="e">
        <v>#N/A</v>
      </c>
      <c r="DJ346" s="53" t="e">
        <v>#N/A</v>
      </c>
    </row>
    <row r="347" spans="3:114" s="53" customFormat="1" ht="12.75">
      <c r="C347" s="80"/>
      <c r="E347" s="48"/>
      <c r="K347" s="48"/>
      <c r="N347" s="53" t="str">
        <f t="shared" si="59"/>
        <v/>
      </c>
      <c r="O347" s="53" t="str">
        <f t="shared" si="51"/>
        <v>click</v>
      </c>
      <c r="P347" s="53" t="str">
        <f t="shared" si="57"/>
        <v>();</v>
      </c>
      <c r="Q347" s="53" t="str">
        <f t="shared" si="56"/>
        <v/>
      </c>
      <c r="R347" s="53" t="str">
        <f t="shared" si="55"/>
        <v/>
      </c>
      <c r="S347" s="53" t="str">
        <f t="shared" si="58"/>
        <v/>
      </c>
      <c r="CU347" s="53" t="e">
        <v>#N/A</v>
      </c>
      <c r="CV347" s="53" t="e">
        <v>#N/A</v>
      </c>
      <c r="CW347" s="53" t="e">
        <v>#N/A</v>
      </c>
      <c r="CX347" s="53" t="e">
        <v>#N/A</v>
      </c>
      <c r="CY347" s="53" t="e">
        <v>#N/A</v>
      </c>
      <c r="DE347" s="53" t="e">
        <v>#N/A</v>
      </c>
      <c r="DF347" s="53" t="e">
        <v>#N/A</v>
      </c>
      <c r="DG347" s="53" t="e">
        <v>#N/A</v>
      </c>
      <c r="DH347" s="53" t="e">
        <v>#N/A</v>
      </c>
      <c r="DI347" s="53" t="e">
        <v>#N/A</v>
      </c>
      <c r="DJ347" s="53" t="e">
        <v>#N/A</v>
      </c>
    </row>
    <row r="348" spans="3:114" s="53" customFormat="1" ht="12.75">
      <c r="C348" s="80"/>
      <c r="E348" s="48"/>
      <c r="K348" s="48"/>
      <c r="N348" s="53" t="str">
        <f t="shared" si="59"/>
        <v/>
      </c>
      <c r="O348" s="53" t="str">
        <f t="shared" si="51"/>
        <v>click</v>
      </c>
      <c r="P348" s="53" t="str">
        <f t="shared" si="57"/>
        <v>();</v>
      </c>
      <c r="Q348" s="53" t="str">
        <f t="shared" si="56"/>
        <v/>
      </c>
      <c r="R348" s="53" t="str">
        <f t="shared" si="55"/>
        <v/>
      </c>
      <c r="S348" s="53" t="str">
        <f t="shared" si="58"/>
        <v/>
      </c>
      <c r="CU348" s="53" t="e">
        <v>#N/A</v>
      </c>
      <c r="CV348" s="53" t="e">
        <v>#N/A</v>
      </c>
      <c r="CW348" s="53" t="e">
        <v>#N/A</v>
      </c>
      <c r="CX348" s="53" t="e">
        <v>#N/A</v>
      </c>
      <c r="CY348" s="53" t="e">
        <v>#N/A</v>
      </c>
      <c r="DE348" s="53" t="e">
        <v>#N/A</v>
      </c>
      <c r="DF348" s="53" t="e">
        <v>#N/A</v>
      </c>
      <c r="DG348" s="53" t="e">
        <v>#N/A</v>
      </c>
      <c r="DH348" s="53" t="e">
        <v>#N/A</v>
      </c>
      <c r="DI348" s="53" t="e">
        <v>#N/A</v>
      </c>
      <c r="DJ348" s="53" t="e">
        <v>#N/A</v>
      </c>
    </row>
    <row r="349" spans="3:114" s="53" customFormat="1" ht="12.75">
      <c r="C349" s="80"/>
      <c r="E349" s="48"/>
      <c r="K349" s="48"/>
      <c r="N349" s="53" t="str">
        <f t="shared" si="59"/>
        <v/>
      </c>
      <c r="O349" s="53" t="str">
        <f t="shared" si="51"/>
        <v>click</v>
      </c>
      <c r="P349" s="53" t="str">
        <f t="shared" si="57"/>
        <v>();</v>
      </c>
      <c r="Q349" s="53" t="str">
        <f t="shared" si="56"/>
        <v/>
      </c>
      <c r="R349" s="53" t="str">
        <f t="shared" si="55"/>
        <v/>
      </c>
      <c r="S349" s="53" t="str">
        <f t="shared" si="58"/>
        <v/>
      </c>
      <c r="CU349" s="53" t="e">
        <v>#N/A</v>
      </c>
      <c r="CV349" s="53" t="e">
        <v>#N/A</v>
      </c>
      <c r="CW349" s="53" t="e">
        <v>#N/A</v>
      </c>
      <c r="CX349" s="53" t="e">
        <v>#N/A</v>
      </c>
      <c r="CY349" s="53" t="e">
        <v>#N/A</v>
      </c>
      <c r="DE349" s="53" t="e">
        <v>#N/A</v>
      </c>
      <c r="DF349" s="53" t="e">
        <v>#N/A</v>
      </c>
      <c r="DG349" s="53" t="e">
        <v>#N/A</v>
      </c>
      <c r="DH349" s="53" t="e">
        <v>#N/A</v>
      </c>
      <c r="DI349" s="53" t="e">
        <v>#N/A</v>
      </c>
      <c r="DJ349" s="53" t="e">
        <v>#N/A</v>
      </c>
    </row>
    <row r="350" spans="3:114" s="53" customFormat="1" ht="12.75">
      <c r="C350" s="80"/>
      <c r="E350" s="48"/>
      <c r="K350" s="48"/>
      <c r="N350" s="53" t="str">
        <f t="shared" si="59"/>
        <v/>
      </c>
      <c r="O350" s="53" t="str">
        <f t="shared" si="51"/>
        <v>click</v>
      </c>
      <c r="P350" s="53" t="str">
        <f t="shared" si="57"/>
        <v>();</v>
      </c>
      <c r="Q350" s="53" t="str">
        <f t="shared" si="56"/>
        <v/>
      </c>
      <c r="R350" s="53" t="str">
        <f t="shared" si="55"/>
        <v/>
      </c>
      <c r="S350" s="53" t="str">
        <f t="shared" si="58"/>
        <v/>
      </c>
      <c r="CU350" s="53" t="e">
        <v>#N/A</v>
      </c>
      <c r="CV350" s="53" t="e">
        <v>#N/A</v>
      </c>
      <c r="CW350" s="53" t="e">
        <v>#N/A</v>
      </c>
      <c r="CX350" s="53" t="e">
        <v>#N/A</v>
      </c>
      <c r="CY350" s="53" t="e">
        <v>#N/A</v>
      </c>
      <c r="DE350" s="53" t="e">
        <v>#N/A</v>
      </c>
      <c r="DF350" s="53" t="e">
        <v>#N/A</v>
      </c>
      <c r="DG350" s="53" t="e">
        <v>#N/A</v>
      </c>
      <c r="DH350" s="53" t="e">
        <v>#N/A</v>
      </c>
      <c r="DI350" s="53" t="e">
        <v>#N/A</v>
      </c>
      <c r="DJ350" s="53" t="e">
        <v>#N/A</v>
      </c>
    </row>
    <row r="351" spans="3:114" s="53" customFormat="1" ht="12.75">
      <c r="C351" s="80"/>
      <c r="E351" s="48"/>
      <c r="K351" s="48"/>
      <c r="N351" s="53" t="str">
        <f t="shared" si="59"/>
        <v/>
      </c>
      <c r="O351" s="53" t="str">
        <f t="shared" si="51"/>
        <v>click</v>
      </c>
      <c r="P351" s="53" t="str">
        <f t="shared" si="57"/>
        <v>();</v>
      </c>
      <c r="Q351" s="53" t="str">
        <f t="shared" si="56"/>
        <v/>
      </c>
      <c r="R351" s="53" t="str">
        <f t="shared" si="55"/>
        <v/>
      </c>
      <c r="S351" s="53" t="str">
        <f t="shared" si="58"/>
        <v/>
      </c>
      <c r="CU351" s="53" t="e">
        <v>#N/A</v>
      </c>
      <c r="CV351" s="53" t="e">
        <v>#N/A</v>
      </c>
      <c r="CW351" s="53" t="e">
        <v>#N/A</v>
      </c>
      <c r="CX351" s="53" t="e">
        <v>#N/A</v>
      </c>
      <c r="CY351" s="53" t="e">
        <v>#N/A</v>
      </c>
      <c r="DE351" s="53" t="e">
        <v>#N/A</v>
      </c>
      <c r="DF351" s="53" t="e">
        <v>#N/A</v>
      </c>
      <c r="DG351" s="53" t="e">
        <v>#N/A</v>
      </c>
      <c r="DH351" s="53" t="e">
        <v>#N/A</v>
      </c>
      <c r="DI351" s="53" t="e">
        <v>#N/A</v>
      </c>
      <c r="DJ351" s="53" t="e">
        <v>#N/A</v>
      </c>
    </row>
    <row r="352" spans="3:114" s="53" customFormat="1" ht="12.75">
      <c r="C352" s="80"/>
      <c r="E352" s="48"/>
      <c r="K352" s="48"/>
      <c r="N352" s="53" t="str">
        <f t="shared" si="59"/>
        <v/>
      </c>
      <c r="O352" s="53" t="str">
        <f t="shared" si="51"/>
        <v>click</v>
      </c>
      <c r="P352" s="53" t="str">
        <f t="shared" si="57"/>
        <v>();</v>
      </c>
      <c r="Q352" s="53" t="str">
        <f t="shared" si="56"/>
        <v/>
      </c>
      <c r="R352" s="53" t="str">
        <f t="shared" si="55"/>
        <v/>
      </c>
      <c r="S352" s="53" t="str">
        <f t="shared" si="58"/>
        <v/>
      </c>
      <c r="CU352" s="53" t="e">
        <v>#N/A</v>
      </c>
      <c r="CV352" s="53" t="e">
        <v>#N/A</v>
      </c>
      <c r="CW352" s="53" t="e">
        <v>#N/A</v>
      </c>
      <c r="CX352" s="53" t="e">
        <v>#N/A</v>
      </c>
      <c r="CY352" s="53" t="e">
        <v>#N/A</v>
      </c>
      <c r="DE352" s="53" t="e">
        <v>#N/A</v>
      </c>
      <c r="DF352" s="53" t="e">
        <v>#N/A</v>
      </c>
      <c r="DG352" s="53" t="e">
        <v>#N/A</v>
      </c>
      <c r="DH352" s="53" t="e">
        <v>#N/A</v>
      </c>
      <c r="DI352" s="53" t="e">
        <v>#N/A</v>
      </c>
      <c r="DJ352" s="53" t="e">
        <v>#N/A</v>
      </c>
    </row>
    <row r="353" spans="3:114" s="53" customFormat="1" ht="12.75">
      <c r="C353" s="80"/>
      <c r="E353" s="48"/>
      <c r="K353" s="48"/>
      <c r="N353" s="53" t="str">
        <f t="shared" si="59"/>
        <v/>
      </c>
      <c r="O353" s="53" t="str">
        <f t="shared" si="51"/>
        <v>click</v>
      </c>
      <c r="P353" s="53" t="str">
        <f t="shared" si="57"/>
        <v>();</v>
      </c>
      <c r="Q353" s="53" t="str">
        <f t="shared" si="56"/>
        <v/>
      </c>
      <c r="R353" s="53" t="str">
        <f t="shared" si="55"/>
        <v/>
      </c>
      <c r="S353" s="53" t="str">
        <f t="shared" si="58"/>
        <v/>
      </c>
      <c r="CU353" s="53" t="e">
        <v>#N/A</v>
      </c>
      <c r="CV353" s="53" t="e">
        <v>#N/A</v>
      </c>
      <c r="CW353" s="53" t="e">
        <v>#N/A</v>
      </c>
      <c r="CX353" s="53" t="e">
        <v>#N/A</v>
      </c>
      <c r="CY353" s="53" t="e">
        <v>#N/A</v>
      </c>
      <c r="DE353" s="53" t="e">
        <v>#N/A</v>
      </c>
      <c r="DF353" s="53" t="e">
        <v>#N/A</v>
      </c>
      <c r="DG353" s="53" t="e">
        <v>#N/A</v>
      </c>
      <c r="DH353" s="53" t="e">
        <v>#N/A</v>
      </c>
      <c r="DI353" s="53" t="e">
        <v>#N/A</v>
      </c>
      <c r="DJ353" s="53" t="e">
        <v>#N/A</v>
      </c>
    </row>
    <row r="354" spans="3:114" s="53" customFormat="1" ht="12.75">
      <c r="C354" s="80"/>
      <c r="E354" s="48"/>
      <c r="K354" s="48"/>
      <c r="N354" s="53" t="str">
        <f t="shared" si="59"/>
        <v/>
      </c>
      <c r="O354" s="53" t="str">
        <f t="shared" si="51"/>
        <v>click</v>
      </c>
      <c r="P354" s="53" t="str">
        <f t="shared" si="57"/>
        <v>();</v>
      </c>
      <c r="Q354" s="53" t="str">
        <f t="shared" si="56"/>
        <v/>
      </c>
      <c r="R354" s="53" t="str">
        <f t="shared" si="55"/>
        <v/>
      </c>
      <c r="S354" s="53" t="str">
        <f t="shared" si="58"/>
        <v/>
      </c>
      <c r="CU354" s="53" t="e">
        <v>#N/A</v>
      </c>
      <c r="CV354" s="53" t="e">
        <v>#N/A</v>
      </c>
      <c r="CW354" s="53" t="e">
        <v>#N/A</v>
      </c>
      <c r="CX354" s="53" t="e">
        <v>#N/A</v>
      </c>
      <c r="CY354" s="53" t="e">
        <v>#N/A</v>
      </c>
      <c r="DE354" s="53" t="e">
        <v>#N/A</v>
      </c>
      <c r="DF354" s="53" t="e">
        <v>#N/A</v>
      </c>
      <c r="DG354" s="53" t="e">
        <v>#N/A</v>
      </c>
      <c r="DH354" s="53" t="e">
        <v>#N/A</v>
      </c>
      <c r="DI354" s="53" t="e">
        <v>#N/A</v>
      </c>
      <c r="DJ354" s="53" t="e">
        <v>#N/A</v>
      </c>
    </row>
    <row r="355" spans="3:114" s="53" customFormat="1" ht="12.75">
      <c r="C355" s="80"/>
      <c r="E355" s="48"/>
      <c r="K355" s="48"/>
      <c r="N355" s="53" t="str">
        <f t="shared" si="59"/>
        <v/>
      </c>
      <c r="O355" s="53" t="str">
        <f t="shared" si="51"/>
        <v>click</v>
      </c>
      <c r="P355" s="53" t="str">
        <f t="shared" si="57"/>
        <v>();</v>
      </c>
      <c r="Q355" s="53" t="str">
        <f t="shared" si="56"/>
        <v/>
      </c>
      <c r="R355" s="53" t="str">
        <f t="shared" si="55"/>
        <v/>
      </c>
      <c r="S355" s="53" t="str">
        <f t="shared" si="58"/>
        <v/>
      </c>
      <c r="CU355" s="53" t="e">
        <v>#N/A</v>
      </c>
      <c r="CV355" s="53" t="e">
        <v>#N/A</v>
      </c>
      <c r="CW355" s="53" t="e">
        <v>#N/A</v>
      </c>
      <c r="CX355" s="53" t="e">
        <v>#N/A</v>
      </c>
      <c r="CY355" s="53" t="e">
        <v>#N/A</v>
      </c>
      <c r="DE355" s="53" t="e">
        <v>#N/A</v>
      </c>
      <c r="DF355" s="53" t="e">
        <v>#N/A</v>
      </c>
      <c r="DG355" s="53" t="e">
        <v>#N/A</v>
      </c>
      <c r="DH355" s="53" t="e">
        <v>#N/A</v>
      </c>
      <c r="DI355" s="53" t="e">
        <v>#N/A</v>
      </c>
      <c r="DJ355" s="53" t="e">
        <v>#N/A</v>
      </c>
    </row>
    <row r="356" spans="3:114" s="53" customFormat="1" ht="12.75">
      <c r="C356" s="80"/>
      <c r="E356" s="48"/>
      <c r="K356" s="48"/>
      <c r="N356" s="53" t="str">
        <f t="shared" si="59"/>
        <v/>
      </c>
      <c r="O356" s="53" t="str">
        <f t="shared" si="51"/>
        <v>click</v>
      </c>
      <c r="P356" s="53" t="str">
        <f t="shared" si="57"/>
        <v>();</v>
      </c>
      <c r="Q356" s="53" t="str">
        <f t="shared" si="56"/>
        <v/>
      </c>
      <c r="R356" s="53" t="str">
        <f t="shared" si="55"/>
        <v/>
      </c>
      <c r="S356" s="53" t="str">
        <f t="shared" si="58"/>
        <v/>
      </c>
      <c r="CU356" s="53" t="e">
        <v>#N/A</v>
      </c>
      <c r="CV356" s="53" t="e">
        <v>#N/A</v>
      </c>
      <c r="CW356" s="53" t="e">
        <v>#N/A</v>
      </c>
      <c r="CX356" s="53" t="e">
        <v>#N/A</v>
      </c>
      <c r="CY356" s="53" t="e">
        <v>#N/A</v>
      </c>
      <c r="DE356" s="53" t="e">
        <v>#N/A</v>
      </c>
      <c r="DF356" s="53" t="e">
        <v>#N/A</v>
      </c>
      <c r="DG356" s="53" t="e">
        <v>#N/A</v>
      </c>
      <c r="DH356" s="53" t="e">
        <v>#N/A</v>
      </c>
      <c r="DI356" s="53" t="e">
        <v>#N/A</v>
      </c>
      <c r="DJ356" s="53" t="e">
        <v>#N/A</v>
      </c>
    </row>
    <row r="357" spans="3:114" s="53" customFormat="1" ht="12.75">
      <c r="C357" s="80"/>
      <c r="E357" s="48"/>
      <c r="K357" s="48"/>
      <c r="N357" s="53" t="str">
        <f t="shared" si="59"/>
        <v/>
      </c>
      <c r="O357" s="53" t="str">
        <f t="shared" si="51"/>
        <v>click</v>
      </c>
      <c r="P357" s="53" t="str">
        <f t="shared" si="57"/>
        <v>();</v>
      </c>
      <c r="Q357" s="53" t="str">
        <f t="shared" si="56"/>
        <v/>
      </c>
      <c r="R357" s="53" t="str">
        <f t="shared" si="55"/>
        <v/>
      </c>
      <c r="S357" s="53" t="str">
        <f t="shared" si="58"/>
        <v/>
      </c>
      <c r="CU357" s="53" t="e">
        <v>#N/A</v>
      </c>
      <c r="CV357" s="53" t="e">
        <v>#N/A</v>
      </c>
      <c r="CW357" s="53" t="e">
        <v>#N/A</v>
      </c>
      <c r="CX357" s="53" t="e">
        <v>#N/A</v>
      </c>
      <c r="CY357" s="53" t="e">
        <v>#N/A</v>
      </c>
      <c r="DE357" s="53" t="e">
        <v>#N/A</v>
      </c>
      <c r="DF357" s="53" t="e">
        <v>#N/A</v>
      </c>
      <c r="DG357" s="53" t="e">
        <v>#N/A</v>
      </c>
      <c r="DH357" s="53" t="e">
        <v>#N/A</v>
      </c>
      <c r="DI357" s="53" t="e">
        <v>#N/A</v>
      </c>
      <c r="DJ357" s="53" t="e">
        <v>#N/A</v>
      </c>
    </row>
    <row r="358" spans="3:114" s="53" customFormat="1" ht="12.75">
      <c r="C358" s="80"/>
      <c r="E358" s="48"/>
      <c r="K358" s="48"/>
      <c r="N358" s="53" t="str">
        <f t="shared" si="59"/>
        <v/>
      </c>
      <c r="O358" s="53" t="str">
        <f t="shared" si="51"/>
        <v>click</v>
      </c>
      <c r="P358" s="53" t="str">
        <f t="shared" si="57"/>
        <v>();</v>
      </c>
      <c r="Q358" s="53" t="str">
        <f t="shared" si="56"/>
        <v/>
      </c>
      <c r="R358" s="53" t="str">
        <f t="shared" si="55"/>
        <v/>
      </c>
      <c r="S358" s="53" t="str">
        <f t="shared" si="58"/>
        <v/>
      </c>
      <c r="CU358" s="53" t="e">
        <v>#N/A</v>
      </c>
      <c r="CV358" s="53" t="e">
        <v>#N/A</v>
      </c>
      <c r="CW358" s="53" t="e">
        <v>#N/A</v>
      </c>
      <c r="CX358" s="53" t="e">
        <v>#N/A</v>
      </c>
      <c r="CY358" s="53" t="e">
        <v>#N/A</v>
      </c>
      <c r="DE358" s="53" t="e">
        <v>#N/A</v>
      </c>
      <c r="DF358" s="53" t="e">
        <v>#N/A</v>
      </c>
      <c r="DG358" s="53" t="e">
        <v>#N/A</v>
      </c>
      <c r="DH358" s="53" t="e">
        <v>#N/A</v>
      </c>
      <c r="DI358" s="53" t="e">
        <v>#N/A</v>
      </c>
      <c r="DJ358" s="53" t="e">
        <v>#N/A</v>
      </c>
    </row>
    <row r="359" spans="3:114" s="53" customFormat="1" ht="12.75">
      <c r="C359" s="80"/>
      <c r="E359" s="48"/>
      <c r="K359" s="48"/>
      <c r="N359" s="53" t="str">
        <f t="shared" si="59"/>
        <v/>
      </c>
      <c r="O359" s="53" t="str">
        <f t="shared" si="51"/>
        <v>click</v>
      </c>
      <c r="P359" s="53" t="str">
        <f t="shared" si="57"/>
        <v>();</v>
      </c>
      <c r="Q359" s="53" t="str">
        <f t="shared" si="56"/>
        <v/>
      </c>
      <c r="R359" s="53" t="str">
        <f t="shared" si="55"/>
        <v/>
      </c>
      <c r="S359" s="53" t="str">
        <f t="shared" si="58"/>
        <v/>
      </c>
      <c r="CU359" s="53" t="e">
        <v>#N/A</v>
      </c>
      <c r="CV359" s="53" t="e">
        <v>#N/A</v>
      </c>
      <c r="CW359" s="53" t="e">
        <v>#N/A</v>
      </c>
      <c r="CX359" s="53" t="e">
        <v>#N/A</v>
      </c>
      <c r="CY359" s="53" t="e">
        <v>#N/A</v>
      </c>
      <c r="DE359" s="53" t="e">
        <v>#N/A</v>
      </c>
      <c r="DF359" s="53" t="e">
        <v>#N/A</v>
      </c>
      <c r="DG359" s="53" t="e">
        <v>#N/A</v>
      </c>
      <c r="DH359" s="53" t="e">
        <v>#N/A</v>
      </c>
      <c r="DI359" s="53" t="e">
        <v>#N/A</v>
      </c>
      <c r="DJ359" s="53" t="e">
        <v>#N/A</v>
      </c>
    </row>
    <row r="360" spans="3:114" s="53" customFormat="1" ht="12.75">
      <c r="C360" s="80"/>
      <c r="E360" s="48"/>
      <c r="K360" s="48"/>
      <c r="N360" s="53" t="str">
        <f t="shared" si="59"/>
        <v/>
      </c>
      <c r="O360" s="53" t="str">
        <f t="shared" si="51"/>
        <v>click</v>
      </c>
      <c r="P360" s="53" t="str">
        <f t="shared" si="57"/>
        <v>();</v>
      </c>
      <c r="Q360" s="53" t="str">
        <f t="shared" si="56"/>
        <v/>
      </c>
      <c r="R360" s="53" t="str">
        <f t="shared" si="55"/>
        <v/>
      </c>
      <c r="S360" s="53" t="str">
        <f t="shared" si="58"/>
        <v/>
      </c>
      <c r="CU360" s="53" t="e">
        <v>#N/A</v>
      </c>
      <c r="CV360" s="53" t="e">
        <v>#N/A</v>
      </c>
      <c r="CW360" s="53" t="e">
        <v>#N/A</v>
      </c>
      <c r="CX360" s="53" t="e">
        <v>#N/A</v>
      </c>
      <c r="CY360" s="53" t="e">
        <v>#N/A</v>
      </c>
      <c r="DE360" s="53" t="e">
        <v>#N/A</v>
      </c>
      <c r="DF360" s="53" t="e">
        <v>#N/A</v>
      </c>
      <c r="DG360" s="53" t="e">
        <v>#N/A</v>
      </c>
      <c r="DH360" s="53" t="e">
        <v>#N/A</v>
      </c>
      <c r="DI360" s="53" t="e">
        <v>#N/A</v>
      </c>
      <c r="DJ360" s="53" t="e">
        <v>#N/A</v>
      </c>
    </row>
    <row r="361" spans="3:114" s="53" customFormat="1" ht="12.75">
      <c r="C361" s="80"/>
      <c r="E361" s="48"/>
      <c r="K361" s="48"/>
      <c r="N361" s="53" t="str">
        <f t="shared" si="59"/>
        <v/>
      </c>
      <c r="O361" s="53" t="str">
        <f t="shared" ref="O361:O424" si="60">IF(D361="input","fill",IF(I361&lt;&gt;"","innerText",IF(J361="Y",$T$110,"click")))</f>
        <v>click</v>
      </c>
      <c r="P361" s="53" t="str">
        <f t="shared" si="57"/>
        <v>();</v>
      </c>
      <c r="Q361" s="53" t="str">
        <f t="shared" ref="Q361:Q384" si="61">IF(C361="Y",IF(H361&lt;&gt;"Xpath",M361&amp;F361&amp;N361,""""&amp;F361&amp;""""),"")</f>
        <v/>
      </c>
      <c r="R361" s="53" t="str">
        <f t="shared" si="55"/>
        <v/>
      </c>
      <c r="S361" s="53" t="str">
        <f t="shared" si="58"/>
        <v/>
      </c>
      <c r="CU361" s="53" t="e">
        <v>#N/A</v>
      </c>
      <c r="CV361" s="53" t="e">
        <v>#N/A</v>
      </c>
      <c r="CW361" s="53" t="e">
        <v>#N/A</v>
      </c>
      <c r="CX361" s="53" t="e">
        <v>#N/A</v>
      </c>
      <c r="CY361" s="53" t="e">
        <v>#N/A</v>
      </c>
      <c r="DE361" s="53" t="e">
        <v>#N/A</v>
      </c>
      <c r="DF361" s="53" t="e">
        <v>#N/A</v>
      </c>
      <c r="DG361" s="53" t="e">
        <v>#N/A</v>
      </c>
      <c r="DH361" s="53" t="e">
        <v>#N/A</v>
      </c>
      <c r="DI361" s="53" t="e">
        <v>#N/A</v>
      </c>
      <c r="DJ361" s="53" t="e">
        <v>#N/A</v>
      </c>
    </row>
    <row r="362" spans="3:114" s="53" customFormat="1" ht="12.75">
      <c r="C362" s="80"/>
      <c r="E362" s="48"/>
      <c r="K362" s="48"/>
      <c r="N362" s="53" t="str">
        <f t="shared" si="59"/>
        <v/>
      </c>
      <c r="O362" s="53" t="str">
        <f t="shared" si="60"/>
        <v>click</v>
      </c>
      <c r="P362" s="53" t="str">
        <f t="shared" si="57"/>
        <v>();</v>
      </c>
      <c r="Q362" s="53" t="str">
        <f t="shared" si="61"/>
        <v/>
      </c>
      <c r="R362" s="53" t="str">
        <f t="shared" si="55"/>
        <v/>
      </c>
      <c r="S362" s="53" t="str">
        <f t="shared" si="58"/>
        <v/>
      </c>
      <c r="CU362" s="53" t="e">
        <v>#N/A</v>
      </c>
      <c r="CV362" s="53" t="e">
        <v>#N/A</v>
      </c>
      <c r="CW362" s="53" t="e">
        <v>#N/A</v>
      </c>
      <c r="CX362" s="53" t="e">
        <v>#N/A</v>
      </c>
      <c r="CY362" s="53" t="e">
        <v>#N/A</v>
      </c>
      <c r="DE362" s="53" t="e">
        <v>#N/A</v>
      </c>
      <c r="DF362" s="53" t="e">
        <v>#N/A</v>
      </c>
      <c r="DG362" s="53" t="e">
        <v>#N/A</v>
      </c>
      <c r="DH362" s="53" t="e">
        <v>#N/A</v>
      </c>
      <c r="DI362" s="53" t="e">
        <v>#N/A</v>
      </c>
      <c r="DJ362" s="53" t="e">
        <v>#N/A</v>
      </c>
    </row>
    <row r="363" spans="3:114" s="53" customFormat="1" ht="12.75">
      <c r="C363" s="80"/>
      <c r="E363" s="48"/>
      <c r="K363" s="48"/>
      <c r="N363" s="53" t="str">
        <f t="shared" si="59"/>
        <v/>
      </c>
      <c r="O363" s="53" t="str">
        <f t="shared" si="60"/>
        <v>click</v>
      </c>
      <c r="P363" s="53" t="str">
        <f t="shared" si="57"/>
        <v>();</v>
      </c>
      <c r="Q363" s="53" t="str">
        <f t="shared" si="61"/>
        <v/>
      </c>
      <c r="R363" s="53" t="str">
        <f t="shared" si="55"/>
        <v/>
      </c>
      <c r="S363" s="53" t="str">
        <f t="shared" si="58"/>
        <v/>
      </c>
      <c r="CU363" s="53" t="e">
        <v>#N/A</v>
      </c>
      <c r="CV363" s="53" t="e">
        <v>#N/A</v>
      </c>
      <c r="CW363" s="53" t="e">
        <v>#N/A</v>
      </c>
      <c r="CX363" s="53" t="e">
        <v>#N/A</v>
      </c>
      <c r="CY363" s="53" t="e">
        <v>#N/A</v>
      </c>
      <c r="DE363" s="53" t="e">
        <v>#N/A</v>
      </c>
      <c r="DF363" s="53" t="e">
        <v>#N/A</v>
      </c>
      <c r="DG363" s="53" t="e">
        <v>#N/A</v>
      </c>
      <c r="DH363" s="53" t="e">
        <v>#N/A</v>
      </c>
      <c r="DI363" s="53" t="e">
        <v>#N/A</v>
      </c>
      <c r="DJ363" s="53" t="e">
        <v>#N/A</v>
      </c>
    </row>
    <row r="364" spans="3:114" s="53" customFormat="1" ht="12.75">
      <c r="C364" s="80"/>
      <c r="E364" s="48"/>
      <c r="K364" s="48"/>
      <c r="N364" s="53" t="str">
        <f t="shared" si="59"/>
        <v/>
      </c>
      <c r="O364" s="53" t="str">
        <f t="shared" si="60"/>
        <v>click</v>
      </c>
      <c r="P364" s="53" t="str">
        <f t="shared" si="57"/>
        <v>();</v>
      </c>
      <c r="Q364" s="53" t="str">
        <f t="shared" si="61"/>
        <v/>
      </c>
      <c r="R364" s="53" t="str">
        <f t="shared" si="55"/>
        <v/>
      </c>
      <c r="S364" s="53" t="str">
        <f t="shared" ref="S364:S384" si="62">IF(O364="innerText",I364&amp;"="&amp;IF(C364="Y",IF(J364&lt;&gt;"Y",$S$9&amp;$R$10&amp;"."&amp;E364&amp;")."&amp;IF(OR(O364="click",O364="innerText"),O364&amp;"();",O364&amp;"("&amp;$Q$9&amp;"."&amp;E364&amp;");"),$S$110&amp;$R$10&amp;"."&amp;E364&amp;")."&amp;IF(O364="click",O364&amp;"();",O364&amp;"("&amp;"'"&amp;K364&amp;"'"&amp;");")),""),IF(C364="Y",IF(J364&lt;&gt;"Y",$S$9&amp;$R$10&amp;"."&amp;E364&amp;")."&amp;IF(OR(O364="click",O364="innerText"),O364&amp;"();",O364&amp;"("&amp;$Q$9&amp;"."&amp;E364&amp;");"),$S$110&amp;$R$10&amp;"."&amp;E364&amp;")."&amp;IF(O364="click",O364&amp;"();",O364&amp;"("&amp;"'"&amp;K364&amp;"'"&amp;");")),""))</f>
        <v/>
      </c>
      <c r="CU364" s="53" t="e">
        <v>#N/A</v>
      </c>
      <c r="CV364" s="53" t="e">
        <v>#N/A</v>
      </c>
      <c r="CW364" s="53" t="e">
        <v>#N/A</v>
      </c>
      <c r="CX364" s="53" t="e">
        <v>#N/A</v>
      </c>
      <c r="CY364" s="53" t="e">
        <v>#N/A</v>
      </c>
      <c r="DE364" s="53" t="e">
        <v>#N/A</v>
      </c>
      <c r="DF364" s="53" t="e">
        <v>#N/A</v>
      </c>
      <c r="DG364" s="53" t="e">
        <v>#N/A</v>
      </c>
      <c r="DH364" s="53" t="e">
        <v>#N/A</v>
      </c>
      <c r="DI364" s="53" t="e">
        <v>#N/A</v>
      </c>
      <c r="DJ364" s="53" t="e">
        <v>#N/A</v>
      </c>
    </row>
    <row r="365" spans="3:114" s="53" customFormat="1" ht="12.75">
      <c r="C365" s="80"/>
      <c r="E365" s="48"/>
      <c r="K365" s="48"/>
      <c r="N365" s="53" t="str">
        <f t="shared" si="59"/>
        <v/>
      </c>
      <c r="O365" s="53" t="str">
        <f t="shared" si="60"/>
        <v>click</v>
      </c>
      <c r="P365" s="53" t="str">
        <f t="shared" si="57"/>
        <v>();</v>
      </c>
      <c r="Q365" s="53" t="str">
        <f t="shared" si="61"/>
        <v/>
      </c>
      <c r="R365" s="53" t="str">
        <f t="shared" si="55"/>
        <v/>
      </c>
      <c r="S365" s="53" t="str">
        <f t="shared" si="62"/>
        <v/>
      </c>
      <c r="CU365" s="53" t="e">
        <v>#N/A</v>
      </c>
      <c r="CV365" s="53" t="e">
        <v>#N/A</v>
      </c>
      <c r="CW365" s="53" t="e">
        <v>#N/A</v>
      </c>
      <c r="CX365" s="53" t="e">
        <v>#N/A</v>
      </c>
      <c r="CY365" s="53" t="e">
        <v>#N/A</v>
      </c>
      <c r="DE365" s="53" t="e">
        <v>#N/A</v>
      </c>
      <c r="DF365" s="53" t="e">
        <v>#N/A</v>
      </c>
      <c r="DG365" s="53" t="e">
        <v>#N/A</v>
      </c>
      <c r="DH365" s="53" t="e">
        <v>#N/A</v>
      </c>
      <c r="DI365" s="53" t="e">
        <v>#N/A</v>
      </c>
      <c r="DJ365" s="53" t="e">
        <v>#N/A</v>
      </c>
    </row>
    <row r="366" spans="3:114" s="53" customFormat="1" ht="12.75">
      <c r="C366" s="80"/>
      <c r="E366" s="48"/>
      <c r="K366" s="48"/>
      <c r="N366" s="53" t="str">
        <f t="shared" si="59"/>
        <v/>
      </c>
      <c r="O366" s="53" t="str">
        <f t="shared" si="60"/>
        <v>click</v>
      </c>
      <c r="P366" s="53" t="str">
        <f t="shared" si="57"/>
        <v>();</v>
      </c>
      <c r="Q366" s="53" t="str">
        <f t="shared" si="61"/>
        <v/>
      </c>
      <c r="R366" s="53" t="str">
        <f t="shared" si="55"/>
        <v/>
      </c>
      <c r="S366" s="53" t="str">
        <f t="shared" si="62"/>
        <v/>
      </c>
      <c r="CU366" s="53" t="e">
        <v>#N/A</v>
      </c>
      <c r="CV366" s="53" t="e">
        <v>#N/A</v>
      </c>
      <c r="CW366" s="53" t="e">
        <v>#N/A</v>
      </c>
      <c r="CX366" s="53" t="e">
        <v>#N/A</v>
      </c>
      <c r="CY366" s="53" t="e">
        <v>#N/A</v>
      </c>
      <c r="DE366" s="53" t="e">
        <v>#N/A</v>
      </c>
      <c r="DF366" s="53" t="e">
        <v>#N/A</v>
      </c>
      <c r="DG366" s="53" t="e">
        <v>#N/A</v>
      </c>
      <c r="DH366" s="53" t="e">
        <v>#N/A</v>
      </c>
      <c r="DI366" s="53" t="e">
        <v>#N/A</v>
      </c>
      <c r="DJ366" s="53" t="e">
        <v>#N/A</v>
      </c>
    </row>
    <row r="367" spans="3:114" s="53" customFormat="1" ht="12.75">
      <c r="C367" s="80"/>
      <c r="E367" s="48"/>
      <c r="K367" s="48"/>
      <c r="N367" s="53" t="str">
        <f t="shared" si="59"/>
        <v/>
      </c>
      <c r="O367" s="53" t="str">
        <f t="shared" si="60"/>
        <v>click</v>
      </c>
      <c r="P367" s="53" t="str">
        <f t="shared" si="57"/>
        <v>();</v>
      </c>
      <c r="Q367" s="53" t="str">
        <f t="shared" si="61"/>
        <v/>
      </c>
      <c r="R367" s="53" t="str">
        <f t="shared" si="55"/>
        <v/>
      </c>
      <c r="S367" s="53" t="str">
        <f t="shared" si="62"/>
        <v/>
      </c>
      <c r="CU367" s="53" t="e">
        <v>#N/A</v>
      </c>
      <c r="CV367" s="53" t="e">
        <v>#N/A</v>
      </c>
      <c r="CW367" s="53" t="e">
        <v>#N/A</v>
      </c>
      <c r="CX367" s="53" t="e">
        <v>#N/A</v>
      </c>
      <c r="CY367" s="53" t="e">
        <v>#N/A</v>
      </c>
      <c r="DE367" s="53" t="e">
        <v>#N/A</v>
      </c>
      <c r="DF367" s="53" t="e">
        <v>#N/A</v>
      </c>
      <c r="DG367" s="53" t="e">
        <v>#N/A</v>
      </c>
      <c r="DH367" s="53" t="e">
        <v>#N/A</v>
      </c>
      <c r="DI367" s="53" t="e">
        <v>#N/A</v>
      </c>
      <c r="DJ367" s="53" t="e">
        <v>#N/A</v>
      </c>
    </row>
    <row r="368" spans="3:114" s="53" customFormat="1" ht="12.75">
      <c r="C368" s="80"/>
      <c r="E368" s="48"/>
      <c r="K368" s="48"/>
      <c r="N368" s="53" t="str">
        <f t="shared" si="59"/>
        <v/>
      </c>
      <c r="O368" s="53" t="str">
        <f t="shared" si="60"/>
        <v>click</v>
      </c>
      <c r="P368" s="53" t="str">
        <f t="shared" si="57"/>
        <v>();</v>
      </c>
      <c r="Q368" s="53" t="str">
        <f t="shared" si="61"/>
        <v/>
      </c>
      <c r="R368" s="53" t="str">
        <f t="shared" si="55"/>
        <v/>
      </c>
      <c r="S368" s="53" t="str">
        <f t="shared" si="62"/>
        <v/>
      </c>
      <c r="CU368" s="53" t="e">
        <v>#N/A</v>
      </c>
      <c r="CV368" s="53" t="e">
        <v>#N/A</v>
      </c>
      <c r="CW368" s="53" t="e">
        <v>#N/A</v>
      </c>
      <c r="CX368" s="53" t="e">
        <v>#N/A</v>
      </c>
      <c r="CY368" s="53" t="e">
        <v>#N/A</v>
      </c>
      <c r="DE368" s="53" t="e">
        <v>#N/A</v>
      </c>
      <c r="DF368" s="53" t="e">
        <v>#N/A</v>
      </c>
      <c r="DG368" s="53" t="e">
        <v>#N/A</v>
      </c>
      <c r="DH368" s="53" t="e">
        <v>#N/A</v>
      </c>
      <c r="DI368" s="53" t="e">
        <v>#N/A</v>
      </c>
      <c r="DJ368" s="53" t="e">
        <v>#N/A</v>
      </c>
    </row>
    <row r="369" spans="3:114" s="53" customFormat="1" ht="12.75">
      <c r="C369" s="80"/>
      <c r="E369" s="48"/>
      <c r="K369" s="48"/>
      <c r="N369" s="53" t="str">
        <f t="shared" si="59"/>
        <v/>
      </c>
      <c r="O369" s="53" t="str">
        <f t="shared" si="60"/>
        <v>click</v>
      </c>
      <c r="P369" s="53" t="str">
        <f t="shared" si="57"/>
        <v>();</v>
      </c>
      <c r="Q369" s="53" t="str">
        <f t="shared" si="61"/>
        <v/>
      </c>
      <c r="R369" s="53" t="str">
        <f t="shared" si="55"/>
        <v/>
      </c>
      <c r="S369" s="53" t="str">
        <f t="shared" si="62"/>
        <v/>
      </c>
      <c r="CU369" s="53" t="e">
        <v>#N/A</v>
      </c>
      <c r="CV369" s="53" t="e">
        <v>#N/A</v>
      </c>
      <c r="CW369" s="53" t="e">
        <v>#N/A</v>
      </c>
      <c r="CX369" s="53" t="e">
        <v>#N/A</v>
      </c>
      <c r="CY369" s="53" t="e">
        <v>#N/A</v>
      </c>
      <c r="DE369" s="53" t="e">
        <v>#N/A</v>
      </c>
      <c r="DF369" s="53" t="e">
        <v>#N/A</v>
      </c>
      <c r="DG369" s="53" t="e">
        <v>#N/A</v>
      </c>
      <c r="DH369" s="53" t="e">
        <v>#N/A</v>
      </c>
      <c r="DI369" s="53" t="e">
        <v>#N/A</v>
      </c>
      <c r="DJ369" s="53" t="e">
        <v>#N/A</v>
      </c>
    </row>
    <row r="370" spans="3:114" s="53" customFormat="1" ht="12.75">
      <c r="C370" s="80"/>
      <c r="E370" s="48"/>
      <c r="K370" s="48"/>
      <c r="N370" s="53" t="str">
        <f t="shared" si="59"/>
        <v/>
      </c>
      <c r="O370" s="53" t="str">
        <f t="shared" si="60"/>
        <v>click</v>
      </c>
      <c r="P370" s="53" t="str">
        <f t="shared" si="57"/>
        <v>();</v>
      </c>
      <c r="Q370" s="53" t="str">
        <f t="shared" si="61"/>
        <v/>
      </c>
      <c r="R370" s="53" t="str">
        <f t="shared" si="55"/>
        <v/>
      </c>
      <c r="S370" s="53" t="str">
        <f t="shared" si="62"/>
        <v/>
      </c>
      <c r="CU370" s="53" t="e">
        <v>#N/A</v>
      </c>
      <c r="CV370" s="53" t="e">
        <v>#N/A</v>
      </c>
      <c r="CW370" s="53" t="e">
        <v>#N/A</v>
      </c>
      <c r="CX370" s="53" t="e">
        <v>#N/A</v>
      </c>
      <c r="CY370" s="53" t="e">
        <v>#N/A</v>
      </c>
      <c r="DE370" s="53" t="e">
        <v>#N/A</v>
      </c>
      <c r="DF370" s="53" t="e">
        <v>#N/A</v>
      </c>
      <c r="DG370" s="53" t="e">
        <v>#N/A</v>
      </c>
      <c r="DH370" s="53" t="e">
        <v>#N/A</v>
      </c>
      <c r="DI370" s="53" t="e">
        <v>#N/A</v>
      </c>
      <c r="DJ370" s="53" t="e">
        <v>#N/A</v>
      </c>
    </row>
    <row r="371" spans="3:114" s="53" customFormat="1" ht="12.75">
      <c r="C371" s="80"/>
      <c r="E371" s="48"/>
      <c r="K371" s="48"/>
      <c r="N371" s="53" t="str">
        <f t="shared" si="59"/>
        <v/>
      </c>
      <c r="O371" s="53" t="str">
        <f t="shared" si="60"/>
        <v>click</v>
      </c>
      <c r="P371" s="53" t="str">
        <f t="shared" si="57"/>
        <v>();</v>
      </c>
      <c r="Q371" s="53" t="str">
        <f t="shared" si="61"/>
        <v/>
      </c>
      <c r="R371" s="53" t="str">
        <f t="shared" si="55"/>
        <v/>
      </c>
      <c r="S371" s="53" t="str">
        <f t="shared" si="62"/>
        <v/>
      </c>
      <c r="CU371" s="53" t="e">
        <v>#N/A</v>
      </c>
      <c r="CV371" s="53" t="e">
        <v>#N/A</v>
      </c>
      <c r="CW371" s="53" t="e">
        <v>#N/A</v>
      </c>
      <c r="CX371" s="53" t="e">
        <v>#N/A</v>
      </c>
      <c r="CY371" s="53" t="e">
        <v>#N/A</v>
      </c>
      <c r="DE371" s="53" t="e">
        <v>#N/A</v>
      </c>
      <c r="DF371" s="53" t="e">
        <v>#N/A</v>
      </c>
      <c r="DG371" s="53" t="e">
        <v>#N/A</v>
      </c>
      <c r="DH371" s="53" t="e">
        <v>#N/A</v>
      </c>
      <c r="DI371" s="53" t="e">
        <v>#N/A</v>
      </c>
      <c r="DJ371" s="53" t="e">
        <v>#N/A</v>
      </c>
    </row>
    <row r="372" spans="3:114" s="53" customFormat="1" ht="12.75">
      <c r="C372" s="80"/>
      <c r="E372" s="48"/>
      <c r="K372" s="48"/>
      <c r="N372" s="53" t="str">
        <f t="shared" ref="N372:N384" si="63">IF(A372="Y",""""&amp;C372&amp;""""&amp;": "&amp;M372&amp;",","")</f>
        <v/>
      </c>
      <c r="O372" s="53" t="str">
        <f t="shared" si="60"/>
        <v>click</v>
      </c>
      <c r="P372" s="53" t="str">
        <f t="shared" si="57"/>
        <v>();</v>
      </c>
      <c r="Q372" s="53" t="str">
        <f t="shared" si="61"/>
        <v/>
      </c>
      <c r="R372" s="53" t="str">
        <f t="shared" si="55"/>
        <v/>
      </c>
      <c r="S372" s="53" t="str">
        <f t="shared" si="62"/>
        <v/>
      </c>
      <c r="CU372" s="53" t="e">
        <v>#N/A</v>
      </c>
      <c r="CV372" s="53" t="e">
        <v>#N/A</v>
      </c>
      <c r="CW372" s="53" t="e">
        <v>#N/A</v>
      </c>
      <c r="CX372" s="53" t="e">
        <v>#N/A</v>
      </c>
      <c r="CY372" s="53" t="e">
        <v>#N/A</v>
      </c>
      <c r="DE372" s="53" t="e">
        <v>#N/A</v>
      </c>
      <c r="DF372" s="53" t="e">
        <v>#N/A</v>
      </c>
      <c r="DG372" s="53" t="e">
        <v>#N/A</v>
      </c>
      <c r="DH372" s="53" t="e">
        <v>#N/A</v>
      </c>
      <c r="DI372" s="53" t="e">
        <v>#N/A</v>
      </c>
      <c r="DJ372" s="53" t="e">
        <v>#N/A</v>
      </c>
    </row>
    <row r="373" spans="3:114" s="53" customFormat="1" ht="12.75">
      <c r="C373" s="80"/>
      <c r="E373" s="48"/>
      <c r="K373" s="48"/>
      <c r="N373" s="53" t="str">
        <f t="shared" si="63"/>
        <v/>
      </c>
      <c r="O373" s="53" t="str">
        <f t="shared" si="60"/>
        <v>click</v>
      </c>
      <c r="P373" s="53" t="str">
        <f t="shared" si="57"/>
        <v>();</v>
      </c>
      <c r="Q373" s="53" t="str">
        <f t="shared" si="61"/>
        <v/>
      </c>
      <c r="R373" s="53" t="str">
        <f t="shared" si="55"/>
        <v/>
      </c>
      <c r="S373" s="53" t="str">
        <f t="shared" si="62"/>
        <v/>
      </c>
      <c r="CU373" s="53" t="e">
        <v>#N/A</v>
      </c>
      <c r="CV373" s="53" t="e">
        <v>#N/A</v>
      </c>
      <c r="CW373" s="53" t="e">
        <v>#N/A</v>
      </c>
      <c r="CX373" s="53" t="e">
        <v>#N/A</v>
      </c>
      <c r="CY373" s="53" t="e">
        <v>#N/A</v>
      </c>
      <c r="DE373" s="53" t="e">
        <v>#N/A</v>
      </c>
      <c r="DF373" s="53" t="e">
        <v>#N/A</v>
      </c>
      <c r="DG373" s="53" t="e">
        <v>#N/A</v>
      </c>
      <c r="DH373" s="53" t="e">
        <v>#N/A</v>
      </c>
      <c r="DI373" s="53" t="e">
        <v>#N/A</v>
      </c>
      <c r="DJ373" s="53" t="e">
        <v>#N/A</v>
      </c>
    </row>
    <row r="374" spans="3:114" s="53" customFormat="1" ht="12.75">
      <c r="C374" s="80"/>
      <c r="E374" s="48"/>
      <c r="K374" s="48"/>
      <c r="N374" s="53" t="str">
        <f t="shared" si="63"/>
        <v/>
      </c>
      <c r="O374" s="53" t="str">
        <f t="shared" si="60"/>
        <v>click</v>
      </c>
      <c r="P374" s="53" t="str">
        <f t="shared" si="57"/>
        <v>();</v>
      </c>
      <c r="Q374" s="53" t="str">
        <f t="shared" si="61"/>
        <v/>
      </c>
      <c r="R374" s="53" t="str">
        <f t="shared" si="55"/>
        <v/>
      </c>
      <c r="S374" s="53" t="str">
        <f t="shared" si="62"/>
        <v/>
      </c>
      <c r="CU374" s="53" t="e">
        <v>#N/A</v>
      </c>
      <c r="CV374" s="53" t="e">
        <v>#N/A</v>
      </c>
      <c r="CW374" s="53" t="e">
        <v>#N/A</v>
      </c>
      <c r="CX374" s="53" t="e">
        <v>#N/A</v>
      </c>
      <c r="CY374" s="53" t="e">
        <v>#N/A</v>
      </c>
      <c r="DE374" s="53" t="e">
        <v>#N/A</v>
      </c>
      <c r="DF374" s="53" t="e">
        <v>#N/A</v>
      </c>
      <c r="DG374" s="53" t="e">
        <v>#N/A</v>
      </c>
      <c r="DH374" s="53" t="e">
        <v>#N/A</v>
      </c>
      <c r="DI374" s="53" t="e">
        <v>#N/A</v>
      </c>
      <c r="DJ374" s="53" t="e">
        <v>#N/A</v>
      </c>
    </row>
    <row r="375" spans="3:114" s="53" customFormat="1" ht="12.75">
      <c r="C375" s="80"/>
      <c r="E375" s="48"/>
      <c r="K375" s="48"/>
      <c r="N375" s="53" t="str">
        <f t="shared" si="63"/>
        <v/>
      </c>
      <c r="O375" s="53" t="str">
        <f t="shared" si="60"/>
        <v>click</v>
      </c>
      <c r="P375" s="53" t="str">
        <f t="shared" si="57"/>
        <v>();</v>
      </c>
      <c r="Q375" s="53" t="str">
        <f t="shared" si="61"/>
        <v/>
      </c>
      <c r="R375" s="53" t="str">
        <f t="shared" si="55"/>
        <v/>
      </c>
      <c r="S375" s="53" t="str">
        <f t="shared" si="62"/>
        <v/>
      </c>
      <c r="CU375" s="53" t="e">
        <v>#N/A</v>
      </c>
      <c r="CV375" s="53" t="e">
        <v>#N/A</v>
      </c>
      <c r="CW375" s="53" t="e">
        <v>#N/A</v>
      </c>
      <c r="CX375" s="53" t="e">
        <v>#N/A</v>
      </c>
      <c r="CY375" s="53" t="e">
        <v>#N/A</v>
      </c>
      <c r="DE375" s="53" t="e">
        <v>#N/A</v>
      </c>
      <c r="DF375" s="53" t="e">
        <v>#N/A</v>
      </c>
      <c r="DG375" s="53" t="e">
        <v>#N/A</v>
      </c>
      <c r="DH375" s="53" t="e">
        <v>#N/A</v>
      </c>
      <c r="DI375" s="53" t="e">
        <v>#N/A</v>
      </c>
      <c r="DJ375" s="53" t="e">
        <v>#N/A</v>
      </c>
    </row>
    <row r="376" spans="3:114" s="53" customFormat="1" ht="12.75">
      <c r="C376" s="80"/>
      <c r="E376" s="48"/>
      <c r="K376" s="48"/>
      <c r="N376" s="53" t="str">
        <f t="shared" si="63"/>
        <v/>
      </c>
      <c r="O376" s="53" t="str">
        <f t="shared" si="60"/>
        <v>click</v>
      </c>
      <c r="P376" s="53" t="str">
        <f t="shared" si="57"/>
        <v>();</v>
      </c>
      <c r="Q376" s="53" t="str">
        <f t="shared" si="61"/>
        <v/>
      </c>
      <c r="R376" s="53" t="str">
        <f t="shared" si="55"/>
        <v/>
      </c>
      <c r="S376" s="53" t="str">
        <f t="shared" si="62"/>
        <v/>
      </c>
      <c r="CU376" s="53" t="e">
        <v>#N/A</v>
      </c>
      <c r="CV376" s="53" t="e">
        <v>#N/A</v>
      </c>
      <c r="CW376" s="53" t="e">
        <v>#N/A</v>
      </c>
      <c r="CX376" s="53" t="e">
        <v>#N/A</v>
      </c>
      <c r="CY376" s="53" t="e">
        <v>#N/A</v>
      </c>
      <c r="DE376" s="53" t="e">
        <v>#N/A</v>
      </c>
      <c r="DF376" s="53" t="e">
        <v>#N/A</v>
      </c>
      <c r="DG376" s="53" t="e">
        <v>#N/A</v>
      </c>
      <c r="DH376" s="53" t="e">
        <v>#N/A</v>
      </c>
      <c r="DI376" s="53" t="e">
        <v>#N/A</v>
      </c>
      <c r="DJ376" s="53" t="e">
        <v>#N/A</v>
      </c>
    </row>
    <row r="377" spans="3:114" s="53" customFormat="1" ht="12.75">
      <c r="C377" s="80"/>
      <c r="E377" s="48"/>
      <c r="K377" s="48"/>
      <c r="N377" s="53" t="str">
        <f t="shared" si="63"/>
        <v/>
      </c>
      <c r="O377" s="53" t="str">
        <f t="shared" si="60"/>
        <v>click</v>
      </c>
      <c r="P377" s="53" t="str">
        <f t="shared" si="57"/>
        <v>();</v>
      </c>
      <c r="Q377" s="53" t="str">
        <f t="shared" si="61"/>
        <v/>
      </c>
      <c r="R377" s="53" t="str">
        <f t="shared" si="55"/>
        <v/>
      </c>
      <c r="S377" s="53" t="str">
        <f t="shared" si="62"/>
        <v/>
      </c>
      <c r="CU377" s="53" t="e">
        <v>#N/A</v>
      </c>
      <c r="CV377" s="53" t="e">
        <v>#N/A</v>
      </c>
      <c r="CW377" s="53" t="e">
        <v>#N/A</v>
      </c>
      <c r="CX377" s="53" t="e">
        <v>#N/A</v>
      </c>
      <c r="CY377" s="53" t="e">
        <v>#N/A</v>
      </c>
      <c r="DE377" s="53" t="e">
        <v>#N/A</v>
      </c>
      <c r="DF377" s="53" t="e">
        <v>#N/A</v>
      </c>
      <c r="DG377" s="53" t="e">
        <v>#N/A</v>
      </c>
      <c r="DH377" s="53" t="e">
        <v>#N/A</v>
      </c>
      <c r="DI377" s="53" t="e">
        <v>#N/A</v>
      </c>
      <c r="DJ377" s="53" t="e">
        <v>#N/A</v>
      </c>
    </row>
    <row r="378" spans="3:114" s="53" customFormat="1" ht="12.75">
      <c r="C378" s="80"/>
      <c r="E378" s="48"/>
      <c r="K378" s="48"/>
      <c r="N378" s="53" t="str">
        <f t="shared" si="63"/>
        <v/>
      </c>
      <c r="O378" s="53" t="str">
        <f t="shared" si="60"/>
        <v>click</v>
      </c>
      <c r="P378" s="53" t="str">
        <f t="shared" si="57"/>
        <v>();</v>
      </c>
      <c r="Q378" s="53" t="str">
        <f t="shared" si="61"/>
        <v/>
      </c>
      <c r="R378" s="53" t="str">
        <f t="shared" si="55"/>
        <v/>
      </c>
      <c r="S378" s="53" t="str">
        <f t="shared" si="62"/>
        <v/>
      </c>
      <c r="CU378" s="53" t="e">
        <v>#N/A</v>
      </c>
      <c r="CV378" s="53" t="e">
        <v>#N/A</v>
      </c>
      <c r="CW378" s="53" t="e">
        <v>#N/A</v>
      </c>
      <c r="CX378" s="53" t="e">
        <v>#N/A</v>
      </c>
      <c r="CY378" s="53" t="e">
        <v>#N/A</v>
      </c>
      <c r="DE378" s="53" t="e">
        <v>#N/A</v>
      </c>
      <c r="DF378" s="53" t="e">
        <v>#N/A</v>
      </c>
      <c r="DG378" s="53" t="e">
        <v>#N/A</v>
      </c>
      <c r="DH378" s="53" t="e">
        <v>#N/A</v>
      </c>
      <c r="DI378" s="53" t="e">
        <v>#N/A</v>
      </c>
      <c r="DJ378" s="53" t="e">
        <v>#N/A</v>
      </c>
    </row>
    <row r="379" spans="3:114" s="53" customFormat="1" ht="12.75">
      <c r="C379" s="80"/>
      <c r="E379" s="48"/>
      <c r="K379" s="48"/>
      <c r="N379" s="53" t="str">
        <f t="shared" si="63"/>
        <v/>
      </c>
      <c r="O379" s="53" t="str">
        <f t="shared" si="60"/>
        <v>click</v>
      </c>
      <c r="P379" s="53" t="str">
        <f t="shared" si="57"/>
        <v>();</v>
      </c>
      <c r="Q379" s="53" t="str">
        <f t="shared" si="61"/>
        <v/>
      </c>
      <c r="R379" s="53" t="str">
        <f t="shared" si="55"/>
        <v/>
      </c>
      <c r="S379" s="53" t="str">
        <f t="shared" si="62"/>
        <v/>
      </c>
      <c r="CU379" s="53" t="e">
        <v>#N/A</v>
      </c>
      <c r="CV379" s="53" t="e">
        <v>#N/A</v>
      </c>
      <c r="CW379" s="53" t="e">
        <v>#N/A</v>
      </c>
      <c r="CX379" s="53" t="e">
        <v>#N/A</v>
      </c>
      <c r="CY379" s="53" t="e">
        <v>#N/A</v>
      </c>
      <c r="DE379" s="53" t="e">
        <v>#N/A</v>
      </c>
      <c r="DF379" s="53" t="e">
        <v>#N/A</v>
      </c>
      <c r="DG379" s="53" t="e">
        <v>#N/A</v>
      </c>
      <c r="DH379" s="53" t="e">
        <v>#N/A</v>
      </c>
      <c r="DI379" s="53" t="e">
        <v>#N/A</v>
      </c>
      <c r="DJ379" s="53" t="e">
        <v>#N/A</v>
      </c>
    </row>
    <row r="380" spans="3:114" s="53" customFormat="1" ht="12.75">
      <c r="C380" s="80"/>
      <c r="E380" s="48"/>
      <c r="K380" s="48"/>
      <c r="N380" s="53" t="str">
        <f t="shared" si="63"/>
        <v/>
      </c>
      <c r="O380" s="53" t="str">
        <f t="shared" si="60"/>
        <v>click</v>
      </c>
      <c r="P380" s="53" t="str">
        <f t="shared" si="57"/>
        <v>();</v>
      </c>
      <c r="Q380" s="53" t="str">
        <f t="shared" si="61"/>
        <v/>
      </c>
      <c r="R380" s="53" t="str">
        <f t="shared" si="55"/>
        <v/>
      </c>
      <c r="S380" s="53" t="str">
        <f t="shared" si="62"/>
        <v/>
      </c>
      <c r="CU380" s="53" t="e">
        <v>#N/A</v>
      </c>
      <c r="CV380" s="53" t="e">
        <v>#N/A</v>
      </c>
      <c r="CW380" s="53" t="e">
        <v>#N/A</v>
      </c>
      <c r="CX380" s="53" t="e">
        <v>#N/A</v>
      </c>
      <c r="CY380" s="53" t="e">
        <v>#N/A</v>
      </c>
      <c r="DE380" s="53" t="e">
        <v>#N/A</v>
      </c>
      <c r="DF380" s="53" t="e">
        <v>#N/A</v>
      </c>
      <c r="DG380" s="53" t="e">
        <v>#N/A</v>
      </c>
      <c r="DH380" s="53" t="e">
        <v>#N/A</v>
      </c>
      <c r="DI380" s="53" t="e">
        <v>#N/A</v>
      </c>
      <c r="DJ380" s="53" t="e">
        <v>#N/A</v>
      </c>
    </row>
    <row r="381" spans="3:114" s="53" customFormat="1" ht="12.75">
      <c r="C381" s="80"/>
      <c r="E381" s="48"/>
      <c r="K381" s="48"/>
      <c r="N381" s="53" t="str">
        <f t="shared" si="63"/>
        <v/>
      </c>
      <c r="O381" s="53" t="str">
        <f t="shared" si="60"/>
        <v>click</v>
      </c>
      <c r="P381" s="53" t="str">
        <f t="shared" si="57"/>
        <v>();</v>
      </c>
      <c r="Q381" s="53" t="str">
        <f t="shared" si="61"/>
        <v/>
      </c>
      <c r="R381" s="53" t="str">
        <f t="shared" si="55"/>
        <v/>
      </c>
      <c r="S381" s="53" t="str">
        <f t="shared" si="62"/>
        <v/>
      </c>
      <c r="CU381" s="53" t="e">
        <v>#N/A</v>
      </c>
      <c r="CV381" s="53" t="e">
        <v>#N/A</v>
      </c>
      <c r="CW381" s="53" t="e">
        <v>#N/A</v>
      </c>
      <c r="CX381" s="53" t="e">
        <v>#N/A</v>
      </c>
      <c r="CY381" s="53" t="e">
        <v>#N/A</v>
      </c>
      <c r="DE381" s="53" t="e">
        <v>#N/A</v>
      </c>
      <c r="DF381" s="53" t="e">
        <v>#N/A</v>
      </c>
      <c r="DG381" s="53" t="e">
        <v>#N/A</v>
      </c>
      <c r="DH381" s="53" t="e">
        <v>#N/A</v>
      </c>
      <c r="DI381" s="53" t="e">
        <v>#N/A</v>
      </c>
      <c r="DJ381" s="53" t="e">
        <v>#N/A</v>
      </c>
    </row>
    <row r="382" spans="3:114" s="53" customFormat="1" ht="12.75">
      <c r="C382" s="80"/>
      <c r="E382" s="48"/>
      <c r="K382" s="48"/>
      <c r="N382" s="53" t="str">
        <f t="shared" si="63"/>
        <v/>
      </c>
      <c r="O382" s="53" t="str">
        <f t="shared" si="60"/>
        <v>click</v>
      </c>
      <c r="P382" s="53" t="str">
        <f t="shared" si="57"/>
        <v>();</v>
      </c>
      <c r="Q382" s="53" t="str">
        <f t="shared" si="61"/>
        <v/>
      </c>
      <c r="R382" s="53" t="str">
        <f t="shared" si="55"/>
        <v/>
      </c>
      <c r="S382" s="53" t="str">
        <f t="shared" si="62"/>
        <v/>
      </c>
      <c r="CU382" s="53" t="e">
        <v>#N/A</v>
      </c>
      <c r="CV382" s="53" t="e">
        <v>#N/A</v>
      </c>
      <c r="CW382" s="53" t="e">
        <v>#N/A</v>
      </c>
      <c r="CX382" s="53" t="e">
        <v>#N/A</v>
      </c>
      <c r="CY382" s="53" t="e">
        <v>#N/A</v>
      </c>
      <c r="DE382" s="53" t="e">
        <v>#N/A</v>
      </c>
      <c r="DF382" s="53" t="e">
        <v>#N/A</v>
      </c>
      <c r="DG382" s="53" t="e">
        <v>#N/A</v>
      </c>
      <c r="DH382" s="53" t="e">
        <v>#N/A</v>
      </c>
      <c r="DI382" s="53" t="e">
        <v>#N/A</v>
      </c>
      <c r="DJ382" s="53" t="e">
        <v>#N/A</v>
      </c>
    </row>
    <row r="383" spans="3:114" s="53" customFormat="1" ht="12.75">
      <c r="C383" s="80"/>
      <c r="E383" s="48"/>
      <c r="K383" s="48"/>
      <c r="N383" s="53" t="str">
        <f t="shared" si="63"/>
        <v/>
      </c>
      <c r="O383" s="53" t="str">
        <f t="shared" si="60"/>
        <v>click</v>
      </c>
      <c r="P383" s="53" t="str">
        <f t="shared" si="57"/>
        <v>();</v>
      </c>
      <c r="Q383" s="53" t="str">
        <f t="shared" si="61"/>
        <v/>
      </c>
      <c r="R383" s="53" t="str">
        <f t="shared" ref="R383:R446" si="64">IF(C383="Y",""""&amp;E383&amp;""""&amp;":"&amp;Q383&amp;",","")</f>
        <v/>
      </c>
      <c r="S383" s="53" t="str">
        <f t="shared" si="62"/>
        <v/>
      </c>
      <c r="CU383" s="53" t="e">
        <v>#N/A</v>
      </c>
      <c r="CV383" s="53" t="e">
        <v>#N/A</v>
      </c>
      <c r="CW383" s="53" t="e">
        <v>#N/A</v>
      </c>
      <c r="CX383" s="53" t="e">
        <v>#N/A</v>
      </c>
      <c r="CY383" s="53" t="e">
        <v>#N/A</v>
      </c>
      <c r="DE383" s="53" t="e">
        <v>#N/A</v>
      </c>
      <c r="DF383" s="53" t="e">
        <v>#N/A</v>
      </c>
      <c r="DG383" s="53" t="e">
        <v>#N/A</v>
      </c>
      <c r="DH383" s="53" t="e">
        <v>#N/A</v>
      </c>
      <c r="DI383" s="53" t="e">
        <v>#N/A</v>
      </c>
      <c r="DJ383" s="53" t="e">
        <v>#N/A</v>
      </c>
    </row>
    <row r="384" spans="3:114" s="53" customFormat="1" ht="12.75">
      <c r="C384" s="80"/>
      <c r="E384" s="48"/>
      <c r="K384" s="48"/>
      <c r="N384" s="53" t="str">
        <f t="shared" si="63"/>
        <v/>
      </c>
      <c r="O384" s="53" t="str">
        <f t="shared" si="60"/>
        <v>click</v>
      </c>
      <c r="P384" s="53" t="str">
        <f t="shared" si="57"/>
        <v>();</v>
      </c>
      <c r="Q384" s="53" t="str">
        <f t="shared" si="61"/>
        <v/>
      </c>
      <c r="R384" s="53" t="str">
        <f t="shared" si="64"/>
        <v/>
      </c>
      <c r="S384" s="53" t="str">
        <f t="shared" si="62"/>
        <v/>
      </c>
      <c r="CU384" s="53" t="e">
        <v>#N/A</v>
      </c>
      <c r="CV384" s="53" t="e">
        <v>#N/A</v>
      </c>
      <c r="CW384" s="53" t="e">
        <v>#N/A</v>
      </c>
      <c r="CX384" s="53" t="e">
        <v>#N/A</v>
      </c>
      <c r="CY384" s="53" t="e">
        <v>#N/A</v>
      </c>
      <c r="DE384" s="53" t="e">
        <v>#N/A</v>
      </c>
      <c r="DF384" s="53" t="e">
        <v>#N/A</v>
      </c>
      <c r="DG384" s="53" t="e">
        <v>#N/A</v>
      </c>
      <c r="DH384" s="53" t="e">
        <v>#N/A</v>
      </c>
      <c r="DI384" s="53" t="e">
        <v>#N/A</v>
      </c>
      <c r="DJ384" s="53" t="e">
        <v>#N/A</v>
      </c>
    </row>
    <row r="385" spans="3:114" s="53" customFormat="1" ht="12.75">
      <c r="C385" s="80"/>
      <c r="E385" s="48"/>
      <c r="K385" s="48"/>
      <c r="N385" s="53" t="str">
        <f t="shared" ref="N385:N392" si="65">IF(A509="Y",""""&amp;C385&amp;""""&amp;": "&amp;M385&amp;",","")</f>
        <v/>
      </c>
      <c r="O385" s="53" t="str">
        <f t="shared" si="60"/>
        <v>click</v>
      </c>
      <c r="P385" s="53" t="str">
        <f>IF(OR(O385="Click",O385="innerText"),"();","("&amp;""""&amp;K385&amp;""""&amp;");")</f>
        <v>();</v>
      </c>
      <c r="Q385" s="53" t="str">
        <f t="shared" ref="Q385:Q392" si="66">IF(A509="Y",IF(H385&lt;&gt;"Xpath",M385&amp;F385&amp;N385,""""&amp;F385&amp;""""),"")</f>
        <v/>
      </c>
      <c r="R385" s="53" t="str">
        <f t="shared" si="64"/>
        <v/>
      </c>
      <c r="S385" s="53" t="str">
        <f>"}"</f>
        <v>}</v>
      </c>
      <c r="CU385" s="53" t="e">
        <v>#N/A</v>
      </c>
      <c r="CV385" s="53" t="e">
        <v>#N/A</v>
      </c>
      <c r="CW385" s="53" t="e">
        <v>#N/A</v>
      </c>
      <c r="CX385" s="53" t="e">
        <v>#N/A</v>
      </c>
      <c r="CY385" s="53" t="e">
        <v>#N/A</v>
      </c>
      <c r="DE385" s="53" t="e">
        <v>#N/A</v>
      </c>
      <c r="DF385" s="53" t="e">
        <v>#N/A</v>
      </c>
      <c r="DG385" s="53" t="e">
        <v>#N/A</v>
      </c>
      <c r="DH385" s="53" t="e">
        <v>#N/A</v>
      </c>
      <c r="DI385" s="53" t="e">
        <v>#N/A</v>
      </c>
      <c r="DJ385" s="53" t="e">
        <v>#N/A</v>
      </c>
    </row>
    <row r="386" spans="3:114" s="53" customFormat="1" ht="12.75">
      <c r="C386" s="80"/>
      <c r="E386" s="48"/>
      <c r="K386" s="48"/>
      <c r="N386" s="53" t="str">
        <f t="shared" si="65"/>
        <v/>
      </c>
      <c r="O386" s="53" t="str">
        <f t="shared" si="60"/>
        <v>click</v>
      </c>
      <c r="P386" s="53" t="str">
        <f>IF(OR(O386="Click",O386="innerText"),"();","("&amp;""""&amp;K386&amp;""""&amp;");")</f>
        <v>();</v>
      </c>
      <c r="Q386" s="53" t="str">
        <f t="shared" si="66"/>
        <v/>
      </c>
      <c r="R386" s="53" t="str">
        <f t="shared" si="64"/>
        <v/>
      </c>
      <c r="S386" s="53" t="str">
        <f>"const filePath = './"&amp;F9&amp;$K$9&amp;"';"</f>
        <v>const filePath = './HOCopyQuote';</v>
      </c>
      <c r="CU386" s="53" t="e">
        <v>#N/A</v>
      </c>
      <c r="CV386" s="53" t="e">
        <v>#N/A</v>
      </c>
      <c r="CW386" s="53" t="e">
        <v>#N/A</v>
      </c>
      <c r="CX386" s="53" t="e">
        <v>#N/A</v>
      </c>
      <c r="CY386" s="53" t="e">
        <v>#N/A</v>
      </c>
      <c r="DE386" s="53" t="e">
        <v>#N/A</v>
      </c>
      <c r="DF386" s="53" t="e">
        <v>#N/A</v>
      </c>
      <c r="DG386" s="53" t="e">
        <v>#N/A</v>
      </c>
      <c r="DH386" s="53" t="e">
        <v>#N/A</v>
      </c>
      <c r="DI386" s="53" t="e">
        <v>#N/A</v>
      </c>
      <c r="DJ386" s="53" t="e">
        <v>#N/A</v>
      </c>
    </row>
    <row r="387" spans="3:114" s="53" customFormat="1" ht="12.75">
      <c r="C387" s="80"/>
      <c r="E387" s="48"/>
      <c r="K387" s="48"/>
      <c r="N387" s="53" t="str">
        <f t="shared" si="65"/>
        <v/>
      </c>
      <c r="O387" s="53" t="str">
        <f t="shared" si="60"/>
        <v>click</v>
      </c>
      <c r="P387" s="53" t="str">
        <f>IF(OR(O387="Click",O387="innerText"),"();","("&amp;""""&amp;K387&amp;""""&amp;");")</f>
        <v>();</v>
      </c>
      <c r="Q387" s="53" t="str">
        <f t="shared" si="66"/>
        <v/>
      </c>
      <c r="R387" s="53" t="str">
        <f t="shared" si="64"/>
        <v/>
      </c>
      <c r="S387" s="53" t="str">
        <f>"const newRows1 = ["</f>
        <v>const newRows1 = [</v>
      </c>
      <c r="CU387" s="53" t="e">
        <v>#N/A</v>
      </c>
      <c r="CV387" s="53" t="e">
        <v>#N/A</v>
      </c>
      <c r="CW387" s="53" t="e">
        <v>#N/A</v>
      </c>
      <c r="CX387" s="53" t="e">
        <v>#N/A</v>
      </c>
      <c r="CY387" s="53" t="e">
        <v>#N/A</v>
      </c>
      <c r="DE387" s="53" t="e">
        <v>#N/A</v>
      </c>
      <c r="DF387" s="53" t="e">
        <v>#N/A</v>
      </c>
      <c r="DG387" s="53" t="e">
        <v>#N/A</v>
      </c>
      <c r="DH387" s="53" t="e">
        <v>#N/A</v>
      </c>
      <c r="DI387" s="53" t="e">
        <v>#N/A</v>
      </c>
      <c r="DJ387" s="53" t="e">
        <v>#N/A</v>
      </c>
    </row>
    <row r="388" spans="3:114" s="53" customFormat="1" ht="12.75">
      <c r="C388" s="80"/>
      <c r="E388" s="48"/>
      <c r="K388" s="48"/>
      <c r="N388" s="53" t="str">
        <f t="shared" si="65"/>
        <v/>
      </c>
      <c r="O388" s="53" t="str">
        <f t="shared" si="60"/>
        <v>click</v>
      </c>
      <c r="P388" s="53" t="str">
        <f t="shared" ref="P388" si="67">IF(OR(O388="Click",O388="innerText"),"();","("&amp;""""&amp;K388&amp;""""&amp;");")</f>
        <v>();</v>
      </c>
      <c r="Q388" s="53" t="str">
        <f t="shared" si="66"/>
        <v/>
      </c>
      <c r="R388" s="53" t="str">
        <f t="shared" si="64"/>
        <v/>
      </c>
      <c r="S388" s="53" t="str">
        <f>"["&amp;_xlfn.TEXTJOIN(",",TRUE,I11:I103)&amp;"]"</f>
        <v>[]</v>
      </c>
      <c r="CU388" s="53" t="e">
        <v>#N/A</v>
      </c>
      <c r="CV388" s="53" t="e">
        <v>#N/A</v>
      </c>
      <c r="CW388" s="53" t="e">
        <v>#N/A</v>
      </c>
      <c r="CX388" s="53" t="e">
        <v>#N/A</v>
      </c>
      <c r="CY388" s="53" t="e">
        <v>#N/A</v>
      </c>
      <c r="DE388" s="53" t="e">
        <v>#N/A</v>
      </c>
      <c r="DF388" s="53" t="e">
        <v>#N/A</v>
      </c>
      <c r="DG388" s="53" t="e">
        <v>#N/A</v>
      </c>
      <c r="DH388" s="53" t="e">
        <v>#N/A</v>
      </c>
      <c r="DI388" s="53" t="e">
        <v>#N/A</v>
      </c>
      <c r="DJ388" s="53" t="e">
        <v>#N/A</v>
      </c>
    </row>
    <row r="389" spans="3:114" s="53" customFormat="1" ht="12.75">
      <c r="C389" s="80"/>
      <c r="E389" s="48"/>
      <c r="K389" s="48"/>
      <c r="N389" s="53" t="str">
        <f t="shared" si="65"/>
        <v/>
      </c>
      <c r="O389" s="53" t="str">
        <f t="shared" si="60"/>
        <v>click</v>
      </c>
      <c r="P389" s="53" t="str">
        <f>IF(OR(O389="Click",O389="innerText"),"();","("&amp;""""&amp;K389&amp;""""&amp;");")</f>
        <v>();</v>
      </c>
      <c r="Q389" s="53" t="str">
        <f t="shared" si="66"/>
        <v/>
      </c>
      <c r="R389" s="53" t="str">
        <f t="shared" si="64"/>
        <v/>
      </c>
      <c r="S389" s="53" t="str">
        <f>"];"</f>
        <v>];</v>
      </c>
      <c r="CU389" s="53" t="e">
        <v>#N/A</v>
      </c>
      <c r="CV389" s="53" t="e">
        <v>#N/A</v>
      </c>
      <c r="CW389" s="53" t="e">
        <v>#N/A</v>
      </c>
      <c r="CX389" s="53" t="e">
        <v>#N/A</v>
      </c>
      <c r="CY389" s="53" t="e">
        <v>#N/A</v>
      </c>
      <c r="DE389" s="53" t="e">
        <v>#N/A</v>
      </c>
      <c r="DF389" s="53" t="e">
        <v>#N/A</v>
      </c>
      <c r="DG389" s="53" t="e">
        <v>#N/A</v>
      </c>
      <c r="DH389" s="53" t="e">
        <v>#N/A</v>
      </c>
      <c r="DI389" s="53" t="e">
        <v>#N/A</v>
      </c>
      <c r="DJ389" s="53" t="e">
        <v>#N/A</v>
      </c>
    </row>
    <row r="390" spans="3:114" s="53" customFormat="1" ht="12.75">
      <c r="C390" s="80"/>
      <c r="E390" s="48"/>
      <c r="K390" s="48"/>
      <c r="N390" s="53" t="str">
        <f t="shared" si="65"/>
        <v/>
      </c>
      <c r="O390" s="53" t="str">
        <f t="shared" si="60"/>
        <v>click</v>
      </c>
      <c r="P390" s="53" t="str">
        <f>IF(OR(O390="Click",O390="innerText"),"();","("&amp;""""&amp;K390&amp;""""&amp;");")</f>
        <v>();</v>
      </c>
      <c r="Q390" s="53" t="str">
        <f t="shared" si="66"/>
        <v/>
      </c>
      <c r="R390" s="53" t="str">
        <f t="shared" si="64"/>
        <v/>
      </c>
      <c r="S390" s="53" t="str">
        <f>"addRowsToExcel(filePath, newRows1);"</f>
        <v>addRowsToExcel(filePath, newRows1);</v>
      </c>
      <c r="CU390" s="53" t="e">
        <v>#N/A</v>
      </c>
      <c r="CV390" s="53" t="e">
        <v>#N/A</v>
      </c>
      <c r="CW390" s="53" t="e">
        <v>#N/A</v>
      </c>
      <c r="CX390" s="53" t="e">
        <v>#N/A</v>
      </c>
      <c r="CY390" s="53" t="e">
        <v>#N/A</v>
      </c>
      <c r="DE390" s="53" t="e">
        <v>#N/A</v>
      </c>
      <c r="DF390" s="53" t="e">
        <v>#N/A</v>
      </c>
      <c r="DG390" s="53" t="e">
        <v>#N/A</v>
      </c>
      <c r="DH390" s="53" t="e">
        <v>#N/A</v>
      </c>
      <c r="DI390" s="53" t="e">
        <v>#N/A</v>
      </c>
      <c r="DJ390" s="53" t="e">
        <v>#N/A</v>
      </c>
    </row>
    <row r="391" spans="3:114" s="53" customFormat="1" ht="12.75">
      <c r="C391" s="80"/>
      <c r="E391" s="48"/>
      <c r="K391" s="48"/>
      <c r="N391" s="53" t="str">
        <f t="shared" si="65"/>
        <v/>
      </c>
      <c r="O391" s="53" t="str">
        <f t="shared" si="60"/>
        <v>click</v>
      </c>
      <c r="P391" s="53" t="str">
        <f>IF(OR(O391="Click",O391="innerText"),"();","("&amp;""""&amp;K391&amp;""""&amp;");")</f>
        <v>();</v>
      </c>
      <c r="Q391" s="53" t="str">
        <f t="shared" si="66"/>
        <v/>
      </c>
      <c r="R391" s="53" t="str">
        <f t="shared" si="64"/>
        <v/>
      </c>
      <c r="S391" s="53" t="str">
        <f>"}});"</f>
        <v>}});</v>
      </c>
      <c r="CU391" s="53" t="e">
        <v>#N/A</v>
      </c>
      <c r="CV391" s="53" t="e">
        <v>#N/A</v>
      </c>
      <c r="CW391" s="53" t="e">
        <v>#N/A</v>
      </c>
      <c r="CX391" s="53" t="e">
        <v>#N/A</v>
      </c>
      <c r="CY391" s="53" t="e">
        <v>#N/A</v>
      </c>
      <c r="DE391" s="53" t="e">
        <v>#N/A</v>
      </c>
      <c r="DF391" s="53" t="e">
        <v>#N/A</v>
      </c>
      <c r="DG391" s="53" t="e">
        <v>#N/A</v>
      </c>
      <c r="DH391" s="53" t="e">
        <v>#N/A</v>
      </c>
      <c r="DI391" s="53" t="e">
        <v>#N/A</v>
      </c>
      <c r="DJ391" s="53" t="e">
        <v>#N/A</v>
      </c>
    </row>
    <row r="392" spans="3:114" s="53" customFormat="1" ht="12.75">
      <c r="C392" s="80"/>
      <c r="E392" s="48"/>
      <c r="K392" s="48"/>
      <c r="N392" s="53" t="str">
        <f t="shared" si="65"/>
        <v/>
      </c>
      <c r="O392" s="53" t="str">
        <f t="shared" si="60"/>
        <v>click</v>
      </c>
      <c r="P392" s="53" t="str">
        <f>IF(OR(O392="Click",O392="innerText"),"();","("&amp;""""&amp;K392&amp;""""&amp;");")</f>
        <v>();</v>
      </c>
      <c r="Q392" s="53" t="str">
        <f t="shared" si="66"/>
        <v/>
      </c>
      <c r="R392" s="53" t="str">
        <f t="shared" si="64"/>
        <v/>
      </c>
      <c r="CU392" s="53" t="e">
        <v>#N/A</v>
      </c>
      <c r="CV392" s="53" t="e">
        <v>#N/A</v>
      </c>
      <c r="CW392" s="53" t="e">
        <v>#N/A</v>
      </c>
      <c r="CX392" s="53" t="e">
        <v>#N/A</v>
      </c>
      <c r="CY392" s="53" t="e">
        <v>#N/A</v>
      </c>
      <c r="DE392" s="53" t="e">
        <v>#N/A</v>
      </c>
      <c r="DF392" s="53" t="e">
        <v>#N/A</v>
      </c>
      <c r="DG392" s="53" t="e">
        <v>#N/A</v>
      </c>
      <c r="DH392" s="53" t="e">
        <v>#N/A</v>
      </c>
      <c r="DI392" s="53" t="e">
        <v>#N/A</v>
      </c>
      <c r="DJ392" s="53" t="e">
        <v>#N/A</v>
      </c>
    </row>
    <row r="393" spans="3:114" s="53" customFormat="1" ht="12.75">
      <c r="C393" s="80"/>
      <c r="E393" s="48"/>
      <c r="K393" s="48"/>
      <c r="N393" s="53" t="str">
        <f t="shared" ref="N393:N424" si="68">IF(A393="Y",""""&amp;C393&amp;""""&amp;": "&amp;M393&amp;",","")</f>
        <v/>
      </c>
      <c r="O393" s="53" t="str">
        <f t="shared" si="60"/>
        <v>click</v>
      </c>
      <c r="P393" s="53" t="str">
        <f t="shared" si="57"/>
        <v>();</v>
      </c>
      <c r="Q393" s="53" t="str">
        <f t="shared" ref="Q393:Q436" si="69">IF(C393="Y",IF(H393&lt;&gt;"Xpath",M393&amp;F393&amp;N393,""""&amp;F393&amp;""""),"")</f>
        <v/>
      </c>
      <c r="R393" s="53" t="str">
        <f t="shared" si="64"/>
        <v/>
      </c>
      <c r="S393" s="53" t="str">
        <f t="shared" ref="S393:S424" si="70">IF(O393="innerText",I393&amp;"="&amp;IF(C393="Y",IF(J393&lt;&gt;"Y",$S$9&amp;$R$10&amp;"."&amp;E393&amp;")."&amp;IF(OR(O393="click",O393="innerText"),O393&amp;"();",O393&amp;"("&amp;$Q$9&amp;"."&amp;E393&amp;");"),$S$110&amp;$R$10&amp;"."&amp;E393&amp;")."&amp;IF(O393="click",O393&amp;"();",O393&amp;"("&amp;"'"&amp;K393&amp;"'"&amp;");")),""),IF(C393="Y",IF(J393&lt;&gt;"Y",$S$9&amp;$R$10&amp;"."&amp;E393&amp;")."&amp;IF(OR(O393="click",O393="innerText"),O393&amp;"();",O393&amp;"("&amp;$Q$9&amp;"."&amp;E393&amp;");"),$S$110&amp;$R$10&amp;"."&amp;E393&amp;")."&amp;IF(O393="click",O393&amp;"();",O393&amp;"("&amp;"'"&amp;K393&amp;"'"&amp;");")),""))</f>
        <v/>
      </c>
      <c r="CU393" s="53" t="e">
        <v>#N/A</v>
      </c>
      <c r="CV393" s="53" t="e">
        <v>#N/A</v>
      </c>
      <c r="CW393" s="53" t="e">
        <v>#N/A</v>
      </c>
      <c r="CX393" s="53" t="e">
        <v>#N/A</v>
      </c>
      <c r="CY393" s="53" t="e">
        <v>#N/A</v>
      </c>
      <c r="DE393" s="53" t="e">
        <v>#N/A</v>
      </c>
      <c r="DF393" s="53" t="e">
        <v>#N/A</v>
      </c>
      <c r="DG393" s="53" t="e">
        <v>#N/A</v>
      </c>
      <c r="DH393" s="53" t="e">
        <v>#N/A</v>
      </c>
      <c r="DI393" s="53" t="e">
        <v>#N/A</v>
      </c>
      <c r="DJ393" s="53" t="e">
        <v>#N/A</v>
      </c>
    </row>
    <row r="394" spans="3:114" s="53" customFormat="1" ht="12.75">
      <c r="C394" s="80"/>
      <c r="E394" s="48"/>
      <c r="K394" s="48"/>
      <c r="N394" s="53" t="str">
        <f t="shared" si="68"/>
        <v/>
      </c>
      <c r="O394" s="53" t="str">
        <f t="shared" si="60"/>
        <v>click</v>
      </c>
      <c r="P394" s="53" t="str">
        <f t="shared" si="57"/>
        <v>();</v>
      </c>
      <c r="Q394" s="53" t="str">
        <f t="shared" si="69"/>
        <v/>
      </c>
      <c r="R394" s="53" t="str">
        <f t="shared" si="64"/>
        <v/>
      </c>
      <c r="S394" s="53" t="str">
        <f t="shared" si="70"/>
        <v/>
      </c>
      <c r="CU394" s="53" t="e">
        <v>#N/A</v>
      </c>
      <c r="CV394" s="53" t="e">
        <v>#N/A</v>
      </c>
      <c r="CW394" s="53" t="e">
        <v>#N/A</v>
      </c>
      <c r="CX394" s="53" t="e">
        <v>#N/A</v>
      </c>
      <c r="CY394" s="53" t="e">
        <v>#N/A</v>
      </c>
      <c r="DE394" s="53" t="e">
        <v>#N/A</v>
      </c>
      <c r="DF394" s="53" t="e">
        <v>#N/A</v>
      </c>
      <c r="DG394" s="53" t="e">
        <v>#N/A</v>
      </c>
      <c r="DH394" s="53" t="e">
        <v>#N/A</v>
      </c>
      <c r="DI394" s="53" t="e">
        <v>#N/A</v>
      </c>
      <c r="DJ394" s="53" t="e">
        <v>#N/A</v>
      </c>
    </row>
    <row r="395" spans="3:114" s="53" customFormat="1" ht="12.75">
      <c r="C395" s="80"/>
      <c r="E395" s="48"/>
      <c r="K395" s="48"/>
      <c r="N395" s="53" t="str">
        <f t="shared" si="68"/>
        <v/>
      </c>
      <c r="O395" s="53" t="str">
        <f t="shared" si="60"/>
        <v>click</v>
      </c>
      <c r="P395" s="53" t="str">
        <f t="shared" si="57"/>
        <v>();</v>
      </c>
      <c r="Q395" s="53" t="str">
        <f t="shared" si="69"/>
        <v/>
      </c>
      <c r="R395" s="53" t="str">
        <f t="shared" si="64"/>
        <v/>
      </c>
      <c r="S395" s="53" t="str">
        <f t="shared" si="70"/>
        <v/>
      </c>
      <c r="CU395" s="53" t="e">
        <v>#N/A</v>
      </c>
      <c r="CV395" s="53" t="e">
        <v>#N/A</v>
      </c>
      <c r="CW395" s="53" t="e">
        <v>#N/A</v>
      </c>
      <c r="CX395" s="53" t="e">
        <v>#N/A</v>
      </c>
      <c r="CY395" s="53" t="e">
        <v>#N/A</v>
      </c>
      <c r="DE395" s="53" t="e">
        <v>#N/A</v>
      </c>
      <c r="DF395" s="53" t="e">
        <v>#N/A</v>
      </c>
      <c r="DG395" s="53" t="e">
        <v>#N/A</v>
      </c>
      <c r="DH395" s="53" t="e">
        <v>#N/A</v>
      </c>
      <c r="DI395" s="53" t="e">
        <v>#N/A</v>
      </c>
      <c r="DJ395" s="53" t="e">
        <v>#N/A</v>
      </c>
    </row>
    <row r="396" spans="3:114" s="53" customFormat="1" ht="12.75">
      <c r="C396" s="80"/>
      <c r="E396" s="48"/>
      <c r="K396" s="48"/>
      <c r="N396" s="53" t="str">
        <f t="shared" si="68"/>
        <v/>
      </c>
      <c r="O396" s="53" t="str">
        <f t="shared" si="60"/>
        <v>click</v>
      </c>
      <c r="P396" s="53" t="str">
        <f t="shared" ref="P396:P459" si="71">IF(OR(O396="Click",O396="innerText"),"();","("&amp;""""&amp;K396&amp;""""&amp;");")</f>
        <v>();</v>
      </c>
      <c r="Q396" s="53" t="str">
        <f t="shared" si="69"/>
        <v/>
      </c>
      <c r="R396" s="53" t="str">
        <f t="shared" si="64"/>
        <v/>
      </c>
      <c r="S396" s="53" t="str">
        <f t="shared" si="70"/>
        <v/>
      </c>
      <c r="CU396" s="53" t="e">
        <v>#N/A</v>
      </c>
      <c r="CV396" s="53" t="e">
        <v>#N/A</v>
      </c>
      <c r="CW396" s="53" t="e">
        <v>#N/A</v>
      </c>
      <c r="CX396" s="53" t="e">
        <v>#N/A</v>
      </c>
      <c r="CY396" s="53" t="e">
        <v>#N/A</v>
      </c>
      <c r="DE396" s="53" t="e">
        <v>#N/A</v>
      </c>
      <c r="DF396" s="53" t="e">
        <v>#N/A</v>
      </c>
      <c r="DG396" s="53" t="e">
        <v>#N/A</v>
      </c>
      <c r="DH396" s="53" t="e">
        <v>#N/A</v>
      </c>
      <c r="DI396" s="53" t="e">
        <v>#N/A</v>
      </c>
      <c r="DJ396" s="53" t="e">
        <v>#N/A</v>
      </c>
    </row>
    <row r="397" spans="3:114" s="53" customFormat="1" ht="12.75">
      <c r="C397" s="80"/>
      <c r="E397" s="48"/>
      <c r="K397" s="48"/>
      <c r="N397" s="53" t="str">
        <f t="shared" si="68"/>
        <v/>
      </c>
      <c r="O397" s="53" t="str">
        <f t="shared" si="60"/>
        <v>click</v>
      </c>
      <c r="P397" s="53" t="str">
        <f t="shared" si="71"/>
        <v>();</v>
      </c>
      <c r="Q397" s="53" t="str">
        <f t="shared" si="69"/>
        <v/>
      </c>
      <c r="R397" s="53" t="str">
        <f t="shared" si="64"/>
        <v/>
      </c>
      <c r="S397" s="53" t="str">
        <f t="shared" si="70"/>
        <v/>
      </c>
      <c r="CU397" s="53" t="e">
        <v>#N/A</v>
      </c>
      <c r="CV397" s="53" t="e">
        <v>#N/A</v>
      </c>
      <c r="CW397" s="53" t="e">
        <v>#N/A</v>
      </c>
      <c r="CX397" s="53" t="e">
        <v>#N/A</v>
      </c>
      <c r="CY397" s="53" t="e">
        <v>#N/A</v>
      </c>
      <c r="DE397" s="53" t="e">
        <v>#N/A</v>
      </c>
      <c r="DF397" s="53" t="e">
        <v>#N/A</v>
      </c>
      <c r="DG397" s="53" t="e">
        <v>#N/A</v>
      </c>
      <c r="DH397" s="53" t="e">
        <v>#N/A</v>
      </c>
      <c r="DI397" s="53" t="e">
        <v>#N/A</v>
      </c>
      <c r="DJ397" s="53" t="e">
        <v>#N/A</v>
      </c>
    </row>
    <row r="398" spans="3:114" s="53" customFormat="1" ht="12.75">
      <c r="C398" s="80"/>
      <c r="E398" s="48"/>
      <c r="K398" s="48"/>
      <c r="N398" s="53" t="str">
        <f t="shared" si="68"/>
        <v/>
      </c>
      <c r="O398" s="53" t="str">
        <f t="shared" si="60"/>
        <v>click</v>
      </c>
      <c r="P398" s="53" t="str">
        <f t="shared" si="71"/>
        <v>();</v>
      </c>
      <c r="Q398" s="53" t="str">
        <f t="shared" si="69"/>
        <v/>
      </c>
      <c r="R398" s="53" t="str">
        <f t="shared" si="64"/>
        <v/>
      </c>
      <c r="S398" s="53" t="str">
        <f t="shared" si="70"/>
        <v/>
      </c>
      <c r="CU398" s="53" t="e">
        <v>#N/A</v>
      </c>
      <c r="CV398" s="53" t="e">
        <v>#N/A</v>
      </c>
      <c r="CW398" s="53" t="e">
        <v>#N/A</v>
      </c>
      <c r="CX398" s="53" t="e">
        <v>#N/A</v>
      </c>
      <c r="CY398" s="53" t="e">
        <v>#N/A</v>
      </c>
      <c r="DE398" s="53" t="e">
        <v>#N/A</v>
      </c>
      <c r="DF398" s="53" t="e">
        <v>#N/A</v>
      </c>
      <c r="DG398" s="53" t="e">
        <v>#N/A</v>
      </c>
      <c r="DH398" s="53" t="e">
        <v>#N/A</v>
      </c>
      <c r="DI398" s="53" t="e">
        <v>#N/A</v>
      </c>
      <c r="DJ398" s="53" t="e">
        <v>#N/A</v>
      </c>
    </row>
    <row r="399" spans="3:114" s="53" customFormat="1" ht="12.75">
      <c r="C399" s="80"/>
      <c r="E399" s="48"/>
      <c r="K399" s="48"/>
      <c r="N399" s="53" t="str">
        <f t="shared" si="68"/>
        <v/>
      </c>
      <c r="O399" s="53" t="str">
        <f t="shared" si="60"/>
        <v>click</v>
      </c>
      <c r="P399" s="53" t="str">
        <f t="shared" si="71"/>
        <v>();</v>
      </c>
      <c r="Q399" s="53" t="str">
        <f t="shared" si="69"/>
        <v/>
      </c>
      <c r="R399" s="53" t="str">
        <f t="shared" si="64"/>
        <v/>
      </c>
      <c r="S399" s="53" t="str">
        <f t="shared" si="70"/>
        <v/>
      </c>
      <c r="CU399" s="53" t="e">
        <v>#N/A</v>
      </c>
      <c r="CV399" s="53" t="e">
        <v>#N/A</v>
      </c>
      <c r="CW399" s="53" t="e">
        <v>#N/A</v>
      </c>
      <c r="CX399" s="53" t="e">
        <v>#N/A</v>
      </c>
      <c r="CY399" s="53" t="e">
        <v>#N/A</v>
      </c>
      <c r="DE399" s="53" t="e">
        <v>#N/A</v>
      </c>
      <c r="DF399" s="53" t="e">
        <v>#N/A</v>
      </c>
      <c r="DG399" s="53" t="e">
        <v>#N/A</v>
      </c>
      <c r="DH399" s="53" t="e">
        <v>#N/A</v>
      </c>
      <c r="DI399" s="53" t="e">
        <v>#N/A</v>
      </c>
      <c r="DJ399" s="53" t="e">
        <v>#N/A</v>
      </c>
    </row>
    <row r="400" spans="3:114" s="53" customFormat="1" ht="12.75">
      <c r="C400" s="80"/>
      <c r="E400" s="48"/>
      <c r="K400" s="48"/>
      <c r="N400" s="53" t="str">
        <f t="shared" si="68"/>
        <v/>
      </c>
      <c r="O400" s="53" t="str">
        <f t="shared" si="60"/>
        <v>click</v>
      </c>
      <c r="P400" s="53" t="str">
        <f t="shared" si="71"/>
        <v>();</v>
      </c>
      <c r="Q400" s="53" t="str">
        <f t="shared" si="69"/>
        <v/>
      </c>
      <c r="R400" s="53" t="str">
        <f t="shared" si="64"/>
        <v/>
      </c>
      <c r="S400" s="53" t="str">
        <f t="shared" si="70"/>
        <v/>
      </c>
      <c r="CU400" s="53" t="e">
        <v>#N/A</v>
      </c>
      <c r="CV400" s="53" t="e">
        <v>#N/A</v>
      </c>
      <c r="CW400" s="53" t="e">
        <v>#N/A</v>
      </c>
      <c r="CX400" s="53" t="e">
        <v>#N/A</v>
      </c>
      <c r="CY400" s="53" t="e">
        <v>#N/A</v>
      </c>
      <c r="DE400" s="53" t="e">
        <v>#N/A</v>
      </c>
      <c r="DF400" s="53" t="e">
        <v>#N/A</v>
      </c>
      <c r="DG400" s="53" t="e">
        <v>#N/A</v>
      </c>
      <c r="DH400" s="53" t="e">
        <v>#N/A</v>
      </c>
      <c r="DI400" s="53" t="e">
        <v>#N/A</v>
      </c>
      <c r="DJ400" s="53" t="e">
        <v>#N/A</v>
      </c>
    </row>
    <row r="401" spans="3:114" s="53" customFormat="1" ht="12.75">
      <c r="C401" s="80"/>
      <c r="E401" s="48"/>
      <c r="K401" s="48"/>
      <c r="N401" s="53" t="str">
        <f t="shared" si="68"/>
        <v/>
      </c>
      <c r="O401" s="53" t="str">
        <f t="shared" si="60"/>
        <v>click</v>
      </c>
      <c r="P401" s="53" t="str">
        <f t="shared" si="71"/>
        <v>();</v>
      </c>
      <c r="Q401" s="53" t="str">
        <f t="shared" si="69"/>
        <v/>
      </c>
      <c r="R401" s="53" t="str">
        <f t="shared" si="64"/>
        <v/>
      </c>
      <c r="S401" s="53" t="str">
        <f t="shared" si="70"/>
        <v/>
      </c>
      <c r="CU401" s="53" t="e">
        <v>#N/A</v>
      </c>
      <c r="CV401" s="53" t="e">
        <v>#N/A</v>
      </c>
      <c r="CW401" s="53" t="e">
        <v>#N/A</v>
      </c>
      <c r="CX401" s="53" t="e">
        <v>#N/A</v>
      </c>
      <c r="CY401" s="53" t="e">
        <v>#N/A</v>
      </c>
      <c r="DE401" s="53" t="e">
        <v>#N/A</v>
      </c>
      <c r="DF401" s="53" t="e">
        <v>#N/A</v>
      </c>
      <c r="DG401" s="53" t="e">
        <v>#N/A</v>
      </c>
      <c r="DH401" s="53" t="e">
        <v>#N/A</v>
      </c>
      <c r="DI401" s="53" t="e">
        <v>#N/A</v>
      </c>
      <c r="DJ401" s="53" t="e">
        <v>#N/A</v>
      </c>
    </row>
    <row r="402" spans="3:114" s="53" customFormat="1" ht="12.75">
      <c r="C402" s="80"/>
      <c r="E402" s="48"/>
      <c r="K402" s="48"/>
      <c r="N402" s="53" t="str">
        <f t="shared" si="68"/>
        <v/>
      </c>
      <c r="O402" s="53" t="str">
        <f t="shared" si="60"/>
        <v>click</v>
      </c>
      <c r="P402" s="53" t="str">
        <f t="shared" si="71"/>
        <v>();</v>
      </c>
      <c r="Q402" s="53" t="str">
        <f t="shared" si="69"/>
        <v/>
      </c>
      <c r="R402" s="53" t="str">
        <f t="shared" si="64"/>
        <v/>
      </c>
      <c r="S402" s="53" t="str">
        <f t="shared" si="70"/>
        <v/>
      </c>
      <c r="CU402" s="53" t="e">
        <v>#N/A</v>
      </c>
      <c r="CV402" s="53" t="e">
        <v>#N/A</v>
      </c>
      <c r="CW402" s="53" t="e">
        <v>#N/A</v>
      </c>
      <c r="CX402" s="53" t="e">
        <v>#N/A</v>
      </c>
      <c r="CY402" s="53" t="e">
        <v>#N/A</v>
      </c>
      <c r="DE402" s="53" t="e">
        <v>#N/A</v>
      </c>
      <c r="DF402" s="53" t="e">
        <v>#N/A</v>
      </c>
      <c r="DG402" s="53" t="e">
        <v>#N/A</v>
      </c>
      <c r="DH402" s="53" t="e">
        <v>#N/A</v>
      </c>
      <c r="DI402" s="53" t="e">
        <v>#N/A</v>
      </c>
      <c r="DJ402" s="53" t="e">
        <v>#N/A</v>
      </c>
    </row>
    <row r="403" spans="3:114" s="53" customFormat="1" ht="12.75">
      <c r="C403" s="80"/>
      <c r="E403" s="48"/>
      <c r="K403" s="48"/>
      <c r="N403" s="53" t="str">
        <f t="shared" si="68"/>
        <v/>
      </c>
      <c r="O403" s="53" t="str">
        <f t="shared" si="60"/>
        <v>click</v>
      </c>
      <c r="P403" s="53" t="str">
        <f t="shared" si="71"/>
        <v>();</v>
      </c>
      <c r="Q403" s="53" t="str">
        <f t="shared" si="69"/>
        <v/>
      </c>
      <c r="R403" s="53" t="str">
        <f t="shared" si="64"/>
        <v/>
      </c>
      <c r="S403" s="53" t="str">
        <f t="shared" si="70"/>
        <v/>
      </c>
      <c r="CU403" s="53" t="e">
        <v>#N/A</v>
      </c>
      <c r="CV403" s="53" t="e">
        <v>#N/A</v>
      </c>
      <c r="CW403" s="53" t="e">
        <v>#N/A</v>
      </c>
      <c r="CX403" s="53" t="e">
        <v>#N/A</v>
      </c>
      <c r="CY403" s="53" t="e">
        <v>#N/A</v>
      </c>
      <c r="DE403" s="53" t="e">
        <v>#N/A</v>
      </c>
      <c r="DF403" s="53" t="e">
        <v>#N/A</v>
      </c>
      <c r="DG403" s="53" t="e">
        <v>#N/A</v>
      </c>
      <c r="DH403" s="53" t="e">
        <v>#N/A</v>
      </c>
      <c r="DI403" s="53" t="e">
        <v>#N/A</v>
      </c>
      <c r="DJ403" s="53" t="e">
        <v>#N/A</v>
      </c>
    </row>
    <row r="404" spans="3:114" s="53" customFormat="1" ht="12.75">
      <c r="C404" s="80"/>
      <c r="E404" s="48"/>
      <c r="K404" s="48"/>
      <c r="N404" s="53" t="str">
        <f t="shared" si="68"/>
        <v/>
      </c>
      <c r="O404" s="53" t="str">
        <f t="shared" si="60"/>
        <v>click</v>
      </c>
      <c r="P404" s="53" t="str">
        <f t="shared" si="71"/>
        <v>();</v>
      </c>
      <c r="Q404" s="53" t="str">
        <f t="shared" si="69"/>
        <v/>
      </c>
      <c r="R404" s="53" t="str">
        <f t="shared" si="64"/>
        <v/>
      </c>
      <c r="S404" s="53" t="str">
        <f t="shared" si="70"/>
        <v/>
      </c>
      <c r="CU404" s="53" t="e">
        <v>#N/A</v>
      </c>
      <c r="CV404" s="53" t="e">
        <v>#N/A</v>
      </c>
      <c r="CW404" s="53" t="e">
        <v>#N/A</v>
      </c>
      <c r="CX404" s="53" t="e">
        <v>#N/A</v>
      </c>
      <c r="CY404" s="53" t="e">
        <v>#N/A</v>
      </c>
      <c r="DE404" s="53" t="e">
        <v>#N/A</v>
      </c>
      <c r="DF404" s="53" t="e">
        <v>#N/A</v>
      </c>
      <c r="DG404" s="53" t="e">
        <v>#N/A</v>
      </c>
      <c r="DH404" s="53" t="e">
        <v>#N/A</v>
      </c>
      <c r="DI404" s="53" t="e">
        <v>#N/A</v>
      </c>
      <c r="DJ404" s="53" t="e">
        <v>#N/A</v>
      </c>
    </row>
    <row r="405" spans="3:114" s="53" customFormat="1" ht="12.75">
      <c r="C405" s="80"/>
      <c r="E405" s="48"/>
      <c r="K405" s="48"/>
      <c r="N405" s="53" t="str">
        <f t="shared" si="68"/>
        <v/>
      </c>
      <c r="O405" s="53" t="str">
        <f t="shared" si="60"/>
        <v>click</v>
      </c>
      <c r="P405" s="53" t="str">
        <f t="shared" si="71"/>
        <v>();</v>
      </c>
      <c r="Q405" s="53" t="str">
        <f t="shared" si="69"/>
        <v/>
      </c>
      <c r="R405" s="53" t="str">
        <f t="shared" si="64"/>
        <v/>
      </c>
      <c r="S405" s="53" t="str">
        <f t="shared" si="70"/>
        <v/>
      </c>
      <c r="CU405" s="53" t="e">
        <v>#N/A</v>
      </c>
      <c r="CV405" s="53" t="e">
        <v>#N/A</v>
      </c>
      <c r="CW405" s="53" t="e">
        <v>#N/A</v>
      </c>
      <c r="CX405" s="53" t="e">
        <v>#N/A</v>
      </c>
      <c r="CY405" s="53" t="e">
        <v>#N/A</v>
      </c>
      <c r="DE405" s="53" t="e">
        <v>#N/A</v>
      </c>
      <c r="DF405" s="53" t="e">
        <v>#N/A</v>
      </c>
      <c r="DG405" s="53" t="e">
        <v>#N/A</v>
      </c>
      <c r="DH405" s="53" t="e">
        <v>#N/A</v>
      </c>
      <c r="DI405" s="53" t="e">
        <v>#N/A</v>
      </c>
      <c r="DJ405" s="53" t="e">
        <v>#N/A</v>
      </c>
    </row>
    <row r="406" spans="3:114" s="53" customFormat="1" ht="12.75">
      <c r="C406" s="80"/>
      <c r="E406" s="48"/>
      <c r="K406" s="48"/>
      <c r="N406" s="53" t="str">
        <f t="shared" si="68"/>
        <v/>
      </c>
      <c r="O406" s="53" t="str">
        <f t="shared" si="60"/>
        <v>click</v>
      </c>
      <c r="P406" s="53" t="str">
        <f t="shared" si="71"/>
        <v>();</v>
      </c>
      <c r="Q406" s="53" t="str">
        <f t="shared" si="69"/>
        <v/>
      </c>
      <c r="R406" s="53" t="str">
        <f t="shared" si="64"/>
        <v/>
      </c>
      <c r="S406" s="53" t="str">
        <f t="shared" si="70"/>
        <v/>
      </c>
      <c r="CU406" s="53" t="e">
        <v>#N/A</v>
      </c>
      <c r="CV406" s="53" t="e">
        <v>#N/A</v>
      </c>
      <c r="CW406" s="53" t="e">
        <v>#N/A</v>
      </c>
      <c r="CX406" s="53" t="e">
        <v>#N/A</v>
      </c>
      <c r="CY406" s="53" t="e">
        <v>#N/A</v>
      </c>
      <c r="DE406" s="53" t="e">
        <v>#N/A</v>
      </c>
      <c r="DF406" s="53" t="e">
        <v>#N/A</v>
      </c>
      <c r="DG406" s="53" t="e">
        <v>#N/A</v>
      </c>
      <c r="DH406" s="53" t="e">
        <v>#N/A</v>
      </c>
      <c r="DI406" s="53" t="e">
        <v>#N/A</v>
      </c>
      <c r="DJ406" s="53" t="e">
        <v>#N/A</v>
      </c>
    </row>
    <row r="407" spans="3:114" s="53" customFormat="1" ht="12.75">
      <c r="C407" s="80"/>
      <c r="E407" s="48"/>
      <c r="K407" s="48"/>
      <c r="N407" s="53" t="str">
        <f t="shared" si="68"/>
        <v/>
      </c>
      <c r="O407" s="53" t="str">
        <f t="shared" si="60"/>
        <v>click</v>
      </c>
      <c r="P407" s="53" t="str">
        <f t="shared" si="71"/>
        <v>();</v>
      </c>
      <c r="Q407" s="53" t="str">
        <f t="shared" si="69"/>
        <v/>
      </c>
      <c r="R407" s="53" t="str">
        <f t="shared" si="64"/>
        <v/>
      </c>
      <c r="S407" s="53" t="str">
        <f t="shared" si="70"/>
        <v/>
      </c>
      <c r="CU407" s="53" t="e">
        <v>#N/A</v>
      </c>
      <c r="CV407" s="53" t="e">
        <v>#N/A</v>
      </c>
      <c r="CW407" s="53" t="e">
        <v>#N/A</v>
      </c>
      <c r="CX407" s="53" t="e">
        <v>#N/A</v>
      </c>
      <c r="CY407" s="53" t="e">
        <v>#N/A</v>
      </c>
      <c r="DE407" s="53" t="e">
        <v>#N/A</v>
      </c>
      <c r="DF407" s="53" t="e">
        <v>#N/A</v>
      </c>
      <c r="DG407" s="53" t="e">
        <v>#N/A</v>
      </c>
      <c r="DH407" s="53" t="e">
        <v>#N/A</v>
      </c>
      <c r="DI407" s="53" t="e">
        <v>#N/A</v>
      </c>
      <c r="DJ407" s="53" t="e">
        <v>#N/A</v>
      </c>
    </row>
    <row r="408" spans="3:114" s="53" customFormat="1" ht="12.75">
      <c r="C408" s="80"/>
      <c r="E408" s="48"/>
      <c r="K408" s="48"/>
      <c r="N408" s="53" t="str">
        <f t="shared" si="68"/>
        <v/>
      </c>
      <c r="O408" s="53" t="str">
        <f t="shared" si="60"/>
        <v>click</v>
      </c>
      <c r="P408" s="53" t="str">
        <f t="shared" si="71"/>
        <v>();</v>
      </c>
      <c r="Q408" s="53" t="str">
        <f t="shared" si="69"/>
        <v/>
      </c>
      <c r="R408" s="53" t="str">
        <f t="shared" si="64"/>
        <v/>
      </c>
      <c r="S408" s="53" t="str">
        <f t="shared" si="70"/>
        <v/>
      </c>
      <c r="CU408" s="53" t="e">
        <v>#N/A</v>
      </c>
      <c r="CV408" s="53" t="e">
        <v>#N/A</v>
      </c>
      <c r="CW408" s="53" t="e">
        <v>#N/A</v>
      </c>
      <c r="CX408" s="53" t="e">
        <v>#N/A</v>
      </c>
      <c r="CY408" s="53" t="e">
        <v>#N/A</v>
      </c>
      <c r="DE408" s="53" t="e">
        <v>#N/A</v>
      </c>
      <c r="DF408" s="53" t="e">
        <v>#N/A</v>
      </c>
      <c r="DG408" s="53" t="e">
        <v>#N/A</v>
      </c>
      <c r="DH408" s="53" t="e">
        <v>#N/A</v>
      </c>
      <c r="DI408" s="53" t="e">
        <v>#N/A</v>
      </c>
      <c r="DJ408" s="53" t="e">
        <v>#N/A</v>
      </c>
    </row>
    <row r="409" spans="3:114" s="53" customFormat="1" ht="12.75">
      <c r="C409" s="80"/>
      <c r="E409" s="48"/>
      <c r="K409" s="48"/>
      <c r="N409" s="53" t="str">
        <f t="shared" si="68"/>
        <v/>
      </c>
      <c r="O409" s="53" t="str">
        <f t="shared" si="60"/>
        <v>click</v>
      </c>
      <c r="P409" s="53" t="str">
        <f t="shared" si="71"/>
        <v>();</v>
      </c>
      <c r="Q409" s="53" t="str">
        <f t="shared" si="69"/>
        <v/>
      </c>
      <c r="R409" s="53" t="str">
        <f t="shared" si="64"/>
        <v/>
      </c>
      <c r="S409" s="53" t="str">
        <f t="shared" si="70"/>
        <v/>
      </c>
      <c r="CU409" s="53" t="e">
        <v>#N/A</v>
      </c>
      <c r="CV409" s="53" t="e">
        <v>#N/A</v>
      </c>
      <c r="CW409" s="53" t="e">
        <v>#N/A</v>
      </c>
      <c r="CX409" s="53" t="e">
        <v>#N/A</v>
      </c>
      <c r="CY409" s="53" t="e">
        <v>#N/A</v>
      </c>
      <c r="DE409" s="53" t="e">
        <v>#N/A</v>
      </c>
      <c r="DF409" s="53" t="e">
        <v>#N/A</v>
      </c>
      <c r="DG409" s="53" t="e">
        <v>#N/A</v>
      </c>
      <c r="DH409" s="53" t="e">
        <v>#N/A</v>
      </c>
      <c r="DI409" s="53" t="e">
        <v>#N/A</v>
      </c>
      <c r="DJ409" s="53" t="e">
        <v>#N/A</v>
      </c>
    </row>
    <row r="410" spans="3:114" s="53" customFormat="1" ht="12.75">
      <c r="C410" s="80"/>
      <c r="E410" s="48"/>
      <c r="K410" s="48"/>
      <c r="N410" s="53" t="str">
        <f t="shared" si="68"/>
        <v/>
      </c>
      <c r="O410" s="53" t="str">
        <f t="shared" si="60"/>
        <v>click</v>
      </c>
      <c r="P410" s="53" t="str">
        <f t="shared" si="71"/>
        <v>();</v>
      </c>
      <c r="Q410" s="53" t="str">
        <f t="shared" si="69"/>
        <v/>
      </c>
      <c r="R410" s="53" t="str">
        <f t="shared" si="64"/>
        <v/>
      </c>
      <c r="S410" s="53" t="str">
        <f t="shared" si="70"/>
        <v/>
      </c>
      <c r="CU410" s="53" t="e">
        <v>#N/A</v>
      </c>
      <c r="CV410" s="53" t="e">
        <v>#N/A</v>
      </c>
      <c r="CW410" s="53" t="e">
        <v>#N/A</v>
      </c>
      <c r="CX410" s="53" t="e">
        <v>#N/A</v>
      </c>
      <c r="CY410" s="53" t="e">
        <v>#N/A</v>
      </c>
      <c r="DE410" s="53" t="e">
        <v>#N/A</v>
      </c>
      <c r="DF410" s="53" t="e">
        <v>#N/A</v>
      </c>
      <c r="DG410" s="53" t="e">
        <v>#N/A</v>
      </c>
      <c r="DH410" s="53" t="e">
        <v>#N/A</v>
      </c>
      <c r="DI410" s="53" t="e">
        <v>#N/A</v>
      </c>
      <c r="DJ410" s="53" t="e">
        <v>#N/A</v>
      </c>
    </row>
    <row r="411" spans="3:114" s="53" customFormat="1" ht="12.75">
      <c r="C411" s="80"/>
      <c r="E411" s="48"/>
      <c r="K411" s="48"/>
      <c r="N411" s="53" t="str">
        <f t="shared" si="68"/>
        <v/>
      </c>
      <c r="O411" s="53" t="str">
        <f t="shared" si="60"/>
        <v>click</v>
      </c>
      <c r="P411" s="53" t="str">
        <f t="shared" si="71"/>
        <v>();</v>
      </c>
      <c r="Q411" s="53" t="str">
        <f t="shared" si="69"/>
        <v/>
      </c>
      <c r="R411" s="53" t="str">
        <f t="shared" si="64"/>
        <v/>
      </c>
      <c r="S411" s="53" t="str">
        <f t="shared" si="70"/>
        <v/>
      </c>
      <c r="CU411" s="53" t="e">
        <v>#N/A</v>
      </c>
      <c r="CV411" s="53" t="e">
        <v>#N/A</v>
      </c>
      <c r="CW411" s="53" t="e">
        <v>#N/A</v>
      </c>
      <c r="CX411" s="53" t="e">
        <v>#N/A</v>
      </c>
      <c r="CY411" s="53" t="e">
        <v>#N/A</v>
      </c>
      <c r="DE411" s="53" t="e">
        <v>#N/A</v>
      </c>
      <c r="DF411" s="53" t="e">
        <v>#N/A</v>
      </c>
      <c r="DG411" s="53" t="e">
        <v>#N/A</v>
      </c>
      <c r="DH411" s="53" t="e">
        <v>#N/A</v>
      </c>
      <c r="DI411" s="53" t="e">
        <v>#N/A</v>
      </c>
      <c r="DJ411" s="53" t="e">
        <v>#N/A</v>
      </c>
    </row>
    <row r="412" spans="3:114" s="53" customFormat="1" ht="12.75">
      <c r="C412" s="80"/>
      <c r="E412" s="48"/>
      <c r="K412" s="48"/>
      <c r="N412" s="53" t="str">
        <f t="shared" si="68"/>
        <v/>
      </c>
      <c r="O412" s="53" t="str">
        <f t="shared" si="60"/>
        <v>click</v>
      </c>
      <c r="P412" s="53" t="str">
        <f t="shared" si="71"/>
        <v>();</v>
      </c>
      <c r="Q412" s="53" t="str">
        <f t="shared" si="69"/>
        <v/>
      </c>
      <c r="R412" s="53" t="str">
        <f t="shared" si="64"/>
        <v/>
      </c>
      <c r="S412" s="53" t="str">
        <f t="shared" si="70"/>
        <v/>
      </c>
      <c r="CU412" s="53" t="e">
        <v>#N/A</v>
      </c>
      <c r="CV412" s="53" t="e">
        <v>#N/A</v>
      </c>
      <c r="CW412" s="53" t="e">
        <v>#N/A</v>
      </c>
      <c r="CX412" s="53" t="e">
        <v>#N/A</v>
      </c>
      <c r="CY412" s="53" t="e">
        <v>#N/A</v>
      </c>
      <c r="DE412" s="53" t="e">
        <v>#N/A</v>
      </c>
      <c r="DF412" s="53" t="e">
        <v>#N/A</v>
      </c>
      <c r="DG412" s="53" t="e">
        <v>#N/A</v>
      </c>
      <c r="DH412" s="53" t="e">
        <v>#N/A</v>
      </c>
      <c r="DI412" s="53" t="e">
        <v>#N/A</v>
      </c>
      <c r="DJ412" s="53" t="e">
        <v>#N/A</v>
      </c>
    </row>
    <row r="413" spans="3:114" s="53" customFormat="1" ht="12.75">
      <c r="C413" s="80"/>
      <c r="E413" s="48"/>
      <c r="K413" s="48"/>
      <c r="N413" s="53" t="str">
        <f t="shared" si="68"/>
        <v/>
      </c>
      <c r="O413" s="53" t="str">
        <f t="shared" si="60"/>
        <v>click</v>
      </c>
      <c r="P413" s="53" t="str">
        <f t="shared" si="71"/>
        <v>();</v>
      </c>
      <c r="Q413" s="53" t="str">
        <f t="shared" si="69"/>
        <v/>
      </c>
      <c r="R413" s="53" t="str">
        <f t="shared" si="64"/>
        <v/>
      </c>
      <c r="S413" s="53" t="str">
        <f t="shared" si="70"/>
        <v/>
      </c>
      <c r="CU413" s="53" t="e">
        <v>#N/A</v>
      </c>
      <c r="CV413" s="53" t="e">
        <v>#N/A</v>
      </c>
      <c r="CW413" s="53" t="e">
        <v>#N/A</v>
      </c>
      <c r="CX413" s="53" t="e">
        <v>#N/A</v>
      </c>
      <c r="CY413" s="53" t="e">
        <v>#N/A</v>
      </c>
      <c r="DE413" s="53" t="e">
        <v>#N/A</v>
      </c>
      <c r="DF413" s="53" t="e">
        <v>#N/A</v>
      </c>
      <c r="DG413" s="53" t="e">
        <v>#N/A</v>
      </c>
      <c r="DH413" s="53" t="e">
        <v>#N/A</v>
      </c>
      <c r="DI413" s="53" t="e">
        <v>#N/A</v>
      </c>
      <c r="DJ413" s="53" t="e">
        <v>#N/A</v>
      </c>
    </row>
    <row r="414" spans="3:114" s="53" customFormat="1" ht="12.75">
      <c r="C414" s="80"/>
      <c r="E414" s="48"/>
      <c r="K414" s="48"/>
      <c r="N414" s="53" t="str">
        <f t="shared" si="68"/>
        <v/>
      </c>
      <c r="O414" s="53" t="str">
        <f t="shared" si="60"/>
        <v>click</v>
      </c>
      <c r="P414" s="53" t="str">
        <f t="shared" si="71"/>
        <v>();</v>
      </c>
      <c r="Q414" s="53" t="str">
        <f t="shared" si="69"/>
        <v/>
      </c>
      <c r="R414" s="53" t="str">
        <f t="shared" si="64"/>
        <v/>
      </c>
      <c r="S414" s="53" t="str">
        <f t="shared" si="70"/>
        <v/>
      </c>
      <c r="CU414" s="53" t="e">
        <v>#N/A</v>
      </c>
      <c r="CV414" s="53" t="e">
        <v>#N/A</v>
      </c>
      <c r="CW414" s="53" t="e">
        <v>#N/A</v>
      </c>
      <c r="CX414" s="53" t="e">
        <v>#N/A</v>
      </c>
      <c r="CY414" s="53" t="e">
        <v>#N/A</v>
      </c>
      <c r="DE414" s="53" t="e">
        <v>#N/A</v>
      </c>
      <c r="DF414" s="53" t="e">
        <v>#N/A</v>
      </c>
      <c r="DG414" s="53" t="e">
        <v>#N/A</v>
      </c>
      <c r="DH414" s="53" t="e">
        <v>#N/A</v>
      </c>
      <c r="DI414" s="53" t="e">
        <v>#N/A</v>
      </c>
      <c r="DJ414" s="53" t="e">
        <v>#N/A</v>
      </c>
    </row>
    <row r="415" spans="3:114" s="53" customFormat="1" ht="12.75">
      <c r="C415" s="80"/>
      <c r="E415" s="48"/>
      <c r="K415" s="48"/>
      <c r="N415" s="53" t="str">
        <f t="shared" si="68"/>
        <v/>
      </c>
      <c r="O415" s="53" t="str">
        <f t="shared" si="60"/>
        <v>click</v>
      </c>
      <c r="P415" s="53" t="str">
        <f t="shared" si="71"/>
        <v>();</v>
      </c>
      <c r="Q415" s="53" t="str">
        <f t="shared" si="69"/>
        <v/>
      </c>
      <c r="R415" s="53" t="str">
        <f t="shared" si="64"/>
        <v/>
      </c>
      <c r="S415" s="53" t="str">
        <f t="shared" si="70"/>
        <v/>
      </c>
      <c r="CU415" s="53" t="e">
        <v>#N/A</v>
      </c>
      <c r="CV415" s="53" t="e">
        <v>#N/A</v>
      </c>
      <c r="CW415" s="53" t="e">
        <v>#N/A</v>
      </c>
      <c r="CX415" s="53" t="e">
        <v>#N/A</v>
      </c>
      <c r="CY415" s="53" t="e">
        <v>#N/A</v>
      </c>
      <c r="DE415" s="53" t="e">
        <v>#N/A</v>
      </c>
      <c r="DF415" s="53" t="e">
        <v>#N/A</v>
      </c>
      <c r="DG415" s="53" t="e">
        <v>#N/A</v>
      </c>
      <c r="DH415" s="53" t="e">
        <v>#N/A</v>
      </c>
      <c r="DI415" s="53" t="e">
        <v>#N/A</v>
      </c>
      <c r="DJ415" s="53" t="e">
        <v>#N/A</v>
      </c>
    </row>
    <row r="416" spans="3:114" s="53" customFormat="1" ht="12.75">
      <c r="C416" s="80"/>
      <c r="E416" s="48"/>
      <c r="K416" s="48"/>
      <c r="N416" s="53" t="str">
        <f t="shared" si="68"/>
        <v/>
      </c>
      <c r="O416" s="53" t="str">
        <f t="shared" si="60"/>
        <v>click</v>
      </c>
      <c r="P416" s="53" t="str">
        <f t="shared" si="71"/>
        <v>();</v>
      </c>
      <c r="Q416" s="53" t="str">
        <f t="shared" si="69"/>
        <v/>
      </c>
      <c r="R416" s="53" t="str">
        <f t="shared" si="64"/>
        <v/>
      </c>
      <c r="S416" s="53" t="str">
        <f t="shared" si="70"/>
        <v/>
      </c>
      <c r="CU416" s="53" t="e">
        <v>#N/A</v>
      </c>
      <c r="CV416" s="53" t="e">
        <v>#N/A</v>
      </c>
      <c r="CW416" s="53" t="e">
        <v>#N/A</v>
      </c>
      <c r="CX416" s="53" t="e">
        <v>#N/A</v>
      </c>
      <c r="CY416" s="53" t="e">
        <v>#N/A</v>
      </c>
      <c r="DE416" s="53" t="e">
        <v>#N/A</v>
      </c>
      <c r="DF416" s="53" t="e">
        <v>#N/A</v>
      </c>
      <c r="DG416" s="53" t="e">
        <v>#N/A</v>
      </c>
      <c r="DH416" s="53" t="e">
        <v>#N/A</v>
      </c>
      <c r="DI416" s="53" t="e">
        <v>#N/A</v>
      </c>
      <c r="DJ416" s="53" t="e">
        <v>#N/A</v>
      </c>
    </row>
    <row r="417" spans="3:114" s="53" customFormat="1" ht="12.75">
      <c r="C417" s="80"/>
      <c r="E417" s="48"/>
      <c r="K417" s="48"/>
      <c r="N417" s="53" t="str">
        <f t="shared" si="68"/>
        <v/>
      </c>
      <c r="O417" s="53" t="str">
        <f t="shared" si="60"/>
        <v>click</v>
      </c>
      <c r="P417" s="53" t="str">
        <f t="shared" si="71"/>
        <v>();</v>
      </c>
      <c r="Q417" s="53" t="str">
        <f t="shared" si="69"/>
        <v/>
      </c>
      <c r="R417" s="53" t="str">
        <f t="shared" si="64"/>
        <v/>
      </c>
      <c r="S417" s="53" t="str">
        <f t="shared" si="70"/>
        <v/>
      </c>
      <c r="CU417" s="53" t="e">
        <v>#N/A</v>
      </c>
      <c r="CV417" s="53" t="e">
        <v>#N/A</v>
      </c>
      <c r="CW417" s="53" t="e">
        <v>#N/A</v>
      </c>
      <c r="CX417" s="53" t="e">
        <v>#N/A</v>
      </c>
      <c r="CY417" s="53" t="e">
        <v>#N/A</v>
      </c>
      <c r="DE417" s="53" t="e">
        <v>#N/A</v>
      </c>
      <c r="DF417" s="53" t="e">
        <v>#N/A</v>
      </c>
      <c r="DG417" s="53" t="e">
        <v>#N/A</v>
      </c>
      <c r="DH417" s="53" t="e">
        <v>#N/A</v>
      </c>
      <c r="DI417" s="53" t="e">
        <v>#N/A</v>
      </c>
      <c r="DJ417" s="53" t="e">
        <v>#N/A</v>
      </c>
    </row>
    <row r="418" spans="3:114" s="53" customFormat="1" ht="12.75">
      <c r="C418" s="80"/>
      <c r="E418" s="48"/>
      <c r="K418" s="48"/>
      <c r="N418" s="53" t="str">
        <f t="shared" si="68"/>
        <v/>
      </c>
      <c r="O418" s="53" t="str">
        <f t="shared" si="60"/>
        <v>click</v>
      </c>
      <c r="P418" s="53" t="str">
        <f t="shared" si="71"/>
        <v>();</v>
      </c>
      <c r="Q418" s="53" t="str">
        <f t="shared" si="69"/>
        <v/>
      </c>
      <c r="R418" s="53" t="str">
        <f t="shared" si="64"/>
        <v/>
      </c>
      <c r="S418" s="53" t="str">
        <f t="shared" si="70"/>
        <v/>
      </c>
      <c r="CU418" s="53" t="e">
        <v>#N/A</v>
      </c>
      <c r="CV418" s="53" t="e">
        <v>#N/A</v>
      </c>
      <c r="CW418" s="53" t="e">
        <v>#N/A</v>
      </c>
      <c r="CX418" s="53" t="e">
        <v>#N/A</v>
      </c>
      <c r="CY418" s="53" t="e">
        <v>#N/A</v>
      </c>
      <c r="DE418" s="53" t="e">
        <v>#N/A</v>
      </c>
      <c r="DF418" s="53" t="e">
        <v>#N/A</v>
      </c>
      <c r="DG418" s="53" t="e">
        <v>#N/A</v>
      </c>
      <c r="DH418" s="53" t="e">
        <v>#N/A</v>
      </c>
      <c r="DI418" s="53" t="e">
        <v>#N/A</v>
      </c>
      <c r="DJ418" s="53" t="e">
        <v>#N/A</v>
      </c>
    </row>
    <row r="419" spans="3:114" s="53" customFormat="1" ht="12.75">
      <c r="C419" s="80"/>
      <c r="E419" s="48"/>
      <c r="K419" s="48"/>
      <c r="N419" s="53" t="str">
        <f t="shared" si="68"/>
        <v/>
      </c>
      <c r="O419" s="53" t="str">
        <f t="shared" si="60"/>
        <v>click</v>
      </c>
      <c r="P419" s="53" t="str">
        <f t="shared" si="71"/>
        <v>();</v>
      </c>
      <c r="Q419" s="53" t="str">
        <f t="shared" si="69"/>
        <v/>
      </c>
      <c r="R419" s="53" t="str">
        <f t="shared" si="64"/>
        <v/>
      </c>
      <c r="S419" s="53" t="str">
        <f t="shared" si="70"/>
        <v/>
      </c>
      <c r="CU419" s="53" t="e">
        <v>#N/A</v>
      </c>
      <c r="CV419" s="53" t="e">
        <v>#N/A</v>
      </c>
      <c r="CW419" s="53" t="e">
        <v>#N/A</v>
      </c>
      <c r="CX419" s="53" t="e">
        <v>#N/A</v>
      </c>
      <c r="CY419" s="53" t="e">
        <v>#N/A</v>
      </c>
      <c r="DE419" s="53" t="e">
        <v>#N/A</v>
      </c>
      <c r="DF419" s="53" t="e">
        <v>#N/A</v>
      </c>
      <c r="DG419" s="53" t="e">
        <v>#N/A</v>
      </c>
      <c r="DH419" s="53" t="e">
        <v>#N/A</v>
      </c>
      <c r="DI419" s="53" t="e">
        <v>#N/A</v>
      </c>
      <c r="DJ419" s="53" t="e">
        <v>#N/A</v>
      </c>
    </row>
    <row r="420" spans="3:114" s="53" customFormat="1" ht="12.75">
      <c r="C420" s="80"/>
      <c r="E420" s="48"/>
      <c r="K420" s="48"/>
      <c r="N420" s="53" t="str">
        <f t="shared" si="68"/>
        <v/>
      </c>
      <c r="O420" s="53" t="str">
        <f t="shared" si="60"/>
        <v>click</v>
      </c>
      <c r="P420" s="53" t="str">
        <f t="shared" si="71"/>
        <v>();</v>
      </c>
      <c r="Q420" s="53" t="str">
        <f t="shared" si="69"/>
        <v/>
      </c>
      <c r="R420" s="53" t="str">
        <f t="shared" si="64"/>
        <v/>
      </c>
      <c r="S420" s="53" t="str">
        <f t="shared" si="70"/>
        <v/>
      </c>
      <c r="CU420" s="53" t="e">
        <v>#N/A</v>
      </c>
      <c r="CV420" s="53" t="e">
        <v>#N/A</v>
      </c>
      <c r="CW420" s="53" t="e">
        <v>#N/A</v>
      </c>
      <c r="CX420" s="53" t="e">
        <v>#N/A</v>
      </c>
      <c r="CY420" s="53" t="e">
        <v>#N/A</v>
      </c>
      <c r="DE420" s="53" t="e">
        <v>#N/A</v>
      </c>
      <c r="DF420" s="53" t="e">
        <v>#N/A</v>
      </c>
      <c r="DG420" s="53" t="e">
        <v>#N/A</v>
      </c>
      <c r="DH420" s="53" t="e">
        <v>#N/A</v>
      </c>
      <c r="DI420" s="53" t="e">
        <v>#N/A</v>
      </c>
      <c r="DJ420" s="53" t="e">
        <v>#N/A</v>
      </c>
    </row>
    <row r="421" spans="3:114" s="53" customFormat="1" ht="12.75">
      <c r="C421" s="80"/>
      <c r="E421" s="48"/>
      <c r="K421" s="48"/>
      <c r="N421" s="53" t="str">
        <f t="shared" si="68"/>
        <v/>
      </c>
      <c r="O421" s="53" t="str">
        <f t="shared" si="60"/>
        <v>click</v>
      </c>
      <c r="P421" s="53" t="str">
        <f t="shared" si="71"/>
        <v>();</v>
      </c>
      <c r="Q421" s="53" t="str">
        <f t="shared" si="69"/>
        <v/>
      </c>
      <c r="R421" s="53" t="str">
        <f t="shared" si="64"/>
        <v/>
      </c>
      <c r="S421" s="53" t="str">
        <f t="shared" si="70"/>
        <v/>
      </c>
      <c r="CU421" s="53" t="e">
        <v>#N/A</v>
      </c>
      <c r="CV421" s="53" t="e">
        <v>#N/A</v>
      </c>
      <c r="CW421" s="53" t="e">
        <v>#N/A</v>
      </c>
      <c r="CX421" s="53" t="e">
        <v>#N/A</v>
      </c>
      <c r="CY421" s="53" t="e">
        <v>#N/A</v>
      </c>
      <c r="DE421" s="53" t="e">
        <v>#N/A</v>
      </c>
      <c r="DF421" s="53" t="e">
        <v>#N/A</v>
      </c>
      <c r="DG421" s="53" t="e">
        <v>#N/A</v>
      </c>
      <c r="DH421" s="53" t="e">
        <v>#N/A</v>
      </c>
      <c r="DI421" s="53" t="e">
        <v>#N/A</v>
      </c>
      <c r="DJ421" s="53" t="e">
        <v>#N/A</v>
      </c>
    </row>
    <row r="422" spans="3:114" s="53" customFormat="1" ht="12.75">
      <c r="C422" s="80"/>
      <c r="E422" s="48"/>
      <c r="K422" s="48"/>
      <c r="N422" s="53" t="str">
        <f t="shared" si="68"/>
        <v/>
      </c>
      <c r="O422" s="53" t="str">
        <f t="shared" si="60"/>
        <v>click</v>
      </c>
      <c r="P422" s="53" t="str">
        <f t="shared" si="71"/>
        <v>();</v>
      </c>
      <c r="Q422" s="53" t="str">
        <f t="shared" si="69"/>
        <v/>
      </c>
      <c r="R422" s="53" t="str">
        <f t="shared" si="64"/>
        <v/>
      </c>
      <c r="S422" s="53" t="str">
        <f t="shared" si="70"/>
        <v/>
      </c>
      <c r="CU422" s="53" t="e">
        <v>#N/A</v>
      </c>
      <c r="CV422" s="53" t="e">
        <v>#N/A</v>
      </c>
      <c r="CW422" s="53" t="e">
        <v>#N/A</v>
      </c>
      <c r="CX422" s="53" t="e">
        <v>#N/A</v>
      </c>
      <c r="CY422" s="53" t="e">
        <v>#N/A</v>
      </c>
      <c r="DE422" s="53" t="e">
        <v>#N/A</v>
      </c>
      <c r="DF422" s="53" t="e">
        <v>#N/A</v>
      </c>
      <c r="DG422" s="53" t="e">
        <v>#N/A</v>
      </c>
      <c r="DH422" s="53" t="e">
        <v>#N/A</v>
      </c>
      <c r="DI422" s="53" t="e">
        <v>#N/A</v>
      </c>
      <c r="DJ422" s="53" t="e">
        <v>#N/A</v>
      </c>
    </row>
    <row r="423" spans="3:114" s="53" customFormat="1" ht="12.75">
      <c r="C423" s="80"/>
      <c r="E423" s="48"/>
      <c r="K423" s="48"/>
      <c r="N423" s="53" t="str">
        <f t="shared" si="68"/>
        <v/>
      </c>
      <c r="O423" s="53" t="str">
        <f t="shared" si="60"/>
        <v>click</v>
      </c>
      <c r="P423" s="53" t="str">
        <f t="shared" si="71"/>
        <v>();</v>
      </c>
      <c r="Q423" s="53" t="str">
        <f t="shared" si="69"/>
        <v/>
      </c>
      <c r="R423" s="53" t="str">
        <f t="shared" si="64"/>
        <v/>
      </c>
      <c r="S423" s="53" t="str">
        <f t="shared" si="70"/>
        <v/>
      </c>
      <c r="CU423" s="53" t="e">
        <v>#N/A</v>
      </c>
      <c r="CV423" s="53" t="e">
        <v>#N/A</v>
      </c>
      <c r="CW423" s="53" t="e">
        <v>#N/A</v>
      </c>
      <c r="CX423" s="53" t="e">
        <v>#N/A</v>
      </c>
      <c r="CY423" s="53" t="e">
        <v>#N/A</v>
      </c>
      <c r="DE423" s="53" t="e">
        <v>#N/A</v>
      </c>
      <c r="DF423" s="53" t="e">
        <v>#N/A</v>
      </c>
      <c r="DG423" s="53" t="e">
        <v>#N/A</v>
      </c>
      <c r="DH423" s="53" t="e">
        <v>#N/A</v>
      </c>
      <c r="DI423" s="53" t="e">
        <v>#N/A</v>
      </c>
      <c r="DJ423" s="53" t="e">
        <v>#N/A</v>
      </c>
    </row>
    <row r="424" spans="3:114" s="53" customFormat="1" ht="12.75">
      <c r="C424" s="80"/>
      <c r="E424" s="48"/>
      <c r="K424" s="48"/>
      <c r="N424" s="53" t="str">
        <f t="shared" si="68"/>
        <v/>
      </c>
      <c r="O424" s="53" t="str">
        <f t="shared" si="60"/>
        <v>click</v>
      </c>
      <c r="P424" s="53" t="str">
        <f t="shared" si="71"/>
        <v>();</v>
      </c>
      <c r="Q424" s="53" t="str">
        <f t="shared" si="69"/>
        <v/>
      </c>
      <c r="R424" s="53" t="str">
        <f t="shared" si="64"/>
        <v/>
      </c>
      <c r="S424" s="53" t="str">
        <f t="shared" si="70"/>
        <v/>
      </c>
      <c r="CU424" s="53" t="e">
        <v>#N/A</v>
      </c>
      <c r="CV424" s="53" t="e">
        <v>#N/A</v>
      </c>
      <c r="CW424" s="53" t="e">
        <v>#N/A</v>
      </c>
      <c r="CX424" s="53" t="e">
        <v>#N/A</v>
      </c>
      <c r="CY424" s="53" t="e">
        <v>#N/A</v>
      </c>
      <c r="DE424" s="53" t="e">
        <v>#N/A</v>
      </c>
      <c r="DF424" s="53" t="e">
        <v>#N/A</v>
      </c>
      <c r="DG424" s="53" t="e">
        <v>#N/A</v>
      </c>
      <c r="DH424" s="53" t="e">
        <v>#N/A</v>
      </c>
      <c r="DI424" s="53" t="e">
        <v>#N/A</v>
      </c>
      <c r="DJ424" s="53" t="e">
        <v>#N/A</v>
      </c>
    </row>
    <row r="425" spans="3:114" s="53" customFormat="1" ht="12.75">
      <c r="C425" s="80"/>
      <c r="E425" s="48"/>
      <c r="K425" s="48"/>
      <c r="N425" s="53" t="str">
        <f t="shared" ref="N425:N456" si="72">IF(A425="Y",""""&amp;C425&amp;""""&amp;": "&amp;M425&amp;",","")</f>
        <v/>
      </c>
      <c r="O425" s="53" t="str">
        <f t="shared" ref="O425:O488" si="73">IF(D425="input","fill",IF(I425&lt;&gt;"","innerText",IF(J425="Y",$T$110,"click")))</f>
        <v>click</v>
      </c>
      <c r="P425" s="53" t="str">
        <f t="shared" si="71"/>
        <v>();</v>
      </c>
      <c r="Q425" s="53" t="str">
        <f t="shared" si="69"/>
        <v/>
      </c>
      <c r="R425" s="53" t="str">
        <f t="shared" si="64"/>
        <v/>
      </c>
      <c r="S425" s="53" t="str">
        <f t="shared" ref="S425:S452" si="74">IF(O425="innerText",I425&amp;"="&amp;IF(C425="Y",IF(J425&lt;&gt;"Y",$S$9&amp;$R$10&amp;"."&amp;E425&amp;")."&amp;IF(OR(O425="click",O425="innerText"),O425&amp;"();",O425&amp;"("&amp;$Q$9&amp;"."&amp;E425&amp;");"),$S$110&amp;$R$10&amp;"."&amp;E425&amp;")."&amp;IF(O425="click",O425&amp;"();",O425&amp;"("&amp;"'"&amp;K425&amp;"'"&amp;");")),""),IF(C425="Y",IF(J425&lt;&gt;"Y",$S$9&amp;$R$10&amp;"."&amp;E425&amp;")."&amp;IF(OR(O425="click",O425="innerText"),O425&amp;"();",O425&amp;"("&amp;$Q$9&amp;"."&amp;E425&amp;");"),$S$110&amp;$R$10&amp;"."&amp;E425&amp;")."&amp;IF(O425="click",O425&amp;"();",O425&amp;"("&amp;"'"&amp;K425&amp;"'"&amp;");")),""))</f>
        <v/>
      </c>
      <c r="CU425" s="53" t="e">
        <v>#N/A</v>
      </c>
      <c r="CV425" s="53" t="e">
        <v>#N/A</v>
      </c>
      <c r="CW425" s="53" t="e">
        <v>#N/A</v>
      </c>
      <c r="CX425" s="53" t="e">
        <v>#N/A</v>
      </c>
      <c r="CY425" s="53" t="e">
        <v>#N/A</v>
      </c>
      <c r="DE425" s="53" t="e">
        <v>#N/A</v>
      </c>
      <c r="DF425" s="53" t="e">
        <v>#N/A</v>
      </c>
      <c r="DG425" s="53" t="e">
        <v>#N/A</v>
      </c>
      <c r="DH425" s="53" t="e">
        <v>#N/A</v>
      </c>
      <c r="DI425" s="53" t="e">
        <v>#N/A</v>
      </c>
      <c r="DJ425" s="53" t="e">
        <v>#N/A</v>
      </c>
    </row>
    <row r="426" spans="3:114" s="53" customFormat="1" ht="12.75">
      <c r="C426" s="80"/>
      <c r="E426" s="48"/>
      <c r="K426" s="48"/>
      <c r="N426" s="53" t="str">
        <f t="shared" si="72"/>
        <v/>
      </c>
      <c r="O426" s="53" t="str">
        <f t="shared" si="73"/>
        <v>click</v>
      </c>
      <c r="P426" s="53" t="str">
        <f t="shared" si="71"/>
        <v>();</v>
      </c>
      <c r="Q426" s="53" t="str">
        <f t="shared" si="69"/>
        <v/>
      </c>
      <c r="R426" s="53" t="str">
        <f t="shared" si="64"/>
        <v/>
      </c>
      <c r="S426" s="53" t="str">
        <f t="shared" si="74"/>
        <v/>
      </c>
      <c r="CU426" s="53" t="e">
        <v>#N/A</v>
      </c>
      <c r="CV426" s="53" t="e">
        <v>#N/A</v>
      </c>
      <c r="CW426" s="53" t="e">
        <v>#N/A</v>
      </c>
      <c r="CX426" s="53" t="e">
        <v>#N/A</v>
      </c>
      <c r="CY426" s="53" t="e">
        <v>#N/A</v>
      </c>
      <c r="DE426" s="53" t="e">
        <v>#N/A</v>
      </c>
      <c r="DF426" s="53" t="e">
        <v>#N/A</v>
      </c>
      <c r="DG426" s="53" t="e">
        <v>#N/A</v>
      </c>
      <c r="DH426" s="53" t="e">
        <v>#N/A</v>
      </c>
      <c r="DI426" s="53" t="e">
        <v>#N/A</v>
      </c>
      <c r="DJ426" s="53" t="e">
        <v>#N/A</v>
      </c>
    </row>
    <row r="427" spans="3:114" s="53" customFormat="1" ht="12.75">
      <c r="C427" s="80"/>
      <c r="E427" s="48"/>
      <c r="K427" s="48"/>
      <c r="N427" s="53" t="str">
        <f t="shared" si="72"/>
        <v/>
      </c>
      <c r="O427" s="53" t="str">
        <f t="shared" si="73"/>
        <v>click</v>
      </c>
      <c r="P427" s="53" t="str">
        <f t="shared" si="71"/>
        <v>();</v>
      </c>
      <c r="Q427" s="53" t="str">
        <f t="shared" si="69"/>
        <v/>
      </c>
      <c r="R427" s="53" t="str">
        <f t="shared" si="64"/>
        <v/>
      </c>
      <c r="S427" s="53" t="str">
        <f t="shared" si="74"/>
        <v/>
      </c>
      <c r="CU427" s="53" t="e">
        <v>#N/A</v>
      </c>
      <c r="CV427" s="53" t="e">
        <v>#N/A</v>
      </c>
      <c r="CW427" s="53" t="e">
        <v>#N/A</v>
      </c>
      <c r="CX427" s="53" t="e">
        <v>#N/A</v>
      </c>
      <c r="CY427" s="53" t="e">
        <v>#N/A</v>
      </c>
      <c r="DE427" s="53" t="e">
        <v>#N/A</v>
      </c>
      <c r="DF427" s="53" t="e">
        <v>#N/A</v>
      </c>
      <c r="DG427" s="53" t="e">
        <v>#N/A</v>
      </c>
      <c r="DH427" s="53" t="e">
        <v>#N/A</v>
      </c>
      <c r="DI427" s="53" t="e">
        <v>#N/A</v>
      </c>
      <c r="DJ427" s="53" t="e">
        <v>#N/A</v>
      </c>
    </row>
    <row r="428" spans="3:114" s="53" customFormat="1" ht="12.75">
      <c r="C428" s="80"/>
      <c r="E428" s="48"/>
      <c r="K428" s="48"/>
      <c r="N428" s="53" t="str">
        <f t="shared" si="72"/>
        <v/>
      </c>
      <c r="O428" s="53" t="str">
        <f t="shared" si="73"/>
        <v>click</v>
      </c>
      <c r="P428" s="53" t="str">
        <f t="shared" si="71"/>
        <v>();</v>
      </c>
      <c r="Q428" s="53" t="str">
        <f t="shared" si="69"/>
        <v/>
      </c>
      <c r="R428" s="53" t="str">
        <f t="shared" si="64"/>
        <v/>
      </c>
      <c r="S428" s="53" t="str">
        <f t="shared" si="74"/>
        <v/>
      </c>
      <c r="CU428" s="53" t="e">
        <v>#N/A</v>
      </c>
      <c r="CV428" s="53" t="e">
        <v>#N/A</v>
      </c>
      <c r="CW428" s="53" t="e">
        <v>#N/A</v>
      </c>
      <c r="CX428" s="53" t="e">
        <v>#N/A</v>
      </c>
      <c r="CY428" s="53" t="e">
        <v>#N/A</v>
      </c>
      <c r="DE428" s="53" t="e">
        <v>#N/A</v>
      </c>
      <c r="DF428" s="53" t="e">
        <v>#N/A</v>
      </c>
      <c r="DG428" s="53" t="e">
        <v>#N/A</v>
      </c>
      <c r="DH428" s="53" t="e">
        <v>#N/A</v>
      </c>
      <c r="DI428" s="53" t="e">
        <v>#N/A</v>
      </c>
      <c r="DJ428" s="53" t="e">
        <v>#N/A</v>
      </c>
    </row>
    <row r="429" spans="3:114" s="53" customFormat="1" ht="12.75">
      <c r="C429" s="80"/>
      <c r="E429" s="48"/>
      <c r="K429" s="48"/>
      <c r="N429" s="53" t="str">
        <f t="shared" si="72"/>
        <v/>
      </c>
      <c r="O429" s="53" t="str">
        <f t="shared" si="73"/>
        <v>click</v>
      </c>
      <c r="P429" s="53" t="str">
        <f t="shared" si="71"/>
        <v>();</v>
      </c>
      <c r="Q429" s="53" t="str">
        <f t="shared" si="69"/>
        <v/>
      </c>
      <c r="R429" s="53" t="str">
        <f t="shared" si="64"/>
        <v/>
      </c>
      <c r="S429" s="53" t="str">
        <f t="shared" si="74"/>
        <v/>
      </c>
      <c r="CU429" s="53" t="e">
        <v>#N/A</v>
      </c>
      <c r="CV429" s="53" t="e">
        <v>#N/A</v>
      </c>
      <c r="CW429" s="53" t="e">
        <v>#N/A</v>
      </c>
      <c r="CX429" s="53" t="e">
        <v>#N/A</v>
      </c>
      <c r="CY429" s="53" t="e">
        <v>#N/A</v>
      </c>
      <c r="DE429" s="53" t="e">
        <v>#N/A</v>
      </c>
      <c r="DF429" s="53" t="e">
        <v>#N/A</v>
      </c>
      <c r="DG429" s="53" t="e">
        <v>#N/A</v>
      </c>
      <c r="DH429" s="53" t="e">
        <v>#N/A</v>
      </c>
      <c r="DI429" s="53" t="e">
        <v>#N/A</v>
      </c>
      <c r="DJ429" s="53" t="e">
        <v>#N/A</v>
      </c>
    </row>
    <row r="430" spans="3:114" s="53" customFormat="1" ht="12.75">
      <c r="C430" s="80"/>
      <c r="E430" s="48"/>
      <c r="K430" s="48"/>
      <c r="N430" s="53" t="str">
        <f t="shared" si="72"/>
        <v/>
      </c>
      <c r="O430" s="53" t="str">
        <f t="shared" si="73"/>
        <v>click</v>
      </c>
      <c r="P430" s="53" t="str">
        <f t="shared" si="71"/>
        <v>();</v>
      </c>
      <c r="Q430" s="53" t="str">
        <f t="shared" si="69"/>
        <v/>
      </c>
      <c r="R430" s="53" t="str">
        <f t="shared" si="64"/>
        <v/>
      </c>
      <c r="S430" s="53" t="str">
        <f t="shared" si="74"/>
        <v/>
      </c>
      <c r="CU430" s="53" t="e">
        <v>#N/A</v>
      </c>
      <c r="CV430" s="53" t="e">
        <v>#N/A</v>
      </c>
      <c r="CW430" s="53" t="e">
        <v>#N/A</v>
      </c>
      <c r="CX430" s="53" t="e">
        <v>#N/A</v>
      </c>
      <c r="CY430" s="53" t="e">
        <v>#N/A</v>
      </c>
      <c r="DE430" s="53" t="e">
        <v>#N/A</v>
      </c>
      <c r="DF430" s="53" t="e">
        <v>#N/A</v>
      </c>
      <c r="DG430" s="53" t="e">
        <v>#N/A</v>
      </c>
      <c r="DH430" s="53" t="e">
        <v>#N/A</v>
      </c>
      <c r="DI430" s="53" t="e">
        <v>#N/A</v>
      </c>
      <c r="DJ430" s="53" t="e">
        <v>#N/A</v>
      </c>
    </row>
    <row r="431" spans="3:114" s="53" customFormat="1" ht="12.75">
      <c r="C431" s="80"/>
      <c r="E431" s="48"/>
      <c r="K431" s="48"/>
      <c r="N431" s="53" t="str">
        <f t="shared" si="72"/>
        <v/>
      </c>
      <c r="O431" s="53" t="str">
        <f t="shared" si="73"/>
        <v>click</v>
      </c>
      <c r="P431" s="53" t="str">
        <f t="shared" si="71"/>
        <v>();</v>
      </c>
      <c r="Q431" s="53" t="str">
        <f t="shared" si="69"/>
        <v/>
      </c>
      <c r="R431" s="53" t="str">
        <f t="shared" si="64"/>
        <v/>
      </c>
      <c r="S431" s="53" t="str">
        <f t="shared" si="74"/>
        <v/>
      </c>
      <c r="CU431" s="53" t="e">
        <v>#N/A</v>
      </c>
      <c r="CV431" s="53" t="e">
        <v>#N/A</v>
      </c>
      <c r="CW431" s="53" t="e">
        <v>#N/A</v>
      </c>
      <c r="CX431" s="53" t="e">
        <v>#N/A</v>
      </c>
      <c r="CY431" s="53" t="e">
        <v>#N/A</v>
      </c>
      <c r="DE431" s="53" t="e">
        <v>#N/A</v>
      </c>
      <c r="DF431" s="53" t="e">
        <v>#N/A</v>
      </c>
      <c r="DG431" s="53" t="e">
        <v>#N/A</v>
      </c>
      <c r="DH431" s="53" t="e">
        <v>#N/A</v>
      </c>
      <c r="DI431" s="53" t="e">
        <v>#N/A</v>
      </c>
      <c r="DJ431" s="53" t="e">
        <v>#N/A</v>
      </c>
    </row>
    <row r="432" spans="3:114" s="53" customFormat="1" ht="12.75">
      <c r="C432" s="80"/>
      <c r="E432" s="48"/>
      <c r="K432" s="48"/>
      <c r="N432" s="53" t="str">
        <f t="shared" si="72"/>
        <v/>
      </c>
      <c r="O432" s="53" t="str">
        <f t="shared" si="73"/>
        <v>click</v>
      </c>
      <c r="P432" s="53" t="str">
        <f t="shared" si="71"/>
        <v>();</v>
      </c>
      <c r="Q432" s="53" t="str">
        <f t="shared" si="69"/>
        <v/>
      </c>
      <c r="R432" s="53" t="str">
        <f t="shared" si="64"/>
        <v/>
      </c>
      <c r="S432" s="53" t="str">
        <f t="shared" si="74"/>
        <v/>
      </c>
      <c r="CU432" s="53" t="e">
        <v>#N/A</v>
      </c>
      <c r="CV432" s="53" t="e">
        <v>#N/A</v>
      </c>
      <c r="CW432" s="53" t="e">
        <v>#N/A</v>
      </c>
      <c r="CX432" s="53" t="e">
        <v>#N/A</v>
      </c>
      <c r="CY432" s="53" t="e">
        <v>#N/A</v>
      </c>
      <c r="DE432" s="53" t="e">
        <v>#N/A</v>
      </c>
      <c r="DF432" s="53" t="e">
        <v>#N/A</v>
      </c>
      <c r="DG432" s="53" t="e">
        <v>#N/A</v>
      </c>
      <c r="DH432" s="53" t="e">
        <v>#N/A</v>
      </c>
      <c r="DI432" s="53" t="e">
        <v>#N/A</v>
      </c>
      <c r="DJ432" s="53" t="e">
        <v>#N/A</v>
      </c>
    </row>
    <row r="433" spans="3:114" s="53" customFormat="1" ht="12.75">
      <c r="C433" s="80"/>
      <c r="E433" s="48"/>
      <c r="K433" s="48"/>
      <c r="N433" s="53" t="str">
        <f t="shared" si="72"/>
        <v/>
      </c>
      <c r="O433" s="53" t="str">
        <f t="shared" si="73"/>
        <v>click</v>
      </c>
      <c r="P433" s="53" t="str">
        <f t="shared" si="71"/>
        <v>();</v>
      </c>
      <c r="Q433" s="53" t="str">
        <f t="shared" si="69"/>
        <v/>
      </c>
      <c r="R433" s="53" t="str">
        <f t="shared" si="64"/>
        <v/>
      </c>
      <c r="S433" s="53" t="str">
        <f t="shared" si="74"/>
        <v/>
      </c>
      <c r="CU433" s="53" t="e">
        <v>#N/A</v>
      </c>
      <c r="CV433" s="53" t="e">
        <v>#N/A</v>
      </c>
      <c r="CW433" s="53" t="e">
        <v>#N/A</v>
      </c>
      <c r="CX433" s="53" t="e">
        <v>#N/A</v>
      </c>
      <c r="CY433" s="53" t="e">
        <v>#N/A</v>
      </c>
      <c r="DE433" s="53" t="e">
        <v>#N/A</v>
      </c>
      <c r="DF433" s="53" t="e">
        <v>#N/A</v>
      </c>
      <c r="DG433" s="53" t="e">
        <v>#N/A</v>
      </c>
      <c r="DH433" s="53" t="e">
        <v>#N/A</v>
      </c>
      <c r="DI433" s="53" t="e">
        <v>#N/A</v>
      </c>
      <c r="DJ433" s="53" t="e">
        <v>#N/A</v>
      </c>
    </row>
    <row r="434" spans="3:114" s="53" customFormat="1" ht="12.75">
      <c r="C434" s="80"/>
      <c r="E434" s="48"/>
      <c r="K434" s="48"/>
      <c r="N434" s="53" t="str">
        <f t="shared" si="72"/>
        <v/>
      </c>
      <c r="O434" s="53" t="str">
        <f t="shared" si="73"/>
        <v>click</v>
      </c>
      <c r="P434" s="53" t="str">
        <f t="shared" si="71"/>
        <v>();</v>
      </c>
      <c r="Q434" s="53" t="str">
        <f t="shared" si="69"/>
        <v/>
      </c>
      <c r="R434" s="53" t="str">
        <f t="shared" si="64"/>
        <v/>
      </c>
      <c r="S434" s="53" t="str">
        <f t="shared" si="74"/>
        <v/>
      </c>
      <c r="CU434" s="53" t="e">
        <v>#N/A</v>
      </c>
      <c r="CV434" s="53" t="e">
        <v>#N/A</v>
      </c>
      <c r="CW434" s="53" t="e">
        <v>#N/A</v>
      </c>
      <c r="CX434" s="53" t="e">
        <v>#N/A</v>
      </c>
      <c r="CY434" s="53" t="e">
        <v>#N/A</v>
      </c>
      <c r="DE434" s="53" t="e">
        <v>#N/A</v>
      </c>
      <c r="DF434" s="53" t="e">
        <v>#N/A</v>
      </c>
      <c r="DG434" s="53" t="e">
        <v>#N/A</v>
      </c>
      <c r="DH434" s="53" t="e">
        <v>#N/A</v>
      </c>
      <c r="DI434" s="53" t="e">
        <v>#N/A</v>
      </c>
      <c r="DJ434" s="53" t="e">
        <v>#N/A</v>
      </c>
    </row>
    <row r="435" spans="3:114" s="53" customFormat="1" ht="12.75">
      <c r="C435" s="80"/>
      <c r="E435" s="48"/>
      <c r="K435" s="48"/>
      <c r="N435" s="53" t="str">
        <f t="shared" si="72"/>
        <v/>
      </c>
      <c r="O435" s="53" t="str">
        <f t="shared" si="73"/>
        <v>click</v>
      </c>
      <c r="P435" s="53" t="str">
        <f t="shared" si="71"/>
        <v>();</v>
      </c>
      <c r="Q435" s="53" t="str">
        <f t="shared" si="69"/>
        <v/>
      </c>
      <c r="R435" s="53" t="str">
        <f t="shared" si="64"/>
        <v/>
      </c>
      <c r="S435" s="53" t="str">
        <f t="shared" si="74"/>
        <v/>
      </c>
      <c r="CU435" s="53" t="e">
        <v>#N/A</v>
      </c>
      <c r="CV435" s="53" t="e">
        <v>#N/A</v>
      </c>
      <c r="CW435" s="53" t="e">
        <v>#N/A</v>
      </c>
      <c r="CX435" s="53" t="e">
        <v>#N/A</v>
      </c>
      <c r="CY435" s="53" t="e">
        <v>#N/A</v>
      </c>
      <c r="DE435" s="53" t="e">
        <v>#N/A</v>
      </c>
      <c r="DF435" s="53" t="e">
        <v>#N/A</v>
      </c>
      <c r="DG435" s="53" t="e">
        <v>#N/A</v>
      </c>
      <c r="DH435" s="53" t="e">
        <v>#N/A</v>
      </c>
      <c r="DI435" s="53" t="e">
        <v>#N/A</v>
      </c>
      <c r="DJ435" s="53" t="e">
        <v>#N/A</v>
      </c>
    </row>
    <row r="436" spans="3:114" s="53" customFormat="1" ht="12.75">
      <c r="C436" s="80"/>
      <c r="E436" s="48"/>
      <c r="K436" s="48"/>
      <c r="N436" s="53" t="str">
        <f t="shared" si="72"/>
        <v/>
      </c>
      <c r="O436" s="53" t="str">
        <f t="shared" si="73"/>
        <v>click</v>
      </c>
      <c r="P436" s="53" t="str">
        <f t="shared" si="71"/>
        <v>();</v>
      </c>
      <c r="Q436" s="53" t="str">
        <f t="shared" si="69"/>
        <v/>
      </c>
      <c r="R436" s="53" t="str">
        <f t="shared" si="64"/>
        <v/>
      </c>
      <c r="S436" s="53" t="str">
        <f t="shared" si="74"/>
        <v/>
      </c>
      <c r="CU436" s="53" t="e">
        <v>#N/A</v>
      </c>
      <c r="CV436" s="53" t="e">
        <v>#N/A</v>
      </c>
      <c r="CW436" s="53" t="e">
        <v>#N/A</v>
      </c>
      <c r="CX436" s="53" t="e">
        <v>#N/A</v>
      </c>
      <c r="CY436" s="53" t="e">
        <v>#N/A</v>
      </c>
      <c r="DE436" s="53" t="e">
        <v>#N/A</v>
      </c>
      <c r="DF436" s="53" t="e">
        <v>#N/A</v>
      </c>
      <c r="DG436" s="53" t="e">
        <v>#N/A</v>
      </c>
      <c r="DH436" s="53" t="e">
        <v>#N/A</v>
      </c>
      <c r="DI436" s="53" t="e">
        <v>#N/A</v>
      </c>
      <c r="DJ436" s="53" t="e">
        <v>#N/A</v>
      </c>
    </row>
    <row r="437" spans="3:114" s="53" customFormat="1" ht="12.75">
      <c r="C437" s="80"/>
      <c r="E437" s="48"/>
      <c r="K437" s="48"/>
      <c r="N437" s="53" t="str">
        <f t="shared" si="72"/>
        <v/>
      </c>
      <c r="O437" s="53" t="str">
        <f t="shared" si="73"/>
        <v>click</v>
      </c>
      <c r="P437" s="53" t="str">
        <f t="shared" si="71"/>
        <v>();</v>
      </c>
      <c r="Q437" s="53" t="str">
        <f t="shared" ref="Q437:Q452" si="75">IF(A437="Y",IF(H437&lt;&gt;"Xpath",M437&amp;F437&amp;N437,""""&amp;F437&amp;""""),"")</f>
        <v/>
      </c>
      <c r="R437" s="53" t="str">
        <f t="shared" si="64"/>
        <v/>
      </c>
      <c r="S437" s="53" t="str">
        <f t="shared" si="74"/>
        <v/>
      </c>
      <c r="CU437" s="53" t="e">
        <v>#N/A</v>
      </c>
      <c r="CV437" s="53" t="e">
        <v>#N/A</v>
      </c>
      <c r="CW437" s="53" t="e">
        <v>#N/A</v>
      </c>
      <c r="CX437" s="53" t="e">
        <v>#N/A</v>
      </c>
      <c r="CY437" s="53" t="e">
        <v>#N/A</v>
      </c>
      <c r="DE437" s="53" t="e">
        <v>#N/A</v>
      </c>
      <c r="DF437" s="53" t="e">
        <v>#N/A</v>
      </c>
      <c r="DG437" s="53" t="e">
        <v>#N/A</v>
      </c>
      <c r="DH437" s="53" t="e">
        <v>#N/A</v>
      </c>
      <c r="DI437" s="53" t="e">
        <v>#N/A</v>
      </c>
      <c r="DJ437" s="53" t="e">
        <v>#N/A</v>
      </c>
    </row>
    <row r="438" spans="3:114" s="53" customFormat="1" ht="12.75">
      <c r="C438" s="80"/>
      <c r="E438" s="48"/>
      <c r="K438" s="48"/>
      <c r="N438" s="53" t="str">
        <f t="shared" si="72"/>
        <v/>
      </c>
      <c r="O438" s="53" t="str">
        <f t="shared" si="73"/>
        <v>click</v>
      </c>
      <c r="P438" s="53" t="str">
        <f t="shared" si="71"/>
        <v>();</v>
      </c>
      <c r="Q438" s="53" t="str">
        <f t="shared" si="75"/>
        <v/>
      </c>
      <c r="R438" s="53" t="str">
        <f t="shared" si="64"/>
        <v/>
      </c>
      <c r="S438" s="53" t="str">
        <f t="shared" si="74"/>
        <v/>
      </c>
      <c r="CU438" s="53" t="e">
        <v>#N/A</v>
      </c>
      <c r="CV438" s="53" t="e">
        <v>#N/A</v>
      </c>
      <c r="CW438" s="53" t="e">
        <v>#N/A</v>
      </c>
      <c r="CX438" s="53" t="e">
        <v>#N/A</v>
      </c>
      <c r="CY438" s="53" t="e">
        <v>#N/A</v>
      </c>
      <c r="DE438" s="53" t="e">
        <v>#N/A</v>
      </c>
      <c r="DF438" s="53" t="e">
        <v>#N/A</v>
      </c>
      <c r="DG438" s="53" t="e">
        <v>#N/A</v>
      </c>
      <c r="DH438" s="53" t="e">
        <v>#N/A</v>
      </c>
      <c r="DI438" s="53" t="e">
        <v>#N/A</v>
      </c>
      <c r="DJ438" s="53" t="e">
        <v>#N/A</v>
      </c>
    </row>
    <row r="439" spans="3:114" s="53" customFormat="1" ht="12.75">
      <c r="C439" s="80"/>
      <c r="E439" s="48"/>
      <c r="K439" s="48"/>
      <c r="N439" s="53" t="str">
        <f t="shared" si="72"/>
        <v/>
      </c>
      <c r="O439" s="53" t="str">
        <f t="shared" si="73"/>
        <v>click</v>
      </c>
      <c r="P439" s="53" t="str">
        <f t="shared" si="71"/>
        <v>();</v>
      </c>
      <c r="Q439" s="53" t="str">
        <f t="shared" si="75"/>
        <v/>
      </c>
      <c r="R439" s="53" t="str">
        <f t="shared" si="64"/>
        <v/>
      </c>
      <c r="S439" s="53" t="str">
        <f t="shared" si="74"/>
        <v/>
      </c>
      <c r="CU439" s="53" t="e">
        <v>#N/A</v>
      </c>
      <c r="CV439" s="53" t="e">
        <v>#N/A</v>
      </c>
      <c r="CW439" s="53" t="e">
        <v>#N/A</v>
      </c>
      <c r="CX439" s="53" t="e">
        <v>#N/A</v>
      </c>
      <c r="CY439" s="53" t="e">
        <v>#N/A</v>
      </c>
      <c r="DE439" s="53" t="e">
        <v>#N/A</v>
      </c>
      <c r="DF439" s="53" t="e">
        <v>#N/A</v>
      </c>
      <c r="DG439" s="53" t="e">
        <v>#N/A</v>
      </c>
      <c r="DH439" s="53" t="e">
        <v>#N/A</v>
      </c>
      <c r="DI439" s="53" t="e">
        <v>#N/A</v>
      </c>
      <c r="DJ439" s="53" t="e">
        <v>#N/A</v>
      </c>
    </row>
    <row r="440" spans="3:114" s="53" customFormat="1" ht="12.75">
      <c r="C440" s="80"/>
      <c r="E440" s="48"/>
      <c r="K440" s="48"/>
      <c r="N440" s="53" t="str">
        <f t="shared" si="72"/>
        <v/>
      </c>
      <c r="O440" s="53" t="str">
        <f t="shared" si="73"/>
        <v>click</v>
      </c>
      <c r="P440" s="53" t="str">
        <f t="shared" si="71"/>
        <v>();</v>
      </c>
      <c r="Q440" s="53" t="str">
        <f t="shared" si="75"/>
        <v/>
      </c>
      <c r="R440" s="53" t="str">
        <f t="shared" si="64"/>
        <v/>
      </c>
      <c r="S440" s="53" t="str">
        <f t="shared" si="74"/>
        <v/>
      </c>
      <c r="CU440" s="53" t="e">
        <v>#N/A</v>
      </c>
      <c r="CV440" s="53" t="e">
        <v>#N/A</v>
      </c>
      <c r="CW440" s="53" t="e">
        <v>#N/A</v>
      </c>
      <c r="CX440" s="53" t="e">
        <v>#N/A</v>
      </c>
      <c r="CY440" s="53" t="e">
        <v>#N/A</v>
      </c>
      <c r="DE440" s="53" t="e">
        <v>#N/A</v>
      </c>
      <c r="DF440" s="53" t="e">
        <v>#N/A</v>
      </c>
      <c r="DG440" s="53" t="e">
        <v>#N/A</v>
      </c>
      <c r="DH440" s="53" t="e">
        <v>#N/A</v>
      </c>
      <c r="DI440" s="53" t="e">
        <v>#N/A</v>
      </c>
      <c r="DJ440" s="53" t="e">
        <v>#N/A</v>
      </c>
    </row>
    <row r="441" spans="3:114" s="53" customFormat="1" ht="12.75">
      <c r="C441" s="80"/>
      <c r="E441" s="48"/>
      <c r="K441" s="48"/>
      <c r="N441" s="53" t="str">
        <f t="shared" si="72"/>
        <v/>
      </c>
      <c r="O441" s="53" t="str">
        <f t="shared" si="73"/>
        <v>click</v>
      </c>
      <c r="P441" s="53" t="str">
        <f t="shared" si="71"/>
        <v>();</v>
      </c>
      <c r="Q441" s="53" t="str">
        <f t="shared" si="75"/>
        <v/>
      </c>
      <c r="R441" s="53" t="str">
        <f t="shared" si="64"/>
        <v/>
      </c>
      <c r="S441" s="53" t="str">
        <f t="shared" si="74"/>
        <v/>
      </c>
      <c r="CU441" s="53" t="e">
        <v>#N/A</v>
      </c>
      <c r="CV441" s="53" t="e">
        <v>#N/A</v>
      </c>
      <c r="CW441" s="53" t="e">
        <v>#N/A</v>
      </c>
      <c r="CX441" s="53" t="e">
        <v>#N/A</v>
      </c>
      <c r="CY441" s="53" t="e">
        <v>#N/A</v>
      </c>
      <c r="DE441" s="53" t="e">
        <v>#N/A</v>
      </c>
      <c r="DF441" s="53" t="e">
        <v>#N/A</v>
      </c>
      <c r="DG441" s="53" t="e">
        <v>#N/A</v>
      </c>
      <c r="DH441" s="53" t="e">
        <v>#N/A</v>
      </c>
      <c r="DI441" s="53" t="e">
        <v>#N/A</v>
      </c>
      <c r="DJ441" s="53" t="e">
        <v>#N/A</v>
      </c>
    </row>
    <row r="442" spans="3:114" s="53" customFormat="1" ht="12.75">
      <c r="C442" s="80"/>
      <c r="E442" s="48"/>
      <c r="K442" s="48"/>
      <c r="N442" s="53" t="str">
        <f t="shared" si="72"/>
        <v/>
      </c>
      <c r="O442" s="53" t="str">
        <f t="shared" si="73"/>
        <v>click</v>
      </c>
      <c r="P442" s="53" t="str">
        <f t="shared" si="71"/>
        <v>();</v>
      </c>
      <c r="Q442" s="53" t="str">
        <f t="shared" si="75"/>
        <v/>
      </c>
      <c r="R442" s="53" t="str">
        <f t="shared" si="64"/>
        <v/>
      </c>
      <c r="S442" s="53" t="str">
        <f t="shared" si="74"/>
        <v/>
      </c>
      <c r="CU442" s="53" t="e">
        <v>#N/A</v>
      </c>
      <c r="CV442" s="53" t="e">
        <v>#N/A</v>
      </c>
      <c r="CW442" s="53" t="e">
        <v>#N/A</v>
      </c>
      <c r="CX442" s="53" t="e">
        <v>#N/A</v>
      </c>
      <c r="CY442" s="53" t="e">
        <v>#N/A</v>
      </c>
      <c r="DE442" s="53" t="e">
        <v>#N/A</v>
      </c>
      <c r="DF442" s="53" t="e">
        <v>#N/A</v>
      </c>
      <c r="DG442" s="53" t="e">
        <v>#N/A</v>
      </c>
      <c r="DH442" s="53" t="e">
        <v>#N/A</v>
      </c>
      <c r="DI442" s="53" t="e">
        <v>#N/A</v>
      </c>
      <c r="DJ442" s="53" t="e">
        <v>#N/A</v>
      </c>
    </row>
    <row r="443" spans="3:114" s="53" customFormat="1" ht="12.75">
      <c r="C443" s="80"/>
      <c r="E443" s="48"/>
      <c r="K443" s="48"/>
      <c r="N443" s="53" t="str">
        <f t="shared" si="72"/>
        <v/>
      </c>
      <c r="O443" s="53" t="str">
        <f t="shared" si="73"/>
        <v>click</v>
      </c>
      <c r="P443" s="53" t="str">
        <f t="shared" si="71"/>
        <v>();</v>
      </c>
      <c r="Q443" s="53" t="str">
        <f t="shared" si="75"/>
        <v/>
      </c>
      <c r="R443" s="53" t="str">
        <f t="shared" si="64"/>
        <v/>
      </c>
      <c r="S443" s="53" t="str">
        <f t="shared" si="74"/>
        <v/>
      </c>
      <c r="CU443" s="53" t="e">
        <v>#N/A</v>
      </c>
      <c r="CV443" s="53" t="e">
        <v>#N/A</v>
      </c>
      <c r="CW443" s="53" t="e">
        <v>#N/A</v>
      </c>
      <c r="CX443" s="53" t="e">
        <v>#N/A</v>
      </c>
      <c r="CY443" s="53" t="e">
        <v>#N/A</v>
      </c>
      <c r="DE443" s="53" t="e">
        <v>#N/A</v>
      </c>
      <c r="DF443" s="53" t="e">
        <v>#N/A</v>
      </c>
      <c r="DG443" s="53" t="e">
        <v>#N/A</v>
      </c>
      <c r="DH443" s="53" t="e">
        <v>#N/A</v>
      </c>
      <c r="DI443" s="53" t="e">
        <v>#N/A</v>
      </c>
      <c r="DJ443" s="53" t="e">
        <v>#N/A</v>
      </c>
    </row>
    <row r="444" spans="3:114" s="53" customFormat="1" ht="12.75">
      <c r="C444" s="80"/>
      <c r="E444" s="48"/>
      <c r="K444" s="48"/>
      <c r="N444" s="53" t="str">
        <f t="shared" si="72"/>
        <v/>
      </c>
      <c r="O444" s="53" t="str">
        <f t="shared" si="73"/>
        <v>click</v>
      </c>
      <c r="P444" s="53" t="str">
        <f t="shared" si="71"/>
        <v>();</v>
      </c>
      <c r="Q444" s="53" t="str">
        <f t="shared" si="75"/>
        <v/>
      </c>
      <c r="R444" s="53" t="str">
        <f t="shared" si="64"/>
        <v/>
      </c>
      <c r="S444" s="53" t="str">
        <f t="shared" si="74"/>
        <v/>
      </c>
      <c r="CU444" s="53" t="e">
        <v>#N/A</v>
      </c>
      <c r="CV444" s="53" t="e">
        <v>#N/A</v>
      </c>
      <c r="CW444" s="53" t="e">
        <v>#N/A</v>
      </c>
      <c r="CX444" s="53" t="e">
        <v>#N/A</v>
      </c>
      <c r="CY444" s="53" t="e">
        <v>#N/A</v>
      </c>
      <c r="DE444" s="53" t="e">
        <v>#N/A</v>
      </c>
      <c r="DF444" s="53" t="e">
        <v>#N/A</v>
      </c>
      <c r="DG444" s="53" t="e">
        <v>#N/A</v>
      </c>
      <c r="DH444" s="53" t="e">
        <v>#N/A</v>
      </c>
      <c r="DI444" s="53" t="e">
        <v>#N/A</v>
      </c>
      <c r="DJ444" s="53" t="e">
        <v>#N/A</v>
      </c>
    </row>
    <row r="445" spans="3:114" s="53" customFormat="1" ht="12.75">
      <c r="C445" s="80"/>
      <c r="E445" s="48"/>
      <c r="K445" s="48"/>
      <c r="N445" s="53" t="str">
        <f t="shared" si="72"/>
        <v/>
      </c>
      <c r="O445" s="53" t="str">
        <f t="shared" si="73"/>
        <v>click</v>
      </c>
      <c r="P445" s="53" t="str">
        <f t="shared" si="71"/>
        <v>();</v>
      </c>
      <c r="Q445" s="53" t="str">
        <f t="shared" si="75"/>
        <v/>
      </c>
      <c r="R445" s="53" t="str">
        <f t="shared" si="64"/>
        <v/>
      </c>
      <c r="S445" s="53" t="str">
        <f t="shared" si="74"/>
        <v/>
      </c>
      <c r="CU445" s="53" t="e">
        <v>#N/A</v>
      </c>
      <c r="CV445" s="53" t="e">
        <v>#N/A</v>
      </c>
      <c r="CW445" s="53" t="e">
        <v>#N/A</v>
      </c>
      <c r="CX445" s="53" t="e">
        <v>#N/A</v>
      </c>
      <c r="CY445" s="53" t="e">
        <v>#N/A</v>
      </c>
      <c r="DE445" s="53" t="e">
        <v>#N/A</v>
      </c>
      <c r="DF445" s="53" t="e">
        <v>#N/A</v>
      </c>
      <c r="DG445" s="53" t="e">
        <v>#N/A</v>
      </c>
      <c r="DH445" s="53" t="e">
        <v>#N/A</v>
      </c>
      <c r="DI445" s="53" t="e">
        <v>#N/A</v>
      </c>
      <c r="DJ445" s="53" t="e">
        <v>#N/A</v>
      </c>
    </row>
    <row r="446" spans="3:114" s="53" customFormat="1" ht="12.75">
      <c r="C446" s="80"/>
      <c r="E446" s="48"/>
      <c r="K446" s="48"/>
      <c r="N446" s="53" t="str">
        <f t="shared" si="72"/>
        <v/>
      </c>
      <c r="O446" s="53" t="str">
        <f t="shared" si="73"/>
        <v>click</v>
      </c>
      <c r="P446" s="53" t="str">
        <f t="shared" si="71"/>
        <v>();</v>
      </c>
      <c r="Q446" s="53" t="str">
        <f t="shared" si="75"/>
        <v/>
      </c>
      <c r="R446" s="53" t="str">
        <f t="shared" si="64"/>
        <v/>
      </c>
      <c r="S446" s="53" t="str">
        <f t="shared" si="74"/>
        <v/>
      </c>
      <c r="CU446" s="53" t="e">
        <v>#N/A</v>
      </c>
      <c r="CV446" s="53" t="e">
        <v>#N/A</v>
      </c>
      <c r="CW446" s="53" t="e">
        <v>#N/A</v>
      </c>
      <c r="CX446" s="53" t="e">
        <v>#N/A</v>
      </c>
      <c r="CY446" s="53" t="e">
        <v>#N/A</v>
      </c>
      <c r="DE446" s="53" t="e">
        <v>#N/A</v>
      </c>
      <c r="DF446" s="53" t="e">
        <v>#N/A</v>
      </c>
      <c r="DG446" s="53" t="e">
        <v>#N/A</v>
      </c>
      <c r="DH446" s="53" t="e">
        <v>#N/A</v>
      </c>
      <c r="DI446" s="53" t="e">
        <v>#N/A</v>
      </c>
      <c r="DJ446" s="53" t="e">
        <v>#N/A</v>
      </c>
    </row>
    <row r="447" spans="3:114" s="53" customFormat="1" ht="12.75">
      <c r="C447" s="80"/>
      <c r="E447" s="48"/>
      <c r="K447" s="48"/>
      <c r="N447" s="53" t="str">
        <f t="shared" si="72"/>
        <v/>
      </c>
      <c r="O447" s="53" t="str">
        <f t="shared" si="73"/>
        <v>click</v>
      </c>
      <c r="P447" s="53" t="str">
        <f t="shared" si="71"/>
        <v>();</v>
      </c>
      <c r="Q447" s="53" t="str">
        <f t="shared" si="75"/>
        <v/>
      </c>
      <c r="R447" s="53" t="str">
        <f t="shared" ref="R447:R452" si="76">IF(C447="Y",""""&amp;E447&amp;""""&amp;":"&amp;Q447&amp;",","")</f>
        <v/>
      </c>
      <c r="S447" s="53" t="str">
        <f t="shared" si="74"/>
        <v/>
      </c>
      <c r="CU447" s="53" t="e">
        <v>#N/A</v>
      </c>
      <c r="CV447" s="53" t="e">
        <v>#N/A</v>
      </c>
      <c r="CW447" s="53" t="e">
        <v>#N/A</v>
      </c>
      <c r="CX447" s="53" t="e">
        <v>#N/A</v>
      </c>
      <c r="CY447" s="53" t="e">
        <v>#N/A</v>
      </c>
      <c r="DE447" s="53" t="e">
        <v>#N/A</v>
      </c>
      <c r="DF447" s="53" t="e">
        <v>#N/A</v>
      </c>
      <c r="DG447" s="53" t="e">
        <v>#N/A</v>
      </c>
      <c r="DH447" s="53" t="e">
        <v>#N/A</v>
      </c>
      <c r="DI447" s="53" t="e">
        <v>#N/A</v>
      </c>
      <c r="DJ447" s="53" t="e">
        <v>#N/A</v>
      </c>
    </row>
    <row r="448" spans="3:114" s="53" customFormat="1" ht="12.75">
      <c r="C448" s="80"/>
      <c r="E448" s="48"/>
      <c r="K448" s="48"/>
      <c r="N448" s="53" t="str">
        <f t="shared" si="72"/>
        <v/>
      </c>
      <c r="O448" s="53" t="str">
        <f t="shared" si="73"/>
        <v>click</v>
      </c>
      <c r="P448" s="53" t="str">
        <f t="shared" si="71"/>
        <v>();</v>
      </c>
      <c r="Q448" s="53" t="str">
        <f t="shared" si="75"/>
        <v/>
      </c>
      <c r="R448" s="53" t="str">
        <f t="shared" si="76"/>
        <v/>
      </c>
      <c r="S448" s="53" t="str">
        <f t="shared" si="74"/>
        <v/>
      </c>
      <c r="CU448" s="53" t="e">
        <v>#N/A</v>
      </c>
      <c r="CV448" s="53" t="e">
        <v>#N/A</v>
      </c>
      <c r="CW448" s="53" t="e">
        <v>#N/A</v>
      </c>
      <c r="CX448" s="53" t="e">
        <v>#N/A</v>
      </c>
      <c r="CY448" s="53" t="e">
        <v>#N/A</v>
      </c>
      <c r="DE448" s="53" t="e">
        <v>#N/A</v>
      </c>
      <c r="DF448" s="53" t="e">
        <v>#N/A</v>
      </c>
      <c r="DG448" s="53" t="e">
        <v>#N/A</v>
      </c>
      <c r="DH448" s="53" t="e">
        <v>#N/A</v>
      </c>
      <c r="DI448" s="53" t="e">
        <v>#N/A</v>
      </c>
      <c r="DJ448" s="53" t="e">
        <v>#N/A</v>
      </c>
    </row>
    <row r="449" spans="3:114" s="53" customFormat="1" ht="12.75">
      <c r="C449" s="80"/>
      <c r="E449" s="48"/>
      <c r="K449" s="48"/>
      <c r="N449" s="53" t="str">
        <f t="shared" si="72"/>
        <v/>
      </c>
      <c r="O449" s="53" t="str">
        <f t="shared" si="73"/>
        <v>click</v>
      </c>
      <c r="P449" s="53" t="str">
        <f t="shared" si="71"/>
        <v>();</v>
      </c>
      <c r="Q449" s="53" t="str">
        <f t="shared" si="75"/>
        <v/>
      </c>
      <c r="R449" s="53" t="str">
        <f t="shared" si="76"/>
        <v/>
      </c>
      <c r="S449" s="53" t="str">
        <f t="shared" si="74"/>
        <v/>
      </c>
      <c r="CU449" s="53" t="e">
        <v>#N/A</v>
      </c>
      <c r="CV449" s="53" t="e">
        <v>#N/A</v>
      </c>
      <c r="CW449" s="53" t="e">
        <v>#N/A</v>
      </c>
      <c r="CX449" s="53" t="e">
        <v>#N/A</v>
      </c>
      <c r="CY449" s="53" t="e">
        <v>#N/A</v>
      </c>
      <c r="DE449" s="53" t="e">
        <v>#N/A</v>
      </c>
      <c r="DF449" s="53" t="e">
        <v>#N/A</v>
      </c>
      <c r="DG449" s="53" t="e">
        <v>#N/A</v>
      </c>
      <c r="DH449" s="53" t="e">
        <v>#N/A</v>
      </c>
      <c r="DI449" s="53" t="e">
        <v>#N/A</v>
      </c>
      <c r="DJ449" s="53" t="e">
        <v>#N/A</v>
      </c>
    </row>
    <row r="450" spans="3:114" s="53" customFormat="1" ht="12.75">
      <c r="C450" s="80"/>
      <c r="E450" s="48"/>
      <c r="K450" s="48"/>
      <c r="N450" s="53" t="str">
        <f t="shared" si="72"/>
        <v/>
      </c>
      <c r="O450" s="53" t="str">
        <f t="shared" si="73"/>
        <v>click</v>
      </c>
      <c r="P450" s="53" t="str">
        <f t="shared" si="71"/>
        <v>();</v>
      </c>
      <c r="Q450" s="53" t="str">
        <f t="shared" si="75"/>
        <v/>
      </c>
      <c r="R450" s="53" t="str">
        <f t="shared" si="76"/>
        <v/>
      </c>
      <c r="S450" s="53" t="str">
        <f t="shared" si="74"/>
        <v/>
      </c>
      <c r="CU450" s="53" t="e">
        <v>#N/A</v>
      </c>
      <c r="CV450" s="53" t="e">
        <v>#N/A</v>
      </c>
      <c r="CW450" s="53" t="e">
        <v>#N/A</v>
      </c>
      <c r="CX450" s="53" t="e">
        <v>#N/A</v>
      </c>
      <c r="CY450" s="53" t="e">
        <v>#N/A</v>
      </c>
      <c r="DE450" s="53" t="e">
        <v>#N/A</v>
      </c>
      <c r="DF450" s="53" t="e">
        <v>#N/A</v>
      </c>
      <c r="DG450" s="53" t="e">
        <v>#N/A</v>
      </c>
      <c r="DH450" s="53" t="e">
        <v>#N/A</v>
      </c>
      <c r="DI450" s="53" t="e">
        <v>#N/A</v>
      </c>
      <c r="DJ450" s="53" t="e">
        <v>#N/A</v>
      </c>
    </row>
    <row r="451" spans="3:114" s="53" customFormat="1" ht="12.75">
      <c r="C451" s="80"/>
      <c r="E451" s="48"/>
      <c r="K451" s="48"/>
      <c r="N451" s="53" t="str">
        <f t="shared" si="72"/>
        <v/>
      </c>
      <c r="O451" s="53" t="str">
        <f t="shared" si="73"/>
        <v>click</v>
      </c>
      <c r="P451" s="53" t="str">
        <f t="shared" si="71"/>
        <v>();</v>
      </c>
      <c r="Q451" s="53" t="str">
        <f t="shared" si="75"/>
        <v/>
      </c>
      <c r="R451" s="53" t="str">
        <f t="shared" si="76"/>
        <v/>
      </c>
      <c r="S451" s="53" t="str">
        <f t="shared" si="74"/>
        <v/>
      </c>
      <c r="CU451" s="53" t="e">
        <v>#N/A</v>
      </c>
      <c r="CV451" s="53" t="e">
        <v>#N/A</v>
      </c>
      <c r="CW451" s="53" t="e">
        <v>#N/A</v>
      </c>
      <c r="CX451" s="53" t="e">
        <v>#N/A</v>
      </c>
      <c r="CY451" s="53" t="e">
        <v>#N/A</v>
      </c>
      <c r="DE451" s="53" t="e">
        <v>#N/A</v>
      </c>
      <c r="DF451" s="53" t="e">
        <v>#N/A</v>
      </c>
      <c r="DG451" s="53" t="e">
        <v>#N/A</v>
      </c>
      <c r="DH451" s="53" t="e">
        <v>#N/A</v>
      </c>
      <c r="DI451" s="53" t="e">
        <v>#N/A</v>
      </c>
      <c r="DJ451" s="53" t="e">
        <v>#N/A</v>
      </c>
    </row>
    <row r="452" spans="3:114" s="53" customFormat="1" ht="12.75">
      <c r="C452" s="80"/>
      <c r="E452" s="48"/>
      <c r="K452" s="48"/>
      <c r="N452" s="53" t="str">
        <f t="shared" si="72"/>
        <v/>
      </c>
      <c r="O452" s="53" t="str">
        <f t="shared" si="73"/>
        <v>click</v>
      </c>
      <c r="P452" s="53" t="str">
        <f t="shared" si="71"/>
        <v>();</v>
      </c>
      <c r="Q452" s="53" t="str">
        <f t="shared" si="75"/>
        <v/>
      </c>
      <c r="R452" s="53" t="str">
        <f t="shared" si="76"/>
        <v/>
      </c>
      <c r="S452" s="53" t="str">
        <f t="shared" si="74"/>
        <v/>
      </c>
      <c r="CU452" s="53" t="e">
        <v>#N/A</v>
      </c>
      <c r="CV452" s="53" t="e">
        <v>#N/A</v>
      </c>
      <c r="CW452" s="53" t="e">
        <v>#N/A</v>
      </c>
      <c r="CX452" s="53" t="e">
        <v>#N/A</v>
      </c>
      <c r="CY452" s="53" t="e">
        <v>#N/A</v>
      </c>
      <c r="DE452" s="53" t="e">
        <v>#N/A</v>
      </c>
      <c r="DF452" s="53" t="e">
        <v>#N/A</v>
      </c>
      <c r="DG452" s="53" t="e">
        <v>#N/A</v>
      </c>
      <c r="DH452" s="53" t="e">
        <v>#N/A</v>
      </c>
      <c r="DI452" s="53" t="e">
        <v>#N/A</v>
      </c>
      <c r="DJ452" s="53" t="e">
        <v>#N/A</v>
      </c>
    </row>
    <row r="453" spans="3:114" s="53" customFormat="1" ht="12.75">
      <c r="C453" s="80"/>
      <c r="E453" s="48"/>
      <c r="K453" s="48"/>
      <c r="N453" s="53" t="str">
        <f t="shared" si="72"/>
        <v/>
      </c>
      <c r="O453" s="53" t="str">
        <f t="shared" si="73"/>
        <v>click</v>
      </c>
      <c r="P453" s="53" t="str">
        <f t="shared" si="71"/>
        <v>();</v>
      </c>
      <c r="R453" s="53" t="str">
        <f>"}]"</f>
        <v>}]</v>
      </c>
    </row>
    <row r="454" spans="3:114" s="53" customFormat="1" ht="12.75">
      <c r="C454" s="80"/>
      <c r="E454" s="48"/>
      <c r="K454" s="48"/>
      <c r="N454" s="53" t="str">
        <f t="shared" si="72"/>
        <v/>
      </c>
      <c r="O454" s="53" t="str">
        <f t="shared" si="73"/>
        <v>click</v>
      </c>
      <c r="P454" s="53" t="str">
        <f t="shared" si="71"/>
        <v>();</v>
      </c>
    </row>
    <row r="455" spans="3:114" s="53" customFormat="1" ht="12.75">
      <c r="C455" s="80"/>
      <c r="E455" s="48"/>
      <c r="K455" s="48"/>
      <c r="N455" s="53" t="str">
        <f t="shared" si="72"/>
        <v/>
      </c>
      <c r="O455" s="53" t="str">
        <f t="shared" si="73"/>
        <v>click</v>
      </c>
      <c r="P455" s="53" t="str">
        <f t="shared" si="71"/>
        <v>();</v>
      </c>
    </row>
    <row r="456" spans="3:114" s="53" customFormat="1" ht="12.75">
      <c r="C456" s="80"/>
      <c r="E456" s="48"/>
      <c r="K456" s="48"/>
      <c r="N456" s="53" t="str">
        <f t="shared" si="72"/>
        <v/>
      </c>
      <c r="O456" s="53" t="str">
        <f t="shared" si="73"/>
        <v>click</v>
      </c>
      <c r="P456" s="53" t="str">
        <f t="shared" si="71"/>
        <v>();</v>
      </c>
    </row>
    <row r="457" spans="3:114" s="53" customFormat="1" ht="12.75">
      <c r="C457" s="80"/>
      <c r="E457" s="48"/>
      <c r="K457" s="48"/>
      <c r="N457" s="53" t="str">
        <f t="shared" ref="N457:N488" si="77">IF(A457="Y",""""&amp;C457&amp;""""&amp;": "&amp;M457&amp;",","")</f>
        <v/>
      </c>
      <c r="O457" s="53" t="str">
        <f t="shared" si="73"/>
        <v>click</v>
      </c>
      <c r="P457" s="53" t="str">
        <f t="shared" si="71"/>
        <v>();</v>
      </c>
    </row>
    <row r="458" spans="3:114" s="53" customFormat="1" ht="12.75">
      <c r="C458" s="80"/>
      <c r="E458" s="48"/>
      <c r="K458" s="48"/>
      <c r="N458" s="53" t="str">
        <f t="shared" si="77"/>
        <v/>
      </c>
      <c r="O458" s="53" t="str">
        <f t="shared" si="73"/>
        <v>click</v>
      </c>
      <c r="P458" s="53" t="str">
        <f t="shared" si="71"/>
        <v>();</v>
      </c>
    </row>
    <row r="459" spans="3:114" s="53" customFormat="1" ht="12.75">
      <c r="C459" s="80"/>
      <c r="E459" s="48"/>
      <c r="K459" s="48"/>
      <c r="N459" s="53" t="str">
        <f t="shared" si="77"/>
        <v/>
      </c>
      <c r="O459" s="53" t="str">
        <f t="shared" si="73"/>
        <v>click</v>
      </c>
      <c r="P459" s="53" t="str">
        <f t="shared" si="71"/>
        <v>();</v>
      </c>
    </row>
    <row r="460" spans="3:114" s="53" customFormat="1" ht="12.75">
      <c r="C460" s="80"/>
      <c r="E460" s="48"/>
      <c r="K460" s="48"/>
      <c r="N460" s="53" t="str">
        <f t="shared" si="77"/>
        <v/>
      </c>
      <c r="O460" s="53" t="str">
        <f t="shared" si="73"/>
        <v>click</v>
      </c>
      <c r="P460" s="53" t="str">
        <f t="shared" ref="P460:P523" si="78">IF(OR(O460="Click",O460="innerText"),"();","("&amp;""""&amp;K460&amp;""""&amp;");")</f>
        <v>();</v>
      </c>
    </row>
    <row r="461" spans="3:114" s="53" customFormat="1" ht="12.75">
      <c r="C461" s="80"/>
      <c r="E461" s="48"/>
      <c r="K461" s="48"/>
      <c r="N461" s="53" t="str">
        <f t="shared" si="77"/>
        <v/>
      </c>
      <c r="O461" s="53" t="str">
        <f t="shared" si="73"/>
        <v>click</v>
      </c>
      <c r="P461" s="53" t="str">
        <f t="shared" si="78"/>
        <v>();</v>
      </c>
    </row>
    <row r="462" spans="3:114" s="53" customFormat="1" ht="12.75">
      <c r="C462" s="80"/>
      <c r="E462" s="48"/>
      <c r="K462" s="48"/>
      <c r="N462" s="53" t="str">
        <f t="shared" si="77"/>
        <v/>
      </c>
      <c r="O462" s="53" t="str">
        <f t="shared" si="73"/>
        <v>click</v>
      </c>
      <c r="P462" s="53" t="str">
        <f t="shared" si="78"/>
        <v>();</v>
      </c>
      <c r="Q462" s="53" t="str">
        <f t="shared" ref="Q462:Q508" si="79">IF(A462="Y",IF(H462&lt;&gt;"Xpath",M462&amp;F462&amp;N462,""""&amp;F462&amp;""""),"")</f>
        <v/>
      </c>
      <c r="R462" s="53" t="str">
        <f t="shared" ref="R462:R508" si="80">IF(C462="Y",""""&amp;E462&amp;""""&amp;":"&amp;Q462&amp;",","")</f>
        <v/>
      </c>
      <c r="S462" s="53" t="str">
        <f t="shared" ref="S462:S508" si="81">IF(O462="innerText",I462&amp;"="&amp;IF(C462="Y",IF(J462&lt;&gt;"Y",$S$9&amp;$R$10&amp;"."&amp;E462&amp;")."&amp;IF(OR(O462="click",O462="innerText"),O462&amp;"();",O462&amp;"("&amp;$Q$9&amp;"."&amp;E462&amp;");"),$S$110&amp;$R$10&amp;"."&amp;E462&amp;")."&amp;IF(O462="click",O462&amp;"();",O462&amp;"("&amp;"'"&amp;K462&amp;"'"&amp;");")),""),IF(C462="Y",IF(J462&lt;&gt;"Y",$S$9&amp;$R$10&amp;"."&amp;E462&amp;")."&amp;IF(OR(O462="click",O462="innerText"),O462&amp;"();",O462&amp;"("&amp;$Q$9&amp;"."&amp;E462&amp;");"),$S$110&amp;$R$10&amp;"."&amp;E462&amp;")."&amp;IF(O462="click",O462&amp;"();",O462&amp;"("&amp;"'"&amp;K462&amp;"'"&amp;");")),""))</f>
        <v/>
      </c>
      <c r="CU462" s="53" t="e">
        <v>#N/A</v>
      </c>
      <c r="CV462" s="53" t="e">
        <v>#N/A</v>
      </c>
      <c r="CW462" s="53" t="e">
        <v>#N/A</v>
      </c>
      <c r="CX462" s="53" t="e">
        <v>#N/A</v>
      </c>
      <c r="CY462" s="53" t="e">
        <v>#N/A</v>
      </c>
      <c r="DE462" s="53" t="e">
        <v>#N/A</v>
      </c>
      <c r="DF462" s="53" t="e">
        <v>#N/A</v>
      </c>
      <c r="DG462" s="53" t="e">
        <v>#N/A</v>
      </c>
      <c r="DH462" s="53" t="e">
        <v>#N/A</v>
      </c>
      <c r="DI462" s="53" t="e">
        <v>#N/A</v>
      </c>
      <c r="DJ462" s="53" t="e">
        <v>#N/A</v>
      </c>
    </row>
    <row r="463" spans="3:114" s="53" customFormat="1" ht="12.75">
      <c r="C463" s="80"/>
      <c r="E463" s="48"/>
      <c r="K463" s="48"/>
      <c r="N463" s="53" t="str">
        <f t="shared" si="77"/>
        <v/>
      </c>
      <c r="O463" s="53" t="str">
        <f t="shared" si="73"/>
        <v>click</v>
      </c>
      <c r="P463" s="53" t="str">
        <f t="shared" si="78"/>
        <v>();</v>
      </c>
      <c r="Q463" s="53" t="str">
        <f t="shared" si="79"/>
        <v/>
      </c>
      <c r="R463" s="53" t="str">
        <f t="shared" si="80"/>
        <v/>
      </c>
      <c r="S463" s="53" t="str">
        <f t="shared" si="81"/>
        <v/>
      </c>
      <c r="CU463" s="53" t="e">
        <v>#N/A</v>
      </c>
      <c r="CV463" s="53" t="e">
        <v>#N/A</v>
      </c>
      <c r="CW463" s="53" t="e">
        <v>#N/A</v>
      </c>
      <c r="CX463" s="53" t="e">
        <v>#N/A</v>
      </c>
      <c r="CY463" s="53" t="e">
        <v>#N/A</v>
      </c>
      <c r="DE463" s="53" t="e">
        <v>#N/A</v>
      </c>
      <c r="DF463" s="53" t="e">
        <v>#N/A</v>
      </c>
      <c r="DG463" s="53" t="e">
        <v>#N/A</v>
      </c>
      <c r="DH463" s="53" t="e">
        <v>#N/A</v>
      </c>
      <c r="DI463" s="53" t="e">
        <v>#N/A</v>
      </c>
      <c r="DJ463" s="53" t="e">
        <v>#N/A</v>
      </c>
    </row>
    <row r="464" spans="3:114" s="53" customFormat="1" ht="12.75">
      <c r="C464" s="80"/>
      <c r="E464" s="48"/>
      <c r="K464" s="48"/>
      <c r="N464" s="53" t="str">
        <f t="shared" si="77"/>
        <v/>
      </c>
      <c r="O464" s="53" t="str">
        <f t="shared" si="73"/>
        <v>click</v>
      </c>
      <c r="P464" s="53" t="str">
        <f t="shared" si="78"/>
        <v>();</v>
      </c>
      <c r="Q464" s="53" t="str">
        <f t="shared" si="79"/>
        <v/>
      </c>
      <c r="R464" s="53" t="str">
        <f t="shared" si="80"/>
        <v/>
      </c>
      <c r="S464" s="53" t="str">
        <f t="shared" si="81"/>
        <v/>
      </c>
      <c r="CU464" s="53" t="e">
        <v>#N/A</v>
      </c>
      <c r="CV464" s="53" t="e">
        <v>#N/A</v>
      </c>
      <c r="CW464" s="53" t="e">
        <v>#N/A</v>
      </c>
      <c r="CX464" s="53" t="e">
        <v>#N/A</v>
      </c>
      <c r="CY464" s="53" t="e">
        <v>#N/A</v>
      </c>
      <c r="DE464" s="53" t="e">
        <v>#N/A</v>
      </c>
      <c r="DF464" s="53" t="e">
        <v>#N/A</v>
      </c>
      <c r="DG464" s="53" t="e">
        <v>#N/A</v>
      </c>
      <c r="DH464" s="53" t="e">
        <v>#N/A</v>
      </c>
      <c r="DI464" s="53" t="e">
        <v>#N/A</v>
      </c>
      <c r="DJ464" s="53" t="e">
        <v>#N/A</v>
      </c>
    </row>
    <row r="465" spans="3:114" s="53" customFormat="1" ht="12.75">
      <c r="C465" s="80"/>
      <c r="E465" s="48"/>
      <c r="K465" s="48"/>
      <c r="N465" s="53" t="str">
        <f t="shared" si="77"/>
        <v/>
      </c>
      <c r="O465" s="53" t="str">
        <f t="shared" si="73"/>
        <v>click</v>
      </c>
      <c r="P465" s="53" t="str">
        <f t="shared" si="78"/>
        <v>();</v>
      </c>
      <c r="Q465" s="53" t="str">
        <f t="shared" si="79"/>
        <v/>
      </c>
      <c r="R465" s="53" t="str">
        <f t="shared" si="80"/>
        <v/>
      </c>
      <c r="S465" s="53" t="str">
        <f t="shared" si="81"/>
        <v/>
      </c>
      <c r="CU465" s="53" t="e">
        <v>#N/A</v>
      </c>
      <c r="CV465" s="53" t="e">
        <v>#N/A</v>
      </c>
      <c r="CW465" s="53" t="e">
        <v>#N/A</v>
      </c>
      <c r="CX465" s="53" t="e">
        <v>#N/A</v>
      </c>
      <c r="CY465" s="53" t="e">
        <v>#N/A</v>
      </c>
      <c r="DE465" s="53" t="e">
        <v>#N/A</v>
      </c>
      <c r="DF465" s="53" t="e">
        <v>#N/A</v>
      </c>
      <c r="DG465" s="53" t="e">
        <v>#N/A</v>
      </c>
      <c r="DH465" s="53" t="e">
        <v>#N/A</v>
      </c>
      <c r="DI465" s="53" t="e">
        <v>#N/A</v>
      </c>
      <c r="DJ465" s="53" t="e">
        <v>#N/A</v>
      </c>
    </row>
    <row r="466" spans="3:114" s="53" customFormat="1" ht="12.75">
      <c r="C466" s="80"/>
      <c r="E466" s="48"/>
      <c r="K466" s="48"/>
      <c r="N466" s="53" t="str">
        <f t="shared" si="77"/>
        <v/>
      </c>
      <c r="O466" s="53" t="str">
        <f t="shared" si="73"/>
        <v>click</v>
      </c>
      <c r="P466" s="53" t="str">
        <f t="shared" si="78"/>
        <v>();</v>
      </c>
      <c r="Q466" s="53" t="str">
        <f t="shared" si="79"/>
        <v/>
      </c>
      <c r="R466" s="53" t="str">
        <f t="shared" si="80"/>
        <v/>
      </c>
      <c r="S466" s="53" t="str">
        <f t="shared" si="81"/>
        <v/>
      </c>
      <c r="CU466" s="53" t="e">
        <v>#N/A</v>
      </c>
      <c r="CV466" s="53" t="e">
        <v>#N/A</v>
      </c>
      <c r="CW466" s="53" t="e">
        <v>#N/A</v>
      </c>
      <c r="CX466" s="53" t="e">
        <v>#N/A</v>
      </c>
      <c r="CY466" s="53" t="e">
        <v>#N/A</v>
      </c>
      <c r="DE466" s="53" t="e">
        <v>#N/A</v>
      </c>
      <c r="DF466" s="53" t="e">
        <v>#N/A</v>
      </c>
      <c r="DG466" s="53" t="e">
        <v>#N/A</v>
      </c>
      <c r="DH466" s="53" t="e">
        <v>#N/A</v>
      </c>
      <c r="DI466" s="53" t="e">
        <v>#N/A</v>
      </c>
      <c r="DJ466" s="53" t="e">
        <v>#N/A</v>
      </c>
    </row>
    <row r="467" spans="3:114" s="53" customFormat="1" ht="12.75">
      <c r="C467" s="80"/>
      <c r="E467" s="48"/>
      <c r="K467" s="48"/>
      <c r="N467" s="53" t="str">
        <f t="shared" si="77"/>
        <v/>
      </c>
      <c r="O467" s="53" t="str">
        <f t="shared" si="73"/>
        <v>click</v>
      </c>
      <c r="P467" s="53" t="str">
        <f t="shared" si="78"/>
        <v>();</v>
      </c>
      <c r="Q467" s="53" t="str">
        <f t="shared" si="79"/>
        <v/>
      </c>
      <c r="R467" s="53" t="str">
        <f t="shared" si="80"/>
        <v/>
      </c>
      <c r="S467" s="53" t="str">
        <f t="shared" si="81"/>
        <v/>
      </c>
      <c r="CU467" s="53" t="e">
        <v>#N/A</v>
      </c>
      <c r="CV467" s="53" t="e">
        <v>#N/A</v>
      </c>
      <c r="CW467" s="53" t="e">
        <v>#N/A</v>
      </c>
      <c r="CX467" s="53" t="e">
        <v>#N/A</v>
      </c>
      <c r="CY467" s="53" t="e">
        <v>#N/A</v>
      </c>
      <c r="DE467" s="53" t="e">
        <v>#N/A</v>
      </c>
      <c r="DF467" s="53" t="e">
        <v>#N/A</v>
      </c>
      <c r="DG467" s="53" t="e">
        <v>#N/A</v>
      </c>
      <c r="DH467" s="53" t="e">
        <v>#N/A</v>
      </c>
      <c r="DI467" s="53" t="e">
        <v>#N/A</v>
      </c>
      <c r="DJ467" s="53" t="e">
        <v>#N/A</v>
      </c>
    </row>
    <row r="468" spans="3:114" s="53" customFormat="1" ht="12.75">
      <c r="C468" s="80"/>
      <c r="E468" s="48"/>
      <c r="K468" s="48"/>
      <c r="N468" s="53" t="str">
        <f t="shared" si="77"/>
        <v/>
      </c>
      <c r="O468" s="53" t="str">
        <f t="shared" si="73"/>
        <v>click</v>
      </c>
      <c r="P468" s="53" t="str">
        <f t="shared" si="78"/>
        <v>();</v>
      </c>
      <c r="Q468" s="53" t="str">
        <f t="shared" si="79"/>
        <v/>
      </c>
      <c r="R468" s="53" t="str">
        <f t="shared" si="80"/>
        <v/>
      </c>
      <c r="S468" s="53" t="str">
        <f t="shared" si="81"/>
        <v/>
      </c>
      <c r="CU468" s="53" t="e">
        <v>#N/A</v>
      </c>
      <c r="CV468" s="53" t="e">
        <v>#N/A</v>
      </c>
      <c r="CW468" s="53" t="e">
        <v>#N/A</v>
      </c>
      <c r="CX468" s="53" t="e">
        <v>#N/A</v>
      </c>
      <c r="CY468" s="53" t="e">
        <v>#N/A</v>
      </c>
      <c r="DE468" s="53" t="e">
        <v>#N/A</v>
      </c>
      <c r="DF468" s="53" t="e">
        <v>#N/A</v>
      </c>
      <c r="DG468" s="53" t="e">
        <v>#N/A</v>
      </c>
      <c r="DH468" s="53" t="e">
        <v>#N/A</v>
      </c>
      <c r="DI468" s="53" t="e">
        <v>#N/A</v>
      </c>
      <c r="DJ468" s="53" t="e">
        <v>#N/A</v>
      </c>
    </row>
    <row r="469" spans="3:114" s="53" customFormat="1" ht="12.75">
      <c r="C469" s="80"/>
      <c r="E469" s="48"/>
      <c r="K469" s="48"/>
      <c r="N469" s="53" t="str">
        <f t="shared" si="77"/>
        <v/>
      </c>
      <c r="O469" s="53" t="str">
        <f t="shared" si="73"/>
        <v>click</v>
      </c>
      <c r="P469" s="53" t="str">
        <f t="shared" si="78"/>
        <v>();</v>
      </c>
      <c r="Q469" s="53" t="str">
        <f t="shared" si="79"/>
        <v/>
      </c>
      <c r="R469" s="53" t="str">
        <f t="shared" si="80"/>
        <v/>
      </c>
      <c r="S469" s="53" t="str">
        <f t="shared" si="81"/>
        <v/>
      </c>
      <c r="CU469" s="53" t="e">
        <v>#N/A</v>
      </c>
      <c r="CV469" s="53" t="e">
        <v>#N/A</v>
      </c>
      <c r="CW469" s="53" t="e">
        <v>#N/A</v>
      </c>
      <c r="CX469" s="53" t="e">
        <v>#N/A</v>
      </c>
      <c r="CY469" s="53" t="e">
        <v>#N/A</v>
      </c>
      <c r="DE469" s="53" t="e">
        <v>#N/A</v>
      </c>
      <c r="DF469" s="53" t="e">
        <v>#N/A</v>
      </c>
      <c r="DG469" s="53" t="e">
        <v>#N/A</v>
      </c>
      <c r="DH469" s="53" t="e">
        <v>#N/A</v>
      </c>
      <c r="DI469" s="53" t="e">
        <v>#N/A</v>
      </c>
      <c r="DJ469" s="53" t="e">
        <v>#N/A</v>
      </c>
    </row>
    <row r="470" spans="3:114" s="53" customFormat="1" ht="12.75">
      <c r="C470" s="80"/>
      <c r="E470" s="48"/>
      <c r="K470" s="48"/>
      <c r="N470" s="53" t="str">
        <f t="shared" si="77"/>
        <v/>
      </c>
      <c r="O470" s="53" t="str">
        <f t="shared" si="73"/>
        <v>click</v>
      </c>
      <c r="P470" s="53" t="str">
        <f t="shared" si="78"/>
        <v>();</v>
      </c>
      <c r="Q470" s="53" t="str">
        <f t="shared" si="79"/>
        <v/>
      </c>
      <c r="R470" s="53" t="str">
        <f t="shared" si="80"/>
        <v/>
      </c>
      <c r="S470" s="53" t="str">
        <f t="shared" si="81"/>
        <v/>
      </c>
      <c r="CU470" s="53" t="e">
        <v>#N/A</v>
      </c>
      <c r="CV470" s="53" t="e">
        <v>#N/A</v>
      </c>
      <c r="CW470" s="53" t="e">
        <v>#N/A</v>
      </c>
      <c r="CX470" s="53" t="e">
        <v>#N/A</v>
      </c>
      <c r="CY470" s="53" t="e">
        <v>#N/A</v>
      </c>
      <c r="DE470" s="53" t="e">
        <v>#N/A</v>
      </c>
      <c r="DF470" s="53" t="e">
        <v>#N/A</v>
      </c>
      <c r="DG470" s="53" t="e">
        <v>#N/A</v>
      </c>
      <c r="DH470" s="53" t="e">
        <v>#N/A</v>
      </c>
      <c r="DI470" s="53" t="e">
        <v>#N/A</v>
      </c>
      <c r="DJ470" s="53" t="e">
        <v>#N/A</v>
      </c>
    </row>
    <row r="471" spans="3:114" s="53" customFormat="1" ht="12.75">
      <c r="C471" s="80"/>
      <c r="E471" s="48"/>
      <c r="K471" s="48"/>
      <c r="N471" s="53" t="str">
        <f t="shared" si="77"/>
        <v/>
      </c>
      <c r="O471" s="53" t="str">
        <f t="shared" si="73"/>
        <v>click</v>
      </c>
      <c r="P471" s="53" t="str">
        <f t="shared" si="78"/>
        <v>();</v>
      </c>
      <c r="Q471" s="53" t="str">
        <f t="shared" si="79"/>
        <v/>
      </c>
      <c r="R471" s="53" t="str">
        <f t="shared" si="80"/>
        <v/>
      </c>
      <c r="S471" s="53" t="str">
        <f t="shared" si="81"/>
        <v/>
      </c>
      <c r="CU471" s="53" t="e">
        <v>#N/A</v>
      </c>
      <c r="CV471" s="53" t="e">
        <v>#N/A</v>
      </c>
      <c r="CW471" s="53" t="e">
        <v>#N/A</v>
      </c>
      <c r="CX471" s="53" t="e">
        <v>#N/A</v>
      </c>
      <c r="CY471" s="53" t="e">
        <v>#N/A</v>
      </c>
      <c r="DE471" s="53" t="e">
        <v>#N/A</v>
      </c>
      <c r="DF471" s="53" t="e">
        <v>#N/A</v>
      </c>
      <c r="DG471" s="53" t="e">
        <v>#N/A</v>
      </c>
      <c r="DH471" s="53" t="e">
        <v>#N/A</v>
      </c>
      <c r="DI471" s="53" t="e">
        <v>#N/A</v>
      </c>
      <c r="DJ471" s="53" t="e">
        <v>#N/A</v>
      </c>
    </row>
    <row r="472" spans="3:114" s="53" customFormat="1" ht="12.75">
      <c r="C472" s="80"/>
      <c r="E472" s="48"/>
      <c r="K472" s="48"/>
      <c r="N472" s="53" t="str">
        <f t="shared" si="77"/>
        <v/>
      </c>
      <c r="O472" s="53" t="str">
        <f t="shared" si="73"/>
        <v>click</v>
      </c>
      <c r="P472" s="53" t="str">
        <f t="shared" si="78"/>
        <v>();</v>
      </c>
      <c r="Q472" s="53" t="str">
        <f t="shared" si="79"/>
        <v/>
      </c>
      <c r="R472" s="53" t="str">
        <f t="shared" si="80"/>
        <v/>
      </c>
      <c r="S472" s="53" t="str">
        <f t="shared" si="81"/>
        <v/>
      </c>
      <c r="CU472" s="53" t="e">
        <v>#N/A</v>
      </c>
      <c r="CV472" s="53" t="e">
        <v>#N/A</v>
      </c>
      <c r="CW472" s="53" t="e">
        <v>#N/A</v>
      </c>
      <c r="CX472" s="53" t="e">
        <v>#N/A</v>
      </c>
      <c r="CY472" s="53" t="e">
        <v>#N/A</v>
      </c>
      <c r="DE472" s="53" t="e">
        <v>#N/A</v>
      </c>
      <c r="DF472" s="53" t="e">
        <v>#N/A</v>
      </c>
      <c r="DG472" s="53" t="e">
        <v>#N/A</v>
      </c>
      <c r="DH472" s="53" t="e">
        <v>#N/A</v>
      </c>
      <c r="DI472" s="53" t="e">
        <v>#N/A</v>
      </c>
      <c r="DJ472" s="53" t="e">
        <v>#N/A</v>
      </c>
    </row>
    <row r="473" spans="3:114" s="53" customFormat="1" ht="12.75">
      <c r="C473" s="80"/>
      <c r="E473" s="48"/>
      <c r="K473" s="48"/>
      <c r="N473" s="53" t="str">
        <f t="shared" si="77"/>
        <v/>
      </c>
      <c r="O473" s="53" t="str">
        <f t="shared" si="73"/>
        <v>click</v>
      </c>
      <c r="P473" s="53" t="str">
        <f t="shared" si="78"/>
        <v>();</v>
      </c>
      <c r="Q473" s="53" t="str">
        <f t="shared" si="79"/>
        <v/>
      </c>
      <c r="R473" s="53" t="str">
        <f t="shared" si="80"/>
        <v/>
      </c>
      <c r="S473" s="53" t="str">
        <f t="shared" si="81"/>
        <v/>
      </c>
      <c r="CU473" s="53" t="e">
        <v>#N/A</v>
      </c>
      <c r="CV473" s="53" t="e">
        <v>#N/A</v>
      </c>
      <c r="CW473" s="53" t="e">
        <v>#N/A</v>
      </c>
      <c r="CX473" s="53" t="e">
        <v>#N/A</v>
      </c>
      <c r="CY473" s="53" t="e">
        <v>#N/A</v>
      </c>
      <c r="DE473" s="53" t="e">
        <v>#N/A</v>
      </c>
      <c r="DF473" s="53" t="e">
        <v>#N/A</v>
      </c>
      <c r="DG473" s="53" t="e">
        <v>#N/A</v>
      </c>
      <c r="DH473" s="53" t="e">
        <v>#N/A</v>
      </c>
      <c r="DI473" s="53" t="e">
        <v>#N/A</v>
      </c>
      <c r="DJ473" s="53" t="e">
        <v>#N/A</v>
      </c>
    </row>
    <row r="474" spans="3:114" s="53" customFormat="1" ht="12.75">
      <c r="C474" s="80"/>
      <c r="E474" s="48"/>
      <c r="K474" s="48"/>
      <c r="N474" s="53" t="str">
        <f t="shared" si="77"/>
        <v/>
      </c>
      <c r="O474" s="53" t="str">
        <f t="shared" si="73"/>
        <v>click</v>
      </c>
      <c r="P474" s="53" t="str">
        <f t="shared" si="78"/>
        <v>();</v>
      </c>
      <c r="Q474" s="53" t="str">
        <f t="shared" si="79"/>
        <v/>
      </c>
      <c r="R474" s="53" t="str">
        <f t="shared" si="80"/>
        <v/>
      </c>
      <c r="S474" s="53" t="str">
        <f t="shared" si="81"/>
        <v/>
      </c>
      <c r="CU474" s="53" t="e">
        <v>#N/A</v>
      </c>
      <c r="CV474" s="53" t="e">
        <v>#N/A</v>
      </c>
      <c r="CW474" s="53" t="e">
        <v>#N/A</v>
      </c>
      <c r="CX474" s="53" t="e">
        <v>#N/A</v>
      </c>
      <c r="CY474" s="53" t="e">
        <v>#N/A</v>
      </c>
      <c r="DE474" s="53" t="e">
        <v>#N/A</v>
      </c>
      <c r="DF474" s="53" t="e">
        <v>#N/A</v>
      </c>
      <c r="DG474" s="53" t="e">
        <v>#N/A</v>
      </c>
      <c r="DH474" s="53" t="e">
        <v>#N/A</v>
      </c>
      <c r="DI474" s="53" t="e">
        <v>#N/A</v>
      </c>
      <c r="DJ474" s="53" t="e">
        <v>#N/A</v>
      </c>
    </row>
    <row r="475" spans="3:114" s="53" customFormat="1" ht="12.75">
      <c r="C475" s="80"/>
      <c r="E475" s="48"/>
      <c r="K475" s="48"/>
      <c r="N475" s="53" t="str">
        <f t="shared" si="77"/>
        <v/>
      </c>
      <c r="O475" s="53" t="str">
        <f t="shared" si="73"/>
        <v>click</v>
      </c>
      <c r="P475" s="53" t="str">
        <f t="shared" si="78"/>
        <v>();</v>
      </c>
      <c r="Q475" s="53" t="str">
        <f t="shared" si="79"/>
        <v/>
      </c>
      <c r="R475" s="53" t="str">
        <f t="shared" si="80"/>
        <v/>
      </c>
      <c r="S475" s="53" t="str">
        <f t="shared" si="81"/>
        <v/>
      </c>
      <c r="CU475" s="53" t="e">
        <v>#N/A</v>
      </c>
      <c r="CV475" s="53" t="e">
        <v>#N/A</v>
      </c>
      <c r="CW475" s="53" t="e">
        <v>#N/A</v>
      </c>
      <c r="CX475" s="53" t="e">
        <v>#N/A</v>
      </c>
      <c r="CY475" s="53" t="e">
        <v>#N/A</v>
      </c>
      <c r="DE475" s="53" t="e">
        <v>#N/A</v>
      </c>
      <c r="DF475" s="53" t="e">
        <v>#N/A</v>
      </c>
      <c r="DG475" s="53" t="e">
        <v>#N/A</v>
      </c>
      <c r="DH475" s="53" t="e">
        <v>#N/A</v>
      </c>
      <c r="DI475" s="53" t="e">
        <v>#N/A</v>
      </c>
      <c r="DJ475" s="53" t="e">
        <v>#N/A</v>
      </c>
    </row>
    <row r="476" spans="3:114" s="53" customFormat="1" ht="12.75">
      <c r="C476" s="80"/>
      <c r="E476" s="48"/>
      <c r="K476" s="48"/>
      <c r="N476" s="53" t="str">
        <f t="shared" si="77"/>
        <v/>
      </c>
      <c r="O476" s="53" t="str">
        <f t="shared" si="73"/>
        <v>click</v>
      </c>
      <c r="P476" s="53" t="str">
        <f t="shared" si="78"/>
        <v>();</v>
      </c>
      <c r="Q476" s="53" t="str">
        <f t="shared" si="79"/>
        <v/>
      </c>
      <c r="R476" s="53" t="str">
        <f t="shared" si="80"/>
        <v/>
      </c>
      <c r="S476" s="53" t="str">
        <f t="shared" si="81"/>
        <v/>
      </c>
      <c r="CU476" s="53" t="e">
        <v>#N/A</v>
      </c>
      <c r="CV476" s="53" t="e">
        <v>#N/A</v>
      </c>
      <c r="CW476" s="53" t="e">
        <v>#N/A</v>
      </c>
      <c r="CX476" s="53" t="e">
        <v>#N/A</v>
      </c>
      <c r="CY476" s="53" t="e">
        <v>#N/A</v>
      </c>
      <c r="DE476" s="53" t="e">
        <v>#N/A</v>
      </c>
      <c r="DF476" s="53" t="e">
        <v>#N/A</v>
      </c>
      <c r="DG476" s="53" t="e">
        <v>#N/A</v>
      </c>
      <c r="DH476" s="53" t="e">
        <v>#N/A</v>
      </c>
      <c r="DI476" s="53" t="e">
        <v>#N/A</v>
      </c>
      <c r="DJ476" s="53" t="e">
        <v>#N/A</v>
      </c>
    </row>
    <row r="477" spans="3:114" s="53" customFormat="1" ht="12.75">
      <c r="C477" s="80"/>
      <c r="E477" s="48"/>
      <c r="K477" s="48"/>
      <c r="N477" s="53" t="str">
        <f t="shared" si="77"/>
        <v/>
      </c>
      <c r="O477" s="53" t="str">
        <f t="shared" si="73"/>
        <v>click</v>
      </c>
      <c r="P477" s="53" t="str">
        <f t="shared" si="78"/>
        <v>();</v>
      </c>
      <c r="Q477" s="53" t="str">
        <f t="shared" si="79"/>
        <v/>
      </c>
      <c r="R477" s="53" t="str">
        <f t="shared" si="80"/>
        <v/>
      </c>
      <c r="S477" s="53" t="str">
        <f t="shared" si="81"/>
        <v/>
      </c>
      <c r="CU477" s="53" t="e">
        <v>#N/A</v>
      </c>
      <c r="CV477" s="53" t="e">
        <v>#N/A</v>
      </c>
      <c r="CW477" s="53" t="e">
        <v>#N/A</v>
      </c>
      <c r="CX477" s="53" t="e">
        <v>#N/A</v>
      </c>
      <c r="CY477" s="53" t="e">
        <v>#N/A</v>
      </c>
      <c r="DE477" s="53" t="e">
        <v>#N/A</v>
      </c>
      <c r="DF477" s="53" t="e">
        <v>#N/A</v>
      </c>
      <c r="DG477" s="53" t="e">
        <v>#N/A</v>
      </c>
      <c r="DH477" s="53" t="e">
        <v>#N/A</v>
      </c>
      <c r="DI477" s="53" t="e">
        <v>#N/A</v>
      </c>
      <c r="DJ477" s="53" t="e">
        <v>#N/A</v>
      </c>
    </row>
    <row r="478" spans="3:114" s="53" customFormat="1" ht="12.75">
      <c r="C478" s="80"/>
      <c r="E478" s="48"/>
      <c r="K478" s="48"/>
      <c r="N478" s="53" t="str">
        <f t="shared" si="77"/>
        <v/>
      </c>
      <c r="O478" s="53" t="str">
        <f t="shared" si="73"/>
        <v>click</v>
      </c>
      <c r="P478" s="53" t="str">
        <f t="shared" si="78"/>
        <v>();</v>
      </c>
      <c r="Q478" s="53" t="str">
        <f t="shared" si="79"/>
        <v/>
      </c>
      <c r="R478" s="53" t="str">
        <f t="shared" si="80"/>
        <v/>
      </c>
      <c r="S478" s="53" t="str">
        <f t="shared" si="81"/>
        <v/>
      </c>
      <c r="CU478" s="53" t="e">
        <v>#N/A</v>
      </c>
      <c r="CV478" s="53" t="e">
        <v>#N/A</v>
      </c>
      <c r="CW478" s="53" t="e">
        <v>#N/A</v>
      </c>
      <c r="CX478" s="53" t="e">
        <v>#N/A</v>
      </c>
      <c r="CY478" s="53" t="e">
        <v>#N/A</v>
      </c>
      <c r="DE478" s="53" t="e">
        <v>#N/A</v>
      </c>
      <c r="DF478" s="53" t="e">
        <v>#N/A</v>
      </c>
      <c r="DG478" s="53" t="e">
        <v>#N/A</v>
      </c>
      <c r="DH478" s="53" t="e">
        <v>#N/A</v>
      </c>
      <c r="DI478" s="53" t="e">
        <v>#N/A</v>
      </c>
      <c r="DJ478" s="53" t="e">
        <v>#N/A</v>
      </c>
    </row>
    <row r="479" spans="3:114" s="53" customFormat="1" ht="12.75">
      <c r="C479" s="80"/>
      <c r="E479" s="48"/>
      <c r="K479" s="48"/>
      <c r="N479" s="53" t="str">
        <f t="shared" si="77"/>
        <v/>
      </c>
      <c r="O479" s="53" t="str">
        <f t="shared" si="73"/>
        <v>click</v>
      </c>
      <c r="P479" s="53" t="str">
        <f t="shared" si="78"/>
        <v>();</v>
      </c>
      <c r="Q479" s="53" t="str">
        <f t="shared" si="79"/>
        <v/>
      </c>
      <c r="R479" s="53" t="str">
        <f t="shared" si="80"/>
        <v/>
      </c>
      <c r="S479" s="53" t="str">
        <f t="shared" si="81"/>
        <v/>
      </c>
      <c r="CU479" s="53" t="e">
        <v>#N/A</v>
      </c>
      <c r="CV479" s="53" t="e">
        <v>#N/A</v>
      </c>
      <c r="CW479" s="53" t="e">
        <v>#N/A</v>
      </c>
      <c r="CX479" s="53" t="e">
        <v>#N/A</v>
      </c>
      <c r="CY479" s="53" t="e">
        <v>#N/A</v>
      </c>
      <c r="DE479" s="53" t="e">
        <v>#N/A</v>
      </c>
      <c r="DF479" s="53" t="e">
        <v>#N/A</v>
      </c>
      <c r="DG479" s="53" t="e">
        <v>#N/A</v>
      </c>
      <c r="DH479" s="53" t="e">
        <v>#N/A</v>
      </c>
      <c r="DI479" s="53" t="e">
        <v>#N/A</v>
      </c>
      <c r="DJ479" s="53" t="e">
        <v>#N/A</v>
      </c>
    </row>
    <row r="480" spans="3:114" s="53" customFormat="1" ht="12.75">
      <c r="C480" s="80"/>
      <c r="E480" s="48"/>
      <c r="K480" s="48"/>
      <c r="N480" s="53" t="str">
        <f t="shared" si="77"/>
        <v/>
      </c>
      <c r="O480" s="53" t="str">
        <f t="shared" si="73"/>
        <v>click</v>
      </c>
      <c r="P480" s="53" t="str">
        <f t="shared" si="78"/>
        <v>();</v>
      </c>
      <c r="Q480" s="53" t="str">
        <f t="shared" si="79"/>
        <v/>
      </c>
      <c r="R480" s="53" t="str">
        <f t="shared" si="80"/>
        <v/>
      </c>
      <c r="S480" s="53" t="str">
        <f t="shared" si="81"/>
        <v/>
      </c>
      <c r="CU480" s="53" t="e">
        <v>#N/A</v>
      </c>
      <c r="CV480" s="53" t="e">
        <v>#N/A</v>
      </c>
      <c r="CW480" s="53" t="e">
        <v>#N/A</v>
      </c>
      <c r="CX480" s="53" t="e">
        <v>#N/A</v>
      </c>
      <c r="CY480" s="53" t="e">
        <v>#N/A</v>
      </c>
      <c r="DE480" s="53" t="e">
        <v>#N/A</v>
      </c>
      <c r="DF480" s="53" t="e">
        <v>#N/A</v>
      </c>
      <c r="DG480" s="53" t="e">
        <v>#N/A</v>
      </c>
      <c r="DH480" s="53" t="e">
        <v>#N/A</v>
      </c>
      <c r="DI480" s="53" t="e">
        <v>#N/A</v>
      </c>
      <c r="DJ480" s="53" t="e">
        <v>#N/A</v>
      </c>
    </row>
    <row r="481" spans="3:114" s="53" customFormat="1" ht="12.75">
      <c r="C481" s="80"/>
      <c r="E481" s="48"/>
      <c r="K481" s="48"/>
      <c r="N481" s="53" t="str">
        <f t="shared" si="77"/>
        <v/>
      </c>
      <c r="O481" s="53" t="str">
        <f t="shared" si="73"/>
        <v>click</v>
      </c>
      <c r="P481" s="53" t="str">
        <f t="shared" si="78"/>
        <v>();</v>
      </c>
      <c r="Q481" s="53" t="str">
        <f t="shared" si="79"/>
        <v/>
      </c>
      <c r="R481" s="53" t="str">
        <f t="shared" si="80"/>
        <v/>
      </c>
      <c r="S481" s="53" t="str">
        <f t="shared" si="81"/>
        <v/>
      </c>
      <c r="CU481" s="53" t="e">
        <v>#N/A</v>
      </c>
      <c r="CV481" s="53" t="e">
        <v>#N/A</v>
      </c>
      <c r="CW481" s="53" t="e">
        <v>#N/A</v>
      </c>
      <c r="CX481" s="53" t="e">
        <v>#N/A</v>
      </c>
      <c r="CY481" s="53" t="e">
        <v>#N/A</v>
      </c>
      <c r="DE481" s="53" t="e">
        <v>#N/A</v>
      </c>
      <c r="DF481" s="53" t="e">
        <v>#N/A</v>
      </c>
      <c r="DG481" s="53" t="e">
        <v>#N/A</v>
      </c>
      <c r="DH481" s="53" t="e">
        <v>#N/A</v>
      </c>
      <c r="DI481" s="53" t="e">
        <v>#N/A</v>
      </c>
      <c r="DJ481" s="53" t="e">
        <v>#N/A</v>
      </c>
    </row>
    <row r="482" spans="3:114" s="53" customFormat="1" ht="12.75">
      <c r="C482" s="80"/>
      <c r="E482" s="48"/>
      <c r="K482" s="48"/>
      <c r="N482" s="53" t="str">
        <f t="shared" si="77"/>
        <v/>
      </c>
      <c r="O482" s="53" t="str">
        <f t="shared" si="73"/>
        <v>click</v>
      </c>
      <c r="P482" s="53" t="str">
        <f t="shared" si="78"/>
        <v>();</v>
      </c>
      <c r="Q482" s="53" t="str">
        <f t="shared" si="79"/>
        <v/>
      </c>
      <c r="R482" s="53" t="str">
        <f t="shared" si="80"/>
        <v/>
      </c>
      <c r="S482" s="53" t="str">
        <f t="shared" si="81"/>
        <v/>
      </c>
      <c r="CU482" s="53" t="e">
        <v>#N/A</v>
      </c>
      <c r="CV482" s="53" t="e">
        <v>#N/A</v>
      </c>
      <c r="CW482" s="53" t="e">
        <v>#N/A</v>
      </c>
      <c r="CX482" s="53" t="e">
        <v>#N/A</v>
      </c>
      <c r="CY482" s="53" t="e">
        <v>#N/A</v>
      </c>
      <c r="DE482" s="53" t="e">
        <v>#N/A</v>
      </c>
      <c r="DF482" s="53" t="e">
        <v>#N/A</v>
      </c>
      <c r="DG482" s="53" t="e">
        <v>#N/A</v>
      </c>
      <c r="DH482" s="53" t="e">
        <v>#N/A</v>
      </c>
      <c r="DI482" s="53" t="e">
        <v>#N/A</v>
      </c>
      <c r="DJ482" s="53" t="e">
        <v>#N/A</v>
      </c>
    </row>
    <row r="483" spans="3:114" s="53" customFormat="1" ht="12.75">
      <c r="C483" s="80"/>
      <c r="E483" s="48"/>
      <c r="K483" s="48"/>
      <c r="N483" s="53" t="str">
        <f t="shared" si="77"/>
        <v/>
      </c>
      <c r="O483" s="53" t="str">
        <f t="shared" si="73"/>
        <v>click</v>
      </c>
      <c r="P483" s="53" t="str">
        <f t="shared" si="78"/>
        <v>();</v>
      </c>
      <c r="Q483" s="53" t="str">
        <f t="shared" si="79"/>
        <v/>
      </c>
      <c r="R483" s="53" t="str">
        <f t="shared" si="80"/>
        <v/>
      </c>
      <c r="S483" s="53" t="str">
        <f t="shared" si="81"/>
        <v/>
      </c>
      <c r="CU483" s="53" t="e">
        <v>#N/A</v>
      </c>
      <c r="CV483" s="53" t="e">
        <v>#N/A</v>
      </c>
      <c r="CW483" s="53" t="e">
        <v>#N/A</v>
      </c>
      <c r="CX483" s="53" t="e">
        <v>#N/A</v>
      </c>
      <c r="CY483" s="53" t="e">
        <v>#N/A</v>
      </c>
      <c r="DE483" s="53" t="e">
        <v>#N/A</v>
      </c>
      <c r="DF483" s="53" t="e">
        <v>#N/A</v>
      </c>
      <c r="DG483" s="53" t="e">
        <v>#N/A</v>
      </c>
      <c r="DH483" s="53" t="e">
        <v>#N/A</v>
      </c>
      <c r="DI483" s="53" t="e">
        <v>#N/A</v>
      </c>
      <c r="DJ483" s="53" t="e">
        <v>#N/A</v>
      </c>
    </row>
    <row r="484" spans="3:114" s="53" customFormat="1" ht="12.75">
      <c r="C484" s="80"/>
      <c r="E484" s="48"/>
      <c r="K484" s="48"/>
      <c r="N484" s="53" t="str">
        <f t="shared" si="77"/>
        <v/>
      </c>
      <c r="O484" s="53" t="str">
        <f t="shared" si="73"/>
        <v>click</v>
      </c>
      <c r="P484" s="53" t="str">
        <f t="shared" si="78"/>
        <v>();</v>
      </c>
      <c r="Q484" s="53" t="str">
        <f t="shared" si="79"/>
        <v/>
      </c>
      <c r="R484" s="53" t="str">
        <f t="shared" si="80"/>
        <v/>
      </c>
      <c r="S484" s="53" t="str">
        <f t="shared" si="81"/>
        <v/>
      </c>
      <c r="CU484" s="53" t="e">
        <v>#N/A</v>
      </c>
      <c r="CV484" s="53" t="e">
        <v>#N/A</v>
      </c>
      <c r="CW484" s="53" t="e">
        <v>#N/A</v>
      </c>
      <c r="CX484" s="53" t="e">
        <v>#N/A</v>
      </c>
      <c r="CY484" s="53" t="e">
        <v>#N/A</v>
      </c>
      <c r="DE484" s="53" t="e">
        <v>#N/A</v>
      </c>
      <c r="DF484" s="53" t="e">
        <v>#N/A</v>
      </c>
      <c r="DG484" s="53" t="e">
        <v>#N/A</v>
      </c>
      <c r="DH484" s="53" t="e">
        <v>#N/A</v>
      </c>
      <c r="DI484" s="53" t="e">
        <v>#N/A</v>
      </c>
      <c r="DJ484" s="53" t="e">
        <v>#N/A</v>
      </c>
    </row>
    <row r="485" spans="3:114" s="53" customFormat="1" ht="12.75">
      <c r="C485" s="80"/>
      <c r="E485" s="48"/>
      <c r="K485" s="48"/>
      <c r="N485" s="53" t="str">
        <f t="shared" si="77"/>
        <v/>
      </c>
      <c r="O485" s="53" t="str">
        <f t="shared" si="73"/>
        <v>click</v>
      </c>
      <c r="P485" s="53" t="str">
        <f t="shared" si="78"/>
        <v>();</v>
      </c>
      <c r="Q485" s="53" t="str">
        <f t="shared" si="79"/>
        <v/>
      </c>
      <c r="R485" s="53" t="str">
        <f t="shared" si="80"/>
        <v/>
      </c>
      <c r="S485" s="53" t="str">
        <f t="shared" si="81"/>
        <v/>
      </c>
      <c r="CU485" s="53" t="e">
        <v>#N/A</v>
      </c>
      <c r="CV485" s="53" t="e">
        <v>#N/A</v>
      </c>
      <c r="CW485" s="53" t="e">
        <v>#N/A</v>
      </c>
      <c r="CX485" s="53" t="e">
        <v>#N/A</v>
      </c>
      <c r="CY485" s="53" t="e">
        <v>#N/A</v>
      </c>
      <c r="DE485" s="53" t="e">
        <v>#N/A</v>
      </c>
      <c r="DF485" s="53" t="e">
        <v>#N/A</v>
      </c>
      <c r="DG485" s="53" t="e">
        <v>#N/A</v>
      </c>
      <c r="DH485" s="53" t="e">
        <v>#N/A</v>
      </c>
      <c r="DI485" s="53" t="e">
        <v>#N/A</v>
      </c>
      <c r="DJ485" s="53" t="e">
        <v>#N/A</v>
      </c>
    </row>
    <row r="486" spans="3:114" s="53" customFormat="1" ht="12.75">
      <c r="C486" s="80"/>
      <c r="E486" s="48"/>
      <c r="K486" s="48"/>
      <c r="N486" s="53" t="str">
        <f t="shared" si="77"/>
        <v/>
      </c>
      <c r="O486" s="53" t="str">
        <f t="shared" si="73"/>
        <v>click</v>
      </c>
      <c r="P486" s="53" t="str">
        <f t="shared" si="78"/>
        <v>();</v>
      </c>
      <c r="Q486" s="53" t="str">
        <f t="shared" si="79"/>
        <v/>
      </c>
      <c r="R486" s="53" t="str">
        <f t="shared" si="80"/>
        <v/>
      </c>
      <c r="S486" s="53" t="str">
        <f t="shared" si="81"/>
        <v/>
      </c>
      <c r="CU486" s="53" t="e">
        <v>#N/A</v>
      </c>
      <c r="CV486" s="53" t="e">
        <v>#N/A</v>
      </c>
      <c r="CW486" s="53" t="e">
        <v>#N/A</v>
      </c>
      <c r="CX486" s="53" t="e">
        <v>#N/A</v>
      </c>
      <c r="CY486" s="53" t="e">
        <v>#N/A</v>
      </c>
      <c r="DE486" s="53" t="e">
        <v>#N/A</v>
      </c>
      <c r="DF486" s="53" t="e">
        <v>#N/A</v>
      </c>
      <c r="DG486" s="53" t="e">
        <v>#N/A</v>
      </c>
      <c r="DH486" s="53" t="e">
        <v>#N/A</v>
      </c>
      <c r="DI486" s="53" t="e">
        <v>#N/A</v>
      </c>
      <c r="DJ486" s="53" t="e">
        <v>#N/A</v>
      </c>
    </row>
    <row r="487" spans="3:114" s="53" customFormat="1" ht="12.75">
      <c r="C487" s="80"/>
      <c r="E487" s="48"/>
      <c r="K487" s="48"/>
      <c r="N487" s="53" t="str">
        <f t="shared" si="77"/>
        <v/>
      </c>
      <c r="O487" s="53" t="str">
        <f t="shared" si="73"/>
        <v>click</v>
      </c>
      <c r="P487" s="53" t="str">
        <f t="shared" si="78"/>
        <v>();</v>
      </c>
      <c r="Q487" s="53" t="str">
        <f t="shared" si="79"/>
        <v/>
      </c>
      <c r="R487" s="53" t="str">
        <f t="shared" si="80"/>
        <v/>
      </c>
      <c r="S487" s="53" t="str">
        <f t="shared" si="81"/>
        <v/>
      </c>
      <c r="CU487" s="53" t="e">
        <v>#N/A</v>
      </c>
      <c r="CV487" s="53" t="e">
        <v>#N/A</v>
      </c>
      <c r="CW487" s="53" t="e">
        <v>#N/A</v>
      </c>
      <c r="CX487" s="53" t="e">
        <v>#N/A</v>
      </c>
      <c r="CY487" s="53" t="e">
        <v>#N/A</v>
      </c>
      <c r="DE487" s="53" t="e">
        <v>#N/A</v>
      </c>
      <c r="DF487" s="53" t="e">
        <v>#N/A</v>
      </c>
      <c r="DG487" s="53" t="e">
        <v>#N/A</v>
      </c>
      <c r="DH487" s="53" t="e">
        <v>#N/A</v>
      </c>
      <c r="DI487" s="53" t="e">
        <v>#N/A</v>
      </c>
      <c r="DJ487" s="53" t="e">
        <v>#N/A</v>
      </c>
    </row>
    <row r="488" spans="3:114" s="53" customFormat="1" ht="12.75">
      <c r="C488" s="80"/>
      <c r="E488" s="48"/>
      <c r="K488" s="48"/>
      <c r="N488" s="53" t="str">
        <f t="shared" si="77"/>
        <v/>
      </c>
      <c r="O488" s="53" t="str">
        <f t="shared" si="73"/>
        <v>click</v>
      </c>
      <c r="P488" s="53" t="str">
        <f t="shared" si="78"/>
        <v>();</v>
      </c>
      <c r="Q488" s="53" t="str">
        <f t="shared" si="79"/>
        <v/>
      </c>
      <c r="R488" s="53" t="str">
        <f t="shared" si="80"/>
        <v/>
      </c>
      <c r="S488" s="53" t="str">
        <f t="shared" si="81"/>
        <v/>
      </c>
      <c r="CU488" s="53" t="e">
        <v>#N/A</v>
      </c>
      <c r="CV488" s="53" t="e">
        <v>#N/A</v>
      </c>
      <c r="CW488" s="53" t="e">
        <v>#N/A</v>
      </c>
      <c r="CX488" s="53" t="e">
        <v>#N/A</v>
      </c>
      <c r="CY488" s="53" t="e">
        <v>#N/A</v>
      </c>
      <c r="DE488" s="53" t="e">
        <v>#N/A</v>
      </c>
      <c r="DF488" s="53" t="e">
        <v>#N/A</v>
      </c>
      <c r="DG488" s="53" t="e">
        <v>#N/A</v>
      </c>
      <c r="DH488" s="53" t="e">
        <v>#N/A</v>
      </c>
      <c r="DI488" s="53" t="e">
        <v>#N/A</v>
      </c>
      <c r="DJ488" s="53" t="e">
        <v>#N/A</v>
      </c>
    </row>
    <row r="489" spans="3:114" s="53" customFormat="1" ht="12.75">
      <c r="C489" s="80"/>
      <c r="E489" s="48"/>
      <c r="K489" s="48"/>
      <c r="N489" s="53" t="str">
        <f t="shared" ref="N489:N508" si="82">IF(A489="Y",""""&amp;C489&amp;""""&amp;": "&amp;M489&amp;",","")</f>
        <v/>
      </c>
      <c r="O489" s="53" t="str">
        <f t="shared" ref="O489:O508" si="83">IF(D489="input","fill",IF(I489&lt;&gt;"","innerText",IF(J489="Y",$T$110,"click")))</f>
        <v>click</v>
      </c>
      <c r="P489" s="53" t="str">
        <f t="shared" si="78"/>
        <v>();</v>
      </c>
      <c r="Q489" s="53" t="str">
        <f t="shared" si="79"/>
        <v/>
      </c>
      <c r="R489" s="53" t="str">
        <f t="shared" si="80"/>
        <v/>
      </c>
      <c r="S489" s="53" t="str">
        <f t="shared" si="81"/>
        <v/>
      </c>
      <c r="CU489" s="53" t="e">
        <v>#N/A</v>
      </c>
      <c r="CV489" s="53" t="e">
        <v>#N/A</v>
      </c>
      <c r="CW489" s="53" t="e">
        <v>#N/A</v>
      </c>
      <c r="CX489" s="53" t="e">
        <v>#N/A</v>
      </c>
      <c r="CY489" s="53" t="e">
        <v>#N/A</v>
      </c>
      <c r="DE489" s="53" t="e">
        <v>#N/A</v>
      </c>
      <c r="DF489" s="53" t="e">
        <v>#N/A</v>
      </c>
      <c r="DG489" s="53" t="e">
        <v>#N/A</v>
      </c>
      <c r="DH489" s="53" t="e">
        <v>#N/A</v>
      </c>
      <c r="DI489" s="53" t="e">
        <v>#N/A</v>
      </c>
      <c r="DJ489" s="53" t="e">
        <v>#N/A</v>
      </c>
    </row>
    <row r="490" spans="3:114" s="53" customFormat="1" ht="12.75">
      <c r="C490" s="80"/>
      <c r="E490" s="48"/>
      <c r="K490" s="48"/>
      <c r="N490" s="53" t="str">
        <f t="shared" si="82"/>
        <v/>
      </c>
      <c r="O490" s="53" t="str">
        <f t="shared" si="83"/>
        <v>click</v>
      </c>
      <c r="P490" s="53" t="str">
        <f t="shared" si="78"/>
        <v>();</v>
      </c>
      <c r="Q490" s="53" t="str">
        <f t="shared" si="79"/>
        <v/>
      </c>
      <c r="R490" s="53" t="str">
        <f t="shared" si="80"/>
        <v/>
      </c>
      <c r="S490" s="53" t="str">
        <f t="shared" si="81"/>
        <v/>
      </c>
      <c r="CU490" s="53" t="e">
        <v>#N/A</v>
      </c>
      <c r="CV490" s="53" t="e">
        <v>#N/A</v>
      </c>
      <c r="CW490" s="53" t="e">
        <v>#N/A</v>
      </c>
      <c r="CX490" s="53" t="e">
        <v>#N/A</v>
      </c>
      <c r="CY490" s="53" t="e">
        <v>#N/A</v>
      </c>
      <c r="DE490" s="53" t="e">
        <v>#N/A</v>
      </c>
      <c r="DF490" s="53" t="e">
        <v>#N/A</v>
      </c>
      <c r="DG490" s="53" t="e">
        <v>#N/A</v>
      </c>
      <c r="DH490" s="53" t="e">
        <v>#N/A</v>
      </c>
      <c r="DI490" s="53" t="e">
        <v>#N/A</v>
      </c>
      <c r="DJ490" s="53" t="e">
        <v>#N/A</v>
      </c>
    </row>
    <row r="491" spans="3:114" s="53" customFormat="1" ht="12.75">
      <c r="C491" s="80"/>
      <c r="E491" s="48"/>
      <c r="K491" s="48"/>
      <c r="N491" s="53" t="str">
        <f t="shared" si="82"/>
        <v/>
      </c>
      <c r="O491" s="53" t="str">
        <f t="shared" si="83"/>
        <v>click</v>
      </c>
      <c r="P491" s="53" t="str">
        <f t="shared" si="78"/>
        <v>();</v>
      </c>
      <c r="Q491" s="53" t="str">
        <f t="shared" si="79"/>
        <v/>
      </c>
      <c r="R491" s="53" t="str">
        <f t="shared" si="80"/>
        <v/>
      </c>
      <c r="S491" s="53" t="str">
        <f t="shared" si="81"/>
        <v/>
      </c>
      <c r="CU491" s="53" t="e">
        <v>#N/A</v>
      </c>
      <c r="CV491" s="53" t="e">
        <v>#N/A</v>
      </c>
      <c r="CW491" s="53" t="e">
        <v>#N/A</v>
      </c>
      <c r="CX491" s="53" t="e">
        <v>#N/A</v>
      </c>
      <c r="CY491" s="53" t="e">
        <v>#N/A</v>
      </c>
      <c r="CZ491" s="53" t="e">
        <v>#N/A</v>
      </c>
      <c r="DA491" s="53" t="e">
        <v>#N/A</v>
      </c>
      <c r="DB491" s="53" t="e">
        <v>#N/A</v>
      </c>
      <c r="DC491" s="53" t="e">
        <v>#N/A</v>
      </c>
      <c r="DD491" s="53" t="e">
        <v>#N/A</v>
      </c>
      <c r="DE491" s="53" t="e">
        <v>#N/A</v>
      </c>
      <c r="DF491" s="53" t="e">
        <v>#N/A</v>
      </c>
      <c r="DG491" s="53" t="e">
        <v>#N/A</v>
      </c>
      <c r="DH491" s="53" t="e">
        <v>#N/A</v>
      </c>
      <c r="DI491" s="53" t="e">
        <v>#N/A</v>
      </c>
      <c r="DJ491" s="53" t="e">
        <v>#N/A</v>
      </c>
    </row>
    <row r="492" spans="3:114" s="53" customFormat="1" ht="12.75">
      <c r="C492" s="80"/>
      <c r="E492" s="48"/>
      <c r="K492" s="48"/>
      <c r="N492" s="53" t="str">
        <f t="shared" si="82"/>
        <v/>
      </c>
      <c r="O492" s="53" t="str">
        <f t="shared" si="83"/>
        <v>click</v>
      </c>
      <c r="P492" s="53" t="str">
        <f t="shared" si="78"/>
        <v>();</v>
      </c>
      <c r="Q492" s="53" t="str">
        <f t="shared" si="79"/>
        <v/>
      </c>
      <c r="R492" s="53" t="str">
        <f t="shared" si="80"/>
        <v/>
      </c>
      <c r="S492" s="53" t="str">
        <f t="shared" si="81"/>
        <v/>
      </c>
      <c r="CU492" s="53" t="e">
        <v>#N/A</v>
      </c>
      <c r="CV492" s="53" t="e">
        <v>#N/A</v>
      </c>
      <c r="CW492" s="53" t="e">
        <v>#N/A</v>
      </c>
      <c r="CX492" s="53" t="e">
        <v>#N/A</v>
      </c>
      <c r="CY492" s="53" t="e">
        <v>#N/A</v>
      </c>
      <c r="CZ492" s="53" t="e">
        <v>#N/A</v>
      </c>
      <c r="DA492" s="53" t="e">
        <v>#N/A</v>
      </c>
      <c r="DB492" s="53" t="e">
        <v>#N/A</v>
      </c>
      <c r="DC492" s="53" t="e">
        <v>#N/A</v>
      </c>
      <c r="DD492" s="53" t="e">
        <v>#N/A</v>
      </c>
      <c r="DE492" s="53" t="e">
        <v>#N/A</v>
      </c>
      <c r="DF492" s="53" t="e">
        <v>#N/A</v>
      </c>
      <c r="DG492" s="53" t="e">
        <v>#N/A</v>
      </c>
      <c r="DH492" s="53" t="e">
        <v>#N/A</v>
      </c>
      <c r="DI492" s="53" t="e">
        <v>#N/A</v>
      </c>
      <c r="DJ492" s="53" t="e">
        <v>#N/A</v>
      </c>
    </row>
    <row r="493" spans="3:114" s="53" customFormat="1" ht="12.75">
      <c r="C493" s="80"/>
      <c r="E493" s="48"/>
      <c r="K493" s="48"/>
      <c r="N493" s="53" t="str">
        <f t="shared" si="82"/>
        <v/>
      </c>
      <c r="O493" s="53" t="str">
        <f t="shared" si="83"/>
        <v>click</v>
      </c>
      <c r="P493" s="53" t="str">
        <f t="shared" si="78"/>
        <v>();</v>
      </c>
      <c r="Q493" s="53" t="str">
        <f t="shared" si="79"/>
        <v/>
      </c>
      <c r="R493" s="53" t="str">
        <f t="shared" si="80"/>
        <v/>
      </c>
      <c r="S493" s="53" t="str">
        <f t="shared" si="81"/>
        <v/>
      </c>
      <c r="CU493" s="53" t="e">
        <v>#N/A</v>
      </c>
      <c r="CV493" s="53" t="e">
        <v>#N/A</v>
      </c>
      <c r="CW493" s="53" t="e">
        <v>#N/A</v>
      </c>
      <c r="CX493" s="53" t="e">
        <v>#N/A</v>
      </c>
      <c r="CY493" s="53" t="e">
        <v>#N/A</v>
      </c>
      <c r="CZ493" s="53" t="e">
        <v>#N/A</v>
      </c>
      <c r="DA493" s="53" t="e">
        <v>#N/A</v>
      </c>
      <c r="DB493" s="53" t="e">
        <v>#N/A</v>
      </c>
      <c r="DC493" s="53" t="e">
        <v>#N/A</v>
      </c>
      <c r="DD493" s="53" t="e">
        <v>#N/A</v>
      </c>
      <c r="DE493" s="53" t="e">
        <v>#N/A</v>
      </c>
      <c r="DF493" s="53" t="e">
        <v>#N/A</v>
      </c>
      <c r="DG493" s="53" t="e">
        <v>#N/A</v>
      </c>
      <c r="DH493" s="53" t="e">
        <v>#N/A</v>
      </c>
      <c r="DI493" s="53" t="e">
        <v>#N/A</v>
      </c>
      <c r="DJ493" s="53" t="e">
        <v>#N/A</v>
      </c>
    </row>
    <row r="494" spans="3:114" s="53" customFormat="1" ht="12.75">
      <c r="C494" s="80"/>
      <c r="E494" s="48"/>
      <c r="K494" s="48"/>
      <c r="N494" s="53" t="str">
        <f t="shared" si="82"/>
        <v/>
      </c>
      <c r="O494" s="53" t="str">
        <f t="shared" si="83"/>
        <v>click</v>
      </c>
      <c r="P494" s="53" t="str">
        <f t="shared" si="78"/>
        <v>();</v>
      </c>
      <c r="Q494" s="53" t="str">
        <f t="shared" si="79"/>
        <v/>
      </c>
      <c r="R494" s="53" t="str">
        <f t="shared" si="80"/>
        <v/>
      </c>
      <c r="S494" s="53" t="str">
        <f t="shared" si="81"/>
        <v/>
      </c>
      <c r="CU494" s="53" t="e">
        <v>#N/A</v>
      </c>
      <c r="CV494" s="53" t="e">
        <v>#N/A</v>
      </c>
      <c r="CW494" s="53" t="e">
        <v>#N/A</v>
      </c>
      <c r="CX494" s="53" t="e">
        <v>#N/A</v>
      </c>
      <c r="CY494" s="53" t="e">
        <v>#N/A</v>
      </c>
      <c r="CZ494" s="53" t="e">
        <v>#N/A</v>
      </c>
      <c r="DA494" s="53" t="e">
        <v>#N/A</v>
      </c>
      <c r="DB494" s="53" t="e">
        <v>#N/A</v>
      </c>
      <c r="DC494" s="53" t="e">
        <v>#N/A</v>
      </c>
      <c r="DD494" s="53" t="e">
        <v>#N/A</v>
      </c>
      <c r="DE494" s="53" t="e">
        <v>#N/A</v>
      </c>
      <c r="DF494" s="53" t="e">
        <v>#N/A</v>
      </c>
      <c r="DG494" s="53" t="e">
        <v>#N/A</v>
      </c>
      <c r="DH494" s="53" t="e">
        <v>#N/A</v>
      </c>
      <c r="DI494" s="53" t="e">
        <v>#N/A</v>
      </c>
      <c r="DJ494" s="53" t="e">
        <v>#N/A</v>
      </c>
    </row>
    <row r="495" spans="3:114" s="53" customFormat="1" ht="12.75">
      <c r="C495" s="80"/>
      <c r="E495" s="48"/>
      <c r="K495" s="48"/>
      <c r="N495" s="53" t="str">
        <f t="shared" si="82"/>
        <v/>
      </c>
      <c r="O495" s="53" t="str">
        <f t="shared" si="83"/>
        <v>click</v>
      </c>
      <c r="P495" s="53" t="str">
        <f t="shared" si="78"/>
        <v>();</v>
      </c>
      <c r="Q495" s="53" t="str">
        <f t="shared" si="79"/>
        <v/>
      </c>
      <c r="R495" s="53" t="str">
        <f t="shared" si="80"/>
        <v/>
      </c>
      <c r="S495" s="53" t="str">
        <f t="shared" si="81"/>
        <v/>
      </c>
      <c r="CU495" s="53" t="e">
        <v>#N/A</v>
      </c>
      <c r="CV495" s="53" t="e">
        <v>#N/A</v>
      </c>
      <c r="CW495" s="53" t="e">
        <v>#N/A</v>
      </c>
      <c r="CX495" s="53" t="e">
        <v>#N/A</v>
      </c>
      <c r="CY495" s="53" t="e">
        <v>#N/A</v>
      </c>
      <c r="CZ495" s="53" t="e">
        <v>#N/A</v>
      </c>
      <c r="DA495" s="53" t="e">
        <v>#N/A</v>
      </c>
      <c r="DB495" s="53" t="e">
        <v>#N/A</v>
      </c>
      <c r="DC495" s="53" t="e">
        <v>#N/A</v>
      </c>
      <c r="DD495" s="53" t="e">
        <v>#N/A</v>
      </c>
      <c r="DE495" s="53" t="e">
        <v>#N/A</v>
      </c>
      <c r="DF495" s="53" t="e">
        <v>#N/A</v>
      </c>
      <c r="DG495" s="53" t="e">
        <v>#N/A</v>
      </c>
      <c r="DH495" s="53" t="e">
        <v>#N/A</v>
      </c>
      <c r="DI495" s="53" t="e">
        <v>#N/A</v>
      </c>
      <c r="DJ495" s="53" t="e">
        <v>#N/A</v>
      </c>
    </row>
    <row r="496" spans="3:114" s="53" customFormat="1" ht="12.75">
      <c r="C496" s="80"/>
      <c r="E496" s="48"/>
      <c r="K496" s="48"/>
      <c r="N496" s="53" t="str">
        <f t="shared" si="82"/>
        <v/>
      </c>
      <c r="O496" s="53" t="str">
        <f t="shared" si="83"/>
        <v>click</v>
      </c>
      <c r="P496" s="53" t="str">
        <f t="shared" si="78"/>
        <v>();</v>
      </c>
      <c r="Q496" s="53" t="str">
        <f t="shared" si="79"/>
        <v/>
      </c>
      <c r="R496" s="53" t="str">
        <f t="shared" si="80"/>
        <v/>
      </c>
      <c r="S496" s="53" t="str">
        <f t="shared" si="81"/>
        <v/>
      </c>
      <c r="CU496" s="53" t="e">
        <v>#N/A</v>
      </c>
      <c r="CV496" s="53" t="e">
        <v>#N/A</v>
      </c>
      <c r="CW496" s="53" t="e">
        <v>#N/A</v>
      </c>
      <c r="CX496" s="53" t="e">
        <v>#N/A</v>
      </c>
      <c r="CY496" s="53" t="e">
        <v>#N/A</v>
      </c>
      <c r="CZ496" s="53" t="e">
        <v>#N/A</v>
      </c>
      <c r="DA496" s="53" t="e">
        <v>#N/A</v>
      </c>
      <c r="DB496" s="53" t="e">
        <v>#N/A</v>
      </c>
      <c r="DC496" s="53" t="e">
        <v>#N/A</v>
      </c>
      <c r="DD496" s="53" t="e">
        <v>#N/A</v>
      </c>
      <c r="DE496" s="53" t="e">
        <v>#N/A</v>
      </c>
      <c r="DF496" s="53" t="e">
        <v>#N/A</v>
      </c>
      <c r="DG496" s="53" t="e">
        <v>#N/A</v>
      </c>
      <c r="DH496" s="53" t="e">
        <v>#N/A</v>
      </c>
      <c r="DI496" s="53" t="e">
        <v>#N/A</v>
      </c>
      <c r="DJ496" s="53" t="e">
        <v>#N/A</v>
      </c>
    </row>
    <row r="497" spans="3:114" s="53" customFormat="1" ht="12.75">
      <c r="C497" s="80"/>
      <c r="E497" s="48"/>
      <c r="K497" s="48"/>
      <c r="N497" s="53" t="str">
        <f t="shared" si="82"/>
        <v/>
      </c>
      <c r="O497" s="53" t="str">
        <f t="shared" si="83"/>
        <v>click</v>
      </c>
      <c r="P497" s="53" t="str">
        <f t="shared" si="78"/>
        <v>();</v>
      </c>
      <c r="Q497" s="53" t="str">
        <f t="shared" si="79"/>
        <v/>
      </c>
      <c r="R497" s="53" t="str">
        <f t="shared" si="80"/>
        <v/>
      </c>
      <c r="S497" s="53" t="str">
        <f t="shared" si="81"/>
        <v/>
      </c>
      <c r="CU497" s="53" t="e">
        <v>#N/A</v>
      </c>
      <c r="CV497" s="53" t="e">
        <v>#N/A</v>
      </c>
      <c r="CW497" s="53" t="e">
        <v>#N/A</v>
      </c>
      <c r="CX497" s="53" t="e">
        <v>#N/A</v>
      </c>
      <c r="CY497" s="53" t="e">
        <v>#N/A</v>
      </c>
      <c r="CZ497" s="53" t="e">
        <v>#N/A</v>
      </c>
      <c r="DA497" s="53" t="e">
        <v>#N/A</v>
      </c>
      <c r="DB497" s="53" t="e">
        <v>#N/A</v>
      </c>
      <c r="DC497" s="53" t="e">
        <v>#N/A</v>
      </c>
      <c r="DD497" s="53" t="e">
        <v>#N/A</v>
      </c>
      <c r="DE497" s="53" t="e">
        <v>#N/A</v>
      </c>
      <c r="DF497" s="53" t="e">
        <v>#N/A</v>
      </c>
      <c r="DG497" s="53" t="e">
        <v>#N/A</v>
      </c>
      <c r="DH497" s="53" t="e">
        <v>#N/A</v>
      </c>
      <c r="DI497" s="53" t="e">
        <v>#N/A</v>
      </c>
      <c r="DJ497" s="53" t="e">
        <v>#N/A</v>
      </c>
    </row>
    <row r="498" spans="3:114" s="53" customFormat="1" ht="12.75">
      <c r="C498" s="80"/>
      <c r="E498" s="48"/>
      <c r="K498" s="48"/>
      <c r="N498" s="53" t="str">
        <f t="shared" si="82"/>
        <v/>
      </c>
      <c r="O498" s="53" t="str">
        <f t="shared" si="83"/>
        <v>click</v>
      </c>
      <c r="P498" s="53" t="str">
        <f t="shared" si="78"/>
        <v>();</v>
      </c>
      <c r="Q498" s="53" t="str">
        <f t="shared" si="79"/>
        <v/>
      </c>
      <c r="R498" s="53" t="str">
        <f t="shared" si="80"/>
        <v/>
      </c>
      <c r="S498" s="53" t="str">
        <f t="shared" si="81"/>
        <v/>
      </c>
      <c r="CU498" s="53" t="e">
        <v>#N/A</v>
      </c>
      <c r="CV498" s="53" t="e">
        <v>#N/A</v>
      </c>
      <c r="CW498" s="53" t="e">
        <v>#N/A</v>
      </c>
      <c r="CX498" s="53" t="e">
        <v>#N/A</v>
      </c>
      <c r="CY498" s="53" t="e">
        <v>#N/A</v>
      </c>
      <c r="CZ498" s="53" t="e">
        <v>#N/A</v>
      </c>
      <c r="DA498" s="53" t="e">
        <v>#N/A</v>
      </c>
      <c r="DB498" s="53" t="e">
        <v>#N/A</v>
      </c>
      <c r="DC498" s="53" t="e">
        <v>#N/A</v>
      </c>
      <c r="DD498" s="53" t="e">
        <v>#N/A</v>
      </c>
      <c r="DE498" s="53" t="e">
        <v>#N/A</v>
      </c>
      <c r="DF498" s="53" t="e">
        <v>#N/A</v>
      </c>
      <c r="DG498" s="53" t="e">
        <v>#N/A</v>
      </c>
      <c r="DH498" s="53" t="e">
        <v>#N/A</v>
      </c>
      <c r="DI498" s="53" t="e">
        <v>#N/A</v>
      </c>
      <c r="DJ498" s="53" t="e">
        <v>#N/A</v>
      </c>
    </row>
    <row r="499" spans="3:114" s="53" customFormat="1" ht="12.75">
      <c r="C499" s="80"/>
      <c r="E499" s="48"/>
      <c r="K499" s="48"/>
      <c r="N499" s="53" t="str">
        <f t="shared" si="82"/>
        <v/>
      </c>
      <c r="O499" s="53" t="str">
        <f t="shared" si="83"/>
        <v>click</v>
      </c>
      <c r="P499" s="53" t="str">
        <f t="shared" si="78"/>
        <v>();</v>
      </c>
      <c r="Q499" s="53" t="str">
        <f t="shared" si="79"/>
        <v/>
      </c>
      <c r="R499" s="53" t="str">
        <f t="shared" si="80"/>
        <v/>
      </c>
      <c r="S499" s="53" t="str">
        <f t="shared" si="81"/>
        <v/>
      </c>
      <c r="CU499" s="53" t="e">
        <v>#N/A</v>
      </c>
      <c r="CV499" s="53" t="e">
        <v>#N/A</v>
      </c>
      <c r="CW499" s="53" t="e">
        <v>#N/A</v>
      </c>
      <c r="CX499" s="53" t="e">
        <v>#N/A</v>
      </c>
      <c r="CY499" s="53" t="e">
        <v>#N/A</v>
      </c>
      <c r="CZ499" s="53" t="e">
        <v>#N/A</v>
      </c>
      <c r="DA499" s="53" t="e">
        <v>#N/A</v>
      </c>
      <c r="DB499" s="53" t="e">
        <v>#N/A</v>
      </c>
      <c r="DC499" s="53" t="e">
        <v>#N/A</v>
      </c>
      <c r="DD499" s="53" t="e">
        <v>#N/A</v>
      </c>
      <c r="DE499" s="53" t="e">
        <v>#N/A</v>
      </c>
      <c r="DF499" s="53" t="e">
        <v>#N/A</v>
      </c>
      <c r="DG499" s="53" t="e">
        <v>#N/A</v>
      </c>
      <c r="DH499" s="53" t="e">
        <v>#N/A</v>
      </c>
      <c r="DI499" s="53" t="e">
        <v>#N/A</v>
      </c>
      <c r="DJ499" s="53" t="e">
        <v>#N/A</v>
      </c>
    </row>
    <row r="500" spans="3:114" s="53" customFormat="1" ht="12.75">
      <c r="C500" s="80"/>
      <c r="E500" s="48"/>
      <c r="K500" s="48"/>
      <c r="N500" s="53" t="str">
        <f t="shared" si="82"/>
        <v/>
      </c>
      <c r="O500" s="53" t="str">
        <f t="shared" si="83"/>
        <v>click</v>
      </c>
      <c r="P500" s="53" t="str">
        <f t="shared" si="78"/>
        <v>();</v>
      </c>
      <c r="Q500" s="53" t="str">
        <f t="shared" si="79"/>
        <v/>
      </c>
      <c r="R500" s="53" t="str">
        <f t="shared" si="80"/>
        <v/>
      </c>
      <c r="S500" s="53" t="str">
        <f t="shared" si="81"/>
        <v/>
      </c>
      <c r="CU500" s="53" t="e">
        <v>#N/A</v>
      </c>
      <c r="CV500" s="53" t="e">
        <v>#N/A</v>
      </c>
      <c r="CW500" s="53" t="e">
        <v>#N/A</v>
      </c>
      <c r="CX500" s="53" t="e">
        <v>#N/A</v>
      </c>
      <c r="CY500" s="53" t="e">
        <v>#N/A</v>
      </c>
      <c r="CZ500" s="53" t="e">
        <v>#N/A</v>
      </c>
      <c r="DA500" s="53" t="e">
        <v>#N/A</v>
      </c>
      <c r="DB500" s="53" t="e">
        <v>#N/A</v>
      </c>
      <c r="DC500" s="53" t="e">
        <v>#N/A</v>
      </c>
      <c r="DD500" s="53" t="e">
        <v>#N/A</v>
      </c>
      <c r="DE500" s="53" t="e">
        <v>#N/A</v>
      </c>
      <c r="DF500" s="53" t="e">
        <v>#N/A</v>
      </c>
      <c r="DG500" s="53" t="e">
        <v>#N/A</v>
      </c>
      <c r="DH500" s="53" t="e">
        <v>#N/A</v>
      </c>
      <c r="DI500" s="53" t="e">
        <v>#N/A</v>
      </c>
      <c r="DJ500" s="53" t="e">
        <v>#N/A</v>
      </c>
    </row>
    <row r="501" spans="3:114" s="53" customFormat="1" ht="12.75">
      <c r="C501" s="80"/>
      <c r="E501" s="48"/>
      <c r="K501" s="48"/>
      <c r="N501" s="53" t="str">
        <f t="shared" si="82"/>
        <v/>
      </c>
      <c r="O501" s="53" t="str">
        <f t="shared" si="83"/>
        <v>click</v>
      </c>
      <c r="P501" s="53" t="str">
        <f t="shared" si="78"/>
        <v>();</v>
      </c>
      <c r="Q501" s="53" t="str">
        <f t="shared" si="79"/>
        <v/>
      </c>
      <c r="R501" s="53" t="str">
        <f t="shared" si="80"/>
        <v/>
      </c>
      <c r="S501" s="53" t="str">
        <f t="shared" si="81"/>
        <v/>
      </c>
      <c r="CU501" s="53" t="e">
        <v>#N/A</v>
      </c>
      <c r="CV501" s="53" t="e">
        <v>#N/A</v>
      </c>
      <c r="CW501" s="53" t="e">
        <v>#N/A</v>
      </c>
      <c r="CX501" s="53" t="e">
        <v>#N/A</v>
      </c>
      <c r="CY501" s="53" t="e">
        <v>#N/A</v>
      </c>
      <c r="CZ501" s="53" t="e">
        <v>#N/A</v>
      </c>
      <c r="DA501" s="53" t="e">
        <v>#N/A</v>
      </c>
      <c r="DB501" s="53" t="e">
        <v>#N/A</v>
      </c>
      <c r="DC501" s="53" t="e">
        <v>#N/A</v>
      </c>
      <c r="DD501" s="53" t="e">
        <v>#N/A</v>
      </c>
      <c r="DE501" s="53" t="e">
        <v>#N/A</v>
      </c>
      <c r="DF501" s="53" t="e">
        <v>#N/A</v>
      </c>
      <c r="DG501" s="53" t="e">
        <v>#N/A</v>
      </c>
      <c r="DH501" s="53" t="e">
        <v>#N/A</v>
      </c>
      <c r="DI501" s="53" t="e">
        <v>#N/A</v>
      </c>
      <c r="DJ501" s="53" t="e">
        <v>#N/A</v>
      </c>
    </row>
    <row r="502" spans="3:114" s="53" customFormat="1" ht="12.75">
      <c r="C502" s="80"/>
      <c r="E502" s="48"/>
      <c r="K502" s="48"/>
      <c r="N502" s="53" t="str">
        <f t="shared" si="82"/>
        <v/>
      </c>
      <c r="O502" s="53" t="str">
        <f t="shared" si="83"/>
        <v>click</v>
      </c>
      <c r="P502" s="53" t="str">
        <f t="shared" si="78"/>
        <v>();</v>
      </c>
      <c r="Q502" s="53" t="str">
        <f t="shared" si="79"/>
        <v/>
      </c>
      <c r="R502" s="53" t="str">
        <f t="shared" si="80"/>
        <v/>
      </c>
      <c r="S502" s="53" t="str">
        <f t="shared" si="81"/>
        <v/>
      </c>
      <c r="CU502" s="53" t="e">
        <v>#N/A</v>
      </c>
      <c r="CV502" s="53" t="e">
        <v>#N/A</v>
      </c>
      <c r="CW502" s="53" t="e">
        <v>#N/A</v>
      </c>
      <c r="CX502" s="53" t="e">
        <v>#N/A</v>
      </c>
      <c r="CY502" s="53" t="e">
        <v>#N/A</v>
      </c>
      <c r="CZ502" s="53" t="e">
        <v>#N/A</v>
      </c>
      <c r="DA502" s="53" t="e">
        <v>#N/A</v>
      </c>
      <c r="DB502" s="53" t="e">
        <v>#N/A</v>
      </c>
      <c r="DC502" s="53" t="e">
        <v>#N/A</v>
      </c>
      <c r="DD502" s="53" t="e">
        <v>#N/A</v>
      </c>
      <c r="DE502" s="53" t="e">
        <v>#N/A</v>
      </c>
      <c r="DF502" s="53" t="e">
        <v>#N/A</v>
      </c>
      <c r="DG502" s="53" t="e">
        <v>#N/A</v>
      </c>
      <c r="DH502" s="53" t="e">
        <v>#N/A</v>
      </c>
      <c r="DI502" s="53" t="e">
        <v>#N/A</v>
      </c>
      <c r="DJ502" s="53" t="e">
        <v>#N/A</v>
      </c>
    </row>
    <row r="503" spans="3:114" s="53" customFormat="1" ht="12.75">
      <c r="C503" s="80"/>
      <c r="E503" s="48"/>
      <c r="K503" s="48"/>
      <c r="N503" s="53" t="str">
        <f t="shared" si="82"/>
        <v/>
      </c>
      <c r="O503" s="53" t="str">
        <f t="shared" si="83"/>
        <v>click</v>
      </c>
      <c r="P503" s="53" t="str">
        <f t="shared" si="78"/>
        <v>();</v>
      </c>
      <c r="Q503" s="53" t="str">
        <f t="shared" si="79"/>
        <v/>
      </c>
      <c r="R503" s="53" t="str">
        <f t="shared" si="80"/>
        <v/>
      </c>
      <c r="S503" s="53" t="str">
        <f t="shared" si="81"/>
        <v/>
      </c>
      <c r="CU503" s="53" t="e">
        <v>#N/A</v>
      </c>
      <c r="CV503" s="53" t="e">
        <v>#N/A</v>
      </c>
      <c r="CW503" s="53" t="e">
        <v>#N/A</v>
      </c>
      <c r="CX503" s="53" t="e">
        <v>#N/A</v>
      </c>
      <c r="CY503" s="53" t="e">
        <v>#N/A</v>
      </c>
      <c r="CZ503" s="53" t="e">
        <v>#N/A</v>
      </c>
      <c r="DA503" s="53" t="e">
        <v>#N/A</v>
      </c>
      <c r="DB503" s="53" t="e">
        <v>#N/A</v>
      </c>
      <c r="DC503" s="53" t="e">
        <v>#N/A</v>
      </c>
      <c r="DD503" s="53" t="e">
        <v>#N/A</v>
      </c>
      <c r="DE503" s="53" t="e">
        <v>#N/A</v>
      </c>
      <c r="DF503" s="53" t="e">
        <v>#N/A</v>
      </c>
      <c r="DG503" s="53" t="e">
        <v>#N/A</v>
      </c>
      <c r="DH503" s="53" t="e">
        <v>#N/A</v>
      </c>
      <c r="DI503" s="53" t="e">
        <v>#N/A</v>
      </c>
      <c r="DJ503" s="53" t="e">
        <v>#N/A</v>
      </c>
    </row>
    <row r="504" spans="3:114" s="53" customFormat="1" ht="12.75">
      <c r="C504" s="80"/>
      <c r="E504" s="48"/>
      <c r="K504" s="48"/>
      <c r="N504" s="53" t="str">
        <f t="shared" si="82"/>
        <v/>
      </c>
      <c r="O504" s="53" t="str">
        <f t="shared" si="83"/>
        <v>click</v>
      </c>
      <c r="P504" s="53" t="str">
        <f t="shared" si="78"/>
        <v>();</v>
      </c>
      <c r="Q504" s="53" t="str">
        <f t="shared" si="79"/>
        <v/>
      </c>
      <c r="R504" s="53" t="str">
        <f t="shared" si="80"/>
        <v/>
      </c>
      <c r="S504" s="53" t="str">
        <f t="shared" si="81"/>
        <v/>
      </c>
      <c r="CU504" s="53" t="e">
        <v>#N/A</v>
      </c>
      <c r="CV504" s="53" t="e">
        <v>#N/A</v>
      </c>
      <c r="CW504" s="53" t="e">
        <v>#N/A</v>
      </c>
      <c r="CX504" s="53" t="e">
        <v>#N/A</v>
      </c>
      <c r="CY504" s="53" t="e">
        <v>#N/A</v>
      </c>
      <c r="CZ504" s="53" t="e">
        <v>#N/A</v>
      </c>
      <c r="DA504" s="53" t="e">
        <v>#N/A</v>
      </c>
      <c r="DB504" s="53" t="e">
        <v>#N/A</v>
      </c>
      <c r="DC504" s="53" t="e">
        <v>#N/A</v>
      </c>
      <c r="DD504" s="53" t="e">
        <v>#N/A</v>
      </c>
      <c r="DE504" s="53" t="e">
        <v>#N/A</v>
      </c>
      <c r="DF504" s="53" t="e">
        <v>#N/A</v>
      </c>
      <c r="DG504" s="53" t="e">
        <v>#N/A</v>
      </c>
      <c r="DH504" s="53" t="e">
        <v>#N/A</v>
      </c>
      <c r="DI504" s="53" t="e">
        <v>#N/A</v>
      </c>
      <c r="DJ504" s="53" t="e">
        <v>#N/A</v>
      </c>
    </row>
    <row r="505" spans="3:114" s="53" customFormat="1" ht="12.75">
      <c r="C505" s="80"/>
      <c r="E505" s="48"/>
      <c r="K505" s="48"/>
      <c r="N505" s="53" t="str">
        <f t="shared" si="82"/>
        <v/>
      </c>
      <c r="O505" s="53" t="str">
        <f t="shared" si="83"/>
        <v>click</v>
      </c>
      <c r="P505" s="53" t="str">
        <f t="shared" si="78"/>
        <v>();</v>
      </c>
      <c r="Q505" s="53" t="str">
        <f t="shared" si="79"/>
        <v/>
      </c>
      <c r="R505" s="53" t="str">
        <f t="shared" si="80"/>
        <v/>
      </c>
      <c r="S505" s="53" t="str">
        <f t="shared" si="81"/>
        <v/>
      </c>
      <c r="CU505" s="53" t="e">
        <v>#N/A</v>
      </c>
      <c r="CV505" s="53" t="e">
        <v>#N/A</v>
      </c>
      <c r="CW505" s="53" t="e">
        <v>#N/A</v>
      </c>
      <c r="CX505" s="53" t="e">
        <v>#N/A</v>
      </c>
      <c r="CY505" s="53" t="e">
        <v>#N/A</v>
      </c>
      <c r="CZ505" s="53" t="e">
        <v>#N/A</v>
      </c>
      <c r="DA505" s="53" t="e">
        <v>#N/A</v>
      </c>
      <c r="DB505" s="53" t="e">
        <v>#N/A</v>
      </c>
      <c r="DC505" s="53" t="e">
        <v>#N/A</v>
      </c>
      <c r="DD505" s="53" t="e">
        <v>#N/A</v>
      </c>
      <c r="DE505" s="53" t="e">
        <v>#N/A</v>
      </c>
      <c r="DF505" s="53" t="e">
        <v>#N/A</v>
      </c>
      <c r="DG505" s="53" t="e">
        <v>#N/A</v>
      </c>
      <c r="DH505" s="53" t="e">
        <v>#N/A</v>
      </c>
      <c r="DI505" s="53" t="e">
        <v>#N/A</v>
      </c>
      <c r="DJ505" s="53" t="e">
        <v>#N/A</v>
      </c>
    </row>
    <row r="506" spans="3:114" s="53" customFormat="1" ht="12.75">
      <c r="C506" s="80"/>
      <c r="E506" s="48"/>
      <c r="K506" s="48"/>
      <c r="N506" s="53" t="str">
        <f t="shared" si="82"/>
        <v/>
      </c>
      <c r="O506" s="53" t="str">
        <f t="shared" si="83"/>
        <v>click</v>
      </c>
      <c r="P506" s="53" t="str">
        <f t="shared" si="78"/>
        <v>();</v>
      </c>
      <c r="Q506" s="53" t="str">
        <f t="shared" si="79"/>
        <v/>
      </c>
      <c r="R506" s="53" t="str">
        <f t="shared" si="80"/>
        <v/>
      </c>
      <c r="S506" s="53" t="str">
        <f t="shared" si="81"/>
        <v/>
      </c>
      <c r="CU506" s="53" t="e">
        <v>#N/A</v>
      </c>
      <c r="CV506" s="53" t="e">
        <v>#N/A</v>
      </c>
      <c r="CW506" s="53" t="e">
        <v>#N/A</v>
      </c>
      <c r="CX506" s="53" t="e">
        <v>#N/A</v>
      </c>
      <c r="CY506" s="53" t="e">
        <v>#N/A</v>
      </c>
      <c r="CZ506" s="53" t="e">
        <v>#N/A</v>
      </c>
      <c r="DA506" s="53" t="e">
        <v>#N/A</v>
      </c>
      <c r="DB506" s="53" t="e">
        <v>#N/A</v>
      </c>
      <c r="DC506" s="53" t="e">
        <v>#N/A</v>
      </c>
      <c r="DD506" s="53" t="e">
        <v>#N/A</v>
      </c>
      <c r="DE506" s="53" t="e">
        <v>#N/A</v>
      </c>
      <c r="DF506" s="53" t="e">
        <v>#N/A</v>
      </c>
      <c r="DG506" s="53" t="e">
        <v>#N/A</v>
      </c>
      <c r="DH506" s="53" t="e">
        <v>#N/A</v>
      </c>
      <c r="DI506" s="53" t="e">
        <v>#N/A</v>
      </c>
      <c r="DJ506" s="53" t="e">
        <v>#N/A</v>
      </c>
    </row>
    <row r="507" spans="3:114" s="53" customFormat="1" ht="12.75">
      <c r="C507" s="80"/>
      <c r="E507" s="48"/>
      <c r="K507" s="48"/>
      <c r="N507" s="53" t="str">
        <f t="shared" si="82"/>
        <v/>
      </c>
      <c r="O507" s="53" t="str">
        <f t="shared" si="83"/>
        <v>click</v>
      </c>
      <c r="P507" s="53" t="str">
        <f t="shared" si="78"/>
        <v>();</v>
      </c>
      <c r="Q507" s="53" t="str">
        <f t="shared" si="79"/>
        <v/>
      </c>
      <c r="R507" s="53" t="str">
        <f t="shared" si="80"/>
        <v/>
      </c>
      <c r="S507" s="53" t="str">
        <f t="shared" si="81"/>
        <v/>
      </c>
      <c r="CU507" s="53" t="e">
        <v>#N/A</v>
      </c>
      <c r="CV507" s="53" t="e">
        <v>#N/A</v>
      </c>
      <c r="CW507" s="53" t="e">
        <v>#N/A</v>
      </c>
      <c r="CX507" s="53" t="e">
        <v>#N/A</v>
      </c>
      <c r="CY507" s="53" t="e">
        <v>#N/A</v>
      </c>
      <c r="CZ507" s="53" t="e">
        <v>#N/A</v>
      </c>
      <c r="DA507" s="53" t="e">
        <v>#N/A</v>
      </c>
      <c r="DB507" s="53" t="e">
        <v>#N/A</v>
      </c>
      <c r="DC507" s="53" t="e">
        <v>#N/A</v>
      </c>
      <c r="DD507" s="53" t="e">
        <v>#N/A</v>
      </c>
      <c r="DE507" s="53" t="e">
        <v>#N/A</v>
      </c>
      <c r="DF507" s="53" t="e">
        <v>#N/A</v>
      </c>
      <c r="DG507" s="53" t="e">
        <v>#N/A</v>
      </c>
      <c r="DH507" s="53" t="e">
        <v>#N/A</v>
      </c>
      <c r="DI507" s="53" t="e">
        <v>#N/A</v>
      </c>
      <c r="DJ507" s="53" t="e">
        <v>#N/A</v>
      </c>
    </row>
    <row r="508" spans="3:114" s="53" customFormat="1" ht="12.75">
      <c r="C508" s="80"/>
      <c r="E508" s="48"/>
      <c r="K508" s="48"/>
      <c r="N508" s="53" t="str">
        <f t="shared" si="82"/>
        <v/>
      </c>
      <c r="O508" s="53" t="str">
        <f t="shared" si="83"/>
        <v>click</v>
      </c>
      <c r="P508" s="53" t="str">
        <f t="shared" si="78"/>
        <v>();</v>
      </c>
      <c r="Q508" s="53" t="str">
        <f t="shared" si="79"/>
        <v/>
      </c>
      <c r="R508" s="53" t="str">
        <f t="shared" si="80"/>
        <v/>
      </c>
      <c r="S508" s="53" t="str">
        <f t="shared" si="81"/>
        <v/>
      </c>
      <c r="CU508" s="53" t="e">
        <v>#N/A</v>
      </c>
      <c r="CV508" s="53" t="e">
        <v>#N/A</v>
      </c>
      <c r="CW508" s="53" t="e">
        <v>#N/A</v>
      </c>
      <c r="CX508" s="53" t="e">
        <v>#N/A</v>
      </c>
      <c r="CY508" s="53" t="e">
        <v>#N/A</v>
      </c>
      <c r="CZ508" s="53" t="e">
        <v>#N/A</v>
      </c>
      <c r="DA508" s="53" t="e">
        <v>#N/A</v>
      </c>
      <c r="DB508" s="53" t="e">
        <v>#N/A</v>
      </c>
      <c r="DC508" s="53" t="e">
        <v>#N/A</v>
      </c>
      <c r="DD508" s="53" t="e">
        <v>#N/A</v>
      </c>
      <c r="DE508" s="53" t="e">
        <v>#N/A</v>
      </c>
      <c r="DF508" s="53" t="e">
        <v>#N/A</v>
      </c>
      <c r="DG508" s="53" t="e">
        <v>#N/A</v>
      </c>
      <c r="DH508" s="53" t="e">
        <v>#N/A</v>
      </c>
      <c r="DI508" s="53" t="e">
        <v>#N/A</v>
      </c>
      <c r="DJ508" s="53" t="e">
        <v>#N/A</v>
      </c>
    </row>
    <row r="509" spans="3:114" s="53" customFormat="1" ht="12.75">
      <c r="C509" s="80"/>
      <c r="E509" s="48"/>
      <c r="K509" s="48"/>
      <c r="CU509" s="53" t="e">
        <v>#N/A</v>
      </c>
      <c r="CV509" s="53" t="e">
        <v>#N/A</v>
      </c>
      <c r="CW509" s="53" t="e">
        <v>#N/A</v>
      </c>
      <c r="CX509" s="53" t="e">
        <v>#N/A</v>
      </c>
      <c r="CY509" s="53" t="e">
        <v>#N/A</v>
      </c>
      <c r="CZ509" s="53" t="e">
        <v>#N/A</v>
      </c>
      <c r="DA509" s="53" t="e">
        <v>#N/A</v>
      </c>
      <c r="DB509" s="53" t="e">
        <v>#N/A</v>
      </c>
      <c r="DC509" s="53" t="e">
        <v>#N/A</v>
      </c>
      <c r="DD509" s="53" t="e">
        <v>#N/A</v>
      </c>
      <c r="DE509" s="53" t="e">
        <v>#N/A</v>
      </c>
      <c r="DF509" s="53" t="e">
        <v>#N/A</v>
      </c>
      <c r="DG509" s="53" t="e">
        <v>#N/A</v>
      </c>
      <c r="DH509" s="53" t="e">
        <v>#N/A</v>
      </c>
      <c r="DI509" s="53" t="e">
        <v>#N/A</v>
      </c>
      <c r="DJ509" s="53" t="e">
        <v>#N/A</v>
      </c>
    </row>
    <row r="510" spans="3:114" s="53" customFormat="1" ht="12.75">
      <c r="C510" s="80" t="e">
        <v>#N/A</v>
      </c>
      <c r="D510" s="53" t="e">
        <v>#N/A</v>
      </c>
      <c r="E510" s="48" t="e">
        <v>#N/A</v>
      </c>
      <c r="F510" s="53" t="e">
        <v>#N/A</v>
      </c>
      <c r="G510" s="53" t="e">
        <v>#N/A</v>
      </c>
      <c r="H510" s="53" t="e">
        <v>#N/A</v>
      </c>
      <c r="K510" s="48"/>
      <c r="CU510" s="53" t="e">
        <v>#N/A</v>
      </c>
      <c r="CV510" s="53" t="e">
        <v>#N/A</v>
      </c>
      <c r="CW510" s="53" t="e">
        <v>#N/A</v>
      </c>
      <c r="CX510" s="53" t="e">
        <v>#N/A</v>
      </c>
      <c r="CY510" s="53" t="e">
        <v>#N/A</v>
      </c>
      <c r="CZ510" s="53" t="e">
        <v>#N/A</v>
      </c>
      <c r="DA510" s="53" t="e">
        <v>#N/A</v>
      </c>
      <c r="DB510" s="53" t="e">
        <v>#N/A</v>
      </c>
      <c r="DC510" s="53" t="e">
        <v>#N/A</v>
      </c>
      <c r="DD510" s="53" t="e">
        <v>#N/A</v>
      </c>
      <c r="DE510" s="53" t="e">
        <v>#N/A</v>
      </c>
      <c r="DF510" s="53" t="e">
        <v>#N/A</v>
      </c>
      <c r="DG510" s="53" t="e">
        <v>#N/A</v>
      </c>
      <c r="DH510" s="53" t="e">
        <v>#N/A</v>
      </c>
      <c r="DI510" s="53" t="e">
        <v>#N/A</v>
      </c>
      <c r="DJ510" s="53" t="e">
        <v>#N/A</v>
      </c>
    </row>
    <row r="511" spans="3:114" s="53" customFormat="1" ht="12.75">
      <c r="C511" s="80" t="e">
        <v>#N/A</v>
      </c>
      <c r="D511" s="53" t="e">
        <v>#N/A</v>
      </c>
      <c r="E511" s="48" t="e">
        <v>#N/A</v>
      </c>
      <c r="F511" s="53" t="e">
        <v>#N/A</v>
      </c>
      <c r="G511" s="53" t="e">
        <v>#N/A</v>
      </c>
      <c r="H511" s="53" t="e">
        <v>#N/A</v>
      </c>
      <c r="K511" s="48"/>
      <c r="CU511" s="53" t="e">
        <v>#N/A</v>
      </c>
      <c r="CV511" s="53" t="e">
        <v>#N/A</v>
      </c>
      <c r="CW511" s="53" t="e">
        <v>#N/A</v>
      </c>
      <c r="CX511" s="53" t="e">
        <v>#N/A</v>
      </c>
      <c r="CY511" s="53" t="e">
        <v>#N/A</v>
      </c>
      <c r="CZ511" s="53" t="e">
        <v>#N/A</v>
      </c>
      <c r="DA511" s="53" t="e">
        <v>#N/A</v>
      </c>
      <c r="DB511" s="53" t="e">
        <v>#N/A</v>
      </c>
      <c r="DC511" s="53" t="e">
        <v>#N/A</v>
      </c>
      <c r="DD511" s="53" t="e">
        <v>#N/A</v>
      </c>
      <c r="DE511" s="53" t="e">
        <v>#N/A</v>
      </c>
      <c r="DF511" s="53" t="e">
        <v>#N/A</v>
      </c>
      <c r="DG511" s="53" t="e">
        <v>#N/A</v>
      </c>
      <c r="DH511" s="53" t="e">
        <v>#N/A</v>
      </c>
      <c r="DI511" s="53" t="e">
        <v>#N/A</v>
      </c>
      <c r="DJ511" s="53" t="e">
        <v>#N/A</v>
      </c>
    </row>
    <row r="512" spans="3:114" s="53" customFormat="1" ht="12.75">
      <c r="C512" s="80"/>
      <c r="E512" s="48"/>
      <c r="K512" s="48"/>
      <c r="CU512" s="53" t="e">
        <v>#N/A</v>
      </c>
      <c r="CV512" s="53" t="e">
        <v>#N/A</v>
      </c>
      <c r="CW512" s="53" t="e">
        <v>#N/A</v>
      </c>
      <c r="CX512" s="53" t="e">
        <v>#N/A</v>
      </c>
      <c r="CY512" s="53" t="e">
        <v>#N/A</v>
      </c>
      <c r="CZ512" s="53" t="e">
        <v>#N/A</v>
      </c>
      <c r="DA512" s="53" t="e">
        <v>#N/A</v>
      </c>
      <c r="DB512" s="53" t="e">
        <v>#N/A</v>
      </c>
      <c r="DC512" s="53" t="e">
        <v>#N/A</v>
      </c>
      <c r="DD512" s="53" t="e">
        <v>#N/A</v>
      </c>
      <c r="DE512" s="53" t="e">
        <v>#N/A</v>
      </c>
      <c r="DF512" s="53" t="e">
        <v>#N/A</v>
      </c>
      <c r="DG512" s="53" t="e">
        <v>#N/A</v>
      </c>
      <c r="DH512" s="53" t="e">
        <v>#N/A</v>
      </c>
      <c r="DI512" s="53" t="e">
        <v>#N/A</v>
      </c>
      <c r="DJ512" s="53" t="e">
        <v>#N/A</v>
      </c>
    </row>
    <row r="513" spans="3:114" s="53" customFormat="1" ht="12.75">
      <c r="C513" s="80"/>
      <c r="E513" s="48"/>
      <c r="K513" s="48"/>
      <c r="CU513" s="53" t="e">
        <v>#N/A</v>
      </c>
      <c r="CV513" s="53" t="e">
        <v>#N/A</v>
      </c>
      <c r="CW513" s="53" t="e">
        <v>#N/A</v>
      </c>
      <c r="CX513" s="53" t="e">
        <v>#N/A</v>
      </c>
      <c r="CY513" s="53" t="e">
        <v>#N/A</v>
      </c>
      <c r="CZ513" s="53" t="e">
        <v>#N/A</v>
      </c>
      <c r="DA513" s="53" t="e">
        <v>#N/A</v>
      </c>
      <c r="DB513" s="53" t="e">
        <v>#N/A</v>
      </c>
      <c r="DC513" s="53" t="e">
        <v>#N/A</v>
      </c>
      <c r="DD513" s="53" t="e">
        <v>#N/A</v>
      </c>
      <c r="DE513" s="53" t="e">
        <v>#N/A</v>
      </c>
      <c r="DF513" s="53" t="e">
        <v>#N/A</v>
      </c>
      <c r="DG513" s="53" t="e">
        <v>#N/A</v>
      </c>
      <c r="DH513" s="53" t="e">
        <v>#N/A</v>
      </c>
      <c r="DI513" s="53" t="e">
        <v>#N/A</v>
      </c>
      <c r="DJ513" s="53" t="e">
        <v>#N/A</v>
      </c>
    </row>
    <row r="514" spans="3:114" s="53" customFormat="1" ht="12.75">
      <c r="C514" s="80"/>
      <c r="E514" s="48"/>
      <c r="K514" s="48"/>
      <c r="CU514" s="53" t="e">
        <v>#N/A</v>
      </c>
      <c r="CV514" s="53" t="e">
        <v>#N/A</v>
      </c>
      <c r="CW514" s="53" t="e">
        <v>#N/A</v>
      </c>
      <c r="CX514" s="53" t="e">
        <v>#N/A</v>
      </c>
      <c r="CY514" s="53" t="e">
        <v>#N/A</v>
      </c>
      <c r="CZ514" s="53" t="e">
        <v>#N/A</v>
      </c>
      <c r="DA514" s="53" t="e">
        <v>#N/A</v>
      </c>
      <c r="DB514" s="53" t="e">
        <v>#N/A</v>
      </c>
      <c r="DC514" s="53" t="e">
        <v>#N/A</v>
      </c>
      <c r="DD514" s="53" t="e">
        <v>#N/A</v>
      </c>
      <c r="DE514" s="53" t="e">
        <v>#N/A</v>
      </c>
      <c r="DF514" s="53" t="e">
        <v>#N/A</v>
      </c>
      <c r="DG514" s="53" t="e">
        <v>#N/A</v>
      </c>
      <c r="DH514" s="53" t="e">
        <v>#N/A</v>
      </c>
      <c r="DI514" s="53" t="e">
        <v>#N/A</v>
      </c>
      <c r="DJ514" s="53" t="e">
        <v>#N/A</v>
      </c>
    </row>
    <row r="515" spans="3:114" s="53" customFormat="1" ht="12.75">
      <c r="C515" s="80"/>
      <c r="E515" s="48"/>
      <c r="K515" s="48"/>
      <c r="CU515" s="53" t="e">
        <v>#N/A</v>
      </c>
      <c r="CV515" s="53" t="e">
        <v>#N/A</v>
      </c>
      <c r="CW515" s="53" t="e">
        <v>#N/A</v>
      </c>
      <c r="CX515" s="53" t="e">
        <v>#N/A</v>
      </c>
      <c r="CY515" s="53" t="e">
        <v>#N/A</v>
      </c>
      <c r="CZ515" s="53" t="e">
        <v>#N/A</v>
      </c>
      <c r="DA515" s="53" t="e">
        <v>#N/A</v>
      </c>
      <c r="DB515" s="53" t="e">
        <v>#N/A</v>
      </c>
      <c r="DC515" s="53" t="e">
        <v>#N/A</v>
      </c>
      <c r="DD515" s="53" t="e">
        <v>#N/A</v>
      </c>
      <c r="DE515" s="53" t="e">
        <v>#N/A</v>
      </c>
      <c r="DF515" s="53" t="e">
        <v>#N/A</v>
      </c>
      <c r="DG515" s="53" t="e">
        <v>#N/A</v>
      </c>
      <c r="DH515" s="53" t="e">
        <v>#N/A</v>
      </c>
      <c r="DI515" s="53" t="e">
        <v>#N/A</v>
      </c>
      <c r="DJ515" s="53" t="e">
        <v>#N/A</v>
      </c>
    </row>
    <row r="516" spans="3:114" s="53" customFormat="1" ht="12.75">
      <c r="C516" s="80"/>
      <c r="E516" s="48"/>
      <c r="K516" s="48"/>
      <c r="CU516" s="53" t="e">
        <v>#N/A</v>
      </c>
      <c r="CV516" s="53" t="e">
        <v>#N/A</v>
      </c>
      <c r="CW516" s="53" t="e">
        <v>#N/A</v>
      </c>
      <c r="CX516" s="53" t="e">
        <v>#N/A</v>
      </c>
      <c r="CY516" s="53" t="e">
        <v>#N/A</v>
      </c>
      <c r="CZ516" s="53" t="e">
        <v>#N/A</v>
      </c>
      <c r="DA516" s="53" t="e">
        <v>#N/A</v>
      </c>
      <c r="DB516" s="53" t="e">
        <v>#N/A</v>
      </c>
      <c r="DC516" s="53" t="e">
        <v>#N/A</v>
      </c>
      <c r="DD516" s="53" t="e">
        <v>#N/A</v>
      </c>
      <c r="DE516" s="53" t="e">
        <v>#N/A</v>
      </c>
      <c r="DF516" s="53" t="e">
        <v>#N/A</v>
      </c>
      <c r="DG516" s="53" t="e">
        <v>#N/A</v>
      </c>
      <c r="DH516" s="53" t="e">
        <v>#N/A</v>
      </c>
      <c r="DI516" s="53" t="e">
        <v>#N/A</v>
      </c>
      <c r="DJ516" s="53" t="e">
        <v>#N/A</v>
      </c>
    </row>
    <row r="517" spans="3:114" s="53" customFormat="1" ht="12.75">
      <c r="C517" s="80"/>
      <c r="E517" s="48"/>
      <c r="K517" s="48"/>
      <c r="N517" s="53" t="str">
        <f t="shared" ref="N517:N580" si="84">IF(A517="Y",""""&amp;C517&amp;""""&amp;": "&amp;M517&amp;",","")</f>
        <v/>
      </c>
      <c r="O517" s="53" t="str">
        <f t="shared" ref="O517:O580" si="85">IF(D517="input","fill",IF(I517&lt;&gt;"","innerText",IF(J517="Y",$T$110,"click")))</f>
        <v>click</v>
      </c>
      <c r="P517" s="53" t="str">
        <f t="shared" si="78"/>
        <v>();</v>
      </c>
      <c r="Q517" s="53" t="str">
        <f t="shared" ref="Q517:Q548" si="86">IF(A517="Y",IF(H517&lt;&gt;"Xpath",M517&amp;F517&amp;N517,""""&amp;F517&amp;""""),"")</f>
        <v/>
      </c>
      <c r="R517" s="53" t="str">
        <f t="shared" ref="R517:R548" si="87">IF(C517="Y",""""&amp;E517&amp;""""&amp;":"&amp;Q517&amp;",","")</f>
        <v/>
      </c>
      <c r="S517" s="53" t="str">
        <f t="shared" ref="S517:S580" si="88">IF(O517="innerText",I517&amp;"="&amp;IF(C517="Y",IF(J517&lt;&gt;"Y",$S$9&amp;$R$10&amp;"."&amp;E517&amp;")."&amp;IF(OR(O517="click",O517="innerText"),O517&amp;"();",O517&amp;"("&amp;$Q$9&amp;"."&amp;E517&amp;");"),$S$110&amp;$R$10&amp;"."&amp;E517&amp;")."&amp;IF(O517="click",O517&amp;"();",O517&amp;"("&amp;"'"&amp;K517&amp;"'"&amp;");")),""),IF(C517="Y",IF(J517&lt;&gt;"Y",$S$9&amp;$R$10&amp;"."&amp;E517&amp;")."&amp;IF(OR(O517="click",O517="innerText"),O517&amp;"();",O517&amp;"("&amp;$Q$9&amp;"."&amp;E517&amp;");"),$S$110&amp;$R$10&amp;"."&amp;E517&amp;")."&amp;IF(O517="click",O517&amp;"();",O517&amp;"("&amp;"'"&amp;K517&amp;"'"&amp;");")),""))</f>
        <v/>
      </c>
      <c r="CU517" s="53" t="e">
        <v>#N/A</v>
      </c>
      <c r="CV517" s="53" t="e">
        <v>#N/A</v>
      </c>
      <c r="CW517" s="53" t="e">
        <v>#N/A</v>
      </c>
      <c r="CX517" s="53" t="e">
        <v>#N/A</v>
      </c>
      <c r="CY517" s="53" t="e">
        <v>#N/A</v>
      </c>
      <c r="CZ517" s="53" t="e">
        <v>#N/A</v>
      </c>
      <c r="DA517" s="53" t="e">
        <v>#N/A</v>
      </c>
      <c r="DB517" s="53" t="e">
        <v>#N/A</v>
      </c>
      <c r="DC517" s="53" t="e">
        <v>#N/A</v>
      </c>
      <c r="DD517" s="53" t="e">
        <v>#N/A</v>
      </c>
      <c r="DE517" s="53" t="e">
        <v>#N/A</v>
      </c>
      <c r="DF517" s="53" t="e">
        <v>#N/A</v>
      </c>
      <c r="DG517" s="53" t="e">
        <v>#N/A</v>
      </c>
      <c r="DH517" s="53" t="e">
        <v>#N/A</v>
      </c>
      <c r="DI517" s="53" t="e">
        <v>#N/A</v>
      </c>
      <c r="DJ517" s="53" t="e">
        <v>#N/A</v>
      </c>
    </row>
    <row r="518" spans="3:114" s="53" customFormat="1" ht="12.75">
      <c r="C518" s="80"/>
      <c r="E518" s="48"/>
      <c r="K518" s="48"/>
      <c r="N518" s="53" t="str">
        <f t="shared" si="84"/>
        <v/>
      </c>
      <c r="O518" s="53" t="str">
        <f t="shared" si="85"/>
        <v>click</v>
      </c>
      <c r="P518" s="53" t="str">
        <f t="shared" si="78"/>
        <v>();</v>
      </c>
      <c r="Q518" s="53" t="str">
        <f t="shared" si="86"/>
        <v/>
      </c>
      <c r="R518" s="53" t="str">
        <f t="shared" si="87"/>
        <v/>
      </c>
      <c r="S518" s="53" t="str">
        <f t="shared" si="88"/>
        <v/>
      </c>
      <c r="CU518" s="53" t="e">
        <v>#N/A</v>
      </c>
      <c r="CV518" s="53" t="e">
        <v>#N/A</v>
      </c>
      <c r="CW518" s="53" t="e">
        <v>#N/A</v>
      </c>
      <c r="CX518" s="53" t="e">
        <v>#N/A</v>
      </c>
      <c r="CY518" s="53" t="e">
        <v>#N/A</v>
      </c>
      <c r="CZ518" s="53" t="e">
        <v>#N/A</v>
      </c>
      <c r="DA518" s="53" t="e">
        <v>#N/A</v>
      </c>
      <c r="DB518" s="53" t="e">
        <v>#N/A</v>
      </c>
      <c r="DC518" s="53" t="e">
        <v>#N/A</v>
      </c>
      <c r="DD518" s="53" t="e">
        <v>#N/A</v>
      </c>
      <c r="DE518" s="53" t="e">
        <v>#N/A</v>
      </c>
      <c r="DF518" s="53" t="e">
        <v>#N/A</v>
      </c>
      <c r="DG518" s="53" t="e">
        <v>#N/A</v>
      </c>
      <c r="DH518" s="53" t="e">
        <v>#N/A</v>
      </c>
      <c r="DI518" s="53" t="e">
        <v>#N/A</v>
      </c>
      <c r="DJ518" s="53" t="e">
        <v>#N/A</v>
      </c>
    </row>
    <row r="519" spans="3:114" s="53" customFormat="1" ht="12.75">
      <c r="C519" s="80"/>
      <c r="E519" s="48"/>
      <c r="K519" s="48"/>
      <c r="N519" s="53" t="str">
        <f t="shared" si="84"/>
        <v/>
      </c>
      <c r="O519" s="53" t="str">
        <f t="shared" si="85"/>
        <v>click</v>
      </c>
      <c r="P519" s="53" t="str">
        <f t="shared" si="78"/>
        <v>();</v>
      </c>
      <c r="Q519" s="53" t="str">
        <f t="shared" si="86"/>
        <v/>
      </c>
      <c r="R519" s="53" t="str">
        <f t="shared" si="87"/>
        <v/>
      </c>
      <c r="S519" s="53" t="str">
        <f t="shared" si="88"/>
        <v/>
      </c>
      <c r="CU519" s="53" t="e">
        <v>#N/A</v>
      </c>
      <c r="CV519" s="53" t="e">
        <v>#N/A</v>
      </c>
      <c r="CW519" s="53" t="e">
        <v>#N/A</v>
      </c>
      <c r="CX519" s="53" t="e">
        <v>#N/A</v>
      </c>
      <c r="CY519" s="53" t="e">
        <v>#N/A</v>
      </c>
      <c r="CZ519" s="53" t="e">
        <v>#N/A</v>
      </c>
      <c r="DA519" s="53" t="e">
        <v>#N/A</v>
      </c>
      <c r="DB519" s="53" t="e">
        <v>#N/A</v>
      </c>
      <c r="DC519" s="53" t="e">
        <v>#N/A</v>
      </c>
      <c r="DD519" s="53" t="e">
        <v>#N/A</v>
      </c>
      <c r="DE519" s="53" t="e">
        <v>#N/A</v>
      </c>
      <c r="DF519" s="53" t="e">
        <v>#N/A</v>
      </c>
      <c r="DG519" s="53" t="e">
        <v>#N/A</v>
      </c>
      <c r="DH519" s="53" t="e">
        <v>#N/A</v>
      </c>
      <c r="DI519" s="53" t="e">
        <v>#N/A</v>
      </c>
      <c r="DJ519" s="53" t="e">
        <v>#N/A</v>
      </c>
    </row>
    <row r="520" spans="3:114" s="53" customFormat="1" ht="12.75">
      <c r="C520" s="80"/>
      <c r="E520" s="48"/>
      <c r="K520" s="48"/>
      <c r="N520" s="53" t="str">
        <f t="shared" si="84"/>
        <v/>
      </c>
      <c r="O520" s="53" t="str">
        <f t="shared" si="85"/>
        <v>click</v>
      </c>
      <c r="P520" s="53" t="str">
        <f t="shared" si="78"/>
        <v>();</v>
      </c>
      <c r="Q520" s="53" t="str">
        <f t="shared" si="86"/>
        <v/>
      </c>
      <c r="R520" s="53" t="str">
        <f t="shared" si="87"/>
        <v/>
      </c>
      <c r="S520" s="53" t="str">
        <f t="shared" si="88"/>
        <v/>
      </c>
      <c r="CU520" s="53" t="e">
        <v>#N/A</v>
      </c>
      <c r="CV520" s="53" t="e">
        <v>#N/A</v>
      </c>
      <c r="CW520" s="53" t="e">
        <v>#N/A</v>
      </c>
      <c r="CX520" s="53" t="e">
        <v>#N/A</v>
      </c>
      <c r="CY520" s="53" t="e">
        <v>#N/A</v>
      </c>
      <c r="CZ520" s="53" t="e">
        <v>#N/A</v>
      </c>
      <c r="DA520" s="53" t="e">
        <v>#N/A</v>
      </c>
      <c r="DB520" s="53" t="e">
        <v>#N/A</v>
      </c>
      <c r="DC520" s="53" t="e">
        <v>#N/A</v>
      </c>
      <c r="DD520" s="53" t="e">
        <v>#N/A</v>
      </c>
      <c r="DE520" s="53" t="e">
        <v>#N/A</v>
      </c>
      <c r="DF520" s="53" t="e">
        <v>#N/A</v>
      </c>
      <c r="DG520" s="53" t="e">
        <v>#N/A</v>
      </c>
      <c r="DH520" s="53" t="e">
        <v>#N/A</v>
      </c>
      <c r="DI520" s="53" t="e">
        <v>#N/A</v>
      </c>
      <c r="DJ520" s="53" t="e">
        <v>#N/A</v>
      </c>
    </row>
    <row r="521" spans="3:114" s="53" customFormat="1" ht="12.75">
      <c r="C521" s="80"/>
      <c r="E521" s="48"/>
      <c r="K521" s="48"/>
      <c r="N521" s="53" t="str">
        <f t="shared" si="84"/>
        <v/>
      </c>
      <c r="O521" s="53" t="str">
        <f t="shared" si="85"/>
        <v>click</v>
      </c>
      <c r="P521" s="53" t="str">
        <f t="shared" si="78"/>
        <v>();</v>
      </c>
      <c r="Q521" s="53" t="str">
        <f t="shared" si="86"/>
        <v/>
      </c>
      <c r="R521" s="53" t="str">
        <f t="shared" si="87"/>
        <v/>
      </c>
      <c r="S521" s="53" t="str">
        <f t="shared" si="88"/>
        <v/>
      </c>
      <c r="CU521" s="53" t="e">
        <v>#N/A</v>
      </c>
      <c r="CV521" s="53" t="e">
        <v>#N/A</v>
      </c>
      <c r="CW521" s="53" t="e">
        <v>#N/A</v>
      </c>
      <c r="CX521" s="53" t="e">
        <v>#N/A</v>
      </c>
      <c r="CY521" s="53" t="e">
        <v>#N/A</v>
      </c>
      <c r="CZ521" s="53" t="e">
        <v>#N/A</v>
      </c>
      <c r="DA521" s="53" t="e">
        <v>#N/A</v>
      </c>
      <c r="DB521" s="53" t="e">
        <v>#N/A</v>
      </c>
      <c r="DC521" s="53" t="e">
        <v>#N/A</v>
      </c>
      <c r="DD521" s="53" t="e">
        <v>#N/A</v>
      </c>
      <c r="DE521" s="53" t="e">
        <v>#N/A</v>
      </c>
      <c r="DF521" s="53" t="e">
        <v>#N/A</v>
      </c>
      <c r="DG521" s="53" t="e">
        <v>#N/A</v>
      </c>
      <c r="DH521" s="53" t="e">
        <v>#N/A</v>
      </c>
      <c r="DI521" s="53" t="e">
        <v>#N/A</v>
      </c>
      <c r="DJ521" s="53" t="e">
        <v>#N/A</v>
      </c>
    </row>
    <row r="522" spans="3:114" s="53" customFormat="1" ht="12.75">
      <c r="C522" s="80"/>
      <c r="E522" s="48"/>
      <c r="K522" s="48"/>
      <c r="N522" s="53" t="str">
        <f t="shared" si="84"/>
        <v/>
      </c>
      <c r="O522" s="53" t="str">
        <f t="shared" si="85"/>
        <v>click</v>
      </c>
      <c r="P522" s="53" t="str">
        <f t="shared" si="78"/>
        <v>();</v>
      </c>
      <c r="Q522" s="53" t="str">
        <f t="shared" si="86"/>
        <v/>
      </c>
      <c r="R522" s="53" t="str">
        <f t="shared" si="87"/>
        <v/>
      </c>
      <c r="S522" s="53" t="str">
        <f t="shared" si="88"/>
        <v/>
      </c>
      <c r="CU522" s="53" t="e">
        <v>#N/A</v>
      </c>
      <c r="CV522" s="53" t="e">
        <v>#N/A</v>
      </c>
      <c r="CW522" s="53" t="e">
        <v>#N/A</v>
      </c>
      <c r="CX522" s="53" t="e">
        <v>#N/A</v>
      </c>
      <c r="CY522" s="53" t="e">
        <v>#N/A</v>
      </c>
      <c r="CZ522" s="53" t="e">
        <v>#N/A</v>
      </c>
      <c r="DA522" s="53" t="e">
        <v>#N/A</v>
      </c>
      <c r="DB522" s="53" t="e">
        <v>#N/A</v>
      </c>
      <c r="DC522" s="53" t="e">
        <v>#N/A</v>
      </c>
      <c r="DD522" s="53" t="e">
        <v>#N/A</v>
      </c>
      <c r="DE522" s="53" t="e">
        <v>#N/A</v>
      </c>
      <c r="DF522" s="53" t="e">
        <v>#N/A</v>
      </c>
      <c r="DG522" s="53" t="e">
        <v>#N/A</v>
      </c>
      <c r="DH522" s="53" t="e">
        <v>#N/A</v>
      </c>
      <c r="DI522" s="53" t="e">
        <v>#N/A</v>
      </c>
      <c r="DJ522" s="53" t="e">
        <v>#N/A</v>
      </c>
    </row>
    <row r="523" spans="3:114" s="53" customFormat="1" ht="12.75">
      <c r="C523" s="80"/>
      <c r="E523" s="48"/>
      <c r="K523" s="48"/>
      <c r="N523" s="53" t="str">
        <f t="shared" si="84"/>
        <v/>
      </c>
      <c r="O523" s="53" t="str">
        <f t="shared" si="85"/>
        <v>click</v>
      </c>
      <c r="P523" s="53" t="str">
        <f t="shared" si="78"/>
        <v>();</v>
      </c>
      <c r="Q523" s="53" t="str">
        <f t="shared" si="86"/>
        <v/>
      </c>
      <c r="R523" s="53" t="str">
        <f t="shared" si="87"/>
        <v/>
      </c>
      <c r="S523" s="53" t="str">
        <f t="shared" si="88"/>
        <v/>
      </c>
      <c r="CU523" s="53" t="e">
        <v>#N/A</v>
      </c>
      <c r="CV523" s="53" t="e">
        <v>#N/A</v>
      </c>
      <c r="CW523" s="53" t="e">
        <v>#N/A</v>
      </c>
      <c r="CX523" s="53" t="e">
        <v>#N/A</v>
      </c>
      <c r="CY523" s="53" t="e">
        <v>#N/A</v>
      </c>
      <c r="CZ523" s="53" t="e">
        <v>#N/A</v>
      </c>
      <c r="DA523" s="53" t="e">
        <v>#N/A</v>
      </c>
      <c r="DB523" s="53" t="e">
        <v>#N/A</v>
      </c>
      <c r="DC523" s="53" t="e">
        <v>#N/A</v>
      </c>
      <c r="DD523" s="53" t="e">
        <v>#N/A</v>
      </c>
      <c r="DE523" s="53" t="e">
        <v>#N/A</v>
      </c>
      <c r="DF523" s="53" t="e">
        <v>#N/A</v>
      </c>
      <c r="DG523" s="53" t="e">
        <v>#N/A</v>
      </c>
      <c r="DH523" s="53" t="e">
        <v>#N/A</v>
      </c>
      <c r="DI523" s="53" t="e">
        <v>#N/A</v>
      </c>
      <c r="DJ523" s="53" t="e">
        <v>#N/A</v>
      </c>
    </row>
    <row r="524" spans="3:114" s="53" customFormat="1" ht="12.75">
      <c r="C524" s="80"/>
      <c r="E524" s="48"/>
      <c r="K524" s="48"/>
      <c r="N524" s="53" t="str">
        <f t="shared" si="84"/>
        <v/>
      </c>
      <c r="O524" s="53" t="str">
        <f t="shared" si="85"/>
        <v>click</v>
      </c>
      <c r="P524" s="53" t="str">
        <f t="shared" ref="P524:P587" si="89">IF(OR(O524="Click",O524="innerText"),"();","("&amp;""""&amp;K524&amp;""""&amp;");")</f>
        <v>();</v>
      </c>
      <c r="Q524" s="53" t="str">
        <f t="shared" si="86"/>
        <v/>
      </c>
      <c r="R524" s="53" t="str">
        <f t="shared" si="87"/>
        <v/>
      </c>
      <c r="S524" s="53" t="str">
        <f t="shared" si="88"/>
        <v/>
      </c>
      <c r="CU524" s="53" t="e">
        <v>#N/A</v>
      </c>
      <c r="CV524" s="53" t="e">
        <v>#N/A</v>
      </c>
      <c r="CW524" s="53" t="e">
        <v>#N/A</v>
      </c>
      <c r="CX524" s="53" t="e">
        <v>#N/A</v>
      </c>
      <c r="CY524" s="53" t="e">
        <v>#N/A</v>
      </c>
      <c r="CZ524" s="53" t="e">
        <v>#N/A</v>
      </c>
      <c r="DA524" s="53" t="e">
        <v>#N/A</v>
      </c>
      <c r="DB524" s="53" t="e">
        <v>#N/A</v>
      </c>
      <c r="DC524" s="53" t="e">
        <v>#N/A</v>
      </c>
      <c r="DD524" s="53" t="e">
        <v>#N/A</v>
      </c>
      <c r="DE524" s="53" t="e">
        <v>#N/A</v>
      </c>
      <c r="DF524" s="53" t="e">
        <v>#N/A</v>
      </c>
      <c r="DG524" s="53" t="e">
        <v>#N/A</v>
      </c>
      <c r="DH524" s="53" t="e">
        <v>#N/A</v>
      </c>
      <c r="DI524" s="53" t="e">
        <v>#N/A</v>
      </c>
      <c r="DJ524" s="53" t="e">
        <v>#N/A</v>
      </c>
    </row>
    <row r="525" spans="3:114" s="53" customFormat="1" ht="12.75">
      <c r="C525" s="80"/>
      <c r="E525" s="48"/>
      <c r="K525" s="48"/>
      <c r="N525" s="53" t="str">
        <f t="shared" si="84"/>
        <v/>
      </c>
      <c r="O525" s="53" t="str">
        <f t="shared" si="85"/>
        <v>click</v>
      </c>
      <c r="P525" s="53" t="str">
        <f t="shared" si="89"/>
        <v>();</v>
      </c>
      <c r="Q525" s="53" t="str">
        <f t="shared" si="86"/>
        <v/>
      </c>
      <c r="R525" s="53" t="str">
        <f t="shared" si="87"/>
        <v/>
      </c>
      <c r="S525" s="53" t="str">
        <f t="shared" si="88"/>
        <v/>
      </c>
      <c r="CU525" s="53" t="e">
        <v>#N/A</v>
      </c>
      <c r="CV525" s="53" t="e">
        <v>#N/A</v>
      </c>
      <c r="CW525" s="53" t="e">
        <v>#N/A</v>
      </c>
      <c r="CX525" s="53" t="e">
        <v>#N/A</v>
      </c>
      <c r="CY525" s="53" t="e">
        <v>#N/A</v>
      </c>
      <c r="CZ525" s="53" t="e">
        <v>#N/A</v>
      </c>
      <c r="DA525" s="53" t="e">
        <v>#N/A</v>
      </c>
      <c r="DB525" s="53" t="e">
        <v>#N/A</v>
      </c>
      <c r="DC525" s="53" t="e">
        <v>#N/A</v>
      </c>
      <c r="DD525" s="53" t="e">
        <v>#N/A</v>
      </c>
      <c r="DE525" s="53" t="e">
        <v>#N/A</v>
      </c>
      <c r="DF525" s="53" t="e">
        <v>#N/A</v>
      </c>
      <c r="DG525" s="53" t="e">
        <v>#N/A</v>
      </c>
      <c r="DH525" s="53" t="e">
        <v>#N/A</v>
      </c>
      <c r="DI525" s="53" t="e">
        <v>#N/A</v>
      </c>
      <c r="DJ525" s="53" t="e">
        <v>#N/A</v>
      </c>
    </row>
    <row r="526" spans="3:114" s="53" customFormat="1" ht="12.75">
      <c r="C526" s="80"/>
      <c r="E526" s="48"/>
      <c r="K526" s="48"/>
      <c r="N526" s="53" t="str">
        <f t="shared" si="84"/>
        <v/>
      </c>
      <c r="O526" s="53" t="str">
        <f t="shared" si="85"/>
        <v>click</v>
      </c>
      <c r="P526" s="53" t="str">
        <f t="shared" si="89"/>
        <v>();</v>
      </c>
      <c r="Q526" s="53" t="str">
        <f t="shared" si="86"/>
        <v/>
      </c>
      <c r="R526" s="53" t="str">
        <f t="shared" si="87"/>
        <v/>
      </c>
      <c r="S526" s="53" t="str">
        <f t="shared" si="88"/>
        <v/>
      </c>
      <c r="CU526" s="53" t="e">
        <v>#N/A</v>
      </c>
      <c r="CV526" s="53" t="e">
        <v>#N/A</v>
      </c>
      <c r="CW526" s="53" t="e">
        <v>#N/A</v>
      </c>
      <c r="CX526" s="53" t="e">
        <v>#N/A</v>
      </c>
      <c r="CY526" s="53" t="e">
        <v>#N/A</v>
      </c>
      <c r="CZ526" s="53" t="e">
        <v>#N/A</v>
      </c>
      <c r="DA526" s="53" t="e">
        <v>#N/A</v>
      </c>
      <c r="DB526" s="53" t="e">
        <v>#N/A</v>
      </c>
      <c r="DC526" s="53" t="e">
        <v>#N/A</v>
      </c>
      <c r="DD526" s="53" t="e">
        <v>#N/A</v>
      </c>
      <c r="DE526" s="53" t="e">
        <v>#N/A</v>
      </c>
      <c r="DF526" s="53" t="e">
        <v>#N/A</v>
      </c>
      <c r="DG526" s="53" t="e">
        <v>#N/A</v>
      </c>
      <c r="DH526" s="53" t="e">
        <v>#N/A</v>
      </c>
      <c r="DI526" s="53" t="e">
        <v>#N/A</v>
      </c>
      <c r="DJ526" s="53" t="e">
        <v>#N/A</v>
      </c>
    </row>
    <row r="527" spans="3:114" s="53" customFormat="1" ht="12.75">
      <c r="C527" s="80"/>
      <c r="E527" s="48"/>
      <c r="K527" s="48"/>
      <c r="N527" s="53" t="str">
        <f t="shared" si="84"/>
        <v/>
      </c>
      <c r="O527" s="53" t="str">
        <f t="shared" si="85"/>
        <v>click</v>
      </c>
      <c r="P527" s="53" t="str">
        <f t="shared" si="89"/>
        <v>();</v>
      </c>
      <c r="Q527" s="53" t="str">
        <f t="shared" si="86"/>
        <v/>
      </c>
      <c r="R527" s="53" t="str">
        <f t="shared" si="87"/>
        <v/>
      </c>
      <c r="S527" s="53" t="str">
        <f t="shared" si="88"/>
        <v/>
      </c>
      <c r="CU527" s="53" t="e">
        <v>#N/A</v>
      </c>
      <c r="CV527" s="53" t="e">
        <v>#N/A</v>
      </c>
      <c r="CW527" s="53" t="e">
        <v>#N/A</v>
      </c>
      <c r="CX527" s="53" t="e">
        <v>#N/A</v>
      </c>
      <c r="CY527" s="53" t="e">
        <v>#N/A</v>
      </c>
      <c r="CZ527" s="53" t="e">
        <v>#N/A</v>
      </c>
      <c r="DA527" s="53" t="e">
        <v>#N/A</v>
      </c>
      <c r="DB527" s="53" t="e">
        <v>#N/A</v>
      </c>
      <c r="DC527" s="53" t="e">
        <v>#N/A</v>
      </c>
      <c r="DD527" s="53" t="e">
        <v>#N/A</v>
      </c>
      <c r="DE527" s="53" t="e">
        <v>#N/A</v>
      </c>
      <c r="DF527" s="53" t="e">
        <v>#N/A</v>
      </c>
      <c r="DG527" s="53" t="e">
        <v>#N/A</v>
      </c>
      <c r="DH527" s="53" t="e">
        <v>#N/A</v>
      </c>
      <c r="DI527" s="53" t="e">
        <v>#N/A</v>
      </c>
      <c r="DJ527" s="53" t="e">
        <v>#N/A</v>
      </c>
    </row>
    <row r="528" spans="3:114" s="53" customFormat="1" ht="12.75">
      <c r="C528" s="80"/>
      <c r="E528" s="48"/>
      <c r="K528" s="48"/>
      <c r="N528" s="53" t="str">
        <f t="shared" si="84"/>
        <v/>
      </c>
      <c r="O528" s="53" t="str">
        <f t="shared" si="85"/>
        <v>click</v>
      </c>
      <c r="P528" s="53" t="str">
        <f t="shared" si="89"/>
        <v>();</v>
      </c>
      <c r="Q528" s="53" t="str">
        <f t="shared" si="86"/>
        <v/>
      </c>
      <c r="R528" s="53" t="str">
        <f t="shared" si="87"/>
        <v/>
      </c>
      <c r="S528" s="53" t="str">
        <f t="shared" si="88"/>
        <v/>
      </c>
      <c r="CU528" s="53" t="e">
        <v>#N/A</v>
      </c>
      <c r="CV528" s="53" t="e">
        <v>#N/A</v>
      </c>
      <c r="CW528" s="53" t="e">
        <v>#N/A</v>
      </c>
      <c r="CX528" s="53" t="e">
        <v>#N/A</v>
      </c>
      <c r="CY528" s="53" t="e">
        <v>#N/A</v>
      </c>
      <c r="CZ528" s="53" t="e">
        <v>#N/A</v>
      </c>
      <c r="DA528" s="53" t="e">
        <v>#N/A</v>
      </c>
      <c r="DB528" s="53" t="e">
        <v>#N/A</v>
      </c>
      <c r="DC528" s="53" t="e">
        <v>#N/A</v>
      </c>
      <c r="DD528" s="53" t="e">
        <v>#N/A</v>
      </c>
      <c r="DE528" s="53" t="e">
        <v>#N/A</v>
      </c>
      <c r="DF528" s="53" t="e">
        <v>#N/A</v>
      </c>
      <c r="DG528" s="53" t="e">
        <v>#N/A</v>
      </c>
      <c r="DH528" s="53" t="e">
        <v>#N/A</v>
      </c>
      <c r="DI528" s="53" t="e">
        <v>#N/A</v>
      </c>
      <c r="DJ528" s="53" t="e">
        <v>#N/A</v>
      </c>
    </row>
    <row r="529" spans="3:114" s="53" customFormat="1" ht="12.75">
      <c r="C529" s="80"/>
      <c r="E529" s="48"/>
      <c r="K529" s="48"/>
      <c r="N529" s="53" t="str">
        <f t="shared" si="84"/>
        <v/>
      </c>
      <c r="O529" s="53" t="str">
        <f t="shared" si="85"/>
        <v>click</v>
      </c>
      <c r="P529" s="53" t="str">
        <f t="shared" si="89"/>
        <v>();</v>
      </c>
      <c r="Q529" s="53" t="str">
        <f t="shared" si="86"/>
        <v/>
      </c>
      <c r="R529" s="53" t="str">
        <f t="shared" si="87"/>
        <v/>
      </c>
      <c r="S529" s="53" t="str">
        <f t="shared" si="88"/>
        <v/>
      </c>
      <c r="CU529" s="53" t="e">
        <v>#N/A</v>
      </c>
      <c r="CV529" s="53" t="e">
        <v>#N/A</v>
      </c>
      <c r="CW529" s="53" t="e">
        <v>#N/A</v>
      </c>
      <c r="CX529" s="53" t="e">
        <v>#N/A</v>
      </c>
      <c r="CY529" s="53" t="e">
        <v>#N/A</v>
      </c>
      <c r="CZ529" s="53" t="e">
        <v>#N/A</v>
      </c>
      <c r="DA529" s="53" t="e">
        <v>#N/A</v>
      </c>
      <c r="DB529" s="53" t="e">
        <v>#N/A</v>
      </c>
      <c r="DC529" s="53" t="e">
        <v>#N/A</v>
      </c>
      <c r="DD529" s="53" t="e">
        <v>#N/A</v>
      </c>
      <c r="DE529" s="53" t="e">
        <v>#N/A</v>
      </c>
      <c r="DF529" s="53" t="e">
        <v>#N/A</v>
      </c>
      <c r="DG529" s="53" t="e">
        <v>#N/A</v>
      </c>
      <c r="DH529" s="53" t="e">
        <v>#N/A</v>
      </c>
      <c r="DI529" s="53" t="e">
        <v>#N/A</v>
      </c>
      <c r="DJ529" s="53" t="e">
        <v>#N/A</v>
      </c>
    </row>
    <row r="530" spans="3:114" s="53" customFormat="1" ht="12.75">
      <c r="C530" s="80"/>
      <c r="E530" s="48"/>
      <c r="K530" s="48"/>
      <c r="N530" s="53" t="str">
        <f t="shared" si="84"/>
        <v/>
      </c>
      <c r="O530" s="53" t="str">
        <f t="shared" si="85"/>
        <v>click</v>
      </c>
      <c r="P530" s="53" t="str">
        <f t="shared" si="89"/>
        <v>();</v>
      </c>
      <c r="Q530" s="53" t="str">
        <f t="shared" si="86"/>
        <v/>
      </c>
      <c r="R530" s="53" t="str">
        <f t="shared" si="87"/>
        <v/>
      </c>
      <c r="S530" s="53" t="str">
        <f t="shared" si="88"/>
        <v/>
      </c>
      <c r="CU530" s="53" t="e">
        <v>#N/A</v>
      </c>
      <c r="CV530" s="53" t="e">
        <v>#N/A</v>
      </c>
      <c r="CW530" s="53" t="e">
        <v>#N/A</v>
      </c>
      <c r="CX530" s="53" t="e">
        <v>#N/A</v>
      </c>
      <c r="CY530" s="53" t="e">
        <v>#N/A</v>
      </c>
      <c r="CZ530" s="53" t="e">
        <v>#N/A</v>
      </c>
      <c r="DA530" s="53" t="e">
        <v>#N/A</v>
      </c>
      <c r="DB530" s="53" t="e">
        <v>#N/A</v>
      </c>
      <c r="DC530" s="53" t="e">
        <v>#N/A</v>
      </c>
      <c r="DD530" s="53" t="e">
        <v>#N/A</v>
      </c>
      <c r="DE530" s="53" t="e">
        <v>#N/A</v>
      </c>
      <c r="DF530" s="53" t="e">
        <v>#N/A</v>
      </c>
      <c r="DG530" s="53" t="e">
        <v>#N/A</v>
      </c>
      <c r="DH530" s="53" t="e">
        <v>#N/A</v>
      </c>
      <c r="DI530" s="53" t="e">
        <v>#N/A</v>
      </c>
      <c r="DJ530" s="53" t="e">
        <v>#N/A</v>
      </c>
    </row>
    <row r="531" spans="3:114" s="53" customFormat="1" ht="12.75">
      <c r="C531" s="80"/>
      <c r="E531" s="48"/>
      <c r="K531" s="48"/>
      <c r="N531" s="53" t="str">
        <f t="shared" si="84"/>
        <v/>
      </c>
      <c r="O531" s="53" t="str">
        <f t="shared" si="85"/>
        <v>click</v>
      </c>
      <c r="P531" s="53" t="str">
        <f t="shared" si="89"/>
        <v>();</v>
      </c>
      <c r="Q531" s="53" t="str">
        <f t="shared" si="86"/>
        <v/>
      </c>
      <c r="R531" s="53" t="str">
        <f t="shared" si="87"/>
        <v/>
      </c>
      <c r="S531" s="53" t="str">
        <f t="shared" si="88"/>
        <v/>
      </c>
      <c r="CU531" s="53" t="e">
        <v>#N/A</v>
      </c>
      <c r="CV531" s="53" t="e">
        <v>#N/A</v>
      </c>
      <c r="CW531" s="53" t="e">
        <v>#N/A</v>
      </c>
      <c r="CX531" s="53" t="e">
        <v>#N/A</v>
      </c>
      <c r="CY531" s="53" t="e">
        <v>#N/A</v>
      </c>
      <c r="CZ531" s="53" t="e">
        <v>#N/A</v>
      </c>
      <c r="DA531" s="53" t="e">
        <v>#N/A</v>
      </c>
      <c r="DB531" s="53" t="e">
        <v>#N/A</v>
      </c>
      <c r="DC531" s="53" t="e">
        <v>#N/A</v>
      </c>
      <c r="DD531" s="53" t="e">
        <v>#N/A</v>
      </c>
      <c r="DE531" s="53" t="e">
        <v>#N/A</v>
      </c>
      <c r="DF531" s="53" t="e">
        <v>#N/A</v>
      </c>
      <c r="DG531" s="53" t="e">
        <v>#N/A</v>
      </c>
      <c r="DH531" s="53" t="e">
        <v>#N/A</v>
      </c>
      <c r="DI531" s="53" t="e">
        <v>#N/A</v>
      </c>
      <c r="DJ531" s="53" t="e">
        <v>#N/A</v>
      </c>
    </row>
    <row r="532" spans="3:114" s="53" customFormat="1" ht="12.75">
      <c r="C532" s="80"/>
      <c r="E532" s="48"/>
      <c r="K532" s="48"/>
      <c r="N532" s="53" t="str">
        <f t="shared" si="84"/>
        <v/>
      </c>
      <c r="O532" s="53" t="str">
        <f t="shared" si="85"/>
        <v>click</v>
      </c>
      <c r="P532" s="53" t="str">
        <f t="shared" si="89"/>
        <v>();</v>
      </c>
      <c r="Q532" s="53" t="str">
        <f t="shared" si="86"/>
        <v/>
      </c>
      <c r="R532" s="53" t="str">
        <f t="shared" si="87"/>
        <v/>
      </c>
      <c r="S532" s="53" t="str">
        <f t="shared" si="88"/>
        <v/>
      </c>
      <c r="CU532" s="53" t="e">
        <v>#N/A</v>
      </c>
      <c r="CV532" s="53" t="e">
        <v>#N/A</v>
      </c>
      <c r="CW532" s="53" t="e">
        <v>#N/A</v>
      </c>
      <c r="CX532" s="53" t="e">
        <v>#N/A</v>
      </c>
      <c r="CY532" s="53" t="e">
        <v>#N/A</v>
      </c>
      <c r="CZ532" s="53" t="e">
        <v>#N/A</v>
      </c>
      <c r="DA532" s="53" t="e">
        <v>#N/A</v>
      </c>
      <c r="DB532" s="53" t="e">
        <v>#N/A</v>
      </c>
      <c r="DC532" s="53" t="e">
        <v>#N/A</v>
      </c>
      <c r="DD532" s="53" t="e">
        <v>#N/A</v>
      </c>
      <c r="DE532" s="53" t="e">
        <v>#N/A</v>
      </c>
      <c r="DF532" s="53" t="e">
        <v>#N/A</v>
      </c>
      <c r="DG532" s="53" t="e">
        <v>#N/A</v>
      </c>
      <c r="DH532" s="53" t="e">
        <v>#N/A</v>
      </c>
      <c r="DI532" s="53" t="e">
        <v>#N/A</v>
      </c>
      <c r="DJ532" s="53" t="e">
        <v>#N/A</v>
      </c>
    </row>
    <row r="533" spans="3:114" s="53" customFormat="1" ht="12.75">
      <c r="C533" s="80"/>
      <c r="E533" s="48"/>
      <c r="K533" s="48"/>
      <c r="N533" s="53" t="str">
        <f t="shared" si="84"/>
        <v/>
      </c>
      <c r="O533" s="53" t="str">
        <f t="shared" si="85"/>
        <v>click</v>
      </c>
      <c r="P533" s="53" t="str">
        <f t="shared" si="89"/>
        <v>();</v>
      </c>
      <c r="Q533" s="53" t="str">
        <f t="shared" si="86"/>
        <v/>
      </c>
      <c r="R533" s="53" t="str">
        <f t="shared" si="87"/>
        <v/>
      </c>
      <c r="S533" s="53" t="str">
        <f t="shared" si="88"/>
        <v/>
      </c>
      <c r="CU533" s="53" t="e">
        <v>#N/A</v>
      </c>
      <c r="CV533" s="53" t="e">
        <v>#N/A</v>
      </c>
      <c r="CW533" s="53" t="e">
        <v>#N/A</v>
      </c>
      <c r="CX533" s="53" t="e">
        <v>#N/A</v>
      </c>
      <c r="CY533" s="53" t="e">
        <v>#N/A</v>
      </c>
      <c r="CZ533" s="53" t="e">
        <v>#N/A</v>
      </c>
      <c r="DA533" s="53" t="e">
        <v>#N/A</v>
      </c>
      <c r="DB533" s="53" t="e">
        <v>#N/A</v>
      </c>
      <c r="DC533" s="53" t="e">
        <v>#N/A</v>
      </c>
      <c r="DD533" s="53" t="e">
        <v>#N/A</v>
      </c>
      <c r="DE533" s="53" t="e">
        <v>#N/A</v>
      </c>
      <c r="DF533" s="53" t="e">
        <v>#N/A</v>
      </c>
      <c r="DG533" s="53" t="e">
        <v>#N/A</v>
      </c>
      <c r="DH533" s="53" t="e">
        <v>#N/A</v>
      </c>
      <c r="DI533" s="53" t="e">
        <v>#N/A</v>
      </c>
      <c r="DJ533" s="53" t="e">
        <v>#N/A</v>
      </c>
    </row>
    <row r="534" spans="3:114" s="53" customFormat="1" ht="12.75">
      <c r="C534" s="80"/>
      <c r="E534" s="48"/>
      <c r="K534" s="48"/>
      <c r="N534" s="53" t="str">
        <f t="shared" si="84"/>
        <v/>
      </c>
      <c r="O534" s="53" t="str">
        <f t="shared" si="85"/>
        <v>click</v>
      </c>
      <c r="P534" s="53" t="str">
        <f t="shared" si="89"/>
        <v>();</v>
      </c>
      <c r="Q534" s="53" t="str">
        <f t="shared" si="86"/>
        <v/>
      </c>
      <c r="R534" s="53" t="str">
        <f t="shared" si="87"/>
        <v/>
      </c>
      <c r="S534" s="53" t="str">
        <f t="shared" si="88"/>
        <v/>
      </c>
      <c r="CU534" s="53" t="e">
        <v>#N/A</v>
      </c>
      <c r="CV534" s="53" t="e">
        <v>#N/A</v>
      </c>
      <c r="CW534" s="53" t="e">
        <v>#N/A</v>
      </c>
      <c r="CX534" s="53" t="e">
        <v>#N/A</v>
      </c>
      <c r="CY534" s="53" t="e">
        <v>#N/A</v>
      </c>
      <c r="CZ534" s="53" t="e">
        <v>#N/A</v>
      </c>
      <c r="DA534" s="53" t="e">
        <v>#N/A</v>
      </c>
      <c r="DB534" s="53" t="e">
        <v>#N/A</v>
      </c>
      <c r="DC534" s="53" t="e">
        <v>#N/A</v>
      </c>
      <c r="DD534" s="53" t="e">
        <v>#N/A</v>
      </c>
      <c r="DE534" s="53" t="e">
        <v>#N/A</v>
      </c>
      <c r="DF534" s="53" t="e">
        <v>#N/A</v>
      </c>
      <c r="DG534" s="53" t="e">
        <v>#N/A</v>
      </c>
      <c r="DH534" s="53" t="e">
        <v>#N/A</v>
      </c>
      <c r="DI534" s="53" t="e">
        <v>#N/A</v>
      </c>
      <c r="DJ534" s="53" t="e">
        <v>#N/A</v>
      </c>
    </row>
    <row r="535" spans="3:114" s="53" customFormat="1" ht="12.75">
      <c r="C535" s="80"/>
      <c r="E535" s="48"/>
      <c r="K535" s="48"/>
      <c r="N535" s="53" t="str">
        <f t="shared" si="84"/>
        <v/>
      </c>
      <c r="O535" s="53" t="str">
        <f t="shared" si="85"/>
        <v>click</v>
      </c>
      <c r="P535" s="53" t="str">
        <f t="shared" si="89"/>
        <v>();</v>
      </c>
      <c r="Q535" s="53" t="str">
        <f t="shared" si="86"/>
        <v/>
      </c>
      <c r="R535" s="53" t="str">
        <f t="shared" si="87"/>
        <v/>
      </c>
      <c r="S535" s="53" t="str">
        <f t="shared" si="88"/>
        <v/>
      </c>
      <c r="CU535" s="53" t="e">
        <v>#N/A</v>
      </c>
      <c r="CV535" s="53" t="e">
        <v>#N/A</v>
      </c>
      <c r="CW535" s="53" t="e">
        <v>#N/A</v>
      </c>
      <c r="CX535" s="53" t="e">
        <v>#N/A</v>
      </c>
      <c r="CY535" s="53" t="e">
        <v>#N/A</v>
      </c>
      <c r="CZ535" s="53" t="e">
        <v>#N/A</v>
      </c>
      <c r="DA535" s="53" t="e">
        <v>#N/A</v>
      </c>
      <c r="DB535" s="53" t="e">
        <v>#N/A</v>
      </c>
      <c r="DC535" s="53" t="e">
        <v>#N/A</v>
      </c>
      <c r="DD535" s="53" t="e">
        <v>#N/A</v>
      </c>
      <c r="DE535" s="53" t="e">
        <v>#N/A</v>
      </c>
      <c r="DF535" s="53" t="e">
        <v>#N/A</v>
      </c>
      <c r="DG535" s="53" t="e">
        <v>#N/A</v>
      </c>
      <c r="DH535" s="53" t="e">
        <v>#N/A</v>
      </c>
      <c r="DI535" s="53" t="e">
        <v>#N/A</v>
      </c>
      <c r="DJ535" s="53" t="e">
        <v>#N/A</v>
      </c>
    </row>
    <row r="536" spans="3:114" s="53" customFormat="1" ht="12.75">
      <c r="C536" s="80"/>
      <c r="E536" s="48"/>
      <c r="K536" s="48"/>
      <c r="N536" s="53" t="str">
        <f t="shared" si="84"/>
        <v/>
      </c>
      <c r="O536" s="53" t="str">
        <f t="shared" si="85"/>
        <v>click</v>
      </c>
      <c r="P536" s="53" t="str">
        <f t="shared" si="89"/>
        <v>();</v>
      </c>
      <c r="Q536" s="53" t="str">
        <f t="shared" si="86"/>
        <v/>
      </c>
      <c r="R536" s="53" t="str">
        <f t="shared" si="87"/>
        <v/>
      </c>
      <c r="S536" s="53" t="str">
        <f t="shared" si="88"/>
        <v/>
      </c>
      <c r="CU536" s="53" t="e">
        <v>#N/A</v>
      </c>
      <c r="CV536" s="53" t="e">
        <v>#N/A</v>
      </c>
      <c r="CW536" s="53" t="e">
        <v>#N/A</v>
      </c>
      <c r="CX536" s="53" t="e">
        <v>#N/A</v>
      </c>
      <c r="CY536" s="53" t="e">
        <v>#N/A</v>
      </c>
      <c r="CZ536" s="53" t="e">
        <v>#N/A</v>
      </c>
      <c r="DA536" s="53" t="e">
        <v>#N/A</v>
      </c>
      <c r="DB536" s="53" t="e">
        <v>#N/A</v>
      </c>
      <c r="DC536" s="53" t="e">
        <v>#N/A</v>
      </c>
      <c r="DD536" s="53" t="e">
        <v>#N/A</v>
      </c>
      <c r="DE536" s="53" t="e">
        <v>#N/A</v>
      </c>
      <c r="DF536" s="53" t="e">
        <v>#N/A</v>
      </c>
      <c r="DG536" s="53" t="e">
        <v>#N/A</v>
      </c>
      <c r="DH536" s="53" t="e">
        <v>#N/A</v>
      </c>
      <c r="DI536" s="53" t="e">
        <v>#N/A</v>
      </c>
      <c r="DJ536" s="53" t="e">
        <v>#N/A</v>
      </c>
    </row>
    <row r="537" spans="3:114" s="53" customFormat="1" ht="12.75">
      <c r="C537" s="80"/>
      <c r="E537" s="48"/>
      <c r="K537" s="48"/>
      <c r="N537" s="53" t="str">
        <f t="shared" si="84"/>
        <v/>
      </c>
      <c r="O537" s="53" t="str">
        <f t="shared" si="85"/>
        <v>click</v>
      </c>
      <c r="P537" s="53" t="str">
        <f t="shared" si="89"/>
        <v>();</v>
      </c>
      <c r="Q537" s="53" t="str">
        <f t="shared" si="86"/>
        <v/>
      </c>
      <c r="R537" s="53" t="str">
        <f t="shared" si="87"/>
        <v/>
      </c>
      <c r="S537" s="53" t="str">
        <f t="shared" si="88"/>
        <v/>
      </c>
      <c r="CU537" s="53" t="e">
        <v>#N/A</v>
      </c>
      <c r="CV537" s="53" t="e">
        <v>#N/A</v>
      </c>
      <c r="CW537" s="53" t="e">
        <v>#N/A</v>
      </c>
      <c r="CX537" s="53" t="e">
        <v>#N/A</v>
      </c>
      <c r="CY537" s="53" t="e">
        <v>#N/A</v>
      </c>
      <c r="CZ537" s="53" t="e">
        <v>#N/A</v>
      </c>
      <c r="DA537" s="53" t="e">
        <v>#N/A</v>
      </c>
      <c r="DB537" s="53" t="e">
        <v>#N/A</v>
      </c>
      <c r="DC537" s="53" t="e">
        <v>#N/A</v>
      </c>
      <c r="DD537" s="53" t="e">
        <v>#N/A</v>
      </c>
      <c r="DE537" s="53" t="e">
        <v>#N/A</v>
      </c>
      <c r="DF537" s="53" t="e">
        <v>#N/A</v>
      </c>
      <c r="DG537" s="53" t="e">
        <v>#N/A</v>
      </c>
      <c r="DH537" s="53" t="e">
        <v>#N/A</v>
      </c>
      <c r="DI537" s="53" t="e">
        <v>#N/A</v>
      </c>
      <c r="DJ537" s="53" t="e">
        <v>#N/A</v>
      </c>
    </row>
    <row r="538" spans="3:114" s="53" customFormat="1" ht="12.75">
      <c r="C538" s="80"/>
      <c r="E538" s="48"/>
      <c r="K538" s="48"/>
      <c r="N538" s="53" t="str">
        <f t="shared" si="84"/>
        <v/>
      </c>
      <c r="O538" s="53" t="str">
        <f t="shared" si="85"/>
        <v>click</v>
      </c>
      <c r="P538" s="53" t="str">
        <f t="shared" si="89"/>
        <v>();</v>
      </c>
      <c r="Q538" s="53" t="str">
        <f t="shared" si="86"/>
        <v/>
      </c>
      <c r="R538" s="53" t="str">
        <f t="shared" si="87"/>
        <v/>
      </c>
      <c r="S538" s="53" t="str">
        <f t="shared" si="88"/>
        <v/>
      </c>
      <c r="CU538" s="53" t="e">
        <v>#N/A</v>
      </c>
      <c r="CV538" s="53" t="e">
        <v>#N/A</v>
      </c>
      <c r="CW538" s="53" t="e">
        <v>#N/A</v>
      </c>
      <c r="CX538" s="53" t="e">
        <v>#N/A</v>
      </c>
      <c r="CY538" s="53" t="e">
        <v>#N/A</v>
      </c>
      <c r="CZ538" s="53" t="e">
        <v>#N/A</v>
      </c>
      <c r="DA538" s="53" t="e">
        <v>#N/A</v>
      </c>
      <c r="DB538" s="53" t="e">
        <v>#N/A</v>
      </c>
      <c r="DC538" s="53" t="e">
        <v>#N/A</v>
      </c>
      <c r="DD538" s="53" t="e">
        <v>#N/A</v>
      </c>
      <c r="DE538" s="53" t="e">
        <v>#N/A</v>
      </c>
      <c r="DF538" s="53" t="e">
        <v>#N/A</v>
      </c>
      <c r="DG538" s="53" t="e">
        <v>#N/A</v>
      </c>
      <c r="DH538" s="53" t="e">
        <v>#N/A</v>
      </c>
      <c r="DI538" s="53" t="e">
        <v>#N/A</v>
      </c>
      <c r="DJ538" s="53" t="e">
        <v>#N/A</v>
      </c>
    </row>
    <row r="539" spans="3:114" s="53" customFormat="1" ht="12.75">
      <c r="C539" s="80"/>
      <c r="E539" s="48"/>
      <c r="K539" s="48"/>
      <c r="N539" s="53" t="str">
        <f t="shared" si="84"/>
        <v/>
      </c>
      <c r="O539" s="53" t="str">
        <f t="shared" si="85"/>
        <v>click</v>
      </c>
      <c r="P539" s="53" t="str">
        <f t="shared" si="89"/>
        <v>();</v>
      </c>
      <c r="Q539" s="53" t="str">
        <f t="shared" si="86"/>
        <v/>
      </c>
      <c r="R539" s="53" t="str">
        <f t="shared" si="87"/>
        <v/>
      </c>
      <c r="S539" s="53" t="str">
        <f t="shared" si="88"/>
        <v/>
      </c>
      <c r="CU539" s="53" t="e">
        <v>#N/A</v>
      </c>
      <c r="CV539" s="53" t="e">
        <v>#N/A</v>
      </c>
      <c r="CW539" s="53" t="e">
        <v>#N/A</v>
      </c>
      <c r="CX539" s="53" t="e">
        <v>#N/A</v>
      </c>
      <c r="CY539" s="53" t="e">
        <v>#N/A</v>
      </c>
      <c r="CZ539" s="53" t="e">
        <v>#N/A</v>
      </c>
      <c r="DA539" s="53" t="e">
        <v>#N/A</v>
      </c>
      <c r="DB539" s="53" t="e">
        <v>#N/A</v>
      </c>
      <c r="DC539" s="53" t="e">
        <v>#N/A</v>
      </c>
      <c r="DD539" s="53" t="e">
        <v>#N/A</v>
      </c>
      <c r="DE539" s="53" t="e">
        <v>#N/A</v>
      </c>
      <c r="DF539" s="53" t="e">
        <v>#N/A</v>
      </c>
      <c r="DG539" s="53" t="e">
        <v>#N/A</v>
      </c>
      <c r="DH539" s="53" t="e">
        <v>#N/A</v>
      </c>
      <c r="DI539" s="53" t="e">
        <v>#N/A</v>
      </c>
      <c r="DJ539" s="53" t="e">
        <v>#N/A</v>
      </c>
    </row>
    <row r="540" spans="3:114" s="53" customFormat="1" ht="12.75">
      <c r="C540" s="80"/>
      <c r="E540" s="48"/>
      <c r="K540" s="48"/>
      <c r="N540" s="53" t="str">
        <f t="shared" si="84"/>
        <v/>
      </c>
      <c r="O540" s="53" t="str">
        <f t="shared" si="85"/>
        <v>click</v>
      </c>
      <c r="P540" s="53" t="str">
        <f t="shared" si="89"/>
        <v>();</v>
      </c>
      <c r="Q540" s="53" t="str">
        <f t="shared" si="86"/>
        <v/>
      </c>
      <c r="R540" s="53" t="str">
        <f t="shared" si="87"/>
        <v/>
      </c>
      <c r="S540" s="53" t="str">
        <f t="shared" si="88"/>
        <v/>
      </c>
      <c r="CU540" s="53" t="e">
        <v>#N/A</v>
      </c>
      <c r="CV540" s="53" t="e">
        <v>#N/A</v>
      </c>
      <c r="CW540" s="53" t="e">
        <v>#N/A</v>
      </c>
      <c r="CX540" s="53" t="e">
        <v>#N/A</v>
      </c>
      <c r="CY540" s="53" t="e">
        <v>#N/A</v>
      </c>
      <c r="CZ540" s="53" t="e">
        <v>#N/A</v>
      </c>
      <c r="DA540" s="53" t="e">
        <v>#N/A</v>
      </c>
      <c r="DB540" s="53" t="e">
        <v>#N/A</v>
      </c>
      <c r="DC540" s="53" t="e">
        <v>#N/A</v>
      </c>
      <c r="DD540" s="53" t="e">
        <v>#N/A</v>
      </c>
      <c r="DE540" s="53" t="e">
        <v>#N/A</v>
      </c>
      <c r="DF540" s="53" t="e">
        <v>#N/A</v>
      </c>
      <c r="DG540" s="53" t="e">
        <v>#N/A</v>
      </c>
      <c r="DH540" s="53" t="e">
        <v>#N/A</v>
      </c>
      <c r="DI540" s="53" t="e">
        <v>#N/A</v>
      </c>
      <c r="DJ540" s="53" t="e">
        <v>#N/A</v>
      </c>
    </row>
    <row r="541" spans="3:114" s="53" customFormat="1" ht="12.75">
      <c r="C541" s="80"/>
      <c r="E541" s="48"/>
      <c r="K541" s="48"/>
      <c r="N541" s="53" t="str">
        <f t="shared" si="84"/>
        <v/>
      </c>
      <c r="O541" s="53" t="str">
        <f t="shared" si="85"/>
        <v>click</v>
      </c>
      <c r="P541" s="53" t="str">
        <f t="shared" si="89"/>
        <v>();</v>
      </c>
      <c r="Q541" s="53" t="str">
        <f t="shared" si="86"/>
        <v/>
      </c>
      <c r="R541" s="53" t="str">
        <f t="shared" si="87"/>
        <v/>
      </c>
      <c r="S541" s="53" t="str">
        <f t="shared" si="88"/>
        <v/>
      </c>
      <c r="CU541" s="53" t="e">
        <v>#N/A</v>
      </c>
      <c r="CV541" s="53" t="e">
        <v>#N/A</v>
      </c>
      <c r="CW541" s="53" t="e">
        <v>#N/A</v>
      </c>
      <c r="CX541" s="53" t="e">
        <v>#N/A</v>
      </c>
      <c r="CY541" s="53" t="e">
        <v>#N/A</v>
      </c>
      <c r="CZ541" s="53" t="e">
        <v>#N/A</v>
      </c>
      <c r="DA541" s="53" t="e">
        <v>#N/A</v>
      </c>
      <c r="DB541" s="53" t="e">
        <v>#N/A</v>
      </c>
      <c r="DC541" s="53" t="e">
        <v>#N/A</v>
      </c>
      <c r="DD541" s="53" t="e">
        <v>#N/A</v>
      </c>
      <c r="DE541" s="53" t="e">
        <v>#N/A</v>
      </c>
      <c r="DF541" s="53" t="e">
        <v>#N/A</v>
      </c>
      <c r="DG541" s="53" t="e">
        <v>#N/A</v>
      </c>
      <c r="DH541" s="53" t="e">
        <v>#N/A</v>
      </c>
      <c r="DI541" s="53" t="e">
        <v>#N/A</v>
      </c>
      <c r="DJ541" s="53" t="e">
        <v>#N/A</v>
      </c>
    </row>
    <row r="542" spans="3:114" s="53" customFormat="1" ht="12.75">
      <c r="C542" s="80"/>
      <c r="E542" s="48"/>
      <c r="K542" s="48"/>
      <c r="N542" s="53" t="str">
        <f t="shared" si="84"/>
        <v/>
      </c>
      <c r="O542" s="53" t="str">
        <f t="shared" si="85"/>
        <v>click</v>
      </c>
      <c r="P542" s="53" t="str">
        <f t="shared" si="89"/>
        <v>();</v>
      </c>
      <c r="Q542" s="53" t="str">
        <f t="shared" si="86"/>
        <v/>
      </c>
      <c r="R542" s="53" t="str">
        <f t="shared" si="87"/>
        <v/>
      </c>
      <c r="S542" s="53" t="str">
        <f t="shared" si="88"/>
        <v/>
      </c>
      <c r="CU542" s="53" t="e">
        <v>#N/A</v>
      </c>
      <c r="CV542" s="53" t="e">
        <v>#N/A</v>
      </c>
      <c r="CW542" s="53" t="e">
        <v>#N/A</v>
      </c>
      <c r="CX542" s="53" t="e">
        <v>#N/A</v>
      </c>
      <c r="CY542" s="53" t="e">
        <v>#N/A</v>
      </c>
      <c r="CZ542" s="53" t="e">
        <v>#N/A</v>
      </c>
      <c r="DA542" s="53" t="e">
        <v>#N/A</v>
      </c>
      <c r="DB542" s="53" t="e">
        <v>#N/A</v>
      </c>
      <c r="DC542" s="53" t="e">
        <v>#N/A</v>
      </c>
      <c r="DD542" s="53" t="e">
        <v>#N/A</v>
      </c>
      <c r="DE542" s="53" t="e">
        <v>#N/A</v>
      </c>
      <c r="DF542" s="53" t="e">
        <v>#N/A</v>
      </c>
      <c r="DG542" s="53" t="e">
        <v>#N/A</v>
      </c>
      <c r="DH542" s="53" t="e">
        <v>#N/A</v>
      </c>
      <c r="DI542" s="53" t="e">
        <v>#N/A</v>
      </c>
      <c r="DJ542" s="53" t="e">
        <v>#N/A</v>
      </c>
    </row>
    <row r="543" spans="3:114" s="53" customFormat="1" ht="12.75">
      <c r="C543" s="80"/>
      <c r="E543" s="48"/>
      <c r="K543" s="48"/>
      <c r="N543" s="53" t="str">
        <f t="shared" si="84"/>
        <v/>
      </c>
      <c r="O543" s="53" t="str">
        <f t="shared" si="85"/>
        <v>click</v>
      </c>
      <c r="P543" s="53" t="str">
        <f t="shared" si="89"/>
        <v>();</v>
      </c>
      <c r="Q543" s="53" t="str">
        <f t="shared" si="86"/>
        <v/>
      </c>
      <c r="R543" s="53" t="str">
        <f t="shared" si="87"/>
        <v/>
      </c>
      <c r="S543" s="53" t="str">
        <f t="shared" si="88"/>
        <v/>
      </c>
      <c r="CU543" s="53" t="e">
        <v>#N/A</v>
      </c>
      <c r="CV543" s="53" t="e">
        <v>#N/A</v>
      </c>
      <c r="CW543" s="53" t="e">
        <v>#N/A</v>
      </c>
      <c r="CX543" s="53" t="e">
        <v>#N/A</v>
      </c>
      <c r="CY543" s="53" t="e">
        <v>#N/A</v>
      </c>
      <c r="CZ543" s="53" t="e">
        <v>#N/A</v>
      </c>
      <c r="DA543" s="53" t="e">
        <v>#N/A</v>
      </c>
      <c r="DB543" s="53" t="e">
        <v>#N/A</v>
      </c>
      <c r="DC543" s="53" t="e">
        <v>#N/A</v>
      </c>
      <c r="DD543" s="53" t="e">
        <v>#N/A</v>
      </c>
      <c r="DE543" s="53" t="e">
        <v>#N/A</v>
      </c>
      <c r="DF543" s="53" t="e">
        <v>#N/A</v>
      </c>
      <c r="DG543" s="53" t="e">
        <v>#N/A</v>
      </c>
      <c r="DH543" s="53" t="e">
        <v>#N/A</v>
      </c>
      <c r="DI543" s="53" t="e">
        <v>#N/A</v>
      </c>
      <c r="DJ543" s="53" t="e">
        <v>#N/A</v>
      </c>
    </row>
    <row r="544" spans="3:114" s="53" customFormat="1" ht="12.75">
      <c r="C544" s="80"/>
      <c r="E544" s="48"/>
      <c r="K544" s="48"/>
      <c r="N544" s="53" t="str">
        <f t="shared" si="84"/>
        <v/>
      </c>
      <c r="O544" s="53" t="str">
        <f t="shared" si="85"/>
        <v>click</v>
      </c>
      <c r="P544" s="53" t="str">
        <f t="shared" si="89"/>
        <v>();</v>
      </c>
      <c r="Q544" s="53" t="str">
        <f t="shared" si="86"/>
        <v/>
      </c>
      <c r="R544" s="53" t="str">
        <f t="shared" si="87"/>
        <v/>
      </c>
      <c r="S544" s="53" t="str">
        <f t="shared" si="88"/>
        <v/>
      </c>
      <c r="CU544" s="53" t="e">
        <v>#N/A</v>
      </c>
      <c r="CV544" s="53" t="e">
        <v>#N/A</v>
      </c>
      <c r="CW544" s="53" t="e">
        <v>#N/A</v>
      </c>
      <c r="CX544" s="53" t="e">
        <v>#N/A</v>
      </c>
      <c r="CY544" s="53" t="e">
        <v>#N/A</v>
      </c>
      <c r="CZ544" s="53" t="e">
        <v>#N/A</v>
      </c>
      <c r="DA544" s="53" t="e">
        <v>#N/A</v>
      </c>
      <c r="DB544" s="53" t="e">
        <v>#N/A</v>
      </c>
      <c r="DC544" s="53" t="e">
        <v>#N/A</v>
      </c>
      <c r="DD544" s="53" t="e">
        <v>#N/A</v>
      </c>
      <c r="DE544" s="53" t="e">
        <v>#N/A</v>
      </c>
      <c r="DF544" s="53" t="e">
        <v>#N/A</v>
      </c>
      <c r="DG544" s="53" t="e">
        <v>#N/A</v>
      </c>
      <c r="DH544" s="53" t="e">
        <v>#N/A</v>
      </c>
      <c r="DI544" s="53" t="e">
        <v>#N/A</v>
      </c>
      <c r="DJ544" s="53" t="e">
        <v>#N/A</v>
      </c>
    </row>
    <row r="545" spans="3:114" s="53" customFormat="1" ht="12.75">
      <c r="C545" s="80"/>
      <c r="E545" s="48"/>
      <c r="K545" s="48"/>
      <c r="N545" s="53" t="str">
        <f t="shared" si="84"/>
        <v/>
      </c>
      <c r="O545" s="53" t="str">
        <f t="shared" si="85"/>
        <v>click</v>
      </c>
      <c r="P545" s="53" t="str">
        <f t="shared" si="89"/>
        <v>();</v>
      </c>
      <c r="Q545" s="53" t="str">
        <f t="shared" si="86"/>
        <v/>
      </c>
      <c r="R545" s="53" t="str">
        <f t="shared" si="87"/>
        <v/>
      </c>
      <c r="S545" s="53" t="str">
        <f t="shared" si="88"/>
        <v/>
      </c>
      <c r="CU545" s="53" t="e">
        <v>#N/A</v>
      </c>
      <c r="CV545" s="53" t="e">
        <v>#N/A</v>
      </c>
      <c r="CW545" s="53" t="e">
        <v>#N/A</v>
      </c>
      <c r="CX545" s="53" t="e">
        <v>#N/A</v>
      </c>
      <c r="CY545" s="53" t="e">
        <v>#N/A</v>
      </c>
      <c r="CZ545" s="53" t="e">
        <v>#N/A</v>
      </c>
      <c r="DA545" s="53" t="e">
        <v>#N/A</v>
      </c>
      <c r="DB545" s="53" t="e">
        <v>#N/A</v>
      </c>
      <c r="DC545" s="53" t="e">
        <v>#N/A</v>
      </c>
      <c r="DD545" s="53" t="e">
        <v>#N/A</v>
      </c>
      <c r="DE545" s="53" t="e">
        <v>#N/A</v>
      </c>
      <c r="DF545" s="53" t="e">
        <v>#N/A</v>
      </c>
      <c r="DG545" s="53" t="e">
        <v>#N/A</v>
      </c>
      <c r="DH545" s="53" t="e">
        <v>#N/A</v>
      </c>
      <c r="DI545" s="53" t="e">
        <v>#N/A</v>
      </c>
      <c r="DJ545" s="53" t="e">
        <v>#N/A</v>
      </c>
    </row>
    <row r="546" spans="3:114" s="53" customFormat="1" ht="12.75">
      <c r="C546" s="80"/>
      <c r="E546" s="48"/>
      <c r="K546" s="48"/>
      <c r="N546" s="53" t="str">
        <f t="shared" si="84"/>
        <v/>
      </c>
      <c r="O546" s="53" t="str">
        <f t="shared" si="85"/>
        <v>click</v>
      </c>
      <c r="P546" s="53" t="str">
        <f t="shared" si="89"/>
        <v>();</v>
      </c>
      <c r="Q546" s="53" t="str">
        <f t="shared" si="86"/>
        <v/>
      </c>
      <c r="R546" s="53" t="str">
        <f t="shared" si="87"/>
        <v/>
      </c>
      <c r="S546" s="53" t="str">
        <f t="shared" si="88"/>
        <v/>
      </c>
      <c r="CU546" s="53" t="e">
        <v>#N/A</v>
      </c>
      <c r="CV546" s="53" t="e">
        <v>#N/A</v>
      </c>
      <c r="CW546" s="53" t="e">
        <v>#N/A</v>
      </c>
      <c r="CX546" s="53" t="e">
        <v>#N/A</v>
      </c>
      <c r="CY546" s="53" t="e">
        <v>#N/A</v>
      </c>
      <c r="CZ546" s="53" t="e">
        <v>#N/A</v>
      </c>
      <c r="DA546" s="53" t="e">
        <v>#N/A</v>
      </c>
      <c r="DB546" s="53" t="e">
        <v>#N/A</v>
      </c>
      <c r="DC546" s="53" t="e">
        <v>#N/A</v>
      </c>
      <c r="DD546" s="53" t="e">
        <v>#N/A</v>
      </c>
      <c r="DE546" s="53" t="e">
        <v>#N/A</v>
      </c>
      <c r="DF546" s="53" t="e">
        <v>#N/A</v>
      </c>
      <c r="DG546" s="53" t="e">
        <v>#N/A</v>
      </c>
      <c r="DH546" s="53" t="e">
        <v>#N/A</v>
      </c>
      <c r="DI546" s="53" t="e">
        <v>#N/A</v>
      </c>
      <c r="DJ546" s="53" t="e">
        <v>#N/A</v>
      </c>
    </row>
    <row r="547" spans="3:114" s="53" customFormat="1" ht="12.75">
      <c r="C547" s="80"/>
      <c r="E547" s="48"/>
      <c r="K547" s="48"/>
      <c r="N547" s="53" t="str">
        <f t="shared" si="84"/>
        <v/>
      </c>
      <c r="O547" s="53" t="str">
        <f t="shared" si="85"/>
        <v>click</v>
      </c>
      <c r="P547" s="53" t="str">
        <f t="shared" si="89"/>
        <v>();</v>
      </c>
      <c r="Q547" s="53" t="str">
        <f t="shared" si="86"/>
        <v/>
      </c>
      <c r="R547" s="53" t="str">
        <f t="shared" si="87"/>
        <v/>
      </c>
      <c r="S547" s="53" t="str">
        <f t="shared" si="88"/>
        <v/>
      </c>
      <c r="CU547" s="53" t="e">
        <v>#N/A</v>
      </c>
      <c r="CV547" s="53" t="e">
        <v>#N/A</v>
      </c>
      <c r="CW547" s="53" t="e">
        <v>#N/A</v>
      </c>
      <c r="CX547" s="53" t="e">
        <v>#N/A</v>
      </c>
      <c r="CY547" s="53" t="e">
        <v>#N/A</v>
      </c>
      <c r="CZ547" s="53" t="e">
        <v>#N/A</v>
      </c>
      <c r="DA547" s="53" t="e">
        <v>#N/A</v>
      </c>
      <c r="DB547" s="53" t="e">
        <v>#N/A</v>
      </c>
      <c r="DC547" s="53" t="e">
        <v>#N/A</v>
      </c>
      <c r="DD547" s="53" t="e">
        <v>#N/A</v>
      </c>
      <c r="DE547" s="53" t="e">
        <v>#N/A</v>
      </c>
      <c r="DF547" s="53" t="e">
        <v>#N/A</v>
      </c>
      <c r="DG547" s="53" t="e">
        <v>#N/A</v>
      </c>
      <c r="DH547" s="53" t="e">
        <v>#N/A</v>
      </c>
      <c r="DI547" s="53" t="e">
        <v>#N/A</v>
      </c>
      <c r="DJ547" s="53" t="e">
        <v>#N/A</v>
      </c>
    </row>
    <row r="548" spans="3:114" s="53" customFormat="1" ht="12.75">
      <c r="C548" s="80"/>
      <c r="E548" s="48"/>
      <c r="K548" s="48"/>
      <c r="N548" s="53" t="str">
        <f t="shared" si="84"/>
        <v/>
      </c>
      <c r="O548" s="53" t="str">
        <f t="shared" si="85"/>
        <v>click</v>
      </c>
      <c r="P548" s="53" t="str">
        <f t="shared" si="89"/>
        <v>();</v>
      </c>
      <c r="Q548" s="53" t="str">
        <f t="shared" si="86"/>
        <v/>
      </c>
      <c r="R548" s="53" t="str">
        <f t="shared" si="87"/>
        <v/>
      </c>
      <c r="S548" s="53" t="str">
        <f t="shared" si="88"/>
        <v/>
      </c>
      <c r="CU548" s="53" t="e">
        <v>#N/A</v>
      </c>
      <c r="CV548" s="53" t="e">
        <v>#N/A</v>
      </c>
      <c r="CW548" s="53" t="e">
        <v>#N/A</v>
      </c>
      <c r="CX548" s="53" t="e">
        <v>#N/A</v>
      </c>
      <c r="CY548" s="53" t="e">
        <v>#N/A</v>
      </c>
      <c r="CZ548" s="53" t="e">
        <v>#N/A</v>
      </c>
      <c r="DA548" s="53" t="e">
        <v>#N/A</v>
      </c>
      <c r="DB548" s="53" t="e">
        <v>#N/A</v>
      </c>
      <c r="DC548" s="53" t="e">
        <v>#N/A</v>
      </c>
      <c r="DD548" s="53" t="e">
        <v>#N/A</v>
      </c>
      <c r="DE548" s="53" t="e">
        <v>#N/A</v>
      </c>
      <c r="DF548" s="53" t="e">
        <v>#N/A</v>
      </c>
      <c r="DG548" s="53" t="e">
        <v>#N/A</v>
      </c>
      <c r="DH548" s="53" t="e">
        <v>#N/A</v>
      </c>
      <c r="DI548" s="53" t="e">
        <v>#N/A</v>
      </c>
      <c r="DJ548" s="53" t="e">
        <v>#N/A</v>
      </c>
    </row>
    <row r="549" spans="3:114" s="53" customFormat="1" ht="12.75">
      <c r="C549" s="80"/>
      <c r="E549" s="48"/>
      <c r="K549" s="48"/>
      <c r="N549" s="53" t="str">
        <f t="shared" si="84"/>
        <v/>
      </c>
      <c r="O549" s="53" t="str">
        <f t="shared" si="85"/>
        <v>click</v>
      </c>
      <c r="P549" s="53" t="str">
        <f t="shared" si="89"/>
        <v>();</v>
      </c>
      <c r="Q549" s="53" t="str">
        <f t="shared" ref="Q549:Q580" si="90">IF(A549="Y",IF(H549&lt;&gt;"Xpath",M549&amp;F549&amp;N549,""""&amp;F549&amp;""""),"")</f>
        <v/>
      </c>
      <c r="R549" s="53" t="str">
        <f t="shared" ref="R549:R580" si="91">IF(C549="Y",""""&amp;E549&amp;""""&amp;":"&amp;Q549&amp;",","")</f>
        <v/>
      </c>
      <c r="S549" s="53" t="str">
        <f t="shared" si="88"/>
        <v/>
      </c>
      <c r="CU549" s="53" t="e">
        <v>#N/A</v>
      </c>
      <c r="CV549" s="53" t="e">
        <v>#N/A</v>
      </c>
      <c r="CW549" s="53" t="e">
        <v>#N/A</v>
      </c>
      <c r="CX549" s="53" t="e">
        <v>#N/A</v>
      </c>
      <c r="CY549" s="53" t="e">
        <v>#N/A</v>
      </c>
      <c r="CZ549" s="53" t="e">
        <v>#N/A</v>
      </c>
      <c r="DA549" s="53" t="e">
        <v>#N/A</v>
      </c>
      <c r="DB549" s="53" t="e">
        <v>#N/A</v>
      </c>
      <c r="DC549" s="53" t="e">
        <v>#N/A</v>
      </c>
      <c r="DD549" s="53" t="e">
        <v>#N/A</v>
      </c>
      <c r="DE549" s="53" t="e">
        <v>#N/A</v>
      </c>
      <c r="DF549" s="53" t="e">
        <v>#N/A</v>
      </c>
      <c r="DG549" s="53" t="e">
        <v>#N/A</v>
      </c>
      <c r="DH549" s="53" t="e">
        <v>#N/A</v>
      </c>
      <c r="DI549" s="53" t="e">
        <v>#N/A</v>
      </c>
      <c r="DJ549" s="53" t="e">
        <v>#N/A</v>
      </c>
    </row>
    <row r="550" spans="3:114" s="53" customFormat="1" ht="12.75">
      <c r="C550" s="80"/>
      <c r="E550" s="48"/>
      <c r="K550" s="48"/>
      <c r="N550" s="53" t="str">
        <f t="shared" si="84"/>
        <v/>
      </c>
      <c r="O550" s="53" t="str">
        <f t="shared" si="85"/>
        <v>click</v>
      </c>
      <c r="P550" s="53" t="str">
        <f t="shared" si="89"/>
        <v>();</v>
      </c>
      <c r="Q550" s="53" t="str">
        <f t="shared" si="90"/>
        <v/>
      </c>
      <c r="R550" s="53" t="str">
        <f t="shared" si="91"/>
        <v/>
      </c>
      <c r="S550" s="53" t="str">
        <f t="shared" si="88"/>
        <v/>
      </c>
      <c r="CU550" s="53" t="e">
        <v>#N/A</v>
      </c>
      <c r="CV550" s="53" t="e">
        <v>#N/A</v>
      </c>
      <c r="CW550" s="53" t="e">
        <v>#N/A</v>
      </c>
      <c r="CX550" s="53" t="e">
        <v>#N/A</v>
      </c>
      <c r="CY550" s="53" t="e">
        <v>#N/A</v>
      </c>
      <c r="CZ550" s="53" t="e">
        <v>#N/A</v>
      </c>
      <c r="DA550" s="53" t="e">
        <v>#N/A</v>
      </c>
      <c r="DB550" s="53" t="e">
        <v>#N/A</v>
      </c>
      <c r="DC550" s="53" t="e">
        <v>#N/A</v>
      </c>
      <c r="DD550" s="53" t="e">
        <v>#N/A</v>
      </c>
      <c r="DE550" s="53" t="e">
        <v>#N/A</v>
      </c>
      <c r="DF550" s="53" t="e">
        <v>#N/A</v>
      </c>
      <c r="DG550" s="53" t="e">
        <v>#N/A</v>
      </c>
      <c r="DH550" s="53" t="e">
        <v>#N/A</v>
      </c>
      <c r="DI550" s="53" t="e">
        <v>#N/A</v>
      </c>
      <c r="DJ550" s="53" t="e">
        <v>#N/A</v>
      </c>
    </row>
    <row r="551" spans="3:114" s="53" customFormat="1" ht="12.75">
      <c r="C551" s="80"/>
      <c r="E551" s="48"/>
      <c r="K551" s="48"/>
      <c r="N551" s="53" t="str">
        <f t="shared" si="84"/>
        <v/>
      </c>
      <c r="O551" s="53" t="str">
        <f t="shared" si="85"/>
        <v>click</v>
      </c>
      <c r="P551" s="53" t="str">
        <f t="shared" si="89"/>
        <v>();</v>
      </c>
      <c r="Q551" s="53" t="str">
        <f t="shared" si="90"/>
        <v/>
      </c>
      <c r="R551" s="53" t="str">
        <f t="shared" si="91"/>
        <v/>
      </c>
      <c r="S551" s="53" t="str">
        <f t="shared" si="88"/>
        <v/>
      </c>
      <c r="CU551" s="53" t="e">
        <v>#N/A</v>
      </c>
      <c r="CV551" s="53" t="e">
        <v>#N/A</v>
      </c>
      <c r="CW551" s="53" t="e">
        <v>#N/A</v>
      </c>
      <c r="CX551" s="53" t="e">
        <v>#N/A</v>
      </c>
      <c r="CY551" s="53" t="e">
        <v>#N/A</v>
      </c>
      <c r="CZ551" s="53" t="e">
        <v>#N/A</v>
      </c>
      <c r="DA551" s="53" t="e">
        <v>#N/A</v>
      </c>
      <c r="DB551" s="53" t="e">
        <v>#N/A</v>
      </c>
      <c r="DC551" s="53" t="e">
        <v>#N/A</v>
      </c>
      <c r="DD551" s="53" t="e">
        <v>#N/A</v>
      </c>
      <c r="DE551" s="53" t="e">
        <v>#N/A</v>
      </c>
      <c r="DF551" s="53" t="e">
        <v>#N/A</v>
      </c>
      <c r="DG551" s="53" t="e">
        <v>#N/A</v>
      </c>
      <c r="DH551" s="53" t="e">
        <v>#N/A</v>
      </c>
      <c r="DI551" s="53" t="e">
        <v>#N/A</v>
      </c>
      <c r="DJ551" s="53" t="e">
        <v>#N/A</v>
      </c>
    </row>
    <row r="552" spans="3:114" s="53" customFormat="1" ht="12.75">
      <c r="C552" s="80"/>
      <c r="E552" s="48"/>
      <c r="K552" s="48"/>
      <c r="N552" s="53" t="str">
        <f t="shared" si="84"/>
        <v/>
      </c>
      <c r="O552" s="53" t="str">
        <f t="shared" si="85"/>
        <v>click</v>
      </c>
      <c r="P552" s="53" t="str">
        <f t="shared" si="89"/>
        <v>();</v>
      </c>
      <c r="Q552" s="53" t="str">
        <f t="shared" si="90"/>
        <v/>
      </c>
      <c r="R552" s="53" t="str">
        <f t="shared" si="91"/>
        <v/>
      </c>
      <c r="S552" s="53" t="str">
        <f t="shared" si="88"/>
        <v/>
      </c>
      <c r="CU552" s="53" t="e">
        <v>#N/A</v>
      </c>
      <c r="CV552" s="53" t="e">
        <v>#N/A</v>
      </c>
      <c r="CW552" s="53" t="e">
        <v>#N/A</v>
      </c>
      <c r="CX552" s="53" t="e">
        <v>#N/A</v>
      </c>
      <c r="CY552" s="53" t="e">
        <v>#N/A</v>
      </c>
      <c r="CZ552" s="53" t="e">
        <v>#N/A</v>
      </c>
      <c r="DA552" s="53" t="e">
        <v>#N/A</v>
      </c>
      <c r="DB552" s="53" t="e">
        <v>#N/A</v>
      </c>
      <c r="DC552" s="53" t="e">
        <v>#N/A</v>
      </c>
      <c r="DD552" s="53" t="e">
        <v>#N/A</v>
      </c>
      <c r="DE552" s="53" t="e">
        <v>#N/A</v>
      </c>
      <c r="DF552" s="53" t="e">
        <v>#N/A</v>
      </c>
      <c r="DG552" s="53" t="e">
        <v>#N/A</v>
      </c>
      <c r="DH552" s="53" t="e">
        <v>#N/A</v>
      </c>
      <c r="DI552" s="53" t="e">
        <v>#N/A</v>
      </c>
      <c r="DJ552" s="53" t="e">
        <v>#N/A</v>
      </c>
    </row>
    <row r="553" spans="3:114" s="53" customFormat="1">
      <c r="C553" s="80"/>
      <c r="E553" s="48"/>
      <c r="F553" s="84"/>
      <c r="G553" s="69"/>
      <c r="H553" s="68"/>
      <c r="I553" s="68"/>
      <c r="K553" s="48"/>
      <c r="L553" s="61"/>
      <c r="N553" s="61" t="str">
        <f t="shared" si="84"/>
        <v/>
      </c>
      <c r="O553" s="53" t="str">
        <f t="shared" si="85"/>
        <v>click</v>
      </c>
      <c r="P553" s="61" t="str">
        <f t="shared" si="89"/>
        <v>();</v>
      </c>
      <c r="Q553" s="61" t="str">
        <f t="shared" si="90"/>
        <v/>
      </c>
      <c r="R553" s="61" t="str">
        <f t="shared" si="91"/>
        <v/>
      </c>
      <c r="S553" s="61" t="str">
        <f t="shared" si="88"/>
        <v/>
      </c>
      <c r="CU553" s="53" t="e">
        <v>#N/A</v>
      </c>
      <c r="CV553" s="53" t="e">
        <v>#N/A</v>
      </c>
      <c r="CW553" s="53" t="e">
        <v>#N/A</v>
      </c>
      <c r="CX553" s="53" t="e">
        <v>#N/A</v>
      </c>
      <c r="CY553" s="53" t="e">
        <v>#N/A</v>
      </c>
      <c r="CZ553" s="53" t="e">
        <v>#N/A</v>
      </c>
      <c r="DA553" s="53" t="e">
        <v>#N/A</v>
      </c>
      <c r="DB553" s="53" t="e">
        <v>#N/A</v>
      </c>
      <c r="DC553" s="53" t="e">
        <v>#N/A</v>
      </c>
      <c r="DD553" s="53" t="e">
        <v>#N/A</v>
      </c>
      <c r="DE553" s="53" t="e">
        <v>#N/A</v>
      </c>
      <c r="DF553" s="53" t="e">
        <v>#N/A</v>
      </c>
      <c r="DG553" s="53" t="e">
        <v>#N/A</v>
      </c>
      <c r="DH553" s="53" t="e">
        <v>#N/A</v>
      </c>
      <c r="DI553" s="53" t="e">
        <v>#N/A</v>
      </c>
      <c r="DJ553" s="53" t="e">
        <v>#N/A</v>
      </c>
    </row>
    <row r="554" spans="3:114" s="53" customFormat="1">
      <c r="C554" s="80"/>
      <c r="E554" s="48"/>
      <c r="F554" s="84"/>
      <c r="G554" s="69"/>
      <c r="H554" s="68"/>
      <c r="I554" s="68"/>
      <c r="K554" s="48"/>
      <c r="L554" s="61"/>
      <c r="N554" s="61" t="str">
        <f t="shared" si="84"/>
        <v/>
      </c>
      <c r="O554" s="53" t="str">
        <f t="shared" si="85"/>
        <v>click</v>
      </c>
      <c r="P554" s="61" t="str">
        <f t="shared" si="89"/>
        <v>();</v>
      </c>
      <c r="Q554" s="61" t="str">
        <f t="shared" si="90"/>
        <v/>
      </c>
      <c r="R554" s="61" t="str">
        <f t="shared" si="91"/>
        <v/>
      </c>
      <c r="S554" s="61" t="str">
        <f t="shared" si="88"/>
        <v/>
      </c>
      <c r="CU554" s="53" t="e">
        <v>#N/A</v>
      </c>
      <c r="CV554" s="53" t="e">
        <v>#N/A</v>
      </c>
      <c r="CW554" s="53" t="e">
        <v>#N/A</v>
      </c>
      <c r="CX554" s="53" t="e">
        <v>#N/A</v>
      </c>
      <c r="CY554" s="53" t="e">
        <v>#N/A</v>
      </c>
      <c r="CZ554" s="53" t="e">
        <v>#N/A</v>
      </c>
      <c r="DA554" s="53" t="e">
        <v>#N/A</v>
      </c>
      <c r="DB554" s="53" t="e">
        <v>#N/A</v>
      </c>
      <c r="DC554" s="53" t="e">
        <v>#N/A</v>
      </c>
      <c r="DD554" s="53" t="e">
        <v>#N/A</v>
      </c>
      <c r="DE554" s="53" t="e">
        <v>#N/A</v>
      </c>
      <c r="DF554" s="53" t="e">
        <v>#N/A</v>
      </c>
      <c r="DG554" s="53" t="e">
        <v>#N/A</v>
      </c>
      <c r="DH554" s="53" t="e">
        <v>#N/A</v>
      </c>
      <c r="DI554" s="53" t="e">
        <v>#N/A</v>
      </c>
      <c r="DJ554" s="53" t="e">
        <v>#N/A</v>
      </c>
    </row>
    <row r="555" spans="3:114" s="53" customFormat="1">
      <c r="C555" s="80"/>
      <c r="E555" s="48"/>
      <c r="F555" s="84"/>
      <c r="G555" s="69"/>
      <c r="H555" s="68"/>
      <c r="I555" s="68"/>
      <c r="K555" s="48"/>
      <c r="L555" s="61"/>
      <c r="N555" s="61" t="str">
        <f t="shared" si="84"/>
        <v/>
      </c>
      <c r="O555" s="53" t="str">
        <f t="shared" si="85"/>
        <v>click</v>
      </c>
      <c r="P555" s="61" t="str">
        <f t="shared" si="89"/>
        <v>();</v>
      </c>
      <c r="Q555" s="61" t="str">
        <f t="shared" si="90"/>
        <v/>
      </c>
      <c r="R555" s="61" t="str">
        <f t="shared" si="91"/>
        <v/>
      </c>
      <c r="S555" s="61" t="str">
        <f t="shared" si="88"/>
        <v/>
      </c>
      <c r="CU555" s="53" t="e">
        <v>#N/A</v>
      </c>
      <c r="CV555" s="53" t="e">
        <v>#N/A</v>
      </c>
      <c r="CW555" s="53" t="e">
        <v>#N/A</v>
      </c>
      <c r="CX555" s="53" t="e">
        <v>#N/A</v>
      </c>
      <c r="CY555" s="53" t="e">
        <v>#N/A</v>
      </c>
      <c r="CZ555" s="53" t="e">
        <v>#N/A</v>
      </c>
      <c r="DA555" s="53" t="e">
        <v>#N/A</v>
      </c>
      <c r="DB555" s="53" t="e">
        <v>#N/A</v>
      </c>
      <c r="DC555" s="53" t="e">
        <v>#N/A</v>
      </c>
      <c r="DD555" s="53" t="e">
        <v>#N/A</v>
      </c>
      <c r="DE555" s="53" t="e">
        <v>#N/A</v>
      </c>
      <c r="DF555" s="53" t="e">
        <v>#N/A</v>
      </c>
      <c r="DG555" s="53" t="e">
        <v>#N/A</v>
      </c>
      <c r="DH555" s="53" t="e">
        <v>#N/A</v>
      </c>
      <c r="DI555" s="53" t="e">
        <v>#N/A</v>
      </c>
      <c r="DJ555" s="53" t="e">
        <v>#N/A</v>
      </c>
    </row>
    <row r="556" spans="3:114" s="53" customFormat="1">
      <c r="C556" s="80"/>
      <c r="E556" s="48"/>
      <c r="F556" s="84"/>
      <c r="G556" s="69"/>
      <c r="H556" s="68"/>
      <c r="I556" s="68"/>
      <c r="K556" s="48"/>
      <c r="L556" s="61"/>
      <c r="N556" s="61" t="str">
        <f t="shared" si="84"/>
        <v/>
      </c>
      <c r="O556" s="53" t="str">
        <f t="shared" si="85"/>
        <v>click</v>
      </c>
      <c r="P556" s="61" t="str">
        <f t="shared" si="89"/>
        <v>();</v>
      </c>
      <c r="Q556" s="61" t="str">
        <f t="shared" si="90"/>
        <v/>
      </c>
      <c r="R556" s="61" t="str">
        <f t="shared" si="91"/>
        <v/>
      </c>
      <c r="S556" s="61" t="str">
        <f t="shared" si="88"/>
        <v/>
      </c>
      <c r="CU556" s="53" t="e">
        <v>#N/A</v>
      </c>
      <c r="CV556" s="53" t="e">
        <v>#N/A</v>
      </c>
      <c r="CW556" s="53" t="e">
        <v>#N/A</v>
      </c>
      <c r="CX556" s="53" t="e">
        <v>#N/A</v>
      </c>
      <c r="CY556" s="53" t="e">
        <v>#N/A</v>
      </c>
      <c r="CZ556" s="53" t="e">
        <v>#N/A</v>
      </c>
      <c r="DA556" s="53" t="e">
        <v>#N/A</v>
      </c>
      <c r="DB556" s="53" t="e">
        <v>#N/A</v>
      </c>
      <c r="DC556" s="53" t="e">
        <v>#N/A</v>
      </c>
      <c r="DD556" s="53" t="e">
        <v>#N/A</v>
      </c>
      <c r="DE556" s="53" t="e">
        <v>#N/A</v>
      </c>
      <c r="DF556" s="53" t="e">
        <v>#N/A</v>
      </c>
      <c r="DG556" s="53" t="e">
        <v>#N/A</v>
      </c>
      <c r="DH556" s="53" t="e">
        <v>#N/A</v>
      </c>
      <c r="DI556" s="53" t="e">
        <v>#N/A</v>
      </c>
      <c r="DJ556" s="53" t="e">
        <v>#N/A</v>
      </c>
    </row>
    <row r="557" spans="3:114" s="53" customFormat="1">
      <c r="C557" s="80"/>
      <c r="E557" s="48"/>
      <c r="F557" s="84"/>
      <c r="G557" s="69"/>
      <c r="H557" s="68"/>
      <c r="I557" s="68"/>
      <c r="K557" s="48"/>
      <c r="L557" s="61"/>
      <c r="N557" s="61" t="str">
        <f t="shared" si="84"/>
        <v/>
      </c>
      <c r="O557" s="53" t="str">
        <f t="shared" si="85"/>
        <v>click</v>
      </c>
      <c r="P557" s="61" t="str">
        <f t="shared" si="89"/>
        <v>();</v>
      </c>
      <c r="Q557" s="61" t="str">
        <f t="shared" si="90"/>
        <v/>
      </c>
      <c r="R557" s="61" t="str">
        <f t="shared" si="91"/>
        <v/>
      </c>
      <c r="S557" s="61" t="str">
        <f t="shared" si="88"/>
        <v/>
      </c>
      <c r="CU557" s="53" t="e">
        <v>#N/A</v>
      </c>
      <c r="CV557" s="53" t="e">
        <v>#N/A</v>
      </c>
      <c r="CW557" s="53" t="e">
        <v>#N/A</v>
      </c>
      <c r="CX557" s="53" t="e">
        <v>#N/A</v>
      </c>
      <c r="CY557" s="53" t="e">
        <v>#N/A</v>
      </c>
      <c r="CZ557" s="53" t="e">
        <v>#N/A</v>
      </c>
      <c r="DA557" s="53" t="e">
        <v>#N/A</v>
      </c>
      <c r="DB557" s="53" t="e">
        <v>#N/A</v>
      </c>
      <c r="DC557" s="53" t="e">
        <v>#N/A</v>
      </c>
      <c r="DD557" s="53" t="e">
        <v>#N/A</v>
      </c>
      <c r="DE557" s="53" t="e">
        <v>#N/A</v>
      </c>
      <c r="DF557" s="53" t="e">
        <v>#N/A</v>
      </c>
      <c r="DG557" s="53" t="e">
        <v>#N/A</v>
      </c>
      <c r="DH557" s="53" t="e">
        <v>#N/A</v>
      </c>
      <c r="DI557" s="53" t="e">
        <v>#N/A</v>
      </c>
      <c r="DJ557" s="53" t="e">
        <v>#N/A</v>
      </c>
    </row>
    <row r="558" spans="3:114" s="53" customFormat="1">
      <c r="C558" s="80"/>
      <c r="E558" s="48"/>
      <c r="F558" s="84"/>
      <c r="G558" s="69"/>
      <c r="H558" s="68"/>
      <c r="I558" s="68"/>
      <c r="K558" s="48"/>
      <c r="L558" s="61"/>
      <c r="N558" s="61" t="str">
        <f t="shared" si="84"/>
        <v/>
      </c>
      <c r="O558" s="53" t="str">
        <f t="shared" si="85"/>
        <v>click</v>
      </c>
      <c r="P558" s="61" t="str">
        <f t="shared" si="89"/>
        <v>();</v>
      </c>
      <c r="Q558" s="61" t="str">
        <f t="shared" si="90"/>
        <v/>
      </c>
      <c r="R558" s="61" t="str">
        <f t="shared" si="91"/>
        <v/>
      </c>
      <c r="S558" s="61" t="str">
        <f t="shared" si="88"/>
        <v/>
      </c>
      <c r="CU558" s="53" t="e">
        <v>#N/A</v>
      </c>
      <c r="CV558" s="53" t="e">
        <v>#N/A</v>
      </c>
      <c r="CW558" s="53" t="e">
        <v>#N/A</v>
      </c>
      <c r="CX558" s="53" t="e">
        <v>#N/A</v>
      </c>
      <c r="CY558" s="53" t="e">
        <v>#N/A</v>
      </c>
      <c r="CZ558" s="53" t="e">
        <v>#N/A</v>
      </c>
      <c r="DA558" s="53" t="e">
        <v>#N/A</v>
      </c>
      <c r="DB558" s="53" t="e">
        <v>#N/A</v>
      </c>
      <c r="DC558" s="53" t="e">
        <v>#N/A</v>
      </c>
      <c r="DD558" s="53" t="e">
        <v>#N/A</v>
      </c>
      <c r="DE558" s="53" t="e">
        <v>#N/A</v>
      </c>
      <c r="DF558" s="53" t="e">
        <v>#N/A</v>
      </c>
      <c r="DG558" s="53" t="e">
        <v>#N/A</v>
      </c>
      <c r="DH558" s="53" t="e">
        <v>#N/A</v>
      </c>
      <c r="DI558" s="53" t="e">
        <v>#N/A</v>
      </c>
      <c r="DJ558" s="53" t="e">
        <v>#N/A</v>
      </c>
    </row>
    <row r="559" spans="3:114" s="53" customFormat="1">
      <c r="C559" s="80"/>
      <c r="E559" s="48"/>
      <c r="F559" s="84"/>
      <c r="G559" s="69"/>
      <c r="H559" s="68"/>
      <c r="I559" s="68"/>
      <c r="K559" s="48"/>
      <c r="L559" s="61"/>
      <c r="N559" s="61" t="str">
        <f t="shared" si="84"/>
        <v/>
      </c>
      <c r="O559" s="53" t="str">
        <f t="shared" si="85"/>
        <v>click</v>
      </c>
      <c r="P559" s="61" t="str">
        <f t="shared" si="89"/>
        <v>();</v>
      </c>
      <c r="Q559" s="61" t="str">
        <f t="shared" si="90"/>
        <v/>
      </c>
      <c r="R559" s="61" t="str">
        <f t="shared" si="91"/>
        <v/>
      </c>
      <c r="S559" s="61" t="str">
        <f t="shared" si="88"/>
        <v/>
      </c>
      <c r="CU559" s="53" t="e">
        <v>#N/A</v>
      </c>
      <c r="CV559" s="53" t="e">
        <v>#N/A</v>
      </c>
      <c r="CW559" s="53" t="e">
        <v>#N/A</v>
      </c>
      <c r="CX559" s="53" t="e">
        <v>#N/A</v>
      </c>
      <c r="CY559" s="53" t="e">
        <v>#N/A</v>
      </c>
      <c r="CZ559" s="53" t="e">
        <v>#N/A</v>
      </c>
      <c r="DA559" s="53" t="e">
        <v>#N/A</v>
      </c>
      <c r="DB559" s="53" t="e">
        <v>#N/A</v>
      </c>
      <c r="DC559" s="53" t="e">
        <v>#N/A</v>
      </c>
      <c r="DD559" s="53" t="e">
        <v>#N/A</v>
      </c>
      <c r="DE559" s="53" t="e">
        <v>#N/A</v>
      </c>
      <c r="DF559" s="53" t="e">
        <v>#N/A</v>
      </c>
      <c r="DG559" s="53" t="e">
        <v>#N/A</v>
      </c>
      <c r="DH559" s="53" t="e">
        <v>#N/A</v>
      </c>
      <c r="DI559" s="53" t="e">
        <v>#N/A</v>
      </c>
      <c r="DJ559" s="53" t="e">
        <v>#N/A</v>
      </c>
    </row>
    <row r="560" spans="3:114" s="53" customFormat="1">
      <c r="C560" s="80"/>
      <c r="E560" s="48"/>
      <c r="F560" s="84"/>
      <c r="G560" s="69"/>
      <c r="H560" s="68"/>
      <c r="I560" s="68"/>
      <c r="K560" s="48"/>
      <c r="N560" s="61" t="str">
        <f t="shared" si="84"/>
        <v/>
      </c>
      <c r="O560" s="53" t="str">
        <f t="shared" si="85"/>
        <v>click</v>
      </c>
      <c r="P560" s="61" t="str">
        <f t="shared" si="89"/>
        <v>();</v>
      </c>
      <c r="Q560" s="61" t="str">
        <f t="shared" si="90"/>
        <v/>
      </c>
      <c r="R560" s="61" t="str">
        <f t="shared" si="91"/>
        <v/>
      </c>
      <c r="S560" s="61" t="str">
        <f t="shared" si="88"/>
        <v/>
      </c>
      <c r="CU560" s="53" t="e">
        <v>#N/A</v>
      </c>
      <c r="CV560" s="53" t="e">
        <v>#N/A</v>
      </c>
      <c r="CW560" s="53" t="e">
        <v>#N/A</v>
      </c>
      <c r="CX560" s="53" t="e">
        <v>#N/A</v>
      </c>
      <c r="CY560" s="53" t="e">
        <v>#N/A</v>
      </c>
      <c r="CZ560" s="53" t="e">
        <v>#N/A</v>
      </c>
      <c r="DA560" s="53" t="e">
        <v>#N/A</v>
      </c>
      <c r="DB560" s="53" t="e">
        <v>#N/A</v>
      </c>
      <c r="DC560" s="53" t="e">
        <v>#N/A</v>
      </c>
      <c r="DD560" s="53" t="e">
        <v>#N/A</v>
      </c>
      <c r="DE560" s="53" t="e">
        <v>#N/A</v>
      </c>
      <c r="DF560" s="53" t="e">
        <v>#N/A</v>
      </c>
      <c r="DG560" s="53" t="e">
        <v>#N/A</v>
      </c>
      <c r="DH560" s="53" t="e">
        <v>#N/A</v>
      </c>
      <c r="DI560" s="53" t="e">
        <v>#N/A</v>
      </c>
      <c r="DJ560" s="53" t="e">
        <v>#N/A</v>
      </c>
    </row>
    <row r="561" spans="3:114" s="53" customFormat="1">
      <c r="C561" s="80"/>
      <c r="E561" s="48"/>
      <c r="F561" s="84"/>
      <c r="G561" s="69"/>
      <c r="H561" s="68"/>
      <c r="I561" s="68"/>
      <c r="K561" s="48"/>
      <c r="N561" s="61" t="str">
        <f t="shared" si="84"/>
        <v/>
      </c>
      <c r="O561" s="53" t="str">
        <f t="shared" si="85"/>
        <v>click</v>
      </c>
      <c r="P561" s="61" t="str">
        <f t="shared" si="89"/>
        <v>();</v>
      </c>
      <c r="Q561" s="61" t="str">
        <f t="shared" si="90"/>
        <v/>
      </c>
      <c r="R561" s="61" t="str">
        <f t="shared" si="91"/>
        <v/>
      </c>
      <c r="S561" s="61" t="str">
        <f t="shared" si="88"/>
        <v/>
      </c>
      <c r="CU561" s="53" t="e">
        <v>#N/A</v>
      </c>
      <c r="CV561" s="53" t="e">
        <v>#N/A</v>
      </c>
      <c r="CW561" s="53" t="e">
        <v>#N/A</v>
      </c>
      <c r="CX561" s="53" t="e">
        <v>#N/A</v>
      </c>
      <c r="CY561" s="53" t="e">
        <v>#N/A</v>
      </c>
      <c r="CZ561" s="53" t="e">
        <v>#N/A</v>
      </c>
      <c r="DA561" s="53" t="e">
        <v>#N/A</v>
      </c>
      <c r="DB561" s="53" t="e">
        <v>#N/A</v>
      </c>
      <c r="DC561" s="53" t="e">
        <v>#N/A</v>
      </c>
      <c r="DD561" s="53" t="e">
        <v>#N/A</v>
      </c>
      <c r="DE561" s="53" t="e">
        <v>#N/A</v>
      </c>
      <c r="DF561" s="53" t="e">
        <v>#N/A</v>
      </c>
      <c r="DG561" s="53" t="e">
        <v>#N/A</v>
      </c>
      <c r="DH561" s="53" t="e">
        <v>#N/A</v>
      </c>
      <c r="DI561" s="53" t="e">
        <v>#N/A</v>
      </c>
      <c r="DJ561" s="53" t="e">
        <v>#N/A</v>
      </c>
    </row>
    <row r="562" spans="3:114" s="53" customFormat="1">
      <c r="C562" s="80"/>
      <c r="E562" s="48"/>
      <c r="F562" s="84"/>
      <c r="G562" s="69"/>
      <c r="H562" s="68"/>
      <c r="I562" s="68"/>
      <c r="K562" s="48"/>
      <c r="N562" s="61" t="str">
        <f t="shared" si="84"/>
        <v/>
      </c>
      <c r="O562" s="53" t="str">
        <f t="shared" si="85"/>
        <v>click</v>
      </c>
      <c r="P562" s="61" t="str">
        <f t="shared" si="89"/>
        <v>();</v>
      </c>
      <c r="Q562" s="61" t="str">
        <f t="shared" si="90"/>
        <v/>
      </c>
      <c r="R562" s="61" t="str">
        <f t="shared" si="91"/>
        <v/>
      </c>
      <c r="S562" s="61" t="str">
        <f t="shared" si="88"/>
        <v/>
      </c>
      <c r="CU562" s="53" t="e">
        <v>#N/A</v>
      </c>
      <c r="CV562" s="53" t="e">
        <v>#N/A</v>
      </c>
      <c r="CW562" s="53" t="e">
        <v>#N/A</v>
      </c>
      <c r="CX562" s="53" t="e">
        <v>#N/A</v>
      </c>
      <c r="CY562" s="53" t="e">
        <v>#N/A</v>
      </c>
      <c r="CZ562" s="53" t="e">
        <v>#N/A</v>
      </c>
      <c r="DA562" s="53" t="e">
        <v>#N/A</v>
      </c>
      <c r="DB562" s="53" t="e">
        <v>#N/A</v>
      </c>
      <c r="DC562" s="53" t="e">
        <v>#N/A</v>
      </c>
      <c r="DD562" s="53" t="e">
        <v>#N/A</v>
      </c>
      <c r="DE562" s="53" t="e">
        <v>#N/A</v>
      </c>
      <c r="DF562" s="53" t="e">
        <v>#N/A</v>
      </c>
      <c r="DG562" s="53" t="e">
        <v>#N/A</v>
      </c>
      <c r="DH562" s="53" t="e">
        <v>#N/A</v>
      </c>
      <c r="DI562" s="53" t="e">
        <v>#N/A</v>
      </c>
      <c r="DJ562" s="53" t="e">
        <v>#N/A</v>
      </c>
    </row>
    <row r="563" spans="3:114" s="53" customFormat="1">
      <c r="C563" s="80"/>
      <c r="E563" s="48"/>
      <c r="F563" s="84"/>
      <c r="G563" s="69"/>
      <c r="H563" s="68"/>
      <c r="I563" s="68"/>
      <c r="K563" s="48"/>
      <c r="N563" s="61" t="str">
        <f t="shared" si="84"/>
        <v/>
      </c>
      <c r="O563" s="53" t="str">
        <f t="shared" si="85"/>
        <v>click</v>
      </c>
      <c r="P563" s="61" t="str">
        <f t="shared" si="89"/>
        <v>();</v>
      </c>
      <c r="Q563" s="61" t="str">
        <f t="shared" si="90"/>
        <v/>
      </c>
      <c r="R563" s="61" t="str">
        <f t="shared" si="91"/>
        <v/>
      </c>
      <c r="S563" s="61" t="str">
        <f t="shared" si="88"/>
        <v/>
      </c>
      <c r="CU563" s="53" t="e">
        <v>#N/A</v>
      </c>
      <c r="CV563" s="53" t="e">
        <v>#N/A</v>
      </c>
      <c r="CW563" s="53" t="e">
        <v>#N/A</v>
      </c>
      <c r="CX563" s="53" t="e">
        <v>#N/A</v>
      </c>
      <c r="CY563" s="53" t="e">
        <v>#N/A</v>
      </c>
      <c r="CZ563" s="53" t="e">
        <v>#N/A</v>
      </c>
      <c r="DA563" s="53" t="e">
        <v>#N/A</v>
      </c>
      <c r="DB563" s="53" t="e">
        <v>#N/A</v>
      </c>
      <c r="DC563" s="53" t="e">
        <v>#N/A</v>
      </c>
      <c r="DD563" s="53" t="e">
        <v>#N/A</v>
      </c>
      <c r="DE563" s="53" t="e">
        <v>#N/A</v>
      </c>
      <c r="DF563" s="53" t="e">
        <v>#N/A</v>
      </c>
      <c r="DG563" s="53" t="e">
        <v>#N/A</v>
      </c>
      <c r="DH563" s="53" t="e">
        <v>#N/A</v>
      </c>
      <c r="DI563" s="53" t="e">
        <v>#N/A</v>
      </c>
      <c r="DJ563" s="53" t="e">
        <v>#N/A</v>
      </c>
    </row>
    <row r="564" spans="3:114" s="53" customFormat="1">
      <c r="C564" s="80"/>
      <c r="E564" s="48"/>
      <c r="F564" s="84"/>
      <c r="G564" s="69"/>
      <c r="H564" s="68"/>
      <c r="I564" s="68"/>
      <c r="K564" s="48"/>
      <c r="N564" s="61" t="str">
        <f t="shared" si="84"/>
        <v/>
      </c>
      <c r="O564" s="53" t="str">
        <f t="shared" si="85"/>
        <v>click</v>
      </c>
      <c r="P564" s="61" t="str">
        <f t="shared" si="89"/>
        <v>();</v>
      </c>
      <c r="Q564" s="61" t="str">
        <f t="shared" si="90"/>
        <v/>
      </c>
      <c r="R564" s="61" t="str">
        <f t="shared" si="91"/>
        <v/>
      </c>
      <c r="S564" s="61" t="str">
        <f t="shared" si="88"/>
        <v/>
      </c>
      <c r="CU564" s="53" t="e">
        <v>#N/A</v>
      </c>
      <c r="CV564" s="53" t="e">
        <v>#N/A</v>
      </c>
      <c r="CW564" s="53" t="e">
        <v>#N/A</v>
      </c>
      <c r="CX564" s="53" t="e">
        <v>#N/A</v>
      </c>
      <c r="CY564" s="53" t="e">
        <v>#N/A</v>
      </c>
      <c r="CZ564" s="53" t="e">
        <v>#N/A</v>
      </c>
      <c r="DA564" s="53" t="e">
        <v>#N/A</v>
      </c>
      <c r="DB564" s="53" t="e">
        <v>#N/A</v>
      </c>
      <c r="DC564" s="53" t="e">
        <v>#N/A</v>
      </c>
      <c r="DD564" s="53" t="e">
        <v>#N/A</v>
      </c>
      <c r="DE564" s="53" t="e">
        <v>#N/A</v>
      </c>
      <c r="DF564" s="53" t="e">
        <v>#N/A</v>
      </c>
      <c r="DG564" s="53" t="e">
        <v>#N/A</v>
      </c>
      <c r="DH564" s="53" t="e">
        <v>#N/A</v>
      </c>
      <c r="DI564" s="53" t="e">
        <v>#N/A</v>
      </c>
      <c r="DJ564" s="53" t="e">
        <v>#N/A</v>
      </c>
    </row>
    <row r="565" spans="3:114" s="53" customFormat="1">
      <c r="C565" s="80"/>
      <c r="E565" s="48"/>
      <c r="F565" s="84"/>
      <c r="G565" s="69"/>
      <c r="H565" s="68"/>
      <c r="I565" s="68"/>
      <c r="K565" s="48"/>
      <c r="N565" s="61" t="str">
        <f t="shared" si="84"/>
        <v/>
      </c>
      <c r="O565" s="53" t="str">
        <f t="shared" si="85"/>
        <v>click</v>
      </c>
      <c r="P565" s="61" t="str">
        <f t="shared" si="89"/>
        <v>();</v>
      </c>
      <c r="Q565" s="61" t="str">
        <f t="shared" si="90"/>
        <v/>
      </c>
      <c r="R565" s="61" t="str">
        <f t="shared" si="91"/>
        <v/>
      </c>
      <c r="S565" s="61" t="str">
        <f t="shared" si="88"/>
        <v/>
      </c>
      <c r="CU565" s="53" t="e">
        <v>#N/A</v>
      </c>
      <c r="CV565" s="53" t="e">
        <v>#N/A</v>
      </c>
      <c r="CW565" s="53" t="e">
        <v>#N/A</v>
      </c>
      <c r="CX565" s="53" t="e">
        <v>#N/A</v>
      </c>
      <c r="CY565" s="53" t="e">
        <v>#N/A</v>
      </c>
      <c r="CZ565" s="53" t="e">
        <v>#N/A</v>
      </c>
      <c r="DA565" s="53" t="e">
        <v>#N/A</v>
      </c>
      <c r="DB565" s="53" t="e">
        <v>#N/A</v>
      </c>
      <c r="DC565" s="53" t="e">
        <v>#N/A</v>
      </c>
      <c r="DD565" s="53" t="e">
        <v>#N/A</v>
      </c>
      <c r="DE565" s="53" t="e">
        <v>#N/A</v>
      </c>
      <c r="DF565" s="53" t="e">
        <v>#N/A</v>
      </c>
      <c r="DG565" s="53" t="e">
        <v>#N/A</v>
      </c>
      <c r="DH565" s="53" t="e">
        <v>#N/A</v>
      </c>
      <c r="DI565" s="53" t="e">
        <v>#N/A</v>
      </c>
      <c r="DJ565" s="53" t="e">
        <v>#N/A</v>
      </c>
    </row>
    <row r="566" spans="3:114" s="53" customFormat="1">
      <c r="C566" s="80"/>
      <c r="E566" s="48"/>
      <c r="F566" s="84"/>
      <c r="G566" s="69"/>
      <c r="H566" s="68"/>
      <c r="I566" s="68"/>
      <c r="K566" s="48"/>
      <c r="N566" s="61" t="str">
        <f t="shared" si="84"/>
        <v/>
      </c>
      <c r="O566" s="53" t="str">
        <f t="shared" si="85"/>
        <v>click</v>
      </c>
      <c r="P566" s="61" t="str">
        <f t="shared" si="89"/>
        <v>();</v>
      </c>
      <c r="Q566" s="61" t="str">
        <f t="shared" si="90"/>
        <v/>
      </c>
      <c r="R566" s="61" t="str">
        <f t="shared" si="91"/>
        <v/>
      </c>
      <c r="S566" s="61" t="str">
        <f t="shared" si="88"/>
        <v/>
      </c>
      <c r="CU566" s="53" t="e">
        <v>#N/A</v>
      </c>
      <c r="CV566" s="53" t="e">
        <v>#N/A</v>
      </c>
      <c r="CW566" s="53" t="e">
        <v>#N/A</v>
      </c>
      <c r="CX566" s="53" t="e">
        <v>#N/A</v>
      </c>
      <c r="CY566" s="53" t="e">
        <v>#N/A</v>
      </c>
      <c r="CZ566" s="53" t="e">
        <v>#N/A</v>
      </c>
      <c r="DA566" s="53" t="e">
        <v>#N/A</v>
      </c>
      <c r="DB566" s="53" t="e">
        <v>#N/A</v>
      </c>
      <c r="DC566" s="53" t="e">
        <v>#N/A</v>
      </c>
      <c r="DD566" s="53" t="e">
        <v>#N/A</v>
      </c>
      <c r="DE566" s="53" t="e">
        <v>#N/A</v>
      </c>
      <c r="DF566" s="53" t="e">
        <v>#N/A</v>
      </c>
      <c r="DG566" s="53" t="e">
        <v>#N/A</v>
      </c>
      <c r="DH566" s="53" t="e">
        <v>#N/A</v>
      </c>
      <c r="DI566" s="53" t="e">
        <v>#N/A</v>
      </c>
      <c r="DJ566" s="53" t="e">
        <v>#N/A</v>
      </c>
    </row>
    <row r="567" spans="3:114">
      <c r="N567" s="61" t="str">
        <f t="shared" si="84"/>
        <v/>
      </c>
      <c r="O567" s="53" t="str">
        <f t="shared" si="85"/>
        <v>click</v>
      </c>
      <c r="P567" s="61" t="str">
        <f t="shared" si="89"/>
        <v>();</v>
      </c>
      <c r="Q567" s="61" t="str">
        <f t="shared" si="90"/>
        <v/>
      </c>
      <c r="R567" s="61" t="str">
        <f t="shared" si="91"/>
        <v/>
      </c>
      <c r="S567" s="61" t="str">
        <f t="shared" si="88"/>
        <v/>
      </c>
      <c r="CU567" s="61" t="e">
        <v>#N/A</v>
      </c>
      <c r="CV567" s="61" t="e">
        <v>#N/A</v>
      </c>
      <c r="CW567" s="61" t="e">
        <v>#N/A</v>
      </c>
      <c r="CX567" s="61" t="e">
        <v>#N/A</v>
      </c>
      <c r="CY567" s="61" t="e">
        <v>#N/A</v>
      </c>
      <c r="CZ567" s="61" t="e">
        <v>#N/A</v>
      </c>
      <c r="DA567" s="61" t="e">
        <v>#N/A</v>
      </c>
      <c r="DB567" s="61" t="e">
        <v>#N/A</v>
      </c>
      <c r="DC567" s="61" t="e">
        <v>#N/A</v>
      </c>
      <c r="DD567" s="61" t="e">
        <v>#N/A</v>
      </c>
      <c r="DE567" s="61" t="e">
        <v>#N/A</v>
      </c>
      <c r="DF567" s="61" t="e">
        <v>#N/A</v>
      </c>
      <c r="DG567" s="61" t="e">
        <v>#N/A</v>
      </c>
      <c r="DH567" s="61" t="e">
        <v>#N/A</v>
      </c>
      <c r="DI567" s="61" t="e">
        <v>#N/A</v>
      </c>
      <c r="DJ567" s="61" t="e">
        <v>#N/A</v>
      </c>
    </row>
    <row r="568" spans="3:114">
      <c r="N568" s="61" t="str">
        <f t="shared" si="84"/>
        <v/>
      </c>
      <c r="O568" s="53" t="str">
        <f t="shared" si="85"/>
        <v>click</v>
      </c>
      <c r="P568" s="61" t="str">
        <f t="shared" si="89"/>
        <v>();</v>
      </c>
      <c r="Q568" s="61" t="str">
        <f t="shared" si="90"/>
        <v/>
      </c>
      <c r="R568" s="61" t="str">
        <f t="shared" si="91"/>
        <v/>
      </c>
      <c r="S568" s="61" t="str">
        <f t="shared" si="88"/>
        <v/>
      </c>
      <c r="CU568" s="61" t="e">
        <v>#N/A</v>
      </c>
      <c r="CV568" s="61" t="e">
        <v>#N/A</v>
      </c>
      <c r="CW568" s="61" t="e">
        <v>#N/A</v>
      </c>
      <c r="CX568" s="61" t="e">
        <v>#N/A</v>
      </c>
      <c r="CY568" s="61" t="e">
        <v>#N/A</v>
      </c>
      <c r="CZ568" s="61" t="e">
        <v>#N/A</v>
      </c>
      <c r="DA568" s="61" t="e">
        <v>#N/A</v>
      </c>
      <c r="DB568" s="61" t="e">
        <v>#N/A</v>
      </c>
      <c r="DC568" s="61" t="e">
        <v>#N/A</v>
      </c>
      <c r="DD568" s="61" t="e">
        <v>#N/A</v>
      </c>
      <c r="DE568" s="61" t="e">
        <v>#N/A</v>
      </c>
      <c r="DF568" s="61" t="e">
        <v>#N/A</v>
      </c>
      <c r="DG568" s="61" t="e">
        <v>#N/A</v>
      </c>
      <c r="DH568" s="61" t="e">
        <v>#N/A</v>
      </c>
      <c r="DI568" s="61" t="e">
        <v>#N/A</v>
      </c>
      <c r="DJ568" s="61" t="e">
        <v>#N/A</v>
      </c>
    </row>
    <row r="569" spans="3:114">
      <c r="N569" s="61" t="str">
        <f t="shared" si="84"/>
        <v/>
      </c>
      <c r="O569" s="53" t="str">
        <f t="shared" si="85"/>
        <v>click</v>
      </c>
      <c r="P569" s="61" t="str">
        <f t="shared" si="89"/>
        <v>();</v>
      </c>
      <c r="Q569" s="61" t="str">
        <f t="shared" si="90"/>
        <v/>
      </c>
      <c r="R569" s="61" t="str">
        <f t="shared" si="91"/>
        <v/>
      </c>
      <c r="S569" s="61" t="str">
        <f t="shared" si="88"/>
        <v/>
      </c>
      <c r="CU569" s="61" t="e">
        <v>#N/A</v>
      </c>
      <c r="CV569" s="61" t="e">
        <v>#N/A</v>
      </c>
      <c r="CW569" s="61" t="e">
        <v>#N/A</v>
      </c>
      <c r="CX569" s="61" t="e">
        <v>#N/A</v>
      </c>
      <c r="CY569" s="61" t="e">
        <v>#N/A</v>
      </c>
      <c r="CZ569" s="61" t="e">
        <v>#N/A</v>
      </c>
      <c r="DA569" s="61" t="e">
        <v>#N/A</v>
      </c>
      <c r="DB569" s="61" t="e">
        <v>#N/A</v>
      </c>
      <c r="DC569" s="61" t="e">
        <v>#N/A</v>
      </c>
      <c r="DD569" s="61" t="e">
        <v>#N/A</v>
      </c>
      <c r="DE569" s="61" t="e">
        <v>#N/A</v>
      </c>
      <c r="DF569" s="61" t="e">
        <v>#N/A</v>
      </c>
      <c r="DG569" s="61" t="e">
        <v>#N/A</v>
      </c>
      <c r="DH569" s="61" t="e">
        <v>#N/A</v>
      </c>
      <c r="DI569" s="61" t="e">
        <v>#N/A</v>
      </c>
      <c r="DJ569" s="61" t="e">
        <v>#N/A</v>
      </c>
    </row>
    <row r="570" spans="3:114">
      <c r="N570" s="61" t="str">
        <f t="shared" si="84"/>
        <v/>
      </c>
      <c r="O570" s="53" t="str">
        <f t="shared" si="85"/>
        <v>click</v>
      </c>
      <c r="P570" s="61" t="str">
        <f t="shared" si="89"/>
        <v>();</v>
      </c>
      <c r="Q570" s="61" t="str">
        <f t="shared" si="90"/>
        <v/>
      </c>
      <c r="R570" s="61" t="str">
        <f t="shared" si="91"/>
        <v/>
      </c>
      <c r="S570" s="61" t="str">
        <f t="shared" si="88"/>
        <v/>
      </c>
      <c r="CU570" s="61" t="e">
        <v>#N/A</v>
      </c>
      <c r="CV570" s="61" t="e">
        <v>#N/A</v>
      </c>
      <c r="CW570" s="61" t="e">
        <v>#N/A</v>
      </c>
      <c r="CX570" s="61" t="e">
        <v>#N/A</v>
      </c>
      <c r="CY570" s="61" t="e">
        <v>#N/A</v>
      </c>
      <c r="CZ570" s="61" t="e">
        <v>#N/A</v>
      </c>
      <c r="DA570" s="61" t="e">
        <v>#N/A</v>
      </c>
      <c r="DB570" s="61" t="e">
        <v>#N/A</v>
      </c>
      <c r="DC570" s="61" t="e">
        <v>#N/A</v>
      </c>
      <c r="DD570" s="61" t="e">
        <v>#N/A</v>
      </c>
      <c r="DE570" s="61" t="e">
        <v>#N/A</v>
      </c>
      <c r="DF570" s="61" t="e">
        <v>#N/A</v>
      </c>
      <c r="DG570" s="61" t="e">
        <v>#N/A</v>
      </c>
      <c r="DH570" s="61" t="e">
        <v>#N/A</v>
      </c>
      <c r="DI570" s="61" t="e">
        <v>#N/A</v>
      </c>
      <c r="DJ570" s="61" t="e">
        <v>#N/A</v>
      </c>
    </row>
    <row r="571" spans="3:114">
      <c r="N571" s="61" t="str">
        <f t="shared" si="84"/>
        <v/>
      </c>
      <c r="O571" s="53" t="str">
        <f t="shared" si="85"/>
        <v>click</v>
      </c>
      <c r="P571" s="61" t="str">
        <f t="shared" si="89"/>
        <v>();</v>
      </c>
      <c r="Q571" s="61" t="str">
        <f t="shared" si="90"/>
        <v/>
      </c>
      <c r="R571" s="61" t="str">
        <f t="shared" si="91"/>
        <v/>
      </c>
      <c r="S571" s="61" t="str">
        <f t="shared" si="88"/>
        <v/>
      </c>
      <c r="CU571" s="61" t="e">
        <v>#N/A</v>
      </c>
      <c r="CV571" s="61" t="e">
        <v>#N/A</v>
      </c>
      <c r="CW571" s="61" t="e">
        <v>#N/A</v>
      </c>
      <c r="CX571" s="61" t="e">
        <v>#N/A</v>
      </c>
      <c r="CY571" s="61" t="e">
        <v>#N/A</v>
      </c>
      <c r="CZ571" s="61" t="e">
        <v>#N/A</v>
      </c>
      <c r="DA571" s="61" t="e">
        <v>#N/A</v>
      </c>
      <c r="DB571" s="61" t="e">
        <v>#N/A</v>
      </c>
      <c r="DC571" s="61" t="e">
        <v>#N/A</v>
      </c>
      <c r="DD571" s="61" t="e">
        <v>#N/A</v>
      </c>
      <c r="DE571" s="61" t="e">
        <v>#N/A</v>
      </c>
      <c r="DF571" s="61" t="e">
        <v>#N/A</v>
      </c>
      <c r="DG571" s="61" t="e">
        <v>#N/A</v>
      </c>
      <c r="DH571" s="61" t="e">
        <v>#N/A</v>
      </c>
      <c r="DI571" s="61" t="e">
        <v>#N/A</v>
      </c>
      <c r="DJ571" s="61" t="e">
        <v>#N/A</v>
      </c>
    </row>
    <row r="572" spans="3:114">
      <c r="N572" s="61" t="str">
        <f t="shared" si="84"/>
        <v/>
      </c>
      <c r="O572" s="53" t="str">
        <f t="shared" si="85"/>
        <v>click</v>
      </c>
      <c r="P572" s="61" t="str">
        <f t="shared" si="89"/>
        <v>();</v>
      </c>
      <c r="Q572" s="61" t="str">
        <f t="shared" si="90"/>
        <v/>
      </c>
      <c r="R572" s="61" t="str">
        <f t="shared" si="91"/>
        <v/>
      </c>
      <c r="S572" s="61" t="str">
        <f t="shared" si="88"/>
        <v/>
      </c>
      <c r="CU572" s="61" t="e">
        <v>#N/A</v>
      </c>
      <c r="CV572" s="61" t="e">
        <v>#N/A</v>
      </c>
      <c r="CW572" s="61" t="e">
        <v>#N/A</v>
      </c>
      <c r="CX572" s="61" t="e">
        <v>#N/A</v>
      </c>
      <c r="CY572" s="61" t="e">
        <v>#N/A</v>
      </c>
      <c r="CZ572" s="61" t="e">
        <v>#N/A</v>
      </c>
      <c r="DA572" s="61" t="e">
        <v>#N/A</v>
      </c>
      <c r="DB572" s="61" t="e">
        <v>#N/A</v>
      </c>
      <c r="DC572" s="61" t="e">
        <v>#N/A</v>
      </c>
      <c r="DD572" s="61" t="e">
        <v>#N/A</v>
      </c>
      <c r="DE572" s="61" t="e">
        <v>#N/A</v>
      </c>
      <c r="DF572" s="61" t="e">
        <v>#N/A</v>
      </c>
      <c r="DG572" s="61" t="e">
        <v>#N/A</v>
      </c>
      <c r="DH572" s="61" t="e">
        <v>#N/A</v>
      </c>
      <c r="DI572" s="61" t="e">
        <v>#N/A</v>
      </c>
      <c r="DJ572" s="61" t="e">
        <v>#N/A</v>
      </c>
    </row>
    <row r="573" spans="3:114">
      <c r="N573" s="61" t="str">
        <f t="shared" si="84"/>
        <v/>
      </c>
      <c r="O573" s="53" t="str">
        <f t="shared" si="85"/>
        <v>click</v>
      </c>
      <c r="P573" s="61" t="str">
        <f t="shared" si="89"/>
        <v>();</v>
      </c>
      <c r="Q573" s="61" t="str">
        <f t="shared" si="90"/>
        <v/>
      </c>
      <c r="R573" s="61" t="str">
        <f t="shared" si="91"/>
        <v/>
      </c>
      <c r="S573" s="61" t="str">
        <f t="shared" si="88"/>
        <v/>
      </c>
      <c r="CU573" s="61" t="e">
        <v>#N/A</v>
      </c>
      <c r="CV573" s="61" t="e">
        <v>#N/A</v>
      </c>
      <c r="CW573" s="61" t="e">
        <v>#N/A</v>
      </c>
      <c r="CX573" s="61" t="e">
        <v>#N/A</v>
      </c>
      <c r="CY573" s="61" t="e">
        <v>#N/A</v>
      </c>
      <c r="CZ573" s="61" t="e">
        <v>#N/A</v>
      </c>
      <c r="DA573" s="61" t="e">
        <v>#N/A</v>
      </c>
      <c r="DB573" s="61" t="e">
        <v>#N/A</v>
      </c>
      <c r="DC573" s="61" t="e">
        <v>#N/A</v>
      </c>
      <c r="DD573" s="61" t="e">
        <v>#N/A</v>
      </c>
      <c r="DE573" s="61" t="e">
        <v>#N/A</v>
      </c>
      <c r="DF573" s="61" t="e">
        <v>#N/A</v>
      </c>
      <c r="DG573" s="61" t="e">
        <v>#N/A</v>
      </c>
      <c r="DH573" s="61" t="e">
        <v>#N/A</v>
      </c>
      <c r="DI573" s="61" t="e">
        <v>#N/A</v>
      </c>
      <c r="DJ573" s="61" t="e">
        <v>#N/A</v>
      </c>
    </row>
    <row r="574" spans="3:114">
      <c r="N574" s="61" t="str">
        <f t="shared" si="84"/>
        <v/>
      </c>
      <c r="O574" s="53" t="str">
        <f t="shared" si="85"/>
        <v>click</v>
      </c>
      <c r="P574" s="61" t="str">
        <f t="shared" si="89"/>
        <v>();</v>
      </c>
      <c r="Q574" s="61" t="str">
        <f t="shared" si="90"/>
        <v/>
      </c>
      <c r="R574" s="61" t="str">
        <f t="shared" si="91"/>
        <v/>
      </c>
      <c r="S574" s="61" t="str">
        <f t="shared" si="88"/>
        <v/>
      </c>
      <c r="CU574" s="61" t="e">
        <v>#N/A</v>
      </c>
      <c r="CV574" s="61" t="e">
        <v>#N/A</v>
      </c>
      <c r="CW574" s="61" t="e">
        <v>#N/A</v>
      </c>
      <c r="CX574" s="61" t="e">
        <v>#N/A</v>
      </c>
      <c r="CY574" s="61" t="e">
        <v>#N/A</v>
      </c>
      <c r="CZ574" s="61" t="e">
        <v>#N/A</v>
      </c>
      <c r="DA574" s="61" t="e">
        <v>#N/A</v>
      </c>
      <c r="DB574" s="61" t="e">
        <v>#N/A</v>
      </c>
      <c r="DC574" s="61" t="e">
        <v>#N/A</v>
      </c>
      <c r="DD574" s="61" t="e">
        <v>#N/A</v>
      </c>
      <c r="DE574" s="61" t="e">
        <v>#N/A</v>
      </c>
      <c r="DF574" s="61" t="e">
        <v>#N/A</v>
      </c>
      <c r="DG574" s="61" t="e">
        <v>#N/A</v>
      </c>
      <c r="DH574" s="61" t="e">
        <v>#N/A</v>
      </c>
      <c r="DI574" s="61" t="e">
        <v>#N/A</v>
      </c>
      <c r="DJ574" s="61" t="e">
        <v>#N/A</v>
      </c>
    </row>
    <row r="575" spans="3:114">
      <c r="N575" s="61" t="str">
        <f t="shared" si="84"/>
        <v/>
      </c>
      <c r="O575" s="53" t="str">
        <f t="shared" si="85"/>
        <v>click</v>
      </c>
      <c r="P575" s="61" t="str">
        <f t="shared" si="89"/>
        <v>();</v>
      </c>
      <c r="Q575" s="61" t="str">
        <f t="shared" si="90"/>
        <v/>
      </c>
      <c r="R575" s="61" t="str">
        <f t="shared" si="91"/>
        <v/>
      </c>
      <c r="S575" s="61" t="str">
        <f t="shared" si="88"/>
        <v/>
      </c>
      <c r="CU575" s="61" t="e">
        <v>#N/A</v>
      </c>
      <c r="CV575" s="61" t="e">
        <v>#N/A</v>
      </c>
      <c r="CW575" s="61" t="e">
        <v>#N/A</v>
      </c>
      <c r="CX575" s="61" t="e">
        <v>#N/A</v>
      </c>
      <c r="CY575" s="61" t="e">
        <v>#N/A</v>
      </c>
      <c r="CZ575" s="61" t="e">
        <v>#N/A</v>
      </c>
      <c r="DA575" s="61" t="e">
        <v>#N/A</v>
      </c>
      <c r="DB575" s="61" t="e">
        <v>#N/A</v>
      </c>
      <c r="DC575" s="61" t="e">
        <v>#N/A</v>
      </c>
      <c r="DD575" s="61" t="e">
        <v>#N/A</v>
      </c>
      <c r="DE575" s="61" t="e">
        <v>#N/A</v>
      </c>
      <c r="DF575" s="61" t="e">
        <v>#N/A</v>
      </c>
      <c r="DG575" s="61" t="e">
        <v>#N/A</v>
      </c>
      <c r="DH575" s="61" t="e">
        <v>#N/A</v>
      </c>
      <c r="DI575" s="61" t="e">
        <v>#N/A</v>
      </c>
      <c r="DJ575" s="61" t="e">
        <v>#N/A</v>
      </c>
    </row>
    <row r="576" spans="3:114">
      <c r="N576" s="61" t="str">
        <f t="shared" si="84"/>
        <v/>
      </c>
      <c r="O576" s="53" t="str">
        <f t="shared" si="85"/>
        <v>click</v>
      </c>
      <c r="P576" s="61" t="str">
        <f t="shared" si="89"/>
        <v>();</v>
      </c>
      <c r="Q576" s="61" t="str">
        <f t="shared" si="90"/>
        <v/>
      </c>
      <c r="R576" s="61" t="str">
        <f t="shared" si="91"/>
        <v/>
      </c>
      <c r="S576" s="61" t="str">
        <f t="shared" si="88"/>
        <v/>
      </c>
      <c r="CU576" s="61" t="e">
        <v>#N/A</v>
      </c>
      <c r="CV576" s="61" t="e">
        <v>#N/A</v>
      </c>
      <c r="CW576" s="61" t="e">
        <v>#N/A</v>
      </c>
      <c r="CX576" s="61" t="e">
        <v>#N/A</v>
      </c>
      <c r="CY576" s="61" t="e">
        <v>#N/A</v>
      </c>
      <c r="CZ576" s="61" t="e">
        <v>#N/A</v>
      </c>
      <c r="DA576" s="61" t="e">
        <v>#N/A</v>
      </c>
      <c r="DB576" s="61" t="e">
        <v>#N/A</v>
      </c>
      <c r="DC576" s="61" t="e">
        <v>#N/A</v>
      </c>
      <c r="DD576" s="61" t="e">
        <v>#N/A</v>
      </c>
      <c r="DE576" s="61" t="e">
        <v>#N/A</v>
      </c>
      <c r="DF576" s="61" t="e">
        <v>#N/A</v>
      </c>
      <c r="DG576" s="61" t="e">
        <v>#N/A</v>
      </c>
      <c r="DH576" s="61" t="e">
        <v>#N/A</v>
      </c>
      <c r="DI576" s="61" t="e">
        <v>#N/A</v>
      </c>
      <c r="DJ576" s="61" t="e">
        <v>#N/A</v>
      </c>
    </row>
    <row r="577" spans="14:114">
      <c r="N577" s="61" t="str">
        <f t="shared" si="84"/>
        <v/>
      </c>
      <c r="O577" s="53" t="str">
        <f t="shared" si="85"/>
        <v>click</v>
      </c>
      <c r="P577" s="61" t="str">
        <f t="shared" si="89"/>
        <v>();</v>
      </c>
      <c r="Q577" s="61" t="str">
        <f t="shared" si="90"/>
        <v/>
      </c>
      <c r="R577" s="61" t="str">
        <f t="shared" si="91"/>
        <v/>
      </c>
      <c r="S577" s="61" t="str">
        <f t="shared" si="88"/>
        <v/>
      </c>
      <c r="CU577" s="61" t="e">
        <v>#N/A</v>
      </c>
      <c r="CV577" s="61" t="e">
        <v>#N/A</v>
      </c>
      <c r="CW577" s="61" t="e">
        <v>#N/A</v>
      </c>
      <c r="CX577" s="61" t="e">
        <v>#N/A</v>
      </c>
      <c r="CY577" s="61" t="e">
        <v>#N/A</v>
      </c>
      <c r="CZ577" s="61" t="e">
        <v>#N/A</v>
      </c>
      <c r="DA577" s="61" t="e">
        <v>#N/A</v>
      </c>
      <c r="DB577" s="61" t="e">
        <v>#N/A</v>
      </c>
      <c r="DC577" s="61" t="e">
        <v>#N/A</v>
      </c>
      <c r="DD577" s="61" t="e">
        <v>#N/A</v>
      </c>
      <c r="DE577" s="61" t="e">
        <v>#N/A</v>
      </c>
      <c r="DF577" s="61" t="e">
        <v>#N/A</v>
      </c>
      <c r="DG577" s="61" t="e">
        <v>#N/A</v>
      </c>
      <c r="DH577" s="61" t="e">
        <v>#N/A</v>
      </c>
      <c r="DI577" s="61" t="e">
        <v>#N/A</v>
      </c>
      <c r="DJ577" s="61" t="e">
        <v>#N/A</v>
      </c>
    </row>
    <row r="578" spans="14:114">
      <c r="N578" s="61" t="str">
        <f t="shared" si="84"/>
        <v/>
      </c>
      <c r="O578" s="53" t="str">
        <f t="shared" si="85"/>
        <v>click</v>
      </c>
      <c r="P578" s="61" t="str">
        <f t="shared" si="89"/>
        <v>();</v>
      </c>
      <c r="Q578" s="61" t="str">
        <f t="shared" si="90"/>
        <v/>
      </c>
      <c r="R578" s="61" t="str">
        <f t="shared" si="91"/>
        <v/>
      </c>
      <c r="S578" s="61" t="str">
        <f t="shared" si="88"/>
        <v/>
      </c>
      <c r="CU578" s="61" t="e">
        <v>#N/A</v>
      </c>
      <c r="CV578" s="61" t="e">
        <v>#N/A</v>
      </c>
      <c r="CW578" s="61" t="e">
        <v>#N/A</v>
      </c>
      <c r="CX578" s="61" t="e">
        <v>#N/A</v>
      </c>
      <c r="CY578" s="61" t="e">
        <v>#N/A</v>
      </c>
      <c r="CZ578" s="61" t="e">
        <v>#N/A</v>
      </c>
      <c r="DA578" s="61" t="e">
        <v>#N/A</v>
      </c>
      <c r="DB578" s="61" t="e">
        <v>#N/A</v>
      </c>
      <c r="DC578" s="61" t="e">
        <v>#N/A</v>
      </c>
      <c r="DD578" s="61" t="e">
        <v>#N/A</v>
      </c>
      <c r="DE578" s="61" t="e">
        <v>#N/A</v>
      </c>
      <c r="DF578" s="61" t="e">
        <v>#N/A</v>
      </c>
      <c r="DG578" s="61" t="e">
        <v>#N/A</v>
      </c>
      <c r="DH578" s="61" t="e">
        <v>#N/A</v>
      </c>
      <c r="DI578" s="61" t="e">
        <v>#N/A</v>
      </c>
      <c r="DJ578" s="61" t="e">
        <v>#N/A</v>
      </c>
    </row>
    <row r="579" spans="14:114">
      <c r="N579" s="61" t="str">
        <f t="shared" si="84"/>
        <v/>
      </c>
      <c r="O579" s="53" t="str">
        <f t="shared" si="85"/>
        <v>click</v>
      </c>
      <c r="P579" s="61" t="str">
        <f t="shared" si="89"/>
        <v>();</v>
      </c>
      <c r="Q579" s="61" t="str">
        <f t="shared" si="90"/>
        <v/>
      </c>
      <c r="R579" s="61" t="str">
        <f t="shared" si="91"/>
        <v/>
      </c>
      <c r="S579" s="61" t="str">
        <f t="shared" si="88"/>
        <v/>
      </c>
      <c r="CU579" s="61" t="e">
        <v>#N/A</v>
      </c>
      <c r="CV579" s="61" t="e">
        <v>#N/A</v>
      </c>
      <c r="CW579" s="61" t="e">
        <v>#N/A</v>
      </c>
      <c r="CX579" s="61" t="e">
        <v>#N/A</v>
      </c>
      <c r="CY579" s="61" t="e">
        <v>#N/A</v>
      </c>
      <c r="CZ579" s="61" t="e">
        <v>#N/A</v>
      </c>
      <c r="DA579" s="61" t="e">
        <v>#N/A</v>
      </c>
      <c r="DB579" s="61" t="e">
        <v>#N/A</v>
      </c>
      <c r="DC579" s="61" t="e">
        <v>#N/A</v>
      </c>
      <c r="DD579" s="61" t="e">
        <v>#N/A</v>
      </c>
      <c r="DE579" s="61" t="e">
        <v>#N/A</v>
      </c>
      <c r="DF579" s="61" t="e">
        <v>#N/A</v>
      </c>
      <c r="DG579" s="61" t="e">
        <v>#N/A</v>
      </c>
      <c r="DH579" s="61" t="e">
        <v>#N/A</v>
      </c>
      <c r="DI579" s="61" t="e">
        <v>#N/A</v>
      </c>
      <c r="DJ579" s="61" t="e">
        <v>#N/A</v>
      </c>
    </row>
    <row r="580" spans="14:114">
      <c r="N580" s="61" t="str">
        <f t="shared" si="84"/>
        <v/>
      </c>
      <c r="O580" s="53" t="str">
        <f t="shared" si="85"/>
        <v>click</v>
      </c>
      <c r="P580" s="61" t="str">
        <f t="shared" si="89"/>
        <v>();</v>
      </c>
      <c r="Q580" s="61" t="str">
        <f t="shared" si="90"/>
        <v/>
      </c>
      <c r="R580" s="61" t="str">
        <f t="shared" si="91"/>
        <v/>
      </c>
      <c r="S580" s="61" t="str">
        <f t="shared" si="88"/>
        <v/>
      </c>
      <c r="CU580" s="61" t="e">
        <v>#N/A</v>
      </c>
      <c r="CV580" s="61" t="e">
        <v>#N/A</v>
      </c>
      <c r="CW580" s="61" t="e">
        <v>#N/A</v>
      </c>
      <c r="CX580" s="61" t="e">
        <v>#N/A</v>
      </c>
      <c r="CY580" s="61" t="e">
        <v>#N/A</v>
      </c>
      <c r="CZ580" s="61" t="e">
        <v>#N/A</v>
      </c>
      <c r="DA580" s="61" t="e">
        <v>#N/A</v>
      </c>
      <c r="DB580" s="61" t="e">
        <v>#N/A</v>
      </c>
      <c r="DC580" s="61" t="e">
        <v>#N/A</v>
      </c>
      <c r="DD580" s="61" t="e">
        <v>#N/A</v>
      </c>
      <c r="DE580" s="61" t="e">
        <v>#N/A</v>
      </c>
      <c r="DF580" s="61" t="e">
        <v>#N/A</v>
      </c>
      <c r="DG580" s="61" t="e">
        <v>#N/A</v>
      </c>
      <c r="DH580" s="61" t="e">
        <v>#N/A</v>
      </c>
      <c r="DI580" s="61" t="e">
        <v>#N/A</v>
      </c>
      <c r="DJ580" s="61" t="e">
        <v>#N/A</v>
      </c>
    </row>
    <row r="581" spans="14:114">
      <c r="N581" s="61" t="str">
        <f t="shared" ref="N581:N644" si="92">IF(A581="Y",""""&amp;C581&amp;""""&amp;": "&amp;M581&amp;",","")</f>
        <v/>
      </c>
      <c r="O581" s="53" t="str">
        <f t="shared" ref="O581:O644" si="93">IF(D581="input","fill",IF(I581&lt;&gt;"","innerText",IF(J581="Y",$T$110,"click")))</f>
        <v>click</v>
      </c>
      <c r="P581" s="61" t="str">
        <f t="shared" si="89"/>
        <v>();</v>
      </c>
      <c r="Q581" s="61" t="str">
        <f t="shared" ref="Q581:Q612" si="94">IF(A581="Y",IF(H581&lt;&gt;"Xpath",M581&amp;F581&amp;N581,""""&amp;F581&amp;""""),"")</f>
        <v/>
      </c>
      <c r="R581" s="61" t="str">
        <f t="shared" ref="R581:R600" si="95">IF(C581="Y",""""&amp;E581&amp;""""&amp;":"&amp;Q581&amp;",","")</f>
        <v/>
      </c>
      <c r="S581" s="61" t="str">
        <f t="shared" ref="S581:S644" si="96">IF(O581="innerText",I581&amp;"="&amp;IF(C581="Y",IF(J581&lt;&gt;"Y",$S$9&amp;$R$10&amp;"."&amp;E581&amp;")."&amp;IF(OR(O581="click",O581="innerText"),O581&amp;"();",O581&amp;"("&amp;$Q$9&amp;"."&amp;E581&amp;");"),$S$110&amp;$R$10&amp;"."&amp;E581&amp;")."&amp;IF(O581="click",O581&amp;"();",O581&amp;"("&amp;"'"&amp;K581&amp;"'"&amp;");")),""),IF(C581="Y",IF(J581&lt;&gt;"Y",$S$9&amp;$R$10&amp;"."&amp;E581&amp;")."&amp;IF(OR(O581="click",O581="innerText"),O581&amp;"();",O581&amp;"("&amp;$Q$9&amp;"."&amp;E581&amp;");"),$S$110&amp;$R$10&amp;"."&amp;E581&amp;")."&amp;IF(O581="click",O581&amp;"();",O581&amp;"("&amp;"'"&amp;K581&amp;"'"&amp;");")),""))</f>
        <v/>
      </c>
      <c r="CU581" s="61" t="e">
        <v>#N/A</v>
      </c>
      <c r="CV581" s="61" t="e">
        <v>#N/A</v>
      </c>
      <c r="CW581" s="61" t="e">
        <v>#N/A</v>
      </c>
      <c r="CX581" s="61" t="e">
        <v>#N/A</v>
      </c>
      <c r="CY581" s="61" t="e">
        <v>#N/A</v>
      </c>
      <c r="CZ581" s="61" t="e">
        <v>#N/A</v>
      </c>
      <c r="DA581" s="61" t="e">
        <v>#N/A</v>
      </c>
      <c r="DB581" s="61" t="e">
        <v>#N/A</v>
      </c>
      <c r="DC581" s="61" t="e">
        <v>#N/A</v>
      </c>
      <c r="DD581" s="61" t="e">
        <v>#N/A</v>
      </c>
      <c r="DE581" s="61" t="e">
        <v>#N/A</v>
      </c>
      <c r="DF581" s="61" t="e">
        <v>#N/A</v>
      </c>
      <c r="DG581" s="61" t="e">
        <v>#N/A</v>
      </c>
      <c r="DH581" s="61" t="e">
        <v>#N/A</v>
      </c>
      <c r="DI581" s="61" t="e">
        <v>#N/A</v>
      </c>
      <c r="DJ581" s="61" t="e">
        <v>#N/A</v>
      </c>
    </row>
    <row r="582" spans="14:114">
      <c r="N582" s="61" t="str">
        <f t="shared" si="92"/>
        <v/>
      </c>
      <c r="O582" s="53" t="str">
        <f t="shared" si="93"/>
        <v>click</v>
      </c>
      <c r="P582" s="61" t="str">
        <f t="shared" si="89"/>
        <v>();</v>
      </c>
      <c r="Q582" s="61" t="str">
        <f t="shared" si="94"/>
        <v/>
      </c>
      <c r="R582" s="61" t="str">
        <f t="shared" si="95"/>
        <v/>
      </c>
      <c r="S582" s="61" t="str">
        <f t="shared" si="96"/>
        <v/>
      </c>
      <c r="CU582" s="61" t="e">
        <v>#N/A</v>
      </c>
      <c r="CV582" s="61" t="e">
        <v>#N/A</v>
      </c>
      <c r="CW582" s="61" t="e">
        <v>#N/A</v>
      </c>
      <c r="CX582" s="61" t="e">
        <v>#N/A</v>
      </c>
      <c r="CY582" s="61" t="e">
        <v>#N/A</v>
      </c>
      <c r="CZ582" s="61" t="e">
        <v>#N/A</v>
      </c>
      <c r="DA582" s="61" t="e">
        <v>#N/A</v>
      </c>
      <c r="DB582" s="61" t="e">
        <v>#N/A</v>
      </c>
      <c r="DC582" s="61" t="e">
        <v>#N/A</v>
      </c>
      <c r="DD582" s="61" t="e">
        <v>#N/A</v>
      </c>
      <c r="DE582" s="61" t="e">
        <v>#N/A</v>
      </c>
      <c r="DF582" s="61" t="e">
        <v>#N/A</v>
      </c>
      <c r="DG582" s="61" t="e">
        <v>#N/A</v>
      </c>
      <c r="DH582" s="61" t="e">
        <v>#N/A</v>
      </c>
      <c r="DI582" s="61" t="e">
        <v>#N/A</v>
      </c>
      <c r="DJ582" s="61" t="e">
        <v>#N/A</v>
      </c>
    </row>
    <row r="583" spans="14:114">
      <c r="N583" s="61" t="str">
        <f t="shared" si="92"/>
        <v/>
      </c>
      <c r="O583" s="53" t="str">
        <f t="shared" si="93"/>
        <v>click</v>
      </c>
      <c r="P583" s="61" t="str">
        <f t="shared" si="89"/>
        <v>();</v>
      </c>
      <c r="Q583" s="61" t="str">
        <f t="shared" si="94"/>
        <v/>
      </c>
      <c r="R583" s="61" t="str">
        <f t="shared" si="95"/>
        <v/>
      </c>
      <c r="S583" s="61" t="str">
        <f t="shared" si="96"/>
        <v/>
      </c>
      <c r="CU583" s="61" t="e">
        <v>#N/A</v>
      </c>
      <c r="CV583" s="61" t="e">
        <v>#N/A</v>
      </c>
      <c r="CW583" s="61" t="e">
        <v>#N/A</v>
      </c>
      <c r="CX583" s="61" t="e">
        <v>#N/A</v>
      </c>
      <c r="CY583" s="61" t="e">
        <v>#N/A</v>
      </c>
      <c r="CZ583" s="61" t="e">
        <v>#N/A</v>
      </c>
      <c r="DA583" s="61" t="e">
        <v>#N/A</v>
      </c>
      <c r="DB583" s="61" t="e">
        <v>#N/A</v>
      </c>
      <c r="DC583" s="61" t="e">
        <v>#N/A</v>
      </c>
      <c r="DD583" s="61" t="e">
        <v>#N/A</v>
      </c>
      <c r="DE583" s="61" t="e">
        <v>#N/A</v>
      </c>
      <c r="DF583" s="61" t="e">
        <v>#N/A</v>
      </c>
      <c r="DG583" s="61" t="e">
        <v>#N/A</v>
      </c>
      <c r="DH583" s="61" t="e">
        <v>#N/A</v>
      </c>
      <c r="DI583" s="61" t="e">
        <v>#N/A</v>
      </c>
      <c r="DJ583" s="61" t="e">
        <v>#N/A</v>
      </c>
    </row>
    <row r="584" spans="14:114">
      <c r="N584" s="61" t="str">
        <f t="shared" si="92"/>
        <v/>
      </c>
      <c r="O584" s="53" t="str">
        <f t="shared" si="93"/>
        <v>click</v>
      </c>
      <c r="P584" s="61" t="str">
        <f t="shared" si="89"/>
        <v>();</v>
      </c>
      <c r="Q584" s="61" t="str">
        <f t="shared" si="94"/>
        <v/>
      </c>
      <c r="R584" s="61" t="str">
        <f t="shared" si="95"/>
        <v/>
      </c>
      <c r="S584" s="61" t="str">
        <f t="shared" si="96"/>
        <v/>
      </c>
      <c r="CU584" s="61" t="e">
        <v>#N/A</v>
      </c>
      <c r="CV584" s="61" t="e">
        <v>#N/A</v>
      </c>
      <c r="CW584" s="61" t="e">
        <v>#N/A</v>
      </c>
      <c r="CX584" s="61" t="e">
        <v>#N/A</v>
      </c>
      <c r="CY584" s="61" t="e">
        <v>#N/A</v>
      </c>
      <c r="CZ584" s="61" t="e">
        <v>#N/A</v>
      </c>
      <c r="DA584" s="61" t="e">
        <v>#N/A</v>
      </c>
      <c r="DB584" s="61" t="e">
        <v>#N/A</v>
      </c>
      <c r="DC584" s="61" t="e">
        <v>#N/A</v>
      </c>
      <c r="DD584" s="61" t="e">
        <v>#N/A</v>
      </c>
      <c r="DE584" s="61" t="e">
        <v>#N/A</v>
      </c>
      <c r="DF584" s="61" t="e">
        <v>#N/A</v>
      </c>
      <c r="DG584" s="61" t="e">
        <v>#N/A</v>
      </c>
      <c r="DH584" s="61" t="e">
        <v>#N/A</v>
      </c>
      <c r="DI584" s="61" t="e">
        <v>#N/A</v>
      </c>
      <c r="DJ584" s="61" t="e">
        <v>#N/A</v>
      </c>
    </row>
    <row r="585" spans="14:114">
      <c r="N585" s="61" t="str">
        <f t="shared" si="92"/>
        <v/>
      </c>
      <c r="O585" s="53" t="str">
        <f t="shared" si="93"/>
        <v>click</v>
      </c>
      <c r="P585" s="61" t="str">
        <f t="shared" si="89"/>
        <v>();</v>
      </c>
      <c r="Q585" s="61" t="str">
        <f t="shared" si="94"/>
        <v/>
      </c>
      <c r="R585" s="61" t="str">
        <f t="shared" si="95"/>
        <v/>
      </c>
      <c r="S585" s="61" t="str">
        <f t="shared" si="96"/>
        <v/>
      </c>
      <c r="CU585" s="61" t="e">
        <v>#N/A</v>
      </c>
      <c r="CV585" s="61" t="e">
        <v>#N/A</v>
      </c>
      <c r="CW585" s="61" t="e">
        <v>#N/A</v>
      </c>
      <c r="CX585" s="61" t="e">
        <v>#N/A</v>
      </c>
      <c r="CY585" s="61" t="e">
        <v>#N/A</v>
      </c>
      <c r="CZ585" s="61" t="e">
        <v>#N/A</v>
      </c>
      <c r="DA585" s="61" t="e">
        <v>#N/A</v>
      </c>
      <c r="DB585" s="61" t="e">
        <v>#N/A</v>
      </c>
      <c r="DC585" s="61" t="e">
        <v>#N/A</v>
      </c>
      <c r="DD585" s="61" t="e">
        <v>#N/A</v>
      </c>
      <c r="DE585" s="61" t="e">
        <v>#N/A</v>
      </c>
      <c r="DF585" s="61" t="e">
        <v>#N/A</v>
      </c>
      <c r="DG585" s="61" t="e">
        <v>#N/A</v>
      </c>
      <c r="DH585" s="61" t="e">
        <v>#N/A</v>
      </c>
      <c r="DI585" s="61" t="e">
        <v>#N/A</v>
      </c>
      <c r="DJ585" s="61" t="e">
        <v>#N/A</v>
      </c>
    </row>
    <row r="586" spans="14:114">
      <c r="N586" s="61" t="str">
        <f t="shared" si="92"/>
        <v/>
      </c>
      <c r="O586" s="53" t="str">
        <f t="shared" si="93"/>
        <v>click</v>
      </c>
      <c r="P586" s="61" t="str">
        <f t="shared" si="89"/>
        <v>();</v>
      </c>
      <c r="Q586" s="61" t="str">
        <f t="shared" si="94"/>
        <v/>
      </c>
      <c r="R586" s="61" t="str">
        <f t="shared" si="95"/>
        <v/>
      </c>
      <c r="S586" s="61" t="str">
        <f t="shared" si="96"/>
        <v/>
      </c>
      <c r="CU586" s="61" t="e">
        <v>#N/A</v>
      </c>
      <c r="CV586" s="61" t="e">
        <v>#N/A</v>
      </c>
      <c r="CW586" s="61" t="e">
        <v>#N/A</v>
      </c>
      <c r="CX586" s="61" t="e">
        <v>#N/A</v>
      </c>
      <c r="CY586" s="61" t="e">
        <v>#N/A</v>
      </c>
      <c r="CZ586" s="61" t="e">
        <v>#N/A</v>
      </c>
      <c r="DA586" s="61" t="e">
        <v>#N/A</v>
      </c>
      <c r="DB586" s="61" t="e">
        <v>#N/A</v>
      </c>
      <c r="DC586" s="61" t="e">
        <v>#N/A</v>
      </c>
      <c r="DD586" s="61" t="e">
        <v>#N/A</v>
      </c>
      <c r="DE586" s="61" t="e">
        <v>#N/A</v>
      </c>
      <c r="DF586" s="61" t="e">
        <v>#N/A</v>
      </c>
      <c r="DG586" s="61" t="e">
        <v>#N/A</v>
      </c>
      <c r="DH586" s="61" t="e">
        <v>#N/A</v>
      </c>
      <c r="DI586" s="61" t="e">
        <v>#N/A</v>
      </c>
      <c r="DJ586" s="61" t="e">
        <v>#N/A</v>
      </c>
    </row>
    <row r="587" spans="14:114">
      <c r="N587" s="61" t="str">
        <f t="shared" si="92"/>
        <v/>
      </c>
      <c r="O587" s="53" t="str">
        <f t="shared" si="93"/>
        <v>click</v>
      </c>
      <c r="P587" s="61" t="str">
        <f t="shared" si="89"/>
        <v>();</v>
      </c>
      <c r="Q587" s="61" t="str">
        <f t="shared" si="94"/>
        <v/>
      </c>
      <c r="R587" s="61" t="str">
        <f t="shared" si="95"/>
        <v/>
      </c>
      <c r="S587" s="61" t="str">
        <f t="shared" si="96"/>
        <v/>
      </c>
      <c r="CU587" s="61" t="e">
        <v>#N/A</v>
      </c>
      <c r="CV587" s="61" t="e">
        <v>#N/A</v>
      </c>
      <c r="CW587" s="61" t="e">
        <v>#N/A</v>
      </c>
      <c r="CX587" s="61" t="e">
        <v>#N/A</v>
      </c>
      <c r="CY587" s="61" t="e">
        <v>#N/A</v>
      </c>
      <c r="CZ587" s="61" t="e">
        <v>#N/A</v>
      </c>
      <c r="DA587" s="61" t="e">
        <v>#N/A</v>
      </c>
      <c r="DB587" s="61" t="e">
        <v>#N/A</v>
      </c>
      <c r="DC587" s="61" t="e">
        <v>#N/A</v>
      </c>
      <c r="DD587" s="61" t="e">
        <v>#N/A</v>
      </c>
      <c r="DE587" s="61" t="e">
        <v>#N/A</v>
      </c>
      <c r="DF587" s="61" t="e">
        <v>#N/A</v>
      </c>
      <c r="DG587" s="61" t="e">
        <v>#N/A</v>
      </c>
      <c r="DH587" s="61" t="e">
        <v>#N/A</v>
      </c>
      <c r="DI587" s="61" t="e">
        <v>#N/A</v>
      </c>
      <c r="DJ587" s="61" t="e">
        <v>#N/A</v>
      </c>
    </row>
    <row r="588" spans="14:114">
      <c r="N588" s="61" t="str">
        <f t="shared" si="92"/>
        <v/>
      </c>
      <c r="O588" s="53" t="str">
        <f t="shared" si="93"/>
        <v>click</v>
      </c>
      <c r="P588" s="61" t="str">
        <f t="shared" ref="P588:P651" si="97">IF(OR(O588="Click",O588="innerText"),"();","("&amp;""""&amp;K588&amp;""""&amp;");")</f>
        <v>();</v>
      </c>
      <c r="Q588" s="61" t="str">
        <f t="shared" si="94"/>
        <v/>
      </c>
      <c r="R588" s="61" t="str">
        <f t="shared" si="95"/>
        <v/>
      </c>
      <c r="S588" s="61" t="str">
        <f t="shared" si="96"/>
        <v/>
      </c>
      <c r="CU588" s="61" t="e">
        <v>#N/A</v>
      </c>
      <c r="CV588" s="61" t="e">
        <v>#N/A</v>
      </c>
      <c r="CW588" s="61" t="e">
        <v>#N/A</v>
      </c>
      <c r="CX588" s="61" t="e">
        <v>#N/A</v>
      </c>
      <c r="CY588" s="61" t="e">
        <v>#N/A</v>
      </c>
      <c r="CZ588" s="61" t="e">
        <v>#N/A</v>
      </c>
      <c r="DA588" s="61" t="e">
        <v>#N/A</v>
      </c>
      <c r="DB588" s="61" t="e">
        <v>#N/A</v>
      </c>
      <c r="DC588" s="61" t="e">
        <v>#N/A</v>
      </c>
      <c r="DD588" s="61" t="e">
        <v>#N/A</v>
      </c>
      <c r="DE588" s="61" t="e">
        <v>#N/A</v>
      </c>
      <c r="DF588" s="61" t="e">
        <v>#N/A</v>
      </c>
      <c r="DG588" s="61" t="e">
        <v>#N/A</v>
      </c>
      <c r="DH588" s="61" t="e">
        <v>#N/A</v>
      </c>
      <c r="DI588" s="61" t="e">
        <v>#N/A</v>
      </c>
      <c r="DJ588" s="61" t="e">
        <v>#N/A</v>
      </c>
    </row>
    <row r="589" spans="14:114">
      <c r="N589" s="61" t="str">
        <f t="shared" si="92"/>
        <v/>
      </c>
      <c r="O589" s="53" t="str">
        <f t="shared" si="93"/>
        <v>click</v>
      </c>
      <c r="P589" s="61" t="str">
        <f t="shared" si="97"/>
        <v>();</v>
      </c>
      <c r="Q589" s="61" t="str">
        <f t="shared" si="94"/>
        <v/>
      </c>
      <c r="R589" s="61" t="str">
        <f t="shared" si="95"/>
        <v/>
      </c>
      <c r="S589" s="61" t="str">
        <f t="shared" si="96"/>
        <v/>
      </c>
      <c r="CU589" s="61" t="e">
        <v>#N/A</v>
      </c>
      <c r="CV589" s="61" t="e">
        <v>#N/A</v>
      </c>
      <c r="CW589" s="61" t="e">
        <v>#N/A</v>
      </c>
      <c r="CX589" s="61" t="e">
        <v>#N/A</v>
      </c>
      <c r="CY589" s="61" t="e">
        <v>#N/A</v>
      </c>
      <c r="CZ589" s="61" t="e">
        <v>#N/A</v>
      </c>
      <c r="DA589" s="61" t="e">
        <v>#N/A</v>
      </c>
      <c r="DB589" s="61" t="e">
        <v>#N/A</v>
      </c>
      <c r="DC589" s="61" t="e">
        <v>#N/A</v>
      </c>
      <c r="DD589" s="61" t="e">
        <v>#N/A</v>
      </c>
      <c r="DE589" s="61" t="e">
        <v>#N/A</v>
      </c>
      <c r="DF589" s="61" t="e">
        <v>#N/A</v>
      </c>
      <c r="DG589" s="61" t="e">
        <v>#N/A</v>
      </c>
      <c r="DH589" s="61" t="e">
        <v>#N/A</v>
      </c>
      <c r="DI589" s="61" t="e">
        <v>#N/A</v>
      </c>
      <c r="DJ589" s="61" t="e">
        <v>#N/A</v>
      </c>
    </row>
    <row r="590" spans="14:114">
      <c r="N590" s="61" t="str">
        <f t="shared" si="92"/>
        <v/>
      </c>
      <c r="O590" s="53" t="str">
        <f t="shared" si="93"/>
        <v>click</v>
      </c>
      <c r="P590" s="61" t="str">
        <f t="shared" si="97"/>
        <v>();</v>
      </c>
      <c r="Q590" s="61" t="str">
        <f t="shared" si="94"/>
        <v/>
      </c>
      <c r="R590" s="61" t="str">
        <f t="shared" si="95"/>
        <v/>
      </c>
      <c r="S590" s="61" t="str">
        <f t="shared" si="96"/>
        <v/>
      </c>
      <c r="CU590" s="61" t="e">
        <v>#N/A</v>
      </c>
      <c r="CV590" s="61" t="e">
        <v>#N/A</v>
      </c>
      <c r="CW590" s="61" t="e">
        <v>#N/A</v>
      </c>
      <c r="CX590" s="61" t="e">
        <v>#N/A</v>
      </c>
      <c r="CY590" s="61" t="e">
        <v>#N/A</v>
      </c>
      <c r="CZ590" s="61" t="e">
        <v>#N/A</v>
      </c>
      <c r="DA590" s="61" t="e">
        <v>#N/A</v>
      </c>
      <c r="DB590" s="61" t="e">
        <v>#N/A</v>
      </c>
      <c r="DC590" s="61" t="e">
        <v>#N/A</v>
      </c>
      <c r="DD590" s="61" t="e">
        <v>#N/A</v>
      </c>
      <c r="DE590" s="61" t="e">
        <v>#N/A</v>
      </c>
      <c r="DF590" s="61" t="e">
        <v>#N/A</v>
      </c>
      <c r="DG590" s="61" t="e">
        <v>#N/A</v>
      </c>
      <c r="DH590" s="61" t="e">
        <v>#N/A</v>
      </c>
      <c r="DI590" s="61" t="e">
        <v>#N/A</v>
      </c>
      <c r="DJ590" s="61" t="e">
        <v>#N/A</v>
      </c>
    </row>
    <row r="591" spans="14:114">
      <c r="N591" s="61" t="str">
        <f t="shared" si="92"/>
        <v/>
      </c>
      <c r="O591" s="53" t="str">
        <f t="shared" si="93"/>
        <v>click</v>
      </c>
      <c r="P591" s="61" t="str">
        <f t="shared" si="97"/>
        <v>();</v>
      </c>
      <c r="Q591" s="61" t="str">
        <f t="shared" si="94"/>
        <v/>
      </c>
      <c r="R591" s="61" t="str">
        <f t="shared" si="95"/>
        <v/>
      </c>
      <c r="S591" s="61" t="str">
        <f t="shared" si="96"/>
        <v/>
      </c>
      <c r="CU591" s="61" t="e">
        <v>#N/A</v>
      </c>
      <c r="CV591" s="61" t="e">
        <v>#N/A</v>
      </c>
      <c r="CW591" s="61" t="e">
        <v>#N/A</v>
      </c>
      <c r="CX591" s="61" t="e">
        <v>#N/A</v>
      </c>
      <c r="CY591" s="61" t="e">
        <v>#N/A</v>
      </c>
      <c r="CZ591" s="61" t="e">
        <v>#N/A</v>
      </c>
      <c r="DA591" s="61" t="e">
        <v>#N/A</v>
      </c>
      <c r="DB591" s="61" t="e">
        <v>#N/A</v>
      </c>
      <c r="DC591" s="61" t="e">
        <v>#N/A</v>
      </c>
      <c r="DD591" s="61" t="e">
        <v>#N/A</v>
      </c>
      <c r="DE591" s="61" t="e">
        <v>#N/A</v>
      </c>
      <c r="DF591" s="61" t="e">
        <v>#N/A</v>
      </c>
      <c r="DG591" s="61" t="e">
        <v>#N/A</v>
      </c>
      <c r="DH591" s="61" t="e">
        <v>#N/A</v>
      </c>
      <c r="DI591" s="61" t="e">
        <v>#N/A</v>
      </c>
      <c r="DJ591" s="61" t="e">
        <v>#N/A</v>
      </c>
    </row>
    <row r="592" spans="14:114">
      <c r="N592" s="61" t="str">
        <f t="shared" si="92"/>
        <v/>
      </c>
      <c r="O592" s="53" t="str">
        <f t="shared" si="93"/>
        <v>click</v>
      </c>
      <c r="P592" s="61" t="str">
        <f t="shared" si="97"/>
        <v>();</v>
      </c>
      <c r="Q592" s="61" t="str">
        <f t="shared" si="94"/>
        <v/>
      </c>
      <c r="R592" s="61" t="str">
        <f t="shared" si="95"/>
        <v/>
      </c>
      <c r="S592" s="61" t="str">
        <f t="shared" si="96"/>
        <v/>
      </c>
      <c r="CU592" s="61" t="e">
        <v>#N/A</v>
      </c>
      <c r="CV592" s="61" t="e">
        <v>#N/A</v>
      </c>
      <c r="CW592" s="61" t="e">
        <v>#N/A</v>
      </c>
      <c r="CX592" s="61" t="e">
        <v>#N/A</v>
      </c>
      <c r="CY592" s="61" t="e">
        <v>#N/A</v>
      </c>
      <c r="CZ592" s="61" t="e">
        <v>#N/A</v>
      </c>
      <c r="DA592" s="61" t="e">
        <v>#N/A</v>
      </c>
      <c r="DB592" s="61" t="e">
        <v>#N/A</v>
      </c>
      <c r="DC592" s="61" t="e">
        <v>#N/A</v>
      </c>
      <c r="DD592" s="61" t="e">
        <v>#N/A</v>
      </c>
      <c r="DE592" s="61" t="e">
        <v>#N/A</v>
      </c>
      <c r="DF592" s="61" t="e">
        <v>#N/A</v>
      </c>
      <c r="DG592" s="61" t="e">
        <v>#N/A</v>
      </c>
      <c r="DH592" s="61" t="e">
        <v>#N/A</v>
      </c>
      <c r="DI592" s="61" t="e">
        <v>#N/A</v>
      </c>
      <c r="DJ592" s="61" t="e">
        <v>#N/A</v>
      </c>
    </row>
    <row r="593" spans="14:114">
      <c r="N593" s="61" t="str">
        <f t="shared" si="92"/>
        <v/>
      </c>
      <c r="O593" s="53" t="str">
        <f t="shared" si="93"/>
        <v>click</v>
      </c>
      <c r="P593" s="61" t="str">
        <f t="shared" si="97"/>
        <v>();</v>
      </c>
      <c r="Q593" s="61" t="str">
        <f t="shared" si="94"/>
        <v/>
      </c>
      <c r="R593" s="61" t="str">
        <f t="shared" si="95"/>
        <v/>
      </c>
      <c r="S593" s="61" t="str">
        <f t="shared" si="96"/>
        <v/>
      </c>
      <c r="CU593" s="61" t="e">
        <v>#N/A</v>
      </c>
      <c r="CV593" s="61" t="e">
        <v>#N/A</v>
      </c>
      <c r="CW593" s="61" t="e">
        <v>#N/A</v>
      </c>
      <c r="CX593" s="61" t="e">
        <v>#N/A</v>
      </c>
      <c r="CY593" s="61" t="e">
        <v>#N/A</v>
      </c>
      <c r="CZ593" s="61" t="e">
        <v>#N/A</v>
      </c>
      <c r="DA593" s="61" t="e">
        <v>#N/A</v>
      </c>
      <c r="DB593" s="61" t="e">
        <v>#N/A</v>
      </c>
      <c r="DC593" s="61" t="e">
        <v>#N/A</v>
      </c>
      <c r="DD593" s="61" t="e">
        <v>#N/A</v>
      </c>
      <c r="DE593" s="61" t="e">
        <v>#N/A</v>
      </c>
      <c r="DF593" s="61" t="e">
        <v>#N/A</v>
      </c>
      <c r="DG593" s="61" t="e">
        <v>#N/A</v>
      </c>
      <c r="DH593" s="61" t="e">
        <v>#N/A</v>
      </c>
      <c r="DI593" s="61" t="e">
        <v>#N/A</v>
      </c>
      <c r="DJ593" s="61" t="e">
        <v>#N/A</v>
      </c>
    </row>
    <row r="594" spans="14:114">
      <c r="N594" s="61" t="str">
        <f t="shared" si="92"/>
        <v/>
      </c>
      <c r="O594" s="53" t="str">
        <f t="shared" si="93"/>
        <v>click</v>
      </c>
      <c r="P594" s="61" t="str">
        <f t="shared" si="97"/>
        <v>();</v>
      </c>
      <c r="Q594" s="61" t="str">
        <f t="shared" si="94"/>
        <v/>
      </c>
      <c r="R594" s="61" t="str">
        <f t="shared" si="95"/>
        <v/>
      </c>
      <c r="S594" s="61" t="str">
        <f t="shared" si="96"/>
        <v/>
      </c>
      <c r="CU594" s="61" t="e">
        <v>#N/A</v>
      </c>
      <c r="CV594" s="61" t="e">
        <v>#N/A</v>
      </c>
      <c r="CW594" s="61" t="e">
        <v>#N/A</v>
      </c>
      <c r="CX594" s="61" t="e">
        <v>#N/A</v>
      </c>
      <c r="CY594" s="61" t="e">
        <v>#N/A</v>
      </c>
      <c r="CZ594" s="61" t="e">
        <v>#N/A</v>
      </c>
      <c r="DA594" s="61" t="e">
        <v>#N/A</v>
      </c>
      <c r="DB594" s="61" t="e">
        <v>#N/A</v>
      </c>
      <c r="DC594" s="61" t="e">
        <v>#N/A</v>
      </c>
      <c r="DD594" s="61" t="e">
        <v>#N/A</v>
      </c>
      <c r="DE594" s="61" t="e">
        <v>#N/A</v>
      </c>
      <c r="DF594" s="61" t="e">
        <v>#N/A</v>
      </c>
      <c r="DG594" s="61" t="e">
        <v>#N/A</v>
      </c>
      <c r="DH594" s="61" t="e">
        <v>#N/A</v>
      </c>
      <c r="DI594" s="61" t="e">
        <v>#N/A</v>
      </c>
      <c r="DJ594" s="61" t="e">
        <v>#N/A</v>
      </c>
    </row>
    <row r="595" spans="14:114">
      <c r="N595" s="61" t="str">
        <f t="shared" si="92"/>
        <v/>
      </c>
      <c r="O595" s="53" t="str">
        <f t="shared" si="93"/>
        <v>click</v>
      </c>
      <c r="P595" s="61" t="str">
        <f t="shared" si="97"/>
        <v>();</v>
      </c>
      <c r="Q595" s="61" t="str">
        <f t="shared" si="94"/>
        <v/>
      </c>
      <c r="R595" s="61" t="str">
        <f t="shared" si="95"/>
        <v/>
      </c>
      <c r="S595" s="61" t="str">
        <f t="shared" si="96"/>
        <v/>
      </c>
      <c r="CU595" s="61" t="e">
        <v>#N/A</v>
      </c>
      <c r="CV595" s="61" t="e">
        <v>#N/A</v>
      </c>
      <c r="CW595" s="61" t="e">
        <v>#N/A</v>
      </c>
      <c r="CX595" s="61" t="e">
        <v>#N/A</v>
      </c>
      <c r="CY595" s="61" t="e">
        <v>#N/A</v>
      </c>
      <c r="CZ595" s="61" t="e">
        <v>#N/A</v>
      </c>
      <c r="DA595" s="61" t="e">
        <v>#N/A</v>
      </c>
      <c r="DB595" s="61" t="e">
        <v>#N/A</v>
      </c>
      <c r="DC595" s="61" t="e">
        <v>#N/A</v>
      </c>
      <c r="DD595" s="61" t="e">
        <v>#N/A</v>
      </c>
      <c r="DE595" s="61" t="e">
        <v>#N/A</v>
      </c>
      <c r="DF595" s="61" t="e">
        <v>#N/A</v>
      </c>
      <c r="DG595" s="61" t="e">
        <v>#N/A</v>
      </c>
      <c r="DH595" s="61" t="e">
        <v>#N/A</v>
      </c>
      <c r="DI595" s="61" t="e">
        <v>#N/A</v>
      </c>
      <c r="DJ595" s="61" t="e">
        <v>#N/A</v>
      </c>
    </row>
    <row r="596" spans="14:114">
      <c r="N596" s="61" t="str">
        <f t="shared" si="92"/>
        <v/>
      </c>
      <c r="O596" s="53" t="str">
        <f t="shared" si="93"/>
        <v>click</v>
      </c>
      <c r="P596" s="61" t="str">
        <f t="shared" si="97"/>
        <v>();</v>
      </c>
      <c r="Q596" s="61" t="str">
        <f t="shared" si="94"/>
        <v/>
      </c>
      <c r="R596" s="61" t="str">
        <f t="shared" si="95"/>
        <v/>
      </c>
      <c r="S596" s="61" t="str">
        <f t="shared" si="96"/>
        <v/>
      </c>
      <c r="CU596" s="61" t="e">
        <v>#N/A</v>
      </c>
      <c r="CV596" s="61" t="e">
        <v>#N/A</v>
      </c>
      <c r="CW596" s="61" t="e">
        <v>#N/A</v>
      </c>
      <c r="CX596" s="61" t="e">
        <v>#N/A</v>
      </c>
      <c r="CY596" s="61" t="e">
        <v>#N/A</v>
      </c>
      <c r="CZ596" s="61" t="e">
        <v>#N/A</v>
      </c>
      <c r="DA596" s="61" t="e">
        <v>#N/A</v>
      </c>
      <c r="DB596" s="61" t="e">
        <v>#N/A</v>
      </c>
      <c r="DC596" s="61" t="e">
        <v>#N/A</v>
      </c>
      <c r="DD596" s="61" t="e">
        <v>#N/A</v>
      </c>
      <c r="DE596" s="61" t="e">
        <v>#N/A</v>
      </c>
      <c r="DF596" s="61" t="e">
        <v>#N/A</v>
      </c>
      <c r="DG596" s="61" t="e">
        <v>#N/A</v>
      </c>
      <c r="DH596" s="61" t="e">
        <v>#N/A</v>
      </c>
      <c r="DI596" s="61" t="e">
        <v>#N/A</v>
      </c>
      <c r="DJ596" s="61" t="e">
        <v>#N/A</v>
      </c>
    </row>
    <row r="597" spans="14:114">
      <c r="N597" s="61" t="str">
        <f t="shared" si="92"/>
        <v/>
      </c>
      <c r="O597" s="53" t="str">
        <f t="shared" si="93"/>
        <v>click</v>
      </c>
      <c r="P597" s="61" t="str">
        <f t="shared" si="97"/>
        <v>();</v>
      </c>
      <c r="Q597" s="61" t="str">
        <f t="shared" si="94"/>
        <v/>
      </c>
      <c r="R597" s="61" t="str">
        <f t="shared" si="95"/>
        <v/>
      </c>
      <c r="S597" s="61" t="str">
        <f t="shared" si="96"/>
        <v/>
      </c>
      <c r="CU597" s="61" t="e">
        <v>#N/A</v>
      </c>
      <c r="CV597" s="61" t="e">
        <v>#N/A</v>
      </c>
      <c r="CW597" s="61" t="e">
        <v>#N/A</v>
      </c>
      <c r="CX597" s="61" t="e">
        <v>#N/A</v>
      </c>
      <c r="CY597" s="61" t="e">
        <v>#N/A</v>
      </c>
      <c r="CZ597" s="61" t="e">
        <v>#N/A</v>
      </c>
      <c r="DA597" s="61" t="e">
        <v>#N/A</v>
      </c>
      <c r="DB597" s="61" t="e">
        <v>#N/A</v>
      </c>
      <c r="DC597" s="61" t="e">
        <v>#N/A</v>
      </c>
      <c r="DD597" s="61" t="e">
        <v>#N/A</v>
      </c>
      <c r="DE597" s="61" t="e">
        <v>#N/A</v>
      </c>
      <c r="DF597" s="61" t="e">
        <v>#N/A</v>
      </c>
      <c r="DG597" s="61" t="e">
        <v>#N/A</v>
      </c>
      <c r="DH597" s="61" t="e">
        <v>#N/A</v>
      </c>
      <c r="DI597" s="61" t="e">
        <v>#N/A</v>
      </c>
      <c r="DJ597" s="61" t="e">
        <v>#N/A</v>
      </c>
    </row>
    <row r="598" spans="14:114">
      <c r="N598" s="61" t="str">
        <f t="shared" si="92"/>
        <v/>
      </c>
      <c r="O598" s="53" t="str">
        <f t="shared" si="93"/>
        <v>click</v>
      </c>
      <c r="P598" s="61" t="str">
        <f t="shared" si="97"/>
        <v>();</v>
      </c>
      <c r="Q598" s="61" t="str">
        <f t="shared" si="94"/>
        <v/>
      </c>
      <c r="R598" s="61" t="str">
        <f t="shared" si="95"/>
        <v/>
      </c>
      <c r="S598" s="61" t="str">
        <f t="shared" si="96"/>
        <v/>
      </c>
      <c r="CU598" s="61" t="e">
        <v>#N/A</v>
      </c>
      <c r="CV598" s="61" t="e">
        <v>#N/A</v>
      </c>
      <c r="CW598" s="61" t="e">
        <v>#N/A</v>
      </c>
      <c r="CX598" s="61" t="e">
        <v>#N/A</v>
      </c>
      <c r="CY598" s="61" t="e">
        <v>#N/A</v>
      </c>
      <c r="CZ598" s="61" t="e">
        <v>#N/A</v>
      </c>
      <c r="DA598" s="61" t="e">
        <v>#N/A</v>
      </c>
      <c r="DB598" s="61" t="e">
        <v>#N/A</v>
      </c>
      <c r="DC598" s="61" t="e">
        <v>#N/A</v>
      </c>
      <c r="DD598" s="61" t="e">
        <v>#N/A</v>
      </c>
      <c r="DE598" s="61" t="e">
        <v>#N/A</v>
      </c>
      <c r="DF598" s="61" t="e">
        <v>#N/A</v>
      </c>
      <c r="DG598" s="61" t="e">
        <v>#N/A</v>
      </c>
      <c r="DH598" s="61" t="e">
        <v>#N/A</v>
      </c>
      <c r="DI598" s="61" t="e">
        <v>#N/A</v>
      </c>
      <c r="DJ598" s="61" t="e">
        <v>#N/A</v>
      </c>
    </row>
    <row r="599" spans="14:114">
      <c r="N599" s="61" t="str">
        <f t="shared" si="92"/>
        <v/>
      </c>
      <c r="O599" s="53" t="str">
        <f t="shared" si="93"/>
        <v>click</v>
      </c>
      <c r="P599" s="61" t="str">
        <f t="shared" si="97"/>
        <v>();</v>
      </c>
      <c r="Q599" s="61" t="str">
        <f t="shared" si="94"/>
        <v/>
      </c>
      <c r="R599" s="61" t="str">
        <f t="shared" si="95"/>
        <v/>
      </c>
      <c r="S599" s="61" t="str">
        <f t="shared" si="96"/>
        <v/>
      </c>
      <c r="CU599" s="61" t="e">
        <v>#N/A</v>
      </c>
      <c r="CV599" s="61" t="e">
        <v>#N/A</v>
      </c>
      <c r="CW599" s="61" t="e">
        <v>#N/A</v>
      </c>
      <c r="CX599" s="61" t="e">
        <v>#N/A</v>
      </c>
      <c r="CY599" s="61" t="e">
        <v>#N/A</v>
      </c>
      <c r="CZ599" s="61" t="e">
        <v>#N/A</v>
      </c>
      <c r="DA599" s="61" t="e">
        <v>#N/A</v>
      </c>
      <c r="DB599" s="61" t="e">
        <v>#N/A</v>
      </c>
      <c r="DC599" s="61" t="e">
        <v>#N/A</v>
      </c>
      <c r="DD599" s="61" t="e">
        <v>#N/A</v>
      </c>
      <c r="DE599" s="61" t="e">
        <v>#N/A</v>
      </c>
      <c r="DF599" s="61" t="e">
        <v>#N/A</v>
      </c>
      <c r="DG599" s="61" t="e">
        <v>#N/A</v>
      </c>
      <c r="DH599" s="61" t="e">
        <v>#N/A</v>
      </c>
      <c r="DI599" s="61" t="e">
        <v>#N/A</v>
      </c>
      <c r="DJ599" s="61" t="e">
        <v>#N/A</v>
      </c>
    </row>
    <row r="600" spans="14:114">
      <c r="N600" s="61" t="str">
        <f t="shared" si="92"/>
        <v/>
      </c>
      <c r="O600" s="53" t="str">
        <f t="shared" si="93"/>
        <v>click</v>
      </c>
      <c r="P600" s="61" t="str">
        <f t="shared" si="97"/>
        <v>();</v>
      </c>
      <c r="Q600" s="61" t="str">
        <f t="shared" si="94"/>
        <v/>
      </c>
      <c r="R600" s="61" t="str">
        <f t="shared" si="95"/>
        <v/>
      </c>
      <c r="S600" s="61" t="str">
        <f t="shared" si="96"/>
        <v/>
      </c>
      <c r="CU600" s="61" t="e">
        <v>#N/A</v>
      </c>
      <c r="CV600" s="61" t="e">
        <v>#N/A</v>
      </c>
      <c r="CW600" s="61" t="e">
        <v>#N/A</v>
      </c>
      <c r="CX600" s="61" t="e">
        <v>#N/A</v>
      </c>
      <c r="CY600" s="61" t="e">
        <v>#N/A</v>
      </c>
      <c r="CZ600" s="61" t="e">
        <v>#N/A</v>
      </c>
      <c r="DA600" s="61" t="e">
        <v>#N/A</v>
      </c>
      <c r="DB600" s="61" t="e">
        <v>#N/A</v>
      </c>
      <c r="DC600" s="61" t="e">
        <v>#N/A</v>
      </c>
      <c r="DD600" s="61" t="e">
        <v>#N/A</v>
      </c>
      <c r="DE600" s="61" t="e">
        <v>#N/A</v>
      </c>
      <c r="DF600" s="61" t="e">
        <v>#N/A</v>
      </c>
      <c r="DG600" s="61" t="e">
        <v>#N/A</v>
      </c>
      <c r="DH600" s="61" t="e">
        <v>#N/A</v>
      </c>
      <c r="DI600" s="61" t="e">
        <v>#N/A</v>
      </c>
      <c r="DJ600" s="61" t="e">
        <v>#N/A</v>
      </c>
    </row>
    <row r="601" spans="14:114">
      <c r="N601" s="61" t="str">
        <f t="shared" si="92"/>
        <v/>
      </c>
      <c r="O601" s="53" t="str">
        <f t="shared" si="93"/>
        <v>click</v>
      </c>
      <c r="P601" s="61" t="str">
        <f t="shared" si="97"/>
        <v>();</v>
      </c>
      <c r="Q601" s="61" t="str">
        <f t="shared" si="94"/>
        <v/>
      </c>
      <c r="R601" s="61" t="str">
        <f t="shared" ref="R601:R664" si="98">IF(C601="Y",""""&amp;E601&amp;""""&amp;":"&amp;Q601&amp;";","")</f>
        <v/>
      </c>
      <c r="S601" s="61" t="str">
        <f t="shared" si="96"/>
        <v/>
      </c>
      <c r="CU601" s="61" t="e">
        <v>#N/A</v>
      </c>
      <c r="CV601" s="61" t="e">
        <v>#N/A</v>
      </c>
      <c r="CW601" s="61" t="e">
        <v>#N/A</v>
      </c>
      <c r="CX601" s="61" t="e">
        <v>#N/A</v>
      </c>
      <c r="CY601" s="61" t="e">
        <v>#N/A</v>
      </c>
      <c r="CZ601" s="61" t="e">
        <v>#N/A</v>
      </c>
      <c r="DA601" s="61" t="e">
        <v>#N/A</v>
      </c>
      <c r="DB601" s="61" t="e">
        <v>#N/A</v>
      </c>
      <c r="DC601" s="61" t="e">
        <v>#N/A</v>
      </c>
      <c r="DD601" s="61" t="e">
        <v>#N/A</v>
      </c>
      <c r="DE601" s="61" t="e">
        <v>#N/A</v>
      </c>
      <c r="DF601" s="61" t="e">
        <v>#N/A</v>
      </c>
      <c r="DG601" s="61" t="e">
        <v>#N/A</v>
      </c>
      <c r="DH601" s="61" t="e">
        <v>#N/A</v>
      </c>
      <c r="DI601" s="61" t="e">
        <v>#N/A</v>
      </c>
      <c r="DJ601" s="61" t="e">
        <v>#N/A</v>
      </c>
    </row>
    <row r="602" spans="14:114">
      <c r="N602" s="61" t="str">
        <f t="shared" si="92"/>
        <v/>
      </c>
      <c r="O602" s="53" t="str">
        <f t="shared" si="93"/>
        <v>click</v>
      </c>
      <c r="P602" s="61" t="str">
        <f t="shared" si="97"/>
        <v>();</v>
      </c>
      <c r="Q602" s="61" t="str">
        <f t="shared" si="94"/>
        <v/>
      </c>
      <c r="R602" s="61" t="str">
        <f t="shared" si="98"/>
        <v/>
      </c>
      <c r="S602" s="61" t="str">
        <f t="shared" si="96"/>
        <v/>
      </c>
      <c r="CU602" s="61" t="e">
        <v>#N/A</v>
      </c>
      <c r="CV602" s="61" t="e">
        <v>#N/A</v>
      </c>
      <c r="CW602" s="61" t="e">
        <v>#N/A</v>
      </c>
      <c r="CX602" s="61" t="e">
        <v>#N/A</v>
      </c>
      <c r="CY602" s="61" t="e">
        <v>#N/A</v>
      </c>
      <c r="CZ602" s="61" t="e">
        <v>#N/A</v>
      </c>
      <c r="DA602" s="61" t="e">
        <v>#N/A</v>
      </c>
      <c r="DB602" s="61" t="e">
        <v>#N/A</v>
      </c>
      <c r="DC602" s="61" t="e">
        <v>#N/A</v>
      </c>
      <c r="DD602" s="61" t="e">
        <v>#N/A</v>
      </c>
      <c r="DE602" s="61" t="e">
        <v>#N/A</v>
      </c>
      <c r="DF602" s="61" t="e">
        <v>#N/A</v>
      </c>
      <c r="DG602" s="61" t="e">
        <v>#N/A</v>
      </c>
      <c r="DH602" s="61" t="e">
        <v>#N/A</v>
      </c>
      <c r="DI602" s="61" t="e">
        <v>#N/A</v>
      </c>
      <c r="DJ602" s="61" t="e">
        <v>#N/A</v>
      </c>
    </row>
    <row r="603" spans="14:114">
      <c r="N603" s="61" t="str">
        <f t="shared" si="92"/>
        <v/>
      </c>
      <c r="O603" s="53" t="str">
        <f t="shared" si="93"/>
        <v>click</v>
      </c>
      <c r="P603" s="61" t="str">
        <f t="shared" si="97"/>
        <v>();</v>
      </c>
      <c r="Q603" s="61" t="str">
        <f t="shared" si="94"/>
        <v/>
      </c>
      <c r="R603" s="61" t="str">
        <f t="shared" si="98"/>
        <v/>
      </c>
      <c r="S603" s="61" t="str">
        <f t="shared" si="96"/>
        <v/>
      </c>
      <c r="CU603" s="61" t="e">
        <v>#N/A</v>
      </c>
      <c r="CV603" s="61" t="e">
        <v>#N/A</v>
      </c>
      <c r="CW603" s="61" t="e">
        <v>#N/A</v>
      </c>
      <c r="CX603" s="61" t="e">
        <v>#N/A</v>
      </c>
      <c r="CY603" s="61" t="e">
        <v>#N/A</v>
      </c>
      <c r="CZ603" s="61" t="e">
        <v>#N/A</v>
      </c>
      <c r="DA603" s="61" t="e">
        <v>#N/A</v>
      </c>
      <c r="DB603" s="61" t="e">
        <v>#N/A</v>
      </c>
      <c r="DC603" s="61" t="e">
        <v>#N/A</v>
      </c>
      <c r="DD603" s="61" t="e">
        <v>#N/A</v>
      </c>
      <c r="DE603" s="61" t="e">
        <v>#N/A</v>
      </c>
      <c r="DF603" s="61" t="e">
        <v>#N/A</v>
      </c>
      <c r="DG603" s="61" t="e">
        <v>#N/A</v>
      </c>
      <c r="DH603" s="61" t="e">
        <v>#N/A</v>
      </c>
      <c r="DI603" s="61" t="e">
        <v>#N/A</v>
      </c>
      <c r="DJ603" s="61" t="e">
        <v>#N/A</v>
      </c>
    </row>
    <row r="604" spans="14:114">
      <c r="N604" s="61" t="str">
        <f t="shared" si="92"/>
        <v/>
      </c>
      <c r="O604" s="53" t="str">
        <f t="shared" si="93"/>
        <v>click</v>
      </c>
      <c r="P604" s="61" t="str">
        <f t="shared" si="97"/>
        <v>();</v>
      </c>
      <c r="Q604" s="61" t="str">
        <f t="shared" si="94"/>
        <v/>
      </c>
      <c r="R604" s="61" t="str">
        <f t="shared" si="98"/>
        <v/>
      </c>
      <c r="S604" s="61" t="str">
        <f t="shared" si="96"/>
        <v/>
      </c>
      <c r="CU604" s="61" t="e">
        <v>#N/A</v>
      </c>
      <c r="CV604" s="61" t="e">
        <v>#N/A</v>
      </c>
      <c r="CW604" s="61" t="e">
        <v>#N/A</v>
      </c>
      <c r="CX604" s="61" t="e">
        <v>#N/A</v>
      </c>
      <c r="CY604" s="61" t="e">
        <v>#N/A</v>
      </c>
      <c r="CZ604" s="61" t="e">
        <v>#N/A</v>
      </c>
      <c r="DA604" s="61" t="e">
        <v>#N/A</v>
      </c>
      <c r="DB604" s="61" t="e">
        <v>#N/A</v>
      </c>
      <c r="DC604" s="61" t="e">
        <v>#N/A</v>
      </c>
      <c r="DD604" s="61" t="e">
        <v>#N/A</v>
      </c>
      <c r="DE604" s="61" t="e">
        <v>#N/A</v>
      </c>
      <c r="DF604" s="61" t="e">
        <v>#N/A</v>
      </c>
      <c r="DG604" s="61" t="e">
        <v>#N/A</v>
      </c>
      <c r="DH604" s="61" t="e">
        <v>#N/A</v>
      </c>
      <c r="DI604" s="61" t="e">
        <v>#N/A</v>
      </c>
      <c r="DJ604" s="61" t="e">
        <v>#N/A</v>
      </c>
    </row>
    <row r="605" spans="14:114">
      <c r="N605" s="61" t="str">
        <f t="shared" si="92"/>
        <v/>
      </c>
      <c r="O605" s="53" t="str">
        <f t="shared" si="93"/>
        <v>click</v>
      </c>
      <c r="P605" s="61" t="str">
        <f t="shared" si="97"/>
        <v>();</v>
      </c>
      <c r="Q605" s="61" t="str">
        <f t="shared" si="94"/>
        <v/>
      </c>
      <c r="R605" s="61" t="str">
        <f t="shared" si="98"/>
        <v/>
      </c>
      <c r="S605" s="61" t="str">
        <f t="shared" si="96"/>
        <v/>
      </c>
      <c r="CU605" s="61" t="e">
        <v>#N/A</v>
      </c>
      <c r="CV605" s="61" t="e">
        <v>#N/A</v>
      </c>
      <c r="CW605" s="61" t="e">
        <v>#N/A</v>
      </c>
      <c r="CX605" s="61" t="e">
        <v>#N/A</v>
      </c>
      <c r="CY605" s="61" t="e">
        <v>#N/A</v>
      </c>
      <c r="CZ605" s="61" t="e">
        <v>#N/A</v>
      </c>
      <c r="DA605" s="61" t="e">
        <v>#N/A</v>
      </c>
      <c r="DB605" s="61" t="e">
        <v>#N/A</v>
      </c>
      <c r="DC605" s="61" t="e">
        <v>#N/A</v>
      </c>
      <c r="DD605" s="61" t="e">
        <v>#N/A</v>
      </c>
      <c r="DE605" s="61" t="e">
        <v>#N/A</v>
      </c>
      <c r="DF605" s="61" t="e">
        <v>#N/A</v>
      </c>
      <c r="DG605" s="61" t="e">
        <v>#N/A</v>
      </c>
      <c r="DH605" s="61" t="e">
        <v>#N/A</v>
      </c>
      <c r="DI605" s="61" t="e">
        <v>#N/A</v>
      </c>
      <c r="DJ605" s="61" t="e">
        <v>#N/A</v>
      </c>
    </row>
    <row r="606" spans="14:114">
      <c r="N606" s="61" t="str">
        <f t="shared" si="92"/>
        <v/>
      </c>
      <c r="O606" s="53" t="str">
        <f t="shared" si="93"/>
        <v>click</v>
      </c>
      <c r="P606" s="61" t="str">
        <f t="shared" si="97"/>
        <v>();</v>
      </c>
      <c r="Q606" s="61" t="str">
        <f t="shared" si="94"/>
        <v/>
      </c>
      <c r="R606" s="61" t="str">
        <f t="shared" si="98"/>
        <v/>
      </c>
      <c r="S606" s="61" t="str">
        <f t="shared" si="96"/>
        <v/>
      </c>
      <c r="CU606" s="61" t="e">
        <v>#N/A</v>
      </c>
      <c r="CV606" s="61" t="e">
        <v>#N/A</v>
      </c>
      <c r="CW606" s="61" t="e">
        <v>#N/A</v>
      </c>
      <c r="CX606" s="61" t="e">
        <v>#N/A</v>
      </c>
      <c r="CY606" s="61" t="e">
        <v>#N/A</v>
      </c>
      <c r="CZ606" s="61" t="e">
        <v>#N/A</v>
      </c>
      <c r="DA606" s="61" t="e">
        <v>#N/A</v>
      </c>
      <c r="DB606" s="61" t="e">
        <v>#N/A</v>
      </c>
      <c r="DC606" s="61" t="e">
        <v>#N/A</v>
      </c>
      <c r="DD606" s="61" t="e">
        <v>#N/A</v>
      </c>
      <c r="DE606" s="61" t="e">
        <v>#N/A</v>
      </c>
      <c r="DF606" s="61" t="e">
        <v>#N/A</v>
      </c>
      <c r="DG606" s="61" t="e">
        <v>#N/A</v>
      </c>
      <c r="DH606" s="61" t="e">
        <v>#N/A</v>
      </c>
      <c r="DI606" s="61" t="e">
        <v>#N/A</v>
      </c>
      <c r="DJ606" s="61" t="e">
        <v>#N/A</v>
      </c>
    </row>
    <row r="607" spans="14:114">
      <c r="N607" s="61" t="str">
        <f t="shared" si="92"/>
        <v/>
      </c>
      <c r="O607" s="53" t="str">
        <f t="shared" si="93"/>
        <v>click</v>
      </c>
      <c r="P607" s="61" t="str">
        <f t="shared" si="97"/>
        <v>();</v>
      </c>
      <c r="Q607" s="61" t="str">
        <f t="shared" si="94"/>
        <v/>
      </c>
      <c r="R607" s="61" t="str">
        <f t="shared" si="98"/>
        <v/>
      </c>
      <c r="S607" s="61" t="str">
        <f t="shared" si="96"/>
        <v/>
      </c>
      <c r="CU607" s="61" t="e">
        <v>#N/A</v>
      </c>
      <c r="CV607" s="61" t="e">
        <v>#N/A</v>
      </c>
      <c r="CW607" s="61" t="e">
        <v>#N/A</v>
      </c>
      <c r="CX607" s="61" t="e">
        <v>#N/A</v>
      </c>
      <c r="CY607" s="61" t="e">
        <v>#N/A</v>
      </c>
      <c r="CZ607" s="61" t="e">
        <v>#N/A</v>
      </c>
      <c r="DA607" s="61" t="e">
        <v>#N/A</v>
      </c>
      <c r="DB607" s="61" t="e">
        <v>#N/A</v>
      </c>
      <c r="DC607" s="61" t="e">
        <v>#N/A</v>
      </c>
      <c r="DD607" s="61" t="e">
        <v>#N/A</v>
      </c>
      <c r="DE607" s="61" t="e">
        <v>#N/A</v>
      </c>
      <c r="DF607" s="61" t="e">
        <v>#N/A</v>
      </c>
      <c r="DG607" s="61" t="e">
        <v>#N/A</v>
      </c>
      <c r="DH607" s="61" t="e">
        <v>#N/A</v>
      </c>
      <c r="DI607" s="61" t="e">
        <v>#N/A</v>
      </c>
      <c r="DJ607" s="61" t="e">
        <v>#N/A</v>
      </c>
    </row>
    <row r="608" spans="14:114">
      <c r="N608" s="61" t="str">
        <f t="shared" si="92"/>
        <v/>
      </c>
      <c r="O608" s="53" t="str">
        <f t="shared" si="93"/>
        <v>click</v>
      </c>
      <c r="P608" s="61" t="str">
        <f t="shared" si="97"/>
        <v>();</v>
      </c>
      <c r="Q608" s="61" t="str">
        <f t="shared" si="94"/>
        <v/>
      </c>
      <c r="R608" s="61" t="str">
        <f t="shared" si="98"/>
        <v/>
      </c>
      <c r="S608" s="61" t="str">
        <f t="shared" si="96"/>
        <v/>
      </c>
      <c r="CU608" s="61" t="e">
        <v>#N/A</v>
      </c>
      <c r="CV608" s="61" t="e">
        <v>#N/A</v>
      </c>
      <c r="CW608" s="61" t="e">
        <v>#N/A</v>
      </c>
      <c r="CX608" s="61" t="e">
        <v>#N/A</v>
      </c>
      <c r="CY608" s="61" t="e">
        <v>#N/A</v>
      </c>
      <c r="CZ608" s="61" t="e">
        <v>#N/A</v>
      </c>
      <c r="DA608" s="61" t="e">
        <v>#N/A</v>
      </c>
      <c r="DB608" s="61" t="e">
        <v>#N/A</v>
      </c>
      <c r="DC608" s="61" t="e">
        <v>#N/A</v>
      </c>
      <c r="DD608" s="61" t="e">
        <v>#N/A</v>
      </c>
      <c r="DE608" s="61" t="e">
        <v>#N/A</v>
      </c>
      <c r="DF608" s="61" t="e">
        <v>#N/A</v>
      </c>
      <c r="DG608" s="61" t="e">
        <v>#N/A</v>
      </c>
      <c r="DH608" s="61" t="e">
        <v>#N/A</v>
      </c>
      <c r="DI608" s="61" t="e">
        <v>#N/A</v>
      </c>
      <c r="DJ608" s="61" t="e">
        <v>#N/A</v>
      </c>
    </row>
    <row r="609" spans="14:114">
      <c r="N609" s="61" t="str">
        <f t="shared" si="92"/>
        <v/>
      </c>
      <c r="O609" s="53" t="str">
        <f t="shared" si="93"/>
        <v>click</v>
      </c>
      <c r="P609" s="61" t="str">
        <f t="shared" si="97"/>
        <v>();</v>
      </c>
      <c r="Q609" s="61" t="str">
        <f t="shared" si="94"/>
        <v/>
      </c>
      <c r="R609" s="61" t="str">
        <f t="shared" si="98"/>
        <v/>
      </c>
      <c r="S609" s="61" t="str">
        <f t="shared" si="96"/>
        <v/>
      </c>
      <c r="CU609" s="61" t="e">
        <v>#N/A</v>
      </c>
      <c r="CV609" s="61" t="e">
        <v>#N/A</v>
      </c>
      <c r="CW609" s="61" t="e">
        <v>#N/A</v>
      </c>
      <c r="CX609" s="61" t="e">
        <v>#N/A</v>
      </c>
      <c r="CY609" s="61" t="e">
        <v>#N/A</v>
      </c>
      <c r="CZ609" s="61" t="e">
        <v>#N/A</v>
      </c>
      <c r="DA609" s="61" t="e">
        <v>#N/A</v>
      </c>
      <c r="DB609" s="61" t="e">
        <v>#N/A</v>
      </c>
      <c r="DC609" s="61" t="e">
        <v>#N/A</v>
      </c>
      <c r="DD609" s="61" t="e">
        <v>#N/A</v>
      </c>
      <c r="DE609" s="61" t="e">
        <v>#N/A</v>
      </c>
      <c r="DF609" s="61" t="e">
        <v>#N/A</v>
      </c>
      <c r="DG609" s="61" t="e">
        <v>#N/A</v>
      </c>
      <c r="DH609" s="61" t="e">
        <v>#N/A</v>
      </c>
      <c r="DI609" s="61" t="e">
        <v>#N/A</v>
      </c>
      <c r="DJ609" s="61" t="e">
        <v>#N/A</v>
      </c>
    </row>
    <row r="610" spans="14:114">
      <c r="N610" s="61" t="str">
        <f t="shared" si="92"/>
        <v/>
      </c>
      <c r="O610" s="53" t="str">
        <f t="shared" si="93"/>
        <v>click</v>
      </c>
      <c r="P610" s="61" t="str">
        <f t="shared" si="97"/>
        <v>();</v>
      </c>
      <c r="Q610" s="61" t="str">
        <f t="shared" si="94"/>
        <v/>
      </c>
      <c r="R610" s="61" t="str">
        <f t="shared" si="98"/>
        <v/>
      </c>
      <c r="S610" s="61" t="str">
        <f t="shared" si="96"/>
        <v/>
      </c>
      <c r="CU610" s="61" t="e">
        <v>#N/A</v>
      </c>
      <c r="CV610" s="61" t="e">
        <v>#N/A</v>
      </c>
      <c r="CW610" s="61" t="e">
        <v>#N/A</v>
      </c>
      <c r="CX610" s="61" t="e">
        <v>#N/A</v>
      </c>
      <c r="CY610" s="61" t="e">
        <v>#N/A</v>
      </c>
      <c r="CZ610" s="61" t="e">
        <v>#N/A</v>
      </c>
      <c r="DA610" s="61" t="e">
        <v>#N/A</v>
      </c>
      <c r="DB610" s="61" t="e">
        <v>#N/A</v>
      </c>
      <c r="DC610" s="61" t="e">
        <v>#N/A</v>
      </c>
      <c r="DD610" s="61" t="e">
        <v>#N/A</v>
      </c>
      <c r="DE610" s="61" t="e">
        <v>#N/A</v>
      </c>
      <c r="DF610" s="61" t="e">
        <v>#N/A</v>
      </c>
      <c r="DG610" s="61" t="e">
        <v>#N/A</v>
      </c>
      <c r="DH610" s="61" t="e">
        <v>#N/A</v>
      </c>
      <c r="DI610" s="61" t="e">
        <v>#N/A</v>
      </c>
      <c r="DJ610" s="61" t="e">
        <v>#N/A</v>
      </c>
    </row>
    <row r="611" spans="14:114">
      <c r="N611" s="61" t="str">
        <f t="shared" si="92"/>
        <v/>
      </c>
      <c r="O611" s="53" t="str">
        <f t="shared" si="93"/>
        <v>click</v>
      </c>
      <c r="P611" s="61" t="str">
        <f t="shared" si="97"/>
        <v>();</v>
      </c>
      <c r="Q611" s="61" t="str">
        <f t="shared" si="94"/>
        <v/>
      </c>
      <c r="R611" s="61" t="str">
        <f t="shared" si="98"/>
        <v/>
      </c>
      <c r="S611" s="61" t="str">
        <f t="shared" si="96"/>
        <v/>
      </c>
      <c r="CU611" s="61" t="e">
        <v>#N/A</v>
      </c>
      <c r="CV611" s="61" t="e">
        <v>#N/A</v>
      </c>
      <c r="CW611" s="61" t="e">
        <v>#N/A</v>
      </c>
      <c r="CX611" s="61" t="e">
        <v>#N/A</v>
      </c>
      <c r="CY611" s="61" t="e">
        <v>#N/A</v>
      </c>
      <c r="CZ611" s="61" t="e">
        <v>#N/A</v>
      </c>
      <c r="DA611" s="61" t="e">
        <v>#N/A</v>
      </c>
      <c r="DB611" s="61" t="e">
        <v>#N/A</v>
      </c>
      <c r="DC611" s="61" t="e">
        <v>#N/A</v>
      </c>
      <c r="DD611" s="61" t="e">
        <v>#N/A</v>
      </c>
      <c r="DE611" s="61" t="e">
        <v>#N/A</v>
      </c>
      <c r="DF611" s="61" t="e">
        <v>#N/A</v>
      </c>
      <c r="DG611" s="61" t="e">
        <v>#N/A</v>
      </c>
      <c r="DH611" s="61" t="e">
        <v>#N/A</v>
      </c>
      <c r="DI611" s="61" t="e">
        <v>#N/A</v>
      </c>
      <c r="DJ611" s="61" t="e">
        <v>#N/A</v>
      </c>
    </row>
    <row r="612" spans="14:114">
      <c r="N612" s="61" t="str">
        <f t="shared" si="92"/>
        <v/>
      </c>
      <c r="O612" s="53" t="str">
        <f t="shared" si="93"/>
        <v>click</v>
      </c>
      <c r="P612" s="61" t="str">
        <f t="shared" si="97"/>
        <v>();</v>
      </c>
      <c r="Q612" s="61" t="str">
        <f t="shared" si="94"/>
        <v/>
      </c>
      <c r="R612" s="61" t="str">
        <f t="shared" si="98"/>
        <v/>
      </c>
      <c r="S612" s="61" t="str">
        <f t="shared" si="96"/>
        <v/>
      </c>
      <c r="CU612" s="61" t="e">
        <v>#N/A</v>
      </c>
      <c r="CV612" s="61" t="e">
        <v>#N/A</v>
      </c>
      <c r="CW612" s="61" t="e">
        <v>#N/A</v>
      </c>
      <c r="CX612" s="61" t="e">
        <v>#N/A</v>
      </c>
      <c r="CY612" s="61" t="e">
        <v>#N/A</v>
      </c>
      <c r="CZ612" s="61" t="e">
        <v>#N/A</v>
      </c>
      <c r="DA612" s="61" t="e">
        <v>#N/A</v>
      </c>
      <c r="DB612" s="61" t="e">
        <v>#N/A</v>
      </c>
      <c r="DC612" s="61" t="e">
        <v>#N/A</v>
      </c>
      <c r="DD612" s="61" t="e">
        <v>#N/A</v>
      </c>
      <c r="DE612" s="61" t="e">
        <v>#N/A</v>
      </c>
      <c r="DF612" s="61" t="e">
        <v>#N/A</v>
      </c>
      <c r="DG612" s="61" t="e">
        <v>#N/A</v>
      </c>
      <c r="DH612" s="61" t="e">
        <v>#N/A</v>
      </c>
      <c r="DI612" s="61" t="e">
        <v>#N/A</v>
      </c>
      <c r="DJ612" s="61" t="e">
        <v>#N/A</v>
      </c>
    </row>
    <row r="613" spans="14:114">
      <c r="N613" s="61" t="str">
        <f t="shared" si="92"/>
        <v/>
      </c>
      <c r="O613" s="53" t="str">
        <f t="shared" si="93"/>
        <v>click</v>
      </c>
      <c r="P613" s="61" t="str">
        <f t="shared" si="97"/>
        <v>();</v>
      </c>
      <c r="Q613" s="61" t="str">
        <f t="shared" ref="Q613:Q644" si="99">IF(A613="Y",IF(H613&lt;&gt;"Xpath",M613&amp;F613&amp;N613,""""&amp;F613&amp;""""),"")</f>
        <v/>
      </c>
      <c r="R613" s="61" t="str">
        <f t="shared" si="98"/>
        <v/>
      </c>
      <c r="S613" s="61" t="str">
        <f t="shared" si="96"/>
        <v/>
      </c>
      <c r="CU613" s="61" t="e">
        <v>#N/A</v>
      </c>
      <c r="CV613" s="61" t="e">
        <v>#N/A</v>
      </c>
      <c r="CW613" s="61" t="e">
        <v>#N/A</v>
      </c>
      <c r="CX613" s="61" t="e">
        <v>#N/A</v>
      </c>
      <c r="CY613" s="61" t="e">
        <v>#N/A</v>
      </c>
      <c r="CZ613" s="61" t="e">
        <v>#N/A</v>
      </c>
      <c r="DA613" s="61" t="e">
        <v>#N/A</v>
      </c>
      <c r="DB613" s="61" t="e">
        <v>#N/A</v>
      </c>
      <c r="DC613" s="61" t="e">
        <v>#N/A</v>
      </c>
      <c r="DD613" s="61" t="e">
        <v>#N/A</v>
      </c>
      <c r="DE613" s="61" t="e">
        <v>#N/A</v>
      </c>
      <c r="DF613" s="61" t="e">
        <v>#N/A</v>
      </c>
      <c r="DG613" s="61" t="e">
        <v>#N/A</v>
      </c>
      <c r="DH613" s="61" t="e">
        <v>#N/A</v>
      </c>
      <c r="DI613" s="61" t="e">
        <v>#N/A</v>
      </c>
      <c r="DJ613" s="61" t="e">
        <v>#N/A</v>
      </c>
    </row>
    <row r="614" spans="14:114">
      <c r="N614" s="61" t="str">
        <f t="shared" si="92"/>
        <v/>
      </c>
      <c r="O614" s="53" t="str">
        <f t="shared" si="93"/>
        <v>click</v>
      </c>
      <c r="P614" s="61" t="str">
        <f t="shared" si="97"/>
        <v>();</v>
      </c>
      <c r="Q614" s="61" t="str">
        <f t="shared" si="99"/>
        <v/>
      </c>
      <c r="R614" s="61" t="str">
        <f t="shared" si="98"/>
        <v/>
      </c>
      <c r="S614" s="61" t="str">
        <f t="shared" si="96"/>
        <v/>
      </c>
      <c r="CU614" s="61" t="e">
        <v>#N/A</v>
      </c>
      <c r="CV614" s="61" t="e">
        <v>#N/A</v>
      </c>
      <c r="CW614" s="61" t="e">
        <v>#N/A</v>
      </c>
      <c r="CX614" s="61" t="e">
        <v>#N/A</v>
      </c>
      <c r="CY614" s="61" t="e">
        <v>#N/A</v>
      </c>
      <c r="CZ614" s="61" t="e">
        <v>#N/A</v>
      </c>
      <c r="DA614" s="61" t="e">
        <v>#N/A</v>
      </c>
      <c r="DB614" s="61" t="e">
        <v>#N/A</v>
      </c>
      <c r="DC614" s="61" t="e">
        <v>#N/A</v>
      </c>
      <c r="DD614" s="61" t="e">
        <v>#N/A</v>
      </c>
      <c r="DE614" s="61" t="e">
        <v>#N/A</v>
      </c>
      <c r="DF614" s="61" t="e">
        <v>#N/A</v>
      </c>
      <c r="DG614" s="61" t="e">
        <v>#N/A</v>
      </c>
      <c r="DH614" s="61" t="e">
        <v>#N/A</v>
      </c>
      <c r="DI614" s="61" t="e">
        <v>#N/A</v>
      </c>
      <c r="DJ614" s="61" t="e">
        <v>#N/A</v>
      </c>
    </row>
    <row r="615" spans="14:114">
      <c r="N615" s="61" t="str">
        <f t="shared" si="92"/>
        <v/>
      </c>
      <c r="O615" s="53" t="str">
        <f t="shared" si="93"/>
        <v>click</v>
      </c>
      <c r="P615" s="61" t="str">
        <f t="shared" si="97"/>
        <v>();</v>
      </c>
      <c r="Q615" s="61" t="str">
        <f t="shared" si="99"/>
        <v/>
      </c>
      <c r="R615" s="61" t="str">
        <f t="shared" si="98"/>
        <v/>
      </c>
      <c r="S615" s="61" t="str">
        <f t="shared" si="96"/>
        <v/>
      </c>
      <c r="CU615" s="61" t="e">
        <v>#N/A</v>
      </c>
      <c r="CV615" s="61" t="e">
        <v>#N/A</v>
      </c>
      <c r="CW615" s="61" t="e">
        <v>#N/A</v>
      </c>
      <c r="CX615" s="61" t="e">
        <v>#N/A</v>
      </c>
      <c r="CY615" s="61" t="e">
        <v>#N/A</v>
      </c>
      <c r="CZ615" s="61" t="e">
        <v>#N/A</v>
      </c>
      <c r="DA615" s="61" t="e">
        <v>#N/A</v>
      </c>
      <c r="DB615" s="61" t="e">
        <v>#N/A</v>
      </c>
      <c r="DC615" s="61" t="e">
        <v>#N/A</v>
      </c>
      <c r="DD615" s="61" t="e">
        <v>#N/A</v>
      </c>
      <c r="DE615" s="61" t="e">
        <v>#N/A</v>
      </c>
      <c r="DF615" s="61" t="e">
        <v>#N/A</v>
      </c>
      <c r="DG615" s="61" t="e">
        <v>#N/A</v>
      </c>
      <c r="DH615" s="61" t="e">
        <v>#N/A</v>
      </c>
      <c r="DI615" s="61" t="e">
        <v>#N/A</v>
      </c>
      <c r="DJ615" s="61" t="e">
        <v>#N/A</v>
      </c>
    </row>
    <row r="616" spans="14:114">
      <c r="N616" s="61" t="str">
        <f t="shared" si="92"/>
        <v/>
      </c>
      <c r="O616" s="53" t="str">
        <f t="shared" si="93"/>
        <v>click</v>
      </c>
      <c r="P616" s="61" t="str">
        <f t="shared" si="97"/>
        <v>();</v>
      </c>
      <c r="Q616" s="61" t="str">
        <f t="shared" si="99"/>
        <v/>
      </c>
      <c r="R616" s="61" t="str">
        <f t="shared" si="98"/>
        <v/>
      </c>
      <c r="S616" s="61" t="str">
        <f t="shared" si="96"/>
        <v/>
      </c>
      <c r="CU616" s="61" t="e">
        <v>#N/A</v>
      </c>
      <c r="CV616" s="61" t="e">
        <v>#N/A</v>
      </c>
      <c r="CW616" s="61" t="e">
        <v>#N/A</v>
      </c>
      <c r="CX616" s="61" t="e">
        <v>#N/A</v>
      </c>
      <c r="CY616" s="61" t="e">
        <v>#N/A</v>
      </c>
      <c r="CZ616" s="61" t="e">
        <v>#N/A</v>
      </c>
      <c r="DA616" s="61" t="e">
        <v>#N/A</v>
      </c>
      <c r="DB616" s="61" t="e">
        <v>#N/A</v>
      </c>
      <c r="DC616" s="61" t="e">
        <v>#N/A</v>
      </c>
      <c r="DD616" s="61" t="e">
        <v>#N/A</v>
      </c>
      <c r="DE616" s="61" t="e">
        <v>#N/A</v>
      </c>
      <c r="DF616" s="61" t="e">
        <v>#N/A</v>
      </c>
      <c r="DG616" s="61" t="e">
        <v>#N/A</v>
      </c>
      <c r="DH616" s="61" t="e">
        <v>#N/A</v>
      </c>
      <c r="DI616" s="61" t="e">
        <v>#N/A</v>
      </c>
      <c r="DJ616" s="61" t="e">
        <v>#N/A</v>
      </c>
    </row>
    <row r="617" spans="14:114">
      <c r="N617" s="61" t="str">
        <f t="shared" si="92"/>
        <v/>
      </c>
      <c r="O617" s="53" t="str">
        <f t="shared" si="93"/>
        <v>click</v>
      </c>
      <c r="P617" s="61" t="str">
        <f t="shared" si="97"/>
        <v>();</v>
      </c>
      <c r="Q617" s="61" t="str">
        <f t="shared" si="99"/>
        <v/>
      </c>
      <c r="R617" s="61" t="str">
        <f t="shared" si="98"/>
        <v/>
      </c>
      <c r="S617" s="61" t="str">
        <f t="shared" si="96"/>
        <v/>
      </c>
      <c r="CU617" s="61" t="e">
        <v>#N/A</v>
      </c>
      <c r="CV617" s="61" t="e">
        <v>#N/A</v>
      </c>
      <c r="CW617" s="61" t="e">
        <v>#N/A</v>
      </c>
      <c r="CX617" s="61" t="e">
        <v>#N/A</v>
      </c>
      <c r="CY617" s="61" t="e">
        <v>#N/A</v>
      </c>
      <c r="CZ617" s="61" t="e">
        <v>#N/A</v>
      </c>
      <c r="DA617" s="61" t="e">
        <v>#N/A</v>
      </c>
      <c r="DB617" s="61" t="e">
        <v>#N/A</v>
      </c>
      <c r="DC617" s="61" t="e">
        <v>#N/A</v>
      </c>
      <c r="DD617" s="61" t="e">
        <v>#N/A</v>
      </c>
      <c r="DE617" s="61" t="e">
        <v>#N/A</v>
      </c>
      <c r="DF617" s="61" t="e">
        <v>#N/A</v>
      </c>
      <c r="DG617" s="61" t="e">
        <v>#N/A</v>
      </c>
      <c r="DH617" s="61" t="e">
        <v>#N/A</v>
      </c>
      <c r="DI617" s="61" t="e">
        <v>#N/A</v>
      </c>
      <c r="DJ617" s="61" t="e">
        <v>#N/A</v>
      </c>
    </row>
    <row r="618" spans="14:114">
      <c r="N618" s="61" t="str">
        <f t="shared" si="92"/>
        <v/>
      </c>
      <c r="O618" s="53" t="str">
        <f t="shared" si="93"/>
        <v>click</v>
      </c>
      <c r="P618" s="61" t="str">
        <f t="shared" si="97"/>
        <v>();</v>
      </c>
      <c r="Q618" s="61" t="str">
        <f t="shared" si="99"/>
        <v/>
      </c>
      <c r="R618" s="61" t="str">
        <f t="shared" si="98"/>
        <v/>
      </c>
      <c r="S618" s="61" t="str">
        <f t="shared" si="96"/>
        <v/>
      </c>
      <c r="CU618" s="61" t="e">
        <v>#N/A</v>
      </c>
      <c r="CV618" s="61" t="e">
        <v>#N/A</v>
      </c>
      <c r="CW618" s="61" t="e">
        <v>#N/A</v>
      </c>
      <c r="CX618" s="61" t="e">
        <v>#N/A</v>
      </c>
      <c r="CY618" s="61" t="e">
        <v>#N/A</v>
      </c>
      <c r="CZ618" s="61" t="e">
        <v>#N/A</v>
      </c>
      <c r="DA618" s="61" t="e">
        <v>#N/A</v>
      </c>
      <c r="DB618" s="61" t="e">
        <v>#N/A</v>
      </c>
      <c r="DC618" s="61" t="e">
        <v>#N/A</v>
      </c>
      <c r="DD618" s="61" t="e">
        <v>#N/A</v>
      </c>
      <c r="DE618" s="61" t="e">
        <v>#N/A</v>
      </c>
      <c r="DF618" s="61" t="e">
        <v>#N/A</v>
      </c>
      <c r="DG618" s="61" t="e">
        <v>#N/A</v>
      </c>
      <c r="DH618" s="61" t="e">
        <v>#N/A</v>
      </c>
      <c r="DI618" s="61" t="e">
        <v>#N/A</v>
      </c>
      <c r="DJ618" s="61" t="e">
        <v>#N/A</v>
      </c>
    </row>
    <row r="619" spans="14:114">
      <c r="N619" s="61" t="str">
        <f t="shared" si="92"/>
        <v/>
      </c>
      <c r="O619" s="53" t="str">
        <f t="shared" si="93"/>
        <v>click</v>
      </c>
      <c r="P619" s="61" t="str">
        <f t="shared" si="97"/>
        <v>();</v>
      </c>
      <c r="Q619" s="61" t="str">
        <f t="shared" si="99"/>
        <v/>
      </c>
      <c r="R619" s="61" t="str">
        <f t="shared" si="98"/>
        <v/>
      </c>
      <c r="S619" s="61" t="str">
        <f t="shared" si="96"/>
        <v/>
      </c>
      <c r="CU619" s="61" t="e">
        <v>#N/A</v>
      </c>
      <c r="CV619" s="61" t="e">
        <v>#N/A</v>
      </c>
      <c r="CW619" s="61" t="e">
        <v>#N/A</v>
      </c>
      <c r="CX619" s="61" t="e">
        <v>#N/A</v>
      </c>
      <c r="CY619" s="61" t="e">
        <v>#N/A</v>
      </c>
      <c r="CZ619" s="61" t="e">
        <v>#N/A</v>
      </c>
      <c r="DA619" s="61" t="e">
        <v>#N/A</v>
      </c>
      <c r="DB619" s="61" t="e">
        <v>#N/A</v>
      </c>
      <c r="DC619" s="61" t="e">
        <v>#N/A</v>
      </c>
      <c r="DD619" s="61" t="e">
        <v>#N/A</v>
      </c>
      <c r="DE619" s="61" t="e">
        <v>#N/A</v>
      </c>
      <c r="DF619" s="61" t="e">
        <v>#N/A</v>
      </c>
      <c r="DG619" s="61" t="e">
        <v>#N/A</v>
      </c>
      <c r="DH619" s="61" t="e">
        <v>#N/A</v>
      </c>
      <c r="DI619" s="61" t="e">
        <v>#N/A</v>
      </c>
      <c r="DJ619" s="61" t="e">
        <v>#N/A</v>
      </c>
    </row>
    <row r="620" spans="14:114">
      <c r="N620" s="61" t="str">
        <f t="shared" si="92"/>
        <v/>
      </c>
      <c r="O620" s="53" t="str">
        <f t="shared" si="93"/>
        <v>click</v>
      </c>
      <c r="P620" s="61" t="str">
        <f t="shared" si="97"/>
        <v>();</v>
      </c>
      <c r="Q620" s="61" t="str">
        <f t="shared" si="99"/>
        <v/>
      </c>
      <c r="R620" s="61" t="str">
        <f t="shared" si="98"/>
        <v/>
      </c>
      <c r="S620" s="61" t="str">
        <f t="shared" si="96"/>
        <v/>
      </c>
      <c r="CU620" s="61" t="e">
        <v>#N/A</v>
      </c>
      <c r="CV620" s="61" t="e">
        <v>#N/A</v>
      </c>
      <c r="CW620" s="61" t="e">
        <v>#N/A</v>
      </c>
      <c r="CX620" s="61" t="e">
        <v>#N/A</v>
      </c>
      <c r="CY620" s="61" t="e">
        <v>#N/A</v>
      </c>
      <c r="CZ620" s="61" t="e">
        <v>#N/A</v>
      </c>
      <c r="DA620" s="61" t="e">
        <v>#N/A</v>
      </c>
      <c r="DB620" s="61" t="e">
        <v>#N/A</v>
      </c>
      <c r="DC620" s="61" t="e">
        <v>#N/A</v>
      </c>
      <c r="DD620" s="61" t="e">
        <v>#N/A</v>
      </c>
      <c r="DE620" s="61" t="e">
        <v>#N/A</v>
      </c>
      <c r="DF620" s="61" t="e">
        <v>#N/A</v>
      </c>
      <c r="DG620" s="61" t="e">
        <v>#N/A</v>
      </c>
      <c r="DH620" s="61" t="e">
        <v>#N/A</v>
      </c>
      <c r="DI620" s="61" t="e">
        <v>#N/A</v>
      </c>
      <c r="DJ620" s="61" t="e">
        <v>#N/A</v>
      </c>
    </row>
    <row r="621" spans="14:114">
      <c r="N621" s="61" t="str">
        <f t="shared" si="92"/>
        <v/>
      </c>
      <c r="O621" s="53" t="str">
        <f t="shared" si="93"/>
        <v>click</v>
      </c>
      <c r="P621" s="61" t="str">
        <f t="shared" si="97"/>
        <v>();</v>
      </c>
      <c r="Q621" s="61" t="str">
        <f t="shared" si="99"/>
        <v/>
      </c>
      <c r="R621" s="61" t="str">
        <f t="shared" si="98"/>
        <v/>
      </c>
      <c r="S621" s="61" t="str">
        <f t="shared" si="96"/>
        <v/>
      </c>
      <c r="CU621" s="61" t="e">
        <v>#N/A</v>
      </c>
      <c r="CV621" s="61" t="e">
        <v>#N/A</v>
      </c>
      <c r="CW621" s="61" t="e">
        <v>#N/A</v>
      </c>
      <c r="CX621" s="61" t="e">
        <v>#N/A</v>
      </c>
      <c r="CY621" s="61" t="e">
        <v>#N/A</v>
      </c>
      <c r="CZ621" s="61" t="e">
        <v>#N/A</v>
      </c>
      <c r="DA621" s="61" t="e">
        <v>#N/A</v>
      </c>
      <c r="DB621" s="61" t="e">
        <v>#N/A</v>
      </c>
      <c r="DC621" s="61" t="e">
        <v>#N/A</v>
      </c>
      <c r="DD621" s="61" t="e">
        <v>#N/A</v>
      </c>
      <c r="DE621" s="61" t="e">
        <v>#N/A</v>
      </c>
      <c r="DF621" s="61" t="e">
        <v>#N/A</v>
      </c>
      <c r="DG621" s="61" t="e">
        <v>#N/A</v>
      </c>
      <c r="DH621" s="61" t="e">
        <v>#N/A</v>
      </c>
      <c r="DI621" s="61" t="e">
        <v>#N/A</v>
      </c>
      <c r="DJ621" s="61" t="e">
        <v>#N/A</v>
      </c>
    </row>
    <row r="622" spans="14:114">
      <c r="N622" s="61" t="str">
        <f t="shared" si="92"/>
        <v/>
      </c>
      <c r="O622" s="53" t="str">
        <f t="shared" si="93"/>
        <v>click</v>
      </c>
      <c r="P622" s="61" t="str">
        <f t="shared" si="97"/>
        <v>();</v>
      </c>
      <c r="Q622" s="61" t="str">
        <f t="shared" si="99"/>
        <v/>
      </c>
      <c r="R622" s="61" t="str">
        <f t="shared" si="98"/>
        <v/>
      </c>
      <c r="S622" s="61" t="str">
        <f t="shared" si="96"/>
        <v/>
      </c>
      <c r="CU622" s="61" t="e">
        <v>#N/A</v>
      </c>
      <c r="CV622" s="61" t="e">
        <v>#N/A</v>
      </c>
      <c r="CW622" s="61" t="e">
        <v>#N/A</v>
      </c>
      <c r="CX622" s="61" t="e">
        <v>#N/A</v>
      </c>
      <c r="CY622" s="61" t="e">
        <v>#N/A</v>
      </c>
      <c r="CZ622" s="61" t="e">
        <v>#N/A</v>
      </c>
      <c r="DA622" s="61" t="e">
        <v>#N/A</v>
      </c>
      <c r="DB622" s="61" t="e">
        <v>#N/A</v>
      </c>
      <c r="DC622" s="61" t="e">
        <v>#N/A</v>
      </c>
      <c r="DD622" s="61" t="e">
        <v>#N/A</v>
      </c>
      <c r="DE622" s="61" t="e">
        <v>#N/A</v>
      </c>
      <c r="DF622" s="61" t="e">
        <v>#N/A</v>
      </c>
      <c r="DG622" s="61" t="e">
        <v>#N/A</v>
      </c>
      <c r="DH622" s="61" t="e">
        <v>#N/A</v>
      </c>
      <c r="DI622" s="61" t="e">
        <v>#N/A</v>
      </c>
      <c r="DJ622" s="61" t="e">
        <v>#N/A</v>
      </c>
    </row>
    <row r="623" spans="14:114">
      <c r="N623" s="61" t="str">
        <f t="shared" si="92"/>
        <v/>
      </c>
      <c r="O623" s="53" t="str">
        <f t="shared" si="93"/>
        <v>click</v>
      </c>
      <c r="P623" s="61" t="str">
        <f t="shared" si="97"/>
        <v>();</v>
      </c>
      <c r="Q623" s="61" t="str">
        <f t="shared" si="99"/>
        <v/>
      </c>
      <c r="R623" s="61" t="str">
        <f t="shared" si="98"/>
        <v/>
      </c>
      <c r="S623" s="61" t="str">
        <f t="shared" si="96"/>
        <v/>
      </c>
      <c r="CU623" s="61" t="e">
        <v>#N/A</v>
      </c>
      <c r="CV623" s="61" t="e">
        <v>#N/A</v>
      </c>
      <c r="CW623" s="61" t="e">
        <v>#N/A</v>
      </c>
      <c r="CX623" s="61" t="e">
        <v>#N/A</v>
      </c>
      <c r="CY623" s="61" t="e">
        <v>#N/A</v>
      </c>
      <c r="CZ623" s="61" t="e">
        <v>#N/A</v>
      </c>
      <c r="DA623" s="61" t="e">
        <v>#N/A</v>
      </c>
      <c r="DB623" s="61" t="e">
        <v>#N/A</v>
      </c>
      <c r="DC623" s="61" t="e">
        <v>#N/A</v>
      </c>
      <c r="DD623" s="61" t="e">
        <v>#N/A</v>
      </c>
      <c r="DE623" s="61" t="e">
        <v>#N/A</v>
      </c>
      <c r="DF623" s="61" t="e">
        <v>#N/A</v>
      </c>
      <c r="DG623" s="61" t="e">
        <v>#N/A</v>
      </c>
      <c r="DH623" s="61" t="e">
        <v>#N/A</v>
      </c>
      <c r="DI623" s="61" t="e">
        <v>#N/A</v>
      </c>
      <c r="DJ623" s="61" t="e">
        <v>#N/A</v>
      </c>
    </row>
    <row r="624" spans="14:114">
      <c r="N624" s="61" t="str">
        <f t="shared" si="92"/>
        <v/>
      </c>
      <c r="O624" s="53" t="str">
        <f t="shared" si="93"/>
        <v>click</v>
      </c>
      <c r="P624" s="61" t="str">
        <f t="shared" si="97"/>
        <v>();</v>
      </c>
      <c r="Q624" s="61" t="str">
        <f t="shared" si="99"/>
        <v/>
      </c>
      <c r="R624" s="61" t="str">
        <f t="shared" si="98"/>
        <v/>
      </c>
      <c r="S624" s="61" t="str">
        <f t="shared" si="96"/>
        <v/>
      </c>
      <c r="CU624" s="61" t="e">
        <v>#N/A</v>
      </c>
      <c r="CV624" s="61" t="e">
        <v>#N/A</v>
      </c>
      <c r="CW624" s="61" t="e">
        <v>#N/A</v>
      </c>
      <c r="CX624" s="61" t="e">
        <v>#N/A</v>
      </c>
      <c r="CY624" s="61" t="e">
        <v>#N/A</v>
      </c>
      <c r="CZ624" s="61" t="e">
        <v>#N/A</v>
      </c>
      <c r="DA624" s="61" t="e">
        <v>#N/A</v>
      </c>
      <c r="DB624" s="61" t="e">
        <v>#N/A</v>
      </c>
      <c r="DC624" s="61" t="e">
        <v>#N/A</v>
      </c>
      <c r="DD624" s="61" t="e">
        <v>#N/A</v>
      </c>
      <c r="DE624" s="61" t="e">
        <v>#N/A</v>
      </c>
      <c r="DF624" s="61" t="e">
        <v>#N/A</v>
      </c>
      <c r="DG624" s="61" t="e">
        <v>#N/A</v>
      </c>
      <c r="DH624" s="61" t="e">
        <v>#N/A</v>
      </c>
      <c r="DI624" s="61" t="e">
        <v>#N/A</v>
      </c>
      <c r="DJ624" s="61" t="e">
        <v>#N/A</v>
      </c>
    </row>
    <row r="625" spans="14:114">
      <c r="N625" s="61" t="str">
        <f t="shared" si="92"/>
        <v/>
      </c>
      <c r="O625" s="53" t="str">
        <f t="shared" si="93"/>
        <v>click</v>
      </c>
      <c r="P625" s="61" t="str">
        <f t="shared" si="97"/>
        <v>();</v>
      </c>
      <c r="Q625" s="61" t="str">
        <f t="shared" si="99"/>
        <v/>
      </c>
      <c r="R625" s="61" t="str">
        <f t="shared" si="98"/>
        <v/>
      </c>
      <c r="S625" s="61" t="str">
        <f t="shared" si="96"/>
        <v/>
      </c>
      <c r="CU625" s="61" t="e">
        <v>#N/A</v>
      </c>
      <c r="CV625" s="61" t="e">
        <v>#N/A</v>
      </c>
      <c r="CW625" s="61" t="e">
        <v>#N/A</v>
      </c>
      <c r="CX625" s="61" t="e">
        <v>#N/A</v>
      </c>
      <c r="CY625" s="61" t="e">
        <v>#N/A</v>
      </c>
      <c r="CZ625" s="61" t="e">
        <v>#N/A</v>
      </c>
      <c r="DA625" s="61" t="e">
        <v>#N/A</v>
      </c>
      <c r="DB625" s="61" t="e">
        <v>#N/A</v>
      </c>
      <c r="DC625" s="61" t="e">
        <v>#N/A</v>
      </c>
      <c r="DD625" s="61" t="e">
        <v>#N/A</v>
      </c>
      <c r="DE625" s="61" t="e">
        <v>#N/A</v>
      </c>
      <c r="DF625" s="61" t="e">
        <v>#N/A</v>
      </c>
      <c r="DG625" s="61" t="e">
        <v>#N/A</v>
      </c>
      <c r="DH625" s="61" t="e">
        <v>#N/A</v>
      </c>
      <c r="DI625" s="61" t="e">
        <v>#N/A</v>
      </c>
      <c r="DJ625" s="61" t="e">
        <v>#N/A</v>
      </c>
    </row>
    <row r="626" spans="14:114">
      <c r="N626" s="61" t="str">
        <f t="shared" si="92"/>
        <v/>
      </c>
      <c r="O626" s="53" t="str">
        <f t="shared" si="93"/>
        <v>click</v>
      </c>
      <c r="P626" s="61" t="str">
        <f t="shared" si="97"/>
        <v>();</v>
      </c>
      <c r="Q626" s="61" t="str">
        <f t="shared" si="99"/>
        <v/>
      </c>
      <c r="R626" s="61" t="str">
        <f t="shared" si="98"/>
        <v/>
      </c>
      <c r="S626" s="61" t="str">
        <f t="shared" si="96"/>
        <v/>
      </c>
      <c r="CU626" s="61" t="e">
        <v>#N/A</v>
      </c>
      <c r="CV626" s="61" t="e">
        <v>#N/A</v>
      </c>
      <c r="CW626" s="61" t="e">
        <v>#N/A</v>
      </c>
      <c r="CX626" s="61" t="e">
        <v>#N/A</v>
      </c>
      <c r="CY626" s="61" t="e">
        <v>#N/A</v>
      </c>
      <c r="CZ626" s="61" t="e">
        <v>#N/A</v>
      </c>
      <c r="DA626" s="61" t="e">
        <v>#N/A</v>
      </c>
      <c r="DB626" s="61" t="e">
        <v>#N/A</v>
      </c>
      <c r="DC626" s="61" t="e">
        <v>#N/A</v>
      </c>
      <c r="DD626" s="61" t="e">
        <v>#N/A</v>
      </c>
      <c r="DE626" s="61" t="e">
        <v>#N/A</v>
      </c>
      <c r="DF626" s="61" t="e">
        <v>#N/A</v>
      </c>
      <c r="DG626" s="61" t="e">
        <v>#N/A</v>
      </c>
      <c r="DH626" s="61" t="e">
        <v>#N/A</v>
      </c>
      <c r="DI626" s="61" t="e">
        <v>#N/A</v>
      </c>
      <c r="DJ626" s="61" t="e">
        <v>#N/A</v>
      </c>
    </row>
    <row r="627" spans="14:114">
      <c r="N627" s="61" t="str">
        <f t="shared" si="92"/>
        <v/>
      </c>
      <c r="O627" s="53" t="str">
        <f t="shared" si="93"/>
        <v>click</v>
      </c>
      <c r="P627" s="61" t="str">
        <f t="shared" si="97"/>
        <v>();</v>
      </c>
      <c r="Q627" s="61" t="str">
        <f t="shared" si="99"/>
        <v/>
      </c>
      <c r="R627" s="61" t="str">
        <f t="shared" si="98"/>
        <v/>
      </c>
      <c r="S627" s="61" t="str">
        <f t="shared" si="96"/>
        <v/>
      </c>
      <c r="CU627" s="61" t="e">
        <v>#N/A</v>
      </c>
      <c r="CV627" s="61" t="e">
        <v>#N/A</v>
      </c>
      <c r="CW627" s="61" t="e">
        <v>#N/A</v>
      </c>
      <c r="CX627" s="61" t="e">
        <v>#N/A</v>
      </c>
      <c r="CY627" s="61" t="e">
        <v>#N/A</v>
      </c>
      <c r="CZ627" s="61" t="e">
        <v>#N/A</v>
      </c>
      <c r="DA627" s="61" t="e">
        <v>#N/A</v>
      </c>
      <c r="DB627" s="61" t="e">
        <v>#N/A</v>
      </c>
      <c r="DC627" s="61" t="e">
        <v>#N/A</v>
      </c>
      <c r="DD627" s="61" t="e">
        <v>#N/A</v>
      </c>
      <c r="DE627" s="61" t="e">
        <v>#N/A</v>
      </c>
      <c r="DF627" s="61" t="e">
        <v>#N/A</v>
      </c>
      <c r="DG627" s="61" t="e">
        <v>#N/A</v>
      </c>
      <c r="DH627" s="61" t="e">
        <v>#N/A</v>
      </c>
      <c r="DI627" s="61" t="e">
        <v>#N/A</v>
      </c>
      <c r="DJ627" s="61" t="e">
        <v>#N/A</v>
      </c>
    </row>
    <row r="628" spans="14:114">
      <c r="N628" s="61" t="str">
        <f t="shared" si="92"/>
        <v/>
      </c>
      <c r="O628" s="53" t="str">
        <f t="shared" si="93"/>
        <v>click</v>
      </c>
      <c r="P628" s="61" t="str">
        <f t="shared" si="97"/>
        <v>();</v>
      </c>
      <c r="Q628" s="61" t="str">
        <f t="shared" si="99"/>
        <v/>
      </c>
      <c r="R628" s="61" t="str">
        <f t="shared" si="98"/>
        <v/>
      </c>
      <c r="S628" s="61" t="str">
        <f t="shared" si="96"/>
        <v/>
      </c>
      <c r="CU628" s="61" t="e">
        <v>#N/A</v>
      </c>
      <c r="CV628" s="61" t="e">
        <v>#N/A</v>
      </c>
      <c r="CW628" s="61" t="e">
        <v>#N/A</v>
      </c>
      <c r="CX628" s="61" t="e">
        <v>#N/A</v>
      </c>
      <c r="CY628" s="61" t="e">
        <v>#N/A</v>
      </c>
      <c r="CZ628" s="61" t="e">
        <v>#N/A</v>
      </c>
      <c r="DA628" s="61" t="e">
        <v>#N/A</v>
      </c>
      <c r="DB628" s="61" t="e">
        <v>#N/A</v>
      </c>
      <c r="DC628" s="61" t="e">
        <v>#N/A</v>
      </c>
      <c r="DD628" s="61" t="e">
        <v>#N/A</v>
      </c>
      <c r="DE628" s="61" t="e">
        <v>#N/A</v>
      </c>
      <c r="DF628" s="61" t="e">
        <v>#N/A</v>
      </c>
      <c r="DG628" s="61" t="e">
        <v>#N/A</v>
      </c>
      <c r="DH628" s="61" t="e">
        <v>#N/A</v>
      </c>
      <c r="DI628" s="61" t="e">
        <v>#N/A</v>
      </c>
      <c r="DJ628" s="61" t="e">
        <v>#N/A</v>
      </c>
    </row>
    <row r="629" spans="14:114">
      <c r="N629" s="61" t="str">
        <f t="shared" si="92"/>
        <v/>
      </c>
      <c r="O629" s="53" t="str">
        <f t="shared" si="93"/>
        <v>click</v>
      </c>
      <c r="P629" s="61" t="str">
        <f t="shared" si="97"/>
        <v>();</v>
      </c>
      <c r="Q629" s="61" t="str">
        <f t="shared" si="99"/>
        <v/>
      </c>
      <c r="R629" s="61" t="str">
        <f t="shared" si="98"/>
        <v/>
      </c>
      <c r="S629" s="61" t="str">
        <f t="shared" si="96"/>
        <v/>
      </c>
      <c r="CU629" s="61" t="e">
        <v>#N/A</v>
      </c>
      <c r="CV629" s="61" t="e">
        <v>#N/A</v>
      </c>
      <c r="CW629" s="61" t="e">
        <v>#N/A</v>
      </c>
      <c r="CX629" s="61" t="e">
        <v>#N/A</v>
      </c>
      <c r="CY629" s="61" t="e">
        <v>#N/A</v>
      </c>
      <c r="CZ629" s="61" t="e">
        <v>#N/A</v>
      </c>
      <c r="DA629" s="61" t="e">
        <v>#N/A</v>
      </c>
      <c r="DB629" s="61" t="e">
        <v>#N/A</v>
      </c>
      <c r="DC629" s="61" t="e">
        <v>#N/A</v>
      </c>
      <c r="DD629" s="61" t="e">
        <v>#N/A</v>
      </c>
      <c r="DE629" s="61" t="e">
        <v>#N/A</v>
      </c>
      <c r="DF629" s="61" t="e">
        <v>#N/A</v>
      </c>
      <c r="DG629" s="61" t="e">
        <v>#N/A</v>
      </c>
      <c r="DH629" s="61" t="e">
        <v>#N/A</v>
      </c>
      <c r="DI629" s="61" t="e">
        <v>#N/A</v>
      </c>
      <c r="DJ629" s="61" t="e">
        <v>#N/A</v>
      </c>
    </row>
    <row r="630" spans="14:114">
      <c r="N630" s="61" t="str">
        <f t="shared" si="92"/>
        <v/>
      </c>
      <c r="O630" s="53" t="str">
        <f t="shared" si="93"/>
        <v>click</v>
      </c>
      <c r="P630" s="61" t="str">
        <f t="shared" si="97"/>
        <v>();</v>
      </c>
      <c r="Q630" s="61" t="str">
        <f t="shared" si="99"/>
        <v/>
      </c>
      <c r="R630" s="61" t="str">
        <f t="shared" si="98"/>
        <v/>
      </c>
      <c r="S630" s="61" t="str">
        <f t="shared" si="96"/>
        <v/>
      </c>
      <c r="CU630" s="61" t="e">
        <v>#N/A</v>
      </c>
      <c r="CV630" s="61" t="e">
        <v>#N/A</v>
      </c>
      <c r="CW630" s="61" t="e">
        <v>#N/A</v>
      </c>
      <c r="CX630" s="61" t="e">
        <v>#N/A</v>
      </c>
      <c r="CY630" s="61" t="e">
        <v>#N/A</v>
      </c>
      <c r="CZ630" s="61" t="e">
        <v>#N/A</v>
      </c>
      <c r="DA630" s="61" t="e">
        <v>#N/A</v>
      </c>
      <c r="DB630" s="61" t="e">
        <v>#N/A</v>
      </c>
      <c r="DC630" s="61" t="e">
        <v>#N/A</v>
      </c>
      <c r="DD630" s="61" t="e">
        <v>#N/A</v>
      </c>
      <c r="DE630" s="61" t="e">
        <v>#N/A</v>
      </c>
      <c r="DF630" s="61" t="e">
        <v>#N/A</v>
      </c>
      <c r="DG630" s="61" t="e">
        <v>#N/A</v>
      </c>
      <c r="DH630" s="61" t="e">
        <v>#N/A</v>
      </c>
      <c r="DI630" s="61" t="e">
        <v>#N/A</v>
      </c>
      <c r="DJ630" s="61" t="e">
        <v>#N/A</v>
      </c>
    </row>
    <row r="631" spans="14:114">
      <c r="N631" s="61" t="str">
        <f t="shared" si="92"/>
        <v/>
      </c>
      <c r="O631" s="53" t="str">
        <f t="shared" si="93"/>
        <v>click</v>
      </c>
      <c r="P631" s="61" t="str">
        <f t="shared" si="97"/>
        <v>();</v>
      </c>
      <c r="Q631" s="61" t="str">
        <f t="shared" si="99"/>
        <v/>
      </c>
      <c r="R631" s="61" t="str">
        <f t="shared" si="98"/>
        <v/>
      </c>
      <c r="S631" s="61" t="str">
        <f t="shared" si="96"/>
        <v/>
      </c>
      <c r="CU631" s="61" t="e">
        <v>#N/A</v>
      </c>
      <c r="CV631" s="61" t="e">
        <v>#N/A</v>
      </c>
      <c r="CW631" s="61" t="e">
        <v>#N/A</v>
      </c>
      <c r="CX631" s="61" t="e">
        <v>#N/A</v>
      </c>
      <c r="CY631" s="61" t="e">
        <v>#N/A</v>
      </c>
      <c r="CZ631" s="61" t="e">
        <v>#N/A</v>
      </c>
      <c r="DA631" s="61" t="e">
        <v>#N/A</v>
      </c>
      <c r="DB631" s="61" t="e">
        <v>#N/A</v>
      </c>
      <c r="DC631" s="61" t="e">
        <v>#N/A</v>
      </c>
      <c r="DD631" s="61" t="e">
        <v>#N/A</v>
      </c>
      <c r="DE631" s="61" t="e">
        <v>#N/A</v>
      </c>
      <c r="DF631" s="61" t="e">
        <v>#N/A</v>
      </c>
      <c r="DG631" s="61" t="e">
        <v>#N/A</v>
      </c>
      <c r="DH631" s="61" t="e">
        <v>#N/A</v>
      </c>
      <c r="DI631" s="61" t="e">
        <v>#N/A</v>
      </c>
      <c r="DJ631" s="61" t="e">
        <v>#N/A</v>
      </c>
    </row>
    <row r="632" spans="14:114">
      <c r="N632" s="61" t="str">
        <f t="shared" si="92"/>
        <v/>
      </c>
      <c r="O632" s="53" t="str">
        <f t="shared" si="93"/>
        <v>click</v>
      </c>
      <c r="P632" s="61" t="str">
        <f t="shared" si="97"/>
        <v>();</v>
      </c>
      <c r="Q632" s="61" t="str">
        <f t="shared" si="99"/>
        <v/>
      </c>
      <c r="R632" s="61" t="str">
        <f t="shared" si="98"/>
        <v/>
      </c>
      <c r="S632" s="61" t="str">
        <f t="shared" si="96"/>
        <v/>
      </c>
      <c r="CU632" s="61" t="e">
        <v>#N/A</v>
      </c>
      <c r="CV632" s="61" t="e">
        <v>#N/A</v>
      </c>
      <c r="CW632" s="61" t="e">
        <v>#N/A</v>
      </c>
      <c r="CX632" s="61" t="e">
        <v>#N/A</v>
      </c>
      <c r="CY632" s="61" t="e">
        <v>#N/A</v>
      </c>
      <c r="CZ632" s="61" t="e">
        <v>#N/A</v>
      </c>
      <c r="DA632" s="61" t="e">
        <v>#N/A</v>
      </c>
      <c r="DB632" s="61" t="e">
        <v>#N/A</v>
      </c>
      <c r="DC632" s="61" t="e">
        <v>#N/A</v>
      </c>
      <c r="DD632" s="61" t="e">
        <v>#N/A</v>
      </c>
      <c r="DE632" s="61" t="e">
        <v>#N/A</v>
      </c>
      <c r="DF632" s="61" t="e">
        <v>#N/A</v>
      </c>
      <c r="DG632" s="61" t="e">
        <v>#N/A</v>
      </c>
      <c r="DH632" s="61" t="e">
        <v>#N/A</v>
      </c>
      <c r="DI632" s="61" t="e">
        <v>#N/A</v>
      </c>
      <c r="DJ632" s="61" t="e">
        <v>#N/A</v>
      </c>
    </row>
    <row r="633" spans="14:114">
      <c r="N633" s="61" t="str">
        <f t="shared" si="92"/>
        <v/>
      </c>
      <c r="O633" s="53" t="str">
        <f t="shared" si="93"/>
        <v>click</v>
      </c>
      <c r="P633" s="61" t="str">
        <f t="shared" si="97"/>
        <v>();</v>
      </c>
      <c r="Q633" s="61" t="str">
        <f t="shared" si="99"/>
        <v/>
      </c>
      <c r="R633" s="61" t="str">
        <f t="shared" si="98"/>
        <v/>
      </c>
      <c r="S633" s="61" t="str">
        <f t="shared" si="96"/>
        <v/>
      </c>
      <c r="CU633" s="61" t="e">
        <v>#N/A</v>
      </c>
      <c r="CV633" s="61" t="e">
        <v>#N/A</v>
      </c>
      <c r="CW633" s="61" t="e">
        <v>#N/A</v>
      </c>
      <c r="CX633" s="61" t="e">
        <v>#N/A</v>
      </c>
      <c r="CY633" s="61" t="e">
        <v>#N/A</v>
      </c>
      <c r="CZ633" s="61" t="e">
        <v>#N/A</v>
      </c>
      <c r="DA633" s="61" t="e">
        <v>#N/A</v>
      </c>
      <c r="DB633" s="61" t="e">
        <v>#N/A</v>
      </c>
      <c r="DC633" s="61" t="e">
        <v>#N/A</v>
      </c>
      <c r="DD633" s="61" t="e">
        <v>#N/A</v>
      </c>
      <c r="DE633" s="61" t="e">
        <v>#N/A</v>
      </c>
      <c r="DF633" s="61" t="e">
        <v>#N/A</v>
      </c>
      <c r="DG633" s="61" t="e">
        <v>#N/A</v>
      </c>
      <c r="DH633" s="61" t="e">
        <v>#N/A</v>
      </c>
      <c r="DI633" s="61" t="e">
        <v>#N/A</v>
      </c>
      <c r="DJ633" s="61" t="e">
        <v>#N/A</v>
      </c>
    </row>
    <row r="634" spans="14:114">
      <c r="N634" s="61" t="str">
        <f t="shared" si="92"/>
        <v/>
      </c>
      <c r="O634" s="53" t="str">
        <f t="shared" si="93"/>
        <v>click</v>
      </c>
      <c r="P634" s="61" t="str">
        <f t="shared" si="97"/>
        <v>();</v>
      </c>
      <c r="Q634" s="61" t="str">
        <f t="shared" si="99"/>
        <v/>
      </c>
      <c r="R634" s="61" t="str">
        <f t="shared" si="98"/>
        <v/>
      </c>
      <c r="S634" s="61" t="str">
        <f t="shared" si="96"/>
        <v/>
      </c>
      <c r="CU634" s="61" t="e">
        <v>#N/A</v>
      </c>
      <c r="CV634" s="61" t="e">
        <v>#N/A</v>
      </c>
      <c r="CW634" s="61" t="e">
        <v>#N/A</v>
      </c>
      <c r="CX634" s="61" t="e">
        <v>#N/A</v>
      </c>
      <c r="CY634" s="61" t="e">
        <v>#N/A</v>
      </c>
      <c r="CZ634" s="61" t="e">
        <v>#N/A</v>
      </c>
      <c r="DA634" s="61" t="e">
        <v>#N/A</v>
      </c>
      <c r="DB634" s="61" t="e">
        <v>#N/A</v>
      </c>
      <c r="DC634" s="61" t="e">
        <v>#N/A</v>
      </c>
      <c r="DD634" s="61" t="e">
        <v>#N/A</v>
      </c>
      <c r="DE634" s="61" t="e">
        <v>#N/A</v>
      </c>
      <c r="DF634" s="61" t="e">
        <v>#N/A</v>
      </c>
      <c r="DG634" s="61" t="e">
        <v>#N/A</v>
      </c>
      <c r="DH634" s="61" t="e">
        <v>#N/A</v>
      </c>
      <c r="DI634" s="61" t="e">
        <v>#N/A</v>
      </c>
      <c r="DJ634" s="61" t="e">
        <v>#N/A</v>
      </c>
    </row>
    <row r="635" spans="14:114">
      <c r="N635" s="61" t="str">
        <f t="shared" si="92"/>
        <v/>
      </c>
      <c r="O635" s="53" t="str">
        <f t="shared" si="93"/>
        <v>click</v>
      </c>
      <c r="P635" s="61" t="str">
        <f t="shared" si="97"/>
        <v>();</v>
      </c>
      <c r="Q635" s="61" t="str">
        <f t="shared" si="99"/>
        <v/>
      </c>
      <c r="R635" s="61" t="str">
        <f t="shared" si="98"/>
        <v/>
      </c>
      <c r="S635" s="61" t="str">
        <f t="shared" si="96"/>
        <v/>
      </c>
      <c r="CU635" s="61" t="e">
        <v>#N/A</v>
      </c>
      <c r="CV635" s="61" t="e">
        <v>#N/A</v>
      </c>
      <c r="CW635" s="61" t="e">
        <v>#N/A</v>
      </c>
      <c r="CX635" s="61" t="e">
        <v>#N/A</v>
      </c>
      <c r="CY635" s="61" t="e">
        <v>#N/A</v>
      </c>
      <c r="CZ635" s="61" t="e">
        <v>#N/A</v>
      </c>
      <c r="DA635" s="61" t="e">
        <v>#N/A</v>
      </c>
      <c r="DB635" s="61" t="e">
        <v>#N/A</v>
      </c>
      <c r="DC635" s="61" t="e">
        <v>#N/A</v>
      </c>
      <c r="DD635" s="61" t="e">
        <v>#N/A</v>
      </c>
      <c r="DE635" s="61" t="e">
        <v>#N/A</v>
      </c>
      <c r="DF635" s="61" t="e">
        <v>#N/A</v>
      </c>
      <c r="DG635" s="61" t="e">
        <v>#N/A</v>
      </c>
      <c r="DH635" s="61" t="e">
        <v>#N/A</v>
      </c>
      <c r="DI635" s="61" t="e">
        <v>#N/A</v>
      </c>
      <c r="DJ635" s="61" t="e">
        <v>#N/A</v>
      </c>
    </row>
    <row r="636" spans="14:114">
      <c r="N636" s="61" t="str">
        <f t="shared" si="92"/>
        <v/>
      </c>
      <c r="O636" s="53" t="str">
        <f t="shared" si="93"/>
        <v>click</v>
      </c>
      <c r="P636" s="61" t="str">
        <f t="shared" si="97"/>
        <v>();</v>
      </c>
      <c r="Q636" s="61" t="str">
        <f t="shared" si="99"/>
        <v/>
      </c>
      <c r="R636" s="61" t="str">
        <f t="shared" si="98"/>
        <v/>
      </c>
      <c r="S636" s="61" t="str">
        <f t="shared" si="96"/>
        <v/>
      </c>
      <c r="CU636" s="61" t="e">
        <v>#N/A</v>
      </c>
      <c r="CV636" s="61" t="e">
        <v>#N/A</v>
      </c>
      <c r="CW636" s="61" t="e">
        <v>#N/A</v>
      </c>
      <c r="CX636" s="61" t="e">
        <v>#N/A</v>
      </c>
      <c r="CY636" s="61" t="e">
        <v>#N/A</v>
      </c>
      <c r="CZ636" s="61" t="e">
        <v>#N/A</v>
      </c>
      <c r="DA636" s="61" t="e">
        <v>#N/A</v>
      </c>
      <c r="DB636" s="61" t="e">
        <v>#N/A</v>
      </c>
      <c r="DC636" s="61" t="e">
        <v>#N/A</v>
      </c>
      <c r="DD636" s="61" t="e">
        <v>#N/A</v>
      </c>
      <c r="DE636" s="61" t="e">
        <v>#N/A</v>
      </c>
      <c r="DF636" s="61" t="e">
        <v>#N/A</v>
      </c>
      <c r="DG636" s="61" t="e">
        <v>#N/A</v>
      </c>
      <c r="DH636" s="61" t="e">
        <v>#N/A</v>
      </c>
      <c r="DI636" s="61" t="e">
        <v>#N/A</v>
      </c>
      <c r="DJ636" s="61" t="e">
        <v>#N/A</v>
      </c>
    </row>
    <row r="637" spans="14:114">
      <c r="N637" s="61" t="str">
        <f t="shared" si="92"/>
        <v/>
      </c>
      <c r="O637" s="53" t="str">
        <f t="shared" si="93"/>
        <v>click</v>
      </c>
      <c r="P637" s="61" t="str">
        <f t="shared" si="97"/>
        <v>();</v>
      </c>
      <c r="Q637" s="61" t="str">
        <f t="shared" si="99"/>
        <v/>
      </c>
      <c r="R637" s="61" t="str">
        <f t="shared" si="98"/>
        <v/>
      </c>
      <c r="S637" s="61" t="str">
        <f t="shared" si="96"/>
        <v/>
      </c>
      <c r="CU637" s="61" t="e">
        <v>#N/A</v>
      </c>
      <c r="CV637" s="61" t="e">
        <v>#N/A</v>
      </c>
      <c r="CW637" s="61" t="e">
        <v>#N/A</v>
      </c>
      <c r="CX637" s="61" t="e">
        <v>#N/A</v>
      </c>
      <c r="CY637" s="61" t="e">
        <v>#N/A</v>
      </c>
      <c r="CZ637" s="61" t="e">
        <v>#N/A</v>
      </c>
      <c r="DA637" s="61" t="e">
        <v>#N/A</v>
      </c>
      <c r="DB637" s="61" t="e">
        <v>#N/A</v>
      </c>
      <c r="DC637" s="61" t="e">
        <v>#N/A</v>
      </c>
      <c r="DD637" s="61" t="e">
        <v>#N/A</v>
      </c>
      <c r="DE637" s="61" t="e">
        <v>#N/A</v>
      </c>
      <c r="DF637" s="61" t="e">
        <v>#N/A</v>
      </c>
      <c r="DG637" s="61" t="e">
        <v>#N/A</v>
      </c>
      <c r="DH637" s="61" t="e">
        <v>#N/A</v>
      </c>
      <c r="DI637" s="61" t="e">
        <v>#N/A</v>
      </c>
      <c r="DJ637" s="61" t="e">
        <v>#N/A</v>
      </c>
    </row>
    <row r="638" spans="14:114">
      <c r="N638" s="61" t="str">
        <f t="shared" si="92"/>
        <v/>
      </c>
      <c r="O638" s="53" t="str">
        <f t="shared" si="93"/>
        <v>click</v>
      </c>
      <c r="P638" s="61" t="str">
        <f t="shared" si="97"/>
        <v>();</v>
      </c>
      <c r="Q638" s="61" t="str">
        <f t="shared" si="99"/>
        <v/>
      </c>
      <c r="R638" s="61" t="str">
        <f t="shared" si="98"/>
        <v/>
      </c>
      <c r="S638" s="61" t="str">
        <f t="shared" si="96"/>
        <v/>
      </c>
      <c r="CU638" s="61" t="e">
        <v>#N/A</v>
      </c>
      <c r="CV638" s="61" t="e">
        <v>#N/A</v>
      </c>
      <c r="CW638" s="61" t="e">
        <v>#N/A</v>
      </c>
      <c r="CX638" s="61" t="e">
        <v>#N/A</v>
      </c>
      <c r="CY638" s="61" t="e">
        <v>#N/A</v>
      </c>
      <c r="CZ638" s="61" t="e">
        <v>#N/A</v>
      </c>
      <c r="DA638" s="61" t="e">
        <v>#N/A</v>
      </c>
      <c r="DB638" s="61" t="e">
        <v>#N/A</v>
      </c>
      <c r="DC638" s="61" t="e">
        <v>#N/A</v>
      </c>
      <c r="DD638" s="61" t="e">
        <v>#N/A</v>
      </c>
      <c r="DE638" s="61" t="e">
        <v>#N/A</v>
      </c>
      <c r="DF638" s="61" t="e">
        <v>#N/A</v>
      </c>
      <c r="DG638" s="61" t="e">
        <v>#N/A</v>
      </c>
      <c r="DH638" s="61" t="e">
        <v>#N/A</v>
      </c>
      <c r="DI638" s="61" t="e">
        <v>#N/A</v>
      </c>
      <c r="DJ638" s="61" t="e">
        <v>#N/A</v>
      </c>
    </row>
    <row r="639" spans="14:114">
      <c r="N639" s="61" t="str">
        <f t="shared" si="92"/>
        <v/>
      </c>
      <c r="O639" s="53" t="str">
        <f t="shared" si="93"/>
        <v>click</v>
      </c>
      <c r="P639" s="61" t="str">
        <f t="shared" si="97"/>
        <v>();</v>
      </c>
      <c r="Q639" s="61" t="str">
        <f t="shared" si="99"/>
        <v/>
      </c>
      <c r="R639" s="61" t="str">
        <f t="shared" si="98"/>
        <v/>
      </c>
      <c r="S639" s="61" t="str">
        <f t="shared" si="96"/>
        <v/>
      </c>
      <c r="CU639" s="61" t="e">
        <v>#N/A</v>
      </c>
      <c r="CV639" s="61" t="e">
        <v>#N/A</v>
      </c>
      <c r="CW639" s="61" t="e">
        <v>#N/A</v>
      </c>
      <c r="CX639" s="61" t="e">
        <v>#N/A</v>
      </c>
      <c r="CY639" s="61" t="e">
        <v>#N/A</v>
      </c>
      <c r="CZ639" s="61" t="e">
        <v>#N/A</v>
      </c>
      <c r="DA639" s="61" t="e">
        <v>#N/A</v>
      </c>
      <c r="DB639" s="61" t="e">
        <v>#N/A</v>
      </c>
      <c r="DC639" s="61" t="e">
        <v>#N/A</v>
      </c>
      <c r="DD639" s="61" t="e">
        <v>#N/A</v>
      </c>
      <c r="DE639" s="61" t="e">
        <v>#N/A</v>
      </c>
      <c r="DF639" s="61" t="e">
        <v>#N/A</v>
      </c>
      <c r="DG639" s="61" t="e">
        <v>#N/A</v>
      </c>
      <c r="DH639" s="61" t="e">
        <v>#N/A</v>
      </c>
      <c r="DI639" s="61" t="e">
        <v>#N/A</v>
      </c>
      <c r="DJ639" s="61" t="e">
        <v>#N/A</v>
      </c>
    </row>
    <row r="640" spans="14:114">
      <c r="N640" s="61" t="str">
        <f t="shared" si="92"/>
        <v/>
      </c>
      <c r="O640" s="53" t="str">
        <f t="shared" si="93"/>
        <v>click</v>
      </c>
      <c r="P640" s="61" t="str">
        <f t="shared" si="97"/>
        <v>();</v>
      </c>
      <c r="Q640" s="61" t="str">
        <f t="shared" si="99"/>
        <v/>
      </c>
      <c r="R640" s="61" t="str">
        <f t="shared" si="98"/>
        <v/>
      </c>
      <c r="S640" s="61" t="str">
        <f t="shared" si="96"/>
        <v/>
      </c>
      <c r="CU640" s="61" t="e">
        <v>#N/A</v>
      </c>
      <c r="CV640" s="61" t="e">
        <v>#N/A</v>
      </c>
      <c r="CW640" s="61" t="e">
        <v>#N/A</v>
      </c>
      <c r="CX640" s="61" t="e">
        <v>#N/A</v>
      </c>
      <c r="CY640" s="61" t="e">
        <v>#N/A</v>
      </c>
      <c r="CZ640" s="61" t="e">
        <v>#N/A</v>
      </c>
      <c r="DA640" s="61" t="e">
        <v>#N/A</v>
      </c>
      <c r="DB640" s="61" t="e">
        <v>#N/A</v>
      </c>
      <c r="DC640" s="61" t="e">
        <v>#N/A</v>
      </c>
      <c r="DD640" s="61" t="e">
        <v>#N/A</v>
      </c>
      <c r="DE640" s="61" t="e">
        <v>#N/A</v>
      </c>
      <c r="DF640" s="61" t="e">
        <v>#N/A</v>
      </c>
      <c r="DG640" s="61" t="e">
        <v>#N/A</v>
      </c>
      <c r="DH640" s="61" t="e">
        <v>#N/A</v>
      </c>
      <c r="DI640" s="61" t="e">
        <v>#N/A</v>
      </c>
      <c r="DJ640" s="61" t="e">
        <v>#N/A</v>
      </c>
    </row>
    <row r="641" spans="14:114">
      <c r="N641" s="61" t="str">
        <f t="shared" si="92"/>
        <v/>
      </c>
      <c r="O641" s="53" t="str">
        <f t="shared" si="93"/>
        <v>click</v>
      </c>
      <c r="P641" s="61" t="str">
        <f t="shared" si="97"/>
        <v>();</v>
      </c>
      <c r="Q641" s="61" t="str">
        <f t="shared" si="99"/>
        <v/>
      </c>
      <c r="R641" s="61" t="str">
        <f t="shared" si="98"/>
        <v/>
      </c>
      <c r="S641" s="61" t="str">
        <f t="shared" si="96"/>
        <v/>
      </c>
      <c r="CU641" s="61" t="e">
        <v>#N/A</v>
      </c>
      <c r="CV641" s="61" t="e">
        <v>#N/A</v>
      </c>
      <c r="CW641" s="61" t="e">
        <v>#N/A</v>
      </c>
      <c r="CX641" s="61" t="e">
        <v>#N/A</v>
      </c>
      <c r="CY641" s="61" t="e">
        <v>#N/A</v>
      </c>
      <c r="CZ641" s="61" t="e">
        <v>#N/A</v>
      </c>
      <c r="DA641" s="61" t="e">
        <v>#N/A</v>
      </c>
      <c r="DB641" s="61" t="e">
        <v>#N/A</v>
      </c>
      <c r="DC641" s="61" t="e">
        <v>#N/A</v>
      </c>
      <c r="DD641" s="61" t="e">
        <v>#N/A</v>
      </c>
      <c r="DE641" s="61" t="e">
        <v>#N/A</v>
      </c>
      <c r="DF641" s="61" t="e">
        <v>#N/A</v>
      </c>
      <c r="DG641" s="61" t="e">
        <v>#N/A</v>
      </c>
      <c r="DH641" s="61" t="e">
        <v>#N/A</v>
      </c>
      <c r="DI641" s="61" t="e">
        <v>#N/A</v>
      </c>
      <c r="DJ641" s="61" t="e">
        <v>#N/A</v>
      </c>
    </row>
    <row r="642" spans="14:114">
      <c r="N642" s="61" t="str">
        <f t="shared" si="92"/>
        <v/>
      </c>
      <c r="O642" s="53" t="str">
        <f t="shared" si="93"/>
        <v>click</v>
      </c>
      <c r="P642" s="61" t="str">
        <f t="shared" si="97"/>
        <v>();</v>
      </c>
      <c r="Q642" s="61" t="str">
        <f t="shared" si="99"/>
        <v/>
      </c>
      <c r="R642" s="61" t="str">
        <f t="shared" si="98"/>
        <v/>
      </c>
      <c r="S642" s="61" t="str">
        <f t="shared" si="96"/>
        <v/>
      </c>
      <c r="CU642" s="61" t="e">
        <v>#N/A</v>
      </c>
      <c r="CV642" s="61" t="e">
        <v>#N/A</v>
      </c>
      <c r="CW642" s="61" t="e">
        <v>#N/A</v>
      </c>
      <c r="CX642" s="61" t="e">
        <v>#N/A</v>
      </c>
      <c r="CY642" s="61" t="e">
        <v>#N/A</v>
      </c>
      <c r="CZ642" s="61" t="e">
        <v>#N/A</v>
      </c>
      <c r="DA642" s="61" t="e">
        <v>#N/A</v>
      </c>
      <c r="DB642" s="61" t="e">
        <v>#N/A</v>
      </c>
      <c r="DC642" s="61" t="e">
        <v>#N/A</v>
      </c>
      <c r="DD642" s="61" t="e">
        <v>#N/A</v>
      </c>
      <c r="DE642" s="61" t="e">
        <v>#N/A</v>
      </c>
      <c r="DF642" s="61" t="e">
        <v>#N/A</v>
      </c>
      <c r="DG642" s="61" t="e">
        <v>#N/A</v>
      </c>
      <c r="DH642" s="61" t="e">
        <v>#N/A</v>
      </c>
      <c r="DI642" s="61" t="e">
        <v>#N/A</v>
      </c>
      <c r="DJ642" s="61" t="e">
        <v>#N/A</v>
      </c>
    </row>
    <row r="643" spans="14:114">
      <c r="N643" s="61" t="str">
        <f t="shared" si="92"/>
        <v/>
      </c>
      <c r="O643" s="53" t="str">
        <f t="shared" si="93"/>
        <v>click</v>
      </c>
      <c r="P643" s="61" t="str">
        <f t="shared" si="97"/>
        <v>();</v>
      </c>
      <c r="Q643" s="61" t="str">
        <f t="shared" si="99"/>
        <v/>
      </c>
      <c r="R643" s="61" t="str">
        <f t="shared" si="98"/>
        <v/>
      </c>
      <c r="S643" s="61" t="str">
        <f t="shared" si="96"/>
        <v/>
      </c>
      <c r="CU643" s="61" t="e">
        <v>#N/A</v>
      </c>
      <c r="CV643" s="61" t="e">
        <v>#N/A</v>
      </c>
      <c r="CW643" s="61" t="e">
        <v>#N/A</v>
      </c>
      <c r="CX643" s="61" t="e">
        <v>#N/A</v>
      </c>
      <c r="CY643" s="61" t="e">
        <v>#N/A</v>
      </c>
      <c r="CZ643" s="61" t="e">
        <v>#N/A</v>
      </c>
      <c r="DA643" s="61" t="e">
        <v>#N/A</v>
      </c>
      <c r="DB643" s="61" t="e">
        <v>#N/A</v>
      </c>
      <c r="DC643" s="61" t="e">
        <v>#N/A</v>
      </c>
      <c r="DD643" s="61" t="e">
        <v>#N/A</v>
      </c>
      <c r="DE643" s="61" t="e">
        <v>#N/A</v>
      </c>
      <c r="DF643" s="61" t="e">
        <v>#N/A</v>
      </c>
      <c r="DG643" s="61" t="e">
        <v>#N/A</v>
      </c>
      <c r="DH643" s="61" t="e">
        <v>#N/A</v>
      </c>
      <c r="DI643" s="61" t="e">
        <v>#N/A</v>
      </c>
      <c r="DJ643" s="61" t="e">
        <v>#N/A</v>
      </c>
    </row>
    <row r="644" spans="14:114">
      <c r="N644" s="61" t="str">
        <f t="shared" si="92"/>
        <v/>
      </c>
      <c r="O644" s="53" t="str">
        <f t="shared" si="93"/>
        <v>click</v>
      </c>
      <c r="P644" s="61" t="str">
        <f t="shared" si="97"/>
        <v>();</v>
      </c>
      <c r="Q644" s="61" t="str">
        <f t="shared" si="99"/>
        <v/>
      </c>
      <c r="R644" s="61" t="str">
        <f t="shared" si="98"/>
        <v/>
      </c>
      <c r="S644" s="61" t="str">
        <f t="shared" si="96"/>
        <v/>
      </c>
      <c r="CU644" s="61" t="e">
        <v>#N/A</v>
      </c>
      <c r="CV644" s="61" t="e">
        <v>#N/A</v>
      </c>
      <c r="CW644" s="61" t="e">
        <v>#N/A</v>
      </c>
      <c r="CX644" s="61" t="e">
        <v>#N/A</v>
      </c>
      <c r="CY644" s="61" t="e">
        <v>#N/A</v>
      </c>
      <c r="CZ644" s="61" t="e">
        <v>#N/A</v>
      </c>
      <c r="DA644" s="61" t="e">
        <v>#N/A</v>
      </c>
      <c r="DB644" s="61" t="e">
        <v>#N/A</v>
      </c>
      <c r="DC644" s="61" t="e">
        <v>#N/A</v>
      </c>
      <c r="DD644" s="61" t="e">
        <v>#N/A</v>
      </c>
      <c r="DE644" s="61" t="e">
        <v>#N/A</v>
      </c>
      <c r="DF644" s="61" t="e">
        <v>#N/A</v>
      </c>
      <c r="DG644" s="61" t="e">
        <v>#N/A</v>
      </c>
      <c r="DH644" s="61" t="e">
        <v>#N/A</v>
      </c>
      <c r="DI644" s="61" t="e">
        <v>#N/A</v>
      </c>
      <c r="DJ644" s="61" t="e">
        <v>#N/A</v>
      </c>
    </row>
    <row r="645" spans="14:114">
      <c r="N645" s="61" t="str">
        <f t="shared" ref="N645:N708" si="100">IF(A645="Y",""""&amp;C645&amp;""""&amp;": "&amp;M645&amp;",","")</f>
        <v/>
      </c>
      <c r="O645" s="53" t="str">
        <f t="shared" ref="O645:O708" si="101">IF(D645="input","fill",IF(I645&lt;&gt;"","innerText",IF(J645="Y",$T$110,"click")))</f>
        <v>click</v>
      </c>
      <c r="P645" s="61" t="str">
        <f t="shared" si="97"/>
        <v>();</v>
      </c>
      <c r="Q645" s="61" t="str">
        <f t="shared" ref="Q645:Q676" si="102">IF(A645="Y",IF(H645&lt;&gt;"Xpath",M645&amp;F645&amp;N645,""""&amp;F645&amp;""""),"")</f>
        <v/>
      </c>
      <c r="R645" s="61" t="str">
        <f t="shared" si="98"/>
        <v/>
      </c>
      <c r="S645" s="61" t="str">
        <f t="shared" ref="S645:S708" si="103">IF(O645="innerText",I645&amp;"="&amp;IF(C645="Y",IF(J645&lt;&gt;"Y",$S$9&amp;$R$10&amp;"."&amp;E645&amp;")."&amp;IF(OR(O645="click",O645="innerText"),O645&amp;"();",O645&amp;"("&amp;$Q$9&amp;"."&amp;E645&amp;");"),$S$110&amp;$R$10&amp;"."&amp;E645&amp;")."&amp;IF(O645="click",O645&amp;"();",O645&amp;"("&amp;"'"&amp;K645&amp;"'"&amp;");")),""),IF(C645="Y",IF(J645&lt;&gt;"Y",$S$9&amp;$R$10&amp;"."&amp;E645&amp;")."&amp;IF(OR(O645="click",O645="innerText"),O645&amp;"();",O645&amp;"("&amp;$Q$9&amp;"."&amp;E645&amp;");"),$S$110&amp;$R$10&amp;"."&amp;E645&amp;")."&amp;IF(O645="click",O645&amp;"();",O645&amp;"("&amp;"'"&amp;K645&amp;"'"&amp;");")),""))</f>
        <v/>
      </c>
      <c r="CU645" s="61" t="e">
        <v>#N/A</v>
      </c>
      <c r="CV645" s="61" t="e">
        <v>#N/A</v>
      </c>
      <c r="CW645" s="61" t="e">
        <v>#N/A</v>
      </c>
      <c r="CX645" s="61" t="e">
        <v>#N/A</v>
      </c>
      <c r="CY645" s="61" t="e">
        <v>#N/A</v>
      </c>
      <c r="CZ645" s="61" t="e">
        <v>#N/A</v>
      </c>
      <c r="DA645" s="61" t="e">
        <v>#N/A</v>
      </c>
      <c r="DB645" s="61" t="e">
        <v>#N/A</v>
      </c>
      <c r="DC645" s="61" t="e">
        <v>#N/A</v>
      </c>
      <c r="DD645" s="61" t="e">
        <v>#N/A</v>
      </c>
      <c r="DE645" s="61" t="e">
        <v>#N/A</v>
      </c>
      <c r="DF645" s="61" t="e">
        <v>#N/A</v>
      </c>
      <c r="DG645" s="61" t="e">
        <v>#N/A</v>
      </c>
      <c r="DH645" s="61" t="e">
        <v>#N/A</v>
      </c>
      <c r="DI645" s="61" t="e">
        <v>#N/A</v>
      </c>
      <c r="DJ645" s="61" t="e">
        <v>#N/A</v>
      </c>
    </row>
    <row r="646" spans="14:114">
      <c r="N646" s="61" t="str">
        <f t="shared" si="100"/>
        <v/>
      </c>
      <c r="O646" s="53" t="str">
        <f t="shared" si="101"/>
        <v>click</v>
      </c>
      <c r="P646" s="61" t="str">
        <f t="shared" si="97"/>
        <v>();</v>
      </c>
      <c r="Q646" s="61" t="str">
        <f t="shared" si="102"/>
        <v/>
      </c>
      <c r="R646" s="61" t="str">
        <f t="shared" si="98"/>
        <v/>
      </c>
      <c r="S646" s="61" t="str">
        <f t="shared" si="103"/>
        <v/>
      </c>
      <c r="CU646" s="61" t="e">
        <v>#N/A</v>
      </c>
      <c r="CV646" s="61" t="e">
        <v>#N/A</v>
      </c>
      <c r="CW646" s="61" t="e">
        <v>#N/A</v>
      </c>
      <c r="CX646" s="61" t="e">
        <v>#N/A</v>
      </c>
      <c r="CY646" s="61" t="e">
        <v>#N/A</v>
      </c>
      <c r="CZ646" s="61" t="e">
        <v>#N/A</v>
      </c>
      <c r="DA646" s="61" t="e">
        <v>#N/A</v>
      </c>
      <c r="DB646" s="61" t="e">
        <v>#N/A</v>
      </c>
      <c r="DC646" s="61" t="e">
        <v>#N/A</v>
      </c>
      <c r="DD646" s="61" t="e">
        <v>#N/A</v>
      </c>
      <c r="DE646" s="61" t="e">
        <v>#N/A</v>
      </c>
      <c r="DF646" s="61" t="e">
        <v>#N/A</v>
      </c>
      <c r="DG646" s="61" t="e">
        <v>#N/A</v>
      </c>
      <c r="DH646" s="61" t="e">
        <v>#N/A</v>
      </c>
      <c r="DI646" s="61" t="e">
        <v>#N/A</v>
      </c>
      <c r="DJ646" s="61" t="e">
        <v>#N/A</v>
      </c>
    </row>
    <row r="647" spans="14:114">
      <c r="N647" s="61" t="str">
        <f t="shared" si="100"/>
        <v/>
      </c>
      <c r="O647" s="53" t="str">
        <f t="shared" si="101"/>
        <v>click</v>
      </c>
      <c r="P647" s="61" t="str">
        <f t="shared" si="97"/>
        <v>();</v>
      </c>
      <c r="Q647" s="61" t="str">
        <f t="shared" si="102"/>
        <v/>
      </c>
      <c r="R647" s="61" t="str">
        <f t="shared" si="98"/>
        <v/>
      </c>
      <c r="S647" s="61" t="str">
        <f t="shared" si="103"/>
        <v/>
      </c>
      <c r="CU647" s="61" t="e">
        <v>#N/A</v>
      </c>
      <c r="CV647" s="61" t="e">
        <v>#N/A</v>
      </c>
      <c r="CW647" s="61" t="e">
        <v>#N/A</v>
      </c>
      <c r="CX647" s="61" t="e">
        <v>#N/A</v>
      </c>
      <c r="CY647" s="61" t="e">
        <v>#N/A</v>
      </c>
      <c r="CZ647" s="61" t="e">
        <v>#N/A</v>
      </c>
      <c r="DA647" s="61" t="e">
        <v>#N/A</v>
      </c>
      <c r="DB647" s="61" t="e">
        <v>#N/A</v>
      </c>
      <c r="DC647" s="61" t="e">
        <v>#N/A</v>
      </c>
      <c r="DD647" s="61" t="e">
        <v>#N/A</v>
      </c>
      <c r="DE647" s="61" t="e">
        <v>#N/A</v>
      </c>
      <c r="DF647" s="61" t="e">
        <v>#N/A</v>
      </c>
      <c r="DG647" s="61" t="e">
        <v>#N/A</v>
      </c>
      <c r="DH647" s="61" t="e">
        <v>#N/A</v>
      </c>
      <c r="DI647" s="61" t="e">
        <v>#N/A</v>
      </c>
      <c r="DJ647" s="61" t="e">
        <v>#N/A</v>
      </c>
    </row>
    <row r="648" spans="14:114">
      <c r="N648" s="61" t="str">
        <f t="shared" si="100"/>
        <v/>
      </c>
      <c r="O648" s="53" t="str">
        <f t="shared" si="101"/>
        <v>click</v>
      </c>
      <c r="P648" s="61" t="str">
        <f t="shared" si="97"/>
        <v>();</v>
      </c>
      <c r="Q648" s="61" t="str">
        <f t="shared" si="102"/>
        <v/>
      </c>
      <c r="R648" s="61" t="str">
        <f t="shared" si="98"/>
        <v/>
      </c>
      <c r="S648" s="61" t="str">
        <f t="shared" si="103"/>
        <v/>
      </c>
      <c r="CU648" s="61" t="e">
        <v>#N/A</v>
      </c>
      <c r="CV648" s="61" t="e">
        <v>#N/A</v>
      </c>
      <c r="CW648" s="61" t="e">
        <v>#N/A</v>
      </c>
      <c r="CX648" s="61" t="e">
        <v>#N/A</v>
      </c>
      <c r="CY648" s="61" t="e">
        <v>#N/A</v>
      </c>
      <c r="CZ648" s="61" t="e">
        <v>#N/A</v>
      </c>
      <c r="DA648" s="61" t="e">
        <v>#N/A</v>
      </c>
      <c r="DB648" s="61" t="e">
        <v>#N/A</v>
      </c>
      <c r="DC648" s="61" t="e">
        <v>#N/A</v>
      </c>
      <c r="DD648" s="61" t="e">
        <v>#N/A</v>
      </c>
      <c r="DE648" s="61" t="e">
        <v>#N/A</v>
      </c>
      <c r="DF648" s="61" t="e">
        <v>#N/A</v>
      </c>
      <c r="DG648" s="61" t="e">
        <v>#N/A</v>
      </c>
      <c r="DH648" s="61" t="e">
        <v>#N/A</v>
      </c>
      <c r="DI648" s="61" t="e">
        <v>#N/A</v>
      </c>
      <c r="DJ648" s="61" t="e">
        <v>#N/A</v>
      </c>
    </row>
    <row r="649" spans="14:114">
      <c r="N649" s="61" t="str">
        <f t="shared" si="100"/>
        <v/>
      </c>
      <c r="O649" s="53" t="str">
        <f t="shared" si="101"/>
        <v>click</v>
      </c>
      <c r="P649" s="61" t="str">
        <f t="shared" si="97"/>
        <v>();</v>
      </c>
      <c r="Q649" s="61" t="str">
        <f t="shared" si="102"/>
        <v/>
      </c>
      <c r="R649" s="61" t="str">
        <f t="shared" si="98"/>
        <v/>
      </c>
      <c r="S649" s="61" t="str">
        <f t="shared" si="103"/>
        <v/>
      </c>
      <c r="CU649" s="61" t="e">
        <v>#N/A</v>
      </c>
      <c r="CV649" s="61" t="e">
        <v>#N/A</v>
      </c>
      <c r="CW649" s="61" t="e">
        <v>#N/A</v>
      </c>
      <c r="CX649" s="61" t="e">
        <v>#N/A</v>
      </c>
      <c r="CY649" s="61" t="e">
        <v>#N/A</v>
      </c>
      <c r="CZ649" s="61" t="e">
        <v>#N/A</v>
      </c>
      <c r="DA649" s="61" t="e">
        <v>#N/A</v>
      </c>
      <c r="DB649" s="61" t="e">
        <v>#N/A</v>
      </c>
      <c r="DC649" s="61" t="e">
        <v>#N/A</v>
      </c>
      <c r="DD649" s="61" t="e">
        <v>#N/A</v>
      </c>
      <c r="DE649" s="61" t="e">
        <v>#N/A</v>
      </c>
      <c r="DF649" s="61" t="e">
        <v>#N/A</v>
      </c>
      <c r="DG649" s="61" t="e">
        <v>#N/A</v>
      </c>
      <c r="DH649" s="61" t="e">
        <v>#N/A</v>
      </c>
      <c r="DI649" s="61" t="e">
        <v>#N/A</v>
      </c>
      <c r="DJ649" s="61" t="e">
        <v>#N/A</v>
      </c>
    </row>
    <row r="650" spans="14:114">
      <c r="N650" s="61" t="str">
        <f t="shared" si="100"/>
        <v/>
      </c>
      <c r="O650" s="53" t="str">
        <f t="shared" si="101"/>
        <v>click</v>
      </c>
      <c r="P650" s="61" t="str">
        <f t="shared" si="97"/>
        <v>();</v>
      </c>
      <c r="Q650" s="61" t="str">
        <f t="shared" si="102"/>
        <v/>
      </c>
      <c r="R650" s="61" t="str">
        <f t="shared" si="98"/>
        <v/>
      </c>
      <c r="S650" s="61" t="str">
        <f t="shared" si="103"/>
        <v/>
      </c>
      <c r="CU650" s="61" t="e">
        <v>#N/A</v>
      </c>
      <c r="CV650" s="61" t="e">
        <v>#N/A</v>
      </c>
      <c r="CW650" s="61" t="e">
        <v>#N/A</v>
      </c>
      <c r="CX650" s="61" t="e">
        <v>#N/A</v>
      </c>
      <c r="CY650" s="61" t="e">
        <v>#N/A</v>
      </c>
      <c r="CZ650" s="61" t="e">
        <v>#N/A</v>
      </c>
      <c r="DA650" s="61" t="e">
        <v>#N/A</v>
      </c>
      <c r="DB650" s="61" t="e">
        <v>#N/A</v>
      </c>
      <c r="DC650" s="61" t="e">
        <v>#N/A</v>
      </c>
      <c r="DD650" s="61" t="e">
        <v>#N/A</v>
      </c>
      <c r="DE650" s="61" t="e">
        <v>#N/A</v>
      </c>
      <c r="DF650" s="61" t="e">
        <v>#N/A</v>
      </c>
      <c r="DG650" s="61" t="e">
        <v>#N/A</v>
      </c>
      <c r="DH650" s="61" t="e">
        <v>#N/A</v>
      </c>
      <c r="DI650" s="61" t="e">
        <v>#N/A</v>
      </c>
      <c r="DJ650" s="61" t="e">
        <v>#N/A</v>
      </c>
    </row>
    <row r="651" spans="14:114">
      <c r="N651" s="61" t="str">
        <f t="shared" si="100"/>
        <v/>
      </c>
      <c r="O651" s="53" t="str">
        <f t="shared" si="101"/>
        <v>click</v>
      </c>
      <c r="P651" s="61" t="str">
        <f t="shared" si="97"/>
        <v>();</v>
      </c>
      <c r="Q651" s="61" t="str">
        <f t="shared" si="102"/>
        <v/>
      </c>
      <c r="R651" s="61" t="str">
        <f t="shared" si="98"/>
        <v/>
      </c>
      <c r="S651" s="61" t="str">
        <f t="shared" si="103"/>
        <v/>
      </c>
      <c r="CU651" s="61" t="e">
        <v>#N/A</v>
      </c>
      <c r="CV651" s="61" t="e">
        <v>#N/A</v>
      </c>
      <c r="CW651" s="61" t="e">
        <v>#N/A</v>
      </c>
      <c r="CX651" s="61" t="e">
        <v>#N/A</v>
      </c>
      <c r="CY651" s="61" t="e">
        <v>#N/A</v>
      </c>
      <c r="CZ651" s="61" t="e">
        <v>#N/A</v>
      </c>
      <c r="DA651" s="61" t="e">
        <v>#N/A</v>
      </c>
      <c r="DB651" s="61" t="e">
        <v>#N/A</v>
      </c>
      <c r="DC651" s="61" t="e">
        <v>#N/A</v>
      </c>
      <c r="DD651" s="61" t="e">
        <v>#N/A</v>
      </c>
      <c r="DE651" s="61" t="e">
        <v>#N/A</v>
      </c>
      <c r="DF651" s="61" t="e">
        <v>#N/A</v>
      </c>
      <c r="DG651" s="61" t="e">
        <v>#N/A</v>
      </c>
      <c r="DH651" s="61" t="e">
        <v>#N/A</v>
      </c>
      <c r="DI651" s="61" t="e">
        <v>#N/A</v>
      </c>
      <c r="DJ651" s="61" t="e">
        <v>#N/A</v>
      </c>
    </row>
    <row r="652" spans="14:114">
      <c r="N652" s="61" t="str">
        <f t="shared" si="100"/>
        <v/>
      </c>
      <c r="O652" s="53" t="str">
        <f t="shared" si="101"/>
        <v>click</v>
      </c>
      <c r="P652" s="61" t="str">
        <f t="shared" ref="P652:P715" si="104">IF(OR(O652="Click",O652="innerText"),"();","("&amp;""""&amp;K652&amp;""""&amp;");")</f>
        <v>();</v>
      </c>
      <c r="Q652" s="61" t="str">
        <f t="shared" si="102"/>
        <v/>
      </c>
      <c r="R652" s="61" t="str">
        <f t="shared" si="98"/>
        <v/>
      </c>
      <c r="S652" s="61" t="str">
        <f t="shared" si="103"/>
        <v/>
      </c>
      <c r="CU652" s="61" t="e">
        <v>#N/A</v>
      </c>
      <c r="CV652" s="61" t="e">
        <v>#N/A</v>
      </c>
      <c r="CW652" s="61" t="e">
        <v>#N/A</v>
      </c>
      <c r="CX652" s="61" t="e">
        <v>#N/A</v>
      </c>
      <c r="CY652" s="61" t="e">
        <v>#N/A</v>
      </c>
      <c r="CZ652" s="61" t="e">
        <v>#N/A</v>
      </c>
      <c r="DA652" s="61" t="e">
        <v>#N/A</v>
      </c>
      <c r="DB652" s="61" t="e">
        <v>#N/A</v>
      </c>
      <c r="DC652" s="61" t="e">
        <v>#N/A</v>
      </c>
      <c r="DD652" s="61" t="e">
        <v>#N/A</v>
      </c>
      <c r="DE652" s="61" t="e">
        <v>#N/A</v>
      </c>
      <c r="DF652" s="61" t="e">
        <v>#N/A</v>
      </c>
      <c r="DG652" s="61" t="e">
        <v>#N/A</v>
      </c>
      <c r="DH652" s="61" t="e">
        <v>#N/A</v>
      </c>
      <c r="DI652" s="61" t="e">
        <v>#N/A</v>
      </c>
      <c r="DJ652" s="61" t="e">
        <v>#N/A</v>
      </c>
    </row>
    <row r="653" spans="14:114">
      <c r="N653" s="61" t="str">
        <f t="shared" si="100"/>
        <v/>
      </c>
      <c r="O653" s="53" t="str">
        <f t="shared" si="101"/>
        <v>click</v>
      </c>
      <c r="P653" s="61" t="str">
        <f t="shared" si="104"/>
        <v>();</v>
      </c>
      <c r="Q653" s="61" t="str">
        <f t="shared" si="102"/>
        <v/>
      </c>
      <c r="R653" s="61" t="str">
        <f t="shared" si="98"/>
        <v/>
      </c>
      <c r="S653" s="61" t="str">
        <f t="shared" si="103"/>
        <v/>
      </c>
      <c r="CU653" s="61" t="e">
        <v>#N/A</v>
      </c>
      <c r="CV653" s="61" t="e">
        <v>#N/A</v>
      </c>
      <c r="CW653" s="61" t="e">
        <v>#N/A</v>
      </c>
      <c r="CX653" s="61" t="e">
        <v>#N/A</v>
      </c>
      <c r="CY653" s="61" t="e">
        <v>#N/A</v>
      </c>
      <c r="CZ653" s="61" t="e">
        <v>#N/A</v>
      </c>
      <c r="DA653" s="61" t="e">
        <v>#N/A</v>
      </c>
      <c r="DB653" s="61" t="e">
        <v>#N/A</v>
      </c>
      <c r="DC653" s="61" t="e">
        <v>#N/A</v>
      </c>
      <c r="DD653" s="61" t="e">
        <v>#N/A</v>
      </c>
      <c r="DE653" s="61" t="e">
        <v>#N/A</v>
      </c>
      <c r="DF653" s="61" t="e">
        <v>#N/A</v>
      </c>
      <c r="DG653" s="61" t="e">
        <v>#N/A</v>
      </c>
      <c r="DH653" s="61" t="e">
        <v>#N/A</v>
      </c>
      <c r="DI653" s="61" t="e">
        <v>#N/A</v>
      </c>
      <c r="DJ653" s="61" t="e">
        <v>#N/A</v>
      </c>
    </row>
    <row r="654" spans="14:114">
      <c r="N654" s="61" t="str">
        <f t="shared" si="100"/>
        <v/>
      </c>
      <c r="O654" s="53" t="str">
        <f t="shared" si="101"/>
        <v>click</v>
      </c>
      <c r="P654" s="61" t="str">
        <f t="shared" si="104"/>
        <v>();</v>
      </c>
      <c r="Q654" s="61" t="str">
        <f t="shared" si="102"/>
        <v/>
      </c>
      <c r="R654" s="61" t="str">
        <f t="shared" si="98"/>
        <v/>
      </c>
      <c r="S654" s="61" t="str">
        <f t="shared" si="103"/>
        <v/>
      </c>
      <c r="CU654" s="61" t="e">
        <v>#N/A</v>
      </c>
      <c r="CV654" s="61" t="e">
        <v>#N/A</v>
      </c>
      <c r="CW654" s="61" t="e">
        <v>#N/A</v>
      </c>
      <c r="CX654" s="61" t="e">
        <v>#N/A</v>
      </c>
      <c r="CY654" s="61" t="e">
        <v>#N/A</v>
      </c>
      <c r="CZ654" s="61" t="e">
        <v>#N/A</v>
      </c>
      <c r="DA654" s="61" t="e">
        <v>#N/A</v>
      </c>
      <c r="DB654" s="61" t="e">
        <v>#N/A</v>
      </c>
      <c r="DC654" s="61" t="e">
        <v>#N/A</v>
      </c>
      <c r="DD654" s="61" t="e">
        <v>#N/A</v>
      </c>
      <c r="DE654" s="61" t="e">
        <v>#N/A</v>
      </c>
      <c r="DF654" s="61" t="e">
        <v>#N/A</v>
      </c>
      <c r="DG654" s="61" t="e">
        <v>#N/A</v>
      </c>
      <c r="DH654" s="61" t="e">
        <v>#N/A</v>
      </c>
      <c r="DI654" s="61" t="e">
        <v>#N/A</v>
      </c>
      <c r="DJ654" s="61" t="e">
        <v>#N/A</v>
      </c>
    </row>
    <row r="655" spans="14:114">
      <c r="N655" s="61" t="str">
        <f t="shared" si="100"/>
        <v/>
      </c>
      <c r="O655" s="53" t="str">
        <f t="shared" si="101"/>
        <v>click</v>
      </c>
      <c r="P655" s="61" t="str">
        <f t="shared" si="104"/>
        <v>();</v>
      </c>
      <c r="Q655" s="61" t="str">
        <f t="shared" si="102"/>
        <v/>
      </c>
      <c r="R655" s="61" t="str">
        <f t="shared" si="98"/>
        <v/>
      </c>
      <c r="S655" s="61" t="str">
        <f t="shared" si="103"/>
        <v/>
      </c>
      <c r="CU655" s="61" t="e">
        <v>#N/A</v>
      </c>
      <c r="CV655" s="61" t="e">
        <v>#N/A</v>
      </c>
      <c r="CW655" s="61" t="e">
        <v>#N/A</v>
      </c>
      <c r="CX655" s="61" t="e">
        <v>#N/A</v>
      </c>
      <c r="CY655" s="61" t="e">
        <v>#N/A</v>
      </c>
      <c r="CZ655" s="61" t="e">
        <v>#N/A</v>
      </c>
      <c r="DA655" s="61" t="e">
        <v>#N/A</v>
      </c>
      <c r="DB655" s="61" t="e">
        <v>#N/A</v>
      </c>
      <c r="DC655" s="61" t="e">
        <v>#N/A</v>
      </c>
      <c r="DD655" s="61" t="e">
        <v>#N/A</v>
      </c>
      <c r="DE655" s="61" t="e">
        <v>#N/A</v>
      </c>
      <c r="DF655" s="61" t="e">
        <v>#N/A</v>
      </c>
      <c r="DG655" s="61" t="e">
        <v>#N/A</v>
      </c>
      <c r="DH655" s="61" t="e">
        <v>#N/A</v>
      </c>
      <c r="DI655" s="61" t="e">
        <v>#N/A</v>
      </c>
      <c r="DJ655" s="61" t="e">
        <v>#N/A</v>
      </c>
    </row>
    <row r="656" spans="14:114">
      <c r="N656" s="61" t="str">
        <f t="shared" si="100"/>
        <v/>
      </c>
      <c r="O656" s="53" t="str">
        <f t="shared" si="101"/>
        <v>click</v>
      </c>
      <c r="P656" s="61" t="str">
        <f t="shared" si="104"/>
        <v>();</v>
      </c>
      <c r="Q656" s="61" t="str">
        <f t="shared" si="102"/>
        <v/>
      </c>
      <c r="R656" s="61" t="str">
        <f t="shared" si="98"/>
        <v/>
      </c>
      <c r="S656" s="61" t="str">
        <f t="shared" si="103"/>
        <v/>
      </c>
      <c r="CU656" s="61" t="e">
        <v>#N/A</v>
      </c>
      <c r="CV656" s="61" t="e">
        <v>#N/A</v>
      </c>
      <c r="CW656" s="61" t="e">
        <v>#N/A</v>
      </c>
      <c r="CX656" s="61" t="e">
        <v>#N/A</v>
      </c>
      <c r="CY656" s="61" t="e">
        <v>#N/A</v>
      </c>
      <c r="CZ656" s="61" t="e">
        <v>#N/A</v>
      </c>
      <c r="DA656" s="61" t="e">
        <v>#N/A</v>
      </c>
      <c r="DB656" s="61" t="e">
        <v>#N/A</v>
      </c>
      <c r="DC656" s="61" t="e">
        <v>#N/A</v>
      </c>
      <c r="DD656" s="61" t="e">
        <v>#N/A</v>
      </c>
      <c r="DE656" s="61" t="e">
        <v>#N/A</v>
      </c>
      <c r="DF656" s="61" t="e">
        <v>#N/A</v>
      </c>
      <c r="DG656" s="61" t="e">
        <v>#N/A</v>
      </c>
      <c r="DH656" s="61" t="e">
        <v>#N/A</v>
      </c>
      <c r="DI656" s="61" t="e">
        <v>#N/A</v>
      </c>
      <c r="DJ656" s="61" t="e">
        <v>#N/A</v>
      </c>
    </row>
    <row r="657" spans="14:114">
      <c r="N657" s="61" t="str">
        <f t="shared" si="100"/>
        <v/>
      </c>
      <c r="O657" s="53" t="str">
        <f t="shared" si="101"/>
        <v>click</v>
      </c>
      <c r="P657" s="61" t="str">
        <f t="shared" si="104"/>
        <v>();</v>
      </c>
      <c r="Q657" s="61" t="str">
        <f t="shared" si="102"/>
        <v/>
      </c>
      <c r="R657" s="61" t="str">
        <f t="shared" si="98"/>
        <v/>
      </c>
      <c r="S657" s="61" t="str">
        <f t="shared" si="103"/>
        <v/>
      </c>
      <c r="CU657" s="61" t="e">
        <v>#N/A</v>
      </c>
      <c r="CV657" s="61" t="e">
        <v>#N/A</v>
      </c>
      <c r="CW657" s="61" t="e">
        <v>#N/A</v>
      </c>
      <c r="CX657" s="61" t="e">
        <v>#N/A</v>
      </c>
      <c r="CY657" s="61" t="e">
        <v>#N/A</v>
      </c>
      <c r="CZ657" s="61" t="e">
        <v>#N/A</v>
      </c>
      <c r="DA657" s="61" t="e">
        <v>#N/A</v>
      </c>
      <c r="DB657" s="61" t="e">
        <v>#N/A</v>
      </c>
      <c r="DC657" s="61" t="e">
        <v>#N/A</v>
      </c>
      <c r="DD657" s="61" t="e">
        <v>#N/A</v>
      </c>
      <c r="DE657" s="61" t="e">
        <v>#N/A</v>
      </c>
      <c r="DF657" s="61" t="e">
        <v>#N/A</v>
      </c>
      <c r="DG657" s="61" t="e">
        <v>#N/A</v>
      </c>
      <c r="DH657" s="61" t="e">
        <v>#N/A</v>
      </c>
      <c r="DI657" s="61" t="e">
        <v>#N/A</v>
      </c>
      <c r="DJ657" s="61" t="e">
        <v>#N/A</v>
      </c>
    </row>
    <row r="658" spans="14:114">
      <c r="N658" s="61" t="str">
        <f t="shared" si="100"/>
        <v/>
      </c>
      <c r="O658" s="53" t="str">
        <f t="shared" si="101"/>
        <v>click</v>
      </c>
      <c r="P658" s="61" t="str">
        <f t="shared" si="104"/>
        <v>();</v>
      </c>
      <c r="Q658" s="61" t="str">
        <f t="shared" si="102"/>
        <v/>
      </c>
      <c r="R658" s="61" t="str">
        <f t="shared" si="98"/>
        <v/>
      </c>
      <c r="S658" s="61" t="str">
        <f t="shared" si="103"/>
        <v/>
      </c>
      <c r="CU658" s="61" t="e">
        <v>#N/A</v>
      </c>
      <c r="CV658" s="61" t="e">
        <v>#N/A</v>
      </c>
      <c r="CW658" s="61" t="e">
        <v>#N/A</v>
      </c>
      <c r="CX658" s="61" t="e">
        <v>#N/A</v>
      </c>
      <c r="CY658" s="61" t="e">
        <v>#N/A</v>
      </c>
      <c r="CZ658" s="61" t="e">
        <v>#N/A</v>
      </c>
      <c r="DA658" s="61" t="e">
        <v>#N/A</v>
      </c>
      <c r="DB658" s="61" t="e">
        <v>#N/A</v>
      </c>
      <c r="DC658" s="61" t="e">
        <v>#N/A</v>
      </c>
      <c r="DD658" s="61" t="e">
        <v>#N/A</v>
      </c>
      <c r="DE658" s="61" t="e">
        <v>#N/A</v>
      </c>
      <c r="DF658" s="61" t="e">
        <v>#N/A</v>
      </c>
      <c r="DG658" s="61" t="e">
        <v>#N/A</v>
      </c>
      <c r="DH658" s="61" t="e">
        <v>#N/A</v>
      </c>
      <c r="DI658" s="61" t="e">
        <v>#N/A</v>
      </c>
      <c r="DJ658" s="61" t="e">
        <v>#N/A</v>
      </c>
    </row>
    <row r="659" spans="14:114">
      <c r="N659" s="61" t="str">
        <f t="shared" si="100"/>
        <v/>
      </c>
      <c r="O659" s="53" t="str">
        <f t="shared" si="101"/>
        <v>click</v>
      </c>
      <c r="P659" s="61" t="str">
        <f t="shared" si="104"/>
        <v>();</v>
      </c>
      <c r="Q659" s="61" t="str">
        <f t="shared" si="102"/>
        <v/>
      </c>
      <c r="R659" s="61" t="str">
        <f t="shared" si="98"/>
        <v/>
      </c>
      <c r="S659" s="61" t="str">
        <f t="shared" si="103"/>
        <v/>
      </c>
      <c r="CU659" s="61" t="e">
        <v>#N/A</v>
      </c>
      <c r="CV659" s="61" t="e">
        <v>#N/A</v>
      </c>
      <c r="CW659" s="61" t="e">
        <v>#N/A</v>
      </c>
      <c r="CX659" s="61" t="e">
        <v>#N/A</v>
      </c>
      <c r="CY659" s="61" t="e">
        <v>#N/A</v>
      </c>
      <c r="CZ659" s="61" t="e">
        <v>#N/A</v>
      </c>
      <c r="DA659" s="61" t="e">
        <v>#N/A</v>
      </c>
      <c r="DB659" s="61" t="e">
        <v>#N/A</v>
      </c>
      <c r="DC659" s="61" t="e">
        <v>#N/A</v>
      </c>
      <c r="DD659" s="61" t="e">
        <v>#N/A</v>
      </c>
      <c r="DE659" s="61" t="e">
        <v>#N/A</v>
      </c>
      <c r="DF659" s="61" t="e">
        <v>#N/A</v>
      </c>
      <c r="DG659" s="61" t="e">
        <v>#N/A</v>
      </c>
      <c r="DH659" s="61" t="e">
        <v>#N/A</v>
      </c>
      <c r="DI659" s="61" t="e">
        <v>#N/A</v>
      </c>
      <c r="DJ659" s="61" t="e">
        <v>#N/A</v>
      </c>
    </row>
    <row r="660" spans="14:114">
      <c r="N660" s="61" t="str">
        <f t="shared" si="100"/>
        <v/>
      </c>
      <c r="O660" s="53" t="str">
        <f t="shared" si="101"/>
        <v>click</v>
      </c>
      <c r="P660" s="61" t="str">
        <f t="shared" si="104"/>
        <v>();</v>
      </c>
      <c r="Q660" s="61" t="str">
        <f t="shared" si="102"/>
        <v/>
      </c>
      <c r="R660" s="61" t="str">
        <f t="shared" si="98"/>
        <v/>
      </c>
      <c r="S660" s="61" t="str">
        <f t="shared" si="103"/>
        <v/>
      </c>
      <c r="CU660" s="61" t="e">
        <v>#N/A</v>
      </c>
      <c r="CV660" s="61" t="e">
        <v>#N/A</v>
      </c>
      <c r="CW660" s="61" t="e">
        <v>#N/A</v>
      </c>
      <c r="CX660" s="61" t="e">
        <v>#N/A</v>
      </c>
      <c r="CY660" s="61" t="e">
        <v>#N/A</v>
      </c>
      <c r="CZ660" s="61" t="e">
        <v>#N/A</v>
      </c>
      <c r="DA660" s="61" t="e">
        <v>#N/A</v>
      </c>
      <c r="DB660" s="61" t="e">
        <v>#N/A</v>
      </c>
      <c r="DC660" s="61" t="e">
        <v>#N/A</v>
      </c>
      <c r="DD660" s="61" t="e">
        <v>#N/A</v>
      </c>
      <c r="DE660" s="61" t="e">
        <v>#N/A</v>
      </c>
      <c r="DF660" s="61" t="e">
        <v>#N/A</v>
      </c>
      <c r="DG660" s="61" t="e">
        <v>#N/A</v>
      </c>
      <c r="DH660" s="61" t="e">
        <v>#N/A</v>
      </c>
      <c r="DI660" s="61" t="e">
        <v>#N/A</v>
      </c>
      <c r="DJ660" s="61" t="e">
        <v>#N/A</v>
      </c>
    </row>
    <row r="661" spans="14:114">
      <c r="N661" s="61" t="str">
        <f t="shared" si="100"/>
        <v/>
      </c>
      <c r="O661" s="53" t="str">
        <f t="shared" si="101"/>
        <v>click</v>
      </c>
      <c r="P661" s="61" t="str">
        <f t="shared" si="104"/>
        <v>();</v>
      </c>
      <c r="Q661" s="61" t="str">
        <f t="shared" si="102"/>
        <v/>
      </c>
      <c r="R661" s="61" t="str">
        <f t="shared" si="98"/>
        <v/>
      </c>
      <c r="S661" s="61" t="str">
        <f t="shared" si="103"/>
        <v/>
      </c>
      <c r="CU661" s="61" t="e">
        <v>#N/A</v>
      </c>
      <c r="CV661" s="61" t="e">
        <v>#N/A</v>
      </c>
      <c r="CW661" s="61" t="e">
        <v>#N/A</v>
      </c>
      <c r="CX661" s="61" t="e">
        <v>#N/A</v>
      </c>
      <c r="CY661" s="61" t="e">
        <v>#N/A</v>
      </c>
      <c r="CZ661" s="61" t="e">
        <v>#N/A</v>
      </c>
      <c r="DA661" s="61" t="e">
        <v>#N/A</v>
      </c>
      <c r="DB661" s="61" t="e">
        <v>#N/A</v>
      </c>
      <c r="DC661" s="61" t="e">
        <v>#N/A</v>
      </c>
      <c r="DD661" s="61" t="e">
        <v>#N/A</v>
      </c>
      <c r="DE661" s="61" t="e">
        <v>#N/A</v>
      </c>
      <c r="DF661" s="61" t="e">
        <v>#N/A</v>
      </c>
      <c r="DG661" s="61" t="e">
        <v>#N/A</v>
      </c>
      <c r="DH661" s="61" t="e">
        <v>#N/A</v>
      </c>
      <c r="DI661" s="61" t="e">
        <v>#N/A</v>
      </c>
      <c r="DJ661" s="61" t="e">
        <v>#N/A</v>
      </c>
    </row>
    <row r="662" spans="14:114">
      <c r="N662" s="61" t="str">
        <f t="shared" si="100"/>
        <v/>
      </c>
      <c r="O662" s="53" t="str">
        <f t="shared" si="101"/>
        <v>click</v>
      </c>
      <c r="P662" s="61" t="str">
        <f t="shared" si="104"/>
        <v>();</v>
      </c>
      <c r="Q662" s="61" t="str">
        <f t="shared" si="102"/>
        <v/>
      </c>
      <c r="R662" s="61" t="str">
        <f t="shared" si="98"/>
        <v/>
      </c>
      <c r="S662" s="61" t="str">
        <f t="shared" si="103"/>
        <v/>
      </c>
      <c r="CU662" s="61" t="e">
        <v>#N/A</v>
      </c>
      <c r="CV662" s="61" t="e">
        <v>#N/A</v>
      </c>
      <c r="CW662" s="61" t="e">
        <v>#N/A</v>
      </c>
      <c r="CX662" s="61" t="e">
        <v>#N/A</v>
      </c>
      <c r="CY662" s="61" t="e">
        <v>#N/A</v>
      </c>
      <c r="CZ662" s="61" t="e">
        <v>#N/A</v>
      </c>
      <c r="DA662" s="61" t="e">
        <v>#N/A</v>
      </c>
      <c r="DB662" s="61" t="e">
        <v>#N/A</v>
      </c>
      <c r="DC662" s="61" t="e">
        <v>#N/A</v>
      </c>
      <c r="DD662" s="61" t="e">
        <v>#N/A</v>
      </c>
      <c r="DE662" s="61" t="e">
        <v>#N/A</v>
      </c>
      <c r="DF662" s="61" t="e">
        <v>#N/A</v>
      </c>
      <c r="DG662" s="61" t="e">
        <v>#N/A</v>
      </c>
      <c r="DH662" s="61" t="e">
        <v>#N/A</v>
      </c>
      <c r="DI662" s="61" t="e">
        <v>#N/A</v>
      </c>
      <c r="DJ662" s="61" t="e">
        <v>#N/A</v>
      </c>
    </row>
    <row r="663" spans="14:114">
      <c r="N663" s="61" t="str">
        <f t="shared" si="100"/>
        <v/>
      </c>
      <c r="O663" s="53" t="str">
        <f t="shared" si="101"/>
        <v>click</v>
      </c>
      <c r="P663" s="61" t="str">
        <f t="shared" si="104"/>
        <v>();</v>
      </c>
      <c r="Q663" s="61" t="str">
        <f t="shared" si="102"/>
        <v/>
      </c>
      <c r="R663" s="61" t="str">
        <f t="shared" si="98"/>
        <v/>
      </c>
      <c r="S663" s="61" t="str">
        <f t="shared" si="103"/>
        <v/>
      </c>
      <c r="CU663" s="61" t="e">
        <v>#N/A</v>
      </c>
      <c r="CV663" s="61" t="e">
        <v>#N/A</v>
      </c>
      <c r="CW663" s="61" t="e">
        <v>#N/A</v>
      </c>
      <c r="CX663" s="61" t="e">
        <v>#N/A</v>
      </c>
      <c r="CY663" s="61" t="e">
        <v>#N/A</v>
      </c>
      <c r="CZ663" s="61" t="e">
        <v>#N/A</v>
      </c>
      <c r="DA663" s="61" t="e">
        <v>#N/A</v>
      </c>
      <c r="DB663" s="61" t="e">
        <v>#N/A</v>
      </c>
      <c r="DC663" s="61" t="e">
        <v>#N/A</v>
      </c>
      <c r="DD663" s="61" t="e">
        <v>#N/A</v>
      </c>
      <c r="DE663" s="61" t="e">
        <v>#N/A</v>
      </c>
      <c r="DF663" s="61" t="e">
        <v>#N/A</v>
      </c>
      <c r="DG663" s="61" t="e">
        <v>#N/A</v>
      </c>
      <c r="DH663" s="61" t="e">
        <v>#N/A</v>
      </c>
      <c r="DI663" s="61" t="e">
        <v>#N/A</v>
      </c>
      <c r="DJ663" s="61" t="e">
        <v>#N/A</v>
      </c>
    </row>
    <row r="664" spans="14:114">
      <c r="N664" s="61" t="str">
        <f t="shared" si="100"/>
        <v/>
      </c>
      <c r="O664" s="53" t="str">
        <f t="shared" si="101"/>
        <v>click</v>
      </c>
      <c r="P664" s="61" t="str">
        <f t="shared" si="104"/>
        <v>();</v>
      </c>
      <c r="Q664" s="61" t="str">
        <f t="shared" si="102"/>
        <v/>
      </c>
      <c r="R664" s="61" t="str">
        <f t="shared" si="98"/>
        <v/>
      </c>
      <c r="S664" s="61" t="str">
        <f t="shared" si="103"/>
        <v/>
      </c>
      <c r="CU664" s="61" t="e">
        <v>#N/A</v>
      </c>
      <c r="CV664" s="61" t="e">
        <v>#N/A</v>
      </c>
      <c r="CW664" s="61" t="e">
        <v>#N/A</v>
      </c>
      <c r="CX664" s="61" t="e">
        <v>#N/A</v>
      </c>
      <c r="CY664" s="61" t="e">
        <v>#N/A</v>
      </c>
      <c r="CZ664" s="61" t="e">
        <v>#N/A</v>
      </c>
      <c r="DA664" s="61" t="e">
        <v>#N/A</v>
      </c>
      <c r="DB664" s="61" t="e">
        <v>#N/A</v>
      </c>
      <c r="DC664" s="61" t="e">
        <v>#N/A</v>
      </c>
      <c r="DD664" s="61" t="e">
        <v>#N/A</v>
      </c>
      <c r="DE664" s="61" t="e">
        <v>#N/A</v>
      </c>
      <c r="DF664" s="61" t="e">
        <v>#N/A</v>
      </c>
      <c r="DG664" s="61" t="e">
        <v>#N/A</v>
      </c>
      <c r="DH664" s="61" t="e">
        <v>#N/A</v>
      </c>
      <c r="DI664" s="61" t="e">
        <v>#N/A</v>
      </c>
      <c r="DJ664" s="61" t="e">
        <v>#N/A</v>
      </c>
    </row>
    <row r="665" spans="14:114">
      <c r="N665" s="61" t="str">
        <f t="shared" si="100"/>
        <v/>
      </c>
      <c r="O665" s="53" t="str">
        <f t="shared" si="101"/>
        <v>click</v>
      </c>
      <c r="P665" s="61" t="str">
        <f t="shared" si="104"/>
        <v>();</v>
      </c>
      <c r="Q665" s="61" t="str">
        <f t="shared" si="102"/>
        <v/>
      </c>
      <c r="R665" s="61" t="str">
        <f t="shared" ref="R665:R728" si="105">IF(C665="Y",""""&amp;E665&amp;""""&amp;":"&amp;Q665&amp;";","")</f>
        <v/>
      </c>
      <c r="S665" s="61" t="str">
        <f t="shared" si="103"/>
        <v/>
      </c>
      <c r="CU665" s="61" t="e">
        <v>#N/A</v>
      </c>
      <c r="CV665" s="61" t="e">
        <v>#N/A</v>
      </c>
      <c r="CW665" s="61" t="e">
        <v>#N/A</v>
      </c>
      <c r="CX665" s="61" t="e">
        <v>#N/A</v>
      </c>
      <c r="CY665" s="61" t="e">
        <v>#N/A</v>
      </c>
      <c r="CZ665" s="61" t="e">
        <v>#N/A</v>
      </c>
      <c r="DA665" s="61" t="e">
        <v>#N/A</v>
      </c>
      <c r="DB665" s="61" t="e">
        <v>#N/A</v>
      </c>
      <c r="DC665" s="61" t="e">
        <v>#N/A</v>
      </c>
      <c r="DD665" s="61" t="e">
        <v>#N/A</v>
      </c>
      <c r="DE665" s="61" t="e">
        <v>#N/A</v>
      </c>
      <c r="DF665" s="61" t="e">
        <v>#N/A</v>
      </c>
      <c r="DG665" s="61" t="e">
        <v>#N/A</v>
      </c>
      <c r="DH665" s="61" t="e">
        <v>#N/A</v>
      </c>
      <c r="DI665" s="61" t="e">
        <v>#N/A</v>
      </c>
      <c r="DJ665" s="61" t="e">
        <v>#N/A</v>
      </c>
    </row>
    <row r="666" spans="14:114">
      <c r="N666" s="61" t="str">
        <f t="shared" si="100"/>
        <v/>
      </c>
      <c r="O666" s="53" t="str">
        <f t="shared" si="101"/>
        <v>click</v>
      </c>
      <c r="P666" s="61" t="str">
        <f t="shared" si="104"/>
        <v>();</v>
      </c>
      <c r="Q666" s="61" t="str">
        <f t="shared" si="102"/>
        <v/>
      </c>
      <c r="R666" s="61" t="str">
        <f t="shared" si="105"/>
        <v/>
      </c>
      <c r="S666" s="61" t="str">
        <f t="shared" si="103"/>
        <v/>
      </c>
      <c r="CU666" s="61" t="e">
        <v>#N/A</v>
      </c>
      <c r="CV666" s="61" t="e">
        <v>#N/A</v>
      </c>
      <c r="CW666" s="61" t="e">
        <v>#N/A</v>
      </c>
      <c r="CX666" s="61" t="e">
        <v>#N/A</v>
      </c>
      <c r="CY666" s="61" t="e">
        <v>#N/A</v>
      </c>
      <c r="CZ666" s="61" t="e">
        <v>#N/A</v>
      </c>
      <c r="DA666" s="61" t="e">
        <v>#N/A</v>
      </c>
      <c r="DB666" s="61" t="e">
        <v>#N/A</v>
      </c>
      <c r="DC666" s="61" t="e">
        <v>#N/A</v>
      </c>
      <c r="DD666" s="61" t="e">
        <v>#N/A</v>
      </c>
      <c r="DE666" s="61" t="e">
        <v>#N/A</v>
      </c>
      <c r="DF666" s="61" t="e">
        <v>#N/A</v>
      </c>
      <c r="DG666" s="61" t="e">
        <v>#N/A</v>
      </c>
      <c r="DH666" s="61" t="e">
        <v>#N/A</v>
      </c>
      <c r="DI666" s="61" t="e">
        <v>#N/A</v>
      </c>
      <c r="DJ666" s="61" t="e">
        <v>#N/A</v>
      </c>
    </row>
    <row r="667" spans="14:114">
      <c r="N667" s="61" t="str">
        <f t="shared" si="100"/>
        <v/>
      </c>
      <c r="O667" s="53" t="str">
        <f t="shared" si="101"/>
        <v>click</v>
      </c>
      <c r="P667" s="61" t="str">
        <f t="shared" si="104"/>
        <v>();</v>
      </c>
      <c r="Q667" s="61" t="str">
        <f t="shared" si="102"/>
        <v/>
      </c>
      <c r="R667" s="61" t="str">
        <f t="shared" si="105"/>
        <v/>
      </c>
      <c r="S667" s="61" t="str">
        <f t="shared" si="103"/>
        <v/>
      </c>
      <c r="CU667" s="61" t="e">
        <v>#N/A</v>
      </c>
      <c r="CV667" s="61" t="e">
        <v>#N/A</v>
      </c>
      <c r="CW667" s="61" t="e">
        <v>#N/A</v>
      </c>
      <c r="CX667" s="61" t="e">
        <v>#N/A</v>
      </c>
      <c r="CY667" s="61" t="e">
        <v>#N/A</v>
      </c>
      <c r="CZ667" s="61" t="e">
        <v>#N/A</v>
      </c>
      <c r="DA667" s="61" t="e">
        <v>#N/A</v>
      </c>
      <c r="DB667" s="61" t="e">
        <v>#N/A</v>
      </c>
      <c r="DC667" s="61" t="e">
        <v>#N/A</v>
      </c>
      <c r="DD667" s="61" t="e">
        <v>#N/A</v>
      </c>
      <c r="DE667" s="61" t="e">
        <v>#N/A</v>
      </c>
      <c r="DF667" s="61" t="e">
        <v>#N/A</v>
      </c>
      <c r="DG667" s="61" t="e">
        <v>#N/A</v>
      </c>
      <c r="DH667" s="61" t="e">
        <v>#N/A</v>
      </c>
      <c r="DI667" s="61" t="e">
        <v>#N/A</v>
      </c>
      <c r="DJ667" s="61" t="e">
        <v>#N/A</v>
      </c>
    </row>
    <row r="668" spans="14:114">
      <c r="N668" s="61" t="str">
        <f t="shared" si="100"/>
        <v/>
      </c>
      <c r="O668" s="53" t="str">
        <f t="shared" si="101"/>
        <v>click</v>
      </c>
      <c r="P668" s="61" t="str">
        <f t="shared" si="104"/>
        <v>();</v>
      </c>
      <c r="Q668" s="61" t="str">
        <f t="shared" si="102"/>
        <v/>
      </c>
      <c r="R668" s="61" t="str">
        <f t="shared" si="105"/>
        <v/>
      </c>
      <c r="S668" s="61" t="str">
        <f t="shared" si="103"/>
        <v/>
      </c>
      <c r="CU668" s="61" t="e">
        <v>#N/A</v>
      </c>
      <c r="CV668" s="61" t="e">
        <v>#N/A</v>
      </c>
      <c r="CW668" s="61" t="e">
        <v>#N/A</v>
      </c>
      <c r="CX668" s="61" t="e">
        <v>#N/A</v>
      </c>
      <c r="CY668" s="61" t="e">
        <v>#N/A</v>
      </c>
      <c r="CZ668" s="61" t="e">
        <v>#N/A</v>
      </c>
      <c r="DA668" s="61" t="e">
        <v>#N/A</v>
      </c>
      <c r="DB668" s="61" t="e">
        <v>#N/A</v>
      </c>
      <c r="DC668" s="61" t="e">
        <v>#N/A</v>
      </c>
      <c r="DD668" s="61" t="e">
        <v>#N/A</v>
      </c>
      <c r="DE668" s="61" t="e">
        <v>#N/A</v>
      </c>
      <c r="DF668" s="61" t="e">
        <v>#N/A</v>
      </c>
      <c r="DG668" s="61" t="e">
        <v>#N/A</v>
      </c>
      <c r="DH668" s="61" t="e">
        <v>#N/A</v>
      </c>
      <c r="DI668" s="61" t="e">
        <v>#N/A</v>
      </c>
      <c r="DJ668" s="61" t="e">
        <v>#N/A</v>
      </c>
    </row>
    <row r="669" spans="14:114">
      <c r="N669" s="61" t="str">
        <f t="shared" si="100"/>
        <v/>
      </c>
      <c r="O669" s="53" t="str">
        <f t="shared" si="101"/>
        <v>click</v>
      </c>
      <c r="P669" s="61" t="str">
        <f t="shared" si="104"/>
        <v>();</v>
      </c>
      <c r="Q669" s="61" t="str">
        <f t="shared" si="102"/>
        <v/>
      </c>
      <c r="R669" s="61" t="str">
        <f t="shared" si="105"/>
        <v/>
      </c>
      <c r="S669" s="61" t="str">
        <f t="shared" si="103"/>
        <v/>
      </c>
      <c r="CU669" s="61" t="e">
        <v>#N/A</v>
      </c>
      <c r="CV669" s="61" t="e">
        <v>#N/A</v>
      </c>
      <c r="CW669" s="61" t="e">
        <v>#N/A</v>
      </c>
      <c r="CX669" s="61" t="e">
        <v>#N/A</v>
      </c>
      <c r="CY669" s="61" t="e">
        <v>#N/A</v>
      </c>
      <c r="CZ669" s="61" t="e">
        <v>#N/A</v>
      </c>
      <c r="DA669" s="61" t="e">
        <v>#N/A</v>
      </c>
      <c r="DB669" s="61" t="e">
        <v>#N/A</v>
      </c>
      <c r="DC669" s="61" t="e">
        <v>#N/A</v>
      </c>
      <c r="DD669" s="61" t="e">
        <v>#N/A</v>
      </c>
      <c r="DE669" s="61" t="e">
        <v>#N/A</v>
      </c>
      <c r="DF669" s="61" t="e">
        <v>#N/A</v>
      </c>
      <c r="DG669" s="61" t="e">
        <v>#N/A</v>
      </c>
      <c r="DH669" s="61" t="e">
        <v>#N/A</v>
      </c>
      <c r="DI669" s="61" t="e">
        <v>#N/A</v>
      </c>
      <c r="DJ669" s="61" t="e">
        <v>#N/A</v>
      </c>
    </row>
    <row r="670" spans="14:114">
      <c r="N670" s="61" t="str">
        <f t="shared" si="100"/>
        <v/>
      </c>
      <c r="O670" s="53" t="str">
        <f t="shared" si="101"/>
        <v>click</v>
      </c>
      <c r="P670" s="61" t="str">
        <f t="shared" si="104"/>
        <v>();</v>
      </c>
      <c r="Q670" s="61" t="str">
        <f t="shared" si="102"/>
        <v/>
      </c>
      <c r="R670" s="61" t="str">
        <f t="shared" si="105"/>
        <v/>
      </c>
      <c r="S670" s="61" t="str">
        <f t="shared" si="103"/>
        <v/>
      </c>
      <c r="CU670" s="61" t="e">
        <v>#N/A</v>
      </c>
      <c r="CV670" s="61" t="e">
        <v>#N/A</v>
      </c>
      <c r="CW670" s="61" t="e">
        <v>#N/A</v>
      </c>
      <c r="CX670" s="61" t="e">
        <v>#N/A</v>
      </c>
      <c r="CY670" s="61" t="e">
        <v>#N/A</v>
      </c>
      <c r="CZ670" s="61" t="e">
        <v>#N/A</v>
      </c>
      <c r="DA670" s="61" t="e">
        <v>#N/A</v>
      </c>
      <c r="DB670" s="61" t="e">
        <v>#N/A</v>
      </c>
      <c r="DC670" s="61" t="e">
        <v>#N/A</v>
      </c>
      <c r="DD670" s="61" t="e">
        <v>#N/A</v>
      </c>
      <c r="DE670" s="61" t="e">
        <v>#N/A</v>
      </c>
      <c r="DF670" s="61" t="e">
        <v>#N/A</v>
      </c>
      <c r="DG670" s="61" t="e">
        <v>#N/A</v>
      </c>
      <c r="DH670" s="61" t="e">
        <v>#N/A</v>
      </c>
      <c r="DI670" s="61" t="e">
        <v>#N/A</v>
      </c>
      <c r="DJ670" s="61" t="e">
        <v>#N/A</v>
      </c>
    </row>
    <row r="671" spans="14:114">
      <c r="N671" s="61" t="str">
        <f t="shared" si="100"/>
        <v/>
      </c>
      <c r="O671" s="53" t="str">
        <f t="shared" si="101"/>
        <v>click</v>
      </c>
      <c r="P671" s="61" t="str">
        <f t="shared" si="104"/>
        <v>();</v>
      </c>
      <c r="Q671" s="61" t="str">
        <f t="shared" si="102"/>
        <v/>
      </c>
      <c r="R671" s="61" t="str">
        <f t="shared" si="105"/>
        <v/>
      </c>
      <c r="S671" s="61" t="str">
        <f t="shared" si="103"/>
        <v/>
      </c>
      <c r="CU671" s="61" t="e">
        <v>#N/A</v>
      </c>
      <c r="CV671" s="61" t="e">
        <v>#N/A</v>
      </c>
      <c r="CW671" s="61" t="e">
        <v>#N/A</v>
      </c>
      <c r="CX671" s="61" t="e">
        <v>#N/A</v>
      </c>
      <c r="CY671" s="61" t="e">
        <v>#N/A</v>
      </c>
      <c r="CZ671" s="61" t="e">
        <v>#N/A</v>
      </c>
      <c r="DA671" s="61" t="e">
        <v>#N/A</v>
      </c>
      <c r="DB671" s="61" t="e">
        <v>#N/A</v>
      </c>
      <c r="DC671" s="61" t="e">
        <v>#N/A</v>
      </c>
      <c r="DD671" s="61" t="e">
        <v>#N/A</v>
      </c>
      <c r="DE671" s="61" t="e">
        <v>#N/A</v>
      </c>
      <c r="DF671" s="61" t="e">
        <v>#N/A</v>
      </c>
      <c r="DG671" s="61" t="e">
        <v>#N/A</v>
      </c>
      <c r="DH671" s="61" t="e">
        <v>#N/A</v>
      </c>
      <c r="DI671" s="61" t="e">
        <v>#N/A</v>
      </c>
      <c r="DJ671" s="61" t="e">
        <v>#N/A</v>
      </c>
    </row>
    <row r="672" spans="14:114">
      <c r="N672" s="61" t="str">
        <f t="shared" si="100"/>
        <v/>
      </c>
      <c r="O672" s="53" t="str">
        <f t="shared" si="101"/>
        <v>click</v>
      </c>
      <c r="P672" s="61" t="str">
        <f t="shared" si="104"/>
        <v>();</v>
      </c>
      <c r="Q672" s="61" t="str">
        <f t="shared" si="102"/>
        <v/>
      </c>
      <c r="R672" s="61" t="str">
        <f t="shared" si="105"/>
        <v/>
      </c>
      <c r="S672" s="61" t="str">
        <f t="shared" si="103"/>
        <v/>
      </c>
      <c r="CU672" s="61" t="e">
        <v>#N/A</v>
      </c>
      <c r="CV672" s="61" t="e">
        <v>#N/A</v>
      </c>
      <c r="CW672" s="61" t="e">
        <v>#N/A</v>
      </c>
      <c r="CX672" s="61" t="e">
        <v>#N/A</v>
      </c>
      <c r="CY672" s="61" t="e">
        <v>#N/A</v>
      </c>
      <c r="CZ672" s="61" t="e">
        <v>#N/A</v>
      </c>
      <c r="DA672" s="61" t="e">
        <v>#N/A</v>
      </c>
      <c r="DB672" s="61" t="e">
        <v>#N/A</v>
      </c>
      <c r="DC672" s="61" t="e">
        <v>#N/A</v>
      </c>
      <c r="DD672" s="61" t="e">
        <v>#N/A</v>
      </c>
      <c r="DE672" s="61" t="e">
        <v>#N/A</v>
      </c>
      <c r="DF672" s="61" t="e">
        <v>#N/A</v>
      </c>
      <c r="DG672" s="61" t="e">
        <v>#N/A</v>
      </c>
      <c r="DH672" s="61" t="e">
        <v>#N/A</v>
      </c>
      <c r="DI672" s="61" t="e">
        <v>#N/A</v>
      </c>
      <c r="DJ672" s="61" t="e">
        <v>#N/A</v>
      </c>
    </row>
    <row r="673" spans="14:114">
      <c r="N673" s="61" t="str">
        <f t="shared" si="100"/>
        <v/>
      </c>
      <c r="O673" s="53" t="str">
        <f t="shared" si="101"/>
        <v>click</v>
      </c>
      <c r="P673" s="61" t="str">
        <f t="shared" si="104"/>
        <v>();</v>
      </c>
      <c r="Q673" s="61" t="str">
        <f t="shared" si="102"/>
        <v/>
      </c>
      <c r="R673" s="61" t="str">
        <f t="shared" si="105"/>
        <v/>
      </c>
      <c r="S673" s="61" t="str">
        <f t="shared" si="103"/>
        <v/>
      </c>
      <c r="CU673" s="61" t="e">
        <v>#N/A</v>
      </c>
      <c r="CV673" s="61" t="e">
        <v>#N/A</v>
      </c>
      <c r="CW673" s="61" t="e">
        <v>#N/A</v>
      </c>
      <c r="CX673" s="61" t="e">
        <v>#N/A</v>
      </c>
      <c r="CY673" s="61" t="e">
        <v>#N/A</v>
      </c>
      <c r="CZ673" s="61" t="e">
        <v>#N/A</v>
      </c>
      <c r="DA673" s="61" t="e">
        <v>#N/A</v>
      </c>
      <c r="DB673" s="61" t="e">
        <v>#N/A</v>
      </c>
      <c r="DC673" s="61" t="e">
        <v>#N/A</v>
      </c>
      <c r="DD673" s="61" t="e">
        <v>#N/A</v>
      </c>
      <c r="DE673" s="61" t="e">
        <v>#N/A</v>
      </c>
      <c r="DF673" s="61" t="e">
        <v>#N/A</v>
      </c>
      <c r="DG673" s="61" t="e">
        <v>#N/A</v>
      </c>
      <c r="DH673" s="61" t="e">
        <v>#N/A</v>
      </c>
      <c r="DI673" s="61" t="e">
        <v>#N/A</v>
      </c>
      <c r="DJ673" s="61" t="e">
        <v>#N/A</v>
      </c>
    </row>
    <row r="674" spans="14:114">
      <c r="N674" s="61" t="str">
        <f t="shared" si="100"/>
        <v/>
      </c>
      <c r="O674" s="53" t="str">
        <f t="shared" si="101"/>
        <v>click</v>
      </c>
      <c r="P674" s="61" t="str">
        <f t="shared" si="104"/>
        <v>();</v>
      </c>
      <c r="Q674" s="61" t="str">
        <f t="shared" si="102"/>
        <v/>
      </c>
      <c r="R674" s="61" t="str">
        <f t="shared" si="105"/>
        <v/>
      </c>
      <c r="S674" s="61" t="str">
        <f t="shared" si="103"/>
        <v/>
      </c>
      <c r="CU674" s="61" t="e">
        <v>#N/A</v>
      </c>
      <c r="CV674" s="61" t="e">
        <v>#N/A</v>
      </c>
      <c r="CW674" s="61" t="e">
        <v>#N/A</v>
      </c>
      <c r="CX674" s="61" t="e">
        <v>#N/A</v>
      </c>
      <c r="CY674" s="61" t="e">
        <v>#N/A</v>
      </c>
      <c r="CZ674" s="61" t="e">
        <v>#N/A</v>
      </c>
      <c r="DA674" s="61" t="e">
        <v>#N/A</v>
      </c>
      <c r="DB674" s="61" t="e">
        <v>#N/A</v>
      </c>
      <c r="DC674" s="61" t="e">
        <v>#N/A</v>
      </c>
      <c r="DD674" s="61" t="e">
        <v>#N/A</v>
      </c>
      <c r="DE674" s="61" t="e">
        <v>#N/A</v>
      </c>
      <c r="DF674" s="61" t="e">
        <v>#N/A</v>
      </c>
      <c r="DG674" s="61" t="e">
        <v>#N/A</v>
      </c>
      <c r="DH674" s="61" t="e">
        <v>#N/A</v>
      </c>
      <c r="DI674" s="61" t="e">
        <v>#N/A</v>
      </c>
      <c r="DJ674" s="61" t="e">
        <v>#N/A</v>
      </c>
    </row>
    <row r="675" spans="14:114">
      <c r="N675" s="61" t="str">
        <f t="shared" si="100"/>
        <v/>
      </c>
      <c r="O675" s="53" t="str">
        <f t="shared" si="101"/>
        <v>click</v>
      </c>
      <c r="P675" s="61" t="str">
        <f t="shared" si="104"/>
        <v>();</v>
      </c>
      <c r="Q675" s="61" t="str">
        <f t="shared" si="102"/>
        <v/>
      </c>
      <c r="R675" s="61" t="str">
        <f t="shared" si="105"/>
        <v/>
      </c>
      <c r="S675" s="61" t="str">
        <f t="shared" si="103"/>
        <v/>
      </c>
      <c r="CU675" s="61" t="e">
        <v>#N/A</v>
      </c>
      <c r="CV675" s="61" t="e">
        <v>#N/A</v>
      </c>
      <c r="CW675" s="61" t="e">
        <v>#N/A</v>
      </c>
      <c r="CX675" s="61" t="e">
        <v>#N/A</v>
      </c>
      <c r="CY675" s="61" t="e">
        <v>#N/A</v>
      </c>
      <c r="CZ675" s="61" t="e">
        <v>#N/A</v>
      </c>
      <c r="DA675" s="61" t="e">
        <v>#N/A</v>
      </c>
      <c r="DB675" s="61" t="e">
        <v>#N/A</v>
      </c>
      <c r="DC675" s="61" t="e">
        <v>#N/A</v>
      </c>
      <c r="DD675" s="61" t="e">
        <v>#N/A</v>
      </c>
      <c r="DE675" s="61" t="e">
        <v>#N/A</v>
      </c>
      <c r="DF675" s="61" t="e">
        <v>#N/A</v>
      </c>
      <c r="DG675" s="61" t="e">
        <v>#N/A</v>
      </c>
      <c r="DH675" s="61" t="e">
        <v>#N/A</v>
      </c>
      <c r="DI675" s="61" t="e">
        <v>#N/A</v>
      </c>
      <c r="DJ675" s="61" t="e">
        <v>#N/A</v>
      </c>
    </row>
    <row r="676" spans="14:114">
      <c r="N676" s="61" t="str">
        <f t="shared" si="100"/>
        <v/>
      </c>
      <c r="O676" s="53" t="str">
        <f t="shared" si="101"/>
        <v>click</v>
      </c>
      <c r="P676" s="61" t="str">
        <f t="shared" si="104"/>
        <v>();</v>
      </c>
      <c r="Q676" s="61" t="str">
        <f t="shared" si="102"/>
        <v/>
      </c>
      <c r="R676" s="61" t="str">
        <f t="shared" si="105"/>
        <v/>
      </c>
      <c r="S676" s="61" t="str">
        <f t="shared" si="103"/>
        <v/>
      </c>
      <c r="CU676" s="61" t="e">
        <v>#N/A</v>
      </c>
      <c r="CV676" s="61" t="e">
        <v>#N/A</v>
      </c>
      <c r="CW676" s="61" t="e">
        <v>#N/A</v>
      </c>
      <c r="CX676" s="61" t="e">
        <v>#N/A</v>
      </c>
      <c r="CY676" s="61" t="e">
        <v>#N/A</v>
      </c>
      <c r="CZ676" s="61" t="e">
        <v>#N/A</v>
      </c>
      <c r="DA676" s="61" t="e">
        <v>#N/A</v>
      </c>
      <c r="DB676" s="61" t="e">
        <v>#N/A</v>
      </c>
      <c r="DC676" s="61" t="e">
        <v>#N/A</v>
      </c>
      <c r="DD676" s="61" t="e">
        <v>#N/A</v>
      </c>
      <c r="DE676" s="61" t="e">
        <v>#N/A</v>
      </c>
      <c r="DF676" s="61" t="e">
        <v>#N/A</v>
      </c>
      <c r="DG676" s="61" t="e">
        <v>#N/A</v>
      </c>
      <c r="DH676" s="61" t="e">
        <v>#N/A</v>
      </c>
      <c r="DI676" s="61" t="e">
        <v>#N/A</v>
      </c>
      <c r="DJ676" s="61" t="e">
        <v>#N/A</v>
      </c>
    </row>
    <row r="677" spans="14:114">
      <c r="N677" s="61" t="str">
        <f t="shared" si="100"/>
        <v/>
      </c>
      <c r="O677" s="53" t="str">
        <f t="shared" si="101"/>
        <v>click</v>
      </c>
      <c r="P677" s="61" t="str">
        <f t="shared" si="104"/>
        <v>();</v>
      </c>
      <c r="Q677" s="61" t="str">
        <f t="shared" ref="Q677:Q708" si="106">IF(A677="Y",IF(H677&lt;&gt;"Xpath",M677&amp;F677&amp;N677,""""&amp;F677&amp;""""),"")</f>
        <v/>
      </c>
      <c r="R677" s="61" t="str">
        <f t="shared" si="105"/>
        <v/>
      </c>
      <c r="S677" s="61" t="str">
        <f t="shared" si="103"/>
        <v/>
      </c>
      <c r="CU677" s="61" t="e">
        <v>#N/A</v>
      </c>
      <c r="CV677" s="61" t="e">
        <v>#N/A</v>
      </c>
      <c r="CW677" s="61" t="e">
        <v>#N/A</v>
      </c>
      <c r="CX677" s="61" t="e">
        <v>#N/A</v>
      </c>
      <c r="CY677" s="61" t="e">
        <v>#N/A</v>
      </c>
      <c r="CZ677" s="61" t="e">
        <v>#N/A</v>
      </c>
      <c r="DA677" s="61" t="e">
        <v>#N/A</v>
      </c>
      <c r="DB677" s="61" t="e">
        <v>#N/A</v>
      </c>
      <c r="DC677" s="61" t="e">
        <v>#N/A</v>
      </c>
      <c r="DD677" s="61" t="e">
        <v>#N/A</v>
      </c>
      <c r="DE677" s="61" t="e">
        <v>#N/A</v>
      </c>
      <c r="DF677" s="61" t="e">
        <v>#N/A</v>
      </c>
      <c r="DG677" s="61" t="e">
        <v>#N/A</v>
      </c>
      <c r="DH677" s="61" t="e">
        <v>#N/A</v>
      </c>
      <c r="DI677" s="61" t="e">
        <v>#N/A</v>
      </c>
      <c r="DJ677" s="61" t="e">
        <v>#N/A</v>
      </c>
    </row>
    <row r="678" spans="14:114">
      <c r="N678" s="61" t="str">
        <f t="shared" si="100"/>
        <v/>
      </c>
      <c r="O678" s="53" t="str">
        <f t="shared" si="101"/>
        <v>click</v>
      </c>
      <c r="P678" s="61" t="str">
        <f t="shared" si="104"/>
        <v>();</v>
      </c>
      <c r="Q678" s="61" t="str">
        <f t="shared" si="106"/>
        <v/>
      </c>
      <c r="R678" s="61" t="str">
        <f t="shared" si="105"/>
        <v/>
      </c>
      <c r="S678" s="61" t="str">
        <f t="shared" si="103"/>
        <v/>
      </c>
      <c r="CU678" s="61" t="e">
        <v>#N/A</v>
      </c>
      <c r="CV678" s="61" t="e">
        <v>#N/A</v>
      </c>
      <c r="CW678" s="61" t="e">
        <v>#N/A</v>
      </c>
      <c r="CX678" s="61" t="e">
        <v>#N/A</v>
      </c>
      <c r="CY678" s="61" t="e">
        <v>#N/A</v>
      </c>
      <c r="CZ678" s="61" t="e">
        <v>#N/A</v>
      </c>
      <c r="DA678" s="61" t="e">
        <v>#N/A</v>
      </c>
      <c r="DB678" s="61" t="e">
        <v>#N/A</v>
      </c>
      <c r="DC678" s="61" t="e">
        <v>#N/A</v>
      </c>
      <c r="DD678" s="61" t="e">
        <v>#N/A</v>
      </c>
      <c r="DE678" s="61" t="e">
        <v>#N/A</v>
      </c>
      <c r="DF678" s="61" t="e">
        <v>#N/A</v>
      </c>
      <c r="DG678" s="61" t="e">
        <v>#N/A</v>
      </c>
      <c r="DH678" s="61" t="e">
        <v>#N/A</v>
      </c>
      <c r="DI678" s="61" t="e">
        <v>#N/A</v>
      </c>
      <c r="DJ678" s="61" t="e">
        <v>#N/A</v>
      </c>
    </row>
    <row r="679" spans="14:114">
      <c r="N679" s="61" t="str">
        <f t="shared" si="100"/>
        <v/>
      </c>
      <c r="O679" s="53" t="str">
        <f t="shared" si="101"/>
        <v>click</v>
      </c>
      <c r="P679" s="61" t="str">
        <f t="shared" si="104"/>
        <v>();</v>
      </c>
      <c r="Q679" s="61" t="str">
        <f t="shared" si="106"/>
        <v/>
      </c>
      <c r="R679" s="61" t="str">
        <f t="shared" si="105"/>
        <v/>
      </c>
      <c r="S679" s="61" t="str">
        <f t="shared" si="103"/>
        <v/>
      </c>
      <c r="CU679" s="61" t="e">
        <v>#N/A</v>
      </c>
      <c r="CV679" s="61" t="e">
        <v>#N/A</v>
      </c>
      <c r="CW679" s="61" t="e">
        <v>#N/A</v>
      </c>
      <c r="CX679" s="61" t="e">
        <v>#N/A</v>
      </c>
      <c r="CY679" s="61" t="e">
        <v>#N/A</v>
      </c>
      <c r="CZ679" s="61" t="e">
        <v>#N/A</v>
      </c>
      <c r="DA679" s="61" t="e">
        <v>#N/A</v>
      </c>
      <c r="DB679" s="61" t="e">
        <v>#N/A</v>
      </c>
      <c r="DC679" s="61" t="e">
        <v>#N/A</v>
      </c>
      <c r="DD679" s="61" t="e">
        <v>#N/A</v>
      </c>
      <c r="DE679" s="61" t="e">
        <v>#N/A</v>
      </c>
      <c r="DF679" s="61" t="e">
        <v>#N/A</v>
      </c>
      <c r="DG679" s="61" t="e">
        <v>#N/A</v>
      </c>
      <c r="DH679" s="61" t="e">
        <v>#N/A</v>
      </c>
      <c r="DI679" s="61" t="e">
        <v>#N/A</v>
      </c>
      <c r="DJ679" s="61" t="e">
        <v>#N/A</v>
      </c>
    </row>
    <row r="680" spans="14:114">
      <c r="N680" s="61" t="str">
        <f t="shared" si="100"/>
        <v/>
      </c>
      <c r="O680" s="53" t="str">
        <f t="shared" si="101"/>
        <v>click</v>
      </c>
      <c r="P680" s="61" t="str">
        <f t="shared" si="104"/>
        <v>();</v>
      </c>
      <c r="Q680" s="61" t="str">
        <f t="shared" si="106"/>
        <v/>
      </c>
      <c r="R680" s="61" t="str">
        <f t="shared" si="105"/>
        <v/>
      </c>
      <c r="S680" s="61" t="str">
        <f t="shared" si="103"/>
        <v/>
      </c>
      <c r="CU680" s="61" t="e">
        <v>#N/A</v>
      </c>
      <c r="CV680" s="61" t="e">
        <v>#N/A</v>
      </c>
      <c r="CW680" s="61" t="e">
        <v>#N/A</v>
      </c>
      <c r="CX680" s="61" t="e">
        <v>#N/A</v>
      </c>
      <c r="CY680" s="61" t="e">
        <v>#N/A</v>
      </c>
      <c r="CZ680" s="61" t="e">
        <v>#N/A</v>
      </c>
      <c r="DA680" s="61" t="e">
        <v>#N/A</v>
      </c>
      <c r="DB680" s="61" t="e">
        <v>#N/A</v>
      </c>
      <c r="DC680" s="61" t="e">
        <v>#N/A</v>
      </c>
      <c r="DD680" s="61" t="e">
        <v>#N/A</v>
      </c>
      <c r="DE680" s="61" t="e">
        <v>#N/A</v>
      </c>
      <c r="DF680" s="61" t="e">
        <v>#N/A</v>
      </c>
      <c r="DG680" s="61" t="e">
        <v>#N/A</v>
      </c>
      <c r="DH680" s="61" t="e">
        <v>#N/A</v>
      </c>
      <c r="DI680" s="61" t="e">
        <v>#N/A</v>
      </c>
      <c r="DJ680" s="61" t="e">
        <v>#N/A</v>
      </c>
    </row>
    <row r="681" spans="14:114">
      <c r="N681" s="61" t="str">
        <f t="shared" si="100"/>
        <v/>
      </c>
      <c r="O681" s="53" t="str">
        <f t="shared" si="101"/>
        <v>click</v>
      </c>
      <c r="P681" s="61" t="str">
        <f t="shared" si="104"/>
        <v>();</v>
      </c>
      <c r="Q681" s="61" t="str">
        <f t="shared" si="106"/>
        <v/>
      </c>
      <c r="R681" s="61" t="str">
        <f t="shared" si="105"/>
        <v/>
      </c>
      <c r="S681" s="61" t="str">
        <f t="shared" si="103"/>
        <v/>
      </c>
      <c r="CU681" s="61" t="e">
        <v>#N/A</v>
      </c>
      <c r="CV681" s="61" t="e">
        <v>#N/A</v>
      </c>
      <c r="CW681" s="61" t="e">
        <v>#N/A</v>
      </c>
      <c r="CX681" s="61" t="e">
        <v>#N/A</v>
      </c>
      <c r="CY681" s="61" t="e">
        <v>#N/A</v>
      </c>
      <c r="CZ681" s="61" t="e">
        <v>#N/A</v>
      </c>
      <c r="DA681" s="61" t="e">
        <v>#N/A</v>
      </c>
      <c r="DB681" s="61" t="e">
        <v>#N/A</v>
      </c>
      <c r="DC681" s="61" t="e">
        <v>#N/A</v>
      </c>
      <c r="DD681" s="61" t="e">
        <v>#N/A</v>
      </c>
      <c r="DE681" s="61" t="e">
        <v>#N/A</v>
      </c>
      <c r="DF681" s="61" t="e">
        <v>#N/A</v>
      </c>
      <c r="DG681" s="61" t="e">
        <v>#N/A</v>
      </c>
      <c r="DH681" s="61" t="e">
        <v>#N/A</v>
      </c>
      <c r="DI681" s="61" t="e">
        <v>#N/A</v>
      </c>
      <c r="DJ681" s="61" t="e">
        <v>#N/A</v>
      </c>
    </row>
    <row r="682" spans="14:114">
      <c r="N682" s="61" t="str">
        <f t="shared" si="100"/>
        <v/>
      </c>
      <c r="O682" s="53" t="str">
        <f t="shared" si="101"/>
        <v>click</v>
      </c>
      <c r="P682" s="61" t="str">
        <f t="shared" si="104"/>
        <v>();</v>
      </c>
      <c r="Q682" s="61" t="str">
        <f t="shared" si="106"/>
        <v/>
      </c>
      <c r="R682" s="61" t="str">
        <f t="shared" si="105"/>
        <v/>
      </c>
      <c r="S682" s="61" t="str">
        <f t="shared" si="103"/>
        <v/>
      </c>
      <c r="CU682" s="61" t="e">
        <v>#N/A</v>
      </c>
      <c r="CV682" s="61" t="e">
        <v>#N/A</v>
      </c>
      <c r="CW682" s="61" t="e">
        <v>#N/A</v>
      </c>
      <c r="CX682" s="61" t="e">
        <v>#N/A</v>
      </c>
      <c r="CY682" s="61" t="e">
        <v>#N/A</v>
      </c>
      <c r="CZ682" s="61" t="e">
        <v>#N/A</v>
      </c>
      <c r="DA682" s="61" t="e">
        <v>#N/A</v>
      </c>
      <c r="DB682" s="61" t="e">
        <v>#N/A</v>
      </c>
      <c r="DC682" s="61" t="e">
        <v>#N/A</v>
      </c>
      <c r="DD682" s="61" t="e">
        <v>#N/A</v>
      </c>
      <c r="DE682" s="61" t="e">
        <v>#N/A</v>
      </c>
      <c r="DF682" s="61" t="e">
        <v>#N/A</v>
      </c>
      <c r="DG682" s="61" t="e">
        <v>#N/A</v>
      </c>
      <c r="DH682" s="61" t="e">
        <v>#N/A</v>
      </c>
      <c r="DI682" s="61" t="e">
        <v>#N/A</v>
      </c>
      <c r="DJ682" s="61" t="e">
        <v>#N/A</v>
      </c>
    </row>
    <row r="683" spans="14:114">
      <c r="N683" s="61" t="str">
        <f t="shared" si="100"/>
        <v/>
      </c>
      <c r="O683" s="53" t="str">
        <f t="shared" si="101"/>
        <v>click</v>
      </c>
      <c r="P683" s="61" t="str">
        <f t="shared" si="104"/>
        <v>();</v>
      </c>
      <c r="Q683" s="61" t="str">
        <f t="shared" si="106"/>
        <v/>
      </c>
      <c r="R683" s="61" t="str">
        <f t="shared" si="105"/>
        <v/>
      </c>
      <c r="S683" s="61" t="str">
        <f t="shared" si="103"/>
        <v/>
      </c>
      <c r="CU683" s="61" t="e">
        <v>#N/A</v>
      </c>
      <c r="CV683" s="61" t="e">
        <v>#N/A</v>
      </c>
      <c r="CW683" s="61" t="e">
        <v>#N/A</v>
      </c>
      <c r="CX683" s="61" t="e">
        <v>#N/A</v>
      </c>
      <c r="CY683" s="61" t="e">
        <v>#N/A</v>
      </c>
      <c r="CZ683" s="61" t="e">
        <v>#N/A</v>
      </c>
      <c r="DA683" s="61" t="e">
        <v>#N/A</v>
      </c>
      <c r="DB683" s="61" t="e">
        <v>#N/A</v>
      </c>
      <c r="DC683" s="61" t="e">
        <v>#N/A</v>
      </c>
      <c r="DD683" s="61" t="e">
        <v>#N/A</v>
      </c>
      <c r="DE683" s="61" t="e">
        <v>#N/A</v>
      </c>
      <c r="DF683" s="61" t="e">
        <v>#N/A</v>
      </c>
      <c r="DG683" s="61" t="e">
        <v>#N/A</v>
      </c>
      <c r="DH683" s="61" t="e">
        <v>#N/A</v>
      </c>
      <c r="DI683" s="61" t="e">
        <v>#N/A</v>
      </c>
      <c r="DJ683" s="61" t="e">
        <v>#N/A</v>
      </c>
    </row>
    <row r="684" spans="14:114">
      <c r="N684" s="61" t="str">
        <f t="shared" si="100"/>
        <v/>
      </c>
      <c r="O684" s="53" t="str">
        <f t="shared" si="101"/>
        <v>click</v>
      </c>
      <c r="P684" s="61" t="str">
        <f t="shared" si="104"/>
        <v>();</v>
      </c>
      <c r="Q684" s="61" t="str">
        <f t="shared" si="106"/>
        <v/>
      </c>
      <c r="R684" s="61" t="str">
        <f t="shared" si="105"/>
        <v/>
      </c>
      <c r="S684" s="61" t="str">
        <f t="shared" si="103"/>
        <v/>
      </c>
      <c r="CU684" s="61" t="e">
        <v>#N/A</v>
      </c>
      <c r="CV684" s="61" t="e">
        <v>#N/A</v>
      </c>
      <c r="CW684" s="61" t="e">
        <v>#N/A</v>
      </c>
      <c r="CX684" s="61" t="e">
        <v>#N/A</v>
      </c>
      <c r="CY684" s="61" t="e">
        <v>#N/A</v>
      </c>
      <c r="CZ684" s="61" t="e">
        <v>#N/A</v>
      </c>
      <c r="DA684" s="61" t="e">
        <v>#N/A</v>
      </c>
      <c r="DB684" s="61" t="e">
        <v>#N/A</v>
      </c>
      <c r="DC684" s="61" t="e">
        <v>#N/A</v>
      </c>
      <c r="DD684" s="61" t="e">
        <v>#N/A</v>
      </c>
      <c r="DE684" s="61" t="e">
        <v>#N/A</v>
      </c>
      <c r="DF684" s="61" t="e">
        <v>#N/A</v>
      </c>
      <c r="DG684" s="61" t="e">
        <v>#N/A</v>
      </c>
      <c r="DH684" s="61" t="e">
        <v>#N/A</v>
      </c>
      <c r="DI684" s="61" t="e">
        <v>#N/A</v>
      </c>
      <c r="DJ684" s="61" t="e">
        <v>#N/A</v>
      </c>
    </row>
    <row r="685" spans="14:114">
      <c r="N685" s="61" t="str">
        <f t="shared" si="100"/>
        <v/>
      </c>
      <c r="O685" s="53" t="str">
        <f t="shared" si="101"/>
        <v>click</v>
      </c>
      <c r="P685" s="61" t="str">
        <f t="shared" si="104"/>
        <v>();</v>
      </c>
      <c r="Q685" s="61" t="str">
        <f t="shared" si="106"/>
        <v/>
      </c>
      <c r="R685" s="61" t="str">
        <f t="shared" si="105"/>
        <v/>
      </c>
      <c r="S685" s="61" t="str">
        <f t="shared" si="103"/>
        <v/>
      </c>
      <c r="CU685" s="61" t="e">
        <v>#N/A</v>
      </c>
      <c r="CV685" s="61" t="e">
        <v>#N/A</v>
      </c>
      <c r="CW685" s="61" t="e">
        <v>#N/A</v>
      </c>
      <c r="CX685" s="61" t="e">
        <v>#N/A</v>
      </c>
      <c r="CY685" s="61" t="e">
        <v>#N/A</v>
      </c>
      <c r="CZ685" s="61" t="e">
        <v>#N/A</v>
      </c>
      <c r="DA685" s="61" t="e">
        <v>#N/A</v>
      </c>
      <c r="DB685" s="61" t="e">
        <v>#N/A</v>
      </c>
      <c r="DC685" s="61" t="e">
        <v>#N/A</v>
      </c>
      <c r="DD685" s="61" t="e">
        <v>#N/A</v>
      </c>
      <c r="DE685" s="61" t="e">
        <v>#N/A</v>
      </c>
      <c r="DF685" s="61" t="e">
        <v>#N/A</v>
      </c>
      <c r="DG685" s="61" t="e">
        <v>#N/A</v>
      </c>
      <c r="DH685" s="61" t="e">
        <v>#N/A</v>
      </c>
      <c r="DI685" s="61" t="e">
        <v>#N/A</v>
      </c>
      <c r="DJ685" s="61" t="e">
        <v>#N/A</v>
      </c>
    </row>
    <row r="686" spans="14:114">
      <c r="N686" s="61" t="str">
        <f t="shared" si="100"/>
        <v/>
      </c>
      <c r="O686" s="53" t="str">
        <f t="shared" si="101"/>
        <v>click</v>
      </c>
      <c r="P686" s="61" t="str">
        <f t="shared" si="104"/>
        <v>();</v>
      </c>
      <c r="Q686" s="61" t="str">
        <f t="shared" si="106"/>
        <v/>
      </c>
      <c r="R686" s="61" t="str">
        <f t="shared" si="105"/>
        <v/>
      </c>
      <c r="S686" s="61" t="str">
        <f t="shared" si="103"/>
        <v/>
      </c>
      <c r="CU686" s="61" t="e">
        <v>#N/A</v>
      </c>
      <c r="CV686" s="61" t="e">
        <v>#N/A</v>
      </c>
      <c r="CW686" s="61" t="e">
        <v>#N/A</v>
      </c>
      <c r="CX686" s="61" t="e">
        <v>#N/A</v>
      </c>
      <c r="CY686" s="61" t="e">
        <v>#N/A</v>
      </c>
      <c r="CZ686" s="61" t="e">
        <v>#N/A</v>
      </c>
      <c r="DA686" s="61" t="e">
        <v>#N/A</v>
      </c>
      <c r="DB686" s="61" t="e">
        <v>#N/A</v>
      </c>
      <c r="DC686" s="61" t="e">
        <v>#N/A</v>
      </c>
      <c r="DD686" s="61" t="e">
        <v>#N/A</v>
      </c>
      <c r="DE686" s="61" t="e">
        <v>#N/A</v>
      </c>
      <c r="DF686" s="61" t="e">
        <v>#N/A</v>
      </c>
      <c r="DG686" s="61" t="e">
        <v>#N/A</v>
      </c>
      <c r="DH686" s="61" t="e">
        <v>#N/A</v>
      </c>
      <c r="DI686" s="61" t="e">
        <v>#N/A</v>
      </c>
      <c r="DJ686" s="61" t="e">
        <v>#N/A</v>
      </c>
    </row>
    <row r="687" spans="14:114">
      <c r="N687" s="61" t="str">
        <f t="shared" si="100"/>
        <v/>
      </c>
      <c r="O687" s="53" t="str">
        <f t="shared" si="101"/>
        <v>click</v>
      </c>
      <c r="P687" s="61" t="str">
        <f t="shared" si="104"/>
        <v>();</v>
      </c>
      <c r="Q687" s="61" t="str">
        <f t="shared" si="106"/>
        <v/>
      </c>
      <c r="R687" s="61" t="str">
        <f t="shared" si="105"/>
        <v/>
      </c>
      <c r="S687" s="61" t="str">
        <f t="shared" si="103"/>
        <v/>
      </c>
      <c r="CU687" s="61" t="e">
        <v>#N/A</v>
      </c>
      <c r="CV687" s="61" t="e">
        <v>#N/A</v>
      </c>
      <c r="CW687" s="61" t="e">
        <v>#N/A</v>
      </c>
      <c r="CX687" s="61" t="e">
        <v>#N/A</v>
      </c>
      <c r="CY687" s="61" t="e">
        <v>#N/A</v>
      </c>
      <c r="CZ687" s="61" t="e">
        <v>#N/A</v>
      </c>
      <c r="DA687" s="61" t="e">
        <v>#N/A</v>
      </c>
      <c r="DB687" s="61" t="e">
        <v>#N/A</v>
      </c>
      <c r="DC687" s="61" t="e">
        <v>#N/A</v>
      </c>
      <c r="DD687" s="61" t="e">
        <v>#N/A</v>
      </c>
      <c r="DE687" s="61" t="e">
        <v>#N/A</v>
      </c>
      <c r="DF687" s="61" t="e">
        <v>#N/A</v>
      </c>
      <c r="DG687" s="61" t="e">
        <v>#N/A</v>
      </c>
      <c r="DH687" s="61" t="e">
        <v>#N/A</v>
      </c>
      <c r="DI687" s="61" t="e">
        <v>#N/A</v>
      </c>
      <c r="DJ687" s="61" t="e">
        <v>#N/A</v>
      </c>
    </row>
    <row r="688" spans="14:114">
      <c r="N688" s="61" t="str">
        <f t="shared" si="100"/>
        <v/>
      </c>
      <c r="O688" s="53" t="str">
        <f t="shared" si="101"/>
        <v>click</v>
      </c>
      <c r="P688" s="61" t="str">
        <f t="shared" si="104"/>
        <v>();</v>
      </c>
      <c r="Q688" s="61" t="str">
        <f t="shared" si="106"/>
        <v/>
      </c>
      <c r="R688" s="61" t="str">
        <f t="shared" si="105"/>
        <v/>
      </c>
      <c r="S688" s="61" t="str">
        <f t="shared" si="103"/>
        <v/>
      </c>
      <c r="CU688" s="61" t="e">
        <v>#N/A</v>
      </c>
      <c r="CV688" s="61" t="e">
        <v>#N/A</v>
      </c>
      <c r="CW688" s="61" t="e">
        <v>#N/A</v>
      </c>
      <c r="CX688" s="61" t="e">
        <v>#N/A</v>
      </c>
      <c r="CY688" s="61" t="e">
        <v>#N/A</v>
      </c>
      <c r="CZ688" s="61" t="e">
        <v>#N/A</v>
      </c>
      <c r="DA688" s="61" t="e">
        <v>#N/A</v>
      </c>
      <c r="DB688" s="61" t="e">
        <v>#N/A</v>
      </c>
      <c r="DC688" s="61" t="e">
        <v>#N/A</v>
      </c>
      <c r="DD688" s="61" t="e">
        <v>#N/A</v>
      </c>
      <c r="DE688" s="61" t="e">
        <v>#N/A</v>
      </c>
      <c r="DF688" s="61" t="e">
        <v>#N/A</v>
      </c>
      <c r="DG688" s="61" t="e">
        <v>#N/A</v>
      </c>
      <c r="DH688" s="61" t="e">
        <v>#N/A</v>
      </c>
      <c r="DI688" s="61" t="e">
        <v>#N/A</v>
      </c>
      <c r="DJ688" s="61" t="e">
        <v>#N/A</v>
      </c>
    </row>
    <row r="689" spans="14:114">
      <c r="N689" s="61" t="str">
        <f t="shared" si="100"/>
        <v/>
      </c>
      <c r="O689" s="53" t="str">
        <f t="shared" si="101"/>
        <v>click</v>
      </c>
      <c r="P689" s="61" t="str">
        <f t="shared" si="104"/>
        <v>();</v>
      </c>
      <c r="Q689" s="61" t="str">
        <f t="shared" si="106"/>
        <v/>
      </c>
      <c r="R689" s="61" t="str">
        <f t="shared" si="105"/>
        <v/>
      </c>
      <c r="S689" s="61" t="str">
        <f t="shared" si="103"/>
        <v/>
      </c>
      <c r="CU689" s="61" t="e">
        <v>#N/A</v>
      </c>
      <c r="CV689" s="61" t="e">
        <v>#N/A</v>
      </c>
      <c r="CW689" s="61" t="e">
        <v>#N/A</v>
      </c>
      <c r="CX689" s="61" t="e">
        <v>#N/A</v>
      </c>
      <c r="CY689" s="61" t="e">
        <v>#N/A</v>
      </c>
      <c r="CZ689" s="61" t="e">
        <v>#N/A</v>
      </c>
      <c r="DA689" s="61" t="e">
        <v>#N/A</v>
      </c>
      <c r="DB689" s="61" t="e">
        <v>#N/A</v>
      </c>
      <c r="DC689" s="61" t="e">
        <v>#N/A</v>
      </c>
      <c r="DD689" s="61" t="e">
        <v>#N/A</v>
      </c>
      <c r="DE689" s="61" t="e">
        <v>#N/A</v>
      </c>
      <c r="DF689" s="61" t="e">
        <v>#N/A</v>
      </c>
      <c r="DG689" s="61" t="e">
        <v>#N/A</v>
      </c>
      <c r="DH689" s="61" t="e">
        <v>#N/A</v>
      </c>
      <c r="DI689" s="61" t="e">
        <v>#N/A</v>
      </c>
      <c r="DJ689" s="61" t="e">
        <v>#N/A</v>
      </c>
    </row>
    <row r="690" spans="14:114">
      <c r="N690" s="61" t="str">
        <f t="shared" si="100"/>
        <v/>
      </c>
      <c r="O690" s="53" t="str">
        <f t="shared" si="101"/>
        <v>click</v>
      </c>
      <c r="P690" s="61" t="str">
        <f t="shared" si="104"/>
        <v>();</v>
      </c>
      <c r="Q690" s="61" t="str">
        <f t="shared" si="106"/>
        <v/>
      </c>
      <c r="R690" s="61" t="str">
        <f t="shared" si="105"/>
        <v/>
      </c>
      <c r="S690" s="61" t="str">
        <f t="shared" si="103"/>
        <v/>
      </c>
      <c r="CU690" s="61" t="e">
        <v>#N/A</v>
      </c>
      <c r="CV690" s="61" t="e">
        <v>#N/A</v>
      </c>
      <c r="CW690" s="61" t="e">
        <v>#N/A</v>
      </c>
      <c r="CX690" s="61" t="e">
        <v>#N/A</v>
      </c>
      <c r="CY690" s="61" t="e">
        <v>#N/A</v>
      </c>
      <c r="CZ690" s="61" t="e">
        <v>#N/A</v>
      </c>
      <c r="DA690" s="61" t="e">
        <v>#N/A</v>
      </c>
      <c r="DB690" s="61" t="e">
        <v>#N/A</v>
      </c>
      <c r="DC690" s="61" t="e">
        <v>#N/A</v>
      </c>
      <c r="DD690" s="61" t="e">
        <v>#N/A</v>
      </c>
      <c r="DE690" s="61" t="e">
        <v>#N/A</v>
      </c>
      <c r="DF690" s="61" t="e">
        <v>#N/A</v>
      </c>
      <c r="DG690" s="61" t="e">
        <v>#N/A</v>
      </c>
      <c r="DH690" s="61" t="e">
        <v>#N/A</v>
      </c>
      <c r="DI690" s="61" t="e">
        <v>#N/A</v>
      </c>
      <c r="DJ690" s="61" t="e">
        <v>#N/A</v>
      </c>
    </row>
    <row r="691" spans="14:114">
      <c r="N691" s="61" t="str">
        <f t="shared" si="100"/>
        <v/>
      </c>
      <c r="O691" s="53" t="str">
        <f t="shared" si="101"/>
        <v>click</v>
      </c>
      <c r="P691" s="61" t="str">
        <f t="shared" si="104"/>
        <v>();</v>
      </c>
      <c r="Q691" s="61" t="str">
        <f t="shared" si="106"/>
        <v/>
      </c>
      <c r="R691" s="61" t="str">
        <f t="shared" si="105"/>
        <v/>
      </c>
      <c r="S691" s="61" t="str">
        <f t="shared" si="103"/>
        <v/>
      </c>
      <c r="CU691" s="61" t="e">
        <v>#N/A</v>
      </c>
      <c r="CV691" s="61" t="e">
        <v>#N/A</v>
      </c>
      <c r="CW691" s="61" t="e">
        <v>#N/A</v>
      </c>
      <c r="CX691" s="61" t="e">
        <v>#N/A</v>
      </c>
      <c r="CY691" s="61" t="e">
        <v>#N/A</v>
      </c>
      <c r="CZ691" s="61" t="e">
        <v>#N/A</v>
      </c>
      <c r="DA691" s="61" t="e">
        <v>#N/A</v>
      </c>
      <c r="DB691" s="61" t="e">
        <v>#N/A</v>
      </c>
      <c r="DC691" s="61" t="e">
        <v>#N/A</v>
      </c>
      <c r="DD691" s="61" t="e">
        <v>#N/A</v>
      </c>
      <c r="DE691" s="61" t="e">
        <v>#N/A</v>
      </c>
      <c r="DF691" s="61" t="e">
        <v>#N/A</v>
      </c>
      <c r="DG691" s="61" t="e">
        <v>#N/A</v>
      </c>
      <c r="DH691" s="61" t="e">
        <v>#N/A</v>
      </c>
      <c r="DI691" s="61" t="e">
        <v>#N/A</v>
      </c>
      <c r="DJ691" s="61" t="e">
        <v>#N/A</v>
      </c>
    </row>
    <row r="692" spans="14:114">
      <c r="N692" s="61" t="str">
        <f t="shared" si="100"/>
        <v/>
      </c>
      <c r="O692" s="53" t="str">
        <f t="shared" si="101"/>
        <v>click</v>
      </c>
      <c r="P692" s="61" t="str">
        <f t="shared" si="104"/>
        <v>();</v>
      </c>
      <c r="Q692" s="61" t="str">
        <f t="shared" si="106"/>
        <v/>
      </c>
      <c r="R692" s="61" t="str">
        <f t="shared" si="105"/>
        <v/>
      </c>
      <c r="S692" s="61" t="str">
        <f t="shared" si="103"/>
        <v/>
      </c>
      <c r="CU692" s="61" t="e">
        <v>#N/A</v>
      </c>
      <c r="CV692" s="61" t="e">
        <v>#N/A</v>
      </c>
      <c r="CW692" s="61" t="e">
        <v>#N/A</v>
      </c>
      <c r="CX692" s="61" t="e">
        <v>#N/A</v>
      </c>
      <c r="CY692" s="61" t="e">
        <v>#N/A</v>
      </c>
      <c r="CZ692" s="61" t="e">
        <v>#N/A</v>
      </c>
      <c r="DA692" s="61" t="e">
        <v>#N/A</v>
      </c>
      <c r="DB692" s="61" t="e">
        <v>#N/A</v>
      </c>
      <c r="DC692" s="61" t="e">
        <v>#N/A</v>
      </c>
      <c r="DD692" s="61" t="e">
        <v>#N/A</v>
      </c>
      <c r="DE692" s="61" t="e">
        <v>#N/A</v>
      </c>
      <c r="DF692" s="61" t="e">
        <v>#N/A</v>
      </c>
      <c r="DG692" s="61" t="e">
        <v>#N/A</v>
      </c>
      <c r="DH692" s="61" t="e">
        <v>#N/A</v>
      </c>
      <c r="DI692" s="61" t="e">
        <v>#N/A</v>
      </c>
      <c r="DJ692" s="61" t="e">
        <v>#N/A</v>
      </c>
    </row>
    <row r="693" spans="14:114">
      <c r="N693" s="61" t="str">
        <f t="shared" si="100"/>
        <v/>
      </c>
      <c r="O693" s="53" t="str">
        <f t="shared" si="101"/>
        <v>click</v>
      </c>
      <c r="P693" s="61" t="str">
        <f t="shared" si="104"/>
        <v>();</v>
      </c>
      <c r="Q693" s="61" t="str">
        <f t="shared" si="106"/>
        <v/>
      </c>
      <c r="R693" s="61" t="str">
        <f t="shared" si="105"/>
        <v/>
      </c>
      <c r="S693" s="61" t="str">
        <f t="shared" si="103"/>
        <v/>
      </c>
      <c r="CU693" s="61" t="e">
        <v>#N/A</v>
      </c>
      <c r="CV693" s="61" t="e">
        <v>#N/A</v>
      </c>
      <c r="CW693" s="61" t="e">
        <v>#N/A</v>
      </c>
      <c r="CX693" s="61" t="e">
        <v>#N/A</v>
      </c>
      <c r="CY693" s="61" t="e">
        <v>#N/A</v>
      </c>
      <c r="CZ693" s="61" t="e">
        <v>#N/A</v>
      </c>
      <c r="DA693" s="61" t="e">
        <v>#N/A</v>
      </c>
      <c r="DB693" s="61" t="e">
        <v>#N/A</v>
      </c>
      <c r="DC693" s="61" t="e">
        <v>#N/A</v>
      </c>
      <c r="DD693" s="61" t="e">
        <v>#N/A</v>
      </c>
      <c r="DE693" s="61" t="e">
        <v>#N/A</v>
      </c>
      <c r="DF693" s="61" t="e">
        <v>#N/A</v>
      </c>
      <c r="DG693" s="61" t="e">
        <v>#N/A</v>
      </c>
      <c r="DH693" s="61" t="e">
        <v>#N/A</v>
      </c>
      <c r="DI693" s="61" t="e">
        <v>#N/A</v>
      </c>
      <c r="DJ693" s="61" t="e">
        <v>#N/A</v>
      </c>
    </row>
    <row r="694" spans="14:114">
      <c r="N694" s="61" t="str">
        <f t="shared" si="100"/>
        <v/>
      </c>
      <c r="O694" s="53" t="str">
        <f t="shared" si="101"/>
        <v>click</v>
      </c>
      <c r="P694" s="61" t="str">
        <f t="shared" si="104"/>
        <v>();</v>
      </c>
      <c r="Q694" s="61" t="str">
        <f t="shared" si="106"/>
        <v/>
      </c>
      <c r="R694" s="61" t="str">
        <f t="shared" si="105"/>
        <v/>
      </c>
      <c r="S694" s="61" t="str">
        <f t="shared" si="103"/>
        <v/>
      </c>
      <c r="CU694" s="61" t="e">
        <v>#N/A</v>
      </c>
      <c r="CV694" s="61" t="e">
        <v>#N/A</v>
      </c>
      <c r="CW694" s="61" t="e">
        <v>#N/A</v>
      </c>
      <c r="CX694" s="61" t="e">
        <v>#N/A</v>
      </c>
      <c r="CY694" s="61" t="e">
        <v>#N/A</v>
      </c>
      <c r="CZ694" s="61" t="e">
        <v>#N/A</v>
      </c>
      <c r="DA694" s="61" t="e">
        <v>#N/A</v>
      </c>
      <c r="DB694" s="61" t="e">
        <v>#N/A</v>
      </c>
      <c r="DC694" s="61" t="e">
        <v>#N/A</v>
      </c>
      <c r="DD694" s="61" t="e">
        <v>#N/A</v>
      </c>
      <c r="DE694" s="61" t="e">
        <v>#N/A</v>
      </c>
      <c r="DF694" s="61" t="e">
        <v>#N/A</v>
      </c>
      <c r="DG694" s="61" t="e">
        <v>#N/A</v>
      </c>
      <c r="DH694" s="61" t="e">
        <v>#N/A</v>
      </c>
      <c r="DI694" s="61" t="e">
        <v>#N/A</v>
      </c>
      <c r="DJ694" s="61" t="e">
        <v>#N/A</v>
      </c>
    </row>
    <row r="695" spans="14:114">
      <c r="N695" s="61" t="str">
        <f t="shared" si="100"/>
        <v/>
      </c>
      <c r="O695" s="53" t="str">
        <f t="shared" si="101"/>
        <v>click</v>
      </c>
      <c r="P695" s="61" t="str">
        <f t="shared" si="104"/>
        <v>();</v>
      </c>
      <c r="Q695" s="61" t="str">
        <f t="shared" si="106"/>
        <v/>
      </c>
      <c r="R695" s="61" t="str">
        <f t="shared" si="105"/>
        <v/>
      </c>
      <c r="S695" s="61" t="str">
        <f t="shared" si="103"/>
        <v/>
      </c>
      <c r="CU695" s="61" t="e">
        <v>#N/A</v>
      </c>
      <c r="CV695" s="61" t="e">
        <v>#N/A</v>
      </c>
      <c r="CW695" s="61" t="e">
        <v>#N/A</v>
      </c>
      <c r="CX695" s="61" t="e">
        <v>#N/A</v>
      </c>
      <c r="CY695" s="61" t="e">
        <v>#N/A</v>
      </c>
      <c r="CZ695" s="61" t="e">
        <v>#N/A</v>
      </c>
      <c r="DA695" s="61" t="e">
        <v>#N/A</v>
      </c>
      <c r="DB695" s="61" t="e">
        <v>#N/A</v>
      </c>
      <c r="DC695" s="61" t="e">
        <v>#N/A</v>
      </c>
      <c r="DD695" s="61" t="e">
        <v>#N/A</v>
      </c>
      <c r="DE695" s="61" t="e">
        <v>#N/A</v>
      </c>
      <c r="DF695" s="61" t="e">
        <v>#N/A</v>
      </c>
      <c r="DG695" s="61" t="e">
        <v>#N/A</v>
      </c>
      <c r="DH695" s="61" t="e">
        <v>#N/A</v>
      </c>
      <c r="DI695" s="61" t="e">
        <v>#N/A</v>
      </c>
      <c r="DJ695" s="61" t="e">
        <v>#N/A</v>
      </c>
    </row>
    <row r="696" spans="14:114">
      <c r="N696" s="61" t="str">
        <f t="shared" si="100"/>
        <v/>
      </c>
      <c r="O696" s="53" t="str">
        <f t="shared" si="101"/>
        <v>click</v>
      </c>
      <c r="P696" s="61" t="str">
        <f t="shared" si="104"/>
        <v>();</v>
      </c>
      <c r="Q696" s="61" t="str">
        <f t="shared" si="106"/>
        <v/>
      </c>
      <c r="R696" s="61" t="str">
        <f t="shared" si="105"/>
        <v/>
      </c>
      <c r="S696" s="61" t="str">
        <f t="shared" si="103"/>
        <v/>
      </c>
      <c r="CU696" s="61" t="e">
        <v>#N/A</v>
      </c>
      <c r="CV696" s="61" t="e">
        <v>#N/A</v>
      </c>
      <c r="CW696" s="61" t="e">
        <v>#N/A</v>
      </c>
      <c r="CX696" s="61" t="e">
        <v>#N/A</v>
      </c>
      <c r="CY696" s="61" t="e">
        <v>#N/A</v>
      </c>
      <c r="CZ696" s="61" t="e">
        <v>#N/A</v>
      </c>
      <c r="DA696" s="61" t="e">
        <v>#N/A</v>
      </c>
      <c r="DB696" s="61" t="e">
        <v>#N/A</v>
      </c>
      <c r="DC696" s="61" t="e">
        <v>#N/A</v>
      </c>
      <c r="DD696" s="61" t="e">
        <v>#N/A</v>
      </c>
      <c r="DE696" s="61" t="e">
        <v>#N/A</v>
      </c>
      <c r="DF696" s="61" t="e">
        <v>#N/A</v>
      </c>
      <c r="DG696" s="61" t="e">
        <v>#N/A</v>
      </c>
      <c r="DH696" s="61" t="e">
        <v>#N/A</v>
      </c>
      <c r="DI696" s="61" t="e">
        <v>#N/A</v>
      </c>
      <c r="DJ696" s="61" t="e">
        <v>#N/A</v>
      </c>
    </row>
    <row r="697" spans="14:114">
      <c r="N697" s="61" t="str">
        <f t="shared" si="100"/>
        <v/>
      </c>
      <c r="O697" s="53" t="str">
        <f t="shared" si="101"/>
        <v>click</v>
      </c>
      <c r="P697" s="61" t="str">
        <f t="shared" si="104"/>
        <v>();</v>
      </c>
      <c r="Q697" s="61" t="str">
        <f t="shared" si="106"/>
        <v/>
      </c>
      <c r="R697" s="61" t="str">
        <f t="shared" si="105"/>
        <v/>
      </c>
      <c r="S697" s="61" t="str">
        <f t="shared" si="103"/>
        <v/>
      </c>
      <c r="CU697" s="61" t="e">
        <v>#N/A</v>
      </c>
      <c r="CV697" s="61" t="e">
        <v>#N/A</v>
      </c>
      <c r="CW697" s="61" t="e">
        <v>#N/A</v>
      </c>
      <c r="CX697" s="61" t="e">
        <v>#N/A</v>
      </c>
      <c r="CY697" s="61" t="e">
        <v>#N/A</v>
      </c>
      <c r="CZ697" s="61" t="e">
        <v>#N/A</v>
      </c>
      <c r="DA697" s="61" t="e">
        <v>#N/A</v>
      </c>
      <c r="DB697" s="61" t="e">
        <v>#N/A</v>
      </c>
      <c r="DC697" s="61" t="e">
        <v>#N/A</v>
      </c>
      <c r="DD697" s="61" t="e">
        <v>#N/A</v>
      </c>
      <c r="DE697" s="61" t="e">
        <v>#N/A</v>
      </c>
      <c r="DF697" s="61" t="e">
        <v>#N/A</v>
      </c>
      <c r="DG697" s="61" t="e">
        <v>#N/A</v>
      </c>
      <c r="DH697" s="61" t="e">
        <v>#N/A</v>
      </c>
      <c r="DI697" s="61" t="e">
        <v>#N/A</v>
      </c>
      <c r="DJ697" s="61" t="e">
        <v>#N/A</v>
      </c>
    </row>
    <row r="698" spans="14:114">
      <c r="N698" s="61" t="str">
        <f t="shared" si="100"/>
        <v/>
      </c>
      <c r="O698" s="53" t="str">
        <f t="shared" si="101"/>
        <v>click</v>
      </c>
      <c r="P698" s="61" t="str">
        <f t="shared" si="104"/>
        <v>();</v>
      </c>
      <c r="Q698" s="61" t="str">
        <f t="shared" si="106"/>
        <v/>
      </c>
      <c r="R698" s="61" t="str">
        <f t="shared" si="105"/>
        <v/>
      </c>
      <c r="S698" s="61" t="str">
        <f t="shared" si="103"/>
        <v/>
      </c>
      <c r="CU698" s="61" t="e">
        <v>#N/A</v>
      </c>
      <c r="CV698" s="61" t="e">
        <v>#N/A</v>
      </c>
      <c r="CW698" s="61" t="e">
        <v>#N/A</v>
      </c>
      <c r="CX698" s="61" t="e">
        <v>#N/A</v>
      </c>
      <c r="CY698" s="61" t="e">
        <v>#N/A</v>
      </c>
      <c r="CZ698" s="61" t="e">
        <v>#N/A</v>
      </c>
      <c r="DA698" s="61" t="e">
        <v>#N/A</v>
      </c>
      <c r="DB698" s="61" t="e">
        <v>#N/A</v>
      </c>
      <c r="DC698" s="61" t="e">
        <v>#N/A</v>
      </c>
      <c r="DD698" s="61" t="e">
        <v>#N/A</v>
      </c>
      <c r="DE698" s="61" t="e">
        <v>#N/A</v>
      </c>
      <c r="DF698" s="61" t="e">
        <v>#N/A</v>
      </c>
      <c r="DG698" s="61" t="e">
        <v>#N/A</v>
      </c>
      <c r="DH698" s="61" t="e">
        <v>#N/A</v>
      </c>
      <c r="DI698" s="61" t="e">
        <v>#N/A</v>
      </c>
      <c r="DJ698" s="61" t="e">
        <v>#N/A</v>
      </c>
    </row>
    <row r="699" spans="14:114">
      <c r="N699" s="61" t="str">
        <f t="shared" si="100"/>
        <v/>
      </c>
      <c r="O699" s="53" t="str">
        <f t="shared" si="101"/>
        <v>click</v>
      </c>
      <c r="P699" s="61" t="str">
        <f t="shared" si="104"/>
        <v>();</v>
      </c>
      <c r="Q699" s="61" t="str">
        <f t="shared" si="106"/>
        <v/>
      </c>
      <c r="R699" s="61" t="str">
        <f t="shared" si="105"/>
        <v/>
      </c>
      <c r="S699" s="61" t="str">
        <f t="shared" si="103"/>
        <v/>
      </c>
      <c r="CU699" s="61" t="e">
        <v>#N/A</v>
      </c>
      <c r="CV699" s="61" t="e">
        <v>#N/A</v>
      </c>
      <c r="CW699" s="61" t="e">
        <v>#N/A</v>
      </c>
      <c r="CX699" s="61" t="e">
        <v>#N/A</v>
      </c>
      <c r="CY699" s="61" t="e">
        <v>#N/A</v>
      </c>
      <c r="CZ699" s="61" t="e">
        <v>#N/A</v>
      </c>
      <c r="DA699" s="61" t="e">
        <v>#N/A</v>
      </c>
      <c r="DB699" s="61" t="e">
        <v>#N/A</v>
      </c>
      <c r="DC699" s="61" t="e">
        <v>#N/A</v>
      </c>
      <c r="DD699" s="61" t="e">
        <v>#N/A</v>
      </c>
      <c r="DE699" s="61" t="e">
        <v>#N/A</v>
      </c>
      <c r="DF699" s="61" t="e">
        <v>#N/A</v>
      </c>
      <c r="DG699" s="61" t="e">
        <v>#N/A</v>
      </c>
      <c r="DH699" s="61" t="e">
        <v>#N/A</v>
      </c>
      <c r="DI699" s="61" t="e">
        <v>#N/A</v>
      </c>
      <c r="DJ699" s="61" t="e">
        <v>#N/A</v>
      </c>
    </row>
    <row r="700" spans="14:114">
      <c r="N700" s="61" t="str">
        <f t="shared" si="100"/>
        <v/>
      </c>
      <c r="O700" s="53" t="str">
        <f t="shared" si="101"/>
        <v>click</v>
      </c>
      <c r="P700" s="61" t="str">
        <f t="shared" si="104"/>
        <v>();</v>
      </c>
      <c r="Q700" s="61" t="str">
        <f t="shared" si="106"/>
        <v/>
      </c>
      <c r="R700" s="61" t="str">
        <f t="shared" si="105"/>
        <v/>
      </c>
      <c r="S700" s="61" t="str">
        <f t="shared" si="103"/>
        <v/>
      </c>
      <c r="CU700" s="61" t="e">
        <v>#N/A</v>
      </c>
      <c r="CV700" s="61" t="e">
        <v>#N/A</v>
      </c>
      <c r="CW700" s="61" t="e">
        <v>#N/A</v>
      </c>
      <c r="CX700" s="61" t="e">
        <v>#N/A</v>
      </c>
      <c r="CY700" s="61" t="e">
        <v>#N/A</v>
      </c>
      <c r="CZ700" s="61" t="e">
        <v>#N/A</v>
      </c>
      <c r="DA700" s="61" t="e">
        <v>#N/A</v>
      </c>
      <c r="DB700" s="61" t="e">
        <v>#N/A</v>
      </c>
      <c r="DC700" s="61" t="e">
        <v>#N/A</v>
      </c>
      <c r="DD700" s="61" t="e">
        <v>#N/A</v>
      </c>
      <c r="DE700" s="61" t="e">
        <v>#N/A</v>
      </c>
      <c r="DF700" s="61" t="e">
        <v>#N/A</v>
      </c>
      <c r="DG700" s="61" t="e">
        <v>#N/A</v>
      </c>
      <c r="DH700" s="61" t="e">
        <v>#N/A</v>
      </c>
      <c r="DI700" s="61" t="e">
        <v>#N/A</v>
      </c>
      <c r="DJ700" s="61" t="e">
        <v>#N/A</v>
      </c>
    </row>
    <row r="701" spans="14:114">
      <c r="N701" s="61" t="str">
        <f t="shared" si="100"/>
        <v/>
      </c>
      <c r="O701" s="53" t="str">
        <f t="shared" si="101"/>
        <v>click</v>
      </c>
      <c r="P701" s="61" t="str">
        <f t="shared" si="104"/>
        <v>();</v>
      </c>
      <c r="Q701" s="61" t="str">
        <f t="shared" si="106"/>
        <v/>
      </c>
      <c r="R701" s="61" t="str">
        <f t="shared" si="105"/>
        <v/>
      </c>
      <c r="S701" s="61" t="str">
        <f t="shared" si="103"/>
        <v/>
      </c>
      <c r="CU701" s="61" t="e">
        <v>#N/A</v>
      </c>
      <c r="CV701" s="61" t="e">
        <v>#N/A</v>
      </c>
      <c r="CW701" s="61" t="e">
        <v>#N/A</v>
      </c>
      <c r="CX701" s="61" t="e">
        <v>#N/A</v>
      </c>
      <c r="CY701" s="61" t="e">
        <v>#N/A</v>
      </c>
      <c r="CZ701" s="61" t="e">
        <v>#N/A</v>
      </c>
      <c r="DA701" s="61" t="e">
        <v>#N/A</v>
      </c>
      <c r="DB701" s="61" t="e">
        <v>#N/A</v>
      </c>
      <c r="DC701" s="61" t="e">
        <v>#N/A</v>
      </c>
      <c r="DD701" s="61" t="e">
        <v>#N/A</v>
      </c>
      <c r="DE701" s="61" t="e">
        <v>#N/A</v>
      </c>
      <c r="DF701" s="61" t="e">
        <v>#N/A</v>
      </c>
      <c r="DG701" s="61" t="e">
        <v>#N/A</v>
      </c>
      <c r="DH701" s="61" t="e">
        <v>#N/A</v>
      </c>
      <c r="DI701" s="61" t="e">
        <v>#N/A</v>
      </c>
      <c r="DJ701" s="61" t="e">
        <v>#N/A</v>
      </c>
    </row>
    <row r="702" spans="14:114">
      <c r="N702" s="61" t="str">
        <f t="shared" si="100"/>
        <v/>
      </c>
      <c r="O702" s="53" t="str">
        <f t="shared" si="101"/>
        <v>click</v>
      </c>
      <c r="P702" s="61" t="str">
        <f t="shared" si="104"/>
        <v>();</v>
      </c>
      <c r="Q702" s="61" t="str">
        <f t="shared" si="106"/>
        <v/>
      </c>
      <c r="R702" s="61" t="str">
        <f t="shared" si="105"/>
        <v/>
      </c>
      <c r="S702" s="61" t="str">
        <f t="shared" si="103"/>
        <v/>
      </c>
      <c r="CU702" s="61" t="e">
        <v>#N/A</v>
      </c>
      <c r="CV702" s="61" t="e">
        <v>#N/A</v>
      </c>
      <c r="CW702" s="61" t="e">
        <v>#N/A</v>
      </c>
      <c r="CX702" s="61" t="e">
        <v>#N/A</v>
      </c>
      <c r="CY702" s="61" t="e">
        <v>#N/A</v>
      </c>
      <c r="CZ702" s="61" t="e">
        <v>#N/A</v>
      </c>
      <c r="DA702" s="61" t="e">
        <v>#N/A</v>
      </c>
      <c r="DB702" s="61" t="e">
        <v>#N/A</v>
      </c>
      <c r="DC702" s="61" t="e">
        <v>#N/A</v>
      </c>
      <c r="DD702" s="61" t="e">
        <v>#N/A</v>
      </c>
      <c r="DE702" s="61" t="e">
        <v>#N/A</v>
      </c>
      <c r="DF702" s="61" t="e">
        <v>#N/A</v>
      </c>
      <c r="DG702" s="61" t="e">
        <v>#N/A</v>
      </c>
      <c r="DH702" s="61" t="e">
        <v>#N/A</v>
      </c>
      <c r="DI702" s="61" t="e">
        <v>#N/A</v>
      </c>
      <c r="DJ702" s="61" t="e">
        <v>#N/A</v>
      </c>
    </row>
    <row r="703" spans="14:114">
      <c r="N703" s="61" t="str">
        <f t="shared" si="100"/>
        <v/>
      </c>
      <c r="O703" s="53" t="str">
        <f t="shared" si="101"/>
        <v>click</v>
      </c>
      <c r="P703" s="61" t="str">
        <f t="shared" si="104"/>
        <v>();</v>
      </c>
      <c r="Q703" s="61" t="str">
        <f t="shared" si="106"/>
        <v/>
      </c>
      <c r="R703" s="61" t="str">
        <f t="shared" si="105"/>
        <v/>
      </c>
      <c r="S703" s="61" t="str">
        <f t="shared" si="103"/>
        <v/>
      </c>
      <c r="CU703" s="61" t="e">
        <v>#N/A</v>
      </c>
      <c r="CV703" s="61" t="e">
        <v>#N/A</v>
      </c>
      <c r="CW703" s="61" t="e">
        <v>#N/A</v>
      </c>
      <c r="CX703" s="61" t="e">
        <v>#N/A</v>
      </c>
      <c r="CY703" s="61" t="e">
        <v>#N/A</v>
      </c>
      <c r="CZ703" s="61" t="e">
        <v>#N/A</v>
      </c>
      <c r="DA703" s="61" t="e">
        <v>#N/A</v>
      </c>
      <c r="DB703" s="61" t="e">
        <v>#N/A</v>
      </c>
      <c r="DC703" s="61" t="e">
        <v>#N/A</v>
      </c>
      <c r="DD703" s="61" t="e">
        <v>#N/A</v>
      </c>
      <c r="DE703" s="61" t="e">
        <v>#N/A</v>
      </c>
      <c r="DF703" s="61" t="e">
        <v>#N/A</v>
      </c>
      <c r="DG703" s="61" t="e">
        <v>#N/A</v>
      </c>
      <c r="DH703" s="61" t="e">
        <v>#N/A</v>
      </c>
      <c r="DI703" s="61" t="e">
        <v>#N/A</v>
      </c>
      <c r="DJ703" s="61" t="e">
        <v>#N/A</v>
      </c>
    </row>
    <row r="704" spans="14:114">
      <c r="N704" s="61" t="str">
        <f t="shared" si="100"/>
        <v/>
      </c>
      <c r="O704" s="53" t="str">
        <f t="shared" si="101"/>
        <v>click</v>
      </c>
      <c r="P704" s="61" t="str">
        <f t="shared" si="104"/>
        <v>();</v>
      </c>
      <c r="Q704" s="61" t="str">
        <f t="shared" si="106"/>
        <v/>
      </c>
      <c r="R704" s="61" t="str">
        <f t="shared" si="105"/>
        <v/>
      </c>
      <c r="S704" s="61" t="str">
        <f t="shared" si="103"/>
        <v/>
      </c>
      <c r="CU704" s="61" t="e">
        <v>#N/A</v>
      </c>
      <c r="CV704" s="61" t="e">
        <v>#N/A</v>
      </c>
      <c r="CW704" s="61" t="e">
        <v>#N/A</v>
      </c>
      <c r="CX704" s="61" t="e">
        <v>#N/A</v>
      </c>
      <c r="CY704" s="61" t="e">
        <v>#N/A</v>
      </c>
      <c r="CZ704" s="61" t="e">
        <v>#N/A</v>
      </c>
      <c r="DA704" s="61" t="e">
        <v>#N/A</v>
      </c>
      <c r="DB704" s="61" t="e">
        <v>#N/A</v>
      </c>
      <c r="DC704" s="61" t="e">
        <v>#N/A</v>
      </c>
      <c r="DD704" s="61" t="e">
        <v>#N/A</v>
      </c>
      <c r="DE704" s="61" t="e">
        <v>#N/A</v>
      </c>
      <c r="DF704" s="61" t="e">
        <v>#N/A</v>
      </c>
      <c r="DG704" s="61" t="e">
        <v>#N/A</v>
      </c>
      <c r="DH704" s="61" t="e">
        <v>#N/A</v>
      </c>
      <c r="DI704" s="61" t="e">
        <v>#N/A</v>
      </c>
      <c r="DJ704" s="61" t="e">
        <v>#N/A</v>
      </c>
    </row>
    <row r="705" spans="14:114">
      <c r="N705" s="61" t="str">
        <f t="shared" si="100"/>
        <v/>
      </c>
      <c r="O705" s="53" t="str">
        <f t="shared" si="101"/>
        <v>click</v>
      </c>
      <c r="P705" s="61" t="str">
        <f t="shared" si="104"/>
        <v>();</v>
      </c>
      <c r="Q705" s="61" t="str">
        <f t="shared" si="106"/>
        <v/>
      </c>
      <c r="R705" s="61" t="str">
        <f t="shared" si="105"/>
        <v/>
      </c>
      <c r="S705" s="61" t="str">
        <f t="shared" si="103"/>
        <v/>
      </c>
      <c r="CU705" s="61" t="e">
        <v>#N/A</v>
      </c>
      <c r="CV705" s="61" t="e">
        <v>#N/A</v>
      </c>
      <c r="CW705" s="61" t="e">
        <v>#N/A</v>
      </c>
      <c r="CX705" s="61" t="e">
        <v>#N/A</v>
      </c>
      <c r="CY705" s="61" t="e">
        <v>#N/A</v>
      </c>
      <c r="CZ705" s="61" t="e">
        <v>#N/A</v>
      </c>
      <c r="DA705" s="61" t="e">
        <v>#N/A</v>
      </c>
      <c r="DB705" s="61" t="e">
        <v>#N/A</v>
      </c>
      <c r="DC705" s="61" t="e">
        <v>#N/A</v>
      </c>
      <c r="DD705" s="61" t="e">
        <v>#N/A</v>
      </c>
      <c r="DE705" s="61" t="e">
        <v>#N/A</v>
      </c>
      <c r="DF705" s="61" t="e">
        <v>#N/A</v>
      </c>
      <c r="DG705" s="61" t="e">
        <v>#N/A</v>
      </c>
      <c r="DH705" s="61" t="e">
        <v>#N/A</v>
      </c>
      <c r="DI705" s="61" t="e">
        <v>#N/A</v>
      </c>
      <c r="DJ705" s="61" t="e">
        <v>#N/A</v>
      </c>
    </row>
    <row r="706" spans="14:114">
      <c r="N706" s="61" t="str">
        <f t="shared" si="100"/>
        <v/>
      </c>
      <c r="O706" s="53" t="str">
        <f t="shared" si="101"/>
        <v>click</v>
      </c>
      <c r="P706" s="61" t="str">
        <f t="shared" si="104"/>
        <v>();</v>
      </c>
      <c r="Q706" s="61" t="str">
        <f t="shared" si="106"/>
        <v/>
      </c>
      <c r="R706" s="61" t="str">
        <f t="shared" si="105"/>
        <v/>
      </c>
      <c r="S706" s="61" t="str">
        <f t="shared" si="103"/>
        <v/>
      </c>
      <c r="CU706" s="61" t="e">
        <v>#N/A</v>
      </c>
      <c r="CV706" s="61" t="e">
        <v>#N/A</v>
      </c>
      <c r="CW706" s="61" t="e">
        <v>#N/A</v>
      </c>
      <c r="CX706" s="61" t="e">
        <v>#N/A</v>
      </c>
      <c r="CY706" s="61" t="e">
        <v>#N/A</v>
      </c>
      <c r="CZ706" s="61" t="e">
        <v>#N/A</v>
      </c>
      <c r="DA706" s="61" t="e">
        <v>#N/A</v>
      </c>
      <c r="DB706" s="61" t="e">
        <v>#N/A</v>
      </c>
      <c r="DC706" s="61" t="e">
        <v>#N/A</v>
      </c>
      <c r="DD706" s="61" t="e">
        <v>#N/A</v>
      </c>
      <c r="DE706" s="61" t="e">
        <v>#N/A</v>
      </c>
      <c r="DF706" s="61" t="e">
        <v>#N/A</v>
      </c>
      <c r="DG706" s="61" t="e">
        <v>#N/A</v>
      </c>
      <c r="DH706" s="61" t="e">
        <v>#N/A</v>
      </c>
      <c r="DI706" s="61" t="e">
        <v>#N/A</v>
      </c>
      <c r="DJ706" s="61" t="e">
        <v>#N/A</v>
      </c>
    </row>
    <row r="707" spans="14:114">
      <c r="N707" s="61" t="str">
        <f t="shared" si="100"/>
        <v/>
      </c>
      <c r="O707" s="53" t="str">
        <f t="shared" si="101"/>
        <v>click</v>
      </c>
      <c r="P707" s="61" t="str">
        <f t="shared" si="104"/>
        <v>();</v>
      </c>
      <c r="Q707" s="61" t="str">
        <f t="shared" si="106"/>
        <v/>
      </c>
      <c r="R707" s="61" t="str">
        <f t="shared" si="105"/>
        <v/>
      </c>
      <c r="S707" s="61" t="str">
        <f t="shared" si="103"/>
        <v/>
      </c>
      <c r="CU707" s="61" t="e">
        <v>#N/A</v>
      </c>
      <c r="CV707" s="61" t="e">
        <v>#N/A</v>
      </c>
      <c r="CW707" s="61" t="e">
        <v>#N/A</v>
      </c>
      <c r="CX707" s="61" t="e">
        <v>#N/A</v>
      </c>
      <c r="CY707" s="61" t="e">
        <v>#N/A</v>
      </c>
      <c r="CZ707" s="61" t="e">
        <v>#N/A</v>
      </c>
      <c r="DA707" s="61" t="e">
        <v>#N/A</v>
      </c>
      <c r="DB707" s="61" t="e">
        <v>#N/A</v>
      </c>
      <c r="DC707" s="61" t="e">
        <v>#N/A</v>
      </c>
      <c r="DD707" s="61" t="e">
        <v>#N/A</v>
      </c>
      <c r="DE707" s="61" t="e">
        <v>#N/A</v>
      </c>
      <c r="DF707" s="61" t="e">
        <v>#N/A</v>
      </c>
      <c r="DG707" s="61" t="e">
        <v>#N/A</v>
      </c>
      <c r="DH707" s="61" t="e">
        <v>#N/A</v>
      </c>
      <c r="DI707" s="61" t="e">
        <v>#N/A</v>
      </c>
      <c r="DJ707" s="61" t="e">
        <v>#N/A</v>
      </c>
    </row>
    <row r="708" spans="14:114">
      <c r="N708" s="61" t="str">
        <f t="shared" si="100"/>
        <v/>
      </c>
      <c r="O708" s="53" t="str">
        <f t="shared" si="101"/>
        <v>click</v>
      </c>
      <c r="P708" s="61" t="str">
        <f t="shared" si="104"/>
        <v>();</v>
      </c>
      <c r="Q708" s="61" t="str">
        <f t="shared" si="106"/>
        <v/>
      </c>
      <c r="R708" s="61" t="str">
        <f t="shared" si="105"/>
        <v/>
      </c>
      <c r="S708" s="61" t="str">
        <f t="shared" si="103"/>
        <v/>
      </c>
      <c r="CU708" s="61" t="e">
        <v>#N/A</v>
      </c>
      <c r="CV708" s="61" t="e">
        <v>#N/A</v>
      </c>
      <c r="CW708" s="61" t="e">
        <v>#N/A</v>
      </c>
      <c r="CX708" s="61" t="e">
        <v>#N/A</v>
      </c>
      <c r="CY708" s="61" t="e">
        <v>#N/A</v>
      </c>
      <c r="CZ708" s="61" t="e">
        <v>#N/A</v>
      </c>
      <c r="DA708" s="61" t="e">
        <v>#N/A</v>
      </c>
      <c r="DB708" s="61" t="e">
        <v>#N/A</v>
      </c>
      <c r="DC708" s="61" t="e">
        <v>#N/A</v>
      </c>
      <c r="DD708" s="61" t="e">
        <v>#N/A</v>
      </c>
      <c r="DE708" s="61" t="e">
        <v>#N/A</v>
      </c>
      <c r="DF708" s="61" t="e">
        <v>#N/A</v>
      </c>
      <c r="DG708" s="61" t="e">
        <v>#N/A</v>
      </c>
      <c r="DH708" s="61" t="e">
        <v>#N/A</v>
      </c>
      <c r="DI708" s="61" t="e">
        <v>#N/A</v>
      </c>
      <c r="DJ708" s="61" t="e">
        <v>#N/A</v>
      </c>
    </row>
    <row r="709" spans="14:114">
      <c r="N709" s="61" t="str">
        <f t="shared" ref="N709:N772" si="107">IF(A709="Y",""""&amp;C709&amp;""""&amp;": "&amp;M709&amp;",","")</f>
        <v/>
      </c>
      <c r="O709" s="53" t="str">
        <f t="shared" ref="O709:O772" si="108">IF(D709="input","fill",IF(I709&lt;&gt;"","innerText",IF(J709="Y",$T$110,"click")))</f>
        <v>click</v>
      </c>
      <c r="P709" s="61" t="str">
        <f t="shared" si="104"/>
        <v>();</v>
      </c>
      <c r="Q709" s="61" t="str">
        <f t="shared" ref="Q709:Q714" si="109">IF(A709="Y",IF(H709&lt;&gt;"Xpath",M709&amp;F709&amp;N709,""""&amp;F709&amp;""""),"")</f>
        <v/>
      </c>
      <c r="R709" s="61" t="str">
        <f t="shared" si="105"/>
        <v/>
      </c>
      <c r="S709" s="61" t="str">
        <f t="shared" ref="S709:S772" si="110">IF(O709="innerText",I709&amp;"="&amp;IF(C709="Y",IF(J709&lt;&gt;"Y",$S$9&amp;$R$10&amp;"."&amp;E709&amp;")."&amp;IF(OR(O709="click",O709="innerText"),O709&amp;"();",O709&amp;"("&amp;$Q$9&amp;"."&amp;E709&amp;");"),$S$110&amp;$R$10&amp;"."&amp;E709&amp;")."&amp;IF(O709="click",O709&amp;"();",O709&amp;"("&amp;"'"&amp;K709&amp;"'"&amp;");")),""),IF(C709="Y",IF(J709&lt;&gt;"Y",$S$9&amp;$R$10&amp;"."&amp;E709&amp;")."&amp;IF(OR(O709="click",O709="innerText"),O709&amp;"();",O709&amp;"("&amp;$Q$9&amp;"."&amp;E709&amp;");"),$S$110&amp;$R$10&amp;"."&amp;E709&amp;")."&amp;IF(O709="click",O709&amp;"();",O709&amp;"("&amp;"'"&amp;K709&amp;"'"&amp;");")),""))</f>
        <v/>
      </c>
      <c r="CU709" s="61" t="e">
        <v>#N/A</v>
      </c>
      <c r="CV709" s="61" t="e">
        <v>#N/A</v>
      </c>
      <c r="CW709" s="61" t="e">
        <v>#N/A</v>
      </c>
      <c r="CX709" s="61" t="e">
        <v>#N/A</v>
      </c>
      <c r="CY709" s="61" t="e">
        <v>#N/A</v>
      </c>
      <c r="CZ709" s="61" t="e">
        <v>#N/A</v>
      </c>
      <c r="DA709" s="61" t="e">
        <v>#N/A</v>
      </c>
      <c r="DB709" s="61" t="e">
        <v>#N/A</v>
      </c>
      <c r="DC709" s="61" t="e">
        <v>#N/A</v>
      </c>
      <c r="DD709" s="61" t="e">
        <v>#N/A</v>
      </c>
      <c r="DE709" s="61" t="e">
        <v>#N/A</v>
      </c>
      <c r="DF709" s="61" t="e">
        <v>#N/A</v>
      </c>
      <c r="DG709" s="61" t="e">
        <v>#N/A</v>
      </c>
      <c r="DH709" s="61" t="e">
        <v>#N/A</v>
      </c>
      <c r="DI709" s="61" t="e">
        <v>#N/A</v>
      </c>
      <c r="DJ709" s="61" t="e">
        <v>#N/A</v>
      </c>
    </row>
    <row r="710" spans="14:114">
      <c r="N710" s="61" t="str">
        <f t="shared" si="107"/>
        <v/>
      </c>
      <c r="O710" s="53" t="str">
        <f t="shared" si="108"/>
        <v>click</v>
      </c>
      <c r="P710" s="61" t="str">
        <f t="shared" si="104"/>
        <v>();</v>
      </c>
      <c r="Q710" s="61" t="str">
        <f t="shared" si="109"/>
        <v/>
      </c>
      <c r="R710" s="61" t="str">
        <f t="shared" si="105"/>
        <v/>
      </c>
      <c r="S710" s="61" t="str">
        <f t="shared" si="110"/>
        <v/>
      </c>
      <c r="CU710" s="61" t="e">
        <v>#N/A</v>
      </c>
      <c r="CV710" s="61" t="e">
        <v>#N/A</v>
      </c>
      <c r="CW710" s="61" t="e">
        <v>#N/A</v>
      </c>
      <c r="CX710" s="61" t="e">
        <v>#N/A</v>
      </c>
      <c r="CY710" s="61" t="e">
        <v>#N/A</v>
      </c>
      <c r="CZ710" s="61" t="e">
        <v>#N/A</v>
      </c>
      <c r="DA710" s="61" t="e">
        <v>#N/A</v>
      </c>
      <c r="DB710" s="61" t="e">
        <v>#N/A</v>
      </c>
      <c r="DC710" s="61" t="e">
        <v>#N/A</v>
      </c>
      <c r="DD710" s="61" t="e">
        <v>#N/A</v>
      </c>
      <c r="DE710" s="61" t="e">
        <v>#N/A</v>
      </c>
      <c r="DF710" s="61" t="e">
        <v>#N/A</v>
      </c>
      <c r="DG710" s="61" t="e">
        <v>#N/A</v>
      </c>
      <c r="DH710" s="61" t="e">
        <v>#N/A</v>
      </c>
      <c r="DI710" s="61" t="e">
        <v>#N/A</v>
      </c>
      <c r="DJ710" s="61" t="e">
        <v>#N/A</v>
      </c>
    </row>
    <row r="711" spans="14:114">
      <c r="N711" s="61" t="str">
        <f t="shared" si="107"/>
        <v/>
      </c>
      <c r="O711" s="53" t="str">
        <f t="shared" si="108"/>
        <v>click</v>
      </c>
      <c r="P711" s="61" t="str">
        <f t="shared" si="104"/>
        <v>();</v>
      </c>
      <c r="Q711" s="61" t="str">
        <f t="shared" si="109"/>
        <v/>
      </c>
      <c r="R711" s="61" t="str">
        <f t="shared" si="105"/>
        <v/>
      </c>
      <c r="S711" s="61" t="str">
        <f t="shared" si="110"/>
        <v/>
      </c>
      <c r="CU711" s="61" t="e">
        <v>#N/A</v>
      </c>
      <c r="CV711" s="61" t="e">
        <v>#N/A</v>
      </c>
      <c r="CW711" s="61" t="e">
        <v>#N/A</v>
      </c>
      <c r="CX711" s="61" t="e">
        <v>#N/A</v>
      </c>
      <c r="CY711" s="61" t="e">
        <v>#N/A</v>
      </c>
      <c r="CZ711" s="61" t="e">
        <v>#N/A</v>
      </c>
      <c r="DA711" s="61" t="e">
        <v>#N/A</v>
      </c>
      <c r="DB711" s="61" t="e">
        <v>#N/A</v>
      </c>
      <c r="DC711" s="61" t="e">
        <v>#N/A</v>
      </c>
      <c r="DD711" s="61" t="e">
        <v>#N/A</v>
      </c>
      <c r="DE711" s="61" t="e">
        <v>#N/A</v>
      </c>
      <c r="DF711" s="61" t="e">
        <v>#N/A</v>
      </c>
      <c r="DG711" s="61" t="e">
        <v>#N/A</v>
      </c>
      <c r="DH711" s="61" t="e">
        <v>#N/A</v>
      </c>
      <c r="DI711" s="61" t="e">
        <v>#N/A</v>
      </c>
      <c r="DJ711" s="61" t="e">
        <v>#N/A</v>
      </c>
    </row>
    <row r="712" spans="14:114">
      <c r="N712" s="61" t="str">
        <f t="shared" si="107"/>
        <v/>
      </c>
      <c r="O712" s="53" t="str">
        <f t="shared" si="108"/>
        <v>click</v>
      </c>
      <c r="P712" s="61" t="str">
        <f t="shared" si="104"/>
        <v>();</v>
      </c>
      <c r="Q712" s="61" t="str">
        <f t="shared" si="109"/>
        <v/>
      </c>
      <c r="R712" s="61" t="str">
        <f t="shared" si="105"/>
        <v/>
      </c>
      <c r="S712" s="61" t="str">
        <f t="shared" si="110"/>
        <v/>
      </c>
      <c r="CU712" s="61" t="e">
        <v>#N/A</v>
      </c>
      <c r="CV712" s="61" t="e">
        <v>#N/A</v>
      </c>
      <c r="CW712" s="61" t="e">
        <v>#N/A</v>
      </c>
      <c r="CX712" s="61" t="e">
        <v>#N/A</v>
      </c>
      <c r="CY712" s="61" t="e">
        <v>#N/A</v>
      </c>
      <c r="CZ712" s="61" t="e">
        <v>#N/A</v>
      </c>
      <c r="DA712" s="61" t="e">
        <v>#N/A</v>
      </c>
      <c r="DB712" s="61" t="e">
        <v>#N/A</v>
      </c>
      <c r="DC712" s="61" t="e">
        <v>#N/A</v>
      </c>
      <c r="DD712" s="61" t="e">
        <v>#N/A</v>
      </c>
      <c r="DE712" s="61" t="e">
        <v>#N/A</v>
      </c>
      <c r="DF712" s="61" t="e">
        <v>#N/A</v>
      </c>
      <c r="DG712" s="61" t="e">
        <v>#N/A</v>
      </c>
      <c r="DH712" s="61" t="e">
        <v>#N/A</v>
      </c>
      <c r="DI712" s="61" t="e">
        <v>#N/A</v>
      </c>
      <c r="DJ712" s="61" t="e">
        <v>#N/A</v>
      </c>
    </row>
    <row r="713" spans="14:114">
      <c r="N713" s="61" t="str">
        <f t="shared" si="107"/>
        <v/>
      </c>
      <c r="O713" s="53" t="str">
        <f t="shared" si="108"/>
        <v>click</v>
      </c>
      <c r="P713" s="61" t="str">
        <f t="shared" si="104"/>
        <v>();</v>
      </c>
      <c r="Q713" s="61" t="str">
        <f t="shared" si="109"/>
        <v/>
      </c>
      <c r="R713" s="61" t="str">
        <f t="shared" si="105"/>
        <v/>
      </c>
      <c r="S713" s="61" t="str">
        <f t="shared" si="110"/>
        <v/>
      </c>
      <c r="CU713" s="61" t="e">
        <v>#N/A</v>
      </c>
      <c r="CV713" s="61" t="e">
        <v>#N/A</v>
      </c>
      <c r="CW713" s="61" t="e">
        <v>#N/A</v>
      </c>
      <c r="CX713" s="61" t="e">
        <v>#N/A</v>
      </c>
      <c r="CY713" s="61" t="e">
        <v>#N/A</v>
      </c>
      <c r="CZ713" s="61" t="e">
        <v>#N/A</v>
      </c>
      <c r="DA713" s="61" t="e">
        <v>#N/A</v>
      </c>
      <c r="DB713" s="61" t="e">
        <v>#N/A</v>
      </c>
      <c r="DC713" s="61" t="e">
        <v>#N/A</v>
      </c>
      <c r="DD713" s="61" t="e">
        <v>#N/A</v>
      </c>
      <c r="DE713" s="61" t="e">
        <v>#N/A</v>
      </c>
      <c r="DF713" s="61" t="e">
        <v>#N/A</v>
      </c>
      <c r="DG713" s="61" t="e">
        <v>#N/A</v>
      </c>
      <c r="DH713" s="61" t="e">
        <v>#N/A</v>
      </c>
      <c r="DI713" s="61" t="e">
        <v>#N/A</v>
      </c>
      <c r="DJ713" s="61" t="e">
        <v>#N/A</v>
      </c>
    </row>
    <row r="714" spans="14:114">
      <c r="N714" s="61" t="str">
        <f t="shared" si="107"/>
        <v/>
      </c>
      <c r="O714" s="53" t="str">
        <f t="shared" si="108"/>
        <v>click</v>
      </c>
      <c r="P714" s="61" t="str">
        <f t="shared" si="104"/>
        <v>();</v>
      </c>
      <c r="Q714" s="61" t="str">
        <f t="shared" si="109"/>
        <v/>
      </c>
      <c r="R714" s="61" t="str">
        <f t="shared" si="105"/>
        <v/>
      </c>
      <c r="S714" s="61" t="str">
        <f t="shared" si="110"/>
        <v/>
      </c>
      <c r="CU714" s="61" t="e">
        <v>#N/A</v>
      </c>
      <c r="CV714" s="61" t="e">
        <v>#N/A</v>
      </c>
      <c r="CW714" s="61" t="e">
        <v>#N/A</v>
      </c>
      <c r="CX714" s="61" t="e">
        <v>#N/A</v>
      </c>
      <c r="CY714" s="61" t="e">
        <v>#N/A</v>
      </c>
      <c r="CZ714" s="61" t="e">
        <v>#N/A</v>
      </c>
      <c r="DA714" s="61" t="e">
        <v>#N/A</v>
      </c>
      <c r="DB714" s="61" t="e">
        <v>#N/A</v>
      </c>
      <c r="DC714" s="61" t="e">
        <v>#N/A</v>
      </c>
      <c r="DD714" s="61" t="e">
        <v>#N/A</v>
      </c>
      <c r="DE714" s="61" t="e">
        <v>#N/A</v>
      </c>
      <c r="DF714" s="61" t="e">
        <v>#N/A</v>
      </c>
      <c r="DG714" s="61" t="e">
        <v>#N/A</v>
      </c>
      <c r="DH714" s="61" t="e">
        <v>#N/A</v>
      </c>
      <c r="DI714" s="61" t="e">
        <v>#N/A</v>
      </c>
      <c r="DJ714" s="61" t="e">
        <v>#N/A</v>
      </c>
    </row>
    <row r="715" spans="14:114">
      <c r="N715" s="61" t="str">
        <f t="shared" si="107"/>
        <v/>
      </c>
      <c r="O715" s="53" t="str">
        <f t="shared" si="108"/>
        <v>click</v>
      </c>
      <c r="P715" s="61" t="str">
        <f t="shared" si="104"/>
        <v>();</v>
      </c>
      <c r="Q715" s="61" t="str">
        <f t="shared" ref="Q715:Q746" si="111">IF(A715="Y",IF(J715&lt;&gt;"Xpath",M715&amp;F715&amp;N715,""""&amp;H715&amp;""""),"")</f>
        <v/>
      </c>
      <c r="R715" s="61" t="str">
        <f t="shared" si="105"/>
        <v/>
      </c>
      <c r="S715" s="61" t="str">
        <f t="shared" si="110"/>
        <v/>
      </c>
      <c r="CU715" s="61" t="e">
        <v>#N/A</v>
      </c>
      <c r="CV715" s="61" t="e">
        <v>#N/A</v>
      </c>
      <c r="CW715" s="61" t="e">
        <v>#N/A</v>
      </c>
      <c r="CX715" s="61" t="e">
        <v>#N/A</v>
      </c>
      <c r="CY715" s="61" t="e">
        <v>#N/A</v>
      </c>
      <c r="CZ715" s="61" t="e">
        <v>#N/A</v>
      </c>
      <c r="DA715" s="61" t="e">
        <v>#N/A</v>
      </c>
      <c r="DB715" s="61" t="e">
        <v>#N/A</v>
      </c>
      <c r="DC715" s="61" t="e">
        <v>#N/A</v>
      </c>
      <c r="DD715" s="61" t="e">
        <v>#N/A</v>
      </c>
      <c r="DE715" s="61" t="e">
        <v>#N/A</v>
      </c>
      <c r="DF715" s="61" t="e">
        <v>#N/A</v>
      </c>
      <c r="DG715" s="61" t="e">
        <v>#N/A</v>
      </c>
      <c r="DH715" s="61" t="e">
        <v>#N/A</v>
      </c>
      <c r="DI715" s="61" t="e">
        <v>#N/A</v>
      </c>
      <c r="DJ715" s="61" t="e">
        <v>#N/A</v>
      </c>
    </row>
    <row r="716" spans="14:114">
      <c r="N716" s="61" t="str">
        <f t="shared" si="107"/>
        <v/>
      </c>
      <c r="O716" s="53" t="str">
        <f t="shared" si="108"/>
        <v>click</v>
      </c>
      <c r="P716" s="61" t="str">
        <f t="shared" ref="P716:P779" si="112">IF(OR(O716="Click",O716="innerText"),"();","("&amp;""""&amp;K716&amp;""""&amp;");")</f>
        <v>();</v>
      </c>
      <c r="Q716" s="61" t="str">
        <f t="shared" si="111"/>
        <v/>
      </c>
      <c r="R716" s="61" t="str">
        <f t="shared" si="105"/>
        <v/>
      </c>
      <c r="S716" s="61" t="str">
        <f t="shared" si="110"/>
        <v/>
      </c>
      <c r="CU716" s="61" t="e">
        <v>#N/A</v>
      </c>
      <c r="CV716" s="61" t="e">
        <v>#N/A</v>
      </c>
      <c r="CW716" s="61" t="e">
        <v>#N/A</v>
      </c>
      <c r="CX716" s="61" t="e">
        <v>#N/A</v>
      </c>
      <c r="CY716" s="61" t="e">
        <v>#N/A</v>
      </c>
      <c r="CZ716" s="61" t="e">
        <v>#N/A</v>
      </c>
      <c r="DA716" s="61" t="e">
        <v>#N/A</v>
      </c>
      <c r="DB716" s="61" t="e">
        <v>#N/A</v>
      </c>
      <c r="DC716" s="61" t="e">
        <v>#N/A</v>
      </c>
      <c r="DD716" s="61" t="e">
        <v>#N/A</v>
      </c>
      <c r="DE716" s="61" t="e">
        <v>#N/A</v>
      </c>
      <c r="DF716" s="61" t="e">
        <v>#N/A</v>
      </c>
      <c r="DG716" s="61" t="e">
        <v>#N/A</v>
      </c>
      <c r="DH716" s="61" t="e">
        <v>#N/A</v>
      </c>
      <c r="DI716" s="61" t="e">
        <v>#N/A</v>
      </c>
      <c r="DJ716" s="61" t="e">
        <v>#N/A</v>
      </c>
    </row>
    <row r="717" spans="14:114">
      <c r="N717" s="61" t="str">
        <f t="shared" si="107"/>
        <v/>
      </c>
      <c r="O717" s="53" t="str">
        <f t="shared" si="108"/>
        <v>click</v>
      </c>
      <c r="P717" s="61" t="str">
        <f t="shared" si="112"/>
        <v>();</v>
      </c>
      <c r="Q717" s="61" t="str">
        <f t="shared" si="111"/>
        <v/>
      </c>
      <c r="R717" s="61" t="str">
        <f t="shared" si="105"/>
        <v/>
      </c>
      <c r="S717" s="61" t="str">
        <f t="shared" si="110"/>
        <v/>
      </c>
      <c r="CU717" s="61" t="e">
        <v>#N/A</v>
      </c>
      <c r="CV717" s="61" t="e">
        <v>#N/A</v>
      </c>
      <c r="CW717" s="61" t="e">
        <v>#N/A</v>
      </c>
      <c r="CX717" s="61" t="e">
        <v>#N/A</v>
      </c>
      <c r="CY717" s="61" t="e">
        <v>#N/A</v>
      </c>
      <c r="CZ717" s="61" t="e">
        <v>#N/A</v>
      </c>
      <c r="DA717" s="61" t="e">
        <v>#N/A</v>
      </c>
      <c r="DB717" s="61" t="e">
        <v>#N/A</v>
      </c>
      <c r="DC717" s="61" t="e">
        <v>#N/A</v>
      </c>
      <c r="DD717" s="61" t="e">
        <v>#N/A</v>
      </c>
      <c r="DE717" s="61" t="e">
        <v>#N/A</v>
      </c>
      <c r="DF717" s="61" t="e">
        <v>#N/A</v>
      </c>
      <c r="DG717" s="61" t="e">
        <v>#N/A</v>
      </c>
      <c r="DH717" s="61" t="e">
        <v>#N/A</v>
      </c>
      <c r="DI717" s="61" t="e">
        <v>#N/A</v>
      </c>
      <c r="DJ717" s="61" t="e">
        <v>#N/A</v>
      </c>
    </row>
    <row r="718" spans="14:114">
      <c r="N718" s="61" t="str">
        <f t="shared" si="107"/>
        <v/>
      </c>
      <c r="O718" s="53" t="str">
        <f t="shared" si="108"/>
        <v>click</v>
      </c>
      <c r="P718" s="61" t="str">
        <f t="shared" si="112"/>
        <v>();</v>
      </c>
      <c r="Q718" s="61" t="str">
        <f t="shared" si="111"/>
        <v/>
      </c>
      <c r="R718" s="61" t="str">
        <f t="shared" si="105"/>
        <v/>
      </c>
      <c r="S718" s="61" t="str">
        <f t="shared" si="110"/>
        <v/>
      </c>
      <c r="CU718" s="61" t="e">
        <v>#N/A</v>
      </c>
      <c r="CV718" s="61" t="e">
        <v>#N/A</v>
      </c>
      <c r="CW718" s="61" t="e">
        <v>#N/A</v>
      </c>
      <c r="CX718" s="61" t="e">
        <v>#N/A</v>
      </c>
      <c r="CY718" s="61" t="e">
        <v>#N/A</v>
      </c>
      <c r="CZ718" s="61" t="e">
        <v>#N/A</v>
      </c>
      <c r="DA718" s="61" t="e">
        <v>#N/A</v>
      </c>
      <c r="DB718" s="61" t="e">
        <v>#N/A</v>
      </c>
      <c r="DC718" s="61" t="e">
        <v>#N/A</v>
      </c>
      <c r="DD718" s="61" t="e">
        <v>#N/A</v>
      </c>
      <c r="DE718" s="61" t="e">
        <v>#N/A</v>
      </c>
      <c r="DF718" s="61" t="e">
        <v>#N/A</v>
      </c>
      <c r="DG718" s="61" t="e">
        <v>#N/A</v>
      </c>
      <c r="DH718" s="61" t="e">
        <v>#N/A</v>
      </c>
      <c r="DI718" s="61" t="e">
        <v>#N/A</v>
      </c>
      <c r="DJ718" s="61" t="e">
        <v>#N/A</v>
      </c>
    </row>
    <row r="719" spans="14:114">
      <c r="N719" s="61" t="str">
        <f t="shared" si="107"/>
        <v/>
      </c>
      <c r="O719" s="53" t="str">
        <f t="shared" si="108"/>
        <v>click</v>
      </c>
      <c r="P719" s="61" t="str">
        <f t="shared" si="112"/>
        <v>();</v>
      </c>
      <c r="Q719" s="61" t="str">
        <f t="shared" si="111"/>
        <v/>
      </c>
      <c r="R719" s="61" t="str">
        <f t="shared" si="105"/>
        <v/>
      </c>
      <c r="S719" s="61" t="str">
        <f t="shared" si="110"/>
        <v/>
      </c>
      <c r="CU719" s="61" t="e">
        <v>#N/A</v>
      </c>
      <c r="CV719" s="61" t="e">
        <v>#N/A</v>
      </c>
      <c r="CW719" s="61" t="e">
        <v>#N/A</v>
      </c>
      <c r="CX719" s="61" t="e">
        <v>#N/A</v>
      </c>
      <c r="CY719" s="61" t="e">
        <v>#N/A</v>
      </c>
      <c r="CZ719" s="61" t="e">
        <v>#N/A</v>
      </c>
      <c r="DA719" s="61" t="e">
        <v>#N/A</v>
      </c>
      <c r="DB719" s="61" t="e">
        <v>#N/A</v>
      </c>
      <c r="DC719" s="61" t="e">
        <v>#N/A</v>
      </c>
      <c r="DD719" s="61" t="e">
        <v>#N/A</v>
      </c>
      <c r="DE719" s="61" t="e">
        <v>#N/A</v>
      </c>
      <c r="DF719" s="61" t="e">
        <v>#N/A</v>
      </c>
      <c r="DG719" s="61" t="e">
        <v>#N/A</v>
      </c>
      <c r="DH719" s="61" t="e">
        <v>#N/A</v>
      </c>
      <c r="DI719" s="61" t="e">
        <v>#N/A</v>
      </c>
      <c r="DJ719" s="61" t="e">
        <v>#N/A</v>
      </c>
    </row>
    <row r="720" spans="14:114">
      <c r="N720" s="61" t="str">
        <f t="shared" si="107"/>
        <v/>
      </c>
      <c r="O720" s="53" t="str">
        <f t="shared" si="108"/>
        <v>click</v>
      </c>
      <c r="P720" s="61" t="str">
        <f t="shared" si="112"/>
        <v>();</v>
      </c>
      <c r="Q720" s="61" t="str">
        <f t="shared" si="111"/>
        <v/>
      </c>
      <c r="R720" s="61" t="str">
        <f t="shared" si="105"/>
        <v/>
      </c>
      <c r="S720" s="61" t="str">
        <f t="shared" si="110"/>
        <v/>
      </c>
      <c r="CU720" s="61" t="e">
        <v>#N/A</v>
      </c>
      <c r="CV720" s="61" t="e">
        <v>#N/A</v>
      </c>
      <c r="CW720" s="61" t="e">
        <v>#N/A</v>
      </c>
      <c r="CX720" s="61" t="e">
        <v>#N/A</v>
      </c>
      <c r="CY720" s="61" t="e">
        <v>#N/A</v>
      </c>
      <c r="CZ720" s="61" t="e">
        <v>#N/A</v>
      </c>
      <c r="DA720" s="61" t="e">
        <v>#N/A</v>
      </c>
      <c r="DB720" s="61" t="e">
        <v>#N/A</v>
      </c>
      <c r="DC720" s="61" t="e">
        <v>#N/A</v>
      </c>
      <c r="DD720" s="61" t="e">
        <v>#N/A</v>
      </c>
      <c r="DE720" s="61" t="e">
        <v>#N/A</v>
      </c>
      <c r="DF720" s="61" t="e">
        <v>#N/A</v>
      </c>
      <c r="DG720" s="61" t="e">
        <v>#N/A</v>
      </c>
      <c r="DH720" s="61" t="e">
        <v>#N/A</v>
      </c>
      <c r="DI720" s="61" t="e">
        <v>#N/A</v>
      </c>
      <c r="DJ720" s="61" t="e">
        <v>#N/A</v>
      </c>
    </row>
    <row r="721" spans="14:114">
      <c r="N721" s="61" t="str">
        <f t="shared" si="107"/>
        <v/>
      </c>
      <c r="O721" s="53" t="str">
        <f t="shared" si="108"/>
        <v>click</v>
      </c>
      <c r="P721" s="61" t="str">
        <f t="shared" si="112"/>
        <v>();</v>
      </c>
      <c r="Q721" s="61" t="str">
        <f t="shared" si="111"/>
        <v/>
      </c>
      <c r="R721" s="61" t="str">
        <f t="shared" si="105"/>
        <v/>
      </c>
      <c r="S721" s="61" t="str">
        <f t="shared" si="110"/>
        <v/>
      </c>
      <c r="CU721" s="61" t="e">
        <v>#N/A</v>
      </c>
      <c r="CV721" s="61" t="e">
        <v>#N/A</v>
      </c>
      <c r="CW721" s="61" t="e">
        <v>#N/A</v>
      </c>
      <c r="CX721" s="61" t="e">
        <v>#N/A</v>
      </c>
      <c r="CY721" s="61" t="e">
        <v>#N/A</v>
      </c>
      <c r="CZ721" s="61" t="e">
        <v>#N/A</v>
      </c>
      <c r="DA721" s="61" t="e">
        <v>#N/A</v>
      </c>
      <c r="DB721" s="61" t="e">
        <v>#N/A</v>
      </c>
      <c r="DC721" s="61" t="e">
        <v>#N/A</v>
      </c>
      <c r="DD721" s="61" t="e">
        <v>#N/A</v>
      </c>
      <c r="DE721" s="61" t="e">
        <v>#N/A</v>
      </c>
      <c r="DF721" s="61" t="e">
        <v>#N/A</v>
      </c>
      <c r="DG721" s="61" t="e">
        <v>#N/A</v>
      </c>
      <c r="DH721" s="61" t="e">
        <v>#N/A</v>
      </c>
      <c r="DI721" s="61" t="e">
        <v>#N/A</v>
      </c>
      <c r="DJ721" s="61" t="e">
        <v>#N/A</v>
      </c>
    </row>
    <row r="722" spans="14:114">
      <c r="N722" s="61" t="str">
        <f t="shared" si="107"/>
        <v/>
      </c>
      <c r="O722" s="53" t="str">
        <f t="shared" si="108"/>
        <v>click</v>
      </c>
      <c r="P722" s="61" t="str">
        <f t="shared" si="112"/>
        <v>();</v>
      </c>
      <c r="Q722" s="61" t="str">
        <f t="shared" si="111"/>
        <v/>
      </c>
      <c r="R722" s="61" t="str">
        <f t="shared" si="105"/>
        <v/>
      </c>
      <c r="S722" s="61" t="str">
        <f t="shared" si="110"/>
        <v/>
      </c>
      <c r="CU722" s="61" t="e">
        <v>#N/A</v>
      </c>
      <c r="CV722" s="61" t="e">
        <v>#N/A</v>
      </c>
      <c r="CW722" s="61" t="e">
        <v>#N/A</v>
      </c>
      <c r="CX722" s="61" t="e">
        <v>#N/A</v>
      </c>
      <c r="CY722" s="61" t="e">
        <v>#N/A</v>
      </c>
      <c r="CZ722" s="61" t="e">
        <v>#N/A</v>
      </c>
      <c r="DA722" s="61" t="e">
        <v>#N/A</v>
      </c>
      <c r="DB722" s="61" t="e">
        <v>#N/A</v>
      </c>
      <c r="DC722" s="61" t="e">
        <v>#N/A</v>
      </c>
      <c r="DD722" s="61" t="e">
        <v>#N/A</v>
      </c>
      <c r="DE722" s="61" t="e">
        <v>#N/A</v>
      </c>
      <c r="DF722" s="61" t="e">
        <v>#N/A</v>
      </c>
      <c r="DG722" s="61" t="e">
        <v>#N/A</v>
      </c>
      <c r="DH722" s="61" t="e">
        <v>#N/A</v>
      </c>
      <c r="DI722" s="61" t="e">
        <v>#N/A</v>
      </c>
      <c r="DJ722" s="61" t="e">
        <v>#N/A</v>
      </c>
    </row>
    <row r="723" spans="14:114">
      <c r="N723" s="61" t="str">
        <f t="shared" si="107"/>
        <v/>
      </c>
      <c r="O723" s="53" t="str">
        <f t="shared" si="108"/>
        <v>click</v>
      </c>
      <c r="P723" s="61" t="str">
        <f t="shared" si="112"/>
        <v>();</v>
      </c>
      <c r="Q723" s="61" t="str">
        <f t="shared" si="111"/>
        <v/>
      </c>
      <c r="R723" s="61" t="str">
        <f t="shared" si="105"/>
        <v/>
      </c>
      <c r="S723" s="61" t="str">
        <f t="shared" si="110"/>
        <v/>
      </c>
      <c r="CU723" s="61" t="e">
        <v>#N/A</v>
      </c>
      <c r="CV723" s="61" t="e">
        <v>#N/A</v>
      </c>
      <c r="CW723" s="61" t="e">
        <v>#N/A</v>
      </c>
      <c r="CX723" s="61" t="e">
        <v>#N/A</v>
      </c>
      <c r="CY723" s="61" t="e">
        <v>#N/A</v>
      </c>
      <c r="CZ723" s="61" t="e">
        <v>#N/A</v>
      </c>
      <c r="DA723" s="61" t="e">
        <v>#N/A</v>
      </c>
      <c r="DB723" s="61" t="e">
        <v>#N/A</v>
      </c>
      <c r="DC723" s="61" t="e">
        <v>#N/A</v>
      </c>
      <c r="DD723" s="61" t="e">
        <v>#N/A</v>
      </c>
      <c r="DE723" s="61" t="e">
        <v>#N/A</v>
      </c>
      <c r="DF723" s="61" t="e">
        <v>#N/A</v>
      </c>
      <c r="DG723" s="61" t="e">
        <v>#N/A</v>
      </c>
      <c r="DH723" s="61" t="e">
        <v>#N/A</v>
      </c>
      <c r="DI723" s="61" t="e">
        <v>#N/A</v>
      </c>
      <c r="DJ723" s="61" t="e">
        <v>#N/A</v>
      </c>
    </row>
    <row r="724" spans="14:114">
      <c r="N724" s="61" t="str">
        <f t="shared" si="107"/>
        <v/>
      </c>
      <c r="O724" s="53" t="str">
        <f t="shared" si="108"/>
        <v>click</v>
      </c>
      <c r="P724" s="61" t="str">
        <f t="shared" si="112"/>
        <v>();</v>
      </c>
      <c r="Q724" s="61" t="str">
        <f t="shared" si="111"/>
        <v/>
      </c>
      <c r="R724" s="61" t="str">
        <f t="shared" si="105"/>
        <v/>
      </c>
      <c r="S724" s="61" t="str">
        <f t="shared" si="110"/>
        <v/>
      </c>
      <c r="CU724" s="61" t="e">
        <v>#N/A</v>
      </c>
      <c r="CV724" s="61" t="e">
        <v>#N/A</v>
      </c>
      <c r="CW724" s="61" t="e">
        <v>#N/A</v>
      </c>
      <c r="CX724" s="61" t="e">
        <v>#N/A</v>
      </c>
      <c r="CY724" s="61" t="e">
        <v>#N/A</v>
      </c>
      <c r="CZ724" s="61" t="e">
        <v>#N/A</v>
      </c>
      <c r="DA724" s="61" t="e">
        <v>#N/A</v>
      </c>
      <c r="DB724" s="61" t="e">
        <v>#N/A</v>
      </c>
      <c r="DC724" s="61" t="e">
        <v>#N/A</v>
      </c>
      <c r="DD724" s="61" t="e">
        <v>#N/A</v>
      </c>
      <c r="DE724" s="61" t="e">
        <v>#N/A</v>
      </c>
      <c r="DF724" s="61" t="e">
        <v>#N/A</v>
      </c>
      <c r="DG724" s="61" t="e">
        <v>#N/A</v>
      </c>
      <c r="DH724" s="61" t="e">
        <v>#N/A</v>
      </c>
      <c r="DI724" s="61" t="e">
        <v>#N/A</v>
      </c>
      <c r="DJ724" s="61" t="e">
        <v>#N/A</v>
      </c>
    </row>
    <row r="725" spans="14:114">
      <c r="N725" s="61" t="str">
        <f t="shared" si="107"/>
        <v/>
      </c>
      <c r="O725" s="53" t="str">
        <f t="shared" si="108"/>
        <v>click</v>
      </c>
      <c r="P725" s="61" t="str">
        <f t="shared" si="112"/>
        <v>();</v>
      </c>
      <c r="Q725" s="61" t="str">
        <f t="shared" si="111"/>
        <v/>
      </c>
      <c r="R725" s="61" t="str">
        <f t="shared" si="105"/>
        <v/>
      </c>
      <c r="S725" s="61" t="str">
        <f t="shared" si="110"/>
        <v/>
      </c>
      <c r="CU725" s="61" t="e">
        <v>#N/A</v>
      </c>
      <c r="CV725" s="61" t="e">
        <v>#N/A</v>
      </c>
      <c r="CW725" s="61" t="e">
        <v>#N/A</v>
      </c>
      <c r="CX725" s="61" t="e">
        <v>#N/A</v>
      </c>
      <c r="CY725" s="61" t="e">
        <v>#N/A</v>
      </c>
      <c r="CZ725" s="61" t="e">
        <v>#N/A</v>
      </c>
      <c r="DA725" s="61" t="e">
        <v>#N/A</v>
      </c>
      <c r="DB725" s="61" t="e">
        <v>#N/A</v>
      </c>
      <c r="DC725" s="61" t="e">
        <v>#N/A</v>
      </c>
      <c r="DD725" s="61" t="e">
        <v>#N/A</v>
      </c>
      <c r="DE725" s="61" t="e">
        <v>#N/A</v>
      </c>
      <c r="DF725" s="61" t="e">
        <v>#N/A</v>
      </c>
      <c r="DG725" s="61" t="e">
        <v>#N/A</v>
      </c>
      <c r="DH725" s="61" t="e">
        <v>#N/A</v>
      </c>
      <c r="DI725" s="61" t="e">
        <v>#N/A</v>
      </c>
      <c r="DJ725" s="61" t="e">
        <v>#N/A</v>
      </c>
    </row>
    <row r="726" spans="14:114">
      <c r="N726" s="61" t="str">
        <f t="shared" si="107"/>
        <v/>
      </c>
      <c r="O726" s="53" t="str">
        <f t="shared" si="108"/>
        <v>click</v>
      </c>
      <c r="P726" s="61" t="str">
        <f t="shared" si="112"/>
        <v>();</v>
      </c>
      <c r="Q726" s="61" t="str">
        <f t="shared" si="111"/>
        <v/>
      </c>
      <c r="R726" s="61" t="str">
        <f t="shared" si="105"/>
        <v/>
      </c>
      <c r="S726" s="61" t="str">
        <f t="shared" si="110"/>
        <v/>
      </c>
      <c r="CU726" s="61" t="e">
        <v>#N/A</v>
      </c>
      <c r="CV726" s="61" t="e">
        <v>#N/A</v>
      </c>
      <c r="CW726" s="61" t="e">
        <v>#N/A</v>
      </c>
      <c r="CX726" s="61" t="e">
        <v>#N/A</v>
      </c>
      <c r="CY726" s="61" t="e">
        <v>#N/A</v>
      </c>
      <c r="CZ726" s="61" t="e">
        <v>#N/A</v>
      </c>
      <c r="DA726" s="61" t="e">
        <v>#N/A</v>
      </c>
      <c r="DB726" s="61" t="e">
        <v>#N/A</v>
      </c>
      <c r="DC726" s="61" t="e">
        <v>#N/A</v>
      </c>
      <c r="DD726" s="61" t="e">
        <v>#N/A</v>
      </c>
      <c r="DE726" s="61" t="e">
        <v>#N/A</v>
      </c>
      <c r="DF726" s="61" t="e">
        <v>#N/A</v>
      </c>
      <c r="DG726" s="61" t="e">
        <v>#N/A</v>
      </c>
      <c r="DH726" s="61" t="e">
        <v>#N/A</v>
      </c>
      <c r="DI726" s="61" t="e">
        <v>#N/A</v>
      </c>
      <c r="DJ726" s="61" t="e">
        <v>#N/A</v>
      </c>
    </row>
    <row r="727" spans="14:114">
      <c r="N727" s="61" t="str">
        <f t="shared" si="107"/>
        <v/>
      </c>
      <c r="O727" s="53" t="str">
        <f t="shared" si="108"/>
        <v>click</v>
      </c>
      <c r="P727" s="61" t="str">
        <f t="shared" si="112"/>
        <v>();</v>
      </c>
      <c r="Q727" s="61" t="str">
        <f t="shared" si="111"/>
        <v/>
      </c>
      <c r="R727" s="61" t="str">
        <f t="shared" si="105"/>
        <v/>
      </c>
      <c r="S727" s="61" t="str">
        <f t="shared" si="110"/>
        <v/>
      </c>
      <c r="CU727" s="61" t="e">
        <v>#N/A</v>
      </c>
      <c r="CV727" s="61" t="e">
        <v>#N/A</v>
      </c>
      <c r="CW727" s="61" t="e">
        <v>#N/A</v>
      </c>
      <c r="CX727" s="61" t="e">
        <v>#N/A</v>
      </c>
      <c r="CY727" s="61" t="e">
        <v>#N/A</v>
      </c>
      <c r="CZ727" s="61" t="e">
        <v>#N/A</v>
      </c>
      <c r="DA727" s="61" t="e">
        <v>#N/A</v>
      </c>
      <c r="DB727" s="61" t="e">
        <v>#N/A</v>
      </c>
      <c r="DC727" s="61" t="e">
        <v>#N/A</v>
      </c>
      <c r="DD727" s="61" t="e">
        <v>#N/A</v>
      </c>
      <c r="DE727" s="61" t="e">
        <v>#N/A</v>
      </c>
      <c r="DF727" s="61" t="e">
        <v>#N/A</v>
      </c>
      <c r="DG727" s="61" t="e">
        <v>#N/A</v>
      </c>
      <c r="DH727" s="61" t="e">
        <v>#N/A</v>
      </c>
      <c r="DI727" s="61" t="e">
        <v>#N/A</v>
      </c>
      <c r="DJ727" s="61" t="e">
        <v>#N/A</v>
      </c>
    </row>
    <row r="728" spans="14:114">
      <c r="N728" s="61" t="str">
        <f t="shared" si="107"/>
        <v/>
      </c>
      <c r="O728" s="53" t="str">
        <f t="shared" si="108"/>
        <v>click</v>
      </c>
      <c r="P728" s="61" t="str">
        <f t="shared" si="112"/>
        <v>();</v>
      </c>
      <c r="Q728" s="61" t="str">
        <f t="shared" si="111"/>
        <v/>
      </c>
      <c r="R728" s="61" t="str">
        <f t="shared" si="105"/>
        <v/>
      </c>
      <c r="S728" s="61" t="str">
        <f t="shared" si="110"/>
        <v/>
      </c>
      <c r="CU728" s="61" t="e">
        <v>#N/A</v>
      </c>
      <c r="CV728" s="61" t="e">
        <v>#N/A</v>
      </c>
      <c r="CW728" s="61" t="e">
        <v>#N/A</v>
      </c>
      <c r="CX728" s="61" t="e">
        <v>#N/A</v>
      </c>
      <c r="CY728" s="61" t="e">
        <v>#N/A</v>
      </c>
      <c r="CZ728" s="61" t="e">
        <v>#N/A</v>
      </c>
      <c r="DA728" s="61" t="e">
        <v>#N/A</v>
      </c>
      <c r="DB728" s="61" t="e">
        <v>#N/A</v>
      </c>
      <c r="DC728" s="61" t="e">
        <v>#N/A</v>
      </c>
      <c r="DD728" s="61" t="e">
        <v>#N/A</v>
      </c>
      <c r="DE728" s="61" t="e">
        <v>#N/A</v>
      </c>
      <c r="DF728" s="61" t="e">
        <v>#N/A</v>
      </c>
      <c r="DG728" s="61" t="e">
        <v>#N/A</v>
      </c>
      <c r="DH728" s="61" t="e">
        <v>#N/A</v>
      </c>
      <c r="DI728" s="61" t="e">
        <v>#N/A</v>
      </c>
      <c r="DJ728" s="61" t="e">
        <v>#N/A</v>
      </c>
    </row>
    <row r="729" spans="14:114">
      <c r="N729" s="61" t="str">
        <f t="shared" si="107"/>
        <v/>
      </c>
      <c r="O729" s="53" t="str">
        <f t="shared" si="108"/>
        <v>click</v>
      </c>
      <c r="P729" s="61" t="str">
        <f t="shared" si="112"/>
        <v>();</v>
      </c>
      <c r="Q729" s="61" t="str">
        <f t="shared" si="111"/>
        <v/>
      </c>
      <c r="R729" s="61" t="str">
        <f t="shared" ref="R729:R792" si="113">IF(C729="Y",""""&amp;E729&amp;""""&amp;":"&amp;Q729&amp;";","")</f>
        <v/>
      </c>
      <c r="S729" s="61" t="str">
        <f t="shared" si="110"/>
        <v/>
      </c>
      <c r="CU729" s="61" t="e">
        <v>#N/A</v>
      </c>
      <c r="CV729" s="61" t="e">
        <v>#N/A</v>
      </c>
      <c r="CW729" s="61" t="e">
        <v>#N/A</v>
      </c>
      <c r="CX729" s="61" t="e">
        <v>#N/A</v>
      </c>
      <c r="CY729" s="61" t="e">
        <v>#N/A</v>
      </c>
      <c r="CZ729" s="61" t="e">
        <v>#N/A</v>
      </c>
      <c r="DA729" s="61" t="e">
        <v>#N/A</v>
      </c>
      <c r="DB729" s="61" t="e">
        <v>#N/A</v>
      </c>
      <c r="DC729" s="61" t="e">
        <v>#N/A</v>
      </c>
      <c r="DD729" s="61" t="e">
        <v>#N/A</v>
      </c>
      <c r="DE729" s="61" t="e">
        <v>#N/A</v>
      </c>
      <c r="DF729" s="61" t="e">
        <v>#N/A</v>
      </c>
      <c r="DG729" s="61" t="e">
        <v>#N/A</v>
      </c>
      <c r="DH729" s="61" t="e">
        <v>#N/A</v>
      </c>
      <c r="DI729" s="61" t="e">
        <v>#N/A</v>
      </c>
      <c r="DJ729" s="61" t="e">
        <v>#N/A</v>
      </c>
    </row>
    <row r="730" spans="14:114">
      <c r="N730" s="61" t="str">
        <f t="shared" si="107"/>
        <v/>
      </c>
      <c r="O730" s="53" t="str">
        <f t="shared" si="108"/>
        <v>click</v>
      </c>
      <c r="P730" s="61" t="str">
        <f t="shared" si="112"/>
        <v>();</v>
      </c>
      <c r="Q730" s="61" t="str">
        <f t="shared" si="111"/>
        <v/>
      </c>
      <c r="R730" s="61" t="str">
        <f t="shared" si="113"/>
        <v/>
      </c>
      <c r="S730" s="61" t="str">
        <f t="shared" si="110"/>
        <v/>
      </c>
      <c r="CU730" s="61" t="e">
        <v>#N/A</v>
      </c>
      <c r="CV730" s="61" t="e">
        <v>#N/A</v>
      </c>
      <c r="CW730" s="61" t="e">
        <v>#N/A</v>
      </c>
      <c r="CX730" s="61" t="e">
        <v>#N/A</v>
      </c>
      <c r="CY730" s="61" t="e">
        <v>#N/A</v>
      </c>
      <c r="CZ730" s="61" t="e">
        <v>#N/A</v>
      </c>
      <c r="DA730" s="61" t="e">
        <v>#N/A</v>
      </c>
      <c r="DB730" s="61" t="e">
        <v>#N/A</v>
      </c>
      <c r="DC730" s="61" t="e">
        <v>#N/A</v>
      </c>
      <c r="DD730" s="61" t="e">
        <v>#N/A</v>
      </c>
      <c r="DE730" s="61" t="e">
        <v>#N/A</v>
      </c>
      <c r="DF730" s="61" t="e">
        <v>#N/A</v>
      </c>
      <c r="DG730" s="61" t="e">
        <v>#N/A</v>
      </c>
      <c r="DH730" s="61" t="e">
        <v>#N/A</v>
      </c>
      <c r="DI730" s="61" t="e">
        <v>#N/A</v>
      </c>
      <c r="DJ730" s="61" t="e">
        <v>#N/A</v>
      </c>
    </row>
    <row r="731" spans="14:114">
      <c r="N731" s="61" t="str">
        <f t="shared" si="107"/>
        <v/>
      </c>
      <c r="O731" s="53" t="str">
        <f t="shared" si="108"/>
        <v>click</v>
      </c>
      <c r="P731" s="61" t="str">
        <f t="shared" si="112"/>
        <v>();</v>
      </c>
      <c r="Q731" s="61" t="str">
        <f t="shared" si="111"/>
        <v/>
      </c>
      <c r="R731" s="61" t="str">
        <f t="shared" si="113"/>
        <v/>
      </c>
      <c r="S731" s="61" t="str">
        <f t="shared" si="110"/>
        <v/>
      </c>
      <c r="CU731" s="61" t="e">
        <v>#N/A</v>
      </c>
      <c r="CV731" s="61" t="e">
        <v>#N/A</v>
      </c>
      <c r="CW731" s="61" t="e">
        <v>#N/A</v>
      </c>
      <c r="CX731" s="61" t="e">
        <v>#N/A</v>
      </c>
      <c r="CY731" s="61" t="e">
        <v>#N/A</v>
      </c>
      <c r="CZ731" s="61" t="e">
        <v>#N/A</v>
      </c>
      <c r="DA731" s="61" t="e">
        <v>#N/A</v>
      </c>
      <c r="DB731" s="61" t="e">
        <v>#N/A</v>
      </c>
      <c r="DC731" s="61" t="e">
        <v>#N/A</v>
      </c>
      <c r="DD731" s="61" t="e">
        <v>#N/A</v>
      </c>
      <c r="DE731" s="61" t="e">
        <v>#N/A</v>
      </c>
      <c r="DF731" s="61" t="e">
        <v>#N/A</v>
      </c>
      <c r="DG731" s="61" t="e">
        <v>#N/A</v>
      </c>
      <c r="DH731" s="61" t="e">
        <v>#N/A</v>
      </c>
      <c r="DI731" s="61" t="e">
        <v>#N/A</v>
      </c>
      <c r="DJ731" s="61" t="e">
        <v>#N/A</v>
      </c>
    </row>
    <row r="732" spans="14:114">
      <c r="N732" s="61" t="str">
        <f t="shared" si="107"/>
        <v/>
      </c>
      <c r="O732" s="53" t="str">
        <f t="shared" si="108"/>
        <v>click</v>
      </c>
      <c r="P732" s="61" t="str">
        <f t="shared" si="112"/>
        <v>();</v>
      </c>
      <c r="Q732" s="61" t="str">
        <f t="shared" si="111"/>
        <v/>
      </c>
      <c r="R732" s="61" t="str">
        <f t="shared" si="113"/>
        <v/>
      </c>
      <c r="S732" s="61" t="str">
        <f t="shared" si="110"/>
        <v/>
      </c>
      <c r="CU732" s="61" t="e">
        <v>#N/A</v>
      </c>
      <c r="CV732" s="61" t="e">
        <v>#N/A</v>
      </c>
      <c r="CW732" s="61" t="e">
        <v>#N/A</v>
      </c>
      <c r="CX732" s="61" t="e">
        <v>#N/A</v>
      </c>
      <c r="CY732" s="61" t="e">
        <v>#N/A</v>
      </c>
      <c r="CZ732" s="61" t="e">
        <v>#N/A</v>
      </c>
      <c r="DA732" s="61" t="e">
        <v>#N/A</v>
      </c>
      <c r="DB732" s="61" t="e">
        <v>#N/A</v>
      </c>
      <c r="DC732" s="61" t="e">
        <v>#N/A</v>
      </c>
      <c r="DD732" s="61" t="e">
        <v>#N/A</v>
      </c>
      <c r="DE732" s="61" t="e">
        <v>#N/A</v>
      </c>
      <c r="DF732" s="61" t="e">
        <v>#N/A</v>
      </c>
      <c r="DG732" s="61" t="e">
        <v>#N/A</v>
      </c>
      <c r="DH732" s="61" t="e">
        <v>#N/A</v>
      </c>
      <c r="DI732" s="61" t="e">
        <v>#N/A</v>
      </c>
      <c r="DJ732" s="61" t="e">
        <v>#N/A</v>
      </c>
    </row>
    <row r="733" spans="14:114">
      <c r="N733" s="61" t="str">
        <f t="shared" si="107"/>
        <v/>
      </c>
      <c r="O733" s="53" t="str">
        <f t="shared" si="108"/>
        <v>click</v>
      </c>
      <c r="P733" s="61" t="str">
        <f t="shared" si="112"/>
        <v>();</v>
      </c>
      <c r="Q733" s="61" t="str">
        <f t="shared" si="111"/>
        <v/>
      </c>
      <c r="R733" s="61" t="str">
        <f t="shared" si="113"/>
        <v/>
      </c>
      <c r="S733" s="61" t="str">
        <f t="shared" si="110"/>
        <v/>
      </c>
      <c r="CU733" s="61" t="e">
        <v>#N/A</v>
      </c>
      <c r="CV733" s="61" t="e">
        <v>#N/A</v>
      </c>
      <c r="CW733" s="61" t="e">
        <v>#N/A</v>
      </c>
      <c r="CX733" s="61" t="e">
        <v>#N/A</v>
      </c>
      <c r="CY733" s="61" t="e">
        <v>#N/A</v>
      </c>
      <c r="CZ733" s="61" t="e">
        <v>#N/A</v>
      </c>
      <c r="DA733" s="61" t="e">
        <v>#N/A</v>
      </c>
      <c r="DB733" s="61" t="e">
        <v>#N/A</v>
      </c>
      <c r="DC733" s="61" t="e">
        <v>#N/A</v>
      </c>
      <c r="DD733" s="61" t="e">
        <v>#N/A</v>
      </c>
      <c r="DE733" s="61" t="e">
        <v>#N/A</v>
      </c>
      <c r="DF733" s="61" t="e">
        <v>#N/A</v>
      </c>
      <c r="DG733" s="61" t="e">
        <v>#N/A</v>
      </c>
      <c r="DH733" s="61" t="e">
        <v>#N/A</v>
      </c>
      <c r="DI733" s="61" t="e">
        <v>#N/A</v>
      </c>
      <c r="DJ733" s="61" t="e">
        <v>#N/A</v>
      </c>
    </row>
    <row r="734" spans="14:114">
      <c r="N734" s="61" t="str">
        <f t="shared" si="107"/>
        <v/>
      </c>
      <c r="O734" s="53" t="str">
        <f t="shared" si="108"/>
        <v>click</v>
      </c>
      <c r="P734" s="61" t="str">
        <f t="shared" si="112"/>
        <v>();</v>
      </c>
      <c r="Q734" s="61" t="str">
        <f t="shared" si="111"/>
        <v/>
      </c>
      <c r="R734" s="61" t="str">
        <f t="shared" si="113"/>
        <v/>
      </c>
      <c r="S734" s="61" t="str">
        <f t="shared" si="110"/>
        <v/>
      </c>
      <c r="CU734" s="61" t="e">
        <v>#N/A</v>
      </c>
      <c r="CV734" s="61" t="e">
        <v>#N/A</v>
      </c>
      <c r="CW734" s="61" t="e">
        <v>#N/A</v>
      </c>
      <c r="CX734" s="61" t="e">
        <v>#N/A</v>
      </c>
      <c r="CY734" s="61" t="e">
        <v>#N/A</v>
      </c>
      <c r="CZ734" s="61" t="e">
        <v>#N/A</v>
      </c>
      <c r="DA734" s="61" t="e">
        <v>#N/A</v>
      </c>
      <c r="DB734" s="61" t="e">
        <v>#N/A</v>
      </c>
      <c r="DC734" s="61" t="e">
        <v>#N/A</v>
      </c>
      <c r="DD734" s="61" t="e">
        <v>#N/A</v>
      </c>
      <c r="DE734" s="61" t="e">
        <v>#N/A</v>
      </c>
      <c r="DF734" s="61" t="e">
        <v>#N/A</v>
      </c>
      <c r="DG734" s="61" t="e">
        <v>#N/A</v>
      </c>
      <c r="DH734" s="61" t="e">
        <v>#N/A</v>
      </c>
      <c r="DI734" s="61" t="e">
        <v>#N/A</v>
      </c>
      <c r="DJ734" s="61" t="e">
        <v>#N/A</v>
      </c>
    </row>
    <row r="735" spans="14:114">
      <c r="N735" s="61" t="str">
        <f t="shared" si="107"/>
        <v/>
      </c>
      <c r="O735" s="53" t="str">
        <f t="shared" si="108"/>
        <v>click</v>
      </c>
      <c r="P735" s="61" t="str">
        <f t="shared" si="112"/>
        <v>();</v>
      </c>
      <c r="Q735" s="61" t="str">
        <f t="shared" si="111"/>
        <v/>
      </c>
      <c r="R735" s="61" t="str">
        <f t="shared" si="113"/>
        <v/>
      </c>
      <c r="S735" s="61" t="str">
        <f t="shared" si="110"/>
        <v/>
      </c>
      <c r="CU735" s="61" t="e">
        <v>#N/A</v>
      </c>
      <c r="CV735" s="61" t="e">
        <v>#N/A</v>
      </c>
      <c r="CW735" s="61" t="e">
        <v>#N/A</v>
      </c>
      <c r="CX735" s="61" t="e">
        <v>#N/A</v>
      </c>
      <c r="CY735" s="61" t="e">
        <v>#N/A</v>
      </c>
      <c r="CZ735" s="61" t="e">
        <v>#N/A</v>
      </c>
      <c r="DA735" s="61" t="e">
        <v>#N/A</v>
      </c>
      <c r="DB735" s="61" t="e">
        <v>#N/A</v>
      </c>
      <c r="DC735" s="61" t="e">
        <v>#N/A</v>
      </c>
      <c r="DD735" s="61" t="e">
        <v>#N/A</v>
      </c>
      <c r="DE735" s="61" t="e">
        <v>#N/A</v>
      </c>
      <c r="DF735" s="61" t="e">
        <v>#N/A</v>
      </c>
      <c r="DG735" s="61" t="e">
        <v>#N/A</v>
      </c>
      <c r="DH735" s="61" t="e">
        <v>#N/A</v>
      </c>
      <c r="DI735" s="61" t="e">
        <v>#N/A</v>
      </c>
      <c r="DJ735" s="61" t="e">
        <v>#N/A</v>
      </c>
    </row>
    <row r="736" spans="14:114">
      <c r="N736" s="61" t="str">
        <f t="shared" si="107"/>
        <v/>
      </c>
      <c r="O736" s="53" t="str">
        <f t="shared" si="108"/>
        <v>click</v>
      </c>
      <c r="P736" s="61" t="str">
        <f t="shared" si="112"/>
        <v>();</v>
      </c>
      <c r="Q736" s="61" t="str">
        <f t="shared" si="111"/>
        <v/>
      </c>
      <c r="R736" s="61" t="str">
        <f t="shared" si="113"/>
        <v/>
      </c>
      <c r="S736" s="61" t="str">
        <f t="shared" si="110"/>
        <v/>
      </c>
      <c r="CU736" s="61" t="e">
        <v>#N/A</v>
      </c>
      <c r="CV736" s="61" t="e">
        <v>#N/A</v>
      </c>
      <c r="CW736" s="61" t="e">
        <v>#N/A</v>
      </c>
      <c r="CX736" s="61" t="e">
        <v>#N/A</v>
      </c>
      <c r="CY736" s="61" t="e">
        <v>#N/A</v>
      </c>
      <c r="CZ736" s="61" t="e">
        <v>#N/A</v>
      </c>
      <c r="DA736" s="61" t="e">
        <v>#N/A</v>
      </c>
      <c r="DB736" s="61" t="e">
        <v>#N/A</v>
      </c>
      <c r="DC736" s="61" t="e">
        <v>#N/A</v>
      </c>
      <c r="DD736" s="61" t="e">
        <v>#N/A</v>
      </c>
      <c r="DE736" s="61" t="e">
        <v>#N/A</v>
      </c>
      <c r="DF736" s="61" t="e">
        <v>#N/A</v>
      </c>
      <c r="DG736" s="61" t="e">
        <v>#N/A</v>
      </c>
      <c r="DH736" s="61" t="e">
        <v>#N/A</v>
      </c>
      <c r="DI736" s="61" t="e">
        <v>#N/A</v>
      </c>
      <c r="DJ736" s="61" t="e">
        <v>#N/A</v>
      </c>
    </row>
    <row r="737" spans="14:114">
      <c r="N737" s="61" t="str">
        <f t="shared" si="107"/>
        <v/>
      </c>
      <c r="O737" s="53" t="str">
        <f t="shared" si="108"/>
        <v>click</v>
      </c>
      <c r="P737" s="61" t="str">
        <f t="shared" si="112"/>
        <v>();</v>
      </c>
      <c r="Q737" s="61" t="str">
        <f t="shared" si="111"/>
        <v/>
      </c>
      <c r="R737" s="61" t="str">
        <f t="shared" si="113"/>
        <v/>
      </c>
      <c r="S737" s="61" t="str">
        <f t="shared" si="110"/>
        <v/>
      </c>
      <c r="CU737" s="61" t="e">
        <v>#N/A</v>
      </c>
      <c r="CV737" s="61" t="e">
        <v>#N/A</v>
      </c>
      <c r="CW737" s="61" t="e">
        <v>#N/A</v>
      </c>
      <c r="CX737" s="61" t="e">
        <v>#N/A</v>
      </c>
      <c r="CY737" s="61" t="e">
        <v>#N/A</v>
      </c>
      <c r="CZ737" s="61" t="e">
        <v>#N/A</v>
      </c>
      <c r="DA737" s="61" t="e">
        <v>#N/A</v>
      </c>
      <c r="DB737" s="61" t="e">
        <v>#N/A</v>
      </c>
      <c r="DC737" s="61" t="e">
        <v>#N/A</v>
      </c>
      <c r="DD737" s="61" t="e">
        <v>#N/A</v>
      </c>
      <c r="DE737" s="61" t="e">
        <v>#N/A</v>
      </c>
      <c r="DF737" s="61" t="e">
        <v>#N/A</v>
      </c>
      <c r="DG737" s="61" t="e">
        <v>#N/A</v>
      </c>
      <c r="DH737" s="61" t="e">
        <v>#N/A</v>
      </c>
      <c r="DI737" s="61" t="e">
        <v>#N/A</v>
      </c>
      <c r="DJ737" s="61" t="e">
        <v>#N/A</v>
      </c>
    </row>
    <row r="738" spans="14:114">
      <c r="N738" s="61" t="str">
        <f t="shared" si="107"/>
        <v/>
      </c>
      <c r="O738" s="53" t="str">
        <f t="shared" si="108"/>
        <v>click</v>
      </c>
      <c r="P738" s="61" t="str">
        <f t="shared" si="112"/>
        <v>();</v>
      </c>
      <c r="Q738" s="61" t="str">
        <f t="shared" si="111"/>
        <v/>
      </c>
      <c r="R738" s="61" t="str">
        <f t="shared" si="113"/>
        <v/>
      </c>
      <c r="S738" s="61" t="str">
        <f t="shared" si="110"/>
        <v/>
      </c>
      <c r="CU738" s="61" t="e">
        <v>#N/A</v>
      </c>
      <c r="CV738" s="61" t="e">
        <v>#N/A</v>
      </c>
      <c r="CW738" s="61" t="e">
        <v>#N/A</v>
      </c>
      <c r="CX738" s="61" t="e">
        <v>#N/A</v>
      </c>
      <c r="CY738" s="61" t="e">
        <v>#N/A</v>
      </c>
      <c r="CZ738" s="61" t="e">
        <v>#N/A</v>
      </c>
      <c r="DA738" s="61" t="e">
        <v>#N/A</v>
      </c>
      <c r="DB738" s="61" t="e">
        <v>#N/A</v>
      </c>
      <c r="DC738" s="61" t="e">
        <v>#N/A</v>
      </c>
      <c r="DD738" s="61" t="e">
        <v>#N/A</v>
      </c>
      <c r="DE738" s="61" t="e">
        <v>#N/A</v>
      </c>
      <c r="DF738" s="61" t="e">
        <v>#N/A</v>
      </c>
      <c r="DG738" s="61" t="e">
        <v>#N/A</v>
      </c>
      <c r="DH738" s="61" t="e">
        <v>#N/A</v>
      </c>
      <c r="DI738" s="61" t="e">
        <v>#N/A</v>
      </c>
      <c r="DJ738" s="61" t="e">
        <v>#N/A</v>
      </c>
    </row>
    <row r="739" spans="14:114">
      <c r="N739" s="61" t="str">
        <f t="shared" si="107"/>
        <v/>
      </c>
      <c r="O739" s="53" t="str">
        <f t="shared" si="108"/>
        <v>click</v>
      </c>
      <c r="P739" s="61" t="str">
        <f t="shared" si="112"/>
        <v>();</v>
      </c>
      <c r="Q739" s="61" t="str">
        <f t="shared" si="111"/>
        <v/>
      </c>
      <c r="R739" s="61" t="str">
        <f t="shared" si="113"/>
        <v/>
      </c>
      <c r="S739" s="61" t="str">
        <f t="shared" si="110"/>
        <v/>
      </c>
      <c r="CU739" s="61" t="e">
        <v>#N/A</v>
      </c>
      <c r="CV739" s="61" t="e">
        <v>#N/A</v>
      </c>
      <c r="CW739" s="61" t="e">
        <v>#N/A</v>
      </c>
      <c r="CX739" s="61" t="e">
        <v>#N/A</v>
      </c>
      <c r="CY739" s="61" t="e">
        <v>#N/A</v>
      </c>
      <c r="CZ739" s="61" t="e">
        <v>#N/A</v>
      </c>
      <c r="DA739" s="61" t="e">
        <v>#N/A</v>
      </c>
      <c r="DB739" s="61" t="e">
        <v>#N/A</v>
      </c>
      <c r="DC739" s="61" t="e">
        <v>#N/A</v>
      </c>
      <c r="DD739" s="61" t="e">
        <v>#N/A</v>
      </c>
      <c r="DE739" s="61" t="e">
        <v>#N/A</v>
      </c>
      <c r="DF739" s="61" t="e">
        <v>#N/A</v>
      </c>
      <c r="DG739" s="61" t="e">
        <v>#N/A</v>
      </c>
      <c r="DH739" s="61" t="e">
        <v>#N/A</v>
      </c>
      <c r="DI739" s="61" t="e">
        <v>#N/A</v>
      </c>
      <c r="DJ739" s="61" t="e">
        <v>#N/A</v>
      </c>
    </row>
    <row r="740" spans="14:114">
      <c r="N740" s="61" t="str">
        <f t="shared" si="107"/>
        <v/>
      </c>
      <c r="O740" s="53" t="str">
        <f t="shared" si="108"/>
        <v>click</v>
      </c>
      <c r="P740" s="61" t="str">
        <f t="shared" si="112"/>
        <v>();</v>
      </c>
      <c r="Q740" s="61" t="str">
        <f t="shared" si="111"/>
        <v/>
      </c>
      <c r="R740" s="61" t="str">
        <f t="shared" si="113"/>
        <v/>
      </c>
      <c r="S740" s="61" t="str">
        <f t="shared" si="110"/>
        <v/>
      </c>
      <c r="CU740" s="61" t="e">
        <v>#N/A</v>
      </c>
      <c r="CV740" s="61" t="e">
        <v>#N/A</v>
      </c>
      <c r="CW740" s="61" t="e">
        <v>#N/A</v>
      </c>
      <c r="CX740" s="61" t="e">
        <v>#N/A</v>
      </c>
      <c r="CY740" s="61" t="e">
        <v>#N/A</v>
      </c>
      <c r="CZ740" s="61" t="e">
        <v>#N/A</v>
      </c>
      <c r="DA740" s="61" t="e">
        <v>#N/A</v>
      </c>
      <c r="DB740" s="61" t="e">
        <v>#N/A</v>
      </c>
      <c r="DC740" s="61" t="e">
        <v>#N/A</v>
      </c>
      <c r="DD740" s="61" t="e">
        <v>#N/A</v>
      </c>
      <c r="DE740" s="61" t="e">
        <v>#N/A</v>
      </c>
      <c r="DF740" s="61" t="e">
        <v>#N/A</v>
      </c>
      <c r="DG740" s="61" t="e">
        <v>#N/A</v>
      </c>
      <c r="DH740" s="61" t="e">
        <v>#N/A</v>
      </c>
      <c r="DI740" s="61" t="e">
        <v>#N/A</v>
      </c>
      <c r="DJ740" s="61" t="e">
        <v>#N/A</v>
      </c>
    </row>
    <row r="741" spans="14:114">
      <c r="N741" s="61" t="str">
        <f t="shared" si="107"/>
        <v/>
      </c>
      <c r="O741" s="53" t="str">
        <f t="shared" si="108"/>
        <v>click</v>
      </c>
      <c r="P741" s="61" t="str">
        <f t="shared" si="112"/>
        <v>();</v>
      </c>
      <c r="Q741" s="61" t="str">
        <f t="shared" si="111"/>
        <v/>
      </c>
      <c r="R741" s="61" t="str">
        <f t="shared" si="113"/>
        <v/>
      </c>
      <c r="S741" s="61" t="str">
        <f t="shared" si="110"/>
        <v/>
      </c>
      <c r="CU741" s="61" t="e">
        <v>#N/A</v>
      </c>
      <c r="CV741" s="61" t="e">
        <v>#N/A</v>
      </c>
      <c r="CW741" s="61" t="e">
        <v>#N/A</v>
      </c>
      <c r="CX741" s="61" t="e">
        <v>#N/A</v>
      </c>
      <c r="CY741" s="61" t="e">
        <v>#N/A</v>
      </c>
      <c r="CZ741" s="61" t="e">
        <v>#N/A</v>
      </c>
      <c r="DA741" s="61" t="e">
        <v>#N/A</v>
      </c>
      <c r="DB741" s="61" t="e">
        <v>#N/A</v>
      </c>
      <c r="DC741" s="61" t="e">
        <v>#N/A</v>
      </c>
      <c r="DD741" s="61" t="e">
        <v>#N/A</v>
      </c>
      <c r="DE741" s="61" t="e">
        <v>#N/A</v>
      </c>
      <c r="DF741" s="61" t="e">
        <v>#N/A</v>
      </c>
      <c r="DG741" s="61" t="e">
        <v>#N/A</v>
      </c>
      <c r="DH741" s="61" t="e">
        <v>#N/A</v>
      </c>
      <c r="DI741" s="61" t="e">
        <v>#N/A</v>
      </c>
      <c r="DJ741" s="61" t="e">
        <v>#N/A</v>
      </c>
    </row>
    <row r="742" spans="14:114">
      <c r="N742" s="61" t="str">
        <f t="shared" si="107"/>
        <v/>
      </c>
      <c r="O742" s="53" t="str">
        <f t="shared" si="108"/>
        <v>click</v>
      </c>
      <c r="P742" s="61" t="str">
        <f t="shared" si="112"/>
        <v>();</v>
      </c>
      <c r="Q742" s="61" t="str">
        <f t="shared" si="111"/>
        <v/>
      </c>
      <c r="R742" s="61" t="str">
        <f t="shared" si="113"/>
        <v/>
      </c>
      <c r="S742" s="61" t="str">
        <f t="shared" si="110"/>
        <v/>
      </c>
      <c r="CU742" s="61" t="e">
        <v>#N/A</v>
      </c>
      <c r="CV742" s="61" t="e">
        <v>#N/A</v>
      </c>
      <c r="CW742" s="61" t="e">
        <v>#N/A</v>
      </c>
      <c r="CX742" s="61" t="e">
        <v>#N/A</v>
      </c>
      <c r="CY742" s="61" t="e">
        <v>#N/A</v>
      </c>
      <c r="CZ742" s="61" t="e">
        <v>#N/A</v>
      </c>
      <c r="DA742" s="61" t="e">
        <v>#N/A</v>
      </c>
      <c r="DB742" s="61" t="e">
        <v>#N/A</v>
      </c>
      <c r="DC742" s="61" t="e">
        <v>#N/A</v>
      </c>
      <c r="DD742" s="61" t="e">
        <v>#N/A</v>
      </c>
      <c r="DE742" s="61" t="e">
        <v>#N/A</v>
      </c>
      <c r="DF742" s="61" t="e">
        <v>#N/A</v>
      </c>
      <c r="DG742" s="61" t="e">
        <v>#N/A</v>
      </c>
      <c r="DH742" s="61" t="e">
        <v>#N/A</v>
      </c>
      <c r="DI742" s="61" t="e">
        <v>#N/A</v>
      </c>
      <c r="DJ742" s="61" t="e">
        <v>#N/A</v>
      </c>
    </row>
    <row r="743" spans="14:114">
      <c r="N743" s="61" t="str">
        <f t="shared" si="107"/>
        <v/>
      </c>
      <c r="O743" s="53" t="str">
        <f t="shared" si="108"/>
        <v>click</v>
      </c>
      <c r="P743" s="61" t="str">
        <f t="shared" si="112"/>
        <v>();</v>
      </c>
      <c r="Q743" s="61" t="str">
        <f t="shared" si="111"/>
        <v/>
      </c>
      <c r="R743" s="61" t="str">
        <f t="shared" si="113"/>
        <v/>
      </c>
      <c r="S743" s="61" t="str">
        <f t="shared" si="110"/>
        <v/>
      </c>
      <c r="CU743" s="61" t="e">
        <v>#N/A</v>
      </c>
      <c r="CV743" s="61" t="e">
        <v>#N/A</v>
      </c>
      <c r="CW743" s="61" t="e">
        <v>#N/A</v>
      </c>
      <c r="CX743" s="61" t="e">
        <v>#N/A</v>
      </c>
      <c r="CY743" s="61" t="e">
        <v>#N/A</v>
      </c>
      <c r="CZ743" s="61" t="e">
        <v>#N/A</v>
      </c>
      <c r="DA743" s="61" t="e">
        <v>#N/A</v>
      </c>
      <c r="DB743" s="61" t="e">
        <v>#N/A</v>
      </c>
      <c r="DC743" s="61" t="e">
        <v>#N/A</v>
      </c>
      <c r="DD743" s="61" t="e">
        <v>#N/A</v>
      </c>
      <c r="DE743" s="61" t="e">
        <v>#N/A</v>
      </c>
      <c r="DF743" s="61" t="e">
        <v>#N/A</v>
      </c>
      <c r="DG743" s="61" t="e">
        <v>#N/A</v>
      </c>
      <c r="DH743" s="61" t="e">
        <v>#N/A</v>
      </c>
      <c r="DI743" s="61" t="e">
        <v>#N/A</v>
      </c>
      <c r="DJ743" s="61" t="e">
        <v>#N/A</v>
      </c>
    </row>
    <row r="744" spans="14:114">
      <c r="N744" s="61" t="str">
        <f t="shared" si="107"/>
        <v/>
      </c>
      <c r="O744" s="53" t="str">
        <f t="shared" si="108"/>
        <v>click</v>
      </c>
      <c r="P744" s="61" t="str">
        <f t="shared" si="112"/>
        <v>();</v>
      </c>
      <c r="Q744" s="61" t="str">
        <f t="shared" si="111"/>
        <v/>
      </c>
      <c r="R744" s="61" t="str">
        <f t="shared" si="113"/>
        <v/>
      </c>
      <c r="S744" s="61" t="str">
        <f t="shared" si="110"/>
        <v/>
      </c>
      <c r="CU744" s="61" t="e">
        <v>#N/A</v>
      </c>
      <c r="CV744" s="61" t="e">
        <v>#N/A</v>
      </c>
      <c r="CW744" s="61" t="e">
        <v>#N/A</v>
      </c>
      <c r="CX744" s="61" t="e">
        <v>#N/A</v>
      </c>
      <c r="CY744" s="61" t="e">
        <v>#N/A</v>
      </c>
      <c r="CZ744" s="61" t="e">
        <v>#N/A</v>
      </c>
      <c r="DA744" s="61" t="e">
        <v>#N/A</v>
      </c>
      <c r="DB744" s="61" t="e">
        <v>#N/A</v>
      </c>
      <c r="DC744" s="61" t="e">
        <v>#N/A</v>
      </c>
      <c r="DD744" s="61" t="e">
        <v>#N/A</v>
      </c>
      <c r="DE744" s="61" t="e">
        <v>#N/A</v>
      </c>
      <c r="DF744" s="61" t="e">
        <v>#N/A</v>
      </c>
      <c r="DG744" s="61" t="e">
        <v>#N/A</v>
      </c>
      <c r="DH744" s="61" t="e">
        <v>#N/A</v>
      </c>
      <c r="DI744" s="61" t="e">
        <v>#N/A</v>
      </c>
      <c r="DJ744" s="61" t="e">
        <v>#N/A</v>
      </c>
    </row>
    <row r="745" spans="14:114">
      <c r="N745" s="61" t="str">
        <f t="shared" si="107"/>
        <v/>
      </c>
      <c r="O745" s="53" t="str">
        <f t="shared" si="108"/>
        <v>click</v>
      </c>
      <c r="P745" s="61" t="str">
        <f t="shared" si="112"/>
        <v>();</v>
      </c>
      <c r="Q745" s="61" t="str">
        <f t="shared" si="111"/>
        <v/>
      </c>
      <c r="R745" s="61" t="str">
        <f t="shared" si="113"/>
        <v/>
      </c>
      <c r="S745" s="61" t="str">
        <f t="shared" si="110"/>
        <v/>
      </c>
      <c r="CU745" s="61" t="e">
        <v>#N/A</v>
      </c>
      <c r="CV745" s="61" t="e">
        <v>#N/A</v>
      </c>
      <c r="CW745" s="61" t="e">
        <v>#N/A</v>
      </c>
      <c r="CX745" s="61" t="e">
        <v>#N/A</v>
      </c>
      <c r="CY745" s="61" t="e">
        <v>#N/A</v>
      </c>
      <c r="CZ745" s="61" t="e">
        <v>#N/A</v>
      </c>
      <c r="DA745" s="61" t="e">
        <v>#N/A</v>
      </c>
      <c r="DB745" s="61" t="e">
        <v>#N/A</v>
      </c>
      <c r="DC745" s="61" t="e">
        <v>#N/A</v>
      </c>
      <c r="DD745" s="61" t="e">
        <v>#N/A</v>
      </c>
      <c r="DE745" s="61" t="e">
        <v>#N/A</v>
      </c>
      <c r="DF745" s="61" t="e">
        <v>#N/A</v>
      </c>
      <c r="DG745" s="61" t="e">
        <v>#N/A</v>
      </c>
      <c r="DH745" s="61" t="e">
        <v>#N/A</v>
      </c>
      <c r="DI745" s="61" t="e">
        <v>#N/A</v>
      </c>
      <c r="DJ745" s="61" t="e">
        <v>#N/A</v>
      </c>
    </row>
    <row r="746" spans="14:114">
      <c r="N746" s="61" t="str">
        <f t="shared" si="107"/>
        <v/>
      </c>
      <c r="O746" s="53" t="str">
        <f t="shared" si="108"/>
        <v>click</v>
      </c>
      <c r="P746" s="61" t="str">
        <f t="shared" si="112"/>
        <v>();</v>
      </c>
      <c r="Q746" s="61" t="str">
        <f t="shared" si="111"/>
        <v/>
      </c>
      <c r="R746" s="61" t="str">
        <f t="shared" si="113"/>
        <v/>
      </c>
      <c r="S746" s="61" t="str">
        <f t="shared" si="110"/>
        <v/>
      </c>
      <c r="CU746" s="61" t="e">
        <v>#N/A</v>
      </c>
      <c r="CV746" s="61" t="e">
        <v>#N/A</v>
      </c>
      <c r="CW746" s="61" t="e">
        <v>#N/A</v>
      </c>
      <c r="CX746" s="61" t="e">
        <v>#N/A</v>
      </c>
      <c r="CY746" s="61" t="e">
        <v>#N/A</v>
      </c>
      <c r="CZ746" s="61" t="e">
        <v>#N/A</v>
      </c>
      <c r="DA746" s="61" t="e">
        <v>#N/A</v>
      </c>
      <c r="DB746" s="61" t="e">
        <v>#N/A</v>
      </c>
      <c r="DC746" s="61" t="e">
        <v>#N/A</v>
      </c>
      <c r="DD746" s="61" t="e">
        <v>#N/A</v>
      </c>
      <c r="DE746" s="61" t="e">
        <v>#N/A</v>
      </c>
      <c r="DF746" s="61" t="e">
        <v>#N/A</v>
      </c>
      <c r="DG746" s="61" t="e">
        <v>#N/A</v>
      </c>
      <c r="DH746" s="61" t="e">
        <v>#N/A</v>
      </c>
      <c r="DI746" s="61" t="e">
        <v>#N/A</v>
      </c>
      <c r="DJ746" s="61" t="e">
        <v>#N/A</v>
      </c>
    </row>
    <row r="747" spans="14:114">
      <c r="N747" s="61" t="str">
        <f t="shared" si="107"/>
        <v/>
      </c>
      <c r="O747" s="53" t="str">
        <f t="shared" si="108"/>
        <v>click</v>
      </c>
      <c r="P747" s="61" t="str">
        <f t="shared" si="112"/>
        <v>();</v>
      </c>
      <c r="Q747" s="61" t="str">
        <f t="shared" ref="Q747:Q778" si="114">IF(A747="Y",IF(J747&lt;&gt;"Xpath",M747&amp;F747&amp;N747,""""&amp;H747&amp;""""),"")</f>
        <v/>
      </c>
      <c r="R747" s="61" t="str">
        <f t="shared" si="113"/>
        <v/>
      </c>
      <c r="S747" s="61" t="str">
        <f t="shared" si="110"/>
        <v/>
      </c>
      <c r="CU747" s="61" t="e">
        <v>#N/A</v>
      </c>
      <c r="CV747" s="61" t="e">
        <v>#N/A</v>
      </c>
      <c r="CW747" s="61" t="e">
        <v>#N/A</v>
      </c>
      <c r="CX747" s="61" t="e">
        <v>#N/A</v>
      </c>
      <c r="CY747" s="61" t="e">
        <v>#N/A</v>
      </c>
      <c r="CZ747" s="61" t="e">
        <v>#N/A</v>
      </c>
      <c r="DA747" s="61" t="e">
        <v>#N/A</v>
      </c>
      <c r="DB747" s="61" t="e">
        <v>#N/A</v>
      </c>
      <c r="DC747" s="61" t="e">
        <v>#N/A</v>
      </c>
      <c r="DD747" s="61" t="e">
        <v>#N/A</v>
      </c>
      <c r="DE747" s="61" t="e">
        <v>#N/A</v>
      </c>
      <c r="DF747" s="61" t="e">
        <v>#N/A</v>
      </c>
      <c r="DG747" s="61" t="e">
        <v>#N/A</v>
      </c>
      <c r="DH747" s="61" t="e">
        <v>#N/A</v>
      </c>
      <c r="DI747" s="61" t="e">
        <v>#N/A</v>
      </c>
      <c r="DJ747" s="61" t="e">
        <v>#N/A</v>
      </c>
    </row>
    <row r="748" spans="14:114">
      <c r="N748" s="61" t="str">
        <f t="shared" si="107"/>
        <v/>
      </c>
      <c r="O748" s="53" t="str">
        <f t="shared" si="108"/>
        <v>click</v>
      </c>
      <c r="P748" s="61" t="str">
        <f t="shared" si="112"/>
        <v>();</v>
      </c>
      <c r="Q748" s="61" t="str">
        <f t="shared" si="114"/>
        <v/>
      </c>
      <c r="R748" s="61" t="str">
        <f t="shared" si="113"/>
        <v/>
      </c>
      <c r="S748" s="61" t="str">
        <f t="shared" si="110"/>
        <v/>
      </c>
      <c r="CU748" s="61" t="e">
        <v>#N/A</v>
      </c>
      <c r="CV748" s="61" t="e">
        <v>#N/A</v>
      </c>
      <c r="CW748" s="61" t="e">
        <v>#N/A</v>
      </c>
      <c r="CX748" s="61" t="e">
        <v>#N/A</v>
      </c>
      <c r="CY748" s="61" t="e">
        <v>#N/A</v>
      </c>
      <c r="CZ748" s="61" t="e">
        <v>#N/A</v>
      </c>
      <c r="DA748" s="61" t="e">
        <v>#N/A</v>
      </c>
      <c r="DB748" s="61" t="e">
        <v>#N/A</v>
      </c>
      <c r="DC748" s="61" t="e">
        <v>#N/A</v>
      </c>
      <c r="DD748" s="61" t="e">
        <v>#N/A</v>
      </c>
      <c r="DE748" s="61" t="e">
        <v>#N/A</v>
      </c>
      <c r="DF748" s="61" t="e">
        <v>#N/A</v>
      </c>
      <c r="DG748" s="61" t="e">
        <v>#N/A</v>
      </c>
      <c r="DH748" s="61" t="e">
        <v>#N/A</v>
      </c>
      <c r="DI748" s="61" t="e">
        <v>#N/A</v>
      </c>
      <c r="DJ748" s="61" t="e">
        <v>#N/A</v>
      </c>
    </row>
    <row r="749" spans="14:114">
      <c r="N749" s="61" t="str">
        <f t="shared" si="107"/>
        <v/>
      </c>
      <c r="O749" s="53" t="str">
        <f t="shared" si="108"/>
        <v>click</v>
      </c>
      <c r="P749" s="61" t="str">
        <f t="shared" si="112"/>
        <v>();</v>
      </c>
      <c r="Q749" s="61" t="str">
        <f t="shared" si="114"/>
        <v/>
      </c>
      <c r="R749" s="61" t="str">
        <f t="shared" si="113"/>
        <v/>
      </c>
      <c r="S749" s="61" t="str">
        <f t="shared" si="110"/>
        <v/>
      </c>
      <c r="CU749" s="61" t="e">
        <v>#N/A</v>
      </c>
      <c r="CV749" s="61" t="e">
        <v>#N/A</v>
      </c>
      <c r="CW749" s="61" t="e">
        <v>#N/A</v>
      </c>
      <c r="CX749" s="61" t="e">
        <v>#N/A</v>
      </c>
      <c r="CY749" s="61" t="e">
        <v>#N/A</v>
      </c>
      <c r="CZ749" s="61" t="e">
        <v>#N/A</v>
      </c>
      <c r="DA749" s="61" t="e">
        <v>#N/A</v>
      </c>
      <c r="DB749" s="61" t="e">
        <v>#N/A</v>
      </c>
      <c r="DC749" s="61" t="e">
        <v>#N/A</v>
      </c>
      <c r="DD749" s="61" t="e">
        <v>#N/A</v>
      </c>
      <c r="DE749" s="61" t="e">
        <v>#N/A</v>
      </c>
      <c r="DF749" s="61" t="e">
        <v>#N/A</v>
      </c>
      <c r="DG749" s="61" t="e">
        <v>#N/A</v>
      </c>
      <c r="DH749" s="61" t="e">
        <v>#N/A</v>
      </c>
      <c r="DI749" s="61" t="e">
        <v>#N/A</v>
      </c>
      <c r="DJ749" s="61" t="e">
        <v>#N/A</v>
      </c>
    </row>
    <row r="750" spans="14:114">
      <c r="N750" s="61" t="str">
        <f t="shared" si="107"/>
        <v/>
      </c>
      <c r="O750" s="53" t="str">
        <f t="shared" si="108"/>
        <v>click</v>
      </c>
      <c r="P750" s="61" t="str">
        <f t="shared" si="112"/>
        <v>();</v>
      </c>
      <c r="Q750" s="61" t="str">
        <f t="shared" si="114"/>
        <v/>
      </c>
      <c r="R750" s="61" t="str">
        <f t="shared" si="113"/>
        <v/>
      </c>
      <c r="S750" s="61" t="str">
        <f t="shared" si="110"/>
        <v/>
      </c>
      <c r="CU750" s="61" t="e">
        <v>#N/A</v>
      </c>
      <c r="CV750" s="61" t="e">
        <v>#N/A</v>
      </c>
      <c r="CW750" s="61" t="e">
        <v>#N/A</v>
      </c>
      <c r="CX750" s="61" t="e">
        <v>#N/A</v>
      </c>
      <c r="CY750" s="61" t="e">
        <v>#N/A</v>
      </c>
      <c r="CZ750" s="61" t="e">
        <v>#N/A</v>
      </c>
      <c r="DA750" s="61" t="e">
        <v>#N/A</v>
      </c>
      <c r="DB750" s="61" t="e">
        <v>#N/A</v>
      </c>
      <c r="DC750" s="61" t="e">
        <v>#N/A</v>
      </c>
      <c r="DD750" s="61" t="e">
        <v>#N/A</v>
      </c>
      <c r="DE750" s="61" t="e">
        <v>#N/A</v>
      </c>
      <c r="DF750" s="61" t="e">
        <v>#N/A</v>
      </c>
      <c r="DG750" s="61" t="e">
        <v>#N/A</v>
      </c>
      <c r="DH750" s="61" t="e">
        <v>#N/A</v>
      </c>
      <c r="DI750" s="61" t="e">
        <v>#N/A</v>
      </c>
      <c r="DJ750" s="61" t="e">
        <v>#N/A</v>
      </c>
    </row>
    <row r="751" spans="14:114">
      <c r="N751" s="61" t="str">
        <f t="shared" si="107"/>
        <v/>
      </c>
      <c r="O751" s="53" t="str">
        <f t="shared" si="108"/>
        <v>click</v>
      </c>
      <c r="P751" s="61" t="str">
        <f t="shared" si="112"/>
        <v>();</v>
      </c>
      <c r="Q751" s="61" t="str">
        <f t="shared" si="114"/>
        <v/>
      </c>
      <c r="R751" s="61" t="str">
        <f t="shared" si="113"/>
        <v/>
      </c>
      <c r="S751" s="61" t="str">
        <f t="shared" si="110"/>
        <v/>
      </c>
      <c r="CU751" s="61" t="e">
        <v>#N/A</v>
      </c>
      <c r="CV751" s="61" t="e">
        <v>#N/A</v>
      </c>
      <c r="CW751" s="61" t="e">
        <v>#N/A</v>
      </c>
      <c r="CX751" s="61" t="e">
        <v>#N/A</v>
      </c>
      <c r="CY751" s="61" t="e">
        <v>#N/A</v>
      </c>
      <c r="CZ751" s="61" t="e">
        <v>#N/A</v>
      </c>
      <c r="DA751" s="61" t="e">
        <v>#N/A</v>
      </c>
      <c r="DB751" s="61" t="e">
        <v>#N/A</v>
      </c>
      <c r="DC751" s="61" t="e">
        <v>#N/A</v>
      </c>
      <c r="DD751" s="61" t="e">
        <v>#N/A</v>
      </c>
      <c r="DE751" s="61" t="e">
        <v>#N/A</v>
      </c>
      <c r="DF751" s="61" t="e">
        <v>#N/A</v>
      </c>
      <c r="DG751" s="61" t="e">
        <v>#N/A</v>
      </c>
      <c r="DH751" s="61" t="e">
        <v>#N/A</v>
      </c>
      <c r="DI751" s="61" t="e">
        <v>#N/A</v>
      </c>
      <c r="DJ751" s="61" t="e">
        <v>#N/A</v>
      </c>
    </row>
    <row r="752" spans="14:114">
      <c r="N752" s="61" t="str">
        <f t="shared" si="107"/>
        <v/>
      </c>
      <c r="O752" s="53" t="str">
        <f t="shared" si="108"/>
        <v>click</v>
      </c>
      <c r="P752" s="61" t="str">
        <f t="shared" si="112"/>
        <v>();</v>
      </c>
      <c r="Q752" s="61" t="str">
        <f t="shared" si="114"/>
        <v/>
      </c>
      <c r="R752" s="61" t="str">
        <f t="shared" si="113"/>
        <v/>
      </c>
      <c r="S752" s="61" t="str">
        <f t="shared" si="110"/>
        <v/>
      </c>
      <c r="CU752" s="61" t="e">
        <v>#N/A</v>
      </c>
      <c r="CV752" s="61" t="e">
        <v>#N/A</v>
      </c>
      <c r="CW752" s="61" t="e">
        <v>#N/A</v>
      </c>
      <c r="CX752" s="61" t="e">
        <v>#N/A</v>
      </c>
      <c r="CY752" s="61" t="e">
        <v>#N/A</v>
      </c>
      <c r="CZ752" s="61" t="e">
        <v>#N/A</v>
      </c>
      <c r="DA752" s="61" t="e">
        <v>#N/A</v>
      </c>
      <c r="DB752" s="61" t="e">
        <v>#N/A</v>
      </c>
      <c r="DC752" s="61" t="e">
        <v>#N/A</v>
      </c>
      <c r="DD752" s="61" t="e">
        <v>#N/A</v>
      </c>
      <c r="DE752" s="61" t="e">
        <v>#N/A</v>
      </c>
      <c r="DF752" s="61" t="e">
        <v>#N/A</v>
      </c>
      <c r="DG752" s="61" t="e">
        <v>#N/A</v>
      </c>
      <c r="DH752" s="61" t="e">
        <v>#N/A</v>
      </c>
      <c r="DI752" s="61" t="e">
        <v>#N/A</v>
      </c>
      <c r="DJ752" s="61" t="e">
        <v>#N/A</v>
      </c>
    </row>
    <row r="753" spans="14:114">
      <c r="N753" s="61" t="str">
        <f t="shared" si="107"/>
        <v/>
      </c>
      <c r="O753" s="53" t="str">
        <f t="shared" si="108"/>
        <v>click</v>
      </c>
      <c r="P753" s="61" t="str">
        <f t="shared" si="112"/>
        <v>();</v>
      </c>
      <c r="Q753" s="61" t="str">
        <f t="shared" si="114"/>
        <v/>
      </c>
      <c r="R753" s="61" t="str">
        <f t="shared" si="113"/>
        <v/>
      </c>
      <c r="S753" s="61" t="str">
        <f t="shared" si="110"/>
        <v/>
      </c>
      <c r="CU753" s="61" t="e">
        <v>#N/A</v>
      </c>
      <c r="CV753" s="61" t="e">
        <v>#N/A</v>
      </c>
      <c r="CW753" s="61" t="e">
        <v>#N/A</v>
      </c>
      <c r="CX753" s="61" t="e">
        <v>#N/A</v>
      </c>
      <c r="CY753" s="61" t="e">
        <v>#N/A</v>
      </c>
      <c r="CZ753" s="61" t="e">
        <v>#N/A</v>
      </c>
      <c r="DA753" s="61" t="e">
        <v>#N/A</v>
      </c>
      <c r="DB753" s="61" t="e">
        <v>#N/A</v>
      </c>
      <c r="DC753" s="61" t="e">
        <v>#N/A</v>
      </c>
      <c r="DD753" s="61" t="e">
        <v>#N/A</v>
      </c>
      <c r="DE753" s="61" t="e">
        <v>#N/A</v>
      </c>
      <c r="DF753" s="61" t="e">
        <v>#N/A</v>
      </c>
      <c r="DG753" s="61" t="e">
        <v>#N/A</v>
      </c>
      <c r="DH753" s="61" t="e">
        <v>#N/A</v>
      </c>
      <c r="DI753" s="61" t="e">
        <v>#N/A</v>
      </c>
      <c r="DJ753" s="61" t="e">
        <v>#N/A</v>
      </c>
    </row>
    <row r="754" spans="14:114">
      <c r="N754" s="61" t="str">
        <f t="shared" si="107"/>
        <v/>
      </c>
      <c r="O754" s="53" t="str">
        <f t="shared" si="108"/>
        <v>click</v>
      </c>
      <c r="P754" s="61" t="str">
        <f t="shared" si="112"/>
        <v>();</v>
      </c>
      <c r="Q754" s="61" t="str">
        <f t="shared" si="114"/>
        <v/>
      </c>
      <c r="R754" s="61" t="str">
        <f t="shared" si="113"/>
        <v/>
      </c>
      <c r="S754" s="61" t="str">
        <f t="shared" si="110"/>
        <v/>
      </c>
      <c r="CU754" s="61" t="e">
        <v>#N/A</v>
      </c>
      <c r="CV754" s="61" t="e">
        <v>#N/A</v>
      </c>
      <c r="CW754" s="61" t="e">
        <v>#N/A</v>
      </c>
      <c r="CX754" s="61" t="e">
        <v>#N/A</v>
      </c>
      <c r="CY754" s="61" t="e">
        <v>#N/A</v>
      </c>
      <c r="CZ754" s="61" t="e">
        <v>#N/A</v>
      </c>
      <c r="DA754" s="61" t="e">
        <v>#N/A</v>
      </c>
      <c r="DB754" s="61" t="e">
        <v>#N/A</v>
      </c>
      <c r="DC754" s="61" t="e">
        <v>#N/A</v>
      </c>
      <c r="DD754" s="61" t="e">
        <v>#N/A</v>
      </c>
      <c r="DE754" s="61" t="e">
        <v>#N/A</v>
      </c>
      <c r="DF754" s="61" t="e">
        <v>#N/A</v>
      </c>
      <c r="DG754" s="61" t="e">
        <v>#N/A</v>
      </c>
      <c r="DH754" s="61" t="e">
        <v>#N/A</v>
      </c>
      <c r="DI754" s="61" t="e">
        <v>#N/A</v>
      </c>
      <c r="DJ754" s="61" t="e">
        <v>#N/A</v>
      </c>
    </row>
    <row r="755" spans="14:114">
      <c r="N755" s="61" t="str">
        <f t="shared" si="107"/>
        <v/>
      </c>
      <c r="O755" s="53" t="str">
        <f t="shared" si="108"/>
        <v>click</v>
      </c>
      <c r="P755" s="61" t="str">
        <f t="shared" si="112"/>
        <v>();</v>
      </c>
      <c r="Q755" s="61" t="str">
        <f t="shared" si="114"/>
        <v/>
      </c>
      <c r="R755" s="61" t="str">
        <f t="shared" si="113"/>
        <v/>
      </c>
      <c r="S755" s="61" t="str">
        <f t="shared" si="110"/>
        <v/>
      </c>
      <c r="CU755" s="61" t="e">
        <v>#N/A</v>
      </c>
      <c r="CV755" s="61" t="e">
        <v>#N/A</v>
      </c>
      <c r="CW755" s="61" t="e">
        <v>#N/A</v>
      </c>
      <c r="CX755" s="61" t="e">
        <v>#N/A</v>
      </c>
      <c r="CY755" s="61" t="e">
        <v>#N/A</v>
      </c>
      <c r="CZ755" s="61" t="e">
        <v>#N/A</v>
      </c>
      <c r="DA755" s="61" t="e">
        <v>#N/A</v>
      </c>
      <c r="DB755" s="61" t="e">
        <v>#N/A</v>
      </c>
      <c r="DC755" s="61" t="e">
        <v>#N/A</v>
      </c>
      <c r="DD755" s="61" t="e">
        <v>#N/A</v>
      </c>
      <c r="DE755" s="61" t="e">
        <v>#N/A</v>
      </c>
      <c r="DF755" s="61" t="e">
        <v>#N/A</v>
      </c>
      <c r="DG755" s="61" t="e">
        <v>#N/A</v>
      </c>
      <c r="DH755" s="61" t="e">
        <v>#N/A</v>
      </c>
      <c r="DI755" s="61" t="e">
        <v>#N/A</v>
      </c>
      <c r="DJ755" s="61" t="e">
        <v>#N/A</v>
      </c>
    </row>
    <row r="756" spans="14:114">
      <c r="N756" s="61" t="str">
        <f t="shared" si="107"/>
        <v/>
      </c>
      <c r="O756" s="53" t="str">
        <f t="shared" si="108"/>
        <v>click</v>
      </c>
      <c r="P756" s="61" t="str">
        <f t="shared" si="112"/>
        <v>();</v>
      </c>
      <c r="Q756" s="61" t="str">
        <f t="shared" si="114"/>
        <v/>
      </c>
      <c r="R756" s="61" t="str">
        <f t="shared" si="113"/>
        <v/>
      </c>
      <c r="S756" s="61" t="str">
        <f t="shared" si="110"/>
        <v/>
      </c>
      <c r="CU756" s="61" t="e">
        <v>#N/A</v>
      </c>
      <c r="CV756" s="61" t="e">
        <v>#N/A</v>
      </c>
      <c r="CW756" s="61" t="e">
        <v>#N/A</v>
      </c>
      <c r="CX756" s="61" t="e">
        <v>#N/A</v>
      </c>
      <c r="CY756" s="61" t="e">
        <v>#N/A</v>
      </c>
      <c r="CZ756" s="61" t="e">
        <v>#N/A</v>
      </c>
      <c r="DA756" s="61" t="e">
        <v>#N/A</v>
      </c>
      <c r="DB756" s="61" t="e">
        <v>#N/A</v>
      </c>
      <c r="DC756" s="61" t="e">
        <v>#N/A</v>
      </c>
      <c r="DD756" s="61" t="e">
        <v>#N/A</v>
      </c>
      <c r="DE756" s="61" t="e">
        <v>#N/A</v>
      </c>
      <c r="DF756" s="61" t="e">
        <v>#N/A</v>
      </c>
      <c r="DG756" s="61" t="e">
        <v>#N/A</v>
      </c>
      <c r="DH756" s="61" t="e">
        <v>#N/A</v>
      </c>
      <c r="DI756" s="61" t="e">
        <v>#N/A</v>
      </c>
      <c r="DJ756" s="61" t="e">
        <v>#N/A</v>
      </c>
    </row>
    <row r="757" spans="14:114">
      <c r="N757" s="61" t="str">
        <f t="shared" si="107"/>
        <v/>
      </c>
      <c r="O757" s="53" t="str">
        <f t="shared" si="108"/>
        <v>click</v>
      </c>
      <c r="P757" s="61" t="str">
        <f t="shared" si="112"/>
        <v>();</v>
      </c>
      <c r="Q757" s="61" t="str">
        <f t="shared" si="114"/>
        <v/>
      </c>
      <c r="R757" s="61" t="str">
        <f t="shared" si="113"/>
        <v/>
      </c>
      <c r="S757" s="61" t="str">
        <f t="shared" si="110"/>
        <v/>
      </c>
      <c r="CU757" s="61" t="e">
        <v>#N/A</v>
      </c>
      <c r="CV757" s="61" t="e">
        <v>#N/A</v>
      </c>
      <c r="CW757" s="61" t="e">
        <v>#N/A</v>
      </c>
      <c r="CX757" s="61" t="e">
        <v>#N/A</v>
      </c>
      <c r="CY757" s="61" t="e">
        <v>#N/A</v>
      </c>
      <c r="CZ757" s="61" t="e">
        <v>#N/A</v>
      </c>
      <c r="DA757" s="61" t="e">
        <v>#N/A</v>
      </c>
      <c r="DB757" s="61" t="e">
        <v>#N/A</v>
      </c>
      <c r="DC757" s="61" t="e">
        <v>#N/A</v>
      </c>
      <c r="DD757" s="61" t="e">
        <v>#N/A</v>
      </c>
      <c r="DE757" s="61" t="e">
        <v>#N/A</v>
      </c>
      <c r="DF757" s="61" t="e">
        <v>#N/A</v>
      </c>
      <c r="DG757" s="61" t="e">
        <v>#N/A</v>
      </c>
      <c r="DH757" s="61" t="e">
        <v>#N/A</v>
      </c>
      <c r="DI757" s="61" t="e">
        <v>#N/A</v>
      </c>
      <c r="DJ757" s="61" t="e">
        <v>#N/A</v>
      </c>
    </row>
    <row r="758" spans="14:114">
      <c r="N758" s="61" t="str">
        <f t="shared" si="107"/>
        <v/>
      </c>
      <c r="O758" s="53" t="str">
        <f t="shared" si="108"/>
        <v>click</v>
      </c>
      <c r="P758" s="61" t="str">
        <f t="shared" si="112"/>
        <v>();</v>
      </c>
      <c r="Q758" s="61" t="str">
        <f t="shared" si="114"/>
        <v/>
      </c>
      <c r="R758" s="61" t="str">
        <f t="shared" si="113"/>
        <v/>
      </c>
      <c r="S758" s="61" t="str">
        <f t="shared" si="110"/>
        <v/>
      </c>
      <c r="CU758" s="61" t="e">
        <v>#N/A</v>
      </c>
      <c r="CV758" s="61" t="e">
        <v>#N/A</v>
      </c>
      <c r="CW758" s="61" t="e">
        <v>#N/A</v>
      </c>
      <c r="CX758" s="61" t="e">
        <v>#N/A</v>
      </c>
      <c r="CY758" s="61" t="e">
        <v>#N/A</v>
      </c>
      <c r="CZ758" s="61" t="e">
        <v>#N/A</v>
      </c>
      <c r="DA758" s="61" t="e">
        <v>#N/A</v>
      </c>
      <c r="DB758" s="61" t="e">
        <v>#N/A</v>
      </c>
      <c r="DC758" s="61" t="e">
        <v>#N/A</v>
      </c>
      <c r="DD758" s="61" t="e">
        <v>#N/A</v>
      </c>
      <c r="DE758" s="61" t="e">
        <v>#N/A</v>
      </c>
      <c r="DF758" s="61" t="e">
        <v>#N/A</v>
      </c>
      <c r="DG758" s="61" t="e">
        <v>#N/A</v>
      </c>
      <c r="DH758" s="61" t="e">
        <v>#N/A</v>
      </c>
      <c r="DI758" s="61" t="e">
        <v>#N/A</v>
      </c>
      <c r="DJ758" s="61" t="e">
        <v>#N/A</v>
      </c>
    </row>
    <row r="759" spans="14:114">
      <c r="N759" s="61" t="str">
        <f t="shared" si="107"/>
        <v/>
      </c>
      <c r="O759" s="53" t="str">
        <f t="shared" si="108"/>
        <v>click</v>
      </c>
      <c r="P759" s="61" t="str">
        <f t="shared" si="112"/>
        <v>();</v>
      </c>
      <c r="Q759" s="61" t="str">
        <f t="shared" si="114"/>
        <v/>
      </c>
      <c r="R759" s="61" t="str">
        <f t="shared" si="113"/>
        <v/>
      </c>
      <c r="S759" s="61" t="str">
        <f t="shared" si="110"/>
        <v/>
      </c>
      <c r="CU759" s="61" t="e">
        <v>#N/A</v>
      </c>
      <c r="CV759" s="61" t="e">
        <v>#N/A</v>
      </c>
      <c r="CW759" s="61" t="e">
        <v>#N/A</v>
      </c>
      <c r="CX759" s="61" t="e">
        <v>#N/A</v>
      </c>
      <c r="CY759" s="61" t="e">
        <v>#N/A</v>
      </c>
      <c r="CZ759" s="61" t="e">
        <v>#N/A</v>
      </c>
      <c r="DA759" s="61" t="e">
        <v>#N/A</v>
      </c>
      <c r="DB759" s="61" t="e">
        <v>#N/A</v>
      </c>
      <c r="DC759" s="61" t="e">
        <v>#N/A</v>
      </c>
      <c r="DD759" s="61" t="e">
        <v>#N/A</v>
      </c>
      <c r="DE759" s="61" t="e">
        <v>#N/A</v>
      </c>
      <c r="DF759" s="61" t="e">
        <v>#N/A</v>
      </c>
      <c r="DG759" s="61" t="e">
        <v>#N/A</v>
      </c>
      <c r="DH759" s="61" t="e">
        <v>#N/A</v>
      </c>
      <c r="DI759" s="61" t="e">
        <v>#N/A</v>
      </c>
      <c r="DJ759" s="61" t="e">
        <v>#N/A</v>
      </c>
    </row>
    <row r="760" spans="14:114">
      <c r="N760" s="61" t="str">
        <f t="shared" si="107"/>
        <v/>
      </c>
      <c r="O760" s="53" t="str">
        <f t="shared" si="108"/>
        <v>click</v>
      </c>
      <c r="P760" s="61" t="str">
        <f t="shared" si="112"/>
        <v>();</v>
      </c>
      <c r="Q760" s="61" t="str">
        <f t="shared" si="114"/>
        <v/>
      </c>
      <c r="R760" s="61" t="str">
        <f t="shared" si="113"/>
        <v/>
      </c>
      <c r="S760" s="61" t="str">
        <f t="shared" si="110"/>
        <v/>
      </c>
      <c r="CU760" s="61" t="e">
        <v>#N/A</v>
      </c>
      <c r="CV760" s="61" t="e">
        <v>#N/A</v>
      </c>
      <c r="CW760" s="61" t="e">
        <v>#N/A</v>
      </c>
      <c r="CX760" s="61" t="e">
        <v>#N/A</v>
      </c>
      <c r="CY760" s="61" t="e">
        <v>#N/A</v>
      </c>
      <c r="CZ760" s="61" t="e">
        <v>#N/A</v>
      </c>
      <c r="DA760" s="61" t="e">
        <v>#N/A</v>
      </c>
      <c r="DB760" s="61" t="e">
        <v>#N/A</v>
      </c>
      <c r="DC760" s="61" t="e">
        <v>#N/A</v>
      </c>
      <c r="DD760" s="61" t="e">
        <v>#N/A</v>
      </c>
      <c r="DE760" s="61" t="e">
        <v>#N/A</v>
      </c>
      <c r="DF760" s="61" t="e">
        <v>#N/A</v>
      </c>
      <c r="DG760" s="61" t="e">
        <v>#N/A</v>
      </c>
      <c r="DH760" s="61" t="e">
        <v>#N/A</v>
      </c>
      <c r="DI760" s="61" t="e">
        <v>#N/A</v>
      </c>
      <c r="DJ760" s="61" t="e">
        <v>#N/A</v>
      </c>
    </row>
    <row r="761" spans="14:114">
      <c r="N761" s="61" t="str">
        <f t="shared" si="107"/>
        <v/>
      </c>
      <c r="O761" s="53" t="str">
        <f t="shared" si="108"/>
        <v>click</v>
      </c>
      <c r="P761" s="61" t="str">
        <f t="shared" si="112"/>
        <v>();</v>
      </c>
      <c r="Q761" s="61" t="str">
        <f t="shared" si="114"/>
        <v/>
      </c>
      <c r="R761" s="61" t="str">
        <f t="shared" si="113"/>
        <v/>
      </c>
      <c r="S761" s="61" t="str">
        <f t="shared" si="110"/>
        <v/>
      </c>
      <c r="CU761" s="61" t="e">
        <v>#N/A</v>
      </c>
      <c r="CV761" s="61" t="e">
        <v>#N/A</v>
      </c>
      <c r="CW761" s="61" t="e">
        <v>#N/A</v>
      </c>
      <c r="CX761" s="61" t="e">
        <v>#N/A</v>
      </c>
      <c r="CY761" s="61" t="e">
        <v>#N/A</v>
      </c>
      <c r="CZ761" s="61" t="e">
        <v>#N/A</v>
      </c>
      <c r="DA761" s="61" t="e">
        <v>#N/A</v>
      </c>
      <c r="DB761" s="61" t="e">
        <v>#N/A</v>
      </c>
      <c r="DC761" s="61" t="e">
        <v>#N/A</v>
      </c>
      <c r="DD761" s="61" t="e">
        <v>#N/A</v>
      </c>
      <c r="DE761" s="61" t="e">
        <v>#N/A</v>
      </c>
      <c r="DF761" s="61" t="e">
        <v>#N/A</v>
      </c>
      <c r="DG761" s="61" t="e">
        <v>#N/A</v>
      </c>
      <c r="DH761" s="61" t="e">
        <v>#N/A</v>
      </c>
      <c r="DI761" s="61" t="e">
        <v>#N/A</v>
      </c>
      <c r="DJ761" s="61" t="e">
        <v>#N/A</v>
      </c>
    </row>
    <row r="762" spans="14:114">
      <c r="N762" s="61" t="str">
        <f t="shared" si="107"/>
        <v/>
      </c>
      <c r="O762" s="53" t="str">
        <f t="shared" si="108"/>
        <v>click</v>
      </c>
      <c r="P762" s="61" t="str">
        <f t="shared" si="112"/>
        <v>();</v>
      </c>
      <c r="Q762" s="61" t="str">
        <f t="shared" si="114"/>
        <v/>
      </c>
      <c r="R762" s="61" t="str">
        <f t="shared" si="113"/>
        <v/>
      </c>
      <c r="S762" s="61" t="str">
        <f t="shared" si="110"/>
        <v/>
      </c>
      <c r="CU762" s="61" t="e">
        <v>#N/A</v>
      </c>
      <c r="CV762" s="61" t="e">
        <v>#N/A</v>
      </c>
      <c r="CW762" s="61" t="e">
        <v>#N/A</v>
      </c>
      <c r="CX762" s="61" t="e">
        <v>#N/A</v>
      </c>
      <c r="CY762" s="61" t="e">
        <v>#N/A</v>
      </c>
      <c r="CZ762" s="61" t="e">
        <v>#N/A</v>
      </c>
      <c r="DA762" s="61" t="e">
        <v>#N/A</v>
      </c>
      <c r="DB762" s="61" t="e">
        <v>#N/A</v>
      </c>
      <c r="DC762" s="61" t="e">
        <v>#N/A</v>
      </c>
      <c r="DD762" s="61" t="e">
        <v>#N/A</v>
      </c>
      <c r="DE762" s="61" t="e">
        <v>#N/A</v>
      </c>
      <c r="DF762" s="61" t="e">
        <v>#N/A</v>
      </c>
      <c r="DG762" s="61" t="e">
        <v>#N/A</v>
      </c>
      <c r="DH762" s="61" t="e">
        <v>#N/A</v>
      </c>
      <c r="DI762" s="61" t="e">
        <v>#N/A</v>
      </c>
      <c r="DJ762" s="61" t="e">
        <v>#N/A</v>
      </c>
    </row>
    <row r="763" spans="14:114">
      <c r="N763" s="61" t="str">
        <f t="shared" si="107"/>
        <v/>
      </c>
      <c r="O763" s="53" t="str">
        <f t="shared" si="108"/>
        <v>click</v>
      </c>
      <c r="P763" s="61" t="str">
        <f t="shared" si="112"/>
        <v>();</v>
      </c>
      <c r="Q763" s="61" t="str">
        <f t="shared" si="114"/>
        <v/>
      </c>
      <c r="R763" s="61" t="str">
        <f t="shared" si="113"/>
        <v/>
      </c>
      <c r="S763" s="61" t="str">
        <f t="shared" si="110"/>
        <v/>
      </c>
      <c r="CU763" s="61" t="e">
        <v>#N/A</v>
      </c>
      <c r="CV763" s="61" t="e">
        <v>#N/A</v>
      </c>
      <c r="CW763" s="61" t="e">
        <v>#N/A</v>
      </c>
      <c r="CX763" s="61" t="e">
        <v>#N/A</v>
      </c>
      <c r="CY763" s="61" t="e">
        <v>#N/A</v>
      </c>
      <c r="CZ763" s="61" t="e">
        <v>#N/A</v>
      </c>
      <c r="DA763" s="61" t="e">
        <v>#N/A</v>
      </c>
      <c r="DB763" s="61" t="e">
        <v>#N/A</v>
      </c>
      <c r="DC763" s="61" t="e">
        <v>#N/A</v>
      </c>
      <c r="DD763" s="61" t="e">
        <v>#N/A</v>
      </c>
      <c r="DE763" s="61" t="e">
        <v>#N/A</v>
      </c>
      <c r="DF763" s="61" t="e">
        <v>#N/A</v>
      </c>
      <c r="DG763" s="61" t="e">
        <v>#N/A</v>
      </c>
      <c r="DH763" s="61" t="e">
        <v>#N/A</v>
      </c>
      <c r="DI763" s="61" t="e">
        <v>#N/A</v>
      </c>
      <c r="DJ763" s="61" t="e">
        <v>#N/A</v>
      </c>
    </row>
    <row r="764" spans="14:114">
      <c r="N764" s="61" t="str">
        <f t="shared" si="107"/>
        <v/>
      </c>
      <c r="O764" s="53" t="str">
        <f t="shared" si="108"/>
        <v>click</v>
      </c>
      <c r="P764" s="61" t="str">
        <f t="shared" si="112"/>
        <v>();</v>
      </c>
      <c r="Q764" s="61" t="str">
        <f t="shared" si="114"/>
        <v/>
      </c>
      <c r="R764" s="61" t="str">
        <f t="shared" si="113"/>
        <v/>
      </c>
      <c r="S764" s="61" t="str">
        <f t="shared" si="110"/>
        <v/>
      </c>
      <c r="CU764" s="61" t="e">
        <v>#N/A</v>
      </c>
      <c r="CV764" s="61" t="e">
        <v>#N/A</v>
      </c>
      <c r="CW764" s="61" t="e">
        <v>#N/A</v>
      </c>
      <c r="CX764" s="61" t="e">
        <v>#N/A</v>
      </c>
      <c r="CY764" s="61" t="e">
        <v>#N/A</v>
      </c>
      <c r="CZ764" s="61" t="e">
        <v>#N/A</v>
      </c>
      <c r="DA764" s="61" t="e">
        <v>#N/A</v>
      </c>
      <c r="DB764" s="61" t="e">
        <v>#N/A</v>
      </c>
      <c r="DC764" s="61" t="e">
        <v>#N/A</v>
      </c>
      <c r="DD764" s="61" t="e">
        <v>#N/A</v>
      </c>
      <c r="DE764" s="61" t="e">
        <v>#N/A</v>
      </c>
      <c r="DF764" s="61" t="e">
        <v>#N/A</v>
      </c>
      <c r="DG764" s="61" t="e">
        <v>#N/A</v>
      </c>
      <c r="DH764" s="61" t="e">
        <v>#N/A</v>
      </c>
      <c r="DI764" s="61" t="e">
        <v>#N/A</v>
      </c>
      <c r="DJ764" s="61" t="e">
        <v>#N/A</v>
      </c>
    </row>
    <row r="765" spans="14:114">
      <c r="N765" s="61" t="str">
        <f t="shared" si="107"/>
        <v/>
      </c>
      <c r="O765" s="53" t="str">
        <f t="shared" si="108"/>
        <v>click</v>
      </c>
      <c r="P765" s="61" t="str">
        <f t="shared" si="112"/>
        <v>();</v>
      </c>
      <c r="Q765" s="61" t="str">
        <f t="shared" si="114"/>
        <v/>
      </c>
      <c r="R765" s="61" t="str">
        <f t="shared" si="113"/>
        <v/>
      </c>
      <c r="S765" s="61" t="str">
        <f t="shared" si="110"/>
        <v/>
      </c>
      <c r="CU765" s="61" t="e">
        <v>#N/A</v>
      </c>
      <c r="CV765" s="61" t="e">
        <v>#N/A</v>
      </c>
      <c r="CW765" s="61" t="e">
        <v>#N/A</v>
      </c>
      <c r="CX765" s="61" t="e">
        <v>#N/A</v>
      </c>
      <c r="CY765" s="61" t="e">
        <v>#N/A</v>
      </c>
      <c r="CZ765" s="61" t="e">
        <v>#N/A</v>
      </c>
      <c r="DA765" s="61" t="e">
        <v>#N/A</v>
      </c>
      <c r="DB765" s="61" t="e">
        <v>#N/A</v>
      </c>
      <c r="DC765" s="61" t="e">
        <v>#N/A</v>
      </c>
      <c r="DD765" s="61" t="e">
        <v>#N/A</v>
      </c>
      <c r="DE765" s="61" t="e">
        <v>#N/A</v>
      </c>
      <c r="DF765" s="61" t="e">
        <v>#N/A</v>
      </c>
      <c r="DG765" s="61" t="e">
        <v>#N/A</v>
      </c>
      <c r="DH765" s="61" t="e">
        <v>#N/A</v>
      </c>
      <c r="DI765" s="61" t="e">
        <v>#N/A</v>
      </c>
      <c r="DJ765" s="61" t="e">
        <v>#N/A</v>
      </c>
    </row>
    <row r="766" spans="14:114">
      <c r="N766" s="61" t="str">
        <f t="shared" si="107"/>
        <v/>
      </c>
      <c r="O766" s="53" t="str">
        <f t="shared" si="108"/>
        <v>click</v>
      </c>
      <c r="P766" s="61" t="str">
        <f t="shared" si="112"/>
        <v>();</v>
      </c>
      <c r="Q766" s="61" t="str">
        <f t="shared" si="114"/>
        <v/>
      </c>
      <c r="R766" s="61" t="str">
        <f t="shared" si="113"/>
        <v/>
      </c>
      <c r="S766" s="61" t="str">
        <f t="shared" si="110"/>
        <v/>
      </c>
      <c r="CU766" s="61" t="e">
        <v>#N/A</v>
      </c>
      <c r="CV766" s="61" t="e">
        <v>#N/A</v>
      </c>
      <c r="CW766" s="61" t="e">
        <v>#N/A</v>
      </c>
      <c r="CX766" s="61" t="e">
        <v>#N/A</v>
      </c>
      <c r="CY766" s="61" t="e">
        <v>#N/A</v>
      </c>
      <c r="CZ766" s="61" t="e">
        <v>#N/A</v>
      </c>
      <c r="DA766" s="61" t="e">
        <v>#N/A</v>
      </c>
      <c r="DB766" s="61" t="e">
        <v>#N/A</v>
      </c>
      <c r="DC766" s="61" t="e">
        <v>#N/A</v>
      </c>
      <c r="DD766" s="61" t="e">
        <v>#N/A</v>
      </c>
      <c r="DE766" s="61" t="e">
        <v>#N/A</v>
      </c>
      <c r="DF766" s="61" t="e">
        <v>#N/A</v>
      </c>
      <c r="DG766" s="61" t="e">
        <v>#N/A</v>
      </c>
      <c r="DH766" s="61" t="e">
        <v>#N/A</v>
      </c>
      <c r="DI766" s="61" t="e">
        <v>#N/A</v>
      </c>
      <c r="DJ766" s="61" t="e">
        <v>#N/A</v>
      </c>
    </row>
    <row r="767" spans="14:114">
      <c r="N767" s="61" t="str">
        <f t="shared" si="107"/>
        <v/>
      </c>
      <c r="O767" s="53" t="str">
        <f t="shared" si="108"/>
        <v>click</v>
      </c>
      <c r="P767" s="61" t="str">
        <f t="shared" si="112"/>
        <v>();</v>
      </c>
      <c r="Q767" s="61" t="str">
        <f t="shared" si="114"/>
        <v/>
      </c>
      <c r="R767" s="61" t="str">
        <f t="shared" si="113"/>
        <v/>
      </c>
      <c r="S767" s="61" t="str">
        <f t="shared" si="110"/>
        <v/>
      </c>
      <c r="CU767" s="61" t="e">
        <v>#N/A</v>
      </c>
      <c r="CV767" s="61" t="e">
        <v>#N/A</v>
      </c>
      <c r="CW767" s="61" t="e">
        <v>#N/A</v>
      </c>
      <c r="CX767" s="61" t="e">
        <v>#N/A</v>
      </c>
      <c r="CY767" s="61" t="e">
        <v>#N/A</v>
      </c>
      <c r="CZ767" s="61" t="e">
        <v>#N/A</v>
      </c>
      <c r="DA767" s="61" t="e">
        <v>#N/A</v>
      </c>
      <c r="DB767" s="61" t="e">
        <v>#N/A</v>
      </c>
      <c r="DC767" s="61" t="e">
        <v>#N/A</v>
      </c>
      <c r="DD767" s="61" t="e">
        <v>#N/A</v>
      </c>
      <c r="DE767" s="61" t="e">
        <v>#N/A</v>
      </c>
      <c r="DF767" s="61" t="e">
        <v>#N/A</v>
      </c>
      <c r="DG767" s="61" t="e">
        <v>#N/A</v>
      </c>
      <c r="DH767" s="61" t="e">
        <v>#N/A</v>
      </c>
      <c r="DI767" s="61" t="e">
        <v>#N/A</v>
      </c>
      <c r="DJ767" s="61" t="e">
        <v>#N/A</v>
      </c>
    </row>
    <row r="768" spans="14:114">
      <c r="N768" s="61" t="str">
        <f t="shared" si="107"/>
        <v/>
      </c>
      <c r="O768" s="53" t="str">
        <f t="shared" si="108"/>
        <v>click</v>
      </c>
      <c r="P768" s="61" t="str">
        <f t="shared" si="112"/>
        <v>();</v>
      </c>
      <c r="Q768" s="61" t="str">
        <f t="shared" si="114"/>
        <v/>
      </c>
      <c r="R768" s="61" t="str">
        <f t="shared" si="113"/>
        <v/>
      </c>
      <c r="S768" s="61" t="str">
        <f t="shared" si="110"/>
        <v/>
      </c>
      <c r="CU768" s="61" t="e">
        <v>#N/A</v>
      </c>
      <c r="CV768" s="61" t="e">
        <v>#N/A</v>
      </c>
      <c r="CW768" s="61" t="e">
        <v>#N/A</v>
      </c>
      <c r="CX768" s="61" t="e">
        <v>#N/A</v>
      </c>
      <c r="CY768" s="61" t="e">
        <v>#N/A</v>
      </c>
      <c r="CZ768" s="61" t="e">
        <v>#N/A</v>
      </c>
      <c r="DA768" s="61" t="e">
        <v>#N/A</v>
      </c>
      <c r="DB768" s="61" t="e">
        <v>#N/A</v>
      </c>
      <c r="DC768" s="61" t="e">
        <v>#N/A</v>
      </c>
      <c r="DD768" s="61" t="e">
        <v>#N/A</v>
      </c>
      <c r="DE768" s="61" t="e">
        <v>#N/A</v>
      </c>
      <c r="DF768" s="61" t="e">
        <v>#N/A</v>
      </c>
      <c r="DG768" s="61" t="e">
        <v>#N/A</v>
      </c>
      <c r="DH768" s="61" t="e">
        <v>#N/A</v>
      </c>
      <c r="DI768" s="61" t="e">
        <v>#N/A</v>
      </c>
      <c r="DJ768" s="61" t="e">
        <v>#N/A</v>
      </c>
    </row>
    <row r="769" spans="14:114">
      <c r="N769" s="61" t="str">
        <f t="shared" si="107"/>
        <v/>
      </c>
      <c r="O769" s="53" t="str">
        <f t="shared" si="108"/>
        <v>click</v>
      </c>
      <c r="P769" s="61" t="str">
        <f t="shared" si="112"/>
        <v>();</v>
      </c>
      <c r="Q769" s="61" t="str">
        <f t="shared" si="114"/>
        <v/>
      </c>
      <c r="R769" s="61" t="str">
        <f t="shared" si="113"/>
        <v/>
      </c>
      <c r="S769" s="61" t="str">
        <f t="shared" si="110"/>
        <v/>
      </c>
      <c r="CU769" s="61" t="e">
        <v>#N/A</v>
      </c>
      <c r="CV769" s="61" t="e">
        <v>#N/A</v>
      </c>
      <c r="CW769" s="61" t="e">
        <v>#N/A</v>
      </c>
      <c r="CX769" s="61" t="e">
        <v>#N/A</v>
      </c>
      <c r="CY769" s="61" t="e">
        <v>#N/A</v>
      </c>
      <c r="CZ769" s="61" t="e">
        <v>#N/A</v>
      </c>
      <c r="DA769" s="61" t="e">
        <v>#N/A</v>
      </c>
      <c r="DB769" s="61" t="e">
        <v>#N/A</v>
      </c>
      <c r="DC769" s="61" t="e">
        <v>#N/A</v>
      </c>
      <c r="DD769" s="61" t="e">
        <v>#N/A</v>
      </c>
      <c r="DE769" s="61" t="e">
        <v>#N/A</v>
      </c>
      <c r="DF769" s="61" t="e">
        <v>#N/A</v>
      </c>
      <c r="DG769" s="61" t="e">
        <v>#N/A</v>
      </c>
      <c r="DH769" s="61" t="e">
        <v>#N/A</v>
      </c>
      <c r="DI769" s="61" t="e">
        <v>#N/A</v>
      </c>
      <c r="DJ769" s="61" t="e">
        <v>#N/A</v>
      </c>
    </row>
    <row r="770" spans="14:114">
      <c r="N770" s="61" t="str">
        <f t="shared" si="107"/>
        <v/>
      </c>
      <c r="O770" s="53" t="str">
        <f t="shared" si="108"/>
        <v>click</v>
      </c>
      <c r="P770" s="61" t="str">
        <f t="shared" si="112"/>
        <v>();</v>
      </c>
      <c r="Q770" s="61" t="str">
        <f t="shared" si="114"/>
        <v/>
      </c>
      <c r="R770" s="61" t="str">
        <f t="shared" si="113"/>
        <v/>
      </c>
      <c r="S770" s="61" t="str">
        <f t="shared" si="110"/>
        <v/>
      </c>
      <c r="CU770" s="61" t="e">
        <v>#N/A</v>
      </c>
      <c r="CV770" s="61" t="e">
        <v>#N/A</v>
      </c>
      <c r="CW770" s="61" t="e">
        <v>#N/A</v>
      </c>
      <c r="CX770" s="61" t="e">
        <v>#N/A</v>
      </c>
      <c r="CY770" s="61" t="e">
        <v>#N/A</v>
      </c>
      <c r="CZ770" s="61" t="e">
        <v>#N/A</v>
      </c>
      <c r="DA770" s="61" t="e">
        <v>#N/A</v>
      </c>
      <c r="DB770" s="61" t="e">
        <v>#N/A</v>
      </c>
      <c r="DC770" s="61" t="e">
        <v>#N/A</v>
      </c>
      <c r="DD770" s="61" t="e">
        <v>#N/A</v>
      </c>
      <c r="DE770" s="61" t="e">
        <v>#N/A</v>
      </c>
      <c r="DF770" s="61" t="e">
        <v>#N/A</v>
      </c>
      <c r="DG770" s="61" t="e">
        <v>#N/A</v>
      </c>
      <c r="DH770" s="61" t="e">
        <v>#N/A</v>
      </c>
      <c r="DI770" s="61" t="e">
        <v>#N/A</v>
      </c>
      <c r="DJ770" s="61" t="e">
        <v>#N/A</v>
      </c>
    </row>
    <row r="771" spans="14:114">
      <c r="N771" s="61" t="str">
        <f t="shared" si="107"/>
        <v/>
      </c>
      <c r="O771" s="53" t="str">
        <f t="shared" si="108"/>
        <v>click</v>
      </c>
      <c r="P771" s="61" t="str">
        <f t="shared" si="112"/>
        <v>();</v>
      </c>
      <c r="Q771" s="61" t="str">
        <f t="shared" si="114"/>
        <v/>
      </c>
      <c r="R771" s="61" t="str">
        <f t="shared" si="113"/>
        <v/>
      </c>
      <c r="S771" s="61" t="str">
        <f t="shared" si="110"/>
        <v/>
      </c>
      <c r="CU771" s="61" t="e">
        <v>#N/A</v>
      </c>
      <c r="CV771" s="61" t="e">
        <v>#N/A</v>
      </c>
      <c r="CW771" s="61" t="e">
        <v>#N/A</v>
      </c>
      <c r="CX771" s="61" t="e">
        <v>#N/A</v>
      </c>
      <c r="CY771" s="61" t="e">
        <v>#N/A</v>
      </c>
      <c r="CZ771" s="61" t="e">
        <v>#N/A</v>
      </c>
      <c r="DA771" s="61" t="e">
        <v>#N/A</v>
      </c>
      <c r="DB771" s="61" t="e">
        <v>#N/A</v>
      </c>
      <c r="DC771" s="61" t="e">
        <v>#N/A</v>
      </c>
      <c r="DD771" s="61" t="e">
        <v>#N/A</v>
      </c>
      <c r="DE771" s="61" t="e">
        <v>#N/A</v>
      </c>
      <c r="DF771" s="61" t="e">
        <v>#N/A</v>
      </c>
      <c r="DG771" s="61" t="e">
        <v>#N/A</v>
      </c>
      <c r="DH771" s="61" t="e">
        <v>#N/A</v>
      </c>
      <c r="DI771" s="61" t="e">
        <v>#N/A</v>
      </c>
      <c r="DJ771" s="61" t="e">
        <v>#N/A</v>
      </c>
    </row>
    <row r="772" spans="14:114">
      <c r="N772" s="61" t="str">
        <f t="shared" si="107"/>
        <v/>
      </c>
      <c r="O772" s="53" t="str">
        <f t="shared" si="108"/>
        <v>click</v>
      </c>
      <c r="P772" s="61" t="str">
        <f t="shared" si="112"/>
        <v>();</v>
      </c>
      <c r="Q772" s="61" t="str">
        <f t="shared" si="114"/>
        <v/>
      </c>
      <c r="R772" s="61" t="str">
        <f t="shared" si="113"/>
        <v/>
      </c>
      <c r="S772" s="61" t="str">
        <f t="shared" si="110"/>
        <v/>
      </c>
      <c r="CU772" s="61" t="e">
        <v>#N/A</v>
      </c>
      <c r="CV772" s="61" t="e">
        <v>#N/A</v>
      </c>
      <c r="CW772" s="61" t="e">
        <v>#N/A</v>
      </c>
      <c r="CX772" s="61" t="e">
        <v>#N/A</v>
      </c>
      <c r="CY772" s="61" t="e">
        <v>#N/A</v>
      </c>
      <c r="CZ772" s="61" t="e">
        <v>#N/A</v>
      </c>
      <c r="DA772" s="61" t="e">
        <v>#N/A</v>
      </c>
      <c r="DB772" s="61" t="e">
        <v>#N/A</v>
      </c>
      <c r="DC772" s="61" t="e">
        <v>#N/A</v>
      </c>
      <c r="DD772" s="61" t="e">
        <v>#N/A</v>
      </c>
      <c r="DE772" s="61" t="e">
        <v>#N/A</v>
      </c>
      <c r="DF772" s="61" t="e">
        <v>#N/A</v>
      </c>
      <c r="DG772" s="61" t="e">
        <v>#N/A</v>
      </c>
      <c r="DH772" s="61" t="e">
        <v>#N/A</v>
      </c>
      <c r="DI772" s="61" t="e">
        <v>#N/A</v>
      </c>
      <c r="DJ772" s="61" t="e">
        <v>#N/A</v>
      </c>
    </row>
    <row r="773" spans="14:114">
      <c r="N773" s="61" t="str">
        <f t="shared" ref="N773:N836" si="115">IF(A773="Y",""""&amp;C773&amp;""""&amp;": "&amp;M773&amp;",","")</f>
        <v/>
      </c>
      <c r="O773" s="53" t="str">
        <f t="shared" ref="O773:O836" si="116">IF(D773="input","fill",IF(I773&lt;&gt;"","innerText",IF(J773="Y",$T$110,"click")))</f>
        <v>click</v>
      </c>
      <c r="P773" s="61" t="str">
        <f t="shared" si="112"/>
        <v>();</v>
      </c>
      <c r="Q773" s="61" t="str">
        <f t="shared" si="114"/>
        <v/>
      </c>
      <c r="R773" s="61" t="str">
        <f t="shared" si="113"/>
        <v/>
      </c>
      <c r="S773" s="61" t="str">
        <f t="shared" ref="S773:S836" si="117">IF(O773="innerText",I773&amp;"="&amp;IF(C773="Y",IF(J773&lt;&gt;"Y",$S$9&amp;$R$10&amp;"."&amp;E773&amp;")."&amp;IF(OR(O773="click",O773="innerText"),O773&amp;"();",O773&amp;"("&amp;$Q$9&amp;"."&amp;E773&amp;");"),$S$110&amp;$R$10&amp;"."&amp;E773&amp;")."&amp;IF(O773="click",O773&amp;"();",O773&amp;"("&amp;"'"&amp;K773&amp;"'"&amp;");")),""),IF(C773="Y",IF(J773&lt;&gt;"Y",$S$9&amp;$R$10&amp;"."&amp;E773&amp;")."&amp;IF(OR(O773="click",O773="innerText"),O773&amp;"();",O773&amp;"("&amp;$Q$9&amp;"."&amp;E773&amp;");"),$S$110&amp;$R$10&amp;"."&amp;E773&amp;")."&amp;IF(O773="click",O773&amp;"();",O773&amp;"("&amp;"'"&amp;K773&amp;"'"&amp;");")),""))</f>
        <v/>
      </c>
      <c r="CU773" s="61" t="e">
        <v>#N/A</v>
      </c>
      <c r="CV773" s="61" t="e">
        <v>#N/A</v>
      </c>
      <c r="CW773" s="61" t="e">
        <v>#N/A</v>
      </c>
      <c r="CX773" s="61" t="e">
        <v>#N/A</v>
      </c>
      <c r="CY773" s="61" t="e">
        <v>#N/A</v>
      </c>
      <c r="CZ773" s="61" t="e">
        <v>#N/A</v>
      </c>
      <c r="DA773" s="61" t="e">
        <v>#N/A</v>
      </c>
      <c r="DB773" s="61" t="e">
        <v>#N/A</v>
      </c>
      <c r="DC773" s="61" t="e">
        <v>#N/A</v>
      </c>
      <c r="DD773" s="61" t="e">
        <v>#N/A</v>
      </c>
      <c r="DE773" s="61" t="e">
        <v>#N/A</v>
      </c>
      <c r="DF773" s="61" t="e">
        <v>#N/A</v>
      </c>
      <c r="DG773" s="61" t="e">
        <v>#N/A</v>
      </c>
      <c r="DH773" s="61" t="e">
        <v>#N/A</v>
      </c>
      <c r="DI773" s="61" t="e">
        <v>#N/A</v>
      </c>
      <c r="DJ773" s="61" t="e">
        <v>#N/A</v>
      </c>
    </row>
    <row r="774" spans="14:114">
      <c r="N774" s="61" t="str">
        <f t="shared" si="115"/>
        <v/>
      </c>
      <c r="O774" s="53" t="str">
        <f t="shared" si="116"/>
        <v>click</v>
      </c>
      <c r="P774" s="61" t="str">
        <f t="shared" si="112"/>
        <v>();</v>
      </c>
      <c r="Q774" s="61" t="str">
        <f t="shared" si="114"/>
        <v/>
      </c>
      <c r="R774" s="61" t="str">
        <f t="shared" si="113"/>
        <v/>
      </c>
      <c r="S774" s="61" t="str">
        <f t="shared" si="117"/>
        <v/>
      </c>
      <c r="CU774" s="61" t="e">
        <v>#N/A</v>
      </c>
      <c r="CV774" s="61" t="e">
        <v>#N/A</v>
      </c>
      <c r="CW774" s="61" t="e">
        <v>#N/A</v>
      </c>
      <c r="CX774" s="61" t="e">
        <v>#N/A</v>
      </c>
      <c r="CY774" s="61" t="e">
        <v>#N/A</v>
      </c>
      <c r="CZ774" s="61" t="e">
        <v>#N/A</v>
      </c>
      <c r="DA774" s="61" t="e">
        <v>#N/A</v>
      </c>
      <c r="DB774" s="61" t="e">
        <v>#N/A</v>
      </c>
      <c r="DC774" s="61" t="e">
        <v>#N/A</v>
      </c>
      <c r="DD774" s="61" t="e">
        <v>#N/A</v>
      </c>
      <c r="DE774" s="61" t="e">
        <v>#N/A</v>
      </c>
      <c r="DF774" s="61" t="e">
        <v>#N/A</v>
      </c>
      <c r="DG774" s="61" t="e">
        <v>#N/A</v>
      </c>
      <c r="DH774" s="61" t="e">
        <v>#N/A</v>
      </c>
      <c r="DI774" s="61" t="e">
        <v>#N/A</v>
      </c>
      <c r="DJ774" s="61" t="e">
        <v>#N/A</v>
      </c>
    </row>
    <row r="775" spans="14:114">
      <c r="N775" s="61" t="str">
        <f t="shared" si="115"/>
        <v/>
      </c>
      <c r="O775" s="53" t="str">
        <f t="shared" si="116"/>
        <v>click</v>
      </c>
      <c r="P775" s="61" t="str">
        <f t="shared" si="112"/>
        <v>();</v>
      </c>
      <c r="Q775" s="61" t="str">
        <f t="shared" si="114"/>
        <v/>
      </c>
      <c r="R775" s="61" t="str">
        <f t="shared" si="113"/>
        <v/>
      </c>
      <c r="S775" s="61" t="str">
        <f t="shared" si="117"/>
        <v/>
      </c>
      <c r="CU775" s="61" t="e">
        <v>#N/A</v>
      </c>
      <c r="CV775" s="61" t="e">
        <v>#N/A</v>
      </c>
      <c r="CW775" s="61" t="e">
        <v>#N/A</v>
      </c>
      <c r="CX775" s="61" t="e">
        <v>#N/A</v>
      </c>
      <c r="CY775" s="61" t="e">
        <v>#N/A</v>
      </c>
      <c r="CZ775" s="61" t="e">
        <v>#N/A</v>
      </c>
      <c r="DA775" s="61" t="e">
        <v>#N/A</v>
      </c>
      <c r="DB775" s="61" t="e">
        <v>#N/A</v>
      </c>
      <c r="DC775" s="61" t="e">
        <v>#N/A</v>
      </c>
      <c r="DD775" s="61" t="e">
        <v>#N/A</v>
      </c>
      <c r="DE775" s="61" t="e">
        <v>#N/A</v>
      </c>
      <c r="DF775" s="61" t="e">
        <v>#N/A</v>
      </c>
      <c r="DG775" s="61" t="e">
        <v>#N/A</v>
      </c>
      <c r="DH775" s="61" t="e">
        <v>#N/A</v>
      </c>
      <c r="DI775" s="61" t="e">
        <v>#N/A</v>
      </c>
      <c r="DJ775" s="61" t="e">
        <v>#N/A</v>
      </c>
    </row>
    <row r="776" spans="14:114">
      <c r="N776" s="61" t="str">
        <f t="shared" si="115"/>
        <v/>
      </c>
      <c r="O776" s="53" t="str">
        <f t="shared" si="116"/>
        <v>click</v>
      </c>
      <c r="P776" s="61" t="str">
        <f t="shared" si="112"/>
        <v>();</v>
      </c>
      <c r="Q776" s="61" t="str">
        <f t="shared" si="114"/>
        <v/>
      </c>
      <c r="R776" s="61" t="str">
        <f t="shared" si="113"/>
        <v/>
      </c>
      <c r="S776" s="61" t="str">
        <f t="shared" si="117"/>
        <v/>
      </c>
      <c r="CU776" s="61" t="e">
        <v>#N/A</v>
      </c>
      <c r="CV776" s="61" t="e">
        <v>#N/A</v>
      </c>
      <c r="CW776" s="61" t="e">
        <v>#N/A</v>
      </c>
      <c r="CX776" s="61" t="e">
        <v>#N/A</v>
      </c>
      <c r="CY776" s="61" t="e">
        <v>#N/A</v>
      </c>
      <c r="CZ776" s="61" t="e">
        <v>#N/A</v>
      </c>
      <c r="DA776" s="61" t="e">
        <v>#N/A</v>
      </c>
      <c r="DB776" s="61" t="e">
        <v>#N/A</v>
      </c>
      <c r="DC776" s="61" t="e">
        <v>#N/A</v>
      </c>
      <c r="DD776" s="61" t="e">
        <v>#N/A</v>
      </c>
      <c r="DE776" s="61" t="e">
        <v>#N/A</v>
      </c>
      <c r="DF776" s="61" t="e">
        <v>#N/A</v>
      </c>
      <c r="DG776" s="61" t="e">
        <v>#N/A</v>
      </c>
      <c r="DH776" s="61" t="e">
        <v>#N/A</v>
      </c>
      <c r="DI776" s="61" t="e">
        <v>#N/A</v>
      </c>
      <c r="DJ776" s="61" t="e">
        <v>#N/A</v>
      </c>
    </row>
    <row r="777" spans="14:114">
      <c r="N777" s="61" t="str">
        <f t="shared" si="115"/>
        <v/>
      </c>
      <c r="O777" s="53" t="str">
        <f t="shared" si="116"/>
        <v>click</v>
      </c>
      <c r="P777" s="61" t="str">
        <f t="shared" si="112"/>
        <v>();</v>
      </c>
      <c r="Q777" s="61" t="str">
        <f t="shared" si="114"/>
        <v/>
      </c>
      <c r="R777" s="61" t="str">
        <f t="shared" si="113"/>
        <v/>
      </c>
      <c r="S777" s="61" t="str">
        <f t="shared" si="117"/>
        <v/>
      </c>
      <c r="CU777" s="61" t="e">
        <v>#N/A</v>
      </c>
      <c r="CV777" s="61" t="e">
        <v>#N/A</v>
      </c>
      <c r="CW777" s="61" t="e">
        <v>#N/A</v>
      </c>
      <c r="CX777" s="61" t="e">
        <v>#N/A</v>
      </c>
      <c r="CY777" s="61" t="e">
        <v>#N/A</v>
      </c>
      <c r="CZ777" s="61" t="e">
        <v>#N/A</v>
      </c>
      <c r="DA777" s="61" t="e">
        <v>#N/A</v>
      </c>
      <c r="DB777" s="61" t="e">
        <v>#N/A</v>
      </c>
      <c r="DC777" s="61" t="e">
        <v>#N/A</v>
      </c>
      <c r="DD777" s="61" t="e">
        <v>#N/A</v>
      </c>
      <c r="DE777" s="61" t="e">
        <v>#N/A</v>
      </c>
      <c r="DF777" s="61" t="e">
        <v>#N/A</v>
      </c>
      <c r="DG777" s="61" t="e">
        <v>#N/A</v>
      </c>
      <c r="DH777" s="61" t="e">
        <v>#N/A</v>
      </c>
      <c r="DI777" s="61" t="e">
        <v>#N/A</v>
      </c>
      <c r="DJ777" s="61" t="e">
        <v>#N/A</v>
      </c>
    </row>
    <row r="778" spans="14:114">
      <c r="N778" s="61" t="str">
        <f t="shared" si="115"/>
        <v/>
      </c>
      <c r="O778" s="53" t="str">
        <f t="shared" si="116"/>
        <v>click</v>
      </c>
      <c r="P778" s="61" t="str">
        <f t="shared" si="112"/>
        <v>();</v>
      </c>
      <c r="Q778" s="61" t="str">
        <f t="shared" si="114"/>
        <v/>
      </c>
      <c r="R778" s="61" t="str">
        <f t="shared" si="113"/>
        <v/>
      </c>
      <c r="S778" s="61" t="str">
        <f t="shared" si="117"/>
        <v/>
      </c>
      <c r="CU778" s="61" t="e">
        <v>#N/A</v>
      </c>
      <c r="CV778" s="61" t="e">
        <v>#N/A</v>
      </c>
      <c r="CW778" s="61" t="e">
        <v>#N/A</v>
      </c>
      <c r="CX778" s="61" t="e">
        <v>#N/A</v>
      </c>
      <c r="CY778" s="61" t="e">
        <v>#N/A</v>
      </c>
      <c r="CZ778" s="61" t="e">
        <v>#N/A</v>
      </c>
      <c r="DA778" s="61" t="e">
        <v>#N/A</v>
      </c>
      <c r="DB778" s="61" t="e">
        <v>#N/A</v>
      </c>
      <c r="DC778" s="61" t="e">
        <v>#N/A</v>
      </c>
      <c r="DD778" s="61" t="e">
        <v>#N/A</v>
      </c>
      <c r="DE778" s="61" t="e">
        <v>#N/A</v>
      </c>
      <c r="DF778" s="61" t="e">
        <v>#N/A</v>
      </c>
      <c r="DG778" s="61" t="e">
        <v>#N/A</v>
      </c>
      <c r="DH778" s="61" t="e">
        <v>#N/A</v>
      </c>
      <c r="DI778" s="61" t="e">
        <v>#N/A</v>
      </c>
      <c r="DJ778" s="61" t="e">
        <v>#N/A</v>
      </c>
    </row>
    <row r="779" spans="14:114">
      <c r="N779" s="61" t="str">
        <f t="shared" si="115"/>
        <v/>
      </c>
      <c r="O779" s="53" t="str">
        <f t="shared" si="116"/>
        <v>click</v>
      </c>
      <c r="P779" s="61" t="str">
        <f t="shared" si="112"/>
        <v>();</v>
      </c>
      <c r="Q779" s="61" t="str">
        <f t="shared" ref="Q779:Q810" si="118">IF(A779="Y",IF(J779&lt;&gt;"Xpath",M779&amp;F779&amp;N779,""""&amp;H779&amp;""""),"")</f>
        <v/>
      </c>
      <c r="R779" s="61" t="str">
        <f t="shared" si="113"/>
        <v/>
      </c>
      <c r="S779" s="61" t="str">
        <f t="shared" si="117"/>
        <v/>
      </c>
      <c r="CU779" s="61" t="e">
        <v>#N/A</v>
      </c>
      <c r="CV779" s="61" t="e">
        <v>#N/A</v>
      </c>
      <c r="CW779" s="61" t="e">
        <v>#N/A</v>
      </c>
      <c r="CX779" s="61" t="e">
        <v>#N/A</v>
      </c>
      <c r="CY779" s="61" t="e">
        <v>#N/A</v>
      </c>
      <c r="CZ779" s="61" t="e">
        <v>#N/A</v>
      </c>
      <c r="DA779" s="61" t="e">
        <v>#N/A</v>
      </c>
      <c r="DB779" s="61" t="e">
        <v>#N/A</v>
      </c>
      <c r="DC779" s="61" t="e">
        <v>#N/A</v>
      </c>
      <c r="DD779" s="61" t="e">
        <v>#N/A</v>
      </c>
      <c r="DE779" s="61" t="e">
        <v>#N/A</v>
      </c>
      <c r="DF779" s="61" t="e">
        <v>#N/A</v>
      </c>
      <c r="DG779" s="61" t="e">
        <v>#N/A</v>
      </c>
      <c r="DH779" s="61" t="e">
        <v>#N/A</v>
      </c>
      <c r="DI779" s="61" t="e">
        <v>#N/A</v>
      </c>
      <c r="DJ779" s="61" t="e">
        <v>#N/A</v>
      </c>
    </row>
    <row r="780" spans="14:114">
      <c r="N780" s="61" t="str">
        <f t="shared" si="115"/>
        <v/>
      </c>
      <c r="O780" s="53" t="str">
        <f t="shared" si="116"/>
        <v>click</v>
      </c>
      <c r="P780" s="61" t="str">
        <f t="shared" ref="P780:P843" si="119">IF(OR(O780="Click",O780="innerText"),"();","("&amp;""""&amp;K780&amp;""""&amp;");")</f>
        <v>();</v>
      </c>
      <c r="Q780" s="61" t="str">
        <f t="shared" si="118"/>
        <v/>
      </c>
      <c r="R780" s="61" t="str">
        <f t="shared" si="113"/>
        <v/>
      </c>
      <c r="S780" s="61" t="str">
        <f t="shared" si="117"/>
        <v/>
      </c>
      <c r="CU780" s="61" t="e">
        <v>#N/A</v>
      </c>
      <c r="CV780" s="61" t="e">
        <v>#N/A</v>
      </c>
      <c r="CW780" s="61" t="e">
        <v>#N/A</v>
      </c>
      <c r="CX780" s="61" t="e">
        <v>#N/A</v>
      </c>
      <c r="CY780" s="61" t="e">
        <v>#N/A</v>
      </c>
      <c r="CZ780" s="61" t="e">
        <v>#N/A</v>
      </c>
      <c r="DA780" s="61" t="e">
        <v>#N/A</v>
      </c>
      <c r="DB780" s="61" t="e">
        <v>#N/A</v>
      </c>
      <c r="DC780" s="61" t="e">
        <v>#N/A</v>
      </c>
      <c r="DD780" s="61" t="e">
        <v>#N/A</v>
      </c>
      <c r="DE780" s="61" t="e">
        <v>#N/A</v>
      </c>
      <c r="DF780" s="61" t="e">
        <v>#N/A</v>
      </c>
      <c r="DG780" s="61" t="e">
        <v>#N/A</v>
      </c>
      <c r="DH780" s="61" t="e">
        <v>#N/A</v>
      </c>
      <c r="DI780" s="61" t="e">
        <v>#N/A</v>
      </c>
      <c r="DJ780" s="61" t="e">
        <v>#N/A</v>
      </c>
    </row>
    <row r="781" spans="14:114">
      <c r="N781" s="61" t="str">
        <f t="shared" si="115"/>
        <v/>
      </c>
      <c r="O781" s="53" t="str">
        <f t="shared" si="116"/>
        <v>click</v>
      </c>
      <c r="P781" s="61" t="str">
        <f t="shared" si="119"/>
        <v>();</v>
      </c>
      <c r="Q781" s="61" t="str">
        <f t="shared" si="118"/>
        <v/>
      </c>
      <c r="R781" s="61" t="str">
        <f t="shared" si="113"/>
        <v/>
      </c>
      <c r="S781" s="61" t="str">
        <f t="shared" si="117"/>
        <v/>
      </c>
      <c r="CU781" s="61" t="e">
        <v>#N/A</v>
      </c>
      <c r="CV781" s="61" t="e">
        <v>#N/A</v>
      </c>
      <c r="CW781" s="61" t="e">
        <v>#N/A</v>
      </c>
      <c r="CX781" s="61" t="e">
        <v>#N/A</v>
      </c>
      <c r="CY781" s="61" t="e">
        <v>#N/A</v>
      </c>
      <c r="CZ781" s="61" t="e">
        <v>#N/A</v>
      </c>
      <c r="DA781" s="61" t="e">
        <v>#N/A</v>
      </c>
      <c r="DB781" s="61" t="e">
        <v>#N/A</v>
      </c>
      <c r="DC781" s="61" t="e">
        <v>#N/A</v>
      </c>
      <c r="DD781" s="61" t="e">
        <v>#N/A</v>
      </c>
      <c r="DE781" s="61" t="e">
        <v>#N/A</v>
      </c>
      <c r="DF781" s="61" t="e">
        <v>#N/A</v>
      </c>
      <c r="DG781" s="61" t="e">
        <v>#N/A</v>
      </c>
      <c r="DH781" s="61" t="e">
        <v>#N/A</v>
      </c>
      <c r="DI781" s="61" t="e">
        <v>#N/A</v>
      </c>
      <c r="DJ781" s="61" t="e">
        <v>#N/A</v>
      </c>
    </row>
    <row r="782" spans="14:114">
      <c r="N782" s="61" t="str">
        <f t="shared" si="115"/>
        <v/>
      </c>
      <c r="O782" s="53" t="str">
        <f t="shared" si="116"/>
        <v>click</v>
      </c>
      <c r="P782" s="61" t="str">
        <f t="shared" si="119"/>
        <v>();</v>
      </c>
      <c r="Q782" s="61" t="str">
        <f t="shared" si="118"/>
        <v/>
      </c>
      <c r="R782" s="61" t="str">
        <f t="shared" si="113"/>
        <v/>
      </c>
      <c r="S782" s="61" t="str">
        <f t="shared" si="117"/>
        <v/>
      </c>
      <c r="CU782" s="61" t="e">
        <v>#N/A</v>
      </c>
      <c r="CV782" s="61" t="e">
        <v>#N/A</v>
      </c>
      <c r="CW782" s="61" t="e">
        <v>#N/A</v>
      </c>
      <c r="CX782" s="61" t="e">
        <v>#N/A</v>
      </c>
      <c r="CY782" s="61" t="e">
        <v>#N/A</v>
      </c>
      <c r="CZ782" s="61" t="e">
        <v>#N/A</v>
      </c>
      <c r="DA782" s="61" t="e">
        <v>#N/A</v>
      </c>
      <c r="DB782" s="61" t="e">
        <v>#N/A</v>
      </c>
      <c r="DC782" s="61" t="e">
        <v>#N/A</v>
      </c>
      <c r="DD782" s="61" t="e">
        <v>#N/A</v>
      </c>
      <c r="DE782" s="61" t="e">
        <v>#N/A</v>
      </c>
      <c r="DF782" s="61" t="e">
        <v>#N/A</v>
      </c>
      <c r="DG782" s="61" t="e">
        <v>#N/A</v>
      </c>
      <c r="DH782" s="61" t="e">
        <v>#N/A</v>
      </c>
      <c r="DI782" s="61" t="e">
        <v>#N/A</v>
      </c>
      <c r="DJ782" s="61" t="e">
        <v>#N/A</v>
      </c>
    </row>
    <row r="783" spans="14:114">
      <c r="N783" s="61" t="str">
        <f t="shared" si="115"/>
        <v/>
      </c>
      <c r="O783" s="53" t="str">
        <f t="shared" si="116"/>
        <v>click</v>
      </c>
      <c r="P783" s="61" t="str">
        <f t="shared" si="119"/>
        <v>();</v>
      </c>
      <c r="Q783" s="61" t="str">
        <f t="shared" si="118"/>
        <v/>
      </c>
      <c r="R783" s="61" t="str">
        <f t="shared" si="113"/>
        <v/>
      </c>
      <c r="S783" s="61" t="str">
        <f t="shared" si="117"/>
        <v/>
      </c>
      <c r="CU783" s="61" t="e">
        <v>#N/A</v>
      </c>
      <c r="CV783" s="61" t="e">
        <v>#N/A</v>
      </c>
      <c r="CW783" s="61" t="e">
        <v>#N/A</v>
      </c>
      <c r="CX783" s="61" t="e">
        <v>#N/A</v>
      </c>
      <c r="CY783" s="61" t="e">
        <v>#N/A</v>
      </c>
      <c r="CZ783" s="61" t="e">
        <v>#N/A</v>
      </c>
      <c r="DA783" s="61" t="e">
        <v>#N/A</v>
      </c>
      <c r="DB783" s="61" t="e">
        <v>#N/A</v>
      </c>
      <c r="DC783" s="61" t="e">
        <v>#N/A</v>
      </c>
      <c r="DD783" s="61" t="e">
        <v>#N/A</v>
      </c>
      <c r="DE783" s="61" t="e">
        <v>#N/A</v>
      </c>
      <c r="DF783" s="61" t="e">
        <v>#N/A</v>
      </c>
      <c r="DG783" s="61" t="e">
        <v>#N/A</v>
      </c>
      <c r="DH783" s="61" t="e">
        <v>#N/A</v>
      </c>
      <c r="DI783" s="61" t="e">
        <v>#N/A</v>
      </c>
      <c r="DJ783" s="61" t="e">
        <v>#N/A</v>
      </c>
    </row>
    <row r="784" spans="14:114">
      <c r="N784" s="61" t="str">
        <f t="shared" si="115"/>
        <v/>
      </c>
      <c r="O784" s="53" t="str">
        <f t="shared" si="116"/>
        <v>click</v>
      </c>
      <c r="P784" s="61" t="str">
        <f t="shared" si="119"/>
        <v>();</v>
      </c>
      <c r="Q784" s="61" t="str">
        <f t="shared" si="118"/>
        <v/>
      </c>
      <c r="R784" s="61" t="str">
        <f t="shared" si="113"/>
        <v/>
      </c>
      <c r="S784" s="61" t="str">
        <f t="shared" si="117"/>
        <v/>
      </c>
      <c r="CU784" s="61" t="e">
        <v>#N/A</v>
      </c>
      <c r="CV784" s="61" t="e">
        <v>#N/A</v>
      </c>
      <c r="CW784" s="61" t="e">
        <v>#N/A</v>
      </c>
      <c r="CX784" s="61" t="e">
        <v>#N/A</v>
      </c>
      <c r="CY784" s="61" t="e">
        <v>#N/A</v>
      </c>
      <c r="CZ784" s="61" t="e">
        <v>#N/A</v>
      </c>
      <c r="DA784" s="61" t="e">
        <v>#N/A</v>
      </c>
      <c r="DB784" s="61" t="e">
        <v>#N/A</v>
      </c>
      <c r="DC784" s="61" t="e">
        <v>#N/A</v>
      </c>
      <c r="DD784" s="61" t="e">
        <v>#N/A</v>
      </c>
      <c r="DE784" s="61" t="e">
        <v>#N/A</v>
      </c>
      <c r="DF784" s="61" t="e">
        <v>#N/A</v>
      </c>
      <c r="DG784" s="61" t="e">
        <v>#N/A</v>
      </c>
      <c r="DH784" s="61" t="e">
        <v>#N/A</v>
      </c>
      <c r="DI784" s="61" t="e">
        <v>#N/A</v>
      </c>
      <c r="DJ784" s="61" t="e">
        <v>#N/A</v>
      </c>
    </row>
    <row r="785" spans="14:114">
      <c r="N785" s="61" t="str">
        <f t="shared" si="115"/>
        <v/>
      </c>
      <c r="O785" s="53" t="str">
        <f t="shared" si="116"/>
        <v>click</v>
      </c>
      <c r="P785" s="61" t="str">
        <f t="shared" si="119"/>
        <v>();</v>
      </c>
      <c r="Q785" s="61" t="str">
        <f t="shared" si="118"/>
        <v/>
      </c>
      <c r="R785" s="61" t="str">
        <f t="shared" si="113"/>
        <v/>
      </c>
      <c r="S785" s="61" t="str">
        <f t="shared" si="117"/>
        <v/>
      </c>
      <c r="CU785" s="61" t="e">
        <v>#N/A</v>
      </c>
      <c r="CV785" s="61" t="e">
        <v>#N/A</v>
      </c>
      <c r="CW785" s="61" t="e">
        <v>#N/A</v>
      </c>
      <c r="CX785" s="61" t="e">
        <v>#N/A</v>
      </c>
      <c r="CY785" s="61" t="e">
        <v>#N/A</v>
      </c>
      <c r="CZ785" s="61" t="e">
        <v>#N/A</v>
      </c>
      <c r="DA785" s="61" t="e">
        <v>#N/A</v>
      </c>
      <c r="DB785" s="61" t="e">
        <v>#N/A</v>
      </c>
      <c r="DC785" s="61" t="e">
        <v>#N/A</v>
      </c>
      <c r="DD785" s="61" t="e">
        <v>#N/A</v>
      </c>
      <c r="DE785" s="61" t="e">
        <v>#N/A</v>
      </c>
      <c r="DF785" s="61" t="e">
        <v>#N/A</v>
      </c>
      <c r="DG785" s="61" t="e">
        <v>#N/A</v>
      </c>
      <c r="DH785" s="61" t="e">
        <v>#N/A</v>
      </c>
      <c r="DI785" s="61" t="e">
        <v>#N/A</v>
      </c>
      <c r="DJ785" s="61" t="e">
        <v>#N/A</v>
      </c>
    </row>
    <row r="786" spans="14:114">
      <c r="N786" s="61" t="str">
        <f t="shared" si="115"/>
        <v/>
      </c>
      <c r="O786" s="53" t="str">
        <f t="shared" si="116"/>
        <v>click</v>
      </c>
      <c r="P786" s="61" t="str">
        <f t="shared" si="119"/>
        <v>();</v>
      </c>
      <c r="Q786" s="61" t="str">
        <f t="shared" si="118"/>
        <v/>
      </c>
      <c r="R786" s="61" t="str">
        <f t="shared" si="113"/>
        <v/>
      </c>
      <c r="S786" s="61" t="str">
        <f t="shared" si="117"/>
        <v/>
      </c>
      <c r="CU786" s="61" t="e">
        <v>#N/A</v>
      </c>
      <c r="CV786" s="61" t="e">
        <v>#N/A</v>
      </c>
      <c r="CW786" s="61" t="e">
        <v>#N/A</v>
      </c>
      <c r="CX786" s="61" t="e">
        <v>#N/A</v>
      </c>
      <c r="CY786" s="61" t="e">
        <v>#N/A</v>
      </c>
      <c r="CZ786" s="61" t="e">
        <v>#N/A</v>
      </c>
      <c r="DA786" s="61" t="e">
        <v>#N/A</v>
      </c>
      <c r="DB786" s="61" t="e">
        <v>#N/A</v>
      </c>
      <c r="DC786" s="61" t="e">
        <v>#N/A</v>
      </c>
      <c r="DD786" s="61" t="e">
        <v>#N/A</v>
      </c>
      <c r="DE786" s="61" t="e">
        <v>#N/A</v>
      </c>
      <c r="DF786" s="61" t="e">
        <v>#N/A</v>
      </c>
      <c r="DG786" s="61" t="e">
        <v>#N/A</v>
      </c>
      <c r="DH786" s="61" t="e">
        <v>#N/A</v>
      </c>
      <c r="DI786" s="61" t="e">
        <v>#N/A</v>
      </c>
      <c r="DJ786" s="61" t="e">
        <v>#N/A</v>
      </c>
    </row>
    <row r="787" spans="14:114">
      <c r="N787" s="61" t="str">
        <f t="shared" si="115"/>
        <v/>
      </c>
      <c r="O787" s="53" t="str">
        <f t="shared" si="116"/>
        <v>click</v>
      </c>
      <c r="P787" s="61" t="str">
        <f t="shared" si="119"/>
        <v>();</v>
      </c>
      <c r="Q787" s="61" t="str">
        <f t="shared" si="118"/>
        <v/>
      </c>
      <c r="R787" s="61" t="str">
        <f t="shared" si="113"/>
        <v/>
      </c>
      <c r="S787" s="61" t="str">
        <f t="shared" si="117"/>
        <v/>
      </c>
      <c r="CU787" s="61" t="e">
        <v>#N/A</v>
      </c>
      <c r="CV787" s="61" t="e">
        <v>#N/A</v>
      </c>
      <c r="CW787" s="61" t="e">
        <v>#N/A</v>
      </c>
      <c r="CX787" s="61" t="e">
        <v>#N/A</v>
      </c>
      <c r="CY787" s="61" t="e">
        <v>#N/A</v>
      </c>
      <c r="CZ787" s="61" t="e">
        <v>#N/A</v>
      </c>
      <c r="DA787" s="61" t="e">
        <v>#N/A</v>
      </c>
      <c r="DB787" s="61" t="e">
        <v>#N/A</v>
      </c>
      <c r="DC787" s="61" t="e">
        <v>#N/A</v>
      </c>
      <c r="DD787" s="61" t="e">
        <v>#N/A</v>
      </c>
      <c r="DE787" s="61" t="e">
        <v>#N/A</v>
      </c>
      <c r="DF787" s="61" t="e">
        <v>#N/A</v>
      </c>
      <c r="DG787" s="61" t="e">
        <v>#N/A</v>
      </c>
      <c r="DH787" s="61" t="e">
        <v>#N/A</v>
      </c>
      <c r="DI787" s="61" t="e">
        <v>#N/A</v>
      </c>
      <c r="DJ787" s="61" t="e">
        <v>#N/A</v>
      </c>
    </row>
    <row r="788" spans="14:114">
      <c r="N788" s="61" t="str">
        <f t="shared" si="115"/>
        <v/>
      </c>
      <c r="O788" s="53" t="str">
        <f t="shared" si="116"/>
        <v>click</v>
      </c>
      <c r="P788" s="61" t="str">
        <f t="shared" si="119"/>
        <v>();</v>
      </c>
      <c r="Q788" s="61" t="str">
        <f t="shared" si="118"/>
        <v/>
      </c>
      <c r="R788" s="61" t="str">
        <f t="shared" si="113"/>
        <v/>
      </c>
      <c r="S788" s="61" t="str">
        <f t="shared" si="117"/>
        <v/>
      </c>
      <c r="CU788" s="61" t="e">
        <v>#N/A</v>
      </c>
      <c r="CV788" s="61" t="e">
        <v>#N/A</v>
      </c>
      <c r="CW788" s="61" t="e">
        <v>#N/A</v>
      </c>
      <c r="CX788" s="61" t="e">
        <v>#N/A</v>
      </c>
      <c r="CY788" s="61" t="e">
        <v>#N/A</v>
      </c>
      <c r="CZ788" s="61" t="e">
        <v>#N/A</v>
      </c>
      <c r="DA788" s="61" t="e">
        <v>#N/A</v>
      </c>
      <c r="DB788" s="61" t="e">
        <v>#N/A</v>
      </c>
      <c r="DC788" s="61" t="e">
        <v>#N/A</v>
      </c>
      <c r="DD788" s="61" t="e">
        <v>#N/A</v>
      </c>
      <c r="DE788" s="61" t="e">
        <v>#N/A</v>
      </c>
      <c r="DF788" s="61" t="e">
        <v>#N/A</v>
      </c>
      <c r="DG788" s="61" t="e">
        <v>#N/A</v>
      </c>
      <c r="DH788" s="61" t="e">
        <v>#N/A</v>
      </c>
      <c r="DI788" s="61" t="e">
        <v>#N/A</v>
      </c>
      <c r="DJ788" s="61" t="e">
        <v>#N/A</v>
      </c>
    </row>
    <row r="789" spans="14:114">
      <c r="N789" s="61" t="str">
        <f t="shared" si="115"/>
        <v/>
      </c>
      <c r="O789" s="53" t="str">
        <f t="shared" si="116"/>
        <v>click</v>
      </c>
      <c r="P789" s="61" t="str">
        <f t="shared" si="119"/>
        <v>();</v>
      </c>
      <c r="Q789" s="61" t="str">
        <f t="shared" si="118"/>
        <v/>
      </c>
      <c r="R789" s="61" t="str">
        <f t="shared" si="113"/>
        <v/>
      </c>
      <c r="S789" s="61" t="str">
        <f t="shared" si="117"/>
        <v/>
      </c>
      <c r="CU789" s="61" t="e">
        <v>#N/A</v>
      </c>
      <c r="CV789" s="61" t="e">
        <v>#N/A</v>
      </c>
      <c r="CW789" s="61" t="e">
        <v>#N/A</v>
      </c>
      <c r="CX789" s="61" t="e">
        <v>#N/A</v>
      </c>
      <c r="CY789" s="61" t="e">
        <v>#N/A</v>
      </c>
      <c r="CZ789" s="61" t="e">
        <v>#N/A</v>
      </c>
      <c r="DA789" s="61" t="e">
        <v>#N/A</v>
      </c>
      <c r="DB789" s="61" t="e">
        <v>#N/A</v>
      </c>
      <c r="DC789" s="61" t="e">
        <v>#N/A</v>
      </c>
      <c r="DD789" s="61" t="e">
        <v>#N/A</v>
      </c>
      <c r="DE789" s="61" t="e">
        <v>#N/A</v>
      </c>
      <c r="DF789" s="61" t="e">
        <v>#N/A</v>
      </c>
      <c r="DG789" s="61" t="e">
        <v>#N/A</v>
      </c>
      <c r="DH789" s="61" t="e">
        <v>#N/A</v>
      </c>
      <c r="DI789" s="61" t="e">
        <v>#N/A</v>
      </c>
      <c r="DJ789" s="61" t="e">
        <v>#N/A</v>
      </c>
    </row>
    <row r="790" spans="14:114">
      <c r="N790" s="61" t="str">
        <f t="shared" si="115"/>
        <v/>
      </c>
      <c r="O790" s="53" t="str">
        <f t="shared" si="116"/>
        <v>click</v>
      </c>
      <c r="P790" s="61" t="str">
        <f t="shared" si="119"/>
        <v>();</v>
      </c>
      <c r="Q790" s="61" t="str">
        <f t="shared" si="118"/>
        <v/>
      </c>
      <c r="R790" s="61" t="str">
        <f t="shared" si="113"/>
        <v/>
      </c>
      <c r="S790" s="61" t="str">
        <f t="shared" si="117"/>
        <v/>
      </c>
      <c r="CU790" s="61" t="e">
        <v>#N/A</v>
      </c>
      <c r="CV790" s="61" t="e">
        <v>#N/A</v>
      </c>
      <c r="CW790" s="61" t="e">
        <v>#N/A</v>
      </c>
      <c r="CX790" s="61" t="e">
        <v>#N/A</v>
      </c>
      <c r="CY790" s="61" t="e">
        <v>#N/A</v>
      </c>
      <c r="CZ790" s="61" t="e">
        <v>#N/A</v>
      </c>
      <c r="DA790" s="61" t="e">
        <v>#N/A</v>
      </c>
      <c r="DB790" s="61" t="e">
        <v>#N/A</v>
      </c>
      <c r="DC790" s="61" t="e">
        <v>#N/A</v>
      </c>
      <c r="DD790" s="61" t="e">
        <v>#N/A</v>
      </c>
      <c r="DE790" s="61" t="e">
        <v>#N/A</v>
      </c>
      <c r="DF790" s="61" t="e">
        <v>#N/A</v>
      </c>
      <c r="DG790" s="61" t="e">
        <v>#N/A</v>
      </c>
      <c r="DH790" s="61" t="e">
        <v>#N/A</v>
      </c>
      <c r="DI790" s="61" t="e">
        <v>#N/A</v>
      </c>
      <c r="DJ790" s="61" t="e">
        <v>#N/A</v>
      </c>
    </row>
    <row r="791" spans="14:114">
      <c r="N791" s="61" t="str">
        <f t="shared" si="115"/>
        <v/>
      </c>
      <c r="O791" s="53" t="str">
        <f t="shared" si="116"/>
        <v>click</v>
      </c>
      <c r="P791" s="61" t="str">
        <f t="shared" si="119"/>
        <v>();</v>
      </c>
      <c r="Q791" s="61" t="str">
        <f t="shared" si="118"/>
        <v/>
      </c>
      <c r="R791" s="61" t="str">
        <f t="shared" si="113"/>
        <v/>
      </c>
      <c r="S791" s="61" t="str">
        <f t="shared" si="117"/>
        <v/>
      </c>
      <c r="CU791" s="61" t="e">
        <v>#N/A</v>
      </c>
      <c r="CV791" s="61" t="e">
        <v>#N/A</v>
      </c>
      <c r="CW791" s="61" t="e">
        <v>#N/A</v>
      </c>
      <c r="CX791" s="61" t="e">
        <v>#N/A</v>
      </c>
      <c r="CY791" s="61" t="e">
        <v>#N/A</v>
      </c>
      <c r="CZ791" s="61" t="e">
        <v>#N/A</v>
      </c>
      <c r="DA791" s="61" t="e">
        <v>#N/A</v>
      </c>
      <c r="DB791" s="61" t="e">
        <v>#N/A</v>
      </c>
      <c r="DC791" s="61" t="e">
        <v>#N/A</v>
      </c>
      <c r="DD791" s="61" t="e">
        <v>#N/A</v>
      </c>
      <c r="DE791" s="61" t="e">
        <v>#N/A</v>
      </c>
      <c r="DF791" s="61" t="e">
        <v>#N/A</v>
      </c>
      <c r="DG791" s="61" t="e">
        <v>#N/A</v>
      </c>
      <c r="DH791" s="61" t="e">
        <v>#N/A</v>
      </c>
      <c r="DI791" s="61" t="e">
        <v>#N/A</v>
      </c>
      <c r="DJ791" s="61" t="e">
        <v>#N/A</v>
      </c>
    </row>
    <row r="792" spans="14:114">
      <c r="N792" s="61" t="str">
        <f t="shared" si="115"/>
        <v/>
      </c>
      <c r="O792" s="53" t="str">
        <f t="shared" si="116"/>
        <v>click</v>
      </c>
      <c r="P792" s="61" t="str">
        <f t="shared" si="119"/>
        <v>();</v>
      </c>
      <c r="Q792" s="61" t="str">
        <f t="shared" si="118"/>
        <v/>
      </c>
      <c r="R792" s="61" t="str">
        <f t="shared" si="113"/>
        <v/>
      </c>
      <c r="S792" s="61" t="str">
        <f t="shared" si="117"/>
        <v/>
      </c>
      <c r="CU792" s="61" t="e">
        <v>#N/A</v>
      </c>
      <c r="CV792" s="61" t="e">
        <v>#N/A</v>
      </c>
      <c r="CW792" s="61" t="e">
        <v>#N/A</v>
      </c>
      <c r="CX792" s="61" t="e">
        <v>#N/A</v>
      </c>
      <c r="CY792" s="61" t="e">
        <v>#N/A</v>
      </c>
      <c r="CZ792" s="61" t="e">
        <v>#N/A</v>
      </c>
      <c r="DA792" s="61" t="e">
        <v>#N/A</v>
      </c>
      <c r="DB792" s="61" t="e">
        <v>#N/A</v>
      </c>
      <c r="DC792" s="61" t="e">
        <v>#N/A</v>
      </c>
      <c r="DD792" s="61" t="e">
        <v>#N/A</v>
      </c>
      <c r="DE792" s="61" t="e">
        <v>#N/A</v>
      </c>
      <c r="DF792" s="61" t="e">
        <v>#N/A</v>
      </c>
      <c r="DG792" s="61" t="e">
        <v>#N/A</v>
      </c>
      <c r="DH792" s="61" t="e">
        <v>#N/A</v>
      </c>
      <c r="DI792" s="61" t="e">
        <v>#N/A</v>
      </c>
      <c r="DJ792" s="61" t="e">
        <v>#N/A</v>
      </c>
    </row>
    <row r="793" spans="14:114">
      <c r="N793" s="61" t="str">
        <f t="shared" si="115"/>
        <v/>
      </c>
      <c r="O793" s="53" t="str">
        <f t="shared" si="116"/>
        <v>click</v>
      </c>
      <c r="P793" s="61" t="str">
        <f t="shared" si="119"/>
        <v>();</v>
      </c>
      <c r="Q793" s="61" t="str">
        <f t="shared" si="118"/>
        <v/>
      </c>
      <c r="R793" s="61" t="str">
        <f t="shared" ref="R793:R814" si="120">IF(C793="Y",""""&amp;E793&amp;""""&amp;":"&amp;Q793&amp;";","")</f>
        <v/>
      </c>
      <c r="S793" s="61" t="str">
        <f t="shared" si="117"/>
        <v/>
      </c>
      <c r="CU793" s="61" t="e">
        <v>#N/A</v>
      </c>
      <c r="CV793" s="61" t="e">
        <v>#N/A</v>
      </c>
      <c r="CW793" s="61" t="e">
        <v>#N/A</v>
      </c>
      <c r="CX793" s="61" t="e">
        <v>#N/A</v>
      </c>
      <c r="CY793" s="61" t="e">
        <v>#N/A</v>
      </c>
      <c r="CZ793" s="61" t="e">
        <v>#N/A</v>
      </c>
      <c r="DA793" s="61" t="e">
        <v>#N/A</v>
      </c>
      <c r="DB793" s="61" t="e">
        <v>#N/A</v>
      </c>
      <c r="DC793" s="61" t="e">
        <v>#N/A</v>
      </c>
      <c r="DD793" s="61" t="e">
        <v>#N/A</v>
      </c>
      <c r="DE793" s="61" t="e">
        <v>#N/A</v>
      </c>
      <c r="DF793" s="61" t="e">
        <v>#N/A</v>
      </c>
      <c r="DG793" s="61" t="e">
        <v>#N/A</v>
      </c>
      <c r="DH793" s="61" t="e">
        <v>#N/A</v>
      </c>
      <c r="DI793" s="61" t="e">
        <v>#N/A</v>
      </c>
      <c r="DJ793" s="61" t="e">
        <v>#N/A</v>
      </c>
    </row>
    <row r="794" spans="14:114">
      <c r="N794" s="61" t="str">
        <f t="shared" si="115"/>
        <v/>
      </c>
      <c r="O794" s="53" t="str">
        <f t="shared" si="116"/>
        <v>click</v>
      </c>
      <c r="P794" s="61" t="str">
        <f t="shared" si="119"/>
        <v>();</v>
      </c>
      <c r="Q794" s="61" t="str">
        <f t="shared" si="118"/>
        <v/>
      </c>
      <c r="R794" s="61" t="str">
        <f t="shared" si="120"/>
        <v/>
      </c>
      <c r="S794" s="61" t="str">
        <f t="shared" si="117"/>
        <v/>
      </c>
      <c r="CU794" s="61" t="e">
        <v>#N/A</v>
      </c>
      <c r="CV794" s="61" t="e">
        <v>#N/A</v>
      </c>
      <c r="CW794" s="61" t="e">
        <v>#N/A</v>
      </c>
      <c r="CX794" s="61" t="e">
        <v>#N/A</v>
      </c>
      <c r="CY794" s="61" t="e">
        <v>#N/A</v>
      </c>
      <c r="CZ794" s="61" t="e">
        <v>#N/A</v>
      </c>
      <c r="DA794" s="61" t="e">
        <v>#N/A</v>
      </c>
      <c r="DB794" s="61" t="e">
        <v>#N/A</v>
      </c>
      <c r="DC794" s="61" t="e">
        <v>#N/A</v>
      </c>
      <c r="DD794" s="61" t="e">
        <v>#N/A</v>
      </c>
      <c r="DE794" s="61" t="e">
        <v>#N/A</v>
      </c>
      <c r="DF794" s="61" t="e">
        <v>#N/A</v>
      </c>
      <c r="DG794" s="61" t="e">
        <v>#N/A</v>
      </c>
      <c r="DH794" s="61" t="e">
        <v>#N/A</v>
      </c>
      <c r="DI794" s="61" t="e">
        <v>#N/A</v>
      </c>
      <c r="DJ794" s="61" t="e">
        <v>#N/A</v>
      </c>
    </row>
    <row r="795" spans="14:114">
      <c r="N795" s="61" t="str">
        <f t="shared" si="115"/>
        <v/>
      </c>
      <c r="O795" s="53" t="str">
        <f t="shared" si="116"/>
        <v>click</v>
      </c>
      <c r="P795" s="61" t="str">
        <f t="shared" si="119"/>
        <v>();</v>
      </c>
      <c r="Q795" s="61" t="str">
        <f t="shared" si="118"/>
        <v/>
      </c>
      <c r="R795" s="61" t="str">
        <f t="shared" si="120"/>
        <v/>
      </c>
      <c r="S795" s="61" t="str">
        <f t="shared" si="117"/>
        <v/>
      </c>
      <c r="CU795" s="61" t="e">
        <v>#N/A</v>
      </c>
      <c r="CV795" s="61" t="e">
        <v>#N/A</v>
      </c>
      <c r="CW795" s="61" t="e">
        <v>#N/A</v>
      </c>
      <c r="CX795" s="61" t="e">
        <v>#N/A</v>
      </c>
      <c r="CY795" s="61" t="e">
        <v>#N/A</v>
      </c>
      <c r="CZ795" s="61" t="e">
        <v>#N/A</v>
      </c>
      <c r="DA795" s="61" t="e">
        <v>#N/A</v>
      </c>
      <c r="DB795" s="61" t="e">
        <v>#N/A</v>
      </c>
      <c r="DC795" s="61" t="e">
        <v>#N/A</v>
      </c>
      <c r="DD795" s="61" t="e">
        <v>#N/A</v>
      </c>
      <c r="DE795" s="61" t="e">
        <v>#N/A</v>
      </c>
      <c r="DF795" s="61" t="e">
        <v>#N/A</v>
      </c>
      <c r="DG795" s="61" t="e">
        <v>#N/A</v>
      </c>
      <c r="DH795" s="61" t="e">
        <v>#N/A</v>
      </c>
      <c r="DI795" s="61" t="e">
        <v>#N/A</v>
      </c>
      <c r="DJ795" s="61" t="e">
        <v>#N/A</v>
      </c>
    </row>
    <row r="796" spans="14:114">
      <c r="N796" s="61" t="str">
        <f t="shared" si="115"/>
        <v/>
      </c>
      <c r="O796" s="53" t="str">
        <f t="shared" si="116"/>
        <v>click</v>
      </c>
      <c r="P796" s="61" t="str">
        <f t="shared" si="119"/>
        <v>();</v>
      </c>
      <c r="Q796" s="61" t="str">
        <f t="shared" si="118"/>
        <v/>
      </c>
      <c r="R796" s="61" t="str">
        <f t="shared" si="120"/>
        <v/>
      </c>
      <c r="S796" s="61" t="str">
        <f t="shared" si="117"/>
        <v/>
      </c>
      <c r="CU796" s="61" t="e">
        <v>#N/A</v>
      </c>
      <c r="CV796" s="61" t="e">
        <v>#N/A</v>
      </c>
      <c r="CW796" s="61" t="e">
        <v>#N/A</v>
      </c>
      <c r="CX796" s="61" t="e">
        <v>#N/A</v>
      </c>
      <c r="CY796" s="61" t="e">
        <v>#N/A</v>
      </c>
      <c r="CZ796" s="61" t="e">
        <v>#N/A</v>
      </c>
      <c r="DA796" s="61" t="e">
        <v>#N/A</v>
      </c>
      <c r="DB796" s="61" t="e">
        <v>#N/A</v>
      </c>
      <c r="DC796" s="61" t="e">
        <v>#N/A</v>
      </c>
      <c r="DD796" s="61" t="e">
        <v>#N/A</v>
      </c>
      <c r="DE796" s="61" t="e">
        <v>#N/A</v>
      </c>
      <c r="DF796" s="61" t="e">
        <v>#N/A</v>
      </c>
      <c r="DG796" s="61" t="e">
        <v>#N/A</v>
      </c>
      <c r="DH796" s="61" t="e">
        <v>#N/A</v>
      </c>
      <c r="DI796" s="61" t="e">
        <v>#N/A</v>
      </c>
      <c r="DJ796" s="61" t="e">
        <v>#N/A</v>
      </c>
    </row>
    <row r="797" spans="14:114">
      <c r="N797" s="61" t="str">
        <f t="shared" si="115"/>
        <v/>
      </c>
      <c r="O797" s="53" t="str">
        <f t="shared" si="116"/>
        <v>click</v>
      </c>
      <c r="P797" s="61" t="str">
        <f t="shared" si="119"/>
        <v>();</v>
      </c>
      <c r="Q797" s="61" t="str">
        <f t="shared" si="118"/>
        <v/>
      </c>
      <c r="R797" s="61" t="str">
        <f t="shared" si="120"/>
        <v/>
      </c>
      <c r="S797" s="61" t="str">
        <f t="shared" si="117"/>
        <v/>
      </c>
      <c r="CU797" s="61" t="e">
        <v>#N/A</v>
      </c>
      <c r="CV797" s="61" t="e">
        <v>#N/A</v>
      </c>
      <c r="CW797" s="61" t="e">
        <v>#N/A</v>
      </c>
      <c r="CX797" s="61" t="e">
        <v>#N/A</v>
      </c>
      <c r="CY797" s="61" t="e">
        <v>#N/A</v>
      </c>
      <c r="CZ797" s="61" t="e">
        <v>#N/A</v>
      </c>
      <c r="DA797" s="61" t="e">
        <v>#N/A</v>
      </c>
      <c r="DB797" s="61" t="e">
        <v>#N/A</v>
      </c>
      <c r="DC797" s="61" t="e">
        <v>#N/A</v>
      </c>
      <c r="DD797" s="61" t="e">
        <v>#N/A</v>
      </c>
      <c r="DE797" s="61" t="e">
        <v>#N/A</v>
      </c>
      <c r="DF797" s="61" t="e">
        <v>#N/A</v>
      </c>
      <c r="DG797" s="61" t="e">
        <v>#N/A</v>
      </c>
      <c r="DH797" s="61" t="e">
        <v>#N/A</v>
      </c>
      <c r="DI797" s="61" t="e">
        <v>#N/A</v>
      </c>
      <c r="DJ797" s="61" t="e">
        <v>#N/A</v>
      </c>
    </row>
    <row r="798" spans="14:114">
      <c r="N798" s="61" t="str">
        <f t="shared" si="115"/>
        <v/>
      </c>
      <c r="O798" s="53" t="str">
        <f t="shared" si="116"/>
        <v>click</v>
      </c>
      <c r="P798" s="61" t="str">
        <f t="shared" si="119"/>
        <v>();</v>
      </c>
      <c r="Q798" s="61" t="str">
        <f t="shared" si="118"/>
        <v/>
      </c>
      <c r="R798" s="61" t="str">
        <f t="shared" si="120"/>
        <v/>
      </c>
      <c r="S798" s="61" t="str">
        <f t="shared" si="117"/>
        <v/>
      </c>
      <c r="CU798" s="61" t="e">
        <v>#N/A</v>
      </c>
      <c r="CV798" s="61" t="e">
        <v>#N/A</v>
      </c>
      <c r="CW798" s="61" t="e">
        <v>#N/A</v>
      </c>
      <c r="CX798" s="61" t="e">
        <v>#N/A</v>
      </c>
      <c r="CY798" s="61" t="e">
        <v>#N/A</v>
      </c>
      <c r="CZ798" s="61" t="e">
        <v>#N/A</v>
      </c>
      <c r="DA798" s="61" t="e">
        <v>#N/A</v>
      </c>
      <c r="DB798" s="61" t="e">
        <v>#N/A</v>
      </c>
      <c r="DC798" s="61" t="e">
        <v>#N/A</v>
      </c>
      <c r="DD798" s="61" t="e">
        <v>#N/A</v>
      </c>
      <c r="DE798" s="61" t="e">
        <v>#N/A</v>
      </c>
      <c r="DF798" s="61" t="e">
        <v>#N/A</v>
      </c>
      <c r="DG798" s="61" t="e">
        <v>#N/A</v>
      </c>
      <c r="DH798" s="61" t="e">
        <v>#N/A</v>
      </c>
      <c r="DI798" s="61" t="e">
        <v>#N/A</v>
      </c>
      <c r="DJ798" s="61" t="e">
        <v>#N/A</v>
      </c>
    </row>
    <row r="799" spans="14:114">
      <c r="N799" s="61" t="str">
        <f t="shared" si="115"/>
        <v/>
      </c>
      <c r="O799" s="53" t="str">
        <f t="shared" si="116"/>
        <v>click</v>
      </c>
      <c r="P799" s="61" t="str">
        <f t="shared" si="119"/>
        <v>();</v>
      </c>
      <c r="Q799" s="61" t="str">
        <f t="shared" si="118"/>
        <v/>
      </c>
      <c r="R799" s="61" t="str">
        <f t="shared" si="120"/>
        <v/>
      </c>
      <c r="S799" s="61" t="str">
        <f t="shared" si="117"/>
        <v/>
      </c>
      <c r="CU799" s="61" t="e">
        <v>#N/A</v>
      </c>
      <c r="CV799" s="61" t="e">
        <v>#N/A</v>
      </c>
      <c r="CW799" s="61" t="e">
        <v>#N/A</v>
      </c>
      <c r="CX799" s="61" t="e">
        <v>#N/A</v>
      </c>
      <c r="CY799" s="61" t="e">
        <v>#N/A</v>
      </c>
      <c r="CZ799" s="61" t="e">
        <v>#N/A</v>
      </c>
      <c r="DA799" s="61" t="e">
        <v>#N/A</v>
      </c>
      <c r="DB799" s="61" t="e">
        <v>#N/A</v>
      </c>
      <c r="DC799" s="61" t="e">
        <v>#N/A</v>
      </c>
      <c r="DD799" s="61" t="e">
        <v>#N/A</v>
      </c>
      <c r="DE799" s="61" t="e">
        <v>#N/A</v>
      </c>
      <c r="DF799" s="61" t="e">
        <v>#N/A</v>
      </c>
      <c r="DG799" s="61" t="e">
        <v>#N/A</v>
      </c>
      <c r="DH799" s="61" t="e">
        <v>#N/A</v>
      </c>
      <c r="DI799" s="61" t="e">
        <v>#N/A</v>
      </c>
      <c r="DJ799" s="61" t="e">
        <v>#N/A</v>
      </c>
    </row>
    <row r="800" spans="14:114">
      <c r="N800" s="61" t="str">
        <f t="shared" si="115"/>
        <v/>
      </c>
      <c r="O800" s="53" t="str">
        <f t="shared" si="116"/>
        <v>click</v>
      </c>
      <c r="P800" s="61" t="str">
        <f t="shared" si="119"/>
        <v>();</v>
      </c>
      <c r="Q800" s="61" t="str">
        <f t="shared" si="118"/>
        <v/>
      </c>
      <c r="R800" s="61" t="str">
        <f t="shared" si="120"/>
        <v/>
      </c>
      <c r="S800" s="61" t="str">
        <f t="shared" si="117"/>
        <v/>
      </c>
      <c r="CU800" s="61" t="e">
        <v>#N/A</v>
      </c>
      <c r="CV800" s="61" t="e">
        <v>#N/A</v>
      </c>
      <c r="CW800" s="61" t="e">
        <v>#N/A</v>
      </c>
      <c r="CX800" s="61" t="e">
        <v>#N/A</v>
      </c>
      <c r="CY800" s="61" t="e">
        <v>#N/A</v>
      </c>
      <c r="CZ800" s="61" t="e">
        <v>#N/A</v>
      </c>
      <c r="DA800" s="61" t="e">
        <v>#N/A</v>
      </c>
      <c r="DB800" s="61" t="e">
        <v>#N/A</v>
      </c>
      <c r="DC800" s="61" t="e">
        <v>#N/A</v>
      </c>
      <c r="DD800" s="61" t="e">
        <v>#N/A</v>
      </c>
      <c r="DE800" s="61" t="e">
        <v>#N/A</v>
      </c>
      <c r="DF800" s="61" t="e">
        <v>#N/A</v>
      </c>
      <c r="DG800" s="61" t="e">
        <v>#N/A</v>
      </c>
      <c r="DH800" s="61" t="e">
        <v>#N/A</v>
      </c>
      <c r="DI800" s="61" t="e">
        <v>#N/A</v>
      </c>
      <c r="DJ800" s="61" t="e">
        <v>#N/A</v>
      </c>
    </row>
    <row r="801" spans="14:114">
      <c r="N801" s="61" t="str">
        <f t="shared" si="115"/>
        <v/>
      </c>
      <c r="O801" s="53" t="str">
        <f t="shared" si="116"/>
        <v>click</v>
      </c>
      <c r="P801" s="61" t="str">
        <f t="shared" si="119"/>
        <v>();</v>
      </c>
      <c r="Q801" s="61" t="str">
        <f t="shared" si="118"/>
        <v/>
      </c>
      <c r="R801" s="61" t="str">
        <f t="shared" si="120"/>
        <v/>
      </c>
      <c r="S801" s="61" t="str">
        <f t="shared" si="117"/>
        <v/>
      </c>
      <c r="CU801" s="61" t="e">
        <v>#N/A</v>
      </c>
      <c r="CV801" s="61" t="e">
        <v>#N/A</v>
      </c>
      <c r="CW801" s="61" t="e">
        <v>#N/A</v>
      </c>
      <c r="CX801" s="61" t="e">
        <v>#N/A</v>
      </c>
      <c r="CY801" s="61" t="e">
        <v>#N/A</v>
      </c>
      <c r="CZ801" s="61" t="e">
        <v>#N/A</v>
      </c>
      <c r="DA801" s="61" t="e">
        <v>#N/A</v>
      </c>
      <c r="DB801" s="61" t="e">
        <v>#N/A</v>
      </c>
      <c r="DC801" s="61" t="e">
        <v>#N/A</v>
      </c>
      <c r="DD801" s="61" t="e">
        <v>#N/A</v>
      </c>
      <c r="DE801" s="61" t="e">
        <v>#N/A</v>
      </c>
      <c r="DF801" s="61" t="e">
        <v>#N/A</v>
      </c>
      <c r="DG801" s="61" t="e">
        <v>#N/A</v>
      </c>
      <c r="DH801" s="61" t="e">
        <v>#N/A</v>
      </c>
      <c r="DI801" s="61" t="e">
        <v>#N/A</v>
      </c>
      <c r="DJ801" s="61" t="e">
        <v>#N/A</v>
      </c>
    </row>
    <row r="802" spans="14:114">
      <c r="N802" s="61" t="str">
        <f t="shared" si="115"/>
        <v/>
      </c>
      <c r="O802" s="53" t="str">
        <f t="shared" si="116"/>
        <v>click</v>
      </c>
      <c r="P802" s="61" t="str">
        <f t="shared" si="119"/>
        <v>();</v>
      </c>
      <c r="Q802" s="61" t="str">
        <f t="shared" si="118"/>
        <v/>
      </c>
      <c r="R802" s="61" t="str">
        <f t="shared" si="120"/>
        <v/>
      </c>
      <c r="S802" s="61" t="str">
        <f t="shared" si="117"/>
        <v/>
      </c>
      <c r="CU802" s="61" t="e">
        <v>#N/A</v>
      </c>
      <c r="CV802" s="61" t="e">
        <v>#N/A</v>
      </c>
      <c r="CW802" s="61" t="e">
        <v>#N/A</v>
      </c>
      <c r="CX802" s="61" t="e">
        <v>#N/A</v>
      </c>
      <c r="CY802" s="61" t="e">
        <v>#N/A</v>
      </c>
      <c r="CZ802" s="61" t="e">
        <v>#N/A</v>
      </c>
      <c r="DA802" s="61" t="e">
        <v>#N/A</v>
      </c>
      <c r="DB802" s="61" t="e">
        <v>#N/A</v>
      </c>
      <c r="DC802" s="61" t="e">
        <v>#N/A</v>
      </c>
      <c r="DD802" s="61" t="e">
        <v>#N/A</v>
      </c>
      <c r="DE802" s="61" t="e">
        <v>#N/A</v>
      </c>
      <c r="DF802" s="61" t="e">
        <v>#N/A</v>
      </c>
      <c r="DG802" s="61" t="e">
        <v>#N/A</v>
      </c>
      <c r="DH802" s="61" t="e">
        <v>#N/A</v>
      </c>
      <c r="DI802" s="61" t="e">
        <v>#N/A</v>
      </c>
      <c r="DJ802" s="61" t="e">
        <v>#N/A</v>
      </c>
    </row>
    <row r="803" spans="14:114">
      <c r="N803" s="61" t="str">
        <f t="shared" si="115"/>
        <v/>
      </c>
      <c r="O803" s="53" t="str">
        <f t="shared" si="116"/>
        <v>click</v>
      </c>
      <c r="P803" s="61" t="str">
        <f t="shared" si="119"/>
        <v>();</v>
      </c>
      <c r="Q803" s="61" t="str">
        <f t="shared" si="118"/>
        <v/>
      </c>
      <c r="R803" s="61" t="str">
        <f t="shared" si="120"/>
        <v/>
      </c>
      <c r="S803" s="61" t="str">
        <f t="shared" si="117"/>
        <v/>
      </c>
      <c r="CU803" s="61" t="e">
        <v>#N/A</v>
      </c>
      <c r="CV803" s="61" t="e">
        <v>#N/A</v>
      </c>
      <c r="CW803" s="61" t="e">
        <v>#N/A</v>
      </c>
      <c r="CX803" s="61" t="e">
        <v>#N/A</v>
      </c>
      <c r="CY803" s="61" t="e">
        <v>#N/A</v>
      </c>
      <c r="CZ803" s="61" t="e">
        <v>#N/A</v>
      </c>
      <c r="DA803" s="61" t="e">
        <v>#N/A</v>
      </c>
      <c r="DB803" s="61" t="e">
        <v>#N/A</v>
      </c>
      <c r="DC803" s="61" t="e">
        <v>#N/A</v>
      </c>
      <c r="DD803" s="61" t="e">
        <v>#N/A</v>
      </c>
      <c r="DE803" s="61" t="e">
        <v>#N/A</v>
      </c>
      <c r="DF803" s="61" t="e">
        <v>#N/A</v>
      </c>
      <c r="DG803" s="61" t="e">
        <v>#N/A</v>
      </c>
      <c r="DH803" s="61" t="e">
        <v>#N/A</v>
      </c>
      <c r="DI803" s="61" t="e">
        <v>#N/A</v>
      </c>
      <c r="DJ803" s="61" t="e">
        <v>#N/A</v>
      </c>
    </row>
    <row r="804" spans="14:114">
      <c r="N804" s="61" t="str">
        <f t="shared" si="115"/>
        <v/>
      </c>
      <c r="O804" s="53" t="str">
        <f t="shared" si="116"/>
        <v>click</v>
      </c>
      <c r="P804" s="61" t="str">
        <f t="shared" si="119"/>
        <v>();</v>
      </c>
      <c r="Q804" s="61" t="str">
        <f t="shared" si="118"/>
        <v/>
      </c>
      <c r="R804" s="61" t="str">
        <f t="shared" si="120"/>
        <v/>
      </c>
      <c r="S804" s="61" t="str">
        <f t="shared" si="117"/>
        <v/>
      </c>
      <c r="CU804" s="61" t="e">
        <v>#N/A</v>
      </c>
      <c r="CV804" s="61" t="e">
        <v>#N/A</v>
      </c>
      <c r="CW804" s="61" t="e">
        <v>#N/A</v>
      </c>
      <c r="CX804" s="61" t="e">
        <v>#N/A</v>
      </c>
      <c r="CY804" s="61" t="e">
        <v>#N/A</v>
      </c>
      <c r="CZ804" s="61" t="e">
        <v>#N/A</v>
      </c>
      <c r="DA804" s="61" t="e">
        <v>#N/A</v>
      </c>
      <c r="DB804" s="61" t="e">
        <v>#N/A</v>
      </c>
      <c r="DC804" s="61" t="e">
        <v>#N/A</v>
      </c>
      <c r="DD804" s="61" t="e">
        <v>#N/A</v>
      </c>
      <c r="DE804" s="61" t="e">
        <v>#N/A</v>
      </c>
      <c r="DF804" s="61" t="e">
        <v>#N/A</v>
      </c>
      <c r="DG804" s="61" t="e">
        <v>#N/A</v>
      </c>
      <c r="DH804" s="61" t="e">
        <v>#N/A</v>
      </c>
      <c r="DI804" s="61" t="e">
        <v>#N/A</v>
      </c>
      <c r="DJ804" s="61" t="e">
        <v>#N/A</v>
      </c>
    </row>
    <row r="805" spans="14:114">
      <c r="N805" s="61" t="str">
        <f t="shared" si="115"/>
        <v/>
      </c>
      <c r="O805" s="53" t="str">
        <f t="shared" si="116"/>
        <v>click</v>
      </c>
      <c r="P805" s="61" t="str">
        <f t="shared" si="119"/>
        <v>();</v>
      </c>
      <c r="Q805" s="61" t="str">
        <f t="shared" si="118"/>
        <v/>
      </c>
      <c r="R805" s="61" t="str">
        <f t="shared" si="120"/>
        <v/>
      </c>
      <c r="S805" s="61" t="str">
        <f t="shared" si="117"/>
        <v/>
      </c>
      <c r="CU805" s="61" t="e">
        <v>#N/A</v>
      </c>
      <c r="CV805" s="61" t="e">
        <v>#N/A</v>
      </c>
      <c r="CW805" s="61" t="e">
        <v>#N/A</v>
      </c>
      <c r="CX805" s="61" t="e">
        <v>#N/A</v>
      </c>
      <c r="CY805" s="61" t="e">
        <v>#N/A</v>
      </c>
      <c r="CZ805" s="61" t="e">
        <v>#N/A</v>
      </c>
      <c r="DA805" s="61" t="e">
        <v>#N/A</v>
      </c>
      <c r="DB805" s="61" t="e">
        <v>#N/A</v>
      </c>
      <c r="DC805" s="61" t="e">
        <v>#N/A</v>
      </c>
      <c r="DD805" s="61" t="e">
        <v>#N/A</v>
      </c>
      <c r="DE805" s="61" t="e">
        <v>#N/A</v>
      </c>
      <c r="DF805" s="61" t="e">
        <v>#N/A</v>
      </c>
      <c r="DG805" s="61" t="e">
        <v>#N/A</v>
      </c>
      <c r="DH805" s="61" t="e">
        <v>#N/A</v>
      </c>
      <c r="DI805" s="61" t="e">
        <v>#N/A</v>
      </c>
      <c r="DJ805" s="61" t="e">
        <v>#N/A</v>
      </c>
    </row>
    <row r="806" spans="14:114">
      <c r="N806" s="61" t="str">
        <f t="shared" si="115"/>
        <v/>
      </c>
      <c r="O806" s="53" t="str">
        <f t="shared" si="116"/>
        <v>click</v>
      </c>
      <c r="P806" s="61" t="str">
        <f t="shared" si="119"/>
        <v>();</v>
      </c>
      <c r="Q806" s="61" t="str">
        <f t="shared" si="118"/>
        <v/>
      </c>
      <c r="R806" s="61" t="str">
        <f t="shared" si="120"/>
        <v/>
      </c>
      <c r="S806" s="61" t="str">
        <f t="shared" si="117"/>
        <v/>
      </c>
      <c r="CU806" s="61" t="e">
        <v>#N/A</v>
      </c>
      <c r="CV806" s="61" t="e">
        <v>#N/A</v>
      </c>
      <c r="CW806" s="61" t="e">
        <v>#N/A</v>
      </c>
      <c r="CX806" s="61" t="e">
        <v>#N/A</v>
      </c>
      <c r="CY806" s="61" t="e">
        <v>#N/A</v>
      </c>
      <c r="CZ806" s="61" t="e">
        <v>#N/A</v>
      </c>
      <c r="DA806" s="61" t="e">
        <v>#N/A</v>
      </c>
      <c r="DB806" s="61" t="e">
        <v>#N/A</v>
      </c>
      <c r="DC806" s="61" t="e">
        <v>#N/A</v>
      </c>
      <c r="DD806" s="61" t="e">
        <v>#N/A</v>
      </c>
      <c r="DE806" s="61" t="e">
        <v>#N/A</v>
      </c>
      <c r="DF806" s="61" t="e">
        <v>#N/A</v>
      </c>
      <c r="DG806" s="61" t="e">
        <v>#N/A</v>
      </c>
      <c r="DH806" s="61" t="e">
        <v>#N/A</v>
      </c>
      <c r="DI806" s="61" t="e">
        <v>#N/A</v>
      </c>
      <c r="DJ806" s="61" t="e">
        <v>#N/A</v>
      </c>
    </row>
    <row r="807" spans="14:114">
      <c r="N807" s="61" t="str">
        <f t="shared" si="115"/>
        <v/>
      </c>
      <c r="O807" s="53" t="str">
        <f t="shared" si="116"/>
        <v>click</v>
      </c>
      <c r="P807" s="61" t="str">
        <f t="shared" si="119"/>
        <v>();</v>
      </c>
      <c r="Q807" s="61" t="str">
        <f t="shared" si="118"/>
        <v/>
      </c>
      <c r="R807" s="61" t="str">
        <f t="shared" si="120"/>
        <v/>
      </c>
      <c r="S807" s="61" t="str">
        <f t="shared" si="117"/>
        <v/>
      </c>
      <c r="CU807" s="61" t="e">
        <v>#N/A</v>
      </c>
      <c r="CV807" s="61" t="e">
        <v>#N/A</v>
      </c>
      <c r="CW807" s="61" t="e">
        <v>#N/A</v>
      </c>
      <c r="CX807" s="61" t="e">
        <v>#N/A</v>
      </c>
      <c r="CY807" s="61" t="e">
        <v>#N/A</v>
      </c>
      <c r="CZ807" s="61" t="e">
        <v>#N/A</v>
      </c>
      <c r="DA807" s="61" t="e">
        <v>#N/A</v>
      </c>
      <c r="DB807" s="61" t="e">
        <v>#N/A</v>
      </c>
      <c r="DC807" s="61" t="e">
        <v>#N/A</v>
      </c>
      <c r="DD807" s="61" t="e">
        <v>#N/A</v>
      </c>
      <c r="DE807" s="61" t="e">
        <v>#N/A</v>
      </c>
      <c r="DF807" s="61" t="e">
        <v>#N/A</v>
      </c>
      <c r="DG807" s="61" t="e">
        <v>#N/A</v>
      </c>
      <c r="DH807" s="61" t="e">
        <v>#N/A</v>
      </c>
      <c r="DI807" s="61" t="e">
        <v>#N/A</v>
      </c>
      <c r="DJ807" s="61" t="e">
        <v>#N/A</v>
      </c>
    </row>
    <row r="808" spans="14:114">
      <c r="N808" s="61" t="str">
        <f t="shared" si="115"/>
        <v/>
      </c>
      <c r="O808" s="53" t="str">
        <f t="shared" si="116"/>
        <v>click</v>
      </c>
      <c r="P808" s="61" t="str">
        <f t="shared" si="119"/>
        <v>();</v>
      </c>
      <c r="Q808" s="61" t="str">
        <f t="shared" si="118"/>
        <v/>
      </c>
      <c r="R808" s="61" t="str">
        <f t="shared" si="120"/>
        <v/>
      </c>
      <c r="S808" s="61" t="str">
        <f t="shared" si="117"/>
        <v/>
      </c>
      <c r="CU808" s="61" t="e">
        <v>#N/A</v>
      </c>
      <c r="CV808" s="61" t="e">
        <v>#N/A</v>
      </c>
      <c r="CW808" s="61" t="e">
        <v>#N/A</v>
      </c>
      <c r="CX808" s="61" t="e">
        <v>#N/A</v>
      </c>
      <c r="CY808" s="61" t="e">
        <v>#N/A</v>
      </c>
      <c r="CZ808" s="61" t="e">
        <v>#N/A</v>
      </c>
      <c r="DA808" s="61" t="e">
        <v>#N/A</v>
      </c>
      <c r="DB808" s="61" t="e">
        <v>#N/A</v>
      </c>
      <c r="DC808" s="61" t="e">
        <v>#N/A</v>
      </c>
      <c r="DD808" s="61" t="e">
        <v>#N/A</v>
      </c>
      <c r="DE808" s="61" t="e">
        <v>#N/A</v>
      </c>
      <c r="DF808" s="61" t="e">
        <v>#N/A</v>
      </c>
      <c r="DG808" s="61" t="e">
        <v>#N/A</v>
      </c>
      <c r="DH808" s="61" t="e">
        <v>#N/A</v>
      </c>
      <c r="DI808" s="61" t="e">
        <v>#N/A</v>
      </c>
      <c r="DJ808" s="61" t="e">
        <v>#N/A</v>
      </c>
    </row>
    <row r="809" spans="14:114">
      <c r="N809" s="61" t="str">
        <f t="shared" si="115"/>
        <v/>
      </c>
      <c r="O809" s="53" t="str">
        <f t="shared" si="116"/>
        <v>click</v>
      </c>
      <c r="P809" s="61" t="str">
        <f t="shared" si="119"/>
        <v>();</v>
      </c>
      <c r="Q809" s="61" t="str">
        <f t="shared" si="118"/>
        <v/>
      </c>
      <c r="R809" s="61" t="str">
        <f t="shared" si="120"/>
        <v/>
      </c>
      <c r="S809" s="61" t="str">
        <f t="shared" si="117"/>
        <v/>
      </c>
      <c r="CU809" s="61" t="e">
        <v>#N/A</v>
      </c>
      <c r="CV809" s="61" t="e">
        <v>#N/A</v>
      </c>
      <c r="CW809" s="61" t="e">
        <v>#N/A</v>
      </c>
      <c r="CX809" s="61" t="e">
        <v>#N/A</v>
      </c>
      <c r="CY809" s="61" t="e">
        <v>#N/A</v>
      </c>
      <c r="CZ809" s="61" t="e">
        <v>#N/A</v>
      </c>
      <c r="DA809" s="61" t="e">
        <v>#N/A</v>
      </c>
      <c r="DB809" s="61" t="e">
        <v>#N/A</v>
      </c>
      <c r="DC809" s="61" t="e">
        <v>#N/A</v>
      </c>
      <c r="DD809" s="61" t="e">
        <v>#N/A</v>
      </c>
      <c r="DE809" s="61" t="e">
        <v>#N/A</v>
      </c>
      <c r="DF809" s="61" t="e">
        <v>#N/A</v>
      </c>
      <c r="DG809" s="61" t="e">
        <v>#N/A</v>
      </c>
      <c r="DH809" s="61" t="e">
        <v>#N/A</v>
      </c>
      <c r="DI809" s="61" t="e">
        <v>#N/A</v>
      </c>
      <c r="DJ809" s="61" t="e">
        <v>#N/A</v>
      </c>
    </row>
    <row r="810" spans="14:114">
      <c r="N810" s="61" t="str">
        <f t="shared" si="115"/>
        <v/>
      </c>
      <c r="O810" s="53" t="str">
        <f t="shared" si="116"/>
        <v>click</v>
      </c>
      <c r="P810" s="61" t="str">
        <f t="shared" si="119"/>
        <v>();</v>
      </c>
      <c r="Q810" s="61" t="str">
        <f t="shared" si="118"/>
        <v/>
      </c>
      <c r="R810" s="61" t="str">
        <f t="shared" si="120"/>
        <v/>
      </c>
      <c r="S810" s="61" t="str">
        <f t="shared" si="117"/>
        <v/>
      </c>
      <c r="CU810" s="61" t="e">
        <v>#N/A</v>
      </c>
      <c r="CV810" s="61" t="e">
        <v>#N/A</v>
      </c>
      <c r="CW810" s="61" t="e">
        <v>#N/A</v>
      </c>
      <c r="CX810" s="61" t="e">
        <v>#N/A</v>
      </c>
      <c r="CY810" s="61" t="e">
        <v>#N/A</v>
      </c>
      <c r="CZ810" s="61" t="e">
        <v>#N/A</v>
      </c>
      <c r="DA810" s="61" t="e">
        <v>#N/A</v>
      </c>
      <c r="DB810" s="61" t="e">
        <v>#N/A</v>
      </c>
      <c r="DC810" s="61" t="e">
        <v>#N/A</v>
      </c>
      <c r="DD810" s="61" t="e">
        <v>#N/A</v>
      </c>
      <c r="DE810" s="61" t="e">
        <v>#N/A</v>
      </c>
      <c r="DF810" s="61" t="e">
        <v>#N/A</v>
      </c>
      <c r="DG810" s="61" t="e">
        <v>#N/A</v>
      </c>
      <c r="DH810" s="61" t="e">
        <v>#N/A</v>
      </c>
      <c r="DI810" s="61" t="e">
        <v>#N/A</v>
      </c>
      <c r="DJ810" s="61" t="e">
        <v>#N/A</v>
      </c>
    </row>
    <row r="811" spans="14:114">
      <c r="N811" s="61" t="str">
        <f t="shared" si="115"/>
        <v/>
      </c>
      <c r="O811" s="53" t="str">
        <f t="shared" si="116"/>
        <v>click</v>
      </c>
      <c r="P811" s="61" t="str">
        <f t="shared" si="119"/>
        <v>();</v>
      </c>
      <c r="Q811" s="61" t="str">
        <f t="shared" ref="Q811:Q843" si="121">IF(A811="Y",IF(J811&lt;&gt;"Xpath",M811&amp;F811&amp;N811,""""&amp;H811&amp;""""),"")</f>
        <v/>
      </c>
      <c r="R811" s="61" t="str">
        <f t="shared" si="120"/>
        <v/>
      </c>
      <c r="S811" s="61" t="str">
        <f t="shared" si="117"/>
        <v/>
      </c>
      <c r="CU811" s="61" t="e">
        <v>#N/A</v>
      </c>
      <c r="CV811" s="61" t="e">
        <v>#N/A</v>
      </c>
      <c r="CW811" s="61" t="e">
        <v>#N/A</v>
      </c>
      <c r="CX811" s="61" t="e">
        <v>#N/A</v>
      </c>
      <c r="CY811" s="61" t="e">
        <v>#N/A</v>
      </c>
      <c r="CZ811" s="61" t="e">
        <v>#N/A</v>
      </c>
      <c r="DA811" s="61" t="e">
        <v>#N/A</v>
      </c>
      <c r="DB811" s="61" t="e">
        <v>#N/A</v>
      </c>
      <c r="DC811" s="61" t="e">
        <v>#N/A</v>
      </c>
      <c r="DD811" s="61" t="e">
        <v>#N/A</v>
      </c>
      <c r="DE811" s="61" t="e">
        <v>#N/A</v>
      </c>
      <c r="DF811" s="61" t="e">
        <v>#N/A</v>
      </c>
      <c r="DG811" s="61" t="e">
        <v>#N/A</v>
      </c>
      <c r="DH811" s="61" t="e">
        <v>#N/A</v>
      </c>
      <c r="DI811" s="61" t="e">
        <v>#N/A</v>
      </c>
      <c r="DJ811" s="61" t="e">
        <v>#N/A</v>
      </c>
    </row>
    <row r="812" spans="14:114">
      <c r="N812" s="61" t="str">
        <f t="shared" si="115"/>
        <v/>
      </c>
      <c r="O812" s="53" t="str">
        <f t="shared" si="116"/>
        <v>click</v>
      </c>
      <c r="P812" s="61" t="str">
        <f t="shared" si="119"/>
        <v>();</v>
      </c>
      <c r="Q812" s="61" t="str">
        <f t="shared" si="121"/>
        <v/>
      </c>
      <c r="R812" s="61" t="str">
        <f t="shared" si="120"/>
        <v/>
      </c>
      <c r="S812" s="61" t="str">
        <f t="shared" si="117"/>
        <v/>
      </c>
      <c r="CU812" s="61" t="e">
        <v>#N/A</v>
      </c>
      <c r="CV812" s="61" t="e">
        <v>#N/A</v>
      </c>
      <c r="CW812" s="61" t="e">
        <v>#N/A</v>
      </c>
      <c r="CX812" s="61" t="e">
        <v>#N/A</v>
      </c>
      <c r="CY812" s="61" t="e">
        <v>#N/A</v>
      </c>
      <c r="CZ812" s="61" t="e">
        <v>#N/A</v>
      </c>
      <c r="DA812" s="61" t="e">
        <v>#N/A</v>
      </c>
      <c r="DB812" s="61" t="e">
        <v>#N/A</v>
      </c>
      <c r="DC812" s="61" t="e">
        <v>#N/A</v>
      </c>
      <c r="DD812" s="61" t="e">
        <v>#N/A</v>
      </c>
      <c r="DE812" s="61" t="e">
        <v>#N/A</v>
      </c>
      <c r="DF812" s="61" t="e">
        <v>#N/A</v>
      </c>
      <c r="DG812" s="61" t="e">
        <v>#N/A</v>
      </c>
      <c r="DH812" s="61" t="e">
        <v>#N/A</v>
      </c>
      <c r="DI812" s="61" t="e">
        <v>#N/A</v>
      </c>
      <c r="DJ812" s="61" t="e">
        <v>#N/A</v>
      </c>
    </row>
    <row r="813" spans="14:114">
      <c r="N813" s="61" t="str">
        <f t="shared" si="115"/>
        <v/>
      </c>
      <c r="O813" s="53" t="str">
        <f t="shared" si="116"/>
        <v>click</v>
      </c>
      <c r="P813" s="61" t="str">
        <f t="shared" si="119"/>
        <v>();</v>
      </c>
      <c r="Q813" s="61" t="str">
        <f t="shared" si="121"/>
        <v/>
      </c>
      <c r="R813" s="61" t="str">
        <f t="shared" si="120"/>
        <v/>
      </c>
      <c r="S813" s="61" t="str">
        <f t="shared" si="117"/>
        <v/>
      </c>
      <c r="CU813" s="61" t="e">
        <v>#N/A</v>
      </c>
      <c r="CV813" s="61" t="e">
        <v>#N/A</v>
      </c>
      <c r="CW813" s="61" t="e">
        <v>#N/A</v>
      </c>
      <c r="CX813" s="61" t="e">
        <v>#N/A</v>
      </c>
      <c r="CY813" s="61" t="e">
        <v>#N/A</v>
      </c>
      <c r="CZ813" s="61" t="e">
        <v>#N/A</v>
      </c>
      <c r="DA813" s="61" t="e">
        <v>#N/A</v>
      </c>
      <c r="DB813" s="61" t="e">
        <v>#N/A</v>
      </c>
      <c r="DC813" s="61" t="e">
        <v>#N/A</v>
      </c>
      <c r="DD813" s="61" t="e">
        <v>#N/A</v>
      </c>
      <c r="DE813" s="61" t="e">
        <v>#N/A</v>
      </c>
      <c r="DF813" s="61" t="e">
        <v>#N/A</v>
      </c>
      <c r="DG813" s="61" t="e">
        <v>#N/A</v>
      </c>
      <c r="DH813" s="61" t="e">
        <v>#N/A</v>
      </c>
      <c r="DI813" s="61" t="e">
        <v>#N/A</v>
      </c>
      <c r="DJ813" s="61" t="e">
        <v>#N/A</v>
      </c>
    </row>
    <row r="814" spans="14:114">
      <c r="N814" s="61" t="str">
        <f t="shared" si="115"/>
        <v/>
      </c>
      <c r="O814" s="53" t="str">
        <f t="shared" si="116"/>
        <v>click</v>
      </c>
      <c r="P814" s="61" t="str">
        <f t="shared" si="119"/>
        <v>();</v>
      </c>
      <c r="Q814" s="61" t="str">
        <f t="shared" si="121"/>
        <v/>
      </c>
      <c r="R814" s="61" t="str">
        <f t="shared" si="120"/>
        <v/>
      </c>
      <c r="S814" s="61" t="str">
        <f t="shared" si="117"/>
        <v/>
      </c>
      <c r="CU814" s="61" t="e">
        <v>#N/A</v>
      </c>
      <c r="CV814" s="61" t="e">
        <v>#N/A</v>
      </c>
      <c r="CW814" s="61" t="e">
        <v>#N/A</v>
      </c>
      <c r="CX814" s="61" t="e">
        <v>#N/A</v>
      </c>
      <c r="CY814" s="61" t="e">
        <v>#N/A</v>
      </c>
      <c r="CZ814" s="61" t="e">
        <v>#N/A</v>
      </c>
      <c r="DA814" s="61" t="e">
        <v>#N/A</v>
      </c>
      <c r="DB814" s="61" t="e">
        <v>#N/A</v>
      </c>
      <c r="DC814" s="61" t="e">
        <v>#N/A</v>
      </c>
      <c r="DD814" s="61" t="e">
        <v>#N/A</v>
      </c>
      <c r="DE814" s="61" t="e">
        <v>#N/A</v>
      </c>
      <c r="DF814" s="61" t="e">
        <v>#N/A</v>
      </c>
      <c r="DG814" s="61" t="e">
        <v>#N/A</v>
      </c>
      <c r="DH814" s="61" t="e">
        <v>#N/A</v>
      </c>
      <c r="DI814" s="61" t="e">
        <v>#N/A</v>
      </c>
      <c r="DJ814" s="61" t="e">
        <v>#N/A</v>
      </c>
    </row>
    <row r="815" spans="14:114">
      <c r="N815" s="61" t="str">
        <f t="shared" si="115"/>
        <v/>
      </c>
      <c r="O815" s="53" t="str">
        <f t="shared" si="116"/>
        <v>click</v>
      </c>
      <c r="P815" s="61" t="str">
        <f t="shared" si="119"/>
        <v>();</v>
      </c>
      <c r="Q815" s="61" t="str">
        <f t="shared" si="121"/>
        <v/>
      </c>
      <c r="S815" s="61" t="str">
        <f t="shared" si="117"/>
        <v/>
      </c>
      <c r="CU815" s="61" t="e">
        <v>#N/A</v>
      </c>
      <c r="CV815" s="61" t="e">
        <v>#N/A</v>
      </c>
      <c r="CW815" s="61" t="e">
        <v>#N/A</v>
      </c>
      <c r="CX815" s="61" t="e">
        <v>#N/A</v>
      </c>
      <c r="CY815" s="61" t="e">
        <v>#N/A</v>
      </c>
      <c r="CZ815" s="61" t="e">
        <v>#N/A</v>
      </c>
      <c r="DA815" s="61" t="e">
        <v>#N/A</v>
      </c>
      <c r="DB815" s="61" t="e">
        <v>#N/A</v>
      </c>
      <c r="DC815" s="61" t="e">
        <v>#N/A</v>
      </c>
      <c r="DD815" s="61" t="e">
        <v>#N/A</v>
      </c>
      <c r="DE815" s="61" t="e">
        <v>#N/A</v>
      </c>
      <c r="DF815" s="61" t="e">
        <v>#N/A</v>
      </c>
      <c r="DG815" s="61" t="e">
        <v>#N/A</v>
      </c>
      <c r="DH815" s="61" t="e">
        <v>#N/A</v>
      </c>
      <c r="DI815" s="61" t="e">
        <v>#N/A</v>
      </c>
      <c r="DJ815" s="61" t="e">
        <v>#N/A</v>
      </c>
    </row>
    <row r="816" spans="14:114">
      <c r="N816" s="61" t="str">
        <f t="shared" si="115"/>
        <v/>
      </c>
      <c r="O816" s="53" t="str">
        <f t="shared" si="116"/>
        <v>click</v>
      </c>
      <c r="P816" s="61" t="str">
        <f t="shared" si="119"/>
        <v>();</v>
      </c>
      <c r="Q816" s="61" t="str">
        <f t="shared" si="121"/>
        <v/>
      </c>
      <c r="S816" s="61" t="str">
        <f t="shared" si="117"/>
        <v/>
      </c>
      <c r="CU816" s="61" t="e">
        <v>#N/A</v>
      </c>
      <c r="CV816" s="61" t="e">
        <v>#N/A</v>
      </c>
      <c r="CW816" s="61" t="e">
        <v>#N/A</v>
      </c>
      <c r="CX816" s="61" t="e">
        <v>#N/A</v>
      </c>
      <c r="CY816" s="61" t="e">
        <v>#N/A</v>
      </c>
      <c r="CZ816" s="61" t="e">
        <v>#N/A</v>
      </c>
      <c r="DA816" s="61" t="e">
        <v>#N/A</v>
      </c>
      <c r="DB816" s="61" t="e">
        <v>#N/A</v>
      </c>
      <c r="DC816" s="61" t="e">
        <v>#N/A</v>
      </c>
      <c r="DD816" s="61" t="e">
        <v>#N/A</v>
      </c>
      <c r="DE816" s="61" t="e">
        <v>#N/A</v>
      </c>
      <c r="DF816" s="61" t="e">
        <v>#N/A</v>
      </c>
      <c r="DG816" s="61" t="e">
        <v>#N/A</v>
      </c>
      <c r="DH816" s="61" t="e">
        <v>#N/A</v>
      </c>
      <c r="DI816" s="61" t="e">
        <v>#N/A</v>
      </c>
      <c r="DJ816" s="61" t="e">
        <v>#N/A</v>
      </c>
    </row>
    <row r="817" spans="14:114">
      <c r="N817" s="61" t="str">
        <f t="shared" si="115"/>
        <v/>
      </c>
      <c r="O817" s="53" t="str">
        <f t="shared" si="116"/>
        <v>click</v>
      </c>
      <c r="P817" s="61" t="str">
        <f t="shared" si="119"/>
        <v>();</v>
      </c>
      <c r="Q817" s="61" t="str">
        <f t="shared" si="121"/>
        <v/>
      </c>
      <c r="S817" s="61" t="str">
        <f t="shared" si="117"/>
        <v/>
      </c>
      <c r="CU817" s="61" t="e">
        <v>#N/A</v>
      </c>
      <c r="CV817" s="61" t="e">
        <v>#N/A</v>
      </c>
      <c r="CW817" s="61" t="e">
        <v>#N/A</v>
      </c>
      <c r="CX817" s="61" t="e">
        <v>#N/A</v>
      </c>
      <c r="CY817" s="61" t="e">
        <v>#N/A</v>
      </c>
      <c r="CZ817" s="61" t="e">
        <v>#N/A</v>
      </c>
      <c r="DA817" s="61" t="e">
        <v>#N/A</v>
      </c>
      <c r="DB817" s="61" t="e">
        <v>#N/A</v>
      </c>
      <c r="DC817" s="61" t="e">
        <v>#N/A</v>
      </c>
      <c r="DD817" s="61" t="e">
        <v>#N/A</v>
      </c>
      <c r="DE817" s="61" t="e">
        <v>#N/A</v>
      </c>
      <c r="DF817" s="61" t="e">
        <v>#N/A</v>
      </c>
      <c r="DG817" s="61" t="e">
        <v>#N/A</v>
      </c>
      <c r="DH817" s="61" t="e">
        <v>#N/A</v>
      </c>
      <c r="DI817" s="61" t="e">
        <v>#N/A</v>
      </c>
      <c r="DJ817" s="61" t="e">
        <v>#N/A</v>
      </c>
    </row>
    <row r="818" spans="14:114">
      <c r="N818" s="61" t="str">
        <f t="shared" si="115"/>
        <v/>
      </c>
      <c r="O818" s="53" t="str">
        <f t="shared" si="116"/>
        <v>click</v>
      </c>
      <c r="P818" s="61" t="str">
        <f t="shared" si="119"/>
        <v>();</v>
      </c>
      <c r="Q818" s="61" t="str">
        <f t="shared" si="121"/>
        <v/>
      </c>
      <c r="S818" s="61" t="str">
        <f t="shared" si="117"/>
        <v/>
      </c>
      <c r="CU818" s="61" t="e">
        <v>#N/A</v>
      </c>
      <c r="CV818" s="61" t="e">
        <v>#N/A</v>
      </c>
      <c r="CW818" s="61" t="e">
        <v>#N/A</v>
      </c>
      <c r="CX818" s="61" t="e">
        <v>#N/A</v>
      </c>
      <c r="CY818" s="61" t="e">
        <v>#N/A</v>
      </c>
      <c r="CZ818" s="61" t="e">
        <v>#N/A</v>
      </c>
      <c r="DA818" s="61" t="e">
        <v>#N/A</v>
      </c>
      <c r="DB818" s="61" t="e">
        <v>#N/A</v>
      </c>
      <c r="DC818" s="61" t="e">
        <v>#N/A</v>
      </c>
      <c r="DD818" s="61" t="e">
        <v>#N/A</v>
      </c>
      <c r="DE818" s="61" t="e">
        <v>#N/A</v>
      </c>
      <c r="DF818" s="61" t="e">
        <v>#N/A</v>
      </c>
      <c r="DG818" s="61" t="e">
        <v>#N/A</v>
      </c>
      <c r="DH818" s="61" t="e">
        <v>#N/A</v>
      </c>
      <c r="DI818" s="61" t="e">
        <v>#N/A</v>
      </c>
      <c r="DJ818" s="61" t="e">
        <v>#N/A</v>
      </c>
    </row>
    <row r="819" spans="14:114">
      <c r="N819" s="61" t="str">
        <f t="shared" si="115"/>
        <v/>
      </c>
      <c r="O819" s="53" t="str">
        <f t="shared" si="116"/>
        <v>click</v>
      </c>
      <c r="P819" s="61" t="str">
        <f t="shared" si="119"/>
        <v>();</v>
      </c>
      <c r="Q819" s="61" t="str">
        <f t="shared" si="121"/>
        <v/>
      </c>
      <c r="S819" s="61" t="str">
        <f t="shared" si="117"/>
        <v/>
      </c>
      <c r="CU819" s="61" t="e">
        <v>#N/A</v>
      </c>
      <c r="CV819" s="61" t="e">
        <v>#N/A</v>
      </c>
      <c r="CW819" s="61" t="e">
        <v>#N/A</v>
      </c>
      <c r="CX819" s="61" t="e">
        <v>#N/A</v>
      </c>
      <c r="CY819" s="61" t="e">
        <v>#N/A</v>
      </c>
      <c r="CZ819" s="61" t="e">
        <v>#N/A</v>
      </c>
      <c r="DA819" s="61" t="e">
        <v>#N/A</v>
      </c>
      <c r="DB819" s="61" t="e">
        <v>#N/A</v>
      </c>
      <c r="DC819" s="61" t="e">
        <v>#N/A</v>
      </c>
      <c r="DD819" s="61" t="e">
        <v>#N/A</v>
      </c>
      <c r="DE819" s="61" t="e">
        <v>#N/A</v>
      </c>
      <c r="DF819" s="61" t="e">
        <v>#N/A</v>
      </c>
      <c r="DG819" s="61" t="e">
        <v>#N/A</v>
      </c>
      <c r="DH819" s="61" t="e">
        <v>#N/A</v>
      </c>
      <c r="DI819" s="61" t="e">
        <v>#N/A</v>
      </c>
      <c r="DJ819" s="61" t="e">
        <v>#N/A</v>
      </c>
    </row>
    <row r="820" spans="14:114">
      <c r="N820" s="61" t="str">
        <f t="shared" si="115"/>
        <v/>
      </c>
      <c r="O820" s="53" t="str">
        <f t="shared" si="116"/>
        <v>click</v>
      </c>
      <c r="P820" s="61" t="str">
        <f t="shared" si="119"/>
        <v>();</v>
      </c>
      <c r="Q820" s="61" t="str">
        <f t="shared" si="121"/>
        <v/>
      </c>
      <c r="S820" s="61" t="str">
        <f t="shared" si="117"/>
        <v/>
      </c>
      <c r="CU820" s="61" t="e">
        <v>#N/A</v>
      </c>
      <c r="CV820" s="61" t="e">
        <v>#N/A</v>
      </c>
      <c r="CW820" s="61" t="e">
        <v>#N/A</v>
      </c>
      <c r="CX820" s="61" t="e">
        <v>#N/A</v>
      </c>
      <c r="CY820" s="61" t="e">
        <v>#N/A</v>
      </c>
      <c r="CZ820" s="61" t="e">
        <v>#N/A</v>
      </c>
      <c r="DA820" s="61" t="e">
        <v>#N/A</v>
      </c>
      <c r="DB820" s="61" t="e">
        <v>#N/A</v>
      </c>
      <c r="DC820" s="61" t="e">
        <v>#N/A</v>
      </c>
      <c r="DD820" s="61" t="e">
        <v>#N/A</v>
      </c>
      <c r="DE820" s="61" t="e">
        <v>#N/A</v>
      </c>
      <c r="DF820" s="61" t="e">
        <v>#N/A</v>
      </c>
      <c r="DG820" s="61" t="e">
        <v>#N/A</v>
      </c>
      <c r="DH820" s="61" t="e">
        <v>#N/A</v>
      </c>
      <c r="DI820" s="61" t="e">
        <v>#N/A</v>
      </c>
      <c r="DJ820" s="61" t="e">
        <v>#N/A</v>
      </c>
    </row>
    <row r="821" spans="14:114">
      <c r="N821" s="61" t="str">
        <f t="shared" si="115"/>
        <v/>
      </c>
      <c r="O821" s="53" t="str">
        <f t="shared" si="116"/>
        <v>click</v>
      </c>
      <c r="P821" s="61" t="str">
        <f t="shared" si="119"/>
        <v>();</v>
      </c>
      <c r="Q821" s="61" t="str">
        <f t="shared" si="121"/>
        <v/>
      </c>
      <c r="S821" s="61" t="str">
        <f t="shared" si="117"/>
        <v/>
      </c>
      <c r="CU821" s="61" t="e">
        <v>#N/A</v>
      </c>
      <c r="CV821" s="61" t="e">
        <v>#N/A</v>
      </c>
      <c r="CW821" s="61" t="e">
        <v>#N/A</v>
      </c>
      <c r="CX821" s="61" t="e">
        <v>#N/A</v>
      </c>
      <c r="CY821" s="61" t="e">
        <v>#N/A</v>
      </c>
      <c r="CZ821" s="61" t="e">
        <v>#N/A</v>
      </c>
      <c r="DA821" s="61" t="e">
        <v>#N/A</v>
      </c>
      <c r="DB821" s="61" t="e">
        <v>#N/A</v>
      </c>
      <c r="DC821" s="61" t="e">
        <v>#N/A</v>
      </c>
      <c r="DD821" s="61" t="e">
        <v>#N/A</v>
      </c>
      <c r="DE821" s="61" t="e">
        <v>#N/A</v>
      </c>
      <c r="DF821" s="61" t="e">
        <v>#N/A</v>
      </c>
      <c r="DG821" s="61" t="e">
        <v>#N/A</v>
      </c>
      <c r="DH821" s="61" t="e">
        <v>#N/A</v>
      </c>
      <c r="DI821" s="61" t="e">
        <v>#N/A</v>
      </c>
      <c r="DJ821" s="61" t="e">
        <v>#N/A</v>
      </c>
    </row>
    <row r="822" spans="14:114">
      <c r="N822" s="61" t="str">
        <f t="shared" si="115"/>
        <v/>
      </c>
      <c r="O822" s="53" t="str">
        <f t="shared" si="116"/>
        <v>click</v>
      </c>
      <c r="P822" s="61" t="str">
        <f t="shared" si="119"/>
        <v>();</v>
      </c>
      <c r="Q822" s="61" t="str">
        <f t="shared" si="121"/>
        <v/>
      </c>
      <c r="S822" s="61" t="str">
        <f t="shared" si="117"/>
        <v/>
      </c>
      <c r="CU822" s="61" t="e">
        <v>#N/A</v>
      </c>
      <c r="CV822" s="61" t="e">
        <v>#N/A</v>
      </c>
      <c r="CW822" s="61" t="e">
        <v>#N/A</v>
      </c>
      <c r="CX822" s="61" t="e">
        <v>#N/A</v>
      </c>
      <c r="CY822" s="61" t="e">
        <v>#N/A</v>
      </c>
      <c r="CZ822" s="61" t="e">
        <v>#N/A</v>
      </c>
      <c r="DA822" s="61" t="e">
        <v>#N/A</v>
      </c>
      <c r="DB822" s="61" t="e">
        <v>#N/A</v>
      </c>
      <c r="DC822" s="61" t="e">
        <v>#N/A</v>
      </c>
      <c r="DD822" s="61" t="e">
        <v>#N/A</v>
      </c>
      <c r="DE822" s="61" t="e">
        <v>#N/A</v>
      </c>
      <c r="DF822" s="61" t="e">
        <v>#N/A</v>
      </c>
      <c r="DG822" s="61" t="e">
        <v>#N/A</v>
      </c>
      <c r="DH822" s="61" t="e">
        <v>#N/A</v>
      </c>
      <c r="DI822" s="61" t="e">
        <v>#N/A</v>
      </c>
      <c r="DJ822" s="61" t="e">
        <v>#N/A</v>
      </c>
    </row>
    <row r="823" spans="14:114">
      <c r="N823" s="61" t="str">
        <f t="shared" si="115"/>
        <v/>
      </c>
      <c r="O823" s="53" t="str">
        <f t="shared" si="116"/>
        <v>click</v>
      </c>
      <c r="P823" s="61" t="str">
        <f t="shared" si="119"/>
        <v>();</v>
      </c>
      <c r="Q823" s="61" t="str">
        <f t="shared" si="121"/>
        <v/>
      </c>
      <c r="S823" s="61" t="str">
        <f t="shared" si="117"/>
        <v/>
      </c>
      <c r="CU823" s="61" t="e">
        <v>#N/A</v>
      </c>
      <c r="CV823" s="61" t="e">
        <v>#N/A</v>
      </c>
      <c r="CW823" s="61" t="e">
        <v>#N/A</v>
      </c>
      <c r="CX823" s="61" t="e">
        <v>#N/A</v>
      </c>
      <c r="CY823" s="61" t="e">
        <v>#N/A</v>
      </c>
      <c r="CZ823" s="61" t="e">
        <v>#N/A</v>
      </c>
      <c r="DA823" s="61" t="e">
        <v>#N/A</v>
      </c>
      <c r="DB823" s="61" t="e">
        <v>#N/A</v>
      </c>
      <c r="DC823" s="61" t="e">
        <v>#N/A</v>
      </c>
      <c r="DD823" s="61" t="e">
        <v>#N/A</v>
      </c>
      <c r="DE823" s="61" t="e">
        <v>#N/A</v>
      </c>
      <c r="DF823" s="61" t="e">
        <v>#N/A</v>
      </c>
      <c r="DG823" s="61" t="e">
        <v>#N/A</v>
      </c>
      <c r="DH823" s="61" t="e">
        <v>#N/A</v>
      </c>
      <c r="DI823" s="61" t="e">
        <v>#N/A</v>
      </c>
      <c r="DJ823" s="61" t="e">
        <v>#N/A</v>
      </c>
    </row>
    <row r="824" spans="14:114">
      <c r="N824" s="61" t="str">
        <f t="shared" si="115"/>
        <v/>
      </c>
      <c r="O824" s="53" t="str">
        <f t="shared" si="116"/>
        <v>click</v>
      </c>
      <c r="P824" s="61" t="str">
        <f t="shared" si="119"/>
        <v>();</v>
      </c>
      <c r="Q824" s="61" t="str">
        <f t="shared" si="121"/>
        <v/>
      </c>
      <c r="S824" s="61" t="str">
        <f t="shared" si="117"/>
        <v/>
      </c>
      <c r="CU824" s="61" t="e">
        <v>#N/A</v>
      </c>
      <c r="CV824" s="61" t="e">
        <v>#N/A</v>
      </c>
      <c r="CW824" s="61" t="e">
        <v>#N/A</v>
      </c>
      <c r="CX824" s="61" t="e">
        <v>#N/A</v>
      </c>
      <c r="CY824" s="61" t="e">
        <v>#N/A</v>
      </c>
      <c r="CZ824" s="61" t="e">
        <v>#N/A</v>
      </c>
      <c r="DA824" s="61" t="e">
        <v>#N/A</v>
      </c>
      <c r="DB824" s="61" t="e">
        <v>#N/A</v>
      </c>
      <c r="DC824" s="61" t="e">
        <v>#N/A</v>
      </c>
      <c r="DD824" s="61" t="e">
        <v>#N/A</v>
      </c>
      <c r="DE824" s="61" t="e">
        <v>#N/A</v>
      </c>
      <c r="DF824" s="61" t="e">
        <v>#N/A</v>
      </c>
      <c r="DG824" s="61" t="e">
        <v>#N/A</v>
      </c>
      <c r="DH824" s="61" t="e">
        <v>#N/A</v>
      </c>
      <c r="DI824" s="61" t="e">
        <v>#N/A</v>
      </c>
      <c r="DJ824" s="61" t="e">
        <v>#N/A</v>
      </c>
    </row>
    <row r="825" spans="14:114">
      <c r="N825" s="61" t="str">
        <f t="shared" si="115"/>
        <v/>
      </c>
      <c r="O825" s="53" t="str">
        <f t="shared" si="116"/>
        <v>click</v>
      </c>
      <c r="P825" s="61" t="str">
        <f t="shared" si="119"/>
        <v>();</v>
      </c>
      <c r="Q825" s="61" t="str">
        <f t="shared" si="121"/>
        <v/>
      </c>
      <c r="S825" s="61" t="str">
        <f t="shared" si="117"/>
        <v/>
      </c>
      <c r="CU825" s="61" t="e">
        <v>#N/A</v>
      </c>
      <c r="CV825" s="61" t="e">
        <v>#N/A</v>
      </c>
      <c r="CW825" s="61" t="e">
        <v>#N/A</v>
      </c>
      <c r="CX825" s="61" t="e">
        <v>#N/A</v>
      </c>
      <c r="CY825" s="61" t="e">
        <v>#N/A</v>
      </c>
      <c r="CZ825" s="61" t="e">
        <v>#N/A</v>
      </c>
      <c r="DA825" s="61" t="e">
        <v>#N/A</v>
      </c>
      <c r="DB825" s="61" t="e">
        <v>#N/A</v>
      </c>
      <c r="DC825" s="61" t="e">
        <v>#N/A</v>
      </c>
      <c r="DD825" s="61" t="e">
        <v>#N/A</v>
      </c>
      <c r="DE825" s="61" t="e">
        <v>#N/A</v>
      </c>
      <c r="DF825" s="61" t="e">
        <v>#N/A</v>
      </c>
      <c r="DG825" s="61" t="e">
        <v>#N/A</v>
      </c>
      <c r="DH825" s="61" t="e">
        <v>#N/A</v>
      </c>
      <c r="DI825" s="61" t="e">
        <v>#N/A</v>
      </c>
      <c r="DJ825" s="61" t="e">
        <v>#N/A</v>
      </c>
    </row>
    <row r="826" spans="14:114">
      <c r="N826" s="61" t="str">
        <f t="shared" si="115"/>
        <v/>
      </c>
      <c r="O826" s="53" t="str">
        <f t="shared" si="116"/>
        <v>click</v>
      </c>
      <c r="P826" s="61" t="str">
        <f t="shared" si="119"/>
        <v>();</v>
      </c>
      <c r="Q826" s="61" t="str">
        <f t="shared" si="121"/>
        <v/>
      </c>
      <c r="S826" s="61" t="str">
        <f t="shared" si="117"/>
        <v/>
      </c>
      <c r="CU826" s="61" t="e">
        <v>#N/A</v>
      </c>
      <c r="CV826" s="61" t="e">
        <v>#N/A</v>
      </c>
      <c r="CW826" s="61" t="e">
        <v>#N/A</v>
      </c>
      <c r="CX826" s="61" t="e">
        <v>#N/A</v>
      </c>
      <c r="CY826" s="61" t="e">
        <v>#N/A</v>
      </c>
      <c r="CZ826" s="61" t="e">
        <v>#N/A</v>
      </c>
      <c r="DA826" s="61" t="e">
        <v>#N/A</v>
      </c>
      <c r="DB826" s="61" t="e">
        <v>#N/A</v>
      </c>
      <c r="DC826" s="61" t="e">
        <v>#N/A</v>
      </c>
      <c r="DD826" s="61" t="e">
        <v>#N/A</v>
      </c>
      <c r="DE826" s="61" t="e">
        <v>#N/A</v>
      </c>
      <c r="DF826" s="61" t="e">
        <v>#N/A</v>
      </c>
      <c r="DG826" s="61" t="e">
        <v>#N/A</v>
      </c>
      <c r="DH826" s="61" t="e">
        <v>#N/A</v>
      </c>
      <c r="DI826" s="61" t="e">
        <v>#N/A</v>
      </c>
      <c r="DJ826" s="61" t="e">
        <v>#N/A</v>
      </c>
    </row>
    <row r="827" spans="14:114">
      <c r="N827" s="61" t="str">
        <f t="shared" si="115"/>
        <v/>
      </c>
      <c r="O827" s="53" t="str">
        <f t="shared" si="116"/>
        <v>click</v>
      </c>
      <c r="P827" s="61" t="str">
        <f t="shared" si="119"/>
        <v>();</v>
      </c>
      <c r="Q827" s="61" t="str">
        <f t="shared" si="121"/>
        <v/>
      </c>
      <c r="S827" s="61" t="str">
        <f t="shared" si="117"/>
        <v/>
      </c>
      <c r="CU827" s="61" t="e">
        <v>#N/A</v>
      </c>
      <c r="CV827" s="61" t="e">
        <v>#N/A</v>
      </c>
      <c r="CW827" s="61" t="e">
        <v>#N/A</v>
      </c>
      <c r="CX827" s="61" t="e">
        <v>#N/A</v>
      </c>
      <c r="CY827" s="61" t="e">
        <v>#N/A</v>
      </c>
      <c r="CZ827" s="61" t="e">
        <v>#N/A</v>
      </c>
      <c r="DA827" s="61" t="e">
        <v>#N/A</v>
      </c>
      <c r="DB827" s="61" t="e">
        <v>#N/A</v>
      </c>
      <c r="DC827" s="61" t="e">
        <v>#N/A</v>
      </c>
      <c r="DD827" s="61" t="e">
        <v>#N/A</v>
      </c>
      <c r="DE827" s="61" t="e">
        <v>#N/A</v>
      </c>
      <c r="DF827" s="61" t="e">
        <v>#N/A</v>
      </c>
      <c r="DG827" s="61" t="e">
        <v>#N/A</v>
      </c>
      <c r="DH827" s="61" t="e">
        <v>#N/A</v>
      </c>
      <c r="DI827" s="61" t="e">
        <v>#N/A</v>
      </c>
      <c r="DJ827" s="61" t="e">
        <v>#N/A</v>
      </c>
    </row>
    <row r="828" spans="14:114">
      <c r="N828" s="61" t="str">
        <f t="shared" si="115"/>
        <v/>
      </c>
      <c r="O828" s="53" t="str">
        <f t="shared" si="116"/>
        <v>click</v>
      </c>
      <c r="P828" s="61" t="str">
        <f t="shared" si="119"/>
        <v>();</v>
      </c>
      <c r="Q828" s="61" t="str">
        <f t="shared" si="121"/>
        <v/>
      </c>
      <c r="S828" s="61" t="str">
        <f t="shared" si="117"/>
        <v/>
      </c>
      <c r="CU828" s="61" t="e">
        <v>#N/A</v>
      </c>
      <c r="CV828" s="61" t="e">
        <v>#N/A</v>
      </c>
      <c r="CW828" s="61" t="e">
        <v>#N/A</v>
      </c>
      <c r="CX828" s="61" t="e">
        <v>#N/A</v>
      </c>
      <c r="CY828" s="61" t="e">
        <v>#N/A</v>
      </c>
      <c r="CZ828" s="61" t="e">
        <v>#N/A</v>
      </c>
      <c r="DA828" s="61" t="e">
        <v>#N/A</v>
      </c>
      <c r="DB828" s="61" t="e">
        <v>#N/A</v>
      </c>
      <c r="DC828" s="61" t="e">
        <v>#N/A</v>
      </c>
      <c r="DD828" s="61" t="e">
        <v>#N/A</v>
      </c>
      <c r="DE828" s="61" t="e">
        <v>#N/A</v>
      </c>
      <c r="DF828" s="61" t="e">
        <v>#N/A</v>
      </c>
      <c r="DG828" s="61" t="e">
        <v>#N/A</v>
      </c>
      <c r="DH828" s="61" t="e">
        <v>#N/A</v>
      </c>
      <c r="DI828" s="61" t="e">
        <v>#N/A</v>
      </c>
      <c r="DJ828" s="61" t="e">
        <v>#N/A</v>
      </c>
    </row>
    <row r="829" spans="14:114">
      <c r="N829" s="61" t="str">
        <f t="shared" si="115"/>
        <v/>
      </c>
      <c r="O829" s="53" t="str">
        <f t="shared" si="116"/>
        <v>click</v>
      </c>
      <c r="P829" s="61" t="str">
        <f t="shared" si="119"/>
        <v>();</v>
      </c>
      <c r="Q829" s="61" t="str">
        <f t="shared" si="121"/>
        <v/>
      </c>
      <c r="S829" s="61" t="str">
        <f t="shared" si="117"/>
        <v/>
      </c>
      <c r="CU829" s="61" t="e">
        <v>#N/A</v>
      </c>
      <c r="CV829" s="61" t="e">
        <v>#N/A</v>
      </c>
      <c r="CW829" s="61" t="e">
        <v>#N/A</v>
      </c>
      <c r="CX829" s="61" t="e">
        <v>#N/A</v>
      </c>
      <c r="CY829" s="61" t="e">
        <v>#N/A</v>
      </c>
      <c r="CZ829" s="61" t="e">
        <v>#N/A</v>
      </c>
      <c r="DA829" s="61" t="e">
        <v>#N/A</v>
      </c>
      <c r="DB829" s="61" t="e">
        <v>#N/A</v>
      </c>
      <c r="DC829" s="61" t="e">
        <v>#N/A</v>
      </c>
      <c r="DD829" s="61" t="e">
        <v>#N/A</v>
      </c>
      <c r="DE829" s="61" t="e">
        <v>#N/A</v>
      </c>
      <c r="DF829" s="61" t="e">
        <v>#N/A</v>
      </c>
      <c r="DG829" s="61" t="e">
        <v>#N/A</v>
      </c>
      <c r="DH829" s="61" t="e">
        <v>#N/A</v>
      </c>
      <c r="DI829" s="61" t="e">
        <v>#N/A</v>
      </c>
      <c r="DJ829" s="61" t="e">
        <v>#N/A</v>
      </c>
    </row>
    <row r="830" spans="14:114">
      <c r="N830" s="61" t="str">
        <f t="shared" si="115"/>
        <v/>
      </c>
      <c r="O830" s="53" t="str">
        <f t="shared" si="116"/>
        <v>click</v>
      </c>
      <c r="P830" s="61" t="str">
        <f t="shared" si="119"/>
        <v>();</v>
      </c>
      <c r="Q830" s="61" t="str">
        <f t="shared" si="121"/>
        <v/>
      </c>
      <c r="S830" s="61" t="str">
        <f t="shared" si="117"/>
        <v/>
      </c>
      <c r="CU830" s="61" t="e">
        <v>#N/A</v>
      </c>
      <c r="CV830" s="61" t="e">
        <v>#N/A</v>
      </c>
      <c r="CW830" s="61" t="e">
        <v>#N/A</v>
      </c>
      <c r="CX830" s="61" t="e">
        <v>#N/A</v>
      </c>
      <c r="CY830" s="61" t="e">
        <v>#N/A</v>
      </c>
      <c r="CZ830" s="61" t="e">
        <v>#N/A</v>
      </c>
      <c r="DA830" s="61" t="e">
        <v>#N/A</v>
      </c>
      <c r="DB830" s="61" t="e">
        <v>#N/A</v>
      </c>
      <c r="DC830" s="61" t="e">
        <v>#N/A</v>
      </c>
      <c r="DD830" s="61" t="e">
        <v>#N/A</v>
      </c>
      <c r="DE830" s="61" t="e">
        <v>#N/A</v>
      </c>
      <c r="DF830" s="61" t="e">
        <v>#N/A</v>
      </c>
      <c r="DG830" s="61" t="e">
        <v>#N/A</v>
      </c>
      <c r="DH830" s="61" t="e">
        <v>#N/A</v>
      </c>
      <c r="DI830" s="61" t="e">
        <v>#N/A</v>
      </c>
      <c r="DJ830" s="61" t="e">
        <v>#N/A</v>
      </c>
    </row>
    <row r="831" spans="14:114">
      <c r="N831" s="61" t="str">
        <f t="shared" si="115"/>
        <v/>
      </c>
      <c r="O831" s="53" t="str">
        <f t="shared" si="116"/>
        <v>click</v>
      </c>
      <c r="P831" s="61" t="str">
        <f t="shared" si="119"/>
        <v>();</v>
      </c>
      <c r="Q831" s="61" t="str">
        <f t="shared" si="121"/>
        <v/>
      </c>
      <c r="S831" s="61" t="str">
        <f t="shared" si="117"/>
        <v/>
      </c>
      <c r="CU831" s="61" t="e">
        <v>#N/A</v>
      </c>
      <c r="CV831" s="61" t="e">
        <v>#N/A</v>
      </c>
      <c r="CW831" s="61" t="e">
        <v>#N/A</v>
      </c>
      <c r="CX831" s="61" t="e">
        <v>#N/A</v>
      </c>
      <c r="CY831" s="61" t="e">
        <v>#N/A</v>
      </c>
      <c r="CZ831" s="61" t="e">
        <v>#N/A</v>
      </c>
      <c r="DA831" s="61" t="e">
        <v>#N/A</v>
      </c>
      <c r="DB831" s="61" t="e">
        <v>#N/A</v>
      </c>
      <c r="DC831" s="61" t="e">
        <v>#N/A</v>
      </c>
      <c r="DD831" s="61" t="e">
        <v>#N/A</v>
      </c>
      <c r="DE831" s="61" t="e">
        <v>#N/A</v>
      </c>
      <c r="DF831" s="61" t="e">
        <v>#N/A</v>
      </c>
      <c r="DG831" s="61" t="e">
        <v>#N/A</v>
      </c>
      <c r="DH831" s="61" t="e">
        <v>#N/A</v>
      </c>
      <c r="DI831" s="61" t="e">
        <v>#N/A</v>
      </c>
      <c r="DJ831" s="61" t="e">
        <v>#N/A</v>
      </c>
    </row>
    <row r="832" spans="14:114">
      <c r="N832" s="61" t="str">
        <f t="shared" si="115"/>
        <v/>
      </c>
      <c r="O832" s="53" t="str">
        <f t="shared" si="116"/>
        <v>click</v>
      </c>
      <c r="P832" s="61" t="str">
        <f t="shared" si="119"/>
        <v>();</v>
      </c>
      <c r="Q832" s="61" t="str">
        <f t="shared" si="121"/>
        <v/>
      </c>
      <c r="S832" s="61" t="str">
        <f t="shared" si="117"/>
        <v/>
      </c>
      <c r="CU832" s="61" t="e">
        <v>#N/A</v>
      </c>
      <c r="CV832" s="61" t="e">
        <v>#N/A</v>
      </c>
      <c r="CW832" s="61" t="e">
        <v>#N/A</v>
      </c>
      <c r="CX832" s="61" t="e">
        <v>#N/A</v>
      </c>
      <c r="CY832" s="61" t="e">
        <v>#N/A</v>
      </c>
      <c r="CZ832" s="61" t="e">
        <v>#N/A</v>
      </c>
      <c r="DA832" s="61" t="e">
        <v>#N/A</v>
      </c>
      <c r="DB832" s="61" t="e">
        <v>#N/A</v>
      </c>
      <c r="DC832" s="61" t="e">
        <v>#N/A</v>
      </c>
      <c r="DD832" s="61" t="e">
        <v>#N/A</v>
      </c>
      <c r="DE832" s="61" t="e">
        <v>#N/A</v>
      </c>
      <c r="DF832" s="61" t="e">
        <v>#N/A</v>
      </c>
      <c r="DG832" s="61" t="e">
        <v>#N/A</v>
      </c>
      <c r="DH832" s="61" t="e">
        <v>#N/A</v>
      </c>
      <c r="DI832" s="61" t="e">
        <v>#N/A</v>
      </c>
      <c r="DJ832" s="61" t="e">
        <v>#N/A</v>
      </c>
    </row>
    <row r="833" spans="14:114">
      <c r="N833" s="61" t="str">
        <f t="shared" si="115"/>
        <v/>
      </c>
      <c r="O833" s="53" t="str">
        <f t="shared" si="116"/>
        <v>click</v>
      </c>
      <c r="P833" s="61" t="str">
        <f t="shared" si="119"/>
        <v>();</v>
      </c>
      <c r="Q833" s="61" t="str">
        <f t="shared" si="121"/>
        <v/>
      </c>
      <c r="S833" s="61" t="str">
        <f t="shared" si="117"/>
        <v/>
      </c>
      <c r="CU833" s="61" t="e">
        <v>#N/A</v>
      </c>
      <c r="CV833" s="61" t="e">
        <v>#N/A</v>
      </c>
      <c r="CW833" s="61" t="e">
        <v>#N/A</v>
      </c>
      <c r="CX833" s="61" t="e">
        <v>#N/A</v>
      </c>
      <c r="CY833" s="61" t="e">
        <v>#N/A</v>
      </c>
      <c r="CZ833" s="61" t="e">
        <v>#N/A</v>
      </c>
      <c r="DA833" s="61" t="e">
        <v>#N/A</v>
      </c>
      <c r="DB833" s="61" t="e">
        <v>#N/A</v>
      </c>
      <c r="DC833" s="61" t="e">
        <v>#N/A</v>
      </c>
      <c r="DD833" s="61" t="e">
        <v>#N/A</v>
      </c>
      <c r="DE833" s="61" t="e">
        <v>#N/A</v>
      </c>
      <c r="DF833" s="61" t="e">
        <v>#N/A</v>
      </c>
      <c r="DG833" s="61" t="e">
        <v>#N/A</v>
      </c>
      <c r="DH833" s="61" t="e">
        <v>#N/A</v>
      </c>
      <c r="DI833" s="61" t="e">
        <v>#N/A</v>
      </c>
      <c r="DJ833" s="61" t="e">
        <v>#N/A</v>
      </c>
    </row>
    <row r="834" spans="14:114">
      <c r="N834" s="61" t="str">
        <f t="shared" si="115"/>
        <v/>
      </c>
      <c r="O834" s="53" t="str">
        <f t="shared" si="116"/>
        <v>click</v>
      </c>
      <c r="P834" s="61" t="str">
        <f t="shared" si="119"/>
        <v>();</v>
      </c>
      <c r="Q834" s="61" t="str">
        <f t="shared" si="121"/>
        <v/>
      </c>
      <c r="S834" s="61" t="str">
        <f t="shared" si="117"/>
        <v/>
      </c>
      <c r="CU834" s="61" t="e">
        <v>#N/A</v>
      </c>
      <c r="CV834" s="61" t="e">
        <v>#N/A</v>
      </c>
      <c r="CW834" s="61" t="e">
        <v>#N/A</v>
      </c>
      <c r="CX834" s="61" t="e">
        <v>#N/A</v>
      </c>
      <c r="CY834" s="61" t="e">
        <v>#N/A</v>
      </c>
      <c r="CZ834" s="61" t="e">
        <v>#N/A</v>
      </c>
      <c r="DA834" s="61" t="e">
        <v>#N/A</v>
      </c>
      <c r="DB834" s="61" t="e">
        <v>#N/A</v>
      </c>
      <c r="DC834" s="61" t="e">
        <v>#N/A</v>
      </c>
      <c r="DD834" s="61" t="e">
        <v>#N/A</v>
      </c>
      <c r="DE834" s="61" t="e">
        <v>#N/A</v>
      </c>
      <c r="DF834" s="61" t="e">
        <v>#N/A</v>
      </c>
      <c r="DG834" s="61" t="e">
        <v>#N/A</v>
      </c>
      <c r="DH834" s="61" t="e">
        <v>#N/A</v>
      </c>
      <c r="DI834" s="61" t="e">
        <v>#N/A</v>
      </c>
      <c r="DJ834" s="61" t="e">
        <v>#N/A</v>
      </c>
    </row>
    <row r="835" spans="14:114">
      <c r="N835" s="61" t="str">
        <f t="shared" si="115"/>
        <v/>
      </c>
      <c r="O835" s="53" t="str">
        <f t="shared" si="116"/>
        <v>click</v>
      </c>
      <c r="P835" s="61" t="str">
        <f t="shared" si="119"/>
        <v>();</v>
      </c>
      <c r="Q835" s="61" t="str">
        <f t="shared" si="121"/>
        <v/>
      </c>
      <c r="S835" s="61" t="str">
        <f t="shared" si="117"/>
        <v/>
      </c>
      <c r="CU835" s="61" t="e">
        <v>#N/A</v>
      </c>
      <c r="CV835" s="61" t="e">
        <v>#N/A</v>
      </c>
      <c r="CW835" s="61" t="e">
        <v>#N/A</v>
      </c>
      <c r="CX835" s="61" t="e">
        <v>#N/A</v>
      </c>
      <c r="CY835" s="61" t="e">
        <v>#N/A</v>
      </c>
      <c r="CZ835" s="61" t="e">
        <v>#N/A</v>
      </c>
      <c r="DA835" s="61" t="e">
        <v>#N/A</v>
      </c>
      <c r="DB835" s="61" t="e">
        <v>#N/A</v>
      </c>
      <c r="DC835" s="61" t="e">
        <v>#N/A</v>
      </c>
      <c r="DD835" s="61" t="e">
        <v>#N/A</v>
      </c>
      <c r="DE835" s="61" t="e">
        <v>#N/A</v>
      </c>
      <c r="DF835" s="61" t="e">
        <v>#N/A</v>
      </c>
      <c r="DG835" s="61" t="e">
        <v>#N/A</v>
      </c>
      <c r="DH835" s="61" t="e">
        <v>#N/A</v>
      </c>
      <c r="DI835" s="61" t="e">
        <v>#N/A</v>
      </c>
      <c r="DJ835" s="61" t="e">
        <v>#N/A</v>
      </c>
    </row>
    <row r="836" spans="14:114">
      <c r="N836" s="61" t="str">
        <f t="shared" si="115"/>
        <v/>
      </c>
      <c r="O836" s="53" t="str">
        <f t="shared" si="116"/>
        <v>click</v>
      </c>
      <c r="P836" s="61" t="str">
        <f t="shared" si="119"/>
        <v>();</v>
      </c>
      <c r="Q836" s="61" t="str">
        <f t="shared" si="121"/>
        <v/>
      </c>
      <c r="S836" s="61" t="str">
        <f t="shared" si="117"/>
        <v/>
      </c>
      <c r="CU836" s="61" t="e">
        <v>#N/A</v>
      </c>
      <c r="CV836" s="61" t="e">
        <v>#N/A</v>
      </c>
      <c r="CW836" s="61" t="e">
        <v>#N/A</v>
      </c>
      <c r="CX836" s="61" t="e">
        <v>#N/A</v>
      </c>
      <c r="CY836" s="61" t="e">
        <v>#N/A</v>
      </c>
      <c r="CZ836" s="61" t="e">
        <v>#N/A</v>
      </c>
      <c r="DA836" s="61" t="e">
        <v>#N/A</v>
      </c>
      <c r="DB836" s="61" t="e">
        <v>#N/A</v>
      </c>
      <c r="DC836" s="61" t="e">
        <v>#N/A</v>
      </c>
      <c r="DD836" s="61" t="e">
        <v>#N/A</v>
      </c>
      <c r="DE836" s="61" t="e">
        <v>#N/A</v>
      </c>
      <c r="DF836" s="61" t="e">
        <v>#N/A</v>
      </c>
      <c r="DG836" s="61" t="e">
        <v>#N/A</v>
      </c>
      <c r="DH836" s="61" t="e">
        <v>#N/A</v>
      </c>
      <c r="DI836" s="61" t="e">
        <v>#N/A</v>
      </c>
      <c r="DJ836" s="61" t="e">
        <v>#N/A</v>
      </c>
    </row>
    <row r="837" spans="14:114">
      <c r="N837" s="61" t="str">
        <f t="shared" ref="N837:N900" si="122">IF(A837="Y",""""&amp;C837&amp;""""&amp;": "&amp;M837&amp;",","")</f>
        <v/>
      </c>
      <c r="O837" s="53" t="str">
        <f t="shared" ref="O837:O900" si="123">IF(D837="input","fill",IF(I837&lt;&gt;"","innerText",IF(J837="Y",$T$110,"click")))</f>
        <v>click</v>
      </c>
      <c r="P837" s="61" t="str">
        <f t="shared" si="119"/>
        <v>();</v>
      </c>
      <c r="Q837" s="61" t="str">
        <f t="shared" si="121"/>
        <v/>
      </c>
      <c r="S837" s="61" t="str">
        <f t="shared" ref="S837:S900" si="124">IF(O837="innerText",I837&amp;"="&amp;IF(C837="Y",IF(J837&lt;&gt;"Y",$S$9&amp;$R$10&amp;"."&amp;E837&amp;")."&amp;IF(OR(O837="click",O837="innerText"),O837&amp;"();",O837&amp;"("&amp;$Q$9&amp;"."&amp;E837&amp;");"),$S$110&amp;$R$10&amp;"."&amp;E837&amp;")."&amp;IF(O837="click",O837&amp;"();",O837&amp;"("&amp;"'"&amp;K837&amp;"'"&amp;");")),""),IF(C837="Y",IF(J837&lt;&gt;"Y",$S$9&amp;$R$10&amp;"."&amp;E837&amp;")."&amp;IF(OR(O837="click",O837="innerText"),O837&amp;"();",O837&amp;"("&amp;$Q$9&amp;"."&amp;E837&amp;");"),$S$110&amp;$R$10&amp;"."&amp;E837&amp;")."&amp;IF(O837="click",O837&amp;"();",O837&amp;"("&amp;"'"&amp;K837&amp;"'"&amp;");")),""))</f>
        <v/>
      </c>
      <c r="CU837" s="61" t="e">
        <v>#N/A</v>
      </c>
      <c r="CV837" s="61" t="e">
        <v>#N/A</v>
      </c>
      <c r="CW837" s="61" t="e">
        <v>#N/A</v>
      </c>
      <c r="CX837" s="61" t="e">
        <v>#N/A</v>
      </c>
      <c r="CY837" s="61" t="e">
        <v>#N/A</v>
      </c>
      <c r="CZ837" s="61" t="e">
        <v>#N/A</v>
      </c>
      <c r="DA837" s="61" t="e">
        <v>#N/A</v>
      </c>
      <c r="DB837" s="61" t="e">
        <v>#N/A</v>
      </c>
      <c r="DC837" s="61" t="e">
        <v>#N/A</v>
      </c>
      <c r="DD837" s="61" t="e">
        <v>#N/A</v>
      </c>
      <c r="DE837" s="61" t="e">
        <v>#N/A</v>
      </c>
      <c r="DF837" s="61" t="e">
        <v>#N/A</v>
      </c>
      <c r="DG837" s="61" t="e">
        <v>#N/A</v>
      </c>
      <c r="DH837" s="61" t="e">
        <v>#N/A</v>
      </c>
      <c r="DI837" s="61" t="e">
        <v>#N/A</v>
      </c>
      <c r="DJ837" s="61" t="e">
        <v>#N/A</v>
      </c>
    </row>
    <row r="838" spans="14:114">
      <c r="N838" s="61" t="str">
        <f t="shared" si="122"/>
        <v/>
      </c>
      <c r="O838" s="53" t="str">
        <f t="shared" si="123"/>
        <v>click</v>
      </c>
      <c r="P838" s="61" t="str">
        <f t="shared" si="119"/>
        <v>();</v>
      </c>
      <c r="Q838" s="61" t="str">
        <f t="shared" si="121"/>
        <v/>
      </c>
      <c r="S838" s="61" t="str">
        <f t="shared" si="124"/>
        <v/>
      </c>
      <c r="CU838" s="61" t="e">
        <v>#N/A</v>
      </c>
      <c r="CV838" s="61" t="e">
        <v>#N/A</v>
      </c>
      <c r="CW838" s="61" t="e">
        <v>#N/A</v>
      </c>
      <c r="CX838" s="61" t="e">
        <v>#N/A</v>
      </c>
      <c r="CY838" s="61" t="e">
        <v>#N/A</v>
      </c>
      <c r="CZ838" s="61" t="e">
        <v>#N/A</v>
      </c>
      <c r="DA838" s="61" t="e">
        <v>#N/A</v>
      </c>
      <c r="DB838" s="61" t="e">
        <v>#N/A</v>
      </c>
      <c r="DC838" s="61" t="e">
        <v>#N/A</v>
      </c>
      <c r="DD838" s="61" t="e">
        <v>#N/A</v>
      </c>
      <c r="DE838" s="61" t="e">
        <v>#N/A</v>
      </c>
      <c r="DF838" s="61" t="e">
        <v>#N/A</v>
      </c>
      <c r="DG838" s="61" t="e">
        <v>#N/A</v>
      </c>
      <c r="DH838" s="61" t="e">
        <v>#N/A</v>
      </c>
      <c r="DI838" s="61" t="e">
        <v>#N/A</v>
      </c>
      <c r="DJ838" s="61" t="e">
        <v>#N/A</v>
      </c>
    </row>
    <row r="839" spans="14:114">
      <c r="N839" s="61" t="str">
        <f t="shared" si="122"/>
        <v/>
      </c>
      <c r="O839" s="53" t="str">
        <f t="shared" si="123"/>
        <v>click</v>
      </c>
      <c r="P839" s="61" t="str">
        <f t="shared" si="119"/>
        <v>();</v>
      </c>
      <c r="Q839" s="61" t="str">
        <f t="shared" si="121"/>
        <v/>
      </c>
      <c r="S839" s="61" t="str">
        <f t="shared" si="124"/>
        <v/>
      </c>
      <c r="CU839" s="61" t="e">
        <v>#N/A</v>
      </c>
      <c r="CV839" s="61" t="e">
        <v>#N/A</v>
      </c>
      <c r="CW839" s="61" t="e">
        <v>#N/A</v>
      </c>
      <c r="CX839" s="61" t="e">
        <v>#N/A</v>
      </c>
      <c r="CY839" s="61" t="e">
        <v>#N/A</v>
      </c>
      <c r="CZ839" s="61" t="e">
        <v>#N/A</v>
      </c>
      <c r="DA839" s="61" t="e">
        <v>#N/A</v>
      </c>
      <c r="DB839" s="61" t="e">
        <v>#N/A</v>
      </c>
      <c r="DC839" s="61" t="e">
        <v>#N/A</v>
      </c>
      <c r="DD839" s="61" t="e">
        <v>#N/A</v>
      </c>
      <c r="DE839" s="61" t="e">
        <v>#N/A</v>
      </c>
      <c r="DF839" s="61" t="e">
        <v>#N/A</v>
      </c>
      <c r="DG839" s="61" t="e">
        <v>#N/A</v>
      </c>
      <c r="DH839" s="61" t="e">
        <v>#N/A</v>
      </c>
      <c r="DI839" s="61" t="e">
        <v>#N/A</v>
      </c>
      <c r="DJ839" s="61" t="e">
        <v>#N/A</v>
      </c>
    </row>
    <row r="840" spans="14:114">
      <c r="N840" s="61" t="str">
        <f t="shared" si="122"/>
        <v/>
      </c>
      <c r="O840" s="53" t="str">
        <f t="shared" si="123"/>
        <v>click</v>
      </c>
      <c r="P840" s="61" t="str">
        <f t="shared" si="119"/>
        <v>();</v>
      </c>
      <c r="Q840" s="61" t="str">
        <f t="shared" si="121"/>
        <v/>
      </c>
      <c r="S840" s="61" t="str">
        <f t="shared" si="124"/>
        <v/>
      </c>
      <c r="CU840" s="61" t="e">
        <v>#N/A</v>
      </c>
      <c r="CV840" s="61" t="e">
        <v>#N/A</v>
      </c>
      <c r="CW840" s="61" t="e">
        <v>#N/A</v>
      </c>
      <c r="CX840" s="61" t="e">
        <v>#N/A</v>
      </c>
      <c r="CY840" s="61" t="e">
        <v>#N/A</v>
      </c>
      <c r="CZ840" s="61" t="e">
        <v>#N/A</v>
      </c>
      <c r="DA840" s="61" t="e">
        <v>#N/A</v>
      </c>
      <c r="DB840" s="61" t="e">
        <v>#N/A</v>
      </c>
      <c r="DC840" s="61" t="e">
        <v>#N/A</v>
      </c>
      <c r="DD840" s="61" t="e">
        <v>#N/A</v>
      </c>
      <c r="DE840" s="61" t="e">
        <v>#N/A</v>
      </c>
      <c r="DF840" s="61" t="e">
        <v>#N/A</v>
      </c>
      <c r="DG840" s="61" t="e">
        <v>#N/A</v>
      </c>
      <c r="DH840" s="61" t="e">
        <v>#N/A</v>
      </c>
      <c r="DI840" s="61" t="e">
        <v>#N/A</v>
      </c>
      <c r="DJ840" s="61" t="e">
        <v>#N/A</v>
      </c>
    </row>
    <row r="841" spans="14:114">
      <c r="N841" s="61" t="str">
        <f t="shared" si="122"/>
        <v/>
      </c>
      <c r="O841" s="53" t="str">
        <f t="shared" si="123"/>
        <v>click</v>
      </c>
      <c r="P841" s="61" t="str">
        <f t="shared" si="119"/>
        <v>();</v>
      </c>
      <c r="Q841" s="61" t="str">
        <f t="shared" si="121"/>
        <v/>
      </c>
      <c r="S841" s="61" t="str">
        <f t="shared" si="124"/>
        <v/>
      </c>
      <c r="CU841" s="61" t="e">
        <v>#N/A</v>
      </c>
      <c r="CV841" s="61" t="e">
        <v>#N/A</v>
      </c>
      <c r="CW841" s="61" t="e">
        <v>#N/A</v>
      </c>
      <c r="CX841" s="61" t="e">
        <v>#N/A</v>
      </c>
      <c r="CY841" s="61" t="e">
        <v>#N/A</v>
      </c>
      <c r="CZ841" s="61" t="e">
        <v>#N/A</v>
      </c>
      <c r="DA841" s="61" t="e">
        <v>#N/A</v>
      </c>
      <c r="DB841" s="61" t="e">
        <v>#N/A</v>
      </c>
      <c r="DC841" s="61" t="e">
        <v>#N/A</v>
      </c>
      <c r="DD841" s="61" t="e">
        <v>#N/A</v>
      </c>
      <c r="DE841" s="61" t="e">
        <v>#N/A</v>
      </c>
      <c r="DF841" s="61" t="e">
        <v>#N/A</v>
      </c>
      <c r="DG841" s="61" t="e">
        <v>#N/A</v>
      </c>
      <c r="DH841" s="61" t="e">
        <v>#N/A</v>
      </c>
      <c r="DI841" s="61" t="e">
        <v>#N/A</v>
      </c>
      <c r="DJ841" s="61" t="e">
        <v>#N/A</v>
      </c>
    </row>
    <row r="842" spans="14:114">
      <c r="N842" s="61" t="str">
        <f t="shared" si="122"/>
        <v/>
      </c>
      <c r="O842" s="53" t="str">
        <f t="shared" si="123"/>
        <v>click</v>
      </c>
      <c r="P842" s="61" t="str">
        <f t="shared" si="119"/>
        <v>();</v>
      </c>
      <c r="Q842" s="61" t="str">
        <f t="shared" si="121"/>
        <v/>
      </c>
      <c r="S842" s="61" t="str">
        <f t="shared" si="124"/>
        <v/>
      </c>
      <c r="CU842" s="61" t="e">
        <v>#N/A</v>
      </c>
      <c r="CV842" s="61" t="e">
        <v>#N/A</v>
      </c>
      <c r="CW842" s="61" t="e">
        <v>#N/A</v>
      </c>
      <c r="CX842" s="61" t="e">
        <v>#N/A</v>
      </c>
      <c r="CY842" s="61" t="e">
        <v>#N/A</v>
      </c>
      <c r="CZ842" s="61" t="e">
        <v>#N/A</v>
      </c>
      <c r="DA842" s="61" t="e">
        <v>#N/A</v>
      </c>
      <c r="DB842" s="61" t="e">
        <v>#N/A</v>
      </c>
      <c r="DC842" s="61" t="e">
        <v>#N/A</v>
      </c>
      <c r="DD842" s="61" t="e">
        <v>#N/A</v>
      </c>
      <c r="DE842" s="61" t="e">
        <v>#N/A</v>
      </c>
      <c r="DF842" s="61" t="e">
        <v>#N/A</v>
      </c>
      <c r="DG842" s="61" t="e">
        <v>#N/A</v>
      </c>
      <c r="DH842" s="61" t="e">
        <v>#N/A</v>
      </c>
      <c r="DI842" s="61" t="e">
        <v>#N/A</v>
      </c>
      <c r="DJ842" s="61" t="e">
        <v>#N/A</v>
      </c>
    </row>
    <row r="843" spans="14:114">
      <c r="N843" s="61" t="str">
        <f t="shared" si="122"/>
        <v/>
      </c>
      <c r="O843" s="53" t="str">
        <f t="shared" si="123"/>
        <v>click</v>
      </c>
      <c r="P843" s="61" t="str">
        <f t="shared" si="119"/>
        <v>();</v>
      </c>
      <c r="Q843" s="61" t="str">
        <f t="shared" si="121"/>
        <v/>
      </c>
      <c r="S843" s="61" t="str">
        <f t="shared" si="124"/>
        <v/>
      </c>
      <c r="CU843" s="61" t="e">
        <v>#N/A</v>
      </c>
      <c r="CV843" s="61" t="e">
        <v>#N/A</v>
      </c>
      <c r="CW843" s="61" t="e">
        <v>#N/A</v>
      </c>
      <c r="CX843" s="61" t="e">
        <v>#N/A</v>
      </c>
      <c r="CY843" s="61" t="e">
        <v>#N/A</v>
      </c>
      <c r="CZ843" s="61" t="e">
        <v>#N/A</v>
      </c>
      <c r="DA843" s="61" t="e">
        <v>#N/A</v>
      </c>
      <c r="DB843" s="61" t="e">
        <v>#N/A</v>
      </c>
      <c r="DC843" s="61" t="e">
        <v>#N/A</v>
      </c>
      <c r="DD843" s="61" t="e">
        <v>#N/A</v>
      </c>
      <c r="DE843" s="61" t="e">
        <v>#N/A</v>
      </c>
      <c r="DF843" s="61" t="e">
        <v>#N/A</v>
      </c>
      <c r="DG843" s="61" t="e">
        <v>#N/A</v>
      </c>
      <c r="DH843" s="61" t="e">
        <v>#N/A</v>
      </c>
      <c r="DI843" s="61" t="e">
        <v>#N/A</v>
      </c>
      <c r="DJ843" s="61" t="e">
        <v>#N/A</v>
      </c>
    </row>
    <row r="844" spans="14:114">
      <c r="N844" s="61" t="str">
        <f t="shared" si="122"/>
        <v/>
      </c>
      <c r="O844" s="53" t="str">
        <f t="shared" si="123"/>
        <v>click</v>
      </c>
      <c r="P844" s="61" t="str">
        <f t="shared" ref="P844:P907" si="125">IF(OR(O844="Click",O844="innerText"),"();","("&amp;""""&amp;K844&amp;""""&amp;");")</f>
        <v>();</v>
      </c>
      <c r="S844" s="61" t="str">
        <f t="shared" si="124"/>
        <v/>
      </c>
      <c r="CU844" s="61" t="e">
        <v>#N/A</v>
      </c>
      <c r="CV844" s="61" t="e">
        <v>#N/A</v>
      </c>
      <c r="CW844" s="61" t="e">
        <v>#N/A</v>
      </c>
      <c r="CX844" s="61" t="e">
        <v>#N/A</v>
      </c>
      <c r="CY844" s="61" t="e">
        <v>#N/A</v>
      </c>
      <c r="CZ844" s="61" t="e">
        <v>#N/A</v>
      </c>
      <c r="DA844" s="61" t="e">
        <v>#N/A</v>
      </c>
      <c r="DB844" s="61" t="e">
        <v>#N/A</v>
      </c>
      <c r="DC844" s="61" t="e">
        <v>#N/A</v>
      </c>
      <c r="DD844" s="61" t="e">
        <v>#N/A</v>
      </c>
      <c r="DE844" s="61" t="e">
        <v>#N/A</v>
      </c>
      <c r="DF844" s="61" t="e">
        <v>#N/A</v>
      </c>
      <c r="DG844" s="61" t="e">
        <v>#N/A</v>
      </c>
      <c r="DH844" s="61" t="e">
        <v>#N/A</v>
      </c>
      <c r="DI844" s="61" t="e">
        <v>#N/A</v>
      </c>
      <c r="DJ844" s="61" t="e">
        <v>#N/A</v>
      </c>
    </row>
    <row r="845" spans="14:114">
      <c r="N845" s="61" t="str">
        <f t="shared" si="122"/>
        <v/>
      </c>
      <c r="O845" s="53" t="str">
        <f t="shared" si="123"/>
        <v>click</v>
      </c>
      <c r="P845" s="61" t="str">
        <f t="shared" si="125"/>
        <v>();</v>
      </c>
      <c r="S845" s="61" t="str">
        <f t="shared" si="124"/>
        <v/>
      </c>
      <c r="CU845" s="61" t="e">
        <v>#N/A</v>
      </c>
      <c r="CV845" s="61" t="e">
        <v>#N/A</v>
      </c>
      <c r="CW845" s="61" t="e">
        <v>#N/A</v>
      </c>
      <c r="CX845" s="61" t="e">
        <v>#N/A</v>
      </c>
      <c r="CY845" s="61" t="e">
        <v>#N/A</v>
      </c>
      <c r="CZ845" s="61" t="e">
        <v>#N/A</v>
      </c>
      <c r="DA845" s="61" t="e">
        <v>#N/A</v>
      </c>
      <c r="DB845" s="61" t="e">
        <v>#N/A</v>
      </c>
      <c r="DC845" s="61" t="e">
        <v>#N/A</v>
      </c>
      <c r="DD845" s="61" t="e">
        <v>#N/A</v>
      </c>
      <c r="DE845" s="61" t="e">
        <v>#N/A</v>
      </c>
      <c r="DF845" s="61" t="e">
        <v>#N/A</v>
      </c>
      <c r="DG845" s="61" t="e">
        <v>#N/A</v>
      </c>
      <c r="DH845" s="61" t="e">
        <v>#N/A</v>
      </c>
      <c r="DI845" s="61" t="e">
        <v>#N/A</v>
      </c>
      <c r="DJ845" s="61" t="e">
        <v>#N/A</v>
      </c>
    </row>
    <row r="846" spans="14:114">
      <c r="N846" s="61" t="str">
        <f t="shared" si="122"/>
        <v/>
      </c>
      <c r="O846" s="53" t="str">
        <f t="shared" si="123"/>
        <v>click</v>
      </c>
      <c r="P846" s="61" t="str">
        <f t="shared" si="125"/>
        <v>();</v>
      </c>
      <c r="S846" s="61" t="str">
        <f t="shared" si="124"/>
        <v/>
      </c>
      <c r="CU846" s="61" t="e">
        <v>#N/A</v>
      </c>
      <c r="CV846" s="61" t="e">
        <v>#N/A</v>
      </c>
      <c r="CW846" s="61" t="e">
        <v>#N/A</v>
      </c>
      <c r="CX846" s="61" t="e">
        <v>#N/A</v>
      </c>
      <c r="CY846" s="61" t="e">
        <v>#N/A</v>
      </c>
      <c r="CZ846" s="61" t="e">
        <v>#N/A</v>
      </c>
      <c r="DA846" s="61" t="e">
        <v>#N/A</v>
      </c>
      <c r="DB846" s="61" t="e">
        <v>#N/A</v>
      </c>
      <c r="DC846" s="61" t="e">
        <v>#N/A</v>
      </c>
      <c r="DD846" s="61" t="e">
        <v>#N/A</v>
      </c>
      <c r="DE846" s="61" t="e">
        <v>#N/A</v>
      </c>
      <c r="DF846" s="61" t="e">
        <v>#N/A</v>
      </c>
      <c r="DG846" s="61" t="e">
        <v>#N/A</v>
      </c>
      <c r="DH846" s="61" t="e">
        <v>#N/A</v>
      </c>
      <c r="DI846" s="61" t="e">
        <v>#N/A</v>
      </c>
      <c r="DJ846" s="61" t="e">
        <v>#N/A</v>
      </c>
    </row>
    <row r="847" spans="14:114">
      <c r="N847" s="61" t="str">
        <f t="shared" si="122"/>
        <v/>
      </c>
      <c r="O847" s="53" t="str">
        <f t="shared" si="123"/>
        <v>click</v>
      </c>
      <c r="P847" s="61" t="str">
        <f t="shared" si="125"/>
        <v>();</v>
      </c>
      <c r="S847" s="61" t="str">
        <f t="shared" si="124"/>
        <v/>
      </c>
      <c r="CU847" s="61" t="e">
        <v>#N/A</v>
      </c>
      <c r="CV847" s="61" t="e">
        <v>#N/A</v>
      </c>
      <c r="CW847" s="61" t="e">
        <v>#N/A</v>
      </c>
      <c r="CX847" s="61" t="e">
        <v>#N/A</v>
      </c>
      <c r="CY847" s="61" t="e">
        <v>#N/A</v>
      </c>
      <c r="CZ847" s="61" t="e">
        <v>#N/A</v>
      </c>
      <c r="DA847" s="61" t="e">
        <v>#N/A</v>
      </c>
      <c r="DB847" s="61" t="e">
        <v>#N/A</v>
      </c>
      <c r="DC847" s="61" t="e">
        <v>#N/A</v>
      </c>
      <c r="DD847" s="61" t="e">
        <v>#N/A</v>
      </c>
      <c r="DE847" s="61" t="e">
        <v>#N/A</v>
      </c>
      <c r="DF847" s="61" t="e">
        <v>#N/A</v>
      </c>
      <c r="DG847" s="61" t="e">
        <v>#N/A</v>
      </c>
      <c r="DH847" s="61" t="e">
        <v>#N/A</v>
      </c>
      <c r="DI847" s="61" t="e">
        <v>#N/A</v>
      </c>
      <c r="DJ847" s="61" t="e">
        <v>#N/A</v>
      </c>
    </row>
    <row r="848" spans="14:114">
      <c r="N848" s="61" t="str">
        <f t="shared" si="122"/>
        <v/>
      </c>
      <c r="O848" s="53" t="str">
        <f t="shared" si="123"/>
        <v>click</v>
      </c>
      <c r="P848" s="61" t="str">
        <f t="shared" si="125"/>
        <v>();</v>
      </c>
      <c r="S848" s="61" t="str">
        <f t="shared" si="124"/>
        <v/>
      </c>
      <c r="CU848" s="61" t="e">
        <v>#N/A</v>
      </c>
      <c r="CV848" s="61" t="e">
        <v>#N/A</v>
      </c>
      <c r="CW848" s="61" t="e">
        <v>#N/A</v>
      </c>
      <c r="CX848" s="61" t="e">
        <v>#N/A</v>
      </c>
      <c r="CY848" s="61" t="e">
        <v>#N/A</v>
      </c>
      <c r="CZ848" s="61" t="e">
        <v>#N/A</v>
      </c>
      <c r="DA848" s="61" t="e">
        <v>#N/A</v>
      </c>
      <c r="DB848" s="61" t="e">
        <v>#N/A</v>
      </c>
      <c r="DC848" s="61" t="e">
        <v>#N/A</v>
      </c>
      <c r="DD848" s="61" t="e">
        <v>#N/A</v>
      </c>
      <c r="DE848" s="61" t="e">
        <v>#N/A</v>
      </c>
      <c r="DF848" s="61" t="e">
        <v>#N/A</v>
      </c>
      <c r="DG848" s="61" t="e">
        <v>#N/A</v>
      </c>
      <c r="DH848" s="61" t="e">
        <v>#N/A</v>
      </c>
      <c r="DI848" s="61" t="e">
        <v>#N/A</v>
      </c>
      <c r="DJ848" s="61" t="e">
        <v>#N/A</v>
      </c>
    </row>
    <row r="849" spans="14:114">
      <c r="N849" s="61" t="str">
        <f t="shared" si="122"/>
        <v/>
      </c>
      <c r="O849" s="53" t="str">
        <f t="shared" si="123"/>
        <v>click</v>
      </c>
      <c r="P849" s="61" t="str">
        <f t="shared" si="125"/>
        <v>();</v>
      </c>
      <c r="S849" s="61" t="str">
        <f t="shared" si="124"/>
        <v/>
      </c>
      <c r="CU849" s="61" t="e">
        <v>#N/A</v>
      </c>
      <c r="CV849" s="61" t="e">
        <v>#N/A</v>
      </c>
      <c r="CW849" s="61" t="e">
        <v>#N/A</v>
      </c>
      <c r="CX849" s="61" t="e">
        <v>#N/A</v>
      </c>
      <c r="CY849" s="61" t="e">
        <v>#N/A</v>
      </c>
      <c r="CZ849" s="61" t="e">
        <v>#N/A</v>
      </c>
      <c r="DA849" s="61" t="e">
        <v>#N/A</v>
      </c>
      <c r="DB849" s="61" t="e">
        <v>#N/A</v>
      </c>
      <c r="DC849" s="61" t="e">
        <v>#N/A</v>
      </c>
      <c r="DD849" s="61" t="e">
        <v>#N/A</v>
      </c>
      <c r="DE849" s="61" t="e">
        <v>#N/A</v>
      </c>
      <c r="DF849" s="61" t="e">
        <v>#N/A</v>
      </c>
      <c r="DG849" s="61" t="e">
        <v>#N/A</v>
      </c>
      <c r="DH849" s="61" t="e">
        <v>#N/A</v>
      </c>
      <c r="DI849" s="61" t="e">
        <v>#N/A</v>
      </c>
      <c r="DJ849" s="61" t="e">
        <v>#N/A</v>
      </c>
    </row>
    <row r="850" spans="14:114">
      <c r="N850" s="61" t="str">
        <f t="shared" si="122"/>
        <v/>
      </c>
      <c r="O850" s="53" t="str">
        <f t="shared" si="123"/>
        <v>click</v>
      </c>
      <c r="P850" s="61" t="str">
        <f t="shared" si="125"/>
        <v>();</v>
      </c>
      <c r="S850" s="61" t="str">
        <f t="shared" si="124"/>
        <v/>
      </c>
      <c r="CU850" s="61" t="e">
        <v>#N/A</v>
      </c>
      <c r="CV850" s="61" t="e">
        <v>#N/A</v>
      </c>
      <c r="CW850" s="61" t="e">
        <v>#N/A</v>
      </c>
      <c r="CX850" s="61" t="e">
        <v>#N/A</v>
      </c>
      <c r="CY850" s="61" t="e">
        <v>#N/A</v>
      </c>
      <c r="CZ850" s="61" t="e">
        <v>#N/A</v>
      </c>
      <c r="DA850" s="61" t="e">
        <v>#N/A</v>
      </c>
      <c r="DB850" s="61" t="e">
        <v>#N/A</v>
      </c>
      <c r="DC850" s="61" t="e">
        <v>#N/A</v>
      </c>
      <c r="DD850" s="61" t="e">
        <v>#N/A</v>
      </c>
      <c r="DE850" s="61" t="e">
        <v>#N/A</v>
      </c>
      <c r="DF850" s="61" t="e">
        <v>#N/A</v>
      </c>
      <c r="DG850" s="61" t="e">
        <v>#N/A</v>
      </c>
      <c r="DH850" s="61" t="e">
        <v>#N/A</v>
      </c>
      <c r="DI850" s="61" t="e">
        <v>#N/A</v>
      </c>
      <c r="DJ850" s="61" t="e">
        <v>#N/A</v>
      </c>
    </row>
    <row r="851" spans="14:114">
      <c r="N851" s="61" t="str">
        <f t="shared" si="122"/>
        <v/>
      </c>
      <c r="O851" s="53" t="str">
        <f t="shared" si="123"/>
        <v>click</v>
      </c>
      <c r="P851" s="61" t="str">
        <f t="shared" si="125"/>
        <v>();</v>
      </c>
      <c r="S851" s="61" t="str">
        <f t="shared" si="124"/>
        <v/>
      </c>
      <c r="CU851" s="61" t="e">
        <v>#N/A</v>
      </c>
      <c r="CV851" s="61" t="e">
        <v>#N/A</v>
      </c>
      <c r="CW851" s="61" t="e">
        <v>#N/A</v>
      </c>
      <c r="CX851" s="61" t="e">
        <v>#N/A</v>
      </c>
      <c r="CY851" s="61" t="e">
        <v>#N/A</v>
      </c>
      <c r="CZ851" s="61" t="e">
        <v>#N/A</v>
      </c>
      <c r="DA851" s="61" t="e">
        <v>#N/A</v>
      </c>
      <c r="DB851" s="61" t="e">
        <v>#N/A</v>
      </c>
      <c r="DC851" s="61" t="e">
        <v>#N/A</v>
      </c>
      <c r="DD851" s="61" t="e">
        <v>#N/A</v>
      </c>
      <c r="DE851" s="61" t="e">
        <v>#N/A</v>
      </c>
      <c r="DF851" s="61" t="e">
        <v>#N/A</v>
      </c>
      <c r="DG851" s="61" t="e">
        <v>#N/A</v>
      </c>
      <c r="DH851" s="61" t="e">
        <v>#N/A</v>
      </c>
      <c r="DI851" s="61" t="e">
        <v>#N/A</v>
      </c>
      <c r="DJ851" s="61" t="e">
        <v>#N/A</v>
      </c>
    </row>
    <row r="852" spans="14:114">
      <c r="N852" s="61" t="str">
        <f t="shared" si="122"/>
        <v/>
      </c>
      <c r="O852" s="53" t="str">
        <f t="shared" si="123"/>
        <v>click</v>
      </c>
      <c r="P852" s="61" t="str">
        <f t="shared" si="125"/>
        <v>();</v>
      </c>
      <c r="S852" s="61" t="str">
        <f t="shared" si="124"/>
        <v/>
      </c>
      <c r="CU852" s="61" t="e">
        <v>#N/A</v>
      </c>
      <c r="CV852" s="61" t="e">
        <v>#N/A</v>
      </c>
      <c r="CW852" s="61" t="e">
        <v>#N/A</v>
      </c>
      <c r="CX852" s="61" t="e">
        <v>#N/A</v>
      </c>
      <c r="CY852" s="61" t="e">
        <v>#N/A</v>
      </c>
      <c r="CZ852" s="61" t="e">
        <v>#N/A</v>
      </c>
      <c r="DA852" s="61" t="e">
        <v>#N/A</v>
      </c>
      <c r="DB852" s="61" t="e">
        <v>#N/A</v>
      </c>
      <c r="DC852" s="61" t="e">
        <v>#N/A</v>
      </c>
      <c r="DD852" s="61" t="e">
        <v>#N/A</v>
      </c>
      <c r="DE852" s="61" t="e">
        <v>#N/A</v>
      </c>
      <c r="DF852" s="61" t="e">
        <v>#N/A</v>
      </c>
      <c r="DG852" s="61" t="e">
        <v>#N/A</v>
      </c>
      <c r="DH852" s="61" t="e">
        <v>#N/A</v>
      </c>
      <c r="DI852" s="61" t="e">
        <v>#N/A</v>
      </c>
      <c r="DJ852" s="61" t="e">
        <v>#N/A</v>
      </c>
    </row>
    <row r="853" spans="14:114">
      <c r="N853" s="61" t="str">
        <f t="shared" si="122"/>
        <v/>
      </c>
      <c r="O853" s="53" t="str">
        <f t="shared" si="123"/>
        <v>click</v>
      </c>
      <c r="P853" s="61" t="str">
        <f t="shared" si="125"/>
        <v>();</v>
      </c>
      <c r="S853" s="61" t="str">
        <f t="shared" si="124"/>
        <v/>
      </c>
      <c r="CU853" s="61" t="e">
        <v>#N/A</v>
      </c>
      <c r="CV853" s="61" t="e">
        <v>#N/A</v>
      </c>
      <c r="CW853" s="61" t="e">
        <v>#N/A</v>
      </c>
      <c r="CX853" s="61" t="e">
        <v>#N/A</v>
      </c>
      <c r="CY853" s="61" t="e">
        <v>#N/A</v>
      </c>
      <c r="CZ853" s="61" t="e">
        <v>#N/A</v>
      </c>
      <c r="DA853" s="61" t="e">
        <v>#N/A</v>
      </c>
      <c r="DB853" s="61" t="e">
        <v>#N/A</v>
      </c>
      <c r="DC853" s="61" t="e">
        <v>#N/A</v>
      </c>
      <c r="DD853" s="61" t="e">
        <v>#N/A</v>
      </c>
      <c r="DE853" s="61" t="e">
        <v>#N/A</v>
      </c>
      <c r="DF853" s="61" t="e">
        <v>#N/A</v>
      </c>
      <c r="DG853" s="61" t="e">
        <v>#N/A</v>
      </c>
      <c r="DH853" s="61" t="e">
        <v>#N/A</v>
      </c>
      <c r="DI853" s="61" t="e">
        <v>#N/A</v>
      </c>
      <c r="DJ853" s="61" t="e">
        <v>#N/A</v>
      </c>
    </row>
    <row r="854" spans="14:114">
      <c r="N854" s="61" t="str">
        <f t="shared" si="122"/>
        <v/>
      </c>
      <c r="O854" s="53" t="str">
        <f t="shared" si="123"/>
        <v>click</v>
      </c>
      <c r="P854" s="61" t="str">
        <f t="shared" si="125"/>
        <v>();</v>
      </c>
      <c r="S854" s="61" t="str">
        <f t="shared" si="124"/>
        <v/>
      </c>
      <c r="CU854" s="61" t="e">
        <v>#N/A</v>
      </c>
      <c r="CV854" s="61" t="e">
        <v>#N/A</v>
      </c>
      <c r="CW854" s="61" t="e">
        <v>#N/A</v>
      </c>
      <c r="CX854" s="61" t="e">
        <v>#N/A</v>
      </c>
      <c r="CY854" s="61" t="e">
        <v>#N/A</v>
      </c>
      <c r="CZ854" s="61" t="e">
        <v>#N/A</v>
      </c>
      <c r="DA854" s="61" t="e">
        <v>#N/A</v>
      </c>
      <c r="DB854" s="61" t="e">
        <v>#N/A</v>
      </c>
      <c r="DC854" s="61" t="e">
        <v>#N/A</v>
      </c>
      <c r="DD854" s="61" t="e">
        <v>#N/A</v>
      </c>
      <c r="DE854" s="61" t="e">
        <v>#N/A</v>
      </c>
      <c r="DF854" s="61" t="e">
        <v>#N/A</v>
      </c>
      <c r="DG854" s="61" t="e">
        <v>#N/A</v>
      </c>
      <c r="DH854" s="61" t="e">
        <v>#N/A</v>
      </c>
      <c r="DI854" s="61" t="e">
        <v>#N/A</v>
      </c>
      <c r="DJ854" s="61" t="e">
        <v>#N/A</v>
      </c>
    </row>
    <row r="855" spans="14:114">
      <c r="N855" s="61" t="str">
        <f t="shared" si="122"/>
        <v/>
      </c>
      <c r="O855" s="53" t="str">
        <f t="shared" si="123"/>
        <v>click</v>
      </c>
      <c r="P855" s="61" t="str">
        <f t="shared" si="125"/>
        <v>();</v>
      </c>
      <c r="S855" s="61" t="str">
        <f t="shared" si="124"/>
        <v/>
      </c>
      <c r="CU855" s="61" t="e">
        <v>#N/A</v>
      </c>
      <c r="CV855" s="61" t="e">
        <v>#N/A</v>
      </c>
      <c r="CW855" s="61" t="e">
        <v>#N/A</v>
      </c>
      <c r="CX855" s="61" t="e">
        <v>#N/A</v>
      </c>
      <c r="CY855" s="61" t="e">
        <v>#N/A</v>
      </c>
      <c r="CZ855" s="61" t="e">
        <v>#N/A</v>
      </c>
      <c r="DA855" s="61" t="e">
        <v>#N/A</v>
      </c>
      <c r="DB855" s="61" t="e">
        <v>#N/A</v>
      </c>
      <c r="DC855" s="61" t="e">
        <v>#N/A</v>
      </c>
      <c r="DD855" s="61" t="e">
        <v>#N/A</v>
      </c>
      <c r="DE855" s="61" t="e">
        <v>#N/A</v>
      </c>
      <c r="DF855" s="61" t="e">
        <v>#N/A</v>
      </c>
      <c r="DG855" s="61" t="e">
        <v>#N/A</v>
      </c>
      <c r="DH855" s="61" t="e">
        <v>#N/A</v>
      </c>
      <c r="DI855" s="61" t="e">
        <v>#N/A</v>
      </c>
      <c r="DJ855" s="61" t="e">
        <v>#N/A</v>
      </c>
    </row>
    <row r="856" spans="14:114">
      <c r="N856" s="61" t="str">
        <f t="shared" si="122"/>
        <v/>
      </c>
      <c r="O856" s="53" t="str">
        <f t="shared" si="123"/>
        <v>click</v>
      </c>
      <c r="P856" s="61" t="str">
        <f t="shared" si="125"/>
        <v>();</v>
      </c>
      <c r="S856" s="61" t="str">
        <f t="shared" si="124"/>
        <v/>
      </c>
      <c r="CU856" s="61" t="e">
        <v>#N/A</v>
      </c>
      <c r="CV856" s="61" t="e">
        <v>#N/A</v>
      </c>
      <c r="CW856" s="61" t="e">
        <v>#N/A</v>
      </c>
      <c r="CX856" s="61" t="e">
        <v>#N/A</v>
      </c>
      <c r="CY856" s="61" t="e">
        <v>#N/A</v>
      </c>
      <c r="CZ856" s="61" t="e">
        <v>#N/A</v>
      </c>
      <c r="DA856" s="61" t="e">
        <v>#N/A</v>
      </c>
      <c r="DB856" s="61" t="e">
        <v>#N/A</v>
      </c>
      <c r="DC856" s="61" t="e">
        <v>#N/A</v>
      </c>
      <c r="DD856" s="61" t="e">
        <v>#N/A</v>
      </c>
      <c r="DE856" s="61" t="e">
        <v>#N/A</v>
      </c>
      <c r="DF856" s="61" t="e">
        <v>#N/A</v>
      </c>
      <c r="DG856" s="61" t="e">
        <v>#N/A</v>
      </c>
      <c r="DH856" s="61" t="e">
        <v>#N/A</v>
      </c>
      <c r="DI856" s="61" t="e">
        <v>#N/A</v>
      </c>
      <c r="DJ856" s="61" t="e">
        <v>#N/A</v>
      </c>
    </row>
    <row r="857" spans="14:114">
      <c r="N857" s="61" t="str">
        <f t="shared" si="122"/>
        <v/>
      </c>
      <c r="O857" s="53" t="str">
        <f t="shared" si="123"/>
        <v>click</v>
      </c>
      <c r="P857" s="61" t="str">
        <f t="shared" si="125"/>
        <v>();</v>
      </c>
      <c r="S857" s="61" t="str">
        <f t="shared" si="124"/>
        <v/>
      </c>
      <c r="CU857" s="61" t="e">
        <v>#N/A</v>
      </c>
      <c r="CV857" s="61" t="e">
        <v>#N/A</v>
      </c>
      <c r="CW857" s="61" t="e">
        <v>#N/A</v>
      </c>
      <c r="CX857" s="61" t="e">
        <v>#N/A</v>
      </c>
      <c r="CY857" s="61" t="e">
        <v>#N/A</v>
      </c>
      <c r="CZ857" s="61" t="e">
        <v>#N/A</v>
      </c>
      <c r="DA857" s="61" t="e">
        <v>#N/A</v>
      </c>
      <c r="DB857" s="61" t="e">
        <v>#N/A</v>
      </c>
      <c r="DC857" s="61" t="e">
        <v>#N/A</v>
      </c>
      <c r="DD857" s="61" t="e">
        <v>#N/A</v>
      </c>
      <c r="DE857" s="61" t="e">
        <v>#N/A</v>
      </c>
      <c r="DF857" s="61" t="e">
        <v>#N/A</v>
      </c>
      <c r="DG857" s="61" t="e">
        <v>#N/A</v>
      </c>
      <c r="DH857" s="61" t="e">
        <v>#N/A</v>
      </c>
      <c r="DI857" s="61" t="e">
        <v>#N/A</v>
      </c>
      <c r="DJ857" s="61" t="e">
        <v>#N/A</v>
      </c>
    </row>
    <row r="858" spans="14:114">
      <c r="N858" s="61" t="str">
        <f t="shared" si="122"/>
        <v/>
      </c>
      <c r="O858" s="53" t="str">
        <f t="shared" si="123"/>
        <v>click</v>
      </c>
      <c r="P858" s="61" t="str">
        <f t="shared" si="125"/>
        <v>();</v>
      </c>
      <c r="S858" s="61" t="str">
        <f t="shared" si="124"/>
        <v/>
      </c>
      <c r="CU858" s="61" t="e">
        <v>#N/A</v>
      </c>
      <c r="CV858" s="61" t="e">
        <v>#N/A</v>
      </c>
      <c r="CW858" s="61" t="e">
        <v>#N/A</v>
      </c>
      <c r="CX858" s="61" t="e">
        <v>#N/A</v>
      </c>
      <c r="CY858" s="61" t="e">
        <v>#N/A</v>
      </c>
      <c r="CZ858" s="61" t="e">
        <v>#N/A</v>
      </c>
      <c r="DA858" s="61" t="e">
        <v>#N/A</v>
      </c>
      <c r="DB858" s="61" t="e">
        <v>#N/A</v>
      </c>
      <c r="DC858" s="61" t="e">
        <v>#N/A</v>
      </c>
      <c r="DD858" s="61" t="e">
        <v>#N/A</v>
      </c>
      <c r="DE858" s="61" t="e">
        <v>#N/A</v>
      </c>
      <c r="DF858" s="61" t="e">
        <v>#N/A</v>
      </c>
      <c r="DG858" s="61" t="e">
        <v>#N/A</v>
      </c>
      <c r="DH858" s="61" t="e">
        <v>#N/A</v>
      </c>
      <c r="DI858" s="61" t="e">
        <v>#N/A</v>
      </c>
      <c r="DJ858" s="61" t="e">
        <v>#N/A</v>
      </c>
    </row>
    <row r="859" spans="14:114">
      <c r="N859" s="61" t="str">
        <f t="shared" si="122"/>
        <v/>
      </c>
      <c r="O859" s="53" t="str">
        <f t="shared" si="123"/>
        <v>click</v>
      </c>
      <c r="P859" s="61" t="str">
        <f t="shared" si="125"/>
        <v>();</v>
      </c>
      <c r="S859" s="61" t="str">
        <f t="shared" si="124"/>
        <v/>
      </c>
      <c r="CU859" s="61" t="e">
        <v>#N/A</v>
      </c>
      <c r="CV859" s="61" t="e">
        <v>#N/A</v>
      </c>
      <c r="CW859" s="61" t="e">
        <v>#N/A</v>
      </c>
      <c r="CX859" s="61" t="e">
        <v>#N/A</v>
      </c>
      <c r="CY859" s="61" t="e">
        <v>#N/A</v>
      </c>
      <c r="CZ859" s="61" t="e">
        <v>#N/A</v>
      </c>
      <c r="DA859" s="61" t="e">
        <v>#N/A</v>
      </c>
      <c r="DB859" s="61" t="e">
        <v>#N/A</v>
      </c>
      <c r="DC859" s="61" t="e">
        <v>#N/A</v>
      </c>
      <c r="DD859" s="61" t="e">
        <v>#N/A</v>
      </c>
      <c r="DE859" s="61" t="e">
        <v>#N/A</v>
      </c>
      <c r="DF859" s="61" t="e">
        <v>#N/A</v>
      </c>
      <c r="DG859" s="61" t="e">
        <v>#N/A</v>
      </c>
      <c r="DH859" s="61" t="e">
        <v>#N/A</v>
      </c>
      <c r="DI859" s="61" t="e">
        <v>#N/A</v>
      </c>
      <c r="DJ859" s="61" t="e">
        <v>#N/A</v>
      </c>
    </row>
    <row r="860" spans="14:114">
      <c r="N860" s="61" t="str">
        <f t="shared" si="122"/>
        <v/>
      </c>
      <c r="O860" s="53" t="str">
        <f t="shared" si="123"/>
        <v>click</v>
      </c>
      <c r="P860" s="61" t="str">
        <f t="shared" si="125"/>
        <v>();</v>
      </c>
      <c r="S860" s="61" t="str">
        <f t="shared" si="124"/>
        <v/>
      </c>
      <c r="CU860" s="61" t="e">
        <v>#N/A</v>
      </c>
      <c r="CV860" s="61" t="e">
        <v>#N/A</v>
      </c>
      <c r="CW860" s="61" t="e">
        <v>#N/A</v>
      </c>
      <c r="CX860" s="61" t="e">
        <v>#N/A</v>
      </c>
      <c r="CY860" s="61" t="e">
        <v>#N/A</v>
      </c>
      <c r="CZ860" s="61" t="e">
        <v>#N/A</v>
      </c>
      <c r="DA860" s="61" t="e">
        <v>#N/A</v>
      </c>
      <c r="DB860" s="61" t="e">
        <v>#N/A</v>
      </c>
      <c r="DC860" s="61" t="e">
        <v>#N/A</v>
      </c>
      <c r="DD860" s="61" t="e">
        <v>#N/A</v>
      </c>
      <c r="DE860" s="61" t="e">
        <v>#N/A</v>
      </c>
      <c r="DF860" s="61" t="e">
        <v>#N/A</v>
      </c>
      <c r="DG860" s="61" t="e">
        <v>#N/A</v>
      </c>
      <c r="DH860" s="61" t="e">
        <v>#N/A</v>
      </c>
      <c r="DI860" s="61" t="e">
        <v>#N/A</v>
      </c>
      <c r="DJ860" s="61" t="e">
        <v>#N/A</v>
      </c>
    </row>
    <row r="861" spans="14:114">
      <c r="N861" s="61" t="str">
        <f t="shared" si="122"/>
        <v/>
      </c>
      <c r="O861" s="53" t="str">
        <f t="shared" si="123"/>
        <v>click</v>
      </c>
      <c r="P861" s="61" t="str">
        <f t="shared" si="125"/>
        <v>();</v>
      </c>
      <c r="S861" s="61" t="str">
        <f t="shared" si="124"/>
        <v/>
      </c>
      <c r="CU861" s="61" t="e">
        <v>#N/A</v>
      </c>
      <c r="CV861" s="61" t="e">
        <v>#N/A</v>
      </c>
      <c r="CW861" s="61" t="e">
        <v>#N/A</v>
      </c>
      <c r="CX861" s="61" t="e">
        <v>#N/A</v>
      </c>
      <c r="CY861" s="61" t="e">
        <v>#N/A</v>
      </c>
      <c r="CZ861" s="61" t="e">
        <v>#N/A</v>
      </c>
      <c r="DA861" s="61" t="e">
        <v>#N/A</v>
      </c>
      <c r="DB861" s="61" t="e">
        <v>#N/A</v>
      </c>
      <c r="DC861" s="61" t="e">
        <v>#N/A</v>
      </c>
      <c r="DD861" s="61" t="e">
        <v>#N/A</v>
      </c>
      <c r="DE861" s="61" t="e">
        <v>#N/A</v>
      </c>
      <c r="DF861" s="61" t="e">
        <v>#N/A</v>
      </c>
      <c r="DG861" s="61" t="e">
        <v>#N/A</v>
      </c>
      <c r="DH861" s="61" t="e">
        <v>#N/A</v>
      </c>
      <c r="DI861" s="61" t="e">
        <v>#N/A</v>
      </c>
      <c r="DJ861" s="61" t="e">
        <v>#N/A</v>
      </c>
    </row>
    <row r="862" spans="14:114">
      <c r="N862" s="61" t="str">
        <f t="shared" si="122"/>
        <v/>
      </c>
      <c r="O862" s="53" t="str">
        <f t="shared" si="123"/>
        <v>click</v>
      </c>
      <c r="P862" s="61" t="str">
        <f t="shared" si="125"/>
        <v>();</v>
      </c>
      <c r="S862" s="61" t="str">
        <f t="shared" si="124"/>
        <v/>
      </c>
      <c r="CU862" s="61" t="e">
        <v>#N/A</v>
      </c>
      <c r="CV862" s="61" t="e">
        <v>#N/A</v>
      </c>
      <c r="CW862" s="61" t="e">
        <v>#N/A</v>
      </c>
      <c r="CX862" s="61" t="e">
        <v>#N/A</v>
      </c>
      <c r="CY862" s="61" t="e">
        <v>#N/A</v>
      </c>
      <c r="CZ862" s="61" t="e">
        <v>#N/A</v>
      </c>
      <c r="DA862" s="61" t="e">
        <v>#N/A</v>
      </c>
      <c r="DB862" s="61" t="e">
        <v>#N/A</v>
      </c>
      <c r="DC862" s="61" t="e">
        <v>#N/A</v>
      </c>
      <c r="DD862" s="61" t="e">
        <v>#N/A</v>
      </c>
      <c r="DE862" s="61" t="e">
        <v>#N/A</v>
      </c>
      <c r="DF862" s="61" t="e">
        <v>#N/A</v>
      </c>
      <c r="DG862" s="61" t="e">
        <v>#N/A</v>
      </c>
      <c r="DH862" s="61" t="e">
        <v>#N/A</v>
      </c>
      <c r="DI862" s="61" t="e">
        <v>#N/A</v>
      </c>
      <c r="DJ862" s="61" t="e">
        <v>#N/A</v>
      </c>
    </row>
    <row r="863" spans="14:114">
      <c r="N863" s="61" t="str">
        <f t="shared" si="122"/>
        <v/>
      </c>
      <c r="O863" s="53" t="str">
        <f t="shared" si="123"/>
        <v>click</v>
      </c>
      <c r="P863" s="61" t="str">
        <f t="shared" si="125"/>
        <v>();</v>
      </c>
      <c r="S863" s="61" t="str">
        <f t="shared" si="124"/>
        <v/>
      </c>
      <c r="CU863" s="61" t="e">
        <v>#N/A</v>
      </c>
      <c r="CV863" s="61" t="e">
        <v>#N/A</v>
      </c>
      <c r="CW863" s="61" t="e">
        <v>#N/A</v>
      </c>
      <c r="CX863" s="61" t="e">
        <v>#N/A</v>
      </c>
      <c r="CY863" s="61" t="e">
        <v>#N/A</v>
      </c>
      <c r="CZ863" s="61" t="e">
        <v>#N/A</v>
      </c>
      <c r="DA863" s="61" t="e">
        <v>#N/A</v>
      </c>
      <c r="DB863" s="61" t="e">
        <v>#N/A</v>
      </c>
      <c r="DC863" s="61" t="e">
        <v>#N/A</v>
      </c>
      <c r="DD863" s="61" t="e">
        <v>#N/A</v>
      </c>
      <c r="DE863" s="61" t="e">
        <v>#N/A</v>
      </c>
      <c r="DF863" s="61" t="e">
        <v>#N/A</v>
      </c>
      <c r="DG863" s="61" t="e">
        <v>#N/A</v>
      </c>
      <c r="DH863" s="61" t="e">
        <v>#N/A</v>
      </c>
      <c r="DI863" s="61" t="e">
        <v>#N/A</v>
      </c>
      <c r="DJ863" s="61" t="e">
        <v>#N/A</v>
      </c>
    </row>
    <row r="864" spans="14:114">
      <c r="N864" s="61" t="str">
        <f t="shared" si="122"/>
        <v/>
      </c>
      <c r="O864" s="53" t="str">
        <f t="shared" si="123"/>
        <v>click</v>
      </c>
      <c r="P864" s="61" t="str">
        <f t="shared" si="125"/>
        <v>();</v>
      </c>
      <c r="S864" s="61" t="str">
        <f t="shared" si="124"/>
        <v/>
      </c>
      <c r="CU864" s="61" t="e">
        <v>#N/A</v>
      </c>
      <c r="CV864" s="61" t="e">
        <v>#N/A</v>
      </c>
      <c r="CW864" s="61" t="e">
        <v>#N/A</v>
      </c>
      <c r="CX864" s="61" t="e">
        <v>#N/A</v>
      </c>
      <c r="CY864" s="61" t="e">
        <v>#N/A</v>
      </c>
      <c r="CZ864" s="61" t="e">
        <v>#N/A</v>
      </c>
      <c r="DA864" s="61" t="e">
        <v>#N/A</v>
      </c>
      <c r="DB864" s="61" t="e">
        <v>#N/A</v>
      </c>
      <c r="DC864" s="61" t="e">
        <v>#N/A</v>
      </c>
      <c r="DD864" s="61" t="e">
        <v>#N/A</v>
      </c>
      <c r="DE864" s="61" t="e">
        <v>#N/A</v>
      </c>
      <c r="DF864" s="61" t="e">
        <v>#N/A</v>
      </c>
      <c r="DG864" s="61" t="e">
        <v>#N/A</v>
      </c>
      <c r="DH864" s="61" t="e">
        <v>#N/A</v>
      </c>
      <c r="DI864" s="61" t="e">
        <v>#N/A</v>
      </c>
      <c r="DJ864" s="61" t="e">
        <v>#N/A</v>
      </c>
    </row>
    <row r="865" spans="14:114">
      <c r="N865" s="61" t="str">
        <f t="shared" si="122"/>
        <v/>
      </c>
      <c r="O865" s="53" t="str">
        <f t="shared" si="123"/>
        <v>click</v>
      </c>
      <c r="P865" s="61" t="str">
        <f t="shared" si="125"/>
        <v>();</v>
      </c>
      <c r="S865" s="61" t="str">
        <f t="shared" si="124"/>
        <v/>
      </c>
      <c r="CU865" s="61" t="e">
        <v>#N/A</v>
      </c>
      <c r="CV865" s="61" t="e">
        <v>#N/A</v>
      </c>
      <c r="CW865" s="61" t="e">
        <v>#N/A</v>
      </c>
      <c r="CX865" s="61" t="e">
        <v>#N/A</v>
      </c>
      <c r="CY865" s="61" t="e">
        <v>#N/A</v>
      </c>
      <c r="CZ865" s="61" t="e">
        <v>#N/A</v>
      </c>
      <c r="DA865" s="61" t="e">
        <v>#N/A</v>
      </c>
      <c r="DB865" s="61" t="e">
        <v>#N/A</v>
      </c>
      <c r="DC865" s="61" t="e">
        <v>#N/A</v>
      </c>
      <c r="DD865" s="61" t="e">
        <v>#N/A</v>
      </c>
      <c r="DE865" s="61" t="e">
        <v>#N/A</v>
      </c>
      <c r="DF865" s="61" t="e">
        <v>#N/A</v>
      </c>
      <c r="DG865" s="61" t="e">
        <v>#N/A</v>
      </c>
      <c r="DH865" s="61" t="e">
        <v>#N/A</v>
      </c>
      <c r="DI865" s="61" t="e">
        <v>#N/A</v>
      </c>
      <c r="DJ865" s="61" t="e">
        <v>#N/A</v>
      </c>
    </row>
    <row r="866" spans="14:114">
      <c r="N866" s="61" t="str">
        <f t="shared" si="122"/>
        <v/>
      </c>
      <c r="O866" s="53" t="str">
        <f t="shared" si="123"/>
        <v>click</v>
      </c>
      <c r="P866" s="61" t="str">
        <f t="shared" si="125"/>
        <v>();</v>
      </c>
      <c r="S866" s="61" t="str">
        <f t="shared" si="124"/>
        <v/>
      </c>
      <c r="CU866" s="61" t="e">
        <v>#N/A</v>
      </c>
      <c r="CV866" s="61" t="e">
        <v>#N/A</v>
      </c>
      <c r="CW866" s="61" t="e">
        <v>#N/A</v>
      </c>
      <c r="CX866" s="61" t="e">
        <v>#N/A</v>
      </c>
      <c r="CY866" s="61" t="e">
        <v>#N/A</v>
      </c>
      <c r="CZ866" s="61" t="e">
        <v>#N/A</v>
      </c>
      <c r="DA866" s="61" t="e">
        <v>#N/A</v>
      </c>
      <c r="DB866" s="61" t="e">
        <v>#N/A</v>
      </c>
      <c r="DC866" s="61" t="e">
        <v>#N/A</v>
      </c>
      <c r="DD866" s="61" t="e">
        <v>#N/A</v>
      </c>
      <c r="DE866" s="61" t="e">
        <v>#N/A</v>
      </c>
      <c r="DF866" s="61" t="e">
        <v>#N/A</v>
      </c>
      <c r="DG866" s="61" t="e">
        <v>#N/A</v>
      </c>
      <c r="DH866" s="61" t="e">
        <v>#N/A</v>
      </c>
      <c r="DI866" s="61" t="e">
        <v>#N/A</v>
      </c>
      <c r="DJ866" s="61" t="e">
        <v>#N/A</v>
      </c>
    </row>
    <row r="867" spans="14:114">
      <c r="N867" s="61" t="str">
        <f t="shared" si="122"/>
        <v/>
      </c>
      <c r="O867" s="53" t="str">
        <f t="shared" si="123"/>
        <v>click</v>
      </c>
      <c r="P867" s="61" t="str">
        <f t="shared" si="125"/>
        <v>();</v>
      </c>
      <c r="S867" s="61" t="str">
        <f t="shared" si="124"/>
        <v/>
      </c>
      <c r="CU867" s="61" t="e">
        <v>#N/A</v>
      </c>
      <c r="CV867" s="61" t="e">
        <v>#N/A</v>
      </c>
      <c r="CW867" s="61" t="e">
        <v>#N/A</v>
      </c>
      <c r="CX867" s="61" t="e">
        <v>#N/A</v>
      </c>
      <c r="CY867" s="61" t="e">
        <v>#N/A</v>
      </c>
      <c r="CZ867" s="61" t="e">
        <v>#N/A</v>
      </c>
      <c r="DA867" s="61" t="e">
        <v>#N/A</v>
      </c>
      <c r="DB867" s="61" t="e">
        <v>#N/A</v>
      </c>
      <c r="DC867" s="61" t="e">
        <v>#N/A</v>
      </c>
      <c r="DD867" s="61" t="e">
        <v>#N/A</v>
      </c>
      <c r="DE867" s="61" t="e">
        <v>#N/A</v>
      </c>
      <c r="DF867" s="61" t="e">
        <v>#N/A</v>
      </c>
      <c r="DG867" s="61" t="e">
        <v>#N/A</v>
      </c>
      <c r="DH867" s="61" t="e">
        <v>#N/A</v>
      </c>
      <c r="DI867" s="61" t="e">
        <v>#N/A</v>
      </c>
      <c r="DJ867" s="61" t="e">
        <v>#N/A</v>
      </c>
    </row>
    <row r="868" spans="14:114">
      <c r="N868" s="61" t="str">
        <f t="shared" si="122"/>
        <v/>
      </c>
      <c r="O868" s="53" t="str">
        <f t="shared" si="123"/>
        <v>click</v>
      </c>
      <c r="P868" s="61" t="str">
        <f t="shared" si="125"/>
        <v>();</v>
      </c>
      <c r="S868" s="61" t="str">
        <f t="shared" si="124"/>
        <v/>
      </c>
      <c r="CU868" s="61" t="e">
        <v>#N/A</v>
      </c>
      <c r="CV868" s="61" t="e">
        <v>#N/A</v>
      </c>
      <c r="CW868" s="61" t="e">
        <v>#N/A</v>
      </c>
      <c r="CX868" s="61" t="e">
        <v>#N/A</v>
      </c>
      <c r="CY868" s="61" t="e">
        <v>#N/A</v>
      </c>
      <c r="CZ868" s="61" t="e">
        <v>#N/A</v>
      </c>
      <c r="DA868" s="61" t="e">
        <v>#N/A</v>
      </c>
      <c r="DB868" s="61" t="e">
        <v>#N/A</v>
      </c>
      <c r="DC868" s="61" t="e">
        <v>#N/A</v>
      </c>
      <c r="DD868" s="61" t="e">
        <v>#N/A</v>
      </c>
      <c r="DE868" s="61" t="e">
        <v>#N/A</v>
      </c>
      <c r="DF868" s="61" t="e">
        <v>#N/A</v>
      </c>
      <c r="DG868" s="61" t="e">
        <v>#N/A</v>
      </c>
      <c r="DH868" s="61" t="e">
        <v>#N/A</v>
      </c>
      <c r="DI868" s="61" t="e">
        <v>#N/A</v>
      </c>
      <c r="DJ868" s="61" t="e">
        <v>#N/A</v>
      </c>
    </row>
    <row r="869" spans="14:114">
      <c r="N869" s="61" t="str">
        <f t="shared" si="122"/>
        <v/>
      </c>
      <c r="O869" s="53" t="str">
        <f t="shared" si="123"/>
        <v>click</v>
      </c>
      <c r="P869" s="61" t="str">
        <f t="shared" si="125"/>
        <v>();</v>
      </c>
      <c r="S869" s="61" t="str">
        <f t="shared" si="124"/>
        <v/>
      </c>
      <c r="CU869" s="61" t="e">
        <v>#N/A</v>
      </c>
      <c r="CV869" s="61" t="e">
        <v>#N/A</v>
      </c>
      <c r="CW869" s="61" t="e">
        <v>#N/A</v>
      </c>
      <c r="CX869" s="61" t="e">
        <v>#N/A</v>
      </c>
      <c r="CY869" s="61" t="e">
        <v>#N/A</v>
      </c>
      <c r="CZ869" s="61" t="e">
        <v>#N/A</v>
      </c>
      <c r="DA869" s="61" t="e">
        <v>#N/A</v>
      </c>
      <c r="DB869" s="61" t="e">
        <v>#N/A</v>
      </c>
      <c r="DC869" s="61" t="e">
        <v>#N/A</v>
      </c>
      <c r="DD869" s="61" t="e">
        <v>#N/A</v>
      </c>
      <c r="DE869" s="61" t="e">
        <v>#N/A</v>
      </c>
      <c r="DF869" s="61" t="e">
        <v>#N/A</v>
      </c>
      <c r="DG869" s="61" t="e">
        <v>#N/A</v>
      </c>
      <c r="DH869" s="61" t="e">
        <v>#N/A</v>
      </c>
      <c r="DI869" s="61" t="e">
        <v>#N/A</v>
      </c>
      <c r="DJ869" s="61" t="e">
        <v>#N/A</v>
      </c>
    </row>
    <row r="870" spans="14:114">
      <c r="N870" s="61" t="str">
        <f t="shared" si="122"/>
        <v/>
      </c>
      <c r="O870" s="53" t="str">
        <f t="shared" si="123"/>
        <v>click</v>
      </c>
      <c r="P870" s="61" t="str">
        <f t="shared" si="125"/>
        <v>();</v>
      </c>
      <c r="S870" s="61" t="str">
        <f t="shared" si="124"/>
        <v/>
      </c>
      <c r="CU870" s="61" t="e">
        <v>#N/A</v>
      </c>
      <c r="CV870" s="61" t="e">
        <v>#N/A</v>
      </c>
      <c r="CW870" s="61" t="e">
        <v>#N/A</v>
      </c>
      <c r="CX870" s="61" t="e">
        <v>#N/A</v>
      </c>
      <c r="CY870" s="61" t="e">
        <v>#N/A</v>
      </c>
      <c r="CZ870" s="61" t="e">
        <v>#N/A</v>
      </c>
      <c r="DA870" s="61" t="e">
        <v>#N/A</v>
      </c>
      <c r="DB870" s="61" t="e">
        <v>#N/A</v>
      </c>
      <c r="DC870" s="61" t="e">
        <v>#N/A</v>
      </c>
      <c r="DD870" s="61" t="e">
        <v>#N/A</v>
      </c>
      <c r="DE870" s="61" t="e">
        <v>#N/A</v>
      </c>
      <c r="DF870" s="61" t="e">
        <v>#N/A</v>
      </c>
      <c r="DG870" s="61" t="e">
        <v>#N/A</v>
      </c>
      <c r="DH870" s="61" t="e">
        <v>#N/A</v>
      </c>
      <c r="DI870" s="61" t="e">
        <v>#N/A</v>
      </c>
      <c r="DJ870" s="61" t="e">
        <v>#N/A</v>
      </c>
    </row>
    <row r="871" spans="14:114">
      <c r="N871" s="61" t="str">
        <f t="shared" si="122"/>
        <v/>
      </c>
      <c r="O871" s="53" t="str">
        <f t="shared" si="123"/>
        <v>click</v>
      </c>
      <c r="P871" s="61" t="str">
        <f t="shared" si="125"/>
        <v>();</v>
      </c>
      <c r="S871" s="61" t="str">
        <f t="shared" si="124"/>
        <v/>
      </c>
      <c r="CU871" s="61" t="e">
        <v>#N/A</v>
      </c>
      <c r="CV871" s="61" t="e">
        <v>#N/A</v>
      </c>
      <c r="CW871" s="61" t="e">
        <v>#N/A</v>
      </c>
      <c r="CX871" s="61" t="e">
        <v>#N/A</v>
      </c>
      <c r="CY871" s="61" t="e">
        <v>#N/A</v>
      </c>
      <c r="CZ871" s="61" t="e">
        <v>#N/A</v>
      </c>
      <c r="DA871" s="61" t="e">
        <v>#N/A</v>
      </c>
      <c r="DB871" s="61" t="e">
        <v>#N/A</v>
      </c>
      <c r="DC871" s="61" t="e">
        <v>#N/A</v>
      </c>
      <c r="DD871" s="61" t="e">
        <v>#N/A</v>
      </c>
      <c r="DE871" s="61" t="e">
        <v>#N/A</v>
      </c>
      <c r="DF871" s="61" t="e">
        <v>#N/A</v>
      </c>
      <c r="DG871" s="61" t="e">
        <v>#N/A</v>
      </c>
      <c r="DH871" s="61" t="e">
        <v>#N/A</v>
      </c>
      <c r="DI871" s="61" t="e">
        <v>#N/A</v>
      </c>
      <c r="DJ871" s="61" t="e">
        <v>#N/A</v>
      </c>
    </row>
    <row r="872" spans="14:114">
      <c r="N872" s="61" t="str">
        <f t="shared" si="122"/>
        <v/>
      </c>
      <c r="O872" s="53" t="str">
        <f t="shared" si="123"/>
        <v>click</v>
      </c>
      <c r="P872" s="61" t="str">
        <f t="shared" si="125"/>
        <v>();</v>
      </c>
      <c r="S872" s="61" t="str">
        <f t="shared" si="124"/>
        <v/>
      </c>
      <c r="CU872" s="61" t="e">
        <v>#N/A</v>
      </c>
      <c r="CV872" s="61" t="e">
        <v>#N/A</v>
      </c>
      <c r="CW872" s="61" t="e">
        <v>#N/A</v>
      </c>
      <c r="CX872" s="61" t="e">
        <v>#N/A</v>
      </c>
      <c r="CY872" s="61" t="e">
        <v>#N/A</v>
      </c>
      <c r="CZ872" s="61" t="e">
        <v>#N/A</v>
      </c>
      <c r="DA872" s="61" t="e">
        <v>#N/A</v>
      </c>
      <c r="DB872" s="61" t="e">
        <v>#N/A</v>
      </c>
      <c r="DC872" s="61" t="e">
        <v>#N/A</v>
      </c>
      <c r="DD872" s="61" t="e">
        <v>#N/A</v>
      </c>
      <c r="DE872" s="61" t="e">
        <v>#N/A</v>
      </c>
      <c r="DF872" s="61" t="e">
        <v>#N/A</v>
      </c>
      <c r="DG872" s="61" t="e">
        <v>#N/A</v>
      </c>
      <c r="DH872" s="61" t="e">
        <v>#N/A</v>
      </c>
      <c r="DI872" s="61" t="e">
        <v>#N/A</v>
      </c>
      <c r="DJ872" s="61" t="e">
        <v>#N/A</v>
      </c>
    </row>
    <row r="873" spans="14:114">
      <c r="N873" s="61" t="str">
        <f t="shared" si="122"/>
        <v/>
      </c>
      <c r="O873" s="53" t="str">
        <f t="shared" si="123"/>
        <v>click</v>
      </c>
      <c r="P873" s="61" t="str">
        <f t="shared" si="125"/>
        <v>();</v>
      </c>
      <c r="S873" s="61" t="str">
        <f t="shared" si="124"/>
        <v/>
      </c>
      <c r="CU873" s="61" t="e">
        <v>#N/A</v>
      </c>
      <c r="CV873" s="61" t="e">
        <v>#N/A</v>
      </c>
      <c r="CW873" s="61" t="e">
        <v>#N/A</v>
      </c>
      <c r="CX873" s="61" t="e">
        <v>#N/A</v>
      </c>
      <c r="CY873" s="61" t="e">
        <v>#N/A</v>
      </c>
      <c r="CZ873" s="61" t="e">
        <v>#N/A</v>
      </c>
      <c r="DA873" s="61" t="e">
        <v>#N/A</v>
      </c>
      <c r="DB873" s="61" t="e">
        <v>#N/A</v>
      </c>
      <c r="DC873" s="61" t="e">
        <v>#N/A</v>
      </c>
      <c r="DD873" s="61" t="e">
        <v>#N/A</v>
      </c>
      <c r="DE873" s="61" t="e">
        <v>#N/A</v>
      </c>
      <c r="DF873" s="61" t="e">
        <v>#N/A</v>
      </c>
      <c r="DG873" s="61" t="e">
        <v>#N/A</v>
      </c>
      <c r="DH873" s="61" t="e">
        <v>#N/A</v>
      </c>
      <c r="DI873" s="61" t="e">
        <v>#N/A</v>
      </c>
      <c r="DJ873" s="61" t="e">
        <v>#N/A</v>
      </c>
    </row>
    <row r="874" spans="14:114">
      <c r="N874" s="61" t="str">
        <f t="shared" si="122"/>
        <v/>
      </c>
      <c r="O874" s="53" t="str">
        <f t="shared" si="123"/>
        <v>click</v>
      </c>
      <c r="P874" s="61" t="str">
        <f t="shared" si="125"/>
        <v>();</v>
      </c>
      <c r="S874" s="61" t="str">
        <f t="shared" si="124"/>
        <v/>
      </c>
      <c r="CU874" s="61" t="e">
        <v>#N/A</v>
      </c>
      <c r="CV874" s="61" t="e">
        <v>#N/A</v>
      </c>
      <c r="CW874" s="61" t="e">
        <v>#N/A</v>
      </c>
      <c r="CX874" s="61" t="e">
        <v>#N/A</v>
      </c>
      <c r="CY874" s="61" t="e">
        <v>#N/A</v>
      </c>
      <c r="CZ874" s="61" t="e">
        <v>#N/A</v>
      </c>
      <c r="DA874" s="61" t="e">
        <v>#N/A</v>
      </c>
      <c r="DB874" s="61" t="e">
        <v>#N/A</v>
      </c>
      <c r="DC874" s="61" t="e">
        <v>#N/A</v>
      </c>
      <c r="DD874" s="61" t="e">
        <v>#N/A</v>
      </c>
      <c r="DE874" s="61" t="e">
        <v>#N/A</v>
      </c>
      <c r="DF874" s="61" t="e">
        <v>#N/A</v>
      </c>
      <c r="DG874" s="61" t="e">
        <v>#N/A</v>
      </c>
      <c r="DH874" s="61" t="e">
        <v>#N/A</v>
      </c>
      <c r="DI874" s="61" t="e">
        <v>#N/A</v>
      </c>
      <c r="DJ874" s="61" t="e">
        <v>#N/A</v>
      </c>
    </row>
    <row r="875" spans="14:114">
      <c r="N875" s="61" t="str">
        <f t="shared" si="122"/>
        <v/>
      </c>
      <c r="O875" s="53" t="str">
        <f t="shared" si="123"/>
        <v>click</v>
      </c>
      <c r="P875" s="61" t="str">
        <f t="shared" si="125"/>
        <v>();</v>
      </c>
      <c r="S875" s="61" t="str">
        <f t="shared" si="124"/>
        <v/>
      </c>
      <c r="CU875" s="61" t="e">
        <v>#N/A</v>
      </c>
      <c r="CV875" s="61" t="e">
        <v>#N/A</v>
      </c>
      <c r="CW875" s="61" t="e">
        <v>#N/A</v>
      </c>
      <c r="CX875" s="61" t="e">
        <v>#N/A</v>
      </c>
      <c r="CY875" s="61" t="e">
        <v>#N/A</v>
      </c>
      <c r="CZ875" s="61" t="e">
        <v>#N/A</v>
      </c>
      <c r="DA875" s="61" t="e">
        <v>#N/A</v>
      </c>
      <c r="DB875" s="61" t="e">
        <v>#N/A</v>
      </c>
      <c r="DC875" s="61" t="e">
        <v>#N/A</v>
      </c>
      <c r="DD875" s="61" t="e">
        <v>#N/A</v>
      </c>
      <c r="DE875" s="61" t="e">
        <v>#N/A</v>
      </c>
      <c r="DF875" s="61" t="e">
        <v>#N/A</v>
      </c>
      <c r="DG875" s="61" t="e">
        <v>#N/A</v>
      </c>
      <c r="DH875" s="61" t="e">
        <v>#N/A</v>
      </c>
      <c r="DI875" s="61" t="e">
        <v>#N/A</v>
      </c>
      <c r="DJ875" s="61" t="e">
        <v>#N/A</v>
      </c>
    </row>
    <row r="876" spans="14:114">
      <c r="N876" s="61" t="str">
        <f t="shared" si="122"/>
        <v/>
      </c>
      <c r="O876" s="53" t="str">
        <f t="shared" si="123"/>
        <v>click</v>
      </c>
      <c r="P876" s="61" t="str">
        <f t="shared" si="125"/>
        <v>();</v>
      </c>
      <c r="S876" s="61" t="str">
        <f t="shared" si="124"/>
        <v/>
      </c>
      <c r="CU876" s="61" t="e">
        <v>#N/A</v>
      </c>
      <c r="CV876" s="61" t="e">
        <v>#N/A</v>
      </c>
      <c r="CW876" s="61" t="e">
        <v>#N/A</v>
      </c>
      <c r="CX876" s="61" t="e">
        <v>#N/A</v>
      </c>
      <c r="CY876" s="61" t="e">
        <v>#N/A</v>
      </c>
      <c r="CZ876" s="61" t="e">
        <v>#N/A</v>
      </c>
      <c r="DA876" s="61" t="e">
        <v>#N/A</v>
      </c>
      <c r="DB876" s="61" t="e">
        <v>#N/A</v>
      </c>
      <c r="DC876" s="61" t="e">
        <v>#N/A</v>
      </c>
      <c r="DD876" s="61" t="e">
        <v>#N/A</v>
      </c>
      <c r="DE876" s="61" t="e">
        <v>#N/A</v>
      </c>
      <c r="DF876" s="61" t="e">
        <v>#N/A</v>
      </c>
      <c r="DG876" s="61" t="e">
        <v>#N/A</v>
      </c>
      <c r="DH876" s="61" t="e">
        <v>#N/A</v>
      </c>
      <c r="DI876" s="61" t="e">
        <v>#N/A</v>
      </c>
      <c r="DJ876" s="61" t="e">
        <v>#N/A</v>
      </c>
    </row>
    <row r="877" spans="14:114">
      <c r="N877" s="61" t="str">
        <f t="shared" si="122"/>
        <v/>
      </c>
      <c r="O877" s="53" t="str">
        <f t="shared" si="123"/>
        <v>click</v>
      </c>
      <c r="P877" s="61" t="str">
        <f t="shared" si="125"/>
        <v>();</v>
      </c>
      <c r="S877" s="61" t="str">
        <f t="shared" si="124"/>
        <v/>
      </c>
      <c r="CU877" s="61" t="e">
        <v>#N/A</v>
      </c>
      <c r="CV877" s="61" t="e">
        <v>#N/A</v>
      </c>
      <c r="CW877" s="61" t="e">
        <v>#N/A</v>
      </c>
      <c r="CX877" s="61" t="e">
        <v>#N/A</v>
      </c>
      <c r="CY877" s="61" t="e">
        <v>#N/A</v>
      </c>
      <c r="CZ877" s="61" t="e">
        <v>#N/A</v>
      </c>
      <c r="DA877" s="61" t="e">
        <v>#N/A</v>
      </c>
      <c r="DB877" s="61" t="e">
        <v>#N/A</v>
      </c>
      <c r="DC877" s="61" t="e">
        <v>#N/A</v>
      </c>
      <c r="DD877" s="61" t="e">
        <v>#N/A</v>
      </c>
      <c r="DE877" s="61" t="e">
        <v>#N/A</v>
      </c>
      <c r="DF877" s="61" t="e">
        <v>#N/A</v>
      </c>
      <c r="DG877" s="61" t="e">
        <v>#N/A</v>
      </c>
      <c r="DH877" s="61" t="e">
        <v>#N/A</v>
      </c>
      <c r="DI877" s="61" t="e">
        <v>#N/A</v>
      </c>
      <c r="DJ877" s="61" t="e">
        <v>#N/A</v>
      </c>
    </row>
    <row r="878" spans="14:114">
      <c r="N878" s="61" t="str">
        <f t="shared" si="122"/>
        <v/>
      </c>
      <c r="O878" s="53" t="str">
        <f t="shared" si="123"/>
        <v>click</v>
      </c>
      <c r="P878" s="61" t="str">
        <f t="shared" si="125"/>
        <v>();</v>
      </c>
      <c r="S878" s="61" t="str">
        <f t="shared" si="124"/>
        <v/>
      </c>
      <c r="CU878" s="61" t="e">
        <v>#N/A</v>
      </c>
      <c r="CV878" s="61" t="e">
        <v>#N/A</v>
      </c>
      <c r="CW878" s="61" t="e">
        <v>#N/A</v>
      </c>
      <c r="CX878" s="61" t="e">
        <v>#N/A</v>
      </c>
      <c r="CY878" s="61" t="e">
        <v>#N/A</v>
      </c>
      <c r="CZ878" s="61" t="e">
        <v>#N/A</v>
      </c>
      <c r="DA878" s="61" t="e">
        <v>#N/A</v>
      </c>
      <c r="DB878" s="61" t="e">
        <v>#N/A</v>
      </c>
      <c r="DC878" s="61" t="e">
        <v>#N/A</v>
      </c>
      <c r="DD878" s="61" t="e">
        <v>#N/A</v>
      </c>
      <c r="DE878" s="61" t="e">
        <v>#N/A</v>
      </c>
      <c r="DF878" s="61" t="e">
        <v>#N/A</v>
      </c>
      <c r="DG878" s="61" t="e">
        <v>#N/A</v>
      </c>
      <c r="DH878" s="61" t="e">
        <v>#N/A</v>
      </c>
      <c r="DI878" s="61" t="e">
        <v>#N/A</v>
      </c>
      <c r="DJ878" s="61" t="e">
        <v>#N/A</v>
      </c>
    </row>
    <row r="879" spans="14:114">
      <c r="N879" s="61" t="str">
        <f t="shared" si="122"/>
        <v/>
      </c>
      <c r="O879" s="53" t="str">
        <f t="shared" si="123"/>
        <v>click</v>
      </c>
      <c r="P879" s="61" t="str">
        <f t="shared" si="125"/>
        <v>();</v>
      </c>
      <c r="S879" s="61" t="str">
        <f t="shared" si="124"/>
        <v/>
      </c>
      <c r="CU879" s="61" t="e">
        <v>#N/A</v>
      </c>
      <c r="CV879" s="61" t="e">
        <v>#N/A</v>
      </c>
      <c r="CW879" s="61" t="e">
        <v>#N/A</v>
      </c>
      <c r="CX879" s="61" t="e">
        <v>#N/A</v>
      </c>
      <c r="CY879" s="61" t="e">
        <v>#N/A</v>
      </c>
      <c r="CZ879" s="61" t="e">
        <v>#N/A</v>
      </c>
      <c r="DA879" s="61" t="e">
        <v>#N/A</v>
      </c>
      <c r="DB879" s="61" t="e">
        <v>#N/A</v>
      </c>
      <c r="DC879" s="61" t="e">
        <v>#N/A</v>
      </c>
      <c r="DD879" s="61" t="e">
        <v>#N/A</v>
      </c>
      <c r="DE879" s="61" t="e">
        <v>#N/A</v>
      </c>
      <c r="DF879" s="61" t="e">
        <v>#N/A</v>
      </c>
      <c r="DG879" s="61" t="e">
        <v>#N/A</v>
      </c>
      <c r="DH879" s="61" t="e">
        <v>#N/A</v>
      </c>
      <c r="DI879" s="61" t="e">
        <v>#N/A</v>
      </c>
      <c r="DJ879" s="61" t="e">
        <v>#N/A</v>
      </c>
    </row>
    <row r="880" spans="14:114">
      <c r="N880" s="61" t="str">
        <f t="shared" si="122"/>
        <v/>
      </c>
      <c r="O880" s="53" t="str">
        <f t="shared" si="123"/>
        <v>click</v>
      </c>
      <c r="P880" s="61" t="str">
        <f t="shared" si="125"/>
        <v>();</v>
      </c>
      <c r="S880" s="61" t="str">
        <f t="shared" si="124"/>
        <v/>
      </c>
      <c r="CU880" s="61" t="e">
        <v>#N/A</v>
      </c>
      <c r="CV880" s="61" t="e">
        <v>#N/A</v>
      </c>
      <c r="CW880" s="61" t="e">
        <v>#N/A</v>
      </c>
      <c r="CX880" s="61" t="e">
        <v>#N/A</v>
      </c>
      <c r="CY880" s="61" t="e">
        <v>#N/A</v>
      </c>
      <c r="CZ880" s="61" t="e">
        <v>#N/A</v>
      </c>
      <c r="DA880" s="61" t="e">
        <v>#N/A</v>
      </c>
      <c r="DB880" s="61" t="e">
        <v>#N/A</v>
      </c>
      <c r="DC880" s="61" t="e">
        <v>#N/A</v>
      </c>
      <c r="DD880" s="61" t="e">
        <v>#N/A</v>
      </c>
      <c r="DE880" s="61" t="e">
        <v>#N/A</v>
      </c>
      <c r="DF880" s="61" t="e">
        <v>#N/A</v>
      </c>
      <c r="DG880" s="61" t="e">
        <v>#N/A</v>
      </c>
      <c r="DH880" s="61" t="e">
        <v>#N/A</v>
      </c>
      <c r="DI880" s="61" t="e">
        <v>#N/A</v>
      </c>
      <c r="DJ880" s="61" t="e">
        <v>#N/A</v>
      </c>
    </row>
    <row r="881" spans="14:114">
      <c r="N881" s="61" t="str">
        <f t="shared" si="122"/>
        <v/>
      </c>
      <c r="O881" s="53" t="str">
        <f t="shared" si="123"/>
        <v>click</v>
      </c>
      <c r="P881" s="61" t="str">
        <f t="shared" si="125"/>
        <v>();</v>
      </c>
      <c r="S881" s="61" t="str">
        <f t="shared" si="124"/>
        <v/>
      </c>
      <c r="CU881" s="61" t="e">
        <v>#N/A</v>
      </c>
      <c r="CV881" s="61" t="e">
        <v>#N/A</v>
      </c>
      <c r="CW881" s="61" t="e">
        <v>#N/A</v>
      </c>
      <c r="CX881" s="61" t="e">
        <v>#N/A</v>
      </c>
      <c r="CY881" s="61" t="e">
        <v>#N/A</v>
      </c>
      <c r="CZ881" s="61" t="e">
        <v>#N/A</v>
      </c>
      <c r="DA881" s="61" t="e">
        <v>#N/A</v>
      </c>
      <c r="DB881" s="61" t="e">
        <v>#N/A</v>
      </c>
      <c r="DC881" s="61" t="e">
        <v>#N/A</v>
      </c>
      <c r="DD881" s="61" t="e">
        <v>#N/A</v>
      </c>
      <c r="DE881" s="61" t="e">
        <v>#N/A</v>
      </c>
      <c r="DF881" s="61" t="e">
        <v>#N/A</v>
      </c>
      <c r="DG881" s="61" t="e">
        <v>#N/A</v>
      </c>
      <c r="DH881" s="61" t="e">
        <v>#N/A</v>
      </c>
      <c r="DI881" s="61" t="e">
        <v>#N/A</v>
      </c>
      <c r="DJ881" s="61" t="e">
        <v>#N/A</v>
      </c>
    </row>
    <row r="882" spans="14:114">
      <c r="N882" s="61" t="str">
        <f t="shared" si="122"/>
        <v/>
      </c>
      <c r="O882" s="53" t="str">
        <f t="shared" si="123"/>
        <v>click</v>
      </c>
      <c r="P882" s="61" t="str">
        <f t="shared" si="125"/>
        <v>();</v>
      </c>
      <c r="S882" s="61" t="str">
        <f t="shared" si="124"/>
        <v/>
      </c>
      <c r="CU882" s="61" t="e">
        <v>#N/A</v>
      </c>
      <c r="CV882" s="61" t="e">
        <v>#N/A</v>
      </c>
      <c r="CW882" s="61" t="e">
        <v>#N/A</v>
      </c>
      <c r="CX882" s="61" t="e">
        <v>#N/A</v>
      </c>
      <c r="CY882" s="61" t="e">
        <v>#N/A</v>
      </c>
      <c r="CZ882" s="61" t="e">
        <v>#N/A</v>
      </c>
      <c r="DA882" s="61" t="e">
        <v>#N/A</v>
      </c>
      <c r="DB882" s="61" t="e">
        <v>#N/A</v>
      </c>
      <c r="DC882" s="61" t="e">
        <v>#N/A</v>
      </c>
      <c r="DD882" s="61" t="e">
        <v>#N/A</v>
      </c>
      <c r="DE882" s="61" t="e">
        <v>#N/A</v>
      </c>
      <c r="DF882" s="61" t="e">
        <v>#N/A</v>
      </c>
      <c r="DG882" s="61" t="e">
        <v>#N/A</v>
      </c>
      <c r="DH882" s="61" t="e">
        <v>#N/A</v>
      </c>
      <c r="DI882" s="61" t="e">
        <v>#N/A</v>
      </c>
      <c r="DJ882" s="61" t="e">
        <v>#N/A</v>
      </c>
    </row>
    <row r="883" spans="14:114">
      <c r="N883" s="61" t="str">
        <f t="shared" si="122"/>
        <v/>
      </c>
      <c r="O883" s="53" t="str">
        <f t="shared" si="123"/>
        <v>click</v>
      </c>
      <c r="P883" s="61" t="str">
        <f t="shared" si="125"/>
        <v>();</v>
      </c>
      <c r="S883" s="61" t="str">
        <f t="shared" si="124"/>
        <v/>
      </c>
      <c r="CU883" s="61" t="e">
        <v>#N/A</v>
      </c>
      <c r="CV883" s="61" t="e">
        <v>#N/A</v>
      </c>
      <c r="CW883" s="61" t="e">
        <v>#N/A</v>
      </c>
      <c r="CX883" s="61" t="e">
        <v>#N/A</v>
      </c>
      <c r="CY883" s="61" t="e">
        <v>#N/A</v>
      </c>
      <c r="CZ883" s="61" t="e">
        <v>#N/A</v>
      </c>
      <c r="DA883" s="61" t="e">
        <v>#N/A</v>
      </c>
      <c r="DB883" s="61" t="e">
        <v>#N/A</v>
      </c>
      <c r="DC883" s="61" t="e">
        <v>#N/A</v>
      </c>
      <c r="DD883" s="61" t="e">
        <v>#N/A</v>
      </c>
      <c r="DE883" s="61" t="e">
        <v>#N/A</v>
      </c>
      <c r="DF883" s="61" t="e">
        <v>#N/A</v>
      </c>
      <c r="DG883" s="61" t="e">
        <v>#N/A</v>
      </c>
      <c r="DH883" s="61" t="e">
        <v>#N/A</v>
      </c>
      <c r="DI883" s="61" t="e">
        <v>#N/A</v>
      </c>
      <c r="DJ883" s="61" t="e">
        <v>#N/A</v>
      </c>
    </row>
    <row r="884" spans="14:114">
      <c r="N884" s="61" t="str">
        <f t="shared" si="122"/>
        <v/>
      </c>
      <c r="O884" s="53" t="str">
        <f t="shared" si="123"/>
        <v>click</v>
      </c>
      <c r="P884" s="61" t="str">
        <f t="shared" si="125"/>
        <v>();</v>
      </c>
      <c r="S884" s="61" t="str">
        <f t="shared" si="124"/>
        <v/>
      </c>
      <c r="CU884" s="61" t="e">
        <v>#N/A</v>
      </c>
      <c r="CV884" s="61" t="e">
        <v>#N/A</v>
      </c>
      <c r="CW884" s="61" t="e">
        <v>#N/A</v>
      </c>
      <c r="CX884" s="61" t="e">
        <v>#N/A</v>
      </c>
      <c r="CY884" s="61" t="e">
        <v>#N/A</v>
      </c>
      <c r="CZ884" s="61" t="e">
        <v>#N/A</v>
      </c>
      <c r="DA884" s="61" t="e">
        <v>#N/A</v>
      </c>
      <c r="DB884" s="61" t="e">
        <v>#N/A</v>
      </c>
      <c r="DC884" s="61" t="e">
        <v>#N/A</v>
      </c>
      <c r="DD884" s="61" t="e">
        <v>#N/A</v>
      </c>
      <c r="DE884" s="61" t="e">
        <v>#N/A</v>
      </c>
      <c r="DF884" s="61" t="e">
        <v>#N/A</v>
      </c>
      <c r="DG884" s="61" t="e">
        <v>#N/A</v>
      </c>
      <c r="DH884" s="61" t="e">
        <v>#N/A</v>
      </c>
      <c r="DI884" s="61" t="e">
        <v>#N/A</v>
      </c>
      <c r="DJ884" s="61" t="e">
        <v>#N/A</v>
      </c>
    </row>
    <row r="885" spans="14:114">
      <c r="N885" s="61" t="str">
        <f t="shared" si="122"/>
        <v/>
      </c>
      <c r="O885" s="53" t="str">
        <f t="shared" si="123"/>
        <v>click</v>
      </c>
      <c r="P885" s="61" t="str">
        <f t="shared" si="125"/>
        <v>();</v>
      </c>
      <c r="S885" s="61" t="str">
        <f t="shared" si="124"/>
        <v/>
      </c>
      <c r="CU885" s="61" t="e">
        <v>#N/A</v>
      </c>
      <c r="CV885" s="61" t="e">
        <v>#N/A</v>
      </c>
      <c r="CW885" s="61" t="e">
        <v>#N/A</v>
      </c>
      <c r="CX885" s="61" t="e">
        <v>#N/A</v>
      </c>
      <c r="CY885" s="61" t="e">
        <v>#N/A</v>
      </c>
      <c r="CZ885" s="61" t="e">
        <v>#N/A</v>
      </c>
      <c r="DA885" s="61" t="e">
        <v>#N/A</v>
      </c>
      <c r="DB885" s="61" t="e">
        <v>#N/A</v>
      </c>
      <c r="DC885" s="61" t="e">
        <v>#N/A</v>
      </c>
      <c r="DD885" s="61" t="e">
        <v>#N/A</v>
      </c>
      <c r="DE885" s="61" t="e">
        <v>#N/A</v>
      </c>
      <c r="DF885" s="61" t="e">
        <v>#N/A</v>
      </c>
      <c r="DG885" s="61" t="e">
        <v>#N/A</v>
      </c>
      <c r="DH885" s="61" t="e">
        <v>#N/A</v>
      </c>
      <c r="DI885" s="61" t="e">
        <v>#N/A</v>
      </c>
      <c r="DJ885" s="61" t="e">
        <v>#N/A</v>
      </c>
    </row>
    <row r="886" spans="14:114">
      <c r="N886" s="61" t="str">
        <f t="shared" si="122"/>
        <v/>
      </c>
      <c r="O886" s="53" t="str">
        <f t="shared" si="123"/>
        <v>click</v>
      </c>
      <c r="P886" s="61" t="str">
        <f t="shared" si="125"/>
        <v>();</v>
      </c>
      <c r="S886" s="61" t="str">
        <f t="shared" si="124"/>
        <v/>
      </c>
      <c r="CU886" s="61" t="e">
        <v>#N/A</v>
      </c>
      <c r="CV886" s="61" t="e">
        <v>#N/A</v>
      </c>
      <c r="CW886" s="61" t="e">
        <v>#N/A</v>
      </c>
      <c r="CX886" s="61" t="e">
        <v>#N/A</v>
      </c>
      <c r="CY886" s="61" t="e">
        <v>#N/A</v>
      </c>
      <c r="CZ886" s="61" t="e">
        <v>#N/A</v>
      </c>
      <c r="DA886" s="61" t="e">
        <v>#N/A</v>
      </c>
      <c r="DB886" s="61" t="e">
        <v>#N/A</v>
      </c>
      <c r="DC886" s="61" t="e">
        <v>#N/A</v>
      </c>
      <c r="DD886" s="61" t="e">
        <v>#N/A</v>
      </c>
      <c r="DE886" s="61" t="e">
        <v>#N/A</v>
      </c>
      <c r="DF886" s="61" t="e">
        <v>#N/A</v>
      </c>
      <c r="DG886" s="61" t="e">
        <v>#N/A</v>
      </c>
      <c r="DH886" s="61" t="e">
        <v>#N/A</v>
      </c>
      <c r="DI886" s="61" t="e">
        <v>#N/A</v>
      </c>
      <c r="DJ886" s="61" t="e">
        <v>#N/A</v>
      </c>
    </row>
    <row r="887" spans="14:114">
      <c r="N887" s="61" t="str">
        <f t="shared" si="122"/>
        <v/>
      </c>
      <c r="O887" s="53" t="str">
        <f t="shared" si="123"/>
        <v>click</v>
      </c>
      <c r="P887" s="61" t="str">
        <f t="shared" si="125"/>
        <v>();</v>
      </c>
      <c r="S887" s="61" t="str">
        <f t="shared" si="124"/>
        <v/>
      </c>
      <c r="CU887" s="61" t="e">
        <v>#N/A</v>
      </c>
      <c r="CV887" s="61" t="e">
        <v>#N/A</v>
      </c>
      <c r="CW887" s="61" t="e">
        <v>#N/A</v>
      </c>
      <c r="CX887" s="61" t="e">
        <v>#N/A</v>
      </c>
      <c r="CY887" s="61" t="e">
        <v>#N/A</v>
      </c>
      <c r="CZ887" s="61" t="e">
        <v>#N/A</v>
      </c>
      <c r="DA887" s="61" t="e">
        <v>#N/A</v>
      </c>
      <c r="DB887" s="61" t="e">
        <v>#N/A</v>
      </c>
      <c r="DC887" s="61" t="e">
        <v>#N/A</v>
      </c>
      <c r="DD887" s="61" t="e">
        <v>#N/A</v>
      </c>
      <c r="DE887" s="61" t="e">
        <v>#N/A</v>
      </c>
      <c r="DF887" s="61" t="e">
        <v>#N/A</v>
      </c>
      <c r="DG887" s="61" t="e">
        <v>#N/A</v>
      </c>
      <c r="DH887" s="61" t="e">
        <v>#N/A</v>
      </c>
      <c r="DI887" s="61" t="e">
        <v>#N/A</v>
      </c>
      <c r="DJ887" s="61" t="e">
        <v>#N/A</v>
      </c>
    </row>
    <row r="888" spans="14:114">
      <c r="N888" s="61" t="str">
        <f t="shared" si="122"/>
        <v/>
      </c>
      <c r="O888" s="53" t="str">
        <f t="shared" si="123"/>
        <v>click</v>
      </c>
      <c r="P888" s="61" t="str">
        <f t="shared" si="125"/>
        <v>();</v>
      </c>
      <c r="S888" s="61" t="str">
        <f t="shared" si="124"/>
        <v/>
      </c>
      <c r="CU888" s="61" t="e">
        <v>#N/A</v>
      </c>
      <c r="CV888" s="61" t="e">
        <v>#N/A</v>
      </c>
      <c r="CW888" s="61" t="e">
        <v>#N/A</v>
      </c>
      <c r="CX888" s="61" t="e">
        <v>#N/A</v>
      </c>
      <c r="CY888" s="61" t="e">
        <v>#N/A</v>
      </c>
      <c r="CZ888" s="61" t="e">
        <v>#N/A</v>
      </c>
      <c r="DA888" s="61" t="e">
        <v>#N/A</v>
      </c>
      <c r="DB888" s="61" t="e">
        <v>#N/A</v>
      </c>
      <c r="DC888" s="61" t="e">
        <v>#N/A</v>
      </c>
      <c r="DD888" s="61" t="e">
        <v>#N/A</v>
      </c>
      <c r="DE888" s="61" t="e">
        <v>#N/A</v>
      </c>
      <c r="DF888" s="61" t="e">
        <v>#N/A</v>
      </c>
      <c r="DG888" s="61" t="e">
        <v>#N/A</v>
      </c>
      <c r="DH888" s="61" t="e">
        <v>#N/A</v>
      </c>
      <c r="DI888" s="61" t="e">
        <v>#N/A</v>
      </c>
      <c r="DJ888" s="61" t="e">
        <v>#N/A</v>
      </c>
    </row>
    <row r="889" spans="14:114">
      <c r="N889" s="61" t="str">
        <f t="shared" si="122"/>
        <v/>
      </c>
      <c r="O889" s="53" t="str">
        <f t="shared" si="123"/>
        <v>click</v>
      </c>
      <c r="P889" s="61" t="str">
        <f t="shared" si="125"/>
        <v>();</v>
      </c>
      <c r="S889" s="61" t="str">
        <f t="shared" si="124"/>
        <v/>
      </c>
      <c r="CU889" s="61" t="e">
        <v>#N/A</v>
      </c>
      <c r="CV889" s="61" t="e">
        <v>#N/A</v>
      </c>
      <c r="CW889" s="61" t="e">
        <v>#N/A</v>
      </c>
      <c r="CX889" s="61" t="e">
        <v>#N/A</v>
      </c>
      <c r="CY889" s="61" t="e">
        <v>#N/A</v>
      </c>
      <c r="CZ889" s="61" t="e">
        <v>#N/A</v>
      </c>
      <c r="DA889" s="61" t="e">
        <v>#N/A</v>
      </c>
      <c r="DB889" s="61" t="e">
        <v>#N/A</v>
      </c>
      <c r="DC889" s="61" t="e">
        <v>#N/A</v>
      </c>
      <c r="DD889" s="61" t="e">
        <v>#N/A</v>
      </c>
      <c r="DE889" s="61" t="e">
        <v>#N/A</v>
      </c>
      <c r="DF889" s="61" t="e">
        <v>#N/A</v>
      </c>
      <c r="DG889" s="61" t="e">
        <v>#N/A</v>
      </c>
      <c r="DH889" s="61" t="e">
        <v>#N/A</v>
      </c>
      <c r="DI889" s="61" t="e">
        <v>#N/A</v>
      </c>
      <c r="DJ889" s="61" t="e">
        <v>#N/A</v>
      </c>
    </row>
    <row r="890" spans="14:114">
      <c r="N890" s="61" t="str">
        <f t="shared" si="122"/>
        <v/>
      </c>
      <c r="O890" s="53" t="str">
        <f t="shared" si="123"/>
        <v>click</v>
      </c>
      <c r="P890" s="61" t="str">
        <f t="shared" si="125"/>
        <v>();</v>
      </c>
      <c r="S890" s="61" t="str">
        <f t="shared" si="124"/>
        <v/>
      </c>
      <c r="CU890" s="61" t="e">
        <v>#N/A</v>
      </c>
      <c r="CV890" s="61" t="e">
        <v>#N/A</v>
      </c>
      <c r="CW890" s="61" t="e">
        <v>#N/A</v>
      </c>
      <c r="CX890" s="61" t="e">
        <v>#N/A</v>
      </c>
      <c r="CY890" s="61" t="e">
        <v>#N/A</v>
      </c>
      <c r="CZ890" s="61" t="e">
        <v>#N/A</v>
      </c>
      <c r="DA890" s="61" t="e">
        <v>#N/A</v>
      </c>
      <c r="DB890" s="61" t="e">
        <v>#N/A</v>
      </c>
      <c r="DC890" s="61" t="e">
        <v>#N/A</v>
      </c>
      <c r="DD890" s="61" t="e">
        <v>#N/A</v>
      </c>
      <c r="DE890" s="61" t="e">
        <v>#N/A</v>
      </c>
      <c r="DF890" s="61" t="e">
        <v>#N/A</v>
      </c>
      <c r="DG890" s="61" t="e">
        <v>#N/A</v>
      </c>
      <c r="DH890" s="61" t="e">
        <v>#N/A</v>
      </c>
      <c r="DI890" s="61" t="e">
        <v>#N/A</v>
      </c>
      <c r="DJ890" s="61" t="e">
        <v>#N/A</v>
      </c>
    </row>
    <row r="891" spans="14:114">
      <c r="N891" s="61" t="str">
        <f t="shared" si="122"/>
        <v/>
      </c>
      <c r="O891" s="53" t="str">
        <f t="shared" si="123"/>
        <v>click</v>
      </c>
      <c r="P891" s="61" t="str">
        <f t="shared" si="125"/>
        <v>();</v>
      </c>
      <c r="S891" s="61" t="str">
        <f t="shared" si="124"/>
        <v/>
      </c>
      <c r="CU891" s="61" t="e">
        <v>#N/A</v>
      </c>
      <c r="CV891" s="61" t="e">
        <v>#N/A</v>
      </c>
      <c r="CW891" s="61" t="e">
        <v>#N/A</v>
      </c>
      <c r="CX891" s="61" t="e">
        <v>#N/A</v>
      </c>
      <c r="CY891" s="61" t="e">
        <v>#N/A</v>
      </c>
      <c r="CZ891" s="61" t="e">
        <v>#N/A</v>
      </c>
      <c r="DA891" s="61" t="e">
        <v>#N/A</v>
      </c>
      <c r="DB891" s="61" t="e">
        <v>#N/A</v>
      </c>
      <c r="DC891" s="61" t="e">
        <v>#N/A</v>
      </c>
      <c r="DD891" s="61" t="e">
        <v>#N/A</v>
      </c>
      <c r="DE891" s="61" t="e">
        <v>#N/A</v>
      </c>
      <c r="DF891" s="61" t="e">
        <v>#N/A</v>
      </c>
      <c r="DG891" s="61" t="e">
        <v>#N/A</v>
      </c>
      <c r="DH891" s="61" t="e">
        <v>#N/A</v>
      </c>
      <c r="DI891" s="61" t="e">
        <v>#N/A</v>
      </c>
      <c r="DJ891" s="61" t="e">
        <v>#N/A</v>
      </c>
    </row>
    <row r="892" spans="14:114">
      <c r="N892" s="61" t="str">
        <f t="shared" si="122"/>
        <v/>
      </c>
      <c r="O892" s="53" t="str">
        <f t="shared" si="123"/>
        <v>click</v>
      </c>
      <c r="P892" s="61" t="str">
        <f t="shared" si="125"/>
        <v>();</v>
      </c>
      <c r="S892" s="61" t="str">
        <f t="shared" si="124"/>
        <v/>
      </c>
      <c r="CU892" s="61" t="e">
        <v>#N/A</v>
      </c>
      <c r="CV892" s="61" t="e">
        <v>#N/A</v>
      </c>
      <c r="CW892" s="61" t="e">
        <v>#N/A</v>
      </c>
      <c r="CX892" s="61" t="e">
        <v>#N/A</v>
      </c>
      <c r="CY892" s="61" t="e">
        <v>#N/A</v>
      </c>
      <c r="CZ892" s="61" t="e">
        <v>#N/A</v>
      </c>
      <c r="DA892" s="61" t="e">
        <v>#N/A</v>
      </c>
      <c r="DB892" s="61" t="e">
        <v>#N/A</v>
      </c>
      <c r="DC892" s="61" t="e">
        <v>#N/A</v>
      </c>
      <c r="DD892" s="61" t="e">
        <v>#N/A</v>
      </c>
      <c r="DE892" s="61" t="e">
        <v>#N/A</v>
      </c>
      <c r="DF892" s="61" t="e">
        <v>#N/A</v>
      </c>
      <c r="DG892" s="61" t="e">
        <v>#N/A</v>
      </c>
      <c r="DH892" s="61" t="e">
        <v>#N/A</v>
      </c>
      <c r="DI892" s="61" t="e">
        <v>#N/A</v>
      </c>
      <c r="DJ892" s="61" t="e">
        <v>#N/A</v>
      </c>
    </row>
    <row r="893" spans="14:114">
      <c r="N893" s="61" t="str">
        <f t="shared" si="122"/>
        <v/>
      </c>
      <c r="O893" s="53" t="str">
        <f t="shared" si="123"/>
        <v>click</v>
      </c>
      <c r="P893" s="61" t="str">
        <f t="shared" si="125"/>
        <v>();</v>
      </c>
      <c r="S893" s="61" t="str">
        <f t="shared" si="124"/>
        <v/>
      </c>
      <c r="CU893" s="61" t="e">
        <v>#N/A</v>
      </c>
      <c r="CV893" s="61" t="e">
        <v>#N/A</v>
      </c>
      <c r="CW893" s="61" t="e">
        <v>#N/A</v>
      </c>
      <c r="CX893" s="61" t="e">
        <v>#N/A</v>
      </c>
      <c r="CY893" s="61" t="e">
        <v>#N/A</v>
      </c>
      <c r="CZ893" s="61" t="e">
        <v>#N/A</v>
      </c>
      <c r="DA893" s="61" t="e">
        <v>#N/A</v>
      </c>
      <c r="DB893" s="61" t="e">
        <v>#N/A</v>
      </c>
      <c r="DC893" s="61" t="e">
        <v>#N/A</v>
      </c>
      <c r="DD893" s="61" t="e">
        <v>#N/A</v>
      </c>
      <c r="DE893" s="61" t="e">
        <v>#N/A</v>
      </c>
      <c r="DF893" s="61" t="e">
        <v>#N/A</v>
      </c>
      <c r="DG893" s="61" t="e">
        <v>#N/A</v>
      </c>
      <c r="DH893" s="61" t="e">
        <v>#N/A</v>
      </c>
      <c r="DI893" s="61" t="e">
        <v>#N/A</v>
      </c>
      <c r="DJ893" s="61" t="e">
        <v>#N/A</v>
      </c>
    </row>
    <row r="894" spans="14:114">
      <c r="N894" s="61" t="str">
        <f t="shared" si="122"/>
        <v/>
      </c>
      <c r="O894" s="53" t="str">
        <f t="shared" si="123"/>
        <v>click</v>
      </c>
      <c r="P894" s="61" t="str">
        <f t="shared" si="125"/>
        <v>();</v>
      </c>
      <c r="S894" s="61" t="str">
        <f t="shared" si="124"/>
        <v/>
      </c>
      <c r="CU894" s="61" t="e">
        <v>#N/A</v>
      </c>
      <c r="CV894" s="61" t="e">
        <v>#N/A</v>
      </c>
      <c r="CW894" s="61" t="e">
        <v>#N/A</v>
      </c>
      <c r="CX894" s="61" t="e">
        <v>#N/A</v>
      </c>
      <c r="CY894" s="61" t="e">
        <v>#N/A</v>
      </c>
      <c r="CZ894" s="61" t="e">
        <v>#N/A</v>
      </c>
      <c r="DA894" s="61" t="e">
        <v>#N/A</v>
      </c>
      <c r="DB894" s="61" t="e">
        <v>#N/A</v>
      </c>
      <c r="DC894" s="61" t="e">
        <v>#N/A</v>
      </c>
      <c r="DD894" s="61" t="e">
        <v>#N/A</v>
      </c>
      <c r="DE894" s="61" t="e">
        <v>#N/A</v>
      </c>
      <c r="DF894" s="61" t="e">
        <v>#N/A</v>
      </c>
      <c r="DG894" s="61" t="e">
        <v>#N/A</v>
      </c>
      <c r="DH894" s="61" t="e">
        <v>#N/A</v>
      </c>
      <c r="DI894" s="61" t="e">
        <v>#N/A</v>
      </c>
      <c r="DJ894" s="61" t="e">
        <v>#N/A</v>
      </c>
    </row>
    <row r="895" spans="14:114">
      <c r="N895" s="61" t="str">
        <f t="shared" si="122"/>
        <v/>
      </c>
      <c r="O895" s="53" t="str">
        <f t="shared" si="123"/>
        <v>click</v>
      </c>
      <c r="P895" s="61" t="str">
        <f t="shared" si="125"/>
        <v>();</v>
      </c>
      <c r="S895" s="61" t="str">
        <f t="shared" si="124"/>
        <v/>
      </c>
      <c r="CU895" s="61" t="e">
        <v>#N/A</v>
      </c>
      <c r="CV895" s="61" t="e">
        <v>#N/A</v>
      </c>
      <c r="CW895" s="61" t="e">
        <v>#N/A</v>
      </c>
      <c r="CX895" s="61" t="e">
        <v>#N/A</v>
      </c>
      <c r="CY895" s="61" t="e">
        <v>#N/A</v>
      </c>
      <c r="CZ895" s="61" t="e">
        <v>#N/A</v>
      </c>
      <c r="DA895" s="61" t="e">
        <v>#N/A</v>
      </c>
      <c r="DB895" s="61" t="e">
        <v>#N/A</v>
      </c>
      <c r="DC895" s="61" t="e">
        <v>#N/A</v>
      </c>
      <c r="DD895" s="61" t="e">
        <v>#N/A</v>
      </c>
      <c r="DE895" s="61" t="e">
        <v>#N/A</v>
      </c>
      <c r="DF895" s="61" t="e">
        <v>#N/A</v>
      </c>
      <c r="DG895" s="61" t="e">
        <v>#N/A</v>
      </c>
      <c r="DH895" s="61" t="e">
        <v>#N/A</v>
      </c>
      <c r="DI895" s="61" t="e">
        <v>#N/A</v>
      </c>
      <c r="DJ895" s="61" t="e">
        <v>#N/A</v>
      </c>
    </row>
    <row r="896" spans="14:114">
      <c r="N896" s="61" t="str">
        <f t="shared" si="122"/>
        <v/>
      </c>
      <c r="O896" s="53" t="str">
        <f t="shared" si="123"/>
        <v>click</v>
      </c>
      <c r="P896" s="61" t="str">
        <f t="shared" si="125"/>
        <v>();</v>
      </c>
      <c r="S896" s="61" t="str">
        <f t="shared" si="124"/>
        <v/>
      </c>
      <c r="CU896" s="61" t="e">
        <v>#N/A</v>
      </c>
      <c r="CV896" s="61" t="e">
        <v>#N/A</v>
      </c>
      <c r="CW896" s="61" t="e">
        <v>#N/A</v>
      </c>
      <c r="CX896" s="61" t="e">
        <v>#N/A</v>
      </c>
      <c r="CY896" s="61" t="e">
        <v>#N/A</v>
      </c>
      <c r="CZ896" s="61" t="e">
        <v>#N/A</v>
      </c>
      <c r="DA896" s="61" t="e">
        <v>#N/A</v>
      </c>
      <c r="DB896" s="61" t="e">
        <v>#N/A</v>
      </c>
      <c r="DC896" s="61" t="e">
        <v>#N/A</v>
      </c>
      <c r="DD896" s="61" t="e">
        <v>#N/A</v>
      </c>
      <c r="DE896" s="61" t="e">
        <v>#N/A</v>
      </c>
      <c r="DF896" s="61" t="e">
        <v>#N/A</v>
      </c>
      <c r="DG896" s="61" t="e">
        <v>#N/A</v>
      </c>
      <c r="DH896" s="61" t="e">
        <v>#N/A</v>
      </c>
      <c r="DI896" s="61" t="e">
        <v>#N/A</v>
      </c>
      <c r="DJ896" s="61" t="e">
        <v>#N/A</v>
      </c>
    </row>
    <row r="897" spans="14:114">
      <c r="N897" s="61" t="str">
        <f t="shared" si="122"/>
        <v/>
      </c>
      <c r="O897" s="53" t="str">
        <f t="shared" si="123"/>
        <v>click</v>
      </c>
      <c r="P897" s="61" t="str">
        <f t="shared" si="125"/>
        <v>();</v>
      </c>
      <c r="S897" s="61" t="str">
        <f t="shared" si="124"/>
        <v/>
      </c>
      <c r="CU897" s="61" t="e">
        <v>#N/A</v>
      </c>
      <c r="CV897" s="61" t="e">
        <v>#N/A</v>
      </c>
      <c r="CW897" s="61" t="e">
        <v>#N/A</v>
      </c>
      <c r="CX897" s="61" t="e">
        <v>#N/A</v>
      </c>
      <c r="CY897" s="61" t="e">
        <v>#N/A</v>
      </c>
      <c r="CZ897" s="61" t="e">
        <v>#N/A</v>
      </c>
      <c r="DA897" s="61" t="e">
        <v>#N/A</v>
      </c>
      <c r="DB897" s="61" t="e">
        <v>#N/A</v>
      </c>
      <c r="DC897" s="61" t="e">
        <v>#N/A</v>
      </c>
      <c r="DD897" s="61" t="e">
        <v>#N/A</v>
      </c>
      <c r="DE897" s="61" t="e">
        <v>#N/A</v>
      </c>
      <c r="DF897" s="61" t="e">
        <v>#N/A</v>
      </c>
      <c r="DG897" s="61" t="e">
        <v>#N/A</v>
      </c>
      <c r="DH897" s="61" t="e">
        <v>#N/A</v>
      </c>
      <c r="DI897" s="61" t="e">
        <v>#N/A</v>
      </c>
      <c r="DJ897" s="61" t="e">
        <v>#N/A</v>
      </c>
    </row>
    <row r="898" spans="14:114">
      <c r="N898" s="61" t="str">
        <f t="shared" si="122"/>
        <v/>
      </c>
      <c r="O898" s="53" t="str">
        <f t="shared" si="123"/>
        <v>click</v>
      </c>
      <c r="P898" s="61" t="str">
        <f t="shared" si="125"/>
        <v>();</v>
      </c>
      <c r="S898" s="61" t="str">
        <f t="shared" si="124"/>
        <v/>
      </c>
      <c r="CU898" s="61" t="e">
        <v>#N/A</v>
      </c>
      <c r="CV898" s="61" t="e">
        <v>#N/A</v>
      </c>
      <c r="CW898" s="61" t="e">
        <v>#N/A</v>
      </c>
      <c r="CX898" s="61" t="e">
        <v>#N/A</v>
      </c>
      <c r="CY898" s="61" t="e">
        <v>#N/A</v>
      </c>
      <c r="CZ898" s="61" t="e">
        <v>#N/A</v>
      </c>
      <c r="DA898" s="61" t="e">
        <v>#N/A</v>
      </c>
      <c r="DB898" s="61" t="e">
        <v>#N/A</v>
      </c>
      <c r="DC898" s="61" t="e">
        <v>#N/A</v>
      </c>
      <c r="DD898" s="61" t="e">
        <v>#N/A</v>
      </c>
      <c r="DE898" s="61" t="e">
        <v>#N/A</v>
      </c>
      <c r="DF898" s="61" t="e">
        <v>#N/A</v>
      </c>
      <c r="DG898" s="61" t="e">
        <v>#N/A</v>
      </c>
      <c r="DH898" s="61" t="e">
        <v>#N/A</v>
      </c>
      <c r="DI898" s="61" t="e">
        <v>#N/A</v>
      </c>
      <c r="DJ898" s="61" t="e">
        <v>#N/A</v>
      </c>
    </row>
    <row r="899" spans="14:114">
      <c r="N899" s="61" t="str">
        <f t="shared" si="122"/>
        <v/>
      </c>
      <c r="O899" s="53" t="str">
        <f t="shared" si="123"/>
        <v>click</v>
      </c>
      <c r="P899" s="61" t="str">
        <f t="shared" si="125"/>
        <v>();</v>
      </c>
      <c r="S899" s="61" t="str">
        <f t="shared" si="124"/>
        <v/>
      </c>
      <c r="CU899" s="61" t="e">
        <v>#N/A</v>
      </c>
      <c r="CV899" s="61" t="e">
        <v>#N/A</v>
      </c>
      <c r="CW899" s="61" t="e">
        <v>#N/A</v>
      </c>
      <c r="CX899" s="61" t="e">
        <v>#N/A</v>
      </c>
      <c r="CY899" s="61" t="e">
        <v>#N/A</v>
      </c>
      <c r="CZ899" s="61" t="e">
        <v>#N/A</v>
      </c>
      <c r="DA899" s="61" t="e">
        <v>#N/A</v>
      </c>
      <c r="DB899" s="61" t="e">
        <v>#N/A</v>
      </c>
      <c r="DC899" s="61" t="e">
        <v>#N/A</v>
      </c>
      <c r="DD899" s="61" t="e">
        <v>#N/A</v>
      </c>
      <c r="DE899" s="61" t="e">
        <v>#N/A</v>
      </c>
      <c r="DF899" s="61" t="e">
        <v>#N/A</v>
      </c>
      <c r="DG899" s="61" t="e">
        <v>#N/A</v>
      </c>
      <c r="DH899" s="61" t="e">
        <v>#N/A</v>
      </c>
      <c r="DI899" s="61" t="e">
        <v>#N/A</v>
      </c>
      <c r="DJ899" s="61" t="e">
        <v>#N/A</v>
      </c>
    </row>
    <row r="900" spans="14:114">
      <c r="N900" s="61" t="str">
        <f t="shared" si="122"/>
        <v/>
      </c>
      <c r="O900" s="53" t="str">
        <f t="shared" si="123"/>
        <v>click</v>
      </c>
      <c r="P900" s="61" t="str">
        <f t="shared" si="125"/>
        <v>();</v>
      </c>
      <c r="S900" s="61" t="str">
        <f t="shared" si="124"/>
        <v/>
      </c>
      <c r="CU900" s="61" t="e">
        <v>#N/A</v>
      </c>
      <c r="CV900" s="61" t="e">
        <v>#N/A</v>
      </c>
      <c r="CW900" s="61" t="e">
        <v>#N/A</v>
      </c>
      <c r="CX900" s="61" t="e">
        <v>#N/A</v>
      </c>
      <c r="CY900" s="61" t="e">
        <v>#N/A</v>
      </c>
      <c r="CZ900" s="61" t="e">
        <v>#N/A</v>
      </c>
      <c r="DA900" s="61" t="e">
        <v>#N/A</v>
      </c>
      <c r="DB900" s="61" t="e">
        <v>#N/A</v>
      </c>
      <c r="DC900" s="61" t="e">
        <v>#N/A</v>
      </c>
      <c r="DD900" s="61" t="e">
        <v>#N/A</v>
      </c>
      <c r="DE900" s="61" t="e">
        <v>#N/A</v>
      </c>
      <c r="DF900" s="61" t="e">
        <v>#N/A</v>
      </c>
      <c r="DG900" s="61" t="e">
        <v>#N/A</v>
      </c>
      <c r="DH900" s="61" t="e">
        <v>#N/A</v>
      </c>
      <c r="DI900" s="61" t="e">
        <v>#N/A</v>
      </c>
      <c r="DJ900" s="61" t="e">
        <v>#N/A</v>
      </c>
    </row>
    <row r="901" spans="14:114">
      <c r="N901" s="61" t="str">
        <f t="shared" ref="N901:N964" si="126">IF(A901="Y",""""&amp;C901&amp;""""&amp;": "&amp;M901&amp;",","")</f>
        <v/>
      </c>
      <c r="O901" s="53" t="str">
        <f t="shared" ref="O901:O964" si="127">IF(D901="input","fill",IF(I901&lt;&gt;"","innerText",IF(J901="Y",$T$110,"click")))</f>
        <v>click</v>
      </c>
      <c r="P901" s="61" t="str">
        <f t="shared" si="125"/>
        <v>();</v>
      </c>
      <c r="S901" s="61" t="str">
        <f t="shared" ref="S901:S964" si="128">IF(O901="innerText",I901&amp;"="&amp;IF(C901="Y",IF(J901&lt;&gt;"Y",$S$9&amp;$R$10&amp;"."&amp;E901&amp;")."&amp;IF(OR(O901="click",O901="innerText"),O901&amp;"();",O901&amp;"("&amp;$Q$9&amp;"."&amp;E901&amp;");"),$S$110&amp;$R$10&amp;"."&amp;E901&amp;")."&amp;IF(O901="click",O901&amp;"();",O901&amp;"("&amp;"'"&amp;K901&amp;"'"&amp;");")),""),IF(C901="Y",IF(J901&lt;&gt;"Y",$S$9&amp;$R$10&amp;"."&amp;E901&amp;")."&amp;IF(OR(O901="click",O901="innerText"),O901&amp;"();",O901&amp;"("&amp;$Q$9&amp;"."&amp;E901&amp;");"),$S$110&amp;$R$10&amp;"."&amp;E901&amp;")."&amp;IF(O901="click",O901&amp;"();",O901&amp;"("&amp;"'"&amp;K901&amp;"'"&amp;");")),""))</f>
        <v/>
      </c>
      <c r="CU901" s="61" t="e">
        <v>#N/A</v>
      </c>
      <c r="CV901" s="61" t="e">
        <v>#N/A</v>
      </c>
      <c r="CW901" s="61" t="e">
        <v>#N/A</v>
      </c>
      <c r="CX901" s="61" t="e">
        <v>#N/A</v>
      </c>
      <c r="CY901" s="61" t="e">
        <v>#N/A</v>
      </c>
      <c r="CZ901" s="61" t="e">
        <v>#N/A</v>
      </c>
      <c r="DA901" s="61" t="e">
        <v>#N/A</v>
      </c>
      <c r="DB901" s="61" t="e">
        <v>#N/A</v>
      </c>
      <c r="DC901" s="61" t="e">
        <v>#N/A</v>
      </c>
      <c r="DD901" s="61" t="e">
        <v>#N/A</v>
      </c>
      <c r="DE901" s="61" t="e">
        <v>#N/A</v>
      </c>
      <c r="DF901" s="61" t="e">
        <v>#N/A</v>
      </c>
      <c r="DG901" s="61" t="e">
        <v>#N/A</v>
      </c>
      <c r="DH901" s="61" t="e">
        <v>#N/A</v>
      </c>
      <c r="DI901" s="61" t="e">
        <v>#N/A</v>
      </c>
      <c r="DJ901" s="61" t="e">
        <v>#N/A</v>
      </c>
    </row>
    <row r="902" spans="14:114">
      <c r="N902" s="61" t="str">
        <f t="shared" si="126"/>
        <v/>
      </c>
      <c r="O902" s="53" t="str">
        <f t="shared" si="127"/>
        <v>click</v>
      </c>
      <c r="P902" s="61" t="str">
        <f t="shared" si="125"/>
        <v>();</v>
      </c>
      <c r="S902" s="61" t="str">
        <f t="shared" si="128"/>
        <v/>
      </c>
      <c r="CU902" s="61" t="e">
        <v>#N/A</v>
      </c>
      <c r="CV902" s="61" t="e">
        <v>#N/A</v>
      </c>
      <c r="CW902" s="61" t="e">
        <v>#N/A</v>
      </c>
      <c r="CX902" s="61" t="e">
        <v>#N/A</v>
      </c>
      <c r="CY902" s="61" t="e">
        <v>#N/A</v>
      </c>
      <c r="CZ902" s="61" t="e">
        <v>#N/A</v>
      </c>
      <c r="DA902" s="61" t="e">
        <v>#N/A</v>
      </c>
      <c r="DB902" s="61" t="e">
        <v>#N/A</v>
      </c>
      <c r="DC902" s="61" t="e">
        <v>#N/A</v>
      </c>
      <c r="DD902" s="61" t="e">
        <v>#N/A</v>
      </c>
      <c r="DE902" s="61" t="e">
        <v>#N/A</v>
      </c>
      <c r="DF902" s="61" t="e">
        <v>#N/A</v>
      </c>
      <c r="DG902" s="61" t="e">
        <v>#N/A</v>
      </c>
      <c r="DH902" s="61" t="e">
        <v>#N/A</v>
      </c>
      <c r="DI902" s="61" t="e">
        <v>#N/A</v>
      </c>
      <c r="DJ902" s="61" t="e">
        <v>#N/A</v>
      </c>
    </row>
    <row r="903" spans="14:114">
      <c r="N903" s="61" t="str">
        <f t="shared" si="126"/>
        <v/>
      </c>
      <c r="O903" s="53" t="str">
        <f t="shared" si="127"/>
        <v>click</v>
      </c>
      <c r="P903" s="61" t="str">
        <f t="shared" si="125"/>
        <v>();</v>
      </c>
      <c r="S903" s="61" t="str">
        <f t="shared" si="128"/>
        <v/>
      </c>
      <c r="CU903" s="61" t="e">
        <v>#N/A</v>
      </c>
      <c r="CV903" s="61" t="e">
        <v>#N/A</v>
      </c>
      <c r="CW903" s="61" t="e">
        <v>#N/A</v>
      </c>
      <c r="CX903" s="61" t="e">
        <v>#N/A</v>
      </c>
      <c r="CY903" s="61" t="e">
        <v>#N/A</v>
      </c>
      <c r="CZ903" s="61" t="e">
        <v>#N/A</v>
      </c>
      <c r="DA903" s="61" t="e">
        <v>#N/A</v>
      </c>
      <c r="DB903" s="61" t="e">
        <v>#N/A</v>
      </c>
      <c r="DC903" s="61" t="e">
        <v>#N/A</v>
      </c>
      <c r="DD903" s="61" t="e">
        <v>#N/A</v>
      </c>
      <c r="DE903" s="61" t="e">
        <v>#N/A</v>
      </c>
      <c r="DF903" s="61" t="e">
        <v>#N/A</v>
      </c>
      <c r="DG903" s="61" t="e">
        <v>#N/A</v>
      </c>
      <c r="DH903" s="61" t="e">
        <v>#N/A</v>
      </c>
      <c r="DI903" s="61" t="e">
        <v>#N/A</v>
      </c>
      <c r="DJ903" s="61" t="e">
        <v>#N/A</v>
      </c>
    </row>
    <row r="904" spans="14:114">
      <c r="N904" s="61" t="str">
        <f t="shared" si="126"/>
        <v/>
      </c>
      <c r="O904" s="53" t="str">
        <f t="shared" si="127"/>
        <v>click</v>
      </c>
      <c r="P904" s="61" t="str">
        <f t="shared" si="125"/>
        <v>();</v>
      </c>
      <c r="S904" s="61" t="str">
        <f t="shared" si="128"/>
        <v/>
      </c>
      <c r="CU904" s="61" t="e">
        <v>#N/A</v>
      </c>
      <c r="CV904" s="61" t="e">
        <v>#N/A</v>
      </c>
      <c r="CW904" s="61" t="e">
        <v>#N/A</v>
      </c>
      <c r="CX904" s="61" t="e">
        <v>#N/A</v>
      </c>
      <c r="CY904" s="61" t="e">
        <v>#N/A</v>
      </c>
      <c r="CZ904" s="61" t="e">
        <v>#N/A</v>
      </c>
      <c r="DA904" s="61" t="e">
        <v>#N/A</v>
      </c>
      <c r="DB904" s="61" t="e">
        <v>#N/A</v>
      </c>
      <c r="DC904" s="61" t="e">
        <v>#N/A</v>
      </c>
      <c r="DD904" s="61" t="e">
        <v>#N/A</v>
      </c>
      <c r="DE904" s="61" t="e">
        <v>#N/A</v>
      </c>
      <c r="DF904" s="61" t="e">
        <v>#N/A</v>
      </c>
      <c r="DG904" s="61" t="e">
        <v>#N/A</v>
      </c>
      <c r="DH904" s="61" t="e">
        <v>#N/A</v>
      </c>
      <c r="DI904" s="61" t="e">
        <v>#N/A</v>
      </c>
      <c r="DJ904" s="61" t="e">
        <v>#N/A</v>
      </c>
    </row>
    <row r="905" spans="14:114">
      <c r="N905" s="61" t="str">
        <f t="shared" si="126"/>
        <v/>
      </c>
      <c r="O905" s="53" t="str">
        <f t="shared" si="127"/>
        <v>click</v>
      </c>
      <c r="P905" s="61" t="str">
        <f t="shared" si="125"/>
        <v>();</v>
      </c>
      <c r="S905" s="61" t="str">
        <f t="shared" si="128"/>
        <v/>
      </c>
      <c r="CU905" s="61" t="e">
        <v>#N/A</v>
      </c>
      <c r="CV905" s="61" t="e">
        <v>#N/A</v>
      </c>
      <c r="CW905" s="61" t="e">
        <v>#N/A</v>
      </c>
      <c r="CX905" s="61" t="e">
        <v>#N/A</v>
      </c>
      <c r="CY905" s="61" t="e">
        <v>#N/A</v>
      </c>
      <c r="CZ905" s="61" t="e">
        <v>#N/A</v>
      </c>
      <c r="DA905" s="61" t="e">
        <v>#N/A</v>
      </c>
      <c r="DB905" s="61" t="e">
        <v>#N/A</v>
      </c>
      <c r="DC905" s="61" t="e">
        <v>#N/A</v>
      </c>
      <c r="DD905" s="61" t="e">
        <v>#N/A</v>
      </c>
      <c r="DE905" s="61" t="e">
        <v>#N/A</v>
      </c>
      <c r="DF905" s="61" t="e">
        <v>#N/A</v>
      </c>
      <c r="DG905" s="61" t="e">
        <v>#N/A</v>
      </c>
      <c r="DH905" s="61" t="e">
        <v>#N/A</v>
      </c>
      <c r="DI905" s="61" t="e">
        <v>#N/A</v>
      </c>
      <c r="DJ905" s="61" t="e">
        <v>#N/A</v>
      </c>
    </row>
    <row r="906" spans="14:114">
      <c r="N906" s="61" t="str">
        <f t="shared" si="126"/>
        <v/>
      </c>
      <c r="O906" s="53" t="str">
        <f t="shared" si="127"/>
        <v>click</v>
      </c>
      <c r="P906" s="61" t="str">
        <f t="shared" si="125"/>
        <v>();</v>
      </c>
      <c r="S906" s="61" t="str">
        <f t="shared" si="128"/>
        <v/>
      </c>
      <c r="CU906" s="61" t="e">
        <v>#N/A</v>
      </c>
      <c r="CV906" s="61" t="e">
        <v>#N/A</v>
      </c>
      <c r="CW906" s="61" t="e">
        <v>#N/A</v>
      </c>
      <c r="CX906" s="61" t="e">
        <v>#N/A</v>
      </c>
      <c r="CY906" s="61" t="e">
        <v>#N/A</v>
      </c>
      <c r="CZ906" s="61" t="e">
        <v>#N/A</v>
      </c>
      <c r="DA906" s="61" t="e">
        <v>#N/A</v>
      </c>
      <c r="DB906" s="61" t="e">
        <v>#N/A</v>
      </c>
      <c r="DC906" s="61" t="e">
        <v>#N/A</v>
      </c>
      <c r="DD906" s="61" t="e">
        <v>#N/A</v>
      </c>
      <c r="DE906" s="61" t="e">
        <v>#N/A</v>
      </c>
      <c r="DF906" s="61" t="e">
        <v>#N/A</v>
      </c>
      <c r="DG906" s="61" t="e">
        <v>#N/A</v>
      </c>
      <c r="DH906" s="61" t="e">
        <v>#N/A</v>
      </c>
      <c r="DI906" s="61" t="e">
        <v>#N/A</v>
      </c>
      <c r="DJ906" s="61" t="e">
        <v>#N/A</v>
      </c>
    </row>
    <row r="907" spans="14:114">
      <c r="N907" s="61" t="str">
        <f t="shared" si="126"/>
        <v/>
      </c>
      <c r="O907" s="53" t="str">
        <f t="shared" si="127"/>
        <v>click</v>
      </c>
      <c r="P907" s="61" t="str">
        <f t="shared" si="125"/>
        <v>();</v>
      </c>
      <c r="S907" s="61" t="str">
        <f t="shared" si="128"/>
        <v/>
      </c>
      <c r="CU907" s="61" t="e">
        <v>#N/A</v>
      </c>
      <c r="CV907" s="61" t="e">
        <v>#N/A</v>
      </c>
      <c r="CW907" s="61" t="e">
        <v>#N/A</v>
      </c>
      <c r="CX907" s="61" t="e">
        <v>#N/A</v>
      </c>
      <c r="CY907" s="61" t="e">
        <v>#N/A</v>
      </c>
      <c r="CZ907" s="61" t="e">
        <v>#N/A</v>
      </c>
      <c r="DA907" s="61" t="e">
        <v>#N/A</v>
      </c>
      <c r="DB907" s="61" t="e">
        <v>#N/A</v>
      </c>
      <c r="DC907" s="61" t="e">
        <v>#N/A</v>
      </c>
      <c r="DD907" s="61" t="e">
        <v>#N/A</v>
      </c>
      <c r="DE907" s="61" t="e">
        <v>#N/A</v>
      </c>
      <c r="DF907" s="61" t="e">
        <v>#N/A</v>
      </c>
      <c r="DG907" s="61" t="e">
        <v>#N/A</v>
      </c>
      <c r="DH907" s="61" t="e">
        <v>#N/A</v>
      </c>
      <c r="DI907" s="61" t="e">
        <v>#N/A</v>
      </c>
      <c r="DJ907" s="61" t="e">
        <v>#N/A</v>
      </c>
    </row>
    <row r="908" spans="14:114">
      <c r="N908" s="61" t="str">
        <f t="shared" si="126"/>
        <v/>
      </c>
      <c r="O908" s="53" t="str">
        <f t="shared" si="127"/>
        <v>click</v>
      </c>
      <c r="P908" s="61" t="str">
        <f t="shared" ref="P908:P971" si="129">IF(OR(O908="Click",O908="innerText"),"();","("&amp;""""&amp;K908&amp;""""&amp;");")</f>
        <v>();</v>
      </c>
      <c r="S908" s="61" t="str">
        <f t="shared" si="128"/>
        <v/>
      </c>
      <c r="CU908" s="61" t="e">
        <v>#N/A</v>
      </c>
      <c r="CV908" s="61" t="e">
        <v>#N/A</v>
      </c>
      <c r="CW908" s="61" t="e">
        <v>#N/A</v>
      </c>
      <c r="CX908" s="61" t="e">
        <v>#N/A</v>
      </c>
      <c r="CY908" s="61" t="e">
        <v>#N/A</v>
      </c>
      <c r="CZ908" s="61" t="e">
        <v>#N/A</v>
      </c>
      <c r="DA908" s="61" t="e">
        <v>#N/A</v>
      </c>
      <c r="DB908" s="61" t="e">
        <v>#N/A</v>
      </c>
      <c r="DC908" s="61" t="e">
        <v>#N/A</v>
      </c>
      <c r="DD908" s="61" t="e">
        <v>#N/A</v>
      </c>
      <c r="DE908" s="61" t="e">
        <v>#N/A</v>
      </c>
      <c r="DF908" s="61" t="e">
        <v>#N/A</v>
      </c>
      <c r="DG908" s="61" t="e">
        <v>#N/A</v>
      </c>
      <c r="DH908" s="61" t="e">
        <v>#N/A</v>
      </c>
      <c r="DI908" s="61" t="e">
        <v>#N/A</v>
      </c>
      <c r="DJ908" s="61" t="e">
        <v>#N/A</v>
      </c>
    </row>
    <row r="909" spans="14:114">
      <c r="N909" s="61" t="str">
        <f t="shared" si="126"/>
        <v/>
      </c>
      <c r="O909" s="53" t="str">
        <f t="shared" si="127"/>
        <v>click</v>
      </c>
      <c r="P909" s="61" t="str">
        <f t="shared" si="129"/>
        <v>();</v>
      </c>
      <c r="S909" s="61" t="str">
        <f t="shared" si="128"/>
        <v/>
      </c>
      <c r="CU909" s="61" t="e">
        <v>#N/A</v>
      </c>
      <c r="CV909" s="61" t="e">
        <v>#N/A</v>
      </c>
      <c r="CW909" s="61" t="e">
        <v>#N/A</v>
      </c>
      <c r="CX909" s="61" t="e">
        <v>#N/A</v>
      </c>
      <c r="CY909" s="61" t="e">
        <v>#N/A</v>
      </c>
      <c r="CZ909" s="61" t="e">
        <v>#N/A</v>
      </c>
      <c r="DA909" s="61" t="e">
        <v>#N/A</v>
      </c>
      <c r="DB909" s="61" t="e">
        <v>#N/A</v>
      </c>
      <c r="DC909" s="61" t="e">
        <v>#N/A</v>
      </c>
      <c r="DD909" s="61" t="e">
        <v>#N/A</v>
      </c>
      <c r="DE909" s="61" t="e">
        <v>#N/A</v>
      </c>
      <c r="DF909" s="61" t="e">
        <v>#N/A</v>
      </c>
      <c r="DG909" s="61" t="e">
        <v>#N/A</v>
      </c>
      <c r="DH909" s="61" t="e">
        <v>#N/A</v>
      </c>
      <c r="DI909" s="61" t="e">
        <v>#N/A</v>
      </c>
      <c r="DJ909" s="61" t="e">
        <v>#N/A</v>
      </c>
    </row>
    <row r="910" spans="14:114">
      <c r="N910" s="61" t="str">
        <f t="shared" si="126"/>
        <v/>
      </c>
      <c r="O910" s="53" t="str">
        <f t="shared" si="127"/>
        <v>click</v>
      </c>
      <c r="P910" s="61" t="str">
        <f t="shared" si="129"/>
        <v>();</v>
      </c>
      <c r="S910" s="61" t="str">
        <f t="shared" si="128"/>
        <v/>
      </c>
      <c r="CU910" s="61" t="e">
        <v>#N/A</v>
      </c>
      <c r="CV910" s="61" t="e">
        <v>#N/A</v>
      </c>
      <c r="CW910" s="61" t="e">
        <v>#N/A</v>
      </c>
      <c r="CX910" s="61" t="e">
        <v>#N/A</v>
      </c>
      <c r="CY910" s="61" t="e">
        <v>#N/A</v>
      </c>
      <c r="CZ910" s="61" t="e">
        <v>#N/A</v>
      </c>
      <c r="DA910" s="61" t="e">
        <v>#N/A</v>
      </c>
      <c r="DB910" s="61" t="e">
        <v>#N/A</v>
      </c>
      <c r="DC910" s="61" t="e">
        <v>#N/A</v>
      </c>
      <c r="DD910" s="61" t="e">
        <v>#N/A</v>
      </c>
      <c r="DE910" s="61" t="e">
        <v>#N/A</v>
      </c>
      <c r="DF910" s="61" t="e">
        <v>#N/A</v>
      </c>
      <c r="DG910" s="61" t="e">
        <v>#N/A</v>
      </c>
      <c r="DH910" s="61" t="e">
        <v>#N/A</v>
      </c>
      <c r="DI910" s="61" t="e">
        <v>#N/A</v>
      </c>
      <c r="DJ910" s="61" t="e">
        <v>#N/A</v>
      </c>
    </row>
    <row r="911" spans="14:114">
      <c r="N911" s="61" t="str">
        <f t="shared" si="126"/>
        <v/>
      </c>
      <c r="O911" s="53" t="str">
        <f t="shared" si="127"/>
        <v>click</v>
      </c>
      <c r="P911" s="61" t="str">
        <f t="shared" si="129"/>
        <v>();</v>
      </c>
      <c r="S911" s="61" t="str">
        <f t="shared" si="128"/>
        <v/>
      </c>
      <c r="CU911" s="61" t="e">
        <v>#N/A</v>
      </c>
      <c r="CV911" s="61" t="e">
        <v>#N/A</v>
      </c>
      <c r="CW911" s="61" t="e">
        <v>#N/A</v>
      </c>
      <c r="CX911" s="61" t="e">
        <v>#N/A</v>
      </c>
      <c r="CY911" s="61" t="e">
        <v>#N/A</v>
      </c>
      <c r="CZ911" s="61" t="e">
        <v>#N/A</v>
      </c>
      <c r="DA911" s="61" t="e">
        <v>#N/A</v>
      </c>
      <c r="DB911" s="61" t="e">
        <v>#N/A</v>
      </c>
      <c r="DC911" s="61" t="e">
        <v>#N/A</v>
      </c>
      <c r="DD911" s="61" t="e">
        <v>#N/A</v>
      </c>
      <c r="DE911" s="61" t="e">
        <v>#N/A</v>
      </c>
      <c r="DF911" s="61" t="e">
        <v>#N/A</v>
      </c>
      <c r="DG911" s="61" t="e">
        <v>#N/A</v>
      </c>
      <c r="DH911" s="61" t="e">
        <v>#N/A</v>
      </c>
      <c r="DI911" s="61" t="e">
        <v>#N/A</v>
      </c>
      <c r="DJ911" s="61" t="e">
        <v>#N/A</v>
      </c>
    </row>
    <row r="912" spans="14:114">
      <c r="N912" s="61" t="str">
        <f t="shared" si="126"/>
        <v/>
      </c>
      <c r="O912" s="53" t="str">
        <f t="shared" si="127"/>
        <v>click</v>
      </c>
      <c r="P912" s="61" t="str">
        <f t="shared" si="129"/>
        <v>();</v>
      </c>
      <c r="S912" s="61" t="str">
        <f t="shared" si="128"/>
        <v/>
      </c>
      <c r="CU912" s="61" t="e">
        <v>#N/A</v>
      </c>
      <c r="CV912" s="61" t="e">
        <v>#N/A</v>
      </c>
      <c r="CW912" s="61" t="e">
        <v>#N/A</v>
      </c>
      <c r="CX912" s="61" t="e">
        <v>#N/A</v>
      </c>
      <c r="CY912" s="61" t="e">
        <v>#N/A</v>
      </c>
      <c r="CZ912" s="61" t="e">
        <v>#N/A</v>
      </c>
      <c r="DA912" s="61" t="e">
        <v>#N/A</v>
      </c>
      <c r="DB912" s="61" t="e">
        <v>#N/A</v>
      </c>
      <c r="DC912" s="61" t="e">
        <v>#N/A</v>
      </c>
      <c r="DD912" s="61" t="e">
        <v>#N/A</v>
      </c>
      <c r="DE912" s="61" t="e">
        <v>#N/A</v>
      </c>
      <c r="DF912" s="61" t="e">
        <v>#N/A</v>
      </c>
      <c r="DG912" s="61" t="e">
        <v>#N/A</v>
      </c>
      <c r="DH912" s="61" t="e">
        <v>#N/A</v>
      </c>
      <c r="DI912" s="61" t="e">
        <v>#N/A</v>
      </c>
      <c r="DJ912" s="61" t="e">
        <v>#N/A</v>
      </c>
    </row>
    <row r="913" spans="14:114">
      <c r="N913" s="61" t="str">
        <f t="shared" si="126"/>
        <v/>
      </c>
      <c r="O913" s="53" t="str">
        <f t="shared" si="127"/>
        <v>click</v>
      </c>
      <c r="P913" s="61" t="str">
        <f t="shared" si="129"/>
        <v>();</v>
      </c>
      <c r="S913" s="61" t="str">
        <f t="shared" si="128"/>
        <v/>
      </c>
      <c r="CU913" s="61" t="e">
        <v>#N/A</v>
      </c>
      <c r="CV913" s="61" t="e">
        <v>#N/A</v>
      </c>
      <c r="CW913" s="61" t="e">
        <v>#N/A</v>
      </c>
      <c r="CX913" s="61" t="e">
        <v>#N/A</v>
      </c>
      <c r="CY913" s="61" t="e">
        <v>#N/A</v>
      </c>
      <c r="CZ913" s="61" t="e">
        <v>#N/A</v>
      </c>
      <c r="DA913" s="61" t="e">
        <v>#N/A</v>
      </c>
      <c r="DB913" s="61" t="e">
        <v>#N/A</v>
      </c>
      <c r="DC913" s="61" t="e">
        <v>#N/A</v>
      </c>
      <c r="DD913" s="61" t="e">
        <v>#N/A</v>
      </c>
      <c r="DE913" s="61" t="e">
        <v>#N/A</v>
      </c>
      <c r="DF913" s="61" t="e">
        <v>#N/A</v>
      </c>
      <c r="DG913" s="61" t="e">
        <v>#N/A</v>
      </c>
      <c r="DH913" s="61" t="e">
        <v>#N/A</v>
      </c>
      <c r="DI913" s="61" t="e">
        <v>#N/A</v>
      </c>
      <c r="DJ913" s="61" t="e">
        <v>#N/A</v>
      </c>
    </row>
    <row r="914" spans="14:114">
      <c r="N914" s="61" t="str">
        <f t="shared" si="126"/>
        <v/>
      </c>
      <c r="O914" s="53" t="str">
        <f t="shared" si="127"/>
        <v>click</v>
      </c>
      <c r="P914" s="61" t="str">
        <f t="shared" si="129"/>
        <v>();</v>
      </c>
      <c r="S914" s="61" t="str">
        <f t="shared" si="128"/>
        <v/>
      </c>
      <c r="CU914" s="61" t="e">
        <v>#N/A</v>
      </c>
      <c r="CV914" s="61" t="e">
        <v>#N/A</v>
      </c>
      <c r="CW914" s="61" t="e">
        <v>#N/A</v>
      </c>
      <c r="CX914" s="61" t="e">
        <v>#N/A</v>
      </c>
      <c r="CY914" s="61" t="e">
        <v>#N/A</v>
      </c>
      <c r="CZ914" s="61" t="e">
        <v>#N/A</v>
      </c>
      <c r="DA914" s="61" t="e">
        <v>#N/A</v>
      </c>
      <c r="DB914" s="61" t="e">
        <v>#N/A</v>
      </c>
      <c r="DC914" s="61" t="e">
        <v>#N/A</v>
      </c>
      <c r="DD914" s="61" t="e">
        <v>#N/A</v>
      </c>
      <c r="DE914" s="61" t="e">
        <v>#N/A</v>
      </c>
      <c r="DF914" s="61" t="e">
        <v>#N/A</v>
      </c>
      <c r="DG914" s="61" t="e">
        <v>#N/A</v>
      </c>
      <c r="DH914" s="61" t="e">
        <v>#N/A</v>
      </c>
      <c r="DI914" s="61" t="e">
        <v>#N/A</v>
      </c>
      <c r="DJ914" s="61" t="e">
        <v>#N/A</v>
      </c>
    </row>
    <row r="915" spans="14:114">
      <c r="N915" s="61" t="str">
        <f t="shared" si="126"/>
        <v/>
      </c>
      <c r="O915" s="53" t="str">
        <f t="shared" si="127"/>
        <v>click</v>
      </c>
      <c r="P915" s="61" t="str">
        <f t="shared" si="129"/>
        <v>();</v>
      </c>
      <c r="S915" s="61" t="str">
        <f t="shared" si="128"/>
        <v/>
      </c>
      <c r="CU915" s="61" t="e">
        <v>#N/A</v>
      </c>
      <c r="CV915" s="61" t="e">
        <v>#N/A</v>
      </c>
      <c r="CW915" s="61" t="e">
        <v>#N/A</v>
      </c>
      <c r="CX915" s="61" t="e">
        <v>#N/A</v>
      </c>
      <c r="CY915" s="61" t="e">
        <v>#N/A</v>
      </c>
      <c r="CZ915" s="61" t="e">
        <v>#N/A</v>
      </c>
      <c r="DA915" s="61" t="e">
        <v>#N/A</v>
      </c>
      <c r="DB915" s="61" t="e">
        <v>#N/A</v>
      </c>
      <c r="DC915" s="61" t="e">
        <v>#N/A</v>
      </c>
      <c r="DD915" s="61" t="e">
        <v>#N/A</v>
      </c>
      <c r="DE915" s="61" t="e">
        <v>#N/A</v>
      </c>
      <c r="DF915" s="61" t="e">
        <v>#N/A</v>
      </c>
      <c r="DG915" s="61" t="e">
        <v>#N/A</v>
      </c>
      <c r="DH915" s="61" t="e">
        <v>#N/A</v>
      </c>
      <c r="DI915" s="61" t="e">
        <v>#N/A</v>
      </c>
      <c r="DJ915" s="61" t="e">
        <v>#N/A</v>
      </c>
    </row>
    <row r="916" spans="14:114">
      <c r="N916" s="61" t="str">
        <f t="shared" si="126"/>
        <v/>
      </c>
      <c r="O916" s="53" t="str">
        <f t="shared" si="127"/>
        <v>click</v>
      </c>
      <c r="P916" s="61" t="str">
        <f t="shared" si="129"/>
        <v>();</v>
      </c>
      <c r="S916" s="61" t="str">
        <f t="shared" si="128"/>
        <v/>
      </c>
      <c r="CU916" s="61" t="e">
        <v>#N/A</v>
      </c>
      <c r="CV916" s="61" t="e">
        <v>#N/A</v>
      </c>
      <c r="CW916" s="61" t="e">
        <v>#N/A</v>
      </c>
      <c r="CX916" s="61" t="e">
        <v>#N/A</v>
      </c>
      <c r="CY916" s="61" t="e">
        <v>#N/A</v>
      </c>
      <c r="CZ916" s="61" t="e">
        <v>#N/A</v>
      </c>
      <c r="DA916" s="61" t="e">
        <v>#N/A</v>
      </c>
      <c r="DB916" s="61" t="e">
        <v>#N/A</v>
      </c>
      <c r="DC916" s="61" t="e">
        <v>#N/A</v>
      </c>
      <c r="DD916" s="61" t="e">
        <v>#N/A</v>
      </c>
      <c r="DE916" s="61" t="e">
        <v>#N/A</v>
      </c>
      <c r="DF916" s="61" t="e">
        <v>#N/A</v>
      </c>
      <c r="DG916" s="61" t="e">
        <v>#N/A</v>
      </c>
      <c r="DH916" s="61" t="e">
        <v>#N/A</v>
      </c>
      <c r="DI916" s="61" t="e">
        <v>#N/A</v>
      </c>
      <c r="DJ916" s="61" t="e">
        <v>#N/A</v>
      </c>
    </row>
    <row r="917" spans="14:114">
      <c r="N917" s="61" t="str">
        <f t="shared" si="126"/>
        <v/>
      </c>
      <c r="O917" s="53" t="str">
        <f t="shared" si="127"/>
        <v>click</v>
      </c>
      <c r="P917" s="61" t="str">
        <f t="shared" si="129"/>
        <v>();</v>
      </c>
      <c r="S917" s="61" t="str">
        <f t="shared" si="128"/>
        <v/>
      </c>
      <c r="CU917" s="61" t="e">
        <v>#N/A</v>
      </c>
      <c r="CV917" s="61" t="e">
        <v>#N/A</v>
      </c>
      <c r="CW917" s="61" t="e">
        <v>#N/A</v>
      </c>
      <c r="CX917" s="61" t="e">
        <v>#N/A</v>
      </c>
      <c r="CY917" s="61" t="e">
        <v>#N/A</v>
      </c>
      <c r="CZ917" s="61" t="e">
        <v>#N/A</v>
      </c>
      <c r="DA917" s="61" t="e">
        <v>#N/A</v>
      </c>
      <c r="DB917" s="61" t="e">
        <v>#N/A</v>
      </c>
      <c r="DC917" s="61" t="e">
        <v>#N/A</v>
      </c>
      <c r="DD917" s="61" t="e">
        <v>#N/A</v>
      </c>
      <c r="DE917" s="61" t="e">
        <v>#N/A</v>
      </c>
      <c r="DF917" s="61" t="e">
        <v>#N/A</v>
      </c>
      <c r="DG917" s="61" t="e">
        <v>#N/A</v>
      </c>
      <c r="DH917" s="61" t="e">
        <v>#N/A</v>
      </c>
      <c r="DI917" s="61" t="e">
        <v>#N/A</v>
      </c>
      <c r="DJ917" s="61" t="e">
        <v>#N/A</v>
      </c>
    </row>
    <row r="918" spans="14:114">
      <c r="N918" s="61" t="str">
        <f t="shared" si="126"/>
        <v/>
      </c>
      <c r="O918" s="53" t="str">
        <f t="shared" si="127"/>
        <v>click</v>
      </c>
      <c r="P918" s="61" t="str">
        <f t="shared" si="129"/>
        <v>();</v>
      </c>
      <c r="S918" s="61" t="str">
        <f t="shared" si="128"/>
        <v/>
      </c>
      <c r="CU918" s="61" t="e">
        <v>#N/A</v>
      </c>
      <c r="CV918" s="61" t="e">
        <v>#N/A</v>
      </c>
      <c r="CW918" s="61" t="e">
        <v>#N/A</v>
      </c>
      <c r="CX918" s="61" t="e">
        <v>#N/A</v>
      </c>
      <c r="CY918" s="61" t="e">
        <v>#N/A</v>
      </c>
      <c r="CZ918" s="61" t="e">
        <v>#N/A</v>
      </c>
      <c r="DA918" s="61" t="e">
        <v>#N/A</v>
      </c>
      <c r="DB918" s="61" t="e">
        <v>#N/A</v>
      </c>
      <c r="DC918" s="61" t="e">
        <v>#N/A</v>
      </c>
      <c r="DD918" s="61" t="e">
        <v>#N/A</v>
      </c>
      <c r="DE918" s="61" t="e">
        <v>#N/A</v>
      </c>
      <c r="DF918" s="61" t="e">
        <v>#N/A</v>
      </c>
      <c r="DG918" s="61" t="e">
        <v>#N/A</v>
      </c>
      <c r="DH918" s="61" t="e">
        <v>#N/A</v>
      </c>
      <c r="DI918" s="61" t="e">
        <v>#N/A</v>
      </c>
      <c r="DJ918" s="61" t="e">
        <v>#N/A</v>
      </c>
    </row>
    <row r="919" spans="14:114">
      <c r="N919" s="61" t="str">
        <f t="shared" si="126"/>
        <v/>
      </c>
      <c r="O919" s="53" t="str">
        <f t="shared" si="127"/>
        <v>click</v>
      </c>
      <c r="P919" s="61" t="str">
        <f t="shared" si="129"/>
        <v>();</v>
      </c>
      <c r="S919" s="61" t="str">
        <f t="shared" si="128"/>
        <v/>
      </c>
      <c r="CU919" s="61" t="e">
        <v>#N/A</v>
      </c>
      <c r="CV919" s="61" t="e">
        <v>#N/A</v>
      </c>
      <c r="CW919" s="61" t="e">
        <v>#N/A</v>
      </c>
      <c r="CX919" s="61" t="e">
        <v>#N/A</v>
      </c>
      <c r="CY919" s="61" t="e">
        <v>#N/A</v>
      </c>
      <c r="CZ919" s="61" t="e">
        <v>#N/A</v>
      </c>
      <c r="DA919" s="61" t="e">
        <v>#N/A</v>
      </c>
      <c r="DB919" s="61" t="e">
        <v>#N/A</v>
      </c>
      <c r="DC919" s="61" t="e">
        <v>#N/A</v>
      </c>
      <c r="DD919" s="61" t="e">
        <v>#N/A</v>
      </c>
      <c r="DE919" s="61" t="e">
        <v>#N/A</v>
      </c>
      <c r="DF919" s="61" t="e">
        <v>#N/A</v>
      </c>
      <c r="DG919" s="61" t="e">
        <v>#N/A</v>
      </c>
      <c r="DH919" s="61" t="e">
        <v>#N/A</v>
      </c>
      <c r="DI919" s="61" t="e">
        <v>#N/A</v>
      </c>
      <c r="DJ919" s="61" t="e">
        <v>#N/A</v>
      </c>
    </row>
    <row r="920" spans="14:114">
      <c r="N920" s="61" t="str">
        <f t="shared" si="126"/>
        <v/>
      </c>
      <c r="O920" s="53" t="str">
        <f t="shared" si="127"/>
        <v>click</v>
      </c>
      <c r="P920" s="61" t="str">
        <f t="shared" si="129"/>
        <v>();</v>
      </c>
      <c r="S920" s="61" t="str">
        <f t="shared" si="128"/>
        <v/>
      </c>
      <c r="CU920" s="61" t="e">
        <v>#N/A</v>
      </c>
      <c r="CV920" s="61" t="e">
        <v>#N/A</v>
      </c>
      <c r="CW920" s="61" t="e">
        <v>#N/A</v>
      </c>
      <c r="CX920" s="61" t="e">
        <v>#N/A</v>
      </c>
      <c r="CY920" s="61" t="e">
        <v>#N/A</v>
      </c>
      <c r="CZ920" s="61" t="e">
        <v>#N/A</v>
      </c>
      <c r="DA920" s="61" t="e">
        <v>#N/A</v>
      </c>
      <c r="DB920" s="61" t="e">
        <v>#N/A</v>
      </c>
      <c r="DC920" s="61" t="e">
        <v>#N/A</v>
      </c>
      <c r="DD920" s="61" t="e">
        <v>#N/A</v>
      </c>
      <c r="DE920" s="61" t="e">
        <v>#N/A</v>
      </c>
      <c r="DF920" s="61" t="e">
        <v>#N/A</v>
      </c>
      <c r="DG920" s="61" t="e">
        <v>#N/A</v>
      </c>
      <c r="DH920" s="61" t="e">
        <v>#N/A</v>
      </c>
      <c r="DI920" s="61" t="e">
        <v>#N/A</v>
      </c>
      <c r="DJ920" s="61" t="e">
        <v>#N/A</v>
      </c>
    </row>
    <row r="921" spans="14:114">
      <c r="N921" s="61" t="str">
        <f t="shared" si="126"/>
        <v/>
      </c>
      <c r="O921" s="53" t="str">
        <f t="shared" si="127"/>
        <v>click</v>
      </c>
      <c r="P921" s="61" t="str">
        <f t="shared" si="129"/>
        <v>();</v>
      </c>
      <c r="S921" s="61" t="str">
        <f t="shared" si="128"/>
        <v/>
      </c>
      <c r="CU921" s="61" t="e">
        <v>#N/A</v>
      </c>
      <c r="CV921" s="61" t="e">
        <v>#N/A</v>
      </c>
      <c r="CW921" s="61" t="e">
        <v>#N/A</v>
      </c>
      <c r="CX921" s="61" t="e">
        <v>#N/A</v>
      </c>
      <c r="CY921" s="61" t="e">
        <v>#N/A</v>
      </c>
      <c r="CZ921" s="61" t="e">
        <v>#N/A</v>
      </c>
      <c r="DA921" s="61" t="e">
        <v>#N/A</v>
      </c>
      <c r="DB921" s="61" t="e">
        <v>#N/A</v>
      </c>
      <c r="DC921" s="61" t="e">
        <v>#N/A</v>
      </c>
      <c r="DD921" s="61" t="e">
        <v>#N/A</v>
      </c>
      <c r="DE921" s="61" t="e">
        <v>#N/A</v>
      </c>
      <c r="DF921" s="61" t="e">
        <v>#N/A</v>
      </c>
      <c r="DG921" s="61" t="e">
        <v>#N/A</v>
      </c>
      <c r="DH921" s="61" t="e">
        <v>#N/A</v>
      </c>
      <c r="DI921" s="61" t="e">
        <v>#N/A</v>
      </c>
      <c r="DJ921" s="61" t="e">
        <v>#N/A</v>
      </c>
    </row>
    <row r="922" spans="14:114">
      <c r="N922" s="61" t="str">
        <f t="shared" si="126"/>
        <v/>
      </c>
      <c r="O922" s="53" t="str">
        <f t="shared" si="127"/>
        <v>click</v>
      </c>
      <c r="P922" s="61" t="str">
        <f t="shared" si="129"/>
        <v>();</v>
      </c>
      <c r="S922" s="61" t="str">
        <f t="shared" si="128"/>
        <v/>
      </c>
      <c r="CU922" s="61" t="e">
        <v>#N/A</v>
      </c>
      <c r="CV922" s="61" t="e">
        <v>#N/A</v>
      </c>
      <c r="CW922" s="61" t="e">
        <v>#N/A</v>
      </c>
      <c r="CX922" s="61" t="e">
        <v>#N/A</v>
      </c>
      <c r="CY922" s="61" t="e">
        <v>#N/A</v>
      </c>
      <c r="CZ922" s="61" t="e">
        <v>#N/A</v>
      </c>
      <c r="DA922" s="61" t="e">
        <v>#N/A</v>
      </c>
      <c r="DB922" s="61" t="e">
        <v>#N/A</v>
      </c>
      <c r="DC922" s="61" t="e">
        <v>#N/A</v>
      </c>
      <c r="DD922" s="61" t="e">
        <v>#N/A</v>
      </c>
      <c r="DE922" s="61" t="e">
        <v>#N/A</v>
      </c>
      <c r="DF922" s="61" t="e">
        <v>#N/A</v>
      </c>
      <c r="DG922" s="61" t="e">
        <v>#N/A</v>
      </c>
      <c r="DH922" s="61" t="e">
        <v>#N/A</v>
      </c>
      <c r="DI922" s="61" t="e">
        <v>#N/A</v>
      </c>
      <c r="DJ922" s="61" t="e">
        <v>#N/A</v>
      </c>
    </row>
    <row r="923" spans="14:114">
      <c r="N923" s="61" t="str">
        <f t="shared" si="126"/>
        <v/>
      </c>
      <c r="O923" s="53" t="str">
        <f t="shared" si="127"/>
        <v>click</v>
      </c>
      <c r="P923" s="61" t="str">
        <f t="shared" si="129"/>
        <v>();</v>
      </c>
      <c r="S923" s="61" t="str">
        <f t="shared" si="128"/>
        <v/>
      </c>
      <c r="CU923" s="61" t="e">
        <v>#N/A</v>
      </c>
      <c r="CV923" s="61" t="e">
        <v>#N/A</v>
      </c>
      <c r="CW923" s="61" t="e">
        <v>#N/A</v>
      </c>
      <c r="CX923" s="61" t="e">
        <v>#N/A</v>
      </c>
      <c r="CY923" s="61" t="e">
        <v>#N/A</v>
      </c>
      <c r="CZ923" s="61" t="e">
        <v>#N/A</v>
      </c>
      <c r="DA923" s="61" t="e">
        <v>#N/A</v>
      </c>
      <c r="DB923" s="61" t="e">
        <v>#N/A</v>
      </c>
      <c r="DC923" s="61" t="e">
        <v>#N/A</v>
      </c>
      <c r="DD923" s="61" t="e">
        <v>#N/A</v>
      </c>
      <c r="DE923" s="61" t="e">
        <v>#N/A</v>
      </c>
      <c r="DF923" s="61" t="e">
        <v>#N/A</v>
      </c>
      <c r="DG923" s="61" t="e">
        <v>#N/A</v>
      </c>
      <c r="DH923" s="61" t="e">
        <v>#N/A</v>
      </c>
      <c r="DI923" s="61" t="e">
        <v>#N/A</v>
      </c>
      <c r="DJ923" s="61" t="e">
        <v>#N/A</v>
      </c>
    </row>
    <row r="924" spans="14:114">
      <c r="N924" s="61" t="str">
        <f t="shared" si="126"/>
        <v/>
      </c>
      <c r="O924" s="53" t="str">
        <f t="shared" si="127"/>
        <v>click</v>
      </c>
      <c r="P924" s="61" t="str">
        <f t="shared" si="129"/>
        <v>();</v>
      </c>
      <c r="S924" s="61" t="str">
        <f t="shared" si="128"/>
        <v/>
      </c>
      <c r="CU924" s="61" t="e">
        <v>#N/A</v>
      </c>
      <c r="CV924" s="61" t="e">
        <v>#N/A</v>
      </c>
      <c r="CW924" s="61" t="e">
        <v>#N/A</v>
      </c>
      <c r="CX924" s="61" t="e">
        <v>#N/A</v>
      </c>
      <c r="CY924" s="61" t="e">
        <v>#N/A</v>
      </c>
      <c r="CZ924" s="61" t="e">
        <v>#N/A</v>
      </c>
      <c r="DA924" s="61" t="e">
        <v>#N/A</v>
      </c>
      <c r="DB924" s="61" t="e">
        <v>#N/A</v>
      </c>
      <c r="DC924" s="61" t="e">
        <v>#N/A</v>
      </c>
      <c r="DD924" s="61" t="e">
        <v>#N/A</v>
      </c>
      <c r="DE924" s="61" t="e">
        <v>#N/A</v>
      </c>
      <c r="DF924" s="61" t="e">
        <v>#N/A</v>
      </c>
      <c r="DG924" s="61" t="e">
        <v>#N/A</v>
      </c>
      <c r="DH924" s="61" t="e">
        <v>#N/A</v>
      </c>
      <c r="DI924" s="61" t="e">
        <v>#N/A</v>
      </c>
      <c r="DJ924" s="61" t="e">
        <v>#N/A</v>
      </c>
    </row>
    <row r="925" spans="14:114">
      <c r="N925" s="61" t="str">
        <f t="shared" si="126"/>
        <v/>
      </c>
      <c r="O925" s="53" t="str">
        <f t="shared" si="127"/>
        <v>click</v>
      </c>
      <c r="P925" s="61" t="str">
        <f t="shared" si="129"/>
        <v>();</v>
      </c>
      <c r="S925" s="61" t="str">
        <f t="shared" si="128"/>
        <v/>
      </c>
      <c r="CU925" s="61" t="e">
        <v>#N/A</v>
      </c>
      <c r="CV925" s="61" t="e">
        <v>#N/A</v>
      </c>
      <c r="CW925" s="61" t="e">
        <v>#N/A</v>
      </c>
      <c r="CX925" s="61" t="e">
        <v>#N/A</v>
      </c>
      <c r="CY925" s="61" t="e">
        <v>#N/A</v>
      </c>
      <c r="CZ925" s="61" t="e">
        <v>#N/A</v>
      </c>
      <c r="DA925" s="61" t="e">
        <v>#N/A</v>
      </c>
      <c r="DB925" s="61" t="e">
        <v>#N/A</v>
      </c>
      <c r="DC925" s="61" t="e">
        <v>#N/A</v>
      </c>
      <c r="DD925" s="61" t="e">
        <v>#N/A</v>
      </c>
      <c r="DE925" s="61" t="e">
        <v>#N/A</v>
      </c>
      <c r="DF925" s="61" t="e">
        <v>#N/A</v>
      </c>
      <c r="DG925" s="61" t="e">
        <v>#N/A</v>
      </c>
      <c r="DH925" s="61" t="e">
        <v>#N/A</v>
      </c>
      <c r="DI925" s="61" t="e">
        <v>#N/A</v>
      </c>
      <c r="DJ925" s="61" t="e">
        <v>#N/A</v>
      </c>
    </row>
    <row r="926" spans="14:114">
      <c r="N926" s="61" t="str">
        <f t="shared" si="126"/>
        <v/>
      </c>
      <c r="O926" s="53" t="str">
        <f t="shared" si="127"/>
        <v>click</v>
      </c>
      <c r="P926" s="61" t="str">
        <f t="shared" si="129"/>
        <v>();</v>
      </c>
      <c r="S926" s="61" t="str">
        <f t="shared" si="128"/>
        <v/>
      </c>
      <c r="CU926" s="61" t="e">
        <v>#N/A</v>
      </c>
      <c r="CV926" s="61" t="e">
        <v>#N/A</v>
      </c>
      <c r="CW926" s="61" t="e">
        <v>#N/A</v>
      </c>
      <c r="CX926" s="61" t="e">
        <v>#N/A</v>
      </c>
      <c r="CY926" s="61" t="e">
        <v>#N/A</v>
      </c>
      <c r="CZ926" s="61" t="e">
        <v>#N/A</v>
      </c>
      <c r="DA926" s="61" t="e">
        <v>#N/A</v>
      </c>
      <c r="DB926" s="61" t="e">
        <v>#N/A</v>
      </c>
      <c r="DC926" s="61" t="e">
        <v>#N/A</v>
      </c>
      <c r="DD926" s="61" t="e">
        <v>#N/A</v>
      </c>
      <c r="DE926" s="61" t="e">
        <v>#N/A</v>
      </c>
      <c r="DF926" s="61" t="e">
        <v>#N/A</v>
      </c>
      <c r="DG926" s="61" t="e">
        <v>#N/A</v>
      </c>
      <c r="DH926" s="61" t="e">
        <v>#N/A</v>
      </c>
      <c r="DI926" s="61" t="e">
        <v>#N/A</v>
      </c>
      <c r="DJ926" s="61" t="e">
        <v>#N/A</v>
      </c>
    </row>
    <row r="927" spans="14:114">
      <c r="N927" s="61" t="str">
        <f t="shared" si="126"/>
        <v/>
      </c>
      <c r="O927" s="53" t="str">
        <f t="shared" si="127"/>
        <v>click</v>
      </c>
      <c r="P927" s="61" t="str">
        <f t="shared" si="129"/>
        <v>();</v>
      </c>
      <c r="S927" s="61" t="str">
        <f t="shared" si="128"/>
        <v/>
      </c>
      <c r="CU927" s="61" t="e">
        <v>#N/A</v>
      </c>
      <c r="CV927" s="61" t="e">
        <v>#N/A</v>
      </c>
      <c r="CW927" s="61" t="e">
        <v>#N/A</v>
      </c>
      <c r="CX927" s="61" t="e">
        <v>#N/A</v>
      </c>
      <c r="CY927" s="61" t="e">
        <v>#N/A</v>
      </c>
      <c r="CZ927" s="61" t="e">
        <v>#N/A</v>
      </c>
      <c r="DA927" s="61" t="e">
        <v>#N/A</v>
      </c>
      <c r="DB927" s="61" t="e">
        <v>#N/A</v>
      </c>
      <c r="DC927" s="61" t="e">
        <v>#N/A</v>
      </c>
      <c r="DD927" s="61" t="e">
        <v>#N/A</v>
      </c>
      <c r="DE927" s="61" t="e">
        <v>#N/A</v>
      </c>
      <c r="DF927" s="61" t="e">
        <v>#N/A</v>
      </c>
      <c r="DG927" s="61" t="e">
        <v>#N/A</v>
      </c>
      <c r="DH927" s="61" t="e">
        <v>#N/A</v>
      </c>
      <c r="DI927" s="61" t="e">
        <v>#N/A</v>
      </c>
      <c r="DJ927" s="61" t="e">
        <v>#N/A</v>
      </c>
    </row>
    <row r="928" spans="14:114">
      <c r="N928" s="61" t="str">
        <f t="shared" si="126"/>
        <v/>
      </c>
      <c r="O928" s="53" t="str">
        <f t="shared" si="127"/>
        <v>click</v>
      </c>
      <c r="P928" s="61" t="str">
        <f t="shared" si="129"/>
        <v>();</v>
      </c>
      <c r="S928" s="61" t="str">
        <f t="shared" si="128"/>
        <v/>
      </c>
      <c r="CU928" s="61" t="e">
        <v>#N/A</v>
      </c>
      <c r="CV928" s="61" t="e">
        <v>#N/A</v>
      </c>
      <c r="CW928" s="61" t="e">
        <v>#N/A</v>
      </c>
      <c r="CX928" s="61" t="e">
        <v>#N/A</v>
      </c>
      <c r="CY928" s="61" t="e">
        <v>#N/A</v>
      </c>
      <c r="CZ928" s="61" t="e">
        <v>#N/A</v>
      </c>
      <c r="DA928" s="61" t="e">
        <v>#N/A</v>
      </c>
      <c r="DB928" s="61" t="e">
        <v>#N/A</v>
      </c>
      <c r="DC928" s="61" t="e">
        <v>#N/A</v>
      </c>
      <c r="DD928" s="61" t="e">
        <v>#N/A</v>
      </c>
      <c r="DE928" s="61" t="e">
        <v>#N/A</v>
      </c>
      <c r="DF928" s="61" t="e">
        <v>#N/A</v>
      </c>
      <c r="DG928" s="61" t="e">
        <v>#N/A</v>
      </c>
      <c r="DH928" s="61" t="e">
        <v>#N/A</v>
      </c>
      <c r="DI928" s="61" t="e">
        <v>#N/A</v>
      </c>
      <c r="DJ928" s="61" t="e">
        <v>#N/A</v>
      </c>
    </row>
    <row r="929" spans="14:114">
      <c r="N929" s="61" t="str">
        <f t="shared" si="126"/>
        <v/>
      </c>
      <c r="O929" s="53" t="str">
        <f t="shared" si="127"/>
        <v>click</v>
      </c>
      <c r="P929" s="61" t="str">
        <f t="shared" si="129"/>
        <v>();</v>
      </c>
      <c r="S929" s="61" t="str">
        <f t="shared" si="128"/>
        <v/>
      </c>
      <c r="CU929" s="61" t="e">
        <v>#N/A</v>
      </c>
      <c r="CV929" s="61" t="e">
        <v>#N/A</v>
      </c>
      <c r="CW929" s="61" t="e">
        <v>#N/A</v>
      </c>
      <c r="CX929" s="61" t="e">
        <v>#N/A</v>
      </c>
      <c r="CY929" s="61" t="e">
        <v>#N/A</v>
      </c>
      <c r="CZ929" s="61" t="e">
        <v>#N/A</v>
      </c>
      <c r="DA929" s="61" t="e">
        <v>#N/A</v>
      </c>
      <c r="DB929" s="61" t="e">
        <v>#N/A</v>
      </c>
      <c r="DC929" s="61" t="e">
        <v>#N/A</v>
      </c>
      <c r="DD929" s="61" t="e">
        <v>#N/A</v>
      </c>
      <c r="DE929" s="61" t="e">
        <v>#N/A</v>
      </c>
      <c r="DF929" s="61" t="e">
        <v>#N/A</v>
      </c>
      <c r="DG929" s="61" t="e">
        <v>#N/A</v>
      </c>
      <c r="DH929" s="61" t="e">
        <v>#N/A</v>
      </c>
      <c r="DI929" s="61" t="e">
        <v>#N/A</v>
      </c>
      <c r="DJ929" s="61" t="e">
        <v>#N/A</v>
      </c>
    </row>
    <row r="930" spans="14:114">
      <c r="N930" s="61" t="str">
        <f t="shared" si="126"/>
        <v/>
      </c>
      <c r="O930" s="53" t="str">
        <f t="shared" si="127"/>
        <v>click</v>
      </c>
      <c r="P930" s="61" t="str">
        <f t="shared" si="129"/>
        <v>();</v>
      </c>
      <c r="S930" s="61" t="str">
        <f t="shared" si="128"/>
        <v/>
      </c>
      <c r="CU930" s="61" t="e">
        <v>#N/A</v>
      </c>
      <c r="CV930" s="61" t="e">
        <v>#N/A</v>
      </c>
      <c r="CW930" s="61" t="e">
        <v>#N/A</v>
      </c>
      <c r="CX930" s="61" t="e">
        <v>#N/A</v>
      </c>
      <c r="CY930" s="61" t="e">
        <v>#N/A</v>
      </c>
      <c r="CZ930" s="61" t="e">
        <v>#N/A</v>
      </c>
      <c r="DA930" s="61" t="e">
        <v>#N/A</v>
      </c>
      <c r="DB930" s="61" t="e">
        <v>#N/A</v>
      </c>
      <c r="DC930" s="61" t="e">
        <v>#N/A</v>
      </c>
      <c r="DD930" s="61" t="e">
        <v>#N/A</v>
      </c>
      <c r="DE930" s="61" t="e">
        <v>#N/A</v>
      </c>
      <c r="DF930" s="61" t="e">
        <v>#N/A</v>
      </c>
      <c r="DG930" s="61" t="e">
        <v>#N/A</v>
      </c>
      <c r="DH930" s="61" t="e">
        <v>#N/A</v>
      </c>
      <c r="DI930" s="61" t="e">
        <v>#N/A</v>
      </c>
      <c r="DJ930" s="61" t="e">
        <v>#N/A</v>
      </c>
    </row>
    <row r="931" spans="14:114">
      <c r="N931" s="61" t="str">
        <f t="shared" si="126"/>
        <v/>
      </c>
      <c r="O931" s="53" t="str">
        <f t="shared" si="127"/>
        <v>click</v>
      </c>
      <c r="P931" s="61" t="str">
        <f t="shared" si="129"/>
        <v>();</v>
      </c>
      <c r="S931" s="61" t="str">
        <f t="shared" si="128"/>
        <v/>
      </c>
      <c r="CU931" s="61" t="e">
        <v>#N/A</v>
      </c>
      <c r="CV931" s="61" t="e">
        <v>#N/A</v>
      </c>
      <c r="CW931" s="61" t="e">
        <v>#N/A</v>
      </c>
      <c r="CX931" s="61" t="e">
        <v>#N/A</v>
      </c>
      <c r="CY931" s="61" t="e">
        <v>#N/A</v>
      </c>
      <c r="CZ931" s="61" t="e">
        <v>#N/A</v>
      </c>
      <c r="DA931" s="61" t="e">
        <v>#N/A</v>
      </c>
      <c r="DB931" s="61" t="e">
        <v>#N/A</v>
      </c>
      <c r="DC931" s="61" t="e">
        <v>#N/A</v>
      </c>
      <c r="DD931" s="61" t="e">
        <v>#N/A</v>
      </c>
      <c r="DE931" s="61" t="e">
        <v>#N/A</v>
      </c>
      <c r="DF931" s="61" t="e">
        <v>#N/A</v>
      </c>
      <c r="DG931" s="61" t="e">
        <v>#N/A</v>
      </c>
      <c r="DH931" s="61" t="e">
        <v>#N/A</v>
      </c>
      <c r="DI931" s="61" t="e">
        <v>#N/A</v>
      </c>
      <c r="DJ931" s="61" t="e">
        <v>#N/A</v>
      </c>
    </row>
    <row r="932" spans="14:114">
      <c r="N932" s="61" t="str">
        <f t="shared" si="126"/>
        <v/>
      </c>
      <c r="O932" s="53" t="str">
        <f t="shared" si="127"/>
        <v>click</v>
      </c>
      <c r="P932" s="61" t="str">
        <f t="shared" si="129"/>
        <v>();</v>
      </c>
      <c r="S932" s="61" t="str">
        <f t="shared" si="128"/>
        <v/>
      </c>
      <c r="CU932" s="61" t="e">
        <v>#N/A</v>
      </c>
      <c r="CV932" s="61" t="e">
        <v>#N/A</v>
      </c>
      <c r="CW932" s="61" t="e">
        <v>#N/A</v>
      </c>
      <c r="CX932" s="61" t="e">
        <v>#N/A</v>
      </c>
      <c r="CY932" s="61" t="e">
        <v>#N/A</v>
      </c>
      <c r="CZ932" s="61" t="e">
        <v>#N/A</v>
      </c>
      <c r="DA932" s="61" t="e">
        <v>#N/A</v>
      </c>
      <c r="DB932" s="61" t="e">
        <v>#N/A</v>
      </c>
      <c r="DC932" s="61" t="e">
        <v>#N/A</v>
      </c>
      <c r="DD932" s="61" t="e">
        <v>#N/A</v>
      </c>
      <c r="DE932" s="61" t="e">
        <v>#N/A</v>
      </c>
      <c r="DF932" s="61" t="e">
        <v>#N/A</v>
      </c>
      <c r="DG932" s="61" t="e">
        <v>#N/A</v>
      </c>
      <c r="DH932" s="61" t="e">
        <v>#N/A</v>
      </c>
      <c r="DI932" s="61" t="e">
        <v>#N/A</v>
      </c>
      <c r="DJ932" s="61" t="e">
        <v>#N/A</v>
      </c>
    </row>
    <row r="933" spans="14:114">
      <c r="N933" s="61" t="str">
        <f t="shared" si="126"/>
        <v/>
      </c>
      <c r="O933" s="53" t="str">
        <f t="shared" si="127"/>
        <v>click</v>
      </c>
      <c r="P933" s="61" t="str">
        <f t="shared" si="129"/>
        <v>();</v>
      </c>
      <c r="S933" s="61" t="str">
        <f t="shared" si="128"/>
        <v/>
      </c>
      <c r="CU933" s="61" t="e">
        <v>#N/A</v>
      </c>
      <c r="CV933" s="61" t="e">
        <v>#N/A</v>
      </c>
      <c r="CW933" s="61" t="e">
        <v>#N/A</v>
      </c>
      <c r="CX933" s="61" t="e">
        <v>#N/A</v>
      </c>
      <c r="CY933" s="61" t="e">
        <v>#N/A</v>
      </c>
      <c r="CZ933" s="61" t="e">
        <v>#N/A</v>
      </c>
      <c r="DA933" s="61" t="e">
        <v>#N/A</v>
      </c>
      <c r="DB933" s="61" t="e">
        <v>#N/A</v>
      </c>
      <c r="DC933" s="61" t="e">
        <v>#N/A</v>
      </c>
      <c r="DD933" s="61" t="e">
        <v>#N/A</v>
      </c>
      <c r="DE933" s="61" t="e">
        <v>#N/A</v>
      </c>
      <c r="DF933" s="61" t="e">
        <v>#N/A</v>
      </c>
      <c r="DG933" s="61" t="e">
        <v>#N/A</v>
      </c>
      <c r="DH933" s="61" t="e">
        <v>#N/A</v>
      </c>
      <c r="DI933" s="61" t="e">
        <v>#N/A</v>
      </c>
      <c r="DJ933" s="61" t="e">
        <v>#N/A</v>
      </c>
    </row>
    <row r="934" spans="14:114">
      <c r="N934" s="61" t="str">
        <f t="shared" si="126"/>
        <v/>
      </c>
      <c r="O934" s="53" t="str">
        <f t="shared" si="127"/>
        <v>click</v>
      </c>
      <c r="P934" s="61" t="str">
        <f t="shared" si="129"/>
        <v>();</v>
      </c>
      <c r="S934" s="61" t="str">
        <f t="shared" si="128"/>
        <v/>
      </c>
      <c r="CU934" s="61" t="e">
        <v>#N/A</v>
      </c>
      <c r="CV934" s="61" t="e">
        <v>#N/A</v>
      </c>
      <c r="CW934" s="61" t="e">
        <v>#N/A</v>
      </c>
      <c r="CX934" s="61" t="e">
        <v>#N/A</v>
      </c>
      <c r="CY934" s="61" t="e">
        <v>#N/A</v>
      </c>
      <c r="CZ934" s="61" t="e">
        <v>#N/A</v>
      </c>
      <c r="DA934" s="61" t="e">
        <v>#N/A</v>
      </c>
      <c r="DB934" s="61" t="e">
        <v>#N/A</v>
      </c>
      <c r="DC934" s="61" t="e">
        <v>#N/A</v>
      </c>
      <c r="DD934" s="61" t="e">
        <v>#N/A</v>
      </c>
      <c r="DE934" s="61" t="e">
        <v>#N/A</v>
      </c>
      <c r="DF934" s="61" t="e">
        <v>#N/A</v>
      </c>
      <c r="DG934" s="61" t="e">
        <v>#N/A</v>
      </c>
      <c r="DH934" s="61" t="e">
        <v>#N/A</v>
      </c>
      <c r="DI934" s="61" t="e">
        <v>#N/A</v>
      </c>
      <c r="DJ934" s="61" t="e">
        <v>#N/A</v>
      </c>
    </row>
    <row r="935" spans="14:114">
      <c r="N935" s="61" t="str">
        <f t="shared" si="126"/>
        <v/>
      </c>
      <c r="O935" s="53" t="str">
        <f t="shared" si="127"/>
        <v>click</v>
      </c>
      <c r="P935" s="61" t="str">
        <f t="shared" si="129"/>
        <v>();</v>
      </c>
      <c r="S935" s="61" t="str">
        <f t="shared" si="128"/>
        <v/>
      </c>
      <c r="CU935" s="61" t="e">
        <v>#N/A</v>
      </c>
      <c r="CV935" s="61" t="e">
        <v>#N/A</v>
      </c>
      <c r="CW935" s="61" t="e">
        <v>#N/A</v>
      </c>
      <c r="CX935" s="61" t="e">
        <v>#N/A</v>
      </c>
      <c r="CY935" s="61" t="e">
        <v>#N/A</v>
      </c>
      <c r="CZ935" s="61" t="e">
        <v>#N/A</v>
      </c>
      <c r="DA935" s="61" t="e">
        <v>#N/A</v>
      </c>
      <c r="DB935" s="61" t="e">
        <v>#N/A</v>
      </c>
      <c r="DC935" s="61" t="e">
        <v>#N/A</v>
      </c>
      <c r="DD935" s="61" t="e">
        <v>#N/A</v>
      </c>
      <c r="DE935" s="61" t="e">
        <v>#N/A</v>
      </c>
      <c r="DF935" s="61" t="e">
        <v>#N/A</v>
      </c>
      <c r="DG935" s="61" t="e">
        <v>#N/A</v>
      </c>
      <c r="DH935" s="61" t="e">
        <v>#N/A</v>
      </c>
      <c r="DI935" s="61" t="e">
        <v>#N/A</v>
      </c>
      <c r="DJ935" s="61" t="e">
        <v>#N/A</v>
      </c>
    </row>
    <row r="936" spans="14:114">
      <c r="N936" s="61" t="str">
        <f t="shared" si="126"/>
        <v/>
      </c>
      <c r="O936" s="53" t="str">
        <f t="shared" si="127"/>
        <v>click</v>
      </c>
      <c r="P936" s="61" t="str">
        <f t="shared" si="129"/>
        <v>();</v>
      </c>
      <c r="S936" s="61" t="str">
        <f t="shared" si="128"/>
        <v/>
      </c>
      <c r="CU936" s="61" t="e">
        <v>#N/A</v>
      </c>
      <c r="CV936" s="61" t="e">
        <v>#N/A</v>
      </c>
      <c r="CW936" s="61" t="e">
        <v>#N/A</v>
      </c>
      <c r="CX936" s="61" t="e">
        <v>#N/A</v>
      </c>
      <c r="CY936" s="61" t="e">
        <v>#N/A</v>
      </c>
      <c r="CZ936" s="61" t="e">
        <v>#N/A</v>
      </c>
      <c r="DA936" s="61" t="e">
        <v>#N/A</v>
      </c>
      <c r="DB936" s="61" t="e">
        <v>#N/A</v>
      </c>
      <c r="DC936" s="61" t="e">
        <v>#N/A</v>
      </c>
      <c r="DD936" s="61" t="e">
        <v>#N/A</v>
      </c>
      <c r="DE936" s="61" t="e">
        <v>#N/A</v>
      </c>
      <c r="DF936" s="61" t="e">
        <v>#N/A</v>
      </c>
      <c r="DG936" s="61" t="e">
        <v>#N/A</v>
      </c>
      <c r="DH936" s="61" t="e">
        <v>#N/A</v>
      </c>
      <c r="DI936" s="61" t="e">
        <v>#N/A</v>
      </c>
      <c r="DJ936" s="61" t="e">
        <v>#N/A</v>
      </c>
    </row>
    <row r="937" spans="14:114">
      <c r="N937" s="61" t="str">
        <f t="shared" si="126"/>
        <v/>
      </c>
      <c r="O937" s="53" t="str">
        <f t="shared" si="127"/>
        <v>click</v>
      </c>
      <c r="P937" s="61" t="str">
        <f t="shared" si="129"/>
        <v>();</v>
      </c>
      <c r="S937" s="61" t="str">
        <f t="shared" si="128"/>
        <v/>
      </c>
      <c r="CU937" s="61" t="e">
        <v>#N/A</v>
      </c>
      <c r="CV937" s="61" t="e">
        <v>#N/A</v>
      </c>
      <c r="CW937" s="61" t="e">
        <v>#N/A</v>
      </c>
      <c r="CX937" s="61" t="e">
        <v>#N/A</v>
      </c>
      <c r="CY937" s="61" t="e">
        <v>#N/A</v>
      </c>
      <c r="CZ937" s="61" t="e">
        <v>#N/A</v>
      </c>
      <c r="DA937" s="61" t="e">
        <v>#N/A</v>
      </c>
      <c r="DB937" s="61" t="e">
        <v>#N/A</v>
      </c>
      <c r="DC937" s="61" t="e">
        <v>#N/A</v>
      </c>
      <c r="DD937" s="61" t="e">
        <v>#N/A</v>
      </c>
      <c r="DE937" s="61" t="e">
        <v>#N/A</v>
      </c>
      <c r="DF937" s="61" t="e">
        <v>#N/A</v>
      </c>
      <c r="DG937" s="61" t="e">
        <v>#N/A</v>
      </c>
      <c r="DH937" s="61" t="e">
        <v>#N/A</v>
      </c>
      <c r="DI937" s="61" t="e">
        <v>#N/A</v>
      </c>
      <c r="DJ937" s="61" t="e">
        <v>#N/A</v>
      </c>
    </row>
    <row r="938" spans="14:114">
      <c r="N938" s="61" t="str">
        <f t="shared" si="126"/>
        <v/>
      </c>
      <c r="O938" s="53" t="str">
        <f t="shared" si="127"/>
        <v>click</v>
      </c>
      <c r="P938" s="61" t="str">
        <f t="shared" si="129"/>
        <v>();</v>
      </c>
      <c r="S938" s="61" t="str">
        <f t="shared" si="128"/>
        <v/>
      </c>
      <c r="CU938" s="61" t="e">
        <v>#N/A</v>
      </c>
      <c r="CV938" s="61" t="e">
        <v>#N/A</v>
      </c>
      <c r="CW938" s="61" t="e">
        <v>#N/A</v>
      </c>
      <c r="CX938" s="61" t="e">
        <v>#N/A</v>
      </c>
      <c r="CY938" s="61" t="e">
        <v>#N/A</v>
      </c>
      <c r="CZ938" s="61" t="e">
        <v>#N/A</v>
      </c>
      <c r="DA938" s="61" t="e">
        <v>#N/A</v>
      </c>
      <c r="DB938" s="61" t="e">
        <v>#N/A</v>
      </c>
      <c r="DC938" s="61" t="e">
        <v>#N/A</v>
      </c>
      <c r="DD938" s="61" t="e">
        <v>#N/A</v>
      </c>
      <c r="DE938" s="61" t="e">
        <v>#N/A</v>
      </c>
      <c r="DF938" s="61" t="e">
        <v>#N/A</v>
      </c>
      <c r="DG938" s="61" t="e">
        <v>#N/A</v>
      </c>
      <c r="DH938" s="61" t="e">
        <v>#N/A</v>
      </c>
      <c r="DI938" s="61" t="e">
        <v>#N/A</v>
      </c>
      <c r="DJ938" s="61" t="e">
        <v>#N/A</v>
      </c>
    </row>
    <row r="939" spans="14:114">
      <c r="N939" s="61" t="str">
        <f t="shared" si="126"/>
        <v/>
      </c>
      <c r="O939" s="53" t="str">
        <f t="shared" si="127"/>
        <v>click</v>
      </c>
      <c r="P939" s="61" t="str">
        <f t="shared" si="129"/>
        <v>();</v>
      </c>
      <c r="S939" s="61" t="str">
        <f t="shared" si="128"/>
        <v/>
      </c>
      <c r="CU939" s="61" t="e">
        <v>#N/A</v>
      </c>
      <c r="CV939" s="61" t="e">
        <v>#N/A</v>
      </c>
      <c r="CW939" s="61" t="e">
        <v>#N/A</v>
      </c>
      <c r="CX939" s="61" t="e">
        <v>#N/A</v>
      </c>
      <c r="CY939" s="61" t="e">
        <v>#N/A</v>
      </c>
      <c r="CZ939" s="61" t="e">
        <v>#N/A</v>
      </c>
      <c r="DA939" s="61" t="e">
        <v>#N/A</v>
      </c>
      <c r="DB939" s="61" t="e">
        <v>#N/A</v>
      </c>
      <c r="DC939" s="61" t="e">
        <v>#N/A</v>
      </c>
      <c r="DD939" s="61" t="e">
        <v>#N/A</v>
      </c>
      <c r="DE939" s="61" t="e">
        <v>#N/A</v>
      </c>
      <c r="DF939" s="61" t="e">
        <v>#N/A</v>
      </c>
      <c r="DG939" s="61" t="e">
        <v>#N/A</v>
      </c>
      <c r="DH939" s="61" t="e">
        <v>#N/A</v>
      </c>
      <c r="DI939" s="61" t="e">
        <v>#N/A</v>
      </c>
      <c r="DJ939" s="61" t="e">
        <v>#N/A</v>
      </c>
    </row>
    <row r="940" spans="14:114">
      <c r="N940" s="61" t="str">
        <f t="shared" si="126"/>
        <v/>
      </c>
      <c r="O940" s="53" t="str">
        <f t="shared" si="127"/>
        <v>click</v>
      </c>
      <c r="P940" s="61" t="str">
        <f t="shared" si="129"/>
        <v>();</v>
      </c>
      <c r="S940" s="61" t="str">
        <f t="shared" si="128"/>
        <v/>
      </c>
      <c r="CU940" s="61" t="e">
        <v>#N/A</v>
      </c>
      <c r="CV940" s="61" t="e">
        <v>#N/A</v>
      </c>
      <c r="CW940" s="61" t="e">
        <v>#N/A</v>
      </c>
      <c r="CX940" s="61" t="e">
        <v>#N/A</v>
      </c>
      <c r="CY940" s="61" t="e">
        <v>#N/A</v>
      </c>
      <c r="CZ940" s="61" t="e">
        <v>#N/A</v>
      </c>
      <c r="DA940" s="61" t="e">
        <v>#N/A</v>
      </c>
      <c r="DB940" s="61" t="e">
        <v>#N/A</v>
      </c>
      <c r="DC940" s="61" t="e">
        <v>#N/A</v>
      </c>
      <c r="DD940" s="61" t="e">
        <v>#N/A</v>
      </c>
      <c r="DE940" s="61" t="e">
        <v>#N/A</v>
      </c>
      <c r="DF940" s="61" t="e">
        <v>#N/A</v>
      </c>
      <c r="DG940" s="61" t="e">
        <v>#N/A</v>
      </c>
      <c r="DH940" s="61" t="e">
        <v>#N/A</v>
      </c>
      <c r="DI940" s="61" t="e">
        <v>#N/A</v>
      </c>
      <c r="DJ940" s="61" t="e">
        <v>#N/A</v>
      </c>
    </row>
    <row r="941" spans="14:114">
      <c r="N941" s="61" t="str">
        <f t="shared" si="126"/>
        <v/>
      </c>
      <c r="O941" s="53" t="str">
        <f t="shared" si="127"/>
        <v>click</v>
      </c>
      <c r="P941" s="61" t="str">
        <f t="shared" si="129"/>
        <v>();</v>
      </c>
      <c r="S941" s="61" t="str">
        <f t="shared" si="128"/>
        <v/>
      </c>
      <c r="CU941" s="61" t="e">
        <v>#N/A</v>
      </c>
      <c r="CV941" s="61" t="e">
        <v>#N/A</v>
      </c>
      <c r="CW941" s="61" t="e">
        <v>#N/A</v>
      </c>
      <c r="CX941" s="61" t="e">
        <v>#N/A</v>
      </c>
      <c r="CY941" s="61" t="e">
        <v>#N/A</v>
      </c>
      <c r="CZ941" s="61" t="e">
        <v>#N/A</v>
      </c>
      <c r="DA941" s="61" t="e">
        <v>#N/A</v>
      </c>
      <c r="DB941" s="61" t="e">
        <v>#N/A</v>
      </c>
      <c r="DC941" s="61" t="e">
        <v>#N/A</v>
      </c>
      <c r="DD941" s="61" t="e">
        <v>#N/A</v>
      </c>
      <c r="DE941" s="61" t="e">
        <v>#N/A</v>
      </c>
      <c r="DF941" s="61" t="e">
        <v>#N/A</v>
      </c>
      <c r="DG941" s="61" t="e">
        <v>#N/A</v>
      </c>
      <c r="DH941" s="61" t="e">
        <v>#N/A</v>
      </c>
      <c r="DI941" s="61" t="e">
        <v>#N/A</v>
      </c>
      <c r="DJ941" s="61" t="e">
        <v>#N/A</v>
      </c>
    </row>
    <row r="942" spans="14:114">
      <c r="N942" s="61" t="str">
        <f t="shared" si="126"/>
        <v/>
      </c>
      <c r="O942" s="53" t="str">
        <f t="shared" si="127"/>
        <v>click</v>
      </c>
      <c r="P942" s="61" t="str">
        <f t="shared" si="129"/>
        <v>();</v>
      </c>
      <c r="S942" s="61" t="str">
        <f t="shared" si="128"/>
        <v/>
      </c>
      <c r="CU942" s="61" t="e">
        <v>#N/A</v>
      </c>
      <c r="CV942" s="61" t="e">
        <v>#N/A</v>
      </c>
      <c r="CW942" s="61" t="e">
        <v>#N/A</v>
      </c>
      <c r="CX942" s="61" t="e">
        <v>#N/A</v>
      </c>
      <c r="CY942" s="61" t="e">
        <v>#N/A</v>
      </c>
      <c r="CZ942" s="61" t="e">
        <v>#N/A</v>
      </c>
      <c r="DA942" s="61" t="e">
        <v>#N/A</v>
      </c>
      <c r="DB942" s="61" t="e">
        <v>#N/A</v>
      </c>
      <c r="DC942" s="61" t="e">
        <v>#N/A</v>
      </c>
      <c r="DD942" s="61" t="e">
        <v>#N/A</v>
      </c>
      <c r="DE942" s="61" t="e">
        <v>#N/A</v>
      </c>
      <c r="DF942" s="61" t="e">
        <v>#N/A</v>
      </c>
      <c r="DG942" s="61" t="e">
        <v>#N/A</v>
      </c>
      <c r="DH942" s="61" t="e">
        <v>#N/A</v>
      </c>
      <c r="DI942" s="61" t="e">
        <v>#N/A</v>
      </c>
      <c r="DJ942" s="61" t="e">
        <v>#N/A</v>
      </c>
    </row>
    <row r="943" spans="14:114">
      <c r="N943" s="61" t="str">
        <f t="shared" si="126"/>
        <v/>
      </c>
      <c r="O943" s="53" t="str">
        <f t="shared" si="127"/>
        <v>click</v>
      </c>
      <c r="P943" s="61" t="str">
        <f t="shared" si="129"/>
        <v>();</v>
      </c>
      <c r="S943" s="61" t="str">
        <f t="shared" si="128"/>
        <v/>
      </c>
      <c r="CU943" s="61" t="e">
        <v>#N/A</v>
      </c>
      <c r="CV943" s="61" t="e">
        <v>#N/A</v>
      </c>
      <c r="CW943" s="61" t="e">
        <v>#N/A</v>
      </c>
      <c r="CX943" s="61" t="e">
        <v>#N/A</v>
      </c>
      <c r="CY943" s="61" t="e">
        <v>#N/A</v>
      </c>
      <c r="CZ943" s="61" t="e">
        <v>#N/A</v>
      </c>
      <c r="DA943" s="61" t="e">
        <v>#N/A</v>
      </c>
      <c r="DB943" s="61" t="e">
        <v>#N/A</v>
      </c>
      <c r="DC943" s="61" t="e">
        <v>#N/A</v>
      </c>
      <c r="DD943" s="61" t="e">
        <v>#N/A</v>
      </c>
      <c r="DE943" s="61" t="e">
        <v>#N/A</v>
      </c>
      <c r="DF943" s="61" t="e">
        <v>#N/A</v>
      </c>
      <c r="DG943" s="61" t="e">
        <v>#N/A</v>
      </c>
      <c r="DH943" s="61" t="e">
        <v>#N/A</v>
      </c>
      <c r="DI943" s="61" t="e">
        <v>#N/A</v>
      </c>
      <c r="DJ943" s="61" t="e">
        <v>#N/A</v>
      </c>
    </row>
    <row r="944" spans="14:114">
      <c r="N944" s="61" t="str">
        <f t="shared" si="126"/>
        <v/>
      </c>
      <c r="O944" s="53" t="str">
        <f t="shared" si="127"/>
        <v>click</v>
      </c>
      <c r="P944" s="61" t="str">
        <f t="shared" si="129"/>
        <v>();</v>
      </c>
      <c r="S944" s="61" t="str">
        <f t="shared" si="128"/>
        <v/>
      </c>
      <c r="CU944" s="61" t="e">
        <v>#N/A</v>
      </c>
      <c r="CV944" s="61" t="e">
        <v>#N/A</v>
      </c>
      <c r="CW944" s="61" t="e">
        <v>#N/A</v>
      </c>
      <c r="CX944" s="61" t="e">
        <v>#N/A</v>
      </c>
      <c r="CY944" s="61" t="e">
        <v>#N/A</v>
      </c>
      <c r="CZ944" s="61" t="e">
        <v>#N/A</v>
      </c>
      <c r="DA944" s="61" t="e">
        <v>#N/A</v>
      </c>
      <c r="DB944" s="61" t="e">
        <v>#N/A</v>
      </c>
      <c r="DC944" s="61" t="e">
        <v>#N/A</v>
      </c>
      <c r="DD944" s="61" t="e">
        <v>#N/A</v>
      </c>
      <c r="DE944" s="61" t="e">
        <v>#N/A</v>
      </c>
      <c r="DF944" s="61" t="e">
        <v>#N/A</v>
      </c>
      <c r="DG944" s="61" t="e">
        <v>#N/A</v>
      </c>
      <c r="DH944" s="61" t="e">
        <v>#N/A</v>
      </c>
      <c r="DI944" s="61" t="e">
        <v>#N/A</v>
      </c>
      <c r="DJ944" s="61" t="e">
        <v>#N/A</v>
      </c>
    </row>
    <row r="945" spans="14:114">
      <c r="N945" s="61" t="str">
        <f t="shared" si="126"/>
        <v/>
      </c>
      <c r="O945" s="53" t="str">
        <f t="shared" si="127"/>
        <v>click</v>
      </c>
      <c r="P945" s="61" t="str">
        <f t="shared" si="129"/>
        <v>();</v>
      </c>
      <c r="S945" s="61" t="str">
        <f t="shared" si="128"/>
        <v/>
      </c>
      <c r="CU945" s="61" t="e">
        <v>#N/A</v>
      </c>
      <c r="CV945" s="61" t="e">
        <v>#N/A</v>
      </c>
      <c r="CW945" s="61" t="e">
        <v>#N/A</v>
      </c>
      <c r="CX945" s="61" t="e">
        <v>#N/A</v>
      </c>
      <c r="CY945" s="61" t="e">
        <v>#N/A</v>
      </c>
      <c r="CZ945" s="61" t="e">
        <v>#N/A</v>
      </c>
      <c r="DA945" s="61" t="e">
        <v>#N/A</v>
      </c>
      <c r="DB945" s="61" t="e">
        <v>#N/A</v>
      </c>
      <c r="DC945" s="61" t="e">
        <v>#N/A</v>
      </c>
      <c r="DD945" s="61" t="e">
        <v>#N/A</v>
      </c>
      <c r="DE945" s="61" t="e">
        <v>#N/A</v>
      </c>
      <c r="DF945" s="61" t="e">
        <v>#N/A</v>
      </c>
      <c r="DG945" s="61" t="e">
        <v>#N/A</v>
      </c>
      <c r="DH945" s="61" t="e">
        <v>#N/A</v>
      </c>
      <c r="DI945" s="61" t="e">
        <v>#N/A</v>
      </c>
      <c r="DJ945" s="61" t="e">
        <v>#N/A</v>
      </c>
    </row>
    <row r="946" spans="14:114">
      <c r="N946" s="61" t="str">
        <f t="shared" si="126"/>
        <v/>
      </c>
      <c r="O946" s="53" t="str">
        <f t="shared" si="127"/>
        <v>click</v>
      </c>
      <c r="P946" s="61" t="str">
        <f t="shared" si="129"/>
        <v>();</v>
      </c>
      <c r="S946" s="61" t="str">
        <f t="shared" si="128"/>
        <v/>
      </c>
      <c r="CU946" s="61" t="e">
        <v>#N/A</v>
      </c>
      <c r="CV946" s="61" t="e">
        <v>#N/A</v>
      </c>
      <c r="CW946" s="61" t="e">
        <v>#N/A</v>
      </c>
      <c r="CX946" s="61" t="e">
        <v>#N/A</v>
      </c>
      <c r="CY946" s="61" t="e">
        <v>#N/A</v>
      </c>
      <c r="CZ946" s="61" t="e">
        <v>#N/A</v>
      </c>
      <c r="DA946" s="61" t="e">
        <v>#N/A</v>
      </c>
      <c r="DB946" s="61" t="e">
        <v>#N/A</v>
      </c>
      <c r="DC946" s="61" t="e">
        <v>#N/A</v>
      </c>
      <c r="DD946" s="61" t="e">
        <v>#N/A</v>
      </c>
      <c r="DE946" s="61" t="e">
        <v>#N/A</v>
      </c>
      <c r="DF946" s="61" t="e">
        <v>#N/A</v>
      </c>
      <c r="DG946" s="61" t="e">
        <v>#N/A</v>
      </c>
      <c r="DH946" s="61" t="e">
        <v>#N/A</v>
      </c>
      <c r="DI946" s="61" t="e">
        <v>#N/A</v>
      </c>
      <c r="DJ946" s="61" t="e">
        <v>#N/A</v>
      </c>
    </row>
    <row r="947" spans="14:114">
      <c r="N947" s="61" t="str">
        <f t="shared" si="126"/>
        <v/>
      </c>
      <c r="O947" s="53" t="str">
        <f t="shared" si="127"/>
        <v>click</v>
      </c>
      <c r="P947" s="61" t="str">
        <f t="shared" si="129"/>
        <v>();</v>
      </c>
      <c r="S947" s="61" t="str">
        <f t="shared" si="128"/>
        <v/>
      </c>
      <c r="CU947" s="61" t="e">
        <v>#N/A</v>
      </c>
      <c r="CV947" s="61" t="e">
        <v>#N/A</v>
      </c>
      <c r="CW947" s="61" t="e">
        <v>#N/A</v>
      </c>
      <c r="CX947" s="61" t="e">
        <v>#N/A</v>
      </c>
      <c r="CY947" s="61" t="e">
        <v>#N/A</v>
      </c>
      <c r="CZ947" s="61" t="e">
        <v>#N/A</v>
      </c>
      <c r="DA947" s="61" t="e">
        <v>#N/A</v>
      </c>
      <c r="DB947" s="61" t="e">
        <v>#N/A</v>
      </c>
      <c r="DC947" s="61" t="e">
        <v>#N/A</v>
      </c>
      <c r="DD947" s="61" t="e">
        <v>#N/A</v>
      </c>
      <c r="DE947" s="61" t="e">
        <v>#N/A</v>
      </c>
      <c r="DF947" s="61" t="e">
        <v>#N/A</v>
      </c>
      <c r="DG947" s="61" t="e">
        <v>#N/A</v>
      </c>
      <c r="DH947" s="61" t="e">
        <v>#N/A</v>
      </c>
      <c r="DI947" s="61" t="e">
        <v>#N/A</v>
      </c>
      <c r="DJ947" s="61" t="e">
        <v>#N/A</v>
      </c>
    </row>
    <row r="948" spans="14:114">
      <c r="N948" s="61" t="str">
        <f t="shared" si="126"/>
        <v/>
      </c>
      <c r="O948" s="53" t="str">
        <f t="shared" si="127"/>
        <v>click</v>
      </c>
      <c r="P948" s="61" t="str">
        <f t="shared" si="129"/>
        <v>();</v>
      </c>
      <c r="S948" s="61" t="str">
        <f t="shared" si="128"/>
        <v/>
      </c>
      <c r="CU948" s="61" t="e">
        <v>#N/A</v>
      </c>
      <c r="CV948" s="61" t="e">
        <v>#N/A</v>
      </c>
      <c r="CW948" s="61" t="e">
        <v>#N/A</v>
      </c>
      <c r="CX948" s="61" t="e">
        <v>#N/A</v>
      </c>
      <c r="CY948" s="61" t="e">
        <v>#N/A</v>
      </c>
      <c r="CZ948" s="61" t="e">
        <v>#N/A</v>
      </c>
      <c r="DA948" s="61" t="e">
        <v>#N/A</v>
      </c>
      <c r="DB948" s="61" t="e">
        <v>#N/A</v>
      </c>
      <c r="DC948" s="61" t="e">
        <v>#N/A</v>
      </c>
      <c r="DD948" s="61" t="e">
        <v>#N/A</v>
      </c>
      <c r="DE948" s="61" t="e">
        <v>#N/A</v>
      </c>
      <c r="DF948" s="61" t="e">
        <v>#N/A</v>
      </c>
      <c r="DG948" s="61" t="e">
        <v>#N/A</v>
      </c>
      <c r="DH948" s="61" t="e">
        <v>#N/A</v>
      </c>
      <c r="DI948" s="61" t="e">
        <v>#N/A</v>
      </c>
      <c r="DJ948" s="61" t="e">
        <v>#N/A</v>
      </c>
    </row>
    <row r="949" spans="14:114">
      <c r="N949" s="61" t="str">
        <f t="shared" si="126"/>
        <v/>
      </c>
      <c r="O949" s="53" t="str">
        <f t="shared" si="127"/>
        <v>click</v>
      </c>
      <c r="P949" s="61" t="str">
        <f t="shared" si="129"/>
        <v>();</v>
      </c>
      <c r="S949" s="61" t="str">
        <f t="shared" si="128"/>
        <v/>
      </c>
      <c r="CU949" s="61" t="e">
        <v>#N/A</v>
      </c>
      <c r="CV949" s="61" t="e">
        <v>#N/A</v>
      </c>
      <c r="CW949" s="61" t="e">
        <v>#N/A</v>
      </c>
      <c r="CX949" s="61" t="e">
        <v>#N/A</v>
      </c>
      <c r="CY949" s="61" t="e">
        <v>#N/A</v>
      </c>
      <c r="CZ949" s="61" t="e">
        <v>#N/A</v>
      </c>
      <c r="DA949" s="61" t="e">
        <v>#N/A</v>
      </c>
      <c r="DB949" s="61" t="e">
        <v>#N/A</v>
      </c>
      <c r="DC949" s="61" t="e">
        <v>#N/A</v>
      </c>
      <c r="DD949" s="61" t="e">
        <v>#N/A</v>
      </c>
      <c r="DE949" s="61" t="e">
        <v>#N/A</v>
      </c>
      <c r="DF949" s="61" t="e">
        <v>#N/A</v>
      </c>
      <c r="DG949" s="61" t="e">
        <v>#N/A</v>
      </c>
      <c r="DH949" s="61" t="e">
        <v>#N/A</v>
      </c>
      <c r="DI949" s="61" t="e">
        <v>#N/A</v>
      </c>
      <c r="DJ949" s="61" t="e">
        <v>#N/A</v>
      </c>
    </row>
    <row r="950" spans="14:114">
      <c r="N950" s="61" t="str">
        <f t="shared" si="126"/>
        <v/>
      </c>
      <c r="O950" s="53" t="str">
        <f t="shared" si="127"/>
        <v>click</v>
      </c>
      <c r="P950" s="61" t="str">
        <f t="shared" si="129"/>
        <v>();</v>
      </c>
      <c r="S950" s="61" t="str">
        <f t="shared" si="128"/>
        <v/>
      </c>
      <c r="CU950" s="61" t="e">
        <v>#N/A</v>
      </c>
      <c r="CV950" s="61" t="e">
        <v>#N/A</v>
      </c>
      <c r="CW950" s="61" t="e">
        <v>#N/A</v>
      </c>
      <c r="CX950" s="61" t="e">
        <v>#N/A</v>
      </c>
      <c r="CY950" s="61" t="e">
        <v>#N/A</v>
      </c>
      <c r="CZ950" s="61" t="e">
        <v>#N/A</v>
      </c>
      <c r="DA950" s="61" t="e">
        <v>#N/A</v>
      </c>
      <c r="DB950" s="61" t="e">
        <v>#N/A</v>
      </c>
      <c r="DC950" s="61" t="e">
        <v>#N/A</v>
      </c>
      <c r="DD950" s="61" t="e">
        <v>#N/A</v>
      </c>
      <c r="DE950" s="61" t="e">
        <v>#N/A</v>
      </c>
      <c r="DF950" s="61" t="e">
        <v>#N/A</v>
      </c>
      <c r="DG950" s="61" t="e">
        <v>#N/A</v>
      </c>
      <c r="DH950" s="61" t="e">
        <v>#N/A</v>
      </c>
      <c r="DI950" s="61" t="e">
        <v>#N/A</v>
      </c>
      <c r="DJ950" s="61" t="e">
        <v>#N/A</v>
      </c>
    </row>
    <row r="951" spans="14:114">
      <c r="N951" s="61" t="str">
        <f t="shared" si="126"/>
        <v/>
      </c>
      <c r="O951" s="53" t="str">
        <f t="shared" si="127"/>
        <v>click</v>
      </c>
      <c r="P951" s="61" t="str">
        <f t="shared" si="129"/>
        <v>();</v>
      </c>
      <c r="S951" s="61" t="str">
        <f t="shared" si="128"/>
        <v/>
      </c>
      <c r="CU951" s="61" t="e">
        <v>#N/A</v>
      </c>
      <c r="CV951" s="61" t="e">
        <v>#N/A</v>
      </c>
      <c r="CW951" s="61" t="e">
        <v>#N/A</v>
      </c>
      <c r="CX951" s="61" t="e">
        <v>#N/A</v>
      </c>
      <c r="CY951" s="61" t="e">
        <v>#N/A</v>
      </c>
      <c r="CZ951" s="61" t="e">
        <v>#N/A</v>
      </c>
      <c r="DA951" s="61" t="e">
        <v>#N/A</v>
      </c>
      <c r="DB951" s="61" t="e">
        <v>#N/A</v>
      </c>
      <c r="DC951" s="61" t="e">
        <v>#N/A</v>
      </c>
      <c r="DD951" s="61" t="e">
        <v>#N/A</v>
      </c>
      <c r="DE951" s="61" t="e">
        <v>#N/A</v>
      </c>
      <c r="DF951" s="61" t="e">
        <v>#N/A</v>
      </c>
      <c r="DG951" s="61" t="e">
        <v>#N/A</v>
      </c>
      <c r="DH951" s="61" t="e">
        <v>#N/A</v>
      </c>
      <c r="DI951" s="61" t="e">
        <v>#N/A</v>
      </c>
      <c r="DJ951" s="61" t="e">
        <v>#N/A</v>
      </c>
    </row>
    <row r="952" spans="14:114">
      <c r="N952" s="61" t="str">
        <f t="shared" si="126"/>
        <v/>
      </c>
      <c r="O952" s="53" t="str">
        <f t="shared" si="127"/>
        <v>click</v>
      </c>
      <c r="P952" s="61" t="str">
        <f t="shared" si="129"/>
        <v>();</v>
      </c>
      <c r="S952" s="61" t="str">
        <f t="shared" si="128"/>
        <v/>
      </c>
      <c r="CU952" s="61" t="e">
        <v>#N/A</v>
      </c>
      <c r="CV952" s="61" t="e">
        <v>#N/A</v>
      </c>
      <c r="CW952" s="61" t="e">
        <v>#N/A</v>
      </c>
      <c r="CX952" s="61" t="e">
        <v>#N/A</v>
      </c>
      <c r="CY952" s="61" t="e">
        <v>#N/A</v>
      </c>
      <c r="CZ952" s="61" t="e">
        <v>#N/A</v>
      </c>
      <c r="DA952" s="61" t="e">
        <v>#N/A</v>
      </c>
      <c r="DB952" s="61" t="e">
        <v>#N/A</v>
      </c>
      <c r="DC952" s="61" t="e">
        <v>#N/A</v>
      </c>
      <c r="DD952" s="61" t="e">
        <v>#N/A</v>
      </c>
      <c r="DE952" s="61" t="e">
        <v>#N/A</v>
      </c>
      <c r="DF952" s="61" t="e">
        <v>#N/A</v>
      </c>
      <c r="DG952" s="61" t="e">
        <v>#N/A</v>
      </c>
      <c r="DH952" s="61" t="e">
        <v>#N/A</v>
      </c>
      <c r="DI952" s="61" t="e">
        <v>#N/A</v>
      </c>
      <c r="DJ952" s="61" t="e">
        <v>#N/A</v>
      </c>
    </row>
    <row r="953" spans="14:114">
      <c r="N953" s="61" t="str">
        <f t="shared" si="126"/>
        <v/>
      </c>
      <c r="O953" s="53" t="str">
        <f t="shared" si="127"/>
        <v>click</v>
      </c>
      <c r="P953" s="61" t="str">
        <f t="shared" si="129"/>
        <v>();</v>
      </c>
      <c r="S953" s="61" t="str">
        <f t="shared" si="128"/>
        <v/>
      </c>
      <c r="CU953" s="61" t="e">
        <v>#N/A</v>
      </c>
      <c r="CV953" s="61" t="e">
        <v>#N/A</v>
      </c>
      <c r="CW953" s="61" t="e">
        <v>#N/A</v>
      </c>
      <c r="CX953" s="61" t="e">
        <v>#N/A</v>
      </c>
      <c r="CY953" s="61" t="e">
        <v>#N/A</v>
      </c>
      <c r="CZ953" s="61" t="e">
        <v>#N/A</v>
      </c>
      <c r="DA953" s="61" t="e">
        <v>#N/A</v>
      </c>
      <c r="DB953" s="61" t="e">
        <v>#N/A</v>
      </c>
      <c r="DC953" s="61" t="e">
        <v>#N/A</v>
      </c>
      <c r="DD953" s="61" t="e">
        <v>#N/A</v>
      </c>
      <c r="DE953" s="61" t="e">
        <v>#N/A</v>
      </c>
      <c r="DF953" s="61" t="e">
        <v>#N/A</v>
      </c>
      <c r="DG953" s="61" t="e">
        <v>#N/A</v>
      </c>
      <c r="DH953" s="61" t="e">
        <v>#N/A</v>
      </c>
      <c r="DI953" s="61" t="e">
        <v>#N/A</v>
      </c>
      <c r="DJ953" s="61" t="e">
        <v>#N/A</v>
      </c>
    </row>
    <row r="954" spans="14:114">
      <c r="N954" s="61" t="str">
        <f t="shared" si="126"/>
        <v/>
      </c>
      <c r="O954" s="53" t="str">
        <f t="shared" si="127"/>
        <v>click</v>
      </c>
      <c r="P954" s="61" t="str">
        <f t="shared" si="129"/>
        <v>();</v>
      </c>
      <c r="S954" s="61" t="str">
        <f t="shared" si="128"/>
        <v/>
      </c>
      <c r="CU954" s="61" t="e">
        <v>#N/A</v>
      </c>
      <c r="CV954" s="61" t="e">
        <v>#N/A</v>
      </c>
      <c r="CW954" s="61" t="e">
        <v>#N/A</v>
      </c>
      <c r="CX954" s="61" t="e">
        <v>#N/A</v>
      </c>
      <c r="CY954" s="61" t="e">
        <v>#N/A</v>
      </c>
      <c r="CZ954" s="61" t="e">
        <v>#N/A</v>
      </c>
      <c r="DA954" s="61" t="e">
        <v>#N/A</v>
      </c>
      <c r="DB954" s="61" t="e">
        <v>#N/A</v>
      </c>
      <c r="DC954" s="61" t="e">
        <v>#N/A</v>
      </c>
      <c r="DD954" s="61" t="e">
        <v>#N/A</v>
      </c>
      <c r="DE954" s="61" t="e">
        <v>#N/A</v>
      </c>
      <c r="DF954" s="61" t="e">
        <v>#N/A</v>
      </c>
      <c r="DG954" s="61" t="e">
        <v>#N/A</v>
      </c>
      <c r="DH954" s="61" t="e">
        <v>#N/A</v>
      </c>
      <c r="DI954" s="61" t="e">
        <v>#N/A</v>
      </c>
      <c r="DJ954" s="61" t="e">
        <v>#N/A</v>
      </c>
    </row>
    <row r="955" spans="14:114">
      <c r="N955" s="61" t="str">
        <f t="shared" si="126"/>
        <v/>
      </c>
      <c r="O955" s="53" t="str">
        <f t="shared" si="127"/>
        <v>click</v>
      </c>
      <c r="P955" s="61" t="str">
        <f t="shared" si="129"/>
        <v>();</v>
      </c>
      <c r="S955" s="61" t="str">
        <f t="shared" si="128"/>
        <v/>
      </c>
      <c r="CU955" s="61" t="e">
        <v>#N/A</v>
      </c>
      <c r="CV955" s="61" t="e">
        <v>#N/A</v>
      </c>
      <c r="CW955" s="61" t="e">
        <v>#N/A</v>
      </c>
      <c r="CX955" s="61" t="e">
        <v>#N/A</v>
      </c>
      <c r="CY955" s="61" t="e">
        <v>#N/A</v>
      </c>
      <c r="CZ955" s="61" t="e">
        <v>#N/A</v>
      </c>
      <c r="DA955" s="61" t="e">
        <v>#N/A</v>
      </c>
      <c r="DB955" s="61" t="e">
        <v>#N/A</v>
      </c>
      <c r="DC955" s="61" t="e">
        <v>#N/A</v>
      </c>
      <c r="DD955" s="61" t="e">
        <v>#N/A</v>
      </c>
      <c r="DE955" s="61" t="e">
        <v>#N/A</v>
      </c>
      <c r="DF955" s="61" t="e">
        <v>#N/A</v>
      </c>
      <c r="DG955" s="61" t="e">
        <v>#N/A</v>
      </c>
      <c r="DH955" s="61" t="e">
        <v>#N/A</v>
      </c>
      <c r="DI955" s="61" t="e">
        <v>#N/A</v>
      </c>
      <c r="DJ955" s="61" t="e">
        <v>#N/A</v>
      </c>
    </row>
    <row r="956" spans="14:114">
      <c r="N956" s="61" t="str">
        <f t="shared" si="126"/>
        <v/>
      </c>
      <c r="O956" s="53" t="str">
        <f t="shared" si="127"/>
        <v>click</v>
      </c>
      <c r="P956" s="61" t="str">
        <f t="shared" si="129"/>
        <v>();</v>
      </c>
      <c r="S956" s="61" t="str">
        <f t="shared" si="128"/>
        <v/>
      </c>
      <c r="CU956" s="61" t="e">
        <v>#N/A</v>
      </c>
      <c r="CV956" s="61" t="e">
        <v>#N/A</v>
      </c>
      <c r="CW956" s="61" t="e">
        <v>#N/A</v>
      </c>
      <c r="CX956" s="61" t="e">
        <v>#N/A</v>
      </c>
      <c r="CY956" s="61" t="e">
        <v>#N/A</v>
      </c>
      <c r="CZ956" s="61" t="e">
        <v>#N/A</v>
      </c>
      <c r="DA956" s="61" t="e">
        <v>#N/A</v>
      </c>
      <c r="DB956" s="61" t="e">
        <v>#N/A</v>
      </c>
      <c r="DC956" s="61" t="e">
        <v>#N/A</v>
      </c>
      <c r="DD956" s="61" t="e">
        <v>#N/A</v>
      </c>
      <c r="DE956" s="61" t="e">
        <v>#N/A</v>
      </c>
      <c r="DF956" s="61" t="e">
        <v>#N/A</v>
      </c>
      <c r="DG956" s="61" t="e">
        <v>#N/A</v>
      </c>
      <c r="DH956" s="61" t="e">
        <v>#N/A</v>
      </c>
      <c r="DI956" s="61" t="e">
        <v>#N/A</v>
      </c>
      <c r="DJ956" s="61" t="e">
        <v>#N/A</v>
      </c>
    </row>
    <row r="957" spans="14:114">
      <c r="N957" s="61" t="str">
        <f t="shared" si="126"/>
        <v/>
      </c>
      <c r="O957" s="53" t="str">
        <f t="shared" si="127"/>
        <v>click</v>
      </c>
      <c r="P957" s="61" t="str">
        <f t="shared" si="129"/>
        <v>();</v>
      </c>
      <c r="S957" s="61" t="str">
        <f t="shared" si="128"/>
        <v/>
      </c>
      <c r="CU957" s="61" t="e">
        <v>#N/A</v>
      </c>
      <c r="CV957" s="61" t="e">
        <v>#N/A</v>
      </c>
      <c r="CW957" s="61" t="e">
        <v>#N/A</v>
      </c>
      <c r="CX957" s="61" t="e">
        <v>#N/A</v>
      </c>
      <c r="CY957" s="61" t="e">
        <v>#N/A</v>
      </c>
      <c r="CZ957" s="61" t="e">
        <v>#N/A</v>
      </c>
      <c r="DA957" s="61" t="e">
        <v>#N/A</v>
      </c>
      <c r="DB957" s="61" t="e">
        <v>#N/A</v>
      </c>
      <c r="DC957" s="61" t="e">
        <v>#N/A</v>
      </c>
      <c r="DD957" s="61" t="e">
        <v>#N/A</v>
      </c>
      <c r="DE957" s="61" t="e">
        <v>#N/A</v>
      </c>
      <c r="DF957" s="61" t="e">
        <v>#N/A</v>
      </c>
      <c r="DG957" s="61" t="e">
        <v>#N/A</v>
      </c>
      <c r="DH957" s="61" t="e">
        <v>#N/A</v>
      </c>
      <c r="DI957" s="61" t="e">
        <v>#N/A</v>
      </c>
      <c r="DJ957" s="61" t="e">
        <v>#N/A</v>
      </c>
    </row>
    <row r="958" spans="14:114">
      <c r="N958" s="61" t="str">
        <f t="shared" si="126"/>
        <v/>
      </c>
      <c r="O958" s="53" t="str">
        <f t="shared" si="127"/>
        <v>click</v>
      </c>
      <c r="P958" s="61" t="str">
        <f t="shared" si="129"/>
        <v>();</v>
      </c>
      <c r="S958" s="61" t="str">
        <f t="shared" si="128"/>
        <v/>
      </c>
      <c r="CU958" s="61" t="e">
        <v>#N/A</v>
      </c>
      <c r="CV958" s="61" t="e">
        <v>#N/A</v>
      </c>
      <c r="CW958" s="61" t="e">
        <v>#N/A</v>
      </c>
      <c r="CX958" s="61" t="e">
        <v>#N/A</v>
      </c>
      <c r="CY958" s="61" t="e">
        <v>#N/A</v>
      </c>
      <c r="CZ958" s="61" t="e">
        <v>#N/A</v>
      </c>
      <c r="DA958" s="61" t="e">
        <v>#N/A</v>
      </c>
      <c r="DB958" s="61" t="e">
        <v>#N/A</v>
      </c>
      <c r="DC958" s="61" t="e">
        <v>#N/A</v>
      </c>
      <c r="DD958" s="61" t="e">
        <v>#N/A</v>
      </c>
      <c r="DE958" s="61" t="e">
        <v>#N/A</v>
      </c>
      <c r="DF958" s="61" t="e">
        <v>#N/A</v>
      </c>
      <c r="DG958" s="61" t="e">
        <v>#N/A</v>
      </c>
      <c r="DH958" s="61" t="e">
        <v>#N/A</v>
      </c>
      <c r="DI958" s="61" t="e">
        <v>#N/A</v>
      </c>
      <c r="DJ958" s="61" t="e">
        <v>#N/A</v>
      </c>
    </row>
    <row r="959" spans="14:114">
      <c r="N959" s="61" t="str">
        <f t="shared" si="126"/>
        <v/>
      </c>
      <c r="O959" s="53" t="str">
        <f t="shared" si="127"/>
        <v>click</v>
      </c>
      <c r="P959" s="61" t="str">
        <f t="shared" si="129"/>
        <v>();</v>
      </c>
      <c r="S959" s="61" t="str">
        <f t="shared" si="128"/>
        <v/>
      </c>
      <c r="CU959" s="61" t="e">
        <v>#N/A</v>
      </c>
      <c r="CV959" s="61" t="e">
        <v>#N/A</v>
      </c>
      <c r="CW959" s="61" t="e">
        <v>#N/A</v>
      </c>
      <c r="CX959" s="61" t="e">
        <v>#N/A</v>
      </c>
      <c r="CY959" s="61" t="e">
        <v>#N/A</v>
      </c>
      <c r="CZ959" s="61" t="e">
        <v>#N/A</v>
      </c>
      <c r="DA959" s="61" t="e">
        <v>#N/A</v>
      </c>
      <c r="DB959" s="61" t="e">
        <v>#N/A</v>
      </c>
      <c r="DC959" s="61" t="e">
        <v>#N/A</v>
      </c>
      <c r="DD959" s="61" t="e">
        <v>#N/A</v>
      </c>
      <c r="DE959" s="61" t="e">
        <v>#N/A</v>
      </c>
      <c r="DF959" s="61" t="e">
        <v>#N/A</v>
      </c>
      <c r="DG959" s="61" t="e">
        <v>#N/A</v>
      </c>
      <c r="DH959" s="61" t="e">
        <v>#N/A</v>
      </c>
      <c r="DI959" s="61" t="e">
        <v>#N/A</v>
      </c>
      <c r="DJ959" s="61" t="e">
        <v>#N/A</v>
      </c>
    </row>
    <row r="960" spans="14:114">
      <c r="N960" s="61" t="str">
        <f t="shared" si="126"/>
        <v/>
      </c>
      <c r="O960" s="53" t="str">
        <f t="shared" si="127"/>
        <v>click</v>
      </c>
      <c r="P960" s="61" t="str">
        <f t="shared" si="129"/>
        <v>();</v>
      </c>
      <c r="S960" s="61" t="str">
        <f t="shared" si="128"/>
        <v/>
      </c>
      <c r="CU960" s="61" t="e">
        <v>#N/A</v>
      </c>
      <c r="CV960" s="61" t="e">
        <v>#N/A</v>
      </c>
      <c r="CW960" s="61" t="e">
        <v>#N/A</v>
      </c>
      <c r="CX960" s="61" t="e">
        <v>#N/A</v>
      </c>
      <c r="CY960" s="61" t="e">
        <v>#N/A</v>
      </c>
      <c r="CZ960" s="61" t="e">
        <v>#N/A</v>
      </c>
      <c r="DA960" s="61" t="e">
        <v>#N/A</v>
      </c>
      <c r="DB960" s="61" t="e">
        <v>#N/A</v>
      </c>
      <c r="DC960" s="61" t="e">
        <v>#N/A</v>
      </c>
      <c r="DD960" s="61" t="e">
        <v>#N/A</v>
      </c>
      <c r="DE960" s="61" t="e">
        <v>#N/A</v>
      </c>
      <c r="DF960" s="61" t="e">
        <v>#N/A</v>
      </c>
      <c r="DG960" s="61" t="e">
        <v>#N/A</v>
      </c>
      <c r="DH960" s="61" t="e">
        <v>#N/A</v>
      </c>
      <c r="DI960" s="61" t="e">
        <v>#N/A</v>
      </c>
      <c r="DJ960" s="61" t="e">
        <v>#N/A</v>
      </c>
    </row>
    <row r="961" spans="14:114">
      <c r="N961" s="61" t="str">
        <f t="shared" si="126"/>
        <v/>
      </c>
      <c r="O961" s="53" t="str">
        <f t="shared" si="127"/>
        <v>click</v>
      </c>
      <c r="P961" s="61" t="str">
        <f t="shared" si="129"/>
        <v>();</v>
      </c>
      <c r="S961" s="61" t="str">
        <f t="shared" si="128"/>
        <v/>
      </c>
      <c r="CU961" s="61" t="e">
        <v>#N/A</v>
      </c>
      <c r="CV961" s="61" t="e">
        <v>#N/A</v>
      </c>
      <c r="CW961" s="61" t="e">
        <v>#N/A</v>
      </c>
      <c r="CX961" s="61" t="e">
        <v>#N/A</v>
      </c>
      <c r="CY961" s="61" t="e">
        <v>#N/A</v>
      </c>
      <c r="CZ961" s="61" t="e">
        <v>#N/A</v>
      </c>
      <c r="DA961" s="61" t="e">
        <v>#N/A</v>
      </c>
      <c r="DB961" s="61" t="e">
        <v>#N/A</v>
      </c>
      <c r="DC961" s="61" t="e">
        <v>#N/A</v>
      </c>
      <c r="DD961" s="61" t="e">
        <v>#N/A</v>
      </c>
      <c r="DE961" s="61" t="e">
        <v>#N/A</v>
      </c>
      <c r="DF961" s="61" t="e">
        <v>#N/A</v>
      </c>
      <c r="DG961" s="61" t="e">
        <v>#N/A</v>
      </c>
      <c r="DH961" s="61" t="e">
        <v>#N/A</v>
      </c>
      <c r="DI961" s="61" t="e">
        <v>#N/A</v>
      </c>
      <c r="DJ961" s="61" t="e">
        <v>#N/A</v>
      </c>
    </row>
    <row r="962" spans="14:114">
      <c r="N962" s="61" t="str">
        <f t="shared" si="126"/>
        <v/>
      </c>
      <c r="O962" s="53" t="str">
        <f t="shared" si="127"/>
        <v>click</v>
      </c>
      <c r="P962" s="61" t="str">
        <f t="shared" si="129"/>
        <v>();</v>
      </c>
      <c r="S962" s="61" t="str">
        <f t="shared" si="128"/>
        <v/>
      </c>
      <c r="CU962" s="61" t="e">
        <v>#N/A</v>
      </c>
      <c r="CV962" s="61" t="e">
        <v>#N/A</v>
      </c>
      <c r="CW962" s="61" t="e">
        <v>#N/A</v>
      </c>
      <c r="CX962" s="61" t="e">
        <v>#N/A</v>
      </c>
      <c r="CY962" s="61" t="e">
        <v>#N/A</v>
      </c>
      <c r="CZ962" s="61" t="e">
        <v>#N/A</v>
      </c>
      <c r="DA962" s="61" t="e">
        <v>#N/A</v>
      </c>
      <c r="DB962" s="61" t="e">
        <v>#N/A</v>
      </c>
      <c r="DC962" s="61" t="e">
        <v>#N/A</v>
      </c>
      <c r="DD962" s="61" t="e">
        <v>#N/A</v>
      </c>
      <c r="DE962" s="61" t="e">
        <v>#N/A</v>
      </c>
      <c r="DF962" s="61" t="e">
        <v>#N/A</v>
      </c>
      <c r="DG962" s="61" t="e">
        <v>#N/A</v>
      </c>
      <c r="DH962" s="61" t="e">
        <v>#N/A</v>
      </c>
      <c r="DI962" s="61" t="e">
        <v>#N/A</v>
      </c>
      <c r="DJ962" s="61" t="e">
        <v>#N/A</v>
      </c>
    </row>
    <row r="963" spans="14:114">
      <c r="N963" s="61" t="str">
        <f t="shared" si="126"/>
        <v/>
      </c>
      <c r="O963" s="53" t="str">
        <f t="shared" si="127"/>
        <v>click</v>
      </c>
      <c r="P963" s="61" t="str">
        <f t="shared" si="129"/>
        <v>();</v>
      </c>
      <c r="S963" s="61" t="str">
        <f t="shared" si="128"/>
        <v/>
      </c>
      <c r="CU963" s="61" t="e">
        <v>#N/A</v>
      </c>
      <c r="CV963" s="61" t="e">
        <v>#N/A</v>
      </c>
      <c r="CW963" s="61" t="e">
        <v>#N/A</v>
      </c>
      <c r="CX963" s="61" t="e">
        <v>#N/A</v>
      </c>
      <c r="CY963" s="61" t="e">
        <v>#N/A</v>
      </c>
      <c r="CZ963" s="61" t="e">
        <v>#N/A</v>
      </c>
      <c r="DA963" s="61" t="e">
        <v>#N/A</v>
      </c>
      <c r="DB963" s="61" t="e">
        <v>#N/A</v>
      </c>
      <c r="DC963" s="61" t="e">
        <v>#N/A</v>
      </c>
      <c r="DD963" s="61" t="e">
        <v>#N/A</v>
      </c>
      <c r="DE963" s="61" t="e">
        <v>#N/A</v>
      </c>
      <c r="DF963" s="61" t="e">
        <v>#N/A</v>
      </c>
      <c r="DG963" s="61" t="e">
        <v>#N/A</v>
      </c>
      <c r="DH963" s="61" t="e">
        <v>#N/A</v>
      </c>
      <c r="DI963" s="61" t="e">
        <v>#N/A</v>
      </c>
      <c r="DJ963" s="61" t="e">
        <v>#N/A</v>
      </c>
    </row>
    <row r="964" spans="14:114">
      <c r="N964" s="61" t="str">
        <f t="shared" si="126"/>
        <v/>
      </c>
      <c r="O964" s="53" t="str">
        <f t="shared" si="127"/>
        <v>click</v>
      </c>
      <c r="P964" s="61" t="str">
        <f t="shared" si="129"/>
        <v>();</v>
      </c>
      <c r="S964" s="61" t="str">
        <f t="shared" si="128"/>
        <v/>
      </c>
      <c r="CU964" s="61" t="e">
        <v>#N/A</v>
      </c>
      <c r="CV964" s="61" t="e">
        <v>#N/A</v>
      </c>
      <c r="CW964" s="61" t="e">
        <v>#N/A</v>
      </c>
      <c r="CX964" s="61" t="e">
        <v>#N/A</v>
      </c>
      <c r="CY964" s="61" t="e">
        <v>#N/A</v>
      </c>
      <c r="CZ964" s="61" t="e">
        <v>#N/A</v>
      </c>
      <c r="DA964" s="61" t="e">
        <v>#N/A</v>
      </c>
      <c r="DB964" s="61" t="e">
        <v>#N/A</v>
      </c>
      <c r="DC964" s="61" t="e">
        <v>#N/A</v>
      </c>
      <c r="DD964" s="61" t="e">
        <v>#N/A</v>
      </c>
      <c r="DE964" s="61" t="e">
        <v>#N/A</v>
      </c>
      <c r="DF964" s="61" t="e">
        <v>#N/A</v>
      </c>
      <c r="DG964" s="61" t="e">
        <v>#N/A</v>
      </c>
      <c r="DH964" s="61" t="e">
        <v>#N/A</v>
      </c>
      <c r="DI964" s="61" t="e">
        <v>#N/A</v>
      </c>
      <c r="DJ964" s="61" t="e">
        <v>#N/A</v>
      </c>
    </row>
    <row r="965" spans="14:114">
      <c r="N965" s="61" t="str">
        <f t="shared" ref="N965:N1028" si="130">IF(A965="Y",""""&amp;C965&amp;""""&amp;": "&amp;M965&amp;",","")</f>
        <v/>
      </c>
      <c r="O965" s="53" t="str">
        <f t="shared" ref="O965:O1028" si="131">IF(D965="input","fill",IF(I965&lt;&gt;"","innerText",IF(J965="Y",$T$110,"click")))</f>
        <v>click</v>
      </c>
      <c r="P965" s="61" t="str">
        <f t="shared" si="129"/>
        <v>();</v>
      </c>
      <c r="S965" s="61" t="str">
        <f t="shared" ref="S965:S1028" si="132">IF(O965="innerText",I965&amp;"="&amp;IF(C965="Y",IF(J965&lt;&gt;"Y",$S$9&amp;$R$10&amp;"."&amp;E965&amp;")."&amp;IF(OR(O965="click",O965="innerText"),O965&amp;"();",O965&amp;"("&amp;$Q$9&amp;"."&amp;E965&amp;");"),$S$110&amp;$R$10&amp;"."&amp;E965&amp;")."&amp;IF(O965="click",O965&amp;"();",O965&amp;"("&amp;"'"&amp;K965&amp;"'"&amp;");")),""),IF(C965="Y",IF(J965&lt;&gt;"Y",$S$9&amp;$R$10&amp;"."&amp;E965&amp;")."&amp;IF(OR(O965="click",O965="innerText"),O965&amp;"();",O965&amp;"("&amp;$Q$9&amp;"."&amp;E965&amp;");"),$S$110&amp;$R$10&amp;"."&amp;E965&amp;")."&amp;IF(O965="click",O965&amp;"();",O965&amp;"("&amp;"'"&amp;K965&amp;"'"&amp;");")),""))</f>
        <v/>
      </c>
      <c r="CU965" s="61" t="e">
        <v>#N/A</v>
      </c>
      <c r="CV965" s="61" t="e">
        <v>#N/A</v>
      </c>
      <c r="CW965" s="61" t="e">
        <v>#N/A</v>
      </c>
      <c r="CX965" s="61" t="e">
        <v>#N/A</v>
      </c>
      <c r="CY965" s="61" t="e">
        <v>#N/A</v>
      </c>
      <c r="CZ965" s="61" t="e">
        <v>#N/A</v>
      </c>
      <c r="DA965" s="61" t="e">
        <v>#N/A</v>
      </c>
      <c r="DB965" s="61" t="e">
        <v>#N/A</v>
      </c>
      <c r="DC965" s="61" t="e">
        <v>#N/A</v>
      </c>
      <c r="DD965" s="61" t="e">
        <v>#N/A</v>
      </c>
      <c r="DE965" s="61" t="e">
        <v>#N/A</v>
      </c>
      <c r="DF965" s="61" t="e">
        <v>#N/A</v>
      </c>
      <c r="DG965" s="61" t="e">
        <v>#N/A</v>
      </c>
      <c r="DH965" s="61" t="e">
        <v>#N/A</v>
      </c>
      <c r="DI965" s="61" t="e">
        <v>#N/A</v>
      </c>
      <c r="DJ965" s="61" t="e">
        <v>#N/A</v>
      </c>
    </row>
    <row r="966" spans="14:114">
      <c r="N966" s="61" t="str">
        <f t="shared" si="130"/>
        <v/>
      </c>
      <c r="O966" s="53" t="str">
        <f t="shared" si="131"/>
        <v>click</v>
      </c>
      <c r="P966" s="61" t="str">
        <f t="shared" si="129"/>
        <v>();</v>
      </c>
      <c r="S966" s="61" t="str">
        <f t="shared" si="132"/>
        <v/>
      </c>
      <c r="CU966" s="61" t="e">
        <v>#N/A</v>
      </c>
      <c r="CV966" s="61" t="e">
        <v>#N/A</v>
      </c>
      <c r="CW966" s="61" t="e">
        <v>#N/A</v>
      </c>
      <c r="CX966" s="61" t="e">
        <v>#N/A</v>
      </c>
      <c r="CY966" s="61" t="e">
        <v>#N/A</v>
      </c>
      <c r="CZ966" s="61" t="e">
        <v>#N/A</v>
      </c>
      <c r="DA966" s="61" t="e">
        <v>#N/A</v>
      </c>
      <c r="DB966" s="61" t="e">
        <v>#N/A</v>
      </c>
      <c r="DC966" s="61" t="e">
        <v>#N/A</v>
      </c>
      <c r="DD966" s="61" t="e">
        <v>#N/A</v>
      </c>
      <c r="DE966" s="61" t="e">
        <v>#N/A</v>
      </c>
      <c r="DF966" s="61" t="e">
        <v>#N/A</v>
      </c>
      <c r="DG966" s="61" t="e">
        <v>#N/A</v>
      </c>
      <c r="DH966" s="61" t="e">
        <v>#N/A</v>
      </c>
      <c r="DI966" s="61" t="e">
        <v>#N/A</v>
      </c>
      <c r="DJ966" s="61" t="e">
        <v>#N/A</v>
      </c>
    </row>
    <row r="967" spans="14:114">
      <c r="N967" s="61" t="str">
        <f t="shared" si="130"/>
        <v/>
      </c>
      <c r="O967" s="53" t="str">
        <f t="shared" si="131"/>
        <v>click</v>
      </c>
      <c r="P967" s="61" t="str">
        <f t="shared" si="129"/>
        <v>();</v>
      </c>
      <c r="S967" s="61" t="str">
        <f t="shared" si="132"/>
        <v/>
      </c>
      <c r="CU967" s="61" t="e">
        <v>#N/A</v>
      </c>
      <c r="CV967" s="61" t="e">
        <v>#N/A</v>
      </c>
      <c r="CW967" s="61" t="e">
        <v>#N/A</v>
      </c>
      <c r="CX967" s="61" t="e">
        <v>#N/A</v>
      </c>
      <c r="CY967" s="61" t="e">
        <v>#N/A</v>
      </c>
      <c r="CZ967" s="61" t="e">
        <v>#N/A</v>
      </c>
      <c r="DA967" s="61" t="e">
        <v>#N/A</v>
      </c>
      <c r="DB967" s="61" t="e">
        <v>#N/A</v>
      </c>
      <c r="DC967" s="61" t="e">
        <v>#N/A</v>
      </c>
      <c r="DD967" s="61" t="e">
        <v>#N/A</v>
      </c>
      <c r="DE967" s="61" t="e">
        <v>#N/A</v>
      </c>
      <c r="DF967" s="61" t="e">
        <v>#N/A</v>
      </c>
      <c r="DG967" s="61" t="e">
        <v>#N/A</v>
      </c>
      <c r="DH967" s="61" t="e">
        <v>#N/A</v>
      </c>
      <c r="DI967" s="61" t="e">
        <v>#N/A</v>
      </c>
      <c r="DJ967" s="61" t="e">
        <v>#N/A</v>
      </c>
    </row>
    <row r="968" spans="14:114">
      <c r="N968" s="61" t="str">
        <f t="shared" si="130"/>
        <v/>
      </c>
      <c r="O968" s="53" t="str">
        <f t="shared" si="131"/>
        <v>click</v>
      </c>
      <c r="P968" s="61" t="str">
        <f t="shared" si="129"/>
        <v>();</v>
      </c>
      <c r="S968" s="61" t="str">
        <f t="shared" si="132"/>
        <v/>
      </c>
      <c r="CU968" s="61" t="e">
        <v>#N/A</v>
      </c>
      <c r="CV968" s="61" t="e">
        <v>#N/A</v>
      </c>
      <c r="CW968" s="61" t="e">
        <v>#N/A</v>
      </c>
      <c r="CX968" s="61" t="e">
        <v>#N/A</v>
      </c>
      <c r="CY968" s="61" t="e">
        <v>#N/A</v>
      </c>
      <c r="CZ968" s="61" t="e">
        <v>#N/A</v>
      </c>
      <c r="DA968" s="61" t="e">
        <v>#N/A</v>
      </c>
      <c r="DB968" s="61" t="e">
        <v>#N/A</v>
      </c>
      <c r="DC968" s="61" t="e">
        <v>#N/A</v>
      </c>
      <c r="DD968" s="61" t="e">
        <v>#N/A</v>
      </c>
      <c r="DE968" s="61" t="e">
        <v>#N/A</v>
      </c>
      <c r="DF968" s="61" t="e">
        <v>#N/A</v>
      </c>
      <c r="DG968" s="61" t="e">
        <v>#N/A</v>
      </c>
      <c r="DH968" s="61" t="e">
        <v>#N/A</v>
      </c>
      <c r="DI968" s="61" t="e">
        <v>#N/A</v>
      </c>
      <c r="DJ968" s="61" t="e">
        <v>#N/A</v>
      </c>
    </row>
    <row r="969" spans="14:114">
      <c r="N969" s="61" t="str">
        <f t="shared" si="130"/>
        <v/>
      </c>
      <c r="O969" s="53" t="str">
        <f t="shared" si="131"/>
        <v>click</v>
      </c>
      <c r="P969" s="61" t="str">
        <f t="shared" si="129"/>
        <v>();</v>
      </c>
      <c r="S969" s="61" t="str">
        <f t="shared" si="132"/>
        <v/>
      </c>
      <c r="CU969" s="61" t="e">
        <v>#N/A</v>
      </c>
      <c r="CV969" s="61" t="e">
        <v>#N/A</v>
      </c>
      <c r="CW969" s="61" t="e">
        <v>#N/A</v>
      </c>
      <c r="CX969" s="61" t="e">
        <v>#N/A</v>
      </c>
      <c r="CY969" s="61" t="e">
        <v>#N/A</v>
      </c>
      <c r="CZ969" s="61" t="e">
        <v>#N/A</v>
      </c>
      <c r="DA969" s="61" t="e">
        <v>#N/A</v>
      </c>
      <c r="DB969" s="61" t="e">
        <v>#N/A</v>
      </c>
      <c r="DC969" s="61" t="e">
        <v>#N/A</v>
      </c>
      <c r="DD969" s="61" t="e">
        <v>#N/A</v>
      </c>
      <c r="DE969" s="61" t="e">
        <v>#N/A</v>
      </c>
      <c r="DF969" s="61" t="e">
        <v>#N/A</v>
      </c>
      <c r="DG969" s="61" t="e">
        <v>#N/A</v>
      </c>
      <c r="DH969" s="61" t="e">
        <v>#N/A</v>
      </c>
      <c r="DI969" s="61" t="e">
        <v>#N/A</v>
      </c>
      <c r="DJ969" s="61" t="e">
        <v>#N/A</v>
      </c>
    </row>
    <row r="970" spans="14:114">
      <c r="N970" s="61" t="str">
        <f t="shared" si="130"/>
        <v/>
      </c>
      <c r="O970" s="53" t="str">
        <f t="shared" si="131"/>
        <v>click</v>
      </c>
      <c r="P970" s="61" t="str">
        <f t="shared" si="129"/>
        <v>();</v>
      </c>
      <c r="S970" s="61" t="str">
        <f t="shared" si="132"/>
        <v/>
      </c>
      <c r="CU970" s="61" t="e">
        <v>#N/A</v>
      </c>
      <c r="CV970" s="61" t="e">
        <v>#N/A</v>
      </c>
      <c r="CW970" s="61" t="e">
        <v>#N/A</v>
      </c>
      <c r="CX970" s="61" t="e">
        <v>#N/A</v>
      </c>
      <c r="CY970" s="61" t="e">
        <v>#N/A</v>
      </c>
      <c r="CZ970" s="61" t="e">
        <v>#N/A</v>
      </c>
      <c r="DA970" s="61" t="e">
        <v>#N/A</v>
      </c>
      <c r="DB970" s="61" t="e">
        <v>#N/A</v>
      </c>
      <c r="DC970" s="61" t="e">
        <v>#N/A</v>
      </c>
      <c r="DD970" s="61" t="e">
        <v>#N/A</v>
      </c>
      <c r="DE970" s="61" t="e">
        <v>#N/A</v>
      </c>
      <c r="DF970" s="61" t="e">
        <v>#N/A</v>
      </c>
      <c r="DG970" s="61" t="e">
        <v>#N/A</v>
      </c>
      <c r="DH970" s="61" t="e">
        <v>#N/A</v>
      </c>
      <c r="DI970" s="61" t="e">
        <v>#N/A</v>
      </c>
      <c r="DJ970" s="61" t="e">
        <v>#N/A</v>
      </c>
    </row>
    <row r="971" spans="14:114">
      <c r="N971" s="61" t="str">
        <f t="shared" si="130"/>
        <v/>
      </c>
      <c r="O971" s="53" t="str">
        <f t="shared" si="131"/>
        <v>click</v>
      </c>
      <c r="P971" s="61" t="str">
        <f t="shared" si="129"/>
        <v>();</v>
      </c>
      <c r="S971" s="61" t="str">
        <f t="shared" si="132"/>
        <v/>
      </c>
      <c r="CU971" s="61" t="e">
        <v>#N/A</v>
      </c>
      <c r="CV971" s="61" t="e">
        <v>#N/A</v>
      </c>
      <c r="CW971" s="61" t="e">
        <v>#N/A</v>
      </c>
      <c r="CX971" s="61" t="e">
        <v>#N/A</v>
      </c>
      <c r="CY971" s="61" t="e">
        <v>#N/A</v>
      </c>
      <c r="CZ971" s="61" t="e">
        <v>#N/A</v>
      </c>
      <c r="DA971" s="61" t="e">
        <v>#N/A</v>
      </c>
      <c r="DB971" s="61" t="e">
        <v>#N/A</v>
      </c>
      <c r="DC971" s="61" t="e">
        <v>#N/A</v>
      </c>
      <c r="DD971" s="61" t="e">
        <v>#N/A</v>
      </c>
      <c r="DE971" s="61" t="e">
        <v>#N/A</v>
      </c>
      <c r="DF971" s="61" t="e">
        <v>#N/A</v>
      </c>
      <c r="DG971" s="61" t="e">
        <v>#N/A</v>
      </c>
      <c r="DH971" s="61" t="e">
        <v>#N/A</v>
      </c>
      <c r="DI971" s="61" t="e">
        <v>#N/A</v>
      </c>
      <c r="DJ971" s="61" t="e">
        <v>#N/A</v>
      </c>
    </row>
    <row r="972" spans="14:114">
      <c r="N972" s="61" t="str">
        <f t="shared" si="130"/>
        <v/>
      </c>
      <c r="O972" s="53" t="str">
        <f t="shared" si="131"/>
        <v>click</v>
      </c>
      <c r="P972" s="61" t="str">
        <f t="shared" ref="P972:P1035" si="133">IF(OR(O972="Click",O972="innerText"),"();","("&amp;""""&amp;K972&amp;""""&amp;");")</f>
        <v>();</v>
      </c>
      <c r="S972" s="61" t="str">
        <f t="shared" si="132"/>
        <v/>
      </c>
      <c r="CU972" s="61" t="e">
        <v>#N/A</v>
      </c>
      <c r="CV972" s="61" t="e">
        <v>#N/A</v>
      </c>
      <c r="CW972" s="61" t="e">
        <v>#N/A</v>
      </c>
      <c r="CX972" s="61" t="e">
        <v>#N/A</v>
      </c>
      <c r="CY972" s="61" t="e">
        <v>#N/A</v>
      </c>
      <c r="CZ972" s="61" t="e">
        <v>#N/A</v>
      </c>
      <c r="DA972" s="61" t="e">
        <v>#N/A</v>
      </c>
      <c r="DB972" s="61" t="e">
        <v>#N/A</v>
      </c>
      <c r="DC972" s="61" t="e">
        <v>#N/A</v>
      </c>
      <c r="DD972" s="61" t="e">
        <v>#N/A</v>
      </c>
      <c r="DE972" s="61" t="e">
        <v>#N/A</v>
      </c>
      <c r="DF972" s="61" t="e">
        <v>#N/A</v>
      </c>
      <c r="DG972" s="61" t="e">
        <v>#N/A</v>
      </c>
      <c r="DH972" s="61" t="e">
        <v>#N/A</v>
      </c>
      <c r="DI972" s="61" t="e">
        <v>#N/A</v>
      </c>
      <c r="DJ972" s="61" t="e">
        <v>#N/A</v>
      </c>
    </row>
    <row r="973" spans="14:114">
      <c r="N973" s="61" t="str">
        <f t="shared" si="130"/>
        <v/>
      </c>
      <c r="O973" s="53" t="str">
        <f t="shared" si="131"/>
        <v>click</v>
      </c>
      <c r="P973" s="61" t="str">
        <f t="shared" si="133"/>
        <v>();</v>
      </c>
      <c r="S973" s="61" t="str">
        <f t="shared" si="132"/>
        <v/>
      </c>
      <c r="CU973" s="61" t="e">
        <v>#N/A</v>
      </c>
      <c r="CV973" s="61" t="e">
        <v>#N/A</v>
      </c>
      <c r="CW973" s="61" t="e">
        <v>#N/A</v>
      </c>
      <c r="CX973" s="61" t="e">
        <v>#N/A</v>
      </c>
      <c r="CY973" s="61" t="e">
        <v>#N/A</v>
      </c>
      <c r="CZ973" s="61" t="e">
        <v>#N/A</v>
      </c>
      <c r="DA973" s="61" t="e">
        <v>#N/A</v>
      </c>
      <c r="DB973" s="61" t="e">
        <v>#N/A</v>
      </c>
      <c r="DC973" s="61" t="e">
        <v>#N/A</v>
      </c>
      <c r="DD973" s="61" t="e">
        <v>#N/A</v>
      </c>
      <c r="DE973" s="61" t="e">
        <v>#N/A</v>
      </c>
      <c r="DF973" s="61" t="e">
        <v>#N/A</v>
      </c>
      <c r="DG973" s="61" t="e">
        <v>#N/A</v>
      </c>
      <c r="DH973" s="61" t="e">
        <v>#N/A</v>
      </c>
      <c r="DI973" s="61" t="e">
        <v>#N/A</v>
      </c>
      <c r="DJ973" s="61" t="e">
        <v>#N/A</v>
      </c>
    </row>
    <row r="974" spans="14:114">
      <c r="N974" s="61" t="str">
        <f t="shared" si="130"/>
        <v/>
      </c>
      <c r="O974" s="53" t="str">
        <f t="shared" si="131"/>
        <v>click</v>
      </c>
      <c r="P974" s="61" t="str">
        <f t="shared" si="133"/>
        <v>();</v>
      </c>
      <c r="S974" s="61" t="str">
        <f t="shared" si="132"/>
        <v/>
      </c>
      <c r="CU974" s="61" t="e">
        <v>#N/A</v>
      </c>
      <c r="CV974" s="61" t="e">
        <v>#N/A</v>
      </c>
      <c r="CW974" s="61" t="e">
        <v>#N/A</v>
      </c>
      <c r="CX974" s="61" t="e">
        <v>#N/A</v>
      </c>
      <c r="CY974" s="61" t="e">
        <v>#N/A</v>
      </c>
      <c r="CZ974" s="61" t="e">
        <v>#N/A</v>
      </c>
      <c r="DA974" s="61" t="e">
        <v>#N/A</v>
      </c>
      <c r="DB974" s="61" t="e">
        <v>#N/A</v>
      </c>
      <c r="DC974" s="61" t="e">
        <v>#N/A</v>
      </c>
      <c r="DD974" s="61" t="e">
        <v>#N/A</v>
      </c>
      <c r="DE974" s="61" t="e">
        <v>#N/A</v>
      </c>
      <c r="DF974" s="61" t="e">
        <v>#N/A</v>
      </c>
      <c r="DG974" s="61" t="e">
        <v>#N/A</v>
      </c>
      <c r="DH974" s="61" t="e">
        <v>#N/A</v>
      </c>
      <c r="DI974" s="61" t="e">
        <v>#N/A</v>
      </c>
      <c r="DJ974" s="61" t="e">
        <v>#N/A</v>
      </c>
    </row>
    <row r="975" spans="14:114">
      <c r="N975" s="61" t="str">
        <f t="shared" si="130"/>
        <v/>
      </c>
      <c r="O975" s="53" t="str">
        <f t="shared" si="131"/>
        <v>click</v>
      </c>
      <c r="P975" s="61" t="str">
        <f t="shared" si="133"/>
        <v>();</v>
      </c>
      <c r="S975" s="61" t="str">
        <f t="shared" si="132"/>
        <v/>
      </c>
      <c r="CU975" s="61" t="e">
        <v>#N/A</v>
      </c>
      <c r="CV975" s="61" t="e">
        <v>#N/A</v>
      </c>
      <c r="CW975" s="61" t="e">
        <v>#N/A</v>
      </c>
      <c r="CX975" s="61" t="e">
        <v>#N/A</v>
      </c>
      <c r="CY975" s="61" t="e">
        <v>#N/A</v>
      </c>
      <c r="CZ975" s="61" t="e">
        <v>#N/A</v>
      </c>
      <c r="DA975" s="61" t="e">
        <v>#N/A</v>
      </c>
      <c r="DB975" s="61" t="e">
        <v>#N/A</v>
      </c>
      <c r="DC975" s="61" t="e">
        <v>#N/A</v>
      </c>
      <c r="DD975" s="61" t="e">
        <v>#N/A</v>
      </c>
      <c r="DE975" s="61" t="e">
        <v>#N/A</v>
      </c>
      <c r="DF975" s="61" t="e">
        <v>#N/A</v>
      </c>
      <c r="DG975" s="61" t="e">
        <v>#N/A</v>
      </c>
      <c r="DH975" s="61" t="e">
        <v>#N/A</v>
      </c>
      <c r="DI975" s="61" t="e">
        <v>#N/A</v>
      </c>
      <c r="DJ975" s="61" t="e">
        <v>#N/A</v>
      </c>
    </row>
    <row r="976" spans="14:114">
      <c r="N976" s="61" t="str">
        <f t="shared" si="130"/>
        <v/>
      </c>
      <c r="O976" s="53" t="str">
        <f t="shared" si="131"/>
        <v>click</v>
      </c>
      <c r="P976" s="61" t="str">
        <f t="shared" si="133"/>
        <v>();</v>
      </c>
      <c r="S976" s="61" t="str">
        <f t="shared" si="132"/>
        <v/>
      </c>
      <c r="CU976" s="61" t="e">
        <v>#N/A</v>
      </c>
      <c r="CV976" s="61" t="e">
        <v>#N/A</v>
      </c>
      <c r="CW976" s="61" t="e">
        <v>#N/A</v>
      </c>
      <c r="CX976" s="61" t="e">
        <v>#N/A</v>
      </c>
      <c r="CY976" s="61" t="e">
        <v>#N/A</v>
      </c>
      <c r="CZ976" s="61" t="e">
        <v>#N/A</v>
      </c>
      <c r="DA976" s="61" t="e">
        <v>#N/A</v>
      </c>
      <c r="DB976" s="61" t="e">
        <v>#N/A</v>
      </c>
      <c r="DC976" s="61" t="e">
        <v>#N/A</v>
      </c>
      <c r="DD976" s="61" t="e">
        <v>#N/A</v>
      </c>
      <c r="DE976" s="61" t="e">
        <v>#N/A</v>
      </c>
      <c r="DF976" s="61" t="e">
        <v>#N/A</v>
      </c>
      <c r="DG976" s="61" t="e">
        <v>#N/A</v>
      </c>
      <c r="DH976" s="61" t="e">
        <v>#N/A</v>
      </c>
      <c r="DI976" s="61" t="e">
        <v>#N/A</v>
      </c>
      <c r="DJ976" s="61" t="e">
        <v>#N/A</v>
      </c>
    </row>
    <row r="977" spans="14:114">
      <c r="N977" s="61" t="str">
        <f t="shared" si="130"/>
        <v/>
      </c>
      <c r="O977" s="53" t="str">
        <f t="shared" si="131"/>
        <v>click</v>
      </c>
      <c r="P977" s="61" t="str">
        <f t="shared" si="133"/>
        <v>();</v>
      </c>
      <c r="S977" s="61" t="str">
        <f t="shared" si="132"/>
        <v/>
      </c>
      <c r="CU977" s="61" t="e">
        <v>#N/A</v>
      </c>
      <c r="CV977" s="61" t="e">
        <v>#N/A</v>
      </c>
      <c r="CW977" s="61" t="e">
        <v>#N/A</v>
      </c>
      <c r="CX977" s="61" t="e">
        <v>#N/A</v>
      </c>
      <c r="CY977" s="61" t="e">
        <v>#N/A</v>
      </c>
      <c r="CZ977" s="61" t="e">
        <v>#N/A</v>
      </c>
      <c r="DA977" s="61" t="e">
        <v>#N/A</v>
      </c>
      <c r="DB977" s="61" t="e">
        <v>#N/A</v>
      </c>
      <c r="DC977" s="61" t="e">
        <v>#N/A</v>
      </c>
      <c r="DD977" s="61" t="e">
        <v>#N/A</v>
      </c>
      <c r="DE977" s="61" t="e">
        <v>#N/A</v>
      </c>
      <c r="DF977" s="61" t="e">
        <v>#N/A</v>
      </c>
      <c r="DG977" s="61" t="e">
        <v>#N/A</v>
      </c>
      <c r="DH977" s="61" t="e">
        <v>#N/A</v>
      </c>
      <c r="DI977" s="61" t="e">
        <v>#N/A</v>
      </c>
      <c r="DJ977" s="61" t="e">
        <v>#N/A</v>
      </c>
    </row>
    <row r="978" spans="14:114">
      <c r="N978" s="61" t="str">
        <f t="shared" si="130"/>
        <v/>
      </c>
      <c r="O978" s="53" t="str">
        <f t="shared" si="131"/>
        <v>click</v>
      </c>
      <c r="P978" s="61" t="str">
        <f t="shared" si="133"/>
        <v>();</v>
      </c>
      <c r="S978" s="61" t="str">
        <f t="shared" si="132"/>
        <v/>
      </c>
      <c r="CU978" s="61" t="e">
        <v>#N/A</v>
      </c>
      <c r="CV978" s="61" t="e">
        <v>#N/A</v>
      </c>
      <c r="CW978" s="61" t="e">
        <v>#N/A</v>
      </c>
      <c r="CX978" s="61" t="e">
        <v>#N/A</v>
      </c>
      <c r="CY978" s="61" t="e">
        <v>#N/A</v>
      </c>
      <c r="CZ978" s="61" t="e">
        <v>#N/A</v>
      </c>
      <c r="DA978" s="61" t="e">
        <v>#N/A</v>
      </c>
      <c r="DB978" s="61" t="e">
        <v>#N/A</v>
      </c>
      <c r="DC978" s="61" t="e">
        <v>#N/A</v>
      </c>
      <c r="DD978" s="61" t="e">
        <v>#N/A</v>
      </c>
      <c r="DE978" s="61" t="e">
        <v>#N/A</v>
      </c>
      <c r="DF978" s="61" t="e">
        <v>#N/A</v>
      </c>
      <c r="DG978" s="61" t="e">
        <v>#N/A</v>
      </c>
      <c r="DH978" s="61" t="e">
        <v>#N/A</v>
      </c>
      <c r="DI978" s="61" t="e">
        <v>#N/A</v>
      </c>
      <c r="DJ978" s="61" t="e">
        <v>#N/A</v>
      </c>
    </row>
    <row r="979" spans="14:114">
      <c r="N979" s="61" t="str">
        <f t="shared" si="130"/>
        <v/>
      </c>
      <c r="O979" s="53" t="str">
        <f t="shared" si="131"/>
        <v>click</v>
      </c>
      <c r="P979" s="61" t="str">
        <f t="shared" si="133"/>
        <v>();</v>
      </c>
      <c r="S979" s="61" t="str">
        <f t="shared" si="132"/>
        <v/>
      </c>
      <c r="CU979" s="61" t="e">
        <v>#N/A</v>
      </c>
      <c r="CV979" s="61" t="e">
        <v>#N/A</v>
      </c>
      <c r="CW979" s="61" t="e">
        <v>#N/A</v>
      </c>
      <c r="CX979" s="61" t="e">
        <v>#N/A</v>
      </c>
      <c r="CY979" s="61" t="e">
        <v>#N/A</v>
      </c>
      <c r="CZ979" s="61" t="e">
        <v>#N/A</v>
      </c>
      <c r="DA979" s="61" t="e">
        <v>#N/A</v>
      </c>
      <c r="DB979" s="61" t="e">
        <v>#N/A</v>
      </c>
      <c r="DC979" s="61" t="e">
        <v>#N/A</v>
      </c>
      <c r="DD979" s="61" t="e">
        <v>#N/A</v>
      </c>
      <c r="DE979" s="61" t="e">
        <v>#N/A</v>
      </c>
      <c r="DF979" s="61" t="e">
        <v>#N/A</v>
      </c>
      <c r="DG979" s="61" t="e">
        <v>#N/A</v>
      </c>
      <c r="DH979" s="61" t="e">
        <v>#N/A</v>
      </c>
      <c r="DI979" s="61" t="e">
        <v>#N/A</v>
      </c>
      <c r="DJ979" s="61" t="e">
        <v>#N/A</v>
      </c>
    </row>
    <row r="980" spans="14:114">
      <c r="N980" s="61" t="str">
        <f t="shared" si="130"/>
        <v/>
      </c>
      <c r="O980" s="53" t="str">
        <f t="shared" si="131"/>
        <v>click</v>
      </c>
      <c r="P980" s="61" t="str">
        <f t="shared" si="133"/>
        <v>();</v>
      </c>
      <c r="S980" s="61" t="str">
        <f t="shared" si="132"/>
        <v/>
      </c>
      <c r="CU980" s="61" t="e">
        <v>#N/A</v>
      </c>
      <c r="CV980" s="61" t="e">
        <v>#N/A</v>
      </c>
      <c r="CW980" s="61" t="e">
        <v>#N/A</v>
      </c>
      <c r="CX980" s="61" t="e">
        <v>#N/A</v>
      </c>
      <c r="CY980" s="61" t="e">
        <v>#N/A</v>
      </c>
      <c r="CZ980" s="61" t="e">
        <v>#N/A</v>
      </c>
      <c r="DA980" s="61" t="e">
        <v>#N/A</v>
      </c>
      <c r="DB980" s="61" t="e">
        <v>#N/A</v>
      </c>
      <c r="DC980" s="61" t="e">
        <v>#N/A</v>
      </c>
      <c r="DD980" s="61" t="e">
        <v>#N/A</v>
      </c>
      <c r="DE980" s="61" t="e">
        <v>#N/A</v>
      </c>
      <c r="DF980" s="61" t="e">
        <v>#N/A</v>
      </c>
      <c r="DG980" s="61" t="e">
        <v>#N/A</v>
      </c>
      <c r="DH980" s="61" t="e">
        <v>#N/A</v>
      </c>
      <c r="DI980" s="61" t="e">
        <v>#N/A</v>
      </c>
      <c r="DJ980" s="61" t="e">
        <v>#N/A</v>
      </c>
    </row>
    <row r="981" spans="14:114">
      <c r="N981" s="61" t="str">
        <f t="shared" si="130"/>
        <v/>
      </c>
      <c r="O981" s="53" t="str">
        <f t="shared" si="131"/>
        <v>click</v>
      </c>
      <c r="P981" s="61" t="str">
        <f t="shared" si="133"/>
        <v>();</v>
      </c>
      <c r="S981" s="61" t="str">
        <f t="shared" si="132"/>
        <v/>
      </c>
      <c r="CU981" s="61" t="e">
        <v>#N/A</v>
      </c>
      <c r="CV981" s="61" t="e">
        <v>#N/A</v>
      </c>
      <c r="CW981" s="61" t="e">
        <v>#N/A</v>
      </c>
      <c r="CX981" s="61" t="e">
        <v>#N/A</v>
      </c>
      <c r="CY981" s="61" t="e">
        <v>#N/A</v>
      </c>
      <c r="CZ981" s="61" t="e">
        <v>#N/A</v>
      </c>
      <c r="DA981" s="61" t="e">
        <v>#N/A</v>
      </c>
      <c r="DB981" s="61" t="e">
        <v>#N/A</v>
      </c>
      <c r="DC981" s="61" t="e">
        <v>#N/A</v>
      </c>
      <c r="DD981" s="61" t="e">
        <v>#N/A</v>
      </c>
      <c r="DE981" s="61" t="e">
        <v>#N/A</v>
      </c>
      <c r="DF981" s="61" t="e">
        <v>#N/A</v>
      </c>
      <c r="DG981" s="61" t="e">
        <v>#N/A</v>
      </c>
      <c r="DH981" s="61" t="e">
        <v>#N/A</v>
      </c>
      <c r="DI981" s="61" t="e">
        <v>#N/A</v>
      </c>
      <c r="DJ981" s="61" t="e">
        <v>#N/A</v>
      </c>
    </row>
    <row r="982" spans="14:114">
      <c r="N982" s="61" t="str">
        <f t="shared" si="130"/>
        <v/>
      </c>
      <c r="O982" s="53" t="str">
        <f t="shared" si="131"/>
        <v>click</v>
      </c>
      <c r="P982" s="61" t="str">
        <f t="shared" si="133"/>
        <v>();</v>
      </c>
      <c r="S982" s="61" t="str">
        <f t="shared" si="132"/>
        <v/>
      </c>
      <c r="CU982" s="61" t="e">
        <v>#N/A</v>
      </c>
      <c r="CV982" s="61" t="e">
        <v>#N/A</v>
      </c>
      <c r="CW982" s="61" t="e">
        <v>#N/A</v>
      </c>
      <c r="CX982" s="61" t="e">
        <v>#N/A</v>
      </c>
      <c r="CY982" s="61" t="e">
        <v>#N/A</v>
      </c>
      <c r="CZ982" s="61" t="e">
        <v>#N/A</v>
      </c>
      <c r="DA982" s="61" t="e">
        <v>#N/A</v>
      </c>
      <c r="DB982" s="61" t="e">
        <v>#N/A</v>
      </c>
      <c r="DC982" s="61" t="e">
        <v>#N/A</v>
      </c>
      <c r="DD982" s="61" t="e">
        <v>#N/A</v>
      </c>
      <c r="DE982" s="61" t="e">
        <v>#N/A</v>
      </c>
      <c r="DF982" s="61" t="e">
        <v>#N/A</v>
      </c>
      <c r="DG982" s="61" t="e">
        <v>#N/A</v>
      </c>
      <c r="DH982" s="61" t="e">
        <v>#N/A</v>
      </c>
      <c r="DI982" s="61" t="e">
        <v>#N/A</v>
      </c>
      <c r="DJ982" s="61" t="e">
        <v>#N/A</v>
      </c>
    </row>
    <row r="983" spans="14:114">
      <c r="N983" s="61" t="str">
        <f t="shared" si="130"/>
        <v/>
      </c>
      <c r="O983" s="53" t="str">
        <f t="shared" si="131"/>
        <v>click</v>
      </c>
      <c r="P983" s="61" t="str">
        <f t="shared" si="133"/>
        <v>();</v>
      </c>
      <c r="S983" s="61" t="str">
        <f t="shared" si="132"/>
        <v/>
      </c>
      <c r="CU983" s="61" t="e">
        <v>#N/A</v>
      </c>
      <c r="CV983" s="61" t="e">
        <v>#N/A</v>
      </c>
      <c r="CW983" s="61" t="e">
        <v>#N/A</v>
      </c>
      <c r="CX983" s="61" t="e">
        <v>#N/A</v>
      </c>
      <c r="CY983" s="61" t="e">
        <v>#N/A</v>
      </c>
      <c r="CZ983" s="61" t="e">
        <v>#N/A</v>
      </c>
      <c r="DA983" s="61" t="e">
        <v>#N/A</v>
      </c>
      <c r="DB983" s="61" t="e">
        <v>#N/A</v>
      </c>
      <c r="DC983" s="61" t="e">
        <v>#N/A</v>
      </c>
      <c r="DD983" s="61" t="e">
        <v>#N/A</v>
      </c>
      <c r="DE983" s="61" t="e">
        <v>#N/A</v>
      </c>
      <c r="DF983" s="61" t="e">
        <v>#N/A</v>
      </c>
      <c r="DG983" s="61" t="e">
        <v>#N/A</v>
      </c>
      <c r="DH983" s="61" t="e">
        <v>#N/A</v>
      </c>
      <c r="DI983" s="61" t="e">
        <v>#N/A</v>
      </c>
      <c r="DJ983" s="61" t="e">
        <v>#N/A</v>
      </c>
    </row>
    <row r="984" spans="14:114">
      <c r="N984" s="61" t="str">
        <f t="shared" si="130"/>
        <v/>
      </c>
      <c r="O984" s="53" t="str">
        <f t="shared" si="131"/>
        <v>click</v>
      </c>
      <c r="P984" s="61" t="str">
        <f t="shared" si="133"/>
        <v>();</v>
      </c>
      <c r="S984" s="61" t="str">
        <f t="shared" si="132"/>
        <v/>
      </c>
      <c r="CU984" s="61" t="e">
        <v>#N/A</v>
      </c>
      <c r="CV984" s="61" t="e">
        <v>#N/A</v>
      </c>
      <c r="CW984" s="61" t="e">
        <v>#N/A</v>
      </c>
      <c r="CX984" s="61" t="e">
        <v>#N/A</v>
      </c>
      <c r="CY984" s="61" t="e">
        <v>#N/A</v>
      </c>
      <c r="CZ984" s="61" t="e">
        <v>#N/A</v>
      </c>
      <c r="DA984" s="61" t="e">
        <v>#N/A</v>
      </c>
      <c r="DB984" s="61" t="e">
        <v>#N/A</v>
      </c>
      <c r="DC984" s="61" t="e">
        <v>#N/A</v>
      </c>
      <c r="DD984" s="61" t="e">
        <v>#N/A</v>
      </c>
      <c r="DE984" s="61" t="e">
        <v>#N/A</v>
      </c>
      <c r="DF984" s="61" t="e">
        <v>#N/A</v>
      </c>
      <c r="DG984" s="61" t="e">
        <v>#N/A</v>
      </c>
      <c r="DH984" s="61" t="e">
        <v>#N/A</v>
      </c>
      <c r="DI984" s="61" t="e">
        <v>#N/A</v>
      </c>
      <c r="DJ984" s="61" t="e">
        <v>#N/A</v>
      </c>
    </row>
    <row r="985" spans="14:114">
      <c r="N985" s="61" t="str">
        <f t="shared" si="130"/>
        <v/>
      </c>
      <c r="O985" s="53" t="str">
        <f t="shared" si="131"/>
        <v>click</v>
      </c>
      <c r="P985" s="61" t="str">
        <f t="shared" si="133"/>
        <v>();</v>
      </c>
      <c r="S985" s="61" t="str">
        <f t="shared" si="132"/>
        <v/>
      </c>
      <c r="CU985" s="61" t="e">
        <v>#N/A</v>
      </c>
      <c r="CV985" s="61" t="e">
        <v>#N/A</v>
      </c>
      <c r="CW985" s="61" t="e">
        <v>#N/A</v>
      </c>
      <c r="CX985" s="61" t="e">
        <v>#N/A</v>
      </c>
      <c r="CY985" s="61" t="e">
        <v>#N/A</v>
      </c>
      <c r="CZ985" s="61" t="e">
        <v>#N/A</v>
      </c>
      <c r="DA985" s="61" t="e">
        <v>#N/A</v>
      </c>
      <c r="DB985" s="61" t="e">
        <v>#N/A</v>
      </c>
      <c r="DC985" s="61" t="e">
        <v>#N/A</v>
      </c>
      <c r="DD985" s="61" t="e">
        <v>#N/A</v>
      </c>
      <c r="DE985" s="61" t="e">
        <v>#N/A</v>
      </c>
      <c r="DF985" s="61" t="e">
        <v>#N/A</v>
      </c>
      <c r="DG985" s="61" t="e">
        <v>#N/A</v>
      </c>
      <c r="DH985" s="61" t="e">
        <v>#N/A</v>
      </c>
      <c r="DI985" s="61" t="e">
        <v>#N/A</v>
      </c>
      <c r="DJ985" s="61" t="e">
        <v>#N/A</v>
      </c>
    </row>
    <row r="986" spans="14:114">
      <c r="N986" s="61" t="str">
        <f t="shared" si="130"/>
        <v/>
      </c>
      <c r="O986" s="53" t="str">
        <f t="shared" si="131"/>
        <v>click</v>
      </c>
      <c r="P986" s="61" t="str">
        <f t="shared" si="133"/>
        <v>();</v>
      </c>
      <c r="S986" s="61" t="str">
        <f t="shared" si="132"/>
        <v/>
      </c>
      <c r="CU986" s="61" t="e">
        <v>#N/A</v>
      </c>
      <c r="CV986" s="61" t="e">
        <v>#N/A</v>
      </c>
      <c r="CW986" s="61" t="e">
        <v>#N/A</v>
      </c>
      <c r="CX986" s="61" t="e">
        <v>#N/A</v>
      </c>
      <c r="CY986" s="61" t="e">
        <v>#N/A</v>
      </c>
      <c r="CZ986" s="61" t="e">
        <v>#N/A</v>
      </c>
      <c r="DA986" s="61" t="e">
        <v>#N/A</v>
      </c>
      <c r="DB986" s="61" t="e">
        <v>#N/A</v>
      </c>
      <c r="DC986" s="61" t="e">
        <v>#N/A</v>
      </c>
      <c r="DD986" s="61" t="e">
        <v>#N/A</v>
      </c>
      <c r="DE986" s="61" t="e">
        <v>#N/A</v>
      </c>
      <c r="DF986" s="61" t="e">
        <v>#N/A</v>
      </c>
      <c r="DG986" s="61" t="e">
        <v>#N/A</v>
      </c>
      <c r="DH986" s="61" t="e">
        <v>#N/A</v>
      </c>
      <c r="DI986" s="61" t="e">
        <v>#N/A</v>
      </c>
      <c r="DJ986" s="61" t="e">
        <v>#N/A</v>
      </c>
    </row>
    <row r="987" spans="14:114">
      <c r="N987" s="61" t="str">
        <f t="shared" si="130"/>
        <v/>
      </c>
      <c r="O987" s="53" t="str">
        <f t="shared" si="131"/>
        <v>click</v>
      </c>
      <c r="P987" s="61" t="str">
        <f t="shared" si="133"/>
        <v>();</v>
      </c>
      <c r="S987" s="61" t="str">
        <f t="shared" si="132"/>
        <v/>
      </c>
      <c r="CU987" s="61" t="e">
        <v>#N/A</v>
      </c>
      <c r="CV987" s="61" t="e">
        <v>#N/A</v>
      </c>
      <c r="CW987" s="61" t="e">
        <v>#N/A</v>
      </c>
      <c r="CX987" s="61" t="e">
        <v>#N/A</v>
      </c>
      <c r="CY987" s="61" t="e">
        <v>#N/A</v>
      </c>
      <c r="CZ987" s="61" t="e">
        <v>#N/A</v>
      </c>
      <c r="DA987" s="61" t="e">
        <v>#N/A</v>
      </c>
      <c r="DB987" s="61" t="e">
        <v>#N/A</v>
      </c>
      <c r="DC987" s="61" t="e">
        <v>#N/A</v>
      </c>
      <c r="DD987" s="61" t="e">
        <v>#N/A</v>
      </c>
      <c r="DE987" s="61" t="e">
        <v>#N/A</v>
      </c>
      <c r="DF987" s="61" t="e">
        <v>#N/A</v>
      </c>
      <c r="DG987" s="61" t="e">
        <v>#N/A</v>
      </c>
      <c r="DH987" s="61" t="e">
        <v>#N/A</v>
      </c>
      <c r="DI987" s="61" t="e">
        <v>#N/A</v>
      </c>
      <c r="DJ987" s="61" t="e">
        <v>#N/A</v>
      </c>
    </row>
    <row r="988" spans="14:114">
      <c r="N988" s="61" t="str">
        <f t="shared" si="130"/>
        <v/>
      </c>
      <c r="O988" s="53" t="str">
        <f t="shared" si="131"/>
        <v>click</v>
      </c>
      <c r="P988" s="61" t="str">
        <f t="shared" si="133"/>
        <v>();</v>
      </c>
      <c r="S988" s="61" t="str">
        <f t="shared" si="132"/>
        <v/>
      </c>
      <c r="CU988" s="61" t="e">
        <v>#N/A</v>
      </c>
      <c r="CV988" s="61" t="e">
        <v>#N/A</v>
      </c>
      <c r="CW988" s="61" t="e">
        <v>#N/A</v>
      </c>
      <c r="CX988" s="61" t="e">
        <v>#N/A</v>
      </c>
      <c r="CY988" s="61" t="e">
        <v>#N/A</v>
      </c>
      <c r="CZ988" s="61" t="e">
        <v>#N/A</v>
      </c>
      <c r="DA988" s="61" t="e">
        <v>#N/A</v>
      </c>
      <c r="DB988" s="61" t="e">
        <v>#N/A</v>
      </c>
      <c r="DC988" s="61" t="e">
        <v>#N/A</v>
      </c>
      <c r="DD988" s="61" t="e">
        <v>#N/A</v>
      </c>
      <c r="DE988" s="61" t="e">
        <v>#N/A</v>
      </c>
      <c r="DF988" s="61" t="e">
        <v>#N/A</v>
      </c>
      <c r="DG988" s="61" t="e">
        <v>#N/A</v>
      </c>
      <c r="DH988" s="61" t="e">
        <v>#N/A</v>
      </c>
      <c r="DI988" s="61" t="e">
        <v>#N/A</v>
      </c>
      <c r="DJ988" s="61" t="e">
        <v>#N/A</v>
      </c>
    </row>
    <row r="989" spans="14:114">
      <c r="N989" s="61" t="str">
        <f t="shared" si="130"/>
        <v/>
      </c>
      <c r="O989" s="53" t="str">
        <f t="shared" si="131"/>
        <v>click</v>
      </c>
      <c r="P989" s="61" t="str">
        <f t="shared" si="133"/>
        <v>();</v>
      </c>
      <c r="S989" s="61" t="str">
        <f t="shared" si="132"/>
        <v/>
      </c>
      <c r="CU989" s="61" t="e">
        <v>#N/A</v>
      </c>
      <c r="CV989" s="61" t="e">
        <v>#N/A</v>
      </c>
      <c r="CW989" s="61" t="e">
        <v>#N/A</v>
      </c>
      <c r="CX989" s="61" t="e">
        <v>#N/A</v>
      </c>
      <c r="CY989" s="61" t="e">
        <v>#N/A</v>
      </c>
      <c r="CZ989" s="61" t="e">
        <v>#N/A</v>
      </c>
      <c r="DA989" s="61" t="e">
        <v>#N/A</v>
      </c>
      <c r="DB989" s="61" t="e">
        <v>#N/A</v>
      </c>
      <c r="DC989" s="61" t="e">
        <v>#N/A</v>
      </c>
      <c r="DD989" s="61" t="e">
        <v>#N/A</v>
      </c>
      <c r="DE989" s="61" t="e">
        <v>#N/A</v>
      </c>
      <c r="DF989" s="61" t="e">
        <v>#N/A</v>
      </c>
      <c r="DG989" s="61" t="e">
        <v>#N/A</v>
      </c>
      <c r="DH989" s="61" t="e">
        <v>#N/A</v>
      </c>
      <c r="DI989" s="61" t="e">
        <v>#N/A</v>
      </c>
      <c r="DJ989" s="61" t="e">
        <v>#N/A</v>
      </c>
    </row>
    <row r="990" spans="14:114">
      <c r="N990" s="61" t="str">
        <f t="shared" si="130"/>
        <v/>
      </c>
      <c r="O990" s="53" t="str">
        <f t="shared" si="131"/>
        <v>click</v>
      </c>
      <c r="P990" s="61" t="str">
        <f t="shared" si="133"/>
        <v>();</v>
      </c>
      <c r="S990" s="61" t="str">
        <f t="shared" si="132"/>
        <v/>
      </c>
      <c r="CU990" s="61" t="e">
        <v>#N/A</v>
      </c>
      <c r="CV990" s="61" t="e">
        <v>#N/A</v>
      </c>
      <c r="CW990" s="61" t="e">
        <v>#N/A</v>
      </c>
      <c r="CX990" s="61" t="e">
        <v>#N/A</v>
      </c>
      <c r="CY990" s="61" t="e">
        <v>#N/A</v>
      </c>
      <c r="CZ990" s="61" t="e">
        <v>#N/A</v>
      </c>
      <c r="DA990" s="61" t="e">
        <v>#N/A</v>
      </c>
      <c r="DB990" s="61" t="e">
        <v>#N/A</v>
      </c>
      <c r="DC990" s="61" t="e">
        <v>#N/A</v>
      </c>
      <c r="DD990" s="61" t="e">
        <v>#N/A</v>
      </c>
      <c r="DE990" s="61" t="e">
        <v>#N/A</v>
      </c>
      <c r="DF990" s="61" t="e">
        <v>#N/A</v>
      </c>
      <c r="DG990" s="61" t="e">
        <v>#N/A</v>
      </c>
      <c r="DH990" s="61" t="e">
        <v>#N/A</v>
      </c>
      <c r="DI990" s="61" t="e">
        <v>#N/A</v>
      </c>
      <c r="DJ990" s="61" t="e">
        <v>#N/A</v>
      </c>
    </row>
    <row r="991" spans="14:114">
      <c r="N991" s="61" t="str">
        <f t="shared" si="130"/>
        <v/>
      </c>
      <c r="O991" s="53" t="str">
        <f t="shared" si="131"/>
        <v>click</v>
      </c>
      <c r="P991" s="61" t="str">
        <f t="shared" si="133"/>
        <v>();</v>
      </c>
      <c r="S991" s="61" t="str">
        <f t="shared" si="132"/>
        <v/>
      </c>
      <c r="CU991" s="61" t="e">
        <v>#N/A</v>
      </c>
      <c r="CV991" s="61" t="e">
        <v>#N/A</v>
      </c>
      <c r="CW991" s="61" t="e">
        <v>#N/A</v>
      </c>
      <c r="CX991" s="61" t="e">
        <v>#N/A</v>
      </c>
      <c r="CY991" s="61" t="e">
        <v>#N/A</v>
      </c>
      <c r="CZ991" s="61" t="e">
        <v>#N/A</v>
      </c>
      <c r="DA991" s="61" t="e">
        <v>#N/A</v>
      </c>
      <c r="DB991" s="61" t="e">
        <v>#N/A</v>
      </c>
      <c r="DC991" s="61" t="e">
        <v>#N/A</v>
      </c>
      <c r="DD991" s="61" t="e">
        <v>#N/A</v>
      </c>
      <c r="DE991" s="61" t="e">
        <v>#N/A</v>
      </c>
      <c r="DF991" s="61" t="e">
        <v>#N/A</v>
      </c>
      <c r="DG991" s="61" t="e">
        <v>#N/A</v>
      </c>
      <c r="DH991" s="61" t="e">
        <v>#N/A</v>
      </c>
      <c r="DI991" s="61" t="e">
        <v>#N/A</v>
      </c>
      <c r="DJ991" s="61" t="e">
        <v>#N/A</v>
      </c>
    </row>
    <row r="992" spans="14:114">
      <c r="N992" s="61" t="str">
        <f t="shared" si="130"/>
        <v/>
      </c>
      <c r="O992" s="53" t="str">
        <f t="shared" si="131"/>
        <v>click</v>
      </c>
      <c r="P992" s="61" t="str">
        <f t="shared" si="133"/>
        <v>();</v>
      </c>
      <c r="S992" s="61" t="str">
        <f t="shared" si="132"/>
        <v/>
      </c>
      <c r="CU992" s="61" t="e">
        <v>#N/A</v>
      </c>
      <c r="CV992" s="61" t="e">
        <v>#N/A</v>
      </c>
      <c r="CW992" s="61" t="e">
        <v>#N/A</v>
      </c>
      <c r="CX992" s="61" t="e">
        <v>#N/A</v>
      </c>
      <c r="CY992" s="61" t="e">
        <v>#N/A</v>
      </c>
      <c r="CZ992" s="61" t="e">
        <v>#N/A</v>
      </c>
      <c r="DA992" s="61" t="e">
        <v>#N/A</v>
      </c>
      <c r="DB992" s="61" t="e">
        <v>#N/A</v>
      </c>
      <c r="DC992" s="61" t="e">
        <v>#N/A</v>
      </c>
      <c r="DD992" s="61" t="e">
        <v>#N/A</v>
      </c>
      <c r="DE992" s="61" t="e">
        <v>#N/A</v>
      </c>
      <c r="DF992" s="61" t="e">
        <v>#N/A</v>
      </c>
      <c r="DG992" s="61" t="e">
        <v>#N/A</v>
      </c>
      <c r="DH992" s="61" t="e">
        <v>#N/A</v>
      </c>
      <c r="DI992" s="61" t="e">
        <v>#N/A</v>
      </c>
      <c r="DJ992" s="61" t="e">
        <v>#N/A</v>
      </c>
    </row>
    <row r="993" spans="14:114">
      <c r="N993" s="61" t="str">
        <f t="shared" si="130"/>
        <v/>
      </c>
      <c r="O993" s="53" t="str">
        <f t="shared" si="131"/>
        <v>click</v>
      </c>
      <c r="P993" s="61" t="str">
        <f t="shared" si="133"/>
        <v>();</v>
      </c>
      <c r="S993" s="61" t="str">
        <f t="shared" si="132"/>
        <v/>
      </c>
      <c r="CU993" s="61" t="e">
        <v>#N/A</v>
      </c>
      <c r="CV993" s="61" t="e">
        <v>#N/A</v>
      </c>
      <c r="CW993" s="61" t="e">
        <v>#N/A</v>
      </c>
      <c r="CX993" s="61" t="e">
        <v>#N/A</v>
      </c>
      <c r="CY993" s="61" t="e">
        <v>#N/A</v>
      </c>
      <c r="CZ993" s="61" t="e">
        <v>#N/A</v>
      </c>
      <c r="DA993" s="61" t="e">
        <v>#N/A</v>
      </c>
      <c r="DB993" s="61" t="e">
        <v>#N/A</v>
      </c>
      <c r="DC993" s="61" t="e">
        <v>#N/A</v>
      </c>
      <c r="DD993" s="61" t="e">
        <v>#N/A</v>
      </c>
      <c r="DE993" s="61" t="e">
        <v>#N/A</v>
      </c>
      <c r="DF993" s="61" t="e">
        <v>#N/A</v>
      </c>
      <c r="DG993" s="61" t="e">
        <v>#N/A</v>
      </c>
      <c r="DH993" s="61" t="e">
        <v>#N/A</v>
      </c>
      <c r="DI993" s="61" t="e">
        <v>#N/A</v>
      </c>
      <c r="DJ993" s="61" t="e">
        <v>#N/A</v>
      </c>
    </row>
    <row r="994" spans="14:114">
      <c r="N994" s="61" t="str">
        <f t="shared" si="130"/>
        <v/>
      </c>
      <c r="O994" s="53" t="str">
        <f t="shared" si="131"/>
        <v>click</v>
      </c>
      <c r="P994" s="61" t="str">
        <f t="shared" si="133"/>
        <v>();</v>
      </c>
      <c r="S994" s="61" t="str">
        <f t="shared" si="132"/>
        <v/>
      </c>
      <c r="CU994" s="61" t="e">
        <v>#N/A</v>
      </c>
      <c r="CV994" s="61" t="e">
        <v>#N/A</v>
      </c>
      <c r="CW994" s="61" t="e">
        <v>#N/A</v>
      </c>
      <c r="CX994" s="61" t="e">
        <v>#N/A</v>
      </c>
      <c r="CY994" s="61" t="e">
        <v>#N/A</v>
      </c>
      <c r="CZ994" s="61" t="e">
        <v>#N/A</v>
      </c>
      <c r="DA994" s="61" t="e">
        <v>#N/A</v>
      </c>
      <c r="DB994" s="61" t="e">
        <v>#N/A</v>
      </c>
      <c r="DC994" s="61" t="e">
        <v>#N/A</v>
      </c>
      <c r="DD994" s="61" t="e">
        <v>#N/A</v>
      </c>
      <c r="DE994" s="61" t="e">
        <v>#N/A</v>
      </c>
      <c r="DF994" s="61" t="e">
        <v>#N/A</v>
      </c>
      <c r="DG994" s="61" t="e">
        <v>#N/A</v>
      </c>
      <c r="DH994" s="61" t="e">
        <v>#N/A</v>
      </c>
      <c r="DI994" s="61" t="e">
        <v>#N/A</v>
      </c>
      <c r="DJ994" s="61" t="e">
        <v>#N/A</v>
      </c>
    </row>
    <row r="995" spans="14:114">
      <c r="N995" s="61" t="str">
        <f t="shared" si="130"/>
        <v/>
      </c>
      <c r="O995" s="53" t="str">
        <f t="shared" si="131"/>
        <v>click</v>
      </c>
      <c r="P995" s="61" t="str">
        <f t="shared" si="133"/>
        <v>();</v>
      </c>
      <c r="S995" s="61" t="str">
        <f t="shared" si="132"/>
        <v/>
      </c>
      <c r="CU995" s="61" t="e">
        <v>#N/A</v>
      </c>
      <c r="CV995" s="61" t="e">
        <v>#N/A</v>
      </c>
      <c r="CW995" s="61" t="e">
        <v>#N/A</v>
      </c>
      <c r="CX995" s="61" t="e">
        <v>#N/A</v>
      </c>
      <c r="CY995" s="61" t="e">
        <v>#N/A</v>
      </c>
      <c r="CZ995" s="61" t="e">
        <v>#N/A</v>
      </c>
      <c r="DA995" s="61" t="e">
        <v>#N/A</v>
      </c>
      <c r="DB995" s="61" t="e">
        <v>#N/A</v>
      </c>
      <c r="DC995" s="61" t="e">
        <v>#N/A</v>
      </c>
      <c r="DD995" s="61" t="e">
        <v>#N/A</v>
      </c>
      <c r="DE995" s="61" t="e">
        <v>#N/A</v>
      </c>
      <c r="DF995" s="61" t="e">
        <v>#N/A</v>
      </c>
      <c r="DG995" s="61" t="e">
        <v>#N/A</v>
      </c>
      <c r="DH995" s="61" t="e">
        <v>#N/A</v>
      </c>
      <c r="DI995" s="61" t="e">
        <v>#N/A</v>
      </c>
      <c r="DJ995" s="61" t="e">
        <v>#N/A</v>
      </c>
    </row>
    <row r="996" spans="14:114">
      <c r="N996" s="61" t="str">
        <f t="shared" si="130"/>
        <v/>
      </c>
      <c r="O996" s="53" t="str">
        <f t="shared" si="131"/>
        <v>click</v>
      </c>
      <c r="P996" s="61" t="str">
        <f t="shared" si="133"/>
        <v>();</v>
      </c>
      <c r="S996" s="61" t="str">
        <f t="shared" si="132"/>
        <v/>
      </c>
      <c r="CU996" s="61" t="e">
        <v>#N/A</v>
      </c>
      <c r="CV996" s="61" t="e">
        <v>#N/A</v>
      </c>
      <c r="CW996" s="61" t="e">
        <v>#N/A</v>
      </c>
      <c r="CX996" s="61" t="e">
        <v>#N/A</v>
      </c>
      <c r="CY996" s="61" t="e">
        <v>#N/A</v>
      </c>
      <c r="CZ996" s="61" t="e">
        <v>#N/A</v>
      </c>
      <c r="DA996" s="61" t="e">
        <v>#N/A</v>
      </c>
      <c r="DB996" s="61" t="e">
        <v>#N/A</v>
      </c>
      <c r="DC996" s="61" t="e">
        <v>#N/A</v>
      </c>
      <c r="DD996" s="61" t="e">
        <v>#N/A</v>
      </c>
      <c r="DE996" s="61" t="e">
        <v>#N/A</v>
      </c>
      <c r="DF996" s="61" t="e">
        <v>#N/A</v>
      </c>
      <c r="DG996" s="61" t="e">
        <v>#N/A</v>
      </c>
      <c r="DH996" s="61" t="e">
        <v>#N/A</v>
      </c>
      <c r="DI996" s="61" t="e">
        <v>#N/A</v>
      </c>
      <c r="DJ996" s="61" t="e">
        <v>#N/A</v>
      </c>
    </row>
    <row r="997" spans="14:114">
      <c r="N997" s="61" t="str">
        <f t="shared" si="130"/>
        <v/>
      </c>
      <c r="O997" s="53" t="str">
        <f t="shared" si="131"/>
        <v>click</v>
      </c>
      <c r="P997" s="61" t="str">
        <f t="shared" si="133"/>
        <v>();</v>
      </c>
      <c r="S997" s="61" t="str">
        <f t="shared" si="132"/>
        <v/>
      </c>
      <c r="CU997" s="61" t="e">
        <v>#N/A</v>
      </c>
      <c r="CV997" s="61" t="e">
        <v>#N/A</v>
      </c>
      <c r="CW997" s="61" t="e">
        <v>#N/A</v>
      </c>
      <c r="CX997" s="61" t="e">
        <v>#N/A</v>
      </c>
      <c r="CY997" s="61" t="e">
        <v>#N/A</v>
      </c>
      <c r="CZ997" s="61" t="e">
        <v>#N/A</v>
      </c>
      <c r="DA997" s="61" t="e">
        <v>#N/A</v>
      </c>
      <c r="DB997" s="61" t="e">
        <v>#N/A</v>
      </c>
      <c r="DC997" s="61" t="e">
        <v>#N/A</v>
      </c>
      <c r="DD997" s="61" t="e">
        <v>#N/A</v>
      </c>
      <c r="DE997" s="61" t="e">
        <v>#N/A</v>
      </c>
      <c r="DF997" s="61" t="e">
        <v>#N/A</v>
      </c>
      <c r="DG997" s="61" t="e">
        <v>#N/A</v>
      </c>
      <c r="DH997" s="61" t="e">
        <v>#N/A</v>
      </c>
      <c r="DI997" s="61" t="e">
        <v>#N/A</v>
      </c>
      <c r="DJ997" s="61" t="e">
        <v>#N/A</v>
      </c>
    </row>
    <row r="998" spans="14:114">
      <c r="N998" s="61" t="str">
        <f t="shared" si="130"/>
        <v/>
      </c>
      <c r="O998" s="53" t="str">
        <f t="shared" si="131"/>
        <v>click</v>
      </c>
      <c r="P998" s="61" t="str">
        <f t="shared" si="133"/>
        <v>();</v>
      </c>
      <c r="S998" s="61" t="str">
        <f t="shared" si="132"/>
        <v/>
      </c>
      <c r="CU998" s="61" t="e">
        <v>#N/A</v>
      </c>
      <c r="CV998" s="61" t="e">
        <v>#N/A</v>
      </c>
      <c r="CW998" s="61" t="e">
        <v>#N/A</v>
      </c>
      <c r="CX998" s="61" t="e">
        <v>#N/A</v>
      </c>
      <c r="CY998" s="61" t="e">
        <v>#N/A</v>
      </c>
      <c r="CZ998" s="61" t="e">
        <v>#N/A</v>
      </c>
      <c r="DA998" s="61" t="e">
        <v>#N/A</v>
      </c>
      <c r="DB998" s="61" t="e">
        <v>#N/A</v>
      </c>
      <c r="DC998" s="61" t="e">
        <v>#N/A</v>
      </c>
      <c r="DD998" s="61" t="e">
        <v>#N/A</v>
      </c>
      <c r="DE998" s="61" t="e">
        <v>#N/A</v>
      </c>
      <c r="DF998" s="61" t="e">
        <v>#N/A</v>
      </c>
      <c r="DG998" s="61" t="e">
        <v>#N/A</v>
      </c>
      <c r="DH998" s="61" t="e">
        <v>#N/A</v>
      </c>
      <c r="DI998" s="61" t="e">
        <v>#N/A</v>
      </c>
      <c r="DJ998" s="61" t="e">
        <v>#N/A</v>
      </c>
    </row>
    <row r="999" spans="14:114">
      <c r="N999" s="61" t="str">
        <f t="shared" si="130"/>
        <v/>
      </c>
      <c r="O999" s="53" t="str">
        <f t="shared" si="131"/>
        <v>click</v>
      </c>
      <c r="P999" s="61" t="str">
        <f t="shared" si="133"/>
        <v>();</v>
      </c>
      <c r="S999" s="61" t="str">
        <f t="shared" si="132"/>
        <v/>
      </c>
      <c r="CU999" s="61" t="e">
        <v>#N/A</v>
      </c>
      <c r="CV999" s="61" t="e">
        <v>#N/A</v>
      </c>
      <c r="CW999" s="61" t="e">
        <v>#N/A</v>
      </c>
      <c r="CX999" s="61" t="e">
        <v>#N/A</v>
      </c>
      <c r="CY999" s="61" t="e">
        <v>#N/A</v>
      </c>
      <c r="CZ999" s="61" t="e">
        <v>#N/A</v>
      </c>
      <c r="DA999" s="61" t="e">
        <v>#N/A</v>
      </c>
      <c r="DB999" s="61" t="e">
        <v>#N/A</v>
      </c>
      <c r="DC999" s="61" t="e">
        <v>#N/A</v>
      </c>
      <c r="DD999" s="61" t="e">
        <v>#N/A</v>
      </c>
      <c r="DE999" s="61" t="e">
        <v>#N/A</v>
      </c>
      <c r="DF999" s="61" t="e">
        <v>#N/A</v>
      </c>
      <c r="DG999" s="61" t="e">
        <v>#N/A</v>
      </c>
      <c r="DH999" s="61" t="e">
        <v>#N/A</v>
      </c>
      <c r="DI999" s="61" t="e">
        <v>#N/A</v>
      </c>
      <c r="DJ999" s="61" t="e">
        <v>#N/A</v>
      </c>
    </row>
    <row r="1000" spans="14:114">
      <c r="N1000" s="61" t="str">
        <f t="shared" si="130"/>
        <v/>
      </c>
      <c r="O1000" s="53" t="str">
        <f t="shared" si="131"/>
        <v>click</v>
      </c>
      <c r="P1000" s="61" t="str">
        <f t="shared" si="133"/>
        <v>();</v>
      </c>
      <c r="S1000" s="61" t="str">
        <f t="shared" si="132"/>
        <v/>
      </c>
      <c r="CU1000" s="61" t="e">
        <v>#N/A</v>
      </c>
      <c r="CV1000" s="61" t="e">
        <v>#N/A</v>
      </c>
      <c r="CW1000" s="61" t="e">
        <v>#N/A</v>
      </c>
      <c r="CX1000" s="61" t="e">
        <v>#N/A</v>
      </c>
      <c r="CY1000" s="61" t="e">
        <v>#N/A</v>
      </c>
      <c r="CZ1000" s="61" t="e">
        <v>#N/A</v>
      </c>
      <c r="DA1000" s="61" t="e">
        <v>#N/A</v>
      </c>
      <c r="DB1000" s="61" t="e">
        <v>#N/A</v>
      </c>
      <c r="DC1000" s="61" t="e">
        <v>#N/A</v>
      </c>
      <c r="DD1000" s="61" t="e">
        <v>#N/A</v>
      </c>
      <c r="DE1000" s="61" t="e">
        <v>#N/A</v>
      </c>
      <c r="DF1000" s="61" t="e">
        <v>#N/A</v>
      </c>
      <c r="DG1000" s="61" t="e">
        <v>#N/A</v>
      </c>
    </row>
    <row r="1001" spans="14:114">
      <c r="N1001" s="61" t="str">
        <f t="shared" si="130"/>
        <v/>
      </c>
      <c r="O1001" s="53" t="str">
        <f t="shared" si="131"/>
        <v>click</v>
      </c>
      <c r="P1001" s="61" t="str">
        <f t="shared" si="133"/>
        <v>();</v>
      </c>
      <c r="S1001" s="61" t="str">
        <f t="shared" si="132"/>
        <v/>
      </c>
      <c r="CU1001" s="61" t="e">
        <v>#N/A</v>
      </c>
      <c r="CV1001" s="61" t="e">
        <v>#N/A</v>
      </c>
      <c r="CW1001" s="61" t="e">
        <v>#N/A</v>
      </c>
      <c r="CX1001" s="61" t="e">
        <v>#N/A</v>
      </c>
      <c r="CY1001" s="61" t="e">
        <v>#N/A</v>
      </c>
      <c r="CZ1001" s="61" t="e">
        <v>#N/A</v>
      </c>
      <c r="DA1001" s="61" t="e">
        <v>#N/A</v>
      </c>
      <c r="DB1001" s="61" t="e">
        <v>#N/A</v>
      </c>
      <c r="DC1001" s="61" t="e">
        <v>#N/A</v>
      </c>
      <c r="DD1001" s="61" t="e">
        <v>#N/A</v>
      </c>
      <c r="DE1001" s="61" t="e">
        <v>#N/A</v>
      </c>
      <c r="DF1001" s="61" t="e">
        <v>#N/A</v>
      </c>
      <c r="DG1001" s="61" t="e">
        <v>#N/A</v>
      </c>
    </row>
    <row r="1002" spans="14:114">
      <c r="N1002" s="61" t="str">
        <f t="shared" si="130"/>
        <v/>
      </c>
      <c r="O1002" s="53" t="str">
        <f t="shared" si="131"/>
        <v>click</v>
      </c>
      <c r="P1002" s="61" t="str">
        <f t="shared" si="133"/>
        <v>();</v>
      </c>
      <c r="S1002" s="61" t="str">
        <f t="shared" si="132"/>
        <v/>
      </c>
      <c r="CU1002" s="61" t="e">
        <v>#N/A</v>
      </c>
      <c r="CV1002" s="61" t="e">
        <v>#N/A</v>
      </c>
      <c r="CW1002" s="61" t="e">
        <v>#N/A</v>
      </c>
      <c r="CX1002" s="61" t="e">
        <v>#N/A</v>
      </c>
      <c r="CY1002" s="61" t="e">
        <v>#N/A</v>
      </c>
      <c r="CZ1002" s="61" t="e">
        <v>#N/A</v>
      </c>
      <c r="DA1002" s="61" t="e">
        <v>#N/A</v>
      </c>
      <c r="DB1002" s="61" t="e">
        <v>#N/A</v>
      </c>
      <c r="DC1002" s="61" t="e">
        <v>#N/A</v>
      </c>
      <c r="DD1002" s="61" t="e">
        <v>#N/A</v>
      </c>
      <c r="DE1002" s="61" t="e">
        <v>#N/A</v>
      </c>
      <c r="DF1002" s="61" t="e">
        <v>#N/A</v>
      </c>
      <c r="DG1002" s="61" t="e">
        <v>#N/A</v>
      </c>
    </row>
    <row r="1003" spans="14:114">
      <c r="N1003" s="61" t="str">
        <f t="shared" si="130"/>
        <v/>
      </c>
      <c r="O1003" s="53" t="str">
        <f t="shared" si="131"/>
        <v>click</v>
      </c>
      <c r="P1003" s="61" t="str">
        <f t="shared" si="133"/>
        <v>();</v>
      </c>
      <c r="S1003" s="61" t="str">
        <f t="shared" si="132"/>
        <v/>
      </c>
      <c r="CU1003" s="61" t="e">
        <v>#N/A</v>
      </c>
      <c r="CV1003" s="61" t="e">
        <v>#N/A</v>
      </c>
      <c r="CW1003" s="61" t="e">
        <v>#N/A</v>
      </c>
      <c r="CX1003" s="61" t="e">
        <v>#N/A</v>
      </c>
      <c r="CY1003" s="61" t="e">
        <v>#N/A</v>
      </c>
      <c r="CZ1003" s="61" t="e">
        <v>#N/A</v>
      </c>
      <c r="DA1003" s="61" t="e">
        <v>#N/A</v>
      </c>
      <c r="DB1003" s="61" t="e">
        <v>#N/A</v>
      </c>
      <c r="DC1003" s="61" t="e">
        <v>#N/A</v>
      </c>
      <c r="DD1003" s="61" t="e">
        <v>#N/A</v>
      </c>
      <c r="DE1003" s="61" t="e">
        <v>#N/A</v>
      </c>
      <c r="DF1003" s="61" t="e">
        <v>#N/A</v>
      </c>
      <c r="DG1003" s="61" t="e">
        <v>#N/A</v>
      </c>
    </row>
    <row r="1004" spans="14:114">
      <c r="N1004" s="61" t="str">
        <f t="shared" si="130"/>
        <v/>
      </c>
      <c r="O1004" s="53" t="str">
        <f t="shared" si="131"/>
        <v>click</v>
      </c>
      <c r="P1004" s="61" t="str">
        <f t="shared" si="133"/>
        <v>();</v>
      </c>
      <c r="S1004" s="61" t="str">
        <f t="shared" si="132"/>
        <v/>
      </c>
      <c r="CU1004" s="61" t="e">
        <v>#N/A</v>
      </c>
      <c r="CV1004" s="61" t="e">
        <v>#N/A</v>
      </c>
      <c r="CW1004" s="61" t="e">
        <v>#N/A</v>
      </c>
      <c r="CX1004" s="61" t="e">
        <v>#N/A</v>
      </c>
      <c r="CY1004" s="61" t="e">
        <v>#N/A</v>
      </c>
      <c r="CZ1004" s="61" t="e">
        <v>#N/A</v>
      </c>
      <c r="DA1004" s="61" t="e">
        <v>#N/A</v>
      </c>
      <c r="DB1004" s="61" t="e">
        <v>#N/A</v>
      </c>
      <c r="DC1004" s="61" t="e">
        <v>#N/A</v>
      </c>
      <c r="DD1004" s="61" t="e">
        <v>#N/A</v>
      </c>
      <c r="DE1004" s="61" t="e">
        <v>#N/A</v>
      </c>
      <c r="DF1004" s="61" t="e">
        <v>#N/A</v>
      </c>
      <c r="DG1004" s="61" t="e">
        <v>#N/A</v>
      </c>
    </row>
    <row r="1005" spans="14:114">
      <c r="N1005" s="61" t="str">
        <f t="shared" si="130"/>
        <v/>
      </c>
      <c r="O1005" s="53" t="str">
        <f t="shared" si="131"/>
        <v>click</v>
      </c>
      <c r="P1005" s="61" t="str">
        <f t="shared" si="133"/>
        <v>();</v>
      </c>
      <c r="S1005" s="61" t="str">
        <f t="shared" si="132"/>
        <v/>
      </c>
      <c r="CU1005" s="61" t="e">
        <v>#N/A</v>
      </c>
      <c r="CV1005" s="61" t="e">
        <v>#N/A</v>
      </c>
      <c r="CW1005" s="61" t="e">
        <v>#N/A</v>
      </c>
      <c r="CX1005" s="61" t="e">
        <v>#N/A</v>
      </c>
      <c r="CY1005" s="61" t="e">
        <v>#N/A</v>
      </c>
      <c r="CZ1005" s="61" t="e">
        <v>#N/A</v>
      </c>
      <c r="DA1005" s="61" t="e">
        <v>#N/A</v>
      </c>
      <c r="DB1005" s="61" t="e">
        <v>#N/A</v>
      </c>
      <c r="DC1005" s="61" t="e">
        <v>#N/A</v>
      </c>
      <c r="DD1005" s="61" t="e">
        <v>#N/A</v>
      </c>
      <c r="DE1005" s="61" t="e">
        <v>#N/A</v>
      </c>
      <c r="DF1005" s="61" t="e">
        <v>#N/A</v>
      </c>
      <c r="DG1005" s="61" t="e">
        <v>#N/A</v>
      </c>
    </row>
    <row r="1006" spans="14:114">
      <c r="N1006" s="61" t="str">
        <f t="shared" si="130"/>
        <v/>
      </c>
      <c r="O1006" s="53" t="str">
        <f t="shared" si="131"/>
        <v>click</v>
      </c>
      <c r="P1006" s="61" t="str">
        <f t="shared" si="133"/>
        <v>();</v>
      </c>
      <c r="S1006" s="61" t="str">
        <f t="shared" si="132"/>
        <v/>
      </c>
      <c r="CU1006" s="61" t="e">
        <v>#N/A</v>
      </c>
      <c r="CV1006" s="61" t="e">
        <v>#N/A</v>
      </c>
      <c r="CW1006" s="61" t="e">
        <v>#N/A</v>
      </c>
      <c r="CX1006" s="61" t="e">
        <v>#N/A</v>
      </c>
      <c r="CY1006" s="61" t="e">
        <v>#N/A</v>
      </c>
      <c r="CZ1006" s="61" t="e">
        <v>#N/A</v>
      </c>
      <c r="DA1006" s="61" t="e">
        <v>#N/A</v>
      </c>
      <c r="DB1006" s="61" t="e">
        <v>#N/A</v>
      </c>
      <c r="DC1006" s="61" t="e">
        <v>#N/A</v>
      </c>
      <c r="DD1006" s="61" t="e">
        <v>#N/A</v>
      </c>
      <c r="DE1006" s="61" t="e">
        <v>#N/A</v>
      </c>
      <c r="DF1006" s="61" t="e">
        <v>#N/A</v>
      </c>
      <c r="DG1006" s="61" t="e">
        <v>#N/A</v>
      </c>
    </row>
    <row r="1007" spans="14:114">
      <c r="N1007" s="61" t="str">
        <f t="shared" si="130"/>
        <v/>
      </c>
      <c r="O1007" s="53" t="str">
        <f t="shared" si="131"/>
        <v>click</v>
      </c>
      <c r="P1007" s="61" t="str">
        <f t="shared" si="133"/>
        <v>();</v>
      </c>
      <c r="S1007" s="61" t="str">
        <f t="shared" si="132"/>
        <v/>
      </c>
      <c r="CU1007" s="61" t="e">
        <v>#N/A</v>
      </c>
      <c r="CV1007" s="61" t="e">
        <v>#N/A</v>
      </c>
      <c r="CW1007" s="61" t="e">
        <v>#N/A</v>
      </c>
      <c r="CX1007" s="61" t="e">
        <v>#N/A</v>
      </c>
      <c r="CY1007" s="61" t="e">
        <v>#N/A</v>
      </c>
      <c r="CZ1007" s="61" t="e">
        <v>#N/A</v>
      </c>
      <c r="DA1007" s="61" t="e">
        <v>#N/A</v>
      </c>
      <c r="DB1007" s="61" t="e">
        <v>#N/A</v>
      </c>
      <c r="DC1007" s="61" t="e">
        <v>#N/A</v>
      </c>
      <c r="DD1007" s="61" t="e">
        <v>#N/A</v>
      </c>
      <c r="DE1007" s="61" t="e">
        <v>#N/A</v>
      </c>
      <c r="DF1007" s="61" t="e">
        <v>#N/A</v>
      </c>
      <c r="DG1007" s="61" t="e">
        <v>#N/A</v>
      </c>
    </row>
    <row r="1008" spans="14:114">
      <c r="N1008" s="61" t="str">
        <f t="shared" si="130"/>
        <v/>
      </c>
      <c r="O1008" s="53" t="str">
        <f t="shared" si="131"/>
        <v>click</v>
      </c>
      <c r="P1008" s="61" t="str">
        <f t="shared" si="133"/>
        <v>();</v>
      </c>
      <c r="S1008" s="61" t="str">
        <f t="shared" si="132"/>
        <v/>
      </c>
    </row>
    <row r="1009" spans="14:19">
      <c r="N1009" s="61" t="str">
        <f t="shared" si="130"/>
        <v/>
      </c>
      <c r="O1009" s="53" t="str">
        <f t="shared" si="131"/>
        <v>click</v>
      </c>
      <c r="P1009" s="61" t="str">
        <f t="shared" si="133"/>
        <v>();</v>
      </c>
      <c r="S1009" s="61" t="str">
        <f t="shared" si="132"/>
        <v/>
      </c>
    </row>
    <row r="1010" spans="14:19">
      <c r="N1010" s="61" t="str">
        <f t="shared" si="130"/>
        <v/>
      </c>
      <c r="O1010" s="53" t="str">
        <f t="shared" si="131"/>
        <v>click</v>
      </c>
      <c r="P1010" s="61" t="str">
        <f t="shared" si="133"/>
        <v>();</v>
      </c>
      <c r="S1010" s="61" t="str">
        <f t="shared" si="132"/>
        <v/>
      </c>
    </row>
    <row r="1011" spans="14:19">
      <c r="N1011" s="61" t="str">
        <f t="shared" si="130"/>
        <v/>
      </c>
      <c r="O1011" s="53" t="str">
        <f t="shared" si="131"/>
        <v>click</v>
      </c>
      <c r="P1011" s="61" t="str">
        <f t="shared" si="133"/>
        <v>();</v>
      </c>
      <c r="S1011" s="61" t="str">
        <f t="shared" si="132"/>
        <v/>
      </c>
    </row>
    <row r="1012" spans="14:19">
      <c r="N1012" s="61" t="str">
        <f t="shared" si="130"/>
        <v/>
      </c>
      <c r="O1012" s="53" t="str">
        <f t="shared" si="131"/>
        <v>click</v>
      </c>
      <c r="P1012" s="61" t="str">
        <f t="shared" si="133"/>
        <v>();</v>
      </c>
      <c r="S1012" s="61" t="str">
        <f t="shared" si="132"/>
        <v/>
      </c>
    </row>
    <row r="1013" spans="14:19">
      <c r="N1013" s="61" t="str">
        <f t="shared" si="130"/>
        <v/>
      </c>
      <c r="O1013" s="53" t="str">
        <f t="shared" si="131"/>
        <v>click</v>
      </c>
      <c r="P1013" s="61" t="str">
        <f t="shared" si="133"/>
        <v>();</v>
      </c>
      <c r="S1013" s="61" t="str">
        <f t="shared" si="132"/>
        <v/>
      </c>
    </row>
    <row r="1014" spans="14:19">
      <c r="N1014" s="61" t="str">
        <f t="shared" si="130"/>
        <v/>
      </c>
      <c r="O1014" s="53" t="str">
        <f t="shared" si="131"/>
        <v>click</v>
      </c>
      <c r="P1014" s="61" t="str">
        <f t="shared" si="133"/>
        <v>();</v>
      </c>
      <c r="S1014" s="61" t="str">
        <f t="shared" si="132"/>
        <v/>
      </c>
    </row>
    <row r="1015" spans="14:19">
      <c r="N1015" s="61" t="str">
        <f t="shared" si="130"/>
        <v/>
      </c>
      <c r="O1015" s="53" t="str">
        <f t="shared" si="131"/>
        <v>click</v>
      </c>
      <c r="P1015" s="61" t="str">
        <f t="shared" si="133"/>
        <v>();</v>
      </c>
      <c r="S1015" s="61" t="str">
        <f t="shared" si="132"/>
        <v/>
      </c>
    </row>
    <row r="1016" spans="14:19">
      <c r="N1016" s="61" t="str">
        <f t="shared" si="130"/>
        <v/>
      </c>
      <c r="O1016" s="53" t="str">
        <f t="shared" si="131"/>
        <v>click</v>
      </c>
      <c r="P1016" s="61" t="str">
        <f t="shared" si="133"/>
        <v>();</v>
      </c>
      <c r="S1016" s="61" t="str">
        <f t="shared" si="132"/>
        <v/>
      </c>
    </row>
    <row r="1017" spans="14:19">
      <c r="N1017" s="61" t="str">
        <f t="shared" si="130"/>
        <v/>
      </c>
      <c r="O1017" s="53" t="str">
        <f t="shared" si="131"/>
        <v>click</v>
      </c>
      <c r="P1017" s="61" t="str">
        <f t="shared" si="133"/>
        <v>();</v>
      </c>
      <c r="S1017" s="61" t="str">
        <f t="shared" si="132"/>
        <v/>
      </c>
    </row>
    <row r="1018" spans="14:19">
      <c r="N1018" s="61" t="str">
        <f t="shared" si="130"/>
        <v/>
      </c>
      <c r="O1018" s="53" t="str">
        <f t="shared" si="131"/>
        <v>click</v>
      </c>
      <c r="P1018" s="61" t="str">
        <f t="shared" si="133"/>
        <v>();</v>
      </c>
      <c r="S1018" s="61" t="str">
        <f t="shared" si="132"/>
        <v/>
      </c>
    </row>
    <row r="1019" spans="14:19">
      <c r="N1019" s="61" t="str">
        <f t="shared" si="130"/>
        <v/>
      </c>
      <c r="O1019" s="53" t="str">
        <f t="shared" si="131"/>
        <v>click</v>
      </c>
      <c r="P1019" s="61" t="str">
        <f t="shared" si="133"/>
        <v>();</v>
      </c>
      <c r="S1019" s="61" t="str">
        <f t="shared" si="132"/>
        <v/>
      </c>
    </row>
    <row r="1020" spans="14:19">
      <c r="N1020" s="61" t="str">
        <f t="shared" si="130"/>
        <v/>
      </c>
      <c r="O1020" s="53" t="str">
        <f t="shared" si="131"/>
        <v>click</v>
      </c>
      <c r="P1020" s="61" t="str">
        <f t="shared" si="133"/>
        <v>();</v>
      </c>
      <c r="S1020" s="61" t="str">
        <f t="shared" si="132"/>
        <v/>
      </c>
    </row>
    <row r="1021" spans="14:19">
      <c r="N1021" s="61" t="str">
        <f t="shared" si="130"/>
        <v/>
      </c>
      <c r="O1021" s="53" t="str">
        <f t="shared" si="131"/>
        <v>click</v>
      </c>
      <c r="P1021" s="61" t="str">
        <f t="shared" si="133"/>
        <v>();</v>
      </c>
      <c r="S1021" s="61" t="str">
        <f t="shared" si="132"/>
        <v/>
      </c>
    </row>
    <row r="1022" spans="14:19">
      <c r="N1022" s="61" t="str">
        <f t="shared" si="130"/>
        <v/>
      </c>
      <c r="O1022" s="53" t="str">
        <f t="shared" si="131"/>
        <v>click</v>
      </c>
      <c r="P1022" s="61" t="str">
        <f t="shared" si="133"/>
        <v>();</v>
      </c>
      <c r="S1022" s="61" t="str">
        <f t="shared" si="132"/>
        <v/>
      </c>
    </row>
    <row r="1023" spans="14:19">
      <c r="N1023" s="61" t="str">
        <f t="shared" si="130"/>
        <v/>
      </c>
      <c r="O1023" s="53" t="str">
        <f t="shared" si="131"/>
        <v>click</v>
      </c>
      <c r="P1023" s="61" t="str">
        <f t="shared" si="133"/>
        <v>();</v>
      </c>
      <c r="S1023" s="61" t="str">
        <f t="shared" si="132"/>
        <v/>
      </c>
    </row>
    <row r="1024" spans="14:19">
      <c r="N1024" s="61" t="str">
        <f t="shared" si="130"/>
        <v/>
      </c>
      <c r="O1024" s="53" t="str">
        <f t="shared" si="131"/>
        <v>click</v>
      </c>
      <c r="P1024" s="61" t="str">
        <f t="shared" si="133"/>
        <v>();</v>
      </c>
      <c r="S1024" s="61" t="str">
        <f t="shared" si="132"/>
        <v/>
      </c>
    </row>
    <row r="1025" spans="14:19">
      <c r="N1025" s="61" t="str">
        <f t="shared" si="130"/>
        <v/>
      </c>
      <c r="O1025" s="53" t="str">
        <f t="shared" si="131"/>
        <v>click</v>
      </c>
      <c r="P1025" s="61" t="str">
        <f t="shared" si="133"/>
        <v>();</v>
      </c>
      <c r="S1025" s="61" t="str">
        <f t="shared" si="132"/>
        <v/>
      </c>
    </row>
    <row r="1026" spans="14:19">
      <c r="N1026" s="61" t="str">
        <f t="shared" si="130"/>
        <v/>
      </c>
      <c r="O1026" s="53" t="str">
        <f t="shared" si="131"/>
        <v>click</v>
      </c>
      <c r="P1026" s="61" t="str">
        <f t="shared" si="133"/>
        <v>();</v>
      </c>
      <c r="S1026" s="61" t="str">
        <f t="shared" si="132"/>
        <v/>
      </c>
    </row>
    <row r="1027" spans="14:19">
      <c r="N1027" s="61" t="str">
        <f t="shared" si="130"/>
        <v/>
      </c>
      <c r="O1027" s="53" t="str">
        <f t="shared" si="131"/>
        <v>click</v>
      </c>
      <c r="P1027" s="61" t="str">
        <f t="shared" si="133"/>
        <v>();</v>
      </c>
      <c r="S1027" s="61" t="str">
        <f t="shared" si="132"/>
        <v/>
      </c>
    </row>
    <row r="1028" spans="14:19">
      <c r="N1028" s="61" t="str">
        <f t="shared" si="130"/>
        <v/>
      </c>
      <c r="O1028" s="53" t="str">
        <f t="shared" si="131"/>
        <v>click</v>
      </c>
      <c r="P1028" s="61" t="str">
        <f t="shared" si="133"/>
        <v>();</v>
      </c>
      <c r="S1028" s="61" t="str">
        <f t="shared" si="132"/>
        <v/>
      </c>
    </row>
    <row r="1029" spans="14:19">
      <c r="N1029" s="61" t="str">
        <f t="shared" ref="N1029:N1092" si="134">IF(A1029="Y",""""&amp;C1029&amp;""""&amp;": "&amp;M1029&amp;",","")</f>
        <v/>
      </c>
      <c r="O1029" s="53" t="str">
        <f t="shared" ref="O1029:O1092" si="135">IF(D1029="input","fill",IF(I1029&lt;&gt;"","innerText",IF(J1029="Y",$T$110,"click")))</f>
        <v>click</v>
      </c>
      <c r="P1029" s="61" t="str">
        <f t="shared" si="133"/>
        <v>();</v>
      </c>
      <c r="S1029" s="61" t="str">
        <f t="shared" ref="S1029:S1092" si="136">IF(O1029="innerText",I1029&amp;"="&amp;IF(C1029="Y",IF(J1029&lt;&gt;"Y",$S$9&amp;$R$10&amp;"."&amp;E1029&amp;")."&amp;IF(OR(O1029="click",O1029="innerText"),O1029&amp;"();",O1029&amp;"("&amp;$Q$9&amp;"."&amp;E1029&amp;");"),$S$110&amp;$R$10&amp;"."&amp;E1029&amp;")."&amp;IF(O1029="click",O1029&amp;"();",O1029&amp;"("&amp;"'"&amp;K1029&amp;"'"&amp;");")),""),IF(C1029="Y",IF(J1029&lt;&gt;"Y",$S$9&amp;$R$10&amp;"."&amp;E1029&amp;")."&amp;IF(OR(O1029="click",O1029="innerText"),O1029&amp;"();",O1029&amp;"("&amp;$Q$9&amp;"."&amp;E1029&amp;");"),$S$110&amp;$R$10&amp;"."&amp;E1029&amp;")."&amp;IF(O1029="click",O1029&amp;"();",O1029&amp;"("&amp;"'"&amp;K1029&amp;"'"&amp;");")),""))</f>
        <v/>
      </c>
    </row>
    <row r="1030" spans="14:19">
      <c r="N1030" s="61" t="str">
        <f t="shared" si="134"/>
        <v/>
      </c>
      <c r="O1030" s="53" t="str">
        <f t="shared" si="135"/>
        <v>click</v>
      </c>
      <c r="P1030" s="61" t="str">
        <f t="shared" si="133"/>
        <v>();</v>
      </c>
      <c r="S1030" s="61" t="str">
        <f t="shared" si="136"/>
        <v/>
      </c>
    </row>
    <row r="1031" spans="14:19">
      <c r="N1031" s="61" t="str">
        <f t="shared" si="134"/>
        <v/>
      </c>
      <c r="O1031" s="53" t="str">
        <f t="shared" si="135"/>
        <v>click</v>
      </c>
      <c r="P1031" s="61" t="str">
        <f t="shared" si="133"/>
        <v>();</v>
      </c>
      <c r="S1031" s="61" t="str">
        <f t="shared" si="136"/>
        <v/>
      </c>
    </row>
    <row r="1032" spans="14:19">
      <c r="N1032" s="61" t="str">
        <f t="shared" si="134"/>
        <v/>
      </c>
      <c r="O1032" s="53" t="str">
        <f t="shared" si="135"/>
        <v>click</v>
      </c>
      <c r="P1032" s="61" t="str">
        <f t="shared" si="133"/>
        <v>();</v>
      </c>
      <c r="S1032" s="61" t="str">
        <f t="shared" si="136"/>
        <v/>
      </c>
    </row>
    <row r="1033" spans="14:19">
      <c r="N1033" s="61" t="str">
        <f t="shared" si="134"/>
        <v/>
      </c>
      <c r="O1033" s="53" t="str">
        <f t="shared" si="135"/>
        <v>click</v>
      </c>
      <c r="P1033" s="61" t="str">
        <f t="shared" si="133"/>
        <v>();</v>
      </c>
      <c r="S1033" s="61" t="str">
        <f t="shared" si="136"/>
        <v/>
      </c>
    </row>
    <row r="1034" spans="14:19">
      <c r="N1034" s="61" t="str">
        <f t="shared" si="134"/>
        <v/>
      </c>
      <c r="O1034" s="53" t="str">
        <f t="shared" si="135"/>
        <v>click</v>
      </c>
      <c r="P1034" s="61" t="str">
        <f t="shared" si="133"/>
        <v>();</v>
      </c>
      <c r="S1034" s="61" t="str">
        <f t="shared" si="136"/>
        <v/>
      </c>
    </row>
    <row r="1035" spans="14:19">
      <c r="N1035" s="61" t="str">
        <f t="shared" si="134"/>
        <v/>
      </c>
      <c r="O1035" s="53" t="str">
        <f t="shared" si="135"/>
        <v>click</v>
      </c>
      <c r="P1035" s="61" t="str">
        <f t="shared" si="133"/>
        <v>();</v>
      </c>
      <c r="S1035" s="61" t="str">
        <f t="shared" si="136"/>
        <v/>
      </c>
    </row>
    <row r="1036" spans="14:19">
      <c r="N1036" s="61" t="str">
        <f t="shared" si="134"/>
        <v/>
      </c>
      <c r="O1036" s="53" t="str">
        <f t="shared" si="135"/>
        <v>click</v>
      </c>
      <c r="P1036" s="61" t="str">
        <f t="shared" ref="P1036:P1099" si="137">IF(OR(O1036="Click",O1036="innerText"),"();","("&amp;""""&amp;K1036&amp;""""&amp;");")</f>
        <v>();</v>
      </c>
      <c r="S1036" s="61" t="str">
        <f t="shared" si="136"/>
        <v/>
      </c>
    </row>
    <row r="1037" spans="14:19">
      <c r="N1037" s="61" t="str">
        <f t="shared" si="134"/>
        <v/>
      </c>
      <c r="O1037" s="53" t="str">
        <f t="shared" si="135"/>
        <v>click</v>
      </c>
      <c r="P1037" s="61" t="str">
        <f t="shared" si="137"/>
        <v>();</v>
      </c>
      <c r="S1037" s="61" t="str">
        <f t="shared" si="136"/>
        <v/>
      </c>
    </row>
    <row r="1038" spans="14:19">
      <c r="N1038" s="61" t="str">
        <f t="shared" si="134"/>
        <v/>
      </c>
      <c r="O1038" s="53" t="str">
        <f t="shared" si="135"/>
        <v>click</v>
      </c>
      <c r="P1038" s="61" t="str">
        <f t="shared" si="137"/>
        <v>();</v>
      </c>
      <c r="S1038" s="61" t="str">
        <f t="shared" si="136"/>
        <v/>
      </c>
    </row>
    <row r="1039" spans="14:19">
      <c r="N1039" s="61" t="str">
        <f t="shared" si="134"/>
        <v/>
      </c>
      <c r="O1039" s="53" t="str">
        <f t="shared" si="135"/>
        <v>click</v>
      </c>
      <c r="P1039" s="61" t="str">
        <f t="shared" si="137"/>
        <v>();</v>
      </c>
      <c r="S1039" s="61" t="str">
        <f t="shared" si="136"/>
        <v/>
      </c>
    </row>
    <row r="1040" spans="14:19">
      <c r="N1040" s="61" t="str">
        <f t="shared" si="134"/>
        <v/>
      </c>
      <c r="O1040" s="53" t="str">
        <f t="shared" si="135"/>
        <v>click</v>
      </c>
      <c r="P1040" s="61" t="str">
        <f t="shared" si="137"/>
        <v>();</v>
      </c>
      <c r="S1040" s="61" t="str">
        <f t="shared" si="136"/>
        <v/>
      </c>
    </row>
    <row r="1041" spans="14:19">
      <c r="N1041" s="61" t="str">
        <f t="shared" si="134"/>
        <v/>
      </c>
      <c r="O1041" s="53" t="str">
        <f t="shared" si="135"/>
        <v>click</v>
      </c>
      <c r="P1041" s="61" t="str">
        <f t="shared" si="137"/>
        <v>();</v>
      </c>
      <c r="S1041" s="61" t="str">
        <f t="shared" si="136"/>
        <v/>
      </c>
    </row>
    <row r="1042" spans="14:19">
      <c r="N1042" s="61" t="str">
        <f t="shared" si="134"/>
        <v/>
      </c>
      <c r="O1042" s="53" t="str">
        <f t="shared" si="135"/>
        <v>click</v>
      </c>
      <c r="P1042" s="61" t="str">
        <f t="shared" si="137"/>
        <v>();</v>
      </c>
      <c r="S1042" s="61" t="str">
        <f t="shared" si="136"/>
        <v/>
      </c>
    </row>
    <row r="1043" spans="14:19">
      <c r="N1043" s="61" t="str">
        <f t="shared" si="134"/>
        <v/>
      </c>
      <c r="O1043" s="53" t="str">
        <f t="shared" si="135"/>
        <v>click</v>
      </c>
      <c r="P1043" s="61" t="str">
        <f t="shared" si="137"/>
        <v>();</v>
      </c>
      <c r="S1043" s="61" t="str">
        <f t="shared" si="136"/>
        <v/>
      </c>
    </row>
    <row r="1044" spans="14:19">
      <c r="N1044" s="61" t="str">
        <f t="shared" si="134"/>
        <v/>
      </c>
      <c r="O1044" s="53" t="str">
        <f t="shared" si="135"/>
        <v>click</v>
      </c>
      <c r="P1044" s="61" t="str">
        <f t="shared" si="137"/>
        <v>();</v>
      </c>
      <c r="S1044" s="61" t="str">
        <f t="shared" si="136"/>
        <v/>
      </c>
    </row>
    <row r="1045" spans="14:19">
      <c r="N1045" s="61" t="str">
        <f t="shared" si="134"/>
        <v/>
      </c>
      <c r="O1045" s="53" t="str">
        <f t="shared" si="135"/>
        <v>click</v>
      </c>
      <c r="P1045" s="61" t="str">
        <f t="shared" si="137"/>
        <v>();</v>
      </c>
      <c r="S1045" s="61" t="str">
        <f t="shared" si="136"/>
        <v/>
      </c>
    </row>
    <row r="1046" spans="14:19">
      <c r="N1046" s="61" t="str">
        <f t="shared" si="134"/>
        <v/>
      </c>
      <c r="O1046" s="53" t="str">
        <f t="shared" si="135"/>
        <v>click</v>
      </c>
      <c r="P1046" s="61" t="str">
        <f t="shared" si="137"/>
        <v>();</v>
      </c>
      <c r="S1046" s="61" t="str">
        <f t="shared" si="136"/>
        <v/>
      </c>
    </row>
    <row r="1047" spans="14:19">
      <c r="N1047" s="61" t="str">
        <f t="shared" si="134"/>
        <v/>
      </c>
      <c r="O1047" s="53" t="str">
        <f t="shared" si="135"/>
        <v>click</v>
      </c>
      <c r="P1047" s="61" t="str">
        <f t="shared" si="137"/>
        <v>();</v>
      </c>
      <c r="S1047" s="61" t="str">
        <f t="shared" si="136"/>
        <v/>
      </c>
    </row>
    <row r="1048" spans="14:19">
      <c r="N1048" s="61" t="str">
        <f t="shared" si="134"/>
        <v/>
      </c>
      <c r="O1048" s="53" t="str">
        <f t="shared" si="135"/>
        <v>click</v>
      </c>
      <c r="P1048" s="61" t="str">
        <f t="shared" si="137"/>
        <v>();</v>
      </c>
      <c r="S1048" s="61" t="str">
        <f t="shared" si="136"/>
        <v/>
      </c>
    </row>
    <row r="1049" spans="14:19">
      <c r="N1049" s="61" t="str">
        <f t="shared" si="134"/>
        <v/>
      </c>
      <c r="O1049" s="53" t="str">
        <f t="shared" si="135"/>
        <v>click</v>
      </c>
      <c r="P1049" s="61" t="str">
        <f t="shared" si="137"/>
        <v>();</v>
      </c>
      <c r="S1049" s="61" t="str">
        <f t="shared" si="136"/>
        <v/>
      </c>
    </row>
    <row r="1050" spans="14:19">
      <c r="N1050" s="61" t="str">
        <f t="shared" si="134"/>
        <v/>
      </c>
      <c r="O1050" s="53" t="str">
        <f t="shared" si="135"/>
        <v>click</v>
      </c>
      <c r="P1050" s="61" t="str">
        <f t="shared" si="137"/>
        <v>();</v>
      </c>
      <c r="S1050" s="61" t="str">
        <f t="shared" si="136"/>
        <v/>
      </c>
    </row>
    <row r="1051" spans="14:19">
      <c r="N1051" s="61" t="str">
        <f t="shared" si="134"/>
        <v/>
      </c>
      <c r="O1051" s="53" t="str">
        <f t="shared" si="135"/>
        <v>click</v>
      </c>
      <c r="P1051" s="61" t="str">
        <f t="shared" si="137"/>
        <v>();</v>
      </c>
      <c r="S1051" s="61" t="str">
        <f t="shared" si="136"/>
        <v/>
      </c>
    </row>
    <row r="1052" spans="14:19">
      <c r="N1052" s="61" t="str">
        <f t="shared" si="134"/>
        <v/>
      </c>
      <c r="O1052" s="53" t="str">
        <f t="shared" si="135"/>
        <v>click</v>
      </c>
      <c r="P1052" s="61" t="str">
        <f t="shared" si="137"/>
        <v>();</v>
      </c>
      <c r="S1052" s="61" t="str">
        <f t="shared" si="136"/>
        <v/>
      </c>
    </row>
    <row r="1053" spans="14:19">
      <c r="N1053" s="61" t="str">
        <f t="shared" si="134"/>
        <v/>
      </c>
      <c r="O1053" s="53" t="str">
        <f t="shared" si="135"/>
        <v>click</v>
      </c>
      <c r="P1053" s="61" t="str">
        <f t="shared" si="137"/>
        <v>();</v>
      </c>
      <c r="S1053" s="61" t="str">
        <f t="shared" si="136"/>
        <v/>
      </c>
    </row>
    <row r="1054" spans="14:19">
      <c r="N1054" s="61" t="str">
        <f t="shared" si="134"/>
        <v/>
      </c>
      <c r="O1054" s="53" t="str">
        <f t="shared" si="135"/>
        <v>click</v>
      </c>
      <c r="P1054" s="61" t="str">
        <f t="shared" si="137"/>
        <v>();</v>
      </c>
      <c r="S1054" s="61" t="str">
        <f t="shared" si="136"/>
        <v/>
      </c>
    </row>
    <row r="1055" spans="14:19">
      <c r="N1055" s="61" t="str">
        <f t="shared" si="134"/>
        <v/>
      </c>
      <c r="O1055" s="53" t="str">
        <f t="shared" si="135"/>
        <v>click</v>
      </c>
      <c r="P1055" s="61" t="str">
        <f t="shared" si="137"/>
        <v>();</v>
      </c>
      <c r="S1055" s="61" t="str">
        <f t="shared" si="136"/>
        <v/>
      </c>
    </row>
    <row r="1056" spans="14:19">
      <c r="N1056" s="61" t="str">
        <f t="shared" si="134"/>
        <v/>
      </c>
      <c r="O1056" s="53" t="str">
        <f t="shared" si="135"/>
        <v>click</v>
      </c>
      <c r="P1056" s="61" t="str">
        <f t="shared" si="137"/>
        <v>();</v>
      </c>
      <c r="S1056" s="61" t="str">
        <f t="shared" si="136"/>
        <v/>
      </c>
    </row>
    <row r="1057" spans="14:19">
      <c r="N1057" s="61" t="str">
        <f t="shared" si="134"/>
        <v/>
      </c>
      <c r="O1057" s="53" t="str">
        <f t="shared" si="135"/>
        <v>click</v>
      </c>
      <c r="P1057" s="61" t="str">
        <f t="shared" si="137"/>
        <v>();</v>
      </c>
      <c r="S1057" s="61" t="str">
        <f t="shared" si="136"/>
        <v/>
      </c>
    </row>
    <row r="1058" spans="14:19">
      <c r="N1058" s="61" t="str">
        <f t="shared" si="134"/>
        <v/>
      </c>
      <c r="O1058" s="53" t="str">
        <f t="shared" si="135"/>
        <v>click</v>
      </c>
      <c r="P1058" s="61" t="str">
        <f t="shared" si="137"/>
        <v>();</v>
      </c>
      <c r="S1058" s="61" t="str">
        <f t="shared" si="136"/>
        <v/>
      </c>
    </row>
    <row r="1059" spans="14:19">
      <c r="N1059" s="61" t="str">
        <f t="shared" si="134"/>
        <v/>
      </c>
      <c r="O1059" s="53" t="str">
        <f t="shared" si="135"/>
        <v>click</v>
      </c>
      <c r="P1059" s="61" t="str">
        <f t="shared" si="137"/>
        <v>();</v>
      </c>
      <c r="S1059" s="61" t="str">
        <f t="shared" si="136"/>
        <v/>
      </c>
    </row>
    <row r="1060" spans="14:19">
      <c r="N1060" s="61" t="str">
        <f t="shared" si="134"/>
        <v/>
      </c>
      <c r="O1060" s="53" t="str">
        <f t="shared" si="135"/>
        <v>click</v>
      </c>
      <c r="P1060" s="61" t="str">
        <f t="shared" si="137"/>
        <v>();</v>
      </c>
      <c r="S1060" s="61" t="str">
        <f t="shared" si="136"/>
        <v/>
      </c>
    </row>
    <row r="1061" spans="14:19">
      <c r="N1061" s="61" t="str">
        <f t="shared" si="134"/>
        <v/>
      </c>
      <c r="O1061" s="53" t="str">
        <f t="shared" si="135"/>
        <v>click</v>
      </c>
      <c r="P1061" s="61" t="str">
        <f t="shared" si="137"/>
        <v>();</v>
      </c>
      <c r="S1061" s="61" t="str">
        <f t="shared" si="136"/>
        <v/>
      </c>
    </row>
    <row r="1062" spans="14:19">
      <c r="N1062" s="61" t="str">
        <f t="shared" si="134"/>
        <v/>
      </c>
      <c r="O1062" s="53" t="str">
        <f t="shared" si="135"/>
        <v>click</v>
      </c>
      <c r="P1062" s="61" t="str">
        <f t="shared" si="137"/>
        <v>();</v>
      </c>
      <c r="S1062" s="61" t="str">
        <f t="shared" si="136"/>
        <v/>
      </c>
    </row>
    <row r="1063" spans="14:19">
      <c r="N1063" s="61" t="str">
        <f t="shared" si="134"/>
        <v/>
      </c>
      <c r="O1063" s="53" t="str">
        <f t="shared" si="135"/>
        <v>click</v>
      </c>
      <c r="P1063" s="61" t="str">
        <f t="shared" si="137"/>
        <v>();</v>
      </c>
      <c r="S1063" s="61" t="str">
        <f t="shared" si="136"/>
        <v/>
      </c>
    </row>
    <row r="1064" spans="14:19">
      <c r="N1064" s="61" t="str">
        <f t="shared" si="134"/>
        <v/>
      </c>
      <c r="O1064" s="53" t="str">
        <f t="shared" si="135"/>
        <v>click</v>
      </c>
      <c r="P1064" s="61" t="str">
        <f t="shared" si="137"/>
        <v>();</v>
      </c>
      <c r="S1064" s="61" t="str">
        <f t="shared" si="136"/>
        <v/>
      </c>
    </row>
    <row r="1065" spans="14:19">
      <c r="N1065" s="61" t="str">
        <f t="shared" si="134"/>
        <v/>
      </c>
      <c r="O1065" s="53" t="str">
        <f t="shared" si="135"/>
        <v>click</v>
      </c>
      <c r="P1065" s="61" t="str">
        <f t="shared" si="137"/>
        <v>();</v>
      </c>
      <c r="S1065" s="61" t="str">
        <f t="shared" si="136"/>
        <v/>
      </c>
    </row>
    <row r="1066" spans="14:19">
      <c r="N1066" s="61" t="str">
        <f t="shared" si="134"/>
        <v/>
      </c>
      <c r="O1066" s="53" t="str">
        <f t="shared" si="135"/>
        <v>click</v>
      </c>
      <c r="P1066" s="61" t="str">
        <f t="shared" si="137"/>
        <v>();</v>
      </c>
      <c r="S1066" s="61" t="str">
        <f t="shared" si="136"/>
        <v/>
      </c>
    </row>
    <row r="1067" spans="14:19">
      <c r="N1067" s="61" t="str">
        <f t="shared" si="134"/>
        <v/>
      </c>
      <c r="O1067" s="53" t="str">
        <f t="shared" si="135"/>
        <v>click</v>
      </c>
      <c r="P1067" s="61" t="str">
        <f t="shared" si="137"/>
        <v>();</v>
      </c>
      <c r="S1067" s="61" t="str">
        <f t="shared" si="136"/>
        <v/>
      </c>
    </row>
    <row r="1068" spans="14:19">
      <c r="N1068" s="61" t="str">
        <f t="shared" si="134"/>
        <v/>
      </c>
      <c r="O1068" s="53" t="str">
        <f t="shared" si="135"/>
        <v>click</v>
      </c>
      <c r="P1068" s="61" t="str">
        <f t="shared" si="137"/>
        <v>();</v>
      </c>
      <c r="S1068" s="61" t="str">
        <f t="shared" si="136"/>
        <v/>
      </c>
    </row>
    <row r="1069" spans="14:19">
      <c r="N1069" s="61" t="str">
        <f t="shared" si="134"/>
        <v/>
      </c>
      <c r="O1069" s="53" t="str">
        <f t="shared" si="135"/>
        <v>click</v>
      </c>
      <c r="P1069" s="61" t="str">
        <f t="shared" si="137"/>
        <v>();</v>
      </c>
      <c r="S1069" s="61" t="str">
        <f t="shared" si="136"/>
        <v/>
      </c>
    </row>
    <row r="1070" spans="14:19">
      <c r="N1070" s="61" t="str">
        <f t="shared" si="134"/>
        <v/>
      </c>
      <c r="O1070" s="53" t="str">
        <f t="shared" si="135"/>
        <v>click</v>
      </c>
      <c r="P1070" s="61" t="str">
        <f t="shared" si="137"/>
        <v>();</v>
      </c>
      <c r="S1070" s="61" t="str">
        <f t="shared" si="136"/>
        <v/>
      </c>
    </row>
    <row r="1071" spans="14:19">
      <c r="N1071" s="61" t="str">
        <f t="shared" si="134"/>
        <v/>
      </c>
      <c r="O1071" s="53" t="str">
        <f t="shared" si="135"/>
        <v>click</v>
      </c>
      <c r="P1071" s="61" t="str">
        <f t="shared" si="137"/>
        <v>();</v>
      </c>
      <c r="S1071" s="61" t="str">
        <f t="shared" si="136"/>
        <v/>
      </c>
    </row>
    <row r="1072" spans="14:19">
      <c r="N1072" s="61" t="str">
        <f t="shared" si="134"/>
        <v/>
      </c>
      <c r="O1072" s="53" t="str">
        <f t="shared" si="135"/>
        <v>click</v>
      </c>
      <c r="P1072" s="61" t="str">
        <f t="shared" si="137"/>
        <v>();</v>
      </c>
      <c r="S1072" s="61" t="str">
        <f t="shared" si="136"/>
        <v/>
      </c>
    </row>
    <row r="1073" spans="14:19">
      <c r="N1073" s="61" t="str">
        <f t="shared" si="134"/>
        <v/>
      </c>
      <c r="O1073" s="53" t="str">
        <f t="shared" si="135"/>
        <v>click</v>
      </c>
      <c r="P1073" s="61" t="str">
        <f t="shared" si="137"/>
        <v>();</v>
      </c>
      <c r="S1073" s="61" t="str">
        <f t="shared" si="136"/>
        <v/>
      </c>
    </row>
    <row r="1074" spans="14:19">
      <c r="N1074" s="61" t="str">
        <f t="shared" si="134"/>
        <v/>
      </c>
      <c r="O1074" s="53" t="str">
        <f t="shared" si="135"/>
        <v>click</v>
      </c>
      <c r="P1074" s="61" t="str">
        <f t="shared" si="137"/>
        <v>();</v>
      </c>
      <c r="S1074" s="61" t="str">
        <f t="shared" si="136"/>
        <v/>
      </c>
    </row>
    <row r="1075" spans="14:19">
      <c r="N1075" s="61" t="str">
        <f t="shared" si="134"/>
        <v/>
      </c>
      <c r="O1075" s="53" t="str">
        <f t="shared" si="135"/>
        <v>click</v>
      </c>
      <c r="P1075" s="61" t="str">
        <f t="shared" si="137"/>
        <v>();</v>
      </c>
      <c r="S1075" s="61" t="str">
        <f t="shared" si="136"/>
        <v/>
      </c>
    </row>
    <row r="1076" spans="14:19">
      <c r="N1076" s="61" t="str">
        <f t="shared" si="134"/>
        <v/>
      </c>
      <c r="O1076" s="53" t="str">
        <f t="shared" si="135"/>
        <v>click</v>
      </c>
      <c r="P1076" s="61" t="str">
        <f t="shared" si="137"/>
        <v>();</v>
      </c>
      <c r="S1076" s="61" t="str">
        <f t="shared" si="136"/>
        <v/>
      </c>
    </row>
    <row r="1077" spans="14:19">
      <c r="N1077" s="61" t="str">
        <f t="shared" si="134"/>
        <v/>
      </c>
      <c r="O1077" s="53" t="str">
        <f t="shared" si="135"/>
        <v>click</v>
      </c>
      <c r="P1077" s="61" t="str">
        <f t="shared" si="137"/>
        <v>();</v>
      </c>
      <c r="S1077" s="61" t="str">
        <f t="shared" si="136"/>
        <v/>
      </c>
    </row>
    <row r="1078" spans="14:19">
      <c r="N1078" s="61" t="str">
        <f t="shared" si="134"/>
        <v/>
      </c>
      <c r="O1078" s="53" t="str">
        <f t="shared" si="135"/>
        <v>click</v>
      </c>
      <c r="P1078" s="61" t="str">
        <f t="shared" si="137"/>
        <v>();</v>
      </c>
      <c r="S1078" s="61" t="str">
        <f t="shared" si="136"/>
        <v/>
      </c>
    </row>
    <row r="1079" spans="14:19">
      <c r="N1079" s="61" t="str">
        <f t="shared" si="134"/>
        <v/>
      </c>
      <c r="O1079" s="53" t="str">
        <f t="shared" si="135"/>
        <v>click</v>
      </c>
      <c r="P1079" s="61" t="str">
        <f t="shared" si="137"/>
        <v>();</v>
      </c>
      <c r="S1079" s="61" t="str">
        <f t="shared" si="136"/>
        <v/>
      </c>
    </row>
    <row r="1080" spans="14:19">
      <c r="N1080" s="61" t="str">
        <f t="shared" si="134"/>
        <v/>
      </c>
      <c r="O1080" s="53" t="str">
        <f t="shared" si="135"/>
        <v>click</v>
      </c>
      <c r="P1080" s="61" t="str">
        <f t="shared" si="137"/>
        <v>();</v>
      </c>
      <c r="S1080" s="61" t="str">
        <f t="shared" si="136"/>
        <v/>
      </c>
    </row>
    <row r="1081" spans="14:19">
      <c r="N1081" s="61" t="str">
        <f t="shared" si="134"/>
        <v/>
      </c>
      <c r="O1081" s="53" t="str">
        <f t="shared" si="135"/>
        <v>click</v>
      </c>
      <c r="P1081" s="61" t="str">
        <f t="shared" si="137"/>
        <v>();</v>
      </c>
      <c r="S1081" s="61" t="str">
        <f t="shared" si="136"/>
        <v/>
      </c>
    </row>
    <row r="1082" spans="14:19">
      <c r="N1082" s="61" t="str">
        <f t="shared" si="134"/>
        <v/>
      </c>
      <c r="O1082" s="53" t="str">
        <f t="shared" si="135"/>
        <v>click</v>
      </c>
      <c r="P1082" s="61" t="str">
        <f t="shared" si="137"/>
        <v>();</v>
      </c>
      <c r="S1082" s="61" t="str">
        <f t="shared" si="136"/>
        <v/>
      </c>
    </row>
    <row r="1083" spans="14:19">
      <c r="N1083" s="61" t="str">
        <f t="shared" si="134"/>
        <v/>
      </c>
      <c r="O1083" s="53" t="str">
        <f t="shared" si="135"/>
        <v>click</v>
      </c>
      <c r="P1083" s="61" t="str">
        <f t="shared" si="137"/>
        <v>();</v>
      </c>
      <c r="S1083" s="61" t="str">
        <f t="shared" si="136"/>
        <v/>
      </c>
    </row>
    <row r="1084" spans="14:19">
      <c r="N1084" s="61" t="str">
        <f t="shared" si="134"/>
        <v/>
      </c>
      <c r="O1084" s="53" t="str">
        <f t="shared" si="135"/>
        <v>click</v>
      </c>
      <c r="P1084" s="61" t="str">
        <f t="shared" si="137"/>
        <v>();</v>
      </c>
      <c r="S1084" s="61" t="str">
        <f t="shared" si="136"/>
        <v/>
      </c>
    </row>
    <row r="1085" spans="14:19">
      <c r="N1085" s="61" t="str">
        <f t="shared" si="134"/>
        <v/>
      </c>
      <c r="O1085" s="53" t="str">
        <f t="shared" si="135"/>
        <v>click</v>
      </c>
      <c r="P1085" s="61" t="str">
        <f t="shared" si="137"/>
        <v>();</v>
      </c>
      <c r="S1085" s="61" t="str">
        <f t="shared" si="136"/>
        <v/>
      </c>
    </row>
    <row r="1086" spans="14:19">
      <c r="N1086" s="61" t="str">
        <f t="shared" si="134"/>
        <v/>
      </c>
      <c r="O1086" s="53" t="str">
        <f t="shared" si="135"/>
        <v>click</v>
      </c>
      <c r="P1086" s="61" t="str">
        <f t="shared" si="137"/>
        <v>();</v>
      </c>
      <c r="S1086" s="61" t="str">
        <f t="shared" si="136"/>
        <v/>
      </c>
    </row>
    <row r="1087" spans="14:19">
      <c r="N1087" s="61" t="str">
        <f t="shared" si="134"/>
        <v/>
      </c>
      <c r="O1087" s="53" t="str">
        <f t="shared" si="135"/>
        <v>click</v>
      </c>
      <c r="P1087" s="61" t="str">
        <f t="shared" si="137"/>
        <v>();</v>
      </c>
      <c r="S1087" s="61" t="str">
        <f t="shared" si="136"/>
        <v/>
      </c>
    </row>
    <row r="1088" spans="14:19">
      <c r="N1088" s="61" t="str">
        <f t="shared" si="134"/>
        <v/>
      </c>
      <c r="O1088" s="53" t="str">
        <f t="shared" si="135"/>
        <v>click</v>
      </c>
      <c r="P1088" s="61" t="str">
        <f t="shared" si="137"/>
        <v>();</v>
      </c>
      <c r="S1088" s="61" t="str">
        <f t="shared" si="136"/>
        <v/>
      </c>
    </row>
    <row r="1089" spans="14:19">
      <c r="N1089" s="61" t="str">
        <f t="shared" si="134"/>
        <v/>
      </c>
      <c r="O1089" s="53" t="str">
        <f t="shared" si="135"/>
        <v>click</v>
      </c>
      <c r="P1089" s="61" t="str">
        <f t="shared" si="137"/>
        <v>();</v>
      </c>
      <c r="S1089" s="61" t="str">
        <f t="shared" si="136"/>
        <v/>
      </c>
    </row>
    <row r="1090" spans="14:19">
      <c r="N1090" s="61" t="str">
        <f t="shared" si="134"/>
        <v/>
      </c>
      <c r="O1090" s="53" t="str">
        <f t="shared" si="135"/>
        <v>click</v>
      </c>
      <c r="P1090" s="61" t="str">
        <f t="shared" si="137"/>
        <v>();</v>
      </c>
      <c r="S1090" s="61" t="str">
        <f t="shared" si="136"/>
        <v/>
      </c>
    </row>
    <row r="1091" spans="14:19">
      <c r="N1091" s="61" t="str">
        <f t="shared" si="134"/>
        <v/>
      </c>
      <c r="O1091" s="53" t="str">
        <f t="shared" si="135"/>
        <v>click</v>
      </c>
      <c r="P1091" s="61" t="str">
        <f t="shared" si="137"/>
        <v>();</v>
      </c>
      <c r="S1091" s="61" t="str">
        <f t="shared" si="136"/>
        <v/>
      </c>
    </row>
    <row r="1092" spans="14:19">
      <c r="N1092" s="61" t="str">
        <f t="shared" si="134"/>
        <v/>
      </c>
      <c r="O1092" s="53" t="str">
        <f t="shared" si="135"/>
        <v>click</v>
      </c>
      <c r="P1092" s="61" t="str">
        <f t="shared" si="137"/>
        <v>();</v>
      </c>
      <c r="S1092" s="61" t="str">
        <f t="shared" si="136"/>
        <v/>
      </c>
    </row>
    <row r="1093" spans="14:19">
      <c r="N1093" s="61" t="str">
        <f t="shared" ref="N1093:N1156" si="138">IF(A1093="Y",""""&amp;C1093&amp;""""&amp;": "&amp;M1093&amp;",","")</f>
        <v/>
      </c>
      <c r="O1093" s="53" t="str">
        <f t="shared" ref="O1093:O1156" si="139">IF(D1093="input","fill",IF(I1093&lt;&gt;"","innerText",IF(J1093="Y",$T$110,"click")))</f>
        <v>click</v>
      </c>
      <c r="P1093" s="61" t="str">
        <f t="shared" si="137"/>
        <v>();</v>
      </c>
      <c r="S1093" s="61" t="str">
        <f t="shared" ref="S1093:S1156" si="140">IF(O1093="innerText",I1093&amp;"="&amp;IF(C1093="Y",IF(J1093&lt;&gt;"Y",$S$9&amp;$R$10&amp;"."&amp;E1093&amp;")."&amp;IF(OR(O1093="click",O1093="innerText"),O1093&amp;"();",O1093&amp;"("&amp;$Q$9&amp;"."&amp;E1093&amp;");"),$S$110&amp;$R$10&amp;"."&amp;E1093&amp;")."&amp;IF(O1093="click",O1093&amp;"();",O1093&amp;"("&amp;"'"&amp;K1093&amp;"'"&amp;");")),""),IF(C1093="Y",IF(J1093&lt;&gt;"Y",$S$9&amp;$R$10&amp;"."&amp;E1093&amp;")."&amp;IF(OR(O1093="click",O1093="innerText"),O1093&amp;"();",O1093&amp;"("&amp;$Q$9&amp;"."&amp;E1093&amp;");"),$S$110&amp;$R$10&amp;"."&amp;E1093&amp;")."&amp;IF(O1093="click",O1093&amp;"();",O1093&amp;"("&amp;"'"&amp;K1093&amp;"'"&amp;");")),""))</f>
        <v/>
      </c>
    </row>
    <row r="1094" spans="14:19">
      <c r="N1094" s="61" t="str">
        <f t="shared" si="138"/>
        <v/>
      </c>
      <c r="O1094" s="53" t="str">
        <f t="shared" si="139"/>
        <v>click</v>
      </c>
      <c r="P1094" s="61" t="str">
        <f t="shared" si="137"/>
        <v>();</v>
      </c>
      <c r="S1094" s="61" t="str">
        <f t="shared" si="140"/>
        <v/>
      </c>
    </row>
    <row r="1095" spans="14:19">
      <c r="N1095" s="61" t="str">
        <f t="shared" si="138"/>
        <v/>
      </c>
      <c r="O1095" s="53" t="str">
        <f t="shared" si="139"/>
        <v>click</v>
      </c>
      <c r="P1095" s="61" t="str">
        <f t="shared" si="137"/>
        <v>();</v>
      </c>
      <c r="S1095" s="61" t="str">
        <f t="shared" si="140"/>
        <v/>
      </c>
    </row>
    <row r="1096" spans="14:19">
      <c r="N1096" s="61" t="str">
        <f t="shared" si="138"/>
        <v/>
      </c>
      <c r="O1096" s="53" t="str">
        <f t="shared" si="139"/>
        <v>click</v>
      </c>
      <c r="P1096" s="61" t="str">
        <f t="shared" si="137"/>
        <v>();</v>
      </c>
      <c r="S1096" s="61" t="str">
        <f t="shared" si="140"/>
        <v/>
      </c>
    </row>
    <row r="1097" spans="14:19">
      <c r="N1097" s="61" t="str">
        <f t="shared" si="138"/>
        <v/>
      </c>
      <c r="O1097" s="53" t="str">
        <f t="shared" si="139"/>
        <v>click</v>
      </c>
      <c r="P1097" s="61" t="str">
        <f t="shared" si="137"/>
        <v>();</v>
      </c>
      <c r="S1097" s="61" t="str">
        <f t="shared" si="140"/>
        <v/>
      </c>
    </row>
    <row r="1098" spans="14:19">
      <c r="N1098" s="61" t="str">
        <f t="shared" si="138"/>
        <v/>
      </c>
      <c r="O1098" s="53" t="str">
        <f t="shared" si="139"/>
        <v>click</v>
      </c>
      <c r="P1098" s="61" t="str">
        <f t="shared" si="137"/>
        <v>();</v>
      </c>
      <c r="S1098" s="61" t="str">
        <f t="shared" si="140"/>
        <v/>
      </c>
    </row>
    <row r="1099" spans="14:19">
      <c r="N1099" s="61" t="str">
        <f t="shared" si="138"/>
        <v/>
      </c>
      <c r="O1099" s="53" t="str">
        <f t="shared" si="139"/>
        <v>click</v>
      </c>
      <c r="P1099" s="61" t="str">
        <f t="shared" si="137"/>
        <v>();</v>
      </c>
      <c r="S1099" s="61" t="str">
        <f t="shared" si="140"/>
        <v/>
      </c>
    </row>
    <row r="1100" spans="14:19">
      <c r="N1100" s="61" t="str">
        <f t="shared" si="138"/>
        <v/>
      </c>
      <c r="O1100" s="53" t="str">
        <f t="shared" si="139"/>
        <v>click</v>
      </c>
      <c r="P1100" s="61" t="str">
        <f t="shared" ref="P1100:P1163" si="141">IF(OR(O1100="Click",O1100="innerText"),"();","("&amp;""""&amp;K1100&amp;""""&amp;");")</f>
        <v>();</v>
      </c>
      <c r="S1100" s="61" t="str">
        <f t="shared" si="140"/>
        <v/>
      </c>
    </row>
    <row r="1101" spans="14:19">
      <c r="N1101" s="61" t="str">
        <f t="shared" si="138"/>
        <v/>
      </c>
      <c r="O1101" s="53" t="str">
        <f t="shared" si="139"/>
        <v>click</v>
      </c>
      <c r="P1101" s="61" t="str">
        <f t="shared" si="141"/>
        <v>();</v>
      </c>
      <c r="S1101" s="61" t="str">
        <f t="shared" si="140"/>
        <v/>
      </c>
    </row>
    <row r="1102" spans="14:19">
      <c r="N1102" s="61" t="str">
        <f t="shared" si="138"/>
        <v/>
      </c>
      <c r="O1102" s="53" t="str">
        <f t="shared" si="139"/>
        <v>click</v>
      </c>
      <c r="P1102" s="61" t="str">
        <f t="shared" si="141"/>
        <v>();</v>
      </c>
      <c r="S1102" s="61" t="str">
        <f t="shared" si="140"/>
        <v/>
      </c>
    </row>
    <row r="1103" spans="14:19">
      <c r="N1103" s="61" t="str">
        <f t="shared" si="138"/>
        <v/>
      </c>
      <c r="O1103" s="53" t="str">
        <f t="shared" si="139"/>
        <v>click</v>
      </c>
      <c r="P1103" s="61" t="str">
        <f t="shared" si="141"/>
        <v>();</v>
      </c>
      <c r="S1103" s="61" t="str">
        <f t="shared" si="140"/>
        <v/>
      </c>
    </row>
    <row r="1104" spans="14:19">
      <c r="N1104" s="61" t="str">
        <f t="shared" si="138"/>
        <v/>
      </c>
      <c r="O1104" s="53" t="str">
        <f t="shared" si="139"/>
        <v>click</v>
      </c>
      <c r="P1104" s="61" t="str">
        <f t="shared" si="141"/>
        <v>();</v>
      </c>
      <c r="S1104" s="61" t="str">
        <f t="shared" si="140"/>
        <v/>
      </c>
    </row>
    <row r="1105" spans="14:19">
      <c r="N1105" s="61" t="str">
        <f t="shared" si="138"/>
        <v/>
      </c>
      <c r="O1105" s="53" t="str">
        <f t="shared" si="139"/>
        <v>click</v>
      </c>
      <c r="P1105" s="61" t="str">
        <f t="shared" si="141"/>
        <v>();</v>
      </c>
      <c r="S1105" s="61" t="str">
        <f t="shared" si="140"/>
        <v/>
      </c>
    </row>
    <row r="1106" spans="14:19">
      <c r="N1106" s="61" t="str">
        <f t="shared" si="138"/>
        <v/>
      </c>
      <c r="O1106" s="53" t="str">
        <f t="shared" si="139"/>
        <v>click</v>
      </c>
      <c r="P1106" s="61" t="str">
        <f t="shared" si="141"/>
        <v>();</v>
      </c>
      <c r="S1106" s="61" t="str">
        <f t="shared" si="140"/>
        <v/>
      </c>
    </row>
    <row r="1107" spans="14:19">
      <c r="N1107" s="61" t="str">
        <f t="shared" si="138"/>
        <v/>
      </c>
      <c r="O1107" s="53" t="str">
        <f t="shared" si="139"/>
        <v>click</v>
      </c>
      <c r="P1107" s="61" t="str">
        <f t="shared" si="141"/>
        <v>();</v>
      </c>
      <c r="S1107" s="61" t="str">
        <f t="shared" si="140"/>
        <v/>
      </c>
    </row>
    <row r="1108" spans="14:19">
      <c r="N1108" s="61" t="str">
        <f t="shared" si="138"/>
        <v/>
      </c>
      <c r="O1108" s="53" t="str">
        <f t="shared" si="139"/>
        <v>click</v>
      </c>
      <c r="P1108" s="61" t="str">
        <f t="shared" si="141"/>
        <v>();</v>
      </c>
      <c r="S1108" s="61" t="str">
        <f t="shared" si="140"/>
        <v/>
      </c>
    </row>
    <row r="1109" spans="14:19">
      <c r="N1109" s="61" t="str">
        <f t="shared" si="138"/>
        <v/>
      </c>
      <c r="O1109" s="53" t="str">
        <f t="shared" si="139"/>
        <v>click</v>
      </c>
      <c r="P1109" s="61" t="str">
        <f t="shared" si="141"/>
        <v>();</v>
      </c>
      <c r="S1109" s="61" t="str">
        <f t="shared" si="140"/>
        <v/>
      </c>
    </row>
    <row r="1110" spans="14:19">
      <c r="N1110" s="61" t="str">
        <f t="shared" si="138"/>
        <v/>
      </c>
      <c r="O1110" s="53" t="str">
        <f t="shared" si="139"/>
        <v>click</v>
      </c>
      <c r="P1110" s="61" t="str">
        <f t="shared" si="141"/>
        <v>();</v>
      </c>
      <c r="S1110" s="61" t="str">
        <f t="shared" si="140"/>
        <v/>
      </c>
    </row>
    <row r="1111" spans="14:19">
      <c r="N1111" s="61" t="str">
        <f t="shared" si="138"/>
        <v/>
      </c>
      <c r="O1111" s="53" t="str">
        <f t="shared" si="139"/>
        <v>click</v>
      </c>
      <c r="P1111" s="61" t="str">
        <f t="shared" si="141"/>
        <v>();</v>
      </c>
      <c r="S1111" s="61" t="str">
        <f t="shared" si="140"/>
        <v/>
      </c>
    </row>
    <row r="1112" spans="14:19">
      <c r="N1112" s="61" t="str">
        <f t="shared" si="138"/>
        <v/>
      </c>
      <c r="O1112" s="53" t="str">
        <f t="shared" si="139"/>
        <v>click</v>
      </c>
      <c r="P1112" s="61" t="str">
        <f t="shared" si="141"/>
        <v>();</v>
      </c>
      <c r="S1112" s="61" t="str">
        <f t="shared" si="140"/>
        <v/>
      </c>
    </row>
    <row r="1113" spans="14:19">
      <c r="N1113" s="61" t="str">
        <f t="shared" si="138"/>
        <v/>
      </c>
      <c r="O1113" s="53" t="str">
        <f t="shared" si="139"/>
        <v>click</v>
      </c>
      <c r="P1113" s="61" t="str">
        <f t="shared" si="141"/>
        <v>();</v>
      </c>
      <c r="S1113" s="61" t="str">
        <f t="shared" si="140"/>
        <v/>
      </c>
    </row>
    <row r="1114" spans="14:19">
      <c r="N1114" s="61" t="str">
        <f t="shared" si="138"/>
        <v/>
      </c>
      <c r="O1114" s="53" t="str">
        <f t="shared" si="139"/>
        <v>click</v>
      </c>
      <c r="P1114" s="61" t="str">
        <f t="shared" si="141"/>
        <v>();</v>
      </c>
      <c r="S1114" s="61" t="str">
        <f t="shared" si="140"/>
        <v/>
      </c>
    </row>
    <row r="1115" spans="14:19">
      <c r="N1115" s="61" t="str">
        <f t="shared" si="138"/>
        <v/>
      </c>
      <c r="O1115" s="53" t="str">
        <f t="shared" si="139"/>
        <v>click</v>
      </c>
      <c r="P1115" s="61" t="str">
        <f t="shared" si="141"/>
        <v>();</v>
      </c>
      <c r="S1115" s="61" t="str">
        <f t="shared" si="140"/>
        <v/>
      </c>
    </row>
    <row r="1116" spans="14:19">
      <c r="N1116" s="61" t="str">
        <f t="shared" si="138"/>
        <v/>
      </c>
      <c r="O1116" s="53" t="str">
        <f t="shared" si="139"/>
        <v>click</v>
      </c>
      <c r="P1116" s="61" t="str">
        <f t="shared" si="141"/>
        <v>();</v>
      </c>
      <c r="S1116" s="61" t="str">
        <f t="shared" si="140"/>
        <v/>
      </c>
    </row>
    <row r="1117" spans="14:19">
      <c r="N1117" s="61" t="str">
        <f t="shared" si="138"/>
        <v/>
      </c>
      <c r="O1117" s="53" t="str">
        <f t="shared" si="139"/>
        <v>click</v>
      </c>
      <c r="P1117" s="61" t="str">
        <f t="shared" si="141"/>
        <v>();</v>
      </c>
      <c r="S1117" s="61" t="str">
        <f t="shared" si="140"/>
        <v/>
      </c>
    </row>
    <row r="1118" spans="14:19">
      <c r="N1118" s="61" t="str">
        <f t="shared" si="138"/>
        <v/>
      </c>
      <c r="O1118" s="53" t="str">
        <f t="shared" si="139"/>
        <v>click</v>
      </c>
      <c r="P1118" s="61" t="str">
        <f t="shared" si="141"/>
        <v>();</v>
      </c>
      <c r="S1118" s="61" t="str">
        <f t="shared" si="140"/>
        <v/>
      </c>
    </row>
    <row r="1119" spans="14:19">
      <c r="N1119" s="61" t="str">
        <f t="shared" si="138"/>
        <v/>
      </c>
      <c r="O1119" s="53" t="str">
        <f t="shared" si="139"/>
        <v>click</v>
      </c>
      <c r="P1119" s="61" t="str">
        <f t="shared" si="141"/>
        <v>();</v>
      </c>
      <c r="S1119" s="61" t="str">
        <f t="shared" si="140"/>
        <v/>
      </c>
    </row>
    <row r="1120" spans="14:19">
      <c r="N1120" s="61" t="str">
        <f t="shared" si="138"/>
        <v/>
      </c>
      <c r="O1120" s="53" t="str">
        <f t="shared" si="139"/>
        <v>click</v>
      </c>
      <c r="P1120" s="61" t="str">
        <f t="shared" si="141"/>
        <v>();</v>
      </c>
      <c r="S1120" s="61" t="str">
        <f t="shared" si="140"/>
        <v/>
      </c>
    </row>
    <row r="1121" spans="14:19">
      <c r="N1121" s="61" t="str">
        <f t="shared" si="138"/>
        <v/>
      </c>
      <c r="O1121" s="53" t="str">
        <f t="shared" si="139"/>
        <v>click</v>
      </c>
      <c r="P1121" s="61" t="str">
        <f t="shared" si="141"/>
        <v>();</v>
      </c>
      <c r="S1121" s="61" t="str">
        <f t="shared" si="140"/>
        <v/>
      </c>
    </row>
    <row r="1122" spans="14:19">
      <c r="N1122" s="61" t="str">
        <f t="shared" si="138"/>
        <v/>
      </c>
      <c r="O1122" s="53" t="str">
        <f t="shared" si="139"/>
        <v>click</v>
      </c>
      <c r="P1122" s="61" t="str">
        <f t="shared" si="141"/>
        <v>();</v>
      </c>
      <c r="S1122" s="61" t="str">
        <f t="shared" si="140"/>
        <v/>
      </c>
    </row>
    <row r="1123" spans="14:19">
      <c r="N1123" s="61" t="str">
        <f t="shared" si="138"/>
        <v/>
      </c>
      <c r="O1123" s="53" t="str">
        <f t="shared" si="139"/>
        <v>click</v>
      </c>
      <c r="P1123" s="61" t="str">
        <f t="shared" si="141"/>
        <v>();</v>
      </c>
      <c r="S1123" s="61" t="str">
        <f t="shared" si="140"/>
        <v/>
      </c>
    </row>
    <row r="1124" spans="14:19">
      <c r="N1124" s="61" t="str">
        <f t="shared" si="138"/>
        <v/>
      </c>
      <c r="O1124" s="53" t="str">
        <f t="shared" si="139"/>
        <v>click</v>
      </c>
      <c r="P1124" s="61" t="str">
        <f t="shared" si="141"/>
        <v>();</v>
      </c>
      <c r="S1124" s="61" t="str">
        <f t="shared" si="140"/>
        <v/>
      </c>
    </row>
    <row r="1125" spans="14:19">
      <c r="N1125" s="61" t="str">
        <f t="shared" si="138"/>
        <v/>
      </c>
      <c r="O1125" s="53" t="str">
        <f t="shared" si="139"/>
        <v>click</v>
      </c>
      <c r="P1125" s="61" t="str">
        <f t="shared" si="141"/>
        <v>();</v>
      </c>
      <c r="S1125" s="61" t="str">
        <f t="shared" si="140"/>
        <v/>
      </c>
    </row>
    <row r="1126" spans="14:19">
      <c r="N1126" s="61" t="str">
        <f t="shared" si="138"/>
        <v/>
      </c>
      <c r="O1126" s="53" t="str">
        <f t="shared" si="139"/>
        <v>click</v>
      </c>
      <c r="P1126" s="61" t="str">
        <f t="shared" si="141"/>
        <v>();</v>
      </c>
      <c r="S1126" s="61" t="str">
        <f t="shared" si="140"/>
        <v/>
      </c>
    </row>
    <row r="1127" spans="14:19">
      <c r="N1127" s="61" t="str">
        <f t="shared" si="138"/>
        <v/>
      </c>
      <c r="O1127" s="53" t="str">
        <f t="shared" si="139"/>
        <v>click</v>
      </c>
      <c r="P1127" s="61" t="str">
        <f t="shared" si="141"/>
        <v>();</v>
      </c>
      <c r="S1127" s="61" t="str">
        <f t="shared" si="140"/>
        <v/>
      </c>
    </row>
    <row r="1128" spans="14:19">
      <c r="N1128" s="61" t="str">
        <f t="shared" si="138"/>
        <v/>
      </c>
      <c r="O1128" s="53" t="str">
        <f t="shared" si="139"/>
        <v>click</v>
      </c>
      <c r="P1128" s="61" t="str">
        <f t="shared" si="141"/>
        <v>();</v>
      </c>
      <c r="S1128" s="61" t="str">
        <f t="shared" si="140"/>
        <v/>
      </c>
    </row>
    <row r="1129" spans="14:19">
      <c r="N1129" s="61" t="str">
        <f t="shared" si="138"/>
        <v/>
      </c>
      <c r="O1129" s="53" t="str">
        <f t="shared" si="139"/>
        <v>click</v>
      </c>
      <c r="P1129" s="61" t="str">
        <f t="shared" si="141"/>
        <v>();</v>
      </c>
      <c r="S1129" s="61" t="str">
        <f t="shared" si="140"/>
        <v/>
      </c>
    </row>
    <row r="1130" spans="14:19">
      <c r="N1130" s="61" t="str">
        <f t="shared" si="138"/>
        <v/>
      </c>
      <c r="O1130" s="53" t="str">
        <f t="shared" si="139"/>
        <v>click</v>
      </c>
      <c r="P1130" s="61" t="str">
        <f t="shared" si="141"/>
        <v>();</v>
      </c>
      <c r="S1130" s="61" t="str">
        <f t="shared" si="140"/>
        <v/>
      </c>
    </row>
    <row r="1131" spans="14:19">
      <c r="N1131" s="61" t="str">
        <f t="shared" si="138"/>
        <v/>
      </c>
      <c r="O1131" s="53" t="str">
        <f t="shared" si="139"/>
        <v>click</v>
      </c>
      <c r="P1131" s="61" t="str">
        <f t="shared" si="141"/>
        <v>();</v>
      </c>
      <c r="S1131" s="61" t="str">
        <f t="shared" si="140"/>
        <v/>
      </c>
    </row>
    <row r="1132" spans="14:19">
      <c r="N1132" s="61" t="str">
        <f t="shared" si="138"/>
        <v/>
      </c>
      <c r="O1132" s="53" t="str">
        <f t="shared" si="139"/>
        <v>click</v>
      </c>
      <c r="P1132" s="61" t="str">
        <f t="shared" si="141"/>
        <v>();</v>
      </c>
      <c r="S1132" s="61" t="str">
        <f t="shared" si="140"/>
        <v/>
      </c>
    </row>
    <row r="1133" spans="14:19">
      <c r="N1133" s="61" t="str">
        <f t="shared" si="138"/>
        <v/>
      </c>
      <c r="O1133" s="53" t="str">
        <f t="shared" si="139"/>
        <v>click</v>
      </c>
      <c r="P1133" s="61" t="str">
        <f t="shared" si="141"/>
        <v>();</v>
      </c>
      <c r="S1133" s="61" t="str">
        <f t="shared" si="140"/>
        <v/>
      </c>
    </row>
    <row r="1134" spans="14:19">
      <c r="N1134" s="61" t="str">
        <f t="shared" si="138"/>
        <v/>
      </c>
      <c r="O1134" s="53" t="str">
        <f t="shared" si="139"/>
        <v>click</v>
      </c>
      <c r="P1134" s="61" t="str">
        <f t="shared" si="141"/>
        <v>();</v>
      </c>
      <c r="S1134" s="61" t="str">
        <f t="shared" si="140"/>
        <v/>
      </c>
    </row>
    <row r="1135" spans="14:19">
      <c r="N1135" s="61" t="str">
        <f t="shared" si="138"/>
        <v/>
      </c>
      <c r="O1135" s="53" t="str">
        <f t="shared" si="139"/>
        <v>click</v>
      </c>
      <c r="P1135" s="61" t="str">
        <f t="shared" si="141"/>
        <v>();</v>
      </c>
      <c r="S1135" s="61" t="str">
        <f t="shared" si="140"/>
        <v/>
      </c>
    </row>
    <row r="1136" spans="14:19">
      <c r="N1136" s="61" t="str">
        <f t="shared" si="138"/>
        <v/>
      </c>
      <c r="O1136" s="53" t="str">
        <f t="shared" si="139"/>
        <v>click</v>
      </c>
      <c r="P1136" s="61" t="str">
        <f t="shared" si="141"/>
        <v>();</v>
      </c>
      <c r="S1136" s="61" t="str">
        <f t="shared" si="140"/>
        <v/>
      </c>
    </row>
    <row r="1137" spans="14:19">
      <c r="N1137" s="61" t="str">
        <f t="shared" si="138"/>
        <v/>
      </c>
      <c r="O1137" s="53" t="str">
        <f t="shared" si="139"/>
        <v>click</v>
      </c>
      <c r="P1137" s="61" t="str">
        <f t="shared" si="141"/>
        <v>();</v>
      </c>
      <c r="S1137" s="61" t="str">
        <f t="shared" si="140"/>
        <v/>
      </c>
    </row>
    <row r="1138" spans="14:19">
      <c r="N1138" s="61" t="str">
        <f t="shared" si="138"/>
        <v/>
      </c>
      <c r="O1138" s="53" t="str">
        <f t="shared" si="139"/>
        <v>click</v>
      </c>
      <c r="P1138" s="61" t="str">
        <f t="shared" si="141"/>
        <v>();</v>
      </c>
      <c r="S1138" s="61" t="str">
        <f t="shared" si="140"/>
        <v/>
      </c>
    </row>
    <row r="1139" spans="14:19">
      <c r="N1139" s="61" t="str">
        <f t="shared" si="138"/>
        <v/>
      </c>
      <c r="O1139" s="53" t="str">
        <f t="shared" si="139"/>
        <v>click</v>
      </c>
      <c r="P1139" s="61" t="str">
        <f t="shared" si="141"/>
        <v>();</v>
      </c>
      <c r="S1139" s="61" t="str">
        <f t="shared" si="140"/>
        <v/>
      </c>
    </row>
    <row r="1140" spans="14:19">
      <c r="N1140" s="61" t="str">
        <f t="shared" si="138"/>
        <v/>
      </c>
      <c r="O1140" s="53" t="str">
        <f t="shared" si="139"/>
        <v>click</v>
      </c>
      <c r="P1140" s="61" t="str">
        <f t="shared" si="141"/>
        <v>();</v>
      </c>
      <c r="S1140" s="61" t="str">
        <f t="shared" si="140"/>
        <v/>
      </c>
    </row>
    <row r="1141" spans="14:19">
      <c r="N1141" s="61" t="str">
        <f t="shared" si="138"/>
        <v/>
      </c>
      <c r="O1141" s="53" t="str">
        <f t="shared" si="139"/>
        <v>click</v>
      </c>
      <c r="P1141" s="61" t="str">
        <f t="shared" si="141"/>
        <v>();</v>
      </c>
      <c r="S1141" s="61" t="str">
        <f t="shared" si="140"/>
        <v/>
      </c>
    </row>
    <row r="1142" spans="14:19">
      <c r="N1142" s="61" t="str">
        <f t="shared" si="138"/>
        <v/>
      </c>
      <c r="O1142" s="53" t="str">
        <f t="shared" si="139"/>
        <v>click</v>
      </c>
      <c r="P1142" s="61" t="str">
        <f t="shared" si="141"/>
        <v>();</v>
      </c>
      <c r="S1142" s="61" t="str">
        <f t="shared" si="140"/>
        <v/>
      </c>
    </row>
    <row r="1143" spans="14:19">
      <c r="N1143" s="61" t="str">
        <f t="shared" si="138"/>
        <v/>
      </c>
      <c r="O1143" s="53" t="str">
        <f t="shared" si="139"/>
        <v>click</v>
      </c>
      <c r="P1143" s="61" t="str">
        <f t="shared" si="141"/>
        <v>();</v>
      </c>
      <c r="S1143" s="61" t="str">
        <f t="shared" si="140"/>
        <v/>
      </c>
    </row>
    <row r="1144" spans="14:19">
      <c r="N1144" s="61" t="str">
        <f t="shared" si="138"/>
        <v/>
      </c>
      <c r="O1144" s="53" t="str">
        <f t="shared" si="139"/>
        <v>click</v>
      </c>
      <c r="P1144" s="61" t="str">
        <f t="shared" si="141"/>
        <v>();</v>
      </c>
      <c r="S1144" s="61" t="str">
        <f t="shared" si="140"/>
        <v/>
      </c>
    </row>
    <row r="1145" spans="14:19">
      <c r="N1145" s="61" t="str">
        <f t="shared" si="138"/>
        <v/>
      </c>
      <c r="O1145" s="53" t="str">
        <f t="shared" si="139"/>
        <v>click</v>
      </c>
      <c r="P1145" s="61" t="str">
        <f t="shared" si="141"/>
        <v>();</v>
      </c>
      <c r="S1145" s="61" t="str">
        <f t="shared" si="140"/>
        <v/>
      </c>
    </row>
    <row r="1146" spans="14:19">
      <c r="N1146" s="61" t="str">
        <f t="shared" si="138"/>
        <v/>
      </c>
      <c r="O1146" s="53" t="str">
        <f t="shared" si="139"/>
        <v>click</v>
      </c>
      <c r="P1146" s="61" t="str">
        <f t="shared" si="141"/>
        <v>();</v>
      </c>
      <c r="S1146" s="61" t="str">
        <f t="shared" si="140"/>
        <v/>
      </c>
    </row>
    <row r="1147" spans="14:19">
      <c r="N1147" s="61" t="str">
        <f t="shared" si="138"/>
        <v/>
      </c>
      <c r="O1147" s="53" t="str">
        <f t="shared" si="139"/>
        <v>click</v>
      </c>
      <c r="P1147" s="61" t="str">
        <f t="shared" si="141"/>
        <v>();</v>
      </c>
      <c r="S1147" s="61" t="str">
        <f t="shared" si="140"/>
        <v/>
      </c>
    </row>
    <row r="1148" spans="14:19">
      <c r="N1148" s="61" t="str">
        <f t="shared" si="138"/>
        <v/>
      </c>
      <c r="O1148" s="53" t="str">
        <f t="shared" si="139"/>
        <v>click</v>
      </c>
      <c r="P1148" s="61" t="str">
        <f t="shared" si="141"/>
        <v>();</v>
      </c>
      <c r="S1148" s="61" t="str">
        <f t="shared" si="140"/>
        <v/>
      </c>
    </row>
    <row r="1149" spans="14:19">
      <c r="N1149" s="61" t="str">
        <f t="shared" si="138"/>
        <v/>
      </c>
      <c r="O1149" s="53" t="str">
        <f t="shared" si="139"/>
        <v>click</v>
      </c>
      <c r="P1149" s="61" t="str">
        <f t="shared" si="141"/>
        <v>();</v>
      </c>
      <c r="S1149" s="61" t="str">
        <f t="shared" si="140"/>
        <v/>
      </c>
    </row>
    <row r="1150" spans="14:19">
      <c r="N1150" s="61" t="str">
        <f t="shared" si="138"/>
        <v/>
      </c>
      <c r="O1150" s="53" t="str">
        <f t="shared" si="139"/>
        <v>click</v>
      </c>
      <c r="P1150" s="61" t="str">
        <f t="shared" si="141"/>
        <v>();</v>
      </c>
      <c r="S1150" s="61" t="str">
        <f t="shared" si="140"/>
        <v/>
      </c>
    </row>
    <row r="1151" spans="14:19">
      <c r="N1151" s="61" t="str">
        <f t="shared" si="138"/>
        <v/>
      </c>
      <c r="O1151" s="53" t="str">
        <f t="shared" si="139"/>
        <v>click</v>
      </c>
      <c r="P1151" s="61" t="str">
        <f t="shared" si="141"/>
        <v>();</v>
      </c>
      <c r="S1151" s="61" t="str">
        <f t="shared" si="140"/>
        <v/>
      </c>
    </row>
    <row r="1152" spans="14:19">
      <c r="N1152" s="61" t="str">
        <f t="shared" si="138"/>
        <v/>
      </c>
      <c r="O1152" s="53" t="str">
        <f t="shared" si="139"/>
        <v>click</v>
      </c>
      <c r="P1152" s="61" t="str">
        <f t="shared" si="141"/>
        <v>();</v>
      </c>
      <c r="S1152" s="61" t="str">
        <f t="shared" si="140"/>
        <v/>
      </c>
    </row>
    <row r="1153" spans="14:19">
      <c r="N1153" s="61" t="str">
        <f t="shared" si="138"/>
        <v/>
      </c>
      <c r="O1153" s="53" t="str">
        <f t="shared" si="139"/>
        <v>click</v>
      </c>
      <c r="P1153" s="61" t="str">
        <f t="shared" si="141"/>
        <v>();</v>
      </c>
      <c r="S1153" s="61" t="str">
        <f t="shared" si="140"/>
        <v/>
      </c>
    </row>
    <row r="1154" spans="14:19">
      <c r="N1154" s="61" t="str">
        <f t="shared" si="138"/>
        <v/>
      </c>
      <c r="O1154" s="53" t="str">
        <f t="shared" si="139"/>
        <v>click</v>
      </c>
      <c r="P1154" s="61" t="str">
        <f t="shared" si="141"/>
        <v>();</v>
      </c>
      <c r="S1154" s="61" t="str">
        <f t="shared" si="140"/>
        <v/>
      </c>
    </row>
    <row r="1155" spans="14:19">
      <c r="N1155" s="61" t="str">
        <f t="shared" si="138"/>
        <v/>
      </c>
      <c r="O1155" s="53" t="str">
        <f t="shared" si="139"/>
        <v>click</v>
      </c>
      <c r="P1155" s="61" t="str">
        <f t="shared" si="141"/>
        <v>();</v>
      </c>
      <c r="S1155" s="61" t="str">
        <f t="shared" si="140"/>
        <v/>
      </c>
    </row>
    <row r="1156" spans="14:19">
      <c r="N1156" s="61" t="str">
        <f t="shared" si="138"/>
        <v/>
      </c>
      <c r="O1156" s="53" t="str">
        <f t="shared" si="139"/>
        <v>click</v>
      </c>
      <c r="P1156" s="61" t="str">
        <f t="shared" si="141"/>
        <v>();</v>
      </c>
      <c r="S1156" s="61" t="str">
        <f t="shared" si="140"/>
        <v/>
      </c>
    </row>
    <row r="1157" spans="14:19">
      <c r="N1157" s="61" t="str">
        <f t="shared" ref="N1157:N1220" si="142">IF(A1157="Y",""""&amp;C1157&amp;""""&amp;": "&amp;M1157&amp;",","")</f>
        <v/>
      </c>
      <c r="O1157" s="53" t="str">
        <f t="shared" ref="O1157:O1220" si="143">IF(D1157="input","fill",IF(I1157&lt;&gt;"","innerText",IF(J1157="Y",$T$110,"click")))</f>
        <v>click</v>
      </c>
      <c r="P1157" s="61" t="str">
        <f t="shared" si="141"/>
        <v>();</v>
      </c>
      <c r="S1157" s="61" t="str">
        <f t="shared" ref="S1157:S1220" si="144">IF(O1157="innerText",I1157&amp;"="&amp;IF(C1157="Y",IF(J1157&lt;&gt;"Y",$S$9&amp;$R$10&amp;"."&amp;E1157&amp;")."&amp;IF(OR(O1157="click",O1157="innerText"),O1157&amp;"();",O1157&amp;"("&amp;$Q$9&amp;"."&amp;E1157&amp;");"),$S$110&amp;$R$10&amp;"."&amp;E1157&amp;")."&amp;IF(O1157="click",O1157&amp;"();",O1157&amp;"("&amp;"'"&amp;K1157&amp;"'"&amp;");")),""),IF(C1157="Y",IF(J1157&lt;&gt;"Y",$S$9&amp;$R$10&amp;"."&amp;E1157&amp;")."&amp;IF(OR(O1157="click",O1157="innerText"),O1157&amp;"();",O1157&amp;"("&amp;$Q$9&amp;"."&amp;E1157&amp;");"),$S$110&amp;$R$10&amp;"."&amp;E1157&amp;")."&amp;IF(O1157="click",O1157&amp;"();",O1157&amp;"("&amp;"'"&amp;K1157&amp;"'"&amp;");")),""))</f>
        <v/>
      </c>
    </row>
    <row r="1158" spans="14:19">
      <c r="N1158" s="61" t="str">
        <f t="shared" si="142"/>
        <v/>
      </c>
      <c r="O1158" s="53" t="str">
        <f t="shared" si="143"/>
        <v>click</v>
      </c>
      <c r="P1158" s="61" t="str">
        <f t="shared" si="141"/>
        <v>();</v>
      </c>
      <c r="S1158" s="61" t="str">
        <f t="shared" si="144"/>
        <v/>
      </c>
    </row>
    <row r="1159" spans="14:19">
      <c r="N1159" s="61" t="str">
        <f t="shared" si="142"/>
        <v/>
      </c>
      <c r="O1159" s="53" t="str">
        <f t="shared" si="143"/>
        <v>click</v>
      </c>
      <c r="P1159" s="61" t="str">
        <f t="shared" si="141"/>
        <v>();</v>
      </c>
      <c r="S1159" s="61" t="str">
        <f t="shared" si="144"/>
        <v/>
      </c>
    </row>
    <row r="1160" spans="14:19">
      <c r="N1160" s="61" t="str">
        <f t="shared" si="142"/>
        <v/>
      </c>
      <c r="O1160" s="53" t="str">
        <f t="shared" si="143"/>
        <v>click</v>
      </c>
      <c r="P1160" s="61" t="str">
        <f t="shared" si="141"/>
        <v>();</v>
      </c>
      <c r="S1160" s="61" t="str">
        <f t="shared" si="144"/>
        <v/>
      </c>
    </row>
    <row r="1161" spans="14:19">
      <c r="N1161" s="61" t="str">
        <f t="shared" si="142"/>
        <v/>
      </c>
      <c r="O1161" s="53" t="str">
        <f t="shared" si="143"/>
        <v>click</v>
      </c>
      <c r="P1161" s="61" t="str">
        <f t="shared" si="141"/>
        <v>();</v>
      </c>
      <c r="S1161" s="61" t="str">
        <f t="shared" si="144"/>
        <v/>
      </c>
    </row>
    <row r="1162" spans="14:19">
      <c r="N1162" s="61" t="str">
        <f t="shared" si="142"/>
        <v/>
      </c>
      <c r="O1162" s="53" t="str">
        <f t="shared" si="143"/>
        <v>click</v>
      </c>
      <c r="P1162" s="61" t="str">
        <f t="shared" si="141"/>
        <v>();</v>
      </c>
      <c r="S1162" s="61" t="str">
        <f t="shared" si="144"/>
        <v/>
      </c>
    </row>
    <row r="1163" spans="14:19">
      <c r="N1163" s="61" t="str">
        <f t="shared" si="142"/>
        <v/>
      </c>
      <c r="O1163" s="53" t="str">
        <f t="shared" si="143"/>
        <v>click</v>
      </c>
      <c r="P1163" s="61" t="str">
        <f t="shared" si="141"/>
        <v>();</v>
      </c>
      <c r="S1163" s="61" t="str">
        <f t="shared" si="144"/>
        <v/>
      </c>
    </row>
    <row r="1164" spans="14:19">
      <c r="N1164" s="61" t="str">
        <f t="shared" si="142"/>
        <v/>
      </c>
      <c r="O1164" s="53" t="str">
        <f t="shared" si="143"/>
        <v>click</v>
      </c>
      <c r="P1164" s="61" t="str">
        <f t="shared" ref="P1164:P1227" si="145">IF(OR(O1164="Click",O1164="innerText"),"();","("&amp;""""&amp;K1164&amp;""""&amp;");")</f>
        <v>();</v>
      </c>
      <c r="S1164" s="61" t="str">
        <f t="shared" si="144"/>
        <v/>
      </c>
    </row>
    <row r="1165" spans="14:19">
      <c r="N1165" s="61" t="str">
        <f t="shared" si="142"/>
        <v/>
      </c>
      <c r="O1165" s="53" t="str">
        <f t="shared" si="143"/>
        <v>click</v>
      </c>
      <c r="P1165" s="61" t="str">
        <f t="shared" si="145"/>
        <v>();</v>
      </c>
      <c r="S1165" s="61" t="str">
        <f t="shared" si="144"/>
        <v/>
      </c>
    </row>
    <row r="1166" spans="14:19">
      <c r="N1166" s="61" t="str">
        <f t="shared" si="142"/>
        <v/>
      </c>
      <c r="O1166" s="53" t="str">
        <f t="shared" si="143"/>
        <v>click</v>
      </c>
      <c r="P1166" s="61" t="str">
        <f t="shared" si="145"/>
        <v>();</v>
      </c>
      <c r="S1166" s="61" t="str">
        <f t="shared" si="144"/>
        <v/>
      </c>
    </row>
    <row r="1167" spans="14:19">
      <c r="N1167" s="61" t="str">
        <f t="shared" si="142"/>
        <v/>
      </c>
      <c r="O1167" s="53" t="str">
        <f t="shared" si="143"/>
        <v>click</v>
      </c>
      <c r="P1167" s="61" t="str">
        <f t="shared" si="145"/>
        <v>();</v>
      </c>
      <c r="S1167" s="61" t="str">
        <f t="shared" si="144"/>
        <v/>
      </c>
    </row>
    <row r="1168" spans="14:19">
      <c r="N1168" s="61" t="str">
        <f t="shared" si="142"/>
        <v/>
      </c>
      <c r="O1168" s="53" t="str">
        <f t="shared" si="143"/>
        <v>click</v>
      </c>
      <c r="P1168" s="61" t="str">
        <f t="shared" si="145"/>
        <v>();</v>
      </c>
      <c r="S1168" s="61" t="str">
        <f t="shared" si="144"/>
        <v/>
      </c>
    </row>
    <row r="1169" spans="14:19">
      <c r="N1169" s="61" t="str">
        <f t="shared" si="142"/>
        <v/>
      </c>
      <c r="O1169" s="53" t="str">
        <f t="shared" si="143"/>
        <v>click</v>
      </c>
      <c r="P1169" s="61" t="str">
        <f t="shared" si="145"/>
        <v>();</v>
      </c>
      <c r="S1169" s="61" t="str">
        <f t="shared" si="144"/>
        <v/>
      </c>
    </row>
    <row r="1170" spans="14:19">
      <c r="N1170" s="61" t="str">
        <f t="shared" si="142"/>
        <v/>
      </c>
      <c r="O1170" s="53" t="str">
        <f t="shared" si="143"/>
        <v>click</v>
      </c>
      <c r="P1170" s="61" t="str">
        <f t="shared" si="145"/>
        <v>();</v>
      </c>
      <c r="S1170" s="61" t="str">
        <f t="shared" si="144"/>
        <v/>
      </c>
    </row>
    <row r="1171" spans="14:19">
      <c r="N1171" s="61" t="str">
        <f t="shared" si="142"/>
        <v/>
      </c>
      <c r="O1171" s="53" t="str">
        <f t="shared" si="143"/>
        <v>click</v>
      </c>
      <c r="P1171" s="61" t="str">
        <f t="shared" si="145"/>
        <v>();</v>
      </c>
      <c r="S1171" s="61" t="str">
        <f t="shared" si="144"/>
        <v/>
      </c>
    </row>
    <row r="1172" spans="14:19">
      <c r="N1172" s="61" t="str">
        <f t="shared" si="142"/>
        <v/>
      </c>
      <c r="O1172" s="53" t="str">
        <f t="shared" si="143"/>
        <v>click</v>
      </c>
      <c r="P1172" s="61" t="str">
        <f t="shared" si="145"/>
        <v>();</v>
      </c>
      <c r="S1172" s="61" t="str">
        <f t="shared" si="144"/>
        <v/>
      </c>
    </row>
    <row r="1173" spans="14:19">
      <c r="N1173" s="61" t="str">
        <f t="shared" si="142"/>
        <v/>
      </c>
      <c r="O1173" s="53" t="str">
        <f t="shared" si="143"/>
        <v>click</v>
      </c>
      <c r="P1173" s="61" t="str">
        <f t="shared" si="145"/>
        <v>();</v>
      </c>
      <c r="S1173" s="61" t="str">
        <f t="shared" si="144"/>
        <v/>
      </c>
    </row>
    <row r="1174" spans="14:19">
      <c r="N1174" s="61" t="str">
        <f t="shared" si="142"/>
        <v/>
      </c>
      <c r="O1174" s="53" t="str">
        <f t="shared" si="143"/>
        <v>click</v>
      </c>
      <c r="P1174" s="61" t="str">
        <f t="shared" si="145"/>
        <v>();</v>
      </c>
      <c r="S1174" s="61" t="str">
        <f t="shared" si="144"/>
        <v/>
      </c>
    </row>
    <row r="1175" spans="14:19">
      <c r="N1175" s="61" t="str">
        <f t="shared" si="142"/>
        <v/>
      </c>
      <c r="O1175" s="53" t="str">
        <f t="shared" si="143"/>
        <v>click</v>
      </c>
      <c r="P1175" s="61" t="str">
        <f t="shared" si="145"/>
        <v>();</v>
      </c>
      <c r="S1175" s="61" t="str">
        <f t="shared" si="144"/>
        <v/>
      </c>
    </row>
    <row r="1176" spans="14:19">
      <c r="N1176" s="61" t="str">
        <f t="shared" si="142"/>
        <v/>
      </c>
      <c r="O1176" s="53" t="str">
        <f t="shared" si="143"/>
        <v>click</v>
      </c>
      <c r="P1176" s="61" t="str">
        <f t="shared" si="145"/>
        <v>();</v>
      </c>
      <c r="S1176" s="61" t="str">
        <f t="shared" si="144"/>
        <v/>
      </c>
    </row>
    <row r="1177" spans="14:19">
      <c r="N1177" s="61" t="str">
        <f t="shared" si="142"/>
        <v/>
      </c>
      <c r="O1177" s="53" t="str">
        <f t="shared" si="143"/>
        <v>click</v>
      </c>
      <c r="P1177" s="61" t="str">
        <f t="shared" si="145"/>
        <v>();</v>
      </c>
      <c r="S1177" s="61" t="str">
        <f t="shared" si="144"/>
        <v/>
      </c>
    </row>
    <row r="1178" spans="14:19">
      <c r="N1178" s="61" t="str">
        <f t="shared" si="142"/>
        <v/>
      </c>
      <c r="O1178" s="53" t="str">
        <f t="shared" si="143"/>
        <v>click</v>
      </c>
      <c r="P1178" s="61" t="str">
        <f t="shared" si="145"/>
        <v>();</v>
      </c>
      <c r="S1178" s="61" t="str">
        <f t="shared" si="144"/>
        <v/>
      </c>
    </row>
    <row r="1179" spans="14:19">
      <c r="N1179" s="61" t="str">
        <f t="shared" si="142"/>
        <v/>
      </c>
      <c r="O1179" s="53" t="str">
        <f t="shared" si="143"/>
        <v>click</v>
      </c>
      <c r="P1179" s="61" t="str">
        <f t="shared" si="145"/>
        <v>();</v>
      </c>
      <c r="S1179" s="61" t="str">
        <f t="shared" si="144"/>
        <v/>
      </c>
    </row>
    <row r="1180" spans="14:19">
      <c r="N1180" s="61" t="str">
        <f t="shared" si="142"/>
        <v/>
      </c>
      <c r="O1180" s="53" t="str">
        <f t="shared" si="143"/>
        <v>click</v>
      </c>
      <c r="P1180" s="61" t="str">
        <f t="shared" si="145"/>
        <v>();</v>
      </c>
      <c r="S1180" s="61" t="str">
        <f t="shared" si="144"/>
        <v/>
      </c>
    </row>
    <row r="1181" spans="14:19">
      <c r="N1181" s="61" t="str">
        <f t="shared" si="142"/>
        <v/>
      </c>
      <c r="O1181" s="53" t="str">
        <f t="shared" si="143"/>
        <v>click</v>
      </c>
      <c r="P1181" s="61" t="str">
        <f t="shared" si="145"/>
        <v>();</v>
      </c>
      <c r="S1181" s="61" t="str">
        <f t="shared" si="144"/>
        <v/>
      </c>
    </row>
    <row r="1182" spans="14:19">
      <c r="N1182" s="61" t="str">
        <f t="shared" si="142"/>
        <v/>
      </c>
      <c r="O1182" s="53" t="str">
        <f t="shared" si="143"/>
        <v>click</v>
      </c>
      <c r="P1182" s="61" t="str">
        <f t="shared" si="145"/>
        <v>();</v>
      </c>
      <c r="S1182" s="61" t="str">
        <f t="shared" si="144"/>
        <v/>
      </c>
    </row>
    <row r="1183" spans="14:19">
      <c r="N1183" s="61" t="str">
        <f t="shared" si="142"/>
        <v/>
      </c>
      <c r="O1183" s="53" t="str">
        <f t="shared" si="143"/>
        <v>click</v>
      </c>
      <c r="P1183" s="61" t="str">
        <f t="shared" si="145"/>
        <v>();</v>
      </c>
      <c r="S1183" s="61" t="str">
        <f t="shared" si="144"/>
        <v/>
      </c>
    </row>
    <row r="1184" spans="14:19">
      <c r="N1184" s="61" t="str">
        <f t="shared" si="142"/>
        <v/>
      </c>
      <c r="O1184" s="53" t="str">
        <f t="shared" si="143"/>
        <v>click</v>
      </c>
      <c r="P1184" s="61" t="str">
        <f t="shared" si="145"/>
        <v>();</v>
      </c>
      <c r="S1184" s="61" t="str">
        <f t="shared" si="144"/>
        <v/>
      </c>
    </row>
    <row r="1185" spans="14:19">
      <c r="N1185" s="61" t="str">
        <f t="shared" si="142"/>
        <v/>
      </c>
      <c r="O1185" s="53" t="str">
        <f t="shared" si="143"/>
        <v>click</v>
      </c>
      <c r="P1185" s="61" t="str">
        <f t="shared" si="145"/>
        <v>();</v>
      </c>
      <c r="S1185" s="61" t="str">
        <f t="shared" si="144"/>
        <v/>
      </c>
    </row>
    <row r="1186" spans="14:19">
      <c r="N1186" s="61" t="str">
        <f t="shared" si="142"/>
        <v/>
      </c>
      <c r="O1186" s="53" t="str">
        <f t="shared" si="143"/>
        <v>click</v>
      </c>
      <c r="P1186" s="61" t="str">
        <f t="shared" si="145"/>
        <v>();</v>
      </c>
      <c r="S1186" s="61" t="str">
        <f t="shared" si="144"/>
        <v/>
      </c>
    </row>
    <row r="1187" spans="14:19">
      <c r="N1187" s="61" t="str">
        <f t="shared" si="142"/>
        <v/>
      </c>
      <c r="O1187" s="53" t="str">
        <f t="shared" si="143"/>
        <v>click</v>
      </c>
      <c r="P1187" s="61" t="str">
        <f t="shared" si="145"/>
        <v>();</v>
      </c>
      <c r="S1187" s="61" t="str">
        <f t="shared" si="144"/>
        <v/>
      </c>
    </row>
    <row r="1188" spans="14:19">
      <c r="N1188" s="61" t="str">
        <f t="shared" si="142"/>
        <v/>
      </c>
      <c r="O1188" s="53" t="str">
        <f t="shared" si="143"/>
        <v>click</v>
      </c>
      <c r="P1188" s="61" t="str">
        <f t="shared" si="145"/>
        <v>();</v>
      </c>
      <c r="S1188" s="61" t="str">
        <f t="shared" si="144"/>
        <v/>
      </c>
    </row>
    <row r="1189" spans="14:19">
      <c r="N1189" s="61" t="str">
        <f t="shared" si="142"/>
        <v/>
      </c>
      <c r="O1189" s="53" t="str">
        <f t="shared" si="143"/>
        <v>click</v>
      </c>
      <c r="P1189" s="61" t="str">
        <f t="shared" si="145"/>
        <v>();</v>
      </c>
      <c r="S1189" s="61" t="str">
        <f t="shared" si="144"/>
        <v/>
      </c>
    </row>
    <row r="1190" spans="14:19">
      <c r="N1190" s="61" t="str">
        <f t="shared" si="142"/>
        <v/>
      </c>
      <c r="O1190" s="53" t="str">
        <f t="shared" si="143"/>
        <v>click</v>
      </c>
      <c r="P1190" s="61" t="str">
        <f t="shared" si="145"/>
        <v>();</v>
      </c>
      <c r="S1190" s="61" t="str">
        <f t="shared" si="144"/>
        <v/>
      </c>
    </row>
    <row r="1191" spans="14:19">
      <c r="N1191" s="61" t="str">
        <f t="shared" si="142"/>
        <v/>
      </c>
      <c r="O1191" s="53" t="str">
        <f t="shared" si="143"/>
        <v>click</v>
      </c>
      <c r="P1191" s="61" t="str">
        <f t="shared" si="145"/>
        <v>();</v>
      </c>
      <c r="S1191" s="61" t="str">
        <f t="shared" si="144"/>
        <v/>
      </c>
    </row>
    <row r="1192" spans="14:19">
      <c r="N1192" s="61" t="str">
        <f t="shared" si="142"/>
        <v/>
      </c>
      <c r="O1192" s="53" t="str">
        <f t="shared" si="143"/>
        <v>click</v>
      </c>
      <c r="P1192" s="61" t="str">
        <f t="shared" si="145"/>
        <v>();</v>
      </c>
      <c r="S1192" s="61" t="str">
        <f t="shared" si="144"/>
        <v/>
      </c>
    </row>
    <row r="1193" spans="14:19">
      <c r="N1193" s="61" t="str">
        <f t="shared" si="142"/>
        <v/>
      </c>
      <c r="O1193" s="53" t="str">
        <f t="shared" si="143"/>
        <v>click</v>
      </c>
      <c r="P1193" s="61" t="str">
        <f t="shared" si="145"/>
        <v>();</v>
      </c>
      <c r="S1193" s="61" t="str">
        <f t="shared" si="144"/>
        <v/>
      </c>
    </row>
    <row r="1194" spans="14:19">
      <c r="N1194" s="61" t="str">
        <f t="shared" si="142"/>
        <v/>
      </c>
      <c r="O1194" s="53" t="str">
        <f t="shared" si="143"/>
        <v>click</v>
      </c>
      <c r="P1194" s="61" t="str">
        <f t="shared" si="145"/>
        <v>();</v>
      </c>
      <c r="S1194" s="61" t="str">
        <f t="shared" si="144"/>
        <v/>
      </c>
    </row>
    <row r="1195" spans="14:19">
      <c r="N1195" s="61" t="str">
        <f t="shared" si="142"/>
        <v/>
      </c>
      <c r="O1195" s="53" t="str">
        <f t="shared" si="143"/>
        <v>click</v>
      </c>
      <c r="P1195" s="61" t="str">
        <f t="shared" si="145"/>
        <v>();</v>
      </c>
      <c r="S1195" s="61" t="str">
        <f t="shared" si="144"/>
        <v/>
      </c>
    </row>
    <row r="1196" spans="14:19">
      <c r="N1196" s="61" t="str">
        <f t="shared" si="142"/>
        <v/>
      </c>
      <c r="O1196" s="53" t="str">
        <f t="shared" si="143"/>
        <v>click</v>
      </c>
      <c r="P1196" s="61" t="str">
        <f t="shared" si="145"/>
        <v>();</v>
      </c>
      <c r="S1196" s="61" t="str">
        <f t="shared" si="144"/>
        <v/>
      </c>
    </row>
    <row r="1197" spans="14:19">
      <c r="N1197" s="61" t="str">
        <f t="shared" si="142"/>
        <v/>
      </c>
      <c r="O1197" s="53" t="str">
        <f t="shared" si="143"/>
        <v>click</v>
      </c>
      <c r="P1197" s="61" t="str">
        <f t="shared" si="145"/>
        <v>();</v>
      </c>
      <c r="S1197" s="61" t="str">
        <f t="shared" si="144"/>
        <v/>
      </c>
    </row>
    <row r="1198" spans="14:19">
      <c r="N1198" s="61" t="str">
        <f t="shared" si="142"/>
        <v/>
      </c>
      <c r="O1198" s="53" t="str">
        <f t="shared" si="143"/>
        <v>click</v>
      </c>
      <c r="P1198" s="61" t="str">
        <f t="shared" si="145"/>
        <v>();</v>
      </c>
      <c r="S1198" s="61" t="str">
        <f t="shared" si="144"/>
        <v/>
      </c>
    </row>
    <row r="1199" spans="14:19">
      <c r="N1199" s="61" t="str">
        <f t="shared" si="142"/>
        <v/>
      </c>
      <c r="O1199" s="53" t="str">
        <f t="shared" si="143"/>
        <v>click</v>
      </c>
      <c r="P1199" s="61" t="str">
        <f t="shared" si="145"/>
        <v>();</v>
      </c>
      <c r="S1199" s="61" t="str">
        <f t="shared" si="144"/>
        <v/>
      </c>
    </row>
    <row r="1200" spans="14:19">
      <c r="N1200" s="61" t="str">
        <f t="shared" si="142"/>
        <v/>
      </c>
      <c r="O1200" s="53" t="str">
        <f t="shared" si="143"/>
        <v>click</v>
      </c>
      <c r="P1200" s="61" t="str">
        <f t="shared" si="145"/>
        <v>();</v>
      </c>
      <c r="S1200" s="61" t="str">
        <f t="shared" si="144"/>
        <v/>
      </c>
    </row>
    <row r="1201" spans="14:19">
      <c r="N1201" s="61" t="str">
        <f t="shared" si="142"/>
        <v/>
      </c>
      <c r="O1201" s="53" t="str">
        <f t="shared" si="143"/>
        <v>click</v>
      </c>
      <c r="P1201" s="61" t="str">
        <f t="shared" si="145"/>
        <v>();</v>
      </c>
      <c r="S1201" s="61" t="str">
        <f t="shared" si="144"/>
        <v/>
      </c>
    </row>
    <row r="1202" spans="14:19">
      <c r="N1202" s="61" t="str">
        <f t="shared" si="142"/>
        <v/>
      </c>
      <c r="O1202" s="53" t="str">
        <f t="shared" si="143"/>
        <v>click</v>
      </c>
      <c r="P1202" s="61" t="str">
        <f t="shared" si="145"/>
        <v>();</v>
      </c>
      <c r="S1202" s="61" t="str">
        <f t="shared" si="144"/>
        <v/>
      </c>
    </row>
    <row r="1203" spans="14:19">
      <c r="N1203" s="61" t="str">
        <f t="shared" si="142"/>
        <v/>
      </c>
      <c r="O1203" s="53" t="str">
        <f t="shared" si="143"/>
        <v>click</v>
      </c>
      <c r="P1203" s="61" t="str">
        <f t="shared" si="145"/>
        <v>();</v>
      </c>
      <c r="S1203" s="61" t="str">
        <f t="shared" si="144"/>
        <v/>
      </c>
    </row>
    <row r="1204" spans="14:19">
      <c r="N1204" s="61" t="str">
        <f t="shared" si="142"/>
        <v/>
      </c>
      <c r="O1204" s="53" t="str">
        <f t="shared" si="143"/>
        <v>click</v>
      </c>
      <c r="P1204" s="61" t="str">
        <f t="shared" si="145"/>
        <v>();</v>
      </c>
      <c r="S1204" s="61" t="str">
        <f t="shared" si="144"/>
        <v/>
      </c>
    </row>
    <row r="1205" spans="14:19">
      <c r="N1205" s="61" t="str">
        <f t="shared" si="142"/>
        <v/>
      </c>
      <c r="O1205" s="53" t="str">
        <f t="shared" si="143"/>
        <v>click</v>
      </c>
      <c r="P1205" s="61" t="str">
        <f t="shared" si="145"/>
        <v>();</v>
      </c>
      <c r="S1205" s="61" t="str">
        <f t="shared" si="144"/>
        <v/>
      </c>
    </row>
    <row r="1206" spans="14:19">
      <c r="N1206" s="61" t="str">
        <f t="shared" si="142"/>
        <v/>
      </c>
      <c r="O1206" s="53" t="str">
        <f t="shared" si="143"/>
        <v>click</v>
      </c>
      <c r="P1206" s="61" t="str">
        <f t="shared" si="145"/>
        <v>();</v>
      </c>
      <c r="S1206" s="61" t="str">
        <f t="shared" si="144"/>
        <v/>
      </c>
    </row>
    <row r="1207" spans="14:19">
      <c r="N1207" s="61" t="str">
        <f t="shared" si="142"/>
        <v/>
      </c>
      <c r="O1207" s="53" t="str">
        <f t="shared" si="143"/>
        <v>click</v>
      </c>
      <c r="P1207" s="61" t="str">
        <f t="shared" si="145"/>
        <v>();</v>
      </c>
      <c r="S1207" s="61" t="str">
        <f t="shared" si="144"/>
        <v/>
      </c>
    </row>
    <row r="1208" spans="14:19">
      <c r="N1208" s="61" t="str">
        <f t="shared" si="142"/>
        <v/>
      </c>
      <c r="O1208" s="53" t="str">
        <f t="shared" si="143"/>
        <v>click</v>
      </c>
      <c r="P1208" s="61" t="str">
        <f t="shared" si="145"/>
        <v>();</v>
      </c>
      <c r="S1208" s="61" t="str">
        <f t="shared" si="144"/>
        <v/>
      </c>
    </row>
    <row r="1209" spans="14:19">
      <c r="N1209" s="61" t="str">
        <f t="shared" si="142"/>
        <v/>
      </c>
      <c r="O1209" s="53" t="str">
        <f t="shared" si="143"/>
        <v>click</v>
      </c>
      <c r="P1209" s="61" t="str">
        <f t="shared" si="145"/>
        <v>();</v>
      </c>
      <c r="S1209" s="61" t="str">
        <f t="shared" si="144"/>
        <v/>
      </c>
    </row>
    <row r="1210" spans="14:19">
      <c r="N1210" s="61" t="str">
        <f t="shared" si="142"/>
        <v/>
      </c>
      <c r="O1210" s="53" t="str">
        <f t="shared" si="143"/>
        <v>click</v>
      </c>
      <c r="P1210" s="61" t="str">
        <f t="shared" si="145"/>
        <v>();</v>
      </c>
      <c r="S1210" s="61" t="str">
        <f t="shared" si="144"/>
        <v/>
      </c>
    </row>
    <row r="1211" spans="14:19">
      <c r="N1211" s="61" t="str">
        <f t="shared" si="142"/>
        <v/>
      </c>
      <c r="O1211" s="53" t="str">
        <f t="shared" si="143"/>
        <v>click</v>
      </c>
      <c r="P1211" s="61" t="str">
        <f t="shared" si="145"/>
        <v>();</v>
      </c>
      <c r="S1211" s="61" t="str">
        <f t="shared" si="144"/>
        <v/>
      </c>
    </row>
    <row r="1212" spans="14:19">
      <c r="N1212" s="61" t="str">
        <f t="shared" si="142"/>
        <v/>
      </c>
      <c r="O1212" s="53" t="str">
        <f t="shared" si="143"/>
        <v>click</v>
      </c>
      <c r="P1212" s="61" t="str">
        <f t="shared" si="145"/>
        <v>();</v>
      </c>
      <c r="S1212" s="61" t="str">
        <f t="shared" si="144"/>
        <v/>
      </c>
    </row>
    <row r="1213" spans="14:19">
      <c r="N1213" s="61" t="str">
        <f t="shared" si="142"/>
        <v/>
      </c>
      <c r="O1213" s="53" t="str">
        <f t="shared" si="143"/>
        <v>click</v>
      </c>
      <c r="P1213" s="61" t="str">
        <f t="shared" si="145"/>
        <v>();</v>
      </c>
      <c r="S1213" s="61" t="str">
        <f t="shared" si="144"/>
        <v/>
      </c>
    </row>
    <row r="1214" spans="14:19">
      <c r="N1214" s="61" t="str">
        <f t="shared" si="142"/>
        <v/>
      </c>
      <c r="O1214" s="53" t="str">
        <f t="shared" si="143"/>
        <v>click</v>
      </c>
      <c r="P1214" s="61" t="str">
        <f t="shared" si="145"/>
        <v>();</v>
      </c>
      <c r="S1214" s="61" t="str">
        <f t="shared" si="144"/>
        <v/>
      </c>
    </row>
    <row r="1215" spans="14:19">
      <c r="N1215" s="61" t="str">
        <f t="shared" si="142"/>
        <v/>
      </c>
      <c r="O1215" s="53" t="str">
        <f t="shared" si="143"/>
        <v>click</v>
      </c>
      <c r="P1215" s="61" t="str">
        <f t="shared" si="145"/>
        <v>();</v>
      </c>
      <c r="S1215" s="61" t="str">
        <f t="shared" si="144"/>
        <v/>
      </c>
    </row>
    <row r="1216" spans="14:19">
      <c r="N1216" s="61" t="str">
        <f t="shared" si="142"/>
        <v/>
      </c>
      <c r="O1216" s="53" t="str">
        <f t="shared" si="143"/>
        <v>click</v>
      </c>
      <c r="P1216" s="61" t="str">
        <f t="shared" si="145"/>
        <v>();</v>
      </c>
      <c r="S1216" s="61" t="str">
        <f t="shared" si="144"/>
        <v/>
      </c>
    </row>
    <row r="1217" spans="14:19">
      <c r="N1217" s="61" t="str">
        <f t="shared" si="142"/>
        <v/>
      </c>
      <c r="O1217" s="53" t="str">
        <f t="shared" si="143"/>
        <v>click</v>
      </c>
      <c r="P1217" s="61" t="str">
        <f t="shared" si="145"/>
        <v>();</v>
      </c>
      <c r="S1217" s="61" t="str">
        <f t="shared" si="144"/>
        <v/>
      </c>
    </row>
    <row r="1218" spans="14:19">
      <c r="N1218" s="61" t="str">
        <f t="shared" si="142"/>
        <v/>
      </c>
      <c r="O1218" s="53" t="str">
        <f t="shared" si="143"/>
        <v>click</v>
      </c>
      <c r="P1218" s="61" t="str">
        <f t="shared" si="145"/>
        <v>();</v>
      </c>
      <c r="S1218" s="61" t="str">
        <f t="shared" si="144"/>
        <v/>
      </c>
    </row>
    <row r="1219" spans="14:19">
      <c r="N1219" s="61" t="str">
        <f t="shared" si="142"/>
        <v/>
      </c>
      <c r="O1219" s="53" t="str">
        <f t="shared" si="143"/>
        <v>click</v>
      </c>
      <c r="P1219" s="61" t="str">
        <f t="shared" si="145"/>
        <v>();</v>
      </c>
      <c r="S1219" s="61" t="str">
        <f t="shared" si="144"/>
        <v/>
      </c>
    </row>
    <row r="1220" spans="14:19">
      <c r="N1220" s="61" t="str">
        <f t="shared" si="142"/>
        <v/>
      </c>
      <c r="O1220" s="53" t="str">
        <f t="shared" si="143"/>
        <v>click</v>
      </c>
      <c r="P1220" s="61" t="str">
        <f t="shared" si="145"/>
        <v>();</v>
      </c>
      <c r="S1220" s="61" t="str">
        <f t="shared" si="144"/>
        <v/>
      </c>
    </row>
    <row r="1221" spans="14:19">
      <c r="N1221" s="61" t="str">
        <f t="shared" ref="N1221:N1284" si="146">IF(A1221="Y",""""&amp;C1221&amp;""""&amp;": "&amp;M1221&amp;",","")</f>
        <v/>
      </c>
      <c r="O1221" s="53" t="str">
        <f t="shared" ref="O1221:O1284" si="147">IF(D1221="input","fill",IF(I1221&lt;&gt;"","innerText",IF(J1221="Y",$T$110,"click")))</f>
        <v>click</v>
      </c>
      <c r="P1221" s="61" t="str">
        <f t="shared" si="145"/>
        <v>();</v>
      </c>
      <c r="S1221" s="61" t="str">
        <f t="shared" ref="S1221:S1284" si="148">IF(O1221="innerText",I1221&amp;"="&amp;IF(C1221="Y",IF(J1221&lt;&gt;"Y",$S$9&amp;$R$10&amp;"."&amp;E1221&amp;")."&amp;IF(OR(O1221="click",O1221="innerText"),O1221&amp;"();",O1221&amp;"("&amp;$Q$9&amp;"."&amp;E1221&amp;");"),$S$110&amp;$R$10&amp;"."&amp;E1221&amp;")."&amp;IF(O1221="click",O1221&amp;"();",O1221&amp;"("&amp;"'"&amp;K1221&amp;"'"&amp;");")),""),IF(C1221="Y",IF(J1221&lt;&gt;"Y",$S$9&amp;$R$10&amp;"."&amp;E1221&amp;")."&amp;IF(OR(O1221="click",O1221="innerText"),O1221&amp;"();",O1221&amp;"("&amp;$Q$9&amp;"."&amp;E1221&amp;");"),$S$110&amp;$R$10&amp;"."&amp;E1221&amp;")."&amp;IF(O1221="click",O1221&amp;"();",O1221&amp;"("&amp;"'"&amp;K1221&amp;"'"&amp;");")),""))</f>
        <v/>
      </c>
    </row>
    <row r="1222" spans="14:19">
      <c r="N1222" s="61" t="str">
        <f t="shared" si="146"/>
        <v/>
      </c>
      <c r="O1222" s="53" t="str">
        <f t="shared" si="147"/>
        <v>click</v>
      </c>
      <c r="P1222" s="61" t="str">
        <f t="shared" si="145"/>
        <v>();</v>
      </c>
      <c r="S1222" s="61" t="str">
        <f t="shared" si="148"/>
        <v/>
      </c>
    </row>
    <row r="1223" spans="14:19">
      <c r="N1223" s="61" t="str">
        <f t="shared" si="146"/>
        <v/>
      </c>
      <c r="O1223" s="53" t="str">
        <f t="shared" si="147"/>
        <v>click</v>
      </c>
      <c r="P1223" s="61" t="str">
        <f t="shared" si="145"/>
        <v>();</v>
      </c>
      <c r="S1223" s="61" t="str">
        <f t="shared" si="148"/>
        <v/>
      </c>
    </row>
    <row r="1224" spans="14:19">
      <c r="N1224" s="61" t="str">
        <f t="shared" si="146"/>
        <v/>
      </c>
      <c r="O1224" s="53" t="str">
        <f t="shared" si="147"/>
        <v>click</v>
      </c>
      <c r="P1224" s="61" t="str">
        <f t="shared" si="145"/>
        <v>();</v>
      </c>
      <c r="S1224" s="61" t="str">
        <f t="shared" si="148"/>
        <v/>
      </c>
    </row>
    <row r="1225" spans="14:19">
      <c r="N1225" s="61" t="str">
        <f t="shared" si="146"/>
        <v/>
      </c>
      <c r="O1225" s="53" t="str">
        <f t="shared" si="147"/>
        <v>click</v>
      </c>
      <c r="P1225" s="61" t="str">
        <f t="shared" si="145"/>
        <v>();</v>
      </c>
      <c r="S1225" s="61" t="str">
        <f t="shared" si="148"/>
        <v/>
      </c>
    </row>
    <row r="1226" spans="14:19">
      <c r="N1226" s="61" t="str">
        <f t="shared" si="146"/>
        <v/>
      </c>
      <c r="O1226" s="53" t="str">
        <f t="shared" si="147"/>
        <v>click</v>
      </c>
      <c r="P1226" s="61" t="str">
        <f t="shared" si="145"/>
        <v>();</v>
      </c>
      <c r="S1226" s="61" t="str">
        <f t="shared" si="148"/>
        <v/>
      </c>
    </row>
    <row r="1227" spans="14:19">
      <c r="N1227" s="61" t="str">
        <f t="shared" si="146"/>
        <v/>
      </c>
      <c r="O1227" s="53" t="str">
        <f t="shared" si="147"/>
        <v>click</v>
      </c>
      <c r="P1227" s="61" t="str">
        <f t="shared" si="145"/>
        <v>();</v>
      </c>
      <c r="S1227" s="61" t="str">
        <f t="shared" si="148"/>
        <v/>
      </c>
    </row>
    <row r="1228" spans="14:19">
      <c r="N1228" s="61" t="str">
        <f t="shared" si="146"/>
        <v/>
      </c>
      <c r="O1228" s="53" t="str">
        <f t="shared" si="147"/>
        <v>click</v>
      </c>
      <c r="P1228" s="61" t="str">
        <f t="shared" ref="P1228:P1291" si="149">IF(OR(O1228="Click",O1228="innerText"),"();","("&amp;""""&amp;K1228&amp;""""&amp;");")</f>
        <v>();</v>
      </c>
      <c r="S1228" s="61" t="str">
        <f t="shared" si="148"/>
        <v/>
      </c>
    </row>
    <row r="1229" spans="14:19">
      <c r="N1229" s="61" t="str">
        <f t="shared" si="146"/>
        <v/>
      </c>
      <c r="O1229" s="53" t="str">
        <f t="shared" si="147"/>
        <v>click</v>
      </c>
      <c r="P1229" s="61" t="str">
        <f t="shared" si="149"/>
        <v>();</v>
      </c>
      <c r="S1229" s="61" t="str">
        <f t="shared" si="148"/>
        <v/>
      </c>
    </row>
    <row r="1230" spans="14:19">
      <c r="N1230" s="61" t="str">
        <f t="shared" si="146"/>
        <v/>
      </c>
      <c r="O1230" s="53" t="str">
        <f t="shared" si="147"/>
        <v>click</v>
      </c>
      <c r="P1230" s="61" t="str">
        <f t="shared" si="149"/>
        <v>();</v>
      </c>
      <c r="S1230" s="61" t="str">
        <f t="shared" si="148"/>
        <v/>
      </c>
    </row>
    <row r="1231" spans="14:19">
      <c r="N1231" s="61" t="str">
        <f t="shared" si="146"/>
        <v/>
      </c>
      <c r="O1231" s="53" t="str">
        <f t="shared" si="147"/>
        <v>click</v>
      </c>
      <c r="P1231" s="61" t="str">
        <f t="shared" si="149"/>
        <v>();</v>
      </c>
      <c r="S1231" s="61" t="str">
        <f t="shared" si="148"/>
        <v/>
      </c>
    </row>
    <row r="1232" spans="14:19">
      <c r="N1232" s="61" t="str">
        <f t="shared" si="146"/>
        <v/>
      </c>
      <c r="O1232" s="53" t="str">
        <f t="shared" si="147"/>
        <v>click</v>
      </c>
      <c r="P1232" s="61" t="str">
        <f t="shared" si="149"/>
        <v>();</v>
      </c>
      <c r="S1232" s="61" t="str">
        <f t="shared" si="148"/>
        <v/>
      </c>
    </row>
    <row r="1233" spans="14:19">
      <c r="N1233" s="61" t="str">
        <f t="shared" si="146"/>
        <v/>
      </c>
      <c r="O1233" s="53" t="str">
        <f t="shared" si="147"/>
        <v>click</v>
      </c>
      <c r="P1233" s="61" t="str">
        <f t="shared" si="149"/>
        <v>();</v>
      </c>
      <c r="S1233" s="61" t="str">
        <f t="shared" si="148"/>
        <v/>
      </c>
    </row>
    <row r="1234" spans="14:19">
      <c r="N1234" s="61" t="str">
        <f t="shared" si="146"/>
        <v/>
      </c>
      <c r="O1234" s="53" t="str">
        <f t="shared" si="147"/>
        <v>click</v>
      </c>
      <c r="P1234" s="61" t="str">
        <f t="shared" si="149"/>
        <v>();</v>
      </c>
      <c r="S1234" s="61" t="str">
        <f t="shared" si="148"/>
        <v/>
      </c>
    </row>
    <row r="1235" spans="14:19">
      <c r="N1235" s="61" t="str">
        <f t="shared" si="146"/>
        <v/>
      </c>
      <c r="O1235" s="53" t="str">
        <f t="shared" si="147"/>
        <v>click</v>
      </c>
      <c r="P1235" s="61" t="str">
        <f t="shared" si="149"/>
        <v>();</v>
      </c>
      <c r="S1235" s="61" t="str">
        <f t="shared" si="148"/>
        <v/>
      </c>
    </row>
    <row r="1236" spans="14:19">
      <c r="N1236" s="61" t="str">
        <f t="shared" si="146"/>
        <v/>
      </c>
      <c r="O1236" s="53" t="str">
        <f t="shared" si="147"/>
        <v>click</v>
      </c>
      <c r="P1236" s="61" t="str">
        <f t="shared" si="149"/>
        <v>();</v>
      </c>
      <c r="S1236" s="61" t="str">
        <f t="shared" si="148"/>
        <v/>
      </c>
    </row>
    <row r="1237" spans="14:19">
      <c r="N1237" s="61" t="str">
        <f t="shared" si="146"/>
        <v/>
      </c>
      <c r="O1237" s="53" t="str">
        <f t="shared" si="147"/>
        <v>click</v>
      </c>
      <c r="P1237" s="61" t="str">
        <f t="shared" si="149"/>
        <v>();</v>
      </c>
      <c r="S1237" s="61" t="str">
        <f t="shared" si="148"/>
        <v/>
      </c>
    </row>
    <row r="1238" spans="14:19">
      <c r="N1238" s="61" t="str">
        <f t="shared" si="146"/>
        <v/>
      </c>
      <c r="O1238" s="53" t="str">
        <f t="shared" si="147"/>
        <v>click</v>
      </c>
      <c r="P1238" s="61" t="str">
        <f t="shared" si="149"/>
        <v>();</v>
      </c>
      <c r="S1238" s="61" t="str">
        <f t="shared" si="148"/>
        <v/>
      </c>
    </row>
    <row r="1239" spans="14:19">
      <c r="N1239" s="61" t="str">
        <f t="shared" si="146"/>
        <v/>
      </c>
      <c r="O1239" s="53" t="str">
        <f t="shared" si="147"/>
        <v>click</v>
      </c>
      <c r="P1239" s="61" t="str">
        <f t="shared" si="149"/>
        <v>();</v>
      </c>
      <c r="S1239" s="61" t="str">
        <f t="shared" si="148"/>
        <v/>
      </c>
    </row>
    <row r="1240" spans="14:19">
      <c r="N1240" s="61" t="str">
        <f t="shared" si="146"/>
        <v/>
      </c>
      <c r="O1240" s="53" t="str">
        <f t="shared" si="147"/>
        <v>click</v>
      </c>
      <c r="P1240" s="61" t="str">
        <f t="shared" si="149"/>
        <v>();</v>
      </c>
      <c r="S1240" s="61" t="str">
        <f t="shared" si="148"/>
        <v/>
      </c>
    </row>
    <row r="1241" spans="14:19">
      <c r="N1241" s="61" t="str">
        <f t="shared" si="146"/>
        <v/>
      </c>
      <c r="O1241" s="53" t="str">
        <f t="shared" si="147"/>
        <v>click</v>
      </c>
      <c r="P1241" s="61" t="str">
        <f t="shared" si="149"/>
        <v>();</v>
      </c>
      <c r="S1241" s="61" t="str">
        <f t="shared" si="148"/>
        <v/>
      </c>
    </row>
    <row r="1242" spans="14:19">
      <c r="N1242" s="61" t="str">
        <f t="shared" si="146"/>
        <v/>
      </c>
      <c r="O1242" s="53" t="str">
        <f t="shared" si="147"/>
        <v>click</v>
      </c>
      <c r="P1242" s="61" t="str">
        <f t="shared" si="149"/>
        <v>();</v>
      </c>
      <c r="S1242" s="61" t="str">
        <f t="shared" si="148"/>
        <v/>
      </c>
    </row>
    <row r="1243" spans="14:19">
      <c r="N1243" s="61" t="str">
        <f t="shared" si="146"/>
        <v/>
      </c>
      <c r="O1243" s="53" t="str">
        <f t="shared" si="147"/>
        <v>click</v>
      </c>
      <c r="P1243" s="61" t="str">
        <f t="shared" si="149"/>
        <v>();</v>
      </c>
      <c r="S1243" s="61" t="str">
        <f t="shared" si="148"/>
        <v/>
      </c>
    </row>
    <row r="1244" spans="14:19">
      <c r="N1244" s="61" t="str">
        <f t="shared" si="146"/>
        <v/>
      </c>
      <c r="O1244" s="53" t="str">
        <f t="shared" si="147"/>
        <v>click</v>
      </c>
      <c r="P1244" s="61" t="str">
        <f t="shared" si="149"/>
        <v>();</v>
      </c>
      <c r="S1244" s="61" t="str">
        <f t="shared" si="148"/>
        <v/>
      </c>
    </row>
    <row r="1245" spans="14:19">
      <c r="N1245" s="61" t="str">
        <f t="shared" si="146"/>
        <v/>
      </c>
      <c r="O1245" s="53" t="str">
        <f t="shared" si="147"/>
        <v>click</v>
      </c>
      <c r="P1245" s="61" t="str">
        <f t="shared" si="149"/>
        <v>();</v>
      </c>
      <c r="S1245" s="61" t="str">
        <f t="shared" si="148"/>
        <v/>
      </c>
    </row>
    <row r="1246" spans="14:19">
      <c r="N1246" s="61" t="str">
        <f t="shared" si="146"/>
        <v/>
      </c>
      <c r="O1246" s="53" t="str">
        <f t="shared" si="147"/>
        <v>click</v>
      </c>
      <c r="P1246" s="61" t="str">
        <f t="shared" si="149"/>
        <v>();</v>
      </c>
      <c r="S1246" s="61" t="str">
        <f t="shared" si="148"/>
        <v/>
      </c>
    </row>
    <row r="1247" spans="14:19">
      <c r="N1247" s="61" t="str">
        <f t="shared" si="146"/>
        <v/>
      </c>
      <c r="O1247" s="53" t="str">
        <f t="shared" si="147"/>
        <v>click</v>
      </c>
      <c r="P1247" s="61" t="str">
        <f t="shared" si="149"/>
        <v>();</v>
      </c>
      <c r="S1247" s="61" t="str">
        <f t="shared" si="148"/>
        <v/>
      </c>
    </row>
    <row r="1248" spans="14:19">
      <c r="N1248" s="61" t="str">
        <f t="shared" si="146"/>
        <v/>
      </c>
      <c r="O1248" s="53" t="str">
        <f t="shared" si="147"/>
        <v>click</v>
      </c>
      <c r="P1248" s="61" t="str">
        <f t="shared" si="149"/>
        <v>();</v>
      </c>
      <c r="S1248" s="61" t="str">
        <f t="shared" si="148"/>
        <v/>
      </c>
    </row>
    <row r="1249" spans="14:19">
      <c r="N1249" s="61" t="str">
        <f t="shared" si="146"/>
        <v/>
      </c>
      <c r="O1249" s="53" t="str">
        <f t="shared" si="147"/>
        <v>click</v>
      </c>
      <c r="P1249" s="61" t="str">
        <f t="shared" si="149"/>
        <v>();</v>
      </c>
      <c r="S1249" s="61" t="str">
        <f t="shared" si="148"/>
        <v/>
      </c>
    </row>
    <row r="1250" spans="14:19">
      <c r="N1250" s="61" t="str">
        <f t="shared" si="146"/>
        <v/>
      </c>
      <c r="O1250" s="53" t="str">
        <f t="shared" si="147"/>
        <v>click</v>
      </c>
      <c r="P1250" s="61" t="str">
        <f t="shared" si="149"/>
        <v>();</v>
      </c>
      <c r="S1250" s="61" t="str">
        <f t="shared" si="148"/>
        <v/>
      </c>
    </row>
    <row r="1251" spans="14:19">
      <c r="N1251" s="61" t="str">
        <f t="shared" si="146"/>
        <v/>
      </c>
      <c r="O1251" s="53" t="str">
        <f t="shared" si="147"/>
        <v>click</v>
      </c>
      <c r="P1251" s="61" t="str">
        <f t="shared" si="149"/>
        <v>();</v>
      </c>
      <c r="S1251" s="61" t="str">
        <f t="shared" si="148"/>
        <v/>
      </c>
    </row>
    <row r="1252" spans="14:19">
      <c r="N1252" s="61" t="str">
        <f t="shared" si="146"/>
        <v/>
      </c>
      <c r="O1252" s="53" t="str">
        <f t="shared" si="147"/>
        <v>click</v>
      </c>
      <c r="P1252" s="61" t="str">
        <f t="shared" si="149"/>
        <v>();</v>
      </c>
      <c r="S1252" s="61" t="str">
        <f t="shared" si="148"/>
        <v/>
      </c>
    </row>
    <row r="1253" spans="14:19">
      <c r="N1253" s="61" t="str">
        <f t="shared" si="146"/>
        <v/>
      </c>
      <c r="O1253" s="53" t="str">
        <f t="shared" si="147"/>
        <v>click</v>
      </c>
      <c r="P1253" s="61" t="str">
        <f t="shared" si="149"/>
        <v>();</v>
      </c>
      <c r="S1253" s="61" t="str">
        <f t="shared" si="148"/>
        <v/>
      </c>
    </row>
    <row r="1254" spans="14:19">
      <c r="N1254" s="61" t="str">
        <f t="shared" si="146"/>
        <v/>
      </c>
      <c r="O1254" s="53" t="str">
        <f t="shared" si="147"/>
        <v>click</v>
      </c>
      <c r="P1254" s="61" t="str">
        <f t="shared" si="149"/>
        <v>();</v>
      </c>
      <c r="S1254" s="61" t="str">
        <f t="shared" si="148"/>
        <v/>
      </c>
    </row>
    <row r="1255" spans="14:19">
      <c r="N1255" s="61" t="str">
        <f t="shared" si="146"/>
        <v/>
      </c>
      <c r="O1255" s="53" t="str">
        <f t="shared" si="147"/>
        <v>click</v>
      </c>
      <c r="P1255" s="61" t="str">
        <f t="shared" si="149"/>
        <v>();</v>
      </c>
      <c r="S1255" s="61" t="str">
        <f t="shared" si="148"/>
        <v/>
      </c>
    </row>
    <row r="1256" spans="14:19">
      <c r="N1256" s="61" t="str">
        <f t="shared" si="146"/>
        <v/>
      </c>
      <c r="O1256" s="53" t="str">
        <f t="shared" si="147"/>
        <v>click</v>
      </c>
      <c r="P1256" s="61" t="str">
        <f t="shared" si="149"/>
        <v>();</v>
      </c>
      <c r="S1256" s="61" t="str">
        <f t="shared" si="148"/>
        <v/>
      </c>
    </row>
    <row r="1257" spans="14:19">
      <c r="N1257" s="61" t="str">
        <f t="shared" si="146"/>
        <v/>
      </c>
      <c r="O1257" s="53" t="str">
        <f t="shared" si="147"/>
        <v>click</v>
      </c>
      <c r="P1257" s="61" t="str">
        <f t="shared" si="149"/>
        <v>();</v>
      </c>
      <c r="S1257" s="61" t="str">
        <f t="shared" si="148"/>
        <v/>
      </c>
    </row>
    <row r="1258" spans="14:19">
      <c r="N1258" s="61" t="str">
        <f t="shared" si="146"/>
        <v/>
      </c>
      <c r="O1258" s="53" t="str">
        <f t="shared" si="147"/>
        <v>click</v>
      </c>
      <c r="P1258" s="61" t="str">
        <f t="shared" si="149"/>
        <v>();</v>
      </c>
      <c r="S1258" s="61" t="str">
        <f t="shared" si="148"/>
        <v/>
      </c>
    </row>
    <row r="1259" spans="14:19">
      <c r="N1259" s="61" t="str">
        <f t="shared" si="146"/>
        <v/>
      </c>
      <c r="O1259" s="53" t="str">
        <f t="shared" si="147"/>
        <v>click</v>
      </c>
      <c r="P1259" s="61" t="str">
        <f t="shared" si="149"/>
        <v>();</v>
      </c>
      <c r="S1259" s="61" t="str">
        <f t="shared" si="148"/>
        <v/>
      </c>
    </row>
    <row r="1260" spans="14:19">
      <c r="N1260" s="61" t="str">
        <f t="shared" si="146"/>
        <v/>
      </c>
      <c r="O1260" s="53" t="str">
        <f t="shared" si="147"/>
        <v>click</v>
      </c>
      <c r="P1260" s="61" t="str">
        <f t="shared" si="149"/>
        <v>();</v>
      </c>
      <c r="S1260" s="61" t="str">
        <f t="shared" si="148"/>
        <v/>
      </c>
    </row>
    <row r="1261" spans="14:19">
      <c r="N1261" s="61" t="str">
        <f t="shared" si="146"/>
        <v/>
      </c>
      <c r="O1261" s="53" t="str">
        <f t="shared" si="147"/>
        <v>click</v>
      </c>
      <c r="P1261" s="61" t="str">
        <f t="shared" si="149"/>
        <v>();</v>
      </c>
      <c r="S1261" s="61" t="str">
        <f t="shared" si="148"/>
        <v/>
      </c>
    </row>
    <row r="1262" spans="14:19">
      <c r="N1262" s="61" t="str">
        <f t="shared" si="146"/>
        <v/>
      </c>
      <c r="O1262" s="53" t="str">
        <f t="shared" si="147"/>
        <v>click</v>
      </c>
      <c r="P1262" s="61" t="str">
        <f t="shared" si="149"/>
        <v>();</v>
      </c>
      <c r="S1262" s="61" t="str">
        <f t="shared" si="148"/>
        <v/>
      </c>
    </row>
    <row r="1263" spans="14:19">
      <c r="N1263" s="61" t="str">
        <f t="shared" si="146"/>
        <v/>
      </c>
      <c r="O1263" s="53" t="str">
        <f t="shared" si="147"/>
        <v>click</v>
      </c>
      <c r="P1263" s="61" t="str">
        <f t="shared" si="149"/>
        <v>();</v>
      </c>
      <c r="S1263" s="61" t="str">
        <f t="shared" si="148"/>
        <v/>
      </c>
    </row>
    <row r="1264" spans="14:19">
      <c r="N1264" s="61" t="str">
        <f t="shared" si="146"/>
        <v/>
      </c>
      <c r="O1264" s="53" t="str">
        <f t="shared" si="147"/>
        <v>click</v>
      </c>
      <c r="P1264" s="61" t="str">
        <f t="shared" si="149"/>
        <v>();</v>
      </c>
      <c r="S1264" s="61" t="str">
        <f t="shared" si="148"/>
        <v/>
      </c>
    </row>
    <row r="1265" spans="14:19">
      <c r="N1265" s="61" t="str">
        <f t="shared" si="146"/>
        <v/>
      </c>
      <c r="O1265" s="53" t="str">
        <f t="shared" si="147"/>
        <v>click</v>
      </c>
      <c r="P1265" s="61" t="str">
        <f t="shared" si="149"/>
        <v>();</v>
      </c>
      <c r="S1265" s="61" t="str">
        <f t="shared" si="148"/>
        <v/>
      </c>
    </row>
    <row r="1266" spans="14:19">
      <c r="N1266" s="61" t="str">
        <f t="shared" si="146"/>
        <v/>
      </c>
      <c r="O1266" s="53" t="str">
        <f t="shared" si="147"/>
        <v>click</v>
      </c>
      <c r="P1266" s="61" t="str">
        <f t="shared" si="149"/>
        <v>();</v>
      </c>
      <c r="S1266" s="61" t="str">
        <f t="shared" si="148"/>
        <v/>
      </c>
    </row>
    <row r="1267" spans="14:19">
      <c r="N1267" s="61" t="str">
        <f t="shared" si="146"/>
        <v/>
      </c>
      <c r="O1267" s="53" t="str">
        <f t="shared" si="147"/>
        <v>click</v>
      </c>
      <c r="P1267" s="61" t="str">
        <f t="shared" si="149"/>
        <v>();</v>
      </c>
      <c r="S1267" s="61" t="str">
        <f t="shared" si="148"/>
        <v/>
      </c>
    </row>
    <row r="1268" spans="14:19">
      <c r="N1268" s="61" t="str">
        <f t="shared" si="146"/>
        <v/>
      </c>
      <c r="O1268" s="53" t="str">
        <f t="shared" si="147"/>
        <v>click</v>
      </c>
      <c r="P1268" s="61" t="str">
        <f t="shared" si="149"/>
        <v>();</v>
      </c>
      <c r="S1268" s="61" t="str">
        <f t="shared" si="148"/>
        <v/>
      </c>
    </row>
    <row r="1269" spans="14:19">
      <c r="N1269" s="61" t="str">
        <f t="shared" si="146"/>
        <v/>
      </c>
      <c r="O1269" s="53" t="str">
        <f t="shared" si="147"/>
        <v>click</v>
      </c>
      <c r="P1269" s="61" t="str">
        <f t="shared" si="149"/>
        <v>();</v>
      </c>
      <c r="S1269" s="61" t="str">
        <f t="shared" si="148"/>
        <v/>
      </c>
    </row>
    <row r="1270" spans="14:19">
      <c r="N1270" s="61" t="str">
        <f t="shared" si="146"/>
        <v/>
      </c>
      <c r="O1270" s="53" t="str">
        <f t="shared" si="147"/>
        <v>click</v>
      </c>
      <c r="P1270" s="61" t="str">
        <f t="shared" si="149"/>
        <v>();</v>
      </c>
      <c r="S1270" s="61" t="str">
        <f t="shared" si="148"/>
        <v/>
      </c>
    </row>
    <row r="1271" spans="14:19">
      <c r="N1271" s="61" t="str">
        <f t="shared" si="146"/>
        <v/>
      </c>
      <c r="O1271" s="53" t="str">
        <f t="shared" si="147"/>
        <v>click</v>
      </c>
      <c r="P1271" s="61" t="str">
        <f t="shared" si="149"/>
        <v>();</v>
      </c>
      <c r="S1271" s="61" t="str">
        <f t="shared" si="148"/>
        <v/>
      </c>
    </row>
    <row r="1272" spans="14:19">
      <c r="N1272" s="61" t="str">
        <f t="shared" si="146"/>
        <v/>
      </c>
      <c r="O1272" s="53" t="str">
        <f t="shared" si="147"/>
        <v>click</v>
      </c>
      <c r="P1272" s="61" t="str">
        <f t="shared" si="149"/>
        <v>();</v>
      </c>
      <c r="S1272" s="61" t="str">
        <f t="shared" si="148"/>
        <v/>
      </c>
    </row>
    <row r="1273" spans="14:19">
      <c r="N1273" s="61" t="str">
        <f t="shared" si="146"/>
        <v/>
      </c>
      <c r="O1273" s="53" t="str">
        <f t="shared" si="147"/>
        <v>click</v>
      </c>
      <c r="P1273" s="61" t="str">
        <f t="shared" si="149"/>
        <v>();</v>
      </c>
      <c r="S1273" s="61" t="str">
        <f t="shared" si="148"/>
        <v/>
      </c>
    </row>
    <row r="1274" spans="14:19">
      <c r="N1274" s="61" t="str">
        <f t="shared" si="146"/>
        <v/>
      </c>
      <c r="O1274" s="53" t="str">
        <f t="shared" si="147"/>
        <v>click</v>
      </c>
      <c r="P1274" s="61" t="str">
        <f t="shared" si="149"/>
        <v>();</v>
      </c>
      <c r="S1274" s="61" t="str">
        <f t="shared" si="148"/>
        <v/>
      </c>
    </row>
    <row r="1275" spans="14:19">
      <c r="N1275" s="61" t="str">
        <f t="shared" si="146"/>
        <v/>
      </c>
      <c r="O1275" s="53" t="str">
        <f t="shared" si="147"/>
        <v>click</v>
      </c>
      <c r="P1275" s="61" t="str">
        <f t="shared" si="149"/>
        <v>();</v>
      </c>
      <c r="S1275" s="61" t="str">
        <f t="shared" si="148"/>
        <v/>
      </c>
    </row>
    <row r="1276" spans="14:19">
      <c r="N1276" s="61" t="str">
        <f t="shared" si="146"/>
        <v/>
      </c>
      <c r="O1276" s="53" t="str">
        <f t="shared" si="147"/>
        <v>click</v>
      </c>
      <c r="P1276" s="61" t="str">
        <f t="shared" si="149"/>
        <v>();</v>
      </c>
      <c r="S1276" s="61" t="str">
        <f t="shared" si="148"/>
        <v/>
      </c>
    </row>
    <row r="1277" spans="14:19">
      <c r="N1277" s="61" t="str">
        <f t="shared" si="146"/>
        <v/>
      </c>
      <c r="O1277" s="53" t="str">
        <f t="shared" si="147"/>
        <v>click</v>
      </c>
      <c r="P1277" s="61" t="str">
        <f t="shared" si="149"/>
        <v>();</v>
      </c>
      <c r="S1277" s="61" t="str">
        <f t="shared" si="148"/>
        <v/>
      </c>
    </row>
    <row r="1278" spans="14:19">
      <c r="N1278" s="61" t="str">
        <f t="shared" si="146"/>
        <v/>
      </c>
      <c r="O1278" s="53" t="str">
        <f t="shared" si="147"/>
        <v>click</v>
      </c>
      <c r="P1278" s="61" t="str">
        <f t="shared" si="149"/>
        <v>();</v>
      </c>
      <c r="S1278" s="61" t="str">
        <f t="shared" si="148"/>
        <v/>
      </c>
    </row>
    <row r="1279" spans="14:19">
      <c r="N1279" s="61" t="str">
        <f t="shared" si="146"/>
        <v/>
      </c>
      <c r="O1279" s="53" t="str">
        <f t="shared" si="147"/>
        <v>click</v>
      </c>
      <c r="P1279" s="61" t="str">
        <f t="shared" si="149"/>
        <v>();</v>
      </c>
      <c r="S1279" s="61" t="str">
        <f t="shared" si="148"/>
        <v/>
      </c>
    </row>
    <row r="1280" spans="14:19">
      <c r="N1280" s="61" t="str">
        <f t="shared" si="146"/>
        <v/>
      </c>
      <c r="O1280" s="53" t="str">
        <f t="shared" si="147"/>
        <v>click</v>
      </c>
      <c r="P1280" s="61" t="str">
        <f t="shared" si="149"/>
        <v>();</v>
      </c>
      <c r="S1280" s="61" t="str">
        <f t="shared" si="148"/>
        <v/>
      </c>
    </row>
    <row r="1281" spans="14:19">
      <c r="N1281" s="61" t="str">
        <f t="shared" si="146"/>
        <v/>
      </c>
      <c r="O1281" s="53" t="str">
        <f t="shared" si="147"/>
        <v>click</v>
      </c>
      <c r="P1281" s="61" t="str">
        <f t="shared" si="149"/>
        <v>();</v>
      </c>
      <c r="S1281" s="61" t="str">
        <f t="shared" si="148"/>
        <v/>
      </c>
    </row>
    <row r="1282" spans="14:19">
      <c r="N1282" s="61" t="str">
        <f t="shared" si="146"/>
        <v/>
      </c>
      <c r="O1282" s="53" t="str">
        <f t="shared" si="147"/>
        <v>click</v>
      </c>
      <c r="P1282" s="61" t="str">
        <f t="shared" si="149"/>
        <v>();</v>
      </c>
      <c r="S1282" s="61" t="str">
        <f t="shared" si="148"/>
        <v/>
      </c>
    </row>
    <row r="1283" spans="14:19">
      <c r="N1283" s="61" t="str">
        <f t="shared" si="146"/>
        <v/>
      </c>
      <c r="O1283" s="53" t="str">
        <f t="shared" si="147"/>
        <v>click</v>
      </c>
      <c r="P1283" s="61" t="str">
        <f t="shared" si="149"/>
        <v>();</v>
      </c>
      <c r="S1283" s="61" t="str">
        <f t="shared" si="148"/>
        <v/>
      </c>
    </row>
    <row r="1284" spans="14:19">
      <c r="N1284" s="61" t="str">
        <f t="shared" si="146"/>
        <v/>
      </c>
      <c r="O1284" s="53" t="str">
        <f t="shared" si="147"/>
        <v>click</v>
      </c>
      <c r="P1284" s="61" t="str">
        <f t="shared" si="149"/>
        <v>();</v>
      </c>
      <c r="S1284" s="61" t="str">
        <f t="shared" si="148"/>
        <v/>
      </c>
    </row>
    <row r="1285" spans="14:19">
      <c r="N1285" s="61" t="str">
        <f t="shared" ref="N1285:N1348" si="150">IF(A1285="Y",""""&amp;C1285&amp;""""&amp;": "&amp;M1285&amp;",","")</f>
        <v/>
      </c>
      <c r="O1285" s="53" t="str">
        <f t="shared" ref="O1285:O1348" si="151">IF(D1285="input","fill",IF(I1285&lt;&gt;"","innerText",IF(J1285="Y",$T$110,"click")))</f>
        <v>click</v>
      </c>
      <c r="P1285" s="61" t="str">
        <f t="shared" si="149"/>
        <v>();</v>
      </c>
      <c r="S1285" s="61" t="str">
        <f t="shared" ref="S1285:S1348" si="152">IF(O1285="innerText",I1285&amp;"="&amp;IF(C1285="Y",IF(J1285&lt;&gt;"Y",$S$9&amp;$R$10&amp;"."&amp;E1285&amp;")."&amp;IF(OR(O1285="click",O1285="innerText"),O1285&amp;"();",O1285&amp;"("&amp;$Q$9&amp;"."&amp;E1285&amp;");"),$S$110&amp;$R$10&amp;"."&amp;E1285&amp;")."&amp;IF(O1285="click",O1285&amp;"();",O1285&amp;"("&amp;"'"&amp;K1285&amp;"'"&amp;");")),""),IF(C1285="Y",IF(J1285&lt;&gt;"Y",$S$9&amp;$R$10&amp;"."&amp;E1285&amp;")."&amp;IF(OR(O1285="click",O1285="innerText"),O1285&amp;"();",O1285&amp;"("&amp;$Q$9&amp;"."&amp;E1285&amp;");"),$S$110&amp;$R$10&amp;"."&amp;E1285&amp;")."&amp;IF(O1285="click",O1285&amp;"();",O1285&amp;"("&amp;"'"&amp;K1285&amp;"'"&amp;");")),""))</f>
        <v/>
      </c>
    </row>
    <row r="1286" spans="14:19">
      <c r="N1286" s="61" t="str">
        <f t="shared" si="150"/>
        <v/>
      </c>
      <c r="O1286" s="53" t="str">
        <f t="shared" si="151"/>
        <v>click</v>
      </c>
      <c r="P1286" s="61" t="str">
        <f t="shared" si="149"/>
        <v>();</v>
      </c>
      <c r="S1286" s="61" t="str">
        <f t="shared" si="152"/>
        <v/>
      </c>
    </row>
    <row r="1287" spans="14:19">
      <c r="N1287" s="61" t="str">
        <f t="shared" si="150"/>
        <v/>
      </c>
      <c r="O1287" s="53" t="str">
        <f t="shared" si="151"/>
        <v>click</v>
      </c>
      <c r="P1287" s="61" t="str">
        <f t="shared" si="149"/>
        <v>();</v>
      </c>
      <c r="S1287" s="61" t="str">
        <f t="shared" si="152"/>
        <v/>
      </c>
    </row>
    <row r="1288" spans="14:19">
      <c r="N1288" s="61" t="str">
        <f t="shared" si="150"/>
        <v/>
      </c>
      <c r="O1288" s="53" t="str">
        <f t="shared" si="151"/>
        <v>click</v>
      </c>
      <c r="P1288" s="61" t="str">
        <f t="shared" si="149"/>
        <v>();</v>
      </c>
      <c r="S1288" s="61" t="str">
        <f t="shared" si="152"/>
        <v/>
      </c>
    </row>
    <row r="1289" spans="14:19">
      <c r="N1289" s="61" t="str">
        <f t="shared" si="150"/>
        <v/>
      </c>
      <c r="O1289" s="53" t="str">
        <f t="shared" si="151"/>
        <v>click</v>
      </c>
      <c r="P1289" s="61" t="str">
        <f t="shared" si="149"/>
        <v>();</v>
      </c>
      <c r="S1289" s="61" t="str">
        <f t="shared" si="152"/>
        <v/>
      </c>
    </row>
    <row r="1290" spans="14:19">
      <c r="N1290" s="61" t="str">
        <f t="shared" si="150"/>
        <v/>
      </c>
      <c r="O1290" s="53" t="str">
        <f t="shared" si="151"/>
        <v>click</v>
      </c>
      <c r="P1290" s="61" t="str">
        <f t="shared" si="149"/>
        <v>();</v>
      </c>
      <c r="S1290" s="61" t="str">
        <f t="shared" si="152"/>
        <v/>
      </c>
    </row>
    <row r="1291" spans="14:19">
      <c r="N1291" s="61" t="str">
        <f t="shared" si="150"/>
        <v/>
      </c>
      <c r="O1291" s="53" t="str">
        <f t="shared" si="151"/>
        <v>click</v>
      </c>
      <c r="P1291" s="61" t="str">
        <f t="shared" si="149"/>
        <v>();</v>
      </c>
      <c r="S1291" s="61" t="str">
        <f t="shared" si="152"/>
        <v/>
      </c>
    </row>
    <row r="1292" spans="14:19">
      <c r="N1292" s="61" t="str">
        <f t="shared" si="150"/>
        <v/>
      </c>
      <c r="O1292" s="53" t="str">
        <f t="shared" si="151"/>
        <v>click</v>
      </c>
      <c r="P1292" s="61" t="str">
        <f t="shared" ref="P1292:P1355" si="153">IF(OR(O1292="Click",O1292="innerText"),"();","("&amp;""""&amp;K1292&amp;""""&amp;");")</f>
        <v>();</v>
      </c>
      <c r="S1292" s="61" t="str">
        <f t="shared" si="152"/>
        <v/>
      </c>
    </row>
    <row r="1293" spans="14:19">
      <c r="N1293" s="61" t="str">
        <f t="shared" si="150"/>
        <v/>
      </c>
      <c r="O1293" s="53" t="str">
        <f t="shared" si="151"/>
        <v>click</v>
      </c>
      <c r="P1293" s="61" t="str">
        <f t="shared" si="153"/>
        <v>();</v>
      </c>
      <c r="S1293" s="61" t="str">
        <f t="shared" si="152"/>
        <v/>
      </c>
    </row>
    <row r="1294" spans="14:19">
      <c r="N1294" s="61" t="str">
        <f t="shared" si="150"/>
        <v/>
      </c>
      <c r="O1294" s="53" t="str">
        <f t="shared" si="151"/>
        <v>click</v>
      </c>
      <c r="P1294" s="61" t="str">
        <f t="shared" si="153"/>
        <v>();</v>
      </c>
      <c r="S1294" s="61" t="str">
        <f t="shared" si="152"/>
        <v/>
      </c>
    </row>
    <row r="1295" spans="14:19">
      <c r="N1295" s="61" t="str">
        <f t="shared" si="150"/>
        <v/>
      </c>
      <c r="O1295" s="53" t="str">
        <f t="shared" si="151"/>
        <v>click</v>
      </c>
      <c r="P1295" s="61" t="str">
        <f t="shared" si="153"/>
        <v>();</v>
      </c>
      <c r="S1295" s="61" t="str">
        <f t="shared" si="152"/>
        <v/>
      </c>
    </row>
    <row r="1296" spans="14:19">
      <c r="N1296" s="61" t="str">
        <f t="shared" si="150"/>
        <v/>
      </c>
      <c r="O1296" s="53" t="str">
        <f t="shared" si="151"/>
        <v>click</v>
      </c>
      <c r="P1296" s="61" t="str">
        <f t="shared" si="153"/>
        <v>();</v>
      </c>
      <c r="S1296" s="61" t="str">
        <f t="shared" si="152"/>
        <v/>
      </c>
    </row>
    <row r="1297" spans="14:19">
      <c r="N1297" s="61" t="str">
        <f t="shared" si="150"/>
        <v/>
      </c>
      <c r="O1297" s="53" t="str">
        <f t="shared" si="151"/>
        <v>click</v>
      </c>
      <c r="P1297" s="61" t="str">
        <f t="shared" si="153"/>
        <v>();</v>
      </c>
      <c r="S1297" s="61" t="str">
        <f t="shared" si="152"/>
        <v/>
      </c>
    </row>
    <row r="1298" spans="14:19">
      <c r="N1298" s="61" t="str">
        <f t="shared" si="150"/>
        <v/>
      </c>
      <c r="O1298" s="53" t="str">
        <f t="shared" si="151"/>
        <v>click</v>
      </c>
      <c r="P1298" s="61" t="str">
        <f t="shared" si="153"/>
        <v>();</v>
      </c>
      <c r="S1298" s="61" t="str">
        <f t="shared" si="152"/>
        <v/>
      </c>
    </row>
    <row r="1299" spans="14:19">
      <c r="N1299" s="61" t="str">
        <f t="shared" si="150"/>
        <v/>
      </c>
      <c r="O1299" s="53" t="str">
        <f t="shared" si="151"/>
        <v>click</v>
      </c>
      <c r="P1299" s="61" t="str">
        <f t="shared" si="153"/>
        <v>();</v>
      </c>
      <c r="S1299" s="61" t="str">
        <f t="shared" si="152"/>
        <v/>
      </c>
    </row>
    <row r="1300" spans="14:19">
      <c r="N1300" s="61" t="str">
        <f t="shared" si="150"/>
        <v/>
      </c>
      <c r="O1300" s="53" t="str">
        <f t="shared" si="151"/>
        <v>click</v>
      </c>
      <c r="P1300" s="61" t="str">
        <f t="shared" si="153"/>
        <v>();</v>
      </c>
      <c r="S1300" s="61" t="str">
        <f t="shared" si="152"/>
        <v/>
      </c>
    </row>
    <row r="1301" spans="14:19">
      <c r="N1301" s="61" t="str">
        <f t="shared" si="150"/>
        <v/>
      </c>
      <c r="O1301" s="53" t="str">
        <f t="shared" si="151"/>
        <v>click</v>
      </c>
      <c r="P1301" s="61" t="str">
        <f t="shared" si="153"/>
        <v>();</v>
      </c>
      <c r="S1301" s="61" t="str">
        <f t="shared" si="152"/>
        <v/>
      </c>
    </row>
    <row r="1302" spans="14:19">
      <c r="N1302" s="61" t="str">
        <f t="shared" si="150"/>
        <v/>
      </c>
      <c r="O1302" s="53" t="str">
        <f t="shared" si="151"/>
        <v>click</v>
      </c>
      <c r="P1302" s="61" t="str">
        <f t="shared" si="153"/>
        <v>();</v>
      </c>
      <c r="S1302" s="61" t="str">
        <f t="shared" si="152"/>
        <v/>
      </c>
    </row>
    <row r="1303" spans="14:19">
      <c r="N1303" s="61" t="str">
        <f t="shared" si="150"/>
        <v/>
      </c>
      <c r="O1303" s="53" t="str">
        <f t="shared" si="151"/>
        <v>click</v>
      </c>
      <c r="P1303" s="61" t="str">
        <f t="shared" si="153"/>
        <v>();</v>
      </c>
      <c r="S1303" s="61" t="str">
        <f t="shared" si="152"/>
        <v/>
      </c>
    </row>
    <row r="1304" spans="14:19">
      <c r="N1304" s="61" t="str">
        <f t="shared" si="150"/>
        <v/>
      </c>
      <c r="O1304" s="53" t="str">
        <f t="shared" si="151"/>
        <v>click</v>
      </c>
      <c r="P1304" s="61" t="str">
        <f t="shared" si="153"/>
        <v>();</v>
      </c>
      <c r="S1304" s="61" t="str">
        <f t="shared" si="152"/>
        <v/>
      </c>
    </row>
    <row r="1305" spans="14:19">
      <c r="N1305" s="61" t="str">
        <f t="shared" si="150"/>
        <v/>
      </c>
      <c r="O1305" s="53" t="str">
        <f t="shared" si="151"/>
        <v>click</v>
      </c>
      <c r="P1305" s="61" t="str">
        <f t="shared" si="153"/>
        <v>();</v>
      </c>
      <c r="S1305" s="61" t="str">
        <f t="shared" si="152"/>
        <v/>
      </c>
    </row>
    <row r="1306" spans="14:19">
      <c r="N1306" s="61" t="str">
        <f t="shared" si="150"/>
        <v/>
      </c>
      <c r="O1306" s="53" t="str">
        <f t="shared" si="151"/>
        <v>click</v>
      </c>
      <c r="P1306" s="61" t="str">
        <f t="shared" si="153"/>
        <v>();</v>
      </c>
      <c r="S1306" s="61" t="str">
        <f t="shared" si="152"/>
        <v/>
      </c>
    </row>
    <row r="1307" spans="14:19">
      <c r="N1307" s="61" t="str">
        <f t="shared" si="150"/>
        <v/>
      </c>
      <c r="O1307" s="53" t="str">
        <f t="shared" si="151"/>
        <v>click</v>
      </c>
      <c r="P1307" s="61" t="str">
        <f t="shared" si="153"/>
        <v>();</v>
      </c>
      <c r="S1307" s="61" t="str">
        <f t="shared" si="152"/>
        <v/>
      </c>
    </row>
    <row r="1308" spans="14:19">
      <c r="N1308" s="61" t="str">
        <f t="shared" si="150"/>
        <v/>
      </c>
      <c r="O1308" s="53" t="str">
        <f t="shared" si="151"/>
        <v>click</v>
      </c>
      <c r="P1308" s="61" t="str">
        <f t="shared" si="153"/>
        <v>();</v>
      </c>
      <c r="S1308" s="61" t="str">
        <f t="shared" si="152"/>
        <v/>
      </c>
    </row>
    <row r="1309" spans="14:19">
      <c r="N1309" s="61" t="str">
        <f t="shared" si="150"/>
        <v/>
      </c>
      <c r="O1309" s="53" t="str">
        <f t="shared" si="151"/>
        <v>click</v>
      </c>
      <c r="P1309" s="61" t="str">
        <f t="shared" si="153"/>
        <v>();</v>
      </c>
      <c r="S1309" s="61" t="str">
        <f t="shared" si="152"/>
        <v/>
      </c>
    </row>
    <row r="1310" spans="14:19">
      <c r="N1310" s="61" t="str">
        <f t="shared" si="150"/>
        <v/>
      </c>
      <c r="O1310" s="53" t="str">
        <f t="shared" si="151"/>
        <v>click</v>
      </c>
      <c r="P1310" s="61" t="str">
        <f t="shared" si="153"/>
        <v>();</v>
      </c>
      <c r="S1310" s="61" t="str">
        <f t="shared" si="152"/>
        <v/>
      </c>
    </row>
    <row r="1311" spans="14:19">
      <c r="N1311" s="61" t="str">
        <f t="shared" si="150"/>
        <v/>
      </c>
      <c r="O1311" s="53" t="str">
        <f t="shared" si="151"/>
        <v>click</v>
      </c>
      <c r="P1311" s="61" t="str">
        <f t="shared" si="153"/>
        <v>();</v>
      </c>
      <c r="S1311" s="61" t="str">
        <f t="shared" si="152"/>
        <v/>
      </c>
    </row>
    <row r="1312" spans="14:19">
      <c r="N1312" s="61" t="str">
        <f t="shared" si="150"/>
        <v/>
      </c>
      <c r="O1312" s="53" t="str">
        <f t="shared" si="151"/>
        <v>click</v>
      </c>
      <c r="P1312" s="61" t="str">
        <f t="shared" si="153"/>
        <v>();</v>
      </c>
      <c r="S1312" s="61" t="str">
        <f t="shared" si="152"/>
        <v/>
      </c>
    </row>
    <row r="1313" spans="14:19">
      <c r="N1313" s="61" t="str">
        <f t="shared" si="150"/>
        <v/>
      </c>
      <c r="O1313" s="53" t="str">
        <f t="shared" si="151"/>
        <v>click</v>
      </c>
      <c r="P1313" s="61" t="str">
        <f t="shared" si="153"/>
        <v>();</v>
      </c>
      <c r="S1313" s="61" t="str">
        <f t="shared" si="152"/>
        <v/>
      </c>
    </row>
    <row r="1314" spans="14:19">
      <c r="N1314" s="61" t="str">
        <f t="shared" si="150"/>
        <v/>
      </c>
      <c r="O1314" s="53" t="str">
        <f t="shared" si="151"/>
        <v>click</v>
      </c>
      <c r="P1314" s="61" t="str">
        <f t="shared" si="153"/>
        <v>();</v>
      </c>
      <c r="S1314" s="61" t="str">
        <f t="shared" si="152"/>
        <v/>
      </c>
    </row>
    <row r="1315" spans="14:19">
      <c r="N1315" s="61" t="str">
        <f t="shared" si="150"/>
        <v/>
      </c>
      <c r="O1315" s="53" t="str">
        <f t="shared" si="151"/>
        <v>click</v>
      </c>
      <c r="P1315" s="61" t="str">
        <f t="shared" si="153"/>
        <v>();</v>
      </c>
      <c r="S1315" s="61" t="str">
        <f t="shared" si="152"/>
        <v/>
      </c>
    </row>
    <row r="1316" spans="14:19">
      <c r="N1316" s="61" t="str">
        <f t="shared" si="150"/>
        <v/>
      </c>
      <c r="O1316" s="53" t="str">
        <f t="shared" si="151"/>
        <v>click</v>
      </c>
      <c r="P1316" s="61" t="str">
        <f t="shared" si="153"/>
        <v>();</v>
      </c>
      <c r="S1316" s="61" t="str">
        <f t="shared" si="152"/>
        <v/>
      </c>
    </row>
    <row r="1317" spans="14:19">
      <c r="N1317" s="61" t="str">
        <f t="shared" si="150"/>
        <v/>
      </c>
      <c r="O1317" s="53" t="str">
        <f t="shared" si="151"/>
        <v>click</v>
      </c>
      <c r="P1317" s="61" t="str">
        <f t="shared" si="153"/>
        <v>();</v>
      </c>
      <c r="S1317" s="61" t="str">
        <f t="shared" si="152"/>
        <v/>
      </c>
    </row>
    <row r="1318" spans="14:19">
      <c r="N1318" s="61" t="str">
        <f t="shared" si="150"/>
        <v/>
      </c>
      <c r="O1318" s="53" t="str">
        <f t="shared" si="151"/>
        <v>click</v>
      </c>
      <c r="P1318" s="61" t="str">
        <f t="shared" si="153"/>
        <v>();</v>
      </c>
      <c r="S1318" s="61" t="str">
        <f t="shared" si="152"/>
        <v/>
      </c>
    </row>
    <row r="1319" spans="14:19">
      <c r="N1319" s="61" t="str">
        <f t="shared" si="150"/>
        <v/>
      </c>
      <c r="O1319" s="53" t="str">
        <f t="shared" si="151"/>
        <v>click</v>
      </c>
      <c r="P1319" s="61" t="str">
        <f t="shared" si="153"/>
        <v>();</v>
      </c>
      <c r="S1319" s="61" t="str">
        <f t="shared" si="152"/>
        <v/>
      </c>
    </row>
    <row r="1320" spans="14:19">
      <c r="N1320" s="61" t="str">
        <f t="shared" si="150"/>
        <v/>
      </c>
      <c r="O1320" s="53" t="str">
        <f t="shared" si="151"/>
        <v>click</v>
      </c>
      <c r="P1320" s="61" t="str">
        <f t="shared" si="153"/>
        <v>();</v>
      </c>
      <c r="S1320" s="61" t="str">
        <f t="shared" si="152"/>
        <v/>
      </c>
    </row>
    <row r="1321" spans="14:19">
      <c r="N1321" s="61" t="str">
        <f t="shared" si="150"/>
        <v/>
      </c>
      <c r="O1321" s="53" t="str">
        <f t="shared" si="151"/>
        <v>click</v>
      </c>
      <c r="P1321" s="61" t="str">
        <f t="shared" si="153"/>
        <v>();</v>
      </c>
      <c r="S1321" s="61" t="str">
        <f t="shared" si="152"/>
        <v/>
      </c>
    </row>
    <row r="1322" spans="14:19">
      <c r="N1322" s="61" t="str">
        <f t="shared" si="150"/>
        <v/>
      </c>
      <c r="O1322" s="53" t="str">
        <f t="shared" si="151"/>
        <v>click</v>
      </c>
      <c r="P1322" s="61" t="str">
        <f t="shared" si="153"/>
        <v>();</v>
      </c>
      <c r="S1322" s="61" t="str">
        <f t="shared" si="152"/>
        <v/>
      </c>
    </row>
    <row r="1323" spans="14:19">
      <c r="N1323" s="61" t="str">
        <f t="shared" si="150"/>
        <v/>
      </c>
      <c r="O1323" s="53" t="str">
        <f t="shared" si="151"/>
        <v>click</v>
      </c>
      <c r="P1323" s="61" t="str">
        <f t="shared" si="153"/>
        <v>();</v>
      </c>
      <c r="S1323" s="61" t="str">
        <f t="shared" si="152"/>
        <v/>
      </c>
    </row>
    <row r="1324" spans="14:19">
      <c r="N1324" s="61" t="str">
        <f t="shared" si="150"/>
        <v/>
      </c>
      <c r="O1324" s="53" t="str">
        <f t="shared" si="151"/>
        <v>click</v>
      </c>
      <c r="P1324" s="61" t="str">
        <f t="shared" si="153"/>
        <v>();</v>
      </c>
      <c r="S1324" s="61" t="str">
        <f t="shared" si="152"/>
        <v/>
      </c>
    </row>
    <row r="1325" spans="14:19">
      <c r="N1325" s="61" t="str">
        <f t="shared" si="150"/>
        <v/>
      </c>
      <c r="O1325" s="53" t="str">
        <f t="shared" si="151"/>
        <v>click</v>
      </c>
      <c r="P1325" s="61" t="str">
        <f t="shared" si="153"/>
        <v>();</v>
      </c>
      <c r="S1325" s="61" t="str">
        <f t="shared" si="152"/>
        <v/>
      </c>
    </row>
    <row r="1326" spans="14:19">
      <c r="N1326" s="61" t="str">
        <f t="shared" si="150"/>
        <v/>
      </c>
      <c r="O1326" s="53" t="str">
        <f t="shared" si="151"/>
        <v>click</v>
      </c>
      <c r="P1326" s="61" t="str">
        <f t="shared" si="153"/>
        <v>();</v>
      </c>
      <c r="S1326" s="61" t="str">
        <f t="shared" si="152"/>
        <v/>
      </c>
    </row>
    <row r="1327" spans="14:19">
      <c r="N1327" s="61" t="str">
        <f t="shared" si="150"/>
        <v/>
      </c>
      <c r="O1327" s="53" t="str">
        <f t="shared" si="151"/>
        <v>click</v>
      </c>
      <c r="P1327" s="61" t="str">
        <f t="shared" si="153"/>
        <v>();</v>
      </c>
      <c r="S1327" s="61" t="str">
        <f t="shared" si="152"/>
        <v/>
      </c>
    </row>
    <row r="1328" spans="14:19">
      <c r="N1328" s="61" t="str">
        <f t="shared" si="150"/>
        <v/>
      </c>
      <c r="O1328" s="53" t="str">
        <f t="shared" si="151"/>
        <v>click</v>
      </c>
      <c r="P1328" s="61" t="str">
        <f t="shared" si="153"/>
        <v>();</v>
      </c>
      <c r="S1328" s="61" t="str">
        <f t="shared" si="152"/>
        <v/>
      </c>
    </row>
    <row r="1329" spans="14:19">
      <c r="N1329" s="61" t="str">
        <f t="shared" si="150"/>
        <v/>
      </c>
      <c r="O1329" s="53" t="str">
        <f t="shared" si="151"/>
        <v>click</v>
      </c>
      <c r="P1329" s="61" t="str">
        <f t="shared" si="153"/>
        <v>();</v>
      </c>
      <c r="S1329" s="61" t="str">
        <f t="shared" si="152"/>
        <v/>
      </c>
    </row>
    <row r="1330" spans="14:19">
      <c r="N1330" s="61" t="str">
        <f t="shared" si="150"/>
        <v/>
      </c>
      <c r="O1330" s="53" t="str">
        <f t="shared" si="151"/>
        <v>click</v>
      </c>
      <c r="P1330" s="61" t="str">
        <f t="shared" si="153"/>
        <v>();</v>
      </c>
      <c r="S1330" s="61" t="str">
        <f t="shared" si="152"/>
        <v/>
      </c>
    </row>
    <row r="1331" spans="14:19">
      <c r="N1331" s="61" t="str">
        <f t="shared" si="150"/>
        <v/>
      </c>
      <c r="O1331" s="53" t="str">
        <f t="shared" si="151"/>
        <v>click</v>
      </c>
      <c r="P1331" s="61" t="str">
        <f t="shared" si="153"/>
        <v>();</v>
      </c>
      <c r="S1331" s="61" t="str">
        <f t="shared" si="152"/>
        <v/>
      </c>
    </row>
    <row r="1332" spans="14:19">
      <c r="N1332" s="61" t="str">
        <f t="shared" si="150"/>
        <v/>
      </c>
      <c r="O1332" s="53" t="str">
        <f t="shared" si="151"/>
        <v>click</v>
      </c>
      <c r="P1332" s="61" t="str">
        <f t="shared" si="153"/>
        <v>();</v>
      </c>
      <c r="S1332" s="61" t="str">
        <f t="shared" si="152"/>
        <v/>
      </c>
    </row>
    <row r="1333" spans="14:19">
      <c r="N1333" s="61" t="str">
        <f t="shared" si="150"/>
        <v/>
      </c>
      <c r="O1333" s="53" t="str">
        <f t="shared" si="151"/>
        <v>click</v>
      </c>
      <c r="P1333" s="61" t="str">
        <f t="shared" si="153"/>
        <v>();</v>
      </c>
      <c r="S1333" s="61" t="str">
        <f t="shared" si="152"/>
        <v/>
      </c>
    </row>
    <row r="1334" spans="14:19">
      <c r="N1334" s="61" t="str">
        <f t="shared" si="150"/>
        <v/>
      </c>
      <c r="O1334" s="53" t="str">
        <f t="shared" si="151"/>
        <v>click</v>
      </c>
      <c r="P1334" s="61" t="str">
        <f t="shared" si="153"/>
        <v>();</v>
      </c>
      <c r="S1334" s="61" t="str">
        <f t="shared" si="152"/>
        <v/>
      </c>
    </row>
    <row r="1335" spans="14:19">
      <c r="N1335" s="61" t="str">
        <f t="shared" si="150"/>
        <v/>
      </c>
      <c r="O1335" s="53" t="str">
        <f t="shared" si="151"/>
        <v>click</v>
      </c>
      <c r="P1335" s="61" t="str">
        <f t="shared" si="153"/>
        <v>();</v>
      </c>
      <c r="S1335" s="61" t="str">
        <f t="shared" si="152"/>
        <v/>
      </c>
    </row>
    <row r="1336" spans="14:19">
      <c r="N1336" s="61" t="str">
        <f t="shared" si="150"/>
        <v/>
      </c>
      <c r="O1336" s="53" t="str">
        <f t="shared" si="151"/>
        <v>click</v>
      </c>
      <c r="P1336" s="61" t="str">
        <f t="shared" si="153"/>
        <v>();</v>
      </c>
      <c r="S1336" s="61" t="str">
        <f t="shared" si="152"/>
        <v/>
      </c>
    </row>
    <row r="1337" spans="14:19">
      <c r="N1337" s="61" t="str">
        <f t="shared" si="150"/>
        <v/>
      </c>
      <c r="O1337" s="53" t="str">
        <f t="shared" si="151"/>
        <v>click</v>
      </c>
      <c r="P1337" s="61" t="str">
        <f t="shared" si="153"/>
        <v>();</v>
      </c>
      <c r="S1337" s="61" t="str">
        <f t="shared" si="152"/>
        <v/>
      </c>
    </row>
    <row r="1338" spans="14:19">
      <c r="N1338" s="61" t="str">
        <f t="shared" si="150"/>
        <v/>
      </c>
      <c r="O1338" s="53" t="str">
        <f t="shared" si="151"/>
        <v>click</v>
      </c>
      <c r="P1338" s="61" t="str">
        <f t="shared" si="153"/>
        <v>();</v>
      </c>
      <c r="S1338" s="61" t="str">
        <f t="shared" si="152"/>
        <v/>
      </c>
    </row>
    <row r="1339" spans="14:19">
      <c r="N1339" s="61" t="str">
        <f t="shared" si="150"/>
        <v/>
      </c>
      <c r="O1339" s="53" t="str">
        <f t="shared" si="151"/>
        <v>click</v>
      </c>
      <c r="P1339" s="61" t="str">
        <f t="shared" si="153"/>
        <v>();</v>
      </c>
      <c r="S1339" s="61" t="str">
        <f t="shared" si="152"/>
        <v/>
      </c>
    </row>
    <row r="1340" spans="14:19">
      <c r="N1340" s="61" t="str">
        <f t="shared" si="150"/>
        <v/>
      </c>
      <c r="O1340" s="53" t="str">
        <f t="shared" si="151"/>
        <v>click</v>
      </c>
      <c r="P1340" s="61" t="str">
        <f t="shared" si="153"/>
        <v>();</v>
      </c>
      <c r="S1340" s="61" t="str">
        <f t="shared" si="152"/>
        <v/>
      </c>
    </row>
    <row r="1341" spans="14:19">
      <c r="N1341" s="61" t="str">
        <f t="shared" si="150"/>
        <v/>
      </c>
      <c r="O1341" s="53" t="str">
        <f t="shared" si="151"/>
        <v>click</v>
      </c>
      <c r="P1341" s="61" t="str">
        <f t="shared" si="153"/>
        <v>();</v>
      </c>
      <c r="S1341" s="61" t="str">
        <f t="shared" si="152"/>
        <v/>
      </c>
    </row>
    <row r="1342" spans="14:19">
      <c r="N1342" s="61" t="str">
        <f t="shared" si="150"/>
        <v/>
      </c>
      <c r="O1342" s="53" t="str">
        <f t="shared" si="151"/>
        <v>click</v>
      </c>
      <c r="P1342" s="61" t="str">
        <f t="shared" si="153"/>
        <v>();</v>
      </c>
      <c r="S1342" s="61" t="str">
        <f t="shared" si="152"/>
        <v/>
      </c>
    </row>
    <row r="1343" spans="14:19">
      <c r="N1343" s="61" t="str">
        <f t="shared" si="150"/>
        <v/>
      </c>
      <c r="O1343" s="53" t="str">
        <f t="shared" si="151"/>
        <v>click</v>
      </c>
      <c r="P1343" s="61" t="str">
        <f t="shared" si="153"/>
        <v>();</v>
      </c>
      <c r="S1343" s="61" t="str">
        <f t="shared" si="152"/>
        <v/>
      </c>
    </row>
    <row r="1344" spans="14:19">
      <c r="N1344" s="61" t="str">
        <f t="shared" si="150"/>
        <v/>
      </c>
      <c r="O1344" s="53" t="str">
        <f t="shared" si="151"/>
        <v>click</v>
      </c>
      <c r="P1344" s="61" t="str">
        <f t="shared" si="153"/>
        <v>();</v>
      </c>
      <c r="S1344" s="61" t="str">
        <f t="shared" si="152"/>
        <v/>
      </c>
    </row>
    <row r="1345" spans="14:19">
      <c r="N1345" s="61" t="str">
        <f t="shared" si="150"/>
        <v/>
      </c>
      <c r="O1345" s="53" t="str">
        <f t="shared" si="151"/>
        <v>click</v>
      </c>
      <c r="P1345" s="61" t="str">
        <f t="shared" si="153"/>
        <v>();</v>
      </c>
      <c r="S1345" s="61" t="str">
        <f t="shared" si="152"/>
        <v/>
      </c>
    </row>
    <row r="1346" spans="14:19">
      <c r="N1346" s="61" t="str">
        <f t="shared" si="150"/>
        <v/>
      </c>
      <c r="O1346" s="53" t="str">
        <f t="shared" si="151"/>
        <v>click</v>
      </c>
      <c r="P1346" s="61" t="str">
        <f t="shared" si="153"/>
        <v>();</v>
      </c>
      <c r="S1346" s="61" t="str">
        <f t="shared" si="152"/>
        <v/>
      </c>
    </row>
    <row r="1347" spans="14:19">
      <c r="N1347" s="61" t="str">
        <f t="shared" si="150"/>
        <v/>
      </c>
      <c r="O1347" s="53" t="str">
        <f t="shared" si="151"/>
        <v>click</v>
      </c>
      <c r="P1347" s="61" t="str">
        <f t="shared" si="153"/>
        <v>();</v>
      </c>
      <c r="S1347" s="61" t="str">
        <f t="shared" si="152"/>
        <v/>
      </c>
    </row>
    <row r="1348" spans="14:19">
      <c r="N1348" s="61" t="str">
        <f t="shared" si="150"/>
        <v/>
      </c>
      <c r="O1348" s="53" t="str">
        <f t="shared" si="151"/>
        <v>click</v>
      </c>
      <c r="P1348" s="61" t="str">
        <f t="shared" si="153"/>
        <v>();</v>
      </c>
      <c r="S1348" s="61" t="str">
        <f t="shared" si="152"/>
        <v/>
      </c>
    </row>
    <row r="1349" spans="14:19">
      <c r="N1349" s="61" t="str">
        <f t="shared" ref="N1349:N1363" si="154">IF(A1349="Y",""""&amp;C1349&amp;""""&amp;": "&amp;M1349&amp;",","")</f>
        <v/>
      </c>
      <c r="O1349" s="53" t="str">
        <f t="shared" ref="O1349:O1363" si="155">IF(D1349="input","fill",IF(I1349&lt;&gt;"","innerText",IF(J1349="Y",$T$110,"click")))</f>
        <v>click</v>
      </c>
      <c r="P1349" s="61" t="str">
        <f t="shared" si="153"/>
        <v>();</v>
      </c>
      <c r="S1349" s="61" t="str">
        <f t="shared" ref="S1349:S1363" si="156">IF(O1349="innerText",I1349&amp;"="&amp;IF(C1349="Y",IF(J1349&lt;&gt;"Y",$S$9&amp;$R$10&amp;"."&amp;E1349&amp;")."&amp;IF(OR(O1349="click",O1349="innerText"),O1349&amp;"();",O1349&amp;"("&amp;$Q$9&amp;"."&amp;E1349&amp;");"),$S$110&amp;$R$10&amp;"."&amp;E1349&amp;")."&amp;IF(O1349="click",O1349&amp;"();",O1349&amp;"("&amp;"'"&amp;K1349&amp;"'"&amp;");")),""),IF(C1349="Y",IF(J1349&lt;&gt;"Y",$S$9&amp;$R$10&amp;"."&amp;E1349&amp;")."&amp;IF(OR(O1349="click",O1349="innerText"),O1349&amp;"();",O1349&amp;"("&amp;$Q$9&amp;"."&amp;E1349&amp;");"),$S$110&amp;$R$10&amp;"."&amp;E1349&amp;")."&amp;IF(O1349="click",O1349&amp;"();",O1349&amp;"("&amp;"'"&amp;K1349&amp;"'"&amp;");")),""))</f>
        <v/>
      </c>
    </row>
    <row r="1350" spans="14:19">
      <c r="N1350" s="61" t="str">
        <f t="shared" si="154"/>
        <v/>
      </c>
      <c r="O1350" s="53" t="str">
        <f t="shared" si="155"/>
        <v>click</v>
      </c>
      <c r="P1350" s="61" t="str">
        <f t="shared" si="153"/>
        <v>();</v>
      </c>
      <c r="S1350" s="61" t="str">
        <f t="shared" si="156"/>
        <v/>
      </c>
    </row>
    <row r="1351" spans="14:19">
      <c r="N1351" s="61" t="str">
        <f t="shared" si="154"/>
        <v/>
      </c>
      <c r="O1351" s="53" t="str">
        <f t="shared" si="155"/>
        <v>click</v>
      </c>
      <c r="P1351" s="61" t="str">
        <f t="shared" si="153"/>
        <v>();</v>
      </c>
      <c r="S1351" s="61" t="str">
        <f t="shared" si="156"/>
        <v/>
      </c>
    </row>
    <row r="1352" spans="14:19">
      <c r="N1352" s="61" t="str">
        <f t="shared" si="154"/>
        <v/>
      </c>
      <c r="O1352" s="53" t="str">
        <f t="shared" si="155"/>
        <v>click</v>
      </c>
      <c r="P1352" s="61" t="str">
        <f t="shared" si="153"/>
        <v>();</v>
      </c>
      <c r="S1352" s="61" t="str">
        <f t="shared" si="156"/>
        <v/>
      </c>
    </row>
    <row r="1353" spans="14:19">
      <c r="N1353" s="61" t="str">
        <f t="shared" si="154"/>
        <v/>
      </c>
      <c r="O1353" s="53" t="str">
        <f t="shared" si="155"/>
        <v>click</v>
      </c>
      <c r="P1353" s="61" t="str">
        <f t="shared" si="153"/>
        <v>();</v>
      </c>
      <c r="S1353" s="61" t="str">
        <f t="shared" si="156"/>
        <v/>
      </c>
    </row>
    <row r="1354" spans="14:19">
      <c r="N1354" s="61" t="str">
        <f t="shared" si="154"/>
        <v/>
      </c>
      <c r="O1354" s="53" t="str">
        <f t="shared" si="155"/>
        <v>click</v>
      </c>
      <c r="P1354" s="61" t="str">
        <f t="shared" si="153"/>
        <v>();</v>
      </c>
      <c r="S1354" s="61" t="str">
        <f t="shared" si="156"/>
        <v/>
      </c>
    </row>
    <row r="1355" spans="14:19">
      <c r="N1355" s="61" t="str">
        <f t="shared" si="154"/>
        <v/>
      </c>
      <c r="O1355" s="53" t="str">
        <f t="shared" si="155"/>
        <v>click</v>
      </c>
      <c r="P1355" s="61" t="str">
        <f t="shared" si="153"/>
        <v>();</v>
      </c>
      <c r="S1355" s="61" t="str">
        <f t="shared" si="156"/>
        <v/>
      </c>
    </row>
    <row r="1356" spans="14:19">
      <c r="N1356" s="61" t="str">
        <f t="shared" si="154"/>
        <v/>
      </c>
      <c r="O1356" s="53" t="str">
        <f t="shared" si="155"/>
        <v>click</v>
      </c>
      <c r="P1356" s="61" t="str">
        <f t="shared" ref="P1356:P1419" si="157">IF(OR(O1356="Click",O1356="innerText"),"();","("&amp;""""&amp;K1356&amp;""""&amp;");")</f>
        <v>();</v>
      </c>
      <c r="S1356" s="61" t="str">
        <f t="shared" si="156"/>
        <v/>
      </c>
    </row>
    <row r="1357" spans="14:19">
      <c r="N1357" s="61" t="str">
        <f t="shared" si="154"/>
        <v/>
      </c>
      <c r="O1357" s="53" t="str">
        <f t="shared" si="155"/>
        <v>click</v>
      </c>
      <c r="P1357" s="61" t="str">
        <f t="shared" si="157"/>
        <v>();</v>
      </c>
      <c r="S1357" s="61" t="str">
        <f t="shared" si="156"/>
        <v/>
      </c>
    </row>
    <row r="1358" spans="14:19">
      <c r="N1358" s="61" t="str">
        <f t="shared" si="154"/>
        <v/>
      </c>
      <c r="O1358" s="53" t="str">
        <f t="shared" si="155"/>
        <v>click</v>
      </c>
      <c r="P1358" s="61" t="str">
        <f t="shared" si="157"/>
        <v>();</v>
      </c>
      <c r="S1358" s="61" t="str">
        <f t="shared" si="156"/>
        <v/>
      </c>
    </row>
    <row r="1359" spans="14:19">
      <c r="N1359" s="61" t="str">
        <f t="shared" si="154"/>
        <v/>
      </c>
      <c r="O1359" s="53" t="str">
        <f t="shared" si="155"/>
        <v>click</v>
      </c>
      <c r="P1359" s="61" t="str">
        <f t="shared" si="157"/>
        <v>();</v>
      </c>
      <c r="S1359" s="61" t="str">
        <f t="shared" si="156"/>
        <v/>
      </c>
    </row>
    <row r="1360" spans="14:19">
      <c r="N1360" s="61" t="str">
        <f t="shared" si="154"/>
        <v/>
      </c>
      <c r="O1360" s="53" t="str">
        <f t="shared" si="155"/>
        <v>click</v>
      </c>
      <c r="P1360" s="61" t="str">
        <f t="shared" si="157"/>
        <v>();</v>
      </c>
      <c r="S1360" s="61" t="str">
        <f t="shared" si="156"/>
        <v/>
      </c>
    </row>
    <row r="1361" spans="14:19">
      <c r="N1361" s="61" t="str">
        <f t="shared" si="154"/>
        <v/>
      </c>
      <c r="O1361" s="53" t="str">
        <f t="shared" si="155"/>
        <v>click</v>
      </c>
      <c r="P1361" s="61" t="str">
        <f t="shared" si="157"/>
        <v>();</v>
      </c>
      <c r="S1361" s="61" t="str">
        <f t="shared" si="156"/>
        <v/>
      </c>
    </row>
    <row r="1362" spans="14:19">
      <c r="N1362" s="61" t="str">
        <f t="shared" si="154"/>
        <v/>
      </c>
      <c r="O1362" s="53" t="str">
        <f t="shared" si="155"/>
        <v>click</v>
      </c>
      <c r="P1362" s="61" t="str">
        <f t="shared" si="157"/>
        <v>();</v>
      </c>
      <c r="S1362" s="61" t="str">
        <f t="shared" si="156"/>
        <v/>
      </c>
    </row>
    <row r="1363" spans="14:19">
      <c r="N1363" s="61" t="str">
        <f t="shared" si="154"/>
        <v/>
      </c>
      <c r="O1363" s="53" t="str">
        <f t="shared" si="155"/>
        <v>click</v>
      </c>
      <c r="P1363" s="61" t="str">
        <f t="shared" si="157"/>
        <v>();</v>
      </c>
      <c r="S1363" s="61" t="str">
        <f t="shared" si="156"/>
        <v/>
      </c>
    </row>
    <row r="1373" spans="14:19">
      <c r="N1373" s="61" t="str">
        <f t="shared" ref="N1373:N1404" si="158">IF(A1373="Y",""""&amp;C1373&amp;""""&amp;": "&amp;M1373&amp;",","")</f>
        <v/>
      </c>
      <c r="O1373" s="53" t="str">
        <f t="shared" ref="O1373:O1436" si="159">IF(D1373="input","fill",IF(I1373&lt;&gt;"","innerText",IF(J1373="Y",$T$110,"click")))</f>
        <v>click</v>
      </c>
      <c r="P1373" s="61" t="str">
        <f t="shared" si="157"/>
        <v>();</v>
      </c>
    </row>
    <row r="1374" spans="14:19">
      <c r="N1374" s="61" t="str">
        <f t="shared" si="158"/>
        <v/>
      </c>
      <c r="O1374" s="53" t="str">
        <f t="shared" si="159"/>
        <v>click</v>
      </c>
      <c r="P1374" s="61" t="str">
        <f t="shared" si="157"/>
        <v>();</v>
      </c>
      <c r="S1374" s="61" t="str">
        <f t="shared" ref="S1374:S1437" si="160">IF(O1374="innerText",I1374&amp;"="&amp;IF(C1374="Y",IF(J1374&lt;&gt;"Y",$S$9&amp;$R$10&amp;"."&amp;E1374&amp;")."&amp;IF(OR(O1374="click",O1374="innerText"),O1374&amp;"();",O1374&amp;"("&amp;$Q$9&amp;"."&amp;E1374&amp;");"),$S$110&amp;$R$10&amp;"."&amp;E1374&amp;")."&amp;IF(O1374="click",O1374&amp;"();",O1374&amp;"("&amp;"'"&amp;K1374&amp;"'"&amp;");")),""),IF(C1374="Y",IF(J1374&lt;&gt;"Y",$S$9&amp;$R$10&amp;"."&amp;E1374&amp;")."&amp;IF(OR(O1374="click",O1374="innerText"),O1374&amp;"();",O1374&amp;"("&amp;$Q$9&amp;"."&amp;E1374&amp;");"),$S$110&amp;$R$10&amp;"."&amp;E1374&amp;")."&amp;IF(O1374="click",O1374&amp;"();",O1374&amp;"("&amp;"'"&amp;K1374&amp;"'"&amp;");")),""))</f>
        <v/>
      </c>
    </row>
    <row r="1375" spans="14:19">
      <c r="N1375" s="61" t="str">
        <f t="shared" si="158"/>
        <v/>
      </c>
      <c r="O1375" s="53" t="str">
        <f t="shared" si="159"/>
        <v>click</v>
      </c>
      <c r="P1375" s="61" t="str">
        <f t="shared" si="157"/>
        <v>();</v>
      </c>
      <c r="S1375" s="61" t="str">
        <f t="shared" si="160"/>
        <v/>
      </c>
    </row>
    <row r="1376" spans="14:19">
      <c r="N1376" s="61" t="str">
        <f t="shared" si="158"/>
        <v/>
      </c>
      <c r="O1376" s="53" t="str">
        <f t="shared" si="159"/>
        <v>click</v>
      </c>
      <c r="P1376" s="61" t="str">
        <f t="shared" si="157"/>
        <v>();</v>
      </c>
      <c r="S1376" s="61" t="str">
        <f t="shared" si="160"/>
        <v/>
      </c>
    </row>
    <row r="1377" spans="14:19">
      <c r="N1377" s="61" t="str">
        <f t="shared" si="158"/>
        <v/>
      </c>
      <c r="O1377" s="53" t="str">
        <f t="shared" si="159"/>
        <v>click</v>
      </c>
      <c r="P1377" s="61" t="str">
        <f t="shared" si="157"/>
        <v>();</v>
      </c>
      <c r="S1377" s="61" t="str">
        <f t="shared" si="160"/>
        <v/>
      </c>
    </row>
    <row r="1378" spans="14:19">
      <c r="N1378" s="61" t="str">
        <f t="shared" si="158"/>
        <v/>
      </c>
      <c r="O1378" s="53" t="str">
        <f t="shared" si="159"/>
        <v>click</v>
      </c>
      <c r="P1378" s="61" t="str">
        <f t="shared" si="157"/>
        <v>();</v>
      </c>
      <c r="S1378" s="61" t="str">
        <f t="shared" si="160"/>
        <v/>
      </c>
    </row>
    <row r="1379" spans="14:19">
      <c r="N1379" s="61" t="str">
        <f t="shared" si="158"/>
        <v/>
      </c>
      <c r="O1379" s="53" t="str">
        <f t="shared" si="159"/>
        <v>click</v>
      </c>
      <c r="P1379" s="61" t="str">
        <f t="shared" si="157"/>
        <v>();</v>
      </c>
      <c r="S1379" s="61" t="str">
        <f t="shared" si="160"/>
        <v/>
      </c>
    </row>
    <row r="1380" spans="14:19">
      <c r="N1380" s="61" t="str">
        <f t="shared" si="158"/>
        <v/>
      </c>
      <c r="O1380" s="53" t="str">
        <f t="shared" si="159"/>
        <v>click</v>
      </c>
      <c r="P1380" s="61" t="str">
        <f t="shared" si="157"/>
        <v>();</v>
      </c>
      <c r="S1380" s="61" t="str">
        <f t="shared" si="160"/>
        <v/>
      </c>
    </row>
    <row r="1381" spans="14:19">
      <c r="N1381" s="61" t="str">
        <f t="shared" si="158"/>
        <v/>
      </c>
      <c r="O1381" s="53" t="str">
        <f t="shared" si="159"/>
        <v>click</v>
      </c>
      <c r="P1381" s="61" t="str">
        <f t="shared" si="157"/>
        <v>();</v>
      </c>
      <c r="S1381" s="61" t="str">
        <f t="shared" si="160"/>
        <v/>
      </c>
    </row>
    <row r="1382" spans="14:19">
      <c r="N1382" s="61" t="str">
        <f t="shared" si="158"/>
        <v/>
      </c>
      <c r="O1382" s="53" t="str">
        <f t="shared" si="159"/>
        <v>click</v>
      </c>
      <c r="P1382" s="61" t="str">
        <f t="shared" si="157"/>
        <v>();</v>
      </c>
      <c r="S1382" s="61" t="str">
        <f t="shared" si="160"/>
        <v/>
      </c>
    </row>
    <row r="1383" spans="14:19">
      <c r="N1383" s="61" t="str">
        <f t="shared" si="158"/>
        <v/>
      </c>
      <c r="O1383" s="53" t="str">
        <f t="shared" si="159"/>
        <v>click</v>
      </c>
      <c r="P1383" s="61" t="str">
        <f t="shared" si="157"/>
        <v>();</v>
      </c>
      <c r="S1383" s="61" t="str">
        <f t="shared" si="160"/>
        <v/>
      </c>
    </row>
    <row r="1384" spans="14:19">
      <c r="N1384" s="61" t="str">
        <f t="shared" si="158"/>
        <v/>
      </c>
      <c r="O1384" s="53" t="str">
        <f t="shared" si="159"/>
        <v>click</v>
      </c>
      <c r="P1384" s="61" t="str">
        <f t="shared" si="157"/>
        <v>();</v>
      </c>
      <c r="S1384" s="61" t="str">
        <f t="shared" si="160"/>
        <v/>
      </c>
    </row>
    <row r="1385" spans="14:19">
      <c r="N1385" s="61" t="str">
        <f t="shared" si="158"/>
        <v/>
      </c>
      <c r="O1385" s="53" t="str">
        <f t="shared" si="159"/>
        <v>click</v>
      </c>
      <c r="P1385" s="61" t="str">
        <f t="shared" si="157"/>
        <v>();</v>
      </c>
      <c r="S1385" s="61" t="str">
        <f t="shared" si="160"/>
        <v/>
      </c>
    </row>
    <row r="1386" spans="14:19">
      <c r="N1386" s="61" t="str">
        <f t="shared" si="158"/>
        <v/>
      </c>
      <c r="O1386" s="53" t="str">
        <f t="shared" si="159"/>
        <v>click</v>
      </c>
      <c r="P1386" s="61" t="str">
        <f t="shared" si="157"/>
        <v>();</v>
      </c>
      <c r="S1386" s="61" t="str">
        <f t="shared" si="160"/>
        <v/>
      </c>
    </row>
    <row r="1387" spans="14:19">
      <c r="N1387" s="61" t="str">
        <f t="shared" si="158"/>
        <v/>
      </c>
      <c r="O1387" s="53" t="str">
        <f t="shared" si="159"/>
        <v>click</v>
      </c>
      <c r="P1387" s="61" t="str">
        <f t="shared" si="157"/>
        <v>();</v>
      </c>
      <c r="S1387" s="61" t="str">
        <f t="shared" si="160"/>
        <v/>
      </c>
    </row>
    <row r="1388" spans="14:19">
      <c r="N1388" s="61" t="str">
        <f t="shared" si="158"/>
        <v/>
      </c>
      <c r="O1388" s="53" t="str">
        <f t="shared" si="159"/>
        <v>click</v>
      </c>
      <c r="P1388" s="61" t="str">
        <f t="shared" si="157"/>
        <v>();</v>
      </c>
      <c r="S1388" s="61" t="str">
        <f t="shared" si="160"/>
        <v/>
      </c>
    </row>
    <row r="1389" spans="14:19">
      <c r="N1389" s="61" t="str">
        <f t="shared" si="158"/>
        <v/>
      </c>
      <c r="O1389" s="53" t="str">
        <f t="shared" si="159"/>
        <v>click</v>
      </c>
      <c r="P1389" s="61" t="str">
        <f t="shared" si="157"/>
        <v>();</v>
      </c>
      <c r="S1389" s="61" t="str">
        <f t="shared" si="160"/>
        <v/>
      </c>
    </row>
    <row r="1390" spans="14:19">
      <c r="N1390" s="61" t="str">
        <f t="shared" si="158"/>
        <v/>
      </c>
      <c r="O1390" s="53" t="str">
        <f t="shared" si="159"/>
        <v>click</v>
      </c>
      <c r="P1390" s="61" t="str">
        <f t="shared" si="157"/>
        <v>();</v>
      </c>
      <c r="S1390" s="61" t="str">
        <f t="shared" si="160"/>
        <v/>
      </c>
    </row>
    <row r="1391" spans="14:19">
      <c r="N1391" s="61" t="str">
        <f t="shared" si="158"/>
        <v/>
      </c>
      <c r="O1391" s="53" t="str">
        <f t="shared" si="159"/>
        <v>click</v>
      </c>
      <c r="P1391" s="61" t="str">
        <f t="shared" si="157"/>
        <v>();</v>
      </c>
      <c r="S1391" s="61" t="str">
        <f t="shared" si="160"/>
        <v/>
      </c>
    </row>
    <row r="1392" spans="14:19">
      <c r="N1392" s="61" t="str">
        <f t="shared" si="158"/>
        <v/>
      </c>
      <c r="O1392" s="53" t="str">
        <f t="shared" si="159"/>
        <v>click</v>
      </c>
      <c r="P1392" s="61" t="str">
        <f t="shared" si="157"/>
        <v>();</v>
      </c>
      <c r="S1392" s="61" t="str">
        <f t="shared" si="160"/>
        <v/>
      </c>
    </row>
    <row r="1393" spans="14:19">
      <c r="N1393" s="61" t="str">
        <f t="shared" si="158"/>
        <v/>
      </c>
      <c r="O1393" s="53" t="str">
        <f t="shared" si="159"/>
        <v>click</v>
      </c>
      <c r="P1393" s="61" t="str">
        <f t="shared" si="157"/>
        <v>();</v>
      </c>
      <c r="S1393" s="61" t="str">
        <f t="shared" si="160"/>
        <v/>
      </c>
    </row>
    <row r="1394" spans="14:19">
      <c r="N1394" s="61" t="str">
        <f t="shared" si="158"/>
        <v/>
      </c>
      <c r="O1394" s="53" t="str">
        <f t="shared" si="159"/>
        <v>click</v>
      </c>
      <c r="P1394" s="61" t="str">
        <f t="shared" si="157"/>
        <v>();</v>
      </c>
      <c r="S1394" s="61" t="str">
        <f t="shared" si="160"/>
        <v/>
      </c>
    </row>
    <row r="1395" spans="14:19">
      <c r="N1395" s="61" t="str">
        <f t="shared" si="158"/>
        <v/>
      </c>
      <c r="O1395" s="53" t="str">
        <f t="shared" si="159"/>
        <v>click</v>
      </c>
      <c r="P1395" s="61" t="str">
        <f t="shared" si="157"/>
        <v>();</v>
      </c>
      <c r="S1395" s="61" t="str">
        <f t="shared" si="160"/>
        <v/>
      </c>
    </row>
    <row r="1396" spans="14:19">
      <c r="N1396" s="61" t="str">
        <f t="shared" si="158"/>
        <v/>
      </c>
      <c r="O1396" s="53" t="str">
        <f t="shared" si="159"/>
        <v>click</v>
      </c>
      <c r="P1396" s="61" t="str">
        <f t="shared" si="157"/>
        <v>();</v>
      </c>
      <c r="S1396" s="61" t="str">
        <f t="shared" si="160"/>
        <v/>
      </c>
    </row>
    <row r="1397" spans="14:19">
      <c r="N1397" s="61" t="str">
        <f t="shared" si="158"/>
        <v/>
      </c>
      <c r="O1397" s="53" t="str">
        <f t="shared" si="159"/>
        <v>click</v>
      </c>
      <c r="P1397" s="61" t="str">
        <f t="shared" si="157"/>
        <v>();</v>
      </c>
      <c r="S1397" s="61" t="str">
        <f t="shared" si="160"/>
        <v/>
      </c>
    </row>
    <row r="1398" spans="14:19">
      <c r="N1398" s="61" t="str">
        <f t="shared" si="158"/>
        <v/>
      </c>
      <c r="O1398" s="53" t="str">
        <f t="shared" si="159"/>
        <v>click</v>
      </c>
      <c r="P1398" s="61" t="str">
        <f t="shared" si="157"/>
        <v>();</v>
      </c>
      <c r="S1398" s="61" t="str">
        <f t="shared" si="160"/>
        <v/>
      </c>
    </row>
    <row r="1399" spans="14:19">
      <c r="N1399" s="61" t="str">
        <f t="shared" si="158"/>
        <v/>
      </c>
      <c r="O1399" s="53" t="str">
        <f t="shared" si="159"/>
        <v>click</v>
      </c>
      <c r="P1399" s="61" t="str">
        <f t="shared" si="157"/>
        <v>();</v>
      </c>
      <c r="S1399" s="61" t="str">
        <f t="shared" si="160"/>
        <v/>
      </c>
    </row>
    <row r="1400" spans="14:19">
      <c r="N1400" s="61" t="str">
        <f t="shared" si="158"/>
        <v/>
      </c>
      <c r="O1400" s="53" t="str">
        <f t="shared" si="159"/>
        <v>click</v>
      </c>
      <c r="P1400" s="61" t="str">
        <f t="shared" si="157"/>
        <v>();</v>
      </c>
      <c r="S1400" s="61" t="str">
        <f t="shared" si="160"/>
        <v/>
      </c>
    </row>
    <row r="1401" spans="14:19">
      <c r="N1401" s="61" t="str">
        <f t="shared" si="158"/>
        <v/>
      </c>
      <c r="O1401" s="53" t="str">
        <f t="shared" si="159"/>
        <v>click</v>
      </c>
      <c r="P1401" s="61" t="str">
        <f t="shared" si="157"/>
        <v>();</v>
      </c>
      <c r="S1401" s="61" t="str">
        <f t="shared" si="160"/>
        <v/>
      </c>
    </row>
    <row r="1402" spans="14:19">
      <c r="N1402" s="61" t="str">
        <f t="shared" si="158"/>
        <v/>
      </c>
      <c r="O1402" s="53" t="str">
        <f t="shared" si="159"/>
        <v>click</v>
      </c>
      <c r="P1402" s="61" t="str">
        <f t="shared" si="157"/>
        <v>();</v>
      </c>
      <c r="S1402" s="61" t="str">
        <f t="shared" si="160"/>
        <v/>
      </c>
    </row>
    <row r="1403" spans="14:19">
      <c r="N1403" s="61" t="str">
        <f t="shared" si="158"/>
        <v/>
      </c>
      <c r="O1403" s="53" t="str">
        <f t="shared" si="159"/>
        <v>click</v>
      </c>
      <c r="P1403" s="61" t="str">
        <f t="shared" si="157"/>
        <v>();</v>
      </c>
      <c r="S1403" s="61" t="str">
        <f t="shared" si="160"/>
        <v/>
      </c>
    </row>
    <row r="1404" spans="14:19">
      <c r="N1404" s="61" t="str">
        <f t="shared" si="158"/>
        <v/>
      </c>
      <c r="O1404" s="53" t="str">
        <f t="shared" si="159"/>
        <v>click</v>
      </c>
      <c r="P1404" s="61" t="str">
        <f t="shared" si="157"/>
        <v>();</v>
      </c>
      <c r="S1404" s="61" t="str">
        <f t="shared" si="160"/>
        <v/>
      </c>
    </row>
    <row r="1405" spans="14:19">
      <c r="N1405" s="61" t="str">
        <f t="shared" ref="N1405:N1436" si="161">IF(A1405="Y",""""&amp;C1405&amp;""""&amp;": "&amp;M1405&amp;",","")</f>
        <v/>
      </c>
      <c r="O1405" s="53" t="str">
        <f t="shared" si="159"/>
        <v>click</v>
      </c>
      <c r="P1405" s="61" t="str">
        <f t="shared" si="157"/>
        <v>();</v>
      </c>
      <c r="S1405" s="61" t="str">
        <f t="shared" si="160"/>
        <v/>
      </c>
    </row>
    <row r="1406" spans="14:19">
      <c r="N1406" s="61" t="str">
        <f t="shared" si="161"/>
        <v/>
      </c>
      <c r="O1406" s="53" t="str">
        <f t="shared" si="159"/>
        <v>click</v>
      </c>
      <c r="P1406" s="61" t="str">
        <f t="shared" si="157"/>
        <v>();</v>
      </c>
      <c r="S1406" s="61" t="str">
        <f t="shared" si="160"/>
        <v/>
      </c>
    </row>
    <row r="1407" spans="14:19">
      <c r="N1407" s="61" t="str">
        <f t="shared" si="161"/>
        <v/>
      </c>
      <c r="O1407" s="53" t="str">
        <f t="shared" si="159"/>
        <v>click</v>
      </c>
      <c r="P1407" s="61" t="str">
        <f t="shared" si="157"/>
        <v>();</v>
      </c>
      <c r="S1407" s="61" t="str">
        <f t="shared" si="160"/>
        <v/>
      </c>
    </row>
    <row r="1408" spans="14:19">
      <c r="N1408" s="61" t="str">
        <f t="shared" si="161"/>
        <v/>
      </c>
      <c r="O1408" s="53" t="str">
        <f t="shared" si="159"/>
        <v>click</v>
      </c>
      <c r="P1408" s="61" t="str">
        <f t="shared" si="157"/>
        <v>();</v>
      </c>
      <c r="S1408" s="61" t="str">
        <f t="shared" si="160"/>
        <v/>
      </c>
    </row>
    <row r="1409" spans="14:19">
      <c r="N1409" s="61" t="str">
        <f t="shared" si="161"/>
        <v/>
      </c>
      <c r="O1409" s="53" t="str">
        <f t="shared" si="159"/>
        <v>click</v>
      </c>
      <c r="P1409" s="61" t="str">
        <f t="shared" si="157"/>
        <v>();</v>
      </c>
      <c r="S1409" s="61" t="str">
        <f t="shared" si="160"/>
        <v/>
      </c>
    </row>
    <row r="1410" spans="14:19">
      <c r="N1410" s="61" t="str">
        <f t="shared" si="161"/>
        <v/>
      </c>
      <c r="O1410" s="53" t="str">
        <f t="shared" si="159"/>
        <v>click</v>
      </c>
      <c r="P1410" s="61" t="str">
        <f t="shared" si="157"/>
        <v>();</v>
      </c>
      <c r="S1410" s="61" t="str">
        <f t="shared" si="160"/>
        <v/>
      </c>
    </row>
    <row r="1411" spans="14:19">
      <c r="N1411" s="61" t="str">
        <f t="shared" si="161"/>
        <v/>
      </c>
      <c r="O1411" s="53" t="str">
        <f t="shared" si="159"/>
        <v>click</v>
      </c>
      <c r="P1411" s="61" t="str">
        <f t="shared" si="157"/>
        <v>();</v>
      </c>
      <c r="S1411" s="61" t="str">
        <f t="shared" si="160"/>
        <v/>
      </c>
    </row>
    <row r="1412" spans="14:19">
      <c r="N1412" s="61" t="str">
        <f t="shared" si="161"/>
        <v/>
      </c>
      <c r="O1412" s="53" t="str">
        <f t="shared" si="159"/>
        <v>click</v>
      </c>
      <c r="P1412" s="61" t="str">
        <f t="shared" si="157"/>
        <v>();</v>
      </c>
      <c r="S1412" s="61" t="str">
        <f t="shared" si="160"/>
        <v/>
      </c>
    </row>
    <row r="1413" spans="14:19">
      <c r="N1413" s="61" t="str">
        <f t="shared" si="161"/>
        <v/>
      </c>
      <c r="O1413" s="53" t="str">
        <f t="shared" si="159"/>
        <v>click</v>
      </c>
      <c r="P1413" s="61" t="str">
        <f t="shared" si="157"/>
        <v>();</v>
      </c>
      <c r="S1413" s="61" t="str">
        <f t="shared" si="160"/>
        <v/>
      </c>
    </row>
    <row r="1414" spans="14:19">
      <c r="N1414" s="61" t="str">
        <f t="shared" si="161"/>
        <v/>
      </c>
      <c r="O1414" s="53" t="str">
        <f t="shared" si="159"/>
        <v>click</v>
      </c>
      <c r="P1414" s="61" t="str">
        <f t="shared" si="157"/>
        <v>();</v>
      </c>
      <c r="S1414" s="61" t="str">
        <f t="shared" si="160"/>
        <v/>
      </c>
    </row>
    <row r="1415" spans="14:19">
      <c r="N1415" s="61" t="str">
        <f t="shared" si="161"/>
        <v/>
      </c>
      <c r="O1415" s="53" t="str">
        <f t="shared" si="159"/>
        <v>click</v>
      </c>
      <c r="P1415" s="61" t="str">
        <f t="shared" si="157"/>
        <v>();</v>
      </c>
      <c r="S1415" s="61" t="str">
        <f t="shared" si="160"/>
        <v/>
      </c>
    </row>
    <row r="1416" spans="14:19">
      <c r="N1416" s="61" t="str">
        <f t="shared" si="161"/>
        <v/>
      </c>
      <c r="O1416" s="53" t="str">
        <f t="shared" si="159"/>
        <v>click</v>
      </c>
      <c r="P1416" s="61" t="str">
        <f t="shared" si="157"/>
        <v>();</v>
      </c>
      <c r="S1416" s="61" t="str">
        <f t="shared" si="160"/>
        <v/>
      </c>
    </row>
    <row r="1417" spans="14:19">
      <c r="N1417" s="61" t="str">
        <f t="shared" si="161"/>
        <v/>
      </c>
      <c r="O1417" s="53" t="str">
        <f t="shared" si="159"/>
        <v>click</v>
      </c>
      <c r="P1417" s="61" t="str">
        <f t="shared" si="157"/>
        <v>();</v>
      </c>
      <c r="S1417" s="61" t="str">
        <f t="shared" si="160"/>
        <v/>
      </c>
    </row>
    <row r="1418" spans="14:19">
      <c r="N1418" s="61" t="str">
        <f t="shared" si="161"/>
        <v/>
      </c>
      <c r="O1418" s="53" t="str">
        <f t="shared" si="159"/>
        <v>click</v>
      </c>
      <c r="P1418" s="61" t="str">
        <f t="shared" si="157"/>
        <v>();</v>
      </c>
      <c r="S1418" s="61" t="str">
        <f t="shared" si="160"/>
        <v/>
      </c>
    </row>
    <row r="1419" spans="14:19">
      <c r="N1419" s="61" t="str">
        <f t="shared" si="161"/>
        <v/>
      </c>
      <c r="O1419" s="53" t="str">
        <f t="shared" si="159"/>
        <v>click</v>
      </c>
      <c r="P1419" s="61" t="str">
        <f t="shared" si="157"/>
        <v>();</v>
      </c>
      <c r="S1419" s="61" t="str">
        <f t="shared" si="160"/>
        <v/>
      </c>
    </row>
    <row r="1420" spans="14:19">
      <c r="N1420" s="61" t="str">
        <f t="shared" si="161"/>
        <v/>
      </c>
      <c r="O1420" s="53" t="str">
        <f t="shared" si="159"/>
        <v>click</v>
      </c>
      <c r="P1420" s="61" t="str">
        <f t="shared" ref="P1420:P1483" si="162">IF(OR(O1420="Click",O1420="innerText"),"();","("&amp;""""&amp;K1420&amp;""""&amp;");")</f>
        <v>();</v>
      </c>
      <c r="S1420" s="61" t="str">
        <f t="shared" si="160"/>
        <v/>
      </c>
    </row>
    <row r="1421" spans="14:19">
      <c r="N1421" s="61" t="str">
        <f t="shared" si="161"/>
        <v/>
      </c>
      <c r="O1421" s="53" t="str">
        <f t="shared" si="159"/>
        <v>click</v>
      </c>
      <c r="P1421" s="61" t="str">
        <f t="shared" si="162"/>
        <v>();</v>
      </c>
      <c r="S1421" s="61" t="str">
        <f t="shared" si="160"/>
        <v/>
      </c>
    </row>
    <row r="1422" spans="14:19">
      <c r="N1422" s="61" t="str">
        <f t="shared" si="161"/>
        <v/>
      </c>
      <c r="O1422" s="53" t="str">
        <f t="shared" si="159"/>
        <v>click</v>
      </c>
      <c r="P1422" s="61" t="str">
        <f t="shared" si="162"/>
        <v>();</v>
      </c>
      <c r="S1422" s="61" t="str">
        <f t="shared" si="160"/>
        <v/>
      </c>
    </row>
    <row r="1423" spans="14:19">
      <c r="N1423" s="61" t="str">
        <f t="shared" si="161"/>
        <v/>
      </c>
      <c r="O1423" s="53" t="str">
        <f t="shared" si="159"/>
        <v>click</v>
      </c>
      <c r="P1423" s="61" t="str">
        <f t="shared" si="162"/>
        <v>();</v>
      </c>
      <c r="S1423" s="61" t="str">
        <f t="shared" si="160"/>
        <v/>
      </c>
    </row>
    <row r="1424" spans="14:19">
      <c r="N1424" s="61" t="str">
        <f t="shared" si="161"/>
        <v/>
      </c>
      <c r="O1424" s="53" t="str">
        <f t="shared" si="159"/>
        <v>click</v>
      </c>
      <c r="P1424" s="61" t="str">
        <f t="shared" si="162"/>
        <v>();</v>
      </c>
      <c r="S1424" s="61" t="str">
        <f t="shared" si="160"/>
        <v/>
      </c>
    </row>
    <row r="1425" spans="14:19">
      <c r="N1425" s="61" t="str">
        <f t="shared" si="161"/>
        <v/>
      </c>
      <c r="O1425" s="53" t="str">
        <f t="shared" si="159"/>
        <v>click</v>
      </c>
      <c r="P1425" s="61" t="str">
        <f t="shared" si="162"/>
        <v>();</v>
      </c>
      <c r="S1425" s="61" t="str">
        <f t="shared" si="160"/>
        <v/>
      </c>
    </row>
    <row r="1426" spans="14:19">
      <c r="N1426" s="61" t="str">
        <f t="shared" si="161"/>
        <v/>
      </c>
      <c r="O1426" s="53" t="str">
        <f t="shared" si="159"/>
        <v>click</v>
      </c>
      <c r="P1426" s="61" t="str">
        <f t="shared" si="162"/>
        <v>();</v>
      </c>
      <c r="S1426" s="61" t="str">
        <f t="shared" si="160"/>
        <v/>
      </c>
    </row>
    <row r="1427" spans="14:19">
      <c r="N1427" s="61" t="str">
        <f t="shared" si="161"/>
        <v/>
      </c>
      <c r="O1427" s="53" t="str">
        <f t="shared" si="159"/>
        <v>click</v>
      </c>
      <c r="P1427" s="61" t="str">
        <f t="shared" si="162"/>
        <v>();</v>
      </c>
      <c r="S1427" s="61" t="str">
        <f t="shared" si="160"/>
        <v/>
      </c>
    </row>
    <row r="1428" spans="14:19">
      <c r="N1428" s="61" t="str">
        <f t="shared" si="161"/>
        <v/>
      </c>
      <c r="O1428" s="53" t="str">
        <f t="shared" si="159"/>
        <v>click</v>
      </c>
      <c r="P1428" s="61" t="str">
        <f t="shared" si="162"/>
        <v>();</v>
      </c>
      <c r="S1428" s="61" t="str">
        <f t="shared" si="160"/>
        <v/>
      </c>
    </row>
    <row r="1429" spans="14:19">
      <c r="N1429" s="61" t="str">
        <f t="shared" si="161"/>
        <v/>
      </c>
      <c r="O1429" s="53" t="str">
        <f t="shared" si="159"/>
        <v>click</v>
      </c>
      <c r="P1429" s="61" t="str">
        <f t="shared" si="162"/>
        <v>();</v>
      </c>
      <c r="S1429" s="61" t="str">
        <f t="shared" si="160"/>
        <v/>
      </c>
    </row>
    <row r="1430" spans="14:19">
      <c r="N1430" s="61" t="str">
        <f t="shared" si="161"/>
        <v/>
      </c>
      <c r="O1430" s="53" t="str">
        <f t="shared" si="159"/>
        <v>click</v>
      </c>
      <c r="P1430" s="61" t="str">
        <f t="shared" si="162"/>
        <v>();</v>
      </c>
      <c r="S1430" s="61" t="str">
        <f t="shared" si="160"/>
        <v/>
      </c>
    </row>
    <row r="1431" spans="14:19">
      <c r="N1431" s="61" t="str">
        <f t="shared" si="161"/>
        <v/>
      </c>
      <c r="O1431" s="53" t="str">
        <f t="shared" si="159"/>
        <v>click</v>
      </c>
      <c r="P1431" s="61" t="str">
        <f t="shared" si="162"/>
        <v>();</v>
      </c>
      <c r="S1431" s="61" t="str">
        <f t="shared" si="160"/>
        <v/>
      </c>
    </row>
    <row r="1432" spans="14:19">
      <c r="N1432" s="61" t="str">
        <f t="shared" si="161"/>
        <v/>
      </c>
      <c r="O1432" s="53" t="str">
        <f t="shared" si="159"/>
        <v>click</v>
      </c>
      <c r="P1432" s="61" t="str">
        <f t="shared" si="162"/>
        <v>();</v>
      </c>
      <c r="S1432" s="61" t="str">
        <f t="shared" si="160"/>
        <v/>
      </c>
    </row>
    <row r="1433" spans="14:19">
      <c r="N1433" s="61" t="str">
        <f t="shared" si="161"/>
        <v/>
      </c>
      <c r="O1433" s="53" t="str">
        <f t="shared" si="159"/>
        <v>click</v>
      </c>
      <c r="P1433" s="61" t="str">
        <f t="shared" si="162"/>
        <v>();</v>
      </c>
      <c r="S1433" s="61" t="str">
        <f t="shared" si="160"/>
        <v/>
      </c>
    </row>
    <row r="1434" spans="14:19">
      <c r="N1434" s="61" t="str">
        <f t="shared" si="161"/>
        <v/>
      </c>
      <c r="O1434" s="53" t="str">
        <f t="shared" si="159"/>
        <v>click</v>
      </c>
      <c r="P1434" s="61" t="str">
        <f t="shared" si="162"/>
        <v>();</v>
      </c>
      <c r="S1434" s="61" t="str">
        <f t="shared" si="160"/>
        <v/>
      </c>
    </row>
    <row r="1435" spans="14:19">
      <c r="N1435" s="61" t="str">
        <f t="shared" si="161"/>
        <v/>
      </c>
      <c r="O1435" s="53" t="str">
        <f t="shared" si="159"/>
        <v>click</v>
      </c>
      <c r="P1435" s="61" t="str">
        <f t="shared" si="162"/>
        <v>();</v>
      </c>
      <c r="S1435" s="61" t="str">
        <f t="shared" si="160"/>
        <v/>
      </c>
    </row>
    <row r="1436" spans="14:19">
      <c r="N1436" s="61" t="str">
        <f t="shared" si="161"/>
        <v/>
      </c>
      <c r="O1436" s="53" t="str">
        <f t="shared" si="159"/>
        <v>click</v>
      </c>
      <c r="P1436" s="61" t="str">
        <f t="shared" si="162"/>
        <v>();</v>
      </c>
      <c r="S1436" s="61" t="str">
        <f t="shared" si="160"/>
        <v/>
      </c>
    </row>
    <row r="1437" spans="14:19">
      <c r="N1437" s="61" t="str">
        <f t="shared" ref="N1437:N1468" si="163">IF(A1437="Y",""""&amp;C1437&amp;""""&amp;": "&amp;M1437&amp;",","")</f>
        <v/>
      </c>
      <c r="O1437" s="53" t="str">
        <f t="shared" ref="O1437:O1500" si="164">IF(D1437="input","fill",IF(I1437&lt;&gt;"","innerText",IF(J1437="Y",$T$110,"click")))</f>
        <v>click</v>
      </c>
      <c r="P1437" s="61" t="str">
        <f t="shared" si="162"/>
        <v>();</v>
      </c>
      <c r="S1437" s="61" t="str">
        <f t="shared" si="160"/>
        <v/>
      </c>
    </row>
    <row r="1438" spans="14:19">
      <c r="N1438" s="61" t="str">
        <f t="shared" si="163"/>
        <v/>
      </c>
      <c r="O1438" s="53" t="str">
        <f t="shared" si="164"/>
        <v>click</v>
      </c>
      <c r="P1438" s="61" t="str">
        <f t="shared" si="162"/>
        <v>();</v>
      </c>
      <c r="S1438" s="61" t="str">
        <f t="shared" ref="S1438:S1501" si="165">IF(O1438="innerText",I1438&amp;"="&amp;IF(C1438="Y",IF(J1438&lt;&gt;"Y",$S$9&amp;$R$10&amp;"."&amp;E1438&amp;")."&amp;IF(OR(O1438="click",O1438="innerText"),O1438&amp;"();",O1438&amp;"("&amp;$Q$9&amp;"."&amp;E1438&amp;");"),$S$110&amp;$R$10&amp;"."&amp;E1438&amp;")."&amp;IF(O1438="click",O1438&amp;"();",O1438&amp;"("&amp;"'"&amp;K1438&amp;"'"&amp;");")),""),IF(C1438="Y",IF(J1438&lt;&gt;"Y",$S$9&amp;$R$10&amp;"."&amp;E1438&amp;")."&amp;IF(OR(O1438="click",O1438="innerText"),O1438&amp;"();",O1438&amp;"("&amp;$Q$9&amp;"."&amp;E1438&amp;");"),$S$110&amp;$R$10&amp;"."&amp;E1438&amp;")."&amp;IF(O1438="click",O1438&amp;"();",O1438&amp;"("&amp;"'"&amp;K1438&amp;"'"&amp;");")),""))</f>
        <v/>
      </c>
    </row>
    <row r="1439" spans="14:19">
      <c r="N1439" s="61" t="str">
        <f t="shared" si="163"/>
        <v/>
      </c>
      <c r="O1439" s="53" t="str">
        <f t="shared" si="164"/>
        <v>click</v>
      </c>
      <c r="P1439" s="61" t="str">
        <f t="shared" si="162"/>
        <v>();</v>
      </c>
      <c r="S1439" s="61" t="str">
        <f t="shared" si="165"/>
        <v/>
      </c>
    </row>
    <row r="1440" spans="14:19">
      <c r="N1440" s="61" t="str">
        <f t="shared" si="163"/>
        <v/>
      </c>
      <c r="O1440" s="53" t="str">
        <f t="shared" si="164"/>
        <v>click</v>
      </c>
      <c r="P1440" s="61" t="str">
        <f t="shared" si="162"/>
        <v>();</v>
      </c>
      <c r="S1440" s="61" t="str">
        <f t="shared" si="165"/>
        <v/>
      </c>
    </row>
    <row r="1441" spans="14:19">
      <c r="N1441" s="61" t="str">
        <f t="shared" si="163"/>
        <v/>
      </c>
      <c r="O1441" s="53" t="str">
        <f t="shared" si="164"/>
        <v>click</v>
      </c>
      <c r="P1441" s="61" t="str">
        <f t="shared" si="162"/>
        <v>();</v>
      </c>
      <c r="S1441" s="61" t="str">
        <f t="shared" si="165"/>
        <v/>
      </c>
    </row>
    <row r="1442" spans="14:19">
      <c r="N1442" s="61" t="str">
        <f t="shared" si="163"/>
        <v/>
      </c>
      <c r="O1442" s="53" t="str">
        <f t="shared" si="164"/>
        <v>click</v>
      </c>
      <c r="P1442" s="61" t="str">
        <f t="shared" si="162"/>
        <v>();</v>
      </c>
      <c r="S1442" s="61" t="str">
        <f t="shared" si="165"/>
        <v/>
      </c>
    </row>
    <row r="1443" spans="14:19">
      <c r="N1443" s="61" t="str">
        <f t="shared" si="163"/>
        <v/>
      </c>
      <c r="O1443" s="53" t="str">
        <f t="shared" si="164"/>
        <v>click</v>
      </c>
      <c r="P1443" s="61" t="str">
        <f t="shared" si="162"/>
        <v>();</v>
      </c>
      <c r="S1443" s="61" t="str">
        <f t="shared" si="165"/>
        <v/>
      </c>
    </row>
    <row r="1444" spans="14:19">
      <c r="N1444" s="61" t="str">
        <f t="shared" si="163"/>
        <v/>
      </c>
      <c r="O1444" s="53" t="str">
        <f t="shared" si="164"/>
        <v>click</v>
      </c>
      <c r="P1444" s="61" t="str">
        <f t="shared" si="162"/>
        <v>();</v>
      </c>
      <c r="S1444" s="61" t="str">
        <f t="shared" si="165"/>
        <v/>
      </c>
    </row>
    <row r="1445" spans="14:19">
      <c r="N1445" s="61" t="str">
        <f t="shared" si="163"/>
        <v/>
      </c>
      <c r="O1445" s="53" t="str">
        <f t="shared" si="164"/>
        <v>click</v>
      </c>
      <c r="P1445" s="61" t="str">
        <f t="shared" si="162"/>
        <v>();</v>
      </c>
      <c r="S1445" s="61" t="str">
        <f t="shared" si="165"/>
        <v/>
      </c>
    </row>
    <row r="1446" spans="14:19">
      <c r="N1446" s="61" t="str">
        <f t="shared" si="163"/>
        <v/>
      </c>
      <c r="O1446" s="53" t="str">
        <f t="shared" si="164"/>
        <v>click</v>
      </c>
      <c r="P1446" s="61" t="str">
        <f t="shared" si="162"/>
        <v>();</v>
      </c>
      <c r="S1446" s="61" t="str">
        <f t="shared" si="165"/>
        <v/>
      </c>
    </row>
    <row r="1447" spans="14:19">
      <c r="N1447" s="61" t="str">
        <f t="shared" si="163"/>
        <v/>
      </c>
      <c r="O1447" s="53" t="str">
        <f t="shared" si="164"/>
        <v>click</v>
      </c>
      <c r="P1447" s="61" t="str">
        <f t="shared" si="162"/>
        <v>();</v>
      </c>
      <c r="S1447" s="61" t="str">
        <f t="shared" si="165"/>
        <v/>
      </c>
    </row>
    <row r="1448" spans="14:19">
      <c r="N1448" s="61" t="str">
        <f t="shared" si="163"/>
        <v/>
      </c>
      <c r="O1448" s="53" t="str">
        <f t="shared" si="164"/>
        <v>click</v>
      </c>
      <c r="P1448" s="61" t="str">
        <f t="shared" si="162"/>
        <v>();</v>
      </c>
      <c r="S1448" s="61" t="str">
        <f t="shared" si="165"/>
        <v/>
      </c>
    </row>
    <row r="1449" spans="14:19">
      <c r="N1449" s="61" t="str">
        <f t="shared" si="163"/>
        <v/>
      </c>
      <c r="O1449" s="53" t="str">
        <f t="shared" si="164"/>
        <v>click</v>
      </c>
      <c r="P1449" s="61" t="str">
        <f t="shared" si="162"/>
        <v>();</v>
      </c>
      <c r="S1449" s="61" t="str">
        <f t="shared" si="165"/>
        <v/>
      </c>
    </row>
    <row r="1450" spans="14:19">
      <c r="N1450" s="61" t="str">
        <f t="shared" si="163"/>
        <v/>
      </c>
      <c r="O1450" s="53" t="str">
        <f t="shared" si="164"/>
        <v>click</v>
      </c>
      <c r="P1450" s="61" t="str">
        <f t="shared" si="162"/>
        <v>();</v>
      </c>
      <c r="S1450" s="61" t="str">
        <f t="shared" si="165"/>
        <v/>
      </c>
    </row>
    <row r="1451" spans="14:19">
      <c r="N1451" s="61" t="str">
        <f t="shared" si="163"/>
        <v/>
      </c>
      <c r="O1451" s="53" t="str">
        <f t="shared" si="164"/>
        <v>click</v>
      </c>
      <c r="P1451" s="61" t="str">
        <f t="shared" si="162"/>
        <v>();</v>
      </c>
      <c r="S1451" s="61" t="str">
        <f t="shared" si="165"/>
        <v/>
      </c>
    </row>
    <row r="1452" spans="14:19">
      <c r="N1452" s="61" t="str">
        <f t="shared" si="163"/>
        <v/>
      </c>
      <c r="O1452" s="53" t="str">
        <f t="shared" si="164"/>
        <v>click</v>
      </c>
      <c r="P1452" s="61" t="str">
        <f t="shared" si="162"/>
        <v>();</v>
      </c>
      <c r="S1452" s="61" t="str">
        <f t="shared" si="165"/>
        <v/>
      </c>
    </row>
    <row r="1453" spans="14:19">
      <c r="N1453" s="61" t="str">
        <f t="shared" si="163"/>
        <v/>
      </c>
      <c r="O1453" s="53" t="str">
        <f t="shared" si="164"/>
        <v>click</v>
      </c>
      <c r="P1453" s="61" t="str">
        <f t="shared" si="162"/>
        <v>();</v>
      </c>
      <c r="S1453" s="61" t="str">
        <f t="shared" si="165"/>
        <v/>
      </c>
    </row>
    <row r="1454" spans="14:19">
      <c r="N1454" s="61" t="str">
        <f t="shared" si="163"/>
        <v/>
      </c>
      <c r="O1454" s="53" t="str">
        <f t="shared" si="164"/>
        <v>click</v>
      </c>
      <c r="P1454" s="61" t="str">
        <f t="shared" si="162"/>
        <v>();</v>
      </c>
      <c r="S1454" s="61" t="str">
        <f t="shared" si="165"/>
        <v/>
      </c>
    </row>
    <row r="1455" spans="14:19">
      <c r="N1455" s="61" t="str">
        <f t="shared" si="163"/>
        <v/>
      </c>
      <c r="O1455" s="53" t="str">
        <f t="shared" si="164"/>
        <v>click</v>
      </c>
      <c r="P1455" s="61" t="str">
        <f t="shared" si="162"/>
        <v>();</v>
      </c>
      <c r="S1455" s="61" t="str">
        <f t="shared" si="165"/>
        <v/>
      </c>
    </row>
    <row r="1456" spans="14:19">
      <c r="N1456" s="61" t="str">
        <f t="shared" si="163"/>
        <v/>
      </c>
      <c r="O1456" s="53" t="str">
        <f t="shared" si="164"/>
        <v>click</v>
      </c>
      <c r="P1456" s="61" t="str">
        <f t="shared" si="162"/>
        <v>();</v>
      </c>
      <c r="S1456" s="61" t="str">
        <f t="shared" si="165"/>
        <v/>
      </c>
    </row>
    <row r="1457" spans="14:19">
      <c r="N1457" s="61" t="str">
        <f t="shared" si="163"/>
        <v/>
      </c>
      <c r="O1457" s="53" t="str">
        <f t="shared" si="164"/>
        <v>click</v>
      </c>
      <c r="P1457" s="61" t="str">
        <f t="shared" si="162"/>
        <v>();</v>
      </c>
      <c r="S1457" s="61" t="str">
        <f t="shared" si="165"/>
        <v/>
      </c>
    </row>
    <row r="1458" spans="14:19">
      <c r="N1458" s="61" t="str">
        <f t="shared" si="163"/>
        <v/>
      </c>
      <c r="O1458" s="53" t="str">
        <f t="shared" si="164"/>
        <v>click</v>
      </c>
      <c r="P1458" s="61" t="str">
        <f t="shared" si="162"/>
        <v>();</v>
      </c>
      <c r="S1458" s="61" t="str">
        <f t="shared" si="165"/>
        <v/>
      </c>
    </row>
    <row r="1459" spans="14:19">
      <c r="N1459" s="61" t="str">
        <f t="shared" si="163"/>
        <v/>
      </c>
      <c r="O1459" s="53" t="str">
        <f t="shared" si="164"/>
        <v>click</v>
      </c>
      <c r="P1459" s="61" t="str">
        <f t="shared" si="162"/>
        <v>();</v>
      </c>
      <c r="S1459" s="61" t="str">
        <f t="shared" si="165"/>
        <v/>
      </c>
    </row>
    <row r="1460" spans="14:19">
      <c r="N1460" s="61" t="str">
        <f t="shared" si="163"/>
        <v/>
      </c>
      <c r="O1460" s="53" t="str">
        <f t="shared" si="164"/>
        <v>click</v>
      </c>
      <c r="P1460" s="61" t="str">
        <f t="shared" si="162"/>
        <v>();</v>
      </c>
      <c r="S1460" s="61" t="str">
        <f t="shared" si="165"/>
        <v/>
      </c>
    </row>
    <row r="1461" spans="14:19">
      <c r="N1461" s="61" t="str">
        <f t="shared" si="163"/>
        <v/>
      </c>
      <c r="O1461" s="53" t="str">
        <f t="shared" si="164"/>
        <v>click</v>
      </c>
      <c r="P1461" s="61" t="str">
        <f t="shared" si="162"/>
        <v>();</v>
      </c>
      <c r="S1461" s="61" t="str">
        <f t="shared" si="165"/>
        <v/>
      </c>
    </row>
    <row r="1462" spans="14:19">
      <c r="N1462" s="61" t="str">
        <f t="shared" si="163"/>
        <v/>
      </c>
      <c r="O1462" s="53" t="str">
        <f t="shared" si="164"/>
        <v>click</v>
      </c>
      <c r="P1462" s="61" t="str">
        <f t="shared" si="162"/>
        <v>();</v>
      </c>
      <c r="S1462" s="61" t="str">
        <f t="shared" si="165"/>
        <v/>
      </c>
    </row>
    <row r="1463" spans="14:19">
      <c r="N1463" s="61" t="str">
        <f t="shared" si="163"/>
        <v/>
      </c>
      <c r="O1463" s="53" t="str">
        <f t="shared" si="164"/>
        <v>click</v>
      </c>
      <c r="P1463" s="61" t="str">
        <f t="shared" si="162"/>
        <v>();</v>
      </c>
      <c r="S1463" s="61" t="str">
        <f t="shared" si="165"/>
        <v/>
      </c>
    </row>
    <row r="1464" spans="14:19">
      <c r="N1464" s="61" t="str">
        <f t="shared" si="163"/>
        <v/>
      </c>
      <c r="O1464" s="53" t="str">
        <f t="shared" si="164"/>
        <v>click</v>
      </c>
      <c r="P1464" s="61" t="str">
        <f t="shared" si="162"/>
        <v>();</v>
      </c>
      <c r="S1464" s="61" t="str">
        <f t="shared" si="165"/>
        <v/>
      </c>
    </row>
    <row r="1465" spans="14:19">
      <c r="N1465" s="61" t="str">
        <f t="shared" si="163"/>
        <v/>
      </c>
      <c r="O1465" s="53" t="str">
        <f t="shared" si="164"/>
        <v>click</v>
      </c>
      <c r="P1465" s="61" t="str">
        <f t="shared" si="162"/>
        <v>();</v>
      </c>
      <c r="S1465" s="61" t="str">
        <f t="shared" si="165"/>
        <v/>
      </c>
    </row>
    <row r="1466" spans="14:19">
      <c r="N1466" s="61" t="str">
        <f t="shared" si="163"/>
        <v/>
      </c>
      <c r="O1466" s="53" t="str">
        <f t="shared" si="164"/>
        <v>click</v>
      </c>
      <c r="P1466" s="61" t="str">
        <f t="shared" si="162"/>
        <v>();</v>
      </c>
      <c r="S1466" s="61" t="str">
        <f t="shared" si="165"/>
        <v/>
      </c>
    </row>
    <row r="1467" spans="14:19">
      <c r="N1467" s="61" t="str">
        <f t="shared" si="163"/>
        <v/>
      </c>
      <c r="O1467" s="53" t="str">
        <f t="shared" si="164"/>
        <v>click</v>
      </c>
      <c r="P1467" s="61" t="str">
        <f t="shared" si="162"/>
        <v>();</v>
      </c>
      <c r="S1467" s="61" t="str">
        <f t="shared" si="165"/>
        <v/>
      </c>
    </row>
    <row r="1468" spans="14:19">
      <c r="N1468" s="61" t="str">
        <f t="shared" si="163"/>
        <v/>
      </c>
      <c r="O1468" s="53" t="str">
        <f t="shared" si="164"/>
        <v>click</v>
      </c>
      <c r="P1468" s="61" t="str">
        <f t="shared" si="162"/>
        <v>();</v>
      </c>
      <c r="S1468" s="61" t="str">
        <f t="shared" si="165"/>
        <v/>
      </c>
    </row>
    <row r="1469" spans="14:19">
      <c r="N1469" s="61" t="str">
        <f t="shared" ref="N1469:N1500" si="166">IF(A1469="Y",""""&amp;C1469&amp;""""&amp;": "&amp;M1469&amp;",","")</f>
        <v/>
      </c>
      <c r="O1469" s="53" t="str">
        <f t="shared" si="164"/>
        <v>click</v>
      </c>
      <c r="P1469" s="61" t="str">
        <f t="shared" si="162"/>
        <v>();</v>
      </c>
      <c r="S1469" s="61" t="str">
        <f t="shared" si="165"/>
        <v/>
      </c>
    </row>
    <row r="1470" spans="14:19">
      <c r="N1470" s="61" t="str">
        <f t="shared" si="166"/>
        <v/>
      </c>
      <c r="O1470" s="53" t="str">
        <f t="shared" si="164"/>
        <v>click</v>
      </c>
      <c r="P1470" s="61" t="str">
        <f t="shared" si="162"/>
        <v>();</v>
      </c>
      <c r="S1470" s="61" t="str">
        <f t="shared" si="165"/>
        <v/>
      </c>
    </row>
    <row r="1471" spans="14:19">
      <c r="N1471" s="61" t="str">
        <f t="shared" si="166"/>
        <v/>
      </c>
      <c r="O1471" s="53" t="str">
        <f t="shared" si="164"/>
        <v>click</v>
      </c>
      <c r="P1471" s="61" t="str">
        <f t="shared" si="162"/>
        <v>();</v>
      </c>
      <c r="S1471" s="61" t="str">
        <f t="shared" si="165"/>
        <v/>
      </c>
    </row>
    <row r="1472" spans="14:19">
      <c r="N1472" s="61" t="str">
        <f t="shared" si="166"/>
        <v/>
      </c>
      <c r="O1472" s="53" t="str">
        <f t="shared" si="164"/>
        <v>click</v>
      </c>
      <c r="P1472" s="61" t="str">
        <f t="shared" si="162"/>
        <v>();</v>
      </c>
      <c r="S1472" s="61" t="str">
        <f t="shared" si="165"/>
        <v/>
      </c>
    </row>
    <row r="1473" spans="14:19">
      <c r="N1473" s="61" t="str">
        <f t="shared" si="166"/>
        <v/>
      </c>
      <c r="O1473" s="53" t="str">
        <f t="shared" si="164"/>
        <v>click</v>
      </c>
      <c r="P1473" s="61" t="str">
        <f t="shared" si="162"/>
        <v>();</v>
      </c>
      <c r="S1473" s="61" t="str">
        <f t="shared" si="165"/>
        <v/>
      </c>
    </row>
    <row r="1474" spans="14:19">
      <c r="N1474" s="61" t="str">
        <f t="shared" si="166"/>
        <v/>
      </c>
      <c r="O1474" s="53" t="str">
        <f t="shared" si="164"/>
        <v>click</v>
      </c>
      <c r="P1474" s="61" t="str">
        <f t="shared" si="162"/>
        <v>();</v>
      </c>
      <c r="S1474" s="61" t="str">
        <f t="shared" si="165"/>
        <v/>
      </c>
    </row>
    <row r="1475" spans="14:19">
      <c r="N1475" s="61" t="str">
        <f t="shared" si="166"/>
        <v/>
      </c>
      <c r="O1475" s="53" t="str">
        <f t="shared" si="164"/>
        <v>click</v>
      </c>
      <c r="P1475" s="61" t="str">
        <f t="shared" si="162"/>
        <v>();</v>
      </c>
      <c r="S1475" s="61" t="str">
        <f t="shared" si="165"/>
        <v/>
      </c>
    </row>
    <row r="1476" spans="14:19">
      <c r="N1476" s="61" t="str">
        <f t="shared" si="166"/>
        <v/>
      </c>
      <c r="O1476" s="53" t="str">
        <f t="shared" si="164"/>
        <v>click</v>
      </c>
      <c r="P1476" s="61" t="str">
        <f t="shared" si="162"/>
        <v>();</v>
      </c>
      <c r="S1476" s="61" t="str">
        <f t="shared" si="165"/>
        <v/>
      </c>
    </row>
    <row r="1477" spans="14:19">
      <c r="N1477" s="61" t="str">
        <f t="shared" si="166"/>
        <v/>
      </c>
      <c r="O1477" s="53" t="str">
        <f t="shared" si="164"/>
        <v>click</v>
      </c>
      <c r="P1477" s="61" t="str">
        <f t="shared" si="162"/>
        <v>();</v>
      </c>
      <c r="S1477" s="61" t="str">
        <f t="shared" si="165"/>
        <v/>
      </c>
    </row>
    <row r="1478" spans="14:19">
      <c r="N1478" s="61" t="str">
        <f t="shared" si="166"/>
        <v/>
      </c>
      <c r="O1478" s="53" t="str">
        <f t="shared" si="164"/>
        <v>click</v>
      </c>
      <c r="P1478" s="61" t="str">
        <f t="shared" si="162"/>
        <v>();</v>
      </c>
      <c r="S1478" s="61" t="str">
        <f t="shared" si="165"/>
        <v/>
      </c>
    </row>
    <row r="1479" spans="14:19">
      <c r="N1479" s="61" t="str">
        <f t="shared" si="166"/>
        <v/>
      </c>
      <c r="O1479" s="53" t="str">
        <f t="shared" si="164"/>
        <v>click</v>
      </c>
      <c r="P1479" s="61" t="str">
        <f t="shared" si="162"/>
        <v>();</v>
      </c>
      <c r="S1479" s="61" t="str">
        <f t="shared" si="165"/>
        <v/>
      </c>
    </row>
    <row r="1480" spans="14:19">
      <c r="N1480" s="61" t="str">
        <f t="shared" si="166"/>
        <v/>
      </c>
      <c r="O1480" s="53" t="str">
        <f t="shared" si="164"/>
        <v>click</v>
      </c>
      <c r="P1480" s="61" t="str">
        <f t="shared" si="162"/>
        <v>();</v>
      </c>
      <c r="S1480" s="61" t="str">
        <f t="shared" si="165"/>
        <v/>
      </c>
    </row>
    <row r="1481" spans="14:19">
      <c r="N1481" s="61" t="str">
        <f t="shared" si="166"/>
        <v/>
      </c>
      <c r="O1481" s="53" t="str">
        <f t="shared" si="164"/>
        <v>click</v>
      </c>
      <c r="P1481" s="61" t="str">
        <f t="shared" si="162"/>
        <v>();</v>
      </c>
      <c r="S1481" s="61" t="str">
        <f t="shared" si="165"/>
        <v/>
      </c>
    </row>
    <row r="1482" spans="14:19">
      <c r="N1482" s="61" t="str">
        <f t="shared" si="166"/>
        <v/>
      </c>
      <c r="O1482" s="53" t="str">
        <f t="shared" si="164"/>
        <v>click</v>
      </c>
      <c r="P1482" s="61" t="str">
        <f t="shared" si="162"/>
        <v>();</v>
      </c>
      <c r="S1482" s="61" t="str">
        <f t="shared" si="165"/>
        <v/>
      </c>
    </row>
    <row r="1483" spans="14:19">
      <c r="N1483" s="61" t="str">
        <f t="shared" si="166"/>
        <v/>
      </c>
      <c r="O1483" s="53" t="str">
        <f t="shared" si="164"/>
        <v>click</v>
      </c>
      <c r="P1483" s="61" t="str">
        <f t="shared" si="162"/>
        <v>();</v>
      </c>
      <c r="S1483" s="61" t="str">
        <f t="shared" si="165"/>
        <v/>
      </c>
    </row>
    <row r="1484" spans="14:19">
      <c r="N1484" s="61" t="str">
        <f t="shared" si="166"/>
        <v/>
      </c>
      <c r="O1484" s="53" t="str">
        <f t="shared" si="164"/>
        <v>click</v>
      </c>
      <c r="P1484" s="61" t="str">
        <f t="shared" ref="P1484:P1547" si="167">IF(OR(O1484="Click",O1484="innerText"),"();","("&amp;""""&amp;K1484&amp;""""&amp;");")</f>
        <v>();</v>
      </c>
      <c r="S1484" s="61" t="str">
        <f t="shared" si="165"/>
        <v/>
      </c>
    </row>
    <row r="1485" spans="14:19">
      <c r="N1485" s="61" t="str">
        <f t="shared" si="166"/>
        <v/>
      </c>
      <c r="O1485" s="53" t="str">
        <f t="shared" si="164"/>
        <v>click</v>
      </c>
      <c r="P1485" s="61" t="str">
        <f t="shared" si="167"/>
        <v>();</v>
      </c>
      <c r="S1485" s="61" t="str">
        <f t="shared" si="165"/>
        <v/>
      </c>
    </row>
    <row r="1486" spans="14:19">
      <c r="N1486" s="61" t="str">
        <f t="shared" si="166"/>
        <v/>
      </c>
      <c r="O1486" s="53" t="str">
        <f t="shared" si="164"/>
        <v>click</v>
      </c>
      <c r="P1486" s="61" t="str">
        <f t="shared" si="167"/>
        <v>();</v>
      </c>
      <c r="S1486" s="61" t="str">
        <f t="shared" si="165"/>
        <v/>
      </c>
    </row>
    <row r="1487" spans="14:19">
      <c r="N1487" s="61" t="str">
        <f t="shared" si="166"/>
        <v/>
      </c>
      <c r="O1487" s="53" t="str">
        <f t="shared" si="164"/>
        <v>click</v>
      </c>
      <c r="P1487" s="61" t="str">
        <f t="shared" si="167"/>
        <v>();</v>
      </c>
      <c r="S1487" s="61" t="str">
        <f t="shared" si="165"/>
        <v/>
      </c>
    </row>
    <row r="1488" spans="14:19">
      <c r="N1488" s="61" t="str">
        <f t="shared" si="166"/>
        <v/>
      </c>
      <c r="O1488" s="53" t="str">
        <f t="shared" si="164"/>
        <v>click</v>
      </c>
      <c r="P1488" s="61" t="str">
        <f t="shared" si="167"/>
        <v>();</v>
      </c>
      <c r="S1488" s="61" t="str">
        <f t="shared" si="165"/>
        <v/>
      </c>
    </row>
    <row r="1489" spans="14:19">
      <c r="N1489" s="61" t="str">
        <f t="shared" si="166"/>
        <v/>
      </c>
      <c r="O1489" s="53" t="str">
        <f t="shared" si="164"/>
        <v>click</v>
      </c>
      <c r="P1489" s="61" t="str">
        <f t="shared" si="167"/>
        <v>();</v>
      </c>
      <c r="S1489" s="61" t="str">
        <f t="shared" si="165"/>
        <v/>
      </c>
    </row>
    <row r="1490" spans="14:19">
      <c r="N1490" s="61" t="str">
        <f t="shared" si="166"/>
        <v/>
      </c>
      <c r="O1490" s="53" t="str">
        <f t="shared" si="164"/>
        <v>click</v>
      </c>
      <c r="P1490" s="61" t="str">
        <f t="shared" si="167"/>
        <v>();</v>
      </c>
      <c r="S1490" s="61" t="str">
        <f t="shared" si="165"/>
        <v/>
      </c>
    </row>
    <row r="1491" spans="14:19">
      <c r="N1491" s="61" t="str">
        <f t="shared" si="166"/>
        <v/>
      </c>
      <c r="O1491" s="53" t="str">
        <f t="shared" si="164"/>
        <v>click</v>
      </c>
      <c r="P1491" s="61" t="str">
        <f t="shared" si="167"/>
        <v>();</v>
      </c>
      <c r="S1491" s="61" t="str">
        <f t="shared" si="165"/>
        <v/>
      </c>
    </row>
    <row r="1492" spans="14:19">
      <c r="N1492" s="61" t="str">
        <f t="shared" si="166"/>
        <v/>
      </c>
      <c r="O1492" s="53" t="str">
        <f t="shared" si="164"/>
        <v>click</v>
      </c>
      <c r="P1492" s="61" t="str">
        <f t="shared" si="167"/>
        <v>();</v>
      </c>
      <c r="S1492" s="61" t="str">
        <f t="shared" si="165"/>
        <v/>
      </c>
    </row>
    <row r="1493" spans="14:19">
      <c r="N1493" s="61" t="str">
        <f t="shared" si="166"/>
        <v/>
      </c>
      <c r="O1493" s="53" t="str">
        <f t="shared" si="164"/>
        <v>click</v>
      </c>
      <c r="P1493" s="61" t="str">
        <f t="shared" si="167"/>
        <v>();</v>
      </c>
      <c r="S1493" s="61" t="str">
        <f t="shared" si="165"/>
        <v/>
      </c>
    </row>
    <row r="1494" spans="14:19">
      <c r="N1494" s="61" t="str">
        <f t="shared" si="166"/>
        <v/>
      </c>
      <c r="O1494" s="53" t="str">
        <f t="shared" si="164"/>
        <v>click</v>
      </c>
      <c r="P1494" s="61" t="str">
        <f t="shared" si="167"/>
        <v>();</v>
      </c>
      <c r="S1494" s="61" t="str">
        <f t="shared" si="165"/>
        <v/>
      </c>
    </row>
    <row r="1495" spans="14:19">
      <c r="N1495" s="61" t="str">
        <f t="shared" si="166"/>
        <v/>
      </c>
      <c r="O1495" s="53" t="str">
        <f t="shared" si="164"/>
        <v>click</v>
      </c>
      <c r="P1495" s="61" t="str">
        <f t="shared" si="167"/>
        <v>();</v>
      </c>
      <c r="S1495" s="61" t="str">
        <f t="shared" si="165"/>
        <v/>
      </c>
    </row>
    <row r="1496" spans="14:19">
      <c r="N1496" s="61" t="str">
        <f t="shared" si="166"/>
        <v/>
      </c>
      <c r="O1496" s="53" t="str">
        <f t="shared" si="164"/>
        <v>click</v>
      </c>
      <c r="P1496" s="61" t="str">
        <f t="shared" si="167"/>
        <v>();</v>
      </c>
      <c r="S1496" s="61" t="str">
        <f t="shared" si="165"/>
        <v/>
      </c>
    </row>
    <row r="1497" spans="14:19">
      <c r="N1497" s="61" t="str">
        <f t="shared" si="166"/>
        <v/>
      </c>
      <c r="O1497" s="53" t="str">
        <f t="shared" si="164"/>
        <v>click</v>
      </c>
      <c r="P1497" s="61" t="str">
        <f t="shared" si="167"/>
        <v>();</v>
      </c>
      <c r="S1497" s="61" t="str">
        <f t="shared" si="165"/>
        <v/>
      </c>
    </row>
    <row r="1498" spans="14:19">
      <c r="N1498" s="61" t="str">
        <f t="shared" si="166"/>
        <v/>
      </c>
      <c r="O1498" s="53" t="str">
        <f t="shared" si="164"/>
        <v>click</v>
      </c>
      <c r="P1498" s="61" t="str">
        <f t="shared" si="167"/>
        <v>();</v>
      </c>
      <c r="S1498" s="61" t="str">
        <f t="shared" si="165"/>
        <v/>
      </c>
    </row>
    <row r="1499" spans="14:19">
      <c r="N1499" s="61" t="str">
        <f t="shared" si="166"/>
        <v/>
      </c>
      <c r="O1499" s="53" t="str">
        <f t="shared" si="164"/>
        <v>click</v>
      </c>
      <c r="P1499" s="61" t="str">
        <f t="shared" si="167"/>
        <v>();</v>
      </c>
      <c r="S1499" s="61" t="str">
        <f t="shared" si="165"/>
        <v/>
      </c>
    </row>
    <row r="1500" spans="14:19">
      <c r="N1500" s="61" t="str">
        <f t="shared" si="166"/>
        <v/>
      </c>
      <c r="O1500" s="53" t="str">
        <f t="shared" si="164"/>
        <v>click</v>
      </c>
      <c r="P1500" s="61" t="str">
        <f t="shared" si="167"/>
        <v>();</v>
      </c>
      <c r="S1500" s="61" t="str">
        <f t="shared" si="165"/>
        <v/>
      </c>
    </row>
    <row r="1501" spans="14:19">
      <c r="N1501" s="61" t="str">
        <f t="shared" ref="N1501:N1506" si="168">IF(A1501="Y",""""&amp;C1501&amp;""""&amp;": "&amp;M1501&amp;",","")</f>
        <v/>
      </c>
      <c r="O1501" s="53" t="str">
        <f t="shared" ref="O1501:O1564" si="169">IF(D1501="input","fill",IF(I1501&lt;&gt;"","innerText",IF(J1501="Y",$T$110,"click")))</f>
        <v>click</v>
      </c>
      <c r="P1501" s="61" t="str">
        <f t="shared" si="167"/>
        <v>();</v>
      </c>
      <c r="S1501" s="61" t="str">
        <f t="shared" si="165"/>
        <v/>
      </c>
    </row>
    <row r="1502" spans="14:19">
      <c r="N1502" s="61" t="str">
        <f t="shared" si="168"/>
        <v/>
      </c>
      <c r="O1502" s="53" t="str">
        <f t="shared" si="169"/>
        <v>click</v>
      </c>
      <c r="P1502" s="61" t="str">
        <f t="shared" si="167"/>
        <v>();</v>
      </c>
      <c r="S1502" s="61" t="str">
        <f t="shared" ref="S1502:S1565" si="170">IF(O1502="innerText",I1502&amp;"="&amp;IF(C1502="Y",IF(J1502&lt;&gt;"Y",$S$9&amp;$R$10&amp;"."&amp;E1502&amp;")."&amp;IF(OR(O1502="click",O1502="innerText"),O1502&amp;"();",O1502&amp;"("&amp;$Q$9&amp;"."&amp;E1502&amp;");"),$S$110&amp;$R$10&amp;"."&amp;E1502&amp;")."&amp;IF(O1502="click",O1502&amp;"();",O1502&amp;"("&amp;"'"&amp;K1502&amp;"'"&amp;");")),""),IF(C1502="Y",IF(J1502&lt;&gt;"Y",$S$9&amp;$R$10&amp;"."&amp;E1502&amp;")."&amp;IF(OR(O1502="click",O1502="innerText"),O1502&amp;"();",O1502&amp;"("&amp;$Q$9&amp;"."&amp;E1502&amp;");"),$S$110&amp;$R$10&amp;"."&amp;E1502&amp;")."&amp;IF(O1502="click",O1502&amp;"();",O1502&amp;"("&amp;"'"&amp;K1502&amp;"'"&amp;");")),""))</f>
        <v/>
      </c>
    </row>
    <row r="1503" spans="14:19">
      <c r="N1503" s="61" t="str">
        <f t="shared" si="168"/>
        <v/>
      </c>
      <c r="O1503" s="53" t="str">
        <f t="shared" si="169"/>
        <v>click</v>
      </c>
      <c r="P1503" s="61" t="str">
        <f t="shared" si="167"/>
        <v>();</v>
      </c>
      <c r="S1503" s="61" t="str">
        <f t="shared" si="170"/>
        <v/>
      </c>
    </row>
    <row r="1504" spans="14:19">
      <c r="N1504" s="61" t="str">
        <f t="shared" si="168"/>
        <v/>
      </c>
      <c r="O1504" s="53" t="str">
        <f t="shared" si="169"/>
        <v>click</v>
      </c>
      <c r="P1504" s="61" t="str">
        <f t="shared" si="167"/>
        <v>();</v>
      </c>
      <c r="S1504" s="61" t="str">
        <f t="shared" si="170"/>
        <v/>
      </c>
    </row>
    <row r="1505" spans="14:19">
      <c r="N1505" s="61" t="str">
        <f t="shared" si="168"/>
        <v/>
      </c>
      <c r="O1505" s="53" t="str">
        <f t="shared" si="169"/>
        <v>click</v>
      </c>
      <c r="P1505" s="61" t="str">
        <f t="shared" si="167"/>
        <v>();</v>
      </c>
      <c r="S1505" s="61" t="str">
        <f t="shared" si="170"/>
        <v/>
      </c>
    </row>
    <row r="1506" spans="14:19">
      <c r="N1506" s="61" t="str">
        <f t="shared" si="168"/>
        <v/>
      </c>
      <c r="O1506" s="53" t="str">
        <f t="shared" si="169"/>
        <v>click</v>
      </c>
      <c r="P1506" s="61" t="str">
        <f t="shared" si="167"/>
        <v>();</v>
      </c>
      <c r="S1506" s="61" t="str">
        <f t="shared" si="170"/>
        <v/>
      </c>
    </row>
    <row r="1507" spans="14:19">
      <c r="O1507" s="53" t="str">
        <f t="shared" si="169"/>
        <v>click</v>
      </c>
      <c r="P1507" s="61" t="str">
        <f t="shared" si="167"/>
        <v>();</v>
      </c>
      <c r="S1507" s="61" t="str">
        <f t="shared" si="170"/>
        <v/>
      </c>
    </row>
    <row r="1508" spans="14:19">
      <c r="O1508" s="53" t="str">
        <f t="shared" si="169"/>
        <v>click</v>
      </c>
      <c r="P1508" s="61" t="str">
        <f t="shared" si="167"/>
        <v>();</v>
      </c>
      <c r="S1508" s="61" t="str">
        <f t="shared" si="170"/>
        <v/>
      </c>
    </row>
    <row r="1509" spans="14:19">
      <c r="O1509" s="53" t="str">
        <f t="shared" si="169"/>
        <v>click</v>
      </c>
      <c r="P1509" s="61" t="str">
        <f t="shared" si="167"/>
        <v>();</v>
      </c>
      <c r="S1509" s="61" t="str">
        <f t="shared" si="170"/>
        <v/>
      </c>
    </row>
    <row r="1510" spans="14:19">
      <c r="O1510" s="53" t="str">
        <f t="shared" si="169"/>
        <v>click</v>
      </c>
      <c r="P1510" s="61" t="str">
        <f t="shared" si="167"/>
        <v>();</v>
      </c>
      <c r="S1510" s="61" t="str">
        <f t="shared" si="170"/>
        <v/>
      </c>
    </row>
    <row r="1511" spans="14:19">
      <c r="O1511" s="53" t="str">
        <f t="shared" si="169"/>
        <v>click</v>
      </c>
      <c r="P1511" s="61" t="str">
        <f t="shared" si="167"/>
        <v>();</v>
      </c>
      <c r="S1511" s="61" t="str">
        <f t="shared" si="170"/>
        <v/>
      </c>
    </row>
    <row r="1512" spans="14:19">
      <c r="O1512" s="53" t="str">
        <f t="shared" si="169"/>
        <v>click</v>
      </c>
      <c r="P1512" s="61" t="str">
        <f t="shared" si="167"/>
        <v>();</v>
      </c>
      <c r="S1512" s="61" t="str">
        <f t="shared" si="170"/>
        <v/>
      </c>
    </row>
    <row r="1513" spans="14:19">
      <c r="O1513" s="53" t="str">
        <f t="shared" si="169"/>
        <v>click</v>
      </c>
      <c r="P1513" s="61" t="str">
        <f t="shared" si="167"/>
        <v>();</v>
      </c>
      <c r="S1513" s="61" t="str">
        <f t="shared" si="170"/>
        <v/>
      </c>
    </row>
    <row r="1514" spans="14:19">
      <c r="O1514" s="53" t="str">
        <f t="shared" si="169"/>
        <v>click</v>
      </c>
      <c r="P1514" s="61" t="str">
        <f t="shared" si="167"/>
        <v>();</v>
      </c>
      <c r="S1514" s="61" t="str">
        <f t="shared" si="170"/>
        <v/>
      </c>
    </row>
    <row r="1515" spans="14:19">
      <c r="O1515" s="53" t="str">
        <f t="shared" si="169"/>
        <v>click</v>
      </c>
      <c r="P1515" s="61" t="str">
        <f t="shared" si="167"/>
        <v>();</v>
      </c>
      <c r="S1515" s="61" t="str">
        <f t="shared" si="170"/>
        <v/>
      </c>
    </row>
    <row r="1516" spans="14:19">
      <c r="O1516" s="53" t="str">
        <f t="shared" si="169"/>
        <v>click</v>
      </c>
      <c r="P1516" s="61" t="str">
        <f t="shared" si="167"/>
        <v>();</v>
      </c>
      <c r="S1516" s="61" t="str">
        <f t="shared" si="170"/>
        <v/>
      </c>
    </row>
    <row r="1517" spans="14:19">
      <c r="O1517" s="53" t="str">
        <f t="shared" si="169"/>
        <v>click</v>
      </c>
      <c r="P1517" s="61" t="str">
        <f t="shared" si="167"/>
        <v>();</v>
      </c>
      <c r="S1517" s="61" t="str">
        <f t="shared" si="170"/>
        <v/>
      </c>
    </row>
    <row r="1518" spans="14:19">
      <c r="O1518" s="53" t="str">
        <f t="shared" si="169"/>
        <v>click</v>
      </c>
      <c r="P1518" s="61" t="str">
        <f t="shared" si="167"/>
        <v>();</v>
      </c>
      <c r="S1518" s="61" t="str">
        <f t="shared" si="170"/>
        <v/>
      </c>
    </row>
    <row r="1519" spans="14:19">
      <c r="O1519" s="53" t="str">
        <f t="shared" si="169"/>
        <v>click</v>
      </c>
      <c r="P1519" s="61" t="str">
        <f t="shared" si="167"/>
        <v>();</v>
      </c>
      <c r="S1519" s="61" t="str">
        <f t="shared" si="170"/>
        <v/>
      </c>
    </row>
    <row r="1520" spans="14:19">
      <c r="O1520" s="53" t="str">
        <f t="shared" si="169"/>
        <v>click</v>
      </c>
      <c r="P1520" s="61" t="str">
        <f t="shared" si="167"/>
        <v>();</v>
      </c>
      <c r="S1520" s="61" t="str">
        <f t="shared" si="170"/>
        <v/>
      </c>
    </row>
    <row r="1521" spans="15:19">
      <c r="O1521" s="53" t="str">
        <f t="shared" si="169"/>
        <v>click</v>
      </c>
      <c r="P1521" s="61" t="str">
        <f t="shared" si="167"/>
        <v>();</v>
      </c>
      <c r="S1521" s="61" t="str">
        <f t="shared" si="170"/>
        <v/>
      </c>
    </row>
    <row r="1522" spans="15:19">
      <c r="O1522" s="53" t="str">
        <f t="shared" si="169"/>
        <v>click</v>
      </c>
      <c r="P1522" s="61" t="str">
        <f t="shared" si="167"/>
        <v>();</v>
      </c>
      <c r="S1522" s="61" t="str">
        <f t="shared" si="170"/>
        <v/>
      </c>
    </row>
    <row r="1523" spans="15:19">
      <c r="O1523" s="53" t="str">
        <f t="shared" si="169"/>
        <v>click</v>
      </c>
      <c r="P1523" s="61" t="str">
        <f t="shared" si="167"/>
        <v>();</v>
      </c>
      <c r="S1523" s="61" t="str">
        <f t="shared" si="170"/>
        <v/>
      </c>
    </row>
    <row r="1524" spans="15:19">
      <c r="O1524" s="53" t="str">
        <f t="shared" si="169"/>
        <v>click</v>
      </c>
      <c r="P1524" s="61" t="str">
        <f t="shared" si="167"/>
        <v>();</v>
      </c>
      <c r="S1524" s="61" t="str">
        <f t="shared" si="170"/>
        <v/>
      </c>
    </row>
    <row r="1525" spans="15:19">
      <c r="O1525" s="53" t="str">
        <f t="shared" si="169"/>
        <v>click</v>
      </c>
      <c r="P1525" s="61" t="str">
        <f t="shared" si="167"/>
        <v>();</v>
      </c>
      <c r="S1525" s="61" t="str">
        <f t="shared" si="170"/>
        <v/>
      </c>
    </row>
    <row r="1526" spans="15:19">
      <c r="O1526" s="53" t="str">
        <f t="shared" si="169"/>
        <v>click</v>
      </c>
      <c r="P1526" s="61" t="str">
        <f t="shared" si="167"/>
        <v>();</v>
      </c>
      <c r="S1526" s="61" t="str">
        <f t="shared" si="170"/>
        <v/>
      </c>
    </row>
    <row r="1527" spans="15:19">
      <c r="O1527" s="53" t="str">
        <f t="shared" si="169"/>
        <v>click</v>
      </c>
      <c r="P1527" s="61" t="str">
        <f t="shared" si="167"/>
        <v>();</v>
      </c>
      <c r="S1527" s="61" t="str">
        <f t="shared" si="170"/>
        <v/>
      </c>
    </row>
    <row r="1528" spans="15:19">
      <c r="O1528" s="53" t="str">
        <f t="shared" si="169"/>
        <v>click</v>
      </c>
      <c r="P1528" s="61" t="str">
        <f t="shared" si="167"/>
        <v>();</v>
      </c>
      <c r="S1528" s="61" t="str">
        <f t="shared" si="170"/>
        <v/>
      </c>
    </row>
    <row r="1529" spans="15:19">
      <c r="O1529" s="53" t="str">
        <f t="shared" si="169"/>
        <v>click</v>
      </c>
      <c r="P1529" s="61" t="str">
        <f t="shared" si="167"/>
        <v>();</v>
      </c>
      <c r="S1529" s="61" t="str">
        <f t="shared" si="170"/>
        <v/>
      </c>
    </row>
    <row r="1530" spans="15:19">
      <c r="O1530" s="53" t="str">
        <f t="shared" si="169"/>
        <v>click</v>
      </c>
      <c r="P1530" s="61" t="str">
        <f t="shared" si="167"/>
        <v>();</v>
      </c>
      <c r="S1530" s="61" t="str">
        <f t="shared" si="170"/>
        <v/>
      </c>
    </row>
    <row r="1531" spans="15:19">
      <c r="O1531" s="53" t="str">
        <f t="shared" si="169"/>
        <v>click</v>
      </c>
      <c r="P1531" s="61" t="str">
        <f t="shared" si="167"/>
        <v>();</v>
      </c>
      <c r="S1531" s="61" t="str">
        <f t="shared" si="170"/>
        <v/>
      </c>
    </row>
    <row r="1532" spans="15:19">
      <c r="O1532" s="53" t="str">
        <f t="shared" si="169"/>
        <v>click</v>
      </c>
      <c r="P1532" s="61" t="str">
        <f t="shared" si="167"/>
        <v>();</v>
      </c>
      <c r="S1532" s="61" t="str">
        <f t="shared" si="170"/>
        <v/>
      </c>
    </row>
    <row r="1533" spans="15:19">
      <c r="O1533" s="53" t="str">
        <f t="shared" si="169"/>
        <v>click</v>
      </c>
      <c r="P1533" s="61" t="str">
        <f t="shared" si="167"/>
        <v>();</v>
      </c>
      <c r="S1533" s="61" t="str">
        <f t="shared" si="170"/>
        <v/>
      </c>
    </row>
    <row r="1534" spans="15:19">
      <c r="O1534" s="53" t="str">
        <f t="shared" si="169"/>
        <v>click</v>
      </c>
      <c r="P1534" s="61" t="str">
        <f t="shared" si="167"/>
        <v>();</v>
      </c>
      <c r="S1534" s="61" t="str">
        <f t="shared" si="170"/>
        <v/>
      </c>
    </row>
    <row r="1535" spans="15:19">
      <c r="O1535" s="53" t="str">
        <f t="shared" si="169"/>
        <v>click</v>
      </c>
      <c r="P1535" s="61" t="str">
        <f t="shared" si="167"/>
        <v>();</v>
      </c>
      <c r="S1535" s="61" t="str">
        <f t="shared" si="170"/>
        <v/>
      </c>
    </row>
    <row r="1536" spans="15:19">
      <c r="O1536" s="53" t="str">
        <f t="shared" si="169"/>
        <v>click</v>
      </c>
      <c r="P1536" s="61" t="str">
        <f t="shared" si="167"/>
        <v>();</v>
      </c>
      <c r="S1536" s="61" t="str">
        <f t="shared" si="170"/>
        <v/>
      </c>
    </row>
    <row r="1537" spans="15:19">
      <c r="O1537" s="53" t="str">
        <f t="shared" si="169"/>
        <v>click</v>
      </c>
      <c r="P1537" s="61" t="str">
        <f t="shared" si="167"/>
        <v>();</v>
      </c>
      <c r="S1537" s="61" t="str">
        <f t="shared" si="170"/>
        <v/>
      </c>
    </row>
    <row r="1538" spans="15:19">
      <c r="O1538" s="53" t="str">
        <f t="shared" si="169"/>
        <v>click</v>
      </c>
      <c r="P1538" s="61" t="str">
        <f t="shared" si="167"/>
        <v>();</v>
      </c>
      <c r="S1538" s="61" t="str">
        <f t="shared" si="170"/>
        <v/>
      </c>
    </row>
    <row r="1539" spans="15:19">
      <c r="O1539" s="53" t="str">
        <f t="shared" si="169"/>
        <v>click</v>
      </c>
      <c r="P1539" s="61" t="str">
        <f t="shared" si="167"/>
        <v>();</v>
      </c>
      <c r="S1539" s="61" t="str">
        <f t="shared" si="170"/>
        <v/>
      </c>
    </row>
    <row r="1540" spans="15:19">
      <c r="O1540" s="53" t="str">
        <f t="shared" si="169"/>
        <v>click</v>
      </c>
      <c r="P1540" s="61" t="str">
        <f t="shared" si="167"/>
        <v>();</v>
      </c>
      <c r="S1540" s="61" t="str">
        <f t="shared" si="170"/>
        <v/>
      </c>
    </row>
    <row r="1541" spans="15:19">
      <c r="O1541" s="53" t="str">
        <f t="shared" si="169"/>
        <v>click</v>
      </c>
      <c r="P1541" s="61" t="str">
        <f t="shared" si="167"/>
        <v>();</v>
      </c>
      <c r="S1541" s="61" t="str">
        <f t="shared" si="170"/>
        <v/>
      </c>
    </row>
    <row r="1542" spans="15:19">
      <c r="O1542" s="53" t="str">
        <f t="shared" si="169"/>
        <v>click</v>
      </c>
      <c r="P1542" s="61" t="str">
        <f t="shared" si="167"/>
        <v>();</v>
      </c>
      <c r="S1542" s="61" t="str">
        <f t="shared" si="170"/>
        <v/>
      </c>
    </row>
    <row r="1543" spans="15:19">
      <c r="O1543" s="53" t="str">
        <f t="shared" si="169"/>
        <v>click</v>
      </c>
      <c r="P1543" s="61" t="str">
        <f t="shared" si="167"/>
        <v>();</v>
      </c>
      <c r="S1543" s="61" t="str">
        <f t="shared" si="170"/>
        <v/>
      </c>
    </row>
    <row r="1544" spans="15:19">
      <c r="O1544" s="53" t="str">
        <f t="shared" si="169"/>
        <v>click</v>
      </c>
      <c r="P1544" s="61" t="str">
        <f t="shared" si="167"/>
        <v>();</v>
      </c>
      <c r="S1544" s="61" t="str">
        <f t="shared" si="170"/>
        <v/>
      </c>
    </row>
    <row r="1545" spans="15:19">
      <c r="O1545" s="53" t="str">
        <f t="shared" si="169"/>
        <v>click</v>
      </c>
      <c r="P1545" s="61" t="str">
        <f t="shared" si="167"/>
        <v>();</v>
      </c>
      <c r="S1545" s="61" t="str">
        <f t="shared" si="170"/>
        <v/>
      </c>
    </row>
    <row r="1546" spans="15:19">
      <c r="O1546" s="53" t="str">
        <f t="shared" si="169"/>
        <v>click</v>
      </c>
      <c r="P1546" s="61" t="str">
        <f t="shared" si="167"/>
        <v>();</v>
      </c>
      <c r="S1546" s="61" t="str">
        <f t="shared" si="170"/>
        <v/>
      </c>
    </row>
    <row r="1547" spans="15:19">
      <c r="O1547" s="53" t="str">
        <f t="shared" si="169"/>
        <v>click</v>
      </c>
      <c r="P1547" s="61" t="str">
        <f t="shared" si="167"/>
        <v>();</v>
      </c>
      <c r="S1547" s="61" t="str">
        <f t="shared" si="170"/>
        <v/>
      </c>
    </row>
    <row r="1548" spans="15:19">
      <c r="O1548" s="53" t="str">
        <f t="shared" si="169"/>
        <v>click</v>
      </c>
      <c r="P1548" s="61" t="str">
        <f t="shared" ref="P1548:P1608" si="171">IF(OR(O1548="Click",O1548="innerText"),"();","("&amp;""""&amp;K1548&amp;""""&amp;");")</f>
        <v>();</v>
      </c>
      <c r="S1548" s="61" t="str">
        <f t="shared" si="170"/>
        <v/>
      </c>
    </row>
    <row r="1549" spans="15:19">
      <c r="O1549" s="53" t="str">
        <f t="shared" si="169"/>
        <v>click</v>
      </c>
      <c r="P1549" s="61" t="str">
        <f t="shared" si="171"/>
        <v>();</v>
      </c>
      <c r="S1549" s="61" t="str">
        <f t="shared" si="170"/>
        <v/>
      </c>
    </row>
    <row r="1550" spans="15:19">
      <c r="O1550" s="53" t="str">
        <f t="shared" si="169"/>
        <v>click</v>
      </c>
      <c r="P1550" s="61" t="str">
        <f t="shared" si="171"/>
        <v>();</v>
      </c>
      <c r="S1550" s="61" t="str">
        <f t="shared" si="170"/>
        <v/>
      </c>
    </row>
    <row r="1551" spans="15:19">
      <c r="O1551" s="53" t="str">
        <f t="shared" si="169"/>
        <v>click</v>
      </c>
      <c r="P1551" s="61" t="str">
        <f t="shared" si="171"/>
        <v>();</v>
      </c>
      <c r="S1551" s="61" t="str">
        <f t="shared" si="170"/>
        <v/>
      </c>
    </row>
    <row r="1552" spans="15:19">
      <c r="O1552" s="53" t="str">
        <f t="shared" si="169"/>
        <v>click</v>
      </c>
      <c r="P1552" s="61" t="str">
        <f t="shared" si="171"/>
        <v>();</v>
      </c>
      <c r="S1552" s="61" t="str">
        <f t="shared" si="170"/>
        <v/>
      </c>
    </row>
    <row r="1553" spans="15:19">
      <c r="O1553" s="53" t="str">
        <f t="shared" si="169"/>
        <v>click</v>
      </c>
      <c r="P1553" s="61" t="str">
        <f t="shared" si="171"/>
        <v>();</v>
      </c>
      <c r="S1553" s="61" t="str">
        <f t="shared" si="170"/>
        <v/>
      </c>
    </row>
    <row r="1554" spans="15:19">
      <c r="O1554" s="53" t="str">
        <f t="shared" si="169"/>
        <v>click</v>
      </c>
      <c r="P1554" s="61" t="str">
        <f t="shared" si="171"/>
        <v>();</v>
      </c>
      <c r="S1554" s="61" t="str">
        <f t="shared" si="170"/>
        <v/>
      </c>
    </row>
    <row r="1555" spans="15:19">
      <c r="O1555" s="53" t="str">
        <f t="shared" si="169"/>
        <v>click</v>
      </c>
      <c r="P1555" s="61" t="str">
        <f t="shared" si="171"/>
        <v>();</v>
      </c>
      <c r="S1555" s="61" t="str">
        <f t="shared" si="170"/>
        <v/>
      </c>
    </row>
    <row r="1556" spans="15:19">
      <c r="O1556" s="53" t="str">
        <f t="shared" si="169"/>
        <v>click</v>
      </c>
      <c r="P1556" s="61" t="str">
        <f t="shared" si="171"/>
        <v>();</v>
      </c>
      <c r="S1556" s="61" t="str">
        <f t="shared" si="170"/>
        <v/>
      </c>
    </row>
    <row r="1557" spans="15:19">
      <c r="O1557" s="53" t="str">
        <f t="shared" si="169"/>
        <v>click</v>
      </c>
      <c r="P1557" s="61" t="str">
        <f t="shared" si="171"/>
        <v>();</v>
      </c>
      <c r="S1557" s="61" t="str">
        <f t="shared" si="170"/>
        <v/>
      </c>
    </row>
    <row r="1558" spans="15:19">
      <c r="O1558" s="53" t="str">
        <f t="shared" si="169"/>
        <v>click</v>
      </c>
      <c r="P1558" s="61" t="str">
        <f t="shared" si="171"/>
        <v>();</v>
      </c>
      <c r="S1558" s="61" t="str">
        <f t="shared" si="170"/>
        <v/>
      </c>
    </row>
    <row r="1559" spans="15:19">
      <c r="O1559" s="53" t="str">
        <f t="shared" si="169"/>
        <v>click</v>
      </c>
      <c r="P1559" s="61" t="str">
        <f t="shared" si="171"/>
        <v>();</v>
      </c>
      <c r="S1559" s="61" t="str">
        <f t="shared" si="170"/>
        <v/>
      </c>
    </row>
    <row r="1560" spans="15:19">
      <c r="O1560" s="53" t="str">
        <f t="shared" si="169"/>
        <v>click</v>
      </c>
      <c r="P1560" s="61" t="str">
        <f t="shared" si="171"/>
        <v>();</v>
      </c>
      <c r="S1560" s="61" t="str">
        <f t="shared" si="170"/>
        <v/>
      </c>
    </row>
    <row r="1561" spans="15:19">
      <c r="O1561" s="53" t="str">
        <f t="shared" si="169"/>
        <v>click</v>
      </c>
      <c r="P1561" s="61" t="str">
        <f t="shared" si="171"/>
        <v>();</v>
      </c>
      <c r="S1561" s="61" t="str">
        <f t="shared" si="170"/>
        <v/>
      </c>
    </row>
    <row r="1562" spans="15:19">
      <c r="O1562" s="53" t="str">
        <f t="shared" si="169"/>
        <v>click</v>
      </c>
      <c r="P1562" s="61" t="str">
        <f t="shared" si="171"/>
        <v>();</v>
      </c>
      <c r="S1562" s="61" t="str">
        <f t="shared" si="170"/>
        <v/>
      </c>
    </row>
    <row r="1563" spans="15:19">
      <c r="O1563" s="53" t="str">
        <f t="shared" si="169"/>
        <v>click</v>
      </c>
      <c r="P1563" s="61" t="str">
        <f t="shared" si="171"/>
        <v>();</v>
      </c>
      <c r="S1563" s="61" t="str">
        <f t="shared" si="170"/>
        <v/>
      </c>
    </row>
    <row r="1564" spans="15:19">
      <c r="O1564" s="53" t="str">
        <f t="shared" si="169"/>
        <v>click</v>
      </c>
      <c r="P1564" s="61" t="str">
        <f t="shared" si="171"/>
        <v>();</v>
      </c>
      <c r="S1564" s="61" t="str">
        <f t="shared" si="170"/>
        <v/>
      </c>
    </row>
    <row r="1565" spans="15:19">
      <c r="O1565" s="53" t="str">
        <f t="shared" ref="O1565:O1628" si="172">IF(D1565="input","fill",IF(I1565&lt;&gt;"","innerText",IF(J1565="Y",$T$110,"click")))</f>
        <v>click</v>
      </c>
      <c r="P1565" s="61" t="str">
        <f t="shared" si="171"/>
        <v>();</v>
      </c>
      <c r="S1565" s="61" t="str">
        <f t="shared" si="170"/>
        <v/>
      </c>
    </row>
    <row r="1566" spans="15:19">
      <c r="O1566" s="53" t="str">
        <f t="shared" si="172"/>
        <v>click</v>
      </c>
      <c r="P1566" s="61" t="str">
        <f t="shared" si="171"/>
        <v>();</v>
      </c>
      <c r="S1566" s="61" t="str">
        <f t="shared" ref="S1566:S1629" si="173">IF(O1566="innerText",I1566&amp;"="&amp;IF(C1566="Y",IF(J1566&lt;&gt;"Y",$S$9&amp;$R$10&amp;"."&amp;E1566&amp;")."&amp;IF(OR(O1566="click",O1566="innerText"),O1566&amp;"();",O1566&amp;"("&amp;$Q$9&amp;"."&amp;E1566&amp;");"),$S$110&amp;$R$10&amp;"."&amp;E1566&amp;")."&amp;IF(O1566="click",O1566&amp;"();",O1566&amp;"("&amp;"'"&amp;K1566&amp;"'"&amp;");")),""),IF(C1566="Y",IF(J1566&lt;&gt;"Y",$S$9&amp;$R$10&amp;"."&amp;E1566&amp;")."&amp;IF(OR(O1566="click",O1566="innerText"),O1566&amp;"();",O1566&amp;"("&amp;$Q$9&amp;"."&amp;E1566&amp;");"),$S$110&amp;$R$10&amp;"."&amp;E1566&amp;")."&amp;IF(O1566="click",O1566&amp;"();",O1566&amp;"("&amp;"'"&amp;K1566&amp;"'"&amp;");")),""))</f>
        <v/>
      </c>
    </row>
    <row r="1567" spans="15:19">
      <c r="O1567" s="53" t="str">
        <f t="shared" si="172"/>
        <v>click</v>
      </c>
      <c r="P1567" s="61" t="str">
        <f t="shared" si="171"/>
        <v>();</v>
      </c>
      <c r="S1567" s="61" t="str">
        <f t="shared" si="173"/>
        <v/>
      </c>
    </row>
    <row r="1568" spans="15:19">
      <c r="O1568" s="53" t="str">
        <f t="shared" si="172"/>
        <v>click</v>
      </c>
      <c r="P1568" s="61" t="str">
        <f t="shared" si="171"/>
        <v>();</v>
      </c>
      <c r="S1568" s="61" t="str">
        <f t="shared" si="173"/>
        <v/>
      </c>
    </row>
    <row r="1569" spans="15:19">
      <c r="O1569" s="53" t="str">
        <f t="shared" si="172"/>
        <v>click</v>
      </c>
      <c r="P1569" s="61" t="str">
        <f t="shared" si="171"/>
        <v>();</v>
      </c>
      <c r="S1569" s="61" t="str">
        <f t="shared" si="173"/>
        <v/>
      </c>
    </row>
    <row r="1570" spans="15:19">
      <c r="O1570" s="53" t="str">
        <f t="shared" si="172"/>
        <v>click</v>
      </c>
      <c r="P1570" s="61" t="str">
        <f t="shared" si="171"/>
        <v>();</v>
      </c>
      <c r="S1570" s="61" t="str">
        <f t="shared" si="173"/>
        <v/>
      </c>
    </row>
    <row r="1571" spans="15:19">
      <c r="O1571" s="53" t="str">
        <f t="shared" si="172"/>
        <v>click</v>
      </c>
      <c r="P1571" s="61" t="str">
        <f t="shared" si="171"/>
        <v>();</v>
      </c>
      <c r="S1571" s="61" t="str">
        <f t="shared" si="173"/>
        <v/>
      </c>
    </row>
    <row r="1572" spans="15:19">
      <c r="O1572" s="53" t="str">
        <f t="shared" si="172"/>
        <v>click</v>
      </c>
      <c r="P1572" s="61" t="str">
        <f t="shared" si="171"/>
        <v>();</v>
      </c>
      <c r="S1572" s="61" t="str">
        <f t="shared" si="173"/>
        <v/>
      </c>
    </row>
    <row r="1573" spans="15:19">
      <c r="O1573" s="53" t="str">
        <f t="shared" si="172"/>
        <v>click</v>
      </c>
      <c r="P1573" s="61" t="str">
        <f t="shared" si="171"/>
        <v>();</v>
      </c>
      <c r="S1573" s="61" t="str">
        <f t="shared" si="173"/>
        <v/>
      </c>
    </row>
    <row r="1574" spans="15:19">
      <c r="O1574" s="53" t="str">
        <f t="shared" si="172"/>
        <v>click</v>
      </c>
      <c r="P1574" s="61" t="str">
        <f t="shared" si="171"/>
        <v>();</v>
      </c>
      <c r="S1574" s="61" t="str">
        <f t="shared" si="173"/>
        <v/>
      </c>
    </row>
    <row r="1575" spans="15:19">
      <c r="O1575" s="53" t="str">
        <f t="shared" si="172"/>
        <v>click</v>
      </c>
      <c r="P1575" s="61" t="str">
        <f t="shared" si="171"/>
        <v>();</v>
      </c>
      <c r="S1575" s="61" t="str">
        <f t="shared" si="173"/>
        <v/>
      </c>
    </row>
    <row r="1576" spans="15:19">
      <c r="O1576" s="53" t="str">
        <f t="shared" si="172"/>
        <v>click</v>
      </c>
      <c r="P1576" s="61" t="str">
        <f t="shared" si="171"/>
        <v>();</v>
      </c>
      <c r="S1576" s="61" t="str">
        <f t="shared" si="173"/>
        <v/>
      </c>
    </row>
    <row r="1577" spans="15:19">
      <c r="O1577" s="53" t="str">
        <f t="shared" si="172"/>
        <v>click</v>
      </c>
      <c r="P1577" s="61" t="str">
        <f t="shared" si="171"/>
        <v>();</v>
      </c>
      <c r="S1577" s="61" t="str">
        <f t="shared" si="173"/>
        <v/>
      </c>
    </row>
    <row r="1578" spans="15:19">
      <c r="O1578" s="53" t="str">
        <f t="shared" si="172"/>
        <v>click</v>
      </c>
      <c r="P1578" s="61" t="str">
        <f t="shared" si="171"/>
        <v>();</v>
      </c>
      <c r="S1578" s="61" t="str">
        <f t="shared" si="173"/>
        <v/>
      </c>
    </row>
    <row r="1579" spans="15:19">
      <c r="O1579" s="53" t="str">
        <f t="shared" si="172"/>
        <v>click</v>
      </c>
      <c r="P1579" s="61" t="str">
        <f t="shared" si="171"/>
        <v>();</v>
      </c>
      <c r="S1579" s="61" t="str">
        <f t="shared" si="173"/>
        <v/>
      </c>
    </row>
    <row r="1580" spans="15:19">
      <c r="O1580" s="53" t="str">
        <f t="shared" si="172"/>
        <v>click</v>
      </c>
      <c r="P1580" s="61" t="str">
        <f t="shared" si="171"/>
        <v>();</v>
      </c>
      <c r="S1580" s="61" t="str">
        <f t="shared" si="173"/>
        <v/>
      </c>
    </row>
    <row r="1581" spans="15:19">
      <c r="O1581" s="53" t="str">
        <f t="shared" si="172"/>
        <v>click</v>
      </c>
      <c r="P1581" s="61" t="str">
        <f t="shared" si="171"/>
        <v>();</v>
      </c>
      <c r="S1581" s="61" t="str">
        <f t="shared" si="173"/>
        <v/>
      </c>
    </row>
    <row r="1582" spans="15:19">
      <c r="O1582" s="53" t="str">
        <f t="shared" si="172"/>
        <v>click</v>
      </c>
      <c r="P1582" s="61" t="str">
        <f t="shared" si="171"/>
        <v>();</v>
      </c>
      <c r="S1582" s="61" t="str">
        <f t="shared" si="173"/>
        <v/>
      </c>
    </row>
    <row r="1583" spans="15:19">
      <c r="O1583" s="53" t="str">
        <f t="shared" si="172"/>
        <v>click</v>
      </c>
      <c r="P1583" s="61" t="str">
        <f t="shared" si="171"/>
        <v>();</v>
      </c>
      <c r="S1583" s="61" t="str">
        <f t="shared" si="173"/>
        <v/>
      </c>
    </row>
    <row r="1584" spans="15:19">
      <c r="O1584" s="53" t="str">
        <f t="shared" si="172"/>
        <v>click</v>
      </c>
      <c r="P1584" s="61" t="str">
        <f t="shared" si="171"/>
        <v>();</v>
      </c>
      <c r="S1584" s="61" t="str">
        <f t="shared" si="173"/>
        <v/>
      </c>
    </row>
    <row r="1585" spans="15:19">
      <c r="O1585" s="53" t="str">
        <f t="shared" si="172"/>
        <v>click</v>
      </c>
      <c r="P1585" s="61" t="str">
        <f t="shared" si="171"/>
        <v>();</v>
      </c>
      <c r="S1585" s="61" t="str">
        <f t="shared" si="173"/>
        <v/>
      </c>
    </row>
    <row r="1586" spans="15:19">
      <c r="O1586" s="53" t="str">
        <f t="shared" si="172"/>
        <v>click</v>
      </c>
      <c r="P1586" s="61" t="str">
        <f t="shared" si="171"/>
        <v>();</v>
      </c>
      <c r="S1586" s="61" t="str">
        <f t="shared" si="173"/>
        <v/>
      </c>
    </row>
    <row r="1587" spans="15:19">
      <c r="O1587" s="53" t="str">
        <f t="shared" si="172"/>
        <v>click</v>
      </c>
      <c r="P1587" s="61" t="str">
        <f t="shared" si="171"/>
        <v>();</v>
      </c>
      <c r="S1587" s="61" t="str">
        <f t="shared" si="173"/>
        <v/>
      </c>
    </row>
    <row r="1588" spans="15:19">
      <c r="O1588" s="53" t="str">
        <f t="shared" si="172"/>
        <v>click</v>
      </c>
      <c r="P1588" s="61" t="str">
        <f t="shared" si="171"/>
        <v>();</v>
      </c>
      <c r="S1588" s="61" t="str">
        <f t="shared" si="173"/>
        <v/>
      </c>
    </row>
    <row r="1589" spans="15:19">
      <c r="O1589" s="53" t="str">
        <f t="shared" si="172"/>
        <v>click</v>
      </c>
      <c r="P1589" s="61" t="str">
        <f t="shared" si="171"/>
        <v>();</v>
      </c>
      <c r="S1589" s="61" t="str">
        <f t="shared" si="173"/>
        <v/>
      </c>
    </row>
    <row r="1590" spans="15:19">
      <c r="O1590" s="53" t="str">
        <f t="shared" si="172"/>
        <v>click</v>
      </c>
      <c r="P1590" s="61" t="str">
        <f t="shared" si="171"/>
        <v>();</v>
      </c>
      <c r="S1590" s="61" t="str">
        <f t="shared" si="173"/>
        <v/>
      </c>
    </row>
    <row r="1591" spans="15:19">
      <c r="O1591" s="53" t="str">
        <f t="shared" si="172"/>
        <v>click</v>
      </c>
      <c r="P1591" s="61" t="str">
        <f t="shared" si="171"/>
        <v>();</v>
      </c>
      <c r="S1591" s="61" t="str">
        <f t="shared" si="173"/>
        <v/>
      </c>
    </row>
    <row r="1592" spans="15:19">
      <c r="O1592" s="53" t="str">
        <f t="shared" si="172"/>
        <v>click</v>
      </c>
      <c r="P1592" s="61" t="str">
        <f t="shared" si="171"/>
        <v>();</v>
      </c>
      <c r="S1592" s="61" t="str">
        <f t="shared" si="173"/>
        <v/>
      </c>
    </row>
    <row r="1593" spans="15:19">
      <c r="O1593" s="53" t="str">
        <f t="shared" si="172"/>
        <v>click</v>
      </c>
      <c r="P1593" s="61" t="str">
        <f t="shared" si="171"/>
        <v>();</v>
      </c>
      <c r="S1593" s="61" t="str">
        <f t="shared" si="173"/>
        <v/>
      </c>
    </row>
    <row r="1594" spans="15:19">
      <c r="O1594" s="53" t="str">
        <f t="shared" si="172"/>
        <v>click</v>
      </c>
      <c r="P1594" s="61" t="str">
        <f t="shared" si="171"/>
        <v>();</v>
      </c>
      <c r="S1594" s="61" t="str">
        <f t="shared" si="173"/>
        <v/>
      </c>
    </row>
    <row r="1595" spans="15:19">
      <c r="O1595" s="53" t="str">
        <f t="shared" si="172"/>
        <v>click</v>
      </c>
      <c r="P1595" s="61" t="str">
        <f t="shared" si="171"/>
        <v>();</v>
      </c>
      <c r="S1595" s="61" t="str">
        <f t="shared" si="173"/>
        <v/>
      </c>
    </row>
    <row r="1596" spans="15:19">
      <c r="O1596" s="53" t="str">
        <f t="shared" si="172"/>
        <v>click</v>
      </c>
      <c r="P1596" s="61" t="str">
        <f t="shared" si="171"/>
        <v>();</v>
      </c>
      <c r="S1596" s="61" t="str">
        <f t="shared" si="173"/>
        <v/>
      </c>
    </row>
    <row r="1597" spans="15:19">
      <c r="O1597" s="53" t="str">
        <f t="shared" si="172"/>
        <v>click</v>
      </c>
      <c r="P1597" s="61" t="str">
        <f t="shared" si="171"/>
        <v>();</v>
      </c>
      <c r="S1597" s="61" t="str">
        <f t="shared" si="173"/>
        <v/>
      </c>
    </row>
    <row r="1598" spans="15:19">
      <c r="O1598" s="53" t="str">
        <f t="shared" si="172"/>
        <v>click</v>
      </c>
      <c r="P1598" s="61" t="str">
        <f t="shared" si="171"/>
        <v>();</v>
      </c>
      <c r="S1598" s="61" t="str">
        <f t="shared" si="173"/>
        <v/>
      </c>
    </row>
    <row r="1599" spans="15:19">
      <c r="O1599" s="53" t="str">
        <f t="shared" si="172"/>
        <v>click</v>
      </c>
      <c r="P1599" s="61" t="str">
        <f t="shared" si="171"/>
        <v>();</v>
      </c>
      <c r="S1599" s="61" t="str">
        <f t="shared" si="173"/>
        <v/>
      </c>
    </row>
    <row r="1600" spans="15:19">
      <c r="O1600" s="53" t="str">
        <f t="shared" si="172"/>
        <v>click</v>
      </c>
      <c r="P1600" s="61" t="str">
        <f t="shared" si="171"/>
        <v>();</v>
      </c>
      <c r="S1600" s="61" t="str">
        <f t="shared" si="173"/>
        <v/>
      </c>
    </row>
    <row r="1601" spans="15:19">
      <c r="O1601" s="53" t="str">
        <f t="shared" si="172"/>
        <v>click</v>
      </c>
      <c r="P1601" s="61" t="str">
        <f t="shared" si="171"/>
        <v>();</v>
      </c>
      <c r="S1601" s="61" t="str">
        <f t="shared" si="173"/>
        <v/>
      </c>
    </row>
    <row r="1602" spans="15:19">
      <c r="O1602" s="53" t="str">
        <f t="shared" si="172"/>
        <v>click</v>
      </c>
      <c r="P1602" s="61" t="str">
        <f t="shared" si="171"/>
        <v>();</v>
      </c>
      <c r="S1602" s="61" t="str">
        <f t="shared" si="173"/>
        <v/>
      </c>
    </row>
    <row r="1603" spans="15:19">
      <c r="O1603" s="53" t="str">
        <f t="shared" si="172"/>
        <v>click</v>
      </c>
      <c r="P1603" s="61" t="str">
        <f t="shared" si="171"/>
        <v>();</v>
      </c>
      <c r="S1603" s="61" t="str">
        <f t="shared" si="173"/>
        <v/>
      </c>
    </row>
    <row r="1604" spans="15:19">
      <c r="O1604" s="53" t="str">
        <f t="shared" si="172"/>
        <v>click</v>
      </c>
      <c r="P1604" s="61" t="str">
        <f t="shared" si="171"/>
        <v>();</v>
      </c>
      <c r="S1604" s="61" t="str">
        <f t="shared" si="173"/>
        <v/>
      </c>
    </row>
    <row r="1605" spans="15:19">
      <c r="O1605" s="53" t="str">
        <f t="shared" si="172"/>
        <v>click</v>
      </c>
      <c r="P1605" s="61" t="str">
        <f t="shared" si="171"/>
        <v>();</v>
      </c>
      <c r="S1605" s="61" t="str">
        <f t="shared" si="173"/>
        <v/>
      </c>
    </row>
    <row r="1606" spans="15:19">
      <c r="O1606" s="53" t="str">
        <f t="shared" si="172"/>
        <v>click</v>
      </c>
      <c r="P1606" s="61" t="str">
        <f t="shared" si="171"/>
        <v>();</v>
      </c>
      <c r="S1606" s="61" t="str">
        <f t="shared" si="173"/>
        <v/>
      </c>
    </row>
    <row r="1607" spans="15:19">
      <c r="O1607" s="53" t="str">
        <f t="shared" si="172"/>
        <v>click</v>
      </c>
      <c r="P1607" s="61" t="str">
        <f t="shared" si="171"/>
        <v>();</v>
      </c>
      <c r="S1607" s="61" t="str">
        <f t="shared" si="173"/>
        <v/>
      </c>
    </row>
    <row r="1608" spans="15:19">
      <c r="O1608" s="53" t="str">
        <f t="shared" si="172"/>
        <v>click</v>
      </c>
      <c r="P1608" s="61" t="str">
        <f t="shared" si="171"/>
        <v>();</v>
      </c>
      <c r="S1608" s="61" t="str">
        <f t="shared" si="173"/>
        <v/>
      </c>
    </row>
    <row r="1609" spans="15:19">
      <c r="O1609" s="53" t="str">
        <f t="shared" si="172"/>
        <v>click</v>
      </c>
      <c r="S1609" s="61" t="str">
        <f t="shared" si="173"/>
        <v/>
      </c>
    </row>
    <row r="1610" spans="15:19">
      <c r="O1610" s="53" t="str">
        <f t="shared" si="172"/>
        <v>click</v>
      </c>
      <c r="S1610" s="61" t="str">
        <f t="shared" si="173"/>
        <v/>
      </c>
    </row>
    <row r="1611" spans="15:19">
      <c r="O1611" s="53" t="str">
        <f t="shared" si="172"/>
        <v>click</v>
      </c>
      <c r="S1611" s="61" t="str">
        <f t="shared" si="173"/>
        <v/>
      </c>
    </row>
    <row r="1612" spans="15:19">
      <c r="O1612" s="53" t="str">
        <f t="shared" si="172"/>
        <v>click</v>
      </c>
      <c r="S1612" s="61" t="str">
        <f t="shared" si="173"/>
        <v/>
      </c>
    </row>
    <row r="1613" spans="15:19">
      <c r="O1613" s="53" t="str">
        <f t="shared" si="172"/>
        <v>click</v>
      </c>
      <c r="S1613" s="61" t="str">
        <f t="shared" si="173"/>
        <v/>
      </c>
    </row>
    <row r="1614" spans="15:19">
      <c r="O1614" s="53" t="str">
        <f t="shared" si="172"/>
        <v>click</v>
      </c>
      <c r="S1614" s="61" t="str">
        <f t="shared" si="173"/>
        <v/>
      </c>
    </row>
    <row r="1615" spans="15:19">
      <c r="O1615" s="53" t="str">
        <f t="shared" si="172"/>
        <v>click</v>
      </c>
      <c r="S1615" s="61" t="str">
        <f t="shared" si="173"/>
        <v/>
      </c>
    </row>
    <row r="1616" spans="15:19">
      <c r="O1616" s="53" t="str">
        <f t="shared" si="172"/>
        <v>click</v>
      </c>
      <c r="S1616" s="61" t="str">
        <f t="shared" si="173"/>
        <v/>
      </c>
    </row>
    <row r="1617" spans="15:19">
      <c r="O1617" s="53" t="str">
        <f t="shared" si="172"/>
        <v>click</v>
      </c>
      <c r="S1617" s="61" t="str">
        <f t="shared" si="173"/>
        <v/>
      </c>
    </row>
    <row r="1618" spans="15:19">
      <c r="O1618" s="53" t="str">
        <f t="shared" si="172"/>
        <v>click</v>
      </c>
      <c r="S1618" s="61" t="str">
        <f t="shared" si="173"/>
        <v/>
      </c>
    </row>
    <row r="1619" spans="15:19">
      <c r="O1619" s="53" t="str">
        <f t="shared" si="172"/>
        <v>click</v>
      </c>
      <c r="S1619" s="61" t="str">
        <f t="shared" si="173"/>
        <v/>
      </c>
    </row>
    <row r="1620" spans="15:19">
      <c r="O1620" s="53" t="str">
        <f t="shared" si="172"/>
        <v>click</v>
      </c>
      <c r="S1620" s="61" t="str">
        <f t="shared" si="173"/>
        <v/>
      </c>
    </row>
    <row r="1621" spans="15:19">
      <c r="O1621" s="53" t="str">
        <f t="shared" si="172"/>
        <v>click</v>
      </c>
      <c r="S1621" s="61" t="str">
        <f t="shared" si="173"/>
        <v/>
      </c>
    </row>
    <row r="1622" spans="15:19">
      <c r="O1622" s="53" t="str">
        <f t="shared" si="172"/>
        <v>click</v>
      </c>
      <c r="S1622" s="61" t="str">
        <f t="shared" si="173"/>
        <v/>
      </c>
    </row>
    <row r="1623" spans="15:19">
      <c r="O1623" s="53" t="str">
        <f t="shared" si="172"/>
        <v>click</v>
      </c>
      <c r="S1623" s="61" t="str">
        <f t="shared" si="173"/>
        <v/>
      </c>
    </row>
    <row r="1624" spans="15:19">
      <c r="O1624" s="53" t="str">
        <f t="shared" si="172"/>
        <v>click</v>
      </c>
      <c r="S1624" s="61" t="str">
        <f t="shared" si="173"/>
        <v/>
      </c>
    </row>
    <row r="1625" spans="15:19">
      <c r="O1625" s="53" t="str">
        <f t="shared" si="172"/>
        <v>click</v>
      </c>
      <c r="S1625" s="61" t="str">
        <f t="shared" si="173"/>
        <v/>
      </c>
    </row>
    <row r="1626" spans="15:19">
      <c r="O1626" s="53" t="str">
        <f t="shared" si="172"/>
        <v>click</v>
      </c>
      <c r="S1626" s="61" t="str">
        <f t="shared" si="173"/>
        <v/>
      </c>
    </row>
    <row r="1627" spans="15:19">
      <c r="O1627" s="53" t="str">
        <f t="shared" si="172"/>
        <v>click</v>
      </c>
      <c r="S1627" s="61" t="str">
        <f t="shared" si="173"/>
        <v/>
      </c>
    </row>
    <row r="1628" spans="15:19">
      <c r="O1628" s="53" t="str">
        <f t="shared" si="172"/>
        <v>click</v>
      </c>
      <c r="S1628" s="61" t="str">
        <f t="shared" si="173"/>
        <v/>
      </c>
    </row>
    <row r="1629" spans="15:19">
      <c r="O1629" s="53" t="str">
        <f t="shared" ref="O1629:O1692" si="174">IF(D1629="input","fill",IF(I1629&lt;&gt;"","innerText",IF(J1629="Y",$T$110,"click")))</f>
        <v>click</v>
      </c>
      <c r="S1629" s="61" t="str">
        <f t="shared" si="173"/>
        <v/>
      </c>
    </row>
    <row r="1630" spans="15:19">
      <c r="O1630" s="53" t="str">
        <f t="shared" si="174"/>
        <v>click</v>
      </c>
      <c r="S1630" s="61" t="str">
        <f t="shared" ref="S1630:S1693" si="175">IF(O1630="innerText",I1630&amp;"="&amp;IF(C1630="Y",IF(J1630&lt;&gt;"Y",$S$9&amp;$R$10&amp;"."&amp;E1630&amp;")."&amp;IF(OR(O1630="click",O1630="innerText"),O1630&amp;"();",O1630&amp;"("&amp;$Q$9&amp;"."&amp;E1630&amp;");"),$S$110&amp;$R$10&amp;"."&amp;E1630&amp;")."&amp;IF(O1630="click",O1630&amp;"();",O1630&amp;"("&amp;"'"&amp;K1630&amp;"'"&amp;");")),""),IF(C1630="Y",IF(J1630&lt;&gt;"Y",$S$9&amp;$R$10&amp;"."&amp;E1630&amp;")."&amp;IF(OR(O1630="click",O1630="innerText"),O1630&amp;"();",O1630&amp;"("&amp;$Q$9&amp;"."&amp;E1630&amp;");"),$S$110&amp;$R$10&amp;"."&amp;E1630&amp;")."&amp;IF(O1630="click",O1630&amp;"();",O1630&amp;"("&amp;"'"&amp;K1630&amp;"'"&amp;");")),""))</f>
        <v/>
      </c>
    </row>
    <row r="1631" spans="15:19">
      <c r="O1631" s="53" t="str">
        <f t="shared" si="174"/>
        <v>click</v>
      </c>
      <c r="S1631" s="61" t="str">
        <f t="shared" si="175"/>
        <v/>
      </c>
    </row>
    <row r="1632" spans="15:19">
      <c r="O1632" s="53" t="str">
        <f t="shared" si="174"/>
        <v>click</v>
      </c>
      <c r="S1632" s="61" t="str">
        <f t="shared" si="175"/>
        <v/>
      </c>
    </row>
    <row r="1633" spans="15:19">
      <c r="O1633" s="53" t="str">
        <f t="shared" si="174"/>
        <v>click</v>
      </c>
      <c r="S1633" s="61" t="str">
        <f t="shared" si="175"/>
        <v/>
      </c>
    </row>
    <row r="1634" spans="15:19">
      <c r="O1634" s="53" t="str">
        <f t="shared" si="174"/>
        <v>click</v>
      </c>
      <c r="S1634" s="61" t="str">
        <f t="shared" si="175"/>
        <v/>
      </c>
    </row>
    <row r="1635" spans="15:19">
      <c r="O1635" s="53" t="str">
        <f t="shared" si="174"/>
        <v>click</v>
      </c>
      <c r="S1635" s="61" t="str">
        <f t="shared" si="175"/>
        <v/>
      </c>
    </row>
    <row r="1636" spans="15:19">
      <c r="O1636" s="53" t="str">
        <f t="shared" si="174"/>
        <v>click</v>
      </c>
      <c r="S1636" s="61" t="str">
        <f t="shared" si="175"/>
        <v/>
      </c>
    </row>
    <row r="1637" spans="15:19">
      <c r="O1637" s="53" t="str">
        <f t="shared" si="174"/>
        <v>click</v>
      </c>
      <c r="S1637" s="61" t="str">
        <f t="shared" si="175"/>
        <v/>
      </c>
    </row>
    <row r="1638" spans="15:19">
      <c r="O1638" s="53" t="str">
        <f t="shared" si="174"/>
        <v>click</v>
      </c>
      <c r="S1638" s="61" t="str">
        <f t="shared" si="175"/>
        <v/>
      </c>
    </row>
    <row r="1639" spans="15:19">
      <c r="O1639" s="53" t="str">
        <f t="shared" si="174"/>
        <v>click</v>
      </c>
      <c r="S1639" s="61" t="str">
        <f t="shared" si="175"/>
        <v/>
      </c>
    </row>
    <row r="1640" spans="15:19">
      <c r="O1640" s="53" t="str">
        <f t="shared" si="174"/>
        <v>click</v>
      </c>
      <c r="S1640" s="61" t="str">
        <f t="shared" si="175"/>
        <v/>
      </c>
    </row>
    <row r="1641" spans="15:19">
      <c r="O1641" s="53" t="str">
        <f t="shared" si="174"/>
        <v>click</v>
      </c>
      <c r="S1641" s="61" t="str">
        <f t="shared" si="175"/>
        <v/>
      </c>
    </row>
    <row r="1642" spans="15:19">
      <c r="O1642" s="53" t="str">
        <f t="shared" si="174"/>
        <v>click</v>
      </c>
      <c r="S1642" s="61" t="str">
        <f t="shared" si="175"/>
        <v/>
      </c>
    </row>
    <row r="1643" spans="15:19">
      <c r="O1643" s="53" t="str">
        <f t="shared" si="174"/>
        <v>click</v>
      </c>
      <c r="S1643" s="61" t="str">
        <f t="shared" si="175"/>
        <v/>
      </c>
    </row>
    <row r="1644" spans="15:19">
      <c r="O1644" s="53" t="str">
        <f t="shared" si="174"/>
        <v>click</v>
      </c>
      <c r="S1644" s="61" t="str">
        <f t="shared" si="175"/>
        <v/>
      </c>
    </row>
    <row r="1645" spans="15:19">
      <c r="O1645" s="53" t="str">
        <f t="shared" si="174"/>
        <v>click</v>
      </c>
      <c r="S1645" s="61" t="str">
        <f t="shared" si="175"/>
        <v/>
      </c>
    </row>
    <row r="1646" spans="15:19">
      <c r="O1646" s="53" t="str">
        <f t="shared" si="174"/>
        <v>click</v>
      </c>
      <c r="S1646" s="61" t="str">
        <f t="shared" si="175"/>
        <v/>
      </c>
    </row>
    <row r="1647" spans="15:19">
      <c r="O1647" s="53" t="str">
        <f t="shared" si="174"/>
        <v>click</v>
      </c>
      <c r="S1647" s="61" t="str">
        <f t="shared" si="175"/>
        <v/>
      </c>
    </row>
    <row r="1648" spans="15:19">
      <c r="O1648" s="53" t="str">
        <f t="shared" si="174"/>
        <v>click</v>
      </c>
      <c r="S1648" s="61" t="str">
        <f t="shared" si="175"/>
        <v/>
      </c>
    </row>
    <row r="1649" spans="15:19">
      <c r="O1649" s="53" t="str">
        <f t="shared" si="174"/>
        <v>click</v>
      </c>
      <c r="S1649" s="61" t="str">
        <f t="shared" si="175"/>
        <v/>
      </c>
    </row>
    <row r="1650" spans="15:19">
      <c r="O1650" s="53" t="str">
        <f t="shared" si="174"/>
        <v>click</v>
      </c>
      <c r="S1650" s="61" t="str">
        <f t="shared" si="175"/>
        <v/>
      </c>
    </row>
    <row r="1651" spans="15:19">
      <c r="O1651" s="53" t="str">
        <f t="shared" si="174"/>
        <v>click</v>
      </c>
      <c r="S1651" s="61" t="str">
        <f t="shared" si="175"/>
        <v/>
      </c>
    </row>
    <row r="1652" spans="15:19">
      <c r="O1652" s="53" t="str">
        <f t="shared" si="174"/>
        <v>click</v>
      </c>
      <c r="S1652" s="61" t="str">
        <f t="shared" si="175"/>
        <v/>
      </c>
    </row>
    <row r="1653" spans="15:19">
      <c r="O1653" s="53" t="str">
        <f t="shared" si="174"/>
        <v>click</v>
      </c>
      <c r="S1653" s="61" t="str">
        <f t="shared" si="175"/>
        <v/>
      </c>
    </row>
    <row r="1654" spans="15:19">
      <c r="O1654" s="53" t="str">
        <f t="shared" si="174"/>
        <v>click</v>
      </c>
      <c r="S1654" s="61" t="str">
        <f t="shared" si="175"/>
        <v/>
      </c>
    </row>
    <row r="1655" spans="15:19">
      <c r="O1655" s="53" t="str">
        <f t="shared" si="174"/>
        <v>click</v>
      </c>
      <c r="S1655" s="61" t="str">
        <f t="shared" si="175"/>
        <v/>
      </c>
    </row>
    <row r="1656" spans="15:19">
      <c r="O1656" s="53" t="str">
        <f t="shared" si="174"/>
        <v>click</v>
      </c>
      <c r="S1656" s="61" t="str">
        <f t="shared" si="175"/>
        <v/>
      </c>
    </row>
    <row r="1657" spans="15:19">
      <c r="O1657" s="53" t="str">
        <f t="shared" si="174"/>
        <v>click</v>
      </c>
      <c r="S1657" s="61" t="str">
        <f t="shared" si="175"/>
        <v/>
      </c>
    </row>
    <row r="1658" spans="15:19">
      <c r="O1658" s="53" t="str">
        <f t="shared" si="174"/>
        <v>click</v>
      </c>
      <c r="S1658" s="61" t="str">
        <f t="shared" si="175"/>
        <v/>
      </c>
    </row>
    <row r="1659" spans="15:19">
      <c r="O1659" s="53" t="str">
        <f t="shared" si="174"/>
        <v>click</v>
      </c>
      <c r="S1659" s="61" t="str">
        <f t="shared" si="175"/>
        <v/>
      </c>
    </row>
    <row r="1660" spans="15:19">
      <c r="O1660" s="53" t="str">
        <f t="shared" si="174"/>
        <v>click</v>
      </c>
      <c r="S1660" s="61" t="str">
        <f t="shared" si="175"/>
        <v/>
      </c>
    </row>
    <row r="1661" spans="15:19">
      <c r="O1661" s="53" t="str">
        <f t="shared" si="174"/>
        <v>click</v>
      </c>
      <c r="S1661" s="61" t="str">
        <f t="shared" si="175"/>
        <v/>
      </c>
    </row>
    <row r="1662" spans="15:19">
      <c r="O1662" s="53" t="str">
        <f t="shared" si="174"/>
        <v>click</v>
      </c>
      <c r="S1662" s="61" t="str">
        <f t="shared" si="175"/>
        <v/>
      </c>
    </row>
    <row r="1663" spans="15:19">
      <c r="O1663" s="53" t="str">
        <f t="shared" si="174"/>
        <v>click</v>
      </c>
      <c r="S1663" s="61" t="str">
        <f t="shared" si="175"/>
        <v/>
      </c>
    </row>
    <row r="1664" spans="15:19">
      <c r="O1664" s="53" t="str">
        <f t="shared" si="174"/>
        <v>click</v>
      </c>
      <c r="S1664" s="61" t="str">
        <f t="shared" si="175"/>
        <v/>
      </c>
    </row>
    <row r="1665" spans="15:19">
      <c r="O1665" s="53" t="str">
        <f t="shared" si="174"/>
        <v>click</v>
      </c>
      <c r="S1665" s="61" t="str">
        <f t="shared" si="175"/>
        <v/>
      </c>
    </row>
    <row r="1666" spans="15:19">
      <c r="O1666" s="53" t="str">
        <f t="shared" si="174"/>
        <v>click</v>
      </c>
      <c r="S1666" s="61" t="str">
        <f t="shared" si="175"/>
        <v/>
      </c>
    </row>
    <row r="1667" spans="15:19">
      <c r="O1667" s="53" t="str">
        <f t="shared" si="174"/>
        <v>click</v>
      </c>
      <c r="S1667" s="61" t="str">
        <f t="shared" si="175"/>
        <v/>
      </c>
    </row>
    <row r="1668" spans="15:19">
      <c r="O1668" s="53" t="str">
        <f t="shared" si="174"/>
        <v>click</v>
      </c>
      <c r="S1668" s="61" t="str">
        <f t="shared" si="175"/>
        <v/>
      </c>
    </row>
    <row r="1669" spans="15:19">
      <c r="O1669" s="53" t="str">
        <f t="shared" si="174"/>
        <v>click</v>
      </c>
      <c r="S1669" s="61" t="str">
        <f t="shared" si="175"/>
        <v/>
      </c>
    </row>
    <row r="1670" spans="15:19">
      <c r="O1670" s="53" t="str">
        <f t="shared" si="174"/>
        <v>click</v>
      </c>
      <c r="S1670" s="61" t="str">
        <f t="shared" si="175"/>
        <v/>
      </c>
    </row>
    <row r="1671" spans="15:19">
      <c r="O1671" s="53" t="str">
        <f t="shared" si="174"/>
        <v>click</v>
      </c>
      <c r="S1671" s="61" t="str">
        <f t="shared" si="175"/>
        <v/>
      </c>
    </row>
    <row r="1672" spans="15:19">
      <c r="O1672" s="53" t="str">
        <f t="shared" si="174"/>
        <v>click</v>
      </c>
      <c r="S1672" s="61" t="str">
        <f t="shared" si="175"/>
        <v/>
      </c>
    </row>
    <row r="1673" spans="15:19">
      <c r="O1673" s="53" t="str">
        <f t="shared" si="174"/>
        <v>click</v>
      </c>
      <c r="S1673" s="61" t="str">
        <f t="shared" si="175"/>
        <v/>
      </c>
    </row>
    <row r="1674" spans="15:19">
      <c r="O1674" s="53" t="str">
        <f t="shared" si="174"/>
        <v>click</v>
      </c>
      <c r="S1674" s="61" t="str">
        <f t="shared" si="175"/>
        <v/>
      </c>
    </row>
    <row r="1675" spans="15:19">
      <c r="O1675" s="53" t="str">
        <f t="shared" si="174"/>
        <v>click</v>
      </c>
      <c r="S1675" s="61" t="str">
        <f t="shared" si="175"/>
        <v/>
      </c>
    </row>
    <row r="1676" spans="15:19">
      <c r="O1676" s="53" t="str">
        <f t="shared" si="174"/>
        <v>click</v>
      </c>
      <c r="S1676" s="61" t="str">
        <f t="shared" si="175"/>
        <v/>
      </c>
    </row>
    <row r="1677" spans="15:19">
      <c r="O1677" s="53" t="str">
        <f t="shared" si="174"/>
        <v>click</v>
      </c>
      <c r="S1677" s="61" t="str">
        <f t="shared" si="175"/>
        <v/>
      </c>
    </row>
    <row r="1678" spans="15:19">
      <c r="O1678" s="53" t="str">
        <f t="shared" si="174"/>
        <v>click</v>
      </c>
      <c r="S1678" s="61" t="str">
        <f t="shared" si="175"/>
        <v/>
      </c>
    </row>
    <row r="1679" spans="15:19">
      <c r="O1679" s="53" t="str">
        <f t="shared" si="174"/>
        <v>click</v>
      </c>
      <c r="S1679" s="61" t="str">
        <f t="shared" si="175"/>
        <v/>
      </c>
    </row>
    <row r="1680" spans="15:19">
      <c r="O1680" s="53" t="str">
        <f t="shared" si="174"/>
        <v>click</v>
      </c>
      <c r="S1680" s="61" t="str">
        <f t="shared" si="175"/>
        <v/>
      </c>
    </row>
    <row r="1681" spans="15:19">
      <c r="O1681" s="53" t="str">
        <f t="shared" si="174"/>
        <v>click</v>
      </c>
      <c r="S1681" s="61" t="str">
        <f t="shared" si="175"/>
        <v/>
      </c>
    </row>
    <row r="1682" spans="15:19">
      <c r="O1682" s="53" t="str">
        <f t="shared" si="174"/>
        <v>click</v>
      </c>
      <c r="S1682" s="61" t="str">
        <f t="shared" si="175"/>
        <v/>
      </c>
    </row>
    <row r="1683" spans="15:19">
      <c r="O1683" s="53" t="str">
        <f t="shared" si="174"/>
        <v>click</v>
      </c>
      <c r="S1683" s="61" t="str">
        <f t="shared" si="175"/>
        <v/>
      </c>
    </row>
    <row r="1684" spans="15:19">
      <c r="O1684" s="53" t="str">
        <f t="shared" si="174"/>
        <v>click</v>
      </c>
      <c r="S1684" s="61" t="str">
        <f t="shared" si="175"/>
        <v/>
      </c>
    </row>
    <row r="1685" spans="15:19">
      <c r="O1685" s="53" t="str">
        <f t="shared" si="174"/>
        <v>click</v>
      </c>
      <c r="S1685" s="61" t="str">
        <f t="shared" si="175"/>
        <v/>
      </c>
    </row>
    <row r="1686" spans="15:19">
      <c r="O1686" s="53" t="str">
        <f t="shared" si="174"/>
        <v>click</v>
      </c>
      <c r="S1686" s="61" t="str">
        <f t="shared" si="175"/>
        <v/>
      </c>
    </row>
    <row r="1687" spans="15:19">
      <c r="O1687" s="53" t="str">
        <f t="shared" si="174"/>
        <v>click</v>
      </c>
      <c r="S1687" s="61" t="str">
        <f t="shared" si="175"/>
        <v/>
      </c>
    </row>
    <row r="1688" spans="15:19">
      <c r="O1688" s="53" t="str">
        <f t="shared" si="174"/>
        <v>click</v>
      </c>
      <c r="S1688" s="61" t="str">
        <f t="shared" si="175"/>
        <v/>
      </c>
    </row>
    <row r="1689" spans="15:19">
      <c r="O1689" s="53" t="str">
        <f t="shared" si="174"/>
        <v>click</v>
      </c>
      <c r="S1689" s="61" t="str">
        <f t="shared" si="175"/>
        <v/>
      </c>
    </row>
    <row r="1690" spans="15:19">
      <c r="O1690" s="53" t="str">
        <f t="shared" si="174"/>
        <v>click</v>
      </c>
      <c r="S1690" s="61" t="str">
        <f t="shared" si="175"/>
        <v/>
      </c>
    </row>
    <row r="1691" spans="15:19">
      <c r="O1691" s="53" t="str">
        <f t="shared" si="174"/>
        <v>click</v>
      </c>
      <c r="S1691" s="61" t="str">
        <f t="shared" si="175"/>
        <v/>
      </c>
    </row>
    <row r="1692" spans="15:19">
      <c r="O1692" s="53" t="str">
        <f t="shared" si="174"/>
        <v>click</v>
      </c>
      <c r="S1692" s="61" t="str">
        <f t="shared" si="175"/>
        <v/>
      </c>
    </row>
    <row r="1693" spans="15:19">
      <c r="O1693" s="53" t="str">
        <f t="shared" ref="O1693:O1756" si="176">IF(D1693="input","fill",IF(I1693&lt;&gt;"","innerText",IF(J1693="Y",$T$110,"click")))</f>
        <v>click</v>
      </c>
      <c r="S1693" s="61" t="str">
        <f t="shared" si="175"/>
        <v/>
      </c>
    </row>
    <row r="1694" spans="15:19">
      <c r="O1694" s="53" t="str">
        <f t="shared" si="176"/>
        <v>click</v>
      </c>
      <c r="S1694" s="61" t="str">
        <f t="shared" ref="S1694:S1757" si="177">IF(O1694="innerText",I1694&amp;"="&amp;IF(C1694="Y",IF(J1694&lt;&gt;"Y",$S$9&amp;$R$10&amp;"."&amp;E1694&amp;")."&amp;IF(OR(O1694="click",O1694="innerText"),O1694&amp;"();",O1694&amp;"("&amp;$Q$9&amp;"."&amp;E1694&amp;");"),$S$110&amp;$R$10&amp;"."&amp;E1694&amp;")."&amp;IF(O1694="click",O1694&amp;"();",O1694&amp;"("&amp;"'"&amp;K1694&amp;"'"&amp;");")),""),IF(C1694="Y",IF(J1694&lt;&gt;"Y",$S$9&amp;$R$10&amp;"."&amp;E1694&amp;")."&amp;IF(OR(O1694="click",O1694="innerText"),O1694&amp;"();",O1694&amp;"("&amp;$Q$9&amp;"."&amp;E1694&amp;");"),$S$110&amp;$R$10&amp;"."&amp;E1694&amp;")."&amp;IF(O1694="click",O1694&amp;"();",O1694&amp;"("&amp;"'"&amp;K1694&amp;"'"&amp;");")),""))</f>
        <v/>
      </c>
    </row>
    <row r="1695" spans="15:19">
      <c r="O1695" s="53" t="str">
        <f t="shared" si="176"/>
        <v>click</v>
      </c>
      <c r="S1695" s="61" t="str">
        <f t="shared" si="177"/>
        <v/>
      </c>
    </row>
    <row r="1696" spans="15:19">
      <c r="O1696" s="53" t="str">
        <f t="shared" si="176"/>
        <v>click</v>
      </c>
      <c r="S1696" s="61" t="str">
        <f t="shared" si="177"/>
        <v/>
      </c>
    </row>
    <row r="1697" spans="15:19">
      <c r="O1697" s="53" t="str">
        <f t="shared" si="176"/>
        <v>click</v>
      </c>
      <c r="S1697" s="61" t="str">
        <f t="shared" si="177"/>
        <v/>
      </c>
    </row>
    <row r="1698" spans="15:19">
      <c r="O1698" s="53" t="str">
        <f t="shared" si="176"/>
        <v>click</v>
      </c>
      <c r="S1698" s="61" t="str">
        <f t="shared" si="177"/>
        <v/>
      </c>
    </row>
    <row r="1699" spans="15:19">
      <c r="O1699" s="53" t="str">
        <f t="shared" si="176"/>
        <v>click</v>
      </c>
      <c r="S1699" s="61" t="str">
        <f t="shared" si="177"/>
        <v/>
      </c>
    </row>
    <row r="1700" spans="15:19">
      <c r="O1700" s="53" t="str">
        <f t="shared" si="176"/>
        <v>click</v>
      </c>
      <c r="S1700" s="61" t="str">
        <f t="shared" si="177"/>
        <v/>
      </c>
    </row>
    <row r="1701" spans="15:19">
      <c r="O1701" s="53" t="str">
        <f t="shared" si="176"/>
        <v>click</v>
      </c>
      <c r="S1701" s="61" t="str">
        <f t="shared" si="177"/>
        <v/>
      </c>
    </row>
    <row r="1702" spans="15:19">
      <c r="O1702" s="53" t="str">
        <f t="shared" si="176"/>
        <v>click</v>
      </c>
      <c r="S1702" s="61" t="str">
        <f t="shared" si="177"/>
        <v/>
      </c>
    </row>
    <row r="1703" spans="15:19">
      <c r="O1703" s="53" t="str">
        <f t="shared" si="176"/>
        <v>click</v>
      </c>
      <c r="S1703" s="61" t="str">
        <f t="shared" si="177"/>
        <v/>
      </c>
    </row>
    <row r="1704" spans="15:19">
      <c r="O1704" s="53" t="str">
        <f t="shared" si="176"/>
        <v>click</v>
      </c>
      <c r="S1704" s="61" t="str">
        <f t="shared" si="177"/>
        <v/>
      </c>
    </row>
    <row r="1705" spans="15:19">
      <c r="O1705" s="53" t="str">
        <f t="shared" si="176"/>
        <v>click</v>
      </c>
      <c r="S1705" s="61" t="str">
        <f t="shared" si="177"/>
        <v/>
      </c>
    </row>
    <row r="1706" spans="15:19">
      <c r="O1706" s="53" t="str">
        <f t="shared" si="176"/>
        <v>click</v>
      </c>
      <c r="S1706" s="61" t="str">
        <f t="shared" si="177"/>
        <v/>
      </c>
    </row>
    <row r="1707" spans="15:19">
      <c r="O1707" s="53" t="str">
        <f t="shared" si="176"/>
        <v>click</v>
      </c>
      <c r="S1707" s="61" t="str">
        <f t="shared" si="177"/>
        <v/>
      </c>
    </row>
    <row r="1708" spans="15:19">
      <c r="O1708" s="53" t="str">
        <f t="shared" si="176"/>
        <v>click</v>
      </c>
      <c r="S1708" s="61" t="str">
        <f t="shared" si="177"/>
        <v/>
      </c>
    </row>
    <row r="1709" spans="15:19">
      <c r="O1709" s="53" t="str">
        <f t="shared" si="176"/>
        <v>click</v>
      </c>
      <c r="S1709" s="61" t="str">
        <f t="shared" si="177"/>
        <v/>
      </c>
    </row>
    <row r="1710" spans="15:19">
      <c r="O1710" s="53" t="str">
        <f t="shared" si="176"/>
        <v>click</v>
      </c>
      <c r="S1710" s="61" t="str">
        <f t="shared" si="177"/>
        <v/>
      </c>
    </row>
    <row r="1711" spans="15:19">
      <c r="O1711" s="53" t="str">
        <f t="shared" si="176"/>
        <v>click</v>
      </c>
      <c r="S1711" s="61" t="str">
        <f t="shared" si="177"/>
        <v/>
      </c>
    </row>
    <row r="1712" spans="15:19">
      <c r="O1712" s="53" t="str">
        <f t="shared" si="176"/>
        <v>click</v>
      </c>
      <c r="S1712" s="61" t="str">
        <f t="shared" si="177"/>
        <v/>
      </c>
    </row>
    <row r="1713" spans="15:19">
      <c r="O1713" s="53" t="str">
        <f t="shared" si="176"/>
        <v>click</v>
      </c>
      <c r="S1713" s="61" t="str">
        <f t="shared" si="177"/>
        <v/>
      </c>
    </row>
    <row r="1714" spans="15:19">
      <c r="O1714" s="53" t="str">
        <f t="shared" si="176"/>
        <v>click</v>
      </c>
      <c r="S1714" s="61" t="str">
        <f t="shared" si="177"/>
        <v/>
      </c>
    </row>
    <row r="1715" spans="15:19">
      <c r="O1715" s="53" t="str">
        <f t="shared" si="176"/>
        <v>click</v>
      </c>
      <c r="S1715" s="61" t="str">
        <f t="shared" si="177"/>
        <v/>
      </c>
    </row>
    <row r="1716" spans="15:19">
      <c r="O1716" s="53" t="str">
        <f t="shared" si="176"/>
        <v>click</v>
      </c>
      <c r="S1716" s="61" t="str">
        <f t="shared" si="177"/>
        <v/>
      </c>
    </row>
    <row r="1717" spans="15:19">
      <c r="O1717" s="53" t="str">
        <f t="shared" si="176"/>
        <v>click</v>
      </c>
      <c r="S1717" s="61" t="str">
        <f t="shared" si="177"/>
        <v/>
      </c>
    </row>
    <row r="1718" spans="15:19">
      <c r="O1718" s="53" t="str">
        <f t="shared" si="176"/>
        <v>click</v>
      </c>
      <c r="S1718" s="61" t="str">
        <f t="shared" si="177"/>
        <v/>
      </c>
    </row>
    <row r="1719" spans="15:19">
      <c r="O1719" s="53" t="str">
        <f t="shared" si="176"/>
        <v>click</v>
      </c>
      <c r="S1719" s="61" t="str">
        <f t="shared" si="177"/>
        <v/>
      </c>
    </row>
    <row r="1720" spans="15:19">
      <c r="O1720" s="53" t="str">
        <f t="shared" si="176"/>
        <v>click</v>
      </c>
      <c r="S1720" s="61" t="str">
        <f t="shared" si="177"/>
        <v/>
      </c>
    </row>
    <row r="1721" spans="15:19">
      <c r="O1721" s="53" t="str">
        <f t="shared" si="176"/>
        <v>click</v>
      </c>
      <c r="S1721" s="61" t="str">
        <f t="shared" si="177"/>
        <v/>
      </c>
    </row>
    <row r="1722" spans="15:19">
      <c r="O1722" s="53" t="str">
        <f t="shared" si="176"/>
        <v>click</v>
      </c>
      <c r="S1722" s="61" t="str">
        <f t="shared" si="177"/>
        <v/>
      </c>
    </row>
    <row r="1723" spans="15:19">
      <c r="O1723" s="53" t="str">
        <f t="shared" si="176"/>
        <v>click</v>
      </c>
      <c r="S1723" s="61" t="str">
        <f t="shared" si="177"/>
        <v/>
      </c>
    </row>
    <row r="1724" spans="15:19">
      <c r="O1724" s="53" t="str">
        <f t="shared" si="176"/>
        <v>click</v>
      </c>
      <c r="S1724" s="61" t="str">
        <f t="shared" si="177"/>
        <v/>
      </c>
    </row>
    <row r="1725" spans="15:19">
      <c r="O1725" s="53" t="str">
        <f t="shared" si="176"/>
        <v>click</v>
      </c>
      <c r="S1725" s="61" t="str">
        <f t="shared" si="177"/>
        <v/>
      </c>
    </row>
    <row r="1726" spans="15:19">
      <c r="O1726" s="53" t="str">
        <f t="shared" si="176"/>
        <v>click</v>
      </c>
      <c r="S1726" s="61" t="str">
        <f t="shared" si="177"/>
        <v/>
      </c>
    </row>
    <row r="1727" spans="15:19">
      <c r="O1727" s="53" t="str">
        <f t="shared" si="176"/>
        <v>click</v>
      </c>
      <c r="S1727" s="61" t="str">
        <f t="shared" si="177"/>
        <v/>
      </c>
    </row>
    <row r="1728" spans="15:19">
      <c r="O1728" s="53" t="str">
        <f t="shared" si="176"/>
        <v>click</v>
      </c>
      <c r="S1728" s="61" t="str">
        <f t="shared" si="177"/>
        <v/>
      </c>
    </row>
    <row r="1729" spans="15:19">
      <c r="O1729" s="53" t="str">
        <f t="shared" si="176"/>
        <v>click</v>
      </c>
      <c r="S1729" s="61" t="str">
        <f t="shared" si="177"/>
        <v/>
      </c>
    </row>
    <row r="1730" spans="15:19">
      <c r="O1730" s="53" t="str">
        <f t="shared" si="176"/>
        <v>click</v>
      </c>
      <c r="S1730" s="61" t="str">
        <f t="shared" si="177"/>
        <v/>
      </c>
    </row>
    <row r="1731" spans="15:19">
      <c r="O1731" s="53" t="str">
        <f t="shared" si="176"/>
        <v>click</v>
      </c>
      <c r="S1731" s="61" t="str">
        <f t="shared" si="177"/>
        <v/>
      </c>
    </row>
    <row r="1732" spans="15:19">
      <c r="O1732" s="53" t="str">
        <f t="shared" si="176"/>
        <v>click</v>
      </c>
      <c r="S1732" s="61" t="str">
        <f t="shared" si="177"/>
        <v/>
      </c>
    </row>
    <row r="1733" spans="15:19">
      <c r="O1733" s="53" t="str">
        <f t="shared" si="176"/>
        <v>click</v>
      </c>
      <c r="S1733" s="61" t="str">
        <f t="shared" si="177"/>
        <v/>
      </c>
    </row>
    <row r="1734" spans="15:19">
      <c r="O1734" s="53" t="str">
        <f t="shared" si="176"/>
        <v>click</v>
      </c>
      <c r="S1734" s="61" t="str">
        <f t="shared" si="177"/>
        <v/>
      </c>
    </row>
    <row r="1735" spans="15:19">
      <c r="O1735" s="53" t="str">
        <f t="shared" si="176"/>
        <v>click</v>
      </c>
      <c r="S1735" s="61" t="str">
        <f t="shared" si="177"/>
        <v/>
      </c>
    </row>
    <row r="1736" spans="15:19">
      <c r="O1736" s="53" t="str">
        <f t="shared" si="176"/>
        <v>click</v>
      </c>
      <c r="S1736" s="61" t="str">
        <f t="shared" si="177"/>
        <v/>
      </c>
    </row>
    <row r="1737" spans="15:19">
      <c r="O1737" s="53" t="str">
        <f t="shared" si="176"/>
        <v>click</v>
      </c>
      <c r="S1737" s="61" t="str">
        <f t="shared" si="177"/>
        <v/>
      </c>
    </row>
    <row r="1738" spans="15:19">
      <c r="O1738" s="53" t="str">
        <f t="shared" si="176"/>
        <v>click</v>
      </c>
      <c r="S1738" s="61" t="str">
        <f t="shared" si="177"/>
        <v/>
      </c>
    </row>
    <row r="1739" spans="15:19">
      <c r="O1739" s="53" t="str">
        <f t="shared" si="176"/>
        <v>click</v>
      </c>
      <c r="S1739" s="61" t="str">
        <f t="shared" si="177"/>
        <v/>
      </c>
    </row>
    <row r="1740" spans="15:19">
      <c r="O1740" s="53" t="str">
        <f t="shared" si="176"/>
        <v>click</v>
      </c>
      <c r="S1740" s="61" t="str">
        <f t="shared" si="177"/>
        <v/>
      </c>
    </row>
    <row r="1741" spans="15:19">
      <c r="O1741" s="53" t="str">
        <f t="shared" si="176"/>
        <v>click</v>
      </c>
      <c r="S1741" s="61" t="str">
        <f t="shared" si="177"/>
        <v/>
      </c>
    </row>
    <row r="1742" spans="15:19">
      <c r="O1742" s="53" t="str">
        <f t="shared" si="176"/>
        <v>click</v>
      </c>
      <c r="S1742" s="61" t="str">
        <f t="shared" si="177"/>
        <v/>
      </c>
    </row>
    <row r="1743" spans="15:19">
      <c r="O1743" s="53" t="str">
        <f t="shared" si="176"/>
        <v>click</v>
      </c>
      <c r="S1743" s="61" t="str">
        <f t="shared" si="177"/>
        <v/>
      </c>
    </row>
    <row r="1744" spans="15:19">
      <c r="O1744" s="53" t="str">
        <f t="shared" si="176"/>
        <v>click</v>
      </c>
      <c r="S1744" s="61" t="str">
        <f t="shared" si="177"/>
        <v/>
      </c>
    </row>
    <row r="1745" spans="15:19">
      <c r="O1745" s="53" t="str">
        <f t="shared" si="176"/>
        <v>click</v>
      </c>
      <c r="S1745" s="61" t="str">
        <f t="shared" si="177"/>
        <v/>
      </c>
    </row>
    <row r="1746" spans="15:19">
      <c r="O1746" s="53" t="str">
        <f t="shared" si="176"/>
        <v>click</v>
      </c>
      <c r="S1746" s="61" t="str">
        <f t="shared" si="177"/>
        <v/>
      </c>
    </row>
    <row r="1747" spans="15:19">
      <c r="O1747" s="53" t="str">
        <f t="shared" si="176"/>
        <v>click</v>
      </c>
      <c r="S1747" s="61" t="str">
        <f t="shared" si="177"/>
        <v/>
      </c>
    </row>
    <row r="1748" spans="15:19">
      <c r="O1748" s="53" t="str">
        <f t="shared" si="176"/>
        <v>click</v>
      </c>
      <c r="S1748" s="61" t="str">
        <f t="shared" si="177"/>
        <v/>
      </c>
    </row>
    <row r="1749" spans="15:19">
      <c r="O1749" s="53" t="str">
        <f t="shared" si="176"/>
        <v>click</v>
      </c>
      <c r="S1749" s="61" t="str">
        <f t="shared" si="177"/>
        <v/>
      </c>
    </row>
    <row r="1750" spans="15:19">
      <c r="O1750" s="53" t="str">
        <f t="shared" si="176"/>
        <v>click</v>
      </c>
      <c r="S1750" s="61" t="str">
        <f t="shared" si="177"/>
        <v/>
      </c>
    </row>
    <row r="1751" spans="15:19">
      <c r="O1751" s="53" t="str">
        <f t="shared" si="176"/>
        <v>click</v>
      </c>
      <c r="S1751" s="61" t="str">
        <f t="shared" si="177"/>
        <v/>
      </c>
    </row>
    <row r="1752" spans="15:19">
      <c r="O1752" s="53" t="str">
        <f t="shared" si="176"/>
        <v>click</v>
      </c>
      <c r="S1752" s="61" t="str">
        <f t="shared" si="177"/>
        <v/>
      </c>
    </row>
    <row r="1753" spans="15:19">
      <c r="O1753" s="53" t="str">
        <f t="shared" si="176"/>
        <v>click</v>
      </c>
      <c r="S1753" s="61" t="str">
        <f t="shared" si="177"/>
        <v/>
      </c>
    </row>
    <row r="1754" spans="15:19">
      <c r="O1754" s="53" t="str">
        <f t="shared" si="176"/>
        <v>click</v>
      </c>
      <c r="S1754" s="61" t="str">
        <f t="shared" si="177"/>
        <v/>
      </c>
    </row>
    <row r="1755" spans="15:19">
      <c r="O1755" s="53" t="str">
        <f t="shared" si="176"/>
        <v>click</v>
      </c>
      <c r="S1755" s="61" t="str">
        <f t="shared" si="177"/>
        <v/>
      </c>
    </row>
    <row r="1756" spans="15:19">
      <c r="O1756" s="53" t="str">
        <f t="shared" si="176"/>
        <v>click</v>
      </c>
      <c r="S1756" s="61" t="str">
        <f t="shared" si="177"/>
        <v/>
      </c>
    </row>
    <row r="1757" spans="15:19">
      <c r="O1757" s="53" t="str">
        <f t="shared" ref="O1757:O1820" si="178">IF(D1757="input","fill",IF(I1757&lt;&gt;"","innerText",IF(J1757="Y",$T$110,"click")))</f>
        <v>click</v>
      </c>
      <c r="S1757" s="61" t="str">
        <f t="shared" si="177"/>
        <v/>
      </c>
    </row>
    <row r="1758" spans="15:19">
      <c r="O1758" s="53" t="str">
        <f t="shared" si="178"/>
        <v>click</v>
      </c>
      <c r="S1758" s="61" t="str">
        <f t="shared" ref="S1758:S1821" si="179">IF(O1758="innerText",I1758&amp;"="&amp;IF(C1758="Y",IF(J1758&lt;&gt;"Y",$S$9&amp;$R$10&amp;"."&amp;E1758&amp;")."&amp;IF(OR(O1758="click",O1758="innerText"),O1758&amp;"();",O1758&amp;"("&amp;$Q$9&amp;"."&amp;E1758&amp;");"),$S$110&amp;$R$10&amp;"."&amp;E1758&amp;")."&amp;IF(O1758="click",O1758&amp;"();",O1758&amp;"("&amp;"'"&amp;K1758&amp;"'"&amp;");")),""),IF(C1758="Y",IF(J1758&lt;&gt;"Y",$S$9&amp;$R$10&amp;"."&amp;E1758&amp;")."&amp;IF(OR(O1758="click",O1758="innerText"),O1758&amp;"();",O1758&amp;"("&amp;$Q$9&amp;"."&amp;E1758&amp;");"),$S$110&amp;$R$10&amp;"."&amp;E1758&amp;")."&amp;IF(O1758="click",O1758&amp;"();",O1758&amp;"("&amp;"'"&amp;K1758&amp;"'"&amp;");")),""))</f>
        <v/>
      </c>
    </row>
    <row r="1759" spans="15:19">
      <c r="O1759" s="53" t="str">
        <f t="shared" si="178"/>
        <v>click</v>
      </c>
      <c r="S1759" s="61" t="str">
        <f t="shared" si="179"/>
        <v/>
      </c>
    </row>
    <row r="1760" spans="15:19">
      <c r="O1760" s="53" t="str">
        <f t="shared" si="178"/>
        <v>click</v>
      </c>
      <c r="S1760" s="61" t="str">
        <f t="shared" si="179"/>
        <v/>
      </c>
    </row>
    <row r="1761" spans="15:19">
      <c r="O1761" s="53" t="str">
        <f t="shared" si="178"/>
        <v>click</v>
      </c>
      <c r="S1761" s="61" t="str">
        <f t="shared" si="179"/>
        <v/>
      </c>
    </row>
    <row r="1762" spans="15:19">
      <c r="O1762" s="53" t="str">
        <f t="shared" si="178"/>
        <v>click</v>
      </c>
      <c r="S1762" s="61" t="str">
        <f t="shared" si="179"/>
        <v/>
      </c>
    </row>
    <row r="1763" spans="15:19">
      <c r="O1763" s="53" t="str">
        <f t="shared" si="178"/>
        <v>click</v>
      </c>
      <c r="S1763" s="61" t="str">
        <f t="shared" si="179"/>
        <v/>
      </c>
    </row>
    <row r="1764" spans="15:19">
      <c r="O1764" s="53" t="str">
        <f t="shared" si="178"/>
        <v>click</v>
      </c>
      <c r="S1764" s="61" t="str">
        <f t="shared" si="179"/>
        <v/>
      </c>
    </row>
    <row r="1765" spans="15:19">
      <c r="O1765" s="53" t="str">
        <f t="shared" si="178"/>
        <v>click</v>
      </c>
      <c r="S1765" s="61" t="str">
        <f t="shared" si="179"/>
        <v/>
      </c>
    </row>
    <row r="1766" spans="15:19">
      <c r="O1766" s="53" t="str">
        <f t="shared" si="178"/>
        <v>click</v>
      </c>
      <c r="S1766" s="61" t="str">
        <f t="shared" si="179"/>
        <v/>
      </c>
    </row>
    <row r="1767" spans="15:19">
      <c r="O1767" s="53" t="str">
        <f t="shared" si="178"/>
        <v>click</v>
      </c>
      <c r="S1767" s="61" t="str">
        <f t="shared" si="179"/>
        <v/>
      </c>
    </row>
    <row r="1768" spans="15:19">
      <c r="O1768" s="53" t="str">
        <f t="shared" si="178"/>
        <v>click</v>
      </c>
      <c r="S1768" s="61" t="str">
        <f t="shared" si="179"/>
        <v/>
      </c>
    </row>
    <row r="1769" spans="15:19">
      <c r="O1769" s="53" t="str">
        <f t="shared" si="178"/>
        <v>click</v>
      </c>
      <c r="S1769" s="61" t="str">
        <f t="shared" si="179"/>
        <v/>
      </c>
    </row>
    <row r="1770" spans="15:19">
      <c r="O1770" s="53" t="str">
        <f t="shared" si="178"/>
        <v>click</v>
      </c>
      <c r="S1770" s="61" t="str">
        <f t="shared" si="179"/>
        <v/>
      </c>
    </row>
    <row r="1771" spans="15:19">
      <c r="O1771" s="53" t="str">
        <f t="shared" si="178"/>
        <v>click</v>
      </c>
      <c r="S1771" s="61" t="str">
        <f t="shared" si="179"/>
        <v/>
      </c>
    </row>
    <row r="1772" spans="15:19">
      <c r="O1772" s="53" t="str">
        <f t="shared" si="178"/>
        <v>click</v>
      </c>
      <c r="S1772" s="61" t="str">
        <f t="shared" si="179"/>
        <v/>
      </c>
    </row>
    <row r="1773" spans="15:19">
      <c r="O1773" s="53" t="str">
        <f t="shared" si="178"/>
        <v>click</v>
      </c>
      <c r="S1773" s="61" t="str">
        <f t="shared" si="179"/>
        <v/>
      </c>
    </row>
    <row r="1774" spans="15:19">
      <c r="O1774" s="53" t="str">
        <f t="shared" si="178"/>
        <v>click</v>
      </c>
      <c r="S1774" s="61" t="str">
        <f t="shared" si="179"/>
        <v/>
      </c>
    </row>
    <row r="1775" spans="15:19">
      <c r="O1775" s="53" t="str">
        <f t="shared" si="178"/>
        <v>click</v>
      </c>
      <c r="S1775" s="61" t="str">
        <f t="shared" si="179"/>
        <v/>
      </c>
    </row>
    <row r="1776" spans="15:19">
      <c r="O1776" s="53" t="str">
        <f t="shared" si="178"/>
        <v>click</v>
      </c>
      <c r="S1776" s="61" t="str">
        <f t="shared" si="179"/>
        <v/>
      </c>
    </row>
    <row r="1777" spans="15:19">
      <c r="O1777" s="53" t="str">
        <f t="shared" si="178"/>
        <v>click</v>
      </c>
      <c r="S1777" s="61" t="str">
        <f t="shared" si="179"/>
        <v/>
      </c>
    </row>
    <row r="1778" spans="15:19">
      <c r="O1778" s="53" t="str">
        <f t="shared" si="178"/>
        <v>click</v>
      </c>
      <c r="S1778" s="61" t="str">
        <f t="shared" si="179"/>
        <v/>
      </c>
    </row>
    <row r="1779" spans="15:19">
      <c r="O1779" s="53" t="str">
        <f t="shared" si="178"/>
        <v>click</v>
      </c>
      <c r="S1779" s="61" t="str">
        <f t="shared" si="179"/>
        <v/>
      </c>
    </row>
    <row r="1780" spans="15:19">
      <c r="O1780" s="53" t="str">
        <f t="shared" si="178"/>
        <v>click</v>
      </c>
      <c r="S1780" s="61" t="str">
        <f t="shared" si="179"/>
        <v/>
      </c>
    </row>
    <row r="1781" spans="15:19">
      <c r="O1781" s="53" t="str">
        <f t="shared" si="178"/>
        <v>click</v>
      </c>
      <c r="S1781" s="61" t="str">
        <f t="shared" si="179"/>
        <v/>
      </c>
    </row>
    <row r="1782" spans="15:19">
      <c r="O1782" s="53" t="str">
        <f t="shared" si="178"/>
        <v>click</v>
      </c>
      <c r="S1782" s="61" t="str">
        <f t="shared" si="179"/>
        <v/>
      </c>
    </row>
    <row r="1783" spans="15:19">
      <c r="O1783" s="53" t="str">
        <f t="shared" si="178"/>
        <v>click</v>
      </c>
      <c r="S1783" s="61" t="str">
        <f t="shared" si="179"/>
        <v/>
      </c>
    </row>
    <row r="1784" spans="15:19">
      <c r="O1784" s="53" t="str">
        <f t="shared" si="178"/>
        <v>click</v>
      </c>
      <c r="S1784" s="61" t="str">
        <f t="shared" si="179"/>
        <v/>
      </c>
    </row>
    <row r="1785" spans="15:19">
      <c r="O1785" s="53" t="str">
        <f t="shared" si="178"/>
        <v>click</v>
      </c>
      <c r="S1785" s="61" t="str">
        <f t="shared" si="179"/>
        <v/>
      </c>
    </row>
    <row r="1786" spans="15:19">
      <c r="O1786" s="53" t="str">
        <f t="shared" si="178"/>
        <v>click</v>
      </c>
      <c r="S1786" s="61" t="str">
        <f t="shared" si="179"/>
        <v/>
      </c>
    </row>
    <row r="1787" spans="15:19">
      <c r="O1787" s="53" t="str">
        <f t="shared" si="178"/>
        <v>click</v>
      </c>
      <c r="S1787" s="61" t="str">
        <f t="shared" si="179"/>
        <v/>
      </c>
    </row>
    <row r="1788" spans="15:19">
      <c r="O1788" s="53" t="str">
        <f t="shared" si="178"/>
        <v>click</v>
      </c>
      <c r="S1788" s="61" t="str">
        <f t="shared" si="179"/>
        <v/>
      </c>
    </row>
    <row r="1789" spans="15:19">
      <c r="O1789" s="53" t="str">
        <f t="shared" si="178"/>
        <v>click</v>
      </c>
      <c r="S1789" s="61" t="str">
        <f t="shared" si="179"/>
        <v/>
      </c>
    </row>
    <row r="1790" spans="15:19">
      <c r="O1790" s="53" t="str">
        <f t="shared" si="178"/>
        <v>click</v>
      </c>
      <c r="S1790" s="61" t="str">
        <f t="shared" si="179"/>
        <v/>
      </c>
    </row>
    <row r="1791" spans="15:19">
      <c r="O1791" s="53" t="str">
        <f t="shared" si="178"/>
        <v>click</v>
      </c>
      <c r="S1791" s="61" t="str">
        <f t="shared" si="179"/>
        <v/>
      </c>
    </row>
    <row r="1792" spans="15:19">
      <c r="O1792" s="53" t="str">
        <f t="shared" si="178"/>
        <v>click</v>
      </c>
      <c r="S1792" s="61" t="str">
        <f t="shared" si="179"/>
        <v/>
      </c>
    </row>
    <row r="1793" spans="15:19">
      <c r="O1793" s="53" t="str">
        <f t="shared" si="178"/>
        <v>click</v>
      </c>
      <c r="S1793" s="61" t="str">
        <f t="shared" si="179"/>
        <v/>
      </c>
    </row>
    <row r="1794" spans="15:19">
      <c r="O1794" s="53" t="str">
        <f t="shared" si="178"/>
        <v>click</v>
      </c>
      <c r="S1794" s="61" t="str">
        <f t="shared" si="179"/>
        <v/>
      </c>
    </row>
    <row r="1795" spans="15:19">
      <c r="O1795" s="53" t="str">
        <f t="shared" si="178"/>
        <v>click</v>
      </c>
      <c r="S1795" s="61" t="str">
        <f t="shared" si="179"/>
        <v/>
      </c>
    </row>
    <row r="1796" spans="15:19">
      <c r="O1796" s="53" t="str">
        <f t="shared" si="178"/>
        <v>click</v>
      </c>
      <c r="S1796" s="61" t="str">
        <f t="shared" si="179"/>
        <v/>
      </c>
    </row>
    <row r="1797" spans="15:19">
      <c r="O1797" s="53" t="str">
        <f t="shared" si="178"/>
        <v>click</v>
      </c>
      <c r="S1797" s="61" t="str">
        <f t="shared" si="179"/>
        <v/>
      </c>
    </row>
    <row r="1798" spans="15:19">
      <c r="O1798" s="53" t="str">
        <f t="shared" si="178"/>
        <v>click</v>
      </c>
      <c r="S1798" s="61" t="str">
        <f t="shared" si="179"/>
        <v/>
      </c>
    </row>
    <row r="1799" spans="15:19">
      <c r="O1799" s="53" t="str">
        <f t="shared" si="178"/>
        <v>click</v>
      </c>
      <c r="S1799" s="61" t="str">
        <f t="shared" si="179"/>
        <v/>
      </c>
    </row>
    <row r="1800" spans="15:19">
      <c r="O1800" s="53" t="str">
        <f t="shared" si="178"/>
        <v>click</v>
      </c>
      <c r="S1800" s="61" t="str">
        <f t="shared" si="179"/>
        <v/>
      </c>
    </row>
    <row r="1801" spans="15:19">
      <c r="O1801" s="53" t="str">
        <f t="shared" si="178"/>
        <v>click</v>
      </c>
      <c r="S1801" s="61" t="str">
        <f t="shared" si="179"/>
        <v/>
      </c>
    </row>
    <row r="1802" spans="15:19">
      <c r="O1802" s="53" t="str">
        <f t="shared" si="178"/>
        <v>click</v>
      </c>
      <c r="S1802" s="61" t="str">
        <f t="shared" si="179"/>
        <v/>
      </c>
    </row>
    <row r="1803" spans="15:19">
      <c r="O1803" s="53" t="str">
        <f t="shared" si="178"/>
        <v>click</v>
      </c>
      <c r="S1803" s="61" t="str">
        <f t="shared" si="179"/>
        <v/>
      </c>
    </row>
    <row r="1804" spans="15:19">
      <c r="O1804" s="53" t="str">
        <f t="shared" si="178"/>
        <v>click</v>
      </c>
      <c r="S1804" s="61" t="str">
        <f t="shared" si="179"/>
        <v/>
      </c>
    </row>
    <row r="1805" spans="15:19">
      <c r="O1805" s="53" t="str">
        <f t="shared" si="178"/>
        <v>click</v>
      </c>
      <c r="S1805" s="61" t="str">
        <f t="shared" si="179"/>
        <v/>
      </c>
    </row>
    <row r="1806" spans="15:19">
      <c r="O1806" s="53" t="str">
        <f t="shared" si="178"/>
        <v>click</v>
      </c>
      <c r="S1806" s="61" t="str">
        <f t="shared" si="179"/>
        <v/>
      </c>
    </row>
    <row r="1807" spans="15:19">
      <c r="O1807" s="53" t="str">
        <f t="shared" si="178"/>
        <v>click</v>
      </c>
      <c r="S1807" s="61" t="str">
        <f t="shared" si="179"/>
        <v/>
      </c>
    </row>
    <row r="1808" spans="15:19">
      <c r="O1808" s="53" t="str">
        <f t="shared" si="178"/>
        <v>click</v>
      </c>
      <c r="S1808" s="61" t="str">
        <f t="shared" si="179"/>
        <v/>
      </c>
    </row>
    <row r="1809" spans="15:19">
      <c r="O1809" s="53" t="str">
        <f t="shared" si="178"/>
        <v>click</v>
      </c>
      <c r="S1809" s="61" t="str">
        <f t="shared" si="179"/>
        <v/>
      </c>
    </row>
    <row r="1810" spans="15:19">
      <c r="O1810" s="53" t="str">
        <f t="shared" si="178"/>
        <v>click</v>
      </c>
      <c r="S1810" s="61" t="str">
        <f t="shared" si="179"/>
        <v/>
      </c>
    </row>
    <row r="1811" spans="15:19">
      <c r="O1811" s="53" t="str">
        <f t="shared" si="178"/>
        <v>click</v>
      </c>
      <c r="S1811" s="61" t="str">
        <f t="shared" si="179"/>
        <v/>
      </c>
    </row>
    <row r="1812" spans="15:19">
      <c r="O1812" s="53" t="str">
        <f t="shared" si="178"/>
        <v>click</v>
      </c>
      <c r="S1812" s="61" t="str">
        <f t="shared" si="179"/>
        <v/>
      </c>
    </row>
    <row r="1813" spans="15:19">
      <c r="O1813" s="53" t="str">
        <f t="shared" si="178"/>
        <v>click</v>
      </c>
      <c r="S1813" s="61" t="str">
        <f t="shared" si="179"/>
        <v/>
      </c>
    </row>
    <row r="1814" spans="15:19">
      <c r="O1814" s="53" t="str">
        <f t="shared" si="178"/>
        <v>click</v>
      </c>
      <c r="S1814" s="61" t="str">
        <f t="shared" si="179"/>
        <v/>
      </c>
    </row>
    <row r="1815" spans="15:19">
      <c r="O1815" s="53" t="str">
        <f t="shared" si="178"/>
        <v>click</v>
      </c>
      <c r="S1815" s="61" t="str">
        <f t="shared" si="179"/>
        <v/>
      </c>
    </row>
    <row r="1816" spans="15:19">
      <c r="O1816" s="53" t="str">
        <f t="shared" si="178"/>
        <v>click</v>
      </c>
      <c r="S1816" s="61" t="str">
        <f t="shared" si="179"/>
        <v/>
      </c>
    </row>
    <row r="1817" spans="15:19">
      <c r="O1817" s="53" t="str">
        <f t="shared" si="178"/>
        <v>click</v>
      </c>
      <c r="S1817" s="61" t="str">
        <f t="shared" si="179"/>
        <v/>
      </c>
    </row>
    <row r="1818" spans="15:19">
      <c r="O1818" s="53" t="str">
        <f t="shared" si="178"/>
        <v>click</v>
      </c>
      <c r="S1818" s="61" t="str">
        <f t="shared" si="179"/>
        <v/>
      </c>
    </row>
    <row r="1819" spans="15:19">
      <c r="O1819" s="53" t="str">
        <f t="shared" si="178"/>
        <v>click</v>
      </c>
      <c r="S1819" s="61" t="str">
        <f t="shared" si="179"/>
        <v/>
      </c>
    </row>
    <row r="1820" spans="15:19">
      <c r="O1820" s="53" t="str">
        <f t="shared" si="178"/>
        <v>click</v>
      </c>
      <c r="S1820" s="61" t="str">
        <f t="shared" si="179"/>
        <v/>
      </c>
    </row>
    <row r="1821" spans="15:19">
      <c r="O1821" s="53" t="str">
        <f t="shared" ref="O1821:O1884" si="180">IF(D1821="input","fill",IF(I1821&lt;&gt;"","innerText",IF(J1821="Y",$T$110,"click")))</f>
        <v>click</v>
      </c>
      <c r="S1821" s="61" t="str">
        <f t="shared" si="179"/>
        <v/>
      </c>
    </row>
    <row r="1822" spans="15:19">
      <c r="O1822" s="53" t="str">
        <f t="shared" si="180"/>
        <v>click</v>
      </c>
      <c r="S1822" s="61" t="str">
        <f t="shared" ref="S1822:S1885" si="181">IF(O1822="innerText",I1822&amp;"="&amp;IF(C1822="Y",IF(J1822&lt;&gt;"Y",$S$9&amp;$R$10&amp;"."&amp;E1822&amp;")."&amp;IF(OR(O1822="click",O1822="innerText"),O1822&amp;"();",O1822&amp;"("&amp;$Q$9&amp;"."&amp;E1822&amp;");"),$S$110&amp;$R$10&amp;"."&amp;E1822&amp;")."&amp;IF(O1822="click",O1822&amp;"();",O1822&amp;"("&amp;"'"&amp;K1822&amp;"'"&amp;");")),""),IF(C1822="Y",IF(J1822&lt;&gt;"Y",$S$9&amp;$R$10&amp;"."&amp;E1822&amp;")."&amp;IF(OR(O1822="click",O1822="innerText"),O1822&amp;"();",O1822&amp;"("&amp;$Q$9&amp;"."&amp;E1822&amp;");"),$S$110&amp;$R$10&amp;"."&amp;E1822&amp;")."&amp;IF(O1822="click",O1822&amp;"();",O1822&amp;"("&amp;"'"&amp;K1822&amp;"'"&amp;");")),""))</f>
        <v/>
      </c>
    </row>
    <row r="1823" spans="15:19">
      <c r="O1823" s="53" t="str">
        <f t="shared" si="180"/>
        <v>click</v>
      </c>
      <c r="S1823" s="61" t="str">
        <f t="shared" si="181"/>
        <v/>
      </c>
    </row>
    <row r="1824" spans="15:19">
      <c r="O1824" s="53" t="str">
        <f t="shared" si="180"/>
        <v>click</v>
      </c>
      <c r="S1824" s="61" t="str">
        <f t="shared" si="181"/>
        <v/>
      </c>
    </row>
    <row r="1825" spans="15:19">
      <c r="O1825" s="53" t="str">
        <f t="shared" si="180"/>
        <v>click</v>
      </c>
      <c r="S1825" s="61" t="str">
        <f t="shared" si="181"/>
        <v/>
      </c>
    </row>
    <row r="1826" spans="15:19">
      <c r="O1826" s="53" t="str">
        <f t="shared" si="180"/>
        <v>click</v>
      </c>
      <c r="S1826" s="61" t="str">
        <f t="shared" si="181"/>
        <v/>
      </c>
    </row>
    <row r="1827" spans="15:19">
      <c r="O1827" s="53" t="str">
        <f t="shared" si="180"/>
        <v>click</v>
      </c>
      <c r="S1827" s="61" t="str">
        <f t="shared" si="181"/>
        <v/>
      </c>
    </row>
    <row r="1828" spans="15:19">
      <c r="O1828" s="53" t="str">
        <f t="shared" si="180"/>
        <v>click</v>
      </c>
      <c r="S1828" s="61" t="str">
        <f t="shared" si="181"/>
        <v/>
      </c>
    </row>
    <row r="1829" spans="15:19">
      <c r="O1829" s="53" t="str">
        <f t="shared" si="180"/>
        <v>click</v>
      </c>
      <c r="S1829" s="61" t="str">
        <f t="shared" si="181"/>
        <v/>
      </c>
    </row>
    <row r="1830" spans="15:19">
      <c r="O1830" s="53" t="str">
        <f t="shared" si="180"/>
        <v>click</v>
      </c>
      <c r="S1830" s="61" t="str">
        <f t="shared" si="181"/>
        <v/>
      </c>
    </row>
    <row r="1831" spans="15:19">
      <c r="O1831" s="53" t="str">
        <f t="shared" si="180"/>
        <v>click</v>
      </c>
      <c r="S1831" s="61" t="str">
        <f t="shared" si="181"/>
        <v/>
      </c>
    </row>
    <row r="1832" spans="15:19">
      <c r="O1832" s="53" t="str">
        <f t="shared" si="180"/>
        <v>click</v>
      </c>
      <c r="S1832" s="61" t="str">
        <f t="shared" si="181"/>
        <v/>
      </c>
    </row>
    <row r="1833" spans="15:19">
      <c r="O1833" s="53" t="str">
        <f t="shared" si="180"/>
        <v>click</v>
      </c>
      <c r="S1833" s="61" t="str">
        <f t="shared" si="181"/>
        <v/>
      </c>
    </row>
    <row r="1834" spans="15:19">
      <c r="O1834" s="53" t="str">
        <f t="shared" si="180"/>
        <v>click</v>
      </c>
      <c r="S1834" s="61" t="str">
        <f t="shared" si="181"/>
        <v/>
      </c>
    </row>
    <row r="1835" spans="15:19">
      <c r="O1835" s="53" t="str">
        <f t="shared" si="180"/>
        <v>click</v>
      </c>
      <c r="S1835" s="61" t="str">
        <f t="shared" si="181"/>
        <v/>
      </c>
    </row>
    <row r="1836" spans="15:19">
      <c r="O1836" s="53" t="str">
        <f t="shared" si="180"/>
        <v>click</v>
      </c>
      <c r="S1836" s="61" t="str">
        <f t="shared" si="181"/>
        <v/>
      </c>
    </row>
    <row r="1837" spans="15:19">
      <c r="O1837" s="53" t="str">
        <f t="shared" si="180"/>
        <v>click</v>
      </c>
      <c r="S1837" s="61" t="str">
        <f t="shared" si="181"/>
        <v/>
      </c>
    </row>
    <row r="1838" spans="15:19">
      <c r="O1838" s="53" t="str">
        <f t="shared" si="180"/>
        <v>click</v>
      </c>
      <c r="S1838" s="61" t="str">
        <f t="shared" si="181"/>
        <v/>
      </c>
    </row>
    <row r="1839" spans="15:19">
      <c r="O1839" s="53" t="str">
        <f t="shared" si="180"/>
        <v>click</v>
      </c>
      <c r="S1839" s="61" t="str">
        <f t="shared" si="181"/>
        <v/>
      </c>
    </row>
    <row r="1840" spans="15:19">
      <c r="O1840" s="53" t="str">
        <f t="shared" si="180"/>
        <v>click</v>
      </c>
      <c r="S1840" s="61" t="str">
        <f t="shared" si="181"/>
        <v/>
      </c>
    </row>
    <row r="1841" spans="15:19">
      <c r="O1841" s="53" t="str">
        <f t="shared" si="180"/>
        <v>click</v>
      </c>
      <c r="S1841" s="61" t="str">
        <f t="shared" si="181"/>
        <v/>
      </c>
    </row>
    <row r="1842" spans="15:19">
      <c r="O1842" s="53" t="str">
        <f t="shared" si="180"/>
        <v>click</v>
      </c>
      <c r="S1842" s="61" t="str">
        <f t="shared" si="181"/>
        <v/>
      </c>
    </row>
    <row r="1843" spans="15:19">
      <c r="O1843" s="53" t="str">
        <f t="shared" si="180"/>
        <v>click</v>
      </c>
      <c r="S1843" s="61" t="str">
        <f t="shared" si="181"/>
        <v/>
      </c>
    </row>
    <row r="1844" spans="15:19">
      <c r="O1844" s="53" t="str">
        <f t="shared" si="180"/>
        <v>click</v>
      </c>
      <c r="S1844" s="61" t="str">
        <f t="shared" si="181"/>
        <v/>
      </c>
    </row>
    <row r="1845" spans="15:19">
      <c r="O1845" s="53" t="str">
        <f t="shared" si="180"/>
        <v>click</v>
      </c>
      <c r="S1845" s="61" t="str">
        <f t="shared" si="181"/>
        <v/>
      </c>
    </row>
    <row r="1846" spans="15:19">
      <c r="O1846" s="53" t="str">
        <f t="shared" si="180"/>
        <v>click</v>
      </c>
      <c r="S1846" s="61" t="str">
        <f t="shared" si="181"/>
        <v/>
      </c>
    </row>
    <row r="1847" spans="15:19">
      <c r="O1847" s="53" t="str">
        <f t="shared" si="180"/>
        <v>click</v>
      </c>
      <c r="S1847" s="61" t="str">
        <f t="shared" si="181"/>
        <v/>
      </c>
    </row>
    <row r="1848" spans="15:19">
      <c r="O1848" s="53" t="str">
        <f t="shared" si="180"/>
        <v>click</v>
      </c>
      <c r="S1848" s="61" t="str">
        <f t="shared" si="181"/>
        <v/>
      </c>
    </row>
    <row r="1849" spans="15:19">
      <c r="O1849" s="53" t="str">
        <f t="shared" si="180"/>
        <v>click</v>
      </c>
      <c r="S1849" s="61" t="str">
        <f t="shared" si="181"/>
        <v/>
      </c>
    </row>
    <row r="1850" spans="15:19">
      <c r="O1850" s="53" t="str">
        <f t="shared" si="180"/>
        <v>click</v>
      </c>
      <c r="S1850" s="61" t="str">
        <f t="shared" si="181"/>
        <v/>
      </c>
    </row>
    <row r="1851" spans="15:19">
      <c r="O1851" s="53" t="str">
        <f t="shared" si="180"/>
        <v>click</v>
      </c>
      <c r="S1851" s="61" t="str">
        <f t="shared" si="181"/>
        <v/>
      </c>
    </row>
    <row r="1852" spans="15:19">
      <c r="O1852" s="53" t="str">
        <f t="shared" si="180"/>
        <v>click</v>
      </c>
      <c r="S1852" s="61" t="str">
        <f t="shared" si="181"/>
        <v/>
      </c>
    </row>
    <row r="1853" spans="15:19">
      <c r="O1853" s="53" t="str">
        <f t="shared" si="180"/>
        <v>click</v>
      </c>
      <c r="S1853" s="61" t="str">
        <f t="shared" si="181"/>
        <v/>
      </c>
    </row>
    <row r="1854" spans="15:19">
      <c r="O1854" s="53" t="str">
        <f t="shared" si="180"/>
        <v>click</v>
      </c>
      <c r="S1854" s="61" t="str">
        <f t="shared" si="181"/>
        <v/>
      </c>
    </row>
    <row r="1855" spans="15:19">
      <c r="O1855" s="53" t="str">
        <f t="shared" si="180"/>
        <v>click</v>
      </c>
      <c r="S1855" s="61" t="str">
        <f t="shared" si="181"/>
        <v/>
      </c>
    </row>
    <row r="1856" spans="15:19">
      <c r="O1856" s="53" t="str">
        <f t="shared" si="180"/>
        <v>click</v>
      </c>
      <c r="S1856" s="61" t="str">
        <f t="shared" si="181"/>
        <v/>
      </c>
    </row>
    <row r="1857" spans="15:19">
      <c r="O1857" s="53" t="str">
        <f t="shared" si="180"/>
        <v>click</v>
      </c>
      <c r="S1857" s="61" t="str">
        <f t="shared" si="181"/>
        <v/>
      </c>
    </row>
    <row r="1858" spans="15:19">
      <c r="O1858" s="53" t="str">
        <f t="shared" si="180"/>
        <v>click</v>
      </c>
      <c r="S1858" s="61" t="str">
        <f t="shared" si="181"/>
        <v/>
      </c>
    </row>
    <row r="1859" spans="15:19">
      <c r="O1859" s="53" t="str">
        <f t="shared" si="180"/>
        <v>click</v>
      </c>
      <c r="S1859" s="61" t="str">
        <f t="shared" si="181"/>
        <v/>
      </c>
    </row>
    <row r="1860" spans="15:19">
      <c r="O1860" s="53" t="str">
        <f t="shared" si="180"/>
        <v>click</v>
      </c>
      <c r="S1860" s="61" t="str">
        <f t="shared" si="181"/>
        <v/>
      </c>
    </row>
    <row r="1861" spans="15:19">
      <c r="O1861" s="53" t="str">
        <f t="shared" si="180"/>
        <v>click</v>
      </c>
      <c r="S1861" s="61" t="str">
        <f t="shared" si="181"/>
        <v/>
      </c>
    </row>
    <row r="1862" spans="15:19">
      <c r="O1862" s="53" t="str">
        <f t="shared" si="180"/>
        <v>click</v>
      </c>
      <c r="S1862" s="61" t="str">
        <f t="shared" si="181"/>
        <v/>
      </c>
    </row>
    <row r="1863" spans="15:19">
      <c r="O1863" s="53" t="str">
        <f t="shared" si="180"/>
        <v>click</v>
      </c>
      <c r="S1863" s="61" t="str">
        <f t="shared" si="181"/>
        <v/>
      </c>
    </row>
    <row r="1864" spans="15:19">
      <c r="O1864" s="53" t="str">
        <f t="shared" si="180"/>
        <v>click</v>
      </c>
      <c r="S1864" s="61" t="str">
        <f t="shared" si="181"/>
        <v/>
      </c>
    </row>
    <row r="1865" spans="15:19">
      <c r="O1865" s="53" t="str">
        <f t="shared" si="180"/>
        <v>click</v>
      </c>
      <c r="S1865" s="61" t="str">
        <f t="shared" si="181"/>
        <v/>
      </c>
    </row>
    <row r="1866" spans="15:19">
      <c r="O1866" s="53" t="str">
        <f t="shared" si="180"/>
        <v>click</v>
      </c>
      <c r="S1866" s="61" t="str">
        <f t="shared" si="181"/>
        <v/>
      </c>
    </row>
    <row r="1867" spans="15:19">
      <c r="O1867" s="53" t="str">
        <f t="shared" si="180"/>
        <v>click</v>
      </c>
      <c r="S1867" s="61" t="str">
        <f t="shared" si="181"/>
        <v/>
      </c>
    </row>
    <row r="1868" spans="15:19">
      <c r="O1868" s="53" t="str">
        <f t="shared" si="180"/>
        <v>click</v>
      </c>
      <c r="S1868" s="61" t="str">
        <f t="shared" si="181"/>
        <v/>
      </c>
    </row>
    <row r="1869" spans="15:19">
      <c r="O1869" s="53" t="str">
        <f t="shared" si="180"/>
        <v>click</v>
      </c>
      <c r="S1869" s="61" t="str">
        <f t="shared" si="181"/>
        <v/>
      </c>
    </row>
    <row r="1870" spans="15:19">
      <c r="O1870" s="53" t="str">
        <f t="shared" si="180"/>
        <v>click</v>
      </c>
      <c r="S1870" s="61" t="str">
        <f t="shared" si="181"/>
        <v/>
      </c>
    </row>
    <row r="1871" spans="15:19">
      <c r="O1871" s="53" t="str">
        <f t="shared" si="180"/>
        <v>click</v>
      </c>
      <c r="S1871" s="61" t="str">
        <f t="shared" si="181"/>
        <v/>
      </c>
    </row>
    <row r="1872" spans="15:19">
      <c r="O1872" s="53" t="str">
        <f t="shared" si="180"/>
        <v>click</v>
      </c>
      <c r="S1872" s="61" t="str">
        <f t="shared" si="181"/>
        <v/>
      </c>
    </row>
    <row r="1873" spans="15:19">
      <c r="O1873" s="53" t="str">
        <f t="shared" si="180"/>
        <v>click</v>
      </c>
      <c r="S1873" s="61" t="str">
        <f t="shared" si="181"/>
        <v/>
      </c>
    </row>
    <row r="1874" spans="15:19">
      <c r="O1874" s="53" t="str">
        <f t="shared" si="180"/>
        <v>click</v>
      </c>
      <c r="S1874" s="61" t="str">
        <f t="shared" si="181"/>
        <v/>
      </c>
    </row>
    <row r="1875" spans="15:19">
      <c r="O1875" s="53" t="str">
        <f t="shared" si="180"/>
        <v>click</v>
      </c>
      <c r="S1875" s="61" t="str">
        <f t="shared" si="181"/>
        <v/>
      </c>
    </row>
    <row r="1876" spans="15:19">
      <c r="O1876" s="53" t="str">
        <f t="shared" si="180"/>
        <v>click</v>
      </c>
      <c r="S1876" s="61" t="str">
        <f t="shared" si="181"/>
        <v/>
      </c>
    </row>
    <row r="1877" spans="15:19">
      <c r="O1877" s="53" t="str">
        <f t="shared" si="180"/>
        <v>click</v>
      </c>
      <c r="S1877" s="61" t="str">
        <f t="shared" si="181"/>
        <v/>
      </c>
    </row>
    <row r="1878" spans="15:19">
      <c r="O1878" s="53" t="str">
        <f t="shared" si="180"/>
        <v>click</v>
      </c>
      <c r="S1878" s="61" t="str">
        <f t="shared" si="181"/>
        <v/>
      </c>
    </row>
    <row r="1879" spans="15:19">
      <c r="O1879" s="53" t="str">
        <f t="shared" si="180"/>
        <v>click</v>
      </c>
      <c r="S1879" s="61" t="str">
        <f t="shared" si="181"/>
        <v/>
      </c>
    </row>
    <row r="1880" spans="15:19">
      <c r="O1880" s="53" t="str">
        <f t="shared" si="180"/>
        <v>click</v>
      </c>
      <c r="S1880" s="61" t="str">
        <f t="shared" si="181"/>
        <v/>
      </c>
    </row>
    <row r="1881" spans="15:19">
      <c r="O1881" s="53" t="str">
        <f t="shared" si="180"/>
        <v>click</v>
      </c>
      <c r="S1881" s="61" t="str">
        <f t="shared" si="181"/>
        <v/>
      </c>
    </row>
    <row r="1882" spans="15:19">
      <c r="O1882" s="53" t="str">
        <f t="shared" si="180"/>
        <v>click</v>
      </c>
      <c r="S1882" s="61" t="str">
        <f t="shared" si="181"/>
        <v/>
      </c>
    </row>
    <row r="1883" spans="15:19">
      <c r="O1883" s="53" t="str">
        <f t="shared" si="180"/>
        <v>click</v>
      </c>
      <c r="S1883" s="61" t="str">
        <f t="shared" si="181"/>
        <v/>
      </c>
    </row>
    <row r="1884" spans="15:19">
      <c r="O1884" s="53" t="str">
        <f t="shared" si="180"/>
        <v>click</v>
      </c>
      <c r="S1884" s="61" t="str">
        <f t="shared" si="181"/>
        <v/>
      </c>
    </row>
    <row r="1885" spans="15:19">
      <c r="O1885" s="53" t="str">
        <f t="shared" ref="O1885:O1948" si="182">IF(D1885="input","fill",IF(I1885&lt;&gt;"","innerText",IF(J1885="Y",$T$110,"click")))</f>
        <v>click</v>
      </c>
      <c r="S1885" s="61" t="str">
        <f t="shared" si="181"/>
        <v/>
      </c>
    </row>
    <row r="1886" spans="15:19">
      <c r="O1886" s="53" t="str">
        <f t="shared" si="182"/>
        <v>click</v>
      </c>
      <c r="S1886" s="61" t="str">
        <f t="shared" ref="S1886:S1949" si="183">IF(O1886="innerText",I1886&amp;"="&amp;IF(C1886="Y",IF(J1886&lt;&gt;"Y",$S$9&amp;$R$10&amp;"."&amp;E1886&amp;")."&amp;IF(OR(O1886="click",O1886="innerText"),O1886&amp;"();",O1886&amp;"("&amp;$Q$9&amp;"."&amp;E1886&amp;");"),$S$110&amp;$R$10&amp;"."&amp;E1886&amp;")."&amp;IF(O1886="click",O1886&amp;"();",O1886&amp;"("&amp;"'"&amp;K1886&amp;"'"&amp;");")),""),IF(C1886="Y",IF(J1886&lt;&gt;"Y",$S$9&amp;$R$10&amp;"."&amp;E1886&amp;")."&amp;IF(OR(O1886="click",O1886="innerText"),O1886&amp;"();",O1886&amp;"("&amp;$Q$9&amp;"."&amp;E1886&amp;");"),$S$110&amp;$R$10&amp;"."&amp;E1886&amp;")."&amp;IF(O1886="click",O1886&amp;"();",O1886&amp;"("&amp;"'"&amp;K1886&amp;"'"&amp;");")),""))</f>
        <v/>
      </c>
    </row>
    <row r="1887" spans="15:19">
      <c r="O1887" s="53" t="str">
        <f t="shared" si="182"/>
        <v>click</v>
      </c>
      <c r="S1887" s="61" t="str">
        <f t="shared" si="183"/>
        <v/>
      </c>
    </row>
    <row r="1888" spans="15:19">
      <c r="O1888" s="53" t="str">
        <f t="shared" si="182"/>
        <v>click</v>
      </c>
      <c r="S1888" s="61" t="str">
        <f t="shared" si="183"/>
        <v/>
      </c>
    </row>
    <row r="1889" spans="15:19">
      <c r="O1889" s="53" t="str">
        <f t="shared" si="182"/>
        <v>click</v>
      </c>
      <c r="S1889" s="61" t="str">
        <f t="shared" si="183"/>
        <v/>
      </c>
    </row>
    <row r="1890" spans="15:19">
      <c r="O1890" s="53" t="str">
        <f t="shared" si="182"/>
        <v>click</v>
      </c>
      <c r="S1890" s="61" t="str">
        <f t="shared" si="183"/>
        <v/>
      </c>
    </row>
    <row r="1891" spans="15:19">
      <c r="O1891" s="53" t="str">
        <f t="shared" si="182"/>
        <v>click</v>
      </c>
      <c r="S1891" s="61" t="str">
        <f t="shared" si="183"/>
        <v/>
      </c>
    </row>
    <row r="1892" spans="15:19">
      <c r="O1892" s="53" t="str">
        <f t="shared" si="182"/>
        <v>click</v>
      </c>
      <c r="S1892" s="61" t="str">
        <f t="shared" si="183"/>
        <v/>
      </c>
    </row>
    <row r="1893" spans="15:19">
      <c r="O1893" s="53" t="str">
        <f t="shared" si="182"/>
        <v>click</v>
      </c>
      <c r="S1893" s="61" t="str">
        <f t="shared" si="183"/>
        <v/>
      </c>
    </row>
    <row r="1894" spans="15:19">
      <c r="O1894" s="53" t="str">
        <f t="shared" si="182"/>
        <v>click</v>
      </c>
      <c r="S1894" s="61" t="str">
        <f t="shared" si="183"/>
        <v/>
      </c>
    </row>
    <row r="1895" spans="15:19">
      <c r="O1895" s="53" t="str">
        <f t="shared" si="182"/>
        <v>click</v>
      </c>
      <c r="S1895" s="61" t="str">
        <f t="shared" si="183"/>
        <v/>
      </c>
    </row>
    <row r="1896" spans="15:19">
      <c r="O1896" s="53" t="str">
        <f t="shared" si="182"/>
        <v>click</v>
      </c>
      <c r="S1896" s="61" t="str">
        <f t="shared" si="183"/>
        <v/>
      </c>
    </row>
    <row r="1897" spans="15:19">
      <c r="O1897" s="53" t="str">
        <f t="shared" si="182"/>
        <v>click</v>
      </c>
      <c r="S1897" s="61" t="str">
        <f t="shared" si="183"/>
        <v/>
      </c>
    </row>
    <row r="1898" spans="15:19">
      <c r="O1898" s="53" t="str">
        <f t="shared" si="182"/>
        <v>click</v>
      </c>
      <c r="S1898" s="61" t="str">
        <f t="shared" si="183"/>
        <v/>
      </c>
    </row>
    <row r="1899" spans="15:19">
      <c r="O1899" s="53" t="str">
        <f t="shared" si="182"/>
        <v>click</v>
      </c>
      <c r="S1899" s="61" t="str">
        <f t="shared" si="183"/>
        <v/>
      </c>
    </row>
    <row r="1900" spans="15:19">
      <c r="O1900" s="53" t="str">
        <f t="shared" si="182"/>
        <v>click</v>
      </c>
      <c r="S1900" s="61" t="str">
        <f t="shared" si="183"/>
        <v/>
      </c>
    </row>
    <row r="1901" spans="15:19">
      <c r="O1901" s="53" t="str">
        <f t="shared" si="182"/>
        <v>click</v>
      </c>
      <c r="S1901" s="61" t="str">
        <f t="shared" si="183"/>
        <v/>
      </c>
    </row>
    <row r="1902" spans="15:19">
      <c r="O1902" s="53" t="str">
        <f t="shared" si="182"/>
        <v>click</v>
      </c>
      <c r="S1902" s="61" t="str">
        <f t="shared" si="183"/>
        <v/>
      </c>
    </row>
    <row r="1903" spans="15:19">
      <c r="O1903" s="53" t="str">
        <f t="shared" si="182"/>
        <v>click</v>
      </c>
      <c r="S1903" s="61" t="str">
        <f t="shared" si="183"/>
        <v/>
      </c>
    </row>
    <row r="1904" spans="15:19">
      <c r="O1904" s="53" t="str">
        <f t="shared" si="182"/>
        <v>click</v>
      </c>
      <c r="S1904" s="61" t="str">
        <f t="shared" si="183"/>
        <v/>
      </c>
    </row>
    <row r="1905" spans="15:19">
      <c r="O1905" s="53" t="str">
        <f t="shared" si="182"/>
        <v>click</v>
      </c>
      <c r="S1905" s="61" t="str">
        <f t="shared" si="183"/>
        <v/>
      </c>
    </row>
    <row r="1906" spans="15:19">
      <c r="O1906" s="53" t="str">
        <f t="shared" si="182"/>
        <v>click</v>
      </c>
      <c r="S1906" s="61" t="str">
        <f t="shared" si="183"/>
        <v/>
      </c>
    </row>
    <row r="1907" spans="15:19">
      <c r="O1907" s="53" t="str">
        <f t="shared" si="182"/>
        <v>click</v>
      </c>
      <c r="S1907" s="61" t="str">
        <f t="shared" si="183"/>
        <v/>
      </c>
    </row>
    <row r="1908" spans="15:19">
      <c r="O1908" s="53" t="str">
        <f t="shared" si="182"/>
        <v>click</v>
      </c>
      <c r="S1908" s="61" t="str">
        <f t="shared" si="183"/>
        <v/>
      </c>
    </row>
    <row r="1909" spans="15:19">
      <c r="O1909" s="53" t="str">
        <f t="shared" si="182"/>
        <v>click</v>
      </c>
      <c r="S1909" s="61" t="str">
        <f t="shared" si="183"/>
        <v/>
      </c>
    </row>
    <row r="1910" spans="15:19">
      <c r="O1910" s="53" t="str">
        <f t="shared" si="182"/>
        <v>click</v>
      </c>
      <c r="S1910" s="61" t="str">
        <f t="shared" si="183"/>
        <v/>
      </c>
    </row>
    <row r="1911" spans="15:19">
      <c r="O1911" s="53" t="str">
        <f t="shared" si="182"/>
        <v>click</v>
      </c>
      <c r="S1911" s="61" t="str">
        <f t="shared" si="183"/>
        <v/>
      </c>
    </row>
    <row r="1912" spans="15:19">
      <c r="O1912" s="53" t="str">
        <f t="shared" si="182"/>
        <v>click</v>
      </c>
      <c r="S1912" s="61" t="str">
        <f t="shared" si="183"/>
        <v/>
      </c>
    </row>
    <row r="1913" spans="15:19">
      <c r="O1913" s="53" t="str">
        <f t="shared" si="182"/>
        <v>click</v>
      </c>
      <c r="S1913" s="61" t="str">
        <f t="shared" si="183"/>
        <v/>
      </c>
    </row>
    <row r="1914" spans="15:19">
      <c r="O1914" s="53" t="str">
        <f t="shared" si="182"/>
        <v>click</v>
      </c>
      <c r="S1914" s="61" t="str">
        <f t="shared" si="183"/>
        <v/>
      </c>
    </row>
    <row r="1915" spans="15:19">
      <c r="O1915" s="53" t="str">
        <f t="shared" si="182"/>
        <v>click</v>
      </c>
      <c r="S1915" s="61" t="str">
        <f t="shared" si="183"/>
        <v/>
      </c>
    </row>
    <row r="1916" spans="15:19">
      <c r="O1916" s="53" t="str">
        <f t="shared" si="182"/>
        <v>click</v>
      </c>
      <c r="S1916" s="61" t="str">
        <f t="shared" si="183"/>
        <v/>
      </c>
    </row>
    <row r="1917" spans="15:19">
      <c r="O1917" s="53" t="str">
        <f t="shared" si="182"/>
        <v>click</v>
      </c>
      <c r="S1917" s="61" t="str">
        <f t="shared" si="183"/>
        <v/>
      </c>
    </row>
    <row r="1918" spans="15:19">
      <c r="O1918" s="53" t="str">
        <f t="shared" si="182"/>
        <v>click</v>
      </c>
      <c r="S1918" s="61" t="str">
        <f t="shared" si="183"/>
        <v/>
      </c>
    </row>
    <row r="1919" spans="15:19">
      <c r="O1919" s="53" t="str">
        <f t="shared" si="182"/>
        <v>click</v>
      </c>
      <c r="S1919" s="61" t="str">
        <f t="shared" si="183"/>
        <v/>
      </c>
    </row>
    <row r="1920" spans="15:19">
      <c r="O1920" s="53" t="str">
        <f t="shared" si="182"/>
        <v>click</v>
      </c>
      <c r="S1920" s="61" t="str">
        <f t="shared" si="183"/>
        <v/>
      </c>
    </row>
    <row r="1921" spans="15:19">
      <c r="O1921" s="53" t="str">
        <f t="shared" si="182"/>
        <v>click</v>
      </c>
      <c r="S1921" s="61" t="str">
        <f t="shared" si="183"/>
        <v/>
      </c>
    </row>
    <row r="1922" spans="15:19">
      <c r="O1922" s="53" t="str">
        <f t="shared" si="182"/>
        <v>click</v>
      </c>
      <c r="S1922" s="61" t="str">
        <f t="shared" si="183"/>
        <v/>
      </c>
    </row>
    <row r="1923" spans="15:19">
      <c r="O1923" s="53" t="str">
        <f t="shared" si="182"/>
        <v>click</v>
      </c>
      <c r="S1923" s="61" t="str">
        <f t="shared" si="183"/>
        <v/>
      </c>
    </row>
    <row r="1924" spans="15:19">
      <c r="O1924" s="53" t="str">
        <f t="shared" si="182"/>
        <v>click</v>
      </c>
      <c r="S1924" s="61" t="str">
        <f t="shared" si="183"/>
        <v/>
      </c>
    </row>
    <row r="1925" spans="15:19">
      <c r="O1925" s="53" t="str">
        <f t="shared" si="182"/>
        <v>click</v>
      </c>
      <c r="S1925" s="61" t="str">
        <f t="shared" si="183"/>
        <v/>
      </c>
    </row>
    <row r="1926" spans="15:19">
      <c r="O1926" s="53" t="str">
        <f t="shared" si="182"/>
        <v>click</v>
      </c>
      <c r="S1926" s="61" t="str">
        <f t="shared" si="183"/>
        <v/>
      </c>
    </row>
    <row r="1927" spans="15:19">
      <c r="O1927" s="53" t="str">
        <f t="shared" si="182"/>
        <v>click</v>
      </c>
      <c r="S1927" s="61" t="str">
        <f t="shared" si="183"/>
        <v/>
      </c>
    </row>
    <row r="1928" spans="15:19">
      <c r="O1928" s="53" t="str">
        <f t="shared" si="182"/>
        <v>click</v>
      </c>
      <c r="S1928" s="61" t="str">
        <f t="shared" si="183"/>
        <v/>
      </c>
    </row>
    <row r="1929" spans="15:19">
      <c r="O1929" s="53" t="str">
        <f t="shared" si="182"/>
        <v>click</v>
      </c>
      <c r="S1929" s="61" t="str">
        <f t="shared" si="183"/>
        <v/>
      </c>
    </row>
    <row r="1930" spans="15:19">
      <c r="O1930" s="53" t="str">
        <f t="shared" si="182"/>
        <v>click</v>
      </c>
      <c r="S1930" s="61" t="str">
        <f t="shared" si="183"/>
        <v/>
      </c>
    </row>
    <row r="1931" spans="15:19">
      <c r="O1931" s="53" t="str">
        <f t="shared" si="182"/>
        <v>click</v>
      </c>
      <c r="S1931" s="61" t="str">
        <f t="shared" si="183"/>
        <v/>
      </c>
    </row>
    <row r="1932" spans="15:19">
      <c r="O1932" s="53" t="str">
        <f t="shared" si="182"/>
        <v>click</v>
      </c>
      <c r="S1932" s="61" t="str">
        <f t="shared" si="183"/>
        <v/>
      </c>
    </row>
    <row r="1933" spans="15:19">
      <c r="O1933" s="53" t="str">
        <f t="shared" si="182"/>
        <v>click</v>
      </c>
      <c r="S1933" s="61" t="str">
        <f t="shared" si="183"/>
        <v/>
      </c>
    </row>
    <row r="1934" spans="15:19">
      <c r="O1934" s="53" t="str">
        <f t="shared" si="182"/>
        <v>click</v>
      </c>
      <c r="S1934" s="61" t="str">
        <f t="shared" si="183"/>
        <v/>
      </c>
    </row>
    <row r="1935" spans="15:19">
      <c r="O1935" s="53" t="str">
        <f t="shared" si="182"/>
        <v>click</v>
      </c>
      <c r="S1935" s="61" t="str">
        <f t="shared" si="183"/>
        <v/>
      </c>
    </row>
    <row r="1936" spans="15:19">
      <c r="O1936" s="53" t="str">
        <f t="shared" si="182"/>
        <v>click</v>
      </c>
      <c r="S1936" s="61" t="str">
        <f t="shared" si="183"/>
        <v/>
      </c>
    </row>
    <row r="1937" spans="15:19">
      <c r="O1937" s="53" t="str">
        <f t="shared" si="182"/>
        <v>click</v>
      </c>
      <c r="S1937" s="61" t="str">
        <f t="shared" si="183"/>
        <v/>
      </c>
    </row>
    <row r="1938" spans="15:19">
      <c r="O1938" s="53" t="str">
        <f t="shared" si="182"/>
        <v>click</v>
      </c>
      <c r="S1938" s="61" t="str">
        <f t="shared" si="183"/>
        <v/>
      </c>
    </row>
    <row r="1939" spans="15:19">
      <c r="O1939" s="53" t="str">
        <f t="shared" si="182"/>
        <v>click</v>
      </c>
      <c r="S1939" s="61" t="str">
        <f t="shared" si="183"/>
        <v/>
      </c>
    </row>
    <row r="1940" spans="15:19">
      <c r="O1940" s="53" t="str">
        <f t="shared" si="182"/>
        <v>click</v>
      </c>
      <c r="S1940" s="61" t="str">
        <f t="shared" si="183"/>
        <v/>
      </c>
    </row>
    <row r="1941" spans="15:19">
      <c r="O1941" s="53" t="str">
        <f t="shared" si="182"/>
        <v>click</v>
      </c>
      <c r="S1941" s="61" t="str">
        <f t="shared" si="183"/>
        <v/>
      </c>
    </row>
    <row r="1942" spans="15:19">
      <c r="O1942" s="53" t="str">
        <f t="shared" si="182"/>
        <v>click</v>
      </c>
      <c r="S1942" s="61" t="str">
        <f t="shared" si="183"/>
        <v/>
      </c>
    </row>
    <row r="1943" spans="15:19">
      <c r="O1943" s="53" t="str">
        <f t="shared" si="182"/>
        <v>click</v>
      </c>
      <c r="S1943" s="61" t="str">
        <f t="shared" si="183"/>
        <v/>
      </c>
    </row>
    <row r="1944" spans="15:19">
      <c r="O1944" s="53" t="str">
        <f t="shared" si="182"/>
        <v>click</v>
      </c>
      <c r="S1944" s="61" t="str">
        <f t="shared" si="183"/>
        <v/>
      </c>
    </row>
    <row r="1945" spans="15:19">
      <c r="O1945" s="53" t="str">
        <f t="shared" si="182"/>
        <v>click</v>
      </c>
      <c r="S1945" s="61" t="str">
        <f t="shared" si="183"/>
        <v/>
      </c>
    </row>
    <row r="1946" spans="15:19">
      <c r="O1946" s="53" t="str">
        <f t="shared" si="182"/>
        <v>click</v>
      </c>
      <c r="S1946" s="61" t="str">
        <f t="shared" si="183"/>
        <v/>
      </c>
    </row>
    <row r="1947" spans="15:19">
      <c r="O1947" s="53" t="str">
        <f t="shared" si="182"/>
        <v>click</v>
      </c>
      <c r="S1947" s="61" t="str">
        <f t="shared" si="183"/>
        <v/>
      </c>
    </row>
    <row r="1948" spans="15:19">
      <c r="O1948" s="53" t="str">
        <f t="shared" si="182"/>
        <v>click</v>
      </c>
      <c r="S1948" s="61" t="str">
        <f t="shared" si="183"/>
        <v/>
      </c>
    </row>
    <row r="1949" spans="15:19">
      <c r="O1949" s="53" t="str">
        <f t="shared" ref="O1949:O2012" si="184">IF(D1949="input","fill",IF(I1949&lt;&gt;"","innerText",IF(J1949="Y",$T$110,"click")))</f>
        <v>click</v>
      </c>
      <c r="S1949" s="61" t="str">
        <f t="shared" si="183"/>
        <v/>
      </c>
    </row>
    <row r="1950" spans="15:19">
      <c r="O1950" s="53" t="str">
        <f t="shared" si="184"/>
        <v>click</v>
      </c>
      <c r="S1950" s="61" t="str">
        <f t="shared" ref="S1950:S2013" si="185">IF(O1950="innerText",I1950&amp;"="&amp;IF(C1950="Y",IF(J1950&lt;&gt;"Y",$S$9&amp;$R$10&amp;"."&amp;E1950&amp;")."&amp;IF(OR(O1950="click",O1950="innerText"),O1950&amp;"();",O1950&amp;"("&amp;$Q$9&amp;"."&amp;E1950&amp;");"),$S$110&amp;$R$10&amp;"."&amp;E1950&amp;")."&amp;IF(O1950="click",O1950&amp;"();",O1950&amp;"("&amp;"'"&amp;K1950&amp;"'"&amp;");")),""),IF(C1950="Y",IF(J1950&lt;&gt;"Y",$S$9&amp;$R$10&amp;"."&amp;E1950&amp;")."&amp;IF(OR(O1950="click",O1950="innerText"),O1950&amp;"();",O1950&amp;"("&amp;$Q$9&amp;"."&amp;E1950&amp;");"),$S$110&amp;$R$10&amp;"."&amp;E1950&amp;")."&amp;IF(O1950="click",O1950&amp;"();",O1950&amp;"("&amp;"'"&amp;K1950&amp;"'"&amp;");")),""))</f>
        <v/>
      </c>
    </row>
    <row r="1951" spans="15:19">
      <c r="O1951" s="53" t="str">
        <f t="shared" si="184"/>
        <v>click</v>
      </c>
      <c r="S1951" s="61" t="str">
        <f t="shared" si="185"/>
        <v/>
      </c>
    </row>
    <row r="1952" spans="15:19">
      <c r="O1952" s="53" t="str">
        <f t="shared" si="184"/>
        <v>click</v>
      </c>
      <c r="S1952" s="61" t="str">
        <f t="shared" si="185"/>
        <v/>
      </c>
    </row>
    <row r="1953" spans="15:19">
      <c r="O1953" s="53" t="str">
        <f t="shared" si="184"/>
        <v>click</v>
      </c>
      <c r="S1953" s="61" t="str">
        <f t="shared" si="185"/>
        <v/>
      </c>
    </row>
    <row r="1954" spans="15:19">
      <c r="O1954" s="53" t="str">
        <f t="shared" si="184"/>
        <v>click</v>
      </c>
      <c r="S1954" s="61" t="str">
        <f t="shared" si="185"/>
        <v/>
      </c>
    </row>
    <row r="1955" spans="15:19">
      <c r="O1955" s="53" t="str">
        <f t="shared" si="184"/>
        <v>click</v>
      </c>
      <c r="S1955" s="61" t="str">
        <f t="shared" si="185"/>
        <v/>
      </c>
    </row>
    <row r="1956" spans="15:19">
      <c r="O1956" s="53" t="str">
        <f t="shared" si="184"/>
        <v>click</v>
      </c>
      <c r="S1956" s="61" t="str">
        <f t="shared" si="185"/>
        <v/>
      </c>
    </row>
    <row r="1957" spans="15:19">
      <c r="O1957" s="53" t="str">
        <f t="shared" si="184"/>
        <v>click</v>
      </c>
      <c r="S1957" s="61" t="str">
        <f t="shared" si="185"/>
        <v/>
      </c>
    </row>
    <row r="1958" spans="15:19">
      <c r="O1958" s="53" t="str">
        <f t="shared" si="184"/>
        <v>click</v>
      </c>
      <c r="S1958" s="61" t="str">
        <f t="shared" si="185"/>
        <v/>
      </c>
    </row>
    <row r="1959" spans="15:19">
      <c r="O1959" s="53" t="str">
        <f t="shared" si="184"/>
        <v>click</v>
      </c>
      <c r="S1959" s="61" t="str">
        <f t="shared" si="185"/>
        <v/>
      </c>
    </row>
    <row r="1960" spans="15:19">
      <c r="O1960" s="53" t="str">
        <f t="shared" si="184"/>
        <v>click</v>
      </c>
      <c r="S1960" s="61" t="str">
        <f t="shared" si="185"/>
        <v/>
      </c>
    </row>
    <row r="1961" spans="15:19">
      <c r="O1961" s="53" t="str">
        <f t="shared" si="184"/>
        <v>click</v>
      </c>
      <c r="S1961" s="61" t="str">
        <f t="shared" si="185"/>
        <v/>
      </c>
    </row>
    <row r="1962" spans="15:19">
      <c r="O1962" s="53" t="str">
        <f t="shared" si="184"/>
        <v>click</v>
      </c>
      <c r="S1962" s="61" t="str">
        <f t="shared" si="185"/>
        <v/>
      </c>
    </row>
    <row r="1963" spans="15:19">
      <c r="O1963" s="53" t="str">
        <f t="shared" si="184"/>
        <v>click</v>
      </c>
      <c r="S1963" s="61" t="str">
        <f t="shared" si="185"/>
        <v/>
      </c>
    </row>
    <row r="1964" spans="15:19">
      <c r="O1964" s="53" t="str">
        <f t="shared" si="184"/>
        <v>click</v>
      </c>
      <c r="S1964" s="61" t="str">
        <f t="shared" si="185"/>
        <v/>
      </c>
    </row>
    <row r="1965" spans="15:19">
      <c r="O1965" s="53" t="str">
        <f t="shared" si="184"/>
        <v>click</v>
      </c>
      <c r="S1965" s="61" t="str">
        <f t="shared" si="185"/>
        <v/>
      </c>
    </row>
    <row r="1966" spans="15:19">
      <c r="O1966" s="53" t="str">
        <f t="shared" si="184"/>
        <v>click</v>
      </c>
      <c r="S1966" s="61" t="str">
        <f t="shared" si="185"/>
        <v/>
      </c>
    </row>
    <row r="1967" spans="15:19">
      <c r="O1967" s="53" t="str">
        <f t="shared" si="184"/>
        <v>click</v>
      </c>
      <c r="S1967" s="61" t="str">
        <f t="shared" si="185"/>
        <v/>
      </c>
    </row>
    <row r="1968" spans="15:19">
      <c r="O1968" s="53" t="str">
        <f t="shared" si="184"/>
        <v>click</v>
      </c>
      <c r="S1968" s="61" t="str">
        <f t="shared" si="185"/>
        <v/>
      </c>
    </row>
    <row r="1969" spans="15:19">
      <c r="O1969" s="53" t="str">
        <f t="shared" si="184"/>
        <v>click</v>
      </c>
      <c r="S1969" s="61" t="str">
        <f t="shared" si="185"/>
        <v/>
      </c>
    </row>
    <row r="1970" spans="15:19">
      <c r="O1970" s="53" t="str">
        <f t="shared" si="184"/>
        <v>click</v>
      </c>
      <c r="S1970" s="61" t="str">
        <f t="shared" si="185"/>
        <v/>
      </c>
    </row>
    <row r="1971" spans="15:19">
      <c r="O1971" s="53" t="str">
        <f t="shared" si="184"/>
        <v>click</v>
      </c>
      <c r="S1971" s="61" t="str">
        <f t="shared" si="185"/>
        <v/>
      </c>
    </row>
    <row r="1972" spans="15:19">
      <c r="O1972" s="53" t="str">
        <f t="shared" si="184"/>
        <v>click</v>
      </c>
      <c r="S1972" s="61" t="str">
        <f t="shared" si="185"/>
        <v/>
      </c>
    </row>
    <row r="1973" spans="15:19">
      <c r="O1973" s="53" t="str">
        <f t="shared" si="184"/>
        <v>click</v>
      </c>
      <c r="S1973" s="61" t="str">
        <f t="shared" si="185"/>
        <v/>
      </c>
    </row>
    <row r="1974" spans="15:19">
      <c r="O1974" s="53" t="str">
        <f t="shared" si="184"/>
        <v>click</v>
      </c>
      <c r="S1974" s="61" t="str">
        <f t="shared" si="185"/>
        <v/>
      </c>
    </row>
    <row r="1975" spans="15:19">
      <c r="O1975" s="53" t="str">
        <f t="shared" si="184"/>
        <v>click</v>
      </c>
      <c r="S1975" s="61" t="str">
        <f t="shared" si="185"/>
        <v/>
      </c>
    </row>
    <row r="1976" spans="15:19">
      <c r="O1976" s="53" t="str">
        <f t="shared" si="184"/>
        <v>click</v>
      </c>
      <c r="S1976" s="61" t="str">
        <f t="shared" si="185"/>
        <v/>
      </c>
    </row>
    <row r="1977" spans="15:19">
      <c r="O1977" s="53" t="str">
        <f t="shared" si="184"/>
        <v>click</v>
      </c>
      <c r="S1977" s="61" t="str">
        <f t="shared" si="185"/>
        <v/>
      </c>
    </row>
    <row r="1978" spans="15:19">
      <c r="O1978" s="53" t="str">
        <f t="shared" si="184"/>
        <v>click</v>
      </c>
      <c r="S1978" s="61" t="str">
        <f t="shared" si="185"/>
        <v/>
      </c>
    </row>
    <row r="1979" spans="15:19">
      <c r="O1979" s="53" t="str">
        <f t="shared" si="184"/>
        <v>click</v>
      </c>
      <c r="S1979" s="61" t="str">
        <f t="shared" si="185"/>
        <v/>
      </c>
    </row>
    <row r="1980" spans="15:19">
      <c r="O1980" s="53" t="str">
        <f t="shared" si="184"/>
        <v>click</v>
      </c>
      <c r="S1980" s="61" t="str">
        <f t="shared" si="185"/>
        <v/>
      </c>
    </row>
    <row r="1981" spans="15:19">
      <c r="O1981" s="53" t="str">
        <f t="shared" si="184"/>
        <v>click</v>
      </c>
      <c r="S1981" s="61" t="str">
        <f t="shared" si="185"/>
        <v/>
      </c>
    </row>
    <row r="1982" spans="15:19">
      <c r="O1982" s="53" t="str">
        <f t="shared" si="184"/>
        <v>click</v>
      </c>
      <c r="S1982" s="61" t="str">
        <f t="shared" si="185"/>
        <v/>
      </c>
    </row>
    <row r="1983" spans="15:19">
      <c r="O1983" s="53" t="str">
        <f t="shared" si="184"/>
        <v>click</v>
      </c>
      <c r="S1983" s="61" t="str">
        <f t="shared" si="185"/>
        <v/>
      </c>
    </row>
    <row r="1984" spans="15:19">
      <c r="O1984" s="53" t="str">
        <f t="shared" si="184"/>
        <v>click</v>
      </c>
      <c r="S1984" s="61" t="str">
        <f t="shared" si="185"/>
        <v/>
      </c>
    </row>
    <row r="1985" spans="15:19">
      <c r="O1985" s="53" t="str">
        <f t="shared" si="184"/>
        <v>click</v>
      </c>
      <c r="S1985" s="61" t="str">
        <f t="shared" si="185"/>
        <v/>
      </c>
    </row>
    <row r="1986" spans="15:19">
      <c r="O1986" s="53" t="str">
        <f t="shared" si="184"/>
        <v>click</v>
      </c>
      <c r="S1986" s="61" t="str">
        <f t="shared" si="185"/>
        <v/>
      </c>
    </row>
    <row r="1987" spans="15:19">
      <c r="O1987" s="53" t="str">
        <f t="shared" si="184"/>
        <v>click</v>
      </c>
      <c r="S1987" s="61" t="str">
        <f t="shared" si="185"/>
        <v/>
      </c>
    </row>
    <row r="1988" spans="15:19">
      <c r="O1988" s="53" t="str">
        <f t="shared" si="184"/>
        <v>click</v>
      </c>
      <c r="S1988" s="61" t="str">
        <f t="shared" si="185"/>
        <v/>
      </c>
    </row>
    <row r="1989" spans="15:19">
      <c r="O1989" s="53" t="str">
        <f t="shared" si="184"/>
        <v>click</v>
      </c>
      <c r="S1989" s="61" t="str">
        <f t="shared" si="185"/>
        <v/>
      </c>
    </row>
    <row r="1990" spans="15:19">
      <c r="O1990" s="53" t="str">
        <f t="shared" si="184"/>
        <v>click</v>
      </c>
      <c r="S1990" s="61" t="str">
        <f t="shared" si="185"/>
        <v/>
      </c>
    </row>
    <row r="1991" spans="15:19">
      <c r="O1991" s="53" t="str">
        <f t="shared" si="184"/>
        <v>click</v>
      </c>
      <c r="S1991" s="61" t="str">
        <f t="shared" si="185"/>
        <v/>
      </c>
    </row>
    <row r="1992" spans="15:19">
      <c r="O1992" s="53" t="str">
        <f t="shared" si="184"/>
        <v>click</v>
      </c>
      <c r="S1992" s="61" t="str">
        <f t="shared" si="185"/>
        <v/>
      </c>
    </row>
    <row r="1993" spans="15:19">
      <c r="O1993" s="53" t="str">
        <f t="shared" si="184"/>
        <v>click</v>
      </c>
      <c r="S1993" s="61" t="str">
        <f t="shared" si="185"/>
        <v/>
      </c>
    </row>
    <row r="1994" spans="15:19">
      <c r="O1994" s="53" t="str">
        <f t="shared" si="184"/>
        <v>click</v>
      </c>
      <c r="S1994" s="61" t="str">
        <f t="shared" si="185"/>
        <v/>
      </c>
    </row>
    <row r="1995" spans="15:19">
      <c r="O1995" s="53" t="str">
        <f t="shared" si="184"/>
        <v>click</v>
      </c>
      <c r="S1995" s="61" t="str">
        <f t="shared" si="185"/>
        <v/>
      </c>
    </row>
    <row r="1996" spans="15:19">
      <c r="O1996" s="53" t="str">
        <f t="shared" si="184"/>
        <v>click</v>
      </c>
      <c r="S1996" s="61" t="str">
        <f t="shared" si="185"/>
        <v/>
      </c>
    </row>
    <row r="1997" spans="15:19">
      <c r="O1997" s="53" t="str">
        <f t="shared" si="184"/>
        <v>click</v>
      </c>
      <c r="S1997" s="61" t="str">
        <f t="shared" si="185"/>
        <v/>
      </c>
    </row>
    <row r="1998" spans="15:19">
      <c r="O1998" s="53" t="str">
        <f t="shared" si="184"/>
        <v>click</v>
      </c>
      <c r="S1998" s="61" t="str">
        <f t="shared" si="185"/>
        <v/>
      </c>
    </row>
    <row r="1999" spans="15:19">
      <c r="O1999" s="53" t="str">
        <f t="shared" si="184"/>
        <v>click</v>
      </c>
      <c r="S1999" s="61" t="str">
        <f t="shared" si="185"/>
        <v/>
      </c>
    </row>
    <row r="2000" spans="15:19">
      <c r="O2000" s="53" t="str">
        <f t="shared" si="184"/>
        <v>click</v>
      </c>
      <c r="S2000" s="61" t="str">
        <f t="shared" si="185"/>
        <v/>
      </c>
    </row>
    <row r="2001" spans="15:19">
      <c r="O2001" s="53" t="str">
        <f t="shared" si="184"/>
        <v>click</v>
      </c>
      <c r="S2001" s="61" t="str">
        <f t="shared" si="185"/>
        <v/>
      </c>
    </row>
    <row r="2002" spans="15:19">
      <c r="O2002" s="53" t="str">
        <f t="shared" si="184"/>
        <v>click</v>
      </c>
      <c r="S2002" s="61" t="str">
        <f t="shared" si="185"/>
        <v/>
      </c>
    </row>
    <row r="2003" spans="15:19">
      <c r="O2003" s="53" t="str">
        <f t="shared" si="184"/>
        <v>click</v>
      </c>
      <c r="S2003" s="61" t="str">
        <f t="shared" si="185"/>
        <v/>
      </c>
    </row>
    <row r="2004" spans="15:19">
      <c r="O2004" s="53" t="str">
        <f t="shared" si="184"/>
        <v>click</v>
      </c>
      <c r="S2004" s="61" t="str">
        <f t="shared" si="185"/>
        <v/>
      </c>
    </row>
    <row r="2005" spans="15:19">
      <c r="O2005" s="53" t="str">
        <f t="shared" si="184"/>
        <v>click</v>
      </c>
      <c r="S2005" s="61" t="str">
        <f t="shared" si="185"/>
        <v/>
      </c>
    </row>
    <row r="2006" spans="15:19">
      <c r="O2006" s="53" t="str">
        <f t="shared" si="184"/>
        <v>click</v>
      </c>
      <c r="S2006" s="61" t="str">
        <f t="shared" si="185"/>
        <v/>
      </c>
    </row>
    <row r="2007" spans="15:19">
      <c r="O2007" s="53" t="str">
        <f t="shared" si="184"/>
        <v>click</v>
      </c>
      <c r="S2007" s="61" t="str">
        <f t="shared" si="185"/>
        <v/>
      </c>
    </row>
    <row r="2008" spans="15:19">
      <c r="O2008" s="53" t="str">
        <f t="shared" si="184"/>
        <v>click</v>
      </c>
      <c r="S2008" s="61" t="str">
        <f t="shared" si="185"/>
        <v/>
      </c>
    </row>
    <row r="2009" spans="15:19">
      <c r="O2009" s="53" t="str">
        <f t="shared" si="184"/>
        <v>click</v>
      </c>
      <c r="S2009" s="61" t="str">
        <f t="shared" si="185"/>
        <v/>
      </c>
    </row>
    <row r="2010" spans="15:19">
      <c r="O2010" s="53" t="str">
        <f t="shared" si="184"/>
        <v>click</v>
      </c>
      <c r="S2010" s="61" t="str">
        <f t="shared" si="185"/>
        <v/>
      </c>
    </row>
    <row r="2011" spans="15:19">
      <c r="O2011" s="53" t="str">
        <f t="shared" si="184"/>
        <v>click</v>
      </c>
      <c r="S2011" s="61" t="str">
        <f t="shared" si="185"/>
        <v/>
      </c>
    </row>
    <row r="2012" spans="15:19">
      <c r="O2012" s="53" t="str">
        <f t="shared" si="184"/>
        <v>click</v>
      </c>
      <c r="S2012" s="61" t="str">
        <f t="shared" si="185"/>
        <v/>
      </c>
    </row>
    <row r="2013" spans="15:19">
      <c r="O2013" s="53" t="str">
        <f t="shared" ref="O2013:O2076" si="186">IF(D2013="input","fill",IF(I2013&lt;&gt;"","innerText",IF(J2013="Y",$T$110,"click")))</f>
        <v>click</v>
      </c>
      <c r="S2013" s="61" t="str">
        <f t="shared" si="185"/>
        <v/>
      </c>
    </row>
    <row r="2014" spans="15:19">
      <c r="O2014" s="53" t="str">
        <f t="shared" si="186"/>
        <v>click</v>
      </c>
      <c r="S2014" s="61" t="str">
        <f t="shared" ref="S2014:S2077" si="187">IF(O2014="innerText",I2014&amp;"="&amp;IF(C2014="Y",IF(J2014&lt;&gt;"Y",$S$9&amp;$R$10&amp;"."&amp;E2014&amp;")."&amp;IF(OR(O2014="click",O2014="innerText"),O2014&amp;"();",O2014&amp;"("&amp;$Q$9&amp;"."&amp;E2014&amp;");"),$S$110&amp;$R$10&amp;"."&amp;E2014&amp;")."&amp;IF(O2014="click",O2014&amp;"();",O2014&amp;"("&amp;"'"&amp;K2014&amp;"'"&amp;");")),""),IF(C2014="Y",IF(J2014&lt;&gt;"Y",$S$9&amp;$R$10&amp;"."&amp;E2014&amp;")."&amp;IF(OR(O2014="click",O2014="innerText"),O2014&amp;"();",O2014&amp;"("&amp;$Q$9&amp;"."&amp;E2014&amp;");"),$S$110&amp;$R$10&amp;"."&amp;E2014&amp;")."&amp;IF(O2014="click",O2014&amp;"();",O2014&amp;"("&amp;"'"&amp;K2014&amp;"'"&amp;");")),""))</f>
        <v/>
      </c>
    </row>
    <row r="2015" spans="15:19">
      <c r="O2015" s="53" t="str">
        <f t="shared" si="186"/>
        <v>click</v>
      </c>
      <c r="S2015" s="61" t="str">
        <f t="shared" si="187"/>
        <v/>
      </c>
    </row>
    <row r="2016" spans="15:19">
      <c r="O2016" s="53" t="str">
        <f t="shared" si="186"/>
        <v>click</v>
      </c>
      <c r="S2016" s="61" t="str">
        <f t="shared" si="187"/>
        <v/>
      </c>
    </row>
    <row r="2017" spans="15:19">
      <c r="O2017" s="53" t="str">
        <f t="shared" si="186"/>
        <v>click</v>
      </c>
      <c r="S2017" s="61" t="str">
        <f t="shared" si="187"/>
        <v/>
      </c>
    </row>
    <row r="2018" spans="15:19">
      <c r="O2018" s="53" t="str">
        <f t="shared" si="186"/>
        <v>click</v>
      </c>
      <c r="S2018" s="61" t="str">
        <f t="shared" si="187"/>
        <v/>
      </c>
    </row>
    <row r="2019" spans="15:19">
      <c r="O2019" s="53" t="str">
        <f t="shared" si="186"/>
        <v>click</v>
      </c>
      <c r="S2019" s="61" t="str">
        <f t="shared" si="187"/>
        <v/>
      </c>
    </row>
    <row r="2020" spans="15:19">
      <c r="O2020" s="53" t="str">
        <f t="shared" si="186"/>
        <v>click</v>
      </c>
      <c r="S2020" s="61" t="str">
        <f t="shared" si="187"/>
        <v/>
      </c>
    </row>
    <row r="2021" spans="15:19">
      <c r="O2021" s="53" t="str">
        <f t="shared" si="186"/>
        <v>click</v>
      </c>
      <c r="S2021" s="61" t="str">
        <f t="shared" si="187"/>
        <v/>
      </c>
    </row>
    <row r="2022" spans="15:19">
      <c r="O2022" s="53" t="str">
        <f t="shared" si="186"/>
        <v>click</v>
      </c>
      <c r="S2022" s="61" t="str">
        <f t="shared" si="187"/>
        <v/>
      </c>
    </row>
    <row r="2023" spans="15:19">
      <c r="O2023" s="53" t="str">
        <f t="shared" si="186"/>
        <v>click</v>
      </c>
      <c r="S2023" s="61" t="str">
        <f t="shared" si="187"/>
        <v/>
      </c>
    </row>
    <row r="2024" spans="15:19">
      <c r="O2024" s="53" t="str">
        <f t="shared" si="186"/>
        <v>click</v>
      </c>
      <c r="S2024" s="61" t="str">
        <f t="shared" si="187"/>
        <v/>
      </c>
    </row>
    <row r="2025" spans="15:19">
      <c r="O2025" s="53" t="str">
        <f t="shared" si="186"/>
        <v>click</v>
      </c>
      <c r="S2025" s="61" t="str">
        <f t="shared" si="187"/>
        <v/>
      </c>
    </row>
    <row r="2026" spans="15:19">
      <c r="O2026" s="53" t="str">
        <f t="shared" si="186"/>
        <v>click</v>
      </c>
      <c r="S2026" s="61" t="str">
        <f t="shared" si="187"/>
        <v/>
      </c>
    </row>
    <row r="2027" spans="15:19">
      <c r="O2027" s="53" t="str">
        <f t="shared" si="186"/>
        <v>click</v>
      </c>
      <c r="S2027" s="61" t="str">
        <f t="shared" si="187"/>
        <v/>
      </c>
    </row>
    <row r="2028" spans="15:19">
      <c r="O2028" s="53" t="str">
        <f t="shared" si="186"/>
        <v>click</v>
      </c>
      <c r="S2028" s="61" t="str">
        <f t="shared" si="187"/>
        <v/>
      </c>
    </row>
    <row r="2029" spans="15:19">
      <c r="O2029" s="53" t="str">
        <f t="shared" si="186"/>
        <v>click</v>
      </c>
      <c r="S2029" s="61" t="str">
        <f t="shared" si="187"/>
        <v/>
      </c>
    </row>
    <row r="2030" spans="15:19">
      <c r="O2030" s="53" t="str">
        <f t="shared" si="186"/>
        <v>click</v>
      </c>
      <c r="S2030" s="61" t="str">
        <f t="shared" si="187"/>
        <v/>
      </c>
    </row>
    <row r="2031" spans="15:19">
      <c r="O2031" s="53" t="str">
        <f t="shared" si="186"/>
        <v>click</v>
      </c>
      <c r="S2031" s="61" t="str">
        <f t="shared" si="187"/>
        <v/>
      </c>
    </row>
    <row r="2032" spans="15:19">
      <c r="O2032" s="53" t="str">
        <f t="shared" si="186"/>
        <v>click</v>
      </c>
      <c r="S2032" s="61" t="str">
        <f t="shared" si="187"/>
        <v/>
      </c>
    </row>
    <row r="2033" spans="15:19">
      <c r="O2033" s="53" t="str">
        <f t="shared" si="186"/>
        <v>click</v>
      </c>
      <c r="S2033" s="61" t="str">
        <f t="shared" si="187"/>
        <v/>
      </c>
    </row>
    <row r="2034" spans="15:19">
      <c r="O2034" s="53" t="str">
        <f t="shared" si="186"/>
        <v>click</v>
      </c>
      <c r="S2034" s="61" t="str">
        <f t="shared" si="187"/>
        <v/>
      </c>
    </row>
    <row r="2035" spans="15:19">
      <c r="O2035" s="53" t="str">
        <f t="shared" si="186"/>
        <v>click</v>
      </c>
      <c r="S2035" s="61" t="str">
        <f t="shared" si="187"/>
        <v/>
      </c>
    </row>
    <row r="2036" spans="15:19">
      <c r="O2036" s="53" t="str">
        <f t="shared" si="186"/>
        <v>click</v>
      </c>
      <c r="S2036" s="61" t="str">
        <f t="shared" si="187"/>
        <v/>
      </c>
    </row>
    <row r="2037" spans="15:19">
      <c r="O2037" s="53" t="str">
        <f t="shared" si="186"/>
        <v>click</v>
      </c>
      <c r="S2037" s="61" t="str">
        <f t="shared" si="187"/>
        <v/>
      </c>
    </row>
    <row r="2038" spans="15:19">
      <c r="O2038" s="53" t="str">
        <f t="shared" si="186"/>
        <v>click</v>
      </c>
      <c r="S2038" s="61" t="str">
        <f t="shared" si="187"/>
        <v/>
      </c>
    </row>
    <row r="2039" spans="15:19">
      <c r="O2039" s="53" t="str">
        <f t="shared" si="186"/>
        <v>click</v>
      </c>
      <c r="S2039" s="61" t="str">
        <f t="shared" si="187"/>
        <v/>
      </c>
    </row>
    <row r="2040" spans="15:19">
      <c r="O2040" s="53" t="str">
        <f t="shared" si="186"/>
        <v>click</v>
      </c>
      <c r="S2040" s="61" t="str">
        <f t="shared" si="187"/>
        <v/>
      </c>
    </row>
    <row r="2041" spans="15:19">
      <c r="O2041" s="53" t="str">
        <f t="shared" si="186"/>
        <v>click</v>
      </c>
      <c r="S2041" s="61" t="str">
        <f t="shared" si="187"/>
        <v/>
      </c>
    </row>
    <row r="2042" spans="15:19">
      <c r="O2042" s="53" t="str">
        <f t="shared" si="186"/>
        <v>click</v>
      </c>
      <c r="S2042" s="61" t="str">
        <f t="shared" si="187"/>
        <v/>
      </c>
    </row>
    <row r="2043" spans="15:19">
      <c r="O2043" s="53" t="str">
        <f t="shared" si="186"/>
        <v>click</v>
      </c>
      <c r="S2043" s="61" t="str">
        <f t="shared" si="187"/>
        <v/>
      </c>
    </row>
    <row r="2044" spans="15:19">
      <c r="O2044" s="53" t="str">
        <f t="shared" si="186"/>
        <v>click</v>
      </c>
      <c r="S2044" s="61" t="str">
        <f t="shared" si="187"/>
        <v/>
      </c>
    </row>
    <row r="2045" spans="15:19">
      <c r="O2045" s="53" t="str">
        <f t="shared" si="186"/>
        <v>click</v>
      </c>
      <c r="S2045" s="61" t="str">
        <f t="shared" si="187"/>
        <v/>
      </c>
    </row>
    <row r="2046" spans="15:19">
      <c r="O2046" s="53" t="str">
        <f t="shared" si="186"/>
        <v>click</v>
      </c>
      <c r="S2046" s="61" t="str">
        <f t="shared" si="187"/>
        <v/>
      </c>
    </row>
    <row r="2047" spans="15:19">
      <c r="O2047" s="53" t="str">
        <f t="shared" si="186"/>
        <v>click</v>
      </c>
      <c r="S2047" s="61" t="str">
        <f t="shared" si="187"/>
        <v/>
      </c>
    </row>
    <row r="2048" spans="15:19">
      <c r="O2048" s="53" t="str">
        <f t="shared" si="186"/>
        <v>click</v>
      </c>
      <c r="S2048" s="61" t="str">
        <f t="shared" si="187"/>
        <v/>
      </c>
    </row>
    <row r="2049" spans="15:19">
      <c r="O2049" s="53" t="str">
        <f t="shared" si="186"/>
        <v>click</v>
      </c>
      <c r="S2049" s="61" t="str">
        <f t="shared" si="187"/>
        <v/>
      </c>
    </row>
    <row r="2050" spans="15:19">
      <c r="O2050" s="53" t="str">
        <f t="shared" si="186"/>
        <v>click</v>
      </c>
      <c r="S2050" s="61" t="str">
        <f t="shared" si="187"/>
        <v/>
      </c>
    </row>
    <row r="2051" spans="15:19">
      <c r="O2051" s="53" t="str">
        <f t="shared" si="186"/>
        <v>click</v>
      </c>
      <c r="S2051" s="61" t="str">
        <f t="shared" si="187"/>
        <v/>
      </c>
    </row>
    <row r="2052" spans="15:19">
      <c r="O2052" s="53" t="str">
        <f t="shared" si="186"/>
        <v>click</v>
      </c>
      <c r="S2052" s="61" t="str">
        <f t="shared" si="187"/>
        <v/>
      </c>
    </row>
    <row r="2053" spans="15:19">
      <c r="O2053" s="53" t="str">
        <f t="shared" si="186"/>
        <v>click</v>
      </c>
      <c r="S2053" s="61" t="str">
        <f t="shared" si="187"/>
        <v/>
      </c>
    </row>
    <row r="2054" spans="15:19">
      <c r="O2054" s="53" t="str">
        <f t="shared" si="186"/>
        <v>click</v>
      </c>
      <c r="S2054" s="61" t="str">
        <f t="shared" si="187"/>
        <v/>
      </c>
    </row>
    <row r="2055" spans="15:19">
      <c r="O2055" s="53" t="str">
        <f t="shared" si="186"/>
        <v>click</v>
      </c>
      <c r="S2055" s="61" t="str">
        <f t="shared" si="187"/>
        <v/>
      </c>
    </row>
    <row r="2056" spans="15:19">
      <c r="O2056" s="53" t="str">
        <f t="shared" si="186"/>
        <v>click</v>
      </c>
      <c r="S2056" s="61" t="str">
        <f t="shared" si="187"/>
        <v/>
      </c>
    </row>
    <row r="2057" spans="15:19">
      <c r="O2057" s="53" t="str">
        <f t="shared" si="186"/>
        <v>click</v>
      </c>
      <c r="S2057" s="61" t="str">
        <f t="shared" si="187"/>
        <v/>
      </c>
    </row>
    <row r="2058" spans="15:19">
      <c r="O2058" s="53" t="str">
        <f t="shared" si="186"/>
        <v>click</v>
      </c>
      <c r="S2058" s="61" t="str">
        <f t="shared" si="187"/>
        <v/>
      </c>
    </row>
    <row r="2059" spans="15:19">
      <c r="O2059" s="53" t="str">
        <f t="shared" si="186"/>
        <v>click</v>
      </c>
      <c r="S2059" s="61" t="str">
        <f t="shared" si="187"/>
        <v/>
      </c>
    </row>
    <row r="2060" spans="15:19">
      <c r="O2060" s="53" t="str">
        <f t="shared" si="186"/>
        <v>click</v>
      </c>
      <c r="S2060" s="61" t="str">
        <f t="shared" si="187"/>
        <v/>
      </c>
    </row>
    <row r="2061" spans="15:19">
      <c r="O2061" s="53" t="str">
        <f t="shared" si="186"/>
        <v>click</v>
      </c>
      <c r="S2061" s="61" t="str">
        <f t="shared" si="187"/>
        <v/>
      </c>
    </row>
    <row r="2062" spans="15:19">
      <c r="O2062" s="53" t="str">
        <f t="shared" si="186"/>
        <v>click</v>
      </c>
      <c r="S2062" s="61" t="str">
        <f t="shared" si="187"/>
        <v/>
      </c>
    </row>
    <row r="2063" spans="15:19">
      <c r="O2063" s="53" t="str">
        <f t="shared" si="186"/>
        <v>click</v>
      </c>
      <c r="S2063" s="61" t="str">
        <f t="shared" si="187"/>
        <v/>
      </c>
    </row>
    <row r="2064" spans="15:19">
      <c r="O2064" s="53" t="str">
        <f t="shared" si="186"/>
        <v>click</v>
      </c>
      <c r="S2064" s="61" t="str">
        <f t="shared" si="187"/>
        <v/>
      </c>
    </row>
    <row r="2065" spans="15:19">
      <c r="O2065" s="53" t="str">
        <f t="shared" si="186"/>
        <v>click</v>
      </c>
      <c r="S2065" s="61" t="str">
        <f t="shared" si="187"/>
        <v/>
      </c>
    </row>
    <row r="2066" spans="15:19">
      <c r="O2066" s="53" t="str">
        <f t="shared" si="186"/>
        <v>click</v>
      </c>
      <c r="S2066" s="61" t="str">
        <f t="shared" si="187"/>
        <v/>
      </c>
    </row>
    <row r="2067" spans="15:19">
      <c r="O2067" s="53" t="str">
        <f t="shared" si="186"/>
        <v>click</v>
      </c>
      <c r="S2067" s="61" t="str">
        <f t="shared" si="187"/>
        <v/>
      </c>
    </row>
    <row r="2068" spans="15:19">
      <c r="O2068" s="53" t="str">
        <f t="shared" si="186"/>
        <v>click</v>
      </c>
      <c r="S2068" s="61" t="str">
        <f t="shared" si="187"/>
        <v/>
      </c>
    </row>
    <row r="2069" spans="15:19">
      <c r="O2069" s="53" t="str">
        <f t="shared" si="186"/>
        <v>click</v>
      </c>
      <c r="S2069" s="61" t="str">
        <f t="shared" si="187"/>
        <v/>
      </c>
    </row>
    <row r="2070" spans="15:19">
      <c r="O2070" s="53" t="str">
        <f t="shared" si="186"/>
        <v>click</v>
      </c>
      <c r="S2070" s="61" t="str">
        <f t="shared" si="187"/>
        <v/>
      </c>
    </row>
    <row r="2071" spans="15:19">
      <c r="O2071" s="53" t="str">
        <f t="shared" si="186"/>
        <v>click</v>
      </c>
      <c r="S2071" s="61" t="str">
        <f t="shared" si="187"/>
        <v/>
      </c>
    </row>
    <row r="2072" spans="15:19">
      <c r="O2072" s="53" t="str">
        <f t="shared" si="186"/>
        <v>click</v>
      </c>
      <c r="S2072" s="61" t="str">
        <f t="shared" si="187"/>
        <v/>
      </c>
    </row>
    <row r="2073" spans="15:19">
      <c r="O2073" s="53" t="str">
        <f t="shared" si="186"/>
        <v>click</v>
      </c>
      <c r="S2073" s="61" t="str">
        <f t="shared" si="187"/>
        <v/>
      </c>
    </row>
    <row r="2074" spans="15:19">
      <c r="O2074" s="53" t="str">
        <f t="shared" si="186"/>
        <v>click</v>
      </c>
      <c r="S2074" s="61" t="str">
        <f t="shared" si="187"/>
        <v/>
      </c>
    </row>
    <row r="2075" spans="15:19">
      <c r="O2075" s="53" t="str">
        <f t="shared" si="186"/>
        <v>click</v>
      </c>
      <c r="S2075" s="61" t="str">
        <f t="shared" si="187"/>
        <v/>
      </c>
    </row>
    <row r="2076" spans="15:19">
      <c r="O2076" s="53" t="str">
        <f t="shared" si="186"/>
        <v>click</v>
      </c>
      <c r="S2076" s="61" t="str">
        <f t="shared" si="187"/>
        <v/>
      </c>
    </row>
    <row r="2077" spans="15:19">
      <c r="O2077" s="53" t="str">
        <f t="shared" ref="O2077:O2140" si="188">IF(D2077="input","fill",IF(I2077&lt;&gt;"","innerText",IF(J2077="Y",$T$110,"click")))</f>
        <v>click</v>
      </c>
      <c r="S2077" s="61" t="str">
        <f t="shared" si="187"/>
        <v/>
      </c>
    </row>
    <row r="2078" spans="15:19">
      <c r="O2078" s="53" t="str">
        <f t="shared" si="188"/>
        <v>click</v>
      </c>
      <c r="S2078" s="61" t="str">
        <f t="shared" ref="S2078:S2141" si="189">IF(O2078="innerText",I2078&amp;"="&amp;IF(C2078="Y",IF(J2078&lt;&gt;"Y",$S$9&amp;$R$10&amp;"."&amp;E2078&amp;")."&amp;IF(OR(O2078="click",O2078="innerText"),O2078&amp;"();",O2078&amp;"("&amp;$Q$9&amp;"."&amp;E2078&amp;");"),$S$110&amp;$R$10&amp;"."&amp;E2078&amp;")."&amp;IF(O2078="click",O2078&amp;"();",O2078&amp;"("&amp;"'"&amp;K2078&amp;"'"&amp;");")),""),IF(C2078="Y",IF(J2078&lt;&gt;"Y",$S$9&amp;$R$10&amp;"."&amp;E2078&amp;")."&amp;IF(OR(O2078="click",O2078="innerText"),O2078&amp;"();",O2078&amp;"("&amp;$Q$9&amp;"."&amp;E2078&amp;");"),$S$110&amp;$R$10&amp;"."&amp;E2078&amp;")."&amp;IF(O2078="click",O2078&amp;"();",O2078&amp;"("&amp;"'"&amp;K2078&amp;"'"&amp;");")),""))</f>
        <v/>
      </c>
    </row>
    <row r="2079" spans="15:19">
      <c r="O2079" s="53" t="str">
        <f t="shared" si="188"/>
        <v>click</v>
      </c>
      <c r="S2079" s="61" t="str">
        <f t="shared" si="189"/>
        <v/>
      </c>
    </row>
    <row r="2080" spans="15:19">
      <c r="O2080" s="53" t="str">
        <f t="shared" si="188"/>
        <v>click</v>
      </c>
      <c r="S2080" s="61" t="str">
        <f t="shared" si="189"/>
        <v/>
      </c>
    </row>
    <row r="2081" spans="15:19">
      <c r="O2081" s="53" t="str">
        <f t="shared" si="188"/>
        <v>click</v>
      </c>
      <c r="S2081" s="61" t="str">
        <f t="shared" si="189"/>
        <v/>
      </c>
    </row>
    <row r="2082" spans="15:19">
      <c r="O2082" s="53" t="str">
        <f t="shared" si="188"/>
        <v>click</v>
      </c>
      <c r="S2082" s="61" t="str">
        <f t="shared" si="189"/>
        <v/>
      </c>
    </row>
    <row r="2083" spans="15:19">
      <c r="O2083" s="53" t="str">
        <f t="shared" si="188"/>
        <v>click</v>
      </c>
      <c r="S2083" s="61" t="str">
        <f t="shared" si="189"/>
        <v/>
      </c>
    </row>
    <row r="2084" spans="15:19">
      <c r="O2084" s="53" t="str">
        <f t="shared" si="188"/>
        <v>click</v>
      </c>
      <c r="S2084" s="61" t="str">
        <f t="shared" si="189"/>
        <v/>
      </c>
    </row>
    <row r="2085" spans="15:19">
      <c r="O2085" s="53" t="str">
        <f t="shared" si="188"/>
        <v>click</v>
      </c>
      <c r="S2085" s="61" t="str">
        <f t="shared" si="189"/>
        <v/>
      </c>
    </row>
    <row r="2086" spans="15:19">
      <c r="O2086" s="53" t="str">
        <f t="shared" si="188"/>
        <v>click</v>
      </c>
      <c r="S2086" s="61" t="str">
        <f t="shared" si="189"/>
        <v/>
      </c>
    </row>
    <row r="2087" spans="15:19">
      <c r="O2087" s="53" t="str">
        <f t="shared" si="188"/>
        <v>click</v>
      </c>
      <c r="S2087" s="61" t="str">
        <f t="shared" si="189"/>
        <v/>
      </c>
    </row>
    <row r="2088" spans="15:19">
      <c r="O2088" s="53" t="str">
        <f t="shared" si="188"/>
        <v>click</v>
      </c>
      <c r="S2088" s="61" t="str">
        <f t="shared" si="189"/>
        <v/>
      </c>
    </row>
    <row r="2089" spans="15:19">
      <c r="O2089" s="53" t="str">
        <f t="shared" si="188"/>
        <v>click</v>
      </c>
      <c r="S2089" s="61" t="str">
        <f t="shared" si="189"/>
        <v/>
      </c>
    </row>
    <row r="2090" spans="15:19">
      <c r="O2090" s="53" t="str">
        <f t="shared" si="188"/>
        <v>click</v>
      </c>
      <c r="S2090" s="61" t="str">
        <f t="shared" si="189"/>
        <v/>
      </c>
    </row>
    <row r="2091" spans="15:19">
      <c r="O2091" s="53" t="str">
        <f t="shared" si="188"/>
        <v>click</v>
      </c>
      <c r="S2091" s="61" t="str">
        <f t="shared" si="189"/>
        <v/>
      </c>
    </row>
    <row r="2092" spans="15:19">
      <c r="O2092" s="53" t="str">
        <f t="shared" si="188"/>
        <v>click</v>
      </c>
      <c r="S2092" s="61" t="str">
        <f t="shared" si="189"/>
        <v/>
      </c>
    </row>
    <row r="2093" spans="15:19">
      <c r="O2093" s="53" t="str">
        <f t="shared" si="188"/>
        <v>click</v>
      </c>
      <c r="S2093" s="61" t="str">
        <f t="shared" si="189"/>
        <v/>
      </c>
    </row>
    <row r="2094" spans="15:19">
      <c r="O2094" s="53" t="str">
        <f t="shared" si="188"/>
        <v>click</v>
      </c>
      <c r="S2094" s="61" t="str">
        <f t="shared" si="189"/>
        <v/>
      </c>
    </row>
    <row r="2095" spans="15:19">
      <c r="O2095" s="53" t="str">
        <f t="shared" si="188"/>
        <v>click</v>
      </c>
      <c r="S2095" s="61" t="str">
        <f t="shared" si="189"/>
        <v/>
      </c>
    </row>
    <row r="2096" spans="15:19">
      <c r="O2096" s="53" t="str">
        <f t="shared" si="188"/>
        <v>click</v>
      </c>
      <c r="S2096" s="61" t="str">
        <f t="shared" si="189"/>
        <v/>
      </c>
    </row>
    <row r="2097" spans="15:19">
      <c r="O2097" s="53" t="str">
        <f t="shared" si="188"/>
        <v>click</v>
      </c>
      <c r="S2097" s="61" t="str">
        <f t="shared" si="189"/>
        <v/>
      </c>
    </row>
    <row r="2098" spans="15:19">
      <c r="O2098" s="53" t="str">
        <f t="shared" si="188"/>
        <v>click</v>
      </c>
      <c r="S2098" s="61" t="str">
        <f t="shared" si="189"/>
        <v/>
      </c>
    </row>
    <row r="2099" spans="15:19">
      <c r="O2099" s="53" t="str">
        <f t="shared" si="188"/>
        <v>click</v>
      </c>
      <c r="S2099" s="61" t="str">
        <f t="shared" si="189"/>
        <v/>
      </c>
    </row>
    <row r="2100" spans="15:19">
      <c r="O2100" s="53" t="str">
        <f t="shared" si="188"/>
        <v>click</v>
      </c>
      <c r="S2100" s="61" t="str">
        <f t="shared" si="189"/>
        <v/>
      </c>
    </row>
    <row r="2101" spans="15:19">
      <c r="O2101" s="53" t="str">
        <f t="shared" si="188"/>
        <v>click</v>
      </c>
      <c r="S2101" s="61" t="str">
        <f t="shared" si="189"/>
        <v/>
      </c>
    </row>
    <row r="2102" spans="15:19">
      <c r="O2102" s="53" t="str">
        <f t="shared" si="188"/>
        <v>click</v>
      </c>
      <c r="S2102" s="61" t="str">
        <f t="shared" si="189"/>
        <v/>
      </c>
    </row>
    <row r="2103" spans="15:19">
      <c r="O2103" s="53" t="str">
        <f t="shared" si="188"/>
        <v>click</v>
      </c>
      <c r="S2103" s="61" t="str">
        <f t="shared" si="189"/>
        <v/>
      </c>
    </row>
    <row r="2104" spans="15:19">
      <c r="O2104" s="53" t="str">
        <f t="shared" si="188"/>
        <v>click</v>
      </c>
      <c r="S2104" s="61" t="str">
        <f t="shared" si="189"/>
        <v/>
      </c>
    </row>
    <row r="2105" spans="15:19">
      <c r="O2105" s="53" t="str">
        <f t="shared" si="188"/>
        <v>click</v>
      </c>
      <c r="S2105" s="61" t="str">
        <f t="shared" si="189"/>
        <v/>
      </c>
    </row>
    <row r="2106" spans="15:19">
      <c r="O2106" s="53" t="str">
        <f t="shared" si="188"/>
        <v>click</v>
      </c>
      <c r="S2106" s="61" t="str">
        <f t="shared" si="189"/>
        <v/>
      </c>
    </row>
    <row r="2107" spans="15:19">
      <c r="O2107" s="53" t="str">
        <f t="shared" si="188"/>
        <v>click</v>
      </c>
      <c r="S2107" s="61" t="str">
        <f t="shared" si="189"/>
        <v/>
      </c>
    </row>
    <row r="2108" spans="15:19">
      <c r="O2108" s="53" t="str">
        <f t="shared" si="188"/>
        <v>click</v>
      </c>
      <c r="S2108" s="61" t="str">
        <f t="shared" si="189"/>
        <v/>
      </c>
    </row>
    <row r="2109" spans="15:19">
      <c r="O2109" s="53" t="str">
        <f t="shared" si="188"/>
        <v>click</v>
      </c>
      <c r="S2109" s="61" t="str">
        <f t="shared" si="189"/>
        <v/>
      </c>
    </row>
    <row r="2110" spans="15:19">
      <c r="O2110" s="53" t="str">
        <f t="shared" si="188"/>
        <v>click</v>
      </c>
      <c r="S2110" s="61" t="str">
        <f t="shared" si="189"/>
        <v/>
      </c>
    </row>
    <row r="2111" spans="15:19">
      <c r="O2111" s="53" t="str">
        <f t="shared" si="188"/>
        <v>click</v>
      </c>
      <c r="S2111" s="61" t="str">
        <f t="shared" si="189"/>
        <v/>
      </c>
    </row>
    <row r="2112" spans="15:19">
      <c r="O2112" s="53" t="str">
        <f t="shared" si="188"/>
        <v>click</v>
      </c>
      <c r="S2112" s="61" t="str">
        <f t="shared" si="189"/>
        <v/>
      </c>
    </row>
    <row r="2113" spans="15:19">
      <c r="O2113" s="53" t="str">
        <f t="shared" si="188"/>
        <v>click</v>
      </c>
      <c r="S2113" s="61" t="str">
        <f t="shared" si="189"/>
        <v/>
      </c>
    </row>
    <row r="2114" spans="15:19">
      <c r="O2114" s="53" t="str">
        <f t="shared" si="188"/>
        <v>click</v>
      </c>
      <c r="S2114" s="61" t="str">
        <f t="shared" si="189"/>
        <v/>
      </c>
    </row>
    <row r="2115" spans="15:19">
      <c r="O2115" s="53" t="str">
        <f t="shared" si="188"/>
        <v>click</v>
      </c>
      <c r="S2115" s="61" t="str">
        <f t="shared" si="189"/>
        <v/>
      </c>
    </row>
    <row r="2116" spans="15:19">
      <c r="O2116" s="53" t="str">
        <f t="shared" si="188"/>
        <v>click</v>
      </c>
      <c r="S2116" s="61" t="str">
        <f t="shared" si="189"/>
        <v/>
      </c>
    </row>
    <row r="2117" spans="15:19">
      <c r="O2117" s="53" t="str">
        <f t="shared" si="188"/>
        <v>click</v>
      </c>
      <c r="S2117" s="61" t="str">
        <f t="shared" si="189"/>
        <v/>
      </c>
    </row>
    <row r="2118" spans="15:19">
      <c r="O2118" s="53" t="str">
        <f t="shared" si="188"/>
        <v>click</v>
      </c>
      <c r="S2118" s="61" t="str">
        <f t="shared" si="189"/>
        <v/>
      </c>
    </row>
    <row r="2119" spans="15:19">
      <c r="O2119" s="53" t="str">
        <f t="shared" si="188"/>
        <v>click</v>
      </c>
      <c r="S2119" s="61" t="str">
        <f t="shared" si="189"/>
        <v/>
      </c>
    </row>
    <row r="2120" spans="15:19">
      <c r="O2120" s="53" t="str">
        <f t="shared" si="188"/>
        <v>click</v>
      </c>
      <c r="S2120" s="61" t="str">
        <f t="shared" si="189"/>
        <v/>
      </c>
    </row>
    <row r="2121" spans="15:19">
      <c r="O2121" s="53" t="str">
        <f t="shared" si="188"/>
        <v>click</v>
      </c>
      <c r="S2121" s="61" t="str">
        <f t="shared" si="189"/>
        <v/>
      </c>
    </row>
    <row r="2122" spans="15:19">
      <c r="O2122" s="53" t="str">
        <f t="shared" si="188"/>
        <v>click</v>
      </c>
      <c r="S2122" s="61" t="str">
        <f t="shared" si="189"/>
        <v/>
      </c>
    </row>
    <row r="2123" spans="15:19">
      <c r="O2123" s="53" t="str">
        <f t="shared" si="188"/>
        <v>click</v>
      </c>
      <c r="S2123" s="61" t="str">
        <f t="shared" si="189"/>
        <v/>
      </c>
    </row>
    <row r="2124" spans="15:19">
      <c r="O2124" s="53" t="str">
        <f t="shared" si="188"/>
        <v>click</v>
      </c>
      <c r="S2124" s="61" t="str">
        <f t="shared" si="189"/>
        <v/>
      </c>
    </row>
    <row r="2125" spans="15:19">
      <c r="O2125" s="53" t="str">
        <f t="shared" si="188"/>
        <v>click</v>
      </c>
      <c r="S2125" s="61" t="str">
        <f t="shared" si="189"/>
        <v/>
      </c>
    </row>
    <row r="2126" spans="15:19">
      <c r="O2126" s="53" t="str">
        <f t="shared" si="188"/>
        <v>click</v>
      </c>
      <c r="S2126" s="61" t="str">
        <f t="shared" si="189"/>
        <v/>
      </c>
    </row>
    <row r="2127" spans="15:19">
      <c r="O2127" s="53" t="str">
        <f t="shared" si="188"/>
        <v>click</v>
      </c>
      <c r="S2127" s="61" t="str">
        <f t="shared" si="189"/>
        <v/>
      </c>
    </row>
    <row r="2128" spans="15:19">
      <c r="O2128" s="53" t="str">
        <f t="shared" si="188"/>
        <v>click</v>
      </c>
      <c r="S2128" s="61" t="str">
        <f t="shared" si="189"/>
        <v/>
      </c>
    </row>
    <row r="2129" spans="15:19">
      <c r="O2129" s="53" t="str">
        <f t="shared" si="188"/>
        <v>click</v>
      </c>
      <c r="S2129" s="61" t="str">
        <f t="shared" si="189"/>
        <v/>
      </c>
    </row>
    <row r="2130" spans="15:19">
      <c r="O2130" s="53" t="str">
        <f t="shared" si="188"/>
        <v>click</v>
      </c>
      <c r="S2130" s="61" t="str">
        <f t="shared" si="189"/>
        <v/>
      </c>
    </row>
    <row r="2131" spans="15:19">
      <c r="O2131" s="53" t="str">
        <f t="shared" si="188"/>
        <v>click</v>
      </c>
      <c r="S2131" s="61" t="str">
        <f t="shared" si="189"/>
        <v/>
      </c>
    </row>
    <row r="2132" spans="15:19">
      <c r="O2132" s="53" t="str">
        <f t="shared" si="188"/>
        <v>click</v>
      </c>
      <c r="S2132" s="61" t="str">
        <f t="shared" si="189"/>
        <v/>
      </c>
    </row>
    <row r="2133" spans="15:19">
      <c r="O2133" s="53" t="str">
        <f t="shared" si="188"/>
        <v>click</v>
      </c>
      <c r="S2133" s="61" t="str">
        <f t="shared" si="189"/>
        <v/>
      </c>
    </row>
    <row r="2134" spans="15:19">
      <c r="O2134" s="53" t="str">
        <f t="shared" si="188"/>
        <v>click</v>
      </c>
      <c r="S2134" s="61" t="str">
        <f t="shared" si="189"/>
        <v/>
      </c>
    </row>
    <row r="2135" spans="15:19">
      <c r="O2135" s="53" t="str">
        <f t="shared" si="188"/>
        <v>click</v>
      </c>
      <c r="S2135" s="61" t="str">
        <f t="shared" si="189"/>
        <v/>
      </c>
    </row>
    <row r="2136" spans="15:19">
      <c r="O2136" s="53" t="str">
        <f t="shared" si="188"/>
        <v>click</v>
      </c>
      <c r="S2136" s="61" t="str">
        <f t="shared" si="189"/>
        <v/>
      </c>
    </row>
    <row r="2137" spans="15:19">
      <c r="O2137" s="53" t="str">
        <f t="shared" si="188"/>
        <v>click</v>
      </c>
      <c r="S2137" s="61" t="str">
        <f t="shared" si="189"/>
        <v/>
      </c>
    </row>
    <row r="2138" spans="15:19">
      <c r="O2138" s="53" t="str">
        <f t="shared" si="188"/>
        <v>click</v>
      </c>
      <c r="S2138" s="61" t="str">
        <f t="shared" si="189"/>
        <v/>
      </c>
    </row>
    <row r="2139" spans="15:19">
      <c r="O2139" s="53" t="str">
        <f t="shared" si="188"/>
        <v>click</v>
      </c>
      <c r="S2139" s="61" t="str">
        <f t="shared" si="189"/>
        <v/>
      </c>
    </row>
    <row r="2140" spans="15:19">
      <c r="O2140" s="53" t="str">
        <f t="shared" si="188"/>
        <v>click</v>
      </c>
      <c r="S2140" s="61" t="str">
        <f t="shared" si="189"/>
        <v/>
      </c>
    </row>
    <row r="2141" spans="15:19">
      <c r="O2141" s="53" t="str">
        <f t="shared" ref="O2141:O2204" si="190">IF(D2141="input","fill",IF(I2141&lt;&gt;"","innerText",IF(J2141="Y",$T$110,"click")))</f>
        <v>click</v>
      </c>
      <c r="S2141" s="61" t="str">
        <f t="shared" si="189"/>
        <v/>
      </c>
    </row>
    <row r="2142" spans="15:19">
      <c r="O2142" s="53" t="str">
        <f t="shared" si="190"/>
        <v>click</v>
      </c>
      <c r="S2142" s="61" t="str">
        <f t="shared" ref="S2142:S2205" si="191">IF(O2142="innerText",I2142&amp;"="&amp;IF(C2142="Y",IF(J2142&lt;&gt;"Y",$S$9&amp;$R$10&amp;"."&amp;E2142&amp;")."&amp;IF(OR(O2142="click",O2142="innerText"),O2142&amp;"();",O2142&amp;"("&amp;$Q$9&amp;"."&amp;E2142&amp;");"),$S$110&amp;$R$10&amp;"."&amp;E2142&amp;")."&amp;IF(O2142="click",O2142&amp;"();",O2142&amp;"("&amp;"'"&amp;K2142&amp;"'"&amp;");")),""),IF(C2142="Y",IF(J2142&lt;&gt;"Y",$S$9&amp;$R$10&amp;"."&amp;E2142&amp;")."&amp;IF(OR(O2142="click",O2142="innerText"),O2142&amp;"();",O2142&amp;"("&amp;$Q$9&amp;"."&amp;E2142&amp;");"),$S$110&amp;$R$10&amp;"."&amp;E2142&amp;")."&amp;IF(O2142="click",O2142&amp;"();",O2142&amp;"("&amp;"'"&amp;K2142&amp;"'"&amp;");")),""))</f>
        <v/>
      </c>
    </row>
    <row r="2143" spans="15:19">
      <c r="O2143" s="53" t="str">
        <f t="shared" si="190"/>
        <v>click</v>
      </c>
      <c r="S2143" s="61" t="str">
        <f t="shared" si="191"/>
        <v/>
      </c>
    </row>
    <row r="2144" spans="15:19">
      <c r="O2144" s="53" t="str">
        <f t="shared" si="190"/>
        <v>click</v>
      </c>
      <c r="S2144" s="61" t="str">
        <f t="shared" si="191"/>
        <v/>
      </c>
    </row>
    <row r="2145" spans="15:19">
      <c r="O2145" s="53" t="str">
        <f t="shared" si="190"/>
        <v>click</v>
      </c>
      <c r="S2145" s="61" t="str">
        <f t="shared" si="191"/>
        <v/>
      </c>
    </row>
    <row r="2146" spans="15:19">
      <c r="O2146" s="53" t="str">
        <f t="shared" si="190"/>
        <v>click</v>
      </c>
      <c r="S2146" s="61" t="str">
        <f t="shared" si="191"/>
        <v/>
      </c>
    </row>
    <row r="2147" spans="15:19">
      <c r="O2147" s="53" t="str">
        <f t="shared" si="190"/>
        <v>click</v>
      </c>
      <c r="S2147" s="61" t="str">
        <f t="shared" si="191"/>
        <v/>
      </c>
    </row>
    <row r="2148" spans="15:19">
      <c r="O2148" s="53" t="str">
        <f t="shared" si="190"/>
        <v>click</v>
      </c>
      <c r="S2148" s="61" t="str">
        <f t="shared" si="191"/>
        <v/>
      </c>
    </row>
    <row r="2149" spans="15:19">
      <c r="O2149" s="53" t="str">
        <f t="shared" si="190"/>
        <v>click</v>
      </c>
      <c r="S2149" s="61" t="str">
        <f t="shared" si="191"/>
        <v/>
      </c>
    </row>
    <row r="2150" spans="15:19">
      <c r="O2150" s="53" t="str">
        <f t="shared" si="190"/>
        <v>click</v>
      </c>
      <c r="S2150" s="61" t="str">
        <f t="shared" si="191"/>
        <v/>
      </c>
    </row>
    <row r="2151" spans="15:19">
      <c r="O2151" s="53" t="str">
        <f t="shared" si="190"/>
        <v>click</v>
      </c>
      <c r="S2151" s="61" t="str">
        <f t="shared" si="191"/>
        <v/>
      </c>
    </row>
    <row r="2152" spans="15:19">
      <c r="O2152" s="53" t="str">
        <f t="shared" si="190"/>
        <v>click</v>
      </c>
      <c r="S2152" s="61" t="str">
        <f t="shared" si="191"/>
        <v/>
      </c>
    </row>
    <row r="2153" spans="15:19">
      <c r="O2153" s="53" t="str">
        <f t="shared" si="190"/>
        <v>click</v>
      </c>
      <c r="S2153" s="61" t="str">
        <f t="shared" si="191"/>
        <v/>
      </c>
    </row>
    <row r="2154" spans="15:19">
      <c r="O2154" s="53" t="str">
        <f t="shared" si="190"/>
        <v>click</v>
      </c>
      <c r="S2154" s="61" t="str">
        <f t="shared" si="191"/>
        <v/>
      </c>
    </row>
    <row r="2155" spans="15:19">
      <c r="O2155" s="53" t="str">
        <f t="shared" si="190"/>
        <v>click</v>
      </c>
      <c r="S2155" s="61" t="str">
        <f t="shared" si="191"/>
        <v/>
      </c>
    </row>
    <row r="2156" spans="15:19">
      <c r="O2156" s="53" t="str">
        <f t="shared" si="190"/>
        <v>click</v>
      </c>
      <c r="S2156" s="61" t="str">
        <f t="shared" si="191"/>
        <v/>
      </c>
    </row>
    <row r="2157" spans="15:19">
      <c r="O2157" s="53" t="str">
        <f t="shared" si="190"/>
        <v>click</v>
      </c>
      <c r="S2157" s="61" t="str">
        <f t="shared" si="191"/>
        <v/>
      </c>
    </row>
    <row r="2158" spans="15:19">
      <c r="O2158" s="53" t="str">
        <f t="shared" si="190"/>
        <v>click</v>
      </c>
      <c r="S2158" s="61" t="str">
        <f t="shared" si="191"/>
        <v/>
      </c>
    </row>
    <row r="2159" spans="15:19">
      <c r="O2159" s="53" t="str">
        <f t="shared" si="190"/>
        <v>click</v>
      </c>
      <c r="S2159" s="61" t="str">
        <f t="shared" si="191"/>
        <v/>
      </c>
    </row>
    <row r="2160" spans="15:19">
      <c r="O2160" s="53" t="str">
        <f t="shared" si="190"/>
        <v>click</v>
      </c>
      <c r="S2160" s="61" t="str">
        <f t="shared" si="191"/>
        <v/>
      </c>
    </row>
    <row r="2161" spans="15:19">
      <c r="O2161" s="53" t="str">
        <f t="shared" si="190"/>
        <v>click</v>
      </c>
      <c r="S2161" s="61" t="str">
        <f t="shared" si="191"/>
        <v/>
      </c>
    </row>
    <row r="2162" spans="15:19">
      <c r="O2162" s="53" t="str">
        <f t="shared" si="190"/>
        <v>click</v>
      </c>
      <c r="S2162" s="61" t="str">
        <f t="shared" si="191"/>
        <v/>
      </c>
    </row>
    <row r="2163" spans="15:19">
      <c r="O2163" s="53" t="str">
        <f t="shared" si="190"/>
        <v>click</v>
      </c>
      <c r="S2163" s="61" t="str">
        <f t="shared" si="191"/>
        <v/>
      </c>
    </row>
    <row r="2164" spans="15:19">
      <c r="O2164" s="53" t="str">
        <f t="shared" si="190"/>
        <v>click</v>
      </c>
      <c r="S2164" s="61" t="str">
        <f t="shared" si="191"/>
        <v/>
      </c>
    </row>
    <row r="2165" spans="15:19">
      <c r="O2165" s="53" t="str">
        <f t="shared" si="190"/>
        <v>click</v>
      </c>
      <c r="S2165" s="61" t="str">
        <f t="shared" si="191"/>
        <v/>
      </c>
    </row>
    <row r="2166" spans="15:19">
      <c r="O2166" s="53" t="str">
        <f t="shared" si="190"/>
        <v>click</v>
      </c>
      <c r="S2166" s="61" t="str">
        <f t="shared" si="191"/>
        <v/>
      </c>
    </row>
    <row r="2167" spans="15:19">
      <c r="O2167" s="53" t="str">
        <f t="shared" si="190"/>
        <v>click</v>
      </c>
      <c r="S2167" s="61" t="str">
        <f t="shared" si="191"/>
        <v/>
      </c>
    </row>
    <row r="2168" spans="15:19">
      <c r="O2168" s="53" t="str">
        <f t="shared" si="190"/>
        <v>click</v>
      </c>
      <c r="S2168" s="61" t="str">
        <f t="shared" si="191"/>
        <v/>
      </c>
    </row>
    <row r="2169" spans="15:19">
      <c r="O2169" s="53" t="str">
        <f t="shared" si="190"/>
        <v>click</v>
      </c>
      <c r="S2169" s="61" t="str">
        <f t="shared" si="191"/>
        <v/>
      </c>
    </row>
    <row r="2170" spans="15:19">
      <c r="O2170" s="53" t="str">
        <f t="shared" si="190"/>
        <v>click</v>
      </c>
      <c r="S2170" s="61" t="str">
        <f t="shared" si="191"/>
        <v/>
      </c>
    </row>
    <row r="2171" spans="15:19">
      <c r="O2171" s="53" t="str">
        <f t="shared" si="190"/>
        <v>click</v>
      </c>
      <c r="S2171" s="61" t="str">
        <f t="shared" si="191"/>
        <v/>
      </c>
    </row>
    <row r="2172" spans="15:19">
      <c r="O2172" s="53" t="str">
        <f t="shared" si="190"/>
        <v>click</v>
      </c>
      <c r="S2172" s="61" t="str">
        <f t="shared" si="191"/>
        <v/>
      </c>
    </row>
    <row r="2173" spans="15:19">
      <c r="O2173" s="53" t="str">
        <f t="shared" si="190"/>
        <v>click</v>
      </c>
      <c r="S2173" s="61" t="str">
        <f t="shared" si="191"/>
        <v/>
      </c>
    </row>
    <row r="2174" spans="15:19">
      <c r="O2174" s="53" t="str">
        <f t="shared" si="190"/>
        <v>click</v>
      </c>
      <c r="S2174" s="61" t="str">
        <f t="shared" si="191"/>
        <v/>
      </c>
    </row>
    <row r="2175" spans="15:19">
      <c r="O2175" s="53" t="str">
        <f t="shared" si="190"/>
        <v>click</v>
      </c>
      <c r="S2175" s="61" t="str">
        <f t="shared" si="191"/>
        <v/>
      </c>
    </row>
    <row r="2176" spans="15:19">
      <c r="O2176" s="53" t="str">
        <f t="shared" si="190"/>
        <v>click</v>
      </c>
      <c r="S2176" s="61" t="str">
        <f t="shared" si="191"/>
        <v/>
      </c>
    </row>
    <row r="2177" spans="15:19">
      <c r="O2177" s="53" t="str">
        <f t="shared" si="190"/>
        <v>click</v>
      </c>
      <c r="S2177" s="61" t="str">
        <f t="shared" si="191"/>
        <v/>
      </c>
    </row>
    <row r="2178" spans="15:19">
      <c r="O2178" s="53" t="str">
        <f t="shared" si="190"/>
        <v>click</v>
      </c>
      <c r="S2178" s="61" t="str">
        <f t="shared" si="191"/>
        <v/>
      </c>
    </row>
    <row r="2179" spans="15:19">
      <c r="O2179" s="53" t="str">
        <f t="shared" si="190"/>
        <v>click</v>
      </c>
      <c r="S2179" s="61" t="str">
        <f t="shared" si="191"/>
        <v/>
      </c>
    </row>
    <row r="2180" spans="15:19">
      <c r="O2180" s="53" t="str">
        <f t="shared" si="190"/>
        <v>click</v>
      </c>
      <c r="S2180" s="61" t="str">
        <f t="shared" si="191"/>
        <v/>
      </c>
    </row>
    <row r="2181" spans="15:19">
      <c r="O2181" s="53" t="str">
        <f t="shared" si="190"/>
        <v>click</v>
      </c>
      <c r="S2181" s="61" t="str">
        <f t="shared" si="191"/>
        <v/>
      </c>
    </row>
    <row r="2182" spans="15:19">
      <c r="O2182" s="53" t="str">
        <f t="shared" si="190"/>
        <v>click</v>
      </c>
      <c r="S2182" s="61" t="str">
        <f t="shared" si="191"/>
        <v/>
      </c>
    </row>
    <row r="2183" spans="15:19">
      <c r="O2183" s="53" t="str">
        <f t="shared" si="190"/>
        <v>click</v>
      </c>
      <c r="S2183" s="61" t="str">
        <f t="shared" si="191"/>
        <v/>
      </c>
    </row>
    <row r="2184" spans="15:19">
      <c r="O2184" s="53" t="str">
        <f t="shared" si="190"/>
        <v>click</v>
      </c>
      <c r="S2184" s="61" t="str">
        <f t="shared" si="191"/>
        <v/>
      </c>
    </row>
    <row r="2185" spans="15:19">
      <c r="O2185" s="53" t="str">
        <f t="shared" si="190"/>
        <v>click</v>
      </c>
      <c r="S2185" s="61" t="str">
        <f t="shared" si="191"/>
        <v/>
      </c>
    </row>
    <row r="2186" spans="15:19">
      <c r="O2186" s="53" t="str">
        <f t="shared" si="190"/>
        <v>click</v>
      </c>
      <c r="S2186" s="61" t="str">
        <f t="shared" si="191"/>
        <v/>
      </c>
    </row>
    <row r="2187" spans="15:19">
      <c r="O2187" s="53" t="str">
        <f t="shared" si="190"/>
        <v>click</v>
      </c>
      <c r="S2187" s="61" t="str">
        <f t="shared" si="191"/>
        <v/>
      </c>
    </row>
    <row r="2188" spans="15:19">
      <c r="O2188" s="53" t="str">
        <f t="shared" si="190"/>
        <v>click</v>
      </c>
      <c r="S2188" s="61" t="str">
        <f t="shared" si="191"/>
        <v/>
      </c>
    </row>
    <row r="2189" spans="15:19">
      <c r="O2189" s="53" t="str">
        <f t="shared" si="190"/>
        <v>click</v>
      </c>
      <c r="S2189" s="61" t="str">
        <f t="shared" si="191"/>
        <v/>
      </c>
    </row>
    <row r="2190" spans="15:19">
      <c r="O2190" s="53" t="str">
        <f t="shared" si="190"/>
        <v>click</v>
      </c>
      <c r="S2190" s="61" t="str">
        <f t="shared" si="191"/>
        <v/>
      </c>
    </row>
    <row r="2191" spans="15:19">
      <c r="O2191" s="53" t="str">
        <f t="shared" si="190"/>
        <v>click</v>
      </c>
      <c r="S2191" s="61" t="str">
        <f t="shared" si="191"/>
        <v/>
      </c>
    </row>
    <row r="2192" spans="15:19">
      <c r="O2192" s="53" t="str">
        <f t="shared" si="190"/>
        <v>click</v>
      </c>
      <c r="S2192" s="61" t="str">
        <f t="shared" si="191"/>
        <v/>
      </c>
    </row>
    <row r="2193" spans="15:19">
      <c r="O2193" s="53" t="str">
        <f t="shared" si="190"/>
        <v>click</v>
      </c>
      <c r="S2193" s="61" t="str">
        <f t="shared" si="191"/>
        <v/>
      </c>
    </row>
    <row r="2194" spans="15:19">
      <c r="O2194" s="53" t="str">
        <f t="shared" si="190"/>
        <v>click</v>
      </c>
      <c r="S2194" s="61" t="str">
        <f t="shared" si="191"/>
        <v/>
      </c>
    </row>
    <row r="2195" spans="15:19">
      <c r="O2195" s="53" t="str">
        <f t="shared" si="190"/>
        <v>click</v>
      </c>
      <c r="S2195" s="61" t="str">
        <f t="shared" si="191"/>
        <v/>
      </c>
    </row>
    <row r="2196" spans="15:19">
      <c r="O2196" s="53" t="str">
        <f t="shared" si="190"/>
        <v>click</v>
      </c>
      <c r="S2196" s="61" t="str">
        <f t="shared" si="191"/>
        <v/>
      </c>
    </row>
    <row r="2197" spans="15:19">
      <c r="O2197" s="53" t="str">
        <f t="shared" si="190"/>
        <v>click</v>
      </c>
      <c r="S2197" s="61" t="str">
        <f t="shared" si="191"/>
        <v/>
      </c>
    </row>
    <row r="2198" spans="15:19">
      <c r="O2198" s="53" t="str">
        <f t="shared" si="190"/>
        <v>click</v>
      </c>
      <c r="S2198" s="61" t="str">
        <f t="shared" si="191"/>
        <v/>
      </c>
    </row>
    <row r="2199" spans="15:19">
      <c r="O2199" s="53" t="str">
        <f t="shared" si="190"/>
        <v>click</v>
      </c>
      <c r="S2199" s="61" t="str">
        <f t="shared" si="191"/>
        <v/>
      </c>
    </row>
    <row r="2200" spans="15:19">
      <c r="O2200" s="53" t="str">
        <f t="shared" si="190"/>
        <v>click</v>
      </c>
      <c r="S2200" s="61" t="str">
        <f t="shared" si="191"/>
        <v/>
      </c>
    </row>
    <row r="2201" spans="15:19">
      <c r="O2201" s="53" t="str">
        <f t="shared" si="190"/>
        <v>click</v>
      </c>
      <c r="S2201" s="61" t="str">
        <f t="shared" si="191"/>
        <v/>
      </c>
    </row>
    <row r="2202" spans="15:19">
      <c r="O2202" s="53" t="str">
        <f t="shared" si="190"/>
        <v>click</v>
      </c>
      <c r="S2202" s="61" t="str">
        <f t="shared" si="191"/>
        <v/>
      </c>
    </row>
    <row r="2203" spans="15:19">
      <c r="O2203" s="53" t="str">
        <f t="shared" si="190"/>
        <v>click</v>
      </c>
      <c r="S2203" s="61" t="str">
        <f t="shared" si="191"/>
        <v/>
      </c>
    </row>
    <row r="2204" spans="15:19">
      <c r="O2204" s="53" t="str">
        <f t="shared" si="190"/>
        <v>click</v>
      </c>
      <c r="S2204" s="61" t="str">
        <f t="shared" si="191"/>
        <v/>
      </c>
    </row>
    <row r="2205" spans="15:19">
      <c r="O2205" s="53" t="str">
        <f t="shared" ref="O2205:O2268" si="192">IF(D2205="input","fill",IF(I2205&lt;&gt;"","innerText",IF(J2205="Y",$T$110,"click")))</f>
        <v>click</v>
      </c>
      <c r="S2205" s="61" t="str">
        <f t="shared" si="191"/>
        <v/>
      </c>
    </row>
    <row r="2206" spans="15:19">
      <c r="O2206" s="53" t="str">
        <f t="shared" si="192"/>
        <v>click</v>
      </c>
      <c r="S2206" s="61" t="str">
        <f t="shared" ref="S2206:S2269" si="193">IF(O2206="innerText",I2206&amp;"="&amp;IF(C2206="Y",IF(J2206&lt;&gt;"Y",$S$9&amp;$R$10&amp;"."&amp;E2206&amp;")."&amp;IF(OR(O2206="click",O2206="innerText"),O2206&amp;"();",O2206&amp;"("&amp;$Q$9&amp;"."&amp;E2206&amp;");"),$S$110&amp;$R$10&amp;"."&amp;E2206&amp;")."&amp;IF(O2206="click",O2206&amp;"();",O2206&amp;"("&amp;"'"&amp;K2206&amp;"'"&amp;");")),""),IF(C2206="Y",IF(J2206&lt;&gt;"Y",$S$9&amp;$R$10&amp;"."&amp;E2206&amp;")."&amp;IF(OR(O2206="click",O2206="innerText"),O2206&amp;"();",O2206&amp;"("&amp;$Q$9&amp;"."&amp;E2206&amp;");"),$S$110&amp;$R$10&amp;"."&amp;E2206&amp;")."&amp;IF(O2206="click",O2206&amp;"();",O2206&amp;"("&amp;"'"&amp;K2206&amp;"'"&amp;");")),""))</f>
        <v/>
      </c>
    </row>
    <row r="2207" spans="15:19">
      <c r="O2207" s="53" t="str">
        <f t="shared" si="192"/>
        <v>click</v>
      </c>
      <c r="S2207" s="61" t="str">
        <f t="shared" si="193"/>
        <v/>
      </c>
    </row>
    <row r="2208" spans="15:19">
      <c r="O2208" s="53" t="str">
        <f t="shared" si="192"/>
        <v>click</v>
      </c>
      <c r="S2208" s="61" t="str">
        <f t="shared" si="193"/>
        <v/>
      </c>
    </row>
    <row r="2209" spans="15:19">
      <c r="O2209" s="53" t="str">
        <f t="shared" si="192"/>
        <v>click</v>
      </c>
      <c r="S2209" s="61" t="str">
        <f t="shared" si="193"/>
        <v/>
      </c>
    </row>
    <row r="2210" spans="15:19">
      <c r="O2210" s="53" t="str">
        <f t="shared" si="192"/>
        <v>click</v>
      </c>
      <c r="S2210" s="61" t="str">
        <f t="shared" si="193"/>
        <v/>
      </c>
    </row>
    <row r="2211" spans="15:19">
      <c r="O2211" s="53" t="str">
        <f t="shared" si="192"/>
        <v>click</v>
      </c>
      <c r="S2211" s="61" t="str">
        <f t="shared" si="193"/>
        <v/>
      </c>
    </row>
    <row r="2212" spans="15:19">
      <c r="O2212" s="53" t="str">
        <f t="shared" si="192"/>
        <v>click</v>
      </c>
      <c r="S2212" s="61" t="str">
        <f t="shared" si="193"/>
        <v/>
      </c>
    </row>
    <row r="2213" spans="15:19">
      <c r="O2213" s="53" t="str">
        <f t="shared" si="192"/>
        <v>click</v>
      </c>
      <c r="S2213" s="61" t="str">
        <f t="shared" si="193"/>
        <v/>
      </c>
    </row>
    <row r="2214" spans="15:19">
      <c r="O2214" s="53" t="str">
        <f t="shared" si="192"/>
        <v>click</v>
      </c>
      <c r="S2214" s="61" t="str">
        <f t="shared" si="193"/>
        <v/>
      </c>
    </row>
    <row r="2215" spans="15:19">
      <c r="O2215" s="53" t="str">
        <f t="shared" si="192"/>
        <v>click</v>
      </c>
      <c r="S2215" s="61" t="str">
        <f t="shared" si="193"/>
        <v/>
      </c>
    </row>
    <row r="2216" spans="15:19">
      <c r="O2216" s="53" t="str">
        <f t="shared" si="192"/>
        <v>click</v>
      </c>
      <c r="S2216" s="61" t="str">
        <f t="shared" si="193"/>
        <v/>
      </c>
    </row>
    <row r="2217" spans="15:19">
      <c r="O2217" s="53" t="str">
        <f t="shared" si="192"/>
        <v>click</v>
      </c>
      <c r="S2217" s="61" t="str">
        <f t="shared" si="193"/>
        <v/>
      </c>
    </row>
    <row r="2218" spans="15:19">
      <c r="O2218" s="53" t="str">
        <f t="shared" si="192"/>
        <v>click</v>
      </c>
      <c r="S2218" s="61" t="str">
        <f t="shared" si="193"/>
        <v/>
      </c>
    </row>
    <row r="2219" spans="15:19">
      <c r="O2219" s="53" t="str">
        <f t="shared" si="192"/>
        <v>click</v>
      </c>
      <c r="S2219" s="61" t="str">
        <f t="shared" si="193"/>
        <v/>
      </c>
    </row>
    <row r="2220" spans="15:19">
      <c r="O2220" s="53" t="str">
        <f t="shared" si="192"/>
        <v>click</v>
      </c>
      <c r="S2220" s="61" t="str">
        <f t="shared" si="193"/>
        <v/>
      </c>
    </row>
    <row r="2221" spans="15:19">
      <c r="O2221" s="53" t="str">
        <f t="shared" si="192"/>
        <v>click</v>
      </c>
      <c r="S2221" s="61" t="str">
        <f t="shared" si="193"/>
        <v/>
      </c>
    </row>
    <row r="2222" spans="15:19">
      <c r="O2222" s="53" t="str">
        <f t="shared" si="192"/>
        <v>click</v>
      </c>
      <c r="S2222" s="61" t="str">
        <f t="shared" si="193"/>
        <v/>
      </c>
    </row>
    <row r="2223" spans="15:19">
      <c r="O2223" s="53" t="str">
        <f t="shared" si="192"/>
        <v>click</v>
      </c>
      <c r="S2223" s="61" t="str">
        <f t="shared" si="193"/>
        <v/>
      </c>
    </row>
    <row r="2224" spans="15:19">
      <c r="O2224" s="53" t="str">
        <f t="shared" si="192"/>
        <v>click</v>
      </c>
      <c r="S2224" s="61" t="str">
        <f t="shared" si="193"/>
        <v/>
      </c>
    </row>
    <row r="2225" spans="15:19">
      <c r="O2225" s="53" t="str">
        <f t="shared" si="192"/>
        <v>click</v>
      </c>
      <c r="S2225" s="61" t="str">
        <f t="shared" si="193"/>
        <v/>
      </c>
    </row>
    <row r="2226" spans="15:19">
      <c r="O2226" s="53" t="str">
        <f t="shared" si="192"/>
        <v>click</v>
      </c>
      <c r="S2226" s="61" t="str">
        <f t="shared" si="193"/>
        <v/>
      </c>
    </row>
    <row r="2227" spans="15:19">
      <c r="O2227" s="53" t="str">
        <f t="shared" si="192"/>
        <v>click</v>
      </c>
      <c r="S2227" s="61" t="str">
        <f t="shared" si="193"/>
        <v/>
      </c>
    </row>
    <row r="2228" spans="15:19">
      <c r="O2228" s="53" t="str">
        <f t="shared" si="192"/>
        <v>click</v>
      </c>
      <c r="S2228" s="61" t="str">
        <f t="shared" si="193"/>
        <v/>
      </c>
    </row>
    <row r="2229" spans="15:19">
      <c r="O2229" s="53" t="str">
        <f t="shared" si="192"/>
        <v>click</v>
      </c>
      <c r="S2229" s="61" t="str">
        <f t="shared" si="193"/>
        <v/>
      </c>
    </row>
    <row r="2230" spans="15:19">
      <c r="O2230" s="53" t="str">
        <f t="shared" si="192"/>
        <v>click</v>
      </c>
      <c r="S2230" s="61" t="str">
        <f t="shared" si="193"/>
        <v/>
      </c>
    </row>
    <row r="2231" spans="15:19">
      <c r="O2231" s="53" t="str">
        <f t="shared" si="192"/>
        <v>click</v>
      </c>
      <c r="S2231" s="61" t="str">
        <f t="shared" si="193"/>
        <v/>
      </c>
    </row>
    <row r="2232" spans="15:19">
      <c r="O2232" s="53" t="str">
        <f t="shared" si="192"/>
        <v>click</v>
      </c>
      <c r="S2232" s="61" t="str">
        <f t="shared" si="193"/>
        <v/>
      </c>
    </row>
    <row r="2233" spans="15:19">
      <c r="O2233" s="53" t="str">
        <f t="shared" si="192"/>
        <v>click</v>
      </c>
      <c r="S2233" s="61" t="str">
        <f t="shared" si="193"/>
        <v/>
      </c>
    </row>
    <row r="2234" spans="15:19">
      <c r="O2234" s="53" t="str">
        <f t="shared" si="192"/>
        <v>click</v>
      </c>
      <c r="S2234" s="61" t="str">
        <f t="shared" si="193"/>
        <v/>
      </c>
    </row>
    <row r="2235" spans="15:19">
      <c r="O2235" s="53" t="str">
        <f t="shared" si="192"/>
        <v>click</v>
      </c>
      <c r="S2235" s="61" t="str">
        <f t="shared" si="193"/>
        <v/>
      </c>
    </row>
    <row r="2236" spans="15:19">
      <c r="O2236" s="53" t="str">
        <f t="shared" si="192"/>
        <v>click</v>
      </c>
      <c r="S2236" s="61" t="str">
        <f t="shared" si="193"/>
        <v/>
      </c>
    </row>
    <row r="2237" spans="15:19">
      <c r="O2237" s="53" t="str">
        <f t="shared" si="192"/>
        <v>click</v>
      </c>
      <c r="S2237" s="61" t="str">
        <f t="shared" si="193"/>
        <v/>
      </c>
    </row>
    <row r="2238" spans="15:19">
      <c r="O2238" s="53" t="str">
        <f t="shared" si="192"/>
        <v>click</v>
      </c>
      <c r="S2238" s="61" t="str">
        <f t="shared" si="193"/>
        <v/>
      </c>
    </row>
    <row r="2239" spans="15:19">
      <c r="O2239" s="53" t="str">
        <f t="shared" si="192"/>
        <v>click</v>
      </c>
      <c r="S2239" s="61" t="str">
        <f t="shared" si="193"/>
        <v/>
      </c>
    </row>
    <row r="2240" spans="15:19">
      <c r="O2240" s="53" t="str">
        <f t="shared" si="192"/>
        <v>click</v>
      </c>
      <c r="S2240" s="61" t="str">
        <f t="shared" si="193"/>
        <v/>
      </c>
    </row>
    <row r="2241" spans="15:19">
      <c r="O2241" s="53" t="str">
        <f t="shared" si="192"/>
        <v>click</v>
      </c>
      <c r="S2241" s="61" t="str">
        <f t="shared" si="193"/>
        <v/>
      </c>
    </row>
    <row r="2242" spans="15:19">
      <c r="O2242" s="53" t="str">
        <f t="shared" si="192"/>
        <v>click</v>
      </c>
      <c r="S2242" s="61" t="str">
        <f t="shared" si="193"/>
        <v/>
      </c>
    </row>
    <row r="2243" spans="15:19">
      <c r="O2243" s="53" t="str">
        <f t="shared" si="192"/>
        <v>click</v>
      </c>
      <c r="S2243" s="61" t="str">
        <f t="shared" si="193"/>
        <v/>
      </c>
    </row>
    <row r="2244" spans="15:19">
      <c r="O2244" s="53" t="str">
        <f t="shared" si="192"/>
        <v>click</v>
      </c>
      <c r="S2244" s="61" t="str">
        <f t="shared" si="193"/>
        <v/>
      </c>
    </row>
    <row r="2245" spans="15:19">
      <c r="O2245" s="53" t="str">
        <f t="shared" si="192"/>
        <v>click</v>
      </c>
      <c r="S2245" s="61" t="str">
        <f t="shared" si="193"/>
        <v/>
      </c>
    </row>
    <row r="2246" spans="15:19">
      <c r="O2246" s="53" t="str">
        <f t="shared" si="192"/>
        <v>click</v>
      </c>
      <c r="S2246" s="61" t="str">
        <f t="shared" si="193"/>
        <v/>
      </c>
    </row>
    <row r="2247" spans="15:19">
      <c r="O2247" s="53" t="str">
        <f t="shared" si="192"/>
        <v>click</v>
      </c>
      <c r="S2247" s="61" t="str">
        <f t="shared" si="193"/>
        <v/>
      </c>
    </row>
    <row r="2248" spans="15:19">
      <c r="O2248" s="53" t="str">
        <f t="shared" si="192"/>
        <v>click</v>
      </c>
      <c r="S2248" s="61" t="str">
        <f t="shared" si="193"/>
        <v/>
      </c>
    </row>
    <row r="2249" spans="15:19">
      <c r="O2249" s="53" t="str">
        <f t="shared" si="192"/>
        <v>click</v>
      </c>
      <c r="S2249" s="61" t="str">
        <f t="shared" si="193"/>
        <v/>
      </c>
    </row>
    <row r="2250" spans="15:19">
      <c r="O2250" s="53" t="str">
        <f t="shared" si="192"/>
        <v>click</v>
      </c>
      <c r="S2250" s="61" t="str">
        <f t="shared" si="193"/>
        <v/>
      </c>
    </row>
    <row r="2251" spans="15:19">
      <c r="O2251" s="53" t="str">
        <f t="shared" si="192"/>
        <v>click</v>
      </c>
      <c r="S2251" s="61" t="str">
        <f t="shared" si="193"/>
        <v/>
      </c>
    </row>
    <row r="2252" spans="15:19">
      <c r="O2252" s="53" t="str">
        <f t="shared" si="192"/>
        <v>click</v>
      </c>
      <c r="S2252" s="61" t="str">
        <f t="shared" si="193"/>
        <v/>
      </c>
    </row>
    <row r="2253" spans="15:19">
      <c r="O2253" s="53" t="str">
        <f t="shared" si="192"/>
        <v>click</v>
      </c>
      <c r="S2253" s="61" t="str">
        <f t="shared" si="193"/>
        <v/>
      </c>
    </row>
    <row r="2254" spans="15:19">
      <c r="O2254" s="53" t="str">
        <f t="shared" si="192"/>
        <v>click</v>
      </c>
      <c r="S2254" s="61" t="str">
        <f t="shared" si="193"/>
        <v/>
      </c>
    </row>
    <row r="2255" spans="15:19">
      <c r="O2255" s="53" t="str">
        <f t="shared" si="192"/>
        <v>click</v>
      </c>
      <c r="S2255" s="61" t="str">
        <f t="shared" si="193"/>
        <v/>
      </c>
    </row>
    <row r="2256" spans="15:19">
      <c r="O2256" s="53" t="str">
        <f t="shared" si="192"/>
        <v>click</v>
      </c>
      <c r="S2256" s="61" t="str">
        <f t="shared" si="193"/>
        <v/>
      </c>
    </row>
    <row r="2257" spans="15:19">
      <c r="O2257" s="53" t="str">
        <f t="shared" si="192"/>
        <v>click</v>
      </c>
      <c r="S2257" s="61" t="str">
        <f t="shared" si="193"/>
        <v/>
      </c>
    </row>
    <row r="2258" spans="15:19">
      <c r="O2258" s="53" t="str">
        <f t="shared" si="192"/>
        <v>click</v>
      </c>
      <c r="S2258" s="61" t="str">
        <f t="shared" si="193"/>
        <v/>
      </c>
    </row>
    <row r="2259" spans="15:19">
      <c r="O2259" s="53" t="str">
        <f t="shared" si="192"/>
        <v>click</v>
      </c>
      <c r="S2259" s="61" t="str">
        <f t="shared" si="193"/>
        <v/>
      </c>
    </row>
    <row r="2260" spans="15:19">
      <c r="O2260" s="53" t="str">
        <f t="shared" si="192"/>
        <v>click</v>
      </c>
      <c r="S2260" s="61" t="str">
        <f t="shared" si="193"/>
        <v/>
      </c>
    </row>
    <row r="2261" spans="15:19">
      <c r="O2261" s="53" t="str">
        <f t="shared" si="192"/>
        <v>click</v>
      </c>
      <c r="S2261" s="61" t="str">
        <f t="shared" si="193"/>
        <v/>
      </c>
    </row>
    <row r="2262" spans="15:19">
      <c r="O2262" s="53" t="str">
        <f t="shared" si="192"/>
        <v>click</v>
      </c>
      <c r="S2262" s="61" t="str">
        <f t="shared" si="193"/>
        <v/>
      </c>
    </row>
    <row r="2263" spans="15:19">
      <c r="O2263" s="53" t="str">
        <f t="shared" si="192"/>
        <v>click</v>
      </c>
      <c r="S2263" s="61" t="str">
        <f t="shared" si="193"/>
        <v/>
      </c>
    </row>
    <row r="2264" spans="15:19">
      <c r="O2264" s="53" t="str">
        <f t="shared" si="192"/>
        <v>click</v>
      </c>
      <c r="S2264" s="61" t="str">
        <f t="shared" si="193"/>
        <v/>
      </c>
    </row>
    <row r="2265" spans="15:19">
      <c r="O2265" s="53" t="str">
        <f t="shared" si="192"/>
        <v>click</v>
      </c>
      <c r="S2265" s="61" t="str">
        <f t="shared" si="193"/>
        <v/>
      </c>
    </row>
    <row r="2266" spans="15:19">
      <c r="O2266" s="53" t="str">
        <f t="shared" si="192"/>
        <v>click</v>
      </c>
      <c r="S2266" s="61" t="str">
        <f t="shared" si="193"/>
        <v/>
      </c>
    </row>
    <row r="2267" spans="15:19">
      <c r="O2267" s="53" t="str">
        <f t="shared" si="192"/>
        <v>click</v>
      </c>
      <c r="S2267" s="61" t="str">
        <f t="shared" si="193"/>
        <v/>
      </c>
    </row>
    <row r="2268" spans="15:19">
      <c r="O2268" s="53" t="str">
        <f t="shared" si="192"/>
        <v>click</v>
      </c>
      <c r="S2268" s="61" t="str">
        <f t="shared" si="193"/>
        <v/>
      </c>
    </row>
    <row r="2269" spans="15:19">
      <c r="O2269" s="53" t="str">
        <f t="shared" ref="O2269:O2332" si="194">IF(D2269="input","fill",IF(I2269&lt;&gt;"","innerText",IF(J2269="Y",$T$110,"click")))</f>
        <v>click</v>
      </c>
      <c r="S2269" s="61" t="str">
        <f t="shared" si="193"/>
        <v/>
      </c>
    </row>
    <row r="2270" spans="15:19">
      <c r="O2270" s="53" t="str">
        <f t="shared" si="194"/>
        <v>click</v>
      </c>
      <c r="S2270" s="61" t="str">
        <f t="shared" ref="S2270:S2333" si="195">IF(O2270="innerText",I2270&amp;"="&amp;IF(C2270="Y",IF(J2270&lt;&gt;"Y",$S$9&amp;$R$10&amp;"."&amp;E2270&amp;")."&amp;IF(OR(O2270="click",O2270="innerText"),O2270&amp;"();",O2270&amp;"("&amp;$Q$9&amp;"."&amp;E2270&amp;");"),$S$110&amp;$R$10&amp;"."&amp;E2270&amp;")."&amp;IF(O2270="click",O2270&amp;"();",O2270&amp;"("&amp;"'"&amp;K2270&amp;"'"&amp;");")),""),IF(C2270="Y",IF(J2270&lt;&gt;"Y",$S$9&amp;$R$10&amp;"."&amp;E2270&amp;")."&amp;IF(OR(O2270="click",O2270="innerText"),O2270&amp;"();",O2270&amp;"("&amp;$Q$9&amp;"."&amp;E2270&amp;");"),$S$110&amp;$R$10&amp;"."&amp;E2270&amp;")."&amp;IF(O2270="click",O2270&amp;"();",O2270&amp;"("&amp;"'"&amp;K2270&amp;"'"&amp;");")),""))</f>
        <v/>
      </c>
    </row>
    <row r="2271" spans="15:19">
      <c r="O2271" s="53" t="str">
        <f t="shared" si="194"/>
        <v>click</v>
      </c>
      <c r="S2271" s="61" t="str">
        <f t="shared" si="195"/>
        <v/>
      </c>
    </row>
    <row r="2272" spans="15:19">
      <c r="O2272" s="53" t="str">
        <f t="shared" si="194"/>
        <v>click</v>
      </c>
      <c r="S2272" s="61" t="str">
        <f t="shared" si="195"/>
        <v/>
      </c>
    </row>
    <row r="2273" spans="15:19">
      <c r="O2273" s="53" t="str">
        <f t="shared" si="194"/>
        <v>click</v>
      </c>
      <c r="S2273" s="61" t="str">
        <f t="shared" si="195"/>
        <v/>
      </c>
    </row>
    <row r="2274" spans="15:19">
      <c r="O2274" s="53" t="str">
        <f t="shared" si="194"/>
        <v>click</v>
      </c>
      <c r="S2274" s="61" t="str">
        <f t="shared" si="195"/>
        <v/>
      </c>
    </row>
    <row r="2275" spans="15:19">
      <c r="O2275" s="53" t="str">
        <f t="shared" si="194"/>
        <v>click</v>
      </c>
      <c r="S2275" s="61" t="str">
        <f t="shared" si="195"/>
        <v/>
      </c>
    </row>
    <row r="2276" spans="15:19">
      <c r="O2276" s="53" t="str">
        <f t="shared" si="194"/>
        <v>click</v>
      </c>
      <c r="S2276" s="61" t="str">
        <f t="shared" si="195"/>
        <v/>
      </c>
    </row>
    <row r="2277" spans="15:19">
      <c r="O2277" s="53" t="str">
        <f t="shared" si="194"/>
        <v>click</v>
      </c>
      <c r="S2277" s="61" t="str">
        <f t="shared" si="195"/>
        <v/>
      </c>
    </row>
    <row r="2278" spans="15:19">
      <c r="O2278" s="53" t="str">
        <f t="shared" si="194"/>
        <v>click</v>
      </c>
      <c r="S2278" s="61" t="str">
        <f t="shared" si="195"/>
        <v/>
      </c>
    </row>
    <row r="2279" spans="15:19">
      <c r="O2279" s="53" t="str">
        <f t="shared" si="194"/>
        <v>click</v>
      </c>
      <c r="S2279" s="61" t="str">
        <f t="shared" si="195"/>
        <v/>
      </c>
    </row>
    <row r="2280" spans="15:19">
      <c r="O2280" s="53" t="str">
        <f t="shared" si="194"/>
        <v>click</v>
      </c>
      <c r="S2280" s="61" t="str">
        <f t="shared" si="195"/>
        <v/>
      </c>
    </row>
    <row r="2281" spans="15:19">
      <c r="O2281" s="53" t="str">
        <f t="shared" si="194"/>
        <v>click</v>
      </c>
      <c r="S2281" s="61" t="str">
        <f t="shared" si="195"/>
        <v/>
      </c>
    </row>
    <row r="2282" spans="15:19">
      <c r="O2282" s="53" t="str">
        <f t="shared" si="194"/>
        <v>click</v>
      </c>
      <c r="S2282" s="61" t="str">
        <f t="shared" si="195"/>
        <v/>
      </c>
    </row>
    <row r="2283" spans="15:19">
      <c r="O2283" s="53" t="str">
        <f t="shared" si="194"/>
        <v>click</v>
      </c>
      <c r="S2283" s="61" t="str">
        <f t="shared" si="195"/>
        <v/>
      </c>
    </row>
    <row r="2284" spans="15:19">
      <c r="O2284" s="53" t="str">
        <f t="shared" si="194"/>
        <v>click</v>
      </c>
      <c r="S2284" s="61" t="str">
        <f t="shared" si="195"/>
        <v/>
      </c>
    </row>
    <row r="2285" spans="15:19">
      <c r="O2285" s="53" t="str">
        <f t="shared" si="194"/>
        <v>click</v>
      </c>
      <c r="S2285" s="61" t="str">
        <f t="shared" si="195"/>
        <v/>
      </c>
    </row>
    <row r="2286" spans="15:19">
      <c r="O2286" s="53" t="str">
        <f t="shared" si="194"/>
        <v>click</v>
      </c>
      <c r="S2286" s="61" t="str">
        <f t="shared" si="195"/>
        <v/>
      </c>
    </row>
    <row r="2287" spans="15:19">
      <c r="O2287" s="53" t="str">
        <f t="shared" si="194"/>
        <v>click</v>
      </c>
      <c r="S2287" s="61" t="str">
        <f t="shared" si="195"/>
        <v/>
      </c>
    </row>
    <row r="2288" spans="15:19">
      <c r="O2288" s="53" t="str">
        <f t="shared" si="194"/>
        <v>click</v>
      </c>
      <c r="S2288" s="61" t="str">
        <f t="shared" si="195"/>
        <v/>
      </c>
    </row>
    <row r="2289" spans="15:19">
      <c r="O2289" s="53" t="str">
        <f t="shared" si="194"/>
        <v>click</v>
      </c>
      <c r="S2289" s="61" t="str">
        <f t="shared" si="195"/>
        <v/>
      </c>
    </row>
    <row r="2290" spans="15:19">
      <c r="O2290" s="53" t="str">
        <f t="shared" si="194"/>
        <v>click</v>
      </c>
      <c r="S2290" s="61" t="str">
        <f t="shared" si="195"/>
        <v/>
      </c>
    </row>
    <row r="2291" spans="15:19">
      <c r="O2291" s="53" t="str">
        <f t="shared" si="194"/>
        <v>click</v>
      </c>
      <c r="S2291" s="61" t="str">
        <f t="shared" si="195"/>
        <v/>
      </c>
    </row>
    <row r="2292" spans="15:19">
      <c r="O2292" s="53" t="str">
        <f t="shared" si="194"/>
        <v>click</v>
      </c>
      <c r="S2292" s="61" t="str">
        <f t="shared" si="195"/>
        <v/>
      </c>
    </row>
    <row r="2293" spans="15:19">
      <c r="O2293" s="53" t="str">
        <f t="shared" si="194"/>
        <v>click</v>
      </c>
      <c r="S2293" s="61" t="str">
        <f t="shared" si="195"/>
        <v/>
      </c>
    </row>
    <row r="2294" spans="15:19">
      <c r="O2294" s="53" t="str">
        <f t="shared" si="194"/>
        <v>click</v>
      </c>
      <c r="S2294" s="61" t="str">
        <f t="shared" si="195"/>
        <v/>
      </c>
    </row>
    <row r="2295" spans="15:19">
      <c r="O2295" s="53" t="str">
        <f t="shared" si="194"/>
        <v>click</v>
      </c>
      <c r="S2295" s="61" t="str">
        <f t="shared" si="195"/>
        <v/>
      </c>
    </row>
    <row r="2296" spans="15:19">
      <c r="O2296" s="53" t="str">
        <f t="shared" si="194"/>
        <v>click</v>
      </c>
      <c r="S2296" s="61" t="str">
        <f t="shared" si="195"/>
        <v/>
      </c>
    </row>
    <row r="2297" spans="15:19">
      <c r="O2297" s="53" t="str">
        <f t="shared" si="194"/>
        <v>click</v>
      </c>
      <c r="S2297" s="61" t="str">
        <f t="shared" si="195"/>
        <v/>
      </c>
    </row>
    <row r="2298" spans="15:19">
      <c r="O2298" s="53" t="str">
        <f t="shared" si="194"/>
        <v>click</v>
      </c>
      <c r="S2298" s="61" t="str">
        <f t="shared" si="195"/>
        <v/>
      </c>
    </row>
    <row r="2299" spans="15:19">
      <c r="O2299" s="53" t="str">
        <f t="shared" si="194"/>
        <v>click</v>
      </c>
      <c r="S2299" s="61" t="str">
        <f t="shared" si="195"/>
        <v/>
      </c>
    </row>
    <row r="2300" spans="15:19">
      <c r="O2300" s="53" t="str">
        <f t="shared" si="194"/>
        <v>click</v>
      </c>
      <c r="S2300" s="61" t="str">
        <f t="shared" si="195"/>
        <v/>
      </c>
    </row>
    <row r="2301" spans="15:19">
      <c r="O2301" s="53" t="str">
        <f t="shared" si="194"/>
        <v>click</v>
      </c>
      <c r="S2301" s="61" t="str">
        <f t="shared" si="195"/>
        <v/>
      </c>
    </row>
    <row r="2302" spans="15:19">
      <c r="O2302" s="53" t="str">
        <f t="shared" si="194"/>
        <v>click</v>
      </c>
      <c r="S2302" s="61" t="str">
        <f t="shared" si="195"/>
        <v/>
      </c>
    </row>
    <row r="2303" spans="15:19">
      <c r="O2303" s="53" t="str">
        <f t="shared" si="194"/>
        <v>click</v>
      </c>
      <c r="S2303" s="61" t="str">
        <f t="shared" si="195"/>
        <v/>
      </c>
    </row>
    <row r="2304" spans="15:19">
      <c r="O2304" s="53" t="str">
        <f t="shared" si="194"/>
        <v>click</v>
      </c>
      <c r="S2304" s="61" t="str">
        <f t="shared" si="195"/>
        <v/>
      </c>
    </row>
    <row r="2305" spans="15:19">
      <c r="O2305" s="53" t="str">
        <f t="shared" si="194"/>
        <v>click</v>
      </c>
      <c r="S2305" s="61" t="str">
        <f t="shared" si="195"/>
        <v/>
      </c>
    </row>
    <row r="2306" spans="15:19">
      <c r="O2306" s="53" t="str">
        <f t="shared" si="194"/>
        <v>click</v>
      </c>
      <c r="S2306" s="61" t="str">
        <f t="shared" si="195"/>
        <v/>
      </c>
    </row>
    <row r="2307" spans="15:19">
      <c r="O2307" s="53" t="str">
        <f t="shared" si="194"/>
        <v>click</v>
      </c>
      <c r="S2307" s="61" t="str">
        <f t="shared" si="195"/>
        <v/>
      </c>
    </row>
    <row r="2308" spans="15:19">
      <c r="O2308" s="53" t="str">
        <f t="shared" si="194"/>
        <v>click</v>
      </c>
      <c r="S2308" s="61" t="str">
        <f t="shared" si="195"/>
        <v/>
      </c>
    </row>
    <row r="2309" spans="15:19">
      <c r="O2309" s="53" t="str">
        <f t="shared" si="194"/>
        <v>click</v>
      </c>
      <c r="S2309" s="61" t="str">
        <f t="shared" si="195"/>
        <v/>
      </c>
    </row>
    <row r="2310" spans="15:19">
      <c r="O2310" s="53" t="str">
        <f t="shared" si="194"/>
        <v>click</v>
      </c>
      <c r="S2310" s="61" t="str">
        <f t="shared" si="195"/>
        <v/>
      </c>
    </row>
    <row r="2311" spans="15:19">
      <c r="O2311" s="53" t="str">
        <f t="shared" si="194"/>
        <v>click</v>
      </c>
      <c r="S2311" s="61" t="str">
        <f t="shared" si="195"/>
        <v/>
      </c>
    </row>
    <row r="2312" spans="15:19">
      <c r="O2312" s="53" t="str">
        <f t="shared" si="194"/>
        <v>click</v>
      </c>
      <c r="S2312" s="61" t="str">
        <f t="shared" si="195"/>
        <v/>
      </c>
    </row>
    <row r="2313" spans="15:19">
      <c r="O2313" s="53" t="str">
        <f t="shared" si="194"/>
        <v>click</v>
      </c>
      <c r="S2313" s="61" t="str">
        <f t="shared" si="195"/>
        <v/>
      </c>
    </row>
    <row r="2314" spans="15:19">
      <c r="O2314" s="53" t="str">
        <f t="shared" si="194"/>
        <v>click</v>
      </c>
      <c r="S2314" s="61" t="str">
        <f t="shared" si="195"/>
        <v/>
      </c>
    </row>
    <row r="2315" spans="15:19">
      <c r="O2315" s="53" t="str">
        <f t="shared" si="194"/>
        <v>click</v>
      </c>
      <c r="S2315" s="61" t="str">
        <f t="shared" si="195"/>
        <v/>
      </c>
    </row>
    <row r="2316" spans="15:19">
      <c r="O2316" s="53" t="str">
        <f t="shared" si="194"/>
        <v>click</v>
      </c>
      <c r="S2316" s="61" t="str">
        <f t="shared" si="195"/>
        <v/>
      </c>
    </row>
    <row r="2317" spans="15:19">
      <c r="O2317" s="53" t="str">
        <f t="shared" si="194"/>
        <v>click</v>
      </c>
      <c r="S2317" s="61" t="str">
        <f t="shared" si="195"/>
        <v/>
      </c>
    </row>
    <row r="2318" spans="15:19">
      <c r="O2318" s="53" t="str">
        <f t="shared" si="194"/>
        <v>click</v>
      </c>
      <c r="S2318" s="61" t="str">
        <f t="shared" si="195"/>
        <v/>
      </c>
    </row>
    <row r="2319" spans="15:19">
      <c r="O2319" s="53" t="str">
        <f t="shared" si="194"/>
        <v>click</v>
      </c>
      <c r="S2319" s="61" t="str">
        <f t="shared" si="195"/>
        <v/>
      </c>
    </row>
    <row r="2320" spans="15:19">
      <c r="O2320" s="53" t="str">
        <f t="shared" si="194"/>
        <v>click</v>
      </c>
      <c r="S2320" s="61" t="str">
        <f t="shared" si="195"/>
        <v/>
      </c>
    </row>
    <row r="2321" spans="15:19">
      <c r="O2321" s="53" t="str">
        <f t="shared" si="194"/>
        <v>click</v>
      </c>
      <c r="S2321" s="61" t="str">
        <f t="shared" si="195"/>
        <v/>
      </c>
    </row>
    <row r="2322" spans="15:19">
      <c r="O2322" s="53" t="str">
        <f t="shared" si="194"/>
        <v>click</v>
      </c>
      <c r="S2322" s="61" t="str">
        <f t="shared" si="195"/>
        <v/>
      </c>
    </row>
    <row r="2323" spans="15:19">
      <c r="O2323" s="53" t="str">
        <f t="shared" si="194"/>
        <v>click</v>
      </c>
      <c r="S2323" s="61" t="str">
        <f t="shared" si="195"/>
        <v/>
      </c>
    </row>
    <row r="2324" spans="15:19">
      <c r="O2324" s="53" t="str">
        <f t="shared" si="194"/>
        <v>click</v>
      </c>
      <c r="S2324" s="61" t="str">
        <f t="shared" si="195"/>
        <v/>
      </c>
    </row>
    <row r="2325" spans="15:19">
      <c r="O2325" s="53" t="str">
        <f t="shared" si="194"/>
        <v>click</v>
      </c>
      <c r="S2325" s="61" t="str">
        <f t="shared" si="195"/>
        <v/>
      </c>
    </row>
    <row r="2326" spans="15:19">
      <c r="O2326" s="53" t="str">
        <f t="shared" si="194"/>
        <v>click</v>
      </c>
      <c r="S2326" s="61" t="str">
        <f t="shared" si="195"/>
        <v/>
      </c>
    </row>
    <row r="2327" spans="15:19">
      <c r="O2327" s="53" t="str">
        <f t="shared" si="194"/>
        <v>click</v>
      </c>
      <c r="S2327" s="61" t="str">
        <f t="shared" si="195"/>
        <v/>
      </c>
    </row>
    <row r="2328" spans="15:19">
      <c r="O2328" s="53" t="str">
        <f t="shared" si="194"/>
        <v>click</v>
      </c>
      <c r="S2328" s="61" t="str">
        <f t="shared" si="195"/>
        <v/>
      </c>
    </row>
    <row r="2329" spans="15:19">
      <c r="O2329" s="53" t="str">
        <f t="shared" si="194"/>
        <v>click</v>
      </c>
      <c r="S2329" s="61" t="str">
        <f t="shared" si="195"/>
        <v/>
      </c>
    </row>
    <row r="2330" spans="15:19">
      <c r="O2330" s="53" t="str">
        <f t="shared" si="194"/>
        <v>click</v>
      </c>
      <c r="S2330" s="61" t="str">
        <f t="shared" si="195"/>
        <v/>
      </c>
    </row>
    <row r="2331" spans="15:19">
      <c r="O2331" s="53" t="str">
        <f t="shared" si="194"/>
        <v>click</v>
      </c>
      <c r="S2331" s="61" t="str">
        <f t="shared" si="195"/>
        <v/>
      </c>
    </row>
    <row r="2332" spans="15:19">
      <c r="O2332" s="53" t="str">
        <f t="shared" si="194"/>
        <v>click</v>
      </c>
      <c r="S2332" s="61" t="str">
        <f t="shared" si="195"/>
        <v/>
      </c>
    </row>
    <row r="2333" spans="15:19">
      <c r="O2333" s="53" t="str">
        <f t="shared" ref="O2333:O2396" si="196">IF(D2333="input","fill",IF(I2333&lt;&gt;"","innerText",IF(J2333="Y",$T$110,"click")))</f>
        <v>click</v>
      </c>
      <c r="S2333" s="61" t="str">
        <f t="shared" si="195"/>
        <v/>
      </c>
    </row>
    <row r="2334" spans="15:19">
      <c r="O2334" s="53" t="str">
        <f t="shared" si="196"/>
        <v>click</v>
      </c>
      <c r="S2334" s="61" t="str">
        <f t="shared" ref="S2334:S2397" si="197">IF(O2334="innerText",I2334&amp;"="&amp;IF(C2334="Y",IF(J2334&lt;&gt;"Y",$S$9&amp;$R$10&amp;"."&amp;E2334&amp;")."&amp;IF(OR(O2334="click",O2334="innerText"),O2334&amp;"();",O2334&amp;"("&amp;$Q$9&amp;"."&amp;E2334&amp;");"),$S$110&amp;$R$10&amp;"."&amp;E2334&amp;")."&amp;IF(O2334="click",O2334&amp;"();",O2334&amp;"("&amp;"'"&amp;K2334&amp;"'"&amp;");")),""),IF(C2334="Y",IF(J2334&lt;&gt;"Y",$S$9&amp;$R$10&amp;"."&amp;E2334&amp;")."&amp;IF(OR(O2334="click",O2334="innerText"),O2334&amp;"();",O2334&amp;"("&amp;$Q$9&amp;"."&amp;E2334&amp;");"),$S$110&amp;$R$10&amp;"."&amp;E2334&amp;")."&amp;IF(O2334="click",O2334&amp;"();",O2334&amp;"("&amp;"'"&amp;K2334&amp;"'"&amp;");")),""))</f>
        <v/>
      </c>
    </row>
    <row r="2335" spans="15:19">
      <c r="O2335" s="53" t="str">
        <f t="shared" si="196"/>
        <v>click</v>
      </c>
      <c r="S2335" s="61" t="str">
        <f t="shared" si="197"/>
        <v/>
      </c>
    </row>
    <row r="2336" spans="15:19">
      <c r="O2336" s="53" t="str">
        <f t="shared" si="196"/>
        <v>click</v>
      </c>
      <c r="S2336" s="61" t="str">
        <f t="shared" si="197"/>
        <v/>
      </c>
    </row>
    <row r="2337" spans="15:19">
      <c r="O2337" s="53" t="str">
        <f t="shared" si="196"/>
        <v>click</v>
      </c>
      <c r="S2337" s="61" t="str">
        <f t="shared" si="197"/>
        <v/>
      </c>
    </row>
    <row r="2338" spans="15:19">
      <c r="O2338" s="53" t="str">
        <f t="shared" si="196"/>
        <v>click</v>
      </c>
      <c r="S2338" s="61" t="str">
        <f t="shared" si="197"/>
        <v/>
      </c>
    </row>
    <row r="2339" spans="15:19">
      <c r="O2339" s="53" t="str">
        <f t="shared" si="196"/>
        <v>click</v>
      </c>
      <c r="S2339" s="61" t="str">
        <f t="shared" si="197"/>
        <v/>
      </c>
    </row>
    <row r="2340" spans="15:19">
      <c r="O2340" s="53" t="str">
        <f t="shared" si="196"/>
        <v>click</v>
      </c>
      <c r="S2340" s="61" t="str">
        <f t="shared" si="197"/>
        <v/>
      </c>
    </row>
    <row r="2341" spans="15:19">
      <c r="O2341" s="53" t="str">
        <f t="shared" si="196"/>
        <v>click</v>
      </c>
      <c r="S2341" s="61" t="str">
        <f t="shared" si="197"/>
        <v/>
      </c>
    </row>
    <row r="2342" spans="15:19">
      <c r="O2342" s="53" t="str">
        <f t="shared" si="196"/>
        <v>click</v>
      </c>
      <c r="S2342" s="61" t="str">
        <f t="shared" si="197"/>
        <v/>
      </c>
    </row>
    <row r="2343" spans="15:19">
      <c r="O2343" s="53" t="str">
        <f t="shared" si="196"/>
        <v>click</v>
      </c>
      <c r="S2343" s="61" t="str">
        <f t="shared" si="197"/>
        <v/>
      </c>
    </row>
    <row r="2344" spans="15:19">
      <c r="O2344" s="53" t="str">
        <f t="shared" si="196"/>
        <v>click</v>
      </c>
      <c r="S2344" s="61" t="str">
        <f t="shared" si="197"/>
        <v/>
      </c>
    </row>
    <row r="2345" spans="15:19">
      <c r="O2345" s="53" t="str">
        <f t="shared" si="196"/>
        <v>click</v>
      </c>
      <c r="S2345" s="61" t="str">
        <f t="shared" si="197"/>
        <v/>
      </c>
    </row>
    <row r="2346" spans="15:19">
      <c r="O2346" s="53" t="str">
        <f t="shared" si="196"/>
        <v>click</v>
      </c>
      <c r="S2346" s="61" t="str">
        <f t="shared" si="197"/>
        <v/>
      </c>
    </row>
    <row r="2347" spans="15:19">
      <c r="O2347" s="53" t="str">
        <f t="shared" si="196"/>
        <v>click</v>
      </c>
      <c r="S2347" s="61" t="str">
        <f t="shared" si="197"/>
        <v/>
      </c>
    </row>
    <row r="2348" spans="15:19">
      <c r="O2348" s="53" t="str">
        <f t="shared" si="196"/>
        <v>click</v>
      </c>
      <c r="S2348" s="61" t="str">
        <f t="shared" si="197"/>
        <v/>
      </c>
    </row>
    <row r="2349" spans="15:19">
      <c r="O2349" s="53" t="str">
        <f t="shared" si="196"/>
        <v>click</v>
      </c>
      <c r="S2349" s="61" t="str">
        <f t="shared" si="197"/>
        <v/>
      </c>
    </row>
    <row r="2350" spans="15:19">
      <c r="O2350" s="53" t="str">
        <f t="shared" si="196"/>
        <v>click</v>
      </c>
      <c r="S2350" s="61" t="str">
        <f t="shared" si="197"/>
        <v/>
      </c>
    </row>
    <row r="2351" spans="15:19">
      <c r="O2351" s="53" t="str">
        <f t="shared" si="196"/>
        <v>click</v>
      </c>
      <c r="S2351" s="61" t="str">
        <f t="shared" si="197"/>
        <v/>
      </c>
    </row>
    <row r="2352" spans="15:19">
      <c r="O2352" s="53" t="str">
        <f t="shared" si="196"/>
        <v>click</v>
      </c>
      <c r="S2352" s="61" t="str">
        <f t="shared" si="197"/>
        <v/>
      </c>
    </row>
    <row r="2353" spans="15:19">
      <c r="O2353" s="53" t="str">
        <f t="shared" si="196"/>
        <v>click</v>
      </c>
      <c r="S2353" s="61" t="str">
        <f t="shared" si="197"/>
        <v/>
      </c>
    </row>
    <row r="2354" spans="15:19">
      <c r="O2354" s="53" t="str">
        <f t="shared" si="196"/>
        <v>click</v>
      </c>
      <c r="S2354" s="61" t="str">
        <f t="shared" si="197"/>
        <v/>
      </c>
    </row>
    <row r="2355" spans="15:19">
      <c r="O2355" s="53" t="str">
        <f t="shared" si="196"/>
        <v>click</v>
      </c>
      <c r="S2355" s="61" t="str">
        <f t="shared" si="197"/>
        <v/>
      </c>
    </row>
    <row r="2356" spans="15:19">
      <c r="O2356" s="53" t="str">
        <f t="shared" si="196"/>
        <v>click</v>
      </c>
      <c r="S2356" s="61" t="str">
        <f t="shared" si="197"/>
        <v/>
      </c>
    </row>
    <row r="2357" spans="15:19">
      <c r="O2357" s="53" t="str">
        <f t="shared" si="196"/>
        <v>click</v>
      </c>
      <c r="S2357" s="61" t="str">
        <f t="shared" si="197"/>
        <v/>
      </c>
    </row>
    <row r="2358" spans="15:19">
      <c r="O2358" s="53" t="str">
        <f t="shared" si="196"/>
        <v>click</v>
      </c>
      <c r="S2358" s="61" t="str">
        <f t="shared" si="197"/>
        <v/>
      </c>
    </row>
    <row r="2359" spans="15:19">
      <c r="O2359" s="53" t="str">
        <f t="shared" si="196"/>
        <v>click</v>
      </c>
      <c r="S2359" s="61" t="str">
        <f t="shared" si="197"/>
        <v/>
      </c>
    </row>
    <row r="2360" spans="15:19">
      <c r="O2360" s="53" t="str">
        <f t="shared" si="196"/>
        <v>click</v>
      </c>
      <c r="S2360" s="61" t="str">
        <f t="shared" si="197"/>
        <v/>
      </c>
    </row>
    <row r="2361" spans="15:19">
      <c r="O2361" s="53" t="str">
        <f t="shared" si="196"/>
        <v>click</v>
      </c>
      <c r="S2361" s="61" t="str">
        <f t="shared" si="197"/>
        <v/>
      </c>
    </row>
    <row r="2362" spans="15:19">
      <c r="O2362" s="53" t="str">
        <f t="shared" si="196"/>
        <v>click</v>
      </c>
      <c r="S2362" s="61" t="str">
        <f t="shared" si="197"/>
        <v/>
      </c>
    </row>
    <row r="2363" spans="15:19">
      <c r="O2363" s="53" t="str">
        <f t="shared" si="196"/>
        <v>click</v>
      </c>
      <c r="S2363" s="61" t="str">
        <f t="shared" si="197"/>
        <v/>
      </c>
    </row>
    <row r="2364" spans="15:19">
      <c r="O2364" s="53" t="str">
        <f t="shared" si="196"/>
        <v>click</v>
      </c>
      <c r="S2364" s="61" t="str">
        <f t="shared" si="197"/>
        <v/>
      </c>
    </row>
    <row r="2365" spans="15:19">
      <c r="O2365" s="53" t="str">
        <f t="shared" si="196"/>
        <v>click</v>
      </c>
      <c r="S2365" s="61" t="str">
        <f t="shared" si="197"/>
        <v/>
      </c>
    </row>
    <row r="2366" spans="15:19">
      <c r="O2366" s="53" t="str">
        <f t="shared" si="196"/>
        <v>click</v>
      </c>
      <c r="S2366" s="61" t="str">
        <f t="shared" si="197"/>
        <v/>
      </c>
    </row>
    <row r="2367" spans="15:19">
      <c r="O2367" s="53" t="str">
        <f t="shared" si="196"/>
        <v>click</v>
      </c>
      <c r="S2367" s="61" t="str">
        <f t="shared" si="197"/>
        <v/>
      </c>
    </row>
    <row r="2368" spans="15:19">
      <c r="O2368" s="53" t="str">
        <f t="shared" si="196"/>
        <v>click</v>
      </c>
      <c r="S2368" s="61" t="str">
        <f t="shared" si="197"/>
        <v/>
      </c>
    </row>
    <row r="2369" spans="15:19">
      <c r="O2369" s="53" t="str">
        <f t="shared" si="196"/>
        <v>click</v>
      </c>
      <c r="S2369" s="61" t="str">
        <f t="shared" si="197"/>
        <v/>
      </c>
    </row>
    <row r="2370" spans="15:19">
      <c r="O2370" s="53" t="str">
        <f t="shared" si="196"/>
        <v>click</v>
      </c>
      <c r="S2370" s="61" t="str">
        <f t="shared" si="197"/>
        <v/>
      </c>
    </row>
    <row r="2371" spans="15:19">
      <c r="O2371" s="53" t="str">
        <f t="shared" si="196"/>
        <v>click</v>
      </c>
      <c r="S2371" s="61" t="str">
        <f t="shared" si="197"/>
        <v/>
      </c>
    </row>
    <row r="2372" spans="15:19">
      <c r="O2372" s="53" t="str">
        <f t="shared" si="196"/>
        <v>click</v>
      </c>
      <c r="S2372" s="61" t="str">
        <f t="shared" si="197"/>
        <v/>
      </c>
    </row>
    <row r="2373" spans="15:19">
      <c r="O2373" s="53" t="str">
        <f t="shared" si="196"/>
        <v>click</v>
      </c>
      <c r="S2373" s="61" t="str">
        <f t="shared" si="197"/>
        <v/>
      </c>
    </row>
    <row r="2374" spans="15:19">
      <c r="O2374" s="53" t="str">
        <f t="shared" si="196"/>
        <v>click</v>
      </c>
      <c r="S2374" s="61" t="str">
        <f t="shared" si="197"/>
        <v/>
      </c>
    </row>
    <row r="2375" spans="15:19">
      <c r="O2375" s="53" t="str">
        <f t="shared" si="196"/>
        <v>click</v>
      </c>
      <c r="S2375" s="61" t="str">
        <f t="shared" si="197"/>
        <v/>
      </c>
    </row>
    <row r="2376" spans="15:19">
      <c r="O2376" s="53" t="str">
        <f t="shared" si="196"/>
        <v>click</v>
      </c>
      <c r="S2376" s="61" t="str">
        <f t="shared" si="197"/>
        <v/>
      </c>
    </row>
    <row r="2377" spans="15:19">
      <c r="O2377" s="53" t="str">
        <f t="shared" si="196"/>
        <v>click</v>
      </c>
      <c r="S2377" s="61" t="str">
        <f t="shared" si="197"/>
        <v/>
      </c>
    </row>
    <row r="2378" spans="15:19">
      <c r="O2378" s="53" t="str">
        <f t="shared" si="196"/>
        <v>click</v>
      </c>
      <c r="S2378" s="61" t="str">
        <f t="shared" si="197"/>
        <v/>
      </c>
    </row>
    <row r="2379" spans="15:19">
      <c r="O2379" s="53" t="str">
        <f t="shared" si="196"/>
        <v>click</v>
      </c>
      <c r="S2379" s="61" t="str">
        <f t="shared" si="197"/>
        <v/>
      </c>
    </row>
    <row r="2380" spans="15:19">
      <c r="O2380" s="53" t="str">
        <f t="shared" si="196"/>
        <v>click</v>
      </c>
      <c r="S2380" s="61" t="str">
        <f t="shared" si="197"/>
        <v/>
      </c>
    </row>
    <row r="2381" spans="15:19">
      <c r="O2381" s="53" t="str">
        <f t="shared" si="196"/>
        <v>click</v>
      </c>
      <c r="S2381" s="61" t="str">
        <f t="shared" si="197"/>
        <v/>
      </c>
    </row>
    <row r="2382" spans="15:19">
      <c r="O2382" s="53" t="str">
        <f t="shared" si="196"/>
        <v>click</v>
      </c>
      <c r="S2382" s="61" t="str">
        <f t="shared" si="197"/>
        <v/>
      </c>
    </row>
    <row r="2383" spans="15:19">
      <c r="O2383" s="53" t="str">
        <f t="shared" si="196"/>
        <v>click</v>
      </c>
      <c r="S2383" s="61" t="str">
        <f t="shared" si="197"/>
        <v/>
      </c>
    </row>
    <row r="2384" spans="15:19">
      <c r="O2384" s="53" t="str">
        <f t="shared" si="196"/>
        <v>click</v>
      </c>
      <c r="S2384" s="61" t="str">
        <f t="shared" si="197"/>
        <v/>
      </c>
    </row>
    <row r="2385" spans="15:19">
      <c r="O2385" s="53" t="str">
        <f t="shared" si="196"/>
        <v>click</v>
      </c>
      <c r="S2385" s="61" t="str">
        <f t="shared" si="197"/>
        <v/>
      </c>
    </row>
    <row r="2386" spans="15:19">
      <c r="O2386" s="53" t="str">
        <f t="shared" si="196"/>
        <v>click</v>
      </c>
      <c r="S2386" s="61" t="str">
        <f t="shared" si="197"/>
        <v/>
      </c>
    </row>
    <row r="2387" spans="15:19">
      <c r="O2387" s="53" t="str">
        <f t="shared" si="196"/>
        <v>click</v>
      </c>
      <c r="S2387" s="61" t="str">
        <f t="shared" si="197"/>
        <v/>
      </c>
    </row>
    <row r="2388" spans="15:19">
      <c r="O2388" s="53" t="str">
        <f t="shared" si="196"/>
        <v>click</v>
      </c>
      <c r="S2388" s="61" t="str">
        <f t="shared" si="197"/>
        <v/>
      </c>
    </row>
    <row r="2389" spans="15:19">
      <c r="O2389" s="53" t="str">
        <f t="shared" si="196"/>
        <v>click</v>
      </c>
      <c r="S2389" s="61" t="str">
        <f t="shared" si="197"/>
        <v/>
      </c>
    </row>
    <row r="2390" spans="15:19">
      <c r="O2390" s="53" t="str">
        <f t="shared" si="196"/>
        <v>click</v>
      </c>
      <c r="S2390" s="61" t="str">
        <f t="shared" si="197"/>
        <v/>
      </c>
    </row>
    <row r="2391" spans="15:19">
      <c r="O2391" s="53" t="str">
        <f t="shared" si="196"/>
        <v>click</v>
      </c>
      <c r="S2391" s="61" t="str">
        <f t="shared" si="197"/>
        <v/>
      </c>
    </row>
    <row r="2392" spans="15:19">
      <c r="O2392" s="53" t="str">
        <f t="shared" si="196"/>
        <v>click</v>
      </c>
      <c r="S2392" s="61" t="str">
        <f t="shared" si="197"/>
        <v/>
      </c>
    </row>
    <row r="2393" spans="15:19">
      <c r="O2393" s="53" t="str">
        <f t="shared" si="196"/>
        <v>click</v>
      </c>
      <c r="S2393" s="61" t="str">
        <f t="shared" si="197"/>
        <v/>
      </c>
    </row>
    <row r="2394" spans="15:19">
      <c r="O2394" s="53" t="str">
        <f t="shared" si="196"/>
        <v>click</v>
      </c>
      <c r="S2394" s="61" t="str">
        <f t="shared" si="197"/>
        <v/>
      </c>
    </row>
    <row r="2395" spans="15:19">
      <c r="O2395" s="53" t="str">
        <f t="shared" si="196"/>
        <v>click</v>
      </c>
      <c r="S2395" s="61" t="str">
        <f t="shared" si="197"/>
        <v/>
      </c>
    </row>
    <row r="2396" spans="15:19">
      <c r="O2396" s="53" t="str">
        <f t="shared" si="196"/>
        <v>click</v>
      </c>
      <c r="S2396" s="61" t="str">
        <f t="shared" si="197"/>
        <v/>
      </c>
    </row>
    <row r="2397" spans="15:19">
      <c r="O2397" s="53" t="str">
        <f t="shared" ref="O2397:O2457" si="198">IF(D2397="input","fill",IF(I2397&lt;&gt;"","innerText",IF(J2397="Y",$T$110,"click")))</f>
        <v>click</v>
      </c>
      <c r="S2397" s="61" t="str">
        <f t="shared" si="197"/>
        <v/>
      </c>
    </row>
    <row r="2398" spans="15:19">
      <c r="O2398" s="53" t="str">
        <f t="shared" si="198"/>
        <v>click</v>
      </c>
      <c r="S2398" s="61" t="str">
        <f t="shared" ref="S2398:S2461" si="199">IF(O2398="innerText",I2398&amp;"="&amp;IF(C2398="Y",IF(J2398&lt;&gt;"Y",$S$9&amp;$R$10&amp;"."&amp;E2398&amp;")."&amp;IF(OR(O2398="click",O2398="innerText"),O2398&amp;"();",O2398&amp;"("&amp;$Q$9&amp;"."&amp;E2398&amp;");"),$S$110&amp;$R$10&amp;"."&amp;E2398&amp;")."&amp;IF(O2398="click",O2398&amp;"();",O2398&amp;"("&amp;"'"&amp;K2398&amp;"'"&amp;");")),""),IF(C2398="Y",IF(J2398&lt;&gt;"Y",$S$9&amp;$R$10&amp;"."&amp;E2398&amp;")."&amp;IF(OR(O2398="click",O2398="innerText"),O2398&amp;"();",O2398&amp;"("&amp;$Q$9&amp;"."&amp;E2398&amp;");"),$S$110&amp;$R$10&amp;"."&amp;E2398&amp;")."&amp;IF(O2398="click",O2398&amp;"();",O2398&amp;"("&amp;"'"&amp;K2398&amp;"'"&amp;");")),""))</f>
        <v/>
      </c>
    </row>
    <row r="2399" spans="15:19">
      <c r="O2399" s="53" t="str">
        <f t="shared" si="198"/>
        <v>click</v>
      </c>
      <c r="S2399" s="61" t="str">
        <f t="shared" si="199"/>
        <v/>
      </c>
    </row>
    <row r="2400" spans="15:19">
      <c r="O2400" s="53" t="str">
        <f t="shared" si="198"/>
        <v>click</v>
      </c>
      <c r="S2400" s="61" t="str">
        <f t="shared" si="199"/>
        <v/>
      </c>
    </row>
    <row r="2401" spans="15:19">
      <c r="O2401" s="53" t="str">
        <f t="shared" si="198"/>
        <v>click</v>
      </c>
      <c r="S2401" s="61" t="str">
        <f t="shared" si="199"/>
        <v/>
      </c>
    </row>
    <row r="2402" spans="15:19">
      <c r="O2402" s="53" t="str">
        <f t="shared" si="198"/>
        <v>click</v>
      </c>
      <c r="S2402" s="61" t="str">
        <f t="shared" si="199"/>
        <v/>
      </c>
    </row>
    <row r="2403" spans="15:19">
      <c r="O2403" s="53" t="str">
        <f t="shared" si="198"/>
        <v>click</v>
      </c>
      <c r="S2403" s="61" t="str">
        <f t="shared" si="199"/>
        <v/>
      </c>
    </row>
    <row r="2404" spans="15:19">
      <c r="O2404" s="53" t="str">
        <f t="shared" si="198"/>
        <v>click</v>
      </c>
      <c r="S2404" s="61" t="str">
        <f t="shared" si="199"/>
        <v/>
      </c>
    </row>
    <row r="2405" spans="15:19">
      <c r="O2405" s="53" t="str">
        <f t="shared" si="198"/>
        <v>click</v>
      </c>
      <c r="S2405" s="61" t="str">
        <f t="shared" si="199"/>
        <v/>
      </c>
    </row>
    <row r="2406" spans="15:19">
      <c r="O2406" s="53" t="str">
        <f t="shared" si="198"/>
        <v>click</v>
      </c>
      <c r="S2406" s="61" t="str">
        <f t="shared" si="199"/>
        <v/>
      </c>
    </row>
    <row r="2407" spans="15:19">
      <c r="O2407" s="53" t="str">
        <f t="shared" si="198"/>
        <v>click</v>
      </c>
      <c r="S2407" s="61" t="str">
        <f t="shared" si="199"/>
        <v/>
      </c>
    </row>
    <row r="2408" spans="15:19">
      <c r="O2408" s="53" t="str">
        <f t="shared" si="198"/>
        <v>click</v>
      </c>
      <c r="S2408" s="61" t="str">
        <f t="shared" si="199"/>
        <v/>
      </c>
    </row>
    <row r="2409" spans="15:19">
      <c r="O2409" s="53" t="str">
        <f t="shared" si="198"/>
        <v>click</v>
      </c>
      <c r="S2409" s="61" t="str">
        <f t="shared" si="199"/>
        <v/>
      </c>
    </row>
    <row r="2410" spans="15:19">
      <c r="O2410" s="53" t="str">
        <f t="shared" si="198"/>
        <v>click</v>
      </c>
      <c r="S2410" s="61" t="str">
        <f t="shared" si="199"/>
        <v/>
      </c>
    </row>
    <row r="2411" spans="15:19">
      <c r="O2411" s="53" t="str">
        <f t="shared" si="198"/>
        <v>click</v>
      </c>
      <c r="S2411" s="61" t="str">
        <f t="shared" si="199"/>
        <v/>
      </c>
    </row>
    <row r="2412" spans="15:19">
      <c r="O2412" s="53" t="str">
        <f t="shared" si="198"/>
        <v>click</v>
      </c>
      <c r="S2412" s="61" t="str">
        <f t="shared" si="199"/>
        <v/>
      </c>
    </row>
    <row r="2413" spans="15:19">
      <c r="O2413" s="53" t="str">
        <f t="shared" si="198"/>
        <v>click</v>
      </c>
      <c r="S2413" s="61" t="str">
        <f t="shared" si="199"/>
        <v/>
      </c>
    </row>
    <row r="2414" spans="15:19">
      <c r="O2414" s="53" t="str">
        <f t="shared" si="198"/>
        <v>click</v>
      </c>
      <c r="S2414" s="61" t="str">
        <f t="shared" si="199"/>
        <v/>
      </c>
    </row>
    <row r="2415" spans="15:19">
      <c r="O2415" s="53" t="str">
        <f t="shared" si="198"/>
        <v>click</v>
      </c>
      <c r="S2415" s="61" t="str">
        <f t="shared" si="199"/>
        <v/>
      </c>
    </row>
    <row r="2416" spans="15:19">
      <c r="O2416" s="53" t="str">
        <f t="shared" si="198"/>
        <v>click</v>
      </c>
      <c r="S2416" s="61" t="str">
        <f t="shared" si="199"/>
        <v/>
      </c>
    </row>
    <row r="2417" spans="15:19">
      <c r="O2417" s="53" t="str">
        <f t="shared" si="198"/>
        <v>click</v>
      </c>
      <c r="S2417" s="61" t="str">
        <f t="shared" si="199"/>
        <v/>
      </c>
    </row>
    <row r="2418" spans="15:19">
      <c r="O2418" s="53" t="str">
        <f t="shared" si="198"/>
        <v>click</v>
      </c>
      <c r="S2418" s="61" t="str">
        <f t="shared" si="199"/>
        <v/>
      </c>
    </row>
    <row r="2419" spans="15:19">
      <c r="O2419" s="53" t="str">
        <f t="shared" si="198"/>
        <v>click</v>
      </c>
      <c r="S2419" s="61" t="str">
        <f t="shared" si="199"/>
        <v/>
      </c>
    </row>
    <row r="2420" spans="15:19">
      <c r="O2420" s="53" t="str">
        <f t="shared" si="198"/>
        <v>click</v>
      </c>
      <c r="S2420" s="61" t="str">
        <f t="shared" si="199"/>
        <v/>
      </c>
    </row>
    <row r="2421" spans="15:19">
      <c r="O2421" s="53" t="str">
        <f t="shared" si="198"/>
        <v>click</v>
      </c>
      <c r="S2421" s="61" t="str">
        <f t="shared" si="199"/>
        <v/>
      </c>
    </row>
    <row r="2422" spans="15:19">
      <c r="O2422" s="53" t="str">
        <f t="shared" si="198"/>
        <v>click</v>
      </c>
      <c r="S2422" s="61" t="str">
        <f t="shared" si="199"/>
        <v/>
      </c>
    </row>
    <row r="2423" spans="15:19">
      <c r="O2423" s="53" t="str">
        <f t="shared" si="198"/>
        <v>click</v>
      </c>
      <c r="S2423" s="61" t="str">
        <f t="shared" si="199"/>
        <v/>
      </c>
    </row>
    <row r="2424" spans="15:19">
      <c r="O2424" s="53" t="str">
        <f t="shared" si="198"/>
        <v>click</v>
      </c>
      <c r="S2424" s="61" t="str">
        <f t="shared" si="199"/>
        <v/>
      </c>
    </row>
    <row r="2425" spans="15:19">
      <c r="O2425" s="53" t="str">
        <f t="shared" si="198"/>
        <v>click</v>
      </c>
      <c r="S2425" s="61" t="str">
        <f t="shared" si="199"/>
        <v/>
      </c>
    </row>
    <row r="2426" spans="15:19">
      <c r="O2426" s="53" t="str">
        <f t="shared" si="198"/>
        <v>click</v>
      </c>
      <c r="S2426" s="61" t="str">
        <f t="shared" si="199"/>
        <v/>
      </c>
    </row>
    <row r="2427" spans="15:19">
      <c r="O2427" s="53" t="str">
        <f t="shared" si="198"/>
        <v>click</v>
      </c>
      <c r="S2427" s="61" t="str">
        <f t="shared" si="199"/>
        <v/>
      </c>
    </row>
    <row r="2428" spans="15:19">
      <c r="O2428" s="53" t="str">
        <f t="shared" si="198"/>
        <v>click</v>
      </c>
      <c r="S2428" s="61" t="str">
        <f t="shared" si="199"/>
        <v/>
      </c>
    </row>
    <row r="2429" spans="15:19">
      <c r="O2429" s="53" t="str">
        <f t="shared" si="198"/>
        <v>click</v>
      </c>
      <c r="S2429" s="61" t="str">
        <f t="shared" si="199"/>
        <v/>
      </c>
    </row>
    <row r="2430" spans="15:19">
      <c r="O2430" s="53" t="str">
        <f t="shared" si="198"/>
        <v>click</v>
      </c>
      <c r="S2430" s="61" t="str">
        <f t="shared" si="199"/>
        <v/>
      </c>
    </row>
    <row r="2431" spans="15:19">
      <c r="O2431" s="53" t="str">
        <f t="shared" si="198"/>
        <v>click</v>
      </c>
      <c r="S2431" s="61" t="str">
        <f t="shared" si="199"/>
        <v/>
      </c>
    </row>
    <row r="2432" spans="15:19">
      <c r="O2432" s="53" t="str">
        <f t="shared" si="198"/>
        <v>click</v>
      </c>
      <c r="S2432" s="61" t="str">
        <f t="shared" si="199"/>
        <v/>
      </c>
    </row>
    <row r="2433" spans="15:19">
      <c r="O2433" s="53" t="str">
        <f t="shared" si="198"/>
        <v>click</v>
      </c>
      <c r="S2433" s="61" t="str">
        <f t="shared" si="199"/>
        <v/>
      </c>
    </row>
    <row r="2434" spans="15:19">
      <c r="O2434" s="53" t="str">
        <f t="shared" si="198"/>
        <v>click</v>
      </c>
      <c r="S2434" s="61" t="str">
        <f t="shared" si="199"/>
        <v/>
      </c>
    </row>
    <row r="2435" spans="15:19">
      <c r="O2435" s="53" t="str">
        <f t="shared" si="198"/>
        <v>click</v>
      </c>
      <c r="S2435" s="61" t="str">
        <f t="shared" si="199"/>
        <v/>
      </c>
    </row>
    <row r="2436" spans="15:19">
      <c r="O2436" s="53" t="str">
        <f t="shared" si="198"/>
        <v>click</v>
      </c>
      <c r="S2436" s="61" t="str">
        <f t="shared" si="199"/>
        <v/>
      </c>
    </row>
    <row r="2437" spans="15:19">
      <c r="O2437" s="53" t="str">
        <f t="shared" si="198"/>
        <v>click</v>
      </c>
      <c r="S2437" s="61" t="str">
        <f t="shared" si="199"/>
        <v/>
      </c>
    </row>
    <row r="2438" spans="15:19">
      <c r="O2438" s="53" t="str">
        <f t="shared" si="198"/>
        <v>click</v>
      </c>
      <c r="S2438" s="61" t="str">
        <f t="shared" si="199"/>
        <v/>
      </c>
    </row>
    <row r="2439" spans="15:19">
      <c r="O2439" s="53" t="str">
        <f t="shared" si="198"/>
        <v>click</v>
      </c>
      <c r="S2439" s="61" t="str">
        <f t="shared" si="199"/>
        <v/>
      </c>
    </row>
    <row r="2440" spans="15:19">
      <c r="O2440" s="53" t="str">
        <f t="shared" si="198"/>
        <v>click</v>
      </c>
      <c r="S2440" s="61" t="str">
        <f t="shared" si="199"/>
        <v/>
      </c>
    </row>
    <row r="2441" spans="15:19">
      <c r="O2441" s="53" t="str">
        <f t="shared" si="198"/>
        <v>click</v>
      </c>
      <c r="S2441" s="61" t="str">
        <f t="shared" si="199"/>
        <v/>
      </c>
    </row>
    <row r="2442" spans="15:19">
      <c r="O2442" s="53" t="str">
        <f t="shared" si="198"/>
        <v>click</v>
      </c>
      <c r="S2442" s="61" t="str">
        <f t="shared" si="199"/>
        <v/>
      </c>
    </row>
    <row r="2443" spans="15:19">
      <c r="O2443" s="53" t="str">
        <f t="shared" si="198"/>
        <v>click</v>
      </c>
      <c r="S2443" s="61" t="str">
        <f t="shared" si="199"/>
        <v/>
      </c>
    </row>
    <row r="2444" spans="15:19">
      <c r="O2444" s="53" t="str">
        <f t="shared" si="198"/>
        <v>click</v>
      </c>
      <c r="S2444" s="61" t="str">
        <f t="shared" si="199"/>
        <v/>
      </c>
    </row>
    <row r="2445" spans="15:19">
      <c r="O2445" s="53" t="str">
        <f t="shared" si="198"/>
        <v>click</v>
      </c>
      <c r="S2445" s="61" t="str">
        <f t="shared" si="199"/>
        <v/>
      </c>
    </row>
    <row r="2446" spans="15:19">
      <c r="O2446" s="53" t="str">
        <f t="shared" si="198"/>
        <v>click</v>
      </c>
      <c r="S2446" s="61" t="str">
        <f t="shared" si="199"/>
        <v/>
      </c>
    </row>
    <row r="2447" spans="15:19">
      <c r="O2447" s="53" t="str">
        <f t="shared" si="198"/>
        <v>click</v>
      </c>
      <c r="S2447" s="61" t="str">
        <f t="shared" si="199"/>
        <v/>
      </c>
    </row>
    <row r="2448" spans="15:19">
      <c r="O2448" s="53" t="str">
        <f t="shared" si="198"/>
        <v>click</v>
      </c>
      <c r="S2448" s="61" t="str">
        <f t="shared" si="199"/>
        <v/>
      </c>
    </row>
    <row r="2449" spans="15:19">
      <c r="O2449" s="53" t="str">
        <f t="shared" si="198"/>
        <v>click</v>
      </c>
      <c r="S2449" s="61" t="str">
        <f t="shared" si="199"/>
        <v/>
      </c>
    </row>
    <row r="2450" spans="15:19">
      <c r="O2450" s="53" t="str">
        <f t="shared" si="198"/>
        <v>click</v>
      </c>
      <c r="S2450" s="61" t="str">
        <f t="shared" si="199"/>
        <v/>
      </c>
    </row>
    <row r="2451" spans="15:19">
      <c r="O2451" s="53" t="str">
        <f t="shared" si="198"/>
        <v>click</v>
      </c>
      <c r="S2451" s="61" t="str">
        <f t="shared" si="199"/>
        <v/>
      </c>
    </row>
    <row r="2452" spans="15:19">
      <c r="O2452" s="53" t="str">
        <f t="shared" si="198"/>
        <v>click</v>
      </c>
      <c r="S2452" s="61" t="str">
        <f t="shared" si="199"/>
        <v/>
      </c>
    </row>
    <row r="2453" spans="15:19">
      <c r="O2453" s="53" t="str">
        <f t="shared" si="198"/>
        <v>click</v>
      </c>
      <c r="S2453" s="61" t="str">
        <f t="shared" si="199"/>
        <v/>
      </c>
    </row>
    <row r="2454" spans="15:19">
      <c r="O2454" s="53" t="str">
        <f t="shared" si="198"/>
        <v>click</v>
      </c>
      <c r="S2454" s="61" t="str">
        <f t="shared" si="199"/>
        <v/>
      </c>
    </row>
    <row r="2455" spans="15:19">
      <c r="O2455" s="53" t="str">
        <f t="shared" si="198"/>
        <v>click</v>
      </c>
      <c r="S2455" s="61" t="str">
        <f t="shared" si="199"/>
        <v/>
      </c>
    </row>
    <row r="2456" spans="15:19">
      <c r="O2456" s="53" t="str">
        <f t="shared" si="198"/>
        <v>click</v>
      </c>
      <c r="S2456" s="61" t="str">
        <f t="shared" si="199"/>
        <v/>
      </c>
    </row>
    <row r="2457" spans="15:19">
      <c r="O2457" s="53" t="str">
        <f t="shared" si="198"/>
        <v>click</v>
      </c>
      <c r="S2457" s="61" t="str">
        <f t="shared" si="199"/>
        <v/>
      </c>
    </row>
    <row r="2458" spans="15:19">
      <c r="S2458" s="61" t="str">
        <f t="shared" si="199"/>
        <v/>
      </c>
    </row>
    <row r="2459" spans="15:19">
      <c r="S2459" s="61" t="str">
        <f t="shared" si="199"/>
        <v/>
      </c>
    </row>
    <row r="2460" spans="15:19">
      <c r="S2460" s="61" t="str">
        <f t="shared" si="199"/>
        <v/>
      </c>
    </row>
    <row r="2461" spans="15:19">
      <c r="S2461" s="61" t="str">
        <f t="shared" si="199"/>
        <v/>
      </c>
    </row>
    <row r="2462" spans="15:19">
      <c r="S2462" s="61" t="str">
        <f t="shared" ref="S2462:S2525" si="200">IF(O2462="innerText",I2462&amp;"="&amp;IF(C2462="Y",IF(J2462&lt;&gt;"Y",$S$9&amp;$R$10&amp;"."&amp;E2462&amp;")."&amp;IF(OR(O2462="click",O2462="innerText"),O2462&amp;"();",O2462&amp;"("&amp;$Q$9&amp;"."&amp;E2462&amp;");"),$S$110&amp;$R$10&amp;"."&amp;E2462&amp;")."&amp;IF(O2462="click",O2462&amp;"();",O2462&amp;"("&amp;"'"&amp;K2462&amp;"'"&amp;");")),""),IF(C2462="Y",IF(J2462&lt;&gt;"Y",$S$9&amp;$R$10&amp;"."&amp;E2462&amp;")."&amp;IF(OR(O2462="click",O2462="innerText"),O2462&amp;"();",O2462&amp;"("&amp;$Q$9&amp;"."&amp;E2462&amp;");"),$S$110&amp;$R$10&amp;"."&amp;E2462&amp;")."&amp;IF(O2462="click",O2462&amp;"();",O2462&amp;"("&amp;"'"&amp;K2462&amp;"'"&amp;");")),""))</f>
        <v/>
      </c>
    </row>
    <row r="2463" spans="15:19">
      <c r="S2463" s="61" t="str">
        <f t="shared" si="200"/>
        <v/>
      </c>
    </row>
    <row r="2464" spans="15:19">
      <c r="S2464" s="61" t="str">
        <f t="shared" si="200"/>
        <v/>
      </c>
    </row>
    <row r="2465" spans="19:19">
      <c r="S2465" s="61" t="str">
        <f t="shared" si="200"/>
        <v/>
      </c>
    </row>
    <row r="2466" spans="19:19">
      <c r="S2466" s="61" t="str">
        <f t="shared" si="200"/>
        <v/>
      </c>
    </row>
    <row r="2467" spans="19:19">
      <c r="S2467" s="61" t="str">
        <f t="shared" si="200"/>
        <v/>
      </c>
    </row>
    <row r="2468" spans="19:19">
      <c r="S2468" s="61" t="str">
        <f t="shared" si="200"/>
        <v/>
      </c>
    </row>
    <row r="2469" spans="19:19">
      <c r="S2469" s="61" t="str">
        <f t="shared" si="200"/>
        <v/>
      </c>
    </row>
    <row r="2470" spans="19:19">
      <c r="S2470" s="61" t="str">
        <f t="shared" si="200"/>
        <v/>
      </c>
    </row>
    <row r="2471" spans="19:19">
      <c r="S2471" s="61" t="str">
        <f t="shared" si="200"/>
        <v/>
      </c>
    </row>
    <row r="2472" spans="19:19">
      <c r="S2472" s="61" t="str">
        <f t="shared" si="200"/>
        <v/>
      </c>
    </row>
    <row r="2473" spans="19:19">
      <c r="S2473" s="61" t="str">
        <f t="shared" si="200"/>
        <v/>
      </c>
    </row>
    <row r="2474" spans="19:19">
      <c r="S2474" s="61" t="str">
        <f t="shared" si="200"/>
        <v/>
      </c>
    </row>
    <row r="2475" spans="19:19">
      <c r="S2475" s="61" t="str">
        <f t="shared" si="200"/>
        <v/>
      </c>
    </row>
    <row r="2476" spans="19:19">
      <c r="S2476" s="61" t="str">
        <f t="shared" si="200"/>
        <v/>
      </c>
    </row>
    <row r="2477" spans="19:19">
      <c r="S2477" s="61" t="str">
        <f t="shared" si="200"/>
        <v/>
      </c>
    </row>
    <row r="2478" spans="19:19">
      <c r="S2478" s="61" t="str">
        <f t="shared" si="200"/>
        <v/>
      </c>
    </row>
    <row r="2479" spans="19:19">
      <c r="S2479" s="61" t="str">
        <f t="shared" si="200"/>
        <v/>
      </c>
    </row>
    <row r="2480" spans="19:19">
      <c r="S2480" s="61" t="str">
        <f t="shared" si="200"/>
        <v/>
      </c>
    </row>
    <row r="2481" spans="19:19">
      <c r="S2481" s="61" t="str">
        <f t="shared" si="200"/>
        <v/>
      </c>
    </row>
    <row r="2482" spans="19:19">
      <c r="S2482" s="61" t="str">
        <f t="shared" si="200"/>
        <v/>
      </c>
    </row>
    <row r="2483" spans="19:19">
      <c r="S2483" s="61" t="str">
        <f t="shared" si="200"/>
        <v/>
      </c>
    </row>
    <row r="2484" spans="19:19">
      <c r="S2484" s="61" t="str">
        <f t="shared" si="200"/>
        <v/>
      </c>
    </row>
    <row r="2485" spans="19:19">
      <c r="S2485" s="61" t="str">
        <f t="shared" si="200"/>
        <v/>
      </c>
    </row>
    <row r="2486" spans="19:19">
      <c r="S2486" s="61" t="str">
        <f t="shared" si="200"/>
        <v/>
      </c>
    </row>
    <row r="2487" spans="19:19">
      <c r="S2487" s="61" t="str">
        <f t="shared" si="200"/>
        <v/>
      </c>
    </row>
    <row r="2488" spans="19:19">
      <c r="S2488" s="61" t="str">
        <f t="shared" si="200"/>
        <v/>
      </c>
    </row>
    <row r="2489" spans="19:19">
      <c r="S2489" s="61" t="str">
        <f t="shared" si="200"/>
        <v/>
      </c>
    </row>
    <row r="2490" spans="19:19">
      <c r="S2490" s="61" t="str">
        <f t="shared" si="200"/>
        <v/>
      </c>
    </row>
    <row r="2491" spans="19:19">
      <c r="S2491" s="61" t="str">
        <f t="shared" si="200"/>
        <v/>
      </c>
    </row>
    <row r="2492" spans="19:19">
      <c r="S2492" s="61" t="str">
        <f t="shared" si="200"/>
        <v/>
      </c>
    </row>
    <row r="2493" spans="19:19">
      <c r="S2493" s="61" t="str">
        <f t="shared" si="200"/>
        <v/>
      </c>
    </row>
    <row r="2494" spans="19:19">
      <c r="S2494" s="61" t="str">
        <f t="shared" si="200"/>
        <v/>
      </c>
    </row>
    <row r="2495" spans="19:19">
      <c r="S2495" s="61" t="str">
        <f t="shared" si="200"/>
        <v/>
      </c>
    </row>
    <row r="2496" spans="19:19">
      <c r="S2496" s="61" t="str">
        <f t="shared" si="200"/>
        <v/>
      </c>
    </row>
    <row r="2497" spans="19:19">
      <c r="S2497" s="61" t="str">
        <f t="shared" si="200"/>
        <v/>
      </c>
    </row>
    <row r="2498" spans="19:19">
      <c r="S2498" s="61" t="str">
        <f t="shared" si="200"/>
        <v/>
      </c>
    </row>
    <row r="2499" spans="19:19">
      <c r="S2499" s="61" t="str">
        <f t="shared" si="200"/>
        <v/>
      </c>
    </row>
    <row r="2500" spans="19:19">
      <c r="S2500" s="61" t="str">
        <f t="shared" si="200"/>
        <v/>
      </c>
    </row>
    <row r="2501" spans="19:19">
      <c r="S2501" s="61" t="str">
        <f t="shared" si="200"/>
        <v/>
      </c>
    </row>
    <row r="2502" spans="19:19">
      <c r="S2502" s="61" t="str">
        <f t="shared" si="200"/>
        <v/>
      </c>
    </row>
    <row r="2503" spans="19:19">
      <c r="S2503" s="61" t="str">
        <f t="shared" si="200"/>
        <v/>
      </c>
    </row>
    <row r="2504" spans="19:19">
      <c r="S2504" s="61" t="str">
        <f t="shared" si="200"/>
        <v/>
      </c>
    </row>
    <row r="2505" spans="19:19">
      <c r="S2505" s="61" t="str">
        <f t="shared" si="200"/>
        <v/>
      </c>
    </row>
    <row r="2506" spans="19:19">
      <c r="S2506" s="61" t="str">
        <f t="shared" si="200"/>
        <v/>
      </c>
    </row>
    <row r="2507" spans="19:19">
      <c r="S2507" s="61" t="str">
        <f t="shared" si="200"/>
        <v/>
      </c>
    </row>
    <row r="2508" spans="19:19">
      <c r="S2508" s="61" t="str">
        <f t="shared" si="200"/>
        <v/>
      </c>
    </row>
    <row r="2509" spans="19:19">
      <c r="S2509" s="61" t="str">
        <f t="shared" si="200"/>
        <v/>
      </c>
    </row>
    <row r="2510" spans="19:19">
      <c r="S2510" s="61" t="str">
        <f t="shared" si="200"/>
        <v/>
      </c>
    </row>
    <row r="2511" spans="19:19">
      <c r="S2511" s="61" t="str">
        <f t="shared" si="200"/>
        <v/>
      </c>
    </row>
    <row r="2512" spans="19:19">
      <c r="S2512" s="61" t="str">
        <f t="shared" si="200"/>
        <v/>
      </c>
    </row>
    <row r="2513" spans="19:19">
      <c r="S2513" s="61" t="str">
        <f t="shared" si="200"/>
        <v/>
      </c>
    </row>
    <row r="2514" spans="19:19">
      <c r="S2514" s="61" t="str">
        <f t="shared" si="200"/>
        <v/>
      </c>
    </row>
    <row r="2515" spans="19:19">
      <c r="S2515" s="61" t="str">
        <f t="shared" si="200"/>
        <v/>
      </c>
    </row>
    <row r="2516" spans="19:19">
      <c r="S2516" s="61" t="str">
        <f t="shared" si="200"/>
        <v/>
      </c>
    </row>
    <row r="2517" spans="19:19">
      <c r="S2517" s="61" t="str">
        <f t="shared" si="200"/>
        <v/>
      </c>
    </row>
    <row r="2518" spans="19:19">
      <c r="S2518" s="61" t="str">
        <f t="shared" si="200"/>
        <v/>
      </c>
    </row>
    <row r="2519" spans="19:19">
      <c r="S2519" s="61" t="str">
        <f t="shared" si="200"/>
        <v/>
      </c>
    </row>
    <row r="2520" spans="19:19">
      <c r="S2520" s="61" t="str">
        <f t="shared" si="200"/>
        <v/>
      </c>
    </row>
    <row r="2521" spans="19:19">
      <c r="S2521" s="61" t="str">
        <f t="shared" si="200"/>
        <v/>
      </c>
    </row>
    <row r="2522" spans="19:19">
      <c r="S2522" s="61" t="str">
        <f t="shared" si="200"/>
        <v/>
      </c>
    </row>
    <row r="2523" spans="19:19">
      <c r="S2523" s="61" t="str">
        <f t="shared" si="200"/>
        <v/>
      </c>
    </row>
    <row r="2524" spans="19:19">
      <c r="S2524" s="61" t="str">
        <f t="shared" si="200"/>
        <v/>
      </c>
    </row>
    <row r="2525" spans="19:19">
      <c r="S2525" s="61" t="str">
        <f t="shared" si="200"/>
        <v/>
      </c>
    </row>
    <row r="2526" spans="19:19">
      <c r="S2526" s="61" t="str">
        <f t="shared" ref="S2526:S2589" si="201">IF(O2526="innerText",I2526&amp;"="&amp;IF(C2526="Y",IF(J2526&lt;&gt;"Y",$S$9&amp;$R$10&amp;"."&amp;E2526&amp;")."&amp;IF(OR(O2526="click",O2526="innerText"),O2526&amp;"();",O2526&amp;"("&amp;$Q$9&amp;"."&amp;E2526&amp;");"),$S$110&amp;$R$10&amp;"."&amp;E2526&amp;")."&amp;IF(O2526="click",O2526&amp;"();",O2526&amp;"("&amp;"'"&amp;K2526&amp;"'"&amp;");")),""),IF(C2526="Y",IF(J2526&lt;&gt;"Y",$S$9&amp;$R$10&amp;"."&amp;E2526&amp;")."&amp;IF(OR(O2526="click",O2526="innerText"),O2526&amp;"();",O2526&amp;"("&amp;$Q$9&amp;"."&amp;E2526&amp;");"),$S$110&amp;$R$10&amp;"."&amp;E2526&amp;")."&amp;IF(O2526="click",O2526&amp;"();",O2526&amp;"("&amp;"'"&amp;K2526&amp;"'"&amp;");")),""))</f>
        <v/>
      </c>
    </row>
    <row r="2527" spans="19:19">
      <c r="S2527" s="61" t="str">
        <f t="shared" si="201"/>
        <v/>
      </c>
    </row>
    <row r="2528" spans="19:19">
      <c r="S2528" s="61" t="str">
        <f t="shared" si="201"/>
        <v/>
      </c>
    </row>
    <row r="2529" spans="19:19">
      <c r="S2529" s="61" t="str">
        <f t="shared" si="201"/>
        <v/>
      </c>
    </row>
    <row r="2530" spans="19:19">
      <c r="S2530" s="61" t="str">
        <f t="shared" si="201"/>
        <v/>
      </c>
    </row>
    <row r="2531" spans="19:19">
      <c r="S2531" s="61" t="str">
        <f t="shared" si="201"/>
        <v/>
      </c>
    </row>
    <row r="2532" spans="19:19">
      <c r="S2532" s="61" t="str">
        <f t="shared" si="201"/>
        <v/>
      </c>
    </row>
    <row r="2533" spans="19:19">
      <c r="S2533" s="61" t="str">
        <f t="shared" si="201"/>
        <v/>
      </c>
    </row>
    <row r="2534" spans="19:19">
      <c r="S2534" s="61" t="str">
        <f t="shared" si="201"/>
        <v/>
      </c>
    </row>
    <row r="2535" spans="19:19">
      <c r="S2535" s="61" t="str">
        <f t="shared" si="201"/>
        <v/>
      </c>
    </row>
    <row r="2536" spans="19:19">
      <c r="S2536" s="61" t="str">
        <f t="shared" si="201"/>
        <v/>
      </c>
    </row>
    <row r="2537" spans="19:19">
      <c r="S2537" s="61" t="str">
        <f t="shared" si="201"/>
        <v/>
      </c>
    </row>
    <row r="2538" spans="19:19">
      <c r="S2538" s="61" t="str">
        <f t="shared" si="201"/>
        <v/>
      </c>
    </row>
    <row r="2539" spans="19:19">
      <c r="S2539" s="61" t="str">
        <f t="shared" si="201"/>
        <v/>
      </c>
    </row>
    <row r="2540" spans="19:19">
      <c r="S2540" s="61" t="str">
        <f t="shared" si="201"/>
        <v/>
      </c>
    </row>
    <row r="2541" spans="19:19">
      <c r="S2541" s="61" t="str">
        <f t="shared" si="201"/>
        <v/>
      </c>
    </row>
    <row r="2542" spans="19:19">
      <c r="S2542" s="61" t="str">
        <f t="shared" si="201"/>
        <v/>
      </c>
    </row>
    <row r="2543" spans="19:19">
      <c r="S2543" s="61" t="str">
        <f t="shared" si="201"/>
        <v/>
      </c>
    </row>
    <row r="2544" spans="19:19">
      <c r="S2544" s="61" t="str">
        <f t="shared" si="201"/>
        <v/>
      </c>
    </row>
    <row r="2545" spans="19:19">
      <c r="S2545" s="61" t="str">
        <f t="shared" si="201"/>
        <v/>
      </c>
    </row>
    <row r="2546" spans="19:19">
      <c r="S2546" s="61" t="str">
        <f t="shared" si="201"/>
        <v/>
      </c>
    </row>
    <row r="2547" spans="19:19">
      <c r="S2547" s="61" t="str">
        <f t="shared" si="201"/>
        <v/>
      </c>
    </row>
    <row r="2548" spans="19:19">
      <c r="S2548" s="61" t="str">
        <f t="shared" si="201"/>
        <v/>
      </c>
    </row>
    <row r="2549" spans="19:19">
      <c r="S2549" s="61" t="str">
        <f t="shared" si="201"/>
        <v/>
      </c>
    </row>
    <row r="2550" spans="19:19">
      <c r="S2550" s="61" t="str">
        <f t="shared" si="201"/>
        <v/>
      </c>
    </row>
    <row r="2551" spans="19:19">
      <c r="S2551" s="61" t="str">
        <f t="shared" si="201"/>
        <v/>
      </c>
    </row>
    <row r="2552" spans="19:19">
      <c r="S2552" s="61" t="str">
        <f t="shared" si="201"/>
        <v/>
      </c>
    </row>
    <row r="2553" spans="19:19">
      <c r="S2553" s="61" t="str">
        <f t="shared" si="201"/>
        <v/>
      </c>
    </row>
    <row r="2554" spans="19:19">
      <c r="S2554" s="61" t="str">
        <f t="shared" si="201"/>
        <v/>
      </c>
    </row>
    <row r="2555" spans="19:19">
      <c r="S2555" s="61" t="str">
        <f t="shared" si="201"/>
        <v/>
      </c>
    </row>
    <row r="2556" spans="19:19">
      <c r="S2556" s="61" t="str">
        <f t="shared" si="201"/>
        <v/>
      </c>
    </row>
    <row r="2557" spans="19:19">
      <c r="S2557" s="61" t="str">
        <f t="shared" si="201"/>
        <v/>
      </c>
    </row>
    <row r="2558" spans="19:19">
      <c r="S2558" s="61" t="str">
        <f t="shared" si="201"/>
        <v/>
      </c>
    </row>
    <row r="2559" spans="19:19">
      <c r="S2559" s="61" t="str">
        <f t="shared" si="201"/>
        <v/>
      </c>
    </row>
    <row r="2560" spans="19:19">
      <c r="S2560" s="61" t="str">
        <f t="shared" si="201"/>
        <v/>
      </c>
    </row>
    <row r="2561" spans="19:19">
      <c r="S2561" s="61" t="str">
        <f t="shared" si="201"/>
        <v/>
      </c>
    </row>
    <row r="2562" spans="19:19">
      <c r="S2562" s="61" t="str">
        <f t="shared" si="201"/>
        <v/>
      </c>
    </row>
    <row r="2563" spans="19:19">
      <c r="S2563" s="61" t="str">
        <f t="shared" si="201"/>
        <v/>
      </c>
    </row>
    <row r="2564" spans="19:19">
      <c r="S2564" s="61" t="str">
        <f t="shared" si="201"/>
        <v/>
      </c>
    </row>
    <row r="2565" spans="19:19">
      <c r="S2565" s="61" t="str">
        <f t="shared" si="201"/>
        <v/>
      </c>
    </row>
    <row r="2566" spans="19:19">
      <c r="S2566" s="61" t="str">
        <f t="shared" si="201"/>
        <v/>
      </c>
    </row>
    <row r="2567" spans="19:19">
      <c r="S2567" s="61" t="str">
        <f t="shared" si="201"/>
        <v/>
      </c>
    </row>
    <row r="2568" spans="19:19">
      <c r="S2568" s="61" t="str">
        <f t="shared" si="201"/>
        <v/>
      </c>
    </row>
    <row r="2569" spans="19:19">
      <c r="S2569" s="61" t="str">
        <f t="shared" si="201"/>
        <v/>
      </c>
    </row>
    <row r="2570" spans="19:19">
      <c r="S2570" s="61" t="str">
        <f t="shared" si="201"/>
        <v/>
      </c>
    </row>
    <row r="2571" spans="19:19">
      <c r="S2571" s="61" t="str">
        <f t="shared" si="201"/>
        <v/>
      </c>
    </row>
    <row r="2572" spans="19:19">
      <c r="S2572" s="61" t="str">
        <f t="shared" si="201"/>
        <v/>
      </c>
    </row>
    <row r="2573" spans="19:19">
      <c r="S2573" s="61" t="str">
        <f t="shared" si="201"/>
        <v/>
      </c>
    </row>
    <row r="2574" spans="19:19">
      <c r="S2574" s="61" t="str">
        <f t="shared" si="201"/>
        <v/>
      </c>
    </row>
    <row r="2575" spans="19:19">
      <c r="S2575" s="61" t="str">
        <f t="shared" si="201"/>
        <v/>
      </c>
    </row>
    <row r="2576" spans="19:19">
      <c r="S2576" s="61" t="str">
        <f t="shared" si="201"/>
        <v/>
      </c>
    </row>
    <row r="2577" spans="19:19">
      <c r="S2577" s="61" t="str">
        <f t="shared" si="201"/>
        <v/>
      </c>
    </row>
    <row r="2578" spans="19:19">
      <c r="S2578" s="61" t="str">
        <f t="shared" si="201"/>
        <v/>
      </c>
    </row>
    <row r="2579" spans="19:19">
      <c r="S2579" s="61" t="str">
        <f t="shared" si="201"/>
        <v/>
      </c>
    </row>
    <row r="2580" spans="19:19">
      <c r="S2580" s="61" t="str">
        <f t="shared" si="201"/>
        <v/>
      </c>
    </row>
    <row r="2581" spans="19:19">
      <c r="S2581" s="61" t="str">
        <f t="shared" si="201"/>
        <v/>
      </c>
    </row>
    <row r="2582" spans="19:19">
      <c r="S2582" s="61" t="str">
        <f t="shared" si="201"/>
        <v/>
      </c>
    </row>
    <row r="2583" spans="19:19">
      <c r="S2583" s="61" t="str">
        <f t="shared" si="201"/>
        <v/>
      </c>
    </row>
    <row r="2584" spans="19:19">
      <c r="S2584" s="61" t="str">
        <f t="shared" si="201"/>
        <v/>
      </c>
    </row>
    <row r="2585" spans="19:19">
      <c r="S2585" s="61" t="str">
        <f t="shared" si="201"/>
        <v/>
      </c>
    </row>
    <row r="2586" spans="19:19">
      <c r="S2586" s="61" t="str">
        <f t="shared" si="201"/>
        <v/>
      </c>
    </row>
    <row r="2587" spans="19:19">
      <c r="S2587" s="61" t="str">
        <f t="shared" si="201"/>
        <v/>
      </c>
    </row>
    <row r="2588" spans="19:19">
      <c r="S2588" s="61" t="str">
        <f t="shared" si="201"/>
        <v/>
      </c>
    </row>
    <row r="2589" spans="19:19">
      <c r="S2589" s="61" t="str">
        <f t="shared" si="201"/>
        <v/>
      </c>
    </row>
    <row r="2590" spans="19:19">
      <c r="S2590" s="61" t="str">
        <f t="shared" ref="S2590:S2653" si="202">IF(O2590="innerText",I2590&amp;"="&amp;IF(C2590="Y",IF(J2590&lt;&gt;"Y",$S$9&amp;$R$10&amp;"."&amp;E2590&amp;")."&amp;IF(OR(O2590="click",O2590="innerText"),O2590&amp;"();",O2590&amp;"("&amp;$Q$9&amp;"."&amp;E2590&amp;");"),$S$110&amp;$R$10&amp;"."&amp;E2590&amp;")."&amp;IF(O2590="click",O2590&amp;"();",O2590&amp;"("&amp;"'"&amp;K2590&amp;"'"&amp;");")),""),IF(C2590="Y",IF(J2590&lt;&gt;"Y",$S$9&amp;$R$10&amp;"."&amp;E2590&amp;")."&amp;IF(OR(O2590="click",O2590="innerText"),O2590&amp;"();",O2590&amp;"("&amp;$Q$9&amp;"."&amp;E2590&amp;");"),$S$110&amp;$R$10&amp;"."&amp;E2590&amp;")."&amp;IF(O2590="click",O2590&amp;"();",O2590&amp;"("&amp;"'"&amp;K2590&amp;"'"&amp;");")),""))</f>
        <v/>
      </c>
    </row>
    <row r="2591" spans="19:19">
      <c r="S2591" s="61" t="str">
        <f t="shared" si="202"/>
        <v/>
      </c>
    </row>
    <row r="2592" spans="19:19">
      <c r="S2592" s="61" t="str">
        <f t="shared" si="202"/>
        <v/>
      </c>
    </row>
    <row r="2593" spans="19:19">
      <c r="S2593" s="61" t="str">
        <f t="shared" si="202"/>
        <v/>
      </c>
    </row>
    <row r="2594" spans="19:19">
      <c r="S2594" s="61" t="str">
        <f t="shared" si="202"/>
        <v/>
      </c>
    </row>
    <row r="2595" spans="19:19">
      <c r="S2595" s="61" t="str">
        <f t="shared" si="202"/>
        <v/>
      </c>
    </row>
    <row r="2596" spans="19:19">
      <c r="S2596" s="61" t="str">
        <f t="shared" si="202"/>
        <v/>
      </c>
    </row>
    <row r="2597" spans="19:19">
      <c r="S2597" s="61" t="str">
        <f t="shared" si="202"/>
        <v/>
      </c>
    </row>
    <row r="2598" spans="19:19">
      <c r="S2598" s="61" t="str">
        <f t="shared" si="202"/>
        <v/>
      </c>
    </row>
    <row r="2599" spans="19:19">
      <c r="S2599" s="61" t="str">
        <f t="shared" si="202"/>
        <v/>
      </c>
    </row>
    <row r="2600" spans="19:19">
      <c r="S2600" s="61" t="str">
        <f t="shared" si="202"/>
        <v/>
      </c>
    </row>
    <row r="2601" spans="19:19">
      <c r="S2601" s="61" t="str">
        <f t="shared" si="202"/>
        <v/>
      </c>
    </row>
    <row r="2602" spans="19:19">
      <c r="S2602" s="61" t="str">
        <f t="shared" si="202"/>
        <v/>
      </c>
    </row>
    <row r="2603" spans="19:19">
      <c r="S2603" s="61" t="str">
        <f t="shared" si="202"/>
        <v/>
      </c>
    </row>
    <row r="2604" spans="19:19">
      <c r="S2604" s="61" t="str">
        <f t="shared" si="202"/>
        <v/>
      </c>
    </row>
    <row r="2605" spans="19:19">
      <c r="S2605" s="61" t="str">
        <f t="shared" si="202"/>
        <v/>
      </c>
    </row>
    <row r="2606" spans="19:19">
      <c r="S2606" s="61" t="str">
        <f t="shared" si="202"/>
        <v/>
      </c>
    </row>
    <row r="2607" spans="19:19">
      <c r="S2607" s="61" t="str">
        <f t="shared" si="202"/>
        <v/>
      </c>
    </row>
    <row r="2608" spans="19:19">
      <c r="S2608" s="61" t="str">
        <f t="shared" si="202"/>
        <v/>
      </c>
    </row>
    <row r="2609" spans="19:19">
      <c r="S2609" s="61" t="str">
        <f t="shared" si="202"/>
        <v/>
      </c>
    </row>
    <row r="2610" spans="19:19">
      <c r="S2610" s="61" t="str">
        <f t="shared" si="202"/>
        <v/>
      </c>
    </row>
    <row r="2611" spans="19:19">
      <c r="S2611" s="61" t="str">
        <f t="shared" si="202"/>
        <v/>
      </c>
    </row>
    <row r="2612" spans="19:19">
      <c r="S2612" s="61" t="str">
        <f t="shared" si="202"/>
        <v/>
      </c>
    </row>
    <row r="2613" spans="19:19">
      <c r="S2613" s="61" t="str">
        <f t="shared" si="202"/>
        <v/>
      </c>
    </row>
    <row r="2614" spans="19:19">
      <c r="S2614" s="61" t="str">
        <f t="shared" si="202"/>
        <v/>
      </c>
    </row>
    <row r="2615" spans="19:19">
      <c r="S2615" s="61" t="str">
        <f t="shared" si="202"/>
        <v/>
      </c>
    </row>
    <row r="2616" spans="19:19">
      <c r="S2616" s="61" t="str">
        <f t="shared" si="202"/>
        <v/>
      </c>
    </row>
    <row r="2617" spans="19:19">
      <c r="S2617" s="61" t="str">
        <f t="shared" si="202"/>
        <v/>
      </c>
    </row>
    <row r="2618" spans="19:19">
      <c r="S2618" s="61" t="str">
        <f t="shared" si="202"/>
        <v/>
      </c>
    </row>
    <row r="2619" spans="19:19">
      <c r="S2619" s="61" t="str">
        <f t="shared" si="202"/>
        <v/>
      </c>
    </row>
    <row r="2620" spans="19:19">
      <c r="S2620" s="61" t="str">
        <f t="shared" si="202"/>
        <v/>
      </c>
    </row>
    <row r="2621" spans="19:19">
      <c r="S2621" s="61" t="str">
        <f t="shared" si="202"/>
        <v/>
      </c>
    </row>
    <row r="2622" spans="19:19">
      <c r="S2622" s="61" t="str">
        <f t="shared" si="202"/>
        <v/>
      </c>
    </row>
    <row r="2623" spans="19:19">
      <c r="S2623" s="61" t="str">
        <f t="shared" si="202"/>
        <v/>
      </c>
    </row>
    <row r="2624" spans="19:19">
      <c r="S2624" s="61" t="str">
        <f t="shared" si="202"/>
        <v/>
      </c>
    </row>
    <row r="2625" spans="19:19">
      <c r="S2625" s="61" t="str">
        <f t="shared" si="202"/>
        <v/>
      </c>
    </row>
    <row r="2626" spans="19:19">
      <c r="S2626" s="61" t="str">
        <f t="shared" si="202"/>
        <v/>
      </c>
    </row>
    <row r="2627" spans="19:19">
      <c r="S2627" s="61" t="str">
        <f t="shared" si="202"/>
        <v/>
      </c>
    </row>
    <row r="2628" spans="19:19">
      <c r="S2628" s="61" t="str">
        <f t="shared" si="202"/>
        <v/>
      </c>
    </row>
    <row r="2629" spans="19:19">
      <c r="S2629" s="61" t="str">
        <f t="shared" si="202"/>
        <v/>
      </c>
    </row>
    <row r="2630" spans="19:19">
      <c r="S2630" s="61" t="str">
        <f t="shared" si="202"/>
        <v/>
      </c>
    </row>
    <row r="2631" spans="19:19">
      <c r="S2631" s="61" t="str">
        <f t="shared" si="202"/>
        <v/>
      </c>
    </row>
    <row r="2632" spans="19:19">
      <c r="S2632" s="61" t="str">
        <f t="shared" si="202"/>
        <v/>
      </c>
    </row>
    <row r="2633" spans="19:19">
      <c r="S2633" s="61" t="str">
        <f t="shared" si="202"/>
        <v/>
      </c>
    </row>
    <row r="2634" spans="19:19">
      <c r="S2634" s="61" t="str">
        <f t="shared" si="202"/>
        <v/>
      </c>
    </row>
    <row r="2635" spans="19:19">
      <c r="S2635" s="61" t="str">
        <f t="shared" si="202"/>
        <v/>
      </c>
    </row>
    <row r="2636" spans="19:19">
      <c r="S2636" s="61" t="str">
        <f t="shared" si="202"/>
        <v/>
      </c>
    </row>
    <row r="2637" spans="19:19">
      <c r="S2637" s="61" t="str">
        <f t="shared" si="202"/>
        <v/>
      </c>
    </row>
    <row r="2638" spans="19:19">
      <c r="S2638" s="61" t="str">
        <f t="shared" si="202"/>
        <v/>
      </c>
    </row>
    <row r="2639" spans="19:19">
      <c r="S2639" s="61" t="str">
        <f t="shared" si="202"/>
        <v/>
      </c>
    </row>
    <row r="2640" spans="19:19">
      <c r="S2640" s="61" t="str">
        <f t="shared" si="202"/>
        <v/>
      </c>
    </row>
    <row r="2641" spans="19:19">
      <c r="S2641" s="61" t="str">
        <f t="shared" si="202"/>
        <v/>
      </c>
    </row>
    <row r="2642" spans="19:19">
      <c r="S2642" s="61" t="str">
        <f t="shared" si="202"/>
        <v/>
      </c>
    </row>
    <row r="2643" spans="19:19">
      <c r="S2643" s="61" t="str">
        <f t="shared" si="202"/>
        <v/>
      </c>
    </row>
    <row r="2644" spans="19:19">
      <c r="S2644" s="61" t="str">
        <f t="shared" si="202"/>
        <v/>
      </c>
    </row>
    <row r="2645" spans="19:19">
      <c r="S2645" s="61" t="str">
        <f t="shared" si="202"/>
        <v/>
      </c>
    </row>
    <row r="2646" spans="19:19">
      <c r="S2646" s="61" t="str">
        <f t="shared" si="202"/>
        <v/>
      </c>
    </row>
    <row r="2647" spans="19:19">
      <c r="S2647" s="61" t="str">
        <f t="shared" si="202"/>
        <v/>
      </c>
    </row>
    <row r="2648" spans="19:19">
      <c r="S2648" s="61" t="str">
        <f t="shared" si="202"/>
        <v/>
      </c>
    </row>
    <row r="2649" spans="19:19">
      <c r="S2649" s="61" t="str">
        <f t="shared" si="202"/>
        <v/>
      </c>
    </row>
    <row r="2650" spans="19:19">
      <c r="S2650" s="61" t="str">
        <f t="shared" si="202"/>
        <v/>
      </c>
    </row>
    <row r="2651" spans="19:19">
      <c r="S2651" s="61" t="str">
        <f t="shared" si="202"/>
        <v/>
      </c>
    </row>
    <row r="2652" spans="19:19">
      <c r="S2652" s="61" t="str">
        <f t="shared" si="202"/>
        <v/>
      </c>
    </row>
    <row r="2653" spans="19:19">
      <c r="S2653" s="61" t="str">
        <f t="shared" si="202"/>
        <v/>
      </c>
    </row>
    <row r="2654" spans="19:19">
      <c r="S2654" s="61" t="str">
        <f t="shared" ref="S2654:S2717" si="203">IF(O2654="innerText",I2654&amp;"="&amp;IF(C2654="Y",IF(J2654&lt;&gt;"Y",$S$9&amp;$R$10&amp;"."&amp;E2654&amp;")."&amp;IF(OR(O2654="click",O2654="innerText"),O2654&amp;"();",O2654&amp;"("&amp;$Q$9&amp;"."&amp;E2654&amp;");"),$S$110&amp;$R$10&amp;"."&amp;E2654&amp;")."&amp;IF(O2654="click",O2654&amp;"();",O2654&amp;"("&amp;"'"&amp;K2654&amp;"'"&amp;");")),""),IF(C2654="Y",IF(J2654&lt;&gt;"Y",$S$9&amp;$R$10&amp;"."&amp;E2654&amp;")."&amp;IF(OR(O2654="click",O2654="innerText"),O2654&amp;"();",O2654&amp;"("&amp;$Q$9&amp;"."&amp;E2654&amp;");"),$S$110&amp;$R$10&amp;"."&amp;E2654&amp;")."&amp;IF(O2654="click",O2654&amp;"();",O2654&amp;"("&amp;"'"&amp;K2654&amp;"'"&amp;");")),""))</f>
        <v/>
      </c>
    </row>
    <row r="2655" spans="19:19">
      <c r="S2655" s="61" t="str">
        <f t="shared" si="203"/>
        <v/>
      </c>
    </row>
    <row r="2656" spans="19:19">
      <c r="S2656" s="61" t="str">
        <f t="shared" si="203"/>
        <v/>
      </c>
    </row>
    <row r="2657" spans="19:19">
      <c r="S2657" s="61" t="str">
        <f t="shared" si="203"/>
        <v/>
      </c>
    </row>
    <row r="2658" spans="19:19">
      <c r="S2658" s="61" t="str">
        <f t="shared" si="203"/>
        <v/>
      </c>
    </row>
    <row r="2659" spans="19:19">
      <c r="S2659" s="61" t="str">
        <f t="shared" si="203"/>
        <v/>
      </c>
    </row>
    <row r="2660" spans="19:19">
      <c r="S2660" s="61" t="str">
        <f t="shared" si="203"/>
        <v/>
      </c>
    </row>
    <row r="2661" spans="19:19">
      <c r="S2661" s="61" t="str">
        <f t="shared" si="203"/>
        <v/>
      </c>
    </row>
    <row r="2662" spans="19:19">
      <c r="S2662" s="61" t="str">
        <f t="shared" si="203"/>
        <v/>
      </c>
    </row>
    <row r="2663" spans="19:19">
      <c r="S2663" s="61" t="str">
        <f t="shared" si="203"/>
        <v/>
      </c>
    </row>
    <row r="2664" spans="19:19">
      <c r="S2664" s="61" t="str">
        <f t="shared" si="203"/>
        <v/>
      </c>
    </row>
    <row r="2665" spans="19:19">
      <c r="S2665" s="61" t="str">
        <f t="shared" si="203"/>
        <v/>
      </c>
    </row>
    <row r="2666" spans="19:19">
      <c r="S2666" s="61" t="str">
        <f t="shared" si="203"/>
        <v/>
      </c>
    </row>
    <row r="2667" spans="19:19">
      <c r="S2667" s="61" t="str">
        <f t="shared" si="203"/>
        <v/>
      </c>
    </row>
    <row r="2668" spans="19:19">
      <c r="S2668" s="61" t="str">
        <f t="shared" si="203"/>
        <v/>
      </c>
    </row>
    <row r="2669" spans="19:19">
      <c r="S2669" s="61" t="str">
        <f t="shared" si="203"/>
        <v/>
      </c>
    </row>
    <row r="2670" spans="19:19">
      <c r="S2670" s="61" t="str">
        <f t="shared" si="203"/>
        <v/>
      </c>
    </row>
    <row r="2671" spans="19:19">
      <c r="S2671" s="61" t="str">
        <f t="shared" si="203"/>
        <v/>
      </c>
    </row>
    <row r="2672" spans="19:19">
      <c r="S2672" s="61" t="str">
        <f t="shared" si="203"/>
        <v/>
      </c>
    </row>
    <row r="2673" spans="19:19">
      <c r="S2673" s="61" t="str">
        <f t="shared" si="203"/>
        <v/>
      </c>
    </row>
    <row r="2674" spans="19:19">
      <c r="S2674" s="61" t="str">
        <f t="shared" si="203"/>
        <v/>
      </c>
    </row>
    <row r="2675" spans="19:19">
      <c r="S2675" s="61" t="str">
        <f t="shared" si="203"/>
        <v/>
      </c>
    </row>
    <row r="2676" spans="19:19">
      <c r="S2676" s="61" t="str">
        <f t="shared" si="203"/>
        <v/>
      </c>
    </row>
    <row r="2677" spans="19:19">
      <c r="S2677" s="61" t="str">
        <f t="shared" si="203"/>
        <v/>
      </c>
    </row>
    <row r="2678" spans="19:19">
      <c r="S2678" s="61" t="str">
        <f t="shared" si="203"/>
        <v/>
      </c>
    </row>
    <row r="2679" spans="19:19">
      <c r="S2679" s="61" t="str">
        <f t="shared" si="203"/>
        <v/>
      </c>
    </row>
    <row r="2680" spans="19:19">
      <c r="S2680" s="61" t="str">
        <f t="shared" si="203"/>
        <v/>
      </c>
    </row>
    <row r="2681" spans="19:19">
      <c r="S2681" s="61" t="str">
        <f t="shared" si="203"/>
        <v/>
      </c>
    </row>
    <row r="2682" spans="19:19">
      <c r="S2682" s="61" t="str">
        <f t="shared" si="203"/>
        <v/>
      </c>
    </row>
    <row r="2683" spans="19:19">
      <c r="S2683" s="61" t="str">
        <f t="shared" si="203"/>
        <v/>
      </c>
    </row>
    <row r="2684" spans="19:19">
      <c r="S2684" s="61" t="str">
        <f t="shared" si="203"/>
        <v/>
      </c>
    </row>
    <row r="2685" spans="19:19">
      <c r="S2685" s="61" t="str">
        <f t="shared" si="203"/>
        <v/>
      </c>
    </row>
    <row r="2686" spans="19:19">
      <c r="S2686" s="61" t="str">
        <f t="shared" si="203"/>
        <v/>
      </c>
    </row>
    <row r="2687" spans="19:19">
      <c r="S2687" s="61" t="str">
        <f t="shared" si="203"/>
        <v/>
      </c>
    </row>
    <row r="2688" spans="19:19">
      <c r="S2688" s="61" t="str">
        <f t="shared" si="203"/>
        <v/>
      </c>
    </row>
    <row r="2689" spans="19:19">
      <c r="S2689" s="61" t="str">
        <f t="shared" si="203"/>
        <v/>
      </c>
    </row>
    <row r="2690" spans="19:19">
      <c r="S2690" s="61" t="str">
        <f t="shared" si="203"/>
        <v/>
      </c>
    </row>
    <row r="2691" spans="19:19">
      <c r="S2691" s="61" t="str">
        <f t="shared" si="203"/>
        <v/>
      </c>
    </row>
    <row r="2692" spans="19:19">
      <c r="S2692" s="61" t="str">
        <f t="shared" si="203"/>
        <v/>
      </c>
    </row>
    <row r="2693" spans="19:19">
      <c r="S2693" s="61" t="str">
        <f t="shared" si="203"/>
        <v/>
      </c>
    </row>
    <row r="2694" spans="19:19">
      <c r="S2694" s="61" t="str">
        <f t="shared" si="203"/>
        <v/>
      </c>
    </row>
    <row r="2695" spans="19:19">
      <c r="S2695" s="61" t="str">
        <f t="shared" si="203"/>
        <v/>
      </c>
    </row>
    <row r="2696" spans="19:19">
      <c r="S2696" s="61" t="str">
        <f t="shared" si="203"/>
        <v/>
      </c>
    </row>
    <row r="2697" spans="19:19">
      <c r="S2697" s="61" t="str">
        <f t="shared" si="203"/>
        <v/>
      </c>
    </row>
    <row r="2698" spans="19:19">
      <c r="S2698" s="61" t="str">
        <f t="shared" si="203"/>
        <v/>
      </c>
    </row>
    <row r="2699" spans="19:19">
      <c r="S2699" s="61" t="str">
        <f t="shared" si="203"/>
        <v/>
      </c>
    </row>
    <row r="2700" spans="19:19">
      <c r="S2700" s="61" t="str">
        <f t="shared" si="203"/>
        <v/>
      </c>
    </row>
    <row r="2701" spans="19:19">
      <c r="S2701" s="61" t="str">
        <f t="shared" si="203"/>
        <v/>
      </c>
    </row>
    <row r="2702" spans="19:19">
      <c r="S2702" s="61" t="str">
        <f t="shared" si="203"/>
        <v/>
      </c>
    </row>
    <row r="2703" spans="19:19">
      <c r="S2703" s="61" t="str">
        <f t="shared" si="203"/>
        <v/>
      </c>
    </row>
    <row r="2704" spans="19:19">
      <c r="S2704" s="61" t="str">
        <f t="shared" si="203"/>
        <v/>
      </c>
    </row>
    <row r="2705" spans="19:19">
      <c r="S2705" s="61" t="str">
        <f t="shared" si="203"/>
        <v/>
      </c>
    </row>
    <row r="2706" spans="19:19">
      <c r="S2706" s="61" t="str">
        <f t="shared" si="203"/>
        <v/>
      </c>
    </row>
    <row r="2707" spans="19:19">
      <c r="S2707" s="61" t="str">
        <f t="shared" si="203"/>
        <v/>
      </c>
    </row>
    <row r="2708" spans="19:19">
      <c r="S2708" s="61" t="str">
        <f t="shared" si="203"/>
        <v/>
      </c>
    </row>
    <row r="2709" spans="19:19">
      <c r="S2709" s="61" t="str">
        <f t="shared" si="203"/>
        <v/>
      </c>
    </row>
    <row r="2710" spans="19:19">
      <c r="S2710" s="61" t="str">
        <f t="shared" si="203"/>
        <v/>
      </c>
    </row>
    <row r="2711" spans="19:19">
      <c r="S2711" s="61" t="str">
        <f t="shared" si="203"/>
        <v/>
      </c>
    </row>
    <row r="2712" spans="19:19">
      <c r="S2712" s="61" t="str">
        <f t="shared" si="203"/>
        <v/>
      </c>
    </row>
    <row r="2713" spans="19:19">
      <c r="S2713" s="61" t="str">
        <f t="shared" si="203"/>
        <v/>
      </c>
    </row>
    <row r="2714" spans="19:19">
      <c r="S2714" s="61" t="str">
        <f t="shared" si="203"/>
        <v/>
      </c>
    </row>
    <row r="2715" spans="19:19">
      <c r="S2715" s="61" t="str">
        <f t="shared" si="203"/>
        <v/>
      </c>
    </row>
    <row r="2716" spans="19:19">
      <c r="S2716" s="61" t="str">
        <f t="shared" si="203"/>
        <v/>
      </c>
    </row>
    <row r="2717" spans="19:19">
      <c r="S2717" s="61" t="str">
        <f t="shared" si="203"/>
        <v/>
      </c>
    </row>
    <row r="2718" spans="19:19">
      <c r="S2718" s="61" t="str">
        <f t="shared" ref="S2718:S2781" si="204">IF(O2718="innerText",I2718&amp;"="&amp;IF(C2718="Y",IF(J2718&lt;&gt;"Y",$S$9&amp;$R$10&amp;"."&amp;E2718&amp;")."&amp;IF(OR(O2718="click",O2718="innerText"),O2718&amp;"();",O2718&amp;"("&amp;$Q$9&amp;"."&amp;E2718&amp;");"),$S$110&amp;$R$10&amp;"."&amp;E2718&amp;")."&amp;IF(O2718="click",O2718&amp;"();",O2718&amp;"("&amp;"'"&amp;K2718&amp;"'"&amp;");")),""),IF(C2718="Y",IF(J2718&lt;&gt;"Y",$S$9&amp;$R$10&amp;"."&amp;E2718&amp;")."&amp;IF(OR(O2718="click",O2718="innerText"),O2718&amp;"();",O2718&amp;"("&amp;$Q$9&amp;"."&amp;E2718&amp;");"),$S$110&amp;$R$10&amp;"."&amp;E2718&amp;")."&amp;IF(O2718="click",O2718&amp;"();",O2718&amp;"("&amp;"'"&amp;K2718&amp;"'"&amp;");")),""))</f>
        <v/>
      </c>
    </row>
    <row r="2719" spans="19:19">
      <c r="S2719" s="61" t="str">
        <f t="shared" si="204"/>
        <v/>
      </c>
    </row>
    <row r="2720" spans="19:19">
      <c r="S2720" s="61" t="str">
        <f t="shared" si="204"/>
        <v/>
      </c>
    </row>
    <row r="2721" spans="19:19">
      <c r="S2721" s="61" t="str">
        <f t="shared" si="204"/>
        <v/>
      </c>
    </row>
    <row r="2722" spans="19:19">
      <c r="S2722" s="61" t="str">
        <f t="shared" si="204"/>
        <v/>
      </c>
    </row>
    <row r="2723" spans="19:19">
      <c r="S2723" s="61" t="str">
        <f t="shared" si="204"/>
        <v/>
      </c>
    </row>
    <row r="2724" spans="19:19">
      <c r="S2724" s="61" t="str">
        <f t="shared" si="204"/>
        <v/>
      </c>
    </row>
    <row r="2725" spans="19:19">
      <c r="S2725" s="61" t="str">
        <f t="shared" si="204"/>
        <v/>
      </c>
    </row>
    <row r="2726" spans="19:19">
      <c r="S2726" s="61" t="str">
        <f t="shared" si="204"/>
        <v/>
      </c>
    </row>
    <row r="2727" spans="19:19">
      <c r="S2727" s="61" t="str">
        <f t="shared" si="204"/>
        <v/>
      </c>
    </row>
    <row r="2728" spans="19:19">
      <c r="S2728" s="61" t="str">
        <f t="shared" si="204"/>
        <v/>
      </c>
    </row>
    <row r="2729" spans="19:19">
      <c r="S2729" s="61" t="str">
        <f t="shared" si="204"/>
        <v/>
      </c>
    </row>
    <row r="2730" spans="19:19">
      <c r="S2730" s="61" t="str">
        <f t="shared" si="204"/>
        <v/>
      </c>
    </row>
    <row r="2731" spans="19:19">
      <c r="S2731" s="61" t="str">
        <f t="shared" si="204"/>
        <v/>
      </c>
    </row>
    <row r="2732" spans="19:19">
      <c r="S2732" s="61" t="str">
        <f t="shared" si="204"/>
        <v/>
      </c>
    </row>
    <row r="2733" spans="19:19">
      <c r="S2733" s="61" t="str">
        <f t="shared" si="204"/>
        <v/>
      </c>
    </row>
    <row r="2734" spans="19:19">
      <c r="S2734" s="61" t="str">
        <f t="shared" si="204"/>
        <v/>
      </c>
    </row>
    <row r="2735" spans="19:19">
      <c r="S2735" s="61" t="str">
        <f t="shared" si="204"/>
        <v/>
      </c>
    </row>
    <row r="2736" spans="19:19">
      <c r="S2736" s="61" t="str">
        <f t="shared" si="204"/>
        <v/>
      </c>
    </row>
    <row r="2737" spans="19:19">
      <c r="S2737" s="61" t="str">
        <f t="shared" si="204"/>
        <v/>
      </c>
    </row>
    <row r="2738" spans="19:19">
      <c r="S2738" s="61" t="str">
        <f t="shared" si="204"/>
        <v/>
      </c>
    </row>
    <row r="2739" spans="19:19">
      <c r="S2739" s="61" t="str">
        <f t="shared" si="204"/>
        <v/>
      </c>
    </row>
    <row r="2740" spans="19:19">
      <c r="S2740" s="61" t="str">
        <f t="shared" si="204"/>
        <v/>
      </c>
    </row>
    <row r="2741" spans="19:19">
      <c r="S2741" s="61" t="str">
        <f t="shared" si="204"/>
        <v/>
      </c>
    </row>
    <row r="2742" spans="19:19">
      <c r="S2742" s="61" t="str">
        <f t="shared" si="204"/>
        <v/>
      </c>
    </row>
    <row r="2743" spans="19:19">
      <c r="S2743" s="61" t="str">
        <f t="shared" si="204"/>
        <v/>
      </c>
    </row>
    <row r="2744" spans="19:19">
      <c r="S2744" s="61" t="str">
        <f t="shared" si="204"/>
        <v/>
      </c>
    </row>
    <row r="2745" spans="19:19">
      <c r="S2745" s="61" t="str">
        <f t="shared" si="204"/>
        <v/>
      </c>
    </row>
    <row r="2746" spans="19:19">
      <c r="S2746" s="61" t="str">
        <f t="shared" si="204"/>
        <v/>
      </c>
    </row>
    <row r="2747" spans="19:19">
      <c r="S2747" s="61" t="str">
        <f t="shared" si="204"/>
        <v/>
      </c>
    </row>
    <row r="2748" spans="19:19">
      <c r="S2748" s="61" t="str">
        <f t="shared" si="204"/>
        <v/>
      </c>
    </row>
    <row r="2749" spans="19:19">
      <c r="S2749" s="61" t="str">
        <f t="shared" si="204"/>
        <v/>
      </c>
    </row>
    <row r="2750" spans="19:19">
      <c r="S2750" s="61" t="str">
        <f t="shared" si="204"/>
        <v/>
      </c>
    </row>
    <row r="2751" spans="19:19">
      <c r="S2751" s="61" t="str">
        <f t="shared" si="204"/>
        <v/>
      </c>
    </row>
    <row r="2752" spans="19:19">
      <c r="S2752" s="61" t="str">
        <f t="shared" si="204"/>
        <v/>
      </c>
    </row>
    <row r="2753" spans="19:19">
      <c r="S2753" s="61" t="str">
        <f t="shared" si="204"/>
        <v/>
      </c>
    </row>
    <row r="2754" spans="19:19">
      <c r="S2754" s="61" t="str">
        <f t="shared" si="204"/>
        <v/>
      </c>
    </row>
    <row r="2755" spans="19:19">
      <c r="S2755" s="61" t="str">
        <f t="shared" si="204"/>
        <v/>
      </c>
    </row>
    <row r="2756" spans="19:19">
      <c r="S2756" s="61" t="str">
        <f t="shared" si="204"/>
        <v/>
      </c>
    </row>
    <row r="2757" spans="19:19">
      <c r="S2757" s="61" t="str">
        <f t="shared" si="204"/>
        <v/>
      </c>
    </row>
    <row r="2758" spans="19:19">
      <c r="S2758" s="61" t="str">
        <f t="shared" si="204"/>
        <v/>
      </c>
    </row>
    <row r="2759" spans="19:19">
      <c r="S2759" s="61" t="str">
        <f t="shared" si="204"/>
        <v/>
      </c>
    </row>
    <row r="2760" spans="19:19">
      <c r="S2760" s="61" t="str">
        <f t="shared" si="204"/>
        <v/>
      </c>
    </row>
    <row r="2761" spans="19:19">
      <c r="S2761" s="61" t="str">
        <f t="shared" si="204"/>
        <v/>
      </c>
    </row>
    <row r="2762" spans="19:19">
      <c r="S2762" s="61" t="str">
        <f t="shared" si="204"/>
        <v/>
      </c>
    </row>
    <row r="2763" spans="19:19">
      <c r="S2763" s="61" t="str">
        <f t="shared" si="204"/>
        <v/>
      </c>
    </row>
    <row r="2764" spans="19:19">
      <c r="S2764" s="61" t="str">
        <f t="shared" si="204"/>
        <v/>
      </c>
    </row>
    <row r="2765" spans="19:19">
      <c r="S2765" s="61" t="str">
        <f t="shared" si="204"/>
        <v/>
      </c>
    </row>
    <row r="2766" spans="19:19">
      <c r="S2766" s="61" t="str">
        <f t="shared" si="204"/>
        <v/>
      </c>
    </row>
    <row r="2767" spans="19:19">
      <c r="S2767" s="61" t="str">
        <f t="shared" si="204"/>
        <v/>
      </c>
    </row>
    <row r="2768" spans="19:19">
      <c r="S2768" s="61" t="str">
        <f t="shared" si="204"/>
        <v/>
      </c>
    </row>
    <row r="2769" spans="19:19">
      <c r="S2769" s="61" t="str">
        <f t="shared" si="204"/>
        <v/>
      </c>
    </row>
    <row r="2770" spans="19:19">
      <c r="S2770" s="61" t="str">
        <f t="shared" si="204"/>
        <v/>
      </c>
    </row>
    <row r="2771" spans="19:19">
      <c r="S2771" s="61" t="str">
        <f t="shared" si="204"/>
        <v/>
      </c>
    </row>
    <row r="2772" spans="19:19">
      <c r="S2772" s="61" t="str">
        <f t="shared" si="204"/>
        <v/>
      </c>
    </row>
    <row r="2773" spans="19:19">
      <c r="S2773" s="61" t="str">
        <f t="shared" si="204"/>
        <v/>
      </c>
    </row>
    <row r="2774" spans="19:19">
      <c r="S2774" s="61" t="str">
        <f t="shared" si="204"/>
        <v/>
      </c>
    </row>
    <row r="2775" spans="19:19">
      <c r="S2775" s="61" t="str">
        <f t="shared" si="204"/>
        <v/>
      </c>
    </row>
    <row r="2776" spans="19:19">
      <c r="S2776" s="61" t="str">
        <f t="shared" si="204"/>
        <v/>
      </c>
    </row>
    <row r="2777" spans="19:19">
      <c r="S2777" s="61" t="str">
        <f t="shared" si="204"/>
        <v/>
      </c>
    </row>
    <row r="2778" spans="19:19">
      <c r="S2778" s="61" t="str">
        <f t="shared" si="204"/>
        <v/>
      </c>
    </row>
    <row r="2779" spans="19:19">
      <c r="S2779" s="61" t="str">
        <f t="shared" si="204"/>
        <v/>
      </c>
    </row>
    <row r="2780" spans="19:19">
      <c r="S2780" s="61" t="str">
        <f t="shared" si="204"/>
        <v/>
      </c>
    </row>
    <row r="2781" spans="19:19">
      <c r="S2781" s="61" t="str">
        <f t="shared" si="204"/>
        <v/>
      </c>
    </row>
    <row r="2782" spans="19:19">
      <c r="S2782" s="61" t="str">
        <f t="shared" ref="S2782:S2845" si="205">IF(O2782="innerText",I2782&amp;"="&amp;IF(C2782="Y",IF(J2782&lt;&gt;"Y",$S$9&amp;$R$10&amp;"."&amp;E2782&amp;")."&amp;IF(OR(O2782="click",O2782="innerText"),O2782&amp;"();",O2782&amp;"("&amp;$Q$9&amp;"."&amp;E2782&amp;");"),$S$110&amp;$R$10&amp;"."&amp;E2782&amp;")."&amp;IF(O2782="click",O2782&amp;"();",O2782&amp;"("&amp;"'"&amp;K2782&amp;"'"&amp;");")),""),IF(C2782="Y",IF(J2782&lt;&gt;"Y",$S$9&amp;$R$10&amp;"."&amp;E2782&amp;")."&amp;IF(OR(O2782="click",O2782="innerText"),O2782&amp;"();",O2782&amp;"("&amp;$Q$9&amp;"."&amp;E2782&amp;");"),$S$110&amp;$R$10&amp;"."&amp;E2782&amp;")."&amp;IF(O2782="click",O2782&amp;"();",O2782&amp;"("&amp;"'"&amp;K2782&amp;"'"&amp;");")),""))</f>
        <v/>
      </c>
    </row>
    <row r="2783" spans="19:19">
      <c r="S2783" s="61" t="str">
        <f t="shared" si="205"/>
        <v/>
      </c>
    </row>
    <row r="2784" spans="19:19">
      <c r="S2784" s="61" t="str">
        <f t="shared" si="205"/>
        <v/>
      </c>
    </row>
    <row r="2785" spans="19:19">
      <c r="S2785" s="61" t="str">
        <f t="shared" si="205"/>
        <v/>
      </c>
    </row>
    <row r="2786" spans="19:19">
      <c r="S2786" s="61" t="str">
        <f t="shared" si="205"/>
        <v/>
      </c>
    </row>
    <row r="2787" spans="19:19">
      <c r="S2787" s="61" t="str">
        <f t="shared" si="205"/>
        <v/>
      </c>
    </row>
    <row r="2788" spans="19:19">
      <c r="S2788" s="61" t="str">
        <f t="shared" si="205"/>
        <v/>
      </c>
    </row>
    <row r="2789" spans="19:19">
      <c r="S2789" s="61" t="str">
        <f t="shared" si="205"/>
        <v/>
      </c>
    </row>
    <row r="2790" spans="19:19">
      <c r="S2790" s="61" t="str">
        <f t="shared" si="205"/>
        <v/>
      </c>
    </row>
    <row r="2791" spans="19:19">
      <c r="S2791" s="61" t="str">
        <f t="shared" si="205"/>
        <v/>
      </c>
    </row>
    <row r="2792" spans="19:19">
      <c r="S2792" s="61" t="str">
        <f t="shared" si="205"/>
        <v/>
      </c>
    </row>
    <row r="2793" spans="19:19">
      <c r="S2793" s="61" t="str">
        <f t="shared" si="205"/>
        <v/>
      </c>
    </row>
    <row r="2794" spans="19:19">
      <c r="S2794" s="61" t="str">
        <f t="shared" si="205"/>
        <v/>
      </c>
    </row>
    <row r="2795" spans="19:19">
      <c r="S2795" s="61" t="str">
        <f t="shared" si="205"/>
        <v/>
      </c>
    </row>
    <row r="2796" spans="19:19">
      <c r="S2796" s="61" t="str">
        <f t="shared" si="205"/>
        <v/>
      </c>
    </row>
    <row r="2797" spans="19:19">
      <c r="S2797" s="61" t="str">
        <f t="shared" si="205"/>
        <v/>
      </c>
    </row>
    <row r="2798" spans="19:19">
      <c r="S2798" s="61" t="str">
        <f t="shared" si="205"/>
        <v/>
      </c>
    </row>
    <row r="2799" spans="19:19">
      <c r="S2799" s="61" t="str">
        <f t="shared" si="205"/>
        <v/>
      </c>
    </row>
    <row r="2800" spans="19:19">
      <c r="S2800" s="61" t="str">
        <f t="shared" si="205"/>
        <v/>
      </c>
    </row>
    <row r="2801" spans="19:19">
      <c r="S2801" s="61" t="str">
        <f t="shared" si="205"/>
        <v/>
      </c>
    </row>
    <row r="2802" spans="19:19">
      <c r="S2802" s="61" t="str">
        <f t="shared" si="205"/>
        <v/>
      </c>
    </row>
    <row r="2803" spans="19:19">
      <c r="S2803" s="61" t="str">
        <f t="shared" si="205"/>
        <v/>
      </c>
    </row>
    <row r="2804" spans="19:19">
      <c r="S2804" s="61" t="str">
        <f t="shared" si="205"/>
        <v/>
      </c>
    </row>
    <row r="2805" spans="19:19">
      <c r="S2805" s="61" t="str">
        <f t="shared" si="205"/>
        <v/>
      </c>
    </row>
    <row r="2806" spans="19:19">
      <c r="S2806" s="61" t="str">
        <f t="shared" si="205"/>
        <v/>
      </c>
    </row>
    <row r="2807" spans="19:19">
      <c r="S2807" s="61" t="str">
        <f t="shared" si="205"/>
        <v/>
      </c>
    </row>
    <row r="2808" spans="19:19">
      <c r="S2808" s="61" t="str">
        <f t="shared" si="205"/>
        <v/>
      </c>
    </row>
    <row r="2809" spans="19:19">
      <c r="S2809" s="61" t="str">
        <f t="shared" si="205"/>
        <v/>
      </c>
    </row>
    <row r="2810" spans="19:19">
      <c r="S2810" s="61" t="str">
        <f t="shared" si="205"/>
        <v/>
      </c>
    </row>
    <row r="2811" spans="19:19">
      <c r="S2811" s="61" t="str">
        <f t="shared" si="205"/>
        <v/>
      </c>
    </row>
    <row r="2812" spans="19:19">
      <c r="S2812" s="61" t="str">
        <f t="shared" si="205"/>
        <v/>
      </c>
    </row>
    <row r="2813" spans="19:19">
      <c r="S2813" s="61" t="str">
        <f t="shared" si="205"/>
        <v/>
      </c>
    </row>
    <row r="2814" spans="19:19">
      <c r="S2814" s="61" t="str">
        <f t="shared" si="205"/>
        <v/>
      </c>
    </row>
    <row r="2815" spans="19:19">
      <c r="S2815" s="61" t="str">
        <f t="shared" si="205"/>
        <v/>
      </c>
    </row>
    <row r="2816" spans="19:19">
      <c r="S2816" s="61" t="str">
        <f t="shared" si="205"/>
        <v/>
      </c>
    </row>
    <row r="2817" spans="19:19">
      <c r="S2817" s="61" t="str">
        <f t="shared" si="205"/>
        <v/>
      </c>
    </row>
    <row r="2818" spans="19:19">
      <c r="S2818" s="61" t="str">
        <f t="shared" si="205"/>
        <v/>
      </c>
    </row>
    <row r="2819" spans="19:19">
      <c r="S2819" s="61" t="str">
        <f t="shared" si="205"/>
        <v/>
      </c>
    </row>
    <row r="2820" spans="19:19">
      <c r="S2820" s="61" t="str">
        <f t="shared" si="205"/>
        <v/>
      </c>
    </row>
    <row r="2821" spans="19:19">
      <c r="S2821" s="61" t="str">
        <f t="shared" si="205"/>
        <v/>
      </c>
    </row>
    <row r="2822" spans="19:19">
      <c r="S2822" s="61" t="str">
        <f t="shared" si="205"/>
        <v/>
      </c>
    </row>
    <row r="2823" spans="19:19">
      <c r="S2823" s="61" t="str">
        <f t="shared" si="205"/>
        <v/>
      </c>
    </row>
    <row r="2824" spans="19:19">
      <c r="S2824" s="61" t="str">
        <f t="shared" si="205"/>
        <v/>
      </c>
    </row>
    <row r="2825" spans="19:19">
      <c r="S2825" s="61" t="str">
        <f t="shared" si="205"/>
        <v/>
      </c>
    </row>
    <row r="2826" spans="19:19">
      <c r="S2826" s="61" t="str">
        <f t="shared" si="205"/>
        <v/>
      </c>
    </row>
    <row r="2827" spans="19:19">
      <c r="S2827" s="61" t="str">
        <f t="shared" si="205"/>
        <v/>
      </c>
    </row>
    <row r="2828" spans="19:19">
      <c r="S2828" s="61" t="str">
        <f t="shared" si="205"/>
        <v/>
      </c>
    </row>
    <row r="2829" spans="19:19">
      <c r="S2829" s="61" t="str">
        <f t="shared" si="205"/>
        <v/>
      </c>
    </row>
    <row r="2830" spans="19:19">
      <c r="S2830" s="61" t="str">
        <f t="shared" si="205"/>
        <v/>
      </c>
    </row>
    <row r="2831" spans="19:19">
      <c r="S2831" s="61" t="str">
        <f t="shared" si="205"/>
        <v/>
      </c>
    </row>
    <row r="2832" spans="19:19">
      <c r="S2832" s="61" t="str">
        <f t="shared" si="205"/>
        <v/>
      </c>
    </row>
    <row r="2833" spans="19:19">
      <c r="S2833" s="61" t="str">
        <f t="shared" si="205"/>
        <v/>
      </c>
    </row>
    <row r="2834" spans="19:19">
      <c r="S2834" s="61" t="str">
        <f t="shared" si="205"/>
        <v/>
      </c>
    </row>
    <row r="2835" spans="19:19">
      <c r="S2835" s="61" t="str">
        <f t="shared" si="205"/>
        <v/>
      </c>
    </row>
    <row r="2836" spans="19:19">
      <c r="S2836" s="61" t="str">
        <f t="shared" si="205"/>
        <v/>
      </c>
    </row>
    <row r="2837" spans="19:19">
      <c r="S2837" s="61" t="str">
        <f t="shared" si="205"/>
        <v/>
      </c>
    </row>
    <row r="2838" spans="19:19">
      <c r="S2838" s="61" t="str">
        <f t="shared" si="205"/>
        <v/>
      </c>
    </row>
    <row r="2839" spans="19:19">
      <c r="S2839" s="61" t="str">
        <f t="shared" si="205"/>
        <v/>
      </c>
    </row>
    <row r="2840" spans="19:19">
      <c r="S2840" s="61" t="str">
        <f t="shared" si="205"/>
        <v/>
      </c>
    </row>
    <row r="2841" spans="19:19">
      <c r="S2841" s="61" t="str">
        <f t="shared" si="205"/>
        <v/>
      </c>
    </row>
    <row r="2842" spans="19:19">
      <c r="S2842" s="61" t="str">
        <f t="shared" si="205"/>
        <v/>
      </c>
    </row>
    <row r="2843" spans="19:19">
      <c r="S2843" s="61" t="str">
        <f t="shared" si="205"/>
        <v/>
      </c>
    </row>
    <row r="2844" spans="19:19">
      <c r="S2844" s="61" t="str">
        <f t="shared" si="205"/>
        <v/>
      </c>
    </row>
    <row r="2845" spans="19:19">
      <c r="S2845" s="61" t="str">
        <f t="shared" si="205"/>
        <v/>
      </c>
    </row>
    <row r="2846" spans="19:19">
      <c r="S2846" s="61" t="str">
        <f t="shared" ref="S2846:S2909" si="206">IF(O2846="innerText",I2846&amp;"="&amp;IF(C2846="Y",IF(J2846&lt;&gt;"Y",$S$9&amp;$R$10&amp;"."&amp;E2846&amp;")."&amp;IF(OR(O2846="click",O2846="innerText"),O2846&amp;"();",O2846&amp;"("&amp;$Q$9&amp;"."&amp;E2846&amp;");"),$S$110&amp;$R$10&amp;"."&amp;E2846&amp;")."&amp;IF(O2846="click",O2846&amp;"();",O2846&amp;"("&amp;"'"&amp;K2846&amp;"'"&amp;");")),""),IF(C2846="Y",IF(J2846&lt;&gt;"Y",$S$9&amp;$R$10&amp;"."&amp;E2846&amp;")."&amp;IF(OR(O2846="click",O2846="innerText"),O2846&amp;"();",O2846&amp;"("&amp;$Q$9&amp;"."&amp;E2846&amp;");"),$S$110&amp;$R$10&amp;"."&amp;E2846&amp;")."&amp;IF(O2846="click",O2846&amp;"();",O2846&amp;"("&amp;"'"&amp;K2846&amp;"'"&amp;");")),""))</f>
        <v/>
      </c>
    </row>
    <row r="2847" spans="19:19">
      <c r="S2847" s="61" t="str">
        <f t="shared" si="206"/>
        <v/>
      </c>
    </row>
    <row r="2848" spans="19:19">
      <c r="S2848" s="61" t="str">
        <f t="shared" si="206"/>
        <v/>
      </c>
    </row>
    <row r="2849" spans="19:19">
      <c r="S2849" s="61" t="str">
        <f t="shared" si="206"/>
        <v/>
      </c>
    </row>
    <row r="2850" spans="19:19">
      <c r="S2850" s="61" t="str">
        <f t="shared" si="206"/>
        <v/>
      </c>
    </row>
    <row r="2851" spans="19:19">
      <c r="S2851" s="61" t="str">
        <f t="shared" si="206"/>
        <v/>
      </c>
    </row>
    <row r="2852" spans="19:19">
      <c r="S2852" s="61" t="str">
        <f t="shared" si="206"/>
        <v/>
      </c>
    </row>
    <row r="2853" spans="19:19">
      <c r="S2853" s="61" t="str">
        <f t="shared" si="206"/>
        <v/>
      </c>
    </row>
    <row r="2854" spans="19:19">
      <c r="S2854" s="61" t="str">
        <f t="shared" si="206"/>
        <v/>
      </c>
    </row>
    <row r="2855" spans="19:19">
      <c r="S2855" s="61" t="str">
        <f t="shared" si="206"/>
        <v/>
      </c>
    </row>
    <row r="2856" spans="19:19">
      <c r="S2856" s="61" t="str">
        <f t="shared" si="206"/>
        <v/>
      </c>
    </row>
    <row r="2857" spans="19:19">
      <c r="S2857" s="61" t="str">
        <f t="shared" si="206"/>
        <v/>
      </c>
    </row>
    <row r="2858" spans="19:19">
      <c r="S2858" s="61" t="str">
        <f t="shared" si="206"/>
        <v/>
      </c>
    </row>
    <row r="2859" spans="19:19">
      <c r="S2859" s="61" t="str">
        <f t="shared" si="206"/>
        <v/>
      </c>
    </row>
    <row r="2860" spans="19:19">
      <c r="S2860" s="61" t="str">
        <f t="shared" si="206"/>
        <v/>
      </c>
    </row>
    <row r="2861" spans="19:19">
      <c r="S2861" s="61" t="str">
        <f t="shared" si="206"/>
        <v/>
      </c>
    </row>
    <row r="2862" spans="19:19">
      <c r="S2862" s="61" t="str">
        <f t="shared" si="206"/>
        <v/>
      </c>
    </row>
    <row r="2863" spans="19:19">
      <c r="S2863" s="61" t="str">
        <f t="shared" si="206"/>
        <v/>
      </c>
    </row>
    <row r="2864" spans="19:19">
      <c r="S2864" s="61" t="str">
        <f t="shared" si="206"/>
        <v/>
      </c>
    </row>
    <row r="2865" spans="19:19">
      <c r="S2865" s="61" t="str">
        <f t="shared" si="206"/>
        <v/>
      </c>
    </row>
    <row r="2866" spans="19:19">
      <c r="S2866" s="61" t="str">
        <f t="shared" si="206"/>
        <v/>
      </c>
    </row>
    <row r="2867" spans="19:19">
      <c r="S2867" s="61" t="str">
        <f t="shared" si="206"/>
        <v/>
      </c>
    </row>
    <row r="2868" spans="19:19">
      <c r="S2868" s="61" t="str">
        <f t="shared" si="206"/>
        <v/>
      </c>
    </row>
    <row r="2869" spans="19:19">
      <c r="S2869" s="61" t="str">
        <f t="shared" si="206"/>
        <v/>
      </c>
    </row>
    <row r="2870" spans="19:19">
      <c r="S2870" s="61" t="str">
        <f t="shared" si="206"/>
        <v/>
      </c>
    </row>
    <row r="2871" spans="19:19">
      <c r="S2871" s="61" t="str">
        <f t="shared" si="206"/>
        <v/>
      </c>
    </row>
    <row r="2872" spans="19:19">
      <c r="S2872" s="61" t="str">
        <f t="shared" si="206"/>
        <v/>
      </c>
    </row>
    <row r="2873" spans="19:19">
      <c r="S2873" s="61" t="str">
        <f t="shared" si="206"/>
        <v/>
      </c>
    </row>
    <row r="2874" spans="19:19">
      <c r="S2874" s="61" t="str">
        <f t="shared" si="206"/>
        <v/>
      </c>
    </row>
    <row r="2875" spans="19:19">
      <c r="S2875" s="61" t="str">
        <f t="shared" si="206"/>
        <v/>
      </c>
    </row>
    <row r="2876" spans="19:19">
      <c r="S2876" s="61" t="str">
        <f t="shared" si="206"/>
        <v/>
      </c>
    </row>
    <row r="2877" spans="19:19">
      <c r="S2877" s="61" t="str">
        <f t="shared" si="206"/>
        <v/>
      </c>
    </row>
    <row r="2878" spans="19:19">
      <c r="S2878" s="61" t="str">
        <f t="shared" si="206"/>
        <v/>
      </c>
    </row>
    <row r="2879" spans="19:19">
      <c r="S2879" s="61" t="str">
        <f t="shared" si="206"/>
        <v/>
      </c>
    </row>
    <row r="2880" spans="19:19">
      <c r="S2880" s="61" t="str">
        <f t="shared" si="206"/>
        <v/>
      </c>
    </row>
    <row r="2881" spans="19:19">
      <c r="S2881" s="61" t="str">
        <f t="shared" si="206"/>
        <v/>
      </c>
    </row>
    <row r="2882" spans="19:19">
      <c r="S2882" s="61" t="str">
        <f t="shared" si="206"/>
        <v/>
      </c>
    </row>
    <row r="2883" spans="19:19">
      <c r="S2883" s="61" t="str">
        <f t="shared" si="206"/>
        <v/>
      </c>
    </row>
    <row r="2884" spans="19:19">
      <c r="S2884" s="61" t="str">
        <f t="shared" si="206"/>
        <v/>
      </c>
    </row>
    <row r="2885" spans="19:19">
      <c r="S2885" s="61" t="str">
        <f t="shared" si="206"/>
        <v/>
      </c>
    </row>
    <row r="2886" spans="19:19">
      <c r="S2886" s="61" t="str">
        <f t="shared" si="206"/>
        <v/>
      </c>
    </row>
    <row r="2887" spans="19:19">
      <c r="S2887" s="61" t="str">
        <f t="shared" si="206"/>
        <v/>
      </c>
    </row>
    <row r="2888" spans="19:19">
      <c r="S2888" s="61" t="str">
        <f t="shared" si="206"/>
        <v/>
      </c>
    </row>
    <row r="2889" spans="19:19">
      <c r="S2889" s="61" t="str">
        <f t="shared" si="206"/>
        <v/>
      </c>
    </row>
    <row r="2890" spans="19:19">
      <c r="S2890" s="61" t="str">
        <f t="shared" si="206"/>
        <v/>
      </c>
    </row>
    <row r="2891" spans="19:19">
      <c r="S2891" s="61" t="str">
        <f t="shared" si="206"/>
        <v/>
      </c>
    </row>
    <row r="2892" spans="19:19">
      <c r="S2892" s="61" t="str">
        <f t="shared" si="206"/>
        <v/>
      </c>
    </row>
    <row r="2893" spans="19:19">
      <c r="S2893" s="61" t="str">
        <f t="shared" si="206"/>
        <v/>
      </c>
    </row>
    <row r="2894" spans="19:19">
      <c r="S2894" s="61" t="str">
        <f t="shared" si="206"/>
        <v/>
      </c>
    </row>
    <row r="2895" spans="19:19">
      <c r="S2895" s="61" t="str">
        <f t="shared" si="206"/>
        <v/>
      </c>
    </row>
    <row r="2896" spans="19:19">
      <c r="S2896" s="61" t="str">
        <f t="shared" si="206"/>
        <v/>
      </c>
    </row>
    <row r="2897" spans="19:19">
      <c r="S2897" s="61" t="str">
        <f t="shared" si="206"/>
        <v/>
      </c>
    </row>
    <row r="2898" spans="19:19">
      <c r="S2898" s="61" t="str">
        <f t="shared" si="206"/>
        <v/>
      </c>
    </row>
    <row r="2899" spans="19:19">
      <c r="S2899" s="61" t="str">
        <f t="shared" si="206"/>
        <v/>
      </c>
    </row>
    <row r="2900" spans="19:19">
      <c r="S2900" s="61" t="str">
        <f t="shared" si="206"/>
        <v/>
      </c>
    </row>
    <row r="2901" spans="19:19">
      <c r="S2901" s="61" t="str">
        <f t="shared" si="206"/>
        <v/>
      </c>
    </row>
    <row r="2902" spans="19:19">
      <c r="S2902" s="61" t="str">
        <f t="shared" si="206"/>
        <v/>
      </c>
    </row>
    <row r="2903" spans="19:19">
      <c r="S2903" s="61" t="str">
        <f t="shared" si="206"/>
        <v/>
      </c>
    </row>
    <row r="2904" spans="19:19">
      <c r="S2904" s="61" t="str">
        <f t="shared" si="206"/>
        <v/>
      </c>
    </row>
    <row r="2905" spans="19:19">
      <c r="S2905" s="61" t="str">
        <f t="shared" si="206"/>
        <v/>
      </c>
    </row>
    <row r="2906" spans="19:19">
      <c r="S2906" s="61" t="str">
        <f t="shared" si="206"/>
        <v/>
      </c>
    </row>
    <row r="2907" spans="19:19">
      <c r="S2907" s="61" t="str">
        <f t="shared" si="206"/>
        <v/>
      </c>
    </row>
    <row r="2908" spans="19:19">
      <c r="S2908" s="61" t="str">
        <f t="shared" si="206"/>
        <v/>
      </c>
    </row>
    <row r="2909" spans="19:19">
      <c r="S2909" s="61" t="str">
        <f t="shared" si="206"/>
        <v/>
      </c>
    </row>
    <row r="2910" spans="19:19">
      <c r="S2910" s="61" t="str">
        <f t="shared" ref="S2910:S2973" si="207">IF(O2910="innerText",I2910&amp;"="&amp;IF(C2910="Y",IF(J2910&lt;&gt;"Y",$S$9&amp;$R$10&amp;"."&amp;E2910&amp;")."&amp;IF(OR(O2910="click",O2910="innerText"),O2910&amp;"();",O2910&amp;"("&amp;$Q$9&amp;"."&amp;E2910&amp;");"),$S$110&amp;$R$10&amp;"."&amp;E2910&amp;")."&amp;IF(O2910="click",O2910&amp;"();",O2910&amp;"("&amp;"'"&amp;K2910&amp;"'"&amp;");")),""),IF(C2910="Y",IF(J2910&lt;&gt;"Y",$S$9&amp;$R$10&amp;"."&amp;E2910&amp;")."&amp;IF(OR(O2910="click",O2910="innerText"),O2910&amp;"();",O2910&amp;"("&amp;$Q$9&amp;"."&amp;E2910&amp;");"),$S$110&amp;$R$10&amp;"."&amp;E2910&amp;")."&amp;IF(O2910="click",O2910&amp;"();",O2910&amp;"("&amp;"'"&amp;K2910&amp;"'"&amp;");")),""))</f>
        <v/>
      </c>
    </row>
    <row r="2911" spans="19:19">
      <c r="S2911" s="61" t="str">
        <f t="shared" si="207"/>
        <v/>
      </c>
    </row>
    <row r="2912" spans="19:19">
      <c r="S2912" s="61" t="str">
        <f t="shared" si="207"/>
        <v/>
      </c>
    </row>
    <row r="2913" spans="19:19">
      <c r="S2913" s="61" t="str">
        <f t="shared" si="207"/>
        <v/>
      </c>
    </row>
    <row r="2914" spans="19:19">
      <c r="S2914" s="61" t="str">
        <f t="shared" si="207"/>
        <v/>
      </c>
    </row>
    <row r="2915" spans="19:19">
      <c r="S2915" s="61" t="str">
        <f t="shared" si="207"/>
        <v/>
      </c>
    </row>
    <row r="2916" spans="19:19">
      <c r="S2916" s="61" t="str">
        <f t="shared" si="207"/>
        <v/>
      </c>
    </row>
    <row r="2917" spans="19:19">
      <c r="S2917" s="61" t="str">
        <f t="shared" si="207"/>
        <v/>
      </c>
    </row>
    <row r="2918" spans="19:19">
      <c r="S2918" s="61" t="str">
        <f t="shared" si="207"/>
        <v/>
      </c>
    </row>
    <row r="2919" spans="19:19">
      <c r="S2919" s="61" t="str">
        <f t="shared" si="207"/>
        <v/>
      </c>
    </row>
    <row r="2920" spans="19:19">
      <c r="S2920" s="61" t="str">
        <f t="shared" si="207"/>
        <v/>
      </c>
    </row>
    <row r="2921" spans="19:19">
      <c r="S2921" s="61" t="str">
        <f t="shared" si="207"/>
        <v/>
      </c>
    </row>
    <row r="2922" spans="19:19">
      <c r="S2922" s="61" t="str">
        <f t="shared" si="207"/>
        <v/>
      </c>
    </row>
    <row r="2923" spans="19:19">
      <c r="S2923" s="61" t="str">
        <f t="shared" si="207"/>
        <v/>
      </c>
    </row>
    <row r="2924" spans="19:19">
      <c r="S2924" s="61" t="str">
        <f t="shared" si="207"/>
        <v/>
      </c>
    </row>
    <row r="2925" spans="19:19">
      <c r="S2925" s="61" t="str">
        <f t="shared" si="207"/>
        <v/>
      </c>
    </row>
    <row r="2926" spans="19:19">
      <c r="S2926" s="61" t="str">
        <f t="shared" si="207"/>
        <v/>
      </c>
    </row>
    <row r="2927" spans="19:19">
      <c r="S2927" s="61" t="str">
        <f t="shared" si="207"/>
        <v/>
      </c>
    </row>
    <row r="2928" spans="19:19">
      <c r="S2928" s="61" t="str">
        <f t="shared" si="207"/>
        <v/>
      </c>
    </row>
    <row r="2929" spans="19:19">
      <c r="S2929" s="61" t="str">
        <f t="shared" si="207"/>
        <v/>
      </c>
    </row>
    <row r="2930" spans="19:19">
      <c r="S2930" s="61" t="str">
        <f t="shared" si="207"/>
        <v/>
      </c>
    </row>
    <row r="2931" spans="19:19">
      <c r="S2931" s="61" t="str">
        <f t="shared" si="207"/>
        <v/>
      </c>
    </row>
    <row r="2932" spans="19:19">
      <c r="S2932" s="61" t="str">
        <f t="shared" si="207"/>
        <v/>
      </c>
    </row>
    <row r="2933" spans="19:19">
      <c r="S2933" s="61" t="str">
        <f t="shared" si="207"/>
        <v/>
      </c>
    </row>
    <row r="2934" spans="19:19">
      <c r="S2934" s="61" t="str">
        <f t="shared" si="207"/>
        <v/>
      </c>
    </row>
    <row r="2935" spans="19:19">
      <c r="S2935" s="61" t="str">
        <f t="shared" si="207"/>
        <v/>
      </c>
    </row>
    <row r="2936" spans="19:19">
      <c r="S2936" s="61" t="str">
        <f t="shared" si="207"/>
        <v/>
      </c>
    </row>
    <row r="2937" spans="19:19">
      <c r="S2937" s="61" t="str">
        <f t="shared" si="207"/>
        <v/>
      </c>
    </row>
    <row r="2938" spans="19:19">
      <c r="S2938" s="61" t="str">
        <f t="shared" si="207"/>
        <v/>
      </c>
    </row>
    <row r="2939" spans="19:19">
      <c r="S2939" s="61" t="str">
        <f t="shared" si="207"/>
        <v/>
      </c>
    </row>
    <row r="2940" spans="19:19">
      <c r="S2940" s="61" t="str">
        <f t="shared" si="207"/>
        <v/>
      </c>
    </row>
    <row r="2941" spans="19:19">
      <c r="S2941" s="61" t="str">
        <f t="shared" si="207"/>
        <v/>
      </c>
    </row>
    <row r="2942" spans="19:19">
      <c r="S2942" s="61" t="str">
        <f t="shared" si="207"/>
        <v/>
      </c>
    </row>
    <row r="2943" spans="19:19">
      <c r="S2943" s="61" t="str">
        <f t="shared" si="207"/>
        <v/>
      </c>
    </row>
    <row r="2944" spans="19:19">
      <c r="S2944" s="61" t="str">
        <f t="shared" si="207"/>
        <v/>
      </c>
    </row>
    <row r="2945" spans="19:19">
      <c r="S2945" s="61" t="str">
        <f t="shared" si="207"/>
        <v/>
      </c>
    </row>
    <row r="2946" spans="19:19">
      <c r="S2946" s="61" t="str">
        <f t="shared" si="207"/>
        <v/>
      </c>
    </row>
    <row r="2947" spans="19:19">
      <c r="S2947" s="61" t="str">
        <f t="shared" si="207"/>
        <v/>
      </c>
    </row>
    <row r="2948" spans="19:19">
      <c r="S2948" s="61" t="str">
        <f t="shared" si="207"/>
        <v/>
      </c>
    </row>
    <row r="2949" spans="19:19">
      <c r="S2949" s="61" t="str">
        <f t="shared" si="207"/>
        <v/>
      </c>
    </row>
    <row r="2950" spans="19:19">
      <c r="S2950" s="61" t="str">
        <f t="shared" si="207"/>
        <v/>
      </c>
    </row>
    <row r="2951" spans="19:19">
      <c r="S2951" s="61" t="str">
        <f t="shared" si="207"/>
        <v/>
      </c>
    </row>
    <row r="2952" spans="19:19">
      <c r="S2952" s="61" t="str">
        <f t="shared" si="207"/>
        <v/>
      </c>
    </row>
    <row r="2953" spans="19:19">
      <c r="S2953" s="61" t="str">
        <f t="shared" si="207"/>
        <v/>
      </c>
    </row>
    <row r="2954" spans="19:19">
      <c r="S2954" s="61" t="str">
        <f t="shared" si="207"/>
        <v/>
      </c>
    </row>
    <row r="2955" spans="19:19">
      <c r="S2955" s="61" t="str">
        <f t="shared" si="207"/>
        <v/>
      </c>
    </row>
    <row r="2956" spans="19:19">
      <c r="S2956" s="61" t="str">
        <f t="shared" si="207"/>
        <v/>
      </c>
    </row>
    <row r="2957" spans="19:19">
      <c r="S2957" s="61" t="str">
        <f t="shared" si="207"/>
        <v/>
      </c>
    </row>
    <row r="2958" spans="19:19">
      <c r="S2958" s="61" t="str">
        <f t="shared" si="207"/>
        <v/>
      </c>
    </row>
    <row r="2959" spans="19:19">
      <c r="S2959" s="61" t="str">
        <f t="shared" si="207"/>
        <v/>
      </c>
    </row>
    <row r="2960" spans="19:19">
      <c r="S2960" s="61" t="str">
        <f t="shared" si="207"/>
        <v/>
      </c>
    </row>
    <row r="2961" spans="19:19">
      <c r="S2961" s="61" t="str">
        <f t="shared" si="207"/>
        <v/>
      </c>
    </row>
    <row r="2962" spans="19:19">
      <c r="S2962" s="61" t="str">
        <f t="shared" si="207"/>
        <v/>
      </c>
    </row>
    <row r="2963" spans="19:19">
      <c r="S2963" s="61" t="str">
        <f t="shared" si="207"/>
        <v/>
      </c>
    </row>
    <row r="2964" spans="19:19">
      <c r="S2964" s="61" t="str">
        <f t="shared" si="207"/>
        <v/>
      </c>
    </row>
    <row r="2965" spans="19:19">
      <c r="S2965" s="61" t="str">
        <f t="shared" si="207"/>
        <v/>
      </c>
    </row>
    <row r="2966" spans="19:19">
      <c r="S2966" s="61" t="str">
        <f t="shared" si="207"/>
        <v/>
      </c>
    </row>
    <row r="2967" spans="19:19">
      <c r="S2967" s="61" t="str">
        <f t="shared" si="207"/>
        <v/>
      </c>
    </row>
    <row r="2968" spans="19:19">
      <c r="S2968" s="61" t="str">
        <f t="shared" si="207"/>
        <v/>
      </c>
    </row>
    <row r="2969" spans="19:19">
      <c r="S2969" s="61" t="str">
        <f t="shared" si="207"/>
        <v/>
      </c>
    </row>
    <row r="2970" spans="19:19">
      <c r="S2970" s="61" t="str">
        <f t="shared" si="207"/>
        <v/>
      </c>
    </row>
    <row r="2971" spans="19:19">
      <c r="S2971" s="61" t="str">
        <f t="shared" si="207"/>
        <v/>
      </c>
    </row>
    <row r="2972" spans="19:19">
      <c r="S2972" s="61" t="str">
        <f t="shared" si="207"/>
        <v/>
      </c>
    </row>
    <row r="2973" spans="19:19">
      <c r="S2973" s="61" t="str">
        <f t="shared" si="207"/>
        <v/>
      </c>
    </row>
    <row r="2974" spans="19:19">
      <c r="S2974" s="61" t="str">
        <f t="shared" ref="S2974:S3037" si="208">IF(O2974="innerText",I2974&amp;"="&amp;IF(C2974="Y",IF(J2974&lt;&gt;"Y",$S$9&amp;$R$10&amp;"."&amp;E2974&amp;")."&amp;IF(OR(O2974="click",O2974="innerText"),O2974&amp;"();",O2974&amp;"("&amp;$Q$9&amp;"."&amp;E2974&amp;");"),$S$110&amp;$R$10&amp;"."&amp;E2974&amp;")."&amp;IF(O2974="click",O2974&amp;"();",O2974&amp;"("&amp;"'"&amp;K2974&amp;"'"&amp;");")),""),IF(C2974="Y",IF(J2974&lt;&gt;"Y",$S$9&amp;$R$10&amp;"."&amp;E2974&amp;")."&amp;IF(OR(O2974="click",O2974="innerText"),O2974&amp;"();",O2974&amp;"("&amp;$Q$9&amp;"."&amp;E2974&amp;");"),$S$110&amp;$R$10&amp;"."&amp;E2974&amp;")."&amp;IF(O2974="click",O2974&amp;"();",O2974&amp;"("&amp;"'"&amp;K2974&amp;"'"&amp;");")),""))</f>
        <v/>
      </c>
    </row>
    <row r="2975" spans="19:19">
      <c r="S2975" s="61" t="str">
        <f t="shared" si="208"/>
        <v/>
      </c>
    </row>
    <row r="2976" spans="19:19">
      <c r="S2976" s="61" t="str">
        <f t="shared" si="208"/>
        <v/>
      </c>
    </row>
    <row r="2977" spans="19:19">
      <c r="S2977" s="61" t="str">
        <f t="shared" si="208"/>
        <v/>
      </c>
    </row>
    <row r="2978" spans="19:19">
      <c r="S2978" s="61" t="str">
        <f t="shared" si="208"/>
        <v/>
      </c>
    </row>
    <row r="2979" spans="19:19">
      <c r="S2979" s="61" t="str">
        <f t="shared" si="208"/>
        <v/>
      </c>
    </row>
    <row r="2980" spans="19:19">
      <c r="S2980" s="61" t="str">
        <f t="shared" si="208"/>
        <v/>
      </c>
    </row>
    <row r="2981" spans="19:19">
      <c r="S2981" s="61" t="str">
        <f t="shared" si="208"/>
        <v/>
      </c>
    </row>
    <row r="2982" spans="19:19">
      <c r="S2982" s="61" t="str">
        <f t="shared" si="208"/>
        <v/>
      </c>
    </row>
    <row r="2983" spans="19:19">
      <c r="S2983" s="61" t="str">
        <f t="shared" si="208"/>
        <v/>
      </c>
    </row>
    <row r="2984" spans="19:19">
      <c r="S2984" s="61" t="str">
        <f t="shared" si="208"/>
        <v/>
      </c>
    </row>
    <row r="2985" spans="19:19">
      <c r="S2985" s="61" t="str">
        <f t="shared" si="208"/>
        <v/>
      </c>
    </row>
    <row r="2986" spans="19:19">
      <c r="S2986" s="61" t="str">
        <f t="shared" si="208"/>
        <v/>
      </c>
    </row>
    <row r="2987" spans="19:19">
      <c r="S2987" s="61" t="str">
        <f t="shared" si="208"/>
        <v/>
      </c>
    </row>
    <row r="2988" spans="19:19">
      <c r="S2988" s="61" t="str">
        <f t="shared" si="208"/>
        <v/>
      </c>
    </row>
    <row r="2989" spans="19:19">
      <c r="S2989" s="61" t="str">
        <f t="shared" si="208"/>
        <v/>
      </c>
    </row>
    <row r="2990" spans="19:19">
      <c r="S2990" s="61" t="str">
        <f t="shared" si="208"/>
        <v/>
      </c>
    </row>
    <row r="2991" spans="19:19">
      <c r="S2991" s="61" t="str">
        <f t="shared" si="208"/>
        <v/>
      </c>
    </row>
    <row r="2992" spans="19:19">
      <c r="S2992" s="61" t="str">
        <f t="shared" si="208"/>
        <v/>
      </c>
    </row>
    <row r="2993" spans="19:19">
      <c r="S2993" s="61" t="str">
        <f t="shared" si="208"/>
        <v/>
      </c>
    </row>
    <row r="2994" spans="19:19">
      <c r="S2994" s="61" t="str">
        <f t="shared" si="208"/>
        <v/>
      </c>
    </row>
    <row r="2995" spans="19:19">
      <c r="S2995" s="61" t="str">
        <f t="shared" si="208"/>
        <v/>
      </c>
    </row>
    <row r="2996" spans="19:19">
      <c r="S2996" s="61" t="str">
        <f t="shared" si="208"/>
        <v/>
      </c>
    </row>
    <row r="2997" spans="19:19">
      <c r="S2997" s="61" t="str">
        <f t="shared" si="208"/>
        <v/>
      </c>
    </row>
    <row r="2998" spans="19:19">
      <c r="S2998" s="61" t="str">
        <f t="shared" si="208"/>
        <v/>
      </c>
    </row>
    <row r="2999" spans="19:19">
      <c r="S2999" s="61" t="str">
        <f t="shared" si="208"/>
        <v/>
      </c>
    </row>
    <row r="3000" spans="19:19">
      <c r="S3000" s="61" t="str">
        <f t="shared" si="208"/>
        <v/>
      </c>
    </row>
    <row r="3001" spans="19:19">
      <c r="S3001" s="61" t="str">
        <f t="shared" si="208"/>
        <v/>
      </c>
    </row>
    <row r="3002" spans="19:19">
      <c r="S3002" s="61" t="str">
        <f t="shared" si="208"/>
        <v/>
      </c>
    </row>
    <row r="3003" spans="19:19">
      <c r="S3003" s="61" t="str">
        <f t="shared" si="208"/>
        <v/>
      </c>
    </row>
    <row r="3004" spans="19:19">
      <c r="S3004" s="61" t="str">
        <f t="shared" si="208"/>
        <v/>
      </c>
    </row>
    <row r="3005" spans="19:19">
      <c r="S3005" s="61" t="str">
        <f t="shared" si="208"/>
        <v/>
      </c>
    </row>
    <row r="3006" spans="19:19">
      <c r="S3006" s="61" t="str">
        <f t="shared" si="208"/>
        <v/>
      </c>
    </row>
    <row r="3007" spans="19:19">
      <c r="S3007" s="61" t="str">
        <f t="shared" si="208"/>
        <v/>
      </c>
    </row>
    <row r="3008" spans="19:19">
      <c r="S3008" s="61" t="str">
        <f t="shared" si="208"/>
        <v/>
      </c>
    </row>
    <row r="3009" spans="19:19">
      <c r="S3009" s="61" t="str">
        <f t="shared" si="208"/>
        <v/>
      </c>
    </row>
    <row r="3010" spans="19:19">
      <c r="S3010" s="61" t="str">
        <f t="shared" si="208"/>
        <v/>
      </c>
    </row>
    <row r="3011" spans="19:19">
      <c r="S3011" s="61" t="str">
        <f t="shared" si="208"/>
        <v/>
      </c>
    </row>
    <row r="3012" spans="19:19">
      <c r="S3012" s="61" t="str">
        <f t="shared" si="208"/>
        <v/>
      </c>
    </row>
    <row r="3013" spans="19:19">
      <c r="S3013" s="61" t="str">
        <f t="shared" si="208"/>
        <v/>
      </c>
    </row>
    <row r="3014" spans="19:19">
      <c r="S3014" s="61" t="str">
        <f t="shared" si="208"/>
        <v/>
      </c>
    </row>
    <row r="3015" spans="19:19">
      <c r="S3015" s="61" t="str">
        <f t="shared" si="208"/>
        <v/>
      </c>
    </row>
    <row r="3016" spans="19:19">
      <c r="S3016" s="61" t="str">
        <f t="shared" si="208"/>
        <v/>
      </c>
    </row>
    <row r="3017" spans="19:19">
      <c r="S3017" s="61" t="str">
        <f t="shared" si="208"/>
        <v/>
      </c>
    </row>
    <row r="3018" spans="19:19">
      <c r="S3018" s="61" t="str">
        <f t="shared" si="208"/>
        <v/>
      </c>
    </row>
    <row r="3019" spans="19:19">
      <c r="S3019" s="61" t="str">
        <f t="shared" si="208"/>
        <v/>
      </c>
    </row>
    <row r="3020" spans="19:19">
      <c r="S3020" s="61" t="str">
        <f t="shared" si="208"/>
        <v/>
      </c>
    </row>
    <row r="3021" spans="19:19">
      <c r="S3021" s="61" t="str">
        <f t="shared" si="208"/>
        <v/>
      </c>
    </row>
    <row r="3022" spans="19:19">
      <c r="S3022" s="61" t="str">
        <f t="shared" si="208"/>
        <v/>
      </c>
    </row>
    <row r="3023" spans="19:19">
      <c r="S3023" s="61" t="str">
        <f t="shared" si="208"/>
        <v/>
      </c>
    </row>
    <row r="3024" spans="19:19">
      <c r="S3024" s="61" t="str">
        <f t="shared" si="208"/>
        <v/>
      </c>
    </row>
    <row r="3025" spans="19:19">
      <c r="S3025" s="61" t="str">
        <f t="shared" si="208"/>
        <v/>
      </c>
    </row>
    <row r="3026" spans="19:19">
      <c r="S3026" s="61" t="str">
        <f t="shared" si="208"/>
        <v/>
      </c>
    </row>
    <row r="3027" spans="19:19">
      <c r="S3027" s="61" t="str">
        <f t="shared" si="208"/>
        <v/>
      </c>
    </row>
    <row r="3028" spans="19:19">
      <c r="S3028" s="61" t="str">
        <f t="shared" si="208"/>
        <v/>
      </c>
    </row>
    <row r="3029" spans="19:19">
      <c r="S3029" s="61" t="str">
        <f t="shared" si="208"/>
        <v/>
      </c>
    </row>
    <row r="3030" spans="19:19">
      <c r="S3030" s="61" t="str">
        <f t="shared" si="208"/>
        <v/>
      </c>
    </row>
    <row r="3031" spans="19:19">
      <c r="S3031" s="61" t="str">
        <f t="shared" si="208"/>
        <v/>
      </c>
    </row>
    <row r="3032" spans="19:19">
      <c r="S3032" s="61" t="str">
        <f t="shared" si="208"/>
        <v/>
      </c>
    </row>
    <row r="3033" spans="19:19">
      <c r="S3033" s="61" t="str">
        <f t="shared" si="208"/>
        <v/>
      </c>
    </row>
    <row r="3034" spans="19:19">
      <c r="S3034" s="61" t="str">
        <f t="shared" si="208"/>
        <v/>
      </c>
    </row>
    <row r="3035" spans="19:19">
      <c r="S3035" s="61" t="str">
        <f t="shared" si="208"/>
        <v/>
      </c>
    </row>
    <row r="3036" spans="19:19">
      <c r="S3036" s="61" t="str">
        <f t="shared" si="208"/>
        <v/>
      </c>
    </row>
    <row r="3037" spans="19:19">
      <c r="S3037" s="61" t="str">
        <f t="shared" si="208"/>
        <v/>
      </c>
    </row>
    <row r="3038" spans="19:19">
      <c r="S3038" s="61" t="str">
        <f t="shared" ref="S3038:S3101" si="209">IF(O3038="innerText",I3038&amp;"="&amp;IF(C3038="Y",IF(J3038&lt;&gt;"Y",$S$9&amp;$R$10&amp;"."&amp;E3038&amp;")."&amp;IF(OR(O3038="click",O3038="innerText"),O3038&amp;"();",O3038&amp;"("&amp;$Q$9&amp;"."&amp;E3038&amp;");"),$S$110&amp;$R$10&amp;"."&amp;E3038&amp;")."&amp;IF(O3038="click",O3038&amp;"();",O3038&amp;"("&amp;"'"&amp;K3038&amp;"'"&amp;");")),""),IF(C3038="Y",IF(J3038&lt;&gt;"Y",$S$9&amp;$R$10&amp;"."&amp;E3038&amp;")."&amp;IF(OR(O3038="click",O3038="innerText"),O3038&amp;"();",O3038&amp;"("&amp;$Q$9&amp;"."&amp;E3038&amp;");"),$S$110&amp;$R$10&amp;"."&amp;E3038&amp;")."&amp;IF(O3038="click",O3038&amp;"();",O3038&amp;"("&amp;"'"&amp;K3038&amp;"'"&amp;");")),""))</f>
        <v/>
      </c>
    </row>
    <row r="3039" spans="19:19">
      <c r="S3039" s="61" t="str">
        <f t="shared" si="209"/>
        <v/>
      </c>
    </row>
    <row r="3040" spans="19:19">
      <c r="S3040" s="61" t="str">
        <f t="shared" si="209"/>
        <v/>
      </c>
    </row>
    <row r="3041" spans="19:19">
      <c r="S3041" s="61" t="str">
        <f t="shared" si="209"/>
        <v/>
      </c>
    </row>
    <row r="3042" spans="19:19">
      <c r="S3042" s="61" t="str">
        <f t="shared" si="209"/>
        <v/>
      </c>
    </row>
    <row r="3043" spans="19:19">
      <c r="S3043" s="61" t="str">
        <f t="shared" si="209"/>
        <v/>
      </c>
    </row>
    <row r="3044" spans="19:19">
      <c r="S3044" s="61" t="str">
        <f t="shared" si="209"/>
        <v/>
      </c>
    </row>
    <row r="3045" spans="19:19">
      <c r="S3045" s="61" t="str">
        <f t="shared" si="209"/>
        <v/>
      </c>
    </row>
    <row r="3046" spans="19:19">
      <c r="S3046" s="61" t="str">
        <f t="shared" si="209"/>
        <v/>
      </c>
    </row>
    <row r="3047" spans="19:19">
      <c r="S3047" s="61" t="str">
        <f t="shared" si="209"/>
        <v/>
      </c>
    </row>
    <row r="3048" spans="19:19">
      <c r="S3048" s="61" t="str">
        <f t="shared" si="209"/>
        <v/>
      </c>
    </row>
    <row r="3049" spans="19:19">
      <c r="S3049" s="61" t="str">
        <f t="shared" si="209"/>
        <v/>
      </c>
    </row>
    <row r="3050" spans="19:19">
      <c r="S3050" s="61" t="str">
        <f t="shared" si="209"/>
        <v/>
      </c>
    </row>
    <row r="3051" spans="19:19">
      <c r="S3051" s="61" t="str">
        <f t="shared" si="209"/>
        <v/>
      </c>
    </row>
    <row r="3052" spans="19:19">
      <c r="S3052" s="61" t="str">
        <f t="shared" si="209"/>
        <v/>
      </c>
    </row>
    <row r="3053" spans="19:19">
      <c r="S3053" s="61" t="str">
        <f t="shared" si="209"/>
        <v/>
      </c>
    </row>
    <row r="3054" spans="19:19">
      <c r="S3054" s="61" t="str">
        <f t="shared" si="209"/>
        <v/>
      </c>
    </row>
    <row r="3055" spans="19:19">
      <c r="S3055" s="61" t="str">
        <f t="shared" si="209"/>
        <v/>
      </c>
    </row>
    <row r="3056" spans="19:19">
      <c r="S3056" s="61" t="str">
        <f t="shared" si="209"/>
        <v/>
      </c>
    </row>
    <row r="3057" spans="19:19">
      <c r="S3057" s="61" t="str">
        <f t="shared" si="209"/>
        <v/>
      </c>
    </row>
    <row r="3058" spans="19:19">
      <c r="S3058" s="61" t="str">
        <f t="shared" si="209"/>
        <v/>
      </c>
    </row>
    <row r="3059" spans="19:19">
      <c r="S3059" s="61" t="str">
        <f t="shared" si="209"/>
        <v/>
      </c>
    </row>
    <row r="3060" spans="19:19">
      <c r="S3060" s="61" t="str">
        <f t="shared" si="209"/>
        <v/>
      </c>
    </row>
    <row r="3061" spans="19:19">
      <c r="S3061" s="61" t="str">
        <f t="shared" si="209"/>
        <v/>
      </c>
    </row>
    <row r="3062" spans="19:19">
      <c r="S3062" s="61" t="str">
        <f t="shared" si="209"/>
        <v/>
      </c>
    </row>
    <row r="3063" spans="19:19">
      <c r="S3063" s="61" t="str">
        <f t="shared" si="209"/>
        <v/>
      </c>
    </row>
    <row r="3064" spans="19:19">
      <c r="S3064" s="61" t="str">
        <f t="shared" si="209"/>
        <v/>
      </c>
    </row>
    <row r="3065" spans="19:19">
      <c r="S3065" s="61" t="str">
        <f t="shared" si="209"/>
        <v/>
      </c>
    </row>
    <row r="3066" spans="19:19">
      <c r="S3066" s="61" t="str">
        <f t="shared" si="209"/>
        <v/>
      </c>
    </row>
    <row r="3067" spans="19:19">
      <c r="S3067" s="61" t="str">
        <f t="shared" si="209"/>
        <v/>
      </c>
    </row>
    <row r="3068" spans="19:19">
      <c r="S3068" s="61" t="str">
        <f t="shared" si="209"/>
        <v/>
      </c>
    </row>
    <row r="3069" spans="19:19">
      <c r="S3069" s="61" t="str">
        <f t="shared" si="209"/>
        <v/>
      </c>
    </row>
    <row r="3070" spans="19:19">
      <c r="S3070" s="61" t="str">
        <f t="shared" si="209"/>
        <v/>
      </c>
    </row>
    <row r="3071" spans="19:19">
      <c r="S3071" s="61" t="str">
        <f t="shared" si="209"/>
        <v/>
      </c>
    </row>
    <row r="3072" spans="19:19">
      <c r="S3072" s="61" t="str">
        <f t="shared" si="209"/>
        <v/>
      </c>
    </row>
    <row r="3073" spans="19:19">
      <c r="S3073" s="61" t="str">
        <f t="shared" si="209"/>
        <v/>
      </c>
    </row>
    <row r="3074" spans="19:19">
      <c r="S3074" s="61" t="str">
        <f t="shared" si="209"/>
        <v/>
      </c>
    </row>
    <row r="3075" spans="19:19">
      <c r="S3075" s="61" t="str">
        <f t="shared" si="209"/>
        <v/>
      </c>
    </row>
    <row r="3076" spans="19:19">
      <c r="S3076" s="61" t="str">
        <f t="shared" si="209"/>
        <v/>
      </c>
    </row>
    <row r="3077" spans="19:19">
      <c r="S3077" s="61" t="str">
        <f t="shared" si="209"/>
        <v/>
      </c>
    </row>
    <row r="3078" spans="19:19">
      <c r="S3078" s="61" t="str">
        <f t="shared" si="209"/>
        <v/>
      </c>
    </row>
    <row r="3079" spans="19:19">
      <c r="S3079" s="61" t="str">
        <f t="shared" si="209"/>
        <v/>
      </c>
    </row>
    <row r="3080" spans="19:19">
      <c r="S3080" s="61" t="str">
        <f t="shared" si="209"/>
        <v/>
      </c>
    </row>
    <row r="3081" spans="19:19">
      <c r="S3081" s="61" t="str">
        <f t="shared" si="209"/>
        <v/>
      </c>
    </row>
    <row r="3082" spans="19:19">
      <c r="S3082" s="61" t="str">
        <f t="shared" si="209"/>
        <v/>
      </c>
    </row>
    <row r="3083" spans="19:19">
      <c r="S3083" s="61" t="str">
        <f t="shared" si="209"/>
        <v/>
      </c>
    </row>
    <row r="3084" spans="19:19">
      <c r="S3084" s="61" t="str">
        <f t="shared" si="209"/>
        <v/>
      </c>
    </row>
    <row r="3085" spans="19:19">
      <c r="S3085" s="61" t="str">
        <f t="shared" si="209"/>
        <v/>
      </c>
    </row>
    <row r="3086" spans="19:19">
      <c r="S3086" s="61" t="str">
        <f t="shared" si="209"/>
        <v/>
      </c>
    </row>
    <row r="3087" spans="19:19">
      <c r="S3087" s="61" t="str">
        <f t="shared" si="209"/>
        <v/>
      </c>
    </row>
    <row r="3088" spans="19:19">
      <c r="S3088" s="61" t="str">
        <f t="shared" si="209"/>
        <v/>
      </c>
    </row>
    <row r="3089" spans="19:19">
      <c r="S3089" s="61" t="str">
        <f t="shared" si="209"/>
        <v/>
      </c>
    </row>
    <row r="3090" spans="19:19">
      <c r="S3090" s="61" t="str">
        <f t="shared" si="209"/>
        <v/>
      </c>
    </row>
    <row r="3091" spans="19:19">
      <c r="S3091" s="61" t="str">
        <f t="shared" si="209"/>
        <v/>
      </c>
    </row>
    <row r="3092" spans="19:19">
      <c r="S3092" s="61" t="str">
        <f t="shared" si="209"/>
        <v/>
      </c>
    </row>
    <row r="3093" spans="19:19">
      <c r="S3093" s="61" t="str">
        <f t="shared" si="209"/>
        <v/>
      </c>
    </row>
    <row r="3094" spans="19:19">
      <c r="S3094" s="61" t="str">
        <f t="shared" si="209"/>
        <v/>
      </c>
    </row>
    <row r="3095" spans="19:19">
      <c r="S3095" s="61" t="str">
        <f t="shared" si="209"/>
        <v/>
      </c>
    </row>
    <row r="3096" spans="19:19">
      <c r="S3096" s="61" t="str">
        <f t="shared" si="209"/>
        <v/>
      </c>
    </row>
    <row r="3097" spans="19:19">
      <c r="S3097" s="61" t="str">
        <f t="shared" si="209"/>
        <v/>
      </c>
    </row>
    <row r="3098" spans="19:19">
      <c r="S3098" s="61" t="str">
        <f t="shared" si="209"/>
        <v/>
      </c>
    </row>
    <row r="3099" spans="19:19">
      <c r="S3099" s="61" t="str">
        <f t="shared" si="209"/>
        <v/>
      </c>
    </row>
    <row r="3100" spans="19:19">
      <c r="S3100" s="61" t="str">
        <f t="shared" si="209"/>
        <v/>
      </c>
    </row>
    <row r="3101" spans="19:19">
      <c r="S3101" s="61" t="str">
        <f t="shared" si="209"/>
        <v/>
      </c>
    </row>
    <row r="3102" spans="19:19">
      <c r="S3102" s="61" t="str">
        <f t="shared" ref="S3102:S3165" si="210">IF(O3102="innerText",I3102&amp;"="&amp;IF(C3102="Y",IF(J3102&lt;&gt;"Y",$S$9&amp;$R$10&amp;"."&amp;E3102&amp;")."&amp;IF(OR(O3102="click",O3102="innerText"),O3102&amp;"();",O3102&amp;"("&amp;$Q$9&amp;"."&amp;E3102&amp;");"),$S$110&amp;$R$10&amp;"."&amp;E3102&amp;")."&amp;IF(O3102="click",O3102&amp;"();",O3102&amp;"("&amp;"'"&amp;K3102&amp;"'"&amp;");")),""),IF(C3102="Y",IF(J3102&lt;&gt;"Y",$S$9&amp;$R$10&amp;"."&amp;E3102&amp;")."&amp;IF(OR(O3102="click",O3102="innerText"),O3102&amp;"();",O3102&amp;"("&amp;$Q$9&amp;"."&amp;E3102&amp;");"),$S$110&amp;$R$10&amp;"."&amp;E3102&amp;")."&amp;IF(O3102="click",O3102&amp;"();",O3102&amp;"("&amp;"'"&amp;K3102&amp;"'"&amp;");")),""))</f>
        <v/>
      </c>
    </row>
    <row r="3103" spans="19:19">
      <c r="S3103" s="61" t="str">
        <f t="shared" si="210"/>
        <v/>
      </c>
    </row>
    <row r="3104" spans="19:19">
      <c r="S3104" s="61" t="str">
        <f t="shared" si="210"/>
        <v/>
      </c>
    </row>
    <row r="3105" spans="19:19">
      <c r="S3105" s="61" t="str">
        <f t="shared" si="210"/>
        <v/>
      </c>
    </row>
    <row r="3106" spans="19:19">
      <c r="S3106" s="61" t="str">
        <f t="shared" si="210"/>
        <v/>
      </c>
    </row>
    <row r="3107" spans="19:19">
      <c r="S3107" s="61" t="str">
        <f t="shared" si="210"/>
        <v/>
      </c>
    </row>
    <row r="3108" spans="19:19">
      <c r="S3108" s="61" t="str">
        <f t="shared" si="210"/>
        <v/>
      </c>
    </row>
    <row r="3109" spans="19:19">
      <c r="S3109" s="61" t="str">
        <f t="shared" si="210"/>
        <v/>
      </c>
    </row>
    <row r="3110" spans="19:19">
      <c r="S3110" s="61" t="str">
        <f t="shared" si="210"/>
        <v/>
      </c>
    </row>
    <row r="3111" spans="19:19">
      <c r="S3111" s="61" t="str">
        <f t="shared" si="210"/>
        <v/>
      </c>
    </row>
    <row r="3112" spans="19:19">
      <c r="S3112" s="61" t="str">
        <f t="shared" si="210"/>
        <v/>
      </c>
    </row>
    <row r="3113" spans="19:19">
      <c r="S3113" s="61" t="str">
        <f t="shared" si="210"/>
        <v/>
      </c>
    </row>
    <row r="3114" spans="19:19">
      <c r="S3114" s="61" t="str">
        <f t="shared" si="210"/>
        <v/>
      </c>
    </row>
    <row r="3115" spans="19:19">
      <c r="S3115" s="61" t="str">
        <f t="shared" si="210"/>
        <v/>
      </c>
    </row>
    <row r="3116" spans="19:19">
      <c r="S3116" s="61" t="str">
        <f t="shared" si="210"/>
        <v/>
      </c>
    </row>
    <row r="3117" spans="19:19">
      <c r="S3117" s="61" t="str">
        <f t="shared" si="210"/>
        <v/>
      </c>
    </row>
    <row r="3118" spans="19:19">
      <c r="S3118" s="61" t="str">
        <f t="shared" si="210"/>
        <v/>
      </c>
    </row>
    <row r="3119" spans="19:19">
      <c r="S3119" s="61" t="str">
        <f t="shared" si="210"/>
        <v/>
      </c>
    </row>
    <row r="3120" spans="19:19">
      <c r="S3120" s="61" t="str">
        <f t="shared" si="210"/>
        <v/>
      </c>
    </row>
    <row r="3121" spans="19:19">
      <c r="S3121" s="61" t="str">
        <f t="shared" si="210"/>
        <v/>
      </c>
    </row>
    <row r="3122" spans="19:19">
      <c r="S3122" s="61" t="str">
        <f t="shared" si="210"/>
        <v/>
      </c>
    </row>
    <row r="3123" spans="19:19">
      <c r="S3123" s="61" t="str">
        <f t="shared" si="210"/>
        <v/>
      </c>
    </row>
    <row r="3124" spans="19:19">
      <c r="S3124" s="61" t="str">
        <f t="shared" si="210"/>
        <v/>
      </c>
    </row>
    <row r="3125" spans="19:19">
      <c r="S3125" s="61" t="str">
        <f t="shared" si="210"/>
        <v/>
      </c>
    </row>
    <row r="3126" spans="19:19">
      <c r="S3126" s="61" t="str">
        <f t="shared" si="210"/>
        <v/>
      </c>
    </row>
    <row r="3127" spans="19:19">
      <c r="S3127" s="61" t="str">
        <f t="shared" si="210"/>
        <v/>
      </c>
    </row>
    <row r="3128" spans="19:19">
      <c r="S3128" s="61" t="str">
        <f t="shared" si="210"/>
        <v/>
      </c>
    </row>
    <row r="3129" spans="19:19">
      <c r="S3129" s="61" t="str">
        <f t="shared" si="210"/>
        <v/>
      </c>
    </row>
    <row r="3130" spans="19:19">
      <c r="S3130" s="61" t="str">
        <f t="shared" si="210"/>
        <v/>
      </c>
    </row>
    <row r="3131" spans="19:19">
      <c r="S3131" s="61" t="str">
        <f t="shared" si="210"/>
        <v/>
      </c>
    </row>
    <row r="3132" spans="19:19">
      <c r="S3132" s="61" t="str">
        <f t="shared" si="210"/>
        <v/>
      </c>
    </row>
    <row r="3133" spans="19:19">
      <c r="S3133" s="61" t="str">
        <f t="shared" si="210"/>
        <v/>
      </c>
    </row>
    <row r="3134" spans="19:19">
      <c r="S3134" s="61" t="str">
        <f t="shared" si="210"/>
        <v/>
      </c>
    </row>
    <row r="3135" spans="19:19">
      <c r="S3135" s="61" t="str">
        <f t="shared" si="210"/>
        <v/>
      </c>
    </row>
    <row r="3136" spans="19:19">
      <c r="S3136" s="61" t="str">
        <f t="shared" si="210"/>
        <v/>
      </c>
    </row>
    <row r="3137" spans="19:19">
      <c r="S3137" s="61" t="str">
        <f t="shared" si="210"/>
        <v/>
      </c>
    </row>
    <row r="3138" spans="19:19">
      <c r="S3138" s="61" t="str">
        <f t="shared" si="210"/>
        <v/>
      </c>
    </row>
    <row r="3139" spans="19:19">
      <c r="S3139" s="61" t="str">
        <f t="shared" si="210"/>
        <v/>
      </c>
    </row>
    <row r="3140" spans="19:19">
      <c r="S3140" s="61" t="str">
        <f t="shared" si="210"/>
        <v/>
      </c>
    </row>
    <row r="3141" spans="19:19">
      <c r="S3141" s="61" t="str">
        <f t="shared" si="210"/>
        <v/>
      </c>
    </row>
    <row r="3142" spans="19:19">
      <c r="S3142" s="61" t="str">
        <f t="shared" si="210"/>
        <v/>
      </c>
    </row>
    <row r="3143" spans="19:19">
      <c r="S3143" s="61" t="str">
        <f t="shared" si="210"/>
        <v/>
      </c>
    </row>
    <row r="3144" spans="19:19">
      <c r="S3144" s="61" t="str">
        <f t="shared" si="210"/>
        <v/>
      </c>
    </row>
    <row r="3145" spans="19:19">
      <c r="S3145" s="61" t="str">
        <f t="shared" si="210"/>
        <v/>
      </c>
    </row>
    <row r="3146" spans="19:19">
      <c r="S3146" s="61" t="str">
        <f t="shared" si="210"/>
        <v/>
      </c>
    </row>
    <row r="3147" spans="19:19">
      <c r="S3147" s="61" t="str">
        <f t="shared" si="210"/>
        <v/>
      </c>
    </row>
    <row r="3148" spans="19:19">
      <c r="S3148" s="61" t="str">
        <f t="shared" si="210"/>
        <v/>
      </c>
    </row>
    <row r="3149" spans="19:19">
      <c r="S3149" s="61" t="str">
        <f t="shared" si="210"/>
        <v/>
      </c>
    </row>
    <row r="3150" spans="19:19">
      <c r="S3150" s="61" t="str">
        <f t="shared" si="210"/>
        <v/>
      </c>
    </row>
    <row r="3151" spans="19:19">
      <c r="S3151" s="61" t="str">
        <f t="shared" si="210"/>
        <v/>
      </c>
    </row>
    <row r="3152" spans="19:19">
      <c r="S3152" s="61" t="str">
        <f t="shared" si="210"/>
        <v/>
      </c>
    </row>
    <row r="3153" spans="19:19">
      <c r="S3153" s="61" t="str">
        <f t="shared" si="210"/>
        <v/>
      </c>
    </row>
    <row r="3154" spans="19:19">
      <c r="S3154" s="61" t="str">
        <f t="shared" si="210"/>
        <v/>
      </c>
    </row>
    <row r="3155" spans="19:19">
      <c r="S3155" s="61" t="str">
        <f t="shared" si="210"/>
        <v/>
      </c>
    </row>
    <row r="3156" spans="19:19">
      <c r="S3156" s="61" t="str">
        <f t="shared" si="210"/>
        <v/>
      </c>
    </row>
    <row r="3157" spans="19:19">
      <c r="S3157" s="61" t="str">
        <f t="shared" si="210"/>
        <v/>
      </c>
    </row>
    <row r="3158" spans="19:19">
      <c r="S3158" s="61" t="str">
        <f t="shared" si="210"/>
        <v/>
      </c>
    </row>
    <row r="3159" spans="19:19">
      <c r="S3159" s="61" t="str">
        <f t="shared" si="210"/>
        <v/>
      </c>
    </row>
    <row r="3160" spans="19:19">
      <c r="S3160" s="61" t="str">
        <f t="shared" si="210"/>
        <v/>
      </c>
    </row>
    <row r="3161" spans="19:19">
      <c r="S3161" s="61" t="str">
        <f t="shared" si="210"/>
        <v/>
      </c>
    </row>
    <row r="3162" spans="19:19">
      <c r="S3162" s="61" t="str">
        <f t="shared" si="210"/>
        <v/>
      </c>
    </row>
    <row r="3163" spans="19:19">
      <c r="S3163" s="61" t="str">
        <f t="shared" si="210"/>
        <v/>
      </c>
    </row>
    <row r="3164" spans="19:19">
      <c r="S3164" s="61" t="str">
        <f t="shared" si="210"/>
        <v/>
      </c>
    </row>
    <row r="3165" spans="19:19">
      <c r="S3165" s="61" t="str">
        <f t="shared" si="210"/>
        <v/>
      </c>
    </row>
    <row r="3166" spans="19:19">
      <c r="S3166" s="61" t="str">
        <f t="shared" ref="S3166:S3229" si="211">IF(O3166="innerText",I3166&amp;"="&amp;IF(C3166="Y",IF(J3166&lt;&gt;"Y",$S$9&amp;$R$10&amp;"."&amp;E3166&amp;")."&amp;IF(OR(O3166="click",O3166="innerText"),O3166&amp;"();",O3166&amp;"("&amp;$Q$9&amp;"."&amp;E3166&amp;");"),$S$110&amp;$R$10&amp;"."&amp;E3166&amp;")."&amp;IF(O3166="click",O3166&amp;"();",O3166&amp;"("&amp;"'"&amp;K3166&amp;"'"&amp;");")),""),IF(C3166="Y",IF(J3166&lt;&gt;"Y",$S$9&amp;$R$10&amp;"."&amp;E3166&amp;")."&amp;IF(OR(O3166="click",O3166="innerText"),O3166&amp;"();",O3166&amp;"("&amp;$Q$9&amp;"."&amp;E3166&amp;");"),$S$110&amp;$R$10&amp;"."&amp;E3166&amp;")."&amp;IF(O3166="click",O3166&amp;"();",O3166&amp;"("&amp;"'"&amp;K3166&amp;"'"&amp;");")),""))</f>
        <v/>
      </c>
    </row>
    <row r="3167" spans="19:19">
      <c r="S3167" s="61" t="str">
        <f t="shared" si="211"/>
        <v/>
      </c>
    </row>
    <row r="3168" spans="19:19">
      <c r="S3168" s="61" t="str">
        <f t="shared" si="211"/>
        <v/>
      </c>
    </row>
    <row r="3169" spans="19:19">
      <c r="S3169" s="61" t="str">
        <f t="shared" si="211"/>
        <v/>
      </c>
    </row>
    <row r="3170" spans="19:19">
      <c r="S3170" s="61" t="str">
        <f t="shared" si="211"/>
        <v/>
      </c>
    </row>
    <row r="3171" spans="19:19">
      <c r="S3171" s="61" t="str">
        <f t="shared" si="211"/>
        <v/>
      </c>
    </row>
    <row r="3172" spans="19:19">
      <c r="S3172" s="61" t="str">
        <f t="shared" si="211"/>
        <v/>
      </c>
    </row>
    <row r="3173" spans="19:19">
      <c r="S3173" s="61" t="str">
        <f t="shared" si="211"/>
        <v/>
      </c>
    </row>
    <row r="3174" spans="19:19">
      <c r="S3174" s="61" t="str">
        <f t="shared" si="211"/>
        <v/>
      </c>
    </row>
    <row r="3175" spans="19:19">
      <c r="S3175" s="61" t="str">
        <f t="shared" si="211"/>
        <v/>
      </c>
    </row>
    <row r="3176" spans="19:19">
      <c r="S3176" s="61" t="str">
        <f t="shared" si="211"/>
        <v/>
      </c>
    </row>
    <row r="3177" spans="19:19">
      <c r="S3177" s="61" t="str">
        <f t="shared" si="211"/>
        <v/>
      </c>
    </row>
    <row r="3178" spans="19:19">
      <c r="S3178" s="61" t="str">
        <f t="shared" si="211"/>
        <v/>
      </c>
    </row>
    <row r="3179" spans="19:19">
      <c r="S3179" s="61" t="str">
        <f t="shared" si="211"/>
        <v/>
      </c>
    </row>
    <row r="3180" spans="19:19">
      <c r="S3180" s="61" t="str">
        <f t="shared" si="211"/>
        <v/>
      </c>
    </row>
    <row r="3181" spans="19:19">
      <c r="S3181" s="61" t="str">
        <f t="shared" si="211"/>
        <v/>
      </c>
    </row>
    <row r="3182" spans="19:19">
      <c r="S3182" s="61" t="str">
        <f t="shared" si="211"/>
        <v/>
      </c>
    </row>
    <row r="3183" spans="19:19">
      <c r="S3183" s="61" t="str">
        <f t="shared" si="211"/>
        <v/>
      </c>
    </row>
    <row r="3184" spans="19:19">
      <c r="S3184" s="61" t="str">
        <f t="shared" si="211"/>
        <v/>
      </c>
    </row>
    <row r="3185" spans="19:19">
      <c r="S3185" s="61" t="str">
        <f t="shared" si="211"/>
        <v/>
      </c>
    </row>
    <row r="3186" spans="19:19">
      <c r="S3186" s="61" t="str">
        <f t="shared" si="211"/>
        <v/>
      </c>
    </row>
    <row r="3187" spans="19:19">
      <c r="S3187" s="61" t="str">
        <f t="shared" si="211"/>
        <v/>
      </c>
    </row>
    <row r="3188" spans="19:19">
      <c r="S3188" s="61" t="str">
        <f t="shared" si="211"/>
        <v/>
      </c>
    </row>
    <row r="3189" spans="19:19">
      <c r="S3189" s="61" t="str">
        <f t="shared" si="211"/>
        <v/>
      </c>
    </row>
    <row r="3190" spans="19:19">
      <c r="S3190" s="61" t="str">
        <f t="shared" si="211"/>
        <v/>
      </c>
    </row>
    <row r="3191" spans="19:19">
      <c r="S3191" s="61" t="str">
        <f t="shared" si="211"/>
        <v/>
      </c>
    </row>
    <row r="3192" spans="19:19">
      <c r="S3192" s="61" t="str">
        <f t="shared" si="211"/>
        <v/>
      </c>
    </row>
    <row r="3193" spans="19:19">
      <c r="S3193" s="61" t="str">
        <f t="shared" si="211"/>
        <v/>
      </c>
    </row>
    <row r="3194" spans="19:19">
      <c r="S3194" s="61" t="str">
        <f t="shared" si="211"/>
        <v/>
      </c>
    </row>
    <row r="3195" spans="19:19">
      <c r="S3195" s="61" t="str">
        <f t="shared" si="211"/>
        <v/>
      </c>
    </row>
    <row r="3196" spans="19:19">
      <c r="S3196" s="61" t="str">
        <f t="shared" si="211"/>
        <v/>
      </c>
    </row>
    <row r="3197" spans="19:19">
      <c r="S3197" s="61" t="str">
        <f t="shared" si="211"/>
        <v/>
      </c>
    </row>
    <row r="3198" spans="19:19">
      <c r="S3198" s="61" t="str">
        <f t="shared" si="211"/>
        <v/>
      </c>
    </row>
    <row r="3199" spans="19:19">
      <c r="S3199" s="61" t="str">
        <f t="shared" si="211"/>
        <v/>
      </c>
    </row>
    <row r="3200" spans="19:19">
      <c r="S3200" s="61" t="str">
        <f t="shared" si="211"/>
        <v/>
      </c>
    </row>
    <row r="3201" spans="19:19">
      <c r="S3201" s="61" t="str">
        <f t="shared" si="211"/>
        <v/>
      </c>
    </row>
    <row r="3202" spans="19:19">
      <c r="S3202" s="61" t="str">
        <f t="shared" si="211"/>
        <v/>
      </c>
    </row>
    <row r="3203" spans="19:19">
      <c r="S3203" s="61" t="str">
        <f t="shared" si="211"/>
        <v/>
      </c>
    </row>
    <row r="3204" spans="19:19">
      <c r="S3204" s="61" t="str">
        <f t="shared" si="211"/>
        <v/>
      </c>
    </row>
    <row r="3205" spans="19:19">
      <c r="S3205" s="61" t="str">
        <f t="shared" si="211"/>
        <v/>
      </c>
    </row>
    <row r="3206" spans="19:19">
      <c r="S3206" s="61" t="str">
        <f t="shared" si="211"/>
        <v/>
      </c>
    </row>
    <row r="3207" spans="19:19">
      <c r="S3207" s="61" t="str">
        <f t="shared" si="211"/>
        <v/>
      </c>
    </row>
    <row r="3208" spans="19:19">
      <c r="S3208" s="61" t="str">
        <f t="shared" si="211"/>
        <v/>
      </c>
    </row>
    <row r="3209" spans="19:19">
      <c r="S3209" s="61" t="str">
        <f t="shared" si="211"/>
        <v/>
      </c>
    </row>
    <row r="3210" spans="19:19">
      <c r="S3210" s="61" t="str">
        <f t="shared" si="211"/>
        <v/>
      </c>
    </row>
    <row r="3211" spans="19:19">
      <c r="S3211" s="61" t="str">
        <f t="shared" si="211"/>
        <v/>
      </c>
    </row>
    <row r="3212" spans="19:19">
      <c r="S3212" s="61" t="str">
        <f t="shared" si="211"/>
        <v/>
      </c>
    </row>
    <row r="3213" spans="19:19">
      <c r="S3213" s="61" t="str">
        <f t="shared" si="211"/>
        <v/>
      </c>
    </row>
    <row r="3214" spans="19:19">
      <c r="S3214" s="61" t="str">
        <f t="shared" si="211"/>
        <v/>
      </c>
    </row>
    <row r="3215" spans="19:19">
      <c r="S3215" s="61" t="str">
        <f t="shared" si="211"/>
        <v/>
      </c>
    </row>
    <row r="3216" spans="19:19">
      <c r="S3216" s="61" t="str">
        <f t="shared" si="211"/>
        <v/>
      </c>
    </row>
    <row r="3217" spans="19:19">
      <c r="S3217" s="61" t="str">
        <f t="shared" si="211"/>
        <v/>
      </c>
    </row>
    <row r="3218" spans="19:19">
      <c r="S3218" s="61" t="str">
        <f t="shared" si="211"/>
        <v/>
      </c>
    </row>
    <row r="3219" spans="19:19">
      <c r="S3219" s="61" t="str">
        <f t="shared" si="211"/>
        <v/>
      </c>
    </row>
    <row r="3220" spans="19:19">
      <c r="S3220" s="61" t="str">
        <f t="shared" si="211"/>
        <v/>
      </c>
    </row>
    <row r="3221" spans="19:19">
      <c r="S3221" s="61" t="str">
        <f t="shared" si="211"/>
        <v/>
      </c>
    </row>
    <row r="3222" spans="19:19">
      <c r="S3222" s="61" t="str">
        <f t="shared" si="211"/>
        <v/>
      </c>
    </row>
    <row r="3223" spans="19:19">
      <c r="S3223" s="61" t="str">
        <f t="shared" si="211"/>
        <v/>
      </c>
    </row>
    <row r="3224" spans="19:19">
      <c r="S3224" s="61" t="str">
        <f t="shared" si="211"/>
        <v/>
      </c>
    </row>
    <row r="3225" spans="19:19">
      <c r="S3225" s="61" t="str">
        <f t="shared" si="211"/>
        <v/>
      </c>
    </row>
    <row r="3226" spans="19:19">
      <c r="S3226" s="61" t="str">
        <f t="shared" si="211"/>
        <v/>
      </c>
    </row>
    <row r="3227" spans="19:19">
      <c r="S3227" s="61" t="str">
        <f t="shared" si="211"/>
        <v/>
      </c>
    </row>
    <row r="3228" spans="19:19">
      <c r="S3228" s="61" t="str">
        <f t="shared" si="211"/>
        <v/>
      </c>
    </row>
    <row r="3229" spans="19:19">
      <c r="S3229" s="61" t="str">
        <f t="shared" si="211"/>
        <v/>
      </c>
    </row>
    <row r="3230" spans="19:19">
      <c r="S3230" s="61" t="str">
        <f t="shared" ref="S3230:S3293" si="212">IF(O3230="innerText",I3230&amp;"="&amp;IF(C3230="Y",IF(J3230&lt;&gt;"Y",$S$9&amp;$R$10&amp;"."&amp;E3230&amp;")."&amp;IF(OR(O3230="click",O3230="innerText"),O3230&amp;"();",O3230&amp;"("&amp;$Q$9&amp;"."&amp;E3230&amp;");"),$S$110&amp;$R$10&amp;"."&amp;E3230&amp;")."&amp;IF(O3230="click",O3230&amp;"();",O3230&amp;"("&amp;"'"&amp;K3230&amp;"'"&amp;");")),""),IF(C3230="Y",IF(J3230&lt;&gt;"Y",$S$9&amp;$R$10&amp;"."&amp;E3230&amp;")."&amp;IF(OR(O3230="click",O3230="innerText"),O3230&amp;"();",O3230&amp;"("&amp;$Q$9&amp;"."&amp;E3230&amp;");"),$S$110&amp;$R$10&amp;"."&amp;E3230&amp;")."&amp;IF(O3230="click",O3230&amp;"();",O3230&amp;"("&amp;"'"&amp;K3230&amp;"'"&amp;");")),""))</f>
        <v/>
      </c>
    </row>
    <row r="3231" spans="19:19">
      <c r="S3231" s="61" t="str">
        <f t="shared" si="212"/>
        <v/>
      </c>
    </row>
    <row r="3232" spans="19:19">
      <c r="S3232" s="61" t="str">
        <f t="shared" si="212"/>
        <v/>
      </c>
    </row>
    <row r="3233" spans="19:19">
      <c r="S3233" s="61" t="str">
        <f t="shared" si="212"/>
        <v/>
      </c>
    </row>
    <row r="3234" spans="19:19">
      <c r="S3234" s="61" t="str">
        <f t="shared" si="212"/>
        <v/>
      </c>
    </row>
    <row r="3235" spans="19:19">
      <c r="S3235" s="61" t="str">
        <f t="shared" si="212"/>
        <v/>
      </c>
    </row>
    <row r="3236" spans="19:19">
      <c r="S3236" s="61" t="str">
        <f t="shared" si="212"/>
        <v/>
      </c>
    </row>
    <row r="3237" spans="19:19">
      <c r="S3237" s="61" t="str">
        <f t="shared" si="212"/>
        <v/>
      </c>
    </row>
    <row r="3238" spans="19:19">
      <c r="S3238" s="61" t="str">
        <f t="shared" si="212"/>
        <v/>
      </c>
    </row>
    <row r="3239" spans="19:19">
      <c r="S3239" s="61" t="str">
        <f t="shared" si="212"/>
        <v/>
      </c>
    </row>
    <row r="3240" spans="19:19">
      <c r="S3240" s="61" t="str">
        <f t="shared" si="212"/>
        <v/>
      </c>
    </row>
    <row r="3241" spans="19:19">
      <c r="S3241" s="61" t="str">
        <f t="shared" si="212"/>
        <v/>
      </c>
    </row>
    <row r="3242" spans="19:19">
      <c r="S3242" s="61" t="str">
        <f t="shared" si="212"/>
        <v/>
      </c>
    </row>
    <row r="3243" spans="19:19">
      <c r="S3243" s="61" t="str">
        <f t="shared" si="212"/>
        <v/>
      </c>
    </row>
    <row r="3244" spans="19:19">
      <c r="S3244" s="61" t="str">
        <f t="shared" si="212"/>
        <v/>
      </c>
    </row>
    <row r="3245" spans="19:19">
      <c r="S3245" s="61" t="str">
        <f t="shared" si="212"/>
        <v/>
      </c>
    </row>
    <row r="3246" spans="19:19">
      <c r="S3246" s="61" t="str">
        <f t="shared" si="212"/>
        <v/>
      </c>
    </row>
    <row r="3247" spans="19:19">
      <c r="S3247" s="61" t="str">
        <f t="shared" si="212"/>
        <v/>
      </c>
    </row>
    <row r="3248" spans="19:19">
      <c r="S3248" s="61" t="str">
        <f t="shared" si="212"/>
        <v/>
      </c>
    </row>
    <row r="3249" spans="19:19">
      <c r="S3249" s="61" t="str">
        <f t="shared" si="212"/>
        <v/>
      </c>
    </row>
    <row r="3250" spans="19:19">
      <c r="S3250" s="61" t="str">
        <f t="shared" si="212"/>
        <v/>
      </c>
    </row>
    <row r="3251" spans="19:19">
      <c r="S3251" s="61" t="str">
        <f t="shared" si="212"/>
        <v/>
      </c>
    </row>
    <row r="3252" spans="19:19">
      <c r="S3252" s="61" t="str">
        <f t="shared" si="212"/>
        <v/>
      </c>
    </row>
    <row r="3253" spans="19:19">
      <c r="S3253" s="61" t="str">
        <f t="shared" si="212"/>
        <v/>
      </c>
    </row>
    <row r="3254" spans="19:19">
      <c r="S3254" s="61" t="str">
        <f t="shared" si="212"/>
        <v/>
      </c>
    </row>
    <row r="3255" spans="19:19">
      <c r="S3255" s="61" t="str">
        <f t="shared" si="212"/>
        <v/>
      </c>
    </row>
    <row r="3256" spans="19:19">
      <c r="S3256" s="61" t="str">
        <f t="shared" si="212"/>
        <v/>
      </c>
    </row>
    <row r="3257" spans="19:19">
      <c r="S3257" s="61" t="str">
        <f t="shared" si="212"/>
        <v/>
      </c>
    </row>
    <row r="3258" spans="19:19">
      <c r="S3258" s="61" t="str">
        <f t="shared" si="212"/>
        <v/>
      </c>
    </row>
    <row r="3259" spans="19:19">
      <c r="S3259" s="61" t="str">
        <f t="shared" si="212"/>
        <v/>
      </c>
    </row>
    <row r="3260" spans="19:19">
      <c r="S3260" s="61" t="str">
        <f t="shared" si="212"/>
        <v/>
      </c>
    </row>
    <row r="3261" spans="19:19">
      <c r="S3261" s="61" t="str">
        <f t="shared" si="212"/>
        <v/>
      </c>
    </row>
    <row r="3262" spans="19:19">
      <c r="S3262" s="61" t="str">
        <f t="shared" si="212"/>
        <v/>
      </c>
    </row>
    <row r="3263" spans="19:19">
      <c r="S3263" s="61" t="str">
        <f t="shared" si="212"/>
        <v/>
      </c>
    </row>
    <row r="3264" spans="19:19">
      <c r="S3264" s="61" t="str">
        <f t="shared" si="212"/>
        <v/>
      </c>
    </row>
    <row r="3265" spans="19:19">
      <c r="S3265" s="61" t="str">
        <f t="shared" si="212"/>
        <v/>
      </c>
    </row>
    <row r="3266" spans="19:19">
      <c r="S3266" s="61" t="str">
        <f t="shared" si="212"/>
        <v/>
      </c>
    </row>
    <row r="3267" spans="19:19">
      <c r="S3267" s="61" t="str">
        <f t="shared" si="212"/>
        <v/>
      </c>
    </row>
    <row r="3268" spans="19:19">
      <c r="S3268" s="61" t="str">
        <f t="shared" si="212"/>
        <v/>
      </c>
    </row>
    <row r="3269" spans="19:19">
      <c r="S3269" s="61" t="str">
        <f t="shared" si="212"/>
        <v/>
      </c>
    </row>
    <row r="3270" spans="19:19">
      <c r="S3270" s="61" t="str">
        <f t="shared" si="212"/>
        <v/>
      </c>
    </row>
    <row r="3271" spans="19:19">
      <c r="S3271" s="61" t="str">
        <f t="shared" si="212"/>
        <v/>
      </c>
    </row>
    <row r="3272" spans="19:19">
      <c r="S3272" s="61" t="str">
        <f t="shared" si="212"/>
        <v/>
      </c>
    </row>
    <row r="3273" spans="19:19">
      <c r="S3273" s="61" t="str">
        <f t="shared" si="212"/>
        <v/>
      </c>
    </row>
    <row r="3274" spans="19:19">
      <c r="S3274" s="61" t="str">
        <f t="shared" si="212"/>
        <v/>
      </c>
    </row>
    <row r="3275" spans="19:19">
      <c r="S3275" s="61" t="str">
        <f t="shared" si="212"/>
        <v/>
      </c>
    </row>
    <row r="3276" spans="19:19">
      <c r="S3276" s="61" t="str">
        <f t="shared" si="212"/>
        <v/>
      </c>
    </row>
    <row r="3277" spans="19:19">
      <c r="S3277" s="61" t="str">
        <f t="shared" si="212"/>
        <v/>
      </c>
    </row>
    <row r="3278" spans="19:19">
      <c r="S3278" s="61" t="str">
        <f t="shared" si="212"/>
        <v/>
      </c>
    </row>
    <row r="3279" spans="19:19">
      <c r="S3279" s="61" t="str">
        <f t="shared" si="212"/>
        <v/>
      </c>
    </row>
    <row r="3280" spans="19:19">
      <c r="S3280" s="61" t="str">
        <f t="shared" si="212"/>
        <v/>
      </c>
    </row>
    <row r="3281" spans="19:19">
      <c r="S3281" s="61" t="str">
        <f t="shared" si="212"/>
        <v/>
      </c>
    </row>
    <row r="3282" spans="19:19">
      <c r="S3282" s="61" t="str">
        <f t="shared" si="212"/>
        <v/>
      </c>
    </row>
    <row r="3283" spans="19:19">
      <c r="S3283" s="61" t="str">
        <f t="shared" si="212"/>
        <v/>
      </c>
    </row>
    <row r="3284" spans="19:19">
      <c r="S3284" s="61" t="str">
        <f t="shared" si="212"/>
        <v/>
      </c>
    </row>
    <row r="3285" spans="19:19">
      <c r="S3285" s="61" t="str">
        <f t="shared" si="212"/>
        <v/>
      </c>
    </row>
    <row r="3286" spans="19:19">
      <c r="S3286" s="61" t="str">
        <f t="shared" si="212"/>
        <v/>
      </c>
    </row>
    <row r="3287" spans="19:19">
      <c r="S3287" s="61" t="str">
        <f t="shared" si="212"/>
        <v/>
      </c>
    </row>
    <row r="3288" spans="19:19">
      <c r="S3288" s="61" t="str">
        <f t="shared" si="212"/>
        <v/>
      </c>
    </row>
    <row r="3289" spans="19:19">
      <c r="S3289" s="61" t="str">
        <f t="shared" si="212"/>
        <v/>
      </c>
    </row>
    <row r="3290" spans="19:19">
      <c r="S3290" s="61" t="str">
        <f t="shared" si="212"/>
        <v/>
      </c>
    </row>
    <row r="3291" spans="19:19">
      <c r="S3291" s="61" t="str">
        <f t="shared" si="212"/>
        <v/>
      </c>
    </row>
    <row r="3292" spans="19:19">
      <c r="S3292" s="61" t="str">
        <f t="shared" si="212"/>
        <v/>
      </c>
    </row>
    <row r="3293" spans="19:19">
      <c r="S3293" s="61" t="str">
        <f t="shared" si="212"/>
        <v/>
      </c>
    </row>
    <row r="3294" spans="19:19">
      <c r="S3294" s="61" t="str">
        <f t="shared" ref="S3294:S3362" si="213">IF(O3294="innerText",I3294&amp;"="&amp;IF(C3294="Y",IF(J3294&lt;&gt;"Y",$S$9&amp;$R$10&amp;"."&amp;E3294&amp;")."&amp;IF(OR(O3294="click",O3294="innerText"),O3294&amp;"();",O3294&amp;"("&amp;$Q$9&amp;"."&amp;E3294&amp;");"),$S$110&amp;$R$10&amp;"."&amp;E3294&amp;")."&amp;IF(O3294="click",O3294&amp;"();",O3294&amp;"("&amp;"'"&amp;K3294&amp;"'"&amp;");")),""),IF(C3294="Y",IF(J3294&lt;&gt;"Y",$S$9&amp;$R$10&amp;"."&amp;E3294&amp;")."&amp;IF(OR(O3294="click",O3294="innerText"),O3294&amp;"();",O3294&amp;"("&amp;$Q$9&amp;"."&amp;E3294&amp;");"),$S$110&amp;$R$10&amp;"."&amp;E3294&amp;")."&amp;IF(O3294="click",O3294&amp;"();",O3294&amp;"("&amp;"'"&amp;K3294&amp;"'"&amp;");")),""))</f>
        <v/>
      </c>
    </row>
    <row r="3295" spans="19:19">
      <c r="S3295" s="61" t="str">
        <f t="shared" si="213"/>
        <v/>
      </c>
    </row>
    <row r="3296" spans="19:19">
      <c r="S3296" s="61" t="str">
        <f t="shared" si="213"/>
        <v/>
      </c>
    </row>
    <row r="3297" spans="19:19">
      <c r="S3297" s="61" t="str">
        <f t="shared" si="213"/>
        <v/>
      </c>
    </row>
    <row r="3298" spans="19:19">
      <c r="S3298" s="61" t="str">
        <f t="shared" si="213"/>
        <v/>
      </c>
    </row>
    <row r="3299" spans="19:19">
      <c r="S3299" s="61" t="str">
        <f t="shared" si="213"/>
        <v/>
      </c>
    </row>
    <row r="3300" spans="19:19">
      <c r="S3300" s="61" t="str">
        <f t="shared" si="213"/>
        <v/>
      </c>
    </row>
    <row r="3301" spans="19:19">
      <c r="S3301" s="61" t="str">
        <f t="shared" si="213"/>
        <v/>
      </c>
    </row>
    <row r="3302" spans="19:19">
      <c r="S3302" s="61" t="str">
        <f t="shared" si="213"/>
        <v/>
      </c>
    </row>
    <row r="3303" spans="19:19">
      <c r="S3303" s="61" t="str">
        <f t="shared" si="213"/>
        <v/>
      </c>
    </row>
    <row r="3304" spans="19:19">
      <c r="S3304" s="61" t="str">
        <f t="shared" si="213"/>
        <v/>
      </c>
    </row>
    <row r="3305" spans="19:19">
      <c r="S3305" s="61" t="str">
        <f t="shared" si="213"/>
        <v/>
      </c>
    </row>
    <row r="3306" spans="19:19">
      <c r="S3306" s="61" t="str">
        <f t="shared" si="213"/>
        <v/>
      </c>
    </row>
    <row r="3307" spans="19:19">
      <c r="S3307" s="61" t="str">
        <f t="shared" si="213"/>
        <v/>
      </c>
    </row>
    <row r="3308" spans="19:19">
      <c r="S3308" s="61" t="str">
        <f t="shared" si="213"/>
        <v/>
      </c>
    </row>
    <row r="3309" spans="19:19">
      <c r="S3309" s="61" t="str">
        <f t="shared" si="213"/>
        <v/>
      </c>
    </row>
    <row r="3310" spans="19:19">
      <c r="S3310" s="61" t="str">
        <f t="shared" si="213"/>
        <v/>
      </c>
    </row>
    <row r="3311" spans="19:19">
      <c r="S3311" s="61" t="str">
        <f t="shared" si="213"/>
        <v/>
      </c>
    </row>
    <row r="3312" spans="19:19">
      <c r="S3312" s="61" t="str">
        <f t="shared" si="213"/>
        <v/>
      </c>
    </row>
    <row r="3313" spans="19:19">
      <c r="S3313" s="61" t="str">
        <f t="shared" si="213"/>
        <v/>
      </c>
    </row>
    <row r="3314" spans="19:19">
      <c r="S3314" s="61" t="str">
        <f t="shared" si="213"/>
        <v/>
      </c>
    </row>
    <row r="3315" spans="19:19">
      <c r="S3315" s="61" t="str">
        <f t="shared" si="213"/>
        <v/>
      </c>
    </row>
    <row r="3316" spans="19:19">
      <c r="S3316" s="61" t="str">
        <f t="shared" si="213"/>
        <v/>
      </c>
    </row>
    <row r="3317" spans="19:19">
      <c r="S3317" s="61" t="str">
        <f t="shared" si="213"/>
        <v/>
      </c>
    </row>
    <row r="3318" spans="19:19">
      <c r="S3318" s="61" t="str">
        <f t="shared" si="213"/>
        <v/>
      </c>
    </row>
    <row r="3319" spans="19:19">
      <c r="S3319" s="61" t="str">
        <f t="shared" si="213"/>
        <v/>
      </c>
    </row>
    <row r="3320" spans="19:19">
      <c r="S3320" s="61" t="str">
        <f t="shared" si="213"/>
        <v/>
      </c>
    </row>
    <row r="3321" spans="19:19">
      <c r="S3321" s="61" t="str">
        <f t="shared" si="213"/>
        <v/>
      </c>
    </row>
    <row r="3322" spans="19:19">
      <c r="S3322" s="61" t="str">
        <f t="shared" si="213"/>
        <v/>
      </c>
    </row>
    <row r="3323" spans="19:19">
      <c r="S3323" s="61" t="str">
        <f t="shared" si="213"/>
        <v/>
      </c>
    </row>
    <row r="3324" spans="19:19">
      <c r="S3324" s="61" t="str">
        <f t="shared" si="213"/>
        <v/>
      </c>
    </row>
    <row r="3325" spans="19:19">
      <c r="S3325" s="61" t="str">
        <f t="shared" si="213"/>
        <v/>
      </c>
    </row>
    <row r="3326" spans="19:19">
      <c r="S3326" s="61" t="str">
        <f t="shared" si="213"/>
        <v/>
      </c>
    </row>
    <row r="3327" spans="19:19">
      <c r="S3327" s="61" t="str">
        <f t="shared" si="213"/>
        <v/>
      </c>
    </row>
    <row r="3328" spans="19:19">
      <c r="S3328" s="61" t="str">
        <f t="shared" si="213"/>
        <v/>
      </c>
    </row>
    <row r="3329" spans="19:19">
      <c r="S3329" s="61" t="str">
        <f t="shared" si="213"/>
        <v/>
      </c>
    </row>
    <row r="3330" spans="19:19">
      <c r="S3330" s="61" t="str">
        <f t="shared" si="213"/>
        <v/>
      </c>
    </row>
    <row r="3331" spans="19:19">
      <c r="S3331" s="61" t="str">
        <f t="shared" si="213"/>
        <v/>
      </c>
    </row>
    <row r="3332" spans="19:19">
      <c r="S3332" s="61" t="str">
        <f t="shared" si="213"/>
        <v/>
      </c>
    </row>
    <row r="3333" spans="19:19">
      <c r="S3333" s="61" t="str">
        <f t="shared" si="213"/>
        <v/>
      </c>
    </row>
    <row r="3334" spans="19:19">
      <c r="S3334" s="61" t="str">
        <f t="shared" si="213"/>
        <v/>
      </c>
    </row>
    <row r="3335" spans="19:19">
      <c r="S3335" s="61" t="str">
        <f t="shared" si="213"/>
        <v/>
      </c>
    </row>
    <row r="3336" spans="19:19">
      <c r="S3336" s="61" t="str">
        <f t="shared" si="213"/>
        <v/>
      </c>
    </row>
    <row r="3337" spans="19:19">
      <c r="S3337" s="61" t="str">
        <f t="shared" si="213"/>
        <v/>
      </c>
    </row>
    <row r="3338" spans="19:19">
      <c r="S3338" s="61" t="str">
        <f t="shared" si="213"/>
        <v/>
      </c>
    </row>
    <row r="3339" spans="19:19">
      <c r="S3339" s="61" t="str">
        <f t="shared" si="213"/>
        <v/>
      </c>
    </row>
    <row r="3340" spans="19:19">
      <c r="S3340" s="61" t="str">
        <f t="shared" si="213"/>
        <v/>
      </c>
    </row>
    <row r="3341" spans="19:19">
      <c r="S3341" s="61" t="str">
        <f t="shared" si="213"/>
        <v/>
      </c>
    </row>
    <row r="3342" spans="19:19">
      <c r="S3342" s="61" t="str">
        <f t="shared" si="213"/>
        <v/>
      </c>
    </row>
    <row r="3343" spans="19:19">
      <c r="S3343" s="61" t="str">
        <f t="shared" si="213"/>
        <v/>
      </c>
    </row>
    <row r="3344" spans="19:19">
      <c r="S3344" s="61" t="str">
        <f t="shared" si="213"/>
        <v/>
      </c>
    </row>
    <row r="3345" spans="19:19">
      <c r="S3345" s="61" t="str">
        <f t="shared" si="213"/>
        <v/>
      </c>
    </row>
    <row r="3346" spans="19:19">
      <c r="S3346" s="61" t="str">
        <f t="shared" si="213"/>
        <v/>
      </c>
    </row>
    <row r="3347" spans="19:19">
      <c r="S3347" s="61" t="str">
        <f t="shared" si="213"/>
        <v/>
      </c>
    </row>
    <row r="3348" spans="19:19">
      <c r="S3348" s="61" t="str">
        <f t="shared" si="213"/>
        <v/>
      </c>
    </row>
    <row r="3349" spans="19:19">
      <c r="S3349" s="61" t="str">
        <f t="shared" si="213"/>
        <v/>
      </c>
    </row>
    <row r="3350" spans="19:19">
      <c r="S3350" s="61" t="str">
        <f t="shared" si="213"/>
        <v/>
      </c>
    </row>
    <row r="3351" spans="19:19">
      <c r="S3351" s="61" t="str">
        <f t="shared" si="213"/>
        <v/>
      </c>
    </row>
    <row r="3352" spans="19:19">
      <c r="S3352" s="61" t="str">
        <f t="shared" si="213"/>
        <v/>
      </c>
    </row>
    <row r="3353" spans="19:19">
      <c r="S3353" s="61" t="str">
        <f t="shared" si="213"/>
        <v/>
      </c>
    </row>
    <row r="3354" spans="19:19">
      <c r="S3354" s="61" t="str">
        <f t="shared" si="213"/>
        <v/>
      </c>
    </row>
    <row r="3355" spans="19:19">
      <c r="S3355" s="61" t="str">
        <f t="shared" si="213"/>
        <v/>
      </c>
    </row>
    <row r="3356" spans="19:19">
      <c r="S3356" s="61" t="str">
        <f t="shared" si="213"/>
        <v/>
      </c>
    </row>
    <row r="3357" spans="19:19">
      <c r="S3357" s="61" t="str">
        <f t="shared" si="213"/>
        <v/>
      </c>
    </row>
    <row r="3358" spans="19:19">
      <c r="S3358" s="61" t="str">
        <f t="shared" si="213"/>
        <v/>
      </c>
    </row>
    <row r="3359" spans="19:19">
      <c r="S3359" s="61" t="str">
        <f t="shared" si="213"/>
        <v/>
      </c>
    </row>
    <row r="3360" spans="19:19">
      <c r="S3360" s="61" t="str">
        <f t="shared" si="213"/>
        <v/>
      </c>
    </row>
    <row r="3361" spans="19:19">
      <c r="S3361" s="61" t="str">
        <f t="shared" si="213"/>
        <v/>
      </c>
    </row>
    <row r="3362" spans="19:19">
      <c r="S3362" s="61" t="str">
        <f t="shared" si="213"/>
        <v/>
      </c>
    </row>
  </sheetData>
  <protectedRanges>
    <protectedRange sqref="I111:J111 J112:J129 I112:I163" name="Range2" securityDescriptor="O:WDG:WDD:(A;;CC;;;WD)"/>
  </protectedRanges>
  <dataConsolidate/>
  <mergeCells count="2">
    <mergeCell ref="D6:F6"/>
    <mergeCell ref="H6:I6"/>
  </mergeCells>
  <dataValidations count="1">
    <dataValidation type="list" allowBlank="1" showInputMessage="1" showErrorMessage="1" sqref="J111:J129" xr:uid="{A3EA038F-681E-436E-B855-AE54CD675058}">
      <formula1>$K$111:$K$129</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49209F0-0722-482F-9792-2B7A1E0DEBBD}">
          <x14:formula1>
            <xm:f>Create_TC_Web!$Y$1:$Y$20</xm:f>
          </x14:formula1>
          <xm:sqref>F185</xm:sqref>
        </x14:dataValidation>
        <x14:dataValidation type="list" allowBlank="1" showInputMessage="1" showErrorMessage="1" xr:uid="{AF9E0804-357E-4310-AB61-62FBD8C26EAE}">
          <x14:formula1>
            <xm:f>TC!$Y$1:$Y$20</xm:f>
          </x14:formula1>
          <xm:sqref>K111</xm:sqref>
        </x14:dataValidation>
        <x14:dataValidation type="list" allowBlank="1" showInputMessage="1" showErrorMessage="1" xr:uid="{C6B03BCA-F698-4EC7-9CBB-0B30F61458CF}">
          <x14:formula1>
            <xm:f>Create_TC_Web!$Y$1:$Y$100</xm:f>
          </x14:formula1>
          <xm:sqref>I111:I163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C0303-E1E4-4576-B10D-8A05D9ED3FB6}">
  <sheetPr codeName="Sheet15"/>
  <dimension ref="A1:D4"/>
  <sheetViews>
    <sheetView showGridLines="0" workbookViewId="0">
      <selection activeCell="F11" sqref="F11"/>
    </sheetView>
  </sheetViews>
  <sheetFormatPr defaultRowHeight="15"/>
  <cols>
    <col min="1" max="1" width="15.5703125" bestFit="1" customWidth="1"/>
    <col min="2" max="2" width="16.28515625" bestFit="1" customWidth="1"/>
    <col min="3" max="3" width="13.85546875" bestFit="1" customWidth="1"/>
  </cols>
  <sheetData>
    <row r="1" spans="1:4">
      <c r="A1" s="134" t="s">
        <v>3497</v>
      </c>
      <c r="B1" s="134" t="s">
        <v>3498</v>
      </c>
      <c r="C1" s="134" t="s">
        <v>3499</v>
      </c>
      <c r="D1" s="134" t="s">
        <v>2917</v>
      </c>
    </row>
    <row r="2" spans="1:4">
      <c r="A2" s="132">
        <v>2477.8000000000002</v>
      </c>
      <c r="B2" s="132">
        <f>'Detailed Report'!E94</f>
        <v>2477.8000000000002</v>
      </c>
      <c r="C2" s="132">
        <v>2477.8000000000002</v>
      </c>
      <c r="D2" s="132" t="str">
        <f>IF($B$2=$C$2,"Pass","Fail")</f>
        <v>Pass</v>
      </c>
    </row>
    <row r="3" spans="1:4">
      <c r="A3" s="132">
        <v>2477.8000000000002</v>
      </c>
      <c r="B3" s="132">
        <f>'Detailed Report'!H94</f>
        <v>2477.8000000000002</v>
      </c>
      <c r="C3" s="132">
        <v>2477.8000000000002</v>
      </c>
      <c r="D3" s="132" t="str">
        <f>IF($B$3=$C$3,"Pass","Fail")</f>
        <v>Pass</v>
      </c>
    </row>
    <row r="4" spans="1:4">
      <c r="A4" s="132">
        <v>4276.3999999999996</v>
      </c>
      <c r="B4" s="132">
        <f>'Detailed Report'!K94</f>
        <v>4276.3999999999996</v>
      </c>
      <c r="C4" s="132">
        <v>4276.3999999999996</v>
      </c>
      <c r="D4" s="132" t="str">
        <f>IF($B$4=$C$4,"Pass","Fail")</f>
        <v>Pass</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2F2E-78B6-48A7-8546-5DAAB9C8A59E}">
  <sheetPr codeName="Sheet14"/>
  <dimension ref="A1:BL94"/>
  <sheetViews>
    <sheetView workbookViewId="0">
      <selection activeCell="B7" sqref="B7"/>
    </sheetView>
  </sheetViews>
  <sheetFormatPr defaultColWidth="8.85546875" defaultRowHeight="15"/>
  <cols>
    <col min="1" max="1" width="18.7109375" style="135" customWidth="1"/>
    <col min="2" max="3" width="18.85546875" style="135" customWidth="1"/>
    <col min="4" max="4" width="28.7109375" style="132" customWidth="1"/>
    <col min="5" max="5" width="15.5703125" bestFit="1" customWidth="1"/>
    <col min="6" max="6" width="9.140625"/>
    <col min="7" max="8" width="15.5703125" bestFit="1" customWidth="1"/>
    <col min="9" max="9" width="9.140625"/>
    <col min="10" max="11" width="15.5703125" bestFit="1" customWidth="1"/>
    <col min="12" max="12" width="9.140625"/>
    <col min="13" max="14" width="15.5703125" bestFit="1" customWidth="1"/>
    <col min="15" max="15" width="9.140625"/>
    <col min="16" max="17" width="15.5703125" bestFit="1" customWidth="1"/>
    <col min="18" max="18" width="9.140625"/>
    <col min="19" max="20" width="15.5703125" bestFit="1" customWidth="1"/>
    <col min="21" max="21" width="9.140625"/>
    <col min="22" max="23" width="15.5703125" bestFit="1" customWidth="1"/>
    <col min="24" max="24" width="9.140625"/>
    <col min="25" max="26" width="15.5703125" bestFit="1" customWidth="1"/>
    <col min="27" max="27" width="9.140625"/>
    <col min="28" max="29" width="15.5703125" bestFit="1" customWidth="1"/>
    <col min="30" max="30" width="9.140625"/>
    <col min="31" max="32" width="15.5703125" bestFit="1" customWidth="1"/>
    <col min="33" max="33" width="9.140625"/>
    <col min="34" max="35" width="15.5703125" bestFit="1" customWidth="1"/>
    <col min="36" max="36" width="9.140625"/>
    <col min="37" max="38" width="15.5703125" bestFit="1" customWidth="1"/>
    <col min="39" max="39" width="9.140625"/>
    <col min="40" max="41" width="15.5703125" bestFit="1" customWidth="1"/>
    <col min="42" max="42" width="9.140625"/>
    <col min="43" max="44" width="15.5703125" bestFit="1" customWidth="1"/>
    <col min="45" max="45" width="9.140625"/>
    <col min="46" max="47" width="15.5703125" bestFit="1" customWidth="1"/>
    <col min="48" max="48" width="9.140625"/>
    <col min="49" max="50" width="15.5703125" bestFit="1" customWidth="1"/>
    <col min="52" max="53" width="15.5703125" bestFit="1" customWidth="1"/>
    <col min="55" max="56" width="15.5703125" bestFit="1" customWidth="1"/>
    <col min="58" max="59" width="15.5703125" bestFit="1" customWidth="1"/>
    <col min="61" max="62" width="15.5703125" bestFit="1" customWidth="1"/>
    <col min="64" max="64" width="15.5703125" bestFit="1" customWidth="1"/>
    <col min="65" max="16384" width="8.85546875" style="132"/>
  </cols>
  <sheetData>
    <row r="1" spans="1:64" s="134" customFormat="1">
      <c r="A1" s="133" t="s">
        <v>2492</v>
      </c>
      <c r="B1" s="133" t="s">
        <v>2493</v>
      </c>
      <c r="C1" s="133" t="s">
        <v>2494</v>
      </c>
      <c r="D1" s="133" t="s">
        <v>2495</v>
      </c>
      <c r="E1" s="1" t="s">
        <v>2916</v>
      </c>
      <c r="F1" t="s">
        <v>3494</v>
      </c>
      <c r="G1" s="1" t="s">
        <v>2496</v>
      </c>
      <c r="H1" s="1" t="s">
        <v>2916</v>
      </c>
      <c r="I1" t="s">
        <v>3495</v>
      </c>
      <c r="J1" s="1" t="s">
        <v>2496</v>
      </c>
      <c r="K1" s="1" t="s">
        <v>2916</v>
      </c>
      <c r="L1" t="s">
        <v>3496</v>
      </c>
      <c r="M1" s="1" t="s">
        <v>2496</v>
      </c>
      <c r="N1" s="1" t="s">
        <v>2916</v>
      </c>
      <c r="O1" t="s">
        <v>3500</v>
      </c>
      <c r="P1" s="1" t="s">
        <v>2496</v>
      </c>
      <c r="Q1" s="1" t="s">
        <v>2916</v>
      </c>
      <c r="R1" t="s">
        <v>3501</v>
      </c>
      <c r="S1" s="1" t="s">
        <v>2496</v>
      </c>
      <c r="T1" s="1" t="s">
        <v>2916</v>
      </c>
      <c r="U1" t="s">
        <v>3494</v>
      </c>
      <c r="V1" s="1" t="s">
        <v>2496</v>
      </c>
      <c r="W1" s="1" t="s">
        <v>2916</v>
      </c>
      <c r="X1" t="s">
        <v>3495</v>
      </c>
      <c r="Y1" s="1" t="s">
        <v>2496</v>
      </c>
      <c r="Z1" s="1" t="s">
        <v>2916</v>
      </c>
      <c r="AA1" t="s">
        <v>3496</v>
      </c>
      <c r="AB1" s="1" t="s">
        <v>2496</v>
      </c>
      <c r="AC1" s="1" t="s">
        <v>2916</v>
      </c>
      <c r="AD1" t="s">
        <v>3500</v>
      </c>
      <c r="AE1" s="1" t="s">
        <v>2496</v>
      </c>
      <c r="AF1" s="1" t="s">
        <v>2916</v>
      </c>
      <c r="AG1" t="s">
        <v>3501</v>
      </c>
      <c r="AH1" s="1" t="s">
        <v>2496</v>
      </c>
      <c r="AI1" s="1" t="s">
        <v>2916</v>
      </c>
      <c r="AJ1" t="s">
        <v>3494</v>
      </c>
      <c r="AK1" s="1" t="s">
        <v>2496</v>
      </c>
      <c r="AL1" s="1" t="s">
        <v>2916</v>
      </c>
      <c r="AM1" t="s">
        <v>3495</v>
      </c>
      <c r="AN1" s="1" t="s">
        <v>2496</v>
      </c>
      <c r="AO1" s="1" t="s">
        <v>2916</v>
      </c>
      <c r="AP1" t="s">
        <v>3496</v>
      </c>
      <c r="AQ1" s="1" t="s">
        <v>2496</v>
      </c>
      <c r="AR1" s="1" t="s">
        <v>2916</v>
      </c>
      <c r="AS1" t="s">
        <v>3500</v>
      </c>
      <c r="AT1" s="1" t="s">
        <v>2496</v>
      </c>
      <c r="AU1" s="1" t="s">
        <v>2916</v>
      </c>
      <c r="AV1" t="s">
        <v>3501</v>
      </c>
      <c r="AW1" s="1" t="s">
        <v>2496</v>
      </c>
      <c r="AX1" s="1" t="s">
        <v>2916</v>
      </c>
      <c r="AY1" t="s">
        <v>3504</v>
      </c>
      <c r="AZ1" s="1" t="s">
        <v>2496</v>
      </c>
      <c r="BA1" s="1" t="s">
        <v>2916</v>
      </c>
      <c r="BB1" t="s">
        <v>3495</v>
      </c>
      <c r="BC1" s="1" t="s">
        <v>2496</v>
      </c>
      <c r="BD1" s="1" t="s">
        <v>2916</v>
      </c>
      <c r="BE1" t="s">
        <v>3496</v>
      </c>
      <c r="BF1" s="1" t="s">
        <v>2496</v>
      </c>
      <c r="BG1" s="1" t="s">
        <v>2916</v>
      </c>
      <c r="BH1" t="s">
        <v>3500</v>
      </c>
      <c r="BI1" s="1" t="s">
        <v>2496</v>
      </c>
      <c r="BJ1" s="1" t="s">
        <v>2916</v>
      </c>
      <c r="BK1" t="s">
        <v>3501</v>
      </c>
      <c r="BL1" s="1" t="s">
        <v>2496</v>
      </c>
    </row>
    <row r="2" spans="1:64" ht="30">
      <c r="A2" s="131" t="s">
        <v>2919</v>
      </c>
      <c r="B2" s="131"/>
      <c r="C2" s="131"/>
      <c r="D2" s="131" t="s">
        <v>2497</v>
      </c>
    </row>
    <row r="3" spans="1:64">
      <c r="A3" s="131" t="s">
        <v>2498</v>
      </c>
      <c r="B3" s="131"/>
      <c r="C3" s="131" t="s">
        <v>2499</v>
      </c>
      <c r="D3" s="131" t="s">
        <v>2500</v>
      </c>
      <c r="F3" t="s">
        <v>2920</v>
      </c>
      <c r="I3" t="s">
        <v>2920</v>
      </c>
      <c r="L3" t="s">
        <v>2920</v>
      </c>
      <c r="O3" t="s">
        <v>2920</v>
      </c>
      <c r="R3" t="s">
        <v>2920</v>
      </c>
      <c r="U3" t="s">
        <v>2920</v>
      </c>
      <c r="X3" t="s">
        <v>2920</v>
      </c>
      <c r="AA3" t="s">
        <v>2920</v>
      </c>
      <c r="AD3" t="s">
        <v>2920</v>
      </c>
      <c r="AG3" t="s">
        <v>2920</v>
      </c>
      <c r="AJ3" t="s">
        <v>2920</v>
      </c>
      <c r="AM3" t="s">
        <v>2920</v>
      </c>
      <c r="AP3" t="s">
        <v>2920</v>
      </c>
      <c r="AS3" t="s">
        <v>2920</v>
      </c>
      <c r="AV3" t="s">
        <v>2920</v>
      </c>
      <c r="AY3" t="s">
        <v>2920</v>
      </c>
      <c r="BB3" t="s">
        <v>2920</v>
      </c>
      <c r="BE3" t="s">
        <v>2920</v>
      </c>
      <c r="BH3" t="s">
        <v>2920</v>
      </c>
      <c r="BK3" t="s">
        <v>2920</v>
      </c>
    </row>
    <row r="4" spans="1:64" ht="30">
      <c r="A4" s="131" t="s">
        <v>2921</v>
      </c>
      <c r="B4" s="131" t="s">
        <v>2501</v>
      </c>
      <c r="C4" s="131"/>
      <c r="D4" s="131" t="s">
        <v>2502</v>
      </c>
    </row>
    <row r="5" spans="1:64" ht="30">
      <c r="A5" s="131"/>
      <c r="B5" s="131"/>
      <c r="C5" s="131"/>
      <c r="D5" s="131" t="s">
        <v>2503</v>
      </c>
    </row>
    <row r="6" spans="1:64" ht="30">
      <c r="A6" s="131" t="s">
        <v>2504</v>
      </c>
      <c r="B6" s="131"/>
      <c r="C6" s="131"/>
      <c r="D6" s="131" t="s">
        <v>2505</v>
      </c>
      <c r="F6" t="s">
        <v>2922</v>
      </c>
      <c r="I6" t="s">
        <v>2922</v>
      </c>
      <c r="L6" t="s">
        <v>2922</v>
      </c>
      <c r="O6" t="s">
        <v>2922</v>
      </c>
      <c r="R6" t="s">
        <v>2922</v>
      </c>
      <c r="U6" t="s">
        <v>2922</v>
      </c>
      <c r="X6" t="s">
        <v>2922</v>
      </c>
      <c r="AA6" t="s">
        <v>2922</v>
      </c>
      <c r="AD6" t="s">
        <v>2922</v>
      </c>
      <c r="AG6" t="s">
        <v>2922</v>
      </c>
      <c r="AJ6" t="s">
        <v>2922</v>
      </c>
      <c r="AM6" t="s">
        <v>2922</v>
      </c>
      <c r="AP6" t="s">
        <v>2922</v>
      </c>
      <c r="AS6" t="s">
        <v>2922</v>
      </c>
      <c r="AV6" t="s">
        <v>2922</v>
      </c>
      <c r="AY6" t="s">
        <v>2922</v>
      </c>
      <c r="BB6" t="s">
        <v>2922</v>
      </c>
      <c r="BE6" t="s">
        <v>2922</v>
      </c>
      <c r="BH6" t="s">
        <v>2922</v>
      </c>
      <c r="BK6" t="s">
        <v>2922</v>
      </c>
    </row>
    <row r="7" spans="1:64">
      <c r="A7" s="131" t="s">
        <v>2506</v>
      </c>
      <c r="B7" s="131"/>
      <c r="C7" s="131"/>
      <c r="D7" s="131" t="s">
        <v>2507</v>
      </c>
      <c r="F7" t="s">
        <v>2414</v>
      </c>
      <c r="I7" t="s">
        <v>2414</v>
      </c>
      <c r="L7" t="s">
        <v>2418</v>
      </c>
      <c r="O7" t="s">
        <v>2414</v>
      </c>
      <c r="R7" t="s">
        <v>2418</v>
      </c>
      <c r="U7" t="s">
        <v>2414</v>
      </c>
      <c r="X7" t="s">
        <v>2414</v>
      </c>
      <c r="AA7" t="s">
        <v>2418</v>
      </c>
      <c r="AD7" t="s">
        <v>2414</v>
      </c>
      <c r="AG7" t="s">
        <v>2418</v>
      </c>
      <c r="AJ7" t="s">
        <v>2414</v>
      </c>
      <c r="AM7" t="s">
        <v>2414</v>
      </c>
      <c r="AP7" t="s">
        <v>2418</v>
      </c>
      <c r="AS7" t="s">
        <v>2414</v>
      </c>
      <c r="AV7" t="s">
        <v>2418</v>
      </c>
      <c r="AY7" t="s">
        <v>2418</v>
      </c>
      <c r="BB7" t="s">
        <v>2414</v>
      </c>
      <c r="BE7" t="s">
        <v>2418</v>
      </c>
      <c r="BH7" t="s">
        <v>2414</v>
      </c>
      <c r="BK7" t="s">
        <v>2418</v>
      </c>
    </row>
    <row r="8" spans="1:64" ht="30">
      <c r="A8" s="131" t="s">
        <v>2508</v>
      </c>
      <c r="B8" s="131"/>
      <c r="C8" s="131" t="s">
        <v>2509</v>
      </c>
      <c r="D8" s="131" t="s">
        <v>2510</v>
      </c>
      <c r="E8" t="str" cm="1">
        <f t="array" ref="E8">GetRatetable('Input Data'!A1,'Input Data'!A2,'Input Data'!B15)</f>
        <v>435</v>
      </c>
      <c r="F8">
        <v>435</v>
      </c>
      <c r="H8" t="e" cm="1">
        <f t="array" ref="H8">GetRatetable('Input Data'!D1,'Input Data'!D2,'Input Data'!E15)</f>
        <v>#VALUE!</v>
      </c>
      <c r="I8">
        <v>435</v>
      </c>
      <c r="K8" t="e" cm="1">
        <f t="array" ref="K8">GetRatetable('Input Data'!G1,'Input Data'!G2,'Input Data'!H15)</f>
        <v>#VALUE!</v>
      </c>
      <c r="L8">
        <v>435</v>
      </c>
      <c r="N8" t="e" cm="1">
        <f t="array" ref="N8">GetRatetable('Input Data'!J1,'Input Data'!J2,'Input Data'!K15)</f>
        <v>#VALUE!</v>
      </c>
      <c r="O8">
        <v>435</v>
      </c>
      <c r="Q8" t="e" cm="1">
        <f t="array" ref="Q8">GetRatetable('Input Data'!M1,'Input Data'!M2,'Input Data'!N15)</f>
        <v>#VALUE!</v>
      </c>
      <c r="R8">
        <v>435</v>
      </c>
      <c r="T8" t="e" cm="1">
        <f t="array" ref="T8">GetRatetable('Input Data'!P1,'Input Data'!P2,'Input Data'!Q15)</f>
        <v>#VALUE!</v>
      </c>
      <c r="U8">
        <v>435</v>
      </c>
      <c r="W8" t="e" cm="1">
        <f t="array" ref="W8">GetRatetable('Input Data'!S1,'Input Data'!S2,'Input Data'!T15)</f>
        <v>#VALUE!</v>
      </c>
      <c r="X8">
        <v>435</v>
      </c>
      <c r="Z8" t="e" cm="1">
        <f t="array" ref="Z8">GetRatetable('Input Data'!V1,'Input Data'!V2,'Input Data'!W15)</f>
        <v>#VALUE!</v>
      </c>
      <c r="AA8">
        <v>435</v>
      </c>
      <c r="AC8" t="e" cm="1">
        <f t="array" ref="AC8">GetRatetable('Input Data'!Y1,'Input Data'!Y2,'Input Data'!Z15)</f>
        <v>#VALUE!</v>
      </c>
      <c r="AD8">
        <v>435</v>
      </c>
      <c r="AF8" t="e" cm="1">
        <f t="array" ref="AF8">GetRatetable('Input Data'!AB1,'Input Data'!AB2,'Input Data'!AC15)</f>
        <v>#VALUE!</v>
      </c>
      <c r="AG8">
        <v>435</v>
      </c>
      <c r="AI8" t="e" cm="1">
        <f t="array" ref="AI8">GetRatetable('Input Data'!AE1,'Input Data'!AE2,'Input Data'!AF15)</f>
        <v>#VALUE!</v>
      </c>
      <c r="AJ8">
        <v>435</v>
      </c>
      <c r="AL8" t="e" cm="1">
        <f t="array" ref="AL8">GetRatetable('Input Data'!AH1,'Input Data'!AH2,'Input Data'!AI15)</f>
        <v>#VALUE!</v>
      </c>
      <c r="AM8">
        <v>435</v>
      </c>
      <c r="AO8" t="e" cm="1">
        <f t="array" ref="AO8">GetRatetable('Input Data'!AK1,'Input Data'!AK2,'Input Data'!AL15)</f>
        <v>#VALUE!</v>
      </c>
      <c r="AP8">
        <v>435</v>
      </c>
      <c r="AR8" t="e" cm="1">
        <f t="array" ref="AR8">GetRatetable('Input Data'!AN1,'Input Data'!AN2,'Input Data'!AO15)</f>
        <v>#VALUE!</v>
      </c>
      <c r="AS8">
        <v>435</v>
      </c>
      <c r="AU8" t="e" cm="1">
        <f t="array" ref="AU8">GetRatetable('Input Data'!AQ1,'Input Data'!AQ2,'Input Data'!AR15)</f>
        <v>#VALUE!</v>
      </c>
      <c r="AV8">
        <v>435</v>
      </c>
      <c r="AX8" t="e" cm="1">
        <f t="array" ref="AX8">GetRatetable('Input Data'!AT1,'Input Data'!AT2,'Input Data'!AU15)</f>
        <v>#VALUE!</v>
      </c>
      <c r="AY8">
        <v>435</v>
      </c>
      <c r="BA8" t="e" cm="1">
        <f t="array" ref="BA8">GetRatetable('Input Data'!AW1,'Input Data'!AW2,'Input Data'!AX15)</f>
        <v>#VALUE!</v>
      </c>
      <c r="BB8">
        <v>435</v>
      </c>
      <c r="BD8" t="e" cm="1">
        <f t="array" ref="BD8">GetRatetable('Input Data'!AZ1,'Input Data'!AZ2,'Input Data'!BA15)</f>
        <v>#VALUE!</v>
      </c>
      <c r="BE8">
        <v>435</v>
      </c>
      <c r="BG8" t="e" cm="1">
        <f t="array" ref="BG8">GetRatetable('Input Data'!BC1,'Input Data'!BC2,'Input Data'!BD15)</f>
        <v>#VALUE!</v>
      </c>
      <c r="BH8">
        <v>435</v>
      </c>
      <c r="BJ8" t="e" cm="1">
        <f t="array" ref="BJ8">GetRatetable('Input Data'!BF1,'Input Data'!BF2,'Input Data'!BG15)</f>
        <v>#VALUE!</v>
      </c>
      <c r="BK8">
        <v>435</v>
      </c>
    </row>
    <row r="9" spans="1:64" ht="30">
      <c r="A9" s="131" t="s">
        <v>2923</v>
      </c>
      <c r="B9" s="131"/>
      <c r="C9" s="131"/>
      <c r="D9" s="131" t="s">
        <v>2511</v>
      </c>
    </row>
    <row r="10" spans="1:64" ht="30">
      <c r="A10" s="131" t="s">
        <v>2512</v>
      </c>
      <c r="B10" s="131"/>
      <c r="C10" s="131" t="s">
        <v>2513</v>
      </c>
      <c r="D10" s="131" t="s">
        <v>2514</v>
      </c>
      <c r="F10">
        <v>1000000</v>
      </c>
      <c r="I10">
        <v>1000000</v>
      </c>
      <c r="L10">
        <v>2000000</v>
      </c>
      <c r="O10">
        <v>1000000</v>
      </c>
      <c r="R10">
        <v>2000000</v>
      </c>
      <c r="U10">
        <v>1000000</v>
      </c>
      <c r="X10">
        <v>1000000</v>
      </c>
      <c r="AA10">
        <v>2000000</v>
      </c>
      <c r="AD10">
        <v>1000000</v>
      </c>
      <c r="AG10">
        <v>2000000</v>
      </c>
      <c r="AJ10">
        <v>1000000</v>
      </c>
      <c r="AM10">
        <v>1000000</v>
      </c>
      <c r="AP10">
        <v>2000000</v>
      </c>
      <c r="AS10">
        <v>1000000</v>
      </c>
      <c r="AV10">
        <v>2000000</v>
      </c>
      <c r="AY10">
        <v>2000000</v>
      </c>
      <c r="BB10">
        <v>1000000</v>
      </c>
      <c r="BE10">
        <v>2000000</v>
      </c>
      <c r="BH10">
        <v>1000000</v>
      </c>
      <c r="BK10">
        <v>2000000</v>
      </c>
    </row>
    <row r="11" spans="1:64" ht="30">
      <c r="A11" s="131" t="s">
        <v>2924</v>
      </c>
      <c r="B11" s="131"/>
      <c r="C11" s="131"/>
      <c r="D11" s="131"/>
    </row>
    <row r="12" spans="1:64" ht="30">
      <c r="A12" s="131" t="s">
        <v>2515</v>
      </c>
      <c r="B12" s="131"/>
      <c r="C12" s="131" t="s">
        <v>2516</v>
      </c>
      <c r="D12" s="131"/>
    </row>
    <row r="13" spans="1:64">
      <c r="A13" s="131" t="s">
        <v>2925</v>
      </c>
      <c r="B13" s="131"/>
      <c r="C13" s="131"/>
      <c r="D13" s="131"/>
    </row>
    <row r="14" spans="1:64" ht="45">
      <c r="A14" s="131" t="s">
        <v>2409</v>
      </c>
      <c r="B14" s="131"/>
      <c r="C14" s="131" t="s">
        <v>2409</v>
      </c>
      <c r="D14" s="131" t="s">
        <v>2517</v>
      </c>
      <c r="E14" cm="1">
        <f t="array" ref="E14">GetRatetable('Input Data'!A1,'Input Data'!A3,'Input Data'!B16,'Input Data'!A12,'Input Data'!B23)</f>
        <v>0.1</v>
      </c>
      <c r="F14">
        <v>0.1</v>
      </c>
      <c r="H14" t="e" cm="1">
        <f t="array" ref="H14">GetRatetable('Input Data'!D1,'Input Data'!D3,'Input Data'!E16,'Input Data'!D12,'Input Data'!E23)</f>
        <v>#VALUE!</v>
      </c>
      <c r="I14">
        <v>0.1</v>
      </c>
      <c r="K14" t="e" cm="1">
        <f t="array" ref="K14">GetRatetable('Input Data'!G1,'Input Data'!G3,'Input Data'!H16,'Input Data'!G12,'Input Data'!H23)</f>
        <v>#VALUE!</v>
      </c>
      <c r="L14">
        <v>0.1</v>
      </c>
      <c r="N14" t="e" cm="1">
        <f t="array" ref="N14">GetRatetable('Input Data'!J1,'Input Data'!J3,'Input Data'!K16,'Input Data'!J12,'Input Data'!K23)</f>
        <v>#VALUE!</v>
      </c>
      <c r="O14">
        <v>0.1</v>
      </c>
      <c r="Q14" t="e" cm="1">
        <f t="array" ref="Q14">GetRatetable('Input Data'!M1,'Input Data'!M3,'Input Data'!N16,'Input Data'!M12,'Input Data'!N23)</f>
        <v>#VALUE!</v>
      </c>
      <c r="R14">
        <v>0.1</v>
      </c>
      <c r="T14" t="e" cm="1">
        <f t="array" ref="T14">GetRatetable('Input Data'!P1,'Input Data'!P3,'Input Data'!Q16,'Input Data'!P12,'Input Data'!Q23)</f>
        <v>#VALUE!</v>
      </c>
      <c r="U14">
        <v>0.1</v>
      </c>
      <c r="W14" t="e" cm="1">
        <f t="array" ref="W14">GetRatetable('Input Data'!S1,'Input Data'!S3,'Input Data'!T16,'Input Data'!S12,'Input Data'!T23)</f>
        <v>#VALUE!</v>
      </c>
      <c r="X14">
        <v>0.1</v>
      </c>
      <c r="Z14" t="e" cm="1">
        <f t="array" ref="Z14">GetRatetable('Input Data'!V1,'Input Data'!V3,'Input Data'!W16,'Input Data'!V12,'Input Data'!W23)</f>
        <v>#VALUE!</v>
      </c>
      <c r="AA14">
        <v>0.1</v>
      </c>
      <c r="AC14" t="e" cm="1">
        <f t="array" ref="AC14">GetRatetable('Input Data'!Y1,'Input Data'!Y3,'Input Data'!Z16,'Input Data'!Y12,'Input Data'!Z23)</f>
        <v>#VALUE!</v>
      </c>
      <c r="AD14">
        <v>0.1</v>
      </c>
      <c r="AF14" t="e" cm="1">
        <f t="array" ref="AF14">GetRatetable('Input Data'!AB1,'Input Data'!AB3,'Input Data'!AC16,'Input Data'!AB12,'Input Data'!AC23)</f>
        <v>#VALUE!</v>
      </c>
      <c r="AG14">
        <v>0.1</v>
      </c>
      <c r="AI14" t="e" cm="1">
        <f t="array" ref="AI14">GetRatetable('Input Data'!AE1,'Input Data'!AE3,'Input Data'!AF16,'Input Data'!AE12,'Input Data'!AF23)</f>
        <v>#VALUE!</v>
      </c>
      <c r="AJ14">
        <v>0.1</v>
      </c>
      <c r="AL14" t="e" cm="1">
        <f t="array" ref="AL14">GetRatetable('Input Data'!AH1,'Input Data'!AH3,'Input Data'!AI16,'Input Data'!AH12,'Input Data'!AI23)</f>
        <v>#VALUE!</v>
      </c>
      <c r="AM14">
        <v>0.1</v>
      </c>
      <c r="AO14" t="e" cm="1">
        <f t="array" ref="AO14">GetRatetable('Input Data'!AK1,'Input Data'!AK3,'Input Data'!AL16,'Input Data'!AK12,'Input Data'!AL23)</f>
        <v>#VALUE!</v>
      </c>
      <c r="AP14">
        <v>0.1</v>
      </c>
      <c r="AR14" t="e" cm="1">
        <f t="array" ref="AR14">GetRatetable('Input Data'!AN1,'Input Data'!AN3,'Input Data'!AO16,'Input Data'!AN12,'Input Data'!AO23)</f>
        <v>#VALUE!</v>
      </c>
      <c r="AS14">
        <v>0.1</v>
      </c>
      <c r="AU14" t="e" cm="1">
        <f t="array" ref="AU14">GetRatetable('Input Data'!AQ1,'Input Data'!AQ3,'Input Data'!AR16,'Input Data'!AQ12,'Input Data'!AR23)</f>
        <v>#VALUE!</v>
      </c>
      <c r="AV14">
        <v>0.1</v>
      </c>
      <c r="AX14" t="e" cm="1">
        <f t="array" ref="AX14">GetRatetable('Input Data'!AT1,'Input Data'!AT3,'Input Data'!AU16,'Input Data'!AT12,'Input Data'!AU23)</f>
        <v>#VALUE!</v>
      </c>
      <c r="AY14">
        <v>0.1</v>
      </c>
      <c r="BA14" t="e" cm="1">
        <f t="array" ref="BA14">GetRatetable('Input Data'!AW1,'Input Data'!AW3,'Input Data'!AX16,'Input Data'!AW12,'Input Data'!AX23)</f>
        <v>#VALUE!</v>
      </c>
      <c r="BB14">
        <v>0.1</v>
      </c>
      <c r="BD14" t="e" cm="1">
        <f t="array" ref="BD14">GetRatetable('Input Data'!AZ1,'Input Data'!AZ3,'Input Data'!BA16,'Input Data'!AZ12,'Input Data'!BA23)</f>
        <v>#VALUE!</v>
      </c>
      <c r="BE14">
        <v>0.1</v>
      </c>
      <c r="BG14" t="e" cm="1">
        <f t="array" ref="BG14">GetRatetable('Input Data'!BC1,'Input Data'!BC3,'Input Data'!BD16,'Input Data'!BC12,'Input Data'!BD23)</f>
        <v>#VALUE!</v>
      </c>
      <c r="BH14">
        <v>0.1</v>
      </c>
      <c r="BJ14" t="e" cm="1">
        <f t="array" ref="BJ14">GetRatetable('Input Data'!BF1,'Input Data'!BF3,'Input Data'!BG16,'Input Data'!BF12,'Input Data'!BG23)</f>
        <v>#VALUE!</v>
      </c>
      <c r="BK14">
        <v>0.1</v>
      </c>
    </row>
    <row r="15" spans="1:64" ht="30">
      <c r="A15" s="131" t="s">
        <v>2518</v>
      </c>
      <c r="B15" s="131"/>
      <c r="C15" s="131" t="s">
        <v>2519</v>
      </c>
      <c r="D15" s="131" t="s">
        <v>2409</v>
      </c>
      <c r="F15">
        <v>0.1</v>
      </c>
      <c r="I15">
        <v>0.1</v>
      </c>
      <c r="L15">
        <v>0.1</v>
      </c>
      <c r="O15">
        <v>0.1</v>
      </c>
      <c r="R15">
        <v>0.1</v>
      </c>
      <c r="U15">
        <v>0.1</v>
      </c>
      <c r="X15">
        <v>0.1</v>
      </c>
      <c r="AA15">
        <v>0.1</v>
      </c>
      <c r="AD15">
        <v>0.1</v>
      </c>
      <c r="AG15">
        <v>0.1</v>
      </c>
      <c r="AJ15">
        <v>0.1</v>
      </c>
      <c r="AM15">
        <v>0.1</v>
      </c>
      <c r="AP15">
        <v>0.1</v>
      </c>
      <c r="AS15">
        <v>0.1</v>
      </c>
      <c r="AV15">
        <v>0.1</v>
      </c>
      <c r="AY15">
        <v>0.1</v>
      </c>
      <c r="BB15">
        <v>0.1</v>
      </c>
      <c r="BE15">
        <v>0.1</v>
      </c>
      <c r="BH15">
        <v>0.1</v>
      </c>
      <c r="BK15">
        <v>0.1</v>
      </c>
    </row>
    <row r="16" spans="1:64" ht="30">
      <c r="A16" s="131" t="s">
        <v>2520</v>
      </c>
      <c r="B16" s="131"/>
      <c r="C16" s="131" t="s">
        <v>2521</v>
      </c>
      <c r="D16" s="131" t="s">
        <v>2522</v>
      </c>
      <c r="F16">
        <v>100000</v>
      </c>
      <c r="I16">
        <v>100000</v>
      </c>
      <c r="L16">
        <v>200000</v>
      </c>
      <c r="O16">
        <v>100000</v>
      </c>
      <c r="R16">
        <v>200000</v>
      </c>
      <c r="U16">
        <v>100000</v>
      </c>
      <c r="X16">
        <v>100000</v>
      </c>
      <c r="AA16">
        <v>200000</v>
      </c>
      <c r="AD16">
        <v>100000</v>
      </c>
      <c r="AG16">
        <v>200000</v>
      </c>
      <c r="AJ16">
        <v>100000</v>
      </c>
      <c r="AM16">
        <v>100000</v>
      </c>
      <c r="AP16">
        <v>200000</v>
      </c>
      <c r="AS16">
        <v>100000</v>
      </c>
      <c r="AV16">
        <v>200000</v>
      </c>
      <c r="AY16">
        <v>200000</v>
      </c>
      <c r="BB16">
        <v>100000</v>
      </c>
      <c r="BE16">
        <v>200000</v>
      </c>
      <c r="BH16">
        <v>100000</v>
      </c>
      <c r="BK16">
        <v>200000</v>
      </c>
    </row>
    <row r="17" spans="1:63">
      <c r="A17" s="131" t="s">
        <v>2926</v>
      </c>
      <c r="B17" s="131"/>
      <c r="C17" s="131"/>
      <c r="D17" s="131"/>
    </row>
    <row r="18" spans="1:63" ht="45">
      <c r="A18" s="131" t="s">
        <v>2409</v>
      </c>
      <c r="B18" s="131"/>
      <c r="C18" s="131" t="s">
        <v>2409</v>
      </c>
      <c r="D18" s="131" t="s">
        <v>2523</v>
      </c>
      <c r="E18" cm="1">
        <f t="array" ref="E18">GetRatetable('Input Data'!A1,'Input Data'!A3,'Input Data'!B16,'Input Data'!A13,'Input Data'!B23)</f>
        <v>0.7</v>
      </c>
      <c r="F18">
        <v>0.7</v>
      </c>
      <c r="H18" t="e" cm="1">
        <f t="array" ref="H18">GetRatetable('Input Data'!D1,'Input Data'!D3,'Input Data'!E16,'Input Data'!D13,'Input Data'!E23)</f>
        <v>#VALUE!</v>
      </c>
      <c r="I18">
        <v>0.7</v>
      </c>
      <c r="K18" t="e" cm="1">
        <f t="array" ref="K18">GetRatetable('Input Data'!G1,'Input Data'!G3,'Input Data'!H16,'Input Data'!G13,'Input Data'!H23)</f>
        <v>#VALUE!</v>
      </c>
      <c r="L18">
        <v>0.5</v>
      </c>
      <c r="N18" t="e" cm="1">
        <f t="array" ref="N18">GetRatetable('Input Data'!J1,'Input Data'!J3,'Input Data'!K16,'Input Data'!J13,'Input Data'!K23)</f>
        <v>#VALUE!</v>
      </c>
      <c r="O18">
        <v>0.7</v>
      </c>
      <c r="Q18" t="e" cm="1">
        <f t="array" ref="Q18">GetRatetable('Input Data'!M1,'Input Data'!M3,'Input Data'!N16,'Input Data'!M13,'Input Data'!N23)</f>
        <v>#VALUE!</v>
      </c>
      <c r="R18">
        <v>0.5</v>
      </c>
      <c r="T18" t="e" cm="1">
        <f t="array" ref="T18">GetRatetable('Input Data'!P1,'Input Data'!P3,'Input Data'!Q16,'Input Data'!P13,'Input Data'!Q23)</f>
        <v>#VALUE!</v>
      </c>
      <c r="U18">
        <v>0.7</v>
      </c>
      <c r="W18" t="e" cm="1">
        <f t="array" ref="W18">GetRatetable('Input Data'!S1,'Input Data'!S3,'Input Data'!T16,'Input Data'!S13,'Input Data'!T23)</f>
        <v>#VALUE!</v>
      </c>
      <c r="X18">
        <v>0.7</v>
      </c>
      <c r="Z18" t="e" cm="1">
        <f t="array" ref="Z18">GetRatetable('Input Data'!V1,'Input Data'!V3,'Input Data'!W16,'Input Data'!V13,'Input Data'!W23)</f>
        <v>#VALUE!</v>
      </c>
      <c r="AA18">
        <v>0.5</v>
      </c>
      <c r="AC18" t="e" cm="1">
        <f t="array" ref="AC18">GetRatetable('Input Data'!Y1,'Input Data'!Y3,'Input Data'!Z16,'Input Data'!Y13,'Input Data'!Z23)</f>
        <v>#VALUE!</v>
      </c>
      <c r="AD18">
        <v>0.7</v>
      </c>
      <c r="AF18" t="e" cm="1">
        <f t="array" ref="AF18">GetRatetable('Input Data'!AB1,'Input Data'!AB3,'Input Data'!AC16,'Input Data'!AB13,'Input Data'!AC23)</f>
        <v>#VALUE!</v>
      </c>
      <c r="AG18">
        <v>0.5</v>
      </c>
      <c r="AI18" t="e" cm="1">
        <f t="array" ref="AI18">GetRatetable('Input Data'!AE1,'Input Data'!AE3,'Input Data'!AF16,'Input Data'!AE13,'Input Data'!AF23)</f>
        <v>#VALUE!</v>
      </c>
      <c r="AJ18">
        <v>0.7</v>
      </c>
      <c r="AL18" t="e" cm="1">
        <f t="array" ref="AL18">GetRatetable('Input Data'!AH1,'Input Data'!AH3,'Input Data'!AI16,'Input Data'!AH13,'Input Data'!AI23)</f>
        <v>#VALUE!</v>
      </c>
      <c r="AM18">
        <v>0.7</v>
      </c>
      <c r="AO18" t="e" cm="1">
        <f t="array" ref="AO18">GetRatetable('Input Data'!AK1,'Input Data'!AK3,'Input Data'!AL16,'Input Data'!AK13,'Input Data'!AL23)</f>
        <v>#VALUE!</v>
      </c>
      <c r="AP18">
        <v>0.5</v>
      </c>
      <c r="AR18" t="e" cm="1">
        <f t="array" ref="AR18">GetRatetable('Input Data'!AN1,'Input Data'!AN3,'Input Data'!AO16,'Input Data'!AN13,'Input Data'!AO23)</f>
        <v>#VALUE!</v>
      </c>
      <c r="AS18">
        <v>0.7</v>
      </c>
      <c r="AU18" t="e" cm="1">
        <f t="array" ref="AU18">GetRatetable('Input Data'!AQ1,'Input Data'!AQ3,'Input Data'!AR16,'Input Data'!AQ13,'Input Data'!AR23)</f>
        <v>#VALUE!</v>
      </c>
      <c r="AV18">
        <v>0.5</v>
      </c>
      <c r="AX18" t="e" cm="1">
        <f t="array" ref="AX18">GetRatetable('Input Data'!AT1,'Input Data'!AT3,'Input Data'!AU16,'Input Data'!AT13,'Input Data'!AU23)</f>
        <v>#VALUE!</v>
      </c>
      <c r="AY18">
        <v>0.5</v>
      </c>
      <c r="BA18" t="e" cm="1">
        <f t="array" ref="BA18">GetRatetable('Input Data'!AW1,'Input Data'!AW3,'Input Data'!AX16,'Input Data'!AW13,'Input Data'!AX23)</f>
        <v>#VALUE!</v>
      </c>
      <c r="BB18">
        <v>0.7</v>
      </c>
      <c r="BD18" t="e" cm="1">
        <f t="array" ref="BD18">GetRatetable('Input Data'!AZ1,'Input Data'!AZ3,'Input Data'!BA16,'Input Data'!AZ13,'Input Data'!BA23)</f>
        <v>#VALUE!</v>
      </c>
      <c r="BE18">
        <v>0.5</v>
      </c>
      <c r="BG18" t="e" cm="1">
        <f t="array" ref="BG18">GetRatetable('Input Data'!BC1,'Input Data'!BC3,'Input Data'!BD16,'Input Data'!BC13,'Input Data'!BD23)</f>
        <v>#VALUE!</v>
      </c>
      <c r="BH18">
        <v>0.7</v>
      </c>
      <c r="BJ18" t="e" cm="1">
        <f t="array" ref="BJ18">GetRatetable('Input Data'!BF1,'Input Data'!BF3,'Input Data'!BG16,'Input Data'!BF13,'Input Data'!BG23)</f>
        <v>#VALUE!</v>
      </c>
      <c r="BK18">
        <v>0.5</v>
      </c>
    </row>
    <row r="19" spans="1:63" ht="30">
      <c r="A19" s="131" t="s">
        <v>2518</v>
      </c>
      <c r="B19" s="131"/>
      <c r="C19" s="131" t="s">
        <v>2524</v>
      </c>
      <c r="D19" s="131" t="s">
        <v>2409</v>
      </c>
      <c r="F19">
        <v>0.7</v>
      </c>
      <c r="I19">
        <v>0.7</v>
      </c>
      <c r="L19">
        <v>0.5</v>
      </c>
      <c r="O19">
        <v>0.7</v>
      </c>
      <c r="R19">
        <v>0.5</v>
      </c>
      <c r="U19">
        <v>0.7</v>
      </c>
      <c r="X19">
        <v>0.7</v>
      </c>
      <c r="AA19">
        <v>0.5</v>
      </c>
      <c r="AD19">
        <v>0.7</v>
      </c>
      <c r="AG19">
        <v>0.5</v>
      </c>
      <c r="AJ19">
        <v>0.7</v>
      </c>
      <c r="AM19">
        <v>0.7</v>
      </c>
      <c r="AP19">
        <v>0.5</v>
      </c>
      <c r="AS19">
        <v>0.7</v>
      </c>
      <c r="AV19">
        <v>0.5</v>
      </c>
      <c r="AY19">
        <v>0.5</v>
      </c>
      <c r="BB19">
        <v>0.7</v>
      </c>
      <c r="BE19">
        <v>0.5</v>
      </c>
      <c r="BH19">
        <v>0.7</v>
      </c>
      <c r="BK19">
        <v>0.5</v>
      </c>
    </row>
    <row r="20" spans="1:63" ht="30">
      <c r="A20" s="131" t="s">
        <v>2520</v>
      </c>
      <c r="B20" s="131"/>
      <c r="C20" s="131" t="s">
        <v>2525</v>
      </c>
      <c r="D20" s="131" t="s">
        <v>2522</v>
      </c>
      <c r="F20">
        <v>700000</v>
      </c>
      <c r="I20">
        <v>700000</v>
      </c>
      <c r="L20">
        <v>1000000</v>
      </c>
      <c r="O20">
        <v>700000</v>
      </c>
      <c r="R20">
        <v>1000000</v>
      </c>
      <c r="U20">
        <v>700000</v>
      </c>
      <c r="X20">
        <v>700000</v>
      </c>
      <c r="AA20">
        <v>1000000</v>
      </c>
      <c r="AD20">
        <v>700000</v>
      </c>
      <c r="AG20">
        <v>1000000</v>
      </c>
      <c r="AJ20">
        <v>700000</v>
      </c>
      <c r="AM20">
        <v>700000</v>
      </c>
      <c r="AP20">
        <v>1000000</v>
      </c>
      <c r="AS20">
        <v>700000</v>
      </c>
      <c r="AV20">
        <v>1000000</v>
      </c>
      <c r="AY20">
        <v>1000000</v>
      </c>
      <c r="BB20">
        <v>700000</v>
      </c>
      <c r="BE20">
        <v>1000000</v>
      </c>
      <c r="BH20">
        <v>700000</v>
      </c>
      <c r="BK20">
        <v>1000000</v>
      </c>
    </row>
    <row r="21" spans="1:63" ht="30">
      <c r="A21" s="131" t="s">
        <v>2927</v>
      </c>
      <c r="B21" s="131"/>
      <c r="C21" s="131"/>
      <c r="D21" s="131"/>
    </row>
    <row r="22" spans="1:63" ht="45">
      <c r="A22" s="131" t="s">
        <v>2409</v>
      </c>
      <c r="B22" s="131"/>
      <c r="C22" s="131" t="s">
        <v>2409</v>
      </c>
      <c r="D22" s="131" t="s">
        <v>2526</v>
      </c>
      <c r="E22" cm="1">
        <f t="array" ref="E22">GetRatetable('Input Data'!A1,'Input Data'!A3,'Input Data'!B16,'Input Data'!A14,'Input Data'!B23)</f>
        <v>0.3</v>
      </c>
      <c r="F22">
        <v>0.3</v>
      </c>
      <c r="H22" t="e" cm="1">
        <f t="array" ref="H22">GetRatetable('Input Data'!D1,'Input Data'!D3,'Input Data'!E16,'Input Data'!D14,'Input Data'!E23)</f>
        <v>#VALUE!</v>
      </c>
      <c r="I22">
        <v>0.3</v>
      </c>
      <c r="K22" t="e" cm="1">
        <f t="array" ref="K22">GetRatetable('Input Data'!G1,'Input Data'!G3,'Input Data'!H16,'Input Data'!G14,'Input Data'!H23)</f>
        <v>#VALUE!</v>
      </c>
      <c r="L22">
        <v>0.2</v>
      </c>
      <c r="N22" t="e" cm="1">
        <f t="array" ref="N22">GetRatetable('Input Data'!J1,'Input Data'!J3,'Input Data'!K16,'Input Data'!J14,'Input Data'!K23)</f>
        <v>#VALUE!</v>
      </c>
      <c r="O22">
        <v>0.3</v>
      </c>
      <c r="Q22" t="e" cm="1">
        <f t="array" ref="Q22">GetRatetable('Input Data'!M1,'Input Data'!M3,'Input Data'!N16,'Input Data'!M14,'Input Data'!N23)</f>
        <v>#VALUE!</v>
      </c>
      <c r="R22">
        <v>0.2</v>
      </c>
      <c r="T22" t="e" cm="1">
        <f t="array" ref="T22">GetRatetable('Input Data'!P1,'Input Data'!P3,'Input Data'!Q16,'Input Data'!P14,'Input Data'!Q23)</f>
        <v>#VALUE!</v>
      </c>
      <c r="U22">
        <v>0.3</v>
      </c>
      <c r="W22" t="e" cm="1">
        <f t="array" ref="W22">GetRatetable('Input Data'!S1,'Input Data'!S3,'Input Data'!T16,'Input Data'!S14,'Input Data'!T23)</f>
        <v>#VALUE!</v>
      </c>
      <c r="X22">
        <v>0.3</v>
      </c>
      <c r="Z22" t="e" cm="1">
        <f t="array" ref="Z22">GetRatetable('Input Data'!V1,'Input Data'!V3,'Input Data'!W16,'Input Data'!V14,'Input Data'!W23)</f>
        <v>#VALUE!</v>
      </c>
      <c r="AA22">
        <v>0.2</v>
      </c>
      <c r="AC22" t="e" cm="1">
        <f t="array" ref="AC22">GetRatetable('Input Data'!Y1,'Input Data'!Y3,'Input Data'!Z16,'Input Data'!Y14,'Input Data'!Z23)</f>
        <v>#VALUE!</v>
      </c>
      <c r="AD22">
        <v>0.3</v>
      </c>
      <c r="AF22" t="e" cm="1">
        <f t="array" ref="AF22">GetRatetable('Input Data'!AB1,'Input Data'!AB3,'Input Data'!AC16,'Input Data'!AB14,'Input Data'!AC23)</f>
        <v>#VALUE!</v>
      </c>
      <c r="AG22">
        <v>0.2</v>
      </c>
      <c r="AI22" t="e" cm="1">
        <f t="array" ref="AI22">GetRatetable('Input Data'!AE1,'Input Data'!AE3,'Input Data'!AF16,'Input Data'!AE14,'Input Data'!AF23)</f>
        <v>#VALUE!</v>
      </c>
      <c r="AJ22">
        <v>0.3</v>
      </c>
      <c r="AL22" t="e" cm="1">
        <f t="array" ref="AL22">GetRatetable('Input Data'!AH1,'Input Data'!AH3,'Input Data'!AI16,'Input Data'!AH14,'Input Data'!AI23)</f>
        <v>#VALUE!</v>
      </c>
      <c r="AM22">
        <v>0.3</v>
      </c>
      <c r="AO22" t="e" cm="1">
        <f t="array" ref="AO22">GetRatetable('Input Data'!AK1,'Input Data'!AK3,'Input Data'!AL16,'Input Data'!AK14,'Input Data'!AL23)</f>
        <v>#VALUE!</v>
      </c>
      <c r="AP22">
        <v>0.2</v>
      </c>
      <c r="AR22" t="e" cm="1">
        <f t="array" ref="AR22">GetRatetable('Input Data'!AN1,'Input Data'!AN3,'Input Data'!AO16,'Input Data'!AN14,'Input Data'!AO23)</f>
        <v>#VALUE!</v>
      </c>
      <c r="AS22">
        <v>0.3</v>
      </c>
      <c r="AU22" t="e" cm="1">
        <f t="array" ref="AU22">GetRatetable('Input Data'!AQ1,'Input Data'!AQ3,'Input Data'!AR16,'Input Data'!AQ14,'Input Data'!AR23)</f>
        <v>#VALUE!</v>
      </c>
      <c r="AV22">
        <v>0.2</v>
      </c>
      <c r="AX22" t="e" cm="1">
        <f t="array" ref="AX22">GetRatetable('Input Data'!AT1,'Input Data'!AT3,'Input Data'!AU16,'Input Data'!AT14,'Input Data'!AU23)</f>
        <v>#VALUE!</v>
      </c>
      <c r="AY22">
        <v>0.2</v>
      </c>
      <c r="BA22" t="e" cm="1">
        <f t="array" ref="BA22">GetRatetable('Input Data'!AW1,'Input Data'!AW3,'Input Data'!AX16,'Input Data'!AW14,'Input Data'!AX23)</f>
        <v>#VALUE!</v>
      </c>
      <c r="BB22">
        <v>0.3</v>
      </c>
      <c r="BD22" t="e" cm="1">
        <f t="array" ref="BD22">GetRatetable('Input Data'!AZ1,'Input Data'!AZ3,'Input Data'!BA16,'Input Data'!AZ14,'Input Data'!BA23)</f>
        <v>#VALUE!</v>
      </c>
      <c r="BE22">
        <v>0.2</v>
      </c>
      <c r="BG22" t="e" cm="1">
        <f t="array" ref="BG22">GetRatetable('Input Data'!BC1,'Input Data'!BC3,'Input Data'!BD16,'Input Data'!BC14,'Input Data'!BD23)</f>
        <v>#VALUE!</v>
      </c>
      <c r="BH22">
        <v>0.3</v>
      </c>
      <c r="BJ22" t="e" cm="1">
        <f t="array" ref="BJ22">GetRatetable('Input Data'!BF1,'Input Data'!BF3,'Input Data'!BG16,'Input Data'!BF14,'Input Data'!BG23)</f>
        <v>#VALUE!</v>
      </c>
      <c r="BK22">
        <v>0.2</v>
      </c>
    </row>
    <row r="23" spans="1:63" ht="30">
      <c r="A23" s="131" t="s">
        <v>2518</v>
      </c>
      <c r="B23" s="131"/>
      <c r="C23" s="131" t="s">
        <v>2527</v>
      </c>
      <c r="D23" s="131" t="s">
        <v>2409</v>
      </c>
      <c r="F23">
        <v>0.3</v>
      </c>
      <c r="I23">
        <v>0.3</v>
      </c>
      <c r="L23">
        <v>0.2</v>
      </c>
      <c r="O23">
        <v>0.3</v>
      </c>
      <c r="R23">
        <v>0.2</v>
      </c>
      <c r="U23">
        <v>0.3</v>
      </c>
      <c r="X23">
        <v>0.3</v>
      </c>
      <c r="AA23">
        <v>0.2</v>
      </c>
      <c r="AD23">
        <v>0.3</v>
      </c>
      <c r="AG23">
        <v>0.2</v>
      </c>
      <c r="AJ23">
        <v>0.3</v>
      </c>
      <c r="AM23">
        <v>0.3</v>
      </c>
      <c r="AP23">
        <v>0.2</v>
      </c>
      <c r="AS23">
        <v>0.3</v>
      </c>
      <c r="AV23">
        <v>0.2</v>
      </c>
      <c r="AY23">
        <v>0.2</v>
      </c>
      <c r="BB23">
        <v>0.3</v>
      </c>
      <c r="BE23">
        <v>0.2</v>
      </c>
      <c r="BH23">
        <v>0.3</v>
      </c>
      <c r="BK23">
        <v>0.2</v>
      </c>
    </row>
    <row r="24" spans="1:63" ht="30">
      <c r="A24" s="131" t="s">
        <v>2520</v>
      </c>
      <c r="B24" s="131"/>
      <c r="C24" s="131" t="s">
        <v>2528</v>
      </c>
      <c r="D24" s="131" t="s">
        <v>2522</v>
      </c>
      <c r="F24">
        <v>300000</v>
      </c>
      <c r="I24">
        <v>300000</v>
      </c>
      <c r="L24">
        <v>400000</v>
      </c>
      <c r="O24">
        <v>300000</v>
      </c>
      <c r="R24">
        <v>400000</v>
      </c>
      <c r="U24">
        <v>300000</v>
      </c>
      <c r="X24">
        <v>300000</v>
      </c>
      <c r="AA24">
        <v>400000</v>
      </c>
      <c r="AD24">
        <v>300000</v>
      </c>
      <c r="AG24">
        <v>400000</v>
      </c>
      <c r="AJ24">
        <v>300000</v>
      </c>
      <c r="AM24">
        <v>300000</v>
      </c>
      <c r="AP24">
        <v>400000</v>
      </c>
      <c r="AS24">
        <v>300000</v>
      </c>
      <c r="AV24">
        <v>400000</v>
      </c>
      <c r="AY24">
        <v>400000</v>
      </c>
      <c r="BB24">
        <v>300000</v>
      </c>
      <c r="BE24">
        <v>400000</v>
      </c>
      <c r="BH24">
        <v>300000</v>
      </c>
      <c r="BK24">
        <v>400000</v>
      </c>
    </row>
    <row r="25" spans="1:63" ht="45">
      <c r="A25" s="131" t="s">
        <v>2928</v>
      </c>
      <c r="B25" s="131"/>
      <c r="C25" s="131"/>
      <c r="D25" s="131"/>
    </row>
    <row r="26" spans="1:63" ht="45">
      <c r="A26" s="131" t="s">
        <v>2529</v>
      </c>
      <c r="B26" s="131"/>
      <c r="C26" s="131" t="s">
        <v>2530</v>
      </c>
      <c r="D26" s="131" t="s">
        <v>2531</v>
      </c>
      <c r="F26">
        <v>0</v>
      </c>
      <c r="I26">
        <v>0</v>
      </c>
      <c r="L26">
        <v>0</v>
      </c>
      <c r="O26">
        <v>0</v>
      </c>
      <c r="R26">
        <v>0</v>
      </c>
      <c r="U26">
        <v>0</v>
      </c>
      <c r="X26">
        <v>0</v>
      </c>
      <c r="AA26">
        <v>0</v>
      </c>
      <c r="AD26">
        <v>0</v>
      </c>
      <c r="AG26">
        <v>0</v>
      </c>
      <c r="AJ26">
        <v>0</v>
      </c>
      <c r="AM26">
        <v>0</v>
      </c>
      <c r="AP26">
        <v>0</v>
      </c>
      <c r="AS26">
        <v>0</v>
      </c>
      <c r="AV26">
        <v>0</v>
      </c>
      <c r="AY26">
        <v>0</v>
      </c>
      <c r="BB26">
        <v>0</v>
      </c>
      <c r="BE26">
        <v>0</v>
      </c>
      <c r="BH26">
        <v>0</v>
      </c>
      <c r="BK26">
        <v>0</v>
      </c>
    </row>
    <row r="27" spans="1:63" ht="45">
      <c r="A27" s="131" t="s">
        <v>2532</v>
      </c>
      <c r="B27" s="131"/>
      <c r="C27" s="131" t="s">
        <v>2533</v>
      </c>
      <c r="D27" s="131" t="s">
        <v>2534</v>
      </c>
      <c r="F27">
        <v>0</v>
      </c>
      <c r="I27">
        <v>0</v>
      </c>
      <c r="L27">
        <v>0</v>
      </c>
      <c r="O27">
        <v>0</v>
      </c>
      <c r="R27">
        <v>0</v>
      </c>
      <c r="U27">
        <v>0</v>
      </c>
      <c r="X27">
        <v>0</v>
      </c>
      <c r="AA27">
        <v>0</v>
      </c>
      <c r="AD27">
        <v>0</v>
      </c>
      <c r="AG27">
        <v>0</v>
      </c>
      <c r="AJ27">
        <v>0</v>
      </c>
      <c r="AM27">
        <v>0</v>
      </c>
      <c r="AP27">
        <v>0</v>
      </c>
      <c r="AS27">
        <v>0</v>
      </c>
      <c r="AV27">
        <v>0</v>
      </c>
      <c r="AY27">
        <v>0</v>
      </c>
      <c r="BB27">
        <v>0</v>
      </c>
      <c r="BE27">
        <v>0</v>
      </c>
      <c r="BH27">
        <v>0</v>
      </c>
      <c r="BK27">
        <v>0</v>
      </c>
    </row>
    <row r="28" spans="1:63" ht="45">
      <c r="A28" s="131" t="s">
        <v>2535</v>
      </c>
      <c r="B28" s="131"/>
      <c r="C28" s="131" t="s">
        <v>2536</v>
      </c>
      <c r="D28" s="131" t="s">
        <v>2537</v>
      </c>
      <c r="F28">
        <v>0</v>
      </c>
      <c r="I28">
        <v>0</v>
      </c>
      <c r="L28">
        <v>0</v>
      </c>
      <c r="O28">
        <v>0</v>
      </c>
      <c r="R28">
        <v>0</v>
      </c>
      <c r="U28">
        <v>0</v>
      </c>
      <c r="X28">
        <v>0</v>
      </c>
      <c r="AA28">
        <v>0</v>
      </c>
      <c r="AD28">
        <v>0</v>
      </c>
      <c r="AG28">
        <v>0</v>
      </c>
      <c r="AJ28">
        <v>0</v>
      </c>
      <c r="AM28">
        <v>0</v>
      </c>
      <c r="AP28">
        <v>0</v>
      </c>
      <c r="AS28">
        <v>0</v>
      </c>
      <c r="AV28">
        <v>0</v>
      </c>
      <c r="AY28">
        <v>0</v>
      </c>
      <c r="BB28">
        <v>0</v>
      </c>
      <c r="BE28">
        <v>0</v>
      </c>
      <c r="BH28">
        <v>0</v>
      </c>
      <c r="BK28">
        <v>0</v>
      </c>
    </row>
    <row r="29" spans="1:63" ht="45">
      <c r="A29" s="131" t="s">
        <v>2538</v>
      </c>
      <c r="B29" s="131"/>
      <c r="C29" s="131" t="s">
        <v>2539</v>
      </c>
      <c r="D29" s="131" t="s">
        <v>2540</v>
      </c>
      <c r="F29">
        <v>0</v>
      </c>
      <c r="I29">
        <v>0</v>
      </c>
      <c r="L29">
        <v>0</v>
      </c>
      <c r="O29">
        <v>0</v>
      </c>
      <c r="R29">
        <v>0</v>
      </c>
      <c r="U29">
        <v>0</v>
      </c>
      <c r="X29">
        <v>0</v>
      </c>
      <c r="AA29">
        <v>0</v>
      </c>
      <c r="AD29">
        <v>0</v>
      </c>
      <c r="AG29">
        <v>0</v>
      </c>
      <c r="AJ29">
        <v>0</v>
      </c>
      <c r="AM29">
        <v>0</v>
      </c>
      <c r="AP29">
        <v>0</v>
      </c>
      <c r="AS29">
        <v>0</v>
      </c>
      <c r="AV29">
        <v>0</v>
      </c>
      <c r="AY29">
        <v>0</v>
      </c>
      <c r="BB29">
        <v>0</v>
      </c>
      <c r="BE29">
        <v>0</v>
      </c>
      <c r="BH29">
        <v>0</v>
      </c>
      <c r="BK29">
        <v>0</v>
      </c>
    </row>
    <row r="30" spans="1:63" ht="30">
      <c r="A30" s="131" t="s">
        <v>2541</v>
      </c>
      <c r="B30" s="131"/>
      <c r="C30" s="131" t="s">
        <v>2542</v>
      </c>
      <c r="D30" s="131" t="s">
        <v>2543</v>
      </c>
      <c r="F30">
        <v>0</v>
      </c>
      <c r="I30">
        <v>0</v>
      </c>
      <c r="L30">
        <v>0</v>
      </c>
      <c r="O30">
        <v>0</v>
      </c>
      <c r="R30">
        <v>0</v>
      </c>
      <c r="U30">
        <v>0</v>
      </c>
      <c r="X30">
        <v>0</v>
      </c>
      <c r="AA30">
        <v>0</v>
      </c>
      <c r="AD30">
        <v>0</v>
      </c>
      <c r="AG30">
        <v>0</v>
      </c>
      <c r="AJ30">
        <v>0</v>
      </c>
      <c r="AM30">
        <v>0</v>
      </c>
      <c r="AP30">
        <v>0</v>
      </c>
      <c r="AS30">
        <v>0</v>
      </c>
      <c r="AV30">
        <v>0</v>
      </c>
      <c r="AY30">
        <v>0</v>
      </c>
      <c r="BB30">
        <v>0</v>
      </c>
      <c r="BE30">
        <v>0</v>
      </c>
      <c r="BH30">
        <v>0</v>
      </c>
      <c r="BK30">
        <v>0</v>
      </c>
    </row>
    <row r="31" spans="1:63" ht="30">
      <c r="A31" s="131" t="s">
        <v>2929</v>
      </c>
      <c r="B31" s="131"/>
      <c r="C31" s="131"/>
      <c r="D31" s="131" t="s">
        <v>2544</v>
      </c>
    </row>
    <row r="32" spans="1:63">
      <c r="A32" s="131" t="s">
        <v>2545</v>
      </c>
      <c r="B32" s="131"/>
      <c r="C32" s="131"/>
      <c r="D32" s="131"/>
    </row>
    <row r="33" spans="1:63">
      <c r="A33" s="131" t="s">
        <v>2930</v>
      </c>
      <c r="B33" s="131"/>
      <c r="C33" s="131"/>
      <c r="D33" s="131"/>
    </row>
    <row r="34" spans="1:63" ht="45">
      <c r="A34" s="131" t="s">
        <v>2546</v>
      </c>
      <c r="B34" s="131"/>
      <c r="C34" s="131" t="s">
        <v>2547</v>
      </c>
      <c r="D34" s="131" t="s">
        <v>2548</v>
      </c>
      <c r="E34" t="str" cm="1">
        <f t="array" ref="E34">GetRatetable('Input Data'!A1,'Input Data'!A4,'Input Data'!B16,'Rate Table'!E8)</f>
        <v>196.19</v>
      </c>
      <c r="F34">
        <v>196.19</v>
      </c>
      <c r="H34" t="e" cm="1">
        <f t="array" ref="H34">GetRatetable('Input Data'!D1,'Input Data'!D4,'Input Data'!E16,'Rate Table'!H8)</f>
        <v>#VALUE!</v>
      </c>
      <c r="I34">
        <v>196.19</v>
      </c>
      <c r="K34" t="e" cm="1">
        <f t="array" ref="K34">GetRatetable('Input Data'!G1,'Input Data'!G4,'Input Data'!H16,'Rate Table'!K8)</f>
        <v>#VALUE!</v>
      </c>
      <c r="L34">
        <v>196.19</v>
      </c>
      <c r="N34" t="e" cm="1">
        <f t="array" ref="N34">GetRatetable('Input Data'!J1,'Input Data'!J4,'Input Data'!K16,'Rate Table'!N8)</f>
        <v>#VALUE!</v>
      </c>
      <c r="O34">
        <v>196.19</v>
      </c>
      <c r="Q34" t="e" cm="1">
        <f t="array" ref="Q34">GetRatetable('Input Data'!M1,'Input Data'!M4,'Input Data'!N16,'Rate Table'!Q8)</f>
        <v>#VALUE!</v>
      </c>
      <c r="R34">
        <v>196.19</v>
      </c>
      <c r="T34" t="e" cm="1">
        <f t="array" ref="T34">GetRatetable('Input Data'!P1,'Input Data'!P4,'Input Data'!Q16,'Rate Table'!T8)</f>
        <v>#VALUE!</v>
      </c>
      <c r="U34">
        <v>196.19</v>
      </c>
      <c r="W34" t="e" cm="1">
        <f t="array" ref="W34">GetRatetable('Input Data'!S1,'Input Data'!S4,'Input Data'!T16,'Rate Table'!W8)</f>
        <v>#VALUE!</v>
      </c>
      <c r="X34">
        <v>196.19</v>
      </c>
      <c r="Z34" t="e" cm="1">
        <f t="array" ref="Z34">GetRatetable('Input Data'!V1,'Input Data'!V4,'Input Data'!W16,'Rate Table'!Z8)</f>
        <v>#VALUE!</v>
      </c>
      <c r="AA34">
        <v>196.19</v>
      </c>
      <c r="AC34" t="e" cm="1">
        <f t="array" ref="AC34">GetRatetable('Input Data'!Y1,'Input Data'!Y4,'Input Data'!Z16,'Rate Table'!AC8)</f>
        <v>#VALUE!</v>
      </c>
      <c r="AD34">
        <v>196.19</v>
      </c>
      <c r="AF34" t="e" cm="1">
        <f t="array" ref="AF34">GetRatetable('Input Data'!AB1,'Input Data'!AB4,'Input Data'!AC16,'Rate Table'!AF8)</f>
        <v>#VALUE!</v>
      </c>
      <c r="AG34">
        <v>196.19</v>
      </c>
      <c r="AI34" t="e" cm="1">
        <f t="array" ref="AI34">GetRatetable('Input Data'!AE1,'Input Data'!AE4,'Input Data'!AF16,'Rate Table'!AI8)</f>
        <v>#VALUE!</v>
      </c>
      <c r="AJ34">
        <v>196.19</v>
      </c>
      <c r="AL34" t="e" cm="1">
        <f t="array" ref="AL34">GetRatetable('Input Data'!AH1,'Input Data'!AH4,'Input Data'!AI16,'Rate Table'!AL8)</f>
        <v>#VALUE!</v>
      </c>
      <c r="AM34">
        <v>196.19</v>
      </c>
      <c r="AO34" t="e" cm="1">
        <f t="array" ref="AO34">GetRatetable('Input Data'!AK1,'Input Data'!AK4,'Input Data'!AL16,'Rate Table'!AO8)</f>
        <v>#VALUE!</v>
      </c>
      <c r="AP34">
        <v>196.19</v>
      </c>
      <c r="AR34" t="e" cm="1">
        <f t="array" ref="AR34">GetRatetable('Input Data'!AN1,'Input Data'!AN4,'Input Data'!AO16,'Rate Table'!AR8)</f>
        <v>#VALUE!</v>
      </c>
      <c r="AS34">
        <v>196.19</v>
      </c>
      <c r="AU34" t="e" cm="1">
        <f t="array" ref="AU34">GetRatetable('Input Data'!AQ1,'Input Data'!AQ4,'Input Data'!AR16,'Rate Table'!AU8)</f>
        <v>#VALUE!</v>
      </c>
      <c r="AV34">
        <v>196.19</v>
      </c>
      <c r="AX34" t="e" cm="1">
        <f t="array" ref="AX34">GetRatetable('Input Data'!AT1,'Input Data'!AT4,'Input Data'!AU16,'Rate Table'!AX8)</f>
        <v>#VALUE!</v>
      </c>
      <c r="AY34">
        <v>196.19</v>
      </c>
      <c r="BA34" t="e" cm="1">
        <f t="array" ref="BA34">GetRatetable('Input Data'!AW1,'Input Data'!AW4,'Input Data'!AX16,'Rate Table'!BA8)</f>
        <v>#VALUE!</v>
      </c>
      <c r="BB34">
        <v>196.19</v>
      </c>
      <c r="BD34" t="e" cm="1">
        <f t="array" ref="BD34">GetRatetable('Input Data'!AZ1,'Input Data'!AZ4,'Input Data'!BA16,'Rate Table'!BD8)</f>
        <v>#VALUE!</v>
      </c>
      <c r="BE34">
        <v>196.19</v>
      </c>
      <c r="BG34" t="e" cm="1">
        <f t="array" ref="BG34">GetRatetable('Input Data'!BC1,'Input Data'!BC4,'Input Data'!BD16,'Rate Table'!BG8)</f>
        <v>#VALUE!</v>
      </c>
      <c r="BH34">
        <v>196.19</v>
      </c>
      <c r="BJ34" t="e" cm="1">
        <f t="array" ref="BJ34">GetRatetable('Input Data'!BF1,'Input Data'!BF4,'Input Data'!BG16,'Rate Table'!BJ8)</f>
        <v>#VALUE!</v>
      </c>
      <c r="BK34">
        <v>196.19</v>
      </c>
    </row>
    <row r="35" spans="1:63" ht="30">
      <c r="A35" s="131" t="s">
        <v>2549</v>
      </c>
      <c r="B35" s="131"/>
      <c r="C35" s="131" t="s">
        <v>2550</v>
      </c>
      <c r="D35" s="131" t="s">
        <v>2551</v>
      </c>
      <c r="E35" t="str" cm="1">
        <f t="array" ref="E35">GetRatetable('Input Data'!A1,'Input Data'!A5,'Input Data'!B16)</f>
        <v>1.2</v>
      </c>
      <c r="F35">
        <v>1.2</v>
      </c>
      <c r="H35" t="e" cm="1">
        <f t="array" ref="H35">GetRatetable('Input Data'!D1,'Input Data'!D5,'Input Data'!E16)</f>
        <v>#VALUE!</v>
      </c>
      <c r="I35">
        <v>1.2</v>
      </c>
      <c r="K35" t="e" cm="1">
        <f t="array" ref="K35">GetRatetable('Input Data'!G1,'Input Data'!G5,'Input Data'!H16)</f>
        <v>#VALUE!</v>
      </c>
      <c r="L35">
        <v>1.17</v>
      </c>
      <c r="N35" t="e" cm="1">
        <f t="array" ref="N35">GetRatetable('Input Data'!J1,'Input Data'!J5,'Input Data'!K16)</f>
        <v>#VALUE!</v>
      </c>
      <c r="O35">
        <v>1.2</v>
      </c>
      <c r="Q35" t="e" cm="1">
        <f t="array" ref="Q35">GetRatetable('Input Data'!M1,'Input Data'!M5,'Input Data'!N16)</f>
        <v>#VALUE!</v>
      </c>
      <c r="R35">
        <v>1.17</v>
      </c>
      <c r="T35" t="e" cm="1">
        <f t="array" ref="T35">GetRatetable('Input Data'!P1,'Input Data'!P5,'Input Data'!Q16)</f>
        <v>#VALUE!</v>
      </c>
      <c r="U35">
        <v>1.2</v>
      </c>
      <c r="W35" t="e" cm="1">
        <f t="array" ref="W35">GetRatetable('Input Data'!S1,'Input Data'!S5,'Input Data'!T16)</f>
        <v>#VALUE!</v>
      </c>
      <c r="X35">
        <v>1.2</v>
      </c>
      <c r="Z35" t="e" cm="1">
        <f t="array" ref="Z35">GetRatetable('Input Data'!V1,'Input Data'!V5,'Input Data'!W16)</f>
        <v>#VALUE!</v>
      </c>
      <c r="AA35">
        <v>1.17</v>
      </c>
      <c r="AC35" t="e" cm="1">
        <f t="array" ref="AC35">GetRatetable('Input Data'!Y1,'Input Data'!Y5,'Input Data'!Z16)</f>
        <v>#VALUE!</v>
      </c>
      <c r="AD35">
        <v>1.2</v>
      </c>
      <c r="AF35" t="e" cm="1">
        <f t="array" ref="AF35">GetRatetable('Input Data'!AB1,'Input Data'!AB5,'Input Data'!AC16)</f>
        <v>#VALUE!</v>
      </c>
      <c r="AG35">
        <v>1.17</v>
      </c>
      <c r="AI35" t="e" cm="1">
        <f t="array" ref="AI35">GetRatetable('Input Data'!AE1,'Input Data'!AE5,'Input Data'!AF16)</f>
        <v>#VALUE!</v>
      </c>
      <c r="AJ35">
        <v>1.2</v>
      </c>
      <c r="AL35" t="e" cm="1">
        <f t="array" ref="AL35">GetRatetable('Input Data'!AH1,'Input Data'!AH5,'Input Data'!AI16)</f>
        <v>#VALUE!</v>
      </c>
      <c r="AM35">
        <v>1.2</v>
      </c>
      <c r="AO35" t="e" cm="1">
        <f t="array" ref="AO35">GetRatetable('Input Data'!AK1,'Input Data'!AK5,'Input Data'!AL16)</f>
        <v>#VALUE!</v>
      </c>
      <c r="AP35">
        <v>1.17</v>
      </c>
      <c r="AR35" t="e" cm="1">
        <f t="array" ref="AR35">GetRatetable('Input Data'!AN1,'Input Data'!AN5,'Input Data'!AO16)</f>
        <v>#VALUE!</v>
      </c>
      <c r="AS35">
        <v>1.2</v>
      </c>
      <c r="AU35" t="e" cm="1">
        <f t="array" ref="AU35">GetRatetable('Input Data'!AQ1,'Input Data'!AQ5,'Input Data'!AR16)</f>
        <v>#VALUE!</v>
      </c>
      <c r="AV35">
        <v>1.17</v>
      </c>
      <c r="AX35" t="e" cm="1">
        <f t="array" ref="AX35">GetRatetable('Input Data'!AT1,'Input Data'!AT5,'Input Data'!AU16)</f>
        <v>#VALUE!</v>
      </c>
      <c r="AY35">
        <v>1.17</v>
      </c>
      <c r="BA35" t="e" cm="1">
        <f t="array" ref="BA35">GetRatetable('Input Data'!AW1,'Input Data'!AW5,'Input Data'!AX16)</f>
        <v>#VALUE!</v>
      </c>
      <c r="BB35">
        <v>1.2</v>
      </c>
      <c r="BD35" t="e" cm="1">
        <f t="array" ref="BD35">GetRatetable('Input Data'!AZ1,'Input Data'!AZ5,'Input Data'!BA16)</f>
        <v>#VALUE!</v>
      </c>
      <c r="BE35">
        <v>1.17</v>
      </c>
      <c r="BG35" t="e" cm="1">
        <f t="array" ref="BG35">GetRatetable('Input Data'!BC1,'Input Data'!BC5,'Input Data'!BD16)</f>
        <v>#VALUE!</v>
      </c>
      <c r="BH35">
        <v>1.2</v>
      </c>
      <c r="BJ35" t="e" cm="1">
        <f t="array" ref="BJ35">GetRatetable('Input Data'!BF1,'Input Data'!BF5,'Input Data'!BG16)</f>
        <v>#VALUE!</v>
      </c>
      <c r="BK35">
        <v>1.17</v>
      </c>
    </row>
    <row r="36" spans="1:63" ht="30">
      <c r="A36" s="131" t="s">
        <v>2552</v>
      </c>
      <c r="B36" s="131"/>
      <c r="C36" s="131" t="s">
        <v>2553</v>
      </c>
      <c r="D36" s="131" t="s">
        <v>2554</v>
      </c>
      <c r="E36">
        <f>E35*E34</f>
        <v>235.428</v>
      </c>
      <c r="F36">
        <v>235</v>
      </c>
      <c r="H36" t="e">
        <f>H35*H34</f>
        <v>#VALUE!</v>
      </c>
      <c r="I36">
        <v>235</v>
      </c>
      <c r="K36" t="e">
        <f>K35*K34</f>
        <v>#VALUE!</v>
      </c>
      <c r="L36">
        <v>230</v>
      </c>
      <c r="N36" t="e">
        <f>N35*N34</f>
        <v>#VALUE!</v>
      </c>
      <c r="O36">
        <v>235</v>
      </c>
      <c r="Q36" t="e">
        <f>Q35*Q34</f>
        <v>#VALUE!</v>
      </c>
      <c r="R36">
        <v>230</v>
      </c>
      <c r="T36" t="e">
        <f>T35*T34</f>
        <v>#VALUE!</v>
      </c>
      <c r="U36">
        <v>235</v>
      </c>
      <c r="W36" t="e">
        <f>W35*W34</f>
        <v>#VALUE!</v>
      </c>
      <c r="X36">
        <v>235</v>
      </c>
      <c r="Z36" t="e">
        <f>Z35*Z34</f>
        <v>#VALUE!</v>
      </c>
      <c r="AA36">
        <v>230</v>
      </c>
      <c r="AC36" t="e">
        <f>AC35*AC34</f>
        <v>#VALUE!</v>
      </c>
      <c r="AD36">
        <v>235</v>
      </c>
      <c r="AF36" t="e">
        <f>AF35*AF34</f>
        <v>#VALUE!</v>
      </c>
      <c r="AG36">
        <v>230</v>
      </c>
      <c r="AI36" t="e">
        <f>AI35*AI34</f>
        <v>#VALUE!</v>
      </c>
      <c r="AJ36">
        <v>235</v>
      </c>
      <c r="AL36" t="e">
        <f>AL35*AL34</f>
        <v>#VALUE!</v>
      </c>
      <c r="AM36">
        <v>235</v>
      </c>
      <c r="AO36" t="e">
        <f>AO35*AO34</f>
        <v>#VALUE!</v>
      </c>
      <c r="AP36">
        <v>230</v>
      </c>
      <c r="AR36" t="e">
        <f>AR35*AR34</f>
        <v>#VALUE!</v>
      </c>
      <c r="AS36">
        <v>235</v>
      </c>
      <c r="AU36" t="e">
        <f>AU35*AU34</f>
        <v>#VALUE!</v>
      </c>
      <c r="AV36">
        <v>230</v>
      </c>
      <c r="AX36" t="e">
        <f>AX35*AX34</f>
        <v>#VALUE!</v>
      </c>
      <c r="AY36">
        <v>230</v>
      </c>
      <c r="BA36" t="e">
        <f>BA35*BA34</f>
        <v>#VALUE!</v>
      </c>
      <c r="BB36">
        <v>235</v>
      </c>
      <c r="BD36" t="e">
        <f>BD35*BD34</f>
        <v>#VALUE!</v>
      </c>
      <c r="BE36">
        <v>230</v>
      </c>
      <c r="BG36" t="e">
        <f>BG35*BG34</f>
        <v>#VALUE!</v>
      </c>
      <c r="BH36">
        <v>235</v>
      </c>
      <c r="BJ36" t="e">
        <f>BJ35*BJ34</f>
        <v>#VALUE!</v>
      </c>
      <c r="BK36">
        <v>230</v>
      </c>
    </row>
    <row r="37" spans="1:63">
      <c r="A37" s="131" t="s">
        <v>2931</v>
      </c>
      <c r="B37" s="131"/>
      <c r="C37" s="131"/>
      <c r="D37" s="131"/>
    </row>
    <row r="38" spans="1:63" ht="30">
      <c r="A38" s="131" t="s">
        <v>2555</v>
      </c>
      <c r="B38" s="131"/>
      <c r="C38" s="131" t="s">
        <v>2556</v>
      </c>
      <c r="D38" s="131" t="s">
        <v>2557</v>
      </c>
      <c r="F38" t="s">
        <v>2558</v>
      </c>
      <c r="I38" t="s">
        <v>2558</v>
      </c>
      <c r="L38" t="s">
        <v>2558</v>
      </c>
      <c r="O38" t="s">
        <v>2558</v>
      </c>
      <c r="R38" t="s">
        <v>2558</v>
      </c>
      <c r="U38" t="s">
        <v>2558</v>
      </c>
      <c r="X38" t="s">
        <v>2558</v>
      </c>
      <c r="AA38" t="s">
        <v>2558</v>
      </c>
      <c r="AD38" t="s">
        <v>2558</v>
      </c>
      <c r="AG38" t="s">
        <v>2558</v>
      </c>
      <c r="AJ38" t="s">
        <v>2558</v>
      </c>
      <c r="AM38" t="s">
        <v>2558</v>
      </c>
      <c r="AP38" t="s">
        <v>2558</v>
      </c>
      <c r="AS38" t="s">
        <v>2558</v>
      </c>
      <c r="AV38" t="s">
        <v>2558</v>
      </c>
      <c r="AY38" t="s">
        <v>2558</v>
      </c>
      <c r="BB38" t="s">
        <v>2558</v>
      </c>
      <c r="BE38" t="s">
        <v>2558</v>
      </c>
      <c r="BH38" t="s">
        <v>2558</v>
      </c>
      <c r="BK38" t="s">
        <v>2558</v>
      </c>
    </row>
    <row r="39" spans="1:63" ht="45">
      <c r="A39" s="131" t="s">
        <v>2559</v>
      </c>
      <c r="B39" s="131"/>
      <c r="C39" s="131" t="s">
        <v>2560</v>
      </c>
      <c r="D39" s="131" t="s">
        <v>2561</v>
      </c>
      <c r="F39" t="b">
        <v>0</v>
      </c>
      <c r="I39" t="b">
        <v>0</v>
      </c>
      <c r="L39" t="b">
        <v>0</v>
      </c>
      <c r="O39" t="b">
        <v>0</v>
      </c>
      <c r="R39" t="b">
        <v>0</v>
      </c>
      <c r="U39" t="b">
        <v>0</v>
      </c>
      <c r="X39" t="b">
        <v>0</v>
      </c>
      <c r="AA39" t="b">
        <v>0</v>
      </c>
      <c r="AD39" t="b">
        <v>0</v>
      </c>
      <c r="AG39" t="b">
        <v>0</v>
      </c>
      <c r="AJ39" t="b">
        <v>0</v>
      </c>
      <c r="AM39" t="b">
        <v>0</v>
      </c>
      <c r="AP39" t="b">
        <v>0</v>
      </c>
      <c r="AS39" t="b">
        <v>0</v>
      </c>
      <c r="AV39" t="b">
        <v>0</v>
      </c>
      <c r="AY39" t="b">
        <v>0</v>
      </c>
      <c r="BB39" t="b">
        <v>0</v>
      </c>
      <c r="BE39" t="b">
        <v>0</v>
      </c>
      <c r="BH39" t="b">
        <v>0</v>
      </c>
      <c r="BK39" t="b">
        <v>0</v>
      </c>
    </row>
    <row r="40" spans="1:63" ht="45">
      <c r="A40" s="131" t="s">
        <v>2562</v>
      </c>
      <c r="B40" s="131"/>
      <c r="C40" s="131" t="s">
        <v>2563</v>
      </c>
      <c r="D40" s="131" t="s">
        <v>2564</v>
      </c>
      <c r="E40" t="str" cm="1">
        <f t="array" ref="E40">GetRatetable('Input Data'!A1,'Input Data'!A6,'Input Data'!B24,0)</f>
        <v>PP</v>
      </c>
      <c r="F40" t="s">
        <v>2565</v>
      </c>
      <c r="H40" t="e" cm="1">
        <f t="array" ref="H40">GetRatetable('Input Data'!D1,'Input Data'!D6,'Input Data'!E24,0)</f>
        <v>#VALUE!</v>
      </c>
      <c r="I40" t="s">
        <v>2565</v>
      </c>
      <c r="K40" t="e" cm="1">
        <f t="array" ref="K40">GetRatetable('Input Data'!G1,'Input Data'!G6,'Input Data'!H24,0)</f>
        <v>#VALUE!</v>
      </c>
      <c r="L40" t="s">
        <v>2565</v>
      </c>
      <c r="N40" t="e" cm="1">
        <f t="array" ref="N40">GetRatetable('Input Data'!J1,'Input Data'!J6,'Input Data'!K24,0)</f>
        <v>#VALUE!</v>
      </c>
      <c r="O40" t="s">
        <v>2565</v>
      </c>
      <c r="Q40" t="e" cm="1">
        <f t="array" ref="Q40">GetRatetable('Input Data'!M1,'Input Data'!M6,'Input Data'!N24,0)</f>
        <v>#VALUE!</v>
      </c>
      <c r="R40" t="s">
        <v>2565</v>
      </c>
      <c r="T40" t="e" cm="1">
        <f t="array" ref="T40">GetRatetable('Input Data'!P1,'Input Data'!P6,'Input Data'!Q24,0)</f>
        <v>#VALUE!</v>
      </c>
      <c r="U40" t="s">
        <v>2565</v>
      </c>
      <c r="W40" t="e" cm="1">
        <f t="array" ref="W40">GetRatetable('Input Data'!S1,'Input Data'!S6,'Input Data'!T24,0)</f>
        <v>#VALUE!</v>
      </c>
      <c r="X40" t="s">
        <v>2565</v>
      </c>
      <c r="Z40" t="e" cm="1">
        <f t="array" ref="Z40">GetRatetable('Input Data'!V1,'Input Data'!V6,'Input Data'!W24,0)</f>
        <v>#VALUE!</v>
      </c>
      <c r="AA40" t="s">
        <v>2565</v>
      </c>
      <c r="AC40" t="e" cm="1">
        <f t="array" ref="AC40">GetRatetable('Input Data'!Y1,'Input Data'!Y6,'Input Data'!Z24,0)</f>
        <v>#VALUE!</v>
      </c>
      <c r="AD40" t="s">
        <v>2565</v>
      </c>
      <c r="AF40" t="e" cm="1">
        <f t="array" ref="AF40">GetRatetable('Input Data'!AB1,'Input Data'!AB6,'Input Data'!AC24,0)</f>
        <v>#VALUE!</v>
      </c>
      <c r="AG40" t="s">
        <v>2565</v>
      </c>
      <c r="AI40" t="e" cm="1">
        <f t="array" ref="AI40">GetRatetable('Input Data'!AE1,'Input Data'!AE6,'Input Data'!AF24,0)</f>
        <v>#VALUE!</v>
      </c>
      <c r="AJ40" t="s">
        <v>2565</v>
      </c>
      <c r="AL40" t="e" cm="1">
        <f t="array" ref="AL40">GetRatetable('Input Data'!AH1,'Input Data'!AH6,'Input Data'!AI24,0)</f>
        <v>#VALUE!</v>
      </c>
      <c r="AM40" t="s">
        <v>2565</v>
      </c>
      <c r="AO40" t="e" cm="1">
        <f t="array" ref="AO40">GetRatetable('Input Data'!AK1,'Input Data'!AK6,'Input Data'!AL24,0)</f>
        <v>#VALUE!</v>
      </c>
      <c r="AP40" t="s">
        <v>2565</v>
      </c>
      <c r="AR40" t="e" cm="1">
        <f t="array" ref="AR40">GetRatetable('Input Data'!AN1,'Input Data'!AN6,'Input Data'!AO24,0)</f>
        <v>#VALUE!</v>
      </c>
      <c r="AS40" t="s">
        <v>2565</v>
      </c>
      <c r="AU40" t="e" cm="1">
        <f t="array" ref="AU40">GetRatetable('Input Data'!AQ1,'Input Data'!AQ6,'Input Data'!AR24,0)</f>
        <v>#VALUE!</v>
      </c>
      <c r="AV40" t="s">
        <v>2565</v>
      </c>
      <c r="AX40" t="e" cm="1">
        <f t="array" ref="AX40">GetRatetable('Input Data'!AT1,'Input Data'!AT6,'Input Data'!AU24,0)</f>
        <v>#VALUE!</v>
      </c>
      <c r="AY40" t="s">
        <v>2565</v>
      </c>
      <c r="BA40" t="e" cm="1">
        <f t="array" ref="BA40">GetRatetable('Input Data'!AW1,'Input Data'!AW6,'Input Data'!AX24,0)</f>
        <v>#VALUE!</v>
      </c>
      <c r="BB40" t="s">
        <v>2565</v>
      </c>
      <c r="BD40" t="e" cm="1">
        <f t="array" ref="BD40">GetRatetable('Input Data'!AZ1,'Input Data'!AZ6,'Input Data'!BA24,0)</f>
        <v>#VALUE!</v>
      </c>
      <c r="BE40" t="s">
        <v>2565</v>
      </c>
      <c r="BG40" t="e" cm="1">
        <f t="array" ref="BG40">GetRatetable('Input Data'!BC1,'Input Data'!BC6,'Input Data'!BD24,0)</f>
        <v>#VALUE!</v>
      </c>
      <c r="BH40" t="s">
        <v>2565</v>
      </c>
      <c r="BJ40" t="e" cm="1">
        <f t="array" ref="BJ40">GetRatetable('Input Data'!BF1,'Input Data'!BF6,'Input Data'!BG24,0)</f>
        <v>#VALUE!</v>
      </c>
      <c r="BK40" t="s">
        <v>2565</v>
      </c>
    </row>
    <row r="41" spans="1:63" ht="45">
      <c r="A41" s="131" t="s">
        <v>2566</v>
      </c>
      <c r="B41" s="131"/>
      <c r="C41" s="131" t="s">
        <v>2567</v>
      </c>
      <c r="D41" s="131" t="s">
        <v>2568</v>
      </c>
      <c r="E41" t="str" cm="1">
        <f t="array" ref="E41">GetRatetable('Input Data'!A1,'Input Data'!A7,'Input Data'!B20,'Input Data'!B21,E40)</f>
        <v>1.5141</v>
      </c>
      <c r="F41">
        <v>1.5141</v>
      </c>
      <c r="H41" t="e" cm="1">
        <f t="array" ref="H41">GetRatetable('Input Data'!D1,'Input Data'!D7,'Input Data'!E20,'Input Data'!E21,H40)</f>
        <v>#VALUE!</v>
      </c>
      <c r="I41">
        <v>1.5141</v>
      </c>
      <c r="K41" t="e" cm="1">
        <f t="array" ref="K41">GetRatetable('Input Data'!G1,'Input Data'!G7,'Input Data'!H20,'Input Data'!H21,K40)</f>
        <v>#VALUE!</v>
      </c>
      <c r="L41">
        <v>1.5141</v>
      </c>
      <c r="N41" t="e" cm="1">
        <f t="array" ref="N41">GetRatetable('Input Data'!J1,'Input Data'!J7,'Input Data'!K20,'Input Data'!K21,N40)</f>
        <v>#VALUE!</v>
      </c>
      <c r="O41">
        <v>1.5141</v>
      </c>
      <c r="Q41" t="e" cm="1">
        <f t="array" ref="Q41">GetRatetable('Input Data'!M1,'Input Data'!M7,'Input Data'!N20,'Input Data'!N21,Q40)</f>
        <v>#VALUE!</v>
      </c>
      <c r="R41">
        <v>1.5141</v>
      </c>
      <c r="T41" t="e" cm="1">
        <f t="array" ref="T41">GetRatetable('Input Data'!P1,'Input Data'!P7,'Input Data'!Q20,'Input Data'!Q21,T40)</f>
        <v>#VALUE!</v>
      </c>
      <c r="U41">
        <v>1.5141</v>
      </c>
      <c r="W41" t="e" cm="1">
        <f t="array" ref="W41">GetRatetable('Input Data'!S1,'Input Data'!S7,'Input Data'!T20,'Input Data'!T21,W40)</f>
        <v>#VALUE!</v>
      </c>
      <c r="X41">
        <v>1.5141</v>
      </c>
      <c r="Z41" t="e" cm="1">
        <f t="array" ref="Z41">GetRatetable('Input Data'!V1,'Input Data'!V7,'Input Data'!W20,'Input Data'!W21,Z40)</f>
        <v>#VALUE!</v>
      </c>
      <c r="AA41">
        <v>1.5141</v>
      </c>
      <c r="AC41" t="e" cm="1">
        <f t="array" ref="AC41">GetRatetable('Input Data'!Y1,'Input Data'!Y7,'Input Data'!Z20,'Input Data'!Z21,AC40)</f>
        <v>#VALUE!</v>
      </c>
      <c r="AD41">
        <v>1.5141</v>
      </c>
      <c r="AF41" t="e" cm="1">
        <f t="array" ref="AF41">GetRatetable('Input Data'!AB1,'Input Data'!AB7,'Input Data'!AC20,'Input Data'!AC21,AF40)</f>
        <v>#VALUE!</v>
      </c>
      <c r="AG41">
        <v>1.5141</v>
      </c>
      <c r="AI41" t="e" cm="1">
        <f t="array" ref="AI41">GetRatetable('Input Data'!AE1,'Input Data'!AE7,'Input Data'!AF20,'Input Data'!AF21,AI40)</f>
        <v>#VALUE!</v>
      </c>
      <c r="AJ41">
        <v>1.5141</v>
      </c>
      <c r="AL41" t="e" cm="1">
        <f t="array" ref="AL41">GetRatetable('Input Data'!AH1,'Input Data'!AH7,'Input Data'!AI20,'Input Data'!AI21,AL40)</f>
        <v>#VALUE!</v>
      </c>
      <c r="AM41">
        <v>1.5141</v>
      </c>
      <c r="AO41" t="e" cm="1">
        <f t="array" ref="AO41">GetRatetable('Input Data'!AK1,'Input Data'!AK7,'Input Data'!AL20,'Input Data'!AL21,AO40)</f>
        <v>#VALUE!</v>
      </c>
      <c r="AP41">
        <v>1.5141</v>
      </c>
      <c r="AR41" t="e" cm="1">
        <f t="array" ref="AR41">GetRatetable('Input Data'!AN1,'Input Data'!AN7,'Input Data'!AO20,'Input Data'!AO21,AR40)</f>
        <v>#VALUE!</v>
      </c>
      <c r="AS41">
        <v>1.5141</v>
      </c>
      <c r="AU41" t="e" cm="1">
        <f t="array" ref="AU41">GetRatetable('Input Data'!AQ1,'Input Data'!AQ7,'Input Data'!AR20,'Input Data'!AR21,AU40)</f>
        <v>#VALUE!</v>
      </c>
      <c r="AV41">
        <v>1.5141</v>
      </c>
      <c r="AX41" t="e" cm="1">
        <f t="array" ref="AX41">GetRatetable('Input Data'!AT1,'Input Data'!AT7,'Input Data'!AU20,'Input Data'!AU21,AX40)</f>
        <v>#VALUE!</v>
      </c>
      <c r="AY41">
        <v>1.5141</v>
      </c>
      <c r="BA41" t="e" cm="1">
        <f t="array" ref="BA41">GetRatetable('Input Data'!AW1,'Input Data'!AW7,'Input Data'!AX20,'Input Data'!AX21,BA40)</f>
        <v>#VALUE!</v>
      </c>
      <c r="BB41">
        <v>1.5141</v>
      </c>
      <c r="BD41" t="e" cm="1">
        <f t="array" ref="BD41">GetRatetable('Input Data'!AZ1,'Input Data'!AZ7,'Input Data'!BA20,'Input Data'!BA21,BD40)</f>
        <v>#VALUE!</v>
      </c>
      <c r="BE41">
        <v>1.5141</v>
      </c>
      <c r="BG41" t="e" cm="1">
        <f t="array" ref="BG41">GetRatetable('Input Data'!BC1,'Input Data'!BC7,'Input Data'!BD20,'Input Data'!BD21,BG40)</f>
        <v>#VALUE!</v>
      </c>
      <c r="BH41">
        <v>1.5141</v>
      </c>
      <c r="BJ41" t="e" cm="1">
        <f t="array" ref="BJ41">GetRatetable('Input Data'!BF1,'Input Data'!BF7,'Input Data'!BG20,'Input Data'!BG21,BJ40)</f>
        <v>#VALUE!</v>
      </c>
      <c r="BK41">
        <v>1.5141</v>
      </c>
    </row>
    <row r="42" spans="1:63">
      <c r="A42" s="131" t="s">
        <v>2569</v>
      </c>
      <c r="B42" s="131"/>
      <c r="C42" s="131" t="s">
        <v>2553</v>
      </c>
      <c r="D42" s="131" t="s">
        <v>2570</v>
      </c>
      <c r="F42">
        <v>356</v>
      </c>
      <c r="I42">
        <v>356</v>
      </c>
      <c r="L42">
        <v>348</v>
      </c>
      <c r="O42">
        <v>356</v>
      </c>
      <c r="R42">
        <v>348</v>
      </c>
      <c r="U42">
        <v>356</v>
      </c>
      <c r="X42">
        <v>356</v>
      </c>
      <c r="AA42">
        <v>348</v>
      </c>
      <c r="AD42">
        <v>356</v>
      </c>
      <c r="AG42">
        <v>348</v>
      </c>
      <c r="AJ42">
        <v>356</v>
      </c>
      <c r="AM42">
        <v>356</v>
      </c>
      <c r="AP42">
        <v>348</v>
      </c>
      <c r="AS42">
        <v>356</v>
      </c>
      <c r="AV42">
        <v>348</v>
      </c>
      <c r="AY42">
        <v>348</v>
      </c>
      <c r="BB42">
        <v>356</v>
      </c>
      <c r="BE42">
        <v>348</v>
      </c>
      <c r="BH42">
        <v>356</v>
      </c>
      <c r="BK42">
        <v>348</v>
      </c>
    </row>
    <row r="43" spans="1:63">
      <c r="A43" s="131" t="s">
        <v>2932</v>
      </c>
      <c r="B43" s="131"/>
      <c r="C43" s="131"/>
      <c r="D43" s="131"/>
    </row>
    <row r="44" spans="1:63" ht="60">
      <c r="A44" s="131" t="s">
        <v>2571</v>
      </c>
      <c r="B44" s="131"/>
      <c r="C44" s="131" t="s">
        <v>2572</v>
      </c>
      <c r="D44" s="131" t="s">
        <v>2573</v>
      </c>
      <c r="E44" cm="1">
        <f t="array" ref="E44">GetRatetable('Input Data'!A1,'Input Data'!A8,'Input Data'!A11,F10)</f>
        <v>0</v>
      </c>
      <c r="F44">
        <v>6.9480000000000004</v>
      </c>
      <c r="H44" t="e" cm="1">
        <f t="array" ref="H44">GetRatetable('Input Data'!D1,'Input Data'!D8,'Input Data'!D11,I10)</f>
        <v>#VALUE!</v>
      </c>
      <c r="I44">
        <v>6.9480000000000004</v>
      </c>
      <c r="K44" t="e" cm="1">
        <f t="array" ref="K44">GetRatetable('Input Data'!G1,'Input Data'!G8,'Input Data'!G11,L10)</f>
        <v>#VALUE!</v>
      </c>
      <c r="L44">
        <v>12.247999999999999</v>
      </c>
      <c r="N44" t="e" cm="1">
        <f t="array" ref="N44">GetRatetable('Input Data'!J1,'Input Data'!J8,'Input Data'!J11,O10)</f>
        <v>#VALUE!</v>
      </c>
      <c r="O44">
        <v>6.9480000000000004</v>
      </c>
      <c r="Q44" t="e" cm="1">
        <f t="array" ref="Q44">GetRatetable('Input Data'!M1,'Input Data'!M8,'Input Data'!M11,R10)</f>
        <v>#VALUE!</v>
      </c>
      <c r="R44">
        <v>12.247999999999999</v>
      </c>
      <c r="T44" t="e" cm="1">
        <f t="array" ref="T44">GetRatetable('Input Data'!P1,'Input Data'!P8,'Input Data'!P11,U10)</f>
        <v>#VALUE!</v>
      </c>
      <c r="U44">
        <v>6.9480000000000004</v>
      </c>
      <c r="W44" t="e" cm="1">
        <f t="array" ref="W44">GetRatetable('Input Data'!S1,'Input Data'!S8,'Input Data'!S11,X10)</f>
        <v>#VALUE!</v>
      </c>
      <c r="X44">
        <v>6.9480000000000004</v>
      </c>
      <c r="Z44" t="e" cm="1">
        <f t="array" ref="Z44">GetRatetable('Input Data'!V1,'Input Data'!V8,'Input Data'!V11,AA10)</f>
        <v>#VALUE!</v>
      </c>
      <c r="AA44">
        <v>12.247999999999999</v>
      </c>
      <c r="AC44" t="e" cm="1">
        <f t="array" ref="AC44">GetRatetable('Input Data'!Y1,'Input Data'!Y8,'Input Data'!Y11,AD10)</f>
        <v>#VALUE!</v>
      </c>
      <c r="AD44">
        <v>6.9480000000000004</v>
      </c>
      <c r="AF44" t="e" cm="1">
        <f t="array" ref="AF44">GetRatetable('Input Data'!AB1,'Input Data'!AB8,'Input Data'!AB11,AG10)</f>
        <v>#VALUE!</v>
      </c>
      <c r="AG44">
        <v>12.247999999999999</v>
      </c>
      <c r="AI44" t="e" cm="1">
        <f t="array" ref="AI44">GetRatetable('Input Data'!AE1,'Input Data'!AE8,'Input Data'!AE11,AJ10)</f>
        <v>#VALUE!</v>
      </c>
      <c r="AJ44">
        <v>6.9480000000000004</v>
      </c>
      <c r="AL44" t="e" cm="1">
        <f t="array" ref="AL44">GetRatetable('Input Data'!AH1,'Input Data'!AH8,'Input Data'!AH11,AM10)</f>
        <v>#VALUE!</v>
      </c>
      <c r="AM44">
        <v>6.9480000000000004</v>
      </c>
      <c r="AO44" t="e" cm="1">
        <f t="array" ref="AO44">GetRatetable('Input Data'!AK1,'Input Data'!AK8,'Input Data'!AK11,AP10)</f>
        <v>#VALUE!</v>
      </c>
      <c r="AP44">
        <v>12.247999999999999</v>
      </c>
      <c r="AR44" t="e" cm="1">
        <f t="array" ref="AR44">GetRatetable('Input Data'!AN1,'Input Data'!AN8,'Input Data'!AN11,AS10)</f>
        <v>#VALUE!</v>
      </c>
      <c r="AS44">
        <v>6.9480000000000004</v>
      </c>
      <c r="AU44" t="e" cm="1">
        <f t="array" ref="AU44">GetRatetable('Input Data'!AQ1,'Input Data'!AQ8,'Input Data'!AQ11,AV10)</f>
        <v>#VALUE!</v>
      </c>
      <c r="AV44">
        <v>12.247999999999999</v>
      </c>
      <c r="AX44" t="e" cm="1">
        <f t="array" ref="AX44">GetRatetable('Input Data'!AT1,'Input Data'!AT8,'Input Data'!AT11,AY10)</f>
        <v>#VALUE!</v>
      </c>
      <c r="AY44">
        <v>12.247999999999999</v>
      </c>
      <c r="BA44" t="e" cm="1">
        <f t="array" ref="BA44">GetRatetable('Input Data'!AW1,'Input Data'!AW8,'Input Data'!AW11,BB10)</f>
        <v>#VALUE!</v>
      </c>
      <c r="BB44">
        <v>6.9480000000000004</v>
      </c>
      <c r="BD44" t="e" cm="1">
        <f t="array" ref="BD44">GetRatetable('Input Data'!AZ1,'Input Data'!AZ8,'Input Data'!AZ11,BE10)</f>
        <v>#VALUE!</v>
      </c>
      <c r="BE44">
        <v>12.247999999999999</v>
      </c>
      <c r="BG44" t="e" cm="1">
        <f t="array" ref="BG44">GetRatetable('Input Data'!BC1,'Input Data'!BC8,'Input Data'!BC11,BH10)</f>
        <v>#VALUE!</v>
      </c>
      <c r="BH44">
        <v>6.9480000000000004</v>
      </c>
      <c r="BJ44" t="e" cm="1">
        <f t="array" ref="BJ44">GetRatetable('Input Data'!BF1,'Input Data'!BF8,'Input Data'!BF11,BK10)</f>
        <v>#VALUE!</v>
      </c>
      <c r="BK44">
        <v>12.247999999999999</v>
      </c>
    </row>
    <row r="45" spans="1:63" ht="30">
      <c r="A45" s="131" t="s">
        <v>2574</v>
      </c>
      <c r="B45" s="131"/>
      <c r="C45" s="131" t="s">
        <v>2553</v>
      </c>
      <c r="D45" s="131" t="s">
        <v>2575</v>
      </c>
      <c r="E45">
        <f>E36*E44</f>
        <v>0</v>
      </c>
      <c r="F45">
        <v>2473</v>
      </c>
      <c r="H45" t="e">
        <f>H36*H44</f>
        <v>#VALUE!</v>
      </c>
      <c r="I45">
        <v>2473</v>
      </c>
      <c r="K45" t="e">
        <f>K36*K44</f>
        <v>#VALUE!</v>
      </c>
      <c r="L45">
        <v>4262</v>
      </c>
      <c r="N45" t="e">
        <f>N36*N44</f>
        <v>#VALUE!</v>
      </c>
      <c r="O45">
        <v>2473</v>
      </c>
      <c r="Q45" t="e">
        <f>Q36*Q44</f>
        <v>#VALUE!</v>
      </c>
      <c r="R45">
        <v>4262</v>
      </c>
      <c r="T45" t="e">
        <f>T36*T44</f>
        <v>#VALUE!</v>
      </c>
      <c r="U45">
        <v>2473</v>
      </c>
      <c r="W45" t="e">
        <f>W36*W44</f>
        <v>#VALUE!</v>
      </c>
      <c r="X45">
        <v>2473</v>
      </c>
      <c r="Z45" t="e">
        <f>Z36*Z44</f>
        <v>#VALUE!</v>
      </c>
      <c r="AA45">
        <v>4262</v>
      </c>
      <c r="AC45" t="e">
        <f>AC36*AC44</f>
        <v>#VALUE!</v>
      </c>
      <c r="AD45">
        <v>2473</v>
      </c>
      <c r="AF45" t="e">
        <f>AF36*AF44</f>
        <v>#VALUE!</v>
      </c>
      <c r="AG45">
        <v>4262</v>
      </c>
      <c r="AI45" t="e">
        <f>AI36*AI44</f>
        <v>#VALUE!</v>
      </c>
      <c r="AJ45">
        <v>2473</v>
      </c>
      <c r="AL45" t="e">
        <f>AL36*AL44</f>
        <v>#VALUE!</v>
      </c>
      <c r="AM45">
        <v>2473</v>
      </c>
      <c r="AO45" t="e">
        <f>AO36*AO44</f>
        <v>#VALUE!</v>
      </c>
      <c r="AP45">
        <v>4262</v>
      </c>
      <c r="AR45" t="e">
        <f>AR36*AR44</f>
        <v>#VALUE!</v>
      </c>
      <c r="AS45">
        <v>2473</v>
      </c>
      <c r="AU45" t="e">
        <f>AU36*AU44</f>
        <v>#VALUE!</v>
      </c>
      <c r="AV45">
        <v>4262</v>
      </c>
      <c r="AX45" t="e">
        <f>AX36*AX44</f>
        <v>#VALUE!</v>
      </c>
      <c r="AY45">
        <v>4262</v>
      </c>
      <c r="BA45" t="e">
        <f>BA36*BA44</f>
        <v>#VALUE!</v>
      </c>
      <c r="BB45">
        <v>2473</v>
      </c>
      <c r="BD45" t="e">
        <f>BD36*BD44</f>
        <v>#VALUE!</v>
      </c>
      <c r="BE45">
        <v>4262</v>
      </c>
      <c r="BG45" t="e">
        <f>BG36*BG44</f>
        <v>#VALUE!</v>
      </c>
      <c r="BH45">
        <v>2473</v>
      </c>
      <c r="BJ45" t="e">
        <f>BJ36*BJ44</f>
        <v>#VALUE!</v>
      </c>
      <c r="BK45">
        <v>4262</v>
      </c>
    </row>
    <row r="46" spans="1:63" ht="30">
      <c r="A46" s="131" t="s">
        <v>2933</v>
      </c>
      <c r="B46" s="131"/>
      <c r="C46" s="131"/>
      <c r="D46" s="131" t="s">
        <v>2576</v>
      </c>
    </row>
    <row r="47" spans="1:63" ht="30">
      <c r="A47" s="131" t="s">
        <v>2577</v>
      </c>
      <c r="B47" s="131"/>
      <c r="C47" s="131" t="s">
        <v>2578</v>
      </c>
      <c r="D47" s="131" t="s">
        <v>2579</v>
      </c>
      <c r="F47" t="b">
        <v>0</v>
      </c>
      <c r="I47" t="b">
        <v>0</v>
      </c>
      <c r="L47" t="b">
        <v>0</v>
      </c>
      <c r="O47" t="b">
        <v>0</v>
      </c>
      <c r="R47" t="b">
        <v>0</v>
      </c>
      <c r="U47" t="b">
        <v>0</v>
      </c>
      <c r="X47" t="b">
        <v>0</v>
      </c>
      <c r="AA47" t="b">
        <v>0</v>
      </c>
      <c r="AD47" t="b">
        <v>0</v>
      </c>
      <c r="AG47" t="b">
        <v>0</v>
      </c>
      <c r="AJ47" t="b">
        <v>0</v>
      </c>
      <c r="AM47" t="b">
        <v>0</v>
      </c>
      <c r="AP47" t="b">
        <v>0</v>
      </c>
      <c r="AS47" t="b">
        <v>0</v>
      </c>
      <c r="AV47" t="b">
        <v>0</v>
      </c>
      <c r="AY47" t="b">
        <v>0</v>
      </c>
      <c r="BB47" t="b">
        <v>0</v>
      </c>
      <c r="BE47" t="b">
        <v>0</v>
      </c>
      <c r="BH47" t="b">
        <v>0</v>
      </c>
      <c r="BK47" t="b">
        <v>0</v>
      </c>
    </row>
    <row r="48" spans="1:63" ht="60">
      <c r="A48" s="131" t="s">
        <v>2580</v>
      </c>
      <c r="B48" s="131"/>
      <c r="C48" s="131" t="s">
        <v>2581</v>
      </c>
      <c r="D48" s="131" t="s">
        <v>2582</v>
      </c>
      <c r="F48" t="b">
        <v>0</v>
      </c>
      <c r="I48" t="b">
        <v>0</v>
      </c>
      <c r="L48" t="b">
        <v>0</v>
      </c>
      <c r="O48" t="b">
        <v>0</v>
      </c>
      <c r="R48" t="b">
        <v>0</v>
      </c>
      <c r="U48" t="b">
        <v>0</v>
      </c>
      <c r="X48" t="b">
        <v>0</v>
      </c>
      <c r="AA48" t="b">
        <v>0</v>
      </c>
      <c r="AD48" t="b">
        <v>0</v>
      </c>
      <c r="AG48" t="b">
        <v>0</v>
      </c>
      <c r="AJ48" t="b">
        <v>0</v>
      </c>
      <c r="AM48" t="b">
        <v>0</v>
      </c>
      <c r="AP48" t="b">
        <v>0</v>
      </c>
      <c r="AS48" t="b">
        <v>0</v>
      </c>
      <c r="AV48" t="b">
        <v>0</v>
      </c>
      <c r="AY48" t="b">
        <v>0</v>
      </c>
      <c r="BB48" t="b">
        <v>0</v>
      </c>
      <c r="BE48" t="b">
        <v>0</v>
      </c>
      <c r="BH48" t="b">
        <v>0</v>
      </c>
      <c r="BK48" t="b">
        <v>0</v>
      </c>
    </row>
    <row r="49" spans="1:63" ht="60">
      <c r="A49" s="131" t="s">
        <v>2583</v>
      </c>
      <c r="B49" s="131" t="s">
        <v>2584</v>
      </c>
      <c r="C49" s="131" t="s">
        <v>2553</v>
      </c>
      <c r="D49" s="131" t="s">
        <v>2585</v>
      </c>
      <c r="E49">
        <f>F49</f>
        <v>2473</v>
      </c>
      <c r="F49">
        <v>2473</v>
      </c>
      <c r="H49">
        <f>I49</f>
        <v>2473</v>
      </c>
      <c r="I49">
        <v>2473</v>
      </c>
      <c r="K49">
        <f>L49</f>
        <v>4262</v>
      </c>
      <c r="L49">
        <v>4262</v>
      </c>
      <c r="N49">
        <f>O49</f>
        <v>2473</v>
      </c>
      <c r="O49">
        <v>2473</v>
      </c>
      <c r="Q49">
        <f>R49</f>
        <v>4262</v>
      </c>
      <c r="R49">
        <v>4262</v>
      </c>
      <c r="T49">
        <f>U49</f>
        <v>2473</v>
      </c>
      <c r="U49">
        <v>2473</v>
      </c>
      <c r="W49">
        <f>X49</f>
        <v>2473</v>
      </c>
      <c r="X49">
        <v>2473</v>
      </c>
      <c r="Z49">
        <f>AA49</f>
        <v>4262</v>
      </c>
      <c r="AA49">
        <v>4262</v>
      </c>
      <c r="AC49">
        <f>AD49</f>
        <v>2473</v>
      </c>
      <c r="AD49">
        <v>2473</v>
      </c>
      <c r="AF49">
        <f>AG49</f>
        <v>4262</v>
      </c>
      <c r="AG49">
        <v>4262</v>
      </c>
      <c r="AI49">
        <f>AJ49</f>
        <v>2473</v>
      </c>
      <c r="AJ49">
        <v>2473</v>
      </c>
      <c r="AL49">
        <f>AM49</f>
        <v>2473</v>
      </c>
      <c r="AM49">
        <v>2473</v>
      </c>
      <c r="AO49">
        <f>AP49</f>
        <v>4262</v>
      </c>
      <c r="AP49">
        <v>4262</v>
      </c>
      <c r="AR49">
        <f>AS49</f>
        <v>2473</v>
      </c>
      <c r="AS49">
        <v>2473</v>
      </c>
      <c r="AU49">
        <f>AV49</f>
        <v>4262</v>
      </c>
      <c r="AV49">
        <v>4262</v>
      </c>
      <c r="AX49">
        <f>AY49</f>
        <v>4262</v>
      </c>
      <c r="AY49">
        <v>4262</v>
      </c>
      <c r="BA49">
        <f>BB49</f>
        <v>2473</v>
      </c>
      <c r="BB49">
        <v>2473</v>
      </c>
      <c r="BD49">
        <f>BE49</f>
        <v>4262</v>
      </c>
      <c r="BE49">
        <v>4262</v>
      </c>
      <c r="BG49">
        <f>BH49</f>
        <v>2473</v>
      </c>
      <c r="BH49">
        <v>2473</v>
      </c>
      <c r="BJ49">
        <f>BK49</f>
        <v>4262</v>
      </c>
      <c r="BK49">
        <v>4262</v>
      </c>
    </row>
    <row r="50" spans="1:63" ht="45">
      <c r="A50" s="131" t="s">
        <v>2586</v>
      </c>
      <c r="B50" s="131"/>
      <c r="C50" s="131" t="s">
        <v>2587</v>
      </c>
      <c r="D50" s="131" t="s">
        <v>2553</v>
      </c>
      <c r="E50">
        <f t="shared" ref="E50:E94" si="0">F50</f>
        <v>2473</v>
      </c>
      <c r="F50">
        <v>2473</v>
      </c>
      <c r="H50">
        <f t="shared" ref="H50:H94" si="1">I50</f>
        <v>2473</v>
      </c>
      <c r="I50">
        <v>2473</v>
      </c>
      <c r="K50">
        <f t="shared" ref="K50:K94" si="2">L50</f>
        <v>4262</v>
      </c>
      <c r="L50">
        <v>4262</v>
      </c>
      <c r="N50">
        <f t="shared" ref="N50:N94" si="3">O50</f>
        <v>2473</v>
      </c>
      <c r="O50">
        <v>2473</v>
      </c>
      <c r="Q50">
        <f t="shared" ref="Q50:Q94" si="4">R50</f>
        <v>4262</v>
      </c>
      <c r="R50">
        <v>4262</v>
      </c>
      <c r="T50">
        <f t="shared" ref="T50:T94" si="5">U50</f>
        <v>2473</v>
      </c>
      <c r="U50">
        <v>2473</v>
      </c>
      <c r="W50">
        <f t="shared" ref="W50:W94" si="6">X50</f>
        <v>2473</v>
      </c>
      <c r="X50">
        <v>2473</v>
      </c>
      <c r="Z50">
        <f t="shared" ref="Z50:Z94" si="7">AA50</f>
        <v>4262</v>
      </c>
      <c r="AA50">
        <v>4262</v>
      </c>
      <c r="AC50">
        <f t="shared" ref="AC50:AC94" si="8">AD50</f>
        <v>2473</v>
      </c>
      <c r="AD50">
        <v>2473</v>
      </c>
      <c r="AF50">
        <f t="shared" ref="AF50:AF94" si="9">AG50</f>
        <v>4262</v>
      </c>
      <c r="AG50">
        <v>4262</v>
      </c>
      <c r="AI50">
        <f t="shared" ref="AI50:AI94" si="10">AJ50</f>
        <v>2473</v>
      </c>
      <c r="AJ50">
        <v>2473</v>
      </c>
      <c r="AL50">
        <f t="shared" ref="AL50:AL94" si="11">AM50</f>
        <v>2473</v>
      </c>
      <c r="AM50">
        <v>2473</v>
      </c>
      <c r="AO50">
        <f t="shared" ref="AO50:AO94" si="12">AP50</f>
        <v>4262</v>
      </c>
      <c r="AP50">
        <v>4262</v>
      </c>
      <c r="AR50">
        <f t="shared" ref="AR50:AR94" si="13">AS50</f>
        <v>2473</v>
      </c>
      <c r="AS50">
        <v>2473</v>
      </c>
      <c r="AU50">
        <f t="shared" ref="AU50:AU94" si="14">AV50</f>
        <v>4262</v>
      </c>
      <c r="AV50">
        <v>4262</v>
      </c>
      <c r="AX50">
        <f t="shared" ref="AX50:AX94" si="15">AY50</f>
        <v>4262</v>
      </c>
      <c r="AY50">
        <v>4262</v>
      </c>
      <c r="BA50">
        <f t="shared" ref="BA50:BA94" si="16">BB50</f>
        <v>2473</v>
      </c>
      <c r="BB50">
        <v>2473</v>
      </c>
      <c r="BD50">
        <f t="shared" ref="BD50:BD94" si="17">BE50</f>
        <v>4262</v>
      </c>
      <c r="BE50">
        <v>4262</v>
      </c>
      <c r="BG50">
        <f t="shared" ref="BG50:BG94" si="18">BH50</f>
        <v>2473</v>
      </c>
      <c r="BH50">
        <v>2473</v>
      </c>
      <c r="BJ50">
        <f t="shared" ref="BJ50:BJ94" si="19">BK50</f>
        <v>4262</v>
      </c>
      <c r="BK50">
        <v>4262</v>
      </c>
    </row>
    <row r="51" spans="1:63" ht="45">
      <c r="A51" s="131" t="s">
        <v>2934</v>
      </c>
      <c r="B51" s="131"/>
      <c r="C51" s="131"/>
      <c r="D51" s="131" t="s">
        <v>2588</v>
      </c>
      <c r="E51">
        <f t="shared" si="0"/>
        <v>0</v>
      </c>
      <c r="H51">
        <f t="shared" si="1"/>
        <v>0</v>
      </c>
      <c r="K51">
        <f t="shared" si="2"/>
        <v>0</v>
      </c>
      <c r="N51">
        <f t="shared" si="3"/>
        <v>0</v>
      </c>
      <c r="Q51">
        <f t="shared" si="4"/>
        <v>0</v>
      </c>
      <c r="T51">
        <f t="shared" si="5"/>
        <v>0</v>
      </c>
      <c r="W51">
        <f t="shared" si="6"/>
        <v>0</v>
      </c>
      <c r="Z51">
        <f t="shared" si="7"/>
        <v>0</v>
      </c>
      <c r="AC51">
        <f t="shared" si="8"/>
        <v>0</v>
      </c>
      <c r="AF51">
        <f t="shared" si="9"/>
        <v>0</v>
      </c>
      <c r="AI51">
        <f t="shared" si="10"/>
        <v>0</v>
      </c>
      <c r="AL51">
        <f t="shared" si="11"/>
        <v>0</v>
      </c>
      <c r="AO51">
        <f t="shared" si="12"/>
        <v>0</v>
      </c>
      <c r="AR51">
        <f t="shared" si="13"/>
        <v>0</v>
      </c>
      <c r="AU51">
        <f t="shared" si="14"/>
        <v>0</v>
      </c>
      <c r="AX51">
        <f t="shared" si="15"/>
        <v>0</v>
      </c>
      <c r="BA51">
        <f t="shared" si="16"/>
        <v>0</v>
      </c>
      <c r="BD51">
        <f t="shared" si="17"/>
        <v>0</v>
      </c>
      <c r="BG51">
        <f t="shared" si="18"/>
        <v>0</v>
      </c>
      <c r="BJ51">
        <f t="shared" si="19"/>
        <v>0</v>
      </c>
    </row>
    <row r="52" spans="1:63" ht="30">
      <c r="A52" s="131" t="s">
        <v>2935</v>
      </c>
      <c r="B52" s="131"/>
      <c r="C52" s="131"/>
      <c r="D52" s="131"/>
      <c r="E52">
        <f t="shared" si="0"/>
        <v>0</v>
      </c>
      <c r="H52">
        <f t="shared" si="1"/>
        <v>0</v>
      </c>
      <c r="K52">
        <f t="shared" si="2"/>
        <v>0</v>
      </c>
      <c r="N52">
        <f t="shared" si="3"/>
        <v>0</v>
      </c>
      <c r="Q52">
        <f t="shared" si="4"/>
        <v>0</v>
      </c>
      <c r="T52">
        <f t="shared" si="5"/>
        <v>0</v>
      </c>
      <c r="W52">
        <f t="shared" si="6"/>
        <v>0</v>
      </c>
      <c r="Z52">
        <f t="shared" si="7"/>
        <v>0</v>
      </c>
      <c r="AC52">
        <f t="shared" si="8"/>
        <v>0</v>
      </c>
      <c r="AF52">
        <f t="shared" si="9"/>
        <v>0</v>
      </c>
      <c r="AI52">
        <f t="shared" si="10"/>
        <v>0</v>
      </c>
      <c r="AL52">
        <f t="shared" si="11"/>
        <v>0</v>
      </c>
      <c r="AO52">
        <f t="shared" si="12"/>
        <v>0</v>
      </c>
      <c r="AR52">
        <f t="shared" si="13"/>
        <v>0</v>
      </c>
      <c r="AU52">
        <f t="shared" si="14"/>
        <v>0</v>
      </c>
      <c r="AX52">
        <f t="shared" si="15"/>
        <v>0</v>
      </c>
      <c r="BA52">
        <f t="shared" si="16"/>
        <v>0</v>
      </c>
      <c r="BD52">
        <f t="shared" si="17"/>
        <v>0</v>
      </c>
      <c r="BG52">
        <f t="shared" si="18"/>
        <v>0</v>
      </c>
      <c r="BJ52">
        <f t="shared" si="19"/>
        <v>0</v>
      </c>
    </row>
    <row r="53" spans="1:63">
      <c r="A53" s="131" t="s">
        <v>2589</v>
      </c>
      <c r="B53" s="131"/>
      <c r="C53" s="131" t="s">
        <v>2590</v>
      </c>
      <c r="D53" s="131" t="s">
        <v>2553</v>
      </c>
      <c r="E53">
        <f t="shared" si="0"/>
        <v>2473</v>
      </c>
      <c r="F53">
        <v>2473</v>
      </c>
      <c r="H53">
        <f t="shared" si="1"/>
        <v>2473</v>
      </c>
      <c r="I53">
        <v>2473</v>
      </c>
      <c r="K53">
        <f t="shared" si="2"/>
        <v>4262</v>
      </c>
      <c r="L53">
        <v>4262</v>
      </c>
      <c r="N53">
        <f t="shared" si="3"/>
        <v>2473</v>
      </c>
      <c r="O53">
        <v>2473</v>
      </c>
      <c r="Q53">
        <f t="shared" si="4"/>
        <v>4262</v>
      </c>
      <c r="R53">
        <v>4262</v>
      </c>
      <c r="T53">
        <f t="shared" si="5"/>
        <v>2473</v>
      </c>
      <c r="U53">
        <v>2473</v>
      </c>
      <c r="W53">
        <f t="shared" si="6"/>
        <v>2473</v>
      </c>
      <c r="X53">
        <v>2473</v>
      </c>
      <c r="Z53">
        <f t="shared" si="7"/>
        <v>4262</v>
      </c>
      <c r="AA53">
        <v>4262</v>
      </c>
      <c r="AC53">
        <f t="shared" si="8"/>
        <v>2473</v>
      </c>
      <c r="AD53">
        <v>2473</v>
      </c>
      <c r="AF53">
        <f t="shared" si="9"/>
        <v>4262</v>
      </c>
      <c r="AG53">
        <v>4262</v>
      </c>
      <c r="AI53">
        <f t="shared" si="10"/>
        <v>2473</v>
      </c>
      <c r="AJ53">
        <v>2473</v>
      </c>
      <c r="AL53">
        <f t="shared" si="11"/>
        <v>2473</v>
      </c>
      <c r="AM53">
        <v>2473</v>
      </c>
      <c r="AO53">
        <f t="shared" si="12"/>
        <v>4262</v>
      </c>
      <c r="AP53">
        <v>4262</v>
      </c>
      <c r="AR53">
        <f t="shared" si="13"/>
        <v>2473</v>
      </c>
      <c r="AS53">
        <v>2473</v>
      </c>
      <c r="AU53">
        <f t="shared" si="14"/>
        <v>4262</v>
      </c>
      <c r="AV53">
        <v>4262</v>
      </c>
      <c r="AX53">
        <f t="shared" si="15"/>
        <v>4262</v>
      </c>
      <c r="AY53">
        <v>4262</v>
      </c>
      <c r="BA53">
        <f t="shared" si="16"/>
        <v>2473</v>
      </c>
      <c r="BB53">
        <v>2473</v>
      </c>
      <c r="BD53">
        <f t="shared" si="17"/>
        <v>4262</v>
      </c>
      <c r="BE53">
        <v>4262</v>
      </c>
      <c r="BG53">
        <f t="shared" si="18"/>
        <v>2473</v>
      </c>
      <c r="BH53">
        <v>2473</v>
      </c>
      <c r="BJ53">
        <f t="shared" si="19"/>
        <v>4262</v>
      </c>
      <c r="BK53">
        <v>4262</v>
      </c>
    </row>
    <row r="54" spans="1:63" ht="45">
      <c r="A54" s="131" t="s">
        <v>2591</v>
      </c>
      <c r="B54" s="131"/>
      <c r="C54" s="131"/>
      <c r="D54" s="131" t="s">
        <v>2592</v>
      </c>
      <c r="E54" t="str">
        <f t="shared" si="0"/>
        <v>Warning</v>
      </c>
      <c r="F54" t="s">
        <v>2922</v>
      </c>
      <c r="H54" t="str">
        <f t="shared" si="1"/>
        <v>Warning</v>
      </c>
      <c r="I54" t="s">
        <v>2922</v>
      </c>
      <c r="K54" t="str">
        <f t="shared" si="2"/>
        <v>Warning</v>
      </c>
      <c r="L54" t="s">
        <v>2922</v>
      </c>
      <c r="N54" t="str">
        <f t="shared" si="3"/>
        <v>Warning</v>
      </c>
      <c r="O54" t="s">
        <v>2922</v>
      </c>
      <c r="Q54" t="str">
        <f t="shared" si="4"/>
        <v>Warning</v>
      </c>
      <c r="R54" t="s">
        <v>2922</v>
      </c>
      <c r="T54" t="str">
        <f t="shared" si="5"/>
        <v>Warning</v>
      </c>
      <c r="U54" t="s">
        <v>2922</v>
      </c>
      <c r="W54" t="str">
        <f t="shared" si="6"/>
        <v>Warning</v>
      </c>
      <c r="X54" t="s">
        <v>2922</v>
      </c>
      <c r="Z54" t="str">
        <f t="shared" si="7"/>
        <v>Warning</v>
      </c>
      <c r="AA54" t="s">
        <v>2922</v>
      </c>
      <c r="AC54" t="str">
        <f t="shared" si="8"/>
        <v>Warning</v>
      </c>
      <c r="AD54" t="s">
        <v>2922</v>
      </c>
      <c r="AF54" t="str">
        <f t="shared" si="9"/>
        <v>Warning</v>
      </c>
      <c r="AG54" t="s">
        <v>2922</v>
      </c>
      <c r="AI54" t="str">
        <f t="shared" si="10"/>
        <v>Warning</v>
      </c>
      <c r="AJ54" t="s">
        <v>2922</v>
      </c>
      <c r="AL54" t="str">
        <f t="shared" si="11"/>
        <v>Warning</v>
      </c>
      <c r="AM54" t="s">
        <v>2922</v>
      </c>
      <c r="AO54" t="str">
        <f t="shared" si="12"/>
        <v>Warning</v>
      </c>
      <c r="AP54" t="s">
        <v>2922</v>
      </c>
      <c r="AR54" t="str">
        <f t="shared" si="13"/>
        <v>Warning</v>
      </c>
      <c r="AS54" t="s">
        <v>2922</v>
      </c>
      <c r="AU54" t="str">
        <f t="shared" si="14"/>
        <v>Warning</v>
      </c>
      <c r="AV54" t="s">
        <v>2922</v>
      </c>
      <c r="AX54" t="str">
        <f t="shared" si="15"/>
        <v>Warning</v>
      </c>
      <c r="AY54" t="s">
        <v>2922</v>
      </c>
      <c r="BA54" t="str">
        <f t="shared" si="16"/>
        <v>Warning</v>
      </c>
      <c r="BB54" t="s">
        <v>2922</v>
      </c>
      <c r="BD54" t="str">
        <f t="shared" si="17"/>
        <v>Warning</v>
      </c>
      <c r="BE54" t="s">
        <v>2922</v>
      </c>
      <c r="BG54" t="str">
        <f t="shared" si="18"/>
        <v>Warning</v>
      </c>
      <c r="BH54" t="s">
        <v>2922</v>
      </c>
      <c r="BJ54" t="str">
        <f t="shared" si="19"/>
        <v>Warning</v>
      </c>
      <c r="BK54" t="s">
        <v>2922</v>
      </c>
    </row>
    <row r="55" spans="1:63" ht="30">
      <c r="A55" s="131" t="s">
        <v>2593</v>
      </c>
      <c r="B55" s="131"/>
      <c r="C55" s="131"/>
      <c r="D55" s="131"/>
      <c r="E55">
        <f t="shared" si="0"/>
        <v>0</v>
      </c>
      <c r="H55">
        <f t="shared" si="1"/>
        <v>0</v>
      </c>
      <c r="K55">
        <f t="shared" si="2"/>
        <v>0</v>
      </c>
      <c r="N55">
        <f t="shared" si="3"/>
        <v>0</v>
      </c>
      <c r="Q55">
        <f t="shared" si="4"/>
        <v>0</v>
      </c>
      <c r="T55">
        <f t="shared" si="5"/>
        <v>0</v>
      </c>
      <c r="W55">
        <f t="shared" si="6"/>
        <v>0</v>
      </c>
      <c r="Z55">
        <f t="shared" si="7"/>
        <v>0</v>
      </c>
      <c r="AC55">
        <f t="shared" si="8"/>
        <v>0</v>
      </c>
      <c r="AF55">
        <f t="shared" si="9"/>
        <v>0</v>
      </c>
      <c r="AI55">
        <f t="shared" si="10"/>
        <v>0</v>
      </c>
      <c r="AL55">
        <f t="shared" si="11"/>
        <v>0</v>
      </c>
      <c r="AO55">
        <f t="shared" si="12"/>
        <v>0</v>
      </c>
      <c r="AR55">
        <f t="shared" si="13"/>
        <v>0</v>
      </c>
      <c r="AU55">
        <f t="shared" si="14"/>
        <v>0</v>
      </c>
      <c r="AX55">
        <f t="shared" si="15"/>
        <v>0</v>
      </c>
      <c r="BA55">
        <f t="shared" si="16"/>
        <v>0</v>
      </c>
      <c r="BD55">
        <f t="shared" si="17"/>
        <v>0</v>
      </c>
      <c r="BG55">
        <f t="shared" si="18"/>
        <v>0</v>
      </c>
      <c r="BJ55">
        <f t="shared" si="19"/>
        <v>0</v>
      </c>
    </row>
    <row r="56" spans="1:63" ht="30">
      <c r="A56" s="131" t="s">
        <v>2936</v>
      </c>
      <c r="B56" s="131"/>
      <c r="C56" s="131"/>
      <c r="D56" s="131" t="s">
        <v>2594</v>
      </c>
      <c r="E56">
        <f t="shared" si="0"/>
        <v>0</v>
      </c>
      <c r="H56">
        <f t="shared" si="1"/>
        <v>0</v>
      </c>
      <c r="K56">
        <f t="shared" si="2"/>
        <v>0</v>
      </c>
      <c r="N56">
        <f t="shared" si="3"/>
        <v>0</v>
      </c>
      <c r="Q56">
        <f t="shared" si="4"/>
        <v>0</v>
      </c>
      <c r="T56">
        <f t="shared" si="5"/>
        <v>0</v>
      </c>
      <c r="W56">
        <f t="shared" si="6"/>
        <v>0</v>
      </c>
      <c r="Z56">
        <f t="shared" si="7"/>
        <v>0</v>
      </c>
      <c r="AC56">
        <f t="shared" si="8"/>
        <v>0</v>
      </c>
      <c r="AF56">
        <f t="shared" si="9"/>
        <v>0</v>
      </c>
      <c r="AI56">
        <f t="shared" si="10"/>
        <v>0</v>
      </c>
      <c r="AL56">
        <f t="shared" si="11"/>
        <v>0</v>
      </c>
      <c r="AO56">
        <f t="shared" si="12"/>
        <v>0</v>
      </c>
      <c r="AR56">
        <f t="shared" si="13"/>
        <v>0</v>
      </c>
      <c r="AU56">
        <f t="shared" si="14"/>
        <v>0</v>
      </c>
      <c r="AX56">
        <f t="shared" si="15"/>
        <v>0</v>
      </c>
      <c r="BA56">
        <f t="shared" si="16"/>
        <v>0</v>
      </c>
      <c r="BD56">
        <f t="shared" si="17"/>
        <v>0</v>
      </c>
      <c r="BG56">
        <f t="shared" si="18"/>
        <v>0</v>
      </c>
      <c r="BJ56">
        <f t="shared" si="19"/>
        <v>0</v>
      </c>
    </row>
    <row r="57" spans="1:63">
      <c r="A57" s="131"/>
      <c r="B57" s="131"/>
      <c r="C57" s="131"/>
      <c r="D57" s="131" t="s">
        <v>2595</v>
      </c>
      <c r="E57">
        <f t="shared" si="0"/>
        <v>1000</v>
      </c>
      <c r="F57">
        <v>1000</v>
      </c>
      <c r="H57">
        <f t="shared" si="1"/>
        <v>1000</v>
      </c>
      <c r="I57">
        <v>1000</v>
      </c>
      <c r="K57">
        <f t="shared" si="2"/>
        <v>1000</v>
      </c>
      <c r="L57">
        <v>1000</v>
      </c>
      <c r="N57">
        <f t="shared" si="3"/>
        <v>1000</v>
      </c>
      <c r="O57">
        <v>1000</v>
      </c>
      <c r="Q57">
        <f t="shared" si="4"/>
        <v>1000</v>
      </c>
      <c r="R57">
        <v>1000</v>
      </c>
      <c r="T57">
        <f t="shared" si="5"/>
        <v>1000</v>
      </c>
      <c r="U57">
        <v>1000</v>
      </c>
      <c r="W57">
        <f t="shared" si="6"/>
        <v>1000</v>
      </c>
      <c r="X57">
        <v>1000</v>
      </c>
      <c r="Z57">
        <f t="shared" si="7"/>
        <v>1000</v>
      </c>
      <c r="AA57">
        <v>1000</v>
      </c>
      <c r="AC57">
        <f t="shared" si="8"/>
        <v>1000</v>
      </c>
      <c r="AD57">
        <v>1000</v>
      </c>
      <c r="AF57">
        <f t="shared" si="9"/>
        <v>1000</v>
      </c>
      <c r="AG57">
        <v>1000</v>
      </c>
      <c r="AI57">
        <f t="shared" si="10"/>
        <v>1000</v>
      </c>
      <c r="AJ57">
        <v>1000</v>
      </c>
      <c r="AL57">
        <f t="shared" si="11"/>
        <v>1000</v>
      </c>
      <c r="AM57">
        <v>1000</v>
      </c>
      <c r="AO57">
        <f t="shared" si="12"/>
        <v>1000</v>
      </c>
      <c r="AP57">
        <v>1000</v>
      </c>
      <c r="AR57">
        <f t="shared" si="13"/>
        <v>1000</v>
      </c>
      <c r="AS57">
        <v>1000</v>
      </c>
      <c r="AU57">
        <f t="shared" si="14"/>
        <v>1000</v>
      </c>
      <c r="AV57">
        <v>1000</v>
      </c>
      <c r="AX57">
        <f t="shared" si="15"/>
        <v>1000</v>
      </c>
      <c r="AY57">
        <v>1000</v>
      </c>
      <c r="BA57">
        <f t="shared" si="16"/>
        <v>1000</v>
      </c>
      <c r="BB57">
        <v>1000</v>
      </c>
      <c r="BD57">
        <f t="shared" si="17"/>
        <v>1000</v>
      </c>
      <c r="BE57">
        <v>1000</v>
      </c>
      <c r="BG57">
        <f t="shared" si="18"/>
        <v>1000</v>
      </c>
      <c r="BH57">
        <v>1000</v>
      </c>
      <c r="BJ57">
        <f t="shared" si="19"/>
        <v>1000</v>
      </c>
      <c r="BK57">
        <v>1000</v>
      </c>
    </row>
    <row r="58" spans="1:63" ht="30">
      <c r="A58" s="131" t="s">
        <v>2596</v>
      </c>
      <c r="B58" s="131"/>
      <c r="C58" s="131" t="s">
        <v>2597</v>
      </c>
      <c r="D58" s="131" t="s">
        <v>2598</v>
      </c>
      <c r="E58">
        <f t="shared" si="0"/>
        <v>1</v>
      </c>
      <c r="F58">
        <v>1</v>
      </c>
      <c r="H58">
        <f t="shared" si="1"/>
        <v>1</v>
      </c>
      <c r="I58">
        <v>1</v>
      </c>
      <c r="K58">
        <f t="shared" si="2"/>
        <v>1</v>
      </c>
      <c r="L58">
        <v>1</v>
      </c>
      <c r="N58">
        <f t="shared" si="3"/>
        <v>1</v>
      </c>
      <c r="O58">
        <v>1</v>
      </c>
      <c r="Q58">
        <f t="shared" si="4"/>
        <v>1</v>
      </c>
      <c r="R58">
        <v>1</v>
      </c>
      <c r="T58">
        <f t="shared" si="5"/>
        <v>1</v>
      </c>
      <c r="U58">
        <v>1</v>
      </c>
      <c r="W58">
        <f t="shared" si="6"/>
        <v>1</v>
      </c>
      <c r="X58">
        <v>1</v>
      </c>
      <c r="Z58">
        <f t="shared" si="7"/>
        <v>1</v>
      </c>
      <c r="AA58">
        <v>1</v>
      </c>
      <c r="AC58">
        <f t="shared" si="8"/>
        <v>1</v>
      </c>
      <c r="AD58">
        <v>1</v>
      </c>
      <c r="AF58">
        <f t="shared" si="9"/>
        <v>1</v>
      </c>
      <c r="AG58">
        <v>1</v>
      </c>
      <c r="AI58">
        <f t="shared" si="10"/>
        <v>1</v>
      </c>
      <c r="AJ58">
        <v>1</v>
      </c>
      <c r="AL58">
        <f t="shared" si="11"/>
        <v>1</v>
      </c>
      <c r="AM58">
        <v>1</v>
      </c>
      <c r="AO58">
        <f t="shared" si="12"/>
        <v>1</v>
      </c>
      <c r="AP58">
        <v>1</v>
      </c>
      <c r="AR58">
        <f t="shared" si="13"/>
        <v>1</v>
      </c>
      <c r="AS58">
        <v>1</v>
      </c>
      <c r="AU58">
        <f t="shared" si="14"/>
        <v>1</v>
      </c>
      <c r="AV58">
        <v>1</v>
      </c>
      <c r="AX58">
        <f t="shared" si="15"/>
        <v>1</v>
      </c>
      <c r="AY58">
        <v>1</v>
      </c>
      <c r="BA58">
        <f t="shared" si="16"/>
        <v>1</v>
      </c>
      <c r="BB58">
        <v>1</v>
      </c>
      <c r="BD58">
        <f t="shared" si="17"/>
        <v>1</v>
      </c>
      <c r="BE58">
        <v>1</v>
      </c>
      <c r="BG58">
        <f t="shared" si="18"/>
        <v>1</v>
      </c>
      <c r="BH58">
        <v>1</v>
      </c>
      <c r="BJ58">
        <f t="shared" si="19"/>
        <v>1</v>
      </c>
      <c r="BK58">
        <v>1</v>
      </c>
    </row>
    <row r="59" spans="1:63" ht="45">
      <c r="A59" s="131" t="s">
        <v>2937</v>
      </c>
      <c r="B59" s="131"/>
      <c r="C59" s="131"/>
      <c r="D59" s="131"/>
      <c r="E59">
        <f t="shared" si="0"/>
        <v>0</v>
      </c>
      <c r="H59">
        <f t="shared" si="1"/>
        <v>0</v>
      </c>
      <c r="K59">
        <f t="shared" si="2"/>
        <v>0</v>
      </c>
      <c r="N59">
        <f t="shared" si="3"/>
        <v>0</v>
      </c>
      <c r="Q59">
        <f t="shared" si="4"/>
        <v>0</v>
      </c>
      <c r="T59">
        <f t="shared" si="5"/>
        <v>0</v>
      </c>
      <c r="W59">
        <f t="shared" si="6"/>
        <v>0</v>
      </c>
      <c r="Z59">
        <f t="shared" si="7"/>
        <v>0</v>
      </c>
      <c r="AC59">
        <f t="shared" si="8"/>
        <v>0</v>
      </c>
      <c r="AF59">
        <f t="shared" si="9"/>
        <v>0</v>
      </c>
      <c r="AI59">
        <f t="shared" si="10"/>
        <v>0</v>
      </c>
      <c r="AL59">
        <f t="shared" si="11"/>
        <v>0</v>
      </c>
      <c r="AO59">
        <f t="shared" si="12"/>
        <v>0</v>
      </c>
      <c r="AR59">
        <f t="shared" si="13"/>
        <v>0</v>
      </c>
      <c r="AU59">
        <f t="shared" si="14"/>
        <v>0</v>
      </c>
      <c r="AX59">
        <f t="shared" si="15"/>
        <v>0</v>
      </c>
      <c r="BA59">
        <f t="shared" si="16"/>
        <v>0</v>
      </c>
      <c r="BD59">
        <f t="shared" si="17"/>
        <v>0</v>
      </c>
      <c r="BG59">
        <f t="shared" si="18"/>
        <v>0</v>
      </c>
      <c r="BJ59">
        <f t="shared" si="19"/>
        <v>0</v>
      </c>
    </row>
    <row r="60" spans="1:63" ht="30">
      <c r="A60" s="131" t="s">
        <v>2599</v>
      </c>
      <c r="B60" s="131"/>
      <c r="C60" s="131" t="s">
        <v>2600</v>
      </c>
      <c r="D60" s="131" t="s">
        <v>2601</v>
      </c>
      <c r="E60">
        <f t="shared" si="0"/>
        <v>0</v>
      </c>
      <c r="F60">
        <v>0</v>
      </c>
      <c r="H60">
        <f t="shared" si="1"/>
        <v>0</v>
      </c>
      <c r="I60">
        <v>0</v>
      </c>
      <c r="K60">
        <f t="shared" si="2"/>
        <v>0</v>
      </c>
      <c r="L60">
        <v>0</v>
      </c>
      <c r="N60">
        <f t="shared" si="3"/>
        <v>0</v>
      </c>
      <c r="O60">
        <v>0</v>
      </c>
      <c r="Q60">
        <f t="shared" si="4"/>
        <v>0</v>
      </c>
      <c r="R60">
        <v>0</v>
      </c>
      <c r="T60">
        <f t="shared" si="5"/>
        <v>0</v>
      </c>
      <c r="U60">
        <v>0</v>
      </c>
      <c r="W60">
        <f t="shared" si="6"/>
        <v>0</v>
      </c>
      <c r="X60">
        <v>0</v>
      </c>
      <c r="Z60">
        <f t="shared" si="7"/>
        <v>0</v>
      </c>
      <c r="AA60">
        <v>0</v>
      </c>
      <c r="AC60">
        <f t="shared" si="8"/>
        <v>0</v>
      </c>
      <c r="AD60">
        <v>0</v>
      </c>
      <c r="AF60">
        <f t="shared" si="9"/>
        <v>0</v>
      </c>
      <c r="AG60">
        <v>0</v>
      </c>
      <c r="AI60">
        <f t="shared" si="10"/>
        <v>0</v>
      </c>
      <c r="AJ60">
        <v>0</v>
      </c>
      <c r="AL60">
        <f t="shared" si="11"/>
        <v>0</v>
      </c>
      <c r="AM60">
        <v>0</v>
      </c>
      <c r="AO60">
        <f t="shared" si="12"/>
        <v>0</v>
      </c>
      <c r="AP60">
        <v>0</v>
      </c>
      <c r="AR60">
        <f t="shared" si="13"/>
        <v>0</v>
      </c>
      <c r="AS60">
        <v>0</v>
      </c>
      <c r="AU60">
        <f t="shared" si="14"/>
        <v>0</v>
      </c>
      <c r="AV60">
        <v>0</v>
      </c>
      <c r="AX60">
        <f t="shared" si="15"/>
        <v>0</v>
      </c>
      <c r="AY60">
        <v>0</v>
      </c>
      <c r="BA60">
        <f t="shared" si="16"/>
        <v>0</v>
      </c>
      <c r="BB60">
        <v>0</v>
      </c>
      <c r="BD60">
        <f t="shared" si="17"/>
        <v>0</v>
      </c>
      <c r="BE60">
        <v>0</v>
      </c>
      <c r="BG60">
        <f t="shared" si="18"/>
        <v>0</v>
      </c>
      <c r="BH60">
        <v>0</v>
      </c>
      <c r="BJ60">
        <f t="shared" si="19"/>
        <v>0</v>
      </c>
      <c r="BK60">
        <v>0</v>
      </c>
    </row>
    <row r="61" spans="1:63" ht="30">
      <c r="A61" s="131" t="s">
        <v>2602</v>
      </c>
      <c r="B61" s="131"/>
      <c r="C61" s="131" t="s">
        <v>2603</v>
      </c>
      <c r="D61" s="131" t="s">
        <v>2604</v>
      </c>
      <c r="E61">
        <f t="shared" si="0"/>
        <v>0</v>
      </c>
      <c r="F61">
        <v>0</v>
      </c>
      <c r="H61">
        <f t="shared" si="1"/>
        <v>0</v>
      </c>
      <c r="I61">
        <v>0</v>
      </c>
      <c r="K61">
        <f t="shared" si="2"/>
        <v>0</v>
      </c>
      <c r="L61">
        <v>0</v>
      </c>
      <c r="N61">
        <f t="shared" si="3"/>
        <v>0</v>
      </c>
      <c r="O61">
        <v>0</v>
      </c>
      <c r="Q61">
        <f t="shared" si="4"/>
        <v>0</v>
      </c>
      <c r="R61">
        <v>0</v>
      </c>
      <c r="T61">
        <f t="shared" si="5"/>
        <v>0</v>
      </c>
      <c r="U61">
        <v>0</v>
      </c>
      <c r="W61">
        <f t="shared" si="6"/>
        <v>0</v>
      </c>
      <c r="X61">
        <v>0</v>
      </c>
      <c r="Z61">
        <f t="shared" si="7"/>
        <v>0</v>
      </c>
      <c r="AA61">
        <v>0</v>
      </c>
      <c r="AC61">
        <f t="shared" si="8"/>
        <v>0</v>
      </c>
      <c r="AD61">
        <v>0</v>
      </c>
      <c r="AF61">
        <f t="shared" si="9"/>
        <v>0</v>
      </c>
      <c r="AG61">
        <v>0</v>
      </c>
      <c r="AI61">
        <f t="shared" si="10"/>
        <v>0</v>
      </c>
      <c r="AJ61">
        <v>0</v>
      </c>
      <c r="AL61">
        <f t="shared" si="11"/>
        <v>0</v>
      </c>
      <c r="AM61">
        <v>0</v>
      </c>
      <c r="AO61">
        <f t="shared" si="12"/>
        <v>0</v>
      </c>
      <c r="AP61">
        <v>0</v>
      </c>
      <c r="AR61">
        <f t="shared" si="13"/>
        <v>0</v>
      </c>
      <c r="AS61">
        <v>0</v>
      </c>
      <c r="AU61">
        <f t="shared" si="14"/>
        <v>0</v>
      </c>
      <c r="AV61">
        <v>0</v>
      </c>
      <c r="AX61">
        <f t="shared" si="15"/>
        <v>0</v>
      </c>
      <c r="AY61">
        <v>0</v>
      </c>
      <c r="BA61">
        <f t="shared" si="16"/>
        <v>0</v>
      </c>
      <c r="BB61">
        <v>0</v>
      </c>
      <c r="BD61">
        <f t="shared" si="17"/>
        <v>0</v>
      </c>
      <c r="BE61">
        <v>0</v>
      </c>
      <c r="BG61">
        <f t="shared" si="18"/>
        <v>0</v>
      </c>
      <c r="BH61">
        <v>0</v>
      </c>
      <c r="BJ61">
        <f t="shared" si="19"/>
        <v>0</v>
      </c>
      <c r="BK61">
        <v>0</v>
      </c>
    </row>
    <row r="62" spans="1:63" ht="30">
      <c r="A62" s="131" t="s">
        <v>2938</v>
      </c>
      <c r="B62" s="131"/>
      <c r="C62" s="131"/>
      <c r="D62" s="131"/>
      <c r="E62">
        <f t="shared" si="0"/>
        <v>0</v>
      </c>
      <c r="H62">
        <f t="shared" si="1"/>
        <v>0</v>
      </c>
      <c r="K62">
        <f t="shared" si="2"/>
        <v>0</v>
      </c>
      <c r="N62">
        <f t="shared" si="3"/>
        <v>0</v>
      </c>
      <c r="Q62">
        <f t="shared" si="4"/>
        <v>0</v>
      </c>
      <c r="T62">
        <f t="shared" si="5"/>
        <v>0</v>
      </c>
      <c r="W62">
        <f t="shared" si="6"/>
        <v>0</v>
      </c>
      <c r="Z62">
        <f t="shared" si="7"/>
        <v>0</v>
      </c>
      <c r="AC62">
        <f t="shared" si="8"/>
        <v>0</v>
      </c>
      <c r="AF62">
        <f t="shared" si="9"/>
        <v>0</v>
      </c>
      <c r="AI62">
        <f t="shared" si="10"/>
        <v>0</v>
      </c>
      <c r="AL62">
        <f t="shared" si="11"/>
        <v>0</v>
      </c>
      <c r="AO62">
        <f t="shared" si="12"/>
        <v>0</v>
      </c>
      <c r="AR62">
        <f t="shared" si="13"/>
        <v>0</v>
      </c>
      <c r="AU62">
        <f t="shared" si="14"/>
        <v>0</v>
      </c>
      <c r="AX62">
        <f t="shared" si="15"/>
        <v>0</v>
      </c>
      <c r="BA62">
        <f t="shared" si="16"/>
        <v>0</v>
      </c>
      <c r="BD62">
        <f t="shared" si="17"/>
        <v>0</v>
      </c>
      <c r="BG62">
        <f t="shared" si="18"/>
        <v>0</v>
      </c>
      <c r="BJ62">
        <f t="shared" si="19"/>
        <v>0</v>
      </c>
    </row>
    <row r="63" spans="1:63" ht="60">
      <c r="A63" s="131" t="s">
        <v>2605</v>
      </c>
      <c r="B63" s="131"/>
      <c r="C63" s="131" t="s">
        <v>2600</v>
      </c>
      <c r="D63" s="131" t="s">
        <v>2606</v>
      </c>
      <c r="E63">
        <f t="shared" si="0"/>
        <v>0</v>
      </c>
      <c r="F63">
        <v>0</v>
      </c>
      <c r="H63">
        <f t="shared" si="1"/>
        <v>0</v>
      </c>
      <c r="I63">
        <v>0</v>
      </c>
      <c r="K63">
        <f t="shared" si="2"/>
        <v>0</v>
      </c>
      <c r="L63">
        <v>0</v>
      </c>
      <c r="N63">
        <f t="shared" si="3"/>
        <v>0</v>
      </c>
      <c r="O63">
        <v>0</v>
      </c>
      <c r="Q63">
        <f t="shared" si="4"/>
        <v>0</v>
      </c>
      <c r="R63">
        <v>0</v>
      </c>
      <c r="T63">
        <f t="shared" si="5"/>
        <v>0</v>
      </c>
      <c r="U63">
        <v>0</v>
      </c>
      <c r="W63">
        <f t="shared" si="6"/>
        <v>0</v>
      </c>
      <c r="X63">
        <v>0</v>
      </c>
      <c r="Z63">
        <f t="shared" si="7"/>
        <v>0</v>
      </c>
      <c r="AA63">
        <v>0</v>
      </c>
      <c r="AC63">
        <f t="shared" si="8"/>
        <v>0</v>
      </c>
      <c r="AD63">
        <v>0</v>
      </c>
      <c r="AF63">
        <f t="shared" si="9"/>
        <v>0</v>
      </c>
      <c r="AG63">
        <v>0</v>
      </c>
      <c r="AI63">
        <f t="shared" si="10"/>
        <v>0</v>
      </c>
      <c r="AJ63">
        <v>0</v>
      </c>
      <c r="AL63">
        <f t="shared" si="11"/>
        <v>0</v>
      </c>
      <c r="AM63">
        <v>0</v>
      </c>
      <c r="AO63">
        <f t="shared" si="12"/>
        <v>0</v>
      </c>
      <c r="AP63">
        <v>0</v>
      </c>
      <c r="AR63">
        <f t="shared" si="13"/>
        <v>0</v>
      </c>
      <c r="AS63">
        <v>0</v>
      </c>
      <c r="AU63">
        <f t="shared" si="14"/>
        <v>0</v>
      </c>
      <c r="AV63">
        <v>0</v>
      </c>
      <c r="AX63">
        <f t="shared" si="15"/>
        <v>0</v>
      </c>
      <c r="AY63">
        <v>0</v>
      </c>
      <c r="BA63">
        <f t="shared" si="16"/>
        <v>0</v>
      </c>
      <c r="BB63">
        <v>0</v>
      </c>
      <c r="BD63">
        <f t="shared" si="17"/>
        <v>0</v>
      </c>
      <c r="BE63">
        <v>0</v>
      </c>
      <c r="BG63">
        <f t="shared" si="18"/>
        <v>0</v>
      </c>
      <c r="BH63">
        <v>0</v>
      </c>
      <c r="BJ63">
        <f t="shared" si="19"/>
        <v>0</v>
      </c>
      <c r="BK63">
        <v>0</v>
      </c>
    </row>
    <row r="64" spans="1:63" ht="75">
      <c r="A64" s="131" t="s">
        <v>2607</v>
      </c>
      <c r="B64" s="131"/>
      <c r="C64" s="131" t="s">
        <v>2603</v>
      </c>
      <c r="D64" s="131" t="s">
        <v>2608</v>
      </c>
      <c r="E64">
        <f t="shared" si="0"/>
        <v>0</v>
      </c>
      <c r="F64">
        <v>0</v>
      </c>
      <c r="H64">
        <f t="shared" si="1"/>
        <v>0</v>
      </c>
      <c r="I64">
        <v>0</v>
      </c>
      <c r="K64">
        <f t="shared" si="2"/>
        <v>0</v>
      </c>
      <c r="L64">
        <v>0</v>
      </c>
      <c r="N64">
        <f t="shared" si="3"/>
        <v>0</v>
      </c>
      <c r="O64">
        <v>0</v>
      </c>
      <c r="Q64">
        <f t="shared" si="4"/>
        <v>0</v>
      </c>
      <c r="R64">
        <v>0</v>
      </c>
      <c r="T64">
        <f t="shared" si="5"/>
        <v>0</v>
      </c>
      <c r="U64">
        <v>0</v>
      </c>
      <c r="W64">
        <f t="shared" si="6"/>
        <v>0</v>
      </c>
      <c r="X64">
        <v>0</v>
      </c>
      <c r="Z64">
        <f t="shared" si="7"/>
        <v>0</v>
      </c>
      <c r="AA64">
        <v>0</v>
      </c>
      <c r="AC64">
        <f t="shared" si="8"/>
        <v>0</v>
      </c>
      <c r="AD64">
        <v>0</v>
      </c>
      <c r="AF64">
        <f t="shared" si="9"/>
        <v>0</v>
      </c>
      <c r="AG64">
        <v>0</v>
      </c>
      <c r="AI64">
        <f t="shared" si="10"/>
        <v>0</v>
      </c>
      <c r="AJ64">
        <v>0</v>
      </c>
      <c r="AL64">
        <f t="shared" si="11"/>
        <v>0</v>
      </c>
      <c r="AM64">
        <v>0</v>
      </c>
      <c r="AO64">
        <f t="shared" si="12"/>
        <v>0</v>
      </c>
      <c r="AP64">
        <v>0</v>
      </c>
      <c r="AR64">
        <f t="shared" si="13"/>
        <v>0</v>
      </c>
      <c r="AS64">
        <v>0</v>
      </c>
      <c r="AU64">
        <f t="shared" si="14"/>
        <v>0</v>
      </c>
      <c r="AV64">
        <v>0</v>
      </c>
      <c r="AX64">
        <f t="shared" si="15"/>
        <v>0</v>
      </c>
      <c r="AY64">
        <v>0</v>
      </c>
      <c r="BA64">
        <f t="shared" si="16"/>
        <v>0</v>
      </c>
      <c r="BB64">
        <v>0</v>
      </c>
      <c r="BD64">
        <f t="shared" si="17"/>
        <v>0</v>
      </c>
      <c r="BE64">
        <v>0</v>
      </c>
      <c r="BG64">
        <f t="shared" si="18"/>
        <v>0</v>
      </c>
      <c r="BH64">
        <v>0</v>
      </c>
      <c r="BJ64">
        <f t="shared" si="19"/>
        <v>0</v>
      </c>
      <c r="BK64">
        <v>0</v>
      </c>
    </row>
    <row r="65" spans="1:63" ht="30">
      <c r="A65" s="131" t="s">
        <v>2939</v>
      </c>
      <c r="B65" s="131" t="s">
        <v>2609</v>
      </c>
      <c r="C65" s="131"/>
      <c r="D65" s="131"/>
      <c r="E65">
        <f t="shared" si="0"/>
        <v>0</v>
      </c>
      <c r="H65">
        <f t="shared" si="1"/>
        <v>0</v>
      </c>
      <c r="K65">
        <f t="shared" si="2"/>
        <v>0</v>
      </c>
      <c r="N65">
        <f t="shared" si="3"/>
        <v>0</v>
      </c>
      <c r="Q65">
        <f t="shared" si="4"/>
        <v>0</v>
      </c>
      <c r="T65">
        <f t="shared" si="5"/>
        <v>0</v>
      </c>
      <c r="W65">
        <f t="shared" si="6"/>
        <v>0</v>
      </c>
      <c r="Z65">
        <f t="shared" si="7"/>
        <v>0</v>
      </c>
      <c r="AC65">
        <f t="shared" si="8"/>
        <v>0</v>
      </c>
      <c r="AF65">
        <f t="shared" si="9"/>
        <v>0</v>
      </c>
      <c r="AI65">
        <f t="shared" si="10"/>
        <v>0</v>
      </c>
      <c r="AL65">
        <f t="shared" si="11"/>
        <v>0</v>
      </c>
      <c r="AO65">
        <f t="shared" si="12"/>
        <v>0</v>
      </c>
      <c r="AR65">
        <f t="shared" si="13"/>
        <v>0</v>
      </c>
      <c r="AU65">
        <f t="shared" si="14"/>
        <v>0</v>
      </c>
      <c r="AX65">
        <f t="shared" si="15"/>
        <v>0</v>
      </c>
      <c r="BA65">
        <f t="shared" si="16"/>
        <v>0</v>
      </c>
      <c r="BD65">
        <f t="shared" si="17"/>
        <v>0</v>
      </c>
      <c r="BG65">
        <f t="shared" si="18"/>
        <v>0</v>
      </c>
      <c r="BJ65">
        <f t="shared" si="19"/>
        <v>0</v>
      </c>
    </row>
    <row r="66" spans="1:63" ht="30">
      <c r="A66" s="131" t="s">
        <v>2610</v>
      </c>
      <c r="B66" s="131"/>
      <c r="C66" s="131" t="s">
        <v>2611</v>
      </c>
      <c r="D66" s="131" t="s">
        <v>2612</v>
      </c>
      <c r="E66">
        <f t="shared" si="0"/>
        <v>1</v>
      </c>
      <c r="F66">
        <v>1</v>
      </c>
      <c r="H66">
        <f t="shared" si="1"/>
        <v>1</v>
      </c>
      <c r="I66">
        <v>1</v>
      </c>
      <c r="K66">
        <f t="shared" si="2"/>
        <v>3</v>
      </c>
      <c r="L66">
        <v>3</v>
      </c>
      <c r="N66">
        <f t="shared" si="3"/>
        <v>1</v>
      </c>
      <c r="O66">
        <v>1</v>
      </c>
      <c r="Q66">
        <f t="shared" si="4"/>
        <v>3</v>
      </c>
      <c r="R66">
        <v>3</v>
      </c>
      <c r="T66">
        <f t="shared" si="5"/>
        <v>1</v>
      </c>
      <c r="U66">
        <v>1</v>
      </c>
      <c r="W66">
        <f t="shared" si="6"/>
        <v>1</v>
      </c>
      <c r="X66">
        <v>1</v>
      </c>
      <c r="Z66">
        <f t="shared" si="7"/>
        <v>3</v>
      </c>
      <c r="AA66">
        <v>3</v>
      </c>
      <c r="AC66">
        <f t="shared" si="8"/>
        <v>1</v>
      </c>
      <c r="AD66">
        <v>1</v>
      </c>
      <c r="AF66">
        <f t="shared" si="9"/>
        <v>3</v>
      </c>
      <c r="AG66">
        <v>3</v>
      </c>
      <c r="AI66">
        <f t="shared" si="10"/>
        <v>1</v>
      </c>
      <c r="AJ66">
        <v>1</v>
      </c>
      <c r="AL66">
        <f t="shared" si="11"/>
        <v>1</v>
      </c>
      <c r="AM66">
        <v>1</v>
      </c>
      <c r="AO66">
        <f t="shared" si="12"/>
        <v>3</v>
      </c>
      <c r="AP66">
        <v>3</v>
      </c>
      <c r="AR66">
        <f t="shared" si="13"/>
        <v>1</v>
      </c>
      <c r="AS66">
        <v>1</v>
      </c>
      <c r="AU66">
        <f t="shared" si="14"/>
        <v>3</v>
      </c>
      <c r="AV66">
        <v>3</v>
      </c>
      <c r="AX66">
        <f t="shared" si="15"/>
        <v>3</v>
      </c>
      <c r="AY66">
        <v>3</v>
      </c>
      <c r="BA66">
        <f t="shared" si="16"/>
        <v>1</v>
      </c>
      <c r="BB66">
        <v>1</v>
      </c>
      <c r="BD66">
        <f t="shared" si="17"/>
        <v>3</v>
      </c>
      <c r="BE66">
        <v>3</v>
      </c>
      <c r="BG66">
        <f t="shared" si="18"/>
        <v>1</v>
      </c>
      <c r="BH66">
        <v>1</v>
      </c>
      <c r="BJ66">
        <f t="shared" si="19"/>
        <v>3</v>
      </c>
      <c r="BK66">
        <v>3</v>
      </c>
    </row>
    <row r="67" spans="1:63" ht="75">
      <c r="A67" s="131" t="s">
        <v>2605</v>
      </c>
      <c r="B67" s="131"/>
      <c r="C67" s="131" t="s">
        <v>2600</v>
      </c>
      <c r="D67" s="131" t="s">
        <v>2613</v>
      </c>
      <c r="E67">
        <f t="shared" si="0"/>
        <v>3.6</v>
      </c>
      <c r="F67">
        <v>3.6</v>
      </c>
      <c r="H67">
        <f t="shared" si="1"/>
        <v>3.6</v>
      </c>
      <c r="I67">
        <v>3.6</v>
      </c>
      <c r="K67">
        <f t="shared" si="2"/>
        <v>10.8</v>
      </c>
      <c r="L67">
        <v>10.8</v>
      </c>
      <c r="N67">
        <f t="shared" si="3"/>
        <v>3.6</v>
      </c>
      <c r="O67">
        <v>3.6</v>
      </c>
      <c r="Q67">
        <f t="shared" si="4"/>
        <v>10.8</v>
      </c>
      <c r="R67">
        <v>10.8</v>
      </c>
      <c r="T67">
        <f t="shared" si="5"/>
        <v>3.6</v>
      </c>
      <c r="U67">
        <v>3.6</v>
      </c>
      <c r="W67">
        <f t="shared" si="6"/>
        <v>3.6</v>
      </c>
      <c r="X67">
        <v>3.6</v>
      </c>
      <c r="Z67">
        <f t="shared" si="7"/>
        <v>10.8</v>
      </c>
      <c r="AA67">
        <v>10.8</v>
      </c>
      <c r="AC67">
        <f t="shared" si="8"/>
        <v>3.6</v>
      </c>
      <c r="AD67">
        <v>3.6</v>
      </c>
      <c r="AF67">
        <f t="shared" si="9"/>
        <v>10.8</v>
      </c>
      <c r="AG67">
        <v>10.8</v>
      </c>
      <c r="AI67">
        <f t="shared" si="10"/>
        <v>3.6</v>
      </c>
      <c r="AJ67">
        <v>3.6</v>
      </c>
      <c r="AL67">
        <f t="shared" si="11"/>
        <v>3.6</v>
      </c>
      <c r="AM67">
        <v>3.6</v>
      </c>
      <c r="AO67">
        <f t="shared" si="12"/>
        <v>10.8</v>
      </c>
      <c r="AP67">
        <v>10.8</v>
      </c>
      <c r="AR67">
        <f t="shared" si="13"/>
        <v>3.6</v>
      </c>
      <c r="AS67">
        <v>3.6</v>
      </c>
      <c r="AU67">
        <f t="shared" si="14"/>
        <v>10.8</v>
      </c>
      <c r="AV67">
        <v>10.8</v>
      </c>
      <c r="AX67">
        <f t="shared" si="15"/>
        <v>10.8</v>
      </c>
      <c r="AY67">
        <v>10.8</v>
      </c>
      <c r="BA67">
        <f t="shared" si="16"/>
        <v>3.6</v>
      </c>
      <c r="BB67">
        <v>3.6</v>
      </c>
      <c r="BD67">
        <f t="shared" si="17"/>
        <v>10.8</v>
      </c>
      <c r="BE67">
        <v>10.8</v>
      </c>
      <c r="BG67">
        <f t="shared" si="18"/>
        <v>3.6</v>
      </c>
      <c r="BH67">
        <v>3.6</v>
      </c>
      <c r="BJ67">
        <f t="shared" si="19"/>
        <v>10.8</v>
      </c>
      <c r="BK67">
        <v>10.8</v>
      </c>
    </row>
    <row r="68" spans="1:63" ht="75">
      <c r="A68" s="131" t="s">
        <v>2614</v>
      </c>
      <c r="B68" s="131"/>
      <c r="C68" s="131" t="s">
        <v>2603</v>
      </c>
      <c r="D68" s="131" t="s">
        <v>2615</v>
      </c>
      <c r="E68">
        <f t="shared" si="0"/>
        <v>1.2</v>
      </c>
      <c r="F68">
        <v>1.2</v>
      </c>
      <c r="H68">
        <f t="shared" si="1"/>
        <v>1.2</v>
      </c>
      <c r="I68">
        <v>1.2</v>
      </c>
      <c r="K68">
        <f t="shared" si="2"/>
        <v>3.6</v>
      </c>
      <c r="L68">
        <v>3.6</v>
      </c>
      <c r="N68">
        <f t="shared" si="3"/>
        <v>1.2</v>
      </c>
      <c r="O68">
        <v>1.2</v>
      </c>
      <c r="Q68">
        <f t="shared" si="4"/>
        <v>3.6</v>
      </c>
      <c r="R68">
        <v>3.6</v>
      </c>
      <c r="T68">
        <f t="shared" si="5"/>
        <v>1.2</v>
      </c>
      <c r="U68">
        <v>1.2</v>
      </c>
      <c r="W68">
        <f t="shared" si="6"/>
        <v>1.2</v>
      </c>
      <c r="X68">
        <v>1.2</v>
      </c>
      <c r="Z68">
        <f t="shared" si="7"/>
        <v>3.6</v>
      </c>
      <c r="AA68">
        <v>3.6</v>
      </c>
      <c r="AC68">
        <f t="shared" si="8"/>
        <v>1.2</v>
      </c>
      <c r="AD68">
        <v>1.2</v>
      </c>
      <c r="AF68">
        <f t="shared" si="9"/>
        <v>3.6</v>
      </c>
      <c r="AG68">
        <v>3.6</v>
      </c>
      <c r="AI68">
        <f t="shared" si="10"/>
        <v>1.2</v>
      </c>
      <c r="AJ68">
        <v>1.2</v>
      </c>
      <c r="AL68">
        <f t="shared" si="11"/>
        <v>1.2</v>
      </c>
      <c r="AM68">
        <v>1.2</v>
      </c>
      <c r="AO68">
        <f t="shared" si="12"/>
        <v>3.6</v>
      </c>
      <c r="AP68">
        <v>3.6</v>
      </c>
      <c r="AR68">
        <f t="shared" si="13"/>
        <v>1.2</v>
      </c>
      <c r="AS68">
        <v>1.2</v>
      </c>
      <c r="AU68">
        <f t="shared" si="14"/>
        <v>3.6</v>
      </c>
      <c r="AV68">
        <v>3.6</v>
      </c>
      <c r="AX68">
        <f t="shared" si="15"/>
        <v>3.6</v>
      </c>
      <c r="AY68">
        <v>3.6</v>
      </c>
      <c r="BA68">
        <f t="shared" si="16"/>
        <v>1.2</v>
      </c>
      <c r="BB68">
        <v>1.2</v>
      </c>
      <c r="BD68">
        <f t="shared" si="17"/>
        <v>3.6</v>
      </c>
      <c r="BE68">
        <v>3.6</v>
      </c>
      <c r="BG68">
        <f t="shared" si="18"/>
        <v>1.2</v>
      </c>
      <c r="BH68">
        <v>1.2</v>
      </c>
      <c r="BJ68">
        <f t="shared" si="19"/>
        <v>3.6</v>
      </c>
      <c r="BK68">
        <v>3.6</v>
      </c>
    </row>
    <row r="69" spans="1:63" ht="45">
      <c r="A69" s="131" t="s">
        <v>2616</v>
      </c>
      <c r="B69" s="131"/>
      <c r="C69" s="131"/>
      <c r="D69" s="131" t="s">
        <v>2617</v>
      </c>
      <c r="E69">
        <f t="shared" si="0"/>
        <v>0</v>
      </c>
      <c r="H69">
        <f t="shared" si="1"/>
        <v>0</v>
      </c>
      <c r="K69">
        <f t="shared" si="2"/>
        <v>0</v>
      </c>
      <c r="N69">
        <f t="shared" si="3"/>
        <v>0</v>
      </c>
      <c r="Q69">
        <f t="shared" si="4"/>
        <v>0</v>
      </c>
      <c r="T69">
        <f t="shared" si="5"/>
        <v>0</v>
      </c>
      <c r="W69">
        <f t="shared" si="6"/>
        <v>0</v>
      </c>
      <c r="Z69">
        <f t="shared" si="7"/>
        <v>0</v>
      </c>
      <c r="AC69">
        <f t="shared" si="8"/>
        <v>0</v>
      </c>
      <c r="AF69">
        <f t="shared" si="9"/>
        <v>0</v>
      </c>
      <c r="AI69">
        <f t="shared" si="10"/>
        <v>0</v>
      </c>
      <c r="AL69">
        <f t="shared" si="11"/>
        <v>0</v>
      </c>
      <c r="AO69">
        <f t="shared" si="12"/>
        <v>0</v>
      </c>
      <c r="AR69">
        <f t="shared" si="13"/>
        <v>0</v>
      </c>
      <c r="AU69">
        <f t="shared" si="14"/>
        <v>0</v>
      </c>
      <c r="AX69">
        <f t="shared" si="15"/>
        <v>0</v>
      </c>
      <c r="BA69">
        <f t="shared" si="16"/>
        <v>0</v>
      </c>
      <c r="BD69">
        <f t="shared" si="17"/>
        <v>0</v>
      </c>
      <c r="BG69">
        <f t="shared" si="18"/>
        <v>0</v>
      </c>
      <c r="BJ69">
        <f t="shared" si="19"/>
        <v>0</v>
      </c>
    </row>
    <row r="70" spans="1:63" ht="45">
      <c r="A70" s="131" t="s">
        <v>2940</v>
      </c>
      <c r="B70" s="131"/>
      <c r="C70" s="131"/>
      <c r="D70" s="131" t="s">
        <v>2618</v>
      </c>
      <c r="E70">
        <f t="shared" si="0"/>
        <v>0</v>
      </c>
      <c r="H70">
        <f t="shared" si="1"/>
        <v>0</v>
      </c>
      <c r="K70">
        <f t="shared" si="2"/>
        <v>0</v>
      </c>
      <c r="N70">
        <f t="shared" si="3"/>
        <v>0</v>
      </c>
      <c r="Q70">
        <f t="shared" si="4"/>
        <v>0</v>
      </c>
      <c r="T70">
        <f t="shared" si="5"/>
        <v>0</v>
      </c>
      <c r="W70">
        <f t="shared" si="6"/>
        <v>0</v>
      </c>
      <c r="Z70">
        <f t="shared" si="7"/>
        <v>0</v>
      </c>
      <c r="AC70">
        <f t="shared" si="8"/>
        <v>0</v>
      </c>
      <c r="AF70">
        <f t="shared" si="9"/>
        <v>0</v>
      </c>
      <c r="AI70">
        <f t="shared" si="10"/>
        <v>0</v>
      </c>
      <c r="AL70">
        <f t="shared" si="11"/>
        <v>0</v>
      </c>
      <c r="AO70">
        <f t="shared" si="12"/>
        <v>0</v>
      </c>
      <c r="AR70">
        <f t="shared" si="13"/>
        <v>0</v>
      </c>
      <c r="AU70">
        <f t="shared" si="14"/>
        <v>0</v>
      </c>
      <c r="AX70">
        <f t="shared" si="15"/>
        <v>0</v>
      </c>
      <c r="BA70">
        <f t="shared" si="16"/>
        <v>0</v>
      </c>
      <c r="BD70">
        <f t="shared" si="17"/>
        <v>0</v>
      </c>
      <c r="BG70">
        <f t="shared" si="18"/>
        <v>0</v>
      </c>
      <c r="BJ70">
        <f t="shared" si="19"/>
        <v>0</v>
      </c>
    </row>
    <row r="71" spans="1:63">
      <c r="A71" s="131" t="s">
        <v>2619</v>
      </c>
      <c r="B71" s="131"/>
      <c r="C71" s="131" t="s">
        <v>2407</v>
      </c>
      <c r="D71" s="131" t="s">
        <v>2620</v>
      </c>
      <c r="E71" t="str">
        <f t="shared" si="0"/>
        <v>CoverageA</v>
      </c>
      <c r="F71" t="s">
        <v>2411</v>
      </c>
      <c r="H71" t="str">
        <f t="shared" si="1"/>
        <v>CoverageA</v>
      </c>
      <c r="I71" t="s">
        <v>2411</v>
      </c>
      <c r="K71" t="str">
        <f t="shared" si="2"/>
        <v>CoverageA</v>
      </c>
      <c r="L71" t="s">
        <v>2411</v>
      </c>
      <c r="N71" t="str">
        <f t="shared" si="3"/>
        <v>CoverageA</v>
      </c>
      <c r="O71" t="s">
        <v>2411</v>
      </c>
      <c r="Q71" t="str">
        <f t="shared" si="4"/>
        <v>CoverageA</v>
      </c>
      <c r="R71" t="s">
        <v>2411</v>
      </c>
      <c r="T71" t="str">
        <f t="shared" si="5"/>
        <v>CoverageA</v>
      </c>
      <c r="U71" t="s">
        <v>2411</v>
      </c>
      <c r="W71" t="str">
        <f t="shared" si="6"/>
        <v>CoverageA</v>
      </c>
      <c r="X71" t="s">
        <v>2411</v>
      </c>
      <c r="Z71" t="str">
        <f t="shared" si="7"/>
        <v>CoverageA</v>
      </c>
      <c r="AA71" t="s">
        <v>2411</v>
      </c>
      <c r="AC71" t="str">
        <f t="shared" si="8"/>
        <v>CoverageA</v>
      </c>
      <c r="AD71" t="s">
        <v>2411</v>
      </c>
      <c r="AF71" t="str">
        <f t="shared" si="9"/>
        <v>CoverageA</v>
      </c>
      <c r="AG71" t="s">
        <v>2411</v>
      </c>
      <c r="AI71" t="str">
        <f t="shared" si="10"/>
        <v>CoverageA</v>
      </c>
      <c r="AJ71" t="s">
        <v>2411</v>
      </c>
      <c r="AL71" t="str">
        <f t="shared" si="11"/>
        <v>CoverageA</v>
      </c>
      <c r="AM71" t="s">
        <v>2411</v>
      </c>
      <c r="AO71" t="str">
        <f t="shared" si="12"/>
        <v>CoverageA</v>
      </c>
      <c r="AP71" t="s">
        <v>2411</v>
      </c>
      <c r="AR71" t="str">
        <f t="shared" si="13"/>
        <v>CoverageA</v>
      </c>
      <c r="AS71" t="s">
        <v>2411</v>
      </c>
      <c r="AU71" t="str">
        <f t="shared" si="14"/>
        <v>CoverageA</v>
      </c>
      <c r="AV71" t="s">
        <v>2411</v>
      </c>
      <c r="AX71" t="str">
        <f t="shared" si="15"/>
        <v>CoverageA</v>
      </c>
      <c r="AY71" t="s">
        <v>2411</v>
      </c>
      <c r="BA71" t="str">
        <f t="shared" si="16"/>
        <v>CoverageA</v>
      </c>
      <c r="BB71" t="s">
        <v>2411</v>
      </c>
      <c r="BD71" t="str">
        <f t="shared" si="17"/>
        <v>CoverageA</v>
      </c>
      <c r="BE71" t="s">
        <v>2411</v>
      </c>
      <c r="BG71" t="str">
        <f t="shared" si="18"/>
        <v>CoverageA</v>
      </c>
      <c r="BH71" t="s">
        <v>2411</v>
      </c>
      <c r="BJ71" t="str">
        <f t="shared" si="19"/>
        <v>CoverageA</v>
      </c>
      <c r="BK71" t="s">
        <v>2411</v>
      </c>
    </row>
    <row r="72" spans="1:63">
      <c r="A72" s="131" t="s">
        <v>2621</v>
      </c>
      <c r="B72" s="131"/>
      <c r="C72" s="131"/>
      <c r="D72" s="131"/>
      <c r="E72">
        <f t="shared" si="0"/>
        <v>0</v>
      </c>
      <c r="H72">
        <f t="shared" si="1"/>
        <v>0</v>
      </c>
      <c r="K72">
        <f t="shared" si="2"/>
        <v>0</v>
      </c>
      <c r="N72">
        <f t="shared" si="3"/>
        <v>0</v>
      </c>
      <c r="Q72">
        <f t="shared" si="4"/>
        <v>0</v>
      </c>
      <c r="T72">
        <f t="shared" si="5"/>
        <v>0</v>
      </c>
      <c r="W72">
        <f t="shared" si="6"/>
        <v>0</v>
      </c>
      <c r="Z72">
        <f t="shared" si="7"/>
        <v>0</v>
      </c>
      <c r="AC72">
        <f t="shared" si="8"/>
        <v>0</v>
      </c>
      <c r="AF72">
        <f t="shared" si="9"/>
        <v>0</v>
      </c>
      <c r="AI72">
        <f t="shared" si="10"/>
        <v>0</v>
      </c>
      <c r="AL72">
        <f t="shared" si="11"/>
        <v>0</v>
      </c>
      <c r="AO72">
        <f t="shared" si="12"/>
        <v>0</v>
      </c>
      <c r="AR72">
        <f t="shared" si="13"/>
        <v>0</v>
      </c>
      <c r="AU72">
        <f t="shared" si="14"/>
        <v>0</v>
      </c>
      <c r="AX72">
        <f t="shared" si="15"/>
        <v>0</v>
      </c>
      <c r="BA72">
        <f t="shared" si="16"/>
        <v>0</v>
      </c>
      <c r="BD72">
        <f t="shared" si="17"/>
        <v>0</v>
      </c>
      <c r="BG72">
        <f t="shared" si="18"/>
        <v>0</v>
      </c>
      <c r="BJ72">
        <f t="shared" si="19"/>
        <v>0</v>
      </c>
    </row>
    <row r="73" spans="1:63" ht="45">
      <c r="A73" s="131" t="s">
        <v>2622</v>
      </c>
      <c r="B73" s="131"/>
      <c r="C73" s="131"/>
      <c r="D73" s="131" t="s">
        <v>2623</v>
      </c>
      <c r="E73">
        <f t="shared" si="0"/>
        <v>0</v>
      </c>
      <c r="H73">
        <f t="shared" si="1"/>
        <v>0</v>
      </c>
      <c r="K73">
        <f t="shared" si="2"/>
        <v>0</v>
      </c>
      <c r="N73">
        <f t="shared" si="3"/>
        <v>0</v>
      </c>
      <c r="Q73">
        <f t="shared" si="4"/>
        <v>0</v>
      </c>
      <c r="T73">
        <f t="shared" si="5"/>
        <v>0</v>
      </c>
      <c r="W73">
        <f t="shared" si="6"/>
        <v>0</v>
      </c>
      <c r="Z73">
        <f t="shared" si="7"/>
        <v>0</v>
      </c>
      <c r="AC73">
        <f t="shared" si="8"/>
        <v>0</v>
      </c>
      <c r="AF73">
        <f t="shared" si="9"/>
        <v>0</v>
      </c>
      <c r="AI73">
        <f t="shared" si="10"/>
        <v>0</v>
      </c>
      <c r="AL73">
        <f t="shared" si="11"/>
        <v>0</v>
      </c>
      <c r="AO73">
        <f t="shared" si="12"/>
        <v>0</v>
      </c>
      <c r="AR73">
        <f t="shared" si="13"/>
        <v>0</v>
      </c>
      <c r="AU73">
        <f t="shared" si="14"/>
        <v>0</v>
      </c>
      <c r="AX73">
        <f t="shared" si="15"/>
        <v>0</v>
      </c>
      <c r="BA73">
        <f t="shared" si="16"/>
        <v>0</v>
      </c>
      <c r="BD73">
        <f t="shared" si="17"/>
        <v>0</v>
      </c>
      <c r="BG73">
        <f t="shared" si="18"/>
        <v>0</v>
      </c>
      <c r="BJ73">
        <f t="shared" si="19"/>
        <v>0</v>
      </c>
    </row>
    <row r="74" spans="1:63">
      <c r="A74" s="131" t="s">
        <v>2619</v>
      </c>
      <c r="B74" s="131"/>
      <c r="C74" s="131" t="s">
        <v>2407</v>
      </c>
      <c r="D74" s="131" t="s">
        <v>2620</v>
      </c>
      <c r="E74" t="str">
        <f t="shared" si="0"/>
        <v>CoverageL</v>
      </c>
      <c r="F74" t="s">
        <v>2941</v>
      </c>
      <c r="H74" t="str">
        <f t="shared" si="1"/>
        <v>CoverageL</v>
      </c>
      <c r="I74" t="s">
        <v>2941</v>
      </c>
      <c r="K74" t="str">
        <f t="shared" si="2"/>
        <v>CoverageL</v>
      </c>
      <c r="L74" t="s">
        <v>2941</v>
      </c>
      <c r="N74" t="str">
        <f t="shared" si="3"/>
        <v>CoverageL</v>
      </c>
      <c r="O74" t="s">
        <v>2941</v>
      </c>
      <c r="Q74" t="str">
        <f t="shared" si="4"/>
        <v>CoverageL</v>
      </c>
      <c r="R74" t="s">
        <v>2941</v>
      </c>
      <c r="T74" t="str">
        <f t="shared" si="5"/>
        <v>CoverageL</v>
      </c>
      <c r="U74" t="s">
        <v>2941</v>
      </c>
      <c r="W74" t="str">
        <f t="shared" si="6"/>
        <v>CoverageL</v>
      </c>
      <c r="X74" t="s">
        <v>2941</v>
      </c>
      <c r="Z74" t="str">
        <f t="shared" si="7"/>
        <v>CoverageL</v>
      </c>
      <c r="AA74" t="s">
        <v>2941</v>
      </c>
      <c r="AC74" t="str">
        <f t="shared" si="8"/>
        <v>CoverageL</v>
      </c>
      <c r="AD74" t="s">
        <v>2941</v>
      </c>
      <c r="AF74" t="str">
        <f t="shared" si="9"/>
        <v>CoverageL</v>
      </c>
      <c r="AG74" t="s">
        <v>2941</v>
      </c>
      <c r="AI74" t="str">
        <f t="shared" si="10"/>
        <v>CoverageL</v>
      </c>
      <c r="AJ74" t="s">
        <v>2941</v>
      </c>
      <c r="AL74" t="str">
        <f t="shared" si="11"/>
        <v>CoverageL</v>
      </c>
      <c r="AM74" t="s">
        <v>2941</v>
      </c>
      <c r="AO74" t="str">
        <f t="shared" si="12"/>
        <v>CoverageL</v>
      </c>
      <c r="AP74" t="s">
        <v>2941</v>
      </c>
      <c r="AR74" t="str">
        <f t="shared" si="13"/>
        <v>CoverageL</v>
      </c>
      <c r="AS74" t="s">
        <v>2941</v>
      </c>
      <c r="AU74" t="str">
        <f t="shared" si="14"/>
        <v>CoverageL</v>
      </c>
      <c r="AV74" t="s">
        <v>2941</v>
      </c>
      <c r="AX74" t="str">
        <f t="shared" si="15"/>
        <v>CoverageL</v>
      </c>
      <c r="AY74" t="s">
        <v>2941</v>
      </c>
      <c r="BA74" t="str">
        <f t="shared" si="16"/>
        <v>CoverageL</v>
      </c>
      <c r="BB74" t="s">
        <v>2941</v>
      </c>
      <c r="BD74" t="str">
        <f t="shared" si="17"/>
        <v>CoverageL</v>
      </c>
      <c r="BE74" t="s">
        <v>2941</v>
      </c>
      <c r="BG74" t="str">
        <f t="shared" si="18"/>
        <v>CoverageL</v>
      </c>
      <c r="BH74" t="s">
        <v>2941</v>
      </c>
      <c r="BJ74" t="str">
        <f t="shared" si="19"/>
        <v>CoverageL</v>
      </c>
      <c r="BK74" t="s">
        <v>2941</v>
      </c>
    </row>
    <row r="75" spans="1:63">
      <c r="A75" s="131" t="s">
        <v>2621</v>
      </c>
      <c r="B75" s="131"/>
      <c r="C75" s="131"/>
      <c r="D75" s="131"/>
      <c r="E75">
        <f t="shared" si="0"/>
        <v>0</v>
      </c>
      <c r="H75">
        <f t="shared" si="1"/>
        <v>0</v>
      </c>
      <c r="K75">
        <f t="shared" si="2"/>
        <v>0</v>
      </c>
      <c r="N75">
        <f t="shared" si="3"/>
        <v>0</v>
      </c>
      <c r="Q75">
        <f t="shared" si="4"/>
        <v>0</v>
      </c>
      <c r="T75">
        <f t="shared" si="5"/>
        <v>0</v>
      </c>
      <c r="W75">
        <f t="shared" si="6"/>
        <v>0</v>
      </c>
      <c r="Z75">
        <f t="shared" si="7"/>
        <v>0</v>
      </c>
      <c r="AC75">
        <f t="shared" si="8"/>
        <v>0</v>
      </c>
      <c r="AF75">
        <f t="shared" si="9"/>
        <v>0</v>
      </c>
      <c r="AI75">
        <f t="shared" si="10"/>
        <v>0</v>
      </c>
      <c r="AL75">
        <f t="shared" si="11"/>
        <v>0</v>
      </c>
      <c r="AO75">
        <f t="shared" si="12"/>
        <v>0</v>
      </c>
      <c r="AR75">
        <f t="shared" si="13"/>
        <v>0</v>
      </c>
      <c r="AU75">
        <f t="shared" si="14"/>
        <v>0</v>
      </c>
      <c r="AX75">
        <f t="shared" si="15"/>
        <v>0</v>
      </c>
      <c r="BA75">
        <f t="shared" si="16"/>
        <v>0</v>
      </c>
      <c r="BD75">
        <f t="shared" si="17"/>
        <v>0</v>
      </c>
      <c r="BG75">
        <f t="shared" si="18"/>
        <v>0</v>
      </c>
      <c r="BJ75">
        <f t="shared" si="19"/>
        <v>0</v>
      </c>
    </row>
    <row r="76" spans="1:63" ht="45">
      <c r="A76" s="131" t="s">
        <v>2622</v>
      </c>
      <c r="B76" s="131"/>
      <c r="C76" s="131"/>
      <c r="D76" s="131" t="s">
        <v>2623</v>
      </c>
      <c r="E76">
        <f t="shared" si="0"/>
        <v>0</v>
      </c>
      <c r="H76">
        <f t="shared" si="1"/>
        <v>0</v>
      </c>
      <c r="K76">
        <f t="shared" si="2"/>
        <v>0</v>
      </c>
      <c r="N76">
        <f t="shared" si="3"/>
        <v>0</v>
      </c>
      <c r="Q76">
        <f t="shared" si="4"/>
        <v>0</v>
      </c>
      <c r="T76">
        <f t="shared" si="5"/>
        <v>0</v>
      </c>
      <c r="W76">
        <f t="shared" si="6"/>
        <v>0</v>
      </c>
      <c r="Z76">
        <f t="shared" si="7"/>
        <v>0</v>
      </c>
      <c r="AC76">
        <f t="shared" si="8"/>
        <v>0</v>
      </c>
      <c r="AF76">
        <f t="shared" si="9"/>
        <v>0</v>
      </c>
      <c r="AI76">
        <f t="shared" si="10"/>
        <v>0</v>
      </c>
      <c r="AL76">
        <f t="shared" si="11"/>
        <v>0</v>
      </c>
      <c r="AO76">
        <f t="shared" si="12"/>
        <v>0</v>
      </c>
      <c r="AR76">
        <f t="shared" si="13"/>
        <v>0</v>
      </c>
      <c r="AU76">
        <f t="shared" si="14"/>
        <v>0</v>
      </c>
      <c r="AX76">
        <f t="shared" si="15"/>
        <v>0</v>
      </c>
      <c r="BA76">
        <f t="shared" si="16"/>
        <v>0</v>
      </c>
      <c r="BD76">
        <f t="shared" si="17"/>
        <v>0</v>
      </c>
      <c r="BG76">
        <f t="shared" si="18"/>
        <v>0</v>
      </c>
      <c r="BJ76">
        <f t="shared" si="19"/>
        <v>0</v>
      </c>
    </row>
    <row r="77" spans="1:63">
      <c r="A77" s="131" t="s">
        <v>2619</v>
      </c>
      <c r="B77" s="131"/>
      <c r="C77" s="131" t="s">
        <v>2407</v>
      </c>
      <c r="D77" s="131" t="s">
        <v>2620</v>
      </c>
      <c r="E77" t="str">
        <f t="shared" si="0"/>
        <v>CoverageM</v>
      </c>
      <c r="F77" t="s">
        <v>2942</v>
      </c>
      <c r="H77" t="str">
        <f t="shared" si="1"/>
        <v>CoverageM</v>
      </c>
      <c r="I77" t="s">
        <v>2942</v>
      </c>
      <c r="K77" t="str">
        <f t="shared" si="2"/>
        <v>CoverageM</v>
      </c>
      <c r="L77" t="s">
        <v>2942</v>
      </c>
      <c r="N77" t="str">
        <f t="shared" si="3"/>
        <v>CoverageM</v>
      </c>
      <c r="O77" t="s">
        <v>2942</v>
      </c>
      <c r="Q77" t="str">
        <f t="shared" si="4"/>
        <v>CoverageM</v>
      </c>
      <c r="R77" t="s">
        <v>2942</v>
      </c>
      <c r="T77" t="str">
        <f t="shared" si="5"/>
        <v>CoverageM</v>
      </c>
      <c r="U77" t="s">
        <v>2942</v>
      </c>
      <c r="W77" t="str">
        <f t="shared" si="6"/>
        <v>CoverageM</v>
      </c>
      <c r="X77" t="s">
        <v>2942</v>
      </c>
      <c r="Z77" t="str">
        <f t="shared" si="7"/>
        <v>CoverageM</v>
      </c>
      <c r="AA77" t="s">
        <v>2942</v>
      </c>
      <c r="AC77" t="str">
        <f t="shared" si="8"/>
        <v>CoverageM</v>
      </c>
      <c r="AD77" t="s">
        <v>2942</v>
      </c>
      <c r="AF77" t="str">
        <f t="shared" si="9"/>
        <v>CoverageM</v>
      </c>
      <c r="AG77" t="s">
        <v>2942</v>
      </c>
      <c r="AI77" t="str">
        <f t="shared" si="10"/>
        <v>CoverageM</v>
      </c>
      <c r="AJ77" t="s">
        <v>2942</v>
      </c>
      <c r="AL77" t="str">
        <f t="shared" si="11"/>
        <v>CoverageM</v>
      </c>
      <c r="AM77" t="s">
        <v>2942</v>
      </c>
      <c r="AO77" t="str">
        <f t="shared" si="12"/>
        <v>CoverageM</v>
      </c>
      <c r="AP77" t="s">
        <v>2942</v>
      </c>
      <c r="AR77" t="str">
        <f t="shared" si="13"/>
        <v>CoverageM</v>
      </c>
      <c r="AS77" t="s">
        <v>2942</v>
      </c>
      <c r="AU77" t="str">
        <f t="shared" si="14"/>
        <v>CoverageM</v>
      </c>
      <c r="AV77" t="s">
        <v>2942</v>
      </c>
      <c r="AX77" t="str">
        <f t="shared" si="15"/>
        <v>CoverageM</v>
      </c>
      <c r="AY77" t="s">
        <v>2942</v>
      </c>
      <c r="BA77" t="str">
        <f t="shared" si="16"/>
        <v>CoverageM</v>
      </c>
      <c r="BB77" t="s">
        <v>2942</v>
      </c>
      <c r="BD77" t="str">
        <f t="shared" si="17"/>
        <v>CoverageM</v>
      </c>
      <c r="BE77" t="s">
        <v>2942</v>
      </c>
      <c r="BG77" t="str">
        <f t="shared" si="18"/>
        <v>CoverageM</v>
      </c>
      <c r="BH77" t="s">
        <v>2942</v>
      </c>
      <c r="BJ77" t="str">
        <f t="shared" si="19"/>
        <v>CoverageM</v>
      </c>
      <c r="BK77" t="s">
        <v>2942</v>
      </c>
    </row>
    <row r="78" spans="1:63">
      <c r="A78" s="131" t="s">
        <v>2621</v>
      </c>
      <c r="B78" s="131"/>
      <c r="C78" s="131"/>
      <c r="D78" s="131"/>
      <c r="E78">
        <f t="shared" si="0"/>
        <v>0</v>
      </c>
      <c r="H78">
        <f t="shared" si="1"/>
        <v>0</v>
      </c>
      <c r="K78">
        <f t="shared" si="2"/>
        <v>0</v>
      </c>
      <c r="N78">
        <f t="shared" si="3"/>
        <v>0</v>
      </c>
      <c r="Q78">
        <f t="shared" si="4"/>
        <v>0</v>
      </c>
      <c r="T78">
        <f t="shared" si="5"/>
        <v>0</v>
      </c>
      <c r="W78">
        <f t="shared" si="6"/>
        <v>0</v>
      </c>
      <c r="Z78">
        <f t="shared" si="7"/>
        <v>0</v>
      </c>
      <c r="AC78">
        <f t="shared" si="8"/>
        <v>0</v>
      </c>
      <c r="AF78">
        <f t="shared" si="9"/>
        <v>0</v>
      </c>
      <c r="AI78">
        <f t="shared" si="10"/>
        <v>0</v>
      </c>
      <c r="AL78">
        <f t="shared" si="11"/>
        <v>0</v>
      </c>
      <c r="AO78">
        <f t="shared" si="12"/>
        <v>0</v>
      </c>
      <c r="AR78">
        <f t="shared" si="13"/>
        <v>0</v>
      </c>
      <c r="AU78">
        <f t="shared" si="14"/>
        <v>0</v>
      </c>
      <c r="AX78">
        <f t="shared" si="15"/>
        <v>0</v>
      </c>
      <c r="BA78">
        <f t="shared" si="16"/>
        <v>0</v>
      </c>
      <c r="BD78">
        <f t="shared" si="17"/>
        <v>0</v>
      </c>
      <c r="BG78">
        <f t="shared" si="18"/>
        <v>0</v>
      </c>
      <c r="BJ78">
        <f t="shared" si="19"/>
        <v>0</v>
      </c>
    </row>
    <row r="79" spans="1:63" ht="45">
      <c r="A79" s="131" t="s">
        <v>2622</v>
      </c>
      <c r="B79" s="131"/>
      <c r="C79" s="131"/>
      <c r="D79" s="131" t="s">
        <v>2623</v>
      </c>
      <c r="E79">
        <f t="shared" si="0"/>
        <v>0</v>
      </c>
      <c r="H79">
        <f t="shared" si="1"/>
        <v>0</v>
      </c>
      <c r="K79">
        <f t="shared" si="2"/>
        <v>0</v>
      </c>
      <c r="N79">
        <f t="shared" si="3"/>
        <v>0</v>
      </c>
      <c r="Q79">
        <f t="shared" si="4"/>
        <v>0</v>
      </c>
      <c r="T79">
        <f t="shared" si="5"/>
        <v>0</v>
      </c>
      <c r="W79">
        <f t="shared" si="6"/>
        <v>0</v>
      </c>
      <c r="Z79">
        <f t="shared" si="7"/>
        <v>0</v>
      </c>
      <c r="AC79">
        <f t="shared" si="8"/>
        <v>0</v>
      </c>
      <c r="AF79">
        <f t="shared" si="9"/>
        <v>0</v>
      </c>
      <c r="AI79">
        <f t="shared" si="10"/>
        <v>0</v>
      </c>
      <c r="AL79">
        <f t="shared" si="11"/>
        <v>0</v>
      </c>
      <c r="AO79">
        <f t="shared" si="12"/>
        <v>0</v>
      </c>
      <c r="AR79">
        <f t="shared" si="13"/>
        <v>0</v>
      </c>
      <c r="AU79">
        <f t="shared" si="14"/>
        <v>0</v>
      </c>
      <c r="AX79">
        <f t="shared" si="15"/>
        <v>0</v>
      </c>
      <c r="BA79">
        <f t="shared" si="16"/>
        <v>0</v>
      </c>
      <c r="BD79">
        <f t="shared" si="17"/>
        <v>0</v>
      </c>
      <c r="BG79">
        <f t="shared" si="18"/>
        <v>0</v>
      </c>
      <c r="BJ79">
        <f t="shared" si="19"/>
        <v>0</v>
      </c>
    </row>
    <row r="80" spans="1:63">
      <c r="A80" s="131" t="s">
        <v>2619</v>
      </c>
      <c r="B80" s="131"/>
      <c r="C80" s="131" t="s">
        <v>2407</v>
      </c>
      <c r="D80" s="131" t="s">
        <v>2620</v>
      </c>
      <c r="E80" t="str">
        <f t="shared" si="0"/>
        <v>AllPerilsDeductible</v>
      </c>
      <c r="F80" t="s">
        <v>2943</v>
      </c>
      <c r="H80" t="str">
        <f t="shared" si="1"/>
        <v>AllPerilsDeductible</v>
      </c>
      <c r="I80" t="s">
        <v>2943</v>
      </c>
      <c r="K80" t="str">
        <f t="shared" si="2"/>
        <v>AllPerilsDeductible</v>
      </c>
      <c r="L80" t="s">
        <v>2943</v>
      </c>
      <c r="N80" t="str">
        <f t="shared" si="3"/>
        <v>AllPerilsDeductible</v>
      </c>
      <c r="O80" t="s">
        <v>2943</v>
      </c>
      <c r="Q80" t="str">
        <f t="shared" si="4"/>
        <v>AllPerilsDeductible</v>
      </c>
      <c r="R80" t="s">
        <v>2943</v>
      </c>
      <c r="T80" t="str">
        <f t="shared" si="5"/>
        <v>AllPerilsDeductible</v>
      </c>
      <c r="U80" t="s">
        <v>2943</v>
      </c>
      <c r="W80" t="str">
        <f t="shared" si="6"/>
        <v>AllPerilsDeductible</v>
      </c>
      <c r="X80" t="s">
        <v>2943</v>
      </c>
      <c r="Z80" t="str">
        <f t="shared" si="7"/>
        <v>AllPerilsDeductible</v>
      </c>
      <c r="AA80" t="s">
        <v>2943</v>
      </c>
      <c r="AC80" t="str">
        <f t="shared" si="8"/>
        <v>AllPerilsDeductible</v>
      </c>
      <c r="AD80" t="s">
        <v>2943</v>
      </c>
      <c r="AF80" t="str">
        <f t="shared" si="9"/>
        <v>AllPerilsDeductible</v>
      </c>
      <c r="AG80" t="s">
        <v>2943</v>
      </c>
      <c r="AI80" t="str">
        <f t="shared" si="10"/>
        <v>AllPerilsDeductible</v>
      </c>
      <c r="AJ80" t="s">
        <v>2943</v>
      </c>
      <c r="AL80" t="str">
        <f t="shared" si="11"/>
        <v>AllPerilsDeductible</v>
      </c>
      <c r="AM80" t="s">
        <v>2943</v>
      </c>
      <c r="AO80" t="str">
        <f t="shared" si="12"/>
        <v>AllPerilsDeductible</v>
      </c>
      <c r="AP80" t="s">
        <v>2943</v>
      </c>
      <c r="AR80" t="str">
        <f t="shared" si="13"/>
        <v>AllPerilsDeductible</v>
      </c>
      <c r="AS80" t="s">
        <v>2943</v>
      </c>
      <c r="AU80" t="str">
        <f t="shared" si="14"/>
        <v>AllPerilsDeductible</v>
      </c>
      <c r="AV80" t="s">
        <v>2943</v>
      </c>
      <c r="AX80" t="str">
        <f t="shared" si="15"/>
        <v>AllPerilsDeductible</v>
      </c>
      <c r="AY80" t="s">
        <v>2943</v>
      </c>
      <c r="BA80" t="str">
        <f t="shared" si="16"/>
        <v>AllPerilsDeductible</v>
      </c>
      <c r="BB80" t="s">
        <v>2943</v>
      </c>
      <c r="BD80" t="str">
        <f t="shared" si="17"/>
        <v>AllPerilsDeductible</v>
      </c>
      <c r="BE80" t="s">
        <v>2943</v>
      </c>
      <c r="BG80" t="str">
        <f t="shared" si="18"/>
        <v>AllPerilsDeductible</v>
      </c>
      <c r="BH80" t="s">
        <v>2943</v>
      </c>
      <c r="BJ80" t="str">
        <f t="shared" si="19"/>
        <v>AllPerilsDeductible</v>
      </c>
      <c r="BK80" t="s">
        <v>2943</v>
      </c>
    </row>
    <row r="81" spans="1:64">
      <c r="A81" s="131" t="s">
        <v>2621</v>
      </c>
      <c r="B81" s="131"/>
      <c r="C81" s="131"/>
      <c r="D81" s="131"/>
      <c r="E81">
        <f t="shared" si="0"/>
        <v>0</v>
      </c>
      <c r="H81">
        <f t="shared" si="1"/>
        <v>0</v>
      </c>
      <c r="K81">
        <f t="shared" si="2"/>
        <v>0</v>
      </c>
      <c r="N81">
        <f t="shared" si="3"/>
        <v>0</v>
      </c>
      <c r="Q81">
        <f t="shared" si="4"/>
        <v>0</v>
      </c>
      <c r="T81">
        <f t="shared" si="5"/>
        <v>0</v>
      </c>
      <c r="W81">
        <f t="shared" si="6"/>
        <v>0</v>
      </c>
      <c r="Z81">
        <f t="shared" si="7"/>
        <v>0</v>
      </c>
      <c r="AC81">
        <f t="shared" si="8"/>
        <v>0</v>
      </c>
      <c r="AF81">
        <f t="shared" si="9"/>
        <v>0</v>
      </c>
      <c r="AI81">
        <f t="shared" si="10"/>
        <v>0</v>
      </c>
      <c r="AL81">
        <f t="shared" si="11"/>
        <v>0</v>
      </c>
      <c r="AO81">
        <f t="shared" si="12"/>
        <v>0</v>
      </c>
      <c r="AR81">
        <f t="shared" si="13"/>
        <v>0</v>
      </c>
      <c r="AU81">
        <f t="shared" si="14"/>
        <v>0</v>
      </c>
      <c r="AX81">
        <f t="shared" si="15"/>
        <v>0</v>
      </c>
      <c r="BA81">
        <f t="shared" si="16"/>
        <v>0</v>
      </c>
      <c r="BD81">
        <f t="shared" si="17"/>
        <v>0</v>
      </c>
      <c r="BG81">
        <f t="shared" si="18"/>
        <v>0</v>
      </c>
      <c r="BJ81">
        <f t="shared" si="19"/>
        <v>0</v>
      </c>
    </row>
    <row r="82" spans="1:64" ht="45">
      <c r="A82" s="131" t="s">
        <v>2622</v>
      </c>
      <c r="B82" s="131"/>
      <c r="C82" s="131"/>
      <c r="D82" s="131" t="s">
        <v>2623</v>
      </c>
      <c r="E82">
        <f t="shared" si="0"/>
        <v>0</v>
      </c>
      <c r="H82">
        <f t="shared" si="1"/>
        <v>0</v>
      </c>
      <c r="K82">
        <f t="shared" si="2"/>
        <v>0</v>
      </c>
      <c r="N82">
        <f t="shared" si="3"/>
        <v>0</v>
      </c>
      <c r="Q82">
        <f t="shared" si="4"/>
        <v>0</v>
      </c>
      <c r="T82">
        <f t="shared" si="5"/>
        <v>0</v>
      </c>
      <c r="W82">
        <f t="shared" si="6"/>
        <v>0</v>
      </c>
      <c r="Z82">
        <f t="shared" si="7"/>
        <v>0</v>
      </c>
      <c r="AC82">
        <f t="shared" si="8"/>
        <v>0</v>
      </c>
      <c r="AF82">
        <f t="shared" si="9"/>
        <v>0</v>
      </c>
      <c r="AI82">
        <f t="shared" si="10"/>
        <v>0</v>
      </c>
      <c r="AL82">
        <f t="shared" si="11"/>
        <v>0</v>
      </c>
      <c r="AO82">
        <f t="shared" si="12"/>
        <v>0</v>
      </c>
      <c r="AR82">
        <f t="shared" si="13"/>
        <v>0</v>
      </c>
      <c r="AU82">
        <f t="shared" si="14"/>
        <v>0</v>
      </c>
      <c r="AX82">
        <f t="shared" si="15"/>
        <v>0</v>
      </c>
      <c r="BA82">
        <f t="shared" si="16"/>
        <v>0</v>
      </c>
      <c r="BD82">
        <f t="shared" si="17"/>
        <v>0</v>
      </c>
      <c r="BG82">
        <f t="shared" si="18"/>
        <v>0</v>
      </c>
      <c r="BJ82">
        <f t="shared" si="19"/>
        <v>0</v>
      </c>
    </row>
    <row r="83" spans="1:64">
      <c r="A83" s="131" t="s">
        <v>2619</v>
      </c>
      <c r="B83" s="131"/>
      <c r="C83" s="131" t="s">
        <v>2407</v>
      </c>
      <c r="D83" s="131" t="s">
        <v>2620</v>
      </c>
      <c r="E83" t="str">
        <f t="shared" si="0"/>
        <v>CoverageB</v>
      </c>
      <c r="F83" t="s">
        <v>2412</v>
      </c>
      <c r="H83" t="str">
        <f t="shared" si="1"/>
        <v>CoverageB</v>
      </c>
      <c r="I83" t="s">
        <v>2412</v>
      </c>
      <c r="K83" t="str">
        <f t="shared" si="2"/>
        <v>CoverageB</v>
      </c>
      <c r="L83" t="s">
        <v>2412</v>
      </c>
      <c r="N83" t="str">
        <f t="shared" si="3"/>
        <v>CoverageB</v>
      </c>
      <c r="O83" t="s">
        <v>2412</v>
      </c>
      <c r="Q83" t="str">
        <f t="shared" si="4"/>
        <v>CoverageB</v>
      </c>
      <c r="R83" t="s">
        <v>2412</v>
      </c>
      <c r="T83" t="str">
        <f t="shared" si="5"/>
        <v>CoverageB</v>
      </c>
      <c r="U83" t="s">
        <v>2412</v>
      </c>
      <c r="W83" t="str">
        <f t="shared" si="6"/>
        <v>CoverageB</v>
      </c>
      <c r="X83" t="s">
        <v>2412</v>
      </c>
      <c r="Z83" t="str">
        <f t="shared" si="7"/>
        <v>CoverageB</v>
      </c>
      <c r="AA83" t="s">
        <v>2412</v>
      </c>
      <c r="AC83" t="str">
        <f t="shared" si="8"/>
        <v>CoverageB</v>
      </c>
      <c r="AD83" t="s">
        <v>2412</v>
      </c>
      <c r="AF83" t="str">
        <f t="shared" si="9"/>
        <v>CoverageB</v>
      </c>
      <c r="AG83" t="s">
        <v>2412</v>
      </c>
      <c r="AI83" t="str">
        <f t="shared" si="10"/>
        <v>CoverageB</v>
      </c>
      <c r="AJ83" t="s">
        <v>2412</v>
      </c>
      <c r="AL83" t="str">
        <f t="shared" si="11"/>
        <v>CoverageB</v>
      </c>
      <c r="AM83" t="s">
        <v>2412</v>
      </c>
      <c r="AO83" t="str">
        <f t="shared" si="12"/>
        <v>CoverageB</v>
      </c>
      <c r="AP83" t="s">
        <v>2412</v>
      </c>
      <c r="AR83" t="str">
        <f t="shared" si="13"/>
        <v>CoverageB</v>
      </c>
      <c r="AS83" t="s">
        <v>2412</v>
      </c>
      <c r="AU83" t="str">
        <f t="shared" si="14"/>
        <v>CoverageB</v>
      </c>
      <c r="AV83" t="s">
        <v>2412</v>
      </c>
      <c r="AX83" t="str">
        <f t="shared" si="15"/>
        <v>CoverageB</v>
      </c>
      <c r="AY83" t="s">
        <v>2412</v>
      </c>
      <c r="BA83" t="str">
        <f t="shared" si="16"/>
        <v>CoverageB</v>
      </c>
      <c r="BB83" t="s">
        <v>2412</v>
      </c>
      <c r="BD83" t="str">
        <f t="shared" si="17"/>
        <v>CoverageB</v>
      </c>
      <c r="BE83" t="s">
        <v>2412</v>
      </c>
      <c r="BG83" t="str">
        <f t="shared" si="18"/>
        <v>CoverageB</v>
      </c>
      <c r="BH83" t="s">
        <v>2412</v>
      </c>
      <c r="BJ83" t="str">
        <f t="shared" si="19"/>
        <v>CoverageB</v>
      </c>
      <c r="BK83" t="s">
        <v>2412</v>
      </c>
    </row>
    <row r="84" spans="1:64">
      <c r="A84" s="131" t="s">
        <v>2621</v>
      </c>
      <c r="B84" s="131"/>
      <c r="C84" s="131"/>
      <c r="D84" s="131"/>
      <c r="E84">
        <f t="shared" si="0"/>
        <v>0</v>
      </c>
      <c r="H84">
        <f t="shared" si="1"/>
        <v>0</v>
      </c>
      <c r="K84">
        <f t="shared" si="2"/>
        <v>0</v>
      </c>
      <c r="N84">
        <f t="shared" si="3"/>
        <v>0</v>
      </c>
      <c r="Q84">
        <f t="shared" si="4"/>
        <v>0</v>
      </c>
      <c r="T84">
        <f t="shared" si="5"/>
        <v>0</v>
      </c>
      <c r="W84">
        <f t="shared" si="6"/>
        <v>0</v>
      </c>
      <c r="Z84">
        <f t="shared" si="7"/>
        <v>0</v>
      </c>
      <c r="AC84">
        <f t="shared" si="8"/>
        <v>0</v>
      </c>
      <c r="AF84">
        <f t="shared" si="9"/>
        <v>0</v>
      </c>
      <c r="AI84">
        <f t="shared" si="10"/>
        <v>0</v>
      </c>
      <c r="AL84">
        <f t="shared" si="11"/>
        <v>0</v>
      </c>
      <c r="AO84">
        <f t="shared" si="12"/>
        <v>0</v>
      </c>
      <c r="AR84">
        <f t="shared" si="13"/>
        <v>0</v>
      </c>
      <c r="AU84">
        <f t="shared" si="14"/>
        <v>0</v>
      </c>
      <c r="AX84">
        <f t="shared" si="15"/>
        <v>0</v>
      </c>
      <c r="BA84">
        <f t="shared" si="16"/>
        <v>0</v>
      </c>
      <c r="BD84">
        <f t="shared" si="17"/>
        <v>0</v>
      </c>
      <c r="BG84">
        <f t="shared" si="18"/>
        <v>0</v>
      </c>
      <c r="BJ84">
        <f t="shared" si="19"/>
        <v>0</v>
      </c>
    </row>
    <row r="85" spans="1:64" ht="45">
      <c r="A85" s="131" t="s">
        <v>2622</v>
      </c>
      <c r="B85" s="131"/>
      <c r="C85" s="131"/>
      <c r="D85" s="131" t="s">
        <v>2623</v>
      </c>
      <c r="E85">
        <f t="shared" si="0"/>
        <v>0</v>
      </c>
      <c r="H85">
        <f t="shared" si="1"/>
        <v>0</v>
      </c>
      <c r="K85">
        <f t="shared" si="2"/>
        <v>0</v>
      </c>
      <c r="N85">
        <f t="shared" si="3"/>
        <v>0</v>
      </c>
      <c r="Q85">
        <f t="shared" si="4"/>
        <v>0</v>
      </c>
      <c r="T85">
        <f t="shared" si="5"/>
        <v>0</v>
      </c>
      <c r="W85">
        <f t="shared" si="6"/>
        <v>0</v>
      </c>
      <c r="Z85">
        <f t="shared" si="7"/>
        <v>0</v>
      </c>
      <c r="AC85">
        <f t="shared" si="8"/>
        <v>0</v>
      </c>
      <c r="AF85">
        <f t="shared" si="9"/>
        <v>0</v>
      </c>
      <c r="AI85">
        <f t="shared" si="10"/>
        <v>0</v>
      </c>
      <c r="AL85">
        <f t="shared" si="11"/>
        <v>0</v>
      </c>
      <c r="AO85">
        <f t="shared" si="12"/>
        <v>0</v>
      </c>
      <c r="AR85">
        <f t="shared" si="13"/>
        <v>0</v>
      </c>
      <c r="AU85">
        <f t="shared" si="14"/>
        <v>0</v>
      </c>
      <c r="AX85">
        <f t="shared" si="15"/>
        <v>0</v>
      </c>
      <c r="BA85">
        <f t="shared" si="16"/>
        <v>0</v>
      </c>
      <c r="BD85">
        <f t="shared" si="17"/>
        <v>0</v>
      </c>
      <c r="BG85">
        <f t="shared" si="18"/>
        <v>0</v>
      </c>
      <c r="BJ85">
        <f t="shared" si="19"/>
        <v>0</v>
      </c>
    </row>
    <row r="86" spans="1:64">
      <c r="A86" s="131" t="s">
        <v>2619</v>
      </c>
      <c r="B86" s="131"/>
      <c r="C86" s="131" t="s">
        <v>2407</v>
      </c>
      <c r="D86" s="131" t="s">
        <v>2620</v>
      </c>
      <c r="E86" t="str">
        <f t="shared" si="0"/>
        <v>CoverageC</v>
      </c>
      <c r="F86" t="s">
        <v>2413</v>
      </c>
      <c r="H86" t="str">
        <f t="shared" si="1"/>
        <v>CoverageC</v>
      </c>
      <c r="I86" t="s">
        <v>2413</v>
      </c>
      <c r="K86" t="str">
        <f t="shared" si="2"/>
        <v>CoverageC</v>
      </c>
      <c r="L86" t="s">
        <v>2413</v>
      </c>
      <c r="N86" t="str">
        <f t="shared" si="3"/>
        <v>CoverageC</v>
      </c>
      <c r="O86" t="s">
        <v>2413</v>
      </c>
      <c r="Q86" t="str">
        <f t="shared" si="4"/>
        <v>CoverageC</v>
      </c>
      <c r="R86" t="s">
        <v>2413</v>
      </c>
      <c r="T86" t="str">
        <f t="shared" si="5"/>
        <v>CoverageC</v>
      </c>
      <c r="U86" t="s">
        <v>2413</v>
      </c>
      <c r="W86" t="str">
        <f t="shared" si="6"/>
        <v>CoverageC</v>
      </c>
      <c r="X86" t="s">
        <v>2413</v>
      </c>
      <c r="Z86" t="str">
        <f t="shared" si="7"/>
        <v>CoverageC</v>
      </c>
      <c r="AA86" t="s">
        <v>2413</v>
      </c>
      <c r="AC86" t="str">
        <f t="shared" si="8"/>
        <v>CoverageC</v>
      </c>
      <c r="AD86" t="s">
        <v>2413</v>
      </c>
      <c r="AF86" t="str">
        <f t="shared" si="9"/>
        <v>CoverageC</v>
      </c>
      <c r="AG86" t="s">
        <v>2413</v>
      </c>
      <c r="AI86" t="str">
        <f t="shared" si="10"/>
        <v>CoverageC</v>
      </c>
      <c r="AJ86" t="s">
        <v>2413</v>
      </c>
      <c r="AL86" t="str">
        <f t="shared" si="11"/>
        <v>CoverageC</v>
      </c>
      <c r="AM86" t="s">
        <v>2413</v>
      </c>
      <c r="AO86" t="str">
        <f t="shared" si="12"/>
        <v>CoverageC</v>
      </c>
      <c r="AP86" t="s">
        <v>2413</v>
      </c>
      <c r="AR86" t="str">
        <f t="shared" si="13"/>
        <v>CoverageC</v>
      </c>
      <c r="AS86" t="s">
        <v>2413</v>
      </c>
      <c r="AU86" t="str">
        <f t="shared" si="14"/>
        <v>CoverageC</v>
      </c>
      <c r="AV86" t="s">
        <v>2413</v>
      </c>
      <c r="AX86" t="str">
        <f t="shared" si="15"/>
        <v>CoverageC</v>
      </c>
      <c r="AY86" t="s">
        <v>2413</v>
      </c>
      <c r="BA86" t="str">
        <f t="shared" si="16"/>
        <v>CoverageC</v>
      </c>
      <c r="BB86" t="s">
        <v>2413</v>
      </c>
      <c r="BD86" t="str">
        <f t="shared" si="17"/>
        <v>CoverageC</v>
      </c>
      <c r="BE86" t="s">
        <v>2413</v>
      </c>
      <c r="BG86" t="str">
        <f t="shared" si="18"/>
        <v>CoverageC</v>
      </c>
      <c r="BH86" t="s">
        <v>2413</v>
      </c>
      <c r="BJ86" t="str">
        <f t="shared" si="19"/>
        <v>CoverageC</v>
      </c>
      <c r="BK86" t="s">
        <v>2413</v>
      </c>
    </row>
    <row r="87" spans="1:64">
      <c r="A87" s="131" t="s">
        <v>2621</v>
      </c>
      <c r="B87" s="131"/>
      <c r="C87" s="131"/>
      <c r="D87" s="131"/>
      <c r="E87">
        <f t="shared" si="0"/>
        <v>0</v>
      </c>
      <c r="H87">
        <f t="shared" si="1"/>
        <v>0</v>
      </c>
      <c r="K87">
        <f t="shared" si="2"/>
        <v>0</v>
      </c>
      <c r="N87">
        <f t="shared" si="3"/>
        <v>0</v>
      </c>
      <c r="Q87">
        <f t="shared" si="4"/>
        <v>0</v>
      </c>
      <c r="T87">
        <f t="shared" si="5"/>
        <v>0</v>
      </c>
      <c r="W87">
        <f t="shared" si="6"/>
        <v>0</v>
      </c>
      <c r="Z87">
        <f t="shared" si="7"/>
        <v>0</v>
      </c>
      <c r="AC87">
        <f t="shared" si="8"/>
        <v>0</v>
      </c>
      <c r="AF87">
        <f t="shared" si="9"/>
        <v>0</v>
      </c>
      <c r="AI87">
        <f t="shared" si="10"/>
        <v>0</v>
      </c>
      <c r="AL87">
        <f t="shared" si="11"/>
        <v>0</v>
      </c>
      <c r="AO87">
        <f t="shared" si="12"/>
        <v>0</v>
      </c>
      <c r="AR87">
        <f t="shared" si="13"/>
        <v>0</v>
      </c>
      <c r="AU87">
        <f t="shared" si="14"/>
        <v>0</v>
      </c>
      <c r="AX87">
        <f t="shared" si="15"/>
        <v>0</v>
      </c>
      <c r="BA87">
        <f t="shared" si="16"/>
        <v>0</v>
      </c>
      <c r="BD87">
        <f t="shared" si="17"/>
        <v>0</v>
      </c>
      <c r="BG87">
        <f t="shared" si="18"/>
        <v>0</v>
      </c>
      <c r="BJ87">
        <f t="shared" si="19"/>
        <v>0</v>
      </c>
    </row>
    <row r="88" spans="1:64" ht="45">
      <c r="A88" s="131" t="s">
        <v>2622</v>
      </c>
      <c r="B88" s="131"/>
      <c r="C88" s="131"/>
      <c r="D88" s="131" t="s">
        <v>2623</v>
      </c>
      <c r="E88">
        <f t="shared" si="0"/>
        <v>0</v>
      </c>
      <c r="H88">
        <f t="shared" si="1"/>
        <v>0</v>
      </c>
      <c r="K88">
        <f t="shared" si="2"/>
        <v>0</v>
      </c>
      <c r="N88">
        <f t="shared" si="3"/>
        <v>0</v>
      </c>
      <c r="Q88">
        <f t="shared" si="4"/>
        <v>0</v>
      </c>
      <c r="T88">
        <f t="shared" si="5"/>
        <v>0</v>
      </c>
      <c r="W88">
        <f t="shared" si="6"/>
        <v>0</v>
      </c>
      <c r="Z88">
        <f t="shared" si="7"/>
        <v>0</v>
      </c>
      <c r="AC88">
        <f t="shared" si="8"/>
        <v>0</v>
      </c>
      <c r="AF88">
        <f t="shared" si="9"/>
        <v>0</v>
      </c>
      <c r="AI88">
        <f t="shared" si="10"/>
        <v>0</v>
      </c>
      <c r="AL88">
        <f t="shared" si="11"/>
        <v>0</v>
      </c>
      <c r="AO88">
        <f t="shared" si="12"/>
        <v>0</v>
      </c>
      <c r="AR88">
        <f t="shared" si="13"/>
        <v>0</v>
      </c>
      <c r="AU88">
        <f t="shared" si="14"/>
        <v>0</v>
      </c>
      <c r="AX88">
        <f t="shared" si="15"/>
        <v>0</v>
      </c>
      <c r="BA88">
        <f t="shared" si="16"/>
        <v>0</v>
      </c>
      <c r="BD88">
        <f t="shared" si="17"/>
        <v>0</v>
      </c>
      <c r="BG88">
        <f t="shared" si="18"/>
        <v>0</v>
      </c>
      <c r="BJ88">
        <f t="shared" si="19"/>
        <v>0</v>
      </c>
    </row>
    <row r="89" spans="1:64">
      <c r="A89" s="131" t="s">
        <v>2619</v>
      </c>
      <c r="B89" s="131"/>
      <c r="C89" s="131" t="s">
        <v>2407</v>
      </c>
      <c r="D89" s="131" t="s">
        <v>2620</v>
      </c>
      <c r="E89" t="str">
        <f t="shared" si="0"/>
        <v>CoverageD</v>
      </c>
      <c r="F89" t="s">
        <v>2415</v>
      </c>
      <c r="H89" t="str">
        <f t="shared" si="1"/>
        <v>CoverageD</v>
      </c>
      <c r="I89" t="s">
        <v>2415</v>
      </c>
      <c r="K89" t="str">
        <f t="shared" si="2"/>
        <v>CoverageD</v>
      </c>
      <c r="L89" t="s">
        <v>2415</v>
      </c>
      <c r="N89" t="str">
        <f t="shared" si="3"/>
        <v>CoverageD</v>
      </c>
      <c r="O89" t="s">
        <v>2415</v>
      </c>
      <c r="Q89" t="str">
        <f t="shared" si="4"/>
        <v>CoverageD</v>
      </c>
      <c r="R89" t="s">
        <v>2415</v>
      </c>
      <c r="T89" t="str">
        <f t="shared" si="5"/>
        <v>CoverageD</v>
      </c>
      <c r="U89" t="s">
        <v>2415</v>
      </c>
      <c r="W89" t="str">
        <f t="shared" si="6"/>
        <v>CoverageD</v>
      </c>
      <c r="X89" t="s">
        <v>2415</v>
      </c>
      <c r="Z89" t="str">
        <f t="shared" si="7"/>
        <v>CoverageD</v>
      </c>
      <c r="AA89" t="s">
        <v>2415</v>
      </c>
      <c r="AC89" t="str">
        <f t="shared" si="8"/>
        <v>CoverageD</v>
      </c>
      <c r="AD89" t="s">
        <v>2415</v>
      </c>
      <c r="AF89" t="str">
        <f t="shared" si="9"/>
        <v>CoverageD</v>
      </c>
      <c r="AG89" t="s">
        <v>2415</v>
      </c>
      <c r="AI89" t="str">
        <f t="shared" si="10"/>
        <v>CoverageD</v>
      </c>
      <c r="AJ89" t="s">
        <v>2415</v>
      </c>
      <c r="AL89" t="str">
        <f t="shared" si="11"/>
        <v>CoverageD</v>
      </c>
      <c r="AM89" t="s">
        <v>2415</v>
      </c>
      <c r="AO89" t="str">
        <f t="shared" si="12"/>
        <v>CoverageD</v>
      </c>
      <c r="AP89" t="s">
        <v>2415</v>
      </c>
      <c r="AR89" t="str">
        <f t="shared" si="13"/>
        <v>CoverageD</v>
      </c>
      <c r="AS89" t="s">
        <v>2415</v>
      </c>
      <c r="AU89" t="str">
        <f t="shared" si="14"/>
        <v>CoverageD</v>
      </c>
      <c r="AV89" t="s">
        <v>2415</v>
      </c>
      <c r="AX89" t="str">
        <f t="shared" si="15"/>
        <v>CoverageD</v>
      </c>
      <c r="AY89" t="s">
        <v>2415</v>
      </c>
      <c r="BA89" t="str">
        <f t="shared" si="16"/>
        <v>CoverageD</v>
      </c>
      <c r="BB89" t="s">
        <v>2415</v>
      </c>
      <c r="BD89" t="str">
        <f t="shared" si="17"/>
        <v>CoverageD</v>
      </c>
      <c r="BE89" t="s">
        <v>2415</v>
      </c>
      <c r="BG89" t="str">
        <f t="shared" si="18"/>
        <v>CoverageD</v>
      </c>
      <c r="BH89" t="s">
        <v>2415</v>
      </c>
      <c r="BJ89" t="str">
        <f t="shared" si="19"/>
        <v>CoverageD</v>
      </c>
      <c r="BK89" t="s">
        <v>2415</v>
      </c>
    </row>
    <row r="90" spans="1:64">
      <c r="A90" s="131" t="s">
        <v>2621</v>
      </c>
      <c r="B90" s="131"/>
      <c r="C90" s="131"/>
      <c r="D90" s="131"/>
      <c r="E90">
        <f t="shared" si="0"/>
        <v>0</v>
      </c>
      <c r="H90">
        <f t="shared" si="1"/>
        <v>0</v>
      </c>
      <c r="K90">
        <f t="shared" si="2"/>
        <v>0</v>
      </c>
      <c r="N90">
        <f t="shared" si="3"/>
        <v>0</v>
      </c>
      <c r="Q90">
        <f t="shared" si="4"/>
        <v>0</v>
      </c>
      <c r="T90">
        <f t="shared" si="5"/>
        <v>0</v>
      </c>
      <c r="W90">
        <f t="shared" si="6"/>
        <v>0</v>
      </c>
      <c r="Z90">
        <f t="shared" si="7"/>
        <v>0</v>
      </c>
      <c r="AC90">
        <f t="shared" si="8"/>
        <v>0</v>
      </c>
      <c r="AF90">
        <f t="shared" si="9"/>
        <v>0</v>
      </c>
      <c r="AI90">
        <f t="shared" si="10"/>
        <v>0</v>
      </c>
      <c r="AL90">
        <f t="shared" si="11"/>
        <v>0</v>
      </c>
      <c r="AO90">
        <f t="shared" si="12"/>
        <v>0</v>
      </c>
      <c r="AR90">
        <f t="shared" si="13"/>
        <v>0</v>
      </c>
      <c r="AU90">
        <f t="shared" si="14"/>
        <v>0</v>
      </c>
      <c r="AX90">
        <f t="shared" si="15"/>
        <v>0</v>
      </c>
      <c r="BA90">
        <f t="shared" si="16"/>
        <v>0</v>
      </c>
      <c r="BD90">
        <f t="shared" si="17"/>
        <v>0</v>
      </c>
      <c r="BG90">
        <f t="shared" si="18"/>
        <v>0</v>
      </c>
      <c r="BJ90">
        <f t="shared" si="19"/>
        <v>0</v>
      </c>
    </row>
    <row r="91" spans="1:64" ht="45">
      <c r="A91" s="131" t="s">
        <v>2622</v>
      </c>
      <c r="B91" s="131"/>
      <c r="C91" s="131"/>
      <c r="D91" s="131" t="s">
        <v>2623</v>
      </c>
      <c r="E91">
        <f t="shared" si="0"/>
        <v>0</v>
      </c>
      <c r="H91">
        <f t="shared" si="1"/>
        <v>0</v>
      </c>
      <c r="K91">
        <f t="shared" si="2"/>
        <v>0</v>
      </c>
      <c r="N91">
        <f t="shared" si="3"/>
        <v>0</v>
      </c>
      <c r="Q91">
        <f t="shared" si="4"/>
        <v>0</v>
      </c>
      <c r="T91">
        <f t="shared" si="5"/>
        <v>0</v>
      </c>
      <c r="W91">
        <f t="shared" si="6"/>
        <v>0</v>
      </c>
      <c r="Z91">
        <f t="shared" si="7"/>
        <v>0</v>
      </c>
      <c r="AC91">
        <f t="shared" si="8"/>
        <v>0</v>
      </c>
      <c r="AF91">
        <f t="shared" si="9"/>
        <v>0</v>
      </c>
      <c r="AI91">
        <f t="shared" si="10"/>
        <v>0</v>
      </c>
      <c r="AL91">
        <f t="shared" si="11"/>
        <v>0</v>
      </c>
      <c r="AO91">
        <f t="shared" si="12"/>
        <v>0</v>
      </c>
      <c r="AR91">
        <f t="shared" si="13"/>
        <v>0</v>
      </c>
      <c r="AU91">
        <f t="shared" si="14"/>
        <v>0</v>
      </c>
      <c r="AX91">
        <f t="shared" si="15"/>
        <v>0</v>
      </c>
      <c r="BA91">
        <f t="shared" si="16"/>
        <v>0</v>
      </c>
      <c r="BD91">
        <f t="shared" si="17"/>
        <v>0</v>
      </c>
      <c r="BG91">
        <f t="shared" si="18"/>
        <v>0</v>
      </c>
      <c r="BJ91">
        <f t="shared" si="19"/>
        <v>0</v>
      </c>
    </row>
    <row r="92" spans="1:64" ht="30">
      <c r="A92" s="131" t="s">
        <v>2624</v>
      </c>
      <c r="B92" s="131"/>
      <c r="C92" s="131" t="s">
        <v>2625</v>
      </c>
      <c r="D92" s="131" t="s">
        <v>2553</v>
      </c>
      <c r="E92">
        <f t="shared" si="0"/>
        <v>2473</v>
      </c>
      <c r="F92">
        <v>2473</v>
      </c>
      <c r="H92">
        <f t="shared" si="1"/>
        <v>2473</v>
      </c>
      <c r="I92">
        <v>2473</v>
      </c>
      <c r="K92">
        <f t="shared" si="2"/>
        <v>4262</v>
      </c>
      <c r="L92">
        <v>4262</v>
      </c>
      <c r="N92">
        <f t="shared" si="3"/>
        <v>2473</v>
      </c>
      <c r="O92">
        <v>2473</v>
      </c>
      <c r="Q92">
        <f t="shared" si="4"/>
        <v>4262</v>
      </c>
      <c r="R92">
        <v>4262</v>
      </c>
      <c r="T92">
        <f t="shared" si="5"/>
        <v>2473</v>
      </c>
      <c r="U92">
        <v>2473</v>
      </c>
      <c r="W92">
        <f t="shared" si="6"/>
        <v>2473</v>
      </c>
      <c r="X92">
        <v>2473</v>
      </c>
      <c r="Z92">
        <f t="shared" si="7"/>
        <v>4262</v>
      </c>
      <c r="AA92">
        <v>4262</v>
      </c>
      <c r="AC92">
        <f t="shared" si="8"/>
        <v>2473</v>
      </c>
      <c r="AD92">
        <v>2473</v>
      </c>
      <c r="AF92">
        <f t="shared" si="9"/>
        <v>4262</v>
      </c>
      <c r="AG92">
        <v>4262</v>
      </c>
      <c r="AI92">
        <f t="shared" si="10"/>
        <v>2473</v>
      </c>
      <c r="AJ92">
        <v>2473</v>
      </c>
      <c r="AL92">
        <f t="shared" si="11"/>
        <v>2473</v>
      </c>
      <c r="AM92">
        <v>2473</v>
      </c>
      <c r="AO92">
        <f t="shared" si="12"/>
        <v>4262</v>
      </c>
      <c r="AP92">
        <v>4262</v>
      </c>
      <c r="AR92">
        <f t="shared" si="13"/>
        <v>2473</v>
      </c>
      <c r="AS92">
        <v>2473</v>
      </c>
      <c r="AU92">
        <f t="shared" si="14"/>
        <v>4262</v>
      </c>
      <c r="AV92">
        <v>4262</v>
      </c>
      <c r="AX92">
        <f t="shared" si="15"/>
        <v>4262</v>
      </c>
      <c r="AY92">
        <v>4262</v>
      </c>
      <c r="BA92">
        <f t="shared" si="16"/>
        <v>2473</v>
      </c>
      <c r="BB92">
        <v>2473</v>
      </c>
      <c r="BD92">
        <f t="shared" si="17"/>
        <v>4262</v>
      </c>
      <c r="BE92">
        <v>4262</v>
      </c>
      <c r="BG92">
        <f t="shared" si="18"/>
        <v>2473</v>
      </c>
      <c r="BH92">
        <v>2473</v>
      </c>
      <c r="BJ92">
        <f t="shared" si="19"/>
        <v>4262</v>
      </c>
      <c r="BK92">
        <v>4262</v>
      </c>
    </row>
    <row r="93" spans="1:64" ht="30">
      <c r="A93" s="131" t="s">
        <v>2626</v>
      </c>
      <c r="B93" s="131"/>
      <c r="C93" s="131"/>
      <c r="D93" s="131" t="s">
        <v>2627</v>
      </c>
      <c r="E93">
        <f t="shared" si="0"/>
        <v>2477.8000000000002</v>
      </c>
      <c r="F93">
        <v>2477.8000000000002</v>
      </c>
      <c r="H93">
        <f t="shared" si="1"/>
        <v>2477.8000000000002</v>
      </c>
      <c r="I93">
        <v>2477.8000000000002</v>
      </c>
      <c r="K93">
        <f t="shared" si="2"/>
        <v>4276.3999999999996</v>
      </c>
      <c r="L93">
        <v>4276.3999999999996</v>
      </c>
      <c r="N93">
        <f t="shared" si="3"/>
        <v>2477.8000000000002</v>
      </c>
      <c r="O93">
        <v>2477.8000000000002</v>
      </c>
      <c r="Q93">
        <f t="shared" si="4"/>
        <v>4276.3999999999996</v>
      </c>
      <c r="R93">
        <v>4276.3999999999996</v>
      </c>
      <c r="T93">
        <f t="shared" si="5"/>
        <v>2477.8000000000002</v>
      </c>
      <c r="U93">
        <v>2477.8000000000002</v>
      </c>
      <c r="W93">
        <f t="shared" si="6"/>
        <v>2477.8000000000002</v>
      </c>
      <c r="X93">
        <v>2477.8000000000002</v>
      </c>
      <c r="Z93">
        <f t="shared" si="7"/>
        <v>4276.3999999999996</v>
      </c>
      <c r="AA93">
        <v>4276.3999999999996</v>
      </c>
      <c r="AC93">
        <f t="shared" si="8"/>
        <v>2477.8000000000002</v>
      </c>
      <c r="AD93">
        <v>2477.8000000000002</v>
      </c>
      <c r="AF93">
        <f t="shared" si="9"/>
        <v>4276.3999999999996</v>
      </c>
      <c r="AG93">
        <v>4276.3999999999996</v>
      </c>
      <c r="AI93">
        <f t="shared" si="10"/>
        <v>2477.8000000000002</v>
      </c>
      <c r="AJ93">
        <v>2477.8000000000002</v>
      </c>
      <c r="AL93">
        <f t="shared" si="11"/>
        <v>2477.8000000000002</v>
      </c>
      <c r="AM93">
        <v>2477.8000000000002</v>
      </c>
      <c r="AO93">
        <f t="shared" si="12"/>
        <v>4276.3999999999996</v>
      </c>
      <c r="AP93">
        <v>4276.3999999999996</v>
      </c>
      <c r="AR93">
        <f t="shared" si="13"/>
        <v>2477.8000000000002</v>
      </c>
      <c r="AS93">
        <v>2477.8000000000002</v>
      </c>
      <c r="AU93">
        <f t="shared" si="14"/>
        <v>4276.3999999999996</v>
      </c>
      <c r="AV93">
        <v>4276.3999999999996</v>
      </c>
      <c r="AX93">
        <f t="shared" si="15"/>
        <v>4276.3999999999996</v>
      </c>
      <c r="AY93">
        <v>4276.3999999999996</v>
      </c>
      <c r="BA93">
        <f t="shared" si="16"/>
        <v>2477.8000000000002</v>
      </c>
      <c r="BB93">
        <v>2477.8000000000002</v>
      </c>
      <c r="BD93">
        <f t="shared" si="17"/>
        <v>4276.3999999999996</v>
      </c>
      <c r="BE93">
        <v>4276.3999999999996</v>
      </c>
      <c r="BG93">
        <f t="shared" si="18"/>
        <v>2477.8000000000002</v>
      </c>
      <c r="BH93">
        <v>2477.8000000000002</v>
      </c>
      <c r="BJ93">
        <f t="shared" si="19"/>
        <v>4276.3999999999996</v>
      </c>
      <c r="BK93">
        <v>4276.3999999999996</v>
      </c>
    </row>
    <row r="94" spans="1:64" ht="30">
      <c r="A94" s="131" t="s">
        <v>2626</v>
      </c>
      <c r="B94" s="131"/>
      <c r="C94" s="131"/>
      <c r="D94" s="131" t="s">
        <v>2628</v>
      </c>
      <c r="E94">
        <f t="shared" si="0"/>
        <v>2477.8000000000002</v>
      </c>
      <c r="F94">
        <v>2477.8000000000002</v>
      </c>
      <c r="G94" t="b">
        <f>E94=F94</f>
        <v>1</v>
      </c>
      <c r="H94">
        <f t="shared" si="1"/>
        <v>2477.8000000000002</v>
      </c>
      <c r="I94">
        <v>2477.8000000000002</v>
      </c>
      <c r="J94" t="b">
        <f>H94=I94</f>
        <v>1</v>
      </c>
      <c r="K94">
        <f t="shared" si="2"/>
        <v>4276.3999999999996</v>
      </c>
      <c r="L94">
        <v>4276.3999999999996</v>
      </c>
      <c r="M94" t="b">
        <f>K94=L94</f>
        <v>1</v>
      </c>
      <c r="N94">
        <f t="shared" si="3"/>
        <v>2477.8000000000002</v>
      </c>
      <c r="O94">
        <v>2477.8000000000002</v>
      </c>
      <c r="P94" t="b">
        <f>N94=O94</f>
        <v>1</v>
      </c>
      <c r="Q94">
        <f t="shared" si="4"/>
        <v>4276.3999999999996</v>
      </c>
      <c r="R94">
        <v>4276.3999999999996</v>
      </c>
      <c r="S94" t="b">
        <f>Q94=R94</f>
        <v>1</v>
      </c>
      <c r="T94">
        <f t="shared" si="5"/>
        <v>2477.8000000000002</v>
      </c>
      <c r="U94">
        <v>2477.8000000000002</v>
      </c>
      <c r="V94" t="b">
        <f>T94=U94</f>
        <v>1</v>
      </c>
      <c r="W94">
        <f t="shared" si="6"/>
        <v>2477.8000000000002</v>
      </c>
      <c r="X94">
        <v>2477.8000000000002</v>
      </c>
      <c r="Y94" t="b">
        <f>W94=X94</f>
        <v>1</v>
      </c>
      <c r="Z94">
        <f t="shared" si="7"/>
        <v>4276.3999999999996</v>
      </c>
      <c r="AA94">
        <v>4276.3999999999996</v>
      </c>
      <c r="AB94" t="b">
        <f>Z94=AA94</f>
        <v>1</v>
      </c>
      <c r="AC94">
        <f t="shared" si="8"/>
        <v>2477.8000000000002</v>
      </c>
      <c r="AD94">
        <v>2477.8000000000002</v>
      </c>
      <c r="AE94" t="b">
        <f>AC94=AD94</f>
        <v>1</v>
      </c>
      <c r="AF94">
        <f t="shared" si="9"/>
        <v>4276.3999999999996</v>
      </c>
      <c r="AG94">
        <v>4276.3999999999996</v>
      </c>
      <c r="AH94" t="b">
        <f>AF94=AG94</f>
        <v>1</v>
      </c>
      <c r="AI94">
        <f t="shared" si="10"/>
        <v>2477.8000000000002</v>
      </c>
      <c r="AJ94">
        <v>2477.8000000000002</v>
      </c>
      <c r="AK94" t="b">
        <f>AI94=AJ94</f>
        <v>1</v>
      </c>
      <c r="AL94">
        <f t="shared" si="11"/>
        <v>2477.8000000000002</v>
      </c>
      <c r="AM94">
        <v>2477.8000000000002</v>
      </c>
      <c r="AN94" t="b">
        <f>AL94=AM94</f>
        <v>1</v>
      </c>
      <c r="AO94">
        <f t="shared" si="12"/>
        <v>4276.3999999999996</v>
      </c>
      <c r="AP94">
        <v>4276.3999999999996</v>
      </c>
      <c r="AQ94" t="b">
        <f>AO94=AP94</f>
        <v>1</v>
      </c>
      <c r="AR94">
        <f t="shared" si="13"/>
        <v>2477.8000000000002</v>
      </c>
      <c r="AS94">
        <v>2477.8000000000002</v>
      </c>
      <c r="AT94" t="b">
        <f>AR94=AS94</f>
        <v>1</v>
      </c>
      <c r="AU94">
        <f t="shared" si="14"/>
        <v>4276.3999999999996</v>
      </c>
      <c r="AV94">
        <v>4276.3999999999996</v>
      </c>
      <c r="AW94" t="b">
        <f>AU94=AV94</f>
        <v>1</v>
      </c>
      <c r="AX94">
        <f t="shared" si="15"/>
        <v>4276.3999999999996</v>
      </c>
      <c r="AY94">
        <v>4276.3999999999996</v>
      </c>
      <c r="AZ94" t="b">
        <f>AX94=AY94</f>
        <v>1</v>
      </c>
      <c r="BA94">
        <f t="shared" si="16"/>
        <v>2477.8000000000002</v>
      </c>
      <c r="BB94">
        <v>2477.8000000000002</v>
      </c>
      <c r="BC94" t="b">
        <f>BA94=BB94</f>
        <v>1</v>
      </c>
      <c r="BD94">
        <f t="shared" si="17"/>
        <v>4276.3999999999996</v>
      </c>
      <c r="BE94">
        <v>4276.3999999999996</v>
      </c>
      <c r="BF94" t="b">
        <f>BD94=BE94</f>
        <v>1</v>
      </c>
      <c r="BG94">
        <f t="shared" si="18"/>
        <v>2477.8000000000002</v>
      </c>
      <c r="BH94">
        <v>2477.8000000000002</v>
      </c>
      <c r="BI94" t="b">
        <f>BG94=BH94</f>
        <v>1</v>
      </c>
      <c r="BJ94">
        <f t="shared" si="19"/>
        <v>4276.3999999999996</v>
      </c>
      <c r="BK94">
        <v>4276.3999999999996</v>
      </c>
      <c r="BL94" t="b">
        <f>BJ94=BK94</f>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85634-979F-4848-87B5-1118D8910050}">
  <sheetPr codeName="Sheet1"/>
  <dimension ref="A1:G94"/>
  <sheetViews>
    <sheetView topLeftCell="A57" workbookViewId="0">
      <selection activeCell="E67" sqref="E67"/>
    </sheetView>
  </sheetViews>
  <sheetFormatPr defaultColWidth="8.85546875" defaultRowHeight="15"/>
  <cols>
    <col min="1" max="1" width="25.7109375" style="1" customWidth="1"/>
    <col min="2" max="3" width="18.85546875" style="1" customWidth="1"/>
    <col min="4" max="4" width="26.5703125" style="1" customWidth="1"/>
    <col min="5" max="5" width="15.5703125" bestFit="1" customWidth="1"/>
    <col min="6" max="6" width="9.140625"/>
    <col min="7" max="7" width="15.5703125" bestFit="1" customWidth="1"/>
    <col min="8" max="16384" width="8.85546875" style="1"/>
  </cols>
  <sheetData>
    <row r="1" spans="1:7" customFormat="1">
      <c r="A1" s="1" t="s">
        <v>2492</v>
      </c>
      <c r="B1" s="1" t="s">
        <v>2493</v>
      </c>
      <c r="C1" s="1" t="s">
        <v>2494</v>
      </c>
      <c r="D1" s="1" t="s">
        <v>2495</v>
      </c>
      <c r="E1" s="1" t="s">
        <v>2916</v>
      </c>
      <c r="F1" t="s">
        <v>3501</v>
      </c>
      <c r="G1" s="1" t="s">
        <v>2496</v>
      </c>
    </row>
    <row r="2" spans="1:7" ht="30">
      <c r="A2" s="1" t="s">
        <v>2919</v>
      </c>
      <c r="D2" s="1" t="s">
        <v>2497</v>
      </c>
    </row>
    <row r="3" spans="1:7">
      <c r="A3" s="1" t="s">
        <v>2498</v>
      </c>
      <c r="C3" s="1" t="s">
        <v>2499</v>
      </c>
      <c r="D3" s="1" t="s">
        <v>2500</v>
      </c>
      <c r="F3" t="s">
        <v>2920</v>
      </c>
    </row>
    <row r="4" spans="1:7" ht="30">
      <c r="A4" s="1" t="s">
        <v>2921</v>
      </c>
      <c r="B4" s="1" t="s">
        <v>2501</v>
      </c>
      <c r="D4" s="1" t="s">
        <v>2502</v>
      </c>
    </row>
    <row r="5" spans="1:7" ht="30">
      <c r="D5" s="1" t="s">
        <v>2503</v>
      </c>
    </row>
    <row r="6" spans="1:7" ht="30">
      <c r="A6" s="1" t="s">
        <v>2504</v>
      </c>
      <c r="D6" s="1" t="s">
        <v>2505</v>
      </c>
      <c r="F6" t="s">
        <v>2922</v>
      </c>
    </row>
    <row r="7" spans="1:7">
      <c r="A7" s="1" t="s">
        <v>2506</v>
      </c>
      <c r="D7" s="1" t="s">
        <v>2507</v>
      </c>
      <c r="F7" t="s">
        <v>2418</v>
      </c>
    </row>
    <row r="8" spans="1:7" ht="45">
      <c r="A8" s="1" t="s">
        <v>2508</v>
      </c>
      <c r="C8" s="1" t="s">
        <v>2509</v>
      </c>
      <c r="D8" s="1" t="s">
        <v>2510</v>
      </c>
      <c r="E8" t="str" cm="1">
        <f t="array" ref="E8">GetRatetable('Input Data'!A1,'Input Data'!A2,'Input Data'!B15)</f>
        <v>435</v>
      </c>
      <c r="F8">
        <v>435</v>
      </c>
    </row>
    <row r="9" spans="1:7" ht="30">
      <c r="A9" s="1" t="s">
        <v>2923</v>
      </c>
      <c r="D9" s="1" t="s">
        <v>2511</v>
      </c>
    </row>
    <row r="10" spans="1:7" ht="30">
      <c r="A10" s="1" t="s">
        <v>2512</v>
      </c>
      <c r="C10" s="1" t="s">
        <v>2513</v>
      </c>
      <c r="D10" s="1" t="s">
        <v>2514</v>
      </c>
      <c r="F10">
        <v>2000000</v>
      </c>
    </row>
    <row r="11" spans="1:7">
      <c r="A11" s="1" t="s">
        <v>2924</v>
      </c>
    </row>
    <row r="12" spans="1:7" ht="30">
      <c r="A12" s="1" t="s">
        <v>2515</v>
      </c>
      <c r="C12" s="1" t="s">
        <v>2516</v>
      </c>
    </row>
    <row r="13" spans="1:7">
      <c r="A13" s="1" t="s">
        <v>2925</v>
      </c>
    </row>
    <row r="14" spans="1:7" ht="45">
      <c r="A14" s="1" t="s">
        <v>2409</v>
      </c>
      <c r="C14" s="1" t="s">
        <v>2409</v>
      </c>
      <c r="D14" s="1" t="s">
        <v>2517</v>
      </c>
      <c r="E14" cm="1">
        <f t="array" ref="E14">GetRatetable('Input Data'!A1,'Input Data'!A3,'Input Data'!B16,'Input Data'!A12,'Input Data'!B23)</f>
        <v>0.1</v>
      </c>
      <c r="F14">
        <v>0.1</v>
      </c>
    </row>
    <row r="15" spans="1:7" ht="30">
      <c r="A15" s="1" t="s">
        <v>2518</v>
      </c>
      <c r="C15" s="1" t="s">
        <v>2519</v>
      </c>
      <c r="D15" s="1" t="s">
        <v>2409</v>
      </c>
      <c r="F15">
        <v>0.1</v>
      </c>
    </row>
    <row r="16" spans="1:7" customFormat="1" ht="30">
      <c r="A16" s="1" t="s">
        <v>2520</v>
      </c>
      <c r="B16" s="1"/>
      <c r="C16" s="1" t="s">
        <v>2521</v>
      </c>
      <c r="D16" s="1" t="s">
        <v>2522</v>
      </c>
      <c r="F16">
        <v>200000</v>
      </c>
    </row>
    <row r="17" spans="1:6" customFormat="1">
      <c r="A17" s="1" t="s">
        <v>2926</v>
      </c>
      <c r="B17" s="1"/>
      <c r="C17" s="1"/>
      <c r="D17" s="1"/>
    </row>
    <row r="18" spans="1:6" customFormat="1" ht="45">
      <c r="A18" s="1" t="s">
        <v>2409</v>
      </c>
      <c r="B18" s="1"/>
      <c r="C18" s="1" t="s">
        <v>2409</v>
      </c>
      <c r="D18" s="1" t="s">
        <v>2523</v>
      </c>
      <c r="E18" cm="1">
        <f t="array" ref="E18">GetRatetable('Input Data'!A1,'Input Data'!A3,'Input Data'!B16,'Input Data'!A13,'Input Data'!B23)</f>
        <v>0.7</v>
      </c>
      <c r="F18">
        <v>0.5</v>
      </c>
    </row>
    <row r="19" spans="1:6" customFormat="1" ht="30">
      <c r="A19" s="1" t="s">
        <v>2518</v>
      </c>
      <c r="B19" s="1"/>
      <c r="C19" s="1" t="s">
        <v>2524</v>
      </c>
      <c r="D19" s="1" t="s">
        <v>2409</v>
      </c>
      <c r="F19">
        <v>0.5</v>
      </c>
    </row>
    <row r="20" spans="1:6" customFormat="1" ht="30">
      <c r="A20" s="1" t="s">
        <v>2520</v>
      </c>
      <c r="B20" s="1"/>
      <c r="C20" s="1" t="s">
        <v>2525</v>
      </c>
      <c r="D20" s="1" t="s">
        <v>2522</v>
      </c>
      <c r="F20">
        <v>1000000</v>
      </c>
    </row>
    <row r="21" spans="1:6" customFormat="1">
      <c r="A21" s="1" t="s">
        <v>2927</v>
      </c>
      <c r="B21" s="1"/>
      <c r="C21" s="1"/>
      <c r="D21" s="1"/>
    </row>
    <row r="22" spans="1:6" customFormat="1" ht="60">
      <c r="A22" s="1" t="s">
        <v>2409</v>
      </c>
      <c r="B22" s="1"/>
      <c r="C22" s="1" t="s">
        <v>2409</v>
      </c>
      <c r="D22" s="1" t="s">
        <v>2526</v>
      </c>
      <c r="E22" cm="1">
        <f t="array" ref="E22">GetRatetable('Input Data'!A1,'Input Data'!A3,'Input Data'!B16,'Input Data'!A14,'Input Data'!B23)</f>
        <v>0.3</v>
      </c>
      <c r="F22">
        <v>0.2</v>
      </c>
    </row>
    <row r="23" spans="1:6" customFormat="1" ht="30">
      <c r="A23" s="1" t="s">
        <v>2518</v>
      </c>
      <c r="B23" s="1"/>
      <c r="C23" s="1" t="s">
        <v>2527</v>
      </c>
      <c r="D23" s="1" t="s">
        <v>2409</v>
      </c>
      <c r="F23">
        <v>0.2</v>
      </c>
    </row>
    <row r="24" spans="1:6" customFormat="1" ht="30">
      <c r="A24" s="1" t="s">
        <v>2520</v>
      </c>
      <c r="B24" s="1"/>
      <c r="C24" s="1" t="s">
        <v>2528</v>
      </c>
      <c r="D24" s="1" t="s">
        <v>2522</v>
      </c>
      <c r="F24">
        <v>400000</v>
      </c>
    </row>
    <row r="25" spans="1:6" customFormat="1" ht="45">
      <c r="A25" s="1" t="s">
        <v>2928</v>
      </c>
      <c r="B25" s="1"/>
      <c r="C25" s="1"/>
      <c r="D25" s="1"/>
    </row>
    <row r="26" spans="1:6" customFormat="1" ht="45">
      <c r="A26" s="1" t="s">
        <v>2529</v>
      </c>
      <c r="B26" s="1"/>
      <c r="C26" s="1" t="s">
        <v>2530</v>
      </c>
      <c r="D26" s="1" t="s">
        <v>2531</v>
      </c>
      <c r="F26">
        <v>0</v>
      </c>
    </row>
    <row r="27" spans="1:6" customFormat="1" ht="45">
      <c r="A27" s="1" t="s">
        <v>2532</v>
      </c>
      <c r="B27" s="1"/>
      <c r="C27" s="1" t="s">
        <v>2533</v>
      </c>
      <c r="D27" s="1" t="s">
        <v>2534</v>
      </c>
      <c r="F27">
        <v>0</v>
      </c>
    </row>
    <row r="28" spans="1:6" customFormat="1" ht="45">
      <c r="A28" s="1" t="s">
        <v>2535</v>
      </c>
      <c r="B28" s="1"/>
      <c r="C28" s="1" t="s">
        <v>2536</v>
      </c>
      <c r="D28" s="1" t="s">
        <v>2537</v>
      </c>
      <c r="F28">
        <v>0</v>
      </c>
    </row>
    <row r="29" spans="1:6" ht="45">
      <c r="A29" s="1" t="s">
        <v>2538</v>
      </c>
      <c r="C29" s="1" t="s">
        <v>2539</v>
      </c>
      <c r="D29" s="1" t="s">
        <v>2540</v>
      </c>
      <c r="F29">
        <v>0</v>
      </c>
    </row>
    <row r="30" spans="1:6" ht="30">
      <c r="A30" s="1" t="s">
        <v>2541</v>
      </c>
      <c r="C30" s="1" t="s">
        <v>2542</v>
      </c>
      <c r="D30" s="1" t="s">
        <v>2543</v>
      </c>
      <c r="F30">
        <v>0</v>
      </c>
    </row>
    <row r="31" spans="1:6" ht="30">
      <c r="A31" s="1" t="s">
        <v>2929</v>
      </c>
      <c r="D31" s="1" t="s">
        <v>2544</v>
      </c>
    </row>
    <row r="32" spans="1:6">
      <c r="A32" s="1" t="s">
        <v>2545</v>
      </c>
    </row>
    <row r="33" spans="1:6">
      <c r="A33" s="1" t="s">
        <v>2930</v>
      </c>
    </row>
    <row r="34" spans="1:6" ht="45">
      <c r="A34" s="1" t="s">
        <v>2546</v>
      </c>
      <c r="C34" s="1" t="s">
        <v>2547</v>
      </c>
      <c r="D34" s="1" t="s">
        <v>2548</v>
      </c>
      <c r="E34" t="str" cm="1">
        <f t="array" ref="E34">GetRatetable('Input Data'!A1,'Input Data'!A4,'Input Data'!B16,'Rate Table'!E8)</f>
        <v>196.19</v>
      </c>
      <c r="F34">
        <v>196.19</v>
      </c>
    </row>
    <row r="35" spans="1:6" ht="30">
      <c r="A35" s="1" t="s">
        <v>2549</v>
      </c>
      <c r="C35" s="1" t="s">
        <v>2550</v>
      </c>
      <c r="D35" s="1" t="s">
        <v>2551</v>
      </c>
      <c r="E35" t="str" cm="1">
        <f t="array" ref="E35">GetRatetable('Input Data'!A1,'Input Data'!A5,'Input Data'!B16)</f>
        <v>1.2</v>
      </c>
      <c r="F35">
        <v>1.17</v>
      </c>
    </row>
    <row r="36" spans="1:6" ht="30">
      <c r="A36" s="1" t="s">
        <v>2552</v>
      </c>
      <c r="C36" s="1" t="s">
        <v>2553</v>
      </c>
      <c r="D36" s="1" t="s">
        <v>2554</v>
      </c>
      <c r="E36">
        <f>E35*E34</f>
        <v>235.428</v>
      </c>
      <c r="F36">
        <v>230</v>
      </c>
    </row>
    <row r="37" spans="1:6">
      <c r="A37" s="1" t="s">
        <v>2931</v>
      </c>
    </row>
    <row r="38" spans="1:6" ht="30">
      <c r="A38" s="1" t="s">
        <v>2555</v>
      </c>
      <c r="C38" s="1" t="s">
        <v>2556</v>
      </c>
      <c r="D38" s="1" t="s">
        <v>2557</v>
      </c>
      <c r="F38" t="s">
        <v>2558</v>
      </c>
    </row>
    <row r="39" spans="1:6" ht="60">
      <c r="A39" s="1" t="s">
        <v>2559</v>
      </c>
      <c r="C39" s="1" t="s">
        <v>2560</v>
      </c>
      <c r="D39" s="1" t="s">
        <v>2561</v>
      </c>
      <c r="F39" t="b">
        <v>0</v>
      </c>
    </row>
    <row r="40" spans="1:6" ht="45">
      <c r="A40" s="1" t="s">
        <v>2562</v>
      </c>
      <c r="C40" s="1" t="s">
        <v>2563</v>
      </c>
      <c r="D40" s="1" t="s">
        <v>2564</v>
      </c>
      <c r="E40" t="str" cm="1">
        <f t="array" ref="E40">GetRatetable('Input Data'!A1,'Input Data'!A6,'Input Data'!B24,0)</f>
        <v>PP</v>
      </c>
      <c r="F40" t="s">
        <v>2565</v>
      </c>
    </row>
    <row r="41" spans="1:6" ht="45">
      <c r="A41" s="1" t="s">
        <v>2566</v>
      </c>
      <c r="C41" s="1" t="s">
        <v>2567</v>
      </c>
      <c r="D41" s="1" t="s">
        <v>2568</v>
      </c>
      <c r="E41" t="str" cm="1">
        <f t="array" ref="E41">GetRatetable('Input Data'!A1,'Input Data'!A7,'Input Data'!B20,'Input Data'!B21,E40)</f>
        <v>1.5141</v>
      </c>
      <c r="F41">
        <v>1.5141</v>
      </c>
    </row>
    <row r="42" spans="1:6">
      <c r="A42" s="1" t="s">
        <v>2569</v>
      </c>
      <c r="C42" s="1" t="s">
        <v>2553</v>
      </c>
      <c r="D42" s="1" t="s">
        <v>2570</v>
      </c>
      <c r="F42">
        <v>348</v>
      </c>
    </row>
    <row r="43" spans="1:6">
      <c r="A43" s="1" t="s">
        <v>2932</v>
      </c>
    </row>
    <row r="44" spans="1:6" ht="75">
      <c r="A44" s="1" t="s">
        <v>2571</v>
      </c>
      <c r="C44" s="1" t="s">
        <v>2572</v>
      </c>
      <c r="D44" s="1" t="s">
        <v>2573</v>
      </c>
      <c r="E44" cm="1">
        <f t="array" ref="E44">GetRatetable('Input Data'!A1,'Input Data'!A8,'Input Data'!A11,F10)</f>
        <v>0</v>
      </c>
      <c r="F44">
        <v>12.247999999999999</v>
      </c>
    </row>
    <row r="45" spans="1:6">
      <c r="A45" s="1" t="s">
        <v>2574</v>
      </c>
      <c r="C45" s="1" t="s">
        <v>2553</v>
      </c>
      <c r="D45" s="1" t="s">
        <v>2575</v>
      </c>
      <c r="E45">
        <f>E36*E44</f>
        <v>0</v>
      </c>
      <c r="F45">
        <v>4262</v>
      </c>
    </row>
    <row r="46" spans="1:6" ht="30">
      <c r="A46" s="1" t="s">
        <v>2933</v>
      </c>
      <c r="D46" s="1" t="s">
        <v>2576</v>
      </c>
    </row>
    <row r="47" spans="1:6" ht="30">
      <c r="A47" s="1" t="s">
        <v>2577</v>
      </c>
      <c r="C47" s="1" t="s">
        <v>2578</v>
      </c>
      <c r="D47" s="1" t="s">
        <v>2579</v>
      </c>
      <c r="F47" t="b">
        <v>0</v>
      </c>
    </row>
    <row r="48" spans="1:6" ht="75">
      <c r="A48" s="1" t="s">
        <v>2580</v>
      </c>
      <c r="C48" s="1" t="s">
        <v>2581</v>
      </c>
      <c r="D48" s="1" t="s">
        <v>2582</v>
      </c>
      <c r="F48" t="b">
        <v>0</v>
      </c>
    </row>
    <row r="49" spans="1:6" ht="60">
      <c r="A49" s="1" t="s">
        <v>2583</v>
      </c>
      <c r="B49" s="1" t="s">
        <v>2584</v>
      </c>
      <c r="C49" s="1" t="s">
        <v>2553</v>
      </c>
      <c r="D49" s="1" t="s">
        <v>2585</v>
      </c>
      <c r="E49">
        <f>F49</f>
        <v>4262</v>
      </c>
      <c r="F49">
        <v>4262</v>
      </c>
    </row>
    <row r="50" spans="1:6" ht="30">
      <c r="A50" s="1" t="s">
        <v>2586</v>
      </c>
      <c r="C50" s="1" t="s">
        <v>2587</v>
      </c>
      <c r="D50" s="1" t="s">
        <v>2553</v>
      </c>
      <c r="E50">
        <f t="shared" ref="E50:E94" si="0">F50</f>
        <v>4262</v>
      </c>
      <c r="F50">
        <v>4262</v>
      </c>
    </row>
    <row r="51" spans="1:6" ht="45">
      <c r="A51" s="1" t="s">
        <v>2934</v>
      </c>
      <c r="D51" s="1" t="s">
        <v>2588</v>
      </c>
      <c r="E51">
        <f t="shared" si="0"/>
        <v>0</v>
      </c>
    </row>
    <row r="52" spans="1:6">
      <c r="A52" s="1" t="s">
        <v>2935</v>
      </c>
      <c r="E52">
        <f t="shared" si="0"/>
        <v>0</v>
      </c>
    </row>
    <row r="53" spans="1:6">
      <c r="A53" s="1" t="s">
        <v>2589</v>
      </c>
      <c r="C53" s="1" t="s">
        <v>2590</v>
      </c>
      <c r="D53" s="1" t="s">
        <v>2553</v>
      </c>
      <c r="E53">
        <f t="shared" si="0"/>
        <v>4262</v>
      </c>
      <c r="F53">
        <v>4262</v>
      </c>
    </row>
    <row r="54" spans="1:6" ht="30">
      <c r="A54" s="1" t="s">
        <v>2591</v>
      </c>
      <c r="D54" s="1" t="s">
        <v>2592</v>
      </c>
      <c r="E54" t="str">
        <f t="shared" si="0"/>
        <v>Warning</v>
      </c>
      <c r="F54" t="s">
        <v>2922</v>
      </c>
    </row>
    <row r="55" spans="1:6">
      <c r="A55" s="1" t="s">
        <v>2593</v>
      </c>
      <c r="E55">
        <f t="shared" si="0"/>
        <v>0</v>
      </c>
    </row>
    <row r="56" spans="1:6" ht="45">
      <c r="A56" s="1" t="s">
        <v>2936</v>
      </c>
      <c r="D56" s="1" t="s">
        <v>2594</v>
      </c>
      <c r="E56">
        <f t="shared" si="0"/>
        <v>0</v>
      </c>
    </row>
    <row r="57" spans="1:6">
      <c r="D57" s="1" t="s">
        <v>2595</v>
      </c>
      <c r="E57">
        <f t="shared" si="0"/>
        <v>1000</v>
      </c>
      <c r="F57">
        <v>1000</v>
      </c>
    </row>
    <row r="58" spans="1:6" ht="30">
      <c r="A58" s="1" t="s">
        <v>2596</v>
      </c>
      <c r="C58" s="1" t="s">
        <v>2597</v>
      </c>
      <c r="D58" s="1" t="s">
        <v>2598</v>
      </c>
      <c r="E58">
        <f t="shared" si="0"/>
        <v>1</v>
      </c>
      <c r="F58">
        <v>1</v>
      </c>
    </row>
    <row r="59" spans="1:6" ht="45">
      <c r="A59" s="1" t="s">
        <v>2937</v>
      </c>
      <c r="E59">
        <f t="shared" si="0"/>
        <v>0</v>
      </c>
    </row>
    <row r="60" spans="1:6" ht="30">
      <c r="A60" s="1" t="s">
        <v>2599</v>
      </c>
      <c r="C60" s="1" t="s">
        <v>2600</v>
      </c>
      <c r="D60" s="1" t="s">
        <v>2601</v>
      </c>
      <c r="E60">
        <f t="shared" si="0"/>
        <v>0</v>
      </c>
      <c r="F60">
        <v>0</v>
      </c>
    </row>
    <row r="61" spans="1:6" ht="30">
      <c r="A61" s="1" t="s">
        <v>2602</v>
      </c>
      <c r="C61" s="1" t="s">
        <v>2603</v>
      </c>
      <c r="D61" s="1" t="s">
        <v>2604</v>
      </c>
      <c r="E61">
        <f t="shared" si="0"/>
        <v>0</v>
      </c>
      <c r="F61">
        <v>0</v>
      </c>
    </row>
    <row r="62" spans="1:6" ht="30">
      <c r="A62" s="1" t="s">
        <v>2938</v>
      </c>
      <c r="E62">
        <f t="shared" si="0"/>
        <v>0</v>
      </c>
    </row>
    <row r="63" spans="1:6" ht="60">
      <c r="A63" s="1" t="s">
        <v>2605</v>
      </c>
      <c r="C63" s="1" t="s">
        <v>2600</v>
      </c>
      <c r="D63" s="1" t="s">
        <v>2606</v>
      </c>
      <c r="E63">
        <f t="shared" si="0"/>
        <v>0</v>
      </c>
      <c r="F63">
        <v>0</v>
      </c>
    </row>
    <row r="64" spans="1:6" ht="75">
      <c r="A64" s="1" t="s">
        <v>2607</v>
      </c>
      <c r="C64" s="1" t="s">
        <v>2603</v>
      </c>
      <c r="D64" s="1" t="s">
        <v>2608</v>
      </c>
      <c r="E64">
        <f t="shared" si="0"/>
        <v>0</v>
      </c>
      <c r="F64">
        <v>0</v>
      </c>
    </row>
    <row r="65" spans="1:6" ht="30">
      <c r="A65" s="1" t="s">
        <v>2939</v>
      </c>
      <c r="B65" s="1" t="s">
        <v>2609</v>
      </c>
      <c r="E65">
        <f t="shared" si="0"/>
        <v>0</v>
      </c>
    </row>
    <row r="66" spans="1:6" ht="30">
      <c r="A66" s="1" t="s">
        <v>2610</v>
      </c>
      <c r="C66" s="1" t="s">
        <v>2611</v>
      </c>
      <c r="D66" s="1" t="s">
        <v>2612</v>
      </c>
      <c r="E66">
        <f t="shared" si="0"/>
        <v>3</v>
      </c>
      <c r="F66">
        <v>3</v>
      </c>
    </row>
    <row r="67" spans="1:6" ht="90">
      <c r="A67" s="1" t="s">
        <v>2605</v>
      </c>
      <c r="C67" s="1" t="s">
        <v>2600</v>
      </c>
      <c r="D67" s="1" t="s">
        <v>2613</v>
      </c>
      <c r="E67">
        <f t="shared" si="0"/>
        <v>10.8</v>
      </c>
      <c r="F67">
        <v>10.8</v>
      </c>
    </row>
    <row r="68" spans="1:6" ht="75">
      <c r="A68" s="1" t="s">
        <v>2614</v>
      </c>
      <c r="C68" s="1" t="s">
        <v>2603</v>
      </c>
      <c r="D68" s="1" t="s">
        <v>2615</v>
      </c>
      <c r="E68">
        <f t="shared" si="0"/>
        <v>3.6</v>
      </c>
      <c r="F68">
        <v>3.6</v>
      </c>
    </row>
    <row r="69" spans="1:6" ht="45">
      <c r="A69" s="1" t="s">
        <v>2616</v>
      </c>
      <c r="D69" s="1" t="s">
        <v>2617</v>
      </c>
      <c r="E69">
        <f t="shared" si="0"/>
        <v>0</v>
      </c>
    </row>
    <row r="70" spans="1:6" ht="45">
      <c r="A70" s="1" t="s">
        <v>2940</v>
      </c>
      <c r="D70" s="1" t="s">
        <v>2618</v>
      </c>
      <c r="E70">
        <f t="shared" si="0"/>
        <v>0</v>
      </c>
    </row>
    <row r="71" spans="1:6">
      <c r="A71" s="1" t="s">
        <v>2619</v>
      </c>
      <c r="C71" s="1" t="s">
        <v>2407</v>
      </c>
      <c r="D71" s="1" t="s">
        <v>2620</v>
      </c>
      <c r="E71" t="str">
        <f t="shared" si="0"/>
        <v>CoverageA</v>
      </c>
      <c r="F71" t="s">
        <v>2411</v>
      </c>
    </row>
    <row r="72" spans="1:6">
      <c r="A72" s="1" t="s">
        <v>2621</v>
      </c>
      <c r="E72">
        <f t="shared" si="0"/>
        <v>0</v>
      </c>
    </row>
    <row r="73" spans="1:6" ht="45">
      <c r="A73" s="1" t="s">
        <v>2622</v>
      </c>
      <c r="D73" s="1" t="s">
        <v>2623</v>
      </c>
      <c r="E73">
        <f t="shared" si="0"/>
        <v>0</v>
      </c>
    </row>
    <row r="74" spans="1:6">
      <c r="A74" s="1" t="s">
        <v>2619</v>
      </c>
      <c r="C74" s="1" t="s">
        <v>2407</v>
      </c>
      <c r="D74" s="1" t="s">
        <v>2620</v>
      </c>
      <c r="E74" t="str">
        <f t="shared" si="0"/>
        <v>CoverageL</v>
      </c>
      <c r="F74" t="s">
        <v>2941</v>
      </c>
    </row>
    <row r="75" spans="1:6">
      <c r="A75" s="1" t="s">
        <v>2621</v>
      </c>
      <c r="E75">
        <f t="shared" si="0"/>
        <v>0</v>
      </c>
    </row>
    <row r="76" spans="1:6" ht="45">
      <c r="A76" s="1" t="s">
        <v>2622</v>
      </c>
      <c r="D76" s="1" t="s">
        <v>2623</v>
      </c>
      <c r="E76">
        <f t="shared" si="0"/>
        <v>0</v>
      </c>
    </row>
    <row r="77" spans="1:6">
      <c r="A77" s="1" t="s">
        <v>2619</v>
      </c>
      <c r="C77" s="1" t="s">
        <v>2407</v>
      </c>
      <c r="D77" s="1" t="s">
        <v>2620</v>
      </c>
      <c r="E77" t="str">
        <f t="shared" si="0"/>
        <v>CoverageM</v>
      </c>
      <c r="F77" t="s">
        <v>2942</v>
      </c>
    </row>
    <row r="78" spans="1:6">
      <c r="A78" s="1" t="s">
        <v>2621</v>
      </c>
      <c r="E78">
        <f t="shared" si="0"/>
        <v>0</v>
      </c>
    </row>
    <row r="79" spans="1:6" ht="45">
      <c r="A79" s="1" t="s">
        <v>2622</v>
      </c>
      <c r="D79" s="1" t="s">
        <v>2623</v>
      </c>
      <c r="E79">
        <f t="shared" si="0"/>
        <v>0</v>
      </c>
    </row>
    <row r="80" spans="1:6">
      <c r="A80" s="1" t="s">
        <v>2619</v>
      </c>
      <c r="C80" s="1" t="s">
        <v>2407</v>
      </c>
      <c r="D80" s="1" t="s">
        <v>2620</v>
      </c>
      <c r="E80" t="str">
        <f t="shared" si="0"/>
        <v>AllPerilsDeductible</v>
      </c>
      <c r="F80" t="s">
        <v>2943</v>
      </c>
    </row>
    <row r="81" spans="1:7">
      <c r="A81" s="1" t="s">
        <v>2621</v>
      </c>
      <c r="E81">
        <f t="shared" si="0"/>
        <v>0</v>
      </c>
    </row>
    <row r="82" spans="1:7" ht="45">
      <c r="A82" s="1" t="s">
        <v>2622</v>
      </c>
      <c r="D82" s="1" t="s">
        <v>2623</v>
      </c>
      <c r="E82">
        <f t="shared" si="0"/>
        <v>0</v>
      </c>
    </row>
    <row r="83" spans="1:7">
      <c r="A83" s="1" t="s">
        <v>2619</v>
      </c>
      <c r="C83" s="1" t="s">
        <v>2407</v>
      </c>
      <c r="D83" s="1" t="s">
        <v>2620</v>
      </c>
      <c r="E83" t="str">
        <f t="shared" si="0"/>
        <v>CoverageB</v>
      </c>
      <c r="F83" t="s">
        <v>2412</v>
      </c>
    </row>
    <row r="84" spans="1:7">
      <c r="A84" s="1" t="s">
        <v>2621</v>
      </c>
      <c r="E84">
        <f t="shared" si="0"/>
        <v>0</v>
      </c>
    </row>
    <row r="85" spans="1:7" ht="45">
      <c r="A85" s="1" t="s">
        <v>2622</v>
      </c>
      <c r="D85" s="1" t="s">
        <v>2623</v>
      </c>
      <c r="E85">
        <f t="shared" si="0"/>
        <v>0</v>
      </c>
    </row>
    <row r="86" spans="1:7">
      <c r="A86" s="1" t="s">
        <v>2619</v>
      </c>
      <c r="C86" s="1" t="s">
        <v>2407</v>
      </c>
      <c r="D86" s="1" t="s">
        <v>2620</v>
      </c>
      <c r="E86" t="str">
        <f t="shared" si="0"/>
        <v>CoverageC</v>
      </c>
      <c r="F86" t="s">
        <v>2413</v>
      </c>
    </row>
    <row r="87" spans="1:7">
      <c r="A87" s="1" t="s">
        <v>2621</v>
      </c>
      <c r="E87">
        <f t="shared" si="0"/>
        <v>0</v>
      </c>
    </row>
    <row r="88" spans="1:7" ht="45">
      <c r="A88" s="1" t="s">
        <v>2622</v>
      </c>
      <c r="D88" s="1" t="s">
        <v>2623</v>
      </c>
      <c r="E88">
        <f t="shared" si="0"/>
        <v>0</v>
      </c>
    </row>
    <row r="89" spans="1:7">
      <c r="A89" s="1" t="s">
        <v>2619</v>
      </c>
      <c r="C89" s="1" t="s">
        <v>2407</v>
      </c>
      <c r="D89" s="1" t="s">
        <v>2620</v>
      </c>
      <c r="E89" t="str">
        <f t="shared" si="0"/>
        <v>CoverageD</v>
      </c>
      <c r="F89" t="s">
        <v>2415</v>
      </c>
    </row>
    <row r="90" spans="1:7">
      <c r="A90" s="1" t="s">
        <v>2621</v>
      </c>
      <c r="E90">
        <f t="shared" si="0"/>
        <v>0</v>
      </c>
    </row>
    <row r="91" spans="1:7" ht="45">
      <c r="A91" s="1" t="s">
        <v>2622</v>
      </c>
      <c r="D91" s="1" t="s">
        <v>2623</v>
      </c>
      <c r="E91">
        <f t="shared" si="0"/>
        <v>0</v>
      </c>
    </row>
    <row r="92" spans="1:7" ht="30">
      <c r="A92" s="1" t="s">
        <v>2624</v>
      </c>
      <c r="C92" s="1" t="s">
        <v>2625</v>
      </c>
      <c r="D92" s="1" t="s">
        <v>2553</v>
      </c>
      <c r="E92">
        <f t="shared" si="0"/>
        <v>4262</v>
      </c>
      <c r="F92">
        <v>4262</v>
      </c>
    </row>
    <row r="93" spans="1:7">
      <c r="A93" s="1" t="s">
        <v>2626</v>
      </c>
      <c r="D93" s="1" t="s">
        <v>2627</v>
      </c>
      <c r="E93">
        <f t="shared" si="0"/>
        <v>4276.3999999999996</v>
      </c>
      <c r="F93">
        <v>4276.3999999999996</v>
      </c>
    </row>
    <row r="94" spans="1:7" ht="30">
      <c r="A94" s="1" t="s">
        <v>2626</v>
      </c>
      <c r="D94" s="1" t="s">
        <v>2628</v>
      </c>
      <c r="E94">
        <f t="shared" si="0"/>
        <v>4276.3999999999996</v>
      </c>
      <c r="F94">
        <v>4276.3999999999996</v>
      </c>
      <c r="G94" t="b">
        <f>E94=F94</f>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DF0B2-7549-4D30-96AD-42D80DB86A00}">
  <sheetPr codeName="Sheet10"/>
  <dimension ref="A1:AA27"/>
  <sheetViews>
    <sheetView workbookViewId="0">
      <selection activeCell="E14" sqref="E14"/>
    </sheetView>
  </sheetViews>
  <sheetFormatPr defaultRowHeight="15"/>
  <cols>
    <col min="1" max="1" width="22.28515625" customWidth="1"/>
    <col min="2" max="3" width="21" bestFit="1" customWidth="1"/>
  </cols>
  <sheetData>
    <row r="1" spans="1:27">
      <c r="A1" t="s">
        <v>2920</v>
      </c>
    </row>
    <row r="2" spans="1:27">
      <c r="A2" t="s">
        <v>189</v>
      </c>
      <c r="G2" t="s">
        <v>3187</v>
      </c>
      <c r="V2">
        <v>15090</v>
      </c>
      <c r="AA2">
        <v>15090</v>
      </c>
    </row>
    <row r="3" spans="1:27">
      <c r="A3" t="s">
        <v>2944</v>
      </c>
      <c r="G3" t="s">
        <v>3188</v>
      </c>
      <c r="V3" t="s">
        <v>3183</v>
      </c>
      <c r="AA3" t="s">
        <v>3186</v>
      </c>
    </row>
    <row r="4" spans="1:27">
      <c r="A4" t="s">
        <v>2945</v>
      </c>
      <c r="G4" t="s">
        <v>3189</v>
      </c>
      <c r="V4">
        <v>2000</v>
      </c>
      <c r="AA4">
        <v>1999</v>
      </c>
    </row>
    <row r="5" spans="1:27">
      <c r="A5" t="s">
        <v>2550</v>
      </c>
      <c r="G5" t="s">
        <v>2635</v>
      </c>
      <c r="V5">
        <v>350000</v>
      </c>
      <c r="AA5">
        <v>450000</v>
      </c>
    </row>
    <row r="6" spans="1:27">
      <c r="A6" t="s">
        <v>2634</v>
      </c>
      <c r="G6" t="s">
        <v>3190</v>
      </c>
      <c r="V6" t="s">
        <v>3184</v>
      </c>
      <c r="AA6" t="s">
        <v>3179</v>
      </c>
    </row>
    <row r="7" spans="1:27">
      <c r="A7" t="s">
        <v>2946</v>
      </c>
      <c r="G7" t="s">
        <v>3191</v>
      </c>
      <c r="V7" t="s">
        <v>3180</v>
      </c>
      <c r="AA7" t="s">
        <v>3180</v>
      </c>
    </row>
    <row r="8" spans="1:27">
      <c r="A8" t="s">
        <v>3493</v>
      </c>
      <c r="G8" t="s">
        <v>3192</v>
      </c>
      <c r="V8" t="s">
        <v>3181</v>
      </c>
      <c r="AA8" t="s">
        <v>3181</v>
      </c>
    </row>
    <row r="9" spans="1:27">
      <c r="G9" t="s">
        <v>3193</v>
      </c>
      <c r="V9">
        <v>2</v>
      </c>
      <c r="AA9">
        <v>2</v>
      </c>
    </row>
    <row r="10" spans="1:27">
      <c r="V10">
        <v>2</v>
      </c>
      <c r="AA10">
        <v>2</v>
      </c>
    </row>
    <row r="11" spans="1:27">
      <c r="A11" s="1" t="s">
        <v>2411</v>
      </c>
      <c r="V11">
        <v>2</v>
      </c>
      <c r="AA11">
        <v>2</v>
      </c>
    </row>
    <row r="12" spans="1:27">
      <c r="A12" s="1" t="s">
        <v>2412</v>
      </c>
      <c r="V12">
        <v>5</v>
      </c>
      <c r="AA12">
        <v>3</v>
      </c>
    </row>
    <row r="13" spans="1:27">
      <c r="A13" s="1" t="s">
        <v>2413</v>
      </c>
      <c r="V13">
        <v>2</v>
      </c>
      <c r="AA13">
        <v>2</v>
      </c>
    </row>
    <row r="14" spans="1:27">
      <c r="A14" s="1" t="s">
        <v>2415</v>
      </c>
      <c r="V14">
        <v>2000000</v>
      </c>
      <c r="AA14">
        <v>4000000</v>
      </c>
    </row>
    <row r="15" spans="1:27" s="1" customFormat="1">
      <c r="A15" s="1" t="s">
        <v>2630</v>
      </c>
      <c r="B15" s="1">
        <v>15091</v>
      </c>
      <c r="C15" s="1">
        <v>15092</v>
      </c>
      <c r="D15" s="1">
        <v>15093</v>
      </c>
      <c r="E15"/>
      <c r="F15"/>
      <c r="G15"/>
    </row>
    <row r="16" spans="1:27" s="1" customFormat="1">
      <c r="A16" s="1" t="s">
        <v>2506</v>
      </c>
      <c r="B16" s="1" t="s">
        <v>2414</v>
      </c>
      <c r="C16" s="1" t="s">
        <v>2418</v>
      </c>
      <c r="D16" s="1" t="s">
        <v>2442</v>
      </c>
      <c r="E16"/>
      <c r="F16"/>
      <c r="G16"/>
    </row>
    <row r="17" spans="1:7" s="1" customFormat="1">
      <c r="A17" s="1" t="s">
        <v>2904</v>
      </c>
      <c r="B17" s="1">
        <v>2000</v>
      </c>
      <c r="C17" s="1">
        <v>2001</v>
      </c>
      <c r="D17" s="1">
        <v>2009</v>
      </c>
      <c r="E17"/>
      <c r="F17"/>
      <c r="G17"/>
    </row>
    <row r="18" spans="1:7" s="1" customFormat="1">
      <c r="A18" s="1" t="s">
        <v>2905</v>
      </c>
      <c r="B18" s="1">
        <v>250000</v>
      </c>
      <c r="E18"/>
      <c r="F18"/>
      <c r="G18"/>
    </row>
    <row r="19" spans="1:7" s="1" customFormat="1">
      <c r="A19" s="1" t="s">
        <v>2906</v>
      </c>
      <c r="E19"/>
      <c r="F19"/>
      <c r="G19"/>
    </row>
    <row r="20" spans="1:7" s="1" customFormat="1">
      <c r="A20" s="1" t="s">
        <v>2907</v>
      </c>
      <c r="B20" s="1" t="s">
        <v>2558</v>
      </c>
      <c r="E20"/>
      <c r="F20"/>
      <c r="G20"/>
    </row>
    <row r="21" spans="1:7" s="1" customFormat="1">
      <c r="A21" s="1" t="s">
        <v>2908</v>
      </c>
      <c r="B21" s="1" t="s">
        <v>2646</v>
      </c>
      <c r="E21"/>
      <c r="F21"/>
      <c r="G21"/>
    </row>
    <row r="22" spans="1:7" s="1" customFormat="1">
      <c r="A22" s="1" t="s">
        <v>2909</v>
      </c>
      <c r="E22"/>
      <c r="F22"/>
      <c r="G22"/>
    </row>
    <row r="23" spans="1:7" s="1" customFormat="1">
      <c r="A23" s="1" t="s">
        <v>2910</v>
      </c>
      <c r="B23" s="1">
        <v>2</v>
      </c>
      <c r="E23"/>
      <c r="F23"/>
      <c r="G23"/>
    </row>
    <row r="24" spans="1:7" s="1" customFormat="1" ht="45">
      <c r="A24" s="1" t="s">
        <v>2911</v>
      </c>
      <c r="B24" s="1">
        <v>2</v>
      </c>
      <c r="E24"/>
      <c r="F24"/>
      <c r="G24"/>
    </row>
    <row r="25" spans="1:7" s="1" customFormat="1" ht="30">
      <c r="A25" s="1" t="s">
        <v>2912</v>
      </c>
      <c r="E25"/>
      <c r="F25"/>
      <c r="G25"/>
    </row>
    <row r="26" spans="1:7" s="1" customFormat="1" ht="30">
      <c r="A26" s="1" t="s">
        <v>2913</v>
      </c>
      <c r="E26"/>
      <c r="F26"/>
      <c r="G26"/>
    </row>
    <row r="27" spans="1:7" s="1" customFormat="1">
      <c r="A27" s="1" t="s">
        <v>2914</v>
      </c>
      <c r="E27"/>
      <c r="F27"/>
      <c r="G27"/>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06606-2343-4337-945D-AF72F9DEB1B8}">
  <sheetPr codeName="Sheet13"/>
  <dimension ref="A1:B249"/>
  <sheetViews>
    <sheetView topLeftCell="A134" workbookViewId="0">
      <selection activeCell="E14" sqref="E14"/>
    </sheetView>
  </sheetViews>
  <sheetFormatPr defaultRowHeight="15"/>
  <cols>
    <col min="1" max="1" width="45.28515625" bestFit="1" customWidth="1"/>
    <col min="2" max="2" width="50.5703125" customWidth="1"/>
  </cols>
  <sheetData>
    <row r="1" spans="1:2">
      <c r="A1" s="20" t="s">
        <v>2955</v>
      </c>
      <c r="B1">
        <v>0</v>
      </c>
    </row>
    <row r="2" spans="1:2">
      <c r="A2" s="20" t="s">
        <v>2956</v>
      </c>
      <c r="B2">
        <v>0</v>
      </c>
    </row>
    <row r="3" spans="1:2">
      <c r="A3" s="20" t="s">
        <v>2957</v>
      </c>
      <c r="B3" t="s">
        <v>3168</v>
      </c>
    </row>
    <row r="4" spans="1:2">
      <c r="A4" s="20" t="s">
        <v>2958</v>
      </c>
      <c r="B4">
        <v>0</v>
      </c>
    </row>
    <row r="5" spans="1:2">
      <c r="A5" s="20" t="s">
        <v>2959</v>
      </c>
      <c r="B5" t="s">
        <v>3169</v>
      </c>
    </row>
    <row r="6" spans="1:2">
      <c r="A6" s="20" t="s">
        <v>2960</v>
      </c>
      <c r="B6" t="s">
        <v>3170</v>
      </c>
    </row>
    <row r="7" spans="1:2">
      <c r="A7" s="20" t="s">
        <v>2961</v>
      </c>
      <c r="B7" t="s">
        <v>3171</v>
      </c>
    </row>
    <row r="8" spans="1:2">
      <c r="A8" s="20" t="s">
        <v>2962</v>
      </c>
      <c r="B8">
        <v>0</v>
      </c>
    </row>
    <row r="9" spans="1:2">
      <c r="A9" s="20" t="s">
        <v>2963</v>
      </c>
      <c r="B9" t="s">
        <v>3172</v>
      </c>
    </row>
    <row r="10" spans="1:2">
      <c r="A10" s="20" t="s">
        <v>2964</v>
      </c>
      <c r="B10" t="s">
        <v>3173</v>
      </c>
    </row>
    <row r="11" spans="1:2">
      <c r="A11" s="20" t="s">
        <v>2965</v>
      </c>
      <c r="B11">
        <v>1400</v>
      </c>
    </row>
    <row r="12" spans="1:2">
      <c r="A12" s="20" t="s">
        <v>2966</v>
      </c>
      <c r="B12" t="s">
        <v>3174</v>
      </c>
    </row>
    <row r="13" spans="1:2">
      <c r="A13" s="20" t="s">
        <v>2967</v>
      </c>
      <c r="B13" t="s">
        <v>3175</v>
      </c>
    </row>
    <row r="14" spans="1:2">
      <c r="A14" s="20" t="s">
        <v>2968</v>
      </c>
      <c r="B14">
        <v>15090</v>
      </c>
    </row>
    <row r="15" spans="1:2">
      <c r="A15" s="20" t="s">
        <v>2969</v>
      </c>
      <c r="B15" t="s">
        <v>3176</v>
      </c>
    </row>
    <row r="16" spans="1:2">
      <c r="A16" s="20" t="s">
        <v>2970</v>
      </c>
      <c r="B16">
        <v>4567876522</v>
      </c>
    </row>
    <row r="17" spans="1:2">
      <c r="A17" s="20" t="s">
        <v>2971</v>
      </c>
      <c r="B17">
        <v>0</v>
      </c>
    </row>
    <row r="18" spans="1:2">
      <c r="A18" s="20" t="s">
        <v>2971</v>
      </c>
      <c r="B18">
        <v>0</v>
      </c>
    </row>
    <row r="19" spans="1:2">
      <c r="A19" s="20" t="s">
        <v>2972</v>
      </c>
      <c r="B19">
        <v>0</v>
      </c>
    </row>
    <row r="20" spans="1:2">
      <c r="A20" s="20" t="s">
        <v>2785</v>
      </c>
      <c r="B20" t="s">
        <v>2785</v>
      </c>
    </row>
    <row r="21" spans="1:2">
      <c r="A21" s="12"/>
    </row>
    <row r="22" spans="1:2">
      <c r="A22" s="20" t="s">
        <v>2973</v>
      </c>
      <c r="B22" t="s">
        <v>3177</v>
      </c>
    </row>
    <row r="23" spans="1:2">
      <c r="A23" s="20" t="s">
        <v>2974</v>
      </c>
      <c r="B23" t="s">
        <v>3178</v>
      </c>
    </row>
    <row r="24" spans="1:2">
      <c r="A24" s="20" t="s">
        <v>2975</v>
      </c>
      <c r="B24">
        <v>2009</v>
      </c>
    </row>
    <row r="25" spans="1:2">
      <c r="A25" s="20" t="s">
        <v>2976</v>
      </c>
      <c r="B25">
        <v>250000</v>
      </c>
    </row>
    <row r="26" spans="1:2">
      <c r="A26" s="20" t="s">
        <v>2977</v>
      </c>
      <c r="B26" t="s">
        <v>3179</v>
      </c>
    </row>
    <row r="27" spans="1:2">
      <c r="A27" s="20" t="s">
        <v>2978</v>
      </c>
      <c r="B27" t="s">
        <v>3180</v>
      </c>
    </row>
    <row r="28" spans="1:2">
      <c r="A28" s="20" t="s">
        <v>2979</v>
      </c>
      <c r="B28" t="s">
        <v>3181</v>
      </c>
    </row>
    <row r="29" spans="1:2">
      <c r="A29" s="20" t="s">
        <v>2980</v>
      </c>
      <c r="B29">
        <v>2</v>
      </c>
    </row>
    <row r="30" spans="1:2">
      <c r="A30" s="20" t="s">
        <v>2981</v>
      </c>
      <c r="B30">
        <v>2</v>
      </c>
    </row>
    <row r="31" spans="1:2">
      <c r="A31" s="20" t="s">
        <v>2982</v>
      </c>
      <c r="B31">
        <v>2</v>
      </c>
    </row>
    <row r="32" spans="1:2">
      <c r="A32" s="20" t="s">
        <v>2983</v>
      </c>
      <c r="B32">
        <v>3</v>
      </c>
    </row>
    <row r="33" spans="1:2">
      <c r="A33" s="20" t="s">
        <v>2984</v>
      </c>
      <c r="B33">
        <v>2</v>
      </c>
    </row>
    <row r="34" spans="1:2">
      <c r="A34" s="20" t="s">
        <v>2985</v>
      </c>
      <c r="B34">
        <v>1000000</v>
      </c>
    </row>
    <row r="35" spans="1:2">
      <c r="A35" s="20" t="s">
        <v>2986</v>
      </c>
      <c r="B35">
        <v>0</v>
      </c>
    </row>
    <row r="36" spans="1:2">
      <c r="A36" s="20" t="s">
        <v>2785</v>
      </c>
      <c r="B36" t="s">
        <v>2785</v>
      </c>
    </row>
    <row r="37" spans="1:2">
      <c r="A37" s="12"/>
    </row>
    <row r="38" spans="1:2">
      <c r="A38" s="20" t="s">
        <v>2901</v>
      </c>
      <c r="B38">
        <v>0</v>
      </c>
    </row>
    <row r="39" spans="1:2">
      <c r="A39" s="20" t="s">
        <v>2987</v>
      </c>
      <c r="B39">
        <v>0</v>
      </c>
    </row>
    <row r="40" spans="1:2">
      <c r="A40" s="20" t="s">
        <v>2902</v>
      </c>
      <c r="B40">
        <v>0</v>
      </c>
    </row>
    <row r="41" spans="1:2">
      <c r="A41" s="20" t="s">
        <v>2785</v>
      </c>
      <c r="B41" t="s">
        <v>3182</v>
      </c>
    </row>
    <row r="42" spans="1:2">
      <c r="A42" s="14" t="s">
        <v>2947</v>
      </c>
    </row>
    <row r="43" spans="1:2">
      <c r="A43" s="14" t="s">
        <v>2988</v>
      </c>
      <c r="B43">
        <v>0</v>
      </c>
    </row>
    <row r="44" spans="1:2">
      <c r="A44" s="14" t="s">
        <v>2989</v>
      </c>
      <c r="B44">
        <v>0</v>
      </c>
    </row>
    <row r="45" spans="1:2">
      <c r="A45" s="14" t="s">
        <v>2990</v>
      </c>
      <c r="B45" t="s">
        <v>3168</v>
      </c>
    </row>
    <row r="46" spans="1:2">
      <c r="A46" s="14" t="s">
        <v>2991</v>
      </c>
      <c r="B46">
        <v>0</v>
      </c>
    </row>
    <row r="47" spans="1:2">
      <c r="A47" s="14" t="s">
        <v>2992</v>
      </c>
      <c r="B47" t="s">
        <v>3169</v>
      </c>
    </row>
    <row r="48" spans="1:2">
      <c r="A48" s="14" t="s">
        <v>2993</v>
      </c>
      <c r="B48" t="s">
        <v>3170</v>
      </c>
    </row>
    <row r="49" spans="1:2">
      <c r="A49" s="14" t="s">
        <v>2994</v>
      </c>
      <c r="B49" t="s">
        <v>3171</v>
      </c>
    </row>
    <row r="50" spans="1:2">
      <c r="A50" s="14" t="s">
        <v>2995</v>
      </c>
      <c r="B50">
        <v>0</v>
      </c>
    </row>
    <row r="51" spans="1:2">
      <c r="A51" s="14" t="s">
        <v>2996</v>
      </c>
      <c r="B51" t="s">
        <v>3172</v>
      </c>
    </row>
    <row r="52" spans="1:2">
      <c r="A52" s="14" t="s">
        <v>2997</v>
      </c>
      <c r="B52" t="s">
        <v>3173</v>
      </c>
    </row>
    <row r="53" spans="1:2">
      <c r="A53" s="14" t="s">
        <v>2998</v>
      </c>
      <c r="B53">
        <v>1400</v>
      </c>
    </row>
    <row r="54" spans="1:2">
      <c r="A54" s="14" t="s">
        <v>2999</v>
      </c>
      <c r="B54" t="s">
        <v>3174</v>
      </c>
    </row>
    <row r="55" spans="1:2">
      <c r="A55" s="14" t="s">
        <v>3000</v>
      </c>
      <c r="B55" t="s">
        <v>3175</v>
      </c>
    </row>
    <row r="56" spans="1:2">
      <c r="A56" s="14" t="s">
        <v>3001</v>
      </c>
      <c r="B56">
        <v>15090</v>
      </c>
    </row>
    <row r="57" spans="1:2">
      <c r="A57" s="14" t="s">
        <v>3002</v>
      </c>
      <c r="B57" t="s">
        <v>3176</v>
      </c>
    </row>
    <row r="58" spans="1:2">
      <c r="A58" s="14" t="s">
        <v>3003</v>
      </c>
      <c r="B58">
        <v>4567876522</v>
      </c>
    </row>
    <row r="59" spans="1:2">
      <c r="A59" s="14" t="s">
        <v>3004</v>
      </c>
      <c r="B59">
        <v>0</v>
      </c>
    </row>
    <row r="60" spans="1:2">
      <c r="A60" s="14" t="s">
        <v>3004</v>
      </c>
      <c r="B60">
        <v>0</v>
      </c>
    </row>
    <row r="61" spans="1:2">
      <c r="A61" s="14" t="s">
        <v>3005</v>
      </c>
      <c r="B61">
        <v>0</v>
      </c>
    </row>
    <row r="62" spans="1:2">
      <c r="A62" s="14" t="s">
        <v>3006</v>
      </c>
      <c r="B62" t="s">
        <v>2785</v>
      </c>
    </row>
    <row r="63" spans="1:2">
      <c r="A63" s="14" t="s">
        <v>2948</v>
      </c>
    </row>
    <row r="64" spans="1:2">
      <c r="A64" s="14" t="s">
        <v>3007</v>
      </c>
      <c r="B64" t="s">
        <v>3177</v>
      </c>
    </row>
    <row r="65" spans="1:2">
      <c r="A65" s="14" t="s">
        <v>3008</v>
      </c>
      <c r="B65" t="s">
        <v>3183</v>
      </c>
    </row>
    <row r="66" spans="1:2">
      <c r="A66" s="14" t="s">
        <v>3009</v>
      </c>
      <c r="B66">
        <v>2000</v>
      </c>
    </row>
    <row r="67" spans="1:2">
      <c r="A67" s="14" t="s">
        <v>3010</v>
      </c>
      <c r="B67">
        <v>350000</v>
      </c>
    </row>
    <row r="68" spans="1:2">
      <c r="A68" s="14" t="s">
        <v>3011</v>
      </c>
      <c r="B68" t="s">
        <v>3184</v>
      </c>
    </row>
    <row r="69" spans="1:2">
      <c r="A69" s="14" t="s">
        <v>3012</v>
      </c>
      <c r="B69" t="s">
        <v>3180</v>
      </c>
    </row>
    <row r="70" spans="1:2">
      <c r="A70" s="14" t="s">
        <v>3013</v>
      </c>
      <c r="B70" t="s">
        <v>3181</v>
      </c>
    </row>
    <row r="71" spans="1:2">
      <c r="A71" s="14" t="s">
        <v>3014</v>
      </c>
      <c r="B71">
        <v>2</v>
      </c>
    </row>
    <row r="72" spans="1:2">
      <c r="A72" s="14" t="s">
        <v>3015</v>
      </c>
      <c r="B72">
        <v>2</v>
      </c>
    </row>
    <row r="73" spans="1:2">
      <c r="A73" s="14" t="s">
        <v>3016</v>
      </c>
      <c r="B73">
        <v>2</v>
      </c>
    </row>
    <row r="74" spans="1:2">
      <c r="A74" s="14" t="s">
        <v>3017</v>
      </c>
      <c r="B74">
        <v>5</v>
      </c>
    </row>
    <row r="75" spans="1:2">
      <c r="A75" s="14" t="s">
        <v>3018</v>
      </c>
      <c r="B75">
        <v>2</v>
      </c>
    </row>
    <row r="76" spans="1:2">
      <c r="A76" s="14" t="s">
        <v>3019</v>
      </c>
      <c r="B76">
        <v>2000000</v>
      </c>
    </row>
    <row r="77" spans="1:2">
      <c r="A77" s="14" t="s">
        <v>3020</v>
      </c>
      <c r="B77">
        <v>0</v>
      </c>
    </row>
    <row r="78" spans="1:2">
      <c r="A78" s="14" t="s">
        <v>3006</v>
      </c>
      <c r="B78" t="s">
        <v>2785</v>
      </c>
    </row>
    <row r="79" spans="1:2">
      <c r="A79" s="14" t="s">
        <v>2948</v>
      </c>
    </row>
    <row r="80" spans="1:2">
      <c r="A80" s="14" t="s">
        <v>3021</v>
      </c>
      <c r="B80">
        <v>0</v>
      </c>
    </row>
    <row r="81" spans="1:2">
      <c r="A81" s="14" t="s">
        <v>3022</v>
      </c>
      <c r="B81">
        <v>0</v>
      </c>
    </row>
    <row r="82" spans="1:2">
      <c r="A82" s="14" t="s">
        <v>3023</v>
      </c>
      <c r="B82">
        <v>0</v>
      </c>
    </row>
    <row r="83" spans="1:2">
      <c r="A83" s="14" t="s">
        <v>3006</v>
      </c>
      <c r="B83" t="s">
        <v>3185</v>
      </c>
    </row>
    <row r="84" spans="1:2">
      <c r="A84" s="14" t="s">
        <v>3024</v>
      </c>
      <c r="B84">
        <v>0</v>
      </c>
    </row>
    <row r="85" spans="1:2">
      <c r="A85" s="14" t="s">
        <v>3025</v>
      </c>
      <c r="B85">
        <v>0</v>
      </c>
    </row>
    <row r="86" spans="1:2">
      <c r="A86" s="14" t="s">
        <v>3026</v>
      </c>
      <c r="B86" t="s">
        <v>3168</v>
      </c>
    </row>
    <row r="87" spans="1:2">
      <c r="A87" s="14" t="s">
        <v>3027</v>
      </c>
      <c r="B87">
        <v>0</v>
      </c>
    </row>
    <row r="88" spans="1:2">
      <c r="A88" s="14" t="s">
        <v>3028</v>
      </c>
      <c r="B88" t="s">
        <v>3169</v>
      </c>
    </row>
    <row r="89" spans="1:2">
      <c r="A89" s="14" t="s">
        <v>3029</v>
      </c>
      <c r="B89" t="s">
        <v>3170</v>
      </c>
    </row>
    <row r="90" spans="1:2">
      <c r="A90" s="14" t="s">
        <v>3030</v>
      </c>
      <c r="B90" t="s">
        <v>3171</v>
      </c>
    </row>
    <row r="91" spans="1:2">
      <c r="A91" s="14" t="s">
        <v>3031</v>
      </c>
      <c r="B91">
        <v>0</v>
      </c>
    </row>
    <row r="92" spans="1:2">
      <c r="A92" s="14" t="s">
        <v>3032</v>
      </c>
      <c r="B92" t="s">
        <v>3172</v>
      </c>
    </row>
    <row r="93" spans="1:2">
      <c r="A93" s="14" t="s">
        <v>3033</v>
      </c>
      <c r="B93" t="s">
        <v>3173</v>
      </c>
    </row>
    <row r="94" spans="1:2">
      <c r="A94" s="14" t="s">
        <v>3034</v>
      </c>
      <c r="B94">
        <v>1400</v>
      </c>
    </row>
    <row r="95" spans="1:2">
      <c r="A95" s="14" t="s">
        <v>3035</v>
      </c>
      <c r="B95" t="s">
        <v>3174</v>
      </c>
    </row>
    <row r="96" spans="1:2">
      <c r="A96" s="14" t="s">
        <v>3036</v>
      </c>
      <c r="B96" t="s">
        <v>3175</v>
      </c>
    </row>
    <row r="97" spans="1:2">
      <c r="A97" s="14" t="s">
        <v>3037</v>
      </c>
      <c r="B97">
        <v>15090</v>
      </c>
    </row>
    <row r="98" spans="1:2">
      <c r="A98" s="14" t="s">
        <v>3038</v>
      </c>
      <c r="B98" t="s">
        <v>3176</v>
      </c>
    </row>
    <row r="99" spans="1:2">
      <c r="A99" s="14" t="s">
        <v>3039</v>
      </c>
      <c r="B99">
        <v>4567876522</v>
      </c>
    </row>
    <row r="100" spans="1:2">
      <c r="A100" s="14" t="s">
        <v>3040</v>
      </c>
      <c r="B100">
        <v>0</v>
      </c>
    </row>
    <row r="101" spans="1:2">
      <c r="A101" s="14" t="s">
        <v>3040</v>
      </c>
      <c r="B101">
        <v>0</v>
      </c>
    </row>
    <row r="102" spans="1:2">
      <c r="A102" s="14" t="s">
        <v>3041</v>
      </c>
      <c r="B102">
        <v>0</v>
      </c>
    </row>
    <row r="103" spans="1:2">
      <c r="A103" s="14" t="s">
        <v>3042</v>
      </c>
      <c r="B103" t="s">
        <v>2785</v>
      </c>
    </row>
    <row r="104" spans="1:2">
      <c r="A104" s="14" t="s">
        <v>2949</v>
      </c>
    </row>
    <row r="105" spans="1:2">
      <c r="A105" s="14" t="s">
        <v>3043</v>
      </c>
      <c r="B105" t="s">
        <v>3177</v>
      </c>
    </row>
    <row r="106" spans="1:2">
      <c r="A106" s="14" t="s">
        <v>3044</v>
      </c>
      <c r="B106" t="s">
        <v>3186</v>
      </c>
    </row>
    <row r="107" spans="1:2">
      <c r="A107" s="14" t="s">
        <v>3045</v>
      </c>
      <c r="B107">
        <v>1999</v>
      </c>
    </row>
    <row r="108" spans="1:2">
      <c r="A108" s="14" t="s">
        <v>3046</v>
      </c>
      <c r="B108">
        <v>450000</v>
      </c>
    </row>
    <row r="109" spans="1:2">
      <c r="A109" s="14" t="s">
        <v>3047</v>
      </c>
      <c r="B109" t="s">
        <v>3179</v>
      </c>
    </row>
    <row r="110" spans="1:2">
      <c r="A110" s="14" t="s">
        <v>3048</v>
      </c>
      <c r="B110" t="s">
        <v>3180</v>
      </c>
    </row>
    <row r="111" spans="1:2">
      <c r="A111" s="14" t="s">
        <v>3049</v>
      </c>
      <c r="B111" t="s">
        <v>3181</v>
      </c>
    </row>
    <row r="112" spans="1:2">
      <c r="A112" s="14" t="s">
        <v>3050</v>
      </c>
      <c r="B112">
        <v>2</v>
      </c>
    </row>
    <row r="113" spans="1:2">
      <c r="A113" s="14" t="s">
        <v>3051</v>
      </c>
      <c r="B113">
        <v>2</v>
      </c>
    </row>
    <row r="114" spans="1:2">
      <c r="A114" s="14" t="s">
        <v>3052</v>
      </c>
      <c r="B114">
        <v>2</v>
      </c>
    </row>
    <row r="115" spans="1:2">
      <c r="A115" s="14" t="s">
        <v>3053</v>
      </c>
      <c r="B115">
        <v>3</v>
      </c>
    </row>
    <row r="116" spans="1:2">
      <c r="A116" s="14" t="s">
        <v>3054</v>
      </c>
      <c r="B116">
        <v>2</v>
      </c>
    </row>
    <row r="117" spans="1:2">
      <c r="A117" s="14" t="s">
        <v>3055</v>
      </c>
      <c r="B117">
        <v>4000000</v>
      </c>
    </row>
    <row r="118" spans="1:2">
      <c r="A118" s="14" t="s">
        <v>3056</v>
      </c>
      <c r="B118">
        <v>0</v>
      </c>
    </row>
    <row r="119" spans="1:2">
      <c r="A119" s="14" t="s">
        <v>3042</v>
      </c>
      <c r="B119" t="s">
        <v>2785</v>
      </c>
    </row>
    <row r="120" spans="1:2">
      <c r="A120" s="14" t="s">
        <v>2949</v>
      </c>
    </row>
    <row r="121" spans="1:2">
      <c r="A121" s="14" t="s">
        <v>3057</v>
      </c>
      <c r="B121">
        <v>0</v>
      </c>
    </row>
    <row r="122" spans="1:2">
      <c r="A122" s="14" t="s">
        <v>3058</v>
      </c>
      <c r="B122">
        <v>0</v>
      </c>
    </row>
    <row r="123" spans="1:2">
      <c r="A123" s="14" t="s">
        <v>3059</v>
      </c>
      <c r="B123">
        <v>0</v>
      </c>
    </row>
    <row r="124" spans="1:2">
      <c r="A124" s="14" t="s">
        <v>3042</v>
      </c>
      <c r="B124" t="s">
        <v>3182</v>
      </c>
    </row>
    <row r="125" spans="1:2">
      <c r="A125" s="14" t="s">
        <v>2950</v>
      </c>
    </row>
    <row r="126" spans="1:2">
      <c r="A126" s="14" t="s">
        <v>3060</v>
      </c>
      <c r="B126">
        <v>0</v>
      </c>
    </row>
    <row r="127" spans="1:2">
      <c r="A127" s="14" t="s">
        <v>3061</v>
      </c>
      <c r="B127">
        <v>0</v>
      </c>
    </row>
    <row r="128" spans="1:2">
      <c r="A128" s="14" t="s">
        <v>3062</v>
      </c>
      <c r="B128" t="s">
        <v>3168</v>
      </c>
    </row>
    <row r="129" spans="1:2">
      <c r="A129" s="14" t="s">
        <v>3063</v>
      </c>
      <c r="B129">
        <v>0</v>
      </c>
    </row>
    <row r="130" spans="1:2">
      <c r="A130" s="14" t="s">
        <v>3064</v>
      </c>
      <c r="B130" t="s">
        <v>3169</v>
      </c>
    </row>
    <row r="131" spans="1:2">
      <c r="A131" s="14" t="s">
        <v>3065</v>
      </c>
      <c r="B131" t="s">
        <v>3170</v>
      </c>
    </row>
    <row r="132" spans="1:2">
      <c r="A132" s="14" t="s">
        <v>3066</v>
      </c>
      <c r="B132" t="s">
        <v>3171</v>
      </c>
    </row>
    <row r="133" spans="1:2">
      <c r="A133" s="14" t="s">
        <v>3067</v>
      </c>
      <c r="B133">
        <v>0</v>
      </c>
    </row>
    <row r="134" spans="1:2">
      <c r="A134" s="14" t="s">
        <v>3068</v>
      </c>
      <c r="B134" t="s">
        <v>3172</v>
      </c>
    </row>
    <row r="135" spans="1:2">
      <c r="A135" s="14" t="s">
        <v>3069</v>
      </c>
      <c r="B135" t="s">
        <v>3173</v>
      </c>
    </row>
    <row r="136" spans="1:2">
      <c r="A136" s="14" t="s">
        <v>3070</v>
      </c>
      <c r="B136">
        <v>1400</v>
      </c>
    </row>
    <row r="137" spans="1:2">
      <c r="A137" s="14" t="s">
        <v>3071</v>
      </c>
      <c r="B137" t="s">
        <v>3174</v>
      </c>
    </row>
    <row r="138" spans="1:2">
      <c r="A138" s="14" t="s">
        <v>3072</v>
      </c>
      <c r="B138" t="s">
        <v>3175</v>
      </c>
    </row>
    <row r="139" spans="1:2">
      <c r="A139" s="14" t="s">
        <v>3073</v>
      </c>
      <c r="B139">
        <v>15090</v>
      </c>
    </row>
    <row r="140" spans="1:2">
      <c r="A140" s="14" t="s">
        <v>3074</v>
      </c>
      <c r="B140" t="s">
        <v>3176</v>
      </c>
    </row>
    <row r="141" spans="1:2">
      <c r="A141" s="14" t="s">
        <v>3075</v>
      </c>
      <c r="B141">
        <v>4567876522</v>
      </c>
    </row>
    <row r="142" spans="1:2">
      <c r="A142" s="14" t="s">
        <v>3076</v>
      </c>
      <c r="B142">
        <v>0</v>
      </c>
    </row>
    <row r="143" spans="1:2">
      <c r="A143" s="14" t="s">
        <v>3076</v>
      </c>
      <c r="B143">
        <v>0</v>
      </c>
    </row>
    <row r="144" spans="1:2">
      <c r="A144" s="14" t="s">
        <v>3077</v>
      </c>
      <c r="B144">
        <v>0</v>
      </c>
    </row>
    <row r="145" spans="1:2">
      <c r="A145" s="14" t="s">
        <v>3078</v>
      </c>
      <c r="B145" t="s">
        <v>2785</v>
      </c>
    </row>
    <row r="146" spans="1:2">
      <c r="A146" s="14" t="s">
        <v>2951</v>
      </c>
    </row>
    <row r="147" spans="1:2">
      <c r="A147" s="14" t="s">
        <v>3079</v>
      </c>
      <c r="B147" t="s">
        <v>3177</v>
      </c>
    </row>
    <row r="148" spans="1:2">
      <c r="A148" s="14" t="s">
        <v>3080</v>
      </c>
      <c r="B148" t="s">
        <v>3178</v>
      </c>
    </row>
    <row r="149" spans="1:2">
      <c r="A149" s="14" t="s">
        <v>3081</v>
      </c>
      <c r="B149">
        <v>2009</v>
      </c>
    </row>
    <row r="150" spans="1:2">
      <c r="A150" s="14" t="s">
        <v>3082</v>
      </c>
      <c r="B150">
        <v>250000</v>
      </c>
    </row>
    <row r="151" spans="1:2">
      <c r="A151" s="14" t="s">
        <v>3083</v>
      </c>
      <c r="B151" t="s">
        <v>3179</v>
      </c>
    </row>
    <row r="152" spans="1:2">
      <c r="A152" s="14" t="s">
        <v>3084</v>
      </c>
      <c r="B152" t="s">
        <v>3180</v>
      </c>
    </row>
    <row r="153" spans="1:2">
      <c r="A153" s="14" t="s">
        <v>3085</v>
      </c>
      <c r="B153" t="s">
        <v>3181</v>
      </c>
    </row>
    <row r="154" spans="1:2">
      <c r="A154" s="14" t="s">
        <v>3086</v>
      </c>
      <c r="B154">
        <v>2</v>
      </c>
    </row>
    <row r="155" spans="1:2">
      <c r="A155" s="14" t="s">
        <v>3087</v>
      </c>
      <c r="B155">
        <v>2</v>
      </c>
    </row>
    <row r="156" spans="1:2">
      <c r="A156" s="14" t="s">
        <v>3088</v>
      </c>
      <c r="B156">
        <v>2</v>
      </c>
    </row>
    <row r="157" spans="1:2">
      <c r="A157" s="14" t="s">
        <v>3089</v>
      </c>
      <c r="B157">
        <v>3</v>
      </c>
    </row>
    <row r="158" spans="1:2">
      <c r="A158" s="14" t="s">
        <v>3090</v>
      </c>
      <c r="B158">
        <v>2</v>
      </c>
    </row>
    <row r="159" spans="1:2">
      <c r="A159" s="14" t="s">
        <v>3091</v>
      </c>
      <c r="B159">
        <v>1000000</v>
      </c>
    </row>
    <row r="160" spans="1:2">
      <c r="A160" s="14" t="s">
        <v>3092</v>
      </c>
      <c r="B160">
        <v>0</v>
      </c>
    </row>
    <row r="161" spans="1:2">
      <c r="A161" s="14" t="s">
        <v>3078</v>
      </c>
      <c r="B161" t="s">
        <v>2785</v>
      </c>
    </row>
    <row r="162" spans="1:2">
      <c r="A162" s="14" t="s">
        <v>2951</v>
      </c>
    </row>
    <row r="163" spans="1:2">
      <c r="A163" s="14" t="s">
        <v>3093</v>
      </c>
      <c r="B163">
        <v>0</v>
      </c>
    </row>
    <row r="164" spans="1:2">
      <c r="A164" s="14" t="s">
        <v>3094</v>
      </c>
      <c r="B164">
        <v>0</v>
      </c>
    </row>
    <row r="165" spans="1:2">
      <c r="A165" s="14" t="s">
        <v>3095</v>
      </c>
      <c r="B165">
        <v>0</v>
      </c>
    </row>
    <row r="166" spans="1:2">
      <c r="A166" s="14" t="s">
        <v>3078</v>
      </c>
      <c r="B166" t="s">
        <v>3182</v>
      </c>
    </row>
    <row r="167" spans="1:2">
      <c r="A167" s="14" t="s">
        <v>2952</v>
      </c>
    </row>
    <row r="168" spans="1:2">
      <c r="A168" s="14" t="s">
        <v>3096</v>
      </c>
      <c r="B168">
        <v>0</v>
      </c>
    </row>
    <row r="169" spans="1:2">
      <c r="A169" s="14" t="s">
        <v>3097</v>
      </c>
      <c r="B169">
        <v>0</v>
      </c>
    </row>
    <row r="170" spans="1:2">
      <c r="A170" s="14" t="s">
        <v>3098</v>
      </c>
      <c r="B170" t="s">
        <v>3168</v>
      </c>
    </row>
    <row r="171" spans="1:2">
      <c r="A171" s="14" t="s">
        <v>3099</v>
      </c>
      <c r="B171">
        <v>0</v>
      </c>
    </row>
    <row r="172" spans="1:2">
      <c r="A172" s="14" t="s">
        <v>3100</v>
      </c>
      <c r="B172" t="s">
        <v>3169</v>
      </c>
    </row>
    <row r="173" spans="1:2">
      <c r="A173" s="14" t="s">
        <v>3101</v>
      </c>
      <c r="B173" t="s">
        <v>3170</v>
      </c>
    </row>
    <row r="174" spans="1:2">
      <c r="A174" s="14" t="s">
        <v>3102</v>
      </c>
      <c r="B174" t="s">
        <v>3171</v>
      </c>
    </row>
    <row r="175" spans="1:2">
      <c r="A175" s="14" t="s">
        <v>3103</v>
      </c>
      <c r="B175">
        <v>0</v>
      </c>
    </row>
    <row r="176" spans="1:2">
      <c r="A176" s="14" t="s">
        <v>3104</v>
      </c>
      <c r="B176" t="s">
        <v>3172</v>
      </c>
    </row>
    <row r="177" spans="1:2">
      <c r="A177" s="14" t="s">
        <v>3105</v>
      </c>
      <c r="B177" t="s">
        <v>3173</v>
      </c>
    </row>
    <row r="178" spans="1:2">
      <c r="A178" s="14" t="s">
        <v>3106</v>
      </c>
      <c r="B178">
        <v>1400</v>
      </c>
    </row>
    <row r="179" spans="1:2">
      <c r="A179" s="14" t="s">
        <v>3107</v>
      </c>
      <c r="B179" t="s">
        <v>3174</v>
      </c>
    </row>
    <row r="180" spans="1:2">
      <c r="A180" s="14" t="s">
        <v>3108</v>
      </c>
      <c r="B180" t="s">
        <v>3175</v>
      </c>
    </row>
    <row r="181" spans="1:2">
      <c r="A181" s="14" t="s">
        <v>3109</v>
      </c>
      <c r="B181">
        <v>15090</v>
      </c>
    </row>
    <row r="182" spans="1:2">
      <c r="A182" s="14" t="s">
        <v>3110</v>
      </c>
      <c r="B182" t="s">
        <v>3176</v>
      </c>
    </row>
    <row r="183" spans="1:2">
      <c r="A183" s="14" t="s">
        <v>3111</v>
      </c>
      <c r="B183">
        <v>4567876522</v>
      </c>
    </row>
    <row r="184" spans="1:2">
      <c r="A184" s="14" t="s">
        <v>3112</v>
      </c>
      <c r="B184">
        <v>0</v>
      </c>
    </row>
    <row r="185" spans="1:2">
      <c r="A185" s="14" t="s">
        <v>3112</v>
      </c>
      <c r="B185">
        <v>0</v>
      </c>
    </row>
    <row r="186" spans="1:2">
      <c r="A186" s="14" t="s">
        <v>3113</v>
      </c>
      <c r="B186">
        <v>0</v>
      </c>
    </row>
    <row r="187" spans="1:2">
      <c r="A187" s="14" t="s">
        <v>3114</v>
      </c>
      <c r="B187" t="s">
        <v>2785</v>
      </c>
    </row>
    <row r="188" spans="1:2">
      <c r="A188" s="14" t="s">
        <v>2953</v>
      </c>
    </row>
    <row r="189" spans="1:2">
      <c r="A189" s="14" t="s">
        <v>3115</v>
      </c>
      <c r="B189" t="s">
        <v>3177</v>
      </c>
    </row>
    <row r="190" spans="1:2">
      <c r="A190" s="14" t="s">
        <v>3116</v>
      </c>
      <c r="B190" t="s">
        <v>3183</v>
      </c>
    </row>
    <row r="191" spans="1:2">
      <c r="A191" s="14" t="s">
        <v>3117</v>
      </c>
      <c r="B191">
        <v>2000</v>
      </c>
    </row>
    <row r="192" spans="1:2">
      <c r="A192" s="14" t="s">
        <v>3118</v>
      </c>
      <c r="B192">
        <v>350000</v>
      </c>
    </row>
    <row r="193" spans="1:2">
      <c r="A193" s="14" t="s">
        <v>3119</v>
      </c>
      <c r="B193" t="s">
        <v>3184</v>
      </c>
    </row>
    <row r="194" spans="1:2">
      <c r="A194" s="14" t="s">
        <v>3120</v>
      </c>
      <c r="B194" t="s">
        <v>3180</v>
      </c>
    </row>
    <row r="195" spans="1:2">
      <c r="A195" s="14" t="s">
        <v>3121</v>
      </c>
      <c r="B195" t="s">
        <v>3181</v>
      </c>
    </row>
    <row r="196" spans="1:2">
      <c r="A196" s="14" t="s">
        <v>3122</v>
      </c>
      <c r="B196">
        <v>2</v>
      </c>
    </row>
    <row r="197" spans="1:2">
      <c r="A197" s="14" t="s">
        <v>3123</v>
      </c>
      <c r="B197">
        <v>2</v>
      </c>
    </row>
    <row r="198" spans="1:2">
      <c r="A198" s="14" t="s">
        <v>3124</v>
      </c>
      <c r="B198">
        <v>2</v>
      </c>
    </row>
    <row r="199" spans="1:2">
      <c r="A199" s="14" t="s">
        <v>3125</v>
      </c>
      <c r="B199">
        <v>5</v>
      </c>
    </row>
    <row r="200" spans="1:2">
      <c r="A200" s="14" t="s">
        <v>3126</v>
      </c>
      <c r="B200">
        <v>2</v>
      </c>
    </row>
    <row r="201" spans="1:2">
      <c r="A201" s="14" t="s">
        <v>3127</v>
      </c>
      <c r="B201">
        <v>2000000</v>
      </c>
    </row>
    <row r="202" spans="1:2">
      <c r="A202" s="14" t="s">
        <v>3128</v>
      </c>
      <c r="B202">
        <v>0</v>
      </c>
    </row>
    <row r="203" spans="1:2">
      <c r="A203" s="14" t="s">
        <v>3114</v>
      </c>
      <c r="B203" t="s">
        <v>2785</v>
      </c>
    </row>
    <row r="204" spans="1:2">
      <c r="A204" s="14" t="s">
        <v>2953</v>
      </c>
    </row>
    <row r="205" spans="1:2">
      <c r="A205" s="14" t="s">
        <v>3129</v>
      </c>
      <c r="B205">
        <v>0</v>
      </c>
    </row>
    <row r="206" spans="1:2">
      <c r="A206" s="14" t="s">
        <v>3130</v>
      </c>
      <c r="B206">
        <v>0</v>
      </c>
    </row>
    <row r="207" spans="1:2">
      <c r="A207" s="14" t="s">
        <v>3131</v>
      </c>
      <c r="B207">
        <v>0</v>
      </c>
    </row>
    <row r="208" spans="1:2">
      <c r="A208" s="14" t="s">
        <v>3114</v>
      </c>
      <c r="B208" t="s">
        <v>3185</v>
      </c>
    </row>
    <row r="209" spans="1:2">
      <c r="A209" s="14" t="s">
        <v>3132</v>
      </c>
      <c r="B209">
        <v>0</v>
      </c>
    </row>
    <row r="210" spans="1:2">
      <c r="A210" s="14" t="s">
        <v>3133</v>
      </c>
      <c r="B210">
        <v>0</v>
      </c>
    </row>
    <row r="211" spans="1:2">
      <c r="A211" s="14" t="s">
        <v>3134</v>
      </c>
      <c r="B211" t="s">
        <v>3168</v>
      </c>
    </row>
    <row r="212" spans="1:2">
      <c r="A212" s="14" t="s">
        <v>3135</v>
      </c>
      <c r="B212">
        <v>0</v>
      </c>
    </row>
    <row r="213" spans="1:2">
      <c r="A213" s="14" t="s">
        <v>3136</v>
      </c>
      <c r="B213" t="s">
        <v>3169</v>
      </c>
    </row>
    <row r="214" spans="1:2">
      <c r="A214" s="14" t="s">
        <v>3137</v>
      </c>
      <c r="B214" t="s">
        <v>3170</v>
      </c>
    </row>
    <row r="215" spans="1:2">
      <c r="A215" s="14" t="s">
        <v>3138</v>
      </c>
      <c r="B215" t="s">
        <v>3171</v>
      </c>
    </row>
    <row r="216" spans="1:2">
      <c r="A216" s="14" t="s">
        <v>3139</v>
      </c>
      <c r="B216">
        <v>0</v>
      </c>
    </row>
    <row r="217" spans="1:2">
      <c r="A217" s="14" t="s">
        <v>3140</v>
      </c>
      <c r="B217" t="s">
        <v>3172</v>
      </c>
    </row>
    <row r="218" spans="1:2">
      <c r="A218" s="14" t="s">
        <v>3141</v>
      </c>
      <c r="B218" t="s">
        <v>3173</v>
      </c>
    </row>
    <row r="219" spans="1:2">
      <c r="A219" s="14" t="s">
        <v>3142</v>
      </c>
      <c r="B219">
        <v>1400</v>
      </c>
    </row>
    <row r="220" spans="1:2">
      <c r="A220" s="14" t="s">
        <v>3143</v>
      </c>
      <c r="B220" t="s">
        <v>3174</v>
      </c>
    </row>
    <row r="221" spans="1:2">
      <c r="A221" s="14" t="s">
        <v>3144</v>
      </c>
      <c r="B221" t="s">
        <v>3175</v>
      </c>
    </row>
    <row r="222" spans="1:2">
      <c r="A222" s="14" t="s">
        <v>3145</v>
      </c>
      <c r="B222">
        <v>15090</v>
      </c>
    </row>
    <row r="223" spans="1:2">
      <c r="A223" s="14" t="s">
        <v>3146</v>
      </c>
      <c r="B223" t="s">
        <v>3176</v>
      </c>
    </row>
    <row r="224" spans="1:2">
      <c r="A224" s="14" t="s">
        <v>3147</v>
      </c>
      <c r="B224">
        <v>4567876522</v>
      </c>
    </row>
    <row r="225" spans="1:2">
      <c r="A225" s="14" t="s">
        <v>3148</v>
      </c>
      <c r="B225">
        <v>0</v>
      </c>
    </row>
    <row r="226" spans="1:2">
      <c r="A226" s="14" t="s">
        <v>3148</v>
      </c>
      <c r="B226">
        <v>0</v>
      </c>
    </row>
    <row r="227" spans="1:2">
      <c r="A227" s="14" t="s">
        <v>3149</v>
      </c>
      <c r="B227">
        <v>0</v>
      </c>
    </row>
    <row r="228" spans="1:2">
      <c r="A228" s="14" t="s">
        <v>3150</v>
      </c>
      <c r="B228" t="s">
        <v>2785</v>
      </c>
    </row>
    <row r="229" spans="1:2">
      <c r="A229" s="14" t="s">
        <v>2954</v>
      </c>
    </row>
    <row r="230" spans="1:2">
      <c r="A230" s="14" t="s">
        <v>3151</v>
      </c>
      <c r="B230" t="s">
        <v>3177</v>
      </c>
    </row>
    <row r="231" spans="1:2">
      <c r="A231" s="14" t="s">
        <v>3152</v>
      </c>
      <c r="B231" t="s">
        <v>3186</v>
      </c>
    </row>
    <row r="232" spans="1:2">
      <c r="A232" s="14" t="s">
        <v>3153</v>
      </c>
      <c r="B232">
        <v>1999</v>
      </c>
    </row>
    <row r="233" spans="1:2">
      <c r="A233" s="14" t="s">
        <v>3154</v>
      </c>
      <c r="B233">
        <v>450000</v>
      </c>
    </row>
    <row r="234" spans="1:2">
      <c r="A234" s="14" t="s">
        <v>3155</v>
      </c>
      <c r="B234" t="s">
        <v>3179</v>
      </c>
    </row>
    <row r="235" spans="1:2">
      <c r="A235" s="14" t="s">
        <v>3156</v>
      </c>
      <c r="B235" t="s">
        <v>3180</v>
      </c>
    </row>
    <row r="236" spans="1:2">
      <c r="A236" s="14" t="s">
        <v>3157</v>
      </c>
      <c r="B236" t="s">
        <v>3181</v>
      </c>
    </row>
    <row r="237" spans="1:2">
      <c r="A237" s="14" t="s">
        <v>3158</v>
      </c>
      <c r="B237">
        <v>2</v>
      </c>
    </row>
    <row r="238" spans="1:2">
      <c r="A238" s="14" t="s">
        <v>3159</v>
      </c>
      <c r="B238">
        <v>2</v>
      </c>
    </row>
    <row r="239" spans="1:2">
      <c r="A239" s="14" t="s">
        <v>3160</v>
      </c>
      <c r="B239">
        <v>2</v>
      </c>
    </row>
    <row r="240" spans="1:2">
      <c r="A240" s="14" t="s">
        <v>3161</v>
      </c>
      <c r="B240">
        <v>3</v>
      </c>
    </row>
    <row r="241" spans="1:2">
      <c r="A241" s="14" t="s">
        <v>3162</v>
      </c>
      <c r="B241">
        <v>2</v>
      </c>
    </row>
    <row r="242" spans="1:2">
      <c r="A242" s="14" t="s">
        <v>3163</v>
      </c>
      <c r="B242">
        <v>4000000</v>
      </c>
    </row>
    <row r="243" spans="1:2">
      <c r="A243" s="14" t="s">
        <v>3164</v>
      </c>
      <c r="B243">
        <v>0</v>
      </c>
    </row>
    <row r="244" spans="1:2">
      <c r="A244" s="14" t="s">
        <v>3150</v>
      </c>
      <c r="B244" t="s">
        <v>2785</v>
      </c>
    </row>
    <row r="245" spans="1:2">
      <c r="A245" s="14" t="s">
        <v>2954</v>
      </c>
    </row>
    <row r="246" spans="1:2">
      <c r="A246" s="14" t="s">
        <v>3165</v>
      </c>
      <c r="B246">
        <v>0</v>
      </c>
    </row>
    <row r="247" spans="1:2">
      <c r="A247" s="14" t="s">
        <v>3166</v>
      </c>
      <c r="B247">
        <v>0</v>
      </c>
    </row>
    <row r="248" spans="1:2">
      <c r="A248" s="14" t="s">
        <v>3167</v>
      </c>
      <c r="B248">
        <v>0</v>
      </c>
    </row>
    <row r="249" spans="1:2">
      <c r="A249" s="14" t="s">
        <v>3150</v>
      </c>
      <c r="B249" t="s">
        <v>2785</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64550-C50E-4806-A7D3-283036E72F6A}">
  <sheetPr codeName="Sheet11"/>
  <dimension ref="A1:J43"/>
  <sheetViews>
    <sheetView workbookViewId="0">
      <selection activeCell="E14" sqref="E14"/>
    </sheetView>
  </sheetViews>
  <sheetFormatPr defaultColWidth="8.85546875" defaultRowHeight="15"/>
  <cols>
    <col min="1" max="1" width="31.42578125" style="1" customWidth="1"/>
    <col min="2" max="2" width="17.140625" style="1" customWidth="1"/>
    <col min="3" max="3" width="14.42578125" style="1" customWidth="1"/>
    <col min="4" max="4" width="40.140625" style="1" customWidth="1"/>
    <col min="5" max="16384" width="8.85546875" style="1"/>
  </cols>
  <sheetData>
    <row r="1" spans="1:10">
      <c r="A1" s="1" t="s">
        <v>2492</v>
      </c>
      <c r="B1" s="1" t="s">
        <v>2493</v>
      </c>
      <c r="C1" s="1" t="s">
        <v>2494</v>
      </c>
      <c r="D1" s="1" t="s">
        <v>2495</v>
      </c>
    </row>
    <row r="2" spans="1:10" ht="30">
      <c r="A2" s="1" t="s">
        <v>2670</v>
      </c>
      <c r="E2" s="1" t="s">
        <v>2915</v>
      </c>
      <c r="F2" s="1" t="s">
        <v>2916</v>
      </c>
      <c r="G2" s="1" t="s">
        <v>2917</v>
      </c>
      <c r="H2" s="1" t="s">
        <v>2915</v>
      </c>
      <c r="I2" s="1" t="s">
        <v>2916</v>
      </c>
      <c r="J2" s="1" t="s">
        <v>2917</v>
      </c>
    </row>
    <row r="3" spans="1:10" ht="30">
      <c r="A3" s="1" t="s">
        <v>2671</v>
      </c>
      <c r="D3" s="1" t="s">
        <v>2672</v>
      </c>
    </row>
    <row r="4" spans="1:10">
      <c r="A4" s="1" t="s">
        <v>2673</v>
      </c>
      <c r="D4" s="1" t="s">
        <v>2674</v>
      </c>
    </row>
    <row r="5" spans="1:10" ht="30">
      <c r="A5" s="1" t="s">
        <v>2675</v>
      </c>
      <c r="D5" s="1" t="s">
        <v>2676</v>
      </c>
    </row>
    <row r="6" spans="1:10" ht="60">
      <c r="A6" s="1" t="s">
        <v>2677</v>
      </c>
      <c r="D6" s="1" t="s">
        <v>2678</v>
      </c>
    </row>
    <row r="7" spans="1:10" ht="30">
      <c r="A7" s="1" t="s">
        <v>2679</v>
      </c>
    </row>
    <row r="8" spans="1:10" ht="30">
      <c r="A8" s="1" t="s">
        <v>2680</v>
      </c>
    </row>
    <row r="9" spans="1:10">
      <c r="A9" s="1" t="s">
        <v>2681</v>
      </c>
    </row>
    <row r="10" spans="1:10" ht="30">
      <c r="A10" s="1" t="s">
        <v>2682</v>
      </c>
      <c r="C10" s="1" t="s">
        <v>2683</v>
      </c>
      <c r="D10" s="1" t="s">
        <v>2684</v>
      </c>
    </row>
    <row r="11" spans="1:10">
      <c r="A11" s="1" t="s">
        <v>2685</v>
      </c>
      <c r="C11" s="1" t="s">
        <v>2686</v>
      </c>
      <c r="D11" s="1" t="s">
        <v>2687</v>
      </c>
    </row>
    <row r="12" spans="1:10" ht="30">
      <c r="A12" s="1" t="s">
        <v>2688</v>
      </c>
      <c r="C12" s="1" t="s">
        <v>2634</v>
      </c>
      <c r="D12" s="1" t="s">
        <v>2689</v>
      </c>
    </row>
    <row r="13" spans="1:10" ht="45">
      <c r="A13" s="1" t="s">
        <v>2688</v>
      </c>
      <c r="C13" s="1" t="s">
        <v>2690</v>
      </c>
      <c r="D13" s="1" t="s">
        <v>2691</v>
      </c>
    </row>
    <row r="14" spans="1:10">
      <c r="A14" s="1" t="s">
        <v>2692</v>
      </c>
      <c r="C14" s="1" t="s">
        <v>2683</v>
      </c>
      <c r="D14" s="1" t="s">
        <v>2693</v>
      </c>
    </row>
    <row r="15" spans="1:10">
      <c r="A15" s="1" t="s">
        <v>2694</v>
      </c>
      <c r="C15" s="1" t="s">
        <v>2683</v>
      </c>
      <c r="D15" s="1" t="s">
        <v>2695</v>
      </c>
    </row>
    <row r="16" spans="1:10" ht="45">
      <c r="A16" s="1" t="s">
        <v>2696</v>
      </c>
      <c r="C16" s="1" t="s">
        <v>2697</v>
      </c>
      <c r="D16" s="1" t="s">
        <v>2683</v>
      </c>
    </row>
    <row r="17" spans="1:4" ht="45">
      <c r="A17" s="1" t="s">
        <v>2698</v>
      </c>
      <c r="C17" s="1" t="s">
        <v>2699</v>
      </c>
      <c r="D17" s="1" t="s">
        <v>2700</v>
      </c>
    </row>
    <row r="18" spans="1:4">
      <c r="A18" s="1" t="s">
        <v>2701</v>
      </c>
      <c r="C18" s="1" t="s">
        <v>2683</v>
      </c>
      <c r="D18" s="1" t="s">
        <v>2702</v>
      </c>
    </row>
    <row r="19" spans="1:4">
      <c r="A19" s="1" t="s">
        <v>2703</v>
      </c>
    </row>
    <row r="20" spans="1:4">
      <c r="A20" s="1" t="s">
        <v>2704</v>
      </c>
    </row>
    <row r="21" spans="1:4" ht="30">
      <c r="A21" s="1" t="s">
        <v>2705</v>
      </c>
      <c r="D21" s="1" t="s">
        <v>2706</v>
      </c>
    </row>
    <row r="22" spans="1:4" ht="30">
      <c r="A22" s="1" t="s">
        <v>2707</v>
      </c>
    </row>
    <row r="23" spans="1:4" ht="45">
      <c r="A23" s="1" t="s">
        <v>2708</v>
      </c>
      <c r="B23" s="1" t="s">
        <v>2709</v>
      </c>
    </row>
    <row r="24" spans="1:4">
      <c r="A24" s="1" t="s">
        <v>2710</v>
      </c>
    </row>
    <row r="25" spans="1:4" ht="30">
      <c r="A25" s="1" t="s">
        <v>2711</v>
      </c>
      <c r="C25" s="1" t="s">
        <v>2712</v>
      </c>
      <c r="D25" s="1" t="s">
        <v>2713</v>
      </c>
    </row>
    <row r="26" spans="1:4" ht="30">
      <c r="A26" s="1" t="s">
        <v>2714</v>
      </c>
      <c r="C26" s="1" t="s">
        <v>2712</v>
      </c>
      <c r="D26" s="1" t="s">
        <v>2715</v>
      </c>
    </row>
    <row r="27" spans="1:4" ht="30">
      <c r="A27" s="1" t="s">
        <v>2716</v>
      </c>
      <c r="B27" s="1" t="s">
        <v>2717</v>
      </c>
      <c r="C27" s="1" t="s">
        <v>2718</v>
      </c>
      <c r="D27" s="1" t="s">
        <v>2719</v>
      </c>
    </row>
    <row r="28" spans="1:4">
      <c r="A28" s="1" t="s">
        <v>2720</v>
      </c>
      <c r="C28" s="1" t="s">
        <v>2683</v>
      </c>
      <c r="D28" s="1" t="s">
        <v>2721</v>
      </c>
    </row>
    <row r="29" spans="1:4" ht="30">
      <c r="A29" s="1" t="s">
        <v>2722</v>
      </c>
      <c r="D29" s="1" t="s">
        <v>2723</v>
      </c>
    </row>
    <row r="30" spans="1:4" ht="30">
      <c r="A30" s="1" t="s">
        <v>2724</v>
      </c>
    </row>
    <row r="31" spans="1:4">
      <c r="A31" s="1" t="s">
        <v>2725</v>
      </c>
    </row>
    <row r="32" spans="1:4">
      <c r="A32" s="1" t="s">
        <v>2726</v>
      </c>
    </row>
    <row r="33" spans="1:4" ht="30">
      <c r="A33" s="1" t="s">
        <v>2727</v>
      </c>
      <c r="C33" s="1" t="s">
        <v>2728</v>
      </c>
      <c r="D33" s="1">
        <v>1.1000000000000001</v>
      </c>
    </row>
    <row r="34" spans="1:4">
      <c r="A34" s="1" t="s">
        <v>2729</v>
      </c>
      <c r="C34" s="1" t="s">
        <v>2683</v>
      </c>
      <c r="D34" s="1" t="s">
        <v>2730</v>
      </c>
    </row>
    <row r="35" spans="1:4" ht="30">
      <c r="A35" s="1" t="s">
        <v>2731</v>
      </c>
      <c r="D35" s="1" t="s">
        <v>2732</v>
      </c>
    </row>
    <row r="36" spans="1:4" ht="30">
      <c r="A36" s="1" t="s">
        <v>2733</v>
      </c>
      <c r="C36" s="1" t="s">
        <v>2625</v>
      </c>
      <c r="D36" s="1" t="s">
        <v>2683</v>
      </c>
    </row>
    <row r="37" spans="1:4" ht="45">
      <c r="A37" s="1" t="s">
        <v>2734</v>
      </c>
      <c r="D37" s="1" t="s">
        <v>2735</v>
      </c>
    </row>
    <row r="38" spans="1:4" ht="30">
      <c r="A38" s="1" t="s">
        <v>2736</v>
      </c>
      <c r="D38" s="1" t="s">
        <v>2737</v>
      </c>
    </row>
    <row r="39" spans="1:4">
      <c r="A39" s="1" t="s">
        <v>2738</v>
      </c>
    </row>
    <row r="40" spans="1:4" ht="30">
      <c r="A40" s="1" t="s">
        <v>2739</v>
      </c>
      <c r="C40" s="1" t="s">
        <v>2740</v>
      </c>
      <c r="D40" s="1" t="s">
        <v>2741</v>
      </c>
    </row>
    <row r="41" spans="1:4" ht="30">
      <c r="A41" s="1" t="s">
        <v>2742</v>
      </c>
      <c r="C41" s="1" t="s">
        <v>2743</v>
      </c>
      <c r="D41" s="1" t="s">
        <v>2744</v>
      </c>
    </row>
    <row r="42" spans="1:4">
      <c r="A42" s="1" t="s">
        <v>2745</v>
      </c>
      <c r="D42" s="1" t="s">
        <v>2628</v>
      </c>
    </row>
    <row r="43" spans="1:4" ht="30">
      <c r="A43" s="1" t="s">
        <v>2746</v>
      </c>
      <c r="C43" s="1" t="s">
        <v>2747</v>
      </c>
      <c r="D43" s="1" t="s">
        <v>2748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2E327-7567-4527-A91E-B66E657ED670}">
  <sheetPr codeName="Sheet7"/>
  <dimension ref="A1:E43"/>
  <sheetViews>
    <sheetView workbookViewId="0">
      <selection activeCell="D16" sqref="D16"/>
    </sheetView>
  </sheetViews>
  <sheetFormatPr defaultRowHeight="15"/>
  <cols>
    <col min="2" max="2" width="38.7109375" bestFit="1" customWidth="1"/>
    <col min="4" max="4" width="115.28515625" bestFit="1" customWidth="1"/>
    <col min="5" max="5" width="10.85546875" bestFit="1" customWidth="1"/>
  </cols>
  <sheetData>
    <row r="1" spans="1:5">
      <c r="A1" t="s">
        <v>2492</v>
      </c>
      <c r="B1" t="s">
        <v>2493</v>
      </c>
      <c r="C1" t="s">
        <v>2494</v>
      </c>
      <c r="D1" t="s">
        <v>2495</v>
      </c>
      <c r="E1" t="s">
        <v>2496</v>
      </c>
    </row>
    <row r="2" spans="1:5">
      <c r="A2" t="s">
        <v>2670</v>
      </c>
    </row>
    <row r="3" spans="1:5">
      <c r="A3" t="s">
        <v>2671</v>
      </c>
      <c r="D3" t="s">
        <v>2672</v>
      </c>
    </row>
    <row r="4" spans="1:5">
      <c r="A4" t="s">
        <v>2673</v>
      </c>
      <c r="D4" t="s">
        <v>2674</v>
      </c>
    </row>
    <row r="5" spans="1:5">
      <c r="A5" t="s">
        <v>2675</v>
      </c>
      <c r="D5" t="s">
        <v>2676</v>
      </c>
    </row>
    <row r="6" spans="1:5">
      <c r="A6" t="s">
        <v>2677</v>
      </c>
      <c r="D6" t="s">
        <v>2678</v>
      </c>
    </row>
    <row r="7" spans="1:5">
      <c r="A7" t="s">
        <v>2679</v>
      </c>
    </row>
    <row r="8" spans="1:5">
      <c r="A8" t="s">
        <v>2680</v>
      </c>
    </row>
    <row r="9" spans="1:5">
      <c r="A9" t="s">
        <v>2681</v>
      </c>
    </row>
    <row r="10" spans="1:5">
      <c r="A10" t="s">
        <v>2682</v>
      </c>
      <c r="C10" t="s">
        <v>2683</v>
      </c>
      <c r="D10" t="s">
        <v>2684</v>
      </c>
      <c r="E10">
        <v>628.79999999999995</v>
      </c>
    </row>
    <row r="11" spans="1:5">
      <c r="A11" t="s">
        <v>2685</v>
      </c>
      <c r="C11" t="s">
        <v>2686</v>
      </c>
      <c r="D11" t="s">
        <v>2687</v>
      </c>
      <c r="E11">
        <v>0.95</v>
      </c>
    </row>
    <row r="12" spans="1:5">
      <c r="A12" t="s">
        <v>2688</v>
      </c>
      <c r="C12" t="s">
        <v>2634</v>
      </c>
      <c r="D12" t="s">
        <v>2689</v>
      </c>
      <c r="E12">
        <v>5</v>
      </c>
    </row>
    <row r="13" spans="1:5">
      <c r="A13" t="s">
        <v>2688</v>
      </c>
      <c r="C13" t="s">
        <v>2690</v>
      </c>
      <c r="D13" t="s">
        <v>2691</v>
      </c>
      <c r="E13">
        <v>1</v>
      </c>
    </row>
    <row r="14" spans="1:5">
      <c r="A14" t="s">
        <v>2692</v>
      </c>
      <c r="C14" t="s">
        <v>2683</v>
      </c>
      <c r="D14" t="s">
        <v>2693</v>
      </c>
      <c r="E14">
        <v>597</v>
      </c>
    </row>
    <row r="15" spans="1:5">
      <c r="A15" t="s">
        <v>2694</v>
      </c>
      <c r="C15" t="s">
        <v>2683</v>
      </c>
      <c r="D15" t="s">
        <v>2695</v>
      </c>
      <c r="E15">
        <v>597</v>
      </c>
    </row>
    <row r="16" spans="1:5">
      <c r="A16" t="s">
        <v>2696</v>
      </c>
      <c r="C16" t="s">
        <v>2697</v>
      </c>
      <c r="D16" t="s">
        <v>2683</v>
      </c>
      <c r="E16">
        <v>597</v>
      </c>
    </row>
    <row r="17" spans="1:5">
      <c r="A17" t="s">
        <v>2698</v>
      </c>
      <c r="C17" t="s">
        <v>2699</v>
      </c>
      <c r="D17" t="s">
        <v>2700</v>
      </c>
      <c r="E17">
        <v>1</v>
      </c>
    </row>
    <row r="18" spans="1:5">
      <c r="A18" t="s">
        <v>2701</v>
      </c>
      <c r="C18" t="s">
        <v>2683</v>
      </c>
      <c r="D18" t="s">
        <v>2702</v>
      </c>
      <c r="E18">
        <v>597</v>
      </c>
    </row>
    <row r="19" spans="1:5">
      <c r="A19" t="s">
        <v>2703</v>
      </c>
    </row>
    <row r="20" spans="1:5">
      <c r="A20" t="s">
        <v>2704</v>
      </c>
    </row>
    <row r="21" spans="1:5">
      <c r="A21" t="s">
        <v>2705</v>
      </c>
      <c r="D21" t="s">
        <v>2706</v>
      </c>
    </row>
    <row r="22" spans="1:5">
      <c r="A22" t="s">
        <v>2707</v>
      </c>
    </row>
    <row r="23" spans="1:5">
      <c r="A23" t="s">
        <v>2708</v>
      </c>
      <c r="B23" t="s">
        <v>2709</v>
      </c>
    </row>
    <row r="24" spans="1:5">
      <c r="A24" t="s">
        <v>2710</v>
      </c>
    </row>
    <row r="25" spans="1:5">
      <c r="A25" t="s">
        <v>2711</v>
      </c>
      <c r="C25" t="s">
        <v>2712</v>
      </c>
      <c r="D25" t="s">
        <v>2713</v>
      </c>
      <c r="E25">
        <v>10000000</v>
      </c>
    </row>
    <row r="26" spans="1:5">
      <c r="A26" t="s">
        <v>2714</v>
      </c>
      <c r="C26" t="s">
        <v>2712</v>
      </c>
      <c r="D26" t="s">
        <v>2715</v>
      </c>
      <c r="E26">
        <v>3.9999967999999999</v>
      </c>
    </row>
    <row r="27" spans="1:5">
      <c r="A27" t="s">
        <v>2716</v>
      </c>
      <c r="B27" t="s">
        <v>2717</v>
      </c>
      <c r="C27" t="s">
        <v>2718</v>
      </c>
      <c r="D27" t="s">
        <v>2719</v>
      </c>
      <c r="E27">
        <v>1.1000000000000001</v>
      </c>
    </row>
    <row r="28" spans="1:5">
      <c r="A28" t="s">
        <v>2720</v>
      </c>
      <c r="C28" t="s">
        <v>2683</v>
      </c>
      <c r="D28" t="s">
        <v>2721</v>
      </c>
      <c r="E28">
        <v>657</v>
      </c>
    </row>
    <row r="29" spans="1:5">
      <c r="A29" t="s">
        <v>2722</v>
      </c>
      <c r="D29" t="s">
        <v>2723</v>
      </c>
    </row>
    <row r="30" spans="1:5">
      <c r="A30" t="s">
        <v>2724</v>
      </c>
    </row>
    <row r="31" spans="1:5">
      <c r="A31" t="s">
        <v>2725</v>
      </c>
    </row>
    <row r="32" spans="1:5">
      <c r="A32" t="s">
        <v>2726</v>
      </c>
    </row>
    <row r="33" spans="1:5">
      <c r="A33" t="s">
        <v>2727</v>
      </c>
      <c r="C33" t="s">
        <v>2728</v>
      </c>
      <c r="D33">
        <v>1.1000000000000001</v>
      </c>
      <c r="E33">
        <v>1.1000000000000001</v>
      </c>
    </row>
    <row r="34" spans="1:5">
      <c r="A34" t="s">
        <v>2729</v>
      </c>
      <c r="C34" t="s">
        <v>2683</v>
      </c>
      <c r="D34" t="s">
        <v>2730</v>
      </c>
      <c r="E34">
        <v>723</v>
      </c>
    </row>
    <row r="35" spans="1:5">
      <c r="A35" t="s">
        <v>2731</v>
      </c>
      <c r="D35" t="s">
        <v>2732</v>
      </c>
    </row>
    <row r="36" spans="1:5">
      <c r="A36" t="s">
        <v>2733</v>
      </c>
      <c r="C36" t="s">
        <v>2625</v>
      </c>
      <c r="D36" t="s">
        <v>2683</v>
      </c>
      <c r="E36">
        <v>723</v>
      </c>
    </row>
    <row r="37" spans="1:5">
      <c r="A37" t="s">
        <v>2734</v>
      </c>
      <c r="D37" t="s">
        <v>2735</v>
      </c>
    </row>
    <row r="38" spans="1:5">
      <c r="A38" t="s">
        <v>2736</v>
      </c>
      <c r="D38" t="s">
        <v>2737</v>
      </c>
    </row>
    <row r="39" spans="1:5">
      <c r="A39" t="s">
        <v>2738</v>
      </c>
    </row>
    <row r="40" spans="1:5">
      <c r="A40" t="s">
        <v>2739</v>
      </c>
      <c r="C40" t="s">
        <v>2740</v>
      </c>
      <c r="D40" t="s">
        <v>2741</v>
      </c>
      <c r="E40">
        <v>723</v>
      </c>
    </row>
    <row r="41" spans="1:5">
      <c r="A41" t="s">
        <v>2742</v>
      </c>
      <c r="C41" t="s">
        <v>2743</v>
      </c>
      <c r="D41" t="s">
        <v>2744</v>
      </c>
      <c r="E41">
        <v>723</v>
      </c>
    </row>
    <row r="42" spans="1:5">
      <c r="A42" t="s">
        <v>2745</v>
      </c>
      <c r="D42" t="s">
        <v>2628</v>
      </c>
      <c r="E42">
        <v>723</v>
      </c>
    </row>
    <row r="43" spans="1:5">
      <c r="A43" t="s">
        <v>2746</v>
      </c>
      <c r="C43" t="s">
        <v>2747</v>
      </c>
      <c r="D43" t="s">
        <v>2748</v>
      </c>
      <c r="E43" t="s">
        <v>2748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2D595-F2FD-451F-8EF5-7BD509BEE20A}">
  <sheetPr codeName="Sheet5"/>
  <dimension ref="A1:E43"/>
  <sheetViews>
    <sheetView workbookViewId="0">
      <selection activeCell="D16" sqref="D16"/>
    </sheetView>
  </sheetViews>
  <sheetFormatPr defaultRowHeight="15"/>
  <cols>
    <col min="1" max="1" width="50.5703125" bestFit="1" customWidth="1"/>
    <col min="3" max="3" width="31.42578125" style="1" customWidth="1"/>
    <col min="4" max="4" width="38.42578125" style="1" customWidth="1"/>
    <col min="5" max="5" width="10.85546875" bestFit="1" customWidth="1"/>
  </cols>
  <sheetData>
    <row r="1" spans="1:5">
      <c r="A1" t="s">
        <v>2492</v>
      </c>
      <c r="B1" t="s">
        <v>2493</v>
      </c>
      <c r="C1" s="1" t="s">
        <v>2494</v>
      </c>
      <c r="D1" s="1" t="s">
        <v>2495</v>
      </c>
      <c r="E1" t="s">
        <v>2496</v>
      </c>
    </row>
    <row r="2" spans="1:5">
      <c r="A2" t="s">
        <v>2670</v>
      </c>
    </row>
    <row r="3" spans="1:5" ht="30">
      <c r="A3" t="s">
        <v>2671</v>
      </c>
      <c r="D3" s="1" t="s">
        <v>2672</v>
      </c>
    </row>
    <row r="4" spans="1:5">
      <c r="A4" t="s">
        <v>2673</v>
      </c>
      <c r="D4" s="1" t="s">
        <v>2674</v>
      </c>
    </row>
    <row r="5" spans="1:5" ht="30">
      <c r="A5" t="s">
        <v>2675</v>
      </c>
      <c r="D5" s="1" t="s">
        <v>2676</v>
      </c>
    </row>
    <row r="6" spans="1:5" ht="60">
      <c r="A6" t="s">
        <v>2677</v>
      </c>
      <c r="D6" s="1" t="s">
        <v>2678</v>
      </c>
    </row>
    <row r="7" spans="1:5">
      <c r="A7" t="s">
        <v>2679</v>
      </c>
    </row>
    <row r="8" spans="1:5">
      <c r="A8" t="s">
        <v>2680</v>
      </c>
    </row>
    <row r="9" spans="1:5">
      <c r="A9" t="s">
        <v>2681</v>
      </c>
    </row>
    <row r="10" spans="1:5" ht="30">
      <c r="A10" t="s">
        <v>2682</v>
      </c>
      <c r="C10" s="1" t="s">
        <v>2683</v>
      </c>
      <c r="D10" s="1" t="s">
        <v>2684</v>
      </c>
      <c r="E10">
        <v>628.79999999999995</v>
      </c>
    </row>
    <row r="11" spans="1:5">
      <c r="A11" t="s">
        <v>2685</v>
      </c>
      <c r="C11" s="1" t="s">
        <v>2686</v>
      </c>
      <c r="D11" s="1" t="s">
        <v>2687</v>
      </c>
      <c r="E11">
        <v>0.95</v>
      </c>
    </row>
    <row r="12" spans="1:5">
      <c r="A12" t="s">
        <v>2688</v>
      </c>
      <c r="C12" s="1" t="s">
        <v>2634</v>
      </c>
      <c r="D12" s="1" t="s">
        <v>2689</v>
      </c>
      <c r="E12">
        <v>5</v>
      </c>
    </row>
    <row r="13" spans="1:5" ht="45">
      <c r="A13" t="s">
        <v>2688</v>
      </c>
      <c r="C13" s="1" t="s">
        <v>2690</v>
      </c>
      <c r="D13" s="1" t="s">
        <v>2691</v>
      </c>
      <c r="E13">
        <v>1</v>
      </c>
    </row>
    <row r="14" spans="1:5">
      <c r="A14" t="s">
        <v>2692</v>
      </c>
      <c r="C14" s="1" t="s">
        <v>2683</v>
      </c>
      <c r="D14" s="1" t="s">
        <v>2693</v>
      </c>
      <c r="E14">
        <v>597</v>
      </c>
    </row>
    <row r="15" spans="1:5">
      <c r="A15" t="s">
        <v>2694</v>
      </c>
      <c r="C15" s="1" t="s">
        <v>2683</v>
      </c>
      <c r="D15" s="1" t="s">
        <v>2695</v>
      </c>
      <c r="E15">
        <v>597</v>
      </c>
    </row>
    <row r="16" spans="1:5">
      <c r="A16" t="s">
        <v>2696</v>
      </c>
      <c r="C16" s="1" t="s">
        <v>2697</v>
      </c>
      <c r="D16" s="1" t="s">
        <v>2683</v>
      </c>
      <c r="E16">
        <v>597</v>
      </c>
    </row>
    <row r="17" spans="1:5" ht="45">
      <c r="A17" t="s">
        <v>2698</v>
      </c>
      <c r="C17" s="1" t="s">
        <v>2699</v>
      </c>
      <c r="D17" s="1" t="s">
        <v>2700</v>
      </c>
      <c r="E17">
        <v>1</v>
      </c>
    </row>
    <row r="18" spans="1:5">
      <c r="A18" t="s">
        <v>2701</v>
      </c>
      <c r="C18" s="1" t="s">
        <v>2683</v>
      </c>
      <c r="D18" s="1" t="s">
        <v>2702</v>
      </c>
      <c r="E18">
        <v>597</v>
      </c>
    </row>
    <row r="19" spans="1:5">
      <c r="A19" t="s">
        <v>2703</v>
      </c>
    </row>
    <row r="20" spans="1:5">
      <c r="A20" t="s">
        <v>2704</v>
      </c>
    </row>
    <row r="21" spans="1:5" ht="30">
      <c r="A21" t="s">
        <v>2705</v>
      </c>
      <c r="D21" s="1" t="s">
        <v>2706</v>
      </c>
    </row>
    <row r="22" spans="1:5">
      <c r="A22" t="s">
        <v>2707</v>
      </c>
    </row>
    <row r="23" spans="1:5">
      <c r="A23" t="s">
        <v>2708</v>
      </c>
      <c r="B23" t="s">
        <v>2709</v>
      </c>
    </row>
    <row r="24" spans="1:5">
      <c r="A24" t="s">
        <v>2710</v>
      </c>
    </row>
    <row r="25" spans="1:5">
      <c r="A25" t="s">
        <v>2711</v>
      </c>
      <c r="C25" s="1" t="s">
        <v>2712</v>
      </c>
      <c r="D25" s="1" t="s">
        <v>2713</v>
      </c>
      <c r="E25">
        <v>10000000</v>
      </c>
    </row>
    <row r="26" spans="1:5">
      <c r="A26" t="s">
        <v>2714</v>
      </c>
      <c r="C26" s="1" t="s">
        <v>2712</v>
      </c>
      <c r="D26" s="1" t="s">
        <v>2715</v>
      </c>
      <c r="E26">
        <v>3.9999967999999999</v>
      </c>
    </row>
    <row r="27" spans="1:5" ht="30">
      <c r="A27" t="s">
        <v>2716</v>
      </c>
      <c r="B27" t="s">
        <v>2717</v>
      </c>
      <c r="C27" s="1" t="s">
        <v>2718</v>
      </c>
      <c r="D27" s="1" t="s">
        <v>2719</v>
      </c>
      <c r="E27">
        <v>1.1000000000000001</v>
      </c>
    </row>
    <row r="28" spans="1:5">
      <c r="A28" t="s">
        <v>2720</v>
      </c>
      <c r="C28" s="1" t="s">
        <v>2683</v>
      </c>
      <c r="D28" s="1" t="s">
        <v>2721</v>
      </c>
      <c r="E28">
        <v>657</v>
      </c>
    </row>
    <row r="29" spans="1:5" ht="30">
      <c r="A29" t="s">
        <v>2722</v>
      </c>
      <c r="D29" s="1" t="s">
        <v>2723</v>
      </c>
    </row>
    <row r="30" spans="1:5">
      <c r="A30" t="s">
        <v>2724</v>
      </c>
    </row>
    <row r="31" spans="1:5">
      <c r="A31" t="s">
        <v>2725</v>
      </c>
    </row>
    <row r="32" spans="1:5">
      <c r="A32" t="s">
        <v>2726</v>
      </c>
    </row>
    <row r="33" spans="1:5">
      <c r="A33" t="s">
        <v>2727</v>
      </c>
      <c r="C33" s="1" t="s">
        <v>2728</v>
      </c>
      <c r="D33" s="1">
        <v>1.1000000000000001</v>
      </c>
      <c r="E33">
        <v>1.1000000000000001</v>
      </c>
    </row>
    <row r="34" spans="1:5">
      <c r="A34" t="s">
        <v>2729</v>
      </c>
      <c r="C34" s="1" t="s">
        <v>2683</v>
      </c>
      <c r="D34" s="1" t="s">
        <v>2730</v>
      </c>
      <c r="E34">
        <v>723</v>
      </c>
    </row>
    <row r="35" spans="1:5" ht="30">
      <c r="A35" t="s">
        <v>2731</v>
      </c>
      <c r="D35" s="1" t="s">
        <v>2732</v>
      </c>
    </row>
    <row r="36" spans="1:5">
      <c r="A36" t="s">
        <v>2733</v>
      </c>
      <c r="C36" s="1" t="s">
        <v>2625</v>
      </c>
      <c r="D36" s="1" t="s">
        <v>2683</v>
      </c>
      <c r="E36">
        <v>723</v>
      </c>
    </row>
    <row r="37" spans="1:5" ht="45">
      <c r="A37" t="s">
        <v>2734</v>
      </c>
      <c r="D37" s="1" t="s">
        <v>2735</v>
      </c>
    </row>
    <row r="38" spans="1:5" ht="30">
      <c r="A38" t="s">
        <v>2736</v>
      </c>
      <c r="D38" s="1" t="s">
        <v>2737</v>
      </c>
    </row>
    <row r="39" spans="1:5">
      <c r="A39" t="s">
        <v>2738</v>
      </c>
    </row>
    <row r="40" spans="1:5">
      <c r="A40" t="s">
        <v>2739</v>
      </c>
      <c r="C40" s="1" t="s">
        <v>2740</v>
      </c>
      <c r="D40" s="1" t="s">
        <v>2741</v>
      </c>
      <c r="E40">
        <v>723</v>
      </c>
    </row>
    <row r="41" spans="1:5">
      <c r="A41" t="s">
        <v>2742</v>
      </c>
      <c r="C41" s="1" t="s">
        <v>2743</v>
      </c>
      <c r="D41" s="1" t="s">
        <v>2744</v>
      </c>
      <c r="E41">
        <v>723</v>
      </c>
    </row>
    <row r="42" spans="1:5">
      <c r="A42" t="s">
        <v>2745</v>
      </c>
      <c r="D42" s="1" t="s">
        <v>2628</v>
      </c>
      <c r="E42">
        <v>723</v>
      </c>
    </row>
    <row r="43" spans="1:5">
      <c r="A43" t="s">
        <v>2746</v>
      </c>
      <c r="C43" s="1" t="s">
        <v>2747</v>
      </c>
      <c r="D43" s="1" t="s">
        <v>2748</v>
      </c>
      <c r="E43" t="s">
        <v>2748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F962B-53DA-4AE6-AC78-B2893D144934}">
  <sheetPr codeName="Sheet9"/>
  <dimension ref="A1:E94"/>
  <sheetViews>
    <sheetView workbookViewId="0">
      <selection activeCell="E14" sqref="E14"/>
    </sheetView>
  </sheetViews>
  <sheetFormatPr defaultRowHeight="15"/>
  <sheetData>
    <row r="1" spans="1:5">
      <c r="A1" t="s">
        <v>3504</v>
      </c>
      <c r="B1" t="s">
        <v>3495</v>
      </c>
      <c r="C1" t="s">
        <v>3496</v>
      </c>
      <c r="D1" t="s">
        <v>3500</v>
      </c>
      <c r="E1" t="s">
        <v>3501</v>
      </c>
    </row>
    <row r="3" spans="1:5">
      <c r="A3" t="s">
        <v>2920</v>
      </c>
      <c r="B3" t="s">
        <v>2920</v>
      </c>
      <c r="C3" t="s">
        <v>2920</v>
      </c>
      <c r="D3" t="s">
        <v>2920</v>
      </c>
      <c r="E3" t="s">
        <v>2920</v>
      </c>
    </row>
    <row r="6" spans="1:5">
      <c r="A6" t="s">
        <v>2922</v>
      </c>
      <c r="B6" t="s">
        <v>2922</v>
      </c>
      <c r="C6" t="s">
        <v>2922</v>
      </c>
      <c r="D6" t="s">
        <v>2922</v>
      </c>
      <c r="E6" t="s">
        <v>2922</v>
      </c>
    </row>
    <row r="7" spans="1:5">
      <c r="A7" t="s">
        <v>2418</v>
      </c>
      <c r="B7" t="s">
        <v>2414</v>
      </c>
      <c r="C7" t="s">
        <v>2418</v>
      </c>
      <c r="D7" t="s">
        <v>2414</v>
      </c>
      <c r="E7" t="s">
        <v>2418</v>
      </c>
    </row>
    <row r="8" spans="1:5">
      <c r="A8">
        <v>435</v>
      </c>
      <c r="B8">
        <v>435</v>
      </c>
      <c r="C8">
        <v>435</v>
      </c>
      <c r="D8">
        <v>435</v>
      </c>
      <c r="E8">
        <v>435</v>
      </c>
    </row>
    <row r="10" spans="1:5">
      <c r="A10">
        <v>2000000</v>
      </c>
      <c r="B10">
        <v>1000000</v>
      </c>
      <c r="C10">
        <v>2000000</v>
      </c>
      <c r="D10">
        <v>1000000</v>
      </c>
      <c r="E10">
        <v>2000000</v>
      </c>
    </row>
    <row r="14" spans="1:5">
      <c r="A14">
        <v>0.1</v>
      </c>
      <c r="B14">
        <v>0.1</v>
      </c>
      <c r="C14">
        <v>0.1</v>
      </c>
      <c r="D14">
        <v>0.1</v>
      </c>
      <c r="E14">
        <v>0.1</v>
      </c>
    </row>
    <row r="15" spans="1:5">
      <c r="A15">
        <v>0.1</v>
      </c>
      <c r="B15">
        <v>0.1</v>
      </c>
      <c r="C15">
        <v>0.1</v>
      </c>
      <c r="D15">
        <v>0.1</v>
      </c>
      <c r="E15">
        <v>0.1</v>
      </c>
    </row>
    <row r="16" spans="1:5">
      <c r="A16">
        <v>200000</v>
      </c>
      <c r="B16">
        <v>100000</v>
      </c>
      <c r="C16">
        <v>200000</v>
      </c>
      <c r="D16">
        <v>100000</v>
      </c>
      <c r="E16">
        <v>200000</v>
      </c>
    </row>
    <row r="18" spans="1:5">
      <c r="A18">
        <v>0.5</v>
      </c>
      <c r="B18">
        <v>0.7</v>
      </c>
      <c r="C18">
        <v>0.5</v>
      </c>
      <c r="D18">
        <v>0.7</v>
      </c>
      <c r="E18">
        <v>0.5</v>
      </c>
    </row>
    <row r="19" spans="1:5">
      <c r="A19">
        <v>0.5</v>
      </c>
      <c r="B19">
        <v>0.7</v>
      </c>
      <c r="C19">
        <v>0.5</v>
      </c>
      <c r="D19">
        <v>0.7</v>
      </c>
      <c r="E19">
        <v>0.5</v>
      </c>
    </row>
    <row r="20" spans="1:5">
      <c r="A20">
        <v>1000000</v>
      </c>
      <c r="B20">
        <v>700000</v>
      </c>
      <c r="C20">
        <v>1000000</v>
      </c>
      <c r="D20">
        <v>700000</v>
      </c>
      <c r="E20">
        <v>1000000</v>
      </c>
    </row>
    <row r="22" spans="1:5">
      <c r="A22">
        <v>0.2</v>
      </c>
      <c r="B22">
        <v>0.3</v>
      </c>
      <c r="C22">
        <v>0.2</v>
      </c>
      <c r="D22">
        <v>0.3</v>
      </c>
      <c r="E22">
        <v>0.2</v>
      </c>
    </row>
    <row r="23" spans="1:5">
      <c r="A23">
        <v>0.2</v>
      </c>
      <c r="B23">
        <v>0.3</v>
      </c>
      <c r="C23">
        <v>0.2</v>
      </c>
      <c r="D23">
        <v>0.3</v>
      </c>
      <c r="E23">
        <v>0.2</v>
      </c>
    </row>
    <row r="24" spans="1:5">
      <c r="A24">
        <v>400000</v>
      </c>
      <c r="B24">
        <v>300000</v>
      </c>
      <c r="C24">
        <v>400000</v>
      </c>
      <c r="D24">
        <v>300000</v>
      </c>
      <c r="E24">
        <v>400000</v>
      </c>
    </row>
    <row r="26" spans="1:5">
      <c r="A26">
        <v>0</v>
      </c>
      <c r="B26">
        <v>0</v>
      </c>
      <c r="C26">
        <v>0</v>
      </c>
      <c r="D26">
        <v>0</v>
      </c>
      <c r="E26">
        <v>0</v>
      </c>
    </row>
    <row r="27" spans="1:5">
      <c r="A27">
        <v>0</v>
      </c>
      <c r="B27">
        <v>0</v>
      </c>
      <c r="C27">
        <v>0</v>
      </c>
      <c r="D27">
        <v>0</v>
      </c>
      <c r="E27">
        <v>0</v>
      </c>
    </row>
    <row r="28" spans="1:5">
      <c r="A28">
        <v>0</v>
      </c>
      <c r="B28">
        <v>0</v>
      </c>
      <c r="C28">
        <v>0</v>
      </c>
      <c r="D28">
        <v>0</v>
      </c>
      <c r="E28">
        <v>0</v>
      </c>
    </row>
    <row r="29" spans="1:5">
      <c r="A29">
        <v>0</v>
      </c>
      <c r="B29">
        <v>0</v>
      </c>
      <c r="C29">
        <v>0</v>
      </c>
      <c r="D29">
        <v>0</v>
      </c>
      <c r="E29">
        <v>0</v>
      </c>
    </row>
    <row r="30" spans="1:5">
      <c r="A30">
        <v>0</v>
      </c>
      <c r="B30">
        <v>0</v>
      </c>
      <c r="C30">
        <v>0</v>
      </c>
      <c r="D30">
        <v>0</v>
      </c>
      <c r="E30">
        <v>0</v>
      </c>
    </row>
    <row r="34" spans="1:5">
      <c r="A34">
        <v>196.19</v>
      </c>
      <c r="B34">
        <v>196.19</v>
      </c>
      <c r="C34">
        <v>196.19</v>
      </c>
      <c r="D34">
        <v>196.19</v>
      </c>
      <c r="E34">
        <v>196.19</v>
      </c>
    </row>
    <row r="35" spans="1:5">
      <c r="A35">
        <v>1.17</v>
      </c>
      <c r="B35">
        <v>1.2</v>
      </c>
      <c r="C35">
        <v>1.17</v>
      </c>
      <c r="D35">
        <v>1.2</v>
      </c>
      <c r="E35">
        <v>1.17</v>
      </c>
    </row>
    <row r="36" spans="1:5">
      <c r="A36">
        <v>230</v>
      </c>
      <c r="B36">
        <v>235</v>
      </c>
      <c r="C36">
        <v>230</v>
      </c>
      <c r="D36">
        <v>235</v>
      </c>
      <c r="E36">
        <v>230</v>
      </c>
    </row>
    <row r="38" spans="1:5">
      <c r="A38" t="s">
        <v>2558</v>
      </c>
      <c r="B38" t="s">
        <v>2558</v>
      </c>
      <c r="C38" t="s">
        <v>2558</v>
      </c>
      <c r="D38" t="s">
        <v>2558</v>
      </c>
      <c r="E38" t="s">
        <v>2558</v>
      </c>
    </row>
    <row r="39" spans="1:5">
      <c r="A39" t="b">
        <v>0</v>
      </c>
      <c r="B39" t="b">
        <v>0</v>
      </c>
      <c r="C39" t="b">
        <v>0</v>
      </c>
      <c r="D39" t="b">
        <v>0</v>
      </c>
      <c r="E39" t="b">
        <v>0</v>
      </c>
    </row>
    <row r="40" spans="1:5">
      <c r="A40" t="s">
        <v>2565</v>
      </c>
      <c r="B40" t="s">
        <v>2565</v>
      </c>
      <c r="C40" t="s">
        <v>2565</v>
      </c>
      <c r="D40" t="s">
        <v>2565</v>
      </c>
      <c r="E40" t="s">
        <v>2565</v>
      </c>
    </row>
    <row r="41" spans="1:5">
      <c r="A41">
        <v>1.5141</v>
      </c>
      <c r="B41">
        <v>1.5141</v>
      </c>
      <c r="C41">
        <v>1.5141</v>
      </c>
      <c r="D41">
        <v>1.5141</v>
      </c>
      <c r="E41">
        <v>1.5141</v>
      </c>
    </row>
    <row r="42" spans="1:5">
      <c r="A42">
        <v>348</v>
      </c>
      <c r="B42">
        <v>356</v>
      </c>
      <c r="C42">
        <v>348</v>
      </c>
      <c r="D42">
        <v>356</v>
      </c>
      <c r="E42">
        <v>348</v>
      </c>
    </row>
    <row r="44" spans="1:5">
      <c r="A44">
        <v>12.247999999999999</v>
      </c>
      <c r="B44">
        <v>6.9480000000000004</v>
      </c>
      <c r="C44">
        <v>12.247999999999999</v>
      </c>
      <c r="D44">
        <v>6.9480000000000004</v>
      </c>
      <c r="E44">
        <v>12.247999999999999</v>
      </c>
    </row>
    <row r="45" spans="1:5">
      <c r="A45">
        <v>4262</v>
      </c>
      <c r="B45">
        <v>2473</v>
      </c>
      <c r="C45">
        <v>4262</v>
      </c>
      <c r="D45">
        <v>2473</v>
      </c>
      <c r="E45">
        <v>4262</v>
      </c>
    </row>
    <row r="47" spans="1:5">
      <c r="A47" t="b">
        <v>0</v>
      </c>
      <c r="B47" t="b">
        <v>0</v>
      </c>
      <c r="C47" t="b">
        <v>0</v>
      </c>
      <c r="D47" t="b">
        <v>0</v>
      </c>
      <c r="E47" t="b">
        <v>0</v>
      </c>
    </row>
    <row r="48" spans="1:5">
      <c r="A48" t="b">
        <v>0</v>
      </c>
      <c r="B48" t="b">
        <v>0</v>
      </c>
      <c r="C48" t="b">
        <v>0</v>
      </c>
      <c r="D48" t="b">
        <v>0</v>
      </c>
      <c r="E48" t="b">
        <v>0</v>
      </c>
    </row>
    <row r="49" spans="1:5">
      <c r="A49">
        <v>4262</v>
      </c>
      <c r="B49">
        <v>2473</v>
      </c>
      <c r="C49">
        <v>4262</v>
      </c>
      <c r="D49">
        <v>2473</v>
      </c>
      <c r="E49">
        <v>4262</v>
      </c>
    </row>
    <row r="50" spans="1:5">
      <c r="A50">
        <v>4262</v>
      </c>
      <c r="B50">
        <v>2473</v>
      </c>
      <c r="C50">
        <v>4262</v>
      </c>
      <c r="D50">
        <v>2473</v>
      </c>
      <c r="E50">
        <v>4262</v>
      </c>
    </row>
    <row r="53" spans="1:5">
      <c r="A53">
        <v>4262</v>
      </c>
      <c r="B53">
        <v>2473</v>
      </c>
      <c r="C53">
        <v>4262</v>
      </c>
      <c r="D53">
        <v>2473</v>
      </c>
      <c r="E53">
        <v>4262</v>
      </c>
    </row>
    <row r="54" spans="1:5">
      <c r="A54" t="s">
        <v>2922</v>
      </c>
      <c r="B54" t="s">
        <v>2922</v>
      </c>
      <c r="C54" t="s">
        <v>2922</v>
      </c>
      <c r="D54" t="s">
        <v>2922</v>
      </c>
      <c r="E54" t="s">
        <v>2922</v>
      </c>
    </row>
    <row r="57" spans="1:5">
      <c r="A57">
        <v>1000</v>
      </c>
      <c r="B57">
        <v>1000</v>
      </c>
      <c r="C57">
        <v>1000</v>
      </c>
      <c r="D57">
        <v>1000</v>
      </c>
      <c r="E57">
        <v>1000</v>
      </c>
    </row>
    <row r="58" spans="1:5">
      <c r="A58">
        <v>1</v>
      </c>
      <c r="B58">
        <v>1</v>
      </c>
      <c r="C58">
        <v>1</v>
      </c>
      <c r="D58">
        <v>1</v>
      </c>
      <c r="E58">
        <v>1</v>
      </c>
    </row>
    <row r="60" spans="1:5">
      <c r="A60">
        <v>0</v>
      </c>
      <c r="B60">
        <v>0</v>
      </c>
      <c r="C60">
        <v>0</v>
      </c>
      <c r="D60">
        <v>0</v>
      </c>
      <c r="E60">
        <v>0</v>
      </c>
    </row>
    <row r="61" spans="1:5">
      <c r="A61">
        <v>0</v>
      </c>
      <c r="B61">
        <v>0</v>
      </c>
      <c r="C61">
        <v>0</v>
      </c>
      <c r="D61">
        <v>0</v>
      </c>
      <c r="E61">
        <v>0</v>
      </c>
    </row>
    <row r="63" spans="1:5">
      <c r="A63">
        <v>0</v>
      </c>
      <c r="B63">
        <v>0</v>
      </c>
      <c r="C63">
        <v>0</v>
      </c>
      <c r="D63">
        <v>0</v>
      </c>
      <c r="E63">
        <v>0</v>
      </c>
    </row>
    <row r="64" spans="1:5">
      <c r="A64">
        <v>0</v>
      </c>
      <c r="B64">
        <v>0</v>
      </c>
      <c r="C64">
        <v>0</v>
      </c>
      <c r="D64">
        <v>0</v>
      </c>
      <c r="E64">
        <v>0</v>
      </c>
    </row>
    <row r="66" spans="1:5">
      <c r="A66">
        <v>3</v>
      </c>
      <c r="B66">
        <v>1</v>
      </c>
      <c r="C66">
        <v>3</v>
      </c>
      <c r="D66">
        <v>1</v>
      </c>
      <c r="E66">
        <v>3</v>
      </c>
    </row>
    <row r="67" spans="1:5">
      <c r="A67">
        <v>10.8</v>
      </c>
      <c r="B67">
        <v>3.6</v>
      </c>
      <c r="C67">
        <v>10.8</v>
      </c>
      <c r="D67">
        <v>3.6</v>
      </c>
      <c r="E67">
        <v>10.8</v>
      </c>
    </row>
    <row r="68" spans="1:5">
      <c r="A68">
        <v>3.6</v>
      </c>
      <c r="B68">
        <v>1.2</v>
      </c>
      <c r="C68">
        <v>3.6</v>
      </c>
      <c r="D68">
        <v>1.2</v>
      </c>
      <c r="E68">
        <v>3.6</v>
      </c>
    </row>
    <row r="71" spans="1:5">
      <c r="A71" t="s">
        <v>2411</v>
      </c>
      <c r="B71" t="s">
        <v>2411</v>
      </c>
      <c r="C71" t="s">
        <v>2411</v>
      </c>
      <c r="D71" t="s">
        <v>2411</v>
      </c>
      <c r="E71" t="s">
        <v>2411</v>
      </c>
    </row>
    <row r="74" spans="1:5">
      <c r="A74" t="s">
        <v>2941</v>
      </c>
      <c r="B74" t="s">
        <v>2941</v>
      </c>
      <c r="C74" t="s">
        <v>2941</v>
      </c>
      <c r="D74" t="s">
        <v>2941</v>
      </c>
      <c r="E74" t="s">
        <v>2941</v>
      </c>
    </row>
    <row r="77" spans="1:5">
      <c r="A77" t="s">
        <v>2942</v>
      </c>
      <c r="B77" t="s">
        <v>2942</v>
      </c>
      <c r="C77" t="s">
        <v>2942</v>
      </c>
      <c r="D77" t="s">
        <v>2942</v>
      </c>
      <c r="E77" t="s">
        <v>2942</v>
      </c>
    </row>
    <row r="80" spans="1:5">
      <c r="A80" t="s">
        <v>2943</v>
      </c>
      <c r="B80" t="s">
        <v>2943</v>
      </c>
      <c r="C80" t="s">
        <v>2943</v>
      </c>
      <c r="D80" t="s">
        <v>2943</v>
      </c>
      <c r="E80" t="s">
        <v>2943</v>
      </c>
    </row>
    <row r="83" spans="1:5">
      <c r="A83" t="s">
        <v>2412</v>
      </c>
      <c r="B83" t="s">
        <v>2412</v>
      </c>
      <c r="C83" t="s">
        <v>2412</v>
      </c>
      <c r="D83" t="s">
        <v>2412</v>
      </c>
      <c r="E83" t="s">
        <v>2412</v>
      </c>
    </row>
    <row r="86" spans="1:5">
      <c r="A86" t="s">
        <v>2413</v>
      </c>
      <c r="B86" t="s">
        <v>2413</v>
      </c>
      <c r="C86" t="s">
        <v>2413</v>
      </c>
      <c r="D86" t="s">
        <v>2413</v>
      </c>
      <c r="E86" t="s">
        <v>2413</v>
      </c>
    </row>
    <row r="89" spans="1:5">
      <c r="A89" t="s">
        <v>2415</v>
      </c>
      <c r="B89" t="s">
        <v>2415</v>
      </c>
      <c r="C89" t="s">
        <v>2415</v>
      </c>
      <c r="D89" t="s">
        <v>2415</v>
      </c>
      <c r="E89" t="s">
        <v>2415</v>
      </c>
    </row>
    <row r="92" spans="1:5">
      <c r="A92">
        <v>4262</v>
      </c>
      <c r="B92">
        <v>2473</v>
      </c>
      <c r="C92">
        <v>4262</v>
      </c>
      <c r="D92">
        <v>2473</v>
      </c>
      <c r="E92">
        <v>4262</v>
      </c>
    </row>
    <row r="93" spans="1:5">
      <c r="A93">
        <v>4276.3999999999996</v>
      </c>
      <c r="B93">
        <v>2477.8000000000002</v>
      </c>
      <c r="C93">
        <v>4276.3999999999996</v>
      </c>
      <c r="D93">
        <v>2477.8000000000002</v>
      </c>
      <c r="E93">
        <v>4276.3999999999996</v>
      </c>
    </row>
    <row r="94" spans="1:5">
      <c r="A94">
        <v>4276.3999999999996</v>
      </c>
      <c r="B94">
        <v>2477.8000000000002</v>
      </c>
      <c r="C94">
        <v>4276.3999999999996</v>
      </c>
      <c r="D94">
        <v>2477.8000000000002</v>
      </c>
      <c r="E94">
        <v>4276.3999999999996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CF0B-ECC4-4D07-8D85-33304EFB6810}">
  <sheetPr codeName="Sheet6"/>
  <dimension ref="A1:F43"/>
  <sheetViews>
    <sheetView workbookViewId="0">
      <selection activeCell="D7" sqref="D7"/>
    </sheetView>
  </sheetViews>
  <sheetFormatPr defaultRowHeight="15"/>
  <cols>
    <col min="1" max="1" width="39.5703125" customWidth="1"/>
    <col min="4" max="4" width="36.85546875" customWidth="1"/>
    <col min="5" max="5" width="34.7109375" customWidth="1"/>
  </cols>
  <sheetData>
    <row r="1" spans="1:6">
      <c r="A1" s="114" t="s">
        <v>2492</v>
      </c>
      <c r="B1" s="114" t="s">
        <v>2493</v>
      </c>
      <c r="C1" s="114" t="s">
        <v>2494</v>
      </c>
      <c r="D1" s="114" t="s">
        <v>2495</v>
      </c>
      <c r="E1" s="114" t="s">
        <v>2496</v>
      </c>
      <c r="F1" s="115"/>
    </row>
    <row r="2" spans="1:6">
      <c r="A2" s="116" t="s">
        <v>2749</v>
      </c>
      <c r="B2" s="117"/>
      <c r="C2" s="117"/>
      <c r="D2" s="117"/>
      <c r="E2" s="115"/>
      <c r="F2" s="118"/>
    </row>
    <row r="3" spans="1:6" ht="24">
      <c r="A3" s="119" t="s">
        <v>2750</v>
      </c>
      <c r="B3" s="117"/>
      <c r="C3" s="117"/>
      <c r="D3" s="117" t="s">
        <v>2672</v>
      </c>
      <c r="E3" s="115"/>
      <c r="F3" s="118"/>
    </row>
    <row r="4" spans="1:6">
      <c r="A4" s="120" t="s">
        <v>2751</v>
      </c>
      <c r="B4" s="117"/>
      <c r="C4" s="117"/>
      <c r="D4" s="117" t="s">
        <v>2674</v>
      </c>
      <c r="E4" s="115"/>
      <c r="F4" s="118"/>
    </row>
    <row r="5" spans="1:6" ht="24">
      <c r="A5" s="121" t="s">
        <v>2752</v>
      </c>
      <c r="B5" s="117"/>
      <c r="C5" s="117"/>
      <c r="D5" s="117" t="s">
        <v>2676</v>
      </c>
      <c r="E5" s="115"/>
      <c r="F5" s="118"/>
    </row>
    <row r="6" spans="1:6" ht="48">
      <c r="A6" s="122" t="s">
        <v>2677</v>
      </c>
      <c r="B6" s="117"/>
      <c r="C6" s="117"/>
      <c r="D6" s="117" t="s">
        <v>2678</v>
      </c>
      <c r="E6" s="115"/>
      <c r="F6" s="118"/>
    </row>
    <row r="7" spans="1:6" ht="24">
      <c r="A7" s="122" t="s">
        <v>2753</v>
      </c>
      <c r="B7" s="117"/>
      <c r="C7" s="117"/>
      <c r="D7" s="117"/>
      <c r="E7" s="115"/>
      <c r="F7" s="118"/>
    </row>
    <row r="8" spans="1:6" ht="24">
      <c r="A8" s="123" t="s">
        <v>2754</v>
      </c>
      <c r="B8" s="117"/>
      <c r="C8" s="117"/>
      <c r="D8" s="117"/>
      <c r="E8" s="115"/>
      <c r="F8" s="118"/>
    </row>
    <row r="9" spans="1:6">
      <c r="A9" s="124" t="s">
        <v>2755</v>
      </c>
      <c r="B9" s="117"/>
      <c r="C9" s="117"/>
      <c r="D9" s="117"/>
      <c r="E9" s="115"/>
      <c r="F9" s="118"/>
    </row>
    <row r="10" spans="1:6" ht="24">
      <c r="A10" s="125" t="s">
        <v>2682</v>
      </c>
      <c r="B10" s="117"/>
      <c r="C10" s="117" t="s">
        <v>2683</v>
      </c>
      <c r="D10" s="117" t="s">
        <v>2684</v>
      </c>
      <c r="E10" s="115">
        <v>628.79999999999995</v>
      </c>
      <c r="F10" s="118"/>
    </row>
    <row r="11" spans="1:6" ht="24">
      <c r="A11" s="125" t="s">
        <v>2685</v>
      </c>
      <c r="B11" s="117"/>
      <c r="C11" s="117" t="s">
        <v>2686</v>
      </c>
      <c r="D11" s="117" t="s">
        <v>2687</v>
      </c>
      <c r="E11" s="115">
        <v>0.95</v>
      </c>
      <c r="F11" s="118"/>
    </row>
    <row r="12" spans="1:6" ht="24">
      <c r="A12" s="125" t="s">
        <v>2688</v>
      </c>
      <c r="B12" s="117"/>
      <c r="C12" s="117" t="s">
        <v>2634</v>
      </c>
      <c r="D12" s="117" t="s">
        <v>2689</v>
      </c>
      <c r="E12" s="115">
        <v>5</v>
      </c>
      <c r="F12" s="118"/>
    </row>
    <row r="13" spans="1:6" ht="36">
      <c r="A13" s="125" t="s">
        <v>2688</v>
      </c>
      <c r="B13" s="117"/>
      <c r="C13" s="117" t="s">
        <v>2690</v>
      </c>
      <c r="D13" s="117" t="s">
        <v>2691</v>
      </c>
      <c r="E13" s="115">
        <v>1</v>
      </c>
      <c r="F13" s="118"/>
    </row>
    <row r="14" spans="1:6" ht="24">
      <c r="A14" s="125" t="s">
        <v>2692</v>
      </c>
      <c r="B14" s="117"/>
      <c r="C14" s="117" t="s">
        <v>2683</v>
      </c>
      <c r="D14" s="117" t="s">
        <v>2693</v>
      </c>
      <c r="E14" s="115">
        <v>597</v>
      </c>
      <c r="F14" s="118"/>
    </row>
    <row r="15" spans="1:6" ht="24">
      <c r="A15" s="125" t="s">
        <v>2694</v>
      </c>
      <c r="B15" s="117"/>
      <c r="C15" s="117" t="s">
        <v>2683</v>
      </c>
      <c r="D15" s="117" t="s">
        <v>2695</v>
      </c>
      <c r="E15" s="115">
        <v>597</v>
      </c>
      <c r="F15" s="118"/>
    </row>
    <row r="16" spans="1:6" ht="48">
      <c r="A16" s="125" t="s">
        <v>2696</v>
      </c>
      <c r="B16" s="117"/>
      <c r="C16" s="117" t="s">
        <v>2697</v>
      </c>
      <c r="D16" s="117" t="s">
        <v>2683</v>
      </c>
      <c r="E16" s="115">
        <v>597</v>
      </c>
      <c r="F16" s="118"/>
    </row>
    <row r="17" spans="1:6" ht="36">
      <c r="A17" s="125" t="s">
        <v>2698</v>
      </c>
      <c r="B17" s="117"/>
      <c r="C17" s="117" t="s">
        <v>2699</v>
      </c>
      <c r="D17" s="117" t="s">
        <v>2700</v>
      </c>
      <c r="E17" s="115">
        <v>1</v>
      </c>
      <c r="F17" s="118"/>
    </row>
    <row r="18" spans="1:6" ht="24">
      <c r="A18" s="125" t="s">
        <v>2701</v>
      </c>
      <c r="B18" s="117"/>
      <c r="C18" s="117" t="s">
        <v>2683</v>
      </c>
      <c r="D18" s="117" t="s">
        <v>2702</v>
      </c>
      <c r="E18" s="115">
        <v>597</v>
      </c>
      <c r="F18" s="118"/>
    </row>
    <row r="19" spans="1:6">
      <c r="A19" s="124" t="s">
        <v>2703</v>
      </c>
      <c r="B19" s="117"/>
      <c r="C19" s="117"/>
      <c r="D19" s="117"/>
      <c r="E19" s="115"/>
      <c r="F19" s="118"/>
    </row>
    <row r="20" spans="1:6">
      <c r="A20" s="124" t="s">
        <v>2756</v>
      </c>
      <c r="B20" s="117"/>
      <c r="C20" s="117"/>
      <c r="D20" s="117"/>
      <c r="E20" s="115"/>
      <c r="F20" s="118"/>
    </row>
    <row r="21" spans="1:6" ht="24">
      <c r="A21" s="125" t="s">
        <v>2705</v>
      </c>
      <c r="B21" s="117"/>
      <c r="C21" s="117"/>
      <c r="D21" s="117" t="s">
        <v>2706</v>
      </c>
      <c r="E21" s="115"/>
      <c r="F21" s="118"/>
    </row>
    <row r="22" spans="1:6" ht="24">
      <c r="A22" s="122" t="s">
        <v>2757</v>
      </c>
      <c r="B22" s="117"/>
      <c r="C22" s="117"/>
      <c r="D22" s="117"/>
      <c r="E22" s="115"/>
      <c r="F22" s="118"/>
    </row>
    <row r="23" spans="1:6" ht="72">
      <c r="A23" s="123" t="s">
        <v>2758</v>
      </c>
      <c r="B23" s="117" t="s">
        <v>2709</v>
      </c>
      <c r="C23" s="117"/>
      <c r="D23" s="117"/>
      <c r="E23" s="115"/>
      <c r="F23" s="118"/>
    </row>
    <row r="24" spans="1:6">
      <c r="A24" s="124" t="s">
        <v>2759</v>
      </c>
      <c r="B24" s="117"/>
      <c r="C24" s="117"/>
      <c r="D24" s="117"/>
      <c r="E24" s="115"/>
      <c r="F24" s="118"/>
    </row>
    <row r="25" spans="1:6" ht="36">
      <c r="A25" s="125" t="s">
        <v>2711</v>
      </c>
      <c r="B25" s="117"/>
      <c r="C25" s="117" t="s">
        <v>2712</v>
      </c>
      <c r="D25" s="117" t="s">
        <v>2713</v>
      </c>
      <c r="E25" s="115">
        <v>10000000</v>
      </c>
      <c r="F25" s="118"/>
    </row>
    <row r="26" spans="1:6" ht="36">
      <c r="A26" s="125" t="s">
        <v>2714</v>
      </c>
      <c r="B26" s="117"/>
      <c r="C26" s="117" t="s">
        <v>2712</v>
      </c>
      <c r="D26" s="117" t="s">
        <v>2715</v>
      </c>
      <c r="E26" s="115">
        <v>3.9999967999999999</v>
      </c>
      <c r="F26" s="118"/>
    </row>
    <row r="27" spans="1:6" ht="36">
      <c r="A27" s="125" t="s">
        <v>2716</v>
      </c>
      <c r="B27" s="117" t="s">
        <v>2717</v>
      </c>
      <c r="C27" s="117" t="s">
        <v>2718</v>
      </c>
      <c r="D27" s="117" t="s">
        <v>2719</v>
      </c>
      <c r="E27" s="115">
        <v>1.1000000000000001</v>
      </c>
      <c r="F27" s="118"/>
    </row>
    <row r="28" spans="1:6" ht="24">
      <c r="A28" s="125" t="s">
        <v>2720</v>
      </c>
      <c r="B28" s="117"/>
      <c r="C28" s="117" t="s">
        <v>2683</v>
      </c>
      <c r="D28" s="117" t="s">
        <v>2721</v>
      </c>
      <c r="E28" s="115">
        <v>657</v>
      </c>
      <c r="F28" s="118"/>
    </row>
    <row r="29" spans="1:6" ht="24">
      <c r="A29" s="124" t="s">
        <v>2722</v>
      </c>
      <c r="B29" s="117"/>
      <c r="C29" s="117"/>
      <c r="D29" s="117" t="s">
        <v>2723</v>
      </c>
      <c r="E29" s="115"/>
      <c r="F29" s="118"/>
    </row>
    <row r="30" spans="1:6" ht="24">
      <c r="A30" s="122" t="s">
        <v>2760</v>
      </c>
      <c r="B30" s="117"/>
      <c r="C30" s="117"/>
      <c r="D30" s="117"/>
      <c r="E30" s="115"/>
      <c r="F30" s="118"/>
    </row>
    <row r="31" spans="1:6" ht="24">
      <c r="A31" s="123" t="s">
        <v>2761</v>
      </c>
      <c r="B31" s="117"/>
      <c r="C31" s="117"/>
      <c r="D31" s="117"/>
      <c r="E31" s="115"/>
      <c r="F31" s="118"/>
    </row>
    <row r="32" spans="1:6">
      <c r="A32" s="124" t="s">
        <v>2762</v>
      </c>
      <c r="B32" s="117"/>
      <c r="C32" s="117"/>
      <c r="D32" s="117"/>
      <c r="E32" s="115"/>
      <c r="F32" s="118"/>
    </row>
    <row r="33" spans="1:6" ht="36">
      <c r="A33" s="125" t="s">
        <v>2727</v>
      </c>
      <c r="B33" s="117"/>
      <c r="C33" s="117" t="s">
        <v>2728</v>
      </c>
      <c r="D33" s="117">
        <v>1.1000000000000001</v>
      </c>
      <c r="E33" s="115">
        <v>1.1000000000000001</v>
      </c>
      <c r="F33" s="118"/>
    </row>
    <row r="34" spans="1:6" ht="24">
      <c r="A34" s="125" t="s">
        <v>2729</v>
      </c>
      <c r="B34" s="117"/>
      <c r="C34" s="117" t="s">
        <v>2683</v>
      </c>
      <c r="D34" s="117" t="s">
        <v>2730</v>
      </c>
      <c r="E34" s="115">
        <v>723</v>
      </c>
      <c r="F34" s="118"/>
    </row>
    <row r="35" spans="1:6" ht="24">
      <c r="A35" s="124" t="s">
        <v>2731</v>
      </c>
      <c r="B35" s="117"/>
      <c r="C35" s="117"/>
      <c r="D35" s="117" t="s">
        <v>2732</v>
      </c>
      <c r="E35" s="115"/>
      <c r="F35" s="118"/>
    </row>
    <row r="36" spans="1:6" ht="36">
      <c r="A36" s="122" t="s">
        <v>2733</v>
      </c>
      <c r="B36" s="117"/>
      <c r="C36" s="117" t="s">
        <v>2625</v>
      </c>
      <c r="D36" s="117" t="s">
        <v>2683</v>
      </c>
      <c r="E36" s="115">
        <v>723</v>
      </c>
      <c r="F36" s="118"/>
    </row>
    <row r="37" spans="1:6" ht="36">
      <c r="A37" s="122" t="s">
        <v>2734</v>
      </c>
      <c r="B37" s="117"/>
      <c r="C37" s="117"/>
      <c r="D37" s="117" t="s">
        <v>2735</v>
      </c>
      <c r="E37" s="115"/>
      <c r="F37" s="118"/>
    </row>
    <row r="38" spans="1:6" ht="24">
      <c r="A38" s="122" t="s">
        <v>2736</v>
      </c>
      <c r="B38" s="117"/>
      <c r="C38" s="117"/>
      <c r="D38" s="117" t="s">
        <v>2737</v>
      </c>
      <c r="E38" s="115"/>
      <c r="F38" s="118"/>
    </row>
    <row r="39" spans="1:6">
      <c r="A39" s="122" t="s">
        <v>2763</v>
      </c>
      <c r="B39" s="117"/>
      <c r="C39" s="117"/>
      <c r="D39" s="117"/>
      <c r="E39" s="115"/>
      <c r="F39" s="118"/>
    </row>
    <row r="40" spans="1:6" ht="36">
      <c r="A40" s="123" t="s">
        <v>2739</v>
      </c>
      <c r="B40" s="117"/>
      <c r="C40" s="117" t="s">
        <v>2740</v>
      </c>
      <c r="D40" s="117" t="s">
        <v>2741</v>
      </c>
      <c r="E40" s="115">
        <v>723</v>
      </c>
      <c r="F40" s="118"/>
    </row>
    <row r="41" spans="1:6" ht="36">
      <c r="A41" s="123" t="s">
        <v>2742</v>
      </c>
      <c r="B41" s="117"/>
      <c r="C41" s="117" t="s">
        <v>2743</v>
      </c>
      <c r="D41" s="117" t="s">
        <v>2744</v>
      </c>
      <c r="E41" s="115">
        <v>723</v>
      </c>
      <c r="F41" s="118"/>
    </row>
    <row r="42" spans="1:6">
      <c r="A42" s="119" t="s">
        <v>2745</v>
      </c>
      <c r="B42" s="117"/>
      <c r="C42" s="117"/>
      <c r="D42" s="117" t="s">
        <v>2628</v>
      </c>
      <c r="E42" s="115">
        <v>723</v>
      </c>
      <c r="F42" s="118"/>
    </row>
    <row r="43" spans="1:6" ht="24">
      <c r="A43" s="116" t="s">
        <v>2746</v>
      </c>
      <c r="B43" s="117"/>
      <c r="C43" s="117" t="s">
        <v>2747</v>
      </c>
      <c r="D43" s="117" t="s">
        <v>2764</v>
      </c>
      <c r="E43" s="115" t="s">
        <v>2748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69F79-355C-4E66-9F50-FF9CA582AE43}">
  <sheetPr codeName="Sheet3"/>
  <dimension ref="A1:E94"/>
  <sheetViews>
    <sheetView workbookViewId="0">
      <selection activeCell="E14" sqref="E14"/>
    </sheetView>
  </sheetViews>
  <sheetFormatPr defaultRowHeight="15"/>
  <sheetData>
    <row r="1" spans="1:5">
      <c r="A1" t="s">
        <v>2492</v>
      </c>
      <c r="B1" t="s">
        <v>2493</v>
      </c>
      <c r="C1" t="s">
        <v>2494</v>
      </c>
      <c r="D1" t="s">
        <v>2495</v>
      </c>
      <c r="E1" t="s">
        <v>2496</v>
      </c>
    </row>
    <row r="2" spans="1:5">
      <c r="A2" t="s">
        <v>2919</v>
      </c>
      <c r="D2" t="s">
        <v>2497</v>
      </c>
    </row>
    <row r="3" spans="1:5">
      <c r="A3" t="s">
        <v>2498</v>
      </c>
      <c r="C3" t="s">
        <v>2499</v>
      </c>
      <c r="D3" t="s">
        <v>2500</v>
      </c>
      <c r="E3" t="s">
        <v>2920</v>
      </c>
    </row>
    <row r="4" spans="1:5">
      <c r="A4" t="s">
        <v>2921</v>
      </c>
      <c r="B4" t="s">
        <v>2501</v>
      </c>
      <c r="D4" t="s">
        <v>2502</v>
      </c>
    </row>
    <row r="5" spans="1:5">
      <c r="D5" t="s">
        <v>2503</v>
      </c>
    </row>
    <row r="6" spans="1:5">
      <c r="A6" t="s">
        <v>2504</v>
      </c>
      <c r="D6" t="s">
        <v>2505</v>
      </c>
      <c r="E6" t="s">
        <v>2922</v>
      </c>
    </row>
    <row r="7" spans="1:5">
      <c r="A7" t="s">
        <v>2506</v>
      </c>
      <c r="D7" t="s">
        <v>2507</v>
      </c>
      <c r="E7" t="s">
        <v>2418</v>
      </c>
    </row>
    <row r="8" spans="1:5">
      <c r="A8" t="s">
        <v>2508</v>
      </c>
      <c r="C8" t="s">
        <v>2509</v>
      </c>
      <c r="D8" t="s">
        <v>2510</v>
      </c>
      <c r="E8">
        <v>435</v>
      </c>
    </row>
    <row r="9" spans="1:5">
      <c r="A9" t="s">
        <v>2923</v>
      </c>
      <c r="D9" t="s">
        <v>2511</v>
      </c>
    </row>
    <row r="10" spans="1:5">
      <c r="A10" t="s">
        <v>2512</v>
      </c>
      <c r="C10" t="s">
        <v>2513</v>
      </c>
      <c r="D10" t="s">
        <v>2514</v>
      </c>
      <c r="E10">
        <v>2000000</v>
      </c>
    </row>
    <row r="11" spans="1:5">
      <c r="A11" t="s">
        <v>2924</v>
      </c>
    </row>
    <row r="12" spans="1:5">
      <c r="A12" t="s">
        <v>2515</v>
      </c>
      <c r="C12" t="s">
        <v>2516</v>
      </c>
    </row>
    <row r="13" spans="1:5">
      <c r="A13" t="s">
        <v>2925</v>
      </c>
    </row>
    <row r="14" spans="1:5">
      <c r="A14" t="s">
        <v>2409</v>
      </c>
      <c r="C14" t="s">
        <v>2409</v>
      </c>
      <c r="D14" t="s">
        <v>2517</v>
      </c>
      <c r="E14">
        <v>0.1</v>
      </c>
    </row>
    <row r="15" spans="1:5">
      <c r="A15" t="s">
        <v>2518</v>
      </c>
      <c r="C15" t="s">
        <v>2519</v>
      </c>
      <c r="D15" t="s">
        <v>2409</v>
      </c>
      <c r="E15">
        <v>0.1</v>
      </c>
    </row>
    <row r="16" spans="1:5">
      <c r="A16" t="s">
        <v>2520</v>
      </c>
      <c r="C16" t="s">
        <v>2521</v>
      </c>
      <c r="D16" t="s">
        <v>2522</v>
      </c>
      <c r="E16">
        <v>200000</v>
      </c>
    </row>
    <row r="17" spans="1:5">
      <c r="A17" t="s">
        <v>2926</v>
      </c>
    </row>
    <row r="18" spans="1:5">
      <c r="A18" t="s">
        <v>2409</v>
      </c>
      <c r="C18" t="s">
        <v>2409</v>
      </c>
      <c r="D18" t="s">
        <v>2523</v>
      </c>
      <c r="E18">
        <v>0.5</v>
      </c>
    </row>
    <row r="19" spans="1:5">
      <c r="A19" t="s">
        <v>2518</v>
      </c>
      <c r="C19" t="s">
        <v>2524</v>
      </c>
      <c r="D19" t="s">
        <v>2409</v>
      </c>
      <c r="E19">
        <v>0.5</v>
      </c>
    </row>
    <row r="20" spans="1:5">
      <c r="A20" t="s">
        <v>2520</v>
      </c>
      <c r="C20" t="s">
        <v>2525</v>
      </c>
      <c r="D20" t="s">
        <v>2522</v>
      </c>
      <c r="E20">
        <v>1000000</v>
      </c>
    </row>
    <row r="21" spans="1:5">
      <c r="A21" t="s">
        <v>2927</v>
      </c>
    </row>
    <row r="22" spans="1:5">
      <c r="A22" t="s">
        <v>2409</v>
      </c>
      <c r="C22" t="s">
        <v>2409</v>
      </c>
      <c r="D22" t="s">
        <v>2526</v>
      </c>
      <c r="E22">
        <v>0.2</v>
      </c>
    </row>
    <row r="23" spans="1:5">
      <c r="A23" t="s">
        <v>2518</v>
      </c>
      <c r="C23" t="s">
        <v>2527</v>
      </c>
      <c r="D23" t="s">
        <v>2409</v>
      </c>
      <c r="E23">
        <v>0.2</v>
      </c>
    </row>
    <row r="24" spans="1:5">
      <c r="A24" t="s">
        <v>2520</v>
      </c>
      <c r="C24" t="s">
        <v>2528</v>
      </c>
      <c r="D24" t="s">
        <v>2522</v>
      </c>
      <c r="E24">
        <v>400000</v>
      </c>
    </row>
    <row r="25" spans="1:5">
      <c r="A25" t="s">
        <v>2928</v>
      </c>
    </row>
    <row r="26" spans="1:5">
      <c r="A26" t="s">
        <v>2529</v>
      </c>
      <c r="C26" t="s">
        <v>2530</v>
      </c>
      <c r="D26" t="s">
        <v>2531</v>
      </c>
      <c r="E26">
        <v>0</v>
      </c>
    </row>
    <row r="27" spans="1:5">
      <c r="A27" t="s">
        <v>2532</v>
      </c>
      <c r="C27" t="s">
        <v>2533</v>
      </c>
      <c r="D27" t="s">
        <v>2534</v>
      </c>
      <c r="E27">
        <v>0</v>
      </c>
    </row>
    <row r="28" spans="1:5">
      <c r="A28" t="s">
        <v>2535</v>
      </c>
      <c r="C28" t="s">
        <v>2536</v>
      </c>
      <c r="D28" t="s">
        <v>2537</v>
      </c>
      <c r="E28">
        <v>0</v>
      </c>
    </row>
    <row r="29" spans="1:5">
      <c r="A29" t="s">
        <v>2538</v>
      </c>
      <c r="C29" t="s">
        <v>2539</v>
      </c>
      <c r="D29" t="s">
        <v>2540</v>
      </c>
      <c r="E29">
        <v>0</v>
      </c>
    </row>
    <row r="30" spans="1:5">
      <c r="A30" t="s">
        <v>2541</v>
      </c>
      <c r="C30" t="s">
        <v>2542</v>
      </c>
      <c r="D30" t="s">
        <v>2543</v>
      </c>
      <c r="E30">
        <v>0</v>
      </c>
    </row>
    <row r="31" spans="1:5">
      <c r="A31" t="s">
        <v>2929</v>
      </c>
      <c r="D31" t="s">
        <v>2544</v>
      </c>
    </row>
    <row r="32" spans="1:5">
      <c r="A32" t="s">
        <v>2545</v>
      </c>
    </row>
    <row r="33" spans="1:5">
      <c r="A33" t="s">
        <v>2930</v>
      </c>
    </row>
    <row r="34" spans="1:5">
      <c r="A34" t="s">
        <v>2546</v>
      </c>
      <c r="C34" t="s">
        <v>2547</v>
      </c>
      <c r="D34" t="s">
        <v>2548</v>
      </c>
      <c r="E34">
        <v>196.19</v>
      </c>
    </row>
    <row r="35" spans="1:5">
      <c r="A35" t="s">
        <v>2549</v>
      </c>
      <c r="C35" t="s">
        <v>2550</v>
      </c>
      <c r="D35" t="s">
        <v>2551</v>
      </c>
      <c r="E35">
        <v>1.17</v>
      </c>
    </row>
    <row r="36" spans="1:5">
      <c r="A36" t="s">
        <v>2552</v>
      </c>
      <c r="C36" t="s">
        <v>2553</v>
      </c>
      <c r="D36" t="s">
        <v>2554</v>
      </c>
      <c r="E36">
        <v>230</v>
      </c>
    </row>
    <row r="37" spans="1:5">
      <c r="A37" t="s">
        <v>2931</v>
      </c>
    </row>
    <row r="38" spans="1:5">
      <c r="A38" t="s">
        <v>2555</v>
      </c>
      <c r="C38" t="s">
        <v>2556</v>
      </c>
      <c r="D38" t="s">
        <v>2557</v>
      </c>
      <c r="E38" t="s">
        <v>2558</v>
      </c>
    </row>
    <row r="39" spans="1:5">
      <c r="A39" t="s">
        <v>2559</v>
      </c>
      <c r="C39" t="s">
        <v>2560</v>
      </c>
      <c r="D39" t="s">
        <v>2561</v>
      </c>
      <c r="E39" t="b">
        <v>0</v>
      </c>
    </row>
    <row r="40" spans="1:5">
      <c r="A40" t="s">
        <v>2562</v>
      </c>
      <c r="C40" t="s">
        <v>2563</v>
      </c>
      <c r="D40" t="s">
        <v>2564</v>
      </c>
      <c r="E40" t="s">
        <v>2565</v>
      </c>
    </row>
    <row r="41" spans="1:5">
      <c r="A41" t="s">
        <v>2566</v>
      </c>
      <c r="C41" t="s">
        <v>2567</v>
      </c>
      <c r="D41" t="s">
        <v>2568</v>
      </c>
      <c r="E41">
        <v>1.5141</v>
      </c>
    </row>
    <row r="42" spans="1:5">
      <c r="A42" t="s">
        <v>2569</v>
      </c>
      <c r="C42" t="s">
        <v>2553</v>
      </c>
      <c r="D42" t="s">
        <v>2570</v>
      </c>
      <c r="E42">
        <v>348</v>
      </c>
    </row>
    <row r="43" spans="1:5">
      <c r="A43" t="s">
        <v>2932</v>
      </c>
    </row>
    <row r="44" spans="1:5">
      <c r="A44" t="s">
        <v>2571</v>
      </c>
      <c r="C44" t="s">
        <v>2572</v>
      </c>
      <c r="D44" t="s">
        <v>2573</v>
      </c>
      <c r="E44">
        <v>12.247999999999999</v>
      </c>
    </row>
    <row r="45" spans="1:5">
      <c r="A45" t="s">
        <v>2574</v>
      </c>
      <c r="C45" t="s">
        <v>2553</v>
      </c>
      <c r="D45" t="s">
        <v>2575</v>
      </c>
      <c r="E45">
        <v>4262</v>
      </c>
    </row>
    <row r="46" spans="1:5">
      <c r="A46" t="s">
        <v>2933</v>
      </c>
      <c r="D46" t="s">
        <v>2576</v>
      </c>
    </row>
    <row r="47" spans="1:5">
      <c r="A47" t="s">
        <v>2577</v>
      </c>
      <c r="C47" t="s">
        <v>2578</v>
      </c>
      <c r="D47" t="s">
        <v>2579</v>
      </c>
      <c r="E47" t="b">
        <v>0</v>
      </c>
    </row>
    <row r="48" spans="1:5">
      <c r="A48" t="s">
        <v>2580</v>
      </c>
      <c r="C48" t="s">
        <v>2581</v>
      </c>
      <c r="D48" t="s">
        <v>2582</v>
      </c>
      <c r="E48" t="b">
        <v>0</v>
      </c>
    </row>
    <row r="49" spans="1:5">
      <c r="A49" t="s">
        <v>2583</v>
      </c>
      <c r="B49" t="s">
        <v>2584</v>
      </c>
      <c r="C49" t="s">
        <v>2553</v>
      </c>
      <c r="D49" t="s">
        <v>2585</v>
      </c>
      <c r="E49">
        <v>4262</v>
      </c>
    </row>
    <row r="50" spans="1:5">
      <c r="A50" t="s">
        <v>2586</v>
      </c>
      <c r="C50" t="s">
        <v>2587</v>
      </c>
      <c r="D50" t="s">
        <v>2553</v>
      </c>
      <c r="E50">
        <v>4262</v>
      </c>
    </row>
    <row r="51" spans="1:5">
      <c r="A51" t="s">
        <v>2934</v>
      </c>
      <c r="D51" t="s">
        <v>2588</v>
      </c>
    </row>
    <row r="52" spans="1:5">
      <c r="A52" t="s">
        <v>2935</v>
      </c>
    </row>
    <row r="53" spans="1:5">
      <c r="A53" t="s">
        <v>2589</v>
      </c>
      <c r="C53" t="s">
        <v>2590</v>
      </c>
      <c r="D53" t="s">
        <v>2553</v>
      </c>
      <c r="E53">
        <v>4262</v>
      </c>
    </row>
    <row r="54" spans="1:5">
      <c r="A54" t="s">
        <v>2591</v>
      </c>
      <c r="D54" t="s">
        <v>2592</v>
      </c>
      <c r="E54" t="s">
        <v>2922</v>
      </c>
    </row>
    <row r="55" spans="1:5">
      <c r="A55" t="s">
        <v>2593</v>
      </c>
    </row>
    <row r="56" spans="1:5">
      <c r="A56" t="s">
        <v>2936</v>
      </c>
      <c r="D56" t="s">
        <v>2594</v>
      </c>
    </row>
    <row r="57" spans="1:5">
      <c r="D57" t="s">
        <v>2595</v>
      </c>
      <c r="E57">
        <v>1000</v>
      </c>
    </row>
    <row r="58" spans="1:5">
      <c r="A58" t="s">
        <v>2596</v>
      </c>
      <c r="C58" t="s">
        <v>2597</v>
      </c>
      <c r="D58" t="s">
        <v>2598</v>
      </c>
      <c r="E58">
        <v>1</v>
      </c>
    </row>
    <row r="59" spans="1:5">
      <c r="A59" t="s">
        <v>2937</v>
      </c>
    </row>
    <row r="60" spans="1:5">
      <c r="A60" t="s">
        <v>2599</v>
      </c>
      <c r="C60" t="s">
        <v>2600</v>
      </c>
      <c r="D60" t="s">
        <v>2601</v>
      </c>
      <c r="E60">
        <v>0</v>
      </c>
    </row>
    <row r="61" spans="1:5">
      <c r="A61" t="s">
        <v>2602</v>
      </c>
      <c r="C61" t="s">
        <v>2603</v>
      </c>
      <c r="D61" t="s">
        <v>2604</v>
      </c>
      <c r="E61">
        <v>0</v>
      </c>
    </row>
    <row r="62" spans="1:5">
      <c r="A62" t="s">
        <v>2938</v>
      </c>
    </row>
    <row r="63" spans="1:5">
      <c r="A63" t="s">
        <v>2605</v>
      </c>
      <c r="C63" t="s">
        <v>2600</v>
      </c>
      <c r="D63" t="s">
        <v>2606</v>
      </c>
      <c r="E63">
        <v>0</v>
      </c>
    </row>
    <row r="64" spans="1:5">
      <c r="A64" t="s">
        <v>2607</v>
      </c>
      <c r="C64" t="s">
        <v>2603</v>
      </c>
      <c r="D64" t="s">
        <v>2608</v>
      </c>
      <c r="E64">
        <v>0</v>
      </c>
    </row>
    <row r="65" spans="1:5">
      <c r="A65" t="s">
        <v>2939</v>
      </c>
      <c r="B65" t="s">
        <v>2609</v>
      </c>
    </row>
    <row r="66" spans="1:5">
      <c r="A66" t="s">
        <v>2610</v>
      </c>
      <c r="C66" t="s">
        <v>2611</v>
      </c>
      <c r="D66" t="s">
        <v>2612</v>
      </c>
      <c r="E66">
        <v>3</v>
      </c>
    </row>
    <row r="67" spans="1:5">
      <c r="A67" t="s">
        <v>2605</v>
      </c>
      <c r="C67" t="s">
        <v>2600</v>
      </c>
      <c r="D67" t="s">
        <v>2613</v>
      </c>
      <c r="E67">
        <v>10.8</v>
      </c>
    </row>
    <row r="68" spans="1:5">
      <c r="A68" t="s">
        <v>2614</v>
      </c>
      <c r="C68" t="s">
        <v>2603</v>
      </c>
      <c r="D68" t="s">
        <v>2615</v>
      </c>
      <c r="E68">
        <v>3.6</v>
      </c>
    </row>
    <row r="69" spans="1:5">
      <c r="A69" t="s">
        <v>2616</v>
      </c>
      <c r="D69" t="s">
        <v>2617</v>
      </c>
    </row>
    <row r="70" spans="1:5">
      <c r="A70" t="s">
        <v>2940</v>
      </c>
      <c r="D70" t="s">
        <v>2618</v>
      </c>
    </row>
    <row r="71" spans="1:5">
      <c r="A71" t="s">
        <v>2619</v>
      </c>
      <c r="C71" t="s">
        <v>2407</v>
      </c>
      <c r="D71" t="s">
        <v>2620</v>
      </c>
      <c r="E71" t="s">
        <v>2411</v>
      </c>
    </row>
    <row r="72" spans="1:5">
      <c r="A72" t="s">
        <v>2621</v>
      </c>
    </row>
    <row r="73" spans="1:5">
      <c r="A73" t="s">
        <v>2622</v>
      </c>
      <c r="D73" t="s">
        <v>2623</v>
      </c>
    </row>
    <row r="74" spans="1:5">
      <c r="A74" t="s">
        <v>2619</v>
      </c>
      <c r="C74" t="s">
        <v>2407</v>
      </c>
      <c r="D74" t="s">
        <v>2620</v>
      </c>
      <c r="E74" t="s">
        <v>2941</v>
      </c>
    </row>
    <row r="75" spans="1:5">
      <c r="A75" t="s">
        <v>2621</v>
      </c>
    </row>
    <row r="76" spans="1:5">
      <c r="A76" t="s">
        <v>2622</v>
      </c>
      <c r="D76" t="s">
        <v>2623</v>
      </c>
    </row>
    <row r="77" spans="1:5">
      <c r="A77" t="s">
        <v>2619</v>
      </c>
      <c r="C77" t="s">
        <v>2407</v>
      </c>
      <c r="D77" t="s">
        <v>2620</v>
      </c>
      <c r="E77" t="s">
        <v>2942</v>
      </c>
    </row>
    <row r="78" spans="1:5">
      <c r="A78" t="s">
        <v>2621</v>
      </c>
    </row>
    <row r="79" spans="1:5">
      <c r="A79" t="s">
        <v>2622</v>
      </c>
      <c r="D79" t="s">
        <v>2623</v>
      </c>
    </row>
    <row r="80" spans="1:5">
      <c r="A80" t="s">
        <v>2619</v>
      </c>
      <c r="C80" t="s">
        <v>2407</v>
      </c>
      <c r="D80" t="s">
        <v>2620</v>
      </c>
      <c r="E80" t="s">
        <v>2943</v>
      </c>
    </row>
    <row r="81" spans="1:5">
      <c r="A81" t="s">
        <v>2621</v>
      </c>
    </row>
    <row r="82" spans="1:5">
      <c r="A82" t="s">
        <v>2622</v>
      </c>
      <c r="D82" t="s">
        <v>2623</v>
      </c>
    </row>
    <row r="83" spans="1:5">
      <c r="A83" t="s">
        <v>2619</v>
      </c>
      <c r="C83" t="s">
        <v>2407</v>
      </c>
      <c r="D83" t="s">
        <v>2620</v>
      </c>
      <c r="E83" t="s">
        <v>2412</v>
      </c>
    </row>
    <row r="84" spans="1:5">
      <c r="A84" t="s">
        <v>2621</v>
      </c>
    </row>
    <row r="85" spans="1:5">
      <c r="A85" t="s">
        <v>2622</v>
      </c>
      <c r="D85" t="s">
        <v>2623</v>
      </c>
    </row>
    <row r="86" spans="1:5">
      <c r="A86" t="s">
        <v>2619</v>
      </c>
      <c r="C86" t="s">
        <v>2407</v>
      </c>
      <c r="D86" t="s">
        <v>2620</v>
      </c>
      <c r="E86" t="s">
        <v>2413</v>
      </c>
    </row>
    <row r="87" spans="1:5">
      <c r="A87" t="s">
        <v>2621</v>
      </c>
    </row>
    <row r="88" spans="1:5">
      <c r="A88" t="s">
        <v>2622</v>
      </c>
      <c r="D88" t="s">
        <v>2623</v>
      </c>
    </row>
    <row r="89" spans="1:5">
      <c r="A89" t="s">
        <v>2619</v>
      </c>
      <c r="C89" t="s">
        <v>2407</v>
      </c>
      <c r="D89" t="s">
        <v>2620</v>
      </c>
      <c r="E89" t="s">
        <v>2415</v>
      </c>
    </row>
    <row r="90" spans="1:5">
      <c r="A90" t="s">
        <v>2621</v>
      </c>
    </row>
    <row r="91" spans="1:5">
      <c r="A91" t="s">
        <v>2622</v>
      </c>
      <c r="D91" t="s">
        <v>2623</v>
      </c>
    </row>
    <row r="92" spans="1:5">
      <c r="A92" t="s">
        <v>2624</v>
      </c>
      <c r="C92" t="s">
        <v>2625</v>
      </c>
      <c r="D92" t="s">
        <v>2553</v>
      </c>
      <c r="E92">
        <v>4262</v>
      </c>
    </row>
    <row r="93" spans="1:5">
      <c r="A93" t="s">
        <v>2626</v>
      </c>
      <c r="D93" t="s">
        <v>2627</v>
      </c>
      <c r="E93">
        <v>4276.3999999999996</v>
      </c>
    </row>
    <row r="94" spans="1:5">
      <c r="A94" t="s">
        <v>2626</v>
      </c>
      <c r="D94" t="s">
        <v>2628</v>
      </c>
      <c r="E94">
        <v>4276.3999999999996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BF041-F22A-4662-828C-0860B0351A86}">
  <sheetPr codeName="Sheet4"/>
  <dimension ref="A2:B8"/>
  <sheetViews>
    <sheetView workbookViewId="0">
      <selection activeCell="C6" sqref="C6"/>
    </sheetView>
  </sheetViews>
  <sheetFormatPr defaultRowHeight="15"/>
  <sheetData>
    <row r="2" spans="1:2">
      <c r="A2" t="s">
        <v>2630</v>
      </c>
      <c r="B2">
        <v>15090</v>
      </c>
    </row>
    <row r="3" spans="1:2">
      <c r="A3" t="s">
        <v>2506</v>
      </c>
      <c r="B3" t="s">
        <v>2421</v>
      </c>
    </row>
    <row r="4" spans="1:2">
      <c r="B4" t="s">
        <v>2412</v>
      </c>
    </row>
    <row r="5" spans="1:2">
      <c r="B5" t="s">
        <v>2413</v>
      </c>
    </row>
    <row r="6" spans="1:2">
      <c r="B6" t="s">
        <v>2415</v>
      </c>
    </row>
    <row r="7" spans="1:2">
      <c r="A7" t="s">
        <v>2631</v>
      </c>
      <c r="B7">
        <v>100000</v>
      </c>
    </row>
    <row r="8" spans="1:2">
      <c r="A8" t="s">
        <v>2632</v>
      </c>
      <c r="B8">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991FD-A8FF-4E0B-8696-84FC1454EAB9}">
  <sheetPr codeName="Sheet2"/>
  <dimension ref="A1:AA2194"/>
  <sheetViews>
    <sheetView topLeftCell="J1" workbookViewId="0">
      <selection activeCell="E14" sqref="E14"/>
    </sheetView>
  </sheetViews>
  <sheetFormatPr defaultRowHeight="15"/>
  <cols>
    <col min="1" max="1" width="11.42578125" customWidth="1"/>
    <col min="2" max="2" width="17.5703125" customWidth="1"/>
    <col min="3" max="3" width="2.42578125" customWidth="1"/>
    <col min="4" max="4" width="13.5703125" customWidth="1"/>
    <col min="5" max="5" width="18.140625" customWidth="1"/>
    <col min="6" max="6" width="16.28515625" customWidth="1"/>
    <col min="8" max="8" width="3.140625" customWidth="1"/>
    <col min="9" max="9" width="13.5703125" customWidth="1"/>
    <col min="10" max="10" width="12.28515625" customWidth="1"/>
    <col min="11" max="11" width="11.85546875" customWidth="1"/>
    <col min="12" max="12" width="2.42578125" customWidth="1"/>
    <col min="13" max="13" width="13.5703125" customWidth="1"/>
    <col min="14" max="14" width="19.7109375" customWidth="1"/>
    <col min="15" max="15" width="5" customWidth="1"/>
    <col min="16" max="17" width="10.42578125" customWidth="1"/>
    <col min="18" max="18" width="13.7109375" bestFit="1" customWidth="1"/>
    <col min="20" max="20" width="11.28515625" bestFit="1" customWidth="1"/>
    <col min="21" max="21" width="16.28515625" customWidth="1"/>
    <col min="22" max="22" width="14" customWidth="1"/>
    <col min="23" max="23" width="9.5703125" customWidth="1"/>
    <col min="25" max="25" width="9.7109375" bestFit="1" customWidth="1"/>
    <col min="26" max="26" width="11.42578125" customWidth="1"/>
    <col min="27" max="27" width="9.5703125" customWidth="1"/>
  </cols>
  <sheetData>
    <row r="1" spans="1:27" ht="18.75">
      <c r="A1" s="112" t="s">
        <v>188</v>
      </c>
      <c r="B1" s="112" t="s">
        <v>189</v>
      </c>
      <c r="D1" s="112" t="s">
        <v>2406</v>
      </c>
      <c r="E1" s="112" t="s">
        <v>2407</v>
      </c>
      <c r="F1" s="112" t="s">
        <v>2408</v>
      </c>
      <c r="G1" s="112" t="s">
        <v>2409</v>
      </c>
      <c r="I1" s="112" t="s">
        <v>2406</v>
      </c>
      <c r="J1" s="112" t="s">
        <v>2419</v>
      </c>
      <c r="K1" s="112" t="s">
        <v>2420</v>
      </c>
      <c r="M1" s="112" t="s">
        <v>2406</v>
      </c>
      <c r="N1" s="112" t="s">
        <v>2486</v>
      </c>
      <c r="P1" t="s">
        <v>2633</v>
      </c>
      <c r="Q1" t="s">
        <v>2560</v>
      </c>
      <c r="R1" t="s">
        <v>2634</v>
      </c>
      <c r="T1" s="112" t="s">
        <v>187</v>
      </c>
      <c r="U1" s="112" t="s">
        <v>2642</v>
      </c>
      <c r="V1" s="112" t="s">
        <v>2643</v>
      </c>
      <c r="W1" s="112" t="s">
        <v>2644</v>
      </c>
      <c r="Y1" s="129" t="s">
        <v>3194</v>
      </c>
      <c r="Z1" s="129" t="s">
        <v>2520</v>
      </c>
      <c r="AA1" s="129" t="s">
        <v>2644</v>
      </c>
    </row>
    <row r="2" spans="1:27">
      <c r="A2" s="113" t="s">
        <v>190</v>
      </c>
      <c r="B2" s="113" t="s">
        <v>191</v>
      </c>
      <c r="D2" s="113" t="s">
        <v>2421</v>
      </c>
      <c r="E2" s="113" t="s">
        <v>2411</v>
      </c>
      <c r="F2" s="113">
        <v>1</v>
      </c>
      <c r="G2" s="113">
        <v>0.1</v>
      </c>
      <c r="I2" s="113" t="s">
        <v>2421</v>
      </c>
      <c r="J2" s="113" t="s">
        <v>2017</v>
      </c>
      <c r="K2" s="113" t="s">
        <v>2422</v>
      </c>
      <c r="M2" s="113" t="s">
        <v>2421</v>
      </c>
      <c r="N2" s="113" t="s">
        <v>2487</v>
      </c>
      <c r="T2" s="113" t="s">
        <v>2645</v>
      </c>
      <c r="U2" s="113" t="s">
        <v>2646</v>
      </c>
      <c r="V2" s="113" t="s">
        <v>2565</v>
      </c>
      <c r="W2" s="113" t="s">
        <v>2647</v>
      </c>
      <c r="Y2" s="130" t="s">
        <v>2411</v>
      </c>
      <c r="Z2" s="130" t="s">
        <v>3195</v>
      </c>
      <c r="AA2" s="130" t="s">
        <v>3196</v>
      </c>
    </row>
    <row r="3" spans="1:27">
      <c r="A3" s="113" t="s">
        <v>192</v>
      </c>
      <c r="B3" s="113" t="s">
        <v>193</v>
      </c>
      <c r="D3" s="113" t="s">
        <v>2421</v>
      </c>
      <c r="E3" s="113" t="s">
        <v>2411</v>
      </c>
      <c r="F3" s="113">
        <v>2</v>
      </c>
      <c r="G3" s="113">
        <v>0.1</v>
      </c>
      <c r="I3" s="113" t="s">
        <v>2421</v>
      </c>
      <c r="J3" s="113" t="s">
        <v>1609</v>
      </c>
      <c r="K3" s="113" t="s">
        <v>2423</v>
      </c>
      <c r="M3" s="113" t="s">
        <v>2442</v>
      </c>
      <c r="N3" s="113" t="s">
        <v>2488</v>
      </c>
      <c r="P3">
        <v>0</v>
      </c>
      <c r="Q3" t="s">
        <v>2489</v>
      </c>
      <c r="R3" t="s">
        <v>2635</v>
      </c>
      <c r="T3" s="113" t="s">
        <v>2645</v>
      </c>
      <c r="U3" s="113" t="s">
        <v>2646</v>
      </c>
      <c r="V3" s="113" t="s">
        <v>2635</v>
      </c>
      <c r="W3" s="113" t="s">
        <v>2648</v>
      </c>
      <c r="Y3" s="130" t="s">
        <v>2411</v>
      </c>
      <c r="Z3" s="130" t="s">
        <v>3197</v>
      </c>
      <c r="AA3" s="130" t="s">
        <v>3198</v>
      </c>
    </row>
    <row r="4" spans="1:27">
      <c r="A4" s="113" t="s">
        <v>194</v>
      </c>
      <c r="B4" s="113" t="s">
        <v>191</v>
      </c>
      <c r="D4" s="113" t="s">
        <v>2421</v>
      </c>
      <c r="E4" s="113" t="s">
        <v>2411</v>
      </c>
      <c r="F4" s="113">
        <v>3</v>
      </c>
      <c r="G4" s="113">
        <v>0.1</v>
      </c>
      <c r="I4" s="113" t="s">
        <v>2421</v>
      </c>
      <c r="J4" s="113" t="s">
        <v>1613</v>
      </c>
      <c r="K4" s="113" t="s">
        <v>2423</v>
      </c>
      <c r="M4" s="113" t="s">
        <v>2443</v>
      </c>
      <c r="N4" s="113" t="s">
        <v>2489</v>
      </c>
      <c r="P4">
        <v>1</v>
      </c>
      <c r="Q4" t="s">
        <v>2489</v>
      </c>
      <c r="R4" t="s">
        <v>2636</v>
      </c>
      <c r="T4" s="113" t="s">
        <v>2645</v>
      </c>
      <c r="U4" s="113" t="s">
        <v>2646</v>
      </c>
      <c r="V4" s="113" t="s">
        <v>2636</v>
      </c>
      <c r="W4" s="113" t="s">
        <v>2649</v>
      </c>
      <c r="Y4" s="130" t="s">
        <v>2411</v>
      </c>
      <c r="Z4" s="130" t="s">
        <v>3199</v>
      </c>
      <c r="AA4" s="130" t="s">
        <v>3200</v>
      </c>
    </row>
    <row r="5" spans="1:27">
      <c r="A5" s="113" t="s">
        <v>195</v>
      </c>
      <c r="B5" s="113" t="s">
        <v>193</v>
      </c>
      <c r="D5" s="113" t="s">
        <v>2421</v>
      </c>
      <c r="E5" s="113" t="s">
        <v>2411</v>
      </c>
      <c r="F5" s="113">
        <v>4</v>
      </c>
      <c r="G5" s="113">
        <v>0.1</v>
      </c>
      <c r="I5" s="113" t="s">
        <v>2421</v>
      </c>
      <c r="J5" s="113" t="s">
        <v>1162</v>
      </c>
      <c r="K5" s="113" t="s">
        <v>2424</v>
      </c>
      <c r="M5" s="113" t="s">
        <v>2414</v>
      </c>
      <c r="N5" s="113" t="s">
        <v>2490</v>
      </c>
      <c r="P5">
        <v>2</v>
      </c>
      <c r="Q5" t="s">
        <v>2489</v>
      </c>
      <c r="R5" t="s">
        <v>2637</v>
      </c>
      <c r="T5" s="113" t="s">
        <v>2645</v>
      </c>
      <c r="U5" s="113" t="s">
        <v>2646</v>
      </c>
      <c r="V5" s="113" t="s">
        <v>2637</v>
      </c>
      <c r="W5" s="113" t="s">
        <v>2650</v>
      </c>
      <c r="Y5" s="130" t="s">
        <v>2411</v>
      </c>
      <c r="Z5" s="130" t="s">
        <v>2788</v>
      </c>
      <c r="AA5" s="130" t="s">
        <v>3201</v>
      </c>
    </row>
    <row r="6" spans="1:27">
      <c r="A6" s="113" t="s">
        <v>196</v>
      </c>
      <c r="B6" s="113" t="s">
        <v>191</v>
      </c>
      <c r="D6" s="113" t="s">
        <v>2442</v>
      </c>
      <c r="E6" s="113" t="s">
        <v>2411</v>
      </c>
      <c r="F6" s="113">
        <v>1</v>
      </c>
      <c r="G6" s="113">
        <v>0.1</v>
      </c>
      <c r="I6" s="113" t="s">
        <v>2421</v>
      </c>
      <c r="J6" s="113" t="s">
        <v>1140</v>
      </c>
      <c r="K6" s="113" t="s">
        <v>2425</v>
      </c>
      <c r="M6" s="113" t="s">
        <v>2418</v>
      </c>
      <c r="N6" s="113" t="s">
        <v>2491</v>
      </c>
      <c r="P6">
        <v>3</v>
      </c>
      <c r="Q6" t="s">
        <v>2489</v>
      </c>
      <c r="R6" t="s">
        <v>2638</v>
      </c>
      <c r="T6" s="113" t="s">
        <v>2645</v>
      </c>
      <c r="U6" s="113" t="s">
        <v>2646</v>
      </c>
      <c r="V6" s="113" t="s">
        <v>2638</v>
      </c>
      <c r="W6" s="113" t="s">
        <v>2651</v>
      </c>
      <c r="Y6" s="130" t="s">
        <v>2411</v>
      </c>
      <c r="Z6" s="130" t="s">
        <v>3202</v>
      </c>
      <c r="AA6" s="130" t="s">
        <v>3203</v>
      </c>
    </row>
    <row r="7" spans="1:27">
      <c r="A7" s="113" t="s">
        <v>197</v>
      </c>
      <c r="B7" s="113" t="s">
        <v>193</v>
      </c>
      <c r="D7" s="113" t="s">
        <v>2442</v>
      </c>
      <c r="E7" s="113" t="s">
        <v>2411</v>
      </c>
      <c r="F7" s="113">
        <v>2</v>
      </c>
      <c r="G7" s="113">
        <v>0.1</v>
      </c>
      <c r="I7" s="113" t="s">
        <v>2421</v>
      </c>
      <c r="J7" s="113" t="s">
        <v>235</v>
      </c>
      <c r="K7" s="113" t="s">
        <v>2426</v>
      </c>
      <c r="M7" s="113" t="s">
        <v>2416</v>
      </c>
      <c r="N7" s="113" t="s">
        <v>2489</v>
      </c>
      <c r="P7">
        <v>4</v>
      </c>
      <c r="Q7" t="s">
        <v>2489</v>
      </c>
      <c r="R7" t="s">
        <v>2639</v>
      </c>
      <c r="T7" s="113" t="s">
        <v>2645</v>
      </c>
      <c r="U7" s="113" t="s">
        <v>2646</v>
      </c>
      <c r="V7" s="113" t="s">
        <v>2639</v>
      </c>
      <c r="W7" s="113" t="s">
        <v>2652</v>
      </c>
      <c r="Y7" s="130" t="s">
        <v>2411</v>
      </c>
      <c r="Z7" s="130" t="s">
        <v>3204</v>
      </c>
      <c r="AA7" s="130" t="s">
        <v>3205</v>
      </c>
    </row>
    <row r="8" spans="1:27">
      <c r="A8" s="113" t="s">
        <v>198</v>
      </c>
      <c r="B8" s="113" t="s">
        <v>191</v>
      </c>
      <c r="D8" s="113" t="s">
        <v>2442</v>
      </c>
      <c r="E8" s="113" t="s">
        <v>2411</v>
      </c>
      <c r="F8" s="113">
        <v>3</v>
      </c>
      <c r="G8" s="113">
        <v>0.1</v>
      </c>
      <c r="I8" s="113" t="s">
        <v>2421</v>
      </c>
      <c r="J8" s="113" t="s">
        <v>191</v>
      </c>
      <c r="K8" s="113" t="s">
        <v>2427</v>
      </c>
      <c r="M8" s="113" t="s">
        <v>2417</v>
      </c>
      <c r="N8" s="113" t="s">
        <v>2489</v>
      </c>
      <c r="P8">
        <v>1</v>
      </c>
      <c r="Q8" t="s">
        <v>2489</v>
      </c>
      <c r="R8" t="s">
        <v>2635</v>
      </c>
      <c r="T8" s="113" t="s">
        <v>2645</v>
      </c>
      <c r="U8" s="113" t="s">
        <v>2646</v>
      </c>
      <c r="V8" s="113" t="s">
        <v>2641</v>
      </c>
      <c r="W8" s="113" t="s">
        <v>2653</v>
      </c>
      <c r="Y8" s="130" t="s">
        <v>2411</v>
      </c>
      <c r="Z8" s="130" t="s">
        <v>3206</v>
      </c>
      <c r="AA8" s="130" t="s">
        <v>3207</v>
      </c>
    </row>
    <row r="9" spans="1:27">
      <c r="A9" s="113" t="s">
        <v>199</v>
      </c>
      <c r="B9" s="113" t="s">
        <v>193</v>
      </c>
      <c r="D9" s="113" t="s">
        <v>2442</v>
      </c>
      <c r="E9" s="113" t="s">
        <v>2411</v>
      </c>
      <c r="F9" s="113">
        <v>4</v>
      </c>
      <c r="G9" s="113">
        <v>0.1</v>
      </c>
      <c r="I9" s="113" t="s">
        <v>2421</v>
      </c>
      <c r="J9" s="113" t="s">
        <v>921</v>
      </c>
      <c r="K9" s="113" t="s">
        <v>2428</v>
      </c>
      <c r="P9">
        <v>2</v>
      </c>
      <c r="Q9" t="s">
        <v>2489</v>
      </c>
      <c r="R9" t="s">
        <v>2636</v>
      </c>
      <c r="T9" s="113" t="s">
        <v>2645</v>
      </c>
      <c r="U9" s="113" t="s">
        <v>2654</v>
      </c>
      <c r="V9" s="113" t="s">
        <v>2565</v>
      </c>
      <c r="W9" s="113" t="s">
        <v>2655</v>
      </c>
      <c r="Y9" s="130" t="s">
        <v>2411</v>
      </c>
      <c r="Z9" s="130" t="s">
        <v>3208</v>
      </c>
      <c r="AA9" s="130" t="s">
        <v>3209</v>
      </c>
    </row>
    <row r="10" spans="1:27">
      <c r="A10" s="113" t="s">
        <v>200</v>
      </c>
      <c r="B10" s="113" t="s">
        <v>191</v>
      </c>
      <c r="D10" s="113" t="s">
        <v>2443</v>
      </c>
      <c r="E10" s="113" t="s">
        <v>2411</v>
      </c>
      <c r="F10" s="113">
        <v>1</v>
      </c>
      <c r="G10" s="113">
        <v>0.1</v>
      </c>
      <c r="I10" s="113" t="s">
        <v>2421</v>
      </c>
      <c r="J10" s="113" t="s">
        <v>885</v>
      </c>
      <c r="K10" s="113" t="s">
        <v>2429</v>
      </c>
      <c r="P10">
        <v>3</v>
      </c>
      <c r="Q10" t="s">
        <v>2489</v>
      </c>
      <c r="R10" t="s">
        <v>2637</v>
      </c>
      <c r="T10" s="113" t="s">
        <v>2645</v>
      </c>
      <c r="U10" s="113" t="s">
        <v>2654</v>
      </c>
      <c r="V10" s="113" t="s">
        <v>2635</v>
      </c>
      <c r="W10" s="113" t="s">
        <v>2656</v>
      </c>
      <c r="Y10" s="130" t="s">
        <v>2411</v>
      </c>
      <c r="Z10" s="130" t="s">
        <v>3210</v>
      </c>
      <c r="AA10" s="130" t="s">
        <v>3211</v>
      </c>
    </row>
    <row r="11" spans="1:27">
      <c r="A11" s="113" t="s">
        <v>201</v>
      </c>
      <c r="B11" s="113" t="s">
        <v>191</v>
      </c>
      <c r="D11" s="113" t="s">
        <v>2443</v>
      </c>
      <c r="E11" s="113" t="s">
        <v>2411</v>
      </c>
      <c r="F11" s="113">
        <v>2</v>
      </c>
      <c r="G11" s="113">
        <v>0.1</v>
      </c>
      <c r="I11" s="113" t="s">
        <v>2421</v>
      </c>
      <c r="J11" s="113" t="s">
        <v>1771</v>
      </c>
      <c r="K11" s="113" t="s">
        <v>2430</v>
      </c>
      <c r="P11">
        <v>4</v>
      </c>
      <c r="Q11" t="s">
        <v>2489</v>
      </c>
      <c r="R11" t="s">
        <v>2638</v>
      </c>
      <c r="T11" s="113" t="s">
        <v>2645</v>
      </c>
      <c r="U11" s="113" t="s">
        <v>2654</v>
      </c>
      <c r="V11" s="113" t="s">
        <v>2636</v>
      </c>
      <c r="W11" s="113" t="s">
        <v>2657</v>
      </c>
      <c r="Y11" s="130" t="s">
        <v>2411</v>
      </c>
      <c r="Z11" s="130" t="s">
        <v>3212</v>
      </c>
      <c r="AA11" s="130" t="s">
        <v>3213</v>
      </c>
    </row>
    <row r="12" spans="1:27">
      <c r="A12" s="113" t="s">
        <v>202</v>
      </c>
      <c r="B12" s="113" t="s">
        <v>191</v>
      </c>
      <c r="D12" s="113" t="s">
        <v>2443</v>
      </c>
      <c r="E12" s="113" t="s">
        <v>2411</v>
      </c>
      <c r="F12" s="113">
        <v>3</v>
      </c>
      <c r="G12" s="113">
        <v>0.1</v>
      </c>
      <c r="I12" s="113" t="s">
        <v>2421</v>
      </c>
      <c r="J12" s="113" t="s">
        <v>1692</v>
      </c>
      <c r="K12" s="113" t="s">
        <v>2431</v>
      </c>
      <c r="P12">
        <v>5</v>
      </c>
      <c r="Q12" t="s">
        <v>2489</v>
      </c>
      <c r="R12" t="s">
        <v>2639</v>
      </c>
      <c r="T12" s="113" t="s">
        <v>2645</v>
      </c>
      <c r="U12" s="113" t="s">
        <v>2654</v>
      </c>
      <c r="V12" s="113" t="s">
        <v>2637</v>
      </c>
      <c r="W12" s="113" t="s">
        <v>2489</v>
      </c>
      <c r="Y12" s="130" t="s">
        <v>2411</v>
      </c>
      <c r="Z12" s="130" t="s">
        <v>3214</v>
      </c>
      <c r="AA12" s="130" t="s">
        <v>3215</v>
      </c>
    </row>
    <row r="13" spans="1:27">
      <c r="A13" s="113" t="s">
        <v>203</v>
      </c>
      <c r="B13" s="113" t="s">
        <v>191</v>
      </c>
      <c r="D13" s="113" t="s">
        <v>2443</v>
      </c>
      <c r="E13" s="113" t="s">
        <v>2411</v>
      </c>
      <c r="F13" s="113">
        <v>4</v>
      </c>
      <c r="G13" s="113">
        <v>0.1</v>
      </c>
      <c r="I13" s="113" t="s">
        <v>2421</v>
      </c>
      <c r="J13" s="113" t="s">
        <v>756</v>
      </c>
      <c r="K13" s="113" t="s">
        <v>2432</v>
      </c>
      <c r="P13">
        <v>1</v>
      </c>
      <c r="Q13" t="s">
        <v>2640</v>
      </c>
      <c r="R13" t="s">
        <v>2565</v>
      </c>
      <c r="T13" s="113" t="s">
        <v>2645</v>
      </c>
      <c r="U13" s="113" t="s">
        <v>2654</v>
      </c>
      <c r="V13" s="113" t="s">
        <v>2638</v>
      </c>
      <c r="W13" s="113" t="s">
        <v>2658</v>
      </c>
      <c r="Y13" s="130" t="s">
        <v>2411</v>
      </c>
      <c r="Z13" s="130" t="s">
        <v>3216</v>
      </c>
      <c r="AA13" s="130" t="s">
        <v>3217</v>
      </c>
    </row>
    <row r="14" spans="1:27">
      <c r="A14" s="113" t="s">
        <v>204</v>
      </c>
      <c r="B14" s="113" t="s">
        <v>191</v>
      </c>
      <c r="D14" s="113" t="s">
        <v>2416</v>
      </c>
      <c r="E14" s="113" t="s">
        <v>2411</v>
      </c>
      <c r="F14" s="113">
        <v>1</v>
      </c>
      <c r="G14" s="113">
        <v>0.1</v>
      </c>
      <c r="I14" s="113" t="s">
        <v>2421</v>
      </c>
      <c r="J14" s="113" t="s">
        <v>313</v>
      </c>
      <c r="K14" s="113" t="s">
        <v>2433</v>
      </c>
      <c r="P14">
        <v>2</v>
      </c>
      <c r="Q14" t="s">
        <v>2640</v>
      </c>
      <c r="R14" t="s">
        <v>2565</v>
      </c>
      <c r="T14" s="113" t="s">
        <v>2645</v>
      </c>
      <c r="U14" s="113" t="s">
        <v>2654</v>
      </c>
      <c r="V14" s="113" t="s">
        <v>2639</v>
      </c>
      <c r="W14" s="113" t="s">
        <v>2659</v>
      </c>
      <c r="Y14" s="130" t="s">
        <v>2411</v>
      </c>
      <c r="Z14" s="130" t="s">
        <v>3218</v>
      </c>
      <c r="AA14" s="130" t="s">
        <v>3219</v>
      </c>
    </row>
    <row r="15" spans="1:27">
      <c r="A15" s="113" t="s">
        <v>205</v>
      </c>
      <c r="B15" s="113" t="s">
        <v>191</v>
      </c>
      <c r="D15" s="113" t="s">
        <v>2416</v>
      </c>
      <c r="E15" s="113" t="s">
        <v>2411</v>
      </c>
      <c r="F15" s="113">
        <v>2</v>
      </c>
      <c r="G15" s="113">
        <v>0.1</v>
      </c>
      <c r="I15" s="113" t="s">
        <v>2421</v>
      </c>
      <c r="J15" s="113" t="s">
        <v>193</v>
      </c>
      <c r="K15" s="113" t="s">
        <v>2434</v>
      </c>
      <c r="P15">
        <v>3</v>
      </c>
      <c r="Q15" t="s">
        <v>2640</v>
      </c>
      <c r="R15" t="s">
        <v>2565</v>
      </c>
      <c r="T15" s="113" t="s">
        <v>2645</v>
      </c>
      <c r="U15" s="113" t="s">
        <v>2654</v>
      </c>
      <c r="V15" s="113" t="s">
        <v>2641</v>
      </c>
      <c r="W15" s="113" t="s">
        <v>2660</v>
      </c>
      <c r="Y15" s="130" t="s">
        <v>2411</v>
      </c>
      <c r="Z15" s="130" t="s">
        <v>3220</v>
      </c>
      <c r="AA15" s="130" t="s">
        <v>3221</v>
      </c>
    </row>
    <row r="16" spans="1:27">
      <c r="A16" s="113" t="s">
        <v>206</v>
      </c>
      <c r="B16" s="113" t="s">
        <v>191</v>
      </c>
      <c r="D16" s="113" t="s">
        <v>2416</v>
      </c>
      <c r="E16" s="113" t="s">
        <v>2411</v>
      </c>
      <c r="F16" s="113">
        <v>3</v>
      </c>
      <c r="G16" s="113">
        <v>0.1</v>
      </c>
      <c r="I16" s="113" t="s">
        <v>2421</v>
      </c>
      <c r="J16" s="113" t="s">
        <v>315</v>
      </c>
      <c r="K16" s="113" t="s">
        <v>2435</v>
      </c>
      <c r="P16">
        <v>4</v>
      </c>
      <c r="Q16" t="s">
        <v>2640</v>
      </c>
      <c r="R16" t="s">
        <v>2565</v>
      </c>
      <c r="T16" s="113" t="s">
        <v>2558</v>
      </c>
      <c r="U16" s="113" t="s">
        <v>2646</v>
      </c>
      <c r="V16" s="113" t="s">
        <v>2565</v>
      </c>
      <c r="W16" s="113" t="s">
        <v>2661</v>
      </c>
      <c r="Y16" s="130" t="s">
        <v>2411</v>
      </c>
      <c r="Z16" s="130" t="s">
        <v>3222</v>
      </c>
      <c r="AA16" s="130" t="s">
        <v>3223</v>
      </c>
    </row>
    <row r="17" spans="1:27">
      <c r="A17" s="113" t="s">
        <v>207</v>
      </c>
      <c r="B17" s="113" t="s">
        <v>191</v>
      </c>
      <c r="D17" s="113" t="s">
        <v>2416</v>
      </c>
      <c r="E17" s="113" t="s">
        <v>2411</v>
      </c>
      <c r="F17" s="113">
        <v>4</v>
      </c>
      <c r="G17" s="113">
        <v>0.1</v>
      </c>
      <c r="I17" s="113" t="s">
        <v>2421</v>
      </c>
      <c r="J17" s="113" t="s">
        <v>1633</v>
      </c>
      <c r="K17" s="113" t="s">
        <v>2436</v>
      </c>
      <c r="P17">
        <v>5</v>
      </c>
      <c r="Q17" t="s">
        <v>2410</v>
      </c>
      <c r="R17" t="s">
        <v>2641</v>
      </c>
      <c r="T17" s="113" t="s">
        <v>2558</v>
      </c>
      <c r="U17" s="113" t="s">
        <v>2646</v>
      </c>
      <c r="V17" s="113" t="s">
        <v>2635</v>
      </c>
      <c r="W17" s="113" t="s">
        <v>2662</v>
      </c>
      <c r="Y17" s="130" t="s">
        <v>2411</v>
      </c>
      <c r="Z17" s="130" t="s">
        <v>3224</v>
      </c>
      <c r="AA17" s="130" t="s">
        <v>3225</v>
      </c>
    </row>
    <row r="18" spans="1:27">
      <c r="A18" s="113" t="s">
        <v>208</v>
      </c>
      <c r="B18" s="113" t="s">
        <v>191</v>
      </c>
      <c r="D18" s="113" t="s">
        <v>2414</v>
      </c>
      <c r="E18" s="113" t="s">
        <v>2411</v>
      </c>
      <c r="F18" s="113">
        <v>1</v>
      </c>
      <c r="G18" s="113">
        <v>0.1</v>
      </c>
      <c r="I18" s="113" t="s">
        <v>2421</v>
      </c>
      <c r="J18" s="113" t="s">
        <v>1636</v>
      </c>
      <c r="K18" s="113" t="s">
        <v>2437</v>
      </c>
      <c r="P18">
        <v>6</v>
      </c>
      <c r="Q18" t="s">
        <v>2410</v>
      </c>
      <c r="R18" t="s">
        <v>2641</v>
      </c>
      <c r="T18" s="113" t="s">
        <v>2558</v>
      </c>
      <c r="U18" s="113" t="s">
        <v>2646</v>
      </c>
      <c r="V18" s="113" t="s">
        <v>2636</v>
      </c>
      <c r="W18" s="113" t="s">
        <v>2663</v>
      </c>
      <c r="Y18" s="130" t="s">
        <v>2411</v>
      </c>
      <c r="Z18" s="130" t="s">
        <v>3226</v>
      </c>
      <c r="AA18" s="130" t="s">
        <v>3227</v>
      </c>
    </row>
    <row r="19" spans="1:27">
      <c r="A19" s="113" t="s">
        <v>209</v>
      </c>
      <c r="B19" s="113" t="s">
        <v>191</v>
      </c>
      <c r="D19" s="113" t="s">
        <v>2414</v>
      </c>
      <c r="E19" s="113" t="s">
        <v>2411</v>
      </c>
      <c r="F19" s="113">
        <v>2</v>
      </c>
      <c r="G19" s="113">
        <v>0.1</v>
      </c>
      <c r="I19" s="113" t="s">
        <v>2421</v>
      </c>
      <c r="J19" s="113" t="s">
        <v>2069</v>
      </c>
      <c r="K19" s="113" t="s">
        <v>2438</v>
      </c>
      <c r="P19">
        <v>7</v>
      </c>
      <c r="Q19" t="s">
        <v>2410</v>
      </c>
      <c r="R19" t="s">
        <v>2641</v>
      </c>
      <c r="T19" s="113" t="s">
        <v>2558</v>
      </c>
      <c r="U19" s="113" t="s">
        <v>2646</v>
      </c>
      <c r="V19" s="113" t="s">
        <v>2637</v>
      </c>
      <c r="W19" s="113" t="s">
        <v>2664</v>
      </c>
      <c r="Y19" s="130" t="s">
        <v>2411</v>
      </c>
      <c r="Z19" s="130" t="s">
        <v>3228</v>
      </c>
      <c r="AA19" s="130" t="s">
        <v>3229</v>
      </c>
    </row>
    <row r="20" spans="1:27">
      <c r="A20" s="113" t="s">
        <v>210</v>
      </c>
      <c r="B20" s="113" t="s">
        <v>191</v>
      </c>
      <c r="D20" s="113" t="s">
        <v>2414</v>
      </c>
      <c r="E20" s="113" t="s">
        <v>2411</v>
      </c>
      <c r="F20" s="113">
        <v>3</v>
      </c>
      <c r="G20" s="113">
        <v>0.1</v>
      </c>
      <c r="I20" s="113" t="s">
        <v>2421</v>
      </c>
      <c r="J20" s="113" t="s">
        <v>2002</v>
      </c>
      <c r="K20" s="113" t="s">
        <v>2439</v>
      </c>
      <c r="P20">
        <v>8</v>
      </c>
      <c r="Q20" t="s">
        <v>2410</v>
      </c>
      <c r="R20" t="s">
        <v>2641</v>
      </c>
      <c r="T20" s="113" t="s">
        <v>2558</v>
      </c>
      <c r="U20" s="113" t="s">
        <v>2646</v>
      </c>
      <c r="V20" s="113" t="s">
        <v>2638</v>
      </c>
      <c r="W20" s="113" t="s">
        <v>2665</v>
      </c>
      <c r="Y20" s="130" t="s">
        <v>2411</v>
      </c>
      <c r="Z20" s="130" t="s">
        <v>2790</v>
      </c>
      <c r="AA20" s="130" t="s">
        <v>2489</v>
      </c>
    </row>
    <row r="21" spans="1:27">
      <c r="A21" s="113" t="s">
        <v>211</v>
      </c>
      <c r="B21" s="113" t="s">
        <v>191</v>
      </c>
      <c r="D21" s="113" t="s">
        <v>2414</v>
      </c>
      <c r="E21" s="113" t="s">
        <v>2411</v>
      </c>
      <c r="F21" s="113">
        <v>4</v>
      </c>
      <c r="G21" s="113">
        <v>0.1</v>
      </c>
      <c r="I21" s="113" t="s">
        <v>2421</v>
      </c>
      <c r="J21" s="113" t="s">
        <v>1452</v>
      </c>
      <c r="K21" s="113" t="s">
        <v>2440</v>
      </c>
      <c r="P21">
        <v>9</v>
      </c>
      <c r="Q21" t="s">
        <v>2410</v>
      </c>
      <c r="R21" t="s">
        <v>2641</v>
      </c>
      <c r="T21" s="113" t="s">
        <v>2558</v>
      </c>
      <c r="U21" s="113" t="s">
        <v>2646</v>
      </c>
      <c r="V21" s="113" t="s">
        <v>2639</v>
      </c>
      <c r="W21" s="113" t="s">
        <v>2666</v>
      </c>
      <c r="Y21" s="130" t="s">
        <v>2411</v>
      </c>
      <c r="Z21" s="130" t="s">
        <v>3230</v>
      </c>
      <c r="AA21" s="130" t="s">
        <v>3231</v>
      </c>
    </row>
    <row r="22" spans="1:27">
      <c r="A22" s="113" t="s">
        <v>212</v>
      </c>
      <c r="B22" s="113" t="s">
        <v>191</v>
      </c>
      <c r="D22" s="113" t="s">
        <v>2417</v>
      </c>
      <c r="E22" s="113" t="s">
        <v>2411</v>
      </c>
      <c r="F22" s="113">
        <v>1</v>
      </c>
      <c r="G22" s="113">
        <v>0.1</v>
      </c>
      <c r="I22" s="113" t="s">
        <v>2421</v>
      </c>
      <c r="J22" s="113" t="s">
        <v>449</v>
      </c>
      <c r="K22" s="113" t="s">
        <v>2441</v>
      </c>
      <c r="P22">
        <v>10</v>
      </c>
      <c r="Q22" t="s">
        <v>2410</v>
      </c>
      <c r="R22" t="s">
        <v>2641</v>
      </c>
      <c r="T22" s="113" t="s">
        <v>2558</v>
      </c>
      <c r="U22" s="113" t="s">
        <v>2646</v>
      </c>
      <c r="V22" s="113" t="s">
        <v>2641</v>
      </c>
      <c r="W22" s="113" t="s">
        <v>2667</v>
      </c>
      <c r="Y22" s="130" t="s">
        <v>2411</v>
      </c>
      <c r="Z22" s="130" t="s">
        <v>3232</v>
      </c>
      <c r="AA22" s="130" t="s">
        <v>3233</v>
      </c>
    </row>
    <row r="23" spans="1:27">
      <c r="A23" s="113" t="s">
        <v>213</v>
      </c>
      <c r="B23" s="113" t="s">
        <v>191</v>
      </c>
      <c r="D23" s="113" t="s">
        <v>2417</v>
      </c>
      <c r="E23" s="113" t="s">
        <v>2411</v>
      </c>
      <c r="F23" s="113">
        <v>2</v>
      </c>
      <c r="G23" s="113">
        <v>0.1</v>
      </c>
      <c r="I23" s="113" t="s">
        <v>2442</v>
      </c>
      <c r="J23" s="113" t="s">
        <v>2017</v>
      </c>
      <c r="K23" s="113" t="s">
        <v>2422</v>
      </c>
      <c r="P23">
        <v>11</v>
      </c>
      <c r="Q23" t="s">
        <v>2410</v>
      </c>
      <c r="R23" t="s">
        <v>2641</v>
      </c>
      <c r="T23" s="113" t="s">
        <v>2558</v>
      </c>
      <c r="U23" s="113" t="s">
        <v>2654</v>
      </c>
      <c r="V23" s="113" t="s">
        <v>2565</v>
      </c>
      <c r="W23" s="113" t="s">
        <v>2668</v>
      </c>
      <c r="Y23" s="130" t="s">
        <v>2411</v>
      </c>
      <c r="Z23" s="130" t="s">
        <v>3234</v>
      </c>
      <c r="AA23" s="130" t="s">
        <v>3235</v>
      </c>
    </row>
    <row r="24" spans="1:27">
      <c r="A24" s="113" t="s">
        <v>214</v>
      </c>
      <c r="B24" s="113" t="s">
        <v>191</v>
      </c>
      <c r="D24" s="113" t="s">
        <v>2417</v>
      </c>
      <c r="E24" s="113" t="s">
        <v>2411</v>
      </c>
      <c r="F24" s="113">
        <v>3</v>
      </c>
      <c r="G24" s="113">
        <v>0.1</v>
      </c>
      <c r="I24" s="113" t="s">
        <v>2442</v>
      </c>
      <c r="J24" s="113" t="s">
        <v>1609</v>
      </c>
      <c r="K24" s="113" t="s">
        <v>2423</v>
      </c>
      <c r="P24">
        <v>12</v>
      </c>
      <c r="Q24" t="s">
        <v>2410</v>
      </c>
      <c r="R24" t="s">
        <v>2641</v>
      </c>
      <c r="T24" s="113" t="s">
        <v>2558</v>
      </c>
      <c r="U24" s="113" t="s">
        <v>2654</v>
      </c>
      <c r="V24" s="113" t="s">
        <v>2635</v>
      </c>
      <c r="W24" s="113" t="s">
        <v>2656</v>
      </c>
      <c r="Y24" s="130" t="s">
        <v>2411</v>
      </c>
      <c r="Z24" s="130" t="s">
        <v>3236</v>
      </c>
      <c r="AA24" s="130" t="s">
        <v>3237</v>
      </c>
    </row>
    <row r="25" spans="1:27">
      <c r="A25" s="113" t="s">
        <v>215</v>
      </c>
      <c r="B25" s="113" t="s">
        <v>191</v>
      </c>
      <c r="D25" s="113" t="s">
        <v>2417</v>
      </c>
      <c r="E25" s="113" t="s">
        <v>2411</v>
      </c>
      <c r="F25" s="113">
        <v>4</v>
      </c>
      <c r="G25" s="113">
        <v>0.1</v>
      </c>
      <c r="I25" s="113" t="s">
        <v>2442</v>
      </c>
      <c r="J25" s="113" t="s">
        <v>1613</v>
      </c>
      <c r="K25" s="113" t="s">
        <v>2423</v>
      </c>
      <c r="P25">
        <v>13</v>
      </c>
      <c r="Q25" t="s">
        <v>2410</v>
      </c>
      <c r="R25" t="s">
        <v>2641</v>
      </c>
      <c r="T25" s="113" t="s">
        <v>2558</v>
      </c>
      <c r="U25" s="113" t="s">
        <v>2654</v>
      </c>
      <c r="V25" s="113" t="s">
        <v>2636</v>
      </c>
      <c r="W25" s="113" t="s">
        <v>2657</v>
      </c>
      <c r="Y25" s="130" t="s">
        <v>2411</v>
      </c>
      <c r="Z25" s="130" t="s">
        <v>3238</v>
      </c>
      <c r="AA25" s="130" t="s">
        <v>3239</v>
      </c>
    </row>
    <row r="26" spans="1:27">
      <c r="A26" s="113" t="s">
        <v>216</v>
      </c>
      <c r="B26" s="113" t="s">
        <v>191</v>
      </c>
      <c r="D26" s="113" t="s">
        <v>2629</v>
      </c>
      <c r="E26" s="113" t="s">
        <v>2411</v>
      </c>
      <c r="F26" s="113">
        <v>1</v>
      </c>
      <c r="G26" s="113">
        <v>0.1</v>
      </c>
      <c r="I26" s="113" t="s">
        <v>2442</v>
      </c>
      <c r="J26" s="113" t="s">
        <v>1162</v>
      </c>
      <c r="K26" s="113" t="s">
        <v>2424</v>
      </c>
      <c r="P26">
        <v>14</v>
      </c>
      <c r="Q26" t="s">
        <v>2410</v>
      </c>
      <c r="R26" t="s">
        <v>2641</v>
      </c>
      <c r="T26" s="113" t="s">
        <v>2558</v>
      </c>
      <c r="U26" s="113" t="s">
        <v>2654</v>
      </c>
      <c r="V26" s="113" t="s">
        <v>2637</v>
      </c>
      <c r="W26" s="113" t="s">
        <v>2489</v>
      </c>
      <c r="Y26" s="130" t="s">
        <v>2411</v>
      </c>
      <c r="Z26" s="130" t="s">
        <v>3240</v>
      </c>
      <c r="AA26" s="130" t="s">
        <v>3241</v>
      </c>
    </row>
    <row r="27" spans="1:27">
      <c r="A27" s="113" t="s">
        <v>217</v>
      </c>
      <c r="B27" s="113" t="s">
        <v>191</v>
      </c>
      <c r="D27" s="113" t="s">
        <v>2629</v>
      </c>
      <c r="E27" s="113" t="s">
        <v>2411</v>
      </c>
      <c r="F27" s="113">
        <v>2</v>
      </c>
      <c r="G27" s="113">
        <v>0.1</v>
      </c>
      <c r="I27" s="113" t="s">
        <v>2442</v>
      </c>
      <c r="J27" s="113" t="s">
        <v>1140</v>
      </c>
      <c r="K27" s="113" t="s">
        <v>2425</v>
      </c>
      <c r="P27">
        <v>15</v>
      </c>
      <c r="Q27" t="s">
        <v>2410</v>
      </c>
      <c r="R27" t="s">
        <v>2641</v>
      </c>
      <c r="T27" s="113" t="s">
        <v>2558</v>
      </c>
      <c r="U27" s="113" t="s">
        <v>2654</v>
      </c>
      <c r="V27" s="113" t="s">
        <v>2638</v>
      </c>
      <c r="W27" s="113" t="s">
        <v>2658</v>
      </c>
      <c r="Y27" s="130" t="s">
        <v>2411</v>
      </c>
      <c r="Z27" s="130" t="s">
        <v>3242</v>
      </c>
      <c r="AA27" s="130" t="s">
        <v>3243</v>
      </c>
    </row>
    <row r="28" spans="1:27">
      <c r="A28" s="113" t="s">
        <v>218</v>
      </c>
      <c r="B28" s="113" t="s">
        <v>191</v>
      </c>
      <c r="D28" s="113" t="s">
        <v>2629</v>
      </c>
      <c r="E28" s="113" t="s">
        <v>2411</v>
      </c>
      <c r="F28" s="113">
        <v>3</v>
      </c>
      <c r="G28" s="113">
        <v>0.1</v>
      </c>
      <c r="I28" s="113" t="s">
        <v>2442</v>
      </c>
      <c r="J28" s="113" t="s">
        <v>235</v>
      </c>
      <c r="K28" s="113" t="s">
        <v>2426</v>
      </c>
      <c r="P28">
        <v>16</v>
      </c>
      <c r="Q28" t="s">
        <v>2410</v>
      </c>
      <c r="R28" t="s">
        <v>2641</v>
      </c>
      <c r="T28" s="113" t="s">
        <v>2558</v>
      </c>
      <c r="U28" s="113" t="s">
        <v>2654</v>
      </c>
      <c r="V28" s="113" t="s">
        <v>2639</v>
      </c>
      <c r="W28" s="113" t="s">
        <v>2659</v>
      </c>
      <c r="Y28" s="130" t="s">
        <v>2411</v>
      </c>
      <c r="Z28" s="130" t="s">
        <v>3244</v>
      </c>
      <c r="AA28" s="130" t="s">
        <v>3245</v>
      </c>
    </row>
    <row r="29" spans="1:27">
      <c r="A29" s="113" t="s">
        <v>219</v>
      </c>
      <c r="B29" s="113" t="s">
        <v>191</v>
      </c>
      <c r="D29" s="113" t="s">
        <v>2629</v>
      </c>
      <c r="E29" s="113" t="s">
        <v>2411</v>
      </c>
      <c r="F29" s="113">
        <v>4</v>
      </c>
      <c r="G29" s="113">
        <v>0.1</v>
      </c>
      <c r="I29" s="113" t="s">
        <v>2442</v>
      </c>
      <c r="J29" s="113" t="s">
        <v>191</v>
      </c>
      <c r="K29" s="113" t="s">
        <v>2427</v>
      </c>
      <c r="P29">
        <v>17</v>
      </c>
      <c r="Q29" t="s">
        <v>2410</v>
      </c>
      <c r="R29" t="s">
        <v>2641</v>
      </c>
      <c r="T29" s="113" t="s">
        <v>2558</v>
      </c>
      <c r="U29" s="113" t="s">
        <v>2654</v>
      </c>
      <c r="V29" s="113" t="s">
        <v>2641</v>
      </c>
      <c r="W29" s="113" t="s">
        <v>2669</v>
      </c>
      <c r="Y29" s="130" t="s">
        <v>2411</v>
      </c>
      <c r="Z29" s="130" t="s">
        <v>3246</v>
      </c>
      <c r="AA29" s="130" t="s">
        <v>3247</v>
      </c>
    </row>
    <row r="30" spans="1:27">
      <c r="A30" s="113" t="s">
        <v>220</v>
      </c>
      <c r="B30" s="113" t="s">
        <v>191</v>
      </c>
      <c r="D30" s="113" t="s">
        <v>2418</v>
      </c>
      <c r="E30" s="113" t="s">
        <v>2411</v>
      </c>
      <c r="F30" s="113">
        <v>1</v>
      </c>
      <c r="G30" s="113">
        <v>0.1</v>
      </c>
      <c r="I30" s="113" t="s">
        <v>2442</v>
      </c>
      <c r="J30" s="113" t="s">
        <v>921</v>
      </c>
      <c r="K30" s="113" t="s">
        <v>2428</v>
      </c>
      <c r="P30">
        <v>18</v>
      </c>
      <c r="Q30" t="s">
        <v>2410</v>
      </c>
      <c r="R30" t="s">
        <v>2641</v>
      </c>
      <c r="Y30" s="130" t="s">
        <v>2411</v>
      </c>
      <c r="Z30" s="130" t="s">
        <v>3248</v>
      </c>
      <c r="AA30" s="130" t="s">
        <v>3249</v>
      </c>
    </row>
    <row r="31" spans="1:27">
      <c r="A31" s="113" t="s">
        <v>221</v>
      </c>
      <c r="B31" s="113" t="s">
        <v>191</v>
      </c>
      <c r="D31" s="113" t="s">
        <v>2418</v>
      </c>
      <c r="E31" s="113" t="s">
        <v>2411</v>
      </c>
      <c r="F31" s="113">
        <v>2</v>
      </c>
      <c r="G31" s="113">
        <v>0.1</v>
      </c>
      <c r="I31" s="113" t="s">
        <v>2442</v>
      </c>
      <c r="J31" s="113" t="s">
        <v>885</v>
      </c>
      <c r="K31" s="113" t="s">
        <v>2429</v>
      </c>
      <c r="P31">
        <v>19</v>
      </c>
      <c r="Q31" t="s">
        <v>2410</v>
      </c>
      <c r="R31" t="s">
        <v>2641</v>
      </c>
      <c r="Y31" s="130" t="s">
        <v>2411</v>
      </c>
      <c r="Z31" s="130" t="s">
        <v>3250</v>
      </c>
      <c r="AA31" s="130" t="s">
        <v>3251</v>
      </c>
    </row>
    <row r="32" spans="1:27">
      <c r="A32" s="113" t="s">
        <v>222</v>
      </c>
      <c r="B32" s="113" t="s">
        <v>191</v>
      </c>
      <c r="D32" s="113" t="s">
        <v>2418</v>
      </c>
      <c r="E32" s="113" t="s">
        <v>2411</v>
      </c>
      <c r="F32" s="113">
        <v>3</v>
      </c>
      <c r="G32" s="113">
        <v>0.1</v>
      </c>
      <c r="I32" s="113" t="s">
        <v>2442</v>
      </c>
      <c r="J32" s="113" t="s">
        <v>1771</v>
      </c>
      <c r="K32" s="113" t="s">
        <v>2430</v>
      </c>
      <c r="P32">
        <v>20</v>
      </c>
      <c r="Q32" t="s">
        <v>2410</v>
      </c>
      <c r="R32" t="s">
        <v>2641</v>
      </c>
      <c r="Y32" s="130" t="s">
        <v>2411</v>
      </c>
      <c r="Z32" s="130" t="s">
        <v>3252</v>
      </c>
      <c r="AA32" s="130" t="s">
        <v>3253</v>
      </c>
    </row>
    <row r="33" spans="1:27">
      <c r="A33" s="113" t="s">
        <v>223</v>
      </c>
      <c r="B33" s="113" t="s">
        <v>191</v>
      </c>
      <c r="D33" s="113" t="s">
        <v>2418</v>
      </c>
      <c r="E33" s="113" t="s">
        <v>2411</v>
      </c>
      <c r="F33" s="113">
        <v>4</v>
      </c>
      <c r="G33" s="113">
        <v>0.1</v>
      </c>
      <c r="I33" s="113" t="s">
        <v>2442</v>
      </c>
      <c r="J33" s="113" t="s">
        <v>1692</v>
      </c>
      <c r="K33" s="113" t="s">
        <v>2431</v>
      </c>
      <c r="P33">
        <v>21</v>
      </c>
      <c r="Q33" t="s">
        <v>2410</v>
      </c>
      <c r="R33" t="s">
        <v>2641</v>
      </c>
      <c r="Y33" s="130" t="s">
        <v>2411</v>
      </c>
      <c r="Z33" s="130" t="s">
        <v>3254</v>
      </c>
      <c r="AA33" s="130" t="s">
        <v>3255</v>
      </c>
    </row>
    <row r="34" spans="1:27">
      <c r="A34" s="113" t="s">
        <v>224</v>
      </c>
      <c r="B34" s="113" t="s">
        <v>191</v>
      </c>
      <c r="D34" s="113" t="s">
        <v>2421</v>
      </c>
      <c r="E34" s="113" t="s">
        <v>2412</v>
      </c>
      <c r="F34" s="113">
        <v>1</v>
      </c>
      <c r="G34" s="113">
        <v>0.1</v>
      </c>
      <c r="I34" s="113" t="s">
        <v>2442</v>
      </c>
      <c r="J34" s="113" t="s">
        <v>756</v>
      </c>
      <c r="K34" s="113" t="s">
        <v>2432</v>
      </c>
      <c r="P34">
        <v>22</v>
      </c>
      <c r="Q34" t="s">
        <v>2410</v>
      </c>
      <c r="R34" t="s">
        <v>2641</v>
      </c>
      <c r="Y34" s="130" t="s">
        <v>2411</v>
      </c>
      <c r="Z34" s="130" t="s">
        <v>3256</v>
      </c>
      <c r="AA34" s="130" t="s">
        <v>3257</v>
      </c>
    </row>
    <row r="35" spans="1:27">
      <c r="A35" s="113" t="s">
        <v>225</v>
      </c>
      <c r="B35" s="113" t="s">
        <v>191</v>
      </c>
      <c r="D35" s="113" t="s">
        <v>2421</v>
      </c>
      <c r="E35" s="113" t="s">
        <v>2412</v>
      </c>
      <c r="F35" s="113">
        <v>2</v>
      </c>
      <c r="G35" s="113">
        <v>0.1</v>
      </c>
      <c r="I35" s="113" t="s">
        <v>2442</v>
      </c>
      <c r="J35" s="113" t="s">
        <v>313</v>
      </c>
      <c r="K35" s="113" t="s">
        <v>2433</v>
      </c>
      <c r="P35">
        <v>23</v>
      </c>
      <c r="Q35" t="s">
        <v>2410</v>
      </c>
      <c r="R35" t="s">
        <v>2641</v>
      </c>
      <c r="Y35" s="130" t="s">
        <v>2411</v>
      </c>
      <c r="Z35" s="130" t="s">
        <v>3258</v>
      </c>
      <c r="AA35" s="130" t="s">
        <v>3259</v>
      </c>
    </row>
    <row r="36" spans="1:27">
      <c r="A36" s="113" t="s">
        <v>226</v>
      </c>
      <c r="B36" s="113" t="s">
        <v>191</v>
      </c>
      <c r="D36" s="113" t="s">
        <v>2421</v>
      </c>
      <c r="E36" s="113" t="s">
        <v>2412</v>
      </c>
      <c r="F36" s="113">
        <v>3</v>
      </c>
      <c r="G36" s="113">
        <v>0.1</v>
      </c>
      <c r="I36" s="113" t="s">
        <v>2442</v>
      </c>
      <c r="J36" s="113" t="s">
        <v>193</v>
      </c>
      <c r="K36" s="113" t="s">
        <v>2434</v>
      </c>
      <c r="P36">
        <v>24</v>
      </c>
      <c r="Q36" t="s">
        <v>2410</v>
      </c>
      <c r="R36" t="s">
        <v>2641</v>
      </c>
      <c r="Y36" s="130" t="s">
        <v>2411</v>
      </c>
      <c r="Z36" s="130" t="s">
        <v>3260</v>
      </c>
      <c r="AA36" s="130" t="s">
        <v>3261</v>
      </c>
    </row>
    <row r="37" spans="1:27">
      <c r="A37" s="113" t="s">
        <v>227</v>
      </c>
      <c r="B37" s="113" t="s">
        <v>191</v>
      </c>
      <c r="D37" s="113" t="s">
        <v>2421</v>
      </c>
      <c r="E37" s="113" t="s">
        <v>2412</v>
      </c>
      <c r="F37" s="113">
        <v>4</v>
      </c>
      <c r="G37" s="113">
        <v>0.1</v>
      </c>
      <c r="I37" s="113" t="s">
        <v>2442</v>
      </c>
      <c r="J37" s="113" t="s">
        <v>315</v>
      </c>
      <c r="K37" s="113" t="s">
        <v>2435</v>
      </c>
      <c r="P37">
        <v>25</v>
      </c>
      <c r="Q37" t="s">
        <v>2410</v>
      </c>
      <c r="R37" t="s">
        <v>2641</v>
      </c>
      <c r="Y37" s="130" t="s">
        <v>2411</v>
      </c>
      <c r="Z37" s="130" t="s">
        <v>3262</v>
      </c>
      <c r="AA37" s="130" t="s">
        <v>3263</v>
      </c>
    </row>
    <row r="38" spans="1:27">
      <c r="A38" s="113" t="s">
        <v>228</v>
      </c>
      <c r="B38" s="113" t="s">
        <v>191</v>
      </c>
      <c r="D38" s="113" t="s">
        <v>2442</v>
      </c>
      <c r="E38" s="113" t="s">
        <v>2412</v>
      </c>
      <c r="F38" s="113">
        <v>1</v>
      </c>
      <c r="G38" s="113">
        <v>0.1</v>
      </c>
      <c r="I38" s="113" t="s">
        <v>2442</v>
      </c>
      <c r="J38" s="113" t="s">
        <v>1633</v>
      </c>
      <c r="K38" s="113" t="s">
        <v>2436</v>
      </c>
      <c r="P38">
        <v>26</v>
      </c>
      <c r="Q38" t="s">
        <v>2410</v>
      </c>
      <c r="R38" t="s">
        <v>2641</v>
      </c>
      <c r="Y38" s="130" t="s">
        <v>2411</v>
      </c>
      <c r="Z38" s="130" t="s">
        <v>3264</v>
      </c>
      <c r="AA38" s="130" t="s">
        <v>3265</v>
      </c>
    </row>
    <row r="39" spans="1:27">
      <c r="A39" s="113" t="s">
        <v>229</v>
      </c>
      <c r="B39" s="113" t="s">
        <v>191</v>
      </c>
      <c r="D39" s="113" t="s">
        <v>2442</v>
      </c>
      <c r="E39" s="113" t="s">
        <v>2412</v>
      </c>
      <c r="F39" s="113">
        <v>2</v>
      </c>
      <c r="G39" s="113">
        <v>0.1</v>
      </c>
      <c r="I39" s="113" t="s">
        <v>2442</v>
      </c>
      <c r="J39" s="113" t="s">
        <v>1636</v>
      </c>
      <c r="K39" s="113" t="s">
        <v>2437</v>
      </c>
      <c r="P39">
        <v>27</v>
      </c>
      <c r="Q39" t="s">
        <v>2410</v>
      </c>
      <c r="R39" t="s">
        <v>2641</v>
      </c>
      <c r="Y39" s="130" t="s">
        <v>2411</v>
      </c>
      <c r="Z39" s="130" t="s">
        <v>3266</v>
      </c>
      <c r="AA39" s="130" t="s">
        <v>3267</v>
      </c>
    </row>
    <row r="40" spans="1:27">
      <c r="A40" s="113" t="s">
        <v>230</v>
      </c>
      <c r="B40" s="113" t="s">
        <v>191</v>
      </c>
      <c r="D40" s="113" t="s">
        <v>2442</v>
      </c>
      <c r="E40" s="113" t="s">
        <v>2412</v>
      </c>
      <c r="F40" s="113">
        <v>3</v>
      </c>
      <c r="G40" s="113">
        <v>0.1</v>
      </c>
      <c r="I40" s="113" t="s">
        <v>2442</v>
      </c>
      <c r="J40" s="113" t="s">
        <v>2069</v>
      </c>
      <c r="K40" s="113" t="s">
        <v>2438</v>
      </c>
      <c r="P40">
        <v>28</v>
      </c>
      <c r="Q40" t="s">
        <v>2410</v>
      </c>
      <c r="R40" t="s">
        <v>2641</v>
      </c>
      <c r="Y40" s="130" t="s">
        <v>2411</v>
      </c>
      <c r="Z40" s="130" t="s">
        <v>3268</v>
      </c>
      <c r="AA40" s="130" t="s">
        <v>3269</v>
      </c>
    </row>
    <row r="41" spans="1:27">
      <c r="A41" s="113" t="s">
        <v>231</v>
      </c>
      <c r="B41" s="113" t="s">
        <v>191</v>
      </c>
      <c r="D41" s="113" t="s">
        <v>2442</v>
      </c>
      <c r="E41" s="113" t="s">
        <v>2412</v>
      </c>
      <c r="F41" s="113">
        <v>4</v>
      </c>
      <c r="G41" s="113">
        <v>0.1</v>
      </c>
      <c r="I41" s="113" t="s">
        <v>2442</v>
      </c>
      <c r="J41" s="113" t="s">
        <v>2002</v>
      </c>
      <c r="K41" s="113" t="s">
        <v>2439</v>
      </c>
      <c r="P41">
        <v>29</v>
      </c>
      <c r="Q41" t="s">
        <v>2410</v>
      </c>
      <c r="R41" t="s">
        <v>2641</v>
      </c>
      <c r="Y41" s="130" t="s">
        <v>2411</v>
      </c>
      <c r="Z41" s="130" t="s">
        <v>3270</v>
      </c>
      <c r="AA41" s="130" t="s">
        <v>3271</v>
      </c>
    </row>
    <row r="42" spans="1:27">
      <c r="A42" s="113" t="s">
        <v>232</v>
      </c>
      <c r="B42" s="113" t="s">
        <v>191</v>
      </c>
      <c r="D42" s="113" t="s">
        <v>2443</v>
      </c>
      <c r="E42" s="113" t="s">
        <v>2412</v>
      </c>
      <c r="F42" s="113">
        <v>1</v>
      </c>
      <c r="G42" s="113">
        <v>0.1</v>
      </c>
      <c r="I42" s="113" t="s">
        <v>2442</v>
      </c>
      <c r="J42" s="113" t="s">
        <v>1452</v>
      </c>
      <c r="K42" s="113" t="s">
        <v>2440</v>
      </c>
      <c r="P42">
        <v>30</v>
      </c>
      <c r="Q42" t="s">
        <v>2410</v>
      </c>
      <c r="R42" t="s">
        <v>2641</v>
      </c>
      <c r="Y42" s="130" t="s">
        <v>2411</v>
      </c>
      <c r="Z42" s="130" t="s">
        <v>3272</v>
      </c>
      <c r="AA42" s="130" t="s">
        <v>3273</v>
      </c>
    </row>
    <row r="43" spans="1:27">
      <c r="A43" s="113" t="s">
        <v>233</v>
      </c>
      <c r="B43" s="113" t="s">
        <v>191</v>
      </c>
      <c r="D43" s="113" t="s">
        <v>2443</v>
      </c>
      <c r="E43" s="113" t="s">
        <v>2412</v>
      </c>
      <c r="F43" s="113">
        <v>2</v>
      </c>
      <c r="G43" s="113">
        <v>0.1</v>
      </c>
      <c r="I43" s="113" t="s">
        <v>2442</v>
      </c>
      <c r="J43" s="113" t="s">
        <v>449</v>
      </c>
      <c r="K43" s="113" t="s">
        <v>2441</v>
      </c>
      <c r="P43">
        <v>31</v>
      </c>
      <c r="Q43" t="s">
        <v>2410</v>
      </c>
      <c r="R43" t="s">
        <v>2641</v>
      </c>
      <c r="Y43" s="130" t="s">
        <v>2411</v>
      </c>
      <c r="Z43" s="130" t="s">
        <v>3274</v>
      </c>
      <c r="AA43" s="130" t="s">
        <v>3275</v>
      </c>
    </row>
    <row r="44" spans="1:27">
      <c r="A44" s="113" t="s">
        <v>234</v>
      </c>
      <c r="B44" s="113" t="s">
        <v>235</v>
      </c>
      <c r="D44" s="113" t="s">
        <v>2443</v>
      </c>
      <c r="E44" s="113" t="s">
        <v>2412</v>
      </c>
      <c r="F44" s="113">
        <v>3</v>
      </c>
      <c r="G44" s="113">
        <v>0.1</v>
      </c>
      <c r="I44" s="113" t="s">
        <v>2443</v>
      </c>
      <c r="J44" s="113" t="s">
        <v>2017</v>
      </c>
      <c r="K44" s="113" t="s">
        <v>2422</v>
      </c>
      <c r="P44">
        <v>32</v>
      </c>
      <c r="Q44" t="s">
        <v>2410</v>
      </c>
      <c r="R44" t="s">
        <v>2641</v>
      </c>
      <c r="Y44" s="130" t="s">
        <v>2411</v>
      </c>
      <c r="Z44" s="130" t="s">
        <v>3276</v>
      </c>
      <c r="AA44" s="130" t="s">
        <v>3277</v>
      </c>
    </row>
    <row r="45" spans="1:27">
      <c r="A45" s="113" t="s">
        <v>236</v>
      </c>
      <c r="B45" s="113" t="s">
        <v>191</v>
      </c>
      <c r="D45" s="113" t="s">
        <v>2443</v>
      </c>
      <c r="E45" s="113" t="s">
        <v>2412</v>
      </c>
      <c r="F45" s="113">
        <v>4</v>
      </c>
      <c r="G45" s="113">
        <v>0.1</v>
      </c>
      <c r="I45" s="113" t="s">
        <v>2443</v>
      </c>
      <c r="J45" s="113" t="s">
        <v>1609</v>
      </c>
      <c r="K45" s="113" t="s">
        <v>2423</v>
      </c>
      <c r="P45">
        <v>33</v>
      </c>
      <c r="Q45" t="s">
        <v>2410</v>
      </c>
      <c r="R45" t="s">
        <v>2641</v>
      </c>
      <c r="Y45" s="130" t="s">
        <v>2411</v>
      </c>
      <c r="Z45" s="130" t="s">
        <v>3278</v>
      </c>
      <c r="AA45" s="130" t="s">
        <v>3279</v>
      </c>
    </row>
    <row r="46" spans="1:27">
      <c r="A46" s="113" t="s">
        <v>237</v>
      </c>
      <c r="B46" s="113" t="s">
        <v>235</v>
      </c>
      <c r="D46" s="113" t="s">
        <v>2416</v>
      </c>
      <c r="E46" s="113" t="s">
        <v>2412</v>
      </c>
      <c r="F46" s="113">
        <v>1</v>
      </c>
      <c r="G46" s="113">
        <v>0.1</v>
      </c>
      <c r="I46" s="113" t="s">
        <v>2443</v>
      </c>
      <c r="J46" s="113" t="s">
        <v>1613</v>
      </c>
      <c r="K46" s="113" t="s">
        <v>2423</v>
      </c>
      <c r="P46">
        <v>34</v>
      </c>
      <c r="Q46" t="s">
        <v>2410</v>
      </c>
      <c r="R46" t="s">
        <v>2641</v>
      </c>
      <c r="Y46" s="130" t="s">
        <v>2411</v>
      </c>
      <c r="Z46" s="130" t="s">
        <v>3280</v>
      </c>
      <c r="AA46" s="130" t="s">
        <v>3281</v>
      </c>
    </row>
    <row r="47" spans="1:27">
      <c r="A47" s="113" t="s">
        <v>238</v>
      </c>
      <c r="B47" s="113" t="s">
        <v>235</v>
      </c>
      <c r="D47" s="113" t="s">
        <v>2416</v>
      </c>
      <c r="E47" s="113" t="s">
        <v>2412</v>
      </c>
      <c r="F47" s="113">
        <v>2</v>
      </c>
      <c r="G47" s="113">
        <v>0.1</v>
      </c>
      <c r="I47" s="113" t="s">
        <v>2443</v>
      </c>
      <c r="J47" s="113" t="s">
        <v>1162</v>
      </c>
      <c r="K47" s="113" t="s">
        <v>2424</v>
      </c>
      <c r="P47">
        <v>35</v>
      </c>
      <c r="Q47" t="s">
        <v>2410</v>
      </c>
      <c r="R47" t="s">
        <v>2641</v>
      </c>
      <c r="Y47" s="130" t="s">
        <v>2411</v>
      </c>
      <c r="Z47" s="130" t="s">
        <v>3282</v>
      </c>
      <c r="AA47" s="130" t="s">
        <v>3283</v>
      </c>
    </row>
    <row r="48" spans="1:27">
      <c r="A48" s="113" t="s">
        <v>239</v>
      </c>
      <c r="B48" s="113" t="s">
        <v>191</v>
      </c>
      <c r="D48" s="113" t="s">
        <v>2416</v>
      </c>
      <c r="E48" s="113" t="s">
        <v>2412</v>
      </c>
      <c r="F48" s="113">
        <v>3</v>
      </c>
      <c r="G48" s="113">
        <v>0.1</v>
      </c>
      <c r="I48" s="113" t="s">
        <v>2443</v>
      </c>
      <c r="J48" s="113" t="s">
        <v>1140</v>
      </c>
      <c r="K48" s="113" t="s">
        <v>2425</v>
      </c>
      <c r="P48">
        <v>36</v>
      </c>
      <c r="Q48" t="s">
        <v>2410</v>
      </c>
      <c r="R48" t="s">
        <v>2641</v>
      </c>
      <c r="Y48" s="130" t="s">
        <v>2411</v>
      </c>
      <c r="Z48" s="130" t="s">
        <v>3284</v>
      </c>
      <c r="AA48" s="130" t="s">
        <v>3285</v>
      </c>
    </row>
    <row r="49" spans="1:27">
      <c r="A49" s="113" t="s">
        <v>240</v>
      </c>
      <c r="B49" s="113" t="s">
        <v>235</v>
      </c>
      <c r="D49" s="113" t="s">
        <v>2416</v>
      </c>
      <c r="E49" s="113" t="s">
        <v>2412</v>
      </c>
      <c r="F49" s="113">
        <v>4</v>
      </c>
      <c r="G49" s="113">
        <v>0.1</v>
      </c>
      <c r="I49" s="113" t="s">
        <v>2443</v>
      </c>
      <c r="J49" s="113" t="s">
        <v>235</v>
      </c>
      <c r="K49" s="113" t="s">
        <v>2426</v>
      </c>
      <c r="P49">
        <v>37</v>
      </c>
      <c r="Q49" t="s">
        <v>2410</v>
      </c>
      <c r="R49" t="s">
        <v>2641</v>
      </c>
      <c r="Y49" s="130" t="s">
        <v>2411</v>
      </c>
      <c r="Z49" s="130" t="s">
        <v>3286</v>
      </c>
      <c r="AA49" s="130" t="s">
        <v>3287</v>
      </c>
    </row>
    <row r="50" spans="1:27">
      <c r="A50" s="113" t="s">
        <v>241</v>
      </c>
      <c r="B50" s="113" t="s">
        <v>235</v>
      </c>
      <c r="D50" s="113" t="s">
        <v>2414</v>
      </c>
      <c r="E50" s="113" t="s">
        <v>2412</v>
      </c>
      <c r="F50" s="113">
        <v>1</v>
      </c>
      <c r="G50" s="113">
        <v>0.1</v>
      </c>
      <c r="I50" s="113" t="s">
        <v>2443</v>
      </c>
      <c r="J50" s="113" t="s">
        <v>191</v>
      </c>
      <c r="K50" s="113" t="s">
        <v>2427</v>
      </c>
      <c r="P50">
        <v>38</v>
      </c>
      <c r="Q50" t="s">
        <v>2410</v>
      </c>
      <c r="R50" t="s">
        <v>2641</v>
      </c>
      <c r="Y50" s="130" t="s">
        <v>2411</v>
      </c>
      <c r="Z50" s="130" t="s">
        <v>3288</v>
      </c>
      <c r="AA50" s="130" t="s">
        <v>3289</v>
      </c>
    </row>
    <row r="51" spans="1:27">
      <c r="A51" s="113" t="s">
        <v>242</v>
      </c>
      <c r="B51" s="113" t="s">
        <v>235</v>
      </c>
      <c r="D51" s="113" t="s">
        <v>2414</v>
      </c>
      <c r="E51" s="113" t="s">
        <v>2412</v>
      </c>
      <c r="F51" s="113">
        <v>2</v>
      </c>
      <c r="G51" s="113">
        <v>0.1</v>
      </c>
      <c r="I51" s="113" t="s">
        <v>2443</v>
      </c>
      <c r="J51" s="113" t="s">
        <v>921</v>
      </c>
      <c r="K51" s="113" t="s">
        <v>2428</v>
      </c>
      <c r="P51">
        <v>39</v>
      </c>
      <c r="Q51" t="s">
        <v>2410</v>
      </c>
      <c r="R51" t="s">
        <v>2641</v>
      </c>
      <c r="Y51" s="130" t="s">
        <v>2411</v>
      </c>
      <c r="Z51" s="130" t="s">
        <v>3290</v>
      </c>
      <c r="AA51" s="130" t="s">
        <v>3291</v>
      </c>
    </row>
    <row r="52" spans="1:27">
      <c r="A52" s="113" t="s">
        <v>243</v>
      </c>
      <c r="B52" s="113" t="s">
        <v>191</v>
      </c>
      <c r="D52" s="113" t="s">
        <v>2414</v>
      </c>
      <c r="E52" s="113" t="s">
        <v>2412</v>
      </c>
      <c r="F52" s="113">
        <v>3</v>
      </c>
      <c r="G52" s="113">
        <v>0.1</v>
      </c>
      <c r="I52" s="113" t="s">
        <v>2443</v>
      </c>
      <c r="J52" s="113" t="s">
        <v>885</v>
      </c>
      <c r="K52" s="113" t="s">
        <v>2429</v>
      </c>
      <c r="P52">
        <v>40</v>
      </c>
      <c r="Q52" t="s">
        <v>2410</v>
      </c>
      <c r="R52" t="s">
        <v>2641</v>
      </c>
      <c r="Y52" s="130" t="s">
        <v>2411</v>
      </c>
      <c r="Z52" s="130" t="s">
        <v>3292</v>
      </c>
      <c r="AA52" s="130" t="s">
        <v>3293</v>
      </c>
    </row>
    <row r="53" spans="1:27">
      <c r="A53" s="113" t="s">
        <v>244</v>
      </c>
      <c r="B53" s="113" t="s">
        <v>235</v>
      </c>
      <c r="D53" s="113" t="s">
        <v>2414</v>
      </c>
      <c r="E53" s="113" t="s">
        <v>2412</v>
      </c>
      <c r="F53" s="113">
        <v>4</v>
      </c>
      <c r="G53" s="113">
        <v>0.1</v>
      </c>
      <c r="I53" s="113" t="s">
        <v>2443</v>
      </c>
      <c r="J53" s="113" t="s">
        <v>1771</v>
      </c>
      <c r="K53" s="113" t="s">
        <v>2430</v>
      </c>
      <c r="P53">
        <v>41</v>
      </c>
      <c r="Q53" t="s">
        <v>2410</v>
      </c>
      <c r="R53" t="s">
        <v>2641</v>
      </c>
      <c r="Y53" s="130" t="s">
        <v>2411</v>
      </c>
      <c r="Z53" s="130" t="s">
        <v>3294</v>
      </c>
      <c r="AA53" s="130" t="s">
        <v>3295</v>
      </c>
    </row>
    <row r="54" spans="1:27">
      <c r="A54" s="113" t="s">
        <v>245</v>
      </c>
      <c r="B54" s="113" t="s">
        <v>235</v>
      </c>
      <c r="D54" s="113" t="s">
        <v>2417</v>
      </c>
      <c r="E54" s="113" t="s">
        <v>2412</v>
      </c>
      <c r="F54" s="113">
        <v>1</v>
      </c>
      <c r="G54" s="113">
        <v>0.1</v>
      </c>
      <c r="I54" s="113" t="s">
        <v>2443</v>
      </c>
      <c r="J54" s="113" t="s">
        <v>1692</v>
      </c>
      <c r="K54" s="113" t="s">
        <v>2431</v>
      </c>
      <c r="P54">
        <v>42</v>
      </c>
      <c r="Q54" t="s">
        <v>2410</v>
      </c>
      <c r="R54" t="s">
        <v>2641</v>
      </c>
      <c r="Y54" s="130" t="s">
        <v>2411</v>
      </c>
      <c r="Z54" s="130" t="s">
        <v>3296</v>
      </c>
      <c r="AA54" s="130" t="s">
        <v>3297</v>
      </c>
    </row>
    <row r="55" spans="1:27">
      <c r="A55" s="113" t="s">
        <v>246</v>
      </c>
      <c r="B55" s="113" t="s">
        <v>235</v>
      </c>
      <c r="D55" s="113" t="s">
        <v>2417</v>
      </c>
      <c r="E55" s="113" t="s">
        <v>2412</v>
      </c>
      <c r="F55" s="113">
        <v>2</v>
      </c>
      <c r="G55" s="113">
        <v>0.1</v>
      </c>
      <c r="I55" s="113" t="s">
        <v>2443</v>
      </c>
      <c r="J55" s="113" t="s">
        <v>756</v>
      </c>
      <c r="K55" s="113" t="s">
        <v>2432</v>
      </c>
      <c r="P55">
        <v>43</v>
      </c>
      <c r="Q55" t="s">
        <v>2410</v>
      </c>
      <c r="R55" t="s">
        <v>2641</v>
      </c>
      <c r="Y55" s="130" t="s">
        <v>2411</v>
      </c>
      <c r="Z55" s="130" t="s">
        <v>3298</v>
      </c>
      <c r="AA55" s="130" t="s">
        <v>3299</v>
      </c>
    </row>
    <row r="56" spans="1:27">
      <c r="A56" s="113" t="s">
        <v>247</v>
      </c>
      <c r="B56" s="113" t="s">
        <v>235</v>
      </c>
      <c r="D56" s="113" t="s">
        <v>2417</v>
      </c>
      <c r="E56" s="113" t="s">
        <v>2412</v>
      </c>
      <c r="F56" s="113">
        <v>3</v>
      </c>
      <c r="G56" s="113">
        <v>0.1</v>
      </c>
      <c r="I56" s="113" t="s">
        <v>2443</v>
      </c>
      <c r="J56" s="113" t="s">
        <v>313</v>
      </c>
      <c r="K56" s="113" t="s">
        <v>2433</v>
      </c>
      <c r="P56">
        <v>44</v>
      </c>
      <c r="Q56" t="s">
        <v>2410</v>
      </c>
      <c r="R56" t="s">
        <v>2641</v>
      </c>
      <c r="Y56" s="130" t="s">
        <v>2411</v>
      </c>
      <c r="Z56" s="130" t="s">
        <v>3300</v>
      </c>
      <c r="AA56" s="130" t="s">
        <v>3301</v>
      </c>
    </row>
    <row r="57" spans="1:27">
      <c r="A57" s="113" t="s">
        <v>248</v>
      </c>
      <c r="B57" s="113" t="s">
        <v>235</v>
      </c>
      <c r="D57" s="113" t="s">
        <v>2417</v>
      </c>
      <c r="E57" s="113" t="s">
        <v>2412</v>
      </c>
      <c r="F57" s="113">
        <v>4</v>
      </c>
      <c r="G57" s="113">
        <v>0.1</v>
      </c>
      <c r="I57" s="113" t="s">
        <v>2443</v>
      </c>
      <c r="J57" s="113" t="s">
        <v>193</v>
      </c>
      <c r="K57" s="113" t="s">
        <v>2434</v>
      </c>
      <c r="P57">
        <v>45</v>
      </c>
      <c r="Q57" t="s">
        <v>2410</v>
      </c>
      <c r="R57" t="s">
        <v>2641</v>
      </c>
      <c r="Y57" s="130" t="s">
        <v>2411</v>
      </c>
      <c r="Z57" s="130" t="s">
        <v>3302</v>
      </c>
      <c r="AA57" s="130" t="s">
        <v>3303</v>
      </c>
    </row>
    <row r="58" spans="1:27">
      <c r="A58" s="113" t="s">
        <v>249</v>
      </c>
      <c r="B58" s="113" t="s">
        <v>191</v>
      </c>
      <c r="D58" s="113" t="s">
        <v>2629</v>
      </c>
      <c r="E58" s="113" t="s">
        <v>2412</v>
      </c>
      <c r="F58" s="113">
        <v>1</v>
      </c>
      <c r="G58" s="113">
        <v>0.1</v>
      </c>
      <c r="I58" s="113" t="s">
        <v>2443</v>
      </c>
      <c r="J58" s="113" t="s">
        <v>315</v>
      </c>
      <c r="K58" s="113" t="s">
        <v>2435</v>
      </c>
      <c r="P58">
        <v>46</v>
      </c>
      <c r="Q58" t="s">
        <v>2410</v>
      </c>
      <c r="R58" t="s">
        <v>2641</v>
      </c>
      <c r="Y58" s="130" t="s">
        <v>2411</v>
      </c>
      <c r="Z58" s="130" t="s">
        <v>3304</v>
      </c>
      <c r="AA58" s="130" t="s">
        <v>3305</v>
      </c>
    </row>
    <row r="59" spans="1:27">
      <c r="A59" s="113" t="s">
        <v>250</v>
      </c>
      <c r="B59" s="113" t="s">
        <v>235</v>
      </c>
      <c r="D59" s="113" t="s">
        <v>2629</v>
      </c>
      <c r="E59" s="113" t="s">
        <v>2412</v>
      </c>
      <c r="F59" s="113">
        <v>2</v>
      </c>
      <c r="G59" s="113">
        <v>0.1</v>
      </c>
      <c r="I59" s="113" t="s">
        <v>2443</v>
      </c>
      <c r="J59" s="113" t="s">
        <v>1633</v>
      </c>
      <c r="K59" s="113" t="s">
        <v>2436</v>
      </c>
      <c r="P59">
        <v>47</v>
      </c>
      <c r="Q59" t="s">
        <v>2410</v>
      </c>
      <c r="R59" t="s">
        <v>2641</v>
      </c>
      <c r="Y59" s="130" t="s">
        <v>2411</v>
      </c>
      <c r="Z59" s="130" t="s">
        <v>3306</v>
      </c>
      <c r="AA59" s="130" t="s">
        <v>3307</v>
      </c>
    </row>
    <row r="60" spans="1:27">
      <c r="A60" s="113" t="s">
        <v>251</v>
      </c>
      <c r="B60" s="113" t="s">
        <v>235</v>
      </c>
      <c r="D60" s="113" t="s">
        <v>2629</v>
      </c>
      <c r="E60" s="113" t="s">
        <v>2412</v>
      </c>
      <c r="F60" s="113">
        <v>3</v>
      </c>
      <c r="G60" s="113">
        <v>0.1</v>
      </c>
      <c r="I60" s="113" t="s">
        <v>2443</v>
      </c>
      <c r="J60" s="113" t="s">
        <v>1636</v>
      </c>
      <c r="K60" s="113" t="s">
        <v>2437</v>
      </c>
      <c r="P60">
        <v>48</v>
      </c>
      <c r="Q60" t="s">
        <v>2410</v>
      </c>
      <c r="R60" t="s">
        <v>2641</v>
      </c>
      <c r="Y60" s="130" t="s">
        <v>2411</v>
      </c>
      <c r="Z60" s="130" t="s">
        <v>3308</v>
      </c>
      <c r="AA60" s="130" t="s">
        <v>3309</v>
      </c>
    </row>
    <row r="61" spans="1:27">
      <c r="A61" s="113" t="s">
        <v>252</v>
      </c>
      <c r="B61" s="113" t="s">
        <v>235</v>
      </c>
      <c r="D61" s="113" t="s">
        <v>2629</v>
      </c>
      <c r="E61" s="113" t="s">
        <v>2412</v>
      </c>
      <c r="F61" s="113">
        <v>4</v>
      </c>
      <c r="G61" s="113">
        <v>0.1</v>
      </c>
      <c r="I61" s="113" t="s">
        <v>2443</v>
      </c>
      <c r="J61" s="113" t="s">
        <v>2069</v>
      </c>
      <c r="K61" s="113" t="s">
        <v>2438</v>
      </c>
      <c r="P61">
        <v>49</v>
      </c>
      <c r="Q61" t="s">
        <v>2410</v>
      </c>
      <c r="R61" t="s">
        <v>2641</v>
      </c>
      <c r="Y61" s="130" t="s">
        <v>2411</v>
      </c>
      <c r="Z61" s="130" t="s">
        <v>3310</v>
      </c>
      <c r="AA61" s="130" t="s">
        <v>3311</v>
      </c>
    </row>
    <row r="62" spans="1:27">
      <c r="A62" s="113" t="s">
        <v>253</v>
      </c>
      <c r="B62" s="113" t="s">
        <v>235</v>
      </c>
      <c r="D62" s="113" t="s">
        <v>2418</v>
      </c>
      <c r="E62" s="113" t="s">
        <v>2412</v>
      </c>
      <c r="F62" s="113">
        <v>1</v>
      </c>
      <c r="G62" s="113">
        <v>0.1</v>
      </c>
      <c r="I62" s="113" t="s">
        <v>2443</v>
      </c>
      <c r="J62" s="113" t="s">
        <v>2002</v>
      </c>
      <c r="K62" s="113" t="s">
        <v>2439</v>
      </c>
      <c r="P62">
        <v>50</v>
      </c>
      <c r="Q62" t="s">
        <v>2410</v>
      </c>
      <c r="R62" t="s">
        <v>2641</v>
      </c>
      <c r="Y62" s="130" t="s">
        <v>2411</v>
      </c>
      <c r="Z62" s="130" t="s">
        <v>3312</v>
      </c>
      <c r="AA62" s="130" t="s">
        <v>3313</v>
      </c>
    </row>
    <row r="63" spans="1:27">
      <c r="A63" s="113" t="s">
        <v>254</v>
      </c>
      <c r="B63" s="113" t="s">
        <v>235</v>
      </c>
      <c r="D63" s="113" t="s">
        <v>2418</v>
      </c>
      <c r="E63" s="113" t="s">
        <v>2412</v>
      </c>
      <c r="F63" s="113">
        <v>2</v>
      </c>
      <c r="G63" s="113">
        <v>0.1</v>
      </c>
      <c r="I63" s="113" t="s">
        <v>2443</v>
      </c>
      <c r="J63" s="113" t="s">
        <v>1452</v>
      </c>
      <c r="K63" s="113" t="s">
        <v>2440</v>
      </c>
      <c r="P63">
        <v>51</v>
      </c>
      <c r="Q63" t="s">
        <v>2410</v>
      </c>
      <c r="R63" t="s">
        <v>2641</v>
      </c>
      <c r="Y63" s="130" t="s">
        <v>2411</v>
      </c>
      <c r="Z63" s="130" t="s">
        <v>3314</v>
      </c>
      <c r="AA63" s="130" t="s">
        <v>3315</v>
      </c>
    </row>
    <row r="64" spans="1:27">
      <c r="A64" s="113" t="s">
        <v>255</v>
      </c>
      <c r="B64" s="113" t="s">
        <v>235</v>
      </c>
      <c r="D64" s="113" t="s">
        <v>2418</v>
      </c>
      <c r="E64" s="113" t="s">
        <v>2412</v>
      </c>
      <c r="F64" s="113">
        <v>3</v>
      </c>
      <c r="G64" s="113">
        <v>0.1</v>
      </c>
      <c r="I64" s="113" t="s">
        <v>2443</v>
      </c>
      <c r="J64" s="113" t="s">
        <v>449</v>
      </c>
      <c r="K64" s="113" t="s">
        <v>2441</v>
      </c>
      <c r="P64">
        <v>52</v>
      </c>
      <c r="Q64" t="s">
        <v>2410</v>
      </c>
      <c r="R64" t="s">
        <v>2641</v>
      </c>
      <c r="Y64" s="130" t="s">
        <v>2411</v>
      </c>
      <c r="Z64" s="130" t="s">
        <v>3316</v>
      </c>
      <c r="AA64" s="130" t="s">
        <v>3317</v>
      </c>
    </row>
    <row r="65" spans="1:27">
      <c r="A65" s="113" t="s">
        <v>256</v>
      </c>
      <c r="B65" s="113" t="s">
        <v>235</v>
      </c>
      <c r="D65" s="113" t="s">
        <v>2418</v>
      </c>
      <c r="E65" s="113" t="s">
        <v>2412</v>
      </c>
      <c r="F65" s="113">
        <v>4</v>
      </c>
      <c r="G65" s="113">
        <v>0.1</v>
      </c>
      <c r="I65" s="113" t="s">
        <v>2414</v>
      </c>
      <c r="J65" s="113" t="s">
        <v>2017</v>
      </c>
      <c r="K65" s="113" t="s">
        <v>2422</v>
      </c>
      <c r="P65">
        <v>53</v>
      </c>
      <c r="Q65" t="s">
        <v>2410</v>
      </c>
      <c r="R65" t="s">
        <v>2641</v>
      </c>
      <c r="Y65" s="130" t="s">
        <v>2411</v>
      </c>
      <c r="Z65" s="130" t="s">
        <v>3318</v>
      </c>
      <c r="AA65" s="130" t="s">
        <v>3319</v>
      </c>
    </row>
    <row r="66" spans="1:27">
      <c r="A66" s="113" t="s">
        <v>257</v>
      </c>
      <c r="B66" s="113" t="s">
        <v>191</v>
      </c>
      <c r="D66" s="113" t="s">
        <v>2421</v>
      </c>
      <c r="E66" s="113" t="s">
        <v>2413</v>
      </c>
      <c r="F66" s="113">
        <v>1</v>
      </c>
      <c r="G66" s="113">
        <v>0.5</v>
      </c>
      <c r="I66" s="113" t="s">
        <v>2414</v>
      </c>
      <c r="J66" s="113" t="s">
        <v>1609</v>
      </c>
      <c r="K66" s="113" t="s">
        <v>2423</v>
      </c>
      <c r="P66">
        <v>54</v>
      </c>
      <c r="Q66" t="s">
        <v>2410</v>
      </c>
      <c r="R66" t="s">
        <v>2641</v>
      </c>
      <c r="Y66" s="130" t="s">
        <v>2411</v>
      </c>
      <c r="Z66" s="130" t="s">
        <v>3320</v>
      </c>
      <c r="AA66" s="130" t="s">
        <v>3321</v>
      </c>
    </row>
    <row r="67" spans="1:27">
      <c r="A67" s="113" t="s">
        <v>258</v>
      </c>
      <c r="B67" s="113" t="s">
        <v>235</v>
      </c>
      <c r="D67" s="113" t="s">
        <v>2421</v>
      </c>
      <c r="E67" s="113" t="s">
        <v>2413</v>
      </c>
      <c r="F67" s="113">
        <v>2</v>
      </c>
      <c r="G67" s="113">
        <v>0.5</v>
      </c>
      <c r="I67" s="113" t="s">
        <v>2414</v>
      </c>
      <c r="J67" s="113" t="s">
        <v>1613</v>
      </c>
      <c r="K67" s="113" t="s">
        <v>2423</v>
      </c>
      <c r="P67">
        <v>55</v>
      </c>
      <c r="Q67" t="s">
        <v>2410</v>
      </c>
      <c r="R67" t="s">
        <v>2641</v>
      </c>
      <c r="Y67" s="130" t="s">
        <v>2411</v>
      </c>
      <c r="Z67" s="130" t="s">
        <v>3322</v>
      </c>
      <c r="AA67" s="130" t="s">
        <v>3323</v>
      </c>
    </row>
    <row r="68" spans="1:27">
      <c r="A68" s="113" t="s">
        <v>259</v>
      </c>
      <c r="B68" s="113" t="s">
        <v>191</v>
      </c>
      <c r="D68" s="113" t="s">
        <v>2421</v>
      </c>
      <c r="E68" s="113" t="s">
        <v>2413</v>
      </c>
      <c r="F68" s="113">
        <v>3</v>
      </c>
      <c r="G68" s="113">
        <v>0.3</v>
      </c>
      <c r="I68" s="113" t="s">
        <v>2414</v>
      </c>
      <c r="J68" s="113" t="s">
        <v>1162</v>
      </c>
      <c r="K68" s="113" t="s">
        <v>2424</v>
      </c>
      <c r="P68">
        <v>56</v>
      </c>
      <c r="Q68" t="s">
        <v>2410</v>
      </c>
      <c r="R68" t="s">
        <v>2641</v>
      </c>
      <c r="Y68" s="130" t="s">
        <v>2411</v>
      </c>
      <c r="Z68" s="130" t="s">
        <v>3324</v>
      </c>
      <c r="AA68" s="130" t="s">
        <v>3325</v>
      </c>
    </row>
    <row r="69" spans="1:27">
      <c r="A69" s="113" t="s">
        <v>260</v>
      </c>
      <c r="B69" s="113" t="s">
        <v>235</v>
      </c>
      <c r="D69" s="113" t="s">
        <v>2421</v>
      </c>
      <c r="E69" s="113" t="s">
        <v>2413</v>
      </c>
      <c r="F69" s="113">
        <v>4</v>
      </c>
      <c r="G69" s="113">
        <v>0.3</v>
      </c>
      <c r="I69" s="113" t="s">
        <v>2414</v>
      </c>
      <c r="J69" s="113" t="s">
        <v>1140</v>
      </c>
      <c r="K69" s="113" t="s">
        <v>2425</v>
      </c>
      <c r="P69">
        <v>57</v>
      </c>
      <c r="Q69" t="s">
        <v>2410</v>
      </c>
      <c r="R69" t="s">
        <v>2641</v>
      </c>
      <c r="Y69" s="130" t="s">
        <v>2411</v>
      </c>
      <c r="Z69" s="130" t="s">
        <v>3326</v>
      </c>
      <c r="AA69" s="130" t="s">
        <v>3327</v>
      </c>
    </row>
    <row r="70" spans="1:27">
      <c r="A70" s="113" t="s">
        <v>261</v>
      </c>
      <c r="B70" s="113" t="s">
        <v>235</v>
      </c>
      <c r="D70" s="113" t="s">
        <v>2442</v>
      </c>
      <c r="E70" s="113" t="s">
        <v>2413</v>
      </c>
      <c r="F70" s="113">
        <v>1</v>
      </c>
      <c r="G70" s="113">
        <v>0.5</v>
      </c>
      <c r="I70" s="113" t="s">
        <v>2414</v>
      </c>
      <c r="J70" s="113" t="s">
        <v>235</v>
      </c>
      <c r="K70" s="113" t="s">
        <v>2426</v>
      </c>
      <c r="P70">
        <v>58</v>
      </c>
      <c r="Q70" t="s">
        <v>2410</v>
      </c>
      <c r="R70" t="s">
        <v>2641</v>
      </c>
      <c r="Y70" s="130" t="s">
        <v>2411</v>
      </c>
      <c r="Z70" s="130" t="s">
        <v>3328</v>
      </c>
      <c r="AA70" s="130" t="s">
        <v>3329</v>
      </c>
    </row>
    <row r="71" spans="1:27">
      <c r="A71" s="113" t="s">
        <v>262</v>
      </c>
      <c r="B71" s="113" t="s">
        <v>191</v>
      </c>
      <c r="D71" s="113" t="s">
        <v>2442</v>
      </c>
      <c r="E71" s="113" t="s">
        <v>2413</v>
      </c>
      <c r="F71" s="113">
        <v>2</v>
      </c>
      <c r="G71" s="113">
        <v>0.5</v>
      </c>
      <c r="I71" s="113" t="s">
        <v>2414</v>
      </c>
      <c r="J71" s="113" t="s">
        <v>191</v>
      </c>
      <c r="K71" s="113" t="s">
        <v>2427</v>
      </c>
      <c r="P71">
        <v>59</v>
      </c>
      <c r="Q71" t="s">
        <v>2410</v>
      </c>
      <c r="R71" t="s">
        <v>2641</v>
      </c>
      <c r="Y71" s="130" t="s">
        <v>2411</v>
      </c>
      <c r="Z71" s="130" t="s">
        <v>3330</v>
      </c>
      <c r="AA71" s="130" t="s">
        <v>3331</v>
      </c>
    </row>
    <row r="72" spans="1:27">
      <c r="A72" s="113" t="s">
        <v>263</v>
      </c>
      <c r="B72" s="113" t="s">
        <v>191</v>
      </c>
      <c r="D72" s="113" t="s">
        <v>2442</v>
      </c>
      <c r="E72" s="113" t="s">
        <v>2413</v>
      </c>
      <c r="F72" s="113">
        <v>3</v>
      </c>
      <c r="G72" s="113">
        <v>0.3</v>
      </c>
      <c r="I72" s="113" t="s">
        <v>2414</v>
      </c>
      <c r="J72" s="113" t="s">
        <v>921</v>
      </c>
      <c r="K72" s="113" t="s">
        <v>2428</v>
      </c>
      <c r="P72">
        <v>60</v>
      </c>
      <c r="Q72" t="s">
        <v>2410</v>
      </c>
      <c r="R72" t="s">
        <v>2641</v>
      </c>
      <c r="Y72" s="130" t="s">
        <v>2411</v>
      </c>
      <c r="Z72" s="130" t="s">
        <v>3332</v>
      </c>
      <c r="AA72" s="130" t="s">
        <v>3333</v>
      </c>
    </row>
    <row r="73" spans="1:27">
      <c r="A73" s="113" t="s">
        <v>264</v>
      </c>
      <c r="B73" s="113" t="s">
        <v>235</v>
      </c>
      <c r="D73" s="113" t="s">
        <v>2442</v>
      </c>
      <c r="E73" s="113" t="s">
        <v>2413</v>
      </c>
      <c r="F73" s="113">
        <v>4</v>
      </c>
      <c r="G73" s="113">
        <v>0.3</v>
      </c>
      <c r="I73" s="113" t="s">
        <v>2414</v>
      </c>
      <c r="J73" s="113" t="s">
        <v>885</v>
      </c>
      <c r="K73" s="113" t="s">
        <v>2429</v>
      </c>
      <c r="P73">
        <v>61</v>
      </c>
      <c r="Q73" t="s">
        <v>2410</v>
      </c>
      <c r="R73" t="s">
        <v>2641</v>
      </c>
      <c r="Y73" s="130" t="s">
        <v>2411</v>
      </c>
      <c r="Z73" s="130" t="s">
        <v>3334</v>
      </c>
      <c r="AA73" s="130" t="s">
        <v>3335</v>
      </c>
    </row>
    <row r="74" spans="1:27">
      <c r="A74" s="113" t="s">
        <v>265</v>
      </c>
      <c r="B74" s="113" t="s">
        <v>191</v>
      </c>
      <c r="D74" s="113" t="s">
        <v>2443</v>
      </c>
      <c r="E74" s="113" t="s">
        <v>2413</v>
      </c>
      <c r="F74" s="113">
        <v>1</v>
      </c>
      <c r="G74" s="113">
        <v>0.5</v>
      </c>
      <c r="I74" s="113" t="s">
        <v>2414</v>
      </c>
      <c r="J74" s="113" t="s">
        <v>1771</v>
      </c>
      <c r="K74" s="113" t="s">
        <v>2430</v>
      </c>
      <c r="P74">
        <v>62</v>
      </c>
      <c r="Q74" t="s">
        <v>2410</v>
      </c>
      <c r="R74" t="s">
        <v>2641</v>
      </c>
      <c r="Y74" s="130" t="s">
        <v>2411</v>
      </c>
      <c r="Z74" s="130" t="s">
        <v>3336</v>
      </c>
      <c r="AA74" s="130" t="s">
        <v>3337</v>
      </c>
    </row>
    <row r="75" spans="1:27">
      <c r="A75" s="113" t="s">
        <v>266</v>
      </c>
      <c r="B75" s="113" t="s">
        <v>235</v>
      </c>
      <c r="D75" s="113" t="s">
        <v>2443</v>
      </c>
      <c r="E75" s="113" t="s">
        <v>2413</v>
      </c>
      <c r="F75" s="113">
        <v>2</v>
      </c>
      <c r="G75" s="113">
        <v>0.5</v>
      </c>
      <c r="I75" s="113" t="s">
        <v>2414</v>
      </c>
      <c r="J75" s="113" t="s">
        <v>1692</v>
      </c>
      <c r="K75" s="113" t="s">
        <v>2431</v>
      </c>
      <c r="P75">
        <v>63</v>
      </c>
      <c r="Q75" t="s">
        <v>2410</v>
      </c>
      <c r="R75" t="s">
        <v>2641</v>
      </c>
      <c r="Y75" s="130" t="s">
        <v>2411</v>
      </c>
      <c r="Z75" s="130" t="s">
        <v>3338</v>
      </c>
      <c r="AA75" s="130" t="s">
        <v>3339</v>
      </c>
    </row>
    <row r="76" spans="1:27">
      <c r="A76" s="113" t="s">
        <v>267</v>
      </c>
      <c r="B76" s="113" t="s">
        <v>235</v>
      </c>
      <c r="D76" s="113" t="s">
        <v>2443</v>
      </c>
      <c r="E76" s="113" t="s">
        <v>2413</v>
      </c>
      <c r="F76" s="113">
        <v>3</v>
      </c>
      <c r="G76" s="113">
        <v>0.3</v>
      </c>
      <c r="I76" s="113" t="s">
        <v>2414</v>
      </c>
      <c r="J76" s="113" t="s">
        <v>756</v>
      </c>
      <c r="K76" s="113" t="s">
        <v>2432</v>
      </c>
      <c r="P76">
        <v>64</v>
      </c>
      <c r="Q76" t="s">
        <v>2410</v>
      </c>
      <c r="R76" t="s">
        <v>2641</v>
      </c>
      <c r="Y76" s="130" t="s">
        <v>2411</v>
      </c>
      <c r="Z76" s="130" t="s">
        <v>3340</v>
      </c>
      <c r="AA76" s="130" t="s">
        <v>3341</v>
      </c>
    </row>
    <row r="77" spans="1:27">
      <c r="A77" s="113" t="s">
        <v>268</v>
      </c>
      <c r="B77" s="113" t="s">
        <v>235</v>
      </c>
      <c r="D77" s="113" t="s">
        <v>2443</v>
      </c>
      <c r="E77" s="113" t="s">
        <v>2413</v>
      </c>
      <c r="F77" s="113">
        <v>4</v>
      </c>
      <c r="G77" s="113">
        <v>0.3</v>
      </c>
      <c r="I77" s="113" t="s">
        <v>2414</v>
      </c>
      <c r="J77" s="113" t="s">
        <v>313</v>
      </c>
      <c r="K77" s="113" t="s">
        <v>2433</v>
      </c>
      <c r="P77">
        <v>65</v>
      </c>
      <c r="Q77" t="s">
        <v>2410</v>
      </c>
      <c r="R77" t="s">
        <v>2641</v>
      </c>
      <c r="Y77" s="130" t="s">
        <v>2411</v>
      </c>
      <c r="Z77" s="130" t="s">
        <v>3342</v>
      </c>
      <c r="AA77" s="130" t="s">
        <v>3343</v>
      </c>
    </row>
    <row r="78" spans="1:27">
      <c r="A78" s="113" t="s">
        <v>269</v>
      </c>
      <c r="B78" s="113" t="s">
        <v>191</v>
      </c>
      <c r="D78" s="113" t="s">
        <v>2416</v>
      </c>
      <c r="E78" s="113" t="s">
        <v>2413</v>
      </c>
      <c r="F78" s="113">
        <v>1</v>
      </c>
      <c r="G78" s="113">
        <v>0.5</v>
      </c>
      <c r="I78" s="113" t="s">
        <v>2414</v>
      </c>
      <c r="J78" s="113" t="s">
        <v>193</v>
      </c>
      <c r="K78" s="113" t="s">
        <v>2434</v>
      </c>
      <c r="P78">
        <v>66</v>
      </c>
      <c r="Q78" t="s">
        <v>2410</v>
      </c>
      <c r="R78" t="s">
        <v>2641</v>
      </c>
      <c r="Y78" s="130" t="s">
        <v>2411</v>
      </c>
      <c r="Z78" s="130" t="s">
        <v>3344</v>
      </c>
      <c r="AA78" s="130" t="s">
        <v>3345</v>
      </c>
    </row>
    <row r="79" spans="1:27">
      <c r="A79" s="113" t="s">
        <v>270</v>
      </c>
      <c r="B79" s="113" t="s">
        <v>191</v>
      </c>
      <c r="D79" s="113" t="s">
        <v>2416</v>
      </c>
      <c r="E79" s="113" t="s">
        <v>2413</v>
      </c>
      <c r="F79" s="113">
        <v>2</v>
      </c>
      <c r="G79" s="113">
        <v>0.5</v>
      </c>
      <c r="I79" s="113" t="s">
        <v>2414</v>
      </c>
      <c r="J79" s="113" t="s">
        <v>315</v>
      </c>
      <c r="K79" s="113" t="s">
        <v>2435</v>
      </c>
      <c r="P79">
        <v>67</v>
      </c>
      <c r="Q79" t="s">
        <v>2410</v>
      </c>
      <c r="R79" t="s">
        <v>2641</v>
      </c>
      <c r="Y79" s="130" t="s">
        <v>2411</v>
      </c>
      <c r="Z79" s="130" t="s">
        <v>3346</v>
      </c>
      <c r="AA79" s="130" t="s">
        <v>3347</v>
      </c>
    </row>
    <row r="80" spans="1:27">
      <c r="A80" s="113" t="s">
        <v>271</v>
      </c>
      <c r="B80" s="113" t="s">
        <v>191</v>
      </c>
      <c r="D80" s="113" t="s">
        <v>2416</v>
      </c>
      <c r="E80" s="113" t="s">
        <v>2413</v>
      </c>
      <c r="F80" s="113">
        <v>3</v>
      </c>
      <c r="G80" s="113">
        <v>0.3</v>
      </c>
      <c r="I80" s="113" t="s">
        <v>2414</v>
      </c>
      <c r="J80" s="113" t="s">
        <v>1633</v>
      </c>
      <c r="K80" s="113" t="s">
        <v>2436</v>
      </c>
      <c r="P80">
        <v>68</v>
      </c>
      <c r="Q80" t="s">
        <v>2410</v>
      </c>
      <c r="R80" t="s">
        <v>2641</v>
      </c>
      <c r="Y80" s="130" t="s">
        <v>2411</v>
      </c>
      <c r="Z80" s="130" t="s">
        <v>3348</v>
      </c>
      <c r="AA80" s="130" t="s">
        <v>3349</v>
      </c>
    </row>
    <row r="81" spans="1:27">
      <c r="A81" s="113" t="s">
        <v>272</v>
      </c>
      <c r="B81" s="113" t="s">
        <v>191</v>
      </c>
      <c r="D81" s="113" t="s">
        <v>2416</v>
      </c>
      <c r="E81" s="113" t="s">
        <v>2413</v>
      </c>
      <c r="F81" s="113">
        <v>4</v>
      </c>
      <c r="G81" s="113">
        <v>0.3</v>
      </c>
      <c r="I81" s="113" t="s">
        <v>2414</v>
      </c>
      <c r="J81" s="113" t="s">
        <v>1636</v>
      </c>
      <c r="K81" s="113" t="s">
        <v>2437</v>
      </c>
      <c r="P81">
        <v>69</v>
      </c>
      <c r="Q81" t="s">
        <v>2410</v>
      </c>
      <c r="R81" t="s">
        <v>2641</v>
      </c>
      <c r="Y81" s="130" t="s">
        <v>2411</v>
      </c>
      <c r="Z81" s="130" t="s">
        <v>3350</v>
      </c>
      <c r="AA81" s="130" t="s">
        <v>3351</v>
      </c>
    </row>
    <row r="82" spans="1:27">
      <c r="A82" s="113" t="s">
        <v>273</v>
      </c>
      <c r="B82" s="113" t="s">
        <v>191</v>
      </c>
      <c r="D82" s="113" t="s">
        <v>2414</v>
      </c>
      <c r="E82" s="113" t="s">
        <v>2413</v>
      </c>
      <c r="F82" s="113">
        <v>1</v>
      </c>
      <c r="G82" s="113">
        <v>0.7</v>
      </c>
      <c r="I82" s="113" t="s">
        <v>2414</v>
      </c>
      <c r="J82" s="113" t="s">
        <v>2069</v>
      </c>
      <c r="K82" s="113" t="s">
        <v>2438</v>
      </c>
      <c r="P82">
        <v>70</v>
      </c>
      <c r="Q82" t="s">
        <v>2410</v>
      </c>
      <c r="R82" t="s">
        <v>2641</v>
      </c>
      <c r="Y82" s="130" t="s">
        <v>2411</v>
      </c>
      <c r="Z82" s="130" t="s">
        <v>3352</v>
      </c>
      <c r="AA82" s="130" t="s">
        <v>3353</v>
      </c>
    </row>
    <row r="83" spans="1:27">
      <c r="A83" s="113" t="s">
        <v>274</v>
      </c>
      <c r="B83" s="113" t="s">
        <v>235</v>
      </c>
      <c r="D83" s="113" t="s">
        <v>2414</v>
      </c>
      <c r="E83" s="113" t="s">
        <v>2413</v>
      </c>
      <c r="F83" s="113">
        <v>2</v>
      </c>
      <c r="G83" s="113">
        <v>0.7</v>
      </c>
      <c r="I83" s="113" t="s">
        <v>2414</v>
      </c>
      <c r="J83" s="113" t="s">
        <v>2002</v>
      </c>
      <c r="K83" s="113" t="s">
        <v>2439</v>
      </c>
      <c r="P83">
        <v>71</v>
      </c>
      <c r="Q83" t="s">
        <v>2410</v>
      </c>
      <c r="R83" t="s">
        <v>2641</v>
      </c>
      <c r="Y83" s="130" t="s">
        <v>2411</v>
      </c>
      <c r="Z83" s="130" t="s">
        <v>3354</v>
      </c>
      <c r="AA83" s="130" t="s">
        <v>3355</v>
      </c>
    </row>
    <row r="84" spans="1:27">
      <c r="A84" s="113" t="s">
        <v>275</v>
      </c>
      <c r="B84" s="113" t="s">
        <v>191</v>
      </c>
      <c r="D84" s="113" t="s">
        <v>2414</v>
      </c>
      <c r="E84" s="113" t="s">
        <v>2413</v>
      </c>
      <c r="F84" s="113">
        <v>3</v>
      </c>
      <c r="G84" s="113">
        <v>0.5</v>
      </c>
      <c r="I84" s="113" t="s">
        <v>2414</v>
      </c>
      <c r="J84" s="113" t="s">
        <v>1452</v>
      </c>
      <c r="K84" s="113" t="s">
        <v>2440</v>
      </c>
      <c r="P84">
        <v>72</v>
      </c>
      <c r="Q84" t="s">
        <v>2410</v>
      </c>
      <c r="R84" t="s">
        <v>2641</v>
      </c>
      <c r="Y84" s="130" t="s">
        <v>2411</v>
      </c>
      <c r="Z84" s="130" t="s">
        <v>3356</v>
      </c>
      <c r="AA84" s="130" t="s">
        <v>3357</v>
      </c>
    </row>
    <row r="85" spans="1:27">
      <c r="A85" s="113" t="s">
        <v>276</v>
      </c>
      <c r="B85" s="113" t="s">
        <v>235</v>
      </c>
      <c r="D85" s="113" t="s">
        <v>2414</v>
      </c>
      <c r="E85" s="113" t="s">
        <v>2413</v>
      </c>
      <c r="F85" s="113">
        <v>4</v>
      </c>
      <c r="G85" s="113">
        <v>0.5</v>
      </c>
      <c r="I85" s="113" t="s">
        <v>2414</v>
      </c>
      <c r="J85" s="113" t="s">
        <v>449</v>
      </c>
      <c r="K85" s="113" t="s">
        <v>2441</v>
      </c>
      <c r="P85">
        <v>73</v>
      </c>
      <c r="Q85" t="s">
        <v>2410</v>
      </c>
      <c r="R85" t="s">
        <v>2641</v>
      </c>
      <c r="Y85" s="130" t="s">
        <v>2411</v>
      </c>
      <c r="Z85" s="130" t="s">
        <v>3358</v>
      </c>
      <c r="AA85" s="130" t="s">
        <v>3359</v>
      </c>
    </row>
    <row r="86" spans="1:27">
      <c r="A86" s="113" t="s">
        <v>277</v>
      </c>
      <c r="B86" s="113" t="s">
        <v>191</v>
      </c>
      <c r="D86" s="113" t="s">
        <v>2417</v>
      </c>
      <c r="E86" s="113" t="s">
        <v>2413</v>
      </c>
      <c r="F86" s="113">
        <v>1</v>
      </c>
      <c r="G86" s="113">
        <v>0.5</v>
      </c>
      <c r="I86" s="113" t="s">
        <v>2418</v>
      </c>
      <c r="J86" s="113" t="s">
        <v>2017</v>
      </c>
      <c r="K86" s="113" t="s">
        <v>2422</v>
      </c>
      <c r="P86">
        <v>74</v>
      </c>
      <c r="Q86" t="s">
        <v>2410</v>
      </c>
      <c r="R86" t="s">
        <v>2641</v>
      </c>
      <c r="Y86" s="130" t="s">
        <v>2413</v>
      </c>
      <c r="Z86" s="130" t="s">
        <v>3360</v>
      </c>
      <c r="AA86" s="130" t="s">
        <v>3211</v>
      </c>
    </row>
    <row r="87" spans="1:27">
      <c r="A87" s="113" t="s">
        <v>278</v>
      </c>
      <c r="B87" s="113" t="s">
        <v>191</v>
      </c>
      <c r="D87" s="113" t="s">
        <v>2417</v>
      </c>
      <c r="E87" s="113" t="s">
        <v>2413</v>
      </c>
      <c r="F87" s="113">
        <v>2</v>
      </c>
      <c r="G87" s="113">
        <v>0.5</v>
      </c>
      <c r="I87" s="113" t="s">
        <v>2418</v>
      </c>
      <c r="J87" s="113" t="s">
        <v>1609</v>
      </c>
      <c r="K87" s="113" t="s">
        <v>2423</v>
      </c>
      <c r="P87">
        <v>75</v>
      </c>
      <c r="Q87" t="s">
        <v>2410</v>
      </c>
      <c r="R87" t="s">
        <v>2641</v>
      </c>
      <c r="Y87" s="130" t="s">
        <v>2413</v>
      </c>
      <c r="Z87" s="130" t="s">
        <v>3361</v>
      </c>
      <c r="AA87" s="130" t="s">
        <v>3215</v>
      </c>
    </row>
    <row r="88" spans="1:27">
      <c r="A88" s="113" t="s">
        <v>279</v>
      </c>
      <c r="B88" s="113" t="s">
        <v>235</v>
      </c>
      <c r="D88" s="113" t="s">
        <v>2417</v>
      </c>
      <c r="E88" s="113" t="s">
        <v>2413</v>
      </c>
      <c r="F88" s="113">
        <v>3</v>
      </c>
      <c r="G88" s="113">
        <v>0.3</v>
      </c>
      <c r="I88" s="113" t="s">
        <v>2418</v>
      </c>
      <c r="J88" s="113" t="s">
        <v>1613</v>
      </c>
      <c r="K88" s="113" t="s">
        <v>2423</v>
      </c>
      <c r="P88">
        <v>76</v>
      </c>
      <c r="Q88" t="s">
        <v>2410</v>
      </c>
      <c r="R88" t="s">
        <v>2641</v>
      </c>
      <c r="Y88" s="130" t="s">
        <v>2413</v>
      </c>
      <c r="Z88" s="130" t="s">
        <v>3362</v>
      </c>
      <c r="AA88" s="130" t="s">
        <v>3219</v>
      </c>
    </row>
    <row r="89" spans="1:27">
      <c r="A89" s="113" t="s">
        <v>280</v>
      </c>
      <c r="B89" s="113" t="s">
        <v>235</v>
      </c>
      <c r="D89" s="113" t="s">
        <v>2417</v>
      </c>
      <c r="E89" s="113" t="s">
        <v>2413</v>
      </c>
      <c r="F89" s="113">
        <v>4</v>
      </c>
      <c r="G89" s="113">
        <v>0.3</v>
      </c>
      <c r="I89" s="113" t="s">
        <v>2418</v>
      </c>
      <c r="J89" s="113" t="s">
        <v>1162</v>
      </c>
      <c r="K89" s="113" t="s">
        <v>2424</v>
      </c>
      <c r="P89">
        <v>77</v>
      </c>
      <c r="Q89" t="s">
        <v>2410</v>
      </c>
      <c r="R89" t="s">
        <v>2641</v>
      </c>
      <c r="Y89" s="130" t="s">
        <v>2413</v>
      </c>
      <c r="Z89" s="130" t="s">
        <v>3363</v>
      </c>
      <c r="AA89" s="130" t="s">
        <v>3223</v>
      </c>
    </row>
    <row r="90" spans="1:27">
      <c r="A90" s="113" t="s">
        <v>281</v>
      </c>
      <c r="B90" s="113" t="s">
        <v>235</v>
      </c>
      <c r="D90" s="113" t="s">
        <v>2629</v>
      </c>
      <c r="E90" s="113" t="s">
        <v>2413</v>
      </c>
      <c r="F90" s="113">
        <v>1</v>
      </c>
      <c r="G90" s="113">
        <v>0.5</v>
      </c>
      <c r="I90" s="113" t="s">
        <v>2418</v>
      </c>
      <c r="J90" s="113" t="s">
        <v>1140</v>
      </c>
      <c r="K90" s="113" t="s">
        <v>2425</v>
      </c>
      <c r="P90">
        <v>78</v>
      </c>
      <c r="Q90" t="s">
        <v>2410</v>
      </c>
      <c r="R90" t="s">
        <v>2641</v>
      </c>
      <c r="Y90" s="130" t="s">
        <v>2413</v>
      </c>
      <c r="Z90" s="130" t="s">
        <v>3364</v>
      </c>
      <c r="AA90" s="130" t="s">
        <v>3227</v>
      </c>
    </row>
    <row r="91" spans="1:27">
      <c r="A91" s="113" t="s">
        <v>282</v>
      </c>
      <c r="B91" s="113" t="s">
        <v>235</v>
      </c>
      <c r="D91" s="113" t="s">
        <v>2629</v>
      </c>
      <c r="E91" s="113" t="s">
        <v>2413</v>
      </c>
      <c r="F91" s="113">
        <v>2</v>
      </c>
      <c r="G91" s="113">
        <v>0.5</v>
      </c>
      <c r="I91" s="113" t="s">
        <v>2418</v>
      </c>
      <c r="J91" s="113" t="s">
        <v>235</v>
      </c>
      <c r="K91" s="113" t="s">
        <v>2426</v>
      </c>
      <c r="P91">
        <v>79</v>
      </c>
      <c r="Q91" t="s">
        <v>2410</v>
      </c>
      <c r="R91" t="s">
        <v>2641</v>
      </c>
      <c r="Y91" s="130" t="s">
        <v>2413</v>
      </c>
      <c r="Z91" s="130" t="s">
        <v>3195</v>
      </c>
      <c r="AA91" s="130" t="s">
        <v>2489</v>
      </c>
    </row>
    <row r="92" spans="1:27">
      <c r="A92" s="113" t="s">
        <v>283</v>
      </c>
      <c r="B92" s="113" t="s">
        <v>235</v>
      </c>
      <c r="D92" s="113" t="s">
        <v>2629</v>
      </c>
      <c r="E92" s="113" t="s">
        <v>2413</v>
      </c>
      <c r="F92" s="113">
        <v>3</v>
      </c>
      <c r="G92" s="113">
        <v>0.3</v>
      </c>
      <c r="I92" s="113" t="s">
        <v>2418</v>
      </c>
      <c r="J92" s="113" t="s">
        <v>191</v>
      </c>
      <c r="K92" s="113" t="s">
        <v>2427</v>
      </c>
      <c r="P92">
        <v>80</v>
      </c>
      <c r="Q92" t="s">
        <v>2410</v>
      </c>
      <c r="R92" t="s">
        <v>2641</v>
      </c>
      <c r="Y92" s="130" t="s">
        <v>2413</v>
      </c>
      <c r="Z92" s="130" t="s">
        <v>3365</v>
      </c>
      <c r="AA92" s="130" t="s">
        <v>3231</v>
      </c>
    </row>
    <row r="93" spans="1:27">
      <c r="A93" s="113" t="s">
        <v>284</v>
      </c>
      <c r="B93" s="113" t="s">
        <v>235</v>
      </c>
      <c r="D93" s="113" t="s">
        <v>2629</v>
      </c>
      <c r="E93" s="113" t="s">
        <v>2413</v>
      </c>
      <c r="F93" s="113">
        <v>4</v>
      </c>
      <c r="G93" s="113">
        <v>0.3</v>
      </c>
      <c r="I93" s="113" t="s">
        <v>2418</v>
      </c>
      <c r="J93" s="113" t="s">
        <v>921</v>
      </c>
      <c r="K93" s="113" t="s">
        <v>2428</v>
      </c>
      <c r="P93">
        <v>81</v>
      </c>
      <c r="Q93" t="s">
        <v>2410</v>
      </c>
      <c r="R93" t="s">
        <v>2641</v>
      </c>
      <c r="Y93" s="130" t="s">
        <v>2413</v>
      </c>
      <c r="Z93" s="130" t="s">
        <v>3366</v>
      </c>
      <c r="AA93" s="130" t="s">
        <v>3367</v>
      </c>
    </row>
    <row r="94" spans="1:27">
      <c r="A94" s="113" t="s">
        <v>285</v>
      </c>
      <c r="B94" s="113" t="s">
        <v>235</v>
      </c>
      <c r="D94" s="113" t="s">
        <v>2418</v>
      </c>
      <c r="E94" s="113" t="s">
        <v>2413</v>
      </c>
      <c r="F94" s="113">
        <v>1</v>
      </c>
      <c r="G94" s="113">
        <v>0.5</v>
      </c>
      <c r="I94" s="113" t="s">
        <v>2418</v>
      </c>
      <c r="J94" s="113" t="s">
        <v>885</v>
      </c>
      <c r="K94" s="113" t="s">
        <v>2429</v>
      </c>
      <c r="P94">
        <v>82</v>
      </c>
      <c r="Q94" t="s">
        <v>2410</v>
      </c>
      <c r="R94" t="s">
        <v>2641</v>
      </c>
      <c r="Y94" s="130" t="s">
        <v>2413</v>
      </c>
      <c r="Z94" s="130" t="s">
        <v>3368</v>
      </c>
      <c r="AA94" s="130" t="s">
        <v>3369</v>
      </c>
    </row>
    <row r="95" spans="1:27">
      <c r="A95" s="113" t="s">
        <v>286</v>
      </c>
      <c r="B95" s="113" t="s">
        <v>235</v>
      </c>
      <c r="D95" s="113" t="s">
        <v>2418</v>
      </c>
      <c r="E95" s="113" t="s">
        <v>2413</v>
      </c>
      <c r="F95" s="113">
        <v>2</v>
      </c>
      <c r="G95" s="113">
        <v>0.5</v>
      </c>
      <c r="I95" s="113" t="s">
        <v>2418</v>
      </c>
      <c r="J95" s="113" t="s">
        <v>1771</v>
      </c>
      <c r="K95" s="113" t="s">
        <v>2430</v>
      </c>
      <c r="P95">
        <v>83</v>
      </c>
      <c r="Q95" t="s">
        <v>2410</v>
      </c>
      <c r="R95" t="s">
        <v>2641</v>
      </c>
      <c r="Y95" s="130" t="s">
        <v>2413</v>
      </c>
      <c r="Z95" s="130" t="s">
        <v>3370</v>
      </c>
      <c r="AA95" s="130" t="s">
        <v>3371</v>
      </c>
    </row>
    <row r="96" spans="1:27">
      <c r="A96" s="113" t="s">
        <v>287</v>
      </c>
      <c r="B96" s="113" t="s">
        <v>235</v>
      </c>
      <c r="D96" s="113" t="s">
        <v>2418</v>
      </c>
      <c r="E96" s="113" t="s">
        <v>2413</v>
      </c>
      <c r="F96" s="113">
        <v>3</v>
      </c>
      <c r="G96" s="113">
        <v>0.3</v>
      </c>
      <c r="I96" s="113" t="s">
        <v>2418</v>
      </c>
      <c r="J96" s="113" t="s">
        <v>1692</v>
      </c>
      <c r="K96" s="113" t="s">
        <v>2431</v>
      </c>
      <c r="P96">
        <v>84</v>
      </c>
      <c r="Q96" t="s">
        <v>2410</v>
      </c>
      <c r="R96" t="s">
        <v>2641</v>
      </c>
      <c r="Y96" s="130" t="s">
        <v>2413</v>
      </c>
      <c r="Z96" s="130" t="s">
        <v>3197</v>
      </c>
      <c r="AA96" s="130" t="s">
        <v>3372</v>
      </c>
    </row>
    <row r="97" spans="1:27">
      <c r="A97" s="113" t="s">
        <v>288</v>
      </c>
      <c r="B97" s="113" t="s">
        <v>235</v>
      </c>
      <c r="D97" s="113" t="s">
        <v>2418</v>
      </c>
      <c r="E97" s="113" t="s">
        <v>2413</v>
      </c>
      <c r="F97" s="113">
        <v>4</v>
      </c>
      <c r="G97" s="113">
        <v>0.3</v>
      </c>
      <c r="I97" s="113" t="s">
        <v>2418</v>
      </c>
      <c r="J97" s="113" t="s">
        <v>756</v>
      </c>
      <c r="K97" s="113" t="s">
        <v>2432</v>
      </c>
      <c r="P97">
        <v>85</v>
      </c>
      <c r="Q97" t="s">
        <v>2410</v>
      </c>
      <c r="R97" t="s">
        <v>2641</v>
      </c>
      <c r="Y97" s="130" t="s">
        <v>2413</v>
      </c>
      <c r="Z97" s="130" t="s">
        <v>3373</v>
      </c>
      <c r="AA97" s="130" t="s">
        <v>3374</v>
      </c>
    </row>
    <row r="98" spans="1:27">
      <c r="A98" s="113" t="s">
        <v>289</v>
      </c>
      <c r="B98" s="113" t="s">
        <v>235</v>
      </c>
      <c r="D98" s="113" t="s">
        <v>2421</v>
      </c>
      <c r="E98" s="113" t="s">
        <v>2415</v>
      </c>
      <c r="F98" s="113">
        <v>1</v>
      </c>
      <c r="G98" s="113">
        <v>0.3</v>
      </c>
      <c r="I98" s="113" t="s">
        <v>2418</v>
      </c>
      <c r="J98" s="113" t="s">
        <v>313</v>
      </c>
      <c r="K98" s="113" t="s">
        <v>2433</v>
      </c>
      <c r="P98">
        <v>86</v>
      </c>
      <c r="Q98" t="s">
        <v>2410</v>
      </c>
      <c r="R98" t="s">
        <v>2641</v>
      </c>
      <c r="Y98" s="130" t="s">
        <v>2413</v>
      </c>
      <c r="Z98" s="130" t="s">
        <v>3375</v>
      </c>
      <c r="AA98" s="130" t="s">
        <v>3376</v>
      </c>
    </row>
    <row r="99" spans="1:27">
      <c r="A99" s="113" t="s">
        <v>290</v>
      </c>
      <c r="B99" s="113" t="s">
        <v>235</v>
      </c>
      <c r="D99" s="113" t="s">
        <v>2421</v>
      </c>
      <c r="E99" s="113" t="s">
        <v>2415</v>
      </c>
      <c r="F99" s="113">
        <v>2</v>
      </c>
      <c r="G99" s="113">
        <v>0.3</v>
      </c>
      <c r="I99" s="113" t="s">
        <v>2418</v>
      </c>
      <c r="J99" s="113" t="s">
        <v>193</v>
      </c>
      <c r="K99" s="113" t="s">
        <v>2434</v>
      </c>
      <c r="P99">
        <v>87</v>
      </c>
      <c r="Q99" t="s">
        <v>2410</v>
      </c>
      <c r="R99" t="s">
        <v>2641</v>
      </c>
      <c r="Y99" s="130" t="s">
        <v>2413</v>
      </c>
      <c r="Z99" s="130" t="s">
        <v>3377</v>
      </c>
      <c r="AA99" s="130" t="s">
        <v>3378</v>
      </c>
    </row>
    <row r="100" spans="1:27">
      <c r="A100" s="113" t="s">
        <v>291</v>
      </c>
      <c r="B100" s="113" t="s">
        <v>235</v>
      </c>
      <c r="D100" s="113" t="s">
        <v>2421</v>
      </c>
      <c r="E100" s="113" t="s">
        <v>2415</v>
      </c>
      <c r="F100" s="113">
        <v>3</v>
      </c>
      <c r="G100" s="113">
        <v>0.2</v>
      </c>
      <c r="I100" s="113" t="s">
        <v>2418</v>
      </c>
      <c r="J100" s="113" t="s">
        <v>315</v>
      </c>
      <c r="K100" s="113" t="s">
        <v>2435</v>
      </c>
      <c r="P100">
        <v>88</v>
      </c>
      <c r="Q100" t="s">
        <v>2410</v>
      </c>
      <c r="R100" t="s">
        <v>2641</v>
      </c>
      <c r="Y100" s="130" t="s">
        <v>2413</v>
      </c>
      <c r="Z100" s="130" t="s">
        <v>3379</v>
      </c>
      <c r="AA100" s="130" t="s">
        <v>3380</v>
      </c>
    </row>
    <row r="101" spans="1:27">
      <c r="A101" s="113" t="s">
        <v>292</v>
      </c>
      <c r="B101" s="113" t="s">
        <v>235</v>
      </c>
      <c r="D101" s="113" t="s">
        <v>2421</v>
      </c>
      <c r="E101" s="113" t="s">
        <v>2415</v>
      </c>
      <c r="F101" s="113">
        <v>4</v>
      </c>
      <c r="G101" s="113">
        <v>0.2</v>
      </c>
      <c r="I101" s="113" t="s">
        <v>2418</v>
      </c>
      <c r="J101" s="113" t="s">
        <v>1633</v>
      </c>
      <c r="K101" s="113" t="s">
        <v>2436</v>
      </c>
      <c r="P101">
        <v>89</v>
      </c>
      <c r="Q101" t="s">
        <v>2410</v>
      </c>
      <c r="R101" t="s">
        <v>2641</v>
      </c>
      <c r="Y101" s="130" t="s">
        <v>2413</v>
      </c>
      <c r="Z101" s="130" t="s">
        <v>3199</v>
      </c>
      <c r="AA101" s="130" t="s">
        <v>3381</v>
      </c>
    </row>
    <row r="102" spans="1:27">
      <c r="A102" s="113" t="s">
        <v>293</v>
      </c>
      <c r="B102" s="113" t="s">
        <v>235</v>
      </c>
      <c r="D102" s="113" t="s">
        <v>2442</v>
      </c>
      <c r="E102" s="113" t="s">
        <v>2415</v>
      </c>
      <c r="F102" s="113">
        <v>1</v>
      </c>
      <c r="G102" s="113">
        <v>0.3</v>
      </c>
      <c r="I102" s="113" t="s">
        <v>2418</v>
      </c>
      <c r="J102" s="113" t="s">
        <v>1636</v>
      </c>
      <c r="K102" s="113" t="s">
        <v>2437</v>
      </c>
      <c r="P102">
        <v>90</v>
      </c>
      <c r="Q102" t="s">
        <v>2410</v>
      </c>
      <c r="R102" t="s">
        <v>2641</v>
      </c>
      <c r="Y102" s="130" t="s">
        <v>2413</v>
      </c>
      <c r="Z102" s="130" t="s">
        <v>3382</v>
      </c>
      <c r="AA102" s="130" t="s">
        <v>3383</v>
      </c>
    </row>
    <row r="103" spans="1:27">
      <c r="A103" s="113" t="s">
        <v>294</v>
      </c>
      <c r="B103" s="113" t="s">
        <v>235</v>
      </c>
      <c r="D103" s="113" t="s">
        <v>2442</v>
      </c>
      <c r="E103" s="113" t="s">
        <v>2415</v>
      </c>
      <c r="F103" s="113">
        <v>2</v>
      </c>
      <c r="G103" s="113">
        <v>0.3</v>
      </c>
      <c r="I103" s="113" t="s">
        <v>2418</v>
      </c>
      <c r="J103" s="113" t="s">
        <v>2069</v>
      </c>
      <c r="K103" s="113" t="s">
        <v>2438</v>
      </c>
      <c r="P103">
        <v>91</v>
      </c>
      <c r="Q103" t="s">
        <v>2410</v>
      </c>
      <c r="R103" t="s">
        <v>2641</v>
      </c>
      <c r="Y103" s="130" t="s">
        <v>2413</v>
      </c>
      <c r="Z103" s="130" t="s">
        <v>3384</v>
      </c>
      <c r="AA103" s="130" t="s">
        <v>3385</v>
      </c>
    </row>
    <row r="104" spans="1:27">
      <c r="A104" s="113" t="s">
        <v>295</v>
      </c>
      <c r="B104" s="113" t="s">
        <v>235</v>
      </c>
      <c r="D104" s="113" t="s">
        <v>2442</v>
      </c>
      <c r="E104" s="113" t="s">
        <v>2415</v>
      </c>
      <c r="F104" s="113">
        <v>3</v>
      </c>
      <c r="G104" s="113">
        <v>0.2</v>
      </c>
      <c r="I104" s="113" t="s">
        <v>2418</v>
      </c>
      <c r="J104" s="113" t="s">
        <v>2002</v>
      </c>
      <c r="K104" s="113" t="s">
        <v>2439</v>
      </c>
      <c r="P104">
        <v>92</v>
      </c>
      <c r="Q104" t="s">
        <v>2410</v>
      </c>
      <c r="R104" t="s">
        <v>2641</v>
      </c>
      <c r="Y104" s="130" t="s">
        <v>2413</v>
      </c>
      <c r="Z104" s="130" t="s">
        <v>3386</v>
      </c>
      <c r="AA104" s="130" t="s">
        <v>3387</v>
      </c>
    </row>
    <row r="105" spans="1:27">
      <c r="A105" s="113" t="s">
        <v>296</v>
      </c>
      <c r="B105" s="113" t="s">
        <v>191</v>
      </c>
      <c r="D105" s="113" t="s">
        <v>2442</v>
      </c>
      <c r="E105" s="113" t="s">
        <v>2415</v>
      </c>
      <c r="F105" s="113">
        <v>4</v>
      </c>
      <c r="G105" s="113">
        <v>0.2</v>
      </c>
      <c r="I105" s="113" t="s">
        <v>2418</v>
      </c>
      <c r="J105" s="113" t="s">
        <v>1452</v>
      </c>
      <c r="K105" s="113" t="s">
        <v>2440</v>
      </c>
      <c r="P105">
        <v>93</v>
      </c>
      <c r="Q105" t="s">
        <v>2410</v>
      </c>
      <c r="R105" t="s">
        <v>2641</v>
      </c>
      <c r="Y105" s="130" t="s">
        <v>2413</v>
      </c>
      <c r="Z105" s="130" t="s">
        <v>3388</v>
      </c>
      <c r="AA105" s="130" t="s">
        <v>3389</v>
      </c>
    </row>
    <row r="106" spans="1:27">
      <c r="A106" s="113" t="s">
        <v>297</v>
      </c>
      <c r="B106" s="113" t="s">
        <v>235</v>
      </c>
      <c r="D106" s="113" t="s">
        <v>2443</v>
      </c>
      <c r="E106" s="113" t="s">
        <v>2415</v>
      </c>
      <c r="F106" s="113">
        <v>1</v>
      </c>
      <c r="G106" s="113">
        <v>0.3</v>
      </c>
      <c r="I106" s="113" t="s">
        <v>2418</v>
      </c>
      <c r="J106" s="113" t="s">
        <v>449</v>
      </c>
      <c r="K106" s="113" t="s">
        <v>2441</v>
      </c>
      <c r="P106">
        <v>94</v>
      </c>
      <c r="Q106" t="s">
        <v>2410</v>
      </c>
      <c r="R106" t="s">
        <v>2641</v>
      </c>
      <c r="Y106" s="130" t="s">
        <v>2413</v>
      </c>
      <c r="Z106" s="130" t="s">
        <v>3390</v>
      </c>
      <c r="AA106" s="130" t="s">
        <v>3391</v>
      </c>
    </row>
    <row r="107" spans="1:27">
      <c r="A107" s="113" t="s">
        <v>298</v>
      </c>
      <c r="B107" s="113" t="s">
        <v>235</v>
      </c>
      <c r="D107" s="113" t="s">
        <v>2443</v>
      </c>
      <c r="E107" s="113" t="s">
        <v>2415</v>
      </c>
      <c r="F107" s="113">
        <v>2</v>
      </c>
      <c r="G107" s="113">
        <v>0.3</v>
      </c>
      <c r="I107" s="113" t="s">
        <v>2416</v>
      </c>
      <c r="J107" s="113" t="s">
        <v>2017</v>
      </c>
      <c r="K107" s="113" t="s">
        <v>2444</v>
      </c>
      <c r="P107">
        <v>95</v>
      </c>
      <c r="Q107" t="s">
        <v>2410</v>
      </c>
      <c r="R107" t="s">
        <v>2641</v>
      </c>
      <c r="Y107" s="130" t="s">
        <v>2413</v>
      </c>
      <c r="Z107" s="130" t="s">
        <v>3392</v>
      </c>
      <c r="AA107" s="130" t="s">
        <v>3393</v>
      </c>
    </row>
    <row r="108" spans="1:27">
      <c r="A108" s="113" t="s">
        <v>299</v>
      </c>
      <c r="B108" s="113" t="s">
        <v>191</v>
      </c>
      <c r="D108" s="113" t="s">
        <v>2443</v>
      </c>
      <c r="E108" s="113" t="s">
        <v>2415</v>
      </c>
      <c r="F108" s="113">
        <v>3</v>
      </c>
      <c r="G108" s="113">
        <v>0.2</v>
      </c>
      <c r="I108" s="113" t="s">
        <v>2416</v>
      </c>
      <c r="J108" s="113" t="s">
        <v>1609</v>
      </c>
      <c r="K108" s="113" t="s">
        <v>2445</v>
      </c>
      <c r="P108">
        <v>96</v>
      </c>
      <c r="Q108" t="s">
        <v>2410</v>
      </c>
      <c r="R108" t="s">
        <v>2641</v>
      </c>
      <c r="Y108" s="130" t="s">
        <v>2413</v>
      </c>
      <c r="Z108" s="130" t="s">
        <v>3202</v>
      </c>
      <c r="AA108" s="130" t="s">
        <v>3394</v>
      </c>
    </row>
    <row r="109" spans="1:27">
      <c r="A109" s="113" t="s">
        <v>300</v>
      </c>
      <c r="B109" s="113" t="s">
        <v>191</v>
      </c>
      <c r="D109" s="113" t="s">
        <v>2443</v>
      </c>
      <c r="E109" s="113" t="s">
        <v>2415</v>
      </c>
      <c r="F109" s="113">
        <v>4</v>
      </c>
      <c r="G109" s="113">
        <v>0.2</v>
      </c>
      <c r="I109" s="113" t="s">
        <v>2416</v>
      </c>
      <c r="J109" s="113" t="s">
        <v>1613</v>
      </c>
      <c r="K109" s="113" t="s">
        <v>2446</v>
      </c>
      <c r="P109">
        <v>97</v>
      </c>
      <c r="Q109" t="s">
        <v>2410</v>
      </c>
      <c r="R109" t="s">
        <v>2641</v>
      </c>
      <c r="Y109" s="130" t="s">
        <v>2413</v>
      </c>
      <c r="Z109" s="130" t="s">
        <v>3395</v>
      </c>
      <c r="AA109" s="130" t="s">
        <v>3396</v>
      </c>
    </row>
    <row r="110" spans="1:27">
      <c r="A110" s="113" t="s">
        <v>301</v>
      </c>
      <c r="B110" s="113" t="s">
        <v>191</v>
      </c>
      <c r="D110" s="113" t="s">
        <v>2416</v>
      </c>
      <c r="E110" s="113" t="s">
        <v>2415</v>
      </c>
      <c r="F110" s="113">
        <v>1</v>
      </c>
      <c r="G110" s="113">
        <v>0.4</v>
      </c>
      <c r="I110" s="113" t="s">
        <v>2416</v>
      </c>
      <c r="J110" s="113" t="s">
        <v>1162</v>
      </c>
      <c r="K110" s="113" t="s">
        <v>2447</v>
      </c>
      <c r="P110">
        <v>98</v>
      </c>
      <c r="Q110" t="s">
        <v>2410</v>
      </c>
      <c r="R110" t="s">
        <v>2641</v>
      </c>
      <c r="Y110" s="130" t="s">
        <v>2413</v>
      </c>
      <c r="Z110" s="130" t="s">
        <v>3397</v>
      </c>
      <c r="AA110" s="130" t="s">
        <v>3398</v>
      </c>
    </row>
    <row r="111" spans="1:27">
      <c r="A111" s="113" t="s">
        <v>302</v>
      </c>
      <c r="B111" s="113" t="s">
        <v>235</v>
      </c>
      <c r="D111" s="113" t="s">
        <v>2416</v>
      </c>
      <c r="E111" s="113" t="s">
        <v>2415</v>
      </c>
      <c r="F111" s="113">
        <v>2</v>
      </c>
      <c r="G111" s="113">
        <v>0.4</v>
      </c>
      <c r="I111" s="113" t="s">
        <v>2416</v>
      </c>
      <c r="J111" s="113" t="s">
        <v>1140</v>
      </c>
      <c r="K111" s="113" t="s">
        <v>2448</v>
      </c>
      <c r="P111">
        <v>99</v>
      </c>
      <c r="Q111" t="s">
        <v>2410</v>
      </c>
      <c r="R111" t="s">
        <v>2641</v>
      </c>
      <c r="Y111" s="130" t="s">
        <v>2413</v>
      </c>
      <c r="Z111" s="130" t="s">
        <v>3399</v>
      </c>
      <c r="AA111" s="130" t="s">
        <v>3400</v>
      </c>
    </row>
    <row r="112" spans="1:27">
      <c r="A112" s="113" t="s">
        <v>303</v>
      </c>
      <c r="B112" s="113" t="s">
        <v>235</v>
      </c>
      <c r="D112" s="113" t="s">
        <v>2416</v>
      </c>
      <c r="E112" s="113" t="s">
        <v>2415</v>
      </c>
      <c r="F112" s="113">
        <v>3</v>
      </c>
      <c r="G112" s="113">
        <v>0.4</v>
      </c>
      <c r="I112" s="113" t="s">
        <v>2416</v>
      </c>
      <c r="J112" s="113" t="s">
        <v>235</v>
      </c>
      <c r="K112" s="113" t="s">
        <v>2449</v>
      </c>
      <c r="P112">
        <v>100</v>
      </c>
      <c r="Q112" t="s">
        <v>2410</v>
      </c>
      <c r="R112" t="s">
        <v>2641</v>
      </c>
      <c r="Y112" s="130" t="s">
        <v>2413</v>
      </c>
      <c r="Z112" s="130" t="s">
        <v>3401</v>
      </c>
      <c r="AA112" s="130" t="s">
        <v>3402</v>
      </c>
    </row>
    <row r="113" spans="1:27">
      <c r="A113" s="113" t="s">
        <v>304</v>
      </c>
      <c r="B113" s="113" t="s">
        <v>235</v>
      </c>
      <c r="D113" s="113" t="s">
        <v>2416</v>
      </c>
      <c r="E113" s="113" t="s">
        <v>2415</v>
      </c>
      <c r="F113" s="113">
        <v>4</v>
      </c>
      <c r="G113" s="113">
        <v>0.4</v>
      </c>
      <c r="I113" s="113" t="s">
        <v>2416</v>
      </c>
      <c r="J113" s="113" t="s">
        <v>191</v>
      </c>
      <c r="K113" s="113" t="s">
        <v>2450</v>
      </c>
      <c r="P113">
        <v>101</v>
      </c>
      <c r="Q113" t="s">
        <v>2410</v>
      </c>
      <c r="R113" t="s">
        <v>2641</v>
      </c>
      <c r="Y113" s="130" t="s">
        <v>2413</v>
      </c>
      <c r="Z113" s="130" t="s">
        <v>3206</v>
      </c>
      <c r="AA113" s="130" t="s">
        <v>3403</v>
      </c>
    </row>
    <row r="114" spans="1:27">
      <c r="A114" s="113" t="s">
        <v>305</v>
      </c>
      <c r="B114" s="113" t="s">
        <v>235</v>
      </c>
      <c r="D114" s="113" t="s">
        <v>2414</v>
      </c>
      <c r="E114" s="113" t="s">
        <v>2415</v>
      </c>
      <c r="F114" s="113">
        <v>1</v>
      </c>
      <c r="G114" s="113">
        <v>0.3</v>
      </c>
      <c r="I114" s="113" t="s">
        <v>2416</v>
      </c>
      <c r="J114" s="113" t="s">
        <v>921</v>
      </c>
      <c r="K114" s="113" t="s">
        <v>2451</v>
      </c>
      <c r="P114">
        <v>102</v>
      </c>
      <c r="Q114" t="s">
        <v>2410</v>
      </c>
      <c r="R114" t="s">
        <v>2641</v>
      </c>
      <c r="Y114" s="130" t="s">
        <v>2413</v>
      </c>
      <c r="Z114" s="130" t="s">
        <v>3404</v>
      </c>
      <c r="AA114" s="130" t="s">
        <v>3405</v>
      </c>
    </row>
    <row r="115" spans="1:27">
      <c r="A115" s="113" t="s">
        <v>306</v>
      </c>
      <c r="B115" s="113" t="s">
        <v>235</v>
      </c>
      <c r="D115" s="113" t="s">
        <v>2414</v>
      </c>
      <c r="E115" s="113" t="s">
        <v>2415</v>
      </c>
      <c r="F115" s="113">
        <v>2</v>
      </c>
      <c r="G115" s="113">
        <v>0.3</v>
      </c>
      <c r="I115" s="113" t="s">
        <v>2416</v>
      </c>
      <c r="J115" s="113" t="s">
        <v>885</v>
      </c>
      <c r="K115" s="113" t="s">
        <v>2452</v>
      </c>
      <c r="P115">
        <v>103</v>
      </c>
      <c r="Q115" t="s">
        <v>2410</v>
      </c>
      <c r="R115" t="s">
        <v>2641</v>
      </c>
      <c r="Y115" s="130" t="s">
        <v>2413</v>
      </c>
      <c r="Z115" s="130" t="s">
        <v>3406</v>
      </c>
      <c r="AA115" s="130" t="s">
        <v>3407</v>
      </c>
    </row>
    <row r="116" spans="1:27">
      <c r="A116" s="113" t="s">
        <v>307</v>
      </c>
      <c r="B116" s="113" t="s">
        <v>191</v>
      </c>
      <c r="D116" s="113" t="s">
        <v>2414</v>
      </c>
      <c r="E116" s="113" t="s">
        <v>2415</v>
      </c>
      <c r="F116" s="113">
        <v>3</v>
      </c>
      <c r="G116" s="113">
        <v>0.2</v>
      </c>
      <c r="I116" s="113" t="s">
        <v>2416</v>
      </c>
      <c r="J116" s="113" t="s">
        <v>1771</v>
      </c>
      <c r="K116" s="113" t="s">
        <v>2453</v>
      </c>
      <c r="P116">
        <v>104</v>
      </c>
      <c r="Q116" t="s">
        <v>2410</v>
      </c>
      <c r="R116" t="s">
        <v>2641</v>
      </c>
      <c r="Y116" s="130" t="s">
        <v>2413</v>
      </c>
      <c r="Z116" s="130" t="s">
        <v>3408</v>
      </c>
      <c r="AA116" s="130" t="s">
        <v>3409</v>
      </c>
    </row>
    <row r="117" spans="1:27">
      <c r="A117" s="113" t="s">
        <v>308</v>
      </c>
      <c r="B117" s="113" t="s">
        <v>235</v>
      </c>
      <c r="D117" s="113" t="s">
        <v>2414</v>
      </c>
      <c r="E117" s="113" t="s">
        <v>2415</v>
      </c>
      <c r="F117" s="113">
        <v>4</v>
      </c>
      <c r="G117" s="113">
        <v>0.2</v>
      </c>
      <c r="I117" s="113" t="s">
        <v>2416</v>
      </c>
      <c r="J117" s="113" t="s">
        <v>1692</v>
      </c>
      <c r="K117" s="113" t="s">
        <v>2454</v>
      </c>
      <c r="P117">
        <v>105</v>
      </c>
      <c r="Q117" t="s">
        <v>2410</v>
      </c>
      <c r="R117" t="s">
        <v>2641</v>
      </c>
      <c r="Y117" s="130" t="s">
        <v>2413</v>
      </c>
      <c r="Z117" s="130" t="s">
        <v>3410</v>
      </c>
      <c r="AA117" s="130" t="s">
        <v>3411</v>
      </c>
    </row>
    <row r="118" spans="1:27">
      <c r="A118" s="113" t="s">
        <v>309</v>
      </c>
      <c r="B118" s="113" t="s">
        <v>235</v>
      </c>
      <c r="D118" s="113" t="s">
        <v>2417</v>
      </c>
      <c r="E118" s="113" t="s">
        <v>2415</v>
      </c>
      <c r="F118" s="113">
        <v>1</v>
      </c>
      <c r="G118" s="113">
        <v>0.4</v>
      </c>
      <c r="I118" s="113" t="s">
        <v>2416</v>
      </c>
      <c r="J118" s="113" t="s">
        <v>756</v>
      </c>
      <c r="K118" s="113" t="s">
        <v>2455</v>
      </c>
      <c r="P118">
        <v>106</v>
      </c>
      <c r="Q118" t="s">
        <v>2410</v>
      </c>
      <c r="R118" t="s">
        <v>2641</v>
      </c>
      <c r="Y118" s="130" t="s">
        <v>2413</v>
      </c>
      <c r="Z118" s="130" t="s">
        <v>3210</v>
      </c>
      <c r="AA118" s="130" t="s">
        <v>3412</v>
      </c>
    </row>
    <row r="119" spans="1:27">
      <c r="A119" s="113" t="s">
        <v>310</v>
      </c>
      <c r="B119" s="113" t="s">
        <v>235</v>
      </c>
      <c r="D119" s="113" t="s">
        <v>2417</v>
      </c>
      <c r="E119" s="113" t="s">
        <v>2415</v>
      </c>
      <c r="F119" s="113">
        <v>2</v>
      </c>
      <c r="G119" s="113">
        <v>0.4</v>
      </c>
      <c r="I119" s="113" t="s">
        <v>2416</v>
      </c>
      <c r="J119" s="113" t="s">
        <v>313</v>
      </c>
      <c r="K119" s="113" t="s">
        <v>2456</v>
      </c>
      <c r="P119">
        <v>107</v>
      </c>
      <c r="Q119" t="s">
        <v>2410</v>
      </c>
      <c r="R119" t="s">
        <v>2641</v>
      </c>
      <c r="Y119" s="130" t="s">
        <v>2413</v>
      </c>
      <c r="Z119" s="130" t="s">
        <v>3413</v>
      </c>
      <c r="AA119" s="130" t="s">
        <v>3414</v>
      </c>
    </row>
    <row r="120" spans="1:27">
      <c r="A120" s="113" t="s">
        <v>311</v>
      </c>
      <c r="B120" s="113" t="s">
        <v>191</v>
      </c>
      <c r="D120" s="113" t="s">
        <v>2417</v>
      </c>
      <c r="E120" s="113" t="s">
        <v>2415</v>
      </c>
      <c r="F120" s="113">
        <v>3</v>
      </c>
      <c r="G120" s="113">
        <v>0.4</v>
      </c>
      <c r="I120" s="113" t="s">
        <v>2416</v>
      </c>
      <c r="J120" s="113" t="s">
        <v>193</v>
      </c>
      <c r="K120" s="113" t="s">
        <v>2457</v>
      </c>
      <c r="P120">
        <v>108</v>
      </c>
      <c r="Q120" t="s">
        <v>2410</v>
      </c>
      <c r="R120" t="s">
        <v>2641</v>
      </c>
      <c r="Y120" s="130" t="s">
        <v>2413</v>
      </c>
      <c r="Z120" s="130" t="s">
        <v>3415</v>
      </c>
      <c r="AA120" s="130" t="s">
        <v>3416</v>
      </c>
    </row>
    <row r="121" spans="1:27">
      <c r="A121" s="113" t="s">
        <v>312</v>
      </c>
      <c r="B121" s="113" t="s">
        <v>313</v>
      </c>
      <c r="D121" s="113" t="s">
        <v>2417</v>
      </c>
      <c r="E121" s="113" t="s">
        <v>2415</v>
      </c>
      <c r="F121" s="113">
        <v>4</v>
      </c>
      <c r="G121" s="113">
        <v>0.4</v>
      </c>
      <c r="I121" s="113" t="s">
        <v>2416</v>
      </c>
      <c r="J121" s="113" t="s">
        <v>315</v>
      </c>
      <c r="K121" s="113" t="s">
        <v>2458</v>
      </c>
      <c r="P121">
        <v>109</v>
      </c>
      <c r="Q121" t="s">
        <v>2410</v>
      </c>
      <c r="R121" t="s">
        <v>2641</v>
      </c>
      <c r="Y121" s="130" t="s">
        <v>2413</v>
      </c>
      <c r="Z121" s="130" t="s">
        <v>3417</v>
      </c>
      <c r="AA121" s="130" t="s">
        <v>3418</v>
      </c>
    </row>
    <row r="122" spans="1:27">
      <c r="A122" s="113" t="s">
        <v>314</v>
      </c>
      <c r="B122" s="113" t="s">
        <v>315</v>
      </c>
      <c r="D122" s="113" t="s">
        <v>2629</v>
      </c>
      <c r="E122" s="113" t="s">
        <v>2415</v>
      </c>
      <c r="F122" s="113">
        <v>1</v>
      </c>
      <c r="G122" s="113">
        <v>0.3</v>
      </c>
      <c r="I122" s="113" t="s">
        <v>2416</v>
      </c>
      <c r="J122" s="113" t="s">
        <v>1633</v>
      </c>
      <c r="K122" s="113" t="s">
        <v>2459</v>
      </c>
      <c r="P122">
        <v>110</v>
      </c>
      <c r="Q122" t="s">
        <v>2410</v>
      </c>
      <c r="R122" t="s">
        <v>2641</v>
      </c>
      <c r="Y122" s="130" t="s">
        <v>2413</v>
      </c>
      <c r="Z122" s="130" t="s">
        <v>3419</v>
      </c>
      <c r="AA122" s="130" t="s">
        <v>3420</v>
      </c>
    </row>
    <row r="123" spans="1:27">
      <c r="A123" s="113" t="s">
        <v>316</v>
      </c>
      <c r="B123" s="113" t="s">
        <v>313</v>
      </c>
      <c r="D123" s="113" t="s">
        <v>2629</v>
      </c>
      <c r="E123" s="113" t="s">
        <v>2415</v>
      </c>
      <c r="F123" s="113">
        <v>2</v>
      </c>
      <c r="G123" s="113">
        <v>0.3</v>
      </c>
      <c r="I123" s="113" t="s">
        <v>2416</v>
      </c>
      <c r="J123" s="113" t="s">
        <v>1636</v>
      </c>
      <c r="K123" s="113" t="s">
        <v>2460</v>
      </c>
      <c r="P123">
        <v>111</v>
      </c>
      <c r="Q123" t="s">
        <v>2410</v>
      </c>
      <c r="R123" t="s">
        <v>2641</v>
      </c>
      <c r="Y123" s="130" t="s">
        <v>2413</v>
      </c>
      <c r="Z123" s="130" t="s">
        <v>3214</v>
      </c>
      <c r="AA123" s="130" t="s">
        <v>3305</v>
      </c>
    </row>
    <row r="124" spans="1:27">
      <c r="A124" s="113" t="s">
        <v>317</v>
      </c>
      <c r="B124" s="113" t="s">
        <v>313</v>
      </c>
      <c r="D124" s="113" t="s">
        <v>2629</v>
      </c>
      <c r="E124" s="113" t="s">
        <v>2415</v>
      </c>
      <c r="F124" s="113">
        <v>3</v>
      </c>
      <c r="G124" s="113">
        <v>0.2</v>
      </c>
      <c r="I124" s="113" t="s">
        <v>2416</v>
      </c>
      <c r="J124" s="113" t="s">
        <v>2069</v>
      </c>
      <c r="K124" s="113" t="s">
        <v>2461</v>
      </c>
      <c r="P124">
        <v>112</v>
      </c>
      <c r="Q124" t="s">
        <v>2410</v>
      </c>
      <c r="R124" t="s">
        <v>2641</v>
      </c>
      <c r="Y124" s="130" t="s">
        <v>2413</v>
      </c>
      <c r="Z124" s="130" t="s">
        <v>3421</v>
      </c>
      <c r="AA124" s="130" t="s">
        <v>3422</v>
      </c>
    </row>
    <row r="125" spans="1:27">
      <c r="A125" s="113" t="s">
        <v>318</v>
      </c>
      <c r="B125" s="113" t="s">
        <v>313</v>
      </c>
      <c r="D125" s="113" t="s">
        <v>2629</v>
      </c>
      <c r="E125" s="113" t="s">
        <v>2415</v>
      </c>
      <c r="F125" s="113">
        <v>4</v>
      </c>
      <c r="G125" s="113">
        <v>0.2</v>
      </c>
      <c r="I125" s="113" t="s">
        <v>2416</v>
      </c>
      <c r="J125" s="113" t="s">
        <v>2002</v>
      </c>
      <c r="K125" s="113" t="s">
        <v>2462</v>
      </c>
      <c r="P125">
        <v>113</v>
      </c>
      <c r="Q125" t="s">
        <v>2410</v>
      </c>
      <c r="R125" t="s">
        <v>2641</v>
      </c>
      <c r="Y125" s="130" t="s">
        <v>2413</v>
      </c>
      <c r="Z125" s="130" t="s">
        <v>3423</v>
      </c>
      <c r="AA125" s="130" t="s">
        <v>3424</v>
      </c>
    </row>
    <row r="126" spans="1:27">
      <c r="A126" s="113" t="s">
        <v>319</v>
      </c>
      <c r="B126" s="113" t="s">
        <v>313</v>
      </c>
      <c r="D126" s="113" t="s">
        <v>2418</v>
      </c>
      <c r="E126" s="113" t="s">
        <v>2415</v>
      </c>
      <c r="F126" s="113">
        <v>1</v>
      </c>
      <c r="G126" s="113">
        <v>0.2</v>
      </c>
      <c r="I126" s="113" t="s">
        <v>2416</v>
      </c>
      <c r="J126" s="113" t="s">
        <v>1452</v>
      </c>
      <c r="K126" s="113" t="s">
        <v>2463</v>
      </c>
      <c r="P126">
        <v>114</v>
      </c>
      <c r="Q126" t="s">
        <v>2410</v>
      </c>
      <c r="R126" t="s">
        <v>2641</v>
      </c>
      <c r="Y126" s="130" t="s">
        <v>2413</v>
      </c>
      <c r="Z126" s="130" t="s">
        <v>3425</v>
      </c>
      <c r="AA126" s="130" t="s">
        <v>3426</v>
      </c>
    </row>
    <row r="127" spans="1:27">
      <c r="A127" s="113" t="s">
        <v>320</v>
      </c>
      <c r="B127" s="113" t="s">
        <v>315</v>
      </c>
      <c r="D127" s="113" t="s">
        <v>2418</v>
      </c>
      <c r="E127" s="113" t="s">
        <v>2415</v>
      </c>
      <c r="F127" s="113">
        <v>2</v>
      </c>
      <c r="G127" s="113">
        <v>0.2</v>
      </c>
      <c r="I127" s="113" t="s">
        <v>2416</v>
      </c>
      <c r="J127" s="113" t="s">
        <v>449</v>
      </c>
      <c r="K127" s="113" t="s">
        <v>2464</v>
      </c>
      <c r="P127">
        <v>115</v>
      </c>
      <c r="Q127" t="s">
        <v>2410</v>
      </c>
      <c r="R127" t="s">
        <v>2641</v>
      </c>
      <c r="Y127" s="130" t="s">
        <v>2413</v>
      </c>
      <c r="Z127" s="130" t="s">
        <v>3427</v>
      </c>
      <c r="AA127" s="130" t="s">
        <v>3428</v>
      </c>
    </row>
    <row r="128" spans="1:27">
      <c r="A128" s="113" t="s">
        <v>321</v>
      </c>
      <c r="B128" s="113" t="s">
        <v>315</v>
      </c>
      <c r="D128" s="113" t="s">
        <v>2418</v>
      </c>
      <c r="E128" s="113" t="s">
        <v>2415</v>
      </c>
      <c r="F128" s="113">
        <v>3</v>
      </c>
      <c r="G128" s="113">
        <v>0.1</v>
      </c>
      <c r="I128" s="113" t="s">
        <v>2417</v>
      </c>
      <c r="J128" s="113" t="s">
        <v>2017</v>
      </c>
      <c r="K128" s="113" t="s">
        <v>2465</v>
      </c>
      <c r="P128">
        <v>116</v>
      </c>
      <c r="Q128" t="s">
        <v>2410</v>
      </c>
      <c r="R128" t="s">
        <v>2641</v>
      </c>
      <c r="Y128" s="130" t="s">
        <v>2413</v>
      </c>
      <c r="Z128" s="130" t="s">
        <v>3218</v>
      </c>
      <c r="AA128" s="130" t="s">
        <v>3429</v>
      </c>
    </row>
    <row r="129" spans="1:27">
      <c r="A129" s="113" t="s">
        <v>322</v>
      </c>
      <c r="B129" s="113" t="s">
        <v>313</v>
      </c>
      <c r="D129" s="113" t="s">
        <v>2418</v>
      </c>
      <c r="E129" s="113" t="s">
        <v>2415</v>
      </c>
      <c r="F129" s="113">
        <v>4</v>
      </c>
      <c r="G129" s="113">
        <v>0.1</v>
      </c>
      <c r="I129" s="113" t="s">
        <v>2417</v>
      </c>
      <c r="J129" s="113" t="s">
        <v>1609</v>
      </c>
      <c r="K129" s="113" t="s">
        <v>2466</v>
      </c>
      <c r="P129">
        <v>117</v>
      </c>
      <c r="Q129" t="s">
        <v>2410</v>
      </c>
      <c r="R129" t="s">
        <v>2641</v>
      </c>
      <c r="Y129" s="130" t="s">
        <v>2413</v>
      </c>
      <c r="Z129" s="130" t="s">
        <v>3220</v>
      </c>
      <c r="AA129" s="130" t="s">
        <v>3430</v>
      </c>
    </row>
    <row r="130" spans="1:27">
      <c r="A130" s="113" t="s">
        <v>323</v>
      </c>
      <c r="B130" s="113" t="s">
        <v>315</v>
      </c>
      <c r="D130" s="113"/>
      <c r="E130" s="113"/>
      <c r="F130" s="113"/>
      <c r="G130" s="113"/>
      <c r="I130" s="113" t="s">
        <v>2417</v>
      </c>
      <c r="J130" s="113" t="s">
        <v>1613</v>
      </c>
      <c r="K130" s="113" t="s">
        <v>2467</v>
      </c>
      <c r="P130">
        <v>118</v>
      </c>
      <c r="Q130" t="s">
        <v>2410</v>
      </c>
      <c r="R130" t="s">
        <v>2641</v>
      </c>
      <c r="Y130" s="130" t="s">
        <v>2413</v>
      </c>
      <c r="Z130" s="130" t="s">
        <v>3222</v>
      </c>
      <c r="AA130" s="130" t="s">
        <v>3431</v>
      </c>
    </row>
    <row r="131" spans="1:27">
      <c r="A131" s="113" t="s">
        <v>324</v>
      </c>
      <c r="B131" s="113" t="s">
        <v>313</v>
      </c>
      <c r="D131" s="113"/>
      <c r="E131" s="113"/>
      <c r="F131" s="113"/>
      <c r="G131" s="113"/>
      <c r="I131" s="113" t="s">
        <v>2417</v>
      </c>
      <c r="J131" s="113" t="s">
        <v>1162</v>
      </c>
      <c r="K131" s="113" t="s">
        <v>2468</v>
      </c>
      <c r="P131">
        <v>119</v>
      </c>
      <c r="Q131" t="s">
        <v>2410</v>
      </c>
      <c r="R131" t="s">
        <v>2641</v>
      </c>
      <c r="Y131" s="130" t="s">
        <v>2413</v>
      </c>
      <c r="Z131" s="130" t="s">
        <v>3224</v>
      </c>
      <c r="AA131" s="130" t="s">
        <v>3432</v>
      </c>
    </row>
    <row r="132" spans="1:27">
      <c r="A132" s="113" t="s">
        <v>325</v>
      </c>
      <c r="B132" s="113" t="s">
        <v>315</v>
      </c>
      <c r="D132" s="113"/>
      <c r="E132" s="113"/>
      <c r="F132" s="113"/>
      <c r="G132" s="113"/>
      <c r="I132" s="113" t="s">
        <v>2417</v>
      </c>
      <c r="J132" s="113" t="s">
        <v>1140</v>
      </c>
      <c r="K132" s="113" t="s">
        <v>2469</v>
      </c>
      <c r="P132">
        <v>120</v>
      </c>
      <c r="Q132" t="s">
        <v>2410</v>
      </c>
      <c r="R132" t="s">
        <v>2641</v>
      </c>
      <c r="Y132" s="130" t="s">
        <v>2413</v>
      </c>
      <c r="Z132" s="130" t="s">
        <v>3226</v>
      </c>
      <c r="AA132" s="130" t="s">
        <v>3433</v>
      </c>
    </row>
    <row r="133" spans="1:27">
      <c r="A133" s="113" t="s">
        <v>326</v>
      </c>
      <c r="B133" s="113" t="s">
        <v>313</v>
      </c>
      <c r="D133" s="113"/>
      <c r="E133" s="113"/>
      <c r="F133" s="113"/>
      <c r="G133" s="113"/>
      <c r="I133" s="113" t="s">
        <v>2417</v>
      </c>
      <c r="J133" s="113" t="s">
        <v>235</v>
      </c>
      <c r="K133" s="113" t="s">
        <v>2470</v>
      </c>
      <c r="P133">
        <v>121</v>
      </c>
      <c r="Q133" t="s">
        <v>2410</v>
      </c>
      <c r="R133" t="s">
        <v>2641</v>
      </c>
      <c r="Y133" s="130" t="s">
        <v>2413</v>
      </c>
      <c r="Z133" s="130" t="s">
        <v>3228</v>
      </c>
      <c r="AA133" s="130" t="s">
        <v>3434</v>
      </c>
    </row>
    <row r="134" spans="1:27">
      <c r="A134" s="113" t="s">
        <v>327</v>
      </c>
      <c r="B134" s="113" t="s">
        <v>313</v>
      </c>
      <c r="D134" s="113"/>
      <c r="E134" s="113"/>
      <c r="F134" s="113"/>
      <c r="G134" s="113"/>
      <c r="I134" s="113" t="s">
        <v>2417</v>
      </c>
      <c r="J134" s="113" t="s">
        <v>191</v>
      </c>
      <c r="K134" s="113" t="s">
        <v>2471</v>
      </c>
      <c r="P134">
        <v>122</v>
      </c>
      <c r="Q134" t="s">
        <v>2410</v>
      </c>
      <c r="R134" t="s">
        <v>2641</v>
      </c>
      <c r="Y134" s="130" t="s">
        <v>2413</v>
      </c>
      <c r="Z134" s="130" t="s">
        <v>2790</v>
      </c>
      <c r="AA134" s="130" t="s">
        <v>3435</v>
      </c>
    </row>
    <row r="135" spans="1:27">
      <c r="A135" s="113" t="s">
        <v>328</v>
      </c>
      <c r="B135" s="113" t="s">
        <v>315</v>
      </c>
      <c r="D135" s="113"/>
      <c r="E135" s="113"/>
      <c r="F135" s="113"/>
      <c r="G135" s="113"/>
      <c r="I135" s="113" t="s">
        <v>2417</v>
      </c>
      <c r="J135" s="113" t="s">
        <v>921</v>
      </c>
      <c r="K135" s="113" t="s">
        <v>2472</v>
      </c>
      <c r="P135">
        <v>123</v>
      </c>
      <c r="Q135" t="s">
        <v>2410</v>
      </c>
      <c r="R135" t="s">
        <v>2641</v>
      </c>
      <c r="Y135" s="130" t="s">
        <v>2413</v>
      </c>
      <c r="Z135" s="130" t="s">
        <v>3436</v>
      </c>
      <c r="AA135" s="130" t="s">
        <v>3437</v>
      </c>
    </row>
    <row r="136" spans="1:27">
      <c r="A136" s="113" t="s">
        <v>329</v>
      </c>
      <c r="B136" s="113" t="s">
        <v>315</v>
      </c>
      <c r="D136" s="113"/>
      <c r="E136" s="113"/>
      <c r="F136" s="113"/>
      <c r="G136" s="113"/>
      <c r="I136" s="113" t="s">
        <v>2417</v>
      </c>
      <c r="J136" s="113" t="s">
        <v>885</v>
      </c>
      <c r="K136" s="113" t="s">
        <v>2473</v>
      </c>
      <c r="P136">
        <v>124</v>
      </c>
      <c r="Q136" t="s">
        <v>2410</v>
      </c>
      <c r="R136" t="s">
        <v>2641</v>
      </c>
      <c r="Y136" s="130" t="s">
        <v>2413</v>
      </c>
      <c r="Z136" s="130" t="s">
        <v>3230</v>
      </c>
      <c r="AA136" s="130" t="s">
        <v>3438</v>
      </c>
    </row>
    <row r="137" spans="1:27">
      <c r="A137" s="113" t="s">
        <v>330</v>
      </c>
      <c r="B137" s="113" t="s">
        <v>313</v>
      </c>
      <c r="D137" s="113"/>
      <c r="E137" s="113"/>
      <c r="F137" s="113"/>
      <c r="G137" s="113"/>
      <c r="I137" s="113" t="s">
        <v>2417</v>
      </c>
      <c r="J137" s="113" t="s">
        <v>1771</v>
      </c>
      <c r="K137" s="113" t="s">
        <v>2474</v>
      </c>
      <c r="P137">
        <v>125</v>
      </c>
      <c r="Q137" t="s">
        <v>2410</v>
      </c>
      <c r="R137" t="s">
        <v>2641</v>
      </c>
      <c r="Y137" s="130" t="s">
        <v>2413</v>
      </c>
      <c r="Z137" s="130" t="s">
        <v>3439</v>
      </c>
      <c r="AA137" s="130" t="s">
        <v>3440</v>
      </c>
    </row>
    <row r="138" spans="1:27">
      <c r="A138" s="113" t="s">
        <v>331</v>
      </c>
      <c r="B138" s="113" t="s">
        <v>313</v>
      </c>
      <c r="D138" s="113"/>
      <c r="E138" s="113"/>
      <c r="F138" s="113"/>
      <c r="G138" s="113"/>
      <c r="I138" s="113" t="s">
        <v>2417</v>
      </c>
      <c r="J138" s="113" t="s">
        <v>1692</v>
      </c>
      <c r="K138" s="113" t="s">
        <v>2475</v>
      </c>
      <c r="P138">
        <v>126</v>
      </c>
      <c r="Q138" t="s">
        <v>2410</v>
      </c>
      <c r="R138" t="s">
        <v>2641</v>
      </c>
      <c r="Y138" s="130" t="s">
        <v>2413</v>
      </c>
      <c r="Z138" s="130" t="s">
        <v>3232</v>
      </c>
      <c r="AA138" s="130" t="s">
        <v>3441</v>
      </c>
    </row>
    <row r="139" spans="1:27">
      <c r="A139" s="113" t="s">
        <v>332</v>
      </c>
      <c r="B139" s="113" t="s">
        <v>313</v>
      </c>
      <c r="D139" s="113"/>
      <c r="E139" s="113"/>
      <c r="F139" s="113"/>
      <c r="G139" s="113"/>
      <c r="I139" s="113" t="s">
        <v>2417</v>
      </c>
      <c r="J139" s="113" t="s">
        <v>756</v>
      </c>
      <c r="K139" s="113" t="s">
        <v>2476</v>
      </c>
      <c r="P139">
        <v>127</v>
      </c>
      <c r="Q139" t="s">
        <v>2410</v>
      </c>
      <c r="R139" t="s">
        <v>2641</v>
      </c>
      <c r="Y139" s="130" t="s">
        <v>2413</v>
      </c>
      <c r="Z139" s="130" t="s">
        <v>3442</v>
      </c>
      <c r="AA139" s="130" t="s">
        <v>3443</v>
      </c>
    </row>
    <row r="140" spans="1:27">
      <c r="A140" s="113" t="s">
        <v>333</v>
      </c>
      <c r="B140" s="113" t="s">
        <v>313</v>
      </c>
      <c r="D140" s="113"/>
      <c r="E140" s="113"/>
      <c r="F140" s="113"/>
      <c r="G140" s="113"/>
      <c r="I140" s="113" t="s">
        <v>2417</v>
      </c>
      <c r="J140" s="113" t="s">
        <v>313</v>
      </c>
      <c r="K140" s="113" t="s">
        <v>2477</v>
      </c>
      <c r="P140">
        <v>128</v>
      </c>
      <c r="Q140" t="s">
        <v>2410</v>
      </c>
      <c r="R140" t="s">
        <v>2641</v>
      </c>
      <c r="Y140" s="130" t="s">
        <v>2413</v>
      </c>
      <c r="Z140" s="130" t="s">
        <v>3234</v>
      </c>
      <c r="AA140" s="130" t="s">
        <v>3444</v>
      </c>
    </row>
    <row r="141" spans="1:27">
      <c r="A141" s="113" t="s">
        <v>334</v>
      </c>
      <c r="B141" s="113" t="s">
        <v>313</v>
      </c>
      <c r="D141" s="113"/>
      <c r="E141" s="113"/>
      <c r="F141" s="113"/>
      <c r="G141" s="113"/>
      <c r="I141" s="113" t="s">
        <v>2417</v>
      </c>
      <c r="J141" s="113" t="s">
        <v>193</v>
      </c>
      <c r="K141" s="113" t="s">
        <v>2478</v>
      </c>
      <c r="P141">
        <v>129</v>
      </c>
      <c r="Q141" t="s">
        <v>2410</v>
      </c>
      <c r="R141" t="s">
        <v>2641</v>
      </c>
      <c r="Y141" s="130" t="s">
        <v>2413</v>
      </c>
      <c r="Z141" s="130" t="s">
        <v>3445</v>
      </c>
      <c r="AA141" s="130" t="s">
        <v>3446</v>
      </c>
    </row>
    <row r="142" spans="1:27">
      <c r="A142" s="113" t="s">
        <v>335</v>
      </c>
      <c r="B142" s="113" t="s">
        <v>315</v>
      </c>
      <c r="D142" s="113"/>
      <c r="E142" s="113"/>
      <c r="F142" s="113"/>
      <c r="G142" s="113"/>
      <c r="I142" s="113" t="s">
        <v>2417</v>
      </c>
      <c r="J142" s="113" t="s">
        <v>315</v>
      </c>
      <c r="K142" s="113" t="s">
        <v>2479</v>
      </c>
      <c r="P142">
        <v>130</v>
      </c>
      <c r="Q142" t="s">
        <v>2410</v>
      </c>
      <c r="R142" t="s">
        <v>2641</v>
      </c>
      <c r="Y142" s="130" t="s">
        <v>2413</v>
      </c>
      <c r="Z142" s="130" t="s">
        <v>3236</v>
      </c>
      <c r="AA142" s="130" t="s">
        <v>3447</v>
      </c>
    </row>
    <row r="143" spans="1:27">
      <c r="A143" s="113" t="s">
        <v>336</v>
      </c>
      <c r="B143" s="113" t="s">
        <v>313</v>
      </c>
      <c r="D143" s="113"/>
      <c r="E143" s="113"/>
      <c r="F143" s="113"/>
      <c r="G143" s="113"/>
      <c r="I143" s="113" t="s">
        <v>2417</v>
      </c>
      <c r="J143" s="113" t="s">
        <v>1633</v>
      </c>
      <c r="K143" s="113" t="s">
        <v>2480</v>
      </c>
      <c r="P143">
        <v>131</v>
      </c>
      <c r="Q143" t="s">
        <v>2410</v>
      </c>
      <c r="R143" t="s">
        <v>2641</v>
      </c>
      <c r="Y143" s="130" t="s">
        <v>2413</v>
      </c>
      <c r="Z143" s="130" t="s">
        <v>3448</v>
      </c>
      <c r="AA143" s="130" t="s">
        <v>3449</v>
      </c>
    </row>
    <row r="144" spans="1:27">
      <c r="A144" s="113" t="s">
        <v>337</v>
      </c>
      <c r="B144" s="113" t="s">
        <v>315</v>
      </c>
      <c r="D144" s="113"/>
      <c r="E144" s="113"/>
      <c r="F144" s="113"/>
      <c r="G144" s="113"/>
      <c r="I144" s="113" t="s">
        <v>2417</v>
      </c>
      <c r="J144" s="113" t="s">
        <v>1636</v>
      </c>
      <c r="K144" s="113" t="s">
        <v>2481</v>
      </c>
      <c r="P144">
        <v>132</v>
      </c>
      <c r="Q144" t="s">
        <v>2410</v>
      </c>
      <c r="R144" t="s">
        <v>2641</v>
      </c>
      <c r="Y144" s="130" t="s">
        <v>2413</v>
      </c>
      <c r="Z144" s="130" t="s">
        <v>3238</v>
      </c>
      <c r="AA144" s="130" t="s">
        <v>3450</v>
      </c>
    </row>
    <row r="145" spans="1:27">
      <c r="A145" s="113" t="s">
        <v>338</v>
      </c>
      <c r="B145" s="113" t="s">
        <v>315</v>
      </c>
      <c r="D145" s="113"/>
      <c r="E145" s="113"/>
      <c r="F145" s="113"/>
      <c r="G145" s="113"/>
      <c r="I145" s="113" t="s">
        <v>2417</v>
      </c>
      <c r="J145" s="113" t="s">
        <v>2069</v>
      </c>
      <c r="K145" s="113" t="s">
        <v>2482</v>
      </c>
      <c r="P145">
        <v>133</v>
      </c>
      <c r="Q145" t="s">
        <v>2410</v>
      </c>
      <c r="R145" t="s">
        <v>2641</v>
      </c>
      <c r="Y145" s="130" t="s">
        <v>2413</v>
      </c>
      <c r="Z145" s="130" t="s">
        <v>3451</v>
      </c>
      <c r="AA145" s="130" t="s">
        <v>3452</v>
      </c>
    </row>
    <row r="146" spans="1:27">
      <c r="A146" s="113" t="s">
        <v>339</v>
      </c>
      <c r="B146" s="113" t="s">
        <v>313</v>
      </c>
      <c r="D146" s="113"/>
      <c r="E146" s="113"/>
      <c r="F146" s="113"/>
      <c r="G146" s="113"/>
      <c r="I146" s="113" t="s">
        <v>2417</v>
      </c>
      <c r="J146" s="113" t="s">
        <v>2002</v>
      </c>
      <c r="K146" s="113" t="s">
        <v>2483</v>
      </c>
      <c r="P146">
        <v>134</v>
      </c>
      <c r="Q146" t="s">
        <v>2410</v>
      </c>
      <c r="R146" t="s">
        <v>2641</v>
      </c>
      <c r="Y146" s="130" t="s">
        <v>2413</v>
      </c>
      <c r="Z146" s="130" t="s">
        <v>3240</v>
      </c>
      <c r="AA146" s="130" t="s">
        <v>3453</v>
      </c>
    </row>
    <row r="147" spans="1:27">
      <c r="A147" s="113" t="s">
        <v>340</v>
      </c>
      <c r="B147" s="113" t="s">
        <v>313</v>
      </c>
      <c r="D147" s="113"/>
      <c r="E147" s="113"/>
      <c r="F147" s="113"/>
      <c r="G147" s="113"/>
      <c r="I147" s="113" t="s">
        <v>2417</v>
      </c>
      <c r="J147" s="113" t="s">
        <v>1452</v>
      </c>
      <c r="K147" s="113" t="s">
        <v>2484</v>
      </c>
      <c r="P147">
        <v>135</v>
      </c>
      <c r="Q147" t="s">
        <v>2410</v>
      </c>
      <c r="R147" t="s">
        <v>2641</v>
      </c>
      <c r="Y147" s="130" t="s">
        <v>2413</v>
      </c>
      <c r="Z147" s="130" t="s">
        <v>3454</v>
      </c>
      <c r="AA147" s="130" t="s">
        <v>3455</v>
      </c>
    </row>
    <row r="148" spans="1:27">
      <c r="A148" s="113" t="s">
        <v>341</v>
      </c>
      <c r="B148" s="113" t="s">
        <v>315</v>
      </c>
      <c r="D148" s="113"/>
      <c r="E148" s="113"/>
      <c r="F148" s="113"/>
      <c r="G148" s="113"/>
      <c r="I148" s="113" t="s">
        <v>2417</v>
      </c>
      <c r="J148" s="113" t="s">
        <v>449</v>
      </c>
      <c r="K148" s="113" t="s">
        <v>2485</v>
      </c>
      <c r="P148">
        <v>136</v>
      </c>
      <c r="Q148" t="s">
        <v>2410</v>
      </c>
      <c r="R148" t="s">
        <v>2641</v>
      </c>
      <c r="Y148" s="130" t="s">
        <v>2413</v>
      </c>
      <c r="Z148" s="130" t="s">
        <v>3242</v>
      </c>
      <c r="AA148" s="130" t="s">
        <v>3456</v>
      </c>
    </row>
    <row r="149" spans="1:27">
      <c r="A149" s="113" t="s">
        <v>342</v>
      </c>
      <c r="B149" s="113" t="s">
        <v>313</v>
      </c>
      <c r="D149" s="113"/>
      <c r="E149" s="113"/>
      <c r="F149" s="113"/>
      <c r="G149" s="113"/>
      <c r="P149">
        <v>137</v>
      </c>
      <c r="Q149" t="s">
        <v>2410</v>
      </c>
      <c r="R149" t="s">
        <v>2641</v>
      </c>
      <c r="Y149" s="130" t="s">
        <v>2413</v>
      </c>
      <c r="Z149" s="130" t="s">
        <v>3457</v>
      </c>
      <c r="AA149" s="130" t="s">
        <v>3458</v>
      </c>
    </row>
    <row r="150" spans="1:27">
      <c r="A150" s="113" t="s">
        <v>343</v>
      </c>
      <c r="B150" s="113" t="s">
        <v>315</v>
      </c>
      <c r="D150" s="113"/>
      <c r="E150" s="113"/>
      <c r="F150" s="113"/>
      <c r="G150" s="113"/>
      <c r="P150">
        <v>138</v>
      </c>
      <c r="Q150" t="s">
        <v>2410</v>
      </c>
      <c r="R150" t="s">
        <v>2641</v>
      </c>
      <c r="Y150" s="130" t="s">
        <v>2413</v>
      </c>
      <c r="Z150" s="130" t="s">
        <v>3244</v>
      </c>
      <c r="AA150" s="130" t="s">
        <v>3459</v>
      </c>
    </row>
    <row r="151" spans="1:27">
      <c r="A151" s="113" t="s">
        <v>344</v>
      </c>
      <c r="B151" s="113" t="s">
        <v>313</v>
      </c>
      <c r="D151" s="113"/>
      <c r="E151" s="113"/>
      <c r="F151" s="113"/>
      <c r="G151" s="113"/>
      <c r="P151">
        <v>139</v>
      </c>
      <c r="Q151" t="s">
        <v>2410</v>
      </c>
      <c r="R151" t="s">
        <v>2641</v>
      </c>
      <c r="Y151" s="130" t="s">
        <v>2413</v>
      </c>
      <c r="Z151" s="130" t="s">
        <v>3460</v>
      </c>
      <c r="AA151" s="130" t="s">
        <v>3461</v>
      </c>
    </row>
    <row r="152" spans="1:27">
      <c r="A152" s="113" t="s">
        <v>345</v>
      </c>
      <c r="B152" s="113" t="s">
        <v>315</v>
      </c>
      <c r="D152" s="113"/>
      <c r="E152" s="113"/>
      <c r="F152" s="113"/>
      <c r="G152" s="113"/>
      <c r="P152">
        <v>140</v>
      </c>
      <c r="Q152" t="s">
        <v>2410</v>
      </c>
      <c r="R152" t="s">
        <v>2641</v>
      </c>
      <c r="Y152" s="130" t="s">
        <v>2413</v>
      </c>
      <c r="Z152" s="130" t="s">
        <v>3246</v>
      </c>
      <c r="AA152" s="130" t="s">
        <v>3462</v>
      </c>
    </row>
    <row r="153" spans="1:27">
      <c r="A153" s="113" t="s">
        <v>346</v>
      </c>
      <c r="B153" s="113" t="s">
        <v>313</v>
      </c>
      <c r="D153" s="113"/>
      <c r="E153" s="113"/>
      <c r="F153" s="113"/>
      <c r="G153" s="113"/>
      <c r="P153">
        <v>141</v>
      </c>
      <c r="Q153" t="s">
        <v>2410</v>
      </c>
      <c r="R153" t="s">
        <v>2641</v>
      </c>
      <c r="Y153" s="130" t="s">
        <v>2413</v>
      </c>
      <c r="Z153" s="130" t="s">
        <v>3463</v>
      </c>
      <c r="AA153" s="130" t="s">
        <v>3464</v>
      </c>
    </row>
    <row r="154" spans="1:27">
      <c r="A154" s="113" t="s">
        <v>347</v>
      </c>
      <c r="B154" s="113" t="s">
        <v>315</v>
      </c>
      <c r="D154" s="113"/>
      <c r="E154" s="113"/>
      <c r="F154" s="113"/>
      <c r="G154" s="113"/>
      <c r="P154">
        <v>142</v>
      </c>
      <c r="Q154" t="s">
        <v>2410</v>
      </c>
      <c r="R154" t="s">
        <v>2641</v>
      </c>
      <c r="Y154" s="130" t="s">
        <v>2413</v>
      </c>
      <c r="Z154" s="130" t="s">
        <v>3248</v>
      </c>
      <c r="AA154" s="130" t="s">
        <v>3465</v>
      </c>
    </row>
    <row r="155" spans="1:27">
      <c r="A155" s="113" t="s">
        <v>348</v>
      </c>
      <c r="B155" s="113" t="s">
        <v>315</v>
      </c>
      <c r="D155" s="113"/>
      <c r="E155" s="113"/>
      <c r="F155" s="113"/>
      <c r="G155" s="113"/>
      <c r="P155">
        <v>143</v>
      </c>
      <c r="Q155" t="s">
        <v>2410</v>
      </c>
      <c r="R155" t="s">
        <v>2641</v>
      </c>
      <c r="Y155" s="130" t="s">
        <v>2413</v>
      </c>
      <c r="Z155" s="130" t="s">
        <v>3466</v>
      </c>
      <c r="AA155" s="130" t="s">
        <v>3467</v>
      </c>
    </row>
    <row r="156" spans="1:27">
      <c r="A156" s="113" t="s">
        <v>349</v>
      </c>
      <c r="B156" s="113" t="s">
        <v>313</v>
      </c>
      <c r="D156" s="113"/>
      <c r="E156" s="113"/>
      <c r="F156" s="113"/>
      <c r="G156" s="113"/>
      <c r="P156">
        <v>144</v>
      </c>
      <c r="Q156" t="s">
        <v>2410</v>
      </c>
      <c r="R156" t="s">
        <v>2641</v>
      </c>
      <c r="Y156" s="130" t="s">
        <v>2413</v>
      </c>
      <c r="Z156" s="130" t="s">
        <v>3250</v>
      </c>
      <c r="AA156" s="130" t="s">
        <v>3468</v>
      </c>
    </row>
    <row r="157" spans="1:27">
      <c r="A157" s="113" t="s">
        <v>350</v>
      </c>
      <c r="B157" s="113" t="s">
        <v>315</v>
      </c>
      <c r="D157" s="113"/>
      <c r="E157" s="113"/>
      <c r="F157" s="113"/>
      <c r="G157" s="113"/>
      <c r="P157">
        <v>145</v>
      </c>
      <c r="Q157" t="s">
        <v>2410</v>
      </c>
      <c r="R157" t="s">
        <v>2641</v>
      </c>
      <c r="Y157" s="130" t="s">
        <v>2413</v>
      </c>
      <c r="Z157" s="130" t="s">
        <v>3469</v>
      </c>
      <c r="AA157" s="130" t="s">
        <v>3470</v>
      </c>
    </row>
    <row r="158" spans="1:27">
      <c r="A158" s="113" t="s">
        <v>351</v>
      </c>
      <c r="B158" s="113" t="s">
        <v>315</v>
      </c>
      <c r="D158" s="113"/>
      <c r="E158" s="113"/>
      <c r="F158" s="113"/>
      <c r="G158" s="113"/>
      <c r="P158">
        <v>146</v>
      </c>
      <c r="Q158" t="s">
        <v>2410</v>
      </c>
      <c r="R158" t="s">
        <v>2641</v>
      </c>
      <c r="Y158" s="130" t="s">
        <v>2413</v>
      </c>
      <c r="Z158" s="130" t="s">
        <v>3252</v>
      </c>
      <c r="AA158" s="130" t="s">
        <v>3471</v>
      </c>
    </row>
    <row r="159" spans="1:27">
      <c r="A159" s="113" t="s">
        <v>352</v>
      </c>
      <c r="B159" s="113" t="s">
        <v>315</v>
      </c>
      <c r="D159" s="113"/>
      <c r="E159" s="113"/>
      <c r="F159" s="113"/>
      <c r="G159" s="113"/>
      <c r="P159">
        <v>147</v>
      </c>
      <c r="Q159" t="s">
        <v>2410</v>
      </c>
      <c r="R159" t="s">
        <v>2641</v>
      </c>
      <c r="Y159" s="130" t="s">
        <v>2413</v>
      </c>
      <c r="Z159" s="130" t="s">
        <v>3472</v>
      </c>
      <c r="AA159" s="130" t="s">
        <v>3473</v>
      </c>
    </row>
    <row r="160" spans="1:27">
      <c r="A160" s="113" t="s">
        <v>353</v>
      </c>
      <c r="B160" s="113" t="s">
        <v>315</v>
      </c>
      <c r="D160" s="113"/>
      <c r="E160" s="113"/>
      <c r="F160" s="113"/>
      <c r="G160" s="113"/>
      <c r="P160">
        <v>148</v>
      </c>
      <c r="Q160" t="s">
        <v>2410</v>
      </c>
      <c r="R160" t="s">
        <v>2641</v>
      </c>
      <c r="Y160" s="130" t="s">
        <v>2413</v>
      </c>
      <c r="Z160" s="130" t="s">
        <v>3254</v>
      </c>
      <c r="AA160" s="130" t="s">
        <v>3474</v>
      </c>
    </row>
    <row r="161" spans="1:27">
      <c r="A161" s="113" t="s">
        <v>354</v>
      </c>
      <c r="B161" s="113" t="s">
        <v>313</v>
      </c>
      <c r="D161" s="113"/>
      <c r="E161" s="113"/>
      <c r="F161" s="113"/>
      <c r="G161" s="113"/>
      <c r="P161">
        <v>149</v>
      </c>
      <c r="Q161" t="s">
        <v>2410</v>
      </c>
      <c r="R161" t="s">
        <v>2641</v>
      </c>
      <c r="Y161" s="130" t="s">
        <v>2413</v>
      </c>
      <c r="Z161" s="130" t="s">
        <v>3475</v>
      </c>
      <c r="AA161" s="130" t="s">
        <v>3476</v>
      </c>
    </row>
    <row r="162" spans="1:27">
      <c r="A162" s="113" t="s">
        <v>355</v>
      </c>
      <c r="B162" s="113" t="s">
        <v>315</v>
      </c>
      <c r="D162" s="113"/>
      <c r="E162" s="113"/>
      <c r="F162" s="113"/>
      <c r="G162" s="113"/>
      <c r="P162">
        <v>150</v>
      </c>
      <c r="Q162" t="s">
        <v>2410</v>
      </c>
      <c r="R162" t="s">
        <v>2641</v>
      </c>
      <c r="Y162" s="130" t="s">
        <v>2413</v>
      </c>
      <c r="Z162" s="130" t="s">
        <v>3256</v>
      </c>
      <c r="AA162" s="130" t="s">
        <v>3477</v>
      </c>
    </row>
    <row r="163" spans="1:27">
      <c r="A163" s="113" t="s">
        <v>356</v>
      </c>
      <c r="B163" s="113" t="s">
        <v>313</v>
      </c>
      <c r="D163" s="113"/>
      <c r="E163" s="113"/>
      <c r="F163" s="113"/>
      <c r="G163" s="113"/>
      <c r="P163">
        <v>151</v>
      </c>
      <c r="Q163" t="s">
        <v>2410</v>
      </c>
      <c r="R163" t="s">
        <v>2641</v>
      </c>
      <c r="Y163" s="130" t="s">
        <v>2413</v>
      </c>
      <c r="Z163" s="130" t="s">
        <v>3478</v>
      </c>
      <c r="AA163" s="130" t="s">
        <v>3479</v>
      </c>
    </row>
    <row r="164" spans="1:27">
      <c r="A164" s="113" t="s">
        <v>357</v>
      </c>
      <c r="B164" s="113" t="s">
        <v>313</v>
      </c>
      <c r="D164" s="113"/>
      <c r="E164" s="113"/>
      <c r="F164" s="113"/>
      <c r="G164" s="113"/>
      <c r="P164">
        <v>152</v>
      </c>
      <c r="Q164" t="s">
        <v>2410</v>
      </c>
      <c r="R164" t="s">
        <v>2641</v>
      </c>
      <c r="Y164" s="130" t="s">
        <v>2413</v>
      </c>
      <c r="Z164" s="130" t="s">
        <v>3258</v>
      </c>
      <c r="AA164" s="130" t="s">
        <v>3480</v>
      </c>
    </row>
    <row r="165" spans="1:27">
      <c r="A165" s="113" t="s">
        <v>358</v>
      </c>
      <c r="B165" s="113" t="s">
        <v>315</v>
      </c>
      <c r="D165" s="113"/>
      <c r="E165" s="113"/>
      <c r="F165" s="113"/>
      <c r="G165" s="113"/>
      <c r="P165">
        <v>153</v>
      </c>
      <c r="Q165" t="s">
        <v>2410</v>
      </c>
      <c r="R165" t="s">
        <v>2641</v>
      </c>
      <c r="Y165" s="130" t="s">
        <v>2413</v>
      </c>
      <c r="Z165" s="130" t="s">
        <v>3481</v>
      </c>
      <c r="AA165" s="130" t="s">
        <v>3482</v>
      </c>
    </row>
    <row r="166" spans="1:27">
      <c r="A166" s="113" t="s">
        <v>359</v>
      </c>
      <c r="B166" s="113" t="s">
        <v>313</v>
      </c>
      <c r="D166" s="113"/>
      <c r="E166" s="113"/>
      <c r="F166" s="113"/>
      <c r="G166" s="113"/>
      <c r="P166">
        <v>154</v>
      </c>
      <c r="Q166" t="s">
        <v>2410</v>
      </c>
      <c r="R166" t="s">
        <v>2641</v>
      </c>
      <c r="Y166" s="130" t="s">
        <v>2413</v>
      </c>
      <c r="Z166" s="130" t="s">
        <v>3260</v>
      </c>
      <c r="AA166" s="130" t="s">
        <v>3483</v>
      </c>
    </row>
    <row r="167" spans="1:27">
      <c r="A167" s="113" t="s">
        <v>360</v>
      </c>
      <c r="B167" s="113" t="s">
        <v>315</v>
      </c>
      <c r="D167" s="113"/>
      <c r="E167" s="113"/>
      <c r="F167" s="113"/>
      <c r="G167" s="113"/>
      <c r="P167">
        <v>155</v>
      </c>
      <c r="Q167" t="s">
        <v>2410</v>
      </c>
      <c r="R167" t="s">
        <v>2641</v>
      </c>
      <c r="Y167" s="130" t="s">
        <v>2413</v>
      </c>
      <c r="Z167" s="130" t="s">
        <v>3484</v>
      </c>
      <c r="AA167" s="130" t="s">
        <v>3485</v>
      </c>
    </row>
    <row r="168" spans="1:27">
      <c r="A168" s="113" t="s">
        <v>361</v>
      </c>
      <c r="B168" s="113" t="s">
        <v>313</v>
      </c>
      <c r="D168" s="113"/>
      <c r="E168" s="113"/>
      <c r="F168" s="113"/>
      <c r="G168" s="113"/>
      <c r="P168">
        <v>156</v>
      </c>
      <c r="Q168" t="s">
        <v>2410</v>
      </c>
      <c r="R168" t="s">
        <v>2641</v>
      </c>
      <c r="Y168" s="130" t="s">
        <v>2413</v>
      </c>
      <c r="Z168" s="130" t="s">
        <v>3262</v>
      </c>
      <c r="AA168" s="130" t="s">
        <v>3486</v>
      </c>
    </row>
    <row r="169" spans="1:27">
      <c r="A169" s="113" t="s">
        <v>362</v>
      </c>
      <c r="B169" s="113" t="s">
        <v>313</v>
      </c>
      <c r="D169" s="113"/>
      <c r="E169" s="113"/>
      <c r="F169" s="113"/>
      <c r="G169" s="113"/>
      <c r="P169">
        <v>157</v>
      </c>
      <c r="Q169" t="s">
        <v>2410</v>
      </c>
      <c r="R169" t="s">
        <v>2641</v>
      </c>
      <c r="Y169" s="130" t="s">
        <v>2413</v>
      </c>
      <c r="Z169" s="130" t="s">
        <v>3487</v>
      </c>
      <c r="AA169" s="130" t="s">
        <v>3488</v>
      </c>
    </row>
    <row r="170" spans="1:27">
      <c r="A170" s="113" t="s">
        <v>363</v>
      </c>
      <c r="B170" s="113" t="s">
        <v>313</v>
      </c>
      <c r="D170" s="113"/>
      <c r="E170" s="113"/>
      <c r="F170" s="113"/>
      <c r="G170" s="113"/>
      <c r="P170">
        <v>158</v>
      </c>
      <c r="Q170" t="s">
        <v>2410</v>
      </c>
      <c r="R170" t="s">
        <v>2641</v>
      </c>
      <c r="Y170" s="130" t="s">
        <v>2411</v>
      </c>
      <c r="Z170" s="130" t="s">
        <v>3489</v>
      </c>
      <c r="AA170" s="130" t="s">
        <v>3490</v>
      </c>
    </row>
    <row r="171" spans="1:27">
      <c r="A171" s="113" t="s">
        <v>364</v>
      </c>
      <c r="B171" s="113" t="s">
        <v>313</v>
      </c>
      <c r="D171" s="113"/>
      <c r="E171" s="113"/>
      <c r="F171" s="113"/>
      <c r="G171" s="113"/>
      <c r="P171">
        <v>159</v>
      </c>
      <c r="Q171" t="s">
        <v>2410</v>
      </c>
      <c r="R171" t="s">
        <v>2641</v>
      </c>
      <c r="Y171" s="130" t="s">
        <v>2413</v>
      </c>
      <c r="Z171" s="130" t="s">
        <v>3491</v>
      </c>
      <c r="AA171" s="130" t="s">
        <v>3492</v>
      </c>
    </row>
    <row r="172" spans="1:27">
      <c r="A172" s="113" t="s">
        <v>365</v>
      </c>
      <c r="B172" s="113" t="s">
        <v>315</v>
      </c>
      <c r="D172" s="113"/>
      <c r="E172" s="113"/>
      <c r="F172" s="113"/>
      <c r="G172" s="113"/>
      <c r="P172">
        <v>160</v>
      </c>
      <c r="Q172" t="s">
        <v>2410</v>
      </c>
      <c r="R172" t="s">
        <v>2641</v>
      </c>
    </row>
    <row r="173" spans="1:27">
      <c r="A173" s="113" t="s">
        <v>366</v>
      </c>
      <c r="B173" s="113" t="s">
        <v>313</v>
      </c>
      <c r="D173" s="113"/>
      <c r="E173" s="113"/>
      <c r="F173" s="113"/>
      <c r="G173" s="113"/>
      <c r="P173">
        <v>161</v>
      </c>
      <c r="Q173" t="s">
        <v>2410</v>
      </c>
      <c r="R173" t="s">
        <v>2641</v>
      </c>
    </row>
    <row r="174" spans="1:27">
      <c r="A174" s="113" t="s">
        <v>367</v>
      </c>
      <c r="B174" s="113" t="s">
        <v>313</v>
      </c>
      <c r="D174" s="113"/>
      <c r="E174" s="113"/>
      <c r="F174" s="113"/>
      <c r="G174" s="113"/>
      <c r="P174">
        <v>162</v>
      </c>
      <c r="Q174" t="s">
        <v>2410</v>
      </c>
      <c r="R174" t="s">
        <v>2641</v>
      </c>
    </row>
    <row r="175" spans="1:27">
      <c r="A175" s="113" t="s">
        <v>368</v>
      </c>
      <c r="B175" s="113" t="s">
        <v>313</v>
      </c>
      <c r="D175" s="113"/>
      <c r="E175" s="113"/>
      <c r="F175" s="113"/>
      <c r="G175" s="113"/>
      <c r="P175">
        <v>163</v>
      </c>
      <c r="Q175" t="s">
        <v>2410</v>
      </c>
      <c r="R175" t="s">
        <v>2641</v>
      </c>
    </row>
    <row r="176" spans="1:27">
      <c r="A176" s="113" t="s">
        <v>369</v>
      </c>
      <c r="B176" s="113" t="s">
        <v>313</v>
      </c>
      <c r="D176" s="113"/>
      <c r="E176" s="113"/>
      <c r="F176" s="113"/>
      <c r="G176" s="113"/>
      <c r="P176">
        <v>164</v>
      </c>
      <c r="Q176" t="s">
        <v>2410</v>
      </c>
      <c r="R176" t="s">
        <v>2641</v>
      </c>
    </row>
    <row r="177" spans="1:18">
      <c r="A177" s="113" t="s">
        <v>370</v>
      </c>
      <c r="B177" s="113" t="s">
        <v>315</v>
      </c>
      <c r="D177" s="113"/>
      <c r="E177" s="113"/>
      <c r="F177" s="113"/>
      <c r="G177" s="113"/>
      <c r="P177">
        <v>165</v>
      </c>
      <c r="Q177" t="s">
        <v>2410</v>
      </c>
      <c r="R177" t="s">
        <v>2641</v>
      </c>
    </row>
    <row r="178" spans="1:18">
      <c r="A178" s="113" t="s">
        <v>371</v>
      </c>
      <c r="B178" s="113" t="s">
        <v>315</v>
      </c>
      <c r="D178" s="113"/>
      <c r="E178" s="113"/>
      <c r="F178" s="113"/>
      <c r="G178" s="113"/>
      <c r="P178">
        <v>166</v>
      </c>
      <c r="Q178" t="s">
        <v>2410</v>
      </c>
      <c r="R178" t="s">
        <v>2641</v>
      </c>
    </row>
    <row r="179" spans="1:18">
      <c r="A179" s="113" t="s">
        <v>372</v>
      </c>
      <c r="B179" s="113" t="s">
        <v>315</v>
      </c>
      <c r="D179" s="113"/>
      <c r="E179" s="113"/>
      <c r="F179" s="113"/>
      <c r="G179" s="113"/>
      <c r="P179">
        <v>167</v>
      </c>
      <c r="Q179" t="s">
        <v>2410</v>
      </c>
      <c r="R179" t="s">
        <v>2641</v>
      </c>
    </row>
    <row r="180" spans="1:18">
      <c r="A180" s="113" t="s">
        <v>373</v>
      </c>
      <c r="B180" s="113" t="s">
        <v>315</v>
      </c>
      <c r="D180" s="113"/>
      <c r="E180" s="113"/>
      <c r="F180" s="113"/>
      <c r="G180" s="113"/>
      <c r="P180">
        <v>168</v>
      </c>
      <c r="Q180" t="s">
        <v>2410</v>
      </c>
      <c r="R180" t="s">
        <v>2641</v>
      </c>
    </row>
    <row r="181" spans="1:18">
      <c r="A181" s="113" t="s">
        <v>374</v>
      </c>
      <c r="B181" s="113" t="s">
        <v>313</v>
      </c>
      <c r="D181" s="113"/>
      <c r="E181" s="113"/>
      <c r="F181" s="113"/>
      <c r="G181" s="113"/>
      <c r="P181">
        <v>169</v>
      </c>
      <c r="Q181" t="s">
        <v>2410</v>
      </c>
      <c r="R181" t="s">
        <v>2641</v>
      </c>
    </row>
    <row r="182" spans="1:18">
      <c r="A182" s="113" t="s">
        <v>375</v>
      </c>
      <c r="B182" s="113" t="s">
        <v>315</v>
      </c>
      <c r="D182" s="113"/>
      <c r="E182" s="113"/>
      <c r="F182" s="113"/>
      <c r="G182" s="113"/>
      <c r="P182">
        <v>170</v>
      </c>
      <c r="Q182" t="s">
        <v>2410</v>
      </c>
      <c r="R182" t="s">
        <v>2641</v>
      </c>
    </row>
    <row r="183" spans="1:18">
      <c r="A183" s="113" t="s">
        <v>376</v>
      </c>
      <c r="B183" s="113" t="s">
        <v>315</v>
      </c>
      <c r="D183" s="113"/>
      <c r="E183" s="113"/>
      <c r="F183" s="113"/>
      <c r="G183" s="113"/>
      <c r="P183">
        <v>171</v>
      </c>
      <c r="Q183" t="s">
        <v>2410</v>
      </c>
      <c r="R183" t="s">
        <v>2641</v>
      </c>
    </row>
    <row r="184" spans="1:18">
      <c r="A184" s="113" t="s">
        <v>377</v>
      </c>
      <c r="B184" s="113" t="s">
        <v>315</v>
      </c>
      <c r="D184" s="113"/>
      <c r="E184" s="113"/>
      <c r="F184" s="113"/>
      <c r="G184" s="113"/>
      <c r="P184">
        <v>172</v>
      </c>
      <c r="Q184" t="s">
        <v>2410</v>
      </c>
      <c r="R184" t="s">
        <v>2641</v>
      </c>
    </row>
    <row r="185" spans="1:18">
      <c r="A185" s="113" t="s">
        <v>378</v>
      </c>
      <c r="B185" s="113" t="s">
        <v>313</v>
      </c>
      <c r="D185" s="113"/>
      <c r="E185" s="113"/>
      <c r="F185" s="113"/>
      <c r="G185" s="113"/>
      <c r="P185">
        <v>173</v>
      </c>
      <c r="Q185" t="s">
        <v>2410</v>
      </c>
      <c r="R185" t="s">
        <v>2641</v>
      </c>
    </row>
    <row r="186" spans="1:18">
      <c r="A186" s="113" t="s">
        <v>379</v>
      </c>
      <c r="B186" s="113" t="s">
        <v>313</v>
      </c>
      <c r="D186" s="113"/>
      <c r="E186" s="113"/>
      <c r="F186" s="113"/>
      <c r="G186" s="113"/>
      <c r="P186">
        <v>174</v>
      </c>
      <c r="Q186" t="s">
        <v>2410</v>
      </c>
      <c r="R186" t="s">
        <v>2641</v>
      </c>
    </row>
    <row r="187" spans="1:18">
      <c r="A187" s="113" t="s">
        <v>380</v>
      </c>
      <c r="B187" s="113" t="s">
        <v>315</v>
      </c>
      <c r="D187" s="113"/>
      <c r="E187" s="113"/>
      <c r="F187" s="113"/>
      <c r="G187" s="113"/>
      <c r="P187">
        <v>175</v>
      </c>
      <c r="Q187" t="s">
        <v>2410</v>
      </c>
      <c r="R187" t="s">
        <v>2641</v>
      </c>
    </row>
    <row r="188" spans="1:18">
      <c r="A188" s="113" t="s">
        <v>381</v>
      </c>
      <c r="B188" s="113" t="s">
        <v>315</v>
      </c>
      <c r="D188" s="113"/>
      <c r="E188" s="113"/>
      <c r="F188" s="113"/>
      <c r="G188" s="113"/>
      <c r="P188">
        <v>176</v>
      </c>
      <c r="Q188" t="s">
        <v>2410</v>
      </c>
      <c r="R188" t="s">
        <v>2641</v>
      </c>
    </row>
    <row r="189" spans="1:18">
      <c r="A189" s="113" t="s">
        <v>382</v>
      </c>
      <c r="B189" s="113" t="s">
        <v>315</v>
      </c>
      <c r="D189" s="113"/>
      <c r="E189" s="113"/>
      <c r="F189" s="113"/>
      <c r="G189" s="113"/>
      <c r="P189">
        <v>177</v>
      </c>
      <c r="Q189" t="s">
        <v>2410</v>
      </c>
      <c r="R189" t="s">
        <v>2641</v>
      </c>
    </row>
    <row r="190" spans="1:18">
      <c r="A190" s="113" t="s">
        <v>383</v>
      </c>
      <c r="B190" s="113" t="s">
        <v>313</v>
      </c>
      <c r="D190" s="113"/>
      <c r="E190" s="113"/>
      <c r="F190" s="113"/>
      <c r="G190" s="113"/>
      <c r="P190">
        <v>178</v>
      </c>
      <c r="Q190" t="s">
        <v>2410</v>
      </c>
      <c r="R190" t="s">
        <v>2641</v>
      </c>
    </row>
    <row r="191" spans="1:18">
      <c r="A191" s="113" t="s">
        <v>384</v>
      </c>
      <c r="B191" s="113" t="s">
        <v>315</v>
      </c>
      <c r="D191" s="113"/>
      <c r="E191" s="113"/>
      <c r="F191" s="113"/>
      <c r="G191" s="113"/>
      <c r="P191">
        <v>179</v>
      </c>
      <c r="Q191" t="s">
        <v>2410</v>
      </c>
      <c r="R191" t="s">
        <v>2641</v>
      </c>
    </row>
    <row r="192" spans="1:18">
      <c r="A192" s="113" t="s">
        <v>385</v>
      </c>
      <c r="B192" s="113" t="s">
        <v>315</v>
      </c>
      <c r="D192" s="113"/>
      <c r="E192" s="113"/>
      <c r="F192" s="113"/>
      <c r="G192" s="113"/>
      <c r="P192">
        <v>180</v>
      </c>
      <c r="Q192" t="s">
        <v>2410</v>
      </c>
      <c r="R192" t="s">
        <v>2641</v>
      </c>
    </row>
    <row r="193" spans="1:18">
      <c r="A193" s="113" t="s">
        <v>386</v>
      </c>
      <c r="B193" s="113" t="s">
        <v>313</v>
      </c>
      <c r="D193" s="113"/>
      <c r="E193" s="113"/>
      <c r="F193" s="113"/>
      <c r="G193" s="113"/>
      <c r="P193">
        <v>181</v>
      </c>
      <c r="Q193" t="s">
        <v>2410</v>
      </c>
      <c r="R193" t="s">
        <v>2641</v>
      </c>
    </row>
    <row r="194" spans="1:18">
      <c r="A194" s="113" t="s">
        <v>387</v>
      </c>
      <c r="B194" s="113" t="s">
        <v>315</v>
      </c>
      <c r="D194" s="113"/>
      <c r="E194" s="113"/>
      <c r="F194" s="113"/>
      <c r="G194" s="113"/>
      <c r="P194">
        <v>182</v>
      </c>
      <c r="Q194" t="s">
        <v>2410</v>
      </c>
      <c r="R194" t="s">
        <v>2641</v>
      </c>
    </row>
    <row r="195" spans="1:18">
      <c r="A195" s="113" t="s">
        <v>388</v>
      </c>
      <c r="B195" s="113" t="s">
        <v>313</v>
      </c>
      <c r="D195" s="113"/>
      <c r="E195" s="113"/>
      <c r="F195" s="113"/>
      <c r="G195" s="113"/>
      <c r="P195">
        <v>183</v>
      </c>
      <c r="Q195" t="s">
        <v>2410</v>
      </c>
      <c r="R195" t="s">
        <v>2641</v>
      </c>
    </row>
    <row r="196" spans="1:18">
      <c r="A196" s="113" t="s">
        <v>389</v>
      </c>
      <c r="B196" s="113" t="s">
        <v>315</v>
      </c>
      <c r="D196" s="113"/>
      <c r="E196" s="113"/>
      <c r="F196" s="113"/>
      <c r="G196" s="113"/>
      <c r="P196">
        <v>184</v>
      </c>
      <c r="Q196" t="s">
        <v>2410</v>
      </c>
      <c r="R196" t="s">
        <v>2641</v>
      </c>
    </row>
    <row r="197" spans="1:18">
      <c r="A197" s="113" t="s">
        <v>390</v>
      </c>
      <c r="B197" s="113" t="s">
        <v>315</v>
      </c>
      <c r="D197" s="113"/>
      <c r="E197" s="113"/>
      <c r="F197" s="113"/>
      <c r="G197" s="113"/>
      <c r="P197">
        <v>185</v>
      </c>
      <c r="Q197" t="s">
        <v>2410</v>
      </c>
      <c r="R197" t="s">
        <v>2641</v>
      </c>
    </row>
    <row r="198" spans="1:18">
      <c r="A198" s="113" t="s">
        <v>391</v>
      </c>
      <c r="B198" s="113" t="s">
        <v>313</v>
      </c>
      <c r="D198" s="113"/>
      <c r="E198" s="113"/>
      <c r="F198" s="113"/>
      <c r="G198" s="113"/>
      <c r="P198">
        <v>186</v>
      </c>
      <c r="Q198" t="s">
        <v>2410</v>
      </c>
      <c r="R198" t="s">
        <v>2641</v>
      </c>
    </row>
    <row r="199" spans="1:18">
      <c r="A199" s="113" t="s">
        <v>392</v>
      </c>
      <c r="B199" s="113" t="s">
        <v>315</v>
      </c>
      <c r="D199" s="113"/>
      <c r="E199" s="113"/>
      <c r="F199" s="113"/>
      <c r="G199" s="113"/>
      <c r="P199">
        <v>187</v>
      </c>
      <c r="Q199" t="s">
        <v>2410</v>
      </c>
      <c r="R199" t="s">
        <v>2641</v>
      </c>
    </row>
    <row r="200" spans="1:18">
      <c r="A200" s="113" t="s">
        <v>393</v>
      </c>
      <c r="B200" s="113" t="s">
        <v>313</v>
      </c>
      <c r="D200" s="113"/>
      <c r="E200" s="113"/>
      <c r="F200" s="113"/>
      <c r="G200" s="113"/>
      <c r="P200">
        <v>188</v>
      </c>
      <c r="Q200" t="s">
        <v>2410</v>
      </c>
      <c r="R200" t="s">
        <v>2641</v>
      </c>
    </row>
    <row r="201" spans="1:18">
      <c r="A201" s="113" t="s">
        <v>394</v>
      </c>
      <c r="B201" s="113" t="s">
        <v>315</v>
      </c>
      <c r="D201" s="113"/>
      <c r="E201" s="113"/>
      <c r="F201" s="113"/>
      <c r="G201" s="113"/>
      <c r="P201">
        <v>189</v>
      </c>
      <c r="Q201" t="s">
        <v>2410</v>
      </c>
      <c r="R201" t="s">
        <v>2641</v>
      </c>
    </row>
    <row r="202" spans="1:18">
      <c r="A202" s="113" t="s">
        <v>395</v>
      </c>
      <c r="B202" s="113" t="s">
        <v>315</v>
      </c>
      <c r="D202" s="113"/>
      <c r="E202" s="113"/>
      <c r="F202" s="113"/>
      <c r="G202" s="113"/>
      <c r="P202">
        <v>190</v>
      </c>
      <c r="Q202" t="s">
        <v>2410</v>
      </c>
      <c r="R202" t="s">
        <v>2641</v>
      </c>
    </row>
    <row r="203" spans="1:18">
      <c r="A203" s="113" t="s">
        <v>396</v>
      </c>
      <c r="B203" s="113" t="s">
        <v>315</v>
      </c>
      <c r="D203" s="113"/>
      <c r="E203" s="113"/>
      <c r="F203" s="113"/>
      <c r="G203" s="113"/>
      <c r="P203">
        <v>191</v>
      </c>
      <c r="Q203" t="s">
        <v>2410</v>
      </c>
      <c r="R203" t="s">
        <v>2641</v>
      </c>
    </row>
    <row r="204" spans="1:18">
      <c r="A204" s="113" t="s">
        <v>397</v>
      </c>
      <c r="B204" s="113" t="s">
        <v>315</v>
      </c>
      <c r="D204" s="113"/>
      <c r="E204" s="113"/>
      <c r="F204" s="113"/>
      <c r="G204" s="113"/>
      <c r="P204">
        <v>192</v>
      </c>
      <c r="Q204" t="s">
        <v>2410</v>
      </c>
      <c r="R204" t="s">
        <v>2641</v>
      </c>
    </row>
    <row r="205" spans="1:18">
      <c r="A205" s="113" t="s">
        <v>398</v>
      </c>
      <c r="B205" s="113" t="s">
        <v>315</v>
      </c>
      <c r="D205" s="113"/>
      <c r="E205" s="113"/>
      <c r="F205" s="113"/>
      <c r="G205" s="113"/>
      <c r="P205">
        <v>193</v>
      </c>
      <c r="Q205" t="s">
        <v>2410</v>
      </c>
      <c r="R205" t="s">
        <v>2641</v>
      </c>
    </row>
    <row r="206" spans="1:18">
      <c r="A206" s="113" t="s">
        <v>399</v>
      </c>
      <c r="B206" s="113" t="s">
        <v>315</v>
      </c>
      <c r="D206" s="113"/>
      <c r="E206" s="113"/>
      <c r="F206" s="113"/>
      <c r="G206" s="113"/>
      <c r="P206">
        <v>194</v>
      </c>
      <c r="Q206" t="s">
        <v>2410</v>
      </c>
      <c r="R206" t="s">
        <v>2641</v>
      </c>
    </row>
    <row r="207" spans="1:18">
      <c r="A207" s="113" t="s">
        <v>400</v>
      </c>
      <c r="B207" s="113" t="s">
        <v>315</v>
      </c>
      <c r="D207" s="113"/>
      <c r="E207" s="113"/>
      <c r="F207" s="113"/>
      <c r="G207" s="113"/>
      <c r="P207">
        <v>195</v>
      </c>
      <c r="Q207" t="s">
        <v>2410</v>
      </c>
      <c r="R207" t="s">
        <v>2641</v>
      </c>
    </row>
    <row r="208" spans="1:18">
      <c r="A208" s="113" t="s">
        <v>401</v>
      </c>
      <c r="B208" s="113" t="s">
        <v>315</v>
      </c>
      <c r="D208" s="113"/>
      <c r="E208" s="113"/>
      <c r="F208" s="113"/>
      <c r="G208" s="113"/>
      <c r="P208">
        <v>196</v>
      </c>
      <c r="Q208" t="s">
        <v>2410</v>
      </c>
      <c r="R208" t="s">
        <v>2641</v>
      </c>
    </row>
    <row r="209" spans="1:18">
      <c r="A209" s="113" t="s">
        <v>402</v>
      </c>
      <c r="B209" s="113" t="s">
        <v>315</v>
      </c>
      <c r="D209" s="113"/>
      <c r="E209" s="113"/>
      <c r="F209" s="113"/>
      <c r="G209" s="113"/>
      <c r="P209">
        <v>197</v>
      </c>
      <c r="Q209" t="s">
        <v>2410</v>
      </c>
      <c r="R209" t="s">
        <v>2641</v>
      </c>
    </row>
    <row r="210" spans="1:18">
      <c r="A210" s="113" t="s">
        <v>403</v>
      </c>
      <c r="B210" s="113" t="s">
        <v>315</v>
      </c>
      <c r="D210" s="113"/>
      <c r="E210" s="113"/>
      <c r="F210" s="113"/>
      <c r="G210" s="113"/>
      <c r="P210">
        <v>198</v>
      </c>
      <c r="Q210" t="s">
        <v>2410</v>
      </c>
      <c r="R210" t="s">
        <v>2641</v>
      </c>
    </row>
    <row r="211" spans="1:18">
      <c r="A211" s="113" t="s">
        <v>404</v>
      </c>
      <c r="B211" s="113" t="s">
        <v>315</v>
      </c>
      <c r="D211" s="113"/>
      <c r="E211" s="113"/>
      <c r="F211" s="113"/>
      <c r="G211" s="113"/>
      <c r="P211">
        <v>199</v>
      </c>
      <c r="Q211" t="s">
        <v>2410</v>
      </c>
      <c r="R211" t="s">
        <v>2641</v>
      </c>
    </row>
    <row r="212" spans="1:18">
      <c r="A212" s="113" t="s">
        <v>405</v>
      </c>
      <c r="B212" s="113" t="s">
        <v>315</v>
      </c>
      <c r="D212" s="113"/>
      <c r="E212" s="113"/>
      <c r="F212" s="113"/>
      <c r="G212" s="113"/>
      <c r="P212">
        <v>200</v>
      </c>
      <c r="Q212" t="s">
        <v>2410</v>
      </c>
      <c r="R212" t="s">
        <v>2641</v>
      </c>
    </row>
    <row r="213" spans="1:18">
      <c r="A213" s="113" t="s">
        <v>406</v>
      </c>
      <c r="B213" s="113" t="s">
        <v>193</v>
      </c>
      <c r="D213" s="113"/>
      <c r="E213" s="113"/>
      <c r="F213" s="113"/>
      <c r="G213" s="113"/>
      <c r="P213">
        <v>201</v>
      </c>
      <c r="Q213" t="s">
        <v>2410</v>
      </c>
      <c r="R213" t="s">
        <v>2641</v>
      </c>
    </row>
    <row r="214" spans="1:18">
      <c r="A214" s="113" t="s">
        <v>407</v>
      </c>
      <c r="B214" s="113" t="s">
        <v>315</v>
      </c>
      <c r="D214" s="113"/>
      <c r="E214" s="113"/>
      <c r="F214" s="113"/>
      <c r="G214" s="113"/>
      <c r="P214">
        <v>202</v>
      </c>
      <c r="Q214" t="s">
        <v>2410</v>
      </c>
      <c r="R214" t="s">
        <v>2641</v>
      </c>
    </row>
    <row r="215" spans="1:18">
      <c r="A215" s="113" t="s">
        <v>408</v>
      </c>
      <c r="B215" s="113" t="s">
        <v>315</v>
      </c>
      <c r="D215" s="113"/>
      <c r="E215" s="113"/>
      <c r="F215" s="113"/>
      <c r="G215" s="113"/>
      <c r="P215">
        <v>203</v>
      </c>
      <c r="Q215" t="s">
        <v>2410</v>
      </c>
      <c r="R215" t="s">
        <v>2641</v>
      </c>
    </row>
    <row r="216" spans="1:18">
      <c r="A216" s="113" t="s">
        <v>409</v>
      </c>
      <c r="B216" s="113" t="s">
        <v>315</v>
      </c>
      <c r="D216" s="113"/>
      <c r="E216" s="113"/>
      <c r="F216" s="113"/>
      <c r="G216" s="113"/>
      <c r="P216">
        <v>204</v>
      </c>
      <c r="Q216" t="s">
        <v>2410</v>
      </c>
      <c r="R216" t="s">
        <v>2641</v>
      </c>
    </row>
    <row r="217" spans="1:18">
      <c r="A217" s="113" t="s">
        <v>410</v>
      </c>
      <c r="B217" s="113" t="s">
        <v>315</v>
      </c>
      <c r="D217" s="113"/>
      <c r="E217" s="113"/>
      <c r="F217" s="113"/>
      <c r="G217" s="113"/>
      <c r="P217">
        <v>205</v>
      </c>
      <c r="Q217" t="s">
        <v>2410</v>
      </c>
      <c r="R217" t="s">
        <v>2641</v>
      </c>
    </row>
    <row r="218" spans="1:18">
      <c r="A218" s="113" t="s">
        <v>411</v>
      </c>
      <c r="B218" s="113" t="s">
        <v>315</v>
      </c>
      <c r="D218" s="113"/>
      <c r="E218" s="113"/>
      <c r="F218" s="113"/>
      <c r="G218" s="113"/>
      <c r="P218">
        <v>206</v>
      </c>
      <c r="Q218" t="s">
        <v>2410</v>
      </c>
      <c r="R218" t="s">
        <v>2641</v>
      </c>
    </row>
    <row r="219" spans="1:18">
      <c r="A219" s="113" t="s">
        <v>412</v>
      </c>
      <c r="B219" s="113" t="s">
        <v>315</v>
      </c>
      <c r="D219" s="113"/>
      <c r="E219" s="113"/>
      <c r="F219" s="113"/>
      <c r="G219" s="113"/>
      <c r="P219">
        <v>207</v>
      </c>
      <c r="Q219" t="s">
        <v>2410</v>
      </c>
      <c r="R219" t="s">
        <v>2641</v>
      </c>
    </row>
    <row r="220" spans="1:18">
      <c r="A220" s="113" t="s">
        <v>413</v>
      </c>
      <c r="B220" s="113" t="s">
        <v>315</v>
      </c>
      <c r="D220" s="113"/>
      <c r="E220" s="113"/>
      <c r="F220" s="113"/>
      <c r="G220" s="113"/>
      <c r="P220">
        <v>208</v>
      </c>
      <c r="Q220" t="s">
        <v>2410</v>
      </c>
      <c r="R220" t="s">
        <v>2641</v>
      </c>
    </row>
    <row r="221" spans="1:18">
      <c r="A221" s="113" t="s">
        <v>414</v>
      </c>
      <c r="B221" s="113" t="s">
        <v>315</v>
      </c>
      <c r="D221" s="113"/>
      <c r="E221" s="113"/>
      <c r="F221" s="113"/>
      <c r="G221" s="113"/>
      <c r="P221">
        <v>209</v>
      </c>
      <c r="Q221" t="s">
        <v>2410</v>
      </c>
      <c r="R221" t="s">
        <v>2641</v>
      </c>
    </row>
    <row r="222" spans="1:18">
      <c r="A222" s="113" t="s">
        <v>415</v>
      </c>
      <c r="B222" s="113" t="s">
        <v>315</v>
      </c>
      <c r="D222" s="113"/>
      <c r="E222" s="113"/>
      <c r="F222" s="113"/>
      <c r="G222" s="113"/>
      <c r="P222">
        <v>210</v>
      </c>
      <c r="Q222" t="s">
        <v>2410</v>
      </c>
      <c r="R222" t="s">
        <v>2641</v>
      </c>
    </row>
    <row r="223" spans="1:18">
      <c r="A223" s="113" t="s">
        <v>416</v>
      </c>
      <c r="B223" s="113" t="s">
        <v>315</v>
      </c>
      <c r="D223" s="113"/>
      <c r="E223" s="113"/>
      <c r="F223" s="113"/>
      <c r="G223" s="113"/>
      <c r="P223">
        <v>211</v>
      </c>
      <c r="Q223" t="s">
        <v>2410</v>
      </c>
      <c r="R223" t="s">
        <v>2641</v>
      </c>
    </row>
    <row r="224" spans="1:18">
      <c r="A224" s="113" t="s">
        <v>417</v>
      </c>
      <c r="B224" s="113" t="s">
        <v>315</v>
      </c>
      <c r="D224" s="113"/>
      <c r="E224" s="113"/>
      <c r="F224" s="113"/>
      <c r="G224" s="113"/>
      <c r="P224">
        <v>212</v>
      </c>
      <c r="Q224" t="s">
        <v>2410</v>
      </c>
      <c r="R224" t="s">
        <v>2641</v>
      </c>
    </row>
    <row r="225" spans="1:18">
      <c r="A225" s="113" t="s">
        <v>418</v>
      </c>
      <c r="B225" s="113" t="s">
        <v>315</v>
      </c>
      <c r="D225" s="113"/>
      <c r="E225" s="113"/>
      <c r="F225" s="113"/>
      <c r="G225" s="113"/>
      <c r="P225">
        <v>213</v>
      </c>
      <c r="Q225" t="s">
        <v>2410</v>
      </c>
      <c r="R225" t="s">
        <v>2641</v>
      </c>
    </row>
    <row r="226" spans="1:18">
      <c r="A226" s="113" t="s">
        <v>419</v>
      </c>
      <c r="B226" s="113" t="s">
        <v>315</v>
      </c>
      <c r="D226" s="113"/>
      <c r="E226" s="113"/>
      <c r="F226" s="113"/>
      <c r="G226" s="113"/>
      <c r="P226">
        <v>214</v>
      </c>
      <c r="Q226" t="s">
        <v>2410</v>
      </c>
      <c r="R226" t="s">
        <v>2641</v>
      </c>
    </row>
    <row r="227" spans="1:18">
      <c r="A227" s="113" t="s">
        <v>420</v>
      </c>
      <c r="B227" s="113" t="s">
        <v>315</v>
      </c>
      <c r="D227" s="113"/>
      <c r="E227" s="113"/>
      <c r="F227" s="113"/>
      <c r="G227" s="113"/>
      <c r="P227">
        <v>215</v>
      </c>
      <c r="Q227" t="s">
        <v>2410</v>
      </c>
      <c r="R227" t="s">
        <v>2641</v>
      </c>
    </row>
    <row r="228" spans="1:18">
      <c r="A228" s="113" t="s">
        <v>421</v>
      </c>
      <c r="B228" s="113" t="s">
        <v>315</v>
      </c>
      <c r="D228" s="113"/>
      <c r="E228" s="113"/>
      <c r="F228" s="113"/>
      <c r="G228" s="113"/>
      <c r="P228">
        <v>216</v>
      </c>
      <c r="Q228" t="s">
        <v>2410</v>
      </c>
      <c r="R228" t="s">
        <v>2641</v>
      </c>
    </row>
    <row r="229" spans="1:18">
      <c r="A229" s="113" t="s">
        <v>422</v>
      </c>
      <c r="B229" s="113" t="s">
        <v>315</v>
      </c>
      <c r="D229" s="113"/>
      <c r="E229" s="113"/>
      <c r="F229" s="113"/>
      <c r="G229" s="113"/>
      <c r="P229">
        <v>217</v>
      </c>
      <c r="Q229" t="s">
        <v>2410</v>
      </c>
      <c r="R229" t="s">
        <v>2641</v>
      </c>
    </row>
    <row r="230" spans="1:18">
      <c r="A230" s="113" t="s">
        <v>423</v>
      </c>
      <c r="B230" s="113" t="s">
        <v>315</v>
      </c>
      <c r="D230" s="113"/>
      <c r="E230" s="113"/>
      <c r="F230" s="113"/>
      <c r="G230" s="113"/>
      <c r="P230">
        <v>218</v>
      </c>
      <c r="Q230" t="s">
        <v>2410</v>
      </c>
      <c r="R230" t="s">
        <v>2641</v>
      </c>
    </row>
    <row r="231" spans="1:18">
      <c r="A231" s="113" t="s">
        <v>424</v>
      </c>
      <c r="B231" s="113" t="s">
        <v>315</v>
      </c>
      <c r="D231" s="113"/>
      <c r="E231" s="113"/>
      <c r="F231" s="113"/>
      <c r="G231" s="113"/>
      <c r="P231">
        <v>219</v>
      </c>
      <c r="Q231" t="s">
        <v>2410</v>
      </c>
      <c r="R231" t="s">
        <v>2641</v>
      </c>
    </row>
    <row r="232" spans="1:18">
      <c r="A232" s="113" t="s">
        <v>425</v>
      </c>
      <c r="B232" s="113" t="s">
        <v>315</v>
      </c>
      <c r="D232" s="113"/>
      <c r="E232" s="113"/>
      <c r="F232" s="113"/>
      <c r="G232" s="113"/>
      <c r="P232">
        <v>220</v>
      </c>
      <c r="Q232" t="s">
        <v>2410</v>
      </c>
      <c r="R232" t="s">
        <v>2641</v>
      </c>
    </row>
    <row r="233" spans="1:18">
      <c r="A233" s="113" t="s">
        <v>426</v>
      </c>
      <c r="B233" s="113" t="s">
        <v>315</v>
      </c>
      <c r="D233" s="113"/>
      <c r="E233" s="113"/>
      <c r="F233" s="113"/>
      <c r="G233" s="113"/>
      <c r="P233">
        <v>221</v>
      </c>
      <c r="Q233" t="s">
        <v>2410</v>
      </c>
      <c r="R233" t="s">
        <v>2641</v>
      </c>
    </row>
    <row r="234" spans="1:18">
      <c r="A234" s="113" t="s">
        <v>427</v>
      </c>
      <c r="B234" s="113" t="s">
        <v>315</v>
      </c>
      <c r="D234" s="113"/>
      <c r="E234" s="113"/>
      <c r="F234" s="113"/>
      <c r="G234" s="113"/>
      <c r="P234">
        <v>222</v>
      </c>
      <c r="Q234" t="s">
        <v>2410</v>
      </c>
      <c r="R234" t="s">
        <v>2641</v>
      </c>
    </row>
    <row r="235" spans="1:18">
      <c r="A235" s="113" t="s">
        <v>428</v>
      </c>
      <c r="B235" s="113" t="s">
        <v>315</v>
      </c>
      <c r="D235" s="113"/>
      <c r="E235" s="113"/>
      <c r="F235" s="113"/>
      <c r="G235" s="113"/>
      <c r="P235">
        <v>223</v>
      </c>
      <c r="Q235" t="s">
        <v>2410</v>
      </c>
      <c r="R235" t="s">
        <v>2641</v>
      </c>
    </row>
    <row r="236" spans="1:18">
      <c r="A236" s="113" t="s">
        <v>429</v>
      </c>
      <c r="B236" s="113" t="s">
        <v>315</v>
      </c>
      <c r="D236" s="113"/>
      <c r="E236" s="113"/>
      <c r="F236" s="113"/>
      <c r="G236" s="113"/>
      <c r="P236">
        <v>224</v>
      </c>
      <c r="Q236" t="s">
        <v>2410</v>
      </c>
      <c r="R236" t="s">
        <v>2641</v>
      </c>
    </row>
    <row r="237" spans="1:18">
      <c r="A237" s="113" t="s">
        <v>430</v>
      </c>
      <c r="B237" s="113" t="s">
        <v>315</v>
      </c>
      <c r="D237" s="113"/>
      <c r="E237" s="113"/>
      <c r="F237" s="113"/>
      <c r="G237" s="113"/>
      <c r="P237">
        <v>225</v>
      </c>
      <c r="Q237" t="s">
        <v>2410</v>
      </c>
      <c r="R237" t="s">
        <v>2641</v>
      </c>
    </row>
    <row r="238" spans="1:18">
      <c r="A238" s="113" t="s">
        <v>431</v>
      </c>
      <c r="B238" s="113" t="s">
        <v>313</v>
      </c>
      <c r="D238" s="113"/>
      <c r="E238" s="113"/>
      <c r="F238" s="113"/>
      <c r="G238" s="113"/>
      <c r="P238">
        <v>226</v>
      </c>
      <c r="Q238" t="s">
        <v>2410</v>
      </c>
      <c r="R238" t="s">
        <v>2641</v>
      </c>
    </row>
    <row r="239" spans="1:18">
      <c r="A239" s="113" t="s">
        <v>432</v>
      </c>
      <c r="B239" s="113" t="s">
        <v>315</v>
      </c>
      <c r="D239" s="113"/>
      <c r="E239" s="113"/>
      <c r="F239" s="113"/>
      <c r="G239" s="113"/>
      <c r="P239">
        <v>227</v>
      </c>
      <c r="Q239" t="s">
        <v>2410</v>
      </c>
      <c r="R239" t="s">
        <v>2641</v>
      </c>
    </row>
    <row r="240" spans="1:18">
      <c r="A240" s="113" t="s">
        <v>433</v>
      </c>
      <c r="B240" s="113" t="s">
        <v>193</v>
      </c>
      <c r="D240" s="113"/>
      <c r="E240" s="113"/>
      <c r="F240" s="113"/>
      <c r="G240" s="113"/>
      <c r="P240">
        <v>228</v>
      </c>
      <c r="Q240" t="s">
        <v>2410</v>
      </c>
      <c r="R240" t="s">
        <v>2641</v>
      </c>
    </row>
    <row r="241" spans="1:18">
      <c r="A241" s="113" t="s">
        <v>434</v>
      </c>
      <c r="B241" s="113" t="s">
        <v>315</v>
      </c>
      <c r="D241" s="113"/>
      <c r="E241" s="113"/>
      <c r="F241" s="113"/>
      <c r="G241" s="113"/>
      <c r="P241">
        <v>229</v>
      </c>
      <c r="Q241" t="s">
        <v>2410</v>
      </c>
      <c r="R241" t="s">
        <v>2641</v>
      </c>
    </row>
    <row r="242" spans="1:18">
      <c r="A242" s="113" t="s">
        <v>435</v>
      </c>
      <c r="B242" s="113" t="s">
        <v>315</v>
      </c>
      <c r="D242" s="113"/>
      <c r="E242" s="113"/>
      <c r="F242" s="113"/>
      <c r="G242" s="113"/>
      <c r="P242">
        <v>230</v>
      </c>
      <c r="Q242" t="s">
        <v>2410</v>
      </c>
      <c r="R242" t="s">
        <v>2641</v>
      </c>
    </row>
    <row r="243" spans="1:18">
      <c r="A243" s="113" t="s">
        <v>436</v>
      </c>
      <c r="B243" s="113" t="s">
        <v>313</v>
      </c>
      <c r="D243" s="113"/>
      <c r="E243" s="113"/>
      <c r="F243" s="113"/>
      <c r="G243" s="113"/>
      <c r="P243">
        <v>231</v>
      </c>
      <c r="Q243" t="s">
        <v>2410</v>
      </c>
      <c r="R243" t="s">
        <v>2641</v>
      </c>
    </row>
    <row r="244" spans="1:18">
      <c r="A244" s="113" t="s">
        <v>437</v>
      </c>
      <c r="B244" s="113" t="s">
        <v>315</v>
      </c>
      <c r="D244" s="113"/>
      <c r="E244" s="113"/>
      <c r="F244" s="113"/>
      <c r="G244" s="113"/>
      <c r="P244">
        <v>232</v>
      </c>
      <c r="Q244" t="s">
        <v>2410</v>
      </c>
      <c r="R244" t="s">
        <v>2641</v>
      </c>
    </row>
    <row r="245" spans="1:18">
      <c r="A245" s="113" t="s">
        <v>438</v>
      </c>
      <c r="B245" s="113" t="s">
        <v>315</v>
      </c>
      <c r="D245" s="113"/>
      <c r="E245" s="113"/>
      <c r="F245" s="113"/>
      <c r="G245" s="113"/>
      <c r="P245">
        <v>233</v>
      </c>
      <c r="Q245" t="s">
        <v>2410</v>
      </c>
      <c r="R245" t="s">
        <v>2641</v>
      </c>
    </row>
    <row r="246" spans="1:18">
      <c r="A246" s="113" t="s">
        <v>439</v>
      </c>
      <c r="B246" s="113" t="s">
        <v>315</v>
      </c>
      <c r="D246" s="113"/>
      <c r="E246" s="113"/>
      <c r="F246" s="113"/>
      <c r="G246" s="113"/>
      <c r="P246">
        <v>234</v>
      </c>
      <c r="Q246" t="s">
        <v>2410</v>
      </c>
      <c r="R246" t="s">
        <v>2641</v>
      </c>
    </row>
    <row r="247" spans="1:18">
      <c r="A247" s="113" t="s">
        <v>440</v>
      </c>
      <c r="B247" s="113" t="s">
        <v>315</v>
      </c>
      <c r="D247" s="113"/>
      <c r="E247" s="113"/>
      <c r="F247" s="113"/>
      <c r="G247" s="113"/>
      <c r="P247">
        <v>235</v>
      </c>
      <c r="Q247" t="s">
        <v>2410</v>
      </c>
      <c r="R247" t="s">
        <v>2641</v>
      </c>
    </row>
    <row r="248" spans="1:18">
      <c r="A248" s="113" t="s">
        <v>441</v>
      </c>
      <c r="B248" s="113" t="s">
        <v>315</v>
      </c>
      <c r="D248" s="113"/>
      <c r="E248" s="113"/>
      <c r="F248" s="113"/>
      <c r="G248" s="113"/>
      <c r="P248">
        <v>236</v>
      </c>
      <c r="Q248" t="s">
        <v>2410</v>
      </c>
      <c r="R248" t="s">
        <v>2641</v>
      </c>
    </row>
    <row r="249" spans="1:18">
      <c r="A249" s="113" t="s">
        <v>442</v>
      </c>
      <c r="B249" s="113" t="s">
        <v>315</v>
      </c>
      <c r="D249" s="113"/>
      <c r="E249" s="113"/>
      <c r="F249" s="113"/>
      <c r="G249" s="113"/>
      <c r="P249">
        <v>237</v>
      </c>
      <c r="Q249" t="s">
        <v>2410</v>
      </c>
      <c r="R249" t="s">
        <v>2641</v>
      </c>
    </row>
    <row r="250" spans="1:18">
      <c r="A250" s="113" t="s">
        <v>443</v>
      </c>
      <c r="B250" s="113" t="s">
        <v>193</v>
      </c>
      <c r="D250" s="113"/>
      <c r="E250" s="113"/>
      <c r="F250" s="113"/>
      <c r="G250" s="113"/>
      <c r="P250">
        <v>238</v>
      </c>
      <c r="Q250" t="s">
        <v>2410</v>
      </c>
      <c r="R250" t="s">
        <v>2641</v>
      </c>
    </row>
    <row r="251" spans="1:18">
      <c r="A251" s="113" t="s">
        <v>444</v>
      </c>
      <c r="B251" s="113" t="s">
        <v>315</v>
      </c>
      <c r="D251" s="113"/>
      <c r="E251" s="113"/>
      <c r="F251" s="113"/>
      <c r="G251" s="113"/>
      <c r="P251">
        <v>239</v>
      </c>
      <c r="Q251" t="s">
        <v>2410</v>
      </c>
      <c r="R251" t="s">
        <v>2641</v>
      </c>
    </row>
    <row r="252" spans="1:18">
      <c r="A252" s="113" t="s">
        <v>445</v>
      </c>
      <c r="B252" s="113" t="s">
        <v>315</v>
      </c>
      <c r="D252" s="113"/>
      <c r="E252" s="113"/>
      <c r="F252" s="113"/>
      <c r="G252" s="113"/>
      <c r="P252">
        <v>240</v>
      </c>
      <c r="Q252" t="s">
        <v>2410</v>
      </c>
      <c r="R252" t="s">
        <v>2641</v>
      </c>
    </row>
    <row r="253" spans="1:18">
      <c r="A253" s="113" t="s">
        <v>446</v>
      </c>
      <c r="B253" s="113" t="s">
        <v>315</v>
      </c>
      <c r="D253" s="113"/>
      <c r="E253" s="113"/>
      <c r="F253" s="113"/>
      <c r="G253" s="113"/>
      <c r="P253">
        <v>241</v>
      </c>
      <c r="Q253" t="s">
        <v>2410</v>
      </c>
      <c r="R253" t="s">
        <v>2641</v>
      </c>
    </row>
    <row r="254" spans="1:18">
      <c r="A254" s="113" t="s">
        <v>447</v>
      </c>
      <c r="B254" s="113" t="s">
        <v>315</v>
      </c>
      <c r="D254" s="113"/>
      <c r="E254" s="113"/>
      <c r="F254" s="113"/>
      <c r="G254" s="113"/>
      <c r="P254">
        <v>242</v>
      </c>
      <c r="Q254" t="s">
        <v>2410</v>
      </c>
      <c r="R254" t="s">
        <v>2641</v>
      </c>
    </row>
    <row r="255" spans="1:18">
      <c r="A255" s="113" t="s">
        <v>448</v>
      </c>
      <c r="B255" s="113" t="s">
        <v>449</v>
      </c>
      <c r="D255" s="113"/>
      <c r="E255" s="113"/>
      <c r="F255" s="113"/>
      <c r="G255" s="113"/>
      <c r="P255">
        <v>243</v>
      </c>
      <c r="Q255" t="s">
        <v>2410</v>
      </c>
      <c r="R255" t="s">
        <v>2641</v>
      </c>
    </row>
    <row r="256" spans="1:18">
      <c r="A256" s="113" t="s">
        <v>450</v>
      </c>
      <c r="B256" s="113" t="s">
        <v>449</v>
      </c>
      <c r="D256" s="113"/>
      <c r="E256" s="113"/>
      <c r="F256" s="113"/>
      <c r="G256" s="113"/>
      <c r="P256">
        <v>244</v>
      </c>
      <c r="Q256" t="s">
        <v>2410</v>
      </c>
      <c r="R256" t="s">
        <v>2641</v>
      </c>
    </row>
    <row r="257" spans="1:18">
      <c r="A257" s="113" t="s">
        <v>451</v>
      </c>
      <c r="B257" s="113" t="s">
        <v>315</v>
      </c>
      <c r="D257" s="113"/>
      <c r="E257" s="113"/>
      <c r="F257" s="113"/>
      <c r="G257" s="113"/>
      <c r="P257">
        <v>245</v>
      </c>
      <c r="Q257" t="s">
        <v>2410</v>
      </c>
      <c r="R257" t="s">
        <v>2641</v>
      </c>
    </row>
    <row r="258" spans="1:18">
      <c r="A258" s="113" t="s">
        <v>452</v>
      </c>
      <c r="B258" s="113" t="s">
        <v>315</v>
      </c>
      <c r="D258" s="113"/>
      <c r="E258" s="113"/>
      <c r="F258" s="113"/>
      <c r="G258" s="113"/>
      <c r="P258">
        <v>246</v>
      </c>
      <c r="Q258" t="s">
        <v>2410</v>
      </c>
      <c r="R258" t="s">
        <v>2641</v>
      </c>
    </row>
    <row r="259" spans="1:18">
      <c r="A259" s="113" t="s">
        <v>453</v>
      </c>
      <c r="B259" s="113" t="s">
        <v>315</v>
      </c>
      <c r="D259" s="113"/>
      <c r="E259" s="113"/>
      <c r="F259" s="113"/>
      <c r="G259" s="113"/>
      <c r="P259">
        <v>247</v>
      </c>
      <c r="Q259" t="s">
        <v>2410</v>
      </c>
      <c r="R259" t="s">
        <v>2641</v>
      </c>
    </row>
    <row r="260" spans="1:18">
      <c r="A260" s="113" t="s">
        <v>454</v>
      </c>
      <c r="B260" s="113" t="s">
        <v>449</v>
      </c>
      <c r="D260" s="113"/>
      <c r="E260" s="113"/>
      <c r="F260" s="113"/>
      <c r="G260" s="113"/>
      <c r="P260">
        <v>248</v>
      </c>
      <c r="Q260" t="s">
        <v>2410</v>
      </c>
      <c r="R260" t="s">
        <v>2641</v>
      </c>
    </row>
    <row r="261" spans="1:18">
      <c r="A261" s="113" t="s">
        <v>455</v>
      </c>
      <c r="B261" s="113" t="s">
        <v>449</v>
      </c>
      <c r="D261" s="113"/>
      <c r="E261" s="113"/>
      <c r="F261" s="113"/>
      <c r="G261" s="113"/>
      <c r="P261">
        <v>249</v>
      </c>
      <c r="Q261" t="s">
        <v>2410</v>
      </c>
      <c r="R261" t="s">
        <v>2641</v>
      </c>
    </row>
    <row r="262" spans="1:18">
      <c r="A262" s="113" t="s">
        <v>456</v>
      </c>
      <c r="B262" s="113" t="s">
        <v>449</v>
      </c>
      <c r="D262" s="113"/>
      <c r="E262" s="113"/>
      <c r="F262" s="113"/>
      <c r="G262" s="113"/>
      <c r="P262">
        <v>250</v>
      </c>
      <c r="Q262" t="s">
        <v>2410</v>
      </c>
      <c r="R262" t="s">
        <v>2641</v>
      </c>
    </row>
    <row r="263" spans="1:18">
      <c r="A263" s="113" t="s">
        <v>457</v>
      </c>
      <c r="B263" s="113" t="s">
        <v>449</v>
      </c>
      <c r="D263" s="113"/>
      <c r="E263" s="113"/>
      <c r="F263" s="113"/>
      <c r="G263" s="113"/>
      <c r="P263">
        <v>251</v>
      </c>
      <c r="Q263" t="s">
        <v>2410</v>
      </c>
      <c r="R263" t="s">
        <v>2641</v>
      </c>
    </row>
    <row r="264" spans="1:18">
      <c r="A264" s="113" t="s">
        <v>458</v>
      </c>
      <c r="B264" s="113" t="s">
        <v>449</v>
      </c>
      <c r="D264" s="113"/>
      <c r="E264" s="113"/>
      <c r="F264" s="113"/>
      <c r="G264" s="113"/>
      <c r="P264">
        <v>252</v>
      </c>
      <c r="Q264" t="s">
        <v>2410</v>
      </c>
      <c r="R264" t="s">
        <v>2641</v>
      </c>
    </row>
    <row r="265" spans="1:18">
      <c r="A265" s="113" t="s">
        <v>459</v>
      </c>
      <c r="B265" s="113" t="s">
        <v>315</v>
      </c>
      <c r="D265" s="113"/>
      <c r="E265" s="113"/>
      <c r="F265" s="113"/>
      <c r="G265" s="113"/>
      <c r="P265">
        <v>253</v>
      </c>
      <c r="Q265" t="s">
        <v>2410</v>
      </c>
      <c r="R265" t="s">
        <v>2641</v>
      </c>
    </row>
    <row r="266" spans="1:18">
      <c r="A266" s="113" t="s">
        <v>460</v>
      </c>
      <c r="B266" s="113" t="s">
        <v>449</v>
      </c>
      <c r="D266" s="113"/>
      <c r="E266" s="113"/>
      <c r="F266" s="113"/>
      <c r="G266" s="113"/>
      <c r="P266">
        <v>254</v>
      </c>
      <c r="Q266" t="s">
        <v>2410</v>
      </c>
      <c r="R266" t="s">
        <v>2641</v>
      </c>
    </row>
    <row r="267" spans="1:18">
      <c r="A267" s="113" t="s">
        <v>461</v>
      </c>
      <c r="B267" s="113" t="s">
        <v>315</v>
      </c>
      <c r="D267" s="113"/>
      <c r="E267" s="113"/>
      <c r="F267" s="113"/>
      <c r="G267" s="113"/>
      <c r="P267">
        <v>255</v>
      </c>
      <c r="Q267" t="s">
        <v>2410</v>
      </c>
      <c r="R267" t="s">
        <v>2641</v>
      </c>
    </row>
    <row r="268" spans="1:18">
      <c r="A268" s="113" t="s">
        <v>462</v>
      </c>
      <c r="B268" s="113" t="s">
        <v>315</v>
      </c>
      <c r="D268" s="113"/>
      <c r="E268" s="113"/>
      <c r="F268" s="113"/>
      <c r="G268" s="113"/>
      <c r="P268">
        <v>256</v>
      </c>
      <c r="Q268" t="s">
        <v>2410</v>
      </c>
      <c r="R268" t="s">
        <v>2641</v>
      </c>
    </row>
    <row r="269" spans="1:18">
      <c r="A269" s="113" t="s">
        <v>463</v>
      </c>
      <c r="B269" s="113" t="s">
        <v>315</v>
      </c>
      <c r="D269" s="113"/>
      <c r="E269" s="113"/>
      <c r="F269" s="113"/>
      <c r="G269" s="113"/>
      <c r="P269">
        <v>257</v>
      </c>
      <c r="Q269" t="s">
        <v>2410</v>
      </c>
      <c r="R269" t="s">
        <v>2641</v>
      </c>
    </row>
    <row r="270" spans="1:18">
      <c r="A270" s="113" t="s">
        <v>464</v>
      </c>
      <c r="B270" s="113" t="s">
        <v>315</v>
      </c>
      <c r="D270" s="113"/>
      <c r="E270" s="113"/>
      <c r="F270" s="113"/>
      <c r="G270" s="113"/>
      <c r="P270">
        <v>258</v>
      </c>
      <c r="Q270" t="s">
        <v>2410</v>
      </c>
      <c r="R270" t="s">
        <v>2641</v>
      </c>
    </row>
    <row r="271" spans="1:18">
      <c r="A271" s="113" t="s">
        <v>465</v>
      </c>
      <c r="B271" s="113" t="s">
        <v>449</v>
      </c>
      <c r="D271" s="113"/>
      <c r="E271" s="113"/>
      <c r="F271" s="113"/>
      <c r="G271" s="113"/>
      <c r="P271">
        <v>259</v>
      </c>
      <c r="Q271" t="s">
        <v>2410</v>
      </c>
      <c r="R271" t="s">
        <v>2641</v>
      </c>
    </row>
    <row r="272" spans="1:18">
      <c r="A272" s="113" t="s">
        <v>466</v>
      </c>
      <c r="B272" s="113" t="s">
        <v>315</v>
      </c>
      <c r="D272" s="113"/>
      <c r="E272" s="113"/>
      <c r="F272" s="113"/>
      <c r="G272" s="113"/>
      <c r="P272">
        <v>260</v>
      </c>
      <c r="Q272" t="s">
        <v>2410</v>
      </c>
      <c r="R272" t="s">
        <v>2641</v>
      </c>
    </row>
    <row r="273" spans="1:18">
      <c r="A273" s="113" t="s">
        <v>467</v>
      </c>
      <c r="B273" s="113" t="s">
        <v>315</v>
      </c>
      <c r="D273" s="113"/>
      <c r="E273" s="113"/>
      <c r="F273" s="113"/>
      <c r="G273" s="113"/>
      <c r="P273">
        <v>261</v>
      </c>
      <c r="Q273" t="s">
        <v>2410</v>
      </c>
      <c r="R273" t="s">
        <v>2641</v>
      </c>
    </row>
    <row r="274" spans="1:18">
      <c r="A274" s="113" t="s">
        <v>468</v>
      </c>
      <c r="B274" s="113" t="s">
        <v>315</v>
      </c>
      <c r="D274" s="113"/>
      <c r="E274" s="113"/>
      <c r="F274" s="113"/>
      <c r="G274" s="113"/>
      <c r="P274">
        <v>262</v>
      </c>
      <c r="Q274" t="s">
        <v>2410</v>
      </c>
      <c r="R274" t="s">
        <v>2641</v>
      </c>
    </row>
    <row r="275" spans="1:18">
      <c r="A275" s="113" t="s">
        <v>469</v>
      </c>
      <c r="B275" s="113" t="s">
        <v>315</v>
      </c>
      <c r="D275" s="113"/>
      <c r="E275" s="113"/>
      <c r="F275" s="113"/>
      <c r="G275" s="113"/>
      <c r="P275">
        <v>263</v>
      </c>
      <c r="Q275" t="s">
        <v>2410</v>
      </c>
      <c r="R275" t="s">
        <v>2641</v>
      </c>
    </row>
    <row r="276" spans="1:18">
      <c r="A276" s="113" t="s">
        <v>470</v>
      </c>
      <c r="B276" s="113" t="s">
        <v>449</v>
      </c>
      <c r="D276" s="113"/>
      <c r="E276" s="113"/>
      <c r="F276" s="113"/>
      <c r="G276" s="113"/>
      <c r="P276">
        <v>264</v>
      </c>
      <c r="Q276" t="s">
        <v>2410</v>
      </c>
      <c r="R276" t="s">
        <v>2641</v>
      </c>
    </row>
    <row r="277" spans="1:18">
      <c r="A277" s="113" t="s">
        <v>471</v>
      </c>
      <c r="B277" s="113" t="s">
        <v>315</v>
      </c>
      <c r="D277" s="113"/>
      <c r="E277" s="113"/>
      <c r="F277" s="113"/>
      <c r="G277" s="113"/>
      <c r="P277">
        <v>265</v>
      </c>
      <c r="Q277" t="s">
        <v>2410</v>
      </c>
      <c r="R277" t="s">
        <v>2641</v>
      </c>
    </row>
    <row r="278" spans="1:18">
      <c r="A278" s="113" t="s">
        <v>472</v>
      </c>
      <c r="B278" s="113" t="s">
        <v>315</v>
      </c>
      <c r="D278" s="113"/>
      <c r="E278" s="113"/>
      <c r="F278" s="113"/>
      <c r="G278" s="113"/>
      <c r="P278">
        <v>266</v>
      </c>
      <c r="Q278" t="s">
        <v>2410</v>
      </c>
      <c r="R278" t="s">
        <v>2641</v>
      </c>
    </row>
    <row r="279" spans="1:18">
      <c r="A279" s="113" t="s">
        <v>473</v>
      </c>
      <c r="B279" s="113" t="s">
        <v>315</v>
      </c>
      <c r="D279" s="113"/>
      <c r="E279" s="113"/>
      <c r="F279" s="113"/>
      <c r="G279" s="113"/>
      <c r="P279">
        <v>267</v>
      </c>
      <c r="Q279" t="s">
        <v>2410</v>
      </c>
      <c r="R279" t="s">
        <v>2641</v>
      </c>
    </row>
    <row r="280" spans="1:18">
      <c r="A280" s="113" t="s">
        <v>474</v>
      </c>
      <c r="B280" s="113" t="s">
        <v>449</v>
      </c>
      <c r="D280" s="113"/>
      <c r="E280" s="113"/>
      <c r="F280" s="113"/>
      <c r="G280" s="113"/>
      <c r="P280">
        <v>268</v>
      </c>
      <c r="Q280" t="s">
        <v>2410</v>
      </c>
      <c r="R280" t="s">
        <v>2641</v>
      </c>
    </row>
    <row r="281" spans="1:18">
      <c r="A281" s="113" t="s">
        <v>475</v>
      </c>
      <c r="B281" s="113" t="s">
        <v>315</v>
      </c>
      <c r="D281" s="113"/>
      <c r="E281" s="113"/>
      <c r="F281" s="113"/>
      <c r="G281" s="113"/>
      <c r="P281">
        <v>269</v>
      </c>
      <c r="Q281" t="s">
        <v>2410</v>
      </c>
      <c r="R281" t="s">
        <v>2641</v>
      </c>
    </row>
    <row r="282" spans="1:18">
      <c r="A282" s="113" t="s">
        <v>476</v>
      </c>
      <c r="B282" s="113" t="s">
        <v>315</v>
      </c>
      <c r="D282" s="113"/>
      <c r="E282" s="113"/>
      <c r="F282" s="113"/>
      <c r="G282" s="113"/>
      <c r="P282">
        <v>270</v>
      </c>
      <c r="Q282" t="s">
        <v>2410</v>
      </c>
      <c r="R282" t="s">
        <v>2641</v>
      </c>
    </row>
    <row r="283" spans="1:18">
      <c r="A283" s="113" t="s">
        <v>477</v>
      </c>
      <c r="B283" s="113" t="s">
        <v>315</v>
      </c>
      <c r="D283" s="113"/>
      <c r="E283" s="113"/>
      <c r="F283" s="113"/>
      <c r="G283" s="113"/>
      <c r="P283">
        <v>271</v>
      </c>
      <c r="Q283" t="s">
        <v>2410</v>
      </c>
      <c r="R283" t="s">
        <v>2641</v>
      </c>
    </row>
    <row r="284" spans="1:18">
      <c r="A284" s="113" t="s">
        <v>478</v>
      </c>
      <c r="B284" s="113" t="s">
        <v>449</v>
      </c>
      <c r="D284" s="113"/>
      <c r="E284" s="113"/>
      <c r="F284" s="113"/>
      <c r="G284" s="113"/>
      <c r="P284">
        <v>272</v>
      </c>
      <c r="Q284" t="s">
        <v>2410</v>
      </c>
      <c r="R284" t="s">
        <v>2641</v>
      </c>
    </row>
    <row r="285" spans="1:18">
      <c r="A285" s="113" t="s">
        <v>479</v>
      </c>
      <c r="B285" s="113" t="s">
        <v>315</v>
      </c>
      <c r="D285" s="113"/>
      <c r="E285" s="113"/>
      <c r="F285" s="113"/>
      <c r="G285" s="113"/>
      <c r="P285">
        <v>273</v>
      </c>
      <c r="Q285" t="s">
        <v>2410</v>
      </c>
      <c r="R285" t="s">
        <v>2641</v>
      </c>
    </row>
    <row r="286" spans="1:18">
      <c r="A286" s="113" t="s">
        <v>480</v>
      </c>
      <c r="B286" s="113" t="s">
        <v>315</v>
      </c>
      <c r="D286" s="113"/>
      <c r="E286" s="113"/>
      <c r="F286" s="113"/>
      <c r="G286" s="113"/>
      <c r="P286">
        <v>274</v>
      </c>
      <c r="Q286" t="s">
        <v>2410</v>
      </c>
      <c r="R286" t="s">
        <v>2641</v>
      </c>
    </row>
    <row r="287" spans="1:18">
      <c r="A287" s="113" t="s">
        <v>481</v>
      </c>
      <c r="B287" s="113" t="s">
        <v>315</v>
      </c>
      <c r="D287" s="113"/>
      <c r="E287" s="113"/>
      <c r="F287" s="113"/>
      <c r="G287" s="113"/>
      <c r="P287">
        <v>275</v>
      </c>
      <c r="Q287" t="s">
        <v>2410</v>
      </c>
      <c r="R287" t="s">
        <v>2641</v>
      </c>
    </row>
    <row r="288" spans="1:18">
      <c r="A288" s="113" t="s">
        <v>482</v>
      </c>
      <c r="B288" s="113" t="s">
        <v>315</v>
      </c>
      <c r="D288" s="113"/>
      <c r="E288" s="113"/>
      <c r="F288" s="113"/>
      <c r="G288" s="113"/>
      <c r="P288">
        <v>276</v>
      </c>
      <c r="Q288" t="s">
        <v>2410</v>
      </c>
      <c r="R288" t="s">
        <v>2641</v>
      </c>
    </row>
    <row r="289" spans="1:18">
      <c r="A289" s="113" t="s">
        <v>483</v>
      </c>
      <c r="B289" s="113" t="s">
        <v>449</v>
      </c>
      <c r="D289" s="113"/>
      <c r="E289" s="113"/>
      <c r="F289" s="113"/>
      <c r="G289" s="113"/>
      <c r="P289">
        <v>277</v>
      </c>
      <c r="Q289" t="s">
        <v>2410</v>
      </c>
      <c r="R289" t="s">
        <v>2641</v>
      </c>
    </row>
    <row r="290" spans="1:18">
      <c r="A290" s="113" t="s">
        <v>484</v>
      </c>
      <c r="B290" s="113" t="s">
        <v>315</v>
      </c>
      <c r="D290" s="113"/>
      <c r="E290" s="113"/>
      <c r="F290" s="113"/>
      <c r="G290" s="113"/>
      <c r="P290">
        <v>278</v>
      </c>
      <c r="Q290" t="s">
        <v>2410</v>
      </c>
      <c r="R290" t="s">
        <v>2641</v>
      </c>
    </row>
    <row r="291" spans="1:18">
      <c r="A291" s="113" t="s">
        <v>485</v>
      </c>
      <c r="B291" s="113" t="s">
        <v>193</v>
      </c>
      <c r="D291" s="113"/>
      <c r="E291" s="113"/>
      <c r="F291" s="113"/>
      <c r="G291" s="113"/>
      <c r="P291">
        <v>279</v>
      </c>
      <c r="Q291" t="s">
        <v>2410</v>
      </c>
      <c r="R291" t="s">
        <v>2641</v>
      </c>
    </row>
    <row r="292" spans="1:18">
      <c r="A292" s="113" t="s">
        <v>486</v>
      </c>
      <c r="B292" s="113" t="s">
        <v>193</v>
      </c>
      <c r="D292" s="113"/>
      <c r="E292" s="113"/>
      <c r="F292" s="113"/>
      <c r="G292" s="113"/>
      <c r="P292">
        <v>280</v>
      </c>
      <c r="Q292" t="s">
        <v>2410</v>
      </c>
      <c r="R292" t="s">
        <v>2641</v>
      </c>
    </row>
    <row r="293" spans="1:18">
      <c r="A293" s="113" t="s">
        <v>487</v>
      </c>
      <c r="B293" s="113" t="s">
        <v>193</v>
      </c>
      <c r="D293" s="113"/>
      <c r="E293" s="113"/>
      <c r="F293" s="113"/>
      <c r="G293" s="113"/>
      <c r="P293">
        <v>281</v>
      </c>
      <c r="Q293" t="s">
        <v>2410</v>
      </c>
      <c r="R293" t="s">
        <v>2641</v>
      </c>
    </row>
    <row r="294" spans="1:18">
      <c r="A294" s="113" t="s">
        <v>488</v>
      </c>
      <c r="B294" s="113" t="s">
        <v>315</v>
      </c>
      <c r="D294" s="113"/>
      <c r="E294" s="113"/>
      <c r="F294" s="113"/>
      <c r="G294" s="113"/>
      <c r="P294">
        <v>282</v>
      </c>
      <c r="Q294" t="s">
        <v>2410</v>
      </c>
      <c r="R294" t="s">
        <v>2641</v>
      </c>
    </row>
    <row r="295" spans="1:18">
      <c r="A295" s="113" t="s">
        <v>489</v>
      </c>
      <c r="B295" s="113" t="s">
        <v>193</v>
      </c>
      <c r="D295" s="113"/>
      <c r="E295" s="113"/>
      <c r="F295" s="113"/>
      <c r="G295" s="113"/>
      <c r="P295">
        <v>283</v>
      </c>
      <c r="Q295" t="s">
        <v>2410</v>
      </c>
      <c r="R295" t="s">
        <v>2641</v>
      </c>
    </row>
    <row r="296" spans="1:18">
      <c r="A296" s="113" t="s">
        <v>490</v>
      </c>
      <c r="B296" s="113" t="s">
        <v>193</v>
      </c>
      <c r="D296" s="113"/>
      <c r="E296" s="113"/>
      <c r="F296" s="113"/>
      <c r="G296" s="113"/>
      <c r="P296">
        <v>284</v>
      </c>
      <c r="Q296" t="s">
        <v>2410</v>
      </c>
      <c r="R296" t="s">
        <v>2641</v>
      </c>
    </row>
    <row r="297" spans="1:18">
      <c r="A297" s="113" t="s">
        <v>491</v>
      </c>
      <c r="B297" s="113" t="s">
        <v>193</v>
      </c>
      <c r="D297" s="113"/>
      <c r="E297" s="113"/>
      <c r="F297" s="113"/>
      <c r="G297" s="113"/>
      <c r="P297">
        <v>285</v>
      </c>
      <c r="Q297" t="s">
        <v>2410</v>
      </c>
      <c r="R297" t="s">
        <v>2641</v>
      </c>
    </row>
    <row r="298" spans="1:18">
      <c r="A298" s="113" t="s">
        <v>492</v>
      </c>
      <c r="B298" s="113" t="s">
        <v>193</v>
      </c>
      <c r="D298" s="113"/>
      <c r="E298" s="113"/>
      <c r="F298" s="113"/>
      <c r="G298" s="113"/>
      <c r="P298">
        <v>286</v>
      </c>
      <c r="Q298" t="s">
        <v>2410</v>
      </c>
      <c r="R298" t="s">
        <v>2641</v>
      </c>
    </row>
    <row r="299" spans="1:18">
      <c r="A299" s="113" t="s">
        <v>493</v>
      </c>
      <c r="B299" s="113" t="s">
        <v>193</v>
      </c>
      <c r="D299" s="113"/>
      <c r="E299" s="113"/>
      <c r="F299" s="113"/>
      <c r="G299" s="113"/>
      <c r="P299">
        <v>287</v>
      </c>
      <c r="Q299" t="s">
        <v>2410</v>
      </c>
      <c r="R299" t="s">
        <v>2641</v>
      </c>
    </row>
    <row r="300" spans="1:18">
      <c r="A300" s="113" t="s">
        <v>494</v>
      </c>
      <c r="B300" s="113" t="s">
        <v>193</v>
      </c>
      <c r="D300" s="113"/>
      <c r="E300" s="113"/>
      <c r="F300" s="113"/>
      <c r="G300" s="113"/>
      <c r="P300">
        <v>288</v>
      </c>
      <c r="Q300" t="s">
        <v>2410</v>
      </c>
      <c r="R300" t="s">
        <v>2641</v>
      </c>
    </row>
    <row r="301" spans="1:18">
      <c r="A301" s="113" t="s">
        <v>495</v>
      </c>
      <c r="B301" s="113" t="s">
        <v>315</v>
      </c>
      <c r="D301" s="113"/>
      <c r="E301" s="113"/>
      <c r="F301" s="113"/>
      <c r="G301" s="113"/>
      <c r="P301">
        <v>289</v>
      </c>
      <c r="Q301" t="s">
        <v>2410</v>
      </c>
      <c r="R301" t="s">
        <v>2641</v>
      </c>
    </row>
    <row r="302" spans="1:18">
      <c r="A302" s="113" t="s">
        <v>496</v>
      </c>
      <c r="B302" s="113" t="s">
        <v>193</v>
      </c>
      <c r="D302" s="113"/>
      <c r="E302" s="113"/>
      <c r="F302" s="113"/>
      <c r="G302" s="113"/>
      <c r="P302">
        <v>290</v>
      </c>
      <c r="Q302" t="s">
        <v>2410</v>
      </c>
      <c r="R302" t="s">
        <v>2641</v>
      </c>
    </row>
    <row r="303" spans="1:18">
      <c r="A303" s="113" t="s">
        <v>497</v>
      </c>
      <c r="B303" s="113" t="s">
        <v>193</v>
      </c>
      <c r="D303" s="113"/>
      <c r="E303" s="113"/>
      <c r="F303" s="113"/>
      <c r="G303" s="113"/>
      <c r="P303">
        <v>291</v>
      </c>
      <c r="Q303" t="s">
        <v>2410</v>
      </c>
      <c r="R303" t="s">
        <v>2641</v>
      </c>
    </row>
    <row r="304" spans="1:18">
      <c r="A304" s="113" t="s">
        <v>498</v>
      </c>
      <c r="B304" s="113" t="s">
        <v>193</v>
      </c>
      <c r="D304" s="113"/>
      <c r="E304" s="113"/>
      <c r="F304" s="113"/>
      <c r="G304" s="113"/>
      <c r="P304">
        <v>292</v>
      </c>
      <c r="Q304" t="s">
        <v>2410</v>
      </c>
      <c r="R304" t="s">
        <v>2641</v>
      </c>
    </row>
    <row r="305" spans="1:18">
      <c r="A305" s="113" t="s">
        <v>499</v>
      </c>
      <c r="B305" s="113" t="s">
        <v>315</v>
      </c>
      <c r="D305" s="113"/>
      <c r="E305" s="113"/>
      <c r="F305" s="113"/>
      <c r="G305" s="113"/>
      <c r="P305">
        <v>293</v>
      </c>
      <c r="Q305" t="s">
        <v>2410</v>
      </c>
      <c r="R305" t="s">
        <v>2641</v>
      </c>
    </row>
    <row r="306" spans="1:18">
      <c r="A306" s="113" t="s">
        <v>500</v>
      </c>
      <c r="B306" s="113" t="s">
        <v>193</v>
      </c>
      <c r="D306" s="113"/>
      <c r="E306" s="113"/>
      <c r="F306" s="113"/>
      <c r="G306" s="113"/>
      <c r="P306">
        <v>294</v>
      </c>
      <c r="Q306" t="s">
        <v>2410</v>
      </c>
      <c r="R306" t="s">
        <v>2641</v>
      </c>
    </row>
    <row r="307" spans="1:18">
      <c r="A307" s="113" t="s">
        <v>501</v>
      </c>
      <c r="B307" s="113" t="s">
        <v>193</v>
      </c>
      <c r="D307" s="113"/>
      <c r="E307" s="113"/>
      <c r="F307" s="113"/>
      <c r="G307" s="113"/>
      <c r="P307">
        <v>295</v>
      </c>
      <c r="Q307" t="s">
        <v>2410</v>
      </c>
      <c r="R307" t="s">
        <v>2641</v>
      </c>
    </row>
    <row r="308" spans="1:18">
      <c r="A308" s="113" t="s">
        <v>502</v>
      </c>
      <c r="B308" s="113" t="s">
        <v>193</v>
      </c>
      <c r="D308" s="113"/>
      <c r="E308" s="113"/>
      <c r="F308" s="113"/>
      <c r="G308" s="113"/>
      <c r="P308">
        <v>296</v>
      </c>
      <c r="Q308" t="s">
        <v>2410</v>
      </c>
      <c r="R308" t="s">
        <v>2641</v>
      </c>
    </row>
    <row r="309" spans="1:18">
      <c r="A309" s="113" t="s">
        <v>503</v>
      </c>
      <c r="B309" s="113" t="s">
        <v>193</v>
      </c>
      <c r="D309" s="113"/>
      <c r="E309" s="113"/>
      <c r="F309" s="113"/>
      <c r="G309" s="113"/>
      <c r="P309">
        <v>297</v>
      </c>
      <c r="Q309" t="s">
        <v>2410</v>
      </c>
      <c r="R309" t="s">
        <v>2641</v>
      </c>
    </row>
    <row r="310" spans="1:18">
      <c r="A310" s="113" t="s">
        <v>504</v>
      </c>
      <c r="B310" s="113" t="s">
        <v>193</v>
      </c>
      <c r="D310" s="113"/>
      <c r="E310" s="113"/>
      <c r="F310" s="113"/>
      <c r="G310" s="113"/>
      <c r="P310">
        <v>298</v>
      </c>
      <c r="Q310" t="s">
        <v>2410</v>
      </c>
      <c r="R310" t="s">
        <v>2641</v>
      </c>
    </row>
    <row r="311" spans="1:18">
      <c r="A311" s="113" t="s">
        <v>505</v>
      </c>
      <c r="B311" s="113" t="s">
        <v>193</v>
      </c>
      <c r="D311" s="113"/>
      <c r="E311" s="113"/>
      <c r="F311" s="113"/>
      <c r="G311" s="113"/>
      <c r="P311">
        <v>299</v>
      </c>
      <c r="Q311" t="s">
        <v>2410</v>
      </c>
      <c r="R311" t="s">
        <v>2641</v>
      </c>
    </row>
    <row r="312" spans="1:18">
      <c r="A312" s="113" t="s">
        <v>506</v>
      </c>
      <c r="B312" s="113" t="s">
        <v>315</v>
      </c>
      <c r="D312" s="113"/>
      <c r="E312" s="113"/>
      <c r="F312" s="113"/>
      <c r="G312" s="113"/>
      <c r="P312">
        <v>300</v>
      </c>
      <c r="Q312" t="s">
        <v>2410</v>
      </c>
      <c r="R312" t="s">
        <v>2641</v>
      </c>
    </row>
    <row r="313" spans="1:18">
      <c r="A313" s="113" t="s">
        <v>507</v>
      </c>
      <c r="B313" s="113" t="s">
        <v>315</v>
      </c>
      <c r="D313" s="113"/>
      <c r="E313" s="113"/>
      <c r="F313" s="113"/>
      <c r="G313" s="113"/>
      <c r="P313">
        <v>301</v>
      </c>
      <c r="Q313" t="s">
        <v>2410</v>
      </c>
      <c r="R313" t="s">
        <v>2641</v>
      </c>
    </row>
    <row r="314" spans="1:18">
      <c r="A314" s="113" t="s">
        <v>508</v>
      </c>
      <c r="B314" s="113" t="s">
        <v>193</v>
      </c>
      <c r="D314" s="113"/>
      <c r="E314" s="113"/>
      <c r="F314" s="113"/>
      <c r="G314" s="113"/>
      <c r="P314">
        <v>302</v>
      </c>
      <c r="Q314" t="s">
        <v>2410</v>
      </c>
      <c r="R314" t="s">
        <v>2641</v>
      </c>
    </row>
    <row r="315" spans="1:18">
      <c r="A315" s="113" t="s">
        <v>509</v>
      </c>
      <c r="B315" s="113" t="s">
        <v>193</v>
      </c>
      <c r="D315" s="113"/>
      <c r="E315" s="113"/>
      <c r="F315" s="113"/>
      <c r="G315" s="113"/>
      <c r="P315">
        <v>303</v>
      </c>
      <c r="Q315" t="s">
        <v>2410</v>
      </c>
      <c r="R315" t="s">
        <v>2641</v>
      </c>
    </row>
    <row r="316" spans="1:18">
      <c r="A316" s="113" t="s">
        <v>510</v>
      </c>
      <c r="B316" s="113" t="s">
        <v>193</v>
      </c>
      <c r="D316" s="113"/>
      <c r="E316" s="113"/>
      <c r="F316" s="113"/>
      <c r="G316" s="113"/>
      <c r="P316">
        <v>304</v>
      </c>
      <c r="Q316" t="s">
        <v>2410</v>
      </c>
      <c r="R316" t="s">
        <v>2641</v>
      </c>
    </row>
    <row r="317" spans="1:18">
      <c r="A317" s="113" t="s">
        <v>511</v>
      </c>
      <c r="B317" s="113" t="s">
        <v>193</v>
      </c>
      <c r="D317" s="113"/>
      <c r="E317" s="113"/>
      <c r="F317" s="113"/>
      <c r="G317" s="113"/>
      <c r="P317">
        <v>305</v>
      </c>
      <c r="Q317" t="s">
        <v>2410</v>
      </c>
      <c r="R317" t="s">
        <v>2641</v>
      </c>
    </row>
    <row r="318" spans="1:18">
      <c r="A318" s="113" t="s">
        <v>512</v>
      </c>
      <c r="B318" s="113" t="s">
        <v>193</v>
      </c>
      <c r="D318" s="113"/>
      <c r="E318" s="113"/>
      <c r="F318" s="113"/>
      <c r="G318" s="113"/>
      <c r="P318">
        <v>306</v>
      </c>
      <c r="Q318" t="s">
        <v>2410</v>
      </c>
      <c r="R318" t="s">
        <v>2641</v>
      </c>
    </row>
    <row r="319" spans="1:18">
      <c r="A319" s="113" t="s">
        <v>513</v>
      </c>
      <c r="B319" s="113" t="s">
        <v>193</v>
      </c>
      <c r="D319" s="113"/>
      <c r="E319" s="113"/>
      <c r="F319" s="113"/>
      <c r="G319" s="113"/>
      <c r="P319">
        <v>307</v>
      </c>
      <c r="Q319" t="s">
        <v>2410</v>
      </c>
      <c r="R319" t="s">
        <v>2641</v>
      </c>
    </row>
    <row r="320" spans="1:18">
      <c r="A320" s="113" t="s">
        <v>514</v>
      </c>
      <c r="B320" s="113" t="s">
        <v>193</v>
      </c>
      <c r="D320" s="113"/>
      <c r="E320" s="113"/>
      <c r="F320" s="113"/>
      <c r="G320" s="113"/>
      <c r="P320">
        <v>308</v>
      </c>
      <c r="Q320" t="s">
        <v>2410</v>
      </c>
      <c r="R320" t="s">
        <v>2641</v>
      </c>
    </row>
    <row r="321" spans="1:18">
      <c r="A321" s="113" t="s">
        <v>515</v>
      </c>
      <c r="B321" s="113" t="s">
        <v>193</v>
      </c>
      <c r="D321" s="113"/>
      <c r="E321" s="113"/>
      <c r="F321" s="113"/>
      <c r="G321" s="113"/>
      <c r="P321">
        <v>309</v>
      </c>
      <c r="Q321" t="s">
        <v>2410</v>
      </c>
      <c r="R321" t="s">
        <v>2641</v>
      </c>
    </row>
    <row r="322" spans="1:18">
      <c r="A322" s="113" t="s">
        <v>516</v>
      </c>
      <c r="B322" s="113" t="s">
        <v>193</v>
      </c>
      <c r="D322" s="113"/>
      <c r="E322" s="113"/>
      <c r="F322" s="113"/>
      <c r="G322" s="113"/>
      <c r="P322">
        <v>310</v>
      </c>
      <c r="Q322" t="s">
        <v>2410</v>
      </c>
      <c r="R322" t="s">
        <v>2641</v>
      </c>
    </row>
    <row r="323" spans="1:18">
      <c r="A323" s="113" t="s">
        <v>517</v>
      </c>
      <c r="B323" s="113" t="s">
        <v>193</v>
      </c>
      <c r="D323" s="113"/>
      <c r="E323" s="113"/>
      <c r="F323" s="113"/>
      <c r="G323" s="113"/>
      <c r="P323">
        <v>311</v>
      </c>
      <c r="Q323" t="s">
        <v>2410</v>
      </c>
      <c r="R323" t="s">
        <v>2641</v>
      </c>
    </row>
    <row r="324" spans="1:18">
      <c r="A324" s="113" t="s">
        <v>518</v>
      </c>
      <c r="B324" s="113" t="s">
        <v>193</v>
      </c>
      <c r="D324" s="113"/>
      <c r="E324" s="113"/>
      <c r="F324" s="113"/>
      <c r="G324" s="113"/>
      <c r="P324">
        <v>312</v>
      </c>
      <c r="Q324" t="s">
        <v>2410</v>
      </c>
      <c r="R324" t="s">
        <v>2641</v>
      </c>
    </row>
    <row r="325" spans="1:18">
      <c r="A325" s="113" t="s">
        <v>519</v>
      </c>
      <c r="B325" s="113" t="s">
        <v>193</v>
      </c>
      <c r="D325" s="113"/>
      <c r="E325" s="113"/>
      <c r="F325" s="113"/>
      <c r="G325" s="113"/>
      <c r="P325">
        <v>313</v>
      </c>
      <c r="Q325" t="s">
        <v>2410</v>
      </c>
      <c r="R325" t="s">
        <v>2641</v>
      </c>
    </row>
    <row r="326" spans="1:18">
      <c r="A326" s="113" t="s">
        <v>520</v>
      </c>
      <c r="B326" s="113" t="s">
        <v>193</v>
      </c>
      <c r="D326" s="113"/>
      <c r="E326" s="113"/>
      <c r="F326" s="113"/>
      <c r="G326" s="113"/>
      <c r="P326">
        <v>314</v>
      </c>
      <c r="Q326" t="s">
        <v>2410</v>
      </c>
      <c r="R326" t="s">
        <v>2641</v>
      </c>
    </row>
    <row r="327" spans="1:18">
      <c r="A327" s="113" t="s">
        <v>521</v>
      </c>
      <c r="B327" s="113" t="s">
        <v>193</v>
      </c>
      <c r="D327" s="113"/>
      <c r="E327" s="113"/>
      <c r="F327" s="113"/>
      <c r="G327" s="113"/>
      <c r="P327">
        <v>315</v>
      </c>
      <c r="Q327" t="s">
        <v>2410</v>
      </c>
      <c r="R327" t="s">
        <v>2641</v>
      </c>
    </row>
    <row r="328" spans="1:18">
      <c r="A328" s="113" t="s">
        <v>522</v>
      </c>
      <c r="B328" s="113" t="s">
        <v>193</v>
      </c>
      <c r="D328" s="113"/>
      <c r="E328" s="113"/>
      <c r="F328" s="113"/>
      <c r="G328" s="113"/>
      <c r="P328">
        <v>316</v>
      </c>
      <c r="Q328" t="s">
        <v>2410</v>
      </c>
      <c r="R328" t="s">
        <v>2641</v>
      </c>
    </row>
    <row r="329" spans="1:18">
      <c r="A329" s="113" t="s">
        <v>523</v>
      </c>
      <c r="B329" s="113" t="s">
        <v>193</v>
      </c>
      <c r="D329" s="113"/>
      <c r="E329" s="113"/>
      <c r="F329" s="113"/>
      <c r="G329" s="113"/>
      <c r="P329">
        <v>317</v>
      </c>
      <c r="Q329" t="s">
        <v>2410</v>
      </c>
      <c r="R329" t="s">
        <v>2641</v>
      </c>
    </row>
    <row r="330" spans="1:18">
      <c r="A330" s="113" t="s">
        <v>524</v>
      </c>
      <c r="B330" s="113" t="s">
        <v>193</v>
      </c>
      <c r="D330" s="113"/>
      <c r="E330" s="113"/>
      <c r="F330" s="113"/>
      <c r="G330" s="113"/>
      <c r="P330">
        <v>318</v>
      </c>
      <c r="Q330" t="s">
        <v>2410</v>
      </c>
      <c r="R330" t="s">
        <v>2641</v>
      </c>
    </row>
    <row r="331" spans="1:18">
      <c r="A331" s="113" t="s">
        <v>525</v>
      </c>
      <c r="B331" s="113" t="s">
        <v>193</v>
      </c>
      <c r="D331" s="113"/>
      <c r="E331" s="113"/>
      <c r="F331" s="113"/>
      <c r="G331" s="113"/>
      <c r="P331">
        <v>319</v>
      </c>
      <c r="Q331" t="s">
        <v>2410</v>
      </c>
      <c r="R331" t="s">
        <v>2641</v>
      </c>
    </row>
    <row r="332" spans="1:18">
      <c r="A332" s="113" t="s">
        <v>526</v>
      </c>
      <c r="B332" s="113" t="s">
        <v>193</v>
      </c>
      <c r="D332" s="113"/>
      <c r="E332" s="113"/>
      <c r="F332" s="113"/>
      <c r="G332" s="113"/>
      <c r="P332">
        <v>320</v>
      </c>
      <c r="Q332" t="s">
        <v>2410</v>
      </c>
      <c r="R332" t="s">
        <v>2641</v>
      </c>
    </row>
    <row r="333" spans="1:18">
      <c r="A333" s="113" t="s">
        <v>527</v>
      </c>
      <c r="B333" s="113" t="s">
        <v>193</v>
      </c>
      <c r="D333" s="113"/>
      <c r="E333" s="113"/>
      <c r="F333" s="113"/>
      <c r="G333" s="113"/>
      <c r="P333">
        <v>321</v>
      </c>
      <c r="Q333" t="s">
        <v>2410</v>
      </c>
      <c r="R333" t="s">
        <v>2641</v>
      </c>
    </row>
    <row r="334" spans="1:18">
      <c r="A334" s="113" t="s">
        <v>528</v>
      </c>
      <c r="B334" s="113" t="s">
        <v>193</v>
      </c>
      <c r="D334" s="113"/>
      <c r="E334" s="113"/>
      <c r="F334" s="113"/>
      <c r="G334" s="113"/>
      <c r="P334">
        <v>322</v>
      </c>
      <c r="Q334" t="s">
        <v>2410</v>
      </c>
      <c r="R334" t="s">
        <v>2641</v>
      </c>
    </row>
    <row r="335" spans="1:18">
      <c r="A335" s="113" t="s">
        <v>529</v>
      </c>
      <c r="B335" s="113" t="s">
        <v>193</v>
      </c>
      <c r="D335" s="113"/>
      <c r="E335" s="113"/>
      <c r="F335" s="113"/>
      <c r="G335" s="113"/>
      <c r="P335">
        <v>323</v>
      </c>
      <c r="Q335" t="s">
        <v>2410</v>
      </c>
      <c r="R335" t="s">
        <v>2641</v>
      </c>
    </row>
    <row r="336" spans="1:18">
      <c r="A336" s="113" t="s">
        <v>530</v>
      </c>
      <c r="B336" s="113" t="s">
        <v>193</v>
      </c>
      <c r="D336" s="113"/>
      <c r="E336" s="113"/>
      <c r="F336" s="113"/>
      <c r="G336" s="113"/>
      <c r="P336">
        <v>324</v>
      </c>
      <c r="Q336" t="s">
        <v>2410</v>
      </c>
      <c r="R336" t="s">
        <v>2641</v>
      </c>
    </row>
    <row r="337" spans="1:18">
      <c r="A337" s="113" t="s">
        <v>531</v>
      </c>
      <c r="B337" s="113" t="s">
        <v>193</v>
      </c>
      <c r="D337" s="113"/>
      <c r="E337" s="113"/>
      <c r="F337" s="113"/>
      <c r="G337" s="113"/>
      <c r="P337">
        <v>325</v>
      </c>
      <c r="Q337" t="s">
        <v>2410</v>
      </c>
      <c r="R337" t="s">
        <v>2641</v>
      </c>
    </row>
    <row r="338" spans="1:18">
      <c r="A338" s="113" t="s">
        <v>532</v>
      </c>
      <c r="B338" s="113" t="s">
        <v>193</v>
      </c>
      <c r="D338" s="113"/>
      <c r="E338" s="113"/>
      <c r="F338" s="113"/>
      <c r="G338" s="113"/>
      <c r="P338">
        <v>326</v>
      </c>
      <c r="Q338" t="s">
        <v>2410</v>
      </c>
      <c r="R338" t="s">
        <v>2641</v>
      </c>
    </row>
    <row r="339" spans="1:18">
      <c r="A339" s="113" t="s">
        <v>533</v>
      </c>
      <c r="B339" s="113" t="s">
        <v>193</v>
      </c>
      <c r="D339" s="113"/>
      <c r="E339" s="113"/>
      <c r="F339" s="113"/>
      <c r="G339" s="113"/>
      <c r="P339">
        <v>327</v>
      </c>
      <c r="Q339" t="s">
        <v>2410</v>
      </c>
      <c r="R339" t="s">
        <v>2641</v>
      </c>
    </row>
    <row r="340" spans="1:18">
      <c r="A340" s="113" t="s">
        <v>534</v>
      </c>
      <c r="B340" s="113" t="s">
        <v>193</v>
      </c>
      <c r="D340" s="113"/>
      <c r="E340" s="113"/>
      <c r="F340" s="113"/>
      <c r="G340" s="113"/>
      <c r="P340">
        <v>328</v>
      </c>
      <c r="Q340" t="s">
        <v>2410</v>
      </c>
      <c r="R340" t="s">
        <v>2641</v>
      </c>
    </row>
    <row r="341" spans="1:18">
      <c r="A341" s="113" t="s">
        <v>535</v>
      </c>
      <c r="B341" s="113" t="s">
        <v>193</v>
      </c>
      <c r="D341" s="113"/>
      <c r="E341" s="113"/>
      <c r="F341" s="113"/>
      <c r="G341" s="113"/>
      <c r="P341">
        <v>329</v>
      </c>
      <c r="Q341" t="s">
        <v>2410</v>
      </c>
      <c r="R341" t="s">
        <v>2641</v>
      </c>
    </row>
    <row r="342" spans="1:18">
      <c r="A342" s="113" t="s">
        <v>536</v>
      </c>
      <c r="B342" s="113" t="s">
        <v>193</v>
      </c>
      <c r="D342" s="113"/>
      <c r="E342" s="113"/>
      <c r="F342" s="113"/>
      <c r="G342" s="113"/>
      <c r="P342">
        <v>330</v>
      </c>
      <c r="Q342" t="s">
        <v>2410</v>
      </c>
      <c r="R342" t="s">
        <v>2641</v>
      </c>
    </row>
    <row r="343" spans="1:18">
      <c r="A343" s="113" t="s">
        <v>537</v>
      </c>
      <c r="B343" s="113" t="s">
        <v>193</v>
      </c>
      <c r="D343" s="113"/>
      <c r="E343" s="113"/>
      <c r="F343" s="113"/>
      <c r="G343" s="113"/>
      <c r="P343">
        <v>331</v>
      </c>
      <c r="Q343" t="s">
        <v>2410</v>
      </c>
      <c r="R343" t="s">
        <v>2641</v>
      </c>
    </row>
    <row r="344" spans="1:18">
      <c r="A344" s="113" t="s">
        <v>538</v>
      </c>
      <c r="B344" s="113" t="s">
        <v>193</v>
      </c>
      <c r="D344" s="113"/>
      <c r="E344" s="113"/>
      <c r="F344" s="113"/>
      <c r="G344" s="113"/>
      <c r="P344">
        <v>332</v>
      </c>
      <c r="Q344" t="s">
        <v>2410</v>
      </c>
      <c r="R344" t="s">
        <v>2641</v>
      </c>
    </row>
    <row r="345" spans="1:18">
      <c r="A345" s="113" t="s">
        <v>539</v>
      </c>
      <c r="B345" s="113" t="s">
        <v>193</v>
      </c>
      <c r="D345" s="113"/>
      <c r="E345" s="113"/>
      <c r="F345" s="113"/>
      <c r="G345" s="113"/>
      <c r="P345">
        <v>333</v>
      </c>
      <c r="Q345" t="s">
        <v>2410</v>
      </c>
      <c r="R345" t="s">
        <v>2641</v>
      </c>
    </row>
    <row r="346" spans="1:18">
      <c r="A346" s="113" t="s">
        <v>540</v>
      </c>
      <c r="B346" s="113" t="s">
        <v>193</v>
      </c>
      <c r="D346" s="113"/>
      <c r="E346" s="113"/>
      <c r="F346" s="113"/>
      <c r="G346" s="113"/>
      <c r="P346">
        <v>334</v>
      </c>
      <c r="Q346" t="s">
        <v>2410</v>
      </c>
      <c r="R346" t="s">
        <v>2641</v>
      </c>
    </row>
    <row r="347" spans="1:18">
      <c r="A347" s="113" t="s">
        <v>541</v>
      </c>
      <c r="B347" s="113" t="s">
        <v>193</v>
      </c>
      <c r="D347" s="113"/>
      <c r="E347" s="113"/>
      <c r="F347" s="113"/>
      <c r="G347" s="113"/>
      <c r="P347">
        <v>335</v>
      </c>
      <c r="Q347" t="s">
        <v>2410</v>
      </c>
      <c r="R347" t="s">
        <v>2641</v>
      </c>
    </row>
    <row r="348" spans="1:18">
      <c r="A348" s="113" t="s">
        <v>542</v>
      </c>
      <c r="B348" s="113" t="s">
        <v>193</v>
      </c>
      <c r="D348" s="113"/>
      <c r="E348" s="113"/>
      <c r="F348" s="113"/>
      <c r="G348" s="113"/>
      <c r="P348">
        <v>336</v>
      </c>
      <c r="Q348" t="s">
        <v>2410</v>
      </c>
      <c r="R348" t="s">
        <v>2641</v>
      </c>
    </row>
    <row r="349" spans="1:18">
      <c r="A349" s="113" t="s">
        <v>543</v>
      </c>
      <c r="B349" s="113" t="s">
        <v>193</v>
      </c>
      <c r="D349" s="113"/>
      <c r="E349" s="113"/>
      <c r="F349" s="113"/>
      <c r="G349" s="113"/>
      <c r="P349">
        <v>337</v>
      </c>
      <c r="Q349" t="s">
        <v>2410</v>
      </c>
      <c r="R349" t="s">
        <v>2641</v>
      </c>
    </row>
    <row r="350" spans="1:18">
      <c r="A350" s="113" t="s">
        <v>544</v>
      </c>
      <c r="B350" s="113" t="s">
        <v>315</v>
      </c>
      <c r="D350" s="113"/>
      <c r="E350" s="113"/>
      <c r="F350" s="113"/>
      <c r="G350" s="113"/>
      <c r="P350">
        <v>338</v>
      </c>
      <c r="Q350" t="s">
        <v>2410</v>
      </c>
      <c r="R350" t="s">
        <v>2641</v>
      </c>
    </row>
    <row r="351" spans="1:18">
      <c r="A351" s="113" t="s">
        <v>545</v>
      </c>
      <c r="B351" s="113" t="s">
        <v>315</v>
      </c>
      <c r="D351" s="113"/>
      <c r="E351" s="113"/>
      <c r="F351" s="113"/>
      <c r="G351" s="113"/>
      <c r="P351">
        <v>339</v>
      </c>
      <c r="Q351" t="s">
        <v>2410</v>
      </c>
      <c r="R351" t="s">
        <v>2641</v>
      </c>
    </row>
    <row r="352" spans="1:18">
      <c r="A352" s="113" t="s">
        <v>546</v>
      </c>
      <c r="B352" s="113" t="s">
        <v>193</v>
      </c>
      <c r="D352" s="113"/>
      <c r="E352" s="113"/>
      <c r="F352" s="113"/>
      <c r="G352" s="113"/>
      <c r="P352">
        <v>340</v>
      </c>
      <c r="Q352" t="s">
        <v>2410</v>
      </c>
      <c r="R352" t="s">
        <v>2641</v>
      </c>
    </row>
    <row r="353" spans="1:18">
      <c r="A353" s="113" t="s">
        <v>547</v>
      </c>
      <c r="B353" s="113" t="s">
        <v>193</v>
      </c>
      <c r="D353" s="113"/>
      <c r="E353" s="113"/>
      <c r="F353" s="113"/>
      <c r="G353" s="113"/>
      <c r="P353">
        <v>341</v>
      </c>
      <c r="Q353" t="s">
        <v>2410</v>
      </c>
      <c r="R353" t="s">
        <v>2641</v>
      </c>
    </row>
    <row r="354" spans="1:18">
      <c r="A354" s="113" t="s">
        <v>548</v>
      </c>
      <c r="B354" s="113" t="s">
        <v>193</v>
      </c>
      <c r="D354" s="113"/>
      <c r="E354" s="113"/>
      <c r="F354" s="113"/>
      <c r="G354" s="113"/>
      <c r="P354">
        <v>342</v>
      </c>
      <c r="Q354" t="s">
        <v>2410</v>
      </c>
      <c r="R354" t="s">
        <v>2641</v>
      </c>
    </row>
    <row r="355" spans="1:18">
      <c r="A355" s="113" t="s">
        <v>549</v>
      </c>
      <c r="B355" s="113" t="s">
        <v>193</v>
      </c>
      <c r="D355" s="113"/>
      <c r="E355" s="113"/>
      <c r="F355" s="113"/>
      <c r="G355" s="113"/>
      <c r="P355">
        <v>343</v>
      </c>
      <c r="Q355" t="s">
        <v>2410</v>
      </c>
      <c r="R355" t="s">
        <v>2641</v>
      </c>
    </row>
    <row r="356" spans="1:18">
      <c r="A356" s="113" t="s">
        <v>550</v>
      </c>
      <c r="B356" s="113" t="s">
        <v>315</v>
      </c>
      <c r="D356" s="113"/>
      <c r="E356" s="113"/>
      <c r="F356" s="113"/>
      <c r="G356" s="113"/>
      <c r="P356">
        <v>344</v>
      </c>
      <c r="Q356" t="s">
        <v>2410</v>
      </c>
      <c r="R356" t="s">
        <v>2641</v>
      </c>
    </row>
    <row r="357" spans="1:18">
      <c r="A357" s="113" t="s">
        <v>551</v>
      </c>
      <c r="B357" s="113" t="s">
        <v>193</v>
      </c>
      <c r="D357" s="113"/>
      <c r="E357" s="113"/>
      <c r="F357" s="113"/>
      <c r="G357" s="113"/>
      <c r="P357">
        <v>345</v>
      </c>
      <c r="Q357" t="s">
        <v>2410</v>
      </c>
      <c r="R357" t="s">
        <v>2641</v>
      </c>
    </row>
    <row r="358" spans="1:18">
      <c r="A358" s="113" t="s">
        <v>552</v>
      </c>
      <c r="B358" s="113" t="s">
        <v>193</v>
      </c>
      <c r="D358" s="113"/>
      <c r="E358" s="113"/>
      <c r="F358" s="113"/>
      <c r="G358" s="113"/>
      <c r="P358">
        <v>346</v>
      </c>
      <c r="Q358" t="s">
        <v>2410</v>
      </c>
      <c r="R358" t="s">
        <v>2641</v>
      </c>
    </row>
    <row r="359" spans="1:18">
      <c r="A359" s="113" t="s">
        <v>553</v>
      </c>
      <c r="B359" s="113" t="s">
        <v>193</v>
      </c>
      <c r="D359" s="113"/>
      <c r="E359" s="113"/>
      <c r="F359" s="113"/>
      <c r="G359" s="113"/>
      <c r="P359">
        <v>347</v>
      </c>
      <c r="Q359" t="s">
        <v>2410</v>
      </c>
      <c r="R359" t="s">
        <v>2641</v>
      </c>
    </row>
    <row r="360" spans="1:18">
      <c r="A360" s="113" t="s">
        <v>554</v>
      </c>
      <c r="B360" s="113" t="s">
        <v>315</v>
      </c>
      <c r="D360" s="113"/>
      <c r="E360" s="113"/>
      <c r="F360" s="113"/>
      <c r="G360" s="113"/>
      <c r="P360">
        <v>348</v>
      </c>
      <c r="Q360" t="s">
        <v>2410</v>
      </c>
      <c r="R360" t="s">
        <v>2641</v>
      </c>
    </row>
    <row r="361" spans="1:18">
      <c r="A361" s="113" t="s">
        <v>555</v>
      </c>
      <c r="B361" s="113" t="s">
        <v>193</v>
      </c>
      <c r="D361" s="113"/>
      <c r="E361" s="113"/>
      <c r="F361" s="113"/>
      <c r="G361" s="113"/>
      <c r="P361">
        <v>349</v>
      </c>
      <c r="Q361" t="s">
        <v>2410</v>
      </c>
      <c r="R361" t="s">
        <v>2641</v>
      </c>
    </row>
    <row r="362" spans="1:18">
      <c r="A362" s="113" t="s">
        <v>556</v>
      </c>
      <c r="B362" s="113" t="s">
        <v>193</v>
      </c>
      <c r="D362" s="113"/>
      <c r="E362" s="113"/>
      <c r="F362" s="113"/>
      <c r="G362" s="113"/>
      <c r="P362">
        <v>350</v>
      </c>
      <c r="Q362" t="s">
        <v>2410</v>
      </c>
      <c r="R362" t="s">
        <v>2641</v>
      </c>
    </row>
    <row r="363" spans="1:18">
      <c r="A363" s="113" t="s">
        <v>557</v>
      </c>
      <c r="B363" s="113" t="s">
        <v>193</v>
      </c>
      <c r="D363" s="113"/>
      <c r="E363" s="113"/>
      <c r="F363" s="113"/>
      <c r="G363" s="113"/>
      <c r="P363">
        <v>351</v>
      </c>
      <c r="Q363" t="s">
        <v>2410</v>
      </c>
      <c r="R363" t="s">
        <v>2641</v>
      </c>
    </row>
    <row r="364" spans="1:18">
      <c r="A364" s="113" t="s">
        <v>558</v>
      </c>
      <c r="B364" s="113" t="s">
        <v>193</v>
      </c>
      <c r="D364" s="113"/>
      <c r="E364" s="113"/>
      <c r="F364" s="113"/>
      <c r="G364" s="113"/>
      <c r="P364">
        <v>352</v>
      </c>
      <c r="Q364" t="s">
        <v>2410</v>
      </c>
      <c r="R364" t="s">
        <v>2641</v>
      </c>
    </row>
    <row r="365" spans="1:18">
      <c r="A365" s="113" t="s">
        <v>559</v>
      </c>
      <c r="B365" s="113" t="s">
        <v>193</v>
      </c>
      <c r="D365" s="113"/>
      <c r="E365" s="113"/>
      <c r="F365" s="113"/>
      <c r="G365" s="113"/>
      <c r="P365">
        <v>353</v>
      </c>
      <c r="Q365" t="s">
        <v>2410</v>
      </c>
      <c r="R365" t="s">
        <v>2641</v>
      </c>
    </row>
    <row r="366" spans="1:18">
      <c r="A366" s="113" t="s">
        <v>560</v>
      </c>
      <c r="B366" s="113" t="s">
        <v>193</v>
      </c>
      <c r="D366" s="113"/>
      <c r="E366" s="113"/>
      <c r="F366" s="113"/>
      <c r="G366" s="113"/>
      <c r="P366">
        <v>354</v>
      </c>
      <c r="Q366" t="s">
        <v>2410</v>
      </c>
      <c r="R366" t="s">
        <v>2641</v>
      </c>
    </row>
    <row r="367" spans="1:18">
      <c r="A367" s="113" t="s">
        <v>561</v>
      </c>
      <c r="B367" s="113" t="s">
        <v>193</v>
      </c>
      <c r="D367" s="113"/>
      <c r="E367" s="113"/>
      <c r="F367" s="113"/>
      <c r="G367" s="113"/>
      <c r="P367">
        <v>355</v>
      </c>
      <c r="Q367" t="s">
        <v>2410</v>
      </c>
      <c r="R367" t="s">
        <v>2641</v>
      </c>
    </row>
    <row r="368" spans="1:18">
      <c r="A368" s="113" t="s">
        <v>562</v>
      </c>
      <c r="B368" s="113" t="s">
        <v>315</v>
      </c>
      <c r="D368" s="113"/>
      <c r="E368" s="113"/>
      <c r="F368" s="113"/>
      <c r="G368" s="113"/>
      <c r="P368">
        <v>356</v>
      </c>
      <c r="Q368" t="s">
        <v>2410</v>
      </c>
      <c r="R368" t="s">
        <v>2641</v>
      </c>
    </row>
    <row r="369" spans="1:18">
      <c r="A369" s="113" t="s">
        <v>563</v>
      </c>
      <c r="B369" s="113" t="s">
        <v>315</v>
      </c>
      <c r="D369" s="113"/>
      <c r="E369" s="113"/>
      <c r="F369" s="113"/>
      <c r="G369" s="113"/>
      <c r="P369">
        <v>357</v>
      </c>
      <c r="Q369" t="s">
        <v>2410</v>
      </c>
      <c r="R369" t="s">
        <v>2641</v>
      </c>
    </row>
    <row r="370" spans="1:18">
      <c r="A370" s="113" t="s">
        <v>564</v>
      </c>
      <c r="B370" s="113" t="s">
        <v>315</v>
      </c>
      <c r="D370" s="113"/>
      <c r="E370" s="113"/>
      <c r="F370" s="113"/>
      <c r="G370" s="113"/>
      <c r="P370">
        <v>358</v>
      </c>
      <c r="Q370" t="s">
        <v>2410</v>
      </c>
      <c r="R370" t="s">
        <v>2641</v>
      </c>
    </row>
    <row r="371" spans="1:18">
      <c r="A371" s="113" t="s">
        <v>565</v>
      </c>
      <c r="B371" s="113" t="s">
        <v>315</v>
      </c>
      <c r="D371" s="113"/>
      <c r="E371" s="113"/>
      <c r="F371" s="113"/>
      <c r="G371" s="113"/>
      <c r="P371">
        <v>359</v>
      </c>
      <c r="Q371" t="s">
        <v>2410</v>
      </c>
      <c r="R371" t="s">
        <v>2641</v>
      </c>
    </row>
    <row r="372" spans="1:18">
      <c r="A372" s="113" t="s">
        <v>566</v>
      </c>
      <c r="B372" s="113" t="s">
        <v>315</v>
      </c>
      <c r="D372" s="113"/>
      <c r="E372" s="113"/>
      <c r="F372" s="113"/>
      <c r="G372" s="113"/>
      <c r="P372">
        <v>360</v>
      </c>
      <c r="Q372" t="s">
        <v>2410</v>
      </c>
      <c r="R372" t="s">
        <v>2641</v>
      </c>
    </row>
    <row r="373" spans="1:18">
      <c r="A373" s="113" t="s">
        <v>567</v>
      </c>
      <c r="B373" s="113" t="s">
        <v>315</v>
      </c>
      <c r="D373" s="113"/>
      <c r="E373" s="113"/>
      <c r="F373" s="113"/>
      <c r="G373" s="113"/>
      <c r="P373">
        <v>361</v>
      </c>
      <c r="Q373" t="s">
        <v>2410</v>
      </c>
      <c r="R373" t="s">
        <v>2641</v>
      </c>
    </row>
    <row r="374" spans="1:18">
      <c r="A374" s="113" t="s">
        <v>568</v>
      </c>
      <c r="B374" s="113" t="s">
        <v>315</v>
      </c>
      <c r="D374" s="113"/>
      <c r="E374" s="113"/>
      <c r="F374" s="113"/>
      <c r="G374" s="113"/>
      <c r="P374">
        <v>362</v>
      </c>
      <c r="Q374" t="s">
        <v>2410</v>
      </c>
      <c r="R374" t="s">
        <v>2641</v>
      </c>
    </row>
    <row r="375" spans="1:18">
      <c r="A375" s="113" t="s">
        <v>569</v>
      </c>
      <c r="B375" s="113" t="s">
        <v>315</v>
      </c>
      <c r="D375" s="113"/>
      <c r="E375" s="113"/>
      <c r="F375" s="113"/>
      <c r="G375" s="113"/>
      <c r="P375">
        <v>363</v>
      </c>
      <c r="Q375" t="s">
        <v>2410</v>
      </c>
      <c r="R375" t="s">
        <v>2641</v>
      </c>
    </row>
    <row r="376" spans="1:18">
      <c r="A376" s="113" t="s">
        <v>570</v>
      </c>
      <c r="B376" s="113" t="s">
        <v>315</v>
      </c>
      <c r="D376" s="113"/>
      <c r="E376" s="113"/>
      <c r="F376" s="113"/>
      <c r="G376" s="113"/>
      <c r="P376">
        <v>364</v>
      </c>
      <c r="Q376" t="s">
        <v>2410</v>
      </c>
      <c r="R376" t="s">
        <v>2641</v>
      </c>
    </row>
    <row r="377" spans="1:18">
      <c r="A377" s="113" t="s">
        <v>571</v>
      </c>
      <c r="B377" s="113" t="s">
        <v>315</v>
      </c>
      <c r="D377" s="113"/>
      <c r="E377" s="113"/>
      <c r="F377" s="113"/>
      <c r="G377" s="113"/>
      <c r="P377">
        <v>365</v>
      </c>
      <c r="Q377" t="s">
        <v>2410</v>
      </c>
      <c r="R377" t="s">
        <v>2641</v>
      </c>
    </row>
    <row r="378" spans="1:18">
      <c r="A378" s="113" t="s">
        <v>572</v>
      </c>
      <c r="B378" s="113" t="s">
        <v>315</v>
      </c>
      <c r="D378" s="113"/>
      <c r="E378" s="113"/>
      <c r="F378" s="113"/>
      <c r="G378" s="113"/>
      <c r="P378">
        <v>366</v>
      </c>
      <c r="Q378" t="s">
        <v>2410</v>
      </c>
      <c r="R378" t="s">
        <v>2641</v>
      </c>
    </row>
    <row r="379" spans="1:18">
      <c r="A379" s="113" t="s">
        <v>573</v>
      </c>
      <c r="B379" s="113" t="s">
        <v>315</v>
      </c>
      <c r="D379" s="113"/>
      <c r="E379" s="113"/>
      <c r="F379" s="113"/>
      <c r="G379" s="113"/>
      <c r="P379">
        <v>367</v>
      </c>
      <c r="Q379" t="s">
        <v>2410</v>
      </c>
      <c r="R379" t="s">
        <v>2641</v>
      </c>
    </row>
    <row r="380" spans="1:18">
      <c r="A380" s="113" t="s">
        <v>574</v>
      </c>
      <c r="B380" s="113" t="s">
        <v>315</v>
      </c>
      <c r="D380" s="113"/>
      <c r="E380" s="113"/>
      <c r="F380" s="113"/>
      <c r="G380" s="113"/>
      <c r="P380">
        <v>368</v>
      </c>
      <c r="Q380" t="s">
        <v>2410</v>
      </c>
      <c r="R380" t="s">
        <v>2641</v>
      </c>
    </row>
    <row r="381" spans="1:18">
      <c r="A381" s="113" t="s">
        <v>575</v>
      </c>
      <c r="B381" s="113" t="s">
        <v>315</v>
      </c>
      <c r="D381" s="113"/>
      <c r="E381" s="113"/>
      <c r="F381" s="113"/>
      <c r="G381" s="113"/>
      <c r="P381">
        <v>369</v>
      </c>
      <c r="Q381" t="s">
        <v>2410</v>
      </c>
      <c r="R381" t="s">
        <v>2641</v>
      </c>
    </row>
    <row r="382" spans="1:18">
      <c r="A382" s="113" t="s">
        <v>576</v>
      </c>
      <c r="B382" s="113" t="s">
        <v>315</v>
      </c>
      <c r="D382" s="113"/>
      <c r="E382" s="113"/>
      <c r="F382" s="113"/>
      <c r="G382" s="113"/>
      <c r="P382">
        <v>370</v>
      </c>
      <c r="Q382" t="s">
        <v>2410</v>
      </c>
      <c r="R382" t="s">
        <v>2641</v>
      </c>
    </row>
    <row r="383" spans="1:18">
      <c r="A383" s="113" t="s">
        <v>577</v>
      </c>
      <c r="B383" s="113" t="s">
        <v>315</v>
      </c>
      <c r="D383" s="113"/>
      <c r="E383" s="113"/>
      <c r="F383" s="113"/>
      <c r="G383" s="113"/>
      <c r="P383">
        <v>371</v>
      </c>
      <c r="Q383" t="s">
        <v>2410</v>
      </c>
      <c r="R383" t="s">
        <v>2641</v>
      </c>
    </row>
    <row r="384" spans="1:18">
      <c r="A384" s="113" t="s">
        <v>578</v>
      </c>
      <c r="B384" s="113" t="s">
        <v>315</v>
      </c>
      <c r="D384" s="113"/>
      <c r="E384" s="113"/>
      <c r="F384" s="113"/>
      <c r="G384" s="113"/>
      <c r="P384">
        <v>372</v>
      </c>
      <c r="Q384" t="s">
        <v>2410</v>
      </c>
      <c r="R384" t="s">
        <v>2641</v>
      </c>
    </row>
    <row r="385" spans="1:18">
      <c r="A385" s="113" t="s">
        <v>579</v>
      </c>
      <c r="B385" s="113" t="s">
        <v>315</v>
      </c>
      <c r="D385" s="113"/>
      <c r="E385" s="113"/>
      <c r="F385" s="113"/>
      <c r="G385" s="113"/>
      <c r="P385">
        <v>373</v>
      </c>
      <c r="Q385" t="s">
        <v>2410</v>
      </c>
      <c r="R385" t="s">
        <v>2641</v>
      </c>
    </row>
    <row r="386" spans="1:18">
      <c r="A386" s="113" t="s">
        <v>580</v>
      </c>
      <c r="B386" s="113" t="s">
        <v>315</v>
      </c>
      <c r="D386" s="113"/>
      <c r="E386" s="113"/>
      <c r="F386" s="113"/>
      <c r="G386" s="113"/>
      <c r="P386">
        <v>374</v>
      </c>
      <c r="Q386" t="s">
        <v>2410</v>
      </c>
      <c r="R386" t="s">
        <v>2641</v>
      </c>
    </row>
    <row r="387" spans="1:18">
      <c r="A387" s="113" t="s">
        <v>581</v>
      </c>
      <c r="B387" s="113" t="s">
        <v>315</v>
      </c>
      <c r="D387" s="113"/>
      <c r="E387" s="113"/>
      <c r="F387" s="113"/>
      <c r="G387" s="113"/>
      <c r="P387">
        <v>375</v>
      </c>
      <c r="Q387" t="s">
        <v>2410</v>
      </c>
      <c r="R387" t="s">
        <v>2641</v>
      </c>
    </row>
    <row r="388" spans="1:18">
      <c r="A388" s="113" t="s">
        <v>582</v>
      </c>
      <c r="B388" s="113" t="s">
        <v>315</v>
      </c>
      <c r="D388" s="113"/>
      <c r="E388" s="113"/>
      <c r="F388" s="113"/>
      <c r="G388" s="113"/>
      <c r="P388">
        <v>376</v>
      </c>
      <c r="Q388" t="s">
        <v>2410</v>
      </c>
      <c r="R388" t="s">
        <v>2641</v>
      </c>
    </row>
    <row r="389" spans="1:18">
      <c r="A389" s="113" t="s">
        <v>583</v>
      </c>
      <c r="B389" s="113" t="s">
        <v>315</v>
      </c>
      <c r="D389" s="113"/>
      <c r="E389" s="113"/>
      <c r="F389" s="113"/>
      <c r="G389" s="113"/>
      <c r="P389">
        <v>377</v>
      </c>
      <c r="Q389" t="s">
        <v>2410</v>
      </c>
      <c r="R389" t="s">
        <v>2641</v>
      </c>
    </row>
    <row r="390" spans="1:18">
      <c r="A390" s="113" t="s">
        <v>584</v>
      </c>
      <c r="B390" s="113" t="s">
        <v>315</v>
      </c>
      <c r="D390" s="113"/>
      <c r="E390" s="113"/>
      <c r="F390" s="113"/>
      <c r="G390" s="113"/>
      <c r="P390">
        <v>378</v>
      </c>
      <c r="Q390" t="s">
        <v>2410</v>
      </c>
      <c r="R390" t="s">
        <v>2641</v>
      </c>
    </row>
    <row r="391" spans="1:18">
      <c r="A391" s="113" t="s">
        <v>585</v>
      </c>
      <c r="B391" s="113" t="s">
        <v>315</v>
      </c>
      <c r="D391" s="113"/>
      <c r="E391" s="113"/>
      <c r="F391" s="113"/>
      <c r="G391" s="113"/>
      <c r="P391">
        <v>379</v>
      </c>
      <c r="Q391" t="s">
        <v>2410</v>
      </c>
      <c r="R391" t="s">
        <v>2641</v>
      </c>
    </row>
    <row r="392" spans="1:18">
      <c r="A392" s="113" t="s">
        <v>586</v>
      </c>
      <c r="B392" s="113" t="s">
        <v>315</v>
      </c>
      <c r="D392" s="113"/>
      <c r="E392" s="113"/>
      <c r="F392" s="113"/>
      <c r="G392" s="113"/>
      <c r="P392">
        <v>380</v>
      </c>
      <c r="Q392" t="s">
        <v>2410</v>
      </c>
      <c r="R392" t="s">
        <v>2641</v>
      </c>
    </row>
    <row r="393" spans="1:18">
      <c r="A393" s="113" t="s">
        <v>587</v>
      </c>
      <c r="B393" s="113" t="s">
        <v>315</v>
      </c>
      <c r="D393" s="113"/>
      <c r="E393" s="113"/>
      <c r="F393" s="113"/>
      <c r="G393" s="113"/>
      <c r="P393">
        <v>381</v>
      </c>
      <c r="Q393" t="s">
        <v>2410</v>
      </c>
      <c r="R393" t="s">
        <v>2641</v>
      </c>
    </row>
    <row r="394" spans="1:18">
      <c r="A394" s="113" t="s">
        <v>588</v>
      </c>
      <c r="B394" s="113" t="s">
        <v>315</v>
      </c>
      <c r="D394" s="113"/>
      <c r="E394" s="113"/>
      <c r="F394" s="113"/>
      <c r="G394" s="113"/>
      <c r="P394">
        <v>382</v>
      </c>
      <c r="Q394" t="s">
        <v>2410</v>
      </c>
      <c r="R394" t="s">
        <v>2641</v>
      </c>
    </row>
    <row r="395" spans="1:18">
      <c r="A395" s="113" t="s">
        <v>589</v>
      </c>
      <c r="B395" s="113" t="s">
        <v>315</v>
      </c>
      <c r="D395" s="113"/>
      <c r="E395" s="113"/>
      <c r="F395" s="113"/>
      <c r="G395" s="113"/>
      <c r="P395">
        <v>383</v>
      </c>
      <c r="Q395" t="s">
        <v>2410</v>
      </c>
      <c r="R395" t="s">
        <v>2641</v>
      </c>
    </row>
    <row r="396" spans="1:18">
      <c r="A396" s="113" t="s">
        <v>590</v>
      </c>
      <c r="B396" s="113" t="s">
        <v>315</v>
      </c>
      <c r="D396" s="113"/>
      <c r="E396" s="113"/>
      <c r="F396" s="113"/>
      <c r="G396" s="113"/>
      <c r="P396">
        <v>384</v>
      </c>
      <c r="Q396" t="s">
        <v>2410</v>
      </c>
      <c r="R396" t="s">
        <v>2641</v>
      </c>
    </row>
    <row r="397" spans="1:18">
      <c r="A397" s="113" t="s">
        <v>591</v>
      </c>
      <c r="B397" s="113" t="s">
        <v>315</v>
      </c>
      <c r="D397" s="113"/>
      <c r="E397" s="113"/>
      <c r="F397" s="113"/>
      <c r="G397" s="113"/>
      <c r="P397">
        <v>385</v>
      </c>
      <c r="Q397" t="s">
        <v>2410</v>
      </c>
      <c r="R397" t="s">
        <v>2641</v>
      </c>
    </row>
    <row r="398" spans="1:18">
      <c r="A398" s="113" t="s">
        <v>592</v>
      </c>
      <c r="B398" s="113" t="s">
        <v>315</v>
      </c>
      <c r="D398" s="113"/>
      <c r="E398" s="113"/>
      <c r="F398" s="113"/>
      <c r="G398" s="113"/>
      <c r="P398">
        <v>386</v>
      </c>
      <c r="Q398" t="s">
        <v>2410</v>
      </c>
      <c r="R398" t="s">
        <v>2641</v>
      </c>
    </row>
    <row r="399" spans="1:18">
      <c r="A399" s="113" t="s">
        <v>593</v>
      </c>
      <c r="B399" s="113" t="s">
        <v>315</v>
      </c>
      <c r="D399" s="113"/>
      <c r="E399" s="113"/>
      <c r="F399" s="113"/>
      <c r="G399" s="113"/>
      <c r="P399">
        <v>387</v>
      </c>
      <c r="Q399" t="s">
        <v>2410</v>
      </c>
      <c r="R399" t="s">
        <v>2641</v>
      </c>
    </row>
    <row r="400" spans="1:18">
      <c r="A400" s="113" t="s">
        <v>594</v>
      </c>
      <c r="B400" s="113" t="s">
        <v>315</v>
      </c>
      <c r="D400" s="113"/>
      <c r="E400" s="113"/>
      <c r="F400" s="113"/>
      <c r="G400" s="113"/>
      <c r="P400">
        <v>388</v>
      </c>
      <c r="Q400" t="s">
        <v>2410</v>
      </c>
      <c r="R400" t="s">
        <v>2641</v>
      </c>
    </row>
    <row r="401" spans="1:18">
      <c r="A401" s="113" t="s">
        <v>595</v>
      </c>
      <c r="B401" s="113" t="s">
        <v>315</v>
      </c>
      <c r="D401" s="113"/>
      <c r="E401" s="113"/>
      <c r="F401" s="113"/>
      <c r="G401" s="113"/>
      <c r="P401">
        <v>389</v>
      </c>
      <c r="Q401" t="s">
        <v>2410</v>
      </c>
      <c r="R401" t="s">
        <v>2641</v>
      </c>
    </row>
    <row r="402" spans="1:18">
      <c r="A402" s="113" t="s">
        <v>596</v>
      </c>
      <c r="B402" s="113" t="s">
        <v>315</v>
      </c>
      <c r="D402" s="113"/>
      <c r="E402" s="113"/>
      <c r="F402" s="113"/>
      <c r="G402" s="113"/>
      <c r="P402">
        <v>390</v>
      </c>
      <c r="Q402" t="s">
        <v>2410</v>
      </c>
      <c r="R402" t="s">
        <v>2641</v>
      </c>
    </row>
    <row r="403" spans="1:18">
      <c r="A403" s="113" t="s">
        <v>597</v>
      </c>
      <c r="B403" s="113" t="s">
        <v>315</v>
      </c>
      <c r="D403" s="113"/>
      <c r="E403" s="113"/>
      <c r="F403" s="113"/>
      <c r="G403" s="113"/>
      <c r="P403">
        <v>391</v>
      </c>
      <c r="Q403" t="s">
        <v>2410</v>
      </c>
      <c r="R403" t="s">
        <v>2641</v>
      </c>
    </row>
    <row r="404" spans="1:18">
      <c r="A404" s="113" t="s">
        <v>598</v>
      </c>
      <c r="B404" s="113" t="s">
        <v>315</v>
      </c>
      <c r="D404" s="113"/>
      <c r="E404" s="113"/>
      <c r="F404" s="113"/>
      <c r="G404" s="113"/>
      <c r="P404">
        <v>392</v>
      </c>
      <c r="Q404" t="s">
        <v>2410</v>
      </c>
      <c r="R404" t="s">
        <v>2641</v>
      </c>
    </row>
    <row r="405" spans="1:18">
      <c r="A405" s="113" t="s">
        <v>599</v>
      </c>
      <c r="B405" s="113" t="s">
        <v>315</v>
      </c>
      <c r="D405" s="113"/>
      <c r="E405" s="113"/>
      <c r="F405" s="113"/>
      <c r="G405" s="113"/>
      <c r="P405">
        <v>393</v>
      </c>
      <c r="Q405" t="s">
        <v>2410</v>
      </c>
      <c r="R405" t="s">
        <v>2641</v>
      </c>
    </row>
    <row r="406" spans="1:18">
      <c r="A406" s="113" t="s">
        <v>600</v>
      </c>
      <c r="B406" s="113" t="s">
        <v>315</v>
      </c>
      <c r="D406" s="113"/>
      <c r="E406" s="113"/>
      <c r="F406" s="113"/>
      <c r="G406" s="113"/>
      <c r="P406">
        <v>394</v>
      </c>
      <c r="Q406" t="s">
        <v>2410</v>
      </c>
      <c r="R406" t="s">
        <v>2641</v>
      </c>
    </row>
    <row r="407" spans="1:18">
      <c r="A407" s="113" t="s">
        <v>601</v>
      </c>
      <c r="B407" s="113" t="s">
        <v>315</v>
      </c>
      <c r="D407" s="113"/>
      <c r="E407" s="113"/>
      <c r="F407" s="113"/>
      <c r="G407" s="113"/>
      <c r="P407">
        <v>395</v>
      </c>
      <c r="Q407" t="s">
        <v>2410</v>
      </c>
      <c r="R407" t="s">
        <v>2641</v>
      </c>
    </row>
    <row r="408" spans="1:18">
      <c r="A408" s="113" t="s">
        <v>602</v>
      </c>
      <c r="B408" s="113" t="s">
        <v>315</v>
      </c>
      <c r="D408" s="113"/>
      <c r="E408" s="113"/>
      <c r="F408" s="113"/>
      <c r="G408" s="113"/>
      <c r="P408">
        <v>396</v>
      </c>
      <c r="Q408" t="s">
        <v>2410</v>
      </c>
      <c r="R408" t="s">
        <v>2641</v>
      </c>
    </row>
    <row r="409" spans="1:18">
      <c r="A409" s="113" t="s">
        <v>603</v>
      </c>
      <c r="B409" s="113" t="s">
        <v>315</v>
      </c>
      <c r="D409" s="113"/>
      <c r="E409" s="113"/>
      <c r="F409" s="113"/>
      <c r="G409" s="113"/>
      <c r="P409">
        <v>397</v>
      </c>
      <c r="Q409" t="s">
        <v>2410</v>
      </c>
      <c r="R409" t="s">
        <v>2641</v>
      </c>
    </row>
    <row r="410" spans="1:18">
      <c r="A410" s="113" t="s">
        <v>604</v>
      </c>
      <c r="B410" s="113" t="s">
        <v>315</v>
      </c>
      <c r="D410" s="113"/>
      <c r="E410" s="113"/>
      <c r="F410" s="113"/>
      <c r="G410" s="113"/>
      <c r="P410">
        <v>398</v>
      </c>
      <c r="Q410" t="s">
        <v>2410</v>
      </c>
      <c r="R410" t="s">
        <v>2641</v>
      </c>
    </row>
    <row r="411" spans="1:18">
      <c r="A411" s="113" t="s">
        <v>605</v>
      </c>
      <c r="B411" s="113" t="s">
        <v>315</v>
      </c>
      <c r="D411" s="113"/>
      <c r="E411" s="113"/>
      <c r="F411" s="113"/>
      <c r="G411" s="113"/>
      <c r="P411">
        <v>399</v>
      </c>
      <c r="Q411" t="s">
        <v>2410</v>
      </c>
      <c r="R411" t="s">
        <v>2641</v>
      </c>
    </row>
    <row r="412" spans="1:18">
      <c r="A412" s="113" t="s">
        <v>606</v>
      </c>
      <c r="B412" s="113" t="s">
        <v>315</v>
      </c>
      <c r="D412" s="113"/>
      <c r="E412" s="113"/>
      <c r="F412" s="113"/>
      <c r="G412" s="113"/>
      <c r="P412">
        <v>400</v>
      </c>
      <c r="Q412" t="s">
        <v>2410</v>
      </c>
      <c r="R412" t="s">
        <v>2641</v>
      </c>
    </row>
    <row r="413" spans="1:18">
      <c r="A413" s="113" t="s">
        <v>607</v>
      </c>
      <c r="B413" s="113" t="s">
        <v>315</v>
      </c>
      <c r="D413" s="113"/>
      <c r="E413" s="113"/>
      <c r="F413" s="113"/>
      <c r="G413" s="113"/>
      <c r="P413">
        <v>401</v>
      </c>
      <c r="Q413" t="s">
        <v>2410</v>
      </c>
      <c r="R413" t="s">
        <v>2641</v>
      </c>
    </row>
    <row r="414" spans="1:18">
      <c r="A414" s="113" t="s">
        <v>608</v>
      </c>
      <c r="B414" s="113" t="s">
        <v>315</v>
      </c>
      <c r="D414" s="113"/>
      <c r="E414" s="113"/>
      <c r="F414" s="113"/>
      <c r="G414" s="113"/>
      <c r="P414">
        <v>402</v>
      </c>
      <c r="Q414" t="s">
        <v>2410</v>
      </c>
      <c r="R414" t="s">
        <v>2641</v>
      </c>
    </row>
    <row r="415" spans="1:18">
      <c r="A415" s="113" t="s">
        <v>609</v>
      </c>
      <c r="B415" s="113" t="s">
        <v>315</v>
      </c>
      <c r="D415" s="113"/>
      <c r="E415" s="113"/>
      <c r="F415" s="113"/>
      <c r="G415" s="113"/>
      <c r="P415">
        <v>403</v>
      </c>
      <c r="Q415" t="s">
        <v>2410</v>
      </c>
      <c r="R415" t="s">
        <v>2641</v>
      </c>
    </row>
    <row r="416" spans="1:18">
      <c r="A416" s="113" t="s">
        <v>610</v>
      </c>
      <c r="B416" s="113" t="s">
        <v>315</v>
      </c>
      <c r="D416" s="113"/>
      <c r="E416" s="113"/>
      <c r="F416" s="113"/>
      <c r="G416" s="113"/>
      <c r="P416">
        <v>404</v>
      </c>
      <c r="Q416" t="s">
        <v>2410</v>
      </c>
      <c r="R416" t="s">
        <v>2641</v>
      </c>
    </row>
    <row r="417" spans="1:18">
      <c r="A417" s="113" t="s">
        <v>611</v>
      </c>
      <c r="B417" s="113" t="s">
        <v>315</v>
      </c>
      <c r="D417" s="113"/>
      <c r="E417" s="113"/>
      <c r="F417" s="113"/>
      <c r="G417" s="113"/>
      <c r="P417">
        <v>405</v>
      </c>
      <c r="Q417" t="s">
        <v>2410</v>
      </c>
      <c r="R417" t="s">
        <v>2641</v>
      </c>
    </row>
    <row r="418" spans="1:18">
      <c r="A418" s="113" t="s">
        <v>612</v>
      </c>
      <c r="B418" s="113" t="s">
        <v>315</v>
      </c>
      <c r="D418" s="113"/>
      <c r="E418" s="113"/>
      <c r="F418" s="113"/>
      <c r="G418" s="113"/>
      <c r="P418">
        <v>406</v>
      </c>
      <c r="Q418" t="s">
        <v>2410</v>
      </c>
      <c r="R418" t="s">
        <v>2641</v>
      </c>
    </row>
    <row r="419" spans="1:18">
      <c r="A419" s="113" t="s">
        <v>613</v>
      </c>
      <c r="B419" s="113" t="s">
        <v>315</v>
      </c>
      <c r="D419" s="113"/>
      <c r="E419" s="113"/>
      <c r="F419" s="113"/>
      <c r="G419" s="113"/>
      <c r="P419">
        <v>407</v>
      </c>
      <c r="Q419" t="s">
        <v>2410</v>
      </c>
      <c r="R419" t="s">
        <v>2641</v>
      </c>
    </row>
    <row r="420" spans="1:18">
      <c r="A420" s="113" t="s">
        <v>614</v>
      </c>
      <c r="B420" s="113" t="s">
        <v>315</v>
      </c>
      <c r="D420" s="113"/>
      <c r="E420" s="113"/>
      <c r="F420" s="113"/>
      <c r="G420" s="113"/>
      <c r="P420">
        <v>408</v>
      </c>
      <c r="Q420" t="s">
        <v>2410</v>
      </c>
      <c r="R420" t="s">
        <v>2641</v>
      </c>
    </row>
    <row r="421" spans="1:18">
      <c r="A421" s="113" t="s">
        <v>615</v>
      </c>
      <c r="B421" s="113" t="s">
        <v>315</v>
      </c>
      <c r="D421" s="113"/>
      <c r="E421" s="113"/>
      <c r="F421" s="113"/>
      <c r="G421" s="113"/>
      <c r="P421">
        <v>409</v>
      </c>
      <c r="Q421" t="s">
        <v>2410</v>
      </c>
      <c r="R421" t="s">
        <v>2641</v>
      </c>
    </row>
    <row r="422" spans="1:18">
      <c r="A422" s="113" t="s">
        <v>616</v>
      </c>
      <c r="B422" s="113" t="s">
        <v>315</v>
      </c>
      <c r="D422" s="113"/>
      <c r="E422" s="113"/>
      <c r="F422" s="113"/>
      <c r="G422" s="113"/>
      <c r="P422">
        <v>410</v>
      </c>
      <c r="Q422" t="s">
        <v>2410</v>
      </c>
      <c r="R422" t="s">
        <v>2641</v>
      </c>
    </row>
    <row r="423" spans="1:18">
      <c r="A423" s="113" t="s">
        <v>617</v>
      </c>
      <c r="B423" s="113" t="s">
        <v>315</v>
      </c>
      <c r="D423" s="113"/>
      <c r="E423" s="113"/>
      <c r="F423" s="113"/>
      <c r="G423" s="113"/>
      <c r="P423">
        <v>411</v>
      </c>
      <c r="Q423" t="s">
        <v>2410</v>
      </c>
      <c r="R423" t="s">
        <v>2641</v>
      </c>
    </row>
    <row r="424" spans="1:18">
      <c r="A424" s="113" t="s">
        <v>618</v>
      </c>
      <c r="B424" s="113" t="s">
        <v>315</v>
      </c>
      <c r="D424" s="113"/>
      <c r="E424" s="113"/>
      <c r="F424" s="113"/>
      <c r="G424" s="113"/>
      <c r="P424">
        <v>412</v>
      </c>
      <c r="Q424" t="s">
        <v>2410</v>
      </c>
      <c r="R424" t="s">
        <v>2641</v>
      </c>
    </row>
    <row r="425" spans="1:18">
      <c r="A425" s="113" t="s">
        <v>619</v>
      </c>
      <c r="B425" s="113" t="s">
        <v>315</v>
      </c>
      <c r="D425" s="113"/>
      <c r="E425" s="113"/>
      <c r="F425" s="113"/>
      <c r="G425" s="113"/>
      <c r="P425">
        <v>413</v>
      </c>
      <c r="Q425" t="s">
        <v>2410</v>
      </c>
      <c r="R425" t="s">
        <v>2641</v>
      </c>
    </row>
    <row r="426" spans="1:18">
      <c r="A426" s="113" t="s">
        <v>620</v>
      </c>
      <c r="B426" s="113" t="s">
        <v>315</v>
      </c>
      <c r="D426" s="113"/>
      <c r="E426" s="113"/>
      <c r="F426" s="113"/>
      <c r="G426" s="113"/>
      <c r="P426">
        <v>414</v>
      </c>
      <c r="Q426" t="s">
        <v>2410</v>
      </c>
      <c r="R426" t="s">
        <v>2641</v>
      </c>
    </row>
    <row r="427" spans="1:18">
      <c r="A427" s="113" t="s">
        <v>621</v>
      </c>
      <c r="B427" s="113" t="s">
        <v>193</v>
      </c>
      <c r="D427" s="113"/>
      <c r="E427" s="113"/>
      <c r="F427" s="113"/>
      <c r="G427" s="113"/>
      <c r="P427">
        <v>415</v>
      </c>
      <c r="Q427" t="s">
        <v>2410</v>
      </c>
      <c r="R427" t="s">
        <v>2641</v>
      </c>
    </row>
    <row r="428" spans="1:18">
      <c r="A428" s="113" t="s">
        <v>622</v>
      </c>
      <c r="B428" s="113" t="s">
        <v>315</v>
      </c>
      <c r="D428" s="113"/>
      <c r="E428" s="113"/>
      <c r="F428" s="113"/>
      <c r="G428" s="113"/>
      <c r="P428">
        <v>416</v>
      </c>
      <c r="Q428" t="s">
        <v>2410</v>
      </c>
      <c r="R428" t="s">
        <v>2641</v>
      </c>
    </row>
    <row r="429" spans="1:18">
      <c r="A429" s="113" t="s">
        <v>623</v>
      </c>
      <c r="B429" s="113" t="s">
        <v>315</v>
      </c>
      <c r="D429" s="113"/>
      <c r="E429" s="113"/>
      <c r="F429" s="113"/>
      <c r="G429" s="113"/>
      <c r="P429">
        <v>417</v>
      </c>
      <c r="Q429" t="s">
        <v>2410</v>
      </c>
      <c r="R429" t="s">
        <v>2641</v>
      </c>
    </row>
    <row r="430" spans="1:18">
      <c r="A430" s="113" t="s">
        <v>624</v>
      </c>
      <c r="B430" s="113" t="s">
        <v>315</v>
      </c>
      <c r="D430" s="113"/>
      <c r="E430" s="113"/>
      <c r="F430" s="113"/>
      <c r="G430" s="113"/>
      <c r="P430">
        <v>418</v>
      </c>
      <c r="Q430" t="s">
        <v>2410</v>
      </c>
      <c r="R430" t="s">
        <v>2641</v>
      </c>
    </row>
    <row r="431" spans="1:18">
      <c r="A431" s="113" t="s">
        <v>625</v>
      </c>
      <c r="B431" s="113" t="s">
        <v>315</v>
      </c>
      <c r="D431" s="113"/>
      <c r="E431" s="113"/>
      <c r="F431" s="113"/>
      <c r="G431" s="113"/>
      <c r="P431">
        <v>419</v>
      </c>
      <c r="Q431" t="s">
        <v>2410</v>
      </c>
      <c r="R431" t="s">
        <v>2641</v>
      </c>
    </row>
    <row r="432" spans="1:18">
      <c r="A432" s="113" t="s">
        <v>626</v>
      </c>
      <c r="B432" s="113" t="s">
        <v>315</v>
      </c>
      <c r="D432" s="113"/>
      <c r="E432" s="113"/>
      <c r="F432" s="113"/>
      <c r="G432" s="113"/>
      <c r="P432">
        <v>420</v>
      </c>
      <c r="Q432" t="s">
        <v>2410</v>
      </c>
      <c r="R432" t="s">
        <v>2641</v>
      </c>
    </row>
    <row r="433" spans="1:18">
      <c r="A433" s="113" t="s">
        <v>627</v>
      </c>
      <c r="B433" s="113" t="s">
        <v>315</v>
      </c>
      <c r="D433" s="113"/>
      <c r="E433" s="113"/>
      <c r="F433" s="113"/>
      <c r="G433" s="113"/>
      <c r="P433">
        <v>421</v>
      </c>
      <c r="Q433" t="s">
        <v>2410</v>
      </c>
      <c r="R433" t="s">
        <v>2641</v>
      </c>
    </row>
    <row r="434" spans="1:18">
      <c r="A434" s="113" t="s">
        <v>628</v>
      </c>
      <c r="B434" s="113" t="s">
        <v>315</v>
      </c>
      <c r="D434" s="113"/>
      <c r="E434" s="113"/>
      <c r="F434" s="113"/>
      <c r="G434" s="113"/>
      <c r="P434">
        <v>422</v>
      </c>
      <c r="Q434" t="s">
        <v>2410</v>
      </c>
      <c r="R434" t="s">
        <v>2641</v>
      </c>
    </row>
    <row r="435" spans="1:18">
      <c r="A435" s="113" t="s">
        <v>629</v>
      </c>
      <c r="B435" s="113" t="s">
        <v>315</v>
      </c>
      <c r="D435" s="113"/>
      <c r="E435" s="113"/>
      <c r="F435" s="113"/>
      <c r="G435" s="113"/>
      <c r="P435">
        <v>423</v>
      </c>
      <c r="Q435" t="s">
        <v>2410</v>
      </c>
      <c r="R435" t="s">
        <v>2641</v>
      </c>
    </row>
    <row r="436" spans="1:18">
      <c r="A436" s="113" t="s">
        <v>630</v>
      </c>
      <c r="B436" s="113" t="s">
        <v>315</v>
      </c>
      <c r="D436" s="113"/>
      <c r="E436" s="113"/>
      <c r="F436" s="113"/>
      <c r="G436" s="113"/>
      <c r="P436">
        <v>424</v>
      </c>
      <c r="Q436" t="s">
        <v>2410</v>
      </c>
      <c r="R436" t="s">
        <v>2641</v>
      </c>
    </row>
    <row r="437" spans="1:18">
      <c r="A437" s="113" t="s">
        <v>631</v>
      </c>
      <c r="B437" s="113" t="s">
        <v>315</v>
      </c>
      <c r="D437" s="113"/>
      <c r="E437" s="113"/>
      <c r="F437" s="113"/>
      <c r="G437" s="113"/>
      <c r="P437">
        <v>425</v>
      </c>
      <c r="Q437" t="s">
        <v>2410</v>
      </c>
      <c r="R437" t="s">
        <v>2641</v>
      </c>
    </row>
    <row r="438" spans="1:18">
      <c r="A438" s="113" t="s">
        <v>632</v>
      </c>
      <c r="B438" s="113" t="s">
        <v>315</v>
      </c>
      <c r="D438" s="113"/>
      <c r="E438" s="113"/>
      <c r="F438" s="113"/>
      <c r="G438" s="113"/>
      <c r="P438">
        <v>426</v>
      </c>
      <c r="Q438" t="s">
        <v>2410</v>
      </c>
      <c r="R438" t="s">
        <v>2641</v>
      </c>
    </row>
    <row r="439" spans="1:18">
      <c r="A439" s="113" t="s">
        <v>633</v>
      </c>
      <c r="B439" s="113" t="s">
        <v>315</v>
      </c>
      <c r="D439" s="113"/>
      <c r="E439" s="113"/>
      <c r="F439" s="113"/>
      <c r="G439" s="113"/>
      <c r="P439">
        <v>427</v>
      </c>
      <c r="Q439" t="s">
        <v>2410</v>
      </c>
      <c r="R439" t="s">
        <v>2641</v>
      </c>
    </row>
    <row r="440" spans="1:18">
      <c r="A440" s="113" t="s">
        <v>634</v>
      </c>
      <c r="B440" s="113" t="s">
        <v>315</v>
      </c>
      <c r="D440" s="113"/>
      <c r="E440" s="113"/>
      <c r="F440" s="113"/>
      <c r="G440" s="113"/>
      <c r="P440">
        <v>428</v>
      </c>
      <c r="Q440" t="s">
        <v>2410</v>
      </c>
      <c r="R440" t="s">
        <v>2641</v>
      </c>
    </row>
    <row r="441" spans="1:18">
      <c r="A441" s="113" t="s">
        <v>635</v>
      </c>
      <c r="B441" s="113" t="s">
        <v>315</v>
      </c>
      <c r="D441" s="113"/>
      <c r="E441" s="113"/>
      <c r="F441" s="113"/>
      <c r="G441" s="113"/>
      <c r="P441">
        <v>429</v>
      </c>
      <c r="Q441" t="s">
        <v>2410</v>
      </c>
      <c r="R441" t="s">
        <v>2641</v>
      </c>
    </row>
    <row r="442" spans="1:18">
      <c r="A442" s="113" t="s">
        <v>636</v>
      </c>
      <c r="B442" s="113" t="s">
        <v>315</v>
      </c>
      <c r="D442" s="113"/>
      <c r="E442" s="113"/>
      <c r="F442" s="113"/>
      <c r="G442" s="113"/>
      <c r="P442">
        <v>430</v>
      </c>
      <c r="Q442" t="s">
        <v>2410</v>
      </c>
      <c r="R442" t="s">
        <v>2641</v>
      </c>
    </row>
    <row r="443" spans="1:18">
      <c r="A443" s="113" t="s">
        <v>637</v>
      </c>
      <c r="B443" s="113" t="s">
        <v>315</v>
      </c>
      <c r="D443" s="113"/>
      <c r="E443" s="113"/>
      <c r="F443" s="113"/>
      <c r="G443" s="113"/>
      <c r="P443">
        <v>431</v>
      </c>
      <c r="Q443" t="s">
        <v>2410</v>
      </c>
      <c r="R443" t="s">
        <v>2641</v>
      </c>
    </row>
    <row r="444" spans="1:18">
      <c r="A444" s="113" t="s">
        <v>638</v>
      </c>
      <c r="B444" s="113" t="s">
        <v>315</v>
      </c>
      <c r="D444" s="113"/>
      <c r="E444" s="113"/>
      <c r="F444" s="113"/>
      <c r="G444" s="113"/>
      <c r="P444">
        <v>432</v>
      </c>
      <c r="Q444" t="s">
        <v>2410</v>
      </c>
      <c r="R444" t="s">
        <v>2641</v>
      </c>
    </row>
    <row r="445" spans="1:18">
      <c r="A445" s="113" t="s">
        <v>639</v>
      </c>
      <c r="B445" s="113" t="s">
        <v>315</v>
      </c>
      <c r="D445" s="113"/>
      <c r="E445" s="113"/>
      <c r="F445" s="113"/>
      <c r="G445" s="113"/>
      <c r="P445">
        <v>433</v>
      </c>
      <c r="Q445" t="s">
        <v>2410</v>
      </c>
      <c r="R445" t="s">
        <v>2641</v>
      </c>
    </row>
    <row r="446" spans="1:18">
      <c r="A446" s="113" t="s">
        <v>640</v>
      </c>
      <c r="B446" s="113" t="s">
        <v>315</v>
      </c>
      <c r="D446" s="113"/>
      <c r="E446" s="113"/>
      <c r="F446" s="113"/>
      <c r="G446" s="113"/>
      <c r="P446">
        <v>434</v>
      </c>
      <c r="Q446" t="s">
        <v>2410</v>
      </c>
      <c r="R446" t="s">
        <v>2641</v>
      </c>
    </row>
    <row r="447" spans="1:18">
      <c r="A447" s="113" t="s">
        <v>641</v>
      </c>
      <c r="B447" s="113" t="s">
        <v>315</v>
      </c>
      <c r="D447" s="113"/>
      <c r="E447" s="113"/>
      <c r="F447" s="113"/>
      <c r="G447" s="113"/>
      <c r="P447">
        <v>435</v>
      </c>
      <c r="Q447" t="s">
        <v>2410</v>
      </c>
      <c r="R447" t="s">
        <v>2641</v>
      </c>
    </row>
    <row r="448" spans="1:18">
      <c r="A448" s="113" t="s">
        <v>642</v>
      </c>
      <c r="B448" s="113" t="s">
        <v>315</v>
      </c>
      <c r="D448" s="113"/>
      <c r="E448" s="113"/>
      <c r="F448" s="113"/>
      <c r="G448" s="113"/>
      <c r="P448">
        <v>436</v>
      </c>
      <c r="Q448" t="s">
        <v>2410</v>
      </c>
      <c r="R448" t="s">
        <v>2641</v>
      </c>
    </row>
    <row r="449" spans="1:18">
      <c r="A449" s="113" t="s">
        <v>643</v>
      </c>
      <c r="B449" s="113" t="s">
        <v>315</v>
      </c>
      <c r="D449" s="113"/>
      <c r="E449" s="113"/>
      <c r="F449" s="113"/>
      <c r="G449" s="113"/>
      <c r="P449">
        <v>437</v>
      </c>
      <c r="Q449" t="s">
        <v>2410</v>
      </c>
      <c r="R449" t="s">
        <v>2641</v>
      </c>
    </row>
    <row r="450" spans="1:18">
      <c r="A450" s="113" t="s">
        <v>644</v>
      </c>
      <c r="B450" s="113" t="s">
        <v>315</v>
      </c>
      <c r="D450" s="113"/>
      <c r="E450" s="113"/>
      <c r="F450" s="113"/>
      <c r="G450" s="113"/>
      <c r="P450">
        <v>438</v>
      </c>
      <c r="Q450" t="s">
        <v>2410</v>
      </c>
      <c r="R450" t="s">
        <v>2641</v>
      </c>
    </row>
    <row r="451" spans="1:18">
      <c r="A451" s="113" t="s">
        <v>645</v>
      </c>
      <c r="B451" s="113" t="s">
        <v>315</v>
      </c>
      <c r="D451" s="113"/>
      <c r="E451" s="113"/>
      <c r="F451" s="113"/>
      <c r="G451" s="113"/>
      <c r="P451">
        <v>439</v>
      </c>
      <c r="Q451" t="s">
        <v>2410</v>
      </c>
      <c r="R451" t="s">
        <v>2641</v>
      </c>
    </row>
    <row r="452" spans="1:18">
      <c r="A452" s="113" t="s">
        <v>646</v>
      </c>
      <c r="B452" s="113" t="s">
        <v>315</v>
      </c>
      <c r="D452" s="113"/>
      <c r="E452" s="113"/>
      <c r="F452" s="113"/>
      <c r="G452" s="113"/>
      <c r="P452">
        <v>440</v>
      </c>
      <c r="Q452" t="s">
        <v>2410</v>
      </c>
      <c r="R452" t="s">
        <v>2641</v>
      </c>
    </row>
    <row r="453" spans="1:18">
      <c r="A453" s="113" t="s">
        <v>647</v>
      </c>
      <c r="B453" s="113" t="s">
        <v>315</v>
      </c>
      <c r="D453" s="113"/>
      <c r="E453" s="113"/>
      <c r="F453" s="113"/>
      <c r="G453" s="113"/>
      <c r="P453">
        <v>441</v>
      </c>
      <c r="Q453" t="s">
        <v>2410</v>
      </c>
      <c r="R453" t="s">
        <v>2641</v>
      </c>
    </row>
    <row r="454" spans="1:18">
      <c r="A454" s="113" t="s">
        <v>648</v>
      </c>
      <c r="B454" s="113" t="s">
        <v>315</v>
      </c>
      <c r="D454" s="113"/>
      <c r="E454" s="113"/>
      <c r="F454" s="113"/>
      <c r="G454" s="113"/>
      <c r="P454">
        <v>442</v>
      </c>
      <c r="Q454" t="s">
        <v>2410</v>
      </c>
      <c r="R454" t="s">
        <v>2641</v>
      </c>
    </row>
    <row r="455" spans="1:18">
      <c r="A455" s="113" t="s">
        <v>649</v>
      </c>
      <c r="B455" s="113" t="s">
        <v>315</v>
      </c>
      <c r="D455" s="113"/>
      <c r="E455" s="113"/>
      <c r="F455" s="113"/>
      <c r="G455" s="113"/>
      <c r="P455">
        <v>443</v>
      </c>
      <c r="Q455" t="s">
        <v>2410</v>
      </c>
      <c r="R455" t="s">
        <v>2641</v>
      </c>
    </row>
    <row r="456" spans="1:18">
      <c r="A456" s="113" t="s">
        <v>650</v>
      </c>
      <c r="B456" s="113" t="s">
        <v>315</v>
      </c>
      <c r="D456" s="113"/>
      <c r="E456" s="113"/>
      <c r="F456" s="113"/>
      <c r="G456" s="113"/>
      <c r="P456">
        <v>444</v>
      </c>
      <c r="Q456" t="s">
        <v>2410</v>
      </c>
      <c r="R456" t="s">
        <v>2641</v>
      </c>
    </row>
    <row r="457" spans="1:18">
      <c r="A457" s="113" t="s">
        <v>651</v>
      </c>
      <c r="B457" s="113" t="s">
        <v>315</v>
      </c>
      <c r="D457" s="113"/>
      <c r="E457" s="113"/>
      <c r="F457" s="113"/>
      <c r="G457" s="113"/>
      <c r="P457">
        <v>445</v>
      </c>
      <c r="Q457" t="s">
        <v>2410</v>
      </c>
      <c r="R457" t="s">
        <v>2641</v>
      </c>
    </row>
    <row r="458" spans="1:18">
      <c r="A458" s="113" t="s">
        <v>652</v>
      </c>
      <c r="B458" s="113" t="s">
        <v>315</v>
      </c>
      <c r="D458" s="113"/>
      <c r="E458" s="113"/>
      <c r="F458" s="113"/>
      <c r="G458" s="113"/>
      <c r="P458">
        <v>446</v>
      </c>
      <c r="Q458" t="s">
        <v>2410</v>
      </c>
      <c r="R458" t="s">
        <v>2641</v>
      </c>
    </row>
    <row r="459" spans="1:18">
      <c r="A459" s="113" t="s">
        <v>653</v>
      </c>
      <c r="B459" s="113" t="s">
        <v>315</v>
      </c>
      <c r="D459" s="113"/>
      <c r="E459" s="113"/>
      <c r="F459" s="113"/>
      <c r="G459" s="113"/>
      <c r="P459">
        <v>447</v>
      </c>
      <c r="Q459" t="s">
        <v>2410</v>
      </c>
      <c r="R459" t="s">
        <v>2641</v>
      </c>
    </row>
    <row r="460" spans="1:18">
      <c r="A460" s="113" t="s">
        <v>654</v>
      </c>
      <c r="B460" s="113" t="s">
        <v>315</v>
      </c>
      <c r="D460" s="113"/>
      <c r="E460" s="113"/>
      <c r="F460" s="113"/>
      <c r="G460" s="113"/>
      <c r="P460">
        <v>448</v>
      </c>
      <c r="Q460" t="s">
        <v>2410</v>
      </c>
      <c r="R460" t="s">
        <v>2641</v>
      </c>
    </row>
    <row r="461" spans="1:18">
      <c r="A461" s="113" t="s">
        <v>655</v>
      </c>
      <c r="B461" s="113" t="s">
        <v>315</v>
      </c>
      <c r="D461" s="113"/>
      <c r="E461" s="113"/>
      <c r="F461" s="113"/>
      <c r="G461" s="113"/>
      <c r="P461">
        <v>449</v>
      </c>
      <c r="Q461" t="s">
        <v>2410</v>
      </c>
      <c r="R461" t="s">
        <v>2641</v>
      </c>
    </row>
    <row r="462" spans="1:18">
      <c r="A462" s="113" t="s">
        <v>656</v>
      </c>
      <c r="B462" s="113" t="s">
        <v>315</v>
      </c>
      <c r="D462" s="113"/>
      <c r="E462" s="113"/>
      <c r="F462" s="113"/>
      <c r="G462" s="113"/>
      <c r="P462">
        <v>450</v>
      </c>
      <c r="Q462" t="s">
        <v>2410</v>
      </c>
      <c r="R462" t="s">
        <v>2641</v>
      </c>
    </row>
    <row r="463" spans="1:18">
      <c r="A463" s="113" t="s">
        <v>657</v>
      </c>
      <c r="B463" s="113" t="s">
        <v>315</v>
      </c>
      <c r="D463" s="113"/>
      <c r="E463" s="113"/>
      <c r="F463" s="113"/>
      <c r="G463" s="113"/>
      <c r="P463">
        <v>451</v>
      </c>
      <c r="Q463" t="s">
        <v>2410</v>
      </c>
      <c r="R463" t="s">
        <v>2641</v>
      </c>
    </row>
    <row r="464" spans="1:18">
      <c r="A464" s="113" t="s">
        <v>658</v>
      </c>
      <c r="B464" s="113" t="s">
        <v>315</v>
      </c>
      <c r="D464" s="113"/>
      <c r="E464" s="113"/>
      <c r="F464" s="113"/>
      <c r="G464" s="113"/>
      <c r="P464">
        <v>452</v>
      </c>
      <c r="Q464" t="s">
        <v>2410</v>
      </c>
      <c r="R464" t="s">
        <v>2641</v>
      </c>
    </row>
    <row r="465" spans="1:18">
      <c r="A465" s="113" t="s">
        <v>659</v>
      </c>
      <c r="B465" s="113" t="s">
        <v>315</v>
      </c>
      <c r="D465" s="113"/>
      <c r="E465" s="113"/>
      <c r="F465" s="113"/>
      <c r="G465" s="113"/>
      <c r="P465">
        <v>453</v>
      </c>
      <c r="Q465" t="s">
        <v>2410</v>
      </c>
      <c r="R465" t="s">
        <v>2641</v>
      </c>
    </row>
    <row r="466" spans="1:18">
      <c r="A466" s="113" t="s">
        <v>660</v>
      </c>
      <c r="B466" s="113" t="s">
        <v>315</v>
      </c>
      <c r="D466" s="113"/>
      <c r="E466" s="113"/>
      <c r="F466" s="113"/>
      <c r="G466" s="113"/>
      <c r="P466">
        <v>454</v>
      </c>
      <c r="Q466" t="s">
        <v>2410</v>
      </c>
      <c r="R466" t="s">
        <v>2641</v>
      </c>
    </row>
    <row r="467" spans="1:18">
      <c r="A467" s="113" t="s">
        <v>661</v>
      </c>
      <c r="B467" s="113" t="s">
        <v>315</v>
      </c>
      <c r="D467" s="113"/>
      <c r="E467" s="113"/>
      <c r="F467" s="113"/>
      <c r="G467" s="113"/>
      <c r="P467">
        <v>455</v>
      </c>
      <c r="Q467" t="s">
        <v>2410</v>
      </c>
      <c r="R467" t="s">
        <v>2641</v>
      </c>
    </row>
    <row r="468" spans="1:18">
      <c r="A468" s="113" t="s">
        <v>662</v>
      </c>
      <c r="B468" s="113" t="s">
        <v>315</v>
      </c>
      <c r="D468" s="113"/>
      <c r="E468" s="113"/>
      <c r="F468" s="113"/>
      <c r="G468" s="113"/>
      <c r="P468">
        <v>456</v>
      </c>
      <c r="Q468" t="s">
        <v>2410</v>
      </c>
      <c r="R468" t="s">
        <v>2641</v>
      </c>
    </row>
    <row r="469" spans="1:18">
      <c r="A469" s="113" t="s">
        <v>663</v>
      </c>
      <c r="B469" s="113" t="s">
        <v>315</v>
      </c>
      <c r="D469" s="113"/>
      <c r="E469" s="113"/>
      <c r="F469" s="113"/>
      <c r="G469" s="113"/>
      <c r="P469">
        <v>457</v>
      </c>
      <c r="Q469" t="s">
        <v>2410</v>
      </c>
      <c r="R469" t="s">
        <v>2641</v>
      </c>
    </row>
    <row r="470" spans="1:18">
      <c r="A470" s="113" t="s">
        <v>664</v>
      </c>
      <c r="B470" s="113" t="s">
        <v>315</v>
      </c>
      <c r="D470" s="113"/>
      <c r="E470" s="113"/>
      <c r="F470" s="113"/>
      <c r="G470" s="113"/>
      <c r="P470">
        <v>458</v>
      </c>
      <c r="Q470" t="s">
        <v>2410</v>
      </c>
      <c r="R470" t="s">
        <v>2641</v>
      </c>
    </row>
    <row r="471" spans="1:18">
      <c r="A471" s="113" t="s">
        <v>665</v>
      </c>
      <c r="B471" s="113" t="s">
        <v>315</v>
      </c>
      <c r="D471" s="113"/>
      <c r="E471" s="113"/>
      <c r="F471" s="113"/>
      <c r="G471" s="113"/>
      <c r="P471">
        <v>459</v>
      </c>
      <c r="Q471" t="s">
        <v>2410</v>
      </c>
      <c r="R471" t="s">
        <v>2641</v>
      </c>
    </row>
    <row r="472" spans="1:18">
      <c r="A472" s="113" t="s">
        <v>666</v>
      </c>
      <c r="B472" s="113" t="s">
        <v>315</v>
      </c>
      <c r="D472" s="113"/>
      <c r="E472" s="113"/>
      <c r="F472" s="113"/>
      <c r="G472" s="113"/>
      <c r="P472">
        <v>460</v>
      </c>
      <c r="Q472" t="s">
        <v>2410</v>
      </c>
      <c r="R472" t="s">
        <v>2641</v>
      </c>
    </row>
    <row r="473" spans="1:18">
      <c r="A473" s="113" t="s">
        <v>667</v>
      </c>
      <c r="B473" s="113" t="s">
        <v>193</v>
      </c>
      <c r="D473" s="113"/>
      <c r="E473" s="113"/>
      <c r="F473" s="113"/>
      <c r="G473" s="113"/>
      <c r="P473">
        <v>461</v>
      </c>
      <c r="Q473" t="s">
        <v>2410</v>
      </c>
      <c r="R473" t="s">
        <v>2641</v>
      </c>
    </row>
    <row r="474" spans="1:18">
      <c r="A474" s="113" t="s">
        <v>668</v>
      </c>
      <c r="B474" s="113" t="s">
        <v>315</v>
      </c>
      <c r="D474" s="113"/>
      <c r="E474" s="113"/>
      <c r="F474" s="113"/>
      <c r="G474" s="113"/>
      <c r="P474">
        <v>462</v>
      </c>
      <c r="Q474" t="s">
        <v>2410</v>
      </c>
      <c r="R474" t="s">
        <v>2641</v>
      </c>
    </row>
    <row r="475" spans="1:18">
      <c r="A475" s="113" t="s">
        <v>669</v>
      </c>
      <c r="B475" s="113" t="s">
        <v>315</v>
      </c>
      <c r="D475" s="113"/>
      <c r="E475" s="113"/>
      <c r="F475" s="113"/>
      <c r="G475" s="113"/>
      <c r="P475">
        <v>463</v>
      </c>
      <c r="Q475" t="s">
        <v>2410</v>
      </c>
      <c r="R475" t="s">
        <v>2641</v>
      </c>
    </row>
    <row r="476" spans="1:18">
      <c r="A476" s="113" t="s">
        <v>670</v>
      </c>
      <c r="B476" s="113" t="s">
        <v>315</v>
      </c>
      <c r="D476" s="113"/>
      <c r="E476" s="113"/>
      <c r="F476" s="113"/>
      <c r="G476" s="113"/>
      <c r="P476">
        <v>464</v>
      </c>
      <c r="Q476" t="s">
        <v>2410</v>
      </c>
      <c r="R476" t="s">
        <v>2641</v>
      </c>
    </row>
    <row r="477" spans="1:18">
      <c r="A477" s="113" t="s">
        <v>671</v>
      </c>
      <c r="B477" s="113" t="s">
        <v>315</v>
      </c>
      <c r="D477" s="113"/>
      <c r="E477" s="113"/>
      <c r="F477" s="113"/>
      <c r="G477" s="113"/>
      <c r="P477">
        <v>465</v>
      </c>
      <c r="Q477" t="s">
        <v>2410</v>
      </c>
      <c r="R477" t="s">
        <v>2641</v>
      </c>
    </row>
    <row r="478" spans="1:18">
      <c r="A478" s="113" t="s">
        <v>672</v>
      </c>
      <c r="B478" s="113" t="s">
        <v>315</v>
      </c>
      <c r="D478" s="113"/>
      <c r="E478" s="113"/>
      <c r="F478" s="113"/>
      <c r="G478" s="113"/>
      <c r="P478">
        <v>466</v>
      </c>
      <c r="Q478" t="s">
        <v>2410</v>
      </c>
      <c r="R478" t="s">
        <v>2641</v>
      </c>
    </row>
    <row r="479" spans="1:18">
      <c r="A479" s="113" t="s">
        <v>673</v>
      </c>
      <c r="B479" s="113" t="s">
        <v>315</v>
      </c>
      <c r="D479" s="113"/>
      <c r="E479" s="113"/>
      <c r="F479" s="113"/>
      <c r="G479" s="113"/>
      <c r="P479">
        <v>467</v>
      </c>
      <c r="Q479" t="s">
        <v>2410</v>
      </c>
      <c r="R479" t="s">
        <v>2641</v>
      </c>
    </row>
    <row r="480" spans="1:18">
      <c r="A480" s="113" t="s">
        <v>674</v>
      </c>
      <c r="B480" s="113" t="s">
        <v>315</v>
      </c>
      <c r="D480" s="113"/>
      <c r="E480" s="113"/>
      <c r="F480" s="113"/>
      <c r="G480" s="113"/>
      <c r="P480">
        <v>468</v>
      </c>
      <c r="Q480" t="s">
        <v>2410</v>
      </c>
      <c r="R480" t="s">
        <v>2641</v>
      </c>
    </row>
    <row r="481" spans="1:18">
      <c r="A481" s="113" t="s">
        <v>675</v>
      </c>
      <c r="B481" s="113" t="s">
        <v>315</v>
      </c>
      <c r="D481" s="113"/>
      <c r="E481" s="113"/>
      <c r="F481" s="113"/>
      <c r="G481" s="113"/>
      <c r="P481">
        <v>469</v>
      </c>
      <c r="Q481" t="s">
        <v>2410</v>
      </c>
      <c r="R481" t="s">
        <v>2641</v>
      </c>
    </row>
    <row r="482" spans="1:18">
      <c r="A482" s="113" t="s">
        <v>676</v>
      </c>
      <c r="B482" s="113" t="s">
        <v>315</v>
      </c>
      <c r="D482" s="113"/>
      <c r="E482" s="113"/>
      <c r="F482" s="113"/>
      <c r="G482" s="113"/>
      <c r="P482">
        <v>470</v>
      </c>
      <c r="Q482" t="s">
        <v>2410</v>
      </c>
      <c r="R482" t="s">
        <v>2641</v>
      </c>
    </row>
    <row r="483" spans="1:18">
      <c r="A483" s="113" t="s">
        <v>677</v>
      </c>
      <c r="B483" s="113" t="s">
        <v>315</v>
      </c>
      <c r="D483" s="113"/>
      <c r="E483" s="113"/>
      <c r="F483" s="113"/>
      <c r="G483" s="113"/>
      <c r="P483">
        <v>471</v>
      </c>
      <c r="Q483" t="s">
        <v>2410</v>
      </c>
      <c r="R483" t="s">
        <v>2641</v>
      </c>
    </row>
    <row r="484" spans="1:18">
      <c r="A484" s="113" t="s">
        <v>678</v>
      </c>
      <c r="B484" s="113" t="s">
        <v>315</v>
      </c>
      <c r="D484" s="113"/>
      <c r="E484" s="113"/>
      <c r="F484" s="113"/>
      <c r="G484" s="113"/>
      <c r="P484">
        <v>472</v>
      </c>
      <c r="Q484" t="s">
        <v>2410</v>
      </c>
      <c r="R484" t="s">
        <v>2641</v>
      </c>
    </row>
    <row r="485" spans="1:18">
      <c r="A485" s="113" t="s">
        <v>679</v>
      </c>
      <c r="B485" s="113" t="s">
        <v>315</v>
      </c>
      <c r="D485" s="113"/>
      <c r="E485" s="113"/>
      <c r="F485" s="113"/>
      <c r="G485" s="113"/>
      <c r="P485">
        <v>473</v>
      </c>
      <c r="Q485" t="s">
        <v>2410</v>
      </c>
      <c r="R485" t="s">
        <v>2641</v>
      </c>
    </row>
    <row r="486" spans="1:18">
      <c r="A486" s="113" t="s">
        <v>680</v>
      </c>
      <c r="B486" s="113" t="s">
        <v>315</v>
      </c>
      <c r="D486" s="113"/>
      <c r="E486" s="113"/>
      <c r="F486" s="113"/>
      <c r="G486" s="113"/>
      <c r="P486">
        <v>474</v>
      </c>
      <c r="Q486" t="s">
        <v>2410</v>
      </c>
      <c r="R486" t="s">
        <v>2641</v>
      </c>
    </row>
    <row r="487" spans="1:18">
      <c r="A487" s="113" t="s">
        <v>681</v>
      </c>
      <c r="B487" s="113" t="s">
        <v>315</v>
      </c>
      <c r="D487" s="113"/>
      <c r="E487" s="113"/>
      <c r="F487" s="113"/>
      <c r="G487" s="113"/>
      <c r="P487">
        <v>475</v>
      </c>
      <c r="Q487" t="s">
        <v>2410</v>
      </c>
      <c r="R487" t="s">
        <v>2641</v>
      </c>
    </row>
    <row r="488" spans="1:18">
      <c r="A488" s="113" t="s">
        <v>682</v>
      </c>
      <c r="B488" s="113" t="s">
        <v>315</v>
      </c>
      <c r="D488" s="113"/>
      <c r="E488" s="113"/>
      <c r="F488" s="113"/>
      <c r="G488" s="113"/>
      <c r="P488">
        <v>476</v>
      </c>
      <c r="Q488" t="s">
        <v>2410</v>
      </c>
      <c r="R488" t="s">
        <v>2641</v>
      </c>
    </row>
    <row r="489" spans="1:18">
      <c r="A489" s="113" t="s">
        <v>683</v>
      </c>
      <c r="B489" s="113" t="s">
        <v>315</v>
      </c>
      <c r="D489" s="113"/>
      <c r="E489" s="113"/>
      <c r="F489" s="113"/>
      <c r="G489" s="113"/>
      <c r="P489">
        <v>477</v>
      </c>
      <c r="Q489" t="s">
        <v>2410</v>
      </c>
      <c r="R489" t="s">
        <v>2641</v>
      </c>
    </row>
    <row r="490" spans="1:18">
      <c r="A490" s="113" t="s">
        <v>684</v>
      </c>
      <c r="B490" s="113" t="s">
        <v>193</v>
      </c>
      <c r="D490" s="113"/>
      <c r="E490" s="113"/>
      <c r="F490" s="113"/>
      <c r="G490" s="113"/>
      <c r="P490">
        <v>478</v>
      </c>
      <c r="Q490" t="s">
        <v>2410</v>
      </c>
      <c r="R490" t="s">
        <v>2641</v>
      </c>
    </row>
    <row r="491" spans="1:18">
      <c r="A491" s="113" t="s">
        <v>685</v>
      </c>
      <c r="B491" s="113" t="s">
        <v>315</v>
      </c>
      <c r="D491" s="113"/>
      <c r="E491" s="113"/>
      <c r="F491" s="113"/>
      <c r="G491" s="113"/>
      <c r="P491">
        <v>479</v>
      </c>
      <c r="Q491" t="s">
        <v>2410</v>
      </c>
      <c r="R491" t="s">
        <v>2641</v>
      </c>
    </row>
    <row r="492" spans="1:18">
      <c r="A492" s="113" t="s">
        <v>686</v>
      </c>
      <c r="B492" s="113" t="s">
        <v>315</v>
      </c>
      <c r="D492" s="113"/>
      <c r="E492" s="113"/>
      <c r="F492" s="113"/>
      <c r="G492" s="113"/>
      <c r="P492">
        <v>480</v>
      </c>
      <c r="Q492" t="s">
        <v>2410</v>
      </c>
      <c r="R492" t="s">
        <v>2641</v>
      </c>
    </row>
    <row r="493" spans="1:18">
      <c r="A493" s="113" t="s">
        <v>687</v>
      </c>
      <c r="B493" s="113" t="s">
        <v>315</v>
      </c>
      <c r="D493" s="113"/>
      <c r="E493" s="113"/>
      <c r="F493" s="113"/>
      <c r="G493" s="113"/>
      <c r="P493">
        <v>481</v>
      </c>
      <c r="Q493" t="s">
        <v>2410</v>
      </c>
      <c r="R493" t="s">
        <v>2641</v>
      </c>
    </row>
    <row r="494" spans="1:18">
      <c r="A494" s="113" t="s">
        <v>688</v>
      </c>
      <c r="B494" s="113" t="s">
        <v>315</v>
      </c>
      <c r="D494" s="113"/>
      <c r="E494" s="113"/>
      <c r="F494" s="113"/>
      <c r="G494" s="113"/>
      <c r="P494">
        <v>482</v>
      </c>
      <c r="Q494" t="s">
        <v>2410</v>
      </c>
      <c r="R494" t="s">
        <v>2641</v>
      </c>
    </row>
    <row r="495" spans="1:18">
      <c r="A495" s="113" t="s">
        <v>689</v>
      </c>
      <c r="B495" s="113" t="s">
        <v>315</v>
      </c>
      <c r="D495" s="113"/>
      <c r="E495" s="113"/>
      <c r="F495" s="113"/>
      <c r="G495" s="113"/>
      <c r="P495">
        <v>483</v>
      </c>
      <c r="Q495" t="s">
        <v>2410</v>
      </c>
      <c r="R495" t="s">
        <v>2641</v>
      </c>
    </row>
    <row r="496" spans="1:18">
      <c r="A496" s="113" t="s">
        <v>690</v>
      </c>
      <c r="B496" s="113" t="s">
        <v>315</v>
      </c>
      <c r="D496" s="113"/>
      <c r="E496" s="113"/>
      <c r="F496" s="113"/>
      <c r="G496" s="113"/>
      <c r="P496">
        <v>484</v>
      </c>
      <c r="Q496" t="s">
        <v>2410</v>
      </c>
      <c r="R496" t="s">
        <v>2641</v>
      </c>
    </row>
    <row r="497" spans="1:18">
      <c r="A497" s="113" t="s">
        <v>691</v>
      </c>
      <c r="B497" s="113" t="s">
        <v>315</v>
      </c>
      <c r="D497" s="113"/>
      <c r="E497" s="113"/>
      <c r="F497" s="113"/>
      <c r="G497" s="113"/>
      <c r="P497">
        <v>485</v>
      </c>
      <c r="Q497" t="s">
        <v>2410</v>
      </c>
      <c r="R497" t="s">
        <v>2641</v>
      </c>
    </row>
    <row r="498" spans="1:18">
      <c r="A498" s="113" t="s">
        <v>692</v>
      </c>
      <c r="B498" s="113" t="s">
        <v>315</v>
      </c>
      <c r="D498" s="113"/>
      <c r="E498" s="113"/>
      <c r="F498" s="113"/>
      <c r="G498" s="113"/>
      <c r="P498">
        <v>486</v>
      </c>
      <c r="Q498" t="s">
        <v>2410</v>
      </c>
      <c r="R498" t="s">
        <v>2641</v>
      </c>
    </row>
    <row r="499" spans="1:18">
      <c r="A499" s="113" t="s">
        <v>693</v>
      </c>
      <c r="B499" s="113" t="s">
        <v>315</v>
      </c>
      <c r="D499" s="113"/>
      <c r="E499" s="113"/>
      <c r="F499" s="113"/>
      <c r="G499" s="113"/>
      <c r="P499">
        <v>487</v>
      </c>
      <c r="Q499" t="s">
        <v>2410</v>
      </c>
      <c r="R499" t="s">
        <v>2641</v>
      </c>
    </row>
    <row r="500" spans="1:18">
      <c r="A500" s="113" t="s">
        <v>694</v>
      </c>
      <c r="B500" s="113" t="s">
        <v>315</v>
      </c>
      <c r="D500" s="113"/>
      <c r="E500" s="113"/>
      <c r="F500" s="113"/>
      <c r="G500" s="113"/>
      <c r="P500">
        <v>488</v>
      </c>
      <c r="Q500" t="s">
        <v>2410</v>
      </c>
      <c r="R500" t="s">
        <v>2641</v>
      </c>
    </row>
    <row r="501" spans="1:18">
      <c r="A501" s="113" t="s">
        <v>695</v>
      </c>
      <c r="B501" s="113" t="s">
        <v>315</v>
      </c>
      <c r="D501" s="113"/>
      <c r="E501" s="113"/>
      <c r="F501" s="113"/>
      <c r="G501" s="113"/>
      <c r="P501">
        <v>489</v>
      </c>
      <c r="Q501" t="s">
        <v>2410</v>
      </c>
      <c r="R501" t="s">
        <v>2641</v>
      </c>
    </row>
    <row r="502" spans="1:18">
      <c r="A502" s="113" t="s">
        <v>696</v>
      </c>
      <c r="B502" s="113" t="s">
        <v>315</v>
      </c>
      <c r="D502" s="113"/>
      <c r="E502" s="113"/>
      <c r="F502" s="113"/>
      <c r="G502" s="113"/>
      <c r="P502">
        <v>490</v>
      </c>
      <c r="Q502" t="s">
        <v>2410</v>
      </c>
      <c r="R502" t="s">
        <v>2641</v>
      </c>
    </row>
    <row r="503" spans="1:18">
      <c r="A503" s="113" t="s">
        <v>697</v>
      </c>
      <c r="B503" s="113" t="s">
        <v>315</v>
      </c>
      <c r="D503" s="113"/>
      <c r="E503" s="113"/>
      <c r="F503" s="113"/>
      <c r="G503" s="113"/>
      <c r="P503">
        <v>491</v>
      </c>
      <c r="Q503" t="s">
        <v>2410</v>
      </c>
      <c r="R503" t="s">
        <v>2641</v>
      </c>
    </row>
    <row r="504" spans="1:18">
      <c r="A504" s="113" t="s">
        <v>698</v>
      </c>
      <c r="B504" s="113" t="s">
        <v>315</v>
      </c>
      <c r="D504" s="113"/>
      <c r="E504" s="113"/>
      <c r="F504" s="113"/>
      <c r="G504" s="113"/>
      <c r="P504">
        <v>492</v>
      </c>
      <c r="Q504" t="s">
        <v>2410</v>
      </c>
      <c r="R504" t="s">
        <v>2641</v>
      </c>
    </row>
    <row r="505" spans="1:18">
      <c r="A505" s="113" t="s">
        <v>699</v>
      </c>
      <c r="B505" s="113" t="s">
        <v>315</v>
      </c>
      <c r="D505" s="113"/>
      <c r="E505" s="113"/>
      <c r="F505" s="113"/>
      <c r="G505" s="113"/>
      <c r="P505">
        <v>493</v>
      </c>
      <c r="Q505" t="s">
        <v>2410</v>
      </c>
      <c r="R505" t="s">
        <v>2641</v>
      </c>
    </row>
    <row r="506" spans="1:18">
      <c r="A506" s="113" t="s">
        <v>700</v>
      </c>
      <c r="B506" s="113" t="s">
        <v>315</v>
      </c>
      <c r="D506" s="113"/>
      <c r="E506" s="113"/>
      <c r="F506" s="113"/>
      <c r="G506" s="113"/>
      <c r="P506">
        <v>494</v>
      </c>
      <c r="Q506" t="s">
        <v>2410</v>
      </c>
      <c r="R506" t="s">
        <v>2641</v>
      </c>
    </row>
    <row r="507" spans="1:18">
      <c r="A507" s="113" t="s">
        <v>701</v>
      </c>
      <c r="B507" s="113" t="s">
        <v>315</v>
      </c>
      <c r="D507" s="113"/>
      <c r="E507" s="113"/>
      <c r="F507" s="113"/>
      <c r="G507" s="113"/>
      <c r="P507">
        <v>495</v>
      </c>
      <c r="Q507" t="s">
        <v>2410</v>
      </c>
      <c r="R507" t="s">
        <v>2641</v>
      </c>
    </row>
    <row r="508" spans="1:18">
      <c r="A508" s="113" t="s">
        <v>702</v>
      </c>
      <c r="B508" s="113" t="s">
        <v>315</v>
      </c>
      <c r="D508" s="113"/>
      <c r="E508" s="113"/>
      <c r="F508" s="113"/>
      <c r="G508" s="113"/>
      <c r="P508">
        <v>496</v>
      </c>
      <c r="Q508" t="s">
        <v>2410</v>
      </c>
      <c r="R508" t="s">
        <v>2641</v>
      </c>
    </row>
    <row r="509" spans="1:18">
      <c r="A509" s="113" t="s">
        <v>703</v>
      </c>
      <c r="B509" s="113" t="s">
        <v>315</v>
      </c>
      <c r="D509" s="113"/>
      <c r="E509" s="113"/>
      <c r="F509" s="113"/>
      <c r="G509" s="113"/>
      <c r="P509">
        <v>497</v>
      </c>
      <c r="Q509" t="s">
        <v>2410</v>
      </c>
      <c r="R509" t="s">
        <v>2641</v>
      </c>
    </row>
    <row r="510" spans="1:18">
      <c r="A510" s="113" t="s">
        <v>704</v>
      </c>
      <c r="B510" s="113" t="s">
        <v>315</v>
      </c>
      <c r="D510" s="113"/>
      <c r="E510" s="113"/>
      <c r="F510" s="113"/>
      <c r="G510" s="113"/>
      <c r="P510">
        <v>498</v>
      </c>
      <c r="Q510" t="s">
        <v>2410</v>
      </c>
      <c r="R510" t="s">
        <v>2641</v>
      </c>
    </row>
    <row r="511" spans="1:18">
      <c r="A511" s="113" t="s">
        <v>705</v>
      </c>
      <c r="B511" s="113" t="s">
        <v>315</v>
      </c>
      <c r="D511" s="113"/>
      <c r="E511" s="113"/>
      <c r="F511" s="113"/>
      <c r="G511" s="113"/>
      <c r="P511">
        <v>499</v>
      </c>
      <c r="Q511" t="s">
        <v>2410</v>
      </c>
      <c r="R511" t="s">
        <v>2641</v>
      </c>
    </row>
    <row r="512" spans="1:18">
      <c r="A512" s="113" t="s">
        <v>706</v>
      </c>
      <c r="B512" s="113" t="s">
        <v>315</v>
      </c>
      <c r="D512" s="113"/>
      <c r="E512" s="113"/>
      <c r="F512" s="113"/>
      <c r="G512" s="113"/>
      <c r="P512">
        <v>500</v>
      </c>
      <c r="Q512" t="s">
        <v>2410</v>
      </c>
      <c r="R512" t="s">
        <v>2641</v>
      </c>
    </row>
    <row r="513" spans="1:18">
      <c r="A513" s="113" t="s">
        <v>707</v>
      </c>
      <c r="B513" s="113" t="s">
        <v>315</v>
      </c>
      <c r="D513" s="113"/>
      <c r="E513" s="113"/>
      <c r="F513" s="113"/>
      <c r="G513" s="113"/>
      <c r="P513">
        <v>501</v>
      </c>
      <c r="Q513" t="s">
        <v>2410</v>
      </c>
      <c r="R513" t="s">
        <v>2641</v>
      </c>
    </row>
    <row r="514" spans="1:18">
      <c r="A514" s="113" t="s">
        <v>708</v>
      </c>
      <c r="B514" s="113" t="s">
        <v>315</v>
      </c>
      <c r="D514" s="113"/>
      <c r="E514" s="113"/>
      <c r="F514" s="113"/>
      <c r="G514" s="113"/>
      <c r="P514">
        <v>502</v>
      </c>
      <c r="Q514" t="s">
        <v>2410</v>
      </c>
      <c r="R514" t="s">
        <v>2641</v>
      </c>
    </row>
    <row r="515" spans="1:18">
      <c r="A515" s="113" t="s">
        <v>709</v>
      </c>
      <c r="B515" s="113" t="s">
        <v>315</v>
      </c>
      <c r="D515" s="113"/>
      <c r="E515" s="113"/>
      <c r="F515" s="113"/>
      <c r="G515" s="113"/>
      <c r="P515">
        <v>503</v>
      </c>
      <c r="Q515" t="s">
        <v>2410</v>
      </c>
      <c r="R515" t="s">
        <v>2641</v>
      </c>
    </row>
    <row r="516" spans="1:18">
      <c r="A516" s="113" t="s">
        <v>710</v>
      </c>
      <c r="B516" s="113" t="s">
        <v>315</v>
      </c>
      <c r="D516" s="113"/>
      <c r="E516" s="113"/>
      <c r="F516" s="113"/>
      <c r="G516" s="113"/>
      <c r="P516">
        <v>504</v>
      </c>
      <c r="Q516" t="s">
        <v>2410</v>
      </c>
      <c r="R516" t="s">
        <v>2641</v>
      </c>
    </row>
    <row r="517" spans="1:18">
      <c r="A517" s="113" t="s">
        <v>711</v>
      </c>
      <c r="B517" s="113" t="s">
        <v>315</v>
      </c>
      <c r="D517" s="113"/>
      <c r="E517" s="113"/>
      <c r="F517" s="113"/>
      <c r="G517" s="113"/>
      <c r="P517">
        <v>505</v>
      </c>
      <c r="Q517" t="s">
        <v>2410</v>
      </c>
      <c r="R517" t="s">
        <v>2641</v>
      </c>
    </row>
    <row r="518" spans="1:18">
      <c r="A518" s="113" t="s">
        <v>712</v>
      </c>
      <c r="B518" s="113" t="s">
        <v>315</v>
      </c>
      <c r="D518" s="113"/>
      <c r="E518" s="113"/>
      <c r="F518" s="113"/>
      <c r="G518" s="113"/>
      <c r="P518">
        <v>506</v>
      </c>
      <c r="Q518" t="s">
        <v>2410</v>
      </c>
      <c r="R518" t="s">
        <v>2641</v>
      </c>
    </row>
    <row r="519" spans="1:18">
      <c r="A519" s="113" t="s">
        <v>713</v>
      </c>
      <c r="B519" s="113" t="s">
        <v>315</v>
      </c>
      <c r="D519" s="113"/>
      <c r="E519" s="113"/>
      <c r="F519" s="113"/>
      <c r="G519" s="113"/>
      <c r="P519">
        <v>507</v>
      </c>
      <c r="Q519" t="s">
        <v>2410</v>
      </c>
      <c r="R519" t="s">
        <v>2641</v>
      </c>
    </row>
    <row r="520" spans="1:18">
      <c r="A520" s="113" t="s">
        <v>714</v>
      </c>
      <c r="B520" s="113" t="s">
        <v>315</v>
      </c>
      <c r="D520" s="113"/>
      <c r="E520" s="113"/>
      <c r="F520" s="113"/>
      <c r="G520" s="113"/>
      <c r="P520">
        <v>508</v>
      </c>
      <c r="Q520" t="s">
        <v>2410</v>
      </c>
      <c r="R520" t="s">
        <v>2641</v>
      </c>
    </row>
    <row r="521" spans="1:18">
      <c r="A521" s="113" t="s">
        <v>715</v>
      </c>
      <c r="B521" s="113" t="s">
        <v>315</v>
      </c>
      <c r="D521" s="113"/>
      <c r="E521" s="113"/>
      <c r="F521" s="113"/>
      <c r="G521" s="113"/>
      <c r="P521">
        <v>509</v>
      </c>
      <c r="Q521" t="s">
        <v>2410</v>
      </c>
      <c r="R521" t="s">
        <v>2641</v>
      </c>
    </row>
    <row r="522" spans="1:18">
      <c r="A522" s="113" t="s">
        <v>716</v>
      </c>
      <c r="B522" s="113" t="s">
        <v>315</v>
      </c>
      <c r="D522" s="113"/>
      <c r="E522" s="113"/>
      <c r="F522" s="113"/>
      <c r="G522" s="113"/>
      <c r="P522">
        <v>510</v>
      </c>
      <c r="Q522" t="s">
        <v>2410</v>
      </c>
      <c r="R522" t="s">
        <v>2641</v>
      </c>
    </row>
    <row r="523" spans="1:18">
      <c r="A523" s="113" t="s">
        <v>717</v>
      </c>
      <c r="B523" s="113" t="s">
        <v>315</v>
      </c>
      <c r="D523" s="113"/>
      <c r="E523" s="113"/>
      <c r="F523" s="113"/>
      <c r="G523" s="113"/>
      <c r="P523">
        <v>511</v>
      </c>
      <c r="Q523" t="s">
        <v>2410</v>
      </c>
      <c r="R523" t="s">
        <v>2641</v>
      </c>
    </row>
    <row r="524" spans="1:18">
      <c r="A524" s="113" t="s">
        <v>718</v>
      </c>
      <c r="B524" s="113" t="s">
        <v>315</v>
      </c>
      <c r="D524" s="113"/>
      <c r="E524" s="113"/>
      <c r="F524" s="113"/>
      <c r="G524" s="113"/>
      <c r="P524">
        <v>512</v>
      </c>
      <c r="Q524" t="s">
        <v>2410</v>
      </c>
      <c r="R524" t="s">
        <v>2641</v>
      </c>
    </row>
    <row r="525" spans="1:18">
      <c r="A525" s="113" t="s">
        <v>719</v>
      </c>
      <c r="B525" s="113" t="s">
        <v>315</v>
      </c>
      <c r="D525" s="113"/>
      <c r="E525" s="113"/>
      <c r="F525" s="113"/>
      <c r="G525" s="113"/>
      <c r="P525">
        <v>513</v>
      </c>
      <c r="Q525" t="s">
        <v>2410</v>
      </c>
      <c r="R525" t="s">
        <v>2641</v>
      </c>
    </row>
    <row r="526" spans="1:18">
      <c r="A526" s="113" t="s">
        <v>720</v>
      </c>
      <c r="B526" s="113" t="s">
        <v>315</v>
      </c>
      <c r="D526" s="113"/>
      <c r="E526" s="113"/>
      <c r="F526" s="113"/>
      <c r="G526" s="113"/>
      <c r="P526">
        <v>514</v>
      </c>
      <c r="Q526" t="s">
        <v>2410</v>
      </c>
      <c r="R526" t="s">
        <v>2641</v>
      </c>
    </row>
    <row r="527" spans="1:18">
      <c r="A527" s="113" t="s">
        <v>721</v>
      </c>
      <c r="B527" s="113" t="s">
        <v>315</v>
      </c>
      <c r="D527" s="113"/>
      <c r="E527" s="113"/>
      <c r="F527" s="113"/>
      <c r="G527" s="113"/>
      <c r="P527">
        <v>515</v>
      </c>
      <c r="Q527" t="s">
        <v>2410</v>
      </c>
      <c r="R527" t="s">
        <v>2641</v>
      </c>
    </row>
    <row r="528" spans="1:18">
      <c r="A528" s="113" t="s">
        <v>722</v>
      </c>
      <c r="B528" s="113" t="s">
        <v>315</v>
      </c>
      <c r="D528" s="113"/>
      <c r="E528" s="113"/>
      <c r="F528" s="113"/>
      <c r="G528" s="113"/>
      <c r="P528">
        <v>516</v>
      </c>
      <c r="Q528" t="s">
        <v>2410</v>
      </c>
      <c r="R528" t="s">
        <v>2641</v>
      </c>
    </row>
    <row r="529" spans="1:18">
      <c r="A529" s="113" t="s">
        <v>723</v>
      </c>
      <c r="B529" s="113" t="s">
        <v>315</v>
      </c>
      <c r="D529" s="113"/>
      <c r="E529" s="113"/>
      <c r="F529" s="113"/>
      <c r="G529" s="113"/>
      <c r="P529">
        <v>517</v>
      </c>
      <c r="Q529" t="s">
        <v>2410</v>
      </c>
      <c r="R529" t="s">
        <v>2641</v>
      </c>
    </row>
    <row r="530" spans="1:18">
      <c r="A530" s="113" t="s">
        <v>724</v>
      </c>
      <c r="B530" s="113" t="s">
        <v>315</v>
      </c>
      <c r="D530" s="113"/>
      <c r="E530" s="113"/>
      <c r="F530" s="113"/>
      <c r="G530" s="113"/>
      <c r="P530">
        <v>518</v>
      </c>
      <c r="Q530" t="s">
        <v>2410</v>
      </c>
      <c r="R530" t="s">
        <v>2641</v>
      </c>
    </row>
    <row r="531" spans="1:18">
      <c r="A531" s="113" t="s">
        <v>725</v>
      </c>
      <c r="B531" s="113" t="s">
        <v>315</v>
      </c>
      <c r="D531" s="113"/>
      <c r="E531" s="113"/>
      <c r="F531" s="113"/>
      <c r="G531" s="113"/>
      <c r="P531">
        <v>519</v>
      </c>
      <c r="Q531" t="s">
        <v>2410</v>
      </c>
      <c r="R531" t="s">
        <v>2641</v>
      </c>
    </row>
    <row r="532" spans="1:18">
      <c r="A532" s="113" t="s">
        <v>726</v>
      </c>
      <c r="B532" s="113" t="s">
        <v>315</v>
      </c>
      <c r="D532" s="113"/>
      <c r="E532" s="113"/>
      <c r="F532" s="113"/>
      <c r="G532" s="113"/>
      <c r="P532">
        <v>520</v>
      </c>
      <c r="Q532" t="s">
        <v>2410</v>
      </c>
      <c r="R532" t="s">
        <v>2641</v>
      </c>
    </row>
    <row r="533" spans="1:18">
      <c r="A533" s="113" t="s">
        <v>727</v>
      </c>
      <c r="B533" s="113" t="s">
        <v>315</v>
      </c>
      <c r="D533" s="113"/>
      <c r="E533" s="113"/>
      <c r="F533" s="113"/>
      <c r="G533" s="113"/>
      <c r="P533">
        <v>521</v>
      </c>
      <c r="Q533" t="s">
        <v>2410</v>
      </c>
      <c r="R533" t="s">
        <v>2641</v>
      </c>
    </row>
    <row r="534" spans="1:18">
      <c r="A534" s="113" t="s">
        <v>728</v>
      </c>
      <c r="B534" s="113" t="s">
        <v>315</v>
      </c>
      <c r="D534" s="113"/>
      <c r="E534" s="113"/>
      <c r="F534" s="113"/>
      <c r="G534" s="113"/>
      <c r="P534">
        <v>522</v>
      </c>
      <c r="Q534" t="s">
        <v>2410</v>
      </c>
      <c r="R534" t="s">
        <v>2641</v>
      </c>
    </row>
    <row r="535" spans="1:18">
      <c r="A535" s="113" t="s">
        <v>729</v>
      </c>
      <c r="B535" s="113" t="s">
        <v>315</v>
      </c>
      <c r="D535" s="113"/>
      <c r="E535" s="113"/>
      <c r="F535" s="113"/>
      <c r="G535" s="113"/>
      <c r="P535">
        <v>523</v>
      </c>
      <c r="Q535" t="s">
        <v>2410</v>
      </c>
      <c r="R535" t="s">
        <v>2641</v>
      </c>
    </row>
    <row r="536" spans="1:18">
      <c r="A536" s="113" t="s">
        <v>730</v>
      </c>
      <c r="B536" s="113" t="s">
        <v>315</v>
      </c>
      <c r="D536" s="113"/>
      <c r="E536" s="113"/>
      <c r="F536" s="113"/>
      <c r="G536" s="113"/>
      <c r="P536">
        <v>524</v>
      </c>
      <c r="Q536" t="s">
        <v>2410</v>
      </c>
      <c r="R536" t="s">
        <v>2641</v>
      </c>
    </row>
    <row r="537" spans="1:18">
      <c r="A537" s="113" t="s">
        <v>731</v>
      </c>
      <c r="B537" s="113" t="s">
        <v>315</v>
      </c>
      <c r="D537" s="113"/>
      <c r="E537" s="113"/>
      <c r="F537" s="113"/>
      <c r="G537" s="113"/>
      <c r="P537">
        <v>525</v>
      </c>
      <c r="Q537" t="s">
        <v>2410</v>
      </c>
      <c r="R537" t="s">
        <v>2641</v>
      </c>
    </row>
    <row r="538" spans="1:18">
      <c r="A538" s="113" t="s">
        <v>732</v>
      </c>
      <c r="B538" s="113" t="s">
        <v>315</v>
      </c>
      <c r="D538" s="113"/>
      <c r="E538" s="113"/>
      <c r="F538" s="113"/>
      <c r="G538" s="113"/>
      <c r="P538">
        <v>526</v>
      </c>
      <c r="Q538" t="s">
        <v>2410</v>
      </c>
      <c r="R538" t="s">
        <v>2641</v>
      </c>
    </row>
    <row r="539" spans="1:18">
      <c r="A539" s="113" t="s">
        <v>733</v>
      </c>
      <c r="B539" s="113" t="s">
        <v>315</v>
      </c>
      <c r="D539" s="113"/>
      <c r="E539" s="113"/>
      <c r="F539" s="113"/>
      <c r="G539" s="113"/>
      <c r="P539">
        <v>527</v>
      </c>
      <c r="Q539" t="s">
        <v>2410</v>
      </c>
      <c r="R539" t="s">
        <v>2641</v>
      </c>
    </row>
    <row r="540" spans="1:18">
      <c r="A540" s="113" t="s">
        <v>734</v>
      </c>
      <c r="B540" s="113" t="s">
        <v>315</v>
      </c>
      <c r="D540" s="113"/>
      <c r="E540" s="113"/>
      <c r="F540" s="113"/>
      <c r="G540" s="113"/>
      <c r="P540">
        <v>528</v>
      </c>
      <c r="Q540" t="s">
        <v>2410</v>
      </c>
      <c r="R540" t="s">
        <v>2641</v>
      </c>
    </row>
    <row r="541" spans="1:18">
      <c r="A541" s="113" t="s">
        <v>735</v>
      </c>
      <c r="B541" s="113" t="s">
        <v>315</v>
      </c>
      <c r="D541" s="113"/>
      <c r="E541" s="113"/>
      <c r="F541" s="113"/>
      <c r="G541" s="113"/>
      <c r="P541">
        <v>529</v>
      </c>
      <c r="Q541" t="s">
        <v>2410</v>
      </c>
      <c r="R541" t="s">
        <v>2641</v>
      </c>
    </row>
    <row r="542" spans="1:18">
      <c r="A542" s="113" t="s">
        <v>736</v>
      </c>
      <c r="B542" s="113" t="s">
        <v>315</v>
      </c>
      <c r="D542" s="113"/>
      <c r="E542" s="113"/>
      <c r="F542" s="113"/>
      <c r="G542" s="113"/>
      <c r="P542">
        <v>530</v>
      </c>
      <c r="Q542" t="s">
        <v>2410</v>
      </c>
      <c r="R542" t="s">
        <v>2641</v>
      </c>
    </row>
    <row r="543" spans="1:18">
      <c r="A543" s="113" t="s">
        <v>737</v>
      </c>
      <c r="B543" s="113" t="s">
        <v>315</v>
      </c>
      <c r="D543" s="113"/>
      <c r="E543" s="113"/>
      <c r="F543" s="113"/>
      <c r="G543" s="113"/>
      <c r="P543">
        <v>531</v>
      </c>
      <c r="Q543" t="s">
        <v>2410</v>
      </c>
      <c r="R543" t="s">
        <v>2641</v>
      </c>
    </row>
    <row r="544" spans="1:18">
      <c r="A544" s="113" t="s">
        <v>738</v>
      </c>
      <c r="B544" s="113" t="s">
        <v>315</v>
      </c>
      <c r="D544" s="113"/>
      <c r="E544" s="113"/>
      <c r="F544" s="113"/>
      <c r="G544" s="113"/>
      <c r="P544">
        <v>532</v>
      </c>
      <c r="Q544" t="s">
        <v>2410</v>
      </c>
      <c r="R544" t="s">
        <v>2641</v>
      </c>
    </row>
    <row r="545" spans="1:18">
      <c r="A545" s="113" t="s">
        <v>739</v>
      </c>
      <c r="B545" s="113" t="s">
        <v>315</v>
      </c>
      <c r="D545" s="113"/>
      <c r="E545" s="113"/>
      <c r="F545" s="113"/>
      <c r="G545" s="113"/>
      <c r="P545">
        <v>533</v>
      </c>
      <c r="Q545" t="s">
        <v>2410</v>
      </c>
      <c r="R545" t="s">
        <v>2641</v>
      </c>
    </row>
    <row r="546" spans="1:18">
      <c r="A546" s="113" t="s">
        <v>740</v>
      </c>
      <c r="B546" s="113" t="s">
        <v>315</v>
      </c>
      <c r="D546" s="113"/>
      <c r="E546" s="113"/>
      <c r="F546" s="113"/>
      <c r="G546" s="113"/>
      <c r="P546">
        <v>534</v>
      </c>
      <c r="Q546" t="s">
        <v>2410</v>
      </c>
      <c r="R546" t="s">
        <v>2641</v>
      </c>
    </row>
    <row r="547" spans="1:18">
      <c r="A547" s="113" t="s">
        <v>741</v>
      </c>
      <c r="B547" s="113" t="s">
        <v>315</v>
      </c>
      <c r="D547" s="113"/>
      <c r="E547" s="113"/>
      <c r="F547" s="113"/>
      <c r="G547" s="113"/>
      <c r="P547">
        <v>535</v>
      </c>
      <c r="Q547" t="s">
        <v>2410</v>
      </c>
      <c r="R547" t="s">
        <v>2641</v>
      </c>
    </row>
    <row r="548" spans="1:18">
      <c r="A548" s="113" t="s">
        <v>742</v>
      </c>
      <c r="B548" s="113" t="s">
        <v>315</v>
      </c>
      <c r="D548" s="113"/>
      <c r="E548" s="113"/>
      <c r="F548" s="113"/>
      <c r="G548" s="113"/>
      <c r="P548">
        <v>536</v>
      </c>
      <c r="Q548" t="s">
        <v>2410</v>
      </c>
      <c r="R548" t="s">
        <v>2641</v>
      </c>
    </row>
    <row r="549" spans="1:18">
      <c r="A549" s="113" t="s">
        <v>743</v>
      </c>
      <c r="B549" s="113" t="s">
        <v>315</v>
      </c>
      <c r="D549" s="113"/>
      <c r="E549" s="113"/>
      <c r="F549" s="113"/>
      <c r="G549" s="113"/>
      <c r="P549">
        <v>537</v>
      </c>
      <c r="Q549" t="s">
        <v>2410</v>
      </c>
      <c r="R549" t="s">
        <v>2641</v>
      </c>
    </row>
    <row r="550" spans="1:18">
      <c r="A550" s="113" t="s">
        <v>744</v>
      </c>
      <c r="B550" s="113" t="s">
        <v>315</v>
      </c>
      <c r="D550" s="113"/>
      <c r="E550" s="113"/>
      <c r="F550" s="113"/>
      <c r="G550" s="113"/>
      <c r="P550">
        <v>538</v>
      </c>
      <c r="Q550" t="s">
        <v>2410</v>
      </c>
      <c r="R550" t="s">
        <v>2641</v>
      </c>
    </row>
    <row r="551" spans="1:18">
      <c r="A551" s="113" t="s">
        <v>745</v>
      </c>
      <c r="B551" s="113" t="s">
        <v>315</v>
      </c>
      <c r="D551" s="113"/>
      <c r="E551" s="113"/>
      <c r="F551" s="113"/>
      <c r="G551" s="113"/>
      <c r="P551">
        <v>539</v>
      </c>
      <c r="Q551" t="s">
        <v>2410</v>
      </c>
      <c r="R551" t="s">
        <v>2641</v>
      </c>
    </row>
    <row r="552" spans="1:18">
      <c r="A552" s="113" t="s">
        <v>746</v>
      </c>
      <c r="B552" s="113" t="s">
        <v>315</v>
      </c>
      <c r="D552" s="113"/>
      <c r="E552" s="113"/>
      <c r="F552" s="113"/>
      <c r="G552" s="113"/>
      <c r="P552">
        <v>540</v>
      </c>
      <c r="Q552" t="s">
        <v>2410</v>
      </c>
      <c r="R552" t="s">
        <v>2641</v>
      </c>
    </row>
    <row r="553" spans="1:18">
      <c r="A553" s="113" t="s">
        <v>747</v>
      </c>
      <c r="B553" s="113" t="s">
        <v>315</v>
      </c>
      <c r="D553" s="113"/>
      <c r="E553" s="113"/>
      <c r="F553" s="113"/>
      <c r="G553" s="113"/>
      <c r="P553">
        <v>541</v>
      </c>
      <c r="Q553" t="s">
        <v>2410</v>
      </c>
      <c r="R553" t="s">
        <v>2641</v>
      </c>
    </row>
    <row r="554" spans="1:18">
      <c r="A554" s="113" t="s">
        <v>748</v>
      </c>
      <c r="B554" s="113" t="s">
        <v>315</v>
      </c>
      <c r="D554" s="113"/>
      <c r="E554" s="113"/>
      <c r="F554" s="113"/>
      <c r="G554" s="113"/>
      <c r="P554">
        <v>542</v>
      </c>
      <c r="Q554" t="s">
        <v>2410</v>
      </c>
      <c r="R554" t="s">
        <v>2641</v>
      </c>
    </row>
    <row r="555" spans="1:18">
      <c r="A555" s="113" t="s">
        <v>749</v>
      </c>
      <c r="B555" s="113" t="s">
        <v>315</v>
      </c>
      <c r="D555" s="113"/>
      <c r="E555" s="113"/>
      <c r="F555" s="113"/>
      <c r="G555" s="113"/>
      <c r="P555">
        <v>543</v>
      </c>
      <c r="Q555" t="s">
        <v>2410</v>
      </c>
      <c r="R555" t="s">
        <v>2641</v>
      </c>
    </row>
    <row r="556" spans="1:18">
      <c r="A556" s="113" t="s">
        <v>750</v>
      </c>
      <c r="B556" s="113" t="s">
        <v>315</v>
      </c>
      <c r="D556" s="113"/>
      <c r="E556" s="113"/>
      <c r="F556" s="113"/>
      <c r="G556" s="113"/>
      <c r="P556">
        <v>544</v>
      </c>
      <c r="Q556" t="s">
        <v>2410</v>
      </c>
      <c r="R556" t="s">
        <v>2641</v>
      </c>
    </row>
    <row r="557" spans="1:18">
      <c r="A557" s="113" t="s">
        <v>751</v>
      </c>
      <c r="B557" s="113" t="s">
        <v>315</v>
      </c>
      <c r="D557" s="113"/>
      <c r="E557" s="113"/>
      <c r="F557" s="113"/>
      <c r="G557" s="113"/>
      <c r="P557">
        <v>545</v>
      </c>
      <c r="Q557" t="s">
        <v>2410</v>
      </c>
      <c r="R557" t="s">
        <v>2641</v>
      </c>
    </row>
    <row r="558" spans="1:18">
      <c r="A558" s="113" t="s">
        <v>752</v>
      </c>
      <c r="B558" s="113" t="s">
        <v>315</v>
      </c>
      <c r="D558" s="113"/>
      <c r="E558" s="113"/>
      <c r="F558" s="113"/>
      <c r="G558" s="113"/>
      <c r="P558">
        <v>546</v>
      </c>
      <c r="Q558" t="s">
        <v>2410</v>
      </c>
      <c r="R558" t="s">
        <v>2641</v>
      </c>
    </row>
    <row r="559" spans="1:18">
      <c r="A559" s="113" t="s">
        <v>753</v>
      </c>
      <c r="B559" s="113" t="s">
        <v>315</v>
      </c>
      <c r="D559" s="113"/>
      <c r="E559" s="113"/>
      <c r="F559" s="113"/>
      <c r="G559" s="113"/>
      <c r="P559">
        <v>547</v>
      </c>
      <c r="Q559" t="s">
        <v>2410</v>
      </c>
      <c r="R559" t="s">
        <v>2641</v>
      </c>
    </row>
    <row r="560" spans="1:18">
      <c r="A560" s="113" t="s">
        <v>754</v>
      </c>
      <c r="B560" s="113" t="s">
        <v>315</v>
      </c>
      <c r="D560" s="113"/>
      <c r="E560" s="113"/>
      <c r="F560" s="113"/>
      <c r="G560" s="113"/>
      <c r="P560">
        <v>548</v>
      </c>
      <c r="Q560" t="s">
        <v>2410</v>
      </c>
      <c r="R560" t="s">
        <v>2641</v>
      </c>
    </row>
    <row r="561" spans="1:18">
      <c r="A561" s="113" t="s">
        <v>755</v>
      </c>
      <c r="B561" s="113" t="s">
        <v>756</v>
      </c>
      <c r="D561" s="113"/>
      <c r="E561" s="113"/>
      <c r="F561" s="113"/>
      <c r="G561" s="113"/>
      <c r="P561">
        <v>549</v>
      </c>
      <c r="Q561" t="s">
        <v>2410</v>
      </c>
      <c r="R561" t="s">
        <v>2641</v>
      </c>
    </row>
    <row r="562" spans="1:18">
      <c r="A562" s="113" t="s">
        <v>757</v>
      </c>
      <c r="B562" s="113" t="s">
        <v>315</v>
      </c>
      <c r="D562" s="113"/>
      <c r="E562" s="113"/>
      <c r="F562" s="113"/>
      <c r="G562" s="113"/>
      <c r="P562">
        <v>550</v>
      </c>
      <c r="Q562" t="s">
        <v>2410</v>
      </c>
      <c r="R562" t="s">
        <v>2641</v>
      </c>
    </row>
    <row r="563" spans="1:18">
      <c r="A563" s="113" t="s">
        <v>758</v>
      </c>
      <c r="B563" s="113" t="s">
        <v>315</v>
      </c>
      <c r="D563" s="113"/>
      <c r="E563" s="113"/>
      <c r="F563" s="113"/>
      <c r="G563" s="113"/>
      <c r="P563">
        <v>551</v>
      </c>
      <c r="Q563" t="s">
        <v>2410</v>
      </c>
      <c r="R563" t="s">
        <v>2641</v>
      </c>
    </row>
    <row r="564" spans="1:18">
      <c r="A564" s="113" t="s">
        <v>759</v>
      </c>
      <c r="B564" s="113" t="s">
        <v>315</v>
      </c>
      <c r="D564" s="113"/>
      <c r="E564" s="113"/>
      <c r="F564" s="113"/>
      <c r="G564" s="113"/>
      <c r="P564">
        <v>552</v>
      </c>
      <c r="Q564" t="s">
        <v>2410</v>
      </c>
      <c r="R564" t="s">
        <v>2641</v>
      </c>
    </row>
    <row r="565" spans="1:18">
      <c r="A565" s="113" t="s">
        <v>760</v>
      </c>
      <c r="B565" s="113" t="s">
        <v>315</v>
      </c>
      <c r="D565" s="113"/>
      <c r="E565" s="113"/>
      <c r="F565" s="113"/>
      <c r="G565" s="113"/>
      <c r="P565">
        <v>553</v>
      </c>
      <c r="Q565" t="s">
        <v>2410</v>
      </c>
      <c r="R565" t="s">
        <v>2641</v>
      </c>
    </row>
    <row r="566" spans="1:18">
      <c r="A566" s="113" t="s">
        <v>761</v>
      </c>
      <c r="B566" s="113" t="s">
        <v>756</v>
      </c>
      <c r="D566" s="113"/>
      <c r="E566" s="113"/>
      <c r="F566" s="113"/>
      <c r="G566" s="113"/>
      <c r="P566">
        <v>554</v>
      </c>
      <c r="Q566" t="s">
        <v>2410</v>
      </c>
      <c r="R566" t="s">
        <v>2641</v>
      </c>
    </row>
    <row r="567" spans="1:18">
      <c r="A567" s="113" t="s">
        <v>762</v>
      </c>
      <c r="B567" s="113" t="s">
        <v>315</v>
      </c>
      <c r="D567" s="113"/>
      <c r="E567" s="113"/>
      <c r="F567" s="113"/>
      <c r="G567" s="113"/>
      <c r="P567">
        <v>555</v>
      </c>
      <c r="Q567" t="s">
        <v>2410</v>
      </c>
      <c r="R567" t="s">
        <v>2641</v>
      </c>
    </row>
    <row r="568" spans="1:18">
      <c r="A568" s="113" t="s">
        <v>763</v>
      </c>
      <c r="B568" s="113" t="s">
        <v>315</v>
      </c>
      <c r="D568" s="113"/>
      <c r="E568" s="113"/>
      <c r="F568" s="113"/>
      <c r="G568" s="113"/>
      <c r="P568">
        <v>556</v>
      </c>
      <c r="Q568" t="s">
        <v>2410</v>
      </c>
      <c r="R568" t="s">
        <v>2641</v>
      </c>
    </row>
    <row r="569" spans="1:18">
      <c r="A569" s="113" t="s">
        <v>764</v>
      </c>
      <c r="B569" s="113" t="s">
        <v>315</v>
      </c>
      <c r="D569" s="113"/>
      <c r="E569" s="113"/>
      <c r="F569" s="113"/>
      <c r="G569" s="113"/>
      <c r="P569">
        <v>557</v>
      </c>
      <c r="Q569" t="s">
        <v>2410</v>
      </c>
      <c r="R569" t="s">
        <v>2641</v>
      </c>
    </row>
    <row r="570" spans="1:18">
      <c r="A570" s="113" t="s">
        <v>765</v>
      </c>
      <c r="B570" s="113" t="s">
        <v>315</v>
      </c>
      <c r="D570" s="113"/>
      <c r="E570" s="113"/>
      <c r="F570" s="113"/>
      <c r="G570" s="113"/>
      <c r="P570">
        <v>558</v>
      </c>
      <c r="Q570" t="s">
        <v>2410</v>
      </c>
      <c r="R570" t="s">
        <v>2641</v>
      </c>
    </row>
    <row r="571" spans="1:18">
      <c r="A571" s="113" t="s">
        <v>766</v>
      </c>
      <c r="B571" s="113" t="s">
        <v>315</v>
      </c>
      <c r="P571">
        <v>559</v>
      </c>
      <c r="Q571" t="s">
        <v>2410</v>
      </c>
      <c r="R571" t="s">
        <v>2641</v>
      </c>
    </row>
    <row r="572" spans="1:18">
      <c r="A572" s="113" t="s">
        <v>767</v>
      </c>
      <c r="B572" s="113" t="s">
        <v>315</v>
      </c>
      <c r="P572">
        <v>560</v>
      </c>
      <c r="Q572" t="s">
        <v>2410</v>
      </c>
      <c r="R572" t="s">
        <v>2641</v>
      </c>
    </row>
    <row r="573" spans="1:18">
      <c r="A573" s="113" t="s">
        <v>768</v>
      </c>
      <c r="B573" s="113" t="s">
        <v>315</v>
      </c>
      <c r="P573">
        <v>561</v>
      </c>
      <c r="Q573" t="s">
        <v>2410</v>
      </c>
      <c r="R573" t="s">
        <v>2641</v>
      </c>
    </row>
    <row r="574" spans="1:18">
      <c r="A574" s="113" t="s">
        <v>769</v>
      </c>
      <c r="B574" s="113" t="s">
        <v>315</v>
      </c>
      <c r="P574">
        <v>562</v>
      </c>
      <c r="Q574" t="s">
        <v>2410</v>
      </c>
      <c r="R574" t="s">
        <v>2641</v>
      </c>
    </row>
    <row r="575" spans="1:18">
      <c r="A575" s="113" t="s">
        <v>770</v>
      </c>
      <c r="B575" s="113" t="s">
        <v>756</v>
      </c>
      <c r="P575">
        <v>563</v>
      </c>
      <c r="Q575" t="s">
        <v>2410</v>
      </c>
      <c r="R575" t="s">
        <v>2641</v>
      </c>
    </row>
    <row r="576" spans="1:18">
      <c r="A576" s="113" t="s">
        <v>771</v>
      </c>
      <c r="B576" s="113" t="s">
        <v>315</v>
      </c>
      <c r="P576">
        <v>564</v>
      </c>
      <c r="Q576" t="s">
        <v>2410</v>
      </c>
      <c r="R576" t="s">
        <v>2641</v>
      </c>
    </row>
    <row r="577" spans="1:18">
      <c r="A577" s="113" t="s">
        <v>772</v>
      </c>
      <c r="B577" s="113" t="s">
        <v>315</v>
      </c>
      <c r="P577">
        <v>565</v>
      </c>
      <c r="Q577" t="s">
        <v>2410</v>
      </c>
      <c r="R577" t="s">
        <v>2641</v>
      </c>
    </row>
    <row r="578" spans="1:18">
      <c r="A578" s="113" t="s">
        <v>773</v>
      </c>
      <c r="B578" s="113" t="s">
        <v>315</v>
      </c>
      <c r="P578">
        <v>566</v>
      </c>
      <c r="Q578" t="s">
        <v>2410</v>
      </c>
      <c r="R578" t="s">
        <v>2641</v>
      </c>
    </row>
    <row r="579" spans="1:18">
      <c r="A579" s="113" t="s">
        <v>774</v>
      </c>
      <c r="B579" s="113" t="s">
        <v>315</v>
      </c>
      <c r="P579">
        <v>567</v>
      </c>
      <c r="Q579" t="s">
        <v>2410</v>
      </c>
      <c r="R579" t="s">
        <v>2641</v>
      </c>
    </row>
    <row r="580" spans="1:18">
      <c r="A580" s="113" t="s">
        <v>775</v>
      </c>
      <c r="B580" s="113" t="s">
        <v>315</v>
      </c>
      <c r="P580">
        <v>568</v>
      </c>
      <c r="Q580" t="s">
        <v>2410</v>
      </c>
      <c r="R580" t="s">
        <v>2641</v>
      </c>
    </row>
    <row r="581" spans="1:18">
      <c r="A581" s="113" t="s">
        <v>776</v>
      </c>
      <c r="B581" s="113" t="s">
        <v>315</v>
      </c>
      <c r="P581">
        <v>569</v>
      </c>
      <c r="Q581" t="s">
        <v>2410</v>
      </c>
      <c r="R581" t="s">
        <v>2641</v>
      </c>
    </row>
    <row r="582" spans="1:18">
      <c r="A582" s="113" t="s">
        <v>777</v>
      </c>
      <c r="B582" s="113" t="s">
        <v>315</v>
      </c>
      <c r="P582">
        <v>570</v>
      </c>
      <c r="Q582" t="s">
        <v>2410</v>
      </c>
      <c r="R582" t="s">
        <v>2641</v>
      </c>
    </row>
    <row r="583" spans="1:18">
      <c r="A583" s="113" t="s">
        <v>778</v>
      </c>
      <c r="B583" s="113" t="s">
        <v>315</v>
      </c>
      <c r="P583">
        <v>571</v>
      </c>
      <c r="Q583" t="s">
        <v>2410</v>
      </c>
      <c r="R583" t="s">
        <v>2641</v>
      </c>
    </row>
    <row r="584" spans="1:18">
      <c r="A584" s="113" t="s">
        <v>779</v>
      </c>
      <c r="B584" s="113" t="s">
        <v>315</v>
      </c>
      <c r="P584">
        <v>572</v>
      </c>
      <c r="Q584" t="s">
        <v>2410</v>
      </c>
      <c r="R584" t="s">
        <v>2641</v>
      </c>
    </row>
    <row r="585" spans="1:18">
      <c r="A585" s="113" t="s">
        <v>780</v>
      </c>
      <c r="B585" s="113" t="s">
        <v>315</v>
      </c>
      <c r="P585">
        <v>573</v>
      </c>
      <c r="Q585" t="s">
        <v>2410</v>
      </c>
      <c r="R585" t="s">
        <v>2641</v>
      </c>
    </row>
    <row r="586" spans="1:18">
      <c r="A586" s="113" t="s">
        <v>781</v>
      </c>
      <c r="B586" s="113" t="s">
        <v>315</v>
      </c>
      <c r="P586">
        <v>574</v>
      </c>
      <c r="Q586" t="s">
        <v>2410</v>
      </c>
      <c r="R586" t="s">
        <v>2641</v>
      </c>
    </row>
    <row r="587" spans="1:18">
      <c r="A587" s="113" t="s">
        <v>782</v>
      </c>
      <c r="B587" s="113" t="s">
        <v>315</v>
      </c>
      <c r="P587">
        <v>575</v>
      </c>
      <c r="Q587" t="s">
        <v>2410</v>
      </c>
      <c r="R587" t="s">
        <v>2641</v>
      </c>
    </row>
    <row r="588" spans="1:18">
      <c r="A588" s="113" t="s">
        <v>783</v>
      </c>
      <c r="B588" s="113" t="s">
        <v>315</v>
      </c>
      <c r="P588">
        <v>576</v>
      </c>
      <c r="Q588" t="s">
        <v>2410</v>
      </c>
      <c r="R588" t="s">
        <v>2641</v>
      </c>
    </row>
    <row r="589" spans="1:18">
      <c r="A589" s="113" t="s">
        <v>784</v>
      </c>
      <c r="B589" s="113" t="s">
        <v>315</v>
      </c>
      <c r="P589">
        <v>577</v>
      </c>
      <c r="Q589" t="s">
        <v>2410</v>
      </c>
      <c r="R589" t="s">
        <v>2641</v>
      </c>
    </row>
    <row r="590" spans="1:18">
      <c r="A590" s="113" t="s">
        <v>785</v>
      </c>
      <c r="B590" s="113" t="s">
        <v>315</v>
      </c>
      <c r="P590">
        <v>578</v>
      </c>
      <c r="Q590" t="s">
        <v>2410</v>
      </c>
      <c r="R590" t="s">
        <v>2641</v>
      </c>
    </row>
    <row r="591" spans="1:18">
      <c r="A591" s="113" t="s">
        <v>786</v>
      </c>
      <c r="B591" s="113" t="s">
        <v>315</v>
      </c>
      <c r="P591">
        <v>579</v>
      </c>
      <c r="Q591" t="s">
        <v>2410</v>
      </c>
      <c r="R591" t="s">
        <v>2641</v>
      </c>
    </row>
    <row r="592" spans="1:18">
      <c r="A592" s="113" t="s">
        <v>787</v>
      </c>
      <c r="B592" s="113" t="s">
        <v>315</v>
      </c>
      <c r="P592">
        <v>580</v>
      </c>
      <c r="Q592" t="s">
        <v>2410</v>
      </c>
      <c r="R592" t="s">
        <v>2641</v>
      </c>
    </row>
    <row r="593" spans="1:18">
      <c r="A593" s="113" t="s">
        <v>788</v>
      </c>
      <c r="B593" s="113" t="s">
        <v>315</v>
      </c>
      <c r="P593">
        <v>581</v>
      </c>
      <c r="Q593" t="s">
        <v>2410</v>
      </c>
      <c r="R593" t="s">
        <v>2641</v>
      </c>
    </row>
    <row r="594" spans="1:18">
      <c r="A594" s="113" t="s">
        <v>789</v>
      </c>
      <c r="B594" s="113" t="s">
        <v>315</v>
      </c>
      <c r="P594">
        <v>582</v>
      </c>
      <c r="Q594" t="s">
        <v>2410</v>
      </c>
      <c r="R594" t="s">
        <v>2641</v>
      </c>
    </row>
    <row r="595" spans="1:18">
      <c r="A595" s="113" t="s">
        <v>790</v>
      </c>
      <c r="B595" s="113" t="s">
        <v>315</v>
      </c>
      <c r="P595">
        <v>583</v>
      </c>
      <c r="Q595" t="s">
        <v>2410</v>
      </c>
      <c r="R595" t="s">
        <v>2641</v>
      </c>
    </row>
    <row r="596" spans="1:18">
      <c r="A596" s="113" t="s">
        <v>791</v>
      </c>
      <c r="B596" s="113" t="s">
        <v>315</v>
      </c>
      <c r="P596">
        <v>584</v>
      </c>
      <c r="Q596" t="s">
        <v>2410</v>
      </c>
      <c r="R596" t="s">
        <v>2641</v>
      </c>
    </row>
    <row r="597" spans="1:18">
      <c r="A597" s="113" t="s">
        <v>792</v>
      </c>
      <c r="B597" s="113" t="s">
        <v>315</v>
      </c>
      <c r="P597">
        <v>585</v>
      </c>
      <c r="Q597" t="s">
        <v>2410</v>
      </c>
      <c r="R597" t="s">
        <v>2641</v>
      </c>
    </row>
    <row r="598" spans="1:18">
      <c r="A598" s="113" t="s">
        <v>793</v>
      </c>
      <c r="B598" s="113" t="s">
        <v>315</v>
      </c>
      <c r="P598">
        <v>586</v>
      </c>
      <c r="Q598" t="s">
        <v>2410</v>
      </c>
      <c r="R598" t="s">
        <v>2641</v>
      </c>
    </row>
    <row r="599" spans="1:18">
      <c r="A599" s="113" t="s">
        <v>794</v>
      </c>
      <c r="B599" s="113" t="s">
        <v>315</v>
      </c>
      <c r="P599">
        <v>587</v>
      </c>
      <c r="Q599" t="s">
        <v>2410</v>
      </c>
      <c r="R599" t="s">
        <v>2641</v>
      </c>
    </row>
    <row r="600" spans="1:18">
      <c r="A600" s="113" t="s">
        <v>795</v>
      </c>
      <c r="B600" s="113" t="s">
        <v>315</v>
      </c>
      <c r="P600">
        <v>588</v>
      </c>
      <c r="Q600" t="s">
        <v>2410</v>
      </c>
      <c r="R600" t="s">
        <v>2641</v>
      </c>
    </row>
    <row r="601" spans="1:18">
      <c r="A601" s="113" t="s">
        <v>796</v>
      </c>
      <c r="B601" s="113" t="s">
        <v>315</v>
      </c>
      <c r="P601">
        <v>589</v>
      </c>
      <c r="Q601" t="s">
        <v>2410</v>
      </c>
      <c r="R601" t="s">
        <v>2641</v>
      </c>
    </row>
    <row r="602" spans="1:18">
      <c r="A602" s="113" t="s">
        <v>797</v>
      </c>
      <c r="B602" s="113" t="s">
        <v>315</v>
      </c>
      <c r="P602">
        <v>590</v>
      </c>
      <c r="Q602" t="s">
        <v>2410</v>
      </c>
      <c r="R602" t="s">
        <v>2641</v>
      </c>
    </row>
    <row r="603" spans="1:18">
      <c r="A603" s="113" t="s">
        <v>798</v>
      </c>
      <c r="B603" s="113" t="s">
        <v>315</v>
      </c>
      <c r="P603">
        <v>591</v>
      </c>
      <c r="Q603" t="s">
        <v>2410</v>
      </c>
      <c r="R603" t="s">
        <v>2641</v>
      </c>
    </row>
    <row r="604" spans="1:18">
      <c r="A604" s="113" t="s">
        <v>799</v>
      </c>
      <c r="B604" s="113" t="s">
        <v>315</v>
      </c>
      <c r="P604">
        <v>592</v>
      </c>
      <c r="Q604" t="s">
        <v>2410</v>
      </c>
      <c r="R604" t="s">
        <v>2641</v>
      </c>
    </row>
    <row r="605" spans="1:18">
      <c r="A605" s="113" t="s">
        <v>800</v>
      </c>
      <c r="B605" s="113" t="s">
        <v>315</v>
      </c>
      <c r="P605">
        <v>593</v>
      </c>
      <c r="Q605" t="s">
        <v>2410</v>
      </c>
      <c r="R605" t="s">
        <v>2641</v>
      </c>
    </row>
    <row r="606" spans="1:18">
      <c r="A606" s="113" t="s">
        <v>801</v>
      </c>
      <c r="B606" s="113" t="s">
        <v>315</v>
      </c>
      <c r="P606">
        <v>594</v>
      </c>
      <c r="Q606" t="s">
        <v>2410</v>
      </c>
      <c r="R606" t="s">
        <v>2641</v>
      </c>
    </row>
    <row r="607" spans="1:18">
      <c r="A607" s="113" t="s">
        <v>802</v>
      </c>
      <c r="B607" s="113" t="s">
        <v>315</v>
      </c>
      <c r="P607">
        <v>595</v>
      </c>
      <c r="Q607" t="s">
        <v>2410</v>
      </c>
      <c r="R607" t="s">
        <v>2641</v>
      </c>
    </row>
    <row r="608" spans="1:18">
      <c r="A608" s="113" t="s">
        <v>803</v>
      </c>
      <c r="B608" s="113" t="s">
        <v>315</v>
      </c>
      <c r="P608">
        <v>596</v>
      </c>
      <c r="Q608" t="s">
        <v>2410</v>
      </c>
      <c r="R608" t="s">
        <v>2641</v>
      </c>
    </row>
    <row r="609" spans="1:18">
      <c r="A609" s="113" t="s">
        <v>804</v>
      </c>
      <c r="B609" s="113" t="s">
        <v>315</v>
      </c>
      <c r="P609">
        <v>597</v>
      </c>
      <c r="Q609" t="s">
        <v>2410</v>
      </c>
      <c r="R609" t="s">
        <v>2641</v>
      </c>
    </row>
    <row r="610" spans="1:18">
      <c r="A610" s="113" t="s">
        <v>805</v>
      </c>
      <c r="B610" s="113" t="s">
        <v>315</v>
      </c>
      <c r="P610">
        <v>598</v>
      </c>
      <c r="Q610" t="s">
        <v>2410</v>
      </c>
      <c r="R610" t="s">
        <v>2641</v>
      </c>
    </row>
    <row r="611" spans="1:18">
      <c r="A611" s="113" t="s">
        <v>806</v>
      </c>
      <c r="B611" s="113" t="s">
        <v>315</v>
      </c>
      <c r="P611">
        <v>599</v>
      </c>
      <c r="Q611" t="s">
        <v>2410</v>
      </c>
      <c r="R611" t="s">
        <v>2641</v>
      </c>
    </row>
    <row r="612" spans="1:18">
      <c r="A612" s="113" t="s">
        <v>807</v>
      </c>
      <c r="B612" s="113" t="s">
        <v>315</v>
      </c>
      <c r="P612">
        <v>600</v>
      </c>
      <c r="Q612" t="s">
        <v>2410</v>
      </c>
      <c r="R612" t="s">
        <v>2641</v>
      </c>
    </row>
    <row r="613" spans="1:18">
      <c r="A613" s="113" t="s">
        <v>808</v>
      </c>
      <c r="B613" s="113" t="s">
        <v>315</v>
      </c>
      <c r="P613">
        <v>601</v>
      </c>
      <c r="Q613" t="s">
        <v>2410</v>
      </c>
      <c r="R613" t="s">
        <v>2641</v>
      </c>
    </row>
    <row r="614" spans="1:18">
      <c r="A614" s="113" t="s">
        <v>809</v>
      </c>
      <c r="B614" s="113" t="s">
        <v>315</v>
      </c>
      <c r="P614">
        <v>602</v>
      </c>
      <c r="Q614" t="s">
        <v>2410</v>
      </c>
      <c r="R614" t="s">
        <v>2641</v>
      </c>
    </row>
    <row r="615" spans="1:18">
      <c r="A615" s="113" t="s">
        <v>810</v>
      </c>
      <c r="B615" s="113" t="s">
        <v>315</v>
      </c>
      <c r="P615">
        <v>603</v>
      </c>
      <c r="Q615" t="s">
        <v>2410</v>
      </c>
      <c r="R615" t="s">
        <v>2641</v>
      </c>
    </row>
    <row r="616" spans="1:18">
      <c r="A616" s="113" t="s">
        <v>811</v>
      </c>
      <c r="B616" s="113" t="s">
        <v>315</v>
      </c>
      <c r="P616">
        <v>604</v>
      </c>
      <c r="Q616" t="s">
        <v>2410</v>
      </c>
      <c r="R616" t="s">
        <v>2641</v>
      </c>
    </row>
    <row r="617" spans="1:18">
      <c r="A617" s="113" t="s">
        <v>812</v>
      </c>
      <c r="B617" s="113" t="s">
        <v>315</v>
      </c>
      <c r="P617">
        <v>605</v>
      </c>
      <c r="Q617" t="s">
        <v>2410</v>
      </c>
      <c r="R617" t="s">
        <v>2641</v>
      </c>
    </row>
    <row r="618" spans="1:18">
      <c r="A618" s="113" t="s">
        <v>813</v>
      </c>
      <c r="B618" s="113" t="s">
        <v>315</v>
      </c>
      <c r="P618">
        <v>606</v>
      </c>
      <c r="Q618" t="s">
        <v>2410</v>
      </c>
      <c r="R618" t="s">
        <v>2641</v>
      </c>
    </row>
    <row r="619" spans="1:18">
      <c r="A619" s="113" t="s">
        <v>814</v>
      </c>
      <c r="B619" s="113" t="s">
        <v>315</v>
      </c>
      <c r="P619">
        <v>607</v>
      </c>
      <c r="Q619" t="s">
        <v>2410</v>
      </c>
      <c r="R619" t="s">
        <v>2641</v>
      </c>
    </row>
    <row r="620" spans="1:18">
      <c r="A620" s="113" t="s">
        <v>815</v>
      </c>
      <c r="B620" s="113" t="s">
        <v>315</v>
      </c>
      <c r="P620">
        <v>608</v>
      </c>
      <c r="Q620" t="s">
        <v>2410</v>
      </c>
      <c r="R620" t="s">
        <v>2641</v>
      </c>
    </row>
    <row r="621" spans="1:18">
      <c r="A621" s="113" t="s">
        <v>816</v>
      </c>
      <c r="B621" s="113" t="s">
        <v>315</v>
      </c>
      <c r="P621">
        <v>609</v>
      </c>
      <c r="Q621" t="s">
        <v>2410</v>
      </c>
      <c r="R621" t="s">
        <v>2641</v>
      </c>
    </row>
    <row r="622" spans="1:18">
      <c r="A622" s="113" t="s">
        <v>817</v>
      </c>
      <c r="B622" s="113" t="s">
        <v>315</v>
      </c>
      <c r="P622">
        <v>610</v>
      </c>
      <c r="Q622" t="s">
        <v>2410</v>
      </c>
      <c r="R622" t="s">
        <v>2641</v>
      </c>
    </row>
    <row r="623" spans="1:18">
      <c r="A623" s="113" t="s">
        <v>818</v>
      </c>
      <c r="B623" s="113" t="s">
        <v>315</v>
      </c>
      <c r="P623">
        <v>611</v>
      </c>
      <c r="Q623" t="s">
        <v>2410</v>
      </c>
      <c r="R623" t="s">
        <v>2641</v>
      </c>
    </row>
    <row r="624" spans="1:18">
      <c r="A624" s="113" t="s">
        <v>819</v>
      </c>
      <c r="B624" s="113" t="s">
        <v>315</v>
      </c>
      <c r="P624">
        <v>612</v>
      </c>
      <c r="Q624" t="s">
        <v>2410</v>
      </c>
      <c r="R624" t="s">
        <v>2641</v>
      </c>
    </row>
    <row r="625" spans="1:18">
      <c r="A625" s="113" t="s">
        <v>820</v>
      </c>
      <c r="B625" s="113" t="s">
        <v>315</v>
      </c>
      <c r="P625">
        <v>613</v>
      </c>
      <c r="Q625" t="s">
        <v>2410</v>
      </c>
      <c r="R625" t="s">
        <v>2641</v>
      </c>
    </row>
    <row r="626" spans="1:18">
      <c r="A626" s="113" t="s">
        <v>821</v>
      </c>
      <c r="B626" s="113" t="s">
        <v>315</v>
      </c>
      <c r="P626">
        <v>614</v>
      </c>
      <c r="Q626" t="s">
        <v>2410</v>
      </c>
      <c r="R626" t="s">
        <v>2641</v>
      </c>
    </row>
    <row r="627" spans="1:18">
      <c r="A627" s="113" t="s">
        <v>822</v>
      </c>
      <c r="B627" s="113" t="s">
        <v>315</v>
      </c>
      <c r="P627">
        <v>615</v>
      </c>
      <c r="Q627" t="s">
        <v>2410</v>
      </c>
      <c r="R627" t="s">
        <v>2641</v>
      </c>
    </row>
    <row r="628" spans="1:18">
      <c r="A628" s="113" t="s">
        <v>823</v>
      </c>
      <c r="B628" s="113" t="s">
        <v>315</v>
      </c>
      <c r="P628">
        <v>616</v>
      </c>
      <c r="Q628" t="s">
        <v>2410</v>
      </c>
      <c r="R628" t="s">
        <v>2641</v>
      </c>
    </row>
    <row r="629" spans="1:18">
      <c r="A629" s="113" t="s">
        <v>824</v>
      </c>
      <c r="B629" s="113" t="s">
        <v>315</v>
      </c>
      <c r="P629">
        <v>617</v>
      </c>
      <c r="Q629" t="s">
        <v>2410</v>
      </c>
      <c r="R629" t="s">
        <v>2641</v>
      </c>
    </row>
    <row r="630" spans="1:18">
      <c r="A630" s="113" t="s">
        <v>825</v>
      </c>
      <c r="B630" s="113" t="s">
        <v>315</v>
      </c>
      <c r="P630">
        <v>618</v>
      </c>
      <c r="Q630" t="s">
        <v>2410</v>
      </c>
      <c r="R630" t="s">
        <v>2641</v>
      </c>
    </row>
    <row r="631" spans="1:18">
      <c r="A631" s="113" t="s">
        <v>826</v>
      </c>
      <c r="B631" s="113" t="s">
        <v>315</v>
      </c>
      <c r="P631">
        <v>619</v>
      </c>
      <c r="Q631" t="s">
        <v>2410</v>
      </c>
      <c r="R631" t="s">
        <v>2641</v>
      </c>
    </row>
    <row r="632" spans="1:18">
      <c r="A632" s="113" t="s">
        <v>827</v>
      </c>
      <c r="B632" s="113" t="s">
        <v>315</v>
      </c>
      <c r="P632">
        <v>620</v>
      </c>
      <c r="Q632" t="s">
        <v>2410</v>
      </c>
      <c r="R632" t="s">
        <v>2641</v>
      </c>
    </row>
    <row r="633" spans="1:18">
      <c r="A633" s="113" t="s">
        <v>828</v>
      </c>
      <c r="B633" s="113" t="s">
        <v>315</v>
      </c>
      <c r="P633">
        <v>621</v>
      </c>
      <c r="Q633" t="s">
        <v>2410</v>
      </c>
      <c r="R633" t="s">
        <v>2641</v>
      </c>
    </row>
    <row r="634" spans="1:18">
      <c r="A634" s="113" t="s">
        <v>829</v>
      </c>
      <c r="B634" s="113" t="s">
        <v>315</v>
      </c>
      <c r="P634">
        <v>622</v>
      </c>
      <c r="Q634" t="s">
        <v>2410</v>
      </c>
      <c r="R634" t="s">
        <v>2641</v>
      </c>
    </row>
    <row r="635" spans="1:18">
      <c r="A635" s="113" t="s">
        <v>830</v>
      </c>
      <c r="B635" s="113" t="s">
        <v>315</v>
      </c>
      <c r="P635">
        <v>623</v>
      </c>
      <c r="Q635" t="s">
        <v>2410</v>
      </c>
      <c r="R635" t="s">
        <v>2641</v>
      </c>
    </row>
    <row r="636" spans="1:18">
      <c r="A636" s="113" t="s">
        <v>831</v>
      </c>
      <c r="B636" s="113" t="s">
        <v>315</v>
      </c>
      <c r="P636">
        <v>624</v>
      </c>
      <c r="Q636" t="s">
        <v>2410</v>
      </c>
      <c r="R636" t="s">
        <v>2641</v>
      </c>
    </row>
    <row r="637" spans="1:18">
      <c r="A637" s="113" t="s">
        <v>832</v>
      </c>
      <c r="B637" s="113" t="s">
        <v>315</v>
      </c>
      <c r="P637">
        <v>625</v>
      </c>
      <c r="Q637" t="s">
        <v>2410</v>
      </c>
      <c r="R637" t="s">
        <v>2641</v>
      </c>
    </row>
    <row r="638" spans="1:18">
      <c r="A638" s="113" t="s">
        <v>833</v>
      </c>
      <c r="B638" s="113" t="s">
        <v>315</v>
      </c>
      <c r="P638">
        <v>626</v>
      </c>
      <c r="Q638" t="s">
        <v>2410</v>
      </c>
      <c r="R638" t="s">
        <v>2641</v>
      </c>
    </row>
    <row r="639" spans="1:18">
      <c r="A639" s="113" t="s">
        <v>834</v>
      </c>
      <c r="B639" s="113" t="s">
        <v>315</v>
      </c>
      <c r="P639">
        <v>627</v>
      </c>
      <c r="Q639" t="s">
        <v>2410</v>
      </c>
      <c r="R639" t="s">
        <v>2641</v>
      </c>
    </row>
    <row r="640" spans="1:18">
      <c r="A640" s="113" t="s">
        <v>835</v>
      </c>
      <c r="B640" s="113" t="s">
        <v>315</v>
      </c>
      <c r="P640">
        <v>628</v>
      </c>
      <c r="Q640" t="s">
        <v>2410</v>
      </c>
      <c r="R640" t="s">
        <v>2641</v>
      </c>
    </row>
    <row r="641" spans="1:18">
      <c r="A641" s="113" t="s">
        <v>836</v>
      </c>
      <c r="B641" s="113" t="s">
        <v>315</v>
      </c>
      <c r="P641">
        <v>629</v>
      </c>
      <c r="Q641" t="s">
        <v>2410</v>
      </c>
      <c r="R641" t="s">
        <v>2641</v>
      </c>
    </row>
    <row r="642" spans="1:18">
      <c r="A642" s="113" t="s">
        <v>837</v>
      </c>
      <c r="B642" s="113" t="s">
        <v>315</v>
      </c>
      <c r="P642">
        <v>630</v>
      </c>
      <c r="Q642" t="s">
        <v>2410</v>
      </c>
      <c r="R642" t="s">
        <v>2641</v>
      </c>
    </row>
    <row r="643" spans="1:18">
      <c r="A643" s="113" t="s">
        <v>838</v>
      </c>
      <c r="B643" s="113" t="s">
        <v>315</v>
      </c>
      <c r="P643">
        <v>631</v>
      </c>
      <c r="Q643" t="s">
        <v>2410</v>
      </c>
      <c r="R643" t="s">
        <v>2641</v>
      </c>
    </row>
    <row r="644" spans="1:18">
      <c r="A644" s="113" t="s">
        <v>839</v>
      </c>
      <c r="B644" s="113" t="s">
        <v>315</v>
      </c>
      <c r="P644">
        <v>632</v>
      </c>
      <c r="Q644" t="s">
        <v>2410</v>
      </c>
      <c r="R644" t="s">
        <v>2641</v>
      </c>
    </row>
    <row r="645" spans="1:18">
      <c r="A645" s="113" t="s">
        <v>840</v>
      </c>
      <c r="B645" s="113" t="s">
        <v>315</v>
      </c>
      <c r="P645">
        <v>633</v>
      </c>
      <c r="Q645" t="s">
        <v>2410</v>
      </c>
      <c r="R645" t="s">
        <v>2641</v>
      </c>
    </row>
    <row r="646" spans="1:18">
      <c r="A646" s="113" t="s">
        <v>841</v>
      </c>
      <c r="B646" s="113" t="s">
        <v>315</v>
      </c>
      <c r="P646">
        <v>634</v>
      </c>
      <c r="Q646" t="s">
        <v>2410</v>
      </c>
      <c r="R646" t="s">
        <v>2641</v>
      </c>
    </row>
    <row r="647" spans="1:18">
      <c r="A647" s="113" t="s">
        <v>842</v>
      </c>
      <c r="B647" s="113" t="s">
        <v>315</v>
      </c>
      <c r="P647">
        <v>635</v>
      </c>
      <c r="Q647" t="s">
        <v>2410</v>
      </c>
      <c r="R647" t="s">
        <v>2641</v>
      </c>
    </row>
    <row r="648" spans="1:18">
      <c r="A648" s="113" t="s">
        <v>843</v>
      </c>
      <c r="B648" s="113" t="s">
        <v>315</v>
      </c>
      <c r="P648">
        <v>636</v>
      </c>
      <c r="Q648" t="s">
        <v>2410</v>
      </c>
      <c r="R648" t="s">
        <v>2641</v>
      </c>
    </row>
    <row r="649" spans="1:18">
      <c r="A649" s="113" t="s">
        <v>844</v>
      </c>
      <c r="B649" s="113" t="s">
        <v>315</v>
      </c>
      <c r="P649">
        <v>637</v>
      </c>
      <c r="Q649" t="s">
        <v>2410</v>
      </c>
      <c r="R649" t="s">
        <v>2641</v>
      </c>
    </row>
    <row r="650" spans="1:18">
      <c r="A650" s="113" t="s">
        <v>845</v>
      </c>
      <c r="B650" s="113" t="s">
        <v>315</v>
      </c>
      <c r="P650">
        <v>638</v>
      </c>
      <c r="Q650" t="s">
        <v>2410</v>
      </c>
      <c r="R650" t="s">
        <v>2641</v>
      </c>
    </row>
    <row r="651" spans="1:18">
      <c r="A651" s="113" t="s">
        <v>846</v>
      </c>
      <c r="B651" s="113" t="s">
        <v>315</v>
      </c>
      <c r="P651">
        <v>639</v>
      </c>
      <c r="Q651" t="s">
        <v>2410</v>
      </c>
      <c r="R651" t="s">
        <v>2641</v>
      </c>
    </row>
    <row r="652" spans="1:18">
      <c r="A652" s="113" t="s">
        <v>847</v>
      </c>
      <c r="B652" s="113" t="s">
        <v>315</v>
      </c>
      <c r="P652">
        <v>640</v>
      </c>
      <c r="Q652" t="s">
        <v>2410</v>
      </c>
      <c r="R652" t="s">
        <v>2641</v>
      </c>
    </row>
    <row r="653" spans="1:18">
      <c r="A653" s="113" t="s">
        <v>848</v>
      </c>
      <c r="B653" s="113" t="s">
        <v>315</v>
      </c>
      <c r="P653">
        <v>641</v>
      </c>
      <c r="Q653" t="s">
        <v>2410</v>
      </c>
      <c r="R653" t="s">
        <v>2641</v>
      </c>
    </row>
    <row r="654" spans="1:18">
      <c r="A654" s="113" t="s">
        <v>849</v>
      </c>
      <c r="B654" s="113" t="s">
        <v>315</v>
      </c>
      <c r="P654">
        <v>642</v>
      </c>
      <c r="Q654" t="s">
        <v>2410</v>
      </c>
      <c r="R654" t="s">
        <v>2641</v>
      </c>
    </row>
    <row r="655" spans="1:18">
      <c r="A655" s="113" t="s">
        <v>850</v>
      </c>
      <c r="B655" s="113" t="s">
        <v>315</v>
      </c>
      <c r="P655">
        <v>643</v>
      </c>
      <c r="Q655" t="s">
        <v>2410</v>
      </c>
      <c r="R655" t="s">
        <v>2641</v>
      </c>
    </row>
    <row r="656" spans="1:18">
      <c r="A656" s="113" t="s">
        <v>851</v>
      </c>
      <c r="B656" s="113" t="s">
        <v>315</v>
      </c>
      <c r="P656">
        <v>644</v>
      </c>
      <c r="Q656" t="s">
        <v>2410</v>
      </c>
      <c r="R656" t="s">
        <v>2641</v>
      </c>
    </row>
    <row r="657" spans="1:18">
      <c r="A657" s="113" t="s">
        <v>852</v>
      </c>
      <c r="B657" s="113" t="s">
        <v>315</v>
      </c>
      <c r="P657">
        <v>645</v>
      </c>
      <c r="Q657" t="s">
        <v>2410</v>
      </c>
      <c r="R657" t="s">
        <v>2641</v>
      </c>
    </row>
    <row r="658" spans="1:18">
      <c r="A658" s="113" t="s">
        <v>853</v>
      </c>
      <c r="B658" s="113" t="s">
        <v>315</v>
      </c>
      <c r="P658">
        <v>646</v>
      </c>
      <c r="Q658" t="s">
        <v>2410</v>
      </c>
      <c r="R658" t="s">
        <v>2641</v>
      </c>
    </row>
    <row r="659" spans="1:18">
      <c r="A659" s="113" t="s">
        <v>854</v>
      </c>
      <c r="B659" s="113" t="s">
        <v>315</v>
      </c>
      <c r="P659">
        <v>647</v>
      </c>
      <c r="Q659" t="s">
        <v>2410</v>
      </c>
      <c r="R659" t="s">
        <v>2641</v>
      </c>
    </row>
    <row r="660" spans="1:18">
      <c r="A660" s="113" t="s">
        <v>855</v>
      </c>
      <c r="B660" s="113" t="s">
        <v>315</v>
      </c>
      <c r="P660">
        <v>648</v>
      </c>
      <c r="Q660" t="s">
        <v>2410</v>
      </c>
      <c r="R660" t="s">
        <v>2641</v>
      </c>
    </row>
    <row r="661" spans="1:18">
      <c r="A661" s="113" t="s">
        <v>856</v>
      </c>
      <c r="B661" s="113" t="s">
        <v>315</v>
      </c>
      <c r="P661">
        <v>649</v>
      </c>
      <c r="Q661" t="s">
        <v>2410</v>
      </c>
      <c r="R661" t="s">
        <v>2641</v>
      </c>
    </row>
    <row r="662" spans="1:18">
      <c r="A662" s="113" t="s">
        <v>857</v>
      </c>
      <c r="B662" s="113" t="s">
        <v>315</v>
      </c>
      <c r="P662">
        <v>650</v>
      </c>
      <c r="Q662" t="s">
        <v>2410</v>
      </c>
      <c r="R662" t="s">
        <v>2641</v>
      </c>
    </row>
    <row r="663" spans="1:18">
      <c r="A663" s="113" t="s">
        <v>858</v>
      </c>
      <c r="B663" s="113" t="s">
        <v>315</v>
      </c>
      <c r="P663">
        <v>651</v>
      </c>
      <c r="Q663" t="s">
        <v>2410</v>
      </c>
      <c r="R663" t="s">
        <v>2641</v>
      </c>
    </row>
    <row r="664" spans="1:18">
      <c r="A664" s="113" t="s">
        <v>859</v>
      </c>
      <c r="B664" s="113" t="s">
        <v>315</v>
      </c>
      <c r="P664">
        <v>652</v>
      </c>
      <c r="Q664" t="s">
        <v>2410</v>
      </c>
      <c r="R664" t="s">
        <v>2641</v>
      </c>
    </row>
    <row r="665" spans="1:18">
      <c r="A665" s="113" t="s">
        <v>860</v>
      </c>
      <c r="B665" s="113" t="s">
        <v>315</v>
      </c>
      <c r="P665">
        <v>653</v>
      </c>
      <c r="Q665" t="s">
        <v>2410</v>
      </c>
      <c r="R665" t="s">
        <v>2641</v>
      </c>
    </row>
    <row r="666" spans="1:18">
      <c r="A666" s="113" t="s">
        <v>861</v>
      </c>
      <c r="B666" s="113" t="s">
        <v>315</v>
      </c>
      <c r="P666">
        <v>654</v>
      </c>
      <c r="Q666" t="s">
        <v>2410</v>
      </c>
      <c r="R666" t="s">
        <v>2641</v>
      </c>
    </row>
    <row r="667" spans="1:18">
      <c r="A667" s="113" t="s">
        <v>862</v>
      </c>
      <c r="B667" s="113" t="s">
        <v>315</v>
      </c>
      <c r="P667">
        <v>655</v>
      </c>
      <c r="Q667" t="s">
        <v>2410</v>
      </c>
      <c r="R667" t="s">
        <v>2641</v>
      </c>
    </row>
    <row r="668" spans="1:18">
      <c r="A668" s="113" t="s">
        <v>863</v>
      </c>
      <c r="B668" s="113" t="s">
        <v>315</v>
      </c>
      <c r="P668">
        <v>656</v>
      </c>
      <c r="Q668" t="s">
        <v>2410</v>
      </c>
      <c r="R668" t="s">
        <v>2641</v>
      </c>
    </row>
    <row r="669" spans="1:18">
      <c r="A669" s="113" t="s">
        <v>864</v>
      </c>
      <c r="B669" s="113" t="s">
        <v>315</v>
      </c>
      <c r="P669">
        <v>657</v>
      </c>
      <c r="Q669" t="s">
        <v>2410</v>
      </c>
      <c r="R669" t="s">
        <v>2641</v>
      </c>
    </row>
    <row r="670" spans="1:18">
      <c r="A670" s="113" t="s">
        <v>865</v>
      </c>
      <c r="B670" s="113" t="s">
        <v>315</v>
      </c>
      <c r="P670">
        <v>658</v>
      </c>
      <c r="Q670" t="s">
        <v>2410</v>
      </c>
      <c r="R670" t="s">
        <v>2641</v>
      </c>
    </row>
    <row r="671" spans="1:18">
      <c r="A671" s="113" t="s">
        <v>866</v>
      </c>
      <c r="B671" s="113" t="s">
        <v>315</v>
      </c>
      <c r="P671">
        <v>659</v>
      </c>
      <c r="Q671" t="s">
        <v>2410</v>
      </c>
      <c r="R671" t="s">
        <v>2641</v>
      </c>
    </row>
    <row r="672" spans="1:18">
      <c r="A672" s="113" t="s">
        <v>867</v>
      </c>
      <c r="B672" s="113" t="s">
        <v>315</v>
      </c>
      <c r="P672">
        <v>660</v>
      </c>
      <c r="Q672" t="s">
        <v>2410</v>
      </c>
      <c r="R672" t="s">
        <v>2641</v>
      </c>
    </row>
    <row r="673" spans="1:18">
      <c r="A673" s="113" t="s">
        <v>868</v>
      </c>
      <c r="B673" s="113" t="s">
        <v>315</v>
      </c>
      <c r="P673">
        <v>661</v>
      </c>
      <c r="Q673" t="s">
        <v>2410</v>
      </c>
      <c r="R673" t="s">
        <v>2641</v>
      </c>
    </row>
    <row r="674" spans="1:18">
      <c r="A674" s="113" t="s">
        <v>869</v>
      </c>
      <c r="B674" s="113" t="s">
        <v>315</v>
      </c>
      <c r="P674">
        <v>662</v>
      </c>
      <c r="Q674" t="s">
        <v>2410</v>
      </c>
      <c r="R674" t="s">
        <v>2641</v>
      </c>
    </row>
    <row r="675" spans="1:18">
      <c r="A675" s="113" t="s">
        <v>870</v>
      </c>
      <c r="B675" s="113" t="s">
        <v>315</v>
      </c>
      <c r="P675">
        <v>663</v>
      </c>
      <c r="Q675" t="s">
        <v>2410</v>
      </c>
      <c r="R675" t="s">
        <v>2641</v>
      </c>
    </row>
    <row r="676" spans="1:18">
      <c r="A676" s="113" t="s">
        <v>871</v>
      </c>
      <c r="B676" s="113" t="s">
        <v>315</v>
      </c>
      <c r="P676">
        <v>664</v>
      </c>
      <c r="Q676" t="s">
        <v>2410</v>
      </c>
      <c r="R676" t="s">
        <v>2641</v>
      </c>
    </row>
    <row r="677" spans="1:18">
      <c r="A677" s="113" t="s">
        <v>872</v>
      </c>
      <c r="B677" s="113" t="s">
        <v>315</v>
      </c>
      <c r="P677">
        <v>665</v>
      </c>
      <c r="Q677" t="s">
        <v>2410</v>
      </c>
      <c r="R677" t="s">
        <v>2641</v>
      </c>
    </row>
    <row r="678" spans="1:18">
      <c r="A678" s="113" t="s">
        <v>873</v>
      </c>
      <c r="B678" s="113" t="s">
        <v>315</v>
      </c>
      <c r="P678">
        <v>666</v>
      </c>
      <c r="Q678" t="s">
        <v>2410</v>
      </c>
      <c r="R678" t="s">
        <v>2641</v>
      </c>
    </row>
    <row r="679" spans="1:18">
      <c r="A679" s="113" t="s">
        <v>874</v>
      </c>
      <c r="B679" s="113" t="s">
        <v>315</v>
      </c>
      <c r="P679">
        <v>667</v>
      </c>
      <c r="Q679" t="s">
        <v>2410</v>
      </c>
      <c r="R679" t="s">
        <v>2641</v>
      </c>
    </row>
    <row r="680" spans="1:18">
      <c r="A680" s="113" t="s">
        <v>875</v>
      </c>
      <c r="B680" s="113" t="s">
        <v>315</v>
      </c>
      <c r="P680">
        <v>668</v>
      </c>
      <c r="Q680" t="s">
        <v>2410</v>
      </c>
      <c r="R680" t="s">
        <v>2641</v>
      </c>
    </row>
    <row r="681" spans="1:18">
      <c r="A681" s="113" t="s">
        <v>876</v>
      </c>
      <c r="B681" s="113" t="s">
        <v>315</v>
      </c>
      <c r="P681">
        <v>669</v>
      </c>
      <c r="Q681" t="s">
        <v>2410</v>
      </c>
      <c r="R681" t="s">
        <v>2641</v>
      </c>
    </row>
    <row r="682" spans="1:18">
      <c r="A682" s="113" t="s">
        <v>877</v>
      </c>
      <c r="B682" s="113" t="s">
        <v>315</v>
      </c>
      <c r="P682">
        <v>670</v>
      </c>
      <c r="Q682" t="s">
        <v>2410</v>
      </c>
      <c r="R682" t="s">
        <v>2641</v>
      </c>
    </row>
    <row r="683" spans="1:18">
      <c r="A683" s="113" t="s">
        <v>878</v>
      </c>
      <c r="B683" s="113" t="s">
        <v>315</v>
      </c>
      <c r="P683">
        <v>671</v>
      </c>
      <c r="Q683" t="s">
        <v>2410</v>
      </c>
      <c r="R683" t="s">
        <v>2641</v>
      </c>
    </row>
    <row r="684" spans="1:18">
      <c r="A684" s="113" t="s">
        <v>879</v>
      </c>
      <c r="B684" s="113" t="s">
        <v>315</v>
      </c>
      <c r="P684">
        <v>672</v>
      </c>
      <c r="Q684" t="s">
        <v>2410</v>
      </c>
      <c r="R684" t="s">
        <v>2641</v>
      </c>
    </row>
    <row r="685" spans="1:18">
      <c r="A685" s="113" t="s">
        <v>880</v>
      </c>
      <c r="B685" s="113" t="s">
        <v>315</v>
      </c>
      <c r="P685">
        <v>673</v>
      </c>
      <c r="Q685" t="s">
        <v>2410</v>
      </c>
      <c r="R685" t="s">
        <v>2641</v>
      </c>
    </row>
    <row r="686" spans="1:18">
      <c r="A686" s="113" t="s">
        <v>881</v>
      </c>
      <c r="B686" s="113" t="s">
        <v>315</v>
      </c>
      <c r="P686">
        <v>674</v>
      </c>
      <c r="Q686" t="s">
        <v>2410</v>
      </c>
      <c r="R686" t="s">
        <v>2641</v>
      </c>
    </row>
    <row r="687" spans="1:18">
      <c r="A687" s="113" t="s">
        <v>882</v>
      </c>
      <c r="B687" s="113" t="s">
        <v>315</v>
      </c>
      <c r="P687">
        <v>675</v>
      </c>
      <c r="Q687" t="s">
        <v>2410</v>
      </c>
      <c r="R687" t="s">
        <v>2641</v>
      </c>
    </row>
    <row r="688" spans="1:18">
      <c r="A688" s="113" t="s">
        <v>883</v>
      </c>
      <c r="B688" s="113" t="s">
        <v>315</v>
      </c>
      <c r="P688">
        <v>676</v>
      </c>
      <c r="Q688" t="s">
        <v>2410</v>
      </c>
      <c r="R688" t="s">
        <v>2641</v>
      </c>
    </row>
    <row r="689" spans="1:18">
      <c r="A689" s="113" t="s">
        <v>884</v>
      </c>
      <c r="B689" s="113" t="s">
        <v>885</v>
      </c>
      <c r="P689">
        <v>677</v>
      </c>
      <c r="Q689" t="s">
        <v>2410</v>
      </c>
      <c r="R689" t="s">
        <v>2641</v>
      </c>
    </row>
    <row r="690" spans="1:18">
      <c r="A690" s="113" t="s">
        <v>886</v>
      </c>
      <c r="B690" s="113" t="s">
        <v>315</v>
      </c>
      <c r="P690">
        <v>678</v>
      </c>
      <c r="Q690" t="s">
        <v>2410</v>
      </c>
      <c r="R690" t="s">
        <v>2641</v>
      </c>
    </row>
    <row r="691" spans="1:18">
      <c r="A691" s="113" t="s">
        <v>887</v>
      </c>
      <c r="B691" s="113" t="s">
        <v>315</v>
      </c>
      <c r="P691">
        <v>679</v>
      </c>
      <c r="Q691" t="s">
        <v>2410</v>
      </c>
      <c r="R691" t="s">
        <v>2641</v>
      </c>
    </row>
    <row r="692" spans="1:18">
      <c r="A692" s="113" t="s">
        <v>888</v>
      </c>
      <c r="B692" s="113" t="s">
        <v>315</v>
      </c>
      <c r="P692">
        <v>680</v>
      </c>
      <c r="Q692" t="s">
        <v>2410</v>
      </c>
      <c r="R692" t="s">
        <v>2641</v>
      </c>
    </row>
    <row r="693" spans="1:18">
      <c r="A693" s="113" t="s">
        <v>889</v>
      </c>
      <c r="B693" s="113" t="s">
        <v>315</v>
      </c>
      <c r="P693">
        <v>681</v>
      </c>
      <c r="Q693" t="s">
        <v>2410</v>
      </c>
      <c r="R693" t="s">
        <v>2641</v>
      </c>
    </row>
    <row r="694" spans="1:18">
      <c r="A694" s="113" t="s">
        <v>890</v>
      </c>
      <c r="B694" s="113" t="s">
        <v>315</v>
      </c>
      <c r="P694">
        <v>682</v>
      </c>
      <c r="Q694" t="s">
        <v>2410</v>
      </c>
      <c r="R694" t="s">
        <v>2641</v>
      </c>
    </row>
    <row r="695" spans="1:18">
      <c r="A695" s="113" t="s">
        <v>891</v>
      </c>
      <c r="B695" s="113" t="s">
        <v>885</v>
      </c>
      <c r="P695">
        <v>683</v>
      </c>
      <c r="Q695" t="s">
        <v>2410</v>
      </c>
      <c r="R695" t="s">
        <v>2641</v>
      </c>
    </row>
    <row r="696" spans="1:18">
      <c r="A696" s="113" t="s">
        <v>892</v>
      </c>
      <c r="B696" s="113" t="s">
        <v>885</v>
      </c>
      <c r="P696">
        <v>684</v>
      </c>
      <c r="Q696" t="s">
        <v>2410</v>
      </c>
      <c r="R696" t="s">
        <v>2641</v>
      </c>
    </row>
    <row r="697" spans="1:18">
      <c r="A697" s="113" t="s">
        <v>893</v>
      </c>
      <c r="B697" s="113" t="s">
        <v>885</v>
      </c>
      <c r="P697">
        <v>685</v>
      </c>
      <c r="Q697" t="s">
        <v>2410</v>
      </c>
      <c r="R697" t="s">
        <v>2641</v>
      </c>
    </row>
    <row r="698" spans="1:18">
      <c r="A698" s="113" t="s">
        <v>894</v>
      </c>
      <c r="B698" s="113" t="s">
        <v>885</v>
      </c>
      <c r="P698">
        <v>686</v>
      </c>
      <c r="Q698" t="s">
        <v>2410</v>
      </c>
      <c r="R698" t="s">
        <v>2641</v>
      </c>
    </row>
    <row r="699" spans="1:18">
      <c r="A699" s="113" t="s">
        <v>895</v>
      </c>
      <c r="B699" s="113" t="s">
        <v>885</v>
      </c>
      <c r="P699">
        <v>687</v>
      </c>
      <c r="Q699" t="s">
        <v>2410</v>
      </c>
      <c r="R699" t="s">
        <v>2641</v>
      </c>
    </row>
    <row r="700" spans="1:18">
      <c r="A700" s="113" t="s">
        <v>896</v>
      </c>
      <c r="B700" s="113" t="s">
        <v>885</v>
      </c>
      <c r="P700">
        <v>688</v>
      </c>
      <c r="Q700" t="s">
        <v>2410</v>
      </c>
      <c r="R700" t="s">
        <v>2641</v>
      </c>
    </row>
    <row r="701" spans="1:18">
      <c r="A701" s="113" t="s">
        <v>897</v>
      </c>
      <c r="B701" s="113" t="s">
        <v>315</v>
      </c>
      <c r="P701">
        <v>689</v>
      </c>
      <c r="Q701" t="s">
        <v>2410</v>
      </c>
      <c r="R701" t="s">
        <v>2641</v>
      </c>
    </row>
    <row r="702" spans="1:18">
      <c r="A702" s="113" t="s">
        <v>898</v>
      </c>
      <c r="B702" s="113" t="s">
        <v>885</v>
      </c>
      <c r="P702">
        <v>690</v>
      </c>
      <c r="Q702" t="s">
        <v>2410</v>
      </c>
      <c r="R702" t="s">
        <v>2641</v>
      </c>
    </row>
    <row r="703" spans="1:18">
      <c r="A703" s="113" t="s">
        <v>899</v>
      </c>
      <c r="B703" s="113" t="s">
        <v>315</v>
      </c>
      <c r="P703">
        <v>691</v>
      </c>
      <c r="Q703" t="s">
        <v>2410</v>
      </c>
      <c r="R703" t="s">
        <v>2641</v>
      </c>
    </row>
    <row r="704" spans="1:18">
      <c r="A704" s="113" t="s">
        <v>900</v>
      </c>
      <c r="B704" s="113" t="s">
        <v>885</v>
      </c>
      <c r="P704">
        <v>692</v>
      </c>
      <c r="Q704" t="s">
        <v>2410</v>
      </c>
      <c r="R704" t="s">
        <v>2641</v>
      </c>
    </row>
    <row r="705" spans="1:18">
      <c r="A705" s="113" t="s">
        <v>901</v>
      </c>
      <c r="B705" s="113" t="s">
        <v>315</v>
      </c>
      <c r="P705">
        <v>693</v>
      </c>
      <c r="Q705" t="s">
        <v>2410</v>
      </c>
      <c r="R705" t="s">
        <v>2641</v>
      </c>
    </row>
    <row r="706" spans="1:18">
      <c r="A706" s="113" t="s">
        <v>902</v>
      </c>
      <c r="B706" s="113" t="s">
        <v>885</v>
      </c>
      <c r="P706">
        <v>694</v>
      </c>
      <c r="Q706" t="s">
        <v>2410</v>
      </c>
      <c r="R706" t="s">
        <v>2641</v>
      </c>
    </row>
    <row r="707" spans="1:18">
      <c r="A707" s="113" t="s">
        <v>903</v>
      </c>
      <c r="B707" s="113" t="s">
        <v>315</v>
      </c>
      <c r="P707">
        <v>695</v>
      </c>
      <c r="Q707" t="s">
        <v>2410</v>
      </c>
      <c r="R707" t="s">
        <v>2641</v>
      </c>
    </row>
    <row r="708" spans="1:18">
      <c r="A708" s="113" t="s">
        <v>904</v>
      </c>
      <c r="B708" s="113" t="s">
        <v>885</v>
      </c>
      <c r="P708">
        <v>696</v>
      </c>
      <c r="Q708" t="s">
        <v>2410</v>
      </c>
      <c r="R708" t="s">
        <v>2641</v>
      </c>
    </row>
    <row r="709" spans="1:18">
      <c r="A709" s="113" t="s">
        <v>905</v>
      </c>
      <c r="B709" s="113" t="s">
        <v>885</v>
      </c>
      <c r="P709">
        <v>697</v>
      </c>
      <c r="Q709" t="s">
        <v>2410</v>
      </c>
      <c r="R709" t="s">
        <v>2641</v>
      </c>
    </row>
    <row r="710" spans="1:18">
      <c r="A710" s="113" t="s">
        <v>906</v>
      </c>
      <c r="B710" s="113" t="s">
        <v>885</v>
      </c>
      <c r="P710">
        <v>698</v>
      </c>
      <c r="Q710" t="s">
        <v>2410</v>
      </c>
      <c r="R710" t="s">
        <v>2641</v>
      </c>
    </row>
    <row r="711" spans="1:18">
      <c r="A711" s="113" t="s">
        <v>907</v>
      </c>
      <c r="B711" s="113" t="s">
        <v>885</v>
      </c>
      <c r="P711">
        <v>699</v>
      </c>
      <c r="Q711" t="s">
        <v>2410</v>
      </c>
      <c r="R711" t="s">
        <v>2641</v>
      </c>
    </row>
    <row r="712" spans="1:18">
      <c r="A712" s="113" t="s">
        <v>908</v>
      </c>
      <c r="B712" s="113" t="s">
        <v>315</v>
      </c>
      <c r="P712">
        <v>700</v>
      </c>
      <c r="Q712" t="s">
        <v>2410</v>
      </c>
      <c r="R712" t="s">
        <v>2641</v>
      </c>
    </row>
    <row r="713" spans="1:18">
      <c r="A713" s="113" t="s">
        <v>909</v>
      </c>
      <c r="B713" s="113" t="s">
        <v>315</v>
      </c>
      <c r="P713">
        <v>701</v>
      </c>
      <c r="Q713" t="s">
        <v>2410</v>
      </c>
      <c r="R713" t="s">
        <v>2641</v>
      </c>
    </row>
    <row r="714" spans="1:18">
      <c r="A714" s="113" t="s">
        <v>910</v>
      </c>
      <c r="B714" s="113" t="s">
        <v>315</v>
      </c>
      <c r="P714">
        <v>702</v>
      </c>
      <c r="Q714" t="s">
        <v>2410</v>
      </c>
      <c r="R714" t="s">
        <v>2641</v>
      </c>
    </row>
    <row r="715" spans="1:18">
      <c r="A715" s="113" t="s">
        <v>911</v>
      </c>
      <c r="B715" s="113" t="s">
        <v>315</v>
      </c>
      <c r="P715">
        <v>703</v>
      </c>
      <c r="Q715" t="s">
        <v>2410</v>
      </c>
      <c r="R715" t="s">
        <v>2641</v>
      </c>
    </row>
    <row r="716" spans="1:18">
      <c r="A716" s="113" t="s">
        <v>912</v>
      </c>
      <c r="B716" s="113" t="s">
        <v>315</v>
      </c>
      <c r="P716">
        <v>704</v>
      </c>
      <c r="Q716" t="s">
        <v>2410</v>
      </c>
      <c r="R716" t="s">
        <v>2641</v>
      </c>
    </row>
    <row r="717" spans="1:18">
      <c r="A717" s="113" t="s">
        <v>913</v>
      </c>
      <c r="B717" s="113" t="s">
        <v>885</v>
      </c>
      <c r="P717">
        <v>705</v>
      </c>
      <c r="Q717" t="s">
        <v>2410</v>
      </c>
      <c r="R717" t="s">
        <v>2641</v>
      </c>
    </row>
    <row r="718" spans="1:18">
      <c r="A718" s="113" t="s">
        <v>914</v>
      </c>
      <c r="B718" s="113" t="s">
        <v>315</v>
      </c>
      <c r="P718">
        <v>706</v>
      </c>
      <c r="Q718" t="s">
        <v>2410</v>
      </c>
      <c r="R718" t="s">
        <v>2641</v>
      </c>
    </row>
    <row r="719" spans="1:18">
      <c r="A719" s="113" t="s">
        <v>915</v>
      </c>
      <c r="B719" s="113" t="s">
        <v>885</v>
      </c>
      <c r="P719">
        <v>707</v>
      </c>
      <c r="Q719" t="s">
        <v>2410</v>
      </c>
      <c r="R719" t="s">
        <v>2641</v>
      </c>
    </row>
    <row r="720" spans="1:18">
      <c r="A720" s="113" t="s">
        <v>916</v>
      </c>
      <c r="B720" s="113" t="s">
        <v>885</v>
      </c>
      <c r="P720">
        <v>708</v>
      </c>
      <c r="Q720" t="s">
        <v>2410</v>
      </c>
      <c r="R720" t="s">
        <v>2641</v>
      </c>
    </row>
    <row r="721" spans="1:18">
      <c r="A721" s="113" t="s">
        <v>917</v>
      </c>
      <c r="B721" s="113" t="s">
        <v>885</v>
      </c>
      <c r="P721">
        <v>709</v>
      </c>
      <c r="Q721" t="s">
        <v>2410</v>
      </c>
      <c r="R721" t="s">
        <v>2641</v>
      </c>
    </row>
    <row r="722" spans="1:18">
      <c r="A722" s="113" t="s">
        <v>918</v>
      </c>
      <c r="B722" s="113" t="s">
        <v>885</v>
      </c>
      <c r="P722">
        <v>710</v>
      </c>
      <c r="Q722" t="s">
        <v>2410</v>
      </c>
      <c r="R722" t="s">
        <v>2641</v>
      </c>
    </row>
    <row r="723" spans="1:18">
      <c r="A723" s="113" t="s">
        <v>919</v>
      </c>
      <c r="B723" s="113" t="s">
        <v>885</v>
      </c>
      <c r="P723">
        <v>711</v>
      </c>
      <c r="Q723" t="s">
        <v>2410</v>
      </c>
      <c r="R723" t="s">
        <v>2641</v>
      </c>
    </row>
    <row r="724" spans="1:18">
      <c r="A724" s="113" t="s">
        <v>920</v>
      </c>
      <c r="B724" s="113" t="s">
        <v>921</v>
      </c>
      <c r="P724">
        <v>712</v>
      </c>
      <c r="Q724" t="s">
        <v>2410</v>
      </c>
      <c r="R724" t="s">
        <v>2641</v>
      </c>
    </row>
    <row r="725" spans="1:18">
      <c r="A725" s="113" t="s">
        <v>922</v>
      </c>
      <c r="B725" s="113" t="s">
        <v>921</v>
      </c>
      <c r="P725">
        <v>713</v>
      </c>
      <c r="Q725" t="s">
        <v>2410</v>
      </c>
      <c r="R725" t="s">
        <v>2641</v>
      </c>
    </row>
    <row r="726" spans="1:18">
      <c r="A726" s="113" t="s">
        <v>923</v>
      </c>
      <c r="B726" s="113" t="s">
        <v>921</v>
      </c>
      <c r="P726">
        <v>714</v>
      </c>
      <c r="Q726" t="s">
        <v>2410</v>
      </c>
      <c r="R726" t="s">
        <v>2641</v>
      </c>
    </row>
    <row r="727" spans="1:18">
      <c r="A727" s="113" t="s">
        <v>924</v>
      </c>
      <c r="B727" s="113" t="s">
        <v>921</v>
      </c>
      <c r="P727">
        <v>715</v>
      </c>
      <c r="Q727" t="s">
        <v>2410</v>
      </c>
      <c r="R727" t="s">
        <v>2641</v>
      </c>
    </row>
    <row r="728" spans="1:18">
      <c r="A728" s="113" t="s">
        <v>925</v>
      </c>
      <c r="B728" s="113" t="s">
        <v>921</v>
      </c>
      <c r="P728">
        <v>716</v>
      </c>
      <c r="Q728" t="s">
        <v>2410</v>
      </c>
      <c r="R728" t="s">
        <v>2641</v>
      </c>
    </row>
    <row r="729" spans="1:18">
      <c r="A729" s="113" t="s">
        <v>926</v>
      </c>
      <c r="B729" s="113" t="s">
        <v>885</v>
      </c>
      <c r="P729">
        <v>717</v>
      </c>
      <c r="Q729" t="s">
        <v>2410</v>
      </c>
      <c r="R729" t="s">
        <v>2641</v>
      </c>
    </row>
    <row r="730" spans="1:18">
      <c r="A730" s="113" t="s">
        <v>927</v>
      </c>
      <c r="B730" s="113" t="s">
        <v>921</v>
      </c>
      <c r="P730">
        <v>718</v>
      </c>
      <c r="Q730" t="s">
        <v>2410</v>
      </c>
      <c r="R730" t="s">
        <v>2641</v>
      </c>
    </row>
    <row r="731" spans="1:18">
      <c r="A731" s="113" t="s">
        <v>928</v>
      </c>
      <c r="B731" s="113" t="s">
        <v>921</v>
      </c>
      <c r="P731">
        <v>719</v>
      </c>
      <c r="Q731" t="s">
        <v>2410</v>
      </c>
      <c r="R731" t="s">
        <v>2641</v>
      </c>
    </row>
    <row r="732" spans="1:18">
      <c r="A732" s="113" t="s">
        <v>929</v>
      </c>
      <c r="B732" s="113" t="s">
        <v>885</v>
      </c>
      <c r="P732">
        <v>720</v>
      </c>
      <c r="Q732" t="s">
        <v>2410</v>
      </c>
      <c r="R732" t="s">
        <v>2641</v>
      </c>
    </row>
    <row r="733" spans="1:18">
      <c r="A733" s="113" t="s">
        <v>930</v>
      </c>
      <c r="B733" s="113" t="s">
        <v>885</v>
      </c>
      <c r="P733">
        <v>721</v>
      </c>
      <c r="Q733" t="s">
        <v>2410</v>
      </c>
      <c r="R733" t="s">
        <v>2641</v>
      </c>
    </row>
    <row r="734" spans="1:18">
      <c r="A734" s="113" t="s">
        <v>931</v>
      </c>
      <c r="B734" s="113" t="s">
        <v>921</v>
      </c>
      <c r="P734">
        <v>722</v>
      </c>
      <c r="Q734" t="s">
        <v>2410</v>
      </c>
      <c r="R734" t="s">
        <v>2641</v>
      </c>
    </row>
    <row r="735" spans="1:18">
      <c r="A735" s="113" t="s">
        <v>932</v>
      </c>
      <c r="B735" s="113" t="s">
        <v>921</v>
      </c>
      <c r="P735">
        <v>723</v>
      </c>
      <c r="Q735" t="s">
        <v>2410</v>
      </c>
      <c r="R735" t="s">
        <v>2641</v>
      </c>
    </row>
    <row r="736" spans="1:18">
      <c r="A736" s="113" t="s">
        <v>933</v>
      </c>
      <c r="B736" s="113" t="s">
        <v>885</v>
      </c>
      <c r="P736">
        <v>724</v>
      </c>
      <c r="Q736" t="s">
        <v>2410</v>
      </c>
      <c r="R736" t="s">
        <v>2641</v>
      </c>
    </row>
    <row r="737" spans="1:18">
      <c r="A737" s="113" t="s">
        <v>934</v>
      </c>
      <c r="B737" s="113" t="s">
        <v>885</v>
      </c>
      <c r="P737">
        <v>725</v>
      </c>
      <c r="Q737" t="s">
        <v>2410</v>
      </c>
      <c r="R737" t="s">
        <v>2641</v>
      </c>
    </row>
    <row r="738" spans="1:18">
      <c r="A738" s="113" t="s">
        <v>935</v>
      </c>
      <c r="B738" s="113" t="s">
        <v>921</v>
      </c>
      <c r="P738">
        <v>726</v>
      </c>
      <c r="Q738" t="s">
        <v>2410</v>
      </c>
      <c r="R738" t="s">
        <v>2641</v>
      </c>
    </row>
    <row r="739" spans="1:18">
      <c r="A739" s="113" t="s">
        <v>936</v>
      </c>
      <c r="B739" s="113" t="s">
        <v>921</v>
      </c>
      <c r="P739">
        <v>727</v>
      </c>
      <c r="Q739" t="s">
        <v>2410</v>
      </c>
      <c r="R739" t="s">
        <v>2641</v>
      </c>
    </row>
    <row r="740" spans="1:18">
      <c r="A740" s="113" t="s">
        <v>937</v>
      </c>
      <c r="B740" s="113" t="s">
        <v>921</v>
      </c>
      <c r="P740">
        <v>728</v>
      </c>
      <c r="Q740" t="s">
        <v>2410</v>
      </c>
      <c r="R740" t="s">
        <v>2641</v>
      </c>
    </row>
    <row r="741" spans="1:18">
      <c r="A741" s="113" t="s">
        <v>938</v>
      </c>
      <c r="B741" s="113" t="s">
        <v>921</v>
      </c>
      <c r="P741">
        <v>729</v>
      </c>
      <c r="Q741" t="s">
        <v>2410</v>
      </c>
      <c r="R741" t="s">
        <v>2641</v>
      </c>
    </row>
    <row r="742" spans="1:18">
      <c r="A742" s="113" t="s">
        <v>939</v>
      </c>
      <c r="B742" s="113" t="s">
        <v>921</v>
      </c>
      <c r="P742">
        <v>730</v>
      </c>
      <c r="Q742" t="s">
        <v>2410</v>
      </c>
      <c r="R742" t="s">
        <v>2641</v>
      </c>
    </row>
    <row r="743" spans="1:18">
      <c r="A743" s="113" t="s">
        <v>940</v>
      </c>
      <c r="B743" s="113" t="s">
        <v>921</v>
      </c>
      <c r="P743">
        <v>731</v>
      </c>
      <c r="Q743" t="s">
        <v>2410</v>
      </c>
      <c r="R743" t="s">
        <v>2641</v>
      </c>
    </row>
    <row r="744" spans="1:18">
      <c r="A744" s="113" t="s">
        <v>941</v>
      </c>
      <c r="B744" s="113" t="s">
        <v>921</v>
      </c>
      <c r="P744">
        <v>732</v>
      </c>
      <c r="Q744" t="s">
        <v>2410</v>
      </c>
      <c r="R744" t="s">
        <v>2641</v>
      </c>
    </row>
    <row r="745" spans="1:18">
      <c r="A745" s="113" t="s">
        <v>942</v>
      </c>
      <c r="B745" s="113" t="s">
        <v>921</v>
      </c>
      <c r="P745">
        <v>733</v>
      </c>
      <c r="Q745" t="s">
        <v>2410</v>
      </c>
      <c r="R745" t="s">
        <v>2641</v>
      </c>
    </row>
    <row r="746" spans="1:18">
      <c r="A746" s="113" t="s">
        <v>943</v>
      </c>
      <c r="B746" s="113" t="s">
        <v>885</v>
      </c>
      <c r="P746">
        <v>734</v>
      </c>
      <c r="Q746" t="s">
        <v>2410</v>
      </c>
      <c r="R746" t="s">
        <v>2641</v>
      </c>
    </row>
    <row r="747" spans="1:18">
      <c r="A747" s="113" t="s">
        <v>944</v>
      </c>
      <c r="B747" s="113" t="s">
        <v>921</v>
      </c>
      <c r="P747">
        <v>735</v>
      </c>
      <c r="Q747" t="s">
        <v>2410</v>
      </c>
      <c r="R747" t="s">
        <v>2641</v>
      </c>
    </row>
    <row r="748" spans="1:18">
      <c r="A748" s="113" t="s">
        <v>945</v>
      </c>
      <c r="B748" s="113" t="s">
        <v>921</v>
      </c>
      <c r="P748">
        <v>736</v>
      </c>
      <c r="Q748" t="s">
        <v>2410</v>
      </c>
      <c r="R748" t="s">
        <v>2641</v>
      </c>
    </row>
    <row r="749" spans="1:18">
      <c r="A749" s="113" t="s">
        <v>946</v>
      </c>
      <c r="B749" s="113" t="s">
        <v>921</v>
      </c>
      <c r="P749">
        <v>737</v>
      </c>
      <c r="Q749" t="s">
        <v>2410</v>
      </c>
      <c r="R749" t="s">
        <v>2641</v>
      </c>
    </row>
    <row r="750" spans="1:18">
      <c r="A750" s="113" t="s">
        <v>947</v>
      </c>
      <c r="B750" s="113" t="s">
        <v>921</v>
      </c>
      <c r="P750">
        <v>738</v>
      </c>
      <c r="Q750" t="s">
        <v>2410</v>
      </c>
      <c r="R750" t="s">
        <v>2641</v>
      </c>
    </row>
    <row r="751" spans="1:18">
      <c r="A751" s="113" t="s">
        <v>948</v>
      </c>
      <c r="B751" s="113" t="s">
        <v>885</v>
      </c>
      <c r="P751">
        <v>739</v>
      </c>
      <c r="Q751" t="s">
        <v>2410</v>
      </c>
      <c r="R751" t="s">
        <v>2641</v>
      </c>
    </row>
    <row r="752" spans="1:18">
      <c r="A752" s="113" t="s">
        <v>949</v>
      </c>
      <c r="B752" s="113" t="s">
        <v>885</v>
      </c>
      <c r="P752">
        <v>740</v>
      </c>
      <c r="Q752" t="s">
        <v>2410</v>
      </c>
      <c r="R752" t="s">
        <v>2641</v>
      </c>
    </row>
    <row r="753" spans="1:18">
      <c r="A753" s="113" t="s">
        <v>950</v>
      </c>
      <c r="B753" s="113" t="s">
        <v>449</v>
      </c>
      <c r="P753">
        <v>741</v>
      </c>
      <c r="Q753" t="s">
        <v>2410</v>
      </c>
      <c r="R753" t="s">
        <v>2641</v>
      </c>
    </row>
    <row r="754" spans="1:18">
      <c r="A754" s="113" t="s">
        <v>951</v>
      </c>
      <c r="B754" s="113" t="s">
        <v>449</v>
      </c>
      <c r="P754">
        <v>742</v>
      </c>
      <c r="Q754" t="s">
        <v>2410</v>
      </c>
      <c r="R754" t="s">
        <v>2641</v>
      </c>
    </row>
    <row r="755" spans="1:18">
      <c r="A755" s="113" t="s">
        <v>952</v>
      </c>
      <c r="B755" s="113" t="s">
        <v>449</v>
      </c>
      <c r="P755">
        <v>743</v>
      </c>
      <c r="Q755" t="s">
        <v>2410</v>
      </c>
      <c r="R755" t="s">
        <v>2641</v>
      </c>
    </row>
    <row r="756" spans="1:18">
      <c r="A756" s="113" t="s">
        <v>953</v>
      </c>
      <c r="B756" s="113" t="s">
        <v>449</v>
      </c>
      <c r="P756">
        <v>744</v>
      </c>
      <c r="Q756" t="s">
        <v>2410</v>
      </c>
      <c r="R756" t="s">
        <v>2641</v>
      </c>
    </row>
    <row r="757" spans="1:18">
      <c r="A757" s="113" t="s">
        <v>954</v>
      </c>
      <c r="B757" s="113" t="s">
        <v>315</v>
      </c>
      <c r="P757">
        <v>745</v>
      </c>
      <c r="Q757" t="s">
        <v>2410</v>
      </c>
      <c r="R757" t="s">
        <v>2641</v>
      </c>
    </row>
    <row r="758" spans="1:18">
      <c r="A758" s="113" t="s">
        <v>955</v>
      </c>
      <c r="B758" s="113" t="s">
        <v>315</v>
      </c>
      <c r="P758">
        <v>746</v>
      </c>
      <c r="Q758" t="s">
        <v>2410</v>
      </c>
      <c r="R758" t="s">
        <v>2641</v>
      </c>
    </row>
    <row r="759" spans="1:18">
      <c r="A759" s="113" t="s">
        <v>956</v>
      </c>
      <c r="B759" s="113" t="s">
        <v>449</v>
      </c>
      <c r="P759">
        <v>747</v>
      </c>
      <c r="Q759" t="s">
        <v>2410</v>
      </c>
      <c r="R759" t="s">
        <v>2641</v>
      </c>
    </row>
    <row r="760" spans="1:18">
      <c r="A760" s="113" t="s">
        <v>957</v>
      </c>
      <c r="B760" s="113" t="s">
        <v>315</v>
      </c>
      <c r="P760">
        <v>748</v>
      </c>
      <c r="Q760" t="s">
        <v>2410</v>
      </c>
      <c r="R760" t="s">
        <v>2641</v>
      </c>
    </row>
    <row r="761" spans="1:18">
      <c r="A761" s="113" t="s">
        <v>958</v>
      </c>
      <c r="B761" s="113" t="s">
        <v>315</v>
      </c>
      <c r="P761">
        <v>749</v>
      </c>
      <c r="Q761" t="s">
        <v>2410</v>
      </c>
      <c r="R761" t="s">
        <v>2641</v>
      </c>
    </row>
    <row r="762" spans="1:18">
      <c r="A762" s="113" t="s">
        <v>959</v>
      </c>
      <c r="B762" s="113" t="s">
        <v>449</v>
      </c>
      <c r="P762">
        <v>750</v>
      </c>
      <c r="Q762" t="s">
        <v>2410</v>
      </c>
      <c r="R762" t="s">
        <v>2641</v>
      </c>
    </row>
    <row r="763" spans="1:18">
      <c r="A763" s="113" t="s">
        <v>960</v>
      </c>
      <c r="B763" s="113" t="s">
        <v>449</v>
      </c>
      <c r="P763">
        <v>751</v>
      </c>
      <c r="Q763" t="s">
        <v>2410</v>
      </c>
      <c r="R763" t="s">
        <v>2641</v>
      </c>
    </row>
    <row r="764" spans="1:18">
      <c r="A764" s="113" t="s">
        <v>961</v>
      </c>
      <c r="B764" s="113" t="s">
        <v>449</v>
      </c>
      <c r="P764">
        <v>752</v>
      </c>
      <c r="Q764" t="s">
        <v>2410</v>
      </c>
      <c r="R764" t="s">
        <v>2641</v>
      </c>
    </row>
    <row r="765" spans="1:18">
      <c r="A765" s="113" t="s">
        <v>962</v>
      </c>
      <c r="B765" s="113" t="s">
        <v>315</v>
      </c>
      <c r="P765">
        <v>753</v>
      </c>
      <c r="Q765" t="s">
        <v>2410</v>
      </c>
      <c r="R765" t="s">
        <v>2641</v>
      </c>
    </row>
    <row r="766" spans="1:18">
      <c r="A766" s="113" t="s">
        <v>963</v>
      </c>
      <c r="B766" s="113" t="s">
        <v>449</v>
      </c>
      <c r="P766">
        <v>754</v>
      </c>
      <c r="Q766" t="s">
        <v>2410</v>
      </c>
      <c r="R766" t="s">
        <v>2641</v>
      </c>
    </row>
    <row r="767" spans="1:18">
      <c r="A767" s="113" t="s">
        <v>964</v>
      </c>
      <c r="B767" s="113" t="s">
        <v>315</v>
      </c>
      <c r="P767">
        <v>755</v>
      </c>
      <c r="Q767" t="s">
        <v>2410</v>
      </c>
      <c r="R767" t="s">
        <v>2641</v>
      </c>
    </row>
    <row r="768" spans="1:18">
      <c r="A768" s="113" t="s">
        <v>965</v>
      </c>
      <c r="B768" s="113" t="s">
        <v>315</v>
      </c>
      <c r="P768">
        <v>756</v>
      </c>
      <c r="Q768" t="s">
        <v>2410</v>
      </c>
      <c r="R768" t="s">
        <v>2641</v>
      </c>
    </row>
    <row r="769" spans="1:18">
      <c r="A769" s="113" t="s">
        <v>966</v>
      </c>
      <c r="B769" s="113" t="s">
        <v>315</v>
      </c>
      <c r="P769">
        <v>757</v>
      </c>
      <c r="Q769" t="s">
        <v>2410</v>
      </c>
      <c r="R769" t="s">
        <v>2641</v>
      </c>
    </row>
    <row r="770" spans="1:18">
      <c r="A770" s="113" t="s">
        <v>967</v>
      </c>
      <c r="B770" s="113" t="s">
        <v>449</v>
      </c>
      <c r="P770">
        <v>758</v>
      </c>
      <c r="Q770" t="s">
        <v>2410</v>
      </c>
      <c r="R770" t="s">
        <v>2641</v>
      </c>
    </row>
    <row r="771" spans="1:18">
      <c r="A771" s="113" t="s">
        <v>968</v>
      </c>
      <c r="B771" s="113" t="s">
        <v>449</v>
      </c>
      <c r="P771">
        <v>759</v>
      </c>
      <c r="Q771" t="s">
        <v>2410</v>
      </c>
      <c r="R771" t="s">
        <v>2641</v>
      </c>
    </row>
    <row r="772" spans="1:18">
      <c r="A772" s="113" t="s">
        <v>969</v>
      </c>
      <c r="B772" s="113" t="s">
        <v>449</v>
      </c>
      <c r="P772">
        <v>760</v>
      </c>
      <c r="Q772" t="s">
        <v>2410</v>
      </c>
      <c r="R772" t="s">
        <v>2641</v>
      </c>
    </row>
    <row r="773" spans="1:18">
      <c r="A773" s="113" t="s">
        <v>970</v>
      </c>
      <c r="B773" s="113" t="s">
        <v>449</v>
      </c>
      <c r="P773">
        <v>761</v>
      </c>
      <c r="Q773" t="s">
        <v>2410</v>
      </c>
      <c r="R773" t="s">
        <v>2641</v>
      </c>
    </row>
    <row r="774" spans="1:18">
      <c r="A774" s="113" t="s">
        <v>971</v>
      </c>
      <c r="B774" s="113" t="s">
        <v>315</v>
      </c>
      <c r="P774">
        <v>762</v>
      </c>
      <c r="Q774" t="s">
        <v>2410</v>
      </c>
      <c r="R774" t="s">
        <v>2641</v>
      </c>
    </row>
    <row r="775" spans="1:18">
      <c r="A775" s="113" t="s">
        <v>972</v>
      </c>
      <c r="B775" s="113" t="s">
        <v>449</v>
      </c>
      <c r="P775">
        <v>763</v>
      </c>
      <c r="Q775" t="s">
        <v>2410</v>
      </c>
      <c r="R775" t="s">
        <v>2641</v>
      </c>
    </row>
    <row r="776" spans="1:18">
      <c r="A776" s="113" t="s">
        <v>973</v>
      </c>
      <c r="B776" s="113" t="s">
        <v>449</v>
      </c>
      <c r="P776">
        <v>764</v>
      </c>
      <c r="Q776" t="s">
        <v>2410</v>
      </c>
      <c r="R776" t="s">
        <v>2641</v>
      </c>
    </row>
    <row r="777" spans="1:18">
      <c r="A777" s="113" t="s">
        <v>974</v>
      </c>
      <c r="B777" s="113" t="s">
        <v>315</v>
      </c>
      <c r="P777">
        <v>765</v>
      </c>
      <c r="Q777" t="s">
        <v>2410</v>
      </c>
      <c r="R777" t="s">
        <v>2641</v>
      </c>
    </row>
    <row r="778" spans="1:18">
      <c r="A778" s="113" t="s">
        <v>975</v>
      </c>
      <c r="B778" s="113" t="s">
        <v>315</v>
      </c>
      <c r="P778">
        <v>766</v>
      </c>
      <c r="Q778" t="s">
        <v>2410</v>
      </c>
      <c r="R778" t="s">
        <v>2641</v>
      </c>
    </row>
    <row r="779" spans="1:18">
      <c r="A779" s="113" t="s">
        <v>976</v>
      </c>
      <c r="B779" s="113" t="s">
        <v>315</v>
      </c>
      <c r="P779">
        <v>767</v>
      </c>
      <c r="Q779" t="s">
        <v>2410</v>
      </c>
      <c r="R779" t="s">
        <v>2641</v>
      </c>
    </row>
    <row r="780" spans="1:18">
      <c r="A780" s="113" t="s">
        <v>977</v>
      </c>
      <c r="B780" s="113" t="s">
        <v>315</v>
      </c>
      <c r="P780">
        <v>768</v>
      </c>
      <c r="Q780" t="s">
        <v>2410</v>
      </c>
      <c r="R780" t="s">
        <v>2641</v>
      </c>
    </row>
    <row r="781" spans="1:18">
      <c r="A781" s="113" t="s">
        <v>978</v>
      </c>
      <c r="B781" s="113" t="s">
        <v>315</v>
      </c>
      <c r="P781">
        <v>769</v>
      </c>
      <c r="Q781" t="s">
        <v>2410</v>
      </c>
      <c r="R781" t="s">
        <v>2641</v>
      </c>
    </row>
    <row r="782" spans="1:18">
      <c r="A782" s="113" t="s">
        <v>979</v>
      </c>
      <c r="B782" s="113" t="s">
        <v>315</v>
      </c>
      <c r="P782">
        <v>770</v>
      </c>
      <c r="Q782" t="s">
        <v>2410</v>
      </c>
      <c r="R782" t="s">
        <v>2641</v>
      </c>
    </row>
    <row r="783" spans="1:18">
      <c r="A783" s="113" t="s">
        <v>980</v>
      </c>
      <c r="B783" s="113" t="s">
        <v>449</v>
      </c>
      <c r="P783">
        <v>771</v>
      </c>
      <c r="Q783" t="s">
        <v>2410</v>
      </c>
      <c r="R783" t="s">
        <v>2641</v>
      </c>
    </row>
    <row r="784" spans="1:18">
      <c r="A784" s="113" t="s">
        <v>981</v>
      </c>
      <c r="B784" s="113" t="s">
        <v>449</v>
      </c>
      <c r="P784">
        <v>772</v>
      </c>
      <c r="Q784" t="s">
        <v>2410</v>
      </c>
      <c r="R784" t="s">
        <v>2641</v>
      </c>
    </row>
    <row r="785" spans="1:18">
      <c r="A785" s="113" t="s">
        <v>982</v>
      </c>
      <c r="B785" s="113" t="s">
        <v>449</v>
      </c>
      <c r="P785">
        <v>773</v>
      </c>
      <c r="Q785" t="s">
        <v>2410</v>
      </c>
      <c r="R785" t="s">
        <v>2641</v>
      </c>
    </row>
    <row r="786" spans="1:18">
      <c r="A786" s="113" t="s">
        <v>983</v>
      </c>
      <c r="B786" s="113" t="s">
        <v>315</v>
      </c>
      <c r="P786">
        <v>774</v>
      </c>
      <c r="Q786" t="s">
        <v>2410</v>
      </c>
      <c r="R786" t="s">
        <v>2641</v>
      </c>
    </row>
    <row r="787" spans="1:18">
      <c r="A787" s="113" t="s">
        <v>984</v>
      </c>
      <c r="B787" s="113" t="s">
        <v>449</v>
      </c>
      <c r="P787">
        <v>775</v>
      </c>
      <c r="Q787" t="s">
        <v>2410</v>
      </c>
      <c r="R787" t="s">
        <v>2641</v>
      </c>
    </row>
    <row r="788" spans="1:18">
      <c r="A788" s="113" t="s">
        <v>985</v>
      </c>
      <c r="B788" s="113" t="s">
        <v>449</v>
      </c>
      <c r="P788">
        <v>776</v>
      </c>
      <c r="Q788" t="s">
        <v>2410</v>
      </c>
      <c r="R788" t="s">
        <v>2641</v>
      </c>
    </row>
    <row r="789" spans="1:18">
      <c r="A789" s="113" t="s">
        <v>986</v>
      </c>
      <c r="B789" s="113" t="s">
        <v>449</v>
      </c>
      <c r="P789">
        <v>777</v>
      </c>
      <c r="Q789" t="s">
        <v>2410</v>
      </c>
      <c r="R789" t="s">
        <v>2641</v>
      </c>
    </row>
    <row r="790" spans="1:18">
      <c r="A790" s="113" t="s">
        <v>987</v>
      </c>
      <c r="B790" s="113" t="s">
        <v>315</v>
      </c>
      <c r="P790">
        <v>778</v>
      </c>
      <c r="Q790" t="s">
        <v>2410</v>
      </c>
      <c r="R790" t="s">
        <v>2641</v>
      </c>
    </row>
    <row r="791" spans="1:18">
      <c r="A791" s="113" t="s">
        <v>988</v>
      </c>
      <c r="B791" s="113" t="s">
        <v>449</v>
      </c>
      <c r="P791">
        <v>779</v>
      </c>
      <c r="Q791" t="s">
        <v>2410</v>
      </c>
      <c r="R791" t="s">
        <v>2641</v>
      </c>
    </row>
    <row r="792" spans="1:18">
      <c r="A792" s="113" t="s">
        <v>989</v>
      </c>
      <c r="B792" s="113" t="s">
        <v>449</v>
      </c>
      <c r="P792">
        <v>780</v>
      </c>
      <c r="Q792" t="s">
        <v>2410</v>
      </c>
      <c r="R792" t="s">
        <v>2641</v>
      </c>
    </row>
    <row r="793" spans="1:18">
      <c r="A793" s="113" t="s">
        <v>990</v>
      </c>
      <c r="B793" s="113" t="s">
        <v>449</v>
      </c>
      <c r="P793">
        <v>781</v>
      </c>
      <c r="Q793" t="s">
        <v>2410</v>
      </c>
      <c r="R793" t="s">
        <v>2641</v>
      </c>
    </row>
    <row r="794" spans="1:18">
      <c r="A794" s="113" t="s">
        <v>991</v>
      </c>
      <c r="B794" s="113" t="s">
        <v>315</v>
      </c>
      <c r="P794">
        <v>782</v>
      </c>
      <c r="Q794" t="s">
        <v>2410</v>
      </c>
      <c r="R794" t="s">
        <v>2641</v>
      </c>
    </row>
    <row r="795" spans="1:18">
      <c r="A795" s="113" t="s">
        <v>992</v>
      </c>
      <c r="B795" s="113" t="s">
        <v>449</v>
      </c>
      <c r="P795">
        <v>783</v>
      </c>
      <c r="Q795" t="s">
        <v>2410</v>
      </c>
      <c r="R795" t="s">
        <v>2641</v>
      </c>
    </row>
    <row r="796" spans="1:18">
      <c r="A796" s="113" t="s">
        <v>993</v>
      </c>
      <c r="B796" s="113" t="s">
        <v>315</v>
      </c>
      <c r="P796">
        <v>784</v>
      </c>
      <c r="Q796" t="s">
        <v>2410</v>
      </c>
      <c r="R796" t="s">
        <v>2641</v>
      </c>
    </row>
    <row r="797" spans="1:18">
      <c r="A797" s="113" t="s">
        <v>994</v>
      </c>
      <c r="B797" s="113" t="s">
        <v>449</v>
      </c>
      <c r="P797">
        <v>785</v>
      </c>
      <c r="Q797" t="s">
        <v>2410</v>
      </c>
      <c r="R797" t="s">
        <v>2641</v>
      </c>
    </row>
    <row r="798" spans="1:18">
      <c r="A798" s="113" t="s">
        <v>995</v>
      </c>
      <c r="B798" s="113" t="s">
        <v>449</v>
      </c>
      <c r="P798">
        <v>786</v>
      </c>
      <c r="Q798" t="s">
        <v>2410</v>
      </c>
      <c r="R798" t="s">
        <v>2641</v>
      </c>
    </row>
    <row r="799" spans="1:18">
      <c r="A799" s="113" t="s">
        <v>996</v>
      </c>
      <c r="B799" s="113" t="s">
        <v>315</v>
      </c>
      <c r="P799">
        <v>787</v>
      </c>
      <c r="Q799" t="s">
        <v>2410</v>
      </c>
      <c r="R799" t="s">
        <v>2641</v>
      </c>
    </row>
    <row r="800" spans="1:18">
      <c r="A800" s="113" t="s">
        <v>997</v>
      </c>
      <c r="B800" s="113" t="s">
        <v>449</v>
      </c>
      <c r="P800">
        <v>788</v>
      </c>
      <c r="Q800" t="s">
        <v>2410</v>
      </c>
      <c r="R800" t="s">
        <v>2641</v>
      </c>
    </row>
    <row r="801" spans="1:18">
      <c r="A801" s="113" t="s">
        <v>998</v>
      </c>
      <c r="B801" s="113" t="s">
        <v>315</v>
      </c>
      <c r="P801">
        <v>789</v>
      </c>
      <c r="Q801" t="s">
        <v>2410</v>
      </c>
      <c r="R801" t="s">
        <v>2641</v>
      </c>
    </row>
    <row r="802" spans="1:18">
      <c r="A802" s="113" t="s">
        <v>999</v>
      </c>
      <c r="B802" s="113" t="s">
        <v>449</v>
      </c>
      <c r="P802">
        <v>790</v>
      </c>
      <c r="Q802" t="s">
        <v>2410</v>
      </c>
      <c r="R802" t="s">
        <v>2641</v>
      </c>
    </row>
    <row r="803" spans="1:18">
      <c r="A803" s="113" t="s">
        <v>1000</v>
      </c>
      <c r="B803" s="113" t="s">
        <v>449</v>
      </c>
      <c r="P803">
        <v>791</v>
      </c>
      <c r="Q803" t="s">
        <v>2410</v>
      </c>
      <c r="R803" t="s">
        <v>2641</v>
      </c>
    </row>
    <row r="804" spans="1:18">
      <c r="A804" s="113" t="s">
        <v>1001</v>
      </c>
      <c r="B804" s="113" t="s">
        <v>315</v>
      </c>
      <c r="P804">
        <v>792</v>
      </c>
      <c r="Q804" t="s">
        <v>2410</v>
      </c>
      <c r="R804" t="s">
        <v>2641</v>
      </c>
    </row>
    <row r="805" spans="1:18">
      <c r="A805" s="113" t="s">
        <v>1002</v>
      </c>
      <c r="B805" s="113" t="s">
        <v>449</v>
      </c>
      <c r="P805">
        <v>793</v>
      </c>
      <c r="Q805" t="s">
        <v>2410</v>
      </c>
      <c r="R805" t="s">
        <v>2641</v>
      </c>
    </row>
    <row r="806" spans="1:18">
      <c r="A806" s="113" t="s">
        <v>1003</v>
      </c>
      <c r="B806" s="113" t="s">
        <v>449</v>
      </c>
      <c r="P806">
        <v>794</v>
      </c>
      <c r="Q806" t="s">
        <v>2410</v>
      </c>
      <c r="R806" t="s">
        <v>2641</v>
      </c>
    </row>
    <row r="807" spans="1:18">
      <c r="A807" s="113" t="s">
        <v>1004</v>
      </c>
      <c r="B807" s="113" t="s">
        <v>449</v>
      </c>
      <c r="P807">
        <v>795</v>
      </c>
      <c r="Q807" t="s">
        <v>2410</v>
      </c>
      <c r="R807" t="s">
        <v>2641</v>
      </c>
    </row>
    <row r="808" spans="1:18">
      <c r="A808" s="113" t="s">
        <v>1005</v>
      </c>
      <c r="B808" s="113" t="s">
        <v>315</v>
      </c>
      <c r="P808">
        <v>796</v>
      </c>
      <c r="Q808" t="s">
        <v>2410</v>
      </c>
      <c r="R808" t="s">
        <v>2641</v>
      </c>
    </row>
    <row r="809" spans="1:18">
      <c r="A809" s="113" t="s">
        <v>1006</v>
      </c>
      <c r="B809" s="113" t="s">
        <v>449</v>
      </c>
      <c r="P809">
        <v>797</v>
      </c>
      <c r="Q809" t="s">
        <v>2410</v>
      </c>
      <c r="R809" t="s">
        <v>2641</v>
      </c>
    </row>
    <row r="810" spans="1:18">
      <c r="A810" s="113" t="s">
        <v>1007</v>
      </c>
      <c r="B810" s="113" t="s">
        <v>449</v>
      </c>
      <c r="P810">
        <v>798</v>
      </c>
      <c r="Q810" t="s">
        <v>2410</v>
      </c>
      <c r="R810" t="s">
        <v>2641</v>
      </c>
    </row>
    <row r="811" spans="1:18">
      <c r="A811" s="113" t="s">
        <v>1008</v>
      </c>
      <c r="B811" s="113" t="s">
        <v>449</v>
      </c>
      <c r="P811">
        <v>799</v>
      </c>
      <c r="Q811" t="s">
        <v>2410</v>
      </c>
      <c r="R811" t="s">
        <v>2641</v>
      </c>
    </row>
    <row r="812" spans="1:18">
      <c r="A812" s="113" t="s">
        <v>1009</v>
      </c>
      <c r="B812" s="113" t="s">
        <v>315</v>
      </c>
      <c r="P812">
        <v>800</v>
      </c>
      <c r="Q812" t="s">
        <v>2410</v>
      </c>
      <c r="R812" t="s">
        <v>2641</v>
      </c>
    </row>
    <row r="813" spans="1:18">
      <c r="A813" s="113" t="s">
        <v>1010</v>
      </c>
      <c r="B813" s="113" t="s">
        <v>315</v>
      </c>
      <c r="P813">
        <v>801</v>
      </c>
      <c r="Q813" t="s">
        <v>2410</v>
      </c>
      <c r="R813" t="s">
        <v>2641</v>
      </c>
    </row>
    <row r="814" spans="1:18">
      <c r="A814" s="113" t="s">
        <v>1011</v>
      </c>
      <c r="B814" s="113" t="s">
        <v>449</v>
      </c>
      <c r="P814">
        <v>802</v>
      </c>
      <c r="Q814" t="s">
        <v>2410</v>
      </c>
      <c r="R814" t="s">
        <v>2641</v>
      </c>
    </row>
    <row r="815" spans="1:18">
      <c r="A815" s="113" t="s">
        <v>1012</v>
      </c>
      <c r="B815" s="113" t="s">
        <v>449</v>
      </c>
      <c r="P815">
        <v>803</v>
      </c>
      <c r="Q815" t="s">
        <v>2410</v>
      </c>
      <c r="R815" t="s">
        <v>2641</v>
      </c>
    </row>
    <row r="816" spans="1:18">
      <c r="A816" s="113" t="s">
        <v>1013</v>
      </c>
      <c r="B816" s="113" t="s">
        <v>449</v>
      </c>
      <c r="P816">
        <v>804</v>
      </c>
      <c r="Q816" t="s">
        <v>2410</v>
      </c>
      <c r="R816" t="s">
        <v>2641</v>
      </c>
    </row>
    <row r="817" spans="1:18">
      <c r="A817" s="113" t="s">
        <v>1014</v>
      </c>
      <c r="B817" s="113" t="s">
        <v>449</v>
      </c>
      <c r="P817">
        <v>805</v>
      </c>
      <c r="Q817" t="s">
        <v>2410</v>
      </c>
      <c r="R817" t="s">
        <v>2641</v>
      </c>
    </row>
    <row r="818" spans="1:18">
      <c r="A818" s="113" t="s">
        <v>1015</v>
      </c>
      <c r="B818" s="113" t="s">
        <v>449</v>
      </c>
      <c r="P818">
        <v>806</v>
      </c>
      <c r="Q818" t="s">
        <v>2410</v>
      </c>
      <c r="R818" t="s">
        <v>2641</v>
      </c>
    </row>
    <row r="819" spans="1:18">
      <c r="A819" s="113" t="s">
        <v>1016</v>
      </c>
      <c r="B819" s="113" t="s">
        <v>449</v>
      </c>
      <c r="P819">
        <v>807</v>
      </c>
      <c r="Q819" t="s">
        <v>2410</v>
      </c>
      <c r="R819" t="s">
        <v>2641</v>
      </c>
    </row>
    <row r="820" spans="1:18">
      <c r="A820" s="113" t="s">
        <v>1017</v>
      </c>
      <c r="B820" s="113" t="s">
        <v>449</v>
      </c>
      <c r="P820">
        <v>808</v>
      </c>
      <c r="Q820" t="s">
        <v>2410</v>
      </c>
      <c r="R820" t="s">
        <v>2641</v>
      </c>
    </row>
    <row r="821" spans="1:18">
      <c r="A821" s="113" t="s">
        <v>1018</v>
      </c>
      <c r="B821" s="113" t="s">
        <v>315</v>
      </c>
      <c r="P821">
        <v>809</v>
      </c>
      <c r="Q821" t="s">
        <v>2410</v>
      </c>
      <c r="R821" t="s">
        <v>2641</v>
      </c>
    </row>
    <row r="822" spans="1:18">
      <c r="A822" s="113" t="s">
        <v>1019</v>
      </c>
      <c r="B822" s="113" t="s">
        <v>449</v>
      </c>
      <c r="P822">
        <v>810</v>
      </c>
      <c r="Q822" t="s">
        <v>2410</v>
      </c>
      <c r="R822" t="s">
        <v>2641</v>
      </c>
    </row>
    <row r="823" spans="1:18">
      <c r="A823" s="113" t="s">
        <v>1020</v>
      </c>
      <c r="B823" s="113" t="s">
        <v>449</v>
      </c>
      <c r="P823">
        <v>811</v>
      </c>
      <c r="Q823" t="s">
        <v>2410</v>
      </c>
      <c r="R823" t="s">
        <v>2641</v>
      </c>
    </row>
    <row r="824" spans="1:18">
      <c r="A824" s="113" t="s">
        <v>1021</v>
      </c>
      <c r="B824" s="113" t="s">
        <v>449</v>
      </c>
      <c r="P824">
        <v>812</v>
      </c>
      <c r="Q824" t="s">
        <v>2410</v>
      </c>
      <c r="R824" t="s">
        <v>2641</v>
      </c>
    </row>
    <row r="825" spans="1:18">
      <c r="A825" s="113" t="s">
        <v>1022</v>
      </c>
      <c r="B825" s="113" t="s">
        <v>315</v>
      </c>
      <c r="P825">
        <v>813</v>
      </c>
      <c r="Q825" t="s">
        <v>2410</v>
      </c>
      <c r="R825" t="s">
        <v>2641</v>
      </c>
    </row>
    <row r="826" spans="1:18">
      <c r="A826" s="113" t="s">
        <v>1023</v>
      </c>
      <c r="B826" s="113" t="s">
        <v>315</v>
      </c>
      <c r="P826">
        <v>814</v>
      </c>
      <c r="Q826" t="s">
        <v>2410</v>
      </c>
      <c r="R826" t="s">
        <v>2641</v>
      </c>
    </row>
    <row r="827" spans="1:18">
      <c r="A827" s="113" t="s">
        <v>1024</v>
      </c>
      <c r="B827" s="113" t="s">
        <v>315</v>
      </c>
      <c r="P827">
        <v>815</v>
      </c>
      <c r="Q827" t="s">
        <v>2410</v>
      </c>
      <c r="R827" t="s">
        <v>2641</v>
      </c>
    </row>
    <row r="828" spans="1:18">
      <c r="A828" s="113" t="s">
        <v>1025</v>
      </c>
      <c r="B828" s="113" t="s">
        <v>315</v>
      </c>
      <c r="P828">
        <v>816</v>
      </c>
      <c r="Q828" t="s">
        <v>2410</v>
      </c>
      <c r="R828" t="s">
        <v>2641</v>
      </c>
    </row>
    <row r="829" spans="1:18">
      <c r="A829" s="113" t="s">
        <v>1026</v>
      </c>
      <c r="B829" s="113" t="s">
        <v>315</v>
      </c>
      <c r="P829">
        <v>817</v>
      </c>
      <c r="Q829" t="s">
        <v>2410</v>
      </c>
      <c r="R829" t="s">
        <v>2641</v>
      </c>
    </row>
    <row r="830" spans="1:18">
      <c r="A830" s="113" t="s">
        <v>1027</v>
      </c>
      <c r="B830" s="113" t="s">
        <v>315</v>
      </c>
      <c r="P830">
        <v>818</v>
      </c>
      <c r="Q830" t="s">
        <v>2410</v>
      </c>
      <c r="R830" t="s">
        <v>2641</v>
      </c>
    </row>
    <row r="831" spans="1:18">
      <c r="A831" s="113" t="s">
        <v>1028</v>
      </c>
      <c r="B831" s="113" t="s">
        <v>315</v>
      </c>
      <c r="P831">
        <v>819</v>
      </c>
      <c r="Q831" t="s">
        <v>2410</v>
      </c>
      <c r="R831" t="s">
        <v>2641</v>
      </c>
    </row>
    <row r="832" spans="1:18">
      <c r="A832" s="113" t="s">
        <v>1029</v>
      </c>
      <c r="B832" s="113" t="s">
        <v>315</v>
      </c>
      <c r="P832">
        <v>820</v>
      </c>
      <c r="Q832" t="s">
        <v>2410</v>
      </c>
      <c r="R832" t="s">
        <v>2641</v>
      </c>
    </row>
    <row r="833" spans="1:18">
      <c r="A833" s="113" t="s">
        <v>1030</v>
      </c>
      <c r="B833" s="113" t="s">
        <v>315</v>
      </c>
      <c r="P833">
        <v>821</v>
      </c>
      <c r="Q833" t="s">
        <v>2410</v>
      </c>
      <c r="R833" t="s">
        <v>2641</v>
      </c>
    </row>
    <row r="834" spans="1:18">
      <c r="A834" s="113" t="s">
        <v>1031</v>
      </c>
      <c r="B834" s="113" t="s">
        <v>315</v>
      </c>
      <c r="P834">
        <v>822</v>
      </c>
      <c r="Q834" t="s">
        <v>2410</v>
      </c>
      <c r="R834" t="s">
        <v>2641</v>
      </c>
    </row>
    <row r="835" spans="1:18">
      <c r="A835" s="113" t="s">
        <v>1032</v>
      </c>
      <c r="B835" s="113" t="s">
        <v>315</v>
      </c>
      <c r="P835">
        <v>823</v>
      </c>
      <c r="Q835" t="s">
        <v>2410</v>
      </c>
      <c r="R835" t="s">
        <v>2641</v>
      </c>
    </row>
    <row r="836" spans="1:18">
      <c r="A836" s="113" t="s">
        <v>1033</v>
      </c>
      <c r="B836" s="113" t="s">
        <v>315</v>
      </c>
      <c r="P836">
        <v>824</v>
      </c>
      <c r="Q836" t="s">
        <v>2410</v>
      </c>
      <c r="R836" t="s">
        <v>2641</v>
      </c>
    </row>
    <row r="837" spans="1:18">
      <c r="A837" s="113" t="s">
        <v>1034</v>
      </c>
      <c r="B837" s="113" t="s">
        <v>315</v>
      </c>
      <c r="P837">
        <v>825</v>
      </c>
      <c r="Q837" t="s">
        <v>2410</v>
      </c>
      <c r="R837" t="s">
        <v>2641</v>
      </c>
    </row>
    <row r="838" spans="1:18">
      <c r="A838" s="113" t="s">
        <v>1035</v>
      </c>
      <c r="B838" s="113" t="s">
        <v>315</v>
      </c>
      <c r="P838">
        <v>826</v>
      </c>
      <c r="Q838" t="s">
        <v>2410</v>
      </c>
      <c r="R838" t="s">
        <v>2641</v>
      </c>
    </row>
    <row r="839" spans="1:18">
      <c r="A839" s="113" t="s">
        <v>1036</v>
      </c>
      <c r="B839" s="113" t="s">
        <v>315</v>
      </c>
      <c r="P839">
        <v>827</v>
      </c>
      <c r="Q839" t="s">
        <v>2410</v>
      </c>
      <c r="R839" t="s">
        <v>2641</v>
      </c>
    </row>
    <row r="840" spans="1:18">
      <c r="A840" s="113" t="s">
        <v>1037</v>
      </c>
      <c r="B840" s="113" t="s">
        <v>315</v>
      </c>
      <c r="P840">
        <v>828</v>
      </c>
      <c r="Q840" t="s">
        <v>2410</v>
      </c>
      <c r="R840" t="s">
        <v>2641</v>
      </c>
    </row>
    <row r="841" spans="1:18">
      <c r="A841" s="113" t="s">
        <v>1038</v>
      </c>
      <c r="B841" s="113" t="s">
        <v>315</v>
      </c>
      <c r="P841">
        <v>829</v>
      </c>
      <c r="Q841" t="s">
        <v>2410</v>
      </c>
      <c r="R841" t="s">
        <v>2641</v>
      </c>
    </row>
    <row r="842" spans="1:18">
      <c r="A842" s="113" t="s">
        <v>1039</v>
      </c>
      <c r="B842" s="113" t="s">
        <v>315</v>
      </c>
      <c r="P842">
        <v>830</v>
      </c>
      <c r="Q842" t="s">
        <v>2410</v>
      </c>
      <c r="R842" t="s">
        <v>2641</v>
      </c>
    </row>
    <row r="843" spans="1:18">
      <c r="A843" s="113" t="s">
        <v>1040</v>
      </c>
      <c r="B843" s="113" t="s">
        <v>315</v>
      </c>
      <c r="P843">
        <v>831</v>
      </c>
      <c r="Q843" t="s">
        <v>2410</v>
      </c>
      <c r="R843" t="s">
        <v>2641</v>
      </c>
    </row>
    <row r="844" spans="1:18">
      <c r="A844" s="113" t="s">
        <v>1041</v>
      </c>
      <c r="B844" s="113" t="s">
        <v>315</v>
      </c>
      <c r="P844">
        <v>832</v>
      </c>
      <c r="Q844" t="s">
        <v>2410</v>
      </c>
      <c r="R844" t="s">
        <v>2641</v>
      </c>
    </row>
    <row r="845" spans="1:18">
      <c r="A845" s="113" t="s">
        <v>1042</v>
      </c>
      <c r="B845" s="113" t="s">
        <v>315</v>
      </c>
      <c r="P845">
        <v>833</v>
      </c>
      <c r="Q845" t="s">
        <v>2410</v>
      </c>
      <c r="R845" t="s">
        <v>2641</v>
      </c>
    </row>
    <row r="846" spans="1:18">
      <c r="A846" s="113" t="s">
        <v>1043</v>
      </c>
      <c r="B846" s="113" t="s">
        <v>315</v>
      </c>
      <c r="P846">
        <v>834</v>
      </c>
      <c r="Q846" t="s">
        <v>2410</v>
      </c>
      <c r="R846" t="s">
        <v>2641</v>
      </c>
    </row>
    <row r="847" spans="1:18">
      <c r="A847" s="113" t="s">
        <v>1044</v>
      </c>
      <c r="B847" s="113" t="s">
        <v>315</v>
      </c>
      <c r="P847">
        <v>835</v>
      </c>
      <c r="Q847" t="s">
        <v>2410</v>
      </c>
      <c r="R847" t="s">
        <v>2641</v>
      </c>
    </row>
    <row r="848" spans="1:18">
      <c r="A848" s="113" t="s">
        <v>1045</v>
      </c>
      <c r="B848" s="113" t="s">
        <v>315</v>
      </c>
      <c r="P848">
        <v>836</v>
      </c>
      <c r="Q848" t="s">
        <v>2410</v>
      </c>
      <c r="R848" t="s">
        <v>2641</v>
      </c>
    </row>
    <row r="849" spans="1:18">
      <c r="A849" s="113" t="s">
        <v>1046</v>
      </c>
      <c r="B849" s="113" t="s">
        <v>315</v>
      </c>
      <c r="P849">
        <v>837</v>
      </c>
      <c r="Q849" t="s">
        <v>2410</v>
      </c>
      <c r="R849" t="s">
        <v>2641</v>
      </c>
    </row>
    <row r="850" spans="1:18">
      <c r="A850" s="113" t="s">
        <v>1047</v>
      </c>
      <c r="B850" s="113" t="s">
        <v>449</v>
      </c>
      <c r="P850">
        <v>838</v>
      </c>
      <c r="Q850" t="s">
        <v>2410</v>
      </c>
      <c r="R850" t="s">
        <v>2641</v>
      </c>
    </row>
    <row r="851" spans="1:18">
      <c r="A851" s="113" t="s">
        <v>1048</v>
      </c>
      <c r="B851" s="113" t="s">
        <v>449</v>
      </c>
      <c r="P851">
        <v>839</v>
      </c>
      <c r="Q851" t="s">
        <v>2410</v>
      </c>
      <c r="R851" t="s">
        <v>2641</v>
      </c>
    </row>
    <row r="852" spans="1:18">
      <c r="A852" s="113" t="s">
        <v>1049</v>
      </c>
      <c r="B852" s="113" t="s">
        <v>449</v>
      </c>
      <c r="P852">
        <v>840</v>
      </c>
      <c r="Q852" t="s">
        <v>2410</v>
      </c>
      <c r="R852" t="s">
        <v>2641</v>
      </c>
    </row>
    <row r="853" spans="1:18">
      <c r="A853" s="113" t="s">
        <v>1050</v>
      </c>
      <c r="B853" s="113" t="s">
        <v>449</v>
      </c>
      <c r="P853">
        <v>841</v>
      </c>
      <c r="Q853" t="s">
        <v>2410</v>
      </c>
      <c r="R853" t="s">
        <v>2641</v>
      </c>
    </row>
    <row r="854" spans="1:18">
      <c r="A854" s="113" t="s">
        <v>1051</v>
      </c>
      <c r="B854" s="113" t="s">
        <v>449</v>
      </c>
      <c r="P854">
        <v>842</v>
      </c>
      <c r="Q854" t="s">
        <v>2410</v>
      </c>
      <c r="R854" t="s">
        <v>2641</v>
      </c>
    </row>
    <row r="855" spans="1:18">
      <c r="A855" s="113" t="s">
        <v>1052</v>
      </c>
      <c r="B855" s="113" t="s">
        <v>449</v>
      </c>
      <c r="P855">
        <v>843</v>
      </c>
      <c r="Q855" t="s">
        <v>2410</v>
      </c>
      <c r="R855" t="s">
        <v>2641</v>
      </c>
    </row>
    <row r="856" spans="1:18">
      <c r="A856" s="113" t="s">
        <v>1053</v>
      </c>
      <c r="B856" s="113" t="s">
        <v>315</v>
      </c>
      <c r="P856">
        <v>844</v>
      </c>
      <c r="Q856" t="s">
        <v>2410</v>
      </c>
      <c r="R856" t="s">
        <v>2641</v>
      </c>
    </row>
    <row r="857" spans="1:18">
      <c r="A857" s="113" t="s">
        <v>1054</v>
      </c>
      <c r="B857" s="113" t="s">
        <v>449</v>
      </c>
      <c r="P857">
        <v>845</v>
      </c>
      <c r="Q857" t="s">
        <v>2410</v>
      </c>
      <c r="R857" t="s">
        <v>2641</v>
      </c>
    </row>
    <row r="858" spans="1:18">
      <c r="A858" s="113" t="s">
        <v>1055</v>
      </c>
      <c r="B858" s="113" t="s">
        <v>449</v>
      </c>
      <c r="P858">
        <v>846</v>
      </c>
      <c r="Q858" t="s">
        <v>2410</v>
      </c>
      <c r="R858" t="s">
        <v>2641</v>
      </c>
    </row>
    <row r="859" spans="1:18">
      <c r="A859" s="113" t="s">
        <v>1056</v>
      </c>
      <c r="B859" s="113" t="s">
        <v>315</v>
      </c>
      <c r="P859">
        <v>847</v>
      </c>
      <c r="Q859" t="s">
        <v>2410</v>
      </c>
      <c r="R859" t="s">
        <v>2641</v>
      </c>
    </row>
    <row r="860" spans="1:18">
      <c r="A860" s="113" t="s">
        <v>1057</v>
      </c>
      <c r="B860" s="113" t="s">
        <v>449</v>
      </c>
      <c r="P860">
        <v>848</v>
      </c>
      <c r="Q860" t="s">
        <v>2410</v>
      </c>
      <c r="R860" t="s">
        <v>2641</v>
      </c>
    </row>
    <row r="861" spans="1:18">
      <c r="A861" s="113" t="s">
        <v>1058</v>
      </c>
      <c r="B861" s="113" t="s">
        <v>449</v>
      </c>
      <c r="P861">
        <v>849</v>
      </c>
      <c r="Q861" t="s">
        <v>2410</v>
      </c>
      <c r="R861" t="s">
        <v>2641</v>
      </c>
    </row>
    <row r="862" spans="1:18">
      <c r="A862" s="113" t="s">
        <v>1059</v>
      </c>
      <c r="B862" s="113" t="s">
        <v>449</v>
      </c>
      <c r="P862">
        <v>850</v>
      </c>
      <c r="Q862" t="s">
        <v>2410</v>
      </c>
      <c r="R862" t="s">
        <v>2641</v>
      </c>
    </row>
    <row r="863" spans="1:18">
      <c r="A863" s="113" t="s">
        <v>1060</v>
      </c>
      <c r="B863" s="113" t="s">
        <v>449</v>
      </c>
      <c r="P863">
        <v>851</v>
      </c>
      <c r="Q863" t="s">
        <v>2410</v>
      </c>
      <c r="R863" t="s">
        <v>2641</v>
      </c>
    </row>
    <row r="864" spans="1:18">
      <c r="A864" s="113" t="s">
        <v>1061</v>
      </c>
      <c r="B864" s="113" t="s">
        <v>315</v>
      </c>
      <c r="P864">
        <v>852</v>
      </c>
      <c r="Q864" t="s">
        <v>2410</v>
      </c>
      <c r="R864" t="s">
        <v>2641</v>
      </c>
    </row>
    <row r="865" spans="1:18">
      <c r="A865" s="113" t="s">
        <v>1062</v>
      </c>
      <c r="B865" s="113" t="s">
        <v>449</v>
      </c>
      <c r="P865">
        <v>853</v>
      </c>
      <c r="Q865" t="s">
        <v>2410</v>
      </c>
      <c r="R865" t="s">
        <v>2641</v>
      </c>
    </row>
    <row r="866" spans="1:18">
      <c r="A866" s="113" t="s">
        <v>1063</v>
      </c>
      <c r="B866" s="113" t="s">
        <v>315</v>
      </c>
      <c r="P866">
        <v>854</v>
      </c>
      <c r="Q866" t="s">
        <v>2410</v>
      </c>
      <c r="R866" t="s">
        <v>2641</v>
      </c>
    </row>
    <row r="867" spans="1:18">
      <c r="A867" s="113" t="s">
        <v>1064</v>
      </c>
      <c r="B867" s="113" t="s">
        <v>315</v>
      </c>
      <c r="P867">
        <v>855</v>
      </c>
      <c r="Q867" t="s">
        <v>2410</v>
      </c>
      <c r="R867" t="s">
        <v>2641</v>
      </c>
    </row>
    <row r="868" spans="1:18">
      <c r="A868" s="113" t="s">
        <v>1065</v>
      </c>
      <c r="B868" s="113" t="s">
        <v>449</v>
      </c>
      <c r="P868">
        <v>856</v>
      </c>
      <c r="Q868" t="s">
        <v>2410</v>
      </c>
      <c r="R868" t="s">
        <v>2641</v>
      </c>
    </row>
    <row r="869" spans="1:18">
      <c r="A869" s="113" t="s">
        <v>1066</v>
      </c>
      <c r="B869" s="113" t="s">
        <v>315</v>
      </c>
      <c r="P869">
        <v>857</v>
      </c>
      <c r="Q869" t="s">
        <v>2410</v>
      </c>
      <c r="R869" t="s">
        <v>2641</v>
      </c>
    </row>
    <row r="870" spans="1:18">
      <c r="A870" s="113" t="s">
        <v>1067</v>
      </c>
      <c r="B870" s="113" t="s">
        <v>315</v>
      </c>
      <c r="P870">
        <v>858</v>
      </c>
      <c r="Q870" t="s">
        <v>2410</v>
      </c>
      <c r="R870" t="s">
        <v>2641</v>
      </c>
    </row>
    <row r="871" spans="1:18">
      <c r="A871" s="113" t="s">
        <v>1068</v>
      </c>
      <c r="B871" s="113" t="s">
        <v>315</v>
      </c>
      <c r="P871">
        <v>859</v>
      </c>
      <c r="Q871" t="s">
        <v>2410</v>
      </c>
      <c r="R871" t="s">
        <v>2641</v>
      </c>
    </row>
    <row r="872" spans="1:18">
      <c r="A872" s="113" t="s">
        <v>1069</v>
      </c>
      <c r="B872" s="113" t="s">
        <v>315</v>
      </c>
      <c r="P872">
        <v>860</v>
      </c>
      <c r="Q872" t="s">
        <v>2410</v>
      </c>
      <c r="R872" t="s">
        <v>2641</v>
      </c>
    </row>
    <row r="873" spans="1:18">
      <c r="A873" s="113" t="s">
        <v>1070</v>
      </c>
      <c r="B873" s="113" t="s">
        <v>315</v>
      </c>
      <c r="P873">
        <v>861</v>
      </c>
      <c r="Q873" t="s">
        <v>2410</v>
      </c>
      <c r="R873" t="s">
        <v>2641</v>
      </c>
    </row>
    <row r="874" spans="1:18">
      <c r="A874" s="113" t="s">
        <v>1071</v>
      </c>
      <c r="B874" s="113" t="s">
        <v>449</v>
      </c>
      <c r="P874">
        <v>862</v>
      </c>
      <c r="Q874" t="s">
        <v>2410</v>
      </c>
      <c r="R874" t="s">
        <v>2641</v>
      </c>
    </row>
    <row r="875" spans="1:18">
      <c r="A875" s="113" t="s">
        <v>1072</v>
      </c>
      <c r="B875" s="113" t="s">
        <v>315</v>
      </c>
      <c r="P875">
        <v>863</v>
      </c>
      <c r="Q875" t="s">
        <v>2410</v>
      </c>
      <c r="R875" t="s">
        <v>2641</v>
      </c>
    </row>
    <row r="876" spans="1:18">
      <c r="A876" s="113" t="s">
        <v>1073</v>
      </c>
      <c r="B876" s="113" t="s">
        <v>449</v>
      </c>
      <c r="P876">
        <v>864</v>
      </c>
      <c r="Q876" t="s">
        <v>2410</v>
      </c>
      <c r="R876" t="s">
        <v>2641</v>
      </c>
    </row>
    <row r="877" spans="1:18">
      <c r="A877" s="113" t="s">
        <v>1074</v>
      </c>
      <c r="B877" s="113" t="s">
        <v>449</v>
      </c>
      <c r="P877">
        <v>865</v>
      </c>
      <c r="Q877" t="s">
        <v>2410</v>
      </c>
      <c r="R877" t="s">
        <v>2641</v>
      </c>
    </row>
    <row r="878" spans="1:18">
      <c r="A878" s="113" t="s">
        <v>1075</v>
      </c>
      <c r="B878" s="113" t="s">
        <v>315</v>
      </c>
      <c r="P878">
        <v>866</v>
      </c>
      <c r="Q878" t="s">
        <v>2410</v>
      </c>
      <c r="R878" t="s">
        <v>2641</v>
      </c>
    </row>
    <row r="879" spans="1:18">
      <c r="A879" s="113" t="s">
        <v>1076</v>
      </c>
      <c r="B879" s="113" t="s">
        <v>449</v>
      </c>
      <c r="P879">
        <v>867</v>
      </c>
      <c r="Q879" t="s">
        <v>2410</v>
      </c>
      <c r="R879" t="s">
        <v>2641</v>
      </c>
    </row>
    <row r="880" spans="1:18">
      <c r="A880" s="113" t="s">
        <v>1077</v>
      </c>
      <c r="B880" s="113" t="s">
        <v>315</v>
      </c>
      <c r="P880">
        <v>868</v>
      </c>
      <c r="Q880" t="s">
        <v>2410</v>
      </c>
      <c r="R880" t="s">
        <v>2641</v>
      </c>
    </row>
    <row r="881" spans="1:18">
      <c r="A881" s="113" t="s">
        <v>1078</v>
      </c>
      <c r="B881" s="113" t="s">
        <v>315</v>
      </c>
      <c r="P881">
        <v>869</v>
      </c>
      <c r="Q881" t="s">
        <v>2410</v>
      </c>
      <c r="R881" t="s">
        <v>2641</v>
      </c>
    </row>
    <row r="882" spans="1:18">
      <c r="A882" s="113" t="s">
        <v>1079</v>
      </c>
      <c r="B882" s="113" t="s">
        <v>449</v>
      </c>
      <c r="P882">
        <v>870</v>
      </c>
      <c r="Q882" t="s">
        <v>2410</v>
      </c>
      <c r="R882" t="s">
        <v>2641</v>
      </c>
    </row>
    <row r="883" spans="1:18">
      <c r="A883" s="113" t="s">
        <v>1080</v>
      </c>
      <c r="B883" s="113" t="s">
        <v>449</v>
      </c>
      <c r="P883">
        <v>871</v>
      </c>
      <c r="Q883" t="s">
        <v>2410</v>
      </c>
      <c r="R883" t="s">
        <v>2641</v>
      </c>
    </row>
    <row r="884" spans="1:18">
      <c r="A884" s="113" t="s">
        <v>1081</v>
      </c>
      <c r="B884" s="113" t="s">
        <v>449</v>
      </c>
      <c r="P884">
        <v>872</v>
      </c>
      <c r="Q884" t="s">
        <v>2410</v>
      </c>
      <c r="R884" t="s">
        <v>2641</v>
      </c>
    </row>
    <row r="885" spans="1:18">
      <c r="A885" s="113" t="s">
        <v>1082</v>
      </c>
      <c r="B885" s="113" t="s">
        <v>449</v>
      </c>
      <c r="P885">
        <v>873</v>
      </c>
      <c r="Q885" t="s">
        <v>2410</v>
      </c>
      <c r="R885" t="s">
        <v>2641</v>
      </c>
    </row>
    <row r="886" spans="1:18">
      <c r="A886" s="113" t="s">
        <v>1083</v>
      </c>
      <c r="B886" s="113" t="s">
        <v>315</v>
      </c>
      <c r="P886">
        <v>874</v>
      </c>
      <c r="Q886" t="s">
        <v>2410</v>
      </c>
      <c r="R886" t="s">
        <v>2641</v>
      </c>
    </row>
    <row r="887" spans="1:18">
      <c r="A887" s="113" t="s">
        <v>1084</v>
      </c>
      <c r="B887" s="113" t="s">
        <v>449</v>
      </c>
      <c r="P887">
        <v>875</v>
      </c>
      <c r="Q887" t="s">
        <v>2410</v>
      </c>
      <c r="R887" t="s">
        <v>2641</v>
      </c>
    </row>
    <row r="888" spans="1:18">
      <c r="A888" s="113" t="s">
        <v>1085</v>
      </c>
      <c r="B888" s="113" t="s">
        <v>315</v>
      </c>
      <c r="P888">
        <v>876</v>
      </c>
      <c r="Q888" t="s">
        <v>2410</v>
      </c>
      <c r="R888" t="s">
        <v>2641</v>
      </c>
    </row>
    <row r="889" spans="1:18">
      <c r="A889" s="113" t="s">
        <v>1086</v>
      </c>
      <c r="B889" s="113" t="s">
        <v>449</v>
      </c>
      <c r="P889">
        <v>877</v>
      </c>
      <c r="Q889" t="s">
        <v>2410</v>
      </c>
      <c r="R889" t="s">
        <v>2641</v>
      </c>
    </row>
    <row r="890" spans="1:18">
      <c r="A890" s="113" t="s">
        <v>1087</v>
      </c>
      <c r="B890" s="113" t="s">
        <v>315</v>
      </c>
      <c r="P890">
        <v>878</v>
      </c>
      <c r="Q890" t="s">
        <v>2410</v>
      </c>
      <c r="R890" t="s">
        <v>2641</v>
      </c>
    </row>
    <row r="891" spans="1:18">
      <c r="A891" s="113" t="s">
        <v>1088</v>
      </c>
      <c r="B891" s="113" t="s">
        <v>315</v>
      </c>
      <c r="P891">
        <v>879</v>
      </c>
      <c r="Q891" t="s">
        <v>2410</v>
      </c>
      <c r="R891" t="s">
        <v>2641</v>
      </c>
    </row>
    <row r="892" spans="1:18">
      <c r="A892" s="113" t="s">
        <v>1089</v>
      </c>
      <c r="B892" s="113" t="s">
        <v>315</v>
      </c>
      <c r="P892">
        <v>880</v>
      </c>
      <c r="Q892" t="s">
        <v>2410</v>
      </c>
      <c r="R892" t="s">
        <v>2641</v>
      </c>
    </row>
    <row r="893" spans="1:18">
      <c r="A893" s="113" t="s">
        <v>1090</v>
      </c>
      <c r="B893" s="113" t="s">
        <v>449</v>
      </c>
      <c r="P893">
        <v>881</v>
      </c>
      <c r="Q893" t="s">
        <v>2410</v>
      </c>
      <c r="R893" t="s">
        <v>2641</v>
      </c>
    </row>
    <row r="894" spans="1:18">
      <c r="A894" s="113" t="s">
        <v>1091</v>
      </c>
      <c r="B894" s="113" t="s">
        <v>449</v>
      </c>
      <c r="P894">
        <v>882</v>
      </c>
      <c r="Q894" t="s">
        <v>2410</v>
      </c>
      <c r="R894" t="s">
        <v>2641</v>
      </c>
    </row>
    <row r="895" spans="1:18">
      <c r="A895" s="113" t="s">
        <v>1092</v>
      </c>
      <c r="B895" s="113" t="s">
        <v>449</v>
      </c>
      <c r="P895">
        <v>883</v>
      </c>
      <c r="Q895" t="s">
        <v>2410</v>
      </c>
      <c r="R895" t="s">
        <v>2641</v>
      </c>
    </row>
    <row r="896" spans="1:18">
      <c r="A896" s="113" t="s">
        <v>1093</v>
      </c>
      <c r="B896" s="113" t="s">
        <v>449</v>
      </c>
      <c r="P896">
        <v>884</v>
      </c>
      <c r="Q896" t="s">
        <v>2410</v>
      </c>
      <c r="R896" t="s">
        <v>2641</v>
      </c>
    </row>
    <row r="897" spans="1:18">
      <c r="A897" s="113" t="s">
        <v>1094</v>
      </c>
      <c r="B897" s="113" t="s">
        <v>449</v>
      </c>
      <c r="P897">
        <v>885</v>
      </c>
      <c r="Q897" t="s">
        <v>2410</v>
      </c>
      <c r="R897" t="s">
        <v>2641</v>
      </c>
    </row>
    <row r="898" spans="1:18">
      <c r="A898" s="113" t="s">
        <v>1095</v>
      </c>
      <c r="B898" s="113" t="s">
        <v>449</v>
      </c>
      <c r="P898">
        <v>886</v>
      </c>
      <c r="Q898" t="s">
        <v>2410</v>
      </c>
      <c r="R898" t="s">
        <v>2641</v>
      </c>
    </row>
    <row r="899" spans="1:18">
      <c r="A899" s="113" t="s">
        <v>1096</v>
      </c>
      <c r="B899" s="113" t="s">
        <v>449</v>
      </c>
      <c r="P899">
        <v>887</v>
      </c>
      <c r="Q899" t="s">
        <v>2410</v>
      </c>
      <c r="R899" t="s">
        <v>2641</v>
      </c>
    </row>
    <row r="900" spans="1:18">
      <c r="A900" s="113" t="s">
        <v>1097</v>
      </c>
      <c r="B900" s="113" t="s">
        <v>315</v>
      </c>
      <c r="P900">
        <v>888</v>
      </c>
      <c r="Q900" t="s">
        <v>2410</v>
      </c>
      <c r="R900" t="s">
        <v>2641</v>
      </c>
    </row>
    <row r="901" spans="1:18">
      <c r="A901" s="113" t="s">
        <v>1098</v>
      </c>
      <c r="B901" s="113" t="s">
        <v>449</v>
      </c>
      <c r="P901">
        <v>889</v>
      </c>
      <c r="Q901" t="s">
        <v>2410</v>
      </c>
      <c r="R901" t="s">
        <v>2641</v>
      </c>
    </row>
    <row r="902" spans="1:18">
      <c r="A902" s="113" t="s">
        <v>1099</v>
      </c>
      <c r="B902" s="113" t="s">
        <v>449</v>
      </c>
      <c r="P902">
        <v>890</v>
      </c>
      <c r="Q902" t="s">
        <v>2410</v>
      </c>
      <c r="R902" t="s">
        <v>2641</v>
      </c>
    </row>
    <row r="903" spans="1:18">
      <c r="A903" s="113" t="s">
        <v>1100</v>
      </c>
      <c r="B903" s="113" t="s">
        <v>315</v>
      </c>
      <c r="P903">
        <v>891</v>
      </c>
      <c r="Q903" t="s">
        <v>2410</v>
      </c>
      <c r="R903" t="s">
        <v>2641</v>
      </c>
    </row>
    <row r="904" spans="1:18">
      <c r="A904" s="113" t="s">
        <v>1101</v>
      </c>
      <c r="B904" s="113" t="s">
        <v>449</v>
      </c>
      <c r="P904">
        <v>892</v>
      </c>
      <c r="Q904" t="s">
        <v>2410</v>
      </c>
      <c r="R904" t="s">
        <v>2641</v>
      </c>
    </row>
    <row r="905" spans="1:18">
      <c r="A905" s="113" t="s">
        <v>1102</v>
      </c>
      <c r="B905" s="113" t="s">
        <v>315</v>
      </c>
      <c r="P905">
        <v>893</v>
      </c>
      <c r="Q905" t="s">
        <v>2410</v>
      </c>
      <c r="R905" t="s">
        <v>2641</v>
      </c>
    </row>
    <row r="906" spans="1:18">
      <c r="A906" s="113" t="s">
        <v>1103</v>
      </c>
      <c r="B906" s="113" t="s">
        <v>315</v>
      </c>
      <c r="P906">
        <v>894</v>
      </c>
      <c r="Q906" t="s">
        <v>2410</v>
      </c>
      <c r="R906" t="s">
        <v>2641</v>
      </c>
    </row>
    <row r="907" spans="1:18">
      <c r="A907" s="113" t="s">
        <v>1104</v>
      </c>
      <c r="B907" s="113" t="s">
        <v>315</v>
      </c>
      <c r="P907">
        <v>895</v>
      </c>
      <c r="Q907" t="s">
        <v>2410</v>
      </c>
      <c r="R907" t="s">
        <v>2641</v>
      </c>
    </row>
    <row r="908" spans="1:18">
      <c r="A908" s="113" t="s">
        <v>1105</v>
      </c>
      <c r="B908" s="113" t="s">
        <v>449</v>
      </c>
      <c r="P908">
        <v>896</v>
      </c>
      <c r="Q908" t="s">
        <v>2410</v>
      </c>
      <c r="R908" t="s">
        <v>2641</v>
      </c>
    </row>
    <row r="909" spans="1:18">
      <c r="A909" s="113" t="s">
        <v>1106</v>
      </c>
      <c r="B909" s="113" t="s">
        <v>315</v>
      </c>
      <c r="P909">
        <v>897</v>
      </c>
      <c r="Q909" t="s">
        <v>2410</v>
      </c>
      <c r="R909" t="s">
        <v>2641</v>
      </c>
    </row>
    <row r="910" spans="1:18">
      <c r="A910" s="113" t="s">
        <v>1107</v>
      </c>
      <c r="B910" s="113" t="s">
        <v>315</v>
      </c>
      <c r="P910">
        <v>898</v>
      </c>
      <c r="Q910" t="s">
        <v>2410</v>
      </c>
      <c r="R910" t="s">
        <v>2641</v>
      </c>
    </row>
    <row r="911" spans="1:18">
      <c r="A911" s="113" t="s">
        <v>1108</v>
      </c>
      <c r="B911" s="113" t="s">
        <v>315</v>
      </c>
      <c r="P911">
        <v>899</v>
      </c>
      <c r="Q911" t="s">
        <v>2410</v>
      </c>
      <c r="R911" t="s">
        <v>2641</v>
      </c>
    </row>
    <row r="912" spans="1:18">
      <c r="A912" s="113" t="s">
        <v>1109</v>
      </c>
      <c r="B912" s="113" t="s">
        <v>315</v>
      </c>
      <c r="P912">
        <v>900</v>
      </c>
      <c r="Q912" t="s">
        <v>2410</v>
      </c>
      <c r="R912" t="s">
        <v>2641</v>
      </c>
    </row>
    <row r="913" spans="1:18">
      <c r="A913" s="113" t="s">
        <v>1110</v>
      </c>
      <c r="B913" s="113" t="s">
        <v>315</v>
      </c>
      <c r="P913">
        <v>901</v>
      </c>
      <c r="Q913" t="s">
        <v>2410</v>
      </c>
      <c r="R913" t="s">
        <v>2641</v>
      </c>
    </row>
    <row r="914" spans="1:18">
      <c r="A914" s="113" t="s">
        <v>1111</v>
      </c>
      <c r="B914" s="113" t="s">
        <v>315</v>
      </c>
      <c r="P914">
        <v>902</v>
      </c>
      <c r="Q914" t="s">
        <v>2410</v>
      </c>
      <c r="R914" t="s">
        <v>2641</v>
      </c>
    </row>
    <row r="915" spans="1:18">
      <c r="A915" s="113" t="s">
        <v>1112</v>
      </c>
      <c r="B915" s="113" t="s">
        <v>315</v>
      </c>
      <c r="P915">
        <v>903</v>
      </c>
      <c r="Q915" t="s">
        <v>2410</v>
      </c>
      <c r="R915" t="s">
        <v>2641</v>
      </c>
    </row>
    <row r="916" spans="1:18">
      <c r="A916" s="113" t="s">
        <v>1113</v>
      </c>
      <c r="B916" s="113" t="s">
        <v>315</v>
      </c>
      <c r="P916">
        <v>904</v>
      </c>
      <c r="Q916" t="s">
        <v>2410</v>
      </c>
      <c r="R916" t="s">
        <v>2641</v>
      </c>
    </row>
    <row r="917" spans="1:18">
      <c r="A917" s="113" t="s">
        <v>1114</v>
      </c>
      <c r="B917" s="113" t="s">
        <v>315</v>
      </c>
      <c r="P917">
        <v>905</v>
      </c>
      <c r="Q917" t="s">
        <v>2410</v>
      </c>
      <c r="R917" t="s">
        <v>2641</v>
      </c>
    </row>
    <row r="918" spans="1:18">
      <c r="A918" s="113" t="s">
        <v>1115</v>
      </c>
      <c r="B918" s="113" t="s">
        <v>315</v>
      </c>
      <c r="P918">
        <v>906</v>
      </c>
      <c r="Q918" t="s">
        <v>2410</v>
      </c>
      <c r="R918" t="s">
        <v>2641</v>
      </c>
    </row>
    <row r="919" spans="1:18">
      <c r="A919" s="113" t="s">
        <v>1116</v>
      </c>
      <c r="B919" s="113" t="s">
        <v>315</v>
      </c>
      <c r="P919">
        <v>907</v>
      </c>
      <c r="Q919" t="s">
        <v>2410</v>
      </c>
      <c r="R919" t="s">
        <v>2641</v>
      </c>
    </row>
    <row r="920" spans="1:18">
      <c r="A920" s="113" t="s">
        <v>1117</v>
      </c>
      <c r="B920" s="113" t="s">
        <v>315</v>
      </c>
      <c r="P920">
        <v>908</v>
      </c>
      <c r="Q920" t="s">
        <v>2410</v>
      </c>
      <c r="R920" t="s">
        <v>2641</v>
      </c>
    </row>
    <row r="921" spans="1:18">
      <c r="A921" s="113" t="s">
        <v>1118</v>
      </c>
      <c r="B921" s="113" t="s">
        <v>315</v>
      </c>
      <c r="P921">
        <v>909</v>
      </c>
      <c r="Q921" t="s">
        <v>2410</v>
      </c>
      <c r="R921" t="s">
        <v>2641</v>
      </c>
    </row>
    <row r="922" spans="1:18">
      <c r="A922" s="113" t="s">
        <v>1119</v>
      </c>
      <c r="B922" s="113" t="s">
        <v>315</v>
      </c>
      <c r="P922">
        <v>910</v>
      </c>
      <c r="Q922" t="s">
        <v>2410</v>
      </c>
      <c r="R922" t="s">
        <v>2641</v>
      </c>
    </row>
    <row r="923" spans="1:18">
      <c r="A923" s="113" t="s">
        <v>1120</v>
      </c>
      <c r="B923" s="113" t="s">
        <v>315</v>
      </c>
      <c r="P923">
        <v>911</v>
      </c>
      <c r="Q923" t="s">
        <v>2410</v>
      </c>
      <c r="R923" t="s">
        <v>2641</v>
      </c>
    </row>
    <row r="924" spans="1:18">
      <c r="A924" s="113" t="s">
        <v>1121</v>
      </c>
      <c r="B924" s="113" t="s">
        <v>315</v>
      </c>
      <c r="P924">
        <v>912</v>
      </c>
      <c r="Q924" t="s">
        <v>2410</v>
      </c>
      <c r="R924" t="s">
        <v>2641</v>
      </c>
    </row>
    <row r="925" spans="1:18">
      <c r="A925" s="113" t="s">
        <v>1122</v>
      </c>
      <c r="B925" s="113" t="s">
        <v>315</v>
      </c>
      <c r="P925">
        <v>913</v>
      </c>
      <c r="Q925" t="s">
        <v>2410</v>
      </c>
      <c r="R925" t="s">
        <v>2641</v>
      </c>
    </row>
    <row r="926" spans="1:18">
      <c r="A926" s="113" t="s">
        <v>1123</v>
      </c>
      <c r="B926" s="113" t="s">
        <v>315</v>
      </c>
      <c r="P926">
        <v>914</v>
      </c>
      <c r="Q926" t="s">
        <v>2410</v>
      </c>
      <c r="R926" t="s">
        <v>2641</v>
      </c>
    </row>
    <row r="927" spans="1:18">
      <c r="A927" s="113" t="s">
        <v>1124</v>
      </c>
      <c r="B927" s="113" t="s">
        <v>315</v>
      </c>
      <c r="P927">
        <v>915</v>
      </c>
      <c r="Q927" t="s">
        <v>2410</v>
      </c>
      <c r="R927" t="s">
        <v>2641</v>
      </c>
    </row>
    <row r="928" spans="1:18">
      <c r="A928" s="113" t="s">
        <v>1125</v>
      </c>
      <c r="B928" s="113" t="s">
        <v>315</v>
      </c>
      <c r="P928">
        <v>916</v>
      </c>
      <c r="Q928" t="s">
        <v>2410</v>
      </c>
      <c r="R928" t="s">
        <v>2641</v>
      </c>
    </row>
    <row r="929" spans="1:18">
      <c r="A929" s="113" t="s">
        <v>1126</v>
      </c>
      <c r="B929" s="113" t="s">
        <v>315</v>
      </c>
      <c r="P929">
        <v>917</v>
      </c>
      <c r="Q929" t="s">
        <v>2410</v>
      </c>
      <c r="R929" t="s">
        <v>2641</v>
      </c>
    </row>
    <row r="930" spans="1:18">
      <c r="A930" s="113" t="s">
        <v>1127</v>
      </c>
      <c r="B930" s="113" t="s">
        <v>315</v>
      </c>
      <c r="P930">
        <v>918</v>
      </c>
      <c r="Q930" t="s">
        <v>2410</v>
      </c>
      <c r="R930" t="s">
        <v>2641</v>
      </c>
    </row>
    <row r="931" spans="1:18">
      <c r="A931" s="113" t="s">
        <v>1128</v>
      </c>
      <c r="B931" s="113" t="s">
        <v>315</v>
      </c>
      <c r="P931">
        <v>919</v>
      </c>
      <c r="Q931" t="s">
        <v>2410</v>
      </c>
      <c r="R931" t="s">
        <v>2641</v>
      </c>
    </row>
    <row r="932" spans="1:18">
      <c r="A932" s="113" t="s">
        <v>1129</v>
      </c>
      <c r="B932" s="113" t="s">
        <v>315</v>
      </c>
      <c r="P932">
        <v>920</v>
      </c>
      <c r="Q932" t="s">
        <v>2410</v>
      </c>
      <c r="R932" t="s">
        <v>2641</v>
      </c>
    </row>
    <row r="933" spans="1:18">
      <c r="A933" s="113" t="s">
        <v>1130</v>
      </c>
      <c r="B933" s="113" t="s">
        <v>315</v>
      </c>
      <c r="P933">
        <v>921</v>
      </c>
      <c r="Q933" t="s">
        <v>2410</v>
      </c>
      <c r="R933" t="s">
        <v>2641</v>
      </c>
    </row>
    <row r="934" spans="1:18">
      <c r="A934" s="113" t="s">
        <v>1131</v>
      </c>
      <c r="B934" s="113" t="s">
        <v>315</v>
      </c>
      <c r="P934">
        <v>922</v>
      </c>
      <c r="Q934" t="s">
        <v>2410</v>
      </c>
      <c r="R934" t="s">
        <v>2641</v>
      </c>
    </row>
    <row r="935" spans="1:18">
      <c r="A935" s="113" t="s">
        <v>1132</v>
      </c>
      <c r="B935" s="113" t="s">
        <v>315</v>
      </c>
      <c r="P935">
        <v>923</v>
      </c>
      <c r="Q935" t="s">
        <v>2410</v>
      </c>
      <c r="R935" t="s">
        <v>2641</v>
      </c>
    </row>
    <row r="936" spans="1:18">
      <c r="A936" s="113" t="s">
        <v>1133</v>
      </c>
      <c r="B936" s="113" t="s">
        <v>315</v>
      </c>
      <c r="P936">
        <v>924</v>
      </c>
      <c r="Q936" t="s">
        <v>2410</v>
      </c>
      <c r="R936" t="s">
        <v>2641</v>
      </c>
    </row>
    <row r="937" spans="1:18">
      <c r="A937" s="113" t="s">
        <v>1134</v>
      </c>
      <c r="B937" s="113" t="s">
        <v>315</v>
      </c>
      <c r="P937">
        <v>925</v>
      </c>
      <c r="Q937" t="s">
        <v>2410</v>
      </c>
      <c r="R937" t="s">
        <v>2641</v>
      </c>
    </row>
    <row r="938" spans="1:18">
      <c r="A938" s="113" t="s">
        <v>1135</v>
      </c>
      <c r="B938" s="113" t="s">
        <v>315</v>
      </c>
      <c r="P938">
        <v>926</v>
      </c>
      <c r="Q938" t="s">
        <v>2410</v>
      </c>
      <c r="R938" t="s">
        <v>2641</v>
      </c>
    </row>
    <row r="939" spans="1:18">
      <c r="A939" s="113" t="s">
        <v>1136</v>
      </c>
      <c r="B939" s="113" t="s">
        <v>315</v>
      </c>
      <c r="P939">
        <v>927</v>
      </c>
      <c r="Q939" t="s">
        <v>2410</v>
      </c>
      <c r="R939" t="s">
        <v>2641</v>
      </c>
    </row>
    <row r="940" spans="1:18">
      <c r="A940" s="113" t="s">
        <v>1137</v>
      </c>
      <c r="B940" s="113" t="s">
        <v>315</v>
      </c>
      <c r="P940">
        <v>928</v>
      </c>
      <c r="Q940" t="s">
        <v>2410</v>
      </c>
      <c r="R940" t="s">
        <v>2641</v>
      </c>
    </row>
    <row r="941" spans="1:18">
      <c r="A941" s="113" t="s">
        <v>1138</v>
      </c>
      <c r="B941" s="113" t="s">
        <v>315</v>
      </c>
      <c r="P941">
        <v>929</v>
      </c>
      <c r="Q941" t="s">
        <v>2410</v>
      </c>
      <c r="R941" t="s">
        <v>2641</v>
      </c>
    </row>
    <row r="942" spans="1:18">
      <c r="A942" s="113" t="s">
        <v>1139</v>
      </c>
      <c r="B942" s="113" t="s">
        <v>1140</v>
      </c>
      <c r="P942">
        <v>930</v>
      </c>
      <c r="Q942" t="s">
        <v>2410</v>
      </c>
      <c r="R942" t="s">
        <v>2641</v>
      </c>
    </row>
    <row r="943" spans="1:18">
      <c r="A943" s="113" t="s">
        <v>1141</v>
      </c>
      <c r="B943" s="113" t="s">
        <v>449</v>
      </c>
      <c r="P943">
        <v>931</v>
      </c>
      <c r="Q943" t="s">
        <v>2410</v>
      </c>
      <c r="R943" t="s">
        <v>2641</v>
      </c>
    </row>
    <row r="944" spans="1:18">
      <c r="A944" s="113" t="s">
        <v>1142</v>
      </c>
      <c r="B944" s="113" t="s">
        <v>1140</v>
      </c>
      <c r="P944">
        <v>932</v>
      </c>
      <c r="Q944" t="s">
        <v>2410</v>
      </c>
      <c r="R944" t="s">
        <v>2641</v>
      </c>
    </row>
    <row r="945" spans="1:18">
      <c r="A945" s="113" t="s">
        <v>1143</v>
      </c>
      <c r="B945" s="113" t="s">
        <v>449</v>
      </c>
      <c r="P945">
        <v>933</v>
      </c>
      <c r="Q945" t="s">
        <v>2410</v>
      </c>
      <c r="R945" t="s">
        <v>2641</v>
      </c>
    </row>
    <row r="946" spans="1:18">
      <c r="A946" s="113" t="s">
        <v>1144</v>
      </c>
      <c r="B946" s="113" t="s">
        <v>1140</v>
      </c>
      <c r="P946">
        <v>934</v>
      </c>
      <c r="Q946" t="s">
        <v>2410</v>
      </c>
      <c r="R946" t="s">
        <v>2641</v>
      </c>
    </row>
    <row r="947" spans="1:18">
      <c r="A947" s="113" t="s">
        <v>1145</v>
      </c>
      <c r="B947" s="113" t="s">
        <v>449</v>
      </c>
      <c r="P947">
        <v>935</v>
      </c>
      <c r="Q947" t="s">
        <v>2410</v>
      </c>
      <c r="R947" t="s">
        <v>2641</v>
      </c>
    </row>
    <row r="948" spans="1:18">
      <c r="A948" s="113" t="s">
        <v>1146</v>
      </c>
      <c r="B948" s="113" t="s">
        <v>1140</v>
      </c>
      <c r="P948">
        <v>936</v>
      </c>
      <c r="Q948" t="s">
        <v>2410</v>
      </c>
      <c r="R948" t="s">
        <v>2641</v>
      </c>
    </row>
    <row r="949" spans="1:18">
      <c r="A949" s="113" t="s">
        <v>1147</v>
      </c>
      <c r="B949" s="113" t="s">
        <v>1140</v>
      </c>
      <c r="P949">
        <v>937</v>
      </c>
      <c r="Q949" t="s">
        <v>2410</v>
      </c>
      <c r="R949" t="s">
        <v>2641</v>
      </c>
    </row>
    <row r="950" spans="1:18">
      <c r="A950" s="113" t="s">
        <v>1148</v>
      </c>
      <c r="B950" s="113" t="s">
        <v>449</v>
      </c>
      <c r="P950">
        <v>938</v>
      </c>
      <c r="Q950" t="s">
        <v>2410</v>
      </c>
      <c r="R950" t="s">
        <v>2641</v>
      </c>
    </row>
    <row r="951" spans="1:18">
      <c r="A951" s="113" t="s">
        <v>1149</v>
      </c>
      <c r="B951" s="113" t="s">
        <v>1140</v>
      </c>
      <c r="P951">
        <v>939</v>
      </c>
      <c r="Q951" t="s">
        <v>2410</v>
      </c>
      <c r="R951" t="s">
        <v>2641</v>
      </c>
    </row>
    <row r="952" spans="1:18">
      <c r="A952" s="113" t="s">
        <v>1150</v>
      </c>
      <c r="B952" s="113" t="s">
        <v>1140</v>
      </c>
      <c r="P952">
        <v>940</v>
      </c>
      <c r="Q952" t="s">
        <v>2410</v>
      </c>
      <c r="R952" t="s">
        <v>2641</v>
      </c>
    </row>
    <row r="953" spans="1:18">
      <c r="A953" s="113" t="s">
        <v>1151</v>
      </c>
      <c r="B953" s="113" t="s">
        <v>1140</v>
      </c>
      <c r="P953">
        <v>941</v>
      </c>
      <c r="Q953" t="s">
        <v>2410</v>
      </c>
      <c r="R953" t="s">
        <v>2641</v>
      </c>
    </row>
    <row r="954" spans="1:18">
      <c r="A954" s="113" t="s">
        <v>1152</v>
      </c>
      <c r="B954" s="113" t="s">
        <v>1140</v>
      </c>
      <c r="P954">
        <v>942</v>
      </c>
      <c r="Q954" t="s">
        <v>2410</v>
      </c>
      <c r="R954" t="s">
        <v>2641</v>
      </c>
    </row>
    <row r="955" spans="1:18">
      <c r="A955" s="113" t="s">
        <v>1153</v>
      </c>
      <c r="B955" s="113" t="s">
        <v>449</v>
      </c>
      <c r="P955">
        <v>943</v>
      </c>
      <c r="Q955" t="s">
        <v>2410</v>
      </c>
      <c r="R955" t="s">
        <v>2641</v>
      </c>
    </row>
    <row r="956" spans="1:18">
      <c r="A956" s="113" t="s">
        <v>1154</v>
      </c>
      <c r="B956" s="113" t="s">
        <v>1140</v>
      </c>
      <c r="P956">
        <v>944</v>
      </c>
      <c r="Q956" t="s">
        <v>2410</v>
      </c>
      <c r="R956" t="s">
        <v>2641</v>
      </c>
    </row>
    <row r="957" spans="1:18">
      <c r="A957" s="113" t="s">
        <v>1155</v>
      </c>
      <c r="B957" s="113" t="s">
        <v>1140</v>
      </c>
      <c r="P957">
        <v>945</v>
      </c>
      <c r="Q957" t="s">
        <v>2410</v>
      </c>
      <c r="R957" t="s">
        <v>2641</v>
      </c>
    </row>
    <row r="958" spans="1:18">
      <c r="A958" s="113" t="s">
        <v>1156</v>
      </c>
      <c r="B958" s="113" t="s">
        <v>449</v>
      </c>
      <c r="P958">
        <v>946</v>
      </c>
      <c r="Q958" t="s">
        <v>2410</v>
      </c>
      <c r="R958" t="s">
        <v>2641</v>
      </c>
    </row>
    <row r="959" spans="1:18">
      <c r="A959" s="113" t="s">
        <v>1157</v>
      </c>
      <c r="B959" s="113" t="s">
        <v>1140</v>
      </c>
      <c r="P959">
        <v>947</v>
      </c>
      <c r="Q959" t="s">
        <v>2410</v>
      </c>
      <c r="R959" t="s">
        <v>2641</v>
      </c>
    </row>
    <row r="960" spans="1:18">
      <c r="A960" s="113" t="s">
        <v>1158</v>
      </c>
      <c r="B960" s="113" t="s">
        <v>1140</v>
      </c>
      <c r="P960">
        <v>948</v>
      </c>
      <c r="Q960" t="s">
        <v>2410</v>
      </c>
      <c r="R960" t="s">
        <v>2641</v>
      </c>
    </row>
    <row r="961" spans="1:18">
      <c r="A961" s="113" t="s">
        <v>1159</v>
      </c>
      <c r="B961" s="113" t="s">
        <v>449</v>
      </c>
      <c r="P961">
        <v>949</v>
      </c>
      <c r="Q961" t="s">
        <v>2410</v>
      </c>
      <c r="R961" t="s">
        <v>2641</v>
      </c>
    </row>
    <row r="962" spans="1:18">
      <c r="A962" s="113" t="s">
        <v>1160</v>
      </c>
      <c r="B962" s="113" t="s">
        <v>449</v>
      </c>
      <c r="P962">
        <v>950</v>
      </c>
      <c r="Q962" t="s">
        <v>2410</v>
      </c>
      <c r="R962" t="s">
        <v>2641</v>
      </c>
    </row>
    <row r="963" spans="1:18">
      <c r="A963" s="113" t="s">
        <v>1161</v>
      </c>
      <c r="B963" s="113" t="s">
        <v>1162</v>
      </c>
      <c r="P963">
        <v>951</v>
      </c>
      <c r="Q963" t="s">
        <v>2410</v>
      </c>
      <c r="R963" t="s">
        <v>2641</v>
      </c>
    </row>
    <row r="964" spans="1:18">
      <c r="A964" s="113" t="s">
        <v>1163</v>
      </c>
      <c r="B964" s="113" t="s">
        <v>1140</v>
      </c>
      <c r="P964">
        <v>952</v>
      </c>
      <c r="Q964" t="s">
        <v>2410</v>
      </c>
      <c r="R964" t="s">
        <v>2641</v>
      </c>
    </row>
    <row r="965" spans="1:18">
      <c r="A965" s="113" t="s">
        <v>1164</v>
      </c>
      <c r="B965" s="113" t="s">
        <v>449</v>
      </c>
      <c r="P965">
        <v>953</v>
      </c>
      <c r="Q965" t="s">
        <v>2410</v>
      </c>
      <c r="R965" t="s">
        <v>2641</v>
      </c>
    </row>
    <row r="966" spans="1:18">
      <c r="A966" s="113" t="s">
        <v>1165</v>
      </c>
      <c r="B966" s="113" t="s">
        <v>1140</v>
      </c>
      <c r="P966">
        <v>954</v>
      </c>
      <c r="Q966" t="s">
        <v>2410</v>
      </c>
      <c r="R966" t="s">
        <v>2641</v>
      </c>
    </row>
    <row r="967" spans="1:18">
      <c r="A967" s="113" t="s">
        <v>1166</v>
      </c>
      <c r="B967" s="113" t="s">
        <v>1140</v>
      </c>
      <c r="P967">
        <v>955</v>
      </c>
      <c r="Q967" t="s">
        <v>2410</v>
      </c>
      <c r="R967" t="s">
        <v>2641</v>
      </c>
    </row>
    <row r="968" spans="1:18">
      <c r="A968" s="113" t="s">
        <v>1167</v>
      </c>
      <c r="B968" s="113" t="s">
        <v>1140</v>
      </c>
      <c r="P968">
        <v>956</v>
      </c>
      <c r="Q968" t="s">
        <v>2410</v>
      </c>
      <c r="R968" t="s">
        <v>2641</v>
      </c>
    </row>
    <row r="969" spans="1:18">
      <c r="A969" s="113" t="s">
        <v>1168</v>
      </c>
      <c r="B969" s="113" t="s">
        <v>1140</v>
      </c>
      <c r="P969">
        <v>957</v>
      </c>
      <c r="Q969" t="s">
        <v>2410</v>
      </c>
      <c r="R969" t="s">
        <v>2641</v>
      </c>
    </row>
    <row r="970" spans="1:18">
      <c r="A970" s="113" t="s">
        <v>1169</v>
      </c>
      <c r="B970" s="113" t="s">
        <v>449</v>
      </c>
      <c r="P970">
        <v>958</v>
      </c>
      <c r="Q970" t="s">
        <v>2410</v>
      </c>
      <c r="R970" t="s">
        <v>2641</v>
      </c>
    </row>
    <row r="971" spans="1:18">
      <c r="A971" s="113" t="s">
        <v>1170</v>
      </c>
      <c r="B971" s="113" t="s">
        <v>1140</v>
      </c>
      <c r="P971">
        <v>959</v>
      </c>
      <c r="Q971" t="s">
        <v>2410</v>
      </c>
      <c r="R971" t="s">
        <v>2641</v>
      </c>
    </row>
    <row r="972" spans="1:18">
      <c r="A972" s="113" t="s">
        <v>1171</v>
      </c>
      <c r="B972" s="113" t="s">
        <v>1140</v>
      </c>
      <c r="P972">
        <v>960</v>
      </c>
      <c r="Q972" t="s">
        <v>2410</v>
      </c>
      <c r="R972" t="s">
        <v>2641</v>
      </c>
    </row>
    <row r="973" spans="1:18">
      <c r="A973" s="113" t="s">
        <v>1172</v>
      </c>
      <c r="B973" s="113" t="s">
        <v>1140</v>
      </c>
      <c r="P973">
        <v>961</v>
      </c>
      <c r="Q973" t="s">
        <v>2410</v>
      </c>
      <c r="R973" t="s">
        <v>2641</v>
      </c>
    </row>
    <row r="974" spans="1:18">
      <c r="A974" s="113" t="s">
        <v>1173</v>
      </c>
      <c r="B974" s="113" t="s">
        <v>1140</v>
      </c>
      <c r="P974">
        <v>962</v>
      </c>
      <c r="Q974" t="s">
        <v>2410</v>
      </c>
      <c r="R974" t="s">
        <v>2641</v>
      </c>
    </row>
    <row r="975" spans="1:18">
      <c r="A975" s="113" t="s">
        <v>1174</v>
      </c>
      <c r="B975" s="113" t="s">
        <v>449</v>
      </c>
      <c r="P975">
        <v>963</v>
      </c>
      <c r="Q975" t="s">
        <v>2410</v>
      </c>
      <c r="R975" t="s">
        <v>2641</v>
      </c>
    </row>
    <row r="976" spans="1:18">
      <c r="A976" s="113" t="s">
        <v>1175</v>
      </c>
      <c r="B976" s="113" t="s">
        <v>1140</v>
      </c>
      <c r="P976">
        <v>964</v>
      </c>
      <c r="Q976" t="s">
        <v>2410</v>
      </c>
      <c r="R976" t="s">
        <v>2641</v>
      </c>
    </row>
    <row r="977" spans="1:18">
      <c r="A977" s="113" t="s">
        <v>1176</v>
      </c>
      <c r="B977" s="113" t="s">
        <v>449</v>
      </c>
      <c r="P977">
        <v>965</v>
      </c>
      <c r="Q977" t="s">
        <v>2410</v>
      </c>
      <c r="R977" t="s">
        <v>2641</v>
      </c>
    </row>
    <row r="978" spans="1:18">
      <c r="A978" s="113" t="s">
        <v>1177</v>
      </c>
      <c r="B978" s="113" t="s">
        <v>1140</v>
      </c>
      <c r="P978">
        <v>966</v>
      </c>
      <c r="Q978" t="s">
        <v>2410</v>
      </c>
      <c r="R978" t="s">
        <v>2641</v>
      </c>
    </row>
    <row r="979" spans="1:18">
      <c r="A979" s="113" t="s">
        <v>1178</v>
      </c>
      <c r="B979" s="113" t="s">
        <v>1140</v>
      </c>
      <c r="P979">
        <v>967</v>
      </c>
      <c r="Q979" t="s">
        <v>2410</v>
      </c>
      <c r="R979" t="s">
        <v>2641</v>
      </c>
    </row>
    <row r="980" spans="1:18">
      <c r="A980" s="113" t="s">
        <v>1179</v>
      </c>
      <c r="B980" s="113" t="s">
        <v>449</v>
      </c>
      <c r="P980">
        <v>968</v>
      </c>
      <c r="Q980" t="s">
        <v>2410</v>
      </c>
      <c r="R980" t="s">
        <v>2641</v>
      </c>
    </row>
    <row r="981" spans="1:18">
      <c r="A981" s="113" t="s">
        <v>1180</v>
      </c>
      <c r="B981" s="113" t="s">
        <v>1140</v>
      </c>
      <c r="P981">
        <v>969</v>
      </c>
      <c r="Q981" t="s">
        <v>2410</v>
      </c>
      <c r="R981" t="s">
        <v>2641</v>
      </c>
    </row>
    <row r="982" spans="1:18">
      <c r="A982" s="113" t="s">
        <v>1181</v>
      </c>
      <c r="B982" s="113" t="s">
        <v>1140</v>
      </c>
      <c r="P982">
        <v>970</v>
      </c>
      <c r="Q982" t="s">
        <v>2410</v>
      </c>
      <c r="R982" t="s">
        <v>2641</v>
      </c>
    </row>
    <row r="983" spans="1:18">
      <c r="A983" s="113" t="s">
        <v>1182</v>
      </c>
      <c r="B983" s="113" t="s">
        <v>1140</v>
      </c>
      <c r="P983">
        <v>971</v>
      </c>
      <c r="Q983" t="s">
        <v>2410</v>
      </c>
      <c r="R983" t="s">
        <v>2641</v>
      </c>
    </row>
    <row r="984" spans="1:18">
      <c r="A984" s="113" t="s">
        <v>1183</v>
      </c>
      <c r="B984" s="113" t="s">
        <v>449</v>
      </c>
      <c r="P984">
        <v>972</v>
      </c>
      <c r="Q984" t="s">
        <v>2410</v>
      </c>
      <c r="R984" t="s">
        <v>2641</v>
      </c>
    </row>
    <row r="985" spans="1:18">
      <c r="A985" s="113" t="s">
        <v>1184</v>
      </c>
      <c r="B985" s="113" t="s">
        <v>449</v>
      </c>
      <c r="P985">
        <v>973</v>
      </c>
      <c r="Q985" t="s">
        <v>2410</v>
      </c>
      <c r="R985" t="s">
        <v>2641</v>
      </c>
    </row>
    <row r="986" spans="1:18">
      <c r="A986" s="113" t="s">
        <v>1185</v>
      </c>
      <c r="B986" s="113" t="s">
        <v>1140</v>
      </c>
      <c r="P986">
        <v>974</v>
      </c>
      <c r="Q986" t="s">
        <v>2410</v>
      </c>
      <c r="R986" t="s">
        <v>2641</v>
      </c>
    </row>
    <row r="987" spans="1:18">
      <c r="A987" s="113" t="s">
        <v>1186</v>
      </c>
      <c r="B987" s="113" t="s">
        <v>449</v>
      </c>
      <c r="P987">
        <v>975</v>
      </c>
      <c r="Q987" t="s">
        <v>2410</v>
      </c>
      <c r="R987" t="s">
        <v>2641</v>
      </c>
    </row>
    <row r="988" spans="1:18">
      <c r="A988" s="113" t="s">
        <v>1187</v>
      </c>
      <c r="B988" s="113" t="s">
        <v>1140</v>
      </c>
      <c r="P988">
        <v>976</v>
      </c>
      <c r="Q988" t="s">
        <v>2410</v>
      </c>
      <c r="R988" t="s">
        <v>2641</v>
      </c>
    </row>
    <row r="989" spans="1:18">
      <c r="A989" s="113" t="s">
        <v>1188</v>
      </c>
      <c r="B989" s="113" t="s">
        <v>449</v>
      </c>
      <c r="P989">
        <v>977</v>
      </c>
      <c r="Q989" t="s">
        <v>2410</v>
      </c>
      <c r="R989" t="s">
        <v>2641</v>
      </c>
    </row>
    <row r="990" spans="1:18">
      <c r="A990" s="113" t="s">
        <v>1189</v>
      </c>
      <c r="B990" s="113" t="s">
        <v>1140</v>
      </c>
      <c r="P990">
        <v>978</v>
      </c>
      <c r="Q990" t="s">
        <v>2410</v>
      </c>
      <c r="R990" t="s">
        <v>2641</v>
      </c>
    </row>
    <row r="991" spans="1:18">
      <c r="A991" s="113" t="s">
        <v>1190</v>
      </c>
      <c r="B991" s="113" t="s">
        <v>449</v>
      </c>
      <c r="P991">
        <v>979</v>
      </c>
      <c r="Q991" t="s">
        <v>2410</v>
      </c>
      <c r="R991" t="s">
        <v>2641</v>
      </c>
    </row>
    <row r="992" spans="1:18">
      <c r="A992" s="113" t="s">
        <v>1191</v>
      </c>
      <c r="B992" s="113" t="s">
        <v>449</v>
      </c>
      <c r="P992">
        <v>980</v>
      </c>
      <c r="Q992" t="s">
        <v>2410</v>
      </c>
      <c r="R992" t="s">
        <v>2641</v>
      </c>
    </row>
    <row r="993" spans="1:18">
      <c r="A993" s="113" t="s">
        <v>1192</v>
      </c>
      <c r="B993" s="113" t="s">
        <v>449</v>
      </c>
      <c r="P993">
        <v>981</v>
      </c>
      <c r="Q993" t="s">
        <v>2410</v>
      </c>
      <c r="R993" t="s">
        <v>2641</v>
      </c>
    </row>
    <row r="994" spans="1:18">
      <c r="A994" s="113" t="s">
        <v>1193</v>
      </c>
      <c r="B994" s="113" t="s">
        <v>449</v>
      </c>
      <c r="P994">
        <v>982</v>
      </c>
      <c r="Q994" t="s">
        <v>2410</v>
      </c>
      <c r="R994" t="s">
        <v>2641</v>
      </c>
    </row>
    <row r="995" spans="1:18">
      <c r="A995" s="113" t="s">
        <v>1194</v>
      </c>
      <c r="B995" s="113" t="s">
        <v>1140</v>
      </c>
      <c r="P995">
        <v>983</v>
      </c>
      <c r="Q995" t="s">
        <v>2410</v>
      </c>
      <c r="R995" t="s">
        <v>2641</v>
      </c>
    </row>
    <row r="996" spans="1:18">
      <c r="A996" s="113" t="s">
        <v>1195</v>
      </c>
      <c r="B996" s="113" t="s">
        <v>449</v>
      </c>
      <c r="P996">
        <v>984</v>
      </c>
      <c r="Q996" t="s">
        <v>2410</v>
      </c>
      <c r="R996" t="s">
        <v>2641</v>
      </c>
    </row>
    <row r="997" spans="1:18">
      <c r="A997" s="113" t="s">
        <v>1196</v>
      </c>
      <c r="B997" s="113" t="s">
        <v>1140</v>
      </c>
      <c r="P997">
        <v>985</v>
      </c>
      <c r="Q997" t="s">
        <v>2410</v>
      </c>
      <c r="R997" t="s">
        <v>2641</v>
      </c>
    </row>
    <row r="998" spans="1:18">
      <c r="A998" s="113" t="s">
        <v>1197</v>
      </c>
      <c r="B998" s="113" t="s">
        <v>449</v>
      </c>
      <c r="P998">
        <v>986</v>
      </c>
      <c r="Q998" t="s">
        <v>2410</v>
      </c>
      <c r="R998" t="s">
        <v>2641</v>
      </c>
    </row>
    <row r="999" spans="1:18">
      <c r="A999" s="113" t="s">
        <v>1198</v>
      </c>
      <c r="B999" s="113" t="s">
        <v>449</v>
      </c>
      <c r="P999">
        <v>987</v>
      </c>
      <c r="Q999" t="s">
        <v>2410</v>
      </c>
      <c r="R999" t="s">
        <v>2641</v>
      </c>
    </row>
    <row r="1000" spans="1:18">
      <c r="A1000" s="113" t="s">
        <v>1199</v>
      </c>
      <c r="B1000" s="113" t="s">
        <v>449</v>
      </c>
      <c r="P1000">
        <v>988</v>
      </c>
      <c r="Q1000" t="s">
        <v>2410</v>
      </c>
      <c r="R1000" t="s">
        <v>2641</v>
      </c>
    </row>
    <row r="1001" spans="1:18">
      <c r="A1001" s="113" t="s">
        <v>1200</v>
      </c>
      <c r="B1001" s="113" t="s">
        <v>1140</v>
      </c>
      <c r="P1001">
        <v>989</v>
      </c>
      <c r="Q1001" t="s">
        <v>2410</v>
      </c>
      <c r="R1001" t="s">
        <v>2641</v>
      </c>
    </row>
    <row r="1002" spans="1:18">
      <c r="A1002" s="113" t="s">
        <v>1201</v>
      </c>
      <c r="B1002" s="113" t="s">
        <v>449</v>
      </c>
      <c r="P1002">
        <v>990</v>
      </c>
      <c r="Q1002" t="s">
        <v>2410</v>
      </c>
      <c r="R1002" t="s">
        <v>2641</v>
      </c>
    </row>
    <row r="1003" spans="1:18">
      <c r="A1003" s="113" t="s">
        <v>1202</v>
      </c>
      <c r="B1003" s="113" t="s">
        <v>449</v>
      </c>
      <c r="P1003">
        <v>991</v>
      </c>
      <c r="Q1003" t="s">
        <v>2410</v>
      </c>
      <c r="R1003" t="s">
        <v>2641</v>
      </c>
    </row>
    <row r="1004" spans="1:18">
      <c r="A1004" s="113" t="s">
        <v>1203</v>
      </c>
      <c r="B1004" s="113" t="s">
        <v>1140</v>
      </c>
      <c r="P1004">
        <v>992</v>
      </c>
      <c r="Q1004" t="s">
        <v>2410</v>
      </c>
      <c r="R1004" t="s">
        <v>2641</v>
      </c>
    </row>
    <row r="1005" spans="1:18">
      <c r="A1005" s="113" t="s">
        <v>1204</v>
      </c>
      <c r="B1005" s="113" t="s">
        <v>1140</v>
      </c>
      <c r="P1005">
        <v>993</v>
      </c>
      <c r="Q1005" t="s">
        <v>2410</v>
      </c>
      <c r="R1005" t="s">
        <v>2641</v>
      </c>
    </row>
    <row r="1006" spans="1:18">
      <c r="A1006" s="113" t="s">
        <v>1205</v>
      </c>
      <c r="B1006" s="113" t="s">
        <v>449</v>
      </c>
      <c r="P1006">
        <v>994</v>
      </c>
      <c r="Q1006" t="s">
        <v>2410</v>
      </c>
      <c r="R1006" t="s">
        <v>2641</v>
      </c>
    </row>
    <row r="1007" spans="1:18">
      <c r="A1007" s="113" t="s">
        <v>1206</v>
      </c>
      <c r="B1007" s="113" t="s">
        <v>1140</v>
      </c>
      <c r="P1007">
        <v>995</v>
      </c>
      <c r="Q1007" t="s">
        <v>2410</v>
      </c>
      <c r="R1007" t="s">
        <v>2641</v>
      </c>
    </row>
    <row r="1008" spans="1:18">
      <c r="A1008" s="113" t="s">
        <v>1207</v>
      </c>
      <c r="B1008" s="113" t="s">
        <v>449</v>
      </c>
      <c r="P1008">
        <v>996</v>
      </c>
      <c r="Q1008" t="s">
        <v>2410</v>
      </c>
      <c r="R1008" t="s">
        <v>2641</v>
      </c>
    </row>
    <row r="1009" spans="1:18">
      <c r="A1009" s="113" t="s">
        <v>1208</v>
      </c>
      <c r="B1009" s="113" t="s">
        <v>449</v>
      </c>
      <c r="P1009">
        <v>997</v>
      </c>
      <c r="Q1009" t="s">
        <v>2410</v>
      </c>
      <c r="R1009" t="s">
        <v>2641</v>
      </c>
    </row>
    <row r="1010" spans="1:18">
      <c r="A1010" s="113" t="s">
        <v>1209</v>
      </c>
      <c r="B1010" s="113" t="s">
        <v>1140</v>
      </c>
      <c r="P1010">
        <v>998</v>
      </c>
      <c r="Q1010" t="s">
        <v>2410</v>
      </c>
      <c r="R1010" t="s">
        <v>2641</v>
      </c>
    </row>
    <row r="1011" spans="1:18">
      <c r="A1011" s="113" t="s">
        <v>1210</v>
      </c>
      <c r="B1011" s="113" t="s">
        <v>449</v>
      </c>
      <c r="P1011">
        <v>999</v>
      </c>
      <c r="Q1011" t="s">
        <v>2410</v>
      </c>
      <c r="R1011" t="s">
        <v>2641</v>
      </c>
    </row>
    <row r="1012" spans="1:18">
      <c r="A1012" s="113" t="s">
        <v>1211</v>
      </c>
      <c r="B1012" s="113" t="s">
        <v>1140</v>
      </c>
    </row>
    <row r="1013" spans="1:18">
      <c r="A1013" s="113" t="s">
        <v>1212</v>
      </c>
      <c r="B1013" s="113" t="s">
        <v>1140</v>
      </c>
    </row>
    <row r="1014" spans="1:18">
      <c r="A1014" s="113" t="s">
        <v>1213</v>
      </c>
      <c r="B1014" s="113" t="s">
        <v>449</v>
      </c>
    </row>
    <row r="1015" spans="1:18">
      <c r="A1015" s="113" t="s">
        <v>1214</v>
      </c>
      <c r="B1015" s="113" t="s">
        <v>449</v>
      </c>
    </row>
    <row r="1016" spans="1:18">
      <c r="A1016" s="113" t="s">
        <v>1215</v>
      </c>
      <c r="B1016" s="113" t="s">
        <v>449</v>
      </c>
    </row>
    <row r="1017" spans="1:18">
      <c r="A1017" s="113" t="s">
        <v>1216</v>
      </c>
      <c r="B1017" s="113" t="s">
        <v>1140</v>
      </c>
    </row>
    <row r="1018" spans="1:18">
      <c r="A1018" s="113" t="s">
        <v>1217</v>
      </c>
      <c r="B1018" s="113" t="s">
        <v>1140</v>
      </c>
    </row>
    <row r="1019" spans="1:18">
      <c r="A1019" s="113" t="s">
        <v>1218</v>
      </c>
      <c r="B1019" s="113" t="s">
        <v>1140</v>
      </c>
    </row>
    <row r="1020" spans="1:18">
      <c r="A1020" s="113" t="s">
        <v>1219</v>
      </c>
      <c r="B1020" s="113" t="s">
        <v>1140</v>
      </c>
    </row>
    <row r="1021" spans="1:18">
      <c r="A1021" s="113" t="s">
        <v>1220</v>
      </c>
      <c r="B1021" s="113" t="s">
        <v>449</v>
      </c>
    </row>
    <row r="1022" spans="1:18">
      <c r="A1022" s="113" t="s">
        <v>1221</v>
      </c>
      <c r="B1022" s="113" t="s">
        <v>1140</v>
      </c>
    </row>
    <row r="1023" spans="1:18">
      <c r="A1023" s="113" t="s">
        <v>1222</v>
      </c>
      <c r="B1023" s="113" t="s">
        <v>449</v>
      </c>
    </row>
    <row r="1024" spans="1:18">
      <c r="A1024" s="113" t="s">
        <v>1223</v>
      </c>
      <c r="B1024" s="113" t="s">
        <v>1140</v>
      </c>
    </row>
    <row r="1025" spans="1:2">
      <c r="A1025" s="113" t="s">
        <v>1224</v>
      </c>
      <c r="B1025" s="113" t="s">
        <v>449</v>
      </c>
    </row>
    <row r="1026" spans="1:2">
      <c r="A1026" s="113" t="s">
        <v>1225</v>
      </c>
      <c r="B1026" s="113" t="s">
        <v>1162</v>
      </c>
    </row>
    <row r="1027" spans="1:2">
      <c r="A1027" s="113" t="s">
        <v>1226</v>
      </c>
      <c r="B1027" s="113" t="s">
        <v>1140</v>
      </c>
    </row>
    <row r="1028" spans="1:2">
      <c r="A1028" s="113" t="s">
        <v>1227</v>
      </c>
      <c r="B1028" s="113" t="s">
        <v>1140</v>
      </c>
    </row>
    <row r="1029" spans="1:2">
      <c r="A1029" s="113" t="s">
        <v>1228</v>
      </c>
      <c r="B1029" s="113" t="s">
        <v>449</v>
      </c>
    </row>
    <row r="1030" spans="1:2">
      <c r="A1030" s="113" t="s">
        <v>1229</v>
      </c>
      <c r="B1030" s="113" t="s">
        <v>1140</v>
      </c>
    </row>
    <row r="1031" spans="1:2">
      <c r="A1031" s="113" t="s">
        <v>1230</v>
      </c>
      <c r="B1031" s="113" t="s">
        <v>1140</v>
      </c>
    </row>
    <row r="1032" spans="1:2">
      <c r="A1032" s="113" t="s">
        <v>1231</v>
      </c>
      <c r="B1032" s="113" t="s">
        <v>449</v>
      </c>
    </row>
    <row r="1033" spans="1:2">
      <c r="A1033" s="113" t="s">
        <v>1232</v>
      </c>
      <c r="B1033" s="113" t="s">
        <v>1140</v>
      </c>
    </row>
    <row r="1034" spans="1:2">
      <c r="A1034" s="113" t="s">
        <v>1233</v>
      </c>
      <c r="B1034" s="113" t="s">
        <v>1140</v>
      </c>
    </row>
    <row r="1035" spans="1:2">
      <c r="A1035" s="113" t="s">
        <v>1234</v>
      </c>
      <c r="B1035" s="113" t="s">
        <v>449</v>
      </c>
    </row>
    <row r="1036" spans="1:2">
      <c r="A1036" s="113" t="s">
        <v>1235</v>
      </c>
      <c r="B1036" s="113" t="s">
        <v>1140</v>
      </c>
    </row>
    <row r="1037" spans="1:2">
      <c r="A1037" s="113" t="s">
        <v>1236</v>
      </c>
      <c r="B1037" s="113" t="s">
        <v>1140</v>
      </c>
    </row>
    <row r="1038" spans="1:2">
      <c r="A1038" s="113" t="s">
        <v>1237</v>
      </c>
      <c r="B1038" s="113" t="s">
        <v>1140</v>
      </c>
    </row>
    <row r="1039" spans="1:2">
      <c r="A1039" s="113" t="s">
        <v>1238</v>
      </c>
      <c r="B1039" s="113" t="s">
        <v>1140</v>
      </c>
    </row>
    <row r="1040" spans="1:2">
      <c r="A1040" s="113" t="s">
        <v>1239</v>
      </c>
      <c r="B1040" s="113" t="s">
        <v>1140</v>
      </c>
    </row>
    <row r="1041" spans="1:2">
      <c r="A1041" s="113" t="s">
        <v>1240</v>
      </c>
      <c r="B1041" s="113" t="s">
        <v>1140</v>
      </c>
    </row>
    <row r="1042" spans="1:2">
      <c r="A1042" s="113" t="s">
        <v>1241</v>
      </c>
      <c r="B1042" s="113" t="s">
        <v>1140</v>
      </c>
    </row>
    <row r="1043" spans="1:2">
      <c r="A1043" s="113" t="s">
        <v>1242</v>
      </c>
      <c r="B1043" s="113" t="s">
        <v>1140</v>
      </c>
    </row>
    <row r="1044" spans="1:2">
      <c r="A1044" s="113" t="s">
        <v>1243</v>
      </c>
      <c r="B1044" s="113" t="s">
        <v>1140</v>
      </c>
    </row>
    <row r="1045" spans="1:2">
      <c r="A1045" s="113" t="s">
        <v>1244</v>
      </c>
      <c r="B1045" s="113" t="s">
        <v>1140</v>
      </c>
    </row>
    <row r="1046" spans="1:2">
      <c r="A1046" s="113" t="s">
        <v>1245</v>
      </c>
      <c r="B1046" s="113" t="s">
        <v>1140</v>
      </c>
    </row>
    <row r="1047" spans="1:2">
      <c r="A1047" s="113" t="s">
        <v>1246</v>
      </c>
      <c r="B1047" s="113" t="s">
        <v>1140</v>
      </c>
    </row>
    <row r="1048" spans="1:2">
      <c r="A1048" s="113" t="s">
        <v>1247</v>
      </c>
      <c r="B1048" s="113" t="s">
        <v>1140</v>
      </c>
    </row>
    <row r="1049" spans="1:2">
      <c r="A1049" s="113" t="s">
        <v>1248</v>
      </c>
      <c r="B1049" s="113" t="s">
        <v>1140</v>
      </c>
    </row>
    <row r="1050" spans="1:2">
      <c r="A1050" s="113" t="s">
        <v>1249</v>
      </c>
      <c r="B1050" s="113" t="s">
        <v>1140</v>
      </c>
    </row>
    <row r="1051" spans="1:2">
      <c r="A1051" s="113" t="s">
        <v>1250</v>
      </c>
      <c r="B1051" s="113" t="s">
        <v>1140</v>
      </c>
    </row>
    <row r="1052" spans="1:2">
      <c r="A1052" s="113" t="s">
        <v>1251</v>
      </c>
      <c r="B1052" s="113" t="s">
        <v>1140</v>
      </c>
    </row>
    <row r="1053" spans="1:2">
      <c r="A1053" s="113" t="s">
        <v>1252</v>
      </c>
      <c r="B1053" s="113" t="s">
        <v>1140</v>
      </c>
    </row>
    <row r="1054" spans="1:2">
      <c r="A1054" s="113" t="s">
        <v>1253</v>
      </c>
      <c r="B1054" s="113" t="s">
        <v>1140</v>
      </c>
    </row>
    <row r="1055" spans="1:2">
      <c r="A1055" s="113" t="s">
        <v>1254</v>
      </c>
      <c r="B1055" s="113" t="s">
        <v>1140</v>
      </c>
    </row>
    <row r="1056" spans="1:2">
      <c r="A1056" s="113" t="s">
        <v>1255</v>
      </c>
      <c r="B1056" s="113" t="s">
        <v>1140</v>
      </c>
    </row>
    <row r="1057" spans="1:2">
      <c r="A1057" s="113" t="s">
        <v>1256</v>
      </c>
      <c r="B1057" s="113" t="s">
        <v>1140</v>
      </c>
    </row>
    <row r="1058" spans="1:2">
      <c r="A1058" s="113" t="s">
        <v>1257</v>
      </c>
      <c r="B1058" s="113" t="s">
        <v>1140</v>
      </c>
    </row>
    <row r="1059" spans="1:2">
      <c r="A1059" s="113" t="s">
        <v>1258</v>
      </c>
      <c r="B1059" s="113" t="s">
        <v>1140</v>
      </c>
    </row>
    <row r="1060" spans="1:2">
      <c r="A1060" s="113" t="s">
        <v>1259</v>
      </c>
      <c r="B1060" s="113" t="s">
        <v>1140</v>
      </c>
    </row>
    <row r="1061" spans="1:2">
      <c r="A1061" s="113" t="s">
        <v>1260</v>
      </c>
      <c r="B1061" s="113" t="s">
        <v>1140</v>
      </c>
    </row>
    <row r="1062" spans="1:2">
      <c r="A1062" s="113" t="s">
        <v>1261</v>
      </c>
      <c r="B1062" s="113" t="s">
        <v>1140</v>
      </c>
    </row>
    <row r="1063" spans="1:2">
      <c r="A1063" s="113" t="s">
        <v>1262</v>
      </c>
      <c r="B1063" s="113" t="s">
        <v>1140</v>
      </c>
    </row>
    <row r="1064" spans="1:2">
      <c r="A1064" s="113" t="s">
        <v>1263</v>
      </c>
      <c r="B1064" s="113" t="s">
        <v>1140</v>
      </c>
    </row>
    <row r="1065" spans="1:2">
      <c r="A1065" s="113" t="s">
        <v>1264</v>
      </c>
      <c r="B1065" s="113" t="s">
        <v>449</v>
      </c>
    </row>
    <row r="1066" spans="1:2">
      <c r="A1066" s="113" t="s">
        <v>1265</v>
      </c>
      <c r="B1066" s="113" t="s">
        <v>449</v>
      </c>
    </row>
    <row r="1067" spans="1:2">
      <c r="A1067" s="113" t="s">
        <v>1266</v>
      </c>
      <c r="B1067" s="113" t="s">
        <v>449</v>
      </c>
    </row>
    <row r="1068" spans="1:2">
      <c r="A1068" s="113" t="s">
        <v>1267</v>
      </c>
      <c r="B1068" s="113" t="s">
        <v>1140</v>
      </c>
    </row>
    <row r="1069" spans="1:2">
      <c r="A1069" s="113" t="s">
        <v>1268</v>
      </c>
      <c r="B1069" s="113" t="s">
        <v>449</v>
      </c>
    </row>
    <row r="1070" spans="1:2">
      <c r="A1070" s="113" t="s">
        <v>1269</v>
      </c>
      <c r="B1070" s="113" t="s">
        <v>1140</v>
      </c>
    </row>
    <row r="1071" spans="1:2">
      <c r="A1071" s="113" t="s">
        <v>1270</v>
      </c>
      <c r="B1071" s="113" t="s">
        <v>1140</v>
      </c>
    </row>
    <row r="1072" spans="1:2">
      <c r="A1072" s="113" t="s">
        <v>1271</v>
      </c>
      <c r="B1072" s="113" t="s">
        <v>1140</v>
      </c>
    </row>
    <row r="1073" spans="1:2">
      <c r="A1073" s="113" t="s">
        <v>1272</v>
      </c>
      <c r="B1073" s="113" t="s">
        <v>1140</v>
      </c>
    </row>
    <row r="1074" spans="1:2">
      <c r="A1074" s="113" t="s">
        <v>1273</v>
      </c>
      <c r="B1074" s="113" t="s">
        <v>1140</v>
      </c>
    </row>
    <row r="1075" spans="1:2">
      <c r="A1075" s="113" t="s">
        <v>1274</v>
      </c>
      <c r="B1075" s="113" t="s">
        <v>449</v>
      </c>
    </row>
    <row r="1076" spans="1:2">
      <c r="A1076" s="113" t="s">
        <v>1275</v>
      </c>
      <c r="B1076" s="113" t="s">
        <v>1140</v>
      </c>
    </row>
    <row r="1077" spans="1:2">
      <c r="A1077" s="113" t="s">
        <v>1276</v>
      </c>
      <c r="B1077" s="113" t="s">
        <v>1140</v>
      </c>
    </row>
    <row r="1078" spans="1:2">
      <c r="A1078" s="113" t="s">
        <v>1277</v>
      </c>
      <c r="B1078" s="113" t="s">
        <v>449</v>
      </c>
    </row>
    <row r="1079" spans="1:2">
      <c r="A1079" s="113" t="s">
        <v>1278</v>
      </c>
      <c r="B1079" s="113" t="s">
        <v>449</v>
      </c>
    </row>
    <row r="1080" spans="1:2">
      <c r="A1080" s="113" t="s">
        <v>1279</v>
      </c>
      <c r="B1080" s="113" t="s">
        <v>1140</v>
      </c>
    </row>
    <row r="1081" spans="1:2">
      <c r="A1081" s="113" t="s">
        <v>1280</v>
      </c>
      <c r="B1081" s="113" t="s">
        <v>1140</v>
      </c>
    </row>
    <row r="1082" spans="1:2">
      <c r="A1082" s="113" t="s">
        <v>1281</v>
      </c>
      <c r="B1082" s="113" t="s">
        <v>449</v>
      </c>
    </row>
    <row r="1083" spans="1:2">
      <c r="A1083" s="113" t="s">
        <v>1282</v>
      </c>
      <c r="B1083" s="113" t="s">
        <v>1140</v>
      </c>
    </row>
    <row r="1084" spans="1:2">
      <c r="A1084" s="113" t="s">
        <v>1283</v>
      </c>
      <c r="B1084" s="113" t="s">
        <v>1140</v>
      </c>
    </row>
    <row r="1085" spans="1:2">
      <c r="A1085" s="113" t="s">
        <v>1284</v>
      </c>
      <c r="B1085" s="113" t="s">
        <v>1140</v>
      </c>
    </row>
    <row r="1086" spans="1:2">
      <c r="A1086" s="113" t="s">
        <v>1285</v>
      </c>
      <c r="B1086" s="113" t="s">
        <v>449</v>
      </c>
    </row>
    <row r="1087" spans="1:2">
      <c r="A1087" s="113" t="s">
        <v>1286</v>
      </c>
      <c r="B1087" s="113" t="s">
        <v>449</v>
      </c>
    </row>
    <row r="1088" spans="1:2">
      <c r="A1088" s="113" t="s">
        <v>1287</v>
      </c>
      <c r="B1088" s="113" t="s">
        <v>1140</v>
      </c>
    </row>
    <row r="1089" spans="1:2">
      <c r="A1089" s="113" t="s">
        <v>1288</v>
      </c>
      <c r="B1089" s="113" t="s">
        <v>1140</v>
      </c>
    </row>
    <row r="1090" spans="1:2">
      <c r="A1090" s="113" t="s">
        <v>1289</v>
      </c>
      <c r="B1090" s="113" t="s">
        <v>449</v>
      </c>
    </row>
    <row r="1091" spans="1:2">
      <c r="A1091" s="113" t="s">
        <v>1290</v>
      </c>
      <c r="B1091" s="113" t="s">
        <v>1140</v>
      </c>
    </row>
    <row r="1092" spans="1:2">
      <c r="A1092" s="113" t="s">
        <v>1291</v>
      </c>
      <c r="B1092" s="113" t="s">
        <v>1140</v>
      </c>
    </row>
    <row r="1093" spans="1:2">
      <c r="A1093" s="113" t="s">
        <v>1292</v>
      </c>
      <c r="B1093" s="113" t="s">
        <v>1140</v>
      </c>
    </row>
    <row r="1094" spans="1:2">
      <c r="A1094" s="113" t="s">
        <v>1293</v>
      </c>
      <c r="B1094" s="113" t="s">
        <v>449</v>
      </c>
    </row>
    <row r="1095" spans="1:2">
      <c r="A1095" s="113" t="s">
        <v>1294</v>
      </c>
      <c r="B1095" s="113" t="s">
        <v>1140</v>
      </c>
    </row>
    <row r="1096" spans="1:2">
      <c r="A1096" s="113" t="s">
        <v>1295</v>
      </c>
      <c r="B1096" s="113" t="s">
        <v>1140</v>
      </c>
    </row>
    <row r="1097" spans="1:2">
      <c r="A1097" s="113" t="s">
        <v>1296</v>
      </c>
      <c r="B1097" s="113" t="s">
        <v>1140</v>
      </c>
    </row>
    <row r="1098" spans="1:2">
      <c r="A1098" s="113" t="s">
        <v>1297</v>
      </c>
      <c r="B1098" s="113" t="s">
        <v>449</v>
      </c>
    </row>
    <row r="1099" spans="1:2">
      <c r="A1099" s="113" t="s">
        <v>1298</v>
      </c>
      <c r="B1099" s="113" t="s">
        <v>1140</v>
      </c>
    </row>
    <row r="1100" spans="1:2">
      <c r="A1100" s="113" t="s">
        <v>1299</v>
      </c>
      <c r="B1100" s="113" t="s">
        <v>449</v>
      </c>
    </row>
    <row r="1101" spans="1:2">
      <c r="A1101" s="113" t="s">
        <v>1300</v>
      </c>
      <c r="B1101" s="113" t="s">
        <v>1140</v>
      </c>
    </row>
    <row r="1102" spans="1:2">
      <c r="A1102" s="113" t="s">
        <v>1301</v>
      </c>
      <c r="B1102" s="113" t="s">
        <v>1140</v>
      </c>
    </row>
    <row r="1103" spans="1:2">
      <c r="A1103" s="113" t="s">
        <v>1302</v>
      </c>
      <c r="B1103" s="113" t="s">
        <v>449</v>
      </c>
    </row>
    <row r="1104" spans="1:2">
      <c r="A1104" s="113" t="s">
        <v>1303</v>
      </c>
      <c r="B1104" s="113" t="s">
        <v>1140</v>
      </c>
    </row>
    <row r="1105" spans="1:2">
      <c r="A1105" s="113" t="s">
        <v>1304</v>
      </c>
      <c r="B1105" s="113" t="s">
        <v>1140</v>
      </c>
    </row>
    <row r="1106" spans="1:2">
      <c r="A1106" s="113" t="s">
        <v>1305</v>
      </c>
      <c r="B1106" s="113" t="s">
        <v>1140</v>
      </c>
    </row>
    <row r="1107" spans="1:2">
      <c r="A1107" s="113" t="s">
        <v>1306</v>
      </c>
      <c r="B1107" s="113" t="s">
        <v>449</v>
      </c>
    </row>
    <row r="1108" spans="1:2">
      <c r="A1108" s="113" t="s">
        <v>1307</v>
      </c>
      <c r="B1108" s="113" t="s">
        <v>1140</v>
      </c>
    </row>
    <row r="1109" spans="1:2">
      <c r="A1109" s="113" t="s">
        <v>1308</v>
      </c>
      <c r="B1109" s="113" t="s">
        <v>1140</v>
      </c>
    </row>
    <row r="1110" spans="1:2">
      <c r="A1110" s="113" t="s">
        <v>1309</v>
      </c>
      <c r="B1110" s="113" t="s">
        <v>449</v>
      </c>
    </row>
    <row r="1111" spans="1:2">
      <c r="A1111" s="113" t="s">
        <v>1310</v>
      </c>
      <c r="B1111" s="113" t="s">
        <v>1140</v>
      </c>
    </row>
    <row r="1112" spans="1:2">
      <c r="A1112" s="113" t="s">
        <v>1311</v>
      </c>
      <c r="B1112" s="113" t="s">
        <v>1140</v>
      </c>
    </row>
    <row r="1113" spans="1:2">
      <c r="A1113" s="113" t="s">
        <v>1312</v>
      </c>
      <c r="B1113" s="113" t="s">
        <v>1140</v>
      </c>
    </row>
    <row r="1114" spans="1:2">
      <c r="A1114" s="113" t="s">
        <v>1313</v>
      </c>
      <c r="B1114" s="113" t="s">
        <v>1140</v>
      </c>
    </row>
    <row r="1115" spans="1:2">
      <c r="A1115" s="113" t="s">
        <v>1314</v>
      </c>
      <c r="B1115" s="113" t="s">
        <v>1140</v>
      </c>
    </row>
    <row r="1116" spans="1:2">
      <c r="A1116" s="113" t="s">
        <v>1315</v>
      </c>
      <c r="B1116" s="113" t="s">
        <v>1140</v>
      </c>
    </row>
    <row r="1117" spans="1:2">
      <c r="A1117" s="113" t="s">
        <v>1316</v>
      </c>
      <c r="B1117" s="113" t="s">
        <v>1140</v>
      </c>
    </row>
    <row r="1118" spans="1:2">
      <c r="A1118" s="113" t="s">
        <v>1317</v>
      </c>
      <c r="B1118" s="113" t="s">
        <v>1140</v>
      </c>
    </row>
    <row r="1119" spans="1:2">
      <c r="A1119" s="113" t="s">
        <v>1318</v>
      </c>
      <c r="B1119" s="113" t="s">
        <v>1140</v>
      </c>
    </row>
    <row r="1120" spans="1:2">
      <c r="A1120" s="113" t="s">
        <v>1319</v>
      </c>
      <c r="B1120" s="113" t="s">
        <v>1140</v>
      </c>
    </row>
    <row r="1121" spans="1:2">
      <c r="A1121" s="113" t="s">
        <v>1320</v>
      </c>
      <c r="B1121" s="113" t="s">
        <v>1140</v>
      </c>
    </row>
    <row r="1122" spans="1:2">
      <c r="A1122" s="113" t="s">
        <v>1321</v>
      </c>
      <c r="B1122" s="113" t="s">
        <v>1140</v>
      </c>
    </row>
    <row r="1123" spans="1:2">
      <c r="A1123" s="113" t="s">
        <v>1322</v>
      </c>
      <c r="B1123" s="113" t="s">
        <v>1140</v>
      </c>
    </row>
    <row r="1124" spans="1:2">
      <c r="A1124" s="113" t="s">
        <v>1323</v>
      </c>
      <c r="B1124" s="113" t="s">
        <v>1140</v>
      </c>
    </row>
    <row r="1125" spans="1:2">
      <c r="A1125" s="113" t="s">
        <v>1324</v>
      </c>
      <c r="B1125" s="113" t="s">
        <v>1140</v>
      </c>
    </row>
    <row r="1126" spans="1:2">
      <c r="A1126" s="113" t="s">
        <v>1325</v>
      </c>
      <c r="B1126" s="113" t="s">
        <v>1140</v>
      </c>
    </row>
    <row r="1127" spans="1:2">
      <c r="A1127" s="113" t="s">
        <v>1326</v>
      </c>
      <c r="B1127" s="113" t="s">
        <v>1140</v>
      </c>
    </row>
    <row r="1128" spans="1:2">
      <c r="A1128" s="113" t="s">
        <v>1327</v>
      </c>
      <c r="B1128" s="113" t="s">
        <v>1140</v>
      </c>
    </row>
    <row r="1129" spans="1:2">
      <c r="A1129" s="113" t="s">
        <v>1328</v>
      </c>
      <c r="B1129" s="113" t="s">
        <v>1140</v>
      </c>
    </row>
    <row r="1130" spans="1:2">
      <c r="A1130" s="113" t="s">
        <v>1329</v>
      </c>
      <c r="B1130" s="113" t="s">
        <v>1330</v>
      </c>
    </row>
    <row r="1131" spans="1:2">
      <c r="A1131" s="113" t="s">
        <v>1331</v>
      </c>
      <c r="B1131" s="113" t="s">
        <v>1140</v>
      </c>
    </row>
    <row r="1132" spans="1:2">
      <c r="A1132" s="113" t="s">
        <v>1332</v>
      </c>
      <c r="B1132" s="113" t="s">
        <v>1140</v>
      </c>
    </row>
    <row r="1133" spans="1:2">
      <c r="A1133" s="113" t="s">
        <v>1333</v>
      </c>
      <c r="B1133" s="113" t="s">
        <v>1140</v>
      </c>
    </row>
    <row r="1134" spans="1:2">
      <c r="A1134" s="113" t="s">
        <v>1334</v>
      </c>
      <c r="B1134" s="113" t="s">
        <v>1140</v>
      </c>
    </row>
    <row r="1135" spans="1:2">
      <c r="A1135" s="113" t="s">
        <v>1335</v>
      </c>
      <c r="B1135" s="113" t="s">
        <v>1140</v>
      </c>
    </row>
    <row r="1136" spans="1:2">
      <c r="A1136" s="113" t="s">
        <v>1336</v>
      </c>
      <c r="B1136" s="113" t="s">
        <v>1140</v>
      </c>
    </row>
    <row r="1137" spans="1:2">
      <c r="A1137" s="113" t="s">
        <v>1337</v>
      </c>
      <c r="B1137" s="113" t="s">
        <v>1140</v>
      </c>
    </row>
    <row r="1138" spans="1:2">
      <c r="A1138" s="113" t="s">
        <v>1338</v>
      </c>
      <c r="B1138" s="113" t="s">
        <v>1140</v>
      </c>
    </row>
    <row r="1139" spans="1:2">
      <c r="A1139" s="113" t="s">
        <v>1339</v>
      </c>
      <c r="B1139" s="113" t="s">
        <v>1140</v>
      </c>
    </row>
    <row r="1140" spans="1:2">
      <c r="A1140" s="113" t="s">
        <v>1340</v>
      </c>
      <c r="B1140" s="113" t="s">
        <v>1140</v>
      </c>
    </row>
    <row r="1141" spans="1:2">
      <c r="A1141" s="113" t="s">
        <v>1341</v>
      </c>
      <c r="B1141" s="113" t="s">
        <v>1140</v>
      </c>
    </row>
    <row r="1142" spans="1:2">
      <c r="A1142" s="113" t="s">
        <v>1342</v>
      </c>
      <c r="B1142" s="113" t="s">
        <v>1140</v>
      </c>
    </row>
    <row r="1143" spans="1:2">
      <c r="A1143" s="113" t="s">
        <v>1343</v>
      </c>
      <c r="B1143" s="113" t="s">
        <v>1140</v>
      </c>
    </row>
    <row r="1144" spans="1:2">
      <c r="A1144" s="113" t="s">
        <v>1344</v>
      </c>
      <c r="B1144" s="113" t="s">
        <v>1140</v>
      </c>
    </row>
    <row r="1145" spans="1:2">
      <c r="A1145" s="113" t="s">
        <v>1345</v>
      </c>
      <c r="B1145" s="113" t="s">
        <v>1140</v>
      </c>
    </row>
    <row r="1146" spans="1:2">
      <c r="A1146" s="113" t="s">
        <v>1346</v>
      </c>
      <c r="B1146" s="113" t="s">
        <v>1140</v>
      </c>
    </row>
    <row r="1147" spans="1:2">
      <c r="A1147" s="113" t="s">
        <v>1347</v>
      </c>
      <c r="B1147" s="113" t="s">
        <v>1140</v>
      </c>
    </row>
    <row r="1148" spans="1:2">
      <c r="A1148" s="113" t="s">
        <v>1348</v>
      </c>
      <c r="B1148" s="113" t="s">
        <v>1140</v>
      </c>
    </row>
    <row r="1149" spans="1:2">
      <c r="A1149" s="113" t="s">
        <v>1349</v>
      </c>
      <c r="B1149" s="113" t="s">
        <v>1140</v>
      </c>
    </row>
    <row r="1150" spans="1:2">
      <c r="A1150" s="113" t="s">
        <v>1350</v>
      </c>
      <c r="B1150" s="113" t="s">
        <v>1140</v>
      </c>
    </row>
    <row r="1151" spans="1:2">
      <c r="A1151" s="113" t="s">
        <v>1351</v>
      </c>
      <c r="B1151" s="113" t="s">
        <v>1140</v>
      </c>
    </row>
    <row r="1152" spans="1:2">
      <c r="A1152" s="113" t="s">
        <v>1352</v>
      </c>
      <c r="B1152" s="113" t="s">
        <v>1140</v>
      </c>
    </row>
    <row r="1153" spans="1:2">
      <c r="A1153" s="113" t="s">
        <v>1353</v>
      </c>
      <c r="B1153" s="113" t="s">
        <v>1140</v>
      </c>
    </row>
    <row r="1154" spans="1:2">
      <c r="A1154" s="113" t="s">
        <v>1354</v>
      </c>
      <c r="B1154" s="113" t="s">
        <v>1140</v>
      </c>
    </row>
    <row r="1155" spans="1:2">
      <c r="A1155" s="113" t="s">
        <v>1355</v>
      </c>
      <c r="B1155" s="113" t="s">
        <v>1140</v>
      </c>
    </row>
    <row r="1156" spans="1:2">
      <c r="A1156" s="113" t="s">
        <v>1356</v>
      </c>
      <c r="B1156" s="113" t="s">
        <v>1140</v>
      </c>
    </row>
    <row r="1157" spans="1:2">
      <c r="A1157" s="113" t="s">
        <v>1357</v>
      </c>
      <c r="B1157" s="113" t="s">
        <v>1140</v>
      </c>
    </row>
    <row r="1158" spans="1:2">
      <c r="A1158" s="113" t="s">
        <v>1358</v>
      </c>
      <c r="B1158" s="113" t="s">
        <v>1140</v>
      </c>
    </row>
    <row r="1159" spans="1:2">
      <c r="A1159" s="113" t="s">
        <v>1359</v>
      </c>
      <c r="B1159" s="113" t="s">
        <v>1140</v>
      </c>
    </row>
    <row r="1160" spans="1:2">
      <c r="A1160" s="113" t="s">
        <v>1360</v>
      </c>
      <c r="B1160" s="113" t="s">
        <v>1140</v>
      </c>
    </row>
    <row r="1161" spans="1:2">
      <c r="A1161" s="113" t="s">
        <v>1361</v>
      </c>
      <c r="B1161" s="113" t="s">
        <v>1140</v>
      </c>
    </row>
    <row r="1162" spans="1:2">
      <c r="A1162" s="113" t="s">
        <v>1362</v>
      </c>
      <c r="B1162" s="113" t="s">
        <v>1140</v>
      </c>
    </row>
    <row r="1163" spans="1:2">
      <c r="A1163" s="113" t="s">
        <v>1363</v>
      </c>
      <c r="B1163" s="113" t="s">
        <v>1140</v>
      </c>
    </row>
    <row r="1164" spans="1:2">
      <c r="A1164" s="113" t="s">
        <v>1364</v>
      </c>
      <c r="B1164" s="113" t="s">
        <v>1140</v>
      </c>
    </row>
    <row r="1165" spans="1:2">
      <c r="A1165" s="113" t="s">
        <v>1365</v>
      </c>
      <c r="B1165" s="113" t="s">
        <v>1140</v>
      </c>
    </row>
    <row r="1166" spans="1:2">
      <c r="A1166" s="113" t="s">
        <v>1366</v>
      </c>
      <c r="B1166" s="113" t="s">
        <v>1140</v>
      </c>
    </row>
    <row r="1167" spans="1:2">
      <c r="A1167" s="113" t="s">
        <v>1367</v>
      </c>
      <c r="B1167" s="113" t="s">
        <v>1140</v>
      </c>
    </row>
    <row r="1168" spans="1:2">
      <c r="A1168" s="113" t="s">
        <v>1368</v>
      </c>
      <c r="B1168" s="113" t="s">
        <v>1140</v>
      </c>
    </row>
    <row r="1169" spans="1:2">
      <c r="A1169" s="113" t="s">
        <v>1369</v>
      </c>
      <c r="B1169" s="113" t="s">
        <v>1140</v>
      </c>
    </row>
    <row r="1170" spans="1:2">
      <c r="A1170" s="113" t="s">
        <v>1370</v>
      </c>
      <c r="B1170" s="113" t="s">
        <v>1330</v>
      </c>
    </row>
    <row r="1171" spans="1:2">
      <c r="A1171" s="113" t="s">
        <v>1371</v>
      </c>
      <c r="B1171" s="113" t="s">
        <v>1140</v>
      </c>
    </row>
    <row r="1172" spans="1:2">
      <c r="A1172" s="113" t="s">
        <v>1372</v>
      </c>
      <c r="B1172" s="113" t="s">
        <v>1140</v>
      </c>
    </row>
    <row r="1173" spans="1:2">
      <c r="A1173" s="113" t="s">
        <v>1373</v>
      </c>
      <c r="B1173" s="113" t="s">
        <v>1330</v>
      </c>
    </row>
    <row r="1174" spans="1:2">
      <c r="A1174" s="113" t="s">
        <v>1374</v>
      </c>
      <c r="B1174" s="113" t="s">
        <v>1330</v>
      </c>
    </row>
    <row r="1175" spans="1:2">
      <c r="A1175" s="113" t="s">
        <v>1375</v>
      </c>
      <c r="B1175" s="113" t="s">
        <v>1330</v>
      </c>
    </row>
    <row r="1176" spans="1:2">
      <c r="A1176" s="113" t="s">
        <v>1376</v>
      </c>
      <c r="B1176" s="113" t="s">
        <v>1330</v>
      </c>
    </row>
    <row r="1177" spans="1:2">
      <c r="A1177" s="113" t="s">
        <v>1377</v>
      </c>
      <c r="B1177" s="113" t="s">
        <v>1330</v>
      </c>
    </row>
    <row r="1178" spans="1:2">
      <c r="A1178" s="113" t="s">
        <v>1378</v>
      </c>
      <c r="B1178" s="113" t="s">
        <v>1330</v>
      </c>
    </row>
    <row r="1179" spans="1:2">
      <c r="A1179" s="113" t="s">
        <v>1379</v>
      </c>
      <c r="B1179" s="113" t="s">
        <v>1330</v>
      </c>
    </row>
    <row r="1180" spans="1:2">
      <c r="A1180" s="113" t="s">
        <v>1380</v>
      </c>
      <c r="B1180" s="113" t="s">
        <v>1330</v>
      </c>
    </row>
    <row r="1181" spans="1:2">
      <c r="A1181" s="113" t="s">
        <v>1381</v>
      </c>
      <c r="B1181" s="113" t="s">
        <v>1330</v>
      </c>
    </row>
    <row r="1182" spans="1:2">
      <c r="A1182" s="113" t="s">
        <v>1382</v>
      </c>
      <c r="B1182" s="113" t="s">
        <v>1162</v>
      </c>
    </row>
    <row r="1183" spans="1:2">
      <c r="A1183" s="113" t="s">
        <v>1383</v>
      </c>
      <c r="B1183" s="113" t="s">
        <v>1162</v>
      </c>
    </row>
    <row r="1184" spans="1:2">
      <c r="A1184" s="113" t="s">
        <v>1384</v>
      </c>
      <c r="B1184" s="113" t="s">
        <v>1162</v>
      </c>
    </row>
    <row r="1185" spans="1:2">
      <c r="A1185" s="113" t="s">
        <v>1385</v>
      </c>
      <c r="B1185" s="113" t="s">
        <v>1162</v>
      </c>
    </row>
    <row r="1186" spans="1:2">
      <c r="A1186" s="113" t="s">
        <v>1386</v>
      </c>
      <c r="B1186" s="113" t="s">
        <v>1162</v>
      </c>
    </row>
    <row r="1187" spans="1:2">
      <c r="A1187" s="113" t="s">
        <v>1387</v>
      </c>
      <c r="B1187" s="113" t="s">
        <v>1162</v>
      </c>
    </row>
    <row r="1188" spans="1:2">
      <c r="A1188" s="113" t="s">
        <v>1388</v>
      </c>
      <c r="B1188" s="113" t="s">
        <v>1162</v>
      </c>
    </row>
    <row r="1189" spans="1:2">
      <c r="A1189" s="113" t="s">
        <v>1389</v>
      </c>
      <c r="B1189" s="113" t="s">
        <v>1162</v>
      </c>
    </row>
    <row r="1190" spans="1:2">
      <c r="A1190" s="113" t="s">
        <v>1390</v>
      </c>
      <c r="B1190" s="113" t="s">
        <v>1162</v>
      </c>
    </row>
    <row r="1191" spans="1:2">
      <c r="A1191" s="113" t="s">
        <v>1391</v>
      </c>
      <c r="B1191" s="113" t="s">
        <v>1162</v>
      </c>
    </row>
    <row r="1192" spans="1:2">
      <c r="A1192" s="113" t="s">
        <v>1392</v>
      </c>
      <c r="B1192" s="113" t="s">
        <v>1162</v>
      </c>
    </row>
    <row r="1193" spans="1:2">
      <c r="A1193" s="113" t="s">
        <v>1393</v>
      </c>
      <c r="B1193" s="113" t="s">
        <v>1162</v>
      </c>
    </row>
    <row r="1194" spans="1:2">
      <c r="A1194" s="113" t="s">
        <v>1394</v>
      </c>
      <c r="B1194" s="113" t="s">
        <v>1162</v>
      </c>
    </row>
    <row r="1195" spans="1:2">
      <c r="A1195" s="113" t="s">
        <v>1395</v>
      </c>
      <c r="B1195" s="113" t="s">
        <v>1162</v>
      </c>
    </row>
    <row r="1196" spans="1:2">
      <c r="A1196" s="113" t="s">
        <v>1396</v>
      </c>
      <c r="B1196" s="113" t="s">
        <v>1162</v>
      </c>
    </row>
    <row r="1197" spans="1:2">
      <c r="A1197" s="113" t="s">
        <v>1397</v>
      </c>
      <c r="B1197" s="113" t="s">
        <v>1162</v>
      </c>
    </row>
    <row r="1198" spans="1:2">
      <c r="A1198" s="113" t="s">
        <v>1398</v>
      </c>
      <c r="B1198" s="113" t="s">
        <v>1162</v>
      </c>
    </row>
    <row r="1199" spans="1:2">
      <c r="A1199" s="113" t="s">
        <v>1399</v>
      </c>
      <c r="B1199" s="113" t="s">
        <v>1162</v>
      </c>
    </row>
    <row r="1200" spans="1:2">
      <c r="A1200" s="113" t="s">
        <v>1400</v>
      </c>
      <c r="B1200" s="113" t="s">
        <v>1162</v>
      </c>
    </row>
    <row r="1201" spans="1:2">
      <c r="A1201" s="113" t="s">
        <v>1401</v>
      </c>
      <c r="B1201" s="113" t="s">
        <v>1162</v>
      </c>
    </row>
    <row r="1202" spans="1:2">
      <c r="A1202" s="113" t="s">
        <v>1402</v>
      </c>
      <c r="B1202" s="113" t="s">
        <v>1162</v>
      </c>
    </row>
    <row r="1203" spans="1:2">
      <c r="A1203" s="113" t="s">
        <v>1403</v>
      </c>
      <c r="B1203" s="113" t="s">
        <v>1162</v>
      </c>
    </row>
    <row r="1204" spans="1:2">
      <c r="A1204" s="113" t="s">
        <v>1404</v>
      </c>
      <c r="B1204" s="113" t="s">
        <v>1162</v>
      </c>
    </row>
    <row r="1205" spans="1:2">
      <c r="A1205" s="113" t="s">
        <v>1405</v>
      </c>
      <c r="B1205" s="113" t="s">
        <v>1162</v>
      </c>
    </row>
    <row r="1206" spans="1:2">
      <c r="A1206" s="113" t="s">
        <v>1406</v>
      </c>
      <c r="B1206" s="113" t="s">
        <v>1162</v>
      </c>
    </row>
    <row r="1207" spans="1:2">
      <c r="A1207" s="113" t="s">
        <v>1407</v>
      </c>
      <c r="B1207" s="113" t="s">
        <v>1162</v>
      </c>
    </row>
    <row r="1208" spans="1:2">
      <c r="A1208" s="113" t="s">
        <v>1408</v>
      </c>
      <c r="B1208" s="113" t="s">
        <v>1162</v>
      </c>
    </row>
    <row r="1209" spans="1:2">
      <c r="A1209" s="113" t="s">
        <v>1409</v>
      </c>
      <c r="B1209" s="113" t="s">
        <v>1162</v>
      </c>
    </row>
    <row r="1210" spans="1:2">
      <c r="A1210" s="113" t="s">
        <v>1410</v>
      </c>
      <c r="B1210" s="113" t="s">
        <v>1162</v>
      </c>
    </row>
    <row r="1211" spans="1:2">
      <c r="A1211" s="113" t="s">
        <v>1411</v>
      </c>
      <c r="B1211" s="113" t="s">
        <v>1162</v>
      </c>
    </row>
    <row r="1212" spans="1:2">
      <c r="A1212" s="113" t="s">
        <v>1412</v>
      </c>
      <c r="B1212" s="113" t="s">
        <v>1162</v>
      </c>
    </row>
    <row r="1213" spans="1:2">
      <c r="A1213" s="113" t="s">
        <v>1413</v>
      </c>
      <c r="B1213" s="113" t="s">
        <v>1162</v>
      </c>
    </row>
    <row r="1214" spans="1:2">
      <c r="A1214" s="113" t="s">
        <v>1414</v>
      </c>
      <c r="B1214" s="113" t="s">
        <v>1162</v>
      </c>
    </row>
    <row r="1215" spans="1:2">
      <c r="A1215" s="113" t="s">
        <v>1415</v>
      </c>
      <c r="B1215" s="113" t="s">
        <v>1162</v>
      </c>
    </row>
    <row r="1216" spans="1:2">
      <c r="A1216" s="113" t="s">
        <v>1416</v>
      </c>
      <c r="B1216" s="113" t="s">
        <v>1162</v>
      </c>
    </row>
    <row r="1217" spans="1:2">
      <c r="A1217" s="113" t="s">
        <v>1417</v>
      </c>
      <c r="B1217" s="113" t="s">
        <v>1162</v>
      </c>
    </row>
    <row r="1218" spans="1:2">
      <c r="A1218" s="113" t="s">
        <v>1418</v>
      </c>
      <c r="B1218" s="113" t="s">
        <v>1162</v>
      </c>
    </row>
    <row r="1219" spans="1:2">
      <c r="A1219" s="113" t="s">
        <v>1419</v>
      </c>
      <c r="B1219" s="113" t="s">
        <v>1162</v>
      </c>
    </row>
    <row r="1220" spans="1:2">
      <c r="A1220" s="113" t="s">
        <v>1420</v>
      </c>
      <c r="B1220" s="113" t="s">
        <v>1162</v>
      </c>
    </row>
    <row r="1221" spans="1:2">
      <c r="A1221" s="113" t="s">
        <v>1421</v>
      </c>
      <c r="B1221" s="113" t="s">
        <v>1162</v>
      </c>
    </row>
    <row r="1222" spans="1:2">
      <c r="A1222" s="113" t="s">
        <v>1422</v>
      </c>
      <c r="B1222" s="113" t="s">
        <v>1162</v>
      </c>
    </row>
    <row r="1223" spans="1:2">
      <c r="A1223" s="113" t="s">
        <v>1423</v>
      </c>
      <c r="B1223" s="113" t="s">
        <v>1162</v>
      </c>
    </row>
    <row r="1224" spans="1:2">
      <c r="A1224" s="113" t="s">
        <v>1424</v>
      </c>
      <c r="B1224" s="113" t="s">
        <v>1162</v>
      </c>
    </row>
    <row r="1225" spans="1:2">
      <c r="A1225" s="113" t="s">
        <v>1425</v>
      </c>
      <c r="B1225" s="113" t="s">
        <v>1162</v>
      </c>
    </row>
    <row r="1226" spans="1:2">
      <c r="A1226" s="113" t="s">
        <v>1426</v>
      </c>
      <c r="B1226" s="113" t="s">
        <v>1162</v>
      </c>
    </row>
    <row r="1227" spans="1:2">
      <c r="A1227" s="113" t="s">
        <v>1427</v>
      </c>
      <c r="B1227" s="113" t="s">
        <v>1162</v>
      </c>
    </row>
    <row r="1228" spans="1:2">
      <c r="A1228" s="113" t="s">
        <v>1428</v>
      </c>
      <c r="B1228" s="113" t="s">
        <v>1162</v>
      </c>
    </row>
    <row r="1229" spans="1:2">
      <c r="A1229" s="113" t="s">
        <v>1429</v>
      </c>
      <c r="B1229" s="113" t="s">
        <v>1162</v>
      </c>
    </row>
    <row r="1230" spans="1:2">
      <c r="A1230" s="113" t="s">
        <v>1430</v>
      </c>
      <c r="B1230" s="113" t="s">
        <v>1162</v>
      </c>
    </row>
    <row r="1231" spans="1:2">
      <c r="A1231" s="113" t="s">
        <v>1431</v>
      </c>
      <c r="B1231" s="113" t="s">
        <v>1162</v>
      </c>
    </row>
    <row r="1232" spans="1:2">
      <c r="A1232" s="113" t="s">
        <v>1432</v>
      </c>
      <c r="B1232" s="113" t="s">
        <v>1162</v>
      </c>
    </row>
    <row r="1233" spans="1:2">
      <c r="A1233" s="113" t="s">
        <v>1433</v>
      </c>
      <c r="B1233" s="113" t="s">
        <v>1162</v>
      </c>
    </row>
    <row r="1234" spans="1:2">
      <c r="A1234" s="113" t="s">
        <v>1434</v>
      </c>
      <c r="B1234" s="113" t="s">
        <v>1162</v>
      </c>
    </row>
    <row r="1235" spans="1:2">
      <c r="A1235" s="113" t="s">
        <v>1435</v>
      </c>
      <c r="B1235" s="113" t="s">
        <v>1162</v>
      </c>
    </row>
    <row r="1236" spans="1:2">
      <c r="A1236" s="113" t="s">
        <v>1436</v>
      </c>
      <c r="B1236" s="113" t="s">
        <v>1162</v>
      </c>
    </row>
    <row r="1237" spans="1:2">
      <c r="A1237" s="113" t="s">
        <v>1437</v>
      </c>
      <c r="B1237" s="113" t="s">
        <v>1162</v>
      </c>
    </row>
    <row r="1238" spans="1:2">
      <c r="A1238" s="113" t="s">
        <v>1438</v>
      </c>
      <c r="B1238" s="113" t="s">
        <v>1162</v>
      </c>
    </row>
    <row r="1239" spans="1:2">
      <c r="A1239" s="113" t="s">
        <v>1439</v>
      </c>
      <c r="B1239" s="113" t="s">
        <v>1162</v>
      </c>
    </row>
    <row r="1240" spans="1:2">
      <c r="A1240" s="113" t="s">
        <v>1440</v>
      </c>
      <c r="B1240" s="113" t="s">
        <v>1162</v>
      </c>
    </row>
    <row r="1241" spans="1:2">
      <c r="A1241" s="113" t="s">
        <v>1441</v>
      </c>
      <c r="B1241" s="113" t="s">
        <v>1162</v>
      </c>
    </row>
    <row r="1242" spans="1:2">
      <c r="A1242" s="113" t="s">
        <v>1442</v>
      </c>
      <c r="B1242" s="113" t="s">
        <v>1162</v>
      </c>
    </row>
    <row r="1243" spans="1:2">
      <c r="A1243" s="113" t="s">
        <v>1443</v>
      </c>
      <c r="B1243" s="113" t="s">
        <v>1162</v>
      </c>
    </row>
    <row r="1244" spans="1:2">
      <c r="A1244" s="113" t="s">
        <v>1444</v>
      </c>
      <c r="B1244" s="113" t="s">
        <v>1162</v>
      </c>
    </row>
    <row r="1245" spans="1:2">
      <c r="A1245" s="113" t="s">
        <v>1445</v>
      </c>
      <c r="B1245" s="113" t="s">
        <v>1162</v>
      </c>
    </row>
    <row r="1246" spans="1:2">
      <c r="A1246" s="113" t="s">
        <v>1446</v>
      </c>
      <c r="B1246" s="113" t="s">
        <v>1162</v>
      </c>
    </row>
    <row r="1247" spans="1:2">
      <c r="A1247" s="113" t="s">
        <v>1447</v>
      </c>
      <c r="B1247" s="113" t="s">
        <v>1162</v>
      </c>
    </row>
    <row r="1248" spans="1:2">
      <c r="A1248" s="113" t="s">
        <v>1448</v>
      </c>
      <c r="B1248" s="113" t="s">
        <v>1162</v>
      </c>
    </row>
    <row r="1249" spans="1:2">
      <c r="A1249" s="113" t="s">
        <v>1449</v>
      </c>
      <c r="B1249" s="113" t="s">
        <v>1162</v>
      </c>
    </row>
    <row r="1250" spans="1:2">
      <c r="A1250" s="113" t="s">
        <v>1450</v>
      </c>
      <c r="B1250" s="113" t="s">
        <v>1162</v>
      </c>
    </row>
    <row r="1251" spans="1:2">
      <c r="A1251" s="113" t="s">
        <v>1451</v>
      </c>
      <c r="B1251" s="113" t="s">
        <v>1452</v>
      </c>
    </row>
    <row r="1252" spans="1:2">
      <c r="A1252" s="113" t="s">
        <v>1453</v>
      </c>
      <c r="B1252" s="113" t="s">
        <v>1452</v>
      </c>
    </row>
    <row r="1253" spans="1:2">
      <c r="A1253" s="113" t="s">
        <v>1454</v>
      </c>
      <c r="B1253" s="113" t="s">
        <v>1452</v>
      </c>
    </row>
    <row r="1254" spans="1:2">
      <c r="A1254" s="113" t="s">
        <v>1455</v>
      </c>
      <c r="B1254" s="113" t="s">
        <v>1452</v>
      </c>
    </row>
    <row r="1255" spans="1:2">
      <c r="A1255" s="113" t="s">
        <v>1456</v>
      </c>
      <c r="B1255" s="113" t="s">
        <v>1452</v>
      </c>
    </row>
    <row r="1256" spans="1:2">
      <c r="A1256" s="113" t="s">
        <v>1457</v>
      </c>
      <c r="B1256" s="113" t="s">
        <v>449</v>
      </c>
    </row>
    <row r="1257" spans="1:2">
      <c r="A1257" s="113" t="s">
        <v>1458</v>
      </c>
      <c r="B1257" s="113" t="s">
        <v>1452</v>
      </c>
    </row>
    <row r="1258" spans="1:2">
      <c r="A1258" s="113" t="s">
        <v>1459</v>
      </c>
      <c r="B1258" s="113" t="s">
        <v>315</v>
      </c>
    </row>
    <row r="1259" spans="1:2">
      <c r="A1259" s="113" t="s">
        <v>1460</v>
      </c>
      <c r="B1259" s="113" t="s">
        <v>449</v>
      </c>
    </row>
    <row r="1260" spans="1:2">
      <c r="A1260" s="113" t="s">
        <v>1461</v>
      </c>
      <c r="B1260" s="113" t="s">
        <v>1452</v>
      </c>
    </row>
    <row r="1261" spans="1:2">
      <c r="A1261" s="113" t="s">
        <v>1462</v>
      </c>
      <c r="B1261" s="113" t="s">
        <v>1452</v>
      </c>
    </row>
    <row r="1262" spans="1:2">
      <c r="A1262" s="113" t="s">
        <v>1463</v>
      </c>
      <c r="B1262" s="113" t="s">
        <v>315</v>
      </c>
    </row>
    <row r="1263" spans="1:2">
      <c r="A1263" s="113" t="s">
        <v>1464</v>
      </c>
      <c r="B1263" s="113" t="s">
        <v>449</v>
      </c>
    </row>
    <row r="1264" spans="1:2">
      <c r="A1264" s="113" t="s">
        <v>1465</v>
      </c>
      <c r="B1264" s="113" t="s">
        <v>315</v>
      </c>
    </row>
    <row r="1265" spans="1:2">
      <c r="A1265" s="113" t="s">
        <v>1466</v>
      </c>
      <c r="B1265" s="113" t="s">
        <v>315</v>
      </c>
    </row>
    <row r="1266" spans="1:2">
      <c r="A1266" s="113" t="s">
        <v>1467</v>
      </c>
      <c r="B1266" s="113" t="s">
        <v>1452</v>
      </c>
    </row>
    <row r="1267" spans="1:2">
      <c r="A1267" s="113" t="s">
        <v>1468</v>
      </c>
      <c r="B1267" s="113" t="s">
        <v>449</v>
      </c>
    </row>
    <row r="1268" spans="1:2">
      <c r="A1268" s="113" t="s">
        <v>1469</v>
      </c>
      <c r="B1268" s="113" t="s">
        <v>1452</v>
      </c>
    </row>
    <row r="1269" spans="1:2">
      <c r="A1269" s="113" t="s">
        <v>1470</v>
      </c>
      <c r="B1269" s="113" t="s">
        <v>1452</v>
      </c>
    </row>
    <row r="1270" spans="1:2">
      <c r="A1270" s="113" t="s">
        <v>1471</v>
      </c>
      <c r="B1270" s="113" t="s">
        <v>1452</v>
      </c>
    </row>
    <row r="1271" spans="1:2">
      <c r="A1271" s="113" t="s">
        <v>1472</v>
      </c>
      <c r="B1271" s="113" t="s">
        <v>1452</v>
      </c>
    </row>
    <row r="1272" spans="1:2">
      <c r="A1272" s="113" t="s">
        <v>1473</v>
      </c>
      <c r="B1272" s="113" t="s">
        <v>449</v>
      </c>
    </row>
    <row r="1273" spans="1:2">
      <c r="A1273" s="113" t="s">
        <v>1474</v>
      </c>
      <c r="B1273" s="113" t="s">
        <v>449</v>
      </c>
    </row>
    <row r="1274" spans="1:2">
      <c r="A1274" s="113" t="s">
        <v>1475</v>
      </c>
      <c r="B1274" s="113" t="s">
        <v>449</v>
      </c>
    </row>
    <row r="1275" spans="1:2">
      <c r="A1275" s="113" t="s">
        <v>1476</v>
      </c>
      <c r="B1275" s="113" t="s">
        <v>449</v>
      </c>
    </row>
    <row r="1276" spans="1:2">
      <c r="A1276" s="113" t="s">
        <v>1477</v>
      </c>
      <c r="B1276" s="113" t="s">
        <v>449</v>
      </c>
    </row>
    <row r="1277" spans="1:2">
      <c r="A1277" s="113" t="s">
        <v>1478</v>
      </c>
      <c r="B1277" s="113" t="s">
        <v>449</v>
      </c>
    </row>
    <row r="1278" spans="1:2">
      <c r="A1278" s="113" t="s">
        <v>1479</v>
      </c>
      <c r="B1278" s="113" t="s">
        <v>1452</v>
      </c>
    </row>
    <row r="1279" spans="1:2">
      <c r="A1279" s="113" t="s">
        <v>1480</v>
      </c>
      <c r="B1279" s="113" t="s">
        <v>1452</v>
      </c>
    </row>
    <row r="1280" spans="1:2">
      <c r="A1280" s="113" t="s">
        <v>1481</v>
      </c>
      <c r="B1280" s="113" t="s">
        <v>1452</v>
      </c>
    </row>
    <row r="1281" spans="1:2">
      <c r="A1281" s="113" t="s">
        <v>1482</v>
      </c>
      <c r="B1281" s="113" t="s">
        <v>315</v>
      </c>
    </row>
    <row r="1282" spans="1:2">
      <c r="A1282" s="113" t="s">
        <v>1483</v>
      </c>
      <c r="B1282" s="113" t="s">
        <v>449</v>
      </c>
    </row>
    <row r="1283" spans="1:2">
      <c r="A1283" s="113" t="s">
        <v>1484</v>
      </c>
      <c r="B1283" s="113" t="s">
        <v>1452</v>
      </c>
    </row>
    <row r="1284" spans="1:2">
      <c r="A1284" s="113" t="s">
        <v>1485</v>
      </c>
      <c r="B1284" s="113" t="s">
        <v>1452</v>
      </c>
    </row>
    <row r="1285" spans="1:2">
      <c r="A1285" s="113" t="s">
        <v>1486</v>
      </c>
      <c r="B1285" s="113" t="s">
        <v>449</v>
      </c>
    </row>
    <row r="1286" spans="1:2">
      <c r="A1286" s="113" t="s">
        <v>1487</v>
      </c>
      <c r="B1286" s="113" t="s">
        <v>1452</v>
      </c>
    </row>
    <row r="1287" spans="1:2">
      <c r="A1287" s="113" t="s">
        <v>1488</v>
      </c>
      <c r="B1287" s="113" t="s">
        <v>449</v>
      </c>
    </row>
    <row r="1288" spans="1:2">
      <c r="A1288" s="113" t="s">
        <v>1489</v>
      </c>
      <c r="B1288" s="113" t="s">
        <v>315</v>
      </c>
    </row>
    <row r="1289" spans="1:2">
      <c r="A1289" s="113" t="s">
        <v>1490</v>
      </c>
      <c r="B1289" s="113" t="s">
        <v>1452</v>
      </c>
    </row>
    <row r="1290" spans="1:2">
      <c r="A1290" s="113" t="s">
        <v>1491</v>
      </c>
      <c r="B1290" s="113" t="s">
        <v>1452</v>
      </c>
    </row>
    <row r="1291" spans="1:2">
      <c r="A1291" s="113" t="s">
        <v>1492</v>
      </c>
      <c r="B1291" s="113" t="s">
        <v>449</v>
      </c>
    </row>
    <row r="1292" spans="1:2">
      <c r="A1292" s="113" t="s">
        <v>1493</v>
      </c>
      <c r="B1292" s="113" t="s">
        <v>449</v>
      </c>
    </row>
    <row r="1293" spans="1:2">
      <c r="A1293" s="113" t="s">
        <v>1494</v>
      </c>
      <c r="B1293" s="113" t="s">
        <v>1452</v>
      </c>
    </row>
    <row r="1294" spans="1:2">
      <c r="A1294" s="113" t="s">
        <v>1495</v>
      </c>
      <c r="B1294" s="113" t="s">
        <v>1452</v>
      </c>
    </row>
    <row r="1295" spans="1:2">
      <c r="A1295" s="113" t="s">
        <v>1496</v>
      </c>
      <c r="B1295" s="113" t="s">
        <v>449</v>
      </c>
    </row>
    <row r="1296" spans="1:2">
      <c r="A1296" s="113" t="s">
        <v>1497</v>
      </c>
      <c r="B1296" s="113" t="s">
        <v>449</v>
      </c>
    </row>
    <row r="1297" spans="1:2">
      <c r="A1297" s="113" t="s">
        <v>1498</v>
      </c>
      <c r="B1297" s="113" t="s">
        <v>449</v>
      </c>
    </row>
    <row r="1298" spans="1:2">
      <c r="A1298" s="113" t="s">
        <v>1499</v>
      </c>
      <c r="B1298" s="113" t="s">
        <v>449</v>
      </c>
    </row>
    <row r="1299" spans="1:2">
      <c r="A1299" s="113" t="s">
        <v>1500</v>
      </c>
      <c r="B1299" s="113" t="s">
        <v>1452</v>
      </c>
    </row>
    <row r="1300" spans="1:2">
      <c r="A1300" s="113" t="s">
        <v>1501</v>
      </c>
      <c r="B1300" s="113" t="s">
        <v>449</v>
      </c>
    </row>
    <row r="1301" spans="1:2">
      <c r="A1301" s="113" t="s">
        <v>1502</v>
      </c>
      <c r="B1301" s="113" t="s">
        <v>449</v>
      </c>
    </row>
    <row r="1302" spans="1:2">
      <c r="A1302" s="113" t="s">
        <v>1503</v>
      </c>
      <c r="B1302" s="113" t="s">
        <v>449</v>
      </c>
    </row>
    <row r="1303" spans="1:2">
      <c r="A1303" s="113" t="s">
        <v>1504</v>
      </c>
      <c r="B1303" s="113" t="s">
        <v>449</v>
      </c>
    </row>
    <row r="1304" spans="1:2">
      <c r="A1304" s="113" t="s">
        <v>1505</v>
      </c>
      <c r="B1304" s="113" t="s">
        <v>449</v>
      </c>
    </row>
    <row r="1305" spans="1:2">
      <c r="A1305" s="113" t="s">
        <v>1506</v>
      </c>
      <c r="B1305" s="113" t="s">
        <v>449</v>
      </c>
    </row>
    <row r="1306" spans="1:2">
      <c r="A1306" s="113" t="s">
        <v>1507</v>
      </c>
      <c r="B1306" s="113" t="s">
        <v>449</v>
      </c>
    </row>
    <row r="1307" spans="1:2">
      <c r="A1307" s="113" t="s">
        <v>1508</v>
      </c>
      <c r="B1307" s="113" t="s">
        <v>449</v>
      </c>
    </row>
    <row r="1308" spans="1:2">
      <c r="A1308" s="113" t="s">
        <v>1509</v>
      </c>
      <c r="B1308" s="113" t="s">
        <v>449</v>
      </c>
    </row>
    <row r="1309" spans="1:2">
      <c r="A1309" s="113" t="s">
        <v>1510</v>
      </c>
      <c r="B1309" s="113" t="s">
        <v>449</v>
      </c>
    </row>
    <row r="1310" spans="1:2">
      <c r="A1310" s="113" t="s">
        <v>1511</v>
      </c>
      <c r="B1310" s="113" t="s">
        <v>449</v>
      </c>
    </row>
    <row r="1311" spans="1:2">
      <c r="A1311" s="113" t="s">
        <v>1512</v>
      </c>
      <c r="B1311" s="113" t="s">
        <v>449</v>
      </c>
    </row>
    <row r="1312" spans="1:2">
      <c r="A1312" s="113" t="s">
        <v>1513</v>
      </c>
      <c r="B1312" s="113" t="s">
        <v>449</v>
      </c>
    </row>
    <row r="1313" spans="1:2">
      <c r="A1313" s="113" t="s">
        <v>1514</v>
      </c>
      <c r="B1313" s="113" t="s">
        <v>449</v>
      </c>
    </row>
    <row r="1314" spans="1:2">
      <c r="A1314" s="113" t="s">
        <v>1515</v>
      </c>
      <c r="B1314" s="113" t="s">
        <v>449</v>
      </c>
    </row>
    <row r="1315" spans="1:2">
      <c r="A1315" s="113" t="s">
        <v>1516</v>
      </c>
      <c r="B1315" s="113" t="s">
        <v>449</v>
      </c>
    </row>
    <row r="1316" spans="1:2">
      <c r="A1316" s="113" t="s">
        <v>1517</v>
      </c>
      <c r="B1316" s="113" t="s">
        <v>449</v>
      </c>
    </row>
    <row r="1317" spans="1:2">
      <c r="A1317" s="113" t="s">
        <v>1518</v>
      </c>
      <c r="B1317" s="113" t="s">
        <v>449</v>
      </c>
    </row>
    <row r="1318" spans="1:2">
      <c r="A1318" s="113" t="s">
        <v>1519</v>
      </c>
      <c r="B1318" s="113" t="s">
        <v>449</v>
      </c>
    </row>
    <row r="1319" spans="1:2">
      <c r="A1319" s="113" t="s">
        <v>1520</v>
      </c>
      <c r="B1319" s="113" t="s">
        <v>449</v>
      </c>
    </row>
    <row r="1320" spans="1:2">
      <c r="A1320" s="113" t="s">
        <v>1521</v>
      </c>
      <c r="B1320" s="113" t="s">
        <v>449</v>
      </c>
    </row>
    <row r="1321" spans="1:2">
      <c r="A1321" s="113" t="s">
        <v>1522</v>
      </c>
      <c r="B1321" s="113" t="s">
        <v>449</v>
      </c>
    </row>
    <row r="1322" spans="1:2">
      <c r="A1322" s="113" t="s">
        <v>1523</v>
      </c>
      <c r="B1322" s="113" t="s">
        <v>449</v>
      </c>
    </row>
    <row r="1323" spans="1:2">
      <c r="A1323" s="113" t="s">
        <v>1524</v>
      </c>
      <c r="B1323" s="113" t="s">
        <v>449</v>
      </c>
    </row>
    <row r="1324" spans="1:2">
      <c r="A1324" s="113" t="s">
        <v>1525</v>
      </c>
      <c r="B1324" s="113" t="s">
        <v>449</v>
      </c>
    </row>
    <row r="1325" spans="1:2">
      <c r="A1325" s="113" t="s">
        <v>1526</v>
      </c>
      <c r="B1325" s="113" t="s">
        <v>449</v>
      </c>
    </row>
    <row r="1326" spans="1:2">
      <c r="A1326" s="113" t="s">
        <v>1527</v>
      </c>
      <c r="B1326" s="113" t="s">
        <v>449</v>
      </c>
    </row>
    <row r="1327" spans="1:2">
      <c r="A1327" s="113" t="s">
        <v>1528</v>
      </c>
      <c r="B1327" s="113" t="s">
        <v>449</v>
      </c>
    </row>
    <row r="1328" spans="1:2">
      <c r="A1328" s="113" t="s">
        <v>1529</v>
      </c>
      <c r="B1328" s="113" t="s">
        <v>449</v>
      </c>
    </row>
    <row r="1329" spans="1:2">
      <c r="A1329" s="113" t="s">
        <v>1530</v>
      </c>
      <c r="B1329" s="113" t="s">
        <v>449</v>
      </c>
    </row>
    <row r="1330" spans="1:2">
      <c r="A1330" s="113" t="s">
        <v>1531</v>
      </c>
      <c r="B1330" s="113" t="s">
        <v>449</v>
      </c>
    </row>
    <row r="1331" spans="1:2">
      <c r="A1331" s="113" t="s">
        <v>1532</v>
      </c>
      <c r="B1331" s="113" t="s">
        <v>449</v>
      </c>
    </row>
    <row r="1332" spans="1:2">
      <c r="A1332" s="113" t="s">
        <v>1533</v>
      </c>
      <c r="B1332" s="113" t="s">
        <v>449</v>
      </c>
    </row>
    <row r="1333" spans="1:2">
      <c r="A1333" s="113" t="s">
        <v>1534</v>
      </c>
      <c r="B1333" s="113" t="s">
        <v>449</v>
      </c>
    </row>
    <row r="1334" spans="1:2">
      <c r="A1334" s="113" t="s">
        <v>1535</v>
      </c>
      <c r="B1334" s="113" t="s">
        <v>449</v>
      </c>
    </row>
    <row r="1335" spans="1:2">
      <c r="A1335" s="113" t="s">
        <v>1536</v>
      </c>
      <c r="B1335" s="113" t="s">
        <v>449</v>
      </c>
    </row>
    <row r="1336" spans="1:2">
      <c r="A1336" s="113" t="s">
        <v>1537</v>
      </c>
      <c r="B1336" s="113" t="s">
        <v>449</v>
      </c>
    </row>
    <row r="1337" spans="1:2">
      <c r="A1337" s="113" t="s">
        <v>1538</v>
      </c>
      <c r="B1337" s="113" t="s">
        <v>449</v>
      </c>
    </row>
    <row r="1338" spans="1:2">
      <c r="A1338" s="113" t="s">
        <v>1539</v>
      </c>
      <c r="B1338" s="113" t="s">
        <v>449</v>
      </c>
    </row>
    <row r="1339" spans="1:2">
      <c r="A1339" s="113" t="s">
        <v>1540</v>
      </c>
      <c r="B1339" s="113" t="s">
        <v>449</v>
      </c>
    </row>
    <row r="1340" spans="1:2">
      <c r="A1340" s="113" t="s">
        <v>1541</v>
      </c>
      <c r="B1340" s="113" t="s">
        <v>449</v>
      </c>
    </row>
    <row r="1341" spans="1:2">
      <c r="A1341" s="113" t="s">
        <v>1542</v>
      </c>
      <c r="B1341" s="113" t="s">
        <v>449</v>
      </c>
    </row>
    <row r="1342" spans="1:2">
      <c r="A1342" s="113" t="s">
        <v>1543</v>
      </c>
      <c r="B1342" s="113" t="s">
        <v>449</v>
      </c>
    </row>
    <row r="1343" spans="1:2">
      <c r="A1343" s="113" t="s">
        <v>1544</v>
      </c>
      <c r="B1343" s="113" t="s">
        <v>449</v>
      </c>
    </row>
    <row r="1344" spans="1:2">
      <c r="A1344" s="113" t="s">
        <v>1545</v>
      </c>
      <c r="B1344" s="113" t="s">
        <v>449</v>
      </c>
    </row>
    <row r="1345" spans="1:2">
      <c r="A1345" s="113" t="s">
        <v>1546</v>
      </c>
      <c r="B1345" s="113" t="s">
        <v>449</v>
      </c>
    </row>
    <row r="1346" spans="1:2">
      <c r="A1346" s="113" t="s">
        <v>1547</v>
      </c>
      <c r="B1346" s="113" t="s">
        <v>449</v>
      </c>
    </row>
    <row r="1347" spans="1:2">
      <c r="A1347" s="113" t="s">
        <v>1548</v>
      </c>
      <c r="B1347" s="113" t="s">
        <v>449</v>
      </c>
    </row>
    <row r="1348" spans="1:2">
      <c r="A1348" s="113" t="s">
        <v>1549</v>
      </c>
      <c r="B1348" s="113" t="s">
        <v>449</v>
      </c>
    </row>
    <row r="1349" spans="1:2">
      <c r="A1349" s="113" t="s">
        <v>1550</v>
      </c>
      <c r="B1349" s="113" t="s">
        <v>449</v>
      </c>
    </row>
    <row r="1350" spans="1:2">
      <c r="A1350" s="113" t="s">
        <v>1551</v>
      </c>
      <c r="B1350" s="113" t="s">
        <v>449</v>
      </c>
    </row>
    <row r="1351" spans="1:2">
      <c r="A1351" s="113" t="s">
        <v>1552</v>
      </c>
      <c r="B1351" s="113" t="s">
        <v>449</v>
      </c>
    </row>
    <row r="1352" spans="1:2">
      <c r="A1352" s="113" t="s">
        <v>1553</v>
      </c>
      <c r="B1352" s="113" t="s">
        <v>449</v>
      </c>
    </row>
    <row r="1353" spans="1:2">
      <c r="A1353" s="113" t="s">
        <v>1554</v>
      </c>
      <c r="B1353" s="113" t="s">
        <v>449</v>
      </c>
    </row>
    <row r="1354" spans="1:2">
      <c r="A1354" s="113" t="s">
        <v>1555</v>
      </c>
      <c r="B1354" s="113" t="s">
        <v>449</v>
      </c>
    </row>
    <row r="1355" spans="1:2">
      <c r="A1355" s="113" t="s">
        <v>1556</v>
      </c>
      <c r="B1355" s="113" t="s">
        <v>449</v>
      </c>
    </row>
    <row r="1356" spans="1:2">
      <c r="A1356" s="113" t="s">
        <v>1557</v>
      </c>
      <c r="B1356" s="113" t="s">
        <v>449</v>
      </c>
    </row>
    <row r="1357" spans="1:2">
      <c r="A1357" s="113" t="s">
        <v>1558</v>
      </c>
      <c r="B1357" s="113" t="s">
        <v>449</v>
      </c>
    </row>
    <row r="1358" spans="1:2">
      <c r="A1358" s="113" t="s">
        <v>1559</v>
      </c>
      <c r="B1358" s="113" t="s">
        <v>449</v>
      </c>
    </row>
    <row r="1359" spans="1:2">
      <c r="A1359" s="113" t="s">
        <v>1560</v>
      </c>
      <c r="B1359" s="113" t="s">
        <v>449</v>
      </c>
    </row>
    <row r="1360" spans="1:2">
      <c r="A1360" s="113" t="s">
        <v>1561</v>
      </c>
      <c r="B1360" s="113" t="s">
        <v>449</v>
      </c>
    </row>
    <row r="1361" spans="1:2">
      <c r="A1361" s="113" t="s">
        <v>1562</v>
      </c>
      <c r="B1361" s="113" t="s">
        <v>449</v>
      </c>
    </row>
    <row r="1362" spans="1:2">
      <c r="A1362" s="113" t="s">
        <v>1563</v>
      </c>
      <c r="B1362" s="113" t="s">
        <v>449</v>
      </c>
    </row>
    <row r="1363" spans="1:2">
      <c r="A1363" s="113" t="s">
        <v>1564</v>
      </c>
      <c r="B1363" s="113" t="s">
        <v>449</v>
      </c>
    </row>
    <row r="1364" spans="1:2">
      <c r="A1364" s="113" t="s">
        <v>1565</v>
      </c>
      <c r="B1364" s="113" t="s">
        <v>449</v>
      </c>
    </row>
    <row r="1365" spans="1:2">
      <c r="A1365" s="113" t="s">
        <v>1566</v>
      </c>
      <c r="B1365" s="113" t="s">
        <v>449</v>
      </c>
    </row>
    <row r="1366" spans="1:2">
      <c r="A1366" s="113" t="s">
        <v>1567</v>
      </c>
      <c r="B1366" s="113" t="s">
        <v>449</v>
      </c>
    </row>
    <row r="1367" spans="1:2">
      <c r="A1367" s="113" t="s">
        <v>1568</v>
      </c>
      <c r="B1367" s="113" t="s">
        <v>449</v>
      </c>
    </row>
    <row r="1368" spans="1:2">
      <c r="A1368" s="113" t="s">
        <v>1569</v>
      </c>
      <c r="B1368" s="113" t="s">
        <v>449</v>
      </c>
    </row>
    <row r="1369" spans="1:2">
      <c r="A1369" s="113" t="s">
        <v>1570</v>
      </c>
      <c r="B1369" s="113" t="s">
        <v>449</v>
      </c>
    </row>
    <row r="1370" spans="1:2">
      <c r="A1370" s="113" t="s">
        <v>1571</v>
      </c>
      <c r="B1370" s="113" t="s">
        <v>449</v>
      </c>
    </row>
    <row r="1371" spans="1:2">
      <c r="A1371" s="113" t="s">
        <v>1572</v>
      </c>
      <c r="B1371" s="113" t="s">
        <v>449</v>
      </c>
    </row>
    <row r="1372" spans="1:2">
      <c r="A1372" s="113" t="s">
        <v>1573</v>
      </c>
      <c r="B1372" s="113" t="s">
        <v>449</v>
      </c>
    </row>
    <row r="1373" spans="1:2">
      <c r="A1373" s="113" t="s">
        <v>1574</v>
      </c>
      <c r="B1373" s="113" t="s">
        <v>449</v>
      </c>
    </row>
    <row r="1374" spans="1:2">
      <c r="A1374" s="113" t="s">
        <v>1575</v>
      </c>
      <c r="B1374" s="113" t="s">
        <v>449</v>
      </c>
    </row>
    <row r="1375" spans="1:2">
      <c r="A1375" s="113" t="s">
        <v>1576</v>
      </c>
      <c r="B1375" s="113" t="s">
        <v>449</v>
      </c>
    </row>
    <row r="1376" spans="1:2">
      <c r="A1376" s="113" t="s">
        <v>1577</v>
      </c>
      <c r="B1376" s="113" t="s">
        <v>449</v>
      </c>
    </row>
    <row r="1377" spans="1:2">
      <c r="A1377" s="113" t="s">
        <v>1578</v>
      </c>
      <c r="B1377" s="113" t="s">
        <v>449</v>
      </c>
    </row>
    <row r="1378" spans="1:2">
      <c r="A1378" s="113" t="s">
        <v>1579</v>
      </c>
      <c r="B1378" s="113" t="s">
        <v>449</v>
      </c>
    </row>
    <row r="1379" spans="1:2">
      <c r="A1379" s="113" t="s">
        <v>1580</v>
      </c>
      <c r="B1379" s="113" t="s">
        <v>449</v>
      </c>
    </row>
    <row r="1380" spans="1:2">
      <c r="A1380" s="113" t="s">
        <v>1581</v>
      </c>
      <c r="B1380" s="113" t="s">
        <v>449</v>
      </c>
    </row>
    <row r="1381" spans="1:2">
      <c r="A1381" s="113" t="s">
        <v>1582</v>
      </c>
      <c r="B1381" s="113" t="s">
        <v>449</v>
      </c>
    </row>
    <row r="1382" spans="1:2">
      <c r="A1382" s="113" t="s">
        <v>1583</v>
      </c>
      <c r="B1382" s="113" t="s">
        <v>449</v>
      </c>
    </row>
    <row r="1383" spans="1:2">
      <c r="A1383" s="113" t="s">
        <v>1584</v>
      </c>
      <c r="B1383" s="113" t="s">
        <v>449</v>
      </c>
    </row>
    <row r="1384" spans="1:2">
      <c r="A1384" s="113" t="s">
        <v>1585</v>
      </c>
      <c r="B1384" s="113" t="s">
        <v>449</v>
      </c>
    </row>
    <row r="1385" spans="1:2">
      <c r="A1385" s="113" t="s">
        <v>1586</v>
      </c>
      <c r="B1385" s="113" t="s">
        <v>449</v>
      </c>
    </row>
    <row r="1386" spans="1:2">
      <c r="A1386" s="113" t="s">
        <v>1587</v>
      </c>
      <c r="B1386" s="113" t="s">
        <v>449</v>
      </c>
    </row>
    <row r="1387" spans="1:2">
      <c r="A1387" s="113" t="s">
        <v>1588</v>
      </c>
      <c r="B1387" s="113" t="s">
        <v>449</v>
      </c>
    </row>
    <row r="1388" spans="1:2">
      <c r="A1388" s="113" t="s">
        <v>1589</v>
      </c>
      <c r="B1388" s="113" t="s">
        <v>449</v>
      </c>
    </row>
    <row r="1389" spans="1:2">
      <c r="A1389" s="113" t="s">
        <v>1590</v>
      </c>
      <c r="B1389" s="113" t="s">
        <v>449</v>
      </c>
    </row>
    <row r="1390" spans="1:2">
      <c r="A1390" s="113" t="s">
        <v>1591</v>
      </c>
      <c r="B1390" s="113" t="s">
        <v>449</v>
      </c>
    </row>
    <row r="1391" spans="1:2">
      <c r="A1391" s="113" t="s">
        <v>1592</v>
      </c>
      <c r="B1391" s="113" t="s">
        <v>449</v>
      </c>
    </row>
    <row r="1392" spans="1:2">
      <c r="A1392" s="113" t="s">
        <v>1593</v>
      </c>
      <c r="B1392" s="113" t="s">
        <v>449</v>
      </c>
    </row>
    <row r="1393" spans="1:2">
      <c r="A1393" s="113" t="s">
        <v>1594</v>
      </c>
      <c r="B1393" s="113" t="s">
        <v>449</v>
      </c>
    </row>
    <row r="1394" spans="1:2">
      <c r="A1394" s="113" t="s">
        <v>1595</v>
      </c>
      <c r="B1394" s="113" t="s">
        <v>449</v>
      </c>
    </row>
    <row r="1395" spans="1:2">
      <c r="A1395" s="113" t="s">
        <v>1596</v>
      </c>
      <c r="B1395" s="113" t="s">
        <v>449</v>
      </c>
    </row>
    <row r="1396" spans="1:2">
      <c r="A1396" s="113" t="s">
        <v>1597</v>
      </c>
      <c r="B1396" s="113" t="s">
        <v>449</v>
      </c>
    </row>
    <row r="1397" spans="1:2">
      <c r="A1397" s="113" t="s">
        <v>1598</v>
      </c>
      <c r="B1397" s="113" t="s">
        <v>449</v>
      </c>
    </row>
    <row r="1398" spans="1:2">
      <c r="A1398" s="113" t="s">
        <v>1599</v>
      </c>
      <c r="B1398" s="113" t="s">
        <v>449</v>
      </c>
    </row>
    <row r="1399" spans="1:2">
      <c r="A1399" s="113" t="s">
        <v>1600</v>
      </c>
      <c r="B1399" s="113" t="s">
        <v>449</v>
      </c>
    </row>
    <row r="1400" spans="1:2">
      <c r="A1400" s="113" t="s">
        <v>1601</v>
      </c>
      <c r="B1400" s="113" t="s">
        <v>449</v>
      </c>
    </row>
    <row r="1401" spans="1:2">
      <c r="A1401" s="113" t="s">
        <v>1602</v>
      </c>
      <c r="B1401" s="113" t="s">
        <v>449</v>
      </c>
    </row>
    <row r="1402" spans="1:2">
      <c r="A1402" s="113" t="s">
        <v>1603</v>
      </c>
      <c r="B1402" s="113" t="s">
        <v>449</v>
      </c>
    </row>
    <row r="1403" spans="1:2">
      <c r="A1403" s="113" t="s">
        <v>1604</v>
      </c>
      <c r="B1403" s="113" t="s">
        <v>449</v>
      </c>
    </row>
    <row r="1404" spans="1:2">
      <c r="A1404" s="113" t="s">
        <v>1605</v>
      </c>
      <c r="B1404" s="113" t="s">
        <v>449</v>
      </c>
    </row>
    <row r="1405" spans="1:2">
      <c r="A1405" s="113" t="s">
        <v>1606</v>
      </c>
      <c r="B1405" s="113" t="s">
        <v>449</v>
      </c>
    </row>
    <row r="1406" spans="1:2">
      <c r="A1406" s="113" t="s">
        <v>1607</v>
      </c>
      <c r="B1406" s="113" t="s">
        <v>449</v>
      </c>
    </row>
    <row r="1407" spans="1:2">
      <c r="A1407" s="113" t="s">
        <v>1608</v>
      </c>
      <c r="B1407" s="113" t="s">
        <v>1609</v>
      </c>
    </row>
    <row r="1408" spans="1:2">
      <c r="A1408" s="113" t="s">
        <v>1610</v>
      </c>
      <c r="B1408" s="113" t="s">
        <v>1609</v>
      </c>
    </row>
    <row r="1409" spans="1:2">
      <c r="A1409" s="113" t="s">
        <v>1611</v>
      </c>
      <c r="B1409" s="113" t="s">
        <v>1609</v>
      </c>
    </row>
    <row r="1410" spans="1:2">
      <c r="A1410" s="113" t="s">
        <v>1612</v>
      </c>
      <c r="B1410" s="113" t="s">
        <v>1613</v>
      </c>
    </row>
    <row r="1411" spans="1:2">
      <c r="A1411" s="113" t="s">
        <v>1614</v>
      </c>
      <c r="B1411" s="113" t="s">
        <v>1162</v>
      </c>
    </row>
    <row r="1412" spans="1:2">
      <c r="A1412" s="113" t="s">
        <v>1615</v>
      </c>
      <c r="B1412" s="113" t="s">
        <v>449</v>
      </c>
    </row>
    <row r="1413" spans="1:2">
      <c r="A1413" s="113" t="s">
        <v>1616</v>
      </c>
      <c r="B1413" s="113" t="s">
        <v>1613</v>
      </c>
    </row>
    <row r="1414" spans="1:2">
      <c r="A1414" s="113" t="s">
        <v>1617</v>
      </c>
      <c r="B1414" s="113" t="s">
        <v>1613</v>
      </c>
    </row>
    <row r="1415" spans="1:2">
      <c r="A1415" s="113" t="s">
        <v>1618</v>
      </c>
      <c r="B1415" s="113" t="s">
        <v>1609</v>
      </c>
    </row>
    <row r="1416" spans="1:2">
      <c r="A1416" s="113" t="s">
        <v>1619</v>
      </c>
      <c r="B1416" s="113" t="s">
        <v>1609</v>
      </c>
    </row>
    <row r="1417" spans="1:2">
      <c r="A1417" s="113" t="s">
        <v>1620</v>
      </c>
      <c r="B1417" s="113" t="s">
        <v>1609</v>
      </c>
    </row>
    <row r="1418" spans="1:2">
      <c r="A1418" s="113" t="s">
        <v>1621</v>
      </c>
      <c r="B1418" s="113" t="s">
        <v>1609</v>
      </c>
    </row>
    <row r="1419" spans="1:2">
      <c r="A1419" s="113" t="s">
        <v>1622</v>
      </c>
      <c r="B1419" s="113" t="s">
        <v>1613</v>
      </c>
    </row>
    <row r="1420" spans="1:2">
      <c r="A1420" s="113" t="s">
        <v>1623</v>
      </c>
      <c r="B1420" s="113" t="s">
        <v>1609</v>
      </c>
    </row>
    <row r="1421" spans="1:2">
      <c r="A1421" s="113" t="s">
        <v>1624</v>
      </c>
      <c r="B1421" s="113" t="s">
        <v>449</v>
      </c>
    </row>
    <row r="1422" spans="1:2">
      <c r="A1422" s="113" t="s">
        <v>1625</v>
      </c>
      <c r="B1422" s="113" t="s">
        <v>1613</v>
      </c>
    </row>
    <row r="1423" spans="1:2">
      <c r="A1423" s="113" t="s">
        <v>1626</v>
      </c>
      <c r="B1423" s="113" t="s">
        <v>1613</v>
      </c>
    </row>
    <row r="1424" spans="1:2">
      <c r="A1424" s="113" t="s">
        <v>1627</v>
      </c>
      <c r="B1424" s="113" t="s">
        <v>1613</v>
      </c>
    </row>
    <row r="1425" spans="1:2">
      <c r="A1425" s="113" t="s">
        <v>1628</v>
      </c>
      <c r="B1425" s="113" t="s">
        <v>1613</v>
      </c>
    </row>
    <row r="1426" spans="1:2">
      <c r="A1426" s="113" t="s">
        <v>1629</v>
      </c>
      <c r="B1426" s="113" t="s">
        <v>1613</v>
      </c>
    </row>
    <row r="1427" spans="1:2">
      <c r="A1427" s="113" t="s">
        <v>1630</v>
      </c>
      <c r="B1427" s="113" t="s">
        <v>1613</v>
      </c>
    </row>
    <row r="1428" spans="1:2">
      <c r="A1428" s="113" t="s">
        <v>1631</v>
      </c>
      <c r="B1428" s="113" t="s">
        <v>1613</v>
      </c>
    </row>
    <row r="1429" spans="1:2">
      <c r="A1429" s="113" t="s">
        <v>1632</v>
      </c>
      <c r="B1429" s="113" t="s">
        <v>1633</v>
      </c>
    </row>
    <row r="1430" spans="1:2">
      <c r="A1430" s="113" t="s">
        <v>1634</v>
      </c>
      <c r="B1430" s="113" t="s">
        <v>1613</v>
      </c>
    </row>
    <row r="1431" spans="1:2">
      <c r="A1431" s="113" t="s">
        <v>1635</v>
      </c>
      <c r="B1431" s="113" t="s">
        <v>1636</v>
      </c>
    </row>
    <row r="1432" spans="1:2">
      <c r="A1432" s="113" t="s">
        <v>1637</v>
      </c>
      <c r="B1432" s="113" t="s">
        <v>1613</v>
      </c>
    </row>
    <row r="1433" spans="1:2">
      <c r="A1433" s="113" t="s">
        <v>1638</v>
      </c>
      <c r="B1433" s="113" t="s">
        <v>1613</v>
      </c>
    </row>
    <row r="1434" spans="1:2">
      <c r="A1434" s="113" t="s">
        <v>1639</v>
      </c>
      <c r="B1434" s="113" t="s">
        <v>1613</v>
      </c>
    </row>
    <row r="1435" spans="1:2">
      <c r="A1435" s="113" t="s">
        <v>1640</v>
      </c>
      <c r="B1435" s="113" t="s">
        <v>1613</v>
      </c>
    </row>
    <row r="1436" spans="1:2">
      <c r="A1436" s="113" t="s">
        <v>1641</v>
      </c>
      <c r="B1436" s="113" t="s">
        <v>1613</v>
      </c>
    </row>
    <row r="1437" spans="1:2">
      <c r="A1437" s="113" t="s">
        <v>1642</v>
      </c>
      <c r="B1437" s="113" t="s">
        <v>1613</v>
      </c>
    </row>
    <row r="1438" spans="1:2">
      <c r="A1438" s="113" t="s">
        <v>1643</v>
      </c>
      <c r="B1438" s="113" t="s">
        <v>1613</v>
      </c>
    </row>
    <row r="1439" spans="1:2">
      <c r="A1439" s="113" t="s">
        <v>1644</v>
      </c>
      <c r="B1439" s="113" t="s">
        <v>1613</v>
      </c>
    </row>
    <row r="1440" spans="1:2">
      <c r="A1440" s="113" t="s">
        <v>1645</v>
      </c>
      <c r="B1440" s="113" t="s">
        <v>1613</v>
      </c>
    </row>
    <row r="1441" spans="1:2">
      <c r="A1441" s="113" t="s">
        <v>1646</v>
      </c>
      <c r="B1441" s="113" t="s">
        <v>1613</v>
      </c>
    </row>
    <row r="1442" spans="1:2">
      <c r="A1442" s="113" t="s">
        <v>1647</v>
      </c>
      <c r="B1442" s="113" t="s">
        <v>1636</v>
      </c>
    </row>
    <row r="1443" spans="1:2">
      <c r="A1443" s="113" t="s">
        <v>1648</v>
      </c>
      <c r="B1443" s="113" t="s">
        <v>1613</v>
      </c>
    </row>
    <row r="1444" spans="1:2">
      <c r="A1444" s="113" t="s">
        <v>1649</v>
      </c>
      <c r="B1444" s="113" t="s">
        <v>1162</v>
      </c>
    </row>
    <row r="1445" spans="1:2">
      <c r="A1445" s="113" t="s">
        <v>1650</v>
      </c>
      <c r="B1445" s="113" t="s">
        <v>449</v>
      </c>
    </row>
    <row r="1446" spans="1:2">
      <c r="A1446" s="113" t="s">
        <v>1651</v>
      </c>
      <c r="B1446" s="113" t="s">
        <v>1613</v>
      </c>
    </row>
    <row r="1447" spans="1:2">
      <c r="A1447" s="113" t="s">
        <v>1652</v>
      </c>
      <c r="B1447" s="113" t="s">
        <v>1613</v>
      </c>
    </row>
    <row r="1448" spans="1:2">
      <c r="A1448" s="113" t="s">
        <v>1653</v>
      </c>
      <c r="B1448" s="113" t="s">
        <v>1613</v>
      </c>
    </row>
    <row r="1449" spans="1:2">
      <c r="A1449" s="113" t="s">
        <v>1654</v>
      </c>
      <c r="B1449" s="113" t="s">
        <v>1613</v>
      </c>
    </row>
    <row r="1450" spans="1:2">
      <c r="A1450" s="113" t="s">
        <v>1655</v>
      </c>
      <c r="B1450" s="113" t="s">
        <v>1613</v>
      </c>
    </row>
    <row r="1451" spans="1:2">
      <c r="A1451" s="113" t="s">
        <v>1656</v>
      </c>
      <c r="B1451" s="113" t="s">
        <v>1613</v>
      </c>
    </row>
    <row r="1452" spans="1:2">
      <c r="A1452" s="113" t="s">
        <v>1657</v>
      </c>
      <c r="B1452" s="113" t="s">
        <v>1613</v>
      </c>
    </row>
    <row r="1453" spans="1:2">
      <c r="A1453" s="113" t="s">
        <v>1658</v>
      </c>
      <c r="B1453" s="113" t="s">
        <v>1613</v>
      </c>
    </row>
    <row r="1454" spans="1:2">
      <c r="A1454" s="113" t="s">
        <v>1659</v>
      </c>
      <c r="B1454" s="113" t="s">
        <v>1613</v>
      </c>
    </row>
    <row r="1455" spans="1:2">
      <c r="A1455" s="113" t="s">
        <v>1660</v>
      </c>
      <c r="B1455" s="113" t="s">
        <v>1613</v>
      </c>
    </row>
    <row r="1456" spans="1:2">
      <c r="A1456" s="113" t="s">
        <v>1661</v>
      </c>
      <c r="B1456" s="113" t="s">
        <v>1162</v>
      </c>
    </row>
    <row r="1457" spans="1:2">
      <c r="A1457" s="113" t="s">
        <v>1662</v>
      </c>
      <c r="B1457" s="113" t="s">
        <v>449</v>
      </c>
    </row>
    <row r="1458" spans="1:2">
      <c r="A1458" s="113" t="s">
        <v>1663</v>
      </c>
      <c r="B1458" s="113" t="s">
        <v>1613</v>
      </c>
    </row>
    <row r="1459" spans="1:2">
      <c r="A1459" s="113" t="s">
        <v>1664</v>
      </c>
      <c r="B1459" s="113" t="s">
        <v>1636</v>
      </c>
    </row>
    <row r="1460" spans="1:2">
      <c r="A1460" s="113" t="s">
        <v>1665</v>
      </c>
      <c r="B1460" s="113" t="s">
        <v>1636</v>
      </c>
    </row>
    <row r="1461" spans="1:2">
      <c r="A1461" s="113" t="s">
        <v>1666</v>
      </c>
      <c r="B1461" s="113" t="s">
        <v>1636</v>
      </c>
    </row>
    <row r="1462" spans="1:2">
      <c r="A1462" s="113" t="s">
        <v>1667</v>
      </c>
      <c r="B1462" s="113" t="s">
        <v>1633</v>
      </c>
    </row>
    <row r="1463" spans="1:2">
      <c r="A1463" s="113" t="s">
        <v>1668</v>
      </c>
      <c r="B1463" s="113" t="s">
        <v>1613</v>
      </c>
    </row>
    <row r="1464" spans="1:2">
      <c r="A1464" s="113" t="s">
        <v>1669</v>
      </c>
      <c r="B1464" s="113" t="s">
        <v>1613</v>
      </c>
    </row>
    <row r="1465" spans="1:2">
      <c r="A1465" s="113" t="s">
        <v>1670</v>
      </c>
      <c r="B1465" s="113" t="s">
        <v>1613</v>
      </c>
    </row>
    <row r="1466" spans="1:2">
      <c r="A1466" s="113" t="s">
        <v>1671</v>
      </c>
      <c r="B1466" s="113" t="s">
        <v>1613</v>
      </c>
    </row>
    <row r="1467" spans="1:2">
      <c r="A1467" s="113" t="s">
        <v>1672</v>
      </c>
      <c r="B1467" s="113" t="s">
        <v>1613</v>
      </c>
    </row>
    <row r="1468" spans="1:2">
      <c r="A1468" s="113" t="s">
        <v>1673</v>
      </c>
      <c r="B1468" s="113" t="s">
        <v>1636</v>
      </c>
    </row>
    <row r="1469" spans="1:2">
      <c r="A1469" s="113" t="s">
        <v>1674</v>
      </c>
      <c r="B1469" s="113" t="s">
        <v>1613</v>
      </c>
    </row>
    <row r="1470" spans="1:2">
      <c r="A1470" s="113" t="s">
        <v>1675</v>
      </c>
      <c r="B1470" s="113" t="s">
        <v>1613</v>
      </c>
    </row>
    <row r="1471" spans="1:2">
      <c r="A1471" s="113" t="s">
        <v>1676</v>
      </c>
      <c r="B1471" s="113" t="s">
        <v>1613</v>
      </c>
    </row>
    <row r="1472" spans="1:2">
      <c r="A1472" s="113" t="s">
        <v>1677</v>
      </c>
      <c r="B1472" s="113" t="s">
        <v>1613</v>
      </c>
    </row>
    <row r="1473" spans="1:2">
      <c r="A1473" s="113" t="s">
        <v>1678</v>
      </c>
      <c r="B1473" s="113" t="s">
        <v>1613</v>
      </c>
    </row>
    <row r="1474" spans="1:2">
      <c r="A1474" s="113" t="s">
        <v>1679</v>
      </c>
      <c r="B1474" s="113" t="s">
        <v>1613</v>
      </c>
    </row>
    <row r="1475" spans="1:2">
      <c r="A1475" s="113" t="s">
        <v>1680</v>
      </c>
      <c r="B1475" s="113" t="s">
        <v>1613</v>
      </c>
    </row>
    <row r="1476" spans="1:2">
      <c r="A1476" s="113" t="s">
        <v>1681</v>
      </c>
      <c r="B1476" s="113" t="s">
        <v>1613</v>
      </c>
    </row>
    <row r="1477" spans="1:2">
      <c r="A1477" s="113" t="s">
        <v>1682</v>
      </c>
      <c r="B1477" s="113" t="s">
        <v>1609</v>
      </c>
    </row>
    <row r="1478" spans="1:2">
      <c r="A1478" s="113" t="s">
        <v>1683</v>
      </c>
      <c r="B1478" s="113" t="s">
        <v>1609</v>
      </c>
    </row>
    <row r="1479" spans="1:2">
      <c r="A1479" s="113" t="s">
        <v>1684</v>
      </c>
      <c r="B1479" s="113" t="s">
        <v>1609</v>
      </c>
    </row>
    <row r="1480" spans="1:2">
      <c r="A1480" s="113" t="s">
        <v>1685</v>
      </c>
      <c r="B1480" s="113" t="s">
        <v>1609</v>
      </c>
    </row>
    <row r="1481" spans="1:2">
      <c r="A1481" s="113" t="s">
        <v>1686</v>
      </c>
      <c r="B1481" s="113" t="s">
        <v>1609</v>
      </c>
    </row>
    <row r="1482" spans="1:2">
      <c r="A1482" s="113" t="s">
        <v>1687</v>
      </c>
      <c r="B1482" s="113" t="s">
        <v>1613</v>
      </c>
    </row>
    <row r="1483" spans="1:2">
      <c r="A1483" s="113" t="s">
        <v>1688</v>
      </c>
      <c r="B1483" s="113" t="s">
        <v>1609</v>
      </c>
    </row>
    <row r="1484" spans="1:2">
      <c r="A1484" s="113" t="s">
        <v>1689</v>
      </c>
      <c r="B1484" s="113" t="s">
        <v>1609</v>
      </c>
    </row>
    <row r="1485" spans="1:2">
      <c r="A1485" s="113" t="s">
        <v>1690</v>
      </c>
      <c r="B1485" s="113" t="s">
        <v>1613</v>
      </c>
    </row>
    <row r="1486" spans="1:2">
      <c r="A1486" s="113" t="s">
        <v>1691</v>
      </c>
      <c r="B1486" s="113" t="s">
        <v>1692</v>
      </c>
    </row>
    <row r="1487" spans="1:2">
      <c r="A1487" s="113" t="s">
        <v>1693</v>
      </c>
      <c r="B1487" s="113" t="s">
        <v>1692</v>
      </c>
    </row>
    <row r="1488" spans="1:2">
      <c r="A1488" s="113" t="s">
        <v>1694</v>
      </c>
      <c r="B1488" s="113" t="s">
        <v>449</v>
      </c>
    </row>
    <row r="1489" spans="1:2">
      <c r="A1489" s="113" t="s">
        <v>1695</v>
      </c>
      <c r="B1489" s="113" t="s">
        <v>449</v>
      </c>
    </row>
    <row r="1490" spans="1:2">
      <c r="A1490" s="113" t="s">
        <v>1696</v>
      </c>
      <c r="B1490" s="113" t="s">
        <v>449</v>
      </c>
    </row>
    <row r="1491" spans="1:2">
      <c r="A1491" s="113" t="s">
        <v>1697</v>
      </c>
      <c r="B1491" s="113" t="s">
        <v>449</v>
      </c>
    </row>
    <row r="1492" spans="1:2">
      <c r="A1492" s="113" t="s">
        <v>1698</v>
      </c>
      <c r="B1492" s="113" t="s">
        <v>449</v>
      </c>
    </row>
    <row r="1493" spans="1:2">
      <c r="A1493" s="113" t="s">
        <v>1699</v>
      </c>
      <c r="B1493" s="113" t="s">
        <v>449</v>
      </c>
    </row>
    <row r="1494" spans="1:2">
      <c r="A1494" s="113" t="s">
        <v>1700</v>
      </c>
      <c r="B1494" s="113" t="s">
        <v>1692</v>
      </c>
    </row>
    <row r="1495" spans="1:2">
      <c r="A1495" s="113" t="s">
        <v>1701</v>
      </c>
      <c r="B1495" s="113" t="s">
        <v>449</v>
      </c>
    </row>
    <row r="1496" spans="1:2">
      <c r="A1496" s="113" t="s">
        <v>1702</v>
      </c>
      <c r="B1496" s="113" t="s">
        <v>1692</v>
      </c>
    </row>
    <row r="1497" spans="1:2">
      <c r="A1497" s="113" t="s">
        <v>1703</v>
      </c>
      <c r="B1497" s="113" t="s">
        <v>1692</v>
      </c>
    </row>
    <row r="1498" spans="1:2">
      <c r="A1498" s="113" t="s">
        <v>1704</v>
      </c>
      <c r="B1498" s="113" t="s">
        <v>1692</v>
      </c>
    </row>
    <row r="1499" spans="1:2">
      <c r="A1499" s="113" t="s">
        <v>1705</v>
      </c>
      <c r="B1499" s="113" t="s">
        <v>1692</v>
      </c>
    </row>
    <row r="1500" spans="1:2">
      <c r="A1500" s="113" t="s">
        <v>1706</v>
      </c>
      <c r="B1500" s="113" t="s">
        <v>1692</v>
      </c>
    </row>
    <row r="1501" spans="1:2">
      <c r="A1501" s="113" t="s">
        <v>1707</v>
      </c>
      <c r="B1501" s="113" t="s">
        <v>449</v>
      </c>
    </row>
    <row r="1502" spans="1:2">
      <c r="A1502" s="113" t="s">
        <v>1708</v>
      </c>
      <c r="B1502" s="113" t="s">
        <v>449</v>
      </c>
    </row>
    <row r="1503" spans="1:2">
      <c r="A1503" s="113" t="s">
        <v>1709</v>
      </c>
      <c r="B1503" s="113" t="s">
        <v>449</v>
      </c>
    </row>
    <row r="1504" spans="1:2">
      <c r="A1504" s="113" t="s">
        <v>1710</v>
      </c>
      <c r="B1504" s="113" t="s">
        <v>449</v>
      </c>
    </row>
    <row r="1505" spans="1:2">
      <c r="A1505" s="113" t="s">
        <v>1711</v>
      </c>
      <c r="B1505" s="113" t="s">
        <v>1692</v>
      </c>
    </row>
    <row r="1506" spans="1:2">
      <c r="A1506" s="113" t="s">
        <v>1712</v>
      </c>
      <c r="B1506" s="113" t="s">
        <v>449</v>
      </c>
    </row>
    <row r="1507" spans="1:2">
      <c r="A1507" s="113" t="s">
        <v>1713</v>
      </c>
      <c r="B1507" s="113" t="s">
        <v>449</v>
      </c>
    </row>
    <row r="1508" spans="1:2">
      <c r="A1508" s="113" t="s">
        <v>1714</v>
      </c>
      <c r="B1508" s="113" t="s">
        <v>1692</v>
      </c>
    </row>
    <row r="1509" spans="1:2">
      <c r="A1509" s="113" t="s">
        <v>1715</v>
      </c>
      <c r="B1509" s="113" t="s">
        <v>449</v>
      </c>
    </row>
    <row r="1510" spans="1:2">
      <c r="A1510" s="113" t="s">
        <v>1716</v>
      </c>
      <c r="B1510" s="113" t="s">
        <v>449</v>
      </c>
    </row>
    <row r="1511" spans="1:2">
      <c r="A1511" s="113" t="s">
        <v>1717</v>
      </c>
      <c r="B1511" s="113" t="s">
        <v>449</v>
      </c>
    </row>
    <row r="1512" spans="1:2">
      <c r="A1512" s="113" t="s">
        <v>1718</v>
      </c>
      <c r="B1512" s="113" t="s">
        <v>449</v>
      </c>
    </row>
    <row r="1513" spans="1:2">
      <c r="A1513" s="113" t="s">
        <v>1719</v>
      </c>
      <c r="B1513" s="113" t="s">
        <v>449</v>
      </c>
    </row>
    <row r="1514" spans="1:2">
      <c r="A1514" s="113" t="s">
        <v>1720</v>
      </c>
      <c r="B1514" s="113" t="s">
        <v>1692</v>
      </c>
    </row>
    <row r="1515" spans="1:2">
      <c r="A1515" s="113" t="s">
        <v>1721</v>
      </c>
      <c r="B1515" s="113" t="s">
        <v>1692</v>
      </c>
    </row>
    <row r="1516" spans="1:2">
      <c r="A1516" s="113" t="s">
        <v>1722</v>
      </c>
      <c r="B1516" s="113" t="s">
        <v>449</v>
      </c>
    </row>
    <row r="1517" spans="1:2">
      <c r="A1517" s="113" t="s">
        <v>1723</v>
      </c>
      <c r="B1517" s="113" t="s">
        <v>1692</v>
      </c>
    </row>
    <row r="1518" spans="1:2">
      <c r="A1518" s="113" t="s">
        <v>1724</v>
      </c>
      <c r="B1518" s="113" t="s">
        <v>449</v>
      </c>
    </row>
    <row r="1519" spans="1:2">
      <c r="A1519" s="113" t="s">
        <v>1725</v>
      </c>
      <c r="B1519" s="113" t="s">
        <v>1692</v>
      </c>
    </row>
    <row r="1520" spans="1:2">
      <c r="A1520" s="113" t="s">
        <v>1726</v>
      </c>
      <c r="B1520" s="113" t="s">
        <v>449</v>
      </c>
    </row>
    <row r="1521" spans="1:2">
      <c r="A1521" s="113" t="s">
        <v>1727</v>
      </c>
      <c r="B1521" s="113" t="s">
        <v>449</v>
      </c>
    </row>
    <row r="1522" spans="1:2">
      <c r="A1522" s="113" t="s">
        <v>1728</v>
      </c>
      <c r="B1522" s="113" t="s">
        <v>449</v>
      </c>
    </row>
    <row r="1523" spans="1:2">
      <c r="A1523" s="113" t="s">
        <v>1729</v>
      </c>
      <c r="B1523" s="113" t="s">
        <v>1692</v>
      </c>
    </row>
    <row r="1524" spans="1:2">
      <c r="A1524" s="113" t="s">
        <v>1730</v>
      </c>
      <c r="B1524" s="113" t="s">
        <v>449</v>
      </c>
    </row>
    <row r="1525" spans="1:2">
      <c r="A1525" s="113" t="s">
        <v>1731</v>
      </c>
      <c r="B1525" s="113" t="s">
        <v>449</v>
      </c>
    </row>
    <row r="1526" spans="1:2">
      <c r="A1526" s="113" t="s">
        <v>1732</v>
      </c>
      <c r="B1526" s="113" t="s">
        <v>449</v>
      </c>
    </row>
    <row r="1527" spans="1:2">
      <c r="A1527" s="113" t="s">
        <v>1733</v>
      </c>
      <c r="B1527" s="113" t="s">
        <v>449</v>
      </c>
    </row>
    <row r="1528" spans="1:2">
      <c r="A1528" s="113" t="s">
        <v>1734</v>
      </c>
      <c r="B1528" s="113" t="s">
        <v>449</v>
      </c>
    </row>
    <row r="1529" spans="1:2">
      <c r="A1529" s="113" t="s">
        <v>1735</v>
      </c>
      <c r="B1529" s="113" t="s">
        <v>449</v>
      </c>
    </row>
    <row r="1530" spans="1:2">
      <c r="A1530" s="113" t="s">
        <v>1736</v>
      </c>
      <c r="B1530" s="113" t="s">
        <v>449</v>
      </c>
    </row>
    <row r="1531" spans="1:2">
      <c r="A1531" s="113" t="s">
        <v>1737</v>
      </c>
      <c r="B1531" s="113" t="s">
        <v>449</v>
      </c>
    </row>
    <row r="1532" spans="1:2">
      <c r="A1532" s="113" t="s">
        <v>1738</v>
      </c>
      <c r="B1532" s="113" t="s">
        <v>449</v>
      </c>
    </row>
    <row r="1533" spans="1:2">
      <c r="A1533" s="113" t="s">
        <v>1739</v>
      </c>
      <c r="B1533" s="113" t="s">
        <v>449</v>
      </c>
    </row>
    <row r="1534" spans="1:2">
      <c r="A1534" s="113" t="s">
        <v>1740</v>
      </c>
      <c r="B1534" s="113" t="s">
        <v>449</v>
      </c>
    </row>
    <row r="1535" spans="1:2">
      <c r="A1535" s="113" t="s">
        <v>1741</v>
      </c>
      <c r="B1535" s="113" t="s">
        <v>449</v>
      </c>
    </row>
    <row r="1536" spans="1:2">
      <c r="A1536" s="113" t="s">
        <v>1742</v>
      </c>
      <c r="B1536" s="113" t="s">
        <v>449</v>
      </c>
    </row>
    <row r="1537" spans="1:2">
      <c r="A1537" s="113" t="s">
        <v>1743</v>
      </c>
      <c r="B1537" s="113" t="s">
        <v>449</v>
      </c>
    </row>
    <row r="1538" spans="1:2">
      <c r="A1538" s="113" t="s">
        <v>1744</v>
      </c>
      <c r="B1538" s="113" t="s">
        <v>449</v>
      </c>
    </row>
    <row r="1539" spans="1:2">
      <c r="A1539" s="113" t="s">
        <v>1745</v>
      </c>
      <c r="B1539" s="113" t="s">
        <v>449</v>
      </c>
    </row>
    <row r="1540" spans="1:2">
      <c r="A1540" s="113" t="s">
        <v>1746</v>
      </c>
      <c r="B1540" s="113" t="s">
        <v>449</v>
      </c>
    </row>
    <row r="1541" spans="1:2">
      <c r="A1541" s="113" t="s">
        <v>1747</v>
      </c>
      <c r="B1541" s="113" t="s">
        <v>449</v>
      </c>
    </row>
    <row r="1542" spans="1:2">
      <c r="A1542" s="113" t="s">
        <v>1748</v>
      </c>
      <c r="B1542" s="113" t="s">
        <v>449</v>
      </c>
    </row>
    <row r="1543" spans="1:2">
      <c r="A1543" s="113" t="s">
        <v>1749</v>
      </c>
      <c r="B1543" s="113" t="s">
        <v>449</v>
      </c>
    </row>
    <row r="1544" spans="1:2">
      <c r="A1544" s="113" t="s">
        <v>1750</v>
      </c>
      <c r="B1544" s="113" t="s">
        <v>449</v>
      </c>
    </row>
    <row r="1545" spans="1:2">
      <c r="A1545" s="113" t="s">
        <v>1751</v>
      </c>
      <c r="B1545" s="113" t="s">
        <v>449</v>
      </c>
    </row>
    <row r="1546" spans="1:2">
      <c r="A1546" s="113" t="s">
        <v>1752</v>
      </c>
      <c r="B1546" s="113" t="s">
        <v>1613</v>
      </c>
    </row>
    <row r="1547" spans="1:2">
      <c r="A1547" s="113" t="s">
        <v>1753</v>
      </c>
      <c r="B1547" s="113" t="s">
        <v>449</v>
      </c>
    </row>
    <row r="1548" spans="1:2">
      <c r="A1548" s="113" t="s">
        <v>1754</v>
      </c>
      <c r="B1548" s="113" t="s">
        <v>449</v>
      </c>
    </row>
    <row r="1549" spans="1:2">
      <c r="A1549" s="113" t="s">
        <v>1755</v>
      </c>
      <c r="B1549" s="113" t="s">
        <v>449</v>
      </c>
    </row>
    <row r="1550" spans="1:2">
      <c r="A1550" s="113" t="s">
        <v>1756</v>
      </c>
      <c r="B1550" s="113" t="s">
        <v>449</v>
      </c>
    </row>
    <row r="1551" spans="1:2">
      <c r="A1551" s="113" t="s">
        <v>1757</v>
      </c>
      <c r="B1551" s="113" t="s">
        <v>449</v>
      </c>
    </row>
    <row r="1552" spans="1:2">
      <c r="A1552" s="113" t="s">
        <v>1758</v>
      </c>
      <c r="B1552" s="113" t="s">
        <v>449</v>
      </c>
    </row>
    <row r="1553" spans="1:2">
      <c r="A1553" s="113" t="s">
        <v>1759</v>
      </c>
      <c r="B1553" s="113" t="s">
        <v>1613</v>
      </c>
    </row>
    <row r="1554" spans="1:2">
      <c r="A1554" s="113" t="s">
        <v>1760</v>
      </c>
      <c r="B1554" s="113" t="s">
        <v>449</v>
      </c>
    </row>
    <row r="1555" spans="1:2">
      <c r="A1555" s="113" t="s">
        <v>1761</v>
      </c>
      <c r="B1555" s="113" t="s">
        <v>449</v>
      </c>
    </row>
    <row r="1556" spans="1:2">
      <c r="A1556" s="113" t="s">
        <v>1762</v>
      </c>
      <c r="B1556" s="113" t="s">
        <v>449</v>
      </c>
    </row>
    <row r="1557" spans="1:2">
      <c r="A1557" s="113" t="s">
        <v>1763</v>
      </c>
      <c r="B1557" s="113" t="s">
        <v>449</v>
      </c>
    </row>
    <row r="1558" spans="1:2">
      <c r="A1558" s="113" t="s">
        <v>1764</v>
      </c>
      <c r="B1558" s="113" t="s">
        <v>449</v>
      </c>
    </row>
    <row r="1559" spans="1:2">
      <c r="A1559" s="113" t="s">
        <v>1765</v>
      </c>
      <c r="B1559" s="113" t="s">
        <v>449</v>
      </c>
    </row>
    <row r="1560" spans="1:2">
      <c r="A1560" s="113" t="s">
        <v>1766</v>
      </c>
      <c r="B1560" s="113" t="s">
        <v>449</v>
      </c>
    </row>
    <row r="1561" spans="1:2">
      <c r="A1561" s="113" t="s">
        <v>1767</v>
      </c>
      <c r="B1561" s="113" t="s">
        <v>449</v>
      </c>
    </row>
    <row r="1562" spans="1:2">
      <c r="A1562" s="113" t="s">
        <v>1768</v>
      </c>
      <c r="B1562" s="113" t="s">
        <v>449</v>
      </c>
    </row>
    <row r="1563" spans="1:2">
      <c r="A1563" s="113" t="s">
        <v>1769</v>
      </c>
      <c r="B1563" s="113" t="s">
        <v>449</v>
      </c>
    </row>
    <row r="1564" spans="1:2">
      <c r="A1564" s="113" t="s">
        <v>1770</v>
      </c>
      <c r="B1564" s="113" t="s">
        <v>1771</v>
      </c>
    </row>
    <row r="1565" spans="1:2">
      <c r="A1565" s="113" t="s">
        <v>1772</v>
      </c>
      <c r="B1565" s="113" t="s">
        <v>315</v>
      </c>
    </row>
    <row r="1566" spans="1:2">
      <c r="A1566" s="113" t="s">
        <v>1773</v>
      </c>
      <c r="B1566" s="113" t="s">
        <v>1771</v>
      </c>
    </row>
    <row r="1567" spans="1:2">
      <c r="A1567" s="113" t="s">
        <v>1774</v>
      </c>
      <c r="B1567" s="113" t="s">
        <v>1771</v>
      </c>
    </row>
    <row r="1568" spans="1:2">
      <c r="A1568" s="113" t="s">
        <v>1775</v>
      </c>
      <c r="B1568" s="113" t="s">
        <v>1771</v>
      </c>
    </row>
    <row r="1569" spans="1:2">
      <c r="A1569" s="113" t="s">
        <v>1776</v>
      </c>
      <c r="B1569" s="113" t="s">
        <v>315</v>
      </c>
    </row>
    <row r="1570" spans="1:2">
      <c r="A1570" s="113" t="s">
        <v>1777</v>
      </c>
      <c r="B1570" s="113" t="s">
        <v>1771</v>
      </c>
    </row>
    <row r="1571" spans="1:2">
      <c r="A1571" s="113" t="s">
        <v>1778</v>
      </c>
      <c r="B1571" s="113" t="s">
        <v>315</v>
      </c>
    </row>
    <row r="1572" spans="1:2">
      <c r="A1572" s="113" t="s">
        <v>1779</v>
      </c>
      <c r="B1572" s="113" t="s">
        <v>1771</v>
      </c>
    </row>
    <row r="1573" spans="1:2">
      <c r="A1573" s="113" t="s">
        <v>1780</v>
      </c>
      <c r="B1573" s="113" t="s">
        <v>315</v>
      </c>
    </row>
    <row r="1574" spans="1:2">
      <c r="A1574" s="113" t="s">
        <v>1781</v>
      </c>
      <c r="B1574" s="113" t="s">
        <v>1771</v>
      </c>
    </row>
    <row r="1575" spans="1:2">
      <c r="A1575" s="113" t="s">
        <v>1782</v>
      </c>
      <c r="B1575" s="113" t="s">
        <v>1771</v>
      </c>
    </row>
    <row r="1576" spans="1:2">
      <c r="A1576" s="113" t="s">
        <v>1783</v>
      </c>
      <c r="B1576" s="113" t="s">
        <v>315</v>
      </c>
    </row>
    <row r="1577" spans="1:2">
      <c r="A1577" s="113" t="s">
        <v>1784</v>
      </c>
      <c r="B1577" s="113" t="s">
        <v>1771</v>
      </c>
    </row>
    <row r="1578" spans="1:2">
      <c r="A1578" s="113" t="s">
        <v>1785</v>
      </c>
      <c r="B1578" s="113" t="s">
        <v>449</v>
      </c>
    </row>
    <row r="1579" spans="1:2">
      <c r="A1579" s="113" t="s">
        <v>1786</v>
      </c>
      <c r="B1579" s="113" t="s">
        <v>449</v>
      </c>
    </row>
    <row r="1580" spans="1:2">
      <c r="A1580" s="113" t="s">
        <v>1787</v>
      </c>
      <c r="B1580" s="113" t="s">
        <v>315</v>
      </c>
    </row>
    <row r="1581" spans="1:2">
      <c r="A1581" s="113" t="s">
        <v>1788</v>
      </c>
      <c r="B1581" s="113" t="s">
        <v>449</v>
      </c>
    </row>
    <row r="1582" spans="1:2">
      <c r="A1582" s="113" t="s">
        <v>1789</v>
      </c>
      <c r="B1582" s="113" t="s">
        <v>315</v>
      </c>
    </row>
    <row r="1583" spans="1:2">
      <c r="A1583" s="113" t="s">
        <v>1790</v>
      </c>
      <c r="B1583" s="113" t="s">
        <v>315</v>
      </c>
    </row>
    <row r="1584" spans="1:2">
      <c r="A1584" s="113" t="s">
        <v>1791</v>
      </c>
      <c r="B1584" s="113" t="s">
        <v>1771</v>
      </c>
    </row>
    <row r="1585" spans="1:2">
      <c r="A1585" s="113" t="s">
        <v>1792</v>
      </c>
      <c r="B1585" s="113" t="s">
        <v>1771</v>
      </c>
    </row>
    <row r="1586" spans="1:2">
      <c r="A1586" s="113" t="s">
        <v>1793</v>
      </c>
      <c r="B1586" s="113" t="s">
        <v>449</v>
      </c>
    </row>
    <row r="1587" spans="1:2">
      <c r="A1587" s="113" t="s">
        <v>1794</v>
      </c>
      <c r="B1587" s="113" t="s">
        <v>315</v>
      </c>
    </row>
    <row r="1588" spans="1:2">
      <c r="A1588" s="113" t="s">
        <v>1795</v>
      </c>
      <c r="B1588" s="113" t="s">
        <v>315</v>
      </c>
    </row>
    <row r="1589" spans="1:2">
      <c r="A1589" s="113" t="s">
        <v>1796</v>
      </c>
      <c r="B1589" s="113" t="s">
        <v>315</v>
      </c>
    </row>
    <row r="1590" spans="1:2">
      <c r="A1590" s="113" t="s">
        <v>1797</v>
      </c>
      <c r="B1590" s="113" t="s">
        <v>315</v>
      </c>
    </row>
    <row r="1591" spans="1:2">
      <c r="A1591" s="113" t="s">
        <v>1798</v>
      </c>
      <c r="B1591" s="113" t="s">
        <v>1771</v>
      </c>
    </row>
    <row r="1592" spans="1:2">
      <c r="A1592" s="113" t="s">
        <v>1799</v>
      </c>
      <c r="B1592" s="113" t="s">
        <v>315</v>
      </c>
    </row>
    <row r="1593" spans="1:2">
      <c r="A1593" s="113" t="s">
        <v>1800</v>
      </c>
      <c r="B1593" s="113" t="s">
        <v>315</v>
      </c>
    </row>
    <row r="1594" spans="1:2">
      <c r="A1594" s="113" t="s">
        <v>1801</v>
      </c>
      <c r="B1594" s="113" t="s">
        <v>1771</v>
      </c>
    </row>
    <row r="1595" spans="1:2">
      <c r="A1595" s="113" t="s">
        <v>1802</v>
      </c>
      <c r="B1595" s="113" t="s">
        <v>315</v>
      </c>
    </row>
    <row r="1596" spans="1:2">
      <c r="A1596" s="113" t="s">
        <v>1803</v>
      </c>
      <c r="B1596" s="113" t="s">
        <v>315</v>
      </c>
    </row>
    <row r="1597" spans="1:2">
      <c r="A1597" s="113" t="s">
        <v>1804</v>
      </c>
      <c r="B1597" s="113" t="s">
        <v>1771</v>
      </c>
    </row>
    <row r="1598" spans="1:2">
      <c r="A1598" s="113" t="s">
        <v>1805</v>
      </c>
      <c r="B1598" s="113" t="s">
        <v>1771</v>
      </c>
    </row>
    <row r="1599" spans="1:2">
      <c r="A1599" s="113" t="s">
        <v>1806</v>
      </c>
      <c r="B1599" s="113" t="s">
        <v>315</v>
      </c>
    </row>
    <row r="1600" spans="1:2">
      <c r="A1600" s="113" t="s">
        <v>1807</v>
      </c>
      <c r="B1600" s="113" t="s">
        <v>449</v>
      </c>
    </row>
    <row r="1601" spans="1:2">
      <c r="A1601" s="113" t="s">
        <v>1808</v>
      </c>
      <c r="B1601" s="113" t="s">
        <v>1771</v>
      </c>
    </row>
    <row r="1602" spans="1:2">
      <c r="A1602" s="113" t="s">
        <v>1809</v>
      </c>
      <c r="B1602" s="113" t="s">
        <v>315</v>
      </c>
    </row>
    <row r="1603" spans="1:2">
      <c r="A1603" s="113" t="s">
        <v>1810</v>
      </c>
      <c r="B1603" s="113" t="s">
        <v>315</v>
      </c>
    </row>
    <row r="1604" spans="1:2">
      <c r="A1604" s="113" t="s">
        <v>1811</v>
      </c>
      <c r="B1604" s="113" t="s">
        <v>315</v>
      </c>
    </row>
    <row r="1605" spans="1:2">
      <c r="A1605" s="113" t="s">
        <v>1812</v>
      </c>
      <c r="B1605" s="113" t="s">
        <v>315</v>
      </c>
    </row>
    <row r="1606" spans="1:2">
      <c r="A1606" s="113" t="s">
        <v>1813</v>
      </c>
      <c r="B1606" s="113" t="s">
        <v>449</v>
      </c>
    </row>
    <row r="1607" spans="1:2">
      <c r="A1607" s="113" t="s">
        <v>1814</v>
      </c>
      <c r="B1607" s="113" t="s">
        <v>449</v>
      </c>
    </row>
    <row r="1608" spans="1:2">
      <c r="A1608" s="113" t="s">
        <v>1815</v>
      </c>
      <c r="B1608" s="113" t="s">
        <v>315</v>
      </c>
    </row>
    <row r="1609" spans="1:2">
      <c r="A1609" s="113" t="s">
        <v>1816</v>
      </c>
      <c r="B1609" s="113" t="s">
        <v>315</v>
      </c>
    </row>
    <row r="1610" spans="1:2">
      <c r="A1610" s="113" t="s">
        <v>1817</v>
      </c>
      <c r="B1610" s="113" t="s">
        <v>315</v>
      </c>
    </row>
    <row r="1611" spans="1:2">
      <c r="A1611" s="113" t="s">
        <v>1818</v>
      </c>
      <c r="B1611" s="113" t="s">
        <v>315</v>
      </c>
    </row>
    <row r="1612" spans="1:2">
      <c r="A1612" s="113" t="s">
        <v>1819</v>
      </c>
      <c r="B1612" s="113" t="s">
        <v>315</v>
      </c>
    </row>
    <row r="1613" spans="1:2">
      <c r="A1613" s="113" t="s">
        <v>1820</v>
      </c>
      <c r="B1613" s="113" t="s">
        <v>449</v>
      </c>
    </row>
    <row r="1614" spans="1:2">
      <c r="A1614" s="113" t="s">
        <v>1821</v>
      </c>
      <c r="B1614" s="113" t="s">
        <v>315</v>
      </c>
    </row>
    <row r="1615" spans="1:2">
      <c r="A1615" s="113" t="s">
        <v>1822</v>
      </c>
      <c r="B1615" s="113" t="s">
        <v>449</v>
      </c>
    </row>
    <row r="1616" spans="1:2">
      <c r="A1616" s="113" t="s">
        <v>1823</v>
      </c>
      <c r="B1616" s="113" t="s">
        <v>315</v>
      </c>
    </row>
    <row r="1617" spans="1:2">
      <c r="A1617" s="113" t="s">
        <v>1824</v>
      </c>
      <c r="B1617" s="113" t="s">
        <v>315</v>
      </c>
    </row>
    <row r="1618" spans="1:2">
      <c r="A1618" s="113" t="s">
        <v>1825</v>
      </c>
      <c r="B1618" s="113" t="s">
        <v>1771</v>
      </c>
    </row>
    <row r="1619" spans="1:2">
      <c r="A1619" s="113" t="s">
        <v>1826</v>
      </c>
      <c r="B1619" s="113" t="s">
        <v>315</v>
      </c>
    </row>
    <row r="1620" spans="1:2">
      <c r="A1620" s="113" t="s">
        <v>1827</v>
      </c>
      <c r="B1620" s="113" t="s">
        <v>315</v>
      </c>
    </row>
    <row r="1621" spans="1:2">
      <c r="A1621" s="113" t="s">
        <v>1828</v>
      </c>
      <c r="B1621" s="113" t="s">
        <v>1771</v>
      </c>
    </row>
    <row r="1622" spans="1:2">
      <c r="A1622" s="113" t="s">
        <v>1829</v>
      </c>
      <c r="B1622" s="113" t="s">
        <v>1771</v>
      </c>
    </row>
    <row r="1623" spans="1:2">
      <c r="A1623" s="113" t="s">
        <v>1830</v>
      </c>
      <c r="B1623" s="113" t="s">
        <v>1771</v>
      </c>
    </row>
    <row r="1624" spans="1:2">
      <c r="A1624" s="113" t="s">
        <v>1831</v>
      </c>
      <c r="B1624" s="113" t="s">
        <v>1771</v>
      </c>
    </row>
    <row r="1625" spans="1:2">
      <c r="A1625" s="113" t="s">
        <v>1832</v>
      </c>
      <c r="B1625" s="113" t="s">
        <v>1771</v>
      </c>
    </row>
    <row r="1626" spans="1:2">
      <c r="A1626" s="113" t="s">
        <v>1833</v>
      </c>
      <c r="B1626" s="113" t="s">
        <v>1771</v>
      </c>
    </row>
    <row r="1627" spans="1:2">
      <c r="A1627" s="113" t="s">
        <v>1834</v>
      </c>
      <c r="B1627" s="113" t="s">
        <v>1771</v>
      </c>
    </row>
    <row r="1628" spans="1:2">
      <c r="A1628" s="113" t="s">
        <v>1835</v>
      </c>
      <c r="B1628" s="113" t="s">
        <v>1771</v>
      </c>
    </row>
    <row r="1629" spans="1:2">
      <c r="A1629" s="113" t="s">
        <v>1836</v>
      </c>
      <c r="B1629" s="113" t="s">
        <v>1771</v>
      </c>
    </row>
    <row r="1630" spans="1:2">
      <c r="A1630" s="113" t="s">
        <v>1837</v>
      </c>
      <c r="B1630" s="113" t="s">
        <v>1771</v>
      </c>
    </row>
    <row r="1631" spans="1:2">
      <c r="A1631" s="113" t="s">
        <v>1838</v>
      </c>
      <c r="B1631" s="113" t="s">
        <v>1771</v>
      </c>
    </row>
    <row r="1632" spans="1:2">
      <c r="A1632" s="113" t="s">
        <v>1839</v>
      </c>
      <c r="B1632" s="113" t="s">
        <v>1771</v>
      </c>
    </row>
    <row r="1633" spans="1:2">
      <c r="A1633" s="113" t="s">
        <v>1840</v>
      </c>
      <c r="B1633" s="113" t="s">
        <v>1771</v>
      </c>
    </row>
    <row r="1634" spans="1:2">
      <c r="A1634" s="113" t="s">
        <v>1841</v>
      </c>
      <c r="B1634" s="113" t="s">
        <v>1771</v>
      </c>
    </row>
    <row r="1635" spans="1:2">
      <c r="A1635" s="113" t="s">
        <v>1842</v>
      </c>
      <c r="B1635" s="113" t="s">
        <v>1771</v>
      </c>
    </row>
    <row r="1636" spans="1:2">
      <c r="A1636" s="113" t="s">
        <v>1843</v>
      </c>
      <c r="B1636" s="113" t="s">
        <v>449</v>
      </c>
    </row>
    <row r="1637" spans="1:2">
      <c r="A1637" s="113" t="s">
        <v>1844</v>
      </c>
      <c r="B1637" s="113" t="s">
        <v>1692</v>
      </c>
    </row>
    <row r="1638" spans="1:2">
      <c r="A1638" s="113" t="s">
        <v>1845</v>
      </c>
      <c r="B1638" s="113" t="s">
        <v>449</v>
      </c>
    </row>
    <row r="1639" spans="1:2">
      <c r="A1639" s="113" t="s">
        <v>1846</v>
      </c>
      <c r="B1639" s="113" t="s">
        <v>449</v>
      </c>
    </row>
    <row r="1640" spans="1:2">
      <c r="A1640" s="113" t="s">
        <v>1847</v>
      </c>
      <c r="B1640" s="113" t="s">
        <v>449</v>
      </c>
    </row>
    <row r="1641" spans="1:2">
      <c r="A1641" s="113" t="s">
        <v>1848</v>
      </c>
      <c r="B1641" s="113" t="s">
        <v>1692</v>
      </c>
    </row>
    <row r="1642" spans="1:2">
      <c r="A1642" s="113" t="s">
        <v>1849</v>
      </c>
      <c r="B1642" s="113" t="s">
        <v>315</v>
      </c>
    </row>
    <row r="1643" spans="1:2">
      <c r="A1643" s="113" t="s">
        <v>1850</v>
      </c>
      <c r="B1643" s="113" t="s">
        <v>315</v>
      </c>
    </row>
    <row r="1644" spans="1:2">
      <c r="A1644" s="113" t="s">
        <v>1851</v>
      </c>
      <c r="B1644" s="113" t="s">
        <v>315</v>
      </c>
    </row>
    <row r="1645" spans="1:2">
      <c r="A1645" s="113" t="s">
        <v>1852</v>
      </c>
      <c r="B1645" s="113" t="s">
        <v>1692</v>
      </c>
    </row>
    <row r="1646" spans="1:2">
      <c r="A1646" s="113" t="s">
        <v>1853</v>
      </c>
      <c r="B1646" s="113" t="s">
        <v>1692</v>
      </c>
    </row>
    <row r="1647" spans="1:2">
      <c r="A1647" s="113" t="s">
        <v>1854</v>
      </c>
      <c r="B1647" s="113" t="s">
        <v>315</v>
      </c>
    </row>
    <row r="1648" spans="1:2">
      <c r="A1648" s="113" t="s">
        <v>1855</v>
      </c>
      <c r="B1648" s="113" t="s">
        <v>1692</v>
      </c>
    </row>
    <row r="1649" spans="1:2">
      <c r="A1649" s="113" t="s">
        <v>1856</v>
      </c>
      <c r="B1649" s="113" t="s">
        <v>1692</v>
      </c>
    </row>
    <row r="1650" spans="1:2">
      <c r="A1650" s="113" t="s">
        <v>1857</v>
      </c>
      <c r="B1650" s="113" t="s">
        <v>315</v>
      </c>
    </row>
    <row r="1651" spans="1:2">
      <c r="A1651" s="113" t="s">
        <v>1858</v>
      </c>
      <c r="B1651" s="113" t="s">
        <v>449</v>
      </c>
    </row>
    <row r="1652" spans="1:2">
      <c r="A1652" s="113" t="s">
        <v>1859</v>
      </c>
      <c r="B1652" s="113" t="s">
        <v>1771</v>
      </c>
    </row>
    <row r="1653" spans="1:2">
      <c r="A1653" s="113" t="s">
        <v>1860</v>
      </c>
      <c r="B1653" s="113" t="s">
        <v>315</v>
      </c>
    </row>
    <row r="1654" spans="1:2">
      <c r="A1654" s="113" t="s">
        <v>1861</v>
      </c>
      <c r="B1654" s="113" t="s">
        <v>1692</v>
      </c>
    </row>
    <row r="1655" spans="1:2">
      <c r="A1655" s="113" t="s">
        <v>1862</v>
      </c>
      <c r="B1655" s="113" t="s">
        <v>315</v>
      </c>
    </row>
    <row r="1656" spans="1:2">
      <c r="A1656" s="113" t="s">
        <v>1863</v>
      </c>
      <c r="B1656" s="113" t="s">
        <v>315</v>
      </c>
    </row>
    <row r="1657" spans="1:2">
      <c r="A1657" s="113" t="s">
        <v>1864</v>
      </c>
      <c r="B1657" s="113" t="s">
        <v>315</v>
      </c>
    </row>
    <row r="1658" spans="1:2">
      <c r="A1658" s="113" t="s">
        <v>1865</v>
      </c>
      <c r="B1658" s="113" t="s">
        <v>449</v>
      </c>
    </row>
    <row r="1659" spans="1:2">
      <c r="A1659" s="113" t="s">
        <v>1866</v>
      </c>
      <c r="B1659" s="113" t="s">
        <v>315</v>
      </c>
    </row>
    <row r="1660" spans="1:2">
      <c r="A1660" s="113" t="s">
        <v>1867</v>
      </c>
      <c r="B1660" s="113" t="s">
        <v>1692</v>
      </c>
    </row>
    <row r="1661" spans="1:2">
      <c r="A1661" s="113" t="s">
        <v>1868</v>
      </c>
      <c r="B1661" s="113" t="s">
        <v>1692</v>
      </c>
    </row>
    <row r="1662" spans="1:2">
      <c r="A1662" s="113" t="s">
        <v>1869</v>
      </c>
      <c r="B1662" s="113" t="s">
        <v>315</v>
      </c>
    </row>
    <row r="1663" spans="1:2">
      <c r="A1663" s="113" t="s">
        <v>1870</v>
      </c>
      <c r="B1663" s="113" t="s">
        <v>1692</v>
      </c>
    </row>
    <row r="1664" spans="1:2">
      <c r="A1664" s="113" t="s">
        <v>1871</v>
      </c>
      <c r="B1664" s="113" t="s">
        <v>1692</v>
      </c>
    </row>
    <row r="1665" spans="1:2">
      <c r="A1665" s="113" t="s">
        <v>1872</v>
      </c>
      <c r="B1665" s="113" t="s">
        <v>1692</v>
      </c>
    </row>
    <row r="1666" spans="1:2">
      <c r="A1666" s="113" t="s">
        <v>1873</v>
      </c>
      <c r="B1666" s="113" t="s">
        <v>1692</v>
      </c>
    </row>
    <row r="1667" spans="1:2">
      <c r="A1667" s="113" t="s">
        <v>1874</v>
      </c>
      <c r="B1667" s="113" t="s">
        <v>1692</v>
      </c>
    </row>
    <row r="1668" spans="1:2">
      <c r="A1668" s="113" t="s">
        <v>1875</v>
      </c>
      <c r="B1668" s="113" t="s">
        <v>1692</v>
      </c>
    </row>
    <row r="1669" spans="1:2">
      <c r="A1669" s="113" t="s">
        <v>1876</v>
      </c>
      <c r="B1669" s="113" t="s">
        <v>1771</v>
      </c>
    </row>
    <row r="1670" spans="1:2">
      <c r="A1670" s="113" t="s">
        <v>1877</v>
      </c>
      <c r="B1670" s="113" t="s">
        <v>1692</v>
      </c>
    </row>
    <row r="1671" spans="1:2">
      <c r="A1671" s="113" t="s">
        <v>1878</v>
      </c>
      <c r="B1671" s="113" t="s">
        <v>1692</v>
      </c>
    </row>
    <row r="1672" spans="1:2">
      <c r="A1672" s="113" t="s">
        <v>1879</v>
      </c>
      <c r="B1672" s="113" t="s">
        <v>1692</v>
      </c>
    </row>
    <row r="1673" spans="1:2">
      <c r="A1673" s="113" t="s">
        <v>1880</v>
      </c>
      <c r="B1673" s="113" t="s">
        <v>315</v>
      </c>
    </row>
    <row r="1674" spans="1:2">
      <c r="A1674" s="113" t="s">
        <v>1881</v>
      </c>
      <c r="B1674" s="113" t="s">
        <v>1692</v>
      </c>
    </row>
    <row r="1675" spans="1:2">
      <c r="A1675" s="113" t="s">
        <v>1882</v>
      </c>
      <c r="B1675" s="113" t="s">
        <v>1692</v>
      </c>
    </row>
    <row r="1676" spans="1:2">
      <c r="A1676" s="113" t="s">
        <v>1883</v>
      </c>
      <c r="B1676" s="113" t="s">
        <v>1692</v>
      </c>
    </row>
    <row r="1677" spans="1:2">
      <c r="A1677" s="113" t="s">
        <v>1884</v>
      </c>
      <c r="B1677" s="113" t="s">
        <v>1692</v>
      </c>
    </row>
    <row r="1678" spans="1:2">
      <c r="A1678" s="113" t="s">
        <v>1885</v>
      </c>
      <c r="B1678" s="113" t="s">
        <v>1692</v>
      </c>
    </row>
    <row r="1679" spans="1:2">
      <c r="A1679" s="113" t="s">
        <v>1886</v>
      </c>
      <c r="B1679" s="113" t="s">
        <v>1692</v>
      </c>
    </row>
    <row r="1680" spans="1:2">
      <c r="A1680" s="113" t="s">
        <v>1887</v>
      </c>
      <c r="B1680" s="113" t="s">
        <v>1692</v>
      </c>
    </row>
    <row r="1681" spans="1:2">
      <c r="A1681" s="113" t="s">
        <v>1888</v>
      </c>
      <c r="B1681" s="113" t="s">
        <v>1692</v>
      </c>
    </row>
    <row r="1682" spans="1:2">
      <c r="A1682" s="113" t="s">
        <v>1889</v>
      </c>
      <c r="B1682" s="113" t="s">
        <v>1692</v>
      </c>
    </row>
    <row r="1683" spans="1:2">
      <c r="A1683" s="113" t="s">
        <v>1890</v>
      </c>
      <c r="B1683" s="113" t="s">
        <v>1692</v>
      </c>
    </row>
    <row r="1684" spans="1:2">
      <c r="A1684" s="113" t="s">
        <v>1891</v>
      </c>
      <c r="B1684" s="113" t="s">
        <v>1692</v>
      </c>
    </row>
    <row r="1685" spans="1:2">
      <c r="A1685" s="113" t="s">
        <v>1892</v>
      </c>
      <c r="B1685" s="113" t="s">
        <v>1692</v>
      </c>
    </row>
    <row r="1686" spans="1:2">
      <c r="A1686" s="113" t="s">
        <v>1893</v>
      </c>
      <c r="B1686" s="113" t="s">
        <v>1692</v>
      </c>
    </row>
    <row r="1687" spans="1:2">
      <c r="A1687" s="113" t="s">
        <v>1894</v>
      </c>
      <c r="B1687" s="113" t="s">
        <v>1692</v>
      </c>
    </row>
    <row r="1688" spans="1:2">
      <c r="A1688" s="113" t="s">
        <v>1895</v>
      </c>
      <c r="B1688" s="113" t="s">
        <v>1692</v>
      </c>
    </row>
    <row r="1689" spans="1:2">
      <c r="A1689" s="113" t="s">
        <v>1896</v>
      </c>
      <c r="B1689" s="113" t="s">
        <v>1692</v>
      </c>
    </row>
    <row r="1690" spans="1:2">
      <c r="A1690" s="113" t="s">
        <v>1897</v>
      </c>
      <c r="B1690" s="113" t="s">
        <v>1692</v>
      </c>
    </row>
    <row r="1691" spans="1:2">
      <c r="A1691" s="113" t="s">
        <v>1898</v>
      </c>
      <c r="B1691" s="113" t="s">
        <v>1692</v>
      </c>
    </row>
    <row r="1692" spans="1:2">
      <c r="A1692" s="113" t="s">
        <v>1899</v>
      </c>
      <c r="B1692" s="113" t="s">
        <v>1692</v>
      </c>
    </row>
    <row r="1693" spans="1:2">
      <c r="A1693" s="113" t="s">
        <v>1900</v>
      </c>
      <c r="B1693" s="113" t="s">
        <v>1692</v>
      </c>
    </row>
    <row r="1694" spans="1:2">
      <c r="A1694" s="113" t="s">
        <v>1901</v>
      </c>
      <c r="B1694" s="113" t="s">
        <v>315</v>
      </c>
    </row>
    <row r="1695" spans="1:2">
      <c r="A1695" s="113" t="s">
        <v>1902</v>
      </c>
      <c r="B1695" s="113" t="s">
        <v>315</v>
      </c>
    </row>
    <row r="1696" spans="1:2">
      <c r="A1696" s="113" t="s">
        <v>1903</v>
      </c>
      <c r="B1696" s="113" t="s">
        <v>315</v>
      </c>
    </row>
    <row r="1697" spans="1:2">
      <c r="A1697" s="113" t="s">
        <v>1904</v>
      </c>
      <c r="B1697" s="113" t="s">
        <v>315</v>
      </c>
    </row>
    <row r="1698" spans="1:2">
      <c r="A1698" s="113" t="s">
        <v>1905</v>
      </c>
      <c r="B1698" s="113" t="s">
        <v>315</v>
      </c>
    </row>
    <row r="1699" spans="1:2">
      <c r="A1699" s="113" t="s">
        <v>1906</v>
      </c>
      <c r="B1699" s="113" t="s">
        <v>315</v>
      </c>
    </row>
    <row r="1700" spans="1:2">
      <c r="A1700" s="113" t="s">
        <v>1907</v>
      </c>
      <c r="B1700" s="113" t="s">
        <v>315</v>
      </c>
    </row>
    <row r="1701" spans="1:2">
      <c r="A1701" s="113" t="s">
        <v>1908</v>
      </c>
      <c r="B1701" s="113" t="s">
        <v>315</v>
      </c>
    </row>
    <row r="1702" spans="1:2">
      <c r="A1702" s="113" t="s">
        <v>1909</v>
      </c>
      <c r="B1702" s="113" t="s">
        <v>315</v>
      </c>
    </row>
    <row r="1703" spans="1:2">
      <c r="A1703" s="113" t="s">
        <v>1910</v>
      </c>
      <c r="B1703" s="113" t="s">
        <v>315</v>
      </c>
    </row>
    <row r="1704" spans="1:2">
      <c r="A1704" s="113" t="s">
        <v>1911</v>
      </c>
      <c r="B1704" s="113" t="s">
        <v>315</v>
      </c>
    </row>
    <row r="1705" spans="1:2">
      <c r="A1705" s="113" t="s">
        <v>1912</v>
      </c>
      <c r="B1705" s="113" t="s">
        <v>315</v>
      </c>
    </row>
    <row r="1706" spans="1:2">
      <c r="A1706" s="113" t="s">
        <v>1913</v>
      </c>
      <c r="B1706" s="113" t="s">
        <v>315</v>
      </c>
    </row>
    <row r="1707" spans="1:2">
      <c r="A1707" s="113" t="s">
        <v>1914</v>
      </c>
      <c r="B1707" s="113" t="s">
        <v>315</v>
      </c>
    </row>
    <row r="1708" spans="1:2">
      <c r="A1708" s="113" t="s">
        <v>1915</v>
      </c>
      <c r="B1708" s="113" t="s">
        <v>315</v>
      </c>
    </row>
    <row r="1709" spans="1:2">
      <c r="A1709" s="113" t="s">
        <v>1916</v>
      </c>
      <c r="B1709" s="113" t="s">
        <v>315</v>
      </c>
    </row>
    <row r="1710" spans="1:2">
      <c r="A1710" s="113" t="s">
        <v>1917</v>
      </c>
      <c r="B1710" s="113" t="s">
        <v>315</v>
      </c>
    </row>
    <row r="1711" spans="1:2">
      <c r="A1711" s="113" t="s">
        <v>1918</v>
      </c>
      <c r="B1711" s="113" t="s">
        <v>315</v>
      </c>
    </row>
    <row r="1712" spans="1:2">
      <c r="A1712" s="113" t="s">
        <v>1919</v>
      </c>
      <c r="B1712" s="113" t="s">
        <v>315</v>
      </c>
    </row>
    <row r="1713" spans="1:2">
      <c r="A1713" s="113" t="s">
        <v>1920</v>
      </c>
      <c r="B1713" s="113" t="s">
        <v>315</v>
      </c>
    </row>
    <row r="1714" spans="1:2">
      <c r="A1714" s="113" t="s">
        <v>1921</v>
      </c>
      <c r="B1714" s="113" t="s">
        <v>315</v>
      </c>
    </row>
    <row r="1715" spans="1:2">
      <c r="A1715" s="113" t="s">
        <v>1922</v>
      </c>
      <c r="B1715" s="113" t="s">
        <v>315</v>
      </c>
    </row>
    <row r="1716" spans="1:2">
      <c r="A1716" s="113" t="s">
        <v>1923</v>
      </c>
      <c r="B1716" s="113" t="s">
        <v>315</v>
      </c>
    </row>
    <row r="1717" spans="1:2">
      <c r="A1717" s="113" t="s">
        <v>1924</v>
      </c>
      <c r="B1717" s="113" t="s">
        <v>315</v>
      </c>
    </row>
    <row r="1718" spans="1:2">
      <c r="A1718" s="113" t="s">
        <v>1925</v>
      </c>
      <c r="B1718" s="113" t="s">
        <v>315</v>
      </c>
    </row>
    <row r="1719" spans="1:2">
      <c r="A1719" s="113" t="s">
        <v>1926</v>
      </c>
      <c r="B1719" s="113" t="s">
        <v>315</v>
      </c>
    </row>
    <row r="1720" spans="1:2">
      <c r="A1720" s="113" t="s">
        <v>1927</v>
      </c>
      <c r="B1720" s="113" t="s">
        <v>315</v>
      </c>
    </row>
    <row r="1721" spans="1:2">
      <c r="A1721" s="113" t="s">
        <v>1928</v>
      </c>
      <c r="B1721" s="113" t="s">
        <v>315</v>
      </c>
    </row>
    <row r="1722" spans="1:2">
      <c r="A1722" s="113" t="s">
        <v>1929</v>
      </c>
      <c r="B1722" s="113" t="s">
        <v>315</v>
      </c>
    </row>
    <row r="1723" spans="1:2">
      <c r="A1723" s="113" t="s">
        <v>1930</v>
      </c>
      <c r="B1723" s="113" t="s">
        <v>315</v>
      </c>
    </row>
    <row r="1724" spans="1:2">
      <c r="A1724" s="113" t="s">
        <v>1931</v>
      </c>
      <c r="B1724" s="113" t="s">
        <v>315</v>
      </c>
    </row>
    <row r="1725" spans="1:2">
      <c r="A1725" s="113" t="s">
        <v>1932</v>
      </c>
      <c r="B1725" s="113" t="s">
        <v>315</v>
      </c>
    </row>
    <row r="1726" spans="1:2">
      <c r="A1726" s="113" t="s">
        <v>1933</v>
      </c>
      <c r="B1726" s="113" t="s">
        <v>315</v>
      </c>
    </row>
    <row r="1727" spans="1:2">
      <c r="A1727" s="113" t="s">
        <v>1934</v>
      </c>
      <c r="B1727" s="113" t="s">
        <v>315</v>
      </c>
    </row>
    <row r="1728" spans="1:2">
      <c r="A1728" s="113" t="s">
        <v>1935</v>
      </c>
      <c r="B1728" s="113" t="s">
        <v>315</v>
      </c>
    </row>
    <row r="1729" spans="1:2">
      <c r="A1729" s="113" t="s">
        <v>1936</v>
      </c>
      <c r="B1729" s="113" t="s">
        <v>315</v>
      </c>
    </row>
    <row r="1730" spans="1:2">
      <c r="A1730" s="113" t="s">
        <v>1937</v>
      </c>
      <c r="B1730" s="113" t="s">
        <v>315</v>
      </c>
    </row>
    <row r="1731" spans="1:2">
      <c r="A1731" s="113" t="s">
        <v>1938</v>
      </c>
      <c r="B1731" s="113" t="s">
        <v>1633</v>
      </c>
    </row>
    <row r="1732" spans="1:2">
      <c r="A1732" s="113" t="s">
        <v>1939</v>
      </c>
      <c r="B1732" s="113" t="s">
        <v>1633</v>
      </c>
    </row>
    <row r="1733" spans="1:2">
      <c r="A1733" s="113" t="s">
        <v>1940</v>
      </c>
      <c r="B1733" s="113" t="s">
        <v>1633</v>
      </c>
    </row>
    <row r="1734" spans="1:2">
      <c r="A1734" s="113" t="s">
        <v>1941</v>
      </c>
      <c r="B1734" s="113" t="s">
        <v>1633</v>
      </c>
    </row>
    <row r="1735" spans="1:2">
      <c r="A1735" s="113" t="s">
        <v>1942</v>
      </c>
      <c r="B1735" s="113" t="s">
        <v>1633</v>
      </c>
    </row>
    <row r="1736" spans="1:2">
      <c r="A1736" s="113" t="s">
        <v>1943</v>
      </c>
      <c r="B1736" s="113" t="s">
        <v>1633</v>
      </c>
    </row>
    <row r="1737" spans="1:2">
      <c r="A1737" s="113" t="s">
        <v>1944</v>
      </c>
      <c r="B1737" s="113" t="s">
        <v>1633</v>
      </c>
    </row>
    <row r="1738" spans="1:2">
      <c r="A1738" s="113" t="s">
        <v>1945</v>
      </c>
      <c r="B1738" s="113" t="s">
        <v>1636</v>
      </c>
    </row>
    <row r="1739" spans="1:2">
      <c r="A1739" s="113" t="s">
        <v>1946</v>
      </c>
      <c r="B1739" s="113" t="s">
        <v>1633</v>
      </c>
    </row>
    <row r="1740" spans="1:2">
      <c r="A1740" s="113" t="s">
        <v>1947</v>
      </c>
      <c r="B1740" s="113" t="s">
        <v>1633</v>
      </c>
    </row>
    <row r="1741" spans="1:2">
      <c r="A1741" s="113" t="s">
        <v>1948</v>
      </c>
      <c r="B1741" s="113" t="s">
        <v>1636</v>
      </c>
    </row>
    <row r="1742" spans="1:2">
      <c r="A1742" s="113" t="s">
        <v>1949</v>
      </c>
      <c r="B1742" s="113" t="s">
        <v>1633</v>
      </c>
    </row>
    <row r="1743" spans="1:2">
      <c r="A1743" s="113" t="s">
        <v>1950</v>
      </c>
      <c r="B1743" s="113" t="s">
        <v>1633</v>
      </c>
    </row>
    <row r="1744" spans="1:2">
      <c r="A1744" s="113" t="s">
        <v>1951</v>
      </c>
      <c r="B1744" s="113" t="s">
        <v>1633</v>
      </c>
    </row>
    <row r="1745" spans="1:2">
      <c r="A1745" s="113" t="s">
        <v>1952</v>
      </c>
      <c r="B1745" s="113" t="s">
        <v>1633</v>
      </c>
    </row>
    <row r="1746" spans="1:2">
      <c r="A1746" s="113" t="s">
        <v>1953</v>
      </c>
      <c r="B1746" s="113" t="s">
        <v>1636</v>
      </c>
    </row>
    <row r="1747" spans="1:2">
      <c r="A1747" s="113" t="s">
        <v>1954</v>
      </c>
      <c r="B1747" s="113" t="s">
        <v>1633</v>
      </c>
    </row>
    <row r="1748" spans="1:2">
      <c r="A1748" s="113" t="s">
        <v>1955</v>
      </c>
      <c r="B1748" s="113" t="s">
        <v>1633</v>
      </c>
    </row>
    <row r="1749" spans="1:2">
      <c r="A1749" s="113" t="s">
        <v>1956</v>
      </c>
      <c r="B1749" s="113" t="s">
        <v>1633</v>
      </c>
    </row>
    <row r="1750" spans="1:2">
      <c r="A1750" s="113" t="s">
        <v>1957</v>
      </c>
      <c r="B1750" s="113" t="s">
        <v>1633</v>
      </c>
    </row>
    <row r="1751" spans="1:2">
      <c r="A1751" s="113" t="s">
        <v>1958</v>
      </c>
      <c r="B1751" s="113" t="s">
        <v>1633</v>
      </c>
    </row>
    <row r="1752" spans="1:2">
      <c r="A1752" s="113" t="s">
        <v>1959</v>
      </c>
      <c r="B1752" s="113" t="s">
        <v>1633</v>
      </c>
    </row>
    <row r="1753" spans="1:2">
      <c r="A1753" s="113" t="s">
        <v>1960</v>
      </c>
      <c r="B1753" s="113" t="s">
        <v>1633</v>
      </c>
    </row>
    <row r="1754" spans="1:2">
      <c r="A1754" s="113" t="s">
        <v>1961</v>
      </c>
      <c r="B1754" s="113" t="s">
        <v>1633</v>
      </c>
    </row>
    <row r="1755" spans="1:2">
      <c r="A1755" s="113" t="s">
        <v>1962</v>
      </c>
      <c r="B1755" s="113" t="s">
        <v>1633</v>
      </c>
    </row>
    <row r="1756" spans="1:2">
      <c r="A1756" s="113" t="s">
        <v>1963</v>
      </c>
      <c r="B1756" s="113" t="s">
        <v>1633</v>
      </c>
    </row>
    <row r="1757" spans="1:2">
      <c r="A1757" s="113" t="s">
        <v>1964</v>
      </c>
      <c r="B1757" s="113" t="s">
        <v>1633</v>
      </c>
    </row>
    <row r="1758" spans="1:2">
      <c r="A1758" s="113" t="s">
        <v>1965</v>
      </c>
      <c r="B1758" s="113" t="s">
        <v>1636</v>
      </c>
    </row>
    <row r="1759" spans="1:2">
      <c r="A1759" s="113" t="s">
        <v>1966</v>
      </c>
      <c r="B1759" s="113" t="s">
        <v>1633</v>
      </c>
    </row>
    <row r="1760" spans="1:2">
      <c r="A1760" s="113" t="s">
        <v>1967</v>
      </c>
      <c r="B1760" s="113" t="s">
        <v>1633</v>
      </c>
    </row>
    <row r="1761" spans="1:2">
      <c r="A1761" s="113" t="s">
        <v>1968</v>
      </c>
      <c r="B1761" s="113" t="s">
        <v>1633</v>
      </c>
    </row>
    <row r="1762" spans="1:2">
      <c r="A1762" s="113" t="s">
        <v>1969</v>
      </c>
      <c r="B1762" s="113" t="s">
        <v>1633</v>
      </c>
    </row>
    <row r="1763" spans="1:2">
      <c r="A1763" s="113" t="s">
        <v>1970</v>
      </c>
      <c r="B1763" s="113" t="s">
        <v>1633</v>
      </c>
    </row>
    <row r="1764" spans="1:2">
      <c r="A1764" s="113" t="s">
        <v>1971</v>
      </c>
      <c r="B1764" s="113" t="s">
        <v>1633</v>
      </c>
    </row>
    <row r="1765" spans="1:2">
      <c r="A1765" s="113" t="s">
        <v>1972</v>
      </c>
      <c r="B1765" s="113" t="s">
        <v>1633</v>
      </c>
    </row>
    <row r="1766" spans="1:2">
      <c r="A1766" s="113" t="s">
        <v>1973</v>
      </c>
      <c r="B1766" s="113" t="s">
        <v>1633</v>
      </c>
    </row>
    <row r="1767" spans="1:2">
      <c r="A1767" s="113" t="s">
        <v>1974</v>
      </c>
      <c r="B1767" s="113" t="s">
        <v>1633</v>
      </c>
    </row>
    <row r="1768" spans="1:2">
      <c r="A1768" s="113" t="s">
        <v>1975</v>
      </c>
      <c r="B1768" s="113" t="s">
        <v>1633</v>
      </c>
    </row>
    <row r="1769" spans="1:2">
      <c r="A1769" s="113" t="s">
        <v>1976</v>
      </c>
      <c r="B1769" s="113" t="s">
        <v>1633</v>
      </c>
    </row>
    <row r="1770" spans="1:2">
      <c r="A1770" s="113" t="s">
        <v>1977</v>
      </c>
      <c r="B1770" s="113" t="s">
        <v>1633</v>
      </c>
    </row>
    <row r="1771" spans="1:2">
      <c r="A1771" s="113" t="s">
        <v>1978</v>
      </c>
      <c r="B1771" s="113" t="s">
        <v>1633</v>
      </c>
    </row>
    <row r="1772" spans="1:2">
      <c r="A1772" s="113" t="s">
        <v>1979</v>
      </c>
      <c r="B1772" s="113" t="s">
        <v>1633</v>
      </c>
    </row>
    <row r="1773" spans="1:2">
      <c r="A1773" s="113" t="s">
        <v>1980</v>
      </c>
      <c r="B1773" s="113" t="s">
        <v>1636</v>
      </c>
    </row>
    <row r="1774" spans="1:2">
      <c r="A1774" s="113" t="s">
        <v>1981</v>
      </c>
      <c r="B1774" s="113" t="s">
        <v>1636</v>
      </c>
    </row>
    <row r="1775" spans="1:2">
      <c r="A1775" s="113" t="s">
        <v>1982</v>
      </c>
      <c r="B1775" s="113" t="s">
        <v>1633</v>
      </c>
    </row>
    <row r="1776" spans="1:2">
      <c r="A1776" s="113" t="s">
        <v>1983</v>
      </c>
      <c r="B1776" s="113" t="s">
        <v>1633</v>
      </c>
    </row>
    <row r="1777" spans="1:2">
      <c r="A1777" s="113" t="s">
        <v>1984</v>
      </c>
      <c r="B1777" s="113" t="s">
        <v>1633</v>
      </c>
    </row>
    <row r="1778" spans="1:2">
      <c r="A1778" s="113" t="s">
        <v>1985</v>
      </c>
      <c r="B1778" s="113" t="s">
        <v>1636</v>
      </c>
    </row>
    <row r="1779" spans="1:2">
      <c r="A1779" s="113" t="s">
        <v>1986</v>
      </c>
      <c r="B1779" s="113" t="s">
        <v>1633</v>
      </c>
    </row>
    <row r="1780" spans="1:2">
      <c r="A1780" s="113" t="s">
        <v>1987</v>
      </c>
      <c r="B1780" s="113" t="s">
        <v>1633</v>
      </c>
    </row>
    <row r="1781" spans="1:2">
      <c r="A1781" s="113" t="s">
        <v>1988</v>
      </c>
      <c r="B1781" s="113" t="s">
        <v>1636</v>
      </c>
    </row>
    <row r="1782" spans="1:2">
      <c r="A1782" s="113" t="s">
        <v>1989</v>
      </c>
      <c r="B1782" s="113" t="s">
        <v>1633</v>
      </c>
    </row>
    <row r="1783" spans="1:2">
      <c r="A1783" s="113" t="s">
        <v>1990</v>
      </c>
      <c r="B1783" s="113" t="s">
        <v>1636</v>
      </c>
    </row>
    <row r="1784" spans="1:2">
      <c r="A1784" s="113" t="s">
        <v>1991</v>
      </c>
      <c r="B1784" s="113" t="s">
        <v>1633</v>
      </c>
    </row>
    <row r="1785" spans="1:2">
      <c r="A1785" s="113" t="s">
        <v>1992</v>
      </c>
      <c r="B1785" s="113" t="s">
        <v>1633</v>
      </c>
    </row>
    <row r="1786" spans="1:2">
      <c r="A1786" s="113" t="s">
        <v>1993</v>
      </c>
      <c r="B1786" s="113" t="s">
        <v>1633</v>
      </c>
    </row>
    <row r="1787" spans="1:2">
      <c r="A1787" s="113" t="s">
        <v>1994</v>
      </c>
      <c r="B1787" s="113" t="s">
        <v>1633</v>
      </c>
    </row>
    <row r="1788" spans="1:2">
      <c r="A1788" s="113" t="s">
        <v>1995</v>
      </c>
      <c r="B1788" s="113" t="s">
        <v>1636</v>
      </c>
    </row>
    <row r="1789" spans="1:2">
      <c r="A1789" s="113" t="s">
        <v>1996</v>
      </c>
      <c r="B1789" s="113" t="s">
        <v>1633</v>
      </c>
    </row>
    <row r="1790" spans="1:2">
      <c r="A1790" s="113" t="s">
        <v>1997</v>
      </c>
      <c r="B1790" s="113" t="s">
        <v>1633</v>
      </c>
    </row>
    <row r="1791" spans="1:2">
      <c r="A1791" s="113" t="s">
        <v>1998</v>
      </c>
      <c r="B1791" s="113" t="s">
        <v>1633</v>
      </c>
    </row>
    <row r="1792" spans="1:2">
      <c r="A1792" s="113" t="s">
        <v>1999</v>
      </c>
      <c r="B1792" s="113" t="s">
        <v>1636</v>
      </c>
    </row>
    <row r="1793" spans="1:2">
      <c r="A1793" s="113" t="s">
        <v>2000</v>
      </c>
      <c r="B1793" s="113" t="s">
        <v>1636</v>
      </c>
    </row>
    <row r="1794" spans="1:2">
      <c r="A1794" s="113" t="s">
        <v>2001</v>
      </c>
      <c r="B1794" s="113" t="s">
        <v>2002</v>
      </c>
    </row>
    <row r="1795" spans="1:2">
      <c r="A1795" s="113" t="s">
        <v>2003</v>
      </c>
      <c r="B1795" s="113" t="s">
        <v>1636</v>
      </c>
    </row>
    <row r="1796" spans="1:2">
      <c r="A1796" s="113" t="s">
        <v>2004</v>
      </c>
      <c r="B1796" s="113" t="s">
        <v>1636</v>
      </c>
    </row>
    <row r="1797" spans="1:2">
      <c r="A1797" s="113" t="s">
        <v>2005</v>
      </c>
      <c r="B1797" s="113" t="s">
        <v>1633</v>
      </c>
    </row>
    <row r="1798" spans="1:2">
      <c r="A1798" s="113" t="s">
        <v>2006</v>
      </c>
      <c r="B1798" s="113" t="s">
        <v>2002</v>
      </c>
    </row>
    <row r="1799" spans="1:2">
      <c r="A1799" s="113" t="s">
        <v>2007</v>
      </c>
      <c r="B1799" s="113" t="s">
        <v>1636</v>
      </c>
    </row>
    <row r="1800" spans="1:2">
      <c r="A1800" s="113" t="s">
        <v>2008</v>
      </c>
      <c r="B1800" s="113" t="s">
        <v>2002</v>
      </c>
    </row>
    <row r="1801" spans="1:2">
      <c r="A1801" s="113" t="s">
        <v>2009</v>
      </c>
      <c r="B1801" s="113" t="s">
        <v>1636</v>
      </c>
    </row>
    <row r="1802" spans="1:2">
      <c r="A1802" s="113" t="s">
        <v>2010</v>
      </c>
      <c r="B1802" s="113" t="s">
        <v>2002</v>
      </c>
    </row>
    <row r="1803" spans="1:2">
      <c r="A1803" s="113" t="s">
        <v>2011</v>
      </c>
      <c r="B1803" s="113" t="s">
        <v>2002</v>
      </c>
    </row>
    <row r="1804" spans="1:2">
      <c r="A1804" s="113" t="s">
        <v>2012</v>
      </c>
      <c r="B1804" s="113" t="s">
        <v>2002</v>
      </c>
    </row>
    <row r="1805" spans="1:2">
      <c r="A1805" s="113" t="s">
        <v>2013</v>
      </c>
      <c r="B1805" s="113" t="s">
        <v>2002</v>
      </c>
    </row>
    <row r="1806" spans="1:2">
      <c r="A1806" s="113" t="s">
        <v>2014</v>
      </c>
      <c r="B1806" s="113" t="s">
        <v>2002</v>
      </c>
    </row>
    <row r="1807" spans="1:2">
      <c r="A1807" s="113" t="s">
        <v>2015</v>
      </c>
      <c r="B1807" s="113" t="s">
        <v>2002</v>
      </c>
    </row>
    <row r="1808" spans="1:2">
      <c r="A1808" s="113" t="s">
        <v>2016</v>
      </c>
      <c r="B1808" s="113" t="s">
        <v>2017</v>
      </c>
    </row>
    <row r="1809" spans="1:2">
      <c r="A1809" s="113" t="s">
        <v>2018</v>
      </c>
      <c r="B1809" s="113" t="s">
        <v>1633</v>
      </c>
    </row>
    <row r="1810" spans="1:2">
      <c r="A1810" s="113" t="s">
        <v>2019</v>
      </c>
      <c r="B1810" s="113" t="s">
        <v>1633</v>
      </c>
    </row>
    <row r="1811" spans="1:2">
      <c r="A1811" s="113" t="s">
        <v>2020</v>
      </c>
      <c r="B1811" s="113" t="s">
        <v>2002</v>
      </c>
    </row>
    <row r="1812" spans="1:2">
      <c r="A1812" s="113" t="s">
        <v>2021</v>
      </c>
      <c r="B1812" s="113" t="s">
        <v>2002</v>
      </c>
    </row>
    <row r="1813" spans="1:2">
      <c r="A1813" s="113" t="s">
        <v>2022</v>
      </c>
      <c r="B1813" s="113" t="s">
        <v>1636</v>
      </c>
    </row>
    <row r="1814" spans="1:2">
      <c r="A1814" s="113" t="s">
        <v>2023</v>
      </c>
      <c r="B1814" s="113" t="s">
        <v>2002</v>
      </c>
    </row>
    <row r="1815" spans="1:2">
      <c r="A1815" s="113" t="s">
        <v>2024</v>
      </c>
      <c r="B1815" s="113" t="s">
        <v>1636</v>
      </c>
    </row>
    <row r="1816" spans="1:2">
      <c r="A1816" s="113" t="s">
        <v>2025</v>
      </c>
      <c r="B1816" s="113" t="s">
        <v>2002</v>
      </c>
    </row>
    <row r="1817" spans="1:2">
      <c r="A1817" s="113" t="s">
        <v>2026</v>
      </c>
      <c r="B1817" s="113" t="s">
        <v>2002</v>
      </c>
    </row>
    <row r="1818" spans="1:2">
      <c r="A1818" s="113" t="s">
        <v>2027</v>
      </c>
      <c r="B1818" s="113" t="s">
        <v>1633</v>
      </c>
    </row>
    <row r="1819" spans="1:2">
      <c r="A1819" s="113" t="s">
        <v>2028</v>
      </c>
      <c r="B1819" s="113" t="s">
        <v>1636</v>
      </c>
    </row>
    <row r="1820" spans="1:2">
      <c r="A1820" s="113" t="s">
        <v>2029</v>
      </c>
      <c r="B1820" s="113" t="s">
        <v>2002</v>
      </c>
    </row>
    <row r="1821" spans="1:2">
      <c r="A1821" s="113" t="s">
        <v>2030</v>
      </c>
      <c r="B1821" s="113" t="s">
        <v>2002</v>
      </c>
    </row>
    <row r="1822" spans="1:2">
      <c r="A1822" s="113" t="s">
        <v>2031</v>
      </c>
      <c r="B1822" s="113" t="s">
        <v>1636</v>
      </c>
    </row>
    <row r="1823" spans="1:2">
      <c r="A1823" s="113" t="s">
        <v>2032</v>
      </c>
      <c r="B1823" s="113" t="s">
        <v>1636</v>
      </c>
    </row>
    <row r="1824" spans="1:2">
      <c r="A1824" s="113" t="s">
        <v>2033</v>
      </c>
      <c r="B1824" s="113" t="s">
        <v>2002</v>
      </c>
    </row>
    <row r="1825" spans="1:2">
      <c r="A1825" s="113" t="s">
        <v>2034</v>
      </c>
      <c r="B1825" s="113" t="s">
        <v>2002</v>
      </c>
    </row>
    <row r="1826" spans="1:2">
      <c r="A1826" s="113" t="s">
        <v>2035</v>
      </c>
      <c r="B1826" s="113" t="s">
        <v>1636</v>
      </c>
    </row>
    <row r="1827" spans="1:2">
      <c r="A1827" s="113" t="s">
        <v>2036</v>
      </c>
      <c r="B1827" s="113" t="s">
        <v>2002</v>
      </c>
    </row>
    <row r="1828" spans="1:2">
      <c r="A1828" s="113" t="s">
        <v>2037</v>
      </c>
      <c r="B1828" s="113" t="s">
        <v>1636</v>
      </c>
    </row>
    <row r="1829" spans="1:2">
      <c r="A1829" s="113" t="s">
        <v>2038</v>
      </c>
      <c r="B1829" s="113" t="s">
        <v>2002</v>
      </c>
    </row>
    <row r="1830" spans="1:2">
      <c r="A1830" s="113" t="s">
        <v>2039</v>
      </c>
      <c r="B1830" s="113" t="s">
        <v>2002</v>
      </c>
    </row>
    <row r="1831" spans="1:2">
      <c r="A1831" s="113" t="s">
        <v>2040</v>
      </c>
      <c r="B1831" s="113" t="s">
        <v>1636</v>
      </c>
    </row>
    <row r="1832" spans="1:2">
      <c r="A1832" s="113" t="s">
        <v>2041</v>
      </c>
      <c r="B1832" s="113" t="s">
        <v>1636</v>
      </c>
    </row>
    <row r="1833" spans="1:2">
      <c r="A1833" s="113" t="s">
        <v>2042</v>
      </c>
      <c r="B1833" s="113" t="s">
        <v>1633</v>
      </c>
    </row>
    <row r="1834" spans="1:2">
      <c r="A1834" s="113" t="s">
        <v>2043</v>
      </c>
      <c r="B1834" s="113" t="s">
        <v>1633</v>
      </c>
    </row>
    <row r="1835" spans="1:2">
      <c r="A1835" s="113" t="s">
        <v>2044</v>
      </c>
      <c r="B1835" s="113" t="s">
        <v>1633</v>
      </c>
    </row>
    <row r="1836" spans="1:2">
      <c r="A1836" s="113" t="s">
        <v>2045</v>
      </c>
      <c r="B1836" s="113" t="s">
        <v>2002</v>
      </c>
    </row>
    <row r="1837" spans="1:2">
      <c r="A1837" s="113" t="s">
        <v>2046</v>
      </c>
      <c r="B1837" s="113" t="s">
        <v>2002</v>
      </c>
    </row>
    <row r="1838" spans="1:2">
      <c r="A1838" s="113" t="s">
        <v>2047</v>
      </c>
      <c r="B1838" s="113" t="s">
        <v>1633</v>
      </c>
    </row>
    <row r="1839" spans="1:2">
      <c r="A1839" s="113" t="s">
        <v>2048</v>
      </c>
      <c r="B1839" s="113" t="s">
        <v>1633</v>
      </c>
    </row>
    <row r="1840" spans="1:2">
      <c r="A1840" s="113" t="s">
        <v>2049</v>
      </c>
      <c r="B1840" s="113" t="s">
        <v>1633</v>
      </c>
    </row>
    <row r="1841" spans="1:2">
      <c r="A1841" s="113" t="s">
        <v>2050</v>
      </c>
      <c r="B1841" s="113" t="s">
        <v>1633</v>
      </c>
    </row>
    <row r="1842" spans="1:2">
      <c r="A1842" s="113" t="s">
        <v>2051</v>
      </c>
      <c r="B1842" s="113" t="s">
        <v>1633</v>
      </c>
    </row>
    <row r="1843" spans="1:2">
      <c r="A1843" s="113" t="s">
        <v>2052</v>
      </c>
      <c r="B1843" s="113" t="s">
        <v>1633</v>
      </c>
    </row>
    <row r="1844" spans="1:2">
      <c r="A1844" s="113" t="s">
        <v>2053</v>
      </c>
      <c r="B1844" s="113" t="s">
        <v>2002</v>
      </c>
    </row>
    <row r="1845" spans="1:2">
      <c r="A1845" s="113" t="s">
        <v>2054</v>
      </c>
      <c r="B1845" s="113" t="s">
        <v>2002</v>
      </c>
    </row>
    <row r="1846" spans="1:2">
      <c r="A1846" s="113" t="s">
        <v>2055</v>
      </c>
      <c r="B1846" s="113" t="s">
        <v>2002</v>
      </c>
    </row>
    <row r="1847" spans="1:2">
      <c r="A1847" s="113" t="s">
        <v>2056</v>
      </c>
      <c r="B1847" s="113" t="s">
        <v>2002</v>
      </c>
    </row>
    <row r="1848" spans="1:2">
      <c r="A1848" s="113" t="s">
        <v>2057</v>
      </c>
      <c r="B1848" s="113" t="s">
        <v>2002</v>
      </c>
    </row>
    <row r="1849" spans="1:2">
      <c r="A1849" s="113" t="s">
        <v>2058</v>
      </c>
      <c r="B1849" s="113" t="s">
        <v>1636</v>
      </c>
    </row>
    <row r="1850" spans="1:2">
      <c r="A1850" s="113" t="s">
        <v>2059</v>
      </c>
      <c r="B1850" s="113" t="s">
        <v>1633</v>
      </c>
    </row>
    <row r="1851" spans="1:2">
      <c r="A1851" s="113" t="s">
        <v>2060</v>
      </c>
      <c r="B1851" s="113" t="s">
        <v>2002</v>
      </c>
    </row>
    <row r="1852" spans="1:2">
      <c r="A1852" s="113" t="s">
        <v>2061</v>
      </c>
      <c r="B1852" s="113" t="s">
        <v>1636</v>
      </c>
    </row>
    <row r="1853" spans="1:2">
      <c r="A1853" s="113" t="s">
        <v>2062</v>
      </c>
      <c r="B1853" s="113" t="s">
        <v>2002</v>
      </c>
    </row>
    <row r="1854" spans="1:2">
      <c r="A1854" s="113" t="s">
        <v>2063</v>
      </c>
      <c r="B1854" s="113" t="s">
        <v>2002</v>
      </c>
    </row>
    <row r="1855" spans="1:2">
      <c r="A1855" s="113" t="s">
        <v>2064</v>
      </c>
      <c r="B1855" s="113" t="s">
        <v>1636</v>
      </c>
    </row>
    <row r="1856" spans="1:2">
      <c r="A1856" s="113" t="s">
        <v>2065</v>
      </c>
      <c r="B1856" s="113" t="s">
        <v>2002</v>
      </c>
    </row>
    <row r="1857" spans="1:2">
      <c r="A1857" s="113" t="s">
        <v>2066</v>
      </c>
      <c r="B1857" s="113" t="s">
        <v>2002</v>
      </c>
    </row>
    <row r="1858" spans="1:2">
      <c r="A1858" s="113" t="s">
        <v>2067</v>
      </c>
      <c r="B1858" s="113" t="s">
        <v>2002</v>
      </c>
    </row>
    <row r="1859" spans="1:2">
      <c r="A1859" s="113" t="s">
        <v>2068</v>
      </c>
      <c r="B1859" s="113" t="s">
        <v>2069</v>
      </c>
    </row>
    <row r="1860" spans="1:2">
      <c r="A1860" s="113" t="s">
        <v>2070</v>
      </c>
      <c r="B1860" s="113" t="s">
        <v>2002</v>
      </c>
    </row>
    <row r="1861" spans="1:2">
      <c r="A1861" s="113" t="s">
        <v>2071</v>
      </c>
      <c r="B1861" s="113" t="s">
        <v>2002</v>
      </c>
    </row>
    <row r="1862" spans="1:2">
      <c r="A1862" s="113" t="s">
        <v>2072</v>
      </c>
      <c r="B1862" s="113" t="s">
        <v>2002</v>
      </c>
    </row>
    <row r="1863" spans="1:2">
      <c r="A1863" s="113" t="s">
        <v>2073</v>
      </c>
      <c r="B1863" s="113" t="s">
        <v>2002</v>
      </c>
    </row>
    <row r="1864" spans="1:2">
      <c r="A1864" s="113" t="s">
        <v>2074</v>
      </c>
      <c r="B1864" s="113" t="s">
        <v>2002</v>
      </c>
    </row>
    <row r="1865" spans="1:2">
      <c r="A1865" s="113" t="s">
        <v>2075</v>
      </c>
      <c r="B1865" s="113" t="s">
        <v>2069</v>
      </c>
    </row>
    <row r="1866" spans="1:2">
      <c r="A1866" s="113" t="s">
        <v>2076</v>
      </c>
      <c r="B1866" s="113" t="s">
        <v>2069</v>
      </c>
    </row>
    <row r="1867" spans="1:2">
      <c r="A1867" s="113" t="s">
        <v>2077</v>
      </c>
      <c r="B1867" s="113" t="s">
        <v>2069</v>
      </c>
    </row>
    <row r="1868" spans="1:2">
      <c r="A1868" s="113" t="s">
        <v>2078</v>
      </c>
      <c r="B1868" s="113" t="s">
        <v>1636</v>
      </c>
    </row>
    <row r="1869" spans="1:2">
      <c r="A1869" s="113" t="s">
        <v>2079</v>
      </c>
      <c r="B1869" s="113" t="s">
        <v>2002</v>
      </c>
    </row>
    <row r="1870" spans="1:2">
      <c r="A1870" s="113" t="s">
        <v>2080</v>
      </c>
      <c r="B1870" s="113" t="s">
        <v>2017</v>
      </c>
    </row>
    <row r="1871" spans="1:2">
      <c r="A1871" s="113" t="s">
        <v>2081</v>
      </c>
      <c r="B1871" s="113" t="s">
        <v>2017</v>
      </c>
    </row>
    <row r="1872" spans="1:2">
      <c r="A1872" s="113" t="s">
        <v>2082</v>
      </c>
      <c r="B1872" s="113" t="s">
        <v>2002</v>
      </c>
    </row>
    <row r="1873" spans="1:2">
      <c r="A1873" s="113" t="s">
        <v>2083</v>
      </c>
      <c r="B1873" s="113" t="s">
        <v>1636</v>
      </c>
    </row>
    <row r="1874" spans="1:2">
      <c r="A1874" s="113" t="s">
        <v>2084</v>
      </c>
      <c r="B1874" s="113" t="s">
        <v>1636</v>
      </c>
    </row>
    <row r="1875" spans="1:2">
      <c r="A1875" s="113" t="s">
        <v>2085</v>
      </c>
      <c r="B1875" s="113" t="s">
        <v>2002</v>
      </c>
    </row>
    <row r="1876" spans="1:2">
      <c r="A1876" s="113" t="s">
        <v>2086</v>
      </c>
      <c r="B1876" s="113" t="s">
        <v>2017</v>
      </c>
    </row>
    <row r="1877" spans="1:2">
      <c r="A1877" s="113" t="s">
        <v>2087</v>
      </c>
      <c r="B1877" s="113" t="s">
        <v>2017</v>
      </c>
    </row>
    <row r="1878" spans="1:2">
      <c r="A1878" s="113" t="s">
        <v>2088</v>
      </c>
      <c r="B1878" s="113" t="s">
        <v>2017</v>
      </c>
    </row>
    <row r="1879" spans="1:2">
      <c r="A1879" s="113" t="s">
        <v>2089</v>
      </c>
      <c r="B1879" s="113" t="s">
        <v>2017</v>
      </c>
    </row>
    <row r="1880" spans="1:2">
      <c r="A1880" s="113" t="s">
        <v>2090</v>
      </c>
      <c r="B1880" s="113" t="s">
        <v>2017</v>
      </c>
    </row>
    <row r="1881" spans="1:2">
      <c r="A1881" s="113" t="s">
        <v>2091</v>
      </c>
      <c r="B1881" s="113" t="s">
        <v>2017</v>
      </c>
    </row>
    <row r="1882" spans="1:2">
      <c r="A1882" s="113" t="s">
        <v>2092</v>
      </c>
      <c r="B1882" s="113" t="s">
        <v>2017</v>
      </c>
    </row>
    <row r="1883" spans="1:2">
      <c r="A1883" s="113" t="s">
        <v>2093</v>
      </c>
      <c r="B1883" s="113" t="s">
        <v>2017</v>
      </c>
    </row>
    <row r="1884" spans="1:2">
      <c r="A1884" s="113" t="s">
        <v>2094</v>
      </c>
      <c r="B1884" s="113" t="s">
        <v>2017</v>
      </c>
    </row>
    <row r="1885" spans="1:2">
      <c r="A1885" s="113" t="s">
        <v>2095</v>
      </c>
      <c r="B1885" s="113" t="s">
        <v>2017</v>
      </c>
    </row>
    <row r="1886" spans="1:2">
      <c r="A1886" s="113" t="s">
        <v>2096</v>
      </c>
      <c r="B1886" s="113" t="s">
        <v>2017</v>
      </c>
    </row>
    <row r="1887" spans="1:2">
      <c r="A1887" s="113" t="s">
        <v>2097</v>
      </c>
      <c r="B1887" s="113" t="s">
        <v>2017</v>
      </c>
    </row>
    <row r="1888" spans="1:2">
      <c r="A1888" s="113" t="s">
        <v>2098</v>
      </c>
      <c r="B1888" s="113" t="s">
        <v>2002</v>
      </c>
    </row>
    <row r="1889" spans="1:2">
      <c r="A1889" s="113" t="s">
        <v>2099</v>
      </c>
      <c r="B1889" s="113" t="s">
        <v>2017</v>
      </c>
    </row>
    <row r="1890" spans="1:2">
      <c r="A1890" s="113" t="s">
        <v>2100</v>
      </c>
      <c r="B1890" s="113" t="s">
        <v>2017</v>
      </c>
    </row>
    <row r="1891" spans="1:2">
      <c r="A1891" s="113" t="s">
        <v>2101</v>
      </c>
      <c r="B1891" s="113" t="s">
        <v>2017</v>
      </c>
    </row>
    <row r="1892" spans="1:2">
      <c r="A1892" s="113" t="s">
        <v>2102</v>
      </c>
      <c r="B1892" s="113" t="s">
        <v>2017</v>
      </c>
    </row>
    <row r="1893" spans="1:2">
      <c r="A1893" s="113" t="s">
        <v>2103</v>
      </c>
      <c r="B1893" s="113" t="s">
        <v>2017</v>
      </c>
    </row>
    <row r="1894" spans="1:2">
      <c r="A1894" s="113" t="s">
        <v>2104</v>
      </c>
      <c r="B1894" s="113" t="s">
        <v>2017</v>
      </c>
    </row>
    <row r="1895" spans="1:2">
      <c r="A1895" s="113" t="s">
        <v>2105</v>
      </c>
      <c r="B1895" s="113" t="s">
        <v>2017</v>
      </c>
    </row>
    <row r="1896" spans="1:2">
      <c r="A1896" s="113" t="s">
        <v>2106</v>
      </c>
      <c r="B1896" s="113" t="s">
        <v>2017</v>
      </c>
    </row>
    <row r="1897" spans="1:2">
      <c r="A1897" s="113" t="s">
        <v>2107</v>
      </c>
      <c r="B1897" s="113" t="s">
        <v>2017</v>
      </c>
    </row>
    <row r="1898" spans="1:2">
      <c r="A1898" s="113" t="s">
        <v>2108</v>
      </c>
      <c r="B1898" s="113" t="s">
        <v>2017</v>
      </c>
    </row>
    <row r="1899" spans="1:2">
      <c r="A1899" s="113" t="s">
        <v>2109</v>
      </c>
      <c r="B1899" s="113" t="s">
        <v>2017</v>
      </c>
    </row>
    <row r="1900" spans="1:2">
      <c r="A1900" s="113" t="s">
        <v>2110</v>
      </c>
      <c r="B1900" s="113" t="s">
        <v>2017</v>
      </c>
    </row>
    <row r="1901" spans="1:2">
      <c r="A1901" s="113" t="s">
        <v>2111</v>
      </c>
      <c r="B1901" s="113" t="s">
        <v>2017</v>
      </c>
    </row>
    <row r="1902" spans="1:2">
      <c r="A1902" s="113" t="s">
        <v>2112</v>
      </c>
      <c r="B1902" s="113" t="s">
        <v>2017</v>
      </c>
    </row>
    <row r="1903" spans="1:2">
      <c r="A1903" s="113" t="s">
        <v>2113</v>
      </c>
      <c r="B1903" s="113" t="s">
        <v>2017</v>
      </c>
    </row>
    <row r="1904" spans="1:2">
      <c r="A1904" s="113" t="s">
        <v>2114</v>
      </c>
      <c r="B1904" s="113" t="s">
        <v>2017</v>
      </c>
    </row>
    <row r="1905" spans="1:2">
      <c r="A1905" s="113" t="s">
        <v>2115</v>
      </c>
      <c r="B1905" s="113" t="s">
        <v>2017</v>
      </c>
    </row>
    <row r="1906" spans="1:2">
      <c r="A1906" s="113" t="s">
        <v>2116</v>
      </c>
      <c r="B1906" s="113" t="s">
        <v>2017</v>
      </c>
    </row>
    <row r="1907" spans="1:2">
      <c r="A1907" s="113" t="s">
        <v>2117</v>
      </c>
      <c r="B1907" s="113" t="s">
        <v>2017</v>
      </c>
    </row>
    <row r="1908" spans="1:2">
      <c r="A1908" s="113" t="s">
        <v>2118</v>
      </c>
      <c r="B1908" s="113" t="s">
        <v>2017</v>
      </c>
    </row>
    <row r="1909" spans="1:2">
      <c r="A1909" s="113" t="s">
        <v>2119</v>
      </c>
      <c r="B1909" s="113" t="s">
        <v>2017</v>
      </c>
    </row>
    <row r="1910" spans="1:2">
      <c r="A1910" s="113" t="s">
        <v>2120</v>
      </c>
      <c r="B1910" s="113" t="s">
        <v>2017</v>
      </c>
    </row>
    <row r="1911" spans="1:2">
      <c r="A1911" s="113" t="s">
        <v>2121</v>
      </c>
      <c r="B1911" s="113" t="s">
        <v>2017</v>
      </c>
    </row>
    <row r="1912" spans="1:2">
      <c r="A1912" s="113" t="s">
        <v>2122</v>
      </c>
      <c r="B1912" s="113" t="s">
        <v>2017</v>
      </c>
    </row>
    <row r="1913" spans="1:2">
      <c r="A1913" s="113" t="s">
        <v>2123</v>
      </c>
      <c r="B1913" s="113" t="s">
        <v>2017</v>
      </c>
    </row>
    <row r="1914" spans="1:2">
      <c r="A1914" s="113" t="s">
        <v>2124</v>
      </c>
      <c r="B1914" s="113" t="s">
        <v>2017</v>
      </c>
    </row>
    <row r="1915" spans="1:2">
      <c r="A1915" s="113" t="s">
        <v>2125</v>
      </c>
      <c r="B1915" s="113" t="s">
        <v>2017</v>
      </c>
    </row>
    <row r="1916" spans="1:2">
      <c r="A1916" s="113" t="s">
        <v>2126</v>
      </c>
      <c r="B1916" s="113" t="s">
        <v>2017</v>
      </c>
    </row>
    <row r="1917" spans="1:2">
      <c r="A1917" s="113" t="s">
        <v>2127</v>
      </c>
      <c r="B1917" s="113" t="s">
        <v>2017</v>
      </c>
    </row>
    <row r="1918" spans="1:2">
      <c r="A1918" s="113" t="s">
        <v>2128</v>
      </c>
      <c r="B1918" s="113" t="s">
        <v>2017</v>
      </c>
    </row>
    <row r="1919" spans="1:2">
      <c r="A1919" s="113" t="s">
        <v>2129</v>
      </c>
      <c r="B1919" s="113" t="s">
        <v>2017</v>
      </c>
    </row>
    <row r="1920" spans="1:2">
      <c r="A1920" s="113" t="s">
        <v>2130</v>
      </c>
      <c r="B1920" s="113" t="s">
        <v>2017</v>
      </c>
    </row>
    <row r="1921" spans="1:2">
      <c r="A1921" s="113" t="s">
        <v>2131</v>
      </c>
      <c r="B1921" s="113" t="s">
        <v>2017</v>
      </c>
    </row>
    <row r="1922" spans="1:2">
      <c r="A1922" s="113" t="s">
        <v>2132</v>
      </c>
      <c r="B1922" s="113" t="s">
        <v>2017</v>
      </c>
    </row>
    <row r="1923" spans="1:2">
      <c r="A1923" s="113" t="s">
        <v>2133</v>
      </c>
      <c r="B1923" s="113" t="s">
        <v>2017</v>
      </c>
    </row>
    <row r="1924" spans="1:2">
      <c r="A1924" s="113" t="s">
        <v>2134</v>
      </c>
      <c r="B1924" s="113" t="s">
        <v>2017</v>
      </c>
    </row>
    <row r="1925" spans="1:2">
      <c r="A1925" s="113" t="s">
        <v>2135</v>
      </c>
      <c r="B1925" s="113" t="s">
        <v>2017</v>
      </c>
    </row>
    <row r="1926" spans="1:2">
      <c r="A1926" s="113" t="s">
        <v>2136</v>
      </c>
      <c r="B1926" s="113" t="s">
        <v>2017</v>
      </c>
    </row>
    <row r="1927" spans="1:2">
      <c r="A1927" s="113" t="s">
        <v>2137</v>
      </c>
      <c r="B1927" s="113" t="s">
        <v>2017</v>
      </c>
    </row>
    <row r="1928" spans="1:2">
      <c r="A1928" s="113" t="s">
        <v>2138</v>
      </c>
      <c r="B1928" s="113" t="s">
        <v>2017</v>
      </c>
    </row>
    <row r="1929" spans="1:2">
      <c r="A1929" s="113" t="s">
        <v>2139</v>
      </c>
      <c r="B1929" s="113" t="s">
        <v>2017</v>
      </c>
    </row>
    <row r="1930" spans="1:2">
      <c r="A1930" s="113" t="s">
        <v>2140</v>
      </c>
      <c r="B1930" s="113" t="s">
        <v>2017</v>
      </c>
    </row>
    <row r="1931" spans="1:2">
      <c r="A1931" s="113" t="s">
        <v>2141</v>
      </c>
      <c r="B1931" s="113" t="s">
        <v>2017</v>
      </c>
    </row>
    <row r="1932" spans="1:2">
      <c r="A1932" s="113" t="s">
        <v>2142</v>
      </c>
      <c r="B1932" s="113" t="s">
        <v>2017</v>
      </c>
    </row>
    <row r="1933" spans="1:2">
      <c r="A1933" s="113" t="s">
        <v>2143</v>
      </c>
      <c r="B1933" s="113" t="s">
        <v>2017</v>
      </c>
    </row>
    <row r="1934" spans="1:2">
      <c r="A1934" s="113" t="s">
        <v>2144</v>
      </c>
      <c r="B1934" s="113" t="s">
        <v>2017</v>
      </c>
    </row>
    <row r="1935" spans="1:2">
      <c r="A1935" s="113" t="s">
        <v>2145</v>
      </c>
      <c r="B1935" s="113" t="s">
        <v>2017</v>
      </c>
    </row>
    <row r="1936" spans="1:2">
      <c r="A1936" s="113" t="s">
        <v>2146</v>
      </c>
      <c r="B1936" s="113" t="s">
        <v>2017</v>
      </c>
    </row>
    <row r="1937" spans="1:2">
      <c r="A1937" s="113" t="s">
        <v>2147</v>
      </c>
      <c r="B1937" s="113" t="s">
        <v>2017</v>
      </c>
    </row>
    <row r="1938" spans="1:2">
      <c r="A1938" s="113" t="s">
        <v>2148</v>
      </c>
      <c r="B1938" s="113" t="s">
        <v>2017</v>
      </c>
    </row>
    <row r="1939" spans="1:2">
      <c r="A1939" s="113" t="s">
        <v>2149</v>
      </c>
      <c r="B1939" s="113" t="s">
        <v>2017</v>
      </c>
    </row>
    <row r="1940" spans="1:2">
      <c r="A1940" s="113" t="s">
        <v>2150</v>
      </c>
      <c r="B1940" s="113" t="s">
        <v>2017</v>
      </c>
    </row>
    <row r="1941" spans="1:2">
      <c r="A1941" s="113" t="s">
        <v>2151</v>
      </c>
      <c r="B1941" s="113" t="s">
        <v>2017</v>
      </c>
    </row>
    <row r="1942" spans="1:2">
      <c r="A1942" s="113" t="s">
        <v>2152</v>
      </c>
      <c r="B1942" s="113" t="s">
        <v>2017</v>
      </c>
    </row>
    <row r="1943" spans="1:2">
      <c r="A1943" s="113" t="s">
        <v>2153</v>
      </c>
      <c r="B1943" s="113" t="s">
        <v>2017</v>
      </c>
    </row>
    <row r="1944" spans="1:2">
      <c r="A1944" s="113" t="s">
        <v>2154</v>
      </c>
      <c r="B1944" s="113" t="s">
        <v>2017</v>
      </c>
    </row>
    <row r="1945" spans="1:2">
      <c r="A1945" s="113" t="s">
        <v>2155</v>
      </c>
      <c r="B1945" s="113" t="s">
        <v>2017</v>
      </c>
    </row>
    <row r="1946" spans="1:2">
      <c r="A1946" s="113" t="s">
        <v>2156</v>
      </c>
      <c r="B1946" s="113" t="s">
        <v>2017</v>
      </c>
    </row>
    <row r="1947" spans="1:2">
      <c r="A1947" s="113" t="s">
        <v>2157</v>
      </c>
      <c r="B1947" s="113" t="s">
        <v>2017</v>
      </c>
    </row>
    <row r="1948" spans="1:2">
      <c r="A1948" s="113" t="s">
        <v>2158</v>
      </c>
      <c r="B1948" s="113" t="s">
        <v>2017</v>
      </c>
    </row>
    <row r="1949" spans="1:2">
      <c r="A1949" s="113" t="s">
        <v>2159</v>
      </c>
      <c r="B1949" s="113" t="s">
        <v>2017</v>
      </c>
    </row>
    <row r="1950" spans="1:2">
      <c r="A1950" s="113" t="s">
        <v>2160</v>
      </c>
      <c r="B1950" s="113" t="s">
        <v>2017</v>
      </c>
    </row>
    <row r="1951" spans="1:2">
      <c r="A1951" s="113" t="s">
        <v>2161</v>
      </c>
      <c r="B1951" s="113" t="s">
        <v>2017</v>
      </c>
    </row>
    <row r="1952" spans="1:2">
      <c r="A1952" s="113" t="s">
        <v>2162</v>
      </c>
      <c r="B1952" s="113" t="s">
        <v>2017</v>
      </c>
    </row>
    <row r="1953" spans="1:2">
      <c r="A1953" s="113" t="s">
        <v>2163</v>
      </c>
      <c r="B1953" s="113" t="s">
        <v>2017</v>
      </c>
    </row>
    <row r="1954" spans="1:2">
      <c r="A1954" s="113" t="s">
        <v>2164</v>
      </c>
      <c r="B1954" s="113" t="s">
        <v>2017</v>
      </c>
    </row>
    <row r="1955" spans="1:2">
      <c r="A1955" s="113" t="s">
        <v>2165</v>
      </c>
      <c r="B1955" s="113" t="s">
        <v>2017</v>
      </c>
    </row>
    <row r="1956" spans="1:2">
      <c r="A1956" s="113" t="s">
        <v>2166</v>
      </c>
      <c r="B1956" s="113" t="s">
        <v>2017</v>
      </c>
    </row>
    <row r="1957" spans="1:2">
      <c r="A1957" s="113" t="s">
        <v>2167</v>
      </c>
      <c r="B1957" s="113" t="s">
        <v>2069</v>
      </c>
    </row>
    <row r="1958" spans="1:2">
      <c r="A1958" s="113" t="s">
        <v>2168</v>
      </c>
      <c r="B1958" s="113" t="s">
        <v>2069</v>
      </c>
    </row>
    <row r="1959" spans="1:2">
      <c r="A1959" s="113" t="s">
        <v>2169</v>
      </c>
      <c r="B1959" s="113" t="s">
        <v>2069</v>
      </c>
    </row>
    <row r="1960" spans="1:2">
      <c r="A1960" s="113" t="s">
        <v>2170</v>
      </c>
      <c r="B1960" s="113" t="s">
        <v>2069</v>
      </c>
    </row>
    <row r="1961" spans="1:2">
      <c r="A1961" s="113" t="s">
        <v>2171</v>
      </c>
      <c r="B1961" s="113" t="s">
        <v>2069</v>
      </c>
    </row>
    <row r="1962" spans="1:2">
      <c r="A1962" s="113" t="s">
        <v>2172</v>
      </c>
      <c r="B1962" s="113" t="s">
        <v>2069</v>
      </c>
    </row>
    <row r="1963" spans="1:2">
      <c r="A1963" s="113" t="s">
        <v>2173</v>
      </c>
      <c r="B1963" s="113" t="s">
        <v>2069</v>
      </c>
    </row>
    <row r="1964" spans="1:2">
      <c r="A1964" s="113" t="s">
        <v>2174</v>
      </c>
      <c r="B1964" s="113" t="s">
        <v>2002</v>
      </c>
    </row>
    <row r="1965" spans="1:2">
      <c r="A1965" s="113" t="s">
        <v>2175</v>
      </c>
      <c r="B1965" s="113" t="s">
        <v>2069</v>
      </c>
    </row>
    <row r="1966" spans="1:2">
      <c r="A1966" s="113" t="s">
        <v>2176</v>
      </c>
      <c r="B1966" s="113" t="s">
        <v>2069</v>
      </c>
    </row>
    <row r="1967" spans="1:2">
      <c r="A1967" s="113" t="s">
        <v>2177</v>
      </c>
      <c r="B1967" s="113" t="s">
        <v>2002</v>
      </c>
    </row>
    <row r="1968" spans="1:2">
      <c r="A1968" s="113" t="s">
        <v>2178</v>
      </c>
      <c r="B1968" s="113" t="s">
        <v>2069</v>
      </c>
    </row>
    <row r="1969" spans="1:2">
      <c r="A1969" s="113" t="s">
        <v>2179</v>
      </c>
      <c r="B1969" s="113" t="s">
        <v>2069</v>
      </c>
    </row>
    <row r="1970" spans="1:2">
      <c r="A1970" s="113" t="s">
        <v>2180</v>
      </c>
      <c r="B1970" s="113" t="s">
        <v>2002</v>
      </c>
    </row>
    <row r="1971" spans="1:2">
      <c r="A1971" s="113" t="s">
        <v>2181</v>
      </c>
      <c r="B1971" s="113" t="s">
        <v>2002</v>
      </c>
    </row>
    <row r="1972" spans="1:2">
      <c r="A1972" s="113" t="s">
        <v>2182</v>
      </c>
      <c r="B1972" s="113" t="s">
        <v>2069</v>
      </c>
    </row>
    <row r="1973" spans="1:2">
      <c r="A1973" s="113" t="s">
        <v>2183</v>
      </c>
      <c r="B1973" s="113" t="s">
        <v>2002</v>
      </c>
    </row>
    <row r="1974" spans="1:2">
      <c r="A1974" s="113" t="s">
        <v>2184</v>
      </c>
      <c r="B1974" s="113" t="s">
        <v>2069</v>
      </c>
    </row>
    <row r="1975" spans="1:2">
      <c r="A1975" s="113" t="s">
        <v>2185</v>
      </c>
      <c r="B1975" s="113" t="s">
        <v>2069</v>
      </c>
    </row>
    <row r="1976" spans="1:2">
      <c r="A1976" s="113" t="s">
        <v>2186</v>
      </c>
      <c r="B1976" s="113" t="s">
        <v>2069</v>
      </c>
    </row>
    <row r="1977" spans="1:2">
      <c r="A1977" s="113" t="s">
        <v>2187</v>
      </c>
      <c r="B1977" s="113" t="s">
        <v>2069</v>
      </c>
    </row>
    <row r="1978" spans="1:2">
      <c r="A1978" s="113" t="s">
        <v>2188</v>
      </c>
      <c r="B1978" s="113" t="s">
        <v>2069</v>
      </c>
    </row>
    <row r="1979" spans="1:2">
      <c r="A1979" s="113" t="s">
        <v>2189</v>
      </c>
      <c r="B1979" s="113" t="s">
        <v>2069</v>
      </c>
    </row>
    <row r="1980" spans="1:2">
      <c r="A1980" s="113" t="s">
        <v>2190</v>
      </c>
      <c r="B1980" s="113" t="s">
        <v>2069</v>
      </c>
    </row>
    <row r="1981" spans="1:2">
      <c r="A1981" s="113" t="s">
        <v>2191</v>
      </c>
      <c r="B1981" s="113" t="s">
        <v>2069</v>
      </c>
    </row>
    <row r="1982" spans="1:2">
      <c r="A1982" s="113" t="s">
        <v>2192</v>
      </c>
      <c r="B1982" s="113" t="s">
        <v>2069</v>
      </c>
    </row>
    <row r="1983" spans="1:2">
      <c r="A1983" s="113" t="s">
        <v>2193</v>
      </c>
      <c r="B1983" s="113" t="s">
        <v>2069</v>
      </c>
    </row>
    <row r="1984" spans="1:2">
      <c r="A1984" s="113" t="s">
        <v>2194</v>
      </c>
      <c r="B1984" s="113" t="s">
        <v>2069</v>
      </c>
    </row>
    <row r="1985" spans="1:2">
      <c r="A1985" s="113" t="s">
        <v>2195</v>
      </c>
      <c r="B1985" s="113" t="s">
        <v>2069</v>
      </c>
    </row>
    <row r="1986" spans="1:2">
      <c r="A1986" s="113" t="s">
        <v>2196</v>
      </c>
      <c r="B1986" s="113" t="s">
        <v>2069</v>
      </c>
    </row>
    <row r="1987" spans="1:2">
      <c r="A1987" s="113" t="s">
        <v>2197</v>
      </c>
      <c r="B1987" s="113" t="s">
        <v>2069</v>
      </c>
    </row>
    <row r="1988" spans="1:2">
      <c r="A1988" s="113" t="s">
        <v>2198</v>
      </c>
      <c r="B1988" s="113" t="s">
        <v>2069</v>
      </c>
    </row>
    <row r="1989" spans="1:2">
      <c r="A1989" s="113" t="s">
        <v>2199</v>
      </c>
      <c r="B1989" s="113" t="s">
        <v>2069</v>
      </c>
    </row>
    <row r="1990" spans="1:2">
      <c r="A1990" s="113" t="s">
        <v>2200</v>
      </c>
      <c r="B1990" s="113" t="s">
        <v>2069</v>
      </c>
    </row>
    <row r="1991" spans="1:2">
      <c r="A1991" s="113" t="s">
        <v>2201</v>
      </c>
      <c r="B1991" s="113" t="s">
        <v>2069</v>
      </c>
    </row>
    <row r="1992" spans="1:2">
      <c r="A1992" s="113" t="s">
        <v>2202</v>
      </c>
      <c r="B1992" s="113" t="s">
        <v>2069</v>
      </c>
    </row>
    <row r="1993" spans="1:2">
      <c r="A1993" s="113" t="s">
        <v>2203</v>
      </c>
      <c r="B1993" s="113" t="s">
        <v>2069</v>
      </c>
    </row>
    <row r="1994" spans="1:2">
      <c r="A1994" s="113" t="s">
        <v>2204</v>
      </c>
      <c r="B1994" s="113" t="s">
        <v>2069</v>
      </c>
    </row>
    <row r="1995" spans="1:2">
      <c r="A1995" s="113" t="s">
        <v>2205</v>
      </c>
      <c r="B1995" s="113" t="s">
        <v>2069</v>
      </c>
    </row>
    <row r="1996" spans="1:2">
      <c r="A1996" s="113" t="s">
        <v>2206</v>
      </c>
      <c r="B1996" s="113" t="s">
        <v>2069</v>
      </c>
    </row>
    <row r="1997" spans="1:2">
      <c r="A1997" s="113" t="s">
        <v>2207</v>
      </c>
      <c r="B1997" s="113" t="s">
        <v>2002</v>
      </c>
    </row>
    <row r="1998" spans="1:2">
      <c r="A1998" s="113" t="s">
        <v>2208</v>
      </c>
      <c r="B1998" s="113" t="s">
        <v>2069</v>
      </c>
    </row>
    <row r="1999" spans="1:2">
      <c r="A1999" s="113" t="s">
        <v>2209</v>
      </c>
      <c r="B1999" s="113" t="s">
        <v>2069</v>
      </c>
    </row>
    <row r="2000" spans="1:2">
      <c r="A2000" s="113" t="s">
        <v>2210</v>
      </c>
      <c r="B2000" s="113" t="s">
        <v>2069</v>
      </c>
    </row>
    <row r="2001" spans="1:2">
      <c r="A2001" s="113" t="s">
        <v>2211</v>
      </c>
      <c r="B2001" s="113" t="s">
        <v>2069</v>
      </c>
    </row>
    <row r="2002" spans="1:2">
      <c r="A2002" s="113" t="s">
        <v>2212</v>
      </c>
      <c r="B2002" s="113" t="s">
        <v>2069</v>
      </c>
    </row>
    <row r="2003" spans="1:2">
      <c r="A2003" s="113" t="s">
        <v>2213</v>
      </c>
      <c r="B2003" s="113" t="s">
        <v>2069</v>
      </c>
    </row>
    <row r="2004" spans="1:2">
      <c r="A2004" s="113" t="s">
        <v>2214</v>
      </c>
      <c r="B2004" s="113" t="s">
        <v>2069</v>
      </c>
    </row>
    <row r="2005" spans="1:2">
      <c r="A2005" s="113" t="s">
        <v>2215</v>
      </c>
      <c r="B2005" s="113" t="s">
        <v>2069</v>
      </c>
    </row>
    <row r="2006" spans="1:2">
      <c r="A2006" s="113" t="s">
        <v>2216</v>
      </c>
      <c r="B2006" s="113" t="s">
        <v>2069</v>
      </c>
    </row>
    <row r="2007" spans="1:2">
      <c r="A2007" s="113" t="s">
        <v>2217</v>
      </c>
      <c r="B2007" s="113" t="s">
        <v>2069</v>
      </c>
    </row>
    <row r="2008" spans="1:2">
      <c r="A2008" s="113" t="s">
        <v>2218</v>
      </c>
      <c r="B2008" s="113" t="s">
        <v>2069</v>
      </c>
    </row>
    <row r="2009" spans="1:2">
      <c r="A2009" s="113" t="s">
        <v>2219</v>
      </c>
      <c r="B2009" s="113" t="s">
        <v>2069</v>
      </c>
    </row>
    <row r="2010" spans="1:2">
      <c r="A2010" s="113" t="s">
        <v>2220</v>
      </c>
      <c r="B2010" s="113" t="s">
        <v>1636</v>
      </c>
    </row>
    <row r="2011" spans="1:2">
      <c r="A2011" s="113" t="s">
        <v>2221</v>
      </c>
      <c r="B2011" s="113" t="s">
        <v>1636</v>
      </c>
    </row>
    <row r="2012" spans="1:2">
      <c r="A2012" s="113" t="s">
        <v>2222</v>
      </c>
      <c r="B2012" s="113" t="s">
        <v>1636</v>
      </c>
    </row>
    <row r="2013" spans="1:2">
      <c r="A2013" s="113" t="s">
        <v>2223</v>
      </c>
      <c r="B2013" s="113" t="s">
        <v>1636</v>
      </c>
    </row>
    <row r="2014" spans="1:2">
      <c r="A2014" s="113" t="s">
        <v>2224</v>
      </c>
      <c r="B2014" s="113" t="s">
        <v>1636</v>
      </c>
    </row>
    <row r="2015" spans="1:2">
      <c r="A2015" s="113" t="s">
        <v>2225</v>
      </c>
      <c r="B2015" s="113" t="s">
        <v>1636</v>
      </c>
    </row>
    <row r="2016" spans="1:2">
      <c r="A2016" s="113" t="s">
        <v>2226</v>
      </c>
      <c r="B2016" s="113" t="s">
        <v>1636</v>
      </c>
    </row>
    <row r="2017" spans="1:2">
      <c r="A2017" s="113" t="s">
        <v>2227</v>
      </c>
      <c r="B2017" s="113" t="s">
        <v>1636</v>
      </c>
    </row>
    <row r="2018" spans="1:2">
      <c r="A2018" s="113" t="s">
        <v>2228</v>
      </c>
      <c r="B2018" s="113" t="s">
        <v>1636</v>
      </c>
    </row>
    <row r="2019" spans="1:2">
      <c r="A2019" s="113" t="s">
        <v>2229</v>
      </c>
      <c r="B2019" s="113" t="s">
        <v>2069</v>
      </c>
    </row>
    <row r="2020" spans="1:2">
      <c r="A2020" s="113" t="s">
        <v>2230</v>
      </c>
      <c r="B2020" s="113" t="s">
        <v>1636</v>
      </c>
    </row>
    <row r="2021" spans="1:2">
      <c r="A2021" s="113" t="s">
        <v>2231</v>
      </c>
      <c r="B2021" s="113" t="s">
        <v>1636</v>
      </c>
    </row>
    <row r="2022" spans="1:2">
      <c r="A2022" s="113" t="s">
        <v>2232</v>
      </c>
      <c r="B2022" s="113" t="s">
        <v>1636</v>
      </c>
    </row>
    <row r="2023" spans="1:2">
      <c r="A2023" s="113" t="s">
        <v>2233</v>
      </c>
      <c r="B2023" s="113" t="s">
        <v>2069</v>
      </c>
    </row>
    <row r="2024" spans="1:2">
      <c r="A2024" s="113" t="s">
        <v>2234</v>
      </c>
      <c r="B2024" s="113" t="s">
        <v>1636</v>
      </c>
    </row>
    <row r="2025" spans="1:2">
      <c r="A2025" s="113" t="s">
        <v>2235</v>
      </c>
      <c r="B2025" s="113" t="s">
        <v>1636</v>
      </c>
    </row>
    <row r="2026" spans="1:2">
      <c r="A2026" s="113" t="s">
        <v>2236</v>
      </c>
      <c r="B2026" s="113" t="s">
        <v>1636</v>
      </c>
    </row>
    <row r="2027" spans="1:2">
      <c r="A2027" s="113" t="s">
        <v>2237</v>
      </c>
      <c r="B2027" s="113" t="s">
        <v>1636</v>
      </c>
    </row>
    <row r="2028" spans="1:2">
      <c r="A2028" s="113" t="s">
        <v>2238</v>
      </c>
      <c r="B2028" s="113" t="s">
        <v>2069</v>
      </c>
    </row>
    <row r="2029" spans="1:2">
      <c r="A2029" s="113" t="s">
        <v>2239</v>
      </c>
      <c r="B2029" s="113" t="s">
        <v>1636</v>
      </c>
    </row>
    <row r="2030" spans="1:2">
      <c r="A2030" s="113" t="s">
        <v>2240</v>
      </c>
      <c r="B2030" s="113" t="s">
        <v>1636</v>
      </c>
    </row>
    <row r="2031" spans="1:2">
      <c r="A2031" s="113" t="s">
        <v>2241</v>
      </c>
      <c r="B2031" s="113" t="s">
        <v>1636</v>
      </c>
    </row>
    <row r="2032" spans="1:2">
      <c r="A2032" s="113" t="s">
        <v>2242</v>
      </c>
      <c r="B2032" s="113" t="s">
        <v>1636</v>
      </c>
    </row>
    <row r="2033" spans="1:2">
      <c r="A2033" s="113" t="s">
        <v>2243</v>
      </c>
      <c r="B2033" s="113" t="s">
        <v>1636</v>
      </c>
    </row>
    <row r="2034" spans="1:2">
      <c r="A2034" s="113" t="s">
        <v>2244</v>
      </c>
      <c r="B2034" s="113" t="s">
        <v>1636</v>
      </c>
    </row>
    <row r="2035" spans="1:2">
      <c r="A2035" s="113" t="s">
        <v>2245</v>
      </c>
      <c r="B2035" s="113" t="s">
        <v>2069</v>
      </c>
    </row>
    <row r="2036" spans="1:2">
      <c r="A2036" s="113" t="s">
        <v>2246</v>
      </c>
      <c r="B2036" s="113" t="s">
        <v>1636</v>
      </c>
    </row>
    <row r="2037" spans="1:2">
      <c r="A2037" s="113" t="s">
        <v>2247</v>
      </c>
      <c r="B2037" s="113" t="s">
        <v>1636</v>
      </c>
    </row>
    <row r="2038" spans="1:2">
      <c r="A2038" s="113" t="s">
        <v>2248</v>
      </c>
      <c r="B2038" s="113" t="s">
        <v>1636</v>
      </c>
    </row>
    <row r="2039" spans="1:2">
      <c r="A2039" s="113" t="s">
        <v>2249</v>
      </c>
      <c r="B2039" s="113" t="s">
        <v>1636</v>
      </c>
    </row>
    <row r="2040" spans="1:2">
      <c r="A2040" s="113" t="s">
        <v>2250</v>
      </c>
      <c r="B2040" s="113" t="s">
        <v>1636</v>
      </c>
    </row>
    <row r="2041" spans="1:2">
      <c r="A2041" s="113" t="s">
        <v>2251</v>
      </c>
      <c r="B2041" s="113" t="s">
        <v>1636</v>
      </c>
    </row>
    <row r="2042" spans="1:2">
      <c r="A2042" s="113" t="s">
        <v>2252</v>
      </c>
      <c r="B2042" s="113" t="s">
        <v>1636</v>
      </c>
    </row>
    <row r="2043" spans="1:2">
      <c r="A2043" s="113" t="s">
        <v>2253</v>
      </c>
      <c r="B2043" s="113" t="s">
        <v>1636</v>
      </c>
    </row>
    <row r="2044" spans="1:2">
      <c r="A2044" s="113" t="s">
        <v>2254</v>
      </c>
      <c r="B2044" s="113" t="s">
        <v>2069</v>
      </c>
    </row>
    <row r="2045" spans="1:2">
      <c r="A2045" s="113" t="s">
        <v>2255</v>
      </c>
      <c r="B2045" s="113" t="s">
        <v>2069</v>
      </c>
    </row>
    <row r="2046" spans="1:2">
      <c r="A2046" s="113" t="s">
        <v>2256</v>
      </c>
      <c r="B2046" s="113" t="s">
        <v>2069</v>
      </c>
    </row>
    <row r="2047" spans="1:2">
      <c r="A2047" s="113" t="s">
        <v>2257</v>
      </c>
      <c r="B2047" s="113" t="s">
        <v>1636</v>
      </c>
    </row>
    <row r="2048" spans="1:2">
      <c r="A2048" s="113" t="s">
        <v>2258</v>
      </c>
      <c r="B2048" s="113" t="s">
        <v>1636</v>
      </c>
    </row>
    <row r="2049" spans="1:2">
      <c r="A2049" s="113" t="s">
        <v>2259</v>
      </c>
      <c r="B2049" s="113" t="s">
        <v>2069</v>
      </c>
    </row>
    <row r="2050" spans="1:2">
      <c r="A2050" s="113" t="s">
        <v>2260</v>
      </c>
      <c r="B2050" s="113" t="s">
        <v>1636</v>
      </c>
    </row>
    <row r="2051" spans="1:2">
      <c r="A2051" s="113" t="s">
        <v>2261</v>
      </c>
      <c r="B2051" s="113" t="s">
        <v>2069</v>
      </c>
    </row>
    <row r="2052" spans="1:2">
      <c r="A2052" s="113" t="s">
        <v>2262</v>
      </c>
      <c r="B2052" s="113" t="s">
        <v>1636</v>
      </c>
    </row>
    <row r="2053" spans="1:2">
      <c r="A2053" s="113" t="s">
        <v>2263</v>
      </c>
      <c r="B2053" s="113" t="s">
        <v>1636</v>
      </c>
    </row>
    <row r="2054" spans="1:2">
      <c r="A2054" s="113" t="s">
        <v>2264</v>
      </c>
      <c r="B2054" s="113" t="s">
        <v>1636</v>
      </c>
    </row>
    <row r="2055" spans="1:2">
      <c r="A2055" s="113" t="s">
        <v>2265</v>
      </c>
      <c r="B2055" s="113" t="s">
        <v>2069</v>
      </c>
    </row>
    <row r="2056" spans="1:2">
      <c r="A2056" s="113" t="s">
        <v>2266</v>
      </c>
      <c r="B2056" s="113" t="s">
        <v>1636</v>
      </c>
    </row>
    <row r="2057" spans="1:2">
      <c r="A2057" s="113" t="s">
        <v>2267</v>
      </c>
      <c r="B2057" s="113" t="s">
        <v>1636</v>
      </c>
    </row>
    <row r="2058" spans="1:2">
      <c r="A2058" s="113" t="s">
        <v>2268</v>
      </c>
      <c r="B2058" s="113" t="s">
        <v>2069</v>
      </c>
    </row>
    <row r="2059" spans="1:2">
      <c r="A2059" s="113" t="s">
        <v>2269</v>
      </c>
      <c r="B2059" s="113" t="s">
        <v>2069</v>
      </c>
    </row>
    <row r="2060" spans="1:2">
      <c r="A2060" s="113" t="s">
        <v>2270</v>
      </c>
      <c r="B2060" s="113" t="s">
        <v>2069</v>
      </c>
    </row>
    <row r="2061" spans="1:2">
      <c r="A2061" s="113" t="s">
        <v>2271</v>
      </c>
      <c r="B2061" s="113" t="s">
        <v>2069</v>
      </c>
    </row>
    <row r="2062" spans="1:2">
      <c r="A2062" s="113" t="s">
        <v>2272</v>
      </c>
      <c r="B2062" s="113" t="s">
        <v>1636</v>
      </c>
    </row>
    <row r="2063" spans="1:2">
      <c r="A2063" s="113" t="s">
        <v>2273</v>
      </c>
      <c r="B2063" s="113" t="s">
        <v>1636</v>
      </c>
    </row>
    <row r="2064" spans="1:2">
      <c r="A2064" s="113" t="s">
        <v>2274</v>
      </c>
      <c r="B2064" s="113" t="s">
        <v>1636</v>
      </c>
    </row>
    <row r="2065" spans="1:2">
      <c r="A2065" s="113" t="s">
        <v>2275</v>
      </c>
      <c r="B2065" s="113" t="s">
        <v>1636</v>
      </c>
    </row>
    <row r="2066" spans="1:2">
      <c r="A2066" s="113" t="s">
        <v>2276</v>
      </c>
      <c r="B2066" s="113" t="s">
        <v>1636</v>
      </c>
    </row>
    <row r="2067" spans="1:2">
      <c r="A2067" s="113" t="s">
        <v>2277</v>
      </c>
      <c r="B2067" s="113" t="s">
        <v>1636</v>
      </c>
    </row>
    <row r="2068" spans="1:2">
      <c r="A2068" s="113" t="s">
        <v>2278</v>
      </c>
      <c r="B2068" s="113" t="s">
        <v>1636</v>
      </c>
    </row>
    <row r="2069" spans="1:2">
      <c r="A2069" s="113" t="s">
        <v>2279</v>
      </c>
      <c r="B2069" s="113" t="s">
        <v>2069</v>
      </c>
    </row>
    <row r="2070" spans="1:2">
      <c r="A2070" s="113" t="s">
        <v>2280</v>
      </c>
      <c r="B2070" s="113" t="s">
        <v>2069</v>
      </c>
    </row>
    <row r="2071" spans="1:2">
      <c r="A2071" s="113" t="s">
        <v>2281</v>
      </c>
      <c r="B2071" s="113" t="s">
        <v>2069</v>
      </c>
    </row>
    <row r="2072" spans="1:2">
      <c r="A2072" s="113" t="s">
        <v>2282</v>
      </c>
      <c r="B2072" s="113" t="s">
        <v>2069</v>
      </c>
    </row>
    <row r="2073" spans="1:2">
      <c r="A2073" s="113" t="s">
        <v>2283</v>
      </c>
      <c r="B2073" s="113" t="s">
        <v>1162</v>
      </c>
    </row>
    <row r="2074" spans="1:2">
      <c r="A2074" s="113" t="s">
        <v>2284</v>
      </c>
      <c r="B2074" s="113" t="s">
        <v>1162</v>
      </c>
    </row>
    <row r="2075" spans="1:2">
      <c r="A2075" s="113" t="s">
        <v>2285</v>
      </c>
      <c r="B2075" s="113" t="s">
        <v>1162</v>
      </c>
    </row>
    <row r="2076" spans="1:2">
      <c r="A2076" s="113" t="s">
        <v>2286</v>
      </c>
      <c r="B2076" s="113" t="s">
        <v>1162</v>
      </c>
    </row>
    <row r="2077" spans="1:2">
      <c r="A2077" s="113" t="s">
        <v>2287</v>
      </c>
      <c r="B2077" s="113" t="s">
        <v>1162</v>
      </c>
    </row>
    <row r="2078" spans="1:2">
      <c r="A2078" s="113" t="s">
        <v>2288</v>
      </c>
      <c r="B2078" s="113" t="s">
        <v>1162</v>
      </c>
    </row>
    <row r="2079" spans="1:2">
      <c r="A2079" s="113" t="s">
        <v>2289</v>
      </c>
      <c r="B2079" s="113" t="s">
        <v>1162</v>
      </c>
    </row>
    <row r="2080" spans="1:2">
      <c r="A2080" s="113" t="s">
        <v>2290</v>
      </c>
      <c r="B2080" s="113" t="s">
        <v>1162</v>
      </c>
    </row>
    <row r="2081" spans="1:2">
      <c r="A2081" s="113" t="s">
        <v>2291</v>
      </c>
      <c r="B2081" s="113" t="s">
        <v>1162</v>
      </c>
    </row>
    <row r="2082" spans="1:2">
      <c r="A2082" s="113" t="s">
        <v>2292</v>
      </c>
      <c r="B2082" s="113" t="s">
        <v>1162</v>
      </c>
    </row>
    <row r="2083" spans="1:2">
      <c r="A2083" s="113" t="s">
        <v>2293</v>
      </c>
      <c r="B2083" s="113" t="s">
        <v>1162</v>
      </c>
    </row>
    <row r="2084" spans="1:2">
      <c r="A2084" s="113" t="s">
        <v>2294</v>
      </c>
      <c r="B2084" s="113" t="s">
        <v>1162</v>
      </c>
    </row>
    <row r="2085" spans="1:2">
      <c r="A2085" s="113" t="s">
        <v>2295</v>
      </c>
      <c r="B2085" s="113" t="s">
        <v>1162</v>
      </c>
    </row>
    <row r="2086" spans="1:2">
      <c r="A2086" s="113" t="s">
        <v>2296</v>
      </c>
      <c r="B2086" s="113" t="s">
        <v>2069</v>
      </c>
    </row>
    <row r="2087" spans="1:2">
      <c r="A2087" s="113" t="s">
        <v>2297</v>
      </c>
      <c r="B2087" s="113" t="s">
        <v>1162</v>
      </c>
    </row>
    <row r="2088" spans="1:2">
      <c r="A2088" s="113" t="s">
        <v>2298</v>
      </c>
      <c r="B2088" s="113" t="s">
        <v>1162</v>
      </c>
    </row>
    <row r="2089" spans="1:2">
      <c r="A2089" s="113" t="s">
        <v>2299</v>
      </c>
      <c r="B2089" s="113" t="s">
        <v>1636</v>
      </c>
    </row>
    <row r="2090" spans="1:2">
      <c r="A2090" s="113" t="s">
        <v>2300</v>
      </c>
      <c r="B2090" s="113" t="s">
        <v>1162</v>
      </c>
    </row>
    <row r="2091" spans="1:2">
      <c r="A2091" s="113" t="s">
        <v>2301</v>
      </c>
      <c r="B2091" s="113" t="s">
        <v>1162</v>
      </c>
    </row>
    <row r="2092" spans="1:2">
      <c r="A2092" s="113" t="s">
        <v>2302</v>
      </c>
      <c r="B2092" s="113" t="s">
        <v>1162</v>
      </c>
    </row>
    <row r="2093" spans="1:2">
      <c r="A2093" s="113" t="s">
        <v>2303</v>
      </c>
      <c r="B2093" s="113" t="s">
        <v>1162</v>
      </c>
    </row>
    <row r="2094" spans="1:2">
      <c r="A2094" s="113" t="s">
        <v>2304</v>
      </c>
      <c r="B2094" s="113" t="s">
        <v>1162</v>
      </c>
    </row>
    <row r="2095" spans="1:2">
      <c r="A2095" s="113" t="s">
        <v>2305</v>
      </c>
      <c r="B2095" s="113" t="s">
        <v>1162</v>
      </c>
    </row>
    <row r="2096" spans="1:2">
      <c r="A2096" s="113" t="s">
        <v>2306</v>
      </c>
      <c r="B2096" s="113" t="s">
        <v>1162</v>
      </c>
    </row>
    <row r="2097" spans="1:2">
      <c r="A2097" s="113" t="s">
        <v>2307</v>
      </c>
      <c r="B2097" s="113" t="s">
        <v>1162</v>
      </c>
    </row>
    <row r="2098" spans="1:2">
      <c r="A2098" s="113" t="s">
        <v>2308</v>
      </c>
      <c r="B2098" s="113" t="s">
        <v>1162</v>
      </c>
    </row>
    <row r="2099" spans="1:2">
      <c r="A2099" s="113" t="s">
        <v>2309</v>
      </c>
      <c r="B2099" s="113" t="s">
        <v>1162</v>
      </c>
    </row>
    <row r="2100" spans="1:2">
      <c r="A2100" s="113" t="s">
        <v>2310</v>
      </c>
      <c r="B2100" s="113" t="s">
        <v>1162</v>
      </c>
    </row>
    <row r="2101" spans="1:2">
      <c r="A2101" s="113" t="s">
        <v>2311</v>
      </c>
      <c r="B2101" s="113" t="s">
        <v>1162</v>
      </c>
    </row>
    <row r="2102" spans="1:2">
      <c r="A2102" s="113" t="s">
        <v>2312</v>
      </c>
      <c r="B2102" s="113" t="s">
        <v>1162</v>
      </c>
    </row>
    <row r="2103" spans="1:2">
      <c r="A2103" s="113" t="s">
        <v>2313</v>
      </c>
      <c r="B2103" s="113" t="s">
        <v>1162</v>
      </c>
    </row>
    <row r="2104" spans="1:2">
      <c r="A2104" s="113" t="s">
        <v>2314</v>
      </c>
      <c r="B2104" s="113" t="s">
        <v>1162</v>
      </c>
    </row>
    <row r="2105" spans="1:2">
      <c r="A2105" s="113" t="s">
        <v>2315</v>
      </c>
      <c r="B2105" s="113" t="s">
        <v>1162</v>
      </c>
    </row>
    <row r="2106" spans="1:2">
      <c r="A2106" s="113" t="s">
        <v>2316</v>
      </c>
      <c r="B2106" s="113" t="s">
        <v>1162</v>
      </c>
    </row>
    <row r="2107" spans="1:2">
      <c r="A2107" s="113" t="s">
        <v>2317</v>
      </c>
      <c r="B2107" s="113" t="s">
        <v>449</v>
      </c>
    </row>
    <row r="2108" spans="1:2">
      <c r="A2108" s="113" t="s">
        <v>2318</v>
      </c>
      <c r="B2108" s="113" t="s">
        <v>1162</v>
      </c>
    </row>
    <row r="2109" spans="1:2">
      <c r="A2109" s="113" t="s">
        <v>2319</v>
      </c>
      <c r="B2109" s="113" t="s">
        <v>1162</v>
      </c>
    </row>
    <row r="2110" spans="1:2">
      <c r="A2110" s="113" t="s">
        <v>2320</v>
      </c>
      <c r="B2110" s="113" t="s">
        <v>1162</v>
      </c>
    </row>
    <row r="2111" spans="1:2">
      <c r="A2111" s="113" t="s">
        <v>2321</v>
      </c>
      <c r="B2111" s="113" t="s">
        <v>1162</v>
      </c>
    </row>
    <row r="2112" spans="1:2">
      <c r="A2112" s="113" t="s">
        <v>2322</v>
      </c>
      <c r="B2112" s="113" t="s">
        <v>1162</v>
      </c>
    </row>
    <row r="2113" spans="1:2">
      <c r="A2113" s="113" t="s">
        <v>2323</v>
      </c>
      <c r="B2113" s="113" t="s">
        <v>1162</v>
      </c>
    </row>
    <row r="2114" spans="1:2">
      <c r="A2114" s="113" t="s">
        <v>2324</v>
      </c>
      <c r="B2114" s="113" t="s">
        <v>1162</v>
      </c>
    </row>
    <row r="2115" spans="1:2">
      <c r="A2115" s="113" t="s">
        <v>2325</v>
      </c>
      <c r="B2115" s="113" t="s">
        <v>1162</v>
      </c>
    </row>
    <row r="2116" spans="1:2">
      <c r="A2116" s="113" t="s">
        <v>2326</v>
      </c>
      <c r="B2116" s="113" t="s">
        <v>1162</v>
      </c>
    </row>
    <row r="2117" spans="1:2">
      <c r="A2117" s="113" t="s">
        <v>2327</v>
      </c>
      <c r="B2117" s="113" t="s">
        <v>1162</v>
      </c>
    </row>
    <row r="2118" spans="1:2">
      <c r="A2118" s="113" t="s">
        <v>2328</v>
      </c>
      <c r="B2118" s="113" t="s">
        <v>2329</v>
      </c>
    </row>
    <row r="2119" spans="1:2">
      <c r="A2119" s="113" t="s">
        <v>2330</v>
      </c>
      <c r="B2119" s="113" t="s">
        <v>2329</v>
      </c>
    </row>
    <row r="2120" spans="1:2">
      <c r="A2120" s="113" t="s">
        <v>2331</v>
      </c>
      <c r="B2120" s="113" t="s">
        <v>2329</v>
      </c>
    </row>
    <row r="2121" spans="1:2">
      <c r="A2121" s="113" t="s">
        <v>2332</v>
      </c>
      <c r="B2121" s="113" t="s">
        <v>2329</v>
      </c>
    </row>
    <row r="2122" spans="1:2">
      <c r="A2122" s="113" t="s">
        <v>2333</v>
      </c>
      <c r="B2122" s="113" t="s">
        <v>2329</v>
      </c>
    </row>
    <row r="2123" spans="1:2">
      <c r="A2123" s="113" t="s">
        <v>2334</v>
      </c>
      <c r="B2123" s="113" t="s">
        <v>2329</v>
      </c>
    </row>
    <row r="2124" spans="1:2">
      <c r="A2124" s="113" t="s">
        <v>2335</v>
      </c>
      <c r="B2124" s="113" t="s">
        <v>2329</v>
      </c>
    </row>
    <row r="2125" spans="1:2">
      <c r="A2125" s="113" t="s">
        <v>2336</v>
      </c>
      <c r="B2125" s="113" t="s">
        <v>2329</v>
      </c>
    </row>
    <row r="2126" spans="1:2">
      <c r="A2126" s="113" t="s">
        <v>2337</v>
      </c>
      <c r="B2126" s="113" t="s">
        <v>2329</v>
      </c>
    </row>
    <row r="2127" spans="1:2">
      <c r="A2127" s="113" t="s">
        <v>2338</v>
      </c>
      <c r="B2127" s="113" t="s">
        <v>2329</v>
      </c>
    </row>
    <row r="2128" spans="1:2">
      <c r="A2128" s="113" t="s">
        <v>2339</v>
      </c>
      <c r="B2128" s="113" t="s">
        <v>2329</v>
      </c>
    </row>
    <row r="2129" spans="1:2">
      <c r="A2129" s="113" t="s">
        <v>2340</v>
      </c>
      <c r="B2129" s="113" t="s">
        <v>2329</v>
      </c>
    </row>
    <row r="2130" spans="1:2">
      <c r="A2130" s="113" t="s">
        <v>2341</v>
      </c>
      <c r="B2130" s="113" t="s">
        <v>2329</v>
      </c>
    </row>
    <row r="2131" spans="1:2">
      <c r="A2131" s="113" t="s">
        <v>2342</v>
      </c>
      <c r="B2131" s="113" t="s">
        <v>756</v>
      </c>
    </row>
    <row r="2132" spans="1:2">
      <c r="A2132" s="113" t="s">
        <v>2343</v>
      </c>
      <c r="B2132" s="113" t="s">
        <v>756</v>
      </c>
    </row>
    <row r="2133" spans="1:2">
      <c r="A2133" s="113" t="s">
        <v>2344</v>
      </c>
      <c r="B2133" s="113" t="s">
        <v>313</v>
      </c>
    </row>
    <row r="2134" spans="1:2">
      <c r="A2134" s="113" t="s">
        <v>2345</v>
      </c>
      <c r="B2134" s="113" t="s">
        <v>756</v>
      </c>
    </row>
    <row r="2135" spans="1:2">
      <c r="A2135" s="113" t="s">
        <v>2346</v>
      </c>
      <c r="B2135" s="113" t="s">
        <v>191</v>
      </c>
    </row>
    <row r="2136" spans="1:2">
      <c r="A2136" s="113" t="s">
        <v>2347</v>
      </c>
      <c r="B2136" s="113" t="s">
        <v>191</v>
      </c>
    </row>
    <row r="2137" spans="1:2">
      <c r="A2137" s="113" t="s">
        <v>2348</v>
      </c>
      <c r="B2137" s="113" t="s">
        <v>756</v>
      </c>
    </row>
    <row r="2138" spans="1:2">
      <c r="A2138" s="113" t="s">
        <v>2349</v>
      </c>
      <c r="B2138" s="113" t="s">
        <v>756</v>
      </c>
    </row>
    <row r="2139" spans="1:2">
      <c r="A2139" s="113" t="s">
        <v>2350</v>
      </c>
      <c r="B2139" s="113" t="s">
        <v>193</v>
      </c>
    </row>
    <row r="2140" spans="1:2">
      <c r="A2140" s="113" t="s">
        <v>2351</v>
      </c>
      <c r="B2140" s="113" t="s">
        <v>191</v>
      </c>
    </row>
    <row r="2141" spans="1:2">
      <c r="A2141" s="113" t="s">
        <v>2352</v>
      </c>
      <c r="B2141" s="113" t="s">
        <v>191</v>
      </c>
    </row>
    <row r="2142" spans="1:2">
      <c r="A2142" s="113" t="s">
        <v>2353</v>
      </c>
      <c r="B2142" s="113" t="s">
        <v>191</v>
      </c>
    </row>
    <row r="2143" spans="1:2">
      <c r="A2143" s="113" t="s">
        <v>2354</v>
      </c>
      <c r="B2143" s="113" t="s">
        <v>191</v>
      </c>
    </row>
    <row r="2144" spans="1:2">
      <c r="A2144" s="113" t="s">
        <v>2355</v>
      </c>
      <c r="B2144" s="113" t="s">
        <v>313</v>
      </c>
    </row>
    <row r="2145" spans="1:2">
      <c r="A2145" s="113" t="s">
        <v>2356</v>
      </c>
      <c r="B2145" s="113" t="s">
        <v>313</v>
      </c>
    </row>
    <row r="2146" spans="1:2">
      <c r="A2146" s="113" t="s">
        <v>2357</v>
      </c>
      <c r="B2146" s="113" t="s">
        <v>313</v>
      </c>
    </row>
    <row r="2147" spans="1:2">
      <c r="A2147" s="113" t="s">
        <v>2358</v>
      </c>
      <c r="B2147" s="113" t="s">
        <v>313</v>
      </c>
    </row>
    <row r="2148" spans="1:2">
      <c r="A2148" s="113" t="s">
        <v>2359</v>
      </c>
      <c r="B2148" s="113" t="s">
        <v>191</v>
      </c>
    </row>
    <row r="2149" spans="1:2">
      <c r="A2149" s="113" t="s">
        <v>2360</v>
      </c>
      <c r="B2149" s="113" t="s">
        <v>191</v>
      </c>
    </row>
    <row r="2150" spans="1:2">
      <c r="A2150" s="113" t="s">
        <v>2361</v>
      </c>
      <c r="B2150" s="113" t="s">
        <v>756</v>
      </c>
    </row>
    <row r="2151" spans="1:2">
      <c r="A2151" s="113" t="s">
        <v>2362</v>
      </c>
      <c r="B2151" s="113" t="s">
        <v>756</v>
      </c>
    </row>
    <row r="2152" spans="1:2">
      <c r="A2152" s="113" t="s">
        <v>2363</v>
      </c>
      <c r="B2152" s="113" t="s">
        <v>191</v>
      </c>
    </row>
    <row r="2153" spans="1:2">
      <c r="A2153" s="113" t="s">
        <v>2364</v>
      </c>
      <c r="B2153" s="113" t="s">
        <v>191</v>
      </c>
    </row>
    <row r="2154" spans="1:2">
      <c r="A2154" s="113" t="s">
        <v>2365</v>
      </c>
      <c r="B2154" s="113" t="s">
        <v>191</v>
      </c>
    </row>
    <row r="2155" spans="1:2">
      <c r="A2155" s="113" t="s">
        <v>2366</v>
      </c>
      <c r="B2155" s="113" t="s">
        <v>191</v>
      </c>
    </row>
    <row r="2156" spans="1:2">
      <c r="A2156" s="113" t="s">
        <v>2367</v>
      </c>
      <c r="B2156" s="113" t="s">
        <v>313</v>
      </c>
    </row>
    <row r="2157" spans="1:2">
      <c r="A2157" s="113" t="s">
        <v>2368</v>
      </c>
      <c r="B2157" s="113" t="s">
        <v>191</v>
      </c>
    </row>
    <row r="2158" spans="1:2">
      <c r="A2158" s="113" t="s">
        <v>2369</v>
      </c>
      <c r="B2158" s="113" t="s">
        <v>191</v>
      </c>
    </row>
    <row r="2159" spans="1:2">
      <c r="A2159" s="113" t="s">
        <v>2370</v>
      </c>
      <c r="B2159" s="113" t="s">
        <v>191</v>
      </c>
    </row>
    <row r="2160" spans="1:2">
      <c r="A2160" s="113" t="s">
        <v>2371</v>
      </c>
      <c r="B2160" s="113" t="s">
        <v>191</v>
      </c>
    </row>
    <row r="2161" spans="1:2">
      <c r="A2161" s="113" t="s">
        <v>2372</v>
      </c>
      <c r="B2161" s="113" t="s">
        <v>756</v>
      </c>
    </row>
    <row r="2162" spans="1:2">
      <c r="A2162" s="113" t="s">
        <v>2373</v>
      </c>
      <c r="B2162" s="113" t="s">
        <v>756</v>
      </c>
    </row>
    <row r="2163" spans="1:2">
      <c r="A2163" s="113" t="s">
        <v>2374</v>
      </c>
      <c r="B2163" s="113" t="s">
        <v>191</v>
      </c>
    </row>
    <row r="2164" spans="1:2">
      <c r="A2164" s="113" t="s">
        <v>2375</v>
      </c>
      <c r="B2164" s="113" t="s">
        <v>191</v>
      </c>
    </row>
    <row r="2165" spans="1:2">
      <c r="A2165" s="113" t="s">
        <v>2376</v>
      </c>
      <c r="B2165" s="113" t="s">
        <v>191</v>
      </c>
    </row>
    <row r="2166" spans="1:2">
      <c r="A2166" s="113" t="s">
        <v>2377</v>
      </c>
      <c r="B2166" s="113" t="s">
        <v>191</v>
      </c>
    </row>
    <row r="2167" spans="1:2">
      <c r="A2167" s="113" t="s">
        <v>2378</v>
      </c>
      <c r="B2167" s="113" t="s">
        <v>191</v>
      </c>
    </row>
    <row r="2168" spans="1:2">
      <c r="A2168" s="113" t="s">
        <v>2379</v>
      </c>
      <c r="B2168" s="113" t="s">
        <v>756</v>
      </c>
    </row>
    <row r="2169" spans="1:2">
      <c r="A2169" s="113" t="s">
        <v>2380</v>
      </c>
      <c r="B2169" s="113" t="s">
        <v>191</v>
      </c>
    </row>
    <row r="2170" spans="1:2">
      <c r="A2170" s="113" t="s">
        <v>2381</v>
      </c>
      <c r="B2170" s="113" t="s">
        <v>756</v>
      </c>
    </row>
    <row r="2171" spans="1:2">
      <c r="A2171" s="113" t="s">
        <v>2382</v>
      </c>
      <c r="B2171" s="113" t="s">
        <v>313</v>
      </c>
    </row>
    <row r="2172" spans="1:2">
      <c r="A2172" s="113" t="s">
        <v>2383</v>
      </c>
      <c r="B2172" s="113" t="s">
        <v>313</v>
      </c>
    </row>
    <row r="2173" spans="1:2">
      <c r="A2173" s="113" t="s">
        <v>2384</v>
      </c>
      <c r="B2173" s="113" t="s">
        <v>313</v>
      </c>
    </row>
    <row r="2174" spans="1:2">
      <c r="A2174" s="113" t="s">
        <v>2385</v>
      </c>
      <c r="B2174" s="113" t="s">
        <v>191</v>
      </c>
    </row>
    <row r="2175" spans="1:2">
      <c r="A2175" s="113" t="s">
        <v>2386</v>
      </c>
      <c r="B2175" s="113" t="s">
        <v>313</v>
      </c>
    </row>
    <row r="2176" spans="1:2">
      <c r="A2176" s="113" t="s">
        <v>2387</v>
      </c>
      <c r="B2176" s="113" t="s">
        <v>756</v>
      </c>
    </row>
    <row r="2177" spans="1:2">
      <c r="A2177" s="113" t="s">
        <v>2388</v>
      </c>
      <c r="B2177" s="113" t="s">
        <v>313</v>
      </c>
    </row>
    <row r="2178" spans="1:2">
      <c r="A2178" s="113" t="s">
        <v>2389</v>
      </c>
      <c r="B2178" s="113" t="s">
        <v>756</v>
      </c>
    </row>
    <row r="2179" spans="1:2">
      <c r="A2179" s="113" t="s">
        <v>2390</v>
      </c>
      <c r="B2179" s="113" t="s">
        <v>193</v>
      </c>
    </row>
    <row r="2180" spans="1:2">
      <c r="A2180" s="113" t="s">
        <v>2391</v>
      </c>
      <c r="B2180" s="113" t="s">
        <v>313</v>
      </c>
    </row>
    <row r="2181" spans="1:2">
      <c r="A2181" s="113" t="s">
        <v>2392</v>
      </c>
      <c r="B2181" s="113" t="s">
        <v>191</v>
      </c>
    </row>
    <row r="2182" spans="1:2">
      <c r="A2182" s="113" t="s">
        <v>2393</v>
      </c>
      <c r="B2182" s="113" t="s">
        <v>191</v>
      </c>
    </row>
    <row r="2183" spans="1:2">
      <c r="A2183" s="113" t="s">
        <v>2394</v>
      </c>
      <c r="B2183" s="113" t="s">
        <v>756</v>
      </c>
    </row>
    <row r="2184" spans="1:2">
      <c r="A2184" s="113" t="s">
        <v>2395</v>
      </c>
      <c r="B2184" s="113" t="s">
        <v>313</v>
      </c>
    </row>
    <row r="2185" spans="1:2">
      <c r="A2185" s="113" t="s">
        <v>2396</v>
      </c>
      <c r="B2185" s="113" t="s">
        <v>193</v>
      </c>
    </row>
    <row r="2186" spans="1:2">
      <c r="A2186" s="113" t="s">
        <v>2397</v>
      </c>
      <c r="B2186" s="113" t="s">
        <v>193</v>
      </c>
    </row>
    <row r="2187" spans="1:2">
      <c r="A2187" s="113" t="s">
        <v>2398</v>
      </c>
      <c r="B2187" s="113" t="s">
        <v>191</v>
      </c>
    </row>
    <row r="2188" spans="1:2">
      <c r="A2188" s="113" t="s">
        <v>2399</v>
      </c>
      <c r="B2188" s="113" t="s">
        <v>193</v>
      </c>
    </row>
    <row r="2189" spans="1:2">
      <c r="A2189" s="113" t="s">
        <v>2400</v>
      </c>
      <c r="B2189" s="113" t="s">
        <v>756</v>
      </c>
    </row>
    <row r="2190" spans="1:2">
      <c r="A2190" s="113" t="s">
        <v>2401</v>
      </c>
      <c r="B2190" s="113" t="s">
        <v>191</v>
      </c>
    </row>
    <row r="2191" spans="1:2">
      <c r="A2191" s="113" t="s">
        <v>2402</v>
      </c>
      <c r="B2191" s="113" t="s">
        <v>191</v>
      </c>
    </row>
    <row r="2192" spans="1:2">
      <c r="A2192" s="113" t="s">
        <v>2403</v>
      </c>
      <c r="B2192" s="113" t="s">
        <v>756</v>
      </c>
    </row>
    <row r="2193" spans="1:2">
      <c r="A2193" s="113" t="s">
        <v>2404</v>
      </c>
      <c r="B2193" s="113" t="s">
        <v>313</v>
      </c>
    </row>
    <row r="2194" spans="1:2">
      <c r="A2194" s="113" t="s">
        <v>2405</v>
      </c>
      <c r="B2194" s="113" t="s">
        <v>756</v>
      </c>
    </row>
  </sheetData>
  <pageMargins left="0.7" right="0.7" top="0.75" bottom="0.75" header="0.3" footer="0.3"/>
  <tableParts count="7">
    <tablePart r:id="rId1"/>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868FC-986F-4528-A451-440D8F8A22B4}">
  <sheetPr codeName="Sheet12"/>
  <dimension ref="A1:GE3369"/>
  <sheetViews>
    <sheetView showGridLines="0" topLeftCell="S1" workbookViewId="0">
      <pane ySplit="9" topLeftCell="A13" activePane="bottomLeft" state="frozen"/>
      <selection activeCell="T18" sqref="T18"/>
      <selection pane="bottomLeft" activeCell="T18" sqref="T18"/>
    </sheetView>
  </sheetViews>
  <sheetFormatPr defaultColWidth="17.140625" defaultRowHeight="15"/>
  <cols>
    <col min="1" max="1" width="4" hidden="1" customWidth="1"/>
    <col min="2" max="2" width="7.7109375" hidden="1" customWidth="1"/>
    <col min="3" max="3" width="12.28515625" style="23" bestFit="1" customWidth="1"/>
    <col min="4" max="4" width="17.140625" style="23"/>
    <col min="5" max="5" width="26.140625" style="23" customWidth="1"/>
    <col min="6" max="6" width="69.7109375" style="23" customWidth="1"/>
    <col min="7" max="7" width="11.7109375" style="23" bestFit="1" customWidth="1"/>
    <col min="8" max="8" width="11.5703125" style="23" customWidth="1"/>
    <col min="9" max="9" width="26" style="23" customWidth="1"/>
    <col min="10" max="10" width="26.28515625" style="23" customWidth="1"/>
    <col min="11" max="11" width="17.140625" style="23"/>
    <col min="12" max="12" width="17.140625" style="1" customWidth="1"/>
    <col min="13" max="16" width="17.140625" customWidth="1"/>
    <col min="17" max="17" width="28.42578125" customWidth="1"/>
    <col min="18" max="18" width="79.7109375" customWidth="1"/>
    <col min="19" max="19" width="86.28515625" style="1" customWidth="1"/>
    <col min="20" max="159" width="17.140625" customWidth="1"/>
  </cols>
  <sheetData>
    <row r="1" spans="1:187" s="4" customFormat="1" ht="52.5" hidden="1" thickBot="1">
      <c r="C1" s="26"/>
      <c r="D1" s="26"/>
      <c r="E1" s="27"/>
      <c r="F1" s="21" t="str">
        <f>General!F115</f>
        <v>HOCopyQuote</v>
      </c>
      <c r="G1" s="28"/>
      <c r="H1" s="28"/>
      <c r="I1" s="29"/>
      <c r="J1" s="26" t="str">
        <f>I6&amp;"\"&amp;I7&amp;"\"&amp;F7&amp;"-Output"</f>
        <v>D:\Playwright-Automation\HOCopyQuote\14COpyQuoteApplicationPage-Output</v>
      </c>
      <c r="K1" s="26"/>
      <c r="L1" s="9"/>
      <c r="S1" s="9"/>
      <c r="U1" s="4" t="e" cm="1">
        <f t="array" ref="U1">_xlfn._xlws.FILTER($R$1:$R$510,$R$1:$R$510 &lt;&gt; "")</f>
        <v>#N/A</v>
      </c>
      <c r="X1" t="s">
        <v>3514</v>
      </c>
      <c r="Y1" t="s">
        <v>3553</v>
      </c>
      <c r="CE1" s="4" t="s">
        <v>2775</v>
      </c>
    </row>
    <row r="2" spans="1:187" s="4" customFormat="1" ht="26.25" hidden="1">
      <c r="C2" s="30"/>
      <c r="D2" s="30"/>
      <c r="E2" s="27"/>
      <c r="F2" s="21" t="str">
        <f>General!F185</f>
        <v>02NewQuote</v>
      </c>
      <c r="G2" s="31"/>
      <c r="H2" s="32"/>
      <c r="I2" s="32"/>
      <c r="J2" s="30" t="s">
        <v>62</v>
      </c>
      <c r="K2" s="30"/>
      <c r="L2" s="9"/>
      <c r="S2" s="9"/>
      <c r="X2" t="s">
        <v>3538</v>
      </c>
      <c r="Y2" t="s">
        <v>3554</v>
      </c>
      <c r="AN2" s="4" t="s">
        <v>25</v>
      </c>
      <c r="AO2" s="4" t="str">
        <f>IFERROR(LEFT(AP2,LEN(AP2)-4),"")</f>
        <v>Billing-CP-Base</v>
      </c>
      <c r="AP2" s="4" t="s">
        <v>20</v>
      </c>
      <c r="BB2" s="3"/>
      <c r="BC2" s="3"/>
      <c r="CE2" s="11" t="s">
        <v>2773</v>
      </c>
    </row>
    <row r="3" spans="1:187" s="4" customFormat="1" ht="51.75" hidden="1">
      <c r="C3" s="30"/>
      <c r="D3" s="30"/>
      <c r="E3" s="32"/>
      <c r="F3" s="32"/>
      <c r="G3" s="32"/>
      <c r="H3" s="32"/>
      <c r="I3" s="32"/>
      <c r="J3" s="30" t="str">
        <f>I6&amp;"\"&amp;I7&amp;"\"&amp;F7&amp;"_new.spec"&amp;".ts"</f>
        <v>D:\Playwright-Automation\HOCopyQuote\14COpyQuoteApplicationPage_new.spec.ts</v>
      </c>
      <c r="K3" s="30"/>
      <c r="L3" s="9"/>
      <c r="S3" s="9"/>
      <c r="X3" t="s">
        <v>3659</v>
      </c>
      <c r="Y3" t="s">
        <v>3555</v>
      </c>
      <c r="AN3" s="4" t="s">
        <v>48</v>
      </c>
      <c r="AO3" s="4" t="str">
        <f t="shared" ref="AO3:AO44" si="0">IFERROR(LEFT(AP3,LEN(AP3)-4),"")</f>
        <v>PAS Conf_New199</v>
      </c>
      <c r="AP3" s="4" t="s">
        <v>25</v>
      </c>
      <c r="CE3" s="4" t="str">
        <f>IF(OR(I14&lt;&gt;"",J14&lt;&gt;"",L14&lt;&gt;""),IF(D14="End","",IF(O14="innerText",I14&amp;"="&amp;IF(C14="Y",IF(J14&lt;&gt;"Y",$S$8&amp;$R$9&amp;"."&amp;E14&amp;")."&amp;IF(OR(O14="click",O14="innerText"),O14&amp;"();",O14&amp;"("&amp;$Q$8&amp;"."&amp;E14&amp;");"),$S$7&amp;$R$9&amp;"."&amp;SUBSTITUTE(E14," ","")&amp;")."&amp;IF(O14="click",O14&amp;"();",O14&amp;"("&amp;"'"&amp;K14&amp;"'"&amp;");")),""),IF(C14="Y",IF(J14&lt;&gt;"Y",$S$8&amp;$R$9&amp;"."&amp;SUBSTITUTE(E14," ","")&amp;")."&amp;IF(OR(O14="click",O14="innerText"),O14&amp;"();",O14&amp;"("&amp;$Q$8&amp;"."&amp;SUBSTITUTE(E14," ","")&amp;");"),$S$7&amp;$R$9&amp;"."&amp;SUBSTITUTE(E14," ","")&amp;")."&amp;IF(O14="click",O14&amp;"();",O14&amp;"("&amp;"'"&amp;K14&amp;"'"&amp;");")),""))),"")</f>
        <v/>
      </c>
    </row>
    <row r="4" spans="1:187" s="4" customFormat="1" ht="51.75" hidden="1">
      <c r="C4" s="30"/>
      <c r="D4" s="30"/>
      <c r="E4" s="32"/>
      <c r="F4" s="32"/>
      <c r="G4" s="32"/>
      <c r="H4" s="32"/>
      <c r="I4" s="32"/>
      <c r="J4" s="30" t="str">
        <f>I6&amp;"\"&amp;I7&amp;"\"&amp;"Pages\"&amp;F7&amp;".spec"&amp;".ts"</f>
        <v>D:\Playwright-Automation\HOCopyQuote\Pages\14COpyQuoteApplicationPage.spec.ts</v>
      </c>
      <c r="K4" s="30"/>
      <c r="L4" s="9"/>
      <c r="S4" s="9"/>
      <c r="V4" s="4" t="s">
        <v>89</v>
      </c>
      <c r="W4" s="4" t="s">
        <v>87</v>
      </c>
      <c r="X4" t="s">
        <v>3660</v>
      </c>
      <c r="Y4" t="s">
        <v>3556</v>
      </c>
      <c r="AF4" s="4" t="s">
        <v>19</v>
      </c>
      <c r="AO4" s="4" t="str">
        <f t="shared" si="0"/>
        <v/>
      </c>
      <c r="CE4" s="4" t="s">
        <v>2774</v>
      </c>
    </row>
    <row r="5" spans="1:187" s="4" customFormat="1" ht="52.5" hidden="1" thickBot="1">
      <c r="C5" s="30"/>
      <c r="D5" s="30"/>
      <c r="E5" s="32"/>
      <c r="F5" s="32"/>
      <c r="G5" s="32"/>
      <c r="H5" s="32"/>
      <c r="I5" s="32"/>
      <c r="J5" s="30" t="str">
        <f>I6&amp;"\"&amp;I7&amp;"\Data\"&amp;F7&amp;"data"&amp;".json"</f>
        <v>D:\Playwright-Automation\HOCopyQuote\Data\14COpyQuoteApplicationPagedata.json</v>
      </c>
      <c r="K5" s="30"/>
      <c r="L5" s="9"/>
      <c r="S5" s="9"/>
      <c r="X5" t="s">
        <v>3661</v>
      </c>
      <c r="Y5" t="s">
        <v>3557</v>
      </c>
      <c r="AD5" s="4" t="s">
        <v>25</v>
      </c>
      <c r="AF5" s="4" t="s">
        <v>24</v>
      </c>
      <c r="AO5" s="4" t="str">
        <f t="shared" si="0"/>
        <v/>
      </c>
      <c r="CE5" s="4" t="str">
        <f>$S$8&amp;$R$9&amp;"."&amp;E14&amp;").innerText();"</f>
        <v>await page.locator(COpyQuoteApplicationPageLocator1.Click on  mat-select-0).innerText();</v>
      </c>
    </row>
    <row r="6" spans="1:187" s="4" customFormat="1" ht="52.5" hidden="1" thickBot="1">
      <c r="C6" s="30"/>
      <c r="D6" s="32"/>
      <c r="E6" s="33"/>
      <c r="F6" s="33"/>
      <c r="G6" s="33"/>
      <c r="H6" s="27" t="s">
        <v>46</v>
      </c>
      <c r="I6" s="34" t="str">
        <f>General!F8</f>
        <v>D:\Playwright-Automation</v>
      </c>
      <c r="J6" s="30" t="str">
        <f>I6&amp;"\"&amp;I7&amp;"\POM\"&amp;F7&amp;"Locator"&amp;".json"</f>
        <v>D:\Playwright-Automation\HOCopyQuote\POM\14COpyQuoteApplicationPageLocator.json</v>
      </c>
      <c r="K6" s="30"/>
      <c r="L6" s="9"/>
      <c r="S6" s="9"/>
      <c r="X6" t="s">
        <v>3662</v>
      </c>
      <c r="Y6" t="s">
        <v>3552</v>
      </c>
      <c r="AD6" s="4" t="s">
        <v>48</v>
      </c>
      <c r="AO6" s="4" t="str">
        <f t="shared" si="0"/>
        <v/>
      </c>
      <c r="BB6" s="3"/>
      <c r="BC6" s="3"/>
      <c r="CE6" s="4" t="s">
        <v>2776</v>
      </c>
    </row>
    <row r="7" spans="1:187" s="4" customFormat="1" ht="27" hidden="1" thickBot="1">
      <c r="C7" s="30"/>
      <c r="D7" s="30"/>
      <c r="E7" s="27" t="s">
        <v>45</v>
      </c>
      <c r="F7" s="35" t="s">
        <v>3553</v>
      </c>
      <c r="G7" s="36"/>
      <c r="H7" s="27" t="s">
        <v>42</v>
      </c>
      <c r="I7" s="37" t="str">
        <f>General!F9</f>
        <v>HOCopyQuote</v>
      </c>
      <c r="J7" s="30" t="str">
        <f>I6&amp;"\"&amp;I7</f>
        <v>D:\Playwright-Automation\HOCopyQuote</v>
      </c>
      <c r="K7" s="30"/>
      <c r="L7" s="9"/>
      <c r="S7" s="9" t="s">
        <v>39</v>
      </c>
      <c r="T7" s="4" t="s">
        <v>38</v>
      </c>
      <c r="X7" t="s">
        <v>3663</v>
      </c>
      <c r="Y7" t="s">
        <v>3547</v>
      </c>
      <c r="AO7" s="4" t="str">
        <f t="shared" si="0"/>
        <v/>
      </c>
      <c r="BB7" s="3"/>
      <c r="BC7" s="3"/>
      <c r="CE7" s="4" t="s">
        <v>2777</v>
      </c>
    </row>
    <row r="8" spans="1:187" s="4" customFormat="1" ht="27" thickBot="1">
      <c r="C8" s="38"/>
      <c r="D8" s="38"/>
      <c r="E8" s="39"/>
      <c r="F8" s="40" t="str">
        <f>SUBSTITUTE(RIGHT(F7,LEN(F7)-2)," ","")</f>
        <v>COpyQuoteApplicationPage</v>
      </c>
      <c r="G8" s="41"/>
      <c r="H8" s="39" t="s">
        <v>43</v>
      </c>
      <c r="I8" s="42" t="s">
        <v>44</v>
      </c>
      <c r="J8" s="30" t="s">
        <v>41</v>
      </c>
      <c r="K8" s="38" t="str">
        <f>"/Output/"&amp;I8</f>
        <v>/Output/HO-Pol-data.xlsx</v>
      </c>
      <c r="L8" s="9"/>
      <c r="Q8" s="10" t="s">
        <v>2765</v>
      </c>
      <c r="S8" s="9" t="s">
        <v>34</v>
      </c>
      <c r="X8" t="s">
        <v>3664</v>
      </c>
      <c r="Y8" t="s">
        <v>3548</v>
      </c>
      <c r="AO8" s="4" t="str">
        <f t="shared" si="0"/>
        <v/>
      </c>
      <c r="BB8" s="3"/>
      <c r="BC8" s="3"/>
    </row>
    <row r="9" spans="1:187" s="4" customFormat="1" ht="15.75" thickBot="1">
      <c r="A9" s="10"/>
      <c r="B9"/>
      <c r="C9" s="43" t="s">
        <v>9</v>
      </c>
      <c r="D9" s="43" t="s">
        <v>0</v>
      </c>
      <c r="E9" s="43" t="s">
        <v>26</v>
      </c>
      <c r="F9" s="43" t="s">
        <v>92</v>
      </c>
      <c r="G9" s="43" t="s">
        <v>8</v>
      </c>
      <c r="H9" s="43" t="s">
        <v>32</v>
      </c>
      <c r="I9" s="43" t="s">
        <v>93</v>
      </c>
      <c r="J9" s="43" t="s">
        <v>36</v>
      </c>
      <c r="K9" s="43" t="s">
        <v>37</v>
      </c>
      <c r="L9" s="43" t="s">
        <v>100</v>
      </c>
      <c r="M9" s="10" t="s">
        <v>32</v>
      </c>
      <c r="N9" s="10" t="str">
        <f>SUBSTITUTE(F7&amp;"_locators.json"," ","")</f>
        <v>14COpyQuoteApplicationPage_locators.json</v>
      </c>
      <c r="O9" s="10"/>
      <c r="P9" s="10"/>
      <c r="Q9" s="10"/>
      <c r="R9" s="10" t="str">
        <f>F8&amp;"Locator1"</f>
        <v>COpyQuoteApplicationPageLocator1</v>
      </c>
      <c r="S9" s="126" t="s">
        <v>33</v>
      </c>
      <c r="T9" s="10"/>
      <c r="U9" s="10"/>
      <c r="V9" s="10"/>
      <c r="W9" s="10"/>
      <c r="X9" s="10" t="s">
        <v>3665</v>
      </c>
      <c r="Y9" t="s">
        <v>3549</v>
      </c>
      <c r="AO9" s="4" t="str">
        <f t="shared" si="0"/>
        <v/>
      </c>
      <c r="BB9" s="3"/>
      <c r="BC9" s="3"/>
      <c r="CI9" s="4" t="str" cm="1">
        <f t="array" ref="CI9:CI12">_xlfn._xlws.FILTER($S$1:$S$500,$S$1:$S$500 &lt;&gt; "")</f>
        <v>await expect(</v>
      </c>
    </row>
    <row r="10" spans="1:187" s="4" customFormat="1" ht="30">
      <c r="A10"/>
      <c r="B10"/>
      <c r="C10" s="44"/>
      <c r="D10" s="44" t="s">
        <v>13</v>
      </c>
      <c r="E10" s="44" t="s">
        <v>3517</v>
      </c>
      <c r="F10" s="44" t="s">
        <v>3526</v>
      </c>
      <c r="G10" s="44" t="s">
        <v>6</v>
      </c>
      <c r="H10" s="44" t="s">
        <v>7</v>
      </c>
      <c r="I10" s="44"/>
      <c r="J10" s="44"/>
      <c r="K10" s="44"/>
      <c r="L10" s="44"/>
      <c r="M10" t="str">
        <f>IF(H10="id",""""&amp;"//*[@id=\"&amp;"""",""""&amp;"//*[@class=\"&amp;"""")</f>
        <v>"//*[@class=\"</v>
      </c>
      <c r="N10" t="s">
        <v>31</v>
      </c>
      <c r="O10" s="4" t="str">
        <f>IF(D10="input","fill",IF(I10&lt;&gt;"","innerText",IF(J10="Y",$T$7,"click")))</f>
        <v>click</v>
      </c>
      <c r="P10" t="str">
        <f>IF(OR(O10="Click",O10="innerText"),"();","("&amp;""""&amp;K10&amp;""""&amp;");")</f>
        <v>();</v>
      </c>
      <c r="Q10" t="str">
        <f t="shared" ref="Q10:Q29" si="1">IF(C10="Y",IF(H10&lt;&gt;"Xpath",M10&amp;F10&amp;N10,""""&amp;F10&amp;""""),"")</f>
        <v/>
      </c>
      <c r="R10" t="str">
        <f>IF(C10="Y",""""&amp;SUBSTITUTE(E10," ","")&amp;""""&amp;":"&amp;Q10&amp;"","")</f>
        <v/>
      </c>
      <c r="S10" s="1" t="str">
        <f>IF(C10="Y",IF(D10&lt;&gt;"mat-select",IF(D10="End","",IF(O10="innerText",I10&amp;"="&amp;IF(C10="Y",IF(J10&lt;&gt;"Y",$S$8&amp;$R$9&amp;"."&amp;E10&amp;")."&amp;IF(OR(O10="click",O10="innerText"),O10&amp;"();",O10&amp;"("&amp;$Q$8&amp;"."&amp;E10&amp;");"),$S$7&amp;$R$9&amp;"."&amp;SUBSTITUTE(E10," ","")&amp;")."&amp;IF(O10="click",O10&amp;"();",O10&amp;"("&amp;"'"&amp;K10&amp;"'"&amp;");")),""),IF(C10="Y",IF(J10&lt;&gt;"Y",$S$8&amp;$R$9&amp;"."&amp;SUBSTITUTE(E10," ","")&amp;")."&amp;IF(OR(O10="click",O10="innerText"),O10&amp;"();",O10&amp;"("&amp;$Q$8&amp;"."&amp;SUBSTITUTE(E10," ","")&amp;");"),$S$7&amp;$R$9&amp;"."&amp;SUBSTITUTE(E10," ","")&amp;")."&amp;IF(O10="click",O10&amp;"();",O10&amp;"("&amp;"'"&amp;K10&amp;"'"&amp;");")),""))),"let form"&amp;Z10&amp;": String;"&amp;"for (let i = 1; i &lt; 30; i++) {"&amp;$S$8&amp;$R$9&amp;"."&amp;SUBSTITUTE(E10," ","")&amp;").click();"&amp;$CE$4&amp; "form"&amp;Z10&amp;"="&amp; $S$8&amp;$R$9&amp;"."&amp;SUBSTITUTE(E10," ","")&amp;").innerText();" &amp;"if ("&amp;"form"&amp;Z10&amp;"=="&amp; "Data[index]."&amp;SUBSTITUTE(E10," ","") &amp;"){"&amp;$CE$7),"")</f>
        <v/>
      </c>
      <c r="T10"/>
      <c r="U10"/>
      <c r="V10"/>
      <c r="W10"/>
      <c r="X10" t="s">
        <v>3666</v>
      </c>
      <c r="Y10" t="s">
        <v>3550</v>
      </c>
      <c r="Z10">
        <v>1</v>
      </c>
      <c r="AA10"/>
      <c r="AB10"/>
      <c r="AC10" s="6"/>
      <c r="AD10" s="6"/>
      <c r="AE10" s="6"/>
      <c r="AO10" s="4" t="str">
        <f t="shared" si="0"/>
        <v/>
      </c>
      <c r="BB10" s="3"/>
      <c r="BC10" s="3"/>
      <c r="CA10" s="4" t="str" cm="1">
        <f t="array" ref="CA10:CA11">_xlfn._xlws.FILTER($R$1:$R$500,$R$1:$R$500 &lt;&gt; "")</f>
        <v>COpyQuoteApplicationPageLocator1</v>
      </c>
      <c r="CI10" s="4" t="str">
        <v>await page.locator(</v>
      </c>
    </row>
    <row r="11" spans="1:187" s="4" customFormat="1" ht="30">
      <c r="A11"/>
      <c r="B11"/>
      <c r="C11" s="44"/>
      <c r="D11" s="44" t="s">
        <v>13</v>
      </c>
      <c r="E11" s="44" t="s">
        <v>3517</v>
      </c>
      <c r="F11" s="44" t="s">
        <v>3527</v>
      </c>
      <c r="G11" s="44" t="s">
        <v>6</v>
      </c>
      <c r="H11" s="44" t="s">
        <v>7</v>
      </c>
      <c r="I11" s="44"/>
      <c r="J11" s="44"/>
      <c r="K11" s="44"/>
      <c r="L11" s="44"/>
      <c r="M11" t="str">
        <f t="shared" ref="M11:M74" si="2">IF(H11="id",""""&amp;"//*[@id=\"&amp;"""",""""&amp;"//*[@class=\"&amp;"""")</f>
        <v>"//*[@class=\"</v>
      </c>
      <c r="N11" t="s">
        <v>31</v>
      </c>
      <c r="O11" s="4" t="str">
        <f>IF(D11="input","fill",IF(I11&lt;&gt;"","innerText",IF(J11="Y",$T$7,"click")))</f>
        <v>click</v>
      </c>
      <c r="P11" t="str">
        <f>IF(OR(O11="Click",O11="innerText"),"();","("&amp;""""&amp;K11&amp;""""&amp;");")</f>
        <v>();</v>
      </c>
      <c r="Q11" t="str">
        <f t="shared" si="1"/>
        <v/>
      </c>
      <c r="R11" t="str">
        <f t="shared" ref="R11:R74" si="3">IF(C11="Y",""""&amp;SUBSTITUTE(E11," ","")&amp;""""&amp;":"&amp;Q11&amp;"","")</f>
        <v/>
      </c>
      <c r="S11" s="1" t="str">
        <f t="shared" ref="S11:S74" si="4">IF(C11="Y",IF(D11&lt;&gt;"mat-select",IF(D11="End","",IF(O11="innerText",I11&amp;"="&amp;IF(C11="Y",IF(J11&lt;&gt;"Y",$S$8&amp;$R$9&amp;"."&amp;E11&amp;")."&amp;IF(OR(O11="click",O11="innerText"),O11&amp;"();",O11&amp;"("&amp;$Q$8&amp;"."&amp;E11&amp;");"),$S$7&amp;$R$9&amp;"."&amp;SUBSTITUTE(E11," ","")&amp;")."&amp;IF(O11="click",O11&amp;"();",O11&amp;"("&amp;"'"&amp;K11&amp;"'"&amp;");")),""),IF(C11="Y",IF(J11&lt;&gt;"Y",$S$8&amp;$R$9&amp;"."&amp;SUBSTITUTE(E11," ","")&amp;")."&amp;IF(OR(O11="click",O11="innerText"),O11&amp;"();",O11&amp;"("&amp;$Q$8&amp;"."&amp;SUBSTITUTE(E11," ","")&amp;");"),$S$7&amp;$R$9&amp;"."&amp;SUBSTITUTE(E11," ","")&amp;")."&amp;IF(O11="click",O11&amp;"();",O11&amp;"("&amp;"'"&amp;K11&amp;"'"&amp;");")),""))),"let form"&amp;Z11&amp;": String;"&amp;"for (let i = 1; i &lt; 30; i++) {"&amp;$S$8&amp;$R$9&amp;"."&amp;SUBSTITUTE(E11," ","")&amp;").click();"&amp;$CE$4&amp; "form"&amp;Z11&amp;"="&amp; $S$8&amp;$R$9&amp;"."&amp;SUBSTITUTE(E11," ","")&amp;").innerText();" &amp;"if ("&amp;"form"&amp;Z11&amp;"=="&amp; "Data[index]."&amp;SUBSTITUTE(E11," ","") &amp;"){"&amp;$CE$7),"")</f>
        <v/>
      </c>
      <c r="T11"/>
      <c r="U11"/>
      <c r="V11"/>
      <c r="W11"/>
      <c r="X11" t="s">
        <v>3667</v>
      </c>
      <c r="Y11" t="s">
        <v>3551</v>
      </c>
      <c r="Z11">
        <v>2</v>
      </c>
      <c r="AA11"/>
      <c r="AB11"/>
      <c r="AC11" s="24"/>
      <c r="AD11" s="24"/>
      <c r="AE11" s="24"/>
      <c r="BB11" s="3"/>
      <c r="BC11" s="3"/>
      <c r="CA11" s="4" t="str">
        <v>"VerifyPayorName":"//html/body/app-root/div/div/app-quote-stepper/div/div[2]/form/mat-horizontal-stepper/div/div[2]/div[4]/div/mat-card/mat-card-content/app-application/div/app-billing-information/div/div[1]/app-payor-information/div[2]/div/div/div[4]/div/mat-form-field/div[1]/div/div[2]/mat-select/div/div[1]/span/span"</v>
      </c>
      <c r="CI11" s="4" t="str">
        <v>Script</v>
      </c>
    </row>
    <row r="12" spans="1:187" s="4" customFormat="1" ht="30">
      <c r="A12"/>
      <c r="B12"/>
      <c r="C12" s="44"/>
      <c r="D12" s="44" t="s">
        <v>13</v>
      </c>
      <c r="E12" s="44" t="s">
        <v>3517</v>
      </c>
      <c r="F12" s="44" t="s">
        <v>3518</v>
      </c>
      <c r="G12" s="44" t="s">
        <v>6</v>
      </c>
      <c r="H12" s="44" t="s">
        <v>7</v>
      </c>
      <c r="I12" s="44"/>
      <c r="J12" s="44"/>
      <c r="K12" s="44"/>
      <c r="L12" s="44"/>
      <c r="M12" t="str">
        <f t="shared" si="2"/>
        <v>"//*[@class=\"</v>
      </c>
      <c r="N12" t="s">
        <v>31</v>
      </c>
      <c r="O12" s="4" t="str">
        <f t="shared" ref="O12:O29" si="5">IF(D12="input","fill",IF(I12&lt;&gt;"","innerText",IF(J12="Y",$T$7,"click")))</f>
        <v>click</v>
      </c>
      <c r="P12" t="str">
        <f t="shared" ref="P12:P29" si="6">IF(OR(O12="Click",O12="innerText"),"();","("&amp;""""&amp;K12&amp;""""&amp;");")</f>
        <v>();</v>
      </c>
      <c r="Q12" t="str">
        <f t="shared" si="1"/>
        <v/>
      </c>
      <c r="R12" t="str">
        <f t="shared" si="3"/>
        <v/>
      </c>
      <c r="S12" s="1" t="str">
        <f t="shared" si="4"/>
        <v/>
      </c>
      <c r="T12"/>
      <c r="U12"/>
      <c r="V12"/>
      <c r="W12"/>
      <c r="X12" t="s">
        <v>3668</v>
      </c>
      <c r="Y12" t="s">
        <v>3516</v>
      </c>
      <c r="Z12">
        <v>3</v>
      </c>
      <c r="AA12"/>
      <c r="AB12"/>
      <c r="AC12" s="24"/>
      <c r="AD12" s="24"/>
      <c r="AE12" s="24"/>
      <c r="BB12" s="3"/>
      <c r="BC12" s="3"/>
      <c r="CI12" s="4" t="str">
        <v>Y=await expect(COpyQuoteApplicationPageLocator1.VerifyPayorName).innerText('Dwyne Jhonson');</v>
      </c>
    </row>
    <row r="13" spans="1:187" s="4" customFormat="1" ht="30">
      <c r="A13"/>
      <c r="B13"/>
      <c r="C13" s="44"/>
      <c r="D13" s="44" t="s">
        <v>13</v>
      </c>
      <c r="E13" s="44" t="s">
        <v>3517</v>
      </c>
      <c r="F13" s="44" t="s">
        <v>3519</v>
      </c>
      <c r="G13" s="44" t="s">
        <v>6</v>
      </c>
      <c r="H13" s="44" t="s">
        <v>7</v>
      </c>
      <c r="I13" s="44"/>
      <c r="J13" s="44"/>
      <c r="K13" s="44"/>
      <c r="L13" s="44"/>
      <c r="M13" t="str">
        <f t="shared" si="2"/>
        <v>"//*[@class=\"</v>
      </c>
      <c r="N13" t="s">
        <v>31</v>
      </c>
      <c r="O13" s="4" t="str">
        <f t="shared" si="5"/>
        <v>click</v>
      </c>
      <c r="P13" t="str">
        <f t="shared" si="6"/>
        <v>();</v>
      </c>
      <c r="Q13" t="str">
        <f t="shared" si="1"/>
        <v/>
      </c>
      <c r="R13" t="str">
        <f t="shared" si="3"/>
        <v/>
      </c>
      <c r="S13" s="1" t="str">
        <f t="shared" si="4"/>
        <v/>
      </c>
      <c r="T13"/>
      <c r="U13"/>
      <c r="V13"/>
      <c r="W13"/>
      <c r="X13" t="s">
        <v>3669</v>
      </c>
      <c r="Y13" t="s">
        <v>3503</v>
      </c>
      <c r="Z13">
        <v>4</v>
      </c>
      <c r="AA13"/>
      <c r="AB13"/>
      <c r="AC13" s="24"/>
      <c r="AD13" s="24"/>
      <c r="AE13" s="24"/>
      <c r="BB13" s="3"/>
      <c r="BC13" s="3"/>
    </row>
    <row r="14" spans="1:187" ht="45">
      <c r="C14" s="44"/>
      <c r="D14" s="44" t="s">
        <v>21</v>
      </c>
      <c r="E14" s="44" t="s">
        <v>3520</v>
      </c>
      <c r="F14" s="44" t="s">
        <v>3521</v>
      </c>
      <c r="G14" s="44" t="s">
        <v>6</v>
      </c>
      <c r="H14" s="44" t="s">
        <v>7</v>
      </c>
      <c r="I14" s="44"/>
      <c r="J14" s="44"/>
      <c r="K14" s="44"/>
      <c r="L14" s="44"/>
      <c r="M14" t="str">
        <f t="shared" si="2"/>
        <v>"//*[@class=\"</v>
      </c>
      <c r="N14" t="s">
        <v>31</v>
      </c>
      <c r="O14" s="4" t="str">
        <f t="shared" si="5"/>
        <v>click</v>
      </c>
      <c r="P14" t="str">
        <f t="shared" si="6"/>
        <v>();</v>
      </c>
      <c r="Q14" t="str">
        <f t="shared" si="1"/>
        <v/>
      </c>
      <c r="R14" t="str">
        <f t="shared" si="3"/>
        <v/>
      </c>
      <c r="S14" s="1" t="str">
        <f t="shared" si="4"/>
        <v/>
      </c>
      <c r="U14" t="str" cm="1">
        <f t="array" ref="U14:U18">_xlfn._xlws.FILTER($I$1:$I$398,$I$1:$I$398 &lt;&gt; "")</f>
        <v>D:\Playwright-Automation</v>
      </c>
      <c r="X14" t="s">
        <v>3558</v>
      </c>
      <c r="Y14" t="s">
        <v>103</v>
      </c>
      <c r="Z14">
        <v>5</v>
      </c>
      <c r="AO14" s="4" t="str">
        <f t="shared" si="0"/>
        <v/>
      </c>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row>
    <row r="15" spans="1:187" ht="30">
      <c r="C15" s="44"/>
      <c r="D15" s="44" t="s">
        <v>11</v>
      </c>
      <c r="E15" s="44" t="s">
        <v>3522</v>
      </c>
      <c r="F15" s="44" t="s">
        <v>3523</v>
      </c>
      <c r="G15" s="44" t="s">
        <v>6</v>
      </c>
      <c r="H15" s="44" t="s">
        <v>7</v>
      </c>
      <c r="I15" s="44"/>
      <c r="J15" s="44"/>
      <c r="K15" s="44"/>
      <c r="L15" s="44"/>
      <c r="M15" t="str">
        <f t="shared" si="2"/>
        <v>"//*[@class=\"</v>
      </c>
      <c r="N15" t="s">
        <v>31</v>
      </c>
      <c r="O15" s="4" t="str">
        <f t="shared" si="5"/>
        <v>fill</v>
      </c>
      <c r="P15" t="str">
        <f t="shared" si="6"/>
        <v>("");</v>
      </c>
      <c r="Q15" t="str">
        <f t="shared" si="1"/>
        <v/>
      </c>
      <c r="R15" t="str">
        <f t="shared" si="3"/>
        <v/>
      </c>
      <c r="S15" s="1" t="str">
        <f t="shared" si="4"/>
        <v/>
      </c>
      <c r="U15" t="str">
        <v>HOCopyQuote</v>
      </c>
      <c r="X15" t="s">
        <v>3670</v>
      </c>
      <c r="Z15">
        <v>6</v>
      </c>
      <c r="AO15" s="4" t="str">
        <f t="shared" si="0"/>
        <v/>
      </c>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row>
    <row r="16" spans="1:187" ht="30">
      <c r="C16" s="44"/>
      <c r="D16" s="44" t="s">
        <v>12</v>
      </c>
      <c r="E16" s="44" t="s">
        <v>3517</v>
      </c>
      <c r="F16" s="44" t="s">
        <v>3524</v>
      </c>
      <c r="G16" s="44" t="s">
        <v>6</v>
      </c>
      <c r="H16" s="44" t="s">
        <v>7</v>
      </c>
      <c r="I16" s="44"/>
      <c r="J16" s="44"/>
      <c r="K16" s="44"/>
      <c r="L16" s="44"/>
      <c r="M16" t="str">
        <f t="shared" si="2"/>
        <v>"//*[@class=\"</v>
      </c>
      <c r="N16" t="s">
        <v>31</v>
      </c>
      <c r="O16" s="4" t="str">
        <f t="shared" si="5"/>
        <v>click</v>
      </c>
      <c r="P16" t="str">
        <f t="shared" si="6"/>
        <v>();</v>
      </c>
      <c r="Q16" t="str">
        <f t="shared" si="1"/>
        <v/>
      </c>
      <c r="R16" t="str">
        <f t="shared" si="3"/>
        <v/>
      </c>
      <c r="S16" s="1" t="str">
        <f t="shared" si="4"/>
        <v/>
      </c>
      <c r="U16" t="str">
        <v>HO-Pol-data.xlsx</v>
      </c>
      <c r="X16" t="s">
        <v>3529</v>
      </c>
      <c r="Z16">
        <v>7</v>
      </c>
      <c r="AO16" s="4" t="str">
        <f t="shared" si="0"/>
        <v/>
      </c>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row>
    <row r="17" spans="1:187" ht="45">
      <c r="C17" s="44"/>
      <c r="D17" s="44" t="s">
        <v>13</v>
      </c>
      <c r="E17" s="44" t="s">
        <v>3517</v>
      </c>
      <c r="F17" s="44" t="s">
        <v>3565</v>
      </c>
      <c r="G17" s="44" t="s">
        <v>6</v>
      </c>
      <c r="H17" s="44" t="s">
        <v>7</v>
      </c>
      <c r="I17" s="44"/>
      <c r="J17" s="44"/>
      <c r="K17" s="44"/>
      <c r="L17" s="44"/>
      <c r="M17" t="str">
        <f t="shared" si="2"/>
        <v>"//*[@class=\"</v>
      </c>
      <c r="N17" t="s">
        <v>31</v>
      </c>
      <c r="O17" s="4" t="str">
        <f t="shared" si="5"/>
        <v>click</v>
      </c>
      <c r="P17" t="str">
        <f t="shared" si="6"/>
        <v>();</v>
      </c>
      <c r="Q17" t="str">
        <f t="shared" si="1"/>
        <v/>
      </c>
      <c r="R17" t="str">
        <f t="shared" si="3"/>
        <v/>
      </c>
      <c r="S17" s="1" t="str">
        <f t="shared" si="4"/>
        <v/>
      </c>
      <c r="U17" t="str">
        <v>Verification</v>
      </c>
      <c r="X17" t="s">
        <v>3530</v>
      </c>
      <c r="Z17">
        <v>8</v>
      </c>
      <c r="AO17" s="4" t="str">
        <f t="shared" si="0"/>
        <v/>
      </c>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row>
    <row r="18" spans="1:187" ht="60">
      <c r="C18" s="44"/>
      <c r="D18" s="44" t="s">
        <v>3528</v>
      </c>
      <c r="E18" s="44" t="s">
        <v>3517</v>
      </c>
      <c r="F18" s="44" t="s">
        <v>3566</v>
      </c>
      <c r="G18" s="44" t="s">
        <v>6</v>
      </c>
      <c r="H18" s="44" t="s">
        <v>7</v>
      </c>
      <c r="I18" s="44"/>
      <c r="J18" s="44"/>
      <c r="K18" s="44"/>
      <c r="L18" s="44"/>
      <c r="M18" t="str">
        <f t="shared" si="2"/>
        <v>"//*[@class=\"</v>
      </c>
      <c r="N18" t="s">
        <v>31</v>
      </c>
      <c r="O18" s="4" t="str">
        <f t="shared" si="5"/>
        <v>click</v>
      </c>
      <c r="P18" t="str">
        <f t="shared" si="6"/>
        <v>();</v>
      </c>
      <c r="Q18" t="str">
        <f t="shared" si="1"/>
        <v/>
      </c>
      <c r="R18" t="str">
        <f t="shared" si="3"/>
        <v/>
      </c>
      <c r="S18" s="1" t="str">
        <f t="shared" si="4"/>
        <v/>
      </c>
      <c r="U18" t="str">
        <v>Y</v>
      </c>
      <c r="X18" t="s">
        <v>3531</v>
      </c>
      <c r="Z18">
        <v>9</v>
      </c>
      <c r="AO18" s="4" t="str">
        <f t="shared" si="0"/>
        <v/>
      </c>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row>
    <row r="19" spans="1:187" ht="75">
      <c r="C19" s="44"/>
      <c r="D19" s="44" t="s">
        <v>3528</v>
      </c>
      <c r="E19" s="44" t="s">
        <v>3517</v>
      </c>
      <c r="F19" s="44" t="s">
        <v>3567</v>
      </c>
      <c r="G19" s="44" t="s">
        <v>6</v>
      </c>
      <c r="H19" s="44" t="s">
        <v>7</v>
      </c>
      <c r="I19" s="44"/>
      <c r="J19" s="44"/>
      <c r="K19" s="44"/>
      <c r="L19" s="44"/>
      <c r="M19" t="str">
        <f t="shared" si="2"/>
        <v>"//*[@class=\"</v>
      </c>
      <c r="N19" t="s">
        <v>31</v>
      </c>
      <c r="O19" s="4" t="str">
        <f t="shared" si="5"/>
        <v>click</v>
      </c>
      <c r="P19" t="str">
        <f t="shared" si="6"/>
        <v>();</v>
      </c>
      <c r="Q19" t="str">
        <f t="shared" si="1"/>
        <v/>
      </c>
      <c r="R19" t="str">
        <f t="shared" si="3"/>
        <v/>
      </c>
      <c r="S19" s="1" t="str">
        <f t="shared" si="4"/>
        <v/>
      </c>
      <c r="X19" t="s">
        <v>3532</v>
      </c>
      <c r="Z19">
        <v>10</v>
      </c>
      <c r="AO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row>
    <row r="20" spans="1:187" s="4" customFormat="1" ht="75">
      <c r="A20"/>
      <c r="B20"/>
      <c r="C20" s="44"/>
      <c r="D20" s="44" t="s">
        <v>13</v>
      </c>
      <c r="E20" s="44" t="s">
        <v>3517</v>
      </c>
      <c r="F20" s="44" t="s">
        <v>3568</v>
      </c>
      <c r="G20" s="44" t="s">
        <v>6</v>
      </c>
      <c r="H20" s="44" t="s">
        <v>7</v>
      </c>
      <c r="I20" s="44"/>
      <c r="J20" s="44"/>
      <c r="K20" s="44"/>
      <c r="L20" s="44"/>
      <c r="M20" t="str">
        <f t="shared" si="2"/>
        <v>"//*[@class=\"</v>
      </c>
      <c r="N20" t="s">
        <v>31</v>
      </c>
      <c r="O20" s="4" t="str">
        <f t="shared" si="5"/>
        <v>click</v>
      </c>
      <c r="P20" t="str">
        <f t="shared" si="6"/>
        <v>();</v>
      </c>
      <c r="Q20" t="str">
        <f t="shared" si="1"/>
        <v/>
      </c>
      <c r="R20" t="str">
        <f t="shared" si="3"/>
        <v/>
      </c>
      <c r="S20" s="1" t="str">
        <f t="shared" si="4"/>
        <v/>
      </c>
      <c r="T20"/>
      <c r="U20"/>
      <c r="V20"/>
      <c r="W20"/>
      <c r="X20" t="s">
        <v>3533</v>
      </c>
      <c r="Y20"/>
      <c r="Z20">
        <v>11</v>
      </c>
      <c r="AA20"/>
      <c r="AB20"/>
      <c r="AC20" s="6"/>
      <c r="AD20" s="6"/>
      <c r="AE20" s="6"/>
      <c r="AO20" s="4" t="str">
        <f t="shared" si="0"/>
        <v/>
      </c>
      <c r="BB20" s="3"/>
      <c r="BC20" s="3"/>
    </row>
    <row r="21" spans="1:187" s="4" customFormat="1" ht="75">
      <c r="A21"/>
      <c r="B21"/>
      <c r="C21" s="44"/>
      <c r="D21" s="44" t="s">
        <v>3528</v>
      </c>
      <c r="E21" s="44" t="s">
        <v>3517</v>
      </c>
      <c r="F21" s="44" t="s">
        <v>3569</v>
      </c>
      <c r="G21" s="44" t="s">
        <v>6</v>
      </c>
      <c r="H21" s="44" t="s">
        <v>7</v>
      </c>
      <c r="I21" s="44"/>
      <c r="J21" s="44"/>
      <c r="K21" s="44"/>
      <c r="L21" s="44"/>
      <c r="M21" t="str">
        <f t="shared" si="2"/>
        <v>"//*[@class=\"</v>
      </c>
      <c r="N21" t="s">
        <v>31</v>
      </c>
      <c r="O21" s="4" t="str">
        <f t="shared" si="5"/>
        <v>click</v>
      </c>
      <c r="P21" t="str">
        <f t="shared" si="6"/>
        <v>();</v>
      </c>
      <c r="Q21" t="str">
        <f t="shared" si="1"/>
        <v/>
      </c>
      <c r="R21" t="str">
        <f t="shared" si="3"/>
        <v/>
      </c>
      <c r="S21" s="1" t="str">
        <f t="shared" si="4"/>
        <v/>
      </c>
      <c r="T21"/>
      <c r="U21"/>
      <c r="V21"/>
      <c r="W21"/>
      <c r="X21" t="s">
        <v>3514</v>
      </c>
      <c r="Y21"/>
      <c r="Z21">
        <v>12</v>
      </c>
      <c r="AA21"/>
      <c r="AB21"/>
      <c r="AC21" s="6"/>
      <c r="AD21" s="6"/>
      <c r="AE21" s="6"/>
      <c r="AO21" s="4" t="str">
        <f t="shared" si="0"/>
        <v/>
      </c>
      <c r="BB21" s="3"/>
      <c r="BC21" s="3"/>
    </row>
    <row r="22" spans="1:187" s="4" customFormat="1" ht="75">
      <c r="A22"/>
      <c r="B22"/>
      <c r="C22" s="44"/>
      <c r="D22" s="44" t="s">
        <v>3528</v>
      </c>
      <c r="E22" s="44" t="s">
        <v>3517</v>
      </c>
      <c r="F22" s="44" t="s">
        <v>3570</v>
      </c>
      <c r="G22" s="44" t="s">
        <v>6</v>
      </c>
      <c r="H22" s="44" t="s">
        <v>7</v>
      </c>
      <c r="I22" s="44"/>
      <c r="J22" s="44"/>
      <c r="K22" s="44"/>
      <c r="L22" s="44"/>
      <c r="M22" t="str">
        <f t="shared" si="2"/>
        <v>"//*[@class=\"</v>
      </c>
      <c r="N22" t="s">
        <v>31</v>
      </c>
      <c r="O22" s="4" t="str">
        <f t="shared" si="5"/>
        <v>click</v>
      </c>
      <c r="P22" t="str">
        <f t="shared" si="6"/>
        <v>();</v>
      </c>
      <c r="Q22" t="str">
        <f t="shared" si="1"/>
        <v/>
      </c>
      <c r="R22" t="str">
        <f t="shared" si="3"/>
        <v/>
      </c>
      <c r="S22" s="1" t="str">
        <f t="shared" si="4"/>
        <v/>
      </c>
      <c r="T22"/>
      <c r="U22"/>
      <c r="V22"/>
      <c r="W22"/>
      <c r="X22" t="s">
        <v>3534</v>
      </c>
      <c r="Y22"/>
      <c r="Z22">
        <v>13</v>
      </c>
      <c r="AA22"/>
      <c r="AB22"/>
      <c r="AC22" s="6"/>
      <c r="AD22" s="6"/>
      <c r="AE22" s="6"/>
      <c r="AO22" s="4" t="str">
        <f t="shared" si="0"/>
        <v/>
      </c>
      <c r="BB22" s="3"/>
      <c r="BC22" s="3"/>
    </row>
    <row r="23" spans="1:187" s="4" customFormat="1" ht="75">
      <c r="A23"/>
      <c r="B23"/>
      <c r="C23" s="44"/>
      <c r="D23" s="44" t="s">
        <v>13</v>
      </c>
      <c r="E23" s="44" t="s">
        <v>3517</v>
      </c>
      <c r="F23" s="44" t="s">
        <v>3571</v>
      </c>
      <c r="G23" s="44" t="s">
        <v>6</v>
      </c>
      <c r="H23" s="44" t="s">
        <v>7</v>
      </c>
      <c r="I23" s="44"/>
      <c r="J23" s="44"/>
      <c r="K23" s="44"/>
      <c r="L23" s="44"/>
      <c r="M23" t="str">
        <f t="shared" si="2"/>
        <v>"//*[@class=\"</v>
      </c>
      <c r="N23" t="s">
        <v>31</v>
      </c>
      <c r="O23" s="4" t="str">
        <f t="shared" si="5"/>
        <v>click</v>
      </c>
      <c r="P23" t="str">
        <f t="shared" si="6"/>
        <v>();</v>
      </c>
      <c r="Q23" t="str">
        <f t="shared" si="1"/>
        <v/>
      </c>
      <c r="R23" t="str">
        <f t="shared" si="3"/>
        <v/>
      </c>
      <c r="S23" s="1" t="str">
        <f t="shared" si="4"/>
        <v/>
      </c>
      <c r="T23"/>
      <c r="U23"/>
      <c r="V23"/>
      <c r="W23"/>
      <c r="X23" t="s">
        <v>3535</v>
      </c>
      <c r="Y23"/>
      <c r="Z23">
        <v>14</v>
      </c>
      <c r="AA23"/>
      <c r="AB23"/>
      <c r="AC23" s="6"/>
      <c r="AD23" s="6"/>
      <c r="AE23" s="6"/>
      <c r="AO23" s="4" t="str">
        <f t="shared" si="0"/>
        <v/>
      </c>
      <c r="BB23" s="3"/>
      <c r="BC23" s="3"/>
    </row>
    <row r="24" spans="1:187" s="4" customFormat="1" ht="75">
      <c r="A24"/>
      <c r="B24"/>
      <c r="C24" s="44"/>
      <c r="D24" s="44" t="s">
        <v>3528</v>
      </c>
      <c r="E24" s="44" t="s">
        <v>3517</v>
      </c>
      <c r="F24" s="44" t="s">
        <v>3572</v>
      </c>
      <c r="G24" s="44" t="s">
        <v>6</v>
      </c>
      <c r="H24" s="44" t="s">
        <v>7</v>
      </c>
      <c r="I24" s="44"/>
      <c r="J24" s="44"/>
      <c r="K24" s="44"/>
      <c r="L24" s="44"/>
      <c r="M24" t="str">
        <f t="shared" si="2"/>
        <v>"//*[@class=\"</v>
      </c>
      <c r="N24" t="s">
        <v>31</v>
      </c>
      <c r="O24" s="4" t="str">
        <f t="shared" si="5"/>
        <v>click</v>
      </c>
      <c r="P24" t="str">
        <f t="shared" si="6"/>
        <v>();</v>
      </c>
      <c r="Q24" t="str">
        <f t="shared" si="1"/>
        <v/>
      </c>
      <c r="R24" t="str">
        <f t="shared" si="3"/>
        <v/>
      </c>
      <c r="S24" s="1" t="str">
        <f t="shared" si="4"/>
        <v/>
      </c>
      <c r="T24"/>
      <c r="U24"/>
      <c r="V24"/>
      <c r="W24"/>
      <c r="X24" t="s">
        <v>3536</v>
      </c>
      <c r="Y24"/>
      <c r="Z24">
        <v>15</v>
      </c>
      <c r="AA24"/>
      <c r="AB24"/>
      <c r="AC24" s="6"/>
      <c r="AD24" s="6"/>
      <c r="AE24" s="6"/>
      <c r="AO24" s="4" t="str">
        <f t="shared" si="0"/>
        <v/>
      </c>
      <c r="BB24" s="3"/>
      <c r="BC24" s="3"/>
    </row>
    <row r="25" spans="1:187" s="4" customFormat="1" ht="75">
      <c r="A25"/>
      <c r="B25"/>
      <c r="C25" s="44"/>
      <c r="D25" s="44" t="s">
        <v>13</v>
      </c>
      <c r="E25" s="44" t="s">
        <v>3517</v>
      </c>
      <c r="F25" s="44" t="s">
        <v>3573</v>
      </c>
      <c r="G25" s="44" t="s">
        <v>6</v>
      </c>
      <c r="H25" s="44" t="s">
        <v>7</v>
      </c>
      <c r="I25" s="44"/>
      <c r="J25" s="44"/>
      <c r="K25" s="44"/>
      <c r="L25" s="44"/>
      <c r="M25" t="str">
        <f t="shared" si="2"/>
        <v>"//*[@class=\"</v>
      </c>
      <c r="N25" t="s">
        <v>31</v>
      </c>
      <c r="O25" s="4" t="str">
        <f t="shared" si="5"/>
        <v>click</v>
      </c>
      <c r="P25" t="str">
        <f t="shared" si="6"/>
        <v>();</v>
      </c>
      <c r="Q25" t="str">
        <f t="shared" si="1"/>
        <v/>
      </c>
      <c r="R25" t="str">
        <f t="shared" si="3"/>
        <v/>
      </c>
      <c r="S25" s="1" t="str">
        <f t="shared" si="4"/>
        <v/>
      </c>
      <c r="T25"/>
      <c r="U25"/>
      <c r="V25"/>
      <c r="W25"/>
      <c r="X25" t="s">
        <v>3537</v>
      </c>
      <c r="Y25"/>
      <c r="Z25">
        <v>16</v>
      </c>
      <c r="AA25"/>
      <c r="AB25"/>
      <c r="AC25" s="6"/>
      <c r="AD25" s="6"/>
      <c r="AE25" s="6"/>
      <c r="AO25" s="4" t="str">
        <f t="shared" si="0"/>
        <v/>
      </c>
      <c r="BB25" s="3"/>
      <c r="BC25" s="3"/>
    </row>
    <row r="26" spans="1:187" s="4" customFormat="1" ht="75">
      <c r="A26"/>
      <c r="B26"/>
      <c r="C26" s="44"/>
      <c r="D26" s="44" t="s">
        <v>3528</v>
      </c>
      <c r="E26" s="44" t="s">
        <v>3517</v>
      </c>
      <c r="F26" s="44" t="s">
        <v>3574</v>
      </c>
      <c r="G26" s="44" t="s">
        <v>6</v>
      </c>
      <c r="H26" s="44" t="s">
        <v>7</v>
      </c>
      <c r="I26" s="44"/>
      <c r="J26" s="44"/>
      <c r="K26" s="44"/>
      <c r="L26" s="44"/>
      <c r="M26" t="str">
        <f t="shared" si="2"/>
        <v>"//*[@class=\"</v>
      </c>
      <c r="N26" t="s">
        <v>31</v>
      </c>
      <c r="O26" s="4" t="str">
        <f t="shared" si="5"/>
        <v>click</v>
      </c>
      <c r="P26" t="str">
        <f t="shared" si="6"/>
        <v>();</v>
      </c>
      <c r="Q26" t="str">
        <f t="shared" si="1"/>
        <v/>
      </c>
      <c r="R26" t="str">
        <f t="shared" si="3"/>
        <v/>
      </c>
      <c r="S26" s="1" t="str">
        <f t="shared" si="4"/>
        <v/>
      </c>
      <c r="T26"/>
      <c r="U26"/>
      <c r="V26"/>
      <c r="W26"/>
      <c r="X26" t="s">
        <v>3538</v>
      </c>
      <c r="Y26"/>
      <c r="Z26">
        <v>17</v>
      </c>
      <c r="AA26"/>
      <c r="AB26"/>
      <c r="AC26" s="6"/>
      <c r="AD26" s="6"/>
      <c r="AE26" s="6"/>
      <c r="AO26" s="4" t="str">
        <f t="shared" si="0"/>
        <v/>
      </c>
      <c r="BB26" s="3"/>
      <c r="BC26" s="3"/>
    </row>
    <row r="27" spans="1:187" s="4" customFormat="1" ht="75">
      <c r="A27"/>
      <c r="B27"/>
      <c r="C27" s="44"/>
      <c r="D27" s="44" t="s">
        <v>3528</v>
      </c>
      <c r="E27" s="44" t="s">
        <v>3517</v>
      </c>
      <c r="F27" s="44" t="s">
        <v>3575</v>
      </c>
      <c r="G27" s="44" t="s">
        <v>6</v>
      </c>
      <c r="H27" s="44" t="s">
        <v>7</v>
      </c>
      <c r="I27" s="44"/>
      <c r="J27" s="44"/>
      <c r="K27" s="44"/>
      <c r="L27" s="44"/>
      <c r="M27" t="str">
        <f t="shared" si="2"/>
        <v>"//*[@class=\"</v>
      </c>
      <c r="N27" t="s">
        <v>31</v>
      </c>
      <c r="O27" s="4" t="str">
        <f t="shared" si="5"/>
        <v>click</v>
      </c>
      <c r="P27" t="str">
        <f t="shared" si="6"/>
        <v>();</v>
      </c>
      <c r="Q27" t="str">
        <f t="shared" si="1"/>
        <v/>
      </c>
      <c r="R27" t="str">
        <f t="shared" si="3"/>
        <v/>
      </c>
      <c r="S27" s="1" t="str">
        <f t="shared" si="4"/>
        <v/>
      </c>
      <c r="T27"/>
      <c r="U27"/>
      <c r="V27"/>
      <c r="W27"/>
      <c r="X27" t="s">
        <v>3539</v>
      </c>
      <c r="Y27"/>
      <c r="Z27">
        <v>18</v>
      </c>
      <c r="AA27"/>
      <c r="AB27"/>
      <c r="AC27" s="6"/>
      <c r="AD27" s="6"/>
      <c r="AE27" s="6"/>
      <c r="AO27" s="4" t="str">
        <f t="shared" si="0"/>
        <v/>
      </c>
      <c r="BB27" s="3"/>
      <c r="BC27" s="3"/>
    </row>
    <row r="28" spans="1:187" s="4" customFormat="1" ht="75">
      <c r="A28"/>
      <c r="B28"/>
      <c r="C28" s="44"/>
      <c r="D28" s="44" t="s">
        <v>3528</v>
      </c>
      <c r="E28" s="44" t="s">
        <v>3517</v>
      </c>
      <c r="F28" s="44" t="s">
        <v>3576</v>
      </c>
      <c r="G28" s="44" t="s">
        <v>6</v>
      </c>
      <c r="H28" s="44" t="s">
        <v>7</v>
      </c>
      <c r="I28" s="44"/>
      <c r="J28" s="44"/>
      <c r="K28" s="44"/>
      <c r="L28" s="44"/>
      <c r="M28" t="str">
        <f t="shared" si="2"/>
        <v>"//*[@class=\"</v>
      </c>
      <c r="N28" t="s">
        <v>31</v>
      </c>
      <c r="O28" s="4" t="str">
        <f t="shared" si="5"/>
        <v>click</v>
      </c>
      <c r="P28" t="str">
        <f t="shared" si="6"/>
        <v>();</v>
      </c>
      <c r="Q28" t="str">
        <f t="shared" si="1"/>
        <v/>
      </c>
      <c r="R28" t="str">
        <f t="shared" si="3"/>
        <v/>
      </c>
      <c r="S28" s="1" t="str">
        <f t="shared" si="4"/>
        <v/>
      </c>
      <c r="T28"/>
      <c r="U28"/>
      <c r="V28"/>
      <c r="W28"/>
      <c r="X28" t="s">
        <v>3540</v>
      </c>
      <c r="Y28"/>
      <c r="Z28">
        <v>19</v>
      </c>
      <c r="AA28"/>
      <c r="AB28"/>
      <c r="AC28" s="6"/>
      <c r="AD28" s="6"/>
      <c r="AE28" s="6"/>
      <c r="AO28" s="4" t="str">
        <f t="shared" si="0"/>
        <v/>
      </c>
      <c r="BB28" s="3"/>
      <c r="BC28" s="3"/>
    </row>
    <row r="29" spans="1:187" s="4" customFormat="1" ht="75">
      <c r="A29"/>
      <c r="B29"/>
      <c r="C29" s="44"/>
      <c r="D29" s="44" t="s">
        <v>13</v>
      </c>
      <c r="E29" s="44" t="s">
        <v>3517</v>
      </c>
      <c r="F29" s="44" t="s">
        <v>3577</v>
      </c>
      <c r="G29" s="44" t="s">
        <v>6</v>
      </c>
      <c r="H29" s="44" t="s">
        <v>7</v>
      </c>
      <c r="I29" s="44"/>
      <c r="J29" s="44"/>
      <c r="K29" s="44"/>
      <c r="L29" s="44"/>
      <c r="M29" t="str">
        <f t="shared" si="2"/>
        <v>"//*[@class=\"</v>
      </c>
      <c r="N29" t="s">
        <v>31</v>
      </c>
      <c r="O29" s="4" t="str">
        <f t="shared" si="5"/>
        <v>click</v>
      </c>
      <c r="P29" t="str">
        <f t="shared" si="6"/>
        <v>();</v>
      </c>
      <c r="Q29" t="str">
        <f t="shared" si="1"/>
        <v/>
      </c>
      <c r="R29" t="str">
        <f t="shared" si="3"/>
        <v/>
      </c>
      <c r="S29" s="1" t="str">
        <f t="shared" si="4"/>
        <v/>
      </c>
      <c r="T29"/>
      <c r="U29"/>
      <c r="V29"/>
      <c r="W29"/>
      <c r="X29" t="s">
        <v>3541</v>
      </c>
      <c r="Y29"/>
      <c r="Z29">
        <v>20</v>
      </c>
      <c r="AA29"/>
      <c r="AB29"/>
      <c r="AC29" s="6"/>
      <c r="AD29" s="6"/>
      <c r="AE29" s="6"/>
      <c r="BB29" s="3"/>
      <c r="BC29" s="3"/>
    </row>
    <row r="30" spans="1:187" s="4" customFormat="1" ht="75">
      <c r="A30"/>
      <c r="B30"/>
      <c r="C30" s="44"/>
      <c r="D30" s="44" t="s">
        <v>3528</v>
      </c>
      <c r="E30" s="44" t="s">
        <v>3517</v>
      </c>
      <c r="F30" s="44" t="s">
        <v>3578</v>
      </c>
      <c r="G30" s="44" t="s">
        <v>6</v>
      </c>
      <c r="H30" s="44" t="s">
        <v>7</v>
      </c>
      <c r="I30" s="44"/>
      <c r="J30" s="44"/>
      <c r="K30" s="44"/>
      <c r="L30" s="44"/>
      <c r="M30" t="str">
        <f t="shared" si="2"/>
        <v>"//*[@class=\"</v>
      </c>
      <c r="N30" t="s">
        <v>31</v>
      </c>
      <c r="O30" s="4" t="str">
        <f t="shared" ref="O30:O77" si="7">IF(D30="input","fill",IF(I30&lt;&gt;"","innerText",IF(J30="Y",$T$7,"click")))</f>
        <v>click</v>
      </c>
      <c r="P30" t="str">
        <f t="shared" ref="P30:P77" si="8">IF(OR(O30="Click",O30="innerText"),"();","("&amp;""""&amp;K30&amp;""""&amp;");")</f>
        <v>();</v>
      </c>
      <c r="Q30" t="str">
        <f t="shared" ref="Q30:Q77" si="9">IF(C30="Y",IF(H30&lt;&gt;"Xpath",M30&amp;F30&amp;N30,""""&amp;F30&amp;""""),"")</f>
        <v/>
      </c>
      <c r="R30" t="str">
        <f t="shared" si="3"/>
        <v/>
      </c>
      <c r="S30" s="1" t="str">
        <f t="shared" si="4"/>
        <v/>
      </c>
      <c r="T30"/>
      <c r="U30"/>
      <c r="V30"/>
      <c r="W30"/>
      <c r="X30" t="s">
        <v>3542</v>
      </c>
      <c r="Y30"/>
      <c r="Z30">
        <v>21</v>
      </c>
      <c r="AA30"/>
      <c r="AB30"/>
      <c r="AC30" s="6"/>
      <c r="AD30" s="6"/>
      <c r="AE30" s="6"/>
      <c r="AO30" s="4" t="str">
        <f t="shared" si="0"/>
        <v/>
      </c>
      <c r="BB30" s="3"/>
      <c r="BC30" s="3"/>
    </row>
    <row r="31" spans="1:187" s="4" customFormat="1" ht="75">
      <c r="A31"/>
      <c r="B31"/>
      <c r="C31" s="44"/>
      <c r="D31" s="44" t="s">
        <v>13</v>
      </c>
      <c r="E31" s="44" t="s">
        <v>3517</v>
      </c>
      <c r="F31" s="44" t="s">
        <v>3579</v>
      </c>
      <c r="G31" s="44" t="s">
        <v>6</v>
      </c>
      <c r="H31" s="44" t="s">
        <v>7</v>
      </c>
      <c r="I31" s="44"/>
      <c r="J31" s="44"/>
      <c r="K31" s="44"/>
      <c r="L31" s="44"/>
      <c r="M31" t="str">
        <f t="shared" si="2"/>
        <v>"//*[@class=\"</v>
      </c>
      <c r="N31" t="s">
        <v>31</v>
      </c>
      <c r="O31" s="4" t="str">
        <f t="shared" si="7"/>
        <v>click</v>
      </c>
      <c r="P31" t="str">
        <f t="shared" si="8"/>
        <v>();</v>
      </c>
      <c r="Q31" t="str">
        <f t="shared" si="9"/>
        <v/>
      </c>
      <c r="R31" t="str">
        <f t="shared" si="3"/>
        <v/>
      </c>
      <c r="S31" s="1" t="str">
        <f t="shared" si="4"/>
        <v/>
      </c>
      <c r="T31"/>
      <c r="U31"/>
      <c r="V31"/>
      <c r="W31"/>
      <c r="X31" t="s">
        <v>3543</v>
      </c>
      <c r="Y31"/>
      <c r="Z31">
        <v>22</v>
      </c>
      <c r="AA31"/>
      <c r="AB31"/>
      <c r="AC31" s="6"/>
      <c r="AD31" s="6"/>
      <c r="AE31" s="6"/>
      <c r="BB31" s="3"/>
      <c r="BC31" s="3"/>
    </row>
    <row r="32" spans="1:187" s="4" customFormat="1" ht="75">
      <c r="A32"/>
      <c r="B32"/>
      <c r="C32" s="44"/>
      <c r="D32" s="44" t="s">
        <v>3528</v>
      </c>
      <c r="E32" s="44" t="s">
        <v>3517</v>
      </c>
      <c r="F32" s="44" t="s">
        <v>3580</v>
      </c>
      <c r="G32" s="44" t="s">
        <v>6</v>
      </c>
      <c r="H32" s="44" t="s">
        <v>7</v>
      </c>
      <c r="I32" s="44"/>
      <c r="J32" s="44"/>
      <c r="K32" s="44"/>
      <c r="L32" s="44"/>
      <c r="M32" t="str">
        <f t="shared" si="2"/>
        <v>"//*[@class=\"</v>
      </c>
      <c r="N32" t="s">
        <v>31</v>
      </c>
      <c r="O32" s="4" t="str">
        <f t="shared" si="7"/>
        <v>click</v>
      </c>
      <c r="P32" t="str">
        <f t="shared" si="8"/>
        <v>();</v>
      </c>
      <c r="Q32" t="str">
        <f t="shared" si="9"/>
        <v/>
      </c>
      <c r="R32" t="str">
        <f t="shared" si="3"/>
        <v/>
      </c>
      <c r="S32" s="1" t="str">
        <f t="shared" si="4"/>
        <v/>
      </c>
      <c r="T32"/>
      <c r="U32"/>
      <c r="V32"/>
      <c r="W32"/>
      <c r="X32" t="s">
        <v>3544</v>
      </c>
      <c r="Y32"/>
      <c r="Z32">
        <v>23</v>
      </c>
      <c r="AA32"/>
      <c r="AB32"/>
      <c r="AC32" s="6"/>
      <c r="AD32" s="6"/>
      <c r="AE32" s="6"/>
      <c r="AO32" s="4" t="str">
        <f t="shared" si="0"/>
        <v/>
      </c>
      <c r="BB32" s="3"/>
      <c r="BC32" s="3"/>
    </row>
    <row r="33" spans="1:55" s="4" customFormat="1" ht="75">
      <c r="A33"/>
      <c r="B33"/>
      <c r="C33" s="44"/>
      <c r="D33" s="44" t="s">
        <v>3528</v>
      </c>
      <c r="E33" s="44" t="s">
        <v>3517</v>
      </c>
      <c r="F33" s="44" t="s">
        <v>3581</v>
      </c>
      <c r="G33" s="44" t="s">
        <v>6</v>
      </c>
      <c r="H33" s="44" t="s">
        <v>7</v>
      </c>
      <c r="I33" s="44"/>
      <c r="J33" s="44"/>
      <c r="K33" s="44"/>
      <c r="L33" s="44"/>
      <c r="M33" t="str">
        <f t="shared" si="2"/>
        <v>"//*[@class=\"</v>
      </c>
      <c r="N33" t="s">
        <v>31</v>
      </c>
      <c r="O33" s="4" t="str">
        <f t="shared" si="7"/>
        <v>click</v>
      </c>
      <c r="P33" t="str">
        <f t="shared" si="8"/>
        <v>();</v>
      </c>
      <c r="Q33" t="str">
        <f t="shared" si="9"/>
        <v/>
      </c>
      <c r="R33" t="str">
        <f t="shared" si="3"/>
        <v/>
      </c>
      <c r="S33" s="1" t="str">
        <f t="shared" si="4"/>
        <v/>
      </c>
      <c r="T33"/>
      <c r="U33"/>
      <c r="V33"/>
      <c r="W33"/>
      <c r="X33" t="s">
        <v>3512</v>
      </c>
      <c r="Y33"/>
      <c r="Z33">
        <v>24</v>
      </c>
      <c r="AA33"/>
      <c r="AB33"/>
      <c r="AC33" s="6"/>
      <c r="AD33" s="6"/>
      <c r="AE33" s="6"/>
      <c r="BB33" s="3"/>
      <c r="BC33" s="3"/>
    </row>
    <row r="34" spans="1:55" s="4" customFormat="1" ht="75">
      <c r="A34"/>
      <c r="B34"/>
      <c r="C34" s="44"/>
      <c r="D34" s="44" t="s">
        <v>3528</v>
      </c>
      <c r="E34" s="44" t="s">
        <v>3517</v>
      </c>
      <c r="F34" s="44" t="s">
        <v>3582</v>
      </c>
      <c r="G34" s="44" t="s">
        <v>6</v>
      </c>
      <c r="H34" s="44" t="s">
        <v>7</v>
      </c>
      <c r="I34" s="44"/>
      <c r="J34" s="44"/>
      <c r="K34" s="44"/>
      <c r="L34" s="44"/>
      <c r="M34" t="str">
        <f t="shared" si="2"/>
        <v>"//*[@class=\"</v>
      </c>
      <c r="N34" t="s">
        <v>31</v>
      </c>
      <c r="O34" s="4" t="str">
        <f t="shared" si="7"/>
        <v>click</v>
      </c>
      <c r="P34" t="str">
        <f t="shared" si="8"/>
        <v>();</v>
      </c>
      <c r="Q34" t="str">
        <f t="shared" si="9"/>
        <v/>
      </c>
      <c r="R34" t="str">
        <f t="shared" si="3"/>
        <v/>
      </c>
      <c r="S34" s="1" t="str">
        <f t="shared" si="4"/>
        <v/>
      </c>
      <c r="T34"/>
      <c r="U34"/>
      <c r="V34"/>
      <c r="W34"/>
      <c r="X34" t="s">
        <v>3513</v>
      </c>
      <c r="Y34"/>
      <c r="Z34">
        <v>25</v>
      </c>
      <c r="AA34"/>
      <c r="AB34"/>
      <c r="AC34" s="6"/>
      <c r="AD34" s="6"/>
      <c r="AE34" s="6"/>
      <c r="AO34" s="4" t="str">
        <f t="shared" si="0"/>
        <v/>
      </c>
      <c r="BB34" s="3"/>
      <c r="BC34" s="3"/>
    </row>
    <row r="35" spans="1:55" s="4" customFormat="1" ht="75">
      <c r="A35"/>
      <c r="B35"/>
      <c r="C35" s="44"/>
      <c r="D35" s="44" t="s">
        <v>3528</v>
      </c>
      <c r="E35" s="44" t="s">
        <v>3517</v>
      </c>
      <c r="F35" s="44" t="s">
        <v>3583</v>
      </c>
      <c r="G35" s="44" t="s">
        <v>6</v>
      </c>
      <c r="H35" s="44" t="s">
        <v>7</v>
      </c>
      <c r="I35" s="44"/>
      <c r="J35" s="44"/>
      <c r="K35" s="44"/>
      <c r="L35" s="44"/>
      <c r="M35" t="str">
        <f t="shared" si="2"/>
        <v>"//*[@class=\"</v>
      </c>
      <c r="N35" t="s">
        <v>31</v>
      </c>
      <c r="O35" s="4" t="str">
        <f t="shared" si="7"/>
        <v>click</v>
      </c>
      <c r="P35" t="str">
        <f t="shared" si="8"/>
        <v>();</v>
      </c>
      <c r="Q35" t="str">
        <f t="shared" si="9"/>
        <v/>
      </c>
      <c r="R35" t="str">
        <f t="shared" si="3"/>
        <v/>
      </c>
      <c r="S35" s="1" t="str">
        <f t="shared" si="4"/>
        <v/>
      </c>
      <c r="T35"/>
      <c r="U35"/>
      <c r="V35"/>
      <c r="W35"/>
      <c r="X35"/>
      <c r="Y35"/>
      <c r="Z35">
        <v>26</v>
      </c>
      <c r="AA35"/>
      <c r="AB35"/>
      <c r="AC35" s="6"/>
      <c r="AD35" s="6"/>
      <c r="AE35" s="6"/>
      <c r="AO35" s="4" t="str">
        <f t="shared" si="0"/>
        <v/>
      </c>
      <c r="BB35" s="3"/>
      <c r="BC35" s="3"/>
    </row>
    <row r="36" spans="1:55" s="4" customFormat="1" ht="75">
      <c r="A36"/>
      <c r="B36"/>
      <c r="C36" s="44"/>
      <c r="D36" s="44" t="s">
        <v>3528</v>
      </c>
      <c r="E36" s="44" t="s">
        <v>3517</v>
      </c>
      <c r="F36" s="44" t="s">
        <v>3584</v>
      </c>
      <c r="G36" s="44" t="s">
        <v>6</v>
      </c>
      <c r="H36" s="44" t="s">
        <v>7</v>
      </c>
      <c r="I36" s="44"/>
      <c r="J36" s="44"/>
      <c r="K36" s="44"/>
      <c r="L36" s="44"/>
      <c r="M36" t="str">
        <f t="shared" si="2"/>
        <v>"//*[@class=\"</v>
      </c>
      <c r="N36" t="s">
        <v>31</v>
      </c>
      <c r="O36" s="4" t="str">
        <f t="shared" si="7"/>
        <v>click</v>
      </c>
      <c r="P36" t="str">
        <f t="shared" si="8"/>
        <v>();</v>
      </c>
      <c r="Q36" t="str">
        <f t="shared" si="9"/>
        <v/>
      </c>
      <c r="R36" t="str">
        <f t="shared" si="3"/>
        <v/>
      </c>
      <c r="S36" s="1" t="str">
        <f t="shared" si="4"/>
        <v/>
      </c>
      <c r="T36"/>
      <c r="U36"/>
      <c r="V36"/>
      <c r="W36"/>
      <c r="X36"/>
      <c r="Y36"/>
      <c r="Z36">
        <v>27</v>
      </c>
      <c r="AA36"/>
      <c r="AB36"/>
      <c r="AC36" s="6"/>
      <c r="AD36" s="6"/>
      <c r="AE36" s="6"/>
      <c r="AO36" s="4" t="str">
        <f t="shared" ref="AO36" si="10">IFERROR(LEFT(AP36,LEN(AP36)-4),"")</f>
        <v/>
      </c>
      <c r="BB36" s="3"/>
      <c r="BC36" s="3"/>
    </row>
    <row r="37" spans="1:55" s="4" customFormat="1" ht="75">
      <c r="A37"/>
      <c r="B37"/>
      <c r="C37" s="44"/>
      <c r="D37" s="44" t="s">
        <v>14</v>
      </c>
      <c r="E37" s="44" t="s">
        <v>3517</v>
      </c>
      <c r="F37" s="44" t="s">
        <v>3585</v>
      </c>
      <c r="G37" s="44" t="s">
        <v>6</v>
      </c>
      <c r="H37" s="44" t="s">
        <v>7</v>
      </c>
      <c r="I37" s="44"/>
      <c r="J37" s="44"/>
      <c r="K37" s="44"/>
      <c r="L37" s="44"/>
      <c r="M37" t="str">
        <f t="shared" si="2"/>
        <v>"//*[@class=\"</v>
      </c>
      <c r="N37" t="s">
        <v>31</v>
      </c>
      <c r="O37" s="4" t="str">
        <f t="shared" si="7"/>
        <v>click</v>
      </c>
      <c r="P37" t="str">
        <f t="shared" si="8"/>
        <v>();</v>
      </c>
      <c r="Q37" t="str">
        <f t="shared" si="9"/>
        <v/>
      </c>
      <c r="R37" t="str">
        <f t="shared" si="3"/>
        <v/>
      </c>
      <c r="S37" s="1" t="str">
        <f t="shared" si="4"/>
        <v/>
      </c>
      <c r="T37"/>
      <c r="U37"/>
      <c r="V37"/>
      <c r="W37"/>
      <c r="X37"/>
      <c r="Y37"/>
      <c r="Z37">
        <v>28</v>
      </c>
      <c r="AA37"/>
      <c r="AB37"/>
      <c r="AC37" s="6"/>
      <c r="AD37" s="6"/>
      <c r="AE37" s="6"/>
      <c r="AO37" s="4" t="str">
        <f t="shared" ref="AO37" si="11">IFERROR(LEFT(AP37,LEN(AP37)-4),"")</f>
        <v/>
      </c>
      <c r="BB37" s="3"/>
      <c r="BC37" s="3"/>
    </row>
    <row r="38" spans="1:55" s="4" customFormat="1" ht="75">
      <c r="A38"/>
      <c r="B38"/>
      <c r="C38" s="44"/>
      <c r="D38" s="44" t="s">
        <v>3525</v>
      </c>
      <c r="E38" s="44" t="s">
        <v>3517</v>
      </c>
      <c r="F38" s="44" t="s">
        <v>3586</v>
      </c>
      <c r="G38" s="44" t="s">
        <v>6</v>
      </c>
      <c r="H38" s="44" t="s">
        <v>7</v>
      </c>
      <c r="I38" s="44"/>
      <c r="J38" s="44"/>
      <c r="K38" s="138"/>
      <c r="L38" s="44"/>
      <c r="M38" t="str">
        <f t="shared" si="2"/>
        <v>"//*[@class=\"</v>
      </c>
      <c r="N38" t="s">
        <v>31</v>
      </c>
      <c r="O38" s="4" t="str">
        <f t="shared" si="7"/>
        <v>click</v>
      </c>
      <c r="P38" t="str">
        <f t="shared" si="8"/>
        <v>();</v>
      </c>
      <c r="Q38" t="str">
        <f t="shared" si="9"/>
        <v/>
      </c>
      <c r="R38" t="str">
        <f t="shared" si="3"/>
        <v/>
      </c>
      <c r="S38" s="1" t="str">
        <f t="shared" si="4"/>
        <v/>
      </c>
      <c r="T38"/>
      <c r="U38"/>
      <c r="V38"/>
      <c r="W38"/>
      <c r="X38"/>
      <c r="Y38"/>
      <c r="Z38">
        <v>29</v>
      </c>
      <c r="AA38"/>
      <c r="AB38"/>
      <c r="AC38" s="6"/>
      <c r="AD38" s="6"/>
      <c r="AE38" s="6"/>
      <c r="AO38" s="4" t="str">
        <f t="shared" si="0"/>
        <v/>
      </c>
      <c r="BB38" s="3"/>
      <c r="BC38" s="3"/>
    </row>
    <row r="39" spans="1:55" s="4" customFormat="1" ht="75">
      <c r="A39"/>
      <c r="B39"/>
      <c r="C39" s="44"/>
      <c r="D39" s="44" t="s">
        <v>3525</v>
      </c>
      <c r="E39" s="44" t="s">
        <v>3517</v>
      </c>
      <c r="F39" s="44" t="s">
        <v>3587</v>
      </c>
      <c r="G39" s="44" t="s">
        <v>6</v>
      </c>
      <c r="H39" s="44" t="s">
        <v>7</v>
      </c>
      <c r="I39" s="44"/>
      <c r="J39" s="44"/>
      <c r="K39" s="44"/>
      <c r="L39" s="44"/>
      <c r="M39" t="str">
        <f t="shared" si="2"/>
        <v>"//*[@class=\"</v>
      </c>
      <c r="N39" t="s">
        <v>31</v>
      </c>
      <c r="O39" s="4" t="str">
        <f t="shared" si="7"/>
        <v>click</v>
      </c>
      <c r="P39" t="str">
        <f t="shared" si="8"/>
        <v>();</v>
      </c>
      <c r="Q39" t="str">
        <f t="shared" si="9"/>
        <v/>
      </c>
      <c r="R39" t="str">
        <f t="shared" si="3"/>
        <v/>
      </c>
      <c r="S39" s="1" t="str">
        <f t="shared" si="4"/>
        <v/>
      </c>
      <c r="T39"/>
      <c r="U39"/>
      <c r="V39"/>
      <c r="W39"/>
      <c r="X39"/>
      <c r="Y39"/>
      <c r="Z39">
        <v>30</v>
      </c>
      <c r="AA39"/>
      <c r="AB39"/>
      <c r="AC39" s="6"/>
      <c r="AD39" s="6"/>
      <c r="AE39" s="6"/>
      <c r="AO39" s="4" t="str">
        <f t="shared" si="0"/>
        <v/>
      </c>
      <c r="BB39" s="3"/>
      <c r="BC39" s="3"/>
    </row>
    <row r="40" spans="1:55" s="4" customFormat="1" ht="75">
      <c r="A40"/>
      <c r="B40"/>
      <c r="C40" s="44"/>
      <c r="D40" s="44" t="s">
        <v>3525</v>
      </c>
      <c r="E40" s="44" t="s">
        <v>3517</v>
      </c>
      <c r="F40" s="44" t="s">
        <v>3588</v>
      </c>
      <c r="G40" s="44" t="s">
        <v>6</v>
      </c>
      <c r="H40" s="44" t="s">
        <v>7</v>
      </c>
      <c r="I40" s="44"/>
      <c r="J40" s="44"/>
      <c r="K40" s="44"/>
      <c r="L40" s="44"/>
      <c r="M40" t="str">
        <f t="shared" si="2"/>
        <v>"//*[@class=\"</v>
      </c>
      <c r="N40" t="s">
        <v>31</v>
      </c>
      <c r="O40" s="4" t="str">
        <f t="shared" si="7"/>
        <v>click</v>
      </c>
      <c r="P40" t="str">
        <f t="shared" si="8"/>
        <v>();</v>
      </c>
      <c r="Q40" t="str">
        <f t="shared" si="9"/>
        <v/>
      </c>
      <c r="R40" t="str">
        <f t="shared" si="3"/>
        <v/>
      </c>
      <c r="S40" s="1" t="str">
        <f t="shared" si="4"/>
        <v/>
      </c>
      <c r="T40"/>
      <c r="U40"/>
      <c r="V40"/>
      <c r="W40"/>
      <c r="X40"/>
      <c r="Y40"/>
      <c r="Z40">
        <v>31</v>
      </c>
      <c r="AA40"/>
      <c r="AB40"/>
      <c r="AC40" s="6"/>
      <c r="AD40" s="6"/>
      <c r="AE40" s="6"/>
      <c r="BB40" s="3"/>
      <c r="BC40" s="3"/>
    </row>
    <row r="41" spans="1:55" s="4" customFormat="1" ht="75">
      <c r="A41"/>
      <c r="B41"/>
      <c r="C41" s="44"/>
      <c r="D41" s="44" t="s">
        <v>3525</v>
      </c>
      <c r="E41" s="44" t="s">
        <v>3517</v>
      </c>
      <c r="F41" s="44" t="s">
        <v>3589</v>
      </c>
      <c r="G41" s="44" t="s">
        <v>6</v>
      </c>
      <c r="H41" s="44" t="s">
        <v>7</v>
      </c>
      <c r="I41" s="44"/>
      <c r="J41" s="44"/>
      <c r="K41" s="44"/>
      <c r="L41" s="44"/>
      <c r="M41" t="str">
        <f t="shared" si="2"/>
        <v>"//*[@class=\"</v>
      </c>
      <c r="N41" t="s">
        <v>31</v>
      </c>
      <c r="O41" s="4" t="str">
        <f t="shared" si="7"/>
        <v>click</v>
      </c>
      <c r="P41" t="str">
        <f t="shared" si="8"/>
        <v>();</v>
      </c>
      <c r="Q41" t="str">
        <f t="shared" si="9"/>
        <v/>
      </c>
      <c r="R41" t="str">
        <f t="shared" si="3"/>
        <v/>
      </c>
      <c r="S41" s="1" t="str">
        <f t="shared" si="4"/>
        <v/>
      </c>
      <c r="T41"/>
      <c r="U41"/>
      <c r="V41"/>
      <c r="W41"/>
      <c r="X41"/>
      <c r="Y41"/>
      <c r="Z41">
        <v>32</v>
      </c>
      <c r="AA41"/>
      <c r="AB41"/>
      <c r="AC41" s="6"/>
      <c r="AD41" s="6"/>
      <c r="AE41" s="6"/>
      <c r="AO41" s="4" t="str">
        <f t="shared" si="0"/>
        <v/>
      </c>
      <c r="BB41" s="3"/>
      <c r="BC41" s="3"/>
    </row>
    <row r="42" spans="1:55" s="4" customFormat="1" ht="75">
      <c r="A42"/>
      <c r="B42"/>
      <c r="C42" s="44"/>
      <c r="D42" s="44" t="s">
        <v>3525</v>
      </c>
      <c r="E42" s="44" t="s">
        <v>3517</v>
      </c>
      <c r="F42" s="44" t="s">
        <v>3590</v>
      </c>
      <c r="G42" s="44" t="s">
        <v>6</v>
      </c>
      <c r="H42" s="44" t="s">
        <v>7</v>
      </c>
      <c r="I42" s="44"/>
      <c r="J42" s="44"/>
      <c r="K42" s="44"/>
      <c r="L42" s="44"/>
      <c r="M42" t="str">
        <f t="shared" si="2"/>
        <v>"//*[@class=\"</v>
      </c>
      <c r="N42" t="s">
        <v>31</v>
      </c>
      <c r="O42" s="4" t="str">
        <f t="shared" si="7"/>
        <v>click</v>
      </c>
      <c r="P42" t="str">
        <f t="shared" si="8"/>
        <v>();</v>
      </c>
      <c r="Q42" t="str">
        <f t="shared" si="9"/>
        <v/>
      </c>
      <c r="R42" t="str">
        <f t="shared" si="3"/>
        <v/>
      </c>
      <c r="S42" s="1" t="str">
        <f t="shared" si="4"/>
        <v/>
      </c>
      <c r="T42"/>
      <c r="U42"/>
      <c r="V42"/>
      <c r="W42"/>
      <c r="X42"/>
      <c r="Y42"/>
      <c r="Z42">
        <v>33</v>
      </c>
      <c r="AA42"/>
      <c r="AB42"/>
      <c r="AC42" s="6"/>
      <c r="AD42" s="6"/>
      <c r="AE42" s="6"/>
      <c r="AO42" s="4" t="str">
        <f t="shared" si="0"/>
        <v/>
      </c>
      <c r="BB42" s="3"/>
      <c r="BC42" s="3"/>
    </row>
    <row r="43" spans="1:55" s="4" customFormat="1" ht="75">
      <c r="A43"/>
      <c r="B43"/>
      <c r="C43" s="44"/>
      <c r="D43" s="44" t="s">
        <v>3525</v>
      </c>
      <c r="E43" s="44" t="s">
        <v>3517</v>
      </c>
      <c r="F43" s="44" t="s">
        <v>3591</v>
      </c>
      <c r="G43" s="44" t="s">
        <v>6</v>
      </c>
      <c r="H43" s="44" t="s">
        <v>7</v>
      </c>
      <c r="I43" s="44"/>
      <c r="J43" s="44"/>
      <c r="K43" s="44"/>
      <c r="L43" s="44"/>
      <c r="M43" t="str">
        <f t="shared" si="2"/>
        <v>"//*[@class=\"</v>
      </c>
      <c r="N43" t="s">
        <v>31</v>
      </c>
      <c r="O43" s="4" t="str">
        <f t="shared" si="7"/>
        <v>click</v>
      </c>
      <c r="P43" t="str">
        <f t="shared" si="8"/>
        <v>();</v>
      </c>
      <c r="Q43" t="str">
        <f t="shared" si="9"/>
        <v/>
      </c>
      <c r="R43" t="str">
        <f t="shared" si="3"/>
        <v/>
      </c>
      <c r="S43" s="1" t="str">
        <f t="shared" si="4"/>
        <v/>
      </c>
      <c r="T43"/>
      <c r="U43"/>
      <c r="V43"/>
      <c r="W43"/>
      <c r="X43"/>
      <c r="Y43"/>
      <c r="Z43">
        <v>34</v>
      </c>
      <c r="AA43"/>
      <c r="AB43"/>
      <c r="AC43" s="6"/>
      <c r="AD43" s="6"/>
      <c r="AE43" s="6"/>
      <c r="AO43" s="4" t="str">
        <f t="shared" si="0"/>
        <v/>
      </c>
      <c r="BB43" s="3"/>
      <c r="BC43" s="3"/>
    </row>
    <row r="44" spans="1:55" s="4" customFormat="1" ht="75">
      <c r="A44"/>
      <c r="B44"/>
      <c r="C44" s="44"/>
      <c r="D44" s="44" t="s">
        <v>3525</v>
      </c>
      <c r="E44" s="44" t="s">
        <v>3517</v>
      </c>
      <c r="F44" s="44" t="s">
        <v>3592</v>
      </c>
      <c r="G44" s="44" t="s">
        <v>6</v>
      </c>
      <c r="H44" s="44" t="s">
        <v>7</v>
      </c>
      <c r="I44" s="44"/>
      <c r="J44" s="44"/>
      <c r="K44" s="44"/>
      <c r="L44" s="44"/>
      <c r="M44" t="str">
        <f t="shared" si="2"/>
        <v>"//*[@class=\"</v>
      </c>
      <c r="N44" t="s">
        <v>31</v>
      </c>
      <c r="O44" s="4" t="str">
        <f t="shared" si="7"/>
        <v>click</v>
      </c>
      <c r="P44" t="str">
        <f t="shared" si="8"/>
        <v>();</v>
      </c>
      <c r="Q44" t="str">
        <f t="shared" si="9"/>
        <v/>
      </c>
      <c r="R44" t="str">
        <f t="shared" si="3"/>
        <v/>
      </c>
      <c r="S44" s="1" t="str">
        <f t="shared" si="4"/>
        <v/>
      </c>
      <c r="T44"/>
      <c r="U44"/>
      <c r="V44"/>
      <c r="W44"/>
      <c r="X44"/>
      <c r="Y44"/>
      <c r="Z44">
        <v>35</v>
      </c>
      <c r="AA44"/>
      <c r="AB44"/>
      <c r="AC44" s="6"/>
      <c r="AD44" s="6"/>
      <c r="AE44" s="6"/>
      <c r="AO44" s="4" t="str">
        <f t="shared" si="0"/>
        <v/>
      </c>
      <c r="BB44" s="3"/>
      <c r="BC44" s="3"/>
    </row>
    <row r="45" spans="1:55" s="4" customFormat="1" ht="75">
      <c r="A45"/>
      <c r="B45"/>
      <c r="C45" s="44"/>
      <c r="D45" s="44" t="s">
        <v>3525</v>
      </c>
      <c r="E45" s="44" t="s">
        <v>3517</v>
      </c>
      <c r="F45" s="44" t="s">
        <v>3593</v>
      </c>
      <c r="G45" s="44" t="s">
        <v>6</v>
      </c>
      <c r="H45" s="44" t="s">
        <v>7</v>
      </c>
      <c r="I45" s="44"/>
      <c r="J45" s="44"/>
      <c r="K45" s="44"/>
      <c r="L45" s="44"/>
      <c r="M45" t="str">
        <f t="shared" si="2"/>
        <v>"//*[@class=\"</v>
      </c>
      <c r="N45" t="s">
        <v>31</v>
      </c>
      <c r="O45" s="4" t="str">
        <f t="shared" si="7"/>
        <v>click</v>
      </c>
      <c r="P45" t="str">
        <f t="shared" si="8"/>
        <v>();</v>
      </c>
      <c r="Q45" t="str">
        <f t="shared" si="9"/>
        <v/>
      </c>
      <c r="R45" t="str">
        <f t="shared" si="3"/>
        <v/>
      </c>
      <c r="S45" s="1" t="str">
        <f t="shared" si="4"/>
        <v/>
      </c>
      <c r="T45"/>
      <c r="U45"/>
      <c r="V45"/>
      <c r="W45"/>
      <c r="X45"/>
      <c r="Y45"/>
      <c r="Z45">
        <v>36</v>
      </c>
      <c r="AA45"/>
      <c r="AB45"/>
      <c r="AC45" s="6"/>
      <c r="AD45" s="6"/>
      <c r="AE45" s="6"/>
      <c r="BB45" s="3"/>
      <c r="BC45" s="3"/>
    </row>
    <row r="46" spans="1:55" s="4" customFormat="1" ht="75">
      <c r="A46"/>
      <c r="B46"/>
      <c r="C46" s="44"/>
      <c r="D46" s="44" t="s">
        <v>12</v>
      </c>
      <c r="E46" s="44" t="s">
        <v>3517</v>
      </c>
      <c r="F46" s="44" t="s">
        <v>3594</v>
      </c>
      <c r="G46" s="44" t="s">
        <v>6</v>
      </c>
      <c r="H46" s="44" t="s">
        <v>7</v>
      </c>
      <c r="I46" s="44"/>
      <c r="J46" s="44"/>
      <c r="K46" s="44"/>
      <c r="L46" s="44"/>
      <c r="M46" t="str">
        <f t="shared" si="2"/>
        <v>"//*[@class=\"</v>
      </c>
      <c r="N46" t="s">
        <v>31</v>
      </c>
      <c r="O46" s="4" t="str">
        <f t="shared" si="7"/>
        <v>click</v>
      </c>
      <c r="P46" t="str">
        <f t="shared" si="8"/>
        <v>();</v>
      </c>
      <c r="Q46" t="str">
        <f t="shared" si="9"/>
        <v/>
      </c>
      <c r="R46" t="str">
        <f t="shared" si="3"/>
        <v/>
      </c>
      <c r="S46" s="1" t="str">
        <f t="shared" si="4"/>
        <v/>
      </c>
      <c r="T46"/>
      <c r="U46"/>
      <c r="V46"/>
      <c r="W46"/>
      <c r="X46"/>
      <c r="Y46"/>
      <c r="Z46">
        <v>37</v>
      </c>
      <c r="AA46"/>
      <c r="AB46"/>
      <c r="AC46" s="6"/>
      <c r="AD46" s="6"/>
      <c r="AE46" s="6"/>
      <c r="BB46" s="3"/>
      <c r="BC46" s="3"/>
    </row>
    <row r="47" spans="1:55" s="4" customFormat="1" ht="150">
      <c r="A47"/>
      <c r="B47"/>
      <c r="C47" s="44"/>
      <c r="D47" s="44" t="s">
        <v>3559</v>
      </c>
      <c r="E47" s="44" t="s">
        <v>3643</v>
      </c>
      <c r="F47" s="44" t="s">
        <v>3595</v>
      </c>
      <c r="G47" s="44" t="s">
        <v>6</v>
      </c>
      <c r="H47" s="44" t="s">
        <v>7</v>
      </c>
      <c r="I47" s="44"/>
      <c r="J47" s="44"/>
      <c r="K47" s="44"/>
      <c r="L47" s="44"/>
      <c r="M47" t="str">
        <f t="shared" si="2"/>
        <v>"//*[@class=\"</v>
      </c>
      <c r="N47" t="s">
        <v>31</v>
      </c>
      <c r="O47" s="4" t="str">
        <f t="shared" si="7"/>
        <v>click</v>
      </c>
      <c r="P47" t="str">
        <f t="shared" si="8"/>
        <v>();</v>
      </c>
      <c r="Q47" t="str">
        <f t="shared" si="9"/>
        <v/>
      </c>
      <c r="R47" t="str">
        <f t="shared" si="3"/>
        <v/>
      </c>
      <c r="S47" s="1" t="str">
        <f t="shared" si="4"/>
        <v/>
      </c>
      <c r="T47"/>
      <c r="U47"/>
      <c r="V47"/>
      <c r="W47"/>
      <c r="X47"/>
      <c r="Y47"/>
      <c r="Z47">
        <v>38</v>
      </c>
      <c r="AA47"/>
      <c r="AB47"/>
      <c r="AC47" s="6"/>
      <c r="AD47" s="6"/>
      <c r="AE47" s="6"/>
      <c r="BB47" s="3"/>
      <c r="BC47" s="3"/>
    </row>
    <row r="48" spans="1:55" s="4" customFormat="1" ht="150">
      <c r="A48"/>
      <c r="B48"/>
      <c r="C48" s="44"/>
      <c r="D48" s="44" t="s">
        <v>3559</v>
      </c>
      <c r="E48" s="44" t="s">
        <v>3644</v>
      </c>
      <c r="F48" s="44" t="s">
        <v>3596</v>
      </c>
      <c r="G48" s="44" t="s">
        <v>6</v>
      </c>
      <c r="H48" s="44" t="s">
        <v>7</v>
      </c>
      <c r="I48" s="44"/>
      <c r="J48" s="44"/>
      <c r="K48" s="44"/>
      <c r="L48" s="44"/>
      <c r="M48" t="str">
        <f t="shared" si="2"/>
        <v>"//*[@class=\"</v>
      </c>
      <c r="N48" t="s">
        <v>31</v>
      </c>
      <c r="O48" s="4" t="str">
        <f t="shared" si="7"/>
        <v>click</v>
      </c>
      <c r="P48" t="str">
        <f t="shared" si="8"/>
        <v>();</v>
      </c>
      <c r="Q48" t="str">
        <f t="shared" si="9"/>
        <v/>
      </c>
      <c r="R48" t="str">
        <f t="shared" si="3"/>
        <v/>
      </c>
      <c r="S48" s="1" t="str">
        <f t="shared" si="4"/>
        <v/>
      </c>
      <c r="T48"/>
      <c r="U48"/>
      <c r="V48"/>
      <c r="W48"/>
      <c r="X48"/>
      <c r="Y48"/>
      <c r="Z48">
        <v>39</v>
      </c>
      <c r="AA48"/>
      <c r="AB48"/>
      <c r="AC48" s="6"/>
      <c r="AD48" s="6"/>
      <c r="AE48" s="6"/>
      <c r="BB48" s="3"/>
      <c r="BC48" s="3"/>
    </row>
    <row r="49" spans="1:55" s="4" customFormat="1" ht="150">
      <c r="A49"/>
      <c r="B49"/>
      <c r="C49" s="44"/>
      <c r="D49" s="44" t="s">
        <v>3559</v>
      </c>
      <c r="E49" s="44" t="s">
        <v>3560</v>
      </c>
      <c r="F49" s="44" t="s">
        <v>3597</v>
      </c>
      <c r="G49" s="44" t="s">
        <v>6</v>
      </c>
      <c r="H49" s="44" t="s">
        <v>7</v>
      </c>
      <c r="I49" s="44"/>
      <c r="J49" s="44"/>
      <c r="K49" s="44"/>
      <c r="L49" s="44"/>
      <c r="M49" t="str">
        <f t="shared" si="2"/>
        <v>"//*[@class=\"</v>
      </c>
      <c r="N49" t="s">
        <v>31</v>
      </c>
      <c r="O49" s="4" t="str">
        <f t="shared" si="7"/>
        <v>click</v>
      </c>
      <c r="P49" t="str">
        <f t="shared" si="8"/>
        <v>();</v>
      </c>
      <c r="Q49" t="str">
        <f t="shared" si="9"/>
        <v/>
      </c>
      <c r="R49" t="str">
        <f t="shared" si="3"/>
        <v/>
      </c>
      <c r="S49" s="1" t="str">
        <f t="shared" si="4"/>
        <v/>
      </c>
      <c r="T49"/>
      <c r="U49"/>
      <c r="V49"/>
      <c r="W49"/>
      <c r="X49"/>
      <c r="Y49"/>
      <c r="Z49">
        <v>40</v>
      </c>
      <c r="AA49"/>
      <c r="AB49"/>
      <c r="AC49" s="6"/>
      <c r="AD49" s="6"/>
      <c r="AE49" s="6"/>
      <c r="BB49" s="3"/>
      <c r="BC49" s="3"/>
    </row>
    <row r="50" spans="1:55" s="4" customFormat="1" ht="150">
      <c r="A50"/>
      <c r="B50"/>
      <c r="C50" s="44"/>
      <c r="D50" s="44" t="s">
        <v>3559</v>
      </c>
      <c r="E50" s="44" t="s">
        <v>3645</v>
      </c>
      <c r="F50" s="44" t="s">
        <v>3598</v>
      </c>
      <c r="G50" s="44" t="s">
        <v>6</v>
      </c>
      <c r="H50" s="44" t="s">
        <v>7</v>
      </c>
      <c r="I50" s="44"/>
      <c r="J50" s="44"/>
      <c r="K50" s="44"/>
      <c r="L50" s="44"/>
      <c r="M50" t="str">
        <f t="shared" si="2"/>
        <v>"//*[@class=\"</v>
      </c>
      <c r="N50" t="s">
        <v>31</v>
      </c>
      <c r="O50" s="4" t="str">
        <f t="shared" si="7"/>
        <v>click</v>
      </c>
      <c r="P50" t="str">
        <f t="shared" si="8"/>
        <v>();</v>
      </c>
      <c r="Q50" t="str">
        <f t="shared" si="9"/>
        <v/>
      </c>
      <c r="R50" t="str">
        <f t="shared" si="3"/>
        <v/>
      </c>
      <c r="S50" s="1" t="str">
        <f t="shared" si="4"/>
        <v/>
      </c>
      <c r="T50"/>
      <c r="U50"/>
      <c r="V50"/>
      <c r="W50"/>
      <c r="X50"/>
      <c r="Y50"/>
      <c r="Z50">
        <v>41</v>
      </c>
      <c r="AA50"/>
      <c r="AB50"/>
      <c r="AC50" s="6"/>
      <c r="AD50" s="6"/>
      <c r="AE50" s="6"/>
      <c r="BB50" s="3"/>
      <c r="BC50" s="3"/>
    </row>
    <row r="51" spans="1:55" s="4" customFormat="1" ht="150">
      <c r="A51"/>
      <c r="B51"/>
      <c r="C51" s="44"/>
      <c r="D51" s="44" t="s">
        <v>3559</v>
      </c>
      <c r="E51" s="44" t="s">
        <v>3561</v>
      </c>
      <c r="F51" s="44" t="s">
        <v>3599</v>
      </c>
      <c r="G51" s="44" t="s">
        <v>6</v>
      </c>
      <c r="H51" s="44" t="s">
        <v>7</v>
      </c>
      <c r="I51" s="44"/>
      <c r="J51" s="44"/>
      <c r="K51" s="44"/>
      <c r="L51" s="44"/>
      <c r="M51" t="str">
        <f t="shared" si="2"/>
        <v>"//*[@class=\"</v>
      </c>
      <c r="N51" t="s">
        <v>31</v>
      </c>
      <c r="O51" s="4" t="str">
        <f t="shared" si="7"/>
        <v>click</v>
      </c>
      <c r="P51" t="str">
        <f t="shared" si="8"/>
        <v>();</v>
      </c>
      <c r="Q51" t="str">
        <f t="shared" si="9"/>
        <v/>
      </c>
      <c r="R51" t="str">
        <f t="shared" si="3"/>
        <v/>
      </c>
      <c r="S51" s="1" t="str">
        <f t="shared" si="4"/>
        <v/>
      </c>
      <c r="T51"/>
      <c r="U51"/>
      <c r="V51"/>
      <c r="W51"/>
      <c r="X51"/>
      <c r="Y51"/>
      <c r="Z51">
        <v>42</v>
      </c>
      <c r="AA51"/>
      <c r="AB51"/>
      <c r="AC51" s="6"/>
      <c r="AD51" s="6"/>
      <c r="AE51" s="6"/>
      <c r="BB51" s="3"/>
      <c r="BC51" s="3"/>
    </row>
    <row r="52" spans="1:55" s="4" customFormat="1" ht="150">
      <c r="A52"/>
      <c r="B52"/>
      <c r="C52" s="44"/>
      <c r="D52" s="44" t="s">
        <v>3559</v>
      </c>
      <c r="E52" s="44" t="s">
        <v>3646</v>
      </c>
      <c r="F52" s="44" t="s">
        <v>3600</v>
      </c>
      <c r="G52" s="44" t="s">
        <v>6</v>
      </c>
      <c r="H52" s="44" t="s">
        <v>7</v>
      </c>
      <c r="I52" s="44"/>
      <c r="J52" s="44"/>
      <c r="K52" s="44"/>
      <c r="L52" s="44"/>
      <c r="M52" t="str">
        <f t="shared" si="2"/>
        <v>"//*[@class=\"</v>
      </c>
      <c r="N52" t="s">
        <v>31</v>
      </c>
      <c r="O52" s="4" t="str">
        <f t="shared" si="7"/>
        <v>click</v>
      </c>
      <c r="P52" t="str">
        <f t="shared" si="8"/>
        <v>();</v>
      </c>
      <c r="Q52" t="str">
        <f t="shared" si="9"/>
        <v/>
      </c>
      <c r="R52" t="str">
        <f t="shared" si="3"/>
        <v/>
      </c>
      <c r="S52" s="1" t="str">
        <f t="shared" si="4"/>
        <v/>
      </c>
      <c r="T52"/>
      <c r="U52"/>
      <c r="V52"/>
      <c r="W52"/>
      <c r="X52"/>
      <c r="Y52"/>
      <c r="Z52">
        <v>43</v>
      </c>
      <c r="AA52"/>
      <c r="AB52"/>
      <c r="AC52" s="6"/>
      <c r="AD52" s="6"/>
      <c r="AE52" s="6"/>
      <c r="BB52" s="3"/>
      <c r="BC52" s="3"/>
    </row>
    <row r="53" spans="1:55" s="4" customFormat="1" ht="150">
      <c r="A53"/>
      <c r="B53"/>
      <c r="C53" s="44"/>
      <c r="D53" s="44" t="s">
        <v>3559</v>
      </c>
      <c r="E53" s="44" t="s">
        <v>3562</v>
      </c>
      <c r="F53" s="44" t="s">
        <v>3601</v>
      </c>
      <c r="G53" s="44" t="s">
        <v>6</v>
      </c>
      <c r="H53" s="44" t="s">
        <v>7</v>
      </c>
      <c r="I53" s="44"/>
      <c r="J53" s="44"/>
      <c r="K53" s="44"/>
      <c r="L53" s="44"/>
      <c r="M53" t="str">
        <f t="shared" si="2"/>
        <v>"//*[@class=\"</v>
      </c>
      <c r="N53" t="s">
        <v>31</v>
      </c>
      <c r="O53" s="4" t="str">
        <f t="shared" si="7"/>
        <v>click</v>
      </c>
      <c r="P53" t="str">
        <f t="shared" si="8"/>
        <v>();</v>
      </c>
      <c r="Q53" t="str">
        <f t="shared" si="9"/>
        <v/>
      </c>
      <c r="R53" t="str">
        <f t="shared" si="3"/>
        <v/>
      </c>
      <c r="S53" s="1" t="str">
        <f t="shared" si="4"/>
        <v/>
      </c>
      <c r="T53"/>
      <c r="U53"/>
      <c r="V53"/>
      <c r="W53"/>
      <c r="X53"/>
      <c r="Y53"/>
      <c r="Z53">
        <v>44</v>
      </c>
      <c r="AA53"/>
      <c r="AB53"/>
      <c r="AC53" s="6"/>
      <c r="AD53" s="6"/>
      <c r="AE53" s="6"/>
      <c r="BB53" s="3"/>
      <c r="BC53" s="3"/>
    </row>
    <row r="54" spans="1:55" s="4" customFormat="1" ht="150">
      <c r="A54"/>
      <c r="B54"/>
      <c r="C54" s="44"/>
      <c r="D54" s="44" t="s">
        <v>3559</v>
      </c>
      <c r="E54" s="44" t="s">
        <v>3647</v>
      </c>
      <c r="F54" s="44" t="s">
        <v>3602</v>
      </c>
      <c r="G54" s="44" t="s">
        <v>6</v>
      </c>
      <c r="H54" s="44" t="s">
        <v>7</v>
      </c>
      <c r="I54" s="44"/>
      <c r="J54" s="44"/>
      <c r="K54" s="44"/>
      <c r="L54" s="44"/>
      <c r="M54" t="str">
        <f t="shared" si="2"/>
        <v>"//*[@class=\"</v>
      </c>
      <c r="N54" t="s">
        <v>31</v>
      </c>
      <c r="O54" s="4" t="str">
        <f t="shared" si="7"/>
        <v>click</v>
      </c>
      <c r="P54" t="str">
        <f t="shared" si="8"/>
        <v>();</v>
      </c>
      <c r="Q54" t="str">
        <f t="shared" si="9"/>
        <v/>
      </c>
      <c r="R54" t="str">
        <f t="shared" si="3"/>
        <v/>
      </c>
      <c r="S54" s="1" t="str">
        <f t="shared" si="4"/>
        <v/>
      </c>
      <c r="T54"/>
      <c r="U54"/>
      <c r="V54"/>
      <c r="W54"/>
      <c r="X54"/>
      <c r="Y54"/>
      <c r="Z54">
        <v>45</v>
      </c>
      <c r="AA54"/>
      <c r="AB54"/>
      <c r="AC54" s="6"/>
      <c r="AD54" s="6"/>
      <c r="AE54" s="6"/>
      <c r="BB54" s="3"/>
      <c r="BC54" s="3"/>
    </row>
    <row r="55" spans="1:55" s="4" customFormat="1" ht="150">
      <c r="A55"/>
      <c r="B55"/>
      <c r="C55" s="44"/>
      <c r="D55" s="44" t="s">
        <v>3559</v>
      </c>
      <c r="E55" s="44" t="s">
        <v>3563</v>
      </c>
      <c r="F55" s="44" t="s">
        <v>3603</v>
      </c>
      <c r="G55" s="44" t="s">
        <v>6</v>
      </c>
      <c r="H55" s="44" t="s">
        <v>7</v>
      </c>
      <c r="I55" s="44"/>
      <c r="J55" s="44"/>
      <c r="K55" s="44"/>
      <c r="L55" s="44"/>
      <c r="M55" t="str">
        <f t="shared" si="2"/>
        <v>"//*[@class=\"</v>
      </c>
      <c r="N55" t="s">
        <v>31</v>
      </c>
      <c r="O55" s="4" t="str">
        <f t="shared" si="7"/>
        <v>click</v>
      </c>
      <c r="P55" t="str">
        <f t="shared" si="8"/>
        <v>();</v>
      </c>
      <c r="Q55" t="str">
        <f t="shared" si="9"/>
        <v/>
      </c>
      <c r="R55" t="str">
        <f t="shared" si="3"/>
        <v/>
      </c>
      <c r="S55" s="1" t="str">
        <f t="shared" si="4"/>
        <v/>
      </c>
      <c r="T55"/>
      <c r="U55"/>
      <c r="V55"/>
      <c r="W55"/>
      <c r="X55"/>
      <c r="Y55"/>
      <c r="Z55">
        <v>46</v>
      </c>
      <c r="AA55"/>
      <c r="AB55"/>
      <c r="AC55" s="6"/>
      <c r="AD55" s="6"/>
      <c r="AE55" s="6"/>
      <c r="BB55" s="3"/>
      <c r="BC55" s="3"/>
    </row>
    <row r="56" spans="1:55" s="4" customFormat="1" ht="150">
      <c r="A56"/>
      <c r="B56"/>
      <c r="C56" s="44"/>
      <c r="D56" s="44" t="s">
        <v>3559</v>
      </c>
      <c r="E56" s="44" t="s">
        <v>3648</v>
      </c>
      <c r="F56" s="44" t="s">
        <v>3604</v>
      </c>
      <c r="G56" s="44" t="s">
        <v>6</v>
      </c>
      <c r="H56" s="44" t="s">
        <v>7</v>
      </c>
      <c r="I56" s="44"/>
      <c r="J56" s="44"/>
      <c r="K56" s="44"/>
      <c r="L56" s="44"/>
      <c r="M56" t="str">
        <f t="shared" si="2"/>
        <v>"//*[@class=\"</v>
      </c>
      <c r="N56" t="s">
        <v>31</v>
      </c>
      <c r="O56" s="4" t="str">
        <f t="shared" si="7"/>
        <v>click</v>
      </c>
      <c r="P56" t="str">
        <f t="shared" si="8"/>
        <v>();</v>
      </c>
      <c r="Q56" t="str">
        <f t="shared" si="9"/>
        <v/>
      </c>
      <c r="R56" t="str">
        <f t="shared" si="3"/>
        <v/>
      </c>
      <c r="S56" s="1" t="str">
        <f t="shared" si="4"/>
        <v/>
      </c>
      <c r="T56"/>
      <c r="U56"/>
      <c r="V56"/>
      <c r="W56"/>
      <c r="X56"/>
      <c r="Y56"/>
      <c r="Z56">
        <v>47</v>
      </c>
      <c r="AA56"/>
      <c r="AB56"/>
      <c r="AC56" s="6"/>
      <c r="AD56" s="6"/>
      <c r="AE56" s="6"/>
      <c r="BB56" s="3"/>
      <c r="BC56" s="3"/>
    </row>
    <row r="57" spans="1:55" s="4" customFormat="1" ht="150">
      <c r="A57"/>
      <c r="B57"/>
      <c r="C57" s="44"/>
      <c r="D57" s="44" t="s">
        <v>3559</v>
      </c>
      <c r="E57" s="44" t="s">
        <v>3564</v>
      </c>
      <c r="F57" s="44" t="s">
        <v>3605</v>
      </c>
      <c r="G57" s="44" t="s">
        <v>6</v>
      </c>
      <c r="H57" s="44" t="s">
        <v>7</v>
      </c>
      <c r="I57" s="44"/>
      <c r="J57" s="44"/>
      <c r="K57" s="44"/>
      <c r="L57" s="44"/>
      <c r="M57" t="str">
        <f t="shared" si="2"/>
        <v>"//*[@class=\"</v>
      </c>
      <c r="N57" t="s">
        <v>31</v>
      </c>
      <c r="O57" s="4" t="str">
        <f t="shared" si="7"/>
        <v>click</v>
      </c>
      <c r="P57" t="str">
        <f t="shared" si="8"/>
        <v>();</v>
      </c>
      <c r="Q57" t="str">
        <f t="shared" si="9"/>
        <v/>
      </c>
      <c r="R57" t="str">
        <f t="shared" si="3"/>
        <v/>
      </c>
      <c r="S57" s="1" t="str">
        <f t="shared" si="4"/>
        <v/>
      </c>
      <c r="T57"/>
      <c r="U57"/>
      <c r="V57"/>
      <c r="W57"/>
      <c r="X57"/>
      <c r="Y57"/>
      <c r="Z57">
        <v>48</v>
      </c>
      <c r="AA57"/>
      <c r="AB57"/>
      <c r="AC57" s="6"/>
      <c r="AD57" s="6"/>
      <c r="AE57" s="6"/>
      <c r="BB57" s="3"/>
      <c r="BC57" s="3"/>
    </row>
    <row r="58" spans="1:55" s="4" customFormat="1" ht="150">
      <c r="A58"/>
      <c r="B58"/>
      <c r="C58" s="44"/>
      <c r="D58" s="44" t="s">
        <v>3559</v>
      </c>
      <c r="E58" s="44" t="s">
        <v>3649</v>
      </c>
      <c r="F58" s="44" t="s">
        <v>3606</v>
      </c>
      <c r="G58" s="44" t="s">
        <v>6</v>
      </c>
      <c r="H58" s="44" t="s">
        <v>7</v>
      </c>
      <c r="I58" s="44"/>
      <c r="J58" s="44"/>
      <c r="K58" s="44"/>
      <c r="L58" s="44"/>
      <c r="M58" t="str">
        <f t="shared" si="2"/>
        <v>"//*[@class=\"</v>
      </c>
      <c r="N58" t="s">
        <v>31</v>
      </c>
      <c r="O58" s="4" t="str">
        <f t="shared" si="7"/>
        <v>click</v>
      </c>
      <c r="P58" t="str">
        <f t="shared" si="8"/>
        <v>();</v>
      </c>
      <c r="Q58" t="str">
        <f t="shared" si="9"/>
        <v/>
      </c>
      <c r="R58" t="str">
        <f t="shared" si="3"/>
        <v/>
      </c>
      <c r="S58" s="1" t="str">
        <f t="shared" si="4"/>
        <v/>
      </c>
      <c r="T58"/>
      <c r="U58"/>
      <c r="V58"/>
      <c r="W58"/>
      <c r="X58"/>
      <c r="Y58"/>
      <c r="Z58">
        <v>49</v>
      </c>
      <c r="AA58"/>
      <c r="AB58"/>
      <c r="AC58" s="6"/>
      <c r="AD58" s="6"/>
      <c r="AE58" s="6"/>
      <c r="BB58" s="3"/>
      <c r="BC58" s="3"/>
    </row>
    <row r="59" spans="1:55" s="4" customFormat="1" ht="90">
      <c r="A59"/>
      <c r="B59"/>
      <c r="C59" s="44"/>
      <c r="D59" s="44" t="s">
        <v>3559</v>
      </c>
      <c r="E59" s="44" t="s">
        <v>3650</v>
      </c>
      <c r="F59" s="44" t="s">
        <v>3607</v>
      </c>
      <c r="G59" s="44" t="s">
        <v>6</v>
      </c>
      <c r="H59" s="44" t="s">
        <v>7</v>
      </c>
      <c r="I59" s="44"/>
      <c r="J59" s="44"/>
      <c r="K59" s="44"/>
      <c r="L59" s="44"/>
      <c r="M59" t="str">
        <f t="shared" si="2"/>
        <v>"//*[@class=\"</v>
      </c>
      <c r="N59" t="s">
        <v>31</v>
      </c>
      <c r="O59" s="4" t="str">
        <f t="shared" si="7"/>
        <v>click</v>
      </c>
      <c r="P59" t="str">
        <f t="shared" si="8"/>
        <v>();</v>
      </c>
      <c r="Q59" t="str">
        <f t="shared" si="9"/>
        <v/>
      </c>
      <c r="R59" t="str">
        <f t="shared" si="3"/>
        <v/>
      </c>
      <c r="S59" s="1" t="str">
        <f t="shared" si="4"/>
        <v/>
      </c>
      <c r="T59"/>
      <c r="U59"/>
      <c r="V59"/>
      <c r="W59"/>
      <c r="X59"/>
      <c r="Y59"/>
      <c r="Z59">
        <v>50</v>
      </c>
      <c r="AA59"/>
      <c r="AB59"/>
      <c r="AC59" s="6"/>
      <c r="AD59" s="6"/>
      <c r="AE59" s="6"/>
      <c r="BB59" s="3"/>
      <c r="BC59" s="3"/>
    </row>
    <row r="60" spans="1:55" s="4" customFormat="1" ht="90">
      <c r="A60"/>
      <c r="B60"/>
      <c r="C60" s="44"/>
      <c r="D60" s="44" t="s">
        <v>3559</v>
      </c>
      <c r="E60" s="44" t="s">
        <v>3608</v>
      </c>
      <c r="F60" s="44" t="s">
        <v>3609</v>
      </c>
      <c r="G60" s="44" t="s">
        <v>6</v>
      </c>
      <c r="H60" s="44" t="s">
        <v>7</v>
      </c>
      <c r="I60" s="44"/>
      <c r="J60" s="44"/>
      <c r="K60" s="44"/>
      <c r="L60" s="44"/>
      <c r="M60" t="str">
        <f t="shared" si="2"/>
        <v>"//*[@class=\"</v>
      </c>
      <c r="N60" t="s">
        <v>31</v>
      </c>
      <c r="O60" s="4" t="str">
        <f t="shared" si="7"/>
        <v>click</v>
      </c>
      <c r="P60" t="str">
        <f t="shared" si="8"/>
        <v>();</v>
      </c>
      <c r="Q60" t="str">
        <f t="shared" si="9"/>
        <v/>
      </c>
      <c r="R60" t="str">
        <f t="shared" si="3"/>
        <v/>
      </c>
      <c r="S60" s="1" t="str">
        <f t="shared" si="4"/>
        <v/>
      </c>
      <c r="T60"/>
      <c r="U60"/>
      <c r="V60"/>
      <c r="W60"/>
      <c r="X60"/>
      <c r="Y60"/>
      <c r="Z60">
        <v>51</v>
      </c>
      <c r="AA60"/>
      <c r="AB60"/>
      <c r="AC60" s="6"/>
      <c r="AD60" s="6"/>
      <c r="AE60" s="6"/>
      <c r="BB60" s="3"/>
      <c r="BC60" s="3"/>
    </row>
    <row r="61" spans="1:55" s="4" customFormat="1" ht="75">
      <c r="A61"/>
      <c r="B61"/>
      <c r="C61" s="44"/>
      <c r="D61" s="44" t="s">
        <v>14</v>
      </c>
      <c r="E61" s="44" t="s">
        <v>3517</v>
      </c>
      <c r="F61" s="44" t="s">
        <v>3610</v>
      </c>
      <c r="G61" s="44" t="s">
        <v>6</v>
      </c>
      <c r="H61" s="44" t="s">
        <v>7</v>
      </c>
      <c r="I61" s="44"/>
      <c r="J61" s="44"/>
      <c r="K61" s="44"/>
      <c r="L61" s="44"/>
      <c r="M61" t="str">
        <f t="shared" si="2"/>
        <v>"//*[@class=\"</v>
      </c>
      <c r="N61" t="s">
        <v>31</v>
      </c>
      <c r="O61" s="4" t="str">
        <f t="shared" si="7"/>
        <v>click</v>
      </c>
      <c r="P61" t="str">
        <f t="shared" si="8"/>
        <v>();</v>
      </c>
      <c r="Q61" t="str">
        <f t="shared" si="9"/>
        <v/>
      </c>
      <c r="R61" t="str">
        <f t="shared" si="3"/>
        <v/>
      </c>
      <c r="S61" s="1" t="str">
        <f t="shared" si="4"/>
        <v/>
      </c>
      <c r="T61"/>
      <c r="U61"/>
      <c r="V61"/>
      <c r="W61"/>
      <c r="X61"/>
      <c r="Y61"/>
      <c r="Z61">
        <v>52</v>
      </c>
      <c r="AA61"/>
      <c r="AB61"/>
      <c r="AC61" s="6"/>
      <c r="AD61" s="6"/>
      <c r="AE61" s="6"/>
      <c r="BB61" s="3"/>
      <c r="BC61" s="3"/>
    </row>
    <row r="62" spans="1:55" s="4" customFormat="1" ht="75">
      <c r="A62"/>
      <c r="B62"/>
      <c r="C62" s="44"/>
      <c r="D62" s="44" t="s">
        <v>3525</v>
      </c>
      <c r="E62" s="44" t="s">
        <v>3517</v>
      </c>
      <c r="F62" s="44" t="s">
        <v>3611</v>
      </c>
      <c r="G62" s="44" t="s">
        <v>6</v>
      </c>
      <c r="H62" s="44" t="s">
        <v>7</v>
      </c>
      <c r="I62" s="44"/>
      <c r="J62" s="44"/>
      <c r="K62" s="44"/>
      <c r="L62" s="44"/>
      <c r="M62" t="str">
        <f t="shared" si="2"/>
        <v>"//*[@class=\"</v>
      </c>
      <c r="N62" t="s">
        <v>31</v>
      </c>
      <c r="O62" s="4" t="str">
        <f t="shared" si="7"/>
        <v>click</v>
      </c>
      <c r="P62" t="str">
        <f t="shared" si="8"/>
        <v>();</v>
      </c>
      <c r="Q62" t="str">
        <f t="shared" si="9"/>
        <v/>
      </c>
      <c r="R62" t="str">
        <f t="shared" si="3"/>
        <v/>
      </c>
      <c r="S62" s="1" t="str">
        <f t="shared" si="4"/>
        <v/>
      </c>
      <c r="T62"/>
      <c r="U62"/>
      <c r="V62"/>
      <c r="W62"/>
      <c r="X62"/>
      <c r="Y62"/>
      <c r="Z62">
        <v>53</v>
      </c>
      <c r="AA62"/>
      <c r="AB62"/>
      <c r="AC62" s="6"/>
      <c r="AD62" s="6"/>
      <c r="AE62" s="6"/>
      <c r="BB62" s="3"/>
      <c r="BC62" s="3"/>
    </row>
    <row r="63" spans="1:55" s="4" customFormat="1" ht="90">
      <c r="A63"/>
      <c r="B63"/>
      <c r="C63" s="44"/>
      <c r="D63" s="44" t="s">
        <v>3559</v>
      </c>
      <c r="E63" s="44" t="s">
        <v>3651</v>
      </c>
      <c r="F63" s="44" t="s">
        <v>3612</v>
      </c>
      <c r="G63" s="44" t="s">
        <v>6</v>
      </c>
      <c r="H63" s="44" t="s">
        <v>7</v>
      </c>
      <c r="I63" s="44"/>
      <c r="J63" s="44"/>
      <c r="K63" s="44"/>
      <c r="L63" s="44"/>
      <c r="M63" t="str">
        <f t="shared" si="2"/>
        <v>"//*[@class=\"</v>
      </c>
      <c r="N63" t="s">
        <v>31</v>
      </c>
      <c r="O63" s="4" t="str">
        <f t="shared" si="7"/>
        <v>click</v>
      </c>
      <c r="P63" t="str">
        <f t="shared" si="8"/>
        <v>();</v>
      </c>
      <c r="Q63" t="str">
        <f t="shared" si="9"/>
        <v/>
      </c>
      <c r="R63" t="str">
        <f t="shared" si="3"/>
        <v/>
      </c>
      <c r="S63" s="1" t="str">
        <f t="shared" si="4"/>
        <v/>
      </c>
      <c r="T63"/>
      <c r="U63"/>
      <c r="V63"/>
      <c r="W63"/>
      <c r="X63"/>
      <c r="Y63"/>
      <c r="Z63">
        <v>54</v>
      </c>
      <c r="AA63"/>
      <c r="AB63"/>
      <c r="AC63" s="6"/>
      <c r="AD63" s="6"/>
      <c r="AE63" s="6"/>
      <c r="BB63" s="3"/>
      <c r="BC63" s="3"/>
    </row>
    <row r="64" spans="1:55" s="4" customFormat="1" ht="75">
      <c r="A64"/>
      <c r="B64"/>
      <c r="C64" s="44"/>
      <c r="D64" s="44" t="s">
        <v>3525</v>
      </c>
      <c r="E64" s="44" t="s">
        <v>3517</v>
      </c>
      <c r="F64" s="44" t="s">
        <v>3613</v>
      </c>
      <c r="G64" s="44" t="s">
        <v>6</v>
      </c>
      <c r="H64" s="44" t="s">
        <v>7</v>
      </c>
      <c r="I64" s="44"/>
      <c r="J64" s="44"/>
      <c r="K64" s="44"/>
      <c r="L64" s="44"/>
      <c r="M64" t="str">
        <f t="shared" si="2"/>
        <v>"//*[@class=\"</v>
      </c>
      <c r="N64" t="s">
        <v>31</v>
      </c>
      <c r="O64" s="4" t="str">
        <f t="shared" si="7"/>
        <v>click</v>
      </c>
      <c r="P64" t="str">
        <f t="shared" si="8"/>
        <v>();</v>
      </c>
      <c r="Q64" t="str">
        <f t="shared" si="9"/>
        <v/>
      </c>
      <c r="R64" t="str">
        <f t="shared" si="3"/>
        <v/>
      </c>
      <c r="S64" s="1" t="str">
        <f t="shared" si="4"/>
        <v/>
      </c>
      <c r="T64"/>
      <c r="U64"/>
      <c r="V64"/>
      <c r="W64"/>
      <c r="X64"/>
      <c r="Y64"/>
      <c r="Z64">
        <v>55</v>
      </c>
      <c r="AA64"/>
      <c r="AB64"/>
      <c r="AC64" s="6"/>
      <c r="AD64" s="6"/>
      <c r="AE64" s="6"/>
      <c r="BB64" s="3"/>
      <c r="BC64" s="3"/>
    </row>
    <row r="65" spans="1:55" s="4" customFormat="1" ht="75">
      <c r="A65"/>
      <c r="B65"/>
      <c r="C65" s="44"/>
      <c r="D65" s="44" t="s">
        <v>3525</v>
      </c>
      <c r="E65" s="44" t="s">
        <v>3517</v>
      </c>
      <c r="F65" s="44" t="s">
        <v>3614</v>
      </c>
      <c r="G65" s="44" t="s">
        <v>6</v>
      </c>
      <c r="H65" s="44" t="s">
        <v>7</v>
      </c>
      <c r="I65" s="44"/>
      <c r="J65" s="44"/>
      <c r="K65" s="44"/>
      <c r="L65" s="44"/>
      <c r="M65" t="str">
        <f t="shared" si="2"/>
        <v>"//*[@class=\"</v>
      </c>
      <c r="N65" t="s">
        <v>31</v>
      </c>
      <c r="O65" s="4" t="str">
        <f t="shared" si="7"/>
        <v>click</v>
      </c>
      <c r="P65" t="str">
        <f t="shared" si="8"/>
        <v>();</v>
      </c>
      <c r="Q65" t="str">
        <f t="shared" si="9"/>
        <v/>
      </c>
      <c r="R65" t="str">
        <f t="shared" si="3"/>
        <v/>
      </c>
      <c r="S65" s="1" t="str">
        <f t="shared" si="4"/>
        <v/>
      </c>
      <c r="T65"/>
      <c r="U65"/>
      <c r="V65"/>
      <c r="W65"/>
      <c r="X65"/>
      <c r="Y65"/>
      <c r="Z65">
        <v>56</v>
      </c>
      <c r="AA65"/>
      <c r="AB65"/>
      <c r="AC65" s="6"/>
      <c r="AD65" s="6"/>
      <c r="AE65" s="6"/>
      <c r="BB65" s="3"/>
      <c r="BC65" s="3"/>
    </row>
    <row r="66" spans="1:55" s="4" customFormat="1" ht="75">
      <c r="A66"/>
      <c r="B66"/>
      <c r="C66" s="44"/>
      <c r="D66" s="44" t="s">
        <v>3525</v>
      </c>
      <c r="E66" s="44" t="s">
        <v>3517</v>
      </c>
      <c r="F66" s="44" t="s">
        <v>3615</v>
      </c>
      <c r="G66" s="44" t="s">
        <v>6</v>
      </c>
      <c r="H66" s="44" t="s">
        <v>7</v>
      </c>
      <c r="I66" s="44"/>
      <c r="J66" s="44"/>
      <c r="K66" s="44"/>
      <c r="L66" s="44"/>
      <c r="M66" t="str">
        <f t="shared" si="2"/>
        <v>"//*[@class=\"</v>
      </c>
      <c r="N66" t="s">
        <v>31</v>
      </c>
      <c r="O66" s="4" t="str">
        <f t="shared" si="7"/>
        <v>click</v>
      </c>
      <c r="P66" t="str">
        <f t="shared" si="8"/>
        <v>();</v>
      </c>
      <c r="Q66" t="str">
        <f t="shared" si="9"/>
        <v/>
      </c>
      <c r="R66" t="str">
        <f t="shared" si="3"/>
        <v/>
      </c>
      <c r="S66" s="1" t="str">
        <f t="shared" si="4"/>
        <v/>
      </c>
      <c r="T66"/>
      <c r="U66"/>
      <c r="V66"/>
      <c r="W66"/>
      <c r="X66"/>
      <c r="Y66"/>
      <c r="Z66">
        <v>57</v>
      </c>
      <c r="AA66"/>
      <c r="AB66"/>
      <c r="AC66" s="6"/>
      <c r="AD66" s="6"/>
      <c r="AE66" s="6"/>
      <c r="BB66" s="3"/>
      <c r="BC66" s="3"/>
    </row>
    <row r="67" spans="1:55" s="4" customFormat="1" ht="75">
      <c r="A67"/>
      <c r="B67"/>
      <c r="C67" s="44"/>
      <c r="D67" s="44" t="s">
        <v>3525</v>
      </c>
      <c r="E67" s="44" t="s">
        <v>3517</v>
      </c>
      <c r="F67" s="44" t="s">
        <v>3616</v>
      </c>
      <c r="G67" s="44" t="s">
        <v>6</v>
      </c>
      <c r="H67" s="44" t="s">
        <v>7</v>
      </c>
      <c r="I67" s="44"/>
      <c r="J67" s="44"/>
      <c r="K67" s="44"/>
      <c r="L67" s="44"/>
      <c r="M67" t="str">
        <f t="shared" si="2"/>
        <v>"//*[@class=\"</v>
      </c>
      <c r="N67" t="s">
        <v>31</v>
      </c>
      <c r="O67" s="4" t="str">
        <f t="shared" si="7"/>
        <v>click</v>
      </c>
      <c r="P67" t="str">
        <f t="shared" si="8"/>
        <v>();</v>
      </c>
      <c r="Q67" t="str">
        <f t="shared" si="9"/>
        <v/>
      </c>
      <c r="R67" t="str">
        <f t="shared" si="3"/>
        <v/>
      </c>
      <c r="S67" s="1" t="str">
        <f t="shared" si="4"/>
        <v/>
      </c>
      <c r="T67"/>
      <c r="U67"/>
      <c r="V67"/>
      <c r="W67"/>
      <c r="X67"/>
      <c r="Y67"/>
      <c r="Z67">
        <v>58</v>
      </c>
      <c r="AA67"/>
      <c r="AB67"/>
      <c r="AC67" s="6"/>
      <c r="AD67" s="6"/>
      <c r="AE67" s="6"/>
      <c r="BB67" s="3"/>
      <c r="BC67" s="3"/>
    </row>
    <row r="68" spans="1:55" s="4" customFormat="1" ht="90">
      <c r="A68"/>
      <c r="B68"/>
      <c r="C68" s="44"/>
      <c r="D68" s="44" t="s">
        <v>3559</v>
      </c>
      <c r="E68" s="44" t="s">
        <v>3617</v>
      </c>
      <c r="F68" s="44" t="s">
        <v>3618</v>
      </c>
      <c r="G68" s="44" t="s">
        <v>6</v>
      </c>
      <c r="H68" s="44" t="s">
        <v>7</v>
      </c>
      <c r="I68" s="44"/>
      <c r="J68" s="44"/>
      <c r="K68" s="44"/>
      <c r="L68" s="44"/>
      <c r="M68" t="str">
        <f t="shared" si="2"/>
        <v>"//*[@class=\"</v>
      </c>
      <c r="N68" t="s">
        <v>31</v>
      </c>
      <c r="O68" s="4" t="str">
        <f t="shared" si="7"/>
        <v>click</v>
      </c>
      <c r="P68" t="str">
        <f t="shared" si="8"/>
        <v>();</v>
      </c>
      <c r="Q68" t="str">
        <f t="shared" si="9"/>
        <v/>
      </c>
      <c r="R68" t="str">
        <f t="shared" si="3"/>
        <v/>
      </c>
      <c r="S68" s="1" t="str">
        <f t="shared" si="4"/>
        <v/>
      </c>
      <c r="T68"/>
      <c r="U68"/>
      <c r="V68"/>
      <c r="W68"/>
      <c r="X68"/>
      <c r="Y68"/>
      <c r="Z68">
        <v>59</v>
      </c>
      <c r="AA68"/>
      <c r="AB68"/>
      <c r="AC68" s="6"/>
      <c r="AD68" s="6"/>
      <c r="AE68" s="6"/>
      <c r="BB68" s="3"/>
      <c r="BC68" s="3"/>
    </row>
    <row r="69" spans="1:55" s="4" customFormat="1" ht="75">
      <c r="A69"/>
      <c r="B69"/>
      <c r="C69" s="44"/>
      <c r="D69" s="44" t="s">
        <v>3525</v>
      </c>
      <c r="E69" s="44" t="s">
        <v>3517</v>
      </c>
      <c r="F69" s="44" t="s">
        <v>3619</v>
      </c>
      <c r="G69" s="44" t="s">
        <v>6</v>
      </c>
      <c r="H69" s="44" t="s">
        <v>7</v>
      </c>
      <c r="I69" s="44"/>
      <c r="J69" s="44"/>
      <c r="K69" s="44"/>
      <c r="L69" s="44"/>
      <c r="M69" t="str">
        <f t="shared" si="2"/>
        <v>"//*[@class=\"</v>
      </c>
      <c r="N69" t="s">
        <v>31</v>
      </c>
      <c r="O69" s="4" t="str">
        <f t="shared" si="7"/>
        <v>click</v>
      </c>
      <c r="P69" t="str">
        <f t="shared" si="8"/>
        <v>();</v>
      </c>
      <c r="Q69" t="str">
        <f t="shared" si="9"/>
        <v/>
      </c>
      <c r="R69" t="str">
        <f t="shared" si="3"/>
        <v/>
      </c>
      <c r="S69" s="1" t="str">
        <f t="shared" si="4"/>
        <v/>
      </c>
      <c r="T69"/>
      <c r="U69"/>
      <c r="V69"/>
      <c r="W69"/>
      <c r="X69"/>
      <c r="Y69"/>
      <c r="Z69">
        <v>60</v>
      </c>
      <c r="AA69"/>
      <c r="AB69"/>
      <c r="AC69" s="6"/>
      <c r="AD69" s="6"/>
      <c r="AE69" s="6"/>
      <c r="BB69" s="3"/>
      <c r="BC69" s="3"/>
    </row>
    <row r="70" spans="1:55" s="4" customFormat="1" ht="75">
      <c r="A70"/>
      <c r="B70"/>
      <c r="C70" s="44"/>
      <c r="D70" s="44" t="s">
        <v>3525</v>
      </c>
      <c r="E70" s="44" t="s">
        <v>3517</v>
      </c>
      <c r="F70" s="44" t="s">
        <v>3620</v>
      </c>
      <c r="G70" s="44" t="s">
        <v>6</v>
      </c>
      <c r="H70" s="44" t="s">
        <v>7</v>
      </c>
      <c r="I70" s="44"/>
      <c r="J70" s="44"/>
      <c r="K70" s="44"/>
      <c r="L70" s="44"/>
      <c r="M70" t="str">
        <f t="shared" si="2"/>
        <v>"//*[@class=\"</v>
      </c>
      <c r="N70" t="s">
        <v>31</v>
      </c>
      <c r="O70" s="4" t="str">
        <f t="shared" si="7"/>
        <v>click</v>
      </c>
      <c r="P70" t="str">
        <f t="shared" si="8"/>
        <v>();</v>
      </c>
      <c r="Q70" t="str">
        <f t="shared" si="9"/>
        <v/>
      </c>
      <c r="R70" t="str">
        <f t="shared" si="3"/>
        <v/>
      </c>
      <c r="S70" s="1" t="str">
        <f t="shared" si="4"/>
        <v/>
      </c>
      <c r="T70"/>
      <c r="U70"/>
      <c r="V70"/>
      <c r="W70"/>
      <c r="X70"/>
      <c r="Y70"/>
      <c r="Z70">
        <v>61</v>
      </c>
      <c r="AA70"/>
      <c r="AB70"/>
      <c r="AC70" s="6"/>
      <c r="AD70" s="6"/>
      <c r="AE70" s="6"/>
      <c r="BB70" s="3"/>
      <c r="BC70" s="3"/>
    </row>
    <row r="71" spans="1:55" s="4" customFormat="1" ht="75">
      <c r="A71"/>
      <c r="B71"/>
      <c r="C71" s="44"/>
      <c r="D71" s="44" t="s">
        <v>3525</v>
      </c>
      <c r="E71" s="44" t="s">
        <v>3517</v>
      </c>
      <c r="F71" s="44" t="s">
        <v>3621</v>
      </c>
      <c r="G71" s="44" t="s">
        <v>6</v>
      </c>
      <c r="H71" s="44" t="s">
        <v>7</v>
      </c>
      <c r="I71" s="44"/>
      <c r="J71" s="44"/>
      <c r="K71" s="44"/>
      <c r="L71" s="44"/>
      <c r="M71" t="str">
        <f t="shared" si="2"/>
        <v>"//*[@class=\"</v>
      </c>
      <c r="N71" t="s">
        <v>31</v>
      </c>
      <c r="O71" s="4" t="str">
        <f t="shared" si="7"/>
        <v>click</v>
      </c>
      <c r="P71" t="str">
        <f t="shared" si="8"/>
        <v>();</v>
      </c>
      <c r="Q71" t="str">
        <f t="shared" si="9"/>
        <v/>
      </c>
      <c r="R71" t="str">
        <f t="shared" si="3"/>
        <v/>
      </c>
      <c r="S71" s="1" t="str">
        <f t="shared" si="4"/>
        <v/>
      </c>
      <c r="T71"/>
      <c r="U71"/>
      <c r="V71"/>
      <c r="W71"/>
      <c r="X71"/>
      <c r="Y71"/>
      <c r="Z71">
        <v>62</v>
      </c>
      <c r="AA71"/>
      <c r="AB71"/>
      <c r="AC71" s="6"/>
      <c r="AD71" s="6"/>
      <c r="AE71" s="6"/>
      <c r="BB71" s="3"/>
      <c r="BC71" s="3"/>
    </row>
    <row r="72" spans="1:55" s="4" customFormat="1" ht="75">
      <c r="A72"/>
      <c r="B72"/>
      <c r="C72" s="44"/>
      <c r="D72" s="44" t="s">
        <v>3525</v>
      </c>
      <c r="E72" s="44" t="s">
        <v>3517</v>
      </c>
      <c r="F72" s="44" t="s">
        <v>3622</v>
      </c>
      <c r="G72" s="44" t="s">
        <v>6</v>
      </c>
      <c r="H72" s="44" t="s">
        <v>7</v>
      </c>
      <c r="I72" s="44"/>
      <c r="J72" s="44"/>
      <c r="K72" s="44"/>
      <c r="L72" s="44"/>
      <c r="M72" t="str">
        <f t="shared" si="2"/>
        <v>"//*[@class=\"</v>
      </c>
      <c r="N72" t="s">
        <v>31</v>
      </c>
      <c r="O72" s="4" t="str">
        <f t="shared" si="7"/>
        <v>click</v>
      </c>
      <c r="P72" t="str">
        <f t="shared" si="8"/>
        <v>();</v>
      </c>
      <c r="Q72" t="str">
        <f t="shared" si="9"/>
        <v/>
      </c>
      <c r="R72" t="str">
        <f t="shared" si="3"/>
        <v/>
      </c>
      <c r="S72" s="1" t="str">
        <f t="shared" si="4"/>
        <v/>
      </c>
      <c r="T72"/>
      <c r="U72"/>
      <c r="V72"/>
      <c r="W72"/>
      <c r="X72"/>
      <c r="Y72"/>
      <c r="Z72">
        <v>63</v>
      </c>
      <c r="AA72"/>
      <c r="AB72"/>
      <c r="AC72" s="6"/>
      <c r="AD72" s="6"/>
      <c r="AE72" s="6"/>
      <c r="BB72" s="3"/>
      <c r="BC72" s="3"/>
    </row>
    <row r="73" spans="1:55" s="4" customFormat="1" ht="90">
      <c r="A73"/>
      <c r="B73"/>
      <c r="C73" s="44"/>
      <c r="D73" s="44" t="s">
        <v>3559</v>
      </c>
      <c r="E73" s="44" t="s">
        <v>3623</v>
      </c>
      <c r="F73" s="44" t="s">
        <v>3624</v>
      </c>
      <c r="G73" s="44" t="s">
        <v>6</v>
      </c>
      <c r="H73" s="44" t="s">
        <v>7</v>
      </c>
      <c r="I73" s="44"/>
      <c r="J73" s="44"/>
      <c r="K73" s="44"/>
      <c r="L73" s="44"/>
      <c r="M73" t="str">
        <f t="shared" si="2"/>
        <v>"//*[@class=\"</v>
      </c>
      <c r="N73" t="s">
        <v>31</v>
      </c>
      <c r="O73" s="4" t="str">
        <f t="shared" si="7"/>
        <v>click</v>
      </c>
      <c r="P73" t="str">
        <f t="shared" si="8"/>
        <v>();</v>
      </c>
      <c r="Q73" t="str">
        <f t="shared" si="9"/>
        <v/>
      </c>
      <c r="R73" t="str">
        <f t="shared" si="3"/>
        <v/>
      </c>
      <c r="S73" s="1" t="str">
        <f t="shared" si="4"/>
        <v/>
      </c>
      <c r="T73"/>
      <c r="U73"/>
      <c r="V73"/>
      <c r="W73"/>
      <c r="X73"/>
      <c r="Y73"/>
      <c r="Z73">
        <v>64</v>
      </c>
      <c r="AA73"/>
      <c r="AB73"/>
      <c r="AC73" s="6"/>
      <c r="AD73" s="6"/>
      <c r="AE73" s="6"/>
      <c r="BB73" s="3"/>
      <c r="BC73" s="3"/>
    </row>
    <row r="74" spans="1:55" s="4" customFormat="1" ht="75">
      <c r="A74"/>
      <c r="B74"/>
      <c r="C74" s="44"/>
      <c r="D74" s="44" t="s">
        <v>3525</v>
      </c>
      <c r="E74" s="44" t="s">
        <v>3517</v>
      </c>
      <c r="F74" s="44" t="s">
        <v>3625</v>
      </c>
      <c r="G74" s="44" t="s">
        <v>6</v>
      </c>
      <c r="H74" s="44" t="s">
        <v>7</v>
      </c>
      <c r="I74" s="44"/>
      <c r="J74" s="44"/>
      <c r="K74" s="44"/>
      <c r="L74" s="44"/>
      <c r="M74" t="str">
        <f t="shared" si="2"/>
        <v>"//*[@class=\"</v>
      </c>
      <c r="N74" t="s">
        <v>31</v>
      </c>
      <c r="O74" s="4" t="str">
        <f t="shared" ref="O74" si="12">IF(D74="input","fill",IF(I74&lt;&gt;"","innerText",IF(J74="Y",$T$7,"click")))</f>
        <v>click</v>
      </c>
      <c r="P74" t="str">
        <f t="shared" ref="P74" si="13">IF(OR(O74="Click",O74="innerText"),"();","("&amp;""""&amp;K74&amp;""""&amp;");")</f>
        <v>();</v>
      </c>
      <c r="Q74" t="str">
        <f t="shared" ref="Q74" si="14">IF(C74="Y",IF(H74&lt;&gt;"Xpath",M74&amp;F74&amp;N74,""""&amp;F74&amp;""""),"")</f>
        <v/>
      </c>
      <c r="R74" t="str">
        <f t="shared" si="3"/>
        <v/>
      </c>
      <c r="S74" s="1" t="str">
        <f t="shared" si="4"/>
        <v/>
      </c>
      <c r="T74"/>
      <c r="U74"/>
      <c r="V74"/>
      <c r="W74"/>
      <c r="X74"/>
      <c r="Y74"/>
      <c r="Z74">
        <v>65</v>
      </c>
      <c r="AA74"/>
      <c r="AB74"/>
      <c r="AC74" s="6"/>
      <c r="AD74" s="6"/>
      <c r="AE74" s="6"/>
      <c r="BB74" s="3"/>
      <c r="BC74" s="3"/>
    </row>
    <row r="75" spans="1:55" s="4" customFormat="1" ht="75">
      <c r="A75"/>
      <c r="B75"/>
      <c r="C75" s="44"/>
      <c r="D75" s="44" t="s">
        <v>3525</v>
      </c>
      <c r="E75" s="44" t="s">
        <v>3517</v>
      </c>
      <c r="F75" s="44" t="s">
        <v>3626</v>
      </c>
      <c r="G75" s="44" t="s">
        <v>6</v>
      </c>
      <c r="H75" s="44" t="s">
        <v>7</v>
      </c>
      <c r="I75" s="44"/>
      <c r="J75" s="44"/>
      <c r="K75" s="44"/>
      <c r="L75" s="44"/>
      <c r="M75" t="str">
        <f t="shared" ref="M75:M138" si="15">IF(H75="id",""""&amp;"//*[@id=\"&amp;"""",""""&amp;"//*[@class=\"&amp;"""")</f>
        <v>"//*[@class=\"</v>
      </c>
      <c r="N75" t="s">
        <v>31</v>
      </c>
      <c r="O75" s="4" t="str">
        <f t="shared" si="7"/>
        <v>click</v>
      </c>
      <c r="P75" t="str">
        <f t="shared" si="8"/>
        <v>();</v>
      </c>
      <c r="Q75" t="str">
        <f t="shared" si="9"/>
        <v/>
      </c>
      <c r="R75" t="str">
        <f t="shared" ref="R75:R138" si="16">IF(C75="Y",""""&amp;SUBSTITUTE(E75," ","")&amp;""""&amp;":"&amp;Q75&amp;"","")</f>
        <v/>
      </c>
      <c r="S75" s="1" t="str">
        <f t="shared" ref="S75:S138" si="17">IF(C75="Y",IF(D75&lt;&gt;"mat-select",IF(D75="End","",IF(O75="innerText",I75&amp;"="&amp;IF(C75="Y",IF(J75&lt;&gt;"Y",$S$8&amp;$R$9&amp;"."&amp;E75&amp;")."&amp;IF(OR(O75="click",O75="innerText"),O75&amp;"();",O75&amp;"("&amp;$Q$8&amp;"."&amp;E75&amp;");"),$S$7&amp;$R$9&amp;"."&amp;SUBSTITUTE(E75," ","")&amp;")."&amp;IF(O75="click",O75&amp;"();",O75&amp;"("&amp;"'"&amp;K75&amp;"'"&amp;");")),""),IF(C75="Y",IF(J75&lt;&gt;"Y",$S$8&amp;$R$9&amp;"."&amp;SUBSTITUTE(E75," ","")&amp;")."&amp;IF(OR(O75="click",O75="innerText"),O75&amp;"();",O75&amp;"("&amp;$Q$8&amp;"."&amp;SUBSTITUTE(E75," ","")&amp;");"),$S$7&amp;$R$9&amp;"."&amp;SUBSTITUTE(E75," ","")&amp;")."&amp;IF(O75="click",O75&amp;"();",O75&amp;"("&amp;"'"&amp;K75&amp;"'"&amp;");")),""))),"let form"&amp;Z75&amp;": String;"&amp;"for (let i = 1; i &lt; 30; i++) {"&amp;$S$8&amp;$R$9&amp;"."&amp;SUBSTITUTE(E75," ","")&amp;").click();"&amp;$CE$4&amp; "form"&amp;Z75&amp;"="&amp; $S$8&amp;$R$9&amp;"."&amp;SUBSTITUTE(E75," ","")&amp;").innerText();" &amp;"if ("&amp;"form"&amp;Z75&amp;"=="&amp; "Data[index]."&amp;SUBSTITUTE(E75," ","") &amp;"){"&amp;$CE$7),"")</f>
        <v/>
      </c>
      <c r="T75"/>
      <c r="U75"/>
      <c r="V75"/>
      <c r="W75"/>
      <c r="X75"/>
      <c r="Y75"/>
      <c r="Z75">
        <v>66</v>
      </c>
      <c r="AA75"/>
      <c r="AB75"/>
      <c r="AC75" s="6"/>
      <c r="AD75" s="6"/>
      <c r="AE75" s="6"/>
      <c r="BB75" s="3"/>
      <c r="BC75" s="3"/>
    </row>
    <row r="76" spans="1:55" s="4" customFormat="1" ht="75">
      <c r="A76"/>
      <c r="B76"/>
      <c r="C76" s="44"/>
      <c r="D76" s="44" t="s">
        <v>3525</v>
      </c>
      <c r="E76" s="44" t="s">
        <v>3517</v>
      </c>
      <c r="F76" s="44" t="s">
        <v>3627</v>
      </c>
      <c r="G76" s="44" t="s">
        <v>6</v>
      </c>
      <c r="H76" s="44" t="s">
        <v>7</v>
      </c>
      <c r="I76" s="44"/>
      <c r="J76" s="44"/>
      <c r="K76" s="44"/>
      <c r="L76" s="44"/>
      <c r="M76" t="str">
        <f t="shared" si="15"/>
        <v>"//*[@class=\"</v>
      </c>
      <c r="N76" t="s">
        <v>31</v>
      </c>
      <c r="O76" s="4" t="str">
        <f t="shared" si="7"/>
        <v>click</v>
      </c>
      <c r="P76" t="str">
        <f t="shared" si="8"/>
        <v>();</v>
      </c>
      <c r="Q76" t="str">
        <f t="shared" si="9"/>
        <v/>
      </c>
      <c r="R76" t="str">
        <f t="shared" si="16"/>
        <v/>
      </c>
      <c r="S76" s="1" t="str">
        <f t="shared" si="17"/>
        <v/>
      </c>
      <c r="T76"/>
      <c r="U76"/>
      <c r="V76"/>
      <c r="W76"/>
      <c r="X76"/>
      <c r="Y76"/>
      <c r="Z76">
        <v>67</v>
      </c>
      <c r="AA76"/>
      <c r="AB76"/>
      <c r="AC76" s="6"/>
      <c r="AD76" s="6"/>
      <c r="AE76" s="6"/>
      <c r="BB76" s="3"/>
      <c r="BC76" s="3"/>
    </row>
    <row r="77" spans="1:55" s="4" customFormat="1" ht="75">
      <c r="A77"/>
      <c r="B77"/>
      <c r="C77" s="44"/>
      <c r="D77" s="44" t="s">
        <v>3525</v>
      </c>
      <c r="E77" s="44" t="s">
        <v>3517</v>
      </c>
      <c r="F77" s="44" t="s">
        <v>3628</v>
      </c>
      <c r="G77" s="44" t="s">
        <v>6</v>
      </c>
      <c r="H77" s="44" t="s">
        <v>7</v>
      </c>
      <c r="I77" s="44"/>
      <c r="J77" s="44"/>
      <c r="K77" s="44"/>
      <c r="L77" s="44"/>
      <c r="M77" t="str">
        <f t="shared" si="15"/>
        <v>"//*[@class=\"</v>
      </c>
      <c r="N77" t="s">
        <v>31</v>
      </c>
      <c r="O77" s="4" t="str">
        <f t="shared" si="7"/>
        <v>click</v>
      </c>
      <c r="P77" t="str">
        <f t="shared" si="8"/>
        <v>();</v>
      </c>
      <c r="Q77" t="str">
        <f t="shared" si="9"/>
        <v/>
      </c>
      <c r="R77" t="str">
        <f t="shared" si="16"/>
        <v/>
      </c>
      <c r="S77" s="1" t="str">
        <f t="shared" si="17"/>
        <v/>
      </c>
      <c r="T77"/>
      <c r="U77"/>
      <c r="V77"/>
      <c r="W77"/>
      <c r="X77"/>
      <c r="Y77"/>
      <c r="Z77">
        <v>68</v>
      </c>
      <c r="AA77"/>
      <c r="AB77"/>
      <c r="AC77" s="6"/>
      <c r="AD77" s="6"/>
      <c r="AE77" s="6"/>
      <c r="BB77" s="3"/>
      <c r="BC77" s="3"/>
    </row>
    <row r="78" spans="1:55" s="4" customFormat="1" ht="90">
      <c r="A78"/>
      <c r="B78"/>
      <c r="C78" s="44"/>
      <c r="D78" s="44" t="s">
        <v>3559</v>
      </c>
      <c r="E78" s="44" t="s">
        <v>3629</v>
      </c>
      <c r="F78" s="44" t="s">
        <v>3630</v>
      </c>
      <c r="G78" s="44" t="s">
        <v>6</v>
      </c>
      <c r="H78" s="44" t="s">
        <v>7</v>
      </c>
      <c r="I78" s="44"/>
      <c r="J78" s="44"/>
      <c r="K78" s="44"/>
      <c r="L78" s="44"/>
      <c r="M78" t="str">
        <f t="shared" si="15"/>
        <v>"//*[@class=\"</v>
      </c>
      <c r="N78" t="s">
        <v>31</v>
      </c>
      <c r="O78" s="4" t="str">
        <f t="shared" ref="O78:O141" si="18">IF(D78="input","fill",IF(I78&lt;&gt;"","innerText",IF(J78="Y",$T$7,"click")))</f>
        <v>click</v>
      </c>
      <c r="P78" t="str">
        <f t="shared" ref="P78:P141" si="19">IF(OR(O78="Click",O78="innerText"),"();","("&amp;""""&amp;K78&amp;""""&amp;");")</f>
        <v>();</v>
      </c>
      <c r="Q78" t="str">
        <f t="shared" ref="Q78:Q141" si="20">IF(C78="Y",IF(H78&lt;&gt;"Xpath",M78&amp;F78&amp;N78,""""&amp;F78&amp;""""),"")</f>
        <v/>
      </c>
      <c r="R78" t="str">
        <f t="shared" si="16"/>
        <v/>
      </c>
      <c r="S78" s="1" t="str">
        <f t="shared" si="17"/>
        <v/>
      </c>
      <c r="T78"/>
      <c r="U78"/>
      <c r="V78"/>
      <c r="W78"/>
      <c r="X78"/>
      <c r="Y78"/>
      <c r="Z78">
        <v>69</v>
      </c>
      <c r="AA78"/>
      <c r="AB78"/>
      <c r="AC78" s="6"/>
      <c r="AD78" s="6"/>
      <c r="AE78" s="6"/>
      <c r="BB78" s="3"/>
      <c r="BC78" s="3"/>
    </row>
    <row r="79" spans="1:55" s="4" customFormat="1" ht="75">
      <c r="A79"/>
      <c r="B79"/>
      <c r="C79" s="44"/>
      <c r="D79" s="44" t="s">
        <v>3525</v>
      </c>
      <c r="E79" s="44" t="s">
        <v>3517</v>
      </c>
      <c r="F79" s="44" t="s">
        <v>3631</v>
      </c>
      <c r="G79" s="44" t="s">
        <v>6</v>
      </c>
      <c r="H79" s="44" t="s">
        <v>7</v>
      </c>
      <c r="I79" s="44"/>
      <c r="J79" s="44"/>
      <c r="K79" s="44"/>
      <c r="L79" s="44"/>
      <c r="M79" t="str">
        <f t="shared" si="15"/>
        <v>"//*[@class=\"</v>
      </c>
      <c r="N79" t="s">
        <v>31</v>
      </c>
      <c r="O79" s="4" t="str">
        <f t="shared" si="18"/>
        <v>click</v>
      </c>
      <c r="P79" t="str">
        <f t="shared" si="19"/>
        <v>();</v>
      </c>
      <c r="Q79" t="str">
        <f t="shared" si="20"/>
        <v/>
      </c>
      <c r="R79" t="str">
        <f t="shared" si="16"/>
        <v/>
      </c>
      <c r="S79" s="1" t="str">
        <f t="shared" si="17"/>
        <v/>
      </c>
      <c r="T79"/>
      <c r="U79"/>
      <c r="V79"/>
      <c r="W79"/>
      <c r="X79"/>
      <c r="Y79"/>
      <c r="Z79">
        <v>70</v>
      </c>
      <c r="AA79"/>
      <c r="AB79"/>
      <c r="AC79" s="6"/>
      <c r="AD79" s="6"/>
      <c r="AE79" s="6"/>
      <c r="BB79" s="3"/>
      <c r="BC79" s="3"/>
    </row>
    <row r="80" spans="1:55" s="4" customFormat="1" ht="75">
      <c r="A80"/>
      <c r="B80"/>
      <c r="C80" s="44"/>
      <c r="D80" s="44" t="s">
        <v>3525</v>
      </c>
      <c r="E80" s="44" t="s">
        <v>3517</v>
      </c>
      <c r="F80" s="44" t="s">
        <v>3632</v>
      </c>
      <c r="G80" s="44" t="s">
        <v>6</v>
      </c>
      <c r="H80" s="44" t="s">
        <v>7</v>
      </c>
      <c r="I80" s="44"/>
      <c r="J80" s="44"/>
      <c r="K80" s="44"/>
      <c r="L80" s="44"/>
      <c r="M80" t="str">
        <f t="shared" si="15"/>
        <v>"//*[@class=\"</v>
      </c>
      <c r="N80" t="s">
        <v>31</v>
      </c>
      <c r="O80" s="4" t="str">
        <f t="shared" si="18"/>
        <v>click</v>
      </c>
      <c r="P80" t="str">
        <f t="shared" si="19"/>
        <v>();</v>
      </c>
      <c r="Q80" t="str">
        <f t="shared" si="20"/>
        <v/>
      </c>
      <c r="R80" t="str">
        <f t="shared" si="16"/>
        <v/>
      </c>
      <c r="S80" s="1" t="str">
        <f t="shared" si="17"/>
        <v/>
      </c>
      <c r="T80"/>
      <c r="U80"/>
      <c r="V80"/>
      <c r="W80"/>
      <c r="X80"/>
      <c r="Y80"/>
      <c r="Z80">
        <v>71</v>
      </c>
      <c r="AA80"/>
      <c r="AB80"/>
      <c r="AC80" s="6"/>
      <c r="AD80" s="6"/>
      <c r="AE80" s="6"/>
      <c r="BB80" s="3"/>
      <c r="BC80" s="3"/>
    </row>
    <row r="81" spans="1:55" s="4" customFormat="1" ht="75">
      <c r="A81"/>
      <c r="B81"/>
      <c r="C81" s="44"/>
      <c r="D81" s="44" t="s">
        <v>3525</v>
      </c>
      <c r="E81" s="44" t="s">
        <v>3517</v>
      </c>
      <c r="F81" s="44" t="s">
        <v>3633</v>
      </c>
      <c r="G81" s="44" t="s">
        <v>6</v>
      </c>
      <c r="H81" s="44" t="s">
        <v>7</v>
      </c>
      <c r="I81" s="44"/>
      <c r="J81" s="44"/>
      <c r="K81" s="44"/>
      <c r="L81" s="44"/>
      <c r="M81" t="str">
        <f t="shared" si="15"/>
        <v>"//*[@class=\"</v>
      </c>
      <c r="N81" t="s">
        <v>31</v>
      </c>
      <c r="O81" s="4" t="str">
        <f t="shared" si="18"/>
        <v>click</v>
      </c>
      <c r="P81" t="str">
        <f t="shared" si="19"/>
        <v>();</v>
      </c>
      <c r="Q81" t="str">
        <f t="shared" si="20"/>
        <v/>
      </c>
      <c r="R81" t="str">
        <f t="shared" si="16"/>
        <v/>
      </c>
      <c r="S81" s="1" t="str">
        <f t="shared" si="17"/>
        <v/>
      </c>
      <c r="T81"/>
      <c r="U81"/>
      <c r="V81"/>
      <c r="W81"/>
      <c r="X81"/>
      <c r="Y81"/>
      <c r="Z81">
        <v>72</v>
      </c>
      <c r="AA81"/>
      <c r="AB81"/>
      <c r="AC81" s="6"/>
      <c r="AD81" s="6"/>
      <c r="AE81" s="6"/>
      <c r="BB81" s="3"/>
      <c r="BC81" s="3"/>
    </row>
    <row r="82" spans="1:55" s="4" customFormat="1" ht="105">
      <c r="A82"/>
      <c r="B82"/>
      <c r="C82" s="44"/>
      <c r="D82" s="44" t="s">
        <v>21</v>
      </c>
      <c r="E82" s="44" t="s">
        <v>3652</v>
      </c>
      <c r="F82" s="44" t="s">
        <v>3634</v>
      </c>
      <c r="G82" s="44" t="s">
        <v>6</v>
      </c>
      <c r="H82" s="44" t="s">
        <v>7</v>
      </c>
      <c r="I82" s="44"/>
      <c r="J82" s="44"/>
      <c r="K82" s="44"/>
      <c r="L82" s="44"/>
      <c r="M82" t="str">
        <f t="shared" si="15"/>
        <v>"//*[@class=\"</v>
      </c>
      <c r="N82" t="s">
        <v>31</v>
      </c>
      <c r="O82" s="4" t="str">
        <f t="shared" si="18"/>
        <v>click</v>
      </c>
      <c r="P82" t="str">
        <f t="shared" si="19"/>
        <v>();</v>
      </c>
      <c r="Q82" t="str">
        <f t="shared" si="20"/>
        <v/>
      </c>
      <c r="R82" t="str">
        <f t="shared" si="16"/>
        <v/>
      </c>
      <c r="S82" s="1" t="str">
        <f t="shared" si="17"/>
        <v/>
      </c>
      <c r="T82"/>
      <c r="U82"/>
      <c r="V82"/>
      <c r="W82"/>
      <c r="X82"/>
      <c r="Y82"/>
      <c r="Z82">
        <v>73</v>
      </c>
      <c r="AA82"/>
      <c r="AB82"/>
      <c r="AC82" s="6"/>
      <c r="AD82" s="6"/>
      <c r="AE82" s="6"/>
      <c r="BB82" s="3"/>
      <c r="BC82" s="3"/>
    </row>
    <row r="83" spans="1:55" s="4" customFormat="1" ht="75">
      <c r="A83"/>
      <c r="B83"/>
      <c r="C83" s="44" t="s">
        <v>1</v>
      </c>
      <c r="D83" s="44" t="s">
        <v>3653</v>
      </c>
      <c r="E83" s="44" t="s">
        <v>3654</v>
      </c>
      <c r="F83" s="44" t="s">
        <v>3655</v>
      </c>
      <c r="G83" s="44" t="s">
        <v>6</v>
      </c>
      <c r="H83" s="44" t="s">
        <v>7</v>
      </c>
      <c r="I83" s="44" t="s">
        <v>1</v>
      </c>
      <c r="J83" s="44" t="s">
        <v>1</v>
      </c>
      <c r="K83" s="44" t="s">
        <v>3656</v>
      </c>
      <c r="L83" s="44"/>
      <c r="M83" t="str">
        <f t="shared" si="15"/>
        <v>"//*[@class=\"</v>
      </c>
      <c r="N83" t="s">
        <v>31</v>
      </c>
      <c r="O83" s="4" t="str">
        <f t="shared" si="18"/>
        <v>innerText</v>
      </c>
      <c r="P83" t="str">
        <f t="shared" si="19"/>
        <v>();</v>
      </c>
      <c r="Q83" t="str">
        <f t="shared" si="20"/>
        <v>"//html/body/app-root/div/div/app-quote-stepper/div/div[2]/form/mat-horizontal-stepper/div/div[2]/div[4]/div/mat-card/mat-card-content/app-application/div/app-billing-information/div/div[1]/app-payor-information/div[2]/div/div/div[4]/div/mat-form-field/div[1]/div/div[2]/mat-select/div/div[1]/span/span"</v>
      </c>
      <c r="R83" t="str">
        <f t="shared" si="16"/>
        <v>"VerifyPayorName":"//html/body/app-root/div/div/app-quote-stepper/div/div[2]/form/mat-horizontal-stepper/div/div[2]/div[4]/div/mat-card/mat-card-content/app-application/div/app-billing-information/div/div[1]/app-payor-information/div[2]/div/div/div[4]/div/mat-form-field/div[1]/div/div[2]/mat-select/div/div[1]/span/span"</v>
      </c>
      <c r="S83" s="1" t="str">
        <f t="shared" si="17"/>
        <v>Y=await expect(COpyQuoteApplicationPageLocator1.VerifyPayorName).innerText('Dwyne Jhonson');</v>
      </c>
      <c r="T83"/>
      <c r="U83"/>
      <c r="V83"/>
      <c r="W83"/>
      <c r="X83"/>
      <c r="Y83"/>
      <c r="Z83">
        <v>74</v>
      </c>
      <c r="AA83"/>
      <c r="AB83"/>
      <c r="AC83" s="6"/>
      <c r="AD83" s="6"/>
      <c r="AE83" s="6"/>
      <c r="BB83" s="3"/>
      <c r="BC83" s="3"/>
    </row>
    <row r="84" spans="1:55" s="4" customFormat="1" ht="90">
      <c r="A84"/>
      <c r="B84"/>
      <c r="C84" s="44"/>
      <c r="D84" s="44" t="s">
        <v>3559</v>
      </c>
      <c r="E84" s="44" t="s">
        <v>3635</v>
      </c>
      <c r="F84" s="44" t="s">
        <v>3636</v>
      </c>
      <c r="G84" s="44" t="s">
        <v>6</v>
      </c>
      <c r="H84" s="44" t="s">
        <v>7</v>
      </c>
      <c r="I84" s="44"/>
      <c r="J84" s="44"/>
      <c r="K84" s="44"/>
      <c r="L84" s="44"/>
      <c r="M84" t="str">
        <f t="shared" si="15"/>
        <v>"//*[@class=\"</v>
      </c>
      <c r="N84" t="s">
        <v>31</v>
      </c>
      <c r="O84" s="4" t="str">
        <f t="shared" si="18"/>
        <v>click</v>
      </c>
      <c r="P84" t="str">
        <f t="shared" si="19"/>
        <v>();</v>
      </c>
      <c r="Q84" t="str">
        <f t="shared" si="20"/>
        <v/>
      </c>
      <c r="R84" t="str">
        <f t="shared" si="16"/>
        <v/>
      </c>
      <c r="S84" s="1" t="str">
        <f t="shared" si="17"/>
        <v/>
      </c>
      <c r="T84"/>
      <c r="U84"/>
      <c r="V84"/>
      <c r="W84"/>
      <c r="X84"/>
      <c r="Y84"/>
      <c r="Z84">
        <v>75</v>
      </c>
      <c r="AA84"/>
      <c r="AB84"/>
      <c r="AC84" s="6"/>
      <c r="AD84" s="6"/>
      <c r="AE84" s="6"/>
      <c r="BB84" s="3"/>
      <c r="BC84" s="3"/>
    </row>
    <row r="85" spans="1:55" s="4" customFormat="1" ht="90">
      <c r="A85"/>
      <c r="B85"/>
      <c r="C85" s="44"/>
      <c r="D85" s="44" t="s">
        <v>3559</v>
      </c>
      <c r="E85" s="44" t="s">
        <v>3637</v>
      </c>
      <c r="F85" s="44" t="s">
        <v>3638</v>
      </c>
      <c r="G85" s="44" t="s">
        <v>6</v>
      </c>
      <c r="H85" s="44" t="s">
        <v>7</v>
      </c>
      <c r="I85" s="44"/>
      <c r="J85" s="44"/>
      <c r="K85" s="44"/>
      <c r="L85" s="44"/>
      <c r="M85" t="str">
        <f t="shared" si="15"/>
        <v>"//*[@class=\"</v>
      </c>
      <c r="N85" t="s">
        <v>31</v>
      </c>
      <c r="O85" s="4" t="str">
        <f t="shared" si="18"/>
        <v>click</v>
      </c>
      <c r="P85" t="str">
        <f t="shared" si="19"/>
        <v>();</v>
      </c>
      <c r="Q85" t="str">
        <f t="shared" si="20"/>
        <v/>
      </c>
      <c r="R85" t="str">
        <f t="shared" si="16"/>
        <v/>
      </c>
      <c r="S85" s="1" t="str">
        <f t="shared" si="17"/>
        <v/>
      </c>
      <c r="T85"/>
      <c r="U85"/>
      <c r="V85"/>
      <c r="W85"/>
      <c r="X85"/>
      <c r="Y85"/>
      <c r="Z85">
        <v>76</v>
      </c>
      <c r="AA85"/>
      <c r="AB85"/>
      <c r="AC85" s="6"/>
      <c r="AD85" s="6"/>
      <c r="AE85" s="6"/>
      <c r="BB85" s="3"/>
      <c r="BC85" s="3"/>
    </row>
    <row r="86" spans="1:55" s="4" customFormat="1" ht="90">
      <c r="A86"/>
      <c r="B86"/>
      <c r="C86" s="44"/>
      <c r="D86" s="44" t="s">
        <v>11</v>
      </c>
      <c r="E86" s="44" t="s">
        <v>3657</v>
      </c>
      <c r="F86" s="44" t="s">
        <v>3639</v>
      </c>
      <c r="G86" s="44" t="s">
        <v>6</v>
      </c>
      <c r="H86" s="44" t="s">
        <v>7</v>
      </c>
      <c r="I86" s="44"/>
      <c r="J86" s="44"/>
      <c r="K86" s="44"/>
      <c r="L86" s="44"/>
      <c r="M86" t="str">
        <f t="shared" si="15"/>
        <v>"//*[@class=\"</v>
      </c>
      <c r="N86" t="s">
        <v>31</v>
      </c>
      <c r="O86" s="4" t="str">
        <f t="shared" si="18"/>
        <v>fill</v>
      </c>
      <c r="P86" t="str">
        <f t="shared" si="19"/>
        <v>("");</v>
      </c>
      <c r="Q86" t="str">
        <f t="shared" si="20"/>
        <v/>
      </c>
      <c r="R86" t="str">
        <f t="shared" si="16"/>
        <v/>
      </c>
      <c r="S86" s="1" t="str">
        <f t="shared" si="17"/>
        <v/>
      </c>
      <c r="T86"/>
      <c r="U86"/>
      <c r="V86"/>
      <c r="W86"/>
      <c r="X86"/>
      <c r="Y86"/>
      <c r="Z86">
        <v>77</v>
      </c>
      <c r="AA86"/>
      <c r="AB86"/>
      <c r="AC86" s="6"/>
      <c r="AD86" s="6"/>
      <c r="AE86" s="6"/>
      <c r="BB86" s="3"/>
      <c r="BC86" s="3"/>
    </row>
    <row r="87" spans="1:55" s="4" customFormat="1" ht="60">
      <c r="A87"/>
      <c r="B87"/>
      <c r="C87" s="44"/>
      <c r="D87" s="44" t="s">
        <v>12</v>
      </c>
      <c r="E87" s="44" t="s">
        <v>3640</v>
      </c>
      <c r="F87" s="44" t="s">
        <v>3641</v>
      </c>
      <c r="G87" s="44" t="s">
        <v>6</v>
      </c>
      <c r="H87" s="44" t="s">
        <v>7</v>
      </c>
      <c r="I87" s="44"/>
      <c r="J87" s="44"/>
      <c r="K87" s="44"/>
      <c r="L87" s="44"/>
      <c r="M87" t="str">
        <f t="shared" si="15"/>
        <v>"//*[@class=\"</v>
      </c>
      <c r="N87" t="s">
        <v>31</v>
      </c>
      <c r="O87" s="4" t="str">
        <f t="shared" si="18"/>
        <v>click</v>
      </c>
      <c r="P87" t="str">
        <f t="shared" si="19"/>
        <v>();</v>
      </c>
      <c r="Q87" t="str">
        <f t="shared" si="20"/>
        <v/>
      </c>
      <c r="R87" t="str">
        <f t="shared" si="16"/>
        <v/>
      </c>
      <c r="S87" s="1" t="str">
        <f t="shared" si="17"/>
        <v/>
      </c>
      <c r="T87"/>
      <c r="U87"/>
      <c r="V87"/>
      <c r="W87"/>
      <c r="X87"/>
      <c r="Y87"/>
      <c r="Z87">
        <v>78</v>
      </c>
      <c r="AA87"/>
      <c r="AB87"/>
      <c r="AC87" s="6"/>
      <c r="AD87" s="6"/>
      <c r="AE87" s="6"/>
      <c r="BB87" s="3"/>
      <c r="BC87" s="3"/>
    </row>
    <row r="88" spans="1:55" s="4" customFormat="1" ht="60">
      <c r="A88"/>
      <c r="B88"/>
      <c r="C88" s="44"/>
      <c r="D88" s="44" t="s">
        <v>12</v>
      </c>
      <c r="E88" s="44" t="s">
        <v>3658</v>
      </c>
      <c r="F88" s="44" t="s">
        <v>3642</v>
      </c>
      <c r="G88" s="44" t="s">
        <v>6</v>
      </c>
      <c r="H88" s="44" t="s">
        <v>7</v>
      </c>
      <c r="I88" s="44"/>
      <c r="J88" s="44"/>
      <c r="K88" s="44"/>
      <c r="L88" s="44"/>
      <c r="M88" t="str">
        <f t="shared" si="15"/>
        <v>"//*[@class=\"</v>
      </c>
      <c r="N88" t="s">
        <v>31</v>
      </c>
      <c r="O88" s="4" t="str">
        <f t="shared" si="18"/>
        <v>click</v>
      </c>
      <c r="P88" t="str">
        <f t="shared" si="19"/>
        <v>();</v>
      </c>
      <c r="Q88" t="str">
        <f t="shared" si="20"/>
        <v/>
      </c>
      <c r="R88" t="str">
        <f t="shared" si="16"/>
        <v/>
      </c>
      <c r="S88" s="1" t="str">
        <f t="shared" si="17"/>
        <v/>
      </c>
      <c r="T88"/>
      <c r="U88"/>
      <c r="V88"/>
      <c r="W88"/>
      <c r="X88"/>
      <c r="Y88"/>
      <c r="Z88">
        <v>79</v>
      </c>
      <c r="AA88"/>
      <c r="AB88"/>
      <c r="AC88" s="6"/>
      <c r="AD88" s="6"/>
      <c r="AE88" s="6"/>
      <c r="BB88" s="3"/>
      <c r="BC88" s="3"/>
    </row>
    <row r="89" spans="1:55" s="4" customFormat="1">
      <c r="A89"/>
      <c r="B89"/>
      <c r="C89" s="44"/>
      <c r="D89" s="44"/>
      <c r="E89" s="44"/>
      <c r="F89" s="44"/>
      <c r="G89" s="44"/>
      <c r="H89" s="44"/>
      <c r="I89" s="44"/>
      <c r="J89" s="44"/>
      <c r="K89" s="44"/>
      <c r="L89" s="44"/>
      <c r="M89" t="str">
        <f t="shared" si="15"/>
        <v>"//*[@class=\"</v>
      </c>
      <c r="N89" t="s">
        <v>31</v>
      </c>
      <c r="O89" s="4" t="str">
        <f t="shared" si="18"/>
        <v>click</v>
      </c>
      <c r="P89" t="str">
        <f t="shared" si="19"/>
        <v>();</v>
      </c>
      <c r="Q89" t="str">
        <f t="shared" si="20"/>
        <v/>
      </c>
      <c r="R89" t="str">
        <f t="shared" si="16"/>
        <v/>
      </c>
      <c r="S89" s="1" t="str">
        <f t="shared" si="17"/>
        <v/>
      </c>
      <c r="T89"/>
      <c r="U89"/>
      <c r="V89"/>
      <c r="W89"/>
      <c r="X89"/>
      <c r="Y89"/>
      <c r="Z89">
        <v>80</v>
      </c>
      <c r="AA89"/>
      <c r="AB89"/>
      <c r="AC89" s="6"/>
      <c r="AD89" s="6"/>
      <c r="AE89" s="6"/>
      <c r="BB89" s="3"/>
      <c r="BC89" s="3"/>
    </row>
    <row r="90" spans="1:55" s="4" customFormat="1">
      <c r="A90"/>
      <c r="B90"/>
      <c r="C90" s="44"/>
      <c r="D90" s="44"/>
      <c r="E90" s="44"/>
      <c r="F90" s="44"/>
      <c r="G90" s="44"/>
      <c r="H90" s="44"/>
      <c r="I90" s="44"/>
      <c r="J90" s="44"/>
      <c r="K90" s="44"/>
      <c r="L90" s="44"/>
      <c r="M90" t="str">
        <f t="shared" si="15"/>
        <v>"//*[@class=\"</v>
      </c>
      <c r="N90" t="s">
        <v>31</v>
      </c>
      <c r="O90" s="4" t="str">
        <f t="shared" si="18"/>
        <v>click</v>
      </c>
      <c r="P90" t="str">
        <f t="shared" si="19"/>
        <v>();</v>
      </c>
      <c r="Q90" t="str">
        <f t="shared" si="20"/>
        <v/>
      </c>
      <c r="R90" t="str">
        <f t="shared" si="16"/>
        <v/>
      </c>
      <c r="S90" s="1" t="str">
        <f t="shared" si="17"/>
        <v/>
      </c>
      <c r="T90"/>
      <c r="U90"/>
      <c r="V90"/>
      <c r="W90"/>
      <c r="X90"/>
      <c r="Y90"/>
      <c r="Z90">
        <v>81</v>
      </c>
      <c r="AA90"/>
      <c r="AB90"/>
      <c r="AC90" s="6"/>
      <c r="AD90" s="6"/>
      <c r="AE90" s="6"/>
      <c r="BB90" s="3"/>
      <c r="BC90" s="3"/>
    </row>
    <row r="91" spans="1:55" s="4" customFormat="1">
      <c r="A91"/>
      <c r="B91"/>
      <c r="C91" s="44"/>
      <c r="D91" s="44"/>
      <c r="E91" s="44"/>
      <c r="F91" s="44"/>
      <c r="G91" s="44"/>
      <c r="H91" s="44"/>
      <c r="I91" s="44"/>
      <c r="J91" s="44"/>
      <c r="K91" s="44"/>
      <c r="L91" s="44"/>
      <c r="M91" t="str">
        <f t="shared" si="15"/>
        <v>"//*[@class=\"</v>
      </c>
      <c r="N91" t="s">
        <v>31</v>
      </c>
      <c r="O91" s="4" t="str">
        <f t="shared" si="18"/>
        <v>click</v>
      </c>
      <c r="P91" t="str">
        <f t="shared" si="19"/>
        <v>();</v>
      </c>
      <c r="Q91" t="str">
        <f t="shared" si="20"/>
        <v/>
      </c>
      <c r="R91" t="str">
        <f t="shared" si="16"/>
        <v/>
      </c>
      <c r="S91" s="1" t="str">
        <f t="shared" si="17"/>
        <v/>
      </c>
      <c r="T91"/>
      <c r="U91"/>
      <c r="V91"/>
      <c r="W91"/>
      <c r="X91"/>
      <c r="Y91"/>
      <c r="Z91">
        <v>82</v>
      </c>
      <c r="AA91"/>
      <c r="AB91"/>
      <c r="AC91" s="6"/>
      <c r="AD91" s="6"/>
      <c r="AE91" s="6"/>
      <c r="BB91" s="3"/>
      <c r="BC91" s="3"/>
    </row>
    <row r="92" spans="1:55" s="4" customFormat="1">
      <c r="A92"/>
      <c r="B92"/>
      <c r="C92" s="44"/>
      <c r="D92" s="44"/>
      <c r="E92" s="44"/>
      <c r="F92" s="44"/>
      <c r="G92" s="44"/>
      <c r="H92" s="44"/>
      <c r="I92" s="44"/>
      <c r="J92" s="44"/>
      <c r="K92" s="44"/>
      <c r="L92" s="44"/>
      <c r="M92" t="str">
        <f t="shared" si="15"/>
        <v>"//*[@class=\"</v>
      </c>
      <c r="N92" t="s">
        <v>31</v>
      </c>
      <c r="O92" s="4" t="str">
        <f t="shared" si="18"/>
        <v>click</v>
      </c>
      <c r="P92" t="str">
        <f t="shared" si="19"/>
        <v>();</v>
      </c>
      <c r="Q92" t="str">
        <f t="shared" si="20"/>
        <v/>
      </c>
      <c r="R92" t="str">
        <f t="shared" si="16"/>
        <v/>
      </c>
      <c r="S92" s="1" t="str">
        <f t="shared" si="17"/>
        <v/>
      </c>
      <c r="T92"/>
      <c r="U92"/>
      <c r="V92"/>
      <c r="W92"/>
      <c r="X92"/>
      <c r="Y92"/>
      <c r="Z92">
        <v>83</v>
      </c>
      <c r="AA92"/>
      <c r="AB92"/>
      <c r="AC92" s="6"/>
      <c r="AD92" s="6"/>
      <c r="AE92" s="6"/>
      <c r="BB92" s="3"/>
      <c r="BC92" s="3"/>
    </row>
    <row r="93" spans="1:55" s="4" customFormat="1">
      <c r="A93"/>
      <c r="B93"/>
      <c r="C93" s="44"/>
      <c r="D93" s="44"/>
      <c r="E93" s="44"/>
      <c r="F93" s="44"/>
      <c r="G93" s="44"/>
      <c r="H93" s="44"/>
      <c r="I93" s="44"/>
      <c r="J93" s="44"/>
      <c r="K93" s="44"/>
      <c r="L93" s="44"/>
      <c r="M93" t="str">
        <f t="shared" si="15"/>
        <v>"//*[@class=\"</v>
      </c>
      <c r="N93" t="s">
        <v>31</v>
      </c>
      <c r="O93" s="4" t="str">
        <f t="shared" si="18"/>
        <v>click</v>
      </c>
      <c r="P93" t="str">
        <f t="shared" si="19"/>
        <v>();</v>
      </c>
      <c r="Q93" t="str">
        <f t="shared" si="20"/>
        <v/>
      </c>
      <c r="R93" t="str">
        <f t="shared" si="16"/>
        <v/>
      </c>
      <c r="S93" s="1" t="str">
        <f t="shared" si="17"/>
        <v/>
      </c>
      <c r="T93"/>
      <c r="U93"/>
      <c r="V93"/>
      <c r="W93"/>
      <c r="X93"/>
      <c r="Y93"/>
      <c r="Z93">
        <v>84</v>
      </c>
      <c r="AA93"/>
      <c r="AB93"/>
      <c r="AC93" s="6"/>
      <c r="AD93" s="6"/>
      <c r="AE93" s="6"/>
      <c r="BB93" s="3"/>
      <c r="BC93" s="3"/>
    </row>
    <row r="94" spans="1:55" s="4" customFormat="1">
      <c r="A94"/>
      <c r="B94"/>
      <c r="C94" s="44"/>
      <c r="D94" s="44"/>
      <c r="E94" s="44"/>
      <c r="F94" s="44"/>
      <c r="G94" s="44"/>
      <c r="H94" s="44"/>
      <c r="I94" s="44"/>
      <c r="J94" s="44"/>
      <c r="K94" s="44"/>
      <c r="L94" s="44"/>
      <c r="M94" t="str">
        <f t="shared" si="15"/>
        <v>"//*[@class=\"</v>
      </c>
      <c r="N94" t="s">
        <v>31</v>
      </c>
      <c r="O94" s="4" t="str">
        <f t="shared" si="18"/>
        <v>click</v>
      </c>
      <c r="P94" t="str">
        <f t="shared" si="19"/>
        <v>();</v>
      </c>
      <c r="Q94" t="str">
        <f t="shared" si="20"/>
        <v/>
      </c>
      <c r="R94" t="str">
        <f t="shared" si="16"/>
        <v/>
      </c>
      <c r="S94" s="1" t="str">
        <f t="shared" si="17"/>
        <v/>
      </c>
      <c r="T94"/>
      <c r="U94"/>
      <c r="V94"/>
      <c r="W94"/>
      <c r="X94"/>
      <c r="Y94"/>
      <c r="Z94">
        <v>85</v>
      </c>
      <c r="AA94"/>
      <c r="AB94"/>
      <c r="AC94" s="6"/>
      <c r="AD94" s="6"/>
      <c r="AE94" s="6"/>
      <c r="BB94" s="3"/>
      <c r="BC94" s="3"/>
    </row>
    <row r="95" spans="1:55" s="4" customFormat="1">
      <c r="A95"/>
      <c r="B95"/>
      <c r="C95" s="44"/>
      <c r="D95" s="44"/>
      <c r="E95" s="44"/>
      <c r="F95" s="44"/>
      <c r="G95" s="44"/>
      <c r="H95" s="44"/>
      <c r="I95" s="44"/>
      <c r="J95" s="44"/>
      <c r="K95" s="44"/>
      <c r="L95" s="44"/>
      <c r="M95" t="str">
        <f t="shared" si="15"/>
        <v>"//*[@class=\"</v>
      </c>
      <c r="N95" t="s">
        <v>31</v>
      </c>
      <c r="O95" s="4" t="str">
        <f t="shared" si="18"/>
        <v>click</v>
      </c>
      <c r="P95" t="str">
        <f t="shared" si="19"/>
        <v>();</v>
      </c>
      <c r="Q95" t="str">
        <f t="shared" si="20"/>
        <v/>
      </c>
      <c r="R95" t="str">
        <f t="shared" si="16"/>
        <v/>
      </c>
      <c r="S95" s="1" t="str">
        <f t="shared" si="17"/>
        <v/>
      </c>
      <c r="T95"/>
      <c r="U95"/>
      <c r="V95"/>
      <c r="W95"/>
      <c r="X95"/>
      <c r="Y95"/>
      <c r="Z95">
        <v>86</v>
      </c>
      <c r="AA95"/>
      <c r="AB95"/>
      <c r="AC95" s="6"/>
      <c r="AD95" s="6"/>
      <c r="AE95" s="6"/>
      <c r="BB95" s="3"/>
      <c r="BC95" s="3"/>
    </row>
    <row r="96" spans="1:55" s="4" customFormat="1">
      <c r="A96"/>
      <c r="B96"/>
      <c r="C96" s="44"/>
      <c r="D96" s="44"/>
      <c r="E96" s="44"/>
      <c r="F96" s="44"/>
      <c r="G96" s="44"/>
      <c r="H96" s="44"/>
      <c r="I96" s="44"/>
      <c r="J96" s="44"/>
      <c r="K96" s="44"/>
      <c r="L96" s="44"/>
      <c r="M96" t="str">
        <f t="shared" si="15"/>
        <v>"//*[@class=\"</v>
      </c>
      <c r="N96" t="s">
        <v>31</v>
      </c>
      <c r="O96" s="4" t="str">
        <f t="shared" si="18"/>
        <v>click</v>
      </c>
      <c r="P96" t="str">
        <f t="shared" si="19"/>
        <v>();</v>
      </c>
      <c r="Q96" t="str">
        <f t="shared" si="20"/>
        <v/>
      </c>
      <c r="R96" t="str">
        <f t="shared" si="16"/>
        <v/>
      </c>
      <c r="S96" s="1" t="str">
        <f t="shared" si="17"/>
        <v/>
      </c>
      <c r="T96"/>
      <c r="U96"/>
      <c r="V96"/>
      <c r="W96"/>
      <c r="X96"/>
      <c r="Y96"/>
      <c r="Z96">
        <v>87</v>
      </c>
      <c r="AA96"/>
      <c r="AB96"/>
      <c r="AC96" s="6"/>
      <c r="AD96" s="6"/>
      <c r="AE96" s="6"/>
      <c r="BB96" s="3"/>
      <c r="BC96" s="3"/>
    </row>
    <row r="97" spans="1:55" s="4" customFormat="1">
      <c r="A97"/>
      <c r="B97"/>
      <c r="C97" s="44"/>
      <c r="D97" s="44"/>
      <c r="E97" s="44"/>
      <c r="F97" s="44"/>
      <c r="G97" s="44"/>
      <c r="H97" s="44"/>
      <c r="I97" s="44"/>
      <c r="J97" s="44"/>
      <c r="K97" s="44"/>
      <c r="L97" s="44"/>
      <c r="M97" t="str">
        <f t="shared" si="15"/>
        <v>"//*[@class=\"</v>
      </c>
      <c r="N97" t="s">
        <v>31</v>
      </c>
      <c r="O97" s="4" t="str">
        <f t="shared" si="18"/>
        <v>click</v>
      </c>
      <c r="P97" t="str">
        <f t="shared" si="19"/>
        <v>();</v>
      </c>
      <c r="Q97" t="str">
        <f t="shared" si="20"/>
        <v/>
      </c>
      <c r="R97" t="str">
        <f t="shared" si="16"/>
        <v/>
      </c>
      <c r="S97" s="1" t="str">
        <f t="shared" si="17"/>
        <v/>
      </c>
      <c r="T97"/>
      <c r="U97"/>
      <c r="V97"/>
      <c r="W97"/>
      <c r="X97"/>
      <c r="Y97"/>
      <c r="Z97">
        <v>88</v>
      </c>
      <c r="AA97"/>
      <c r="AB97"/>
      <c r="AC97" s="6"/>
      <c r="AD97" s="6"/>
      <c r="AE97" s="6"/>
      <c r="BB97" s="3"/>
      <c r="BC97" s="3"/>
    </row>
    <row r="98" spans="1:55" s="4" customFormat="1">
      <c r="A98"/>
      <c r="B98"/>
      <c r="C98" s="44"/>
      <c r="D98" s="44"/>
      <c r="E98" s="44"/>
      <c r="F98" s="44"/>
      <c r="G98" s="44"/>
      <c r="H98" s="44"/>
      <c r="I98" s="44"/>
      <c r="J98" s="44"/>
      <c r="K98" s="44"/>
      <c r="L98" s="44"/>
      <c r="M98" t="str">
        <f t="shared" si="15"/>
        <v>"//*[@class=\"</v>
      </c>
      <c r="N98" t="s">
        <v>31</v>
      </c>
      <c r="O98" s="4" t="str">
        <f t="shared" si="18"/>
        <v>click</v>
      </c>
      <c r="P98" t="str">
        <f t="shared" si="19"/>
        <v>();</v>
      </c>
      <c r="Q98" t="str">
        <f t="shared" si="20"/>
        <v/>
      </c>
      <c r="R98" t="str">
        <f t="shared" si="16"/>
        <v/>
      </c>
      <c r="S98" s="1" t="str">
        <f t="shared" si="17"/>
        <v/>
      </c>
      <c r="T98"/>
      <c r="U98"/>
      <c r="V98"/>
      <c r="W98"/>
      <c r="X98"/>
      <c r="Y98"/>
      <c r="Z98">
        <v>89</v>
      </c>
      <c r="AA98"/>
      <c r="AB98"/>
      <c r="AC98" s="6"/>
      <c r="AD98" s="6"/>
      <c r="AE98" s="6"/>
      <c r="BB98" s="3"/>
      <c r="BC98" s="3"/>
    </row>
    <row r="99" spans="1:55" s="4" customFormat="1">
      <c r="A99"/>
      <c r="B99"/>
      <c r="C99" s="44"/>
      <c r="D99" s="44"/>
      <c r="E99" s="44"/>
      <c r="F99" s="44"/>
      <c r="G99" s="44"/>
      <c r="H99" s="44"/>
      <c r="I99" s="44"/>
      <c r="J99" s="44"/>
      <c r="K99" s="44"/>
      <c r="L99" s="44"/>
      <c r="M99" t="str">
        <f t="shared" si="15"/>
        <v>"//*[@class=\"</v>
      </c>
      <c r="N99" t="s">
        <v>31</v>
      </c>
      <c r="O99" s="4" t="str">
        <f t="shared" si="18"/>
        <v>click</v>
      </c>
      <c r="P99" t="str">
        <f t="shared" si="19"/>
        <v>();</v>
      </c>
      <c r="Q99" t="str">
        <f t="shared" si="20"/>
        <v/>
      </c>
      <c r="R99" t="str">
        <f t="shared" si="16"/>
        <v/>
      </c>
      <c r="S99" s="1" t="str">
        <f t="shared" si="17"/>
        <v/>
      </c>
      <c r="T99"/>
      <c r="U99"/>
      <c r="V99"/>
      <c r="W99"/>
      <c r="X99"/>
      <c r="Y99"/>
      <c r="Z99">
        <v>90</v>
      </c>
      <c r="AA99"/>
      <c r="AB99"/>
      <c r="AC99" s="6"/>
      <c r="AD99" s="6"/>
      <c r="AE99" s="6"/>
      <c r="BB99" s="3"/>
      <c r="BC99" s="3"/>
    </row>
    <row r="100" spans="1:55">
      <c r="C100" s="44"/>
      <c r="D100" s="44"/>
      <c r="E100" s="44"/>
      <c r="F100" s="44"/>
      <c r="G100" s="44"/>
      <c r="H100" s="44"/>
      <c r="I100" s="44"/>
      <c r="J100" s="44"/>
      <c r="K100" s="44"/>
      <c r="L100" s="44"/>
      <c r="M100" t="str">
        <f t="shared" si="15"/>
        <v>"//*[@class=\"</v>
      </c>
      <c r="N100" t="s">
        <v>31</v>
      </c>
      <c r="O100" s="4" t="str">
        <f t="shared" si="18"/>
        <v>click</v>
      </c>
      <c r="P100" t="str">
        <f t="shared" si="19"/>
        <v>();</v>
      </c>
      <c r="Q100" t="str">
        <f t="shared" si="20"/>
        <v/>
      </c>
      <c r="R100" t="str">
        <f t="shared" si="16"/>
        <v/>
      </c>
      <c r="S100" s="1" t="str">
        <f t="shared" si="17"/>
        <v/>
      </c>
      <c r="Z100">
        <v>91</v>
      </c>
      <c r="AO100" s="4"/>
    </row>
    <row r="101" spans="1:55" s="4" customFormat="1">
      <c r="A101"/>
      <c r="B101"/>
      <c r="C101" s="44"/>
      <c r="D101" s="44"/>
      <c r="E101" s="44"/>
      <c r="F101" s="44"/>
      <c r="G101" s="44"/>
      <c r="H101" s="44"/>
      <c r="I101" s="44"/>
      <c r="J101" s="44"/>
      <c r="K101" s="44"/>
      <c r="L101" s="44"/>
      <c r="M101" t="str">
        <f t="shared" si="15"/>
        <v>"//*[@class=\"</v>
      </c>
      <c r="N101" t="s">
        <v>31</v>
      </c>
      <c r="O101" s="4" t="str">
        <f t="shared" si="18"/>
        <v>click</v>
      </c>
      <c r="P101" t="str">
        <f t="shared" si="19"/>
        <v>();</v>
      </c>
      <c r="Q101" t="str">
        <f t="shared" si="20"/>
        <v/>
      </c>
      <c r="R101" t="str">
        <f t="shared" si="16"/>
        <v/>
      </c>
      <c r="S101" s="1" t="str">
        <f t="shared" si="17"/>
        <v/>
      </c>
      <c r="T101"/>
      <c r="U101"/>
      <c r="V101"/>
      <c r="W101"/>
      <c r="X101"/>
      <c r="Y101"/>
      <c r="Z101">
        <v>92</v>
      </c>
      <c r="AA101"/>
      <c r="AB101"/>
      <c r="AC101" s="6"/>
      <c r="AD101" s="6"/>
      <c r="AE101" s="6"/>
      <c r="BB101" s="3"/>
      <c r="BC101" s="3"/>
    </row>
    <row r="102" spans="1:55" s="4" customFormat="1">
      <c r="A102"/>
      <c r="B102"/>
      <c r="C102" s="44"/>
      <c r="D102" s="44"/>
      <c r="E102" s="44"/>
      <c r="F102" s="44"/>
      <c r="G102" s="44"/>
      <c r="H102" s="44"/>
      <c r="I102" s="44"/>
      <c r="J102" s="44"/>
      <c r="K102" s="44"/>
      <c r="L102" s="44"/>
      <c r="M102" t="str">
        <f t="shared" si="15"/>
        <v>"//*[@class=\"</v>
      </c>
      <c r="N102" t="s">
        <v>31</v>
      </c>
      <c r="O102" s="4" t="str">
        <f t="shared" si="18"/>
        <v>click</v>
      </c>
      <c r="P102" t="str">
        <f t="shared" si="19"/>
        <v>();</v>
      </c>
      <c r="Q102" t="str">
        <f t="shared" si="20"/>
        <v/>
      </c>
      <c r="R102" t="str">
        <f t="shared" si="16"/>
        <v/>
      </c>
      <c r="S102" s="1" t="str">
        <f t="shared" si="17"/>
        <v/>
      </c>
      <c r="T102"/>
      <c r="U102"/>
      <c r="V102"/>
      <c r="W102"/>
      <c r="X102"/>
      <c r="Y102"/>
      <c r="Z102">
        <v>93</v>
      </c>
      <c r="AA102"/>
      <c r="AB102"/>
      <c r="AC102" s="6"/>
      <c r="AD102" s="6"/>
      <c r="AE102" s="6"/>
      <c r="BB102" s="3"/>
      <c r="BC102" s="3"/>
    </row>
    <row r="103" spans="1:55" s="4" customFormat="1">
      <c r="A103"/>
      <c r="B103"/>
      <c r="C103" s="44"/>
      <c r="D103" s="44"/>
      <c r="E103" s="44"/>
      <c r="F103" s="44"/>
      <c r="G103" s="44"/>
      <c r="H103" s="44"/>
      <c r="I103" s="44"/>
      <c r="J103" s="44"/>
      <c r="K103" s="44"/>
      <c r="L103" s="44"/>
      <c r="M103" t="str">
        <f t="shared" si="15"/>
        <v>"//*[@class=\"</v>
      </c>
      <c r="N103" t="s">
        <v>31</v>
      </c>
      <c r="O103" s="4" t="str">
        <f t="shared" si="18"/>
        <v>click</v>
      </c>
      <c r="P103" t="str">
        <f t="shared" si="19"/>
        <v>();</v>
      </c>
      <c r="Q103" t="str">
        <f t="shared" si="20"/>
        <v/>
      </c>
      <c r="R103" t="str">
        <f t="shared" si="16"/>
        <v/>
      </c>
      <c r="S103" s="1" t="str">
        <f t="shared" si="17"/>
        <v/>
      </c>
      <c r="T103"/>
      <c r="U103"/>
      <c r="V103"/>
      <c r="W103"/>
      <c r="X103"/>
      <c r="Y103"/>
      <c r="Z103">
        <v>94</v>
      </c>
      <c r="AA103"/>
      <c r="AB103"/>
      <c r="AC103" s="6"/>
      <c r="AD103" s="6"/>
      <c r="AE103" s="6"/>
      <c r="BB103" s="3"/>
      <c r="BC103" s="3"/>
    </row>
    <row r="104" spans="1:55" s="4" customFormat="1">
      <c r="A104"/>
      <c r="B104"/>
      <c r="C104" s="44"/>
      <c r="D104" s="44"/>
      <c r="E104" s="44"/>
      <c r="F104" s="44"/>
      <c r="G104" s="44"/>
      <c r="H104" s="44"/>
      <c r="I104" s="44"/>
      <c r="J104" s="44"/>
      <c r="K104" s="44"/>
      <c r="L104" s="44"/>
      <c r="M104" t="str">
        <f t="shared" si="15"/>
        <v>"//*[@class=\"</v>
      </c>
      <c r="N104" t="s">
        <v>31</v>
      </c>
      <c r="O104" s="4" t="str">
        <f t="shared" si="18"/>
        <v>click</v>
      </c>
      <c r="P104" t="str">
        <f t="shared" si="19"/>
        <v>();</v>
      </c>
      <c r="Q104" t="str">
        <f t="shared" si="20"/>
        <v/>
      </c>
      <c r="R104" t="str">
        <f t="shared" si="16"/>
        <v/>
      </c>
      <c r="S104" s="1" t="str">
        <f t="shared" si="17"/>
        <v/>
      </c>
      <c r="T104"/>
      <c r="U104"/>
      <c r="V104"/>
      <c r="W104"/>
      <c r="X104"/>
      <c r="Y104"/>
      <c r="Z104">
        <v>95</v>
      </c>
      <c r="AA104"/>
      <c r="AB104"/>
      <c r="AC104" s="6"/>
      <c r="AD104" s="6"/>
      <c r="AE104" s="6"/>
      <c r="BB104" s="3"/>
      <c r="BC104" s="3"/>
    </row>
    <row r="105" spans="1:55" s="4" customFormat="1">
      <c r="A105"/>
      <c r="B105"/>
      <c r="C105" s="44"/>
      <c r="D105" s="44"/>
      <c r="E105" s="44"/>
      <c r="F105" s="44"/>
      <c r="G105" s="44"/>
      <c r="H105" s="44"/>
      <c r="I105" s="44"/>
      <c r="J105" s="44"/>
      <c r="K105" s="44"/>
      <c r="L105" s="44"/>
      <c r="M105" t="str">
        <f t="shared" si="15"/>
        <v>"//*[@class=\"</v>
      </c>
      <c r="N105" t="s">
        <v>31</v>
      </c>
      <c r="O105" s="4" t="str">
        <f t="shared" si="18"/>
        <v>click</v>
      </c>
      <c r="P105" t="str">
        <f t="shared" si="19"/>
        <v>();</v>
      </c>
      <c r="Q105" t="str">
        <f t="shared" si="20"/>
        <v/>
      </c>
      <c r="R105" t="str">
        <f t="shared" si="16"/>
        <v/>
      </c>
      <c r="S105" s="1" t="str">
        <f t="shared" si="17"/>
        <v/>
      </c>
      <c r="T105"/>
      <c r="U105"/>
      <c r="V105"/>
      <c r="W105"/>
      <c r="X105"/>
      <c r="Y105"/>
      <c r="Z105">
        <v>96</v>
      </c>
      <c r="AA105"/>
      <c r="AB105"/>
      <c r="AC105" s="6"/>
      <c r="AD105" s="6"/>
      <c r="AE105" s="6"/>
      <c r="BB105" s="3"/>
      <c r="BC105" s="3"/>
    </row>
    <row r="106" spans="1:55" s="4" customFormat="1">
      <c r="A106"/>
      <c r="B106"/>
      <c r="C106" s="44"/>
      <c r="D106" s="44"/>
      <c r="E106" s="44"/>
      <c r="F106" s="44"/>
      <c r="G106" s="44"/>
      <c r="H106" s="44"/>
      <c r="I106" s="44"/>
      <c r="J106" s="44"/>
      <c r="K106" s="44"/>
      <c r="L106" s="44"/>
      <c r="M106" t="str">
        <f t="shared" si="15"/>
        <v>"//*[@class=\"</v>
      </c>
      <c r="N106" t="s">
        <v>31</v>
      </c>
      <c r="O106" s="4" t="str">
        <f t="shared" si="18"/>
        <v>click</v>
      </c>
      <c r="P106" t="str">
        <f t="shared" si="19"/>
        <v>();</v>
      </c>
      <c r="Q106" t="str">
        <f t="shared" si="20"/>
        <v/>
      </c>
      <c r="R106" t="str">
        <f t="shared" si="16"/>
        <v/>
      </c>
      <c r="S106" s="1" t="str">
        <f t="shared" si="17"/>
        <v/>
      </c>
      <c r="T106"/>
      <c r="U106"/>
      <c r="V106"/>
      <c r="W106"/>
      <c r="X106"/>
      <c r="Y106"/>
      <c r="Z106">
        <v>97</v>
      </c>
      <c r="AA106"/>
      <c r="AB106"/>
      <c r="AC106" s="6"/>
      <c r="AD106" s="6"/>
      <c r="AE106" s="6"/>
      <c r="BB106" s="3"/>
      <c r="BC106" s="3"/>
    </row>
    <row r="107" spans="1:55" s="4" customFormat="1">
      <c r="A107"/>
      <c r="B107"/>
      <c r="C107" s="44"/>
      <c r="D107" s="44"/>
      <c r="E107" s="44"/>
      <c r="F107" s="44"/>
      <c r="G107" s="44"/>
      <c r="H107" s="44"/>
      <c r="I107" s="44"/>
      <c r="J107" s="44"/>
      <c r="K107" s="44"/>
      <c r="L107" s="44"/>
      <c r="M107" t="str">
        <f t="shared" si="15"/>
        <v>"//*[@class=\"</v>
      </c>
      <c r="N107" t="s">
        <v>31</v>
      </c>
      <c r="O107" s="4" t="str">
        <f t="shared" si="18"/>
        <v>click</v>
      </c>
      <c r="P107" t="str">
        <f t="shared" si="19"/>
        <v>();</v>
      </c>
      <c r="Q107" t="str">
        <f t="shared" si="20"/>
        <v/>
      </c>
      <c r="R107" t="str">
        <f t="shared" si="16"/>
        <v/>
      </c>
      <c r="S107" s="1" t="str">
        <f t="shared" si="17"/>
        <v/>
      </c>
      <c r="T107"/>
      <c r="U107"/>
      <c r="V107"/>
      <c r="W107"/>
      <c r="X107"/>
      <c r="Y107"/>
      <c r="Z107">
        <v>98</v>
      </c>
      <c r="AA107"/>
      <c r="AB107"/>
      <c r="AC107" s="6"/>
      <c r="AD107" s="6"/>
      <c r="AE107" s="6"/>
      <c r="BB107" s="3"/>
      <c r="BC107" s="3"/>
    </row>
    <row r="108" spans="1:55" s="4" customFormat="1">
      <c r="A108"/>
      <c r="B108"/>
      <c r="C108" s="44"/>
      <c r="D108" s="44"/>
      <c r="E108" s="44"/>
      <c r="F108" s="44"/>
      <c r="G108" s="44"/>
      <c r="H108" s="44"/>
      <c r="I108" s="44"/>
      <c r="J108" s="44"/>
      <c r="K108" s="44"/>
      <c r="L108" s="44"/>
      <c r="M108" t="str">
        <f t="shared" si="15"/>
        <v>"//*[@class=\"</v>
      </c>
      <c r="N108" t="s">
        <v>31</v>
      </c>
      <c r="O108" s="4" t="str">
        <f t="shared" si="18"/>
        <v>click</v>
      </c>
      <c r="P108" t="str">
        <f t="shared" si="19"/>
        <v>();</v>
      </c>
      <c r="Q108" t="str">
        <f t="shared" si="20"/>
        <v/>
      </c>
      <c r="R108" t="str">
        <f t="shared" si="16"/>
        <v/>
      </c>
      <c r="S108" s="1" t="str">
        <f t="shared" si="17"/>
        <v/>
      </c>
      <c r="T108"/>
      <c r="U108"/>
      <c r="V108"/>
      <c r="W108"/>
      <c r="X108"/>
      <c r="Y108"/>
      <c r="Z108">
        <v>99</v>
      </c>
      <c r="AA108"/>
      <c r="AB108"/>
      <c r="AC108" s="6"/>
      <c r="AD108" s="6"/>
      <c r="AE108" s="6"/>
      <c r="BB108" s="3"/>
      <c r="BC108" s="3"/>
    </row>
    <row r="109" spans="1:55" s="4" customFormat="1">
      <c r="A109"/>
      <c r="B109"/>
      <c r="C109" s="44"/>
      <c r="D109" s="44"/>
      <c r="E109" s="44"/>
      <c r="F109" s="44"/>
      <c r="G109" s="44"/>
      <c r="H109" s="44"/>
      <c r="I109" s="44"/>
      <c r="J109" s="44"/>
      <c r="K109" s="44"/>
      <c r="L109" s="44"/>
      <c r="M109" t="str">
        <f t="shared" si="15"/>
        <v>"//*[@class=\"</v>
      </c>
      <c r="N109" t="s">
        <v>31</v>
      </c>
      <c r="O109" s="4" t="str">
        <f t="shared" si="18"/>
        <v>click</v>
      </c>
      <c r="P109" t="str">
        <f t="shared" si="19"/>
        <v>();</v>
      </c>
      <c r="Q109" t="str">
        <f t="shared" si="20"/>
        <v/>
      </c>
      <c r="R109" t="str">
        <f t="shared" si="16"/>
        <v/>
      </c>
      <c r="S109" s="1" t="str">
        <f t="shared" si="17"/>
        <v/>
      </c>
      <c r="T109"/>
      <c r="U109"/>
      <c r="V109"/>
      <c r="W109"/>
      <c r="X109"/>
      <c r="Y109"/>
      <c r="Z109">
        <v>100</v>
      </c>
      <c r="AA109"/>
      <c r="AB109"/>
      <c r="AC109" s="6"/>
      <c r="AD109" s="6"/>
      <c r="AE109" s="6"/>
      <c r="BB109" s="3"/>
      <c r="BC109" s="3"/>
    </row>
    <row r="110" spans="1:55" s="4" customFormat="1">
      <c r="A110"/>
      <c r="B110"/>
      <c r="C110" s="44"/>
      <c r="D110" s="44"/>
      <c r="E110" s="44"/>
      <c r="F110" s="44"/>
      <c r="G110" s="44"/>
      <c r="H110" s="44"/>
      <c r="I110" s="44"/>
      <c r="J110" s="44"/>
      <c r="K110" s="44"/>
      <c r="L110" s="44"/>
      <c r="M110" t="str">
        <f t="shared" si="15"/>
        <v>"//*[@class=\"</v>
      </c>
      <c r="N110" t="s">
        <v>31</v>
      </c>
      <c r="O110" s="4" t="str">
        <f t="shared" si="18"/>
        <v>click</v>
      </c>
      <c r="P110" t="str">
        <f t="shared" si="19"/>
        <v>();</v>
      </c>
      <c r="Q110" t="str">
        <f t="shared" si="20"/>
        <v/>
      </c>
      <c r="R110" t="str">
        <f t="shared" si="16"/>
        <v/>
      </c>
      <c r="S110" s="1" t="str">
        <f t="shared" si="17"/>
        <v/>
      </c>
      <c r="T110"/>
      <c r="U110"/>
      <c r="V110"/>
      <c r="W110"/>
      <c r="X110"/>
      <c r="Y110"/>
      <c r="Z110">
        <v>101</v>
      </c>
      <c r="AA110"/>
      <c r="AB110"/>
      <c r="AC110" s="6"/>
      <c r="AD110" s="6"/>
      <c r="AE110" s="6"/>
      <c r="BB110" s="3"/>
      <c r="BC110" s="3"/>
    </row>
    <row r="111" spans="1:55" s="4" customFormat="1">
      <c r="A111"/>
      <c r="B111"/>
      <c r="C111" s="44"/>
      <c r="D111" s="44"/>
      <c r="E111" s="44"/>
      <c r="F111" s="44"/>
      <c r="G111" s="44"/>
      <c r="H111" s="44"/>
      <c r="I111" s="44"/>
      <c r="J111" s="44"/>
      <c r="K111" s="44"/>
      <c r="L111" s="44"/>
      <c r="M111" t="str">
        <f t="shared" si="15"/>
        <v>"//*[@class=\"</v>
      </c>
      <c r="N111" t="s">
        <v>31</v>
      </c>
      <c r="O111" s="4" t="str">
        <f t="shared" si="18"/>
        <v>click</v>
      </c>
      <c r="P111" t="str">
        <f t="shared" si="19"/>
        <v>();</v>
      </c>
      <c r="Q111" t="str">
        <f t="shared" si="20"/>
        <v/>
      </c>
      <c r="R111" t="str">
        <f t="shared" si="16"/>
        <v/>
      </c>
      <c r="S111" s="1" t="str">
        <f t="shared" si="17"/>
        <v/>
      </c>
      <c r="T111"/>
      <c r="U111"/>
      <c r="V111"/>
      <c r="W111"/>
      <c r="X111"/>
      <c r="Y111"/>
      <c r="Z111">
        <v>102</v>
      </c>
      <c r="AA111"/>
      <c r="AB111"/>
      <c r="AC111" s="6"/>
      <c r="AD111" s="6"/>
      <c r="AE111" s="6"/>
      <c r="BB111" s="3"/>
      <c r="BC111" s="3"/>
    </row>
    <row r="112" spans="1:55" s="4" customFormat="1">
      <c r="A112"/>
      <c r="B112"/>
      <c r="C112" s="44"/>
      <c r="D112" s="44"/>
      <c r="E112" s="44"/>
      <c r="F112" s="44"/>
      <c r="G112" s="44"/>
      <c r="H112" s="44"/>
      <c r="I112" s="44"/>
      <c r="J112" s="44"/>
      <c r="K112" s="44"/>
      <c r="L112" s="44"/>
      <c r="M112" t="str">
        <f t="shared" si="15"/>
        <v>"//*[@class=\"</v>
      </c>
      <c r="N112" t="s">
        <v>31</v>
      </c>
      <c r="O112" s="4" t="str">
        <f t="shared" si="18"/>
        <v>click</v>
      </c>
      <c r="P112" t="str">
        <f t="shared" si="19"/>
        <v>();</v>
      </c>
      <c r="Q112" t="str">
        <f t="shared" si="20"/>
        <v/>
      </c>
      <c r="R112" t="str">
        <f t="shared" si="16"/>
        <v/>
      </c>
      <c r="S112" s="1" t="str">
        <f t="shared" si="17"/>
        <v/>
      </c>
      <c r="T112"/>
      <c r="U112"/>
      <c r="V112"/>
      <c r="W112"/>
      <c r="X112"/>
      <c r="Y112"/>
      <c r="Z112">
        <v>103</v>
      </c>
      <c r="AA112"/>
      <c r="AB112"/>
      <c r="AC112" s="6"/>
      <c r="AD112" s="6"/>
      <c r="AE112" s="6"/>
      <c r="BB112" s="3"/>
      <c r="BC112" s="3"/>
    </row>
    <row r="113" spans="1:55" s="4" customFormat="1">
      <c r="A113"/>
      <c r="B113"/>
      <c r="C113" s="44"/>
      <c r="D113" s="44"/>
      <c r="E113" s="44"/>
      <c r="F113" s="44"/>
      <c r="G113" s="44"/>
      <c r="H113" s="44"/>
      <c r="I113" s="44"/>
      <c r="J113" s="44"/>
      <c r="K113" s="44"/>
      <c r="L113" s="44"/>
      <c r="M113" t="str">
        <f t="shared" si="15"/>
        <v>"//*[@class=\"</v>
      </c>
      <c r="N113" t="s">
        <v>31</v>
      </c>
      <c r="O113" s="4" t="str">
        <f t="shared" si="18"/>
        <v>click</v>
      </c>
      <c r="P113" t="str">
        <f t="shared" si="19"/>
        <v>();</v>
      </c>
      <c r="Q113" t="str">
        <f t="shared" si="20"/>
        <v/>
      </c>
      <c r="R113" t="str">
        <f t="shared" si="16"/>
        <v/>
      </c>
      <c r="S113" s="1" t="str">
        <f t="shared" si="17"/>
        <v/>
      </c>
      <c r="T113"/>
      <c r="U113"/>
      <c r="V113"/>
      <c r="W113"/>
      <c r="X113"/>
      <c r="Y113"/>
      <c r="Z113">
        <v>104</v>
      </c>
      <c r="AA113"/>
      <c r="AB113"/>
      <c r="AC113" s="6"/>
      <c r="AD113" s="6"/>
      <c r="AE113" s="6"/>
      <c r="BB113" s="3"/>
      <c r="BC113" s="3"/>
    </row>
    <row r="114" spans="1:55" s="4" customFormat="1">
      <c r="A114"/>
      <c r="B114"/>
      <c r="C114" s="44"/>
      <c r="D114" s="44"/>
      <c r="E114" s="44"/>
      <c r="F114" s="44"/>
      <c r="G114" s="44"/>
      <c r="H114" s="44"/>
      <c r="I114" s="44"/>
      <c r="J114" s="44"/>
      <c r="K114" s="44"/>
      <c r="L114" s="44"/>
      <c r="M114" t="str">
        <f t="shared" si="15"/>
        <v>"//*[@class=\"</v>
      </c>
      <c r="N114" t="s">
        <v>31</v>
      </c>
      <c r="O114" s="4" t="str">
        <f t="shared" si="18"/>
        <v>click</v>
      </c>
      <c r="P114" t="str">
        <f t="shared" si="19"/>
        <v>();</v>
      </c>
      <c r="Q114" t="str">
        <f t="shared" si="20"/>
        <v/>
      </c>
      <c r="R114" t="str">
        <f t="shared" si="16"/>
        <v/>
      </c>
      <c r="S114" s="1" t="str">
        <f t="shared" si="17"/>
        <v/>
      </c>
      <c r="T114"/>
      <c r="U114"/>
      <c r="V114"/>
      <c r="W114"/>
      <c r="X114"/>
      <c r="Y114"/>
      <c r="Z114">
        <v>105</v>
      </c>
      <c r="AA114"/>
      <c r="AB114"/>
      <c r="AC114" s="6"/>
      <c r="AD114" s="6"/>
      <c r="AE114" s="6"/>
      <c r="AF114" s="6"/>
      <c r="BB114" s="3"/>
      <c r="BC114" s="3"/>
    </row>
    <row r="115" spans="1:55" s="4" customFormat="1">
      <c r="A115"/>
      <c r="B115"/>
      <c r="C115" s="44"/>
      <c r="D115" s="44"/>
      <c r="E115" s="44"/>
      <c r="F115" s="44"/>
      <c r="G115" s="44"/>
      <c r="H115" s="44"/>
      <c r="I115" s="44"/>
      <c r="J115" s="44"/>
      <c r="K115" s="44"/>
      <c r="L115" s="44"/>
      <c r="M115" t="str">
        <f t="shared" si="15"/>
        <v>"//*[@class=\"</v>
      </c>
      <c r="N115" t="s">
        <v>31</v>
      </c>
      <c r="O115" s="4" t="str">
        <f t="shared" si="18"/>
        <v>click</v>
      </c>
      <c r="P115" t="str">
        <f t="shared" si="19"/>
        <v>();</v>
      </c>
      <c r="Q115" t="str">
        <f t="shared" si="20"/>
        <v/>
      </c>
      <c r="R115" t="str">
        <f t="shared" si="16"/>
        <v/>
      </c>
      <c r="S115" s="1" t="str">
        <f t="shared" si="17"/>
        <v/>
      </c>
      <c r="T115"/>
      <c r="U115"/>
      <c r="V115"/>
      <c r="W115"/>
      <c r="X115"/>
      <c r="Y115"/>
      <c r="Z115">
        <v>106</v>
      </c>
      <c r="AA115"/>
      <c r="AB115"/>
      <c r="AC115" s="6"/>
      <c r="AD115" s="6"/>
      <c r="AE115" s="6"/>
      <c r="AF115" s="6"/>
      <c r="BB115" s="3"/>
      <c r="BC115" s="3"/>
    </row>
    <row r="116" spans="1:55" s="4" customFormat="1">
      <c r="A116"/>
      <c r="B116"/>
      <c r="C116" s="44"/>
      <c r="D116" s="44"/>
      <c r="E116" s="44"/>
      <c r="F116" s="44"/>
      <c r="G116" s="44"/>
      <c r="H116" s="44"/>
      <c r="I116" s="44"/>
      <c r="J116" s="44"/>
      <c r="K116" s="44"/>
      <c r="L116" s="44"/>
      <c r="M116" t="str">
        <f t="shared" si="15"/>
        <v>"//*[@class=\"</v>
      </c>
      <c r="N116" t="s">
        <v>31</v>
      </c>
      <c r="O116" s="4" t="str">
        <f t="shared" si="18"/>
        <v>click</v>
      </c>
      <c r="P116" t="str">
        <f t="shared" si="19"/>
        <v>();</v>
      </c>
      <c r="Q116" t="str">
        <f t="shared" si="20"/>
        <v/>
      </c>
      <c r="R116" t="str">
        <f t="shared" si="16"/>
        <v/>
      </c>
      <c r="S116" s="1" t="str">
        <f t="shared" si="17"/>
        <v/>
      </c>
      <c r="T116"/>
      <c r="U116"/>
      <c r="V116"/>
      <c r="W116"/>
      <c r="X116"/>
      <c r="Y116"/>
      <c r="Z116">
        <v>107</v>
      </c>
      <c r="AA116"/>
      <c r="AB116"/>
      <c r="AC116" s="6"/>
      <c r="AD116" s="6"/>
      <c r="AE116" s="6"/>
      <c r="AF116" s="6"/>
      <c r="BB116" s="3"/>
      <c r="BC116" s="3"/>
    </row>
    <row r="117" spans="1:55" s="4" customFormat="1">
      <c r="A117"/>
      <c r="B117"/>
      <c r="C117" s="44"/>
      <c r="D117" s="44"/>
      <c r="E117" s="44"/>
      <c r="F117" s="44"/>
      <c r="G117" s="44"/>
      <c r="H117" s="44"/>
      <c r="I117" s="44"/>
      <c r="J117" s="44"/>
      <c r="K117" s="44"/>
      <c r="L117" s="44"/>
      <c r="M117" t="str">
        <f t="shared" si="15"/>
        <v>"//*[@class=\"</v>
      </c>
      <c r="N117" t="s">
        <v>31</v>
      </c>
      <c r="O117" s="4" t="str">
        <f t="shared" si="18"/>
        <v>click</v>
      </c>
      <c r="P117" t="str">
        <f t="shared" si="19"/>
        <v>();</v>
      </c>
      <c r="Q117" t="str">
        <f t="shared" si="20"/>
        <v/>
      </c>
      <c r="R117" t="str">
        <f t="shared" si="16"/>
        <v/>
      </c>
      <c r="S117" s="1" t="str">
        <f t="shared" si="17"/>
        <v/>
      </c>
      <c r="T117"/>
      <c r="U117"/>
      <c r="V117"/>
      <c r="W117"/>
      <c r="X117"/>
      <c r="Y117"/>
      <c r="Z117">
        <v>108</v>
      </c>
      <c r="AA117"/>
      <c r="AB117"/>
      <c r="AC117" s="6"/>
      <c r="AD117" s="6"/>
      <c r="AE117" s="6"/>
      <c r="AF117" s="6"/>
      <c r="BB117" s="3"/>
      <c r="BC117" s="3"/>
    </row>
    <row r="118" spans="1:55" s="4" customFormat="1">
      <c r="A118"/>
      <c r="B118"/>
      <c r="C118" s="44"/>
      <c r="D118" s="44"/>
      <c r="E118" s="44"/>
      <c r="F118" s="44"/>
      <c r="G118" s="44"/>
      <c r="H118" s="44"/>
      <c r="I118" s="44"/>
      <c r="J118" s="44"/>
      <c r="K118" s="44"/>
      <c r="L118" s="44"/>
      <c r="M118" t="str">
        <f t="shared" si="15"/>
        <v>"//*[@class=\"</v>
      </c>
      <c r="N118" t="s">
        <v>31</v>
      </c>
      <c r="O118" s="4" t="str">
        <f t="shared" si="18"/>
        <v>click</v>
      </c>
      <c r="P118" t="str">
        <f t="shared" si="19"/>
        <v>();</v>
      </c>
      <c r="Q118" t="str">
        <f t="shared" si="20"/>
        <v/>
      </c>
      <c r="R118" t="str">
        <f t="shared" si="16"/>
        <v/>
      </c>
      <c r="S118" s="1" t="str">
        <f t="shared" si="17"/>
        <v/>
      </c>
      <c r="T118"/>
      <c r="U118"/>
      <c r="V118"/>
      <c r="W118"/>
      <c r="X118"/>
      <c r="Y118"/>
      <c r="Z118">
        <v>109</v>
      </c>
      <c r="AA118"/>
      <c r="AB118"/>
      <c r="AC118" s="6"/>
      <c r="AD118" s="6"/>
      <c r="AE118" s="6"/>
      <c r="AF118" s="6"/>
      <c r="BB118" s="3"/>
      <c r="BC118" s="3"/>
    </row>
    <row r="119" spans="1:55" s="4" customFormat="1">
      <c r="A119"/>
      <c r="B119"/>
      <c r="C119" s="44"/>
      <c r="D119" s="44"/>
      <c r="E119" s="44"/>
      <c r="F119" s="44"/>
      <c r="G119" s="44"/>
      <c r="H119" s="44"/>
      <c r="I119" s="44"/>
      <c r="J119" s="44"/>
      <c r="K119" s="44"/>
      <c r="L119" s="44"/>
      <c r="M119" t="str">
        <f t="shared" si="15"/>
        <v>"//*[@class=\"</v>
      </c>
      <c r="N119" t="s">
        <v>31</v>
      </c>
      <c r="O119" s="4" t="str">
        <f t="shared" si="18"/>
        <v>click</v>
      </c>
      <c r="P119" t="str">
        <f t="shared" si="19"/>
        <v>();</v>
      </c>
      <c r="Q119" t="str">
        <f t="shared" si="20"/>
        <v/>
      </c>
      <c r="R119" t="str">
        <f t="shared" si="16"/>
        <v/>
      </c>
      <c r="S119" s="1" t="str">
        <f t="shared" si="17"/>
        <v/>
      </c>
      <c r="T119"/>
      <c r="U119"/>
      <c r="V119"/>
      <c r="W119"/>
      <c r="X119"/>
      <c r="Y119"/>
      <c r="Z119">
        <v>110</v>
      </c>
      <c r="AA119"/>
      <c r="AB119"/>
      <c r="AC119" s="6"/>
      <c r="AD119" s="6"/>
      <c r="AE119" s="6"/>
      <c r="AF119" s="6"/>
      <c r="BB119" s="3"/>
      <c r="BC119" s="3"/>
    </row>
    <row r="120" spans="1:55" s="4" customFormat="1">
      <c r="A120"/>
      <c r="B120"/>
      <c r="C120" s="44"/>
      <c r="D120" s="44"/>
      <c r="E120" s="44"/>
      <c r="F120" s="44"/>
      <c r="G120" s="44"/>
      <c r="H120" s="44"/>
      <c r="I120" s="44"/>
      <c r="J120" s="44"/>
      <c r="K120" s="44"/>
      <c r="L120" s="44"/>
      <c r="M120" t="str">
        <f t="shared" si="15"/>
        <v>"//*[@class=\"</v>
      </c>
      <c r="N120" t="s">
        <v>31</v>
      </c>
      <c r="O120" s="4" t="str">
        <f t="shared" si="18"/>
        <v>click</v>
      </c>
      <c r="P120" t="str">
        <f t="shared" si="19"/>
        <v>();</v>
      </c>
      <c r="Q120" t="str">
        <f t="shared" si="20"/>
        <v/>
      </c>
      <c r="R120" t="str">
        <f t="shared" si="16"/>
        <v/>
      </c>
      <c r="S120" s="1" t="str">
        <f t="shared" si="17"/>
        <v/>
      </c>
      <c r="T120"/>
      <c r="U120"/>
      <c r="V120"/>
      <c r="W120"/>
      <c r="X120"/>
      <c r="Y120"/>
      <c r="Z120">
        <v>111</v>
      </c>
      <c r="AA120"/>
      <c r="AB120"/>
      <c r="AC120" s="6"/>
      <c r="AD120" s="6"/>
      <c r="AE120" s="6"/>
      <c r="AF120" s="6"/>
      <c r="BB120" s="3"/>
      <c r="BC120" s="3"/>
    </row>
    <row r="121" spans="1:55" s="4" customFormat="1">
      <c r="A121"/>
      <c r="B121"/>
      <c r="C121" s="44"/>
      <c r="D121" s="44"/>
      <c r="E121" s="44"/>
      <c r="F121" s="44"/>
      <c r="G121" s="44"/>
      <c r="H121" s="44"/>
      <c r="I121" s="44"/>
      <c r="J121" s="44"/>
      <c r="K121" s="44"/>
      <c r="L121" s="44"/>
      <c r="M121" t="str">
        <f t="shared" si="15"/>
        <v>"//*[@class=\"</v>
      </c>
      <c r="N121" t="s">
        <v>31</v>
      </c>
      <c r="O121" s="4" t="str">
        <f t="shared" si="18"/>
        <v>click</v>
      </c>
      <c r="P121" t="str">
        <f t="shared" si="19"/>
        <v>();</v>
      </c>
      <c r="Q121" t="str">
        <f t="shared" si="20"/>
        <v/>
      </c>
      <c r="R121" t="str">
        <f t="shared" si="16"/>
        <v/>
      </c>
      <c r="S121" s="1" t="str">
        <f t="shared" si="17"/>
        <v/>
      </c>
      <c r="T121"/>
      <c r="U121"/>
      <c r="V121"/>
      <c r="W121"/>
      <c r="X121"/>
      <c r="Y121"/>
      <c r="Z121">
        <v>112</v>
      </c>
      <c r="AA121"/>
      <c r="AB121"/>
      <c r="AC121" s="6"/>
      <c r="AD121" s="6"/>
      <c r="AE121" s="6"/>
      <c r="AF121" s="6"/>
      <c r="BB121" s="3"/>
      <c r="BC121" s="3"/>
    </row>
    <row r="122" spans="1:55" s="4" customFormat="1">
      <c r="A122"/>
      <c r="B122"/>
      <c r="C122" s="44"/>
      <c r="D122" s="44"/>
      <c r="E122" s="44"/>
      <c r="F122" s="44"/>
      <c r="G122" s="44"/>
      <c r="H122" s="44"/>
      <c r="I122" s="44"/>
      <c r="J122" s="44"/>
      <c r="K122" s="44"/>
      <c r="L122" s="44"/>
      <c r="M122" t="str">
        <f t="shared" si="15"/>
        <v>"//*[@class=\"</v>
      </c>
      <c r="N122" t="s">
        <v>31</v>
      </c>
      <c r="O122" s="4" t="str">
        <f t="shared" si="18"/>
        <v>click</v>
      </c>
      <c r="P122" t="str">
        <f t="shared" si="19"/>
        <v>();</v>
      </c>
      <c r="Q122" t="str">
        <f t="shared" si="20"/>
        <v/>
      </c>
      <c r="R122" t="str">
        <f t="shared" si="16"/>
        <v/>
      </c>
      <c r="S122" s="1" t="str">
        <f t="shared" si="17"/>
        <v/>
      </c>
      <c r="T122"/>
      <c r="U122"/>
      <c r="V122"/>
      <c r="W122"/>
      <c r="X122"/>
      <c r="Y122"/>
      <c r="Z122">
        <v>113</v>
      </c>
      <c r="AA122"/>
      <c r="AB122"/>
      <c r="AC122" s="6"/>
      <c r="AD122" s="6"/>
      <c r="AE122" s="6"/>
      <c r="AF122" s="6"/>
      <c r="BB122" s="3"/>
      <c r="BC122" s="3"/>
    </row>
    <row r="123" spans="1:55" s="4" customFormat="1">
      <c r="A123"/>
      <c r="B123"/>
      <c r="C123" s="44"/>
      <c r="D123" s="44"/>
      <c r="E123" s="44"/>
      <c r="F123" s="44"/>
      <c r="G123" s="44"/>
      <c r="H123" s="44"/>
      <c r="I123" s="44"/>
      <c r="J123" s="44"/>
      <c r="K123" s="44"/>
      <c r="L123" s="44"/>
      <c r="M123" t="str">
        <f t="shared" si="15"/>
        <v>"//*[@class=\"</v>
      </c>
      <c r="N123" t="s">
        <v>31</v>
      </c>
      <c r="O123" s="4" t="str">
        <f t="shared" si="18"/>
        <v>click</v>
      </c>
      <c r="P123" t="str">
        <f t="shared" si="19"/>
        <v>();</v>
      </c>
      <c r="Q123" t="str">
        <f t="shared" si="20"/>
        <v/>
      </c>
      <c r="R123" t="str">
        <f t="shared" si="16"/>
        <v/>
      </c>
      <c r="S123" s="1" t="str">
        <f t="shared" si="17"/>
        <v/>
      </c>
      <c r="T123"/>
      <c r="U123"/>
      <c r="V123"/>
      <c r="W123"/>
      <c r="X123"/>
      <c r="Y123"/>
      <c r="Z123">
        <v>114</v>
      </c>
      <c r="AA123"/>
      <c r="AB123"/>
      <c r="AC123" s="6"/>
      <c r="AD123" s="6"/>
      <c r="AE123" s="6"/>
      <c r="AF123" s="6"/>
      <c r="BB123" s="3"/>
      <c r="BC123" s="3"/>
    </row>
    <row r="124" spans="1:55" s="4" customFormat="1">
      <c r="A124"/>
      <c r="B124"/>
      <c r="C124" s="44"/>
      <c r="D124" s="44"/>
      <c r="E124" s="44"/>
      <c r="F124" s="44"/>
      <c r="G124" s="44"/>
      <c r="H124" s="44"/>
      <c r="I124" s="44"/>
      <c r="J124" s="44"/>
      <c r="K124" s="44"/>
      <c r="L124" s="44"/>
      <c r="M124" t="str">
        <f t="shared" si="15"/>
        <v>"//*[@class=\"</v>
      </c>
      <c r="N124" t="s">
        <v>31</v>
      </c>
      <c r="O124" s="4" t="str">
        <f t="shared" si="18"/>
        <v>click</v>
      </c>
      <c r="P124" t="str">
        <f t="shared" si="19"/>
        <v>();</v>
      </c>
      <c r="Q124" t="str">
        <f t="shared" si="20"/>
        <v/>
      </c>
      <c r="R124" t="str">
        <f t="shared" si="16"/>
        <v/>
      </c>
      <c r="S124" s="1" t="str">
        <f t="shared" si="17"/>
        <v/>
      </c>
      <c r="T124"/>
      <c r="U124"/>
      <c r="V124"/>
      <c r="W124"/>
      <c r="X124"/>
      <c r="Y124"/>
      <c r="Z124">
        <v>115</v>
      </c>
      <c r="AA124"/>
      <c r="AB124"/>
      <c r="AC124" s="6"/>
      <c r="AD124" s="6"/>
      <c r="AE124" s="6"/>
      <c r="AF124" s="6"/>
      <c r="BB124" s="3"/>
      <c r="BC124" s="3"/>
    </row>
    <row r="125" spans="1:55" s="4" customFormat="1">
      <c r="A125"/>
      <c r="B125"/>
      <c r="C125" s="44"/>
      <c r="D125" s="44"/>
      <c r="E125" s="44"/>
      <c r="F125" s="44"/>
      <c r="G125" s="44"/>
      <c r="H125" s="44"/>
      <c r="I125" s="44"/>
      <c r="J125" s="44"/>
      <c r="K125" s="44"/>
      <c r="L125" s="44"/>
      <c r="M125" t="str">
        <f t="shared" si="15"/>
        <v>"//*[@class=\"</v>
      </c>
      <c r="N125" t="s">
        <v>31</v>
      </c>
      <c r="O125" s="4" t="str">
        <f t="shared" si="18"/>
        <v>click</v>
      </c>
      <c r="P125" t="str">
        <f t="shared" si="19"/>
        <v>();</v>
      </c>
      <c r="Q125" t="str">
        <f t="shared" si="20"/>
        <v/>
      </c>
      <c r="R125" t="str">
        <f t="shared" si="16"/>
        <v/>
      </c>
      <c r="S125" s="1" t="str">
        <f t="shared" si="17"/>
        <v/>
      </c>
      <c r="T125"/>
      <c r="U125"/>
      <c r="V125"/>
      <c r="W125"/>
      <c r="X125"/>
      <c r="Y125"/>
      <c r="Z125">
        <v>116</v>
      </c>
      <c r="AA125"/>
      <c r="AB125"/>
      <c r="AC125" s="6"/>
      <c r="AD125" s="6"/>
      <c r="AE125" s="6"/>
      <c r="AF125" s="6"/>
      <c r="BB125" s="3"/>
      <c r="BC125" s="3"/>
    </row>
    <row r="126" spans="1:55" s="4" customFormat="1">
      <c r="A126"/>
      <c r="B126"/>
      <c r="C126" s="44"/>
      <c r="D126" s="44"/>
      <c r="E126" s="44"/>
      <c r="F126" s="44"/>
      <c r="G126" s="44"/>
      <c r="H126" s="44"/>
      <c r="I126" s="44"/>
      <c r="J126" s="44"/>
      <c r="K126" s="44"/>
      <c r="L126" s="44"/>
      <c r="M126" t="str">
        <f t="shared" si="15"/>
        <v>"//*[@class=\"</v>
      </c>
      <c r="N126" t="s">
        <v>31</v>
      </c>
      <c r="O126" s="4" t="str">
        <f t="shared" si="18"/>
        <v>click</v>
      </c>
      <c r="P126" t="str">
        <f t="shared" si="19"/>
        <v>();</v>
      </c>
      <c r="Q126" t="str">
        <f t="shared" si="20"/>
        <v/>
      </c>
      <c r="R126" t="str">
        <f t="shared" si="16"/>
        <v/>
      </c>
      <c r="S126" s="1" t="str">
        <f t="shared" si="17"/>
        <v/>
      </c>
      <c r="T126"/>
      <c r="U126"/>
      <c r="V126"/>
      <c r="W126"/>
      <c r="X126"/>
      <c r="Y126"/>
      <c r="Z126">
        <v>117</v>
      </c>
      <c r="AA126"/>
      <c r="AB126"/>
      <c r="AC126" s="6"/>
      <c r="AD126" s="6"/>
      <c r="AE126" s="6"/>
      <c r="AF126" s="6"/>
      <c r="BB126" s="3"/>
      <c r="BC126" s="3"/>
    </row>
    <row r="127" spans="1:55" s="4" customFormat="1">
      <c r="A127"/>
      <c r="B127"/>
      <c r="C127" s="44"/>
      <c r="D127" s="44"/>
      <c r="E127" s="44"/>
      <c r="F127" s="44"/>
      <c r="G127" s="44"/>
      <c r="H127" s="44"/>
      <c r="I127" s="44"/>
      <c r="J127" s="44"/>
      <c r="K127" s="44"/>
      <c r="L127" s="44"/>
      <c r="M127" t="str">
        <f t="shared" si="15"/>
        <v>"//*[@class=\"</v>
      </c>
      <c r="N127" t="s">
        <v>31</v>
      </c>
      <c r="O127" s="4" t="str">
        <f t="shared" si="18"/>
        <v>click</v>
      </c>
      <c r="P127" t="str">
        <f t="shared" si="19"/>
        <v>();</v>
      </c>
      <c r="Q127" t="str">
        <f t="shared" si="20"/>
        <v/>
      </c>
      <c r="R127" t="str">
        <f t="shared" si="16"/>
        <v/>
      </c>
      <c r="S127" s="1" t="str">
        <f t="shared" si="17"/>
        <v/>
      </c>
      <c r="T127"/>
      <c r="U127"/>
      <c r="V127"/>
      <c r="W127"/>
      <c r="X127"/>
      <c r="Y127"/>
      <c r="Z127">
        <v>118</v>
      </c>
      <c r="AA127"/>
      <c r="AB127"/>
      <c r="AC127" s="6"/>
      <c r="AD127" s="6"/>
      <c r="AE127" s="6"/>
      <c r="AF127" s="6"/>
      <c r="BB127" s="3"/>
      <c r="BC127" s="3"/>
    </row>
    <row r="128" spans="1:55" s="4" customFormat="1">
      <c r="A128"/>
      <c r="B128"/>
      <c r="C128" s="44"/>
      <c r="D128" s="44"/>
      <c r="E128" s="44"/>
      <c r="F128" s="44"/>
      <c r="G128" s="44"/>
      <c r="H128" s="44"/>
      <c r="I128" s="44"/>
      <c r="J128" s="44"/>
      <c r="K128" s="44"/>
      <c r="L128" s="44"/>
      <c r="M128" t="str">
        <f t="shared" si="15"/>
        <v>"//*[@class=\"</v>
      </c>
      <c r="N128" t="s">
        <v>31</v>
      </c>
      <c r="O128" s="4" t="str">
        <f t="shared" si="18"/>
        <v>click</v>
      </c>
      <c r="P128" t="str">
        <f t="shared" si="19"/>
        <v>();</v>
      </c>
      <c r="Q128" t="str">
        <f t="shared" si="20"/>
        <v/>
      </c>
      <c r="R128" t="str">
        <f t="shared" si="16"/>
        <v/>
      </c>
      <c r="S128" s="1" t="str">
        <f t="shared" si="17"/>
        <v/>
      </c>
      <c r="T128"/>
      <c r="U128"/>
      <c r="V128"/>
      <c r="W128"/>
      <c r="X128"/>
      <c r="Y128"/>
      <c r="Z128">
        <v>119</v>
      </c>
      <c r="AA128"/>
      <c r="AB128"/>
      <c r="AC128" s="6"/>
      <c r="AD128" s="6"/>
      <c r="AE128" s="6"/>
      <c r="AF128" s="6"/>
      <c r="BB128" s="3"/>
      <c r="BC128" s="3"/>
    </row>
    <row r="129" spans="1:55" s="5" customFormat="1">
      <c r="A129"/>
      <c r="B129"/>
      <c r="C129" s="44"/>
      <c r="D129" s="44"/>
      <c r="E129" s="44"/>
      <c r="F129" s="44"/>
      <c r="G129" s="44"/>
      <c r="H129" s="44"/>
      <c r="I129" s="44"/>
      <c r="J129" s="44"/>
      <c r="K129" s="44"/>
      <c r="L129" s="44"/>
      <c r="M129" t="str">
        <f t="shared" si="15"/>
        <v>"//*[@class=\"</v>
      </c>
      <c r="N129" t="s">
        <v>31</v>
      </c>
      <c r="O129" s="4" t="str">
        <f t="shared" si="18"/>
        <v>click</v>
      </c>
      <c r="P129" t="str">
        <f t="shared" si="19"/>
        <v>();</v>
      </c>
      <c r="Q129" t="str">
        <f t="shared" si="20"/>
        <v/>
      </c>
      <c r="R129" t="str">
        <f t="shared" si="16"/>
        <v/>
      </c>
      <c r="S129" s="1" t="str">
        <f t="shared" si="17"/>
        <v/>
      </c>
      <c r="T129"/>
      <c r="U129"/>
      <c r="V129"/>
      <c r="W129"/>
      <c r="X129"/>
      <c r="Y129"/>
      <c r="Z129">
        <v>120</v>
      </c>
      <c r="AA129"/>
      <c r="AB129"/>
      <c r="AC129" s="6"/>
      <c r="AD129" s="6"/>
      <c r="AE129" s="6"/>
      <c r="AF129" s="6"/>
      <c r="AG129" s="4"/>
      <c r="AH129" s="4"/>
      <c r="AI129" s="4"/>
      <c r="AJ129" s="4"/>
      <c r="AK129" s="4"/>
      <c r="AL129" s="4"/>
      <c r="AM129" s="4"/>
      <c r="AN129" s="4"/>
      <c r="AO129" s="4"/>
      <c r="AP129" s="4"/>
      <c r="AQ129" s="4"/>
      <c r="AR129" s="4"/>
      <c r="AS129" s="4"/>
      <c r="AT129" s="4"/>
      <c r="AU129" s="4"/>
      <c r="AV129" s="4"/>
      <c r="AW129" s="4"/>
      <c r="AX129" s="4"/>
      <c r="AY129" s="4"/>
      <c r="AZ129" s="4"/>
      <c r="BA129" s="4"/>
      <c r="BB129" s="3"/>
      <c r="BC129" s="3"/>
    </row>
    <row r="130" spans="1:55" s="5" customFormat="1">
      <c r="A130"/>
      <c r="B130"/>
      <c r="C130" s="44"/>
      <c r="D130" s="44"/>
      <c r="E130" s="44"/>
      <c r="F130" s="44"/>
      <c r="G130" s="44"/>
      <c r="H130" s="44"/>
      <c r="I130" s="44"/>
      <c r="J130" s="44"/>
      <c r="K130" s="44"/>
      <c r="L130" s="44"/>
      <c r="M130" t="str">
        <f t="shared" si="15"/>
        <v>"//*[@class=\"</v>
      </c>
      <c r="N130" t="s">
        <v>31</v>
      </c>
      <c r="O130" s="4" t="str">
        <f t="shared" si="18"/>
        <v>click</v>
      </c>
      <c r="P130" t="str">
        <f t="shared" si="19"/>
        <v>();</v>
      </c>
      <c r="Q130" t="str">
        <f t="shared" si="20"/>
        <v/>
      </c>
      <c r="R130" t="str">
        <f t="shared" si="16"/>
        <v/>
      </c>
      <c r="S130" s="1" t="str">
        <f t="shared" si="17"/>
        <v/>
      </c>
      <c r="T130"/>
      <c r="U130"/>
      <c r="V130"/>
      <c r="W130"/>
      <c r="X130"/>
      <c r="Y130"/>
      <c r="Z130">
        <v>121</v>
      </c>
      <c r="AA130"/>
      <c r="AB130"/>
      <c r="AC130" s="6"/>
      <c r="AD130" s="6"/>
      <c r="AE130" s="6"/>
      <c r="AF130" s="6"/>
      <c r="AG130" s="4"/>
      <c r="AH130" s="4"/>
      <c r="AI130" s="4"/>
      <c r="AJ130" s="4"/>
      <c r="AK130" s="4"/>
      <c r="AL130" s="4"/>
      <c r="AM130" s="4"/>
      <c r="AN130" s="4"/>
      <c r="AO130" s="4"/>
      <c r="AP130" s="4"/>
      <c r="AQ130" s="4"/>
      <c r="AR130" s="4"/>
      <c r="AS130" s="4"/>
      <c r="AT130" s="4"/>
      <c r="AU130" s="4"/>
      <c r="AV130" s="4"/>
      <c r="AW130" s="4"/>
      <c r="AX130" s="4"/>
      <c r="AY130" s="4"/>
      <c r="AZ130" s="4"/>
      <c r="BA130" s="4"/>
      <c r="BB130" s="3"/>
      <c r="BC130" s="3"/>
    </row>
    <row r="131" spans="1:55" s="5" customFormat="1">
      <c r="A131"/>
      <c r="B131"/>
      <c r="C131" s="44"/>
      <c r="D131" s="44"/>
      <c r="E131" s="44"/>
      <c r="F131" s="44"/>
      <c r="G131" s="44"/>
      <c r="H131" s="44"/>
      <c r="I131" s="44"/>
      <c r="J131" s="44"/>
      <c r="K131" s="44"/>
      <c r="L131" s="44"/>
      <c r="M131" t="str">
        <f t="shared" si="15"/>
        <v>"//*[@class=\"</v>
      </c>
      <c r="N131" t="s">
        <v>31</v>
      </c>
      <c r="O131" s="4" t="str">
        <f t="shared" si="18"/>
        <v>click</v>
      </c>
      <c r="P131" t="str">
        <f t="shared" si="19"/>
        <v>();</v>
      </c>
      <c r="Q131" t="str">
        <f t="shared" si="20"/>
        <v/>
      </c>
      <c r="R131" t="str">
        <f t="shared" si="16"/>
        <v/>
      </c>
      <c r="S131" s="1" t="str">
        <f t="shared" si="17"/>
        <v/>
      </c>
      <c r="T131"/>
      <c r="U131"/>
      <c r="V131"/>
      <c r="W131"/>
      <c r="X131"/>
      <c r="Y131"/>
      <c r="Z131">
        <v>122</v>
      </c>
      <c r="AA131"/>
      <c r="AB131"/>
      <c r="AC131" s="6"/>
      <c r="AD131" s="6"/>
      <c r="AE131" s="6"/>
      <c r="AF131" s="6"/>
      <c r="AG131" s="4"/>
      <c r="AH131" s="4"/>
      <c r="AI131" s="4"/>
      <c r="AJ131" s="4"/>
      <c r="AK131" s="4"/>
      <c r="AL131" s="4"/>
      <c r="AM131" s="4"/>
      <c r="AN131" s="4"/>
      <c r="AO131" s="4"/>
      <c r="AP131" s="4"/>
      <c r="AQ131" s="4"/>
      <c r="AR131" s="4"/>
      <c r="AS131" s="4"/>
      <c r="AT131" s="4"/>
      <c r="AU131" s="4"/>
      <c r="AV131" s="4"/>
      <c r="AW131" s="4"/>
      <c r="AX131" s="4"/>
      <c r="AY131" s="4"/>
      <c r="AZ131" s="4"/>
      <c r="BA131" s="4"/>
      <c r="BB131" s="3"/>
      <c r="BC131" s="3"/>
    </row>
    <row r="132" spans="1:55" s="5" customFormat="1">
      <c r="A132"/>
      <c r="B132"/>
      <c r="C132" s="44"/>
      <c r="D132" s="44"/>
      <c r="E132" s="44"/>
      <c r="F132" s="44"/>
      <c r="G132" s="44"/>
      <c r="H132" s="44"/>
      <c r="I132" s="44"/>
      <c r="J132" s="44"/>
      <c r="K132" s="44"/>
      <c r="L132" s="44"/>
      <c r="M132" t="str">
        <f t="shared" si="15"/>
        <v>"//*[@class=\"</v>
      </c>
      <c r="N132" t="s">
        <v>31</v>
      </c>
      <c r="O132" s="4" t="str">
        <f t="shared" si="18"/>
        <v>click</v>
      </c>
      <c r="P132" t="str">
        <f t="shared" si="19"/>
        <v>();</v>
      </c>
      <c r="Q132" t="str">
        <f t="shared" si="20"/>
        <v/>
      </c>
      <c r="R132" t="str">
        <f t="shared" si="16"/>
        <v/>
      </c>
      <c r="S132" s="1" t="str">
        <f t="shared" si="17"/>
        <v/>
      </c>
      <c r="T132"/>
      <c r="U132"/>
      <c r="V132"/>
      <c r="W132"/>
      <c r="X132"/>
      <c r="Y132"/>
      <c r="Z132">
        <v>123</v>
      </c>
      <c r="AA132"/>
      <c r="AB132"/>
      <c r="AC132" s="6"/>
      <c r="AD132" s="6"/>
      <c r="AE132" s="6"/>
      <c r="AF132" s="6"/>
      <c r="AG132" s="4"/>
      <c r="AH132" s="4"/>
      <c r="AI132" s="4"/>
      <c r="AJ132" s="4"/>
      <c r="AK132" s="4"/>
      <c r="AL132" s="4"/>
      <c r="AM132" s="4"/>
      <c r="AN132" s="4"/>
      <c r="AO132" s="4"/>
      <c r="AP132" s="4"/>
      <c r="AQ132" s="4"/>
      <c r="AR132" s="4"/>
      <c r="AS132" s="4"/>
      <c r="AT132" s="4"/>
      <c r="AU132" s="4"/>
      <c r="AV132" s="4"/>
      <c r="AW132" s="4"/>
      <c r="AX132" s="4"/>
      <c r="AY132" s="4"/>
      <c r="AZ132" s="4"/>
      <c r="BA132" s="4"/>
      <c r="BB132" s="3"/>
      <c r="BC132" s="3"/>
    </row>
    <row r="133" spans="1:55" s="5" customFormat="1">
      <c r="A133"/>
      <c r="B133"/>
      <c r="C133" s="44"/>
      <c r="D133" s="44"/>
      <c r="E133" s="44"/>
      <c r="F133" s="44"/>
      <c r="G133" s="44"/>
      <c r="H133" s="44"/>
      <c r="I133" s="44"/>
      <c r="J133" s="44"/>
      <c r="K133" s="44"/>
      <c r="L133" s="44"/>
      <c r="M133" t="str">
        <f t="shared" si="15"/>
        <v>"//*[@class=\"</v>
      </c>
      <c r="N133" t="s">
        <v>31</v>
      </c>
      <c r="O133" s="4" t="str">
        <f t="shared" si="18"/>
        <v>click</v>
      </c>
      <c r="P133" t="str">
        <f t="shared" si="19"/>
        <v>();</v>
      </c>
      <c r="Q133" t="str">
        <f t="shared" si="20"/>
        <v/>
      </c>
      <c r="R133" t="str">
        <f t="shared" si="16"/>
        <v/>
      </c>
      <c r="S133" s="1" t="str">
        <f t="shared" si="17"/>
        <v/>
      </c>
      <c r="T133"/>
      <c r="U133"/>
      <c r="V133"/>
      <c r="W133"/>
      <c r="X133"/>
      <c r="Y133"/>
      <c r="Z133">
        <v>124</v>
      </c>
      <c r="AA133"/>
      <c r="AB133"/>
      <c r="AC133" s="6"/>
      <c r="AD133" s="6"/>
      <c r="AE133" s="6"/>
      <c r="AF133" s="6"/>
      <c r="AG133" s="4"/>
      <c r="AH133" s="4"/>
      <c r="AI133" s="4"/>
      <c r="AJ133" s="4"/>
      <c r="AK133" s="4"/>
      <c r="AL133" s="4"/>
      <c r="AM133" s="4"/>
      <c r="AN133" s="4"/>
      <c r="AO133" s="4"/>
      <c r="AP133" s="4"/>
      <c r="AQ133" s="4"/>
      <c r="AR133" s="4"/>
      <c r="AS133" s="4"/>
      <c r="AT133" s="4"/>
      <c r="AU133" s="4"/>
      <c r="AV133" s="4"/>
      <c r="AW133" s="4"/>
      <c r="AX133" s="4"/>
      <c r="AY133" s="4"/>
      <c r="AZ133" s="4"/>
      <c r="BA133" s="4"/>
      <c r="BB133" s="3"/>
      <c r="BC133" s="3"/>
    </row>
    <row r="134" spans="1:55" s="5" customFormat="1">
      <c r="A134"/>
      <c r="B134"/>
      <c r="C134" s="44"/>
      <c r="D134" s="44"/>
      <c r="E134" s="44"/>
      <c r="F134" s="44"/>
      <c r="G134" s="44"/>
      <c r="H134" s="44"/>
      <c r="I134" s="44"/>
      <c r="J134" s="44"/>
      <c r="K134" s="44"/>
      <c r="L134" s="44"/>
      <c r="M134" t="str">
        <f t="shared" si="15"/>
        <v>"//*[@class=\"</v>
      </c>
      <c r="N134" t="s">
        <v>31</v>
      </c>
      <c r="O134" s="4" t="str">
        <f t="shared" si="18"/>
        <v>click</v>
      </c>
      <c r="P134" t="str">
        <f t="shared" si="19"/>
        <v>();</v>
      </c>
      <c r="Q134" t="str">
        <f t="shared" si="20"/>
        <v/>
      </c>
      <c r="R134" t="str">
        <f t="shared" si="16"/>
        <v/>
      </c>
      <c r="S134" s="1" t="str">
        <f t="shared" si="17"/>
        <v/>
      </c>
      <c r="T134"/>
      <c r="U134"/>
      <c r="V134"/>
      <c r="W134"/>
      <c r="X134"/>
      <c r="Y134"/>
      <c r="Z134">
        <v>125</v>
      </c>
      <c r="AA134"/>
      <c r="AB134"/>
      <c r="AC134" s="6"/>
      <c r="AD134" s="6"/>
      <c r="AE134" s="6"/>
      <c r="AF134" s="6"/>
      <c r="AG134" s="4"/>
      <c r="AH134" s="4"/>
      <c r="AI134" s="4"/>
      <c r="AJ134" s="4"/>
      <c r="AK134" s="4"/>
      <c r="AL134" s="4"/>
      <c r="AM134" s="4"/>
      <c r="AN134" s="4"/>
      <c r="AO134" s="4"/>
      <c r="AP134" s="4"/>
      <c r="AQ134" s="4"/>
      <c r="AR134" s="4"/>
      <c r="AS134" s="4"/>
      <c r="AT134" s="4"/>
      <c r="AU134" s="4"/>
      <c r="AV134" s="4"/>
      <c r="AW134" s="4"/>
      <c r="AX134" s="4"/>
      <c r="AY134" s="4"/>
      <c r="AZ134" s="4"/>
      <c r="BA134" s="4"/>
      <c r="BB134" s="3"/>
      <c r="BC134" s="3"/>
    </row>
    <row r="135" spans="1:55" s="5" customFormat="1">
      <c r="A135"/>
      <c r="B135"/>
      <c r="C135" s="44"/>
      <c r="D135" s="44"/>
      <c r="E135" s="44"/>
      <c r="F135" s="44"/>
      <c r="G135" s="44"/>
      <c r="H135" s="44"/>
      <c r="I135" s="44"/>
      <c r="J135" s="44"/>
      <c r="K135" s="44"/>
      <c r="L135" s="44"/>
      <c r="M135" t="str">
        <f t="shared" si="15"/>
        <v>"//*[@class=\"</v>
      </c>
      <c r="N135" t="s">
        <v>31</v>
      </c>
      <c r="O135" s="4" t="str">
        <f t="shared" si="18"/>
        <v>click</v>
      </c>
      <c r="P135" t="str">
        <f t="shared" si="19"/>
        <v>();</v>
      </c>
      <c r="Q135" t="str">
        <f t="shared" si="20"/>
        <v/>
      </c>
      <c r="R135" t="str">
        <f t="shared" si="16"/>
        <v/>
      </c>
      <c r="S135" s="1" t="str">
        <f t="shared" si="17"/>
        <v/>
      </c>
      <c r="T135"/>
      <c r="U135"/>
      <c r="V135"/>
      <c r="W135"/>
      <c r="X135"/>
      <c r="Y135"/>
      <c r="Z135">
        <v>126</v>
      </c>
      <c r="AA135"/>
      <c r="AB135"/>
      <c r="AC135" s="6"/>
      <c r="AD135" s="6"/>
      <c r="AE135" s="6"/>
      <c r="AF135" s="6"/>
      <c r="AG135" s="4"/>
      <c r="AH135" s="4"/>
      <c r="AI135" s="4"/>
      <c r="AJ135" s="4"/>
      <c r="AK135" s="4"/>
      <c r="AL135" s="4"/>
      <c r="AM135" s="4"/>
      <c r="AN135" s="4"/>
      <c r="AO135" s="4"/>
      <c r="AP135" s="4"/>
      <c r="AQ135" s="4"/>
      <c r="AR135" s="4"/>
      <c r="AS135" s="4"/>
      <c r="AT135" s="4"/>
      <c r="AU135" s="4"/>
      <c r="AV135" s="4"/>
      <c r="AW135" s="4"/>
      <c r="AX135" s="4"/>
      <c r="AY135" s="4"/>
      <c r="AZ135" s="4"/>
      <c r="BA135" s="4"/>
      <c r="BB135" s="3"/>
      <c r="BC135" s="3"/>
    </row>
    <row r="136" spans="1:55" s="5" customFormat="1">
      <c r="A136"/>
      <c r="B136"/>
      <c r="C136" s="44"/>
      <c r="D136" s="44"/>
      <c r="E136" s="44"/>
      <c r="F136" s="44"/>
      <c r="G136" s="44"/>
      <c r="H136" s="44"/>
      <c r="I136" s="44"/>
      <c r="J136" s="44"/>
      <c r="K136" s="44"/>
      <c r="L136" s="44"/>
      <c r="M136" t="str">
        <f t="shared" si="15"/>
        <v>"//*[@class=\"</v>
      </c>
      <c r="N136" t="s">
        <v>31</v>
      </c>
      <c r="O136" s="4" t="str">
        <f t="shared" si="18"/>
        <v>click</v>
      </c>
      <c r="P136" t="str">
        <f t="shared" si="19"/>
        <v>();</v>
      </c>
      <c r="Q136" t="str">
        <f t="shared" si="20"/>
        <v/>
      </c>
      <c r="R136" t="str">
        <f t="shared" si="16"/>
        <v/>
      </c>
      <c r="S136" s="1" t="str">
        <f t="shared" si="17"/>
        <v/>
      </c>
      <c r="T136"/>
      <c r="U136"/>
      <c r="V136"/>
      <c r="W136"/>
      <c r="X136"/>
      <c r="Y136"/>
      <c r="Z136">
        <v>127</v>
      </c>
      <c r="AA136"/>
      <c r="AB136"/>
      <c r="AC136" s="6"/>
      <c r="AD136" s="6"/>
      <c r="AE136" s="6"/>
      <c r="AF136" s="6"/>
      <c r="AG136" s="4"/>
      <c r="AH136" s="4"/>
      <c r="AI136" s="4"/>
      <c r="AJ136" s="4"/>
      <c r="AK136" s="4"/>
      <c r="AL136" s="4"/>
      <c r="AM136" s="4"/>
      <c r="AN136" s="4"/>
      <c r="AO136" s="4"/>
      <c r="AP136" s="4"/>
      <c r="AQ136" s="4"/>
      <c r="AR136" s="4"/>
      <c r="AS136" s="4"/>
      <c r="AT136" s="4"/>
      <c r="AU136" s="4"/>
      <c r="AV136" s="4"/>
      <c r="AW136" s="4"/>
      <c r="AX136" s="4"/>
      <c r="AY136" s="4"/>
      <c r="AZ136" s="4"/>
      <c r="BA136" s="4"/>
      <c r="BB136" s="3"/>
      <c r="BC136" s="3"/>
    </row>
    <row r="137" spans="1:55" s="5" customFormat="1">
      <c r="A137"/>
      <c r="B137"/>
      <c r="C137" s="44"/>
      <c r="D137" s="44"/>
      <c r="E137" s="44"/>
      <c r="F137" s="44"/>
      <c r="G137" s="44"/>
      <c r="H137" s="44"/>
      <c r="I137" s="44"/>
      <c r="J137" s="44"/>
      <c r="K137" s="44"/>
      <c r="L137" s="44"/>
      <c r="M137" t="str">
        <f t="shared" si="15"/>
        <v>"//*[@class=\"</v>
      </c>
      <c r="N137" t="s">
        <v>31</v>
      </c>
      <c r="O137" s="4" t="str">
        <f t="shared" si="18"/>
        <v>click</v>
      </c>
      <c r="P137" t="str">
        <f t="shared" si="19"/>
        <v>();</v>
      </c>
      <c r="Q137" t="str">
        <f t="shared" si="20"/>
        <v/>
      </c>
      <c r="R137" t="str">
        <f t="shared" si="16"/>
        <v/>
      </c>
      <c r="S137" s="1" t="str">
        <f t="shared" si="17"/>
        <v/>
      </c>
      <c r="T137"/>
      <c r="U137"/>
      <c r="V137"/>
      <c r="W137"/>
      <c r="X137"/>
      <c r="Y137"/>
      <c r="Z137">
        <v>128</v>
      </c>
      <c r="AA137"/>
      <c r="AB137"/>
      <c r="AC137" s="6"/>
      <c r="AD137" s="6"/>
      <c r="AE137" s="6"/>
      <c r="AF137" s="6"/>
      <c r="AG137" s="4"/>
      <c r="AH137" s="4"/>
      <c r="AI137" s="4"/>
      <c r="AJ137" s="4"/>
      <c r="AK137" s="4"/>
      <c r="AL137" s="4"/>
      <c r="AM137" s="4"/>
      <c r="AN137" s="4"/>
      <c r="AO137" s="4"/>
      <c r="AP137" s="4"/>
      <c r="AQ137" s="4"/>
      <c r="AR137" s="4"/>
      <c r="AS137" s="4"/>
      <c r="AT137" s="4"/>
      <c r="AU137" s="4"/>
      <c r="AV137" s="4"/>
      <c r="AW137" s="4"/>
      <c r="AX137" s="4"/>
      <c r="AY137" s="4"/>
      <c r="AZ137" s="4"/>
      <c r="BA137" s="4"/>
      <c r="BB137" s="3"/>
      <c r="BC137" s="3"/>
    </row>
    <row r="138" spans="1:55" s="5" customFormat="1">
      <c r="A138"/>
      <c r="B138"/>
      <c r="C138" s="44"/>
      <c r="D138" s="44"/>
      <c r="E138" s="44"/>
      <c r="F138" s="44"/>
      <c r="G138" s="44"/>
      <c r="H138" s="44"/>
      <c r="I138" s="44"/>
      <c r="J138" s="44"/>
      <c r="K138" s="44"/>
      <c r="L138" s="44"/>
      <c r="M138" t="str">
        <f t="shared" si="15"/>
        <v>"//*[@class=\"</v>
      </c>
      <c r="N138" t="s">
        <v>31</v>
      </c>
      <c r="O138" s="4" t="str">
        <f t="shared" si="18"/>
        <v>click</v>
      </c>
      <c r="P138" t="str">
        <f t="shared" si="19"/>
        <v>();</v>
      </c>
      <c r="Q138" t="str">
        <f t="shared" si="20"/>
        <v/>
      </c>
      <c r="R138" t="str">
        <f t="shared" si="16"/>
        <v/>
      </c>
      <c r="S138" s="1" t="str">
        <f t="shared" si="17"/>
        <v/>
      </c>
      <c r="T138"/>
      <c r="U138"/>
      <c r="V138"/>
      <c r="W138"/>
      <c r="X138"/>
      <c r="Y138"/>
      <c r="Z138">
        <v>129</v>
      </c>
      <c r="AA138"/>
      <c r="AB138"/>
      <c r="AC138" s="6"/>
      <c r="AD138" s="6"/>
      <c r="AE138" s="6"/>
      <c r="AF138" s="6"/>
      <c r="AG138" s="4"/>
      <c r="AH138" s="4"/>
      <c r="AI138" s="4"/>
      <c r="AJ138" s="4"/>
      <c r="AK138" s="4"/>
      <c r="AL138" s="4"/>
      <c r="AM138" s="4"/>
      <c r="AN138" s="4"/>
      <c r="AO138" s="4"/>
      <c r="AP138" s="4"/>
      <c r="AQ138" s="4"/>
      <c r="AR138" s="4"/>
      <c r="AS138" s="4"/>
      <c r="AT138" s="4"/>
      <c r="AU138" s="4"/>
      <c r="AV138" s="4"/>
      <c r="AW138" s="4"/>
      <c r="AX138" s="4"/>
      <c r="AY138" s="4"/>
      <c r="AZ138" s="4"/>
      <c r="BA138" s="4"/>
      <c r="BB138" s="3"/>
      <c r="BC138" s="3"/>
    </row>
    <row r="139" spans="1:55" s="5" customFormat="1">
      <c r="A139"/>
      <c r="B139"/>
      <c r="C139" s="44"/>
      <c r="D139" s="44"/>
      <c r="E139" s="44"/>
      <c r="F139" s="44"/>
      <c r="G139" s="44"/>
      <c r="H139" s="44"/>
      <c r="I139" s="44"/>
      <c r="J139" s="44"/>
      <c r="K139" s="44"/>
      <c r="L139" s="44"/>
      <c r="M139" t="str">
        <f t="shared" ref="M139:M202" si="21">IF(H139="id",""""&amp;"//*[@id=\"&amp;"""",""""&amp;"//*[@class=\"&amp;"""")</f>
        <v>"//*[@class=\"</v>
      </c>
      <c r="N139" t="s">
        <v>31</v>
      </c>
      <c r="O139" s="4" t="str">
        <f t="shared" si="18"/>
        <v>click</v>
      </c>
      <c r="P139" t="str">
        <f t="shared" si="19"/>
        <v>();</v>
      </c>
      <c r="Q139" t="str">
        <f t="shared" si="20"/>
        <v/>
      </c>
      <c r="R139" t="str">
        <f t="shared" ref="R139:R202" si="22">IF(C139="Y",""""&amp;SUBSTITUTE(E139," ","")&amp;""""&amp;":"&amp;Q139&amp;"","")</f>
        <v/>
      </c>
      <c r="S139" s="1" t="str">
        <f t="shared" ref="S139:S202" si="23">IF(C139="Y",IF(D139&lt;&gt;"mat-select",IF(D139="End","",IF(O139="innerText",I139&amp;"="&amp;IF(C139="Y",IF(J139&lt;&gt;"Y",$S$8&amp;$R$9&amp;"."&amp;E139&amp;")."&amp;IF(OR(O139="click",O139="innerText"),O139&amp;"();",O139&amp;"("&amp;$Q$8&amp;"."&amp;E139&amp;");"),$S$7&amp;$R$9&amp;"."&amp;SUBSTITUTE(E139," ","")&amp;")."&amp;IF(O139="click",O139&amp;"();",O139&amp;"("&amp;"'"&amp;K139&amp;"'"&amp;");")),""),IF(C139="Y",IF(J139&lt;&gt;"Y",$S$8&amp;$R$9&amp;"."&amp;SUBSTITUTE(E139," ","")&amp;")."&amp;IF(OR(O139="click",O139="innerText"),O139&amp;"();",O139&amp;"("&amp;$Q$8&amp;"."&amp;SUBSTITUTE(E139," ","")&amp;");"),$S$7&amp;$R$9&amp;"."&amp;SUBSTITUTE(E139," ","")&amp;")."&amp;IF(O139="click",O139&amp;"();",O139&amp;"("&amp;"'"&amp;K139&amp;"'"&amp;");")),""))),"let form"&amp;Z139&amp;": String;"&amp;"for (let i = 1; i &lt; 30; i++) {"&amp;$S$8&amp;$R$9&amp;"."&amp;SUBSTITUTE(E139," ","")&amp;").click();"&amp;$CE$4&amp; "form"&amp;Z139&amp;"="&amp; $S$8&amp;$R$9&amp;"."&amp;SUBSTITUTE(E139," ","")&amp;").innerText();" &amp;"if ("&amp;"form"&amp;Z139&amp;"=="&amp; "Data[index]."&amp;SUBSTITUTE(E139," ","") &amp;"){"&amp;$CE$7),"")</f>
        <v/>
      </c>
      <c r="T139"/>
      <c r="U139"/>
      <c r="V139"/>
      <c r="W139"/>
      <c r="X139"/>
      <c r="Y139"/>
      <c r="Z139">
        <v>130</v>
      </c>
      <c r="AA139"/>
      <c r="AB139"/>
      <c r="AC139" s="6"/>
      <c r="AD139" s="6"/>
      <c r="AE139" s="6"/>
      <c r="AF139" s="6"/>
      <c r="AG139" s="4"/>
      <c r="AH139" s="4"/>
      <c r="AI139" s="4"/>
      <c r="AJ139" s="4"/>
      <c r="AK139" s="4"/>
      <c r="AL139" s="4"/>
      <c r="AM139" s="4"/>
      <c r="AN139" s="4"/>
      <c r="AO139" s="4"/>
      <c r="AP139" s="4"/>
      <c r="AQ139" s="4"/>
      <c r="AR139" s="4"/>
      <c r="AS139" s="4"/>
      <c r="AT139" s="4"/>
      <c r="AU139" s="4"/>
      <c r="AV139" s="4"/>
      <c r="AW139" s="4"/>
      <c r="AX139" s="4"/>
      <c r="AY139" s="4"/>
      <c r="AZ139" s="4"/>
      <c r="BA139" s="4"/>
      <c r="BB139" s="3"/>
      <c r="BC139" s="3"/>
    </row>
    <row r="140" spans="1:55" s="5" customFormat="1">
      <c r="A140"/>
      <c r="B140"/>
      <c r="C140" s="44"/>
      <c r="D140" s="44"/>
      <c r="E140" s="44"/>
      <c r="F140" s="44"/>
      <c r="G140" s="44"/>
      <c r="H140" s="44"/>
      <c r="I140" s="44"/>
      <c r="J140" s="44"/>
      <c r="K140" s="44"/>
      <c r="L140" s="44"/>
      <c r="M140" t="str">
        <f t="shared" si="21"/>
        <v>"//*[@class=\"</v>
      </c>
      <c r="N140" t="s">
        <v>31</v>
      </c>
      <c r="O140" s="4" t="str">
        <f t="shared" si="18"/>
        <v>click</v>
      </c>
      <c r="P140" t="str">
        <f t="shared" si="19"/>
        <v>();</v>
      </c>
      <c r="Q140" t="str">
        <f t="shared" si="20"/>
        <v/>
      </c>
      <c r="R140" t="str">
        <f t="shared" si="22"/>
        <v/>
      </c>
      <c r="S140" s="1" t="str">
        <f t="shared" si="23"/>
        <v/>
      </c>
      <c r="T140"/>
      <c r="U140"/>
      <c r="V140"/>
      <c r="W140"/>
      <c r="X140"/>
      <c r="Y140"/>
      <c r="Z140">
        <v>131</v>
      </c>
      <c r="AA140"/>
      <c r="AB140"/>
      <c r="AC140" s="6"/>
      <c r="AD140" s="6"/>
      <c r="AE140" s="6"/>
      <c r="AF140" s="6"/>
      <c r="AG140" s="4"/>
      <c r="AH140" s="4"/>
      <c r="AI140" s="4"/>
      <c r="AJ140" s="4"/>
      <c r="AK140" s="4"/>
      <c r="AL140" s="4"/>
      <c r="AM140" s="4"/>
      <c r="AN140" s="4"/>
      <c r="AO140" s="4"/>
      <c r="AP140" s="4"/>
      <c r="AQ140" s="4"/>
      <c r="AR140" s="4"/>
      <c r="AS140" s="4"/>
      <c r="AT140" s="4"/>
      <c r="AU140" s="4"/>
      <c r="AV140" s="4"/>
      <c r="AW140" s="4"/>
      <c r="AX140" s="4"/>
      <c r="AY140" s="4"/>
      <c r="AZ140" s="4"/>
      <c r="BA140" s="4"/>
      <c r="BB140" s="3"/>
      <c r="BC140" s="3"/>
    </row>
    <row r="141" spans="1:55" s="5" customFormat="1">
      <c r="A141"/>
      <c r="B141"/>
      <c r="C141" s="44"/>
      <c r="D141" s="44"/>
      <c r="E141" s="44"/>
      <c r="F141" s="44"/>
      <c r="G141" s="44"/>
      <c r="H141" s="44"/>
      <c r="I141" s="44"/>
      <c r="J141" s="44"/>
      <c r="K141" s="44"/>
      <c r="L141" s="44"/>
      <c r="M141" t="str">
        <f t="shared" si="21"/>
        <v>"//*[@class=\"</v>
      </c>
      <c r="N141" t="s">
        <v>31</v>
      </c>
      <c r="O141" s="4" t="str">
        <f t="shared" si="18"/>
        <v>click</v>
      </c>
      <c r="P141" t="str">
        <f t="shared" si="19"/>
        <v>();</v>
      </c>
      <c r="Q141" t="str">
        <f t="shared" si="20"/>
        <v/>
      </c>
      <c r="R141" t="str">
        <f t="shared" si="22"/>
        <v/>
      </c>
      <c r="S141" s="1" t="str">
        <f t="shared" si="23"/>
        <v/>
      </c>
      <c r="T141"/>
      <c r="U141"/>
      <c r="V141"/>
      <c r="W141"/>
      <c r="X141"/>
      <c r="Y141"/>
      <c r="Z141">
        <v>132</v>
      </c>
      <c r="AA141"/>
      <c r="AB141"/>
      <c r="AC141" s="6"/>
      <c r="AD141" s="6"/>
      <c r="AE141" s="6"/>
      <c r="AF141" s="6"/>
      <c r="AG141" s="4"/>
      <c r="AH141" s="4"/>
      <c r="AI141" s="4"/>
      <c r="AJ141" s="4"/>
      <c r="AK141" s="4"/>
      <c r="AL141" s="4"/>
      <c r="AM141" s="4"/>
      <c r="AN141" s="4"/>
      <c r="AO141" s="4"/>
      <c r="AP141" s="4"/>
      <c r="AQ141" s="4"/>
      <c r="AR141" s="4"/>
      <c r="AS141" s="4"/>
      <c r="AT141" s="4"/>
      <c r="AU141" s="4"/>
      <c r="AV141" s="4"/>
      <c r="AW141" s="4"/>
      <c r="AX141" s="4"/>
      <c r="AY141" s="4"/>
      <c r="AZ141" s="4"/>
      <c r="BA141" s="4"/>
      <c r="BB141" s="3"/>
      <c r="BC141" s="3"/>
    </row>
    <row r="142" spans="1:55" s="5" customFormat="1">
      <c r="A142"/>
      <c r="B142"/>
      <c r="C142" s="44"/>
      <c r="D142" s="44"/>
      <c r="E142" s="44"/>
      <c r="F142" s="44"/>
      <c r="G142" s="44"/>
      <c r="H142" s="44"/>
      <c r="I142" s="44"/>
      <c r="J142" s="44"/>
      <c r="K142" s="44"/>
      <c r="L142" s="44"/>
      <c r="M142" t="str">
        <f t="shared" si="21"/>
        <v>"//*[@class=\"</v>
      </c>
      <c r="N142" t="s">
        <v>31</v>
      </c>
      <c r="O142" s="4" t="str">
        <f t="shared" ref="O142:O205" si="24">IF(D142="input","fill",IF(I142&lt;&gt;"","innerText",IF(J142="Y",$T$7,"click")))</f>
        <v>click</v>
      </c>
      <c r="P142" t="str">
        <f t="shared" ref="P142:P205" si="25">IF(OR(O142="Click",O142="innerText"),"();","("&amp;""""&amp;K142&amp;""""&amp;");")</f>
        <v>();</v>
      </c>
      <c r="Q142" t="str">
        <f t="shared" ref="Q142:Q205" si="26">IF(C142="Y",IF(H142&lt;&gt;"Xpath",M142&amp;F142&amp;N142,""""&amp;F142&amp;""""),"")</f>
        <v/>
      </c>
      <c r="R142" t="str">
        <f t="shared" si="22"/>
        <v/>
      </c>
      <c r="S142" s="1" t="str">
        <f t="shared" si="23"/>
        <v/>
      </c>
      <c r="T142"/>
      <c r="U142"/>
      <c r="V142"/>
      <c r="W142"/>
      <c r="X142"/>
      <c r="Y142"/>
      <c r="Z142">
        <v>133</v>
      </c>
      <c r="AA142"/>
      <c r="AB142"/>
      <c r="AC142" s="6"/>
      <c r="AD142" s="6"/>
      <c r="AE142" s="6"/>
      <c r="AF142" s="6"/>
      <c r="AG142" s="4"/>
      <c r="AH142" s="4"/>
      <c r="AI142" s="4"/>
      <c r="AJ142" s="4"/>
      <c r="AK142" s="4"/>
      <c r="AL142" s="4"/>
      <c r="AM142" s="4"/>
      <c r="AN142" s="4"/>
      <c r="AO142" s="4"/>
      <c r="AP142" s="4"/>
      <c r="AQ142" s="4"/>
      <c r="AR142" s="4"/>
      <c r="AS142" s="4"/>
      <c r="AT142" s="4"/>
      <c r="AU142" s="4"/>
      <c r="AV142" s="4"/>
      <c r="AW142" s="4"/>
      <c r="AX142" s="4"/>
      <c r="AY142" s="4"/>
      <c r="AZ142" s="4"/>
      <c r="BA142" s="4"/>
      <c r="BB142" s="3"/>
      <c r="BC142" s="3"/>
    </row>
    <row r="143" spans="1:55" s="5" customFormat="1">
      <c r="A143"/>
      <c r="B143"/>
      <c r="C143" s="44"/>
      <c r="D143" s="44"/>
      <c r="E143" s="44"/>
      <c r="F143" s="44"/>
      <c r="G143" s="44"/>
      <c r="H143" s="44"/>
      <c r="I143" s="44"/>
      <c r="J143" s="44"/>
      <c r="K143" s="44"/>
      <c r="L143" s="44"/>
      <c r="M143" t="str">
        <f t="shared" si="21"/>
        <v>"//*[@class=\"</v>
      </c>
      <c r="N143" t="s">
        <v>31</v>
      </c>
      <c r="O143" s="4" t="str">
        <f t="shared" si="24"/>
        <v>click</v>
      </c>
      <c r="P143" t="str">
        <f t="shared" si="25"/>
        <v>();</v>
      </c>
      <c r="Q143" t="str">
        <f t="shared" si="26"/>
        <v/>
      </c>
      <c r="R143" t="str">
        <f t="shared" si="22"/>
        <v/>
      </c>
      <c r="S143" s="1" t="str">
        <f t="shared" si="23"/>
        <v/>
      </c>
      <c r="T143"/>
      <c r="U143"/>
      <c r="V143"/>
      <c r="W143"/>
      <c r="X143"/>
      <c r="Y143"/>
      <c r="Z143">
        <v>134</v>
      </c>
      <c r="AA143"/>
      <c r="AB143"/>
      <c r="AC143" s="6"/>
      <c r="AD143" s="6"/>
      <c r="AE143" s="6"/>
      <c r="AF143" s="6"/>
      <c r="AG143" s="4"/>
      <c r="AH143" s="4"/>
      <c r="AI143" s="4"/>
      <c r="AJ143" s="4"/>
      <c r="AK143" s="4"/>
      <c r="AL143" s="4"/>
      <c r="AM143" s="4"/>
      <c r="AN143" s="4"/>
      <c r="AO143" s="4"/>
      <c r="AP143" s="4"/>
      <c r="AQ143" s="4"/>
      <c r="AR143" s="4"/>
      <c r="AS143" s="4"/>
      <c r="AT143" s="4"/>
      <c r="AU143" s="4"/>
      <c r="AV143" s="4"/>
      <c r="AW143" s="4"/>
      <c r="AX143" s="4"/>
      <c r="AY143" s="4"/>
      <c r="AZ143" s="4"/>
      <c r="BA143" s="4"/>
      <c r="BB143" s="3"/>
      <c r="BC143" s="3"/>
    </row>
    <row r="144" spans="1:55" s="5" customFormat="1">
      <c r="A144"/>
      <c r="B144"/>
      <c r="C144" s="44"/>
      <c r="D144" s="44"/>
      <c r="E144" s="44"/>
      <c r="F144" s="44"/>
      <c r="G144" s="44"/>
      <c r="H144" s="44"/>
      <c r="I144" s="44"/>
      <c r="J144" s="44"/>
      <c r="K144" s="44"/>
      <c r="L144" s="44"/>
      <c r="M144" t="str">
        <f t="shared" si="21"/>
        <v>"//*[@class=\"</v>
      </c>
      <c r="N144" t="s">
        <v>31</v>
      </c>
      <c r="O144" s="4" t="str">
        <f t="shared" si="24"/>
        <v>click</v>
      </c>
      <c r="P144" t="str">
        <f t="shared" si="25"/>
        <v>();</v>
      </c>
      <c r="Q144" t="str">
        <f t="shared" si="26"/>
        <v/>
      </c>
      <c r="R144" t="str">
        <f t="shared" si="22"/>
        <v/>
      </c>
      <c r="S144" s="1" t="str">
        <f t="shared" si="23"/>
        <v/>
      </c>
      <c r="T144"/>
      <c r="U144"/>
      <c r="V144"/>
      <c r="W144"/>
      <c r="X144"/>
      <c r="Y144"/>
      <c r="Z144">
        <v>135</v>
      </c>
      <c r="AA144"/>
      <c r="AB144"/>
      <c r="AC144" s="6"/>
      <c r="AD144" s="6"/>
      <c r="AE144" s="6"/>
      <c r="AF144" s="6"/>
      <c r="AG144" s="4"/>
      <c r="AH144" s="4"/>
      <c r="AI144" s="4"/>
      <c r="AJ144" s="4"/>
      <c r="AK144" s="4"/>
      <c r="AL144" s="4"/>
      <c r="AM144" s="4"/>
      <c r="AN144" s="4"/>
      <c r="AO144" s="4"/>
      <c r="AP144" s="4"/>
      <c r="AQ144" s="4"/>
      <c r="AR144" s="4"/>
      <c r="AS144" s="4"/>
      <c r="AT144" s="4"/>
      <c r="AU144" s="4"/>
      <c r="AV144" s="4"/>
      <c r="AW144" s="4"/>
      <c r="AX144" s="4"/>
      <c r="AY144" s="4"/>
      <c r="AZ144" s="4"/>
      <c r="BA144" s="4"/>
      <c r="BB144" s="3"/>
      <c r="BC144" s="3"/>
    </row>
    <row r="145" spans="1:113" s="5" customFormat="1">
      <c r="A145"/>
      <c r="B145"/>
      <c r="C145" s="44"/>
      <c r="D145" s="44"/>
      <c r="E145" s="44"/>
      <c r="F145" s="44"/>
      <c r="G145" s="44"/>
      <c r="H145" s="44"/>
      <c r="I145" s="44"/>
      <c r="J145" s="44"/>
      <c r="K145" s="44"/>
      <c r="L145" s="44"/>
      <c r="M145" t="str">
        <f t="shared" si="21"/>
        <v>"//*[@class=\"</v>
      </c>
      <c r="N145" t="s">
        <v>31</v>
      </c>
      <c r="O145" s="4" t="str">
        <f t="shared" si="24"/>
        <v>click</v>
      </c>
      <c r="P145" t="str">
        <f t="shared" si="25"/>
        <v>();</v>
      </c>
      <c r="Q145" t="str">
        <f t="shared" si="26"/>
        <v/>
      </c>
      <c r="R145" t="str">
        <f t="shared" si="22"/>
        <v/>
      </c>
      <c r="S145" s="1" t="str">
        <f t="shared" si="23"/>
        <v/>
      </c>
      <c r="T145"/>
      <c r="U145"/>
      <c r="V145"/>
      <c r="W145"/>
      <c r="X145"/>
      <c r="Y145"/>
      <c r="Z145">
        <v>136</v>
      </c>
      <c r="AA145"/>
      <c r="AB145"/>
      <c r="AC145" s="6"/>
      <c r="AD145" s="6"/>
      <c r="AE145" s="6"/>
      <c r="AF145" s="6"/>
      <c r="AG145" s="4"/>
      <c r="AH145" s="4"/>
      <c r="AI145" s="4"/>
      <c r="AJ145" s="4"/>
      <c r="AK145" s="4"/>
      <c r="AL145" s="4"/>
      <c r="AM145" s="4"/>
      <c r="AN145" s="4"/>
      <c r="AO145" s="4"/>
      <c r="AP145" s="4"/>
      <c r="AQ145" s="4"/>
      <c r="AR145" s="4"/>
      <c r="AS145" s="4"/>
      <c r="AT145" s="4"/>
      <c r="AU145" s="4"/>
      <c r="AV145" s="4"/>
      <c r="AW145" s="4"/>
      <c r="AX145" s="4"/>
      <c r="AY145" s="4"/>
      <c r="AZ145" s="4"/>
      <c r="BA145" s="4"/>
      <c r="BB145" s="3"/>
      <c r="BC145" s="3"/>
    </row>
    <row r="146" spans="1:113" s="5" customFormat="1">
      <c r="A146"/>
      <c r="B146"/>
      <c r="C146" s="44"/>
      <c r="D146" s="44"/>
      <c r="E146" s="44"/>
      <c r="F146" s="44"/>
      <c r="G146" s="44"/>
      <c r="H146" s="44"/>
      <c r="I146" s="44"/>
      <c r="J146" s="44"/>
      <c r="K146" s="44"/>
      <c r="L146" s="44"/>
      <c r="M146" t="str">
        <f t="shared" si="21"/>
        <v>"//*[@class=\"</v>
      </c>
      <c r="N146" t="s">
        <v>31</v>
      </c>
      <c r="O146" s="4" t="str">
        <f t="shared" si="24"/>
        <v>click</v>
      </c>
      <c r="P146" t="str">
        <f t="shared" si="25"/>
        <v>();</v>
      </c>
      <c r="Q146" t="str">
        <f t="shared" si="26"/>
        <v/>
      </c>
      <c r="R146" t="str">
        <f t="shared" si="22"/>
        <v/>
      </c>
      <c r="S146" s="1" t="str">
        <f t="shared" si="23"/>
        <v/>
      </c>
      <c r="T146"/>
      <c r="U146"/>
      <c r="V146"/>
      <c r="W146"/>
      <c r="X146"/>
      <c r="Y146"/>
      <c r="Z146">
        <v>137</v>
      </c>
      <c r="AA146"/>
      <c r="AB146"/>
      <c r="AC146" s="6"/>
      <c r="AD146" s="6"/>
      <c r="AE146" s="6"/>
      <c r="AF146" s="6"/>
      <c r="AG146" s="4"/>
      <c r="AH146" s="4"/>
      <c r="AI146" s="4"/>
      <c r="AJ146" s="4"/>
      <c r="AK146" s="4"/>
      <c r="AL146" s="4"/>
      <c r="AM146" s="4"/>
      <c r="AN146" s="4"/>
      <c r="AO146" s="4"/>
      <c r="AP146" s="4"/>
      <c r="AQ146" s="4"/>
      <c r="AR146" s="4"/>
      <c r="AS146" s="4"/>
      <c r="AT146" s="4"/>
      <c r="AU146" s="4"/>
      <c r="AV146" s="4"/>
      <c r="AW146" s="4"/>
      <c r="AX146" s="4"/>
      <c r="AY146" s="4"/>
      <c r="AZ146" s="4"/>
      <c r="BA146" s="4"/>
      <c r="BB146" s="3"/>
      <c r="BC146" s="3"/>
    </row>
    <row r="147" spans="1:113" s="5" customFormat="1">
      <c r="A147"/>
      <c r="B147"/>
      <c r="C147" s="44"/>
      <c r="D147" s="44"/>
      <c r="E147" s="44"/>
      <c r="F147" s="44"/>
      <c r="G147" s="44"/>
      <c r="H147" s="44"/>
      <c r="I147" s="44"/>
      <c r="J147" s="44"/>
      <c r="K147" s="44"/>
      <c r="L147" s="44"/>
      <c r="M147" t="str">
        <f t="shared" si="21"/>
        <v>"//*[@class=\"</v>
      </c>
      <c r="N147" t="s">
        <v>31</v>
      </c>
      <c r="O147" s="4" t="str">
        <f t="shared" si="24"/>
        <v>click</v>
      </c>
      <c r="P147" t="str">
        <f t="shared" si="25"/>
        <v>();</v>
      </c>
      <c r="Q147" t="str">
        <f t="shared" si="26"/>
        <v/>
      </c>
      <c r="R147" t="str">
        <f t="shared" si="22"/>
        <v/>
      </c>
      <c r="S147" s="1" t="str">
        <f t="shared" si="23"/>
        <v/>
      </c>
      <c r="T147"/>
      <c r="U147"/>
      <c r="V147"/>
      <c r="W147"/>
      <c r="X147"/>
      <c r="Y147"/>
      <c r="Z147">
        <v>138</v>
      </c>
      <c r="AA147"/>
      <c r="AB147"/>
      <c r="AC147" s="6"/>
      <c r="AD147" s="6"/>
      <c r="AE147" s="6"/>
      <c r="AF147" s="6"/>
      <c r="AG147" s="4"/>
      <c r="AH147" s="4"/>
      <c r="AI147" s="4"/>
      <c r="AJ147" s="4"/>
      <c r="AK147" s="4"/>
      <c r="AL147" s="4"/>
      <c r="AM147" s="4"/>
      <c r="AN147" s="4"/>
      <c r="AO147" s="4"/>
      <c r="AP147" s="4"/>
      <c r="AQ147" s="4"/>
      <c r="AR147" s="4"/>
      <c r="AS147" s="4"/>
      <c r="AT147" s="4"/>
      <c r="AU147" s="4"/>
      <c r="AV147" s="4"/>
      <c r="AW147" s="4"/>
      <c r="AX147" s="4"/>
      <c r="AY147" s="4"/>
      <c r="AZ147" s="4"/>
      <c r="BA147" s="4"/>
      <c r="BB147" s="3"/>
      <c r="BC147" s="3"/>
    </row>
    <row r="148" spans="1:113" s="5" customFormat="1">
      <c r="A148"/>
      <c r="B148"/>
      <c r="C148" s="44"/>
      <c r="D148" s="44"/>
      <c r="E148" s="44"/>
      <c r="F148" s="44"/>
      <c r="G148" s="44"/>
      <c r="H148" s="44"/>
      <c r="I148" s="44"/>
      <c r="J148" s="44"/>
      <c r="K148" s="44"/>
      <c r="L148" s="44"/>
      <c r="M148" t="str">
        <f t="shared" si="21"/>
        <v>"//*[@class=\"</v>
      </c>
      <c r="N148" t="s">
        <v>31</v>
      </c>
      <c r="O148" s="4" t="str">
        <f t="shared" si="24"/>
        <v>click</v>
      </c>
      <c r="P148" t="str">
        <f t="shared" si="25"/>
        <v>();</v>
      </c>
      <c r="Q148" t="str">
        <f t="shared" si="26"/>
        <v/>
      </c>
      <c r="R148" t="str">
        <f t="shared" si="22"/>
        <v/>
      </c>
      <c r="S148" s="1" t="str">
        <f t="shared" si="23"/>
        <v/>
      </c>
      <c r="T148"/>
      <c r="U148"/>
      <c r="V148"/>
      <c r="W148"/>
      <c r="X148"/>
      <c r="Y148"/>
      <c r="Z148">
        <v>139</v>
      </c>
      <c r="AA148"/>
      <c r="AB148"/>
      <c r="AC148" s="6"/>
      <c r="AD148" s="6"/>
      <c r="AE148" s="6"/>
      <c r="AF148" s="6"/>
      <c r="AG148" s="4"/>
      <c r="AH148" s="4"/>
      <c r="AI148" s="4"/>
      <c r="AJ148" s="4"/>
      <c r="AK148" s="4"/>
      <c r="AL148" s="4"/>
      <c r="AM148" s="4"/>
      <c r="AN148" s="4"/>
      <c r="AO148" s="4"/>
      <c r="AP148" s="4"/>
      <c r="AQ148" s="4"/>
      <c r="AR148" s="4"/>
      <c r="AS148" s="4"/>
      <c r="AT148" s="4"/>
      <c r="AU148" s="4"/>
      <c r="AV148" s="4"/>
      <c r="AW148" s="4"/>
      <c r="AX148" s="4"/>
      <c r="AY148" s="4"/>
      <c r="AZ148" s="4"/>
      <c r="BA148" s="4"/>
      <c r="BB148" s="3"/>
      <c r="BC148" s="3"/>
    </row>
    <row r="149" spans="1:113" s="5" customFormat="1">
      <c r="A149"/>
      <c r="B149"/>
      <c r="C149" s="44"/>
      <c r="D149" s="44"/>
      <c r="E149" s="44"/>
      <c r="F149" s="44"/>
      <c r="G149" s="44"/>
      <c r="H149" s="44"/>
      <c r="I149" s="44"/>
      <c r="J149" s="44"/>
      <c r="K149" s="44"/>
      <c r="L149" s="44"/>
      <c r="M149" t="str">
        <f t="shared" si="21"/>
        <v>"//*[@class=\"</v>
      </c>
      <c r="N149" t="s">
        <v>31</v>
      </c>
      <c r="O149" s="4" t="str">
        <f t="shared" si="24"/>
        <v>click</v>
      </c>
      <c r="P149" t="str">
        <f t="shared" si="25"/>
        <v>();</v>
      </c>
      <c r="Q149" t="str">
        <f t="shared" si="26"/>
        <v/>
      </c>
      <c r="R149" t="str">
        <f t="shared" si="22"/>
        <v/>
      </c>
      <c r="S149" s="1" t="str">
        <f t="shared" si="23"/>
        <v/>
      </c>
      <c r="T149"/>
      <c r="U149"/>
      <c r="V149"/>
      <c r="W149"/>
      <c r="X149"/>
      <c r="Y149"/>
      <c r="Z149">
        <v>140</v>
      </c>
      <c r="AA149"/>
      <c r="AB149"/>
      <c r="AC149" s="6"/>
      <c r="AD149" s="6"/>
      <c r="AE149" s="6"/>
      <c r="AF149" s="6"/>
      <c r="AG149" s="4"/>
      <c r="AH149" s="4"/>
      <c r="AI149" s="4"/>
      <c r="AJ149" s="4"/>
      <c r="AK149" s="4"/>
      <c r="AL149" s="4"/>
      <c r="AM149" s="4"/>
      <c r="AN149" s="4"/>
      <c r="AO149" s="4"/>
      <c r="AP149" s="4"/>
      <c r="AQ149" s="4"/>
      <c r="AR149" s="4"/>
      <c r="AS149" s="4"/>
      <c r="AT149" s="4"/>
      <c r="AU149" s="4"/>
      <c r="AV149" s="4"/>
      <c r="AW149" s="4"/>
      <c r="AX149" s="4"/>
      <c r="AY149" s="4"/>
      <c r="AZ149" s="4"/>
      <c r="BA149" s="4"/>
      <c r="BB149" s="3"/>
      <c r="BC149" s="3"/>
    </row>
    <row r="150" spans="1:113" s="5" customFormat="1">
      <c r="A150"/>
      <c r="B150"/>
      <c r="C150" s="44"/>
      <c r="D150" s="44"/>
      <c r="E150" s="44"/>
      <c r="F150" s="44"/>
      <c r="G150" s="44"/>
      <c r="H150" s="44"/>
      <c r="I150" s="44"/>
      <c r="J150" s="44"/>
      <c r="K150" s="44"/>
      <c r="L150" s="44"/>
      <c r="M150" t="str">
        <f t="shared" si="21"/>
        <v>"//*[@class=\"</v>
      </c>
      <c r="N150" t="s">
        <v>31</v>
      </c>
      <c r="O150" s="4" t="str">
        <f t="shared" si="24"/>
        <v>click</v>
      </c>
      <c r="P150" t="str">
        <f t="shared" si="25"/>
        <v>();</v>
      </c>
      <c r="Q150" t="str">
        <f t="shared" si="26"/>
        <v/>
      </c>
      <c r="R150" t="str">
        <f t="shared" si="22"/>
        <v/>
      </c>
      <c r="S150" s="1" t="str">
        <f t="shared" si="23"/>
        <v/>
      </c>
      <c r="T150"/>
      <c r="U150"/>
      <c r="V150"/>
      <c r="W150"/>
      <c r="X150"/>
      <c r="Y150"/>
      <c r="Z150">
        <v>141</v>
      </c>
      <c r="AA150"/>
      <c r="AB150"/>
      <c r="AC150" s="6"/>
      <c r="AD150" s="6"/>
      <c r="AE150" s="6"/>
      <c r="AF150" s="6"/>
      <c r="AG150" s="4"/>
      <c r="AH150" s="4"/>
      <c r="AI150" s="4"/>
      <c r="AJ150" s="4"/>
      <c r="AK150" s="4"/>
      <c r="AL150" s="4"/>
      <c r="AM150" s="4"/>
      <c r="AN150" s="4"/>
      <c r="AO150" s="4"/>
      <c r="AP150" s="4"/>
      <c r="AQ150" s="4"/>
      <c r="AR150" s="4"/>
      <c r="AS150" s="4"/>
      <c r="AT150" s="4"/>
      <c r="AU150" s="4"/>
      <c r="AV150" s="4"/>
      <c r="AW150" s="4"/>
      <c r="AX150" s="4"/>
      <c r="AY150" s="4"/>
      <c r="AZ150" s="4"/>
      <c r="BA150" s="4"/>
      <c r="BB150" s="3"/>
      <c r="BC150" s="3"/>
    </row>
    <row r="151" spans="1:113" s="5" customFormat="1">
      <c r="A151"/>
      <c r="B151"/>
      <c r="C151" s="44"/>
      <c r="D151" s="44"/>
      <c r="E151" s="44"/>
      <c r="F151" s="44"/>
      <c r="G151" s="44"/>
      <c r="H151" s="44"/>
      <c r="I151" s="44"/>
      <c r="J151" s="44"/>
      <c r="K151" s="44"/>
      <c r="L151" s="44"/>
      <c r="M151" t="str">
        <f t="shared" si="21"/>
        <v>"//*[@class=\"</v>
      </c>
      <c r="N151" t="s">
        <v>31</v>
      </c>
      <c r="O151" s="4" t="str">
        <f t="shared" si="24"/>
        <v>click</v>
      </c>
      <c r="P151" t="str">
        <f t="shared" si="25"/>
        <v>();</v>
      </c>
      <c r="Q151" t="str">
        <f t="shared" si="26"/>
        <v/>
      </c>
      <c r="R151" t="str">
        <f t="shared" si="22"/>
        <v/>
      </c>
      <c r="S151" s="1" t="str">
        <f t="shared" si="23"/>
        <v/>
      </c>
      <c r="T151"/>
      <c r="U151"/>
      <c r="V151"/>
      <c r="W151"/>
      <c r="X151"/>
      <c r="Y151"/>
      <c r="Z151">
        <v>142</v>
      </c>
      <c r="AA151"/>
      <c r="AB151"/>
      <c r="AC151" s="6"/>
      <c r="AD151" s="6"/>
      <c r="AE151" s="6"/>
      <c r="AF151" s="6"/>
      <c r="AG151" s="4"/>
      <c r="AH151" s="4"/>
      <c r="AI151" s="4"/>
      <c r="AJ151" s="4"/>
      <c r="AK151" s="4"/>
      <c r="AL151" s="4"/>
      <c r="AM151" s="4"/>
      <c r="AN151" s="4"/>
      <c r="AO151" s="4"/>
      <c r="AP151" s="4"/>
      <c r="AQ151" s="4"/>
      <c r="AR151" s="4"/>
      <c r="AS151" s="4"/>
      <c r="AT151" s="4"/>
      <c r="AU151" s="4"/>
      <c r="AV151" s="4"/>
      <c r="AW151" s="4"/>
      <c r="AX151" s="4"/>
      <c r="AY151" s="4"/>
      <c r="AZ151" s="4"/>
      <c r="BA151" s="4"/>
      <c r="BB151" s="3"/>
      <c r="BC151" s="3"/>
    </row>
    <row r="152" spans="1:113" s="5" customFormat="1">
      <c r="A152"/>
      <c r="B152"/>
      <c r="C152" s="44"/>
      <c r="D152" s="44"/>
      <c r="E152" s="44"/>
      <c r="F152" s="44"/>
      <c r="G152" s="44"/>
      <c r="H152" s="44"/>
      <c r="I152" s="44"/>
      <c r="J152" s="44"/>
      <c r="K152" s="44"/>
      <c r="L152" s="44"/>
      <c r="M152" t="str">
        <f t="shared" si="21"/>
        <v>"//*[@class=\"</v>
      </c>
      <c r="N152" t="s">
        <v>31</v>
      </c>
      <c r="O152" s="4" t="str">
        <f t="shared" si="24"/>
        <v>click</v>
      </c>
      <c r="P152" t="str">
        <f t="shared" si="25"/>
        <v>();</v>
      </c>
      <c r="Q152" t="str">
        <f t="shared" si="26"/>
        <v/>
      </c>
      <c r="R152" t="str">
        <f t="shared" si="22"/>
        <v/>
      </c>
      <c r="S152" s="1" t="str">
        <f t="shared" si="23"/>
        <v/>
      </c>
      <c r="T152"/>
      <c r="U152"/>
      <c r="V152"/>
      <c r="W152"/>
      <c r="X152"/>
      <c r="Y152"/>
      <c r="Z152">
        <v>143</v>
      </c>
      <c r="AA152"/>
      <c r="AB152"/>
      <c r="AC152" s="6"/>
      <c r="AD152" s="6"/>
      <c r="AE152" s="6"/>
      <c r="AF152" s="6"/>
      <c r="AG152" s="4"/>
      <c r="AH152" s="4"/>
      <c r="AI152" s="4"/>
      <c r="AJ152" s="4"/>
      <c r="AK152" s="4"/>
      <c r="AL152" s="4"/>
      <c r="AM152" s="4"/>
      <c r="AN152" s="4"/>
      <c r="AO152" s="4"/>
      <c r="AP152" s="4"/>
      <c r="AQ152" s="4"/>
      <c r="AR152" s="4"/>
      <c r="AS152" s="4"/>
      <c r="AT152" s="4"/>
      <c r="AU152" s="4"/>
      <c r="AV152" s="4"/>
      <c r="AW152" s="4"/>
      <c r="AX152" s="4"/>
      <c r="AY152" s="4"/>
      <c r="AZ152" s="4"/>
      <c r="BA152" s="4"/>
      <c r="BB152" s="3"/>
      <c r="BC152" s="3"/>
    </row>
    <row r="153" spans="1:113" s="5" customFormat="1">
      <c r="A153"/>
      <c r="B153"/>
      <c r="C153" s="44"/>
      <c r="D153" s="44"/>
      <c r="E153" s="44"/>
      <c r="F153" s="44"/>
      <c r="G153" s="44"/>
      <c r="H153" s="44"/>
      <c r="I153" s="44"/>
      <c r="J153" s="44"/>
      <c r="K153" s="44"/>
      <c r="L153" s="44"/>
      <c r="M153" t="str">
        <f t="shared" si="21"/>
        <v>"//*[@class=\"</v>
      </c>
      <c r="N153" t="s">
        <v>31</v>
      </c>
      <c r="O153" s="4" t="str">
        <f t="shared" si="24"/>
        <v>click</v>
      </c>
      <c r="P153" t="str">
        <f t="shared" si="25"/>
        <v>();</v>
      </c>
      <c r="Q153" t="str">
        <f t="shared" si="26"/>
        <v/>
      </c>
      <c r="R153" t="str">
        <f t="shared" si="22"/>
        <v/>
      </c>
      <c r="S153" s="1" t="str">
        <f t="shared" si="23"/>
        <v/>
      </c>
      <c r="T153"/>
      <c r="U153"/>
      <c r="V153"/>
      <c r="W153"/>
      <c r="X153"/>
      <c r="Y153"/>
      <c r="Z153">
        <v>144</v>
      </c>
      <c r="AA153"/>
      <c r="AB153"/>
      <c r="AC153" s="6"/>
      <c r="AD153" s="6"/>
      <c r="AE153" s="6"/>
      <c r="AF153" s="6"/>
      <c r="AG153" s="4"/>
      <c r="AH153" s="4"/>
      <c r="AI153" s="4"/>
      <c r="AJ153" s="4"/>
      <c r="AK153" s="4"/>
      <c r="AL153" s="4"/>
      <c r="AM153" s="4"/>
      <c r="AN153" s="4"/>
      <c r="AO153" s="4"/>
      <c r="AP153" s="4"/>
      <c r="AQ153" s="4"/>
      <c r="AR153" s="4"/>
      <c r="AS153" s="4"/>
      <c r="AT153" s="4"/>
      <c r="AU153" s="4"/>
      <c r="AV153" s="4"/>
      <c r="AW153" s="4"/>
      <c r="AX153" s="4"/>
      <c r="AY153" s="4"/>
      <c r="AZ153" s="4"/>
      <c r="BA153" s="4"/>
      <c r="BB153" s="3"/>
      <c r="BC153" s="3"/>
    </row>
    <row r="154" spans="1:113" s="5" customFormat="1">
      <c r="A154"/>
      <c r="B154"/>
      <c r="C154" s="44"/>
      <c r="D154" s="44"/>
      <c r="E154" s="44"/>
      <c r="F154" s="44"/>
      <c r="G154" s="44"/>
      <c r="H154" s="44"/>
      <c r="I154" s="44"/>
      <c r="J154" s="44"/>
      <c r="K154" s="44"/>
      <c r="L154" s="44"/>
      <c r="M154" t="str">
        <f t="shared" si="21"/>
        <v>"//*[@class=\"</v>
      </c>
      <c r="N154" t="s">
        <v>31</v>
      </c>
      <c r="O154" s="4" t="str">
        <f t="shared" si="24"/>
        <v>click</v>
      </c>
      <c r="P154" t="str">
        <f t="shared" si="25"/>
        <v>();</v>
      </c>
      <c r="Q154" t="str">
        <f t="shared" si="26"/>
        <v/>
      </c>
      <c r="R154" t="str">
        <f t="shared" si="22"/>
        <v/>
      </c>
      <c r="S154" s="1" t="str">
        <f t="shared" si="23"/>
        <v/>
      </c>
      <c r="T154"/>
      <c r="U154"/>
      <c r="V154"/>
      <c r="W154"/>
      <c r="X154"/>
      <c r="Y154"/>
      <c r="Z154">
        <v>145</v>
      </c>
      <c r="AA154"/>
      <c r="AB154"/>
      <c r="AC154" s="6"/>
      <c r="AD154" s="6"/>
      <c r="AE154" s="6"/>
      <c r="AF154" s="6"/>
      <c r="AG154" s="4"/>
      <c r="AH154" s="4"/>
      <c r="AI154" s="4"/>
      <c r="AJ154" s="4"/>
      <c r="AK154" s="4"/>
      <c r="AL154" s="4"/>
      <c r="AM154" s="4"/>
      <c r="AN154" s="4"/>
      <c r="AO154" s="4"/>
      <c r="AP154" s="4"/>
      <c r="AQ154" s="4"/>
      <c r="AR154" s="4"/>
      <c r="AS154" s="4"/>
      <c r="AT154" s="4"/>
      <c r="AU154" s="4"/>
      <c r="AV154" s="4"/>
      <c r="AW154" s="4"/>
      <c r="AX154" s="4"/>
      <c r="AY154" s="4"/>
      <c r="AZ154" s="4"/>
      <c r="BA154" s="4"/>
      <c r="BB154" s="3"/>
      <c r="BC154" s="3"/>
    </row>
    <row r="155" spans="1:113" s="5" customFormat="1">
      <c r="A155"/>
      <c r="B155"/>
      <c r="C155" s="44"/>
      <c r="D155" s="44"/>
      <c r="E155" s="44"/>
      <c r="F155" s="44"/>
      <c r="G155" s="44"/>
      <c r="H155" s="44"/>
      <c r="I155" s="44"/>
      <c r="J155" s="44"/>
      <c r="K155" s="44"/>
      <c r="L155" s="44"/>
      <c r="M155" t="str">
        <f t="shared" si="21"/>
        <v>"//*[@class=\"</v>
      </c>
      <c r="N155" t="s">
        <v>31</v>
      </c>
      <c r="O155" s="4" t="str">
        <f t="shared" si="24"/>
        <v>click</v>
      </c>
      <c r="P155" t="str">
        <f t="shared" si="25"/>
        <v>();</v>
      </c>
      <c r="Q155" t="str">
        <f t="shared" si="26"/>
        <v/>
      </c>
      <c r="R155" t="str">
        <f t="shared" si="22"/>
        <v/>
      </c>
      <c r="S155" s="1" t="str">
        <f t="shared" si="23"/>
        <v/>
      </c>
      <c r="T155"/>
      <c r="U155"/>
      <c r="V155"/>
      <c r="W155"/>
      <c r="X155"/>
      <c r="Y155"/>
      <c r="Z155">
        <v>146</v>
      </c>
      <c r="AA155"/>
      <c r="AB155"/>
      <c r="AC155" s="6"/>
      <c r="AD155" s="6"/>
      <c r="AE155" s="6"/>
      <c r="AF155" s="6"/>
      <c r="AG155" s="4"/>
      <c r="AH155" s="4"/>
      <c r="AI155" s="4"/>
      <c r="AJ155" s="4"/>
      <c r="AK155" s="4"/>
      <c r="AL155" s="4"/>
      <c r="AM155" s="4"/>
      <c r="AN155" s="4"/>
      <c r="AO155" s="4"/>
      <c r="AP155" s="4"/>
      <c r="AQ155" s="4"/>
      <c r="AR155" s="4"/>
      <c r="AS155" s="4"/>
      <c r="AT155" s="4"/>
      <c r="AU155" s="4"/>
      <c r="AV155" s="4"/>
      <c r="AW155" s="4"/>
      <c r="AX155" s="4"/>
      <c r="AY155" s="4"/>
      <c r="AZ155" s="4"/>
      <c r="BA155" s="4"/>
      <c r="BB155" s="3"/>
      <c r="BC155" s="3"/>
      <c r="CT155" s="5" t="e">
        <v>#N/A</v>
      </c>
      <c r="CU155" s="5" t="e">
        <v>#N/A</v>
      </c>
      <c r="CV155" s="5" t="e">
        <v>#N/A</v>
      </c>
      <c r="CW155" s="5" t="e">
        <v>#N/A</v>
      </c>
      <c r="CX155" s="5" t="e">
        <v>#N/A</v>
      </c>
      <c r="CY155" s="5" t="e">
        <v>#N/A</v>
      </c>
      <c r="CZ155" s="5" t="e">
        <v>#N/A</v>
      </c>
      <c r="DA155" s="5" t="e">
        <v>#N/A</v>
      </c>
      <c r="DB155" s="5" t="e">
        <v>#N/A</v>
      </c>
      <c r="DC155" s="5" t="e">
        <v>#N/A</v>
      </c>
      <c r="DD155" s="5" t="e">
        <v>#N/A</v>
      </c>
      <c r="DE155" s="5" t="e">
        <v>#N/A</v>
      </c>
      <c r="DF155" s="5" t="e">
        <v>#N/A</v>
      </c>
      <c r="DG155" s="5" t="e">
        <v>#N/A</v>
      </c>
      <c r="DH155" s="5" t="e">
        <v>#N/A</v>
      </c>
      <c r="DI155" s="5" t="e">
        <v>#N/A</v>
      </c>
    </row>
    <row r="156" spans="1:113" s="5" customFormat="1">
      <c r="A156"/>
      <c r="B156"/>
      <c r="C156" s="44"/>
      <c r="D156" s="44"/>
      <c r="E156" s="44"/>
      <c r="F156" s="44"/>
      <c r="G156" s="44"/>
      <c r="H156" s="44"/>
      <c r="I156" s="44"/>
      <c r="J156" s="44"/>
      <c r="K156" s="44"/>
      <c r="L156" s="44"/>
      <c r="M156" t="str">
        <f t="shared" si="21"/>
        <v>"//*[@class=\"</v>
      </c>
      <c r="N156" t="s">
        <v>31</v>
      </c>
      <c r="O156" s="4" t="str">
        <f t="shared" si="24"/>
        <v>click</v>
      </c>
      <c r="P156" t="str">
        <f t="shared" si="25"/>
        <v>();</v>
      </c>
      <c r="Q156" t="str">
        <f t="shared" si="26"/>
        <v/>
      </c>
      <c r="R156" t="str">
        <f t="shared" si="22"/>
        <v/>
      </c>
      <c r="S156" s="1" t="str">
        <f t="shared" si="23"/>
        <v/>
      </c>
      <c r="T156"/>
      <c r="U156"/>
      <c r="V156"/>
      <c r="W156"/>
      <c r="X156"/>
      <c r="Y156"/>
      <c r="Z156">
        <v>147</v>
      </c>
      <c r="AA156"/>
      <c r="AB156"/>
      <c r="AC156" s="6"/>
      <c r="AD156" s="6"/>
      <c r="AE156" s="6"/>
      <c r="AF156" s="6"/>
      <c r="AG156" s="4"/>
      <c r="AH156" s="4"/>
      <c r="AI156" s="4"/>
      <c r="AJ156" s="4"/>
      <c r="AK156" s="4"/>
      <c r="AL156" s="4"/>
      <c r="AM156" s="4"/>
      <c r="AN156" s="4"/>
      <c r="AO156" s="4"/>
      <c r="AP156" s="4"/>
      <c r="AQ156" s="4"/>
      <c r="AR156" s="4"/>
      <c r="AS156" s="4"/>
      <c r="AT156" s="4"/>
      <c r="AU156" s="4"/>
      <c r="AV156" s="4"/>
      <c r="AW156" s="4"/>
      <c r="AX156" s="4"/>
      <c r="AY156" s="4"/>
      <c r="AZ156" s="4"/>
      <c r="BA156" s="4"/>
      <c r="BB156" s="3"/>
      <c r="BC156" s="3"/>
      <c r="CT156" s="5" t="e">
        <v>#N/A</v>
      </c>
      <c r="CU156" s="5" t="e">
        <v>#N/A</v>
      </c>
      <c r="CV156" s="5" t="e">
        <v>#N/A</v>
      </c>
      <c r="CW156" s="5" t="e">
        <v>#N/A</v>
      </c>
      <c r="CX156" s="5" t="e">
        <v>#N/A</v>
      </c>
      <c r="CY156" s="5" t="e">
        <v>#N/A</v>
      </c>
      <c r="CZ156" s="5" t="e">
        <v>#N/A</v>
      </c>
      <c r="DA156" s="5" t="e">
        <v>#N/A</v>
      </c>
      <c r="DB156" s="5" t="e">
        <v>#N/A</v>
      </c>
      <c r="DC156" s="5" t="e">
        <v>#N/A</v>
      </c>
      <c r="DD156" s="5" t="e">
        <v>#N/A</v>
      </c>
      <c r="DE156" s="5" t="e">
        <v>#N/A</v>
      </c>
      <c r="DF156" s="5" t="e">
        <v>#N/A</v>
      </c>
      <c r="DG156" s="5" t="e">
        <v>#N/A</v>
      </c>
      <c r="DH156" s="5" t="e">
        <v>#N/A</v>
      </c>
      <c r="DI156" s="5" t="e">
        <v>#N/A</v>
      </c>
    </row>
    <row r="157" spans="1:113" s="5" customFormat="1">
      <c r="A157"/>
      <c r="B157"/>
      <c r="C157" s="44"/>
      <c r="D157" s="44"/>
      <c r="E157" s="44"/>
      <c r="F157" s="44"/>
      <c r="G157" s="44"/>
      <c r="H157" s="44"/>
      <c r="I157" s="44"/>
      <c r="J157" s="44"/>
      <c r="K157" s="44"/>
      <c r="L157" s="44"/>
      <c r="M157" t="str">
        <f t="shared" si="21"/>
        <v>"//*[@class=\"</v>
      </c>
      <c r="N157" t="s">
        <v>31</v>
      </c>
      <c r="O157" s="4" t="str">
        <f t="shared" si="24"/>
        <v>click</v>
      </c>
      <c r="P157" t="str">
        <f t="shared" si="25"/>
        <v>();</v>
      </c>
      <c r="Q157" t="str">
        <f t="shared" si="26"/>
        <v/>
      </c>
      <c r="R157" t="str">
        <f t="shared" si="22"/>
        <v/>
      </c>
      <c r="S157" s="1" t="str">
        <f t="shared" si="23"/>
        <v/>
      </c>
      <c r="T157"/>
      <c r="U157"/>
      <c r="V157"/>
      <c r="W157"/>
      <c r="X157"/>
      <c r="Y157"/>
      <c r="Z157">
        <v>148</v>
      </c>
      <c r="AA157"/>
      <c r="AB157"/>
      <c r="AC157" s="6"/>
      <c r="AD157" s="6"/>
      <c r="AE157" s="6"/>
      <c r="AF157" s="6"/>
      <c r="AG157" s="4"/>
      <c r="AH157" s="4"/>
      <c r="AI157" s="4"/>
      <c r="AJ157" s="4"/>
      <c r="AK157" s="4"/>
      <c r="AL157" s="4"/>
      <c r="AM157" s="4"/>
      <c r="AN157" s="4"/>
      <c r="AO157" s="4"/>
      <c r="AP157" s="4"/>
      <c r="AQ157" s="4"/>
      <c r="AR157" s="4"/>
      <c r="AS157" s="4"/>
      <c r="AT157" s="4"/>
      <c r="AU157" s="4"/>
      <c r="AV157" s="4"/>
      <c r="AW157" s="4"/>
      <c r="AX157" s="4"/>
      <c r="AY157" s="4"/>
      <c r="AZ157" s="4"/>
      <c r="BA157" s="4"/>
      <c r="BB157" s="3"/>
      <c r="BC157" s="3"/>
      <c r="CT157" s="5" t="e">
        <v>#N/A</v>
      </c>
      <c r="CU157" s="5" t="e">
        <v>#N/A</v>
      </c>
      <c r="CV157" s="5" t="e">
        <v>#N/A</v>
      </c>
      <c r="CW157" s="5" t="e">
        <v>#N/A</v>
      </c>
      <c r="CX157" s="5" t="e">
        <v>#N/A</v>
      </c>
      <c r="CY157" s="5" t="e">
        <v>#N/A</v>
      </c>
      <c r="CZ157" s="5" t="e">
        <v>#N/A</v>
      </c>
      <c r="DA157" s="5" t="e">
        <v>#N/A</v>
      </c>
      <c r="DB157" s="5" t="e">
        <v>#N/A</v>
      </c>
      <c r="DC157" s="5" t="e">
        <v>#N/A</v>
      </c>
      <c r="DD157" s="5" t="e">
        <v>#N/A</v>
      </c>
      <c r="DE157" s="5" t="e">
        <v>#N/A</v>
      </c>
      <c r="DF157" s="5" t="e">
        <v>#N/A</v>
      </c>
      <c r="DG157" s="5" t="e">
        <v>#N/A</v>
      </c>
      <c r="DH157" s="5" t="e">
        <v>#N/A</v>
      </c>
      <c r="DI157" s="5" t="e">
        <v>#N/A</v>
      </c>
    </row>
    <row r="158" spans="1:113" s="5" customFormat="1">
      <c r="A158"/>
      <c r="B158"/>
      <c r="C158" s="44"/>
      <c r="D158" s="44"/>
      <c r="E158" s="44"/>
      <c r="F158" s="44"/>
      <c r="G158" s="44"/>
      <c r="H158" s="44"/>
      <c r="I158" s="44"/>
      <c r="J158" s="44"/>
      <c r="K158" s="44"/>
      <c r="L158" s="44"/>
      <c r="M158" t="str">
        <f t="shared" si="21"/>
        <v>"//*[@class=\"</v>
      </c>
      <c r="N158" t="s">
        <v>31</v>
      </c>
      <c r="O158" s="4" t="str">
        <f t="shared" si="24"/>
        <v>click</v>
      </c>
      <c r="P158" t="str">
        <f t="shared" si="25"/>
        <v>();</v>
      </c>
      <c r="Q158" t="str">
        <f t="shared" si="26"/>
        <v/>
      </c>
      <c r="R158" t="str">
        <f t="shared" si="22"/>
        <v/>
      </c>
      <c r="S158" s="1" t="str">
        <f t="shared" si="23"/>
        <v/>
      </c>
      <c r="T158"/>
      <c r="U158"/>
      <c r="V158"/>
      <c r="W158"/>
      <c r="X158"/>
      <c r="Y158"/>
      <c r="Z158">
        <v>149</v>
      </c>
      <c r="AA158"/>
      <c r="AB158"/>
      <c r="AC158" s="6"/>
      <c r="AD158" s="6"/>
      <c r="AE158" s="6"/>
      <c r="AF158" s="6"/>
      <c r="AG158" s="4"/>
      <c r="AH158" s="4"/>
      <c r="AI158" s="4"/>
      <c r="AJ158" s="4"/>
      <c r="AK158" s="4"/>
      <c r="AL158" s="4"/>
      <c r="AM158" s="4"/>
      <c r="AN158" s="4"/>
      <c r="AO158" s="4"/>
      <c r="AP158" s="4"/>
      <c r="AQ158" s="4"/>
      <c r="AR158" s="4"/>
      <c r="AS158" s="4"/>
      <c r="AT158" s="4"/>
      <c r="AU158" s="4"/>
      <c r="AV158" s="4"/>
      <c r="AW158" s="4"/>
      <c r="AX158" s="4"/>
      <c r="AY158" s="4"/>
      <c r="AZ158" s="4"/>
      <c r="BA158" s="4"/>
      <c r="BB158" s="3"/>
      <c r="BC158" s="3"/>
      <c r="CT158" s="5" t="e">
        <v>#N/A</v>
      </c>
      <c r="CU158" s="5" t="e">
        <v>#N/A</v>
      </c>
      <c r="CV158" s="5" t="e">
        <v>#N/A</v>
      </c>
      <c r="CW158" s="5" t="e">
        <v>#N/A</v>
      </c>
      <c r="CX158" s="5" t="e">
        <v>#N/A</v>
      </c>
      <c r="CY158" s="5" t="e">
        <v>#N/A</v>
      </c>
      <c r="CZ158" s="5" t="e">
        <v>#N/A</v>
      </c>
      <c r="DA158" s="5" t="e">
        <v>#N/A</v>
      </c>
      <c r="DB158" s="5" t="e">
        <v>#N/A</v>
      </c>
      <c r="DC158" s="5" t="e">
        <v>#N/A</v>
      </c>
      <c r="DD158" s="5" t="e">
        <v>#N/A</v>
      </c>
      <c r="DE158" s="5" t="e">
        <v>#N/A</v>
      </c>
      <c r="DF158" s="5" t="e">
        <v>#N/A</v>
      </c>
      <c r="DG158" s="5" t="e">
        <v>#N/A</v>
      </c>
      <c r="DH158" s="5" t="e">
        <v>#N/A</v>
      </c>
      <c r="DI158" s="5" t="e">
        <v>#N/A</v>
      </c>
    </row>
    <row r="159" spans="1:113" s="5" customFormat="1">
      <c r="A159"/>
      <c r="B159"/>
      <c r="C159" s="44"/>
      <c r="D159" s="44"/>
      <c r="E159" s="44"/>
      <c r="F159" s="44"/>
      <c r="G159" s="44"/>
      <c r="H159" s="44"/>
      <c r="I159" s="44"/>
      <c r="J159" s="44"/>
      <c r="K159" s="44"/>
      <c r="L159" s="44"/>
      <c r="M159" t="str">
        <f t="shared" si="21"/>
        <v>"//*[@class=\"</v>
      </c>
      <c r="N159" t="s">
        <v>31</v>
      </c>
      <c r="O159" s="4" t="str">
        <f t="shared" si="24"/>
        <v>click</v>
      </c>
      <c r="P159" t="str">
        <f t="shared" si="25"/>
        <v>();</v>
      </c>
      <c r="Q159" t="str">
        <f t="shared" si="26"/>
        <v/>
      </c>
      <c r="R159" t="str">
        <f t="shared" si="22"/>
        <v/>
      </c>
      <c r="S159" s="1" t="str">
        <f t="shared" si="23"/>
        <v/>
      </c>
      <c r="T159"/>
      <c r="U159"/>
      <c r="V159"/>
      <c r="W159"/>
      <c r="X159"/>
      <c r="Y159"/>
      <c r="Z159">
        <v>150</v>
      </c>
      <c r="AA159"/>
      <c r="AB159"/>
      <c r="AC159" s="6"/>
      <c r="AD159" s="6"/>
      <c r="AE159" s="6"/>
      <c r="AF159" s="6"/>
      <c r="AG159" s="4"/>
      <c r="AH159" s="4"/>
      <c r="AI159" s="4"/>
      <c r="AJ159" s="4"/>
      <c r="AK159" s="4"/>
      <c r="AL159" s="4"/>
      <c r="AM159" s="4"/>
      <c r="AN159" s="4"/>
      <c r="AO159" s="4"/>
      <c r="AP159" s="4"/>
      <c r="AQ159" s="4"/>
      <c r="AR159" s="4"/>
      <c r="AS159" s="4"/>
      <c r="AT159" s="4"/>
      <c r="AU159" s="4"/>
      <c r="AV159" s="4"/>
      <c r="AW159" s="4"/>
      <c r="AX159" s="4"/>
      <c r="AY159" s="4"/>
      <c r="AZ159" s="4"/>
      <c r="BA159" s="4"/>
      <c r="BB159" s="3"/>
      <c r="BC159" s="3"/>
      <c r="CT159" s="5" t="e">
        <v>#N/A</v>
      </c>
      <c r="CU159" s="5" t="e">
        <v>#N/A</v>
      </c>
      <c r="CV159" s="5" t="e">
        <v>#N/A</v>
      </c>
      <c r="CW159" s="5" t="e">
        <v>#N/A</v>
      </c>
      <c r="CX159" s="5" t="e">
        <v>#N/A</v>
      </c>
      <c r="CY159" s="5" t="e">
        <v>#N/A</v>
      </c>
      <c r="CZ159" s="5" t="e">
        <v>#N/A</v>
      </c>
      <c r="DA159" s="5" t="e">
        <v>#N/A</v>
      </c>
      <c r="DB159" s="5" t="e">
        <v>#N/A</v>
      </c>
      <c r="DC159" s="5" t="e">
        <v>#N/A</v>
      </c>
      <c r="DD159" s="5" t="e">
        <v>#N/A</v>
      </c>
      <c r="DE159" s="5" t="e">
        <v>#N/A</v>
      </c>
      <c r="DF159" s="5" t="e">
        <v>#N/A</v>
      </c>
      <c r="DG159" s="5" t="e">
        <v>#N/A</v>
      </c>
      <c r="DH159" s="5" t="e">
        <v>#N/A</v>
      </c>
      <c r="DI159" s="5" t="e">
        <v>#N/A</v>
      </c>
    </row>
    <row r="160" spans="1:113" s="5" customFormat="1">
      <c r="A160"/>
      <c r="B160"/>
      <c r="C160" s="44"/>
      <c r="D160" s="44"/>
      <c r="E160" s="44"/>
      <c r="F160" s="44"/>
      <c r="G160" s="44"/>
      <c r="H160" s="44"/>
      <c r="I160" s="44"/>
      <c r="J160" s="44"/>
      <c r="K160" s="44"/>
      <c r="L160" s="44"/>
      <c r="M160" t="str">
        <f t="shared" si="21"/>
        <v>"//*[@class=\"</v>
      </c>
      <c r="N160" t="s">
        <v>31</v>
      </c>
      <c r="O160" s="4" t="str">
        <f t="shared" si="24"/>
        <v>click</v>
      </c>
      <c r="P160" t="str">
        <f t="shared" si="25"/>
        <v>();</v>
      </c>
      <c r="Q160" t="str">
        <f t="shared" si="26"/>
        <v/>
      </c>
      <c r="R160" t="str">
        <f t="shared" si="22"/>
        <v/>
      </c>
      <c r="S160" s="1" t="str">
        <f t="shared" si="23"/>
        <v/>
      </c>
      <c r="T160"/>
      <c r="U160"/>
      <c r="V160"/>
      <c r="W160"/>
      <c r="X160"/>
      <c r="Y160"/>
      <c r="Z160">
        <v>151</v>
      </c>
      <c r="AA160"/>
      <c r="AB160"/>
      <c r="AC160" s="6"/>
      <c r="AD160" s="6"/>
      <c r="AE160" s="6"/>
      <c r="AF160" s="6"/>
      <c r="AG160" s="4"/>
      <c r="AH160" s="4"/>
      <c r="AI160" s="4"/>
      <c r="AJ160" s="4"/>
      <c r="AK160" s="4"/>
      <c r="AL160" s="4"/>
      <c r="AM160" s="4"/>
      <c r="AN160" s="4"/>
      <c r="AO160" s="4"/>
      <c r="AP160" s="4"/>
      <c r="AQ160" s="4"/>
      <c r="AR160" s="4"/>
      <c r="AS160" s="4"/>
      <c r="AT160" s="4"/>
      <c r="AU160" s="4"/>
      <c r="AV160" s="4"/>
      <c r="AW160" s="4"/>
      <c r="AX160" s="4"/>
      <c r="AY160" s="4"/>
      <c r="AZ160" s="4"/>
      <c r="BA160" s="4"/>
      <c r="BB160" s="3"/>
      <c r="BC160" s="3"/>
      <c r="CT160" s="5" t="e">
        <v>#N/A</v>
      </c>
      <c r="CU160" s="5" t="e">
        <v>#N/A</v>
      </c>
      <c r="CV160" s="5" t="e">
        <v>#N/A</v>
      </c>
      <c r="CW160" s="5" t="e">
        <v>#N/A</v>
      </c>
      <c r="CX160" s="5" t="e">
        <v>#N/A</v>
      </c>
      <c r="CY160" s="5" t="e">
        <v>#N/A</v>
      </c>
      <c r="CZ160" s="5" t="e">
        <v>#N/A</v>
      </c>
      <c r="DA160" s="5" t="e">
        <v>#N/A</v>
      </c>
      <c r="DB160" s="5" t="e">
        <v>#N/A</v>
      </c>
      <c r="DC160" s="5" t="e">
        <v>#N/A</v>
      </c>
      <c r="DD160" s="5" t="e">
        <v>#N/A</v>
      </c>
      <c r="DE160" s="5" t="e">
        <v>#N/A</v>
      </c>
      <c r="DF160" s="5" t="e">
        <v>#N/A</v>
      </c>
      <c r="DG160" s="5" t="e">
        <v>#N/A</v>
      </c>
      <c r="DH160" s="5" t="e">
        <v>#N/A</v>
      </c>
      <c r="DI160" s="5" t="e">
        <v>#N/A</v>
      </c>
    </row>
    <row r="161" spans="1:113" s="5" customFormat="1">
      <c r="A161"/>
      <c r="B161"/>
      <c r="C161" s="44"/>
      <c r="D161" s="44"/>
      <c r="E161" s="44"/>
      <c r="F161" s="44"/>
      <c r="G161" s="44"/>
      <c r="H161" s="44"/>
      <c r="I161" s="44"/>
      <c r="J161" s="44"/>
      <c r="K161" s="44"/>
      <c r="L161" s="44"/>
      <c r="M161" t="str">
        <f t="shared" si="21"/>
        <v>"//*[@class=\"</v>
      </c>
      <c r="N161" t="s">
        <v>31</v>
      </c>
      <c r="O161" s="4" t="str">
        <f t="shared" si="24"/>
        <v>click</v>
      </c>
      <c r="P161" t="str">
        <f t="shared" si="25"/>
        <v>();</v>
      </c>
      <c r="Q161" t="str">
        <f t="shared" si="26"/>
        <v/>
      </c>
      <c r="R161" t="str">
        <f t="shared" si="22"/>
        <v/>
      </c>
      <c r="S161" s="1" t="str">
        <f t="shared" si="23"/>
        <v/>
      </c>
      <c r="T161"/>
      <c r="U161"/>
      <c r="V161"/>
      <c r="W161"/>
      <c r="X161"/>
      <c r="Y161"/>
      <c r="Z161">
        <v>152</v>
      </c>
      <c r="AA161"/>
      <c r="AB161"/>
      <c r="AC161" s="6"/>
      <c r="AD161" s="6"/>
      <c r="AE161" s="6"/>
      <c r="AF161" s="6"/>
      <c r="AG161" s="4"/>
      <c r="AH161" s="4"/>
      <c r="AI161" s="4"/>
      <c r="AJ161" s="4"/>
      <c r="AK161" s="4"/>
      <c r="AL161" s="4"/>
      <c r="AM161" s="4"/>
      <c r="AN161" s="4"/>
      <c r="AO161" s="4"/>
      <c r="AP161" s="4"/>
      <c r="AQ161" s="4"/>
      <c r="AR161" s="4"/>
      <c r="AS161" s="4"/>
      <c r="AT161" s="4"/>
      <c r="AU161" s="4"/>
      <c r="AV161" s="4"/>
      <c r="AW161" s="4"/>
      <c r="AX161" s="4"/>
      <c r="AY161" s="4"/>
      <c r="AZ161" s="4"/>
      <c r="BA161" s="4"/>
      <c r="BB161" s="3"/>
      <c r="BC161" s="3"/>
      <c r="CT161" s="5" t="e">
        <v>#N/A</v>
      </c>
      <c r="CU161" s="5" t="e">
        <v>#N/A</v>
      </c>
      <c r="CV161" s="5" t="e">
        <v>#N/A</v>
      </c>
      <c r="CW161" s="5" t="e">
        <v>#N/A</v>
      </c>
      <c r="CX161" s="5" t="e">
        <v>#N/A</v>
      </c>
      <c r="CY161" s="5" t="e">
        <v>#N/A</v>
      </c>
      <c r="CZ161" s="5" t="e">
        <v>#N/A</v>
      </c>
      <c r="DA161" s="5" t="e">
        <v>#N/A</v>
      </c>
      <c r="DB161" s="5" t="e">
        <v>#N/A</v>
      </c>
      <c r="DC161" s="5" t="e">
        <v>#N/A</v>
      </c>
      <c r="DD161" s="5" t="e">
        <v>#N/A</v>
      </c>
      <c r="DE161" s="5" t="e">
        <v>#N/A</v>
      </c>
      <c r="DF161" s="5" t="e">
        <v>#N/A</v>
      </c>
      <c r="DG161" s="5" t="e">
        <v>#N/A</v>
      </c>
      <c r="DH161" s="5" t="e">
        <v>#N/A</v>
      </c>
      <c r="DI161" s="5" t="e">
        <v>#N/A</v>
      </c>
    </row>
    <row r="162" spans="1:113" s="5" customFormat="1">
      <c r="A162"/>
      <c r="B162"/>
      <c r="C162" s="44"/>
      <c r="D162" s="44"/>
      <c r="E162" s="44"/>
      <c r="F162" s="44"/>
      <c r="G162" s="44"/>
      <c r="H162" s="44"/>
      <c r="I162" s="44"/>
      <c r="J162" s="44"/>
      <c r="K162" s="44"/>
      <c r="L162" s="44"/>
      <c r="M162" t="str">
        <f t="shared" si="21"/>
        <v>"//*[@class=\"</v>
      </c>
      <c r="N162" t="s">
        <v>31</v>
      </c>
      <c r="O162" s="4" t="str">
        <f t="shared" si="24"/>
        <v>click</v>
      </c>
      <c r="P162" t="str">
        <f t="shared" si="25"/>
        <v>();</v>
      </c>
      <c r="Q162" t="str">
        <f t="shared" si="26"/>
        <v/>
      </c>
      <c r="R162" t="str">
        <f t="shared" si="22"/>
        <v/>
      </c>
      <c r="S162" s="1" t="str">
        <f t="shared" si="23"/>
        <v/>
      </c>
      <c r="T162"/>
      <c r="U162"/>
      <c r="V162"/>
      <c r="W162"/>
      <c r="X162"/>
      <c r="Y162"/>
      <c r="Z162">
        <v>153</v>
      </c>
      <c r="AA162"/>
      <c r="AB162"/>
      <c r="AC162" s="6"/>
      <c r="AD162" s="6"/>
      <c r="AE162" s="6"/>
      <c r="AF162" s="6"/>
      <c r="AG162" s="4"/>
      <c r="AH162" s="4"/>
      <c r="AI162" s="4"/>
      <c r="AJ162" s="4"/>
      <c r="AK162" s="4"/>
      <c r="AL162" s="4"/>
      <c r="AM162" s="4"/>
      <c r="AN162" s="4"/>
      <c r="AO162" s="4"/>
      <c r="AP162" s="4"/>
      <c r="AQ162" s="4"/>
      <c r="AR162" s="4"/>
      <c r="AS162" s="4"/>
      <c r="AT162" s="4"/>
      <c r="AU162" s="4"/>
      <c r="AV162" s="4"/>
      <c r="AW162" s="4"/>
      <c r="AX162" s="4"/>
      <c r="AY162" s="4"/>
      <c r="AZ162" s="4"/>
      <c r="BA162" s="4"/>
      <c r="BB162" s="3"/>
      <c r="BC162" s="3"/>
      <c r="CT162" s="5" t="e">
        <v>#N/A</v>
      </c>
      <c r="CU162" s="5" t="e">
        <v>#N/A</v>
      </c>
      <c r="CV162" s="5" t="e">
        <v>#N/A</v>
      </c>
      <c r="CW162" s="5" t="e">
        <v>#N/A</v>
      </c>
      <c r="CX162" s="5" t="e">
        <v>#N/A</v>
      </c>
      <c r="CY162" s="5" t="e">
        <v>#N/A</v>
      </c>
      <c r="CZ162" s="5" t="e">
        <v>#N/A</v>
      </c>
      <c r="DA162" s="5" t="e">
        <v>#N/A</v>
      </c>
      <c r="DB162" s="5" t="e">
        <v>#N/A</v>
      </c>
      <c r="DC162" s="5" t="e">
        <v>#N/A</v>
      </c>
      <c r="DD162" s="5" t="e">
        <v>#N/A</v>
      </c>
      <c r="DE162" s="5" t="e">
        <v>#N/A</v>
      </c>
      <c r="DF162" s="5" t="e">
        <v>#N/A</v>
      </c>
      <c r="DG162" s="5" t="e">
        <v>#N/A</v>
      </c>
      <c r="DH162" s="5" t="e">
        <v>#N/A</v>
      </c>
      <c r="DI162" s="5" t="e">
        <v>#N/A</v>
      </c>
    </row>
    <row r="163" spans="1:113" s="5" customFormat="1">
      <c r="A163"/>
      <c r="B163"/>
      <c r="C163" s="44"/>
      <c r="D163" s="44"/>
      <c r="E163" s="44"/>
      <c r="F163" s="44"/>
      <c r="G163" s="44"/>
      <c r="H163" s="44"/>
      <c r="I163" s="44"/>
      <c r="J163" s="44"/>
      <c r="K163" s="44"/>
      <c r="L163" s="44"/>
      <c r="M163" t="str">
        <f t="shared" si="21"/>
        <v>"//*[@class=\"</v>
      </c>
      <c r="N163" t="s">
        <v>31</v>
      </c>
      <c r="O163" s="4" t="str">
        <f t="shared" si="24"/>
        <v>click</v>
      </c>
      <c r="P163" t="str">
        <f t="shared" si="25"/>
        <v>();</v>
      </c>
      <c r="Q163" t="str">
        <f t="shared" si="26"/>
        <v/>
      </c>
      <c r="R163" t="str">
        <f t="shared" si="22"/>
        <v/>
      </c>
      <c r="S163" s="1" t="str">
        <f t="shared" si="23"/>
        <v/>
      </c>
      <c r="T163"/>
      <c r="U163"/>
      <c r="V163"/>
      <c r="W163"/>
      <c r="X163"/>
      <c r="Y163"/>
      <c r="Z163">
        <v>154</v>
      </c>
      <c r="AA163"/>
      <c r="AB163"/>
      <c r="AC163" s="6"/>
      <c r="AD163" s="6"/>
      <c r="AE163" s="6"/>
      <c r="AF163" s="6"/>
      <c r="AG163" s="4"/>
      <c r="AH163" s="4"/>
      <c r="AI163" s="4"/>
      <c r="AJ163" s="4"/>
      <c r="AK163" s="4"/>
      <c r="AL163" s="4"/>
      <c r="AM163" s="4"/>
      <c r="AN163" s="4"/>
      <c r="AO163" s="4"/>
      <c r="AP163" s="4"/>
      <c r="AQ163" s="4"/>
      <c r="AR163" s="4"/>
      <c r="AS163" s="4"/>
      <c r="AT163" s="4"/>
      <c r="AU163" s="4"/>
      <c r="AV163" s="4"/>
      <c r="AW163" s="4"/>
      <c r="AX163" s="4"/>
      <c r="AY163" s="4"/>
      <c r="AZ163" s="4"/>
      <c r="BA163" s="4"/>
      <c r="BB163" s="3"/>
      <c r="BC163" s="3"/>
      <c r="CT163" s="5" t="e">
        <v>#N/A</v>
      </c>
      <c r="CU163" s="5" t="e">
        <v>#N/A</v>
      </c>
      <c r="CV163" s="5" t="e">
        <v>#N/A</v>
      </c>
      <c r="CW163" s="5" t="e">
        <v>#N/A</v>
      </c>
      <c r="CX163" s="5" t="e">
        <v>#N/A</v>
      </c>
      <c r="CY163" s="5" t="e">
        <v>#N/A</v>
      </c>
      <c r="CZ163" s="5" t="e">
        <v>#N/A</v>
      </c>
      <c r="DA163" s="5" t="e">
        <v>#N/A</v>
      </c>
      <c r="DB163" s="5" t="e">
        <v>#N/A</v>
      </c>
      <c r="DC163" s="5" t="e">
        <v>#N/A</v>
      </c>
      <c r="DD163" s="5" t="e">
        <v>#N/A</v>
      </c>
      <c r="DE163" s="5" t="e">
        <v>#N/A</v>
      </c>
      <c r="DF163" s="5" t="e">
        <v>#N/A</v>
      </c>
      <c r="DG163" s="5" t="e">
        <v>#N/A</v>
      </c>
      <c r="DH163" s="5" t="e">
        <v>#N/A</v>
      </c>
      <c r="DI163" s="5" t="e">
        <v>#N/A</v>
      </c>
    </row>
    <row r="164" spans="1:113" s="5" customFormat="1">
      <c r="A164"/>
      <c r="B164"/>
      <c r="C164" s="44"/>
      <c r="D164" s="44"/>
      <c r="E164" s="44"/>
      <c r="F164" s="44"/>
      <c r="G164" s="44"/>
      <c r="H164" s="44"/>
      <c r="I164" s="44"/>
      <c r="J164" s="44"/>
      <c r="K164" s="44"/>
      <c r="L164" s="44"/>
      <c r="M164" t="str">
        <f t="shared" si="21"/>
        <v>"//*[@class=\"</v>
      </c>
      <c r="N164" t="s">
        <v>31</v>
      </c>
      <c r="O164" s="4" t="str">
        <f t="shared" si="24"/>
        <v>click</v>
      </c>
      <c r="P164" t="str">
        <f t="shared" si="25"/>
        <v>();</v>
      </c>
      <c r="Q164" t="str">
        <f t="shared" si="26"/>
        <v/>
      </c>
      <c r="R164" t="str">
        <f t="shared" si="22"/>
        <v/>
      </c>
      <c r="S164" s="1" t="str">
        <f t="shared" si="23"/>
        <v/>
      </c>
      <c r="T164"/>
      <c r="U164"/>
      <c r="V164"/>
      <c r="W164"/>
      <c r="X164"/>
      <c r="Y164"/>
      <c r="Z164">
        <v>155</v>
      </c>
      <c r="AA164"/>
      <c r="AB164"/>
      <c r="AC164" s="6"/>
      <c r="AD164" s="6"/>
      <c r="AE164" s="6"/>
      <c r="AF164" s="6"/>
      <c r="AG164" s="4"/>
      <c r="AH164" s="4"/>
      <c r="AI164" s="4"/>
      <c r="AJ164" s="4"/>
      <c r="AK164" s="4"/>
      <c r="AL164" s="4"/>
      <c r="AM164" s="4"/>
      <c r="AN164" s="4"/>
      <c r="AO164" s="4"/>
      <c r="AP164" s="4"/>
      <c r="AQ164" s="4"/>
      <c r="AR164" s="4"/>
      <c r="AS164" s="4"/>
      <c r="AT164" s="4"/>
      <c r="AU164" s="4"/>
      <c r="AV164" s="4"/>
      <c r="AW164" s="4"/>
      <c r="AX164" s="4"/>
      <c r="AY164" s="4"/>
      <c r="AZ164" s="4"/>
      <c r="BA164" s="4"/>
      <c r="BB164" s="3"/>
      <c r="BC164" s="3"/>
      <c r="CT164" s="5" t="e">
        <v>#N/A</v>
      </c>
      <c r="CU164" s="5" t="e">
        <v>#N/A</v>
      </c>
      <c r="CV164" s="5" t="e">
        <v>#N/A</v>
      </c>
      <c r="CW164" s="5" t="e">
        <v>#N/A</v>
      </c>
      <c r="CX164" s="5" t="e">
        <v>#N/A</v>
      </c>
      <c r="CY164" s="5" t="e">
        <v>#N/A</v>
      </c>
      <c r="CZ164" s="5" t="e">
        <v>#N/A</v>
      </c>
      <c r="DA164" s="5" t="e">
        <v>#N/A</v>
      </c>
      <c r="DB164" s="5" t="e">
        <v>#N/A</v>
      </c>
      <c r="DC164" s="5" t="e">
        <v>#N/A</v>
      </c>
      <c r="DD164" s="5" t="e">
        <v>#N/A</v>
      </c>
      <c r="DE164" s="5" t="e">
        <v>#N/A</v>
      </c>
      <c r="DF164" s="5" t="e">
        <v>#N/A</v>
      </c>
      <c r="DG164" s="5" t="e">
        <v>#N/A</v>
      </c>
      <c r="DH164" s="5" t="e">
        <v>#N/A</v>
      </c>
      <c r="DI164" s="5" t="e">
        <v>#N/A</v>
      </c>
    </row>
    <row r="165" spans="1:113" s="5" customFormat="1">
      <c r="A165"/>
      <c r="B165"/>
      <c r="C165" s="44"/>
      <c r="D165" s="44"/>
      <c r="E165" s="44"/>
      <c r="F165" s="44"/>
      <c r="G165" s="44"/>
      <c r="H165" s="44"/>
      <c r="I165" s="44"/>
      <c r="J165" s="44"/>
      <c r="K165" s="44"/>
      <c r="L165" s="44"/>
      <c r="M165" t="str">
        <f t="shared" si="21"/>
        <v>"//*[@class=\"</v>
      </c>
      <c r="N165" t="s">
        <v>31</v>
      </c>
      <c r="O165" s="4" t="str">
        <f t="shared" si="24"/>
        <v>click</v>
      </c>
      <c r="P165" t="str">
        <f t="shared" si="25"/>
        <v>();</v>
      </c>
      <c r="Q165" t="str">
        <f t="shared" si="26"/>
        <v/>
      </c>
      <c r="R165" t="str">
        <f t="shared" si="22"/>
        <v/>
      </c>
      <c r="S165" s="1" t="str">
        <f t="shared" si="23"/>
        <v/>
      </c>
      <c r="T165"/>
      <c r="U165"/>
      <c r="V165"/>
      <c r="W165"/>
      <c r="X165"/>
      <c r="Y165"/>
      <c r="Z165">
        <v>156</v>
      </c>
      <c r="AA165"/>
      <c r="AB165"/>
      <c r="AC165" s="6"/>
      <c r="AD165" s="6"/>
      <c r="AE165" s="6"/>
      <c r="AF165" s="6"/>
      <c r="AG165" s="4"/>
      <c r="AH165" s="4"/>
      <c r="AI165" s="4"/>
      <c r="AJ165" s="4"/>
      <c r="AK165" s="4"/>
      <c r="AL165" s="4"/>
      <c r="AM165" s="4"/>
      <c r="AN165" s="4"/>
      <c r="AO165" s="4"/>
      <c r="AP165" s="4"/>
      <c r="AQ165" s="4"/>
      <c r="AR165" s="4"/>
      <c r="AS165" s="4"/>
      <c r="AT165" s="4"/>
      <c r="AU165" s="4"/>
      <c r="AV165" s="4"/>
      <c r="AW165" s="4"/>
      <c r="AX165" s="4"/>
      <c r="AY165" s="4"/>
      <c r="AZ165" s="4"/>
      <c r="BA165" s="4"/>
      <c r="BB165" s="3"/>
      <c r="BC165" s="3"/>
      <c r="CT165" s="5" t="e">
        <v>#N/A</v>
      </c>
      <c r="CU165" s="5" t="e">
        <v>#N/A</v>
      </c>
      <c r="CV165" s="5" t="e">
        <v>#N/A</v>
      </c>
      <c r="CW165" s="5" t="e">
        <v>#N/A</v>
      </c>
      <c r="CX165" s="5" t="e">
        <v>#N/A</v>
      </c>
      <c r="CY165" s="5" t="e">
        <v>#N/A</v>
      </c>
      <c r="CZ165" s="5" t="e">
        <v>#N/A</v>
      </c>
      <c r="DA165" s="5" t="e">
        <v>#N/A</v>
      </c>
      <c r="DB165" s="5" t="e">
        <v>#N/A</v>
      </c>
      <c r="DC165" s="5" t="e">
        <v>#N/A</v>
      </c>
      <c r="DD165" s="5" t="e">
        <v>#N/A</v>
      </c>
      <c r="DE165" s="5" t="e">
        <v>#N/A</v>
      </c>
      <c r="DF165" s="5" t="e">
        <v>#N/A</v>
      </c>
      <c r="DG165" s="5" t="e">
        <v>#N/A</v>
      </c>
      <c r="DH165" s="5" t="e">
        <v>#N/A</v>
      </c>
      <c r="DI165" s="5" t="e">
        <v>#N/A</v>
      </c>
    </row>
    <row r="166" spans="1:113" s="5" customFormat="1">
      <c r="A166"/>
      <c r="B166"/>
      <c r="C166" s="44"/>
      <c r="D166" s="44"/>
      <c r="E166" s="44"/>
      <c r="F166" s="44"/>
      <c r="G166" s="44"/>
      <c r="H166" s="44"/>
      <c r="I166" s="44"/>
      <c r="J166" s="44"/>
      <c r="K166" s="44"/>
      <c r="L166" s="44"/>
      <c r="M166" t="str">
        <f t="shared" si="21"/>
        <v>"//*[@class=\"</v>
      </c>
      <c r="N166" t="s">
        <v>31</v>
      </c>
      <c r="O166" s="4" t="str">
        <f t="shared" si="24"/>
        <v>click</v>
      </c>
      <c r="P166" t="str">
        <f t="shared" si="25"/>
        <v>();</v>
      </c>
      <c r="Q166" t="str">
        <f t="shared" si="26"/>
        <v/>
      </c>
      <c r="R166" t="str">
        <f t="shared" si="22"/>
        <v/>
      </c>
      <c r="S166" s="1" t="str">
        <f t="shared" si="23"/>
        <v/>
      </c>
      <c r="T166"/>
      <c r="U166"/>
      <c r="V166"/>
      <c r="W166"/>
      <c r="X166"/>
      <c r="Y166"/>
      <c r="Z166">
        <v>157</v>
      </c>
      <c r="AA166"/>
      <c r="AB166"/>
      <c r="AC166" s="6"/>
      <c r="AD166" s="6"/>
      <c r="AE166" s="6"/>
      <c r="AF166" s="6"/>
      <c r="AG166" s="4"/>
      <c r="AH166" s="4"/>
      <c r="AI166" s="4"/>
      <c r="AJ166" s="4"/>
      <c r="AK166" s="4"/>
      <c r="AL166" s="4"/>
      <c r="AM166" s="4"/>
      <c r="AN166" s="4"/>
      <c r="AO166" s="4"/>
      <c r="AP166" s="4"/>
      <c r="AQ166" s="4"/>
      <c r="AR166" s="4"/>
      <c r="AS166" s="4"/>
      <c r="AT166" s="4"/>
      <c r="AU166" s="4"/>
      <c r="AV166" s="4"/>
      <c r="AW166" s="4"/>
      <c r="AX166" s="4"/>
      <c r="AY166" s="4"/>
      <c r="AZ166" s="4"/>
      <c r="BA166" s="4"/>
      <c r="BB166" s="3"/>
      <c r="BC166" s="3"/>
      <c r="CT166" s="5" t="e">
        <v>#N/A</v>
      </c>
      <c r="CU166" s="5" t="e">
        <v>#N/A</v>
      </c>
      <c r="CV166" s="5" t="e">
        <v>#N/A</v>
      </c>
      <c r="CW166" s="5" t="e">
        <v>#N/A</v>
      </c>
      <c r="CX166" s="5" t="e">
        <v>#N/A</v>
      </c>
      <c r="CY166" s="5" t="e">
        <v>#N/A</v>
      </c>
      <c r="CZ166" s="5" t="e">
        <v>#N/A</v>
      </c>
      <c r="DA166" s="5" t="e">
        <v>#N/A</v>
      </c>
      <c r="DB166" s="5" t="e">
        <v>#N/A</v>
      </c>
      <c r="DC166" s="5" t="e">
        <v>#N/A</v>
      </c>
      <c r="DD166" s="5" t="e">
        <v>#N/A</v>
      </c>
      <c r="DE166" s="5" t="e">
        <v>#N/A</v>
      </c>
      <c r="DF166" s="5" t="e">
        <v>#N/A</v>
      </c>
      <c r="DG166" s="5" t="e">
        <v>#N/A</v>
      </c>
      <c r="DH166" s="5" t="e">
        <v>#N/A</v>
      </c>
      <c r="DI166" s="5" t="e">
        <v>#N/A</v>
      </c>
    </row>
    <row r="167" spans="1:113" s="5" customFormat="1">
      <c r="A167"/>
      <c r="B167"/>
      <c r="C167" s="44"/>
      <c r="D167" s="44"/>
      <c r="E167" s="44"/>
      <c r="F167" s="44"/>
      <c r="G167" s="44"/>
      <c r="H167" s="44"/>
      <c r="I167" s="44"/>
      <c r="J167" s="44"/>
      <c r="K167" s="44"/>
      <c r="L167" s="44"/>
      <c r="M167" t="str">
        <f t="shared" si="21"/>
        <v>"//*[@class=\"</v>
      </c>
      <c r="N167" t="s">
        <v>31</v>
      </c>
      <c r="O167" s="4" t="str">
        <f t="shared" si="24"/>
        <v>click</v>
      </c>
      <c r="P167" t="str">
        <f t="shared" si="25"/>
        <v>();</v>
      </c>
      <c r="Q167" t="str">
        <f t="shared" si="26"/>
        <v/>
      </c>
      <c r="R167" t="str">
        <f t="shared" si="22"/>
        <v/>
      </c>
      <c r="S167" s="1" t="str">
        <f t="shared" si="23"/>
        <v/>
      </c>
      <c r="T167"/>
      <c r="U167"/>
      <c r="V167"/>
      <c r="W167"/>
      <c r="X167"/>
      <c r="Y167"/>
      <c r="Z167">
        <v>158</v>
      </c>
      <c r="AA167"/>
      <c r="AB167"/>
      <c r="AC167" s="6"/>
      <c r="AD167" s="6"/>
      <c r="AE167" s="6"/>
      <c r="AF167" s="6"/>
      <c r="AG167" s="4"/>
      <c r="AH167" s="4"/>
      <c r="AI167" s="4"/>
      <c r="AJ167" s="4"/>
      <c r="AK167" s="4"/>
      <c r="AL167" s="4"/>
      <c r="AM167" s="4"/>
      <c r="AN167" s="4"/>
      <c r="AO167" s="4"/>
      <c r="AP167" s="4"/>
      <c r="AQ167" s="4"/>
      <c r="AR167" s="4"/>
      <c r="AS167" s="4"/>
      <c r="AT167" s="4"/>
      <c r="AU167" s="4"/>
      <c r="AV167" s="4"/>
      <c r="AW167" s="4"/>
      <c r="AX167" s="4"/>
      <c r="AY167" s="4"/>
      <c r="AZ167" s="4"/>
      <c r="BA167" s="4"/>
      <c r="BB167" s="3"/>
      <c r="BC167" s="3"/>
      <c r="CT167" s="5" t="e">
        <v>#N/A</v>
      </c>
      <c r="CU167" s="5" t="e">
        <v>#N/A</v>
      </c>
      <c r="CV167" s="5" t="e">
        <v>#N/A</v>
      </c>
      <c r="CW167" s="5" t="e">
        <v>#N/A</v>
      </c>
      <c r="CX167" s="5" t="e">
        <v>#N/A</v>
      </c>
      <c r="CY167" s="5" t="e">
        <v>#N/A</v>
      </c>
      <c r="CZ167" s="5" t="e">
        <v>#N/A</v>
      </c>
      <c r="DA167" s="5" t="e">
        <v>#N/A</v>
      </c>
      <c r="DB167" s="5" t="e">
        <v>#N/A</v>
      </c>
      <c r="DC167" s="5" t="e">
        <v>#N/A</v>
      </c>
      <c r="DD167" s="5" t="e">
        <v>#N/A</v>
      </c>
      <c r="DE167" s="5" t="e">
        <v>#N/A</v>
      </c>
      <c r="DF167" s="5" t="e">
        <v>#N/A</v>
      </c>
      <c r="DG167" s="5" t="e">
        <v>#N/A</v>
      </c>
      <c r="DH167" s="5" t="e">
        <v>#N/A</v>
      </c>
      <c r="DI167" s="5" t="e">
        <v>#N/A</v>
      </c>
    </row>
    <row r="168" spans="1:113" s="5" customFormat="1">
      <c r="A168"/>
      <c r="B168"/>
      <c r="C168" s="44"/>
      <c r="D168" s="44"/>
      <c r="E168" s="44"/>
      <c r="F168" s="44"/>
      <c r="G168" s="44"/>
      <c r="H168" s="44"/>
      <c r="I168" s="44"/>
      <c r="J168" s="44"/>
      <c r="K168" s="44"/>
      <c r="L168" s="44"/>
      <c r="M168" t="str">
        <f t="shared" si="21"/>
        <v>"//*[@class=\"</v>
      </c>
      <c r="N168" t="s">
        <v>31</v>
      </c>
      <c r="O168" s="4" t="str">
        <f t="shared" si="24"/>
        <v>click</v>
      </c>
      <c r="P168" t="str">
        <f t="shared" si="25"/>
        <v>();</v>
      </c>
      <c r="Q168" t="str">
        <f t="shared" si="26"/>
        <v/>
      </c>
      <c r="R168" t="str">
        <f t="shared" si="22"/>
        <v/>
      </c>
      <c r="S168" s="1" t="str">
        <f t="shared" si="23"/>
        <v/>
      </c>
      <c r="T168"/>
      <c r="U168"/>
      <c r="V168"/>
      <c r="W168"/>
      <c r="X168"/>
      <c r="Y168"/>
      <c r="Z168">
        <v>159</v>
      </c>
      <c r="AA168"/>
      <c r="AB168"/>
      <c r="AC168" s="6"/>
      <c r="AD168" s="6"/>
      <c r="AE168" s="6"/>
      <c r="AF168" s="6"/>
      <c r="AG168" s="4"/>
      <c r="AH168" s="4"/>
      <c r="AI168" s="4"/>
      <c r="AJ168" s="4"/>
      <c r="AK168" s="4"/>
      <c r="AL168" s="4"/>
      <c r="AM168" s="4"/>
      <c r="AN168" s="4"/>
      <c r="AO168" s="4"/>
      <c r="AP168" s="4"/>
      <c r="AQ168" s="4"/>
      <c r="AR168" s="4"/>
      <c r="AS168" s="4"/>
      <c r="AT168" s="4"/>
      <c r="AU168" s="4"/>
      <c r="AV168" s="4"/>
      <c r="AW168" s="4"/>
      <c r="AX168" s="4"/>
      <c r="AY168" s="4"/>
      <c r="AZ168" s="4"/>
      <c r="BA168" s="4"/>
      <c r="BB168" s="3"/>
      <c r="BC168" s="3"/>
      <c r="CT168" s="5" t="e">
        <v>#N/A</v>
      </c>
      <c r="CU168" s="5" t="e">
        <v>#N/A</v>
      </c>
      <c r="CV168" s="5" t="e">
        <v>#N/A</v>
      </c>
      <c r="CW168" s="5" t="e">
        <v>#N/A</v>
      </c>
      <c r="CX168" s="5" t="e">
        <v>#N/A</v>
      </c>
      <c r="CY168" s="5" t="e">
        <v>#N/A</v>
      </c>
      <c r="CZ168" s="5" t="e">
        <v>#N/A</v>
      </c>
      <c r="DA168" s="5" t="e">
        <v>#N/A</v>
      </c>
      <c r="DB168" s="5" t="e">
        <v>#N/A</v>
      </c>
      <c r="DC168" s="5" t="e">
        <v>#N/A</v>
      </c>
      <c r="DD168" s="5" t="e">
        <v>#N/A</v>
      </c>
      <c r="DE168" s="5" t="e">
        <v>#N/A</v>
      </c>
      <c r="DF168" s="5" t="e">
        <v>#N/A</v>
      </c>
      <c r="DG168" s="5" t="e">
        <v>#N/A</v>
      </c>
      <c r="DH168" s="5" t="e">
        <v>#N/A</v>
      </c>
      <c r="DI168" s="5" t="e">
        <v>#N/A</v>
      </c>
    </row>
    <row r="169" spans="1:113" s="5" customFormat="1">
      <c r="A169"/>
      <c r="B169"/>
      <c r="C169" s="44"/>
      <c r="D169" s="44"/>
      <c r="E169" s="44"/>
      <c r="F169" s="44"/>
      <c r="G169" s="44"/>
      <c r="H169" s="44"/>
      <c r="I169" s="44"/>
      <c r="J169" s="44"/>
      <c r="K169" s="44"/>
      <c r="L169" s="44"/>
      <c r="M169" t="str">
        <f t="shared" si="21"/>
        <v>"//*[@class=\"</v>
      </c>
      <c r="N169" t="s">
        <v>31</v>
      </c>
      <c r="O169" s="4" t="str">
        <f t="shared" si="24"/>
        <v>click</v>
      </c>
      <c r="P169" t="str">
        <f t="shared" si="25"/>
        <v>();</v>
      </c>
      <c r="Q169" t="str">
        <f t="shared" si="26"/>
        <v/>
      </c>
      <c r="R169" t="str">
        <f t="shared" si="22"/>
        <v/>
      </c>
      <c r="S169" s="1" t="str">
        <f t="shared" si="23"/>
        <v/>
      </c>
      <c r="T169"/>
      <c r="U169"/>
      <c r="V169"/>
      <c r="W169"/>
      <c r="X169"/>
      <c r="Y169"/>
      <c r="Z169">
        <v>160</v>
      </c>
      <c r="AA169"/>
      <c r="AB169"/>
      <c r="AC169" s="6"/>
      <c r="AD169" s="6"/>
      <c r="AE169" s="6"/>
      <c r="AF169" s="6"/>
      <c r="AG169" s="4"/>
      <c r="AH169" s="4"/>
      <c r="AI169" s="4"/>
      <c r="AJ169" s="4"/>
      <c r="AK169" s="4"/>
      <c r="AL169" s="4"/>
      <c r="AM169" s="4"/>
      <c r="AN169" s="4"/>
      <c r="AO169" s="4"/>
      <c r="AP169" s="4"/>
      <c r="AQ169" s="4"/>
      <c r="AR169" s="4"/>
      <c r="AS169" s="4"/>
      <c r="AT169" s="4"/>
      <c r="AU169" s="4"/>
      <c r="AV169" s="4"/>
      <c r="AW169" s="4"/>
      <c r="AX169" s="4"/>
      <c r="AY169" s="4"/>
      <c r="AZ169" s="4"/>
      <c r="BA169" s="4"/>
      <c r="BB169" s="3"/>
      <c r="BC169" s="3"/>
      <c r="CT169" s="5" t="e">
        <v>#N/A</v>
      </c>
      <c r="CU169" s="5" t="e">
        <v>#N/A</v>
      </c>
      <c r="CV169" s="5" t="e">
        <v>#N/A</v>
      </c>
      <c r="CW169" s="5" t="e">
        <v>#N/A</v>
      </c>
      <c r="CX169" s="5" t="e">
        <v>#N/A</v>
      </c>
      <c r="CY169" s="5" t="e">
        <v>#N/A</v>
      </c>
      <c r="CZ169" s="5" t="e">
        <v>#N/A</v>
      </c>
      <c r="DA169" s="5" t="e">
        <v>#N/A</v>
      </c>
      <c r="DB169" s="5" t="e">
        <v>#N/A</v>
      </c>
      <c r="DC169" s="5" t="e">
        <v>#N/A</v>
      </c>
      <c r="DD169" s="5" t="e">
        <v>#N/A</v>
      </c>
      <c r="DE169" s="5" t="e">
        <v>#N/A</v>
      </c>
      <c r="DF169" s="5" t="e">
        <v>#N/A</v>
      </c>
      <c r="DG169" s="5" t="e">
        <v>#N/A</v>
      </c>
      <c r="DH169" s="5" t="e">
        <v>#N/A</v>
      </c>
      <c r="DI169" s="5" t="e">
        <v>#N/A</v>
      </c>
    </row>
    <row r="170" spans="1:113" s="5" customFormat="1">
      <c r="A170"/>
      <c r="B170"/>
      <c r="C170" s="44"/>
      <c r="D170" s="44"/>
      <c r="E170" s="44"/>
      <c r="F170" s="44"/>
      <c r="G170" s="44"/>
      <c r="H170" s="44"/>
      <c r="I170" s="44"/>
      <c r="J170" s="44"/>
      <c r="K170" s="44"/>
      <c r="L170" s="44"/>
      <c r="M170" t="str">
        <f t="shared" si="21"/>
        <v>"//*[@class=\"</v>
      </c>
      <c r="N170" t="s">
        <v>31</v>
      </c>
      <c r="O170" s="4" t="str">
        <f t="shared" si="24"/>
        <v>click</v>
      </c>
      <c r="P170" t="str">
        <f t="shared" si="25"/>
        <v>();</v>
      </c>
      <c r="Q170" t="str">
        <f t="shared" si="26"/>
        <v/>
      </c>
      <c r="R170" t="str">
        <f t="shared" si="22"/>
        <v/>
      </c>
      <c r="S170" s="1" t="str">
        <f t="shared" si="23"/>
        <v/>
      </c>
      <c r="T170"/>
      <c r="U170"/>
      <c r="V170"/>
      <c r="W170"/>
      <c r="X170"/>
      <c r="Y170"/>
      <c r="Z170">
        <v>161</v>
      </c>
      <c r="AA170"/>
      <c r="AB170"/>
      <c r="AC170" s="6"/>
      <c r="AD170" s="6"/>
      <c r="AE170" s="6"/>
      <c r="AF170" s="6"/>
      <c r="AG170" s="4"/>
      <c r="AH170" s="4"/>
      <c r="AI170" s="4"/>
      <c r="AJ170" s="4"/>
      <c r="AK170" s="4"/>
      <c r="AL170" s="4"/>
      <c r="AM170" s="4"/>
      <c r="AN170" s="4"/>
      <c r="AO170" s="4"/>
      <c r="AP170" s="4"/>
      <c r="AQ170" s="4"/>
      <c r="AR170" s="4"/>
      <c r="AS170" s="4"/>
      <c r="AT170" s="4"/>
      <c r="AU170" s="4"/>
      <c r="AV170" s="4"/>
      <c r="AW170" s="4"/>
      <c r="AX170" s="4"/>
      <c r="AY170" s="4"/>
      <c r="AZ170" s="4"/>
      <c r="BA170" s="4"/>
      <c r="BB170" s="3"/>
      <c r="BC170" s="3"/>
      <c r="CT170" s="5" t="e">
        <v>#N/A</v>
      </c>
      <c r="CU170" s="5" t="e">
        <v>#N/A</v>
      </c>
      <c r="CV170" s="5" t="e">
        <v>#N/A</v>
      </c>
      <c r="CW170" s="5" t="e">
        <v>#N/A</v>
      </c>
      <c r="CX170" s="5" t="e">
        <v>#N/A</v>
      </c>
      <c r="CY170" s="5" t="e">
        <v>#N/A</v>
      </c>
      <c r="CZ170" s="5" t="e">
        <v>#N/A</v>
      </c>
      <c r="DA170" s="5" t="e">
        <v>#N/A</v>
      </c>
      <c r="DB170" s="5" t="e">
        <v>#N/A</v>
      </c>
      <c r="DC170" s="5" t="e">
        <v>#N/A</v>
      </c>
      <c r="DD170" s="5" t="e">
        <v>#N/A</v>
      </c>
      <c r="DE170" s="5" t="e">
        <v>#N/A</v>
      </c>
      <c r="DF170" s="5" t="e">
        <v>#N/A</v>
      </c>
      <c r="DG170" s="5" t="e">
        <v>#N/A</v>
      </c>
      <c r="DH170" s="5" t="e">
        <v>#N/A</v>
      </c>
      <c r="DI170" s="5" t="e">
        <v>#N/A</v>
      </c>
    </row>
    <row r="171" spans="1:113" s="5" customFormat="1">
      <c r="A171"/>
      <c r="B171"/>
      <c r="C171" s="44"/>
      <c r="D171" s="44"/>
      <c r="E171" s="44"/>
      <c r="F171" s="44"/>
      <c r="G171" s="44"/>
      <c r="H171" s="44"/>
      <c r="I171" s="44"/>
      <c r="J171" s="44"/>
      <c r="K171" s="44"/>
      <c r="L171" s="44"/>
      <c r="M171" t="str">
        <f t="shared" si="21"/>
        <v>"//*[@class=\"</v>
      </c>
      <c r="N171" t="s">
        <v>31</v>
      </c>
      <c r="O171" s="4" t="str">
        <f t="shared" si="24"/>
        <v>click</v>
      </c>
      <c r="P171" t="str">
        <f t="shared" si="25"/>
        <v>();</v>
      </c>
      <c r="Q171" t="str">
        <f t="shared" si="26"/>
        <v/>
      </c>
      <c r="R171" t="str">
        <f t="shared" si="22"/>
        <v/>
      </c>
      <c r="S171" s="1" t="str">
        <f t="shared" si="23"/>
        <v/>
      </c>
      <c r="T171"/>
      <c r="U171"/>
      <c r="V171"/>
      <c r="W171"/>
      <c r="X171"/>
      <c r="Y171"/>
      <c r="Z171">
        <v>162</v>
      </c>
      <c r="AA171"/>
      <c r="AB171"/>
      <c r="AC171" s="6"/>
      <c r="AD171" s="6"/>
      <c r="AE171" s="6"/>
      <c r="AF171" s="6"/>
      <c r="AG171" s="4"/>
      <c r="AH171" s="4"/>
      <c r="AI171" s="4"/>
      <c r="AJ171" s="4"/>
      <c r="AK171" s="4"/>
      <c r="AL171" s="4"/>
      <c r="AM171" s="4"/>
      <c r="AN171" s="4"/>
      <c r="AO171" s="4"/>
      <c r="AP171" s="4"/>
      <c r="AQ171" s="4"/>
      <c r="AR171" s="4"/>
      <c r="AS171" s="4"/>
      <c r="AT171" s="4"/>
      <c r="AU171" s="4"/>
      <c r="AV171" s="4"/>
      <c r="AW171" s="4"/>
      <c r="AX171" s="4"/>
      <c r="AY171" s="4"/>
      <c r="AZ171" s="4"/>
      <c r="BA171" s="4"/>
      <c r="BB171" s="3"/>
      <c r="BC171" s="3"/>
      <c r="CT171" s="5" t="e">
        <v>#N/A</v>
      </c>
      <c r="CU171" s="5" t="e">
        <v>#N/A</v>
      </c>
      <c r="CV171" s="5" t="e">
        <v>#N/A</v>
      </c>
      <c r="CW171" s="5" t="e">
        <v>#N/A</v>
      </c>
      <c r="CX171" s="5" t="e">
        <v>#N/A</v>
      </c>
      <c r="CY171" s="5" t="e">
        <v>#N/A</v>
      </c>
      <c r="CZ171" s="5" t="e">
        <v>#N/A</v>
      </c>
      <c r="DA171" s="5" t="e">
        <v>#N/A</v>
      </c>
      <c r="DB171" s="5" t="e">
        <v>#N/A</v>
      </c>
      <c r="DC171" s="5" t="e">
        <v>#N/A</v>
      </c>
      <c r="DD171" s="5" t="e">
        <v>#N/A</v>
      </c>
      <c r="DE171" s="5" t="e">
        <v>#N/A</v>
      </c>
      <c r="DF171" s="5" t="e">
        <v>#N/A</v>
      </c>
      <c r="DG171" s="5" t="e">
        <v>#N/A</v>
      </c>
      <c r="DH171" s="5" t="e">
        <v>#N/A</v>
      </c>
      <c r="DI171" s="5" t="e">
        <v>#N/A</v>
      </c>
    </row>
    <row r="172" spans="1:113" s="5" customFormat="1">
      <c r="A172"/>
      <c r="B172"/>
      <c r="C172" s="44"/>
      <c r="D172" s="44"/>
      <c r="E172" s="44"/>
      <c r="F172" s="44"/>
      <c r="G172" s="44"/>
      <c r="H172" s="44"/>
      <c r="I172" s="44"/>
      <c r="J172" s="44"/>
      <c r="K172" s="44"/>
      <c r="L172" s="44"/>
      <c r="M172" t="str">
        <f t="shared" si="21"/>
        <v>"//*[@class=\"</v>
      </c>
      <c r="N172" t="s">
        <v>31</v>
      </c>
      <c r="O172" s="4" t="str">
        <f t="shared" si="24"/>
        <v>click</v>
      </c>
      <c r="P172" t="str">
        <f t="shared" si="25"/>
        <v>();</v>
      </c>
      <c r="Q172" t="str">
        <f t="shared" si="26"/>
        <v/>
      </c>
      <c r="R172" t="str">
        <f t="shared" si="22"/>
        <v/>
      </c>
      <c r="S172" s="1" t="str">
        <f t="shared" si="23"/>
        <v/>
      </c>
      <c r="T172"/>
      <c r="U172"/>
      <c r="V172"/>
      <c r="W172"/>
      <c r="X172"/>
      <c r="Y172"/>
      <c r="Z172">
        <v>163</v>
      </c>
      <c r="AA172"/>
      <c r="AB172"/>
      <c r="AC172" s="6"/>
      <c r="AD172" s="6"/>
      <c r="AE172" s="6"/>
      <c r="AF172" s="6"/>
      <c r="AG172" s="4"/>
      <c r="AH172" s="4"/>
      <c r="AI172" s="4"/>
      <c r="AJ172" s="4"/>
      <c r="AK172" s="4"/>
      <c r="AL172" s="4"/>
      <c r="AM172" s="4"/>
      <c r="AN172" s="4"/>
      <c r="AO172" s="4"/>
      <c r="AP172" s="4"/>
      <c r="AQ172" s="4"/>
      <c r="AR172" s="4"/>
      <c r="AS172" s="4"/>
      <c r="AT172" s="4"/>
      <c r="AU172" s="4"/>
      <c r="AV172" s="4"/>
      <c r="AW172" s="4"/>
      <c r="AX172" s="4"/>
      <c r="AY172" s="4"/>
      <c r="AZ172" s="4"/>
      <c r="BA172" s="4"/>
      <c r="BB172" s="3"/>
      <c r="BC172" s="3"/>
      <c r="CT172" s="5" t="e">
        <v>#N/A</v>
      </c>
      <c r="CU172" s="5" t="e">
        <v>#N/A</v>
      </c>
      <c r="CV172" s="5" t="e">
        <v>#N/A</v>
      </c>
      <c r="CW172" s="5" t="e">
        <v>#N/A</v>
      </c>
      <c r="CX172" s="5" t="e">
        <v>#N/A</v>
      </c>
      <c r="CY172" s="5" t="e">
        <v>#N/A</v>
      </c>
      <c r="CZ172" s="5" t="e">
        <v>#N/A</v>
      </c>
      <c r="DA172" s="5" t="e">
        <v>#N/A</v>
      </c>
      <c r="DB172" s="5" t="e">
        <v>#N/A</v>
      </c>
      <c r="DC172" s="5" t="e">
        <v>#N/A</v>
      </c>
      <c r="DD172" s="5" t="e">
        <v>#N/A</v>
      </c>
      <c r="DE172" s="5" t="e">
        <v>#N/A</v>
      </c>
      <c r="DF172" s="5" t="e">
        <v>#N/A</v>
      </c>
      <c r="DG172" s="5" t="e">
        <v>#N/A</v>
      </c>
      <c r="DH172" s="5" t="e">
        <v>#N/A</v>
      </c>
      <c r="DI172" s="5" t="e">
        <v>#N/A</v>
      </c>
    </row>
    <row r="173" spans="1:113" s="5" customFormat="1">
      <c r="A173"/>
      <c r="B173"/>
      <c r="C173" s="44"/>
      <c r="D173" s="44"/>
      <c r="E173" s="44"/>
      <c r="F173" s="44"/>
      <c r="G173" s="44"/>
      <c r="H173" s="44"/>
      <c r="I173" s="44"/>
      <c r="J173" s="44"/>
      <c r="K173" s="44"/>
      <c r="L173" s="44"/>
      <c r="M173" t="str">
        <f t="shared" si="21"/>
        <v>"//*[@class=\"</v>
      </c>
      <c r="N173" t="s">
        <v>31</v>
      </c>
      <c r="O173" s="4" t="str">
        <f t="shared" si="24"/>
        <v>click</v>
      </c>
      <c r="P173" t="str">
        <f t="shared" si="25"/>
        <v>();</v>
      </c>
      <c r="Q173" t="str">
        <f t="shared" si="26"/>
        <v/>
      </c>
      <c r="R173" t="str">
        <f t="shared" si="22"/>
        <v/>
      </c>
      <c r="S173" s="1" t="str">
        <f t="shared" si="23"/>
        <v/>
      </c>
      <c r="T173"/>
      <c r="U173"/>
      <c r="V173"/>
      <c r="W173"/>
      <c r="X173"/>
      <c r="Y173"/>
      <c r="Z173">
        <v>164</v>
      </c>
      <c r="AA173"/>
      <c r="AB173"/>
      <c r="AC173" s="6"/>
      <c r="AD173" s="6"/>
      <c r="AE173" s="6"/>
      <c r="AF173" s="6"/>
      <c r="AG173" s="4"/>
      <c r="AH173" s="4"/>
      <c r="AI173" s="4"/>
      <c r="AJ173" s="4"/>
      <c r="AK173" s="4"/>
      <c r="AL173" s="4"/>
      <c r="AM173" s="4"/>
      <c r="AN173" s="4"/>
      <c r="AO173" s="4"/>
      <c r="AP173" s="4"/>
      <c r="AQ173" s="4"/>
      <c r="AR173" s="4"/>
      <c r="AS173" s="4"/>
      <c r="AT173" s="4"/>
      <c r="AU173" s="4"/>
      <c r="AV173" s="4"/>
      <c r="AW173" s="4"/>
      <c r="AX173" s="4"/>
      <c r="AY173" s="4"/>
      <c r="AZ173" s="4"/>
      <c r="BA173" s="4"/>
      <c r="BB173" s="3"/>
      <c r="BC173" s="3"/>
      <c r="CT173" s="5" t="e">
        <v>#N/A</v>
      </c>
      <c r="CU173" s="5" t="e">
        <v>#N/A</v>
      </c>
      <c r="CV173" s="5" t="e">
        <v>#N/A</v>
      </c>
      <c r="CW173" s="5" t="e">
        <v>#N/A</v>
      </c>
      <c r="CX173" s="5" t="e">
        <v>#N/A</v>
      </c>
      <c r="CY173" s="5" t="e">
        <v>#N/A</v>
      </c>
      <c r="CZ173" s="5" t="e">
        <v>#N/A</v>
      </c>
      <c r="DA173" s="5" t="e">
        <v>#N/A</v>
      </c>
      <c r="DB173" s="5" t="e">
        <v>#N/A</v>
      </c>
      <c r="DC173" s="5" t="e">
        <v>#N/A</v>
      </c>
      <c r="DD173" s="5" t="e">
        <v>#N/A</v>
      </c>
      <c r="DE173" s="5" t="e">
        <v>#N/A</v>
      </c>
      <c r="DF173" s="5" t="e">
        <v>#N/A</v>
      </c>
      <c r="DG173" s="5" t="e">
        <v>#N/A</v>
      </c>
      <c r="DH173" s="5" t="e">
        <v>#N/A</v>
      </c>
      <c r="DI173" s="5" t="e">
        <v>#N/A</v>
      </c>
    </row>
    <row r="174" spans="1:113" s="5" customFormat="1">
      <c r="A174"/>
      <c r="B174"/>
      <c r="C174" s="44"/>
      <c r="D174" s="44"/>
      <c r="E174" s="44"/>
      <c r="F174" s="44"/>
      <c r="G174" s="44"/>
      <c r="H174" s="44"/>
      <c r="I174" s="44"/>
      <c r="J174" s="44"/>
      <c r="K174" s="44"/>
      <c r="L174" s="44"/>
      <c r="M174" t="str">
        <f t="shared" si="21"/>
        <v>"//*[@class=\"</v>
      </c>
      <c r="N174" t="s">
        <v>31</v>
      </c>
      <c r="O174" s="4" t="str">
        <f t="shared" si="24"/>
        <v>click</v>
      </c>
      <c r="P174" t="str">
        <f t="shared" si="25"/>
        <v>();</v>
      </c>
      <c r="Q174" t="str">
        <f t="shared" si="26"/>
        <v/>
      </c>
      <c r="R174" t="str">
        <f t="shared" si="22"/>
        <v/>
      </c>
      <c r="S174" s="1" t="str">
        <f t="shared" si="23"/>
        <v/>
      </c>
      <c r="T174"/>
      <c r="U174"/>
      <c r="V174"/>
      <c r="W174"/>
      <c r="X174"/>
      <c r="Y174"/>
      <c r="Z174">
        <v>165</v>
      </c>
      <c r="AA174"/>
      <c r="AB174"/>
      <c r="AC174" s="6"/>
      <c r="AD174" s="6"/>
      <c r="AE174" s="6"/>
      <c r="AF174" s="6"/>
      <c r="AG174" s="4"/>
      <c r="AH174" s="4"/>
      <c r="AI174" s="4"/>
      <c r="AJ174" s="4"/>
      <c r="AK174" s="4"/>
      <c r="AL174" s="4"/>
      <c r="AM174" s="4"/>
      <c r="AN174" s="4"/>
      <c r="AO174" s="4"/>
      <c r="AP174" s="4"/>
      <c r="AQ174" s="4"/>
      <c r="AR174" s="4"/>
      <c r="AS174" s="4"/>
      <c r="AT174" s="4"/>
      <c r="AU174" s="4"/>
      <c r="AV174" s="4"/>
      <c r="AW174" s="4"/>
      <c r="AX174" s="4"/>
      <c r="AY174" s="4"/>
      <c r="AZ174" s="4"/>
      <c r="BA174" s="4"/>
      <c r="BB174" s="3"/>
      <c r="BC174" s="3"/>
      <c r="CT174" s="5" t="e">
        <v>#N/A</v>
      </c>
      <c r="CU174" s="5" t="e">
        <v>#N/A</v>
      </c>
      <c r="CV174" s="5" t="e">
        <v>#N/A</v>
      </c>
      <c r="CW174" s="5" t="e">
        <v>#N/A</v>
      </c>
      <c r="CX174" s="5" t="e">
        <v>#N/A</v>
      </c>
      <c r="CY174" s="5" t="e">
        <v>#N/A</v>
      </c>
      <c r="CZ174" s="5" t="e">
        <v>#N/A</v>
      </c>
      <c r="DA174" s="5" t="e">
        <v>#N/A</v>
      </c>
      <c r="DB174" s="5" t="e">
        <v>#N/A</v>
      </c>
      <c r="DC174" s="5" t="e">
        <v>#N/A</v>
      </c>
      <c r="DD174" s="5" t="e">
        <v>#N/A</v>
      </c>
      <c r="DE174" s="5" t="e">
        <v>#N/A</v>
      </c>
      <c r="DF174" s="5" t="e">
        <v>#N/A</v>
      </c>
      <c r="DG174" s="5" t="e">
        <v>#N/A</v>
      </c>
      <c r="DH174" s="5" t="e">
        <v>#N/A</v>
      </c>
      <c r="DI174" s="5" t="e">
        <v>#N/A</v>
      </c>
    </row>
    <row r="175" spans="1:113" s="5" customFormat="1">
      <c r="A175"/>
      <c r="B175"/>
      <c r="C175" s="44"/>
      <c r="D175" s="44"/>
      <c r="E175" s="44"/>
      <c r="F175" s="44"/>
      <c r="G175" s="44"/>
      <c r="H175" s="44"/>
      <c r="I175" s="44"/>
      <c r="J175" s="44"/>
      <c r="K175" s="44"/>
      <c r="L175" s="44"/>
      <c r="M175" t="str">
        <f t="shared" si="21"/>
        <v>"//*[@class=\"</v>
      </c>
      <c r="N175" t="s">
        <v>31</v>
      </c>
      <c r="O175" s="4" t="str">
        <f t="shared" si="24"/>
        <v>click</v>
      </c>
      <c r="P175" t="str">
        <f t="shared" si="25"/>
        <v>();</v>
      </c>
      <c r="Q175" t="str">
        <f t="shared" si="26"/>
        <v/>
      </c>
      <c r="R175" t="str">
        <f t="shared" si="22"/>
        <v/>
      </c>
      <c r="S175" s="1" t="str">
        <f t="shared" si="23"/>
        <v/>
      </c>
      <c r="T175"/>
      <c r="U175"/>
      <c r="V175"/>
      <c r="W175"/>
      <c r="X175"/>
      <c r="Y175"/>
      <c r="Z175">
        <v>166</v>
      </c>
      <c r="AA175"/>
      <c r="AB175"/>
      <c r="AC175" s="6"/>
      <c r="AD175" s="6"/>
      <c r="AE175" s="6"/>
      <c r="AF175" s="6"/>
      <c r="AG175" s="4"/>
      <c r="AH175" s="4"/>
      <c r="AI175" s="4"/>
      <c r="AJ175" s="4"/>
      <c r="AK175" s="4"/>
      <c r="AL175" s="4"/>
      <c r="AM175" s="4"/>
      <c r="AN175" s="4"/>
      <c r="AO175" s="4"/>
      <c r="AP175" s="4"/>
      <c r="AQ175" s="4"/>
      <c r="AR175" s="4"/>
      <c r="AS175" s="4"/>
      <c r="AT175" s="4"/>
      <c r="AU175" s="4"/>
      <c r="AV175" s="4"/>
      <c r="AW175" s="4"/>
      <c r="AX175" s="4"/>
      <c r="AY175" s="4"/>
      <c r="AZ175" s="4"/>
      <c r="BA175" s="4"/>
      <c r="BB175" s="3"/>
      <c r="BC175" s="3"/>
      <c r="CT175" s="5" t="e">
        <v>#N/A</v>
      </c>
      <c r="CU175" s="5" t="e">
        <v>#N/A</v>
      </c>
      <c r="CV175" s="5" t="e">
        <v>#N/A</v>
      </c>
      <c r="CW175" s="5" t="e">
        <v>#N/A</v>
      </c>
      <c r="CX175" s="5" t="e">
        <v>#N/A</v>
      </c>
      <c r="CY175" s="5" t="e">
        <v>#N/A</v>
      </c>
      <c r="CZ175" s="5" t="e">
        <v>#N/A</v>
      </c>
      <c r="DA175" s="5" t="e">
        <v>#N/A</v>
      </c>
      <c r="DB175" s="5" t="e">
        <v>#N/A</v>
      </c>
      <c r="DC175" s="5" t="e">
        <v>#N/A</v>
      </c>
      <c r="DD175" s="5" t="e">
        <v>#N/A</v>
      </c>
      <c r="DE175" s="5" t="e">
        <v>#N/A</v>
      </c>
      <c r="DF175" s="5" t="e">
        <v>#N/A</v>
      </c>
      <c r="DG175" s="5" t="e">
        <v>#N/A</v>
      </c>
      <c r="DH175" s="5" t="e">
        <v>#N/A</v>
      </c>
      <c r="DI175" s="5" t="e">
        <v>#N/A</v>
      </c>
    </row>
    <row r="176" spans="1:113" s="5" customFormat="1">
      <c r="A176"/>
      <c r="B176"/>
      <c r="C176" s="44"/>
      <c r="D176" s="44"/>
      <c r="E176" s="44"/>
      <c r="F176" s="44"/>
      <c r="G176" s="44"/>
      <c r="H176" s="44"/>
      <c r="I176" s="44"/>
      <c r="J176" s="44"/>
      <c r="K176" s="44"/>
      <c r="L176" s="44"/>
      <c r="M176" t="str">
        <f t="shared" si="21"/>
        <v>"//*[@class=\"</v>
      </c>
      <c r="N176" t="s">
        <v>31</v>
      </c>
      <c r="O176" s="4" t="str">
        <f t="shared" si="24"/>
        <v>click</v>
      </c>
      <c r="P176" t="str">
        <f t="shared" si="25"/>
        <v>();</v>
      </c>
      <c r="Q176" t="str">
        <f t="shared" si="26"/>
        <v/>
      </c>
      <c r="R176" t="str">
        <f t="shared" si="22"/>
        <v/>
      </c>
      <c r="S176" s="1" t="str">
        <f t="shared" si="23"/>
        <v/>
      </c>
      <c r="T176"/>
      <c r="U176"/>
      <c r="V176"/>
      <c r="W176"/>
      <c r="X176"/>
      <c r="Y176"/>
      <c r="Z176">
        <v>167</v>
      </c>
      <c r="AA176"/>
      <c r="AB176"/>
      <c r="AC176" s="6"/>
      <c r="AD176" s="6"/>
      <c r="AE176" s="6"/>
      <c r="AF176" s="6"/>
      <c r="AG176" s="4"/>
      <c r="AH176" s="4"/>
      <c r="AI176" s="4"/>
      <c r="AJ176" s="4"/>
      <c r="AK176" s="4"/>
      <c r="AL176" s="4"/>
      <c r="AM176" s="4"/>
      <c r="AN176" s="4"/>
      <c r="AO176" s="4"/>
      <c r="AP176" s="4"/>
      <c r="AQ176" s="4"/>
      <c r="AR176" s="4"/>
      <c r="AS176" s="4"/>
      <c r="AT176" s="4"/>
      <c r="AU176" s="4"/>
      <c r="AV176" s="4"/>
      <c r="AW176" s="4"/>
      <c r="AX176" s="4"/>
      <c r="AY176" s="4"/>
      <c r="AZ176" s="4"/>
      <c r="BA176" s="4"/>
      <c r="BB176" s="3"/>
      <c r="BC176" s="3"/>
      <c r="CT176" s="5" t="e">
        <v>#N/A</v>
      </c>
      <c r="CU176" s="5" t="e">
        <v>#N/A</v>
      </c>
      <c r="CV176" s="5" t="e">
        <v>#N/A</v>
      </c>
      <c r="CW176" s="5" t="e">
        <v>#N/A</v>
      </c>
      <c r="CX176" s="5" t="e">
        <v>#N/A</v>
      </c>
      <c r="CY176" s="5" t="e">
        <v>#N/A</v>
      </c>
      <c r="CZ176" s="5" t="e">
        <v>#N/A</v>
      </c>
      <c r="DA176" s="5" t="e">
        <v>#N/A</v>
      </c>
      <c r="DB176" s="5" t="e">
        <v>#N/A</v>
      </c>
      <c r="DC176" s="5" t="e">
        <v>#N/A</v>
      </c>
      <c r="DD176" s="5" t="e">
        <v>#N/A</v>
      </c>
      <c r="DE176" s="5" t="e">
        <v>#N/A</v>
      </c>
      <c r="DF176" s="5" t="e">
        <v>#N/A</v>
      </c>
      <c r="DG176" s="5" t="e">
        <v>#N/A</v>
      </c>
      <c r="DH176" s="5" t="e">
        <v>#N/A</v>
      </c>
      <c r="DI176" s="5" t="e">
        <v>#N/A</v>
      </c>
    </row>
    <row r="177" spans="1:113" s="5" customFormat="1">
      <c r="A177"/>
      <c r="B177"/>
      <c r="C177" s="44"/>
      <c r="D177" s="44"/>
      <c r="E177" s="44"/>
      <c r="F177" s="44"/>
      <c r="G177" s="44"/>
      <c r="H177" s="44"/>
      <c r="I177" s="44"/>
      <c r="J177" s="44"/>
      <c r="K177" s="44"/>
      <c r="L177" s="44"/>
      <c r="M177" t="str">
        <f t="shared" si="21"/>
        <v>"//*[@class=\"</v>
      </c>
      <c r="N177" t="s">
        <v>31</v>
      </c>
      <c r="O177" s="4" t="str">
        <f t="shared" si="24"/>
        <v>click</v>
      </c>
      <c r="P177" t="str">
        <f t="shared" si="25"/>
        <v>();</v>
      </c>
      <c r="Q177" t="str">
        <f t="shared" si="26"/>
        <v/>
      </c>
      <c r="R177" t="str">
        <f t="shared" si="22"/>
        <v/>
      </c>
      <c r="S177" s="1" t="str">
        <f t="shared" si="23"/>
        <v/>
      </c>
      <c r="T177"/>
      <c r="U177"/>
      <c r="V177"/>
      <c r="W177"/>
      <c r="X177"/>
      <c r="Y177"/>
      <c r="Z177">
        <v>168</v>
      </c>
      <c r="AA177"/>
      <c r="AB177"/>
      <c r="AC177" s="6"/>
      <c r="AD177" s="6"/>
      <c r="AE177" s="6"/>
      <c r="AF177" s="6"/>
      <c r="AG177" s="4"/>
      <c r="AH177" s="4"/>
      <c r="AI177" s="4"/>
      <c r="AJ177" s="4"/>
      <c r="AK177" s="4"/>
      <c r="AL177" s="4"/>
      <c r="AM177" s="4"/>
      <c r="AN177" s="4"/>
      <c r="AO177" s="4"/>
      <c r="AP177" s="4"/>
      <c r="AQ177" s="4"/>
      <c r="AR177" s="4"/>
      <c r="AS177" s="4"/>
      <c r="AT177" s="4"/>
      <c r="AU177" s="4"/>
      <c r="AV177" s="4"/>
      <c r="AW177" s="4"/>
      <c r="AX177" s="4"/>
      <c r="AY177" s="4"/>
      <c r="AZ177" s="4"/>
      <c r="BA177" s="4"/>
      <c r="BB177" s="3"/>
      <c r="BC177" s="3"/>
      <c r="CT177" s="5" t="e">
        <v>#N/A</v>
      </c>
      <c r="CU177" s="5" t="e">
        <v>#N/A</v>
      </c>
      <c r="CV177" s="5" t="e">
        <v>#N/A</v>
      </c>
      <c r="CW177" s="5" t="e">
        <v>#N/A</v>
      </c>
      <c r="CX177" s="5" t="e">
        <v>#N/A</v>
      </c>
      <c r="CY177" s="5" t="e">
        <v>#N/A</v>
      </c>
      <c r="CZ177" s="5" t="e">
        <v>#N/A</v>
      </c>
      <c r="DA177" s="5" t="e">
        <v>#N/A</v>
      </c>
      <c r="DB177" s="5" t="e">
        <v>#N/A</v>
      </c>
      <c r="DC177" s="5" t="e">
        <v>#N/A</v>
      </c>
      <c r="DD177" s="5" t="e">
        <v>#N/A</v>
      </c>
      <c r="DE177" s="5" t="e">
        <v>#N/A</v>
      </c>
      <c r="DF177" s="5" t="e">
        <v>#N/A</v>
      </c>
      <c r="DG177" s="5" t="e">
        <v>#N/A</v>
      </c>
      <c r="DH177" s="5" t="e">
        <v>#N/A</v>
      </c>
      <c r="DI177" s="5" t="e">
        <v>#N/A</v>
      </c>
    </row>
    <row r="178" spans="1:113" s="5" customFormat="1">
      <c r="A178"/>
      <c r="B178"/>
      <c r="C178" s="44"/>
      <c r="D178" s="44"/>
      <c r="E178" s="44"/>
      <c r="F178" s="44"/>
      <c r="G178" s="44"/>
      <c r="H178" s="44"/>
      <c r="I178" s="44"/>
      <c r="J178" s="44"/>
      <c r="K178" s="44"/>
      <c r="L178" s="44"/>
      <c r="M178" t="str">
        <f t="shared" si="21"/>
        <v>"//*[@class=\"</v>
      </c>
      <c r="N178" t="s">
        <v>31</v>
      </c>
      <c r="O178" s="4" t="str">
        <f t="shared" si="24"/>
        <v>click</v>
      </c>
      <c r="P178" t="str">
        <f t="shared" si="25"/>
        <v>();</v>
      </c>
      <c r="Q178" t="str">
        <f t="shared" si="26"/>
        <v/>
      </c>
      <c r="R178" t="str">
        <f t="shared" si="22"/>
        <v/>
      </c>
      <c r="S178" s="1" t="str">
        <f t="shared" si="23"/>
        <v/>
      </c>
      <c r="T178"/>
      <c r="U178"/>
      <c r="V178"/>
      <c r="W178"/>
      <c r="X178"/>
      <c r="Y178"/>
      <c r="Z178">
        <v>169</v>
      </c>
      <c r="AA178"/>
      <c r="AB178"/>
      <c r="AC178" s="6"/>
      <c r="AD178" s="6"/>
      <c r="AE178" s="6"/>
      <c r="AF178" s="6"/>
      <c r="AG178" s="4"/>
      <c r="AH178" s="4"/>
      <c r="AI178" s="4"/>
      <c r="AJ178" s="4"/>
      <c r="AK178" s="4"/>
      <c r="AL178" s="4"/>
      <c r="AM178" s="4"/>
      <c r="AN178" s="4"/>
      <c r="AO178" s="4"/>
      <c r="AP178" s="4"/>
      <c r="AQ178" s="4"/>
      <c r="AR178" s="4"/>
      <c r="AS178" s="4"/>
      <c r="AT178" s="4"/>
      <c r="AU178" s="4"/>
      <c r="AV178" s="4"/>
      <c r="AW178" s="4"/>
      <c r="AX178" s="4"/>
      <c r="AY178" s="4"/>
      <c r="AZ178" s="4"/>
      <c r="BA178" s="4"/>
      <c r="BB178" s="3"/>
      <c r="BC178" s="3"/>
      <c r="CT178" s="5" t="e">
        <v>#N/A</v>
      </c>
      <c r="CU178" s="5" t="e">
        <v>#N/A</v>
      </c>
      <c r="CV178" s="5" t="e">
        <v>#N/A</v>
      </c>
      <c r="CW178" s="5" t="e">
        <v>#N/A</v>
      </c>
      <c r="CX178" s="5" t="e">
        <v>#N/A</v>
      </c>
      <c r="CY178" s="5" t="e">
        <v>#N/A</v>
      </c>
      <c r="CZ178" s="5" t="e">
        <v>#N/A</v>
      </c>
      <c r="DA178" s="5" t="e">
        <v>#N/A</v>
      </c>
      <c r="DB178" s="5" t="e">
        <v>#N/A</v>
      </c>
      <c r="DC178" s="5" t="e">
        <v>#N/A</v>
      </c>
      <c r="DD178" s="5" t="e">
        <v>#N/A</v>
      </c>
      <c r="DE178" s="5" t="e">
        <v>#N/A</v>
      </c>
      <c r="DF178" s="5" t="e">
        <v>#N/A</v>
      </c>
      <c r="DG178" s="5" t="e">
        <v>#N/A</v>
      </c>
      <c r="DH178" s="5" t="e">
        <v>#N/A</v>
      </c>
      <c r="DI178" s="5" t="e">
        <v>#N/A</v>
      </c>
    </row>
    <row r="179" spans="1:113" s="5" customFormat="1">
      <c r="A179"/>
      <c r="B179"/>
      <c r="C179" s="44"/>
      <c r="D179" s="44"/>
      <c r="E179" s="44"/>
      <c r="F179" s="44"/>
      <c r="G179" s="44"/>
      <c r="H179" s="44"/>
      <c r="I179" s="44"/>
      <c r="J179" s="44"/>
      <c r="K179" s="44"/>
      <c r="L179" s="44"/>
      <c r="M179" t="str">
        <f t="shared" si="21"/>
        <v>"//*[@class=\"</v>
      </c>
      <c r="N179" t="s">
        <v>31</v>
      </c>
      <c r="O179" s="4" t="str">
        <f t="shared" si="24"/>
        <v>click</v>
      </c>
      <c r="P179" t="str">
        <f t="shared" si="25"/>
        <v>();</v>
      </c>
      <c r="Q179" t="str">
        <f t="shared" si="26"/>
        <v/>
      </c>
      <c r="R179" t="str">
        <f t="shared" si="22"/>
        <v/>
      </c>
      <c r="S179" s="1" t="str">
        <f t="shared" si="23"/>
        <v/>
      </c>
      <c r="T179"/>
      <c r="U179"/>
      <c r="V179"/>
      <c r="W179"/>
      <c r="X179"/>
      <c r="Y179"/>
      <c r="Z179">
        <v>170</v>
      </c>
      <c r="AA179"/>
      <c r="AB179"/>
      <c r="AC179" s="6"/>
      <c r="AD179" s="6"/>
      <c r="AE179" s="6"/>
      <c r="AF179" s="6"/>
      <c r="AG179" s="4"/>
      <c r="AH179" s="4"/>
      <c r="AI179" s="4"/>
      <c r="AJ179" s="4"/>
      <c r="AK179" s="4"/>
      <c r="AL179" s="4"/>
      <c r="AM179" s="4"/>
      <c r="AN179" s="4"/>
      <c r="AO179" s="4"/>
      <c r="AP179" s="4"/>
      <c r="AQ179" s="4"/>
      <c r="AR179" s="4"/>
      <c r="AS179" s="4"/>
      <c r="AT179" s="4"/>
      <c r="AU179" s="4"/>
      <c r="AV179" s="4"/>
      <c r="AW179" s="4"/>
      <c r="AX179" s="4"/>
      <c r="AY179" s="4"/>
      <c r="AZ179" s="4"/>
      <c r="BA179" s="4"/>
      <c r="BB179" s="3"/>
      <c r="BC179" s="3"/>
      <c r="CT179" s="5" t="e">
        <v>#N/A</v>
      </c>
      <c r="CU179" s="5" t="e">
        <v>#N/A</v>
      </c>
      <c r="CV179" s="5" t="e">
        <v>#N/A</v>
      </c>
      <c r="CW179" s="5" t="e">
        <v>#N/A</v>
      </c>
      <c r="CX179" s="5" t="e">
        <v>#N/A</v>
      </c>
      <c r="CY179" s="5" t="e">
        <v>#N/A</v>
      </c>
      <c r="CZ179" s="5" t="e">
        <v>#N/A</v>
      </c>
      <c r="DA179" s="5" t="e">
        <v>#N/A</v>
      </c>
      <c r="DB179" s="5" t="e">
        <v>#N/A</v>
      </c>
      <c r="DC179" s="5" t="e">
        <v>#N/A</v>
      </c>
      <c r="DD179" s="5" t="e">
        <v>#N/A</v>
      </c>
      <c r="DE179" s="5" t="e">
        <v>#N/A</v>
      </c>
      <c r="DF179" s="5" t="e">
        <v>#N/A</v>
      </c>
      <c r="DG179" s="5" t="e">
        <v>#N/A</v>
      </c>
      <c r="DH179" s="5" t="e">
        <v>#N/A</v>
      </c>
      <c r="DI179" s="5" t="e">
        <v>#N/A</v>
      </c>
    </row>
    <row r="180" spans="1:113" s="5" customFormat="1">
      <c r="A180"/>
      <c r="B180"/>
      <c r="C180" s="44"/>
      <c r="D180" s="44"/>
      <c r="E180" s="44"/>
      <c r="F180" s="44"/>
      <c r="G180" s="44"/>
      <c r="H180" s="44"/>
      <c r="I180" s="44"/>
      <c r="J180" s="44"/>
      <c r="K180" s="44"/>
      <c r="L180" s="44"/>
      <c r="M180" t="str">
        <f t="shared" si="21"/>
        <v>"//*[@class=\"</v>
      </c>
      <c r="N180" t="s">
        <v>31</v>
      </c>
      <c r="O180" s="4" t="str">
        <f t="shared" si="24"/>
        <v>click</v>
      </c>
      <c r="P180" t="str">
        <f t="shared" si="25"/>
        <v>();</v>
      </c>
      <c r="Q180" t="str">
        <f t="shared" si="26"/>
        <v/>
      </c>
      <c r="R180" t="str">
        <f t="shared" si="22"/>
        <v/>
      </c>
      <c r="S180" s="1" t="str">
        <f t="shared" si="23"/>
        <v/>
      </c>
      <c r="T180"/>
      <c r="U180"/>
      <c r="V180"/>
      <c r="W180"/>
      <c r="X180"/>
      <c r="Y180"/>
      <c r="Z180">
        <v>171</v>
      </c>
      <c r="AA180"/>
      <c r="AB180"/>
      <c r="AC180" s="6"/>
      <c r="AD180" s="6"/>
      <c r="AE180" s="6"/>
      <c r="AF180" s="6"/>
      <c r="AG180" s="4"/>
      <c r="AH180" s="4"/>
      <c r="AI180" s="4"/>
      <c r="AJ180" s="4"/>
      <c r="AK180" s="4"/>
      <c r="AL180" s="4"/>
      <c r="AM180" s="4"/>
      <c r="AN180" s="4"/>
      <c r="AO180" s="4"/>
      <c r="AP180" s="4"/>
      <c r="AQ180" s="4"/>
      <c r="AR180" s="4"/>
      <c r="AS180" s="4"/>
      <c r="AT180" s="4"/>
      <c r="AU180" s="4"/>
      <c r="AV180" s="4"/>
      <c r="AW180" s="4"/>
      <c r="AX180" s="4"/>
      <c r="AY180" s="4"/>
      <c r="AZ180" s="4"/>
      <c r="BA180" s="4"/>
      <c r="BB180" s="3"/>
      <c r="BC180" s="3"/>
      <c r="CT180" s="5" t="e">
        <v>#N/A</v>
      </c>
      <c r="CU180" s="5" t="e">
        <v>#N/A</v>
      </c>
      <c r="CV180" s="5" t="e">
        <v>#N/A</v>
      </c>
      <c r="CW180" s="5" t="e">
        <v>#N/A</v>
      </c>
      <c r="CX180" s="5" t="e">
        <v>#N/A</v>
      </c>
      <c r="CY180" s="5" t="e">
        <v>#N/A</v>
      </c>
      <c r="CZ180" s="5" t="e">
        <v>#N/A</v>
      </c>
      <c r="DA180" s="5" t="e">
        <v>#N/A</v>
      </c>
      <c r="DB180" s="5" t="e">
        <v>#N/A</v>
      </c>
      <c r="DC180" s="5" t="e">
        <v>#N/A</v>
      </c>
      <c r="DD180" s="5" t="e">
        <v>#N/A</v>
      </c>
      <c r="DE180" s="5" t="e">
        <v>#N/A</v>
      </c>
      <c r="DF180" s="5" t="e">
        <v>#N/A</v>
      </c>
      <c r="DG180" s="5" t="e">
        <v>#N/A</v>
      </c>
      <c r="DH180" s="5" t="e">
        <v>#N/A</v>
      </c>
      <c r="DI180" s="5" t="e">
        <v>#N/A</v>
      </c>
    </row>
    <row r="181" spans="1:113" s="5" customFormat="1">
      <c r="A181"/>
      <c r="B181"/>
      <c r="C181" s="44"/>
      <c r="D181" s="44"/>
      <c r="E181" s="44"/>
      <c r="F181" s="44"/>
      <c r="G181" s="44"/>
      <c r="H181" s="44"/>
      <c r="I181" s="44"/>
      <c r="J181" s="44"/>
      <c r="K181" s="44"/>
      <c r="L181" s="44"/>
      <c r="M181" t="str">
        <f t="shared" si="21"/>
        <v>"//*[@class=\"</v>
      </c>
      <c r="N181" t="s">
        <v>31</v>
      </c>
      <c r="O181" s="4" t="str">
        <f t="shared" si="24"/>
        <v>click</v>
      </c>
      <c r="P181" t="str">
        <f t="shared" si="25"/>
        <v>();</v>
      </c>
      <c r="Q181" t="str">
        <f t="shared" si="26"/>
        <v/>
      </c>
      <c r="R181" t="str">
        <f t="shared" si="22"/>
        <v/>
      </c>
      <c r="S181" s="1" t="str">
        <f t="shared" si="23"/>
        <v/>
      </c>
      <c r="T181"/>
      <c r="U181"/>
      <c r="V181"/>
      <c r="W181"/>
      <c r="X181"/>
      <c r="Y181"/>
      <c r="Z181">
        <v>172</v>
      </c>
      <c r="AA181"/>
      <c r="AB181"/>
      <c r="AC181" s="6"/>
      <c r="AD181" s="6"/>
      <c r="AE181" s="6"/>
      <c r="AF181" s="6"/>
      <c r="AG181" s="4"/>
      <c r="AH181" s="4"/>
      <c r="AI181" s="4"/>
      <c r="AJ181" s="4"/>
      <c r="AK181" s="4"/>
      <c r="AL181" s="4"/>
      <c r="AM181" s="4"/>
      <c r="AN181" s="4"/>
      <c r="AO181" s="4"/>
      <c r="AP181" s="4"/>
      <c r="AQ181" s="4"/>
      <c r="AR181" s="4"/>
      <c r="AS181" s="4"/>
      <c r="AT181" s="4"/>
      <c r="AU181" s="4"/>
      <c r="AV181" s="4"/>
      <c r="AW181" s="4"/>
      <c r="AX181" s="4"/>
      <c r="AY181" s="4"/>
      <c r="AZ181" s="4"/>
      <c r="BA181" s="4"/>
      <c r="BB181" s="3"/>
      <c r="BC181" s="3"/>
      <c r="CT181" s="5" t="e">
        <v>#N/A</v>
      </c>
      <c r="CU181" s="5" t="e">
        <v>#N/A</v>
      </c>
      <c r="CV181" s="5" t="e">
        <v>#N/A</v>
      </c>
      <c r="CW181" s="5" t="e">
        <v>#N/A</v>
      </c>
      <c r="CX181" s="5" t="e">
        <v>#N/A</v>
      </c>
      <c r="CY181" s="5" t="e">
        <v>#N/A</v>
      </c>
      <c r="CZ181" s="5" t="e">
        <v>#N/A</v>
      </c>
      <c r="DA181" s="5" t="e">
        <v>#N/A</v>
      </c>
      <c r="DB181" s="5" t="e">
        <v>#N/A</v>
      </c>
      <c r="DC181" s="5" t="e">
        <v>#N/A</v>
      </c>
      <c r="DD181" s="5" t="e">
        <v>#N/A</v>
      </c>
      <c r="DE181" s="5" t="e">
        <v>#N/A</v>
      </c>
      <c r="DF181" s="5" t="e">
        <v>#N/A</v>
      </c>
      <c r="DG181" s="5" t="e">
        <v>#N/A</v>
      </c>
      <c r="DH181" s="5" t="e">
        <v>#N/A</v>
      </c>
      <c r="DI181" s="5" t="e">
        <v>#N/A</v>
      </c>
    </row>
    <row r="182" spans="1:113" s="5" customFormat="1">
      <c r="A182"/>
      <c r="B182"/>
      <c r="C182" s="44"/>
      <c r="D182" s="44"/>
      <c r="E182" s="44"/>
      <c r="F182" s="44"/>
      <c r="G182" s="44"/>
      <c r="H182" s="44"/>
      <c r="I182" s="44"/>
      <c r="J182" s="44"/>
      <c r="K182" s="44"/>
      <c r="L182" s="44"/>
      <c r="M182" t="str">
        <f t="shared" si="21"/>
        <v>"//*[@class=\"</v>
      </c>
      <c r="N182" t="s">
        <v>31</v>
      </c>
      <c r="O182" s="4" t="str">
        <f t="shared" si="24"/>
        <v>click</v>
      </c>
      <c r="P182" t="str">
        <f t="shared" si="25"/>
        <v>();</v>
      </c>
      <c r="Q182" t="str">
        <f t="shared" si="26"/>
        <v/>
      </c>
      <c r="R182" t="str">
        <f t="shared" si="22"/>
        <v/>
      </c>
      <c r="S182" s="1" t="str">
        <f t="shared" si="23"/>
        <v/>
      </c>
      <c r="T182"/>
      <c r="U182"/>
      <c r="V182"/>
      <c r="W182"/>
      <c r="X182"/>
      <c r="Y182"/>
      <c r="Z182">
        <v>173</v>
      </c>
      <c r="AA182"/>
      <c r="AB182"/>
      <c r="AC182" s="6"/>
      <c r="AD182" s="6"/>
      <c r="AE182" s="6"/>
      <c r="AF182" s="6"/>
      <c r="AG182" s="4"/>
      <c r="AH182" s="4"/>
      <c r="AI182" s="4"/>
      <c r="AJ182" s="4"/>
      <c r="AK182" s="4"/>
      <c r="AL182" s="4"/>
      <c r="AM182" s="4"/>
      <c r="AN182" s="4"/>
      <c r="AO182" s="4"/>
      <c r="AP182" s="4"/>
      <c r="AQ182" s="4"/>
      <c r="AR182" s="4"/>
      <c r="AS182" s="4"/>
      <c r="AT182" s="4"/>
      <c r="AU182" s="4"/>
      <c r="AV182" s="4"/>
      <c r="AW182" s="4"/>
      <c r="AX182" s="4"/>
      <c r="AY182" s="4"/>
      <c r="AZ182" s="4"/>
      <c r="BA182" s="4"/>
      <c r="BB182" s="3"/>
      <c r="BC182" s="3"/>
      <c r="CT182" s="5" t="e">
        <v>#N/A</v>
      </c>
      <c r="CU182" s="5" t="e">
        <v>#N/A</v>
      </c>
      <c r="CV182" s="5" t="e">
        <v>#N/A</v>
      </c>
      <c r="CW182" s="5" t="e">
        <v>#N/A</v>
      </c>
      <c r="CX182" s="5" t="e">
        <v>#N/A</v>
      </c>
      <c r="CY182" s="5" t="e">
        <v>#N/A</v>
      </c>
      <c r="CZ182" s="5" t="e">
        <v>#N/A</v>
      </c>
      <c r="DA182" s="5" t="e">
        <v>#N/A</v>
      </c>
      <c r="DB182" s="5" t="e">
        <v>#N/A</v>
      </c>
      <c r="DC182" s="5" t="e">
        <v>#N/A</v>
      </c>
      <c r="DD182" s="5" t="e">
        <v>#N/A</v>
      </c>
      <c r="DE182" s="5" t="e">
        <v>#N/A</v>
      </c>
      <c r="DF182" s="5" t="e">
        <v>#N/A</v>
      </c>
      <c r="DG182" s="5" t="e">
        <v>#N/A</v>
      </c>
      <c r="DH182" s="5" t="e">
        <v>#N/A</v>
      </c>
      <c r="DI182" s="5" t="e">
        <v>#N/A</v>
      </c>
    </row>
    <row r="183" spans="1:113" s="5" customFormat="1">
      <c r="A183"/>
      <c r="B183"/>
      <c r="C183" s="44"/>
      <c r="D183" s="44"/>
      <c r="E183" s="44"/>
      <c r="F183" s="44"/>
      <c r="G183" s="44"/>
      <c r="H183" s="44"/>
      <c r="I183" s="44"/>
      <c r="J183" s="44"/>
      <c r="K183" s="44"/>
      <c r="L183" s="44"/>
      <c r="M183" t="str">
        <f t="shared" si="21"/>
        <v>"//*[@class=\"</v>
      </c>
      <c r="N183" t="s">
        <v>31</v>
      </c>
      <c r="O183" s="4" t="str">
        <f t="shared" si="24"/>
        <v>click</v>
      </c>
      <c r="P183" t="str">
        <f t="shared" si="25"/>
        <v>();</v>
      </c>
      <c r="Q183" t="str">
        <f t="shared" si="26"/>
        <v/>
      </c>
      <c r="R183" t="str">
        <f t="shared" si="22"/>
        <v/>
      </c>
      <c r="S183" s="1" t="str">
        <f t="shared" si="23"/>
        <v/>
      </c>
      <c r="T183"/>
      <c r="U183"/>
      <c r="V183"/>
      <c r="W183"/>
      <c r="X183"/>
      <c r="Y183"/>
      <c r="Z183">
        <v>174</v>
      </c>
      <c r="AA183"/>
      <c r="AB183"/>
      <c r="AC183" s="6"/>
      <c r="AD183" s="6"/>
      <c r="AE183" s="6"/>
      <c r="AF183" s="6"/>
      <c r="AG183" s="4"/>
      <c r="AH183" s="4"/>
      <c r="AI183" s="4"/>
      <c r="AJ183" s="4"/>
      <c r="AK183" s="4"/>
      <c r="AL183" s="4"/>
      <c r="AM183" s="4"/>
      <c r="AN183" s="4"/>
      <c r="AO183" s="4"/>
      <c r="AP183" s="4"/>
      <c r="AQ183" s="4"/>
      <c r="AR183" s="4"/>
      <c r="AS183" s="4"/>
      <c r="AT183" s="4"/>
      <c r="AU183" s="4"/>
      <c r="AV183" s="4"/>
      <c r="AW183" s="4"/>
      <c r="AX183" s="4"/>
      <c r="AY183" s="4"/>
      <c r="AZ183" s="4"/>
      <c r="BA183" s="4"/>
      <c r="BB183" s="3"/>
      <c r="BC183" s="3"/>
      <c r="CT183" s="5" t="e">
        <v>#N/A</v>
      </c>
      <c r="CU183" s="5" t="e">
        <v>#N/A</v>
      </c>
      <c r="CV183" s="5" t="e">
        <v>#N/A</v>
      </c>
      <c r="CW183" s="5" t="e">
        <v>#N/A</v>
      </c>
      <c r="CX183" s="5" t="e">
        <v>#N/A</v>
      </c>
      <c r="CY183" s="5" t="e">
        <v>#N/A</v>
      </c>
      <c r="CZ183" s="5" t="e">
        <v>#N/A</v>
      </c>
      <c r="DA183" s="5" t="e">
        <v>#N/A</v>
      </c>
      <c r="DB183" s="5" t="e">
        <v>#N/A</v>
      </c>
      <c r="DC183" s="5" t="e">
        <v>#N/A</v>
      </c>
      <c r="DD183" s="5" t="e">
        <v>#N/A</v>
      </c>
      <c r="DE183" s="5" t="e">
        <v>#N/A</v>
      </c>
      <c r="DF183" s="5" t="e">
        <v>#N/A</v>
      </c>
      <c r="DG183" s="5" t="e">
        <v>#N/A</v>
      </c>
      <c r="DH183" s="5" t="e">
        <v>#N/A</v>
      </c>
      <c r="DI183" s="5" t="e">
        <v>#N/A</v>
      </c>
    </row>
    <row r="184" spans="1:113" s="5" customFormat="1">
      <c r="A184"/>
      <c r="B184"/>
      <c r="C184" s="44"/>
      <c r="D184" s="44"/>
      <c r="E184" s="44"/>
      <c r="F184" s="44"/>
      <c r="G184" s="44"/>
      <c r="H184" s="44"/>
      <c r="I184" s="44"/>
      <c r="J184" s="44"/>
      <c r="K184" s="44"/>
      <c r="L184" s="44"/>
      <c r="M184" t="str">
        <f t="shared" si="21"/>
        <v>"//*[@class=\"</v>
      </c>
      <c r="N184" t="s">
        <v>31</v>
      </c>
      <c r="O184" s="4" t="str">
        <f t="shared" si="24"/>
        <v>click</v>
      </c>
      <c r="P184" t="str">
        <f t="shared" si="25"/>
        <v>();</v>
      </c>
      <c r="Q184" t="str">
        <f t="shared" si="26"/>
        <v/>
      </c>
      <c r="R184" t="str">
        <f t="shared" si="22"/>
        <v/>
      </c>
      <c r="S184" s="1" t="str">
        <f t="shared" si="23"/>
        <v/>
      </c>
      <c r="T184"/>
      <c r="U184"/>
      <c r="V184"/>
      <c r="W184"/>
      <c r="X184"/>
      <c r="Y184"/>
      <c r="Z184">
        <v>175</v>
      </c>
      <c r="AA184"/>
      <c r="AB184"/>
      <c r="AC184" s="6"/>
      <c r="AD184" s="6"/>
      <c r="AE184" s="6"/>
      <c r="AF184" s="6"/>
      <c r="AG184" s="4"/>
      <c r="AH184" s="4"/>
      <c r="AI184" s="4"/>
      <c r="AJ184" s="4"/>
      <c r="AK184" s="4"/>
      <c r="AL184" s="4"/>
      <c r="AM184" s="4"/>
      <c r="AN184" s="4"/>
      <c r="AO184" s="4"/>
      <c r="AP184" s="4"/>
      <c r="AQ184" s="4"/>
      <c r="AR184" s="4"/>
      <c r="AS184" s="4"/>
      <c r="AT184" s="4"/>
      <c r="AU184" s="4"/>
      <c r="AV184" s="4"/>
      <c r="AW184" s="4"/>
      <c r="AX184" s="4"/>
      <c r="AY184" s="4"/>
      <c r="AZ184" s="4"/>
      <c r="BA184" s="4"/>
      <c r="BB184" s="3"/>
      <c r="BC184" s="3"/>
      <c r="CT184" s="5" t="e">
        <v>#N/A</v>
      </c>
      <c r="CU184" s="5" t="e">
        <v>#N/A</v>
      </c>
      <c r="CV184" s="5" t="e">
        <v>#N/A</v>
      </c>
      <c r="CW184" s="5" t="e">
        <v>#N/A</v>
      </c>
      <c r="CX184" s="5" t="e">
        <v>#N/A</v>
      </c>
      <c r="CY184" s="5" t="e">
        <v>#N/A</v>
      </c>
      <c r="CZ184" s="5" t="e">
        <v>#N/A</v>
      </c>
      <c r="DA184" s="5" t="e">
        <v>#N/A</v>
      </c>
      <c r="DB184" s="5" t="e">
        <v>#N/A</v>
      </c>
      <c r="DC184" s="5" t="e">
        <v>#N/A</v>
      </c>
      <c r="DD184" s="5" t="e">
        <v>#N/A</v>
      </c>
      <c r="DE184" s="5" t="e">
        <v>#N/A</v>
      </c>
      <c r="DF184" s="5" t="e">
        <v>#N/A</v>
      </c>
      <c r="DG184" s="5" t="e">
        <v>#N/A</v>
      </c>
      <c r="DH184" s="5" t="e">
        <v>#N/A</v>
      </c>
      <c r="DI184" s="5" t="e">
        <v>#N/A</v>
      </c>
    </row>
    <row r="185" spans="1:113" s="5" customFormat="1">
      <c r="A185"/>
      <c r="B185"/>
      <c r="C185" s="44"/>
      <c r="D185" s="44"/>
      <c r="E185" s="44"/>
      <c r="F185" s="44"/>
      <c r="G185" s="44"/>
      <c r="H185" s="44"/>
      <c r="I185" s="44"/>
      <c r="J185" s="44"/>
      <c r="K185" s="44"/>
      <c r="L185" s="44"/>
      <c r="M185" t="str">
        <f t="shared" si="21"/>
        <v>"//*[@class=\"</v>
      </c>
      <c r="N185" t="s">
        <v>31</v>
      </c>
      <c r="O185" s="4" t="str">
        <f t="shared" si="24"/>
        <v>click</v>
      </c>
      <c r="P185" t="str">
        <f t="shared" si="25"/>
        <v>();</v>
      </c>
      <c r="Q185" t="str">
        <f t="shared" si="26"/>
        <v/>
      </c>
      <c r="R185" t="str">
        <f t="shared" si="22"/>
        <v/>
      </c>
      <c r="S185" s="1" t="str">
        <f t="shared" si="23"/>
        <v/>
      </c>
      <c r="T185"/>
      <c r="U185"/>
      <c r="V185"/>
      <c r="W185"/>
      <c r="X185"/>
      <c r="Y185"/>
      <c r="Z185">
        <v>176</v>
      </c>
      <c r="AA185"/>
      <c r="AB185"/>
      <c r="AC185" s="6"/>
      <c r="AD185" s="6"/>
      <c r="AE185" s="6"/>
      <c r="AF185" s="6"/>
      <c r="AG185" s="4"/>
      <c r="AH185" s="4"/>
      <c r="AI185" s="4"/>
      <c r="AJ185" s="4"/>
      <c r="AK185" s="4"/>
      <c r="AL185" s="4"/>
      <c r="AM185" s="4"/>
      <c r="AN185" s="4"/>
      <c r="AO185" s="4"/>
      <c r="AP185" s="4"/>
      <c r="AQ185" s="4"/>
      <c r="AR185" s="4"/>
      <c r="AS185" s="4"/>
      <c r="AT185" s="4"/>
      <c r="AU185" s="4"/>
      <c r="AV185" s="4"/>
      <c r="AW185" s="4"/>
      <c r="AX185" s="4"/>
      <c r="AY185" s="4"/>
      <c r="AZ185" s="4"/>
      <c r="BA185" s="4"/>
      <c r="BB185" s="3"/>
      <c r="BC185" s="3"/>
      <c r="CT185" s="5" t="e">
        <v>#N/A</v>
      </c>
      <c r="CU185" s="5" t="e">
        <v>#N/A</v>
      </c>
      <c r="CV185" s="5" t="e">
        <v>#N/A</v>
      </c>
      <c r="CW185" s="5" t="e">
        <v>#N/A</v>
      </c>
      <c r="CX185" s="5" t="e">
        <v>#N/A</v>
      </c>
      <c r="CY185" s="5" t="e">
        <v>#N/A</v>
      </c>
      <c r="CZ185" s="5" t="e">
        <v>#N/A</v>
      </c>
      <c r="DA185" s="5" t="e">
        <v>#N/A</v>
      </c>
      <c r="DB185" s="5" t="e">
        <v>#N/A</v>
      </c>
      <c r="DC185" s="5" t="e">
        <v>#N/A</v>
      </c>
      <c r="DD185" s="5" t="e">
        <v>#N/A</v>
      </c>
      <c r="DE185" s="5" t="e">
        <v>#N/A</v>
      </c>
      <c r="DF185" s="5" t="e">
        <v>#N/A</v>
      </c>
      <c r="DG185" s="5" t="e">
        <v>#N/A</v>
      </c>
      <c r="DH185" s="5" t="e">
        <v>#N/A</v>
      </c>
      <c r="DI185" s="5" t="e">
        <v>#N/A</v>
      </c>
    </row>
    <row r="186" spans="1:113" s="5" customFormat="1">
      <c r="A186"/>
      <c r="B186"/>
      <c r="C186" s="44"/>
      <c r="D186" s="44"/>
      <c r="E186" s="44"/>
      <c r="F186" s="44"/>
      <c r="G186" s="44"/>
      <c r="H186" s="44"/>
      <c r="I186" s="44"/>
      <c r="J186" s="44"/>
      <c r="K186" s="44"/>
      <c r="L186" s="44"/>
      <c r="M186" t="str">
        <f t="shared" si="21"/>
        <v>"//*[@class=\"</v>
      </c>
      <c r="N186" t="s">
        <v>31</v>
      </c>
      <c r="O186" s="4" t="str">
        <f t="shared" si="24"/>
        <v>click</v>
      </c>
      <c r="P186" t="str">
        <f t="shared" si="25"/>
        <v>();</v>
      </c>
      <c r="Q186" t="str">
        <f t="shared" si="26"/>
        <v/>
      </c>
      <c r="R186" t="str">
        <f t="shared" si="22"/>
        <v/>
      </c>
      <c r="S186" s="1" t="str">
        <f t="shared" si="23"/>
        <v/>
      </c>
      <c r="T186"/>
      <c r="U186"/>
      <c r="V186"/>
      <c r="W186"/>
      <c r="X186"/>
      <c r="Y186"/>
      <c r="Z186">
        <v>177</v>
      </c>
      <c r="AA186"/>
      <c r="AB186"/>
      <c r="AC186" s="6"/>
      <c r="AD186" s="6"/>
      <c r="AE186" s="6"/>
      <c r="AF186" s="6"/>
      <c r="AG186" s="4"/>
      <c r="AH186" s="4"/>
      <c r="AI186" s="4"/>
      <c r="AJ186" s="4"/>
      <c r="AK186" s="4"/>
      <c r="AL186" s="4"/>
      <c r="AM186" s="4"/>
      <c r="AN186" s="4"/>
      <c r="AO186" s="4"/>
      <c r="AP186" s="4"/>
      <c r="AQ186" s="4"/>
      <c r="AR186" s="4"/>
      <c r="AS186" s="4"/>
      <c r="AT186" s="4"/>
      <c r="AU186" s="4"/>
      <c r="AV186" s="4"/>
      <c r="AW186" s="4"/>
      <c r="AX186" s="4"/>
      <c r="AY186" s="4"/>
      <c r="AZ186" s="4"/>
      <c r="BA186" s="4"/>
      <c r="BB186" s="3"/>
      <c r="BC186" s="3"/>
      <c r="CT186" s="5" t="e">
        <v>#N/A</v>
      </c>
      <c r="CU186" s="5" t="e">
        <v>#N/A</v>
      </c>
      <c r="CV186" s="5" t="e">
        <v>#N/A</v>
      </c>
      <c r="CW186" s="5" t="e">
        <v>#N/A</v>
      </c>
      <c r="CX186" s="5" t="e">
        <v>#N/A</v>
      </c>
      <c r="CY186" s="5" t="e">
        <v>#N/A</v>
      </c>
      <c r="CZ186" s="5" t="e">
        <v>#N/A</v>
      </c>
      <c r="DA186" s="5" t="e">
        <v>#N/A</v>
      </c>
      <c r="DB186" s="5" t="e">
        <v>#N/A</v>
      </c>
      <c r="DC186" s="5" t="e">
        <v>#N/A</v>
      </c>
      <c r="DD186" s="5" t="e">
        <v>#N/A</v>
      </c>
      <c r="DE186" s="5" t="e">
        <v>#N/A</v>
      </c>
      <c r="DF186" s="5" t="e">
        <v>#N/A</v>
      </c>
      <c r="DG186" s="5" t="e">
        <v>#N/A</v>
      </c>
      <c r="DH186" s="5" t="e">
        <v>#N/A</v>
      </c>
      <c r="DI186" s="5" t="e">
        <v>#N/A</v>
      </c>
    </row>
    <row r="187" spans="1:113" s="5" customFormat="1">
      <c r="A187"/>
      <c r="B187"/>
      <c r="C187" s="44"/>
      <c r="D187" s="44"/>
      <c r="E187" s="44"/>
      <c r="F187" s="44"/>
      <c r="G187" s="44"/>
      <c r="H187" s="44"/>
      <c r="I187" s="44"/>
      <c r="J187" s="44"/>
      <c r="K187" s="44"/>
      <c r="L187" s="44"/>
      <c r="M187" t="str">
        <f t="shared" si="21"/>
        <v>"//*[@class=\"</v>
      </c>
      <c r="N187" t="s">
        <v>31</v>
      </c>
      <c r="O187" s="4" t="str">
        <f t="shared" si="24"/>
        <v>click</v>
      </c>
      <c r="P187" t="str">
        <f t="shared" si="25"/>
        <v>();</v>
      </c>
      <c r="Q187" t="str">
        <f t="shared" si="26"/>
        <v/>
      </c>
      <c r="R187" t="str">
        <f t="shared" si="22"/>
        <v/>
      </c>
      <c r="S187" s="1" t="str">
        <f t="shared" si="23"/>
        <v/>
      </c>
      <c r="T187"/>
      <c r="U187"/>
      <c r="V187"/>
      <c r="W187"/>
      <c r="X187"/>
      <c r="Y187"/>
      <c r="Z187">
        <v>178</v>
      </c>
      <c r="AA187"/>
      <c r="AB187"/>
      <c r="AC187" s="6"/>
      <c r="AD187" s="6"/>
      <c r="AE187" s="6"/>
      <c r="AF187" s="6"/>
      <c r="AG187" s="4"/>
      <c r="AH187" s="4"/>
      <c r="AI187" s="4"/>
      <c r="AJ187" s="4"/>
      <c r="AK187" s="4"/>
      <c r="AL187" s="4"/>
      <c r="AM187" s="4"/>
      <c r="AN187" s="4"/>
      <c r="AO187" s="4"/>
      <c r="AP187" s="4"/>
      <c r="AQ187" s="4"/>
      <c r="AR187" s="4"/>
      <c r="AS187" s="4"/>
      <c r="AT187" s="4"/>
      <c r="AU187" s="4"/>
      <c r="AV187" s="4"/>
      <c r="AW187" s="4"/>
      <c r="AX187" s="4"/>
      <c r="AY187" s="4"/>
      <c r="AZ187" s="4"/>
      <c r="BA187" s="4"/>
      <c r="BB187" s="3"/>
      <c r="BC187" s="3"/>
      <c r="CT187" s="5" t="e">
        <v>#N/A</v>
      </c>
      <c r="CU187" s="5" t="e">
        <v>#N/A</v>
      </c>
      <c r="CV187" s="5" t="e">
        <v>#N/A</v>
      </c>
      <c r="CW187" s="5" t="e">
        <v>#N/A</v>
      </c>
      <c r="CX187" s="5" t="e">
        <v>#N/A</v>
      </c>
      <c r="CY187" s="5" t="e">
        <v>#N/A</v>
      </c>
      <c r="CZ187" s="5" t="e">
        <v>#N/A</v>
      </c>
      <c r="DA187" s="5" t="e">
        <v>#N/A</v>
      </c>
      <c r="DB187" s="5" t="e">
        <v>#N/A</v>
      </c>
      <c r="DC187" s="5" t="e">
        <v>#N/A</v>
      </c>
      <c r="DD187" s="5" t="e">
        <v>#N/A</v>
      </c>
      <c r="DE187" s="5" t="e">
        <v>#N/A</v>
      </c>
      <c r="DF187" s="5" t="e">
        <v>#N/A</v>
      </c>
      <c r="DG187" s="5" t="e">
        <v>#N/A</v>
      </c>
      <c r="DH187" s="5" t="e">
        <v>#N/A</v>
      </c>
      <c r="DI187" s="5" t="e">
        <v>#N/A</v>
      </c>
    </row>
    <row r="188" spans="1:113" s="5" customFormat="1">
      <c r="A188"/>
      <c r="B188"/>
      <c r="C188" s="44"/>
      <c r="D188" s="44"/>
      <c r="E188" s="44"/>
      <c r="F188" s="44"/>
      <c r="G188" s="44"/>
      <c r="H188" s="44"/>
      <c r="I188" s="44"/>
      <c r="J188" s="44"/>
      <c r="K188" s="44"/>
      <c r="L188" s="44"/>
      <c r="M188" t="str">
        <f t="shared" si="21"/>
        <v>"//*[@class=\"</v>
      </c>
      <c r="N188" t="s">
        <v>31</v>
      </c>
      <c r="O188" s="4" t="str">
        <f t="shared" si="24"/>
        <v>click</v>
      </c>
      <c r="P188" t="str">
        <f t="shared" si="25"/>
        <v>();</v>
      </c>
      <c r="Q188" t="str">
        <f t="shared" si="26"/>
        <v/>
      </c>
      <c r="R188" t="str">
        <f t="shared" si="22"/>
        <v/>
      </c>
      <c r="S188" s="1" t="str">
        <f t="shared" si="23"/>
        <v/>
      </c>
      <c r="T188"/>
      <c r="U188"/>
      <c r="V188"/>
      <c r="W188"/>
      <c r="X188"/>
      <c r="Y188"/>
      <c r="Z188">
        <v>179</v>
      </c>
      <c r="AA188"/>
      <c r="AB188"/>
      <c r="AC188" s="6"/>
      <c r="AD188" s="6"/>
      <c r="AE188" s="6"/>
      <c r="AF188" s="6"/>
      <c r="AG188" s="4"/>
      <c r="AH188" s="4"/>
      <c r="AI188" s="4"/>
      <c r="AJ188" s="4"/>
      <c r="AK188" s="4"/>
      <c r="AL188" s="4"/>
      <c r="AM188" s="4"/>
      <c r="AN188" s="4"/>
      <c r="AO188" s="4"/>
      <c r="AP188" s="4"/>
      <c r="AQ188" s="4"/>
      <c r="AR188" s="4"/>
      <c r="AS188" s="4"/>
      <c r="AT188" s="4"/>
      <c r="AU188" s="4"/>
      <c r="AV188" s="4"/>
      <c r="AW188" s="4"/>
      <c r="AX188" s="4"/>
      <c r="AY188" s="4"/>
      <c r="AZ188" s="4"/>
      <c r="BA188" s="4"/>
      <c r="BB188" s="3"/>
      <c r="BC188" s="3"/>
      <c r="CT188" s="5" t="e">
        <v>#N/A</v>
      </c>
      <c r="CU188" s="5" t="e">
        <v>#N/A</v>
      </c>
      <c r="CV188" s="5" t="e">
        <v>#N/A</v>
      </c>
      <c r="CW188" s="5" t="e">
        <v>#N/A</v>
      </c>
      <c r="CX188" s="5" t="e">
        <v>#N/A</v>
      </c>
      <c r="CY188" s="5" t="e">
        <v>#N/A</v>
      </c>
      <c r="CZ188" s="5" t="e">
        <v>#N/A</v>
      </c>
      <c r="DA188" s="5" t="e">
        <v>#N/A</v>
      </c>
      <c r="DB188" s="5" t="e">
        <v>#N/A</v>
      </c>
      <c r="DC188" s="5" t="e">
        <v>#N/A</v>
      </c>
      <c r="DD188" s="5" t="e">
        <v>#N/A</v>
      </c>
      <c r="DE188" s="5" t="e">
        <v>#N/A</v>
      </c>
      <c r="DF188" s="5" t="e">
        <v>#N/A</v>
      </c>
      <c r="DG188" s="5" t="e">
        <v>#N/A</v>
      </c>
      <c r="DH188" s="5" t="e">
        <v>#N/A</v>
      </c>
      <c r="DI188" s="5" t="e">
        <v>#N/A</v>
      </c>
    </row>
    <row r="189" spans="1:113" s="5" customFormat="1">
      <c r="A189"/>
      <c r="B189"/>
      <c r="C189" s="44"/>
      <c r="D189" s="44"/>
      <c r="E189" s="44"/>
      <c r="F189" s="44"/>
      <c r="G189" s="44"/>
      <c r="H189" s="44"/>
      <c r="I189" s="44"/>
      <c r="J189" s="44"/>
      <c r="K189" s="44"/>
      <c r="L189" s="44"/>
      <c r="M189" t="str">
        <f t="shared" si="21"/>
        <v>"//*[@class=\"</v>
      </c>
      <c r="N189" t="s">
        <v>31</v>
      </c>
      <c r="O189" s="4" t="str">
        <f t="shared" si="24"/>
        <v>click</v>
      </c>
      <c r="P189" t="str">
        <f t="shared" si="25"/>
        <v>();</v>
      </c>
      <c r="Q189" t="str">
        <f t="shared" si="26"/>
        <v/>
      </c>
      <c r="R189" t="str">
        <f t="shared" si="22"/>
        <v/>
      </c>
      <c r="S189" s="1" t="str">
        <f t="shared" si="23"/>
        <v/>
      </c>
      <c r="T189"/>
      <c r="U189"/>
      <c r="V189"/>
      <c r="W189"/>
      <c r="X189"/>
      <c r="Y189"/>
      <c r="Z189">
        <v>180</v>
      </c>
      <c r="AA189"/>
      <c r="AB189"/>
      <c r="AC189" s="6"/>
      <c r="AD189" s="6"/>
      <c r="AE189" s="6"/>
      <c r="AF189" s="6"/>
      <c r="AG189" s="4"/>
      <c r="AH189" s="4"/>
      <c r="AI189" s="4"/>
      <c r="AJ189" s="4"/>
      <c r="AK189" s="4"/>
      <c r="AL189" s="4"/>
      <c r="AM189" s="4"/>
      <c r="AN189" s="4"/>
      <c r="AO189" s="4"/>
      <c r="AP189" s="4"/>
      <c r="AQ189" s="4"/>
      <c r="AR189" s="4"/>
      <c r="AS189" s="4"/>
      <c r="AT189" s="4"/>
      <c r="AU189" s="4"/>
      <c r="AV189" s="4"/>
      <c r="AW189" s="4"/>
      <c r="AX189" s="4"/>
      <c r="AY189" s="4"/>
      <c r="AZ189" s="4"/>
      <c r="BA189" s="4"/>
      <c r="BB189" s="3"/>
      <c r="BC189" s="3"/>
      <c r="CT189" s="5" t="e">
        <v>#N/A</v>
      </c>
      <c r="CU189" s="5" t="e">
        <v>#N/A</v>
      </c>
      <c r="CV189" s="5" t="e">
        <v>#N/A</v>
      </c>
      <c r="CW189" s="5" t="e">
        <v>#N/A</v>
      </c>
      <c r="CX189" s="5" t="e">
        <v>#N/A</v>
      </c>
      <c r="CY189" s="5" t="e">
        <v>#N/A</v>
      </c>
      <c r="CZ189" s="5" t="e">
        <v>#N/A</v>
      </c>
      <c r="DA189" s="5" t="e">
        <v>#N/A</v>
      </c>
      <c r="DB189" s="5" t="e">
        <v>#N/A</v>
      </c>
      <c r="DC189" s="5" t="e">
        <v>#N/A</v>
      </c>
      <c r="DD189" s="5" t="e">
        <v>#N/A</v>
      </c>
      <c r="DE189" s="5" t="e">
        <v>#N/A</v>
      </c>
      <c r="DF189" s="5" t="e">
        <v>#N/A</v>
      </c>
      <c r="DG189" s="5" t="e">
        <v>#N/A</v>
      </c>
      <c r="DH189" s="5" t="e">
        <v>#N/A</v>
      </c>
      <c r="DI189" s="5" t="e">
        <v>#N/A</v>
      </c>
    </row>
    <row r="190" spans="1:113" s="5" customFormat="1">
      <c r="A190"/>
      <c r="B190"/>
      <c r="C190" s="44"/>
      <c r="D190" s="44"/>
      <c r="E190" s="44"/>
      <c r="F190" s="44"/>
      <c r="G190" s="44"/>
      <c r="H190" s="44"/>
      <c r="I190" s="44"/>
      <c r="J190" s="44"/>
      <c r="K190" s="44"/>
      <c r="L190" s="44"/>
      <c r="M190" t="str">
        <f t="shared" si="21"/>
        <v>"//*[@class=\"</v>
      </c>
      <c r="N190" t="s">
        <v>31</v>
      </c>
      <c r="O190" s="4" t="str">
        <f t="shared" si="24"/>
        <v>click</v>
      </c>
      <c r="P190" t="str">
        <f t="shared" si="25"/>
        <v>();</v>
      </c>
      <c r="Q190" t="str">
        <f t="shared" si="26"/>
        <v/>
      </c>
      <c r="R190" t="str">
        <f t="shared" si="22"/>
        <v/>
      </c>
      <c r="S190" s="1" t="str">
        <f t="shared" si="23"/>
        <v/>
      </c>
      <c r="T190"/>
      <c r="U190"/>
      <c r="V190"/>
      <c r="W190"/>
      <c r="X190"/>
      <c r="Y190"/>
      <c r="Z190">
        <v>181</v>
      </c>
      <c r="AA190"/>
      <c r="AB190"/>
      <c r="AC190" s="6"/>
      <c r="AD190" s="6"/>
      <c r="AE190" s="6"/>
      <c r="AF190" s="6"/>
      <c r="AG190" s="4"/>
      <c r="AH190" s="4"/>
      <c r="AI190" s="4"/>
      <c r="AJ190" s="4"/>
      <c r="AK190" s="4"/>
      <c r="AL190" s="4"/>
      <c r="AM190" s="4"/>
      <c r="AN190" s="4"/>
      <c r="AO190" s="4"/>
      <c r="AP190" s="4"/>
      <c r="AQ190" s="4"/>
      <c r="AR190" s="4"/>
      <c r="AS190" s="4"/>
      <c r="AT190" s="4"/>
      <c r="AU190" s="4"/>
      <c r="AV190" s="4"/>
      <c r="AW190" s="4"/>
      <c r="AX190" s="4"/>
      <c r="AY190" s="4"/>
      <c r="AZ190" s="4"/>
      <c r="BA190" s="4"/>
      <c r="BB190" s="3"/>
      <c r="BC190" s="3"/>
      <c r="CT190" s="5" t="e">
        <v>#N/A</v>
      </c>
      <c r="CU190" s="5" t="e">
        <v>#N/A</v>
      </c>
      <c r="CV190" s="5" t="e">
        <v>#N/A</v>
      </c>
      <c r="CW190" s="5" t="e">
        <v>#N/A</v>
      </c>
      <c r="CX190" s="5" t="e">
        <v>#N/A</v>
      </c>
      <c r="CY190" s="5" t="e">
        <v>#N/A</v>
      </c>
      <c r="CZ190" s="5" t="e">
        <v>#N/A</v>
      </c>
      <c r="DA190" s="5" t="e">
        <v>#N/A</v>
      </c>
      <c r="DB190" s="5" t="e">
        <v>#N/A</v>
      </c>
      <c r="DC190" s="5" t="e">
        <v>#N/A</v>
      </c>
      <c r="DD190" s="5" t="e">
        <v>#N/A</v>
      </c>
      <c r="DE190" s="5" t="e">
        <v>#N/A</v>
      </c>
      <c r="DF190" s="5" t="e">
        <v>#N/A</v>
      </c>
      <c r="DG190" s="5" t="e">
        <v>#N/A</v>
      </c>
      <c r="DH190" s="5" t="e">
        <v>#N/A</v>
      </c>
      <c r="DI190" s="5" t="e">
        <v>#N/A</v>
      </c>
    </row>
    <row r="191" spans="1:113" s="5" customFormat="1">
      <c r="A191"/>
      <c r="B191"/>
      <c r="C191" s="44"/>
      <c r="D191" s="44"/>
      <c r="E191" s="44"/>
      <c r="F191" s="44"/>
      <c r="G191" s="44"/>
      <c r="H191" s="44"/>
      <c r="I191" s="44"/>
      <c r="J191" s="44"/>
      <c r="K191" s="44"/>
      <c r="L191" s="44"/>
      <c r="M191" t="str">
        <f t="shared" si="21"/>
        <v>"//*[@class=\"</v>
      </c>
      <c r="N191" t="s">
        <v>31</v>
      </c>
      <c r="O191" s="4" t="str">
        <f t="shared" si="24"/>
        <v>click</v>
      </c>
      <c r="P191" t="str">
        <f t="shared" si="25"/>
        <v>();</v>
      </c>
      <c r="Q191" t="str">
        <f t="shared" si="26"/>
        <v/>
      </c>
      <c r="R191" t="str">
        <f t="shared" si="22"/>
        <v/>
      </c>
      <c r="S191" s="1" t="str">
        <f t="shared" si="23"/>
        <v/>
      </c>
      <c r="T191"/>
      <c r="U191"/>
      <c r="V191"/>
      <c r="W191"/>
      <c r="X191"/>
      <c r="Y191"/>
      <c r="Z191">
        <v>182</v>
      </c>
      <c r="AA191"/>
      <c r="AB191"/>
      <c r="AC191" s="6"/>
      <c r="AD191" s="6"/>
      <c r="AE191" s="6"/>
      <c r="AF191" s="6"/>
      <c r="AG191" s="4"/>
      <c r="AH191" s="4"/>
      <c r="AI191" s="4"/>
      <c r="AJ191" s="4"/>
      <c r="AK191" s="4"/>
      <c r="AL191" s="4"/>
      <c r="AM191" s="4"/>
      <c r="AN191" s="4"/>
      <c r="AO191" s="4"/>
      <c r="AP191" s="4"/>
      <c r="AQ191" s="4"/>
      <c r="AR191" s="4"/>
      <c r="AS191" s="4"/>
      <c r="AT191" s="4"/>
      <c r="AU191" s="4"/>
      <c r="AV191" s="4"/>
      <c r="AW191" s="4"/>
      <c r="AX191" s="4"/>
      <c r="AY191" s="4"/>
      <c r="AZ191" s="4"/>
      <c r="BA191" s="4"/>
      <c r="BB191" s="3"/>
      <c r="BC191" s="3"/>
      <c r="CT191" s="5" t="e">
        <v>#N/A</v>
      </c>
      <c r="CU191" s="5" t="e">
        <v>#N/A</v>
      </c>
      <c r="CV191" s="5" t="e">
        <v>#N/A</v>
      </c>
      <c r="CW191" s="5" t="e">
        <v>#N/A</v>
      </c>
      <c r="CX191" s="5" t="e">
        <v>#N/A</v>
      </c>
      <c r="CY191" s="5" t="e">
        <v>#N/A</v>
      </c>
      <c r="CZ191" s="5" t="e">
        <v>#N/A</v>
      </c>
      <c r="DA191" s="5" t="e">
        <v>#N/A</v>
      </c>
      <c r="DB191" s="5" t="e">
        <v>#N/A</v>
      </c>
      <c r="DC191" s="5" t="e">
        <v>#N/A</v>
      </c>
      <c r="DD191" s="5" t="e">
        <v>#N/A</v>
      </c>
      <c r="DE191" s="5" t="e">
        <v>#N/A</v>
      </c>
      <c r="DF191" s="5" t="e">
        <v>#N/A</v>
      </c>
      <c r="DG191" s="5" t="e">
        <v>#N/A</v>
      </c>
      <c r="DH191" s="5" t="e">
        <v>#N/A</v>
      </c>
      <c r="DI191" s="5" t="e">
        <v>#N/A</v>
      </c>
    </row>
    <row r="192" spans="1:113" s="5" customFormat="1">
      <c r="A192"/>
      <c r="B192"/>
      <c r="C192" s="44"/>
      <c r="D192" s="44"/>
      <c r="E192" s="44"/>
      <c r="F192" s="44"/>
      <c r="G192" s="44"/>
      <c r="H192" s="44"/>
      <c r="I192" s="44"/>
      <c r="J192" s="44"/>
      <c r="K192" s="44"/>
      <c r="L192" s="44"/>
      <c r="M192" t="str">
        <f t="shared" si="21"/>
        <v>"//*[@class=\"</v>
      </c>
      <c r="N192" t="s">
        <v>31</v>
      </c>
      <c r="O192" s="4" t="str">
        <f t="shared" si="24"/>
        <v>click</v>
      </c>
      <c r="P192" t="str">
        <f t="shared" si="25"/>
        <v>();</v>
      </c>
      <c r="Q192" t="str">
        <f t="shared" si="26"/>
        <v/>
      </c>
      <c r="R192" t="str">
        <f t="shared" si="22"/>
        <v/>
      </c>
      <c r="S192" s="1" t="str">
        <f t="shared" si="23"/>
        <v/>
      </c>
      <c r="T192"/>
      <c r="U192"/>
      <c r="V192"/>
      <c r="W192"/>
      <c r="X192"/>
      <c r="Y192"/>
      <c r="Z192">
        <v>183</v>
      </c>
      <c r="AA192"/>
      <c r="AB192"/>
      <c r="AC192" s="6"/>
      <c r="AD192" s="6"/>
      <c r="AE192" s="6"/>
      <c r="AF192" s="6"/>
      <c r="AG192" s="4"/>
      <c r="AH192" s="4"/>
      <c r="AI192" s="4"/>
      <c r="AJ192" s="4"/>
      <c r="AK192" s="4"/>
      <c r="AL192" s="4"/>
      <c r="AM192" s="4"/>
      <c r="AN192" s="4"/>
      <c r="AO192" s="4"/>
      <c r="AP192" s="4"/>
      <c r="AQ192" s="4"/>
      <c r="AR192" s="4"/>
      <c r="AS192" s="4"/>
      <c r="AT192" s="4"/>
      <c r="AU192" s="4"/>
      <c r="AV192" s="4"/>
      <c r="AW192" s="4"/>
      <c r="AX192" s="4"/>
      <c r="AY192" s="4"/>
      <c r="AZ192" s="4"/>
      <c r="BA192" s="4"/>
      <c r="BB192" s="3"/>
      <c r="BC192" s="3"/>
      <c r="CT192" s="5" t="e">
        <v>#N/A</v>
      </c>
      <c r="CU192" s="5" t="e">
        <v>#N/A</v>
      </c>
      <c r="CV192" s="5" t="e">
        <v>#N/A</v>
      </c>
      <c r="CW192" s="5" t="e">
        <v>#N/A</v>
      </c>
      <c r="CX192" s="5" t="e">
        <v>#N/A</v>
      </c>
      <c r="CY192" s="5" t="e">
        <v>#N/A</v>
      </c>
      <c r="CZ192" s="5" t="e">
        <v>#N/A</v>
      </c>
      <c r="DA192" s="5" t="e">
        <v>#N/A</v>
      </c>
      <c r="DB192" s="5" t="e">
        <v>#N/A</v>
      </c>
      <c r="DC192" s="5" t="e">
        <v>#N/A</v>
      </c>
      <c r="DD192" s="5" t="e">
        <v>#N/A</v>
      </c>
      <c r="DE192" s="5" t="e">
        <v>#N/A</v>
      </c>
      <c r="DF192" s="5" t="e">
        <v>#N/A</v>
      </c>
      <c r="DG192" s="5" t="e">
        <v>#N/A</v>
      </c>
      <c r="DH192" s="5" t="e">
        <v>#N/A</v>
      </c>
      <c r="DI192" s="5" t="e">
        <v>#N/A</v>
      </c>
    </row>
    <row r="193" spans="1:113" s="5" customFormat="1">
      <c r="A193"/>
      <c r="B193"/>
      <c r="C193" s="44"/>
      <c r="D193" s="44"/>
      <c r="E193" s="44"/>
      <c r="F193" s="44"/>
      <c r="G193" s="44"/>
      <c r="H193" s="44"/>
      <c r="I193" s="44"/>
      <c r="J193" s="44"/>
      <c r="K193" s="44"/>
      <c r="L193" s="44"/>
      <c r="M193" t="str">
        <f t="shared" si="21"/>
        <v>"//*[@class=\"</v>
      </c>
      <c r="N193" t="s">
        <v>31</v>
      </c>
      <c r="O193" s="4" t="str">
        <f t="shared" si="24"/>
        <v>click</v>
      </c>
      <c r="P193" t="str">
        <f t="shared" si="25"/>
        <v>();</v>
      </c>
      <c r="Q193" t="str">
        <f t="shared" si="26"/>
        <v/>
      </c>
      <c r="R193" t="str">
        <f t="shared" si="22"/>
        <v/>
      </c>
      <c r="S193" s="1" t="str">
        <f t="shared" si="23"/>
        <v/>
      </c>
      <c r="T193"/>
      <c r="U193"/>
      <c r="V193"/>
      <c r="W193"/>
      <c r="X193"/>
      <c r="Y193"/>
      <c r="Z193">
        <v>184</v>
      </c>
      <c r="AA193"/>
      <c r="AB193"/>
      <c r="AC193" s="6"/>
      <c r="AD193" s="6"/>
      <c r="AE193" s="6"/>
      <c r="AF193" s="6"/>
      <c r="AG193" s="4"/>
      <c r="AH193" s="4"/>
      <c r="AI193" s="4"/>
      <c r="AJ193" s="4"/>
      <c r="AK193" s="4"/>
      <c r="AL193" s="4"/>
      <c r="AM193" s="4"/>
      <c r="AN193" s="4"/>
      <c r="AO193" s="4"/>
      <c r="AP193" s="4"/>
      <c r="AQ193" s="4"/>
      <c r="AR193" s="4"/>
      <c r="AS193" s="4"/>
      <c r="AT193" s="4"/>
      <c r="AU193" s="4"/>
      <c r="AV193" s="4"/>
      <c r="AW193" s="4"/>
      <c r="AX193" s="4"/>
      <c r="AY193" s="4"/>
      <c r="AZ193" s="4"/>
      <c r="BA193" s="4"/>
      <c r="BB193" s="3"/>
      <c r="BC193" s="3"/>
      <c r="CT193" s="5" t="e">
        <v>#N/A</v>
      </c>
      <c r="CU193" s="5" t="e">
        <v>#N/A</v>
      </c>
      <c r="CV193" s="5" t="e">
        <v>#N/A</v>
      </c>
      <c r="CW193" s="5" t="e">
        <v>#N/A</v>
      </c>
      <c r="CX193" s="5" t="e">
        <v>#N/A</v>
      </c>
      <c r="CY193" s="5" t="e">
        <v>#N/A</v>
      </c>
      <c r="CZ193" s="5" t="e">
        <v>#N/A</v>
      </c>
      <c r="DA193" s="5" t="e">
        <v>#N/A</v>
      </c>
      <c r="DB193" s="5" t="e">
        <v>#N/A</v>
      </c>
      <c r="DC193" s="5" t="e">
        <v>#N/A</v>
      </c>
      <c r="DD193" s="5" t="e">
        <v>#N/A</v>
      </c>
      <c r="DE193" s="5" t="e">
        <v>#N/A</v>
      </c>
      <c r="DF193" s="5" t="e">
        <v>#N/A</v>
      </c>
      <c r="DG193" s="5" t="e">
        <v>#N/A</v>
      </c>
      <c r="DH193" s="5" t="e">
        <v>#N/A</v>
      </c>
      <c r="DI193" s="5" t="e">
        <v>#N/A</v>
      </c>
    </row>
    <row r="194" spans="1:113" s="5" customFormat="1">
      <c r="A194"/>
      <c r="B194"/>
      <c r="C194" s="44"/>
      <c r="D194" s="44"/>
      <c r="E194" s="44"/>
      <c r="F194" s="44"/>
      <c r="G194" s="44"/>
      <c r="H194" s="44"/>
      <c r="I194" s="44"/>
      <c r="J194" s="44"/>
      <c r="K194" s="44"/>
      <c r="L194" s="44"/>
      <c r="M194" t="str">
        <f t="shared" si="21"/>
        <v>"//*[@class=\"</v>
      </c>
      <c r="N194" t="s">
        <v>31</v>
      </c>
      <c r="O194" s="4" t="str">
        <f t="shared" si="24"/>
        <v>click</v>
      </c>
      <c r="P194" t="str">
        <f t="shared" si="25"/>
        <v>();</v>
      </c>
      <c r="Q194" t="str">
        <f t="shared" si="26"/>
        <v/>
      </c>
      <c r="R194" t="str">
        <f t="shared" si="22"/>
        <v/>
      </c>
      <c r="S194" s="1" t="str">
        <f t="shared" si="23"/>
        <v/>
      </c>
      <c r="T194"/>
      <c r="U194"/>
      <c r="V194"/>
      <c r="W194"/>
      <c r="X194"/>
      <c r="Y194"/>
      <c r="Z194">
        <v>185</v>
      </c>
      <c r="AA194"/>
      <c r="AB194"/>
      <c r="AC194" s="6"/>
      <c r="AD194" s="6"/>
      <c r="AE194" s="6"/>
      <c r="AF194" s="6"/>
      <c r="AG194" s="4"/>
      <c r="AH194" s="4"/>
      <c r="AI194" s="4"/>
      <c r="AJ194" s="4"/>
      <c r="AK194" s="4"/>
      <c r="AL194" s="4"/>
      <c r="AM194" s="4"/>
      <c r="AN194" s="4"/>
      <c r="AO194" s="4"/>
      <c r="AP194" s="4"/>
      <c r="AQ194" s="4"/>
      <c r="AR194" s="4"/>
      <c r="AS194" s="4"/>
      <c r="AT194" s="4"/>
      <c r="AU194" s="4"/>
      <c r="AV194" s="4"/>
      <c r="AW194" s="4"/>
      <c r="AX194" s="4"/>
      <c r="AY194" s="4"/>
      <c r="AZ194" s="4"/>
      <c r="BA194" s="4"/>
      <c r="BB194" s="3"/>
      <c r="BC194" s="3"/>
      <c r="CT194" s="5" t="e">
        <v>#N/A</v>
      </c>
      <c r="CU194" s="5" t="e">
        <v>#N/A</v>
      </c>
      <c r="CV194" s="5" t="e">
        <v>#N/A</v>
      </c>
      <c r="CW194" s="5" t="e">
        <v>#N/A</v>
      </c>
      <c r="CX194" s="5" t="e">
        <v>#N/A</v>
      </c>
      <c r="CY194" s="5" t="e">
        <v>#N/A</v>
      </c>
      <c r="CZ194" s="5" t="e">
        <v>#N/A</v>
      </c>
      <c r="DA194" s="5" t="e">
        <v>#N/A</v>
      </c>
      <c r="DB194" s="5" t="e">
        <v>#N/A</v>
      </c>
      <c r="DC194" s="5" t="e">
        <v>#N/A</v>
      </c>
      <c r="DD194" s="5" t="e">
        <v>#N/A</v>
      </c>
      <c r="DE194" s="5" t="e">
        <v>#N/A</v>
      </c>
      <c r="DF194" s="5" t="e">
        <v>#N/A</v>
      </c>
      <c r="DG194" s="5" t="e">
        <v>#N/A</v>
      </c>
      <c r="DH194" s="5" t="e">
        <v>#N/A</v>
      </c>
      <c r="DI194" s="5" t="e">
        <v>#N/A</v>
      </c>
    </row>
    <row r="195" spans="1:113" s="5" customFormat="1">
      <c r="A195"/>
      <c r="B195"/>
      <c r="C195" s="44"/>
      <c r="D195" s="44"/>
      <c r="E195" s="44"/>
      <c r="F195" s="44"/>
      <c r="G195" s="44"/>
      <c r="H195" s="44"/>
      <c r="I195" s="44"/>
      <c r="J195" s="44"/>
      <c r="K195" s="44"/>
      <c r="L195" s="44"/>
      <c r="M195" t="str">
        <f t="shared" si="21"/>
        <v>"//*[@class=\"</v>
      </c>
      <c r="N195" t="s">
        <v>31</v>
      </c>
      <c r="O195" s="4" t="str">
        <f t="shared" si="24"/>
        <v>click</v>
      </c>
      <c r="P195" t="str">
        <f t="shared" si="25"/>
        <v>();</v>
      </c>
      <c r="Q195" t="str">
        <f t="shared" si="26"/>
        <v/>
      </c>
      <c r="R195" t="str">
        <f t="shared" si="22"/>
        <v/>
      </c>
      <c r="S195" s="1" t="str">
        <f t="shared" si="23"/>
        <v/>
      </c>
      <c r="T195"/>
      <c r="U195"/>
      <c r="V195"/>
      <c r="W195"/>
      <c r="X195"/>
      <c r="Y195"/>
      <c r="Z195">
        <v>186</v>
      </c>
      <c r="AA195"/>
      <c r="AB195"/>
      <c r="AC195" s="6"/>
      <c r="AD195" s="6"/>
      <c r="AE195" s="6"/>
      <c r="AF195" s="6"/>
      <c r="AG195" s="4"/>
      <c r="AH195" s="4"/>
      <c r="AI195" s="4"/>
      <c r="AJ195" s="4"/>
      <c r="AK195" s="4"/>
      <c r="AL195" s="4"/>
      <c r="AM195" s="4"/>
      <c r="AN195" s="4"/>
      <c r="AO195" s="4"/>
      <c r="AP195" s="4"/>
      <c r="AQ195" s="4"/>
      <c r="AR195" s="4"/>
      <c r="AS195" s="4"/>
      <c r="AT195" s="4"/>
      <c r="AU195" s="4"/>
      <c r="AV195" s="4"/>
      <c r="AW195" s="4"/>
      <c r="AX195" s="4"/>
      <c r="AY195" s="4"/>
      <c r="AZ195" s="4"/>
      <c r="BA195" s="4"/>
      <c r="BB195" s="3"/>
      <c r="BC195" s="3"/>
      <c r="CT195" s="5" t="e">
        <v>#N/A</v>
      </c>
      <c r="CU195" s="5" t="e">
        <v>#N/A</v>
      </c>
      <c r="CV195" s="5" t="e">
        <v>#N/A</v>
      </c>
      <c r="CW195" s="5" t="e">
        <v>#N/A</v>
      </c>
      <c r="CX195" s="5" t="e">
        <v>#N/A</v>
      </c>
      <c r="CY195" s="5" t="e">
        <v>#N/A</v>
      </c>
      <c r="CZ195" s="5" t="e">
        <v>#N/A</v>
      </c>
      <c r="DA195" s="5" t="e">
        <v>#N/A</v>
      </c>
      <c r="DB195" s="5" t="e">
        <v>#N/A</v>
      </c>
      <c r="DC195" s="5" t="e">
        <v>#N/A</v>
      </c>
      <c r="DD195" s="5" t="e">
        <v>#N/A</v>
      </c>
      <c r="DE195" s="5" t="e">
        <v>#N/A</v>
      </c>
      <c r="DF195" s="5" t="e">
        <v>#N/A</v>
      </c>
      <c r="DG195" s="5" t="e">
        <v>#N/A</v>
      </c>
      <c r="DH195" s="5" t="e">
        <v>#N/A</v>
      </c>
      <c r="DI195" s="5" t="e">
        <v>#N/A</v>
      </c>
    </row>
    <row r="196" spans="1:113" s="5" customFormat="1">
      <c r="A196"/>
      <c r="B196"/>
      <c r="C196" s="44"/>
      <c r="D196" s="44"/>
      <c r="E196" s="44"/>
      <c r="F196" s="44"/>
      <c r="G196" s="44"/>
      <c r="H196" s="44"/>
      <c r="I196" s="44"/>
      <c r="J196" s="44"/>
      <c r="K196" s="44"/>
      <c r="L196" s="44"/>
      <c r="M196" t="str">
        <f t="shared" si="21"/>
        <v>"//*[@class=\"</v>
      </c>
      <c r="N196" t="s">
        <v>31</v>
      </c>
      <c r="O196" s="4" t="str">
        <f t="shared" si="24"/>
        <v>click</v>
      </c>
      <c r="P196" t="str">
        <f t="shared" si="25"/>
        <v>();</v>
      </c>
      <c r="Q196" t="str">
        <f t="shared" si="26"/>
        <v/>
      </c>
      <c r="R196" t="str">
        <f t="shared" si="22"/>
        <v/>
      </c>
      <c r="S196" s="1" t="str">
        <f t="shared" si="23"/>
        <v/>
      </c>
      <c r="T196"/>
      <c r="U196"/>
      <c r="V196"/>
      <c r="W196"/>
      <c r="X196"/>
      <c r="Y196"/>
      <c r="Z196">
        <v>187</v>
      </c>
      <c r="AA196"/>
      <c r="AB196"/>
      <c r="AC196" s="6"/>
      <c r="AD196" s="6"/>
      <c r="AE196" s="6"/>
      <c r="AF196" s="6"/>
      <c r="AG196" s="4"/>
      <c r="AH196" s="4"/>
      <c r="AI196" s="4"/>
      <c r="AJ196" s="4"/>
      <c r="AK196" s="4"/>
      <c r="AL196" s="4"/>
      <c r="AM196" s="4"/>
      <c r="AN196" s="4"/>
      <c r="AO196" s="4"/>
      <c r="AP196" s="4"/>
      <c r="AQ196" s="4"/>
      <c r="AR196" s="4"/>
      <c r="AS196" s="4"/>
      <c r="AT196" s="4"/>
      <c r="AU196" s="4"/>
      <c r="AV196" s="4"/>
      <c r="AW196" s="4"/>
      <c r="AX196" s="4"/>
      <c r="AY196" s="4"/>
      <c r="AZ196" s="4"/>
      <c r="BA196" s="4"/>
      <c r="BB196" s="3"/>
      <c r="BC196" s="3"/>
      <c r="CT196" s="5" t="e">
        <v>#N/A</v>
      </c>
      <c r="CU196" s="5" t="e">
        <v>#N/A</v>
      </c>
      <c r="CV196" s="5" t="e">
        <v>#N/A</v>
      </c>
      <c r="CW196" s="5" t="e">
        <v>#N/A</v>
      </c>
      <c r="CX196" s="5" t="e">
        <v>#N/A</v>
      </c>
      <c r="CY196" s="5" t="e">
        <v>#N/A</v>
      </c>
      <c r="CZ196" s="5" t="e">
        <v>#N/A</v>
      </c>
      <c r="DA196" s="5" t="e">
        <v>#N/A</v>
      </c>
      <c r="DB196" s="5" t="e">
        <v>#N/A</v>
      </c>
      <c r="DC196" s="5" t="e">
        <v>#N/A</v>
      </c>
      <c r="DD196" s="5" t="e">
        <v>#N/A</v>
      </c>
      <c r="DE196" s="5" t="e">
        <v>#N/A</v>
      </c>
      <c r="DF196" s="5" t="e">
        <v>#N/A</v>
      </c>
      <c r="DG196" s="5" t="e">
        <v>#N/A</v>
      </c>
      <c r="DH196" s="5" t="e">
        <v>#N/A</v>
      </c>
      <c r="DI196" s="5" t="e">
        <v>#N/A</v>
      </c>
    </row>
    <row r="197" spans="1:113" s="5" customFormat="1">
      <c r="A197"/>
      <c r="B197"/>
      <c r="C197" s="44"/>
      <c r="D197" s="44"/>
      <c r="E197" s="44"/>
      <c r="F197" s="44"/>
      <c r="G197" s="44"/>
      <c r="H197" s="44"/>
      <c r="I197" s="44"/>
      <c r="J197" s="44"/>
      <c r="K197" s="44"/>
      <c r="L197" s="44"/>
      <c r="M197" t="str">
        <f t="shared" si="21"/>
        <v>"//*[@class=\"</v>
      </c>
      <c r="N197" t="s">
        <v>31</v>
      </c>
      <c r="O197" s="4" t="str">
        <f t="shared" si="24"/>
        <v>click</v>
      </c>
      <c r="P197" t="str">
        <f t="shared" si="25"/>
        <v>();</v>
      </c>
      <c r="Q197" t="str">
        <f t="shared" si="26"/>
        <v/>
      </c>
      <c r="R197" t="str">
        <f t="shared" si="22"/>
        <v/>
      </c>
      <c r="S197" s="1" t="str">
        <f t="shared" si="23"/>
        <v/>
      </c>
      <c r="T197"/>
      <c r="U197"/>
      <c r="V197"/>
      <c r="W197"/>
      <c r="X197"/>
      <c r="Y197"/>
      <c r="Z197">
        <v>188</v>
      </c>
      <c r="AA197"/>
      <c r="AB197"/>
      <c r="AC197" s="6"/>
      <c r="AD197" s="6"/>
      <c r="AE197" s="6"/>
      <c r="AF197" s="6"/>
      <c r="AG197" s="4"/>
      <c r="AH197" s="4"/>
      <c r="AI197" s="4"/>
      <c r="AJ197" s="4"/>
      <c r="AK197" s="4"/>
      <c r="AL197" s="4"/>
      <c r="AM197" s="4"/>
      <c r="AN197" s="4"/>
      <c r="AO197" s="4"/>
      <c r="AP197" s="4"/>
      <c r="AQ197" s="4"/>
      <c r="AR197" s="4"/>
      <c r="AS197" s="4"/>
      <c r="AT197" s="4"/>
      <c r="AU197" s="4"/>
      <c r="AV197" s="4"/>
      <c r="AW197" s="4"/>
      <c r="AX197" s="4"/>
      <c r="AY197" s="4"/>
      <c r="AZ197" s="4"/>
      <c r="BA197" s="4"/>
      <c r="BB197" s="3"/>
      <c r="BC197" s="3"/>
      <c r="CT197" s="5" t="e">
        <v>#N/A</v>
      </c>
      <c r="CU197" s="5" t="e">
        <v>#N/A</v>
      </c>
      <c r="CV197" s="5" t="e">
        <v>#N/A</v>
      </c>
      <c r="CW197" s="5" t="e">
        <v>#N/A</v>
      </c>
      <c r="CX197" s="5" t="e">
        <v>#N/A</v>
      </c>
      <c r="CY197" s="5" t="e">
        <v>#N/A</v>
      </c>
      <c r="CZ197" s="5" t="e">
        <v>#N/A</v>
      </c>
      <c r="DA197" s="5" t="e">
        <v>#N/A</v>
      </c>
      <c r="DB197" s="5" t="e">
        <v>#N/A</v>
      </c>
      <c r="DC197" s="5" t="e">
        <v>#N/A</v>
      </c>
      <c r="DD197" s="5" t="e">
        <v>#N/A</v>
      </c>
      <c r="DE197" s="5" t="e">
        <v>#N/A</v>
      </c>
      <c r="DF197" s="5" t="e">
        <v>#N/A</v>
      </c>
      <c r="DG197" s="5" t="e">
        <v>#N/A</v>
      </c>
      <c r="DH197" s="5" t="e">
        <v>#N/A</v>
      </c>
      <c r="DI197" s="5" t="e">
        <v>#N/A</v>
      </c>
    </row>
    <row r="198" spans="1:113" s="5" customFormat="1">
      <c r="A198"/>
      <c r="B198"/>
      <c r="C198" s="44"/>
      <c r="D198" s="44"/>
      <c r="E198" s="44"/>
      <c r="F198" s="44"/>
      <c r="G198" s="44"/>
      <c r="H198" s="44"/>
      <c r="I198" s="44"/>
      <c r="J198" s="44"/>
      <c r="K198" s="44"/>
      <c r="L198" s="44"/>
      <c r="M198" t="str">
        <f t="shared" si="21"/>
        <v>"//*[@class=\"</v>
      </c>
      <c r="N198" t="s">
        <v>31</v>
      </c>
      <c r="O198" s="4" t="str">
        <f t="shared" si="24"/>
        <v>click</v>
      </c>
      <c r="P198" t="str">
        <f t="shared" si="25"/>
        <v>();</v>
      </c>
      <c r="Q198" t="str">
        <f t="shared" si="26"/>
        <v/>
      </c>
      <c r="R198" t="str">
        <f t="shared" si="22"/>
        <v/>
      </c>
      <c r="S198" s="1" t="str">
        <f t="shared" si="23"/>
        <v/>
      </c>
      <c r="T198"/>
      <c r="U198"/>
      <c r="V198"/>
      <c r="W198"/>
      <c r="X198"/>
      <c r="Y198"/>
      <c r="Z198">
        <v>189</v>
      </c>
      <c r="AA198"/>
      <c r="AB198"/>
      <c r="AC198" s="6"/>
      <c r="AD198" s="6"/>
      <c r="AE198" s="6"/>
      <c r="AF198" s="6"/>
      <c r="AG198" s="4"/>
      <c r="AH198" s="4"/>
      <c r="AI198" s="4"/>
      <c r="AJ198" s="4"/>
      <c r="AK198" s="4"/>
      <c r="AL198" s="4"/>
      <c r="AM198" s="4"/>
      <c r="AN198" s="4"/>
      <c r="AO198" s="4"/>
      <c r="AP198" s="4"/>
      <c r="AQ198" s="4"/>
      <c r="AR198" s="4"/>
      <c r="AS198" s="4"/>
      <c r="AT198" s="4"/>
      <c r="AU198" s="4"/>
      <c r="AV198" s="4"/>
      <c r="AW198" s="4"/>
      <c r="AX198" s="4"/>
      <c r="AY198" s="4"/>
      <c r="AZ198" s="4"/>
      <c r="BA198" s="4"/>
      <c r="BB198" s="3"/>
      <c r="BC198" s="3"/>
      <c r="CT198" s="5" t="e">
        <v>#N/A</v>
      </c>
      <c r="CU198" s="5" t="e">
        <v>#N/A</v>
      </c>
      <c r="CV198" s="5" t="e">
        <v>#N/A</v>
      </c>
      <c r="CW198" s="5" t="e">
        <v>#N/A</v>
      </c>
      <c r="CX198" s="5" t="e">
        <v>#N/A</v>
      </c>
      <c r="CY198" s="5" t="e">
        <v>#N/A</v>
      </c>
      <c r="CZ198" s="5" t="e">
        <v>#N/A</v>
      </c>
      <c r="DA198" s="5" t="e">
        <v>#N/A</v>
      </c>
      <c r="DB198" s="5" t="e">
        <v>#N/A</v>
      </c>
      <c r="DC198" s="5" t="e">
        <v>#N/A</v>
      </c>
      <c r="DD198" s="5" t="e">
        <v>#N/A</v>
      </c>
      <c r="DE198" s="5" t="e">
        <v>#N/A</v>
      </c>
      <c r="DF198" s="5" t="e">
        <v>#N/A</v>
      </c>
      <c r="DG198" s="5" t="e">
        <v>#N/A</v>
      </c>
      <c r="DH198" s="5" t="e">
        <v>#N/A</v>
      </c>
      <c r="DI198" s="5" t="e">
        <v>#N/A</v>
      </c>
    </row>
    <row r="199" spans="1:113" s="5" customFormat="1">
      <c r="A199"/>
      <c r="B199"/>
      <c r="C199" s="44"/>
      <c r="D199" s="44"/>
      <c r="E199" s="44"/>
      <c r="F199" s="44"/>
      <c r="G199" s="44"/>
      <c r="H199" s="44"/>
      <c r="I199" s="44"/>
      <c r="J199" s="44"/>
      <c r="K199" s="44"/>
      <c r="L199" s="44"/>
      <c r="M199" t="str">
        <f t="shared" si="21"/>
        <v>"//*[@class=\"</v>
      </c>
      <c r="N199" t="s">
        <v>31</v>
      </c>
      <c r="O199" s="4" t="str">
        <f t="shared" si="24"/>
        <v>click</v>
      </c>
      <c r="P199" t="str">
        <f t="shared" si="25"/>
        <v>();</v>
      </c>
      <c r="Q199" t="str">
        <f t="shared" si="26"/>
        <v/>
      </c>
      <c r="R199" t="str">
        <f t="shared" si="22"/>
        <v/>
      </c>
      <c r="S199" s="1" t="str">
        <f t="shared" si="23"/>
        <v/>
      </c>
      <c r="T199"/>
      <c r="U199"/>
      <c r="V199"/>
      <c r="W199"/>
      <c r="X199"/>
      <c r="Y199"/>
      <c r="Z199">
        <v>190</v>
      </c>
      <c r="AA199"/>
      <c r="AB199"/>
      <c r="AC199" s="6"/>
      <c r="AD199" s="6"/>
      <c r="AE199" s="6"/>
      <c r="AF199" s="6"/>
      <c r="AG199" s="4"/>
      <c r="AH199" s="4"/>
      <c r="AI199" s="4"/>
      <c r="AJ199" s="4"/>
      <c r="AK199" s="4"/>
      <c r="AL199" s="4"/>
      <c r="AM199" s="4"/>
      <c r="AN199" s="4"/>
      <c r="AO199" s="4"/>
      <c r="AP199" s="4"/>
      <c r="AQ199" s="4"/>
      <c r="AR199" s="4"/>
      <c r="AS199" s="4"/>
      <c r="AT199" s="4"/>
      <c r="AU199" s="4"/>
      <c r="AV199" s="4"/>
      <c r="AW199" s="4"/>
      <c r="AX199" s="4"/>
      <c r="AY199" s="4"/>
      <c r="AZ199" s="4"/>
      <c r="BA199" s="4"/>
      <c r="BB199" s="3"/>
      <c r="BC199" s="3"/>
      <c r="CT199" s="5" t="e">
        <v>#N/A</v>
      </c>
      <c r="CU199" s="5" t="e">
        <v>#N/A</v>
      </c>
      <c r="CV199" s="5" t="e">
        <v>#N/A</v>
      </c>
      <c r="CW199" s="5" t="e">
        <v>#N/A</v>
      </c>
      <c r="CX199" s="5" t="e">
        <v>#N/A</v>
      </c>
      <c r="CY199" s="5" t="e">
        <v>#N/A</v>
      </c>
      <c r="CZ199" s="5" t="e">
        <v>#N/A</v>
      </c>
      <c r="DA199" s="5" t="e">
        <v>#N/A</v>
      </c>
      <c r="DB199" s="5" t="e">
        <v>#N/A</v>
      </c>
      <c r="DC199" s="5" t="e">
        <v>#N/A</v>
      </c>
      <c r="DD199" s="5" t="e">
        <v>#N/A</v>
      </c>
      <c r="DE199" s="5" t="e">
        <v>#N/A</v>
      </c>
      <c r="DF199" s="5" t="e">
        <v>#N/A</v>
      </c>
      <c r="DG199" s="5" t="e">
        <v>#N/A</v>
      </c>
      <c r="DH199" s="5" t="e">
        <v>#N/A</v>
      </c>
      <c r="DI199" s="5" t="e">
        <v>#N/A</v>
      </c>
    </row>
    <row r="200" spans="1:113" s="5" customFormat="1">
      <c r="A200"/>
      <c r="B200"/>
      <c r="C200" s="44"/>
      <c r="D200" s="44"/>
      <c r="E200" s="44"/>
      <c r="F200" s="44"/>
      <c r="G200" s="44"/>
      <c r="H200" s="44"/>
      <c r="I200" s="44"/>
      <c r="J200" s="44"/>
      <c r="K200" s="44"/>
      <c r="L200" s="44"/>
      <c r="M200" t="str">
        <f t="shared" si="21"/>
        <v>"//*[@class=\"</v>
      </c>
      <c r="N200" t="s">
        <v>31</v>
      </c>
      <c r="O200" s="4" t="str">
        <f t="shared" si="24"/>
        <v>click</v>
      </c>
      <c r="P200" t="str">
        <f t="shared" si="25"/>
        <v>();</v>
      </c>
      <c r="Q200" t="str">
        <f t="shared" si="26"/>
        <v/>
      </c>
      <c r="R200" t="str">
        <f t="shared" si="22"/>
        <v/>
      </c>
      <c r="S200" s="1" t="str">
        <f t="shared" si="23"/>
        <v/>
      </c>
      <c r="T200"/>
      <c r="U200"/>
      <c r="V200"/>
      <c r="W200"/>
      <c r="X200"/>
      <c r="Y200"/>
      <c r="Z200">
        <v>191</v>
      </c>
      <c r="AA200"/>
      <c r="AB200"/>
      <c r="AC200" s="6"/>
      <c r="AD200" s="6"/>
      <c r="AE200" s="6"/>
      <c r="AF200" s="6"/>
      <c r="AG200" s="4"/>
      <c r="AH200" s="4"/>
      <c r="AI200" s="4"/>
      <c r="AJ200" s="4"/>
      <c r="AK200" s="4"/>
      <c r="AL200" s="4"/>
      <c r="AM200" s="4"/>
      <c r="AN200" s="4"/>
      <c r="AO200" s="4"/>
      <c r="AP200" s="4"/>
      <c r="AQ200" s="4"/>
      <c r="AR200" s="4"/>
      <c r="AS200" s="4"/>
      <c r="AT200" s="4"/>
      <c r="AU200" s="4"/>
      <c r="AV200" s="4"/>
      <c r="AW200" s="4"/>
      <c r="AX200" s="4"/>
      <c r="AY200" s="4"/>
      <c r="AZ200" s="4"/>
      <c r="BA200" s="4"/>
      <c r="BB200" s="3"/>
      <c r="BC200" s="3"/>
      <c r="CT200" s="5" t="e">
        <v>#N/A</v>
      </c>
      <c r="CU200" s="5" t="e">
        <v>#N/A</v>
      </c>
      <c r="CV200" s="5" t="e">
        <v>#N/A</v>
      </c>
      <c r="CW200" s="5" t="e">
        <v>#N/A</v>
      </c>
      <c r="CX200" s="5" t="e">
        <v>#N/A</v>
      </c>
      <c r="CY200" s="5" t="e">
        <v>#N/A</v>
      </c>
      <c r="CZ200" s="5" t="e">
        <v>#N/A</v>
      </c>
      <c r="DA200" s="5" t="e">
        <v>#N/A</v>
      </c>
      <c r="DB200" s="5" t="e">
        <v>#N/A</v>
      </c>
      <c r="DC200" s="5" t="e">
        <v>#N/A</v>
      </c>
      <c r="DD200" s="5" t="e">
        <v>#N/A</v>
      </c>
      <c r="DE200" s="5" t="e">
        <v>#N/A</v>
      </c>
      <c r="DF200" s="5" t="e">
        <v>#N/A</v>
      </c>
      <c r="DG200" s="5" t="e">
        <v>#N/A</v>
      </c>
      <c r="DH200" s="5" t="e">
        <v>#N/A</v>
      </c>
      <c r="DI200" s="5" t="e">
        <v>#N/A</v>
      </c>
    </row>
    <row r="201" spans="1:113" s="5" customFormat="1">
      <c r="A201"/>
      <c r="B201"/>
      <c r="C201" s="44"/>
      <c r="D201" s="44"/>
      <c r="E201" s="44"/>
      <c r="F201" s="44"/>
      <c r="G201" s="44"/>
      <c r="H201" s="44"/>
      <c r="I201" s="44"/>
      <c r="J201" s="44"/>
      <c r="K201" s="44"/>
      <c r="L201" s="44"/>
      <c r="M201" t="str">
        <f t="shared" si="21"/>
        <v>"//*[@class=\"</v>
      </c>
      <c r="N201" t="s">
        <v>31</v>
      </c>
      <c r="O201" s="4" t="str">
        <f t="shared" si="24"/>
        <v>click</v>
      </c>
      <c r="P201" t="str">
        <f t="shared" si="25"/>
        <v>();</v>
      </c>
      <c r="Q201" t="str">
        <f t="shared" si="26"/>
        <v/>
      </c>
      <c r="R201" t="str">
        <f t="shared" si="22"/>
        <v/>
      </c>
      <c r="S201" s="1" t="str">
        <f t="shared" si="23"/>
        <v/>
      </c>
      <c r="T201"/>
      <c r="U201"/>
      <c r="V201"/>
      <c r="W201"/>
      <c r="X201"/>
      <c r="Y201"/>
      <c r="Z201">
        <v>192</v>
      </c>
      <c r="AA201"/>
      <c r="AB201"/>
      <c r="AC201" s="6"/>
      <c r="AD201" s="6"/>
      <c r="AE201" s="6"/>
      <c r="AF201" s="6"/>
      <c r="AG201" s="4"/>
      <c r="AH201" s="4"/>
      <c r="AI201" s="4"/>
      <c r="AJ201" s="4"/>
      <c r="AK201" s="4"/>
      <c r="AL201" s="4"/>
      <c r="AM201" s="4"/>
      <c r="AN201" s="4"/>
      <c r="AO201" s="4"/>
      <c r="AP201" s="4"/>
      <c r="AQ201" s="4"/>
      <c r="AR201" s="4"/>
      <c r="AS201" s="4"/>
      <c r="AT201" s="4"/>
      <c r="AU201" s="4"/>
      <c r="AV201" s="4"/>
      <c r="AW201" s="4"/>
      <c r="AX201" s="4"/>
      <c r="AY201" s="4"/>
      <c r="AZ201" s="4"/>
      <c r="BA201" s="4"/>
      <c r="BB201" s="3"/>
      <c r="BC201" s="3"/>
      <c r="CT201" s="5" t="e">
        <v>#N/A</v>
      </c>
      <c r="CU201" s="5" t="e">
        <v>#N/A</v>
      </c>
      <c r="CV201" s="5" t="e">
        <v>#N/A</v>
      </c>
      <c r="CW201" s="5" t="e">
        <v>#N/A</v>
      </c>
      <c r="CX201" s="5" t="e">
        <v>#N/A</v>
      </c>
      <c r="CY201" s="5" t="e">
        <v>#N/A</v>
      </c>
      <c r="CZ201" s="5" t="e">
        <v>#N/A</v>
      </c>
      <c r="DA201" s="5" t="e">
        <v>#N/A</v>
      </c>
      <c r="DB201" s="5" t="e">
        <v>#N/A</v>
      </c>
      <c r="DC201" s="5" t="e">
        <v>#N/A</v>
      </c>
      <c r="DD201" s="5" t="e">
        <v>#N/A</v>
      </c>
      <c r="DE201" s="5" t="e">
        <v>#N/A</v>
      </c>
      <c r="DF201" s="5" t="e">
        <v>#N/A</v>
      </c>
      <c r="DG201" s="5" t="e">
        <v>#N/A</v>
      </c>
      <c r="DH201" s="5" t="e">
        <v>#N/A</v>
      </c>
      <c r="DI201" s="5" t="e">
        <v>#N/A</v>
      </c>
    </row>
    <row r="202" spans="1:113" s="5" customFormat="1">
      <c r="A202"/>
      <c r="B202"/>
      <c r="C202" s="44"/>
      <c r="D202" s="44"/>
      <c r="E202" s="44"/>
      <c r="F202" s="44"/>
      <c r="G202" s="44"/>
      <c r="H202" s="44"/>
      <c r="I202" s="44"/>
      <c r="J202" s="44"/>
      <c r="K202" s="44"/>
      <c r="L202" s="44"/>
      <c r="M202" t="str">
        <f t="shared" si="21"/>
        <v>"//*[@class=\"</v>
      </c>
      <c r="N202" t="s">
        <v>31</v>
      </c>
      <c r="O202" s="4" t="str">
        <f t="shared" si="24"/>
        <v>click</v>
      </c>
      <c r="P202" t="str">
        <f t="shared" si="25"/>
        <v>();</v>
      </c>
      <c r="Q202" t="str">
        <f t="shared" si="26"/>
        <v/>
      </c>
      <c r="R202" t="str">
        <f t="shared" si="22"/>
        <v/>
      </c>
      <c r="S202" s="1" t="str">
        <f t="shared" si="23"/>
        <v/>
      </c>
      <c r="T202"/>
      <c r="U202"/>
      <c r="V202"/>
      <c r="W202"/>
      <c r="X202"/>
      <c r="Y202"/>
      <c r="Z202">
        <v>193</v>
      </c>
      <c r="AA202"/>
      <c r="AB202"/>
      <c r="AC202" s="6"/>
      <c r="AD202" s="6"/>
      <c r="AE202" s="6"/>
      <c r="AF202" s="6"/>
      <c r="AG202" s="4"/>
      <c r="AH202" s="4"/>
      <c r="AI202" s="4"/>
      <c r="AJ202" s="4"/>
      <c r="AK202" s="4"/>
      <c r="AL202" s="4"/>
      <c r="AM202" s="4"/>
      <c r="AN202" s="4"/>
      <c r="AO202" s="4"/>
      <c r="AP202" s="4"/>
      <c r="AQ202" s="4"/>
      <c r="AR202" s="4"/>
      <c r="AS202" s="4"/>
      <c r="AT202" s="4"/>
      <c r="AU202" s="4"/>
      <c r="AV202" s="4"/>
      <c r="AW202" s="4"/>
      <c r="AX202" s="4"/>
      <c r="AY202" s="4"/>
      <c r="AZ202" s="4"/>
      <c r="BA202" s="4"/>
      <c r="BB202" s="3"/>
      <c r="BC202" s="3"/>
      <c r="CT202" s="5" t="e">
        <v>#N/A</v>
      </c>
      <c r="CU202" s="5" t="e">
        <v>#N/A</v>
      </c>
      <c r="CV202" s="5" t="e">
        <v>#N/A</v>
      </c>
      <c r="CW202" s="5" t="e">
        <v>#N/A</v>
      </c>
      <c r="CX202" s="5" t="e">
        <v>#N/A</v>
      </c>
      <c r="CY202" s="5" t="e">
        <v>#N/A</v>
      </c>
      <c r="CZ202" s="5" t="e">
        <v>#N/A</v>
      </c>
      <c r="DA202" s="5" t="e">
        <v>#N/A</v>
      </c>
      <c r="DB202" s="5" t="e">
        <v>#N/A</v>
      </c>
      <c r="DC202" s="5" t="e">
        <v>#N/A</v>
      </c>
      <c r="DD202" s="5" t="e">
        <v>#N/A</v>
      </c>
      <c r="DE202" s="5" t="e">
        <v>#N/A</v>
      </c>
      <c r="DF202" s="5" t="e">
        <v>#N/A</v>
      </c>
      <c r="DG202" s="5" t="e">
        <v>#N/A</v>
      </c>
      <c r="DH202" s="5" t="e">
        <v>#N/A</v>
      </c>
      <c r="DI202" s="5" t="e">
        <v>#N/A</v>
      </c>
    </row>
    <row r="203" spans="1:113" s="5" customFormat="1">
      <c r="A203"/>
      <c r="B203"/>
      <c r="C203" s="44"/>
      <c r="D203" s="44"/>
      <c r="E203" s="44"/>
      <c r="F203" s="44"/>
      <c r="G203" s="44"/>
      <c r="H203" s="44"/>
      <c r="I203" s="44"/>
      <c r="J203" s="44"/>
      <c r="K203" s="44"/>
      <c r="L203" s="44"/>
      <c r="M203" t="str">
        <f t="shared" ref="M203:M266" si="27">IF(H203="id",""""&amp;"//*[@id=\"&amp;"""",""""&amp;"//*[@class=\"&amp;"""")</f>
        <v>"//*[@class=\"</v>
      </c>
      <c r="N203" t="s">
        <v>31</v>
      </c>
      <c r="O203" s="4" t="str">
        <f t="shared" si="24"/>
        <v>click</v>
      </c>
      <c r="P203" t="str">
        <f t="shared" si="25"/>
        <v>();</v>
      </c>
      <c r="Q203" t="str">
        <f t="shared" si="26"/>
        <v/>
      </c>
      <c r="R203" t="str">
        <f t="shared" ref="R203:R266" si="28">IF(C203="Y",""""&amp;SUBSTITUTE(E203," ","")&amp;""""&amp;":"&amp;Q203&amp;"","")</f>
        <v/>
      </c>
      <c r="S203" s="1" t="str">
        <f t="shared" ref="S203:S266" si="29">IF(C203="Y",IF(D203&lt;&gt;"mat-select",IF(D203="End","",IF(O203="innerText",I203&amp;"="&amp;IF(C203="Y",IF(J203&lt;&gt;"Y",$S$8&amp;$R$9&amp;"."&amp;E203&amp;")."&amp;IF(OR(O203="click",O203="innerText"),O203&amp;"();",O203&amp;"("&amp;$Q$8&amp;"."&amp;E203&amp;");"),$S$7&amp;$R$9&amp;"."&amp;SUBSTITUTE(E203," ","")&amp;")."&amp;IF(O203="click",O203&amp;"();",O203&amp;"("&amp;"'"&amp;K203&amp;"'"&amp;");")),""),IF(C203="Y",IF(J203&lt;&gt;"Y",$S$8&amp;$R$9&amp;"."&amp;SUBSTITUTE(E203," ","")&amp;")."&amp;IF(OR(O203="click",O203="innerText"),O203&amp;"();",O203&amp;"("&amp;$Q$8&amp;"."&amp;SUBSTITUTE(E203," ","")&amp;");"),$S$7&amp;$R$9&amp;"."&amp;SUBSTITUTE(E203," ","")&amp;")."&amp;IF(O203="click",O203&amp;"();",O203&amp;"("&amp;"'"&amp;K203&amp;"'"&amp;");")),""))),"let form"&amp;Z203&amp;": String;"&amp;"for (let i = 1; i &lt; 30; i++) {"&amp;$S$8&amp;$R$9&amp;"."&amp;SUBSTITUTE(E203," ","")&amp;").click();"&amp;$CE$4&amp; "form"&amp;Z203&amp;"="&amp; $S$8&amp;$R$9&amp;"."&amp;SUBSTITUTE(E203," ","")&amp;").innerText();" &amp;"if ("&amp;"form"&amp;Z203&amp;"=="&amp; "Data[index]."&amp;SUBSTITUTE(E203," ","") &amp;"){"&amp;$CE$7),"")</f>
        <v/>
      </c>
      <c r="T203"/>
      <c r="U203"/>
      <c r="V203"/>
      <c r="W203"/>
      <c r="X203"/>
      <c r="Y203"/>
      <c r="Z203">
        <v>194</v>
      </c>
      <c r="AA203"/>
      <c r="AB203"/>
      <c r="AC203" s="6"/>
      <c r="AD203" s="6"/>
      <c r="AE203" s="6"/>
      <c r="AF203" s="6"/>
      <c r="AG203" s="4"/>
      <c r="AH203" s="4"/>
      <c r="AI203" s="4"/>
      <c r="AJ203" s="4"/>
      <c r="AK203" s="4"/>
      <c r="AL203" s="4"/>
      <c r="AM203" s="4"/>
      <c r="AN203" s="4"/>
      <c r="AO203" s="4"/>
      <c r="AP203" s="4"/>
      <c r="AQ203" s="4"/>
      <c r="AR203" s="4"/>
      <c r="AS203" s="4"/>
      <c r="AT203" s="4"/>
      <c r="AU203" s="4"/>
      <c r="AV203" s="4"/>
      <c r="AW203" s="4"/>
      <c r="AX203" s="4"/>
      <c r="AY203" s="4"/>
      <c r="AZ203" s="4"/>
      <c r="BA203" s="4"/>
      <c r="BB203" s="3"/>
      <c r="BC203" s="3"/>
      <c r="CT203" s="5" t="e">
        <v>#N/A</v>
      </c>
      <c r="CU203" s="5" t="e">
        <v>#N/A</v>
      </c>
      <c r="CV203" s="5" t="e">
        <v>#N/A</v>
      </c>
      <c r="CW203" s="5" t="e">
        <v>#N/A</v>
      </c>
      <c r="CX203" s="5" t="e">
        <v>#N/A</v>
      </c>
      <c r="CY203" s="5" t="e">
        <v>#N/A</v>
      </c>
      <c r="CZ203" s="5" t="e">
        <v>#N/A</v>
      </c>
      <c r="DA203" s="5" t="e">
        <v>#N/A</v>
      </c>
      <c r="DB203" s="5" t="e">
        <v>#N/A</v>
      </c>
      <c r="DC203" s="5" t="e">
        <v>#N/A</v>
      </c>
      <c r="DD203" s="5" t="e">
        <v>#N/A</v>
      </c>
      <c r="DE203" s="5" t="e">
        <v>#N/A</v>
      </c>
      <c r="DF203" s="5" t="e">
        <v>#N/A</v>
      </c>
      <c r="DG203" s="5" t="e">
        <v>#N/A</v>
      </c>
      <c r="DH203" s="5" t="e">
        <v>#N/A</v>
      </c>
      <c r="DI203" s="5" t="e">
        <v>#N/A</v>
      </c>
    </row>
    <row r="204" spans="1:113" s="5" customFormat="1">
      <c r="A204"/>
      <c r="B204"/>
      <c r="C204" s="44"/>
      <c r="D204" s="44"/>
      <c r="E204" s="44"/>
      <c r="F204" s="44"/>
      <c r="G204" s="44"/>
      <c r="H204" s="44"/>
      <c r="I204" s="44"/>
      <c r="J204" s="44"/>
      <c r="K204" s="44"/>
      <c r="L204" s="44"/>
      <c r="M204" t="str">
        <f t="shared" si="27"/>
        <v>"//*[@class=\"</v>
      </c>
      <c r="N204" t="s">
        <v>31</v>
      </c>
      <c r="O204" s="4" t="str">
        <f t="shared" si="24"/>
        <v>click</v>
      </c>
      <c r="P204" t="str">
        <f t="shared" si="25"/>
        <v>();</v>
      </c>
      <c r="Q204" t="str">
        <f t="shared" si="26"/>
        <v/>
      </c>
      <c r="R204" t="str">
        <f t="shared" si="28"/>
        <v/>
      </c>
      <c r="S204" s="1" t="str">
        <f t="shared" si="29"/>
        <v/>
      </c>
      <c r="T204"/>
      <c r="U204"/>
      <c r="V204"/>
      <c r="W204"/>
      <c r="X204"/>
      <c r="Y204"/>
      <c r="Z204">
        <v>195</v>
      </c>
      <c r="AA204"/>
      <c r="AB204"/>
      <c r="AC204" s="6"/>
      <c r="AD204" s="6"/>
      <c r="AE204" s="6"/>
      <c r="AF204" s="6"/>
      <c r="AG204" s="4"/>
      <c r="AH204" s="4"/>
      <c r="AI204" s="4"/>
      <c r="AJ204" s="4"/>
      <c r="AK204" s="4"/>
      <c r="AL204" s="4"/>
      <c r="AM204" s="4"/>
      <c r="AN204" s="4"/>
      <c r="AO204" s="4"/>
      <c r="AP204" s="4"/>
      <c r="AQ204" s="4"/>
      <c r="AR204" s="4"/>
      <c r="AS204" s="4"/>
      <c r="AT204" s="4"/>
      <c r="AU204" s="4"/>
      <c r="AV204" s="4"/>
      <c r="AW204" s="4"/>
      <c r="AX204" s="4"/>
      <c r="AY204" s="4"/>
      <c r="AZ204" s="4"/>
      <c r="BA204" s="4"/>
      <c r="BB204" s="3"/>
      <c r="BC204" s="3"/>
      <c r="CT204" s="5" t="e">
        <v>#N/A</v>
      </c>
      <c r="CU204" s="5" t="e">
        <v>#N/A</v>
      </c>
      <c r="CV204" s="5" t="e">
        <v>#N/A</v>
      </c>
      <c r="CW204" s="5" t="e">
        <v>#N/A</v>
      </c>
      <c r="CX204" s="5" t="e">
        <v>#N/A</v>
      </c>
      <c r="CY204" s="5" t="e">
        <v>#N/A</v>
      </c>
      <c r="CZ204" s="5" t="e">
        <v>#N/A</v>
      </c>
      <c r="DA204" s="5" t="e">
        <v>#N/A</v>
      </c>
      <c r="DB204" s="5" t="e">
        <v>#N/A</v>
      </c>
      <c r="DC204" s="5" t="e">
        <v>#N/A</v>
      </c>
      <c r="DD204" s="5" t="e">
        <v>#N/A</v>
      </c>
      <c r="DE204" s="5" t="e">
        <v>#N/A</v>
      </c>
      <c r="DF204" s="5" t="e">
        <v>#N/A</v>
      </c>
      <c r="DG204" s="5" t="e">
        <v>#N/A</v>
      </c>
      <c r="DH204" s="5" t="e">
        <v>#N/A</v>
      </c>
      <c r="DI204" s="5" t="e">
        <v>#N/A</v>
      </c>
    </row>
    <row r="205" spans="1:113" s="5" customFormat="1">
      <c r="A205"/>
      <c r="B205"/>
      <c r="C205" s="44"/>
      <c r="D205" s="44"/>
      <c r="E205" s="44"/>
      <c r="F205" s="44"/>
      <c r="G205" s="44"/>
      <c r="H205" s="44"/>
      <c r="I205" s="44"/>
      <c r="J205" s="44"/>
      <c r="K205" s="44"/>
      <c r="L205" s="44"/>
      <c r="M205" t="str">
        <f t="shared" si="27"/>
        <v>"//*[@class=\"</v>
      </c>
      <c r="N205" t="s">
        <v>31</v>
      </c>
      <c r="O205" s="4" t="str">
        <f t="shared" si="24"/>
        <v>click</v>
      </c>
      <c r="P205" t="str">
        <f t="shared" si="25"/>
        <v>();</v>
      </c>
      <c r="Q205" t="str">
        <f t="shared" si="26"/>
        <v/>
      </c>
      <c r="R205" t="str">
        <f t="shared" si="28"/>
        <v/>
      </c>
      <c r="S205" s="1" t="str">
        <f t="shared" si="29"/>
        <v/>
      </c>
      <c r="T205"/>
      <c r="U205"/>
      <c r="V205"/>
      <c r="W205"/>
      <c r="X205"/>
      <c r="Y205"/>
      <c r="Z205">
        <v>196</v>
      </c>
      <c r="AA205"/>
      <c r="AB205"/>
      <c r="AC205" s="6"/>
      <c r="AD205" s="6"/>
      <c r="AE205" s="6"/>
      <c r="AF205" s="6"/>
      <c r="AG205" s="4"/>
      <c r="AH205" s="4"/>
      <c r="AI205" s="4"/>
      <c r="AJ205" s="4"/>
      <c r="AK205" s="4"/>
      <c r="AL205" s="4"/>
      <c r="AM205" s="4"/>
      <c r="AN205" s="4"/>
      <c r="AO205" s="4"/>
      <c r="AP205" s="4"/>
      <c r="AQ205" s="4"/>
      <c r="AR205" s="4"/>
      <c r="AS205" s="4"/>
      <c r="AT205" s="4"/>
      <c r="AU205" s="4"/>
      <c r="AV205" s="4"/>
      <c r="AW205" s="4"/>
      <c r="AX205" s="4"/>
      <c r="AY205" s="4"/>
      <c r="AZ205" s="4"/>
      <c r="BA205" s="4"/>
      <c r="BB205" s="3"/>
      <c r="BC205" s="3"/>
      <c r="CT205" s="5" t="e">
        <v>#N/A</v>
      </c>
      <c r="CU205" s="5" t="e">
        <v>#N/A</v>
      </c>
      <c r="CV205" s="5" t="e">
        <v>#N/A</v>
      </c>
      <c r="CW205" s="5" t="e">
        <v>#N/A</v>
      </c>
      <c r="CX205" s="5" t="e">
        <v>#N/A</v>
      </c>
      <c r="CY205" s="5" t="e">
        <v>#N/A</v>
      </c>
      <c r="CZ205" s="5" t="e">
        <v>#N/A</v>
      </c>
      <c r="DA205" s="5" t="e">
        <v>#N/A</v>
      </c>
      <c r="DB205" s="5" t="e">
        <v>#N/A</v>
      </c>
      <c r="DC205" s="5" t="e">
        <v>#N/A</v>
      </c>
      <c r="DD205" s="5" t="e">
        <v>#N/A</v>
      </c>
      <c r="DE205" s="5" t="e">
        <v>#N/A</v>
      </c>
      <c r="DF205" s="5" t="e">
        <v>#N/A</v>
      </c>
      <c r="DG205" s="5" t="e">
        <v>#N/A</v>
      </c>
      <c r="DH205" s="5" t="e">
        <v>#N/A</v>
      </c>
      <c r="DI205" s="5" t="e">
        <v>#N/A</v>
      </c>
    </row>
    <row r="206" spans="1:113" s="5" customFormat="1">
      <c r="A206"/>
      <c r="B206"/>
      <c r="C206" s="44"/>
      <c r="D206" s="44"/>
      <c r="E206" s="44"/>
      <c r="F206" s="44"/>
      <c r="G206" s="44"/>
      <c r="H206" s="44"/>
      <c r="I206" s="44"/>
      <c r="J206" s="44"/>
      <c r="K206" s="44"/>
      <c r="L206" s="44"/>
      <c r="M206" t="str">
        <f t="shared" si="27"/>
        <v>"//*[@class=\"</v>
      </c>
      <c r="N206" t="s">
        <v>31</v>
      </c>
      <c r="O206" s="4" t="str">
        <f t="shared" ref="O206:O269" si="30">IF(D206="input","fill",IF(I206&lt;&gt;"","innerText",IF(J206="Y",$T$7,"click")))</f>
        <v>click</v>
      </c>
      <c r="P206" t="str">
        <f t="shared" ref="P206:P269" si="31">IF(OR(O206="Click",O206="innerText"),"();","("&amp;""""&amp;K206&amp;""""&amp;");")</f>
        <v>();</v>
      </c>
      <c r="Q206" t="str">
        <f t="shared" ref="Q206:Q269" si="32">IF(C206="Y",IF(H206&lt;&gt;"Xpath",M206&amp;F206&amp;N206,""""&amp;F206&amp;""""),"")</f>
        <v/>
      </c>
      <c r="R206" t="str">
        <f t="shared" si="28"/>
        <v/>
      </c>
      <c r="S206" s="1" t="str">
        <f t="shared" si="29"/>
        <v/>
      </c>
      <c r="T206"/>
      <c r="U206"/>
      <c r="V206"/>
      <c r="W206"/>
      <c r="X206"/>
      <c r="Y206"/>
      <c r="Z206">
        <v>197</v>
      </c>
      <c r="AA206"/>
      <c r="AB206"/>
      <c r="AC206" s="6"/>
      <c r="AD206" s="6"/>
      <c r="AE206" s="6"/>
      <c r="AF206" s="6"/>
      <c r="AG206" s="4"/>
      <c r="AH206" s="4"/>
      <c r="AI206" s="4"/>
      <c r="AJ206" s="4"/>
      <c r="AK206" s="4"/>
      <c r="AL206" s="4"/>
      <c r="AM206" s="4"/>
      <c r="AN206" s="4"/>
      <c r="AO206" s="4"/>
      <c r="AP206" s="4"/>
      <c r="AQ206" s="4"/>
      <c r="AR206" s="4"/>
      <c r="AS206" s="4"/>
      <c r="AT206" s="4"/>
      <c r="AU206" s="4"/>
      <c r="AV206" s="4"/>
      <c r="AW206" s="4"/>
      <c r="AX206" s="4"/>
      <c r="AY206" s="4"/>
      <c r="AZ206" s="4"/>
      <c r="BA206" s="4"/>
      <c r="BB206" s="3"/>
      <c r="BC206" s="3"/>
      <c r="CT206" s="5" t="e">
        <v>#N/A</v>
      </c>
      <c r="CU206" s="5" t="e">
        <v>#N/A</v>
      </c>
      <c r="CV206" s="5" t="e">
        <v>#N/A</v>
      </c>
      <c r="CW206" s="5" t="e">
        <v>#N/A</v>
      </c>
      <c r="CX206" s="5" t="e">
        <v>#N/A</v>
      </c>
      <c r="CY206" s="5" t="e">
        <v>#N/A</v>
      </c>
      <c r="CZ206" s="5" t="e">
        <v>#N/A</v>
      </c>
      <c r="DA206" s="5" t="e">
        <v>#N/A</v>
      </c>
      <c r="DB206" s="5" t="e">
        <v>#N/A</v>
      </c>
      <c r="DC206" s="5" t="e">
        <v>#N/A</v>
      </c>
      <c r="DD206" s="5" t="e">
        <v>#N/A</v>
      </c>
      <c r="DE206" s="5" t="e">
        <v>#N/A</v>
      </c>
      <c r="DF206" s="5" t="e">
        <v>#N/A</v>
      </c>
      <c r="DG206" s="5" t="e">
        <v>#N/A</v>
      </c>
      <c r="DH206" s="5" t="e">
        <v>#N/A</v>
      </c>
      <c r="DI206" s="5" t="e">
        <v>#N/A</v>
      </c>
    </row>
    <row r="207" spans="1:113" s="5" customFormat="1">
      <c r="A207"/>
      <c r="B207"/>
      <c r="C207" s="44"/>
      <c r="D207" s="44"/>
      <c r="E207" s="44"/>
      <c r="F207" s="44"/>
      <c r="G207" s="44"/>
      <c r="H207" s="44"/>
      <c r="I207" s="44"/>
      <c r="J207" s="44"/>
      <c r="K207" s="44"/>
      <c r="L207" s="44"/>
      <c r="M207" t="str">
        <f t="shared" si="27"/>
        <v>"//*[@class=\"</v>
      </c>
      <c r="N207" t="s">
        <v>31</v>
      </c>
      <c r="O207" s="4" t="str">
        <f t="shared" si="30"/>
        <v>click</v>
      </c>
      <c r="P207" t="str">
        <f t="shared" si="31"/>
        <v>();</v>
      </c>
      <c r="Q207" t="str">
        <f t="shared" si="32"/>
        <v/>
      </c>
      <c r="R207" t="str">
        <f t="shared" si="28"/>
        <v/>
      </c>
      <c r="S207" s="1" t="str">
        <f t="shared" si="29"/>
        <v/>
      </c>
      <c r="T207"/>
      <c r="U207"/>
      <c r="V207"/>
      <c r="W207"/>
      <c r="X207"/>
      <c r="Y207"/>
      <c r="Z207">
        <v>198</v>
      </c>
      <c r="AA207"/>
      <c r="AB207"/>
      <c r="AC207" s="6"/>
      <c r="AD207" s="6"/>
      <c r="AE207" s="6"/>
      <c r="AF207" s="6"/>
      <c r="AG207" s="4"/>
      <c r="AH207" s="4"/>
      <c r="AI207" s="4"/>
      <c r="AJ207" s="4"/>
      <c r="AK207" s="4"/>
      <c r="AL207" s="4"/>
      <c r="AM207" s="4"/>
      <c r="AN207" s="4"/>
      <c r="AO207" s="4"/>
      <c r="AP207" s="4"/>
      <c r="AQ207" s="4"/>
      <c r="AR207" s="4"/>
      <c r="AS207" s="4"/>
      <c r="AT207" s="4"/>
      <c r="AU207" s="4"/>
      <c r="AV207" s="4"/>
      <c r="AW207" s="4"/>
      <c r="AX207" s="4"/>
      <c r="AY207" s="4"/>
      <c r="AZ207" s="4"/>
      <c r="BA207" s="4"/>
      <c r="BB207" s="3"/>
      <c r="BC207" s="3"/>
      <c r="CT207" s="5" t="e">
        <v>#N/A</v>
      </c>
      <c r="CU207" s="5" t="e">
        <v>#N/A</v>
      </c>
      <c r="CV207" s="5" t="e">
        <v>#N/A</v>
      </c>
      <c r="CW207" s="5" t="e">
        <v>#N/A</v>
      </c>
      <c r="CX207" s="5" t="e">
        <v>#N/A</v>
      </c>
      <c r="CY207" s="5" t="e">
        <v>#N/A</v>
      </c>
      <c r="CZ207" s="5" t="e">
        <v>#N/A</v>
      </c>
      <c r="DA207" s="5" t="e">
        <v>#N/A</v>
      </c>
      <c r="DB207" s="5" t="e">
        <v>#N/A</v>
      </c>
      <c r="DC207" s="5" t="e">
        <v>#N/A</v>
      </c>
      <c r="DD207" s="5" t="e">
        <v>#N/A</v>
      </c>
      <c r="DE207" s="5" t="e">
        <v>#N/A</v>
      </c>
      <c r="DF207" s="5" t="e">
        <v>#N/A</v>
      </c>
      <c r="DG207" s="5" t="e">
        <v>#N/A</v>
      </c>
      <c r="DH207" s="5" t="e">
        <v>#N/A</v>
      </c>
      <c r="DI207" s="5" t="e">
        <v>#N/A</v>
      </c>
    </row>
    <row r="208" spans="1:113" s="5" customFormat="1">
      <c r="A208"/>
      <c r="B208"/>
      <c r="C208" s="44"/>
      <c r="D208" s="44"/>
      <c r="E208" s="44"/>
      <c r="F208" s="44"/>
      <c r="G208" s="44"/>
      <c r="H208" s="44"/>
      <c r="I208" s="44"/>
      <c r="J208" s="44"/>
      <c r="K208" s="44"/>
      <c r="L208" s="44"/>
      <c r="M208" t="str">
        <f t="shared" si="27"/>
        <v>"//*[@class=\"</v>
      </c>
      <c r="N208" t="s">
        <v>31</v>
      </c>
      <c r="O208" s="4" t="str">
        <f t="shared" si="30"/>
        <v>click</v>
      </c>
      <c r="P208" t="str">
        <f t="shared" si="31"/>
        <v>();</v>
      </c>
      <c r="Q208" t="str">
        <f t="shared" si="32"/>
        <v/>
      </c>
      <c r="R208" t="str">
        <f t="shared" si="28"/>
        <v/>
      </c>
      <c r="S208" s="1" t="str">
        <f t="shared" si="29"/>
        <v/>
      </c>
      <c r="T208"/>
      <c r="U208"/>
      <c r="V208"/>
      <c r="W208"/>
      <c r="X208"/>
      <c r="Y208"/>
      <c r="Z208">
        <v>199</v>
      </c>
      <c r="AA208"/>
      <c r="AB208"/>
      <c r="AC208" s="6"/>
      <c r="AD208" s="6"/>
      <c r="AE208" s="6"/>
      <c r="AF208" s="6"/>
      <c r="AG208" s="4"/>
      <c r="AH208" s="4"/>
      <c r="AI208" s="4"/>
      <c r="AJ208" s="4"/>
      <c r="AK208" s="4"/>
      <c r="AL208" s="4"/>
      <c r="AM208" s="4"/>
      <c r="AN208" s="4"/>
      <c r="AO208" s="4"/>
      <c r="AP208" s="4"/>
      <c r="AQ208" s="4"/>
      <c r="AR208" s="4"/>
      <c r="AS208" s="4"/>
      <c r="AT208" s="4"/>
      <c r="AU208" s="4"/>
      <c r="AV208" s="4"/>
      <c r="AW208" s="4"/>
      <c r="AX208" s="4"/>
      <c r="AY208" s="4"/>
      <c r="AZ208" s="4"/>
      <c r="BA208" s="4"/>
      <c r="BB208" s="3"/>
      <c r="BC208" s="3"/>
      <c r="CT208" s="5" t="e">
        <v>#N/A</v>
      </c>
      <c r="CU208" s="5" t="e">
        <v>#N/A</v>
      </c>
      <c r="CV208" s="5" t="e">
        <v>#N/A</v>
      </c>
      <c r="CW208" s="5" t="e">
        <v>#N/A</v>
      </c>
      <c r="CX208" s="5" t="e">
        <v>#N/A</v>
      </c>
      <c r="CY208" s="5" t="e">
        <v>#N/A</v>
      </c>
      <c r="CZ208" s="5" t="e">
        <v>#N/A</v>
      </c>
      <c r="DA208" s="5" t="e">
        <v>#N/A</v>
      </c>
      <c r="DB208" s="5" t="e">
        <v>#N/A</v>
      </c>
      <c r="DC208" s="5" t="e">
        <v>#N/A</v>
      </c>
      <c r="DD208" s="5" t="e">
        <v>#N/A</v>
      </c>
      <c r="DE208" s="5" t="e">
        <v>#N/A</v>
      </c>
      <c r="DF208" s="5" t="e">
        <v>#N/A</v>
      </c>
      <c r="DG208" s="5" t="e">
        <v>#N/A</v>
      </c>
      <c r="DH208" s="5" t="e">
        <v>#N/A</v>
      </c>
      <c r="DI208" s="5" t="e">
        <v>#N/A</v>
      </c>
    </row>
    <row r="209" spans="1:113" s="5" customFormat="1">
      <c r="A209"/>
      <c r="B209"/>
      <c r="C209" s="44"/>
      <c r="D209" s="44"/>
      <c r="E209" s="44"/>
      <c r="F209" s="44"/>
      <c r="G209" s="44"/>
      <c r="H209" s="44"/>
      <c r="I209" s="44"/>
      <c r="J209" s="44"/>
      <c r="K209" s="44"/>
      <c r="L209" s="44"/>
      <c r="M209" t="str">
        <f t="shared" si="27"/>
        <v>"//*[@class=\"</v>
      </c>
      <c r="N209" t="s">
        <v>31</v>
      </c>
      <c r="O209" s="4" t="str">
        <f t="shared" si="30"/>
        <v>click</v>
      </c>
      <c r="P209" t="str">
        <f t="shared" si="31"/>
        <v>();</v>
      </c>
      <c r="Q209" t="str">
        <f t="shared" si="32"/>
        <v/>
      </c>
      <c r="R209" t="str">
        <f t="shared" si="28"/>
        <v/>
      </c>
      <c r="S209" s="1" t="str">
        <f t="shared" si="29"/>
        <v/>
      </c>
      <c r="T209"/>
      <c r="U209"/>
      <c r="V209"/>
      <c r="W209"/>
      <c r="X209"/>
      <c r="Y209"/>
      <c r="Z209">
        <v>200</v>
      </c>
      <c r="AA209"/>
      <c r="AB209"/>
      <c r="AC209" s="6"/>
      <c r="AD209" s="6"/>
      <c r="AE209" s="6"/>
      <c r="AF209" s="6"/>
      <c r="AG209" s="4"/>
      <c r="AH209" s="4"/>
      <c r="AI209" s="4"/>
      <c r="AJ209" s="4"/>
      <c r="AK209" s="4"/>
      <c r="AL209" s="4"/>
      <c r="AM209" s="4"/>
      <c r="AN209" s="4"/>
      <c r="AO209" s="4"/>
      <c r="AP209" s="4"/>
      <c r="AQ209" s="4"/>
      <c r="AR209" s="4"/>
      <c r="AS209" s="4"/>
      <c r="AT209" s="4"/>
      <c r="AU209" s="4"/>
      <c r="AV209" s="4"/>
      <c r="AW209" s="4"/>
      <c r="AX209" s="4"/>
      <c r="AY209" s="4"/>
      <c r="AZ209" s="4"/>
      <c r="BA209" s="4"/>
      <c r="BB209" s="3"/>
      <c r="BC209" s="3"/>
      <c r="CT209" s="5" t="e">
        <v>#N/A</v>
      </c>
      <c r="CU209" s="5" t="e">
        <v>#N/A</v>
      </c>
      <c r="CV209" s="5" t="e">
        <v>#N/A</v>
      </c>
      <c r="CW209" s="5" t="e">
        <v>#N/A</v>
      </c>
      <c r="CX209" s="5" t="e">
        <v>#N/A</v>
      </c>
      <c r="CY209" s="5" t="e">
        <v>#N/A</v>
      </c>
      <c r="CZ209" s="5" t="e">
        <v>#N/A</v>
      </c>
      <c r="DA209" s="5" t="e">
        <v>#N/A</v>
      </c>
      <c r="DB209" s="5" t="e">
        <v>#N/A</v>
      </c>
      <c r="DC209" s="5" t="e">
        <v>#N/A</v>
      </c>
      <c r="DD209" s="5" t="e">
        <v>#N/A</v>
      </c>
      <c r="DE209" s="5" t="e">
        <v>#N/A</v>
      </c>
      <c r="DF209" s="5" t="e">
        <v>#N/A</v>
      </c>
      <c r="DG209" s="5" t="e">
        <v>#N/A</v>
      </c>
      <c r="DH209" s="5" t="e">
        <v>#N/A</v>
      </c>
      <c r="DI209" s="5" t="e">
        <v>#N/A</v>
      </c>
    </row>
    <row r="210" spans="1:113" s="5" customFormat="1">
      <c r="A210"/>
      <c r="B210"/>
      <c r="C210" s="44"/>
      <c r="D210" s="44"/>
      <c r="E210" s="44"/>
      <c r="F210" s="44"/>
      <c r="G210" s="44"/>
      <c r="H210" s="44"/>
      <c r="I210" s="44"/>
      <c r="J210" s="44"/>
      <c r="K210" s="44"/>
      <c r="L210" s="44"/>
      <c r="M210" t="str">
        <f t="shared" si="27"/>
        <v>"//*[@class=\"</v>
      </c>
      <c r="N210" t="s">
        <v>31</v>
      </c>
      <c r="O210" s="4" t="str">
        <f t="shared" si="30"/>
        <v>click</v>
      </c>
      <c r="P210" t="str">
        <f t="shared" si="31"/>
        <v>();</v>
      </c>
      <c r="Q210" t="str">
        <f t="shared" si="32"/>
        <v/>
      </c>
      <c r="R210" t="str">
        <f t="shared" si="28"/>
        <v/>
      </c>
      <c r="S210" s="1" t="str">
        <f t="shared" si="29"/>
        <v/>
      </c>
      <c r="T210"/>
      <c r="U210"/>
      <c r="V210"/>
      <c r="W210"/>
      <c r="X210"/>
      <c r="Y210"/>
      <c r="Z210">
        <v>201</v>
      </c>
      <c r="AA210"/>
      <c r="AB210"/>
      <c r="AC210" s="6"/>
      <c r="AD210" s="6"/>
      <c r="AE210" s="6"/>
      <c r="AF210" s="6"/>
      <c r="AG210" s="4"/>
      <c r="AH210" s="4"/>
      <c r="AI210" s="4"/>
      <c r="AJ210" s="4"/>
      <c r="AK210" s="4"/>
      <c r="AL210" s="4"/>
      <c r="AM210" s="4"/>
      <c r="AN210" s="4"/>
      <c r="AO210" s="4"/>
      <c r="AP210" s="4"/>
      <c r="AQ210" s="4"/>
      <c r="AR210" s="4"/>
      <c r="AS210" s="4"/>
      <c r="AT210" s="4"/>
      <c r="AU210" s="4"/>
      <c r="AV210" s="4"/>
      <c r="AW210" s="4"/>
      <c r="AX210" s="4"/>
      <c r="AY210" s="4"/>
      <c r="AZ210" s="4"/>
      <c r="BA210" s="4"/>
      <c r="BB210" s="3"/>
      <c r="BC210" s="3"/>
      <c r="CT210" s="5" t="e">
        <v>#N/A</v>
      </c>
      <c r="CU210" s="5" t="e">
        <v>#N/A</v>
      </c>
      <c r="CV210" s="5" t="e">
        <v>#N/A</v>
      </c>
      <c r="CW210" s="5" t="e">
        <v>#N/A</v>
      </c>
      <c r="CX210" s="5" t="e">
        <v>#N/A</v>
      </c>
      <c r="CY210" s="5" t="e">
        <v>#N/A</v>
      </c>
      <c r="CZ210" s="5" t="e">
        <v>#N/A</v>
      </c>
      <c r="DA210" s="5" t="e">
        <v>#N/A</v>
      </c>
      <c r="DB210" s="5" t="e">
        <v>#N/A</v>
      </c>
      <c r="DC210" s="5" t="e">
        <v>#N/A</v>
      </c>
      <c r="DD210" s="5" t="e">
        <v>#N/A</v>
      </c>
      <c r="DE210" s="5" t="e">
        <v>#N/A</v>
      </c>
      <c r="DF210" s="5" t="e">
        <v>#N/A</v>
      </c>
      <c r="DG210" s="5" t="e">
        <v>#N/A</v>
      </c>
      <c r="DH210" s="5" t="e">
        <v>#N/A</v>
      </c>
      <c r="DI210" s="5" t="e">
        <v>#N/A</v>
      </c>
    </row>
    <row r="211" spans="1:113" s="5" customFormat="1">
      <c r="A211"/>
      <c r="B211"/>
      <c r="C211" s="44"/>
      <c r="D211" s="44"/>
      <c r="E211" s="44"/>
      <c r="F211" s="44"/>
      <c r="G211" s="44"/>
      <c r="H211" s="44"/>
      <c r="I211" s="44"/>
      <c r="J211" s="44"/>
      <c r="K211" s="44"/>
      <c r="L211" s="44"/>
      <c r="M211" t="str">
        <f t="shared" si="27"/>
        <v>"//*[@class=\"</v>
      </c>
      <c r="N211" t="s">
        <v>31</v>
      </c>
      <c r="O211" s="4" t="str">
        <f t="shared" si="30"/>
        <v>click</v>
      </c>
      <c r="P211" t="str">
        <f t="shared" si="31"/>
        <v>();</v>
      </c>
      <c r="Q211" t="str">
        <f t="shared" si="32"/>
        <v/>
      </c>
      <c r="R211" t="str">
        <f t="shared" si="28"/>
        <v/>
      </c>
      <c r="S211" s="1" t="str">
        <f t="shared" si="29"/>
        <v/>
      </c>
      <c r="T211"/>
      <c r="U211"/>
      <c r="V211"/>
      <c r="W211"/>
      <c r="X211"/>
      <c r="Y211"/>
      <c r="Z211">
        <v>202</v>
      </c>
      <c r="AA211"/>
      <c r="AB211"/>
      <c r="AC211" s="6"/>
      <c r="AD211" s="6"/>
      <c r="AE211" s="6"/>
      <c r="AF211" s="6"/>
      <c r="AG211" s="4"/>
      <c r="AH211" s="4"/>
      <c r="AI211" s="4"/>
      <c r="AJ211" s="4"/>
      <c r="AK211" s="4"/>
      <c r="AL211" s="4"/>
      <c r="AM211" s="4"/>
      <c r="AN211" s="4"/>
      <c r="AO211" s="4"/>
      <c r="AP211" s="4"/>
      <c r="AQ211" s="4"/>
      <c r="AR211" s="4"/>
      <c r="AS211" s="4"/>
      <c r="AT211" s="4"/>
      <c r="AU211" s="4"/>
      <c r="AV211" s="4"/>
      <c r="AW211" s="4"/>
      <c r="AX211" s="4"/>
      <c r="AY211" s="4"/>
      <c r="AZ211" s="4"/>
      <c r="BA211" s="4"/>
      <c r="BB211" s="3"/>
      <c r="BC211" s="3"/>
      <c r="CT211" s="5" t="e">
        <v>#N/A</v>
      </c>
      <c r="CU211" s="5" t="e">
        <v>#N/A</v>
      </c>
      <c r="CV211" s="5" t="e">
        <v>#N/A</v>
      </c>
      <c r="CW211" s="5" t="e">
        <v>#N/A</v>
      </c>
      <c r="CX211" s="5" t="e">
        <v>#N/A</v>
      </c>
      <c r="CY211" s="5" t="e">
        <v>#N/A</v>
      </c>
      <c r="CZ211" s="5" t="e">
        <v>#N/A</v>
      </c>
      <c r="DA211" s="5" t="e">
        <v>#N/A</v>
      </c>
      <c r="DB211" s="5" t="e">
        <v>#N/A</v>
      </c>
      <c r="DC211" s="5" t="e">
        <v>#N/A</v>
      </c>
      <c r="DD211" s="5" t="e">
        <v>#N/A</v>
      </c>
      <c r="DE211" s="5" t="e">
        <v>#N/A</v>
      </c>
      <c r="DF211" s="5" t="e">
        <v>#N/A</v>
      </c>
      <c r="DG211" s="5" t="e">
        <v>#N/A</v>
      </c>
      <c r="DH211" s="5" t="e">
        <v>#N/A</v>
      </c>
      <c r="DI211" s="5" t="e">
        <v>#N/A</v>
      </c>
    </row>
    <row r="212" spans="1:113" s="5" customFormat="1">
      <c r="A212"/>
      <c r="B212"/>
      <c r="C212" s="44"/>
      <c r="D212" s="44"/>
      <c r="E212" s="44"/>
      <c r="F212" s="44"/>
      <c r="G212" s="44"/>
      <c r="H212" s="44"/>
      <c r="I212" s="44"/>
      <c r="J212" s="44"/>
      <c r="K212" s="44"/>
      <c r="L212" s="44"/>
      <c r="M212" t="str">
        <f t="shared" si="27"/>
        <v>"//*[@class=\"</v>
      </c>
      <c r="N212" t="s">
        <v>31</v>
      </c>
      <c r="O212" s="4" t="str">
        <f t="shared" si="30"/>
        <v>click</v>
      </c>
      <c r="P212" t="str">
        <f t="shared" si="31"/>
        <v>();</v>
      </c>
      <c r="Q212" t="str">
        <f t="shared" si="32"/>
        <v/>
      </c>
      <c r="R212" t="str">
        <f t="shared" si="28"/>
        <v/>
      </c>
      <c r="S212" s="1" t="str">
        <f t="shared" si="29"/>
        <v/>
      </c>
      <c r="T212"/>
      <c r="U212"/>
      <c r="V212"/>
      <c r="W212"/>
      <c r="X212"/>
      <c r="Y212"/>
      <c r="Z212">
        <v>203</v>
      </c>
      <c r="AA212"/>
      <c r="AB212"/>
      <c r="AC212" s="6"/>
      <c r="AD212" s="6"/>
      <c r="AE212" s="6"/>
      <c r="AF212" s="6"/>
      <c r="AG212" s="4"/>
      <c r="AH212" s="4"/>
      <c r="AI212" s="4"/>
      <c r="AJ212" s="4"/>
      <c r="AK212" s="4"/>
      <c r="AL212" s="4"/>
      <c r="AM212" s="4"/>
      <c r="AN212" s="4"/>
      <c r="AO212" s="4"/>
      <c r="AP212" s="4"/>
      <c r="AQ212" s="4"/>
      <c r="AR212" s="4"/>
      <c r="AS212" s="4"/>
      <c r="AT212" s="4"/>
      <c r="AU212" s="4"/>
      <c r="AV212" s="4"/>
      <c r="AW212" s="4"/>
      <c r="AX212" s="4"/>
      <c r="AY212" s="4"/>
      <c r="AZ212" s="4"/>
      <c r="BA212" s="4"/>
      <c r="BB212" s="3"/>
      <c r="BC212" s="3"/>
      <c r="CT212" s="5" t="e">
        <v>#N/A</v>
      </c>
      <c r="CU212" s="5" t="e">
        <v>#N/A</v>
      </c>
      <c r="CV212" s="5" t="e">
        <v>#N/A</v>
      </c>
      <c r="CW212" s="5" t="e">
        <v>#N/A</v>
      </c>
      <c r="CX212" s="5" t="e">
        <v>#N/A</v>
      </c>
      <c r="CY212" s="5" t="e">
        <v>#N/A</v>
      </c>
      <c r="CZ212" s="5" t="e">
        <v>#N/A</v>
      </c>
      <c r="DA212" s="5" t="e">
        <v>#N/A</v>
      </c>
      <c r="DB212" s="5" t="e">
        <v>#N/A</v>
      </c>
      <c r="DC212" s="5" t="e">
        <v>#N/A</v>
      </c>
      <c r="DD212" s="5" t="e">
        <v>#N/A</v>
      </c>
      <c r="DE212" s="5" t="e">
        <v>#N/A</v>
      </c>
      <c r="DF212" s="5" t="e">
        <v>#N/A</v>
      </c>
      <c r="DG212" s="5" t="e">
        <v>#N/A</v>
      </c>
      <c r="DH212" s="5" t="e">
        <v>#N/A</v>
      </c>
      <c r="DI212" s="5" t="e">
        <v>#N/A</v>
      </c>
    </row>
    <row r="213" spans="1:113" s="5" customFormat="1">
      <c r="A213"/>
      <c r="B213"/>
      <c r="C213" s="44"/>
      <c r="D213" s="44"/>
      <c r="E213" s="44"/>
      <c r="F213" s="44"/>
      <c r="G213" s="44"/>
      <c r="H213" s="44"/>
      <c r="I213" s="44"/>
      <c r="J213" s="44"/>
      <c r="K213" s="44"/>
      <c r="L213" s="44"/>
      <c r="M213" t="str">
        <f t="shared" si="27"/>
        <v>"//*[@class=\"</v>
      </c>
      <c r="N213" t="s">
        <v>31</v>
      </c>
      <c r="O213" s="4" t="str">
        <f t="shared" si="30"/>
        <v>click</v>
      </c>
      <c r="P213" t="str">
        <f t="shared" si="31"/>
        <v>();</v>
      </c>
      <c r="Q213" t="str">
        <f t="shared" si="32"/>
        <v/>
      </c>
      <c r="R213" t="str">
        <f t="shared" si="28"/>
        <v/>
      </c>
      <c r="S213" s="1" t="str">
        <f t="shared" si="29"/>
        <v/>
      </c>
      <c r="T213"/>
      <c r="U213"/>
      <c r="V213"/>
      <c r="W213"/>
      <c r="X213"/>
      <c r="Y213"/>
      <c r="Z213">
        <v>204</v>
      </c>
      <c r="AA213"/>
      <c r="AB213"/>
      <c r="AC213" s="6"/>
      <c r="AD213" s="6"/>
      <c r="AE213" s="6"/>
      <c r="AF213" s="6"/>
      <c r="AG213" s="4"/>
      <c r="AH213" s="4"/>
      <c r="AI213" s="4"/>
      <c r="AJ213" s="4"/>
      <c r="AK213" s="4"/>
      <c r="AL213" s="4"/>
      <c r="AM213" s="4"/>
      <c r="AN213" s="4"/>
      <c r="AO213" s="4"/>
      <c r="AP213" s="4"/>
      <c r="AQ213" s="4"/>
      <c r="AR213" s="4"/>
      <c r="AS213" s="4"/>
      <c r="AT213" s="4"/>
      <c r="AU213" s="4"/>
      <c r="AV213" s="4"/>
      <c r="AW213" s="4"/>
      <c r="AX213" s="4"/>
      <c r="AY213" s="4"/>
      <c r="AZ213" s="4"/>
      <c r="BA213" s="4"/>
      <c r="BB213" s="3"/>
      <c r="BC213" s="3"/>
      <c r="CT213" s="5" t="e">
        <v>#N/A</v>
      </c>
      <c r="CU213" s="5" t="e">
        <v>#N/A</v>
      </c>
      <c r="CV213" s="5" t="e">
        <v>#N/A</v>
      </c>
      <c r="CW213" s="5" t="e">
        <v>#N/A</v>
      </c>
      <c r="CX213" s="5" t="e">
        <v>#N/A</v>
      </c>
      <c r="CY213" s="5" t="e">
        <v>#N/A</v>
      </c>
      <c r="CZ213" s="5" t="e">
        <v>#N/A</v>
      </c>
      <c r="DA213" s="5" t="e">
        <v>#N/A</v>
      </c>
      <c r="DB213" s="5" t="e">
        <v>#N/A</v>
      </c>
      <c r="DC213" s="5" t="e">
        <v>#N/A</v>
      </c>
      <c r="DD213" s="5" t="e">
        <v>#N/A</v>
      </c>
      <c r="DE213" s="5" t="e">
        <v>#N/A</v>
      </c>
      <c r="DF213" s="5" t="e">
        <v>#N/A</v>
      </c>
      <c r="DG213" s="5" t="e">
        <v>#N/A</v>
      </c>
      <c r="DH213" s="5" t="e">
        <v>#N/A</v>
      </c>
      <c r="DI213" s="5" t="e">
        <v>#N/A</v>
      </c>
    </row>
    <row r="214" spans="1:113" s="5" customFormat="1">
      <c r="A214"/>
      <c r="B214"/>
      <c r="C214" s="44"/>
      <c r="D214" s="44"/>
      <c r="E214" s="44"/>
      <c r="F214" s="44"/>
      <c r="G214" s="44"/>
      <c r="H214" s="44"/>
      <c r="I214" s="44"/>
      <c r="J214" s="44"/>
      <c r="K214" s="44"/>
      <c r="L214" s="44"/>
      <c r="M214" t="str">
        <f t="shared" si="27"/>
        <v>"//*[@class=\"</v>
      </c>
      <c r="N214" t="s">
        <v>31</v>
      </c>
      <c r="O214" s="4" t="str">
        <f t="shared" si="30"/>
        <v>click</v>
      </c>
      <c r="P214" t="str">
        <f t="shared" si="31"/>
        <v>();</v>
      </c>
      <c r="Q214" t="str">
        <f t="shared" si="32"/>
        <v/>
      </c>
      <c r="R214" t="str">
        <f t="shared" si="28"/>
        <v/>
      </c>
      <c r="S214" s="1" t="str">
        <f t="shared" si="29"/>
        <v/>
      </c>
      <c r="T214"/>
      <c r="U214"/>
      <c r="V214"/>
      <c r="W214"/>
      <c r="X214"/>
      <c r="Y214"/>
      <c r="Z214">
        <v>205</v>
      </c>
      <c r="AA214"/>
      <c r="AB214"/>
      <c r="AC214" s="6"/>
      <c r="AD214" s="6"/>
      <c r="AE214" s="6"/>
      <c r="AF214" s="6"/>
      <c r="AG214" s="4"/>
      <c r="AH214" s="4"/>
      <c r="AI214" s="4"/>
      <c r="AJ214" s="4"/>
      <c r="AK214" s="4"/>
      <c r="AL214" s="4"/>
      <c r="AM214" s="4"/>
      <c r="AN214" s="4"/>
      <c r="AO214" s="4"/>
      <c r="AP214" s="4"/>
      <c r="AQ214" s="4"/>
      <c r="AR214" s="4"/>
      <c r="AS214" s="4"/>
      <c r="AT214" s="4"/>
      <c r="AU214" s="4"/>
      <c r="AV214" s="4"/>
      <c r="AW214" s="4"/>
      <c r="AX214" s="4"/>
      <c r="AY214" s="4"/>
      <c r="AZ214" s="4"/>
      <c r="BA214" s="4"/>
      <c r="BB214" s="3"/>
      <c r="BC214" s="3"/>
      <c r="CT214" s="5" t="e">
        <v>#N/A</v>
      </c>
      <c r="CU214" s="5" t="e">
        <v>#N/A</v>
      </c>
      <c r="CV214" s="5" t="e">
        <v>#N/A</v>
      </c>
      <c r="CW214" s="5" t="e">
        <v>#N/A</v>
      </c>
      <c r="CX214" s="5" t="e">
        <v>#N/A</v>
      </c>
      <c r="CY214" s="5" t="e">
        <v>#N/A</v>
      </c>
      <c r="CZ214" s="5" t="e">
        <v>#N/A</v>
      </c>
      <c r="DA214" s="5" t="e">
        <v>#N/A</v>
      </c>
      <c r="DB214" s="5" t="e">
        <v>#N/A</v>
      </c>
      <c r="DC214" s="5" t="e">
        <v>#N/A</v>
      </c>
      <c r="DD214" s="5" t="e">
        <v>#N/A</v>
      </c>
      <c r="DE214" s="5" t="e">
        <v>#N/A</v>
      </c>
      <c r="DF214" s="5" t="e">
        <v>#N/A</v>
      </c>
      <c r="DG214" s="5" t="e">
        <v>#N/A</v>
      </c>
      <c r="DH214" s="5" t="e">
        <v>#N/A</v>
      </c>
      <c r="DI214" s="5" t="e">
        <v>#N/A</v>
      </c>
    </row>
    <row r="215" spans="1:113" s="5" customFormat="1">
      <c r="A215"/>
      <c r="B215"/>
      <c r="C215" s="44"/>
      <c r="D215" s="44"/>
      <c r="E215" s="44"/>
      <c r="F215" s="44"/>
      <c r="G215" s="44"/>
      <c r="H215" s="44"/>
      <c r="I215" s="44"/>
      <c r="J215" s="44"/>
      <c r="K215" s="44"/>
      <c r="L215" s="44"/>
      <c r="M215" t="str">
        <f t="shared" si="27"/>
        <v>"//*[@class=\"</v>
      </c>
      <c r="N215" t="s">
        <v>31</v>
      </c>
      <c r="O215" s="4" t="str">
        <f t="shared" si="30"/>
        <v>click</v>
      </c>
      <c r="P215" t="str">
        <f t="shared" si="31"/>
        <v>();</v>
      </c>
      <c r="Q215" t="str">
        <f t="shared" si="32"/>
        <v/>
      </c>
      <c r="R215" t="str">
        <f t="shared" si="28"/>
        <v/>
      </c>
      <c r="S215" s="1" t="str">
        <f t="shared" si="29"/>
        <v/>
      </c>
      <c r="T215"/>
      <c r="U215"/>
      <c r="V215"/>
      <c r="W215"/>
      <c r="X215"/>
      <c r="Y215"/>
      <c r="Z215">
        <v>206</v>
      </c>
      <c r="AA215"/>
      <c r="AB215"/>
      <c r="AC215" s="6"/>
      <c r="AD215" s="6"/>
      <c r="AE215" s="6"/>
      <c r="AF215" s="6"/>
      <c r="AG215" s="4"/>
      <c r="AH215" s="4"/>
      <c r="AI215" s="4"/>
      <c r="AJ215" s="4"/>
      <c r="AK215" s="4"/>
      <c r="AL215" s="4"/>
      <c r="AM215" s="4"/>
      <c r="AN215" s="4"/>
      <c r="AO215" s="4"/>
      <c r="AP215" s="4"/>
      <c r="AQ215" s="4"/>
      <c r="AR215" s="4"/>
      <c r="AS215" s="4"/>
      <c r="AT215" s="4"/>
      <c r="AU215" s="4"/>
      <c r="AV215" s="4"/>
      <c r="AW215" s="4"/>
      <c r="AX215" s="4"/>
      <c r="AY215" s="4"/>
      <c r="AZ215" s="4"/>
      <c r="BA215" s="4"/>
      <c r="BB215" s="3"/>
      <c r="BC215" s="3"/>
      <c r="CT215" s="5" t="e">
        <v>#N/A</v>
      </c>
      <c r="CU215" s="5" t="e">
        <v>#N/A</v>
      </c>
      <c r="CV215" s="5" t="e">
        <v>#N/A</v>
      </c>
      <c r="CW215" s="5" t="e">
        <v>#N/A</v>
      </c>
      <c r="CX215" s="5" t="e">
        <v>#N/A</v>
      </c>
      <c r="CY215" s="5" t="e">
        <v>#N/A</v>
      </c>
      <c r="CZ215" s="5" t="e">
        <v>#N/A</v>
      </c>
      <c r="DA215" s="5" t="e">
        <v>#N/A</v>
      </c>
      <c r="DB215" s="5" t="e">
        <v>#N/A</v>
      </c>
      <c r="DC215" s="5" t="e">
        <v>#N/A</v>
      </c>
      <c r="DD215" s="5" t="e">
        <v>#N/A</v>
      </c>
      <c r="DE215" s="5" t="e">
        <v>#N/A</v>
      </c>
      <c r="DF215" s="5" t="e">
        <v>#N/A</v>
      </c>
      <c r="DG215" s="5" t="e">
        <v>#N/A</v>
      </c>
      <c r="DH215" s="5" t="e">
        <v>#N/A</v>
      </c>
      <c r="DI215" s="5" t="e">
        <v>#N/A</v>
      </c>
    </row>
    <row r="216" spans="1:113" s="5" customFormat="1">
      <c r="A216"/>
      <c r="B216"/>
      <c r="C216" s="44"/>
      <c r="D216" s="44"/>
      <c r="E216" s="44"/>
      <c r="F216" s="44"/>
      <c r="G216" s="44"/>
      <c r="H216" s="44"/>
      <c r="I216" s="44"/>
      <c r="J216" s="44"/>
      <c r="K216" s="44"/>
      <c r="L216" s="44"/>
      <c r="M216" t="str">
        <f t="shared" si="27"/>
        <v>"//*[@class=\"</v>
      </c>
      <c r="N216" t="s">
        <v>31</v>
      </c>
      <c r="O216" s="4" t="str">
        <f t="shared" si="30"/>
        <v>click</v>
      </c>
      <c r="P216" t="str">
        <f t="shared" si="31"/>
        <v>();</v>
      </c>
      <c r="Q216" t="str">
        <f t="shared" si="32"/>
        <v/>
      </c>
      <c r="R216" t="str">
        <f t="shared" si="28"/>
        <v/>
      </c>
      <c r="S216" s="1" t="str">
        <f t="shared" si="29"/>
        <v/>
      </c>
      <c r="T216"/>
      <c r="U216"/>
      <c r="V216"/>
      <c r="W216"/>
      <c r="X216"/>
      <c r="Y216"/>
      <c r="Z216">
        <v>207</v>
      </c>
      <c r="AA216"/>
      <c r="AB216"/>
      <c r="AC216" s="6"/>
      <c r="AD216" s="6"/>
      <c r="AE216" s="6"/>
      <c r="AF216" s="6"/>
      <c r="AG216" s="4"/>
      <c r="AH216" s="4"/>
      <c r="AI216" s="4"/>
      <c r="AJ216" s="4"/>
      <c r="AK216" s="4"/>
      <c r="AL216" s="4"/>
      <c r="AM216" s="4"/>
      <c r="AN216" s="4"/>
      <c r="AO216" s="4"/>
      <c r="AP216" s="4"/>
      <c r="AQ216" s="4"/>
      <c r="AR216" s="4"/>
      <c r="AS216" s="4"/>
      <c r="AT216" s="4"/>
      <c r="AU216" s="4"/>
      <c r="AV216" s="4"/>
      <c r="AW216" s="4"/>
      <c r="AX216" s="4"/>
      <c r="AY216" s="4"/>
      <c r="AZ216" s="4"/>
      <c r="BA216" s="4"/>
      <c r="BB216" s="3"/>
      <c r="BC216" s="3"/>
      <c r="CT216" s="5" t="e">
        <v>#N/A</v>
      </c>
      <c r="CU216" s="5" t="e">
        <v>#N/A</v>
      </c>
      <c r="CV216" s="5" t="e">
        <v>#N/A</v>
      </c>
      <c r="CW216" s="5" t="e">
        <v>#N/A</v>
      </c>
      <c r="CX216" s="5" t="e">
        <v>#N/A</v>
      </c>
      <c r="CY216" s="5" t="e">
        <v>#N/A</v>
      </c>
      <c r="CZ216" s="5" t="e">
        <v>#N/A</v>
      </c>
      <c r="DA216" s="5" t="e">
        <v>#N/A</v>
      </c>
      <c r="DB216" s="5" t="e">
        <v>#N/A</v>
      </c>
      <c r="DC216" s="5" t="e">
        <v>#N/A</v>
      </c>
      <c r="DD216" s="5" t="e">
        <v>#N/A</v>
      </c>
      <c r="DE216" s="5" t="e">
        <v>#N/A</v>
      </c>
      <c r="DF216" s="5" t="e">
        <v>#N/A</v>
      </c>
      <c r="DG216" s="5" t="e">
        <v>#N/A</v>
      </c>
      <c r="DH216" s="5" t="e">
        <v>#N/A</v>
      </c>
      <c r="DI216" s="5" t="e">
        <v>#N/A</v>
      </c>
    </row>
    <row r="217" spans="1:113" s="5" customFormat="1">
      <c r="A217"/>
      <c r="B217"/>
      <c r="C217" s="44"/>
      <c r="D217" s="44"/>
      <c r="E217" s="44"/>
      <c r="F217" s="44"/>
      <c r="G217" s="44"/>
      <c r="H217" s="44"/>
      <c r="I217" s="44"/>
      <c r="J217" s="44"/>
      <c r="K217" s="44"/>
      <c r="L217" s="44"/>
      <c r="M217" t="str">
        <f t="shared" si="27"/>
        <v>"//*[@class=\"</v>
      </c>
      <c r="N217" t="s">
        <v>31</v>
      </c>
      <c r="O217" s="4" t="str">
        <f t="shared" si="30"/>
        <v>click</v>
      </c>
      <c r="P217" t="str">
        <f t="shared" si="31"/>
        <v>();</v>
      </c>
      <c r="Q217" t="str">
        <f t="shared" si="32"/>
        <v/>
      </c>
      <c r="R217" t="str">
        <f t="shared" si="28"/>
        <v/>
      </c>
      <c r="S217" s="1" t="str">
        <f t="shared" si="29"/>
        <v/>
      </c>
      <c r="T217"/>
      <c r="U217"/>
      <c r="V217"/>
      <c r="W217"/>
      <c r="X217"/>
      <c r="Y217"/>
      <c r="Z217">
        <v>208</v>
      </c>
      <c r="AA217"/>
      <c r="AB217"/>
      <c r="AC217" s="6"/>
      <c r="AD217" s="6"/>
      <c r="AE217" s="6"/>
      <c r="AF217" s="6"/>
      <c r="AG217" s="4"/>
      <c r="AH217" s="4"/>
      <c r="AI217" s="4"/>
      <c r="AJ217" s="4"/>
      <c r="AK217" s="4"/>
      <c r="AL217" s="4"/>
      <c r="AM217" s="4"/>
      <c r="AN217" s="4"/>
      <c r="AO217" s="4"/>
      <c r="AP217" s="4"/>
      <c r="AQ217" s="4"/>
      <c r="AR217" s="4"/>
      <c r="AS217" s="4"/>
      <c r="AT217" s="4"/>
      <c r="AU217" s="4"/>
      <c r="AV217" s="4"/>
      <c r="AW217" s="4"/>
      <c r="AX217" s="4"/>
      <c r="AY217" s="4"/>
      <c r="AZ217" s="4"/>
      <c r="BA217" s="4"/>
      <c r="BB217" s="3"/>
      <c r="BC217" s="3"/>
      <c r="CT217" s="5" t="e">
        <v>#N/A</v>
      </c>
      <c r="CU217" s="5" t="e">
        <v>#N/A</v>
      </c>
      <c r="CV217" s="5" t="e">
        <v>#N/A</v>
      </c>
      <c r="CW217" s="5" t="e">
        <v>#N/A</v>
      </c>
      <c r="CX217" s="5" t="e">
        <v>#N/A</v>
      </c>
      <c r="CY217" s="5" t="e">
        <v>#N/A</v>
      </c>
      <c r="CZ217" s="5" t="e">
        <v>#N/A</v>
      </c>
      <c r="DA217" s="5" t="e">
        <v>#N/A</v>
      </c>
      <c r="DB217" s="5" t="e">
        <v>#N/A</v>
      </c>
      <c r="DC217" s="5" t="e">
        <v>#N/A</v>
      </c>
      <c r="DD217" s="5" t="e">
        <v>#N/A</v>
      </c>
      <c r="DE217" s="5" t="e">
        <v>#N/A</v>
      </c>
      <c r="DF217" s="5" t="e">
        <v>#N/A</v>
      </c>
      <c r="DG217" s="5" t="e">
        <v>#N/A</v>
      </c>
      <c r="DH217" s="5" t="e">
        <v>#N/A</v>
      </c>
      <c r="DI217" s="5" t="e">
        <v>#N/A</v>
      </c>
    </row>
    <row r="218" spans="1:113" s="5" customFormat="1">
      <c r="A218"/>
      <c r="B218"/>
      <c r="C218" s="44"/>
      <c r="D218" s="44"/>
      <c r="E218" s="44"/>
      <c r="F218" s="44"/>
      <c r="G218" s="44"/>
      <c r="H218" s="44"/>
      <c r="I218" s="44"/>
      <c r="J218" s="44"/>
      <c r="K218" s="44"/>
      <c r="L218" s="44"/>
      <c r="M218" t="str">
        <f t="shared" si="27"/>
        <v>"//*[@class=\"</v>
      </c>
      <c r="N218" t="s">
        <v>31</v>
      </c>
      <c r="O218" s="4" t="str">
        <f t="shared" si="30"/>
        <v>click</v>
      </c>
      <c r="P218" t="str">
        <f t="shared" si="31"/>
        <v>();</v>
      </c>
      <c r="Q218" t="str">
        <f t="shared" si="32"/>
        <v/>
      </c>
      <c r="R218" t="str">
        <f t="shared" si="28"/>
        <v/>
      </c>
      <c r="S218" s="1" t="str">
        <f t="shared" si="29"/>
        <v/>
      </c>
      <c r="T218"/>
      <c r="U218"/>
      <c r="V218"/>
      <c r="W218"/>
      <c r="X218"/>
      <c r="Y218"/>
      <c r="Z218">
        <v>209</v>
      </c>
      <c r="AA218"/>
      <c r="AB218"/>
      <c r="AC218" s="6"/>
      <c r="AD218" s="6"/>
      <c r="AE218" s="6"/>
      <c r="AF218" s="6"/>
      <c r="AG218" s="4"/>
      <c r="AH218" s="4"/>
      <c r="AI218" s="4"/>
      <c r="AJ218" s="4"/>
      <c r="AK218" s="4"/>
      <c r="AL218" s="4"/>
      <c r="AM218" s="4"/>
      <c r="AN218" s="4"/>
      <c r="AO218" s="4"/>
      <c r="AP218" s="4"/>
      <c r="AQ218" s="4"/>
      <c r="AR218" s="4"/>
      <c r="AS218" s="4"/>
      <c r="AT218" s="4"/>
      <c r="AU218" s="4"/>
      <c r="AV218" s="4"/>
      <c r="AW218" s="4"/>
      <c r="AX218" s="4"/>
      <c r="AY218" s="4"/>
      <c r="AZ218" s="4"/>
      <c r="BA218" s="4"/>
      <c r="BB218" s="3"/>
      <c r="BC218" s="3"/>
      <c r="CT218" s="5" t="e">
        <v>#N/A</v>
      </c>
      <c r="CU218" s="5" t="e">
        <v>#N/A</v>
      </c>
      <c r="CV218" s="5" t="e">
        <v>#N/A</v>
      </c>
      <c r="CW218" s="5" t="e">
        <v>#N/A</v>
      </c>
      <c r="CX218" s="5" t="e">
        <v>#N/A</v>
      </c>
      <c r="CY218" s="5" t="e">
        <v>#N/A</v>
      </c>
      <c r="CZ218" s="5" t="e">
        <v>#N/A</v>
      </c>
      <c r="DA218" s="5" t="e">
        <v>#N/A</v>
      </c>
      <c r="DB218" s="5" t="e">
        <v>#N/A</v>
      </c>
      <c r="DC218" s="5" t="e">
        <v>#N/A</v>
      </c>
      <c r="DD218" s="5" t="e">
        <v>#N/A</v>
      </c>
      <c r="DE218" s="5" t="e">
        <v>#N/A</v>
      </c>
      <c r="DF218" s="5" t="e">
        <v>#N/A</v>
      </c>
      <c r="DG218" s="5" t="e">
        <v>#N/A</v>
      </c>
      <c r="DH218" s="5" t="e">
        <v>#N/A</v>
      </c>
      <c r="DI218" s="5" t="e">
        <v>#N/A</v>
      </c>
    </row>
    <row r="219" spans="1:113" s="5" customFormat="1">
      <c r="A219"/>
      <c r="B219"/>
      <c r="C219" s="44"/>
      <c r="D219" s="44"/>
      <c r="E219" s="44"/>
      <c r="F219" s="44"/>
      <c r="G219" s="44"/>
      <c r="H219" s="44"/>
      <c r="I219" s="44"/>
      <c r="J219" s="44"/>
      <c r="K219" s="44"/>
      <c r="L219" s="44"/>
      <c r="M219" t="str">
        <f t="shared" si="27"/>
        <v>"//*[@class=\"</v>
      </c>
      <c r="N219" t="s">
        <v>31</v>
      </c>
      <c r="O219" s="4" t="str">
        <f t="shared" si="30"/>
        <v>click</v>
      </c>
      <c r="P219" t="str">
        <f t="shared" si="31"/>
        <v>();</v>
      </c>
      <c r="Q219" t="str">
        <f t="shared" si="32"/>
        <v/>
      </c>
      <c r="R219" t="str">
        <f t="shared" si="28"/>
        <v/>
      </c>
      <c r="S219" s="1" t="str">
        <f t="shared" si="29"/>
        <v/>
      </c>
      <c r="T219"/>
      <c r="U219"/>
      <c r="V219"/>
      <c r="W219"/>
      <c r="X219"/>
      <c r="Y219"/>
      <c r="Z219">
        <v>210</v>
      </c>
      <c r="AA219"/>
      <c r="AB219"/>
      <c r="AC219" s="6"/>
      <c r="AD219" s="6"/>
      <c r="AE219" s="6"/>
      <c r="AF219" s="6"/>
      <c r="AG219" s="4"/>
      <c r="AH219" s="4"/>
      <c r="AI219" s="4"/>
      <c r="AJ219" s="4"/>
      <c r="AK219" s="4"/>
      <c r="AL219" s="4"/>
      <c r="AM219" s="4"/>
      <c r="AN219" s="4"/>
      <c r="AO219" s="4"/>
      <c r="AP219" s="4"/>
      <c r="AQ219" s="4"/>
      <c r="AR219" s="4"/>
      <c r="AS219" s="4"/>
      <c r="AT219" s="4"/>
      <c r="AU219" s="4"/>
      <c r="AV219" s="4"/>
      <c r="AW219" s="4"/>
      <c r="AX219" s="4"/>
      <c r="AY219" s="4"/>
      <c r="AZ219" s="4"/>
      <c r="BA219" s="4"/>
      <c r="BB219" s="3"/>
      <c r="BC219" s="3"/>
      <c r="CT219" s="5" t="e">
        <v>#N/A</v>
      </c>
      <c r="CU219" s="5" t="e">
        <v>#N/A</v>
      </c>
      <c r="CV219" s="5" t="e">
        <v>#N/A</v>
      </c>
      <c r="CW219" s="5" t="e">
        <v>#N/A</v>
      </c>
      <c r="CX219" s="5" t="e">
        <v>#N/A</v>
      </c>
      <c r="CY219" s="5" t="e">
        <v>#N/A</v>
      </c>
      <c r="CZ219" s="5" t="e">
        <v>#N/A</v>
      </c>
      <c r="DA219" s="5" t="e">
        <v>#N/A</v>
      </c>
      <c r="DB219" s="5" t="e">
        <v>#N/A</v>
      </c>
      <c r="DC219" s="5" t="e">
        <v>#N/A</v>
      </c>
      <c r="DD219" s="5" t="e">
        <v>#N/A</v>
      </c>
      <c r="DE219" s="5" t="e">
        <v>#N/A</v>
      </c>
      <c r="DF219" s="5" t="e">
        <v>#N/A</v>
      </c>
      <c r="DG219" s="5" t="e">
        <v>#N/A</v>
      </c>
      <c r="DH219" s="5" t="e">
        <v>#N/A</v>
      </c>
      <c r="DI219" s="5" t="e">
        <v>#N/A</v>
      </c>
    </row>
    <row r="220" spans="1:113" s="5" customFormat="1">
      <c r="A220"/>
      <c r="B220"/>
      <c r="C220" s="44"/>
      <c r="D220" s="44"/>
      <c r="E220" s="44"/>
      <c r="F220" s="44"/>
      <c r="G220" s="44"/>
      <c r="H220" s="44"/>
      <c r="I220" s="44"/>
      <c r="J220" s="44"/>
      <c r="K220" s="44"/>
      <c r="L220" s="44"/>
      <c r="M220" t="str">
        <f t="shared" si="27"/>
        <v>"//*[@class=\"</v>
      </c>
      <c r="N220" t="s">
        <v>31</v>
      </c>
      <c r="O220" s="4" t="str">
        <f t="shared" si="30"/>
        <v>click</v>
      </c>
      <c r="P220" t="str">
        <f t="shared" si="31"/>
        <v>();</v>
      </c>
      <c r="Q220" t="str">
        <f t="shared" si="32"/>
        <v/>
      </c>
      <c r="R220" t="str">
        <f t="shared" si="28"/>
        <v/>
      </c>
      <c r="S220" s="1" t="str">
        <f t="shared" si="29"/>
        <v/>
      </c>
      <c r="T220"/>
      <c r="U220"/>
      <c r="V220"/>
      <c r="W220"/>
      <c r="X220"/>
      <c r="Y220"/>
      <c r="Z220">
        <v>211</v>
      </c>
      <c r="AA220"/>
      <c r="AB220"/>
      <c r="AC220" s="6"/>
      <c r="AD220" s="6"/>
      <c r="AE220" s="6"/>
      <c r="AF220" s="6"/>
      <c r="AG220" s="4"/>
      <c r="AH220" s="4"/>
      <c r="AI220" s="4"/>
      <c r="AJ220" s="4"/>
      <c r="AK220" s="4"/>
      <c r="AL220" s="4"/>
      <c r="AM220" s="4"/>
      <c r="AN220" s="4"/>
      <c r="AO220" s="4"/>
      <c r="AP220" s="4"/>
      <c r="AQ220" s="4"/>
      <c r="AR220" s="4"/>
      <c r="AS220" s="4"/>
      <c r="AT220" s="4"/>
      <c r="AU220" s="4"/>
      <c r="AV220" s="4"/>
      <c r="AW220" s="4"/>
      <c r="AX220" s="4"/>
      <c r="AY220" s="4"/>
      <c r="AZ220" s="4"/>
      <c r="BA220" s="4"/>
      <c r="BB220" s="3"/>
      <c r="BC220" s="3"/>
      <c r="CT220" s="5" t="e">
        <v>#N/A</v>
      </c>
      <c r="CU220" s="5" t="e">
        <v>#N/A</v>
      </c>
      <c r="CV220" s="5" t="e">
        <v>#N/A</v>
      </c>
      <c r="CW220" s="5" t="e">
        <v>#N/A</v>
      </c>
      <c r="CX220" s="5" t="e">
        <v>#N/A</v>
      </c>
      <c r="CY220" s="5" t="e">
        <v>#N/A</v>
      </c>
      <c r="CZ220" s="5" t="e">
        <v>#N/A</v>
      </c>
      <c r="DA220" s="5" t="e">
        <v>#N/A</v>
      </c>
      <c r="DB220" s="5" t="e">
        <v>#N/A</v>
      </c>
      <c r="DC220" s="5" t="e">
        <v>#N/A</v>
      </c>
      <c r="DD220" s="5" t="e">
        <v>#N/A</v>
      </c>
      <c r="DE220" s="5" t="e">
        <v>#N/A</v>
      </c>
      <c r="DF220" s="5" t="e">
        <v>#N/A</v>
      </c>
      <c r="DG220" s="5" t="e">
        <v>#N/A</v>
      </c>
      <c r="DH220" s="5" t="e">
        <v>#N/A</v>
      </c>
      <c r="DI220" s="5" t="e">
        <v>#N/A</v>
      </c>
    </row>
    <row r="221" spans="1:113" s="5" customFormat="1">
      <c r="A221"/>
      <c r="B221"/>
      <c r="C221" s="44"/>
      <c r="D221" s="44"/>
      <c r="E221" s="44"/>
      <c r="F221" s="44"/>
      <c r="G221" s="44"/>
      <c r="H221" s="44"/>
      <c r="I221" s="44"/>
      <c r="J221" s="44"/>
      <c r="K221" s="44"/>
      <c r="L221" s="44"/>
      <c r="M221" t="str">
        <f t="shared" si="27"/>
        <v>"//*[@class=\"</v>
      </c>
      <c r="N221" t="s">
        <v>31</v>
      </c>
      <c r="O221" s="4" t="str">
        <f t="shared" si="30"/>
        <v>click</v>
      </c>
      <c r="P221" t="str">
        <f t="shared" si="31"/>
        <v>();</v>
      </c>
      <c r="Q221" t="str">
        <f t="shared" si="32"/>
        <v/>
      </c>
      <c r="R221" t="str">
        <f t="shared" si="28"/>
        <v/>
      </c>
      <c r="S221" s="1" t="str">
        <f t="shared" si="29"/>
        <v/>
      </c>
      <c r="T221"/>
      <c r="U221"/>
      <c r="V221"/>
      <c r="W221"/>
      <c r="X221"/>
      <c r="Y221"/>
      <c r="Z221">
        <v>212</v>
      </c>
      <c r="AA221"/>
      <c r="AB221"/>
      <c r="AC221" s="6"/>
      <c r="AD221" s="6"/>
      <c r="AE221" s="6"/>
      <c r="AF221" s="6"/>
      <c r="AG221" s="4"/>
      <c r="AH221" s="4"/>
      <c r="AI221" s="4"/>
      <c r="AJ221" s="4"/>
      <c r="AK221" s="4"/>
      <c r="AL221" s="4"/>
      <c r="AM221" s="4"/>
      <c r="AN221" s="4"/>
      <c r="AO221" s="4"/>
      <c r="AP221" s="4"/>
      <c r="AQ221" s="4"/>
      <c r="AR221" s="4"/>
      <c r="AS221" s="4"/>
      <c r="AT221" s="4"/>
      <c r="AU221" s="4"/>
      <c r="AV221" s="4"/>
      <c r="AW221" s="4"/>
      <c r="AX221" s="4"/>
      <c r="AY221" s="4"/>
      <c r="AZ221" s="4"/>
      <c r="BA221" s="4"/>
      <c r="BB221" s="3"/>
      <c r="BC221" s="3"/>
      <c r="CT221" s="5" t="e">
        <v>#N/A</v>
      </c>
      <c r="CU221" s="5" t="e">
        <v>#N/A</v>
      </c>
      <c r="CV221" s="5" t="e">
        <v>#N/A</v>
      </c>
      <c r="CW221" s="5" t="e">
        <v>#N/A</v>
      </c>
      <c r="CX221" s="5" t="e">
        <v>#N/A</v>
      </c>
      <c r="CY221" s="5" t="e">
        <v>#N/A</v>
      </c>
      <c r="CZ221" s="5" t="e">
        <v>#N/A</v>
      </c>
      <c r="DA221" s="5" t="e">
        <v>#N/A</v>
      </c>
      <c r="DB221" s="5" t="e">
        <v>#N/A</v>
      </c>
      <c r="DC221" s="5" t="e">
        <v>#N/A</v>
      </c>
      <c r="DD221" s="5" t="e">
        <v>#N/A</v>
      </c>
      <c r="DE221" s="5" t="e">
        <v>#N/A</v>
      </c>
      <c r="DF221" s="5" t="e">
        <v>#N/A</v>
      </c>
      <c r="DG221" s="5" t="e">
        <v>#N/A</v>
      </c>
      <c r="DH221" s="5" t="e">
        <v>#N/A</v>
      </c>
      <c r="DI221" s="5" t="e">
        <v>#N/A</v>
      </c>
    </row>
    <row r="222" spans="1:113" s="5" customFormat="1">
      <c r="A222"/>
      <c r="B222"/>
      <c r="C222" s="44"/>
      <c r="D222" s="44"/>
      <c r="E222" s="44"/>
      <c r="F222" s="44"/>
      <c r="G222" s="44"/>
      <c r="H222" s="44"/>
      <c r="I222" s="44"/>
      <c r="J222" s="44"/>
      <c r="K222" s="44"/>
      <c r="L222" s="44"/>
      <c r="M222" t="str">
        <f t="shared" si="27"/>
        <v>"//*[@class=\"</v>
      </c>
      <c r="N222" t="s">
        <v>31</v>
      </c>
      <c r="O222" s="4" t="str">
        <f t="shared" si="30"/>
        <v>click</v>
      </c>
      <c r="P222" t="str">
        <f t="shared" si="31"/>
        <v>();</v>
      </c>
      <c r="Q222" t="str">
        <f t="shared" si="32"/>
        <v/>
      </c>
      <c r="R222" t="str">
        <f t="shared" si="28"/>
        <v/>
      </c>
      <c r="S222" s="1" t="str">
        <f t="shared" si="29"/>
        <v/>
      </c>
      <c r="T222"/>
      <c r="U222"/>
      <c r="V222"/>
      <c r="W222"/>
      <c r="X222"/>
      <c r="Y222"/>
      <c r="Z222">
        <v>213</v>
      </c>
      <c r="AA222"/>
      <c r="AB222"/>
      <c r="AC222" s="6"/>
      <c r="AD222" s="6"/>
      <c r="AE222" s="6"/>
      <c r="AF222" s="6"/>
      <c r="AG222" s="4"/>
      <c r="AH222" s="4"/>
      <c r="AI222" s="4"/>
      <c r="AJ222" s="4"/>
      <c r="AK222" s="4"/>
      <c r="AL222" s="4"/>
      <c r="AM222" s="4"/>
      <c r="AN222" s="4"/>
      <c r="AO222" s="4"/>
      <c r="AP222" s="4"/>
      <c r="AQ222" s="4"/>
      <c r="AR222" s="4"/>
      <c r="AS222" s="4"/>
      <c r="AT222" s="4"/>
      <c r="AU222" s="4"/>
      <c r="AV222" s="4"/>
      <c r="AW222" s="4"/>
      <c r="AX222" s="4"/>
      <c r="AY222" s="4"/>
      <c r="AZ222" s="4"/>
      <c r="BA222" s="4"/>
      <c r="BB222" s="3"/>
      <c r="BC222" s="3"/>
      <c r="CT222" s="5" t="e">
        <v>#N/A</v>
      </c>
      <c r="CU222" s="5" t="e">
        <v>#N/A</v>
      </c>
      <c r="CV222" s="5" t="e">
        <v>#N/A</v>
      </c>
      <c r="CW222" s="5" t="e">
        <v>#N/A</v>
      </c>
      <c r="CX222" s="5" t="e">
        <v>#N/A</v>
      </c>
      <c r="CY222" s="5" t="e">
        <v>#N/A</v>
      </c>
      <c r="CZ222" s="5" t="e">
        <v>#N/A</v>
      </c>
      <c r="DA222" s="5" t="e">
        <v>#N/A</v>
      </c>
      <c r="DB222" s="5" t="e">
        <v>#N/A</v>
      </c>
      <c r="DC222" s="5" t="e">
        <v>#N/A</v>
      </c>
      <c r="DD222" s="5" t="e">
        <v>#N/A</v>
      </c>
      <c r="DE222" s="5" t="e">
        <v>#N/A</v>
      </c>
      <c r="DF222" s="5" t="e">
        <v>#N/A</v>
      </c>
      <c r="DG222" s="5" t="e">
        <v>#N/A</v>
      </c>
      <c r="DH222" s="5" t="e">
        <v>#N/A</v>
      </c>
      <c r="DI222" s="5" t="e">
        <v>#N/A</v>
      </c>
    </row>
    <row r="223" spans="1:113" s="5" customFormat="1">
      <c r="A223"/>
      <c r="B223"/>
      <c r="C223" s="44"/>
      <c r="D223" s="44"/>
      <c r="E223" s="44"/>
      <c r="F223" s="44"/>
      <c r="G223" s="44"/>
      <c r="H223" s="44"/>
      <c r="I223" s="44"/>
      <c r="J223" s="44"/>
      <c r="K223" s="44"/>
      <c r="L223" s="44"/>
      <c r="M223" t="str">
        <f t="shared" si="27"/>
        <v>"//*[@class=\"</v>
      </c>
      <c r="N223" t="s">
        <v>31</v>
      </c>
      <c r="O223" s="4" t="str">
        <f t="shared" si="30"/>
        <v>click</v>
      </c>
      <c r="P223" t="str">
        <f t="shared" si="31"/>
        <v>();</v>
      </c>
      <c r="Q223" t="str">
        <f t="shared" si="32"/>
        <v/>
      </c>
      <c r="R223" t="str">
        <f t="shared" si="28"/>
        <v/>
      </c>
      <c r="S223" s="1" t="str">
        <f t="shared" si="29"/>
        <v/>
      </c>
      <c r="T223"/>
      <c r="U223"/>
      <c r="V223"/>
      <c r="W223"/>
      <c r="X223"/>
      <c r="Y223"/>
      <c r="Z223">
        <v>214</v>
      </c>
      <c r="AA223"/>
      <c r="AB223"/>
      <c r="AC223" s="6"/>
      <c r="AD223" s="6"/>
      <c r="AE223" s="6"/>
      <c r="AF223" s="6"/>
      <c r="AG223" s="4"/>
      <c r="AH223" s="4"/>
      <c r="AI223" s="4"/>
      <c r="AJ223" s="4"/>
      <c r="AK223" s="4"/>
      <c r="AL223" s="4"/>
      <c r="AM223" s="4"/>
      <c r="AN223" s="4"/>
      <c r="AO223" s="4"/>
      <c r="AP223" s="4"/>
      <c r="AQ223" s="4"/>
      <c r="AR223" s="4"/>
      <c r="AS223" s="4"/>
      <c r="AT223" s="4"/>
      <c r="AU223" s="4"/>
      <c r="AV223" s="4"/>
      <c r="AW223" s="4"/>
      <c r="AX223" s="4"/>
      <c r="AY223" s="4"/>
      <c r="AZ223" s="4"/>
      <c r="BA223" s="4"/>
      <c r="BB223" s="3"/>
      <c r="BC223" s="3"/>
      <c r="CT223" s="5" t="e">
        <v>#N/A</v>
      </c>
      <c r="CU223" s="5" t="e">
        <v>#N/A</v>
      </c>
      <c r="CV223" s="5" t="e">
        <v>#N/A</v>
      </c>
      <c r="CW223" s="5" t="e">
        <v>#N/A</v>
      </c>
      <c r="CX223" s="5" t="e">
        <v>#N/A</v>
      </c>
      <c r="CY223" s="5" t="e">
        <v>#N/A</v>
      </c>
      <c r="CZ223" s="5" t="e">
        <v>#N/A</v>
      </c>
      <c r="DA223" s="5" t="e">
        <v>#N/A</v>
      </c>
      <c r="DB223" s="5" t="e">
        <v>#N/A</v>
      </c>
      <c r="DC223" s="5" t="e">
        <v>#N/A</v>
      </c>
      <c r="DD223" s="5" t="e">
        <v>#N/A</v>
      </c>
      <c r="DE223" s="5" t="e">
        <v>#N/A</v>
      </c>
      <c r="DF223" s="5" t="e">
        <v>#N/A</v>
      </c>
      <c r="DG223" s="5" t="e">
        <v>#N/A</v>
      </c>
      <c r="DH223" s="5" t="e">
        <v>#N/A</v>
      </c>
      <c r="DI223" s="5" t="e">
        <v>#N/A</v>
      </c>
    </row>
    <row r="224" spans="1:113" s="5" customFormat="1">
      <c r="A224"/>
      <c r="B224"/>
      <c r="C224" s="44"/>
      <c r="D224" s="44"/>
      <c r="E224" s="44"/>
      <c r="F224" s="44"/>
      <c r="G224" s="44"/>
      <c r="H224" s="44"/>
      <c r="I224" s="44"/>
      <c r="J224" s="44"/>
      <c r="K224" s="44"/>
      <c r="L224" s="44"/>
      <c r="M224" t="str">
        <f t="shared" si="27"/>
        <v>"//*[@class=\"</v>
      </c>
      <c r="N224" t="s">
        <v>31</v>
      </c>
      <c r="O224" s="4" t="str">
        <f t="shared" si="30"/>
        <v>click</v>
      </c>
      <c r="P224" t="str">
        <f t="shared" si="31"/>
        <v>();</v>
      </c>
      <c r="Q224" t="str">
        <f t="shared" si="32"/>
        <v/>
      </c>
      <c r="R224" t="str">
        <f t="shared" si="28"/>
        <v/>
      </c>
      <c r="S224" s="1" t="str">
        <f t="shared" si="29"/>
        <v/>
      </c>
      <c r="T224"/>
      <c r="U224"/>
      <c r="V224"/>
      <c r="W224"/>
      <c r="X224"/>
      <c r="Y224"/>
      <c r="Z224">
        <v>215</v>
      </c>
      <c r="AA224"/>
      <c r="AB224"/>
      <c r="AC224" s="6"/>
      <c r="AD224" s="6"/>
      <c r="AE224" s="6"/>
      <c r="AF224" s="6"/>
      <c r="AG224" s="4"/>
      <c r="AH224" s="4"/>
      <c r="AI224" s="4"/>
      <c r="AJ224" s="4"/>
      <c r="AK224" s="4"/>
      <c r="AL224" s="4"/>
      <c r="AM224" s="4"/>
      <c r="AN224" s="4"/>
      <c r="AO224" s="4"/>
      <c r="AP224" s="4"/>
      <c r="AQ224" s="4"/>
      <c r="AR224" s="4"/>
      <c r="AS224" s="4"/>
      <c r="AT224" s="4"/>
      <c r="AU224" s="4"/>
      <c r="AV224" s="4"/>
      <c r="AW224" s="4"/>
      <c r="AX224" s="4"/>
      <c r="AY224" s="4"/>
      <c r="AZ224" s="4"/>
      <c r="BA224" s="4"/>
      <c r="BB224" s="3"/>
      <c r="BC224" s="3"/>
      <c r="CT224" s="5" t="e">
        <v>#N/A</v>
      </c>
      <c r="CU224" s="5" t="e">
        <v>#N/A</v>
      </c>
      <c r="CV224" s="5" t="e">
        <v>#N/A</v>
      </c>
      <c r="CW224" s="5" t="e">
        <v>#N/A</v>
      </c>
      <c r="CX224" s="5" t="e">
        <v>#N/A</v>
      </c>
      <c r="CY224" s="5" t="e">
        <v>#N/A</v>
      </c>
      <c r="CZ224" s="5" t="e">
        <v>#N/A</v>
      </c>
      <c r="DA224" s="5" t="e">
        <v>#N/A</v>
      </c>
      <c r="DB224" s="5" t="e">
        <v>#N/A</v>
      </c>
      <c r="DC224" s="5" t="e">
        <v>#N/A</v>
      </c>
      <c r="DD224" s="5" t="e">
        <v>#N/A</v>
      </c>
      <c r="DE224" s="5" t="e">
        <v>#N/A</v>
      </c>
      <c r="DF224" s="5" t="e">
        <v>#N/A</v>
      </c>
      <c r="DG224" s="5" t="e">
        <v>#N/A</v>
      </c>
      <c r="DH224" s="5" t="e">
        <v>#N/A</v>
      </c>
      <c r="DI224" s="5" t="e">
        <v>#N/A</v>
      </c>
    </row>
    <row r="225" spans="1:113" s="5" customFormat="1">
      <c r="A225"/>
      <c r="B225"/>
      <c r="C225" s="44"/>
      <c r="D225" s="44"/>
      <c r="E225" s="44"/>
      <c r="F225" s="44"/>
      <c r="G225" s="44"/>
      <c r="H225" s="44"/>
      <c r="I225" s="44"/>
      <c r="J225" s="44"/>
      <c r="K225" s="44"/>
      <c r="L225" s="44"/>
      <c r="M225" t="str">
        <f t="shared" si="27"/>
        <v>"//*[@class=\"</v>
      </c>
      <c r="N225" t="s">
        <v>31</v>
      </c>
      <c r="O225" s="4" t="str">
        <f t="shared" si="30"/>
        <v>click</v>
      </c>
      <c r="P225" t="str">
        <f t="shared" si="31"/>
        <v>();</v>
      </c>
      <c r="Q225" t="str">
        <f t="shared" si="32"/>
        <v/>
      </c>
      <c r="R225" t="str">
        <f t="shared" si="28"/>
        <v/>
      </c>
      <c r="S225" s="1" t="str">
        <f t="shared" si="29"/>
        <v/>
      </c>
      <c r="T225"/>
      <c r="U225"/>
      <c r="V225"/>
      <c r="W225"/>
      <c r="X225"/>
      <c r="Y225"/>
      <c r="Z225">
        <v>216</v>
      </c>
      <c r="AA225"/>
      <c r="AB225"/>
      <c r="AC225" s="6"/>
      <c r="AD225" s="6"/>
      <c r="AE225" s="6"/>
      <c r="AF225" s="6"/>
      <c r="AG225" s="4"/>
      <c r="AH225" s="4"/>
      <c r="AI225" s="4"/>
      <c r="AJ225" s="4"/>
      <c r="AK225" s="4"/>
      <c r="AL225" s="4"/>
      <c r="AM225" s="4"/>
      <c r="AN225" s="4"/>
      <c r="AO225" s="4"/>
      <c r="AP225" s="4"/>
      <c r="AQ225" s="4"/>
      <c r="AR225" s="4"/>
      <c r="AS225" s="4"/>
      <c r="AT225" s="4"/>
      <c r="AU225" s="4"/>
      <c r="AV225" s="4"/>
      <c r="AW225" s="4"/>
      <c r="AX225" s="4"/>
      <c r="AY225" s="4"/>
      <c r="AZ225" s="4"/>
      <c r="BA225" s="4"/>
      <c r="BB225" s="3"/>
      <c r="BC225" s="3"/>
      <c r="CT225" s="5" t="e">
        <v>#N/A</v>
      </c>
      <c r="CU225" s="5" t="e">
        <v>#N/A</v>
      </c>
      <c r="CV225" s="5" t="e">
        <v>#N/A</v>
      </c>
      <c r="CW225" s="5" t="e">
        <v>#N/A</v>
      </c>
      <c r="CX225" s="5" t="e">
        <v>#N/A</v>
      </c>
      <c r="CY225" s="5" t="e">
        <v>#N/A</v>
      </c>
      <c r="CZ225" s="5" t="e">
        <v>#N/A</v>
      </c>
      <c r="DA225" s="5" t="e">
        <v>#N/A</v>
      </c>
      <c r="DB225" s="5" t="e">
        <v>#N/A</v>
      </c>
      <c r="DC225" s="5" t="e">
        <v>#N/A</v>
      </c>
      <c r="DD225" s="5" t="e">
        <v>#N/A</v>
      </c>
      <c r="DE225" s="5" t="e">
        <v>#N/A</v>
      </c>
      <c r="DF225" s="5" t="e">
        <v>#N/A</v>
      </c>
      <c r="DG225" s="5" t="e">
        <v>#N/A</v>
      </c>
      <c r="DH225" s="5" t="e">
        <v>#N/A</v>
      </c>
      <c r="DI225" s="5" t="e">
        <v>#N/A</v>
      </c>
    </row>
    <row r="226" spans="1:113" s="5" customFormat="1">
      <c r="A226"/>
      <c r="B226"/>
      <c r="C226" s="44"/>
      <c r="D226" s="44"/>
      <c r="E226" s="44"/>
      <c r="F226" s="44"/>
      <c r="G226" s="44"/>
      <c r="H226" s="44"/>
      <c r="I226" s="44"/>
      <c r="J226" s="44"/>
      <c r="K226" s="44"/>
      <c r="L226" s="44"/>
      <c r="M226" t="str">
        <f t="shared" si="27"/>
        <v>"//*[@class=\"</v>
      </c>
      <c r="N226" t="s">
        <v>31</v>
      </c>
      <c r="O226" s="4" t="str">
        <f t="shared" si="30"/>
        <v>click</v>
      </c>
      <c r="P226" t="str">
        <f t="shared" si="31"/>
        <v>();</v>
      </c>
      <c r="Q226" t="str">
        <f t="shared" si="32"/>
        <v/>
      </c>
      <c r="R226" t="str">
        <f t="shared" si="28"/>
        <v/>
      </c>
      <c r="S226" s="1" t="str">
        <f t="shared" si="29"/>
        <v/>
      </c>
      <c r="T226"/>
      <c r="U226"/>
      <c r="V226"/>
      <c r="W226"/>
      <c r="X226"/>
      <c r="Y226"/>
      <c r="Z226">
        <v>217</v>
      </c>
      <c r="AA226"/>
      <c r="AB226"/>
      <c r="AC226" s="6"/>
      <c r="AD226" s="6"/>
      <c r="AE226" s="6"/>
      <c r="AF226" s="6"/>
      <c r="AG226" s="4"/>
      <c r="AH226" s="4"/>
      <c r="AI226" s="4"/>
      <c r="AJ226" s="4"/>
      <c r="AK226" s="4"/>
      <c r="AL226" s="4"/>
      <c r="AM226" s="4"/>
      <c r="AN226" s="4"/>
      <c r="AO226" s="4"/>
      <c r="AP226" s="4"/>
      <c r="AQ226" s="4"/>
      <c r="AR226" s="4"/>
      <c r="AS226" s="4"/>
      <c r="AT226" s="4"/>
      <c r="AU226" s="4"/>
      <c r="AV226" s="4"/>
      <c r="AW226" s="4"/>
      <c r="AX226" s="4"/>
      <c r="AY226" s="4"/>
      <c r="AZ226" s="4"/>
      <c r="BA226" s="4"/>
      <c r="BB226" s="3"/>
      <c r="BC226" s="3"/>
      <c r="CT226" s="5" t="e">
        <v>#N/A</v>
      </c>
      <c r="CU226" s="5" t="e">
        <v>#N/A</v>
      </c>
      <c r="CV226" s="5" t="e">
        <v>#N/A</v>
      </c>
      <c r="CW226" s="5" t="e">
        <v>#N/A</v>
      </c>
      <c r="CX226" s="5" t="e">
        <v>#N/A</v>
      </c>
      <c r="CY226" s="5" t="e">
        <v>#N/A</v>
      </c>
      <c r="CZ226" s="5" t="e">
        <v>#N/A</v>
      </c>
      <c r="DA226" s="5" t="e">
        <v>#N/A</v>
      </c>
      <c r="DB226" s="5" t="e">
        <v>#N/A</v>
      </c>
      <c r="DC226" s="5" t="e">
        <v>#N/A</v>
      </c>
      <c r="DD226" s="5" t="e">
        <v>#N/A</v>
      </c>
      <c r="DE226" s="5" t="e">
        <v>#N/A</v>
      </c>
      <c r="DF226" s="5" t="e">
        <v>#N/A</v>
      </c>
      <c r="DG226" s="5" t="e">
        <v>#N/A</v>
      </c>
      <c r="DH226" s="5" t="e">
        <v>#N/A</v>
      </c>
      <c r="DI226" s="5" t="e">
        <v>#N/A</v>
      </c>
    </row>
    <row r="227" spans="1:113" s="5" customFormat="1">
      <c r="A227"/>
      <c r="B227"/>
      <c r="C227" s="44"/>
      <c r="D227" s="44"/>
      <c r="E227" s="44"/>
      <c r="F227" s="44"/>
      <c r="G227" s="44"/>
      <c r="H227" s="44"/>
      <c r="I227" s="44"/>
      <c r="J227" s="44"/>
      <c r="K227" s="44"/>
      <c r="L227" s="44"/>
      <c r="M227" t="str">
        <f t="shared" si="27"/>
        <v>"//*[@class=\"</v>
      </c>
      <c r="N227" t="s">
        <v>31</v>
      </c>
      <c r="O227" s="4" t="str">
        <f t="shared" si="30"/>
        <v>click</v>
      </c>
      <c r="P227" t="str">
        <f t="shared" si="31"/>
        <v>();</v>
      </c>
      <c r="Q227" t="str">
        <f t="shared" si="32"/>
        <v/>
      </c>
      <c r="R227" t="str">
        <f t="shared" si="28"/>
        <v/>
      </c>
      <c r="S227" s="1" t="str">
        <f t="shared" si="29"/>
        <v/>
      </c>
      <c r="T227"/>
      <c r="U227"/>
      <c r="V227"/>
      <c r="W227"/>
      <c r="X227"/>
      <c r="Y227"/>
      <c r="Z227">
        <v>218</v>
      </c>
      <c r="AA227"/>
      <c r="AB227"/>
      <c r="AC227" s="6"/>
      <c r="AD227" s="6"/>
      <c r="AE227" s="6"/>
      <c r="AF227" s="6"/>
      <c r="AG227" s="4"/>
      <c r="AH227" s="4"/>
      <c r="AI227" s="4"/>
      <c r="AJ227" s="4"/>
      <c r="AK227" s="4"/>
      <c r="AL227" s="4"/>
      <c r="AM227" s="4"/>
      <c r="AN227" s="4"/>
      <c r="AO227" s="4"/>
      <c r="AP227" s="4"/>
      <c r="AQ227" s="4"/>
      <c r="AR227" s="4"/>
      <c r="AS227" s="4"/>
      <c r="AT227" s="4"/>
      <c r="AU227" s="4"/>
      <c r="AV227" s="4"/>
      <c r="AW227" s="4"/>
      <c r="AX227" s="4"/>
      <c r="AY227" s="4"/>
      <c r="AZ227" s="4"/>
      <c r="BA227" s="4"/>
      <c r="BB227" s="3"/>
      <c r="BC227" s="3"/>
      <c r="CT227" s="5" t="e">
        <v>#N/A</v>
      </c>
      <c r="CU227" s="5" t="e">
        <v>#N/A</v>
      </c>
      <c r="CV227" s="5" t="e">
        <v>#N/A</v>
      </c>
      <c r="CW227" s="5" t="e">
        <v>#N/A</v>
      </c>
      <c r="CX227" s="5" t="e">
        <v>#N/A</v>
      </c>
      <c r="CY227" s="5" t="e">
        <v>#N/A</v>
      </c>
      <c r="CZ227" s="5" t="e">
        <v>#N/A</v>
      </c>
      <c r="DA227" s="5" t="e">
        <v>#N/A</v>
      </c>
      <c r="DB227" s="5" t="e">
        <v>#N/A</v>
      </c>
      <c r="DC227" s="5" t="e">
        <v>#N/A</v>
      </c>
      <c r="DD227" s="5" t="e">
        <v>#N/A</v>
      </c>
      <c r="DE227" s="5" t="e">
        <v>#N/A</v>
      </c>
      <c r="DF227" s="5" t="e">
        <v>#N/A</v>
      </c>
      <c r="DG227" s="5" t="e">
        <v>#N/A</v>
      </c>
      <c r="DH227" s="5" t="e">
        <v>#N/A</v>
      </c>
      <c r="DI227" s="5" t="e">
        <v>#N/A</v>
      </c>
    </row>
    <row r="228" spans="1:113" s="5" customFormat="1">
      <c r="A228"/>
      <c r="B228"/>
      <c r="C228" s="44"/>
      <c r="D228" s="44"/>
      <c r="E228" s="44"/>
      <c r="F228" s="44"/>
      <c r="G228" s="44"/>
      <c r="H228" s="44"/>
      <c r="I228" s="44"/>
      <c r="J228" s="44"/>
      <c r="K228" s="44"/>
      <c r="L228" s="44"/>
      <c r="M228" t="str">
        <f t="shared" si="27"/>
        <v>"//*[@class=\"</v>
      </c>
      <c r="N228" t="s">
        <v>31</v>
      </c>
      <c r="O228" s="4" t="str">
        <f t="shared" si="30"/>
        <v>click</v>
      </c>
      <c r="P228" t="str">
        <f t="shared" si="31"/>
        <v>();</v>
      </c>
      <c r="Q228" t="str">
        <f t="shared" si="32"/>
        <v/>
      </c>
      <c r="R228" t="str">
        <f t="shared" si="28"/>
        <v/>
      </c>
      <c r="S228" s="1" t="str">
        <f t="shared" si="29"/>
        <v/>
      </c>
      <c r="T228"/>
      <c r="U228"/>
      <c r="V228"/>
      <c r="W228"/>
      <c r="X228"/>
      <c r="Y228"/>
      <c r="Z228">
        <v>219</v>
      </c>
      <c r="AA228"/>
      <c r="AB228"/>
      <c r="AC228" s="6"/>
      <c r="AD228" s="6"/>
      <c r="AE228" s="6"/>
      <c r="AF228" s="6"/>
      <c r="AG228" s="4"/>
      <c r="AH228" s="4"/>
      <c r="AI228" s="4"/>
      <c r="AJ228" s="4"/>
      <c r="AK228" s="4"/>
      <c r="AL228" s="4"/>
      <c r="AM228" s="4"/>
      <c r="AN228" s="4"/>
      <c r="AO228" s="4"/>
      <c r="AP228" s="4"/>
      <c r="AQ228" s="4"/>
      <c r="AR228" s="4"/>
      <c r="AS228" s="4"/>
      <c r="AT228" s="4"/>
      <c r="AU228" s="4"/>
      <c r="AV228" s="4"/>
      <c r="AW228" s="4"/>
      <c r="AX228" s="4"/>
      <c r="AY228" s="4"/>
      <c r="AZ228" s="4"/>
      <c r="BA228" s="4"/>
      <c r="BB228" s="3"/>
      <c r="BC228" s="3"/>
      <c r="CT228" s="5" t="e">
        <v>#N/A</v>
      </c>
      <c r="CU228" s="5" t="e">
        <v>#N/A</v>
      </c>
      <c r="CV228" s="5" t="e">
        <v>#N/A</v>
      </c>
      <c r="CW228" s="5" t="e">
        <v>#N/A</v>
      </c>
      <c r="CX228" s="5" t="e">
        <v>#N/A</v>
      </c>
      <c r="CY228" s="5" t="e">
        <v>#N/A</v>
      </c>
      <c r="CZ228" s="5" t="e">
        <v>#N/A</v>
      </c>
      <c r="DA228" s="5" t="e">
        <v>#N/A</v>
      </c>
      <c r="DB228" s="5" t="e">
        <v>#N/A</v>
      </c>
      <c r="DC228" s="5" t="e">
        <v>#N/A</v>
      </c>
      <c r="DD228" s="5" t="e">
        <v>#N/A</v>
      </c>
      <c r="DE228" s="5" t="e">
        <v>#N/A</v>
      </c>
      <c r="DF228" s="5" t="e">
        <v>#N/A</v>
      </c>
      <c r="DG228" s="5" t="e">
        <v>#N/A</v>
      </c>
      <c r="DH228" s="5" t="e">
        <v>#N/A</v>
      </c>
      <c r="DI228" s="5" t="e">
        <v>#N/A</v>
      </c>
    </row>
    <row r="229" spans="1:113" s="5" customFormat="1">
      <c r="A229"/>
      <c r="B229"/>
      <c r="C229" s="44"/>
      <c r="D229" s="44"/>
      <c r="E229" s="44"/>
      <c r="F229" s="44"/>
      <c r="G229" s="44"/>
      <c r="H229" s="44"/>
      <c r="I229" s="44"/>
      <c r="J229" s="44"/>
      <c r="K229" s="44"/>
      <c r="L229" s="44"/>
      <c r="M229" t="str">
        <f t="shared" si="27"/>
        <v>"//*[@class=\"</v>
      </c>
      <c r="N229" t="s">
        <v>31</v>
      </c>
      <c r="O229" s="4" t="str">
        <f t="shared" si="30"/>
        <v>click</v>
      </c>
      <c r="P229" t="str">
        <f t="shared" si="31"/>
        <v>();</v>
      </c>
      <c r="Q229" t="str">
        <f t="shared" si="32"/>
        <v/>
      </c>
      <c r="R229" t="str">
        <f t="shared" si="28"/>
        <v/>
      </c>
      <c r="S229" s="1" t="str">
        <f t="shared" si="29"/>
        <v/>
      </c>
      <c r="T229"/>
      <c r="U229"/>
      <c r="V229"/>
      <c r="W229"/>
      <c r="X229"/>
      <c r="Y229"/>
      <c r="Z229">
        <v>220</v>
      </c>
      <c r="AA229"/>
      <c r="AB229"/>
      <c r="AC229" s="6"/>
      <c r="AD229" s="6"/>
      <c r="AE229" s="6"/>
      <c r="AF229" s="6"/>
      <c r="AG229" s="4"/>
      <c r="AH229" s="4"/>
      <c r="AI229" s="4"/>
      <c r="AJ229" s="4"/>
      <c r="AK229" s="4"/>
      <c r="AL229" s="4"/>
      <c r="AM229" s="4"/>
      <c r="AN229" s="4"/>
      <c r="AO229" s="4"/>
      <c r="AP229" s="4"/>
      <c r="AQ229" s="4"/>
      <c r="AR229" s="4"/>
      <c r="AS229" s="4"/>
      <c r="AT229" s="4"/>
      <c r="AU229" s="4"/>
      <c r="AV229" s="4"/>
      <c r="AW229" s="4"/>
      <c r="AX229" s="4"/>
      <c r="AY229" s="4"/>
      <c r="AZ229" s="4"/>
      <c r="BA229" s="4"/>
      <c r="BB229" s="3"/>
      <c r="BC229" s="3"/>
      <c r="CT229" s="5" t="e">
        <v>#N/A</v>
      </c>
      <c r="CU229" s="5" t="e">
        <v>#N/A</v>
      </c>
      <c r="CV229" s="5" t="e">
        <v>#N/A</v>
      </c>
      <c r="CW229" s="5" t="e">
        <v>#N/A</v>
      </c>
      <c r="CX229" s="5" t="e">
        <v>#N/A</v>
      </c>
      <c r="CY229" s="5" t="e">
        <v>#N/A</v>
      </c>
      <c r="CZ229" s="5" t="e">
        <v>#N/A</v>
      </c>
      <c r="DA229" s="5" t="e">
        <v>#N/A</v>
      </c>
      <c r="DB229" s="5" t="e">
        <v>#N/A</v>
      </c>
      <c r="DC229" s="5" t="e">
        <v>#N/A</v>
      </c>
      <c r="DD229" s="5" t="e">
        <v>#N/A</v>
      </c>
      <c r="DE229" s="5" t="e">
        <v>#N/A</v>
      </c>
      <c r="DF229" s="5" t="e">
        <v>#N/A</v>
      </c>
      <c r="DG229" s="5" t="e">
        <v>#N/A</v>
      </c>
      <c r="DH229" s="5" t="e">
        <v>#N/A</v>
      </c>
      <c r="DI229" s="5" t="e">
        <v>#N/A</v>
      </c>
    </row>
    <row r="230" spans="1:113" s="5" customFormat="1">
      <c r="A230"/>
      <c r="B230"/>
      <c r="C230" s="44"/>
      <c r="D230" s="44"/>
      <c r="E230" s="44"/>
      <c r="F230" s="44"/>
      <c r="G230" s="44"/>
      <c r="H230" s="44"/>
      <c r="I230" s="44"/>
      <c r="J230" s="44"/>
      <c r="K230" s="44"/>
      <c r="L230" s="44"/>
      <c r="M230" t="str">
        <f t="shared" si="27"/>
        <v>"//*[@class=\"</v>
      </c>
      <c r="N230" t="s">
        <v>31</v>
      </c>
      <c r="O230" s="4" t="str">
        <f t="shared" si="30"/>
        <v>click</v>
      </c>
      <c r="P230" t="str">
        <f t="shared" si="31"/>
        <v>();</v>
      </c>
      <c r="Q230" t="str">
        <f t="shared" si="32"/>
        <v/>
      </c>
      <c r="R230" t="str">
        <f t="shared" si="28"/>
        <v/>
      </c>
      <c r="S230" s="1" t="str">
        <f t="shared" si="29"/>
        <v/>
      </c>
      <c r="T230"/>
      <c r="U230"/>
      <c r="V230"/>
      <c r="W230"/>
      <c r="X230"/>
      <c r="Y230"/>
      <c r="Z230">
        <v>221</v>
      </c>
      <c r="AA230"/>
      <c r="AB230"/>
      <c r="AC230" s="6"/>
      <c r="AD230" s="6"/>
      <c r="AE230" s="6"/>
      <c r="AF230" s="6"/>
      <c r="AG230" s="4"/>
      <c r="AH230" s="4"/>
      <c r="AI230" s="4"/>
      <c r="AJ230" s="4"/>
      <c r="AK230" s="4"/>
      <c r="AL230" s="4"/>
      <c r="AM230" s="4"/>
      <c r="AN230" s="4"/>
      <c r="AO230" s="4"/>
      <c r="AP230" s="4"/>
      <c r="AQ230" s="4"/>
      <c r="AR230" s="4"/>
      <c r="AS230" s="4"/>
      <c r="AT230" s="4"/>
      <c r="AU230" s="4"/>
      <c r="AV230" s="4"/>
      <c r="AW230" s="4"/>
      <c r="AX230" s="4"/>
      <c r="AY230" s="4"/>
      <c r="AZ230" s="4"/>
      <c r="BA230" s="4"/>
      <c r="BB230" s="3"/>
      <c r="BC230" s="3"/>
      <c r="CT230" s="5" t="e">
        <v>#N/A</v>
      </c>
      <c r="CU230" s="5" t="e">
        <v>#N/A</v>
      </c>
      <c r="CV230" s="5" t="e">
        <v>#N/A</v>
      </c>
      <c r="CW230" s="5" t="e">
        <v>#N/A</v>
      </c>
      <c r="CX230" s="5" t="e">
        <v>#N/A</v>
      </c>
      <c r="CY230" s="5" t="e">
        <v>#N/A</v>
      </c>
      <c r="CZ230" s="5" t="e">
        <v>#N/A</v>
      </c>
      <c r="DA230" s="5" t="e">
        <v>#N/A</v>
      </c>
      <c r="DB230" s="5" t="e">
        <v>#N/A</v>
      </c>
      <c r="DC230" s="5" t="e">
        <v>#N/A</v>
      </c>
      <c r="DD230" s="5" t="e">
        <v>#N/A</v>
      </c>
      <c r="DE230" s="5" t="e">
        <v>#N/A</v>
      </c>
      <c r="DF230" s="5" t="e">
        <v>#N/A</v>
      </c>
      <c r="DG230" s="5" t="e">
        <v>#N/A</v>
      </c>
      <c r="DH230" s="5" t="e">
        <v>#N/A</v>
      </c>
      <c r="DI230" s="5" t="e">
        <v>#N/A</v>
      </c>
    </row>
    <row r="231" spans="1:113" s="5" customFormat="1">
      <c r="A231"/>
      <c r="B231"/>
      <c r="C231" s="44"/>
      <c r="D231" s="44"/>
      <c r="E231" s="44"/>
      <c r="F231" s="44"/>
      <c r="G231" s="44"/>
      <c r="H231" s="44"/>
      <c r="I231" s="44"/>
      <c r="J231" s="44"/>
      <c r="K231" s="44"/>
      <c r="L231" s="44"/>
      <c r="M231" t="str">
        <f t="shared" si="27"/>
        <v>"//*[@class=\"</v>
      </c>
      <c r="N231" t="s">
        <v>31</v>
      </c>
      <c r="O231" s="4" t="str">
        <f t="shared" si="30"/>
        <v>click</v>
      </c>
      <c r="P231" t="str">
        <f t="shared" si="31"/>
        <v>();</v>
      </c>
      <c r="Q231" t="str">
        <f t="shared" si="32"/>
        <v/>
      </c>
      <c r="R231" t="str">
        <f t="shared" si="28"/>
        <v/>
      </c>
      <c r="S231" s="1" t="str">
        <f t="shared" si="29"/>
        <v/>
      </c>
      <c r="T231"/>
      <c r="U231"/>
      <c r="V231"/>
      <c r="W231"/>
      <c r="X231"/>
      <c r="Y231"/>
      <c r="Z231">
        <v>222</v>
      </c>
      <c r="AA231"/>
      <c r="AB231"/>
      <c r="AC231" s="6"/>
      <c r="AD231" s="6"/>
      <c r="AE231" s="6"/>
      <c r="AF231" s="6"/>
      <c r="AG231" s="4"/>
      <c r="AH231" s="4"/>
      <c r="AI231" s="4"/>
      <c r="AJ231" s="4"/>
      <c r="AK231" s="4"/>
      <c r="AL231" s="4"/>
      <c r="AM231" s="4"/>
      <c r="AN231" s="4"/>
      <c r="AO231" s="4"/>
      <c r="AP231" s="4"/>
      <c r="AQ231" s="4"/>
      <c r="AR231" s="4"/>
      <c r="AS231" s="4"/>
      <c r="AT231" s="4"/>
      <c r="AU231" s="4"/>
      <c r="AV231" s="4"/>
      <c r="AW231" s="4"/>
      <c r="AX231" s="4"/>
      <c r="AY231" s="4"/>
      <c r="AZ231" s="4"/>
      <c r="BA231" s="4"/>
      <c r="BB231" s="3"/>
      <c r="BC231" s="3"/>
      <c r="CT231" s="5" t="e">
        <v>#N/A</v>
      </c>
      <c r="CU231" s="5" t="e">
        <v>#N/A</v>
      </c>
      <c r="CV231" s="5" t="e">
        <v>#N/A</v>
      </c>
      <c r="CW231" s="5" t="e">
        <v>#N/A</v>
      </c>
      <c r="CX231" s="5" t="e">
        <v>#N/A</v>
      </c>
      <c r="CY231" s="5" t="e">
        <v>#N/A</v>
      </c>
      <c r="CZ231" s="5" t="e">
        <v>#N/A</v>
      </c>
      <c r="DA231" s="5" t="e">
        <v>#N/A</v>
      </c>
      <c r="DB231" s="5" t="e">
        <v>#N/A</v>
      </c>
      <c r="DC231" s="5" t="e">
        <v>#N/A</v>
      </c>
      <c r="DD231" s="5" t="e">
        <v>#N/A</v>
      </c>
      <c r="DE231" s="5" t="e">
        <v>#N/A</v>
      </c>
      <c r="DF231" s="5" t="e">
        <v>#N/A</v>
      </c>
      <c r="DG231" s="5" t="e">
        <v>#N/A</v>
      </c>
      <c r="DH231" s="5" t="e">
        <v>#N/A</v>
      </c>
      <c r="DI231" s="5" t="e">
        <v>#N/A</v>
      </c>
    </row>
    <row r="232" spans="1:113" s="5" customFormat="1">
      <c r="A232"/>
      <c r="B232"/>
      <c r="C232" s="44"/>
      <c r="D232" s="44"/>
      <c r="E232" s="44"/>
      <c r="F232" s="44"/>
      <c r="G232" s="44"/>
      <c r="H232" s="44"/>
      <c r="I232" s="44"/>
      <c r="J232" s="44"/>
      <c r="K232" s="44"/>
      <c r="L232" s="44"/>
      <c r="M232" t="str">
        <f t="shared" si="27"/>
        <v>"//*[@class=\"</v>
      </c>
      <c r="N232" t="s">
        <v>31</v>
      </c>
      <c r="O232" s="4" t="str">
        <f t="shared" si="30"/>
        <v>click</v>
      </c>
      <c r="P232" t="str">
        <f t="shared" si="31"/>
        <v>();</v>
      </c>
      <c r="Q232" t="str">
        <f t="shared" si="32"/>
        <v/>
      </c>
      <c r="R232" t="str">
        <f t="shared" si="28"/>
        <v/>
      </c>
      <c r="S232" s="1" t="str">
        <f t="shared" si="29"/>
        <v/>
      </c>
      <c r="T232"/>
      <c r="U232"/>
      <c r="V232"/>
      <c r="W232"/>
      <c r="X232"/>
      <c r="Y232"/>
      <c r="Z232">
        <v>223</v>
      </c>
      <c r="AA232"/>
      <c r="AB232"/>
      <c r="AC232" s="6"/>
      <c r="AD232" s="6"/>
      <c r="AE232" s="6"/>
      <c r="AF232" s="6"/>
      <c r="AG232" s="4"/>
      <c r="AH232" s="4"/>
      <c r="AI232" s="4"/>
      <c r="AJ232" s="4"/>
      <c r="AK232" s="4"/>
      <c r="AL232" s="4"/>
      <c r="AM232" s="4"/>
      <c r="AN232" s="4"/>
      <c r="AO232" s="4"/>
      <c r="AP232" s="4"/>
      <c r="AQ232" s="4"/>
      <c r="AR232" s="4"/>
      <c r="AS232" s="4"/>
      <c r="AT232" s="4"/>
      <c r="AU232" s="4"/>
      <c r="AV232" s="4"/>
      <c r="AW232" s="4"/>
      <c r="AX232" s="4"/>
      <c r="AY232" s="4"/>
      <c r="AZ232" s="4"/>
      <c r="BA232" s="4"/>
      <c r="BB232" s="3"/>
      <c r="BC232" s="3"/>
      <c r="CT232" s="5" t="e">
        <v>#N/A</v>
      </c>
      <c r="CU232" s="5" t="e">
        <v>#N/A</v>
      </c>
      <c r="CV232" s="5" t="e">
        <v>#N/A</v>
      </c>
      <c r="CW232" s="5" t="e">
        <v>#N/A</v>
      </c>
      <c r="CX232" s="5" t="e">
        <v>#N/A</v>
      </c>
      <c r="CY232" s="5" t="e">
        <v>#N/A</v>
      </c>
      <c r="CZ232" s="5" t="e">
        <v>#N/A</v>
      </c>
      <c r="DA232" s="5" t="e">
        <v>#N/A</v>
      </c>
      <c r="DB232" s="5" t="e">
        <v>#N/A</v>
      </c>
      <c r="DC232" s="5" t="e">
        <v>#N/A</v>
      </c>
      <c r="DD232" s="5" t="e">
        <v>#N/A</v>
      </c>
      <c r="DE232" s="5" t="e">
        <v>#N/A</v>
      </c>
      <c r="DF232" s="5" t="e">
        <v>#N/A</v>
      </c>
      <c r="DG232" s="5" t="e">
        <v>#N/A</v>
      </c>
      <c r="DH232" s="5" t="e">
        <v>#N/A</v>
      </c>
      <c r="DI232" s="5" t="e">
        <v>#N/A</v>
      </c>
    </row>
    <row r="233" spans="1:113" s="5" customFormat="1">
      <c r="A233"/>
      <c r="B233"/>
      <c r="C233" s="44"/>
      <c r="D233" s="44"/>
      <c r="E233" s="44"/>
      <c r="F233" s="44"/>
      <c r="G233" s="44"/>
      <c r="H233" s="44"/>
      <c r="I233" s="44"/>
      <c r="J233" s="44"/>
      <c r="K233" s="44"/>
      <c r="L233" s="44"/>
      <c r="M233" t="str">
        <f t="shared" si="27"/>
        <v>"//*[@class=\"</v>
      </c>
      <c r="N233" t="s">
        <v>31</v>
      </c>
      <c r="O233" s="4" t="str">
        <f t="shared" si="30"/>
        <v>click</v>
      </c>
      <c r="P233" t="str">
        <f t="shared" si="31"/>
        <v>();</v>
      </c>
      <c r="Q233" t="str">
        <f t="shared" si="32"/>
        <v/>
      </c>
      <c r="R233" t="str">
        <f t="shared" si="28"/>
        <v/>
      </c>
      <c r="S233" s="1" t="str">
        <f t="shared" si="29"/>
        <v/>
      </c>
      <c r="T233"/>
      <c r="U233"/>
      <c r="V233"/>
      <c r="W233"/>
      <c r="X233"/>
      <c r="Y233"/>
      <c r="Z233">
        <v>224</v>
      </c>
      <c r="AA233"/>
      <c r="AB233"/>
      <c r="AC233" s="6"/>
      <c r="AD233" s="6"/>
      <c r="AE233" s="6"/>
      <c r="AF233" s="6"/>
      <c r="AG233" s="4"/>
      <c r="AH233" s="4"/>
      <c r="AI233" s="4"/>
      <c r="AJ233" s="4"/>
      <c r="AK233" s="4"/>
      <c r="AL233" s="4"/>
      <c r="AM233" s="4"/>
      <c r="AN233" s="4"/>
      <c r="AO233" s="4"/>
      <c r="AP233" s="4"/>
      <c r="AQ233" s="4"/>
      <c r="AR233" s="4"/>
      <c r="AS233" s="4"/>
      <c r="AT233" s="4"/>
      <c r="AU233" s="4"/>
      <c r="AV233" s="4"/>
      <c r="AW233" s="4"/>
      <c r="AX233" s="4"/>
      <c r="AY233" s="4"/>
      <c r="AZ233" s="4"/>
      <c r="BA233" s="4"/>
      <c r="BB233" s="3"/>
      <c r="BC233" s="3"/>
      <c r="CT233" s="5" t="e">
        <v>#N/A</v>
      </c>
      <c r="CU233" s="5" t="e">
        <v>#N/A</v>
      </c>
      <c r="CV233" s="5" t="e">
        <v>#N/A</v>
      </c>
      <c r="CW233" s="5" t="e">
        <v>#N/A</v>
      </c>
      <c r="CX233" s="5" t="e">
        <v>#N/A</v>
      </c>
      <c r="CY233" s="5" t="e">
        <v>#N/A</v>
      </c>
      <c r="CZ233" s="5" t="e">
        <v>#N/A</v>
      </c>
      <c r="DA233" s="5" t="e">
        <v>#N/A</v>
      </c>
      <c r="DB233" s="5" t="e">
        <v>#N/A</v>
      </c>
      <c r="DC233" s="5" t="e">
        <v>#N/A</v>
      </c>
      <c r="DD233" s="5" t="e">
        <v>#N/A</v>
      </c>
      <c r="DE233" s="5" t="e">
        <v>#N/A</v>
      </c>
      <c r="DF233" s="5" t="e">
        <v>#N/A</v>
      </c>
      <c r="DG233" s="5" t="e">
        <v>#N/A</v>
      </c>
      <c r="DH233" s="5" t="e">
        <v>#N/A</v>
      </c>
      <c r="DI233" s="5" t="e">
        <v>#N/A</v>
      </c>
    </row>
    <row r="234" spans="1:113" s="5" customFormat="1">
      <c r="A234"/>
      <c r="B234"/>
      <c r="C234" s="44"/>
      <c r="D234" s="44"/>
      <c r="E234" s="44"/>
      <c r="F234" s="44"/>
      <c r="G234" s="44"/>
      <c r="H234" s="44"/>
      <c r="I234" s="44"/>
      <c r="J234" s="44"/>
      <c r="K234" s="44"/>
      <c r="L234" s="44"/>
      <c r="M234" t="str">
        <f t="shared" si="27"/>
        <v>"//*[@class=\"</v>
      </c>
      <c r="N234" t="s">
        <v>31</v>
      </c>
      <c r="O234" s="4" t="str">
        <f t="shared" si="30"/>
        <v>click</v>
      </c>
      <c r="P234" t="str">
        <f t="shared" si="31"/>
        <v>();</v>
      </c>
      <c r="Q234" t="str">
        <f t="shared" si="32"/>
        <v/>
      </c>
      <c r="R234" t="str">
        <f t="shared" si="28"/>
        <v/>
      </c>
      <c r="S234" s="1" t="str">
        <f t="shared" si="29"/>
        <v/>
      </c>
      <c r="T234"/>
      <c r="U234"/>
      <c r="V234"/>
      <c r="W234"/>
      <c r="X234"/>
      <c r="Y234"/>
      <c r="Z234">
        <v>225</v>
      </c>
      <c r="AA234"/>
      <c r="AB234"/>
      <c r="AC234" s="6"/>
      <c r="AD234" s="6"/>
      <c r="AE234" s="6"/>
      <c r="AF234" s="6"/>
      <c r="AG234" s="4"/>
      <c r="AH234" s="4"/>
      <c r="AI234" s="4"/>
      <c r="AJ234" s="4"/>
      <c r="AK234" s="4"/>
      <c r="AL234" s="4"/>
      <c r="AM234" s="4"/>
      <c r="AN234" s="4"/>
      <c r="AO234" s="4"/>
      <c r="AP234" s="4"/>
      <c r="AQ234" s="4"/>
      <c r="AR234" s="4"/>
      <c r="AS234" s="4"/>
      <c r="AT234" s="4"/>
      <c r="AU234" s="4"/>
      <c r="AV234" s="4"/>
      <c r="AW234" s="4"/>
      <c r="AX234" s="4"/>
      <c r="AY234" s="4"/>
      <c r="AZ234" s="4"/>
      <c r="BA234" s="4"/>
      <c r="BB234" s="3"/>
      <c r="BC234" s="3"/>
      <c r="CT234" s="5" t="e">
        <v>#N/A</v>
      </c>
      <c r="CU234" s="5" t="e">
        <v>#N/A</v>
      </c>
      <c r="CV234" s="5" t="e">
        <v>#N/A</v>
      </c>
      <c r="CW234" s="5" t="e">
        <v>#N/A</v>
      </c>
      <c r="CX234" s="5" t="e">
        <v>#N/A</v>
      </c>
      <c r="CY234" s="5" t="e">
        <v>#N/A</v>
      </c>
      <c r="CZ234" s="5" t="e">
        <v>#N/A</v>
      </c>
      <c r="DA234" s="5" t="e">
        <v>#N/A</v>
      </c>
      <c r="DB234" s="5" t="e">
        <v>#N/A</v>
      </c>
      <c r="DC234" s="5" t="e">
        <v>#N/A</v>
      </c>
      <c r="DD234" s="5" t="e">
        <v>#N/A</v>
      </c>
      <c r="DE234" s="5" t="e">
        <v>#N/A</v>
      </c>
      <c r="DF234" s="5" t="e">
        <v>#N/A</v>
      </c>
      <c r="DG234" s="5" t="e">
        <v>#N/A</v>
      </c>
      <c r="DH234" s="5" t="e">
        <v>#N/A</v>
      </c>
      <c r="DI234" s="5" t="e">
        <v>#N/A</v>
      </c>
    </row>
    <row r="235" spans="1:113" s="5" customFormat="1">
      <c r="A235"/>
      <c r="B235"/>
      <c r="C235" s="44"/>
      <c r="D235" s="44"/>
      <c r="E235" s="44"/>
      <c r="F235" s="44"/>
      <c r="G235" s="44"/>
      <c r="H235" s="44"/>
      <c r="I235" s="44"/>
      <c r="J235" s="44"/>
      <c r="K235" s="44"/>
      <c r="L235" s="44"/>
      <c r="M235" t="str">
        <f t="shared" si="27"/>
        <v>"//*[@class=\"</v>
      </c>
      <c r="N235" t="s">
        <v>31</v>
      </c>
      <c r="O235" s="4" t="str">
        <f t="shared" si="30"/>
        <v>click</v>
      </c>
      <c r="P235" t="str">
        <f t="shared" si="31"/>
        <v>();</v>
      </c>
      <c r="Q235" t="str">
        <f t="shared" si="32"/>
        <v/>
      </c>
      <c r="R235" t="str">
        <f t="shared" si="28"/>
        <v/>
      </c>
      <c r="S235" s="1" t="str">
        <f t="shared" si="29"/>
        <v/>
      </c>
      <c r="T235"/>
      <c r="U235"/>
      <c r="V235"/>
      <c r="W235"/>
      <c r="X235"/>
      <c r="Y235"/>
      <c r="Z235">
        <v>226</v>
      </c>
      <c r="AA235"/>
      <c r="AB235"/>
      <c r="AC235" s="6"/>
      <c r="AD235" s="6"/>
      <c r="AE235" s="6"/>
      <c r="AF235" s="6"/>
      <c r="AG235" s="4"/>
      <c r="AH235" s="4"/>
      <c r="AI235" s="4"/>
      <c r="AJ235" s="4"/>
      <c r="AK235" s="4"/>
      <c r="AL235" s="4"/>
      <c r="AM235" s="4"/>
      <c r="AN235" s="4"/>
      <c r="AO235" s="4"/>
      <c r="AP235" s="4"/>
      <c r="AQ235" s="4"/>
      <c r="AR235" s="4"/>
      <c r="AS235" s="4"/>
      <c r="AT235" s="4"/>
      <c r="AU235" s="4"/>
      <c r="AV235" s="4"/>
      <c r="AW235" s="4"/>
      <c r="AX235" s="4"/>
      <c r="AY235" s="4"/>
      <c r="AZ235" s="4"/>
      <c r="BA235" s="4"/>
      <c r="BB235" s="3"/>
      <c r="BC235" s="3"/>
      <c r="CT235" s="5" t="e">
        <v>#N/A</v>
      </c>
      <c r="CU235" s="5" t="e">
        <v>#N/A</v>
      </c>
      <c r="CV235" s="5" t="e">
        <v>#N/A</v>
      </c>
      <c r="CW235" s="5" t="e">
        <v>#N/A</v>
      </c>
      <c r="CX235" s="5" t="e">
        <v>#N/A</v>
      </c>
      <c r="CY235" s="5" t="e">
        <v>#N/A</v>
      </c>
      <c r="CZ235" s="5" t="e">
        <v>#N/A</v>
      </c>
      <c r="DA235" s="5" t="e">
        <v>#N/A</v>
      </c>
      <c r="DB235" s="5" t="e">
        <v>#N/A</v>
      </c>
      <c r="DC235" s="5" t="e">
        <v>#N/A</v>
      </c>
      <c r="DD235" s="5" t="e">
        <v>#N/A</v>
      </c>
      <c r="DE235" s="5" t="e">
        <v>#N/A</v>
      </c>
      <c r="DF235" s="5" t="e">
        <v>#N/A</v>
      </c>
      <c r="DG235" s="5" t="e">
        <v>#N/A</v>
      </c>
      <c r="DH235" s="5" t="e">
        <v>#N/A</v>
      </c>
      <c r="DI235" s="5" t="e">
        <v>#N/A</v>
      </c>
    </row>
    <row r="236" spans="1:113" s="5" customFormat="1">
      <c r="A236"/>
      <c r="B236"/>
      <c r="C236" s="44"/>
      <c r="D236" s="44"/>
      <c r="E236" s="44"/>
      <c r="F236" s="44"/>
      <c r="G236" s="44"/>
      <c r="H236" s="44"/>
      <c r="I236" s="44"/>
      <c r="J236" s="44"/>
      <c r="K236" s="44"/>
      <c r="L236" s="44"/>
      <c r="M236" t="str">
        <f t="shared" si="27"/>
        <v>"//*[@class=\"</v>
      </c>
      <c r="N236" t="s">
        <v>31</v>
      </c>
      <c r="O236" s="4" t="str">
        <f t="shared" si="30"/>
        <v>click</v>
      </c>
      <c r="P236" t="str">
        <f t="shared" si="31"/>
        <v>();</v>
      </c>
      <c r="Q236" t="str">
        <f t="shared" si="32"/>
        <v/>
      </c>
      <c r="R236" t="str">
        <f t="shared" si="28"/>
        <v/>
      </c>
      <c r="S236" s="1" t="str">
        <f t="shared" si="29"/>
        <v/>
      </c>
      <c r="T236"/>
      <c r="U236"/>
      <c r="V236"/>
      <c r="W236"/>
      <c r="X236"/>
      <c r="Y236"/>
      <c r="Z236">
        <v>227</v>
      </c>
      <c r="AA236"/>
      <c r="AB236"/>
      <c r="AC236" s="6"/>
      <c r="AD236" s="6"/>
      <c r="AE236" s="6"/>
      <c r="AF236" s="6"/>
      <c r="AG236" s="4"/>
      <c r="AH236" s="4"/>
      <c r="AI236" s="4"/>
      <c r="AJ236" s="4"/>
      <c r="AK236" s="4"/>
      <c r="AL236" s="4"/>
      <c r="AM236" s="4"/>
      <c r="AN236" s="4"/>
      <c r="AO236" s="4"/>
      <c r="AP236" s="4"/>
      <c r="AQ236" s="4"/>
      <c r="AR236" s="4"/>
      <c r="AS236" s="4"/>
      <c r="AT236" s="4"/>
      <c r="AU236" s="4"/>
      <c r="AV236" s="4"/>
      <c r="AW236" s="4"/>
      <c r="AX236" s="4"/>
      <c r="AY236" s="4"/>
      <c r="AZ236" s="4"/>
      <c r="BA236" s="4"/>
      <c r="BB236" s="3"/>
      <c r="BC236" s="3"/>
      <c r="CT236" s="5" t="e">
        <v>#N/A</v>
      </c>
      <c r="CU236" s="5" t="e">
        <v>#N/A</v>
      </c>
      <c r="CV236" s="5" t="e">
        <v>#N/A</v>
      </c>
      <c r="CW236" s="5" t="e">
        <v>#N/A</v>
      </c>
      <c r="CX236" s="5" t="e">
        <v>#N/A</v>
      </c>
      <c r="CY236" s="5" t="e">
        <v>#N/A</v>
      </c>
      <c r="CZ236" s="5" t="e">
        <v>#N/A</v>
      </c>
      <c r="DA236" s="5" t="e">
        <v>#N/A</v>
      </c>
      <c r="DB236" s="5" t="e">
        <v>#N/A</v>
      </c>
      <c r="DC236" s="5" t="e">
        <v>#N/A</v>
      </c>
      <c r="DD236" s="5" t="e">
        <v>#N/A</v>
      </c>
      <c r="DE236" s="5" t="e">
        <v>#N/A</v>
      </c>
      <c r="DF236" s="5" t="e">
        <v>#N/A</v>
      </c>
      <c r="DG236" s="5" t="e">
        <v>#N/A</v>
      </c>
      <c r="DH236" s="5" t="e">
        <v>#N/A</v>
      </c>
      <c r="DI236" s="5" t="e">
        <v>#N/A</v>
      </c>
    </row>
    <row r="237" spans="1:113" s="5" customFormat="1">
      <c r="A237"/>
      <c r="B237"/>
      <c r="C237" s="44"/>
      <c r="D237" s="44"/>
      <c r="E237" s="44"/>
      <c r="F237" s="44"/>
      <c r="G237" s="44"/>
      <c r="H237" s="44"/>
      <c r="I237" s="44"/>
      <c r="J237" s="44"/>
      <c r="K237" s="44"/>
      <c r="L237" s="44"/>
      <c r="M237" t="str">
        <f t="shared" si="27"/>
        <v>"//*[@class=\"</v>
      </c>
      <c r="N237" t="s">
        <v>31</v>
      </c>
      <c r="O237" s="4" t="str">
        <f t="shared" si="30"/>
        <v>click</v>
      </c>
      <c r="P237" t="str">
        <f t="shared" si="31"/>
        <v>();</v>
      </c>
      <c r="Q237" t="str">
        <f t="shared" si="32"/>
        <v/>
      </c>
      <c r="R237" t="str">
        <f t="shared" si="28"/>
        <v/>
      </c>
      <c r="S237" s="1" t="str">
        <f t="shared" si="29"/>
        <v/>
      </c>
      <c r="T237"/>
      <c r="U237"/>
      <c r="V237"/>
      <c r="W237"/>
      <c r="X237"/>
      <c r="Y237"/>
      <c r="Z237">
        <v>228</v>
      </c>
      <c r="AA237"/>
      <c r="AB237"/>
      <c r="AC237" s="6"/>
      <c r="AD237" s="6"/>
      <c r="AE237" s="6"/>
      <c r="AF237" s="6"/>
      <c r="AG237" s="4"/>
      <c r="AH237" s="4"/>
      <c r="AI237" s="4"/>
      <c r="AJ237" s="4"/>
      <c r="AK237" s="4"/>
      <c r="AL237" s="4"/>
      <c r="AM237" s="4"/>
      <c r="AN237" s="4"/>
      <c r="AO237" s="4"/>
      <c r="AP237" s="4"/>
      <c r="AQ237" s="4"/>
      <c r="AR237" s="4"/>
      <c r="AS237" s="4"/>
      <c r="AT237" s="4"/>
      <c r="AU237" s="4"/>
      <c r="AV237" s="4"/>
      <c r="AW237" s="4"/>
      <c r="AX237" s="4"/>
      <c r="AY237" s="4"/>
      <c r="AZ237" s="4"/>
      <c r="BA237" s="4"/>
      <c r="BB237" s="3"/>
      <c r="BC237" s="3"/>
      <c r="CT237" s="5" t="e">
        <v>#N/A</v>
      </c>
      <c r="CU237" s="5" t="e">
        <v>#N/A</v>
      </c>
      <c r="CV237" s="5" t="e">
        <v>#N/A</v>
      </c>
      <c r="CW237" s="5" t="e">
        <v>#N/A</v>
      </c>
      <c r="CX237" s="5" t="e">
        <v>#N/A</v>
      </c>
      <c r="CY237" s="5" t="e">
        <v>#N/A</v>
      </c>
      <c r="CZ237" s="5" t="e">
        <v>#N/A</v>
      </c>
      <c r="DA237" s="5" t="e">
        <v>#N/A</v>
      </c>
      <c r="DB237" s="5" t="e">
        <v>#N/A</v>
      </c>
      <c r="DC237" s="5" t="e">
        <v>#N/A</v>
      </c>
      <c r="DD237" s="5" t="e">
        <v>#N/A</v>
      </c>
      <c r="DE237" s="5" t="e">
        <v>#N/A</v>
      </c>
      <c r="DF237" s="5" t="e">
        <v>#N/A</v>
      </c>
      <c r="DG237" s="5" t="e">
        <v>#N/A</v>
      </c>
      <c r="DH237" s="5" t="e">
        <v>#N/A</v>
      </c>
      <c r="DI237" s="5" t="e">
        <v>#N/A</v>
      </c>
    </row>
    <row r="238" spans="1:113" s="5" customFormat="1">
      <c r="A238"/>
      <c r="B238"/>
      <c r="C238" s="44"/>
      <c r="D238" s="44"/>
      <c r="E238" s="44"/>
      <c r="F238" s="44"/>
      <c r="G238" s="44"/>
      <c r="H238" s="44"/>
      <c r="I238" s="44"/>
      <c r="J238" s="44"/>
      <c r="K238" s="44"/>
      <c r="L238" s="44"/>
      <c r="M238" t="str">
        <f t="shared" si="27"/>
        <v>"//*[@class=\"</v>
      </c>
      <c r="N238" t="s">
        <v>31</v>
      </c>
      <c r="O238" s="4" t="str">
        <f t="shared" si="30"/>
        <v>click</v>
      </c>
      <c r="P238" t="str">
        <f t="shared" si="31"/>
        <v>();</v>
      </c>
      <c r="Q238" t="str">
        <f t="shared" si="32"/>
        <v/>
      </c>
      <c r="R238" t="str">
        <f t="shared" si="28"/>
        <v/>
      </c>
      <c r="S238" s="1" t="str">
        <f t="shared" si="29"/>
        <v/>
      </c>
      <c r="T238"/>
      <c r="U238"/>
      <c r="V238"/>
      <c r="W238"/>
      <c r="X238"/>
      <c r="Y238"/>
      <c r="Z238">
        <v>229</v>
      </c>
      <c r="AA238"/>
      <c r="AB238"/>
      <c r="AC238" s="6"/>
      <c r="AD238" s="6"/>
      <c r="AE238" s="6"/>
      <c r="AF238" s="6"/>
      <c r="AG238" s="4"/>
      <c r="AH238" s="4"/>
      <c r="AI238" s="4"/>
      <c r="AJ238" s="4"/>
      <c r="AK238" s="4"/>
      <c r="AL238" s="4"/>
      <c r="AM238" s="4"/>
      <c r="AN238" s="4"/>
      <c r="AO238" s="4"/>
      <c r="AP238" s="4"/>
      <c r="AQ238" s="4"/>
      <c r="AR238" s="4"/>
      <c r="AS238" s="4"/>
      <c r="AT238" s="4"/>
      <c r="AU238" s="4"/>
      <c r="AV238" s="4"/>
      <c r="AW238" s="4"/>
      <c r="AX238" s="4"/>
      <c r="AY238" s="4"/>
      <c r="AZ238" s="4"/>
      <c r="BA238" s="4"/>
      <c r="BB238" s="3"/>
      <c r="BC238" s="3"/>
      <c r="CT238" s="5" t="e">
        <v>#N/A</v>
      </c>
      <c r="CU238" s="5" t="e">
        <v>#N/A</v>
      </c>
      <c r="CV238" s="5" t="e">
        <v>#N/A</v>
      </c>
      <c r="CW238" s="5" t="e">
        <v>#N/A</v>
      </c>
      <c r="CX238" s="5" t="e">
        <v>#N/A</v>
      </c>
      <c r="CY238" s="5" t="e">
        <v>#N/A</v>
      </c>
      <c r="CZ238" s="5" t="e">
        <v>#N/A</v>
      </c>
      <c r="DA238" s="5" t="e">
        <v>#N/A</v>
      </c>
      <c r="DB238" s="5" t="e">
        <v>#N/A</v>
      </c>
      <c r="DC238" s="5" t="e">
        <v>#N/A</v>
      </c>
      <c r="DD238" s="5" t="e">
        <v>#N/A</v>
      </c>
      <c r="DE238" s="5" t="e">
        <v>#N/A</v>
      </c>
      <c r="DF238" s="5" t="e">
        <v>#N/A</v>
      </c>
      <c r="DG238" s="5" t="e">
        <v>#N/A</v>
      </c>
      <c r="DH238" s="5" t="e">
        <v>#N/A</v>
      </c>
      <c r="DI238" s="5" t="e">
        <v>#N/A</v>
      </c>
    </row>
    <row r="239" spans="1:113" s="5" customFormat="1">
      <c r="A239"/>
      <c r="B239"/>
      <c r="C239" s="44"/>
      <c r="D239" s="44"/>
      <c r="E239" s="44"/>
      <c r="F239" s="44"/>
      <c r="G239" s="44"/>
      <c r="H239" s="44"/>
      <c r="I239" s="44"/>
      <c r="J239" s="44"/>
      <c r="K239" s="44"/>
      <c r="L239" s="44"/>
      <c r="M239" t="str">
        <f t="shared" si="27"/>
        <v>"//*[@class=\"</v>
      </c>
      <c r="N239" t="s">
        <v>31</v>
      </c>
      <c r="O239" s="4" t="str">
        <f t="shared" si="30"/>
        <v>click</v>
      </c>
      <c r="P239" t="str">
        <f t="shared" si="31"/>
        <v>();</v>
      </c>
      <c r="Q239" t="str">
        <f t="shared" si="32"/>
        <v/>
      </c>
      <c r="R239" t="str">
        <f t="shared" si="28"/>
        <v/>
      </c>
      <c r="S239" s="1" t="str">
        <f t="shared" si="29"/>
        <v/>
      </c>
      <c r="T239"/>
      <c r="U239"/>
      <c r="V239"/>
      <c r="W239"/>
      <c r="X239"/>
      <c r="Y239"/>
      <c r="Z239">
        <v>230</v>
      </c>
      <c r="AA239"/>
      <c r="AB239"/>
      <c r="AC239" s="6"/>
      <c r="AD239" s="6"/>
      <c r="AE239" s="6"/>
      <c r="AF239" s="6"/>
      <c r="AG239" s="4"/>
      <c r="AH239" s="4"/>
      <c r="AI239" s="4"/>
      <c r="AJ239" s="4"/>
      <c r="AK239" s="4"/>
      <c r="AL239" s="4"/>
      <c r="AM239" s="4"/>
      <c r="AN239" s="4"/>
      <c r="AO239" s="4"/>
      <c r="AP239" s="4"/>
      <c r="AQ239" s="4"/>
      <c r="AR239" s="4"/>
      <c r="AS239" s="4"/>
      <c r="AT239" s="4"/>
      <c r="AU239" s="4"/>
      <c r="AV239" s="4"/>
      <c r="AW239" s="4"/>
      <c r="AX239" s="4"/>
      <c r="AY239" s="4"/>
      <c r="AZ239" s="4"/>
      <c r="BA239" s="4"/>
      <c r="BB239" s="3"/>
      <c r="BC239" s="3"/>
      <c r="CT239" s="5" t="e">
        <v>#N/A</v>
      </c>
      <c r="CU239" s="5" t="e">
        <v>#N/A</v>
      </c>
      <c r="CV239" s="5" t="e">
        <v>#N/A</v>
      </c>
      <c r="CW239" s="5" t="e">
        <v>#N/A</v>
      </c>
      <c r="CX239" s="5" t="e">
        <v>#N/A</v>
      </c>
      <c r="CY239" s="5" t="e">
        <v>#N/A</v>
      </c>
      <c r="CZ239" s="5" t="e">
        <v>#N/A</v>
      </c>
      <c r="DA239" s="5" t="e">
        <v>#N/A</v>
      </c>
      <c r="DB239" s="5" t="e">
        <v>#N/A</v>
      </c>
      <c r="DC239" s="5" t="e">
        <v>#N/A</v>
      </c>
      <c r="DD239" s="5" t="e">
        <v>#N/A</v>
      </c>
      <c r="DE239" s="5" t="e">
        <v>#N/A</v>
      </c>
      <c r="DF239" s="5" t="e">
        <v>#N/A</v>
      </c>
      <c r="DG239" s="5" t="e">
        <v>#N/A</v>
      </c>
      <c r="DH239" s="5" t="e">
        <v>#N/A</v>
      </c>
      <c r="DI239" s="5" t="e">
        <v>#N/A</v>
      </c>
    </row>
    <row r="240" spans="1:113" s="5" customFormat="1">
      <c r="A240"/>
      <c r="B240"/>
      <c r="C240" s="44"/>
      <c r="D240" s="44"/>
      <c r="E240" s="44"/>
      <c r="F240" s="44"/>
      <c r="G240" s="44"/>
      <c r="H240" s="44"/>
      <c r="I240" s="44"/>
      <c r="J240" s="44"/>
      <c r="K240" s="44"/>
      <c r="L240" s="44"/>
      <c r="M240" t="str">
        <f t="shared" si="27"/>
        <v>"//*[@class=\"</v>
      </c>
      <c r="N240" t="s">
        <v>31</v>
      </c>
      <c r="O240" s="4" t="str">
        <f t="shared" si="30"/>
        <v>click</v>
      </c>
      <c r="P240" t="str">
        <f t="shared" si="31"/>
        <v>();</v>
      </c>
      <c r="Q240" t="str">
        <f t="shared" si="32"/>
        <v/>
      </c>
      <c r="R240" t="str">
        <f t="shared" si="28"/>
        <v/>
      </c>
      <c r="S240" s="1" t="str">
        <f t="shared" si="29"/>
        <v/>
      </c>
      <c r="T240"/>
      <c r="U240"/>
      <c r="V240"/>
      <c r="W240"/>
      <c r="X240"/>
      <c r="Y240"/>
      <c r="Z240">
        <v>231</v>
      </c>
      <c r="AA240"/>
      <c r="AB240"/>
      <c r="AC240" s="6"/>
      <c r="AD240" s="6"/>
      <c r="AE240" s="6"/>
      <c r="AF240" s="6"/>
      <c r="AG240" s="4"/>
      <c r="AH240" s="4"/>
      <c r="AI240" s="4"/>
      <c r="AJ240" s="4"/>
      <c r="AK240" s="4"/>
      <c r="AL240" s="4"/>
      <c r="AM240" s="4"/>
      <c r="AN240" s="4"/>
      <c r="AO240" s="4"/>
      <c r="AP240" s="4"/>
      <c r="AQ240" s="4"/>
      <c r="AR240" s="4"/>
      <c r="AS240" s="4"/>
      <c r="AT240" s="4"/>
      <c r="AU240" s="4"/>
      <c r="AV240" s="4"/>
      <c r="AW240" s="4"/>
      <c r="AX240" s="4"/>
      <c r="AY240" s="4"/>
      <c r="AZ240" s="4"/>
      <c r="BA240" s="4"/>
      <c r="BB240" s="3"/>
      <c r="BC240" s="3"/>
      <c r="CT240" s="5" t="e">
        <v>#N/A</v>
      </c>
      <c r="CU240" s="5" t="e">
        <v>#N/A</v>
      </c>
      <c r="CV240" s="5" t="e">
        <v>#N/A</v>
      </c>
      <c r="CW240" s="5" t="e">
        <v>#N/A</v>
      </c>
      <c r="CX240" s="5" t="e">
        <v>#N/A</v>
      </c>
      <c r="CY240" s="5" t="e">
        <v>#N/A</v>
      </c>
      <c r="CZ240" s="5" t="e">
        <v>#N/A</v>
      </c>
      <c r="DA240" s="5" t="e">
        <v>#N/A</v>
      </c>
      <c r="DB240" s="5" t="e">
        <v>#N/A</v>
      </c>
      <c r="DC240" s="5" t="e">
        <v>#N/A</v>
      </c>
      <c r="DD240" s="5" t="e">
        <v>#N/A</v>
      </c>
      <c r="DE240" s="5" t="e">
        <v>#N/A</v>
      </c>
      <c r="DF240" s="5" t="e">
        <v>#N/A</v>
      </c>
      <c r="DG240" s="5" t="e">
        <v>#N/A</v>
      </c>
      <c r="DH240" s="5" t="e">
        <v>#N/A</v>
      </c>
      <c r="DI240" s="5" t="e">
        <v>#N/A</v>
      </c>
    </row>
    <row r="241" spans="1:113" s="5" customFormat="1">
      <c r="A241"/>
      <c r="B241"/>
      <c r="C241" s="44"/>
      <c r="D241" s="44"/>
      <c r="E241" s="44"/>
      <c r="F241" s="44"/>
      <c r="G241" s="44"/>
      <c r="H241" s="44"/>
      <c r="I241" s="44"/>
      <c r="J241" s="44"/>
      <c r="K241" s="44"/>
      <c r="L241" s="44"/>
      <c r="M241" t="str">
        <f t="shared" si="27"/>
        <v>"//*[@class=\"</v>
      </c>
      <c r="N241" t="s">
        <v>31</v>
      </c>
      <c r="O241" s="4" t="str">
        <f t="shared" si="30"/>
        <v>click</v>
      </c>
      <c r="P241" t="str">
        <f t="shared" si="31"/>
        <v>();</v>
      </c>
      <c r="Q241" t="str">
        <f t="shared" si="32"/>
        <v/>
      </c>
      <c r="R241" t="str">
        <f t="shared" si="28"/>
        <v/>
      </c>
      <c r="S241" s="1" t="str">
        <f t="shared" si="29"/>
        <v/>
      </c>
      <c r="T241"/>
      <c r="U241"/>
      <c r="V241"/>
      <c r="W241"/>
      <c r="X241"/>
      <c r="Y241"/>
      <c r="Z241">
        <v>232</v>
      </c>
      <c r="AA241"/>
      <c r="AB241"/>
      <c r="AC241" s="6"/>
      <c r="AD241" s="6"/>
      <c r="AE241" s="6"/>
      <c r="AF241" s="6"/>
      <c r="AG241" s="4"/>
      <c r="AH241" s="4"/>
      <c r="AI241" s="4"/>
      <c r="AJ241" s="4"/>
      <c r="AK241" s="4"/>
      <c r="AL241" s="4"/>
      <c r="AM241" s="4"/>
      <c r="AN241" s="4"/>
      <c r="AO241" s="4"/>
      <c r="AP241" s="4"/>
      <c r="AQ241" s="4"/>
      <c r="AR241" s="4"/>
      <c r="AS241" s="4"/>
      <c r="AT241" s="4"/>
      <c r="AU241" s="4"/>
      <c r="AV241" s="4"/>
      <c r="AW241" s="4"/>
      <c r="AX241" s="4"/>
      <c r="AY241" s="4"/>
      <c r="AZ241" s="4"/>
      <c r="BA241" s="4"/>
      <c r="BB241" s="3"/>
      <c r="BC241" s="3"/>
      <c r="CT241" s="5" t="e">
        <v>#N/A</v>
      </c>
      <c r="CU241" s="5" t="e">
        <v>#N/A</v>
      </c>
      <c r="CV241" s="5" t="e">
        <v>#N/A</v>
      </c>
      <c r="CW241" s="5" t="e">
        <v>#N/A</v>
      </c>
      <c r="CX241" s="5" t="e">
        <v>#N/A</v>
      </c>
      <c r="CY241" s="5" t="e">
        <v>#N/A</v>
      </c>
      <c r="CZ241" s="5" t="e">
        <v>#N/A</v>
      </c>
      <c r="DA241" s="5" t="e">
        <v>#N/A</v>
      </c>
      <c r="DB241" s="5" t="e">
        <v>#N/A</v>
      </c>
      <c r="DC241" s="5" t="e">
        <v>#N/A</v>
      </c>
      <c r="DD241" s="5" t="e">
        <v>#N/A</v>
      </c>
      <c r="DE241" s="5" t="e">
        <v>#N/A</v>
      </c>
      <c r="DF241" s="5" t="e">
        <v>#N/A</v>
      </c>
      <c r="DG241" s="5" t="e">
        <v>#N/A</v>
      </c>
      <c r="DH241" s="5" t="e">
        <v>#N/A</v>
      </c>
      <c r="DI241" s="5" t="e">
        <v>#N/A</v>
      </c>
    </row>
    <row r="242" spans="1:113" s="5" customFormat="1">
      <c r="A242"/>
      <c r="B242"/>
      <c r="C242" s="44"/>
      <c r="D242" s="44"/>
      <c r="E242" s="44"/>
      <c r="F242" s="44"/>
      <c r="G242" s="44"/>
      <c r="H242" s="44"/>
      <c r="I242" s="44"/>
      <c r="J242" s="44"/>
      <c r="K242" s="44"/>
      <c r="L242" s="44"/>
      <c r="M242" t="str">
        <f t="shared" si="27"/>
        <v>"//*[@class=\"</v>
      </c>
      <c r="N242" t="s">
        <v>31</v>
      </c>
      <c r="O242" s="4" t="str">
        <f t="shared" si="30"/>
        <v>click</v>
      </c>
      <c r="P242" t="str">
        <f t="shared" si="31"/>
        <v>();</v>
      </c>
      <c r="Q242" t="str">
        <f t="shared" si="32"/>
        <v/>
      </c>
      <c r="R242" t="str">
        <f t="shared" si="28"/>
        <v/>
      </c>
      <c r="S242" s="1" t="str">
        <f t="shared" si="29"/>
        <v/>
      </c>
      <c r="T242"/>
      <c r="U242"/>
      <c r="V242"/>
      <c r="W242"/>
      <c r="X242"/>
      <c r="Y242"/>
      <c r="Z242">
        <v>233</v>
      </c>
      <c r="AA242"/>
      <c r="AB242"/>
      <c r="AC242" s="6"/>
      <c r="AD242" s="6"/>
      <c r="AE242" s="6"/>
      <c r="AF242" s="6"/>
      <c r="AG242" s="4"/>
      <c r="AH242" s="4"/>
      <c r="AI242" s="4"/>
      <c r="AJ242" s="4"/>
      <c r="AK242" s="4"/>
      <c r="AL242" s="4"/>
      <c r="AM242" s="4"/>
      <c r="AN242" s="4"/>
      <c r="AO242" s="4"/>
      <c r="AP242" s="4"/>
      <c r="AQ242" s="4"/>
      <c r="AR242" s="4"/>
      <c r="AS242" s="4"/>
      <c r="AT242" s="4"/>
      <c r="AU242" s="4"/>
      <c r="AV242" s="4"/>
      <c r="AW242" s="4"/>
      <c r="AX242" s="4"/>
      <c r="AY242" s="4"/>
      <c r="AZ242" s="4"/>
      <c r="BA242" s="4"/>
      <c r="BB242" s="3"/>
      <c r="BC242" s="3"/>
      <c r="CT242" s="5" t="e">
        <v>#N/A</v>
      </c>
      <c r="CU242" s="5" t="e">
        <v>#N/A</v>
      </c>
      <c r="CV242" s="5" t="e">
        <v>#N/A</v>
      </c>
      <c r="CW242" s="5" t="e">
        <v>#N/A</v>
      </c>
      <c r="CX242" s="5" t="e">
        <v>#N/A</v>
      </c>
      <c r="CY242" s="5" t="e">
        <v>#N/A</v>
      </c>
      <c r="CZ242" s="5" t="e">
        <v>#N/A</v>
      </c>
      <c r="DA242" s="5" t="e">
        <v>#N/A</v>
      </c>
      <c r="DB242" s="5" t="e">
        <v>#N/A</v>
      </c>
      <c r="DC242" s="5" t="e">
        <v>#N/A</v>
      </c>
      <c r="DD242" s="5" t="e">
        <v>#N/A</v>
      </c>
      <c r="DE242" s="5" t="e">
        <v>#N/A</v>
      </c>
      <c r="DF242" s="5" t="e">
        <v>#N/A</v>
      </c>
      <c r="DG242" s="5" t="e">
        <v>#N/A</v>
      </c>
      <c r="DH242" s="5" t="e">
        <v>#N/A</v>
      </c>
      <c r="DI242" s="5" t="e">
        <v>#N/A</v>
      </c>
    </row>
    <row r="243" spans="1:113" s="5" customFormat="1">
      <c r="A243"/>
      <c r="B243"/>
      <c r="C243" s="44"/>
      <c r="D243" s="44"/>
      <c r="E243" s="44"/>
      <c r="F243" s="44"/>
      <c r="G243" s="44"/>
      <c r="H243" s="44"/>
      <c r="I243" s="44"/>
      <c r="J243" s="44"/>
      <c r="K243" s="44"/>
      <c r="L243" s="44"/>
      <c r="M243" t="str">
        <f t="shared" si="27"/>
        <v>"//*[@class=\"</v>
      </c>
      <c r="N243" t="s">
        <v>31</v>
      </c>
      <c r="O243" s="4" t="str">
        <f t="shared" si="30"/>
        <v>click</v>
      </c>
      <c r="P243" t="str">
        <f t="shared" si="31"/>
        <v>();</v>
      </c>
      <c r="Q243" t="str">
        <f t="shared" si="32"/>
        <v/>
      </c>
      <c r="R243" t="str">
        <f t="shared" si="28"/>
        <v/>
      </c>
      <c r="S243" s="1" t="str">
        <f t="shared" si="29"/>
        <v/>
      </c>
      <c r="T243"/>
      <c r="U243"/>
      <c r="V243"/>
      <c r="W243"/>
      <c r="X243"/>
      <c r="Y243"/>
      <c r="Z243">
        <v>234</v>
      </c>
      <c r="AA243"/>
      <c r="AB243"/>
      <c r="AC243" s="6"/>
      <c r="AD243" s="6"/>
      <c r="AE243" s="6"/>
      <c r="AF243" s="6"/>
      <c r="AG243" s="4"/>
      <c r="AH243" s="4"/>
      <c r="AI243" s="4"/>
      <c r="AJ243" s="4"/>
      <c r="AK243" s="4"/>
      <c r="AL243" s="4"/>
      <c r="AM243" s="4"/>
      <c r="AN243" s="4"/>
      <c r="AO243" s="4"/>
      <c r="AP243" s="4"/>
      <c r="AQ243" s="4"/>
      <c r="AR243" s="4"/>
      <c r="AS243" s="4"/>
      <c r="AT243" s="4"/>
      <c r="AU243" s="4"/>
      <c r="AV243" s="4"/>
      <c r="AW243" s="4"/>
      <c r="AX243" s="4"/>
      <c r="AY243" s="4"/>
      <c r="AZ243" s="4"/>
      <c r="BA243" s="4"/>
      <c r="BB243" s="3"/>
      <c r="BC243" s="3"/>
      <c r="CT243" s="5" t="e">
        <v>#N/A</v>
      </c>
      <c r="CU243" s="5" t="e">
        <v>#N/A</v>
      </c>
      <c r="CV243" s="5" t="e">
        <v>#N/A</v>
      </c>
      <c r="CW243" s="5" t="e">
        <v>#N/A</v>
      </c>
      <c r="CX243" s="5" t="e">
        <v>#N/A</v>
      </c>
      <c r="CY243" s="5" t="e">
        <v>#N/A</v>
      </c>
      <c r="CZ243" s="5" t="e">
        <v>#N/A</v>
      </c>
      <c r="DA243" s="5" t="e">
        <v>#N/A</v>
      </c>
      <c r="DB243" s="5" t="e">
        <v>#N/A</v>
      </c>
      <c r="DC243" s="5" t="e">
        <v>#N/A</v>
      </c>
      <c r="DD243" s="5" t="e">
        <v>#N/A</v>
      </c>
      <c r="DE243" s="5" t="e">
        <v>#N/A</v>
      </c>
      <c r="DF243" s="5" t="e">
        <v>#N/A</v>
      </c>
      <c r="DG243" s="5" t="e">
        <v>#N/A</v>
      </c>
      <c r="DH243" s="5" t="e">
        <v>#N/A</v>
      </c>
      <c r="DI243" s="5" t="e">
        <v>#N/A</v>
      </c>
    </row>
    <row r="244" spans="1:113" s="5" customFormat="1">
      <c r="A244"/>
      <c r="B244"/>
      <c r="C244" s="44"/>
      <c r="D244" s="44"/>
      <c r="E244" s="44"/>
      <c r="F244" s="44"/>
      <c r="G244" s="44"/>
      <c r="H244" s="44"/>
      <c r="I244" s="44"/>
      <c r="J244" s="44"/>
      <c r="K244" s="44"/>
      <c r="L244" s="44"/>
      <c r="M244" t="str">
        <f t="shared" si="27"/>
        <v>"//*[@class=\"</v>
      </c>
      <c r="N244" t="s">
        <v>31</v>
      </c>
      <c r="O244" s="4" t="str">
        <f t="shared" si="30"/>
        <v>click</v>
      </c>
      <c r="P244" t="str">
        <f t="shared" si="31"/>
        <v>();</v>
      </c>
      <c r="Q244" t="str">
        <f t="shared" si="32"/>
        <v/>
      </c>
      <c r="R244" t="str">
        <f t="shared" si="28"/>
        <v/>
      </c>
      <c r="S244" s="1" t="str">
        <f t="shared" si="29"/>
        <v/>
      </c>
      <c r="T244"/>
      <c r="U244"/>
      <c r="V244"/>
      <c r="W244"/>
      <c r="X244"/>
      <c r="Y244"/>
      <c r="Z244">
        <v>235</v>
      </c>
      <c r="AA244"/>
      <c r="AB244"/>
      <c r="AC244" s="6"/>
      <c r="AD244" s="6"/>
      <c r="AE244" s="6"/>
      <c r="AF244" s="6"/>
      <c r="AG244" s="4"/>
      <c r="AH244" s="4"/>
      <c r="AI244" s="4"/>
      <c r="AJ244" s="4"/>
      <c r="AK244" s="4"/>
      <c r="AL244" s="4"/>
      <c r="AM244" s="4"/>
      <c r="AN244" s="4"/>
      <c r="AO244" s="4"/>
      <c r="AP244" s="4"/>
      <c r="AQ244" s="4"/>
      <c r="AR244" s="4"/>
      <c r="AS244" s="4"/>
      <c r="AT244" s="4"/>
      <c r="AU244" s="4"/>
      <c r="AV244" s="4"/>
      <c r="AW244" s="4"/>
      <c r="AX244" s="4"/>
      <c r="AY244" s="4"/>
      <c r="AZ244" s="4"/>
      <c r="BA244" s="4"/>
      <c r="BB244" s="3"/>
      <c r="BC244" s="3"/>
      <c r="CT244" s="5" t="e">
        <v>#N/A</v>
      </c>
      <c r="CU244" s="5" t="e">
        <v>#N/A</v>
      </c>
      <c r="CV244" s="5" t="e">
        <v>#N/A</v>
      </c>
      <c r="CW244" s="5" t="e">
        <v>#N/A</v>
      </c>
      <c r="CX244" s="5" t="e">
        <v>#N/A</v>
      </c>
      <c r="CY244" s="5" t="e">
        <v>#N/A</v>
      </c>
      <c r="CZ244" s="5" t="e">
        <v>#N/A</v>
      </c>
      <c r="DA244" s="5" t="e">
        <v>#N/A</v>
      </c>
      <c r="DB244" s="5" t="e">
        <v>#N/A</v>
      </c>
      <c r="DC244" s="5" t="e">
        <v>#N/A</v>
      </c>
      <c r="DD244" s="5" t="e">
        <v>#N/A</v>
      </c>
      <c r="DE244" s="5" t="e">
        <v>#N/A</v>
      </c>
      <c r="DF244" s="5" t="e">
        <v>#N/A</v>
      </c>
      <c r="DG244" s="5" t="e">
        <v>#N/A</v>
      </c>
      <c r="DH244" s="5" t="e">
        <v>#N/A</v>
      </c>
      <c r="DI244" s="5" t="e">
        <v>#N/A</v>
      </c>
    </row>
    <row r="245" spans="1:113" s="5" customFormat="1">
      <c r="A245"/>
      <c r="B245"/>
      <c r="C245" s="44"/>
      <c r="D245" s="44"/>
      <c r="E245" s="44"/>
      <c r="F245" s="44"/>
      <c r="G245" s="44"/>
      <c r="H245" s="44"/>
      <c r="I245" s="44"/>
      <c r="J245" s="44"/>
      <c r="K245" s="44"/>
      <c r="L245" s="44"/>
      <c r="M245" t="str">
        <f t="shared" si="27"/>
        <v>"//*[@class=\"</v>
      </c>
      <c r="N245" t="s">
        <v>31</v>
      </c>
      <c r="O245" s="4" t="str">
        <f t="shared" si="30"/>
        <v>click</v>
      </c>
      <c r="P245" t="str">
        <f t="shared" si="31"/>
        <v>();</v>
      </c>
      <c r="Q245" t="str">
        <f t="shared" si="32"/>
        <v/>
      </c>
      <c r="R245" t="str">
        <f t="shared" si="28"/>
        <v/>
      </c>
      <c r="S245" s="1" t="str">
        <f t="shared" si="29"/>
        <v/>
      </c>
      <c r="T245"/>
      <c r="U245"/>
      <c r="V245"/>
      <c r="W245"/>
      <c r="X245"/>
      <c r="Y245"/>
      <c r="Z245">
        <v>236</v>
      </c>
      <c r="AA245"/>
      <c r="AB245"/>
      <c r="AC245" s="6"/>
      <c r="AD245" s="6"/>
      <c r="AE245" s="6"/>
      <c r="AF245" s="6"/>
      <c r="AG245" s="4"/>
      <c r="AH245" s="4"/>
      <c r="AI245" s="4"/>
      <c r="AJ245" s="4"/>
      <c r="AK245" s="4"/>
      <c r="AL245" s="4"/>
      <c r="AM245" s="4"/>
      <c r="AN245" s="4"/>
      <c r="AO245" s="4"/>
      <c r="AP245" s="4"/>
      <c r="AQ245" s="4"/>
      <c r="AR245" s="4"/>
      <c r="AS245" s="4"/>
      <c r="AT245" s="4"/>
      <c r="AU245" s="4"/>
      <c r="AV245" s="4"/>
      <c r="AW245" s="4"/>
      <c r="AX245" s="4"/>
      <c r="AY245" s="4"/>
      <c r="AZ245" s="4"/>
      <c r="BA245" s="4"/>
      <c r="BB245" s="3"/>
      <c r="BC245" s="3"/>
      <c r="CT245" s="5" t="e">
        <v>#N/A</v>
      </c>
      <c r="CU245" s="5" t="e">
        <v>#N/A</v>
      </c>
      <c r="CV245" s="5" t="e">
        <v>#N/A</v>
      </c>
      <c r="CW245" s="5" t="e">
        <v>#N/A</v>
      </c>
      <c r="CX245" s="5" t="e">
        <v>#N/A</v>
      </c>
      <c r="CY245" s="5" t="e">
        <v>#N/A</v>
      </c>
      <c r="CZ245" s="5" t="e">
        <v>#N/A</v>
      </c>
      <c r="DA245" s="5" t="e">
        <v>#N/A</v>
      </c>
      <c r="DB245" s="5" t="e">
        <v>#N/A</v>
      </c>
      <c r="DC245" s="5" t="e">
        <v>#N/A</v>
      </c>
      <c r="DD245" s="5" t="e">
        <v>#N/A</v>
      </c>
      <c r="DE245" s="5" t="e">
        <v>#N/A</v>
      </c>
      <c r="DF245" s="5" t="e">
        <v>#N/A</v>
      </c>
      <c r="DG245" s="5" t="e">
        <v>#N/A</v>
      </c>
      <c r="DH245" s="5" t="e">
        <v>#N/A</v>
      </c>
      <c r="DI245" s="5" t="e">
        <v>#N/A</v>
      </c>
    </row>
    <row r="246" spans="1:113" s="5" customFormat="1">
      <c r="A246"/>
      <c r="B246"/>
      <c r="C246" s="44"/>
      <c r="D246" s="44"/>
      <c r="E246" s="44"/>
      <c r="F246" s="44"/>
      <c r="G246" s="44"/>
      <c r="H246" s="44"/>
      <c r="I246" s="44"/>
      <c r="J246" s="44"/>
      <c r="K246" s="44"/>
      <c r="L246" s="44"/>
      <c r="M246" t="str">
        <f t="shared" si="27"/>
        <v>"//*[@class=\"</v>
      </c>
      <c r="N246" t="s">
        <v>31</v>
      </c>
      <c r="O246" s="4" t="str">
        <f t="shared" si="30"/>
        <v>click</v>
      </c>
      <c r="P246" t="str">
        <f t="shared" si="31"/>
        <v>();</v>
      </c>
      <c r="Q246" t="str">
        <f t="shared" si="32"/>
        <v/>
      </c>
      <c r="R246" t="str">
        <f t="shared" si="28"/>
        <v/>
      </c>
      <c r="S246" s="1" t="str">
        <f t="shared" si="29"/>
        <v/>
      </c>
      <c r="T246"/>
      <c r="U246"/>
      <c r="V246"/>
      <c r="W246"/>
      <c r="X246"/>
      <c r="Y246"/>
      <c r="Z246">
        <v>237</v>
      </c>
      <c r="AA246"/>
      <c r="AB246"/>
      <c r="AC246" s="6"/>
      <c r="AD246" s="6"/>
      <c r="AE246" s="6"/>
      <c r="AF246" s="6"/>
      <c r="AG246" s="4"/>
      <c r="AH246" s="4"/>
      <c r="AI246" s="4"/>
      <c r="AJ246" s="4"/>
      <c r="AK246" s="4"/>
      <c r="AL246" s="4"/>
      <c r="AM246" s="4"/>
      <c r="AN246" s="4"/>
      <c r="AO246" s="4"/>
      <c r="AP246" s="4"/>
      <c r="AQ246" s="4"/>
      <c r="AR246" s="4"/>
      <c r="AS246" s="4"/>
      <c r="AT246" s="4"/>
      <c r="AU246" s="4"/>
      <c r="AV246" s="4"/>
      <c r="AW246" s="4"/>
      <c r="AX246" s="4"/>
      <c r="AY246" s="4"/>
      <c r="AZ246" s="4"/>
      <c r="BA246" s="4"/>
      <c r="BB246" s="3"/>
      <c r="BC246" s="3"/>
      <c r="CT246" s="5" t="e">
        <v>#N/A</v>
      </c>
      <c r="CU246" s="5" t="e">
        <v>#N/A</v>
      </c>
      <c r="CV246" s="5" t="e">
        <v>#N/A</v>
      </c>
      <c r="CW246" s="5" t="e">
        <v>#N/A</v>
      </c>
      <c r="CX246" s="5" t="e">
        <v>#N/A</v>
      </c>
      <c r="CY246" s="5" t="e">
        <v>#N/A</v>
      </c>
      <c r="CZ246" s="5" t="e">
        <v>#N/A</v>
      </c>
      <c r="DA246" s="5" t="e">
        <v>#N/A</v>
      </c>
      <c r="DB246" s="5" t="e">
        <v>#N/A</v>
      </c>
      <c r="DC246" s="5" t="e">
        <v>#N/A</v>
      </c>
      <c r="DD246" s="5" t="e">
        <v>#N/A</v>
      </c>
      <c r="DE246" s="5" t="e">
        <v>#N/A</v>
      </c>
      <c r="DF246" s="5" t="e">
        <v>#N/A</v>
      </c>
      <c r="DG246" s="5" t="e">
        <v>#N/A</v>
      </c>
      <c r="DH246" s="5" t="e">
        <v>#N/A</v>
      </c>
      <c r="DI246" s="5" t="e">
        <v>#N/A</v>
      </c>
    </row>
    <row r="247" spans="1:113" s="5" customFormat="1">
      <c r="A247"/>
      <c r="B247"/>
      <c r="C247" s="44"/>
      <c r="D247" s="44"/>
      <c r="E247" s="44"/>
      <c r="F247" s="44"/>
      <c r="G247" s="44"/>
      <c r="H247" s="44"/>
      <c r="I247" s="44"/>
      <c r="J247" s="44"/>
      <c r="K247" s="44"/>
      <c r="L247" s="44"/>
      <c r="M247" t="str">
        <f t="shared" si="27"/>
        <v>"//*[@class=\"</v>
      </c>
      <c r="N247" t="s">
        <v>31</v>
      </c>
      <c r="O247" s="4" t="str">
        <f t="shared" si="30"/>
        <v>click</v>
      </c>
      <c r="P247" t="str">
        <f t="shared" si="31"/>
        <v>();</v>
      </c>
      <c r="Q247" t="str">
        <f t="shared" si="32"/>
        <v/>
      </c>
      <c r="R247" t="str">
        <f t="shared" si="28"/>
        <v/>
      </c>
      <c r="S247" s="1" t="str">
        <f t="shared" si="29"/>
        <v/>
      </c>
      <c r="T247"/>
      <c r="U247"/>
      <c r="V247"/>
      <c r="W247"/>
      <c r="X247"/>
      <c r="Y247"/>
      <c r="Z247">
        <v>238</v>
      </c>
      <c r="AA247"/>
      <c r="AB247"/>
      <c r="AC247" s="6"/>
      <c r="AD247" s="6"/>
      <c r="AE247" s="6"/>
      <c r="AF247" s="6"/>
      <c r="AG247" s="4"/>
      <c r="AH247" s="4"/>
      <c r="AI247" s="4"/>
      <c r="AJ247" s="4"/>
      <c r="AK247" s="4"/>
      <c r="AL247" s="4"/>
      <c r="AM247" s="4"/>
      <c r="AN247" s="4"/>
      <c r="AO247" s="4"/>
      <c r="AP247" s="4"/>
      <c r="AQ247" s="4"/>
      <c r="AR247" s="4"/>
      <c r="AS247" s="4"/>
      <c r="AT247" s="4"/>
      <c r="AU247" s="4"/>
      <c r="AV247" s="4"/>
      <c r="AW247" s="4"/>
      <c r="AX247" s="4"/>
      <c r="AY247" s="4"/>
      <c r="AZ247" s="4"/>
      <c r="BA247" s="4"/>
      <c r="BB247" s="3"/>
      <c r="BC247" s="3"/>
      <c r="CT247" s="5" t="e">
        <v>#N/A</v>
      </c>
      <c r="CU247" s="5" t="e">
        <v>#N/A</v>
      </c>
      <c r="CV247" s="5" t="e">
        <v>#N/A</v>
      </c>
      <c r="CW247" s="5" t="e">
        <v>#N/A</v>
      </c>
      <c r="CX247" s="5" t="e">
        <v>#N/A</v>
      </c>
      <c r="CY247" s="5" t="e">
        <v>#N/A</v>
      </c>
      <c r="CZ247" s="5" t="e">
        <v>#N/A</v>
      </c>
      <c r="DA247" s="5" t="e">
        <v>#N/A</v>
      </c>
      <c r="DB247" s="5" t="e">
        <v>#N/A</v>
      </c>
      <c r="DC247" s="5" t="e">
        <v>#N/A</v>
      </c>
      <c r="DD247" s="5" t="e">
        <v>#N/A</v>
      </c>
      <c r="DE247" s="5" t="e">
        <v>#N/A</v>
      </c>
      <c r="DF247" s="5" t="e">
        <v>#N/A</v>
      </c>
      <c r="DG247" s="5" t="e">
        <v>#N/A</v>
      </c>
      <c r="DH247" s="5" t="e">
        <v>#N/A</v>
      </c>
      <c r="DI247" s="5" t="e">
        <v>#N/A</v>
      </c>
    </row>
    <row r="248" spans="1:113" s="5" customFormat="1">
      <c r="A248"/>
      <c r="B248"/>
      <c r="C248" s="44"/>
      <c r="D248" s="44"/>
      <c r="E248" s="44"/>
      <c r="F248" s="44"/>
      <c r="G248" s="44"/>
      <c r="H248" s="44"/>
      <c r="I248" s="44"/>
      <c r="J248" s="44"/>
      <c r="K248" s="44"/>
      <c r="L248" s="44"/>
      <c r="M248" t="str">
        <f t="shared" si="27"/>
        <v>"//*[@class=\"</v>
      </c>
      <c r="N248" t="s">
        <v>31</v>
      </c>
      <c r="O248" s="4" t="str">
        <f t="shared" si="30"/>
        <v>click</v>
      </c>
      <c r="P248" t="str">
        <f t="shared" si="31"/>
        <v>();</v>
      </c>
      <c r="Q248" t="str">
        <f t="shared" si="32"/>
        <v/>
      </c>
      <c r="R248" t="str">
        <f t="shared" si="28"/>
        <v/>
      </c>
      <c r="S248" s="1" t="str">
        <f t="shared" si="29"/>
        <v/>
      </c>
      <c r="T248"/>
      <c r="U248"/>
      <c r="V248"/>
      <c r="W248"/>
      <c r="X248"/>
      <c r="Y248"/>
      <c r="Z248">
        <v>239</v>
      </c>
      <c r="AA248"/>
      <c r="AB248"/>
      <c r="AC248" s="6"/>
      <c r="AD248" s="6"/>
      <c r="AE248" s="6"/>
      <c r="AF248" s="6"/>
      <c r="AG248" s="4"/>
      <c r="AH248" s="4"/>
      <c r="AI248" s="4"/>
      <c r="AJ248" s="4"/>
      <c r="AK248" s="4"/>
      <c r="AL248" s="4"/>
      <c r="AM248" s="4"/>
      <c r="AN248" s="4"/>
      <c r="AO248" s="4"/>
      <c r="AP248" s="4"/>
      <c r="AQ248" s="4"/>
      <c r="AR248" s="4"/>
      <c r="AS248" s="4"/>
      <c r="AT248" s="4"/>
      <c r="AU248" s="4"/>
      <c r="AV248" s="4"/>
      <c r="AW248" s="4"/>
      <c r="AX248" s="4"/>
      <c r="AY248" s="4"/>
      <c r="AZ248" s="4"/>
      <c r="BA248" s="4"/>
      <c r="BB248" s="3"/>
      <c r="BC248" s="3"/>
      <c r="CT248" s="5" t="e">
        <v>#N/A</v>
      </c>
      <c r="CU248" s="5" t="e">
        <v>#N/A</v>
      </c>
      <c r="CV248" s="5" t="e">
        <v>#N/A</v>
      </c>
      <c r="CW248" s="5" t="e">
        <v>#N/A</v>
      </c>
      <c r="CX248" s="5" t="e">
        <v>#N/A</v>
      </c>
      <c r="CY248" s="5" t="e">
        <v>#N/A</v>
      </c>
      <c r="CZ248" s="5" t="e">
        <v>#N/A</v>
      </c>
      <c r="DA248" s="5" t="e">
        <v>#N/A</v>
      </c>
      <c r="DB248" s="5" t="e">
        <v>#N/A</v>
      </c>
      <c r="DC248" s="5" t="e">
        <v>#N/A</v>
      </c>
      <c r="DD248" s="5" t="e">
        <v>#N/A</v>
      </c>
      <c r="DE248" s="5" t="e">
        <v>#N/A</v>
      </c>
      <c r="DF248" s="5" t="e">
        <v>#N/A</v>
      </c>
      <c r="DG248" s="5" t="e">
        <v>#N/A</v>
      </c>
      <c r="DH248" s="5" t="e">
        <v>#N/A</v>
      </c>
      <c r="DI248" s="5" t="e">
        <v>#N/A</v>
      </c>
    </row>
    <row r="249" spans="1:113" s="5" customFormat="1">
      <c r="A249"/>
      <c r="B249"/>
      <c r="C249" s="44"/>
      <c r="D249" s="44"/>
      <c r="E249" s="44"/>
      <c r="F249" s="44"/>
      <c r="G249" s="44"/>
      <c r="H249" s="44"/>
      <c r="I249" s="44"/>
      <c r="J249" s="44"/>
      <c r="K249" s="44"/>
      <c r="L249" s="44"/>
      <c r="M249" t="str">
        <f t="shared" si="27"/>
        <v>"//*[@class=\"</v>
      </c>
      <c r="N249" t="s">
        <v>31</v>
      </c>
      <c r="O249" s="4" t="str">
        <f t="shared" si="30"/>
        <v>click</v>
      </c>
      <c r="P249" t="str">
        <f t="shared" si="31"/>
        <v>();</v>
      </c>
      <c r="Q249" t="str">
        <f t="shared" si="32"/>
        <v/>
      </c>
      <c r="R249" t="str">
        <f t="shared" si="28"/>
        <v/>
      </c>
      <c r="S249" s="1" t="str">
        <f t="shared" si="29"/>
        <v/>
      </c>
      <c r="T249"/>
      <c r="U249"/>
      <c r="V249"/>
      <c r="W249"/>
      <c r="X249"/>
      <c r="Y249"/>
      <c r="Z249">
        <v>240</v>
      </c>
      <c r="AA249"/>
      <c r="AB249"/>
      <c r="AC249" s="6"/>
      <c r="AD249" s="6"/>
      <c r="AE249" s="6"/>
      <c r="AF249" s="6"/>
      <c r="AG249" s="4"/>
      <c r="AH249" s="4"/>
      <c r="AI249" s="4"/>
      <c r="AJ249" s="4"/>
      <c r="AK249" s="4"/>
      <c r="AL249" s="4"/>
      <c r="AM249" s="4"/>
      <c r="AN249" s="4"/>
      <c r="AO249" s="4"/>
      <c r="AP249" s="4"/>
      <c r="AQ249" s="4"/>
      <c r="AR249" s="4"/>
      <c r="AS249" s="4"/>
      <c r="AT249" s="4"/>
      <c r="AU249" s="4"/>
      <c r="AV249" s="4"/>
      <c r="AW249" s="4"/>
      <c r="AX249" s="4"/>
      <c r="AY249" s="4"/>
      <c r="AZ249" s="4"/>
      <c r="BA249" s="4"/>
      <c r="BB249" s="3"/>
      <c r="BC249" s="3"/>
      <c r="CT249" s="5" t="e">
        <v>#N/A</v>
      </c>
      <c r="CU249" s="5" t="e">
        <v>#N/A</v>
      </c>
      <c r="CV249" s="5" t="e">
        <v>#N/A</v>
      </c>
      <c r="CW249" s="5" t="e">
        <v>#N/A</v>
      </c>
      <c r="CX249" s="5" t="e">
        <v>#N/A</v>
      </c>
      <c r="CY249" s="5" t="e">
        <v>#N/A</v>
      </c>
      <c r="CZ249" s="5" t="e">
        <v>#N/A</v>
      </c>
      <c r="DA249" s="5" t="e">
        <v>#N/A</v>
      </c>
      <c r="DB249" s="5" t="e">
        <v>#N/A</v>
      </c>
      <c r="DC249" s="5" t="e">
        <v>#N/A</v>
      </c>
      <c r="DD249" s="5" t="e">
        <v>#N/A</v>
      </c>
      <c r="DE249" s="5" t="e">
        <v>#N/A</v>
      </c>
      <c r="DF249" s="5" t="e">
        <v>#N/A</v>
      </c>
      <c r="DG249" s="5" t="e">
        <v>#N/A</v>
      </c>
      <c r="DH249" s="5" t="e">
        <v>#N/A</v>
      </c>
      <c r="DI249" s="5" t="e">
        <v>#N/A</v>
      </c>
    </row>
    <row r="250" spans="1:113" s="5" customFormat="1">
      <c r="A250"/>
      <c r="B250"/>
      <c r="C250" s="44"/>
      <c r="D250" s="44"/>
      <c r="E250" s="44"/>
      <c r="F250" s="44"/>
      <c r="G250" s="44"/>
      <c r="H250" s="44"/>
      <c r="I250" s="44"/>
      <c r="J250" s="44"/>
      <c r="K250" s="44"/>
      <c r="L250" s="44"/>
      <c r="M250" t="str">
        <f t="shared" si="27"/>
        <v>"//*[@class=\"</v>
      </c>
      <c r="N250" t="s">
        <v>31</v>
      </c>
      <c r="O250" s="4" t="str">
        <f t="shared" si="30"/>
        <v>click</v>
      </c>
      <c r="P250" t="str">
        <f t="shared" si="31"/>
        <v>();</v>
      </c>
      <c r="Q250" t="str">
        <f t="shared" si="32"/>
        <v/>
      </c>
      <c r="R250" t="str">
        <f t="shared" si="28"/>
        <v/>
      </c>
      <c r="S250" s="1" t="str">
        <f t="shared" si="29"/>
        <v/>
      </c>
      <c r="T250"/>
      <c r="U250"/>
      <c r="V250"/>
      <c r="W250"/>
      <c r="X250"/>
      <c r="Y250"/>
      <c r="Z250">
        <v>241</v>
      </c>
      <c r="AA250"/>
      <c r="AB250"/>
      <c r="AC250" s="6"/>
      <c r="AD250" s="6"/>
      <c r="AE250" s="6"/>
      <c r="AF250" s="6"/>
      <c r="AG250" s="4"/>
      <c r="AH250" s="4"/>
      <c r="AI250" s="4"/>
      <c r="AJ250" s="4"/>
      <c r="AK250" s="4"/>
      <c r="AL250" s="4"/>
      <c r="AM250" s="4"/>
      <c r="AN250" s="4"/>
      <c r="AO250" s="4"/>
      <c r="AP250" s="4"/>
      <c r="AQ250" s="4"/>
      <c r="AR250" s="4"/>
      <c r="AS250" s="4"/>
      <c r="AT250" s="4"/>
      <c r="AU250" s="4"/>
      <c r="AV250" s="4"/>
      <c r="AW250" s="4"/>
      <c r="AX250" s="4"/>
      <c r="AY250" s="4"/>
      <c r="AZ250" s="4"/>
      <c r="BA250" s="4"/>
      <c r="BB250" s="3"/>
      <c r="BC250" s="3"/>
      <c r="CT250" s="5" t="e">
        <v>#N/A</v>
      </c>
      <c r="CU250" s="5" t="e">
        <v>#N/A</v>
      </c>
      <c r="CV250" s="5" t="e">
        <v>#N/A</v>
      </c>
      <c r="CW250" s="5" t="e">
        <v>#N/A</v>
      </c>
      <c r="CX250" s="5" t="e">
        <v>#N/A</v>
      </c>
      <c r="CY250" s="5" t="e">
        <v>#N/A</v>
      </c>
      <c r="CZ250" s="5" t="e">
        <v>#N/A</v>
      </c>
      <c r="DA250" s="5" t="e">
        <v>#N/A</v>
      </c>
      <c r="DB250" s="5" t="e">
        <v>#N/A</v>
      </c>
      <c r="DC250" s="5" t="e">
        <v>#N/A</v>
      </c>
      <c r="DD250" s="5" t="e">
        <v>#N/A</v>
      </c>
      <c r="DE250" s="5" t="e">
        <v>#N/A</v>
      </c>
      <c r="DF250" s="5" t="e">
        <v>#N/A</v>
      </c>
      <c r="DG250" s="5" t="e">
        <v>#N/A</v>
      </c>
      <c r="DH250" s="5" t="e">
        <v>#N/A</v>
      </c>
      <c r="DI250" s="5" t="e">
        <v>#N/A</v>
      </c>
    </row>
    <row r="251" spans="1:113" s="5" customFormat="1">
      <c r="A251"/>
      <c r="B251"/>
      <c r="C251" s="44"/>
      <c r="D251" s="44"/>
      <c r="E251" s="44"/>
      <c r="F251" s="44"/>
      <c r="G251" s="44"/>
      <c r="H251" s="44"/>
      <c r="I251" s="44"/>
      <c r="J251" s="44"/>
      <c r="K251" s="44"/>
      <c r="L251" s="44"/>
      <c r="M251" t="str">
        <f t="shared" si="27"/>
        <v>"//*[@class=\"</v>
      </c>
      <c r="N251" t="s">
        <v>31</v>
      </c>
      <c r="O251" s="4" t="str">
        <f t="shared" si="30"/>
        <v>click</v>
      </c>
      <c r="P251" t="str">
        <f t="shared" si="31"/>
        <v>();</v>
      </c>
      <c r="Q251" t="str">
        <f t="shared" si="32"/>
        <v/>
      </c>
      <c r="R251" t="str">
        <f t="shared" si="28"/>
        <v/>
      </c>
      <c r="S251" s="1" t="str">
        <f t="shared" si="29"/>
        <v/>
      </c>
      <c r="T251"/>
      <c r="U251"/>
      <c r="V251"/>
      <c r="W251"/>
      <c r="X251"/>
      <c r="Y251"/>
      <c r="Z251">
        <v>242</v>
      </c>
      <c r="AA251"/>
      <c r="AB251"/>
      <c r="AC251" s="6"/>
      <c r="AD251" s="6"/>
      <c r="AE251" s="6"/>
      <c r="AF251" s="6"/>
      <c r="AG251" s="4"/>
      <c r="AH251" s="4"/>
      <c r="AI251" s="4"/>
      <c r="AJ251" s="4"/>
      <c r="AK251" s="4"/>
      <c r="AL251" s="4"/>
      <c r="AM251" s="4"/>
      <c r="AN251" s="4"/>
      <c r="AO251" s="4"/>
      <c r="AP251" s="4"/>
      <c r="AQ251" s="4"/>
      <c r="AR251" s="4"/>
      <c r="AS251" s="4"/>
      <c r="AT251" s="4"/>
      <c r="AU251" s="4"/>
      <c r="AV251" s="4"/>
      <c r="AW251" s="4"/>
      <c r="AX251" s="4"/>
      <c r="AY251" s="4"/>
      <c r="AZ251" s="4"/>
      <c r="BA251" s="4"/>
      <c r="BB251" s="3"/>
      <c r="BC251" s="3"/>
      <c r="CT251" s="5" t="e">
        <v>#N/A</v>
      </c>
      <c r="CU251" s="5" t="e">
        <v>#N/A</v>
      </c>
      <c r="CV251" s="5" t="e">
        <v>#N/A</v>
      </c>
      <c r="CW251" s="5" t="e">
        <v>#N/A</v>
      </c>
      <c r="CX251" s="5" t="e">
        <v>#N/A</v>
      </c>
      <c r="CY251" s="5" t="e">
        <v>#N/A</v>
      </c>
      <c r="CZ251" s="5" t="e">
        <v>#N/A</v>
      </c>
      <c r="DA251" s="5" t="e">
        <v>#N/A</v>
      </c>
      <c r="DB251" s="5" t="e">
        <v>#N/A</v>
      </c>
      <c r="DC251" s="5" t="e">
        <v>#N/A</v>
      </c>
      <c r="DD251" s="5" t="e">
        <v>#N/A</v>
      </c>
      <c r="DE251" s="5" t="e">
        <v>#N/A</v>
      </c>
      <c r="DF251" s="5" t="e">
        <v>#N/A</v>
      </c>
      <c r="DG251" s="5" t="e">
        <v>#N/A</v>
      </c>
      <c r="DH251" s="5" t="e">
        <v>#N/A</v>
      </c>
      <c r="DI251" s="5" t="e">
        <v>#N/A</v>
      </c>
    </row>
    <row r="252" spans="1:113" s="5" customFormat="1">
      <c r="A252"/>
      <c r="B252"/>
      <c r="C252" s="44"/>
      <c r="D252" s="44"/>
      <c r="E252" s="44"/>
      <c r="F252" s="44"/>
      <c r="G252" s="44"/>
      <c r="H252" s="44"/>
      <c r="I252" s="44"/>
      <c r="J252" s="44"/>
      <c r="K252" s="44"/>
      <c r="L252" s="44"/>
      <c r="M252" t="str">
        <f t="shared" si="27"/>
        <v>"//*[@class=\"</v>
      </c>
      <c r="N252" t="s">
        <v>31</v>
      </c>
      <c r="O252" s="4" t="str">
        <f t="shared" si="30"/>
        <v>click</v>
      </c>
      <c r="P252" t="str">
        <f t="shared" si="31"/>
        <v>();</v>
      </c>
      <c r="Q252" t="str">
        <f t="shared" si="32"/>
        <v/>
      </c>
      <c r="R252" t="str">
        <f t="shared" si="28"/>
        <v/>
      </c>
      <c r="S252" s="1" t="str">
        <f t="shared" si="29"/>
        <v/>
      </c>
      <c r="T252"/>
      <c r="U252"/>
      <c r="V252"/>
      <c r="W252"/>
      <c r="X252"/>
      <c r="Y252"/>
      <c r="Z252">
        <v>243</v>
      </c>
      <c r="AA252"/>
      <c r="AB252"/>
      <c r="AC252" s="6"/>
      <c r="AD252" s="6"/>
      <c r="AE252" s="6"/>
      <c r="AF252" s="6"/>
      <c r="AG252" s="4"/>
      <c r="AH252" s="4"/>
      <c r="AI252" s="4"/>
      <c r="AJ252" s="4"/>
      <c r="AK252" s="4"/>
      <c r="AL252" s="4"/>
      <c r="AM252" s="4"/>
      <c r="AN252" s="4"/>
      <c r="AO252" s="4"/>
      <c r="AP252" s="4"/>
      <c r="AQ252" s="4"/>
      <c r="AR252" s="4"/>
      <c r="AS252" s="4"/>
      <c r="AT252" s="4"/>
      <c r="AU252" s="4"/>
      <c r="AV252" s="4"/>
      <c r="AW252" s="4"/>
      <c r="AX252" s="4"/>
      <c r="AY252" s="4"/>
      <c r="AZ252" s="4"/>
      <c r="BA252" s="4"/>
      <c r="BB252" s="3"/>
      <c r="BC252" s="3"/>
      <c r="CT252" s="5" t="e">
        <v>#N/A</v>
      </c>
      <c r="CU252" s="5" t="e">
        <v>#N/A</v>
      </c>
      <c r="CV252" s="5" t="e">
        <v>#N/A</v>
      </c>
      <c r="CW252" s="5" t="e">
        <v>#N/A</v>
      </c>
      <c r="CX252" s="5" t="e">
        <v>#N/A</v>
      </c>
      <c r="CY252" s="5" t="e">
        <v>#N/A</v>
      </c>
      <c r="CZ252" s="5" t="e">
        <v>#N/A</v>
      </c>
      <c r="DA252" s="5" t="e">
        <v>#N/A</v>
      </c>
      <c r="DB252" s="5" t="e">
        <v>#N/A</v>
      </c>
      <c r="DC252" s="5" t="e">
        <v>#N/A</v>
      </c>
      <c r="DD252" s="5" t="e">
        <v>#N/A</v>
      </c>
      <c r="DE252" s="5" t="e">
        <v>#N/A</v>
      </c>
      <c r="DF252" s="5" t="e">
        <v>#N/A</v>
      </c>
      <c r="DG252" s="5" t="e">
        <v>#N/A</v>
      </c>
      <c r="DH252" s="5" t="e">
        <v>#N/A</v>
      </c>
      <c r="DI252" s="5" t="e">
        <v>#N/A</v>
      </c>
    </row>
    <row r="253" spans="1:113" s="5" customFormat="1">
      <c r="A253"/>
      <c r="B253"/>
      <c r="C253" s="44"/>
      <c r="D253" s="44"/>
      <c r="E253" s="44"/>
      <c r="F253" s="44"/>
      <c r="G253" s="44"/>
      <c r="H253" s="44"/>
      <c r="I253" s="44"/>
      <c r="J253" s="44"/>
      <c r="K253" s="44"/>
      <c r="L253" s="44"/>
      <c r="M253" t="str">
        <f t="shared" si="27"/>
        <v>"//*[@class=\"</v>
      </c>
      <c r="N253" t="s">
        <v>31</v>
      </c>
      <c r="O253" s="4" t="str">
        <f t="shared" si="30"/>
        <v>click</v>
      </c>
      <c r="P253" t="str">
        <f t="shared" si="31"/>
        <v>();</v>
      </c>
      <c r="Q253" t="str">
        <f t="shared" si="32"/>
        <v/>
      </c>
      <c r="R253" t="str">
        <f t="shared" si="28"/>
        <v/>
      </c>
      <c r="S253" s="1" t="str">
        <f t="shared" si="29"/>
        <v/>
      </c>
      <c r="T253"/>
      <c r="U253"/>
      <c r="V253"/>
      <c r="W253"/>
      <c r="X253"/>
      <c r="Y253"/>
      <c r="Z253">
        <v>244</v>
      </c>
      <c r="AA253"/>
      <c r="AB253"/>
      <c r="AC253" s="6"/>
      <c r="AD253" s="6"/>
      <c r="AE253" s="6"/>
      <c r="AF253" s="6"/>
      <c r="AG253" s="4"/>
      <c r="AH253" s="4"/>
      <c r="AI253" s="4"/>
      <c r="AJ253" s="4"/>
      <c r="AK253" s="4"/>
      <c r="AL253" s="4"/>
      <c r="AM253" s="4"/>
      <c r="AN253" s="4"/>
      <c r="AO253" s="4"/>
      <c r="AP253" s="4"/>
      <c r="AQ253" s="4"/>
      <c r="AR253" s="4"/>
      <c r="AS253" s="4"/>
      <c r="AT253" s="4"/>
      <c r="AU253" s="4"/>
      <c r="AV253" s="4"/>
      <c r="AW253" s="4"/>
      <c r="AX253" s="4"/>
      <c r="AY253" s="4"/>
      <c r="AZ253" s="4"/>
      <c r="BA253" s="4"/>
      <c r="BB253" s="3"/>
      <c r="BC253" s="3"/>
      <c r="CT253" s="5" t="e">
        <v>#N/A</v>
      </c>
      <c r="CU253" s="5" t="e">
        <v>#N/A</v>
      </c>
      <c r="CV253" s="5" t="e">
        <v>#N/A</v>
      </c>
      <c r="CW253" s="5" t="e">
        <v>#N/A</v>
      </c>
      <c r="CX253" s="5" t="e">
        <v>#N/A</v>
      </c>
      <c r="CY253" s="5" t="e">
        <v>#N/A</v>
      </c>
      <c r="CZ253" s="5" t="e">
        <v>#N/A</v>
      </c>
      <c r="DA253" s="5" t="e">
        <v>#N/A</v>
      </c>
      <c r="DB253" s="5" t="e">
        <v>#N/A</v>
      </c>
      <c r="DC253" s="5" t="e">
        <v>#N/A</v>
      </c>
      <c r="DD253" s="5" t="e">
        <v>#N/A</v>
      </c>
      <c r="DE253" s="5" t="e">
        <v>#N/A</v>
      </c>
      <c r="DF253" s="5" t="e">
        <v>#N/A</v>
      </c>
      <c r="DG253" s="5" t="e">
        <v>#N/A</v>
      </c>
      <c r="DH253" s="5" t="e">
        <v>#N/A</v>
      </c>
      <c r="DI253" s="5" t="e">
        <v>#N/A</v>
      </c>
    </row>
    <row r="254" spans="1:113" s="5" customFormat="1">
      <c r="A254"/>
      <c r="B254"/>
      <c r="C254" s="44"/>
      <c r="D254" s="44"/>
      <c r="E254" s="44"/>
      <c r="F254" s="44"/>
      <c r="G254" s="44"/>
      <c r="H254" s="44"/>
      <c r="I254" s="44"/>
      <c r="J254" s="44"/>
      <c r="K254" s="44"/>
      <c r="L254" s="44"/>
      <c r="M254" t="str">
        <f t="shared" si="27"/>
        <v>"//*[@class=\"</v>
      </c>
      <c r="N254" t="s">
        <v>31</v>
      </c>
      <c r="O254" s="4" t="str">
        <f t="shared" si="30"/>
        <v>click</v>
      </c>
      <c r="P254" t="str">
        <f t="shared" si="31"/>
        <v>();</v>
      </c>
      <c r="Q254" t="str">
        <f t="shared" si="32"/>
        <v/>
      </c>
      <c r="R254" t="str">
        <f t="shared" si="28"/>
        <v/>
      </c>
      <c r="S254" s="1" t="str">
        <f t="shared" si="29"/>
        <v/>
      </c>
      <c r="T254"/>
      <c r="U254"/>
      <c r="V254"/>
      <c r="W254"/>
      <c r="X254"/>
      <c r="Y254"/>
      <c r="Z254">
        <v>245</v>
      </c>
      <c r="AA254"/>
      <c r="AB254"/>
      <c r="AC254" s="6"/>
      <c r="AD254" s="6"/>
      <c r="AE254" s="6"/>
      <c r="AF254" s="6"/>
      <c r="AG254" s="4"/>
      <c r="AH254" s="4"/>
      <c r="AI254" s="4"/>
      <c r="AJ254" s="4"/>
      <c r="AK254" s="4"/>
      <c r="AL254" s="4"/>
      <c r="AM254" s="4"/>
      <c r="AN254" s="4"/>
      <c r="AO254" s="4"/>
      <c r="AP254" s="4"/>
      <c r="AQ254" s="4"/>
      <c r="AR254" s="4"/>
      <c r="AS254" s="4"/>
      <c r="AT254" s="4"/>
      <c r="AU254" s="4"/>
      <c r="AV254" s="4"/>
      <c r="AW254" s="4"/>
      <c r="AX254" s="4"/>
      <c r="AY254" s="4"/>
      <c r="AZ254" s="4"/>
      <c r="BA254" s="4"/>
      <c r="BB254" s="3"/>
      <c r="BC254" s="3"/>
      <c r="CT254" s="5" t="e">
        <v>#N/A</v>
      </c>
      <c r="CU254" s="5" t="e">
        <v>#N/A</v>
      </c>
      <c r="CV254" s="5" t="e">
        <v>#N/A</v>
      </c>
      <c r="CW254" s="5" t="e">
        <v>#N/A</v>
      </c>
      <c r="CX254" s="5" t="e">
        <v>#N/A</v>
      </c>
      <c r="CY254" s="5" t="e">
        <v>#N/A</v>
      </c>
      <c r="CZ254" s="5" t="e">
        <v>#N/A</v>
      </c>
      <c r="DA254" s="5" t="e">
        <v>#N/A</v>
      </c>
      <c r="DB254" s="5" t="e">
        <v>#N/A</v>
      </c>
      <c r="DC254" s="5" t="e">
        <v>#N/A</v>
      </c>
      <c r="DD254" s="5" t="e">
        <v>#N/A</v>
      </c>
      <c r="DE254" s="5" t="e">
        <v>#N/A</v>
      </c>
      <c r="DF254" s="5" t="e">
        <v>#N/A</v>
      </c>
      <c r="DG254" s="5" t="e">
        <v>#N/A</v>
      </c>
      <c r="DH254" s="5" t="e">
        <v>#N/A</v>
      </c>
      <c r="DI254" s="5" t="e">
        <v>#N/A</v>
      </c>
    </row>
    <row r="255" spans="1:113" s="5" customFormat="1">
      <c r="A255"/>
      <c r="B255"/>
      <c r="C255" s="44"/>
      <c r="D255" s="44"/>
      <c r="E255" s="44"/>
      <c r="F255" s="44"/>
      <c r="G255" s="44"/>
      <c r="H255" s="44"/>
      <c r="I255" s="44"/>
      <c r="J255" s="44"/>
      <c r="K255" s="44"/>
      <c r="L255" s="44"/>
      <c r="M255" t="str">
        <f t="shared" si="27"/>
        <v>"//*[@class=\"</v>
      </c>
      <c r="N255" t="s">
        <v>31</v>
      </c>
      <c r="O255" s="4" t="str">
        <f t="shared" si="30"/>
        <v>click</v>
      </c>
      <c r="P255" t="str">
        <f t="shared" si="31"/>
        <v>();</v>
      </c>
      <c r="Q255" t="str">
        <f t="shared" si="32"/>
        <v/>
      </c>
      <c r="R255" t="str">
        <f t="shared" si="28"/>
        <v/>
      </c>
      <c r="S255" s="1" t="str">
        <f t="shared" si="29"/>
        <v/>
      </c>
      <c r="T255"/>
      <c r="U255"/>
      <c r="V255"/>
      <c r="W255"/>
      <c r="X255"/>
      <c r="Y255"/>
      <c r="Z255">
        <v>246</v>
      </c>
      <c r="AA255"/>
      <c r="AB255"/>
      <c r="AC255" s="6"/>
      <c r="AD255" s="6"/>
      <c r="AE255" s="6"/>
      <c r="AF255" s="6"/>
      <c r="AG255" s="4"/>
      <c r="AH255" s="4"/>
      <c r="AI255" s="4"/>
      <c r="AJ255" s="4"/>
      <c r="AK255" s="4"/>
      <c r="AL255" s="4"/>
      <c r="AM255" s="4"/>
      <c r="AN255" s="4"/>
      <c r="AO255" s="4"/>
      <c r="AP255" s="4"/>
      <c r="AQ255" s="4"/>
      <c r="AR255" s="4"/>
      <c r="AS255" s="4"/>
      <c r="AT255" s="4"/>
      <c r="AU255" s="4"/>
      <c r="AV255" s="4"/>
      <c r="AW255" s="4"/>
      <c r="AX255" s="4"/>
      <c r="AY255" s="4"/>
      <c r="AZ255" s="4"/>
      <c r="BA255" s="4"/>
      <c r="BB255" s="3"/>
      <c r="BC255" s="3"/>
      <c r="CT255" s="5" t="e">
        <v>#N/A</v>
      </c>
      <c r="CU255" s="5" t="e">
        <v>#N/A</v>
      </c>
      <c r="CV255" s="5" t="e">
        <v>#N/A</v>
      </c>
      <c r="CW255" s="5" t="e">
        <v>#N/A</v>
      </c>
      <c r="CX255" s="5" t="e">
        <v>#N/A</v>
      </c>
      <c r="CY255" s="5" t="e">
        <v>#N/A</v>
      </c>
      <c r="CZ255" s="5" t="e">
        <v>#N/A</v>
      </c>
      <c r="DA255" s="5" t="e">
        <v>#N/A</v>
      </c>
      <c r="DB255" s="5" t="e">
        <v>#N/A</v>
      </c>
      <c r="DC255" s="5" t="e">
        <v>#N/A</v>
      </c>
      <c r="DD255" s="5" t="e">
        <v>#N/A</v>
      </c>
      <c r="DE255" s="5" t="e">
        <v>#N/A</v>
      </c>
      <c r="DF255" s="5" t="e">
        <v>#N/A</v>
      </c>
      <c r="DG255" s="5" t="e">
        <v>#N/A</v>
      </c>
      <c r="DH255" s="5" t="e">
        <v>#N/A</v>
      </c>
      <c r="DI255" s="5" t="e">
        <v>#N/A</v>
      </c>
    </row>
    <row r="256" spans="1:113" s="5" customFormat="1">
      <c r="A256"/>
      <c r="B256"/>
      <c r="C256" s="44"/>
      <c r="D256" s="44"/>
      <c r="E256" s="44"/>
      <c r="F256" s="44"/>
      <c r="G256" s="44"/>
      <c r="H256" s="44"/>
      <c r="I256" s="44"/>
      <c r="J256" s="44"/>
      <c r="K256" s="44"/>
      <c r="L256" s="44"/>
      <c r="M256" t="str">
        <f t="shared" si="27"/>
        <v>"//*[@class=\"</v>
      </c>
      <c r="N256" t="s">
        <v>31</v>
      </c>
      <c r="O256" s="4" t="str">
        <f t="shared" si="30"/>
        <v>click</v>
      </c>
      <c r="P256" t="str">
        <f t="shared" si="31"/>
        <v>();</v>
      </c>
      <c r="Q256" t="str">
        <f t="shared" si="32"/>
        <v/>
      </c>
      <c r="R256" t="str">
        <f t="shared" si="28"/>
        <v/>
      </c>
      <c r="S256" s="1" t="str">
        <f t="shared" si="29"/>
        <v/>
      </c>
      <c r="T256"/>
      <c r="U256"/>
      <c r="V256"/>
      <c r="W256"/>
      <c r="X256"/>
      <c r="Y256"/>
      <c r="Z256">
        <v>247</v>
      </c>
      <c r="AA256"/>
      <c r="AB256"/>
      <c r="AC256" s="6"/>
      <c r="AD256" s="6"/>
      <c r="AE256" s="6"/>
      <c r="AF256" s="6"/>
      <c r="AG256" s="4"/>
      <c r="AH256" s="4"/>
      <c r="AI256" s="4"/>
      <c r="AJ256" s="4"/>
      <c r="AK256" s="4"/>
      <c r="AL256" s="4"/>
      <c r="AM256" s="4"/>
      <c r="AN256" s="4"/>
      <c r="AO256" s="4"/>
      <c r="AP256" s="4"/>
      <c r="AQ256" s="4"/>
      <c r="AR256" s="4"/>
      <c r="AS256" s="4"/>
      <c r="AT256" s="4"/>
      <c r="AU256" s="4"/>
      <c r="AV256" s="4"/>
      <c r="AW256" s="4"/>
      <c r="AX256" s="4"/>
      <c r="AY256" s="4"/>
      <c r="AZ256" s="4"/>
      <c r="BA256" s="4"/>
      <c r="BB256" s="3"/>
      <c r="BC256" s="3"/>
      <c r="CT256" s="5" t="e">
        <v>#N/A</v>
      </c>
      <c r="CU256" s="5" t="e">
        <v>#N/A</v>
      </c>
      <c r="CV256" s="5" t="e">
        <v>#N/A</v>
      </c>
      <c r="CW256" s="5" t="e">
        <v>#N/A</v>
      </c>
      <c r="CX256" s="5" t="e">
        <v>#N/A</v>
      </c>
      <c r="CY256" s="5" t="e">
        <v>#N/A</v>
      </c>
      <c r="CZ256" s="5" t="e">
        <v>#N/A</v>
      </c>
      <c r="DA256" s="5" t="e">
        <v>#N/A</v>
      </c>
      <c r="DB256" s="5" t="e">
        <v>#N/A</v>
      </c>
      <c r="DC256" s="5" t="e">
        <v>#N/A</v>
      </c>
      <c r="DD256" s="5" t="e">
        <v>#N/A</v>
      </c>
      <c r="DE256" s="5" t="e">
        <v>#N/A</v>
      </c>
      <c r="DF256" s="5" t="e">
        <v>#N/A</v>
      </c>
      <c r="DG256" s="5" t="e">
        <v>#N/A</v>
      </c>
      <c r="DH256" s="5" t="e">
        <v>#N/A</v>
      </c>
      <c r="DI256" s="5" t="e">
        <v>#N/A</v>
      </c>
    </row>
    <row r="257" spans="1:113" s="5" customFormat="1">
      <c r="A257"/>
      <c r="B257"/>
      <c r="C257" s="44"/>
      <c r="D257" s="44"/>
      <c r="E257" s="44"/>
      <c r="F257" s="44"/>
      <c r="G257" s="44"/>
      <c r="H257" s="44"/>
      <c r="I257" s="44"/>
      <c r="J257" s="44"/>
      <c r="K257" s="44"/>
      <c r="L257" s="44"/>
      <c r="M257" t="str">
        <f t="shared" si="27"/>
        <v>"//*[@class=\"</v>
      </c>
      <c r="N257" t="s">
        <v>31</v>
      </c>
      <c r="O257" s="4" t="str">
        <f t="shared" si="30"/>
        <v>click</v>
      </c>
      <c r="P257" t="str">
        <f t="shared" si="31"/>
        <v>();</v>
      </c>
      <c r="Q257" t="str">
        <f t="shared" si="32"/>
        <v/>
      </c>
      <c r="R257" t="str">
        <f t="shared" si="28"/>
        <v/>
      </c>
      <c r="S257" s="1" t="str">
        <f t="shared" si="29"/>
        <v/>
      </c>
      <c r="T257"/>
      <c r="U257"/>
      <c r="V257"/>
      <c r="W257"/>
      <c r="X257"/>
      <c r="Y257"/>
      <c r="Z257">
        <v>248</v>
      </c>
      <c r="AA257"/>
      <c r="AB257"/>
      <c r="AC257" s="6"/>
      <c r="AD257" s="6"/>
      <c r="AE257" s="6"/>
      <c r="AF257" s="6"/>
      <c r="AG257" s="4"/>
      <c r="AH257" s="4"/>
      <c r="AI257" s="4"/>
      <c r="AJ257" s="4"/>
      <c r="AK257" s="4"/>
      <c r="AL257" s="4"/>
      <c r="AM257" s="4"/>
      <c r="AN257" s="4"/>
      <c r="AO257" s="4"/>
      <c r="AP257" s="4"/>
      <c r="AQ257" s="4"/>
      <c r="AR257" s="4"/>
      <c r="AS257" s="4"/>
      <c r="AT257" s="4"/>
      <c r="AU257" s="4"/>
      <c r="AV257" s="4"/>
      <c r="AW257" s="4"/>
      <c r="AX257" s="4"/>
      <c r="AY257" s="4"/>
      <c r="AZ257" s="4"/>
      <c r="BA257" s="4"/>
      <c r="BB257" s="3"/>
      <c r="BC257" s="3"/>
      <c r="CT257" s="5" t="e">
        <v>#N/A</v>
      </c>
      <c r="CU257" s="5" t="e">
        <v>#N/A</v>
      </c>
      <c r="CV257" s="5" t="e">
        <v>#N/A</v>
      </c>
      <c r="CW257" s="5" t="e">
        <v>#N/A</v>
      </c>
      <c r="CX257" s="5" t="e">
        <v>#N/A</v>
      </c>
      <c r="CY257" s="5" t="e">
        <v>#N/A</v>
      </c>
      <c r="CZ257" s="5" t="e">
        <v>#N/A</v>
      </c>
      <c r="DA257" s="5" t="e">
        <v>#N/A</v>
      </c>
      <c r="DB257" s="5" t="e">
        <v>#N/A</v>
      </c>
      <c r="DC257" s="5" t="e">
        <v>#N/A</v>
      </c>
      <c r="DD257" s="5" t="e">
        <v>#N/A</v>
      </c>
      <c r="DE257" s="5" t="e">
        <v>#N/A</v>
      </c>
      <c r="DF257" s="5" t="e">
        <v>#N/A</v>
      </c>
      <c r="DG257" s="5" t="e">
        <v>#N/A</v>
      </c>
      <c r="DH257" s="5" t="e">
        <v>#N/A</v>
      </c>
      <c r="DI257" s="5" t="e">
        <v>#N/A</v>
      </c>
    </row>
    <row r="258" spans="1:113" s="5" customFormat="1">
      <c r="A258"/>
      <c r="B258"/>
      <c r="C258" s="44"/>
      <c r="D258" s="44"/>
      <c r="E258" s="44"/>
      <c r="F258" s="44"/>
      <c r="G258" s="44"/>
      <c r="H258" s="44"/>
      <c r="I258" s="44"/>
      <c r="J258" s="44"/>
      <c r="K258" s="44"/>
      <c r="L258" s="44"/>
      <c r="M258" t="str">
        <f t="shared" si="27"/>
        <v>"//*[@class=\"</v>
      </c>
      <c r="N258" t="s">
        <v>31</v>
      </c>
      <c r="O258" s="4" t="str">
        <f t="shared" si="30"/>
        <v>click</v>
      </c>
      <c r="P258" t="str">
        <f t="shared" si="31"/>
        <v>();</v>
      </c>
      <c r="Q258" t="str">
        <f t="shared" si="32"/>
        <v/>
      </c>
      <c r="R258" t="str">
        <f t="shared" si="28"/>
        <v/>
      </c>
      <c r="S258" s="1" t="str">
        <f t="shared" si="29"/>
        <v/>
      </c>
      <c r="T258"/>
      <c r="U258"/>
      <c r="V258"/>
      <c r="W258"/>
      <c r="X258"/>
      <c r="Y258"/>
      <c r="Z258">
        <v>249</v>
      </c>
      <c r="AA258"/>
      <c r="AB258"/>
      <c r="AC258" s="6"/>
      <c r="AD258" s="6"/>
      <c r="AE258" s="6"/>
      <c r="AF258" s="6"/>
      <c r="AG258" s="4"/>
      <c r="AH258" s="4"/>
      <c r="AI258" s="4"/>
      <c r="AJ258" s="4"/>
      <c r="AK258" s="4"/>
      <c r="AL258" s="4"/>
      <c r="AM258" s="4"/>
      <c r="AN258" s="4"/>
      <c r="AO258" s="4"/>
      <c r="AP258" s="4"/>
      <c r="AQ258" s="4"/>
      <c r="AR258" s="4"/>
      <c r="AS258" s="4"/>
      <c r="AT258" s="4"/>
      <c r="AU258" s="4"/>
      <c r="AV258" s="4"/>
      <c r="AW258" s="4"/>
      <c r="AX258" s="4"/>
      <c r="AY258" s="4"/>
      <c r="AZ258" s="4"/>
      <c r="BA258" s="4"/>
      <c r="BB258" s="3"/>
      <c r="BC258" s="3"/>
      <c r="CT258" s="5" t="e">
        <v>#N/A</v>
      </c>
      <c r="CU258" s="5" t="e">
        <v>#N/A</v>
      </c>
      <c r="CV258" s="5" t="e">
        <v>#N/A</v>
      </c>
      <c r="CW258" s="5" t="e">
        <v>#N/A</v>
      </c>
      <c r="CX258" s="5" t="e">
        <v>#N/A</v>
      </c>
      <c r="CY258" s="5" t="e">
        <v>#N/A</v>
      </c>
      <c r="CZ258" s="5" t="e">
        <v>#N/A</v>
      </c>
      <c r="DA258" s="5" t="e">
        <v>#N/A</v>
      </c>
      <c r="DB258" s="5" t="e">
        <v>#N/A</v>
      </c>
      <c r="DC258" s="5" t="e">
        <v>#N/A</v>
      </c>
      <c r="DD258" s="5" t="e">
        <v>#N/A</v>
      </c>
      <c r="DE258" s="5" t="e">
        <v>#N/A</v>
      </c>
      <c r="DF258" s="5" t="e">
        <v>#N/A</v>
      </c>
      <c r="DG258" s="5" t="e">
        <v>#N/A</v>
      </c>
      <c r="DH258" s="5" t="e">
        <v>#N/A</v>
      </c>
      <c r="DI258" s="5" t="e">
        <v>#N/A</v>
      </c>
    </row>
    <row r="259" spans="1:113" s="5" customFormat="1">
      <c r="A259"/>
      <c r="B259"/>
      <c r="C259" s="44"/>
      <c r="D259" s="44"/>
      <c r="E259" s="44"/>
      <c r="F259" s="44"/>
      <c r="G259" s="44"/>
      <c r="H259" s="44"/>
      <c r="I259" s="44"/>
      <c r="J259" s="44"/>
      <c r="K259" s="44"/>
      <c r="L259" s="44"/>
      <c r="M259" t="str">
        <f t="shared" si="27"/>
        <v>"//*[@class=\"</v>
      </c>
      <c r="N259" t="s">
        <v>31</v>
      </c>
      <c r="O259" s="4" t="str">
        <f t="shared" si="30"/>
        <v>click</v>
      </c>
      <c r="P259" t="str">
        <f t="shared" si="31"/>
        <v>();</v>
      </c>
      <c r="Q259" t="str">
        <f t="shared" si="32"/>
        <v/>
      </c>
      <c r="R259" t="str">
        <f t="shared" si="28"/>
        <v/>
      </c>
      <c r="S259" s="1" t="str">
        <f t="shared" si="29"/>
        <v/>
      </c>
      <c r="T259"/>
      <c r="U259"/>
      <c r="V259"/>
      <c r="W259"/>
      <c r="X259"/>
      <c r="Y259"/>
      <c r="Z259">
        <v>250</v>
      </c>
      <c r="AA259"/>
      <c r="AB259"/>
      <c r="AC259" s="6"/>
      <c r="AD259" s="6"/>
      <c r="AE259" s="6"/>
      <c r="AF259" s="6"/>
      <c r="AG259" s="4"/>
      <c r="AH259" s="4"/>
      <c r="AI259" s="4"/>
      <c r="AJ259" s="4"/>
      <c r="AK259" s="4"/>
      <c r="AL259" s="4"/>
      <c r="AM259" s="4"/>
      <c r="AN259" s="4"/>
      <c r="AO259" s="4"/>
      <c r="AP259" s="4"/>
      <c r="AQ259" s="4"/>
      <c r="AR259" s="4"/>
      <c r="AS259" s="4"/>
      <c r="AT259" s="4"/>
      <c r="AU259" s="4"/>
      <c r="AV259" s="4"/>
      <c r="AW259" s="4"/>
      <c r="AX259" s="4"/>
      <c r="AY259" s="4"/>
      <c r="AZ259" s="4"/>
      <c r="BA259" s="4"/>
      <c r="BB259" s="3"/>
      <c r="BC259" s="3"/>
      <c r="CT259" s="5" t="e">
        <v>#N/A</v>
      </c>
      <c r="CU259" s="5" t="e">
        <v>#N/A</v>
      </c>
      <c r="CV259" s="5" t="e">
        <v>#N/A</v>
      </c>
      <c r="CW259" s="5" t="e">
        <v>#N/A</v>
      </c>
      <c r="CX259" s="5" t="e">
        <v>#N/A</v>
      </c>
      <c r="CY259" s="5" t="e">
        <v>#N/A</v>
      </c>
      <c r="CZ259" s="5" t="e">
        <v>#N/A</v>
      </c>
      <c r="DA259" s="5" t="e">
        <v>#N/A</v>
      </c>
      <c r="DB259" s="5" t="e">
        <v>#N/A</v>
      </c>
      <c r="DC259" s="5" t="e">
        <v>#N/A</v>
      </c>
      <c r="DD259" s="5" t="e">
        <v>#N/A</v>
      </c>
      <c r="DE259" s="5" t="e">
        <v>#N/A</v>
      </c>
      <c r="DF259" s="5" t="e">
        <v>#N/A</v>
      </c>
      <c r="DG259" s="5" t="e">
        <v>#N/A</v>
      </c>
      <c r="DH259" s="5" t="e">
        <v>#N/A</v>
      </c>
      <c r="DI259" s="5" t="e">
        <v>#N/A</v>
      </c>
    </row>
    <row r="260" spans="1:113" s="5" customFormat="1">
      <c r="A260"/>
      <c r="B260"/>
      <c r="C260" s="44"/>
      <c r="D260" s="44"/>
      <c r="E260" s="44"/>
      <c r="F260" s="44"/>
      <c r="G260" s="44"/>
      <c r="H260" s="44"/>
      <c r="I260" s="44"/>
      <c r="J260" s="44"/>
      <c r="K260" s="44"/>
      <c r="L260" s="44"/>
      <c r="M260" t="str">
        <f t="shared" si="27"/>
        <v>"//*[@class=\"</v>
      </c>
      <c r="N260" t="s">
        <v>31</v>
      </c>
      <c r="O260" s="4" t="str">
        <f t="shared" si="30"/>
        <v>click</v>
      </c>
      <c r="P260" t="str">
        <f t="shared" si="31"/>
        <v>();</v>
      </c>
      <c r="Q260" t="str">
        <f t="shared" si="32"/>
        <v/>
      </c>
      <c r="R260" t="str">
        <f t="shared" si="28"/>
        <v/>
      </c>
      <c r="S260" s="1" t="str">
        <f t="shared" si="29"/>
        <v/>
      </c>
      <c r="T260"/>
      <c r="U260"/>
      <c r="V260"/>
      <c r="W260"/>
      <c r="X260"/>
      <c r="Y260"/>
      <c r="Z260">
        <v>251</v>
      </c>
      <c r="AA260"/>
      <c r="AB260"/>
      <c r="AC260" s="6"/>
      <c r="AD260" s="6"/>
      <c r="AE260" s="6"/>
      <c r="AF260" s="6"/>
      <c r="AG260" s="4"/>
      <c r="AH260" s="4"/>
      <c r="AI260" s="4"/>
      <c r="AJ260" s="4"/>
      <c r="AK260" s="4"/>
      <c r="AL260" s="4"/>
      <c r="AM260" s="4"/>
      <c r="AN260" s="4"/>
      <c r="AO260" s="4"/>
      <c r="AP260" s="4"/>
      <c r="AQ260" s="4"/>
      <c r="AR260" s="4"/>
      <c r="AS260" s="4"/>
      <c r="AT260" s="4"/>
      <c r="AU260" s="4"/>
      <c r="AV260" s="4"/>
      <c r="AW260" s="4"/>
      <c r="AX260" s="4"/>
      <c r="AY260" s="4"/>
      <c r="AZ260" s="4"/>
      <c r="BA260" s="4"/>
      <c r="BB260" s="3"/>
      <c r="BC260" s="3"/>
      <c r="CT260" s="5" t="e">
        <v>#N/A</v>
      </c>
      <c r="CU260" s="5" t="e">
        <v>#N/A</v>
      </c>
      <c r="CV260" s="5" t="e">
        <v>#N/A</v>
      </c>
      <c r="CW260" s="5" t="e">
        <v>#N/A</v>
      </c>
      <c r="CX260" s="5" t="e">
        <v>#N/A</v>
      </c>
      <c r="CY260" s="5" t="e">
        <v>#N/A</v>
      </c>
      <c r="CZ260" s="5" t="e">
        <v>#N/A</v>
      </c>
      <c r="DA260" s="5" t="e">
        <v>#N/A</v>
      </c>
      <c r="DB260" s="5" t="e">
        <v>#N/A</v>
      </c>
      <c r="DC260" s="5" t="e">
        <v>#N/A</v>
      </c>
      <c r="DD260" s="5" t="e">
        <v>#N/A</v>
      </c>
      <c r="DE260" s="5" t="e">
        <v>#N/A</v>
      </c>
      <c r="DF260" s="5" t="e">
        <v>#N/A</v>
      </c>
      <c r="DG260" s="5" t="e">
        <v>#N/A</v>
      </c>
      <c r="DH260" s="5" t="e">
        <v>#N/A</v>
      </c>
      <c r="DI260" s="5" t="e">
        <v>#N/A</v>
      </c>
    </row>
    <row r="261" spans="1:113" s="5" customFormat="1">
      <c r="A261"/>
      <c r="B261"/>
      <c r="C261" s="44"/>
      <c r="D261" s="44"/>
      <c r="E261" s="44"/>
      <c r="F261" s="44"/>
      <c r="G261" s="44"/>
      <c r="H261" s="44"/>
      <c r="I261" s="44"/>
      <c r="J261" s="44"/>
      <c r="K261" s="44"/>
      <c r="L261" s="44"/>
      <c r="M261" t="str">
        <f t="shared" si="27"/>
        <v>"//*[@class=\"</v>
      </c>
      <c r="N261" t="s">
        <v>31</v>
      </c>
      <c r="O261" s="4" t="str">
        <f t="shared" si="30"/>
        <v>click</v>
      </c>
      <c r="P261" t="str">
        <f t="shared" si="31"/>
        <v>();</v>
      </c>
      <c r="Q261" t="str">
        <f t="shared" si="32"/>
        <v/>
      </c>
      <c r="R261" t="str">
        <f t="shared" si="28"/>
        <v/>
      </c>
      <c r="S261" s="1" t="str">
        <f t="shared" si="29"/>
        <v/>
      </c>
      <c r="T261"/>
      <c r="U261"/>
      <c r="V261"/>
      <c r="W261"/>
      <c r="X261"/>
      <c r="Y261"/>
      <c r="Z261">
        <v>252</v>
      </c>
      <c r="AA261"/>
      <c r="AB261"/>
      <c r="AC261" s="6"/>
      <c r="AD261" s="6"/>
      <c r="AE261" s="6"/>
      <c r="AF261" s="6"/>
      <c r="AG261" s="4"/>
      <c r="AH261" s="4"/>
      <c r="AI261" s="4"/>
      <c r="AJ261" s="4"/>
      <c r="AK261" s="4"/>
      <c r="AL261" s="4"/>
      <c r="AM261" s="4"/>
      <c r="AN261" s="4"/>
      <c r="AO261" s="4"/>
      <c r="AP261" s="4"/>
      <c r="AQ261" s="4"/>
      <c r="AR261" s="4"/>
      <c r="AS261" s="4"/>
      <c r="AT261" s="4"/>
      <c r="AU261" s="4"/>
      <c r="AV261" s="4"/>
      <c r="AW261" s="4"/>
      <c r="AX261" s="4"/>
      <c r="AY261" s="4"/>
      <c r="AZ261" s="4"/>
      <c r="BA261" s="4"/>
      <c r="BB261" s="3"/>
      <c r="BC261" s="3"/>
      <c r="CT261" s="5" t="e">
        <v>#N/A</v>
      </c>
      <c r="CU261" s="5" t="e">
        <v>#N/A</v>
      </c>
      <c r="CV261" s="5" t="e">
        <v>#N/A</v>
      </c>
      <c r="CW261" s="5" t="e">
        <v>#N/A</v>
      </c>
      <c r="CX261" s="5" t="e">
        <v>#N/A</v>
      </c>
      <c r="CY261" s="5" t="e">
        <v>#N/A</v>
      </c>
      <c r="CZ261" s="5" t="e">
        <v>#N/A</v>
      </c>
      <c r="DA261" s="5" t="e">
        <v>#N/A</v>
      </c>
      <c r="DB261" s="5" t="e">
        <v>#N/A</v>
      </c>
      <c r="DC261" s="5" t="e">
        <v>#N/A</v>
      </c>
      <c r="DD261" s="5" t="e">
        <v>#N/A</v>
      </c>
      <c r="DE261" s="5" t="e">
        <v>#N/A</v>
      </c>
      <c r="DF261" s="5" t="e">
        <v>#N/A</v>
      </c>
      <c r="DG261" s="5" t="e">
        <v>#N/A</v>
      </c>
      <c r="DH261" s="5" t="e">
        <v>#N/A</v>
      </c>
      <c r="DI261" s="5" t="e">
        <v>#N/A</v>
      </c>
    </row>
    <row r="262" spans="1:113" s="5" customFormat="1">
      <c r="A262"/>
      <c r="B262"/>
      <c r="C262" s="44"/>
      <c r="D262" s="44"/>
      <c r="E262" s="44"/>
      <c r="F262" s="44"/>
      <c r="G262" s="44"/>
      <c r="H262" s="44"/>
      <c r="I262" s="44"/>
      <c r="J262" s="44"/>
      <c r="K262" s="44"/>
      <c r="L262" s="44"/>
      <c r="M262" t="str">
        <f t="shared" si="27"/>
        <v>"//*[@class=\"</v>
      </c>
      <c r="N262" t="s">
        <v>31</v>
      </c>
      <c r="O262" s="4" t="str">
        <f t="shared" si="30"/>
        <v>click</v>
      </c>
      <c r="P262" t="str">
        <f t="shared" si="31"/>
        <v>();</v>
      </c>
      <c r="Q262" t="str">
        <f t="shared" si="32"/>
        <v/>
      </c>
      <c r="R262" t="str">
        <f t="shared" si="28"/>
        <v/>
      </c>
      <c r="S262" s="1" t="str">
        <f t="shared" si="29"/>
        <v/>
      </c>
      <c r="T262"/>
      <c r="U262"/>
      <c r="V262"/>
      <c r="W262"/>
      <c r="X262"/>
      <c r="Y262"/>
      <c r="Z262">
        <v>253</v>
      </c>
      <c r="AA262"/>
      <c r="AB262"/>
      <c r="AC262" s="6"/>
      <c r="AD262" s="6"/>
      <c r="AE262" s="6"/>
      <c r="AF262" s="6"/>
      <c r="AG262" s="4"/>
      <c r="AH262" s="4"/>
      <c r="AI262" s="4"/>
      <c r="AJ262" s="4"/>
      <c r="AK262" s="4"/>
      <c r="AL262" s="4"/>
      <c r="AM262" s="4"/>
      <c r="AN262" s="4"/>
      <c r="AO262" s="4"/>
      <c r="AP262" s="4"/>
      <c r="AQ262" s="4"/>
      <c r="AR262" s="4"/>
      <c r="AS262" s="4"/>
      <c r="AT262" s="4"/>
      <c r="AU262" s="4"/>
      <c r="AV262" s="4"/>
      <c r="AW262" s="4"/>
      <c r="AX262" s="4"/>
      <c r="AY262" s="4"/>
      <c r="AZ262" s="4"/>
      <c r="BA262" s="4"/>
      <c r="BB262" s="3"/>
      <c r="BC262" s="3"/>
      <c r="CT262" s="5" t="e">
        <v>#N/A</v>
      </c>
      <c r="CU262" s="5" t="e">
        <v>#N/A</v>
      </c>
      <c r="CV262" s="5" t="e">
        <v>#N/A</v>
      </c>
      <c r="CW262" s="5" t="e">
        <v>#N/A</v>
      </c>
      <c r="CX262" s="5" t="e">
        <v>#N/A</v>
      </c>
      <c r="CY262" s="5" t="e">
        <v>#N/A</v>
      </c>
      <c r="CZ262" s="5" t="e">
        <v>#N/A</v>
      </c>
      <c r="DA262" s="5" t="e">
        <v>#N/A</v>
      </c>
      <c r="DB262" s="5" t="e">
        <v>#N/A</v>
      </c>
      <c r="DC262" s="5" t="e">
        <v>#N/A</v>
      </c>
      <c r="DD262" s="5" t="e">
        <v>#N/A</v>
      </c>
      <c r="DE262" s="5" t="e">
        <v>#N/A</v>
      </c>
      <c r="DF262" s="5" t="e">
        <v>#N/A</v>
      </c>
      <c r="DG262" s="5" t="e">
        <v>#N/A</v>
      </c>
      <c r="DH262" s="5" t="e">
        <v>#N/A</v>
      </c>
      <c r="DI262" s="5" t="e">
        <v>#N/A</v>
      </c>
    </row>
    <row r="263" spans="1:113" s="5" customFormat="1">
      <c r="A263"/>
      <c r="B263"/>
      <c r="C263" s="44"/>
      <c r="D263" s="44"/>
      <c r="E263" s="44"/>
      <c r="F263" s="44"/>
      <c r="G263" s="44"/>
      <c r="H263" s="44"/>
      <c r="I263" s="44"/>
      <c r="J263" s="44"/>
      <c r="K263" s="44"/>
      <c r="L263" s="44"/>
      <c r="M263" t="str">
        <f t="shared" si="27"/>
        <v>"//*[@class=\"</v>
      </c>
      <c r="N263" t="s">
        <v>31</v>
      </c>
      <c r="O263" s="4" t="str">
        <f t="shared" si="30"/>
        <v>click</v>
      </c>
      <c r="P263" t="str">
        <f t="shared" si="31"/>
        <v>();</v>
      </c>
      <c r="Q263" t="str">
        <f t="shared" si="32"/>
        <v/>
      </c>
      <c r="R263" t="str">
        <f t="shared" si="28"/>
        <v/>
      </c>
      <c r="S263" s="1" t="str">
        <f t="shared" si="29"/>
        <v/>
      </c>
      <c r="T263"/>
      <c r="U263"/>
      <c r="V263"/>
      <c r="W263"/>
      <c r="X263"/>
      <c r="Y263"/>
      <c r="Z263">
        <v>254</v>
      </c>
      <c r="AA263"/>
      <c r="AB263"/>
      <c r="AC263" s="6"/>
      <c r="AD263" s="6"/>
      <c r="AE263" s="6"/>
      <c r="AF263" s="6"/>
      <c r="AG263" s="4"/>
      <c r="AH263" s="4"/>
      <c r="AI263" s="4"/>
      <c r="AJ263" s="4"/>
      <c r="AK263" s="4"/>
      <c r="AL263" s="4"/>
      <c r="AM263" s="4"/>
      <c r="AN263" s="4"/>
      <c r="AO263" s="4"/>
      <c r="AP263" s="4"/>
      <c r="AQ263" s="4"/>
      <c r="AR263" s="4"/>
      <c r="AS263" s="4"/>
      <c r="AT263" s="4"/>
      <c r="AU263" s="4"/>
      <c r="AV263" s="4"/>
      <c r="AW263" s="4"/>
      <c r="AX263" s="4"/>
      <c r="AY263" s="4"/>
      <c r="AZ263" s="4"/>
      <c r="BA263" s="4"/>
      <c r="BB263" s="3"/>
      <c r="BC263" s="3"/>
      <c r="CT263" s="5" t="e">
        <v>#N/A</v>
      </c>
      <c r="CU263" s="5" t="e">
        <v>#N/A</v>
      </c>
      <c r="CV263" s="5" t="e">
        <v>#N/A</v>
      </c>
      <c r="CW263" s="5" t="e">
        <v>#N/A</v>
      </c>
      <c r="CX263" s="5" t="e">
        <v>#N/A</v>
      </c>
      <c r="CY263" s="5" t="e">
        <v>#N/A</v>
      </c>
      <c r="CZ263" s="5" t="e">
        <v>#N/A</v>
      </c>
      <c r="DA263" s="5" t="e">
        <v>#N/A</v>
      </c>
      <c r="DB263" s="5" t="e">
        <v>#N/A</v>
      </c>
      <c r="DC263" s="5" t="e">
        <v>#N/A</v>
      </c>
      <c r="DD263" s="5" t="e">
        <v>#N/A</v>
      </c>
      <c r="DE263" s="5" t="e">
        <v>#N/A</v>
      </c>
      <c r="DF263" s="5" t="e">
        <v>#N/A</v>
      </c>
      <c r="DG263" s="5" t="e">
        <v>#N/A</v>
      </c>
      <c r="DH263" s="5" t="e">
        <v>#N/A</v>
      </c>
      <c r="DI263" s="5" t="e">
        <v>#N/A</v>
      </c>
    </row>
    <row r="264" spans="1:113" s="5" customFormat="1">
      <c r="A264"/>
      <c r="B264"/>
      <c r="C264" s="44"/>
      <c r="D264" s="44"/>
      <c r="E264" s="44"/>
      <c r="F264" s="44"/>
      <c r="G264" s="44"/>
      <c r="H264" s="44"/>
      <c r="I264" s="44"/>
      <c r="J264" s="44"/>
      <c r="K264" s="44"/>
      <c r="L264" s="44"/>
      <c r="M264" t="str">
        <f t="shared" si="27"/>
        <v>"//*[@class=\"</v>
      </c>
      <c r="N264" t="s">
        <v>31</v>
      </c>
      <c r="O264" s="4" t="str">
        <f t="shared" si="30"/>
        <v>click</v>
      </c>
      <c r="P264" t="str">
        <f t="shared" si="31"/>
        <v>();</v>
      </c>
      <c r="Q264" t="str">
        <f t="shared" si="32"/>
        <v/>
      </c>
      <c r="R264" t="str">
        <f t="shared" si="28"/>
        <v/>
      </c>
      <c r="S264" s="1" t="str">
        <f t="shared" si="29"/>
        <v/>
      </c>
      <c r="T264"/>
      <c r="U264"/>
      <c r="V264"/>
      <c r="W264"/>
      <c r="X264"/>
      <c r="Y264"/>
      <c r="Z264">
        <v>255</v>
      </c>
      <c r="AA264"/>
      <c r="AB264"/>
      <c r="AC264" s="6"/>
      <c r="AD264" s="6"/>
      <c r="AE264" s="6"/>
      <c r="AF264" s="6"/>
      <c r="AG264" s="4"/>
      <c r="AH264" s="4"/>
      <c r="AI264" s="4"/>
      <c r="AJ264" s="4"/>
      <c r="AK264" s="4"/>
      <c r="AL264" s="4"/>
      <c r="AM264" s="4"/>
      <c r="AN264" s="4"/>
      <c r="AO264" s="4"/>
      <c r="AP264" s="4"/>
      <c r="AQ264" s="4"/>
      <c r="AR264" s="4"/>
      <c r="AS264" s="4"/>
      <c r="AT264" s="4"/>
      <c r="AU264" s="4"/>
      <c r="AV264" s="4"/>
      <c r="AW264" s="4"/>
      <c r="AX264" s="4"/>
      <c r="AY264" s="4"/>
      <c r="AZ264" s="4"/>
      <c r="BA264" s="4"/>
      <c r="BB264" s="3"/>
      <c r="BC264" s="3"/>
      <c r="CT264" s="5" t="e">
        <v>#N/A</v>
      </c>
      <c r="CU264" s="5" t="e">
        <v>#N/A</v>
      </c>
      <c r="CV264" s="5" t="e">
        <v>#N/A</v>
      </c>
      <c r="CW264" s="5" t="e">
        <v>#N/A</v>
      </c>
      <c r="CX264" s="5" t="e">
        <v>#N/A</v>
      </c>
      <c r="CY264" s="5" t="e">
        <v>#N/A</v>
      </c>
      <c r="CZ264" s="5" t="e">
        <v>#N/A</v>
      </c>
      <c r="DA264" s="5" t="e">
        <v>#N/A</v>
      </c>
      <c r="DB264" s="5" t="e">
        <v>#N/A</v>
      </c>
      <c r="DC264" s="5" t="e">
        <v>#N/A</v>
      </c>
      <c r="DD264" s="5" t="e">
        <v>#N/A</v>
      </c>
      <c r="DE264" s="5" t="e">
        <v>#N/A</v>
      </c>
      <c r="DF264" s="5" t="e">
        <v>#N/A</v>
      </c>
      <c r="DG264" s="5" t="e">
        <v>#N/A</v>
      </c>
      <c r="DH264" s="5" t="e">
        <v>#N/A</v>
      </c>
      <c r="DI264" s="5" t="e">
        <v>#N/A</v>
      </c>
    </row>
    <row r="265" spans="1:113" s="5" customFormat="1">
      <c r="A265"/>
      <c r="B265"/>
      <c r="C265" s="44"/>
      <c r="D265" s="44"/>
      <c r="E265" s="44"/>
      <c r="F265" s="44"/>
      <c r="G265" s="44"/>
      <c r="H265" s="44"/>
      <c r="I265" s="44"/>
      <c r="J265" s="44"/>
      <c r="K265" s="44"/>
      <c r="L265" s="44"/>
      <c r="M265" t="str">
        <f t="shared" si="27"/>
        <v>"//*[@class=\"</v>
      </c>
      <c r="N265" t="s">
        <v>31</v>
      </c>
      <c r="O265" s="4" t="str">
        <f t="shared" si="30"/>
        <v>click</v>
      </c>
      <c r="P265" t="str">
        <f t="shared" si="31"/>
        <v>();</v>
      </c>
      <c r="Q265" t="str">
        <f t="shared" si="32"/>
        <v/>
      </c>
      <c r="R265" t="str">
        <f t="shared" si="28"/>
        <v/>
      </c>
      <c r="S265" s="1" t="str">
        <f t="shared" si="29"/>
        <v/>
      </c>
      <c r="T265"/>
      <c r="U265"/>
      <c r="V265"/>
      <c r="W265"/>
      <c r="X265"/>
      <c r="Y265"/>
      <c r="Z265">
        <v>256</v>
      </c>
      <c r="AA265"/>
      <c r="AB265"/>
      <c r="AC265" s="6"/>
      <c r="AD265" s="6"/>
      <c r="AE265" s="6"/>
      <c r="AF265" s="6"/>
      <c r="AG265" s="4"/>
      <c r="AH265" s="4"/>
      <c r="AI265" s="4"/>
      <c r="AJ265" s="4"/>
      <c r="AK265" s="4"/>
      <c r="AL265" s="4"/>
      <c r="AM265" s="4"/>
      <c r="AN265" s="4"/>
      <c r="AO265" s="4"/>
      <c r="AP265" s="4"/>
      <c r="AQ265" s="4"/>
      <c r="AR265" s="4"/>
      <c r="AS265" s="4"/>
      <c r="AT265" s="4"/>
      <c r="AU265" s="4"/>
      <c r="AV265" s="4"/>
      <c r="AW265" s="4"/>
      <c r="AX265" s="4"/>
      <c r="AY265" s="4"/>
      <c r="AZ265" s="4"/>
      <c r="BA265" s="4"/>
      <c r="BB265" s="3"/>
      <c r="BC265" s="3"/>
      <c r="CT265" s="5" t="e">
        <v>#N/A</v>
      </c>
      <c r="CU265" s="5" t="e">
        <v>#N/A</v>
      </c>
      <c r="CV265" s="5" t="e">
        <v>#N/A</v>
      </c>
      <c r="CW265" s="5" t="e">
        <v>#N/A</v>
      </c>
      <c r="CX265" s="5" t="e">
        <v>#N/A</v>
      </c>
      <c r="CY265" s="5" t="e">
        <v>#N/A</v>
      </c>
      <c r="CZ265" s="5" t="e">
        <v>#N/A</v>
      </c>
      <c r="DA265" s="5" t="e">
        <v>#N/A</v>
      </c>
      <c r="DB265" s="5" t="e">
        <v>#N/A</v>
      </c>
      <c r="DC265" s="5" t="e">
        <v>#N/A</v>
      </c>
      <c r="DD265" s="5" t="e">
        <v>#N/A</v>
      </c>
      <c r="DE265" s="5" t="e">
        <v>#N/A</v>
      </c>
      <c r="DF265" s="5" t="e">
        <v>#N/A</v>
      </c>
      <c r="DG265" s="5" t="e">
        <v>#N/A</v>
      </c>
      <c r="DH265" s="5" t="e">
        <v>#N/A</v>
      </c>
      <c r="DI265" s="5" t="e">
        <v>#N/A</v>
      </c>
    </row>
    <row r="266" spans="1:113" s="5" customFormat="1">
      <c r="A266"/>
      <c r="B266"/>
      <c r="C266" s="44"/>
      <c r="D266" s="44"/>
      <c r="E266" s="44"/>
      <c r="F266" s="44"/>
      <c r="G266" s="44"/>
      <c r="H266" s="44"/>
      <c r="I266" s="44"/>
      <c r="J266" s="44"/>
      <c r="K266" s="44"/>
      <c r="L266" s="44"/>
      <c r="M266" t="str">
        <f t="shared" si="27"/>
        <v>"//*[@class=\"</v>
      </c>
      <c r="N266" t="s">
        <v>31</v>
      </c>
      <c r="O266" s="4" t="str">
        <f t="shared" si="30"/>
        <v>click</v>
      </c>
      <c r="P266" t="str">
        <f t="shared" si="31"/>
        <v>();</v>
      </c>
      <c r="Q266" t="str">
        <f t="shared" si="32"/>
        <v/>
      </c>
      <c r="R266" t="str">
        <f t="shared" si="28"/>
        <v/>
      </c>
      <c r="S266" s="1" t="str">
        <f t="shared" si="29"/>
        <v/>
      </c>
      <c r="T266"/>
      <c r="U266"/>
      <c r="V266"/>
      <c r="W266"/>
      <c r="X266"/>
      <c r="Y266"/>
      <c r="Z266">
        <v>257</v>
      </c>
      <c r="AA266"/>
      <c r="AB266"/>
      <c r="AC266" s="6"/>
      <c r="AD266" s="6"/>
      <c r="AE266" s="6"/>
      <c r="AF266" s="6"/>
      <c r="AG266" s="4"/>
      <c r="AH266" s="4"/>
      <c r="AI266" s="4"/>
      <c r="AJ266" s="4"/>
      <c r="AK266" s="4"/>
      <c r="AL266" s="4"/>
      <c r="AM266" s="4"/>
      <c r="AN266" s="4"/>
      <c r="AO266" s="4"/>
      <c r="AP266" s="4"/>
      <c r="AQ266" s="4"/>
      <c r="AR266" s="4"/>
      <c r="AS266" s="4"/>
      <c r="AT266" s="4"/>
      <c r="AU266" s="4"/>
      <c r="AV266" s="4"/>
      <c r="AW266" s="4"/>
      <c r="AX266" s="4"/>
      <c r="AY266" s="4"/>
      <c r="AZ266" s="4"/>
      <c r="BA266" s="4"/>
      <c r="BB266" s="3"/>
      <c r="BC266" s="3"/>
      <c r="CT266" s="5" t="e">
        <v>#N/A</v>
      </c>
      <c r="CU266" s="5" t="e">
        <v>#N/A</v>
      </c>
      <c r="CV266" s="5" t="e">
        <v>#N/A</v>
      </c>
      <c r="CW266" s="5" t="e">
        <v>#N/A</v>
      </c>
      <c r="CX266" s="5" t="e">
        <v>#N/A</v>
      </c>
      <c r="CY266" s="5" t="e">
        <v>#N/A</v>
      </c>
      <c r="CZ266" s="5" t="e">
        <v>#N/A</v>
      </c>
      <c r="DA266" s="5" t="e">
        <v>#N/A</v>
      </c>
      <c r="DB266" s="5" t="e">
        <v>#N/A</v>
      </c>
      <c r="DC266" s="5" t="e">
        <v>#N/A</v>
      </c>
      <c r="DD266" s="5" t="e">
        <v>#N/A</v>
      </c>
      <c r="DE266" s="5" t="e">
        <v>#N/A</v>
      </c>
      <c r="DF266" s="5" t="e">
        <v>#N/A</v>
      </c>
      <c r="DG266" s="5" t="e">
        <v>#N/A</v>
      </c>
      <c r="DH266" s="5" t="e">
        <v>#N/A</v>
      </c>
      <c r="DI266" s="5" t="e">
        <v>#N/A</v>
      </c>
    </row>
    <row r="267" spans="1:113" s="5" customFormat="1">
      <c r="A267"/>
      <c r="B267"/>
      <c r="C267" s="44"/>
      <c r="D267" s="44"/>
      <c r="E267" s="44"/>
      <c r="F267" s="44"/>
      <c r="G267" s="44"/>
      <c r="H267" s="44"/>
      <c r="I267" s="44"/>
      <c r="J267" s="44"/>
      <c r="K267" s="44"/>
      <c r="L267" s="44"/>
      <c r="M267" t="str">
        <f t="shared" ref="M267:M330" si="33">IF(H267="id",""""&amp;"//*[@id=\"&amp;"""",""""&amp;"//*[@class=\"&amp;"""")</f>
        <v>"//*[@class=\"</v>
      </c>
      <c r="N267" t="s">
        <v>31</v>
      </c>
      <c r="O267" s="4" t="str">
        <f t="shared" si="30"/>
        <v>click</v>
      </c>
      <c r="P267" t="str">
        <f t="shared" si="31"/>
        <v>();</v>
      </c>
      <c r="Q267" t="str">
        <f t="shared" si="32"/>
        <v/>
      </c>
      <c r="R267" t="str">
        <f t="shared" ref="R267:R330" si="34">IF(C267="Y",""""&amp;SUBSTITUTE(E267," ","")&amp;""""&amp;":"&amp;Q267&amp;"","")</f>
        <v/>
      </c>
      <c r="S267" s="1" t="str">
        <f t="shared" ref="S267:S330" si="35">IF(C267="Y",IF(D267&lt;&gt;"mat-select",IF(D267="End","",IF(O267="innerText",I267&amp;"="&amp;IF(C267="Y",IF(J267&lt;&gt;"Y",$S$8&amp;$R$9&amp;"."&amp;E267&amp;")."&amp;IF(OR(O267="click",O267="innerText"),O267&amp;"();",O267&amp;"("&amp;$Q$8&amp;"."&amp;E267&amp;");"),$S$7&amp;$R$9&amp;"."&amp;SUBSTITUTE(E267," ","")&amp;")."&amp;IF(O267="click",O267&amp;"();",O267&amp;"("&amp;"'"&amp;K267&amp;"'"&amp;");")),""),IF(C267="Y",IF(J267&lt;&gt;"Y",$S$8&amp;$R$9&amp;"."&amp;SUBSTITUTE(E267," ","")&amp;")."&amp;IF(OR(O267="click",O267="innerText"),O267&amp;"();",O267&amp;"("&amp;$Q$8&amp;"."&amp;SUBSTITUTE(E267," ","")&amp;");"),$S$7&amp;$R$9&amp;"."&amp;SUBSTITUTE(E267," ","")&amp;")."&amp;IF(O267="click",O267&amp;"();",O267&amp;"("&amp;"'"&amp;K267&amp;"'"&amp;");")),""))),"let form"&amp;Z267&amp;": String;"&amp;"for (let i = 1; i &lt; 30; i++) {"&amp;$S$8&amp;$R$9&amp;"."&amp;SUBSTITUTE(E267," ","")&amp;").click();"&amp;$CE$4&amp; "form"&amp;Z267&amp;"="&amp; $S$8&amp;$R$9&amp;"."&amp;SUBSTITUTE(E267," ","")&amp;").innerText();" &amp;"if ("&amp;"form"&amp;Z267&amp;"=="&amp; "Data[index]."&amp;SUBSTITUTE(E267," ","") &amp;"){"&amp;$CE$7),"")</f>
        <v/>
      </c>
      <c r="T267"/>
      <c r="U267"/>
      <c r="V267"/>
      <c r="W267"/>
      <c r="X267"/>
      <c r="Y267"/>
      <c r="Z267">
        <v>258</v>
      </c>
      <c r="AA267"/>
      <c r="AB267"/>
      <c r="AC267" s="6"/>
      <c r="AD267" s="6"/>
      <c r="AE267" s="6"/>
      <c r="AF267" s="6"/>
      <c r="AG267" s="4"/>
      <c r="AH267" s="4"/>
      <c r="AI267" s="4"/>
      <c r="AJ267" s="4"/>
      <c r="AK267" s="4"/>
      <c r="AL267" s="4"/>
      <c r="AM267" s="4"/>
      <c r="AN267" s="4"/>
      <c r="AO267" s="4"/>
      <c r="AP267" s="4"/>
      <c r="AQ267" s="4"/>
      <c r="AR267" s="4"/>
      <c r="AS267" s="4"/>
      <c r="AT267" s="4"/>
      <c r="AU267" s="4"/>
      <c r="AV267" s="4"/>
      <c r="AW267" s="4"/>
      <c r="AX267" s="4"/>
      <c r="AY267" s="4"/>
      <c r="AZ267" s="4"/>
      <c r="BA267" s="4"/>
      <c r="BB267" s="3"/>
      <c r="BC267" s="3"/>
      <c r="CT267" s="5" t="e">
        <v>#N/A</v>
      </c>
      <c r="CU267" s="5" t="e">
        <v>#N/A</v>
      </c>
      <c r="CV267" s="5" t="e">
        <v>#N/A</v>
      </c>
      <c r="CW267" s="5" t="e">
        <v>#N/A</v>
      </c>
      <c r="CX267" s="5" t="e">
        <v>#N/A</v>
      </c>
      <c r="CY267" s="5" t="e">
        <v>#N/A</v>
      </c>
      <c r="CZ267" s="5" t="e">
        <v>#N/A</v>
      </c>
      <c r="DA267" s="5" t="e">
        <v>#N/A</v>
      </c>
      <c r="DB267" s="5" t="e">
        <v>#N/A</v>
      </c>
      <c r="DC267" s="5" t="e">
        <v>#N/A</v>
      </c>
      <c r="DD267" s="5" t="e">
        <v>#N/A</v>
      </c>
      <c r="DE267" s="5" t="e">
        <v>#N/A</v>
      </c>
      <c r="DF267" s="5" t="e">
        <v>#N/A</v>
      </c>
      <c r="DG267" s="5" t="e">
        <v>#N/A</v>
      </c>
      <c r="DH267" s="5" t="e">
        <v>#N/A</v>
      </c>
      <c r="DI267" s="5" t="e">
        <v>#N/A</v>
      </c>
    </row>
    <row r="268" spans="1:113" s="5" customFormat="1">
      <c r="A268"/>
      <c r="B268"/>
      <c r="C268" s="44"/>
      <c r="D268" s="44"/>
      <c r="E268" s="44"/>
      <c r="F268" s="44"/>
      <c r="G268" s="44"/>
      <c r="H268" s="44"/>
      <c r="I268" s="44"/>
      <c r="J268" s="44"/>
      <c r="K268" s="44"/>
      <c r="L268" s="44"/>
      <c r="M268" t="str">
        <f t="shared" si="33"/>
        <v>"//*[@class=\"</v>
      </c>
      <c r="N268" t="s">
        <v>31</v>
      </c>
      <c r="O268" s="4" t="str">
        <f t="shared" si="30"/>
        <v>click</v>
      </c>
      <c r="P268" t="str">
        <f t="shared" si="31"/>
        <v>();</v>
      </c>
      <c r="Q268" t="str">
        <f t="shared" si="32"/>
        <v/>
      </c>
      <c r="R268" t="str">
        <f t="shared" si="34"/>
        <v/>
      </c>
      <c r="S268" s="1" t="str">
        <f t="shared" si="35"/>
        <v/>
      </c>
      <c r="T268"/>
      <c r="U268"/>
      <c r="V268"/>
      <c r="W268"/>
      <c r="X268"/>
      <c r="Y268"/>
      <c r="Z268">
        <v>259</v>
      </c>
      <c r="AA268"/>
      <c r="AB268"/>
      <c r="AC268" s="6"/>
      <c r="AD268" s="6"/>
      <c r="AE268" s="6"/>
      <c r="AF268" s="6"/>
      <c r="AG268" s="4"/>
      <c r="AH268" s="4"/>
      <c r="AI268" s="4"/>
      <c r="AJ268" s="4"/>
      <c r="AK268" s="4"/>
      <c r="AL268" s="4"/>
      <c r="AM268" s="4"/>
      <c r="AN268" s="4"/>
      <c r="AO268" s="4"/>
      <c r="AP268" s="4"/>
      <c r="AQ268" s="4"/>
      <c r="AR268" s="4"/>
      <c r="AS268" s="4"/>
      <c r="AT268" s="4"/>
      <c r="AU268" s="4"/>
      <c r="AV268" s="4"/>
      <c r="AW268" s="4"/>
      <c r="AX268" s="4"/>
      <c r="AY268" s="4"/>
      <c r="AZ268" s="4"/>
      <c r="BA268" s="4"/>
      <c r="BB268" s="3"/>
      <c r="BC268" s="3"/>
      <c r="CT268" s="5" t="e">
        <v>#N/A</v>
      </c>
      <c r="CU268" s="5" t="e">
        <v>#N/A</v>
      </c>
      <c r="CV268" s="5" t="e">
        <v>#N/A</v>
      </c>
      <c r="CW268" s="5" t="e">
        <v>#N/A</v>
      </c>
      <c r="CX268" s="5" t="e">
        <v>#N/A</v>
      </c>
      <c r="CY268" s="5" t="e">
        <v>#N/A</v>
      </c>
      <c r="CZ268" s="5" t="e">
        <v>#N/A</v>
      </c>
      <c r="DA268" s="5" t="e">
        <v>#N/A</v>
      </c>
      <c r="DB268" s="5" t="e">
        <v>#N/A</v>
      </c>
      <c r="DC268" s="5" t="e">
        <v>#N/A</v>
      </c>
      <c r="DD268" s="5" t="e">
        <v>#N/A</v>
      </c>
      <c r="DE268" s="5" t="e">
        <v>#N/A</v>
      </c>
      <c r="DF268" s="5" t="e">
        <v>#N/A</v>
      </c>
      <c r="DG268" s="5" t="e">
        <v>#N/A</v>
      </c>
      <c r="DH268" s="5" t="e">
        <v>#N/A</v>
      </c>
      <c r="DI268" s="5" t="e">
        <v>#N/A</v>
      </c>
    </row>
    <row r="269" spans="1:113" s="5" customFormat="1">
      <c r="A269"/>
      <c r="B269"/>
      <c r="C269" s="44"/>
      <c r="D269" s="44"/>
      <c r="E269" s="44"/>
      <c r="F269" s="44"/>
      <c r="G269" s="44"/>
      <c r="H269" s="44"/>
      <c r="I269" s="44"/>
      <c r="J269" s="44"/>
      <c r="K269" s="44"/>
      <c r="L269" s="44"/>
      <c r="M269" t="str">
        <f t="shared" si="33"/>
        <v>"//*[@class=\"</v>
      </c>
      <c r="N269" t="s">
        <v>31</v>
      </c>
      <c r="O269" s="4" t="str">
        <f t="shared" si="30"/>
        <v>click</v>
      </c>
      <c r="P269" t="str">
        <f t="shared" si="31"/>
        <v>();</v>
      </c>
      <c r="Q269" t="str">
        <f t="shared" si="32"/>
        <v/>
      </c>
      <c r="R269" t="str">
        <f t="shared" si="34"/>
        <v/>
      </c>
      <c r="S269" s="1" t="str">
        <f t="shared" si="35"/>
        <v/>
      </c>
      <c r="T269"/>
      <c r="U269"/>
      <c r="V269"/>
      <c r="W269"/>
      <c r="X269"/>
      <c r="Y269"/>
      <c r="Z269">
        <v>260</v>
      </c>
      <c r="AA269"/>
      <c r="AB269"/>
      <c r="AC269" s="6"/>
      <c r="AD269" s="6"/>
      <c r="AE269" s="6"/>
      <c r="AF269" s="6"/>
      <c r="AG269" s="4"/>
      <c r="AH269" s="4"/>
      <c r="AI269" s="4"/>
      <c r="AJ269" s="4"/>
      <c r="AK269" s="4"/>
      <c r="AL269" s="4"/>
      <c r="AM269" s="4"/>
      <c r="AN269" s="4"/>
      <c r="AO269" s="4"/>
      <c r="AP269" s="4"/>
      <c r="AQ269" s="4"/>
      <c r="AR269" s="4"/>
      <c r="AS269" s="4"/>
      <c r="AT269" s="4"/>
      <c r="AU269" s="4"/>
      <c r="AV269" s="4"/>
      <c r="AW269" s="4"/>
      <c r="AX269" s="4"/>
      <c r="AY269" s="4"/>
      <c r="AZ269" s="4"/>
      <c r="BA269" s="4"/>
      <c r="BB269" s="3"/>
      <c r="BC269" s="3"/>
      <c r="CT269" s="5" t="e">
        <v>#N/A</v>
      </c>
      <c r="CU269" s="5" t="e">
        <v>#N/A</v>
      </c>
      <c r="CV269" s="5" t="e">
        <v>#N/A</v>
      </c>
      <c r="CW269" s="5" t="e">
        <v>#N/A</v>
      </c>
      <c r="CX269" s="5" t="e">
        <v>#N/A</v>
      </c>
      <c r="CY269" s="5" t="e">
        <v>#N/A</v>
      </c>
      <c r="CZ269" s="5" t="e">
        <v>#N/A</v>
      </c>
      <c r="DA269" s="5" t="e">
        <v>#N/A</v>
      </c>
      <c r="DB269" s="5" t="e">
        <v>#N/A</v>
      </c>
      <c r="DC269" s="5" t="e">
        <v>#N/A</v>
      </c>
      <c r="DD269" s="5" t="e">
        <v>#N/A</v>
      </c>
      <c r="DE269" s="5" t="e">
        <v>#N/A</v>
      </c>
      <c r="DF269" s="5" t="e">
        <v>#N/A</v>
      </c>
      <c r="DG269" s="5" t="e">
        <v>#N/A</v>
      </c>
      <c r="DH269" s="5" t="e">
        <v>#N/A</v>
      </c>
      <c r="DI269" s="5" t="e">
        <v>#N/A</v>
      </c>
    </row>
    <row r="270" spans="1:113" s="5" customFormat="1">
      <c r="A270"/>
      <c r="B270"/>
      <c r="C270" s="44"/>
      <c r="D270" s="44"/>
      <c r="E270" s="44"/>
      <c r="F270" s="44"/>
      <c r="G270" s="44"/>
      <c r="H270" s="44"/>
      <c r="I270" s="44"/>
      <c r="J270" s="44"/>
      <c r="K270" s="44"/>
      <c r="L270" s="44"/>
      <c r="M270" t="str">
        <f t="shared" si="33"/>
        <v>"//*[@class=\"</v>
      </c>
      <c r="N270" t="s">
        <v>31</v>
      </c>
      <c r="O270" s="4" t="str">
        <f t="shared" ref="O270:O333" si="36">IF(D270="input","fill",IF(I270&lt;&gt;"","innerText",IF(J270="Y",$T$7,"click")))</f>
        <v>click</v>
      </c>
      <c r="P270" t="str">
        <f t="shared" ref="P270:P333" si="37">IF(OR(O270="Click",O270="innerText"),"();","("&amp;""""&amp;K270&amp;""""&amp;");")</f>
        <v>();</v>
      </c>
      <c r="Q270" t="str">
        <f t="shared" ref="Q270:Q333" si="38">IF(C270="Y",IF(H270&lt;&gt;"Xpath",M270&amp;F270&amp;N270,""""&amp;F270&amp;""""),"")</f>
        <v/>
      </c>
      <c r="R270" t="str">
        <f t="shared" si="34"/>
        <v/>
      </c>
      <c r="S270" s="1" t="str">
        <f t="shared" si="35"/>
        <v/>
      </c>
      <c r="T270"/>
      <c r="U270"/>
      <c r="V270"/>
      <c r="W270"/>
      <c r="X270"/>
      <c r="Y270"/>
      <c r="Z270">
        <v>261</v>
      </c>
      <c r="AA270"/>
      <c r="AB270"/>
      <c r="AC270" s="6"/>
      <c r="AD270" s="6"/>
      <c r="AE270" s="6"/>
      <c r="AF270" s="6"/>
      <c r="AG270" s="4"/>
      <c r="AH270" s="4"/>
      <c r="AI270" s="4"/>
      <c r="AJ270" s="4"/>
      <c r="AK270" s="4"/>
      <c r="AL270" s="4"/>
      <c r="AM270" s="4"/>
      <c r="AN270" s="4"/>
      <c r="AO270" s="4"/>
      <c r="AP270" s="4"/>
      <c r="AQ270" s="4"/>
      <c r="AR270" s="4"/>
      <c r="AS270" s="4"/>
      <c r="AT270" s="4"/>
      <c r="AU270" s="4"/>
      <c r="AV270" s="4"/>
      <c r="AW270" s="4"/>
      <c r="AX270" s="4"/>
      <c r="AY270" s="4"/>
      <c r="AZ270" s="4"/>
      <c r="BA270" s="4"/>
      <c r="BB270" s="3"/>
      <c r="BC270" s="3"/>
      <c r="CT270" s="5" t="e">
        <v>#N/A</v>
      </c>
      <c r="CU270" s="5" t="e">
        <v>#N/A</v>
      </c>
      <c r="CV270" s="5" t="e">
        <v>#N/A</v>
      </c>
      <c r="CW270" s="5" t="e">
        <v>#N/A</v>
      </c>
      <c r="CX270" s="5" t="e">
        <v>#N/A</v>
      </c>
      <c r="CY270" s="5" t="e">
        <v>#N/A</v>
      </c>
      <c r="CZ270" s="5" t="e">
        <v>#N/A</v>
      </c>
      <c r="DA270" s="5" t="e">
        <v>#N/A</v>
      </c>
      <c r="DB270" s="5" t="e">
        <v>#N/A</v>
      </c>
      <c r="DC270" s="5" t="e">
        <v>#N/A</v>
      </c>
      <c r="DD270" s="5" t="e">
        <v>#N/A</v>
      </c>
      <c r="DE270" s="5" t="e">
        <v>#N/A</v>
      </c>
      <c r="DF270" s="5" t="e">
        <v>#N/A</v>
      </c>
      <c r="DG270" s="5" t="e">
        <v>#N/A</v>
      </c>
      <c r="DH270" s="5" t="e">
        <v>#N/A</v>
      </c>
      <c r="DI270" s="5" t="e">
        <v>#N/A</v>
      </c>
    </row>
    <row r="271" spans="1:113" s="5" customFormat="1">
      <c r="A271"/>
      <c r="B271"/>
      <c r="C271" s="44"/>
      <c r="D271" s="44"/>
      <c r="E271" s="44"/>
      <c r="F271" s="44"/>
      <c r="G271" s="44"/>
      <c r="H271" s="44"/>
      <c r="I271" s="44"/>
      <c r="J271" s="44"/>
      <c r="K271" s="44"/>
      <c r="L271" s="44"/>
      <c r="M271" t="str">
        <f t="shared" si="33"/>
        <v>"//*[@class=\"</v>
      </c>
      <c r="N271" t="s">
        <v>31</v>
      </c>
      <c r="O271" s="4" t="str">
        <f t="shared" si="36"/>
        <v>click</v>
      </c>
      <c r="P271" t="str">
        <f t="shared" si="37"/>
        <v>();</v>
      </c>
      <c r="Q271" t="str">
        <f t="shared" si="38"/>
        <v/>
      </c>
      <c r="R271" t="str">
        <f t="shared" si="34"/>
        <v/>
      </c>
      <c r="S271" s="1" t="str">
        <f t="shared" si="35"/>
        <v/>
      </c>
      <c r="T271"/>
      <c r="U271"/>
      <c r="V271"/>
      <c r="W271"/>
      <c r="X271"/>
      <c r="Y271"/>
      <c r="Z271">
        <v>262</v>
      </c>
      <c r="AA271"/>
      <c r="AB271"/>
      <c r="AC271" s="6"/>
      <c r="AD271" s="6"/>
      <c r="AE271" s="6"/>
      <c r="AF271" s="6"/>
      <c r="AG271" s="4"/>
      <c r="AH271" s="4"/>
      <c r="AI271" s="4"/>
      <c r="AJ271" s="4"/>
      <c r="AK271" s="4"/>
      <c r="AL271" s="4"/>
      <c r="AM271" s="4"/>
      <c r="AN271" s="4"/>
      <c r="AO271" s="4"/>
      <c r="AP271" s="4"/>
      <c r="AQ271" s="4"/>
      <c r="AR271" s="4"/>
      <c r="AS271" s="4"/>
      <c r="AT271" s="4"/>
      <c r="AU271" s="4"/>
      <c r="AV271" s="4"/>
      <c r="AW271" s="4"/>
      <c r="AX271" s="4"/>
      <c r="AY271" s="4"/>
      <c r="AZ271" s="4"/>
      <c r="BA271" s="4"/>
      <c r="BB271" s="3"/>
      <c r="BC271" s="3"/>
      <c r="CT271" s="5" t="e">
        <v>#N/A</v>
      </c>
      <c r="CU271" s="5" t="e">
        <v>#N/A</v>
      </c>
      <c r="CV271" s="5" t="e">
        <v>#N/A</v>
      </c>
      <c r="CW271" s="5" t="e">
        <v>#N/A</v>
      </c>
      <c r="CX271" s="5" t="e">
        <v>#N/A</v>
      </c>
      <c r="CY271" s="5" t="e">
        <v>#N/A</v>
      </c>
      <c r="CZ271" s="5" t="e">
        <v>#N/A</v>
      </c>
      <c r="DA271" s="5" t="e">
        <v>#N/A</v>
      </c>
      <c r="DB271" s="5" t="e">
        <v>#N/A</v>
      </c>
      <c r="DC271" s="5" t="e">
        <v>#N/A</v>
      </c>
      <c r="DD271" s="5" t="e">
        <v>#N/A</v>
      </c>
      <c r="DE271" s="5" t="e">
        <v>#N/A</v>
      </c>
      <c r="DF271" s="5" t="e">
        <v>#N/A</v>
      </c>
      <c r="DG271" s="5" t="e">
        <v>#N/A</v>
      </c>
      <c r="DH271" s="5" t="e">
        <v>#N/A</v>
      </c>
      <c r="DI271" s="5" t="e">
        <v>#N/A</v>
      </c>
    </row>
    <row r="272" spans="1:113" s="5" customFormat="1">
      <c r="A272"/>
      <c r="B272"/>
      <c r="C272" s="44"/>
      <c r="D272" s="44"/>
      <c r="E272" s="44"/>
      <c r="F272" s="44"/>
      <c r="G272" s="44"/>
      <c r="H272" s="44"/>
      <c r="I272" s="44"/>
      <c r="J272" s="44"/>
      <c r="K272" s="44"/>
      <c r="L272" s="44"/>
      <c r="M272" t="str">
        <f t="shared" si="33"/>
        <v>"//*[@class=\"</v>
      </c>
      <c r="N272" t="s">
        <v>31</v>
      </c>
      <c r="O272" s="4" t="str">
        <f t="shared" si="36"/>
        <v>click</v>
      </c>
      <c r="P272" t="str">
        <f t="shared" si="37"/>
        <v>();</v>
      </c>
      <c r="Q272" t="str">
        <f t="shared" si="38"/>
        <v/>
      </c>
      <c r="R272" t="str">
        <f t="shared" si="34"/>
        <v/>
      </c>
      <c r="S272" s="1" t="str">
        <f t="shared" si="35"/>
        <v/>
      </c>
      <c r="T272"/>
      <c r="U272"/>
      <c r="V272"/>
      <c r="W272"/>
      <c r="X272"/>
      <c r="Y272"/>
      <c r="Z272">
        <v>263</v>
      </c>
      <c r="AA272"/>
      <c r="AB272"/>
      <c r="AC272" s="6"/>
      <c r="AD272" s="6"/>
      <c r="AE272" s="6"/>
      <c r="AF272" s="6"/>
      <c r="AG272" s="4"/>
      <c r="AH272" s="4"/>
      <c r="AI272" s="4"/>
      <c r="AJ272" s="4"/>
      <c r="AK272" s="4"/>
      <c r="AL272" s="4"/>
      <c r="AM272" s="4"/>
      <c r="AN272" s="4"/>
      <c r="AO272" s="4"/>
      <c r="AP272" s="4"/>
      <c r="AQ272" s="4"/>
      <c r="AR272" s="4"/>
      <c r="AS272" s="4"/>
      <c r="AT272" s="4"/>
      <c r="AU272" s="4"/>
      <c r="AV272" s="4"/>
      <c r="AW272" s="4"/>
      <c r="AX272" s="4"/>
      <c r="AY272" s="4"/>
      <c r="AZ272" s="4"/>
      <c r="BA272" s="4"/>
      <c r="BB272" s="3"/>
      <c r="BC272" s="3"/>
      <c r="CT272" s="5" t="e">
        <v>#N/A</v>
      </c>
      <c r="CU272" s="5" t="e">
        <v>#N/A</v>
      </c>
      <c r="CV272" s="5" t="e">
        <v>#N/A</v>
      </c>
      <c r="CW272" s="5" t="e">
        <v>#N/A</v>
      </c>
      <c r="CX272" s="5" t="e">
        <v>#N/A</v>
      </c>
      <c r="CY272" s="5" t="e">
        <v>#N/A</v>
      </c>
      <c r="CZ272" s="5" t="e">
        <v>#N/A</v>
      </c>
      <c r="DA272" s="5" t="e">
        <v>#N/A</v>
      </c>
      <c r="DB272" s="5" t="e">
        <v>#N/A</v>
      </c>
      <c r="DC272" s="5" t="e">
        <v>#N/A</v>
      </c>
      <c r="DD272" s="5" t="e">
        <v>#N/A</v>
      </c>
      <c r="DE272" s="5" t="e">
        <v>#N/A</v>
      </c>
      <c r="DF272" s="5" t="e">
        <v>#N/A</v>
      </c>
      <c r="DG272" s="5" t="e">
        <v>#N/A</v>
      </c>
      <c r="DH272" s="5" t="e">
        <v>#N/A</v>
      </c>
      <c r="DI272" s="5" t="e">
        <v>#N/A</v>
      </c>
    </row>
    <row r="273" spans="1:113" s="5" customFormat="1">
      <c r="A273"/>
      <c r="B273"/>
      <c r="C273" s="44"/>
      <c r="D273" s="44"/>
      <c r="E273" s="44"/>
      <c r="F273" s="44"/>
      <c r="G273" s="44"/>
      <c r="H273" s="44"/>
      <c r="I273" s="44"/>
      <c r="J273" s="44"/>
      <c r="K273" s="44"/>
      <c r="L273" s="44"/>
      <c r="M273" t="str">
        <f t="shared" si="33"/>
        <v>"//*[@class=\"</v>
      </c>
      <c r="N273" t="s">
        <v>31</v>
      </c>
      <c r="O273" s="4" t="str">
        <f t="shared" si="36"/>
        <v>click</v>
      </c>
      <c r="P273" t="str">
        <f t="shared" si="37"/>
        <v>();</v>
      </c>
      <c r="Q273" t="str">
        <f t="shared" si="38"/>
        <v/>
      </c>
      <c r="R273" t="str">
        <f t="shared" si="34"/>
        <v/>
      </c>
      <c r="S273" s="1" t="str">
        <f t="shared" si="35"/>
        <v/>
      </c>
      <c r="T273"/>
      <c r="U273"/>
      <c r="V273"/>
      <c r="W273"/>
      <c r="X273"/>
      <c r="Y273"/>
      <c r="Z273">
        <v>264</v>
      </c>
      <c r="AA273"/>
      <c r="AB273"/>
      <c r="AC273" s="6"/>
      <c r="AD273" s="6"/>
      <c r="AE273" s="6"/>
      <c r="AF273" s="6"/>
      <c r="AG273" s="4"/>
      <c r="AH273" s="4"/>
      <c r="AI273" s="4"/>
      <c r="AJ273" s="4"/>
      <c r="AK273" s="4"/>
      <c r="AL273" s="4"/>
      <c r="AM273" s="4"/>
      <c r="AN273" s="4"/>
      <c r="AO273" s="4"/>
      <c r="AP273" s="4"/>
      <c r="AQ273" s="4"/>
      <c r="AR273" s="4"/>
      <c r="AS273" s="4"/>
      <c r="AT273" s="4"/>
      <c r="AU273" s="4"/>
      <c r="AV273" s="4"/>
      <c r="AW273" s="4"/>
      <c r="AX273" s="4"/>
      <c r="AY273" s="4"/>
      <c r="AZ273" s="4"/>
      <c r="BA273" s="4"/>
      <c r="BB273" s="3"/>
      <c r="BC273" s="3"/>
      <c r="CT273" s="5" t="e">
        <v>#N/A</v>
      </c>
      <c r="CU273" s="5" t="e">
        <v>#N/A</v>
      </c>
      <c r="CV273" s="5" t="e">
        <v>#N/A</v>
      </c>
      <c r="CW273" s="5" t="e">
        <v>#N/A</v>
      </c>
      <c r="CX273" s="5" t="e">
        <v>#N/A</v>
      </c>
      <c r="CY273" s="5" t="e">
        <v>#N/A</v>
      </c>
      <c r="CZ273" s="5" t="e">
        <v>#N/A</v>
      </c>
      <c r="DA273" s="5" t="e">
        <v>#N/A</v>
      </c>
      <c r="DB273" s="5" t="e">
        <v>#N/A</v>
      </c>
      <c r="DC273" s="5" t="e">
        <v>#N/A</v>
      </c>
      <c r="DD273" s="5" t="e">
        <v>#N/A</v>
      </c>
      <c r="DE273" s="5" t="e">
        <v>#N/A</v>
      </c>
      <c r="DF273" s="5" t="e">
        <v>#N/A</v>
      </c>
      <c r="DG273" s="5" t="e">
        <v>#N/A</v>
      </c>
      <c r="DH273" s="5" t="e">
        <v>#N/A</v>
      </c>
      <c r="DI273" s="5" t="e">
        <v>#N/A</v>
      </c>
    </row>
    <row r="274" spans="1:113" s="5" customFormat="1">
      <c r="A274"/>
      <c r="B274"/>
      <c r="C274" s="44"/>
      <c r="D274" s="44"/>
      <c r="E274" s="44"/>
      <c r="F274" s="44"/>
      <c r="G274" s="44"/>
      <c r="H274" s="44"/>
      <c r="I274" s="44"/>
      <c r="J274" s="44"/>
      <c r="K274" s="44"/>
      <c r="L274" s="44"/>
      <c r="M274" t="str">
        <f t="shared" si="33"/>
        <v>"//*[@class=\"</v>
      </c>
      <c r="N274" t="s">
        <v>31</v>
      </c>
      <c r="O274" s="4" t="str">
        <f t="shared" si="36"/>
        <v>click</v>
      </c>
      <c r="P274" t="str">
        <f t="shared" si="37"/>
        <v>();</v>
      </c>
      <c r="Q274" t="str">
        <f t="shared" si="38"/>
        <v/>
      </c>
      <c r="R274" t="str">
        <f t="shared" si="34"/>
        <v/>
      </c>
      <c r="S274" s="1" t="str">
        <f t="shared" si="35"/>
        <v/>
      </c>
      <c r="T274"/>
      <c r="U274"/>
      <c r="V274"/>
      <c r="W274"/>
      <c r="X274"/>
      <c r="Y274"/>
      <c r="Z274">
        <v>265</v>
      </c>
      <c r="AA274"/>
      <c r="AB274"/>
      <c r="AC274" s="6"/>
      <c r="AD274" s="6"/>
      <c r="AE274" s="6"/>
      <c r="AF274" s="6"/>
      <c r="AG274" s="4"/>
      <c r="AH274" s="4"/>
      <c r="AI274" s="4"/>
      <c r="AJ274" s="4"/>
      <c r="AK274" s="4"/>
      <c r="AL274" s="4"/>
      <c r="AM274" s="4"/>
      <c r="AN274" s="4"/>
      <c r="AO274" s="4"/>
      <c r="AP274" s="4"/>
      <c r="AQ274" s="4"/>
      <c r="AR274" s="4"/>
      <c r="AS274" s="4"/>
      <c r="AT274" s="4"/>
      <c r="AU274" s="4"/>
      <c r="AV274" s="4"/>
      <c r="AW274" s="4"/>
      <c r="AX274" s="4"/>
      <c r="AY274" s="4"/>
      <c r="AZ274" s="4"/>
      <c r="BA274" s="4"/>
      <c r="BB274" s="3"/>
      <c r="BC274" s="3"/>
      <c r="CT274" s="5" t="e">
        <v>#N/A</v>
      </c>
      <c r="CU274" s="5" t="e">
        <v>#N/A</v>
      </c>
      <c r="CV274" s="5" t="e">
        <v>#N/A</v>
      </c>
      <c r="CW274" s="5" t="e">
        <v>#N/A</v>
      </c>
      <c r="CX274" s="5" t="e">
        <v>#N/A</v>
      </c>
      <c r="CY274" s="5" t="e">
        <v>#N/A</v>
      </c>
      <c r="CZ274" s="5" t="e">
        <v>#N/A</v>
      </c>
      <c r="DA274" s="5" t="e">
        <v>#N/A</v>
      </c>
      <c r="DB274" s="5" t="e">
        <v>#N/A</v>
      </c>
      <c r="DC274" s="5" t="e">
        <v>#N/A</v>
      </c>
      <c r="DD274" s="5" t="e">
        <v>#N/A</v>
      </c>
      <c r="DE274" s="5" t="e">
        <v>#N/A</v>
      </c>
      <c r="DF274" s="5" t="e">
        <v>#N/A</v>
      </c>
      <c r="DG274" s="5" t="e">
        <v>#N/A</v>
      </c>
      <c r="DH274" s="5" t="e">
        <v>#N/A</v>
      </c>
      <c r="DI274" s="5" t="e">
        <v>#N/A</v>
      </c>
    </row>
    <row r="275" spans="1:113" s="5" customFormat="1">
      <c r="A275"/>
      <c r="B275"/>
      <c r="C275" s="44"/>
      <c r="D275" s="44"/>
      <c r="E275" s="44"/>
      <c r="F275" s="44"/>
      <c r="G275" s="44"/>
      <c r="H275" s="44"/>
      <c r="I275" s="44"/>
      <c r="J275" s="44"/>
      <c r="K275" s="44"/>
      <c r="L275" s="44"/>
      <c r="M275" t="str">
        <f t="shared" si="33"/>
        <v>"//*[@class=\"</v>
      </c>
      <c r="N275" t="s">
        <v>31</v>
      </c>
      <c r="O275" s="4" t="str">
        <f t="shared" si="36"/>
        <v>click</v>
      </c>
      <c r="P275" t="str">
        <f t="shared" si="37"/>
        <v>();</v>
      </c>
      <c r="Q275" t="str">
        <f t="shared" si="38"/>
        <v/>
      </c>
      <c r="R275" t="str">
        <f t="shared" si="34"/>
        <v/>
      </c>
      <c r="S275" s="1" t="str">
        <f t="shared" si="35"/>
        <v/>
      </c>
      <c r="T275"/>
      <c r="U275"/>
      <c r="V275"/>
      <c r="W275"/>
      <c r="X275"/>
      <c r="Y275"/>
      <c r="Z275">
        <v>266</v>
      </c>
      <c r="AA275"/>
      <c r="AB275"/>
      <c r="AC275" s="6"/>
      <c r="AD275" s="6"/>
      <c r="AE275" s="6"/>
      <c r="AF275" s="6"/>
      <c r="AG275" s="4"/>
      <c r="AH275" s="4"/>
      <c r="AI275" s="4"/>
      <c r="AJ275" s="4"/>
      <c r="AK275" s="4"/>
      <c r="AL275" s="4"/>
      <c r="AM275" s="4"/>
      <c r="AN275" s="4"/>
      <c r="AO275" s="4"/>
      <c r="AP275" s="4"/>
      <c r="AQ275" s="4"/>
      <c r="AR275" s="4"/>
      <c r="AS275" s="4"/>
      <c r="AT275" s="4"/>
      <c r="AU275" s="4"/>
      <c r="AV275" s="4"/>
      <c r="AW275" s="4"/>
      <c r="AX275" s="4"/>
      <c r="AY275" s="4"/>
      <c r="AZ275" s="4"/>
      <c r="BA275" s="4"/>
      <c r="BB275" s="3"/>
      <c r="BC275" s="3"/>
      <c r="CT275" s="5" t="e">
        <v>#N/A</v>
      </c>
      <c r="CU275" s="5" t="e">
        <v>#N/A</v>
      </c>
      <c r="CV275" s="5" t="e">
        <v>#N/A</v>
      </c>
      <c r="CW275" s="5" t="e">
        <v>#N/A</v>
      </c>
      <c r="CX275" s="5" t="e">
        <v>#N/A</v>
      </c>
      <c r="CY275" s="5" t="e">
        <v>#N/A</v>
      </c>
      <c r="CZ275" s="5" t="e">
        <v>#N/A</v>
      </c>
      <c r="DA275" s="5" t="e">
        <v>#N/A</v>
      </c>
      <c r="DB275" s="5" t="e">
        <v>#N/A</v>
      </c>
      <c r="DC275" s="5" t="e">
        <v>#N/A</v>
      </c>
      <c r="DD275" s="5" t="e">
        <v>#N/A</v>
      </c>
      <c r="DE275" s="5" t="e">
        <v>#N/A</v>
      </c>
      <c r="DF275" s="5" t="e">
        <v>#N/A</v>
      </c>
      <c r="DG275" s="5" t="e">
        <v>#N/A</v>
      </c>
      <c r="DH275" s="5" t="e">
        <v>#N/A</v>
      </c>
      <c r="DI275" s="5" t="e">
        <v>#N/A</v>
      </c>
    </row>
    <row r="276" spans="1:113" s="5" customFormat="1">
      <c r="A276"/>
      <c r="B276"/>
      <c r="C276" s="44"/>
      <c r="D276" s="44"/>
      <c r="E276" s="44"/>
      <c r="F276" s="44"/>
      <c r="G276" s="44"/>
      <c r="H276" s="44"/>
      <c r="I276" s="44"/>
      <c r="J276" s="44"/>
      <c r="K276" s="44"/>
      <c r="L276" s="44"/>
      <c r="M276" t="str">
        <f t="shared" si="33"/>
        <v>"//*[@class=\"</v>
      </c>
      <c r="N276" t="s">
        <v>31</v>
      </c>
      <c r="O276" s="4" t="str">
        <f t="shared" si="36"/>
        <v>click</v>
      </c>
      <c r="P276" t="str">
        <f t="shared" si="37"/>
        <v>();</v>
      </c>
      <c r="Q276" t="str">
        <f t="shared" si="38"/>
        <v/>
      </c>
      <c r="R276" t="str">
        <f t="shared" si="34"/>
        <v/>
      </c>
      <c r="S276" s="1" t="str">
        <f t="shared" si="35"/>
        <v/>
      </c>
      <c r="T276"/>
      <c r="U276"/>
      <c r="V276"/>
      <c r="W276"/>
      <c r="X276"/>
      <c r="Y276"/>
      <c r="Z276">
        <v>267</v>
      </c>
      <c r="AA276"/>
      <c r="AB276"/>
      <c r="AC276" s="6"/>
      <c r="AD276" s="6"/>
      <c r="AE276" s="6"/>
      <c r="AF276" s="6"/>
      <c r="AG276" s="4"/>
      <c r="AH276" s="4"/>
      <c r="AI276" s="4"/>
      <c r="AJ276" s="4"/>
      <c r="AK276" s="4"/>
      <c r="AL276" s="4"/>
      <c r="AM276" s="4"/>
      <c r="AN276" s="4"/>
      <c r="AO276" s="4"/>
      <c r="AP276" s="4"/>
      <c r="AQ276" s="4"/>
      <c r="AR276" s="4"/>
      <c r="AS276" s="4"/>
      <c r="AT276" s="4"/>
      <c r="AU276" s="4"/>
      <c r="AV276" s="4"/>
      <c r="AW276" s="4"/>
      <c r="AX276" s="4"/>
      <c r="AY276" s="4"/>
      <c r="AZ276" s="4"/>
      <c r="BA276" s="4"/>
      <c r="BB276" s="3"/>
      <c r="BC276" s="3"/>
      <c r="CT276" s="5" t="e">
        <v>#N/A</v>
      </c>
      <c r="CU276" s="5" t="e">
        <v>#N/A</v>
      </c>
      <c r="CV276" s="5" t="e">
        <v>#N/A</v>
      </c>
      <c r="CW276" s="5" t="e">
        <v>#N/A</v>
      </c>
      <c r="CX276" s="5" t="e">
        <v>#N/A</v>
      </c>
      <c r="CY276" s="5" t="e">
        <v>#N/A</v>
      </c>
      <c r="CZ276" s="5" t="e">
        <v>#N/A</v>
      </c>
      <c r="DA276" s="5" t="e">
        <v>#N/A</v>
      </c>
      <c r="DB276" s="5" t="e">
        <v>#N/A</v>
      </c>
      <c r="DC276" s="5" t="e">
        <v>#N/A</v>
      </c>
      <c r="DD276" s="5" t="e">
        <v>#N/A</v>
      </c>
      <c r="DE276" s="5" t="e">
        <v>#N/A</v>
      </c>
      <c r="DF276" s="5" t="e">
        <v>#N/A</v>
      </c>
      <c r="DG276" s="5" t="e">
        <v>#N/A</v>
      </c>
      <c r="DH276" s="5" t="e">
        <v>#N/A</v>
      </c>
      <c r="DI276" s="5" t="e">
        <v>#N/A</v>
      </c>
    </row>
    <row r="277" spans="1:113" s="5" customFormat="1">
      <c r="A277"/>
      <c r="B277"/>
      <c r="C277" s="44"/>
      <c r="D277" s="44"/>
      <c r="E277" s="44"/>
      <c r="F277" s="44"/>
      <c r="G277" s="44"/>
      <c r="H277" s="44"/>
      <c r="I277" s="44"/>
      <c r="J277" s="44"/>
      <c r="K277" s="44"/>
      <c r="L277" s="44"/>
      <c r="M277" t="str">
        <f t="shared" si="33"/>
        <v>"//*[@class=\"</v>
      </c>
      <c r="N277" t="s">
        <v>31</v>
      </c>
      <c r="O277" s="4" t="str">
        <f t="shared" si="36"/>
        <v>click</v>
      </c>
      <c r="P277" t="str">
        <f t="shared" si="37"/>
        <v>();</v>
      </c>
      <c r="Q277" t="str">
        <f t="shared" si="38"/>
        <v/>
      </c>
      <c r="R277" t="str">
        <f t="shared" si="34"/>
        <v/>
      </c>
      <c r="S277" s="1" t="str">
        <f t="shared" si="35"/>
        <v/>
      </c>
      <c r="T277"/>
      <c r="U277"/>
      <c r="V277"/>
      <c r="W277"/>
      <c r="X277"/>
      <c r="Y277"/>
      <c r="Z277">
        <v>268</v>
      </c>
      <c r="AA277"/>
      <c r="AB277"/>
      <c r="AC277" s="6"/>
      <c r="AD277" s="6"/>
      <c r="AE277" s="6"/>
      <c r="AF277" s="6"/>
      <c r="AG277" s="4"/>
      <c r="AH277" s="4"/>
      <c r="AI277" s="4"/>
      <c r="AJ277" s="4"/>
      <c r="AK277" s="4"/>
      <c r="AL277" s="4"/>
      <c r="AM277" s="4"/>
      <c r="AN277" s="4"/>
      <c r="AO277" s="4"/>
      <c r="AP277" s="4"/>
      <c r="AQ277" s="4"/>
      <c r="AR277" s="4"/>
      <c r="AS277" s="4"/>
      <c r="AT277" s="4"/>
      <c r="AU277" s="4"/>
      <c r="AV277" s="4"/>
      <c r="AW277" s="4"/>
      <c r="AX277" s="4"/>
      <c r="AY277" s="4"/>
      <c r="AZ277" s="4"/>
      <c r="BA277" s="4"/>
      <c r="BB277" s="3"/>
      <c r="BC277" s="3"/>
      <c r="CT277" s="5" t="e">
        <v>#N/A</v>
      </c>
      <c r="CU277" s="5" t="e">
        <v>#N/A</v>
      </c>
      <c r="CV277" s="5" t="e">
        <v>#N/A</v>
      </c>
      <c r="CW277" s="5" t="e">
        <v>#N/A</v>
      </c>
      <c r="CX277" s="5" t="e">
        <v>#N/A</v>
      </c>
      <c r="CY277" s="5" t="e">
        <v>#N/A</v>
      </c>
      <c r="CZ277" s="5" t="e">
        <v>#N/A</v>
      </c>
      <c r="DA277" s="5" t="e">
        <v>#N/A</v>
      </c>
      <c r="DB277" s="5" t="e">
        <v>#N/A</v>
      </c>
      <c r="DC277" s="5" t="e">
        <v>#N/A</v>
      </c>
      <c r="DD277" s="5" t="e">
        <v>#N/A</v>
      </c>
      <c r="DE277" s="5" t="e">
        <v>#N/A</v>
      </c>
      <c r="DF277" s="5" t="e">
        <v>#N/A</v>
      </c>
      <c r="DG277" s="5" t="e">
        <v>#N/A</v>
      </c>
      <c r="DH277" s="5" t="e">
        <v>#N/A</v>
      </c>
      <c r="DI277" s="5" t="e">
        <v>#N/A</v>
      </c>
    </row>
    <row r="278" spans="1:113" s="5" customFormat="1">
      <c r="A278"/>
      <c r="B278"/>
      <c r="C278" s="44"/>
      <c r="D278" s="44"/>
      <c r="E278" s="44"/>
      <c r="F278" s="44"/>
      <c r="G278" s="44"/>
      <c r="H278" s="44"/>
      <c r="I278" s="44"/>
      <c r="J278" s="44"/>
      <c r="K278" s="44"/>
      <c r="L278" s="44"/>
      <c r="M278" t="str">
        <f t="shared" si="33"/>
        <v>"//*[@class=\"</v>
      </c>
      <c r="N278" t="s">
        <v>31</v>
      </c>
      <c r="O278" s="4" t="str">
        <f t="shared" si="36"/>
        <v>click</v>
      </c>
      <c r="P278" t="str">
        <f t="shared" si="37"/>
        <v>();</v>
      </c>
      <c r="Q278" t="str">
        <f t="shared" si="38"/>
        <v/>
      </c>
      <c r="R278" t="str">
        <f t="shared" si="34"/>
        <v/>
      </c>
      <c r="S278" s="1" t="str">
        <f t="shared" si="35"/>
        <v/>
      </c>
      <c r="T278"/>
      <c r="U278"/>
      <c r="V278"/>
      <c r="W278"/>
      <c r="X278"/>
      <c r="Y278"/>
      <c r="Z278">
        <v>269</v>
      </c>
      <c r="AA278"/>
      <c r="AB278"/>
      <c r="AC278" s="6"/>
      <c r="AD278" s="6"/>
      <c r="AE278" s="6"/>
      <c r="AF278" s="6"/>
      <c r="AG278" s="4"/>
      <c r="AH278" s="4"/>
      <c r="AI278" s="4"/>
      <c r="AJ278" s="4"/>
      <c r="AK278" s="4"/>
      <c r="AL278" s="4"/>
      <c r="AM278" s="4"/>
      <c r="AN278" s="4"/>
      <c r="AO278" s="4"/>
      <c r="AP278" s="4"/>
      <c r="AQ278" s="4"/>
      <c r="AR278" s="4"/>
      <c r="AS278" s="4"/>
      <c r="AT278" s="4"/>
      <c r="AU278" s="4"/>
      <c r="AV278" s="4"/>
      <c r="AW278" s="4"/>
      <c r="AX278" s="4"/>
      <c r="AY278" s="4"/>
      <c r="AZ278" s="4"/>
      <c r="BA278" s="4"/>
      <c r="BB278" s="3"/>
      <c r="BC278" s="3"/>
      <c r="CT278" s="5" t="e">
        <v>#N/A</v>
      </c>
      <c r="CU278" s="5" t="e">
        <v>#N/A</v>
      </c>
      <c r="CV278" s="5" t="e">
        <v>#N/A</v>
      </c>
      <c r="CW278" s="5" t="e">
        <v>#N/A</v>
      </c>
      <c r="CX278" s="5" t="e">
        <v>#N/A</v>
      </c>
      <c r="CY278" s="5" t="e">
        <v>#N/A</v>
      </c>
      <c r="CZ278" s="5" t="e">
        <v>#N/A</v>
      </c>
      <c r="DA278" s="5" t="e">
        <v>#N/A</v>
      </c>
      <c r="DB278" s="5" t="e">
        <v>#N/A</v>
      </c>
      <c r="DC278" s="5" t="e">
        <v>#N/A</v>
      </c>
      <c r="DD278" s="5" t="e">
        <v>#N/A</v>
      </c>
      <c r="DE278" s="5" t="e">
        <v>#N/A</v>
      </c>
      <c r="DF278" s="5" t="e">
        <v>#N/A</v>
      </c>
      <c r="DG278" s="5" t="e">
        <v>#N/A</v>
      </c>
      <c r="DH278" s="5" t="e">
        <v>#N/A</v>
      </c>
      <c r="DI278" s="5" t="e">
        <v>#N/A</v>
      </c>
    </row>
    <row r="279" spans="1:113" s="5" customFormat="1">
      <c r="A279"/>
      <c r="B279"/>
      <c r="C279" s="44"/>
      <c r="D279" s="44"/>
      <c r="E279" s="44"/>
      <c r="F279" s="44"/>
      <c r="G279" s="44"/>
      <c r="H279" s="44"/>
      <c r="I279" s="44"/>
      <c r="J279" s="44"/>
      <c r="K279" s="44"/>
      <c r="L279" s="44"/>
      <c r="M279" t="str">
        <f t="shared" si="33"/>
        <v>"//*[@class=\"</v>
      </c>
      <c r="N279" t="s">
        <v>31</v>
      </c>
      <c r="O279" s="4" t="str">
        <f t="shared" si="36"/>
        <v>click</v>
      </c>
      <c r="P279" t="str">
        <f t="shared" si="37"/>
        <v>();</v>
      </c>
      <c r="Q279" t="str">
        <f t="shared" si="38"/>
        <v/>
      </c>
      <c r="R279" t="str">
        <f t="shared" si="34"/>
        <v/>
      </c>
      <c r="S279" s="1" t="str">
        <f t="shared" si="35"/>
        <v/>
      </c>
      <c r="T279"/>
      <c r="U279"/>
      <c r="V279"/>
      <c r="W279"/>
      <c r="X279"/>
      <c r="Y279"/>
      <c r="Z279">
        <v>270</v>
      </c>
      <c r="AA279"/>
      <c r="AB279"/>
      <c r="AC279" s="6"/>
      <c r="AD279" s="6"/>
      <c r="AE279" s="6"/>
      <c r="AF279" s="6"/>
      <c r="AG279" s="4"/>
      <c r="AH279" s="4"/>
      <c r="AI279" s="4"/>
      <c r="AJ279" s="4"/>
      <c r="AK279" s="4"/>
      <c r="AL279" s="4"/>
      <c r="AM279" s="4"/>
      <c r="AN279" s="4"/>
      <c r="AO279" s="4"/>
      <c r="AP279" s="4"/>
      <c r="AQ279" s="4"/>
      <c r="AR279" s="4"/>
      <c r="AS279" s="4"/>
      <c r="AT279" s="4"/>
      <c r="AU279" s="4"/>
      <c r="AV279" s="4"/>
      <c r="AW279" s="4"/>
      <c r="AX279" s="4"/>
      <c r="AY279" s="4"/>
      <c r="AZ279" s="4"/>
      <c r="BA279" s="4"/>
      <c r="BB279" s="3"/>
      <c r="BC279" s="3"/>
      <c r="CT279" s="5" t="e">
        <v>#N/A</v>
      </c>
      <c r="CU279" s="5" t="e">
        <v>#N/A</v>
      </c>
      <c r="CV279" s="5" t="e">
        <v>#N/A</v>
      </c>
      <c r="CW279" s="5" t="e">
        <v>#N/A</v>
      </c>
      <c r="CX279" s="5" t="e">
        <v>#N/A</v>
      </c>
      <c r="CY279" s="5" t="e">
        <v>#N/A</v>
      </c>
      <c r="CZ279" s="5" t="e">
        <v>#N/A</v>
      </c>
      <c r="DA279" s="5" t="e">
        <v>#N/A</v>
      </c>
      <c r="DB279" s="5" t="e">
        <v>#N/A</v>
      </c>
      <c r="DC279" s="5" t="e">
        <v>#N/A</v>
      </c>
      <c r="DD279" s="5" t="e">
        <v>#N/A</v>
      </c>
      <c r="DE279" s="5" t="e">
        <v>#N/A</v>
      </c>
      <c r="DF279" s="5" t="e">
        <v>#N/A</v>
      </c>
      <c r="DG279" s="5" t="e">
        <v>#N/A</v>
      </c>
      <c r="DH279" s="5" t="e">
        <v>#N/A</v>
      </c>
      <c r="DI279" s="5" t="e">
        <v>#N/A</v>
      </c>
    </row>
    <row r="280" spans="1:113" s="5" customFormat="1">
      <c r="A280"/>
      <c r="B280"/>
      <c r="C280" s="44"/>
      <c r="D280" s="44"/>
      <c r="E280" s="44"/>
      <c r="F280" s="44"/>
      <c r="G280" s="44"/>
      <c r="H280" s="44"/>
      <c r="I280" s="44"/>
      <c r="J280" s="44"/>
      <c r="K280" s="44"/>
      <c r="L280" s="44"/>
      <c r="M280" t="str">
        <f t="shared" si="33"/>
        <v>"//*[@class=\"</v>
      </c>
      <c r="N280" t="s">
        <v>31</v>
      </c>
      <c r="O280" s="4" t="str">
        <f t="shared" si="36"/>
        <v>click</v>
      </c>
      <c r="P280" t="str">
        <f t="shared" si="37"/>
        <v>();</v>
      </c>
      <c r="Q280" t="str">
        <f t="shared" si="38"/>
        <v/>
      </c>
      <c r="R280" t="str">
        <f t="shared" si="34"/>
        <v/>
      </c>
      <c r="S280" s="1" t="str">
        <f t="shared" si="35"/>
        <v/>
      </c>
      <c r="T280"/>
      <c r="U280"/>
      <c r="V280"/>
      <c r="W280"/>
      <c r="X280"/>
      <c r="Y280"/>
      <c r="Z280">
        <v>271</v>
      </c>
      <c r="AA280"/>
      <c r="AB280"/>
      <c r="AC280" s="6"/>
      <c r="AD280" s="6"/>
      <c r="AE280" s="6"/>
      <c r="AF280" s="6"/>
      <c r="AG280" s="4"/>
      <c r="AH280" s="4"/>
      <c r="AI280" s="4"/>
      <c r="AJ280" s="4"/>
      <c r="AK280" s="4"/>
      <c r="AL280" s="4"/>
      <c r="AM280" s="4"/>
      <c r="AN280" s="4"/>
      <c r="AO280" s="4"/>
      <c r="AP280" s="4"/>
      <c r="AQ280" s="4"/>
      <c r="AR280" s="4"/>
      <c r="AS280" s="4"/>
      <c r="AT280" s="4"/>
      <c r="AU280" s="4"/>
      <c r="AV280" s="4"/>
      <c r="AW280" s="4"/>
      <c r="AX280" s="4"/>
      <c r="AY280" s="4"/>
      <c r="AZ280" s="4"/>
      <c r="BA280" s="4"/>
      <c r="BB280" s="3"/>
      <c r="BC280" s="3"/>
      <c r="CT280" s="5" t="e">
        <v>#N/A</v>
      </c>
      <c r="CU280" s="5" t="e">
        <v>#N/A</v>
      </c>
      <c r="CV280" s="5" t="e">
        <v>#N/A</v>
      </c>
      <c r="CW280" s="5" t="e">
        <v>#N/A</v>
      </c>
      <c r="CX280" s="5" t="e">
        <v>#N/A</v>
      </c>
      <c r="CY280" s="5" t="e">
        <v>#N/A</v>
      </c>
      <c r="CZ280" s="5" t="e">
        <v>#N/A</v>
      </c>
      <c r="DA280" s="5" t="e">
        <v>#N/A</v>
      </c>
      <c r="DB280" s="5" t="e">
        <v>#N/A</v>
      </c>
      <c r="DC280" s="5" t="e">
        <v>#N/A</v>
      </c>
      <c r="DD280" s="5" t="e">
        <v>#N/A</v>
      </c>
      <c r="DE280" s="5" t="e">
        <v>#N/A</v>
      </c>
      <c r="DF280" s="5" t="e">
        <v>#N/A</v>
      </c>
      <c r="DG280" s="5" t="e">
        <v>#N/A</v>
      </c>
      <c r="DH280" s="5" t="e">
        <v>#N/A</v>
      </c>
      <c r="DI280" s="5" t="e">
        <v>#N/A</v>
      </c>
    </row>
    <row r="281" spans="1:113" s="5" customFormat="1">
      <c r="A281"/>
      <c r="B281"/>
      <c r="C281" s="44"/>
      <c r="D281" s="44"/>
      <c r="E281" s="44"/>
      <c r="F281" s="44"/>
      <c r="G281" s="44"/>
      <c r="H281" s="44"/>
      <c r="I281" s="44"/>
      <c r="J281" s="44"/>
      <c r="K281" s="44"/>
      <c r="L281" s="44"/>
      <c r="M281" t="str">
        <f t="shared" si="33"/>
        <v>"//*[@class=\"</v>
      </c>
      <c r="N281" t="s">
        <v>31</v>
      </c>
      <c r="O281" s="4" t="str">
        <f t="shared" si="36"/>
        <v>click</v>
      </c>
      <c r="P281" t="str">
        <f t="shared" si="37"/>
        <v>();</v>
      </c>
      <c r="Q281" t="str">
        <f t="shared" si="38"/>
        <v/>
      </c>
      <c r="R281" t="str">
        <f t="shared" si="34"/>
        <v/>
      </c>
      <c r="S281" s="1" t="str">
        <f t="shared" si="35"/>
        <v/>
      </c>
      <c r="T281"/>
      <c r="U281"/>
      <c r="V281"/>
      <c r="W281"/>
      <c r="X281"/>
      <c r="Y281"/>
      <c r="Z281">
        <v>272</v>
      </c>
      <c r="AA281"/>
      <c r="AB281"/>
      <c r="AC281" s="6"/>
      <c r="AD281" s="6"/>
      <c r="AE281" s="6"/>
      <c r="AF281" s="6"/>
      <c r="AG281" s="4"/>
      <c r="AH281" s="4"/>
      <c r="AI281" s="4"/>
      <c r="AJ281" s="4"/>
      <c r="AK281" s="4"/>
      <c r="AL281" s="4"/>
      <c r="AM281" s="4"/>
      <c r="AN281" s="4"/>
      <c r="AO281" s="4"/>
      <c r="AP281" s="4"/>
      <c r="AQ281" s="4"/>
      <c r="AR281" s="4"/>
      <c r="AS281" s="4"/>
      <c r="AT281" s="4"/>
      <c r="AU281" s="4"/>
      <c r="AV281" s="4"/>
      <c r="AW281" s="4"/>
      <c r="AX281" s="4"/>
      <c r="AY281" s="4"/>
      <c r="AZ281" s="4"/>
      <c r="BA281" s="4"/>
      <c r="BB281" s="3"/>
      <c r="BC281" s="3"/>
      <c r="CT281" s="5" t="e">
        <v>#N/A</v>
      </c>
      <c r="CU281" s="5" t="e">
        <v>#N/A</v>
      </c>
      <c r="CV281" s="5" t="e">
        <v>#N/A</v>
      </c>
      <c r="CW281" s="5" t="e">
        <v>#N/A</v>
      </c>
      <c r="CX281" s="5" t="e">
        <v>#N/A</v>
      </c>
      <c r="CY281" s="5" t="e">
        <v>#N/A</v>
      </c>
      <c r="CZ281" s="5" t="e">
        <v>#N/A</v>
      </c>
      <c r="DA281" s="5" t="e">
        <v>#N/A</v>
      </c>
      <c r="DB281" s="5" t="e">
        <v>#N/A</v>
      </c>
      <c r="DC281" s="5" t="e">
        <v>#N/A</v>
      </c>
      <c r="DD281" s="5" t="e">
        <v>#N/A</v>
      </c>
      <c r="DE281" s="5" t="e">
        <v>#N/A</v>
      </c>
      <c r="DF281" s="5" t="e">
        <v>#N/A</v>
      </c>
      <c r="DG281" s="5" t="e">
        <v>#N/A</v>
      </c>
      <c r="DH281" s="5" t="e">
        <v>#N/A</v>
      </c>
      <c r="DI281" s="5" t="e">
        <v>#N/A</v>
      </c>
    </row>
    <row r="282" spans="1:113" s="5" customFormat="1">
      <c r="A282"/>
      <c r="B282"/>
      <c r="C282" s="44"/>
      <c r="D282" s="44"/>
      <c r="E282" s="44"/>
      <c r="F282" s="44"/>
      <c r="G282" s="44"/>
      <c r="H282" s="44"/>
      <c r="I282" s="44"/>
      <c r="J282" s="44"/>
      <c r="K282" s="44"/>
      <c r="L282" s="44"/>
      <c r="M282" t="str">
        <f t="shared" si="33"/>
        <v>"//*[@class=\"</v>
      </c>
      <c r="N282" t="s">
        <v>31</v>
      </c>
      <c r="O282" s="4" t="str">
        <f t="shared" si="36"/>
        <v>click</v>
      </c>
      <c r="P282" t="str">
        <f t="shared" si="37"/>
        <v>();</v>
      </c>
      <c r="Q282" t="str">
        <f t="shared" si="38"/>
        <v/>
      </c>
      <c r="R282" t="str">
        <f t="shared" si="34"/>
        <v/>
      </c>
      <c r="S282" s="1" t="str">
        <f t="shared" si="35"/>
        <v/>
      </c>
      <c r="T282"/>
      <c r="U282"/>
      <c r="V282"/>
      <c r="W282"/>
      <c r="X282"/>
      <c r="Y282"/>
      <c r="Z282">
        <v>273</v>
      </c>
      <c r="AA282"/>
      <c r="AB282"/>
      <c r="AC282" s="6"/>
      <c r="AD282" s="6"/>
      <c r="AE282" s="6"/>
      <c r="AF282" s="6"/>
      <c r="AG282" s="4"/>
      <c r="AH282" s="4"/>
      <c r="AI282" s="4"/>
      <c r="AJ282" s="4"/>
      <c r="AK282" s="4"/>
      <c r="AL282" s="4"/>
      <c r="AM282" s="4"/>
      <c r="AN282" s="4"/>
      <c r="AO282" s="4"/>
      <c r="AP282" s="4"/>
      <c r="AQ282" s="4"/>
      <c r="AR282" s="4"/>
      <c r="AS282" s="4"/>
      <c r="AT282" s="4"/>
      <c r="AU282" s="4"/>
      <c r="AV282" s="4"/>
      <c r="AW282" s="4"/>
      <c r="AX282" s="4"/>
      <c r="AY282" s="4"/>
      <c r="AZ282" s="4"/>
      <c r="BA282" s="4"/>
      <c r="BB282" s="3"/>
      <c r="BC282" s="3"/>
      <c r="CT282" s="5" t="e">
        <v>#N/A</v>
      </c>
      <c r="CU282" s="5" t="e">
        <v>#N/A</v>
      </c>
      <c r="CV282" s="5" t="e">
        <v>#N/A</v>
      </c>
      <c r="CW282" s="5" t="e">
        <v>#N/A</v>
      </c>
      <c r="CX282" s="5" t="e">
        <v>#N/A</v>
      </c>
      <c r="CY282" s="5" t="e">
        <v>#N/A</v>
      </c>
      <c r="CZ282" s="5" t="e">
        <v>#N/A</v>
      </c>
      <c r="DA282" s="5" t="e">
        <v>#N/A</v>
      </c>
      <c r="DB282" s="5" t="e">
        <v>#N/A</v>
      </c>
      <c r="DC282" s="5" t="e">
        <v>#N/A</v>
      </c>
      <c r="DD282" s="5" t="e">
        <v>#N/A</v>
      </c>
      <c r="DE282" s="5" t="e">
        <v>#N/A</v>
      </c>
      <c r="DF282" s="5" t="e">
        <v>#N/A</v>
      </c>
      <c r="DG282" s="5" t="e">
        <v>#N/A</v>
      </c>
      <c r="DH282" s="5" t="e">
        <v>#N/A</v>
      </c>
      <c r="DI282" s="5" t="e">
        <v>#N/A</v>
      </c>
    </row>
    <row r="283" spans="1:113" s="5" customFormat="1">
      <c r="A283"/>
      <c r="B283"/>
      <c r="C283" s="44"/>
      <c r="D283" s="44"/>
      <c r="E283" s="44"/>
      <c r="F283" s="44"/>
      <c r="G283" s="44"/>
      <c r="H283" s="44"/>
      <c r="I283" s="44"/>
      <c r="J283" s="44"/>
      <c r="K283" s="44"/>
      <c r="L283" s="44"/>
      <c r="M283" t="str">
        <f t="shared" si="33"/>
        <v>"//*[@class=\"</v>
      </c>
      <c r="N283" t="s">
        <v>31</v>
      </c>
      <c r="O283" s="4" t="str">
        <f t="shared" si="36"/>
        <v>click</v>
      </c>
      <c r="P283" t="str">
        <f t="shared" si="37"/>
        <v>();</v>
      </c>
      <c r="Q283" t="str">
        <f t="shared" si="38"/>
        <v/>
      </c>
      <c r="R283" t="str">
        <f t="shared" si="34"/>
        <v/>
      </c>
      <c r="S283" s="1" t="str">
        <f t="shared" si="35"/>
        <v/>
      </c>
      <c r="T283"/>
      <c r="U283"/>
      <c r="V283"/>
      <c r="W283"/>
      <c r="X283"/>
      <c r="Y283"/>
      <c r="Z283">
        <v>274</v>
      </c>
      <c r="AA283"/>
      <c r="AB283"/>
      <c r="AC283" s="6"/>
      <c r="AD283" s="6"/>
      <c r="AE283" s="6"/>
      <c r="AF283" s="6"/>
      <c r="AG283" s="4"/>
      <c r="AH283" s="4"/>
      <c r="AI283" s="4"/>
      <c r="AJ283" s="4"/>
      <c r="AK283" s="4"/>
      <c r="AL283" s="4"/>
      <c r="AM283" s="4"/>
      <c r="AN283" s="4"/>
      <c r="AO283" s="4"/>
      <c r="AP283" s="4"/>
      <c r="AQ283" s="4"/>
      <c r="AR283" s="4"/>
      <c r="AS283" s="4"/>
      <c r="AT283" s="4"/>
      <c r="AU283" s="4"/>
      <c r="AV283" s="4"/>
      <c r="AW283" s="4"/>
      <c r="AX283" s="4"/>
      <c r="AY283" s="4"/>
      <c r="AZ283" s="4"/>
      <c r="BA283" s="4"/>
      <c r="BB283" s="3"/>
      <c r="BC283" s="3"/>
      <c r="CT283" s="5" t="e">
        <v>#N/A</v>
      </c>
      <c r="CU283" s="5" t="e">
        <v>#N/A</v>
      </c>
      <c r="CV283" s="5" t="e">
        <v>#N/A</v>
      </c>
      <c r="CW283" s="5" t="e">
        <v>#N/A</v>
      </c>
      <c r="CX283" s="5" t="e">
        <v>#N/A</v>
      </c>
      <c r="CY283" s="5" t="e">
        <v>#N/A</v>
      </c>
      <c r="CZ283" s="5" t="e">
        <v>#N/A</v>
      </c>
      <c r="DA283" s="5" t="e">
        <v>#N/A</v>
      </c>
      <c r="DB283" s="5" t="e">
        <v>#N/A</v>
      </c>
      <c r="DC283" s="5" t="e">
        <v>#N/A</v>
      </c>
      <c r="DD283" s="5" t="e">
        <v>#N/A</v>
      </c>
      <c r="DE283" s="5" t="e">
        <v>#N/A</v>
      </c>
      <c r="DF283" s="5" t="e">
        <v>#N/A</v>
      </c>
      <c r="DG283" s="5" t="e">
        <v>#N/A</v>
      </c>
      <c r="DH283" s="5" t="e">
        <v>#N/A</v>
      </c>
      <c r="DI283" s="5" t="e">
        <v>#N/A</v>
      </c>
    </row>
    <row r="284" spans="1:113" s="5" customFormat="1">
      <c r="A284"/>
      <c r="B284"/>
      <c r="C284" s="44"/>
      <c r="D284" s="44"/>
      <c r="E284" s="44"/>
      <c r="F284" s="44"/>
      <c r="G284" s="44"/>
      <c r="H284" s="44"/>
      <c r="I284" s="44"/>
      <c r="J284" s="44"/>
      <c r="K284" s="44"/>
      <c r="L284" s="44"/>
      <c r="M284" t="str">
        <f t="shared" si="33"/>
        <v>"//*[@class=\"</v>
      </c>
      <c r="N284" t="s">
        <v>31</v>
      </c>
      <c r="O284" s="4" t="str">
        <f t="shared" si="36"/>
        <v>click</v>
      </c>
      <c r="P284" t="str">
        <f t="shared" si="37"/>
        <v>();</v>
      </c>
      <c r="Q284" t="str">
        <f t="shared" si="38"/>
        <v/>
      </c>
      <c r="R284" t="str">
        <f t="shared" si="34"/>
        <v/>
      </c>
      <c r="S284" s="1" t="str">
        <f t="shared" si="35"/>
        <v/>
      </c>
      <c r="T284"/>
      <c r="U284"/>
      <c r="V284"/>
      <c r="W284"/>
      <c r="X284"/>
      <c r="Y284"/>
      <c r="Z284">
        <v>275</v>
      </c>
      <c r="AA284"/>
      <c r="AB284"/>
      <c r="AC284" s="6"/>
      <c r="AD284" s="6"/>
      <c r="AE284" s="6"/>
      <c r="AF284" s="6"/>
      <c r="AG284" s="4"/>
      <c r="AH284" s="4"/>
      <c r="AI284" s="4"/>
      <c r="AJ284" s="4"/>
      <c r="AK284" s="4"/>
      <c r="AL284" s="4"/>
      <c r="AM284" s="4"/>
      <c r="AN284" s="4"/>
      <c r="AO284" s="4"/>
      <c r="AP284" s="4"/>
      <c r="AQ284" s="4"/>
      <c r="AR284" s="4"/>
      <c r="AS284" s="4"/>
      <c r="AT284" s="4"/>
      <c r="AU284" s="4"/>
      <c r="AV284" s="4"/>
      <c r="AW284" s="4"/>
      <c r="AX284" s="4"/>
      <c r="AY284" s="4"/>
      <c r="AZ284" s="4"/>
      <c r="BA284" s="4"/>
      <c r="BB284" s="3"/>
      <c r="BC284" s="3"/>
      <c r="CT284" s="5" t="e">
        <v>#N/A</v>
      </c>
      <c r="CU284" s="5" t="e">
        <v>#N/A</v>
      </c>
      <c r="CV284" s="5" t="e">
        <v>#N/A</v>
      </c>
      <c r="CW284" s="5" t="e">
        <v>#N/A</v>
      </c>
      <c r="CX284" s="5" t="e">
        <v>#N/A</v>
      </c>
      <c r="CY284" s="5" t="e">
        <v>#N/A</v>
      </c>
      <c r="CZ284" s="5" t="e">
        <v>#N/A</v>
      </c>
      <c r="DA284" s="5" t="e">
        <v>#N/A</v>
      </c>
      <c r="DB284" s="5" t="e">
        <v>#N/A</v>
      </c>
      <c r="DC284" s="5" t="e">
        <v>#N/A</v>
      </c>
      <c r="DD284" s="5" t="e">
        <v>#N/A</v>
      </c>
      <c r="DE284" s="5" t="e">
        <v>#N/A</v>
      </c>
      <c r="DF284" s="5" t="e">
        <v>#N/A</v>
      </c>
      <c r="DG284" s="5" t="e">
        <v>#N/A</v>
      </c>
      <c r="DH284" s="5" t="e">
        <v>#N/A</v>
      </c>
      <c r="DI284" s="5" t="e">
        <v>#N/A</v>
      </c>
    </row>
    <row r="285" spans="1:113" s="5" customFormat="1">
      <c r="A285"/>
      <c r="B285"/>
      <c r="C285" s="44"/>
      <c r="D285" s="44"/>
      <c r="E285" s="44"/>
      <c r="F285" s="44"/>
      <c r="G285" s="44"/>
      <c r="H285" s="44"/>
      <c r="I285" s="44"/>
      <c r="J285" s="44"/>
      <c r="K285" s="44"/>
      <c r="L285" s="44"/>
      <c r="M285" t="str">
        <f t="shared" si="33"/>
        <v>"//*[@class=\"</v>
      </c>
      <c r="N285" t="s">
        <v>31</v>
      </c>
      <c r="O285" s="4" t="str">
        <f t="shared" si="36"/>
        <v>click</v>
      </c>
      <c r="P285" t="str">
        <f t="shared" si="37"/>
        <v>();</v>
      </c>
      <c r="Q285" t="str">
        <f t="shared" si="38"/>
        <v/>
      </c>
      <c r="R285" t="str">
        <f t="shared" si="34"/>
        <v/>
      </c>
      <c r="S285" s="1" t="str">
        <f t="shared" si="35"/>
        <v/>
      </c>
      <c r="T285"/>
      <c r="U285"/>
      <c r="V285"/>
      <c r="W285"/>
      <c r="X285"/>
      <c r="Y285"/>
      <c r="Z285">
        <v>276</v>
      </c>
      <c r="AA285"/>
      <c r="AB285"/>
      <c r="AC285" s="6"/>
      <c r="AD285" s="6"/>
      <c r="AE285" s="6"/>
      <c r="AF285" s="6"/>
      <c r="AG285" s="4"/>
      <c r="AH285" s="4"/>
      <c r="AI285" s="4"/>
      <c r="AJ285" s="4"/>
      <c r="AK285" s="4"/>
      <c r="AL285" s="4"/>
      <c r="AM285" s="4"/>
      <c r="AN285" s="4"/>
      <c r="AO285" s="4"/>
      <c r="AP285" s="4"/>
      <c r="AQ285" s="4"/>
      <c r="AR285" s="4"/>
      <c r="AS285" s="4"/>
      <c r="AT285" s="4"/>
      <c r="AU285" s="4"/>
      <c r="AV285" s="4"/>
      <c r="AW285" s="4"/>
      <c r="AX285" s="4"/>
      <c r="AY285" s="4"/>
      <c r="AZ285" s="4"/>
      <c r="BA285" s="4"/>
      <c r="BB285" s="3"/>
      <c r="BC285" s="3"/>
      <c r="CT285" s="5" t="e">
        <v>#N/A</v>
      </c>
      <c r="CU285" s="5" t="e">
        <v>#N/A</v>
      </c>
      <c r="CV285" s="5" t="e">
        <v>#N/A</v>
      </c>
      <c r="CW285" s="5" t="e">
        <v>#N/A</v>
      </c>
      <c r="CX285" s="5" t="e">
        <v>#N/A</v>
      </c>
      <c r="CY285" s="5" t="e">
        <v>#N/A</v>
      </c>
      <c r="CZ285" s="5" t="e">
        <v>#N/A</v>
      </c>
      <c r="DA285" s="5" t="e">
        <v>#N/A</v>
      </c>
      <c r="DB285" s="5" t="e">
        <v>#N/A</v>
      </c>
      <c r="DC285" s="5" t="e">
        <v>#N/A</v>
      </c>
      <c r="DD285" s="5" t="e">
        <v>#N/A</v>
      </c>
      <c r="DE285" s="5" t="e">
        <v>#N/A</v>
      </c>
      <c r="DF285" s="5" t="e">
        <v>#N/A</v>
      </c>
      <c r="DG285" s="5" t="e">
        <v>#N/A</v>
      </c>
      <c r="DH285" s="5" t="e">
        <v>#N/A</v>
      </c>
      <c r="DI285" s="5" t="e">
        <v>#N/A</v>
      </c>
    </row>
    <row r="286" spans="1:113" s="5" customFormat="1">
      <c r="A286"/>
      <c r="B286"/>
      <c r="C286" s="44"/>
      <c r="D286" s="44"/>
      <c r="E286" s="44"/>
      <c r="F286" s="44"/>
      <c r="G286" s="44"/>
      <c r="H286" s="44"/>
      <c r="I286" s="44"/>
      <c r="J286" s="44"/>
      <c r="K286" s="44"/>
      <c r="L286" s="44"/>
      <c r="M286" t="str">
        <f t="shared" si="33"/>
        <v>"//*[@class=\"</v>
      </c>
      <c r="N286" t="s">
        <v>31</v>
      </c>
      <c r="O286" s="4" t="str">
        <f t="shared" si="36"/>
        <v>click</v>
      </c>
      <c r="P286" t="str">
        <f t="shared" si="37"/>
        <v>();</v>
      </c>
      <c r="Q286" t="str">
        <f t="shared" si="38"/>
        <v/>
      </c>
      <c r="R286" t="str">
        <f t="shared" si="34"/>
        <v/>
      </c>
      <c r="S286" s="1" t="str">
        <f t="shared" si="35"/>
        <v/>
      </c>
      <c r="T286"/>
      <c r="U286"/>
      <c r="V286"/>
      <c r="W286"/>
      <c r="X286"/>
      <c r="Y286"/>
      <c r="Z286">
        <v>277</v>
      </c>
      <c r="AA286"/>
      <c r="AB286"/>
      <c r="AC286" s="6"/>
      <c r="AD286" s="6"/>
      <c r="AE286" s="6"/>
      <c r="AF286" s="6"/>
      <c r="AG286" s="4"/>
      <c r="AH286" s="4"/>
      <c r="AI286" s="4"/>
      <c r="AJ286" s="4"/>
      <c r="AK286" s="4"/>
      <c r="AL286" s="4"/>
      <c r="AM286" s="4"/>
      <c r="AN286" s="4"/>
      <c r="AO286" s="4"/>
      <c r="AP286" s="4"/>
      <c r="AQ286" s="4"/>
      <c r="AR286" s="4"/>
      <c r="AS286" s="4"/>
      <c r="AT286" s="4"/>
      <c r="AU286" s="4"/>
      <c r="AV286" s="4"/>
      <c r="AW286" s="4"/>
      <c r="AX286" s="4"/>
      <c r="AY286" s="4"/>
      <c r="AZ286" s="4"/>
      <c r="BA286" s="4"/>
      <c r="BB286" s="3"/>
      <c r="BC286" s="3"/>
      <c r="CT286" s="5" t="e">
        <v>#N/A</v>
      </c>
      <c r="CU286" s="5" t="e">
        <v>#N/A</v>
      </c>
      <c r="CV286" s="5" t="e">
        <v>#N/A</v>
      </c>
      <c r="CW286" s="5" t="e">
        <v>#N/A</v>
      </c>
      <c r="CX286" s="5" t="e">
        <v>#N/A</v>
      </c>
      <c r="CY286" s="5" t="e">
        <v>#N/A</v>
      </c>
      <c r="CZ286" s="5" t="e">
        <v>#N/A</v>
      </c>
      <c r="DA286" s="5" t="e">
        <v>#N/A</v>
      </c>
      <c r="DB286" s="5" t="e">
        <v>#N/A</v>
      </c>
      <c r="DC286" s="5" t="e">
        <v>#N/A</v>
      </c>
      <c r="DD286" s="5" t="e">
        <v>#N/A</v>
      </c>
      <c r="DE286" s="5" t="e">
        <v>#N/A</v>
      </c>
      <c r="DF286" s="5" t="e">
        <v>#N/A</v>
      </c>
      <c r="DG286" s="5" t="e">
        <v>#N/A</v>
      </c>
      <c r="DH286" s="5" t="e">
        <v>#N/A</v>
      </c>
      <c r="DI286" s="5" t="e">
        <v>#N/A</v>
      </c>
    </row>
    <row r="287" spans="1:113" s="5" customFormat="1">
      <c r="A287"/>
      <c r="B287"/>
      <c r="C287" s="44"/>
      <c r="D287" s="44"/>
      <c r="E287" s="44"/>
      <c r="F287" s="44"/>
      <c r="G287" s="44"/>
      <c r="H287" s="44"/>
      <c r="I287" s="44"/>
      <c r="J287" s="44"/>
      <c r="K287" s="44"/>
      <c r="L287" s="44"/>
      <c r="M287" t="str">
        <f t="shared" si="33"/>
        <v>"//*[@class=\"</v>
      </c>
      <c r="N287" t="s">
        <v>31</v>
      </c>
      <c r="O287" s="4" t="str">
        <f t="shared" si="36"/>
        <v>click</v>
      </c>
      <c r="P287" t="str">
        <f t="shared" si="37"/>
        <v>();</v>
      </c>
      <c r="Q287" t="str">
        <f t="shared" si="38"/>
        <v/>
      </c>
      <c r="R287" t="str">
        <f t="shared" si="34"/>
        <v/>
      </c>
      <c r="S287" s="1" t="str">
        <f t="shared" si="35"/>
        <v/>
      </c>
      <c r="T287"/>
      <c r="U287"/>
      <c r="V287"/>
      <c r="W287"/>
      <c r="X287"/>
      <c r="Y287"/>
      <c r="Z287">
        <v>278</v>
      </c>
      <c r="AA287"/>
      <c r="AB287"/>
      <c r="AC287" s="6"/>
      <c r="AD287" s="6"/>
      <c r="AE287" s="6"/>
      <c r="AF287" s="6"/>
      <c r="AG287" s="4"/>
      <c r="AH287" s="4"/>
      <c r="AI287" s="4"/>
      <c r="AJ287" s="4"/>
      <c r="AK287" s="4"/>
      <c r="AL287" s="4"/>
      <c r="AM287" s="4"/>
      <c r="AN287" s="4"/>
      <c r="AO287" s="4"/>
      <c r="AP287" s="4"/>
      <c r="AQ287" s="4"/>
      <c r="AR287" s="4"/>
      <c r="AS287" s="4"/>
      <c r="AT287" s="4"/>
      <c r="AU287" s="4"/>
      <c r="AV287" s="4"/>
      <c r="AW287" s="4"/>
      <c r="AX287" s="4"/>
      <c r="AY287" s="4"/>
      <c r="AZ287" s="4"/>
      <c r="BA287" s="4"/>
      <c r="BB287" s="3"/>
      <c r="BC287" s="3"/>
      <c r="CT287" s="5" t="e">
        <v>#N/A</v>
      </c>
      <c r="CU287" s="5" t="e">
        <v>#N/A</v>
      </c>
      <c r="CV287" s="5" t="e">
        <v>#N/A</v>
      </c>
      <c r="CW287" s="5" t="e">
        <v>#N/A</v>
      </c>
      <c r="CX287" s="5" t="e">
        <v>#N/A</v>
      </c>
      <c r="CY287" s="5" t="e">
        <v>#N/A</v>
      </c>
      <c r="CZ287" s="5" t="e">
        <v>#N/A</v>
      </c>
      <c r="DA287" s="5" t="e">
        <v>#N/A</v>
      </c>
      <c r="DB287" s="5" t="e">
        <v>#N/A</v>
      </c>
      <c r="DC287" s="5" t="e">
        <v>#N/A</v>
      </c>
      <c r="DD287" s="5" t="e">
        <v>#N/A</v>
      </c>
      <c r="DE287" s="5" t="e">
        <v>#N/A</v>
      </c>
      <c r="DF287" s="5" t="e">
        <v>#N/A</v>
      </c>
      <c r="DG287" s="5" t="e">
        <v>#N/A</v>
      </c>
      <c r="DH287" s="5" t="e">
        <v>#N/A</v>
      </c>
      <c r="DI287" s="5" t="e">
        <v>#N/A</v>
      </c>
    </row>
    <row r="288" spans="1:113" s="5" customFormat="1">
      <c r="A288"/>
      <c r="B288"/>
      <c r="C288" s="44"/>
      <c r="D288" s="44"/>
      <c r="E288" s="44"/>
      <c r="F288" s="44"/>
      <c r="G288" s="44"/>
      <c r="H288" s="44"/>
      <c r="I288" s="44"/>
      <c r="J288" s="44"/>
      <c r="K288" s="44"/>
      <c r="L288" s="44"/>
      <c r="M288" t="str">
        <f t="shared" si="33"/>
        <v>"//*[@class=\"</v>
      </c>
      <c r="N288" t="s">
        <v>31</v>
      </c>
      <c r="O288" s="4" t="str">
        <f t="shared" si="36"/>
        <v>click</v>
      </c>
      <c r="P288" t="str">
        <f t="shared" si="37"/>
        <v>();</v>
      </c>
      <c r="Q288" t="str">
        <f t="shared" si="38"/>
        <v/>
      </c>
      <c r="R288" t="str">
        <f t="shared" si="34"/>
        <v/>
      </c>
      <c r="S288" s="1" t="str">
        <f t="shared" si="35"/>
        <v/>
      </c>
      <c r="T288"/>
      <c r="U288"/>
      <c r="V288"/>
      <c r="W288"/>
      <c r="X288"/>
      <c r="Y288"/>
      <c r="Z288">
        <v>279</v>
      </c>
      <c r="AA288"/>
      <c r="AB288"/>
      <c r="AC288" s="6"/>
      <c r="AD288" s="6"/>
      <c r="AE288" s="6"/>
      <c r="AF288" s="6"/>
      <c r="AG288" s="4"/>
      <c r="AH288" s="4"/>
      <c r="AI288" s="4"/>
      <c r="AJ288" s="4"/>
      <c r="AK288" s="4"/>
      <c r="AL288" s="4"/>
      <c r="AM288" s="4"/>
      <c r="AN288" s="4"/>
      <c r="AO288" s="4"/>
      <c r="AP288" s="4"/>
      <c r="AQ288" s="4"/>
      <c r="AR288" s="4"/>
      <c r="AS288" s="4"/>
      <c r="AT288" s="4"/>
      <c r="AU288" s="4"/>
      <c r="AV288" s="4"/>
      <c r="AW288" s="4"/>
      <c r="AX288" s="4"/>
      <c r="AY288" s="4"/>
      <c r="AZ288" s="4"/>
      <c r="BA288" s="4"/>
      <c r="BB288" s="3"/>
      <c r="BC288" s="3"/>
      <c r="CT288" s="5" t="e">
        <v>#N/A</v>
      </c>
      <c r="CU288" s="5" t="e">
        <v>#N/A</v>
      </c>
      <c r="CV288" s="5" t="e">
        <v>#N/A</v>
      </c>
      <c r="CW288" s="5" t="e">
        <v>#N/A</v>
      </c>
      <c r="CX288" s="5" t="e">
        <v>#N/A</v>
      </c>
      <c r="CY288" s="5" t="e">
        <v>#N/A</v>
      </c>
      <c r="CZ288" s="5" t="e">
        <v>#N/A</v>
      </c>
      <c r="DA288" s="5" t="e">
        <v>#N/A</v>
      </c>
      <c r="DB288" s="5" t="e">
        <v>#N/A</v>
      </c>
      <c r="DC288" s="5" t="e">
        <v>#N/A</v>
      </c>
      <c r="DD288" s="5" t="e">
        <v>#N/A</v>
      </c>
      <c r="DE288" s="5" t="e">
        <v>#N/A</v>
      </c>
      <c r="DF288" s="5" t="e">
        <v>#N/A</v>
      </c>
      <c r="DG288" s="5" t="e">
        <v>#N/A</v>
      </c>
      <c r="DH288" s="5" t="e">
        <v>#N/A</v>
      </c>
      <c r="DI288" s="5" t="e">
        <v>#N/A</v>
      </c>
    </row>
    <row r="289" spans="1:113" s="5" customFormat="1">
      <c r="A289"/>
      <c r="B289"/>
      <c r="C289" s="44"/>
      <c r="D289" s="44"/>
      <c r="E289" s="44"/>
      <c r="F289" s="44"/>
      <c r="G289" s="44"/>
      <c r="H289" s="44"/>
      <c r="I289" s="44"/>
      <c r="J289" s="44"/>
      <c r="K289" s="44"/>
      <c r="L289" s="44"/>
      <c r="M289" t="str">
        <f t="shared" si="33"/>
        <v>"//*[@class=\"</v>
      </c>
      <c r="N289" t="s">
        <v>31</v>
      </c>
      <c r="O289" s="4" t="str">
        <f t="shared" si="36"/>
        <v>click</v>
      </c>
      <c r="P289" t="str">
        <f t="shared" si="37"/>
        <v>();</v>
      </c>
      <c r="Q289" t="str">
        <f t="shared" si="38"/>
        <v/>
      </c>
      <c r="R289" t="str">
        <f t="shared" si="34"/>
        <v/>
      </c>
      <c r="S289" s="1" t="str">
        <f t="shared" si="35"/>
        <v/>
      </c>
      <c r="T289"/>
      <c r="U289"/>
      <c r="V289"/>
      <c r="W289"/>
      <c r="X289"/>
      <c r="Y289"/>
      <c r="Z289">
        <v>280</v>
      </c>
      <c r="AA289"/>
      <c r="AB289"/>
      <c r="AC289" s="6"/>
      <c r="AD289" s="6"/>
      <c r="AE289" s="6"/>
      <c r="AF289" s="6"/>
      <c r="AG289" s="4"/>
      <c r="AH289" s="4"/>
      <c r="AI289" s="4"/>
      <c r="AJ289" s="4"/>
      <c r="AK289" s="4"/>
      <c r="AL289" s="4"/>
      <c r="AM289" s="4"/>
      <c r="AN289" s="4"/>
      <c r="AO289" s="4"/>
      <c r="AP289" s="4"/>
      <c r="AQ289" s="4"/>
      <c r="AR289" s="4"/>
      <c r="AS289" s="4"/>
      <c r="AT289" s="4"/>
      <c r="AU289" s="4"/>
      <c r="AV289" s="4"/>
      <c r="AW289" s="4"/>
      <c r="AX289" s="4"/>
      <c r="AY289" s="4"/>
      <c r="AZ289" s="4"/>
      <c r="BA289" s="4"/>
      <c r="BB289" s="3"/>
      <c r="BC289" s="3"/>
      <c r="CT289" s="5" t="e">
        <v>#N/A</v>
      </c>
      <c r="CU289" s="5" t="e">
        <v>#N/A</v>
      </c>
      <c r="CV289" s="5" t="e">
        <v>#N/A</v>
      </c>
      <c r="CW289" s="5" t="e">
        <v>#N/A</v>
      </c>
      <c r="CX289" s="5" t="e">
        <v>#N/A</v>
      </c>
      <c r="CY289" s="5" t="e">
        <v>#N/A</v>
      </c>
      <c r="CZ289" s="5" t="e">
        <v>#N/A</v>
      </c>
      <c r="DA289" s="5" t="e">
        <v>#N/A</v>
      </c>
      <c r="DB289" s="5" t="e">
        <v>#N/A</v>
      </c>
      <c r="DC289" s="5" t="e">
        <v>#N/A</v>
      </c>
      <c r="DD289" s="5" t="e">
        <v>#N/A</v>
      </c>
      <c r="DE289" s="5" t="e">
        <v>#N/A</v>
      </c>
      <c r="DF289" s="5" t="e">
        <v>#N/A</v>
      </c>
      <c r="DG289" s="5" t="e">
        <v>#N/A</v>
      </c>
      <c r="DH289" s="5" t="e">
        <v>#N/A</v>
      </c>
      <c r="DI289" s="5" t="e">
        <v>#N/A</v>
      </c>
    </row>
    <row r="290" spans="1:113" s="5" customFormat="1">
      <c r="A290"/>
      <c r="B290"/>
      <c r="C290" s="44"/>
      <c r="D290" s="44"/>
      <c r="E290" s="44"/>
      <c r="F290" s="44"/>
      <c r="G290" s="44"/>
      <c r="H290" s="44"/>
      <c r="I290" s="44"/>
      <c r="J290" s="44"/>
      <c r="K290" s="44"/>
      <c r="L290" s="44"/>
      <c r="M290" t="str">
        <f t="shared" si="33"/>
        <v>"//*[@class=\"</v>
      </c>
      <c r="N290" t="s">
        <v>31</v>
      </c>
      <c r="O290" s="4" t="str">
        <f t="shared" si="36"/>
        <v>click</v>
      </c>
      <c r="P290" t="str">
        <f t="shared" si="37"/>
        <v>();</v>
      </c>
      <c r="Q290" t="str">
        <f t="shared" si="38"/>
        <v/>
      </c>
      <c r="R290" t="str">
        <f t="shared" si="34"/>
        <v/>
      </c>
      <c r="S290" s="1" t="str">
        <f t="shared" si="35"/>
        <v/>
      </c>
      <c r="T290"/>
      <c r="U290"/>
      <c r="V290"/>
      <c r="W290"/>
      <c r="X290"/>
      <c r="Y290"/>
      <c r="Z290">
        <v>281</v>
      </c>
      <c r="AA290"/>
      <c r="AB290"/>
      <c r="AC290" s="6"/>
      <c r="AD290" s="6"/>
      <c r="AE290" s="6"/>
      <c r="AF290" s="6"/>
      <c r="AG290" s="4"/>
      <c r="AH290" s="4"/>
      <c r="AI290" s="4"/>
      <c r="AJ290" s="4"/>
      <c r="AK290" s="4"/>
      <c r="AL290" s="4"/>
      <c r="AM290" s="4"/>
      <c r="AN290" s="4"/>
      <c r="AO290" s="4"/>
      <c r="AP290" s="4"/>
      <c r="AQ290" s="4"/>
      <c r="AR290" s="4"/>
      <c r="AS290" s="4"/>
      <c r="AT290" s="4"/>
      <c r="AU290" s="4"/>
      <c r="AV290" s="4"/>
      <c r="AW290" s="4"/>
      <c r="AX290" s="4"/>
      <c r="AY290" s="4"/>
      <c r="AZ290" s="4"/>
      <c r="BA290" s="4"/>
      <c r="BB290" s="3"/>
      <c r="BC290" s="3"/>
      <c r="CT290" s="5" t="e">
        <v>#N/A</v>
      </c>
      <c r="CU290" s="5" t="e">
        <v>#N/A</v>
      </c>
      <c r="CV290" s="5" t="e">
        <v>#N/A</v>
      </c>
      <c r="CW290" s="5" t="e">
        <v>#N/A</v>
      </c>
      <c r="CX290" s="5" t="e">
        <v>#N/A</v>
      </c>
      <c r="CY290" s="5" t="e">
        <v>#N/A</v>
      </c>
      <c r="CZ290" s="5" t="e">
        <v>#N/A</v>
      </c>
      <c r="DA290" s="5" t="e">
        <v>#N/A</v>
      </c>
      <c r="DB290" s="5" t="e">
        <v>#N/A</v>
      </c>
      <c r="DC290" s="5" t="e">
        <v>#N/A</v>
      </c>
      <c r="DD290" s="5" t="e">
        <v>#N/A</v>
      </c>
      <c r="DE290" s="5" t="e">
        <v>#N/A</v>
      </c>
      <c r="DF290" s="5" t="e">
        <v>#N/A</v>
      </c>
      <c r="DG290" s="5" t="e">
        <v>#N/A</v>
      </c>
      <c r="DH290" s="5" t="e">
        <v>#N/A</v>
      </c>
      <c r="DI290" s="5" t="e">
        <v>#N/A</v>
      </c>
    </row>
    <row r="291" spans="1:113" s="5" customFormat="1">
      <c r="A291"/>
      <c r="B291"/>
      <c r="C291" s="44"/>
      <c r="D291" s="44"/>
      <c r="E291" s="44"/>
      <c r="F291" s="44"/>
      <c r="G291" s="44"/>
      <c r="H291" s="44"/>
      <c r="I291" s="44"/>
      <c r="J291" s="44"/>
      <c r="K291" s="44"/>
      <c r="L291" s="44"/>
      <c r="M291" t="str">
        <f t="shared" si="33"/>
        <v>"//*[@class=\"</v>
      </c>
      <c r="N291" t="s">
        <v>31</v>
      </c>
      <c r="O291" s="4" t="str">
        <f t="shared" si="36"/>
        <v>click</v>
      </c>
      <c r="P291" t="str">
        <f t="shared" si="37"/>
        <v>();</v>
      </c>
      <c r="Q291" t="str">
        <f t="shared" si="38"/>
        <v/>
      </c>
      <c r="R291" t="str">
        <f t="shared" si="34"/>
        <v/>
      </c>
      <c r="S291" s="1" t="str">
        <f t="shared" si="35"/>
        <v/>
      </c>
      <c r="T291"/>
      <c r="U291"/>
      <c r="V291"/>
      <c r="W291"/>
      <c r="X291"/>
      <c r="Y291"/>
      <c r="Z291">
        <v>282</v>
      </c>
      <c r="AA291"/>
      <c r="AB291"/>
      <c r="AC291" s="6"/>
      <c r="AD291" s="6"/>
      <c r="AE291" s="6"/>
      <c r="AF291" s="6"/>
      <c r="AG291" s="4"/>
      <c r="AH291" s="4"/>
      <c r="AI291" s="4"/>
      <c r="AJ291" s="4"/>
      <c r="AK291" s="4"/>
      <c r="AL291" s="4"/>
      <c r="AM291" s="4"/>
      <c r="AN291" s="4"/>
      <c r="AO291" s="4"/>
      <c r="AP291" s="4"/>
      <c r="AQ291" s="4"/>
      <c r="AR291" s="4"/>
      <c r="AS291" s="4"/>
      <c r="AT291" s="4"/>
      <c r="AU291" s="4"/>
      <c r="AV291" s="4"/>
      <c r="AW291" s="4"/>
      <c r="AX291" s="4"/>
      <c r="AY291" s="4"/>
      <c r="AZ291" s="4"/>
      <c r="BA291" s="4"/>
      <c r="BB291" s="3"/>
      <c r="BC291" s="3"/>
      <c r="CT291" s="5" t="e">
        <v>#N/A</v>
      </c>
      <c r="CU291" s="5" t="e">
        <v>#N/A</v>
      </c>
      <c r="CV291" s="5" t="e">
        <v>#N/A</v>
      </c>
      <c r="CW291" s="5" t="e">
        <v>#N/A</v>
      </c>
      <c r="CX291" s="5" t="e">
        <v>#N/A</v>
      </c>
      <c r="CY291" s="5" t="e">
        <v>#N/A</v>
      </c>
      <c r="CZ291" s="5" t="e">
        <v>#N/A</v>
      </c>
      <c r="DA291" s="5" t="e">
        <v>#N/A</v>
      </c>
      <c r="DB291" s="5" t="e">
        <v>#N/A</v>
      </c>
      <c r="DC291" s="5" t="e">
        <v>#N/A</v>
      </c>
      <c r="DD291" s="5" t="e">
        <v>#N/A</v>
      </c>
      <c r="DE291" s="5" t="e">
        <v>#N/A</v>
      </c>
      <c r="DF291" s="5" t="e">
        <v>#N/A</v>
      </c>
      <c r="DG291" s="5" t="e">
        <v>#N/A</v>
      </c>
      <c r="DH291" s="5" t="e">
        <v>#N/A</v>
      </c>
      <c r="DI291" s="5" t="e">
        <v>#N/A</v>
      </c>
    </row>
    <row r="292" spans="1:113" s="5" customFormat="1">
      <c r="A292"/>
      <c r="B292"/>
      <c r="C292" s="44"/>
      <c r="D292" s="44"/>
      <c r="E292" s="44"/>
      <c r="F292" s="44"/>
      <c r="G292" s="44"/>
      <c r="H292" s="44"/>
      <c r="I292" s="44"/>
      <c r="J292" s="44"/>
      <c r="K292" s="44"/>
      <c r="L292" s="44"/>
      <c r="M292" t="str">
        <f t="shared" si="33"/>
        <v>"//*[@class=\"</v>
      </c>
      <c r="N292" t="s">
        <v>31</v>
      </c>
      <c r="O292" s="4" t="str">
        <f t="shared" si="36"/>
        <v>click</v>
      </c>
      <c r="P292" t="str">
        <f t="shared" si="37"/>
        <v>();</v>
      </c>
      <c r="Q292" t="str">
        <f t="shared" si="38"/>
        <v/>
      </c>
      <c r="R292" t="str">
        <f t="shared" si="34"/>
        <v/>
      </c>
      <c r="S292" s="1" t="str">
        <f t="shared" si="35"/>
        <v/>
      </c>
      <c r="T292"/>
      <c r="U292"/>
      <c r="V292"/>
      <c r="W292"/>
      <c r="X292"/>
      <c r="Y292"/>
      <c r="Z292">
        <v>283</v>
      </c>
      <c r="AA292"/>
      <c r="AB292"/>
      <c r="AC292" s="6"/>
      <c r="AD292" s="6"/>
      <c r="AE292" s="6"/>
      <c r="AF292" s="6"/>
      <c r="AG292" s="4"/>
      <c r="AH292" s="4"/>
      <c r="AI292" s="4"/>
      <c r="AJ292" s="4"/>
      <c r="AK292" s="4"/>
      <c r="AL292" s="4"/>
      <c r="AM292" s="4"/>
      <c r="AN292" s="4"/>
      <c r="AO292" s="4"/>
      <c r="AP292" s="4"/>
      <c r="AQ292" s="4"/>
      <c r="AR292" s="4"/>
      <c r="AS292" s="4"/>
      <c r="AT292" s="4"/>
      <c r="AU292" s="4"/>
      <c r="AV292" s="4"/>
      <c r="AW292" s="4"/>
      <c r="AX292" s="4"/>
      <c r="AY292" s="4"/>
      <c r="AZ292" s="4"/>
      <c r="BA292" s="4"/>
      <c r="BB292" s="3"/>
      <c r="BC292" s="3"/>
      <c r="CT292" s="5" t="e">
        <v>#N/A</v>
      </c>
      <c r="CU292" s="5" t="e">
        <v>#N/A</v>
      </c>
      <c r="CV292" s="5" t="e">
        <v>#N/A</v>
      </c>
      <c r="CW292" s="5" t="e">
        <v>#N/A</v>
      </c>
      <c r="CX292" s="5" t="e">
        <v>#N/A</v>
      </c>
      <c r="CY292" s="5" t="e">
        <v>#N/A</v>
      </c>
      <c r="CZ292" s="5" t="e">
        <v>#N/A</v>
      </c>
      <c r="DA292" s="5" t="e">
        <v>#N/A</v>
      </c>
      <c r="DB292" s="5" t="e">
        <v>#N/A</v>
      </c>
      <c r="DC292" s="5" t="e">
        <v>#N/A</v>
      </c>
      <c r="DD292" s="5" t="e">
        <v>#N/A</v>
      </c>
      <c r="DE292" s="5" t="e">
        <v>#N/A</v>
      </c>
      <c r="DF292" s="5" t="e">
        <v>#N/A</v>
      </c>
      <c r="DG292" s="5" t="e">
        <v>#N/A</v>
      </c>
      <c r="DH292" s="5" t="e">
        <v>#N/A</v>
      </c>
      <c r="DI292" s="5" t="e">
        <v>#N/A</v>
      </c>
    </row>
    <row r="293" spans="1:113" s="5" customFormat="1">
      <c r="A293"/>
      <c r="B293"/>
      <c r="C293" s="44"/>
      <c r="D293" s="44"/>
      <c r="E293" s="44"/>
      <c r="F293" s="44"/>
      <c r="G293" s="44"/>
      <c r="H293" s="44"/>
      <c r="I293" s="44"/>
      <c r="J293" s="44"/>
      <c r="K293" s="44"/>
      <c r="L293" s="44"/>
      <c r="M293" t="str">
        <f t="shared" si="33"/>
        <v>"//*[@class=\"</v>
      </c>
      <c r="N293" t="s">
        <v>31</v>
      </c>
      <c r="O293" s="4" t="str">
        <f t="shared" si="36"/>
        <v>click</v>
      </c>
      <c r="P293" t="str">
        <f t="shared" si="37"/>
        <v>();</v>
      </c>
      <c r="Q293" t="str">
        <f t="shared" si="38"/>
        <v/>
      </c>
      <c r="R293" t="str">
        <f t="shared" si="34"/>
        <v/>
      </c>
      <c r="S293" s="1" t="str">
        <f t="shared" si="35"/>
        <v/>
      </c>
      <c r="T293"/>
      <c r="U293"/>
      <c r="V293"/>
      <c r="W293"/>
      <c r="X293"/>
      <c r="Y293"/>
      <c r="Z293">
        <v>284</v>
      </c>
      <c r="AA293"/>
      <c r="AB293"/>
      <c r="AC293" s="6"/>
      <c r="AD293" s="6"/>
      <c r="AE293" s="6"/>
      <c r="AF293" s="6"/>
      <c r="AG293" s="4"/>
      <c r="AH293" s="4"/>
      <c r="AI293" s="4"/>
      <c r="AJ293" s="4"/>
      <c r="AK293" s="4"/>
      <c r="AL293" s="4"/>
      <c r="AM293" s="4"/>
      <c r="AN293" s="4"/>
      <c r="AO293" s="4"/>
      <c r="AP293" s="4"/>
      <c r="AQ293" s="4"/>
      <c r="AR293" s="4"/>
      <c r="AS293" s="4"/>
      <c r="AT293" s="4"/>
      <c r="AU293" s="4"/>
      <c r="AV293" s="4"/>
      <c r="AW293" s="4"/>
      <c r="AX293" s="4"/>
      <c r="AY293" s="4"/>
      <c r="AZ293" s="4"/>
      <c r="BA293" s="4"/>
      <c r="BB293" s="3"/>
      <c r="BC293" s="3"/>
      <c r="CT293" s="5" t="e">
        <v>#N/A</v>
      </c>
      <c r="CU293" s="5" t="e">
        <v>#N/A</v>
      </c>
      <c r="CV293" s="5" t="e">
        <v>#N/A</v>
      </c>
      <c r="CW293" s="5" t="e">
        <v>#N/A</v>
      </c>
      <c r="CX293" s="5" t="e">
        <v>#N/A</v>
      </c>
      <c r="CY293" s="5" t="e">
        <v>#N/A</v>
      </c>
      <c r="CZ293" s="5" t="e">
        <v>#N/A</v>
      </c>
      <c r="DA293" s="5" t="e">
        <v>#N/A</v>
      </c>
      <c r="DB293" s="5" t="e">
        <v>#N/A</v>
      </c>
      <c r="DC293" s="5" t="e">
        <v>#N/A</v>
      </c>
      <c r="DD293" s="5" t="e">
        <v>#N/A</v>
      </c>
      <c r="DE293" s="5" t="e">
        <v>#N/A</v>
      </c>
      <c r="DF293" s="5" t="e">
        <v>#N/A</v>
      </c>
      <c r="DG293" s="5" t="e">
        <v>#N/A</v>
      </c>
      <c r="DH293" s="5" t="e">
        <v>#N/A</v>
      </c>
      <c r="DI293" s="5" t="e">
        <v>#N/A</v>
      </c>
    </row>
    <row r="294" spans="1:113" s="5" customFormat="1">
      <c r="A294"/>
      <c r="B294"/>
      <c r="C294" s="44"/>
      <c r="D294" s="44"/>
      <c r="E294" s="44"/>
      <c r="F294" s="44"/>
      <c r="G294" s="44"/>
      <c r="H294" s="44"/>
      <c r="I294" s="44"/>
      <c r="J294" s="44"/>
      <c r="K294" s="44"/>
      <c r="L294" s="44"/>
      <c r="M294" t="str">
        <f t="shared" si="33"/>
        <v>"//*[@class=\"</v>
      </c>
      <c r="N294" t="s">
        <v>31</v>
      </c>
      <c r="O294" s="4" t="str">
        <f t="shared" si="36"/>
        <v>click</v>
      </c>
      <c r="P294" t="str">
        <f t="shared" si="37"/>
        <v>();</v>
      </c>
      <c r="Q294" t="str">
        <f t="shared" si="38"/>
        <v/>
      </c>
      <c r="R294" t="str">
        <f t="shared" si="34"/>
        <v/>
      </c>
      <c r="S294" s="1" t="str">
        <f t="shared" si="35"/>
        <v/>
      </c>
      <c r="T294"/>
      <c r="U294"/>
      <c r="V294"/>
      <c r="W294"/>
      <c r="X294"/>
      <c r="Y294"/>
      <c r="Z294">
        <v>285</v>
      </c>
      <c r="AA294"/>
      <c r="AB294"/>
      <c r="AC294" s="6"/>
      <c r="AD294" s="6"/>
      <c r="AE294" s="6"/>
      <c r="AF294" s="6"/>
      <c r="AG294" s="4"/>
      <c r="AH294" s="4"/>
      <c r="AI294" s="4"/>
      <c r="AJ294" s="4"/>
      <c r="AK294" s="4"/>
      <c r="AL294" s="4"/>
      <c r="AM294" s="4"/>
      <c r="AN294" s="4"/>
      <c r="AO294" s="4"/>
      <c r="AP294" s="4"/>
      <c r="AQ294" s="4"/>
      <c r="AR294" s="4"/>
      <c r="AS294" s="4"/>
      <c r="AT294" s="4"/>
      <c r="AU294" s="4"/>
      <c r="AV294" s="4"/>
      <c r="AW294" s="4"/>
      <c r="AX294" s="4"/>
      <c r="AY294" s="4"/>
      <c r="AZ294" s="4"/>
      <c r="BA294" s="4"/>
      <c r="BB294" s="3"/>
      <c r="BC294" s="3"/>
      <c r="CT294" s="5" t="e">
        <v>#N/A</v>
      </c>
      <c r="CU294" s="5" t="e">
        <v>#N/A</v>
      </c>
      <c r="CV294" s="5" t="e">
        <v>#N/A</v>
      </c>
      <c r="CW294" s="5" t="e">
        <v>#N/A</v>
      </c>
      <c r="CX294" s="5" t="e">
        <v>#N/A</v>
      </c>
      <c r="CY294" s="5" t="e">
        <v>#N/A</v>
      </c>
      <c r="CZ294" s="5" t="e">
        <v>#N/A</v>
      </c>
      <c r="DA294" s="5" t="e">
        <v>#N/A</v>
      </c>
      <c r="DB294" s="5" t="e">
        <v>#N/A</v>
      </c>
      <c r="DC294" s="5" t="e">
        <v>#N/A</v>
      </c>
      <c r="DD294" s="5" t="e">
        <v>#N/A</v>
      </c>
      <c r="DE294" s="5" t="e">
        <v>#N/A</v>
      </c>
      <c r="DF294" s="5" t="e">
        <v>#N/A</v>
      </c>
      <c r="DG294" s="5" t="e">
        <v>#N/A</v>
      </c>
      <c r="DH294" s="5" t="e">
        <v>#N/A</v>
      </c>
      <c r="DI294" s="5" t="e">
        <v>#N/A</v>
      </c>
    </row>
    <row r="295" spans="1:113" s="5" customFormat="1">
      <c r="A295"/>
      <c r="B295"/>
      <c r="C295" s="44"/>
      <c r="D295" s="44"/>
      <c r="E295" s="44"/>
      <c r="F295" s="44"/>
      <c r="G295" s="44"/>
      <c r="H295" s="44"/>
      <c r="I295" s="44"/>
      <c r="J295" s="44"/>
      <c r="K295" s="44"/>
      <c r="L295" s="44"/>
      <c r="M295" t="str">
        <f t="shared" si="33"/>
        <v>"//*[@class=\"</v>
      </c>
      <c r="N295" t="s">
        <v>31</v>
      </c>
      <c r="O295" s="4" t="str">
        <f t="shared" si="36"/>
        <v>click</v>
      </c>
      <c r="P295" t="str">
        <f t="shared" si="37"/>
        <v>();</v>
      </c>
      <c r="Q295" t="str">
        <f t="shared" si="38"/>
        <v/>
      </c>
      <c r="R295" t="str">
        <f t="shared" si="34"/>
        <v/>
      </c>
      <c r="S295" s="1" t="str">
        <f t="shared" si="35"/>
        <v/>
      </c>
      <c r="T295"/>
      <c r="U295"/>
      <c r="V295"/>
      <c r="W295"/>
      <c r="X295"/>
      <c r="Y295"/>
      <c r="Z295">
        <v>286</v>
      </c>
      <c r="AA295"/>
      <c r="AB295"/>
      <c r="AC295" s="6"/>
      <c r="AD295" s="6"/>
      <c r="AE295" s="6"/>
      <c r="AF295" s="6"/>
      <c r="AG295" s="4"/>
      <c r="AH295" s="4"/>
      <c r="AI295" s="4"/>
      <c r="AJ295" s="4"/>
      <c r="AK295" s="4"/>
      <c r="AL295" s="4"/>
      <c r="AM295" s="4"/>
      <c r="AN295" s="4"/>
      <c r="AO295" s="4"/>
      <c r="AP295" s="4"/>
      <c r="AQ295" s="4"/>
      <c r="AR295" s="4"/>
      <c r="AS295" s="4"/>
      <c r="AT295" s="4"/>
      <c r="AU295" s="4"/>
      <c r="AV295" s="4"/>
      <c r="AW295" s="4"/>
      <c r="AX295" s="4"/>
      <c r="AY295" s="4"/>
      <c r="AZ295" s="4"/>
      <c r="BA295" s="4"/>
      <c r="BB295" s="3"/>
      <c r="BC295" s="3"/>
      <c r="CT295" s="5" t="e">
        <v>#N/A</v>
      </c>
      <c r="CU295" s="5" t="e">
        <v>#N/A</v>
      </c>
      <c r="CV295" s="5" t="e">
        <v>#N/A</v>
      </c>
      <c r="CW295" s="5" t="e">
        <v>#N/A</v>
      </c>
      <c r="CX295" s="5" t="e">
        <v>#N/A</v>
      </c>
      <c r="CY295" s="5" t="e">
        <v>#N/A</v>
      </c>
      <c r="CZ295" s="5" t="e">
        <v>#N/A</v>
      </c>
      <c r="DA295" s="5" t="e">
        <v>#N/A</v>
      </c>
      <c r="DB295" s="5" t="e">
        <v>#N/A</v>
      </c>
      <c r="DC295" s="5" t="e">
        <v>#N/A</v>
      </c>
      <c r="DD295" s="5" t="e">
        <v>#N/A</v>
      </c>
      <c r="DE295" s="5" t="e">
        <v>#N/A</v>
      </c>
      <c r="DF295" s="5" t="e">
        <v>#N/A</v>
      </c>
      <c r="DG295" s="5" t="e">
        <v>#N/A</v>
      </c>
      <c r="DH295" s="5" t="e">
        <v>#N/A</v>
      </c>
      <c r="DI295" s="5" t="e">
        <v>#N/A</v>
      </c>
    </row>
    <row r="296" spans="1:113" s="5" customFormat="1">
      <c r="A296"/>
      <c r="B296"/>
      <c r="C296" s="44"/>
      <c r="D296" s="44"/>
      <c r="E296" s="44"/>
      <c r="F296" s="44"/>
      <c r="G296" s="44"/>
      <c r="H296" s="44"/>
      <c r="I296" s="44"/>
      <c r="J296" s="44"/>
      <c r="K296" s="44"/>
      <c r="L296" s="44"/>
      <c r="M296" t="str">
        <f t="shared" si="33"/>
        <v>"//*[@class=\"</v>
      </c>
      <c r="N296" t="s">
        <v>31</v>
      </c>
      <c r="O296" s="4" t="str">
        <f t="shared" si="36"/>
        <v>click</v>
      </c>
      <c r="P296" t="str">
        <f t="shared" si="37"/>
        <v>();</v>
      </c>
      <c r="Q296" t="str">
        <f t="shared" si="38"/>
        <v/>
      </c>
      <c r="R296" t="str">
        <f t="shared" si="34"/>
        <v/>
      </c>
      <c r="S296" s="1" t="str">
        <f t="shared" si="35"/>
        <v/>
      </c>
      <c r="T296"/>
      <c r="U296"/>
      <c r="V296"/>
      <c r="W296"/>
      <c r="X296"/>
      <c r="Y296"/>
      <c r="Z296">
        <v>287</v>
      </c>
      <c r="AA296"/>
      <c r="AB296"/>
      <c r="AC296" s="6"/>
      <c r="AD296" s="6"/>
      <c r="AE296" s="6"/>
      <c r="AF296" s="6"/>
      <c r="AG296" s="4"/>
      <c r="AH296" s="4"/>
      <c r="AI296" s="4"/>
      <c r="AJ296" s="4"/>
      <c r="AK296" s="4"/>
      <c r="AL296" s="4"/>
      <c r="AM296" s="4"/>
      <c r="AN296" s="4"/>
      <c r="AO296" s="4"/>
      <c r="AP296" s="4"/>
      <c r="AQ296" s="4"/>
      <c r="AR296" s="4"/>
      <c r="AS296" s="4"/>
      <c r="AT296" s="4"/>
      <c r="AU296" s="4"/>
      <c r="AV296" s="4"/>
      <c r="AW296" s="4"/>
      <c r="AX296" s="4"/>
      <c r="AY296" s="4"/>
      <c r="AZ296" s="4"/>
      <c r="BA296" s="4"/>
      <c r="BB296" s="3"/>
      <c r="BC296" s="3"/>
      <c r="CT296" s="5" t="e">
        <v>#N/A</v>
      </c>
      <c r="CU296" s="5" t="e">
        <v>#N/A</v>
      </c>
      <c r="CV296" s="5" t="e">
        <v>#N/A</v>
      </c>
      <c r="CW296" s="5" t="e">
        <v>#N/A</v>
      </c>
      <c r="CX296" s="5" t="e">
        <v>#N/A</v>
      </c>
      <c r="CY296" s="5" t="e">
        <v>#N/A</v>
      </c>
      <c r="CZ296" s="5" t="e">
        <v>#N/A</v>
      </c>
      <c r="DA296" s="5" t="e">
        <v>#N/A</v>
      </c>
      <c r="DB296" s="5" t="e">
        <v>#N/A</v>
      </c>
      <c r="DC296" s="5" t="e">
        <v>#N/A</v>
      </c>
      <c r="DD296" s="5" t="e">
        <v>#N/A</v>
      </c>
      <c r="DE296" s="5" t="e">
        <v>#N/A</v>
      </c>
      <c r="DF296" s="5" t="e">
        <v>#N/A</v>
      </c>
      <c r="DG296" s="5" t="e">
        <v>#N/A</v>
      </c>
      <c r="DH296" s="5" t="e">
        <v>#N/A</v>
      </c>
      <c r="DI296" s="5" t="e">
        <v>#N/A</v>
      </c>
    </row>
    <row r="297" spans="1:113" s="5" customFormat="1">
      <c r="A297"/>
      <c r="B297"/>
      <c r="C297" s="44"/>
      <c r="D297" s="44"/>
      <c r="E297" s="44"/>
      <c r="F297" s="44"/>
      <c r="G297" s="44"/>
      <c r="H297" s="44"/>
      <c r="I297" s="44"/>
      <c r="J297" s="44"/>
      <c r="K297" s="44"/>
      <c r="L297" s="44"/>
      <c r="M297" t="str">
        <f t="shared" si="33"/>
        <v>"//*[@class=\"</v>
      </c>
      <c r="N297" t="s">
        <v>31</v>
      </c>
      <c r="O297" s="4" t="str">
        <f t="shared" si="36"/>
        <v>click</v>
      </c>
      <c r="P297" t="str">
        <f t="shared" si="37"/>
        <v>();</v>
      </c>
      <c r="Q297" t="str">
        <f t="shared" si="38"/>
        <v/>
      </c>
      <c r="R297" t="str">
        <f t="shared" si="34"/>
        <v/>
      </c>
      <c r="S297" s="1" t="str">
        <f t="shared" si="35"/>
        <v/>
      </c>
      <c r="T297"/>
      <c r="U297"/>
      <c r="V297"/>
      <c r="W297"/>
      <c r="X297"/>
      <c r="Y297"/>
      <c r="Z297">
        <v>288</v>
      </c>
      <c r="AA297"/>
      <c r="AB297"/>
      <c r="AC297" s="6"/>
      <c r="AD297" s="6"/>
      <c r="AE297" s="6"/>
      <c r="AF297" s="6"/>
      <c r="AG297" s="4"/>
      <c r="AH297" s="4"/>
      <c r="AI297" s="4"/>
      <c r="AJ297" s="4"/>
      <c r="AK297" s="4"/>
      <c r="AL297" s="4"/>
      <c r="AM297" s="4"/>
      <c r="AN297" s="4"/>
      <c r="AO297" s="4"/>
      <c r="AP297" s="4"/>
      <c r="AQ297" s="4"/>
      <c r="AR297" s="4"/>
      <c r="AS297" s="4"/>
      <c r="AT297" s="4"/>
      <c r="AU297" s="4"/>
      <c r="AV297" s="4"/>
      <c r="AW297" s="4"/>
      <c r="AX297" s="4"/>
      <c r="AY297" s="4"/>
      <c r="AZ297" s="4"/>
      <c r="BA297" s="4"/>
      <c r="BB297" s="3"/>
      <c r="BC297" s="3"/>
      <c r="CT297" s="5" t="e">
        <v>#N/A</v>
      </c>
      <c r="CU297" s="5" t="e">
        <v>#N/A</v>
      </c>
      <c r="CV297" s="5" t="e">
        <v>#N/A</v>
      </c>
      <c r="CW297" s="5" t="e">
        <v>#N/A</v>
      </c>
      <c r="CX297" s="5" t="e">
        <v>#N/A</v>
      </c>
      <c r="CY297" s="5" t="e">
        <v>#N/A</v>
      </c>
      <c r="CZ297" s="5" t="e">
        <v>#N/A</v>
      </c>
      <c r="DA297" s="5" t="e">
        <v>#N/A</v>
      </c>
      <c r="DB297" s="5" t="e">
        <v>#N/A</v>
      </c>
      <c r="DC297" s="5" t="e">
        <v>#N/A</v>
      </c>
      <c r="DD297" s="5" t="e">
        <v>#N/A</v>
      </c>
      <c r="DE297" s="5" t="e">
        <v>#N/A</v>
      </c>
      <c r="DF297" s="5" t="e">
        <v>#N/A</v>
      </c>
      <c r="DG297" s="5" t="e">
        <v>#N/A</v>
      </c>
      <c r="DH297" s="5" t="e">
        <v>#N/A</v>
      </c>
      <c r="DI297" s="5" t="e">
        <v>#N/A</v>
      </c>
    </row>
    <row r="298" spans="1:113" s="5" customFormat="1">
      <c r="A298"/>
      <c r="B298"/>
      <c r="C298" s="44"/>
      <c r="D298" s="44"/>
      <c r="E298" s="44"/>
      <c r="F298" s="44"/>
      <c r="G298" s="44"/>
      <c r="H298" s="44"/>
      <c r="I298" s="44"/>
      <c r="J298" s="44"/>
      <c r="K298" s="44"/>
      <c r="L298" s="44"/>
      <c r="M298" t="str">
        <f t="shared" si="33"/>
        <v>"//*[@class=\"</v>
      </c>
      <c r="N298" t="s">
        <v>31</v>
      </c>
      <c r="O298" s="4" t="str">
        <f t="shared" si="36"/>
        <v>click</v>
      </c>
      <c r="P298" t="str">
        <f t="shared" si="37"/>
        <v>();</v>
      </c>
      <c r="Q298" t="str">
        <f t="shared" si="38"/>
        <v/>
      </c>
      <c r="R298" t="str">
        <f t="shared" si="34"/>
        <v/>
      </c>
      <c r="S298" s="1" t="str">
        <f t="shared" si="35"/>
        <v/>
      </c>
      <c r="T298"/>
      <c r="U298"/>
      <c r="V298"/>
      <c r="W298"/>
      <c r="X298"/>
      <c r="Y298"/>
      <c r="Z298">
        <v>289</v>
      </c>
      <c r="AA298"/>
      <c r="AB298"/>
      <c r="AC298" s="6"/>
      <c r="AD298" s="6"/>
      <c r="AE298" s="6"/>
      <c r="AF298" s="6"/>
      <c r="AG298" s="4"/>
      <c r="AH298" s="4"/>
      <c r="AI298" s="4"/>
      <c r="AJ298" s="4"/>
      <c r="AK298" s="4"/>
      <c r="AL298" s="4"/>
      <c r="AM298" s="4"/>
      <c r="AN298" s="4"/>
      <c r="AO298" s="4"/>
      <c r="AP298" s="4"/>
      <c r="AQ298" s="4"/>
      <c r="AR298" s="4"/>
      <c r="AS298" s="4"/>
      <c r="AT298" s="4"/>
      <c r="AU298" s="4"/>
      <c r="AV298" s="4"/>
      <c r="AW298" s="4"/>
      <c r="AX298" s="4"/>
      <c r="AY298" s="4"/>
      <c r="AZ298" s="4"/>
      <c r="BA298" s="4"/>
      <c r="BB298" s="3"/>
      <c r="BC298" s="3"/>
      <c r="CT298" s="5" t="e">
        <v>#N/A</v>
      </c>
      <c r="CU298" s="5" t="e">
        <v>#N/A</v>
      </c>
      <c r="CV298" s="5" t="e">
        <v>#N/A</v>
      </c>
      <c r="CW298" s="5" t="e">
        <v>#N/A</v>
      </c>
      <c r="CX298" s="5" t="e">
        <v>#N/A</v>
      </c>
      <c r="CY298" s="5" t="e">
        <v>#N/A</v>
      </c>
      <c r="CZ298" s="5" t="e">
        <v>#N/A</v>
      </c>
      <c r="DA298" s="5" t="e">
        <v>#N/A</v>
      </c>
      <c r="DB298" s="5" t="e">
        <v>#N/A</v>
      </c>
      <c r="DC298" s="5" t="e">
        <v>#N/A</v>
      </c>
      <c r="DD298" s="5" t="e">
        <v>#N/A</v>
      </c>
      <c r="DE298" s="5" t="e">
        <v>#N/A</v>
      </c>
      <c r="DF298" s="5" t="e">
        <v>#N/A</v>
      </c>
      <c r="DG298" s="5" t="e">
        <v>#N/A</v>
      </c>
      <c r="DH298" s="5" t="e">
        <v>#N/A</v>
      </c>
      <c r="DI298" s="5" t="e">
        <v>#N/A</v>
      </c>
    </row>
    <row r="299" spans="1:113" s="5" customFormat="1">
      <c r="A299"/>
      <c r="B299"/>
      <c r="C299" s="44"/>
      <c r="D299" s="44"/>
      <c r="E299" s="44"/>
      <c r="F299" s="44"/>
      <c r="G299" s="44"/>
      <c r="H299" s="44"/>
      <c r="I299" s="44"/>
      <c r="J299" s="44"/>
      <c r="K299" s="44"/>
      <c r="L299" s="44"/>
      <c r="M299" t="str">
        <f t="shared" si="33"/>
        <v>"//*[@class=\"</v>
      </c>
      <c r="N299" t="s">
        <v>31</v>
      </c>
      <c r="O299" s="4" t="str">
        <f t="shared" si="36"/>
        <v>click</v>
      </c>
      <c r="P299" t="str">
        <f t="shared" si="37"/>
        <v>();</v>
      </c>
      <c r="Q299" t="str">
        <f t="shared" si="38"/>
        <v/>
      </c>
      <c r="R299" t="str">
        <f t="shared" si="34"/>
        <v/>
      </c>
      <c r="S299" s="1" t="str">
        <f t="shared" si="35"/>
        <v/>
      </c>
      <c r="T299"/>
      <c r="U299"/>
      <c r="V299"/>
      <c r="W299"/>
      <c r="X299"/>
      <c r="Y299"/>
      <c r="Z299">
        <v>290</v>
      </c>
      <c r="AA299"/>
      <c r="AB299"/>
      <c r="AC299" s="6"/>
      <c r="AD299" s="6"/>
      <c r="AE299" s="6"/>
      <c r="AF299" s="6"/>
      <c r="AG299" s="4"/>
      <c r="AH299" s="4"/>
      <c r="AI299" s="4"/>
      <c r="AJ299" s="4"/>
      <c r="AK299" s="4"/>
      <c r="AL299" s="4"/>
      <c r="AM299" s="4"/>
      <c r="AN299" s="4"/>
      <c r="AO299" s="4"/>
      <c r="AP299" s="4"/>
      <c r="AQ299" s="4"/>
      <c r="AR299" s="4"/>
      <c r="AS299" s="4"/>
      <c r="AT299" s="4"/>
      <c r="AU299" s="4"/>
      <c r="AV299" s="4"/>
      <c r="AW299" s="4"/>
      <c r="AX299" s="4"/>
      <c r="AY299" s="4"/>
      <c r="AZ299" s="4"/>
      <c r="BA299" s="4"/>
      <c r="BB299" s="3"/>
      <c r="BC299" s="3"/>
      <c r="CT299" s="5" t="e">
        <v>#N/A</v>
      </c>
      <c r="CU299" s="5" t="e">
        <v>#N/A</v>
      </c>
      <c r="CV299" s="5" t="e">
        <v>#N/A</v>
      </c>
      <c r="CW299" s="5" t="e">
        <v>#N/A</v>
      </c>
      <c r="CX299" s="5" t="e">
        <v>#N/A</v>
      </c>
      <c r="CY299" s="5" t="e">
        <v>#N/A</v>
      </c>
      <c r="CZ299" s="5" t="e">
        <v>#N/A</v>
      </c>
      <c r="DA299" s="5" t="e">
        <v>#N/A</v>
      </c>
      <c r="DB299" s="5" t="e">
        <v>#N/A</v>
      </c>
      <c r="DC299" s="5" t="e">
        <v>#N/A</v>
      </c>
      <c r="DD299" s="5" t="e">
        <v>#N/A</v>
      </c>
      <c r="DE299" s="5" t="e">
        <v>#N/A</v>
      </c>
      <c r="DF299" s="5" t="e">
        <v>#N/A</v>
      </c>
      <c r="DG299" s="5" t="e">
        <v>#N/A</v>
      </c>
      <c r="DH299" s="5" t="e">
        <v>#N/A</v>
      </c>
      <c r="DI299" s="5" t="e">
        <v>#N/A</v>
      </c>
    </row>
    <row r="300" spans="1:113" s="5" customFormat="1">
      <c r="A300"/>
      <c r="B300"/>
      <c r="C300" s="44"/>
      <c r="D300" s="44"/>
      <c r="E300" s="44"/>
      <c r="F300" s="44"/>
      <c r="G300" s="44"/>
      <c r="H300" s="44"/>
      <c r="I300" s="44"/>
      <c r="J300" s="44"/>
      <c r="K300" s="44"/>
      <c r="L300" s="44"/>
      <c r="M300" t="str">
        <f t="shared" si="33"/>
        <v>"//*[@class=\"</v>
      </c>
      <c r="N300" t="s">
        <v>31</v>
      </c>
      <c r="O300" s="4" t="str">
        <f t="shared" si="36"/>
        <v>click</v>
      </c>
      <c r="P300" t="str">
        <f t="shared" si="37"/>
        <v>();</v>
      </c>
      <c r="Q300" t="str">
        <f t="shared" si="38"/>
        <v/>
      </c>
      <c r="R300" t="str">
        <f t="shared" si="34"/>
        <v/>
      </c>
      <c r="S300" s="1" t="str">
        <f t="shared" si="35"/>
        <v/>
      </c>
      <c r="T300"/>
      <c r="U300"/>
      <c r="V300"/>
      <c r="W300"/>
      <c r="X300"/>
      <c r="Y300"/>
      <c r="Z300">
        <v>291</v>
      </c>
      <c r="AA300"/>
      <c r="AB300"/>
      <c r="AC300" s="6"/>
      <c r="AD300" s="6"/>
      <c r="AE300" s="6"/>
      <c r="AF300" s="6"/>
      <c r="AG300" s="4"/>
      <c r="AH300" s="4"/>
      <c r="AI300" s="4"/>
      <c r="AJ300" s="4"/>
      <c r="AK300" s="4"/>
      <c r="AL300" s="4"/>
      <c r="AM300" s="4"/>
      <c r="AN300" s="4"/>
      <c r="AO300" s="4"/>
      <c r="AP300" s="4"/>
      <c r="AQ300" s="4"/>
      <c r="AR300" s="4"/>
      <c r="AS300" s="4"/>
      <c r="AT300" s="4"/>
      <c r="AU300" s="4"/>
      <c r="AV300" s="4"/>
      <c r="AW300" s="4"/>
      <c r="AX300" s="4"/>
      <c r="AY300" s="4"/>
      <c r="AZ300" s="4"/>
      <c r="BA300" s="4"/>
      <c r="BB300" s="3"/>
      <c r="BC300" s="3"/>
      <c r="CT300" s="5" t="e">
        <v>#N/A</v>
      </c>
      <c r="CU300" s="5" t="e">
        <v>#N/A</v>
      </c>
      <c r="CV300" s="5" t="e">
        <v>#N/A</v>
      </c>
      <c r="CW300" s="5" t="e">
        <v>#N/A</v>
      </c>
      <c r="CX300" s="5" t="e">
        <v>#N/A</v>
      </c>
      <c r="CY300" s="5" t="e">
        <v>#N/A</v>
      </c>
      <c r="CZ300" s="5" t="e">
        <v>#N/A</v>
      </c>
      <c r="DA300" s="5" t="e">
        <v>#N/A</v>
      </c>
      <c r="DB300" s="5" t="e">
        <v>#N/A</v>
      </c>
      <c r="DC300" s="5" t="e">
        <v>#N/A</v>
      </c>
      <c r="DD300" s="5" t="e">
        <v>#N/A</v>
      </c>
      <c r="DE300" s="5" t="e">
        <v>#N/A</v>
      </c>
      <c r="DF300" s="5" t="e">
        <v>#N/A</v>
      </c>
      <c r="DG300" s="5" t="e">
        <v>#N/A</v>
      </c>
      <c r="DH300" s="5" t="e">
        <v>#N/A</v>
      </c>
      <c r="DI300" s="5" t="e">
        <v>#N/A</v>
      </c>
    </row>
    <row r="301" spans="1:113" s="5" customFormat="1">
      <c r="A301"/>
      <c r="B301"/>
      <c r="C301" s="44"/>
      <c r="D301" s="44"/>
      <c r="E301" s="44"/>
      <c r="F301" s="44"/>
      <c r="G301" s="44"/>
      <c r="H301" s="44"/>
      <c r="I301" s="44"/>
      <c r="J301" s="44"/>
      <c r="K301" s="44"/>
      <c r="L301" s="44"/>
      <c r="M301" t="str">
        <f t="shared" si="33"/>
        <v>"//*[@class=\"</v>
      </c>
      <c r="N301" t="s">
        <v>31</v>
      </c>
      <c r="O301" s="4" t="str">
        <f t="shared" si="36"/>
        <v>click</v>
      </c>
      <c r="P301" t="str">
        <f t="shared" si="37"/>
        <v>();</v>
      </c>
      <c r="Q301" t="str">
        <f t="shared" si="38"/>
        <v/>
      </c>
      <c r="R301" t="str">
        <f t="shared" si="34"/>
        <v/>
      </c>
      <c r="S301" s="1" t="str">
        <f t="shared" si="35"/>
        <v/>
      </c>
      <c r="T301"/>
      <c r="U301"/>
      <c r="V301"/>
      <c r="W301"/>
      <c r="X301"/>
      <c r="Y301"/>
      <c r="Z301">
        <v>292</v>
      </c>
      <c r="AA301"/>
      <c r="AB301"/>
      <c r="AC301" s="6"/>
      <c r="AD301" s="6"/>
      <c r="AE301" s="6"/>
      <c r="AF301" s="6"/>
      <c r="AG301" s="4"/>
      <c r="AH301" s="4"/>
      <c r="AI301" s="4"/>
      <c r="AJ301" s="4"/>
      <c r="AK301" s="4"/>
      <c r="AL301" s="4"/>
      <c r="AM301" s="4"/>
      <c r="AN301" s="4"/>
      <c r="AO301" s="4"/>
      <c r="AP301" s="4"/>
      <c r="AQ301" s="4"/>
      <c r="AR301" s="4"/>
      <c r="AS301" s="4"/>
      <c r="AT301" s="4"/>
      <c r="AU301" s="4"/>
      <c r="AV301" s="4"/>
      <c r="AW301" s="4"/>
      <c r="AX301" s="4"/>
      <c r="AY301" s="4"/>
      <c r="AZ301" s="4"/>
      <c r="BA301" s="4"/>
      <c r="BB301" s="3"/>
      <c r="BC301" s="3"/>
      <c r="CT301" s="5" t="e">
        <v>#N/A</v>
      </c>
      <c r="CU301" s="5" t="e">
        <v>#N/A</v>
      </c>
      <c r="CV301" s="5" t="e">
        <v>#N/A</v>
      </c>
      <c r="CW301" s="5" t="e">
        <v>#N/A</v>
      </c>
      <c r="CX301" s="5" t="e">
        <v>#N/A</v>
      </c>
      <c r="CY301" s="5" t="e">
        <v>#N/A</v>
      </c>
      <c r="CZ301" s="5" t="e">
        <v>#N/A</v>
      </c>
      <c r="DA301" s="5" t="e">
        <v>#N/A</v>
      </c>
      <c r="DB301" s="5" t="e">
        <v>#N/A</v>
      </c>
      <c r="DC301" s="5" t="e">
        <v>#N/A</v>
      </c>
      <c r="DD301" s="5" t="e">
        <v>#N/A</v>
      </c>
      <c r="DE301" s="5" t="e">
        <v>#N/A</v>
      </c>
      <c r="DF301" s="5" t="e">
        <v>#N/A</v>
      </c>
      <c r="DG301" s="5" t="e">
        <v>#N/A</v>
      </c>
      <c r="DH301" s="5" t="e">
        <v>#N/A</v>
      </c>
      <c r="DI301" s="5" t="e">
        <v>#N/A</v>
      </c>
    </row>
    <row r="302" spans="1:113" s="5" customFormat="1">
      <c r="A302"/>
      <c r="B302"/>
      <c r="C302" s="44"/>
      <c r="D302" s="44"/>
      <c r="E302" s="44"/>
      <c r="F302" s="44"/>
      <c r="G302" s="44"/>
      <c r="H302" s="44"/>
      <c r="I302" s="44"/>
      <c r="J302" s="44"/>
      <c r="K302" s="44"/>
      <c r="L302" s="44"/>
      <c r="M302" t="str">
        <f t="shared" si="33"/>
        <v>"//*[@class=\"</v>
      </c>
      <c r="N302" t="s">
        <v>31</v>
      </c>
      <c r="O302" s="4" t="str">
        <f t="shared" si="36"/>
        <v>click</v>
      </c>
      <c r="P302" t="str">
        <f t="shared" si="37"/>
        <v>();</v>
      </c>
      <c r="Q302" t="str">
        <f t="shared" si="38"/>
        <v/>
      </c>
      <c r="R302" t="str">
        <f t="shared" si="34"/>
        <v/>
      </c>
      <c r="S302" s="1" t="str">
        <f t="shared" si="35"/>
        <v/>
      </c>
      <c r="T302"/>
      <c r="U302"/>
      <c r="V302"/>
      <c r="W302"/>
      <c r="X302"/>
      <c r="Y302"/>
      <c r="Z302">
        <v>293</v>
      </c>
      <c r="AA302"/>
      <c r="AB302"/>
      <c r="AC302" s="6"/>
      <c r="AD302" s="6"/>
      <c r="AE302" s="6"/>
      <c r="AF302" s="6"/>
      <c r="AG302" s="4"/>
      <c r="AH302" s="4"/>
      <c r="AI302" s="4"/>
      <c r="AJ302" s="4"/>
      <c r="AK302" s="4"/>
      <c r="AL302" s="4"/>
      <c r="AM302" s="4"/>
      <c r="AN302" s="4"/>
      <c r="AO302" s="4"/>
      <c r="AP302" s="4"/>
      <c r="AQ302" s="4"/>
      <c r="AR302" s="4"/>
      <c r="AS302" s="4"/>
      <c r="AT302" s="4"/>
      <c r="AU302" s="4"/>
      <c r="AV302" s="4"/>
      <c r="AW302" s="4"/>
      <c r="AX302" s="4"/>
      <c r="AY302" s="4"/>
      <c r="AZ302" s="4"/>
      <c r="BA302" s="4"/>
      <c r="BB302" s="3"/>
      <c r="BC302" s="3"/>
      <c r="CT302" s="5" t="e">
        <v>#N/A</v>
      </c>
      <c r="CU302" s="5" t="e">
        <v>#N/A</v>
      </c>
      <c r="CV302" s="5" t="e">
        <v>#N/A</v>
      </c>
      <c r="CW302" s="5" t="e">
        <v>#N/A</v>
      </c>
      <c r="CX302" s="5" t="e">
        <v>#N/A</v>
      </c>
      <c r="CY302" s="5" t="e">
        <v>#N/A</v>
      </c>
      <c r="CZ302" s="5" t="e">
        <v>#N/A</v>
      </c>
      <c r="DA302" s="5" t="e">
        <v>#N/A</v>
      </c>
      <c r="DB302" s="5" t="e">
        <v>#N/A</v>
      </c>
      <c r="DC302" s="5" t="e">
        <v>#N/A</v>
      </c>
      <c r="DD302" s="5" t="e">
        <v>#N/A</v>
      </c>
      <c r="DE302" s="5" t="e">
        <v>#N/A</v>
      </c>
      <c r="DF302" s="5" t="e">
        <v>#N/A</v>
      </c>
      <c r="DG302" s="5" t="e">
        <v>#N/A</v>
      </c>
      <c r="DH302" s="5" t="e">
        <v>#N/A</v>
      </c>
      <c r="DI302" s="5" t="e">
        <v>#N/A</v>
      </c>
    </row>
    <row r="303" spans="1:113" s="5" customFormat="1">
      <c r="A303"/>
      <c r="B303"/>
      <c r="C303" s="44"/>
      <c r="D303" s="44"/>
      <c r="E303" s="44"/>
      <c r="F303" s="44"/>
      <c r="G303" s="44"/>
      <c r="H303" s="44"/>
      <c r="I303" s="44"/>
      <c r="J303" s="44"/>
      <c r="K303" s="44"/>
      <c r="L303" s="44"/>
      <c r="M303" t="str">
        <f t="shared" si="33"/>
        <v>"//*[@class=\"</v>
      </c>
      <c r="N303" t="s">
        <v>31</v>
      </c>
      <c r="O303" s="4" t="str">
        <f t="shared" si="36"/>
        <v>click</v>
      </c>
      <c r="P303" t="str">
        <f t="shared" si="37"/>
        <v>();</v>
      </c>
      <c r="Q303" t="str">
        <f t="shared" si="38"/>
        <v/>
      </c>
      <c r="R303" t="str">
        <f t="shared" si="34"/>
        <v/>
      </c>
      <c r="S303" s="1" t="str">
        <f t="shared" si="35"/>
        <v/>
      </c>
      <c r="T303"/>
      <c r="U303"/>
      <c r="V303"/>
      <c r="W303"/>
      <c r="X303"/>
      <c r="Y303"/>
      <c r="Z303">
        <v>294</v>
      </c>
      <c r="AA303"/>
      <c r="AB303"/>
      <c r="AC303" s="6"/>
      <c r="AD303" s="6"/>
      <c r="AE303" s="6"/>
      <c r="AF303" s="6"/>
      <c r="AG303" s="4"/>
      <c r="AH303" s="4"/>
      <c r="AI303" s="4"/>
      <c r="AJ303" s="4"/>
      <c r="AK303" s="4"/>
      <c r="AL303" s="4"/>
      <c r="AM303" s="4"/>
      <c r="AN303" s="4"/>
      <c r="AO303" s="4"/>
      <c r="AP303" s="4"/>
      <c r="AQ303" s="4"/>
      <c r="AR303" s="4"/>
      <c r="AS303" s="4"/>
      <c r="AT303" s="4"/>
      <c r="AU303" s="4"/>
      <c r="AV303" s="4"/>
      <c r="AW303" s="4"/>
      <c r="AX303" s="4"/>
      <c r="AY303" s="4"/>
      <c r="AZ303" s="4"/>
      <c r="BA303" s="4"/>
      <c r="BB303" s="3"/>
      <c r="BC303" s="3"/>
      <c r="CT303" s="5" t="e">
        <v>#N/A</v>
      </c>
      <c r="CU303" s="5" t="e">
        <v>#N/A</v>
      </c>
      <c r="CV303" s="5" t="e">
        <v>#N/A</v>
      </c>
      <c r="CW303" s="5" t="e">
        <v>#N/A</v>
      </c>
      <c r="CX303" s="5" t="e">
        <v>#N/A</v>
      </c>
      <c r="CY303" s="5" t="e">
        <v>#N/A</v>
      </c>
      <c r="CZ303" s="5" t="e">
        <v>#N/A</v>
      </c>
      <c r="DA303" s="5" t="e">
        <v>#N/A</v>
      </c>
      <c r="DB303" s="5" t="e">
        <v>#N/A</v>
      </c>
      <c r="DC303" s="5" t="e">
        <v>#N/A</v>
      </c>
      <c r="DD303" s="5" t="e">
        <v>#N/A</v>
      </c>
      <c r="DE303" s="5" t="e">
        <v>#N/A</v>
      </c>
      <c r="DF303" s="5" t="e">
        <v>#N/A</v>
      </c>
      <c r="DG303" s="5" t="e">
        <v>#N/A</v>
      </c>
      <c r="DH303" s="5" t="e">
        <v>#N/A</v>
      </c>
      <c r="DI303" s="5" t="e">
        <v>#N/A</v>
      </c>
    </row>
    <row r="304" spans="1:113" s="5" customFormat="1">
      <c r="A304"/>
      <c r="B304"/>
      <c r="C304" s="44"/>
      <c r="D304" s="44"/>
      <c r="E304" s="44"/>
      <c r="F304" s="44"/>
      <c r="G304" s="44"/>
      <c r="H304" s="44"/>
      <c r="I304" s="44"/>
      <c r="J304" s="44"/>
      <c r="K304" s="44"/>
      <c r="L304" s="44"/>
      <c r="M304" t="str">
        <f t="shared" si="33"/>
        <v>"//*[@class=\"</v>
      </c>
      <c r="N304" t="s">
        <v>31</v>
      </c>
      <c r="O304" s="4" t="str">
        <f t="shared" si="36"/>
        <v>click</v>
      </c>
      <c r="P304" t="str">
        <f t="shared" si="37"/>
        <v>();</v>
      </c>
      <c r="Q304" t="str">
        <f t="shared" si="38"/>
        <v/>
      </c>
      <c r="R304" t="str">
        <f t="shared" si="34"/>
        <v/>
      </c>
      <c r="S304" s="1" t="str">
        <f t="shared" si="35"/>
        <v/>
      </c>
      <c r="T304"/>
      <c r="U304"/>
      <c r="V304"/>
      <c r="W304"/>
      <c r="X304"/>
      <c r="Y304"/>
      <c r="Z304">
        <v>295</v>
      </c>
      <c r="AA304"/>
      <c r="AB304"/>
      <c r="AC304" s="6"/>
      <c r="AD304" s="6"/>
      <c r="AE304" s="6"/>
      <c r="AF304" s="6"/>
      <c r="AG304" s="4"/>
      <c r="AH304" s="4"/>
      <c r="AI304" s="4"/>
      <c r="AJ304" s="4"/>
      <c r="AK304" s="4"/>
      <c r="AL304" s="4"/>
      <c r="AM304" s="4"/>
      <c r="AN304" s="4"/>
      <c r="AO304" s="4"/>
      <c r="AP304" s="4"/>
      <c r="AQ304" s="4"/>
      <c r="AR304" s="4"/>
      <c r="AS304" s="4"/>
      <c r="AT304" s="4"/>
      <c r="AU304" s="4"/>
      <c r="AV304" s="4"/>
      <c r="AW304" s="4"/>
      <c r="AX304" s="4"/>
      <c r="AY304" s="4"/>
      <c r="AZ304" s="4"/>
      <c r="BA304" s="4"/>
      <c r="BB304" s="3"/>
      <c r="BC304" s="3"/>
      <c r="CT304" s="5" t="e">
        <v>#N/A</v>
      </c>
      <c r="CU304" s="5" t="e">
        <v>#N/A</v>
      </c>
      <c r="CV304" s="5" t="e">
        <v>#N/A</v>
      </c>
      <c r="CW304" s="5" t="e">
        <v>#N/A</v>
      </c>
      <c r="CX304" s="5" t="e">
        <v>#N/A</v>
      </c>
      <c r="CY304" s="5" t="e">
        <v>#N/A</v>
      </c>
      <c r="CZ304" s="5" t="e">
        <v>#N/A</v>
      </c>
      <c r="DA304" s="5" t="e">
        <v>#N/A</v>
      </c>
      <c r="DB304" s="5" t="e">
        <v>#N/A</v>
      </c>
      <c r="DC304" s="5" t="e">
        <v>#N/A</v>
      </c>
      <c r="DD304" s="5" t="e">
        <v>#N/A</v>
      </c>
      <c r="DE304" s="5" t="e">
        <v>#N/A</v>
      </c>
      <c r="DF304" s="5" t="e">
        <v>#N/A</v>
      </c>
      <c r="DG304" s="5" t="e">
        <v>#N/A</v>
      </c>
      <c r="DH304" s="5" t="e">
        <v>#N/A</v>
      </c>
      <c r="DI304" s="5" t="e">
        <v>#N/A</v>
      </c>
    </row>
    <row r="305" spans="1:113" s="5" customFormat="1">
      <c r="A305"/>
      <c r="B305"/>
      <c r="C305" s="44"/>
      <c r="D305" s="44"/>
      <c r="E305" s="44"/>
      <c r="F305" s="44"/>
      <c r="G305" s="44"/>
      <c r="H305" s="44"/>
      <c r="I305" s="44"/>
      <c r="J305" s="44"/>
      <c r="K305" s="44"/>
      <c r="L305" s="44"/>
      <c r="M305" t="str">
        <f t="shared" si="33"/>
        <v>"//*[@class=\"</v>
      </c>
      <c r="N305" t="s">
        <v>31</v>
      </c>
      <c r="O305" s="4" t="str">
        <f t="shared" si="36"/>
        <v>click</v>
      </c>
      <c r="P305" t="str">
        <f t="shared" si="37"/>
        <v>();</v>
      </c>
      <c r="Q305" t="str">
        <f t="shared" si="38"/>
        <v/>
      </c>
      <c r="R305" t="str">
        <f t="shared" si="34"/>
        <v/>
      </c>
      <c r="S305" s="1" t="str">
        <f t="shared" si="35"/>
        <v/>
      </c>
      <c r="T305"/>
      <c r="U305"/>
      <c r="V305"/>
      <c r="W305"/>
      <c r="X305"/>
      <c r="Y305"/>
      <c r="Z305">
        <v>296</v>
      </c>
      <c r="AA305"/>
      <c r="AB305"/>
      <c r="AC305" s="6"/>
      <c r="AD305" s="6"/>
      <c r="AE305" s="6"/>
      <c r="AF305" s="6"/>
      <c r="AG305" s="4"/>
      <c r="AH305" s="4"/>
      <c r="AI305" s="4"/>
      <c r="AJ305" s="4"/>
      <c r="AK305" s="4"/>
      <c r="AL305" s="4"/>
      <c r="AM305" s="4"/>
      <c r="AN305" s="4"/>
      <c r="AO305" s="4"/>
      <c r="AP305" s="4"/>
      <c r="AQ305" s="4"/>
      <c r="AR305" s="4"/>
      <c r="AS305" s="4"/>
      <c r="AT305" s="4"/>
      <c r="AU305" s="4"/>
      <c r="AV305" s="4"/>
      <c r="AW305" s="4"/>
      <c r="AX305" s="4"/>
      <c r="AY305" s="4"/>
      <c r="AZ305" s="4"/>
      <c r="BA305" s="4"/>
      <c r="BB305" s="3"/>
      <c r="BC305" s="3"/>
      <c r="CT305" s="5" t="e">
        <v>#N/A</v>
      </c>
      <c r="CU305" s="5" t="e">
        <v>#N/A</v>
      </c>
      <c r="CV305" s="5" t="e">
        <v>#N/A</v>
      </c>
      <c r="CW305" s="5" t="e">
        <v>#N/A</v>
      </c>
      <c r="CX305" s="5" t="e">
        <v>#N/A</v>
      </c>
      <c r="CY305" s="5" t="e">
        <v>#N/A</v>
      </c>
      <c r="CZ305" s="5" t="e">
        <v>#N/A</v>
      </c>
      <c r="DA305" s="5" t="e">
        <v>#N/A</v>
      </c>
      <c r="DB305" s="5" t="e">
        <v>#N/A</v>
      </c>
      <c r="DC305" s="5" t="e">
        <v>#N/A</v>
      </c>
      <c r="DD305" s="5" t="e">
        <v>#N/A</v>
      </c>
      <c r="DE305" s="5" t="e">
        <v>#N/A</v>
      </c>
      <c r="DF305" s="5" t="e">
        <v>#N/A</v>
      </c>
      <c r="DG305" s="5" t="e">
        <v>#N/A</v>
      </c>
      <c r="DH305" s="5" t="e">
        <v>#N/A</v>
      </c>
      <c r="DI305" s="5" t="e">
        <v>#N/A</v>
      </c>
    </row>
    <row r="306" spans="1:113" s="5" customFormat="1">
      <c r="A306"/>
      <c r="B306"/>
      <c r="C306" s="44"/>
      <c r="D306" s="44"/>
      <c r="E306" s="44"/>
      <c r="F306" s="44"/>
      <c r="G306" s="44"/>
      <c r="H306" s="44"/>
      <c r="I306" s="44"/>
      <c r="J306" s="44"/>
      <c r="K306" s="44"/>
      <c r="L306" s="44"/>
      <c r="M306" t="str">
        <f t="shared" si="33"/>
        <v>"//*[@class=\"</v>
      </c>
      <c r="N306" t="s">
        <v>31</v>
      </c>
      <c r="O306" s="4" t="str">
        <f t="shared" si="36"/>
        <v>click</v>
      </c>
      <c r="P306" t="str">
        <f t="shared" si="37"/>
        <v>();</v>
      </c>
      <c r="Q306" t="str">
        <f t="shared" si="38"/>
        <v/>
      </c>
      <c r="R306" t="str">
        <f t="shared" si="34"/>
        <v/>
      </c>
      <c r="S306" s="1" t="str">
        <f t="shared" si="35"/>
        <v/>
      </c>
      <c r="T306"/>
      <c r="U306"/>
      <c r="V306"/>
      <c r="W306"/>
      <c r="X306"/>
      <c r="Y306"/>
      <c r="Z306">
        <v>297</v>
      </c>
      <c r="AA306"/>
      <c r="AB306"/>
      <c r="AC306" s="6"/>
      <c r="AD306" s="6"/>
      <c r="AE306" s="6"/>
      <c r="AF306" s="6"/>
      <c r="AG306" s="4"/>
      <c r="AH306" s="4"/>
      <c r="AI306" s="4"/>
      <c r="AJ306" s="4"/>
      <c r="AK306" s="4"/>
      <c r="AL306" s="4"/>
      <c r="AM306" s="4"/>
      <c r="AN306" s="4"/>
      <c r="AO306" s="4"/>
      <c r="AP306" s="4"/>
      <c r="AQ306" s="4"/>
      <c r="AR306" s="4"/>
      <c r="AS306" s="4"/>
      <c r="AT306" s="4"/>
      <c r="AU306" s="4"/>
      <c r="AV306" s="4"/>
      <c r="AW306" s="4"/>
      <c r="AX306" s="4"/>
      <c r="AY306" s="4"/>
      <c r="AZ306" s="4"/>
      <c r="BA306" s="4"/>
      <c r="BB306" s="3"/>
      <c r="BC306" s="3"/>
      <c r="CT306" s="5" t="e">
        <v>#N/A</v>
      </c>
      <c r="CU306" s="5" t="e">
        <v>#N/A</v>
      </c>
      <c r="CV306" s="5" t="e">
        <v>#N/A</v>
      </c>
      <c r="CW306" s="5" t="e">
        <v>#N/A</v>
      </c>
      <c r="CX306" s="5" t="e">
        <v>#N/A</v>
      </c>
      <c r="CY306" s="5" t="e">
        <v>#N/A</v>
      </c>
      <c r="CZ306" s="5" t="e">
        <v>#N/A</v>
      </c>
      <c r="DA306" s="5" t="e">
        <v>#N/A</v>
      </c>
      <c r="DB306" s="5" t="e">
        <v>#N/A</v>
      </c>
      <c r="DC306" s="5" t="e">
        <v>#N/A</v>
      </c>
      <c r="DD306" s="5" t="e">
        <v>#N/A</v>
      </c>
      <c r="DE306" s="5" t="e">
        <v>#N/A</v>
      </c>
      <c r="DF306" s="5" t="e">
        <v>#N/A</v>
      </c>
      <c r="DG306" s="5" t="e">
        <v>#N/A</v>
      </c>
      <c r="DH306" s="5" t="e">
        <v>#N/A</v>
      </c>
      <c r="DI306" s="5" t="e">
        <v>#N/A</v>
      </c>
    </row>
    <row r="307" spans="1:113" s="5" customFormat="1">
      <c r="A307"/>
      <c r="B307"/>
      <c r="C307" s="44"/>
      <c r="D307" s="44"/>
      <c r="E307" s="44"/>
      <c r="F307" s="44"/>
      <c r="G307" s="44"/>
      <c r="H307" s="44"/>
      <c r="I307" s="44"/>
      <c r="J307" s="44"/>
      <c r="K307" s="44"/>
      <c r="L307" s="44"/>
      <c r="M307" t="str">
        <f t="shared" si="33"/>
        <v>"//*[@class=\"</v>
      </c>
      <c r="N307" t="s">
        <v>31</v>
      </c>
      <c r="O307" s="4" t="str">
        <f t="shared" si="36"/>
        <v>click</v>
      </c>
      <c r="P307" t="str">
        <f t="shared" si="37"/>
        <v>();</v>
      </c>
      <c r="Q307" t="str">
        <f t="shared" si="38"/>
        <v/>
      </c>
      <c r="R307" t="str">
        <f t="shared" si="34"/>
        <v/>
      </c>
      <c r="S307" s="1" t="str">
        <f t="shared" si="35"/>
        <v/>
      </c>
      <c r="T307"/>
      <c r="U307"/>
      <c r="V307"/>
      <c r="W307"/>
      <c r="X307"/>
      <c r="Y307"/>
      <c r="Z307">
        <v>298</v>
      </c>
      <c r="AA307"/>
      <c r="AB307"/>
      <c r="AC307" s="6"/>
      <c r="AD307" s="6"/>
      <c r="AE307" s="6"/>
      <c r="AF307" s="6"/>
      <c r="AG307" s="4"/>
      <c r="AH307" s="4"/>
      <c r="AI307" s="4"/>
      <c r="AJ307" s="4"/>
      <c r="AK307" s="4"/>
      <c r="AL307" s="4"/>
      <c r="AM307" s="4"/>
      <c r="AN307" s="4"/>
      <c r="AO307" s="4"/>
      <c r="AP307" s="4"/>
      <c r="AQ307" s="4"/>
      <c r="AR307" s="4"/>
      <c r="AS307" s="4"/>
      <c r="AT307" s="4"/>
      <c r="AU307" s="4"/>
      <c r="AV307" s="4"/>
      <c r="AW307" s="4"/>
      <c r="AX307" s="4"/>
      <c r="AY307" s="4"/>
      <c r="AZ307" s="4"/>
      <c r="BA307" s="4"/>
      <c r="BB307" s="3"/>
      <c r="BC307" s="3"/>
      <c r="CT307" s="5" t="e">
        <v>#N/A</v>
      </c>
      <c r="CU307" s="5" t="e">
        <v>#N/A</v>
      </c>
      <c r="CV307" s="5" t="e">
        <v>#N/A</v>
      </c>
      <c r="CW307" s="5" t="e">
        <v>#N/A</v>
      </c>
      <c r="CX307" s="5" t="e">
        <v>#N/A</v>
      </c>
      <c r="CY307" s="5" t="e">
        <v>#N/A</v>
      </c>
      <c r="CZ307" s="5" t="e">
        <v>#N/A</v>
      </c>
      <c r="DA307" s="5" t="e">
        <v>#N/A</v>
      </c>
      <c r="DB307" s="5" t="e">
        <v>#N/A</v>
      </c>
      <c r="DC307" s="5" t="e">
        <v>#N/A</v>
      </c>
      <c r="DD307" s="5" t="e">
        <v>#N/A</v>
      </c>
      <c r="DE307" s="5" t="e">
        <v>#N/A</v>
      </c>
      <c r="DF307" s="5" t="e">
        <v>#N/A</v>
      </c>
      <c r="DG307" s="5" t="e">
        <v>#N/A</v>
      </c>
      <c r="DH307" s="5" t="e">
        <v>#N/A</v>
      </c>
      <c r="DI307" s="5" t="e">
        <v>#N/A</v>
      </c>
    </row>
    <row r="308" spans="1:113" s="5" customFormat="1">
      <c r="A308"/>
      <c r="B308"/>
      <c r="C308" s="44"/>
      <c r="D308" s="44"/>
      <c r="E308" s="44"/>
      <c r="F308" s="44"/>
      <c r="G308" s="44"/>
      <c r="H308" s="44"/>
      <c r="I308" s="44"/>
      <c r="J308" s="44"/>
      <c r="K308" s="44"/>
      <c r="L308" s="44"/>
      <c r="M308" t="str">
        <f t="shared" si="33"/>
        <v>"//*[@class=\"</v>
      </c>
      <c r="N308" t="s">
        <v>31</v>
      </c>
      <c r="O308" s="4" t="str">
        <f t="shared" si="36"/>
        <v>click</v>
      </c>
      <c r="P308" t="str">
        <f t="shared" si="37"/>
        <v>();</v>
      </c>
      <c r="Q308" t="str">
        <f t="shared" si="38"/>
        <v/>
      </c>
      <c r="R308" t="str">
        <f t="shared" si="34"/>
        <v/>
      </c>
      <c r="S308" s="1" t="str">
        <f t="shared" si="35"/>
        <v/>
      </c>
      <c r="T308"/>
      <c r="U308"/>
      <c r="V308"/>
      <c r="W308"/>
      <c r="X308"/>
      <c r="Y308"/>
      <c r="Z308">
        <v>299</v>
      </c>
      <c r="AA308"/>
      <c r="AB308"/>
      <c r="AC308" s="6"/>
      <c r="AD308" s="6"/>
      <c r="AE308" s="6"/>
      <c r="AF308" s="6"/>
      <c r="AG308" s="4"/>
      <c r="AH308" s="4"/>
      <c r="AI308" s="4"/>
      <c r="AJ308" s="4"/>
      <c r="AK308" s="4"/>
      <c r="AL308" s="4"/>
      <c r="AM308" s="4"/>
      <c r="AN308" s="4"/>
      <c r="AO308" s="4"/>
      <c r="AP308" s="4"/>
      <c r="AQ308" s="4"/>
      <c r="AR308" s="4"/>
      <c r="AS308" s="4"/>
      <c r="AT308" s="4"/>
      <c r="AU308" s="4"/>
      <c r="AV308" s="4"/>
      <c r="AW308" s="4"/>
      <c r="AX308" s="4"/>
      <c r="AY308" s="4"/>
      <c r="AZ308" s="4"/>
      <c r="BA308" s="4"/>
      <c r="BB308" s="3"/>
      <c r="BC308" s="3"/>
      <c r="CT308" s="5" t="e">
        <v>#N/A</v>
      </c>
      <c r="CU308" s="5" t="e">
        <v>#N/A</v>
      </c>
      <c r="CV308" s="5" t="e">
        <v>#N/A</v>
      </c>
      <c r="CW308" s="5" t="e">
        <v>#N/A</v>
      </c>
      <c r="CX308" s="5" t="e">
        <v>#N/A</v>
      </c>
      <c r="CY308" s="5" t="e">
        <v>#N/A</v>
      </c>
      <c r="CZ308" s="5" t="e">
        <v>#N/A</v>
      </c>
      <c r="DA308" s="5" t="e">
        <v>#N/A</v>
      </c>
      <c r="DB308" s="5" t="e">
        <v>#N/A</v>
      </c>
      <c r="DC308" s="5" t="e">
        <v>#N/A</v>
      </c>
      <c r="DD308" s="5" t="e">
        <v>#N/A</v>
      </c>
      <c r="DE308" s="5" t="e">
        <v>#N/A</v>
      </c>
      <c r="DF308" s="5" t="e">
        <v>#N/A</v>
      </c>
      <c r="DG308" s="5" t="e">
        <v>#N/A</v>
      </c>
      <c r="DH308" s="5" t="e">
        <v>#N/A</v>
      </c>
      <c r="DI308" s="5" t="e">
        <v>#N/A</v>
      </c>
    </row>
    <row r="309" spans="1:113" s="5" customFormat="1">
      <c r="A309"/>
      <c r="B309"/>
      <c r="C309" s="44"/>
      <c r="D309" s="44"/>
      <c r="E309" s="44"/>
      <c r="F309" s="44"/>
      <c r="G309" s="44"/>
      <c r="H309" s="44"/>
      <c r="I309" s="44"/>
      <c r="J309" s="44"/>
      <c r="K309" s="44"/>
      <c r="L309" s="44"/>
      <c r="M309" t="str">
        <f t="shared" si="33"/>
        <v>"//*[@class=\"</v>
      </c>
      <c r="N309" t="s">
        <v>31</v>
      </c>
      <c r="O309" s="4" t="str">
        <f t="shared" si="36"/>
        <v>click</v>
      </c>
      <c r="P309" t="str">
        <f t="shared" si="37"/>
        <v>();</v>
      </c>
      <c r="Q309" t="str">
        <f t="shared" si="38"/>
        <v/>
      </c>
      <c r="R309" t="str">
        <f t="shared" si="34"/>
        <v/>
      </c>
      <c r="S309" s="1" t="str">
        <f t="shared" si="35"/>
        <v/>
      </c>
      <c r="T309"/>
      <c r="U309"/>
      <c r="V309"/>
      <c r="W309"/>
      <c r="X309"/>
      <c r="Y309"/>
      <c r="Z309">
        <v>300</v>
      </c>
      <c r="AA309"/>
      <c r="AB309"/>
      <c r="AC309" s="6"/>
      <c r="AD309" s="6"/>
      <c r="AE309" s="6"/>
      <c r="AF309" s="6"/>
      <c r="AG309" s="4"/>
      <c r="AH309" s="4"/>
      <c r="AI309" s="4"/>
      <c r="AJ309" s="4"/>
      <c r="AK309" s="4"/>
      <c r="AL309" s="4"/>
      <c r="AM309" s="4"/>
      <c r="AN309" s="4"/>
      <c r="AO309" s="4"/>
      <c r="AP309" s="4"/>
      <c r="AQ309" s="4"/>
      <c r="AR309" s="4"/>
      <c r="AS309" s="4"/>
      <c r="AT309" s="4"/>
      <c r="AU309" s="4"/>
      <c r="AV309" s="4"/>
      <c r="AW309" s="4"/>
      <c r="AX309" s="4"/>
      <c r="AY309" s="4"/>
      <c r="AZ309" s="4"/>
      <c r="BA309" s="4"/>
      <c r="BB309" s="3"/>
      <c r="BC309" s="3"/>
      <c r="CT309" s="5" t="e">
        <v>#N/A</v>
      </c>
      <c r="CU309" s="5" t="e">
        <v>#N/A</v>
      </c>
      <c r="CV309" s="5" t="e">
        <v>#N/A</v>
      </c>
      <c r="CW309" s="5" t="e">
        <v>#N/A</v>
      </c>
      <c r="CX309" s="5" t="e">
        <v>#N/A</v>
      </c>
      <c r="CY309" s="5" t="e">
        <v>#N/A</v>
      </c>
      <c r="CZ309" s="5" t="e">
        <v>#N/A</v>
      </c>
      <c r="DA309" s="5" t="e">
        <v>#N/A</v>
      </c>
      <c r="DB309" s="5" t="e">
        <v>#N/A</v>
      </c>
      <c r="DC309" s="5" t="e">
        <v>#N/A</v>
      </c>
      <c r="DD309" s="5" t="e">
        <v>#N/A</v>
      </c>
      <c r="DE309" s="5" t="e">
        <v>#N/A</v>
      </c>
      <c r="DF309" s="5" t="e">
        <v>#N/A</v>
      </c>
      <c r="DG309" s="5" t="e">
        <v>#N/A</v>
      </c>
      <c r="DH309" s="5" t="e">
        <v>#N/A</v>
      </c>
      <c r="DI309" s="5" t="e">
        <v>#N/A</v>
      </c>
    </row>
    <row r="310" spans="1:113" s="5" customFormat="1">
      <c r="A310"/>
      <c r="B310"/>
      <c r="C310" s="44"/>
      <c r="D310" s="44"/>
      <c r="E310" s="44"/>
      <c r="F310" s="44"/>
      <c r="G310" s="44"/>
      <c r="H310" s="44"/>
      <c r="I310" s="44"/>
      <c r="J310" s="44"/>
      <c r="K310" s="44"/>
      <c r="L310" s="44"/>
      <c r="M310" t="str">
        <f t="shared" si="33"/>
        <v>"//*[@class=\"</v>
      </c>
      <c r="N310" t="s">
        <v>31</v>
      </c>
      <c r="O310" s="4" t="str">
        <f t="shared" si="36"/>
        <v>click</v>
      </c>
      <c r="P310" t="str">
        <f t="shared" si="37"/>
        <v>();</v>
      </c>
      <c r="Q310" t="str">
        <f t="shared" si="38"/>
        <v/>
      </c>
      <c r="R310" t="str">
        <f t="shared" si="34"/>
        <v/>
      </c>
      <c r="S310" s="1" t="str">
        <f t="shared" si="35"/>
        <v/>
      </c>
      <c r="T310"/>
      <c r="U310"/>
      <c r="V310"/>
      <c r="W310"/>
      <c r="X310"/>
      <c r="Y310"/>
      <c r="Z310">
        <v>301</v>
      </c>
      <c r="AA310"/>
      <c r="AB310"/>
      <c r="AC310" s="6"/>
      <c r="AD310" s="6"/>
      <c r="AE310" s="6"/>
      <c r="AF310" s="6"/>
      <c r="AG310" s="4"/>
      <c r="AH310" s="4"/>
      <c r="AI310" s="4"/>
      <c r="AJ310" s="4"/>
      <c r="AK310" s="4"/>
      <c r="AL310" s="4"/>
      <c r="AM310" s="4"/>
      <c r="AN310" s="4"/>
      <c r="AO310" s="4"/>
      <c r="AP310" s="4"/>
      <c r="AQ310" s="4"/>
      <c r="AR310" s="4"/>
      <c r="AS310" s="4"/>
      <c r="AT310" s="4"/>
      <c r="AU310" s="4"/>
      <c r="AV310" s="4"/>
      <c r="AW310" s="4"/>
      <c r="AX310" s="4"/>
      <c r="AY310" s="4"/>
      <c r="AZ310" s="4"/>
      <c r="BA310" s="4"/>
      <c r="BB310" s="3"/>
      <c r="BC310" s="3"/>
      <c r="CT310" s="5" t="e">
        <v>#N/A</v>
      </c>
      <c r="CU310" s="5" t="e">
        <v>#N/A</v>
      </c>
      <c r="CV310" s="5" t="e">
        <v>#N/A</v>
      </c>
      <c r="CW310" s="5" t="e">
        <v>#N/A</v>
      </c>
      <c r="CX310" s="5" t="e">
        <v>#N/A</v>
      </c>
      <c r="CY310" s="5" t="e">
        <v>#N/A</v>
      </c>
      <c r="CZ310" s="5" t="e">
        <v>#N/A</v>
      </c>
      <c r="DA310" s="5" t="e">
        <v>#N/A</v>
      </c>
      <c r="DB310" s="5" t="e">
        <v>#N/A</v>
      </c>
      <c r="DC310" s="5" t="e">
        <v>#N/A</v>
      </c>
      <c r="DD310" s="5" t="e">
        <v>#N/A</v>
      </c>
      <c r="DE310" s="5" t="e">
        <v>#N/A</v>
      </c>
      <c r="DF310" s="5" t="e">
        <v>#N/A</v>
      </c>
      <c r="DG310" s="5" t="e">
        <v>#N/A</v>
      </c>
      <c r="DH310" s="5" t="e">
        <v>#N/A</v>
      </c>
      <c r="DI310" s="5" t="e">
        <v>#N/A</v>
      </c>
    </row>
    <row r="311" spans="1:113" s="5" customFormat="1">
      <c r="A311"/>
      <c r="B311"/>
      <c r="C311" s="44"/>
      <c r="D311" s="44"/>
      <c r="E311" s="44"/>
      <c r="F311" s="44"/>
      <c r="G311" s="44"/>
      <c r="H311" s="44"/>
      <c r="I311" s="44"/>
      <c r="J311" s="44"/>
      <c r="K311" s="44"/>
      <c r="L311" s="44"/>
      <c r="M311" t="str">
        <f t="shared" si="33"/>
        <v>"//*[@class=\"</v>
      </c>
      <c r="N311" t="s">
        <v>31</v>
      </c>
      <c r="O311" s="4" t="str">
        <f t="shared" si="36"/>
        <v>click</v>
      </c>
      <c r="P311" t="str">
        <f t="shared" si="37"/>
        <v>();</v>
      </c>
      <c r="Q311" t="str">
        <f t="shared" si="38"/>
        <v/>
      </c>
      <c r="R311" t="str">
        <f t="shared" si="34"/>
        <v/>
      </c>
      <c r="S311" s="1" t="str">
        <f t="shared" si="35"/>
        <v/>
      </c>
      <c r="T311"/>
      <c r="U311"/>
      <c r="V311"/>
      <c r="W311"/>
      <c r="X311"/>
      <c r="Y311"/>
      <c r="Z311">
        <v>302</v>
      </c>
      <c r="AA311"/>
      <c r="AB311"/>
      <c r="AC311" s="6"/>
      <c r="AD311" s="6"/>
      <c r="AE311" s="6"/>
      <c r="AF311" s="6"/>
      <c r="AG311" s="4"/>
      <c r="AH311" s="4"/>
      <c r="AI311" s="4"/>
      <c r="AJ311" s="4"/>
      <c r="AK311" s="4"/>
      <c r="AL311" s="4"/>
      <c r="AM311" s="4"/>
      <c r="AN311" s="4"/>
      <c r="AO311" s="4"/>
      <c r="AP311" s="4"/>
      <c r="AQ311" s="4"/>
      <c r="AR311" s="4"/>
      <c r="AS311" s="4"/>
      <c r="AT311" s="4"/>
      <c r="AU311" s="4"/>
      <c r="AV311" s="4"/>
      <c r="AW311" s="4"/>
      <c r="AX311" s="4"/>
      <c r="AY311" s="4"/>
      <c r="AZ311" s="4"/>
      <c r="BA311" s="4"/>
      <c r="BB311" s="3"/>
      <c r="BC311" s="3"/>
      <c r="CT311" s="5" t="e">
        <v>#N/A</v>
      </c>
      <c r="CU311" s="5" t="e">
        <v>#N/A</v>
      </c>
      <c r="CV311" s="5" t="e">
        <v>#N/A</v>
      </c>
      <c r="CW311" s="5" t="e">
        <v>#N/A</v>
      </c>
      <c r="CX311" s="5" t="e">
        <v>#N/A</v>
      </c>
      <c r="CY311" s="5" t="e">
        <v>#N/A</v>
      </c>
      <c r="CZ311" s="5" t="e">
        <v>#N/A</v>
      </c>
      <c r="DA311" s="5" t="e">
        <v>#N/A</v>
      </c>
      <c r="DB311" s="5" t="e">
        <v>#N/A</v>
      </c>
      <c r="DC311" s="5" t="e">
        <v>#N/A</v>
      </c>
      <c r="DD311" s="5" t="e">
        <v>#N/A</v>
      </c>
      <c r="DE311" s="5" t="e">
        <v>#N/A</v>
      </c>
      <c r="DF311" s="5" t="e">
        <v>#N/A</v>
      </c>
      <c r="DG311" s="5" t="e">
        <v>#N/A</v>
      </c>
      <c r="DH311" s="5" t="e">
        <v>#N/A</v>
      </c>
      <c r="DI311" s="5" t="e">
        <v>#N/A</v>
      </c>
    </row>
    <row r="312" spans="1:113" s="5" customFormat="1">
      <c r="A312"/>
      <c r="B312"/>
      <c r="C312" s="44"/>
      <c r="D312" s="44"/>
      <c r="E312" s="44"/>
      <c r="F312" s="44"/>
      <c r="G312" s="44"/>
      <c r="H312" s="44"/>
      <c r="I312" s="44"/>
      <c r="J312" s="44"/>
      <c r="K312" s="44"/>
      <c r="L312" s="44"/>
      <c r="M312" t="str">
        <f t="shared" si="33"/>
        <v>"//*[@class=\"</v>
      </c>
      <c r="N312" t="s">
        <v>31</v>
      </c>
      <c r="O312" s="4" t="str">
        <f t="shared" si="36"/>
        <v>click</v>
      </c>
      <c r="P312" t="str">
        <f t="shared" si="37"/>
        <v>();</v>
      </c>
      <c r="Q312" t="str">
        <f t="shared" si="38"/>
        <v/>
      </c>
      <c r="R312" t="str">
        <f t="shared" si="34"/>
        <v/>
      </c>
      <c r="S312" s="1" t="str">
        <f t="shared" si="35"/>
        <v/>
      </c>
      <c r="T312"/>
      <c r="U312"/>
      <c r="V312"/>
      <c r="W312"/>
      <c r="X312"/>
      <c r="Y312"/>
      <c r="Z312">
        <v>303</v>
      </c>
      <c r="AA312"/>
      <c r="AB312"/>
      <c r="AC312" s="6"/>
      <c r="AD312" s="6"/>
      <c r="AE312" s="6"/>
      <c r="AF312" s="6"/>
      <c r="AG312" s="4"/>
      <c r="AH312" s="4"/>
      <c r="AI312" s="4"/>
      <c r="AJ312" s="4"/>
      <c r="AK312" s="4"/>
      <c r="AL312" s="4"/>
      <c r="AM312" s="4"/>
      <c r="AN312" s="4"/>
      <c r="AO312" s="4"/>
      <c r="AP312" s="4"/>
      <c r="AQ312" s="4"/>
      <c r="AR312" s="4"/>
      <c r="AS312" s="4"/>
      <c r="AT312" s="4"/>
      <c r="AU312" s="4"/>
      <c r="AV312" s="4"/>
      <c r="AW312" s="4"/>
      <c r="AX312" s="4"/>
      <c r="AY312" s="4"/>
      <c r="AZ312" s="4"/>
      <c r="BA312" s="4"/>
      <c r="BB312" s="3"/>
      <c r="BC312" s="3"/>
      <c r="CT312" s="5" t="e">
        <v>#N/A</v>
      </c>
      <c r="CU312" s="5" t="e">
        <v>#N/A</v>
      </c>
      <c r="CV312" s="5" t="e">
        <v>#N/A</v>
      </c>
      <c r="CW312" s="5" t="e">
        <v>#N/A</v>
      </c>
      <c r="CX312" s="5" t="e">
        <v>#N/A</v>
      </c>
      <c r="CY312" s="5" t="e">
        <v>#N/A</v>
      </c>
      <c r="CZ312" s="5" t="e">
        <v>#N/A</v>
      </c>
      <c r="DA312" s="5" t="e">
        <v>#N/A</v>
      </c>
      <c r="DB312" s="5" t="e">
        <v>#N/A</v>
      </c>
      <c r="DC312" s="5" t="e">
        <v>#N/A</v>
      </c>
      <c r="DD312" s="5" t="e">
        <v>#N/A</v>
      </c>
      <c r="DE312" s="5" t="e">
        <v>#N/A</v>
      </c>
      <c r="DF312" s="5" t="e">
        <v>#N/A</v>
      </c>
      <c r="DG312" s="5" t="e">
        <v>#N/A</v>
      </c>
      <c r="DH312" s="5" t="e">
        <v>#N/A</v>
      </c>
      <c r="DI312" s="5" t="e">
        <v>#N/A</v>
      </c>
    </row>
    <row r="313" spans="1:113" s="5" customFormat="1">
      <c r="A313"/>
      <c r="B313"/>
      <c r="C313" s="44"/>
      <c r="D313" s="44"/>
      <c r="E313" s="44"/>
      <c r="F313" s="44"/>
      <c r="G313" s="44"/>
      <c r="H313" s="44"/>
      <c r="I313" s="44"/>
      <c r="J313" s="44"/>
      <c r="K313" s="44"/>
      <c r="L313" s="44"/>
      <c r="M313" t="str">
        <f t="shared" si="33"/>
        <v>"//*[@class=\"</v>
      </c>
      <c r="N313" t="s">
        <v>31</v>
      </c>
      <c r="O313" s="4" t="str">
        <f t="shared" si="36"/>
        <v>click</v>
      </c>
      <c r="P313" t="str">
        <f t="shared" si="37"/>
        <v>();</v>
      </c>
      <c r="Q313" t="str">
        <f t="shared" si="38"/>
        <v/>
      </c>
      <c r="R313" t="str">
        <f t="shared" si="34"/>
        <v/>
      </c>
      <c r="S313" s="1" t="str">
        <f t="shared" si="35"/>
        <v/>
      </c>
      <c r="T313"/>
      <c r="U313"/>
      <c r="V313"/>
      <c r="W313"/>
      <c r="X313"/>
      <c r="Y313"/>
      <c r="Z313">
        <v>304</v>
      </c>
      <c r="AA313"/>
      <c r="AB313"/>
      <c r="AC313" s="6"/>
      <c r="AD313" s="6"/>
      <c r="AE313" s="6"/>
      <c r="AF313" s="6"/>
      <c r="AG313" s="4"/>
      <c r="AH313" s="4"/>
      <c r="AI313" s="4"/>
      <c r="AJ313" s="4"/>
      <c r="AK313" s="4"/>
      <c r="AL313" s="4"/>
      <c r="AM313" s="4"/>
      <c r="AN313" s="4"/>
      <c r="AO313" s="4"/>
      <c r="AP313" s="4"/>
      <c r="AQ313" s="4"/>
      <c r="AR313" s="4"/>
      <c r="AS313" s="4"/>
      <c r="AT313" s="4"/>
      <c r="AU313" s="4"/>
      <c r="AV313" s="4"/>
      <c r="AW313" s="4"/>
      <c r="AX313" s="4"/>
      <c r="AY313" s="4"/>
      <c r="AZ313" s="4"/>
      <c r="BA313" s="4"/>
      <c r="BB313" s="3"/>
      <c r="BC313" s="3"/>
      <c r="CT313" s="5" t="e">
        <v>#N/A</v>
      </c>
      <c r="CU313" s="5" t="e">
        <v>#N/A</v>
      </c>
      <c r="CV313" s="5" t="e">
        <v>#N/A</v>
      </c>
      <c r="CW313" s="5" t="e">
        <v>#N/A</v>
      </c>
      <c r="CX313" s="5" t="e">
        <v>#N/A</v>
      </c>
      <c r="CY313" s="5" t="e">
        <v>#N/A</v>
      </c>
      <c r="CZ313" s="5" t="e">
        <v>#N/A</v>
      </c>
      <c r="DA313" s="5" t="e">
        <v>#N/A</v>
      </c>
      <c r="DB313" s="5" t="e">
        <v>#N/A</v>
      </c>
      <c r="DC313" s="5" t="e">
        <v>#N/A</v>
      </c>
      <c r="DD313" s="5" t="e">
        <v>#N/A</v>
      </c>
      <c r="DE313" s="5" t="e">
        <v>#N/A</v>
      </c>
      <c r="DF313" s="5" t="e">
        <v>#N/A</v>
      </c>
      <c r="DG313" s="5" t="e">
        <v>#N/A</v>
      </c>
      <c r="DH313" s="5" t="e">
        <v>#N/A</v>
      </c>
      <c r="DI313" s="5" t="e">
        <v>#N/A</v>
      </c>
    </row>
    <row r="314" spans="1:113" s="5" customFormat="1">
      <c r="A314"/>
      <c r="B314"/>
      <c r="C314" s="44"/>
      <c r="D314" s="44"/>
      <c r="E314" s="44"/>
      <c r="F314" s="44"/>
      <c r="G314" s="44"/>
      <c r="H314" s="44"/>
      <c r="I314" s="44"/>
      <c r="J314" s="44"/>
      <c r="K314" s="44"/>
      <c r="L314" s="44"/>
      <c r="M314" t="str">
        <f t="shared" si="33"/>
        <v>"//*[@class=\"</v>
      </c>
      <c r="N314" t="s">
        <v>31</v>
      </c>
      <c r="O314" s="4" t="str">
        <f t="shared" si="36"/>
        <v>click</v>
      </c>
      <c r="P314" t="str">
        <f t="shared" si="37"/>
        <v>();</v>
      </c>
      <c r="Q314" t="str">
        <f t="shared" si="38"/>
        <v/>
      </c>
      <c r="R314" t="str">
        <f t="shared" si="34"/>
        <v/>
      </c>
      <c r="S314" s="1" t="str">
        <f t="shared" si="35"/>
        <v/>
      </c>
      <c r="T314"/>
      <c r="U314"/>
      <c r="V314"/>
      <c r="W314"/>
      <c r="X314"/>
      <c r="Y314"/>
      <c r="Z314">
        <v>305</v>
      </c>
      <c r="AA314"/>
      <c r="AB314"/>
      <c r="AC314" s="6"/>
      <c r="AD314" s="6"/>
      <c r="AE314" s="6"/>
      <c r="AF314" s="6"/>
      <c r="AG314" s="4"/>
      <c r="AH314" s="4"/>
      <c r="AI314" s="4"/>
      <c r="AJ314" s="4"/>
      <c r="AK314" s="4"/>
      <c r="AL314" s="4"/>
      <c r="AM314" s="4"/>
      <c r="AN314" s="4"/>
      <c r="AO314" s="4"/>
      <c r="AP314" s="4"/>
      <c r="AQ314" s="4"/>
      <c r="AR314" s="4"/>
      <c r="AS314" s="4"/>
      <c r="AT314" s="4"/>
      <c r="AU314" s="4"/>
      <c r="AV314" s="4"/>
      <c r="AW314" s="4"/>
      <c r="AX314" s="4"/>
      <c r="AY314" s="4"/>
      <c r="AZ314" s="4"/>
      <c r="BA314" s="4"/>
      <c r="BB314" s="3"/>
      <c r="BC314" s="3"/>
      <c r="CT314" s="5" t="e">
        <v>#N/A</v>
      </c>
      <c r="CU314" s="5" t="e">
        <v>#N/A</v>
      </c>
      <c r="CV314" s="5" t="e">
        <v>#N/A</v>
      </c>
      <c r="CW314" s="5" t="e">
        <v>#N/A</v>
      </c>
      <c r="CX314" s="5" t="e">
        <v>#N/A</v>
      </c>
      <c r="CY314" s="5" t="e">
        <v>#N/A</v>
      </c>
      <c r="CZ314" s="5" t="e">
        <v>#N/A</v>
      </c>
      <c r="DA314" s="5" t="e">
        <v>#N/A</v>
      </c>
      <c r="DB314" s="5" t="e">
        <v>#N/A</v>
      </c>
      <c r="DC314" s="5" t="e">
        <v>#N/A</v>
      </c>
      <c r="DD314" s="5" t="e">
        <v>#N/A</v>
      </c>
      <c r="DE314" s="5" t="e">
        <v>#N/A</v>
      </c>
      <c r="DF314" s="5" t="e">
        <v>#N/A</v>
      </c>
      <c r="DG314" s="5" t="e">
        <v>#N/A</v>
      </c>
      <c r="DH314" s="5" t="e">
        <v>#N/A</v>
      </c>
      <c r="DI314" s="5" t="e">
        <v>#N/A</v>
      </c>
    </row>
    <row r="315" spans="1:113" s="5" customFormat="1">
      <c r="A315"/>
      <c r="B315"/>
      <c r="C315" s="44"/>
      <c r="D315" s="44"/>
      <c r="E315" s="44"/>
      <c r="F315" s="44"/>
      <c r="G315" s="44"/>
      <c r="H315" s="44"/>
      <c r="I315" s="44"/>
      <c r="J315" s="44"/>
      <c r="K315" s="44"/>
      <c r="L315" s="44"/>
      <c r="M315" t="str">
        <f t="shared" si="33"/>
        <v>"//*[@class=\"</v>
      </c>
      <c r="N315" t="s">
        <v>31</v>
      </c>
      <c r="O315" s="4" t="str">
        <f t="shared" si="36"/>
        <v>click</v>
      </c>
      <c r="P315" t="str">
        <f t="shared" si="37"/>
        <v>();</v>
      </c>
      <c r="Q315" t="str">
        <f t="shared" si="38"/>
        <v/>
      </c>
      <c r="R315" t="str">
        <f t="shared" si="34"/>
        <v/>
      </c>
      <c r="S315" s="1" t="str">
        <f t="shared" si="35"/>
        <v/>
      </c>
      <c r="T315"/>
      <c r="U315"/>
      <c r="V315"/>
      <c r="W315"/>
      <c r="X315"/>
      <c r="Y315"/>
      <c r="Z315">
        <v>306</v>
      </c>
      <c r="AA315"/>
      <c r="AB315"/>
      <c r="AC315" s="6"/>
      <c r="AD315" s="6"/>
      <c r="AE315" s="6"/>
      <c r="AF315" s="6"/>
      <c r="AG315" s="4"/>
      <c r="AH315" s="4"/>
      <c r="AI315" s="4"/>
      <c r="AJ315" s="4"/>
      <c r="AK315" s="4"/>
      <c r="AL315" s="4"/>
      <c r="AM315" s="4"/>
      <c r="AN315" s="4"/>
      <c r="AO315" s="4"/>
      <c r="AP315" s="4"/>
      <c r="AQ315" s="4"/>
      <c r="AR315" s="4"/>
      <c r="AS315" s="4"/>
      <c r="AT315" s="4"/>
      <c r="AU315" s="4"/>
      <c r="AV315" s="4"/>
      <c r="AW315" s="4"/>
      <c r="AX315" s="4"/>
      <c r="AY315" s="4"/>
      <c r="AZ315" s="4"/>
      <c r="BA315" s="4"/>
      <c r="BB315" s="3"/>
      <c r="BC315" s="3"/>
      <c r="CT315" s="5" t="e">
        <v>#N/A</v>
      </c>
      <c r="CU315" s="5" t="e">
        <v>#N/A</v>
      </c>
      <c r="CV315" s="5" t="e">
        <v>#N/A</v>
      </c>
      <c r="CW315" s="5" t="e">
        <v>#N/A</v>
      </c>
      <c r="CX315" s="5" t="e">
        <v>#N/A</v>
      </c>
      <c r="CY315" s="5" t="e">
        <v>#N/A</v>
      </c>
      <c r="CZ315" s="5" t="e">
        <v>#N/A</v>
      </c>
      <c r="DA315" s="5" t="e">
        <v>#N/A</v>
      </c>
      <c r="DB315" s="5" t="e">
        <v>#N/A</v>
      </c>
      <c r="DC315" s="5" t="e">
        <v>#N/A</v>
      </c>
      <c r="DD315" s="5" t="e">
        <v>#N/A</v>
      </c>
      <c r="DE315" s="5" t="e">
        <v>#N/A</v>
      </c>
      <c r="DF315" s="5" t="e">
        <v>#N/A</v>
      </c>
      <c r="DG315" s="5" t="e">
        <v>#N/A</v>
      </c>
      <c r="DH315" s="5" t="e">
        <v>#N/A</v>
      </c>
      <c r="DI315" s="5" t="e">
        <v>#N/A</v>
      </c>
    </row>
    <row r="316" spans="1:113" s="5" customFormat="1">
      <c r="A316"/>
      <c r="B316"/>
      <c r="C316" s="44"/>
      <c r="D316" s="44"/>
      <c r="E316" s="44"/>
      <c r="F316" s="44"/>
      <c r="G316" s="44"/>
      <c r="H316" s="44"/>
      <c r="I316" s="44"/>
      <c r="J316" s="44"/>
      <c r="K316" s="44"/>
      <c r="L316" s="44"/>
      <c r="M316" t="str">
        <f t="shared" si="33"/>
        <v>"//*[@class=\"</v>
      </c>
      <c r="N316" t="s">
        <v>31</v>
      </c>
      <c r="O316" s="4" t="str">
        <f t="shared" si="36"/>
        <v>click</v>
      </c>
      <c r="P316" t="str">
        <f t="shared" si="37"/>
        <v>();</v>
      </c>
      <c r="Q316" t="str">
        <f t="shared" si="38"/>
        <v/>
      </c>
      <c r="R316" t="str">
        <f t="shared" si="34"/>
        <v/>
      </c>
      <c r="S316" s="1" t="str">
        <f t="shared" si="35"/>
        <v/>
      </c>
      <c r="T316"/>
      <c r="U316"/>
      <c r="V316"/>
      <c r="W316"/>
      <c r="X316"/>
      <c r="Y316"/>
      <c r="Z316">
        <v>307</v>
      </c>
      <c r="AA316"/>
      <c r="AB316"/>
      <c r="AC316" s="6"/>
      <c r="AD316" s="6"/>
      <c r="AE316" s="6"/>
      <c r="AF316" s="6"/>
      <c r="AG316" s="4"/>
      <c r="AH316" s="4"/>
      <c r="AI316" s="4"/>
      <c r="AJ316" s="4"/>
      <c r="AK316" s="4"/>
      <c r="AL316" s="4"/>
      <c r="AM316" s="4"/>
      <c r="AN316" s="4"/>
      <c r="AO316" s="4"/>
      <c r="AP316" s="4"/>
      <c r="AQ316" s="4"/>
      <c r="AR316" s="4"/>
      <c r="AS316" s="4"/>
      <c r="AT316" s="4"/>
      <c r="AU316" s="4"/>
      <c r="AV316" s="4"/>
      <c r="AW316" s="4"/>
      <c r="AX316" s="4"/>
      <c r="AY316" s="4"/>
      <c r="AZ316" s="4"/>
      <c r="BA316" s="4"/>
      <c r="BB316" s="3"/>
      <c r="BC316" s="3"/>
      <c r="CT316" s="5" t="e">
        <v>#N/A</v>
      </c>
      <c r="CU316" s="5" t="e">
        <v>#N/A</v>
      </c>
      <c r="CV316" s="5" t="e">
        <v>#N/A</v>
      </c>
      <c r="CW316" s="5" t="e">
        <v>#N/A</v>
      </c>
      <c r="CX316" s="5" t="e">
        <v>#N/A</v>
      </c>
      <c r="CY316" s="5" t="e">
        <v>#N/A</v>
      </c>
      <c r="CZ316" s="5" t="e">
        <v>#N/A</v>
      </c>
      <c r="DA316" s="5" t="e">
        <v>#N/A</v>
      </c>
      <c r="DB316" s="5" t="e">
        <v>#N/A</v>
      </c>
      <c r="DC316" s="5" t="e">
        <v>#N/A</v>
      </c>
      <c r="DD316" s="5" t="e">
        <v>#N/A</v>
      </c>
      <c r="DE316" s="5" t="e">
        <v>#N/A</v>
      </c>
      <c r="DF316" s="5" t="e">
        <v>#N/A</v>
      </c>
      <c r="DG316" s="5" t="e">
        <v>#N/A</v>
      </c>
      <c r="DH316" s="5" t="e">
        <v>#N/A</v>
      </c>
      <c r="DI316" s="5" t="e">
        <v>#N/A</v>
      </c>
    </row>
    <row r="317" spans="1:113" s="5" customFormat="1">
      <c r="A317"/>
      <c r="B317"/>
      <c r="C317" s="44"/>
      <c r="D317" s="44"/>
      <c r="E317" s="44"/>
      <c r="F317" s="44"/>
      <c r="G317" s="44"/>
      <c r="H317" s="44"/>
      <c r="I317" s="44"/>
      <c r="J317" s="44"/>
      <c r="K317" s="44"/>
      <c r="L317" s="44"/>
      <c r="M317" t="str">
        <f t="shared" si="33"/>
        <v>"//*[@class=\"</v>
      </c>
      <c r="N317" t="s">
        <v>31</v>
      </c>
      <c r="O317" s="4" t="str">
        <f t="shared" si="36"/>
        <v>click</v>
      </c>
      <c r="P317" t="str">
        <f t="shared" si="37"/>
        <v>();</v>
      </c>
      <c r="Q317" t="str">
        <f t="shared" si="38"/>
        <v/>
      </c>
      <c r="R317" t="str">
        <f t="shared" si="34"/>
        <v/>
      </c>
      <c r="S317" s="1" t="str">
        <f t="shared" si="35"/>
        <v/>
      </c>
      <c r="T317"/>
      <c r="U317"/>
      <c r="V317"/>
      <c r="W317"/>
      <c r="X317"/>
      <c r="Y317"/>
      <c r="Z317">
        <v>308</v>
      </c>
      <c r="AA317"/>
      <c r="AB317"/>
      <c r="AC317" s="6"/>
      <c r="AD317" s="6"/>
      <c r="AE317" s="6"/>
      <c r="AF317" s="6"/>
      <c r="AG317" s="4"/>
      <c r="AH317" s="4"/>
      <c r="AI317" s="4"/>
      <c r="AJ317" s="4"/>
      <c r="AK317" s="4"/>
      <c r="AL317" s="4"/>
      <c r="AM317" s="4"/>
      <c r="AN317" s="4"/>
      <c r="AO317" s="4"/>
      <c r="AP317" s="4"/>
      <c r="AQ317" s="4"/>
      <c r="AR317" s="4"/>
      <c r="AS317" s="4"/>
      <c r="AT317" s="4"/>
      <c r="AU317" s="4"/>
      <c r="AV317" s="4"/>
      <c r="AW317" s="4"/>
      <c r="AX317" s="4"/>
      <c r="AY317" s="4"/>
      <c r="AZ317" s="4"/>
      <c r="BA317" s="4"/>
      <c r="BB317" s="3"/>
      <c r="BC317" s="3"/>
      <c r="CT317" s="5" t="e">
        <v>#N/A</v>
      </c>
      <c r="CU317" s="5" t="e">
        <v>#N/A</v>
      </c>
      <c r="CV317" s="5" t="e">
        <v>#N/A</v>
      </c>
      <c r="CW317" s="5" t="e">
        <v>#N/A</v>
      </c>
      <c r="CX317" s="5" t="e">
        <v>#N/A</v>
      </c>
      <c r="CY317" s="5" t="e">
        <v>#N/A</v>
      </c>
      <c r="CZ317" s="5" t="e">
        <v>#N/A</v>
      </c>
      <c r="DA317" s="5" t="e">
        <v>#N/A</v>
      </c>
      <c r="DB317" s="5" t="e">
        <v>#N/A</v>
      </c>
      <c r="DC317" s="5" t="e">
        <v>#N/A</v>
      </c>
      <c r="DD317" s="5" t="e">
        <v>#N/A</v>
      </c>
      <c r="DE317" s="5" t="e">
        <v>#N/A</v>
      </c>
      <c r="DF317" s="5" t="e">
        <v>#N/A</v>
      </c>
      <c r="DG317" s="5" t="e">
        <v>#N/A</v>
      </c>
      <c r="DH317" s="5" t="e">
        <v>#N/A</v>
      </c>
      <c r="DI317" s="5" t="e">
        <v>#N/A</v>
      </c>
    </row>
    <row r="318" spans="1:113" s="5" customFormat="1">
      <c r="A318"/>
      <c r="B318"/>
      <c r="C318" s="44"/>
      <c r="D318" s="44"/>
      <c r="E318" s="44"/>
      <c r="F318" s="44"/>
      <c r="G318" s="44"/>
      <c r="H318" s="44"/>
      <c r="I318" s="44"/>
      <c r="J318" s="44"/>
      <c r="K318" s="44"/>
      <c r="L318" s="44"/>
      <c r="M318" t="str">
        <f t="shared" si="33"/>
        <v>"//*[@class=\"</v>
      </c>
      <c r="N318" t="s">
        <v>31</v>
      </c>
      <c r="O318" s="4" t="str">
        <f t="shared" si="36"/>
        <v>click</v>
      </c>
      <c r="P318" t="str">
        <f t="shared" si="37"/>
        <v>();</v>
      </c>
      <c r="Q318" t="str">
        <f t="shared" si="38"/>
        <v/>
      </c>
      <c r="R318" t="str">
        <f t="shared" si="34"/>
        <v/>
      </c>
      <c r="S318" s="1" t="str">
        <f t="shared" si="35"/>
        <v/>
      </c>
      <c r="T318"/>
      <c r="U318"/>
      <c r="V318"/>
      <c r="W318"/>
      <c r="X318"/>
      <c r="Y318"/>
      <c r="Z318">
        <v>309</v>
      </c>
      <c r="AA318"/>
      <c r="AB318"/>
      <c r="AC318" s="6"/>
      <c r="AD318" s="6"/>
      <c r="AE318" s="6"/>
      <c r="AF318" s="6"/>
      <c r="AG318" s="4"/>
      <c r="AH318" s="4"/>
      <c r="AI318" s="4"/>
      <c r="AJ318" s="4"/>
      <c r="AK318" s="4"/>
      <c r="AL318" s="4"/>
      <c r="AM318" s="4"/>
      <c r="AN318" s="4"/>
      <c r="AO318" s="4"/>
      <c r="AP318" s="4"/>
      <c r="AQ318" s="4"/>
      <c r="AR318" s="4"/>
      <c r="AS318" s="4"/>
      <c r="AT318" s="4"/>
      <c r="AU318" s="4"/>
      <c r="AV318" s="4"/>
      <c r="AW318" s="4"/>
      <c r="AX318" s="4"/>
      <c r="AY318" s="4"/>
      <c r="AZ318" s="4"/>
      <c r="BA318" s="4"/>
      <c r="BB318" s="3"/>
      <c r="BC318" s="3"/>
      <c r="CT318" s="5" t="e">
        <v>#N/A</v>
      </c>
      <c r="CU318" s="5" t="e">
        <v>#N/A</v>
      </c>
      <c r="CV318" s="5" t="e">
        <v>#N/A</v>
      </c>
      <c r="CW318" s="5" t="e">
        <v>#N/A</v>
      </c>
      <c r="CX318" s="5" t="e">
        <v>#N/A</v>
      </c>
      <c r="CY318" s="5" t="e">
        <v>#N/A</v>
      </c>
      <c r="CZ318" s="5" t="e">
        <v>#N/A</v>
      </c>
      <c r="DA318" s="5" t="e">
        <v>#N/A</v>
      </c>
      <c r="DB318" s="5" t="e">
        <v>#N/A</v>
      </c>
      <c r="DC318" s="5" t="e">
        <v>#N/A</v>
      </c>
      <c r="DD318" s="5" t="e">
        <v>#N/A</v>
      </c>
      <c r="DE318" s="5" t="e">
        <v>#N/A</v>
      </c>
      <c r="DF318" s="5" t="e">
        <v>#N/A</v>
      </c>
      <c r="DG318" s="5" t="e">
        <v>#N/A</v>
      </c>
      <c r="DH318" s="5" t="e">
        <v>#N/A</v>
      </c>
      <c r="DI318" s="5" t="e">
        <v>#N/A</v>
      </c>
    </row>
    <row r="319" spans="1:113" s="5" customFormat="1">
      <c r="A319"/>
      <c r="B319"/>
      <c r="C319" s="44"/>
      <c r="D319" s="44"/>
      <c r="E319" s="44"/>
      <c r="F319" s="44"/>
      <c r="G319" s="44"/>
      <c r="H319" s="44"/>
      <c r="I319" s="44"/>
      <c r="J319" s="44"/>
      <c r="K319" s="44"/>
      <c r="L319" s="44"/>
      <c r="M319" t="str">
        <f t="shared" si="33"/>
        <v>"//*[@class=\"</v>
      </c>
      <c r="N319" t="s">
        <v>31</v>
      </c>
      <c r="O319" s="4" t="str">
        <f t="shared" si="36"/>
        <v>click</v>
      </c>
      <c r="P319" t="str">
        <f t="shared" si="37"/>
        <v>();</v>
      </c>
      <c r="Q319" t="str">
        <f t="shared" si="38"/>
        <v/>
      </c>
      <c r="R319" t="str">
        <f t="shared" si="34"/>
        <v/>
      </c>
      <c r="S319" s="1" t="str">
        <f t="shared" si="35"/>
        <v/>
      </c>
      <c r="T319"/>
      <c r="U319"/>
      <c r="V319"/>
      <c r="W319"/>
      <c r="X319"/>
      <c r="Y319"/>
      <c r="Z319">
        <v>310</v>
      </c>
      <c r="AA319"/>
      <c r="AB319"/>
      <c r="AC319" s="6"/>
      <c r="AD319" s="6"/>
      <c r="AE319" s="6"/>
      <c r="AF319" s="6"/>
      <c r="AG319" s="4"/>
      <c r="AH319" s="4"/>
      <c r="AI319" s="4"/>
      <c r="AJ319" s="4"/>
      <c r="AK319" s="4"/>
      <c r="AL319" s="4"/>
      <c r="AM319" s="4"/>
      <c r="AN319" s="4"/>
      <c r="AO319" s="4"/>
      <c r="AP319" s="4"/>
      <c r="AQ319" s="4"/>
      <c r="AR319" s="4"/>
      <c r="AS319" s="4"/>
      <c r="AT319" s="4"/>
      <c r="AU319" s="4"/>
      <c r="AV319" s="4"/>
      <c r="AW319" s="4"/>
      <c r="AX319" s="4"/>
      <c r="AY319" s="4"/>
      <c r="AZ319" s="4"/>
      <c r="BA319" s="4"/>
      <c r="BB319" s="3"/>
      <c r="BC319" s="3"/>
      <c r="CT319" s="5" t="e">
        <v>#N/A</v>
      </c>
      <c r="CU319" s="5" t="e">
        <v>#N/A</v>
      </c>
      <c r="CV319" s="5" t="e">
        <v>#N/A</v>
      </c>
      <c r="CW319" s="5" t="e">
        <v>#N/A</v>
      </c>
      <c r="CX319" s="5" t="e">
        <v>#N/A</v>
      </c>
      <c r="CY319" s="5" t="e">
        <v>#N/A</v>
      </c>
      <c r="CZ319" s="5" t="e">
        <v>#N/A</v>
      </c>
      <c r="DA319" s="5" t="e">
        <v>#N/A</v>
      </c>
      <c r="DB319" s="5" t="e">
        <v>#N/A</v>
      </c>
      <c r="DC319" s="5" t="e">
        <v>#N/A</v>
      </c>
      <c r="DD319" s="5" t="e">
        <v>#N/A</v>
      </c>
      <c r="DE319" s="5" t="e">
        <v>#N/A</v>
      </c>
      <c r="DF319" s="5" t="e">
        <v>#N/A</v>
      </c>
      <c r="DG319" s="5" t="e">
        <v>#N/A</v>
      </c>
      <c r="DH319" s="5" t="e">
        <v>#N/A</v>
      </c>
      <c r="DI319" s="5" t="e">
        <v>#N/A</v>
      </c>
    </row>
    <row r="320" spans="1:113" s="5" customFormat="1">
      <c r="A320"/>
      <c r="B320"/>
      <c r="C320" s="44"/>
      <c r="D320" s="44"/>
      <c r="E320" s="44"/>
      <c r="F320" s="44"/>
      <c r="G320" s="44"/>
      <c r="H320" s="44"/>
      <c r="I320" s="44"/>
      <c r="J320" s="44"/>
      <c r="K320" s="44"/>
      <c r="L320" s="44"/>
      <c r="M320" t="str">
        <f t="shared" si="33"/>
        <v>"//*[@class=\"</v>
      </c>
      <c r="N320" t="s">
        <v>31</v>
      </c>
      <c r="O320" s="4" t="str">
        <f t="shared" si="36"/>
        <v>click</v>
      </c>
      <c r="P320" t="str">
        <f t="shared" si="37"/>
        <v>();</v>
      </c>
      <c r="Q320" t="str">
        <f t="shared" si="38"/>
        <v/>
      </c>
      <c r="R320" t="str">
        <f t="shared" si="34"/>
        <v/>
      </c>
      <c r="S320" s="1" t="str">
        <f t="shared" si="35"/>
        <v/>
      </c>
      <c r="T320"/>
      <c r="U320"/>
      <c r="V320"/>
      <c r="W320"/>
      <c r="X320"/>
      <c r="Y320"/>
      <c r="Z320">
        <v>311</v>
      </c>
      <c r="AA320"/>
      <c r="AB320"/>
      <c r="AC320" s="6"/>
      <c r="AD320" s="6"/>
      <c r="AE320" s="6"/>
      <c r="AF320" s="6"/>
      <c r="AG320" s="4"/>
      <c r="AH320" s="4"/>
      <c r="AI320" s="4"/>
      <c r="AJ320" s="4"/>
      <c r="AK320" s="4"/>
      <c r="AL320" s="4"/>
      <c r="AM320" s="4"/>
      <c r="AN320" s="4"/>
      <c r="AO320" s="4"/>
      <c r="AP320" s="4"/>
      <c r="AQ320" s="4"/>
      <c r="AR320" s="4"/>
      <c r="AS320" s="4"/>
      <c r="AT320" s="4"/>
      <c r="AU320" s="4"/>
      <c r="AV320" s="4"/>
      <c r="AW320" s="4"/>
      <c r="AX320" s="4"/>
      <c r="AY320" s="4"/>
      <c r="AZ320" s="4"/>
      <c r="BA320" s="4"/>
      <c r="BB320" s="3"/>
      <c r="BC320" s="3"/>
      <c r="CT320" s="5" t="e">
        <v>#N/A</v>
      </c>
      <c r="CU320" s="5" t="e">
        <v>#N/A</v>
      </c>
      <c r="CV320" s="5" t="e">
        <v>#N/A</v>
      </c>
      <c r="CW320" s="5" t="e">
        <v>#N/A</v>
      </c>
      <c r="CX320" s="5" t="e">
        <v>#N/A</v>
      </c>
      <c r="CY320" s="5" t="e">
        <v>#N/A</v>
      </c>
      <c r="CZ320" s="5" t="e">
        <v>#N/A</v>
      </c>
      <c r="DA320" s="5" t="e">
        <v>#N/A</v>
      </c>
      <c r="DB320" s="5" t="e">
        <v>#N/A</v>
      </c>
      <c r="DC320" s="5" t="e">
        <v>#N/A</v>
      </c>
      <c r="DD320" s="5" t="e">
        <v>#N/A</v>
      </c>
      <c r="DE320" s="5" t="e">
        <v>#N/A</v>
      </c>
      <c r="DF320" s="5" t="e">
        <v>#N/A</v>
      </c>
      <c r="DG320" s="5" t="e">
        <v>#N/A</v>
      </c>
      <c r="DH320" s="5" t="e">
        <v>#N/A</v>
      </c>
      <c r="DI320" s="5" t="e">
        <v>#N/A</v>
      </c>
    </row>
    <row r="321" spans="1:113" s="5" customFormat="1">
      <c r="A321"/>
      <c r="B321"/>
      <c r="C321" s="44"/>
      <c r="D321" s="44"/>
      <c r="E321" s="44"/>
      <c r="F321" s="44"/>
      <c r="G321" s="44"/>
      <c r="H321" s="44"/>
      <c r="I321" s="44"/>
      <c r="J321" s="44"/>
      <c r="K321" s="44"/>
      <c r="L321" s="44"/>
      <c r="M321" t="str">
        <f t="shared" si="33"/>
        <v>"//*[@class=\"</v>
      </c>
      <c r="N321" t="s">
        <v>31</v>
      </c>
      <c r="O321" s="4" t="str">
        <f t="shared" si="36"/>
        <v>click</v>
      </c>
      <c r="P321" t="str">
        <f t="shared" si="37"/>
        <v>();</v>
      </c>
      <c r="Q321" t="str">
        <f t="shared" si="38"/>
        <v/>
      </c>
      <c r="R321" t="str">
        <f t="shared" si="34"/>
        <v/>
      </c>
      <c r="S321" s="1" t="str">
        <f t="shared" si="35"/>
        <v/>
      </c>
      <c r="T321"/>
      <c r="U321"/>
      <c r="V321"/>
      <c r="W321"/>
      <c r="X321"/>
      <c r="Y321"/>
      <c r="Z321">
        <v>312</v>
      </c>
      <c r="AA321"/>
      <c r="AB321"/>
      <c r="AC321" s="6"/>
      <c r="AD321" s="6"/>
      <c r="AE321" s="6"/>
      <c r="AF321" s="6"/>
      <c r="AG321" s="4"/>
      <c r="AH321" s="4"/>
      <c r="AI321" s="4"/>
      <c r="AJ321" s="4"/>
      <c r="AK321" s="4"/>
      <c r="AL321" s="4"/>
      <c r="AM321" s="4"/>
      <c r="AN321" s="4"/>
      <c r="AO321" s="4"/>
      <c r="AP321" s="4"/>
      <c r="AQ321" s="4"/>
      <c r="AR321" s="4"/>
      <c r="AS321" s="4"/>
      <c r="AT321" s="4"/>
      <c r="AU321" s="4"/>
      <c r="AV321" s="4"/>
      <c r="AW321" s="4"/>
      <c r="AX321" s="4"/>
      <c r="AY321" s="4"/>
      <c r="AZ321" s="4"/>
      <c r="BA321" s="4"/>
      <c r="BB321" s="3"/>
      <c r="BC321" s="3"/>
      <c r="CT321" s="5" t="e">
        <v>#N/A</v>
      </c>
      <c r="CU321" s="5" t="e">
        <v>#N/A</v>
      </c>
      <c r="CV321" s="5" t="e">
        <v>#N/A</v>
      </c>
      <c r="CW321" s="5" t="e">
        <v>#N/A</v>
      </c>
      <c r="CX321" s="5" t="e">
        <v>#N/A</v>
      </c>
      <c r="CY321" s="5" t="e">
        <v>#N/A</v>
      </c>
      <c r="CZ321" s="5" t="e">
        <v>#N/A</v>
      </c>
      <c r="DA321" s="5" t="e">
        <v>#N/A</v>
      </c>
      <c r="DB321" s="5" t="e">
        <v>#N/A</v>
      </c>
      <c r="DC321" s="5" t="e">
        <v>#N/A</v>
      </c>
      <c r="DD321" s="5" t="e">
        <v>#N/A</v>
      </c>
      <c r="DE321" s="5" t="e">
        <v>#N/A</v>
      </c>
      <c r="DF321" s="5" t="e">
        <v>#N/A</v>
      </c>
      <c r="DG321" s="5" t="e">
        <v>#N/A</v>
      </c>
      <c r="DH321" s="5" t="e">
        <v>#N/A</v>
      </c>
      <c r="DI321" s="5" t="e">
        <v>#N/A</v>
      </c>
    </row>
    <row r="322" spans="1:113" s="5" customFormat="1">
      <c r="A322"/>
      <c r="B322"/>
      <c r="C322" s="44"/>
      <c r="D322" s="44"/>
      <c r="E322" s="44"/>
      <c r="F322" s="44"/>
      <c r="G322" s="44"/>
      <c r="H322" s="44"/>
      <c r="I322" s="44"/>
      <c r="J322" s="44"/>
      <c r="K322" s="44"/>
      <c r="L322" s="44"/>
      <c r="M322" t="str">
        <f t="shared" si="33"/>
        <v>"//*[@class=\"</v>
      </c>
      <c r="N322" t="s">
        <v>31</v>
      </c>
      <c r="O322" s="4" t="str">
        <f t="shared" si="36"/>
        <v>click</v>
      </c>
      <c r="P322" t="str">
        <f t="shared" si="37"/>
        <v>();</v>
      </c>
      <c r="Q322" t="str">
        <f t="shared" si="38"/>
        <v/>
      </c>
      <c r="R322" t="str">
        <f t="shared" si="34"/>
        <v/>
      </c>
      <c r="S322" s="1" t="str">
        <f t="shared" si="35"/>
        <v/>
      </c>
      <c r="T322"/>
      <c r="U322"/>
      <c r="V322"/>
      <c r="W322"/>
      <c r="X322"/>
      <c r="Y322"/>
      <c r="Z322">
        <v>313</v>
      </c>
      <c r="AA322"/>
      <c r="AB322"/>
      <c r="AC322" s="6"/>
      <c r="AD322" s="6"/>
      <c r="AE322" s="6"/>
      <c r="AF322" s="6"/>
      <c r="AG322" s="4"/>
      <c r="AH322" s="4"/>
      <c r="AI322" s="4"/>
      <c r="AJ322" s="4"/>
      <c r="AK322" s="4"/>
      <c r="AL322" s="4"/>
      <c r="AM322" s="4"/>
      <c r="AN322" s="4"/>
      <c r="AO322" s="4"/>
      <c r="AP322" s="4"/>
      <c r="AQ322" s="4"/>
      <c r="AR322" s="4"/>
      <c r="AS322" s="4"/>
      <c r="AT322" s="4"/>
      <c r="AU322" s="4"/>
      <c r="AV322" s="4"/>
      <c r="AW322" s="4"/>
      <c r="AX322" s="4"/>
      <c r="AY322" s="4"/>
      <c r="AZ322" s="4"/>
      <c r="BA322" s="4"/>
      <c r="BB322" s="3"/>
      <c r="BC322" s="3"/>
      <c r="CT322" s="5" t="e">
        <v>#N/A</v>
      </c>
      <c r="CU322" s="5" t="e">
        <v>#N/A</v>
      </c>
      <c r="CV322" s="5" t="e">
        <v>#N/A</v>
      </c>
      <c r="CW322" s="5" t="e">
        <v>#N/A</v>
      </c>
      <c r="CX322" s="5" t="e">
        <v>#N/A</v>
      </c>
      <c r="CY322" s="5" t="e">
        <v>#N/A</v>
      </c>
      <c r="CZ322" s="5" t="e">
        <v>#N/A</v>
      </c>
      <c r="DA322" s="5" t="e">
        <v>#N/A</v>
      </c>
      <c r="DB322" s="5" t="e">
        <v>#N/A</v>
      </c>
      <c r="DC322" s="5" t="e">
        <v>#N/A</v>
      </c>
      <c r="DD322" s="5" t="e">
        <v>#N/A</v>
      </c>
      <c r="DE322" s="5" t="e">
        <v>#N/A</v>
      </c>
      <c r="DF322" s="5" t="e">
        <v>#N/A</v>
      </c>
      <c r="DG322" s="5" t="e">
        <v>#N/A</v>
      </c>
      <c r="DH322" s="5" t="e">
        <v>#N/A</v>
      </c>
      <c r="DI322" s="5" t="e">
        <v>#N/A</v>
      </c>
    </row>
    <row r="323" spans="1:113" s="5" customFormat="1">
      <c r="A323"/>
      <c r="B323"/>
      <c r="C323" s="44"/>
      <c r="D323" s="44"/>
      <c r="E323" s="44"/>
      <c r="F323" s="44"/>
      <c r="G323" s="44"/>
      <c r="H323" s="44"/>
      <c r="I323" s="44"/>
      <c r="J323" s="44"/>
      <c r="K323" s="44"/>
      <c r="L323" s="44"/>
      <c r="M323" t="str">
        <f t="shared" si="33"/>
        <v>"//*[@class=\"</v>
      </c>
      <c r="N323" t="s">
        <v>31</v>
      </c>
      <c r="O323" s="4" t="str">
        <f t="shared" si="36"/>
        <v>click</v>
      </c>
      <c r="P323" t="str">
        <f t="shared" si="37"/>
        <v>();</v>
      </c>
      <c r="Q323" t="str">
        <f t="shared" si="38"/>
        <v/>
      </c>
      <c r="R323" t="str">
        <f t="shared" si="34"/>
        <v/>
      </c>
      <c r="S323" s="1" t="str">
        <f t="shared" si="35"/>
        <v/>
      </c>
      <c r="T323"/>
      <c r="U323"/>
      <c r="V323"/>
      <c r="W323"/>
      <c r="X323"/>
      <c r="Y323"/>
      <c r="Z323">
        <v>314</v>
      </c>
      <c r="AA323"/>
      <c r="AB323"/>
      <c r="AC323" s="6"/>
      <c r="AD323" s="6"/>
      <c r="AE323" s="6"/>
      <c r="AF323" s="6"/>
      <c r="AG323" s="4"/>
      <c r="AH323" s="4"/>
      <c r="AI323" s="4"/>
      <c r="AJ323" s="4"/>
      <c r="AK323" s="4"/>
      <c r="AL323" s="4"/>
      <c r="AM323" s="4"/>
      <c r="AN323" s="4"/>
      <c r="AO323" s="4"/>
      <c r="AP323" s="4"/>
      <c r="AQ323" s="4"/>
      <c r="AR323" s="4"/>
      <c r="AS323" s="4"/>
      <c r="AT323" s="4"/>
      <c r="AU323" s="4"/>
      <c r="AV323" s="4"/>
      <c r="AW323" s="4"/>
      <c r="AX323" s="4"/>
      <c r="AY323" s="4"/>
      <c r="AZ323" s="4"/>
      <c r="BA323" s="4"/>
      <c r="BB323" s="3"/>
      <c r="BC323" s="3"/>
      <c r="CT323" s="5" t="e">
        <v>#N/A</v>
      </c>
      <c r="CU323" s="5" t="e">
        <v>#N/A</v>
      </c>
      <c r="CV323" s="5" t="e">
        <v>#N/A</v>
      </c>
      <c r="CW323" s="5" t="e">
        <v>#N/A</v>
      </c>
      <c r="CX323" s="5" t="e">
        <v>#N/A</v>
      </c>
      <c r="CY323" s="5" t="e">
        <v>#N/A</v>
      </c>
      <c r="CZ323" s="5" t="e">
        <v>#N/A</v>
      </c>
      <c r="DA323" s="5" t="e">
        <v>#N/A</v>
      </c>
      <c r="DB323" s="5" t="e">
        <v>#N/A</v>
      </c>
      <c r="DC323" s="5" t="e">
        <v>#N/A</v>
      </c>
      <c r="DD323" s="5" t="e">
        <v>#N/A</v>
      </c>
      <c r="DE323" s="5" t="e">
        <v>#N/A</v>
      </c>
      <c r="DF323" s="5" t="e">
        <v>#N/A</v>
      </c>
      <c r="DG323" s="5" t="e">
        <v>#N/A</v>
      </c>
      <c r="DH323" s="5" t="e">
        <v>#N/A</v>
      </c>
      <c r="DI323" s="5" t="e">
        <v>#N/A</v>
      </c>
    </row>
    <row r="324" spans="1:113" s="5" customFormat="1">
      <c r="A324"/>
      <c r="B324"/>
      <c r="C324" s="44"/>
      <c r="D324" s="44"/>
      <c r="E324" s="44"/>
      <c r="F324" s="44"/>
      <c r="G324" s="44"/>
      <c r="H324" s="44"/>
      <c r="I324" s="44"/>
      <c r="J324" s="44"/>
      <c r="K324" s="44"/>
      <c r="L324" s="44"/>
      <c r="M324" t="str">
        <f t="shared" si="33"/>
        <v>"//*[@class=\"</v>
      </c>
      <c r="N324" t="s">
        <v>31</v>
      </c>
      <c r="O324" s="4" t="str">
        <f t="shared" si="36"/>
        <v>click</v>
      </c>
      <c r="P324" t="str">
        <f t="shared" si="37"/>
        <v>();</v>
      </c>
      <c r="Q324" t="str">
        <f t="shared" si="38"/>
        <v/>
      </c>
      <c r="R324" t="str">
        <f t="shared" si="34"/>
        <v/>
      </c>
      <c r="S324" s="1" t="str">
        <f t="shared" si="35"/>
        <v/>
      </c>
      <c r="T324"/>
      <c r="U324"/>
      <c r="V324"/>
      <c r="W324"/>
      <c r="X324"/>
      <c r="Y324"/>
      <c r="Z324">
        <v>315</v>
      </c>
      <c r="AA324"/>
      <c r="AB324"/>
      <c r="AC324" s="6"/>
      <c r="AD324" s="6"/>
      <c r="AE324" s="6"/>
      <c r="AF324" s="6"/>
      <c r="AG324" s="4"/>
      <c r="AH324" s="4"/>
      <c r="AI324" s="4"/>
      <c r="AJ324" s="4"/>
      <c r="AK324" s="4"/>
      <c r="AL324" s="4"/>
      <c r="AM324" s="4"/>
      <c r="AN324" s="4"/>
      <c r="AO324" s="4"/>
      <c r="AP324" s="4"/>
      <c r="AQ324" s="4"/>
      <c r="AR324" s="4"/>
      <c r="AS324" s="4"/>
      <c r="AT324" s="4"/>
      <c r="AU324" s="4"/>
      <c r="AV324" s="4"/>
      <c r="AW324" s="4"/>
      <c r="AX324" s="4"/>
      <c r="AY324" s="4"/>
      <c r="AZ324" s="4"/>
      <c r="BA324" s="4"/>
      <c r="BB324" s="3"/>
      <c r="BC324" s="3"/>
      <c r="CT324" s="5" t="e">
        <v>#N/A</v>
      </c>
      <c r="CU324" s="5" t="e">
        <v>#N/A</v>
      </c>
      <c r="CV324" s="5" t="e">
        <v>#N/A</v>
      </c>
      <c r="CW324" s="5" t="e">
        <v>#N/A</v>
      </c>
      <c r="CX324" s="5" t="e">
        <v>#N/A</v>
      </c>
      <c r="CY324" s="5" t="e">
        <v>#N/A</v>
      </c>
      <c r="CZ324" s="5" t="e">
        <v>#N/A</v>
      </c>
      <c r="DA324" s="5" t="e">
        <v>#N/A</v>
      </c>
      <c r="DB324" s="5" t="e">
        <v>#N/A</v>
      </c>
      <c r="DC324" s="5" t="e">
        <v>#N/A</v>
      </c>
      <c r="DD324" s="5" t="e">
        <v>#N/A</v>
      </c>
      <c r="DE324" s="5" t="e">
        <v>#N/A</v>
      </c>
      <c r="DF324" s="5" t="e">
        <v>#N/A</v>
      </c>
      <c r="DG324" s="5" t="e">
        <v>#N/A</v>
      </c>
      <c r="DH324" s="5" t="e">
        <v>#N/A</v>
      </c>
      <c r="DI324" s="5" t="e">
        <v>#N/A</v>
      </c>
    </row>
    <row r="325" spans="1:113" s="5" customFormat="1">
      <c r="A325"/>
      <c r="B325"/>
      <c r="C325" s="44"/>
      <c r="D325" s="44"/>
      <c r="E325" s="44"/>
      <c r="F325" s="44"/>
      <c r="G325" s="44"/>
      <c r="H325" s="44"/>
      <c r="I325" s="44"/>
      <c r="J325" s="44"/>
      <c r="K325" s="44"/>
      <c r="L325" s="44"/>
      <c r="M325" t="str">
        <f t="shared" si="33"/>
        <v>"//*[@class=\"</v>
      </c>
      <c r="N325" t="s">
        <v>31</v>
      </c>
      <c r="O325" s="4" t="str">
        <f t="shared" si="36"/>
        <v>click</v>
      </c>
      <c r="P325" t="str">
        <f t="shared" si="37"/>
        <v>();</v>
      </c>
      <c r="Q325" t="str">
        <f t="shared" si="38"/>
        <v/>
      </c>
      <c r="R325" t="str">
        <f t="shared" si="34"/>
        <v/>
      </c>
      <c r="S325" s="1" t="str">
        <f t="shared" si="35"/>
        <v/>
      </c>
      <c r="T325"/>
      <c r="U325"/>
      <c r="V325"/>
      <c r="W325"/>
      <c r="X325"/>
      <c r="Y325"/>
      <c r="Z325">
        <v>316</v>
      </c>
      <c r="AA325"/>
      <c r="AB325"/>
      <c r="AC325" s="6"/>
      <c r="AD325" s="6"/>
      <c r="AE325" s="6"/>
      <c r="AF325" s="6"/>
      <c r="AG325" s="4"/>
      <c r="AH325" s="4"/>
      <c r="AI325" s="4"/>
      <c r="AJ325" s="4"/>
      <c r="AK325" s="4"/>
      <c r="AL325" s="4"/>
      <c r="AM325" s="4"/>
      <c r="AN325" s="4"/>
      <c r="AO325" s="4"/>
      <c r="AP325" s="4"/>
      <c r="AQ325" s="4"/>
      <c r="AR325" s="4"/>
      <c r="AS325" s="4"/>
      <c r="AT325" s="4"/>
      <c r="AU325" s="4"/>
      <c r="AV325" s="4"/>
      <c r="AW325" s="4"/>
      <c r="AX325" s="4"/>
      <c r="AY325" s="4"/>
      <c r="AZ325" s="4"/>
      <c r="BA325" s="4"/>
      <c r="BB325" s="3"/>
      <c r="BC325" s="3"/>
      <c r="CT325" s="5" t="e">
        <v>#N/A</v>
      </c>
      <c r="CU325" s="5" t="e">
        <v>#N/A</v>
      </c>
      <c r="CV325" s="5" t="e">
        <v>#N/A</v>
      </c>
      <c r="CW325" s="5" t="e">
        <v>#N/A</v>
      </c>
      <c r="CX325" s="5" t="e">
        <v>#N/A</v>
      </c>
      <c r="CY325" s="5" t="e">
        <v>#N/A</v>
      </c>
      <c r="CZ325" s="5" t="e">
        <v>#N/A</v>
      </c>
      <c r="DA325" s="5" t="e">
        <v>#N/A</v>
      </c>
      <c r="DB325" s="5" t="e">
        <v>#N/A</v>
      </c>
      <c r="DC325" s="5" t="e">
        <v>#N/A</v>
      </c>
      <c r="DD325" s="5" t="e">
        <v>#N/A</v>
      </c>
      <c r="DE325" s="5" t="e">
        <v>#N/A</v>
      </c>
      <c r="DF325" s="5" t="e">
        <v>#N/A</v>
      </c>
      <c r="DG325" s="5" t="e">
        <v>#N/A</v>
      </c>
      <c r="DH325" s="5" t="e">
        <v>#N/A</v>
      </c>
      <c r="DI325" s="5" t="e">
        <v>#N/A</v>
      </c>
    </row>
    <row r="326" spans="1:113" s="5" customFormat="1">
      <c r="A326"/>
      <c r="B326"/>
      <c r="C326" s="44"/>
      <c r="D326" s="44"/>
      <c r="E326" s="44"/>
      <c r="F326" s="44"/>
      <c r="G326" s="44"/>
      <c r="H326" s="44"/>
      <c r="I326" s="44"/>
      <c r="J326" s="44"/>
      <c r="K326" s="44"/>
      <c r="L326" s="44"/>
      <c r="M326" t="str">
        <f t="shared" si="33"/>
        <v>"//*[@class=\"</v>
      </c>
      <c r="N326" t="s">
        <v>31</v>
      </c>
      <c r="O326" s="4" t="str">
        <f t="shared" si="36"/>
        <v>click</v>
      </c>
      <c r="P326" t="str">
        <f t="shared" si="37"/>
        <v>();</v>
      </c>
      <c r="Q326" t="str">
        <f t="shared" si="38"/>
        <v/>
      </c>
      <c r="R326" t="str">
        <f t="shared" si="34"/>
        <v/>
      </c>
      <c r="S326" s="1" t="str">
        <f t="shared" si="35"/>
        <v/>
      </c>
      <c r="T326"/>
      <c r="U326"/>
      <c r="V326"/>
      <c r="W326"/>
      <c r="X326"/>
      <c r="Y326"/>
      <c r="Z326">
        <v>317</v>
      </c>
      <c r="AA326"/>
      <c r="AB326"/>
      <c r="AC326" s="6"/>
      <c r="AD326" s="6"/>
      <c r="AE326" s="6"/>
      <c r="AF326" s="6"/>
      <c r="AG326" s="4"/>
      <c r="AH326" s="4"/>
      <c r="AI326" s="4"/>
      <c r="AJ326" s="4"/>
      <c r="AK326" s="4"/>
      <c r="AL326" s="4"/>
      <c r="AM326" s="4"/>
      <c r="AN326" s="4"/>
      <c r="AO326" s="4"/>
      <c r="AP326" s="4"/>
      <c r="AQ326" s="4"/>
      <c r="AR326" s="4"/>
      <c r="AS326" s="4"/>
      <c r="AT326" s="4"/>
      <c r="AU326" s="4"/>
      <c r="AV326" s="4"/>
      <c r="AW326" s="4"/>
      <c r="AX326" s="4"/>
      <c r="AY326" s="4"/>
      <c r="AZ326" s="4"/>
      <c r="BA326" s="4"/>
      <c r="BB326" s="3"/>
      <c r="BC326" s="3"/>
      <c r="CT326" s="5" t="e">
        <v>#N/A</v>
      </c>
      <c r="CU326" s="5" t="e">
        <v>#N/A</v>
      </c>
      <c r="CV326" s="5" t="e">
        <v>#N/A</v>
      </c>
      <c r="CW326" s="5" t="e">
        <v>#N/A</v>
      </c>
      <c r="CX326" s="5" t="e">
        <v>#N/A</v>
      </c>
      <c r="CY326" s="5" t="e">
        <v>#N/A</v>
      </c>
      <c r="CZ326" s="5" t="e">
        <v>#N/A</v>
      </c>
      <c r="DA326" s="5" t="e">
        <v>#N/A</v>
      </c>
      <c r="DB326" s="5" t="e">
        <v>#N/A</v>
      </c>
      <c r="DC326" s="5" t="e">
        <v>#N/A</v>
      </c>
      <c r="DD326" s="5" t="e">
        <v>#N/A</v>
      </c>
      <c r="DE326" s="5" t="e">
        <v>#N/A</v>
      </c>
      <c r="DF326" s="5" t="e">
        <v>#N/A</v>
      </c>
      <c r="DG326" s="5" t="e">
        <v>#N/A</v>
      </c>
      <c r="DH326" s="5" t="e">
        <v>#N/A</v>
      </c>
      <c r="DI326" s="5" t="e">
        <v>#N/A</v>
      </c>
    </row>
    <row r="327" spans="1:113" s="5" customFormat="1">
      <c r="A327"/>
      <c r="B327"/>
      <c r="C327" s="44"/>
      <c r="D327" s="44"/>
      <c r="E327" s="44"/>
      <c r="F327" s="44"/>
      <c r="G327" s="44"/>
      <c r="H327" s="44"/>
      <c r="I327" s="44"/>
      <c r="J327" s="44"/>
      <c r="K327" s="44"/>
      <c r="L327" s="44"/>
      <c r="M327" t="str">
        <f t="shared" si="33"/>
        <v>"//*[@class=\"</v>
      </c>
      <c r="N327" t="s">
        <v>31</v>
      </c>
      <c r="O327" s="4" t="str">
        <f t="shared" si="36"/>
        <v>click</v>
      </c>
      <c r="P327" t="str">
        <f t="shared" si="37"/>
        <v>();</v>
      </c>
      <c r="Q327" t="str">
        <f t="shared" si="38"/>
        <v/>
      </c>
      <c r="R327" t="str">
        <f t="shared" si="34"/>
        <v/>
      </c>
      <c r="S327" s="1" t="str">
        <f t="shared" si="35"/>
        <v/>
      </c>
      <c r="T327"/>
      <c r="U327"/>
      <c r="V327"/>
      <c r="W327"/>
      <c r="X327"/>
      <c r="Y327"/>
      <c r="Z327">
        <v>318</v>
      </c>
      <c r="AA327"/>
      <c r="AB327"/>
      <c r="AC327" s="6"/>
      <c r="AD327" s="6"/>
      <c r="AE327" s="6"/>
      <c r="AF327" s="6"/>
      <c r="AG327" s="4"/>
      <c r="AH327" s="4"/>
      <c r="AI327" s="4"/>
      <c r="AJ327" s="4"/>
      <c r="AK327" s="4"/>
      <c r="AL327" s="4"/>
      <c r="AM327" s="4"/>
      <c r="AN327" s="4"/>
      <c r="AO327" s="4"/>
      <c r="AP327" s="4"/>
      <c r="AQ327" s="4"/>
      <c r="AR327" s="4"/>
      <c r="AS327" s="4"/>
      <c r="AT327" s="4"/>
      <c r="AU327" s="4"/>
      <c r="AV327" s="4"/>
      <c r="AW327" s="4"/>
      <c r="AX327" s="4"/>
      <c r="AY327" s="4"/>
      <c r="AZ327" s="4"/>
      <c r="BA327" s="4"/>
      <c r="BB327" s="3"/>
      <c r="BC327" s="3"/>
      <c r="CT327" s="5" t="e">
        <v>#N/A</v>
      </c>
      <c r="CU327" s="5" t="e">
        <v>#N/A</v>
      </c>
      <c r="CV327" s="5" t="e">
        <v>#N/A</v>
      </c>
      <c r="CW327" s="5" t="e">
        <v>#N/A</v>
      </c>
      <c r="CX327" s="5" t="e">
        <v>#N/A</v>
      </c>
      <c r="CY327" s="5" t="e">
        <v>#N/A</v>
      </c>
      <c r="CZ327" s="5" t="e">
        <v>#N/A</v>
      </c>
      <c r="DA327" s="5" t="e">
        <v>#N/A</v>
      </c>
      <c r="DB327" s="5" t="e">
        <v>#N/A</v>
      </c>
      <c r="DC327" s="5" t="e">
        <v>#N/A</v>
      </c>
      <c r="DD327" s="5" t="e">
        <v>#N/A</v>
      </c>
      <c r="DE327" s="5" t="e">
        <v>#N/A</v>
      </c>
      <c r="DF327" s="5" t="e">
        <v>#N/A</v>
      </c>
      <c r="DG327" s="5" t="e">
        <v>#N/A</v>
      </c>
      <c r="DH327" s="5" t="e">
        <v>#N/A</v>
      </c>
      <c r="DI327" s="5" t="e">
        <v>#N/A</v>
      </c>
    </row>
    <row r="328" spans="1:113" s="5" customFormat="1">
      <c r="A328"/>
      <c r="B328"/>
      <c r="C328" s="44"/>
      <c r="D328" s="44"/>
      <c r="E328" s="44"/>
      <c r="F328" s="44"/>
      <c r="G328" s="44"/>
      <c r="H328" s="44"/>
      <c r="I328" s="44"/>
      <c r="J328" s="44"/>
      <c r="K328" s="44"/>
      <c r="L328" s="44"/>
      <c r="M328" t="str">
        <f t="shared" si="33"/>
        <v>"//*[@class=\"</v>
      </c>
      <c r="N328" t="s">
        <v>31</v>
      </c>
      <c r="O328" s="4" t="str">
        <f t="shared" si="36"/>
        <v>click</v>
      </c>
      <c r="P328" t="str">
        <f t="shared" si="37"/>
        <v>();</v>
      </c>
      <c r="Q328" t="str">
        <f t="shared" si="38"/>
        <v/>
      </c>
      <c r="R328" t="str">
        <f t="shared" si="34"/>
        <v/>
      </c>
      <c r="S328" s="1" t="str">
        <f t="shared" si="35"/>
        <v/>
      </c>
      <c r="T328"/>
      <c r="U328"/>
      <c r="V328"/>
      <c r="W328"/>
      <c r="X328"/>
      <c r="Y328"/>
      <c r="Z328">
        <v>319</v>
      </c>
      <c r="AA328"/>
      <c r="AB328"/>
      <c r="AC328" s="6"/>
      <c r="AD328" s="6"/>
      <c r="AE328" s="6"/>
      <c r="AF328" s="6"/>
      <c r="AG328" s="4"/>
      <c r="AH328" s="4"/>
      <c r="AI328" s="4"/>
      <c r="AJ328" s="4"/>
      <c r="AK328" s="4"/>
      <c r="AL328" s="4"/>
      <c r="AM328" s="4"/>
      <c r="AN328" s="4"/>
      <c r="AO328" s="4"/>
      <c r="AP328" s="4"/>
      <c r="AQ328" s="4"/>
      <c r="AR328" s="4"/>
      <c r="AS328" s="4"/>
      <c r="AT328" s="4"/>
      <c r="AU328" s="4"/>
      <c r="AV328" s="4"/>
      <c r="AW328" s="4"/>
      <c r="AX328" s="4"/>
      <c r="AY328" s="4"/>
      <c r="AZ328" s="4"/>
      <c r="BA328" s="4"/>
      <c r="BB328" s="3"/>
      <c r="BC328" s="3"/>
      <c r="CT328" s="5" t="e">
        <v>#N/A</v>
      </c>
      <c r="CU328" s="5" t="e">
        <v>#N/A</v>
      </c>
      <c r="CV328" s="5" t="e">
        <v>#N/A</v>
      </c>
      <c r="CW328" s="5" t="e">
        <v>#N/A</v>
      </c>
      <c r="CX328" s="5" t="e">
        <v>#N/A</v>
      </c>
      <c r="CY328" s="5" t="e">
        <v>#N/A</v>
      </c>
      <c r="CZ328" s="5" t="e">
        <v>#N/A</v>
      </c>
      <c r="DA328" s="5" t="e">
        <v>#N/A</v>
      </c>
      <c r="DB328" s="5" t="e">
        <v>#N/A</v>
      </c>
      <c r="DC328" s="5" t="e">
        <v>#N/A</v>
      </c>
      <c r="DD328" s="5" t="e">
        <v>#N/A</v>
      </c>
      <c r="DE328" s="5" t="e">
        <v>#N/A</v>
      </c>
      <c r="DF328" s="5" t="e">
        <v>#N/A</v>
      </c>
      <c r="DG328" s="5" t="e">
        <v>#N/A</v>
      </c>
      <c r="DH328" s="5" t="e">
        <v>#N/A</v>
      </c>
      <c r="DI328" s="5" t="e">
        <v>#N/A</v>
      </c>
    </row>
    <row r="329" spans="1:113" s="5" customFormat="1">
      <c r="A329"/>
      <c r="B329"/>
      <c r="C329" s="44"/>
      <c r="D329" s="44"/>
      <c r="E329" s="44"/>
      <c r="F329" s="44"/>
      <c r="G329" s="44"/>
      <c r="H329" s="44"/>
      <c r="I329" s="44"/>
      <c r="J329" s="44"/>
      <c r="K329" s="44"/>
      <c r="L329" s="44"/>
      <c r="M329" t="str">
        <f t="shared" si="33"/>
        <v>"//*[@class=\"</v>
      </c>
      <c r="N329" t="s">
        <v>31</v>
      </c>
      <c r="O329" s="4" t="str">
        <f t="shared" si="36"/>
        <v>click</v>
      </c>
      <c r="P329" t="str">
        <f t="shared" si="37"/>
        <v>();</v>
      </c>
      <c r="Q329" t="str">
        <f t="shared" si="38"/>
        <v/>
      </c>
      <c r="R329" t="str">
        <f t="shared" si="34"/>
        <v/>
      </c>
      <c r="S329" s="1" t="str">
        <f t="shared" si="35"/>
        <v/>
      </c>
      <c r="T329"/>
      <c r="U329"/>
      <c r="V329"/>
      <c r="W329"/>
      <c r="X329"/>
      <c r="Y329"/>
      <c r="Z329">
        <v>320</v>
      </c>
      <c r="AA329"/>
      <c r="AB329"/>
      <c r="AC329" s="6"/>
      <c r="AD329" s="6"/>
      <c r="AE329" s="6"/>
      <c r="AF329" s="6"/>
      <c r="AG329" s="4"/>
      <c r="AH329" s="4"/>
      <c r="AI329" s="4"/>
      <c r="AJ329" s="4"/>
      <c r="AK329" s="4"/>
      <c r="AL329" s="4"/>
      <c r="AM329" s="4"/>
      <c r="AN329" s="4"/>
      <c r="AO329" s="4"/>
      <c r="AP329" s="4"/>
      <c r="AQ329" s="4"/>
      <c r="AR329" s="4"/>
      <c r="AS329" s="4"/>
      <c r="AT329" s="4"/>
      <c r="AU329" s="4"/>
      <c r="AV329" s="4"/>
      <c r="AW329" s="4"/>
      <c r="AX329" s="4"/>
      <c r="AY329" s="4"/>
      <c r="AZ329" s="4"/>
      <c r="BA329" s="4"/>
      <c r="BB329" s="3"/>
      <c r="BC329" s="3"/>
      <c r="CT329" s="5" t="e">
        <v>#N/A</v>
      </c>
      <c r="CU329" s="5" t="e">
        <v>#N/A</v>
      </c>
      <c r="CV329" s="5" t="e">
        <v>#N/A</v>
      </c>
      <c r="CW329" s="5" t="e">
        <v>#N/A</v>
      </c>
      <c r="CX329" s="5" t="e">
        <v>#N/A</v>
      </c>
      <c r="CY329" s="5" t="e">
        <v>#N/A</v>
      </c>
      <c r="CZ329" s="5" t="e">
        <v>#N/A</v>
      </c>
      <c r="DA329" s="5" t="e">
        <v>#N/A</v>
      </c>
      <c r="DB329" s="5" t="e">
        <v>#N/A</v>
      </c>
      <c r="DC329" s="5" t="e">
        <v>#N/A</v>
      </c>
      <c r="DD329" s="5" t="e">
        <v>#N/A</v>
      </c>
      <c r="DE329" s="5" t="e">
        <v>#N/A</v>
      </c>
      <c r="DF329" s="5" t="e">
        <v>#N/A</v>
      </c>
      <c r="DG329" s="5" t="e">
        <v>#N/A</v>
      </c>
      <c r="DH329" s="5" t="e">
        <v>#N/A</v>
      </c>
      <c r="DI329" s="5" t="e">
        <v>#N/A</v>
      </c>
    </row>
    <row r="330" spans="1:113" s="5" customFormat="1">
      <c r="A330"/>
      <c r="B330"/>
      <c r="C330" s="44"/>
      <c r="D330" s="44"/>
      <c r="E330" s="44"/>
      <c r="F330" s="44"/>
      <c r="G330" s="44"/>
      <c r="H330" s="44"/>
      <c r="I330" s="44"/>
      <c r="J330" s="44"/>
      <c r="K330" s="44"/>
      <c r="L330" s="44"/>
      <c r="M330" t="str">
        <f t="shared" si="33"/>
        <v>"//*[@class=\"</v>
      </c>
      <c r="N330" t="s">
        <v>31</v>
      </c>
      <c r="O330" s="4" t="str">
        <f t="shared" si="36"/>
        <v>click</v>
      </c>
      <c r="P330" t="str">
        <f t="shared" si="37"/>
        <v>();</v>
      </c>
      <c r="Q330" t="str">
        <f t="shared" si="38"/>
        <v/>
      </c>
      <c r="R330" t="str">
        <f t="shared" si="34"/>
        <v/>
      </c>
      <c r="S330" s="1" t="str">
        <f t="shared" si="35"/>
        <v/>
      </c>
      <c r="T330"/>
      <c r="U330"/>
      <c r="V330"/>
      <c r="W330"/>
      <c r="X330"/>
      <c r="Y330"/>
      <c r="Z330">
        <v>321</v>
      </c>
      <c r="AA330"/>
      <c r="AB330"/>
      <c r="AC330" s="6"/>
      <c r="AD330" s="6"/>
      <c r="AE330" s="6"/>
      <c r="AF330" s="6"/>
      <c r="AG330" s="4"/>
      <c r="AH330" s="4"/>
      <c r="AI330" s="4"/>
      <c r="AJ330" s="4"/>
      <c r="AK330" s="4"/>
      <c r="AL330" s="4"/>
      <c r="AM330" s="4"/>
      <c r="AN330" s="4"/>
      <c r="AO330" s="4"/>
      <c r="AP330" s="4"/>
      <c r="AQ330" s="4"/>
      <c r="AR330" s="4"/>
      <c r="AS330" s="4"/>
      <c r="AT330" s="4"/>
      <c r="AU330" s="4"/>
      <c r="AV330" s="4"/>
      <c r="AW330" s="4"/>
      <c r="AX330" s="4"/>
      <c r="AY330" s="4"/>
      <c r="AZ330" s="4"/>
      <c r="BA330" s="4"/>
      <c r="BB330" s="3"/>
      <c r="BC330" s="3"/>
      <c r="CT330" s="5" t="e">
        <v>#N/A</v>
      </c>
      <c r="CU330" s="5" t="e">
        <v>#N/A</v>
      </c>
      <c r="CV330" s="5" t="e">
        <v>#N/A</v>
      </c>
      <c r="CW330" s="5" t="e">
        <v>#N/A</v>
      </c>
      <c r="CX330" s="5" t="e">
        <v>#N/A</v>
      </c>
      <c r="CY330" s="5" t="e">
        <v>#N/A</v>
      </c>
      <c r="CZ330" s="5" t="e">
        <v>#N/A</v>
      </c>
      <c r="DA330" s="5" t="e">
        <v>#N/A</v>
      </c>
      <c r="DB330" s="5" t="e">
        <v>#N/A</v>
      </c>
      <c r="DC330" s="5" t="e">
        <v>#N/A</v>
      </c>
      <c r="DD330" s="5" t="e">
        <v>#N/A</v>
      </c>
      <c r="DE330" s="5" t="e">
        <v>#N/A</v>
      </c>
      <c r="DF330" s="5" t="e">
        <v>#N/A</v>
      </c>
      <c r="DG330" s="5" t="e">
        <v>#N/A</v>
      </c>
      <c r="DH330" s="5" t="e">
        <v>#N/A</v>
      </c>
      <c r="DI330" s="5" t="e">
        <v>#N/A</v>
      </c>
    </row>
    <row r="331" spans="1:113" s="5" customFormat="1">
      <c r="A331"/>
      <c r="B331"/>
      <c r="C331" s="44"/>
      <c r="D331" s="44"/>
      <c r="E331" s="44"/>
      <c r="F331" s="44"/>
      <c r="G331" s="44"/>
      <c r="H331" s="44"/>
      <c r="I331" s="44"/>
      <c r="J331" s="44"/>
      <c r="K331" s="44"/>
      <c r="L331" s="44"/>
      <c r="M331" t="str">
        <f t="shared" ref="M331:M394" si="39">IF(H331="id",""""&amp;"//*[@id=\"&amp;"""",""""&amp;"//*[@class=\"&amp;"""")</f>
        <v>"//*[@class=\"</v>
      </c>
      <c r="N331" t="s">
        <v>31</v>
      </c>
      <c r="O331" s="4" t="str">
        <f t="shared" si="36"/>
        <v>click</v>
      </c>
      <c r="P331" t="str">
        <f t="shared" si="37"/>
        <v>();</v>
      </c>
      <c r="Q331" t="str">
        <f t="shared" si="38"/>
        <v/>
      </c>
      <c r="R331" t="str">
        <f t="shared" ref="R331:R394" si="40">IF(C331="Y",""""&amp;SUBSTITUTE(E331," ","")&amp;""""&amp;":"&amp;Q331&amp;"","")</f>
        <v/>
      </c>
      <c r="S331" s="1" t="str">
        <f t="shared" ref="S331:S394" si="41">IF(C331="Y",IF(D331&lt;&gt;"mat-select",IF(D331="End","",IF(O331="innerText",I331&amp;"="&amp;IF(C331="Y",IF(J331&lt;&gt;"Y",$S$8&amp;$R$9&amp;"."&amp;E331&amp;")."&amp;IF(OR(O331="click",O331="innerText"),O331&amp;"();",O331&amp;"("&amp;$Q$8&amp;"."&amp;E331&amp;");"),$S$7&amp;$R$9&amp;"."&amp;SUBSTITUTE(E331," ","")&amp;")."&amp;IF(O331="click",O331&amp;"();",O331&amp;"("&amp;"'"&amp;K331&amp;"'"&amp;");")),""),IF(C331="Y",IF(J331&lt;&gt;"Y",$S$8&amp;$R$9&amp;"."&amp;SUBSTITUTE(E331," ","")&amp;")."&amp;IF(OR(O331="click",O331="innerText"),O331&amp;"();",O331&amp;"("&amp;$Q$8&amp;"."&amp;SUBSTITUTE(E331," ","")&amp;");"),$S$7&amp;$R$9&amp;"."&amp;SUBSTITUTE(E331," ","")&amp;")."&amp;IF(O331="click",O331&amp;"();",O331&amp;"("&amp;"'"&amp;K331&amp;"'"&amp;");")),""))),"let form"&amp;Z331&amp;": String;"&amp;"for (let i = 1; i &lt; 30; i++) {"&amp;$S$8&amp;$R$9&amp;"."&amp;SUBSTITUTE(E331," ","")&amp;").click();"&amp;$CE$4&amp; "form"&amp;Z331&amp;"="&amp; $S$8&amp;$R$9&amp;"."&amp;SUBSTITUTE(E331," ","")&amp;").innerText();" &amp;"if ("&amp;"form"&amp;Z331&amp;"=="&amp; "Data[index]."&amp;SUBSTITUTE(E331," ","") &amp;"){"&amp;$CE$7),"")</f>
        <v/>
      </c>
      <c r="T331"/>
      <c r="U331"/>
      <c r="V331"/>
      <c r="W331"/>
      <c r="X331"/>
      <c r="Y331"/>
      <c r="Z331">
        <v>322</v>
      </c>
      <c r="AA331"/>
      <c r="AB331"/>
      <c r="AC331" s="6"/>
      <c r="AD331" s="6"/>
      <c r="AE331" s="6"/>
      <c r="AF331" s="6"/>
      <c r="AG331" s="4"/>
      <c r="AH331" s="4"/>
      <c r="AI331" s="4"/>
      <c r="AJ331" s="4"/>
      <c r="AK331" s="4"/>
      <c r="AL331" s="4"/>
      <c r="AM331" s="4"/>
      <c r="AN331" s="4"/>
      <c r="AO331" s="4"/>
      <c r="AP331" s="4"/>
      <c r="AQ331" s="4"/>
      <c r="AR331" s="4"/>
      <c r="AS331" s="4"/>
      <c r="AT331" s="4"/>
      <c r="AU331" s="4"/>
      <c r="AV331" s="4"/>
      <c r="AW331" s="4"/>
      <c r="AX331" s="4"/>
      <c r="AY331" s="4"/>
      <c r="AZ331" s="4"/>
      <c r="BA331" s="4"/>
      <c r="BB331" s="3"/>
      <c r="BC331" s="3"/>
      <c r="CT331" s="5" t="e">
        <v>#N/A</v>
      </c>
      <c r="CU331" s="5" t="e">
        <v>#N/A</v>
      </c>
      <c r="CV331" s="5" t="e">
        <v>#N/A</v>
      </c>
      <c r="CW331" s="5" t="e">
        <v>#N/A</v>
      </c>
      <c r="CX331" s="5" t="e">
        <v>#N/A</v>
      </c>
      <c r="CY331" s="5" t="e">
        <v>#N/A</v>
      </c>
      <c r="CZ331" s="5" t="e">
        <v>#N/A</v>
      </c>
      <c r="DA331" s="5" t="e">
        <v>#N/A</v>
      </c>
      <c r="DB331" s="5" t="e">
        <v>#N/A</v>
      </c>
      <c r="DC331" s="5" t="e">
        <v>#N/A</v>
      </c>
      <c r="DD331" s="5" t="e">
        <v>#N/A</v>
      </c>
      <c r="DE331" s="5" t="e">
        <v>#N/A</v>
      </c>
      <c r="DF331" s="5" t="e">
        <v>#N/A</v>
      </c>
      <c r="DG331" s="5" t="e">
        <v>#N/A</v>
      </c>
      <c r="DH331" s="5" t="e">
        <v>#N/A</v>
      </c>
      <c r="DI331" s="5" t="e">
        <v>#N/A</v>
      </c>
    </row>
    <row r="332" spans="1:113" s="5" customFormat="1">
      <c r="A332"/>
      <c r="B332"/>
      <c r="C332" s="44"/>
      <c r="D332" s="44"/>
      <c r="E332" s="44"/>
      <c r="F332" s="44"/>
      <c r="G332" s="44"/>
      <c r="H332" s="44"/>
      <c r="I332" s="44"/>
      <c r="J332" s="44"/>
      <c r="K332" s="44"/>
      <c r="L332" s="44"/>
      <c r="M332" t="str">
        <f t="shared" si="39"/>
        <v>"//*[@class=\"</v>
      </c>
      <c r="N332" t="s">
        <v>31</v>
      </c>
      <c r="O332" s="4" t="str">
        <f t="shared" si="36"/>
        <v>click</v>
      </c>
      <c r="P332" t="str">
        <f t="shared" si="37"/>
        <v>();</v>
      </c>
      <c r="Q332" t="str">
        <f t="shared" si="38"/>
        <v/>
      </c>
      <c r="R332" t="str">
        <f t="shared" si="40"/>
        <v/>
      </c>
      <c r="S332" s="1" t="str">
        <f t="shared" si="41"/>
        <v/>
      </c>
      <c r="T332"/>
      <c r="U332"/>
      <c r="V332"/>
      <c r="W332"/>
      <c r="X332"/>
      <c r="Y332"/>
      <c r="Z332">
        <v>323</v>
      </c>
      <c r="AA332"/>
      <c r="AB332"/>
      <c r="AC332" s="6"/>
      <c r="AD332" s="6"/>
      <c r="AE332" s="6"/>
      <c r="AF332" s="6"/>
      <c r="AG332" s="4"/>
      <c r="AH332" s="4"/>
      <c r="AI332" s="4"/>
      <c r="AJ332" s="4"/>
      <c r="AK332" s="4"/>
      <c r="AL332" s="4"/>
      <c r="AM332" s="4"/>
      <c r="AN332" s="4"/>
      <c r="AO332" s="4"/>
      <c r="AP332" s="4"/>
      <c r="AQ332" s="4"/>
      <c r="AR332" s="4"/>
      <c r="AS332" s="4"/>
      <c r="AT332" s="4"/>
      <c r="AU332" s="4"/>
      <c r="AV332" s="4"/>
      <c r="AW332" s="4"/>
      <c r="AX332" s="4"/>
      <c r="AY332" s="4"/>
      <c r="AZ332" s="4"/>
      <c r="BA332" s="4"/>
      <c r="BB332" s="3"/>
      <c r="BC332" s="3"/>
      <c r="CT332" s="5" t="e">
        <v>#N/A</v>
      </c>
      <c r="CU332" s="5" t="e">
        <v>#N/A</v>
      </c>
      <c r="CV332" s="5" t="e">
        <v>#N/A</v>
      </c>
      <c r="CW332" s="5" t="e">
        <v>#N/A</v>
      </c>
      <c r="CX332" s="5" t="e">
        <v>#N/A</v>
      </c>
      <c r="CY332" s="5" t="e">
        <v>#N/A</v>
      </c>
      <c r="CZ332" s="5" t="e">
        <v>#N/A</v>
      </c>
      <c r="DA332" s="5" t="e">
        <v>#N/A</v>
      </c>
      <c r="DB332" s="5" t="e">
        <v>#N/A</v>
      </c>
      <c r="DC332" s="5" t="e">
        <v>#N/A</v>
      </c>
      <c r="DD332" s="5" t="e">
        <v>#N/A</v>
      </c>
      <c r="DE332" s="5" t="e">
        <v>#N/A</v>
      </c>
      <c r="DF332" s="5" t="e">
        <v>#N/A</v>
      </c>
      <c r="DG332" s="5" t="e">
        <v>#N/A</v>
      </c>
      <c r="DH332" s="5" t="e">
        <v>#N/A</v>
      </c>
      <c r="DI332" s="5" t="e">
        <v>#N/A</v>
      </c>
    </row>
    <row r="333" spans="1:113" s="5" customFormat="1">
      <c r="A333"/>
      <c r="B333"/>
      <c r="C333" s="44"/>
      <c r="D333" s="44"/>
      <c r="E333" s="44"/>
      <c r="F333" s="44"/>
      <c r="G333" s="44"/>
      <c r="H333" s="44"/>
      <c r="I333" s="44"/>
      <c r="J333" s="44"/>
      <c r="K333" s="44"/>
      <c r="L333" s="44"/>
      <c r="M333" t="str">
        <f t="shared" si="39"/>
        <v>"//*[@class=\"</v>
      </c>
      <c r="N333" t="s">
        <v>31</v>
      </c>
      <c r="O333" s="4" t="str">
        <f t="shared" si="36"/>
        <v>click</v>
      </c>
      <c r="P333" t="str">
        <f t="shared" si="37"/>
        <v>();</v>
      </c>
      <c r="Q333" t="str">
        <f t="shared" si="38"/>
        <v/>
      </c>
      <c r="R333" t="str">
        <f t="shared" si="40"/>
        <v/>
      </c>
      <c r="S333" s="1" t="str">
        <f t="shared" si="41"/>
        <v/>
      </c>
      <c r="T333"/>
      <c r="U333"/>
      <c r="V333"/>
      <c r="W333"/>
      <c r="X333"/>
      <c r="Y333"/>
      <c r="Z333">
        <v>324</v>
      </c>
      <c r="AA333"/>
      <c r="AB333"/>
      <c r="AC333" s="6"/>
      <c r="AD333" s="6"/>
      <c r="AE333" s="6"/>
      <c r="AF333" s="6"/>
      <c r="AG333" s="4"/>
      <c r="AH333" s="4"/>
      <c r="AI333" s="4"/>
      <c r="AJ333" s="4"/>
      <c r="AK333" s="4"/>
      <c r="AL333" s="4"/>
      <c r="AM333" s="4"/>
      <c r="AN333" s="4"/>
      <c r="AO333" s="4"/>
      <c r="AP333" s="4"/>
      <c r="AQ333" s="4"/>
      <c r="AR333" s="4"/>
      <c r="AS333" s="4"/>
      <c r="AT333" s="4"/>
      <c r="AU333" s="4"/>
      <c r="AV333" s="4"/>
      <c r="AW333" s="4"/>
      <c r="AX333" s="4"/>
      <c r="AY333" s="4"/>
      <c r="AZ333" s="4"/>
      <c r="BA333" s="4"/>
      <c r="BB333" s="3"/>
      <c r="BC333" s="3"/>
      <c r="CT333" s="5" t="e">
        <v>#N/A</v>
      </c>
      <c r="CU333" s="5" t="e">
        <v>#N/A</v>
      </c>
      <c r="CV333" s="5" t="e">
        <v>#N/A</v>
      </c>
      <c r="CW333" s="5" t="e">
        <v>#N/A</v>
      </c>
      <c r="CX333" s="5" t="e">
        <v>#N/A</v>
      </c>
      <c r="CY333" s="5" t="e">
        <v>#N/A</v>
      </c>
      <c r="CZ333" s="5" t="e">
        <v>#N/A</v>
      </c>
      <c r="DA333" s="5" t="e">
        <v>#N/A</v>
      </c>
      <c r="DB333" s="5" t="e">
        <v>#N/A</v>
      </c>
      <c r="DC333" s="5" t="e">
        <v>#N/A</v>
      </c>
      <c r="DD333" s="5" t="e">
        <v>#N/A</v>
      </c>
      <c r="DE333" s="5" t="e">
        <v>#N/A</v>
      </c>
      <c r="DF333" s="5" t="e">
        <v>#N/A</v>
      </c>
      <c r="DG333" s="5" t="e">
        <v>#N/A</v>
      </c>
      <c r="DH333" s="5" t="e">
        <v>#N/A</v>
      </c>
      <c r="DI333" s="5" t="e">
        <v>#N/A</v>
      </c>
    </row>
    <row r="334" spans="1:113" s="5" customFormat="1">
      <c r="A334"/>
      <c r="B334"/>
      <c r="C334" s="44"/>
      <c r="D334" s="44"/>
      <c r="E334" s="44"/>
      <c r="F334" s="44"/>
      <c r="G334" s="44"/>
      <c r="H334" s="44"/>
      <c r="I334" s="44"/>
      <c r="J334" s="44"/>
      <c r="K334" s="44"/>
      <c r="L334" s="44"/>
      <c r="M334" t="str">
        <f t="shared" si="39"/>
        <v>"//*[@class=\"</v>
      </c>
      <c r="N334" t="s">
        <v>31</v>
      </c>
      <c r="O334" s="4" t="str">
        <f t="shared" ref="O334:O397" si="42">IF(D334="input","fill",IF(I334&lt;&gt;"","innerText",IF(J334="Y",$T$7,"click")))</f>
        <v>click</v>
      </c>
      <c r="P334" t="str">
        <f t="shared" ref="P334:P397" si="43">IF(OR(O334="Click",O334="innerText"),"();","("&amp;""""&amp;K334&amp;""""&amp;");")</f>
        <v>();</v>
      </c>
      <c r="Q334" t="str">
        <f t="shared" ref="Q334:Q397" si="44">IF(C334="Y",IF(H334&lt;&gt;"Xpath",M334&amp;F334&amp;N334,""""&amp;F334&amp;""""),"")</f>
        <v/>
      </c>
      <c r="R334" t="str">
        <f t="shared" si="40"/>
        <v/>
      </c>
      <c r="S334" s="1" t="str">
        <f t="shared" si="41"/>
        <v/>
      </c>
      <c r="T334"/>
      <c r="U334"/>
      <c r="V334"/>
      <c r="W334"/>
      <c r="X334"/>
      <c r="Y334"/>
      <c r="Z334">
        <v>325</v>
      </c>
      <c r="AA334"/>
      <c r="AB334"/>
      <c r="AC334" s="6"/>
      <c r="AD334" s="6"/>
      <c r="AE334" s="6"/>
      <c r="AF334" s="6"/>
      <c r="AG334" s="4"/>
      <c r="AH334" s="4"/>
      <c r="AI334" s="4"/>
      <c r="AJ334" s="4"/>
      <c r="AK334" s="4"/>
      <c r="AL334" s="4"/>
      <c r="AM334" s="4"/>
      <c r="AN334" s="4"/>
      <c r="AO334" s="4"/>
      <c r="AP334" s="4"/>
      <c r="AQ334" s="4"/>
      <c r="AR334" s="4"/>
      <c r="AS334" s="4"/>
      <c r="AT334" s="4"/>
      <c r="AU334" s="4"/>
      <c r="AV334" s="4"/>
      <c r="AW334" s="4"/>
      <c r="AX334" s="4"/>
      <c r="AY334" s="4"/>
      <c r="AZ334" s="4"/>
      <c r="BA334" s="4"/>
      <c r="BB334" s="3"/>
      <c r="BC334" s="3"/>
      <c r="CT334" s="5" t="e">
        <v>#N/A</v>
      </c>
      <c r="CU334" s="5" t="e">
        <v>#N/A</v>
      </c>
      <c r="CV334" s="5" t="e">
        <v>#N/A</v>
      </c>
      <c r="CW334" s="5" t="e">
        <v>#N/A</v>
      </c>
      <c r="CX334" s="5" t="e">
        <v>#N/A</v>
      </c>
      <c r="CY334" s="5" t="e">
        <v>#N/A</v>
      </c>
      <c r="CZ334" s="5" t="e">
        <v>#N/A</v>
      </c>
      <c r="DA334" s="5" t="e">
        <v>#N/A</v>
      </c>
      <c r="DB334" s="5" t="e">
        <v>#N/A</v>
      </c>
      <c r="DC334" s="5" t="e">
        <v>#N/A</v>
      </c>
      <c r="DD334" s="5" t="e">
        <v>#N/A</v>
      </c>
      <c r="DE334" s="5" t="e">
        <v>#N/A</v>
      </c>
      <c r="DF334" s="5" t="e">
        <v>#N/A</v>
      </c>
      <c r="DG334" s="5" t="e">
        <v>#N/A</v>
      </c>
      <c r="DH334" s="5" t="e">
        <v>#N/A</v>
      </c>
      <c r="DI334" s="5" t="e">
        <v>#N/A</v>
      </c>
    </row>
    <row r="335" spans="1:113" s="5" customFormat="1">
      <c r="A335"/>
      <c r="B335"/>
      <c r="C335" s="44"/>
      <c r="D335" s="44"/>
      <c r="E335" s="44"/>
      <c r="F335" s="44"/>
      <c r="G335" s="44"/>
      <c r="H335" s="44"/>
      <c r="I335" s="44"/>
      <c r="J335" s="44"/>
      <c r="K335" s="44"/>
      <c r="L335" s="44"/>
      <c r="M335" t="str">
        <f t="shared" si="39"/>
        <v>"//*[@class=\"</v>
      </c>
      <c r="N335" t="s">
        <v>31</v>
      </c>
      <c r="O335" s="4" t="str">
        <f t="shared" si="42"/>
        <v>click</v>
      </c>
      <c r="P335" t="str">
        <f t="shared" si="43"/>
        <v>();</v>
      </c>
      <c r="Q335" t="str">
        <f t="shared" si="44"/>
        <v/>
      </c>
      <c r="R335" t="str">
        <f t="shared" si="40"/>
        <v/>
      </c>
      <c r="S335" s="1" t="str">
        <f t="shared" si="41"/>
        <v/>
      </c>
      <c r="T335"/>
      <c r="U335"/>
      <c r="V335"/>
      <c r="W335"/>
      <c r="X335"/>
      <c r="Y335"/>
      <c r="Z335">
        <v>326</v>
      </c>
      <c r="AA335"/>
      <c r="AB335"/>
      <c r="AC335" s="6"/>
      <c r="AD335" s="6"/>
      <c r="AE335" s="6"/>
      <c r="AF335" s="6"/>
      <c r="AG335" s="4"/>
      <c r="AH335" s="4"/>
      <c r="AI335" s="4"/>
      <c r="AJ335" s="4"/>
      <c r="AK335" s="4"/>
      <c r="AL335" s="4"/>
      <c r="AM335" s="4"/>
      <c r="AN335" s="4"/>
      <c r="AO335" s="4"/>
      <c r="AP335" s="4"/>
      <c r="AQ335" s="4"/>
      <c r="AR335" s="4"/>
      <c r="AS335" s="4"/>
      <c r="AT335" s="4"/>
      <c r="AU335" s="4"/>
      <c r="AV335" s="4"/>
      <c r="AW335" s="4"/>
      <c r="AX335" s="4"/>
      <c r="AY335" s="4"/>
      <c r="AZ335" s="4"/>
      <c r="BA335" s="4"/>
      <c r="BB335" s="3"/>
      <c r="BC335" s="3"/>
      <c r="CT335" s="5" t="e">
        <v>#N/A</v>
      </c>
      <c r="CU335" s="5" t="e">
        <v>#N/A</v>
      </c>
      <c r="CV335" s="5" t="e">
        <v>#N/A</v>
      </c>
      <c r="CW335" s="5" t="e">
        <v>#N/A</v>
      </c>
      <c r="CX335" s="5" t="e">
        <v>#N/A</v>
      </c>
      <c r="CY335" s="5" t="e">
        <v>#N/A</v>
      </c>
      <c r="CZ335" s="5" t="e">
        <v>#N/A</v>
      </c>
      <c r="DA335" s="5" t="e">
        <v>#N/A</v>
      </c>
      <c r="DB335" s="5" t="e">
        <v>#N/A</v>
      </c>
      <c r="DC335" s="5" t="e">
        <v>#N/A</v>
      </c>
      <c r="DD335" s="5" t="e">
        <v>#N/A</v>
      </c>
      <c r="DE335" s="5" t="e">
        <v>#N/A</v>
      </c>
      <c r="DF335" s="5" t="e">
        <v>#N/A</v>
      </c>
      <c r="DG335" s="5" t="e">
        <v>#N/A</v>
      </c>
      <c r="DH335" s="5" t="e">
        <v>#N/A</v>
      </c>
      <c r="DI335" s="5" t="e">
        <v>#N/A</v>
      </c>
    </row>
    <row r="336" spans="1:113" s="5" customFormat="1">
      <c r="A336"/>
      <c r="B336"/>
      <c r="C336" s="44"/>
      <c r="D336" s="44"/>
      <c r="E336" s="44"/>
      <c r="F336" s="44"/>
      <c r="G336" s="44"/>
      <c r="H336" s="44"/>
      <c r="I336" s="44"/>
      <c r="J336" s="44"/>
      <c r="K336" s="44"/>
      <c r="L336" s="44"/>
      <c r="M336" t="str">
        <f t="shared" si="39"/>
        <v>"//*[@class=\"</v>
      </c>
      <c r="N336" t="s">
        <v>31</v>
      </c>
      <c r="O336" s="4" t="str">
        <f t="shared" si="42"/>
        <v>click</v>
      </c>
      <c r="P336" t="str">
        <f t="shared" si="43"/>
        <v>();</v>
      </c>
      <c r="Q336" t="str">
        <f t="shared" si="44"/>
        <v/>
      </c>
      <c r="R336" t="str">
        <f t="shared" si="40"/>
        <v/>
      </c>
      <c r="S336" s="1" t="str">
        <f t="shared" si="41"/>
        <v/>
      </c>
      <c r="T336"/>
      <c r="U336"/>
      <c r="V336"/>
      <c r="W336"/>
      <c r="X336"/>
      <c r="Y336"/>
      <c r="Z336">
        <v>327</v>
      </c>
      <c r="AA336"/>
      <c r="AB336"/>
      <c r="AC336" s="6"/>
      <c r="AD336" s="6"/>
      <c r="AE336" s="6"/>
      <c r="AF336" s="6"/>
      <c r="AG336" s="4"/>
      <c r="AH336" s="4"/>
      <c r="AI336" s="4"/>
      <c r="AJ336" s="4"/>
      <c r="AK336" s="4"/>
      <c r="AL336" s="4"/>
      <c r="AM336" s="4"/>
      <c r="AN336" s="4"/>
      <c r="AO336" s="4"/>
      <c r="AP336" s="4"/>
      <c r="AQ336" s="4"/>
      <c r="AR336" s="4"/>
      <c r="AS336" s="4"/>
      <c r="AT336" s="4"/>
      <c r="AU336" s="4"/>
      <c r="AV336" s="4"/>
      <c r="AW336" s="4"/>
      <c r="AX336" s="4"/>
      <c r="AY336" s="4"/>
      <c r="AZ336" s="4"/>
      <c r="BA336" s="4"/>
      <c r="BB336" s="3"/>
      <c r="BC336" s="3"/>
      <c r="CT336" s="5" t="e">
        <v>#N/A</v>
      </c>
      <c r="CU336" s="5" t="e">
        <v>#N/A</v>
      </c>
      <c r="CV336" s="5" t="e">
        <v>#N/A</v>
      </c>
      <c r="CW336" s="5" t="e">
        <v>#N/A</v>
      </c>
      <c r="CX336" s="5" t="e">
        <v>#N/A</v>
      </c>
      <c r="CY336" s="5" t="e">
        <v>#N/A</v>
      </c>
      <c r="CZ336" s="5" t="e">
        <v>#N/A</v>
      </c>
      <c r="DA336" s="5" t="e">
        <v>#N/A</v>
      </c>
      <c r="DB336" s="5" t="e">
        <v>#N/A</v>
      </c>
      <c r="DC336" s="5" t="e">
        <v>#N/A</v>
      </c>
      <c r="DD336" s="5" t="e">
        <v>#N/A</v>
      </c>
      <c r="DE336" s="5" t="e">
        <v>#N/A</v>
      </c>
      <c r="DF336" s="5" t="e">
        <v>#N/A</v>
      </c>
      <c r="DG336" s="5" t="e">
        <v>#N/A</v>
      </c>
      <c r="DH336" s="5" t="e">
        <v>#N/A</v>
      </c>
      <c r="DI336" s="5" t="e">
        <v>#N/A</v>
      </c>
    </row>
    <row r="337" spans="1:113" s="5" customFormat="1">
      <c r="A337"/>
      <c r="B337"/>
      <c r="C337" s="44"/>
      <c r="D337" s="44"/>
      <c r="E337" s="44"/>
      <c r="F337" s="44"/>
      <c r="G337" s="44"/>
      <c r="H337" s="44"/>
      <c r="I337" s="44"/>
      <c r="J337" s="44"/>
      <c r="K337" s="44"/>
      <c r="L337" s="44"/>
      <c r="M337" t="str">
        <f t="shared" si="39"/>
        <v>"//*[@class=\"</v>
      </c>
      <c r="N337" t="s">
        <v>31</v>
      </c>
      <c r="O337" s="4" t="str">
        <f t="shared" si="42"/>
        <v>click</v>
      </c>
      <c r="P337" t="str">
        <f t="shared" si="43"/>
        <v>();</v>
      </c>
      <c r="Q337" t="str">
        <f t="shared" si="44"/>
        <v/>
      </c>
      <c r="R337" t="str">
        <f t="shared" si="40"/>
        <v/>
      </c>
      <c r="S337" s="1" t="str">
        <f t="shared" si="41"/>
        <v/>
      </c>
      <c r="T337"/>
      <c r="U337"/>
      <c r="V337"/>
      <c r="W337"/>
      <c r="X337"/>
      <c r="Y337"/>
      <c r="Z337">
        <v>328</v>
      </c>
      <c r="AA337"/>
      <c r="AB337"/>
      <c r="AC337" s="6"/>
      <c r="AD337" s="6"/>
      <c r="AE337" s="6"/>
      <c r="AF337" s="6"/>
      <c r="AG337" s="4"/>
      <c r="AH337" s="4"/>
      <c r="AI337" s="4"/>
      <c r="AJ337" s="4"/>
      <c r="AK337" s="4"/>
      <c r="AL337" s="4"/>
      <c r="AM337" s="4"/>
      <c r="AN337" s="4"/>
      <c r="AO337" s="4"/>
      <c r="AP337" s="4"/>
      <c r="AQ337" s="4"/>
      <c r="AR337" s="4"/>
      <c r="AS337" s="4"/>
      <c r="AT337" s="4"/>
      <c r="AU337" s="4"/>
      <c r="AV337" s="4"/>
      <c r="AW337" s="4"/>
      <c r="AX337" s="4"/>
      <c r="AY337" s="4"/>
      <c r="AZ337" s="4"/>
      <c r="BA337" s="4"/>
      <c r="BB337" s="3"/>
      <c r="BC337" s="3"/>
      <c r="CT337" s="5" t="e">
        <v>#N/A</v>
      </c>
      <c r="CU337" s="5" t="e">
        <v>#N/A</v>
      </c>
      <c r="CV337" s="5" t="e">
        <v>#N/A</v>
      </c>
      <c r="CW337" s="5" t="e">
        <v>#N/A</v>
      </c>
      <c r="CX337" s="5" t="e">
        <v>#N/A</v>
      </c>
      <c r="CY337" s="5" t="e">
        <v>#N/A</v>
      </c>
      <c r="CZ337" s="5" t="e">
        <v>#N/A</v>
      </c>
      <c r="DA337" s="5" t="e">
        <v>#N/A</v>
      </c>
      <c r="DB337" s="5" t="e">
        <v>#N/A</v>
      </c>
      <c r="DC337" s="5" t="e">
        <v>#N/A</v>
      </c>
      <c r="DD337" s="5" t="e">
        <v>#N/A</v>
      </c>
      <c r="DE337" s="5" t="e">
        <v>#N/A</v>
      </c>
      <c r="DF337" s="5" t="e">
        <v>#N/A</v>
      </c>
      <c r="DG337" s="5" t="e">
        <v>#N/A</v>
      </c>
      <c r="DH337" s="5" t="e">
        <v>#N/A</v>
      </c>
      <c r="DI337" s="5" t="e">
        <v>#N/A</v>
      </c>
    </row>
    <row r="338" spans="1:113" s="5" customFormat="1">
      <c r="A338"/>
      <c r="B338"/>
      <c r="C338" s="44"/>
      <c r="D338" s="44"/>
      <c r="E338" s="44"/>
      <c r="F338" s="44"/>
      <c r="G338" s="44"/>
      <c r="H338" s="44"/>
      <c r="I338" s="44"/>
      <c r="J338" s="44"/>
      <c r="K338" s="44"/>
      <c r="L338" s="44"/>
      <c r="M338" t="str">
        <f t="shared" si="39"/>
        <v>"//*[@class=\"</v>
      </c>
      <c r="N338" t="s">
        <v>31</v>
      </c>
      <c r="O338" s="4" t="str">
        <f t="shared" si="42"/>
        <v>click</v>
      </c>
      <c r="P338" t="str">
        <f t="shared" si="43"/>
        <v>();</v>
      </c>
      <c r="Q338" t="str">
        <f t="shared" si="44"/>
        <v/>
      </c>
      <c r="R338" t="str">
        <f t="shared" si="40"/>
        <v/>
      </c>
      <c r="S338" s="1" t="str">
        <f t="shared" si="41"/>
        <v/>
      </c>
      <c r="T338"/>
      <c r="U338"/>
      <c r="V338"/>
      <c r="W338"/>
      <c r="X338"/>
      <c r="Y338"/>
      <c r="Z338">
        <v>329</v>
      </c>
      <c r="AA338"/>
      <c r="AB338"/>
      <c r="AC338" s="6"/>
      <c r="AD338" s="6"/>
      <c r="AE338" s="6"/>
      <c r="AF338" s="6"/>
      <c r="AG338" s="4"/>
      <c r="AH338" s="4"/>
      <c r="AI338" s="4"/>
      <c r="AJ338" s="4"/>
      <c r="AK338" s="4"/>
      <c r="AL338" s="4"/>
      <c r="AM338" s="4"/>
      <c r="AN338" s="4"/>
      <c r="AO338" s="4"/>
      <c r="AP338" s="4"/>
      <c r="AQ338" s="4"/>
      <c r="AR338" s="4"/>
      <c r="AS338" s="4"/>
      <c r="AT338" s="4"/>
      <c r="AU338" s="4"/>
      <c r="AV338" s="4"/>
      <c r="AW338" s="4"/>
      <c r="AX338" s="4"/>
      <c r="AY338" s="4"/>
      <c r="AZ338" s="4"/>
      <c r="BA338" s="4"/>
      <c r="BB338" s="3"/>
      <c r="BC338" s="3"/>
      <c r="CT338" s="5" t="e">
        <v>#N/A</v>
      </c>
      <c r="CU338" s="5" t="e">
        <v>#N/A</v>
      </c>
      <c r="CV338" s="5" t="e">
        <v>#N/A</v>
      </c>
      <c r="CW338" s="5" t="e">
        <v>#N/A</v>
      </c>
      <c r="CX338" s="5" t="e">
        <v>#N/A</v>
      </c>
      <c r="CY338" s="5" t="e">
        <v>#N/A</v>
      </c>
      <c r="CZ338" s="5" t="e">
        <v>#N/A</v>
      </c>
      <c r="DA338" s="5" t="e">
        <v>#N/A</v>
      </c>
      <c r="DB338" s="5" t="e">
        <v>#N/A</v>
      </c>
      <c r="DC338" s="5" t="e">
        <v>#N/A</v>
      </c>
      <c r="DD338" s="5" t="e">
        <v>#N/A</v>
      </c>
      <c r="DE338" s="5" t="e">
        <v>#N/A</v>
      </c>
      <c r="DF338" s="5" t="e">
        <v>#N/A</v>
      </c>
      <c r="DG338" s="5" t="e">
        <v>#N/A</v>
      </c>
      <c r="DH338" s="5" t="e">
        <v>#N/A</v>
      </c>
      <c r="DI338" s="5" t="e">
        <v>#N/A</v>
      </c>
    </row>
    <row r="339" spans="1:113" s="5" customFormat="1">
      <c r="A339"/>
      <c r="B339"/>
      <c r="C339" s="44"/>
      <c r="D339" s="44"/>
      <c r="E339" s="44"/>
      <c r="F339" s="44"/>
      <c r="G339" s="44"/>
      <c r="H339" s="44"/>
      <c r="I339" s="44"/>
      <c r="J339" s="44"/>
      <c r="K339" s="44"/>
      <c r="L339" s="44"/>
      <c r="M339" t="str">
        <f t="shared" si="39"/>
        <v>"//*[@class=\"</v>
      </c>
      <c r="N339" t="s">
        <v>31</v>
      </c>
      <c r="O339" s="4" t="str">
        <f t="shared" si="42"/>
        <v>click</v>
      </c>
      <c r="P339" t="str">
        <f t="shared" si="43"/>
        <v>();</v>
      </c>
      <c r="Q339" t="str">
        <f t="shared" si="44"/>
        <v/>
      </c>
      <c r="R339" t="str">
        <f t="shared" si="40"/>
        <v/>
      </c>
      <c r="S339" s="1" t="str">
        <f t="shared" si="41"/>
        <v/>
      </c>
      <c r="T339"/>
      <c r="U339"/>
      <c r="V339"/>
      <c r="W339"/>
      <c r="X339"/>
      <c r="Y339"/>
      <c r="Z339">
        <v>330</v>
      </c>
      <c r="AA339"/>
      <c r="AB339"/>
      <c r="AC339" s="6"/>
      <c r="AD339" s="6"/>
      <c r="AE339" s="6"/>
      <c r="AF339" s="6"/>
      <c r="AG339" s="4"/>
      <c r="AH339" s="4"/>
      <c r="AI339" s="4"/>
      <c r="AJ339" s="4"/>
      <c r="AK339" s="4"/>
      <c r="AL339" s="4"/>
      <c r="AM339" s="4"/>
      <c r="AN339" s="4"/>
      <c r="AO339" s="4"/>
      <c r="AP339" s="4"/>
      <c r="AQ339" s="4"/>
      <c r="AR339" s="4"/>
      <c r="AS339" s="4"/>
      <c r="AT339" s="4"/>
      <c r="AU339" s="4"/>
      <c r="AV339" s="4"/>
      <c r="AW339" s="4"/>
      <c r="AX339" s="4"/>
      <c r="AY339" s="4"/>
      <c r="AZ339" s="4"/>
      <c r="BA339" s="4"/>
      <c r="BB339" s="3"/>
      <c r="BC339" s="3"/>
      <c r="CT339" s="5" t="e">
        <v>#N/A</v>
      </c>
      <c r="CU339" s="5" t="e">
        <v>#N/A</v>
      </c>
      <c r="CV339" s="5" t="e">
        <v>#N/A</v>
      </c>
      <c r="CW339" s="5" t="e">
        <v>#N/A</v>
      </c>
      <c r="CX339" s="5" t="e">
        <v>#N/A</v>
      </c>
      <c r="CY339" s="5" t="e">
        <v>#N/A</v>
      </c>
      <c r="CZ339" s="5" t="e">
        <v>#N/A</v>
      </c>
      <c r="DA339" s="5" t="e">
        <v>#N/A</v>
      </c>
      <c r="DB339" s="5" t="e">
        <v>#N/A</v>
      </c>
      <c r="DC339" s="5" t="e">
        <v>#N/A</v>
      </c>
      <c r="DD339" s="5" t="e">
        <v>#N/A</v>
      </c>
      <c r="DE339" s="5" t="e">
        <v>#N/A</v>
      </c>
      <c r="DF339" s="5" t="e">
        <v>#N/A</v>
      </c>
      <c r="DG339" s="5" t="e">
        <v>#N/A</v>
      </c>
      <c r="DH339" s="5" t="e">
        <v>#N/A</v>
      </c>
      <c r="DI339" s="5" t="e">
        <v>#N/A</v>
      </c>
    </row>
    <row r="340" spans="1:113" s="5" customFormat="1">
      <c r="A340"/>
      <c r="B340"/>
      <c r="C340" s="44"/>
      <c r="D340" s="44"/>
      <c r="E340" s="44"/>
      <c r="F340" s="44"/>
      <c r="G340" s="44"/>
      <c r="H340" s="44"/>
      <c r="I340" s="44"/>
      <c r="J340" s="44"/>
      <c r="K340" s="44"/>
      <c r="L340" s="44"/>
      <c r="M340" t="str">
        <f t="shared" si="39"/>
        <v>"//*[@class=\"</v>
      </c>
      <c r="N340" t="s">
        <v>31</v>
      </c>
      <c r="O340" s="4" t="str">
        <f t="shared" si="42"/>
        <v>click</v>
      </c>
      <c r="P340" t="str">
        <f t="shared" si="43"/>
        <v>();</v>
      </c>
      <c r="Q340" t="str">
        <f t="shared" si="44"/>
        <v/>
      </c>
      <c r="R340" t="str">
        <f t="shared" si="40"/>
        <v/>
      </c>
      <c r="S340" s="1" t="str">
        <f t="shared" si="41"/>
        <v/>
      </c>
      <c r="T340"/>
      <c r="U340"/>
      <c r="V340"/>
      <c r="W340"/>
      <c r="X340"/>
      <c r="Y340"/>
      <c r="Z340">
        <v>331</v>
      </c>
      <c r="AA340"/>
      <c r="AB340"/>
      <c r="AC340" s="6"/>
      <c r="AD340" s="6"/>
      <c r="AE340" s="6"/>
      <c r="AF340" s="6"/>
      <c r="AG340" s="4"/>
      <c r="AH340" s="4"/>
      <c r="AI340" s="4"/>
      <c r="AJ340" s="4"/>
      <c r="AK340" s="4"/>
      <c r="AL340" s="4"/>
      <c r="AM340" s="4"/>
      <c r="AN340" s="4"/>
      <c r="AO340" s="4"/>
      <c r="AP340" s="4"/>
      <c r="AQ340" s="4"/>
      <c r="AR340" s="4"/>
      <c r="AS340" s="4"/>
      <c r="AT340" s="4"/>
      <c r="AU340" s="4"/>
      <c r="AV340" s="4"/>
      <c r="AW340" s="4"/>
      <c r="AX340" s="4"/>
      <c r="AY340" s="4"/>
      <c r="AZ340" s="4"/>
      <c r="BA340" s="4"/>
      <c r="BB340" s="3"/>
      <c r="BC340" s="3"/>
      <c r="CT340" s="5" t="e">
        <v>#N/A</v>
      </c>
      <c r="CU340" s="5" t="e">
        <v>#N/A</v>
      </c>
      <c r="CV340" s="5" t="e">
        <v>#N/A</v>
      </c>
      <c r="CW340" s="5" t="e">
        <v>#N/A</v>
      </c>
      <c r="CX340" s="5" t="e">
        <v>#N/A</v>
      </c>
      <c r="CY340" s="5" t="e">
        <v>#N/A</v>
      </c>
      <c r="CZ340" s="5" t="e">
        <v>#N/A</v>
      </c>
      <c r="DA340" s="5" t="e">
        <v>#N/A</v>
      </c>
      <c r="DB340" s="5" t="e">
        <v>#N/A</v>
      </c>
      <c r="DC340" s="5" t="e">
        <v>#N/A</v>
      </c>
      <c r="DD340" s="5" t="e">
        <v>#N/A</v>
      </c>
      <c r="DE340" s="5" t="e">
        <v>#N/A</v>
      </c>
      <c r="DF340" s="5" t="e">
        <v>#N/A</v>
      </c>
      <c r="DG340" s="5" t="e">
        <v>#N/A</v>
      </c>
      <c r="DH340" s="5" t="e">
        <v>#N/A</v>
      </c>
      <c r="DI340" s="5" t="e">
        <v>#N/A</v>
      </c>
    </row>
    <row r="341" spans="1:113" s="5" customFormat="1">
      <c r="A341"/>
      <c r="B341"/>
      <c r="C341" s="44"/>
      <c r="D341" s="44"/>
      <c r="E341" s="44"/>
      <c r="F341" s="44"/>
      <c r="G341" s="44"/>
      <c r="H341" s="44"/>
      <c r="I341" s="44"/>
      <c r="J341" s="44"/>
      <c r="K341" s="44"/>
      <c r="L341" s="44"/>
      <c r="M341" t="str">
        <f t="shared" si="39"/>
        <v>"//*[@class=\"</v>
      </c>
      <c r="N341" t="s">
        <v>31</v>
      </c>
      <c r="O341" s="4" t="str">
        <f t="shared" si="42"/>
        <v>click</v>
      </c>
      <c r="P341" t="str">
        <f t="shared" si="43"/>
        <v>();</v>
      </c>
      <c r="Q341" t="str">
        <f t="shared" si="44"/>
        <v/>
      </c>
      <c r="R341" t="str">
        <f t="shared" si="40"/>
        <v/>
      </c>
      <c r="S341" s="1" t="str">
        <f t="shared" si="41"/>
        <v/>
      </c>
      <c r="T341"/>
      <c r="U341"/>
      <c r="V341"/>
      <c r="W341"/>
      <c r="X341"/>
      <c r="Y341"/>
      <c r="Z341">
        <v>332</v>
      </c>
      <c r="AA341"/>
      <c r="AB341"/>
      <c r="AC341" s="6"/>
      <c r="AD341" s="6"/>
      <c r="AE341" s="6"/>
      <c r="AF341" s="6"/>
      <c r="AG341" s="4"/>
      <c r="AH341" s="4"/>
      <c r="AI341" s="4"/>
      <c r="AJ341" s="4"/>
      <c r="AK341" s="4"/>
      <c r="AL341" s="4"/>
      <c r="AM341" s="4"/>
      <c r="AN341" s="4"/>
      <c r="AO341" s="4"/>
      <c r="AP341" s="4"/>
      <c r="AQ341" s="4"/>
      <c r="AR341" s="4"/>
      <c r="AS341" s="4"/>
      <c r="AT341" s="4"/>
      <c r="AU341" s="4"/>
      <c r="AV341" s="4"/>
      <c r="AW341" s="4"/>
      <c r="AX341" s="4"/>
      <c r="AY341" s="4"/>
      <c r="AZ341" s="4"/>
      <c r="BA341" s="4"/>
      <c r="BB341" s="3"/>
      <c r="BC341" s="3"/>
      <c r="CT341" s="5" t="e">
        <v>#N/A</v>
      </c>
      <c r="CU341" s="5" t="e">
        <v>#N/A</v>
      </c>
      <c r="CV341" s="5" t="e">
        <v>#N/A</v>
      </c>
      <c r="CW341" s="5" t="e">
        <v>#N/A</v>
      </c>
      <c r="CX341" s="5" t="e">
        <v>#N/A</v>
      </c>
      <c r="CY341" s="5" t="e">
        <v>#N/A</v>
      </c>
      <c r="CZ341" s="5" t="e">
        <v>#N/A</v>
      </c>
      <c r="DA341" s="5" t="e">
        <v>#N/A</v>
      </c>
      <c r="DB341" s="5" t="e">
        <v>#N/A</v>
      </c>
      <c r="DC341" s="5" t="e">
        <v>#N/A</v>
      </c>
      <c r="DD341" s="5" t="e">
        <v>#N/A</v>
      </c>
      <c r="DE341" s="5" t="e">
        <v>#N/A</v>
      </c>
      <c r="DF341" s="5" t="e">
        <v>#N/A</v>
      </c>
      <c r="DG341" s="5" t="e">
        <v>#N/A</v>
      </c>
      <c r="DH341" s="5" t="e">
        <v>#N/A</v>
      </c>
      <c r="DI341" s="5" t="e">
        <v>#N/A</v>
      </c>
    </row>
    <row r="342" spans="1:113" s="5" customFormat="1">
      <c r="A342"/>
      <c r="B342"/>
      <c r="C342" s="44"/>
      <c r="D342" s="44"/>
      <c r="E342" s="44"/>
      <c r="F342" s="44"/>
      <c r="G342" s="44"/>
      <c r="H342" s="44"/>
      <c r="I342" s="44"/>
      <c r="J342" s="44"/>
      <c r="K342" s="44"/>
      <c r="L342" s="44"/>
      <c r="M342" t="str">
        <f t="shared" si="39"/>
        <v>"//*[@class=\"</v>
      </c>
      <c r="N342" t="s">
        <v>31</v>
      </c>
      <c r="O342" s="4" t="str">
        <f t="shared" si="42"/>
        <v>click</v>
      </c>
      <c r="P342" t="str">
        <f t="shared" si="43"/>
        <v>();</v>
      </c>
      <c r="Q342" t="str">
        <f t="shared" si="44"/>
        <v/>
      </c>
      <c r="R342" t="str">
        <f t="shared" si="40"/>
        <v/>
      </c>
      <c r="S342" s="1" t="str">
        <f t="shared" si="41"/>
        <v/>
      </c>
      <c r="T342"/>
      <c r="U342"/>
      <c r="V342"/>
      <c r="W342"/>
      <c r="X342"/>
      <c r="Y342"/>
      <c r="Z342">
        <v>333</v>
      </c>
      <c r="AA342"/>
      <c r="AB342"/>
      <c r="AC342" s="6"/>
      <c r="AD342" s="6"/>
      <c r="AE342" s="6"/>
      <c r="AF342" s="6"/>
      <c r="AG342" s="4"/>
      <c r="AH342" s="4"/>
      <c r="AI342" s="4"/>
      <c r="AJ342" s="4"/>
      <c r="AK342" s="4"/>
      <c r="AL342" s="4"/>
      <c r="AM342" s="4"/>
      <c r="AN342" s="4"/>
      <c r="AO342" s="4"/>
      <c r="AP342" s="4"/>
      <c r="AQ342" s="4"/>
      <c r="AR342" s="4"/>
      <c r="AS342" s="4"/>
      <c r="AT342" s="4"/>
      <c r="AU342" s="4"/>
      <c r="AV342" s="4"/>
      <c r="AW342" s="4"/>
      <c r="AX342" s="4"/>
      <c r="AY342" s="4"/>
      <c r="AZ342" s="4"/>
      <c r="BA342" s="4"/>
      <c r="BB342" s="3"/>
      <c r="BC342" s="3"/>
      <c r="CT342" s="5" t="e">
        <v>#N/A</v>
      </c>
      <c r="CU342" s="5" t="e">
        <v>#N/A</v>
      </c>
      <c r="CV342" s="5" t="e">
        <v>#N/A</v>
      </c>
      <c r="CW342" s="5" t="e">
        <v>#N/A</v>
      </c>
      <c r="CX342" s="5" t="e">
        <v>#N/A</v>
      </c>
      <c r="CY342" s="5" t="e">
        <v>#N/A</v>
      </c>
      <c r="CZ342" s="5" t="e">
        <v>#N/A</v>
      </c>
      <c r="DA342" s="5" t="e">
        <v>#N/A</v>
      </c>
      <c r="DB342" s="5" t="e">
        <v>#N/A</v>
      </c>
      <c r="DC342" s="5" t="e">
        <v>#N/A</v>
      </c>
      <c r="DD342" s="5" t="e">
        <v>#N/A</v>
      </c>
      <c r="DE342" s="5" t="e">
        <v>#N/A</v>
      </c>
      <c r="DF342" s="5" t="e">
        <v>#N/A</v>
      </c>
      <c r="DG342" s="5" t="e">
        <v>#N/A</v>
      </c>
      <c r="DH342" s="5" t="e">
        <v>#N/A</v>
      </c>
      <c r="DI342" s="5" t="e">
        <v>#N/A</v>
      </c>
    </row>
    <row r="343" spans="1:113" s="5" customFormat="1">
      <c r="A343"/>
      <c r="B343"/>
      <c r="C343" s="44"/>
      <c r="D343" s="44"/>
      <c r="E343" s="44"/>
      <c r="F343" s="44"/>
      <c r="G343" s="44"/>
      <c r="H343" s="44"/>
      <c r="I343" s="44"/>
      <c r="J343" s="44"/>
      <c r="K343" s="44"/>
      <c r="L343" s="44"/>
      <c r="M343" t="str">
        <f t="shared" si="39"/>
        <v>"//*[@class=\"</v>
      </c>
      <c r="N343" t="s">
        <v>31</v>
      </c>
      <c r="O343" s="4" t="str">
        <f t="shared" si="42"/>
        <v>click</v>
      </c>
      <c r="P343" t="str">
        <f t="shared" si="43"/>
        <v>();</v>
      </c>
      <c r="Q343" t="str">
        <f t="shared" si="44"/>
        <v/>
      </c>
      <c r="R343" t="str">
        <f t="shared" si="40"/>
        <v/>
      </c>
      <c r="S343" s="1" t="str">
        <f t="shared" si="41"/>
        <v/>
      </c>
      <c r="T343"/>
      <c r="U343"/>
      <c r="V343"/>
      <c r="W343"/>
      <c r="X343"/>
      <c r="Y343"/>
      <c r="Z343">
        <v>334</v>
      </c>
      <c r="AA343"/>
      <c r="AB343"/>
      <c r="AC343" s="6"/>
      <c r="AD343" s="6"/>
      <c r="AE343" s="6"/>
      <c r="AF343" s="6"/>
      <c r="AG343" s="4"/>
      <c r="AH343" s="4"/>
      <c r="AI343" s="4"/>
      <c r="AJ343" s="4"/>
      <c r="AK343" s="4"/>
      <c r="AL343" s="4"/>
      <c r="AM343" s="4"/>
      <c r="AN343" s="4"/>
      <c r="AO343" s="4"/>
      <c r="AP343" s="4"/>
      <c r="AQ343" s="4"/>
      <c r="AR343" s="4"/>
      <c r="AS343" s="4"/>
      <c r="AT343" s="4"/>
      <c r="AU343" s="4"/>
      <c r="AV343" s="4"/>
      <c r="AW343" s="4"/>
      <c r="AX343" s="4"/>
      <c r="AY343" s="4"/>
      <c r="AZ343" s="4"/>
      <c r="BA343" s="4"/>
      <c r="BB343" s="3"/>
      <c r="BC343" s="3"/>
      <c r="CT343" s="5" t="e">
        <v>#N/A</v>
      </c>
      <c r="CU343" s="5" t="e">
        <v>#N/A</v>
      </c>
      <c r="CV343" s="5" t="e">
        <v>#N/A</v>
      </c>
      <c r="CW343" s="5" t="e">
        <v>#N/A</v>
      </c>
      <c r="CX343" s="5" t="e">
        <v>#N/A</v>
      </c>
      <c r="CY343" s="5" t="e">
        <v>#N/A</v>
      </c>
      <c r="CZ343" s="5" t="e">
        <v>#N/A</v>
      </c>
      <c r="DA343" s="5" t="e">
        <v>#N/A</v>
      </c>
      <c r="DB343" s="5" t="e">
        <v>#N/A</v>
      </c>
      <c r="DC343" s="5" t="e">
        <v>#N/A</v>
      </c>
      <c r="DD343" s="5" t="e">
        <v>#N/A</v>
      </c>
      <c r="DE343" s="5" t="e">
        <v>#N/A</v>
      </c>
      <c r="DF343" s="5" t="e">
        <v>#N/A</v>
      </c>
      <c r="DG343" s="5" t="e">
        <v>#N/A</v>
      </c>
      <c r="DH343" s="5" t="e">
        <v>#N/A</v>
      </c>
      <c r="DI343" s="5" t="e">
        <v>#N/A</v>
      </c>
    </row>
    <row r="344" spans="1:113" s="5" customFormat="1">
      <c r="A344"/>
      <c r="B344"/>
      <c r="C344" s="44"/>
      <c r="D344" s="44"/>
      <c r="E344" s="44"/>
      <c r="F344" s="44"/>
      <c r="G344" s="44"/>
      <c r="H344" s="44"/>
      <c r="I344" s="44"/>
      <c r="J344" s="44"/>
      <c r="K344" s="44"/>
      <c r="L344" s="44"/>
      <c r="M344" t="str">
        <f t="shared" si="39"/>
        <v>"//*[@class=\"</v>
      </c>
      <c r="N344" t="s">
        <v>31</v>
      </c>
      <c r="O344" s="4" t="str">
        <f t="shared" si="42"/>
        <v>click</v>
      </c>
      <c r="P344" t="str">
        <f t="shared" si="43"/>
        <v>();</v>
      </c>
      <c r="Q344" t="str">
        <f t="shared" si="44"/>
        <v/>
      </c>
      <c r="R344" t="str">
        <f t="shared" si="40"/>
        <v/>
      </c>
      <c r="S344" s="1" t="str">
        <f t="shared" si="41"/>
        <v/>
      </c>
      <c r="T344"/>
      <c r="U344"/>
      <c r="V344"/>
      <c r="W344"/>
      <c r="X344"/>
      <c r="Y344"/>
      <c r="Z344">
        <v>335</v>
      </c>
      <c r="AA344"/>
      <c r="AB344"/>
      <c r="AC344" s="6"/>
      <c r="AD344" s="6"/>
      <c r="AE344" s="6"/>
      <c r="AF344" s="6"/>
      <c r="AG344" s="4"/>
      <c r="AH344" s="4"/>
      <c r="AI344" s="4"/>
      <c r="AJ344" s="4"/>
      <c r="AK344" s="4"/>
      <c r="AL344" s="4"/>
      <c r="AM344" s="4"/>
      <c r="AN344" s="4"/>
      <c r="AO344" s="4"/>
      <c r="AP344" s="4"/>
      <c r="AQ344" s="4"/>
      <c r="AR344" s="4"/>
      <c r="AS344" s="4"/>
      <c r="AT344" s="4"/>
      <c r="AU344" s="4"/>
      <c r="AV344" s="4"/>
      <c r="AW344" s="4"/>
      <c r="AX344" s="4"/>
      <c r="AY344" s="4"/>
      <c r="AZ344" s="4"/>
      <c r="BA344" s="4"/>
      <c r="BB344" s="3"/>
      <c r="BC344" s="3"/>
      <c r="CT344" s="5" t="e">
        <v>#N/A</v>
      </c>
      <c r="CU344" s="5" t="e">
        <v>#N/A</v>
      </c>
      <c r="CV344" s="5" t="e">
        <v>#N/A</v>
      </c>
      <c r="CW344" s="5" t="e">
        <v>#N/A</v>
      </c>
      <c r="CX344" s="5" t="e">
        <v>#N/A</v>
      </c>
      <c r="CY344" s="5" t="e">
        <v>#N/A</v>
      </c>
      <c r="CZ344" s="5" t="e">
        <v>#N/A</v>
      </c>
      <c r="DA344" s="5" t="e">
        <v>#N/A</v>
      </c>
      <c r="DB344" s="5" t="e">
        <v>#N/A</v>
      </c>
      <c r="DC344" s="5" t="e">
        <v>#N/A</v>
      </c>
      <c r="DD344" s="5" t="e">
        <v>#N/A</v>
      </c>
      <c r="DE344" s="5" t="e">
        <v>#N/A</v>
      </c>
      <c r="DF344" s="5" t="e">
        <v>#N/A</v>
      </c>
      <c r="DG344" s="5" t="e">
        <v>#N/A</v>
      </c>
      <c r="DH344" s="5" t="e">
        <v>#N/A</v>
      </c>
      <c r="DI344" s="5" t="e">
        <v>#N/A</v>
      </c>
    </row>
    <row r="345" spans="1:113" s="5" customFormat="1">
      <c r="A345"/>
      <c r="B345"/>
      <c r="C345" s="44"/>
      <c r="D345" s="44"/>
      <c r="E345" s="44"/>
      <c r="F345" s="44"/>
      <c r="G345" s="44"/>
      <c r="H345" s="44"/>
      <c r="I345" s="44"/>
      <c r="J345" s="44"/>
      <c r="K345" s="44"/>
      <c r="L345" s="44"/>
      <c r="M345" t="str">
        <f t="shared" si="39"/>
        <v>"//*[@class=\"</v>
      </c>
      <c r="N345" t="s">
        <v>31</v>
      </c>
      <c r="O345" s="4" t="str">
        <f t="shared" si="42"/>
        <v>click</v>
      </c>
      <c r="P345" t="str">
        <f t="shared" si="43"/>
        <v>();</v>
      </c>
      <c r="Q345" t="str">
        <f t="shared" si="44"/>
        <v/>
      </c>
      <c r="R345" t="str">
        <f t="shared" si="40"/>
        <v/>
      </c>
      <c r="S345" s="1" t="str">
        <f t="shared" si="41"/>
        <v/>
      </c>
      <c r="T345"/>
      <c r="U345"/>
      <c r="V345"/>
      <c r="W345"/>
      <c r="X345"/>
      <c r="Y345"/>
      <c r="Z345">
        <v>336</v>
      </c>
      <c r="AA345"/>
      <c r="AB345"/>
      <c r="AC345" s="6"/>
      <c r="AD345" s="6"/>
      <c r="AE345" s="6"/>
      <c r="AF345" s="6"/>
      <c r="AG345" s="4"/>
      <c r="AH345" s="4"/>
      <c r="AI345" s="4"/>
      <c r="AJ345" s="4"/>
      <c r="AK345" s="4"/>
      <c r="AL345" s="4"/>
      <c r="AM345" s="4"/>
      <c r="AN345" s="4"/>
      <c r="AO345" s="4"/>
      <c r="AP345" s="4"/>
      <c r="AQ345" s="4"/>
      <c r="AR345" s="4"/>
      <c r="AS345" s="4"/>
      <c r="AT345" s="4"/>
      <c r="AU345" s="4"/>
      <c r="AV345" s="4"/>
      <c r="AW345" s="4"/>
      <c r="AX345" s="4"/>
      <c r="AY345" s="4"/>
      <c r="AZ345" s="4"/>
      <c r="BA345" s="4"/>
      <c r="BB345" s="3"/>
      <c r="BC345" s="3"/>
      <c r="CT345" s="5" t="e">
        <v>#N/A</v>
      </c>
      <c r="CU345" s="5" t="e">
        <v>#N/A</v>
      </c>
      <c r="CV345" s="5" t="e">
        <v>#N/A</v>
      </c>
      <c r="CW345" s="5" t="e">
        <v>#N/A</v>
      </c>
      <c r="CX345" s="5" t="e">
        <v>#N/A</v>
      </c>
      <c r="CY345" s="5" t="e">
        <v>#N/A</v>
      </c>
      <c r="CZ345" s="5" t="e">
        <v>#N/A</v>
      </c>
      <c r="DA345" s="5" t="e">
        <v>#N/A</v>
      </c>
      <c r="DB345" s="5" t="e">
        <v>#N/A</v>
      </c>
      <c r="DC345" s="5" t="e">
        <v>#N/A</v>
      </c>
      <c r="DD345" s="5" t="e">
        <v>#N/A</v>
      </c>
      <c r="DE345" s="5" t="e">
        <v>#N/A</v>
      </c>
      <c r="DF345" s="5" t="e">
        <v>#N/A</v>
      </c>
      <c r="DG345" s="5" t="e">
        <v>#N/A</v>
      </c>
      <c r="DH345" s="5" t="e">
        <v>#N/A</v>
      </c>
      <c r="DI345" s="5" t="e">
        <v>#N/A</v>
      </c>
    </row>
    <row r="346" spans="1:113" s="5" customFormat="1">
      <c r="A346"/>
      <c r="B346"/>
      <c r="C346" s="44"/>
      <c r="D346" s="44"/>
      <c r="E346" s="44"/>
      <c r="F346" s="44"/>
      <c r="G346" s="44"/>
      <c r="H346" s="44"/>
      <c r="I346" s="44"/>
      <c r="J346" s="44"/>
      <c r="K346" s="44"/>
      <c r="L346" s="44"/>
      <c r="M346" t="str">
        <f t="shared" si="39"/>
        <v>"//*[@class=\"</v>
      </c>
      <c r="N346" t="s">
        <v>31</v>
      </c>
      <c r="O346" s="4" t="str">
        <f t="shared" si="42"/>
        <v>click</v>
      </c>
      <c r="P346" t="str">
        <f t="shared" si="43"/>
        <v>();</v>
      </c>
      <c r="Q346" t="str">
        <f t="shared" si="44"/>
        <v/>
      </c>
      <c r="R346" t="str">
        <f t="shared" si="40"/>
        <v/>
      </c>
      <c r="S346" s="1" t="str">
        <f t="shared" si="41"/>
        <v/>
      </c>
      <c r="T346"/>
      <c r="U346"/>
      <c r="V346"/>
      <c r="W346"/>
      <c r="X346"/>
      <c r="Y346"/>
      <c r="Z346">
        <v>337</v>
      </c>
      <c r="AA346"/>
      <c r="AB346"/>
      <c r="AC346" s="6"/>
      <c r="AD346" s="6"/>
      <c r="AE346" s="6"/>
      <c r="AF346" s="6"/>
      <c r="AG346" s="4"/>
      <c r="AH346" s="4"/>
      <c r="AI346" s="4"/>
      <c r="AJ346" s="4"/>
      <c r="AK346" s="4"/>
      <c r="AL346" s="4"/>
      <c r="AM346" s="4"/>
      <c r="AN346" s="4"/>
      <c r="AO346" s="4"/>
      <c r="AP346" s="4"/>
      <c r="AQ346" s="4"/>
      <c r="AR346" s="4"/>
      <c r="AS346" s="4"/>
      <c r="AT346" s="4"/>
      <c r="AU346" s="4"/>
      <c r="AV346" s="4"/>
      <c r="AW346" s="4"/>
      <c r="AX346" s="4"/>
      <c r="AY346" s="4"/>
      <c r="AZ346" s="4"/>
      <c r="BA346" s="4"/>
      <c r="BB346" s="3"/>
      <c r="BC346" s="3"/>
      <c r="CT346" s="5" t="e">
        <v>#N/A</v>
      </c>
      <c r="CU346" s="5" t="e">
        <v>#N/A</v>
      </c>
      <c r="CV346" s="5" t="e">
        <v>#N/A</v>
      </c>
      <c r="CW346" s="5" t="e">
        <v>#N/A</v>
      </c>
      <c r="CX346" s="5" t="e">
        <v>#N/A</v>
      </c>
      <c r="CY346" s="5" t="e">
        <v>#N/A</v>
      </c>
      <c r="CZ346" s="5" t="e">
        <v>#N/A</v>
      </c>
      <c r="DA346" s="5" t="e">
        <v>#N/A</v>
      </c>
      <c r="DB346" s="5" t="e">
        <v>#N/A</v>
      </c>
      <c r="DC346" s="5" t="e">
        <v>#N/A</v>
      </c>
      <c r="DD346" s="5" t="e">
        <v>#N/A</v>
      </c>
      <c r="DE346" s="5" t="e">
        <v>#N/A</v>
      </c>
      <c r="DF346" s="5" t="e">
        <v>#N/A</v>
      </c>
      <c r="DG346" s="5" t="e">
        <v>#N/A</v>
      </c>
      <c r="DH346" s="5" t="e">
        <v>#N/A</v>
      </c>
      <c r="DI346" s="5" t="e">
        <v>#N/A</v>
      </c>
    </row>
    <row r="347" spans="1:113" s="5" customFormat="1">
      <c r="A347"/>
      <c r="B347"/>
      <c r="C347" s="44"/>
      <c r="D347" s="44"/>
      <c r="E347" s="44"/>
      <c r="F347" s="44"/>
      <c r="G347" s="44"/>
      <c r="H347" s="44"/>
      <c r="I347" s="44"/>
      <c r="J347" s="44"/>
      <c r="K347" s="44"/>
      <c r="L347" s="44"/>
      <c r="M347" t="str">
        <f t="shared" si="39"/>
        <v>"//*[@class=\"</v>
      </c>
      <c r="N347" t="s">
        <v>31</v>
      </c>
      <c r="O347" s="4" t="str">
        <f t="shared" si="42"/>
        <v>click</v>
      </c>
      <c r="P347" t="str">
        <f t="shared" si="43"/>
        <v>();</v>
      </c>
      <c r="Q347" t="str">
        <f t="shared" si="44"/>
        <v/>
      </c>
      <c r="R347" t="str">
        <f t="shared" si="40"/>
        <v/>
      </c>
      <c r="S347" s="1" t="str">
        <f t="shared" si="41"/>
        <v/>
      </c>
      <c r="T347"/>
      <c r="U347"/>
      <c r="V347"/>
      <c r="W347"/>
      <c r="X347"/>
      <c r="Y347"/>
      <c r="Z347">
        <v>338</v>
      </c>
      <c r="AA347"/>
      <c r="AB347"/>
      <c r="AC347" s="6"/>
      <c r="AD347" s="6"/>
      <c r="AE347" s="6"/>
      <c r="AF347" s="6"/>
      <c r="AG347" s="4"/>
      <c r="AH347" s="4"/>
      <c r="AI347" s="4"/>
      <c r="AJ347" s="4"/>
      <c r="AK347" s="4"/>
      <c r="AL347" s="4"/>
      <c r="AM347" s="4"/>
      <c r="AN347" s="4"/>
      <c r="AO347" s="4"/>
      <c r="AP347" s="4"/>
      <c r="AQ347" s="4"/>
      <c r="AR347" s="4"/>
      <c r="AS347" s="4"/>
      <c r="AT347" s="4"/>
      <c r="AU347" s="4"/>
      <c r="AV347" s="4"/>
      <c r="AW347" s="4"/>
      <c r="AX347" s="4"/>
      <c r="AY347" s="4"/>
      <c r="AZ347" s="4"/>
      <c r="BA347" s="4"/>
      <c r="BB347" s="3"/>
      <c r="BC347" s="3"/>
      <c r="CT347" s="5" t="e">
        <v>#N/A</v>
      </c>
      <c r="CU347" s="5" t="e">
        <v>#N/A</v>
      </c>
      <c r="CV347" s="5" t="e">
        <v>#N/A</v>
      </c>
      <c r="CW347" s="5" t="e">
        <v>#N/A</v>
      </c>
      <c r="CX347" s="5" t="e">
        <v>#N/A</v>
      </c>
      <c r="CY347" s="5" t="e">
        <v>#N/A</v>
      </c>
      <c r="CZ347" s="5" t="e">
        <v>#N/A</v>
      </c>
      <c r="DA347" s="5" t="e">
        <v>#N/A</v>
      </c>
      <c r="DB347" s="5" t="e">
        <v>#N/A</v>
      </c>
      <c r="DC347" s="5" t="e">
        <v>#N/A</v>
      </c>
      <c r="DD347" s="5" t="e">
        <v>#N/A</v>
      </c>
      <c r="DE347" s="5" t="e">
        <v>#N/A</v>
      </c>
      <c r="DF347" s="5" t="e">
        <v>#N/A</v>
      </c>
      <c r="DG347" s="5" t="e">
        <v>#N/A</v>
      </c>
      <c r="DH347" s="5" t="e">
        <v>#N/A</v>
      </c>
      <c r="DI347" s="5" t="e">
        <v>#N/A</v>
      </c>
    </row>
    <row r="348" spans="1:113" s="5" customFormat="1">
      <c r="A348"/>
      <c r="B348"/>
      <c r="C348" s="44"/>
      <c r="D348" s="44"/>
      <c r="E348" s="44"/>
      <c r="F348" s="44"/>
      <c r="G348" s="44"/>
      <c r="H348" s="44"/>
      <c r="I348" s="44"/>
      <c r="J348" s="44"/>
      <c r="K348" s="44"/>
      <c r="L348" s="44"/>
      <c r="M348" t="str">
        <f t="shared" si="39"/>
        <v>"//*[@class=\"</v>
      </c>
      <c r="N348" t="s">
        <v>31</v>
      </c>
      <c r="O348" s="4" t="str">
        <f t="shared" si="42"/>
        <v>click</v>
      </c>
      <c r="P348" t="str">
        <f t="shared" si="43"/>
        <v>();</v>
      </c>
      <c r="Q348" t="str">
        <f t="shared" si="44"/>
        <v/>
      </c>
      <c r="R348" t="str">
        <f t="shared" si="40"/>
        <v/>
      </c>
      <c r="S348" s="1" t="str">
        <f t="shared" si="41"/>
        <v/>
      </c>
      <c r="T348"/>
      <c r="U348"/>
      <c r="V348"/>
      <c r="W348"/>
      <c r="X348"/>
      <c r="Y348"/>
      <c r="Z348">
        <v>339</v>
      </c>
      <c r="AA348"/>
      <c r="AB348"/>
      <c r="AC348" s="6"/>
      <c r="AD348" s="6"/>
      <c r="AE348" s="6"/>
      <c r="AF348" s="6"/>
      <c r="AG348" s="4"/>
      <c r="AH348" s="4"/>
      <c r="AI348" s="4"/>
      <c r="AJ348" s="4"/>
      <c r="AK348" s="4"/>
      <c r="AL348" s="4"/>
      <c r="AM348" s="4"/>
      <c r="AN348" s="4"/>
      <c r="AO348" s="4"/>
      <c r="AP348" s="4"/>
      <c r="AQ348" s="4"/>
      <c r="AR348" s="4"/>
      <c r="AS348" s="4"/>
      <c r="AT348" s="4"/>
      <c r="AU348" s="4"/>
      <c r="AV348" s="4"/>
      <c r="AW348" s="4"/>
      <c r="AX348" s="4"/>
      <c r="AY348" s="4"/>
      <c r="AZ348" s="4"/>
      <c r="BA348" s="4"/>
      <c r="BB348" s="3"/>
      <c r="BC348" s="3"/>
      <c r="CT348" s="5" t="e">
        <v>#N/A</v>
      </c>
      <c r="CU348" s="5" t="e">
        <v>#N/A</v>
      </c>
      <c r="CV348" s="5" t="e">
        <v>#N/A</v>
      </c>
      <c r="CW348" s="5" t="e">
        <v>#N/A</v>
      </c>
      <c r="CX348" s="5" t="e">
        <v>#N/A</v>
      </c>
      <c r="CY348" s="5" t="e">
        <v>#N/A</v>
      </c>
      <c r="CZ348" s="5" t="e">
        <v>#N/A</v>
      </c>
      <c r="DA348" s="5" t="e">
        <v>#N/A</v>
      </c>
      <c r="DB348" s="5" t="e">
        <v>#N/A</v>
      </c>
      <c r="DC348" s="5" t="e">
        <v>#N/A</v>
      </c>
      <c r="DD348" s="5" t="e">
        <v>#N/A</v>
      </c>
      <c r="DE348" s="5" t="e">
        <v>#N/A</v>
      </c>
      <c r="DF348" s="5" t="e">
        <v>#N/A</v>
      </c>
      <c r="DG348" s="5" t="e">
        <v>#N/A</v>
      </c>
      <c r="DH348" s="5" t="e">
        <v>#N/A</v>
      </c>
      <c r="DI348" s="5" t="e">
        <v>#N/A</v>
      </c>
    </row>
    <row r="349" spans="1:113" s="5" customFormat="1">
      <c r="A349"/>
      <c r="B349"/>
      <c r="C349" s="44"/>
      <c r="D349" s="44"/>
      <c r="E349" s="44"/>
      <c r="F349" s="44"/>
      <c r="G349" s="44"/>
      <c r="H349" s="44"/>
      <c r="I349" s="44"/>
      <c r="J349" s="44"/>
      <c r="K349" s="44"/>
      <c r="L349" s="44"/>
      <c r="M349" t="str">
        <f t="shared" si="39"/>
        <v>"//*[@class=\"</v>
      </c>
      <c r="N349" t="s">
        <v>31</v>
      </c>
      <c r="O349" s="4" t="str">
        <f t="shared" si="42"/>
        <v>click</v>
      </c>
      <c r="P349" t="str">
        <f t="shared" si="43"/>
        <v>();</v>
      </c>
      <c r="Q349" t="str">
        <f t="shared" si="44"/>
        <v/>
      </c>
      <c r="R349" t="str">
        <f t="shared" si="40"/>
        <v/>
      </c>
      <c r="S349" s="1" t="str">
        <f t="shared" si="41"/>
        <v/>
      </c>
      <c r="T349"/>
      <c r="U349"/>
      <c r="V349"/>
      <c r="W349"/>
      <c r="X349"/>
      <c r="Y349"/>
      <c r="Z349">
        <v>340</v>
      </c>
      <c r="AA349"/>
      <c r="AB349"/>
      <c r="AC349" s="6"/>
      <c r="AD349" s="6"/>
      <c r="AE349" s="6"/>
      <c r="AF349" s="6"/>
      <c r="AG349" s="4"/>
      <c r="AH349" s="4"/>
      <c r="AI349" s="4"/>
      <c r="AJ349" s="4"/>
      <c r="AK349" s="4"/>
      <c r="AL349" s="4"/>
      <c r="AM349" s="4"/>
      <c r="AN349" s="4"/>
      <c r="AO349" s="4"/>
      <c r="AP349" s="4"/>
      <c r="AQ349" s="4"/>
      <c r="AR349" s="4"/>
      <c r="AS349" s="4"/>
      <c r="AT349" s="4"/>
      <c r="AU349" s="4"/>
      <c r="AV349" s="4"/>
      <c r="AW349" s="4"/>
      <c r="AX349" s="4"/>
      <c r="AY349" s="4"/>
      <c r="AZ349" s="4"/>
      <c r="BA349" s="4"/>
      <c r="BB349" s="3"/>
      <c r="BC349" s="3"/>
      <c r="CT349" s="5" t="e">
        <v>#N/A</v>
      </c>
      <c r="CU349" s="5" t="e">
        <v>#N/A</v>
      </c>
      <c r="CV349" s="5" t="e">
        <v>#N/A</v>
      </c>
      <c r="CW349" s="5" t="e">
        <v>#N/A</v>
      </c>
      <c r="CX349" s="5" t="e">
        <v>#N/A</v>
      </c>
      <c r="CY349" s="5" t="e">
        <v>#N/A</v>
      </c>
      <c r="CZ349" s="5" t="e">
        <v>#N/A</v>
      </c>
      <c r="DA349" s="5" t="e">
        <v>#N/A</v>
      </c>
      <c r="DB349" s="5" t="e">
        <v>#N/A</v>
      </c>
      <c r="DC349" s="5" t="e">
        <v>#N/A</v>
      </c>
      <c r="DD349" s="5" t="e">
        <v>#N/A</v>
      </c>
      <c r="DE349" s="5" t="e">
        <v>#N/A</v>
      </c>
      <c r="DF349" s="5" t="e">
        <v>#N/A</v>
      </c>
      <c r="DG349" s="5" t="e">
        <v>#N/A</v>
      </c>
      <c r="DH349" s="5" t="e">
        <v>#N/A</v>
      </c>
      <c r="DI349" s="5" t="e">
        <v>#N/A</v>
      </c>
    </row>
    <row r="350" spans="1:113" s="5" customFormat="1">
      <c r="A350"/>
      <c r="B350"/>
      <c r="C350" s="44"/>
      <c r="D350" s="44"/>
      <c r="E350" s="44"/>
      <c r="F350" s="44"/>
      <c r="G350" s="44"/>
      <c r="H350" s="44"/>
      <c r="I350" s="44"/>
      <c r="J350" s="44"/>
      <c r="K350" s="44"/>
      <c r="L350" s="44"/>
      <c r="M350" t="str">
        <f t="shared" si="39"/>
        <v>"//*[@class=\"</v>
      </c>
      <c r="N350" t="s">
        <v>31</v>
      </c>
      <c r="O350" s="4" t="str">
        <f t="shared" si="42"/>
        <v>click</v>
      </c>
      <c r="P350" t="str">
        <f t="shared" si="43"/>
        <v>();</v>
      </c>
      <c r="Q350" t="str">
        <f t="shared" si="44"/>
        <v/>
      </c>
      <c r="R350" t="str">
        <f t="shared" si="40"/>
        <v/>
      </c>
      <c r="S350" s="1" t="str">
        <f t="shared" si="41"/>
        <v/>
      </c>
      <c r="T350"/>
      <c r="U350"/>
      <c r="V350"/>
      <c r="W350"/>
      <c r="X350"/>
      <c r="Y350"/>
      <c r="Z350">
        <v>341</v>
      </c>
      <c r="AA350"/>
      <c r="AB350"/>
      <c r="AC350" s="6"/>
      <c r="AD350" s="6"/>
      <c r="AE350" s="6"/>
      <c r="AF350" s="6"/>
      <c r="AG350" s="4"/>
      <c r="AH350" s="4"/>
      <c r="AI350" s="4"/>
      <c r="AJ350" s="4"/>
      <c r="AK350" s="4"/>
      <c r="AL350" s="4"/>
      <c r="AM350" s="4"/>
      <c r="AN350" s="4"/>
      <c r="AO350" s="4"/>
      <c r="AP350" s="4"/>
      <c r="AQ350" s="4"/>
      <c r="AR350" s="4"/>
      <c r="AS350" s="4"/>
      <c r="AT350" s="4"/>
      <c r="AU350" s="4"/>
      <c r="AV350" s="4"/>
      <c r="AW350" s="4"/>
      <c r="AX350" s="4"/>
      <c r="AY350" s="4"/>
      <c r="AZ350" s="4"/>
      <c r="BA350" s="4"/>
      <c r="BB350" s="3"/>
      <c r="BC350" s="3"/>
      <c r="CT350" s="5" t="e">
        <v>#N/A</v>
      </c>
      <c r="CU350" s="5" t="e">
        <v>#N/A</v>
      </c>
      <c r="CV350" s="5" t="e">
        <v>#N/A</v>
      </c>
      <c r="CW350" s="5" t="e">
        <v>#N/A</v>
      </c>
      <c r="CX350" s="5" t="e">
        <v>#N/A</v>
      </c>
      <c r="CY350" s="5" t="e">
        <v>#N/A</v>
      </c>
      <c r="CZ350" s="5" t="e">
        <v>#N/A</v>
      </c>
      <c r="DA350" s="5" t="e">
        <v>#N/A</v>
      </c>
      <c r="DB350" s="5" t="e">
        <v>#N/A</v>
      </c>
      <c r="DC350" s="5" t="e">
        <v>#N/A</v>
      </c>
      <c r="DD350" s="5" t="e">
        <v>#N/A</v>
      </c>
      <c r="DE350" s="5" t="e">
        <v>#N/A</v>
      </c>
      <c r="DF350" s="5" t="e">
        <v>#N/A</v>
      </c>
      <c r="DG350" s="5" t="e">
        <v>#N/A</v>
      </c>
      <c r="DH350" s="5" t="e">
        <v>#N/A</v>
      </c>
      <c r="DI350" s="5" t="e">
        <v>#N/A</v>
      </c>
    </row>
    <row r="351" spans="1:113" s="5" customFormat="1">
      <c r="A351"/>
      <c r="B351"/>
      <c r="C351" s="44"/>
      <c r="D351" s="44"/>
      <c r="E351" s="44"/>
      <c r="F351" s="44"/>
      <c r="G351" s="44"/>
      <c r="H351" s="44"/>
      <c r="I351" s="44"/>
      <c r="J351" s="44"/>
      <c r="K351" s="44"/>
      <c r="L351" s="44"/>
      <c r="M351" t="str">
        <f t="shared" si="39"/>
        <v>"//*[@class=\"</v>
      </c>
      <c r="N351" t="s">
        <v>31</v>
      </c>
      <c r="O351" s="4" t="str">
        <f t="shared" si="42"/>
        <v>click</v>
      </c>
      <c r="P351" t="str">
        <f t="shared" si="43"/>
        <v>();</v>
      </c>
      <c r="Q351" t="str">
        <f t="shared" si="44"/>
        <v/>
      </c>
      <c r="R351" t="str">
        <f t="shared" si="40"/>
        <v/>
      </c>
      <c r="S351" s="1" t="str">
        <f t="shared" si="41"/>
        <v/>
      </c>
      <c r="T351"/>
      <c r="U351"/>
      <c r="V351"/>
      <c r="W351"/>
      <c r="X351"/>
      <c r="Y351"/>
      <c r="Z351">
        <v>342</v>
      </c>
      <c r="AA351"/>
      <c r="AB351"/>
      <c r="AC351" s="6"/>
      <c r="AD351" s="6"/>
      <c r="AE351" s="6"/>
      <c r="AF351" s="6"/>
      <c r="AG351" s="4"/>
      <c r="AH351" s="4"/>
      <c r="AI351" s="4"/>
      <c r="AJ351" s="4"/>
      <c r="AK351" s="4"/>
      <c r="AL351" s="4"/>
      <c r="AM351" s="4"/>
      <c r="AN351" s="4"/>
      <c r="AO351" s="4"/>
      <c r="AP351" s="4"/>
      <c r="AQ351" s="4"/>
      <c r="AR351" s="4"/>
      <c r="AS351" s="4"/>
      <c r="AT351" s="4"/>
      <c r="AU351" s="4"/>
      <c r="AV351" s="4"/>
      <c r="AW351" s="4"/>
      <c r="AX351" s="4"/>
      <c r="AY351" s="4"/>
      <c r="AZ351" s="4"/>
      <c r="BA351" s="4"/>
      <c r="BB351" s="3"/>
      <c r="BC351" s="3"/>
      <c r="CT351" s="5" t="e">
        <v>#N/A</v>
      </c>
      <c r="CU351" s="5" t="e">
        <v>#N/A</v>
      </c>
      <c r="CV351" s="5" t="e">
        <v>#N/A</v>
      </c>
      <c r="CW351" s="5" t="e">
        <v>#N/A</v>
      </c>
      <c r="CX351" s="5" t="e">
        <v>#N/A</v>
      </c>
      <c r="CY351" s="5" t="e">
        <v>#N/A</v>
      </c>
      <c r="CZ351" s="5" t="e">
        <v>#N/A</v>
      </c>
      <c r="DA351" s="5" t="e">
        <v>#N/A</v>
      </c>
      <c r="DB351" s="5" t="e">
        <v>#N/A</v>
      </c>
      <c r="DC351" s="5" t="e">
        <v>#N/A</v>
      </c>
      <c r="DD351" s="5" t="e">
        <v>#N/A</v>
      </c>
      <c r="DE351" s="5" t="e">
        <v>#N/A</v>
      </c>
      <c r="DF351" s="5" t="e">
        <v>#N/A</v>
      </c>
      <c r="DG351" s="5" t="e">
        <v>#N/A</v>
      </c>
      <c r="DH351" s="5" t="e">
        <v>#N/A</v>
      </c>
      <c r="DI351" s="5" t="e">
        <v>#N/A</v>
      </c>
    </row>
    <row r="352" spans="1:113" s="5" customFormat="1">
      <c r="A352"/>
      <c r="B352"/>
      <c r="C352" s="44"/>
      <c r="D352" s="44"/>
      <c r="E352" s="44"/>
      <c r="F352" s="44"/>
      <c r="G352" s="44"/>
      <c r="H352" s="44"/>
      <c r="I352" s="44"/>
      <c r="J352" s="44"/>
      <c r="K352" s="44"/>
      <c r="L352" s="44"/>
      <c r="M352" t="str">
        <f t="shared" si="39"/>
        <v>"//*[@class=\"</v>
      </c>
      <c r="N352" t="s">
        <v>31</v>
      </c>
      <c r="O352" s="4" t="str">
        <f t="shared" si="42"/>
        <v>click</v>
      </c>
      <c r="P352" t="str">
        <f t="shared" si="43"/>
        <v>();</v>
      </c>
      <c r="Q352" t="str">
        <f t="shared" si="44"/>
        <v/>
      </c>
      <c r="R352" t="str">
        <f t="shared" si="40"/>
        <v/>
      </c>
      <c r="S352" s="1" t="str">
        <f t="shared" si="41"/>
        <v/>
      </c>
      <c r="T352"/>
      <c r="U352"/>
      <c r="V352"/>
      <c r="W352"/>
      <c r="X352"/>
      <c r="Y352"/>
      <c r="Z352">
        <v>343</v>
      </c>
      <c r="AA352"/>
      <c r="AB352"/>
      <c r="AC352" s="6"/>
      <c r="AD352" s="6"/>
      <c r="AE352" s="6"/>
      <c r="AF352" s="6"/>
      <c r="AG352" s="4"/>
      <c r="AH352" s="4"/>
      <c r="AI352" s="4"/>
      <c r="AJ352" s="4"/>
      <c r="AK352" s="4"/>
      <c r="AL352" s="4"/>
      <c r="AM352" s="4"/>
      <c r="AN352" s="4"/>
      <c r="AO352" s="4"/>
      <c r="AP352" s="4"/>
      <c r="AQ352" s="4"/>
      <c r="AR352" s="4"/>
      <c r="AS352" s="4"/>
      <c r="AT352" s="4"/>
      <c r="AU352" s="4"/>
      <c r="AV352" s="4"/>
      <c r="AW352" s="4"/>
      <c r="AX352" s="4"/>
      <c r="AY352" s="4"/>
      <c r="AZ352" s="4"/>
      <c r="BA352" s="4"/>
      <c r="BB352" s="3"/>
      <c r="BC352" s="3"/>
      <c r="CT352" s="5" t="e">
        <v>#N/A</v>
      </c>
      <c r="CU352" s="5" t="e">
        <v>#N/A</v>
      </c>
      <c r="CV352" s="5" t="e">
        <v>#N/A</v>
      </c>
      <c r="CW352" s="5" t="e">
        <v>#N/A</v>
      </c>
      <c r="CX352" s="5" t="e">
        <v>#N/A</v>
      </c>
      <c r="CY352" s="5" t="e">
        <v>#N/A</v>
      </c>
      <c r="CZ352" s="5" t="e">
        <v>#N/A</v>
      </c>
      <c r="DA352" s="5" t="e">
        <v>#N/A</v>
      </c>
      <c r="DB352" s="5" t="e">
        <v>#N/A</v>
      </c>
      <c r="DC352" s="5" t="e">
        <v>#N/A</v>
      </c>
      <c r="DD352" s="5" t="e">
        <v>#N/A</v>
      </c>
      <c r="DE352" s="5" t="e">
        <v>#N/A</v>
      </c>
      <c r="DF352" s="5" t="e">
        <v>#N/A</v>
      </c>
      <c r="DG352" s="5" t="e">
        <v>#N/A</v>
      </c>
      <c r="DH352" s="5" t="e">
        <v>#N/A</v>
      </c>
      <c r="DI352" s="5" t="e">
        <v>#N/A</v>
      </c>
    </row>
    <row r="353" spans="1:113" s="5" customFormat="1">
      <c r="A353"/>
      <c r="B353"/>
      <c r="C353" s="44"/>
      <c r="D353" s="44"/>
      <c r="E353" s="44"/>
      <c r="F353" s="44"/>
      <c r="G353" s="44"/>
      <c r="H353" s="44"/>
      <c r="I353" s="44"/>
      <c r="J353" s="44"/>
      <c r="K353" s="44"/>
      <c r="L353" s="44"/>
      <c r="M353" t="str">
        <f t="shared" si="39"/>
        <v>"//*[@class=\"</v>
      </c>
      <c r="N353" t="s">
        <v>31</v>
      </c>
      <c r="O353" s="4" t="str">
        <f t="shared" si="42"/>
        <v>click</v>
      </c>
      <c r="P353" t="str">
        <f t="shared" si="43"/>
        <v>();</v>
      </c>
      <c r="Q353" t="str">
        <f t="shared" si="44"/>
        <v/>
      </c>
      <c r="R353" t="str">
        <f t="shared" si="40"/>
        <v/>
      </c>
      <c r="S353" s="1" t="str">
        <f t="shared" si="41"/>
        <v/>
      </c>
      <c r="T353"/>
      <c r="U353"/>
      <c r="V353"/>
      <c r="W353"/>
      <c r="X353"/>
      <c r="Y353"/>
      <c r="Z353">
        <v>344</v>
      </c>
      <c r="AA353"/>
      <c r="AB353"/>
      <c r="AC353" s="6"/>
      <c r="AD353" s="6"/>
      <c r="AE353" s="6"/>
      <c r="AF353" s="6"/>
      <c r="AG353" s="4"/>
      <c r="AH353" s="4"/>
      <c r="AI353" s="4"/>
      <c r="AJ353" s="4"/>
      <c r="AK353" s="4"/>
      <c r="AL353" s="4"/>
      <c r="AM353" s="4"/>
      <c r="AN353" s="4"/>
      <c r="AO353" s="4"/>
      <c r="AP353" s="4"/>
      <c r="AQ353" s="4"/>
      <c r="AR353" s="4"/>
      <c r="AS353" s="4"/>
      <c r="AT353" s="4"/>
      <c r="AU353" s="4"/>
      <c r="AV353" s="4"/>
      <c r="AW353" s="4"/>
      <c r="AX353" s="4"/>
      <c r="AY353" s="4"/>
      <c r="AZ353" s="4"/>
      <c r="BA353" s="4"/>
      <c r="BB353" s="3"/>
      <c r="BC353" s="3"/>
      <c r="CT353" s="5" t="e">
        <v>#N/A</v>
      </c>
      <c r="CU353" s="5" t="e">
        <v>#N/A</v>
      </c>
      <c r="CV353" s="5" t="e">
        <v>#N/A</v>
      </c>
      <c r="CW353" s="5" t="e">
        <v>#N/A</v>
      </c>
      <c r="CX353" s="5" t="e">
        <v>#N/A</v>
      </c>
      <c r="CY353" s="5" t="e">
        <v>#N/A</v>
      </c>
      <c r="CZ353" s="5" t="e">
        <v>#N/A</v>
      </c>
      <c r="DA353" s="5" t="e">
        <v>#N/A</v>
      </c>
      <c r="DB353" s="5" t="e">
        <v>#N/A</v>
      </c>
      <c r="DC353" s="5" t="e">
        <v>#N/A</v>
      </c>
      <c r="DD353" s="5" t="e">
        <v>#N/A</v>
      </c>
      <c r="DE353" s="5" t="e">
        <v>#N/A</v>
      </c>
      <c r="DF353" s="5" t="e">
        <v>#N/A</v>
      </c>
      <c r="DG353" s="5" t="e">
        <v>#N/A</v>
      </c>
      <c r="DH353" s="5" t="e">
        <v>#N/A</v>
      </c>
      <c r="DI353" s="5" t="e">
        <v>#N/A</v>
      </c>
    </row>
    <row r="354" spans="1:113" s="5" customFormat="1">
      <c r="A354"/>
      <c r="B354"/>
      <c r="C354" s="44"/>
      <c r="D354" s="44"/>
      <c r="E354" s="44"/>
      <c r="F354" s="44"/>
      <c r="G354" s="44"/>
      <c r="H354" s="44"/>
      <c r="I354" s="44"/>
      <c r="J354" s="44"/>
      <c r="K354" s="44"/>
      <c r="L354" s="44"/>
      <c r="M354" t="str">
        <f t="shared" si="39"/>
        <v>"//*[@class=\"</v>
      </c>
      <c r="N354" t="s">
        <v>31</v>
      </c>
      <c r="O354" s="4" t="str">
        <f t="shared" si="42"/>
        <v>click</v>
      </c>
      <c r="P354" t="str">
        <f t="shared" si="43"/>
        <v>();</v>
      </c>
      <c r="Q354" t="str">
        <f t="shared" si="44"/>
        <v/>
      </c>
      <c r="R354" t="str">
        <f t="shared" si="40"/>
        <v/>
      </c>
      <c r="S354" s="1" t="str">
        <f t="shared" si="41"/>
        <v/>
      </c>
      <c r="T354"/>
      <c r="U354"/>
      <c r="V354"/>
      <c r="W354"/>
      <c r="X354"/>
      <c r="Y354"/>
      <c r="Z354">
        <v>345</v>
      </c>
      <c r="AA354"/>
      <c r="AB354"/>
      <c r="AC354" s="6"/>
      <c r="AD354" s="6"/>
      <c r="AE354" s="6"/>
      <c r="AF354" s="6"/>
      <c r="AG354" s="4"/>
      <c r="AH354" s="4"/>
      <c r="AI354" s="4"/>
      <c r="AJ354" s="4"/>
      <c r="AK354" s="4"/>
      <c r="AL354" s="4"/>
      <c r="AM354" s="4"/>
      <c r="AN354" s="4"/>
      <c r="AO354" s="4"/>
      <c r="AP354" s="4"/>
      <c r="AQ354" s="4"/>
      <c r="AR354" s="4"/>
      <c r="AS354" s="4"/>
      <c r="AT354" s="4"/>
      <c r="AU354" s="4"/>
      <c r="AV354" s="4"/>
      <c r="AW354" s="4"/>
      <c r="AX354" s="4"/>
      <c r="AY354" s="4"/>
      <c r="AZ354" s="4"/>
      <c r="BA354" s="4"/>
      <c r="BB354" s="3"/>
      <c r="BC354" s="3"/>
      <c r="CT354" s="5" t="e">
        <v>#N/A</v>
      </c>
      <c r="CU354" s="5" t="e">
        <v>#N/A</v>
      </c>
      <c r="CV354" s="5" t="e">
        <v>#N/A</v>
      </c>
      <c r="CW354" s="5" t="e">
        <v>#N/A</v>
      </c>
      <c r="CX354" s="5" t="e">
        <v>#N/A</v>
      </c>
      <c r="CY354" s="5" t="e">
        <v>#N/A</v>
      </c>
      <c r="CZ354" s="5" t="e">
        <v>#N/A</v>
      </c>
      <c r="DA354" s="5" t="e">
        <v>#N/A</v>
      </c>
      <c r="DB354" s="5" t="e">
        <v>#N/A</v>
      </c>
      <c r="DC354" s="5" t="e">
        <v>#N/A</v>
      </c>
      <c r="DD354" s="5" t="e">
        <v>#N/A</v>
      </c>
      <c r="DE354" s="5" t="e">
        <v>#N/A</v>
      </c>
      <c r="DF354" s="5" t="e">
        <v>#N/A</v>
      </c>
      <c r="DG354" s="5" t="e">
        <v>#N/A</v>
      </c>
      <c r="DH354" s="5" t="e">
        <v>#N/A</v>
      </c>
      <c r="DI354" s="5" t="e">
        <v>#N/A</v>
      </c>
    </row>
    <row r="355" spans="1:113" s="5" customFormat="1">
      <c r="A355"/>
      <c r="B355"/>
      <c r="C355" s="44"/>
      <c r="D355" s="44"/>
      <c r="E355" s="44"/>
      <c r="F355" s="44"/>
      <c r="G355" s="44"/>
      <c r="H355" s="44"/>
      <c r="I355" s="44"/>
      <c r="J355" s="44"/>
      <c r="K355" s="44"/>
      <c r="L355" s="44"/>
      <c r="M355" t="str">
        <f t="shared" si="39"/>
        <v>"//*[@class=\"</v>
      </c>
      <c r="N355" t="s">
        <v>31</v>
      </c>
      <c r="O355" s="4" t="str">
        <f t="shared" si="42"/>
        <v>click</v>
      </c>
      <c r="P355" t="str">
        <f t="shared" si="43"/>
        <v>();</v>
      </c>
      <c r="Q355" t="str">
        <f t="shared" si="44"/>
        <v/>
      </c>
      <c r="R355" t="str">
        <f t="shared" si="40"/>
        <v/>
      </c>
      <c r="S355" s="1" t="str">
        <f t="shared" si="41"/>
        <v/>
      </c>
      <c r="T355"/>
      <c r="U355"/>
      <c r="V355"/>
      <c r="W355"/>
      <c r="X355"/>
      <c r="Y355"/>
      <c r="Z355">
        <v>346</v>
      </c>
      <c r="AA355"/>
      <c r="AB355"/>
      <c r="AC355" s="6"/>
      <c r="AD355" s="6"/>
      <c r="AE355" s="6"/>
      <c r="AF355" s="6"/>
      <c r="AG355" s="4"/>
      <c r="AH355" s="4"/>
      <c r="AI355" s="4"/>
      <c r="AJ355" s="4"/>
      <c r="AK355" s="4"/>
      <c r="AL355" s="4"/>
      <c r="AM355" s="4"/>
      <c r="AN355" s="4"/>
      <c r="AO355" s="4"/>
      <c r="AP355" s="4"/>
      <c r="AQ355" s="4"/>
      <c r="AR355" s="4"/>
      <c r="AS355" s="4"/>
      <c r="AT355" s="4"/>
      <c r="AU355" s="4"/>
      <c r="AV355" s="4"/>
      <c r="AW355" s="4"/>
      <c r="AX355" s="4"/>
      <c r="AY355" s="4"/>
      <c r="AZ355" s="4"/>
      <c r="BA355" s="4"/>
      <c r="BB355" s="3"/>
      <c r="BC355" s="3"/>
      <c r="CT355" s="5" t="e">
        <v>#N/A</v>
      </c>
      <c r="CU355" s="5" t="e">
        <v>#N/A</v>
      </c>
      <c r="CV355" s="5" t="e">
        <v>#N/A</v>
      </c>
      <c r="CW355" s="5" t="e">
        <v>#N/A</v>
      </c>
      <c r="CX355" s="5" t="e">
        <v>#N/A</v>
      </c>
      <c r="CY355" s="5" t="e">
        <v>#N/A</v>
      </c>
      <c r="CZ355" s="5" t="e">
        <v>#N/A</v>
      </c>
      <c r="DA355" s="5" t="e">
        <v>#N/A</v>
      </c>
      <c r="DB355" s="5" t="e">
        <v>#N/A</v>
      </c>
      <c r="DC355" s="5" t="e">
        <v>#N/A</v>
      </c>
      <c r="DD355" s="5" t="e">
        <v>#N/A</v>
      </c>
      <c r="DE355" s="5" t="e">
        <v>#N/A</v>
      </c>
      <c r="DF355" s="5" t="e">
        <v>#N/A</v>
      </c>
      <c r="DG355" s="5" t="e">
        <v>#N/A</v>
      </c>
      <c r="DH355" s="5" t="e">
        <v>#N/A</v>
      </c>
      <c r="DI355" s="5" t="e">
        <v>#N/A</v>
      </c>
    </row>
    <row r="356" spans="1:113" s="5" customFormat="1">
      <c r="A356"/>
      <c r="B356"/>
      <c r="C356" s="44"/>
      <c r="D356" s="44"/>
      <c r="E356" s="44"/>
      <c r="F356" s="44"/>
      <c r="G356" s="44"/>
      <c r="H356" s="44"/>
      <c r="I356" s="44"/>
      <c r="J356" s="44"/>
      <c r="K356" s="44"/>
      <c r="L356" s="44"/>
      <c r="M356" t="str">
        <f t="shared" si="39"/>
        <v>"//*[@class=\"</v>
      </c>
      <c r="N356" t="s">
        <v>31</v>
      </c>
      <c r="O356" s="4" t="str">
        <f t="shared" si="42"/>
        <v>click</v>
      </c>
      <c r="P356" t="str">
        <f t="shared" si="43"/>
        <v>();</v>
      </c>
      <c r="Q356" t="str">
        <f t="shared" si="44"/>
        <v/>
      </c>
      <c r="R356" t="str">
        <f t="shared" si="40"/>
        <v/>
      </c>
      <c r="S356" s="1" t="str">
        <f t="shared" si="41"/>
        <v/>
      </c>
      <c r="T356"/>
      <c r="U356"/>
      <c r="V356"/>
      <c r="W356"/>
      <c r="X356"/>
      <c r="Y356"/>
      <c r="Z356">
        <v>347</v>
      </c>
      <c r="AA356"/>
      <c r="AB356"/>
      <c r="AC356" s="6"/>
      <c r="AD356" s="6"/>
      <c r="AE356" s="6"/>
      <c r="AF356" s="6"/>
      <c r="AG356" s="4"/>
      <c r="AH356" s="4"/>
      <c r="AI356" s="4"/>
      <c r="AJ356" s="4"/>
      <c r="AK356" s="4"/>
      <c r="AL356" s="4"/>
      <c r="AM356" s="4"/>
      <c r="AN356" s="4"/>
      <c r="AO356" s="4"/>
      <c r="AP356" s="4"/>
      <c r="AQ356" s="4"/>
      <c r="AR356" s="4"/>
      <c r="AS356" s="4"/>
      <c r="AT356" s="4"/>
      <c r="AU356" s="4"/>
      <c r="AV356" s="4"/>
      <c r="AW356" s="4"/>
      <c r="AX356" s="4"/>
      <c r="AY356" s="4"/>
      <c r="AZ356" s="4"/>
      <c r="BA356" s="4"/>
      <c r="BB356" s="3"/>
      <c r="BC356" s="3"/>
      <c r="CT356" s="5" t="e">
        <v>#N/A</v>
      </c>
      <c r="CU356" s="5" t="e">
        <v>#N/A</v>
      </c>
      <c r="CV356" s="5" t="e">
        <v>#N/A</v>
      </c>
      <c r="CW356" s="5" t="e">
        <v>#N/A</v>
      </c>
      <c r="CX356" s="5" t="e">
        <v>#N/A</v>
      </c>
      <c r="CY356" s="5" t="e">
        <v>#N/A</v>
      </c>
      <c r="CZ356" s="5" t="e">
        <v>#N/A</v>
      </c>
      <c r="DA356" s="5" t="e">
        <v>#N/A</v>
      </c>
      <c r="DB356" s="5" t="e">
        <v>#N/A</v>
      </c>
      <c r="DC356" s="5" t="e">
        <v>#N/A</v>
      </c>
      <c r="DD356" s="5" t="e">
        <v>#N/A</v>
      </c>
      <c r="DE356" s="5" t="e">
        <v>#N/A</v>
      </c>
      <c r="DF356" s="5" t="e">
        <v>#N/A</v>
      </c>
      <c r="DG356" s="5" t="e">
        <v>#N/A</v>
      </c>
      <c r="DH356" s="5" t="e">
        <v>#N/A</v>
      </c>
      <c r="DI356" s="5" t="e">
        <v>#N/A</v>
      </c>
    </row>
    <row r="357" spans="1:113" s="5" customFormat="1">
      <c r="A357"/>
      <c r="B357"/>
      <c r="C357" s="44"/>
      <c r="D357" s="44"/>
      <c r="E357" s="44"/>
      <c r="F357" s="44"/>
      <c r="G357" s="44"/>
      <c r="H357" s="44"/>
      <c r="I357" s="44"/>
      <c r="J357" s="44"/>
      <c r="K357" s="44"/>
      <c r="L357" s="44"/>
      <c r="M357" t="str">
        <f t="shared" si="39"/>
        <v>"//*[@class=\"</v>
      </c>
      <c r="N357" t="s">
        <v>31</v>
      </c>
      <c r="O357" s="4" t="str">
        <f t="shared" si="42"/>
        <v>click</v>
      </c>
      <c r="P357" t="str">
        <f t="shared" si="43"/>
        <v>();</v>
      </c>
      <c r="Q357" t="str">
        <f t="shared" si="44"/>
        <v/>
      </c>
      <c r="R357" t="str">
        <f t="shared" si="40"/>
        <v/>
      </c>
      <c r="S357" s="1" t="str">
        <f t="shared" si="41"/>
        <v/>
      </c>
      <c r="T357"/>
      <c r="U357"/>
      <c r="V357"/>
      <c r="W357"/>
      <c r="X357"/>
      <c r="Y357"/>
      <c r="Z357">
        <v>348</v>
      </c>
      <c r="AA357"/>
      <c r="AB357"/>
      <c r="AC357" s="6"/>
      <c r="AD357" s="6"/>
      <c r="AE357" s="6"/>
      <c r="AF357" s="6"/>
      <c r="AG357" s="4"/>
      <c r="AH357" s="4"/>
      <c r="AI357" s="4"/>
      <c r="AJ357" s="4"/>
      <c r="AK357" s="4"/>
      <c r="AL357" s="4"/>
      <c r="AM357" s="4"/>
      <c r="AN357" s="4"/>
      <c r="AO357" s="4"/>
      <c r="AP357" s="4"/>
      <c r="AQ357" s="4"/>
      <c r="AR357" s="4"/>
      <c r="AS357" s="4"/>
      <c r="AT357" s="4"/>
      <c r="AU357" s="4"/>
      <c r="AV357" s="4"/>
      <c r="AW357" s="4"/>
      <c r="AX357" s="4"/>
      <c r="AY357" s="4"/>
      <c r="AZ357" s="4"/>
      <c r="BA357" s="4"/>
      <c r="BB357" s="3"/>
      <c r="BC357" s="3"/>
      <c r="CT357" s="5" t="e">
        <v>#N/A</v>
      </c>
      <c r="CU357" s="5" t="e">
        <v>#N/A</v>
      </c>
      <c r="CV357" s="5" t="e">
        <v>#N/A</v>
      </c>
      <c r="CW357" s="5" t="e">
        <v>#N/A</v>
      </c>
      <c r="CX357" s="5" t="e">
        <v>#N/A</v>
      </c>
      <c r="CY357" s="5" t="e">
        <v>#N/A</v>
      </c>
      <c r="CZ357" s="5" t="e">
        <v>#N/A</v>
      </c>
      <c r="DA357" s="5" t="e">
        <v>#N/A</v>
      </c>
      <c r="DB357" s="5" t="e">
        <v>#N/A</v>
      </c>
      <c r="DC357" s="5" t="e">
        <v>#N/A</v>
      </c>
      <c r="DD357" s="5" t="e">
        <v>#N/A</v>
      </c>
      <c r="DE357" s="5" t="e">
        <v>#N/A</v>
      </c>
      <c r="DF357" s="5" t="e">
        <v>#N/A</v>
      </c>
      <c r="DG357" s="5" t="e">
        <v>#N/A</v>
      </c>
      <c r="DH357" s="5" t="e">
        <v>#N/A</v>
      </c>
      <c r="DI357" s="5" t="e">
        <v>#N/A</v>
      </c>
    </row>
    <row r="358" spans="1:113" s="2" customFormat="1">
      <c r="A358"/>
      <c r="B358"/>
      <c r="C358" s="44"/>
      <c r="D358" s="44"/>
      <c r="E358" s="44"/>
      <c r="F358" s="44"/>
      <c r="G358" s="44"/>
      <c r="H358" s="44"/>
      <c r="I358" s="44"/>
      <c r="J358" s="44"/>
      <c r="K358" s="44"/>
      <c r="L358" s="44"/>
      <c r="M358" t="str">
        <f t="shared" si="39"/>
        <v>"//*[@class=\"</v>
      </c>
      <c r="N358" t="s">
        <v>31</v>
      </c>
      <c r="O358" s="4" t="str">
        <f t="shared" si="42"/>
        <v>click</v>
      </c>
      <c r="P358" t="str">
        <f t="shared" si="43"/>
        <v>();</v>
      </c>
      <c r="Q358" t="str">
        <f t="shared" si="44"/>
        <v/>
      </c>
      <c r="R358" t="str">
        <f t="shared" si="40"/>
        <v/>
      </c>
      <c r="S358" s="1" t="str">
        <f t="shared" si="41"/>
        <v/>
      </c>
      <c r="T358"/>
      <c r="U358"/>
      <c r="V358"/>
      <c r="W358"/>
      <c r="X358"/>
      <c r="Y358"/>
      <c r="Z358">
        <v>349</v>
      </c>
      <c r="AA358"/>
      <c r="AB358"/>
      <c r="AC358" s="6"/>
      <c r="AD358" s="6"/>
      <c r="AE358" s="6"/>
      <c r="AF358" s="6"/>
      <c r="AG358" s="4"/>
      <c r="AH358" s="4"/>
      <c r="AI358" s="4"/>
      <c r="AJ358" s="4"/>
      <c r="AK358" s="4"/>
      <c r="AL358" s="4"/>
      <c r="AM358" s="4"/>
      <c r="AN358" s="4"/>
      <c r="AO358" s="4"/>
      <c r="AP358" s="4"/>
      <c r="AQ358" s="4"/>
      <c r="AR358" s="4"/>
      <c r="AS358" s="4"/>
      <c r="AT358" s="4"/>
      <c r="AU358" s="4"/>
      <c r="AV358" s="4"/>
      <c r="AW358" s="4"/>
      <c r="AX358" s="4"/>
      <c r="AY358" s="4"/>
      <c r="AZ358" s="4"/>
      <c r="BA358" s="4"/>
      <c r="BB358" s="3"/>
      <c r="BC358" s="3"/>
      <c r="CT358" s="2" t="e">
        <v>#N/A</v>
      </c>
      <c r="CU358" s="2" t="e">
        <v>#N/A</v>
      </c>
      <c r="CV358" s="2" t="e">
        <v>#N/A</v>
      </c>
      <c r="CW358" s="2" t="e">
        <v>#N/A</v>
      </c>
      <c r="CX358" s="2" t="e">
        <v>#N/A</v>
      </c>
      <c r="CY358" s="2" t="e">
        <v>#N/A</v>
      </c>
      <c r="CZ358" s="2" t="e">
        <v>#N/A</v>
      </c>
      <c r="DA358" s="2" t="e">
        <v>#N/A</v>
      </c>
      <c r="DB358" s="2" t="e">
        <v>#N/A</v>
      </c>
      <c r="DC358" s="2" t="e">
        <v>#N/A</v>
      </c>
      <c r="DD358" s="2" t="e">
        <v>#N/A</v>
      </c>
      <c r="DE358" s="2" t="e">
        <v>#N/A</v>
      </c>
      <c r="DF358" s="2" t="e">
        <v>#N/A</v>
      </c>
      <c r="DG358" s="2" t="e">
        <v>#N/A</v>
      </c>
      <c r="DH358" s="2" t="e">
        <v>#N/A</v>
      </c>
      <c r="DI358" s="2" t="e">
        <v>#N/A</v>
      </c>
    </row>
    <row r="359" spans="1:113" s="2" customFormat="1">
      <c r="A359"/>
      <c r="B359"/>
      <c r="C359" s="44"/>
      <c r="D359" s="44"/>
      <c r="E359" s="44"/>
      <c r="F359" s="44"/>
      <c r="G359" s="44"/>
      <c r="H359" s="44"/>
      <c r="I359" s="44"/>
      <c r="J359" s="44"/>
      <c r="K359" s="44"/>
      <c r="L359" s="44"/>
      <c r="M359" t="str">
        <f t="shared" si="39"/>
        <v>"//*[@class=\"</v>
      </c>
      <c r="N359" t="s">
        <v>31</v>
      </c>
      <c r="O359" s="4" t="str">
        <f t="shared" si="42"/>
        <v>click</v>
      </c>
      <c r="P359" t="str">
        <f t="shared" si="43"/>
        <v>();</v>
      </c>
      <c r="Q359" t="str">
        <f t="shared" si="44"/>
        <v/>
      </c>
      <c r="R359" t="str">
        <f t="shared" si="40"/>
        <v/>
      </c>
      <c r="S359" s="1" t="str">
        <f t="shared" si="41"/>
        <v/>
      </c>
      <c r="T359"/>
      <c r="U359"/>
      <c r="V359"/>
      <c r="W359"/>
      <c r="X359"/>
      <c r="Y359"/>
      <c r="Z359">
        <v>350</v>
      </c>
      <c r="AA359"/>
      <c r="AB359"/>
      <c r="AC359" s="6"/>
      <c r="AD359" s="6"/>
      <c r="AE359" s="6"/>
      <c r="AF359" s="6"/>
      <c r="AG359" s="4"/>
      <c r="AH359" s="4"/>
      <c r="AI359" s="4"/>
      <c r="AJ359" s="4"/>
      <c r="AK359" s="4"/>
      <c r="AL359" s="4"/>
      <c r="AM359" s="4"/>
      <c r="AN359" s="4"/>
      <c r="AO359" s="4"/>
      <c r="AP359" s="4"/>
      <c r="AQ359" s="4"/>
      <c r="AR359" s="4"/>
      <c r="AS359" s="4"/>
      <c r="AT359" s="4"/>
      <c r="AU359" s="4"/>
      <c r="AV359" s="4"/>
      <c r="AW359" s="4"/>
      <c r="AX359" s="4"/>
      <c r="AY359" s="4"/>
      <c r="AZ359" s="4"/>
      <c r="BA359" s="4"/>
      <c r="BB359" s="3"/>
      <c r="BC359" s="3"/>
      <c r="CT359" s="2" t="e">
        <v>#N/A</v>
      </c>
      <c r="CU359" s="2" t="e">
        <v>#N/A</v>
      </c>
      <c r="CV359" s="2" t="e">
        <v>#N/A</v>
      </c>
      <c r="CW359" s="2" t="e">
        <v>#N/A</v>
      </c>
      <c r="CX359" s="2" t="e">
        <v>#N/A</v>
      </c>
      <c r="CY359" s="2" t="e">
        <v>#N/A</v>
      </c>
      <c r="CZ359" s="2" t="e">
        <v>#N/A</v>
      </c>
      <c r="DA359" s="2" t="e">
        <v>#N/A</v>
      </c>
      <c r="DB359" s="2" t="e">
        <v>#N/A</v>
      </c>
      <c r="DC359" s="2" t="e">
        <v>#N/A</v>
      </c>
      <c r="DD359" s="2" t="e">
        <v>#N/A</v>
      </c>
      <c r="DE359" s="2" t="e">
        <v>#N/A</v>
      </c>
      <c r="DF359" s="2" t="e">
        <v>#N/A</v>
      </c>
      <c r="DG359" s="2" t="e">
        <v>#N/A</v>
      </c>
      <c r="DH359" s="2" t="e">
        <v>#N/A</v>
      </c>
      <c r="DI359" s="2" t="e">
        <v>#N/A</v>
      </c>
    </row>
    <row r="360" spans="1:113" s="2" customFormat="1">
      <c r="A360"/>
      <c r="B360"/>
      <c r="C360" s="44"/>
      <c r="D360" s="44"/>
      <c r="E360" s="44"/>
      <c r="F360" s="44"/>
      <c r="G360" s="44"/>
      <c r="H360" s="44"/>
      <c r="I360" s="44"/>
      <c r="J360" s="44"/>
      <c r="K360" s="44"/>
      <c r="L360" s="44"/>
      <c r="M360" t="str">
        <f t="shared" si="39"/>
        <v>"//*[@class=\"</v>
      </c>
      <c r="N360" t="s">
        <v>31</v>
      </c>
      <c r="O360" s="4" t="str">
        <f t="shared" si="42"/>
        <v>click</v>
      </c>
      <c r="P360" t="str">
        <f t="shared" si="43"/>
        <v>();</v>
      </c>
      <c r="Q360" t="str">
        <f t="shared" si="44"/>
        <v/>
      </c>
      <c r="R360" t="str">
        <f t="shared" si="40"/>
        <v/>
      </c>
      <c r="S360" s="1" t="str">
        <f t="shared" si="41"/>
        <v/>
      </c>
      <c r="T360"/>
      <c r="U360"/>
      <c r="V360"/>
      <c r="W360"/>
      <c r="X360"/>
      <c r="Y360"/>
      <c r="Z360">
        <v>351</v>
      </c>
      <c r="AA360"/>
      <c r="AB360"/>
      <c r="AC360" s="6"/>
      <c r="AD360" s="6"/>
      <c r="AE360" s="6"/>
      <c r="AF360" s="6"/>
      <c r="AG360" s="4"/>
      <c r="AH360" s="4"/>
      <c r="AI360" s="4"/>
      <c r="AJ360" s="4"/>
      <c r="AK360" s="4"/>
      <c r="AL360" s="4"/>
      <c r="AM360" s="4"/>
      <c r="AN360" s="4"/>
      <c r="AO360" s="4"/>
      <c r="AP360" s="4"/>
      <c r="AQ360" s="4"/>
      <c r="AR360" s="4"/>
      <c r="AS360" s="4"/>
      <c r="AT360" s="4"/>
      <c r="AU360" s="4"/>
      <c r="AV360" s="4"/>
      <c r="AW360" s="4"/>
      <c r="AX360" s="4"/>
      <c r="AY360" s="4"/>
      <c r="AZ360" s="4"/>
      <c r="BA360" s="4"/>
      <c r="BB360" s="3"/>
      <c r="BC360" s="3"/>
      <c r="CT360" s="2" t="e">
        <v>#N/A</v>
      </c>
      <c r="CU360" s="2" t="e">
        <v>#N/A</v>
      </c>
      <c r="CV360" s="2" t="e">
        <v>#N/A</v>
      </c>
      <c r="CW360" s="2" t="e">
        <v>#N/A</v>
      </c>
      <c r="CX360" s="2" t="e">
        <v>#N/A</v>
      </c>
      <c r="CY360" s="2" t="e">
        <v>#N/A</v>
      </c>
      <c r="CZ360" s="2" t="e">
        <v>#N/A</v>
      </c>
      <c r="DA360" s="2" t="e">
        <v>#N/A</v>
      </c>
      <c r="DB360" s="2" t="e">
        <v>#N/A</v>
      </c>
      <c r="DC360" s="2" t="e">
        <v>#N/A</v>
      </c>
      <c r="DD360" s="2" t="e">
        <v>#N/A</v>
      </c>
      <c r="DE360" s="2" t="e">
        <v>#N/A</v>
      </c>
      <c r="DF360" s="2" t="e">
        <v>#N/A</v>
      </c>
      <c r="DG360" s="2" t="e">
        <v>#N/A</v>
      </c>
      <c r="DH360" s="2" t="e">
        <v>#N/A</v>
      </c>
      <c r="DI360" s="2" t="e">
        <v>#N/A</v>
      </c>
    </row>
    <row r="361" spans="1:113" s="2" customFormat="1">
      <c r="A361"/>
      <c r="B361"/>
      <c r="C361" s="44"/>
      <c r="D361" s="44"/>
      <c r="E361" s="44"/>
      <c r="F361" s="44"/>
      <c r="G361" s="44"/>
      <c r="H361" s="44"/>
      <c r="I361" s="44"/>
      <c r="J361" s="44"/>
      <c r="K361" s="44"/>
      <c r="L361" s="44"/>
      <c r="M361" t="str">
        <f t="shared" si="39"/>
        <v>"//*[@class=\"</v>
      </c>
      <c r="N361" t="s">
        <v>31</v>
      </c>
      <c r="O361" s="4" t="str">
        <f t="shared" si="42"/>
        <v>click</v>
      </c>
      <c r="P361" t="str">
        <f t="shared" si="43"/>
        <v>();</v>
      </c>
      <c r="Q361" t="str">
        <f t="shared" si="44"/>
        <v/>
      </c>
      <c r="R361" t="str">
        <f t="shared" si="40"/>
        <v/>
      </c>
      <c r="S361" s="1" t="str">
        <f t="shared" si="41"/>
        <v/>
      </c>
      <c r="T361"/>
      <c r="U361"/>
      <c r="V361"/>
      <c r="W361"/>
      <c r="X361"/>
      <c r="Y361"/>
      <c r="Z361">
        <v>352</v>
      </c>
      <c r="AA361"/>
      <c r="AB361"/>
      <c r="AC361" s="6"/>
      <c r="AD361" s="6"/>
      <c r="AE361" s="6"/>
      <c r="AF361" s="6"/>
      <c r="AG361" s="4"/>
      <c r="AH361" s="4"/>
      <c r="AI361" s="4"/>
      <c r="AJ361" s="4"/>
      <c r="AK361" s="4"/>
      <c r="AL361" s="4"/>
      <c r="AM361" s="4"/>
      <c r="AN361" s="4"/>
      <c r="AO361" s="4"/>
      <c r="AP361" s="4"/>
      <c r="AQ361" s="4"/>
      <c r="AR361" s="4"/>
      <c r="AS361" s="4"/>
      <c r="AT361" s="4"/>
      <c r="AU361" s="4"/>
      <c r="AV361" s="4"/>
      <c r="AW361" s="4"/>
      <c r="AX361" s="4"/>
      <c r="AY361" s="4"/>
      <c r="AZ361" s="4"/>
      <c r="BA361" s="4"/>
      <c r="BB361" s="3"/>
      <c r="BC361" s="3"/>
      <c r="CT361" s="2" t="e">
        <v>#N/A</v>
      </c>
      <c r="CU361" s="2" t="e">
        <v>#N/A</v>
      </c>
      <c r="CV361" s="2" t="e">
        <v>#N/A</v>
      </c>
      <c r="CW361" s="2" t="e">
        <v>#N/A</v>
      </c>
      <c r="CX361" s="2" t="e">
        <v>#N/A</v>
      </c>
      <c r="CY361" s="2" t="e">
        <v>#N/A</v>
      </c>
      <c r="CZ361" s="2" t="e">
        <v>#N/A</v>
      </c>
      <c r="DA361" s="2" t="e">
        <v>#N/A</v>
      </c>
      <c r="DB361" s="2" t="e">
        <v>#N/A</v>
      </c>
      <c r="DC361" s="2" t="e">
        <v>#N/A</v>
      </c>
      <c r="DD361" s="2" t="e">
        <v>#N/A</v>
      </c>
      <c r="DE361" s="2" t="e">
        <v>#N/A</v>
      </c>
      <c r="DF361" s="2" t="e">
        <v>#N/A</v>
      </c>
      <c r="DG361" s="2" t="e">
        <v>#N/A</v>
      </c>
      <c r="DH361" s="2" t="e">
        <v>#N/A</v>
      </c>
      <c r="DI361" s="2" t="e">
        <v>#N/A</v>
      </c>
    </row>
    <row r="362" spans="1:113" s="2" customFormat="1">
      <c r="A362"/>
      <c r="B362"/>
      <c r="C362" s="44"/>
      <c r="D362" s="44"/>
      <c r="E362" s="44"/>
      <c r="F362" s="44"/>
      <c r="G362" s="44"/>
      <c r="H362" s="44"/>
      <c r="I362" s="44"/>
      <c r="J362" s="44"/>
      <c r="K362" s="44"/>
      <c r="L362" s="44"/>
      <c r="M362" t="str">
        <f t="shared" si="39"/>
        <v>"//*[@class=\"</v>
      </c>
      <c r="N362" t="s">
        <v>31</v>
      </c>
      <c r="O362" s="4" t="str">
        <f t="shared" si="42"/>
        <v>click</v>
      </c>
      <c r="P362" t="str">
        <f t="shared" si="43"/>
        <v>();</v>
      </c>
      <c r="Q362" t="str">
        <f t="shared" si="44"/>
        <v/>
      </c>
      <c r="R362" t="str">
        <f t="shared" si="40"/>
        <v/>
      </c>
      <c r="S362" s="1" t="str">
        <f t="shared" si="41"/>
        <v/>
      </c>
      <c r="T362"/>
      <c r="U362"/>
      <c r="V362"/>
      <c r="W362"/>
      <c r="X362"/>
      <c r="Y362"/>
      <c r="Z362">
        <v>353</v>
      </c>
      <c r="AA362"/>
      <c r="AB362"/>
      <c r="AC362" s="6"/>
      <c r="AD362" s="6"/>
      <c r="AE362" s="6"/>
      <c r="AF362" s="6"/>
      <c r="AG362" s="4"/>
      <c r="AH362" s="4"/>
      <c r="AI362" s="4"/>
      <c r="AJ362" s="4"/>
      <c r="AK362" s="4"/>
      <c r="AL362" s="4"/>
      <c r="AM362" s="4"/>
      <c r="AN362" s="4"/>
      <c r="AO362" s="4"/>
      <c r="AP362" s="4"/>
      <c r="AQ362" s="4"/>
      <c r="AR362" s="4"/>
      <c r="AS362" s="4"/>
      <c r="AT362" s="4"/>
      <c r="AU362" s="4"/>
      <c r="AV362" s="4"/>
      <c r="AW362" s="4"/>
      <c r="AX362" s="4"/>
      <c r="AY362" s="4"/>
      <c r="AZ362" s="4"/>
      <c r="BA362" s="4"/>
      <c r="BB362" s="3"/>
      <c r="BC362" s="3"/>
      <c r="CT362" s="2" t="e">
        <v>#N/A</v>
      </c>
      <c r="CU362" s="2" t="e">
        <v>#N/A</v>
      </c>
      <c r="CV362" s="2" t="e">
        <v>#N/A</v>
      </c>
      <c r="CW362" s="2" t="e">
        <v>#N/A</v>
      </c>
      <c r="CX362" s="2" t="e">
        <v>#N/A</v>
      </c>
      <c r="CY362" s="2" t="e">
        <v>#N/A</v>
      </c>
      <c r="CZ362" s="2" t="e">
        <v>#N/A</v>
      </c>
      <c r="DA362" s="2" t="e">
        <v>#N/A</v>
      </c>
      <c r="DB362" s="2" t="e">
        <v>#N/A</v>
      </c>
      <c r="DC362" s="2" t="e">
        <v>#N/A</v>
      </c>
      <c r="DD362" s="2" t="e">
        <v>#N/A</v>
      </c>
      <c r="DE362" s="2" t="e">
        <v>#N/A</v>
      </c>
      <c r="DF362" s="2" t="e">
        <v>#N/A</v>
      </c>
      <c r="DG362" s="2" t="e">
        <v>#N/A</v>
      </c>
      <c r="DH362" s="2" t="e">
        <v>#N/A</v>
      </c>
      <c r="DI362" s="2" t="e">
        <v>#N/A</v>
      </c>
    </row>
    <row r="363" spans="1:113" s="2" customFormat="1">
      <c r="A363"/>
      <c r="B363"/>
      <c r="C363" s="44"/>
      <c r="D363" s="44"/>
      <c r="E363" s="44"/>
      <c r="F363" s="44"/>
      <c r="G363" s="44"/>
      <c r="H363" s="44"/>
      <c r="I363" s="44"/>
      <c r="J363" s="44"/>
      <c r="K363" s="44"/>
      <c r="L363" s="44"/>
      <c r="M363" t="str">
        <f t="shared" si="39"/>
        <v>"//*[@class=\"</v>
      </c>
      <c r="N363" t="s">
        <v>31</v>
      </c>
      <c r="O363" s="4" t="str">
        <f t="shared" si="42"/>
        <v>click</v>
      </c>
      <c r="P363" t="str">
        <f t="shared" si="43"/>
        <v>();</v>
      </c>
      <c r="Q363" t="str">
        <f t="shared" si="44"/>
        <v/>
      </c>
      <c r="R363" t="str">
        <f t="shared" si="40"/>
        <v/>
      </c>
      <c r="S363" s="1" t="str">
        <f t="shared" si="41"/>
        <v/>
      </c>
      <c r="T363"/>
      <c r="U363"/>
      <c r="V363"/>
      <c r="W363"/>
      <c r="X363"/>
      <c r="Y363"/>
      <c r="Z363">
        <v>354</v>
      </c>
      <c r="AA363"/>
      <c r="AB363"/>
      <c r="AC363" s="6"/>
      <c r="AD363" s="6"/>
      <c r="AE363" s="6"/>
      <c r="AF363" s="6"/>
      <c r="AG363" s="4"/>
      <c r="AH363" s="4"/>
      <c r="AI363" s="4"/>
      <c r="AJ363" s="4"/>
      <c r="AK363" s="4"/>
      <c r="AL363" s="4"/>
      <c r="AM363" s="4"/>
      <c r="AN363" s="4"/>
      <c r="AO363" s="4"/>
      <c r="AP363" s="4"/>
      <c r="AQ363" s="4"/>
      <c r="AR363" s="4"/>
      <c r="AS363" s="4"/>
      <c r="AT363" s="4"/>
      <c r="AU363" s="4"/>
      <c r="AV363" s="4"/>
      <c r="AW363" s="4"/>
      <c r="AX363" s="4"/>
      <c r="AY363" s="4"/>
      <c r="AZ363" s="4"/>
      <c r="BA363" s="4"/>
      <c r="BB363" s="3"/>
      <c r="BC363" s="3"/>
      <c r="CT363" s="2" t="e">
        <v>#N/A</v>
      </c>
      <c r="CU363" s="2" t="e">
        <v>#N/A</v>
      </c>
      <c r="CV363" s="2" t="e">
        <v>#N/A</v>
      </c>
      <c r="CW363" s="2" t="e">
        <v>#N/A</v>
      </c>
      <c r="CX363" s="2" t="e">
        <v>#N/A</v>
      </c>
      <c r="CY363" s="2" t="e">
        <v>#N/A</v>
      </c>
      <c r="CZ363" s="2" t="e">
        <v>#N/A</v>
      </c>
      <c r="DA363" s="2" t="e">
        <v>#N/A</v>
      </c>
      <c r="DB363" s="2" t="e">
        <v>#N/A</v>
      </c>
      <c r="DC363" s="2" t="e">
        <v>#N/A</v>
      </c>
      <c r="DD363" s="2" t="e">
        <v>#N/A</v>
      </c>
      <c r="DE363" s="2" t="e">
        <v>#N/A</v>
      </c>
      <c r="DF363" s="2" t="e">
        <v>#N/A</v>
      </c>
      <c r="DG363" s="2" t="e">
        <v>#N/A</v>
      </c>
      <c r="DH363" s="2" t="e">
        <v>#N/A</v>
      </c>
      <c r="DI363" s="2" t="e">
        <v>#N/A</v>
      </c>
    </row>
    <row r="364" spans="1:113" s="2" customFormat="1">
      <c r="A364"/>
      <c r="B364"/>
      <c r="C364" s="44"/>
      <c r="D364" s="44"/>
      <c r="E364" s="44"/>
      <c r="F364" s="44"/>
      <c r="G364" s="44"/>
      <c r="H364" s="44"/>
      <c r="I364" s="44"/>
      <c r="J364" s="44"/>
      <c r="K364" s="44"/>
      <c r="L364" s="44"/>
      <c r="M364" t="str">
        <f t="shared" si="39"/>
        <v>"//*[@class=\"</v>
      </c>
      <c r="N364" t="s">
        <v>31</v>
      </c>
      <c r="O364" s="4" t="str">
        <f t="shared" si="42"/>
        <v>click</v>
      </c>
      <c r="P364" t="str">
        <f t="shared" si="43"/>
        <v>();</v>
      </c>
      <c r="Q364" t="str">
        <f t="shared" si="44"/>
        <v/>
      </c>
      <c r="R364" t="str">
        <f t="shared" si="40"/>
        <v/>
      </c>
      <c r="S364" s="1" t="str">
        <f t="shared" si="41"/>
        <v/>
      </c>
      <c r="T364"/>
      <c r="U364"/>
      <c r="V364"/>
      <c r="W364"/>
      <c r="X364"/>
      <c r="Y364"/>
      <c r="Z364">
        <v>355</v>
      </c>
      <c r="AA364"/>
      <c r="AB364"/>
      <c r="AC364" s="6"/>
      <c r="AD364" s="6"/>
      <c r="AE364" s="6"/>
      <c r="AF364" s="6"/>
      <c r="AG364" s="4"/>
      <c r="AH364" s="4"/>
      <c r="AI364" s="4"/>
      <c r="AJ364" s="4"/>
      <c r="AK364" s="4"/>
      <c r="AL364" s="4"/>
      <c r="AM364" s="4"/>
      <c r="AN364" s="4"/>
      <c r="AO364" s="4"/>
      <c r="AP364" s="4"/>
      <c r="AQ364" s="4"/>
      <c r="AR364" s="4"/>
      <c r="AS364" s="4"/>
      <c r="AT364" s="4"/>
      <c r="AU364" s="4"/>
      <c r="AV364" s="4"/>
      <c r="AW364" s="4"/>
      <c r="AX364" s="4"/>
      <c r="AY364" s="4"/>
      <c r="AZ364" s="4"/>
      <c r="BA364" s="4"/>
      <c r="BB364" s="3"/>
      <c r="BC364" s="3"/>
      <c r="CT364" s="2" t="e">
        <v>#N/A</v>
      </c>
      <c r="CU364" s="2" t="e">
        <v>#N/A</v>
      </c>
      <c r="CV364" s="2" t="e">
        <v>#N/A</v>
      </c>
      <c r="CW364" s="2" t="e">
        <v>#N/A</v>
      </c>
      <c r="CX364" s="2" t="e">
        <v>#N/A</v>
      </c>
      <c r="CY364" s="2" t="e">
        <v>#N/A</v>
      </c>
      <c r="CZ364" s="2" t="e">
        <v>#N/A</v>
      </c>
      <c r="DA364" s="2" t="e">
        <v>#N/A</v>
      </c>
      <c r="DB364" s="2" t="e">
        <v>#N/A</v>
      </c>
      <c r="DC364" s="2" t="e">
        <v>#N/A</v>
      </c>
      <c r="DD364" s="2" t="e">
        <v>#N/A</v>
      </c>
      <c r="DE364" s="2" t="e">
        <v>#N/A</v>
      </c>
      <c r="DF364" s="2" t="e">
        <v>#N/A</v>
      </c>
      <c r="DG364" s="2" t="e">
        <v>#N/A</v>
      </c>
      <c r="DH364" s="2" t="e">
        <v>#N/A</v>
      </c>
      <c r="DI364" s="2" t="e">
        <v>#N/A</v>
      </c>
    </row>
    <row r="365" spans="1:113" s="2" customFormat="1">
      <c r="A365"/>
      <c r="B365"/>
      <c r="C365" s="44"/>
      <c r="D365" s="44"/>
      <c r="E365" s="44"/>
      <c r="F365" s="44"/>
      <c r="G365" s="44"/>
      <c r="H365" s="44"/>
      <c r="I365" s="44"/>
      <c r="J365" s="44"/>
      <c r="K365" s="44"/>
      <c r="L365" s="44"/>
      <c r="M365" t="str">
        <f t="shared" si="39"/>
        <v>"//*[@class=\"</v>
      </c>
      <c r="N365" t="s">
        <v>31</v>
      </c>
      <c r="O365" s="4" t="str">
        <f t="shared" si="42"/>
        <v>click</v>
      </c>
      <c r="P365" t="str">
        <f t="shared" si="43"/>
        <v>();</v>
      </c>
      <c r="Q365" t="str">
        <f t="shared" si="44"/>
        <v/>
      </c>
      <c r="R365" t="str">
        <f t="shared" si="40"/>
        <v/>
      </c>
      <c r="S365" s="1" t="str">
        <f t="shared" si="41"/>
        <v/>
      </c>
      <c r="T365"/>
      <c r="U365"/>
      <c r="V365"/>
      <c r="W365"/>
      <c r="X365"/>
      <c r="Y365"/>
      <c r="Z365">
        <v>356</v>
      </c>
      <c r="AA365"/>
      <c r="AB365"/>
      <c r="AC365" s="6"/>
      <c r="AD365" s="6"/>
      <c r="AE365" s="6"/>
      <c r="AF365" s="6"/>
      <c r="AG365" s="4"/>
      <c r="AH365" s="4"/>
      <c r="AI365" s="4"/>
      <c r="AJ365" s="4"/>
      <c r="AK365" s="4"/>
      <c r="AL365" s="4"/>
      <c r="AM365" s="4"/>
      <c r="AN365" s="4"/>
      <c r="AO365" s="4"/>
      <c r="AP365" s="4"/>
      <c r="AQ365" s="4"/>
      <c r="AR365" s="4"/>
      <c r="AS365" s="4"/>
      <c r="AT365" s="4"/>
      <c r="AU365" s="4"/>
      <c r="AV365" s="4"/>
      <c r="AW365" s="4"/>
      <c r="AX365" s="4"/>
      <c r="AY365" s="4"/>
      <c r="AZ365" s="4"/>
      <c r="BA365" s="4"/>
      <c r="BB365" s="3"/>
      <c r="BC365" s="3"/>
      <c r="CT365" s="2" t="e">
        <v>#N/A</v>
      </c>
      <c r="CU365" s="2" t="e">
        <v>#N/A</v>
      </c>
      <c r="CV365" s="2" t="e">
        <v>#N/A</v>
      </c>
      <c r="CW365" s="2" t="e">
        <v>#N/A</v>
      </c>
      <c r="CX365" s="2" t="e">
        <v>#N/A</v>
      </c>
      <c r="CY365" s="2" t="e">
        <v>#N/A</v>
      </c>
      <c r="CZ365" s="2" t="e">
        <v>#N/A</v>
      </c>
      <c r="DA365" s="2" t="e">
        <v>#N/A</v>
      </c>
      <c r="DB365" s="2" t="e">
        <v>#N/A</v>
      </c>
      <c r="DC365" s="2" t="e">
        <v>#N/A</v>
      </c>
      <c r="DD365" s="2" t="e">
        <v>#N/A</v>
      </c>
      <c r="DE365" s="2" t="e">
        <v>#N/A</v>
      </c>
      <c r="DF365" s="2" t="e">
        <v>#N/A</v>
      </c>
      <c r="DG365" s="2" t="e">
        <v>#N/A</v>
      </c>
      <c r="DH365" s="2" t="e">
        <v>#N/A</v>
      </c>
      <c r="DI365" s="2" t="e">
        <v>#N/A</v>
      </c>
    </row>
    <row r="366" spans="1:113" s="2" customFormat="1">
      <c r="A366"/>
      <c r="B366"/>
      <c r="C366" s="44"/>
      <c r="D366" s="44"/>
      <c r="E366" s="44"/>
      <c r="F366" s="44"/>
      <c r="G366" s="44"/>
      <c r="H366" s="44"/>
      <c r="I366" s="44"/>
      <c r="J366" s="44"/>
      <c r="K366" s="44"/>
      <c r="L366" s="44"/>
      <c r="M366" t="str">
        <f t="shared" si="39"/>
        <v>"//*[@class=\"</v>
      </c>
      <c r="N366" t="s">
        <v>31</v>
      </c>
      <c r="O366" s="4" t="str">
        <f t="shared" si="42"/>
        <v>click</v>
      </c>
      <c r="P366" t="str">
        <f t="shared" si="43"/>
        <v>();</v>
      </c>
      <c r="Q366" t="str">
        <f t="shared" si="44"/>
        <v/>
      </c>
      <c r="R366" t="str">
        <f t="shared" si="40"/>
        <v/>
      </c>
      <c r="S366" s="1" t="str">
        <f t="shared" si="41"/>
        <v/>
      </c>
      <c r="T366"/>
      <c r="U366"/>
      <c r="V366"/>
      <c r="W366"/>
      <c r="X366"/>
      <c r="Y366"/>
      <c r="Z366">
        <v>357</v>
      </c>
      <c r="AA366"/>
      <c r="AB366"/>
      <c r="AC366" s="6"/>
      <c r="AD366" s="6"/>
      <c r="AE366" s="6"/>
      <c r="AF366" s="6"/>
      <c r="AG366" s="4"/>
      <c r="AH366" s="4"/>
      <c r="AI366" s="4"/>
      <c r="AJ366" s="4"/>
      <c r="AK366" s="4"/>
      <c r="AL366" s="4"/>
      <c r="AM366" s="4"/>
      <c r="AN366" s="4"/>
      <c r="AO366" s="4"/>
      <c r="AP366" s="4"/>
      <c r="AQ366" s="4"/>
      <c r="AR366" s="4"/>
      <c r="AS366" s="4"/>
      <c r="AT366" s="4"/>
      <c r="AU366" s="4"/>
      <c r="AV366" s="4"/>
      <c r="AW366" s="4"/>
      <c r="AX366" s="4"/>
      <c r="AY366" s="4"/>
      <c r="AZ366" s="4"/>
      <c r="BA366" s="4"/>
      <c r="BB366" s="3"/>
      <c r="BC366" s="3"/>
      <c r="CT366" s="2" t="e">
        <v>#N/A</v>
      </c>
      <c r="CU366" s="2" t="e">
        <v>#N/A</v>
      </c>
      <c r="CV366" s="2" t="e">
        <v>#N/A</v>
      </c>
      <c r="CW366" s="2" t="e">
        <v>#N/A</v>
      </c>
      <c r="CX366" s="2" t="e">
        <v>#N/A</v>
      </c>
      <c r="CY366" s="2" t="e">
        <v>#N/A</v>
      </c>
      <c r="CZ366" s="2" t="e">
        <v>#N/A</v>
      </c>
      <c r="DA366" s="2" t="e">
        <v>#N/A</v>
      </c>
      <c r="DB366" s="2" t="e">
        <v>#N/A</v>
      </c>
      <c r="DC366" s="2" t="e">
        <v>#N/A</v>
      </c>
      <c r="DD366" s="2" t="e">
        <v>#N/A</v>
      </c>
      <c r="DE366" s="2" t="e">
        <v>#N/A</v>
      </c>
      <c r="DF366" s="2" t="e">
        <v>#N/A</v>
      </c>
      <c r="DG366" s="2" t="e">
        <v>#N/A</v>
      </c>
      <c r="DH366" s="2" t="e">
        <v>#N/A</v>
      </c>
      <c r="DI366" s="2" t="e">
        <v>#N/A</v>
      </c>
    </row>
    <row r="367" spans="1:113" s="2" customFormat="1">
      <c r="A367"/>
      <c r="B367"/>
      <c r="C367" s="44"/>
      <c r="D367" s="44"/>
      <c r="E367" s="44"/>
      <c r="F367" s="44"/>
      <c r="G367" s="44"/>
      <c r="H367" s="44"/>
      <c r="I367" s="44"/>
      <c r="J367" s="44"/>
      <c r="K367" s="44"/>
      <c r="L367" s="44"/>
      <c r="M367" t="str">
        <f t="shared" si="39"/>
        <v>"//*[@class=\"</v>
      </c>
      <c r="N367" t="s">
        <v>31</v>
      </c>
      <c r="O367" s="4" t="str">
        <f t="shared" si="42"/>
        <v>click</v>
      </c>
      <c r="P367" t="str">
        <f t="shared" si="43"/>
        <v>();</v>
      </c>
      <c r="Q367" t="str">
        <f t="shared" si="44"/>
        <v/>
      </c>
      <c r="R367" t="str">
        <f t="shared" si="40"/>
        <v/>
      </c>
      <c r="S367" s="1" t="str">
        <f t="shared" si="41"/>
        <v/>
      </c>
      <c r="T367"/>
      <c r="U367"/>
      <c r="V367"/>
      <c r="W367"/>
      <c r="X367"/>
      <c r="Y367"/>
      <c r="Z367">
        <v>358</v>
      </c>
      <c r="AA367"/>
      <c r="AB367"/>
      <c r="AC367" s="6"/>
      <c r="AD367" s="6"/>
      <c r="AE367" s="6"/>
      <c r="AF367" s="6"/>
      <c r="AG367" s="4"/>
      <c r="AH367" s="4"/>
      <c r="AI367" s="4"/>
      <c r="AJ367" s="4"/>
      <c r="AK367" s="4"/>
      <c r="AL367" s="4"/>
      <c r="AM367" s="4"/>
      <c r="AN367" s="4"/>
      <c r="AO367" s="4"/>
      <c r="AP367" s="4"/>
      <c r="AQ367" s="4"/>
      <c r="AR367" s="4"/>
      <c r="AS367" s="4"/>
      <c r="AT367" s="4"/>
      <c r="AU367" s="4"/>
      <c r="AV367" s="4"/>
      <c r="AW367" s="4"/>
      <c r="AX367" s="4"/>
      <c r="AY367" s="4"/>
      <c r="AZ367" s="4"/>
      <c r="BA367" s="4"/>
      <c r="BB367" s="3"/>
      <c r="BC367" s="3"/>
      <c r="CT367" s="2" t="e">
        <v>#N/A</v>
      </c>
      <c r="CU367" s="2" t="e">
        <v>#N/A</v>
      </c>
      <c r="CV367" s="2" t="e">
        <v>#N/A</v>
      </c>
      <c r="CW367" s="2" t="e">
        <v>#N/A</v>
      </c>
      <c r="CX367" s="2" t="e">
        <v>#N/A</v>
      </c>
      <c r="CY367" s="2" t="e">
        <v>#N/A</v>
      </c>
      <c r="CZ367" s="2" t="e">
        <v>#N/A</v>
      </c>
      <c r="DA367" s="2" t="e">
        <v>#N/A</v>
      </c>
      <c r="DB367" s="2" t="e">
        <v>#N/A</v>
      </c>
      <c r="DC367" s="2" t="e">
        <v>#N/A</v>
      </c>
      <c r="DD367" s="2" t="e">
        <v>#N/A</v>
      </c>
      <c r="DE367" s="2" t="e">
        <v>#N/A</v>
      </c>
      <c r="DF367" s="2" t="e">
        <v>#N/A</v>
      </c>
      <c r="DG367" s="2" t="e">
        <v>#N/A</v>
      </c>
      <c r="DH367" s="2" t="e">
        <v>#N/A</v>
      </c>
      <c r="DI367" s="2" t="e">
        <v>#N/A</v>
      </c>
    </row>
    <row r="368" spans="1:113" s="2" customFormat="1">
      <c r="A368"/>
      <c r="B368"/>
      <c r="C368" s="44"/>
      <c r="D368" s="44"/>
      <c r="E368" s="44"/>
      <c r="F368" s="44"/>
      <c r="G368" s="44"/>
      <c r="H368" s="44"/>
      <c r="I368" s="44"/>
      <c r="J368" s="44"/>
      <c r="K368" s="44"/>
      <c r="L368" s="44"/>
      <c r="M368" t="str">
        <f t="shared" si="39"/>
        <v>"//*[@class=\"</v>
      </c>
      <c r="N368" t="s">
        <v>31</v>
      </c>
      <c r="O368" s="4" t="str">
        <f t="shared" si="42"/>
        <v>click</v>
      </c>
      <c r="P368" t="str">
        <f t="shared" si="43"/>
        <v>();</v>
      </c>
      <c r="Q368" t="str">
        <f t="shared" si="44"/>
        <v/>
      </c>
      <c r="R368" t="str">
        <f t="shared" si="40"/>
        <v/>
      </c>
      <c r="S368" s="1" t="str">
        <f t="shared" si="41"/>
        <v/>
      </c>
      <c r="T368"/>
      <c r="U368"/>
      <c r="V368"/>
      <c r="W368"/>
      <c r="X368"/>
      <c r="Y368"/>
      <c r="Z368">
        <v>359</v>
      </c>
      <c r="AA368"/>
      <c r="AB368"/>
      <c r="AC368" s="6"/>
      <c r="AD368" s="6"/>
      <c r="AE368" s="6"/>
      <c r="AF368" s="6"/>
      <c r="AG368" s="4"/>
      <c r="AH368" s="4"/>
      <c r="AI368" s="4"/>
      <c r="AJ368" s="4"/>
      <c r="AK368" s="4"/>
      <c r="AL368" s="4"/>
      <c r="AM368" s="4"/>
      <c r="AN368" s="4"/>
      <c r="AO368" s="4"/>
      <c r="AP368" s="4"/>
      <c r="AQ368" s="4"/>
      <c r="AR368" s="4"/>
      <c r="AS368" s="4"/>
      <c r="AT368" s="4"/>
      <c r="AU368" s="4"/>
      <c r="AV368" s="4"/>
      <c r="AW368" s="4"/>
      <c r="AX368" s="4"/>
      <c r="AY368" s="4"/>
      <c r="AZ368" s="4"/>
      <c r="BA368" s="4"/>
      <c r="BB368" s="3"/>
      <c r="BC368" s="3"/>
      <c r="CT368" s="2" t="e">
        <v>#N/A</v>
      </c>
      <c r="CU368" s="2" t="e">
        <v>#N/A</v>
      </c>
      <c r="CV368" s="2" t="e">
        <v>#N/A</v>
      </c>
      <c r="CW368" s="2" t="e">
        <v>#N/A</v>
      </c>
      <c r="CX368" s="2" t="e">
        <v>#N/A</v>
      </c>
      <c r="CY368" s="2" t="e">
        <v>#N/A</v>
      </c>
      <c r="CZ368" s="2" t="e">
        <v>#N/A</v>
      </c>
      <c r="DA368" s="2" t="e">
        <v>#N/A</v>
      </c>
      <c r="DB368" s="2" t="e">
        <v>#N/A</v>
      </c>
      <c r="DC368" s="2" t="e">
        <v>#N/A</v>
      </c>
      <c r="DD368" s="2" t="e">
        <v>#N/A</v>
      </c>
      <c r="DE368" s="2" t="e">
        <v>#N/A</v>
      </c>
      <c r="DF368" s="2" t="e">
        <v>#N/A</v>
      </c>
      <c r="DG368" s="2" t="e">
        <v>#N/A</v>
      </c>
      <c r="DH368" s="2" t="e">
        <v>#N/A</v>
      </c>
      <c r="DI368" s="2" t="e">
        <v>#N/A</v>
      </c>
    </row>
    <row r="369" spans="1:113" s="2" customFormat="1">
      <c r="A369"/>
      <c r="B369"/>
      <c r="C369" s="44"/>
      <c r="D369" s="44"/>
      <c r="E369" s="44"/>
      <c r="F369" s="44"/>
      <c r="G369" s="44"/>
      <c r="H369" s="44"/>
      <c r="I369" s="44"/>
      <c r="J369" s="44"/>
      <c r="K369" s="44"/>
      <c r="L369" s="44"/>
      <c r="M369" t="str">
        <f t="shared" si="39"/>
        <v>"//*[@class=\"</v>
      </c>
      <c r="N369" t="s">
        <v>31</v>
      </c>
      <c r="O369" s="4" t="str">
        <f t="shared" si="42"/>
        <v>click</v>
      </c>
      <c r="P369" t="str">
        <f t="shared" si="43"/>
        <v>();</v>
      </c>
      <c r="Q369" t="str">
        <f t="shared" si="44"/>
        <v/>
      </c>
      <c r="R369" t="str">
        <f t="shared" si="40"/>
        <v/>
      </c>
      <c r="S369" s="1" t="str">
        <f t="shared" si="41"/>
        <v/>
      </c>
      <c r="T369"/>
      <c r="U369"/>
      <c r="V369"/>
      <c r="W369"/>
      <c r="X369"/>
      <c r="Y369"/>
      <c r="Z369">
        <v>360</v>
      </c>
      <c r="AA369"/>
      <c r="AB369"/>
      <c r="AC369" s="6"/>
      <c r="AD369" s="6"/>
      <c r="AE369" s="6"/>
      <c r="AF369" s="6"/>
      <c r="AG369" s="4"/>
      <c r="AH369" s="4"/>
      <c r="AI369" s="4"/>
      <c r="AJ369" s="4"/>
      <c r="AK369" s="4"/>
      <c r="AL369" s="4"/>
      <c r="AM369" s="4"/>
      <c r="AN369" s="4"/>
      <c r="AO369" s="4"/>
      <c r="AP369" s="4"/>
      <c r="AQ369" s="4"/>
      <c r="AR369" s="4"/>
      <c r="AS369" s="4"/>
      <c r="AT369" s="4"/>
      <c r="AU369" s="4"/>
      <c r="AV369" s="4"/>
      <c r="AW369" s="4"/>
      <c r="AX369" s="4"/>
      <c r="AY369" s="4"/>
      <c r="AZ369" s="4"/>
      <c r="BA369" s="4"/>
      <c r="BB369" s="3"/>
      <c r="BC369" s="3"/>
      <c r="CT369" s="2" t="e">
        <v>#N/A</v>
      </c>
      <c r="CU369" s="2" t="e">
        <v>#N/A</v>
      </c>
      <c r="CV369" s="2" t="e">
        <v>#N/A</v>
      </c>
      <c r="CW369" s="2" t="e">
        <v>#N/A</v>
      </c>
      <c r="CX369" s="2" t="e">
        <v>#N/A</v>
      </c>
      <c r="CY369" s="2" t="e">
        <v>#N/A</v>
      </c>
      <c r="CZ369" s="2" t="e">
        <v>#N/A</v>
      </c>
      <c r="DA369" s="2" t="e">
        <v>#N/A</v>
      </c>
      <c r="DB369" s="2" t="e">
        <v>#N/A</v>
      </c>
      <c r="DC369" s="2" t="e">
        <v>#N/A</v>
      </c>
      <c r="DD369" s="2" t="e">
        <v>#N/A</v>
      </c>
      <c r="DE369" s="2" t="e">
        <v>#N/A</v>
      </c>
      <c r="DF369" s="2" t="e">
        <v>#N/A</v>
      </c>
      <c r="DG369" s="2" t="e">
        <v>#N/A</v>
      </c>
      <c r="DH369" s="2" t="e">
        <v>#N/A</v>
      </c>
      <c r="DI369" s="2" t="e">
        <v>#N/A</v>
      </c>
    </row>
    <row r="370" spans="1:113" s="2" customFormat="1">
      <c r="A370"/>
      <c r="B370"/>
      <c r="C370" s="44"/>
      <c r="D370" s="44"/>
      <c r="E370" s="44"/>
      <c r="F370" s="44"/>
      <c r="G370" s="44"/>
      <c r="H370" s="44"/>
      <c r="I370" s="44"/>
      <c r="J370" s="44"/>
      <c r="K370" s="44"/>
      <c r="L370" s="44"/>
      <c r="M370" t="str">
        <f t="shared" si="39"/>
        <v>"//*[@class=\"</v>
      </c>
      <c r="N370" t="s">
        <v>31</v>
      </c>
      <c r="O370" s="4" t="str">
        <f t="shared" si="42"/>
        <v>click</v>
      </c>
      <c r="P370" t="str">
        <f t="shared" si="43"/>
        <v>();</v>
      </c>
      <c r="Q370" t="str">
        <f t="shared" si="44"/>
        <v/>
      </c>
      <c r="R370" t="str">
        <f t="shared" si="40"/>
        <v/>
      </c>
      <c r="S370" s="1" t="str">
        <f t="shared" si="41"/>
        <v/>
      </c>
      <c r="T370"/>
      <c r="U370"/>
      <c r="V370"/>
      <c r="W370"/>
      <c r="X370"/>
      <c r="Y370"/>
      <c r="Z370">
        <v>361</v>
      </c>
      <c r="AA370"/>
      <c r="AB370"/>
      <c r="AC370" s="6"/>
      <c r="AD370" s="6"/>
      <c r="AE370" s="6"/>
      <c r="AF370" s="6"/>
      <c r="AG370" s="4"/>
      <c r="AH370" s="4"/>
      <c r="AI370" s="4"/>
      <c r="AJ370" s="4"/>
      <c r="AK370" s="4"/>
      <c r="AL370" s="4"/>
      <c r="AM370" s="4"/>
      <c r="AN370" s="4"/>
      <c r="AO370" s="4"/>
      <c r="AP370" s="4"/>
      <c r="AQ370" s="4"/>
      <c r="AR370" s="4"/>
      <c r="AS370" s="4"/>
      <c r="AT370" s="4"/>
      <c r="AU370" s="4"/>
      <c r="AV370" s="4"/>
      <c r="AW370" s="4"/>
      <c r="AX370" s="4"/>
      <c r="AY370" s="4"/>
      <c r="AZ370" s="4"/>
      <c r="BA370" s="4"/>
      <c r="BB370" s="3"/>
      <c r="BC370" s="3"/>
      <c r="CT370" s="2" t="e">
        <v>#N/A</v>
      </c>
      <c r="CU370" s="2" t="e">
        <v>#N/A</v>
      </c>
      <c r="CV370" s="2" t="e">
        <v>#N/A</v>
      </c>
      <c r="CW370" s="2" t="e">
        <v>#N/A</v>
      </c>
      <c r="CX370" s="2" t="e">
        <v>#N/A</v>
      </c>
      <c r="CY370" s="2" t="e">
        <v>#N/A</v>
      </c>
      <c r="CZ370" s="2" t="e">
        <v>#N/A</v>
      </c>
      <c r="DA370" s="2" t="e">
        <v>#N/A</v>
      </c>
      <c r="DB370" s="2" t="e">
        <v>#N/A</v>
      </c>
      <c r="DC370" s="2" t="e">
        <v>#N/A</v>
      </c>
      <c r="DD370" s="2" t="e">
        <v>#N/A</v>
      </c>
      <c r="DE370" s="2" t="e">
        <v>#N/A</v>
      </c>
      <c r="DF370" s="2" t="e">
        <v>#N/A</v>
      </c>
      <c r="DG370" s="2" t="e">
        <v>#N/A</v>
      </c>
      <c r="DH370" s="2" t="e">
        <v>#N/A</v>
      </c>
      <c r="DI370" s="2" t="e">
        <v>#N/A</v>
      </c>
    </row>
    <row r="371" spans="1:113" s="2" customFormat="1">
      <c r="A371"/>
      <c r="B371"/>
      <c r="C371" s="44"/>
      <c r="D371" s="44"/>
      <c r="E371" s="44"/>
      <c r="F371" s="44"/>
      <c r="G371" s="44"/>
      <c r="H371" s="44"/>
      <c r="I371" s="44"/>
      <c r="J371" s="44"/>
      <c r="K371" s="44"/>
      <c r="L371" s="44"/>
      <c r="M371" t="str">
        <f t="shared" si="39"/>
        <v>"//*[@class=\"</v>
      </c>
      <c r="N371" t="s">
        <v>31</v>
      </c>
      <c r="O371" s="4" t="str">
        <f t="shared" si="42"/>
        <v>click</v>
      </c>
      <c r="P371" t="str">
        <f t="shared" si="43"/>
        <v>();</v>
      </c>
      <c r="Q371" t="str">
        <f t="shared" si="44"/>
        <v/>
      </c>
      <c r="R371" t="str">
        <f t="shared" si="40"/>
        <v/>
      </c>
      <c r="S371" s="1" t="str">
        <f t="shared" si="41"/>
        <v/>
      </c>
      <c r="T371"/>
      <c r="U371"/>
      <c r="V371"/>
      <c r="W371"/>
      <c r="X371"/>
      <c r="Y371"/>
      <c r="Z371">
        <v>362</v>
      </c>
      <c r="AA371"/>
      <c r="AB371"/>
      <c r="AC371" s="6"/>
      <c r="AD371" s="6"/>
      <c r="AE371" s="6"/>
      <c r="AF371" s="6"/>
      <c r="AG371" s="4"/>
      <c r="AH371" s="4"/>
      <c r="AI371" s="4"/>
      <c r="AJ371" s="4"/>
      <c r="AK371" s="4"/>
      <c r="AL371" s="4"/>
      <c r="AM371" s="4"/>
      <c r="AN371" s="4"/>
      <c r="AO371" s="4"/>
      <c r="AP371" s="4"/>
      <c r="AQ371" s="4"/>
      <c r="AR371" s="4"/>
      <c r="AS371" s="4"/>
      <c r="AT371" s="4"/>
      <c r="AU371" s="4"/>
      <c r="AV371" s="4"/>
      <c r="AW371" s="4"/>
      <c r="AX371" s="4"/>
      <c r="AY371" s="4"/>
      <c r="AZ371" s="4"/>
      <c r="BA371" s="4"/>
      <c r="BB371" s="3"/>
      <c r="BC371" s="3"/>
      <c r="CT371" s="2" t="e">
        <v>#N/A</v>
      </c>
      <c r="CU371" s="2" t="e">
        <v>#N/A</v>
      </c>
      <c r="CV371" s="2" t="e">
        <v>#N/A</v>
      </c>
      <c r="CW371" s="2" t="e">
        <v>#N/A</v>
      </c>
      <c r="CX371" s="2" t="e">
        <v>#N/A</v>
      </c>
      <c r="CY371" s="2" t="e">
        <v>#N/A</v>
      </c>
      <c r="CZ371" s="2" t="e">
        <v>#N/A</v>
      </c>
      <c r="DA371" s="2" t="e">
        <v>#N/A</v>
      </c>
      <c r="DB371" s="2" t="e">
        <v>#N/A</v>
      </c>
      <c r="DC371" s="2" t="e">
        <v>#N/A</v>
      </c>
      <c r="DD371" s="2" t="e">
        <v>#N/A</v>
      </c>
      <c r="DE371" s="2" t="e">
        <v>#N/A</v>
      </c>
      <c r="DF371" s="2" t="e">
        <v>#N/A</v>
      </c>
      <c r="DG371" s="2" t="e">
        <v>#N/A</v>
      </c>
      <c r="DH371" s="2" t="e">
        <v>#N/A</v>
      </c>
      <c r="DI371" s="2" t="e">
        <v>#N/A</v>
      </c>
    </row>
    <row r="372" spans="1:113" s="2" customFormat="1">
      <c r="A372"/>
      <c r="B372"/>
      <c r="C372" s="44"/>
      <c r="D372" s="44"/>
      <c r="E372" s="44"/>
      <c r="F372" s="44"/>
      <c r="G372" s="44"/>
      <c r="H372" s="44"/>
      <c r="I372" s="44"/>
      <c r="J372" s="44"/>
      <c r="K372" s="44"/>
      <c r="L372" s="44"/>
      <c r="M372" t="str">
        <f t="shared" si="39"/>
        <v>"//*[@class=\"</v>
      </c>
      <c r="N372" t="s">
        <v>31</v>
      </c>
      <c r="O372" s="4" t="str">
        <f t="shared" si="42"/>
        <v>click</v>
      </c>
      <c r="P372" t="str">
        <f t="shared" si="43"/>
        <v>();</v>
      </c>
      <c r="Q372" t="str">
        <f t="shared" si="44"/>
        <v/>
      </c>
      <c r="R372" t="str">
        <f t="shared" si="40"/>
        <v/>
      </c>
      <c r="S372" s="1" t="str">
        <f t="shared" si="41"/>
        <v/>
      </c>
      <c r="T372"/>
      <c r="U372"/>
      <c r="V372"/>
      <c r="W372"/>
      <c r="X372"/>
      <c r="Y372"/>
      <c r="Z372">
        <v>363</v>
      </c>
      <c r="AA372"/>
      <c r="AB372"/>
      <c r="AC372" s="6"/>
      <c r="AD372" s="6"/>
      <c r="AE372" s="6"/>
      <c r="AF372" s="6"/>
      <c r="AG372" s="4"/>
      <c r="AH372" s="4"/>
      <c r="AI372" s="4"/>
      <c r="AJ372" s="4"/>
      <c r="AK372" s="4"/>
      <c r="AL372" s="4"/>
      <c r="AM372" s="4"/>
      <c r="AN372" s="4"/>
      <c r="AO372" s="4"/>
      <c r="AP372" s="4"/>
      <c r="AQ372" s="4"/>
      <c r="AR372" s="4"/>
      <c r="AS372" s="4"/>
      <c r="AT372" s="4"/>
      <c r="AU372" s="4"/>
      <c r="AV372" s="4"/>
      <c r="AW372" s="4"/>
      <c r="AX372" s="4"/>
      <c r="AY372" s="4"/>
      <c r="AZ372" s="4"/>
      <c r="BA372" s="4"/>
      <c r="BB372" s="3"/>
      <c r="BC372" s="3"/>
      <c r="CT372" s="2" t="e">
        <v>#N/A</v>
      </c>
      <c r="CU372" s="2" t="e">
        <v>#N/A</v>
      </c>
      <c r="CV372" s="2" t="e">
        <v>#N/A</v>
      </c>
      <c r="CW372" s="2" t="e">
        <v>#N/A</v>
      </c>
      <c r="CX372" s="2" t="e">
        <v>#N/A</v>
      </c>
      <c r="CY372" s="2" t="e">
        <v>#N/A</v>
      </c>
      <c r="CZ372" s="2" t="e">
        <v>#N/A</v>
      </c>
      <c r="DA372" s="2" t="e">
        <v>#N/A</v>
      </c>
      <c r="DB372" s="2" t="e">
        <v>#N/A</v>
      </c>
      <c r="DC372" s="2" t="e">
        <v>#N/A</v>
      </c>
      <c r="DD372" s="2" t="e">
        <v>#N/A</v>
      </c>
      <c r="DE372" s="2" t="e">
        <v>#N/A</v>
      </c>
      <c r="DF372" s="2" t="e">
        <v>#N/A</v>
      </c>
      <c r="DG372" s="2" t="e">
        <v>#N/A</v>
      </c>
      <c r="DH372" s="2" t="e">
        <v>#N/A</v>
      </c>
      <c r="DI372" s="2" t="e">
        <v>#N/A</v>
      </c>
    </row>
    <row r="373" spans="1:113" s="2" customFormat="1">
      <c r="A373"/>
      <c r="B373"/>
      <c r="C373" s="44"/>
      <c r="D373" s="44"/>
      <c r="E373" s="44"/>
      <c r="F373" s="44"/>
      <c r="G373" s="44"/>
      <c r="H373" s="44"/>
      <c r="I373" s="44"/>
      <c r="J373" s="44"/>
      <c r="K373" s="44"/>
      <c r="L373" s="44"/>
      <c r="M373" t="str">
        <f t="shared" si="39"/>
        <v>"//*[@class=\"</v>
      </c>
      <c r="N373" t="s">
        <v>31</v>
      </c>
      <c r="O373" s="4" t="str">
        <f t="shared" si="42"/>
        <v>click</v>
      </c>
      <c r="P373" t="str">
        <f t="shared" si="43"/>
        <v>();</v>
      </c>
      <c r="Q373" t="str">
        <f t="shared" si="44"/>
        <v/>
      </c>
      <c r="R373" t="str">
        <f t="shared" si="40"/>
        <v/>
      </c>
      <c r="S373" s="1" t="str">
        <f t="shared" si="41"/>
        <v/>
      </c>
      <c r="T373"/>
      <c r="U373"/>
      <c r="V373"/>
      <c r="W373"/>
      <c r="X373"/>
      <c r="Y373"/>
      <c r="Z373">
        <v>364</v>
      </c>
      <c r="AA373"/>
      <c r="AB373"/>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3"/>
      <c r="BC373" s="3"/>
      <c r="CT373" s="2" t="e">
        <v>#N/A</v>
      </c>
      <c r="CU373" s="2" t="e">
        <v>#N/A</v>
      </c>
      <c r="CV373" s="2" t="e">
        <v>#N/A</v>
      </c>
      <c r="CW373" s="2" t="e">
        <v>#N/A</v>
      </c>
      <c r="CX373" s="2" t="e">
        <v>#N/A</v>
      </c>
      <c r="CY373" s="2" t="e">
        <v>#N/A</v>
      </c>
      <c r="CZ373" s="2" t="e">
        <v>#N/A</v>
      </c>
      <c r="DA373" s="2" t="e">
        <v>#N/A</v>
      </c>
      <c r="DB373" s="2" t="e">
        <v>#N/A</v>
      </c>
      <c r="DC373" s="2" t="e">
        <v>#N/A</v>
      </c>
      <c r="DD373" s="2" t="e">
        <v>#N/A</v>
      </c>
      <c r="DE373" s="2" t="e">
        <v>#N/A</v>
      </c>
      <c r="DF373" s="2" t="e">
        <v>#N/A</v>
      </c>
      <c r="DG373" s="2" t="e">
        <v>#N/A</v>
      </c>
      <c r="DH373" s="2" t="e">
        <v>#N/A</v>
      </c>
      <c r="DI373" s="2" t="e">
        <v>#N/A</v>
      </c>
    </row>
    <row r="374" spans="1:113" s="2" customFormat="1">
      <c r="A374"/>
      <c r="B374"/>
      <c r="C374" s="44"/>
      <c r="D374" s="44"/>
      <c r="E374" s="44"/>
      <c r="F374" s="44"/>
      <c r="G374" s="44"/>
      <c r="H374" s="44"/>
      <c r="I374" s="44"/>
      <c r="J374" s="44"/>
      <c r="K374" s="44"/>
      <c r="L374" s="44"/>
      <c r="M374" t="str">
        <f t="shared" si="39"/>
        <v>"//*[@class=\"</v>
      </c>
      <c r="N374" t="s">
        <v>31</v>
      </c>
      <c r="O374" s="4" t="str">
        <f t="shared" si="42"/>
        <v>click</v>
      </c>
      <c r="P374" t="str">
        <f t="shared" si="43"/>
        <v>();</v>
      </c>
      <c r="Q374" t="str">
        <f t="shared" si="44"/>
        <v/>
      </c>
      <c r="R374" t="str">
        <f t="shared" si="40"/>
        <v/>
      </c>
      <c r="S374" s="1" t="str">
        <f t="shared" si="41"/>
        <v/>
      </c>
      <c r="T374"/>
      <c r="U374"/>
      <c r="V374"/>
      <c r="W374"/>
      <c r="X374"/>
      <c r="Y374"/>
      <c r="Z374">
        <v>365</v>
      </c>
      <c r="AA374"/>
      <c r="AB37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3"/>
      <c r="BC374" s="3"/>
      <c r="CT374" s="2" t="e">
        <v>#N/A</v>
      </c>
      <c r="CU374" s="2" t="e">
        <v>#N/A</v>
      </c>
      <c r="CV374" s="2" t="e">
        <v>#N/A</v>
      </c>
      <c r="CW374" s="2" t="e">
        <v>#N/A</v>
      </c>
      <c r="CX374" s="2" t="e">
        <v>#N/A</v>
      </c>
      <c r="CY374" s="2" t="e">
        <v>#N/A</v>
      </c>
      <c r="CZ374" s="2" t="e">
        <v>#N/A</v>
      </c>
      <c r="DA374" s="2" t="e">
        <v>#N/A</v>
      </c>
      <c r="DB374" s="2" t="e">
        <v>#N/A</v>
      </c>
      <c r="DC374" s="2" t="e">
        <v>#N/A</v>
      </c>
      <c r="DD374" s="2" t="e">
        <v>#N/A</v>
      </c>
      <c r="DE374" s="2" t="e">
        <v>#N/A</v>
      </c>
      <c r="DF374" s="2" t="e">
        <v>#N/A</v>
      </c>
      <c r="DG374" s="2" t="e">
        <v>#N/A</v>
      </c>
      <c r="DH374" s="2" t="e">
        <v>#N/A</v>
      </c>
      <c r="DI374" s="2" t="e">
        <v>#N/A</v>
      </c>
    </row>
    <row r="375" spans="1:113" s="2" customFormat="1">
      <c r="A375"/>
      <c r="B375"/>
      <c r="C375" s="44"/>
      <c r="D375" s="44"/>
      <c r="E375" s="44"/>
      <c r="F375" s="44"/>
      <c r="G375" s="44"/>
      <c r="H375" s="44"/>
      <c r="I375" s="44"/>
      <c r="J375" s="44"/>
      <c r="K375" s="44"/>
      <c r="L375" s="44"/>
      <c r="M375" t="str">
        <f t="shared" si="39"/>
        <v>"//*[@class=\"</v>
      </c>
      <c r="N375" t="s">
        <v>31</v>
      </c>
      <c r="O375" s="4" t="str">
        <f t="shared" si="42"/>
        <v>click</v>
      </c>
      <c r="P375" t="str">
        <f t="shared" si="43"/>
        <v>();</v>
      </c>
      <c r="Q375" t="str">
        <f t="shared" si="44"/>
        <v/>
      </c>
      <c r="R375" t="str">
        <f t="shared" si="40"/>
        <v/>
      </c>
      <c r="S375" s="1" t="str">
        <f t="shared" si="41"/>
        <v/>
      </c>
      <c r="T375"/>
      <c r="U375"/>
      <c r="V375"/>
      <c r="W375"/>
      <c r="X375"/>
      <c r="Y375"/>
      <c r="Z375">
        <v>366</v>
      </c>
      <c r="AA375"/>
      <c r="AB375"/>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3"/>
      <c r="BC375" s="3"/>
      <c r="CT375" s="2" t="e">
        <v>#N/A</v>
      </c>
      <c r="CU375" s="2" t="e">
        <v>#N/A</v>
      </c>
      <c r="CV375" s="2" t="e">
        <v>#N/A</v>
      </c>
      <c r="CW375" s="2" t="e">
        <v>#N/A</v>
      </c>
      <c r="CX375" s="2" t="e">
        <v>#N/A</v>
      </c>
      <c r="CY375" s="2" t="e">
        <v>#N/A</v>
      </c>
      <c r="CZ375" s="2" t="e">
        <v>#N/A</v>
      </c>
      <c r="DA375" s="2" t="e">
        <v>#N/A</v>
      </c>
      <c r="DB375" s="2" t="e">
        <v>#N/A</v>
      </c>
      <c r="DC375" s="2" t="e">
        <v>#N/A</v>
      </c>
      <c r="DD375" s="2" t="e">
        <v>#N/A</v>
      </c>
      <c r="DE375" s="2" t="e">
        <v>#N/A</v>
      </c>
      <c r="DF375" s="2" t="e">
        <v>#N/A</v>
      </c>
      <c r="DG375" s="2" t="e">
        <v>#N/A</v>
      </c>
      <c r="DH375" s="2" t="e">
        <v>#N/A</v>
      </c>
      <c r="DI375" s="2" t="e">
        <v>#N/A</v>
      </c>
    </row>
    <row r="376" spans="1:113" s="2" customFormat="1">
      <c r="A376"/>
      <c r="B376"/>
      <c r="C376" s="44"/>
      <c r="D376" s="44"/>
      <c r="E376" s="44"/>
      <c r="F376" s="44"/>
      <c r="G376" s="44"/>
      <c r="H376" s="44"/>
      <c r="I376" s="44"/>
      <c r="J376" s="44"/>
      <c r="K376" s="44"/>
      <c r="L376" s="44"/>
      <c r="M376" t="str">
        <f t="shared" si="39"/>
        <v>"//*[@class=\"</v>
      </c>
      <c r="N376" t="s">
        <v>31</v>
      </c>
      <c r="O376" s="4" t="str">
        <f t="shared" si="42"/>
        <v>click</v>
      </c>
      <c r="P376" t="str">
        <f t="shared" si="43"/>
        <v>();</v>
      </c>
      <c r="Q376" t="str">
        <f t="shared" si="44"/>
        <v/>
      </c>
      <c r="R376" t="str">
        <f t="shared" si="40"/>
        <v/>
      </c>
      <c r="S376" s="1" t="str">
        <f t="shared" si="41"/>
        <v/>
      </c>
      <c r="T376"/>
      <c r="U376"/>
      <c r="V376"/>
      <c r="W376"/>
      <c r="X376"/>
      <c r="Y376"/>
      <c r="Z376">
        <v>367</v>
      </c>
      <c r="AA376"/>
      <c r="AB376"/>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3"/>
      <c r="BC376" s="3"/>
      <c r="CT376" s="2" t="e">
        <v>#N/A</v>
      </c>
      <c r="CU376" s="2" t="e">
        <v>#N/A</v>
      </c>
      <c r="CV376" s="2" t="e">
        <v>#N/A</v>
      </c>
      <c r="CW376" s="2" t="e">
        <v>#N/A</v>
      </c>
      <c r="CX376" s="2" t="e">
        <v>#N/A</v>
      </c>
      <c r="CY376" s="2" t="e">
        <v>#N/A</v>
      </c>
      <c r="CZ376" s="2" t="e">
        <v>#N/A</v>
      </c>
      <c r="DA376" s="2" t="e">
        <v>#N/A</v>
      </c>
      <c r="DB376" s="2" t="e">
        <v>#N/A</v>
      </c>
      <c r="DC376" s="2" t="e">
        <v>#N/A</v>
      </c>
      <c r="DD376" s="2" t="e">
        <v>#N/A</v>
      </c>
      <c r="DE376" s="2" t="e">
        <v>#N/A</v>
      </c>
      <c r="DF376" s="2" t="e">
        <v>#N/A</v>
      </c>
      <c r="DG376" s="2" t="e">
        <v>#N/A</v>
      </c>
      <c r="DH376" s="2" t="e">
        <v>#N/A</v>
      </c>
      <c r="DI376" s="2" t="e">
        <v>#N/A</v>
      </c>
    </row>
    <row r="377" spans="1:113" s="2" customFormat="1">
      <c r="A377"/>
      <c r="B377"/>
      <c r="C377" s="44"/>
      <c r="D377" s="44"/>
      <c r="E377" s="44"/>
      <c r="F377" s="44"/>
      <c r="G377" s="44"/>
      <c r="H377" s="44"/>
      <c r="I377" s="44"/>
      <c r="J377" s="44"/>
      <c r="K377" s="44"/>
      <c r="L377" s="44"/>
      <c r="M377" t="str">
        <f t="shared" si="39"/>
        <v>"//*[@class=\"</v>
      </c>
      <c r="N377" t="s">
        <v>31</v>
      </c>
      <c r="O377" s="4" t="str">
        <f t="shared" si="42"/>
        <v>click</v>
      </c>
      <c r="P377" t="str">
        <f t="shared" si="43"/>
        <v>();</v>
      </c>
      <c r="Q377" t="str">
        <f t="shared" si="44"/>
        <v/>
      </c>
      <c r="R377" t="str">
        <f t="shared" si="40"/>
        <v/>
      </c>
      <c r="S377" s="1" t="str">
        <f t="shared" si="41"/>
        <v/>
      </c>
      <c r="T377"/>
      <c r="U377"/>
      <c r="V377"/>
      <c r="W377"/>
      <c r="X377"/>
      <c r="Y377"/>
      <c r="Z377">
        <v>368</v>
      </c>
      <c r="AA377"/>
      <c r="AB377"/>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3"/>
      <c r="BC377" s="3"/>
      <c r="CT377" s="2" t="e">
        <v>#N/A</v>
      </c>
      <c r="CU377" s="2" t="e">
        <v>#N/A</v>
      </c>
      <c r="CV377" s="2" t="e">
        <v>#N/A</v>
      </c>
      <c r="CW377" s="2" t="e">
        <v>#N/A</v>
      </c>
      <c r="CX377" s="2" t="e">
        <v>#N/A</v>
      </c>
      <c r="CY377" s="2" t="e">
        <v>#N/A</v>
      </c>
      <c r="CZ377" s="2" t="e">
        <v>#N/A</v>
      </c>
      <c r="DA377" s="2" t="e">
        <v>#N/A</v>
      </c>
      <c r="DB377" s="2" t="e">
        <v>#N/A</v>
      </c>
      <c r="DC377" s="2" t="e">
        <v>#N/A</v>
      </c>
      <c r="DD377" s="2" t="e">
        <v>#N/A</v>
      </c>
      <c r="DE377" s="2" t="e">
        <v>#N/A</v>
      </c>
      <c r="DF377" s="2" t="e">
        <v>#N/A</v>
      </c>
      <c r="DG377" s="2" t="e">
        <v>#N/A</v>
      </c>
      <c r="DH377" s="2" t="e">
        <v>#N/A</v>
      </c>
      <c r="DI377" s="2" t="e">
        <v>#N/A</v>
      </c>
    </row>
    <row r="378" spans="1:113" s="2" customFormat="1">
      <c r="A378"/>
      <c r="B378"/>
      <c r="C378" s="44"/>
      <c r="D378" s="44"/>
      <c r="E378" s="44"/>
      <c r="F378" s="44"/>
      <c r="G378" s="44"/>
      <c r="H378" s="44"/>
      <c r="I378" s="44"/>
      <c r="J378" s="44"/>
      <c r="K378" s="44"/>
      <c r="L378" s="44"/>
      <c r="M378" t="str">
        <f t="shared" si="39"/>
        <v>"//*[@class=\"</v>
      </c>
      <c r="N378" t="s">
        <v>31</v>
      </c>
      <c r="O378" s="4" t="str">
        <f t="shared" si="42"/>
        <v>click</v>
      </c>
      <c r="P378" t="str">
        <f t="shared" si="43"/>
        <v>();</v>
      </c>
      <c r="Q378" t="str">
        <f t="shared" si="44"/>
        <v/>
      </c>
      <c r="R378" t="str">
        <f t="shared" si="40"/>
        <v/>
      </c>
      <c r="S378" s="1" t="str">
        <f t="shared" si="41"/>
        <v/>
      </c>
      <c r="T378"/>
      <c r="U378"/>
      <c r="V378"/>
      <c r="W378"/>
      <c r="X378"/>
      <c r="Y378"/>
      <c r="Z378">
        <v>369</v>
      </c>
      <c r="AA378"/>
      <c r="AB378"/>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3"/>
      <c r="BC378" s="3"/>
      <c r="CT378" s="2" t="e">
        <v>#N/A</v>
      </c>
      <c r="CU378" s="2" t="e">
        <v>#N/A</v>
      </c>
      <c r="CV378" s="2" t="e">
        <v>#N/A</v>
      </c>
      <c r="CW378" s="2" t="e">
        <v>#N/A</v>
      </c>
      <c r="CX378" s="2" t="e">
        <v>#N/A</v>
      </c>
      <c r="CY378" s="2" t="e">
        <v>#N/A</v>
      </c>
      <c r="CZ378" s="2" t="e">
        <v>#N/A</v>
      </c>
      <c r="DA378" s="2" t="e">
        <v>#N/A</v>
      </c>
      <c r="DB378" s="2" t="e">
        <v>#N/A</v>
      </c>
      <c r="DC378" s="2" t="e">
        <v>#N/A</v>
      </c>
      <c r="DD378" s="2" t="e">
        <v>#N/A</v>
      </c>
      <c r="DE378" s="2" t="e">
        <v>#N/A</v>
      </c>
      <c r="DF378" s="2" t="e">
        <v>#N/A</v>
      </c>
      <c r="DG378" s="2" t="e">
        <v>#N/A</v>
      </c>
      <c r="DH378" s="2" t="e">
        <v>#N/A</v>
      </c>
      <c r="DI378" s="2" t="e">
        <v>#N/A</v>
      </c>
    </row>
    <row r="379" spans="1:113" s="2" customFormat="1">
      <c r="A379"/>
      <c r="B379"/>
      <c r="C379" s="44"/>
      <c r="D379" s="44"/>
      <c r="E379" s="44"/>
      <c r="F379" s="44"/>
      <c r="G379" s="44"/>
      <c r="H379" s="44"/>
      <c r="I379" s="44"/>
      <c r="J379" s="44"/>
      <c r="K379" s="44"/>
      <c r="L379" s="44"/>
      <c r="M379" t="str">
        <f t="shared" si="39"/>
        <v>"//*[@class=\"</v>
      </c>
      <c r="N379" t="s">
        <v>31</v>
      </c>
      <c r="O379" s="4" t="str">
        <f t="shared" si="42"/>
        <v>click</v>
      </c>
      <c r="P379" t="str">
        <f t="shared" si="43"/>
        <v>();</v>
      </c>
      <c r="Q379" t="str">
        <f t="shared" si="44"/>
        <v/>
      </c>
      <c r="R379" t="str">
        <f t="shared" si="40"/>
        <v/>
      </c>
      <c r="S379" s="1" t="str">
        <f t="shared" si="41"/>
        <v/>
      </c>
      <c r="T379"/>
      <c r="U379"/>
      <c r="V379"/>
      <c r="W379"/>
      <c r="X379"/>
      <c r="Y379"/>
      <c r="Z379">
        <v>370</v>
      </c>
      <c r="AA379"/>
      <c r="AB379"/>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3"/>
      <c r="BC379" s="3"/>
      <c r="CT379" s="2" t="e">
        <v>#N/A</v>
      </c>
      <c r="CU379" s="2" t="e">
        <v>#N/A</v>
      </c>
      <c r="CV379" s="2" t="e">
        <v>#N/A</v>
      </c>
      <c r="CW379" s="2" t="e">
        <v>#N/A</v>
      </c>
      <c r="CX379" s="2" t="e">
        <v>#N/A</v>
      </c>
      <c r="CY379" s="2" t="e">
        <v>#N/A</v>
      </c>
      <c r="CZ379" s="2" t="e">
        <v>#N/A</v>
      </c>
      <c r="DA379" s="2" t="e">
        <v>#N/A</v>
      </c>
      <c r="DB379" s="2" t="e">
        <v>#N/A</v>
      </c>
      <c r="DC379" s="2" t="e">
        <v>#N/A</v>
      </c>
      <c r="DD379" s="2" t="e">
        <v>#N/A</v>
      </c>
      <c r="DE379" s="2" t="e">
        <v>#N/A</v>
      </c>
      <c r="DF379" s="2" t="e">
        <v>#N/A</v>
      </c>
      <c r="DG379" s="2" t="e">
        <v>#N/A</v>
      </c>
      <c r="DH379" s="2" t="e">
        <v>#N/A</v>
      </c>
      <c r="DI379" s="2" t="e">
        <v>#N/A</v>
      </c>
    </row>
    <row r="380" spans="1:113" s="2" customFormat="1">
      <c r="A380"/>
      <c r="B380"/>
      <c r="C380" s="44"/>
      <c r="D380" s="44"/>
      <c r="E380" s="44"/>
      <c r="F380" s="44"/>
      <c r="G380" s="44"/>
      <c r="H380" s="44"/>
      <c r="I380" s="44"/>
      <c r="J380" s="44"/>
      <c r="K380" s="44"/>
      <c r="L380" s="44"/>
      <c r="M380" t="str">
        <f t="shared" si="39"/>
        <v>"//*[@class=\"</v>
      </c>
      <c r="N380" t="s">
        <v>31</v>
      </c>
      <c r="O380" s="4" t="str">
        <f t="shared" si="42"/>
        <v>click</v>
      </c>
      <c r="P380" t="str">
        <f t="shared" si="43"/>
        <v>();</v>
      </c>
      <c r="Q380" t="str">
        <f t="shared" si="44"/>
        <v/>
      </c>
      <c r="R380" t="str">
        <f t="shared" si="40"/>
        <v/>
      </c>
      <c r="S380" s="1" t="str">
        <f t="shared" si="41"/>
        <v/>
      </c>
      <c r="T380"/>
      <c r="U380"/>
      <c r="V380"/>
      <c r="W380"/>
      <c r="X380"/>
      <c r="Y380"/>
      <c r="Z380">
        <v>371</v>
      </c>
      <c r="AA380"/>
      <c r="AB380"/>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3"/>
      <c r="BC380" s="3"/>
      <c r="CT380" s="2" t="e">
        <v>#N/A</v>
      </c>
      <c r="CU380" s="2" t="e">
        <v>#N/A</v>
      </c>
      <c r="CV380" s="2" t="e">
        <v>#N/A</v>
      </c>
      <c r="CW380" s="2" t="e">
        <v>#N/A</v>
      </c>
      <c r="CX380" s="2" t="e">
        <v>#N/A</v>
      </c>
      <c r="CY380" s="2" t="e">
        <v>#N/A</v>
      </c>
      <c r="CZ380" s="2" t="e">
        <v>#N/A</v>
      </c>
      <c r="DA380" s="2" t="e">
        <v>#N/A</v>
      </c>
      <c r="DB380" s="2" t="e">
        <v>#N/A</v>
      </c>
      <c r="DC380" s="2" t="e">
        <v>#N/A</v>
      </c>
      <c r="DD380" s="2" t="e">
        <v>#N/A</v>
      </c>
      <c r="DE380" s="2" t="e">
        <v>#N/A</v>
      </c>
      <c r="DF380" s="2" t="e">
        <v>#N/A</v>
      </c>
      <c r="DG380" s="2" t="e">
        <v>#N/A</v>
      </c>
      <c r="DH380" s="2" t="e">
        <v>#N/A</v>
      </c>
      <c r="DI380" s="2" t="e">
        <v>#N/A</v>
      </c>
    </row>
    <row r="381" spans="1:113" s="2" customFormat="1">
      <c r="A381"/>
      <c r="B381"/>
      <c r="C381" s="44"/>
      <c r="D381" s="44"/>
      <c r="E381" s="44"/>
      <c r="F381" s="44"/>
      <c r="G381" s="44"/>
      <c r="H381" s="44"/>
      <c r="I381" s="44"/>
      <c r="J381" s="44"/>
      <c r="K381" s="44"/>
      <c r="L381" s="44"/>
      <c r="M381" t="str">
        <f t="shared" si="39"/>
        <v>"//*[@class=\"</v>
      </c>
      <c r="N381" t="s">
        <v>31</v>
      </c>
      <c r="O381" s="4" t="str">
        <f t="shared" si="42"/>
        <v>click</v>
      </c>
      <c r="P381" t="str">
        <f t="shared" si="43"/>
        <v>();</v>
      </c>
      <c r="Q381" t="str">
        <f t="shared" si="44"/>
        <v/>
      </c>
      <c r="R381" t="str">
        <f t="shared" si="40"/>
        <v/>
      </c>
      <c r="S381" s="1" t="str">
        <f t="shared" si="41"/>
        <v/>
      </c>
      <c r="T381"/>
      <c r="U381"/>
      <c r="V381"/>
      <c r="W381"/>
      <c r="X381"/>
      <c r="Y381"/>
      <c r="Z381">
        <v>372</v>
      </c>
      <c r="AA381"/>
      <c r="AB381"/>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3"/>
      <c r="BC381" s="3"/>
      <c r="CT381" s="2" t="e">
        <v>#N/A</v>
      </c>
      <c r="CU381" s="2" t="e">
        <v>#N/A</v>
      </c>
      <c r="CV381" s="2" t="e">
        <v>#N/A</v>
      </c>
      <c r="CW381" s="2" t="e">
        <v>#N/A</v>
      </c>
      <c r="CX381" s="2" t="e">
        <v>#N/A</v>
      </c>
      <c r="CY381" s="2" t="e">
        <v>#N/A</v>
      </c>
      <c r="CZ381" s="2" t="e">
        <v>#N/A</v>
      </c>
      <c r="DA381" s="2" t="e">
        <v>#N/A</v>
      </c>
      <c r="DB381" s="2" t="e">
        <v>#N/A</v>
      </c>
      <c r="DC381" s="2" t="e">
        <v>#N/A</v>
      </c>
      <c r="DD381" s="2" t="e">
        <v>#N/A</v>
      </c>
      <c r="DE381" s="2" t="e">
        <v>#N/A</v>
      </c>
      <c r="DF381" s="2" t="e">
        <v>#N/A</v>
      </c>
      <c r="DG381" s="2" t="e">
        <v>#N/A</v>
      </c>
      <c r="DH381" s="2" t="e">
        <v>#N/A</v>
      </c>
      <c r="DI381" s="2" t="e">
        <v>#N/A</v>
      </c>
    </row>
    <row r="382" spans="1:113" s="2" customFormat="1">
      <c r="A382"/>
      <c r="B382"/>
      <c r="C382" s="44"/>
      <c r="D382" s="44"/>
      <c r="E382" s="44"/>
      <c r="F382" s="44"/>
      <c r="G382" s="44"/>
      <c r="H382" s="44"/>
      <c r="I382" s="44"/>
      <c r="J382" s="44"/>
      <c r="K382" s="44"/>
      <c r="L382" s="44"/>
      <c r="M382" t="str">
        <f t="shared" si="39"/>
        <v>"//*[@class=\"</v>
      </c>
      <c r="N382" t="s">
        <v>31</v>
      </c>
      <c r="O382" s="4" t="str">
        <f t="shared" si="42"/>
        <v>click</v>
      </c>
      <c r="P382" t="str">
        <f t="shared" si="43"/>
        <v>();</v>
      </c>
      <c r="Q382" t="str">
        <f t="shared" si="44"/>
        <v/>
      </c>
      <c r="R382" t="str">
        <f t="shared" si="40"/>
        <v/>
      </c>
      <c r="S382" s="1" t="str">
        <f t="shared" si="41"/>
        <v/>
      </c>
      <c r="T382"/>
      <c r="U382"/>
      <c r="V382"/>
      <c r="W382"/>
      <c r="X382"/>
      <c r="Y382"/>
      <c r="Z382">
        <v>373</v>
      </c>
      <c r="AA382"/>
      <c r="AB382"/>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3"/>
      <c r="BC382" s="3"/>
      <c r="CT382" s="2" t="e">
        <v>#N/A</v>
      </c>
      <c r="CU382" s="2" t="e">
        <v>#N/A</v>
      </c>
      <c r="CV382" s="2" t="e">
        <v>#N/A</v>
      </c>
      <c r="CW382" s="2" t="e">
        <v>#N/A</v>
      </c>
      <c r="CX382" s="2" t="e">
        <v>#N/A</v>
      </c>
      <c r="CY382" s="2" t="e">
        <v>#N/A</v>
      </c>
      <c r="CZ382" s="2" t="e">
        <v>#N/A</v>
      </c>
      <c r="DA382" s="2" t="e">
        <v>#N/A</v>
      </c>
      <c r="DB382" s="2" t="e">
        <v>#N/A</v>
      </c>
      <c r="DC382" s="2" t="e">
        <v>#N/A</v>
      </c>
      <c r="DD382" s="2" t="e">
        <v>#N/A</v>
      </c>
      <c r="DE382" s="2" t="e">
        <v>#N/A</v>
      </c>
      <c r="DF382" s="2" t="e">
        <v>#N/A</v>
      </c>
      <c r="DG382" s="2" t="e">
        <v>#N/A</v>
      </c>
      <c r="DH382" s="2" t="e">
        <v>#N/A</v>
      </c>
      <c r="DI382" s="2" t="e">
        <v>#N/A</v>
      </c>
    </row>
    <row r="383" spans="1:113" s="2" customFormat="1">
      <c r="A383"/>
      <c r="B383"/>
      <c r="C383" s="44"/>
      <c r="D383" s="44"/>
      <c r="E383" s="44"/>
      <c r="F383" s="44"/>
      <c r="G383" s="44"/>
      <c r="H383" s="44"/>
      <c r="I383" s="44"/>
      <c r="J383" s="44"/>
      <c r="K383" s="44"/>
      <c r="L383" s="44"/>
      <c r="M383" t="str">
        <f t="shared" si="39"/>
        <v>"//*[@class=\"</v>
      </c>
      <c r="N383" t="s">
        <v>31</v>
      </c>
      <c r="O383" s="4" t="str">
        <f t="shared" si="42"/>
        <v>click</v>
      </c>
      <c r="P383" t="str">
        <f t="shared" si="43"/>
        <v>();</v>
      </c>
      <c r="Q383" t="str">
        <f t="shared" si="44"/>
        <v/>
      </c>
      <c r="R383" t="str">
        <f t="shared" si="40"/>
        <v/>
      </c>
      <c r="S383" s="1" t="str">
        <f t="shared" si="41"/>
        <v/>
      </c>
      <c r="T383"/>
      <c r="U383"/>
      <c r="V383"/>
      <c r="W383"/>
      <c r="X383"/>
      <c r="Y383"/>
      <c r="Z383">
        <v>374</v>
      </c>
      <c r="AA383"/>
      <c r="AB383"/>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3"/>
      <c r="BC383" s="3"/>
      <c r="CT383" s="2" t="e">
        <v>#N/A</v>
      </c>
      <c r="CU383" s="2" t="e">
        <v>#N/A</v>
      </c>
      <c r="CV383" s="2" t="e">
        <v>#N/A</v>
      </c>
      <c r="CW383" s="2" t="e">
        <v>#N/A</v>
      </c>
      <c r="CX383" s="2" t="e">
        <v>#N/A</v>
      </c>
      <c r="CY383" s="2" t="e">
        <v>#N/A</v>
      </c>
      <c r="CZ383" s="2" t="e">
        <v>#N/A</v>
      </c>
      <c r="DA383" s="2" t="e">
        <v>#N/A</v>
      </c>
      <c r="DB383" s="2" t="e">
        <v>#N/A</v>
      </c>
      <c r="DC383" s="2" t="e">
        <v>#N/A</v>
      </c>
      <c r="DD383" s="2" t="e">
        <v>#N/A</v>
      </c>
      <c r="DE383" s="2" t="e">
        <v>#N/A</v>
      </c>
      <c r="DF383" s="2" t="e">
        <v>#N/A</v>
      </c>
      <c r="DG383" s="2" t="e">
        <v>#N/A</v>
      </c>
      <c r="DH383" s="2" t="e">
        <v>#N/A</v>
      </c>
      <c r="DI383" s="2" t="e">
        <v>#N/A</v>
      </c>
    </row>
    <row r="384" spans="1:113" s="2" customFormat="1">
      <c r="A384"/>
      <c r="B384"/>
      <c r="C384" s="44"/>
      <c r="D384" s="44"/>
      <c r="E384" s="44"/>
      <c r="F384" s="44"/>
      <c r="G384" s="44"/>
      <c r="H384" s="44"/>
      <c r="I384" s="44"/>
      <c r="J384" s="44"/>
      <c r="K384" s="44"/>
      <c r="L384" s="44"/>
      <c r="M384" t="str">
        <f t="shared" si="39"/>
        <v>"//*[@class=\"</v>
      </c>
      <c r="N384" t="s">
        <v>31</v>
      </c>
      <c r="O384" s="4" t="str">
        <f t="shared" si="42"/>
        <v>click</v>
      </c>
      <c r="P384" t="str">
        <f t="shared" si="43"/>
        <v>();</v>
      </c>
      <c r="Q384" t="str">
        <f t="shared" si="44"/>
        <v/>
      </c>
      <c r="R384" t="str">
        <f t="shared" si="40"/>
        <v/>
      </c>
      <c r="S384" s="1" t="str">
        <f t="shared" si="41"/>
        <v/>
      </c>
      <c r="T384"/>
      <c r="U384"/>
      <c r="V384"/>
      <c r="W384"/>
      <c r="X384"/>
      <c r="Y384"/>
      <c r="Z384">
        <v>375</v>
      </c>
      <c r="AA384"/>
      <c r="AB38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3"/>
      <c r="BC384" s="3"/>
      <c r="CT384" s="2" t="e">
        <v>#N/A</v>
      </c>
      <c r="CU384" s="2" t="e">
        <v>#N/A</v>
      </c>
      <c r="CV384" s="2" t="e">
        <v>#N/A</v>
      </c>
      <c r="CW384" s="2" t="e">
        <v>#N/A</v>
      </c>
      <c r="CX384" s="2" t="e">
        <v>#N/A</v>
      </c>
      <c r="CY384" s="2" t="e">
        <v>#N/A</v>
      </c>
      <c r="CZ384" s="2" t="e">
        <v>#N/A</v>
      </c>
      <c r="DA384" s="2" t="e">
        <v>#N/A</v>
      </c>
      <c r="DB384" s="2" t="e">
        <v>#N/A</v>
      </c>
      <c r="DC384" s="2" t="e">
        <v>#N/A</v>
      </c>
      <c r="DD384" s="2" t="e">
        <v>#N/A</v>
      </c>
      <c r="DE384" s="2" t="e">
        <v>#N/A</v>
      </c>
      <c r="DF384" s="2" t="e">
        <v>#N/A</v>
      </c>
      <c r="DG384" s="2" t="e">
        <v>#N/A</v>
      </c>
      <c r="DH384" s="2" t="e">
        <v>#N/A</v>
      </c>
      <c r="DI384" s="2" t="e">
        <v>#N/A</v>
      </c>
    </row>
    <row r="385" spans="1:113" s="2" customFormat="1">
      <c r="A385"/>
      <c r="B385"/>
      <c r="C385" s="44"/>
      <c r="D385" s="44"/>
      <c r="E385" s="44"/>
      <c r="F385" s="44"/>
      <c r="G385" s="44"/>
      <c r="H385" s="44"/>
      <c r="I385" s="44"/>
      <c r="J385" s="44"/>
      <c r="K385" s="44"/>
      <c r="L385" s="44"/>
      <c r="M385" t="str">
        <f t="shared" si="39"/>
        <v>"//*[@class=\"</v>
      </c>
      <c r="N385" t="s">
        <v>31</v>
      </c>
      <c r="O385" s="4" t="str">
        <f t="shared" si="42"/>
        <v>click</v>
      </c>
      <c r="P385" t="str">
        <f t="shared" si="43"/>
        <v>();</v>
      </c>
      <c r="Q385" t="str">
        <f t="shared" si="44"/>
        <v/>
      </c>
      <c r="R385" t="str">
        <f t="shared" si="40"/>
        <v/>
      </c>
      <c r="S385" s="1" t="str">
        <f t="shared" si="41"/>
        <v/>
      </c>
      <c r="T385"/>
      <c r="U385"/>
      <c r="V385"/>
      <c r="W385"/>
      <c r="X385"/>
      <c r="Y385"/>
      <c r="Z385">
        <v>376</v>
      </c>
      <c r="AA385"/>
      <c r="AB385"/>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3"/>
      <c r="BC385" s="3"/>
      <c r="CT385" s="2" t="e">
        <v>#N/A</v>
      </c>
      <c r="CU385" s="2" t="e">
        <v>#N/A</v>
      </c>
      <c r="CV385" s="2" t="e">
        <v>#N/A</v>
      </c>
      <c r="CW385" s="2" t="e">
        <v>#N/A</v>
      </c>
      <c r="CX385" s="2" t="e">
        <v>#N/A</v>
      </c>
      <c r="CY385" s="2" t="e">
        <v>#N/A</v>
      </c>
      <c r="CZ385" s="2" t="e">
        <v>#N/A</v>
      </c>
      <c r="DA385" s="2" t="e">
        <v>#N/A</v>
      </c>
      <c r="DB385" s="2" t="e">
        <v>#N/A</v>
      </c>
      <c r="DC385" s="2" t="e">
        <v>#N/A</v>
      </c>
      <c r="DD385" s="2" t="e">
        <v>#N/A</v>
      </c>
      <c r="DE385" s="2" t="e">
        <v>#N/A</v>
      </c>
      <c r="DF385" s="2" t="e">
        <v>#N/A</v>
      </c>
      <c r="DG385" s="2" t="e">
        <v>#N/A</v>
      </c>
      <c r="DH385" s="2" t="e">
        <v>#N/A</v>
      </c>
      <c r="DI385" s="2" t="e">
        <v>#N/A</v>
      </c>
    </row>
    <row r="386" spans="1:113" s="2" customFormat="1">
      <c r="A386"/>
      <c r="B386"/>
      <c r="C386" s="44"/>
      <c r="D386" s="44"/>
      <c r="E386" s="44"/>
      <c r="F386" s="44"/>
      <c r="G386" s="44"/>
      <c r="H386" s="44"/>
      <c r="I386" s="44"/>
      <c r="J386" s="44"/>
      <c r="K386" s="44"/>
      <c r="L386" s="44"/>
      <c r="M386" t="str">
        <f t="shared" si="39"/>
        <v>"//*[@class=\"</v>
      </c>
      <c r="N386" t="s">
        <v>31</v>
      </c>
      <c r="O386" s="4" t="str">
        <f t="shared" si="42"/>
        <v>click</v>
      </c>
      <c r="P386" t="str">
        <f t="shared" si="43"/>
        <v>();</v>
      </c>
      <c r="Q386" t="str">
        <f t="shared" si="44"/>
        <v/>
      </c>
      <c r="R386" t="str">
        <f t="shared" si="40"/>
        <v/>
      </c>
      <c r="S386" s="1" t="str">
        <f t="shared" si="41"/>
        <v/>
      </c>
      <c r="T386"/>
      <c r="U386"/>
      <c r="V386"/>
      <c r="W386"/>
      <c r="X386"/>
      <c r="Y386"/>
      <c r="Z386">
        <v>377</v>
      </c>
      <c r="AA386"/>
      <c r="AB386"/>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3"/>
      <c r="BC386" s="3"/>
      <c r="CT386" s="2" t="e">
        <v>#N/A</v>
      </c>
      <c r="CU386" s="2" t="e">
        <v>#N/A</v>
      </c>
      <c r="CV386" s="2" t="e">
        <v>#N/A</v>
      </c>
      <c r="CW386" s="2" t="e">
        <v>#N/A</v>
      </c>
      <c r="CX386" s="2" t="e">
        <v>#N/A</v>
      </c>
      <c r="CY386" s="2" t="e">
        <v>#N/A</v>
      </c>
      <c r="CZ386" s="2" t="e">
        <v>#N/A</v>
      </c>
      <c r="DA386" s="2" t="e">
        <v>#N/A</v>
      </c>
      <c r="DB386" s="2" t="e">
        <v>#N/A</v>
      </c>
      <c r="DC386" s="2" t="e">
        <v>#N/A</v>
      </c>
      <c r="DD386" s="2" t="e">
        <v>#N/A</v>
      </c>
      <c r="DE386" s="2" t="e">
        <v>#N/A</v>
      </c>
      <c r="DF386" s="2" t="e">
        <v>#N/A</v>
      </c>
      <c r="DG386" s="2" t="e">
        <v>#N/A</v>
      </c>
      <c r="DH386" s="2" t="e">
        <v>#N/A</v>
      </c>
      <c r="DI386" s="2" t="e">
        <v>#N/A</v>
      </c>
    </row>
    <row r="387" spans="1:113" s="2" customFormat="1">
      <c r="A387"/>
      <c r="B387"/>
      <c r="C387" s="44"/>
      <c r="D387" s="44"/>
      <c r="E387" s="44"/>
      <c r="F387" s="44"/>
      <c r="G387" s="44"/>
      <c r="H387" s="44"/>
      <c r="I387" s="44"/>
      <c r="J387" s="44"/>
      <c r="K387" s="44"/>
      <c r="L387" s="44"/>
      <c r="M387" t="str">
        <f t="shared" si="39"/>
        <v>"//*[@class=\"</v>
      </c>
      <c r="N387" t="s">
        <v>31</v>
      </c>
      <c r="O387" s="4" t="str">
        <f t="shared" si="42"/>
        <v>click</v>
      </c>
      <c r="P387" t="str">
        <f t="shared" si="43"/>
        <v>();</v>
      </c>
      <c r="Q387" t="str">
        <f t="shared" si="44"/>
        <v/>
      </c>
      <c r="R387" t="str">
        <f t="shared" si="40"/>
        <v/>
      </c>
      <c r="S387" s="1" t="str">
        <f t="shared" si="41"/>
        <v/>
      </c>
      <c r="T387"/>
      <c r="U387"/>
      <c r="V387"/>
      <c r="W387"/>
      <c r="X387"/>
      <c r="Y387"/>
      <c r="Z387">
        <v>378</v>
      </c>
      <c r="AA387"/>
      <c r="AB387"/>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3"/>
      <c r="BC387" s="3"/>
      <c r="CT387" s="2" t="e">
        <v>#N/A</v>
      </c>
      <c r="CU387" s="2" t="e">
        <v>#N/A</v>
      </c>
      <c r="CV387" s="2" t="e">
        <v>#N/A</v>
      </c>
      <c r="CW387" s="2" t="e">
        <v>#N/A</v>
      </c>
      <c r="CX387" s="2" t="e">
        <v>#N/A</v>
      </c>
      <c r="CY387" s="2" t="e">
        <v>#N/A</v>
      </c>
      <c r="CZ387" s="2" t="e">
        <v>#N/A</v>
      </c>
      <c r="DA387" s="2" t="e">
        <v>#N/A</v>
      </c>
      <c r="DB387" s="2" t="e">
        <v>#N/A</v>
      </c>
      <c r="DC387" s="2" t="e">
        <v>#N/A</v>
      </c>
      <c r="DD387" s="2" t="e">
        <v>#N/A</v>
      </c>
      <c r="DE387" s="2" t="e">
        <v>#N/A</v>
      </c>
      <c r="DF387" s="2" t="e">
        <v>#N/A</v>
      </c>
      <c r="DG387" s="2" t="e">
        <v>#N/A</v>
      </c>
      <c r="DH387" s="2" t="e">
        <v>#N/A</v>
      </c>
      <c r="DI387" s="2" t="e">
        <v>#N/A</v>
      </c>
    </row>
    <row r="388" spans="1:113" s="2" customFormat="1">
      <c r="A388"/>
      <c r="B388"/>
      <c r="C388" s="44"/>
      <c r="D388" s="44"/>
      <c r="E388" s="44"/>
      <c r="F388" s="44"/>
      <c r="G388" s="44"/>
      <c r="H388" s="44"/>
      <c r="I388" s="44"/>
      <c r="J388" s="44"/>
      <c r="K388" s="44"/>
      <c r="L388" s="44"/>
      <c r="M388" t="str">
        <f t="shared" si="39"/>
        <v>"//*[@class=\"</v>
      </c>
      <c r="N388" t="s">
        <v>31</v>
      </c>
      <c r="O388" s="4" t="str">
        <f t="shared" si="42"/>
        <v>click</v>
      </c>
      <c r="P388" t="str">
        <f t="shared" si="43"/>
        <v>();</v>
      </c>
      <c r="Q388" t="str">
        <f t="shared" si="44"/>
        <v/>
      </c>
      <c r="R388" t="str">
        <f t="shared" si="40"/>
        <v/>
      </c>
      <c r="S388" s="1" t="str">
        <f t="shared" si="41"/>
        <v/>
      </c>
      <c r="T388"/>
      <c r="U388"/>
      <c r="V388"/>
      <c r="W388"/>
      <c r="X388"/>
      <c r="Y388"/>
      <c r="Z388">
        <v>379</v>
      </c>
      <c r="AA388"/>
      <c r="AB388"/>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3"/>
      <c r="BC388" s="3"/>
      <c r="CT388" s="2" t="e">
        <v>#N/A</v>
      </c>
      <c r="CU388" s="2" t="e">
        <v>#N/A</v>
      </c>
      <c r="CV388" s="2" t="e">
        <v>#N/A</v>
      </c>
      <c r="CW388" s="2" t="e">
        <v>#N/A</v>
      </c>
      <c r="CX388" s="2" t="e">
        <v>#N/A</v>
      </c>
      <c r="CY388" s="2" t="e">
        <v>#N/A</v>
      </c>
      <c r="CZ388" s="2" t="e">
        <v>#N/A</v>
      </c>
      <c r="DA388" s="2" t="e">
        <v>#N/A</v>
      </c>
      <c r="DB388" s="2" t="e">
        <v>#N/A</v>
      </c>
      <c r="DC388" s="2" t="e">
        <v>#N/A</v>
      </c>
      <c r="DD388" s="2" t="e">
        <v>#N/A</v>
      </c>
      <c r="DE388" s="2" t="e">
        <v>#N/A</v>
      </c>
      <c r="DF388" s="2" t="e">
        <v>#N/A</v>
      </c>
      <c r="DG388" s="2" t="e">
        <v>#N/A</v>
      </c>
      <c r="DH388" s="2" t="e">
        <v>#N/A</v>
      </c>
      <c r="DI388" s="2" t="e">
        <v>#N/A</v>
      </c>
    </row>
    <row r="389" spans="1:113" s="2" customFormat="1">
      <c r="A389"/>
      <c r="B389"/>
      <c r="C389" s="44"/>
      <c r="D389" s="44"/>
      <c r="E389" s="44"/>
      <c r="F389" s="44"/>
      <c r="G389" s="44"/>
      <c r="H389" s="44"/>
      <c r="I389" s="44"/>
      <c r="J389" s="44"/>
      <c r="K389" s="44"/>
      <c r="L389" s="44"/>
      <c r="M389" t="str">
        <f t="shared" si="39"/>
        <v>"//*[@class=\"</v>
      </c>
      <c r="N389" t="s">
        <v>31</v>
      </c>
      <c r="O389" s="4" t="str">
        <f t="shared" si="42"/>
        <v>click</v>
      </c>
      <c r="P389" t="str">
        <f t="shared" si="43"/>
        <v>();</v>
      </c>
      <c r="Q389" t="str">
        <f t="shared" si="44"/>
        <v/>
      </c>
      <c r="R389" t="str">
        <f t="shared" si="40"/>
        <v/>
      </c>
      <c r="S389" s="1" t="str">
        <f t="shared" si="41"/>
        <v/>
      </c>
      <c r="T389"/>
      <c r="U389"/>
      <c r="V389"/>
      <c r="W389"/>
      <c r="X389"/>
      <c r="Y389"/>
      <c r="Z389">
        <v>380</v>
      </c>
      <c r="AA389"/>
      <c r="AB389"/>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3"/>
      <c r="BC389" s="3"/>
      <c r="CT389" s="2" t="e">
        <v>#N/A</v>
      </c>
      <c r="CU389" s="2" t="e">
        <v>#N/A</v>
      </c>
      <c r="CV389" s="2" t="e">
        <v>#N/A</v>
      </c>
      <c r="CW389" s="2" t="e">
        <v>#N/A</v>
      </c>
      <c r="CX389" s="2" t="e">
        <v>#N/A</v>
      </c>
      <c r="CY389" s="2" t="e">
        <v>#N/A</v>
      </c>
      <c r="CZ389" s="2" t="e">
        <v>#N/A</v>
      </c>
      <c r="DA389" s="2" t="e">
        <v>#N/A</v>
      </c>
      <c r="DB389" s="2" t="e">
        <v>#N/A</v>
      </c>
      <c r="DC389" s="2" t="e">
        <v>#N/A</v>
      </c>
      <c r="DD389" s="2" t="e">
        <v>#N/A</v>
      </c>
      <c r="DE389" s="2" t="e">
        <v>#N/A</v>
      </c>
      <c r="DF389" s="2" t="e">
        <v>#N/A</v>
      </c>
      <c r="DG389" s="2" t="e">
        <v>#N/A</v>
      </c>
      <c r="DH389" s="2" t="e">
        <v>#N/A</v>
      </c>
      <c r="DI389" s="2" t="e">
        <v>#N/A</v>
      </c>
    </row>
    <row r="390" spans="1:113" s="2" customFormat="1">
      <c r="A390"/>
      <c r="B390"/>
      <c r="C390" s="44"/>
      <c r="D390" s="44"/>
      <c r="E390" s="44"/>
      <c r="F390" s="44"/>
      <c r="G390" s="44"/>
      <c r="H390" s="44"/>
      <c r="I390" s="44"/>
      <c r="J390" s="44"/>
      <c r="K390" s="44"/>
      <c r="L390" s="44"/>
      <c r="M390" t="str">
        <f t="shared" si="39"/>
        <v>"//*[@class=\"</v>
      </c>
      <c r="N390" t="s">
        <v>31</v>
      </c>
      <c r="O390" s="4" t="str">
        <f t="shared" si="42"/>
        <v>click</v>
      </c>
      <c r="P390" t="str">
        <f t="shared" si="43"/>
        <v>();</v>
      </c>
      <c r="Q390" t="str">
        <f t="shared" si="44"/>
        <v/>
      </c>
      <c r="R390" t="str">
        <f t="shared" si="40"/>
        <v/>
      </c>
      <c r="S390" s="1" t="str">
        <f t="shared" si="41"/>
        <v/>
      </c>
      <c r="T390"/>
      <c r="U390"/>
      <c r="V390"/>
      <c r="W390"/>
      <c r="X390"/>
      <c r="Y390"/>
      <c r="Z390">
        <v>381</v>
      </c>
      <c r="AA390"/>
      <c r="AB390"/>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3"/>
      <c r="BC390" s="3"/>
      <c r="CT390" s="2" t="e">
        <v>#N/A</v>
      </c>
      <c r="CU390" s="2" t="e">
        <v>#N/A</v>
      </c>
      <c r="CV390" s="2" t="e">
        <v>#N/A</v>
      </c>
      <c r="CW390" s="2" t="e">
        <v>#N/A</v>
      </c>
      <c r="CX390" s="2" t="e">
        <v>#N/A</v>
      </c>
      <c r="CY390" s="2" t="e">
        <v>#N/A</v>
      </c>
      <c r="CZ390" s="2" t="e">
        <v>#N/A</v>
      </c>
      <c r="DA390" s="2" t="e">
        <v>#N/A</v>
      </c>
      <c r="DB390" s="2" t="e">
        <v>#N/A</v>
      </c>
      <c r="DC390" s="2" t="e">
        <v>#N/A</v>
      </c>
      <c r="DD390" s="2" t="e">
        <v>#N/A</v>
      </c>
      <c r="DE390" s="2" t="e">
        <v>#N/A</v>
      </c>
      <c r="DF390" s="2" t="e">
        <v>#N/A</v>
      </c>
      <c r="DG390" s="2" t="e">
        <v>#N/A</v>
      </c>
      <c r="DH390" s="2" t="e">
        <v>#N/A</v>
      </c>
      <c r="DI390" s="2" t="e">
        <v>#N/A</v>
      </c>
    </row>
    <row r="391" spans="1:113" s="2" customFormat="1">
      <c r="A391"/>
      <c r="B391"/>
      <c r="C391" s="44"/>
      <c r="D391" s="44"/>
      <c r="E391" s="44"/>
      <c r="F391" s="44"/>
      <c r="G391" s="44"/>
      <c r="H391" s="44"/>
      <c r="I391" s="44"/>
      <c r="J391" s="44"/>
      <c r="K391" s="44"/>
      <c r="L391" s="44"/>
      <c r="M391" t="str">
        <f t="shared" si="39"/>
        <v>"//*[@class=\"</v>
      </c>
      <c r="N391" t="s">
        <v>31</v>
      </c>
      <c r="O391" s="4" t="str">
        <f t="shared" si="42"/>
        <v>click</v>
      </c>
      <c r="P391" t="str">
        <f t="shared" si="43"/>
        <v>();</v>
      </c>
      <c r="Q391" t="str">
        <f t="shared" si="44"/>
        <v/>
      </c>
      <c r="R391" t="str">
        <f t="shared" si="40"/>
        <v/>
      </c>
      <c r="S391" s="1" t="str">
        <f t="shared" si="41"/>
        <v/>
      </c>
      <c r="T391"/>
      <c r="U391"/>
      <c r="V391"/>
      <c r="W391"/>
      <c r="X391"/>
      <c r="Y391"/>
      <c r="Z391">
        <v>382</v>
      </c>
      <c r="AA391"/>
      <c r="AB391"/>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3"/>
      <c r="BC391" s="3"/>
      <c r="CT391" s="2" t="e">
        <v>#N/A</v>
      </c>
      <c r="CU391" s="2" t="e">
        <v>#N/A</v>
      </c>
      <c r="CV391" s="2" t="e">
        <v>#N/A</v>
      </c>
      <c r="CW391" s="2" t="e">
        <v>#N/A</v>
      </c>
      <c r="CX391" s="2" t="e">
        <v>#N/A</v>
      </c>
      <c r="CY391" s="2" t="e">
        <v>#N/A</v>
      </c>
      <c r="CZ391" s="2" t="e">
        <v>#N/A</v>
      </c>
      <c r="DA391" s="2" t="e">
        <v>#N/A</v>
      </c>
      <c r="DB391" s="2" t="e">
        <v>#N/A</v>
      </c>
      <c r="DC391" s="2" t="e">
        <v>#N/A</v>
      </c>
      <c r="DD391" s="2" t="e">
        <v>#N/A</v>
      </c>
      <c r="DE391" s="2" t="e">
        <v>#N/A</v>
      </c>
      <c r="DF391" s="2" t="e">
        <v>#N/A</v>
      </c>
      <c r="DG391" s="2" t="e">
        <v>#N/A</v>
      </c>
      <c r="DH391" s="2" t="e">
        <v>#N/A</v>
      </c>
      <c r="DI391" s="2" t="e">
        <v>#N/A</v>
      </c>
    </row>
    <row r="392" spans="1:113" s="2" customFormat="1">
      <c r="A392"/>
      <c r="B392"/>
      <c r="C392" s="44"/>
      <c r="D392" s="44"/>
      <c r="E392" s="44"/>
      <c r="F392" s="44"/>
      <c r="G392" s="44"/>
      <c r="H392" s="44"/>
      <c r="I392" s="44"/>
      <c r="J392" s="44"/>
      <c r="K392" s="44"/>
      <c r="L392" s="44"/>
      <c r="M392" t="str">
        <f t="shared" si="39"/>
        <v>"//*[@class=\"</v>
      </c>
      <c r="N392" t="s">
        <v>31</v>
      </c>
      <c r="O392" s="4" t="str">
        <f t="shared" si="42"/>
        <v>click</v>
      </c>
      <c r="P392" t="str">
        <f t="shared" si="43"/>
        <v>();</v>
      </c>
      <c r="Q392" t="str">
        <f t="shared" si="44"/>
        <v/>
      </c>
      <c r="R392" t="str">
        <f t="shared" si="40"/>
        <v/>
      </c>
      <c r="S392" s="1" t="str">
        <f t="shared" si="41"/>
        <v/>
      </c>
      <c r="T392"/>
      <c r="U392"/>
      <c r="V392"/>
      <c r="W392"/>
      <c r="X392"/>
      <c r="Y392"/>
      <c r="Z392">
        <v>383</v>
      </c>
      <c r="AA392"/>
      <c r="AB392"/>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3"/>
      <c r="BC392" s="3"/>
      <c r="CT392" s="2" t="e">
        <v>#N/A</v>
      </c>
      <c r="CU392" s="2" t="e">
        <v>#N/A</v>
      </c>
      <c r="CV392" s="2" t="e">
        <v>#N/A</v>
      </c>
      <c r="CW392" s="2" t="e">
        <v>#N/A</v>
      </c>
      <c r="CX392" s="2" t="e">
        <v>#N/A</v>
      </c>
      <c r="CY392" s="2" t="e">
        <v>#N/A</v>
      </c>
      <c r="CZ392" s="2" t="e">
        <v>#N/A</v>
      </c>
      <c r="DA392" s="2" t="e">
        <v>#N/A</v>
      </c>
      <c r="DB392" s="2" t="e">
        <v>#N/A</v>
      </c>
      <c r="DC392" s="2" t="e">
        <v>#N/A</v>
      </c>
      <c r="DD392" s="2" t="e">
        <v>#N/A</v>
      </c>
      <c r="DE392" s="2" t="e">
        <v>#N/A</v>
      </c>
      <c r="DF392" s="2" t="e">
        <v>#N/A</v>
      </c>
      <c r="DG392" s="2" t="e">
        <v>#N/A</v>
      </c>
      <c r="DH392" s="2" t="e">
        <v>#N/A</v>
      </c>
      <c r="DI392" s="2" t="e">
        <v>#N/A</v>
      </c>
    </row>
    <row r="393" spans="1:113" s="2" customFormat="1">
      <c r="A393"/>
      <c r="B393"/>
      <c r="C393" s="44"/>
      <c r="D393" s="44"/>
      <c r="E393" s="44"/>
      <c r="F393" s="44"/>
      <c r="G393" s="44"/>
      <c r="H393" s="44"/>
      <c r="I393" s="44"/>
      <c r="J393" s="44"/>
      <c r="K393" s="44"/>
      <c r="L393" s="44"/>
      <c r="M393" t="str">
        <f t="shared" si="39"/>
        <v>"//*[@class=\"</v>
      </c>
      <c r="N393" t="s">
        <v>31</v>
      </c>
      <c r="O393" s="4" t="str">
        <f t="shared" si="42"/>
        <v>click</v>
      </c>
      <c r="P393" t="str">
        <f t="shared" si="43"/>
        <v>();</v>
      </c>
      <c r="Q393" t="str">
        <f t="shared" si="44"/>
        <v/>
      </c>
      <c r="R393" t="str">
        <f t="shared" si="40"/>
        <v/>
      </c>
      <c r="S393" s="1" t="str">
        <f t="shared" si="41"/>
        <v/>
      </c>
      <c r="T393"/>
      <c r="U393"/>
      <c r="V393"/>
      <c r="W393"/>
      <c r="X393"/>
      <c r="Y393"/>
      <c r="Z393">
        <v>384</v>
      </c>
      <c r="AA393"/>
      <c r="AB393"/>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3"/>
      <c r="BC393" s="3"/>
      <c r="CT393" s="2" t="e">
        <v>#N/A</v>
      </c>
      <c r="CU393" s="2" t="e">
        <v>#N/A</v>
      </c>
      <c r="CV393" s="2" t="e">
        <v>#N/A</v>
      </c>
      <c r="CW393" s="2" t="e">
        <v>#N/A</v>
      </c>
      <c r="CX393" s="2" t="e">
        <v>#N/A</v>
      </c>
      <c r="CY393" s="2" t="e">
        <v>#N/A</v>
      </c>
      <c r="CZ393" s="2" t="e">
        <v>#N/A</v>
      </c>
      <c r="DA393" s="2" t="e">
        <v>#N/A</v>
      </c>
      <c r="DB393" s="2" t="e">
        <v>#N/A</v>
      </c>
      <c r="DC393" s="2" t="e">
        <v>#N/A</v>
      </c>
      <c r="DD393" s="2" t="e">
        <v>#N/A</v>
      </c>
      <c r="DE393" s="2" t="e">
        <v>#N/A</v>
      </c>
      <c r="DF393" s="2" t="e">
        <v>#N/A</v>
      </c>
      <c r="DG393" s="2" t="e">
        <v>#N/A</v>
      </c>
      <c r="DH393" s="2" t="e">
        <v>#N/A</v>
      </c>
      <c r="DI393" s="2" t="e">
        <v>#N/A</v>
      </c>
    </row>
    <row r="394" spans="1:113" s="2" customFormat="1">
      <c r="A394"/>
      <c r="B394"/>
      <c r="C394" s="44"/>
      <c r="D394" s="44"/>
      <c r="E394" s="44"/>
      <c r="F394" s="44"/>
      <c r="G394" s="44"/>
      <c r="H394" s="44"/>
      <c r="I394" s="44"/>
      <c r="J394" s="44"/>
      <c r="K394" s="44"/>
      <c r="L394" s="44"/>
      <c r="M394" t="str">
        <f t="shared" si="39"/>
        <v>"//*[@class=\"</v>
      </c>
      <c r="N394" t="s">
        <v>31</v>
      </c>
      <c r="O394" s="4" t="str">
        <f t="shared" si="42"/>
        <v>click</v>
      </c>
      <c r="P394" t="str">
        <f t="shared" si="43"/>
        <v>();</v>
      </c>
      <c r="Q394" t="str">
        <f t="shared" si="44"/>
        <v/>
      </c>
      <c r="R394" t="str">
        <f t="shared" si="40"/>
        <v/>
      </c>
      <c r="S394" s="1" t="str">
        <f t="shared" si="41"/>
        <v/>
      </c>
      <c r="T394"/>
      <c r="U394"/>
      <c r="V394"/>
      <c r="W394"/>
      <c r="X394"/>
      <c r="Y394"/>
      <c r="Z394">
        <v>385</v>
      </c>
      <c r="AA394"/>
      <c r="AB39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3"/>
      <c r="BC394" s="3"/>
      <c r="CT394" s="2" t="e">
        <v>#N/A</v>
      </c>
      <c r="CU394" s="2" t="e">
        <v>#N/A</v>
      </c>
      <c r="CV394" s="2" t="e">
        <v>#N/A</v>
      </c>
      <c r="CW394" s="2" t="e">
        <v>#N/A</v>
      </c>
      <c r="CX394" s="2" t="e">
        <v>#N/A</v>
      </c>
      <c r="CY394" s="2" t="e">
        <v>#N/A</v>
      </c>
      <c r="CZ394" s="2" t="e">
        <v>#N/A</v>
      </c>
      <c r="DA394" s="2" t="e">
        <v>#N/A</v>
      </c>
      <c r="DB394" s="2" t="e">
        <v>#N/A</v>
      </c>
      <c r="DC394" s="2" t="e">
        <v>#N/A</v>
      </c>
      <c r="DD394" s="2" t="e">
        <v>#N/A</v>
      </c>
      <c r="DE394" s="2" t="e">
        <v>#N/A</v>
      </c>
      <c r="DF394" s="2" t="e">
        <v>#N/A</v>
      </c>
      <c r="DG394" s="2" t="e">
        <v>#N/A</v>
      </c>
      <c r="DH394" s="2" t="e">
        <v>#N/A</v>
      </c>
      <c r="DI394" s="2" t="e">
        <v>#N/A</v>
      </c>
    </row>
    <row r="395" spans="1:113" s="2" customFormat="1">
      <c r="A395"/>
      <c r="B395"/>
      <c r="C395" s="44"/>
      <c r="D395" s="44"/>
      <c r="E395" s="44"/>
      <c r="F395" s="44"/>
      <c r="G395" s="44"/>
      <c r="H395" s="44"/>
      <c r="I395" s="44"/>
      <c r="J395" s="44"/>
      <c r="K395" s="44"/>
      <c r="L395" s="44"/>
      <c r="M395" t="str">
        <f t="shared" ref="M395:M458" si="45">IF(H395="id",""""&amp;"//*[@id=\"&amp;"""",""""&amp;"//*[@class=\"&amp;"""")</f>
        <v>"//*[@class=\"</v>
      </c>
      <c r="N395" t="s">
        <v>31</v>
      </c>
      <c r="O395" s="4" t="str">
        <f t="shared" si="42"/>
        <v>click</v>
      </c>
      <c r="P395" t="str">
        <f t="shared" si="43"/>
        <v>();</v>
      </c>
      <c r="Q395" t="str">
        <f t="shared" si="44"/>
        <v/>
      </c>
      <c r="R395" t="str">
        <f t="shared" ref="R395" si="46">IF(C395="Y",""""&amp;SUBSTITUTE(E395," ","")&amp;""""&amp;":"&amp;Q395&amp;"","")</f>
        <v/>
      </c>
      <c r="S395" s="1" t="str">
        <f t="shared" ref="S395:S458" si="47">IF(C395="Y",IF(D395&lt;&gt;"mat-select",IF(D395="End","",IF(O395="innerText",I395&amp;"="&amp;IF(C395="Y",IF(J395&lt;&gt;"Y",$S$8&amp;$R$9&amp;"."&amp;E395&amp;")."&amp;IF(OR(O395="click",O395="innerText"),O395&amp;"();",O395&amp;"("&amp;$Q$8&amp;"."&amp;E395&amp;");"),$S$7&amp;$R$9&amp;"."&amp;SUBSTITUTE(E395," ","")&amp;")."&amp;IF(O395="click",O395&amp;"();",O395&amp;"("&amp;"'"&amp;K395&amp;"'"&amp;");")),""),IF(C395="Y",IF(J395&lt;&gt;"Y",$S$8&amp;$R$9&amp;"."&amp;SUBSTITUTE(E395," ","")&amp;")."&amp;IF(OR(O395="click",O395="innerText"),O395&amp;"();",O395&amp;"("&amp;$Q$8&amp;"."&amp;SUBSTITUTE(E395," ","")&amp;");"),$S$7&amp;$R$9&amp;"."&amp;SUBSTITUTE(E395," ","")&amp;")."&amp;IF(O395="click",O395&amp;"();",O395&amp;"("&amp;"'"&amp;K395&amp;"'"&amp;");")),""))),"let form"&amp;Z395&amp;": String;"&amp;"for (let i = 1; i &lt; 30; i++) {"&amp;$S$8&amp;$R$9&amp;"."&amp;SUBSTITUTE(E395," ","")&amp;").click();"&amp;$CE$4&amp; "form"&amp;Z395&amp;"="&amp; $S$8&amp;$R$9&amp;"."&amp;SUBSTITUTE(E395," ","")&amp;").innerText();" &amp;"if ("&amp;"form"&amp;Z395&amp;"=="&amp; "Data[index]."&amp;SUBSTITUTE(E395," ","") &amp;"){"&amp;$CE$7),"")</f>
        <v/>
      </c>
      <c r="T395"/>
      <c r="U395"/>
      <c r="V395"/>
      <c r="W395"/>
      <c r="X395"/>
      <c r="Y395"/>
      <c r="Z395">
        <v>386</v>
      </c>
      <c r="AA395"/>
      <c r="AB395"/>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3"/>
      <c r="BC395" s="3"/>
      <c r="CT395" s="2" t="e">
        <v>#N/A</v>
      </c>
      <c r="CU395" s="2" t="e">
        <v>#N/A</v>
      </c>
      <c r="CV395" s="2" t="e">
        <v>#N/A</v>
      </c>
      <c r="CW395" s="2" t="e">
        <v>#N/A</v>
      </c>
      <c r="CX395" s="2" t="e">
        <v>#N/A</v>
      </c>
      <c r="CY395" s="2" t="e">
        <v>#N/A</v>
      </c>
      <c r="CZ395" s="2" t="e">
        <v>#N/A</v>
      </c>
      <c r="DA395" s="2" t="e">
        <v>#N/A</v>
      </c>
      <c r="DB395" s="2" t="e">
        <v>#N/A</v>
      </c>
      <c r="DC395" s="2" t="e">
        <v>#N/A</v>
      </c>
      <c r="DD395" s="2" t="e">
        <v>#N/A</v>
      </c>
      <c r="DE395" s="2" t="e">
        <v>#N/A</v>
      </c>
      <c r="DF395" s="2" t="e">
        <v>#N/A</v>
      </c>
      <c r="DG395" s="2" t="e">
        <v>#N/A</v>
      </c>
      <c r="DH395" s="2" t="e">
        <v>#N/A</v>
      </c>
      <c r="DI395" s="2" t="e">
        <v>#N/A</v>
      </c>
    </row>
    <row r="396" spans="1:113" s="2" customFormat="1">
      <c r="A396"/>
      <c r="B396"/>
      <c r="C396" s="44"/>
      <c r="D396" s="44"/>
      <c r="E396" s="44"/>
      <c r="F396" s="44"/>
      <c r="G396" s="44"/>
      <c r="H396" s="44"/>
      <c r="I396" s="44"/>
      <c r="J396" s="44"/>
      <c r="K396" s="44"/>
      <c r="L396" s="44"/>
      <c r="M396" t="str">
        <f t="shared" si="45"/>
        <v>"//*[@class=\"</v>
      </c>
      <c r="N396" t="s">
        <v>31</v>
      </c>
      <c r="O396" s="4" t="str">
        <f t="shared" si="42"/>
        <v>click</v>
      </c>
      <c r="P396" t="str">
        <f t="shared" si="43"/>
        <v>();</v>
      </c>
      <c r="Q396" t="str">
        <f t="shared" si="44"/>
        <v/>
      </c>
      <c r="R396" t="str">
        <f t="shared" ref="R396:R458" si="48">SUBSTITUTE(IF(C396="Y",""""&amp;E396&amp;""""&amp;":"&amp;Q396&amp;"","")," ","")</f>
        <v/>
      </c>
      <c r="S396" s="1" t="str">
        <f t="shared" si="47"/>
        <v/>
      </c>
      <c r="T396"/>
      <c r="U396"/>
      <c r="V396"/>
      <c r="W396"/>
      <c r="X396"/>
      <c r="Y396"/>
      <c r="Z396">
        <v>387</v>
      </c>
      <c r="AA396"/>
      <c r="AB396"/>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3"/>
      <c r="BC396" s="3"/>
      <c r="CT396" s="2" t="e">
        <v>#N/A</v>
      </c>
      <c r="CU396" s="2" t="e">
        <v>#N/A</v>
      </c>
      <c r="CV396" s="2" t="e">
        <v>#N/A</v>
      </c>
      <c r="CW396" s="2" t="e">
        <v>#N/A</v>
      </c>
      <c r="CX396" s="2" t="e">
        <v>#N/A</v>
      </c>
      <c r="CY396" s="2" t="e">
        <v>#N/A</v>
      </c>
      <c r="CZ396" s="2" t="e">
        <v>#N/A</v>
      </c>
      <c r="DA396" s="2" t="e">
        <v>#N/A</v>
      </c>
      <c r="DB396" s="2" t="e">
        <v>#N/A</v>
      </c>
      <c r="DC396" s="2" t="e">
        <v>#N/A</v>
      </c>
      <c r="DD396" s="2" t="e">
        <v>#N/A</v>
      </c>
      <c r="DE396" s="2" t="e">
        <v>#N/A</v>
      </c>
      <c r="DF396" s="2" t="e">
        <v>#N/A</v>
      </c>
      <c r="DG396" s="2" t="e">
        <v>#N/A</v>
      </c>
      <c r="DH396" s="2" t="e">
        <v>#N/A</v>
      </c>
      <c r="DI396" s="2" t="e">
        <v>#N/A</v>
      </c>
    </row>
    <row r="397" spans="1:113" s="2" customFormat="1">
      <c r="A397"/>
      <c r="B397"/>
      <c r="C397" s="44"/>
      <c r="D397" s="44"/>
      <c r="E397" s="44"/>
      <c r="F397" s="44"/>
      <c r="G397" s="44"/>
      <c r="H397" s="44"/>
      <c r="I397" s="44"/>
      <c r="J397" s="44"/>
      <c r="K397" s="44"/>
      <c r="L397" s="44"/>
      <c r="M397" t="str">
        <f t="shared" si="45"/>
        <v>"//*[@class=\"</v>
      </c>
      <c r="N397" t="s">
        <v>31</v>
      </c>
      <c r="O397" s="4" t="str">
        <f t="shared" si="42"/>
        <v>click</v>
      </c>
      <c r="P397" t="str">
        <f t="shared" si="43"/>
        <v>();</v>
      </c>
      <c r="Q397" t="str">
        <f t="shared" si="44"/>
        <v/>
      </c>
      <c r="R397" t="str">
        <f t="shared" si="48"/>
        <v/>
      </c>
      <c r="S397" s="1" t="str">
        <f t="shared" si="47"/>
        <v/>
      </c>
      <c r="T397"/>
      <c r="U397"/>
      <c r="V397"/>
      <c r="W397"/>
      <c r="X397"/>
      <c r="Y397"/>
      <c r="Z397">
        <v>388</v>
      </c>
      <c r="AA397"/>
      <c r="AB397"/>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3"/>
      <c r="BC397" s="3"/>
      <c r="CT397" s="2" t="e">
        <v>#N/A</v>
      </c>
      <c r="CU397" s="2" t="e">
        <v>#N/A</v>
      </c>
      <c r="CV397" s="2" t="e">
        <v>#N/A</v>
      </c>
      <c r="CW397" s="2" t="e">
        <v>#N/A</v>
      </c>
      <c r="CX397" s="2" t="e">
        <v>#N/A</v>
      </c>
      <c r="CY397" s="2" t="e">
        <v>#N/A</v>
      </c>
      <c r="CZ397" s="2" t="e">
        <v>#N/A</v>
      </c>
      <c r="DA397" s="2" t="e">
        <v>#N/A</v>
      </c>
      <c r="DB397" s="2" t="e">
        <v>#N/A</v>
      </c>
      <c r="DC397" s="2" t="e">
        <v>#N/A</v>
      </c>
      <c r="DD397" s="2" t="e">
        <v>#N/A</v>
      </c>
      <c r="DE397" s="2" t="e">
        <v>#N/A</v>
      </c>
      <c r="DF397" s="2" t="e">
        <v>#N/A</v>
      </c>
      <c r="DG397" s="2" t="e">
        <v>#N/A</v>
      </c>
      <c r="DH397" s="2" t="e">
        <v>#N/A</v>
      </c>
      <c r="DI397" s="2" t="e">
        <v>#N/A</v>
      </c>
    </row>
    <row r="398" spans="1:113" s="2" customFormat="1">
      <c r="A398"/>
      <c r="B398"/>
      <c r="C398" s="44"/>
      <c r="D398" s="44"/>
      <c r="E398" s="44"/>
      <c r="F398" s="44"/>
      <c r="G398" s="44"/>
      <c r="H398" s="44"/>
      <c r="I398" s="44"/>
      <c r="J398" s="44"/>
      <c r="K398" s="44"/>
      <c r="L398" s="44"/>
      <c r="M398" t="str">
        <f t="shared" si="45"/>
        <v>"//*[@class=\"</v>
      </c>
      <c r="N398" t="s">
        <v>31</v>
      </c>
      <c r="O398" s="4" t="str">
        <f t="shared" ref="O398:O461" si="49">IF(D398="input","fill",IF(I398&lt;&gt;"","innerText",IF(J398="Y",$T$7,"click")))</f>
        <v>click</v>
      </c>
      <c r="P398" t="str">
        <f t="shared" ref="P398:P461" si="50">IF(OR(O398="Click",O398="innerText"),"();","("&amp;""""&amp;K398&amp;""""&amp;");")</f>
        <v>();</v>
      </c>
      <c r="Q398" t="str">
        <f t="shared" ref="Q398:Q461" si="51">IF(C398="Y",IF(H398&lt;&gt;"Xpath",M398&amp;F398&amp;N398,""""&amp;F398&amp;""""),"")</f>
        <v/>
      </c>
      <c r="R398" t="str">
        <f t="shared" si="48"/>
        <v/>
      </c>
      <c r="S398" s="1" t="str">
        <f t="shared" si="47"/>
        <v/>
      </c>
      <c r="T398"/>
      <c r="U398"/>
      <c r="V398"/>
      <c r="W398"/>
      <c r="X398"/>
      <c r="Y398"/>
      <c r="Z398">
        <v>389</v>
      </c>
      <c r="AA398"/>
      <c r="AB398"/>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3"/>
      <c r="BC398" s="3"/>
      <c r="CT398" s="2" t="e">
        <v>#N/A</v>
      </c>
      <c r="CU398" s="2" t="e">
        <v>#N/A</v>
      </c>
      <c r="CV398" s="2" t="e">
        <v>#N/A</v>
      </c>
      <c r="CW398" s="2" t="e">
        <v>#N/A</v>
      </c>
      <c r="CX398" s="2" t="e">
        <v>#N/A</v>
      </c>
      <c r="CY398" s="2" t="e">
        <v>#N/A</v>
      </c>
      <c r="CZ398" s="2" t="e">
        <v>#N/A</v>
      </c>
      <c r="DA398" s="2" t="e">
        <v>#N/A</v>
      </c>
      <c r="DB398" s="2" t="e">
        <v>#N/A</v>
      </c>
      <c r="DC398" s="2" t="e">
        <v>#N/A</v>
      </c>
      <c r="DD398" s="2" t="e">
        <v>#N/A</v>
      </c>
      <c r="DE398" s="2" t="e">
        <v>#N/A</v>
      </c>
      <c r="DF398" s="2" t="e">
        <v>#N/A</v>
      </c>
      <c r="DG398" s="2" t="e">
        <v>#N/A</v>
      </c>
      <c r="DH398" s="2" t="e">
        <v>#N/A</v>
      </c>
      <c r="DI398" s="2" t="e">
        <v>#N/A</v>
      </c>
    </row>
    <row r="399" spans="1:113" s="2" customFormat="1">
      <c r="A399"/>
      <c r="B399"/>
      <c r="C399" s="44"/>
      <c r="D399" s="44"/>
      <c r="E399" s="44"/>
      <c r="F399" s="44"/>
      <c r="G399" s="44"/>
      <c r="H399" s="44"/>
      <c r="I399" s="44"/>
      <c r="J399" s="44"/>
      <c r="K399" s="44"/>
      <c r="L399" s="44"/>
      <c r="M399" t="str">
        <f t="shared" si="45"/>
        <v>"//*[@class=\"</v>
      </c>
      <c r="N399" t="s">
        <v>31</v>
      </c>
      <c r="O399" s="4" t="str">
        <f t="shared" si="49"/>
        <v>click</v>
      </c>
      <c r="P399" t="str">
        <f t="shared" si="50"/>
        <v>();</v>
      </c>
      <c r="Q399" t="str">
        <f t="shared" si="51"/>
        <v/>
      </c>
      <c r="R399" t="str">
        <f t="shared" si="48"/>
        <v/>
      </c>
      <c r="S399" s="1" t="str">
        <f t="shared" si="47"/>
        <v/>
      </c>
      <c r="T399"/>
      <c r="U399"/>
      <c r="V399"/>
      <c r="W399"/>
      <c r="X399"/>
      <c r="Y399"/>
      <c r="Z399">
        <v>390</v>
      </c>
      <c r="AA399"/>
      <c r="AB399"/>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3"/>
      <c r="BC399" s="3"/>
      <c r="CT399" s="2" t="e">
        <v>#N/A</v>
      </c>
      <c r="CU399" s="2" t="e">
        <v>#N/A</v>
      </c>
      <c r="CV399" s="2" t="e">
        <v>#N/A</v>
      </c>
      <c r="CW399" s="2" t="e">
        <v>#N/A</v>
      </c>
      <c r="CX399" s="2" t="e">
        <v>#N/A</v>
      </c>
      <c r="CY399" s="2" t="e">
        <v>#N/A</v>
      </c>
      <c r="CZ399" s="2" t="e">
        <v>#N/A</v>
      </c>
      <c r="DA399" s="2" t="e">
        <v>#N/A</v>
      </c>
      <c r="DB399" s="2" t="e">
        <v>#N/A</v>
      </c>
      <c r="DC399" s="2" t="e">
        <v>#N/A</v>
      </c>
      <c r="DD399" s="2" t="e">
        <v>#N/A</v>
      </c>
      <c r="DE399" s="2" t="e">
        <v>#N/A</v>
      </c>
      <c r="DF399" s="2" t="e">
        <v>#N/A</v>
      </c>
      <c r="DG399" s="2" t="e">
        <v>#N/A</v>
      </c>
      <c r="DH399" s="2" t="e">
        <v>#N/A</v>
      </c>
      <c r="DI399" s="2" t="e">
        <v>#N/A</v>
      </c>
    </row>
    <row r="400" spans="1:113" s="2" customFormat="1">
      <c r="A400"/>
      <c r="B400"/>
      <c r="C400" s="44"/>
      <c r="D400" s="44"/>
      <c r="E400" s="44"/>
      <c r="F400" s="44"/>
      <c r="G400" s="44"/>
      <c r="H400" s="44"/>
      <c r="I400" s="44"/>
      <c r="J400" s="44"/>
      <c r="K400" s="44"/>
      <c r="L400" s="44"/>
      <c r="M400" t="str">
        <f t="shared" si="45"/>
        <v>"//*[@class=\"</v>
      </c>
      <c r="N400" t="s">
        <v>31</v>
      </c>
      <c r="O400" s="4" t="str">
        <f t="shared" si="49"/>
        <v>click</v>
      </c>
      <c r="P400" t="str">
        <f t="shared" si="50"/>
        <v>();</v>
      </c>
      <c r="Q400" t="str">
        <f t="shared" si="51"/>
        <v/>
      </c>
      <c r="R400" t="str">
        <f t="shared" si="48"/>
        <v/>
      </c>
      <c r="S400" s="1" t="str">
        <f t="shared" si="47"/>
        <v/>
      </c>
      <c r="T400"/>
      <c r="U400"/>
      <c r="V400"/>
      <c r="W400"/>
      <c r="X400"/>
      <c r="Y400"/>
      <c r="Z400">
        <v>391</v>
      </c>
      <c r="AA400"/>
      <c r="AB400"/>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3"/>
      <c r="BC400" s="3"/>
      <c r="CT400" s="2" t="e">
        <v>#N/A</v>
      </c>
      <c r="CU400" s="2" t="e">
        <v>#N/A</v>
      </c>
      <c r="CV400" s="2" t="e">
        <v>#N/A</v>
      </c>
      <c r="CW400" s="2" t="e">
        <v>#N/A</v>
      </c>
      <c r="CX400" s="2" t="e">
        <v>#N/A</v>
      </c>
      <c r="CY400" s="2" t="e">
        <v>#N/A</v>
      </c>
      <c r="CZ400" s="2" t="e">
        <v>#N/A</v>
      </c>
      <c r="DA400" s="2" t="e">
        <v>#N/A</v>
      </c>
      <c r="DB400" s="2" t="e">
        <v>#N/A</v>
      </c>
      <c r="DC400" s="2" t="e">
        <v>#N/A</v>
      </c>
      <c r="DD400" s="2" t="e">
        <v>#N/A</v>
      </c>
      <c r="DE400" s="2" t="e">
        <v>#N/A</v>
      </c>
      <c r="DF400" s="2" t="e">
        <v>#N/A</v>
      </c>
      <c r="DG400" s="2" t="e">
        <v>#N/A</v>
      </c>
      <c r="DH400" s="2" t="e">
        <v>#N/A</v>
      </c>
      <c r="DI400" s="2" t="e">
        <v>#N/A</v>
      </c>
    </row>
    <row r="401" spans="1:113" s="2" customFormat="1">
      <c r="A401"/>
      <c r="B401"/>
      <c r="C401" s="44"/>
      <c r="D401" s="44"/>
      <c r="E401" s="44"/>
      <c r="F401" s="44"/>
      <c r="G401" s="44"/>
      <c r="H401" s="44"/>
      <c r="I401" s="44"/>
      <c r="J401" s="44"/>
      <c r="K401" s="44"/>
      <c r="L401" s="44"/>
      <c r="M401" t="str">
        <f t="shared" si="45"/>
        <v>"//*[@class=\"</v>
      </c>
      <c r="N401" t="s">
        <v>31</v>
      </c>
      <c r="O401" s="4" t="str">
        <f t="shared" si="49"/>
        <v>click</v>
      </c>
      <c r="P401" t="str">
        <f t="shared" si="50"/>
        <v>();</v>
      </c>
      <c r="Q401" t="str">
        <f t="shared" si="51"/>
        <v/>
      </c>
      <c r="R401" t="str">
        <f t="shared" si="48"/>
        <v/>
      </c>
      <c r="S401" s="1" t="str">
        <f t="shared" si="47"/>
        <v/>
      </c>
      <c r="T401"/>
      <c r="U401"/>
      <c r="V401"/>
      <c r="W401"/>
      <c r="X401"/>
      <c r="Y401"/>
      <c r="Z401">
        <v>392</v>
      </c>
      <c r="AA401"/>
      <c r="AB401"/>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3"/>
      <c r="BC401" s="3"/>
      <c r="CT401" s="2" t="e">
        <v>#N/A</v>
      </c>
      <c r="CU401" s="2" t="e">
        <v>#N/A</v>
      </c>
      <c r="CV401" s="2" t="e">
        <v>#N/A</v>
      </c>
      <c r="CW401" s="2" t="e">
        <v>#N/A</v>
      </c>
      <c r="CX401" s="2" t="e">
        <v>#N/A</v>
      </c>
      <c r="CY401" s="2" t="e">
        <v>#N/A</v>
      </c>
      <c r="CZ401" s="2" t="e">
        <v>#N/A</v>
      </c>
      <c r="DA401" s="2" t="e">
        <v>#N/A</v>
      </c>
      <c r="DB401" s="2" t="e">
        <v>#N/A</v>
      </c>
      <c r="DC401" s="2" t="e">
        <v>#N/A</v>
      </c>
      <c r="DD401" s="2" t="e">
        <v>#N/A</v>
      </c>
      <c r="DE401" s="2" t="e">
        <v>#N/A</v>
      </c>
      <c r="DF401" s="2" t="e">
        <v>#N/A</v>
      </c>
      <c r="DG401" s="2" t="e">
        <v>#N/A</v>
      </c>
      <c r="DH401" s="2" t="e">
        <v>#N/A</v>
      </c>
      <c r="DI401" s="2" t="e">
        <v>#N/A</v>
      </c>
    </row>
    <row r="402" spans="1:113" s="2" customFormat="1">
      <c r="A402"/>
      <c r="B402"/>
      <c r="C402" s="44"/>
      <c r="D402" s="44"/>
      <c r="E402" s="44"/>
      <c r="F402" s="44"/>
      <c r="G402" s="44"/>
      <c r="H402" s="44"/>
      <c r="I402" s="44"/>
      <c r="J402" s="44"/>
      <c r="K402" s="44"/>
      <c r="L402" s="44"/>
      <c r="M402" t="str">
        <f t="shared" si="45"/>
        <v>"//*[@class=\"</v>
      </c>
      <c r="N402" t="s">
        <v>31</v>
      </c>
      <c r="O402" s="4" t="str">
        <f t="shared" si="49"/>
        <v>click</v>
      </c>
      <c r="P402" t="str">
        <f t="shared" si="50"/>
        <v>();</v>
      </c>
      <c r="Q402" t="str">
        <f t="shared" si="51"/>
        <v/>
      </c>
      <c r="R402" t="str">
        <f t="shared" si="48"/>
        <v/>
      </c>
      <c r="S402" s="1" t="str">
        <f t="shared" si="47"/>
        <v/>
      </c>
      <c r="T402"/>
      <c r="U402"/>
      <c r="V402"/>
      <c r="W402"/>
      <c r="X402"/>
      <c r="Y402"/>
      <c r="Z402">
        <v>393</v>
      </c>
      <c r="AA402"/>
      <c r="AB402"/>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3"/>
      <c r="BC402" s="3"/>
      <c r="CT402" s="2" t="e">
        <v>#N/A</v>
      </c>
      <c r="CU402" s="2" t="e">
        <v>#N/A</v>
      </c>
      <c r="CV402" s="2" t="e">
        <v>#N/A</v>
      </c>
      <c r="CW402" s="2" t="e">
        <v>#N/A</v>
      </c>
      <c r="CX402" s="2" t="e">
        <v>#N/A</v>
      </c>
      <c r="CY402" s="2" t="e">
        <v>#N/A</v>
      </c>
      <c r="CZ402" s="2" t="e">
        <v>#N/A</v>
      </c>
      <c r="DA402" s="2" t="e">
        <v>#N/A</v>
      </c>
      <c r="DB402" s="2" t="e">
        <v>#N/A</v>
      </c>
      <c r="DC402" s="2" t="e">
        <v>#N/A</v>
      </c>
      <c r="DD402" s="2" t="e">
        <v>#N/A</v>
      </c>
      <c r="DE402" s="2" t="e">
        <v>#N/A</v>
      </c>
      <c r="DF402" s="2" t="e">
        <v>#N/A</v>
      </c>
      <c r="DG402" s="2" t="e">
        <v>#N/A</v>
      </c>
      <c r="DH402" s="2" t="e">
        <v>#N/A</v>
      </c>
      <c r="DI402" s="2" t="e">
        <v>#N/A</v>
      </c>
    </row>
    <row r="403" spans="1:113" s="2" customFormat="1">
      <c r="A403"/>
      <c r="B403"/>
      <c r="C403" s="44"/>
      <c r="D403" s="44"/>
      <c r="E403" s="44"/>
      <c r="F403" s="44"/>
      <c r="G403" s="44"/>
      <c r="H403" s="44"/>
      <c r="I403" s="44"/>
      <c r="J403" s="44"/>
      <c r="K403" s="44"/>
      <c r="L403" s="44"/>
      <c r="M403" t="str">
        <f t="shared" si="45"/>
        <v>"//*[@class=\"</v>
      </c>
      <c r="N403" t="s">
        <v>31</v>
      </c>
      <c r="O403" s="4" t="str">
        <f t="shared" si="49"/>
        <v>click</v>
      </c>
      <c r="P403" t="str">
        <f t="shared" si="50"/>
        <v>();</v>
      </c>
      <c r="Q403" t="str">
        <f t="shared" si="51"/>
        <v/>
      </c>
      <c r="R403" t="str">
        <f t="shared" si="48"/>
        <v/>
      </c>
      <c r="S403" s="1" t="str">
        <f t="shared" si="47"/>
        <v/>
      </c>
      <c r="T403"/>
      <c r="U403"/>
      <c r="V403"/>
      <c r="W403"/>
      <c r="X403"/>
      <c r="Y403"/>
      <c r="Z403">
        <v>394</v>
      </c>
      <c r="AA403"/>
      <c r="AB403"/>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3"/>
      <c r="BC403" s="3"/>
      <c r="CT403" s="2" t="e">
        <v>#N/A</v>
      </c>
      <c r="CU403" s="2" t="e">
        <v>#N/A</v>
      </c>
      <c r="CV403" s="2" t="e">
        <v>#N/A</v>
      </c>
      <c r="CW403" s="2" t="e">
        <v>#N/A</v>
      </c>
      <c r="CX403" s="2" t="e">
        <v>#N/A</v>
      </c>
      <c r="CY403" s="2" t="e">
        <v>#N/A</v>
      </c>
      <c r="CZ403" s="2" t="e">
        <v>#N/A</v>
      </c>
      <c r="DA403" s="2" t="e">
        <v>#N/A</v>
      </c>
      <c r="DB403" s="2" t="e">
        <v>#N/A</v>
      </c>
      <c r="DC403" s="2" t="e">
        <v>#N/A</v>
      </c>
      <c r="DD403" s="2" t="e">
        <v>#N/A</v>
      </c>
      <c r="DE403" s="2" t="e">
        <v>#N/A</v>
      </c>
      <c r="DF403" s="2" t="e">
        <v>#N/A</v>
      </c>
      <c r="DG403" s="2" t="e">
        <v>#N/A</v>
      </c>
      <c r="DH403" s="2" t="e">
        <v>#N/A</v>
      </c>
      <c r="DI403" s="2" t="e">
        <v>#N/A</v>
      </c>
    </row>
    <row r="404" spans="1:113" s="2" customFormat="1">
      <c r="A404"/>
      <c r="B404"/>
      <c r="C404" s="44"/>
      <c r="D404" s="44"/>
      <c r="E404" s="44"/>
      <c r="F404" s="44"/>
      <c r="G404" s="44"/>
      <c r="H404" s="44"/>
      <c r="I404" s="44"/>
      <c r="J404" s="44"/>
      <c r="K404" s="44"/>
      <c r="L404" s="44"/>
      <c r="M404" t="str">
        <f t="shared" si="45"/>
        <v>"//*[@class=\"</v>
      </c>
      <c r="N404" t="s">
        <v>31</v>
      </c>
      <c r="O404" s="4" t="str">
        <f t="shared" si="49"/>
        <v>click</v>
      </c>
      <c r="P404" t="str">
        <f t="shared" si="50"/>
        <v>();</v>
      </c>
      <c r="Q404" t="str">
        <f t="shared" si="51"/>
        <v/>
      </c>
      <c r="R404" t="str">
        <f t="shared" si="48"/>
        <v/>
      </c>
      <c r="S404" s="1" t="str">
        <f t="shared" si="47"/>
        <v/>
      </c>
      <c r="T404"/>
      <c r="U404"/>
      <c r="V404"/>
      <c r="W404"/>
      <c r="X404"/>
      <c r="Y404"/>
      <c r="Z404">
        <v>395</v>
      </c>
      <c r="AA404"/>
      <c r="AB40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3"/>
      <c r="BC404" s="3"/>
      <c r="CT404" s="2" t="e">
        <v>#N/A</v>
      </c>
      <c r="CU404" s="2" t="e">
        <v>#N/A</v>
      </c>
      <c r="CV404" s="2" t="e">
        <v>#N/A</v>
      </c>
      <c r="CW404" s="2" t="e">
        <v>#N/A</v>
      </c>
      <c r="CX404" s="2" t="e">
        <v>#N/A</v>
      </c>
      <c r="CY404" s="2" t="e">
        <v>#N/A</v>
      </c>
      <c r="CZ404" s="2" t="e">
        <v>#N/A</v>
      </c>
      <c r="DA404" s="2" t="e">
        <v>#N/A</v>
      </c>
      <c r="DB404" s="2" t="e">
        <v>#N/A</v>
      </c>
      <c r="DC404" s="2" t="e">
        <v>#N/A</v>
      </c>
      <c r="DD404" s="2" t="e">
        <v>#N/A</v>
      </c>
      <c r="DE404" s="2" t="e">
        <v>#N/A</v>
      </c>
      <c r="DF404" s="2" t="e">
        <v>#N/A</v>
      </c>
      <c r="DG404" s="2" t="e">
        <v>#N/A</v>
      </c>
      <c r="DH404" s="2" t="e">
        <v>#N/A</v>
      </c>
      <c r="DI404" s="2" t="e">
        <v>#N/A</v>
      </c>
    </row>
    <row r="405" spans="1:113" s="2" customFormat="1">
      <c r="A405"/>
      <c r="B405"/>
      <c r="C405" s="44"/>
      <c r="D405" s="44"/>
      <c r="E405" s="44"/>
      <c r="F405" s="44"/>
      <c r="G405" s="44"/>
      <c r="H405" s="44"/>
      <c r="I405" s="44"/>
      <c r="J405" s="44"/>
      <c r="K405" s="44"/>
      <c r="L405" s="44"/>
      <c r="M405" t="str">
        <f t="shared" si="45"/>
        <v>"//*[@class=\"</v>
      </c>
      <c r="N405" t="s">
        <v>31</v>
      </c>
      <c r="O405" s="4" t="str">
        <f t="shared" si="49"/>
        <v>click</v>
      </c>
      <c r="P405" t="str">
        <f t="shared" si="50"/>
        <v>();</v>
      </c>
      <c r="Q405" t="str">
        <f t="shared" si="51"/>
        <v/>
      </c>
      <c r="R405" t="str">
        <f t="shared" si="48"/>
        <v/>
      </c>
      <c r="S405" s="1" t="str">
        <f t="shared" si="47"/>
        <v/>
      </c>
      <c r="T405"/>
      <c r="U405"/>
      <c r="V405"/>
      <c r="W405"/>
      <c r="X405"/>
      <c r="Y405"/>
      <c r="Z405">
        <v>396</v>
      </c>
      <c r="AA405"/>
      <c r="AB405"/>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3"/>
      <c r="BC405" s="3"/>
      <c r="CT405" s="2" t="e">
        <v>#N/A</v>
      </c>
      <c r="CU405" s="2" t="e">
        <v>#N/A</v>
      </c>
      <c r="CV405" s="2" t="e">
        <v>#N/A</v>
      </c>
      <c r="CW405" s="2" t="e">
        <v>#N/A</v>
      </c>
      <c r="CX405" s="2" t="e">
        <v>#N/A</v>
      </c>
      <c r="CY405" s="2" t="e">
        <v>#N/A</v>
      </c>
      <c r="CZ405" s="2" t="e">
        <v>#N/A</v>
      </c>
      <c r="DA405" s="2" t="e">
        <v>#N/A</v>
      </c>
      <c r="DB405" s="2" t="e">
        <v>#N/A</v>
      </c>
      <c r="DC405" s="2" t="e">
        <v>#N/A</v>
      </c>
      <c r="DD405" s="2" t="e">
        <v>#N/A</v>
      </c>
      <c r="DE405" s="2" t="e">
        <v>#N/A</v>
      </c>
      <c r="DF405" s="2" t="e">
        <v>#N/A</v>
      </c>
      <c r="DG405" s="2" t="e">
        <v>#N/A</v>
      </c>
      <c r="DH405" s="2" t="e">
        <v>#N/A</v>
      </c>
      <c r="DI405" s="2" t="e">
        <v>#N/A</v>
      </c>
    </row>
    <row r="406" spans="1:113" s="2" customFormat="1">
      <c r="A406"/>
      <c r="B406"/>
      <c r="C406" s="44"/>
      <c r="D406" s="44"/>
      <c r="E406" s="44"/>
      <c r="F406" s="44"/>
      <c r="G406" s="44"/>
      <c r="H406" s="44"/>
      <c r="I406" s="44"/>
      <c r="J406" s="44"/>
      <c r="K406" s="44"/>
      <c r="L406" s="44"/>
      <c r="M406" t="str">
        <f t="shared" si="45"/>
        <v>"//*[@class=\"</v>
      </c>
      <c r="N406" t="s">
        <v>31</v>
      </c>
      <c r="O406" s="4" t="str">
        <f t="shared" si="49"/>
        <v>click</v>
      </c>
      <c r="P406" t="str">
        <f t="shared" si="50"/>
        <v>();</v>
      </c>
      <c r="Q406" t="str">
        <f t="shared" si="51"/>
        <v/>
      </c>
      <c r="R406" t="str">
        <f t="shared" si="48"/>
        <v/>
      </c>
      <c r="S406" s="1" t="str">
        <f t="shared" si="47"/>
        <v/>
      </c>
      <c r="T406"/>
      <c r="U406"/>
      <c r="V406"/>
      <c r="W406"/>
      <c r="X406"/>
      <c r="Y406"/>
      <c r="Z406">
        <v>397</v>
      </c>
      <c r="AA406"/>
      <c r="AB406"/>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3"/>
      <c r="BC406" s="3"/>
      <c r="CT406" s="2" t="e">
        <v>#N/A</v>
      </c>
      <c r="CU406" s="2" t="e">
        <v>#N/A</v>
      </c>
      <c r="CV406" s="2" t="e">
        <v>#N/A</v>
      </c>
      <c r="CW406" s="2" t="e">
        <v>#N/A</v>
      </c>
      <c r="CX406" s="2" t="e">
        <v>#N/A</v>
      </c>
      <c r="CY406" s="2" t="e">
        <v>#N/A</v>
      </c>
      <c r="CZ406" s="2" t="e">
        <v>#N/A</v>
      </c>
      <c r="DA406" s="2" t="e">
        <v>#N/A</v>
      </c>
      <c r="DB406" s="2" t="e">
        <v>#N/A</v>
      </c>
      <c r="DC406" s="2" t="e">
        <v>#N/A</v>
      </c>
      <c r="DD406" s="2" t="e">
        <v>#N/A</v>
      </c>
      <c r="DE406" s="2" t="e">
        <v>#N/A</v>
      </c>
      <c r="DF406" s="2" t="e">
        <v>#N/A</v>
      </c>
      <c r="DG406" s="2" t="e">
        <v>#N/A</v>
      </c>
      <c r="DH406" s="2" t="e">
        <v>#N/A</v>
      </c>
      <c r="DI406" s="2" t="e">
        <v>#N/A</v>
      </c>
    </row>
    <row r="407" spans="1:113" s="2" customFormat="1">
      <c r="A407"/>
      <c r="B407"/>
      <c r="C407" s="44"/>
      <c r="D407" s="44"/>
      <c r="E407" s="44"/>
      <c r="F407" s="44"/>
      <c r="G407" s="44"/>
      <c r="H407" s="44"/>
      <c r="I407" s="44"/>
      <c r="J407" s="44"/>
      <c r="K407" s="44"/>
      <c r="L407" s="44"/>
      <c r="M407" t="str">
        <f t="shared" si="45"/>
        <v>"//*[@class=\"</v>
      </c>
      <c r="N407" t="s">
        <v>31</v>
      </c>
      <c r="O407" s="4" t="str">
        <f t="shared" si="49"/>
        <v>click</v>
      </c>
      <c r="P407" t="str">
        <f t="shared" si="50"/>
        <v>();</v>
      </c>
      <c r="Q407" t="str">
        <f t="shared" si="51"/>
        <v/>
      </c>
      <c r="R407" t="str">
        <f t="shared" si="48"/>
        <v/>
      </c>
      <c r="S407" s="1" t="str">
        <f t="shared" si="47"/>
        <v/>
      </c>
      <c r="T407"/>
      <c r="U407"/>
      <c r="V407"/>
      <c r="W407"/>
      <c r="X407"/>
      <c r="Y407"/>
      <c r="Z407">
        <v>398</v>
      </c>
      <c r="AA407"/>
      <c r="AB407"/>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3"/>
      <c r="BC407" s="3"/>
      <c r="CT407" s="2" t="e">
        <v>#N/A</v>
      </c>
      <c r="CU407" s="2" t="e">
        <v>#N/A</v>
      </c>
      <c r="CV407" s="2" t="e">
        <v>#N/A</v>
      </c>
      <c r="CW407" s="2" t="e">
        <v>#N/A</v>
      </c>
      <c r="CX407" s="2" t="e">
        <v>#N/A</v>
      </c>
      <c r="CY407" s="2" t="e">
        <v>#N/A</v>
      </c>
      <c r="CZ407" s="2" t="e">
        <v>#N/A</v>
      </c>
      <c r="DA407" s="2" t="e">
        <v>#N/A</v>
      </c>
      <c r="DB407" s="2" t="e">
        <v>#N/A</v>
      </c>
      <c r="DC407" s="2" t="e">
        <v>#N/A</v>
      </c>
      <c r="DD407" s="2" t="e">
        <v>#N/A</v>
      </c>
      <c r="DE407" s="2" t="e">
        <v>#N/A</v>
      </c>
      <c r="DF407" s="2" t="e">
        <v>#N/A</v>
      </c>
      <c r="DG407" s="2" t="e">
        <v>#N/A</v>
      </c>
      <c r="DH407" s="2" t="e">
        <v>#N/A</v>
      </c>
      <c r="DI407" s="2" t="e">
        <v>#N/A</v>
      </c>
    </row>
    <row r="408" spans="1:113" s="2" customFormat="1">
      <c r="A408"/>
      <c r="B408"/>
      <c r="C408" s="44"/>
      <c r="D408" s="44"/>
      <c r="E408" s="44"/>
      <c r="F408" s="44"/>
      <c r="G408" s="44"/>
      <c r="H408" s="44"/>
      <c r="I408" s="44"/>
      <c r="J408" s="44"/>
      <c r="K408" s="44"/>
      <c r="L408" s="44"/>
      <c r="M408" t="str">
        <f t="shared" si="45"/>
        <v>"//*[@class=\"</v>
      </c>
      <c r="N408" t="s">
        <v>31</v>
      </c>
      <c r="O408" s="4" t="str">
        <f t="shared" si="49"/>
        <v>click</v>
      </c>
      <c r="P408" t="str">
        <f t="shared" si="50"/>
        <v>();</v>
      </c>
      <c r="Q408" t="str">
        <f t="shared" si="51"/>
        <v/>
      </c>
      <c r="R408" t="str">
        <f t="shared" si="48"/>
        <v/>
      </c>
      <c r="S408" s="1" t="str">
        <f t="shared" si="47"/>
        <v/>
      </c>
      <c r="T408"/>
      <c r="U408"/>
      <c r="V408"/>
      <c r="W408"/>
      <c r="X408"/>
      <c r="Y408"/>
      <c r="Z408">
        <v>399</v>
      </c>
      <c r="AA408"/>
      <c r="AB408"/>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3"/>
      <c r="BC408" s="3"/>
      <c r="CT408" s="2" t="e">
        <v>#N/A</v>
      </c>
      <c r="CU408" s="2" t="e">
        <v>#N/A</v>
      </c>
      <c r="CV408" s="2" t="e">
        <v>#N/A</v>
      </c>
      <c r="CW408" s="2" t="e">
        <v>#N/A</v>
      </c>
      <c r="CX408" s="2" t="e">
        <v>#N/A</v>
      </c>
      <c r="CY408" s="2" t="e">
        <v>#N/A</v>
      </c>
      <c r="CZ408" s="2" t="e">
        <v>#N/A</v>
      </c>
      <c r="DA408" s="2" t="e">
        <v>#N/A</v>
      </c>
      <c r="DB408" s="2" t="e">
        <v>#N/A</v>
      </c>
      <c r="DC408" s="2" t="e">
        <v>#N/A</v>
      </c>
      <c r="DD408" s="2" t="e">
        <v>#N/A</v>
      </c>
      <c r="DE408" s="2" t="e">
        <v>#N/A</v>
      </c>
      <c r="DF408" s="2" t="e">
        <v>#N/A</v>
      </c>
      <c r="DG408" s="2" t="e">
        <v>#N/A</v>
      </c>
      <c r="DH408" s="2" t="e">
        <v>#N/A</v>
      </c>
      <c r="DI408" s="2" t="e">
        <v>#N/A</v>
      </c>
    </row>
    <row r="409" spans="1:113" s="2" customFormat="1">
      <c r="A409"/>
      <c r="B409"/>
      <c r="C409" s="44"/>
      <c r="D409" s="44"/>
      <c r="E409" s="44"/>
      <c r="F409" s="44"/>
      <c r="G409" s="44"/>
      <c r="H409" s="44"/>
      <c r="I409" s="44"/>
      <c r="J409" s="44"/>
      <c r="K409" s="44"/>
      <c r="L409" s="44"/>
      <c r="M409" t="str">
        <f t="shared" si="45"/>
        <v>"//*[@class=\"</v>
      </c>
      <c r="N409" t="s">
        <v>31</v>
      </c>
      <c r="O409" s="4" t="str">
        <f t="shared" si="49"/>
        <v>click</v>
      </c>
      <c r="P409" t="str">
        <f t="shared" si="50"/>
        <v>();</v>
      </c>
      <c r="Q409" t="str">
        <f t="shared" si="51"/>
        <v/>
      </c>
      <c r="R409" t="str">
        <f t="shared" si="48"/>
        <v/>
      </c>
      <c r="S409" s="1" t="str">
        <f t="shared" si="47"/>
        <v/>
      </c>
      <c r="T409"/>
      <c r="U409"/>
      <c r="V409"/>
      <c r="W409"/>
      <c r="X409"/>
      <c r="Y409"/>
      <c r="Z409">
        <v>400</v>
      </c>
      <c r="AA409"/>
      <c r="AB409"/>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3"/>
      <c r="BC409" s="3"/>
      <c r="CT409" s="2" t="e">
        <v>#N/A</v>
      </c>
      <c r="CU409" s="2" t="e">
        <v>#N/A</v>
      </c>
      <c r="CV409" s="2" t="e">
        <v>#N/A</v>
      </c>
      <c r="CW409" s="2" t="e">
        <v>#N/A</v>
      </c>
      <c r="CX409" s="2" t="e">
        <v>#N/A</v>
      </c>
      <c r="CY409" s="2" t="e">
        <v>#N/A</v>
      </c>
      <c r="CZ409" s="2" t="e">
        <v>#N/A</v>
      </c>
      <c r="DA409" s="2" t="e">
        <v>#N/A</v>
      </c>
      <c r="DB409" s="2" t="e">
        <v>#N/A</v>
      </c>
      <c r="DC409" s="2" t="e">
        <v>#N/A</v>
      </c>
      <c r="DD409" s="2" t="e">
        <v>#N/A</v>
      </c>
      <c r="DE409" s="2" t="e">
        <v>#N/A</v>
      </c>
      <c r="DF409" s="2" t="e">
        <v>#N/A</v>
      </c>
      <c r="DG409" s="2" t="e">
        <v>#N/A</v>
      </c>
      <c r="DH409" s="2" t="e">
        <v>#N/A</v>
      </c>
      <c r="DI409" s="2" t="e">
        <v>#N/A</v>
      </c>
    </row>
    <row r="410" spans="1:113" s="2" customFormat="1">
      <c r="A410"/>
      <c r="B410"/>
      <c r="C410" s="44"/>
      <c r="D410" s="44"/>
      <c r="E410" s="44"/>
      <c r="F410" s="44"/>
      <c r="G410" s="44"/>
      <c r="H410" s="44"/>
      <c r="I410" s="44"/>
      <c r="J410" s="44"/>
      <c r="K410" s="44"/>
      <c r="L410" s="44"/>
      <c r="M410" t="str">
        <f t="shared" si="45"/>
        <v>"//*[@class=\"</v>
      </c>
      <c r="N410" t="s">
        <v>31</v>
      </c>
      <c r="O410" s="4" t="str">
        <f t="shared" si="49"/>
        <v>click</v>
      </c>
      <c r="P410" t="str">
        <f t="shared" si="50"/>
        <v>();</v>
      </c>
      <c r="Q410" t="str">
        <f t="shared" si="51"/>
        <v/>
      </c>
      <c r="R410" t="str">
        <f t="shared" si="48"/>
        <v/>
      </c>
      <c r="S410" s="1" t="str">
        <f t="shared" si="47"/>
        <v/>
      </c>
      <c r="T410"/>
      <c r="U410"/>
      <c r="V410"/>
      <c r="W410"/>
      <c r="X410"/>
      <c r="Y410"/>
      <c r="Z410">
        <v>401</v>
      </c>
      <c r="AA410"/>
      <c r="AB410"/>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3"/>
      <c r="BC410" s="3"/>
      <c r="CT410" s="2" t="e">
        <v>#N/A</v>
      </c>
      <c r="CU410" s="2" t="e">
        <v>#N/A</v>
      </c>
      <c r="CV410" s="2" t="e">
        <v>#N/A</v>
      </c>
      <c r="CW410" s="2" t="e">
        <v>#N/A</v>
      </c>
      <c r="CX410" s="2" t="e">
        <v>#N/A</v>
      </c>
      <c r="CY410" s="2" t="e">
        <v>#N/A</v>
      </c>
      <c r="CZ410" s="2" t="e">
        <v>#N/A</v>
      </c>
      <c r="DA410" s="2" t="e">
        <v>#N/A</v>
      </c>
      <c r="DB410" s="2" t="e">
        <v>#N/A</v>
      </c>
      <c r="DC410" s="2" t="e">
        <v>#N/A</v>
      </c>
      <c r="DD410" s="2" t="e">
        <v>#N/A</v>
      </c>
      <c r="DE410" s="2" t="e">
        <v>#N/A</v>
      </c>
      <c r="DF410" s="2" t="e">
        <v>#N/A</v>
      </c>
      <c r="DG410" s="2" t="e">
        <v>#N/A</v>
      </c>
      <c r="DH410" s="2" t="e">
        <v>#N/A</v>
      </c>
      <c r="DI410" s="2" t="e">
        <v>#N/A</v>
      </c>
    </row>
    <row r="411" spans="1:113" s="2" customFormat="1">
      <c r="A411"/>
      <c r="B411"/>
      <c r="C411" s="44"/>
      <c r="D411" s="44"/>
      <c r="E411" s="44"/>
      <c r="F411" s="44"/>
      <c r="G411" s="44"/>
      <c r="H411" s="44"/>
      <c r="I411" s="44"/>
      <c r="J411" s="44"/>
      <c r="K411" s="44"/>
      <c r="L411" s="44"/>
      <c r="M411" t="str">
        <f t="shared" si="45"/>
        <v>"//*[@class=\"</v>
      </c>
      <c r="N411" t="s">
        <v>31</v>
      </c>
      <c r="O411" s="4" t="str">
        <f t="shared" si="49"/>
        <v>click</v>
      </c>
      <c r="P411" t="str">
        <f t="shared" si="50"/>
        <v>();</v>
      </c>
      <c r="Q411" t="str">
        <f t="shared" si="51"/>
        <v/>
      </c>
      <c r="R411" t="str">
        <f t="shared" si="48"/>
        <v/>
      </c>
      <c r="S411" s="1" t="str">
        <f t="shared" si="47"/>
        <v/>
      </c>
      <c r="T411"/>
      <c r="U411"/>
      <c r="V411"/>
      <c r="W411"/>
      <c r="X411"/>
      <c r="Y411"/>
      <c r="Z411">
        <v>402</v>
      </c>
      <c r="AA411"/>
      <c r="AB411"/>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3"/>
      <c r="BC411" s="3"/>
      <c r="CT411" s="2" t="e">
        <v>#N/A</v>
      </c>
      <c r="CU411" s="2" t="e">
        <v>#N/A</v>
      </c>
      <c r="CV411" s="2" t="e">
        <v>#N/A</v>
      </c>
      <c r="CW411" s="2" t="e">
        <v>#N/A</v>
      </c>
      <c r="CX411" s="2" t="e">
        <v>#N/A</v>
      </c>
      <c r="CY411" s="2" t="e">
        <v>#N/A</v>
      </c>
      <c r="CZ411" s="2" t="e">
        <v>#N/A</v>
      </c>
      <c r="DA411" s="2" t="e">
        <v>#N/A</v>
      </c>
      <c r="DB411" s="2" t="e">
        <v>#N/A</v>
      </c>
      <c r="DC411" s="2" t="e">
        <v>#N/A</v>
      </c>
      <c r="DD411" s="2" t="e">
        <v>#N/A</v>
      </c>
      <c r="DE411" s="2" t="e">
        <v>#N/A</v>
      </c>
      <c r="DF411" s="2" t="e">
        <v>#N/A</v>
      </c>
      <c r="DG411" s="2" t="e">
        <v>#N/A</v>
      </c>
      <c r="DH411" s="2" t="e">
        <v>#N/A</v>
      </c>
      <c r="DI411" s="2" t="e">
        <v>#N/A</v>
      </c>
    </row>
    <row r="412" spans="1:113" s="2" customFormat="1">
      <c r="A412"/>
      <c r="B412"/>
      <c r="C412" s="44"/>
      <c r="D412" s="44"/>
      <c r="E412" s="44"/>
      <c r="F412" s="44"/>
      <c r="G412" s="44"/>
      <c r="H412" s="44"/>
      <c r="I412" s="44"/>
      <c r="J412" s="44"/>
      <c r="K412" s="44"/>
      <c r="L412" s="44"/>
      <c r="M412" t="str">
        <f t="shared" si="45"/>
        <v>"//*[@class=\"</v>
      </c>
      <c r="N412" t="s">
        <v>31</v>
      </c>
      <c r="O412" s="4" t="str">
        <f t="shared" si="49"/>
        <v>click</v>
      </c>
      <c r="P412" t="str">
        <f t="shared" si="50"/>
        <v>();</v>
      </c>
      <c r="Q412" t="str">
        <f t="shared" si="51"/>
        <v/>
      </c>
      <c r="R412" t="str">
        <f t="shared" si="48"/>
        <v/>
      </c>
      <c r="S412" s="1" t="str">
        <f t="shared" si="47"/>
        <v/>
      </c>
      <c r="T412"/>
      <c r="U412"/>
      <c r="V412"/>
      <c r="W412"/>
      <c r="X412"/>
      <c r="Y412"/>
      <c r="Z412">
        <v>403</v>
      </c>
      <c r="AA412"/>
      <c r="AB412"/>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3"/>
      <c r="BC412" s="3"/>
      <c r="CT412" s="2" t="e">
        <v>#N/A</v>
      </c>
      <c r="CU412" s="2" t="e">
        <v>#N/A</v>
      </c>
      <c r="CV412" s="2" t="e">
        <v>#N/A</v>
      </c>
      <c r="CW412" s="2" t="e">
        <v>#N/A</v>
      </c>
      <c r="CX412" s="2" t="e">
        <v>#N/A</v>
      </c>
      <c r="CY412" s="2" t="e">
        <v>#N/A</v>
      </c>
      <c r="CZ412" s="2" t="e">
        <v>#N/A</v>
      </c>
      <c r="DA412" s="2" t="e">
        <v>#N/A</v>
      </c>
      <c r="DB412" s="2" t="e">
        <v>#N/A</v>
      </c>
      <c r="DC412" s="2" t="e">
        <v>#N/A</v>
      </c>
      <c r="DD412" s="2" t="e">
        <v>#N/A</v>
      </c>
      <c r="DE412" s="2" t="e">
        <v>#N/A</v>
      </c>
      <c r="DF412" s="2" t="e">
        <v>#N/A</v>
      </c>
      <c r="DG412" s="2" t="e">
        <v>#N/A</v>
      </c>
      <c r="DH412" s="2" t="e">
        <v>#N/A</v>
      </c>
      <c r="DI412" s="2" t="e">
        <v>#N/A</v>
      </c>
    </row>
    <row r="413" spans="1:113" s="2" customFormat="1">
      <c r="A413"/>
      <c r="B413"/>
      <c r="C413" s="44"/>
      <c r="D413" s="44"/>
      <c r="E413" s="44"/>
      <c r="F413" s="44"/>
      <c r="G413" s="44"/>
      <c r="H413" s="44"/>
      <c r="I413" s="44"/>
      <c r="J413" s="44"/>
      <c r="K413" s="44"/>
      <c r="L413" s="44"/>
      <c r="M413" t="str">
        <f t="shared" si="45"/>
        <v>"//*[@class=\"</v>
      </c>
      <c r="N413" t="s">
        <v>31</v>
      </c>
      <c r="O413" s="4" t="str">
        <f t="shared" si="49"/>
        <v>click</v>
      </c>
      <c r="P413" t="str">
        <f t="shared" si="50"/>
        <v>();</v>
      </c>
      <c r="Q413" t="str">
        <f t="shared" si="51"/>
        <v/>
      </c>
      <c r="R413" t="str">
        <f t="shared" si="48"/>
        <v/>
      </c>
      <c r="S413" s="1" t="str">
        <f t="shared" si="47"/>
        <v/>
      </c>
      <c r="T413"/>
      <c r="U413"/>
      <c r="V413"/>
      <c r="W413"/>
      <c r="X413"/>
      <c r="Y413"/>
      <c r="Z413">
        <v>404</v>
      </c>
      <c r="AA413"/>
      <c r="AB413"/>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3"/>
      <c r="BC413" s="3"/>
      <c r="CT413" s="2" t="e">
        <v>#N/A</v>
      </c>
      <c r="CU413" s="2" t="e">
        <v>#N/A</v>
      </c>
      <c r="CV413" s="2" t="e">
        <v>#N/A</v>
      </c>
      <c r="CW413" s="2" t="e">
        <v>#N/A</v>
      </c>
      <c r="CX413" s="2" t="e">
        <v>#N/A</v>
      </c>
      <c r="CY413" s="2" t="e">
        <v>#N/A</v>
      </c>
      <c r="CZ413" s="2" t="e">
        <v>#N/A</v>
      </c>
      <c r="DA413" s="2" t="e">
        <v>#N/A</v>
      </c>
      <c r="DB413" s="2" t="e">
        <v>#N/A</v>
      </c>
      <c r="DC413" s="2" t="e">
        <v>#N/A</v>
      </c>
      <c r="DD413" s="2" t="e">
        <v>#N/A</v>
      </c>
      <c r="DE413" s="2" t="e">
        <v>#N/A</v>
      </c>
      <c r="DF413" s="2" t="e">
        <v>#N/A</v>
      </c>
      <c r="DG413" s="2" t="e">
        <v>#N/A</v>
      </c>
      <c r="DH413" s="2" t="e">
        <v>#N/A</v>
      </c>
      <c r="DI413" s="2" t="e">
        <v>#N/A</v>
      </c>
    </row>
    <row r="414" spans="1:113" s="2" customFormat="1">
      <c r="A414"/>
      <c r="B414"/>
      <c r="C414" s="44"/>
      <c r="D414" s="44"/>
      <c r="E414" s="44"/>
      <c r="F414" s="44"/>
      <c r="G414" s="44"/>
      <c r="H414" s="44"/>
      <c r="I414" s="44"/>
      <c r="J414" s="44"/>
      <c r="K414" s="44"/>
      <c r="L414" s="44"/>
      <c r="M414" t="str">
        <f t="shared" si="45"/>
        <v>"//*[@class=\"</v>
      </c>
      <c r="N414" t="s">
        <v>31</v>
      </c>
      <c r="O414" s="4" t="str">
        <f t="shared" si="49"/>
        <v>click</v>
      </c>
      <c r="P414" t="str">
        <f t="shared" si="50"/>
        <v>();</v>
      </c>
      <c r="Q414" t="str">
        <f t="shared" si="51"/>
        <v/>
      </c>
      <c r="R414" t="str">
        <f t="shared" si="48"/>
        <v/>
      </c>
      <c r="S414" s="1" t="str">
        <f t="shared" si="47"/>
        <v/>
      </c>
      <c r="T414"/>
      <c r="U414"/>
      <c r="V414"/>
      <c r="W414"/>
      <c r="X414"/>
      <c r="Y414"/>
      <c r="Z414">
        <v>405</v>
      </c>
      <c r="AA414"/>
      <c r="AB41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3"/>
      <c r="BC414" s="3"/>
      <c r="CT414" s="2" t="e">
        <v>#N/A</v>
      </c>
      <c r="CU414" s="2" t="e">
        <v>#N/A</v>
      </c>
      <c r="CV414" s="2" t="e">
        <v>#N/A</v>
      </c>
      <c r="CW414" s="2" t="e">
        <v>#N/A</v>
      </c>
      <c r="CX414" s="2" t="e">
        <v>#N/A</v>
      </c>
      <c r="CY414" s="2" t="e">
        <v>#N/A</v>
      </c>
      <c r="CZ414" s="2" t="e">
        <v>#N/A</v>
      </c>
      <c r="DA414" s="2" t="e">
        <v>#N/A</v>
      </c>
      <c r="DB414" s="2" t="e">
        <v>#N/A</v>
      </c>
      <c r="DC414" s="2" t="e">
        <v>#N/A</v>
      </c>
      <c r="DD414" s="2" t="e">
        <v>#N/A</v>
      </c>
      <c r="DE414" s="2" t="e">
        <v>#N/A</v>
      </c>
      <c r="DF414" s="2" t="e">
        <v>#N/A</v>
      </c>
      <c r="DG414" s="2" t="e">
        <v>#N/A</v>
      </c>
      <c r="DH414" s="2" t="e">
        <v>#N/A</v>
      </c>
      <c r="DI414" s="2" t="e">
        <v>#N/A</v>
      </c>
    </row>
    <row r="415" spans="1:113" s="2" customFormat="1">
      <c r="A415"/>
      <c r="B415"/>
      <c r="C415" s="44"/>
      <c r="D415" s="44"/>
      <c r="E415" s="44"/>
      <c r="F415" s="44"/>
      <c r="G415" s="44"/>
      <c r="H415" s="44"/>
      <c r="I415" s="44"/>
      <c r="J415" s="44"/>
      <c r="K415" s="44"/>
      <c r="L415" s="44"/>
      <c r="M415" t="str">
        <f t="shared" si="45"/>
        <v>"//*[@class=\"</v>
      </c>
      <c r="N415" t="s">
        <v>31</v>
      </c>
      <c r="O415" s="4" t="str">
        <f t="shared" si="49"/>
        <v>click</v>
      </c>
      <c r="P415" t="str">
        <f t="shared" si="50"/>
        <v>();</v>
      </c>
      <c r="Q415" t="str">
        <f t="shared" si="51"/>
        <v/>
      </c>
      <c r="R415" t="str">
        <f t="shared" si="48"/>
        <v/>
      </c>
      <c r="S415" s="1" t="str">
        <f t="shared" si="47"/>
        <v/>
      </c>
      <c r="T415"/>
      <c r="U415"/>
      <c r="V415"/>
      <c r="W415"/>
      <c r="X415"/>
      <c r="Y415"/>
      <c r="Z415">
        <v>406</v>
      </c>
      <c r="AA415"/>
      <c r="AB415"/>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3"/>
      <c r="BC415" s="3"/>
      <c r="CT415" s="2" t="e">
        <v>#N/A</v>
      </c>
      <c r="CU415" s="2" t="e">
        <v>#N/A</v>
      </c>
      <c r="CV415" s="2" t="e">
        <v>#N/A</v>
      </c>
      <c r="CW415" s="2" t="e">
        <v>#N/A</v>
      </c>
      <c r="CX415" s="2" t="e">
        <v>#N/A</v>
      </c>
      <c r="CY415" s="2" t="e">
        <v>#N/A</v>
      </c>
      <c r="CZ415" s="2" t="e">
        <v>#N/A</v>
      </c>
      <c r="DA415" s="2" t="e">
        <v>#N/A</v>
      </c>
      <c r="DB415" s="2" t="e">
        <v>#N/A</v>
      </c>
      <c r="DC415" s="2" t="e">
        <v>#N/A</v>
      </c>
      <c r="DD415" s="2" t="e">
        <v>#N/A</v>
      </c>
      <c r="DE415" s="2" t="e">
        <v>#N/A</v>
      </c>
      <c r="DF415" s="2" t="e">
        <v>#N/A</v>
      </c>
      <c r="DG415" s="2" t="e">
        <v>#N/A</v>
      </c>
      <c r="DH415" s="2" t="e">
        <v>#N/A</v>
      </c>
      <c r="DI415" s="2" t="e">
        <v>#N/A</v>
      </c>
    </row>
    <row r="416" spans="1:113" s="2" customFormat="1">
      <c r="A416"/>
      <c r="B416"/>
      <c r="C416" s="44"/>
      <c r="D416" s="44"/>
      <c r="E416" s="44"/>
      <c r="F416" s="44"/>
      <c r="G416" s="44"/>
      <c r="H416" s="44"/>
      <c r="I416" s="44"/>
      <c r="J416" s="44"/>
      <c r="K416" s="44"/>
      <c r="L416" s="44"/>
      <c r="M416" t="str">
        <f t="shared" si="45"/>
        <v>"//*[@class=\"</v>
      </c>
      <c r="N416" t="s">
        <v>31</v>
      </c>
      <c r="O416" s="4" t="str">
        <f t="shared" si="49"/>
        <v>click</v>
      </c>
      <c r="P416" t="str">
        <f t="shared" si="50"/>
        <v>();</v>
      </c>
      <c r="Q416" t="str">
        <f t="shared" si="51"/>
        <v/>
      </c>
      <c r="R416" t="str">
        <f t="shared" si="48"/>
        <v/>
      </c>
      <c r="S416" s="1" t="str">
        <f t="shared" si="47"/>
        <v/>
      </c>
      <c r="T416"/>
      <c r="U416"/>
      <c r="V416"/>
      <c r="W416"/>
      <c r="X416"/>
      <c r="Y416"/>
      <c r="Z416">
        <v>407</v>
      </c>
      <c r="AA416"/>
      <c r="AB416"/>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3"/>
      <c r="BC416" s="3"/>
      <c r="CT416" s="2" t="e">
        <v>#N/A</v>
      </c>
      <c r="CU416" s="2" t="e">
        <v>#N/A</v>
      </c>
      <c r="CV416" s="2" t="e">
        <v>#N/A</v>
      </c>
      <c r="CW416" s="2" t="e">
        <v>#N/A</v>
      </c>
      <c r="CX416" s="2" t="e">
        <v>#N/A</v>
      </c>
      <c r="CY416" s="2" t="e">
        <v>#N/A</v>
      </c>
      <c r="CZ416" s="2" t="e">
        <v>#N/A</v>
      </c>
      <c r="DA416" s="2" t="e">
        <v>#N/A</v>
      </c>
      <c r="DB416" s="2" t="e">
        <v>#N/A</v>
      </c>
      <c r="DC416" s="2" t="e">
        <v>#N/A</v>
      </c>
      <c r="DD416" s="2" t="e">
        <v>#N/A</v>
      </c>
      <c r="DE416" s="2" t="e">
        <v>#N/A</v>
      </c>
      <c r="DF416" s="2" t="e">
        <v>#N/A</v>
      </c>
      <c r="DG416" s="2" t="e">
        <v>#N/A</v>
      </c>
      <c r="DH416" s="2" t="e">
        <v>#N/A</v>
      </c>
      <c r="DI416" s="2" t="e">
        <v>#N/A</v>
      </c>
    </row>
    <row r="417" spans="1:113" s="2" customFormat="1">
      <c r="A417"/>
      <c r="B417"/>
      <c r="C417" s="44"/>
      <c r="D417" s="44"/>
      <c r="E417" s="44"/>
      <c r="F417" s="44"/>
      <c r="G417" s="44"/>
      <c r="H417" s="44"/>
      <c r="I417" s="44"/>
      <c r="J417" s="44"/>
      <c r="K417" s="44"/>
      <c r="L417" s="44"/>
      <c r="M417" t="str">
        <f t="shared" si="45"/>
        <v>"//*[@class=\"</v>
      </c>
      <c r="N417" t="s">
        <v>31</v>
      </c>
      <c r="O417" s="4" t="str">
        <f t="shared" si="49"/>
        <v>click</v>
      </c>
      <c r="P417" t="str">
        <f t="shared" si="50"/>
        <v>();</v>
      </c>
      <c r="Q417" t="str">
        <f t="shared" si="51"/>
        <v/>
      </c>
      <c r="R417" t="str">
        <f t="shared" si="48"/>
        <v/>
      </c>
      <c r="S417" s="1" t="str">
        <f t="shared" si="47"/>
        <v/>
      </c>
      <c r="T417"/>
      <c r="U417"/>
      <c r="V417"/>
      <c r="W417"/>
      <c r="X417"/>
      <c r="Y417"/>
      <c r="Z417">
        <v>408</v>
      </c>
      <c r="AA417"/>
      <c r="AB417"/>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3"/>
      <c r="BC417" s="3"/>
      <c r="CT417" s="2" t="e">
        <v>#N/A</v>
      </c>
      <c r="CU417" s="2" t="e">
        <v>#N/A</v>
      </c>
      <c r="CV417" s="2" t="e">
        <v>#N/A</v>
      </c>
      <c r="CW417" s="2" t="e">
        <v>#N/A</v>
      </c>
      <c r="CX417" s="2" t="e">
        <v>#N/A</v>
      </c>
      <c r="CY417" s="2" t="e">
        <v>#N/A</v>
      </c>
      <c r="CZ417" s="2" t="e">
        <v>#N/A</v>
      </c>
      <c r="DA417" s="2" t="e">
        <v>#N/A</v>
      </c>
      <c r="DB417" s="2" t="e">
        <v>#N/A</v>
      </c>
      <c r="DC417" s="2" t="e">
        <v>#N/A</v>
      </c>
      <c r="DD417" s="2" t="e">
        <v>#N/A</v>
      </c>
      <c r="DE417" s="2" t="e">
        <v>#N/A</v>
      </c>
      <c r="DF417" s="2" t="e">
        <v>#N/A</v>
      </c>
      <c r="DG417" s="2" t="e">
        <v>#N/A</v>
      </c>
      <c r="DH417" s="2" t="e">
        <v>#N/A</v>
      </c>
      <c r="DI417" s="2" t="e">
        <v>#N/A</v>
      </c>
    </row>
    <row r="418" spans="1:113" s="2" customFormat="1">
      <c r="A418"/>
      <c r="B418"/>
      <c r="C418" s="44"/>
      <c r="D418" s="44"/>
      <c r="E418" s="44"/>
      <c r="F418" s="44"/>
      <c r="G418" s="44"/>
      <c r="H418" s="44"/>
      <c r="I418" s="44"/>
      <c r="J418" s="44"/>
      <c r="K418" s="44"/>
      <c r="L418" s="44"/>
      <c r="M418" t="str">
        <f t="shared" si="45"/>
        <v>"//*[@class=\"</v>
      </c>
      <c r="N418" t="s">
        <v>31</v>
      </c>
      <c r="O418" s="4" t="str">
        <f t="shared" si="49"/>
        <v>click</v>
      </c>
      <c r="P418" t="str">
        <f t="shared" si="50"/>
        <v>();</v>
      </c>
      <c r="Q418" t="str">
        <f t="shared" si="51"/>
        <v/>
      </c>
      <c r="R418" t="str">
        <f t="shared" si="48"/>
        <v/>
      </c>
      <c r="S418" s="1" t="str">
        <f t="shared" si="47"/>
        <v/>
      </c>
      <c r="T418"/>
      <c r="U418"/>
      <c r="V418"/>
      <c r="W418"/>
      <c r="X418"/>
      <c r="Y418"/>
      <c r="Z418">
        <v>409</v>
      </c>
      <c r="AA418"/>
      <c r="AB418"/>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3"/>
      <c r="BC418" s="3"/>
      <c r="CT418" s="2" t="e">
        <v>#N/A</v>
      </c>
      <c r="CU418" s="2" t="e">
        <v>#N/A</v>
      </c>
      <c r="CV418" s="2" t="e">
        <v>#N/A</v>
      </c>
      <c r="CW418" s="2" t="e">
        <v>#N/A</v>
      </c>
      <c r="CX418" s="2" t="e">
        <v>#N/A</v>
      </c>
      <c r="CY418" s="2" t="e">
        <v>#N/A</v>
      </c>
      <c r="CZ418" s="2" t="e">
        <v>#N/A</v>
      </c>
      <c r="DA418" s="2" t="e">
        <v>#N/A</v>
      </c>
      <c r="DB418" s="2" t="e">
        <v>#N/A</v>
      </c>
      <c r="DC418" s="2" t="e">
        <v>#N/A</v>
      </c>
      <c r="DD418" s="2" t="e">
        <v>#N/A</v>
      </c>
      <c r="DE418" s="2" t="e">
        <v>#N/A</v>
      </c>
      <c r="DF418" s="2" t="e">
        <v>#N/A</v>
      </c>
      <c r="DG418" s="2" t="e">
        <v>#N/A</v>
      </c>
      <c r="DH418" s="2" t="e">
        <v>#N/A</v>
      </c>
      <c r="DI418" s="2" t="e">
        <v>#N/A</v>
      </c>
    </row>
    <row r="419" spans="1:113" s="2" customFormat="1">
      <c r="A419"/>
      <c r="B419"/>
      <c r="C419" s="44"/>
      <c r="D419" s="44"/>
      <c r="E419" s="44"/>
      <c r="F419" s="44"/>
      <c r="G419" s="44"/>
      <c r="H419" s="44"/>
      <c r="I419" s="44"/>
      <c r="J419" s="44"/>
      <c r="K419" s="44"/>
      <c r="L419" s="44"/>
      <c r="M419" t="str">
        <f t="shared" si="45"/>
        <v>"//*[@class=\"</v>
      </c>
      <c r="N419" t="s">
        <v>31</v>
      </c>
      <c r="O419" s="4" t="str">
        <f t="shared" si="49"/>
        <v>click</v>
      </c>
      <c r="P419" t="str">
        <f t="shared" si="50"/>
        <v>();</v>
      </c>
      <c r="Q419" t="str">
        <f t="shared" si="51"/>
        <v/>
      </c>
      <c r="R419" t="str">
        <f t="shared" si="48"/>
        <v/>
      </c>
      <c r="S419" s="1" t="str">
        <f t="shared" si="47"/>
        <v/>
      </c>
      <c r="T419"/>
      <c r="U419"/>
      <c r="V419"/>
      <c r="W419"/>
      <c r="X419"/>
      <c r="Y419"/>
      <c r="Z419">
        <v>410</v>
      </c>
      <c r="AA419"/>
      <c r="AB419"/>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3"/>
      <c r="BC419" s="3"/>
      <c r="CT419" s="2" t="e">
        <v>#N/A</v>
      </c>
      <c r="CU419" s="2" t="e">
        <v>#N/A</v>
      </c>
      <c r="CV419" s="2" t="e">
        <v>#N/A</v>
      </c>
      <c r="CW419" s="2" t="e">
        <v>#N/A</v>
      </c>
      <c r="CX419" s="2" t="e">
        <v>#N/A</v>
      </c>
      <c r="CY419" s="2" t="e">
        <v>#N/A</v>
      </c>
      <c r="CZ419" s="2" t="e">
        <v>#N/A</v>
      </c>
      <c r="DA419" s="2" t="e">
        <v>#N/A</v>
      </c>
      <c r="DB419" s="2" t="e">
        <v>#N/A</v>
      </c>
      <c r="DC419" s="2" t="e">
        <v>#N/A</v>
      </c>
      <c r="DD419" s="2" t="e">
        <v>#N/A</v>
      </c>
      <c r="DE419" s="2" t="e">
        <v>#N/A</v>
      </c>
      <c r="DF419" s="2" t="e">
        <v>#N/A</v>
      </c>
      <c r="DG419" s="2" t="e">
        <v>#N/A</v>
      </c>
      <c r="DH419" s="2" t="e">
        <v>#N/A</v>
      </c>
      <c r="DI419" s="2" t="e">
        <v>#N/A</v>
      </c>
    </row>
    <row r="420" spans="1:113" s="2" customFormat="1">
      <c r="A420"/>
      <c r="B420"/>
      <c r="C420" s="44"/>
      <c r="D420" s="44"/>
      <c r="E420" s="44"/>
      <c r="F420" s="44"/>
      <c r="G420" s="44"/>
      <c r="H420" s="44"/>
      <c r="I420" s="44"/>
      <c r="J420" s="44"/>
      <c r="K420" s="44"/>
      <c r="L420" s="44"/>
      <c r="M420" t="str">
        <f t="shared" si="45"/>
        <v>"//*[@class=\"</v>
      </c>
      <c r="N420" t="s">
        <v>31</v>
      </c>
      <c r="O420" s="4" t="str">
        <f t="shared" si="49"/>
        <v>click</v>
      </c>
      <c r="P420" t="str">
        <f t="shared" si="50"/>
        <v>();</v>
      </c>
      <c r="Q420" t="str">
        <f t="shared" si="51"/>
        <v/>
      </c>
      <c r="R420" t="str">
        <f t="shared" si="48"/>
        <v/>
      </c>
      <c r="S420" s="1" t="str">
        <f t="shared" si="47"/>
        <v/>
      </c>
      <c r="T420"/>
      <c r="U420"/>
      <c r="V420"/>
      <c r="W420"/>
      <c r="X420"/>
      <c r="Y420"/>
      <c r="Z420">
        <v>411</v>
      </c>
      <c r="AA420"/>
      <c r="AB420"/>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3"/>
      <c r="BC420" s="3"/>
      <c r="CT420" s="2" t="e">
        <v>#N/A</v>
      </c>
      <c r="CU420" s="2" t="e">
        <v>#N/A</v>
      </c>
      <c r="CV420" s="2" t="e">
        <v>#N/A</v>
      </c>
      <c r="CW420" s="2" t="e">
        <v>#N/A</v>
      </c>
      <c r="CX420" s="2" t="e">
        <v>#N/A</v>
      </c>
      <c r="CY420" s="2" t="e">
        <v>#N/A</v>
      </c>
      <c r="CZ420" s="2" t="e">
        <v>#N/A</v>
      </c>
      <c r="DA420" s="2" t="e">
        <v>#N/A</v>
      </c>
      <c r="DB420" s="2" t="e">
        <v>#N/A</v>
      </c>
      <c r="DC420" s="2" t="e">
        <v>#N/A</v>
      </c>
      <c r="DD420" s="2" t="e">
        <v>#N/A</v>
      </c>
      <c r="DE420" s="2" t="e">
        <v>#N/A</v>
      </c>
      <c r="DF420" s="2" t="e">
        <v>#N/A</v>
      </c>
      <c r="DG420" s="2" t="e">
        <v>#N/A</v>
      </c>
      <c r="DH420" s="2" t="e">
        <v>#N/A</v>
      </c>
      <c r="DI420" s="2" t="e">
        <v>#N/A</v>
      </c>
    </row>
    <row r="421" spans="1:113" s="2" customFormat="1">
      <c r="A421"/>
      <c r="B421"/>
      <c r="C421" s="44"/>
      <c r="D421" s="44"/>
      <c r="E421" s="44"/>
      <c r="F421" s="44"/>
      <c r="G421" s="44"/>
      <c r="H421" s="44"/>
      <c r="I421" s="44"/>
      <c r="J421" s="44"/>
      <c r="K421" s="44"/>
      <c r="L421" s="44"/>
      <c r="M421" t="str">
        <f t="shared" si="45"/>
        <v>"//*[@class=\"</v>
      </c>
      <c r="N421" t="s">
        <v>31</v>
      </c>
      <c r="O421" s="4" t="str">
        <f t="shared" si="49"/>
        <v>click</v>
      </c>
      <c r="P421" t="str">
        <f t="shared" si="50"/>
        <v>();</v>
      </c>
      <c r="Q421" t="str">
        <f t="shared" si="51"/>
        <v/>
      </c>
      <c r="R421" t="str">
        <f t="shared" si="48"/>
        <v/>
      </c>
      <c r="S421" s="1" t="str">
        <f t="shared" si="47"/>
        <v/>
      </c>
      <c r="T421"/>
      <c r="U421"/>
      <c r="V421"/>
      <c r="W421"/>
      <c r="X421"/>
      <c r="Y421"/>
      <c r="Z421">
        <v>412</v>
      </c>
      <c r="AA421"/>
      <c r="AB421"/>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3"/>
      <c r="BC421" s="3"/>
      <c r="CT421" s="2" t="e">
        <v>#N/A</v>
      </c>
      <c r="CU421" s="2" t="e">
        <v>#N/A</v>
      </c>
      <c r="CV421" s="2" t="e">
        <v>#N/A</v>
      </c>
      <c r="CW421" s="2" t="e">
        <v>#N/A</v>
      </c>
      <c r="CX421" s="2" t="e">
        <v>#N/A</v>
      </c>
      <c r="CY421" s="2" t="e">
        <v>#N/A</v>
      </c>
      <c r="CZ421" s="2" t="e">
        <v>#N/A</v>
      </c>
      <c r="DA421" s="2" t="e">
        <v>#N/A</v>
      </c>
      <c r="DB421" s="2" t="e">
        <v>#N/A</v>
      </c>
      <c r="DC421" s="2" t="e">
        <v>#N/A</v>
      </c>
      <c r="DD421" s="2" t="e">
        <v>#N/A</v>
      </c>
      <c r="DE421" s="2" t="e">
        <v>#N/A</v>
      </c>
      <c r="DF421" s="2" t="e">
        <v>#N/A</v>
      </c>
      <c r="DG421" s="2" t="e">
        <v>#N/A</v>
      </c>
      <c r="DH421" s="2" t="e">
        <v>#N/A</v>
      </c>
      <c r="DI421" s="2" t="e">
        <v>#N/A</v>
      </c>
    </row>
    <row r="422" spans="1:113" s="2" customFormat="1">
      <c r="A422"/>
      <c r="B422"/>
      <c r="C422" s="44"/>
      <c r="D422" s="44"/>
      <c r="E422" s="44"/>
      <c r="F422" s="44"/>
      <c r="G422" s="44"/>
      <c r="H422" s="44"/>
      <c r="I422" s="44"/>
      <c r="J422" s="44"/>
      <c r="K422" s="44"/>
      <c r="L422" s="44"/>
      <c r="M422" t="str">
        <f t="shared" si="45"/>
        <v>"//*[@class=\"</v>
      </c>
      <c r="N422" t="s">
        <v>31</v>
      </c>
      <c r="O422" s="4" t="str">
        <f t="shared" si="49"/>
        <v>click</v>
      </c>
      <c r="P422" t="str">
        <f t="shared" si="50"/>
        <v>();</v>
      </c>
      <c r="Q422" t="str">
        <f t="shared" si="51"/>
        <v/>
      </c>
      <c r="R422" t="str">
        <f t="shared" si="48"/>
        <v/>
      </c>
      <c r="S422" s="1" t="str">
        <f t="shared" si="47"/>
        <v/>
      </c>
      <c r="T422"/>
      <c r="U422"/>
      <c r="V422"/>
      <c r="W422"/>
      <c r="X422"/>
      <c r="Y422"/>
      <c r="Z422">
        <v>413</v>
      </c>
      <c r="AA422"/>
      <c r="AB422"/>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3"/>
      <c r="BC422" s="3"/>
      <c r="CT422" s="2" t="e">
        <v>#N/A</v>
      </c>
      <c r="CU422" s="2" t="e">
        <v>#N/A</v>
      </c>
      <c r="CV422" s="2" t="e">
        <v>#N/A</v>
      </c>
      <c r="CW422" s="2" t="e">
        <v>#N/A</v>
      </c>
      <c r="CX422" s="2" t="e">
        <v>#N/A</v>
      </c>
      <c r="CY422" s="2" t="e">
        <v>#N/A</v>
      </c>
      <c r="CZ422" s="2" t="e">
        <v>#N/A</v>
      </c>
      <c r="DA422" s="2" t="e">
        <v>#N/A</v>
      </c>
      <c r="DB422" s="2" t="e">
        <v>#N/A</v>
      </c>
      <c r="DC422" s="2" t="e">
        <v>#N/A</v>
      </c>
      <c r="DD422" s="2" t="e">
        <v>#N/A</v>
      </c>
      <c r="DE422" s="2" t="e">
        <v>#N/A</v>
      </c>
      <c r="DF422" s="2" t="e">
        <v>#N/A</v>
      </c>
      <c r="DG422" s="2" t="e">
        <v>#N/A</v>
      </c>
      <c r="DH422" s="2" t="e">
        <v>#N/A</v>
      </c>
      <c r="DI422" s="2" t="e">
        <v>#N/A</v>
      </c>
    </row>
    <row r="423" spans="1:113" s="2" customFormat="1">
      <c r="A423"/>
      <c r="B423"/>
      <c r="C423" s="44"/>
      <c r="D423" s="44"/>
      <c r="E423" s="44"/>
      <c r="F423" s="44"/>
      <c r="G423" s="44"/>
      <c r="H423" s="44"/>
      <c r="I423" s="44"/>
      <c r="J423" s="44"/>
      <c r="K423" s="44"/>
      <c r="L423" s="44"/>
      <c r="M423" t="str">
        <f t="shared" si="45"/>
        <v>"//*[@class=\"</v>
      </c>
      <c r="N423" t="s">
        <v>31</v>
      </c>
      <c r="O423" s="4" t="str">
        <f t="shared" si="49"/>
        <v>click</v>
      </c>
      <c r="P423" t="str">
        <f t="shared" si="50"/>
        <v>();</v>
      </c>
      <c r="Q423" t="str">
        <f t="shared" si="51"/>
        <v/>
      </c>
      <c r="R423" t="str">
        <f t="shared" si="48"/>
        <v/>
      </c>
      <c r="S423" s="1" t="str">
        <f t="shared" si="47"/>
        <v/>
      </c>
      <c r="T423"/>
      <c r="U423"/>
      <c r="V423"/>
      <c r="W423"/>
      <c r="X423"/>
      <c r="Y423"/>
      <c r="Z423">
        <v>414</v>
      </c>
      <c r="AA423"/>
      <c r="AB423"/>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3"/>
      <c r="BC423" s="3"/>
      <c r="CT423" s="2" t="e">
        <v>#N/A</v>
      </c>
      <c r="CU423" s="2" t="e">
        <v>#N/A</v>
      </c>
      <c r="CV423" s="2" t="e">
        <v>#N/A</v>
      </c>
      <c r="CW423" s="2" t="e">
        <v>#N/A</v>
      </c>
      <c r="CX423" s="2" t="e">
        <v>#N/A</v>
      </c>
      <c r="CY423" s="2" t="e">
        <v>#N/A</v>
      </c>
      <c r="CZ423" s="2" t="e">
        <v>#N/A</v>
      </c>
      <c r="DA423" s="2" t="e">
        <v>#N/A</v>
      </c>
      <c r="DB423" s="2" t="e">
        <v>#N/A</v>
      </c>
      <c r="DC423" s="2" t="e">
        <v>#N/A</v>
      </c>
      <c r="DD423" s="2" t="e">
        <v>#N/A</v>
      </c>
      <c r="DE423" s="2" t="e">
        <v>#N/A</v>
      </c>
      <c r="DF423" s="2" t="e">
        <v>#N/A</v>
      </c>
      <c r="DG423" s="2" t="e">
        <v>#N/A</v>
      </c>
      <c r="DH423" s="2" t="e">
        <v>#N/A</v>
      </c>
      <c r="DI423" s="2" t="e">
        <v>#N/A</v>
      </c>
    </row>
    <row r="424" spans="1:113" s="2" customFormat="1">
      <c r="A424"/>
      <c r="B424"/>
      <c r="C424" s="44"/>
      <c r="D424" s="44"/>
      <c r="E424" s="44"/>
      <c r="F424" s="44"/>
      <c r="G424" s="44"/>
      <c r="H424" s="44"/>
      <c r="I424" s="44"/>
      <c r="J424" s="44"/>
      <c r="K424" s="44"/>
      <c r="L424" s="44"/>
      <c r="M424" t="str">
        <f t="shared" si="45"/>
        <v>"//*[@class=\"</v>
      </c>
      <c r="N424" t="s">
        <v>31</v>
      </c>
      <c r="O424" s="4" t="str">
        <f t="shared" si="49"/>
        <v>click</v>
      </c>
      <c r="P424" t="str">
        <f t="shared" si="50"/>
        <v>();</v>
      </c>
      <c r="Q424" t="str">
        <f t="shared" si="51"/>
        <v/>
      </c>
      <c r="R424" t="str">
        <f t="shared" si="48"/>
        <v/>
      </c>
      <c r="S424" s="1" t="str">
        <f t="shared" si="47"/>
        <v/>
      </c>
      <c r="T424"/>
      <c r="U424"/>
      <c r="V424"/>
      <c r="W424"/>
      <c r="X424"/>
      <c r="Y424"/>
      <c r="Z424">
        <v>415</v>
      </c>
      <c r="AA424"/>
      <c r="AB42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3"/>
      <c r="BC424" s="3"/>
      <c r="CT424" s="2" t="e">
        <v>#N/A</v>
      </c>
      <c r="CU424" s="2" t="e">
        <v>#N/A</v>
      </c>
      <c r="CV424" s="2" t="e">
        <v>#N/A</v>
      </c>
      <c r="CW424" s="2" t="e">
        <v>#N/A</v>
      </c>
      <c r="CX424" s="2" t="e">
        <v>#N/A</v>
      </c>
      <c r="CY424" s="2" t="e">
        <v>#N/A</v>
      </c>
      <c r="CZ424" s="2" t="e">
        <v>#N/A</v>
      </c>
      <c r="DA424" s="2" t="e">
        <v>#N/A</v>
      </c>
      <c r="DB424" s="2" t="e">
        <v>#N/A</v>
      </c>
      <c r="DC424" s="2" t="e">
        <v>#N/A</v>
      </c>
      <c r="DD424" s="2" t="e">
        <v>#N/A</v>
      </c>
      <c r="DE424" s="2" t="e">
        <v>#N/A</v>
      </c>
      <c r="DF424" s="2" t="e">
        <v>#N/A</v>
      </c>
      <c r="DG424" s="2" t="e">
        <v>#N/A</v>
      </c>
      <c r="DH424" s="2" t="e">
        <v>#N/A</v>
      </c>
      <c r="DI424" s="2" t="e">
        <v>#N/A</v>
      </c>
    </row>
    <row r="425" spans="1:113" s="2" customFormat="1">
      <c r="A425"/>
      <c r="B425"/>
      <c r="C425" s="44"/>
      <c r="D425" s="44"/>
      <c r="E425" s="44"/>
      <c r="F425" s="44"/>
      <c r="G425" s="44"/>
      <c r="H425" s="44"/>
      <c r="I425" s="44"/>
      <c r="J425" s="44"/>
      <c r="K425" s="44"/>
      <c r="L425" s="44"/>
      <c r="M425" t="str">
        <f t="shared" si="45"/>
        <v>"//*[@class=\"</v>
      </c>
      <c r="N425" t="s">
        <v>31</v>
      </c>
      <c r="O425" s="4" t="str">
        <f t="shared" si="49"/>
        <v>click</v>
      </c>
      <c r="P425" t="str">
        <f t="shared" si="50"/>
        <v>();</v>
      </c>
      <c r="Q425" t="str">
        <f t="shared" si="51"/>
        <v/>
      </c>
      <c r="R425" t="str">
        <f t="shared" si="48"/>
        <v/>
      </c>
      <c r="S425" s="1" t="str">
        <f t="shared" si="47"/>
        <v/>
      </c>
      <c r="T425"/>
      <c r="U425"/>
      <c r="V425"/>
      <c r="W425"/>
      <c r="X425"/>
      <c r="Y425"/>
      <c r="Z425">
        <v>416</v>
      </c>
      <c r="AA425"/>
      <c r="AB425"/>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3"/>
      <c r="BC425" s="3"/>
      <c r="CT425" s="2" t="e">
        <v>#N/A</v>
      </c>
      <c r="CU425" s="2" t="e">
        <v>#N/A</v>
      </c>
      <c r="CV425" s="2" t="e">
        <v>#N/A</v>
      </c>
      <c r="CW425" s="2" t="e">
        <v>#N/A</v>
      </c>
      <c r="CX425" s="2" t="e">
        <v>#N/A</v>
      </c>
      <c r="CY425" s="2" t="e">
        <v>#N/A</v>
      </c>
      <c r="CZ425" s="2" t="e">
        <v>#N/A</v>
      </c>
      <c r="DA425" s="2" t="e">
        <v>#N/A</v>
      </c>
      <c r="DB425" s="2" t="e">
        <v>#N/A</v>
      </c>
      <c r="DC425" s="2" t="e">
        <v>#N/A</v>
      </c>
      <c r="DD425" s="2" t="e">
        <v>#N/A</v>
      </c>
      <c r="DE425" s="2" t="e">
        <v>#N/A</v>
      </c>
      <c r="DF425" s="2" t="e">
        <v>#N/A</v>
      </c>
      <c r="DG425" s="2" t="e">
        <v>#N/A</v>
      </c>
      <c r="DH425" s="2" t="e">
        <v>#N/A</v>
      </c>
      <c r="DI425" s="2" t="e">
        <v>#N/A</v>
      </c>
    </row>
    <row r="426" spans="1:113" s="2" customFormat="1">
      <c r="A426"/>
      <c r="B426"/>
      <c r="C426" s="44"/>
      <c r="D426" s="44"/>
      <c r="E426" s="44"/>
      <c r="F426" s="44"/>
      <c r="G426" s="44"/>
      <c r="H426" s="44"/>
      <c r="I426" s="44"/>
      <c r="J426" s="44"/>
      <c r="K426" s="44"/>
      <c r="L426" s="44"/>
      <c r="M426" t="str">
        <f t="shared" si="45"/>
        <v>"//*[@class=\"</v>
      </c>
      <c r="N426" t="s">
        <v>31</v>
      </c>
      <c r="O426" s="4" t="str">
        <f t="shared" si="49"/>
        <v>click</v>
      </c>
      <c r="P426" t="str">
        <f t="shared" si="50"/>
        <v>();</v>
      </c>
      <c r="Q426" t="str">
        <f t="shared" si="51"/>
        <v/>
      </c>
      <c r="R426" t="str">
        <f t="shared" si="48"/>
        <v/>
      </c>
      <c r="S426" s="1" t="str">
        <f t="shared" si="47"/>
        <v/>
      </c>
      <c r="T426"/>
      <c r="U426"/>
      <c r="V426"/>
      <c r="W426"/>
      <c r="X426"/>
      <c r="Y426"/>
      <c r="Z426">
        <v>417</v>
      </c>
      <c r="AA426"/>
      <c r="AB426"/>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3"/>
      <c r="BC426" s="3"/>
      <c r="CT426" s="2" t="e">
        <v>#N/A</v>
      </c>
      <c r="CU426" s="2" t="e">
        <v>#N/A</v>
      </c>
      <c r="CV426" s="2" t="e">
        <v>#N/A</v>
      </c>
      <c r="CW426" s="2" t="e">
        <v>#N/A</v>
      </c>
      <c r="CX426" s="2" t="e">
        <v>#N/A</v>
      </c>
      <c r="CY426" s="2" t="e">
        <v>#N/A</v>
      </c>
      <c r="CZ426" s="2" t="e">
        <v>#N/A</v>
      </c>
      <c r="DA426" s="2" t="e">
        <v>#N/A</v>
      </c>
      <c r="DB426" s="2" t="e">
        <v>#N/A</v>
      </c>
      <c r="DC426" s="2" t="e">
        <v>#N/A</v>
      </c>
      <c r="DD426" s="2" t="e">
        <v>#N/A</v>
      </c>
      <c r="DE426" s="2" t="e">
        <v>#N/A</v>
      </c>
      <c r="DF426" s="2" t="e">
        <v>#N/A</v>
      </c>
      <c r="DG426" s="2" t="e">
        <v>#N/A</v>
      </c>
      <c r="DH426" s="2" t="e">
        <v>#N/A</v>
      </c>
      <c r="DI426" s="2" t="e">
        <v>#N/A</v>
      </c>
    </row>
    <row r="427" spans="1:113" s="2" customFormat="1">
      <c r="A427"/>
      <c r="B427"/>
      <c r="C427" s="44"/>
      <c r="D427" s="44"/>
      <c r="E427" s="44"/>
      <c r="F427" s="44"/>
      <c r="G427" s="44"/>
      <c r="H427" s="44"/>
      <c r="I427" s="44"/>
      <c r="J427" s="44"/>
      <c r="K427" s="44"/>
      <c r="L427" s="44"/>
      <c r="M427" t="str">
        <f t="shared" si="45"/>
        <v>"//*[@class=\"</v>
      </c>
      <c r="N427" t="s">
        <v>31</v>
      </c>
      <c r="O427" s="4" t="str">
        <f t="shared" si="49"/>
        <v>click</v>
      </c>
      <c r="P427" t="str">
        <f t="shared" si="50"/>
        <v>();</v>
      </c>
      <c r="Q427" t="str">
        <f t="shared" si="51"/>
        <v/>
      </c>
      <c r="R427" t="str">
        <f t="shared" si="48"/>
        <v/>
      </c>
      <c r="S427" s="1" t="str">
        <f t="shared" si="47"/>
        <v/>
      </c>
      <c r="T427"/>
      <c r="U427"/>
      <c r="V427"/>
      <c r="W427"/>
      <c r="X427"/>
      <c r="Y427"/>
      <c r="Z427">
        <v>418</v>
      </c>
      <c r="AA427"/>
      <c r="AB427"/>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3"/>
      <c r="BC427" s="3"/>
      <c r="CT427" s="2" t="e">
        <v>#N/A</v>
      </c>
      <c r="CU427" s="2" t="e">
        <v>#N/A</v>
      </c>
      <c r="CV427" s="2" t="e">
        <v>#N/A</v>
      </c>
      <c r="CW427" s="2" t="e">
        <v>#N/A</v>
      </c>
      <c r="CX427" s="2" t="e">
        <v>#N/A</v>
      </c>
      <c r="CY427" s="2" t="e">
        <v>#N/A</v>
      </c>
      <c r="CZ427" s="2" t="e">
        <v>#N/A</v>
      </c>
      <c r="DA427" s="2" t="e">
        <v>#N/A</v>
      </c>
      <c r="DB427" s="2" t="e">
        <v>#N/A</v>
      </c>
      <c r="DC427" s="2" t="e">
        <v>#N/A</v>
      </c>
      <c r="DD427" s="2" t="e">
        <v>#N/A</v>
      </c>
      <c r="DE427" s="2" t="e">
        <v>#N/A</v>
      </c>
      <c r="DF427" s="2" t="e">
        <v>#N/A</v>
      </c>
      <c r="DG427" s="2" t="e">
        <v>#N/A</v>
      </c>
      <c r="DH427" s="2" t="e">
        <v>#N/A</v>
      </c>
      <c r="DI427" s="2" t="e">
        <v>#N/A</v>
      </c>
    </row>
    <row r="428" spans="1:113" s="2" customFormat="1">
      <c r="A428"/>
      <c r="B428"/>
      <c r="C428" s="44"/>
      <c r="D428" s="44"/>
      <c r="E428" s="44"/>
      <c r="F428" s="44"/>
      <c r="G428" s="44"/>
      <c r="H428" s="44"/>
      <c r="I428" s="44"/>
      <c r="J428" s="44"/>
      <c r="K428" s="44"/>
      <c r="L428" s="44"/>
      <c r="M428" t="str">
        <f t="shared" si="45"/>
        <v>"//*[@class=\"</v>
      </c>
      <c r="N428" t="s">
        <v>31</v>
      </c>
      <c r="O428" s="4" t="str">
        <f t="shared" si="49"/>
        <v>click</v>
      </c>
      <c r="P428" t="str">
        <f t="shared" si="50"/>
        <v>();</v>
      </c>
      <c r="Q428" t="str">
        <f t="shared" si="51"/>
        <v/>
      </c>
      <c r="R428" t="str">
        <f t="shared" si="48"/>
        <v/>
      </c>
      <c r="S428" s="1" t="str">
        <f t="shared" si="47"/>
        <v/>
      </c>
      <c r="T428"/>
      <c r="U428"/>
      <c r="V428"/>
      <c r="W428"/>
      <c r="X428"/>
      <c r="Y428"/>
      <c r="Z428">
        <v>419</v>
      </c>
      <c r="AA428"/>
      <c r="AB428"/>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3"/>
      <c r="BC428" s="3"/>
      <c r="CT428" s="2" t="e">
        <v>#N/A</v>
      </c>
      <c r="CU428" s="2" t="e">
        <v>#N/A</v>
      </c>
      <c r="CV428" s="2" t="e">
        <v>#N/A</v>
      </c>
      <c r="CW428" s="2" t="e">
        <v>#N/A</v>
      </c>
      <c r="CX428" s="2" t="e">
        <v>#N/A</v>
      </c>
      <c r="CY428" s="2" t="e">
        <v>#N/A</v>
      </c>
      <c r="CZ428" s="2" t="e">
        <v>#N/A</v>
      </c>
      <c r="DA428" s="2" t="e">
        <v>#N/A</v>
      </c>
      <c r="DB428" s="2" t="e">
        <v>#N/A</v>
      </c>
      <c r="DC428" s="2" t="e">
        <v>#N/A</v>
      </c>
      <c r="DD428" s="2" t="e">
        <v>#N/A</v>
      </c>
      <c r="DE428" s="2" t="e">
        <v>#N/A</v>
      </c>
      <c r="DF428" s="2" t="e">
        <v>#N/A</v>
      </c>
      <c r="DG428" s="2" t="e">
        <v>#N/A</v>
      </c>
      <c r="DH428" s="2" t="e">
        <v>#N/A</v>
      </c>
      <c r="DI428" s="2" t="e">
        <v>#N/A</v>
      </c>
    </row>
    <row r="429" spans="1:113" s="2" customFormat="1">
      <c r="A429"/>
      <c r="B429"/>
      <c r="C429" s="44"/>
      <c r="D429" s="44"/>
      <c r="E429" s="44"/>
      <c r="F429" s="44"/>
      <c r="G429" s="44"/>
      <c r="H429" s="44"/>
      <c r="I429" s="44"/>
      <c r="J429" s="44"/>
      <c r="K429" s="44"/>
      <c r="L429" s="44"/>
      <c r="M429" t="str">
        <f t="shared" si="45"/>
        <v>"//*[@class=\"</v>
      </c>
      <c r="N429" t="s">
        <v>31</v>
      </c>
      <c r="O429" s="4" t="str">
        <f t="shared" si="49"/>
        <v>click</v>
      </c>
      <c r="P429" t="str">
        <f t="shared" si="50"/>
        <v>();</v>
      </c>
      <c r="Q429" t="str">
        <f t="shared" si="51"/>
        <v/>
      </c>
      <c r="R429" t="str">
        <f t="shared" si="48"/>
        <v/>
      </c>
      <c r="S429" s="1" t="str">
        <f t="shared" si="47"/>
        <v/>
      </c>
      <c r="T429"/>
      <c r="U429"/>
      <c r="V429"/>
      <c r="W429"/>
      <c r="X429"/>
      <c r="Y429"/>
      <c r="Z429">
        <v>420</v>
      </c>
      <c r="AA429"/>
      <c r="AB429"/>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3"/>
      <c r="BC429" s="3"/>
      <c r="CT429" s="2" t="e">
        <v>#N/A</v>
      </c>
      <c r="CU429" s="2" t="e">
        <v>#N/A</v>
      </c>
      <c r="CV429" s="2" t="e">
        <v>#N/A</v>
      </c>
      <c r="CW429" s="2" t="e">
        <v>#N/A</v>
      </c>
      <c r="CX429" s="2" t="e">
        <v>#N/A</v>
      </c>
      <c r="CY429" s="2" t="e">
        <v>#N/A</v>
      </c>
      <c r="CZ429" s="2" t="e">
        <v>#N/A</v>
      </c>
      <c r="DA429" s="2" t="e">
        <v>#N/A</v>
      </c>
      <c r="DB429" s="2" t="e">
        <v>#N/A</v>
      </c>
      <c r="DC429" s="2" t="e">
        <v>#N/A</v>
      </c>
      <c r="DD429" s="2" t="e">
        <v>#N/A</v>
      </c>
      <c r="DE429" s="2" t="e">
        <v>#N/A</v>
      </c>
      <c r="DF429" s="2" t="e">
        <v>#N/A</v>
      </c>
      <c r="DG429" s="2" t="e">
        <v>#N/A</v>
      </c>
      <c r="DH429" s="2" t="e">
        <v>#N/A</v>
      </c>
      <c r="DI429" s="2" t="e">
        <v>#N/A</v>
      </c>
    </row>
    <row r="430" spans="1:113" s="2" customFormat="1">
      <c r="A430"/>
      <c r="B430"/>
      <c r="C430" s="44"/>
      <c r="D430" s="44"/>
      <c r="E430" s="44"/>
      <c r="F430" s="44"/>
      <c r="G430" s="44"/>
      <c r="H430" s="44"/>
      <c r="I430" s="44"/>
      <c r="J430" s="44"/>
      <c r="K430" s="44"/>
      <c r="L430" s="44"/>
      <c r="M430" t="str">
        <f t="shared" si="45"/>
        <v>"//*[@class=\"</v>
      </c>
      <c r="N430" t="s">
        <v>31</v>
      </c>
      <c r="O430" s="4" t="str">
        <f t="shared" si="49"/>
        <v>click</v>
      </c>
      <c r="P430" t="str">
        <f t="shared" si="50"/>
        <v>();</v>
      </c>
      <c r="Q430" t="str">
        <f t="shared" si="51"/>
        <v/>
      </c>
      <c r="R430" t="str">
        <f t="shared" si="48"/>
        <v/>
      </c>
      <c r="S430" s="1" t="str">
        <f t="shared" si="47"/>
        <v/>
      </c>
      <c r="T430"/>
      <c r="U430"/>
      <c r="V430"/>
      <c r="W430"/>
      <c r="X430"/>
      <c r="Y430"/>
      <c r="Z430">
        <v>421</v>
      </c>
      <c r="AA430"/>
      <c r="AB430"/>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3"/>
      <c r="BC430" s="3"/>
      <c r="CT430" s="2" t="e">
        <v>#N/A</v>
      </c>
      <c r="CU430" s="2" t="e">
        <v>#N/A</v>
      </c>
      <c r="CV430" s="2" t="e">
        <v>#N/A</v>
      </c>
      <c r="CW430" s="2" t="e">
        <v>#N/A</v>
      </c>
      <c r="CX430" s="2" t="e">
        <v>#N/A</v>
      </c>
      <c r="CY430" s="2" t="e">
        <v>#N/A</v>
      </c>
      <c r="CZ430" s="2" t="e">
        <v>#N/A</v>
      </c>
      <c r="DA430" s="2" t="e">
        <v>#N/A</v>
      </c>
      <c r="DB430" s="2" t="e">
        <v>#N/A</v>
      </c>
      <c r="DC430" s="2" t="e">
        <v>#N/A</v>
      </c>
      <c r="DD430" s="2" t="e">
        <v>#N/A</v>
      </c>
      <c r="DE430" s="2" t="e">
        <v>#N/A</v>
      </c>
      <c r="DF430" s="2" t="e">
        <v>#N/A</v>
      </c>
      <c r="DG430" s="2" t="e">
        <v>#N/A</v>
      </c>
      <c r="DH430" s="2" t="e">
        <v>#N/A</v>
      </c>
      <c r="DI430" s="2" t="e">
        <v>#N/A</v>
      </c>
    </row>
    <row r="431" spans="1:113" s="2" customFormat="1">
      <c r="A431"/>
      <c r="B431"/>
      <c r="C431" s="44"/>
      <c r="D431" s="44"/>
      <c r="E431" s="44"/>
      <c r="F431" s="44"/>
      <c r="G431" s="44"/>
      <c r="H431" s="44"/>
      <c r="I431" s="44"/>
      <c r="J431" s="44"/>
      <c r="K431" s="44"/>
      <c r="L431" s="44"/>
      <c r="M431" t="str">
        <f t="shared" si="45"/>
        <v>"//*[@class=\"</v>
      </c>
      <c r="N431" t="s">
        <v>31</v>
      </c>
      <c r="O431" s="4" t="str">
        <f t="shared" si="49"/>
        <v>click</v>
      </c>
      <c r="P431" t="str">
        <f t="shared" si="50"/>
        <v>();</v>
      </c>
      <c r="Q431" t="str">
        <f t="shared" si="51"/>
        <v/>
      </c>
      <c r="R431" t="str">
        <f t="shared" si="48"/>
        <v/>
      </c>
      <c r="S431" s="1" t="str">
        <f t="shared" si="47"/>
        <v/>
      </c>
      <c r="T431"/>
      <c r="U431"/>
      <c r="V431"/>
      <c r="W431"/>
      <c r="X431"/>
      <c r="Y431"/>
      <c r="Z431">
        <v>422</v>
      </c>
      <c r="AA431"/>
      <c r="AB431"/>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3"/>
      <c r="BC431" s="3"/>
      <c r="CT431" s="2" t="e">
        <v>#N/A</v>
      </c>
      <c r="CU431" s="2" t="e">
        <v>#N/A</v>
      </c>
      <c r="CV431" s="2" t="e">
        <v>#N/A</v>
      </c>
      <c r="CW431" s="2" t="e">
        <v>#N/A</v>
      </c>
      <c r="CX431" s="2" t="e">
        <v>#N/A</v>
      </c>
      <c r="CY431" s="2" t="e">
        <v>#N/A</v>
      </c>
      <c r="CZ431" s="2" t="e">
        <v>#N/A</v>
      </c>
      <c r="DA431" s="2" t="e">
        <v>#N/A</v>
      </c>
      <c r="DB431" s="2" t="e">
        <v>#N/A</v>
      </c>
      <c r="DC431" s="2" t="e">
        <v>#N/A</v>
      </c>
      <c r="DD431" s="2" t="e">
        <v>#N/A</v>
      </c>
      <c r="DE431" s="2" t="e">
        <v>#N/A</v>
      </c>
      <c r="DF431" s="2" t="e">
        <v>#N/A</v>
      </c>
      <c r="DG431" s="2" t="e">
        <v>#N/A</v>
      </c>
      <c r="DH431" s="2" t="e">
        <v>#N/A</v>
      </c>
      <c r="DI431" s="2" t="e">
        <v>#N/A</v>
      </c>
    </row>
    <row r="432" spans="1:113" s="2" customFormat="1">
      <c r="A432"/>
      <c r="B432"/>
      <c r="C432" s="44"/>
      <c r="D432" s="44"/>
      <c r="E432" s="44"/>
      <c r="F432" s="44"/>
      <c r="G432" s="44"/>
      <c r="H432" s="44"/>
      <c r="I432" s="44"/>
      <c r="J432" s="44"/>
      <c r="K432" s="44"/>
      <c r="L432" s="44"/>
      <c r="M432" t="str">
        <f t="shared" si="45"/>
        <v>"//*[@class=\"</v>
      </c>
      <c r="N432" t="s">
        <v>31</v>
      </c>
      <c r="O432" s="4" t="str">
        <f t="shared" si="49"/>
        <v>click</v>
      </c>
      <c r="P432" t="str">
        <f t="shared" si="50"/>
        <v>();</v>
      </c>
      <c r="Q432" t="str">
        <f t="shared" si="51"/>
        <v/>
      </c>
      <c r="R432" t="str">
        <f t="shared" si="48"/>
        <v/>
      </c>
      <c r="S432" s="1" t="str">
        <f t="shared" si="47"/>
        <v/>
      </c>
      <c r="T432"/>
      <c r="U432"/>
      <c r="V432"/>
      <c r="W432"/>
      <c r="X432"/>
      <c r="Y432"/>
      <c r="Z432">
        <v>423</v>
      </c>
      <c r="AA432"/>
      <c r="AB432"/>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3"/>
      <c r="BC432" s="3"/>
      <c r="CT432" s="2" t="e">
        <v>#N/A</v>
      </c>
      <c r="CU432" s="2" t="e">
        <v>#N/A</v>
      </c>
      <c r="CV432" s="2" t="e">
        <v>#N/A</v>
      </c>
      <c r="CW432" s="2" t="e">
        <v>#N/A</v>
      </c>
      <c r="CX432" s="2" t="e">
        <v>#N/A</v>
      </c>
      <c r="CY432" s="2" t="e">
        <v>#N/A</v>
      </c>
      <c r="CZ432" s="2" t="e">
        <v>#N/A</v>
      </c>
      <c r="DA432" s="2" t="e">
        <v>#N/A</v>
      </c>
      <c r="DB432" s="2" t="e">
        <v>#N/A</v>
      </c>
      <c r="DC432" s="2" t="e">
        <v>#N/A</v>
      </c>
      <c r="DD432" s="2" t="e">
        <v>#N/A</v>
      </c>
      <c r="DE432" s="2" t="e">
        <v>#N/A</v>
      </c>
      <c r="DF432" s="2" t="e">
        <v>#N/A</v>
      </c>
      <c r="DG432" s="2" t="e">
        <v>#N/A</v>
      </c>
      <c r="DH432" s="2" t="e">
        <v>#N/A</v>
      </c>
      <c r="DI432" s="2" t="e">
        <v>#N/A</v>
      </c>
    </row>
    <row r="433" spans="1:113" s="2" customFormat="1">
      <c r="A433"/>
      <c r="B433"/>
      <c r="C433" s="44"/>
      <c r="D433" s="44"/>
      <c r="E433" s="44"/>
      <c r="F433" s="44"/>
      <c r="G433" s="44"/>
      <c r="H433" s="44"/>
      <c r="I433" s="44"/>
      <c r="J433" s="44"/>
      <c r="K433" s="44"/>
      <c r="L433" s="44"/>
      <c r="M433" t="str">
        <f t="shared" si="45"/>
        <v>"//*[@class=\"</v>
      </c>
      <c r="N433" t="s">
        <v>31</v>
      </c>
      <c r="O433" s="4" t="str">
        <f t="shared" si="49"/>
        <v>click</v>
      </c>
      <c r="P433" t="str">
        <f t="shared" si="50"/>
        <v>();</v>
      </c>
      <c r="Q433" t="str">
        <f t="shared" si="51"/>
        <v/>
      </c>
      <c r="R433" t="str">
        <f t="shared" si="48"/>
        <v/>
      </c>
      <c r="S433" s="1" t="str">
        <f t="shared" si="47"/>
        <v/>
      </c>
      <c r="T433"/>
      <c r="U433"/>
      <c r="V433"/>
      <c r="W433"/>
      <c r="X433"/>
      <c r="Y433"/>
      <c r="Z433">
        <v>424</v>
      </c>
      <c r="AA433"/>
      <c r="AB433"/>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3"/>
      <c r="BC433" s="3"/>
      <c r="CT433" s="2" t="e">
        <v>#N/A</v>
      </c>
      <c r="CU433" s="2" t="e">
        <v>#N/A</v>
      </c>
      <c r="CV433" s="2" t="e">
        <v>#N/A</v>
      </c>
      <c r="CW433" s="2" t="e">
        <v>#N/A</v>
      </c>
      <c r="CX433" s="2" t="e">
        <v>#N/A</v>
      </c>
      <c r="CY433" s="2" t="e">
        <v>#N/A</v>
      </c>
      <c r="CZ433" s="2" t="e">
        <v>#N/A</v>
      </c>
      <c r="DA433" s="2" t="e">
        <v>#N/A</v>
      </c>
      <c r="DB433" s="2" t="e">
        <v>#N/A</v>
      </c>
      <c r="DC433" s="2" t="e">
        <v>#N/A</v>
      </c>
      <c r="DD433" s="2" t="e">
        <v>#N/A</v>
      </c>
      <c r="DE433" s="2" t="e">
        <v>#N/A</v>
      </c>
      <c r="DF433" s="2" t="e">
        <v>#N/A</v>
      </c>
      <c r="DG433" s="2" t="e">
        <v>#N/A</v>
      </c>
      <c r="DH433" s="2" t="e">
        <v>#N/A</v>
      </c>
      <c r="DI433" s="2" t="e">
        <v>#N/A</v>
      </c>
    </row>
    <row r="434" spans="1:113" s="2" customFormat="1">
      <c r="A434"/>
      <c r="B434"/>
      <c r="C434" s="44"/>
      <c r="D434" s="44"/>
      <c r="E434" s="44"/>
      <c r="F434" s="44"/>
      <c r="G434" s="44"/>
      <c r="H434" s="44"/>
      <c r="I434" s="44"/>
      <c r="J434" s="44"/>
      <c r="K434" s="44"/>
      <c r="L434" s="44"/>
      <c r="M434" t="str">
        <f t="shared" si="45"/>
        <v>"//*[@class=\"</v>
      </c>
      <c r="N434" t="s">
        <v>31</v>
      </c>
      <c r="O434" s="4" t="str">
        <f t="shared" si="49"/>
        <v>click</v>
      </c>
      <c r="P434" t="str">
        <f t="shared" si="50"/>
        <v>();</v>
      </c>
      <c r="Q434" t="str">
        <f t="shared" si="51"/>
        <v/>
      </c>
      <c r="R434" t="str">
        <f t="shared" si="48"/>
        <v/>
      </c>
      <c r="S434" s="1" t="str">
        <f t="shared" si="47"/>
        <v/>
      </c>
      <c r="T434"/>
      <c r="U434"/>
      <c r="V434"/>
      <c r="W434"/>
      <c r="X434"/>
      <c r="Y434"/>
      <c r="Z434">
        <v>425</v>
      </c>
      <c r="AA434"/>
      <c r="AB43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3"/>
      <c r="BC434" s="3"/>
      <c r="CT434" s="2" t="e">
        <v>#N/A</v>
      </c>
      <c r="CU434" s="2" t="e">
        <v>#N/A</v>
      </c>
      <c r="CV434" s="2" t="e">
        <v>#N/A</v>
      </c>
      <c r="CW434" s="2" t="e">
        <v>#N/A</v>
      </c>
      <c r="CX434" s="2" t="e">
        <v>#N/A</v>
      </c>
      <c r="CY434" s="2" t="e">
        <v>#N/A</v>
      </c>
      <c r="CZ434" s="2" t="e">
        <v>#N/A</v>
      </c>
      <c r="DA434" s="2" t="e">
        <v>#N/A</v>
      </c>
      <c r="DB434" s="2" t="e">
        <v>#N/A</v>
      </c>
      <c r="DC434" s="2" t="e">
        <v>#N/A</v>
      </c>
      <c r="DD434" s="2" t="e">
        <v>#N/A</v>
      </c>
      <c r="DE434" s="2" t="e">
        <v>#N/A</v>
      </c>
      <c r="DF434" s="2" t="e">
        <v>#N/A</v>
      </c>
      <c r="DG434" s="2" t="e">
        <v>#N/A</v>
      </c>
      <c r="DH434" s="2" t="e">
        <v>#N/A</v>
      </c>
      <c r="DI434" s="2" t="e">
        <v>#N/A</v>
      </c>
    </row>
    <row r="435" spans="1:113" s="2" customFormat="1">
      <c r="A435"/>
      <c r="B435"/>
      <c r="C435" s="44"/>
      <c r="D435" s="44"/>
      <c r="E435" s="44"/>
      <c r="F435" s="44"/>
      <c r="G435" s="44"/>
      <c r="H435" s="44"/>
      <c r="I435" s="44"/>
      <c r="J435" s="44"/>
      <c r="K435" s="44"/>
      <c r="L435" s="44"/>
      <c r="M435" t="str">
        <f t="shared" si="45"/>
        <v>"//*[@class=\"</v>
      </c>
      <c r="N435" t="s">
        <v>31</v>
      </c>
      <c r="O435" s="4" t="str">
        <f t="shared" si="49"/>
        <v>click</v>
      </c>
      <c r="P435" t="str">
        <f t="shared" si="50"/>
        <v>();</v>
      </c>
      <c r="Q435" t="str">
        <f t="shared" si="51"/>
        <v/>
      </c>
      <c r="R435" t="str">
        <f t="shared" si="48"/>
        <v/>
      </c>
      <c r="S435" s="1" t="str">
        <f t="shared" si="47"/>
        <v/>
      </c>
      <c r="T435"/>
      <c r="U435"/>
      <c r="V435"/>
      <c r="W435"/>
      <c r="X435"/>
      <c r="Y435"/>
      <c r="Z435">
        <v>426</v>
      </c>
      <c r="AA435"/>
      <c r="AB435"/>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3"/>
      <c r="BC435" s="3"/>
      <c r="CT435" s="2" t="e">
        <v>#N/A</v>
      </c>
      <c r="CU435" s="2" t="e">
        <v>#N/A</v>
      </c>
      <c r="CV435" s="2" t="e">
        <v>#N/A</v>
      </c>
      <c r="CW435" s="2" t="e">
        <v>#N/A</v>
      </c>
      <c r="CX435" s="2" t="e">
        <v>#N/A</v>
      </c>
      <c r="CY435" s="2" t="e">
        <v>#N/A</v>
      </c>
      <c r="CZ435" s="2" t="e">
        <v>#N/A</v>
      </c>
      <c r="DA435" s="2" t="e">
        <v>#N/A</v>
      </c>
      <c r="DB435" s="2" t="e">
        <v>#N/A</v>
      </c>
      <c r="DC435" s="2" t="e">
        <v>#N/A</v>
      </c>
      <c r="DD435" s="2" t="e">
        <v>#N/A</v>
      </c>
      <c r="DE435" s="2" t="e">
        <v>#N/A</v>
      </c>
      <c r="DF435" s="2" t="e">
        <v>#N/A</v>
      </c>
      <c r="DG435" s="2" t="e">
        <v>#N/A</v>
      </c>
      <c r="DH435" s="2" t="e">
        <v>#N/A</v>
      </c>
      <c r="DI435" s="2" t="e">
        <v>#N/A</v>
      </c>
    </row>
    <row r="436" spans="1:113" s="2" customFormat="1">
      <c r="A436"/>
      <c r="B436"/>
      <c r="C436" s="44"/>
      <c r="D436" s="44"/>
      <c r="E436" s="44"/>
      <c r="F436" s="44"/>
      <c r="G436" s="44"/>
      <c r="H436" s="44"/>
      <c r="I436" s="44"/>
      <c r="J436" s="44"/>
      <c r="K436" s="44"/>
      <c r="L436" s="44"/>
      <c r="M436" t="str">
        <f t="shared" si="45"/>
        <v>"//*[@class=\"</v>
      </c>
      <c r="N436" t="s">
        <v>31</v>
      </c>
      <c r="O436" s="4" t="str">
        <f t="shared" si="49"/>
        <v>click</v>
      </c>
      <c r="P436" t="str">
        <f t="shared" si="50"/>
        <v>();</v>
      </c>
      <c r="Q436" t="str">
        <f t="shared" si="51"/>
        <v/>
      </c>
      <c r="R436" t="str">
        <f t="shared" si="48"/>
        <v/>
      </c>
      <c r="S436" s="1" t="str">
        <f t="shared" si="47"/>
        <v/>
      </c>
      <c r="T436"/>
      <c r="U436"/>
      <c r="V436"/>
      <c r="W436"/>
      <c r="X436"/>
      <c r="Y436"/>
      <c r="Z436">
        <v>427</v>
      </c>
      <c r="AA436"/>
      <c r="AB436"/>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3"/>
      <c r="BC436" s="3"/>
      <c r="CT436" s="2" t="e">
        <v>#N/A</v>
      </c>
      <c r="CU436" s="2" t="e">
        <v>#N/A</v>
      </c>
      <c r="CV436" s="2" t="e">
        <v>#N/A</v>
      </c>
      <c r="CW436" s="2" t="e">
        <v>#N/A</v>
      </c>
      <c r="CX436" s="2" t="e">
        <v>#N/A</v>
      </c>
      <c r="CY436" s="2" t="e">
        <v>#N/A</v>
      </c>
      <c r="CZ436" s="2" t="e">
        <v>#N/A</v>
      </c>
      <c r="DA436" s="2" t="e">
        <v>#N/A</v>
      </c>
      <c r="DB436" s="2" t="e">
        <v>#N/A</v>
      </c>
      <c r="DC436" s="2" t="e">
        <v>#N/A</v>
      </c>
      <c r="DD436" s="2" t="e">
        <v>#N/A</v>
      </c>
      <c r="DE436" s="2" t="e">
        <v>#N/A</v>
      </c>
      <c r="DF436" s="2" t="e">
        <v>#N/A</v>
      </c>
      <c r="DG436" s="2" t="e">
        <v>#N/A</v>
      </c>
      <c r="DH436" s="2" t="e">
        <v>#N/A</v>
      </c>
      <c r="DI436" s="2" t="e">
        <v>#N/A</v>
      </c>
    </row>
    <row r="437" spans="1:113" s="2" customFormat="1">
      <c r="A437"/>
      <c r="B437"/>
      <c r="C437" s="44"/>
      <c r="D437" s="44"/>
      <c r="E437" s="44"/>
      <c r="F437" s="44"/>
      <c r="G437" s="44"/>
      <c r="H437" s="44"/>
      <c r="I437" s="44"/>
      <c r="J437" s="44"/>
      <c r="K437" s="44"/>
      <c r="L437" s="44"/>
      <c r="M437" t="str">
        <f t="shared" si="45"/>
        <v>"//*[@class=\"</v>
      </c>
      <c r="N437" t="s">
        <v>31</v>
      </c>
      <c r="O437" s="4" t="str">
        <f t="shared" si="49"/>
        <v>click</v>
      </c>
      <c r="P437" t="str">
        <f t="shared" si="50"/>
        <v>();</v>
      </c>
      <c r="Q437" t="str">
        <f t="shared" si="51"/>
        <v/>
      </c>
      <c r="R437" t="str">
        <f t="shared" si="48"/>
        <v/>
      </c>
      <c r="S437" s="1" t="str">
        <f t="shared" si="47"/>
        <v/>
      </c>
      <c r="T437"/>
      <c r="U437"/>
      <c r="V437"/>
      <c r="W437"/>
      <c r="X437"/>
      <c r="Y437"/>
      <c r="Z437">
        <v>428</v>
      </c>
      <c r="AA437"/>
      <c r="AB437"/>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3"/>
      <c r="BC437" s="3"/>
      <c r="CT437" s="2" t="e">
        <v>#N/A</v>
      </c>
      <c r="CU437" s="2" t="e">
        <v>#N/A</v>
      </c>
      <c r="CV437" s="2" t="e">
        <v>#N/A</v>
      </c>
      <c r="CW437" s="2" t="e">
        <v>#N/A</v>
      </c>
      <c r="CX437" s="2" t="e">
        <v>#N/A</v>
      </c>
      <c r="CY437" s="2" t="e">
        <v>#N/A</v>
      </c>
      <c r="CZ437" s="2" t="e">
        <v>#N/A</v>
      </c>
      <c r="DA437" s="2" t="e">
        <v>#N/A</v>
      </c>
      <c r="DB437" s="2" t="e">
        <v>#N/A</v>
      </c>
      <c r="DC437" s="2" t="e">
        <v>#N/A</v>
      </c>
      <c r="DD437" s="2" t="e">
        <v>#N/A</v>
      </c>
      <c r="DE437" s="2" t="e">
        <v>#N/A</v>
      </c>
      <c r="DF437" s="2" t="e">
        <v>#N/A</v>
      </c>
      <c r="DG437" s="2" t="e">
        <v>#N/A</v>
      </c>
      <c r="DH437" s="2" t="e">
        <v>#N/A</v>
      </c>
      <c r="DI437" s="2" t="e">
        <v>#N/A</v>
      </c>
    </row>
    <row r="438" spans="1:113" s="2" customFormat="1">
      <c r="A438"/>
      <c r="B438"/>
      <c r="C438" s="44"/>
      <c r="D438" s="44"/>
      <c r="E438" s="44"/>
      <c r="F438" s="44"/>
      <c r="G438" s="44"/>
      <c r="H438" s="44"/>
      <c r="I438" s="44"/>
      <c r="J438" s="44"/>
      <c r="K438" s="44"/>
      <c r="L438" s="44"/>
      <c r="M438" t="str">
        <f t="shared" si="45"/>
        <v>"//*[@class=\"</v>
      </c>
      <c r="N438" t="s">
        <v>31</v>
      </c>
      <c r="O438" s="4" t="str">
        <f t="shared" si="49"/>
        <v>click</v>
      </c>
      <c r="P438" t="str">
        <f t="shared" si="50"/>
        <v>();</v>
      </c>
      <c r="Q438" t="str">
        <f t="shared" si="51"/>
        <v/>
      </c>
      <c r="R438" t="str">
        <f t="shared" si="48"/>
        <v/>
      </c>
      <c r="S438" s="1" t="str">
        <f t="shared" si="47"/>
        <v/>
      </c>
      <c r="T438"/>
      <c r="U438"/>
      <c r="V438"/>
      <c r="W438"/>
      <c r="X438"/>
      <c r="Y438"/>
      <c r="Z438">
        <v>429</v>
      </c>
      <c r="AA438"/>
      <c r="AB438"/>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3"/>
      <c r="BC438" s="3"/>
      <c r="CT438" s="2" t="e">
        <v>#N/A</v>
      </c>
      <c r="CU438" s="2" t="e">
        <v>#N/A</v>
      </c>
      <c r="CV438" s="2" t="e">
        <v>#N/A</v>
      </c>
      <c r="CW438" s="2" t="e">
        <v>#N/A</v>
      </c>
      <c r="CX438" s="2" t="e">
        <v>#N/A</v>
      </c>
      <c r="CY438" s="2" t="e">
        <v>#N/A</v>
      </c>
      <c r="CZ438" s="2" t="e">
        <v>#N/A</v>
      </c>
      <c r="DA438" s="2" t="e">
        <v>#N/A</v>
      </c>
      <c r="DB438" s="2" t="e">
        <v>#N/A</v>
      </c>
      <c r="DC438" s="2" t="e">
        <v>#N/A</v>
      </c>
      <c r="DD438" s="2" t="e">
        <v>#N/A</v>
      </c>
      <c r="DE438" s="2" t="e">
        <v>#N/A</v>
      </c>
      <c r="DF438" s="2" t="e">
        <v>#N/A</v>
      </c>
      <c r="DG438" s="2" t="e">
        <v>#N/A</v>
      </c>
      <c r="DH438" s="2" t="e">
        <v>#N/A</v>
      </c>
      <c r="DI438" s="2" t="e">
        <v>#N/A</v>
      </c>
    </row>
    <row r="439" spans="1:113" s="2" customFormat="1">
      <c r="A439"/>
      <c r="B439"/>
      <c r="C439" s="44"/>
      <c r="D439" s="44"/>
      <c r="E439" s="44"/>
      <c r="F439" s="44"/>
      <c r="G439" s="44"/>
      <c r="H439" s="44"/>
      <c r="I439" s="44"/>
      <c r="J439" s="44"/>
      <c r="K439" s="44"/>
      <c r="L439" s="44"/>
      <c r="M439" t="str">
        <f t="shared" si="45"/>
        <v>"//*[@class=\"</v>
      </c>
      <c r="N439" t="s">
        <v>31</v>
      </c>
      <c r="O439" s="4" t="str">
        <f t="shared" si="49"/>
        <v>click</v>
      </c>
      <c r="P439" t="str">
        <f t="shared" si="50"/>
        <v>();</v>
      </c>
      <c r="Q439" t="str">
        <f t="shared" si="51"/>
        <v/>
      </c>
      <c r="R439" t="str">
        <f t="shared" si="48"/>
        <v/>
      </c>
      <c r="S439" s="1" t="str">
        <f t="shared" si="47"/>
        <v/>
      </c>
      <c r="T439"/>
      <c r="U439"/>
      <c r="V439"/>
      <c r="W439"/>
      <c r="X439"/>
      <c r="Y439"/>
      <c r="Z439">
        <v>430</v>
      </c>
      <c r="AA439"/>
      <c r="AB439"/>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3"/>
      <c r="BC439" s="3"/>
      <c r="CT439" s="2" t="e">
        <v>#N/A</v>
      </c>
      <c r="CU439" s="2" t="e">
        <v>#N/A</v>
      </c>
      <c r="CV439" s="2" t="e">
        <v>#N/A</v>
      </c>
      <c r="CW439" s="2" t="e">
        <v>#N/A</v>
      </c>
      <c r="CX439" s="2" t="e">
        <v>#N/A</v>
      </c>
      <c r="CY439" s="2" t="e">
        <v>#N/A</v>
      </c>
      <c r="CZ439" s="2" t="e">
        <v>#N/A</v>
      </c>
      <c r="DA439" s="2" t="e">
        <v>#N/A</v>
      </c>
      <c r="DB439" s="2" t="e">
        <v>#N/A</v>
      </c>
      <c r="DC439" s="2" t="e">
        <v>#N/A</v>
      </c>
      <c r="DD439" s="2" t="e">
        <v>#N/A</v>
      </c>
      <c r="DE439" s="2" t="e">
        <v>#N/A</v>
      </c>
      <c r="DF439" s="2" t="e">
        <v>#N/A</v>
      </c>
      <c r="DG439" s="2" t="e">
        <v>#N/A</v>
      </c>
      <c r="DH439" s="2" t="e">
        <v>#N/A</v>
      </c>
      <c r="DI439" s="2" t="e">
        <v>#N/A</v>
      </c>
    </row>
    <row r="440" spans="1:113" s="2" customFormat="1">
      <c r="A440"/>
      <c r="B440"/>
      <c r="C440" s="44"/>
      <c r="D440" s="44"/>
      <c r="E440" s="44"/>
      <c r="F440" s="44"/>
      <c r="G440" s="44"/>
      <c r="H440" s="44"/>
      <c r="I440" s="44"/>
      <c r="J440" s="44"/>
      <c r="K440" s="44"/>
      <c r="L440" s="44"/>
      <c r="M440" t="str">
        <f t="shared" si="45"/>
        <v>"//*[@class=\"</v>
      </c>
      <c r="N440" t="s">
        <v>31</v>
      </c>
      <c r="O440" s="4" t="str">
        <f t="shared" si="49"/>
        <v>click</v>
      </c>
      <c r="P440" t="str">
        <f t="shared" si="50"/>
        <v>();</v>
      </c>
      <c r="Q440" t="str">
        <f t="shared" si="51"/>
        <v/>
      </c>
      <c r="R440" t="str">
        <f t="shared" si="48"/>
        <v/>
      </c>
      <c r="S440" s="1" t="str">
        <f t="shared" si="47"/>
        <v/>
      </c>
      <c r="T440"/>
      <c r="U440"/>
      <c r="V440"/>
      <c r="W440"/>
      <c r="X440"/>
      <c r="Y440"/>
      <c r="Z440">
        <v>431</v>
      </c>
      <c r="AA440"/>
      <c r="AB440"/>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3"/>
      <c r="BC440" s="3"/>
      <c r="CT440" s="2" t="e">
        <v>#N/A</v>
      </c>
      <c r="CU440" s="2" t="e">
        <v>#N/A</v>
      </c>
      <c r="CV440" s="2" t="e">
        <v>#N/A</v>
      </c>
      <c r="CW440" s="2" t="e">
        <v>#N/A</v>
      </c>
      <c r="CX440" s="2" t="e">
        <v>#N/A</v>
      </c>
      <c r="CY440" s="2" t="e">
        <v>#N/A</v>
      </c>
      <c r="CZ440" s="2" t="e">
        <v>#N/A</v>
      </c>
      <c r="DA440" s="2" t="e">
        <v>#N/A</v>
      </c>
      <c r="DB440" s="2" t="e">
        <v>#N/A</v>
      </c>
      <c r="DC440" s="2" t="e">
        <v>#N/A</v>
      </c>
      <c r="DD440" s="2" t="e">
        <v>#N/A</v>
      </c>
      <c r="DE440" s="2" t="e">
        <v>#N/A</v>
      </c>
      <c r="DF440" s="2" t="e">
        <v>#N/A</v>
      </c>
      <c r="DG440" s="2" t="e">
        <v>#N/A</v>
      </c>
      <c r="DH440" s="2" t="e">
        <v>#N/A</v>
      </c>
      <c r="DI440" s="2" t="e">
        <v>#N/A</v>
      </c>
    </row>
    <row r="441" spans="1:113" s="2" customFormat="1">
      <c r="A441"/>
      <c r="B441"/>
      <c r="C441" s="44"/>
      <c r="D441" s="44"/>
      <c r="E441" s="44"/>
      <c r="F441" s="44"/>
      <c r="G441" s="44"/>
      <c r="H441" s="44"/>
      <c r="I441" s="44"/>
      <c r="J441" s="44"/>
      <c r="K441" s="44"/>
      <c r="L441" s="44"/>
      <c r="M441" t="str">
        <f t="shared" si="45"/>
        <v>"//*[@class=\"</v>
      </c>
      <c r="N441" t="s">
        <v>31</v>
      </c>
      <c r="O441" s="4" t="str">
        <f t="shared" si="49"/>
        <v>click</v>
      </c>
      <c r="P441" t="str">
        <f t="shared" si="50"/>
        <v>();</v>
      </c>
      <c r="Q441" t="str">
        <f t="shared" si="51"/>
        <v/>
      </c>
      <c r="R441" t="str">
        <f t="shared" si="48"/>
        <v/>
      </c>
      <c r="S441" s="1" t="str">
        <f t="shared" si="47"/>
        <v/>
      </c>
      <c r="T441"/>
      <c r="U441"/>
      <c r="V441"/>
      <c r="W441"/>
      <c r="X441"/>
      <c r="Y441"/>
      <c r="Z441">
        <v>432</v>
      </c>
      <c r="AA441"/>
      <c r="AB441"/>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3"/>
      <c r="BC441" s="3"/>
      <c r="CT441" s="2" t="e">
        <v>#N/A</v>
      </c>
      <c r="CU441" s="2" t="e">
        <v>#N/A</v>
      </c>
      <c r="CV441" s="2" t="e">
        <v>#N/A</v>
      </c>
      <c r="CW441" s="2" t="e">
        <v>#N/A</v>
      </c>
      <c r="CX441" s="2" t="e">
        <v>#N/A</v>
      </c>
      <c r="CY441" s="2" t="e">
        <v>#N/A</v>
      </c>
      <c r="CZ441" s="2" t="e">
        <v>#N/A</v>
      </c>
      <c r="DA441" s="2" t="e">
        <v>#N/A</v>
      </c>
      <c r="DB441" s="2" t="e">
        <v>#N/A</v>
      </c>
      <c r="DC441" s="2" t="e">
        <v>#N/A</v>
      </c>
      <c r="DD441" s="2" t="e">
        <v>#N/A</v>
      </c>
      <c r="DE441" s="2" t="e">
        <v>#N/A</v>
      </c>
      <c r="DF441" s="2" t="e">
        <v>#N/A</v>
      </c>
      <c r="DG441" s="2" t="e">
        <v>#N/A</v>
      </c>
      <c r="DH441" s="2" t="e">
        <v>#N/A</v>
      </c>
      <c r="DI441" s="2" t="e">
        <v>#N/A</v>
      </c>
    </row>
    <row r="442" spans="1:113" s="2" customFormat="1">
      <c r="A442"/>
      <c r="B442"/>
      <c r="C442" s="44"/>
      <c r="D442" s="44"/>
      <c r="E442" s="44"/>
      <c r="F442" s="44"/>
      <c r="G442" s="44"/>
      <c r="H442" s="44"/>
      <c r="I442" s="44"/>
      <c r="J442" s="44"/>
      <c r="K442" s="44"/>
      <c r="L442" s="44"/>
      <c r="M442" t="str">
        <f t="shared" si="45"/>
        <v>"//*[@class=\"</v>
      </c>
      <c r="N442" t="s">
        <v>31</v>
      </c>
      <c r="O442" s="4" t="str">
        <f t="shared" si="49"/>
        <v>click</v>
      </c>
      <c r="P442" t="str">
        <f t="shared" si="50"/>
        <v>();</v>
      </c>
      <c r="Q442" t="str">
        <f t="shared" si="51"/>
        <v/>
      </c>
      <c r="R442" t="str">
        <f t="shared" si="48"/>
        <v/>
      </c>
      <c r="S442" s="1" t="str">
        <f t="shared" si="47"/>
        <v/>
      </c>
      <c r="T442"/>
      <c r="U442"/>
      <c r="V442"/>
      <c r="W442"/>
      <c r="X442"/>
      <c r="Y442"/>
      <c r="Z442">
        <v>433</v>
      </c>
      <c r="AA442"/>
      <c r="AB442"/>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3"/>
      <c r="BC442" s="3"/>
      <c r="CT442" s="2" t="e">
        <v>#N/A</v>
      </c>
      <c r="CU442" s="2" t="e">
        <v>#N/A</v>
      </c>
      <c r="CV442" s="2" t="e">
        <v>#N/A</v>
      </c>
      <c r="CW442" s="2" t="e">
        <v>#N/A</v>
      </c>
      <c r="CX442" s="2" t="e">
        <v>#N/A</v>
      </c>
      <c r="CY442" s="2" t="e">
        <v>#N/A</v>
      </c>
      <c r="CZ442" s="2" t="e">
        <v>#N/A</v>
      </c>
      <c r="DA442" s="2" t="e">
        <v>#N/A</v>
      </c>
      <c r="DB442" s="2" t="e">
        <v>#N/A</v>
      </c>
      <c r="DC442" s="2" t="e">
        <v>#N/A</v>
      </c>
      <c r="DD442" s="2" t="e">
        <v>#N/A</v>
      </c>
      <c r="DE442" s="2" t="e">
        <v>#N/A</v>
      </c>
      <c r="DF442" s="2" t="e">
        <v>#N/A</v>
      </c>
      <c r="DG442" s="2" t="e">
        <v>#N/A</v>
      </c>
      <c r="DH442" s="2" t="e">
        <v>#N/A</v>
      </c>
      <c r="DI442" s="2" t="e">
        <v>#N/A</v>
      </c>
    </row>
    <row r="443" spans="1:113" s="2" customFormat="1">
      <c r="A443"/>
      <c r="B443"/>
      <c r="C443" s="44"/>
      <c r="D443" s="44"/>
      <c r="E443" s="44"/>
      <c r="F443" s="44"/>
      <c r="G443" s="44"/>
      <c r="H443" s="44"/>
      <c r="I443" s="44"/>
      <c r="J443" s="44"/>
      <c r="K443" s="44"/>
      <c r="L443" s="44"/>
      <c r="M443" t="str">
        <f t="shared" si="45"/>
        <v>"//*[@class=\"</v>
      </c>
      <c r="N443" t="s">
        <v>31</v>
      </c>
      <c r="O443" s="4" t="str">
        <f t="shared" si="49"/>
        <v>click</v>
      </c>
      <c r="P443" t="str">
        <f t="shared" si="50"/>
        <v>();</v>
      </c>
      <c r="Q443" t="str">
        <f t="shared" si="51"/>
        <v/>
      </c>
      <c r="R443" t="str">
        <f t="shared" si="48"/>
        <v/>
      </c>
      <c r="S443" s="1" t="str">
        <f t="shared" si="47"/>
        <v/>
      </c>
      <c r="T443"/>
      <c r="U443"/>
      <c r="V443"/>
      <c r="W443"/>
      <c r="X443"/>
      <c r="Y443"/>
      <c r="Z443">
        <v>434</v>
      </c>
      <c r="AA443"/>
      <c r="AB443"/>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3"/>
      <c r="BC443" s="3"/>
      <c r="CT443" s="2" t="e">
        <v>#N/A</v>
      </c>
      <c r="CU443" s="2" t="e">
        <v>#N/A</v>
      </c>
      <c r="CV443" s="2" t="e">
        <v>#N/A</v>
      </c>
      <c r="CW443" s="2" t="e">
        <v>#N/A</v>
      </c>
      <c r="CX443" s="2" t="e">
        <v>#N/A</v>
      </c>
      <c r="CY443" s="2" t="e">
        <v>#N/A</v>
      </c>
      <c r="CZ443" s="2" t="e">
        <v>#N/A</v>
      </c>
      <c r="DA443" s="2" t="e">
        <v>#N/A</v>
      </c>
      <c r="DB443" s="2" t="e">
        <v>#N/A</v>
      </c>
      <c r="DC443" s="2" t="e">
        <v>#N/A</v>
      </c>
      <c r="DD443" s="2" t="e">
        <v>#N/A</v>
      </c>
      <c r="DE443" s="2" t="e">
        <v>#N/A</v>
      </c>
      <c r="DF443" s="2" t="e">
        <v>#N/A</v>
      </c>
      <c r="DG443" s="2" t="e">
        <v>#N/A</v>
      </c>
      <c r="DH443" s="2" t="e">
        <v>#N/A</v>
      </c>
      <c r="DI443" s="2" t="e">
        <v>#N/A</v>
      </c>
    </row>
    <row r="444" spans="1:113" s="2" customFormat="1">
      <c r="A444"/>
      <c r="B444"/>
      <c r="C444" s="44"/>
      <c r="D444" s="44"/>
      <c r="E444" s="44"/>
      <c r="F444" s="44"/>
      <c r="G444" s="44"/>
      <c r="H444" s="44"/>
      <c r="I444" s="44"/>
      <c r="J444" s="44"/>
      <c r="K444" s="44"/>
      <c r="L444" s="44"/>
      <c r="M444" t="str">
        <f t="shared" si="45"/>
        <v>"//*[@class=\"</v>
      </c>
      <c r="N444" t="s">
        <v>31</v>
      </c>
      <c r="O444" s="4" t="str">
        <f t="shared" si="49"/>
        <v>click</v>
      </c>
      <c r="P444" t="str">
        <f t="shared" si="50"/>
        <v>();</v>
      </c>
      <c r="Q444" t="str">
        <f t="shared" si="51"/>
        <v/>
      </c>
      <c r="R444" t="str">
        <f t="shared" si="48"/>
        <v/>
      </c>
      <c r="S444" s="1" t="str">
        <f t="shared" si="47"/>
        <v/>
      </c>
      <c r="T444"/>
      <c r="U444"/>
      <c r="V444"/>
      <c r="W444"/>
      <c r="X444"/>
      <c r="Y444"/>
      <c r="Z444">
        <v>435</v>
      </c>
      <c r="AA444"/>
      <c r="AB44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3"/>
      <c r="BC444" s="3"/>
      <c r="CT444" s="2" t="e">
        <v>#N/A</v>
      </c>
      <c r="CU444" s="2" t="e">
        <v>#N/A</v>
      </c>
      <c r="CV444" s="2" t="e">
        <v>#N/A</v>
      </c>
      <c r="CW444" s="2" t="e">
        <v>#N/A</v>
      </c>
      <c r="CX444" s="2" t="e">
        <v>#N/A</v>
      </c>
      <c r="CY444" s="2" t="e">
        <v>#N/A</v>
      </c>
      <c r="CZ444" s="2" t="e">
        <v>#N/A</v>
      </c>
      <c r="DA444" s="2" t="e">
        <v>#N/A</v>
      </c>
      <c r="DB444" s="2" t="e">
        <v>#N/A</v>
      </c>
      <c r="DC444" s="2" t="e">
        <v>#N/A</v>
      </c>
      <c r="DD444" s="2" t="e">
        <v>#N/A</v>
      </c>
      <c r="DE444" s="2" t="e">
        <v>#N/A</v>
      </c>
      <c r="DF444" s="2" t="e">
        <v>#N/A</v>
      </c>
      <c r="DG444" s="2" t="e">
        <v>#N/A</v>
      </c>
      <c r="DH444" s="2" t="e">
        <v>#N/A</v>
      </c>
      <c r="DI444" s="2" t="e">
        <v>#N/A</v>
      </c>
    </row>
    <row r="445" spans="1:113" s="2" customFormat="1">
      <c r="A445"/>
      <c r="B445"/>
      <c r="C445" s="44"/>
      <c r="D445" s="44"/>
      <c r="E445" s="44"/>
      <c r="F445" s="44"/>
      <c r="G445" s="44"/>
      <c r="H445" s="44"/>
      <c r="I445" s="44"/>
      <c r="J445" s="44"/>
      <c r="K445" s="44"/>
      <c r="L445" s="44"/>
      <c r="M445" t="str">
        <f t="shared" si="45"/>
        <v>"//*[@class=\"</v>
      </c>
      <c r="N445" t="s">
        <v>31</v>
      </c>
      <c r="O445" s="4" t="str">
        <f t="shared" si="49"/>
        <v>click</v>
      </c>
      <c r="P445" t="str">
        <f t="shared" si="50"/>
        <v>();</v>
      </c>
      <c r="Q445" t="str">
        <f t="shared" si="51"/>
        <v/>
      </c>
      <c r="R445" t="str">
        <f t="shared" si="48"/>
        <v/>
      </c>
      <c r="S445" s="1" t="str">
        <f t="shared" si="47"/>
        <v/>
      </c>
      <c r="T445"/>
      <c r="U445"/>
      <c r="V445"/>
      <c r="W445"/>
      <c r="X445"/>
      <c r="Y445"/>
      <c r="Z445">
        <v>436</v>
      </c>
      <c r="AA445"/>
      <c r="AB445"/>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3"/>
      <c r="BC445" s="3"/>
      <c r="CT445" s="2" t="e">
        <v>#N/A</v>
      </c>
      <c r="CU445" s="2" t="e">
        <v>#N/A</v>
      </c>
      <c r="CV445" s="2" t="e">
        <v>#N/A</v>
      </c>
      <c r="CW445" s="2" t="e">
        <v>#N/A</v>
      </c>
      <c r="CX445" s="2" t="e">
        <v>#N/A</v>
      </c>
      <c r="CY445" s="2" t="e">
        <v>#N/A</v>
      </c>
      <c r="CZ445" s="2" t="e">
        <v>#N/A</v>
      </c>
      <c r="DA445" s="2" t="e">
        <v>#N/A</v>
      </c>
      <c r="DB445" s="2" t="e">
        <v>#N/A</v>
      </c>
      <c r="DC445" s="2" t="e">
        <v>#N/A</v>
      </c>
      <c r="DD445" s="2" t="e">
        <v>#N/A</v>
      </c>
      <c r="DE445" s="2" t="e">
        <v>#N/A</v>
      </c>
      <c r="DF445" s="2" t="e">
        <v>#N/A</v>
      </c>
      <c r="DG445" s="2" t="e">
        <v>#N/A</v>
      </c>
      <c r="DH445" s="2" t="e">
        <v>#N/A</v>
      </c>
      <c r="DI445" s="2" t="e">
        <v>#N/A</v>
      </c>
    </row>
    <row r="446" spans="1:113" s="2" customFormat="1">
      <c r="A446"/>
      <c r="B446"/>
      <c r="C446" s="44"/>
      <c r="D446" s="44"/>
      <c r="E446" s="44"/>
      <c r="F446" s="44"/>
      <c r="G446" s="44"/>
      <c r="H446" s="44"/>
      <c r="I446" s="44"/>
      <c r="J446" s="44"/>
      <c r="K446" s="44"/>
      <c r="L446" s="44"/>
      <c r="M446" t="str">
        <f t="shared" si="45"/>
        <v>"//*[@class=\"</v>
      </c>
      <c r="N446" t="s">
        <v>31</v>
      </c>
      <c r="O446" s="4" t="str">
        <f t="shared" si="49"/>
        <v>click</v>
      </c>
      <c r="P446" t="str">
        <f t="shared" si="50"/>
        <v>();</v>
      </c>
      <c r="Q446" t="str">
        <f t="shared" si="51"/>
        <v/>
      </c>
      <c r="R446" t="str">
        <f t="shared" si="48"/>
        <v/>
      </c>
      <c r="S446" s="1" t="str">
        <f t="shared" si="47"/>
        <v/>
      </c>
      <c r="T446"/>
      <c r="U446"/>
      <c r="V446"/>
      <c r="W446"/>
      <c r="X446"/>
      <c r="Y446"/>
      <c r="Z446">
        <v>437</v>
      </c>
      <c r="AA446"/>
      <c r="AB446"/>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3"/>
      <c r="BC446" s="3"/>
      <c r="CT446" s="2" t="e">
        <v>#N/A</v>
      </c>
      <c r="CU446" s="2" t="e">
        <v>#N/A</v>
      </c>
      <c r="CV446" s="2" t="e">
        <v>#N/A</v>
      </c>
      <c r="CW446" s="2" t="e">
        <v>#N/A</v>
      </c>
      <c r="CX446" s="2" t="e">
        <v>#N/A</v>
      </c>
      <c r="CY446" s="2" t="e">
        <v>#N/A</v>
      </c>
      <c r="CZ446" s="2" t="e">
        <v>#N/A</v>
      </c>
      <c r="DA446" s="2" t="e">
        <v>#N/A</v>
      </c>
      <c r="DB446" s="2" t="e">
        <v>#N/A</v>
      </c>
      <c r="DC446" s="2" t="e">
        <v>#N/A</v>
      </c>
      <c r="DD446" s="2" t="e">
        <v>#N/A</v>
      </c>
      <c r="DE446" s="2" t="e">
        <v>#N/A</v>
      </c>
      <c r="DF446" s="2" t="e">
        <v>#N/A</v>
      </c>
      <c r="DG446" s="2" t="e">
        <v>#N/A</v>
      </c>
      <c r="DH446" s="2" t="e">
        <v>#N/A</v>
      </c>
      <c r="DI446" s="2" t="e">
        <v>#N/A</v>
      </c>
    </row>
    <row r="447" spans="1:113" s="2" customFormat="1">
      <c r="A447"/>
      <c r="B447"/>
      <c r="C447" s="44"/>
      <c r="D447" s="44"/>
      <c r="E447" s="44"/>
      <c r="F447" s="44"/>
      <c r="G447" s="44"/>
      <c r="H447" s="44"/>
      <c r="I447" s="44"/>
      <c r="J447" s="44"/>
      <c r="K447" s="44"/>
      <c r="L447" s="44"/>
      <c r="M447" t="str">
        <f t="shared" si="45"/>
        <v>"//*[@class=\"</v>
      </c>
      <c r="N447" t="s">
        <v>31</v>
      </c>
      <c r="O447" s="4" t="str">
        <f t="shared" si="49"/>
        <v>click</v>
      </c>
      <c r="P447" t="str">
        <f t="shared" si="50"/>
        <v>();</v>
      </c>
      <c r="Q447" t="str">
        <f t="shared" si="51"/>
        <v/>
      </c>
      <c r="R447" t="str">
        <f t="shared" si="48"/>
        <v/>
      </c>
      <c r="S447" s="1" t="str">
        <f t="shared" si="47"/>
        <v/>
      </c>
      <c r="T447"/>
      <c r="U447"/>
      <c r="V447"/>
      <c r="W447"/>
      <c r="X447"/>
      <c r="Y447"/>
      <c r="Z447">
        <v>438</v>
      </c>
      <c r="AA447"/>
      <c r="AB447"/>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3"/>
      <c r="BC447" s="3"/>
      <c r="CT447" s="2" t="e">
        <v>#N/A</v>
      </c>
      <c r="CU447" s="2" t="e">
        <v>#N/A</v>
      </c>
      <c r="CV447" s="2" t="e">
        <v>#N/A</v>
      </c>
      <c r="CW447" s="2" t="e">
        <v>#N/A</v>
      </c>
      <c r="CX447" s="2" t="e">
        <v>#N/A</v>
      </c>
      <c r="CY447" s="2" t="e">
        <v>#N/A</v>
      </c>
      <c r="CZ447" s="2" t="e">
        <v>#N/A</v>
      </c>
      <c r="DA447" s="2" t="e">
        <v>#N/A</v>
      </c>
      <c r="DB447" s="2" t="e">
        <v>#N/A</v>
      </c>
      <c r="DC447" s="2" t="e">
        <v>#N/A</v>
      </c>
      <c r="DD447" s="2" t="e">
        <v>#N/A</v>
      </c>
      <c r="DE447" s="2" t="e">
        <v>#N/A</v>
      </c>
      <c r="DF447" s="2" t="e">
        <v>#N/A</v>
      </c>
      <c r="DG447" s="2" t="e">
        <v>#N/A</v>
      </c>
      <c r="DH447" s="2" t="e">
        <v>#N/A</v>
      </c>
      <c r="DI447" s="2" t="e">
        <v>#N/A</v>
      </c>
    </row>
    <row r="448" spans="1:113" s="2" customFormat="1">
      <c r="A448"/>
      <c r="B448"/>
      <c r="C448" s="44"/>
      <c r="D448" s="44"/>
      <c r="E448" s="44"/>
      <c r="F448" s="44"/>
      <c r="G448" s="44"/>
      <c r="H448" s="44"/>
      <c r="I448" s="44"/>
      <c r="J448" s="44"/>
      <c r="K448" s="44"/>
      <c r="L448" s="44"/>
      <c r="M448" t="str">
        <f t="shared" si="45"/>
        <v>"//*[@class=\"</v>
      </c>
      <c r="N448" t="s">
        <v>31</v>
      </c>
      <c r="O448" s="4" t="str">
        <f t="shared" si="49"/>
        <v>click</v>
      </c>
      <c r="P448" t="str">
        <f t="shared" si="50"/>
        <v>();</v>
      </c>
      <c r="Q448" t="str">
        <f t="shared" si="51"/>
        <v/>
      </c>
      <c r="R448" t="str">
        <f t="shared" si="48"/>
        <v/>
      </c>
      <c r="S448" s="1" t="str">
        <f t="shared" si="47"/>
        <v/>
      </c>
      <c r="T448"/>
      <c r="U448"/>
      <c r="V448"/>
      <c r="W448"/>
      <c r="X448"/>
      <c r="Y448"/>
      <c r="Z448">
        <v>439</v>
      </c>
      <c r="AA448"/>
      <c r="AB448"/>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3"/>
      <c r="BC448" s="3"/>
      <c r="CT448" s="2" t="e">
        <v>#N/A</v>
      </c>
      <c r="CU448" s="2" t="e">
        <v>#N/A</v>
      </c>
      <c r="CV448" s="2" t="e">
        <v>#N/A</v>
      </c>
      <c r="CW448" s="2" t="e">
        <v>#N/A</v>
      </c>
      <c r="CX448" s="2" t="e">
        <v>#N/A</v>
      </c>
      <c r="CY448" s="2" t="e">
        <v>#N/A</v>
      </c>
      <c r="CZ448" s="2" t="e">
        <v>#N/A</v>
      </c>
      <c r="DA448" s="2" t="e">
        <v>#N/A</v>
      </c>
      <c r="DB448" s="2" t="e">
        <v>#N/A</v>
      </c>
      <c r="DC448" s="2" t="e">
        <v>#N/A</v>
      </c>
      <c r="DD448" s="2" t="e">
        <v>#N/A</v>
      </c>
      <c r="DE448" s="2" t="e">
        <v>#N/A</v>
      </c>
      <c r="DF448" s="2" t="e">
        <v>#N/A</v>
      </c>
      <c r="DG448" s="2" t="e">
        <v>#N/A</v>
      </c>
      <c r="DH448" s="2" t="e">
        <v>#N/A</v>
      </c>
      <c r="DI448" s="2" t="e">
        <v>#N/A</v>
      </c>
    </row>
    <row r="449" spans="1:113" s="2" customFormat="1">
      <c r="A449"/>
      <c r="B449"/>
      <c r="C449" s="44"/>
      <c r="D449" s="44"/>
      <c r="E449" s="44"/>
      <c r="F449" s="44"/>
      <c r="G449" s="44"/>
      <c r="H449" s="44"/>
      <c r="I449" s="44"/>
      <c r="J449" s="44"/>
      <c r="K449" s="44"/>
      <c r="L449" s="44"/>
      <c r="M449" t="str">
        <f t="shared" si="45"/>
        <v>"//*[@class=\"</v>
      </c>
      <c r="N449" t="s">
        <v>31</v>
      </c>
      <c r="O449" s="4" t="str">
        <f t="shared" si="49"/>
        <v>click</v>
      </c>
      <c r="P449" t="str">
        <f t="shared" si="50"/>
        <v>();</v>
      </c>
      <c r="Q449" t="str">
        <f t="shared" si="51"/>
        <v/>
      </c>
      <c r="R449" t="str">
        <f t="shared" si="48"/>
        <v/>
      </c>
      <c r="S449" s="1" t="str">
        <f t="shared" si="47"/>
        <v/>
      </c>
      <c r="T449"/>
      <c r="U449"/>
      <c r="V449"/>
      <c r="W449"/>
      <c r="X449"/>
      <c r="Y449"/>
      <c r="Z449">
        <v>440</v>
      </c>
      <c r="AA449"/>
      <c r="AB449"/>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3"/>
      <c r="BC449" s="3"/>
      <c r="CT449" s="2" t="e">
        <v>#N/A</v>
      </c>
      <c r="CU449" s="2" t="e">
        <v>#N/A</v>
      </c>
      <c r="CV449" s="2" t="e">
        <v>#N/A</v>
      </c>
      <c r="CW449" s="2" t="e">
        <v>#N/A</v>
      </c>
      <c r="CX449" s="2" t="e">
        <v>#N/A</v>
      </c>
      <c r="CY449" s="2" t="e">
        <v>#N/A</v>
      </c>
      <c r="CZ449" s="2" t="e">
        <v>#N/A</v>
      </c>
      <c r="DA449" s="2" t="e">
        <v>#N/A</v>
      </c>
      <c r="DB449" s="2" t="e">
        <v>#N/A</v>
      </c>
      <c r="DC449" s="2" t="e">
        <v>#N/A</v>
      </c>
      <c r="DD449" s="2" t="e">
        <v>#N/A</v>
      </c>
      <c r="DE449" s="2" t="e">
        <v>#N/A</v>
      </c>
      <c r="DF449" s="2" t="e">
        <v>#N/A</v>
      </c>
      <c r="DG449" s="2" t="e">
        <v>#N/A</v>
      </c>
      <c r="DH449" s="2" t="e">
        <v>#N/A</v>
      </c>
      <c r="DI449" s="2" t="e">
        <v>#N/A</v>
      </c>
    </row>
    <row r="450" spans="1:113" s="2" customFormat="1">
      <c r="A450"/>
      <c r="B450"/>
      <c r="C450" s="44"/>
      <c r="D450" s="44"/>
      <c r="E450" s="44"/>
      <c r="F450" s="44"/>
      <c r="G450" s="44"/>
      <c r="H450" s="44"/>
      <c r="I450" s="44"/>
      <c r="J450" s="44"/>
      <c r="K450" s="44"/>
      <c r="L450" s="44"/>
      <c r="M450" t="str">
        <f t="shared" si="45"/>
        <v>"//*[@class=\"</v>
      </c>
      <c r="N450" t="s">
        <v>31</v>
      </c>
      <c r="O450" s="4" t="str">
        <f t="shared" si="49"/>
        <v>click</v>
      </c>
      <c r="P450" t="str">
        <f t="shared" si="50"/>
        <v>();</v>
      </c>
      <c r="Q450" t="str">
        <f t="shared" si="51"/>
        <v/>
      </c>
      <c r="R450" t="str">
        <f t="shared" si="48"/>
        <v/>
      </c>
      <c r="S450" s="1" t="str">
        <f t="shared" si="47"/>
        <v/>
      </c>
      <c r="T450"/>
      <c r="U450"/>
      <c r="V450"/>
      <c r="W450"/>
      <c r="X450"/>
      <c r="Y450"/>
      <c r="Z450">
        <v>441</v>
      </c>
      <c r="AA450"/>
      <c r="AB450"/>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3"/>
      <c r="BC450" s="3"/>
      <c r="CT450" s="2" t="e">
        <v>#N/A</v>
      </c>
      <c r="CU450" s="2" t="e">
        <v>#N/A</v>
      </c>
      <c r="CV450" s="2" t="e">
        <v>#N/A</v>
      </c>
      <c r="CW450" s="2" t="e">
        <v>#N/A</v>
      </c>
      <c r="CX450" s="2" t="e">
        <v>#N/A</v>
      </c>
      <c r="CY450" s="2" t="e">
        <v>#N/A</v>
      </c>
      <c r="CZ450" s="2" t="e">
        <v>#N/A</v>
      </c>
      <c r="DA450" s="2" t="e">
        <v>#N/A</v>
      </c>
      <c r="DB450" s="2" t="e">
        <v>#N/A</v>
      </c>
      <c r="DC450" s="2" t="e">
        <v>#N/A</v>
      </c>
      <c r="DD450" s="2" t="e">
        <v>#N/A</v>
      </c>
      <c r="DE450" s="2" t="e">
        <v>#N/A</v>
      </c>
      <c r="DF450" s="2" t="e">
        <v>#N/A</v>
      </c>
      <c r="DG450" s="2" t="e">
        <v>#N/A</v>
      </c>
      <c r="DH450" s="2" t="e">
        <v>#N/A</v>
      </c>
      <c r="DI450" s="2" t="e">
        <v>#N/A</v>
      </c>
    </row>
    <row r="451" spans="1:113" s="2" customFormat="1">
      <c r="A451"/>
      <c r="B451"/>
      <c r="C451" s="44"/>
      <c r="D451" s="44"/>
      <c r="E451" s="44"/>
      <c r="F451" s="44"/>
      <c r="G451" s="44"/>
      <c r="H451" s="44"/>
      <c r="I451" s="44"/>
      <c r="J451" s="44"/>
      <c r="K451" s="44"/>
      <c r="L451" s="44"/>
      <c r="M451" t="str">
        <f t="shared" si="45"/>
        <v>"//*[@class=\"</v>
      </c>
      <c r="N451" t="s">
        <v>31</v>
      </c>
      <c r="O451" s="4" t="str">
        <f t="shared" si="49"/>
        <v>click</v>
      </c>
      <c r="P451" t="str">
        <f t="shared" si="50"/>
        <v>();</v>
      </c>
      <c r="Q451" t="str">
        <f t="shared" si="51"/>
        <v/>
      </c>
      <c r="R451" t="str">
        <f t="shared" si="48"/>
        <v/>
      </c>
      <c r="S451" s="1" t="str">
        <f t="shared" si="47"/>
        <v/>
      </c>
      <c r="T451"/>
      <c r="U451"/>
      <c r="V451"/>
      <c r="W451"/>
      <c r="X451"/>
      <c r="Y451"/>
      <c r="Z451">
        <v>442</v>
      </c>
      <c r="AA451"/>
      <c r="AB451"/>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3"/>
      <c r="BC451" s="3"/>
      <c r="CT451" s="2" t="e">
        <v>#N/A</v>
      </c>
      <c r="CU451" s="2" t="e">
        <v>#N/A</v>
      </c>
      <c r="CV451" s="2" t="e">
        <v>#N/A</v>
      </c>
      <c r="CW451" s="2" t="e">
        <v>#N/A</v>
      </c>
      <c r="CX451" s="2" t="e">
        <v>#N/A</v>
      </c>
      <c r="CY451" s="2" t="e">
        <v>#N/A</v>
      </c>
      <c r="CZ451" s="2" t="e">
        <v>#N/A</v>
      </c>
      <c r="DA451" s="2" t="e">
        <v>#N/A</v>
      </c>
      <c r="DB451" s="2" t="e">
        <v>#N/A</v>
      </c>
      <c r="DC451" s="2" t="e">
        <v>#N/A</v>
      </c>
      <c r="DD451" s="2" t="e">
        <v>#N/A</v>
      </c>
      <c r="DE451" s="2" t="e">
        <v>#N/A</v>
      </c>
      <c r="DF451" s="2" t="e">
        <v>#N/A</v>
      </c>
      <c r="DG451" s="2" t="e">
        <v>#N/A</v>
      </c>
      <c r="DH451" s="2" t="e">
        <v>#N/A</v>
      </c>
      <c r="DI451" s="2" t="e">
        <v>#N/A</v>
      </c>
    </row>
    <row r="452" spans="1:113" s="2" customFormat="1">
      <c r="A452"/>
      <c r="B452"/>
      <c r="C452" s="44"/>
      <c r="D452" s="44"/>
      <c r="E452" s="44"/>
      <c r="F452" s="44"/>
      <c r="G452" s="44"/>
      <c r="H452" s="44"/>
      <c r="I452" s="44"/>
      <c r="J452" s="44"/>
      <c r="K452" s="44"/>
      <c r="L452" s="44"/>
      <c r="M452" t="str">
        <f t="shared" si="45"/>
        <v>"//*[@class=\"</v>
      </c>
      <c r="N452" t="s">
        <v>31</v>
      </c>
      <c r="O452" s="4" t="str">
        <f t="shared" si="49"/>
        <v>click</v>
      </c>
      <c r="P452" t="str">
        <f t="shared" si="50"/>
        <v>();</v>
      </c>
      <c r="Q452" t="str">
        <f t="shared" si="51"/>
        <v/>
      </c>
      <c r="R452" t="str">
        <f t="shared" si="48"/>
        <v/>
      </c>
      <c r="S452" s="1" t="str">
        <f t="shared" si="47"/>
        <v/>
      </c>
      <c r="T452"/>
      <c r="U452"/>
      <c r="V452"/>
      <c r="W452"/>
      <c r="X452"/>
      <c r="Y452"/>
      <c r="Z452">
        <v>443</v>
      </c>
      <c r="AA452"/>
      <c r="AB452"/>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3"/>
      <c r="BC452" s="3"/>
      <c r="CT452" s="2" t="e">
        <v>#N/A</v>
      </c>
      <c r="CU452" s="2" t="e">
        <v>#N/A</v>
      </c>
      <c r="CV452" s="2" t="e">
        <v>#N/A</v>
      </c>
      <c r="CW452" s="2" t="e">
        <v>#N/A</v>
      </c>
      <c r="CX452" s="2" t="e">
        <v>#N/A</v>
      </c>
      <c r="CY452" s="2" t="e">
        <v>#N/A</v>
      </c>
      <c r="CZ452" s="2" t="e">
        <v>#N/A</v>
      </c>
      <c r="DA452" s="2" t="e">
        <v>#N/A</v>
      </c>
      <c r="DB452" s="2" t="e">
        <v>#N/A</v>
      </c>
      <c r="DC452" s="2" t="e">
        <v>#N/A</v>
      </c>
      <c r="DD452" s="2" t="e">
        <v>#N/A</v>
      </c>
      <c r="DE452" s="2" t="e">
        <v>#N/A</v>
      </c>
      <c r="DF452" s="2" t="e">
        <v>#N/A</v>
      </c>
      <c r="DG452" s="2" t="e">
        <v>#N/A</v>
      </c>
      <c r="DH452" s="2" t="e">
        <v>#N/A</v>
      </c>
      <c r="DI452" s="2" t="e">
        <v>#N/A</v>
      </c>
    </row>
    <row r="453" spans="1:113" s="2" customFormat="1">
      <c r="A453"/>
      <c r="B453"/>
      <c r="C453" s="44"/>
      <c r="D453" s="44"/>
      <c r="E453" s="44"/>
      <c r="F453" s="44"/>
      <c r="G453" s="44"/>
      <c r="H453" s="44"/>
      <c r="I453" s="44"/>
      <c r="J453" s="44"/>
      <c r="K453" s="44"/>
      <c r="L453" s="44"/>
      <c r="M453" t="str">
        <f t="shared" si="45"/>
        <v>"//*[@class=\"</v>
      </c>
      <c r="N453" t="s">
        <v>31</v>
      </c>
      <c r="O453" s="4" t="str">
        <f t="shared" si="49"/>
        <v>click</v>
      </c>
      <c r="P453" t="str">
        <f t="shared" si="50"/>
        <v>();</v>
      </c>
      <c r="Q453" t="str">
        <f t="shared" si="51"/>
        <v/>
      </c>
      <c r="R453" t="str">
        <f t="shared" si="48"/>
        <v/>
      </c>
      <c r="S453" s="1" t="str">
        <f t="shared" si="47"/>
        <v/>
      </c>
      <c r="T453"/>
      <c r="U453"/>
      <c r="V453"/>
      <c r="W453"/>
      <c r="X453"/>
      <c r="Y453"/>
      <c r="Z453">
        <v>444</v>
      </c>
      <c r="AA453"/>
      <c r="AB453"/>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3"/>
      <c r="BC453" s="3"/>
      <c r="CT453" s="2" t="e">
        <v>#N/A</v>
      </c>
      <c r="CU453" s="2" t="e">
        <v>#N/A</v>
      </c>
      <c r="CV453" s="2" t="e">
        <v>#N/A</v>
      </c>
      <c r="CW453" s="2" t="e">
        <v>#N/A</v>
      </c>
      <c r="CX453" s="2" t="e">
        <v>#N/A</v>
      </c>
      <c r="CY453" s="2" t="e">
        <v>#N/A</v>
      </c>
      <c r="CZ453" s="2" t="e">
        <v>#N/A</v>
      </c>
      <c r="DA453" s="2" t="e">
        <v>#N/A</v>
      </c>
      <c r="DB453" s="2" t="e">
        <v>#N/A</v>
      </c>
      <c r="DC453" s="2" t="e">
        <v>#N/A</v>
      </c>
      <c r="DD453" s="2" t="e">
        <v>#N/A</v>
      </c>
      <c r="DE453" s="2" t="e">
        <v>#N/A</v>
      </c>
      <c r="DF453" s="2" t="e">
        <v>#N/A</v>
      </c>
      <c r="DG453" s="2" t="e">
        <v>#N/A</v>
      </c>
      <c r="DH453" s="2" t="e">
        <v>#N/A</v>
      </c>
      <c r="DI453" s="2" t="e">
        <v>#N/A</v>
      </c>
    </row>
    <row r="454" spans="1:113" s="2" customFormat="1">
      <c r="A454"/>
      <c r="B454"/>
      <c r="C454" s="44"/>
      <c r="D454" s="44"/>
      <c r="E454" s="44"/>
      <c r="F454" s="44"/>
      <c r="G454" s="44"/>
      <c r="H454" s="44"/>
      <c r="I454" s="44"/>
      <c r="J454" s="44"/>
      <c r="K454" s="44"/>
      <c r="L454" s="44"/>
      <c r="M454" t="str">
        <f t="shared" si="45"/>
        <v>"//*[@class=\"</v>
      </c>
      <c r="N454" t="s">
        <v>31</v>
      </c>
      <c r="O454" s="4" t="str">
        <f t="shared" si="49"/>
        <v>click</v>
      </c>
      <c r="P454" t="str">
        <f t="shared" si="50"/>
        <v>();</v>
      </c>
      <c r="Q454" t="str">
        <f t="shared" si="51"/>
        <v/>
      </c>
      <c r="R454" t="str">
        <f t="shared" si="48"/>
        <v/>
      </c>
      <c r="S454" s="1" t="str">
        <f t="shared" si="47"/>
        <v/>
      </c>
      <c r="T454"/>
      <c r="U454"/>
      <c r="V454"/>
      <c r="W454"/>
      <c r="X454"/>
      <c r="Y454"/>
      <c r="Z454">
        <v>445</v>
      </c>
      <c r="AA454"/>
      <c r="AB45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3"/>
      <c r="BC454" s="3"/>
      <c r="CT454" s="2" t="e">
        <v>#N/A</v>
      </c>
      <c r="CU454" s="2" t="e">
        <v>#N/A</v>
      </c>
      <c r="CV454" s="2" t="e">
        <v>#N/A</v>
      </c>
      <c r="CW454" s="2" t="e">
        <v>#N/A</v>
      </c>
      <c r="CX454" s="2" t="e">
        <v>#N/A</v>
      </c>
      <c r="CY454" s="2" t="e">
        <v>#N/A</v>
      </c>
      <c r="CZ454" s="2" t="e">
        <v>#N/A</v>
      </c>
      <c r="DA454" s="2" t="e">
        <v>#N/A</v>
      </c>
      <c r="DB454" s="2" t="e">
        <v>#N/A</v>
      </c>
      <c r="DC454" s="2" t="e">
        <v>#N/A</v>
      </c>
      <c r="DD454" s="2" t="e">
        <v>#N/A</v>
      </c>
      <c r="DE454" s="2" t="e">
        <v>#N/A</v>
      </c>
      <c r="DF454" s="2" t="e">
        <v>#N/A</v>
      </c>
      <c r="DG454" s="2" t="e">
        <v>#N/A</v>
      </c>
      <c r="DH454" s="2" t="e">
        <v>#N/A</v>
      </c>
      <c r="DI454" s="2" t="e">
        <v>#N/A</v>
      </c>
    </row>
    <row r="455" spans="1:113" s="2" customFormat="1">
      <c r="A455"/>
      <c r="B455"/>
      <c r="C455" s="44"/>
      <c r="D455" s="44"/>
      <c r="E455" s="44"/>
      <c r="F455" s="44"/>
      <c r="G455" s="44"/>
      <c r="H455" s="44"/>
      <c r="I455" s="44"/>
      <c r="J455" s="44"/>
      <c r="K455" s="44"/>
      <c r="L455" s="44"/>
      <c r="M455" t="str">
        <f t="shared" si="45"/>
        <v>"//*[@class=\"</v>
      </c>
      <c r="N455" t="s">
        <v>31</v>
      </c>
      <c r="O455" s="4" t="str">
        <f t="shared" si="49"/>
        <v>click</v>
      </c>
      <c r="P455" t="str">
        <f t="shared" si="50"/>
        <v>();</v>
      </c>
      <c r="Q455" t="str">
        <f t="shared" si="51"/>
        <v/>
      </c>
      <c r="R455" t="str">
        <f t="shared" si="48"/>
        <v/>
      </c>
      <c r="S455" s="1" t="str">
        <f t="shared" si="47"/>
        <v/>
      </c>
      <c r="T455"/>
      <c r="U455"/>
      <c r="V455"/>
      <c r="W455"/>
      <c r="X455"/>
      <c r="Y455"/>
      <c r="Z455">
        <v>446</v>
      </c>
      <c r="AA455"/>
      <c r="AB455"/>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3"/>
      <c r="BC455" s="3"/>
      <c r="CT455" s="2" t="e">
        <v>#N/A</v>
      </c>
      <c r="CU455" s="2" t="e">
        <v>#N/A</v>
      </c>
      <c r="CV455" s="2" t="e">
        <v>#N/A</v>
      </c>
      <c r="CW455" s="2" t="e">
        <v>#N/A</v>
      </c>
      <c r="CX455" s="2" t="e">
        <v>#N/A</v>
      </c>
      <c r="CY455" s="2" t="e">
        <v>#N/A</v>
      </c>
      <c r="CZ455" s="2" t="e">
        <v>#N/A</v>
      </c>
      <c r="DA455" s="2" t="e">
        <v>#N/A</v>
      </c>
      <c r="DB455" s="2" t="e">
        <v>#N/A</v>
      </c>
      <c r="DC455" s="2" t="e">
        <v>#N/A</v>
      </c>
      <c r="DD455" s="2" t="e">
        <v>#N/A</v>
      </c>
      <c r="DE455" s="2" t="e">
        <v>#N/A</v>
      </c>
      <c r="DF455" s="2" t="e">
        <v>#N/A</v>
      </c>
      <c r="DG455" s="2" t="e">
        <v>#N/A</v>
      </c>
      <c r="DH455" s="2" t="e">
        <v>#N/A</v>
      </c>
      <c r="DI455" s="2" t="e">
        <v>#N/A</v>
      </c>
    </row>
    <row r="456" spans="1:113" s="2" customFormat="1">
      <c r="A456"/>
      <c r="B456"/>
      <c r="C456" s="44"/>
      <c r="D456" s="44"/>
      <c r="E456" s="44"/>
      <c r="F456" s="44"/>
      <c r="G456" s="44"/>
      <c r="H456" s="44"/>
      <c r="I456" s="44"/>
      <c r="J456" s="44"/>
      <c r="K456" s="44"/>
      <c r="L456" s="44"/>
      <c r="M456" t="str">
        <f t="shared" si="45"/>
        <v>"//*[@class=\"</v>
      </c>
      <c r="N456" t="s">
        <v>31</v>
      </c>
      <c r="O456" s="4" t="str">
        <f t="shared" si="49"/>
        <v>click</v>
      </c>
      <c r="P456" t="str">
        <f t="shared" si="50"/>
        <v>();</v>
      </c>
      <c r="Q456" t="str">
        <f t="shared" si="51"/>
        <v/>
      </c>
      <c r="R456" t="str">
        <f t="shared" si="48"/>
        <v/>
      </c>
      <c r="S456" s="1" t="str">
        <f t="shared" si="47"/>
        <v/>
      </c>
      <c r="T456"/>
      <c r="U456"/>
      <c r="V456"/>
      <c r="W456"/>
      <c r="X456"/>
      <c r="Y456"/>
      <c r="Z456">
        <v>447</v>
      </c>
      <c r="AA456"/>
      <c r="AB456"/>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3"/>
      <c r="BC456" s="3"/>
      <c r="CT456" s="2" t="e">
        <v>#N/A</v>
      </c>
      <c r="CU456" s="2" t="e">
        <v>#N/A</v>
      </c>
      <c r="CV456" s="2" t="e">
        <v>#N/A</v>
      </c>
      <c r="CW456" s="2" t="e">
        <v>#N/A</v>
      </c>
      <c r="CX456" s="2" t="e">
        <v>#N/A</v>
      </c>
      <c r="CY456" s="2" t="e">
        <v>#N/A</v>
      </c>
      <c r="CZ456" s="2" t="e">
        <v>#N/A</v>
      </c>
      <c r="DA456" s="2" t="e">
        <v>#N/A</v>
      </c>
      <c r="DB456" s="2" t="e">
        <v>#N/A</v>
      </c>
      <c r="DC456" s="2" t="e">
        <v>#N/A</v>
      </c>
      <c r="DD456" s="2" t="e">
        <v>#N/A</v>
      </c>
      <c r="DE456" s="2" t="e">
        <v>#N/A</v>
      </c>
      <c r="DF456" s="2" t="e">
        <v>#N/A</v>
      </c>
      <c r="DG456" s="2" t="e">
        <v>#N/A</v>
      </c>
      <c r="DH456" s="2" t="e">
        <v>#N/A</v>
      </c>
      <c r="DI456" s="2" t="e">
        <v>#N/A</v>
      </c>
    </row>
    <row r="457" spans="1:113" s="2" customFormat="1">
      <c r="A457"/>
      <c r="B457"/>
      <c r="C457" s="44"/>
      <c r="D457" s="44"/>
      <c r="E457" s="44"/>
      <c r="F457" s="44"/>
      <c r="G457" s="44"/>
      <c r="H457" s="44"/>
      <c r="I457" s="44"/>
      <c r="J457" s="44"/>
      <c r="K457" s="44"/>
      <c r="L457" s="44"/>
      <c r="M457" t="str">
        <f t="shared" si="45"/>
        <v>"//*[@class=\"</v>
      </c>
      <c r="N457" t="s">
        <v>31</v>
      </c>
      <c r="O457" s="4" t="str">
        <f t="shared" si="49"/>
        <v>click</v>
      </c>
      <c r="P457" t="str">
        <f t="shared" si="50"/>
        <v>();</v>
      </c>
      <c r="Q457" t="str">
        <f t="shared" si="51"/>
        <v/>
      </c>
      <c r="R457" t="str">
        <f t="shared" si="48"/>
        <v/>
      </c>
      <c r="S457" s="1" t="str">
        <f t="shared" si="47"/>
        <v/>
      </c>
      <c r="T457"/>
      <c r="U457"/>
      <c r="V457"/>
      <c r="W457"/>
      <c r="X457"/>
      <c r="Y457"/>
      <c r="Z457">
        <v>448</v>
      </c>
      <c r="AA457"/>
      <c r="AB457"/>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3"/>
      <c r="BC457" s="3"/>
      <c r="CT457" s="2" t="e">
        <v>#N/A</v>
      </c>
      <c r="CU457" s="2" t="e">
        <v>#N/A</v>
      </c>
      <c r="CV457" s="2" t="e">
        <v>#N/A</v>
      </c>
      <c r="CW457" s="2" t="e">
        <v>#N/A</v>
      </c>
      <c r="CX457" s="2" t="e">
        <v>#N/A</v>
      </c>
      <c r="CY457" s="2" t="e">
        <v>#N/A</v>
      </c>
      <c r="CZ457" s="2" t="e">
        <v>#N/A</v>
      </c>
      <c r="DA457" s="2" t="e">
        <v>#N/A</v>
      </c>
      <c r="DB457" s="2" t="e">
        <v>#N/A</v>
      </c>
      <c r="DC457" s="2" t="e">
        <v>#N/A</v>
      </c>
      <c r="DD457" s="2" t="e">
        <v>#N/A</v>
      </c>
      <c r="DE457" s="2" t="e">
        <v>#N/A</v>
      </c>
      <c r="DF457" s="2" t="e">
        <v>#N/A</v>
      </c>
      <c r="DG457" s="2" t="e">
        <v>#N/A</v>
      </c>
      <c r="DH457" s="2" t="e">
        <v>#N/A</v>
      </c>
      <c r="DI457" s="2" t="e">
        <v>#N/A</v>
      </c>
    </row>
    <row r="458" spans="1:113" s="2" customFormat="1">
      <c r="A458"/>
      <c r="B458"/>
      <c r="C458" s="44"/>
      <c r="D458" s="44"/>
      <c r="E458" s="44"/>
      <c r="F458" s="44"/>
      <c r="G458" s="44"/>
      <c r="H458" s="44"/>
      <c r="I458" s="44"/>
      <c r="J458" s="44"/>
      <c r="K458" s="44"/>
      <c r="L458" s="44"/>
      <c r="M458" t="str">
        <f t="shared" si="45"/>
        <v>"//*[@class=\"</v>
      </c>
      <c r="N458" t="s">
        <v>31</v>
      </c>
      <c r="O458" s="4" t="str">
        <f t="shared" si="49"/>
        <v>click</v>
      </c>
      <c r="P458" t="str">
        <f t="shared" si="50"/>
        <v>();</v>
      </c>
      <c r="Q458" t="str">
        <f t="shared" si="51"/>
        <v/>
      </c>
      <c r="R458" t="str">
        <f t="shared" si="48"/>
        <v/>
      </c>
      <c r="S458" s="1" t="str">
        <f t="shared" si="47"/>
        <v/>
      </c>
      <c r="T458"/>
      <c r="U458"/>
      <c r="V458"/>
      <c r="W458"/>
      <c r="X458"/>
      <c r="Y458"/>
      <c r="Z458">
        <v>449</v>
      </c>
      <c r="AA458"/>
      <c r="AB458"/>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3"/>
      <c r="BC458" s="3"/>
      <c r="CT458" s="2" t="e">
        <v>#N/A</v>
      </c>
      <c r="CU458" s="2" t="e">
        <v>#N/A</v>
      </c>
      <c r="CV458" s="2" t="e">
        <v>#N/A</v>
      </c>
      <c r="CW458" s="2" t="e">
        <v>#N/A</v>
      </c>
      <c r="CX458" s="2" t="e">
        <v>#N/A</v>
      </c>
      <c r="CY458" s="2" t="e">
        <v>#N/A</v>
      </c>
      <c r="CZ458" s="2" t="e">
        <v>#N/A</v>
      </c>
      <c r="DA458" s="2" t="e">
        <v>#N/A</v>
      </c>
      <c r="DB458" s="2" t="e">
        <v>#N/A</v>
      </c>
      <c r="DC458" s="2" t="e">
        <v>#N/A</v>
      </c>
      <c r="DD458" s="2" t="e">
        <v>#N/A</v>
      </c>
      <c r="DE458" s="2" t="e">
        <v>#N/A</v>
      </c>
      <c r="DF458" s="2" t="e">
        <v>#N/A</v>
      </c>
      <c r="DG458" s="2" t="e">
        <v>#N/A</v>
      </c>
      <c r="DH458" s="2" t="e">
        <v>#N/A</v>
      </c>
      <c r="DI458" s="2" t="e">
        <v>#N/A</v>
      </c>
    </row>
    <row r="459" spans="1:113" s="2" customFormat="1">
      <c r="A459"/>
      <c r="B459"/>
      <c r="C459" s="44"/>
      <c r="D459" s="44"/>
      <c r="E459" s="44"/>
      <c r="F459" s="44"/>
      <c r="G459" s="44"/>
      <c r="H459" s="44"/>
      <c r="I459" s="44"/>
      <c r="J459" s="44"/>
      <c r="K459" s="44"/>
      <c r="L459" s="44"/>
      <c r="M459" t="str">
        <f t="shared" ref="M459:M520" si="52">IF(H459="id",""""&amp;"//*[@id=\"&amp;"""",""""&amp;"//*[@class=\"&amp;"""")</f>
        <v>"//*[@class=\"</v>
      </c>
      <c r="N459" t="s">
        <v>31</v>
      </c>
      <c r="O459" s="4" t="str">
        <f t="shared" si="49"/>
        <v>click</v>
      </c>
      <c r="P459" t="str">
        <f t="shared" si="50"/>
        <v>();</v>
      </c>
      <c r="Q459" t="str">
        <f t="shared" si="51"/>
        <v/>
      </c>
      <c r="R459" t="str">
        <f t="shared" ref="R459:R520" si="53">SUBSTITUTE(IF(C459="Y",""""&amp;E459&amp;""""&amp;":"&amp;Q459&amp;"","")," ","")</f>
        <v/>
      </c>
      <c r="S459" s="1" t="str">
        <f t="shared" ref="S459:S522" si="54">IF(C459="Y",IF(D459&lt;&gt;"mat-select",IF(D459="End","",IF(O459="innerText",I459&amp;"="&amp;IF(C459="Y",IF(J459&lt;&gt;"Y",$S$8&amp;$R$9&amp;"."&amp;E459&amp;")."&amp;IF(OR(O459="click",O459="innerText"),O459&amp;"();",O459&amp;"("&amp;$Q$8&amp;"."&amp;E459&amp;");"),$S$7&amp;$R$9&amp;"."&amp;SUBSTITUTE(E459," ","")&amp;")."&amp;IF(O459="click",O459&amp;"();",O459&amp;"("&amp;"'"&amp;K459&amp;"'"&amp;");")),""),IF(C459="Y",IF(J459&lt;&gt;"Y",$S$8&amp;$R$9&amp;"."&amp;SUBSTITUTE(E459," ","")&amp;")."&amp;IF(OR(O459="click",O459="innerText"),O459&amp;"();",O459&amp;"("&amp;$Q$8&amp;"."&amp;SUBSTITUTE(E459," ","")&amp;");"),$S$7&amp;$R$9&amp;"."&amp;SUBSTITUTE(E459," ","")&amp;")."&amp;IF(O459="click",O459&amp;"();",O459&amp;"("&amp;"'"&amp;K459&amp;"'"&amp;");")),""))),"let form"&amp;Z459&amp;": String;"&amp;"for (let i = 1; i &lt; 30; i++) {"&amp;$S$8&amp;$R$9&amp;"."&amp;SUBSTITUTE(E459," ","")&amp;").click();"&amp;$CE$4&amp; "form"&amp;Z459&amp;"="&amp; $S$8&amp;$R$9&amp;"."&amp;SUBSTITUTE(E459," ","")&amp;").innerText();" &amp;"if ("&amp;"form"&amp;Z459&amp;"=="&amp; "Data[index]."&amp;SUBSTITUTE(E459," ","") &amp;"){"&amp;$CE$7),"")</f>
        <v/>
      </c>
      <c r="T459"/>
      <c r="U459"/>
      <c r="V459"/>
      <c r="W459"/>
      <c r="X459"/>
      <c r="Y459"/>
      <c r="Z459">
        <v>450</v>
      </c>
      <c r="AA459"/>
      <c r="AB459"/>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3"/>
      <c r="BC459" s="3"/>
      <c r="CT459" s="2" t="e">
        <v>#N/A</v>
      </c>
      <c r="CU459" s="2" t="e">
        <v>#N/A</v>
      </c>
      <c r="CV459" s="2" t="e">
        <v>#N/A</v>
      </c>
      <c r="CW459" s="2" t="e">
        <v>#N/A</v>
      </c>
      <c r="CX459" s="2" t="e">
        <v>#N/A</v>
      </c>
      <c r="CY459" s="2" t="e">
        <v>#N/A</v>
      </c>
      <c r="CZ459" s="2" t="e">
        <v>#N/A</v>
      </c>
      <c r="DA459" s="2" t="e">
        <v>#N/A</v>
      </c>
      <c r="DB459" s="2" t="e">
        <v>#N/A</v>
      </c>
      <c r="DC459" s="2" t="e">
        <v>#N/A</v>
      </c>
      <c r="DD459" s="2" t="e">
        <v>#N/A</v>
      </c>
      <c r="DE459" s="2" t="e">
        <v>#N/A</v>
      </c>
      <c r="DF459" s="2" t="e">
        <v>#N/A</v>
      </c>
      <c r="DG459" s="2" t="e">
        <v>#N/A</v>
      </c>
      <c r="DH459" s="2" t="e">
        <v>#N/A</v>
      </c>
      <c r="DI459" s="2" t="e">
        <v>#N/A</v>
      </c>
    </row>
    <row r="460" spans="1:113" s="2" customFormat="1">
      <c r="A460"/>
      <c r="B460"/>
      <c r="C460" s="44"/>
      <c r="D460" s="44"/>
      <c r="E460" s="44"/>
      <c r="F460" s="44"/>
      <c r="G460" s="44"/>
      <c r="H460" s="44"/>
      <c r="I460" s="44"/>
      <c r="J460" s="44"/>
      <c r="K460" s="44"/>
      <c r="L460" s="44"/>
      <c r="M460" t="str">
        <f t="shared" si="52"/>
        <v>"//*[@class=\"</v>
      </c>
      <c r="N460" t="s">
        <v>31</v>
      </c>
      <c r="O460" s="4" t="str">
        <f t="shared" si="49"/>
        <v>click</v>
      </c>
      <c r="P460" t="str">
        <f t="shared" si="50"/>
        <v>();</v>
      </c>
      <c r="Q460" t="str">
        <f t="shared" si="51"/>
        <v/>
      </c>
      <c r="R460" t="str">
        <f t="shared" si="53"/>
        <v/>
      </c>
      <c r="S460" s="1" t="str">
        <f t="shared" si="54"/>
        <v/>
      </c>
      <c r="T460"/>
      <c r="U460"/>
      <c r="V460"/>
      <c r="W460"/>
      <c r="X460"/>
      <c r="Y460"/>
      <c r="Z460">
        <v>451</v>
      </c>
      <c r="AA460"/>
      <c r="AB460"/>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3"/>
      <c r="BC460" s="3"/>
      <c r="CT460" s="2" t="e">
        <v>#N/A</v>
      </c>
      <c r="CU460" s="2" t="e">
        <v>#N/A</v>
      </c>
      <c r="CV460" s="2" t="e">
        <v>#N/A</v>
      </c>
      <c r="CW460" s="2" t="e">
        <v>#N/A</v>
      </c>
      <c r="CX460" s="2" t="e">
        <v>#N/A</v>
      </c>
      <c r="CY460" s="2" t="e">
        <v>#N/A</v>
      </c>
      <c r="CZ460" s="2" t="e">
        <v>#N/A</v>
      </c>
      <c r="DA460" s="2" t="e">
        <v>#N/A</v>
      </c>
      <c r="DB460" s="2" t="e">
        <v>#N/A</v>
      </c>
      <c r="DC460" s="2" t="e">
        <v>#N/A</v>
      </c>
      <c r="DD460" s="2" t="e">
        <v>#N/A</v>
      </c>
      <c r="DE460" s="2" t="e">
        <v>#N/A</v>
      </c>
      <c r="DF460" s="2" t="e">
        <v>#N/A</v>
      </c>
      <c r="DG460" s="2" t="e">
        <v>#N/A</v>
      </c>
      <c r="DH460" s="2" t="e">
        <v>#N/A</v>
      </c>
      <c r="DI460" s="2" t="e">
        <v>#N/A</v>
      </c>
    </row>
    <row r="461" spans="1:113" s="2" customFormat="1">
      <c r="A461"/>
      <c r="B461"/>
      <c r="C461" s="44"/>
      <c r="D461" s="44"/>
      <c r="E461" s="44"/>
      <c r="F461" s="44"/>
      <c r="G461" s="44"/>
      <c r="H461" s="44"/>
      <c r="I461" s="44"/>
      <c r="J461" s="44"/>
      <c r="K461" s="44"/>
      <c r="L461" s="44"/>
      <c r="M461" t="str">
        <f t="shared" si="52"/>
        <v>"//*[@class=\"</v>
      </c>
      <c r="N461" t="s">
        <v>31</v>
      </c>
      <c r="O461" s="4" t="str">
        <f t="shared" si="49"/>
        <v>click</v>
      </c>
      <c r="P461" t="str">
        <f t="shared" si="50"/>
        <v>();</v>
      </c>
      <c r="Q461" t="str">
        <f t="shared" si="51"/>
        <v/>
      </c>
      <c r="R461" t="str">
        <f t="shared" si="53"/>
        <v/>
      </c>
      <c r="S461" s="1" t="str">
        <f t="shared" si="54"/>
        <v/>
      </c>
      <c r="T461"/>
      <c r="U461"/>
      <c r="V461"/>
      <c r="W461"/>
      <c r="X461"/>
      <c r="Y461"/>
      <c r="Z461">
        <v>452</v>
      </c>
      <c r="AA461"/>
      <c r="AB461"/>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3"/>
      <c r="BC461" s="3"/>
      <c r="CT461" s="2" t="e">
        <v>#N/A</v>
      </c>
      <c r="CU461" s="2" t="e">
        <v>#N/A</v>
      </c>
      <c r="CV461" s="2" t="e">
        <v>#N/A</v>
      </c>
      <c r="CW461" s="2" t="e">
        <v>#N/A</v>
      </c>
      <c r="CX461" s="2" t="e">
        <v>#N/A</v>
      </c>
      <c r="CY461" s="2" t="e">
        <v>#N/A</v>
      </c>
      <c r="CZ461" s="2" t="e">
        <v>#N/A</v>
      </c>
      <c r="DA461" s="2" t="e">
        <v>#N/A</v>
      </c>
      <c r="DB461" s="2" t="e">
        <v>#N/A</v>
      </c>
      <c r="DC461" s="2" t="e">
        <v>#N/A</v>
      </c>
      <c r="DD461" s="2" t="e">
        <v>#N/A</v>
      </c>
      <c r="DE461" s="2" t="e">
        <v>#N/A</v>
      </c>
      <c r="DF461" s="2" t="e">
        <v>#N/A</v>
      </c>
      <c r="DG461" s="2" t="e">
        <v>#N/A</v>
      </c>
      <c r="DH461" s="2" t="e">
        <v>#N/A</v>
      </c>
      <c r="DI461" s="2" t="e">
        <v>#N/A</v>
      </c>
    </row>
    <row r="462" spans="1:113">
      <c r="C462" s="44"/>
      <c r="D462" s="44"/>
      <c r="E462" s="44"/>
      <c r="F462" s="44"/>
      <c r="G462" s="44"/>
      <c r="H462" s="44"/>
      <c r="I462" s="44"/>
      <c r="J462" s="44"/>
      <c r="K462" s="44"/>
      <c r="L462" s="44"/>
      <c r="M462" t="str">
        <f t="shared" si="52"/>
        <v>"//*[@class=\"</v>
      </c>
      <c r="N462" t="s">
        <v>31</v>
      </c>
      <c r="O462" s="4" t="str">
        <f t="shared" ref="O462:O464" si="55">IF(D462="input","fill",IF(I462&lt;&gt;"","innerText",IF(J462="Y",$T$7,"click")))</f>
        <v>click</v>
      </c>
      <c r="P462" t="str">
        <f t="shared" ref="P462:P464" si="56">IF(OR(O462="Click",O462="innerText"),"();","("&amp;""""&amp;K462&amp;""""&amp;");")</f>
        <v>();</v>
      </c>
      <c r="Q462" t="str">
        <f t="shared" ref="Q462:Q464" si="57">IF(C462="Y",IF(H462&lt;&gt;"Xpath",M462&amp;F462&amp;N462,""""&amp;F462&amp;""""),"")</f>
        <v/>
      </c>
      <c r="R462" t="str">
        <f t="shared" si="53"/>
        <v/>
      </c>
      <c r="S462" s="1" t="str">
        <f t="shared" si="54"/>
        <v/>
      </c>
      <c r="Z462">
        <v>453</v>
      </c>
    </row>
    <row r="463" spans="1:113">
      <c r="C463" s="44"/>
      <c r="D463" s="44"/>
      <c r="E463" s="44"/>
      <c r="F463" s="44"/>
      <c r="G463" s="44"/>
      <c r="H463" s="44"/>
      <c r="I463" s="44"/>
      <c r="J463" s="44"/>
      <c r="K463" s="44"/>
      <c r="L463" s="44"/>
      <c r="M463" t="str">
        <f t="shared" si="52"/>
        <v>"//*[@class=\"</v>
      </c>
      <c r="N463" t="s">
        <v>31</v>
      </c>
      <c r="O463" s="4" t="str">
        <f t="shared" si="55"/>
        <v>click</v>
      </c>
      <c r="P463" t="str">
        <f t="shared" si="56"/>
        <v>();</v>
      </c>
      <c r="Q463" t="str">
        <f t="shared" si="57"/>
        <v/>
      </c>
      <c r="R463" t="str">
        <f t="shared" si="53"/>
        <v/>
      </c>
      <c r="S463" s="1" t="str">
        <f t="shared" si="54"/>
        <v/>
      </c>
      <c r="Z463">
        <v>454</v>
      </c>
    </row>
    <row r="464" spans="1:113">
      <c r="C464" s="44"/>
      <c r="D464" s="44"/>
      <c r="E464" s="44"/>
      <c r="F464" s="44"/>
      <c r="G464" s="44"/>
      <c r="H464" s="44"/>
      <c r="I464" s="44"/>
      <c r="J464" s="44"/>
      <c r="K464" s="44"/>
      <c r="L464" s="44"/>
      <c r="M464" t="str">
        <f t="shared" si="52"/>
        <v>"//*[@class=\"</v>
      </c>
      <c r="N464" t="s">
        <v>31</v>
      </c>
      <c r="O464" s="4" t="str">
        <f t="shared" si="55"/>
        <v>click</v>
      </c>
      <c r="P464" t="str">
        <f t="shared" si="56"/>
        <v>();</v>
      </c>
      <c r="Q464" t="str">
        <f t="shared" si="57"/>
        <v/>
      </c>
      <c r="R464" t="str">
        <f t="shared" si="53"/>
        <v/>
      </c>
      <c r="S464" s="1" t="str">
        <f t="shared" si="54"/>
        <v/>
      </c>
      <c r="Z464">
        <v>455</v>
      </c>
    </row>
    <row r="465" spans="1:113">
      <c r="C465" s="44"/>
      <c r="D465" s="44"/>
      <c r="E465" s="44"/>
      <c r="F465" s="44"/>
      <c r="G465" s="44"/>
      <c r="H465" s="44"/>
      <c r="I465" s="44"/>
      <c r="J465" s="44"/>
      <c r="K465" s="44"/>
      <c r="L465" s="44"/>
      <c r="M465" t="str">
        <f t="shared" si="52"/>
        <v>"//*[@class=\"</v>
      </c>
      <c r="N465" t="s">
        <v>31</v>
      </c>
      <c r="O465" s="4" t="str">
        <f t="shared" ref="O465:O470" si="58">IF(D465="input","fill",IF(I465&lt;&gt;"","innerText",IF(J465="Y",$T$7,"click")))</f>
        <v>click</v>
      </c>
      <c r="P465" t="str">
        <f t="shared" ref="P465:P470" si="59">IF(OR(O465="Click",O465="innerText"),"();","("&amp;""""&amp;K465&amp;""""&amp;");")</f>
        <v>();</v>
      </c>
      <c r="R465" t="str">
        <f t="shared" si="53"/>
        <v/>
      </c>
      <c r="S465" s="1" t="str">
        <f t="shared" si="54"/>
        <v/>
      </c>
      <c r="Z465">
        <v>456</v>
      </c>
    </row>
    <row r="466" spans="1:113">
      <c r="C466" s="44"/>
      <c r="D466" s="44"/>
      <c r="E466" s="44"/>
      <c r="F466" s="44"/>
      <c r="G466" s="44"/>
      <c r="H466" s="44"/>
      <c r="I466" s="44"/>
      <c r="J466" s="44"/>
      <c r="K466" s="44"/>
      <c r="L466" s="44"/>
      <c r="M466" t="str">
        <f t="shared" si="52"/>
        <v>"//*[@class=\"</v>
      </c>
      <c r="N466" t="s">
        <v>31</v>
      </c>
      <c r="O466" s="4" t="str">
        <f t="shared" si="58"/>
        <v>click</v>
      </c>
      <c r="P466" t="str">
        <f t="shared" si="59"/>
        <v>();</v>
      </c>
      <c r="R466" t="str">
        <f t="shared" si="53"/>
        <v/>
      </c>
      <c r="S466" s="1" t="str">
        <f t="shared" si="54"/>
        <v/>
      </c>
      <c r="Z466">
        <v>457</v>
      </c>
    </row>
    <row r="467" spans="1:113">
      <c r="C467" s="44"/>
      <c r="D467" s="44"/>
      <c r="E467" s="44"/>
      <c r="F467" s="44"/>
      <c r="G467" s="44"/>
      <c r="H467" s="44"/>
      <c r="I467" s="44"/>
      <c r="J467" s="44"/>
      <c r="K467" s="44"/>
      <c r="L467" s="44"/>
      <c r="M467" t="str">
        <f t="shared" si="52"/>
        <v>"//*[@class=\"</v>
      </c>
      <c r="N467" t="s">
        <v>31</v>
      </c>
      <c r="O467" s="4" t="str">
        <f t="shared" si="58"/>
        <v>click</v>
      </c>
      <c r="P467" t="str">
        <f t="shared" si="59"/>
        <v>();</v>
      </c>
      <c r="R467" t="str">
        <f t="shared" si="53"/>
        <v/>
      </c>
      <c r="S467" s="1" t="str">
        <f t="shared" si="54"/>
        <v/>
      </c>
      <c r="Z467">
        <v>458</v>
      </c>
    </row>
    <row r="468" spans="1:113">
      <c r="C468" s="44"/>
      <c r="D468" s="44"/>
      <c r="E468" s="44"/>
      <c r="F468" s="44"/>
      <c r="G468" s="44"/>
      <c r="H468" s="44"/>
      <c r="I468" s="44"/>
      <c r="J468" s="44"/>
      <c r="K468" s="44"/>
      <c r="L468" s="44"/>
      <c r="M468" t="str">
        <f t="shared" si="52"/>
        <v>"//*[@class=\"</v>
      </c>
      <c r="N468" t="s">
        <v>31</v>
      </c>
      <c r="O468" s="4" t="str">
        <f t="shared" si="58"/>
        <v>click</v>
      </c>
      <c r="P468" t="str">
        <f t="shared" si="59"/>
        <v>();</v>
      </c>
      <c r="R468" t="str">
        <f t="shared" si="53"/>
        <v/>
      </c>
      <c r="S468" s="1" t="str">
        <f t="shared" si="54"/>
        <v/>
      </c>
      <c r="Z468">
        <v>459</v>
      </c>
    </row>
    <row r="469" spans="1:113">
      <c r="C469" s="44"/>
      <c r="D469" s="44"/>
      <c r="E469" s="44"/>
      <c r="F469" s="44"/>
      <c r="G469" s="44"/>
      <c r="H469" s="44"/>
      <c r="I469" s="44"/>
      <c r="J469" s="44"/>
      <c r="K469" s="44"/>
      <c r="L469" s="44"/>
      <c r="M469" t="str">
        <f t="shared" si="52"/>
        <v>"//*[@class=\"</v>
      </c>
      <c r="N469" t="s">
        <v>31</v>
      </c>
      <c r="O469" s="4" t="str">
        <f t="shared" si="58"/>
        <v>click</v>
      </c>
      <c r="P469" t="str">
        <f t="shared" si="59"/>
        <v>();</v>
      </c>
      <c r="R469" t="str">
        <f t="shared" si="53"/>
        <v/>
      </c>
      <c r="S469" s="1" t="str">
        <f t="shared" si="54"/>
        <v/>
      </c>
      <c r="Z469">
        <v>460</v>
      </c>
    </row>
    <row r="470" spans="1:113">
      <c r="C470" s="44"/>
      <c r="D470" s="44"/>
      <c r="E470" s="44"/>
      <c r="F470" s="44"/>
      <c r="G470" s="44"/>
      <c r="H470" s="44"/>
      <c r="I470" s="44"/>
      <c r="J470" s="44"/>
      <c r="K470" s="44"/>
      <c r="L470" s="44"/>
      <c r="M470" t="str">
        <f t="shared" si="52"/>
        <v>"//*[@class=\"</v>
      </c>
      <c r="N470" t="s">
        <v>31</v>
      </c>
      <c r="O470" s="4" t="str">
        <f t="shared" si="58"/>
        <v>click</v>
      </c>
      <c r="P470" t="str">
        <f t="shared" si="59"/>
        <v>();</v>
      </c>
      <c r="R470" t="str">
        <f t="shared" si="53"/>
        <v/>
      </c>
      <c r="S470" s="1" t="str">
        <f t="shared" si="54"/>
        <v/>
      </c>
      <c r="Z470">
        <v>461</v>
      </c>
    </row>
    <row r="471" spans="1:113" s="2" customFormat="1">
      <c r="A471"/>
      <c r="B471"/>
      <c r="C471" s="44"/>
      <c r="D471" s="44"/>
      <c r="E471" s="44"/>
      <c r="F471" s="44"/>
      <c r="G471" s="44"/>
      <c r="H471" s="44"/>
      <c r="I471" s="44"/>
      <c r="J471" s="44"/>
      <c r="K471" s="44"/>
      <c r="L471" s="44"/>
      <c r="M471" t="str">
        <f t="shared" si="52"/>
        <v>"//*[@class=\"</v>
      </c>
      <c r="N471" t="s">
        <v>31</v>
      </c>
      <c r="O471" s="4" t="str">
        <f t="shared" ref="O471:O532" si="60">IF(D471="input","fill",IF(I471&lt;&gt;"","innerText",IF(J471="Y",$T$7,"click")))</f>
        <v>click</v>
      </c>
      <c r="P471" t="str">
        <f t="shared" ref="P471:P532" si="61">IF(OR(O471="Click",O471="innerText"),"();","("&amp;""""&amp;K471&amp;""""&amp;");")</f>
        <v>();</v>
      </c>
      <c r="Q471" t="str">
        <f t="shared" ref="Q471:Q478" si="62">IF(A471="Y",IF(H471&lt;&gt;"Xpath",M471&amp;F471&amp;N471,""""&amp;F471&amp;""""),"")</f>
        <v/>
      </c>
      <c r="R471" t="str">
        <f t="shared" si="53"/>
        <v/>
      </c>
      <c r="S471" s="1" t="str">
        <f t="shared" si="54"/>
        <v/>
      </c>
      <c r="T471"/>
      <c r="U471"/>
      <c r="V471"/>
      <c r="W471"/>
      <c r="X471"/>
      <c r="Y471"/>
      <c r="Z471">
        <v>462</v>
      </c>
      <c r="AA471"/>
      <c r="AB471"/>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3"/>
      <c r="BC471" s="3"/>
      <c r="CT471" s="2" t="e">
        <v>#N/A</v>
      </c>
      <c r="CU471" s="2" t="e">
        <v>#N/A</v>
      </c>
      <c r="CV471" s="2" t="e">
        <v>#N/A</v>
      </c>
      <c r="CW471" s="2" t="e">
        <v>#N/A</v>
      </c>
      <c r="CX471" s="2" t="e">
        <v>#N/A</v>
      </c>
      <c r="CY471" s="2" t="e">
        <v>#N/A</v>
      </c>
      <c r="CZ471" s="2" t="e">
        <v>#N/A</v>
      </c>
      <c r="DA471" s="2" t="e">
        <v>#N/A</v>
      </c>
      <c r="DB471" s="2" t="e">
        <v>#N/A</v>
      </c>
      <c r="DC471" s="2" t="e">
        <v>#N/A</v>
      </c>
      <c r="DD471" s="2" t="e">
        <v>#N/A</v>
      </c>
      <c r="DE471" s="2" t="e">
        <v>#N/A</v>
      </c>
      <c r="DF471" s="2" t="e">
        <v>#N/A</v>
      </c>
      <c r="DG471" s="2" t="e">
        <v>#N/A</v>
      </c>
      <c r="DH471" s="2" t="e">
        <v>#N/A</v>
      </c>
      <c r="DI471" s="2" t="e">
        <v>#N/A</v>
      </c>
    </row>
    <row r="472" spans="1:113" s="2" customFormat="1">
      <c r="A472"/>
      <c r="B472"/>
      <c r="C472" s="44"/>
      <c r="D472" s="44"/>
      <c r="E472" s="44"/>
      <c r="F472" s="44"/>
      <c r="G472" s="44"/>
      <c r="H472" s="44"/>
      <c r="I472" s="44"/>
      <c r="J472" s="44"/>
      <c r="K472" s="44"/>
      <c r="L472" s="44"/>
      <c r="M472" t="str">
        <f t="shared" si="52"/>
        <v>"//*[@class=\"</v>
      </c>
      <c r="N472" t="s">
        <v>31</v>
      </c>
      <c r="O472" s="4" t="str">
        <f t="shared" si="60"/>
        <v>click</v>
      </c>
      <c r="P472" t="str">
        <f t="shared" si="61"/>
        <v>();</v>
      </c>
      <c r="Q472" t="str">
        <f t="shared" si="62"/>
        <v/>
      </c>
      <c r="R472" t="str">
        <f t="shared" si="53"/>
        <v/>
      </c>
      <c r="S472" s="1" t="str">
        <f t="shared" si="54"/>
        <v/>
      </c>
      <c r="T472"/>
      <c r="U472"/>
      <c r="V472"/>
      <c r="W472"/>
      <c r="X472"/>
      <c r="Y472"/>
      <c r="Z472">
        <v>463</v>
      </c>
      <c r="AA472"/>
      <c r="AB472"/>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3"/>
      <c r="BC472" s="3"/>
      <c r="CT472" s="2" t="e">
        <v>#N/A</v>
      </c>
      <c r="CU472" s="2" t="e">
        <v>#N/A</v>
      </c>
      <c r="CV472" s="2" t="e">
        <v>#N/A</v>
      </c>
      <c r="CW472" s="2" t="e">
        <v>#N/A</v>
      </c>
      <c r="CX472" s="2" t="e">
        <v>#N/A</v>
      </c>
      <c r="CY472" s="2" t="e">
        <v>#N/A</v>
      </c>
      <c r="CZ472" s="2" t="e">
        <v>#N/A</v>
      </c>
      <c r="DA472" s="2" t="e">
        <v>#N/A</v>
      </c>
      <c r="DB472" s="2" t="e">
        <v>#N/A</v>
      </c>
      <c r="DC472" s="2" t="e">
        <v>#N/A</v>
      </c>
      <c r="DD472" s="2" t="e">
        <v>#N/A</v>
      </c>
      <c r="DE472" s="2" t="e">
        <v>#N/A</v>
      </c>
      <c r="DF472" s="2" t="e">
        <v>#N/A</v>
      </c>
      <c r="DG472" s="2" t="e">
        <v>#N/A</v>
      </c>
      <c r="DH472" s="2" t="e">
        <v>#N/A</v>
      </c>
      <c r="DI472" s="2" t="e">
        <v>#N/A</v>
      </c>
    </row>
    <row r="473" spans="1:113" s="2" customFormat="1">
      <c r="A473"/>
      <c r="B473"/>
      <c r="C473" s="44"/>
      <c r="D473" s="44"/>
      <c r="E473" s="44"/>
      <c r="F473" s="44"/>
      <c r="G473" s="44"/>
      <c r="H473" s="44"/>
      <c r="I473" s="44"/>
      <c r="J473" s="44"/>
      <c r="K473" s="44"/>
      <c r="L473" s="44"/>
      <c r="M473" t="str">
        <f t="shared" si="52"/>
        <v>"//*[@class=\"</v>
      </c>
      <c r="N473" t="s">
        <v>31</v>
      </c>
      <c r="O473" s="4" t="str">
        <f t="shared" si="60"/>
        <v>click</v>
      </c>
      <c r="P473" t="str">
        <f t="shared" si="61"/>
        <v>();</v>
      </c>
      <c r="Q473" t="str">
        <f t="shared" si="62"/>
        <v/>
      </c>
      <c r="R473" t="str">
        <f t="shared" si="53"/>
        <v/>
      </c>
      <c r="S473" s="1" t="str">
        <f t="shared" si="54"/>
        <v/>
      </c>
      <c r="T473"/>
      <c r="U473"/>
      <c r="V473"/>
      <c r="W473"/>
      <c r="X473"/>
      <c r="Y473"/>
      <c r="Z473">
        <v>464</v>
      </c>
      <c r="AA473"/>
      <c r="AB473"/>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3"/>
      <c r="BC473" s="3"/>
      <c r="CT473" s="2" t="e">
        <v>#N/A</v>
      </c>
      <c r="CU473" s="2" t="e">
        <v>#N/A</v>
      </c>
      <c r="CV473" s="2" t="e">
        <v>#N/A</v>
      </c>
      <c r="CW473" s="2" t="e">
        <v>#N/A</v>
      </c>
      <c r="CX473" s="2" t="e">
        <v>#N/A</v>
      </c>
      <c r="CY473" s="2" t="e">
        <v>#N/A</v>
      </c>
      <c r="CZ473" s="2" t="e">
        <v>#N/A</v>
      </c>
      <c r="DA473" s="2" t="e">
        <v>#N/A</v>
      </c>
      <c r="DB473" s="2" t="e">
        <v>#N/A</v>
      </c>
      <c r="DC473" s="2" t="e">
        <v>#N/A</v>
      </c>
      <c r="DD473" s="2" t="e">
        <v>#N/A</v>
      </c>
      <c r="DE473" s="2" t="e">
        <v>#N/A</v>
      </c>
      <c r="DF473" s="2" t="e">
        <v>#N/A</v>
      </c>
      <c r="DG473" s="2" t="e">
        <v>#N/A</v>
      </c>
      <c r="DH473" s="2" t="e">
        <v>#N/A</v>
      </c>
      <c r="DI473" s="2" t="e">
        <v>#N/A</v>
      </c>
    </row>
    <row r="474" spans="1:113" s="2" customFormat="1">
      <c r="A474"/>
      <c r="B474"/>
      <c r="C474" s="44"/>
      <c r="D474" s="44"/>
      <c r="E474" s="44"/>
      <c r="F474" s="44"/>
      <c r="G474" s="44"/>
      <c r="H474" s="44"/>
      <c r="I474" s="44"/>
      <c r="J474" s="44"/>
      <c r="K474" s="44"/>
      <c r="L474" s="44"/>
      <c r="M474" t="str">
        <f t="shared" si="52"/>
        <v>"//*[@class=\"</v>
      </c>
      <c r="N474" t="s">
        <v>31</v>
      </c>
      <c r="O474" s="4" t="str">
        <f t="shared" si="60"/>
        <v>click</v>
      </c>
      <c r="P474" t="str">
        <f t="shared" si="61"/>
        <v>();</v>
      </c>
      <c r="Q474" t="str">
        <f t="shared" si="62"/>
        <v/>
      </c>
      <c r="R474" t="str">
        <f t="shared" si="53"/>
        <v/>
      </c>
      <c r="S474" s="1" t="str">
        <f t="shared" si="54"/>
        <v/>
      </c>
      <c r="T474"/>
      <c r="U474"/>
      <c r="V474"/>
      <c r="W474"/>
      <c r="X474"/>
      <c r="Y474"/>
      <c r="Z474">
        <v>465</v>
      </c>
      <c r="AA474"/>
      <c r="AB47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3"/>
      <c r="BC474" s="3"/>
      <c r="CT474" s="2" t="e">
        <v>#N/A</v>
      </c>
      <c r="CU474" s="2" t="e">
        <v>#N/A</v>
      </c>
      <c r="CV474" s="2" t="e">
        <v>#N/A</v>
      </c>
      <c r="CW474" s="2" t="e">
        <v>#N/A</v>
      </c>
      <c r="CX474" s="2" t="e">
        <v>#N/A</v>
      </c>
      <c r="CY474" s="2" t="e">
        <v>#N/A</v>
      </c>
      <c r="CZ474" s="2" t="e">
        <v>#N/A</v>
      </c>
      <c r="DA474" s="2" t="e">
        <v>#N/A</v>
      </c>
      <c r="DB474" s="2" t="e">
        <v>#N/A</v>
      </c>
      <c r="DC474" s="2" t="e">
        <v>#N/A</v>
      </c>
      <c r="DD474" s="2" t="e">
        <v>#N/A</v>
      </c>
      <c r="DE474" s="2" t="e">
        <v>#N/A</v>
      </c>
      <c r="DF474" s="2" t="e">
        <v>#N/A</v>
      </c>
      <c r="DG474" s="2" t="e">
        <v>#N/A</v>
      </c>
      <c r="DH474" s="2" t="e">
        <v>#N/A</v>
      </c>
      <c r="DI474" s="2" t="e">
        <v>#N/A</v>
      </c>
    </row>
    <row r="475" spans="1:113" s="2" customFormat="1">
      <c r="A475"/>
      <c r="B475"/>
      <c r="C475" s="44"/>
      <c r="D475" s="44"/>
      <c r="E475" s="44"/>
      <c r="F475" s="44"/>
      <c r="G475" s="44"/>
      <c r="H475" s="44"/>
      <c r="I475" s="44"/>
      <c r="J475" s="44"/>
      <c r="K475" s="44"/>
      <c r="L475" s="44"/>
      <c r="M475" t="str">
        <f t="shared" si="52"/>
        <v>"//*[@class=\"</v>
      </c>
      <c r="N475" t="s">
        <v>31</v>
      </c>
      <c r="O475" s="4" t="str">
        <f t="shared" si="60"/>
        <v>click</v>
      </c>
      <c r="P475" t="str">
        <f t="shared" si="61"/>
        <v>();</v>
      </c>
      <c r="Q475" t="str">
        <f t="shared" si="62"/>
        <v/>
      </c>
      <c r="R475" t="str">
        <f t="shared" si="53"/>
        <v/>
      </c>
      <c r="S475" s="1" t="str">
        <f t="shared" si="54"/>
        <v/>
      </c>
      <c r="T475"/>
      <c r="U475"/>
      <c r="V475"/>
      <c r="W475"/>
      <c r="X475"/>
      <c r="Y475"/>
      <c r="Z475">
        <v>466</v>
      </c>
      <c r="AA475"/>
      <c r="AB475"/>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3"/>
      <c r="BC475" s="3"/>
      <c r="CT475" s="2" t="e">
        <v>#N/A</v>
      </c>
      <c r="CU475" s="2" t="e">
        <v>#N/A</v>
      </c>
      <c r="CV475" s="2" t="e">
        <v>#N/A</v>
      </c>
      <c r="CW475" s="2" t="e">
        <v>#N/A</v>
      </c>
      <c r="CX475" s="2" t="e">
        <v>#N/A</v>
      </c>
      <c r="CY475" s="2" t="e">
        <v>#N/A</v>
      </c>
      <c r="CZ475" s="2" t="e">
        <v>#N/A</v>
      </c>
      <c r="DA475" s="2" t="e">
        <v>#N/A</v>
      </c>
      <c r="DB475" s="2" t="e">
        <v>#N/A</v>
      </c>
      <c r="DC475" s="2" t="e">
        <v>#N/A</v>
      </c>
      <c r="DD475" s="2" t="e">
        <v>#N/A</v>
      </c>
      <c r="DE475" s="2" t="e">
        <v>#N/A</v>
      </c>
      <c r="DF475" s="2" t="e">
        <v>#N/A</v>
      </c>
      <c r="DG475" s="2" t="e">
        <v>#N/A</v>
      </c>
      <c r="DH475" s="2" t="e">
        <v>#N/A</v>
      </c>
      <c r="DI475" s="2" t="e">
        <v>#N/A</v>
      </c>
    </row>
    <row r="476" spans="1:113" s="2" customFormat="1">
      <c r="A476"/>
      <c r="B476"/>
      <c r="C476" s="44"/>
      <c r="D476" s="44"/>
      <c r="E476" s="44"/>
      <c r="F476" s="44"/>
      <c r="G476" s="44"/>
      <c r="H476" s="44"/>
      <c r="I476" s="44"/>
      <c r="J476" s="44"/>
      <c r="K476" s="44"/>
      <c r="L476" s="44"/>
      <c r="M476" t="str">
        <f t="shared" si="52"/>
        <v>"//*[@class=\"</v>
      </c>
      <c r="N476" t="s">
        <v>31</v>
      </c>
      <c r="O476" s="4" t="str">
        <f t="shared" si="60"/>
        <v>click</v>
      </c>
      <c r="P476" t="str">
        <f t="shared" si="61"/>
        <v>();</v>
      </c>
      <c r="Q476" t="str">
        <f t="shared" si="62"/>
        <v/>
      </c>
      <c r="R476" t="str">
        <f t="shared" si="53"/>
        <v/>
      </c>
      <c r="S476" s="1" t="str">
        <f t="shared" si="54"/>
        <v/>
      </c>
      <c r="T476"/>
      <c r="U476"/>
      <c r="V476"/>
      <c r="W476"/>
      <c r="X476"/>
      <c r="Y476"/>
      <c r="Z476">
        <v>467</v>
      </c>
      <c r="AA476"/>
      <c r="AB476"/>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3"/>
      <c r="BC476" s="3"/>
      <c r="CT476" s="2" t="e">
        <v>#N/A</v>
      </c>
      <c r="CU476" s="2" t="e">
        <v>#N/A</v>
      </c>
      <c r="CV476" s="2" t="e">
        <v>#N/A</v>
      </c>
      <c r="CW476" s="2" t="e">
        <v>#N/A</v>
      </c>
      <c r="CX476" s="2" t="e">
        <v>#N/A</v>
      </c>
      <c r="CY476" s="2" t="e">
        <v>#N/A</v>
      </c>
      <c r="CZ476" s="2" t="e">
        <v>#N/A</v>
      </c>
      <c r="DA476" s="2" t="e">
        <v>#N/A</v>
      </c>
      <c r="DB476" s="2" t="e">
        <v>#N/A</v>
      </c>
      <c r="DC476" s="2" t="e">
        <v>#N/A</v>
      </c>
      <c r="DD476" s="2" t="e">
        <v>#N/A</v>
      </c>
      <c r="DE476" s="2" t="e">
        <v>#N/A</v>
      </c>
      <c r="DF476" s="2" t="e">
        <v>#N/A</v>
      </c>
      <c r="DG476" s="2" t="e">
        <v>#N/A</v>
      </c>
      <c r="DH476" s="2" t="e">
        <v>#N/A</v>
      </c>
      <c r="DI476" s="2" t="e">
        <v>#N/A</v>
      </c>
    </row>
    <row r="477" spans="1:113" s="2" customFormat="1">
      <c r="A477"/>
      <c r="B477"/>
      <c r="C477" s="44"/>
      <c r="D477" s="44"/>
      <c r="E477" s="44"/>
      <c r="F477" s="44"/>
      <c r="G477" s="44"/>
      <c r="H477" s="44"/>
      <c r="I477" s="44"/>
      <c r="J477" s="44"/>
      <c r="K477" s="44"/>
      <c r="L477" s="44"/>
      <c r="M477" t="str">
        <f t="shared" si="52"/>
        <v>"//*[@class=\"</v>
      </c>
      <c r="N477" t="s">
        <v>31</v>
      </c>
      <c r="O477" s="4" t="str">
        <f t="shared" si="60"/>
        <v>click</v>
      </c>
      <c r="P477" t="str">
        <f t="shared" si="61"/>
        <v>();</v>
      </c>
      <c r="Q477" t="str">
        <f t="shared" si="62"/>
        <v/>
      </c>
      <c r="R477" t="str">
        <f t="shared" si="53"/>
        <v/>
      </c>
      <c r="S477" s="1" t="str">
        <f t="shared" si="54"/>
        <v/>
      </c>
      <c r="T477"/>
      <c r="U477"/>
      <c r="V477"/>
      <c r="W477"/>
      <c r="X477"/>
      <c r="Y477"/>
      <c r="Z477">
        <v>468</v>
      </c>
      <c r="AA477"/>
      <c r="AB477"/>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3"/>
      <c r="BC477" s="3"/>
      <c r="CT477" s="2" t="e">
        <v>#N/A</v>
      </c>
      <c r="CU477" s="2" t="e">
        <v>#N/A</v>
      </c>
      <c r="CV477" s="2" t="e">
        <v>#N/A</v>
      </c>
      <c r="CW477" s="2" t="e">
        <v>#N/A</v>
      </c>
      <c r="CX477" s="2" t="e">
        <v>#N/A</v>
      </c>
      <c r="CY477" s="2" t="e">
        <v>#N/A</v>
      </c>
      <c r="CZ477" s="2" t="e">
        <v>#N/A</v>
      </c>
      <c r="DA477" s="2" t="e">
        <v>#N/A</v>
      </c>
      <c r="DB477" s="2" t="e">
        <v>#N/A</v>
      </c>
      <c r="DC477" s="2" t="e">
        <v>#N/A</v>
      </c>
      <c r="DD477" s="2" t="e">
        <v>#N/A</v>
      </c>
      <c r="DE477" s="2" t="e">
        <v>#N/A</v>
      </c>
      <c r="DF477" s="2" t="e">
        <v>#N/A</v>
      </c>
      <c r="DG477" s="2" t="e">
        <v>#N/A</v>
      </c>
      <c r="DH477" s="2" t="e">
        <v>#N/A</v>
      </c>
      <c r="DI477" s="2" t="e">
        <v>#N/A</v>
      </c>
    </row>
    <row r="478" spans="1:113" s="2" customFormat="1">
      <c r="A478"/>
      <c r="B478"/>
      <c r="C478" s="44"/>
      <c r="D478" s="44"/>
      <c r="E478" s="44"/>
      <c r="F478" s="44"/>
      <c r="G478" s="44"/>
      <c r="H478" s="44"/>
      <c r="I478" s="44"/>
      <c r="J478" s="44"/>
      <c r="K478" s="44"/>
      <c r="L478" s="44"/>
      <c r="M478" t="str">
        <f t="shared" si="52"/>
        <v>"//*[@class=\"</v>
      </c>
      <c r="N478" t="s">
        <v>31</v>
      </c>
      <c r="O478" s="4" t="str">
        <f t="shared" si="60"/>
        <v>click</v>
      </c>
      <c r="P478" t="str">
        <f t="shared" si="61"/>
        <v>();</v>
      </c>
      <c r="Q478" t="str">
        <f t="shared" si="62"/>
        <v/>
      </c>
      <c r="R478" t="str">
        <f t="shared" si="53"/>
        <v/>
      </c>
      <c r="S478" s="1" t="str">
        <f t="shared" si="54"/>
        <v/>
      </c>
      <c r="T478"/>
      <c r="U478"/>
      <c r="V478"/>
      <c r="W478"/>
      <c r="X478"/>
      <c r="Y478"/>
      <c r="Z478">
        <v>469</v>
      </c>
      <c r="AA478"/>
      <c r="AB478"/>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3"/>
      <c r="BC478" s="3"/>
      <c r="CT478" s="2" t="e">
        <v>#N/A</v>
      </c>
      <c r="CU478" s="2" t="e">
        <v>#N/A</v>
      </c>
      <c r="CV478" s="2" t="e">
        <v>#N/A</v>
      </c>
      <c r="CW478" s="2" t="e">
        <v>#N/A</v>
      </c>
      <c r="CX478" s="2" t="e">
        <v>#N/A</v>
      </c>
      <c r="CY478" s="2" t="e">
        <v>#N/A</v>
      </c>
      <c r="CZ478" s="2" t="e">
        <v>#N/A</v>
      </c>
      <c r="DA478" s="2" t="e">
        <v>#N/A</v>
      </c>
      <c r="DB478" s="2" t="e">
        <v>#N/A</v>
      </c>
      <c r="DC478" s="2" t="e">
        <v>#N/A</v>
      </c>
      <c r="DD478" s="2" t="e">
        <v>#N/A</v>
      </c>
      <c r="DE478" s="2" t="e">
        <v>#N/A</v>
      </c>
      <c r="DF478" s="2" t="e">
        <v>#N/A</v>
      </c>
      <c r="DG478" s="2" t="e">
        <v>#N/A</v>
      </c>
      <c r="DH478" s="2" t="e">
        <v>#N/A</v>
      </c>
      <c r="DI478" s="2" t="e">
        <v>#N/A</v>
      </c>
    </row>
    <row r="479" spans="1:113" s="2" customFormat="1">
      <c r="A479"/>
      <c r="B479"/>
      <c r="C479" s="44"/>
      <c r="D479" s="44"/>
      <c r="E479" s="44"/>
      <c r="F479" s="44"/>
      <c r="G479" s="44"/>
      <c r="H479" s="44"/>
      <c r="I479" s="44"/>
      <c r="J479" s="44"/>
      <c r="K479" s="44"/>
      <c r="L479" s="44"/>
      <c r="M479" t="str">
        <f t="shared" si="52"/>
        <v>"//*[@class=\"</v>
      </c>
      <c r="N479" t="s">
        <v>31</v>
      </c>
      <c r="O479" s="4" t="str">
        <f t="shared" si="60"/>
        <v>click</v>
      </c>
      <c r="P479" t="str">
        <f t="shared" si="61"/>
        <v>();</v>
      </c>
      <c r="Q479" t="str">
        <f t="shared" ref="Q479:Q540" si="63">IF(A479="Y",IF(H479&lt;&gt;"Xpath",M479&amp;F479&amp;N479,""""&amp;F479&amp;""""),"")</f>
        <v/>
      </c>
      <c r="R479" t="str">
        <f t="shared" si="53"/>
        <v/>
      </c>
      <c r="S479" s="1" t="str">
        <f t="shared" si="54"/>
        <v/>
      </c>
      <c r="T479"/>
      <c r="U479"/>
      <c r="V479"/>
      <c r="W479"/>
      <c r="X479"/>
      <c r="Y479"/>
      <c r="Z479">
        <v>470</v>
      </c>
      <c r="AA479"/>
      <c r="AB479"/>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3"/>
      <c r="BC479" s="3"/>
      <c r="CT479" s="2" t="e">
        <v>#N/A</v>
      </c>
      <c r="CU479" s="2" t="e">
        <v>#N/A</v>
      </c>
      <c r="CV479" s="2" t="e">
        <v>#N/A</v>
      </c>
      <c r="CW479" s="2" t="e">
        <v>#N/A</v>
      </c>
      <c r="CX479" s="2" t="e">
        <v>#N/A</v>
      </c>
      <c r="CY479" s="2" t="e">
        <v>#N/A</v>
      </c>
      <c r="CZ479" s="2" t="e">
        <v>#N/A</v>
      </c>
      <c r="DA479" s="2" t="e">
        <v>#N/A</v>
      </c>
      <c r="DB479" s="2" t="e">
        <v>#N/A</v>
      </c>
      <c r="DC479" s="2" t="e">
        <v>#N/A</v>
      </c>
      <c r="DD479" s="2" t="e">
        <v>#N/A</v>
      </c>
      <c r="DE479" s="2" t="e">
        <v>#N/A</v>
      </c>
      <c r="DF479" s="2" t="e">
        <v>#N/A</v>
      </c>
      <c r="DG479" s="2" t="e">
        <v>#N/A</v>
      </c>
      <c r="DH479" s="2" t="e">
        <v>#N/A</v>
      </c>
      <c r="DI479" s="2" t="e">
        <v>#N/A</v>
      </c>
    </row>
    <row r="480" spans="1:113" s="2" customFormat="1">
      <c r="A480"/>
      <c r="B480"/>
      <c r="C480" s="44"/>
      <c r="D480" s="44"/>
      <c r="E480" s="44"/>
      <c r="F480" s="44"/>
      <c r="G480" s="44"/>
      <c r="H480" s="44"/>
      <c r="I480" s="44"/>
      <c r="J480" s="44"/>
      <c r="K480" s="44"/>
      <c r="L480" s="44"/>
      <c r="M480" t="str">
        <f t="shared" si="52"/>
        <v>"//*[@class=\"</v>
      </c>
      <c r="N480" t="s">
        <v>31</v>
      </c>
      <c r="O480" s="4" t="str">
        <f t="shared" si="60"/>
        <v>click</v>
      </c>
      <c r="P480" t="str">
        <f t="shared" si="61"/>
        <v>();</v>
      </c>
      <c r="Q480" t="str">
        <f t="shared" si="63"/>
        <v/>
      </c>
      <c r="R480" t="str">
        <f t="shared" si="53"/>
        <v/>
      </c>
      <c r="S480" s="1" t="str">
        <f t="shared" si="54"/>
        <v/>
      </c>
      <c r="T480"/>
      <c r="U480"/>
      <c r="V480"/>
      <c r="W480"/>
      <c r="X480"/>
      <c r="Y480"/>
      <c r="Z480">
        <v>471</v>
      </c>
      <c r="AA480"/>
      <c r="AB480"/>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3"/>
      <c r="BC480" s="3"/>
      <c r="CT480" s="2" t="e">
        <v>#N/A</v>
      </c>
      <c r="CU480" s="2" t="e">
        <v>#N/A</v>
      </c>
      <c r="CV480" s="2" t="e">
        <v>#N/A</v>
      </c>
      <c r="CW480" s="2" t="e">
        <v>#N/A</v>
      </c>
      <c r="CX480" s="2" t="e">
        <v>#N/A</v>
      </c>
      <c r="CY480" s="2" t="e">
        <v>#N/A</v>
      </c>
      <c r="CZ480" s="2" t="e">
        <v>#N/A</v>
      </c>
      <c r="DA480" s="2" t="e">
        <v>#N/A</v>
      </c>
      <c r="DB480" s="2" t="e">
        <v>#N/A</v>
      </c>
      <c r="DC480" s="2" t="e">
        <v>#N/A</v>
      </c>
      <c r="DD480" s="2" t="e">
        <v>#N/A</v>
      </c>
      <c r="DE480" s="2" t="e">
        <v>#N/A</v>
      </c>
      <c r="DF480" s="2" t="e">
        <v>#N/A</v>
      </c>
      <c r="DG480" s="2" t="e">
        <v>#N/A</v>
      </c>
      <c r="DH480" s="2" t="e">
        <v>#N/A</v>
      </c>
      <c r="DI480" s="2" t="e">
        <v>#N/A</v>
      </c>
    </row>
    <row r="481" spans="1:113" s="2" customFormat="1">
      <c r="A481"/>
      <c r="B481"/>
      <c r="C481" s="44"/>
      <c r="D481" s="44"/>
      <c r="E481" s="44"/>
      <c r="F481" s="44"/>
      <c r="G481" s="44"/>
      <c r="H481" s="44"/>
      <c r="I481" s="44"/>
      <c r="J481" s="44"/>
      <c r="K481" s="44"/>
      <c r="L481" s="44"/>
      <c r="M481" t="str">
        <f t="shared" si="52"/>
        <v>"//*[@class=\"</v>
      </c>
      <c r="N481" t="s">
        <v>31</v>
      </c>
      <c r="O481" s="4" t="str">
        <f t="shared" si="60"/>
        <v>click</v>
      </c>
      <c r="P481" t="str">
        <f t="shared" si="61"/>
        <v>();</v>
      </c>
      <c r="Q481" t="str">
        <f t="shared" si="63"/>
        <v/>
      </c>
      <c r="R481" t="str">
        <f t="shared" si="53"/>
        <v/>
      </c>
      <c r="S481" s="1" t="str">
        <f t="shared" si="54"/>
        <v/>
      </c>
      <c r="T481"/>
      <c r="U481"/>
      <c r="V481"/>
      <c r="W481"/>
      <c r="X481"/>
      <c r="Y481"/>
      <c r="Z481">
        <v>472</v>
      </c>
      <c r="AA481"/>
      <c r="AB481"/>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3"/>
      <c r="BC481" s="3"/>
      <c r="CT481" s="2" t="e">
        <v>#N/A</v>
      </c>
      <c r="CU481" s="2" t="e">
        <v>#N/A</v>
      </c>
      <c r="CV481" s="2" t="e">
        <v>#N/A</v>
      </c>
      <c r="CW481" s="2" t="e">
        <v>#N/A</v>
      </c>
      <c r="CX481" s="2" t="e">
        <v>#N/A</v>
      </c>
      <c r="CY481" s="2" t="e">
        <v>#N/A</v>
      </c>
      <c r="CZ481" s="2" t="e">
        <v>#N/A</v>
      </c>
      <c r="DA481" s="2" t="e">
        <v>#N/A</v>
      </c>
      <c r="DB481" s="2" t="e">
        <v>#N/A</v>
      </c>
      <c r="DC481" s="2" t="e">
        <v>#N/A</v>
      </c>
      <c r="DD481" s="2" t="e">
        <v>#N/A</v>
      </c>
      <c r="DE481" s="2" t="e">
        <v>#N/A</v>
      </c>
      <c r="DF481" s="2" t="e">
        <v>#N/A</v>
      </c>
      <c r="DG481" s="2" t="e">
        <v>#N/A</v>
      </c>
      <c r="DH481" s="2" t="e">
        <v>#N/A</v>
      </c>
      <c r="DI481" s="2" t="e">
        <v>#N/A</v>
      </c>
    </row>
    <row r="482" spans="1:113" s="2" customFormat="1">
      <c r="A482"/>
      <c r="B482"/>
      <c r="C482" s="44"/>
      <c r="D482" s="44"/>
      <c r="E482" s="44"/>
      <c r="F482" s="44"/>
      <c r="G482" s="44"/>
      <c r="H482" s="44"/>
      <c r="I482" s="44"/>
      <c r="J482" s="44"/>
      <c r="K482" s="44"/>
      <c r="L482" s="44"/>
      <c r="M482" t="str">
        <f t="shared" si="52"/>
        <v>"//*[@class=\"</v>
      </c>
      <c r="N482" t="s">
        <v>31</v>
      </c>
      <c r="O482" s="4" t="str">
        <f t="shared" si="60"/>
        <v>click</v>
      </c>
      <c r="P482" t="str">
        <f t="shared" si="61"/>
        <v>();</v>
      </c>
      <c r="Q482" t="str">
        <f t="shared" si="63"/>
        <v/>
      </c>
      <c r="R482" t="str">
        <f t="shared" si="53"/>
        <v/>
      </c>
      <c r="S482" s="1" t="str">
        <f t="shared" si="54"/>
        <v/>
      </c>
      <c r="T482"/>
      <c r="U482"/>
      <c r="V482"/>
      <c r="W482"/>
      <c r="X482"/>
      <c r="Y482"/>
      <c r="Z482">
        <v>473</v>
      </c>
      <c r="AA482"/>
      <c r="AB482"/>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3"/>
      <c r="BC482" s="3"/>
      <c r="CT482" s="2" t="e">
        <v>#N/A</v>
      </c>
      <c r="CU482" s="2" t="e">
        <v>#N/A</v>
      </c>
      <c r="CV482" s="2" t="e">
        <v>#N/A</v>
      </c>
      <c r="CW482" s="2" t="e">
        <v>#N/A</v>
      </c>
      <c r="CX482" s="2" t="e">
        <v>#N/A</v>
      </c>
      <c r="CY482" s="2" t="e">
        <v>#N/A</v>
      </c>
      <c r="CZ482" s="2" t="e">
        <v>#N/A</v>
      </c>
      <c r="DA482" s="2" t="e">
        <v>#N/A</v>
      </c>
      <c r="DB482" s="2" t="e">
        <v>#N/A</v>
      </c>
      <c r="DC482" s="2" t="e">
        <v>#N/A</v>
      </c>
      <c r="DD482" s="2" t="e">
        <v>#N/A</v>
      </c>
      <c r="DE482" s="2" t="e">
        <v>#N/A</v>
      </c>
      <c r="DF482" s="2" t="e">
        <v>#N/A</v>
      </c>
      <c r="DG482" s="2" t="e">
        <v>#N/A</v>
      </c>
      <c r="DH482" s="2" t="e">
        <v>#N/A</v>
      </c>
      <c r="DI482" s="2" t="e">
        <v>#N/A</v>
      </c>
    </row>
    <row r="483" spans="1:113" s="2" customFormat="1">
      <c r="A483"/>
      <c r="B483"/>
      <c r="C483" s="44"/>
      <c r="D483" s="44"/>
      <c r="E483" s="44"/>
      <c r="F483" s="44"/>
      <c r="G483" s="44"/>
      <c r="H483" s="44"/>
      <c r="I483" s="44"/>
      <c r="J483" s="44"/>
      <c r="K483" s="44"/>
      <c r="L483" s="44"/>
      <c r="M483" t="str">
        <f t="shared" si="52"/>
        <v>"//*[@class=\"</v>
      </c>
      <c r="N483" t="s">
        <v>31</v>
      </c>
      <c r="O483" s="4" t="str">
        <f t="shared" si="60"/>
        <v>click</v>
      </c>
      <c r="P483" t="str">
        <f t="shared" si="61"/>
        <v>();</v>
      </c>
      <c r="Q483" t="str">
        <f t="shared" si="63"/>
        <v/>
      </c>
      <c r="R483" t="str">
        <f t="shared" si="53"/>
        <v/>
      </c>
      <c r="S483" s="1" t="str">
        <f t="shared" si="54"/>
        <v/>
      </c>
      <c r="T483"/>
      <c r="U483"/>
      <c r="V483"/>
      <c r="W483"/>
      <c r="X483"/>
      <c r="Y483"/>
      <c r="Z483">
        <v>474</v>
      </c>
      <c r="AA483"/>
      <c r="AB483"/>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3"/>
      <c r="BC483" s="3"/>
      <c r="CT483" s="2" t="e">
        <v>#N/A</v>
      </c>
      <c r="CU483" s="2" t="e">
        <v>#N/A</v>
      </c>
      <c r="CV483" s="2" t="e">
        <v>#N/A</v>
      </c>
      <c r="CW483" s="2" t="e">
        <v>#N/A</v>
      </c>
      <c r="CX483" s="2" t="e">
        <v>#N/A</v>
      </c>
      <c r="CY483" s="2" t="e">
        <v>#N/A</v>
      </c>
      <c r="CZ483" s="2" t="e">
        <v>#N/A</v>
      </c>
      <c r="DA483" s="2" t="e">
        <v>#N/A</v>
      </c>
      <c r="DB483" s="2" t="e">
        <v>#N/A</v>
      </c>
      <c r="DC483" s="2" t="e">
        <v>#N/A</v>
      </c>
      <c r="DD483" s="2" t="e">
        <v>#N/A</v>
      </c>
      <c r="DE483" s="2" t="e">
        <v>#N/A</v>
      </c>
      <c r="DF483" s="2" t="e">
        <v>#N/A</v>
      </c>
      <c r="DG483" s="2" t="e">
        <v>#N/A</v>
      </c>
      <c r="DH483" s="2" t="e">
        <v>#N/A</v>
      </c>
      <c r="DI483" s="2" t="e">
        <v>#N/A</v>
      </c>
    </row>
    <row r="484" spans="1:113" s="2" customFormat="1">
      <c r="A484"/>
      <c r="B484"/>
      <c r="C484" s="44"/>
      <c r="D484" s="44"/>
      <c r="E484" s="44"/>
      <c r="F484" s="44"/>
      <c r="G484" s="44"/>
      <c r="H484" s="44"/>
      <c r="I484" s="44"/>
      <c r="J484" s="44"/>
      <c r="K484" s="44"/>
      <c r="L484" s="44"/>
      <c r="M484" t="str">
        <f t="shared" si="52"/>
        <v>"//*[@class=\"</v>
      </c>
      <c r="N484" t="s">
        <v>31</v>
      </c>
      <c r="O484" s="4" t="str">
        <f t="shared" si="60"/>
        <v>click</v>
      </c>
      <c r="P484" t="str">
        <f t="shared" si="61"/>
        <v>();</v>
      </c>
      <c r="Q484" t="str">
        <f t="shared" si="63"/>
        <v/>
      </c>
      <c r="R484" t="str">
        <f t="shared" si="53"/>
        <v/>
      </c>
      <c r="S484" s="1" t="str">
        <f t="shared" si="54"/>
        <v/>
      </c>
      <c r="T484"/>
      <c r="U484"/>
      <c r="V484"/>
      <c r="W484"/>
      <c r="X484"/>
      <c r="Y484"/>
      <c r="Z484">
        <v>475</v>
      </c>
      <c r="AA484"/>
      <c r="AB48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3"/>
      <c r="BC484" s="3"/>
      <c r="CT484" s="2" t="e">
        <v>#N/A</v>
      </c>
      <c r="CU484" s="2" t="e">
        <v>#N/A</v>
      </c>
      <c r="CV484" s="2" t="e">
        <v>#N/A</v>
      </c>
      <c r="CW484" s="2" t="e">
        <v>#N/A</v>
      </c>
      <c r="CX484" s="2" t="e">
        <v>#N/A</v>
      </c>
      <c r="CY484" s="2" t="e">
        <v>#N/A</v>
      </c>
      <c r="CZ484" s="2" t="e">
        <v>#N/A</v>
      </c>
      <c r="DA484" s="2" t="e">
        <v>#N/A</v>
      </c>
      <c r="DB484" s="2" t="e">
        <v>#N/A</v>
      </c>
      <c r="DC484" s="2" t="e">
        <v>#N/A</v>
      </c>
      <c r="DD484" s="2" t="e">
        <v>#N/A</v>
      </c>
      <c r="DE484" s="2" t="e">
        <v>#N/A</v>
      </c>
      <c r="DF484" s="2" t="e">
        <v>#N/A</v>
      </c>
      <c r="DG484" s="2" t="e">
        <v>#N/A</v>
      </c>
      <c r="DH484" s="2" t="e">
        <v>#N/A</v>
      </c>
      <c r="DI484" s="2" t="e">
        <v>#N/A</v>
      </c>
    </row>
    <row r="485" spans="1:113" s="2" customFormat="1">
      <c r="A485"/>
      <c r="B485"/>
      <c r="C485" s="44"/>
      <c r="D485" s="44"/>
      <c r="E485" s="44"/>
      <c r="F485" s="44"/>
      <c r="G485" s="44"/>
      <c r="H485" s="44"/>
      <c r="I485" s="44"/>
      <c r="J485" s="44"/>
      <c r="K485" s="44"/>
      <c r="L485" s="44"/>
      <c r="M485" t="str">
        <f t="shared" si="52"/>
        <v>"//*[@class=\"</v>
      </c>
      <c r="N485" t="s">
        <v>31</v>
      </c>
      <c r="O485" s="4" t="str">
        <f t="shared" si="60"/>
        <v>click</v>
      </c>
      <c r="P485" t="str">
        <f t="shared" si="61"/>
        <v>();</v>
      </c>
      <c r="Q485" t="str">
        <f t="shared" si="63"/>
        <v/>
      </c>
      <c r="R485" t="str">
        <f t="shared" si="53"/>
        <v/>
      </c>
      <c r="S485" s="1" t="str">
        <f t="shared" si="54"/>
        <v/>
      </c>
      <c r="T485"/>
      <c r="U485"/>
      <c r="V485"/>
      <c r="W485"/>
      <c r="X485"/>
      <c r="Y485"/>
      <c r="Z485">
        <v>476</v>
      </c>
      <c r="AA485"/>
      <c r="AB485"/>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3"/>
      <c r="BC485" s="3"/>
      <c r="CT485" s="2" t="e">
        <v>#N/A</v>
      </c>
      <c r="CU485" s="2" t="e">
        <v>#N/A</v>
      </c>
      <c r="CV485" s="2" t="e">
        <v>#N/A</v>
      </c>
      <c r="CW485" s="2" t="e">
        <v>#N/A</v>
      </c>
      <c r="CX485" s="2" t="e">
        <v>#N/A</v>
      </c>
      <c r="CY485" s="2" t="e">
        <v>#N/A</v>
      </c>
      <c r="CZ485" s="2" t="e">
        <v>#N/A</v>
      </c>
      <c r="DA485" s="2" t="e">
        <v>#N/A</v>
      </c>
      <c r="DB485" s="2" t="e">
        <v>#N/A</v>
      </c>
      <c r="DC485" s="2" t="e">
        <v>#N/A</v>
      </c>
      <c r="DD485" s="2" t="e">
        <v>#N/A</v>
      </c>
      <c r="DE485" s="2" t="e">
        <v>#N/A</v>
      </c>
      <c r="DF485" s="2" t="e">
        <v>#N/A</v>
      </c>
      <c r="DG485" s="2" t="e">
        <v>#N/A</v>
      </c>
      <c r="DH485" s="2" t="e">
        <v>#N/A</v>
      </c>
      <c r="DI485" s="2" t="e">
        <v>#N/A</v>
      </c>
    </row>
    <row r="486" spans="1:113" s="2" customFormat="1">
      <c r="A486"/>
      <c r="B486"/>
      <c r="C486" s="44"/>
      <c r="D486" s="44"/>
      <c r="E486" s="44"/>
      <c r="F486" s="44"/>
      <c r="G486" s="44"/>
      <c r="H486" s="44"/>
      <c r="I486" s="44"/>
      <c r="J486" s="44"/>
      <c r="K486" s="44"/>
      <c r="L486" s="44"/>
      <c r="M486" t="str">
        <f t="shared" si="52"/>
        <v>"//*[@class=\"</v>
      </c>
      <c r="N486" t="s">
        <v>31</v>
      </c>
      <c r="O486" s="4" t="str">
        <f t="shared" si="60"/>
        <v>click</v>
      </c>
      <c r="P486" t="str">
        <f t="shared" si="61"/>
        <v>();</v>
      </c>
      <c r="Q486" t="str">
        <f t="shared" si="63"/>
        <v/>
      </c>
      <c r="R486" t="str">
        <f t="shared" si="53"/>
        <v/>
      </c>
      <c r="S486" s="1" t="str">
        <f t="shared" si="54"/>
        <v/>
      </c>
      <c r="T486"/>
      <c r="U486"/>
      <c r="V486"/>
      <c r="W486"/>
      <c r="X486"/>
      <c r="Y486"/>
      <c r="Z486">
        <v>477</v>
      </c>
      <c r="AA486"/>
      <c r="AB486"/>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3"/>
      <c r="BC486" s="3"/>
      <c r="CT486" s="2" t="e">
        <v>#N/A</v>
      </c>
      <c r="CU486" s="2" t="e">
        <v>#N/A</v>
      </c>
      <c r="CV486" s="2" t="e">
        <v>#N/A</v>
      </c>
      <c r="CW486" s="2" t="e">
        <v>#N/A</v>
      </c>
      <c r="CX486" s="2" t="e">
        <v>#N/A</v>
      </c>
      <c r="CY486" s="2" t="e">
        <v>#N/A</v>
      </c>
      <c r="CZ486" s="2" t="e">
        <v>#N/A</v>
      </c>
      <c r="DA486" s="2" t="e">
        <v>#N/A</v>
      </c>
      <c r="DB486" s="2" t="e">
        <v>#N/A</v>
      </c>
      <c r="DC486" s="2" t="e">
        <v>#N/A</v>
      </c>
      <c r="DD486" s="2" t="e">
        <v>#N/A</v>
      </c>
      <c r="DE486" s="2" t="e">
        <v>#N/A</v>
      </c>
      <c r="DF486" s="2" t="e">
        <v>#N/A</v>
      </c>
      <c r="DG486" s="2" t="e">
        <v>#N/A</v>
      </c>
      <c r="DH486" s="2" t="e">
        <v>#N/A</v>
      </c>
      <c r="DI486" s="2" t="e">
        <v>#N/A</v>
      </c>
    </row>
    <row r="487" spans="1:113" s="2" customFormat="1">
      <c r="A487"/>
      <c r="B487"/>
      <c r="C487" s="44"/>
      <c r="D487" s="44"/>
      <c r="E487" s="44"/>
      <c r="F487" s="44"/>
      <c r="G487" s="44"/>
      <c r="H487" s="44"/>
      <c r="I487" s="44"/>
      <c r="J487" s="44"/>
      <c r="K487" s="44"/>
      <c r="L487" s="44"/>
      <c r="M487" t="str">
        <f t="shared" si="52"/>
        <v>"//*[@class=\"</v>
      </c>
      <c r="N487" t="s">
        <v>31</v>
      </c>
      <c r="O487" s="4" t="str">
        <f t="shared" si="60"/>
        <v>click</v>
      </c>
      <c r="P487" t="str">
        <f t="shared" si="61"/>
        <v>();</v>
      </c>
      <c r="Q487" t="str">
        <f t="shared" si="63"/>
        <v/>
      </c>
      <c r="R487" t="str">
        <f t="shared" si="53"/>
        <v/>
      </c>
      <c r="S487" s="1" t="str">
        <f t="shared" si="54"/>
        <v/>
      </c>
      <c r="T487"/>
      <c r="U487"/>
      <c r="V487"/>
      <c r="W487"/>
      <c r="X487"/>
      <c r="Y487"/>
      <c r="Z487">
        <v>478</v>
      </c>
      <c r="AA487"/>
      <c r="AB487"/>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3"/>
      <c r="BC487" s="3"/>
      <c r="CT487" s="2" t="e">
        <v>#N/A</v>
      </c>
      <c r="CU487" s="2" t="e">
        <v>#N/A</v>
      </c>
      <c r="CV487" s="2" t="e">
        <v>#N/A</v>
      </c>
      <c r="CW487" s="2" t="e">
        <v>#N/A</v>
      </c>
      <c r="CX487" s="2" t="e">
        <v>#N/A</v>
      </c>
      <c r="CY487" s="2" t="e">
        <v>#N/A</v>
      </c>
      <c r="CZ487" s="2" t="e">
        <v>#N/A</v>
      </c>
      <c r="DA487" s="2" t="e">
        <v>#N/A</v>
      </c>
      <c r="DB487" s="2" t="e">
        <v>#N/A</v>
      </c>
      <c r="DC487" s="2" t="e">
        <v>#N/A</v>
      </c>
      <c r="DD487" s="2" t="e">
        <v>#N/A</v>
      </c>
      <c r="DE487" s="2" t="e">
        <v>#N/A</v>
      </c>
      <c r="DF487" s="2" t="e">
        <v>#N/A</v>
      </c>
      <c r="DG487" s="2" t="e">
        <v>#N/A</v>
      </c>
      <c r="DH487" s="2" t="e">
        <v>#N/A</v>
      </c>
      <c r="DI487" s="2" t="e">
        <v>#N/A</v>
      </c>
    </row>
    <row r="488" spans="1:113" s="2" customFormat="1">
      <c r="A488"/>
      <c r="B488"/>
      <c r="C488" s="44"/>
      <c r="D488" s="44"/>
      <c r="E488" s="44"/>
      <c r="F488" s="44"/>
      <c r="G488" s="44"/>
      <c r="H488" s="44"/>
      <c r="I488" s="44"/>
      <c r="J488" s="44"/>
      <c r="K488" s="44"/>
      <c r="L488" s="44"/>
      <c r="M488" t="str">
        <f t="shared" si="52"/>
        <v>"//*[@class=\"</v>
      </c>
      <c r="N488" t="s">
        <v>31</v>
      </c>
      <c r="O488" s="4" t="str">
        <f t="shared" si="60"/>
        <v>click</v>
      </c>
      <c r="P488" t="str">
        <f t="shared" si="61"/>
        <v>();</v>
      </c>
      <c r="Q488" t="str">
        <f t="shared" si="63"/>
        <v/>
      </c>
      <c r="R488" t="str">
        <f t="shared" si="53"/>
        <v/>
      </c>
      <c r="S488" s="1" t="str">
        <f t="shared" si="54"/>
        <v/>
      </c>
      <c r="T488"/>
      <c r="U488"/>
      <c r="V488"/>
      <c r="W488"/>
      <c r="X488"/>
      <c r="Y488"/>
      <c r="Z488">
        <v>479</v>
      </c>
      <c r="AA488"/>
      <c r="AB488"/>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3"/>
      <c r="BC488" s="3"/>
      <c r="CT488" s="2" t="e">
        <v>#N/A</v>
      </c>
      <c r="CU488" s="2" t="e">
        <v>#N/A</v>
      </c>
      <c r="CV488" s="2" t="e">
        <v>#N/A</v>
      </c>
      <c r="CW488" s="2" t="e">
        <v>#N/A</v>
      </c>
      <c r="CX488" s="2" t="e">
        <v>#N/A</v>
      </c>
      <c r="CY488" s="2" t="e">
        <v>#N/A</v>
      </c>
      <c r="CZ488" s="2" t="e">
        <v>#N/A</v>
      </c>
      <c r="DA488" s="2" t="e">
        <v>#N/A</v>
      </c>
      <c r="DB488" s="2" t="e">
        <v>#N/A</v>
      </c>
      <c r="DC488" s="2" t="e">
        <v>#N/A</v>
      </c>
      <c r="DD488" s="2" t="e">
        <v>#N/A</v>
      </c>
      <c r="DE488" s="2" t="e">
        <v>#N/A</v>
      </c>
      <c r="DF488" s="2" t="e">
        <v>#N/A</v>
      </c>
      <c r="DG488" s="2" t="e">
        <v>#N/A</v>
      </c>
      <c r="DH488" s="2" t="e">
        <v>#N/A</v>
      </c>
      <c r="DI488" s="2" t="e">
        <v>#N/A</v>
      </c>
    </row>
    <row r="489" spans="1:113" s="2" customFormat="1">
      <c r="A489"/>
      <c r="B489"/>
      <c r="C489" s="44"/>
      <c r="D489" s="44"/>
      <c r="E489" s="44"/>
      <c r="F489" s="44"/>
      <c r="G489" s="44"/>
      <c r="H489" s="44"/>
      <c r="I489" s="44"/>
      <c r="J489" s="44"/>
      <c r="K489" s="44"/>
      <c r="L489" s="44"/>
      <c r="M489" t="str">
        <f t="shared" si="52"/>
        <v>"//*[@class=\"</v>
      </c>
      <c r="N489" t="s">
        <v>31</v>
      </c>
      <c r="O489" s="4" t="str">
        <f t="shared" si="60"/>
        <v>click</v>
      </c>
      <c r="P489" t="str">
        <f t="shared" si="61"/>
        <v>();</v>
      </c>
      <c r="Q489" t="str">
        <f t="shared" si="63"/>
        <v/>
      </c>
      <c r="R489" t="str">
        <f t="shared" si="53"/>
        <v/>
      </c>
      <c r="S489" s="1" t="str">
        <f t="shared" si="54"/>
        <v/>
      </c>
      <c r="T489"/>
      <c r="U489"/>
      <c r="V489"/>
      <c r="W489"/>
      <c r="X489"/>
      <c r="Y489"/>
      <c r="Z489">
        <v>480</v>
      </c>
      <c r="AA489"/>
      <c r="AB489"/>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3"/>
      <c r="BC489" s="3"/>
      <c r="CT489" s="2" t="e">
        <v>#N/A</v>
      </c>
      <c r="CU489" s="2" t="e">
        <v>#N/A</v>
      </c>
      <c r="CV489" s="2" t="e">
        <v>#N/A</v>
      </c>
      <c r="CW489" s="2" t="e">
        <v>#N/A</v>
      </c>
      <c r="CX489" s="2" t="e">
        <v>#N/A</v>
      </c>
      <c r="CY489" s="2" t="e">
        <v>#N/A</v>
      </c>
      <c r="CZ489" s="2" t="e">
        <v>#N/A</v>
      </c>
      <c r="DA489" s="2" t="e">
        <v>#N/A</v>
      </c>
      <c r="DB489" s="2" t="e">
        <v>#N/A</v>
      </c>
      <c r="DC489" s="2" t="e">
        <v>#N/A</v>
      </c>
      <c r="DD489" s="2" t="e">
        <v>#N/A</v>
      </c>
      <c r="DE489" s="2" t="e">
        <v>#N/A</v>
      </c>
      <c r="DF489" s="2" t="e">
        <v>#N/A</v>
      </c>
      <c r="DG489" s="2" t="e">
        <v>#N/A</v>
      </c>
      <c r="DH489" s="2" t="e">
        <v>#N/A</v>
      </c>
      <c r="DI489" s="2" t="e">
        <v>#N/A</v>
      </c>
    </row>
    <row r="490" spans="1:113" s="2" customFormat="1">
      <c r="A490"/>
      <c r="B490"/>
      <c r="C490" s="44"/>
      <c r="D490" s="44"/>
      <c r="E490" s="44"/>
      <c r="F490" s="44"/>
      <c r="G490" s="44"/>
      <c r="H490" s="44"/>
      <c r="I490" s="44"/>
      <c r="J490" s="44"/>
      <c r="K490" s="44"/>
      <c r="L490" s="44"/>
      <c r="M490" t="str">
        <f t="shared" si="52"/>
        <v>"//*[@class=\"</v>
      </c>
      <c r="N490" t="s">
        <v>31</v>
      </c>
      <c r="O490" s="4" t="str">
        <f t="shared" si="60"/>
        <v>click</v>
      </c>
      <c r="P490" t="str">
        <f t="shared" si="61"/>
        <v>();</v>
      </c>
      <c r="Q490" t="str">
        <f t="shared" si="63"/>
        <v/>
      </c>
      <c r="R490" t="str">
        <f t="shared" si="53"/>
        <v/>
      </c>
      <c r="S490" s="1" t="str">
        <f t="shared" si="54"/>
        <v/>
      </c>
      <c r="T490"/>
      <c r="U490"/>
      <c r="V490"/>
      <c r="W490"/>
      <c r="X490"/>
      <c r="Y490"/>
      <c r="Z490">
        <v>481</v>
      </c>
      <c r="AA490"/>
      <c r="AB490"/>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3"/>
      <c r="BC490" s="3"/>
      <c r="CT490" s="2" t="e">
        <v>#N/A</v>
      </c>
      <c r="CU490" s="2" t="e">
        <v>#N/A</v>
      </c>
      <c r="CV490" s="2" t="e">
        <v>#N/A</v>
      </c>
      <c r="CW490" s="2" t="e">
        <v>#N/A</v>
      </c>
      <c r="CX490" s="2" t="e">
        <v>#N/A</v>
      </c>
      <c r="CY490" s="2" t="e">
        <v>#N/A</v>
      </c>
      <c r="CZ490" s="2" t="e">
        <v>#N/A</v>
      </c>
      <c r="DA490" s="2" t="e">
        <v>#N/A</v>
      </c>
      <c r="DB490" s="2" t="e">
        <v>#N/A</v>
      </c>
      <c r="DC490" s="2" t="e">
        <v>#N/A</v>
      </c>
      <c r="DD490" s="2" t="e">
        <v>#N/A</v>
      </c>
      <c r="DE490" s="2" t="e">
        <v>#N/A</v>
      </c>
      <c r="DF490" s="2" t="e">
        <v>#N/A</v>
      </c>
      <c r="DG490" s="2" t="e">
        <v>#N/A</v>
      </c>
      <c r="DH490" s="2" t="e">
        <v>#N/A</v>
      </c>
      <c r="DI490" s="2" t="e">
        <v>#N/A</v>
      </c>
    </row>
    <row r="491" spans="1:113" s="2" customFormat="1">
      <c r="A491"/>
      <c r="B491"/>
      <c r="C491" s="44"/>
      <c r="D491" s="44"/>
      <c r="E491" s="44"/>
      <c r="F491" s="44"/>
      <c r="G491" s="44"/>
      <c r="H491" s="44"/>
      <c r="I491" s="44"/>
      <c r="J491" s="44"/>
      <c r="K491" s="44"/>
      <c r="L491" s="44"/>
      <c r="M491" t="str">
        <f t="shared" si="52"/>
        <v>"//*[@class=\"</v>
      </c>
      <c r="N491" t="s">
        <v>31</v>
      </c>
      <c r="O491" s="4" t="str">
        <f t="shared" si="60"/>
        <v>click</v>
      </c>
      <c r="P491" t="str">
        <f t="shared" si="61"/>
        <v>();</v>
      </c>
      <c r="Q491" t="str">
        <f t="shared" si="63"/>
        <v/>
      </c>
      <c r="R491" t="str">
        <f t="shared" si="53"/>
        <v/>
      </c>
      <c r="S491" s="1" t="str">
        <f t="shared" si="54"/>
        <v/>
      </c>
      <c r="T491"/>
      <c r="U491"/>
      <c r="V491"/>
      <c r="W491"/>
      <c r="X491"/>
      <c r="Y491"/>
      <c r="Z491">
        <v>482</v>
      </c>
      <c r="AA491"/>
      <c r="AB491"/>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3"/>
      <c r="BC491" s="3"/>
      <c r="CT491" s="2" t="e">
        <v>#N/A</v>
      </c>
      <c r="CU491" s="2" t="e">
        <v>#N/A</v>
      </c>
      <c r="CV491" s="2" t="e">
        <v>#N/A</v>
      </c>
      <c r="CW491" s="2" t="e">
        <v>#N/A</v>
      </c>
      <c r="CX491" s="2" t="e">
        <v>#N/A</v>
      </c>
      <c r="CY491" s="2" t="e">
        <v>#N/A</v>
      </c>
      <c r="CZ491" s="2" t="e">
        <v>#N/A</v>
      </c>
      <c r="DA491" s="2" t="e">
        <v>#N/A</v>
      </c>
      <c r="DB491" s="2" t="e">
        <v>#N/A</v>
      </c>
      <c r="DC491" s="2" t="e">
        <v>#N/A</v>
      </c>
      <c r="DD491" s="2" t="e">
        <v>#N/A</v>
      </c>
      <c r="DE491" s="2" t="e">
        <v>#N/A</v>
      </c>
      <c r="DF491" s="2" t="e">
        <v>#N/A</v>
      </c>
      <c r="DG491" s="2" t="e">
        <v>#N/A</v>
      </c>
      <c r="DH491" s="2" t="e">
        <v>#N/A</v>
      </c>
      <c r="DI491" s="2" t="e">
        <v>#N/A</v>
      </c>
    </row>
    <row r="492" spans="1:113" s="2" customFormat="1">
      <c r="A492"/>
      <c r="B492"/>
      <c r="C492" s="44"/>
      <c r="D492" s="44"/>
      <c r="E492" s="44"/>
      <c r="F492" s="44"/>
      <c r="G492" s="44"/>
      <c r="H492" s="44"/>
      <c r="I492" s="44"/>
      <c r="J492" s="44"/>
      <c r="K492" s="44"/>
      <c r="L492" s="44"/>
      <c r="M492" t="str">
        <f t="shared" si="52"/>
        <v>"//*[@class=\"</v>
      </c>
      <c r="N492" t="s">
        <v>31</v>
      </c>
      <c r="O492" s="4" t="str">
        <f t="shared" si="60"/>
        <v>click</v>
      </c>
      <c r="P492" t="str">
        <f t="shared" si="61"/>
        <v>();</v>
      </c>
      <c r="Q492" t="str">
        <f t="shared" si="63"/>
        <v/>
      </c>
      <c r="R492" t="str">
        <f t="shared" si="53"/>
        <v/>
      </c>
      <c r="S492" s="1" t="str">
        <f t="shared" si="54"/>
        <v/>
      </c>
      <c r="T492"/>
      <c r="U492"/>
      <c r="V492"/>
      <c r="W492"/>
      <c r="X492"/>
      <c r="Y492"/>
      <c r="Z492">
        <v>483</v>
      </c>
      <c r="AA492"/>
      <c r="AB492"/>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3"/>
      <c r="BC492" s="3"/>
      <c r="CT492" s="2" t="e">
        <v>#N/A</v>
      </c>
      <c r="CU492" s="2" t="e">
        <v>#N/A</v>
      </c>
      <c r="CV492" s="2" t="e">
        <v>#N/A</v>
      </c>
      <c r="CW492" s="2" t="e">
        <v>#N/A</v>
      </c>
      <c r="CX492" s="2" t="e">
        <v>#N/A</v>
      </c>
      <c r="CY492" s="2" t="e">
        <v>#N/A</v>
      </c>
      <c r="CZ492" s="2" t="e">
        <v>#N/A</v>
      </c>
      <c r="DA492" s="2" t="e">
        <v>#N/A</v>
      </c>
      <c r="DB492" s="2" t="e">
        <v>#N/A</v>
      </c>
      <c r="DC492" s="2" t="e">
        <v>#N/A</v>
      </c>
      <c r="DD492" s="2" t="e">
        <v>#N/A</v>
      </c>
      <c r="DE492" s="2" t="e">
        <v>#N/A</v>
      </c>
      <c r="DF492" s="2" t="e">
        <v>#N/A</v>
      </c>
      <c r="DG492" s="2" t="e">
        <v>#N/A</v>
      </c>
      <c r="DH492" s="2" t="e">
        <v>#N/A</v>
      </c>
      <c r="DI492" s="2" t="e">
        <v>#N/A</v>
      </c>
    </row>
    <row r="493" spans="1:113" s="2" customFormat="1">
      <c r="A493"/>
      <c r="B493"/>
      <c r="C493" s="44"/>
      <c r="D493" s="44"/>
      <c r="E493" s="44"/>
      <c r="F493" s="44"/>
      <c r="G493" s="44"/>
      <c r="H493" s="44"/>
      <c r="I493" s="44"/>
      <c r="J493" s="44"/>
      <c r="K493" s="44"/>
      <c r="L493" s="44"/>
      <c r="M493" t="str">
        <f t="shared" si="52"/>
        <v>"//*[@class=\"</v>
      </c>
      <c r="N493" t="s">
        <v>31</v>
      </c>
      <c r="O493" s="4" t="str">
        <f t="shared" si="60"/>
        <v>click</v>
      </c>
      <c r="P493" t="str">
        <f t="shared" si="61"/>
        <v>();</v>
      </c>
      <c r="Q493" t="str">
        <f t="shared" si="63"/>
        <v/>
      </c>
      <c r="R493" t="str">
        <f t="shared" si="53"/>
        <v/>
      </c>
      <c r="S493" s="1" t="str">
        <f t="shared" si="54"/>
        <v/>
      </c>
      <c r="T493"/>
      <c r="U493"/>
      <c r="V493"/>
      <c r="W493"/>
      <c r="X493"/>
      <c r="Y493"/>
      <c r="Z493">
        <v>484</v>
      </c>
      <c r="AA493"/>
      <c r="AB493"/>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3"/>
      <c r="BC493" s="3"/>
      <c r="CT493" s="2" t="e">
        <v>#N/A</v>
      </c>
      <c r="CU493" s="2" t="e">
        <v>#N/A</v>
      </c>
      <c r="CV493" s="2" t="e">
        <v>#N/A</v>
      </c>
      <c r="CW493" s="2" t="e">
        <v>#N/A</v>
      </c>
      <c r="CX493" s="2" t="e">
        <v>#N/A</v>
      </c>
      <c r="CY493" s="2" t="e">
        <v>#N/A</v>
      </c>
      <c r="CZ493" s="2" t="e">
        <v>#N/A</v>
      </c>
      <c r="DA493" s="2" t="e">
        <v>#N/A</v>
      </c>
      <c r="DB493" s="2" t="e">
        <v>#N/A</v>
      </c>
      <c r="DC493" s="2" t="e">
        <v>#N/A</v>
      </c>
      <c r="DD493" s="2" t="e">
        <v>#N/A</v>
      </c>
      <c r="DE493" s="2" t="e">
        <v>#N/A</v>
      </c>
      <c r="DF493" s="2" t="e">
        <v>#N/A</v>
      </c>
      <c r="DG493" s="2" t="e">
        <v>#N/A</v>
      </c>
      <c r="DH493" s="2" t="e">
        <v>#N/A</v>
      </c>
      <c r="DI493" s="2" t="e">
        <v>#N/A</v>
      </c>
    </row>
    <row r="494" spans="1:113" s="2" customFormat="1">
      <c r="A494"/>
      <c r="B494"/>
      <c r="C494" s="44"/>
      <c r="D494" s="44"/>
      <c r="E494" s="44"/>
      <c r="F494" s="44"/>
      <c r="G494" s="44"/>
      <c r="H494" s="44"/>
      <c r="I494" s="44"/>
      <c r="J494" s="44"/>
      <c r="K494" s="44"/>
      <c r="L494" s="44"/>
      <c r="M494" t="str">
        <f t="shared" si="52"/>
        <v>"//*[@class=\"</v>
      </c>
      <c r="N494" t="s">
        <v>31</v>
      </c>
      <c r="O494" s="4" t="str">
        <f t="shared" si="60"/>
        <v>click</v>
      </c>
      <c r="P494" t="str">
        <f t="shared" si="61"/>
        <v>();</v>
      </c>
      <c r="Q494" t="str">
        <f t="shared" si="63"/>
        <v/>
      </c>
      <c r="R494" t="str">
        <f t="shared" si="53"/>
        <v/>
      </c>
      <c r="S494" s="1" t="str">
        <f t="shared" si="54"/>
        <v/>
      </c>
      <c r="T494"/>
      <c r="U494"/>
      <c r="V494"/>
      <c r="W494"/>
      <c r="X494"/>
      <c r="Y494"/>
      <c r="Z494">
        <v>485</v>
      </c>
      <c r="AA494"/>
      <c r="AB49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3"/>
      <c r="BC494" s="3"/>
      <c r="CT494" s="2" t="e">
        <v>#N/A</v>
      </c>
      <c r="CU494" s="2" t="e">
        <v>#N/A</v>
      </c>
      <c r="CV494" s="2" t="e">
        <v>#N/A</v>
      </c>
      <c r="CW494" s="2" t="e">
        <v>#N/A</v>
      </c>
      <c r="CX494" s="2" t="e">
        <v>#N/A</v>
      </c>
      <c r="CY494" s="2" t="e">
        <v>#N/A</v>
      </c>
      <c r="CZ494" s="2" t="e">
        <v>#N/A</v>
      </c>
      <c r="DA494" s="2" t="e">
        <v>#N/A</v>
      </c>
      <c r="DB494" s="2" t="e">
        <v>#N/A</v>
      </c>
      <c r="DC494" s="2" t="e">
        <v>#N/A</v>
      </c>
      <c r="DD494" s="2" t="e">
        <v>#N/A</v>
      </c>
      <c r="DE494" s="2" t="e">
        <v>#N/A</v>
      </c>
      <c r="DF494" s="2" t="e">
        <v>#N/A</v>
      </c>
      <c r="DG494" s="2" t="e">
        <v>#N/A</v>
      </c>
      <c r="DH494" s="2" t="e">
        <v>#N/A</v>
      </c>
      <c r="DI494" s="2" t="e">
        <v>#N/A</v>
      </c>
    </row>
    <row r="495" spans="1:113" s="2" customFormat="1">
      <c r="A495"/>
      <c r="B495"/>
      <c r="C495" s="44"/>
      <c r="D495" s="44"/>
      <c r="E495" s="44"/>
      <c r="F495" s="44"/>
      <c r="G495" s="44"/>
      <c r="H495" s="44"/>
      <c r="I495" s="44"/>
      <c r="J495" s="44"/>
      <c r="K495" s="44"/>
      <c r="L495" s="44"/>
      <c r="M495" t="str">
        <f t="shared" si="52"/>
        <v>"//*[@class=\"</v>
      </c>
      <c r="N495" t="s">
        <v>31</v>
      </c>
      <c r="O495" s="4" t="str">
        <f t="shared" si="60"/>
        <v>click</v>
      </c>
      <c r="P495" t="str">
        <f t="shared" si="61"/>
        <v>();</v>
      </c>
      <c r="Q495" t="str">
        <f t="shared" si="63"/>
        <v/>
      </c>
      <c r="R495" t="str">
        <f t="shared" si="53"/>
        <v/>
      </c>
      <c r="S495" s="1" t="str">
        <f t="shared" si="54"/>
        <v/>
      </c>
      <c r="T495"/>
      <c r="U495"/>
      <c r="V495"/>
      <c r="W495"/>
      <c r="X495"/>
      <c r="Y495"/>
      <c r="Z495">
        <v>486</v>
      </c>
      <c r="AA495"/>
      <c r="AB495"/>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3"/>
      <c r="BC495" s="3"/>
      <c r="CT495" s="2" t="e">
        <v>#N/A</v>
      </c>
      <c r="CU495" s="2" t="e">
        <v>#N/A</v>
      </c>
      <c r="CV495" s="2" t="e">
        <v>#N/A</v>
      </c>
      <c r="CW495" s="2" t="e">
        <v>#N/A</v>
      </c>
      <c r="CX495" s="2" t="e">
        <v>#N/A</v>
      </c>
      <c r="CY495" s="2" t="e">
        <v>#N/A</v>
      </c>
      <c r="CZ495" s="2" t="e">
        <v>#N/A</v>
      </c>
      <c r="DA495" s="2" t="e">
        <v>#N/A</v>
      </c>
      <c r="DB495" s="2" t="e">
        <v>#N/A</v>
      </c>
      <c r="DC495" s="2" t="e">
        <v>#N/A</v>
      </c>
      <c r="DD495" s="2" t="e">
        <v>#N/A</v>
      </c>
      <c r="DE495" s="2" t="e">
        <v>#N/A</v>
      </c>
      <c r="DF495" s="2" t="e">
        <v>#N/A</v>
      </c>
      <c r="DG495" s="2" t="e">
        <v>#N/A</v>
      </c>
      <c r="DH495" s="2" t="e">
        <v>#N/A</v>
      </c>
      <c r="DI495" s="2" t="e">
        <v>#N/A</v>
      </c>
    </row>
    <row r="496" spans="1:113" s="2" customFormat="1">
      <c r="A496"/>
      <c r="B496"/>
      <c r="C496" s="44"/>
      <c r="D496" s="44"/>
      <c r="E496" s="44"/>
      <c r="F496" s="44"/>
      <c r="G496" s="44"/>
      <c r="H496" s="44"/>
      <c r="I496" s="44"/>
      <c r="J496" s="44"/>
      <c r="K496" s="44"/>
      <c r="L496" s="44"/>
      <c r="M496" t="str">
        <f t="shared" si="52"/>
        <v>"//*[@class=\"</v>
      </c>
      <c r="N496" t="s">
        <v>31</v>
      </c>
      <c r="O496" s="4" t="str">
        <f t="shared" si="60"/>
        <v>click</v>
      </c>
      <c r="P496" t="str">
        <f t="shared" si="61"/>
        <v>();</v>
      </c>
      <c r="Q496" t="str">
        <f t="shared" si="63"/>
        <v/>
      </c>
      <c r="R496" t="str">
        <f t="shared" si="53"/>
        <v/>
      </c>
      <c r="S496" s="1" t="str">
        <f t="shared" si="54"/>
        <v/>
      </c>
      <c r="T496"/>
      <c r="U496"/>
      <c r="V496"/>
      <c r="W496"/>
      <c r="X496"/>
      <c r="Y496"/>
      <c r="Z496">
        <v>487</v>
      </c>
      <c r="AA496"/>
      <c r="AB496"/>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3"/>
      <c r="BC496" s="3"/>
      <c r="CT496" s="2" t="e">
        <v>#N/A</v>
      </c>
      <c r="CU496" s="2" t="e">
        <v>#N/A</v>
      </c>
      <c r="CV496" s="2" t="e">
        <v>#N/A</v>
      </c>
      <c r="CW496" s="2" t="e">
        <v>#N/A</v>
      </c>
      <c r="CX496" s="2" t="e">
        <v>#N/A</v>
      </c>
      <c r="CY496" s="2" t="e">
        <v>#N/A</v>
      </c>
      <c r="CZ496" s="2" t="e">
        <v>#N/A</v>
      </c>
      <c r="DA496" s="2" t="e">
        <v>#N/A</v>
      </c>
      <c r="DB496" s="2" t="e">
        <v>#N/A</v>
      </c>
      <c r="DC496" s="2" t="e">
        <v>#N/A</v>
      </c>
      <c r="DD496" s="2" t="e">
        <v>#N/A</v>
      </c>
      <c r="DE496" s="2" t="e">
        <v>#N/A</v>
      </c>
      <c r="DF496" s="2" t="e">
        <v>#N/A</v>
      </c>
      <c r="DG496" s="2" t="e">
        <v>#N/A</v>
      </c>
      <c r="DH496" s="2" t="e">
        <v>#N/A</v>
      </c>
      <c r="DI496" s="2" t="e">
        <v>#N/A</v>
      </c>
    </row>
    <row r="497" spans="1:113" s="2" customFormat="1">
      <c r="A497"/>
      <c r="B497"/>
      <c r="C497" s="44"/>
      <c r="D497" s="44"/>
      <c r="E497" s="44"/>
      <c r="F497" s="44"/>
      <c r="G497" s="44"/>
      <c r="H497" s="44"/>
      <c r="I497" s="44"/>
      <c r="J497" s="44"/>
      <c r="K497" s="44"/>
      <c r="L497" s="44"/>
      <c r="M497" t="str">
        <f t="shared" si="52"/>
        <v>"//*[@class=\"</v>
      </c>
      <c r="N497" t="s">
        <v>31</v>
      </c>
      <c r="O497" s="4" t="str">
        <f t="shared" si="60"/>
        <v>click</v>
      </c>
      <c r="P497" t="str">
        <f t="shared" si="61"/>
        <v>();</v>
      </c>
      <c r="Q497" t="str">
        <f t="shared" si="63"/>
        <v/>
      </c>
      <c r="R497" t="str">
        <f t="shared" si="53"/>
        <v/>
      </c>
      <c r="S497" s="1" t="str">
        <f t="shared" si="54"/>
        <v/>
      </c>
      <c r="T497"/>
      <c r="U497"/>
      <c r="V497"/>
      <c r="W497"/>
      <c r="X497"/>
      <c r="Y497"/>
      <c r="Z497">
        <v>488</v>
      </c>
      <c r="AA497"/>
      <c r="AB497"/>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3"/>
      <c r="BC497" s="3"/>
      <c r="CT497" s="2" t="e">
        <v>#N/A</v>
      </c>
      <c r="CU497" s="2" t="e">
        <v>#N/A</v>
      </c>
      <c r="CV497" s="2" t="e">
        <v>#N/A</v>
      </c>
      <c r="CW497" s="2" t="e">
        <v>#N/A</v>
      </c>
      <c r="CX497" s="2" t="e">
        <v>#N/A</v>
      </c>
      <c r="CY497" s="2" t="e">
        <v>#N/A</v>
      </c>
      <c r="CZ497" s="2" t="e">
        <v>#N/A</v>
      </c>
      <c r="DA497" s="2" t="e">
        <v>#N/A</v>
      </c>
      <c r="DB497" s="2" t="e">
        <v>#N/A</v>
      </c>
      <c r="DC497" s="2" t="e">
        <v>#N/A</v>
      </c>
      <c r="DD497" s="2" t="e">
        <v>#N/A</v>
      </c>
      <c r="DE497" s="2" t="e">
        <v>#N/A</v>
      </c>
      <c r="DF497" s="2" t="e">
        <v>#N/A</v>
      </c>
      <c r="DG497" s="2" t="e">
        <v>#N/A</v>
      </c>
      <c r="DH497" s="2" t="e">
        <v>#N/A</v>
      </c>
      <c r="DI497" s="2" t="e">
        <v>#N/A</v>
      </c>
    </row>
    <row r="498" spans="1:113" s="2" customFormat="1">
      <c r="A498"/>
      <c r="B498"/>
      <c r="C498" s="44"/>
      <c r="D498" s="44"/>
      <c r="E498" s="44"/>
      <c r="F498" s="44"/>
      <c r="G498" s="44"/>
      <c r="H498" s="44"/>
      <c r="I498" s="44"/>
      <c r="J498" s="44"/>
      <c r="K498" s="44"/>
      <c r="L498" s="44"/>
      <c r="M498" t="str">
        <f t="shared" si="52"/>
        <v>"//*[@class=\"</v>
      </c>
      <c r="N498" t="s">
        <v>31</v>
      </c>
      <c r="O498" s="4" t="str">
        <f t="shared" si="60"/>
        <v>click</v>
      </c>
      <c r="P498" t="str">
        <f t="shared" si="61"/>
        <v>();</v>
      </c>
      <c r="Q498" t="str">
        <f t="shared" si="63"/>
        <v/>
      </c>
      <c r="R498" t="str">
        <f t="shared" si="53"/>
        <v/>
      </c>
      <c r="S498" s="1" t="str">
        <f t="shared" si="54"/>
        <v/>
      </c>
      <c r="T498"/>
      <c r="U498"/>
      <c r="V498"/>
      <c r="W498"/>
      <c r="X498"/>
      <c r="Y498"/>
      <c r="Z498">
        <v>489</v>
      </c>
      <c r="AA498"/>
      <c r="AB498"/>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3"/>
      <c r="BC498" s="3"/>
      <c r="CT498" s="2" t="e">
        <v>#N/A</v>
      </c>
      <c r="CU498" s="2" t="e">
        <v>#N/A</v>
      </c>
      <c r="CV498" s="2" t="e">
        <v>#N/A</v>
      </c>
      <c r="CW498" s="2" t="e">
        <v>#N/A</v>
      </c>
      <c r="CX498" s="2" t="e">
        <v>#N/A</v>
      </c>
      <c r="CY498" s="2" t="e">
        <v>#N/A</v>
      </c>
      <c r="CZ498" s="2" t="e">
        <v>#N/A</v>
      </c>
      <c r="DA498" s="2" t="e">
        <v>#N/A</v>
      </c>
      <c r="DB498" s="2" t="e">
        <v>#N/A</v>
      </c>
      <c r="DC498" s="2" t="e">
        <v>#N/A</v>
      </c>
      <c r="DD498" s="2" t="e">
        <v>#N/A</v>
      </c>
      <c r="DE498" s="2" t="e">
        <v>#N/A</v>
      </c>
      <c r="DF498" s="2" t="e">
        <v>#N/A</v>
      </c>
      <c r="DG498" s="2" t="e">
        <v>#N/A</v>
      </c>
      <c r="DH498" s="2" t="e">
        <v>#N/A</v>
      </c>
      <c r="DI498" s="2" t="e">
        <v>#N/A</v>
      </c>
    </row>
    <row r="499" spans="1:113" s="2" customFormat="1">
      <c r="A499"/>
      <c r="B499"/>
      <c r="C499" s="44"/>
      <c r="D499" s="44"/>
      <c r="E499" s="44"/>
      <c r="F499" s="44"/>
      <c r="G499" s="44"/>
      <c r="H499" s="44"/>
      <c r="I499" s="44"/>
      <c r="J499" s="44"/>
      <c r="K499" s="44"/>
      <c r="L499" s="44"/>
      <c r="M499" t="str">
        <f t="shared" si="52"/>
        <v>"//*[@class=\"</v>
      </c>
      <c r="N499" t="s">
        <v>31</v>
      </c>
      <c r="O499" s="4" t="str">
        <f t="shared" si="60"/>
        <v>click</v>
      </c>
      <c r="P499" t="str">
        <f t="shared" si="61"/>
        <v>();</v>
      </c>
      <c r="Q499" t="str">
        <f t="shared" si="63"/>
        <v/>
      </c>
      <c r="R499" t="str">
        <f t="shared" si="53"/>
        <v/>
      </c>
      <c r="S499" s="1" t="str">
        <f t="shared" si="54"/>
        <v/>
      </c>
      <c r="T499"/>
      <c r="U499"/>
      <c r="V499"/>
      <c r="W499"/>
      <c r="X499"/>
      <c r="Y499"/>
      <c r="Z499">
        <v>490</v>
      </c>
      <c r="AA499"/>
      <c r="AB499"/>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3"/>
      <c r="BC499" s="3"/>
      <c r="CT499" s="2" t="e">
        <v>#N/A</v>
      </c>
      <c r="CU499" s="2" t="e">
        <v>#N/A</v>
      </c>
      <c r="CV499" s="2" t="e">
        <v>#N/A</v>
      </c>
      <c r="CW499" s="2" t="e">
        <v>#N/A</v>
      </c>
      <c r="CX499" s="2" t="e">
        <v>#N/A</v>
      </c>
      <c r="CY499" s="2" t="e">
        <v>#N/A</v>
      </c>
      <c r="CZ499" s="2" t="e">
        <v>#N/A</v>
      </c>
      <c r="DA499" s="2" t="e">
        <v>#N/A</v>
      </c>
      <c r="DB499" s="2" t="e">
        <v>#N/A</v>
      </c>
      <c r="DC499" s="2" t="e">
        <v>#N/A</v>
      </c>
      <c r="DD499" s="2" t="e">
        <v>#N/A</v>
      </c>
      <c r="DE499" s="2" t="e">
        <v>#N/A</v>
      </c>
      <c r="DF499" s="2" t="e">
        <v>#N/A</v>
      </c>
      <c r="DG499" s="2" t="e">
        <v>#N/A</v>
      </c>
      <c r="DH499" s="2" t="e">
        <v>#N/A</v>
      </c>
      <c r="DI499" s="2" t="e">
        <v>#N/A</v>
      </c>
    </row>
    <row r="500" spans="1:113" s="2" customFormat="1">
      <c r="A500"/>
      <c r="B500"/>
      <c r="C500" s="44"/>
      <c r="D500" s="44"/>
      <c r="E500" s="44"/>
      <c r="F500" s="44"/>
      <c r="G500" s="44"/>
      <c r="H500" s="44"/>
      <c r="I500" s="44"/>
      <c r="J500" s="44"/>
      <c r="K500" s="44"/>
      <c r="L500" s="44"/>
      <c r="M500" t="str">
        <f t="shared" si="52"/>
        <v>"//*[@class=\"</v>
      </c>
      <c r="N500" t="s">
        <v>31</v>
      </c>
      <c r="O500" s="4" t="str">
        <f t="shared" si="60"/>
        <v>click</v>
      </c>
      <c r="P500" t="str">
        <f t="shared" si="61"/>
        <v>();</v>
      </c>
      <c r="Q500" t="str">
        <f t="shared" si="63"/>
        <v/>
      </c>
      <c r="R500" t="str">
        <f t="shared" si="53"/>
        <v/>
      </c>
      <c r="S500" s="1" t="str">
        <f t="shared" si="54"/>
        <v/>
      </c>
      <c r="T500"/>
      <c r="U500"/>
      <c r="V500"/>
      <c r="W500"/>
      <c r="X500"/>
      <c r="Y500"/>
      <c r="Z500">
        <v>491</v>
      </c>
      <c r="AA500"/>
      <c r="AB500"/>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3"/>
      <c r="BC500" s="3"/>
      <c r="CT500" s="2" t="e">
        <v>#N/A</v>
      </c>
      <c r="CU500" s="2" t="e">
        <v>#N/A</v>
      </c>
      <c r="CV500" s="2" t="e">
        <v>#N/A</v>
      </c>
      <c r="CW500" s="2" t="e">
        <v>#N/A</v>
      </c>
      <c r="CX500" s="2" t="e">
        <v>#N/A</v>
      </c>
      <c r="CY500" s="2" t="e">
        <v>#N/A</v>
      </c>
      <c r="CZ500" s="2" t="e">
        <v>#N/A</v>
      </c>
      <c r="DA500" s="2" t="e">
        <v>#N/A</v>
      </c>
      <c r="DB500" s="2" t="e">
        <v>#N/A</v>
      </c>
      <c r="DC500" s="2" t="e">
        <v>#N/A</v>
      </c>
      <c r="DD500" s="2" t="e">
        <v>#N/A</v>
      </c>
      <c r="DE500" s="2" t="e">
        <v>#N/A</v>
      </c>
      <c r="DF500" s="2" t="e">
        <v>#N/A</v>
      </c>
      <c r="DG500" s="2" t="e">
        <v>#N/A</v>
      </c>
      <c r="DH500" s="2" t="e">
        <v>#N/A</v>
      </c>
      <c r="DI500" s="2" t="e">
        <v>#N/A</v>
      </c>
    </row>
    <row r="501" spans="1:113" s="2" customFormat="1">
      <c r="A501"/>
      <c r="B501"/>
      <c r="C501" s="44"/>
      <c r="D501" s="44"/>
      <c r="E501" s="44"/>
      <c r="F501" s="44"/>
      <c r="G501" s="44"/>
      <c r="H501" s="44"/>
      <c r="I501" s="44"/>
      <c r="J501" s="44"/>
      <c r="K501" s="44"/>
      <c r="L501" s="44"/>
      <c r="M501" t="str">
        <f t="shared" si="52"/>
        <v>"//*[@class=\"</v>
      </c>
      <c r="N501" t="s">
        <v>31</v>
      </c>
      <c r="O501" s="4" t="str">
        <f t="shared" si="60"/>
        <v>click</v>
      </c>
      <c r="P501" t="str">
        <f t="shared" si="61"/>
        <v>();</v>
      </c>
      <c r="Q501" t="str">
        <f t="shared" si="63"/>
        <v/>
      </c>
      <c r="R501" t="str">
        <f t="shared" si="53"/>
        <v/>
      </c>
      <c r="S501" s="1" t="str">
        <f t="shared" si="54"/>
        <v/>
      </c>
      <c r="T501"/>
      <c r="U501"/>
      <c r="V501"/>
      <c r="W501"/>
      <c r="X501"/>
      <c r="Y501"/>
      <c r="Z501">
        <v>492</v>
      </c>
      <c r="AA501"/>
      <c r="AB501"/>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3"/>
      <c r="BC501" s="3"/>
      <c r="CT501" s="2" t="e">
        <v>#N/A</v>
      </c>
      <c r="CU501" s="2" t="e">
        <v>#N/A</v>
      </c>
      <c r="CV501" s="2" t="e">
        <v>#N/A</v>
      </c>
      <c r="CW501" s="2" t="e">
        <v>#N/A</v>
      </c>
      <c r="CX501" s="2" t="e">
        <v>#N/A</v>
      </c>
      <c r="CY501" s="2" t="e">
        <v>#N/A</v>
      </c>
      <c r="CZ501" s="2" t="e">
        <v>#N/A</v>
      </c>
      <c r="DA501" s="2" t="e">
        <v>#N/A</v>
      </c>
      <c r="DB501" s="2" t="e">
        <v>#N/A</v>
      </c>
      <c r="DC501" s="2" t="e">
        <v>#N/A</v>
      </c>
      <c r="DD501" s="2" t="e">
        <v>#N/A</v>
      </c>
      <c r="DE501" s="2" t="e">
        <v>#N/A</v>
      </c>
      <c r="DF501" s="2" t="e">
        <v>#N/A</v>
      </c>
      <c r="DG501" s="2" t="e">
        <v>#N/A</v>
      </c>
      <c r="DH501" s="2" t="e">
        <v>#N/A</v>
      </c>
      <c r="DI501" s="2" t="e">
        <v>#N/A</v>
      </c>
    </row>
    <row r="502" spans="1:113" s="2" customFormat="1">
      <c r="A502"/>
      <c r="B502"/>
      <c r="C502" s="44"/>
      <c r="D502" s="44"/>
      <c r="E502" s="44"/>
      <c r="F502" s="44"/>
      <c r="G502" s="44"/>
      <c r="H502" s="44"/>
      <c r="I502" s="44"/>
      <c r="J502" s="44"/>
      <c r="K502" s="44"/>
      <c r="L502" s="44"/>
      <c r="M502" t="str">
        <f t="shared" si="52"/>
        <v>"//*[@class=\"</v>
      </c>
      <c r="N502" t="s">
        <v>31</v>
      </c>
      <c r="O502" s="4" t="str">
        <f t="shared" si="60"/>
        <v>click</v>
      </c>
      <c r="P502" t="str">
        <f t="shared" si="61"/>
        <v>();</v>
      </c>
      <c r="Q502" t="str">
        <f t="shared" si="63"/>
        <v/>
      </c>
      <c r="R502" t="str">
        <f t="shared" si="53"/>
        <v/>
      </c>
      <c r="S502" s="1" t="str">
        <f t="shared" si="54"/>
        <v/>
      </c>
      <c r="T502"/>
      <c r="U502"/>
      <c r="V502"/>
      <c r="W502"/>
      <c r="X502"/>
      <c r="Y502"/>
      <c r="Z502">
        <v>493</v>
      </c>
      <c r="AA502"/>
      <c r="AB502"/>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3"/>
      <c r="BC502" s="3"/>
      <c r="CT502" s="2" t="e">
        <v>#N/A</v>
      </c>
      <c r="CU502" s="2" t="e">
        <v>#N/A</v>
      </c>
      <c r="CV502" s="2" t="e">
        <v>#N/A</v>
      </c>
      <c r="CW502" s="2" t="e">
        <v>#N/A</v>
      </c>
      <c r="CX502" s="2" t="e">
        <v>#N/A</v>
      </c>
      <c r="CY502" s="2" t="e">
        <v>#N/A</v>
      </c>
      <c r="CZ502" s="2" t="e">
        <v>#N/A</v>
      </c>
      <c r="DA502" s="2" t="e">
        <v>#N/A</v>
      </c>
      <c r="DB502" s="2" t="e">
        <v>#N/A</v>
      </c>
      <c r="DC502" s="2" t="e">
        <v>#N/A</v>
      </c>
      <c r="DD502" s="2" t="e">
        <v>#N/A</v>
      </c>
      <c r="DE502" s="2" t="e">
        <v>#N/A</v>
      </c>
      <c r="DF502" s="2" t="e">
        <v>#N/A</v>
      </c>
      <c r="DG502" s="2" t="e">
        <v>#N/A</v>
      </c>
      <c r="DH502" s="2" t="e">
        <v>#N/A</v>
      </c>
      <c r="DI502" s="2" t="e">
        <v>#N/A</v>
      </c>
    </row>
    <row r="503" spans="1:113" s="2" customFormat="1">
      <c r="A503"/>
      <c r="B503"/>
      <c r="C503" s="44"/>
      <c r="D503" s="44"/>
      <c r="E503" s="44"/>
      <c r="F503" s="44"/>
      <c r="G503" s="44"/>
      <c r="H503" s="44"/>
      <c r="I503" s="44"/>
      <c r="J503" s="44"/>
      <c r="K503" s="44"/>
      <c r="L503" s="44"/>
      <c r="M503" t="str">
        <f t="shared" si="52"/>
        <v>"//*[@class=\"</v>
      </c>
      <c r="N503" t="s">
        <v>31</v>
      </c>
      <c r="O503" s="4" t="str">
        <f t="shared" si="60"/>
        <v>click</v>
      </c>
      <c r="P503" t="str">
        <f t="shared" si="61"/>
        <v>();</v>
      </c>
      <c r="Q503" t="str">
        <f t="shared" si="63"/>
        <v/>
      </c>
      <c r="R503" t="str">
        <f t="shared" si="53"/>
        <v/>
      </c>
      <c r="S503" s="1" t="str">
        <f t="shared" si="54"/>
        <v/>
      </c>
      <c r="T503"/>
      <c r="U503"/>
      <c r="V503"/>
      <c r="W503"/>
      <c r="X503"/>
      <c r="Y503"/>
      <c r="Z503">
        <v>494</v>
      </c>
      <c r="AA503"/>
      <c r="AB503"/>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3"/>
      <c r="BC503" s="3"/>
      <c r="CT503" s="2" t="e">
        <v>#N/A</v>
      </c>
      <c r="CU503" s="2" t="e">
        <v>#N/A</v>
      </c>
      <c r="CV503" s="2" t="e">
        <v>#N/A</v>
      </c>
      <c r="CW503" s="2" t="e">
        <v>#N/A</v>
      </c>
      <c r="CX503" s="2" t="e">
        <v>#N/A</v>
      </c>
      <c r="CY503" s="2" t="e">
        <v>#N/A</v>
      </c>
      <c r="CZ503" s="2" t="e">
        <v>#N/A</v>
      </c>
      <c r="DA503" s="2" t="e">
        <v>#N/A</v>
      </c>
      <c r="DB503" s="2" t="e">
        <v>#N/A</v>
      </c>
      <c r="DC503" s="2" t="e">
        <v>#N/A</v>
      </c>
      <c r="DD503" s="2" t="e">
        <v>#N/A</v>
      </c>
      <c r="DE503" s="2" t="e">
        <v>#N/A</v>
      </c>
      <c r="DF503" s="2" t="e">
        <v>#N/A</v>
      </c>
      <c r="DG503" s="2" t="e">
        <v>#N/A</v>
      </c>
      <c r="DH503" s="2" t="e">
        <v>#N/A</v>
      </c>
      <c r="DI503" s="2" t="e">
        <v>#N/A</v>
      </c>
    </row>
    <row r="504" spans="1:113" s="2" customFormat="1">
      <c r="A504"/>
      <c r="B504"/>
      <c r="C504" s="44"/>
      <c r="D504" s="44"/>
      <c r="E504" s="44"/>
      <c r="F504" s="44"/>
      <c r="G504" s="44"/>
      <c r="H504" s="44"/>
      <c r="I504" s="44"/>
      <c r="J504" s="44"/>
      <c r="K504" s="44"/>
      <c r="L504" s="44"/>
      <c r="M504" t="str">
        <f t="shared" si="52"/>
        <v>"//*[@class=\"</v>
      </c>
      <c r="N504" t="s">
        <v>31</v>
      </c>
      <c r="O504" s="4" t="str">
        <f t="shared" si="60"/>
        <v>click</v>
      </c>
      <c r="P504" t="str">
        <f t="shared" si="61"/>
        <v>();</v>
      </c>
      <c r="Q504" t="str">
        <f t="shared" si="63"/>
        <v/>
      </c>
      <c r="R504" t="str">
        <f t="shared" si="53"/>
        <v/>
      </c>
      <c r="S504" s="1" t="str">
        <f t="shared" si="54"/>
        <v/>
      </c>
      <c r="T504"/>
      <c r="U504"/>
      <c r="V504"/>
      <c r="W504"/>
      <c r="X504"/>
      <c r="Y504"/>
      <c r="Z504">
        <v>495</v>
      </c>
      <c r="AA504"/>
      <c r="AB50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3"/>
      <c r="BC504" s="3"/>
      <c r="CT504" s="2" t="e">
        <v>#N/A</v>
      </c>
      <c r="CU504" s="2" t="e">
        <v>#N/A</v>
      </c>
      <c r="CV504" s="2" t="e">
        <v>#N/A</v>
      </c>
      <c r="CW504" s="2" t="e">
        <v>#N/A</v>
      </c>
      <c r="CX504" s="2" t="e">
        <v>#N/A</v>
      </c>
      <c r="CY504" s="2" t="e">
        <v>#N/A</v>
      </c>
      <c r="CZ504" s="2" t="e">
        <v>#N/A</v>
      </c>
      <c r="DA504" s="2" t="e">
        <v>#N/A</v>
      </c>
      <c r="DB504" s="2" t="e">
        <v>#N/A</v>
      </c>
      <c r="DC504" s="2" t="e">
        <v>#N/A</v>
      </c>
      <c r="DD504" s="2" t="e">
        <v>#N/A</v>
      </c>
      <c r="DE504" s="2" t="e">
        <v>#N/A</v>
      </c>
      <c r="DF504" s="2" t="e">
        <v>#N/A</v>
      </c>
      <c r="DG504" s="2" t="e">
        <v>#N/A</v>
      </c>
      <c r="DH504" s="2" t="e">
        <v>#N/A</v>
      </c>
      <c r="DI504" s="2" t="e">
        <v>#N/A</v>
      </c>
    </row>
    <row r="505" spans="1:113" s="2" customFormat="1">
      <c r="A505"/>
      <c r="B505"/>
      <c r="C505" s="44"/>
      <c r="D505" s="44"/>
      <c r="E505" s="44"/>
      <c r="F505" s="44"/>
      <c r="G505" s="44"/>
      <c r="H505" s="44"/>
      <c r="I505" s="44"/>
      <c r="J505" s="44"/>
      <c r="K505" s="44"/>
      <c r="L505" s="44"/>
      <c r="M505" t="str">
        <f t="shared" si="52"/>
        <v>"//*[@class=\"</v>
      </c>
      <c r="N505" t="s">
        <v>31</v>
      </c>
      <c r="O505" s="4" t="str">
        <f t="shared" si="60"/>
        <v>click</v>
      </c>
      <c r="P505" t="str">
        <f t="shared" si="61"/>
        <v>();</v>
      </c>
      <c r="Q505" t="str">
        <f t="shared" si="63"/>
        <v/>
      </c>
      <c r="R505" t="str">
        <f t="shared" si="53"/>
        <v/>
      </c>
      <c r="S505" s="1" t="str">
        <f t="shared" si="54"/>
        <v/>
      </c>
      <c r="T505"/>
      <c r="U505"/>
      <c r="V505"/>
      <c r="W505"/>
      <c r="X505"/>
      <c r="Y505"/>
      <c r="Z505">
        <v>496</v>
      </c>
      <c r="AA505"/>
      <c r="AB505"/>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3"/>
      <c r="BC505" s="3"/>
      <c r="CT505" s="2" t="e">
        <v>#N/A</v>
      </c>
      <c r="CU505" s="2" t="e">
        <v>#N/A</v>
      </c>
      <c r="CV505" s="2" t="e">
        <v>#N/A</v>
      </c>
      <c r="CW505" s="2" t="e">
        <v>#N/A</v>
      </c>
      <c r="CX505" s="2" t="e">
        <v>#N/A</v>
      </c>
      <c r="CY505" s="2" t="e">
        <v>#N/A</v>
      </c>
      <c r="CZ505" s="2" t="e">
        <v>#N/A</v>
      </c>
      <c r="DA505" s="2" t="e">
        <v>#N/A</v>
      </c>
      <c r="DB505" s="2" t="e">
        <v>#N/A</v>
      </c>
      <c r="DC505" s="2" t="e">
        <v>#N/A</v>
      </c>
      <c r="DD505" s="2" t="e">
        <v>#N/A</v>
      </c>
      <c r="DE505" s="2" t="e">
        <v>#N/A</v>
      </c>
      <c r="DF505" s="2" t="e">
        <v>#N/A</v>
      </c>
      <c r="DG505" s="2" t="e">
        <v>#N/A</v>
      </c>
      <c r="DH505" s="2" t="e">
        <v>#N/A</v>
      </c>
      <c r="DI505" s="2" t="e">
        <v>#N/A</v>
      </c>
    </row>
    <row r="506" spans="1:113" s="2" customFormat="1">
      <c r="A506"/>
      <c r="B506"/>
      <c r="C506" s="44"/>
      <c r="D506" s="44"/>
      <c r="E506" s="44"/>
      <c r="F506" s="44"/>
      <c r="G506" s="44"/>
      <c r="H506" s="44"/>
      <c r="I506" s="44"/>
      <c r="J506" s="44"/>
      <c r="K506" s="44"/>
      <c r="L506" s="44"/>
      <c r="M506" t="str">
        <f t="shared" si="52"/>
        <v>"//*[@class=\"</v>
      </c>
      <c r="N506" t="s">
        <v>31</v>
      </c>
      <c r="O506" s="4" t="str">
        <f t="shared" si="60"/>
        <v>click</v>
      </c>
      <c r="P506" t="str">
        <f t="shared" si="61"/>
        <v>();</v>
      </c>
      <c r="Q506" t="str">
        <f t="shared" si="63"/>
        <v/>
      </c>
      <c r="R506" t="str">
        <f t="shared" si="53"/>
        <v/>
      </c>
      <c r="S506" s="1" t="str">
        <f t="shared" si="54"/>
        <v/>
      </c>
      <c r="T506"/>
      <c r="U506"/>
      <c r="V506"/>
      <c r="W506"/>
      <c r="X506"/>
      <c r="Y506"/>
      <c r="Z506">
        <v>497</v>
      </c>
      <c r="AA506"/>
      <c r="AB506"/>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3"/>
      <c r="BC506" s="3"/>
      <c r="CT506" s="2" t="e">
        <v>#N/A</v>
      </c>
      <c r="CU506" s="2" t="e">
        <v>#N/A</v>
      </c>
      <c r="CV506" s="2" t="e">
        <v>#N/A</v>
      </c>
      <c r="CW506" s="2" t="e">
        <v>#N/A</v>
      </c>
      <c r="CX506" s="2" t="e">
        <v>#N/A</v>
      </c>
      <c r="CY506" s="2" t="e">
        <v>#N/A</v>
      </c>
      <c r="CZ506" s="2" t="e">
        <v>#N/A</v>
      </c>
      <c r="DA506" s="2" t="e">
        <v>#N/A</v>
      </c>
      <c r="DB506" s="2" t="e">
        <v>#N/A</v>
      </c>
      <c r="DC506" s="2" t="e">
        <v>#N/A</v>
      </c>
      <c r="DD506" s="2" t="e">
        <v>#N/A</v>
      </c>
      <c r="DE506" s="2" t="e">
        <v>#N/A</v>
      </c>
      <c r="DF506" s="2" t="e">
        <v>#N/A</v>
      </c>
      <c r="DG506" s="2" t="e">
        <v>#N/A</v>
      </c>
      <c r="DH506" s="2" t="e">
        <v>#N/A</v>
      </c>
      <c r="DI506" s="2" t="e">
        <v>#N/A</v>
      </c>
    </row>
    <row r="507" spans="1:113" s="2" customFormat="1">
      <c r="A507"/>
      <c r="B507"/>
      <c r="C507" s="44"/>
      <c r="D507" s="44"/>
      <c r="E507" s="44"/>
      <c r="F507" s="44"/>
      <c r="G507" s="44"/>
      <c r="H507" s="44"/>
      <c r="I507" s="44"/>
      <c r="J507" s="44"/>
      <c r="K507" s="44"/>
      <c r="L507" s="44"/>
      <c r="M507" t="str">
        <f t="shared" si="52"/>
        <v>"//*[@class=\"</v>
      </c>
      <c r="N507" t="s">
        <v>31</v>
      </c>
      <c r="O507" s="4" t="str">
        <f t="shared" si="60"/>
        <v>click</v>
      </c>
      <c r="P507" t="str">
        <f t="shared" si="61"/>
        <v>();</v>
      </c>
      <c r="Q507" t="str">
        <f t="shared" si="63"/>
        <v/>
      </c>
      <c r="R507" t="str">
        <f t="shared" si="53"/>
        <v/>
      </c>
      <c r="S507" s="1" t="str">
        <f t="shared" si="54"/>
        <v/>
      </c>
      <c r="T507"/>
      <c r="U507"/>
      <c r="V507"/>
      <c r="W507"/>
      <c r="X507"/>
      <c r="Y507"/>
      <c r="Z507">
        <v>498</v>
      </c>
      <c r="AA507"/>
      <c r="AB507"/>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3"/>
      <c r="BC507" s="3"/>
      <c r="CT507" s="2" t="e">
        <v>#N/A</v>
      </c>
      <c r="CU507" s="2" t="e">
        <v>#N/A</v>
      </c>
      <c r="CV507" s="2" t="e">
        <v>#N/A</v>
      </c>
      <c r="CW507" s="2" t="e">
        <v>#N/A</v>
      </c>
      <c r="CX507" s="2" t="e">
        <v>#N/A</v>
      </c>
      <c r="CY507" s="2" t="e">
        <v>#N/A</v>
      </c>
      <c r="CZ507" s="2" t="e">
        <v>#N/A</v>
      </c>
      <c r="DA507" s="2" t="e">
        <v>#N/A</v>
      </c>
      <c r="DB507" s="2" t="e">
        <v>#N/A</v>
      </c>
      <c r="DC507" s="2" t="e">
        <v>#N/A</v>
      </c>
      <c r="DD507" s="2" t="e">
        <v>#N/A</v>
      </c>
      <c r="DE507" s="2" t="e">
        <v>#N/A</v>
      </c>
      <c r="DF507" s="2" t="e">
        <v>#N/A</v>
      </c>
      <c r="DG507" s="2" t="e">
        <v>#N/A</v>
      </c>
      <c r="DH507" s="2" t="e">
        <v>#N/A</v>
      </c>
      <c r="DI507" s="2" t="e">
        <v>#N/A</v>
      </c>
    </row>
    <row r="508" spans="1:113" s="2" customFormat="1">
      <c r="A508"/>
      <c r="B508"/>
      <c r="C508" s="23"/>
      <c r="D508" s="23"/>
      <c r="E508" s="23"/>
      <c r="F508" s="23"/>
      <c r="G508" s="23"/>
      <c r="H508" s="23"/>
      <c r="I508" s="23"/>
      <c r="J508" s="23"/>
      <c r="K508" s="23"/>
      <c r="L508" s="1"/>
      <c r="M508" t="str">
        <f t="shared" si="52"/>
        <v>"//*[@class=\"</v>
      </c>
      <c r="N508" t="s">
        <v>31</v>
      </c>
      <c r="O508" s="4" t="str">
        <f t="shared" si="60"/>
        <v>click</v>
      </c>
      <c r="P508" t="str">
        <f t="shared" si="61"/>
        <v>();</v>
      </c>
      <c r="Q508" t="str">
        <f t="shared" si="63"/>
        <v/>
      </c>
      <c r="R508" t="str">
        <f t="shared" si="53"/>
        <v/>
      </c>
      <c r="S508" s="1" t="str">
        <f t="shared" si="54"/>
        <v/>
      </c>
      <c r="T508"/>
      <c r="U508"/>
      <c r="V508"/>
      <c r="W508"/>
      <c r="X508"/>
      <c r="Y508"/>
      <c r="Z508">
        <v>499</v>
      </c>
      <c r="AA508"/>
      <c r="AB508"/>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3"/>
      <c r="BC508" s="3"/>
      <c r="CT508" s="2" t="e">
        <v>#N/A</v>
      </c>
      <c r="CU508" s="2" t="e">
        <v>#N/A</v>
      </c>
      <c r="CV508" s="2" t="e">
        <v>#N/A</v>
      </c>
      <c r="CW508" s="2" t="e">
        <v>#N/A</v>
      </c>
      <c r="CX508" s="2" t="e">
        <v>#N/A</v>
      </c>
      <c r="CY508" s="2" t="e">
        <v>#N/A</v>
      </c>
      <c r="CZ508" s="2" t="e">
        <v>#N/A</v>
      </c>
      <c r="DA508" s="2" t="e">
        <v>#N/A</v>
      </c>
      <c r="DB508" s="2" t="e">
        <v>#N/A</v>
      </c>
      <c r="DC508" s="2" t="e">
        <v>#N/A</v>
      </c>
      <c r="DD508" s="2" t="e">
        <v>#N/A</v>
      </c>
      <c r="DE508" s="2" t="e">
        <v>#N/A</v>
      </c>
      <c r="DF508" s="2" t="e">
        <v>#N/A</v>
      </c>
      <c r="DG508" s="2" t="e">
        <v>#N/A</v>
      </c>
      <c r="DH508" s="2" t="e">
        <v>#N/A</v>
      </c>
      <c r="DI508" s="2" t="e">
        <v>#N/A</v>
      </c>
    </row>
    <row r="509" spans="1:113" s="2" customFormat="1">
      <c r="A509"/>
      <c r="B509"/>
      <c r="C509" s="23" t="e">
        <v>#N/A</v>
      </c>
      <c r="D509" s="23" t="e">
        <v>#N/A</v>
      </c>
      <c r="E509" s="23" t="e">
        <v>#N/A</v>
      </c>
      <c r="F509" s="23" t="e">
        <v>#N/A</v>
      </c>
      <c r="G509" s="23" t="e">
        <v>#N/A</v>
      </c>
      <c r="H509" s="23" t="e">
        <v>#N/A</v>
      </c>
      <c r="I509" s="23" t="e">
        <v>#N/A</v>
      </c>
      <c r="J509" s="23" t="e">
        <v>#N/A</v>
      </c>
      <c r="K509" s="23" t="e">
        <v>#N/A</v>
      </c>
      <c r="L509" s="1" t="e">
        <v>#N/A</v>
      </c>
      <c r="M509" t="e">
        <f t="shared" si="52"/>
        <v>#N/A</v>
      </c>
      <c r="N509" t="s">
        <v>31</v>
      </c>
      <c r="O509" s="4" t="e">
        <f t="shared" si="60"/>
        <v>#N/A</v>
      </c>
      <c r="P509" t="e">
        <f t="shared" si="61"/>
        <v>#N/A</v>
      </c>
      <c r="Q509" t="str">
        <f t="shared" si="63"/>
        <v/>
      </c>
      <c r="R509" t="e">
        <f t="shared" si="53"/>
        <v>#N/A</v>
      </c>
      <c r="S509" s="1" t="e">
        <f t="shared" si="54"/>
        <v>#N/A</v>
      </c>
      <c r="T509"/>
      <c r="U509"/>
      <c r="V509"/>
      <c r="W509"/>
      <c r="X509"/>
      <c r="Y509"/>
      <c r="Z509">
        <v>500</v>
      </c>
      <c r="AA509"/>
      <c r="AB509"/>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3"/>
      <c r="BC509" s="3"/>
      <c r="CT509" s="2" t="e">
        <v>#N/A</v>
      </c>
      <c r="CU509" s="2" t="e">
        <v>#N/A</v>
      </c>
      <c r="CV509" s="2" t="e">
        <v>#N/A</v>
      </c>
      <c r="CW509" s="2" t="e">
        <v>#N/A</v>
      </c>
      <c r="CX509" s="2" t="e">
        <v>#N/A</v>
      </c>
      <c r="CY509" s="2" t="e">
        <v>#N/A</v>
      </c>
      <c r="CZ509" s="2" t="e">
        <v>#N/A</v>
      </c>
      <c r="DA509" s="2" t="e">
        <v>#N/A</v>
      </c>
      <c r="DB509" s="2" t="e">
        <v>#N/A</v>
      </c>
      <c r="DC509" s="2" t="e">
        <v>#N/A</v>
      </c>
      <c r="DD509" s="2" t="e">
        <v>#N/A</v>
      </c>
      <c r="DE509" s="2" t="e">
        <v>#N/A</v>
      </c>
      <c r="DF509" s="2" t="e">
        <v>#N/A</v>
      </c>
      <c r="DG509" s="2" t="e">
        <v>#N/A</v>
      </c>
      <c r="DH509" s="2" t="e">
        <v>#N/A</v>
      </c>
      <c r="DI509" s="2" t="e">
        <v>#N/A</v>
      </c>
    </row>
    <row r="510" spans="1:113" s="2" customFormat="1">
      <c r="A510"/>
      <c r="B510"/>
      <c r="C510" s="23" t="e">
        <v>#N/A</v>
      </c>
      <c r="D510" s="23" t="e">
        <v>#N/A</v>
      </c>
      <c r="E510" s="23" t="e">
        <v>#N/A</v>
      </c>
      <c r="F510" s="23" t="e">
        <v>#N/A</v>
      </c>
      <c r="G510" s="23" t="e">
        <v>#N/A</v>
      </c>
      <c r="H510" s="23" t="e">
        <v>#N/A</v>
      </c>
      <c r="I510" s="23" t="e">
        <v>#N/A</v>
      </c>
      <c r="J510" s="23" t="e">
        <v>#N/A</v>
      </c>
      <c r="K510" s="23" t="e">
        <v>#N/A</v>
      </c>
      <c r="L510" s="1" t="e">
        <v>#N/A</v>
      </c>
      <c r="M510" t="e">
        <f t="shared" si="52"/>
        <v>#N/A</v>
      </c>
      <c r="N510" t="s">
        <v>31</v>
      </c>
      <c r="O510" s="4" t="e">
        <f t="shared" si="60"/>
        <v>#N/A</v>
      </c>
      <c r="P510" t="e">
        <f t="shared" si="61"/>
        <v>#N/A</v>
      </c>
      <c r="Q510" t="str">
        <f t="shared" si="63"/>
        <v/>
      </c>
      <c r="R510" t="e">
        <f t="shared" si="53"/>
        <v>#N/A</v>
      </c>
      <c r="S510" s="1" t="e">
        <f t="shared" si="54"/>
        <v>#N/A</v>
      </c>
      <c r="T510"/>
      <c r="U510"/>
      <c r="V510"/>
      <c r="W510"/>
      <c r="X510"/>
      <c r="Y510"/>
      <c r="Z510">
        <v>501</v>
      </c>
      <c r="AA510"/>
      <c r="AB510"/>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3"/>
      <c r="BC510" s="3"/>
      <c r="CT510" s="2" t="e">
        <v>#N/A</v>
      </c>
      <c r="CU510" s="2" t="e">
        <v>#N/A</v>
      </c>
      <c r="CV510" s="2" t="e">
        <v>#N/A</v>
      </c>
      <c r="CW510" s="2" t="e">
        <v>#N/A</v>
      </c>
      <c r="CX510" s="2" t="e">
        <v>#N/A</v>
      </c>
      <c r="CY510" s="2" t="e">
        <v>#N/A</v>
      </c>
      <c r="CZ510" s="2" t="e">
        <v>#N/A</v>
      </c>
      <c r="DA510" s="2" t="e">
        <v>#N/A</v>
      </c>
      <c r="DB510" s="2" t="e">
        <v>#N/A</v>
      </c>
      <c r="DC510" s="2" t="e">
        <v>#N/A</v>
      </c>
      <c r="DD510" s="2" t="e">
        <v>#N/A</v>
      </c>
      <c r="DE510" s="2" t="e">
        <v>#N/A</v>
      </c>
      <c r="DF510" s="2" t="e">
        <v>#N/A</v>
      </c>
      <c r="DG510" s="2" t="e">
        <v>#N/A</v>
      </c>
      <c r="DH510" s="2" t="e">
        <v>#N/A</v>
      </c>
      <c r="DI510" s="2" t="e">
        <v>#N/A</v>
      </c>
    </row>
    <row r="511" spans="1:113" s="2" customFormat="1">
      <c r="A511" s="4"/>
      <c r="B511" s="4"/>
      <c r="C511" s="30"/>
      <c r="D511" s="32"/>
      <c r="E511" s="45"/>
      <c r="F511" s="45"/>
      <c r="G511" s="45"/>
      <c r="H511" s="45"/>
      <c r="I511" s="45"/>
      <c r="J511" s="30"/>
      <c r="K511" s="30"/>
      <c r="L511" s="1"/>
      <c r="M511" t="str">
        <f t="shared" si="52"/>
        <v>"//*[@class=\"</v>
      </c>
      <c r="N511" t="s">
        <v>31</v>
      </c>
      <c r="O511" s="4" t="str">
        <f t="shared" si="60"/>
        <v>click</v>
      </c>
      <c r="P511" t="str">
        <f t="shared" si="61"/>
        <v>();</v>
      </c>
      <c r="Q511" t="str">
        <f t="shared" si="63"/>
        <v/>
      </c>
      <c r="R511" t="str">
        <f t="shared" si="53"/>
        <v/>
      </c>
      <c r="S511" s="1" t="str">
        <f t="shared" si="54"/>
        <v/>
      </c>
      <c r="T511" s="4"/>
      <c r="U511" s="4"/>
      <c r="V511" s="4"/>
      <c r="W511" s="4"/>
      <c r="X511" s="4"/>
      <c r="Y511"/>
      <c r="Z511">
        <v>502</v>
      </c>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3"/>
      <c r="BC511" s="3"/>
      <c r="CT511" s="2" t="e">
        <v>#N/A</v>
      </c>
      <c r="CU511" s="2" t="e">
        <v>#N/A</v>
      </c>
      <c r="CV511" s="2" t="e">
        <v>#N/A</v>
      </c>
      <c r="CW511" s="2" t="e">
        <v>#N/A</v>
      </c>
      <c r="CX511" s="2" t="e">
        <v>#N/A</v>
      </c>
      <c r="CY511" s="2" t="e">
        <v>#N/A</v>
      </c>
      <c r="CZ511" s="2" t="e">
        <v>#N/A</v>
      </c>
      <c r="DA511" s="2" t="e">
        <v>#N/A</v>
      </c>
      <c r="DB511" s="2" t="e">
        <v>#N/A</v>
      </c>
      <c r="DC511" s="2" t="e">
        <v>#N/A</v>
      </c>
      <c r="DD511" s="2" t="e">
        <v>#N/A</v>
      </c>
      <c r="DE511" s="2" t="e">
        <v>#N/A</v>
      </c>
      <c r="DF511" s="2" t="e">
        <v>#N/A</v>
      </c>
      <c r="DG511" s="2" t="e">
        <v>#N/A</v>
      </c>
      <c r="DH511" s="2" t="e">
        <v>#N/A</v>
      </c>
      <c r="DI511" s="2" t="e">
        <v>#N/A</v>
      </c>
    </row>
    <row r="512" spans="1:113" s="2" customFormat="1">
      <c r="A512" s="4"/>
      <c r="B512" s="4"/>
      <c r="C512" s="30"/>
      <c r="D512" s="32"/>
      <c r="E512" s="45"/>
      <c r="F512" s="45"/>
      <c r="G512" s="45"/>
      <c r="H512" s="45"/>
      <c r="I512" s="45"/>
      <c r="J512" s="30"/>
      <c r="K512" s="30"/>
      <c r="L512" s="1"/>
      <c r="M512" t="str">
        <f t="shared" si="52"/>
        <v>"//*[@class=\"</v>
      </c>
      <c r="N512" t="s">
        <v>31</v>
      </c>
      <c r="O512" s="4" t="str">
        <f t="shared" si="60"/>
        <v>click</v>
      </c>
      <c r="P512" t="str">
        <f t="shared" si="61"/>
        <v>();</v>
      </c>
      <c r="Q512" t="str">
        <f t="shared" si="63"/>
        <v/>
      </c>
      <c r="R512" t="str">
        <f t="shared" si="53"/>
        <v/>
      </c>
      <c r="S512" s="1" t="str">
        <f t="shared" si="54"/>
        <v/>
      </c>
      <c r="T512" s="4"/>
      <c r="U512" s="4"/>
      <c r="V512" s="4"/>
      <c r="W512" s="4"/>
      <c r="X512" s="4"/>
      <c r="Y512"/>
      <c r="Z512">
        <v>503</v>
      </c>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3"/>
      <c r="BC512" s="3"/>
      <c r="CT512" s="2" t="e">
        <v>#N/A</v>
      </c>
      <c r="CU512" s="2" t="e">
        <v>#N/A</v>
      </c>
      <c r="CV512" s="2" t="e">
        <v>#N/A</v>
      </c>
      <c r="CW512" s="2" t="e">
        <v>#N/A</v>
      </c>
      <c r="CX512" s="2" t="e">
        <v>#N/A</v>
      </c>
      <c r="CY512" s="2" t="e">
        <v>#N/A</v>
      </c>
      <c r="CZ512" s="2" t="e">
        <v>#N/A</v>
      </c>
      <c r="DA512" s="2" t="e">
        <v>#N/A</v>
      </c>
      <c r="DB512" s="2" t="e">
        <v>#N/A</v>
      </c>
      <c r="DC512" s="2" t="e">
        <v>#N/A</v>
      </c>
      <c r="DD512" s="2" t="e">
        <v>#N/A</v>
      </c>
      <c r="DE512" s="2" t="e">
        <v>#N/A</v>
      </c>
      <c r="DF512" s="2" t="e">
        <v>#N/A</v>
      </c>
      <c r="DG512" s="2" t="e">
        <v>#N/A</v>
      </c>
      <c r="DH512" s="2" t="e">
        <v>#N/A</v>
      </c>
      <c r="DI512" s="2" t="e">
        <v>#N/A</v>
      </c>
    </row>
    <row r="513" spans="1:113" s="2" customFormat="1">
      <c r="A513" s="4"/>
      <c r="B513" s="4"/>
      <c r="C513" s="30"/>
      <c r="D513" s="32"/>
      <c r="E513" s="45"/>
      <c r="F513" s="45"/>
      <c r="G513" s="45"/>
      <c r="H513" s="45"/>
      <c r="I513" s="45"/>
      <c r="J513" s="30"/>
      <c r="K513" s="30"/>
      <c r="L513" s="1"/>
      <c r="M513" t="str">
        <f t="shared" si="52"/>
        <v>"//*[@class=\"</v>
      </c>
      <c r="N513" t="s">
        <v>31</v>
      </c>
      <c r="O513" s="4" t="str">
        <f t="shared" si="60"/>
        <v>click</v>
      </c>
      <c r="P513" t="str">
        <f t="shared" si="61"/>
        <v>();</v>
      </c>
      <c r="Q513" t="str">
        <f t="shared" si="63"/>
        <v/>
      </c>
      <c r="R513" t="str">
        <f t="shared" si="53"/>
        <v/>
      </c>
      <c r="S513" s="1" t="str">
        <f t="shared" si="54"/>
        <v/>
      </c>
      <c r="T513" s="4"/>
      <c r="U513" s="4"/>
      <c r="V513" s="4"/>
      <c r="W513" s="4"/>
      <c r="X513" s="4"/>
      <c r="Y513"/>
      <c r="Z513">
        <v>504</v>
      </c>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3"/>
      <c r="BC513" s="3"/>
      <c r="CT513" s="2" t="e">
        <v>#N/A</v>
      </c>
      <c r="CU513" s="2" t="e">
        <v>#N/A</v>
      </c>
      <c r="CV513" s="2" t="e">
        <v>#N/A</v>
      </c>
      <c r="CW513" s="2" t="e">
        <v>#N/A</v>
      </c>
      <c r="CX513" s="2" t="e">
        <v>#N/A</v>
      </c>
      <c r="CY513" s="2" t="e">
        <v>#N/A</v>
      </c>
      <c r="CZ513" s="2" t="e">
        <v>#N/A</v>
      </c>
      <c r="DA513" s="2" t="e">
        <v>#N/A</v>
      </c>
      <c r="DB513" s="2" t="e">
        <v>#N/A</v>
      </c>
      <c r="DC513" s="2" t="e">
        <v>#N/A</v>
      </c>
      <c r="DD513" s="2" t="e">
        <v>#N/A</v>
      </c>
      <c r="DE513" s="2" t="e">
        <v>#N/A</v>
      </c>
      <c r="DF513" s="2" t="e">
        <v>#N/A</v>
      </c>
      <c r="DG513" s="2" t="e">
        <v>#N/A</v>
      </c>
      <c r="DH513" s="2" t="e">
        <v>#N/A</v>
      </c>
      <c r="DI513" s="2" t="e">
        <v>#N/A</v>
      </c>
    </row>
    <row r="514" spans="1:113" s="2" customFormat="1">
      <c r="A514" s="4"/>
      <c r="B514" s="4"/>
      <c r="C514" s="30"/>
      <c r="D514" s="32"/>
      <c r="E514" s="45"/>
      <c r="F514" s="45"/>
      <c r="G514" s="45"/>
      <c r="H514" s="45"/>
      <c r="I514" s="45"/>
      <c r="J514" s="30"/>
      <c r="K514" s="30"/>
      <c r="L514" s="1"/>
      <c r="M514" t="str">
        <f t="shared" si="52"/>
        <v>"//*[@class=\"</v>
      </c>
      <c r="N514" t="s">
        <v>31</v>
      </c>
      <c r="O514" s="4" t="str">
        <f t="shared" si="60"/>
        <v>click</v>
      </c>
      <c r="P514" t="str">
        <f t="shared" si="61"/>
        <v>();</v>
      </c>
      <c r="Q514" t="str">
        <f t="shared" si="63"/>
        <v/>
      </c>
      <c r="R514" t="str">
        <f t="shared" si="53"/>
        <v/>
      </c>
      <c r="S514" s="1" t="str">
        <f t="shared" si="54"/>
        <v/>
      </c>
      <c r="T514" s="4"/>
      <c r="U514" s="4"/>
      <c r="V514" s="4"/>
      <c r="W514" s="4"/>
      <c r="X514" s="4"/>
      <c r="Y514"/>
      <c r="Z514">
        <v>505</v>
      </c>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3"/>
      <c r="BC514" s="3"/>
      <c r="CT514" s="2" t="e">
        <v>#N/A</v>
      </c>
      <c r="CU514" s="2" t="e">
        <v>#N/A</v>
      </c>
      <c r="CV514" s="2" t="e">
        <v>#N/A</v>
      </c>
      <c r="CW514" s="2" t="e">
        <v>#N/A</v>
      </c>
      <c r="CX514" s="2" t="e">
        <v>#N/A</v>
      </c>
      <c r="CY514" s="2" t="e">
        <v>#N/A</v>
      </c>
      <c r="CZ514" s="2" t="e">
        <v>#N/A</v>
      </c>
      <c r="DA514" s="2" t="e">
        <v>#N/A</v>
      </c>
      <c r="DB514" s="2" t="e">
        <v>#N/A</v>
      </c>
      <c r="DC514" s="2" t="e">
        <v>#N/A</v>
      </c>
      <c r="DD514" s="2" t="e">
        <v>#N/A</v>
      </c>
      <c r="DE514" s="2" t="e">
        <v>#N/A</v>
      </c>
      <c r="DF514" s="2" t="e">
        <v>#N/A</v>
      </c>
      <c r="DG514" s="2" t="e">
        <v>#N/A</v>
      </c>
      <c r="DH514" s="2" t="e">
        <v>#N/A</v>
      </c>
      <c r="DI514" s="2" t="e">
        <v>#N/A</v>
      </c>
    </row>
    <row r="515" spans="1:113" s="2" customFormat="1">
      <c r="A515" s="4"/>
      <c r="B515" s="4"/>
      <c r="C515" s="30"/>
      <c r="D515" s="32"/>
      <c r="E515" s="45"/>
      <c r="F515" s="45"/>
      <c r="G515" s="45"/>
      <c r="H515" s="45"/>
      <c r="I515" s="45"/>
      <c r="J515" s="30"/>
      <c r="K515" s="30"/>
      <c r="L515" s="1"/>
      <c r="M515" t="str">
        <f t="shared" si="52"/>
        <v>"//*[@class=\"</v>
      </c>
      <c r="N515" t="s">
        <v>31</v>
      </c>
      <c r="O515" s="4" t="str">
        <f t="shared" si="60"/>
        <v>click</v>
      </c>
      <c r="P515" t="str">
        <f t="shared" si="61"/>
        <v>();</v>
      </c>
      <c r="Q515" t="str">
        <f t="shared" si="63"/>
        <v/>
      </c>
      <c r="R515" t="str">
        <f t="shared" si="53"/>
        <v/>
      </c>
      <c r="S515" s="1" t="str">
        <f t="shared" si="54"/>
        <v/>
      </c>
      <c r="T515" s="4"/>
      <c r="U515" s="4"/>
      <c r="V515" s="4"/>
      <c r="W515" s="4"/>
      <c r="X515" s="4"/>
      <c r="Y515"/>
      <c r="Z515">
        <v>506</v>
      </c>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3"/>
      <c r="BC515" s="3"/>
      <c r="CT515" s="2" t="e">
        <v>#N/A</v>
      </c>
      <c r="CU515" s="2" t="e">
        <v>#N/A</v>
      </c>
      <c r="CV515" s="2" t="e">
        <v>#N/A</v>
      </c>
      <c r="CW515" s="2" t="e">
        <v>#N/A</v>
      </c>
      <c r="CX515" s="2" t="e">
        <v>#N/A</v>
      </c>
      <c r="CY515" s="2" t="e">
        <v>#N/A</v>
      </c>
      <c r="CZ515" s="2" t="e">
        <v>#N/A</v>
      </c>
      <c r="DA515" s="2" t="e">
        <v>#N/A</v>
      </c>
      <c r="DB515" s="2" t="e">
        <v>#N/A</v>
      </c>
      <c r="DC515" s="2" t="e">
        <v>#N/A</v>
      </c>
      <c r="DD515" s="2" t="e">
        <v>#N/A</v>
      </c>
      <c r="DE515" s="2" t="e">
        <v>#N/A</v>
      </c>
      <c r="DF515" s="2" t="e">
        <v>#N/A</v>
      </c>
      <c r="DG515" s="2" t="e">
        <v>#N/A</v>
      </c>
      <c r="DH515" s="2" t="e">
        <v>#N/A</v>
      </c>
      <c r="DI515" s="2" t="e">
        <v>#N/A</v>
      </c>
    </row>
    <row r="516" spans="1:113" s="2" customFormat="1">
      <c r="A516" s="4"/>
      <c r="B516" s="4"/>
      <c r="C516" s="46"/>
      <c r="D516" s="46"/>
      <c r="E516" s="46"/>
      <c r="F516" s="46"/>
      <c r="G516" s="46"/>
      <c r="H516" s="46"/>
      <c r="I516" s="46"/>
      <c r="J516" s="46"/>
      <c r="K516" s="46"/>
      <c r="L516" s="47"/>
      <c r="M516" t="str">
        <f t="shared" si="52"/>
        <v>"//*[@class=\"</v>
      </c>
      <c r="N516" t="s">
        <v>31</v>
      </c>
      <c r="R516" t="str">
        <f t="shared" si="53"/>
        <v/>
      </c>
      <c r="S516" s="1" t="str">
        <f t="shared" si="54"/>
        <v/>
      </c>
      <c r="T516" s="4"/>
      <c r="U516" s="4"/>
      <c r="V516" s="4"/>
      <c r="W516" s="4"/>
      <c r="X516" s="4"/>
      <c r="Y516"/>
      <c r="Z516">
        <v>507</v>
      </c>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3"/>
      <c r="BC516" s="3"/>
      <c r="CT516" s="2" t="e">
        <v>#N/A</v>
      </c>
      <c r="CU516" s="2" t="e">
        <v>#N/A</v>
      </c>
      <c r="CV516" s="2" t="e">
        <v>#N/A</v>
      </c>
      <c r="CW516" s="2" t="e">
        <v>#N/A</v>
      </c>
      <c r="CX516" s="2" t="e">
        <v>#N/A</v>
      </c>
      <c r="CY516" s="2" t="e">
        <v>#N/A</v>
      </c>
      <c r="CZ516" s="2" t="e">
        <v>#N/A</v>
      </c>
      <c r="DA516" s="2" t="e">
        <v>#N/A</v>
      </c>
      <c r="DB516" s="2" t="e">
        <v>#N/A</v>
      </c>
      <c r="DC516" s="2" t="e">
        <v>#N/A</v>
      </c>
      <c r="DD516" s="2" t="e">
        <v>#N/A</v>
      </c>
      <c r="DE516" s="2" t="e">
        <v>#N/A</v>
      </c>
      <c r="DF516" s="2" t="e">
        <v>#N/A</v>
      </c>
      <c r="DG516" s="2" t="e">
        <v>#N/A</v>
      </c>
      <c r="DH516" s="2" t="e">
        <v>#N/A</v>
      </c>
      <c r="DI516" s="2" t="e">
        <v>#N/A</v>
      </c>
    </row>
    <row r="517" spans="1:113" s="2" customFormat="1">
      <c r="A517" s="4"/>
      <c r="B517" s="4"/>
      <c r="C517" s="46"/>
      <c r="D517" s="46"/>
      <c r="E517" s="46"/>
      <c r="F517" s="46"/>
      <c r="G517" s="46"/>
      <c r="H517" s="46"/>
      <c r="I517" s="46"/>
      <c r="J517" s="46"/>
      <c r="K517" s="46"/>
      <c r="L517" s="47"/>
      <c r="M517" t="str">
        <f t="shared" si="52"/>
        <v>"//*[@class=\"</v>
      </c>
      <c r="N517" t="s">
        <v>31</v>
      </c>
      <c r="R517" t="str">
        <f t="shared" si="53"/>
        <v/>
      </c>
      <c r="S517" s="1" t="str">
        <f t="shared" si="54"/>
        <v/>
      </c>
      <c r="T517" s="4"/>
      <c r="U517" s="4"/>
      <c r="V517" s="4"/>
      <c r="W517" s="4"/>
      <c r="X517" s="4"/>
      <c r="Y517"/>
      <c r="Z517">
        <v>508</v>
      </c>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3"/>
      <c r="BC517" s="3"/>
      <c r="CT517" s="2" t="e">
        <v>#N/A</v>
      </c>
      <c r="CU517" s="2" t="e">
        <v>#N/A</v>
      </c>
      <c r="CV517" s="2" t="e">
        <v>#N/A</v>
      </c>
      <c r="CW517" s="2" t="e">
        <v>#N/A</v>
      </c>
      <c r="CX517" s="2" t="e">
        <v>#N/A</v>
      </c>
      <c r="CY517" s="2" t="e">
        <v>#N/A</v>
      </c>
      <c r="CZ517" s="2" t="e">
        <v>#N/A</v>
      </c>
      <c r="DA517" s="2" t="e">
        <v>#N/A</v>
      </c>
      <c r="DB517" s="2" t="e">
        <v>#N/A</v>
      </c>
      <c r="DC517" s="2" t="e">
        <v>#N/A</v>
      </c>
      <c r="DD517" s="2" t="e">
        <v>#N/A</v>
      </c>
      <c r="DE517" s="2" t="e">
        <v>#N/A</v>
      </c>
      <c r="DF517" s="2" t="e">
        <v>#N/A</v>
      </c>
      <c r="DG517" s="2" t="e">
        <v>#N/A</v>
      </c>
      <c r="DH517" s="2" t="e">
        <v>#N/A</v>
      </c>
      <c r="DI517" s="2" t="e">
        <v>#N/A</v>
      </c>
    </row>
    <row r="518" spans="1:113" s="2" customFormat="1">
      <c r="A518" s="4"/>
      <c r="B518" s="4"/>
      <c r="C518" s="46"/>
      <c r="D518" s="46"/>
      <c r="E518" s="46"/>
      <c r="F518" s="46"/>
      <c r="G518" s="46"/>
      <c r="H518" s="46"/>
      <c r="I518" s="46"/>
      <c r="J518" s="46"/>
      <c r="K518" s="46"/>
      <c r="L518" s="47"/>
      <c r="M518" t="str">
        <f t="shared" si="52"/>
        <v>"//*[@class=\"</v>
      </c>
      <c r="N518" t="s">
        <v>31</v>
      </c>
      <c r="R518" t="str">
        <f t="shared" si="53"/>
        <v/>
      </c>
      <c r="S518" s="1" t="str">
        <f t="shared" si="54"/>
        <v/>
      </c>
      <c r="T518" s="4"/>
      <c r="U518" s="4"/>
      <c r="V518" s="4"/>
      <c r="W518" s="4"/>
      <c r="X518" s="4"/>
      <c r="Y518"/>
      <c r="Z518">
        <v>509</v>
      </c>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3"/>
      <c r="BC518" s="3"/>
      <c r="CT518" s="2" t="e">
        <v>#N/A</v>
      </c>
      <c r="CU518" s="2" t="e">
        <v>#N/A</v>
      </c>
      <c r="CV518" s="2" t="e">
        <v>#N/A</v>
      </c>
      <c r="CW518" s="2" t="e">
        <v>#N/A</v>
      </c>
      <c r="CX518" s="2" t="e">
        <v>#N/A</v>
      </c>
      <c r="CY518" s="2" t="e">
        <v>#N/A</v>
      </c>
      <c r="CZ518" s="2" t="e">
        <v>#N/A</v>
      </c>
      <c r="DA518" s="2" t="e">
        <v>#N/A</v>
      </c>
      <c r="DB518" s="2" t="e">
        <v>#N/A</v>
      </c>
      <c r="DC518" s="2" t="e">
        <v>#N/A</v>
      </c>
      <c r="DD518" s="2" t="e">
        <v>#N/A</v>
      </c>
      <c r="DE518" s="2" t="e">
        <v>#N/A</v>
      </c>
      <c r="DF518" s="2" t="e">
        <v>#N/A</v>
      </c>
      <c r="DG518" s="2" t="e">
        <v>#N/A</v>
      </c>
      <c r="DH518" s="2" t="e">
        <v>#N/A</v>
      </c>
      <c r="DI518" s="2" t="e">
        <v>#N/A</v>
      </c>
    </row>
    <row r="519" spans="1:113" s="2" customFormat="1">
      <c r="A519" s="4"/>
      <c r="B519" s="4"/>
      <c r="C519" s="46"/>
      <c r="D519" s="46"/>
      <c r="E519" s="46"/>
      <c r="F519" s="46"/>
      <c r="G519" s="46"/>
      <c r="H519" s="46"/>
      <c r="I519" s="46"/>
      <c r="J519" s="46"/>
      <c r="K519" s="46"/>
      <c r="L519" s="47"/>
      <c r="M519" t="str">
        <f t="shared" si="52"/>
        <v>"//*[@class=\"</v>
      </c>
      <c r="N519" t="s">
        <v>31</v>
      </c>
      <c r="R519" t="str">
        <f t="shared" si="53"/>
        <v/>
      </c>
      <c r="S519" s="1" t="str">
        <f t="shared" si="54"/>
        <v/>
      </c>
      <c r="T519" s="4"/>
      <c r="U519" s="4"/>
      <c r="V519" s="4"/>
      <c r="W519" s="4"/>
      <c r="X519" s="4"/>
      <c r="Y519"/>
      <c r="Z519">
        <v>510</v>
      </c>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3"/>
      <c r="BC519" s="3"/>
      <c r="CT519" s="2" t="e">
        <v>#N/A</v>
      </c>
      <c r="CU519" s="2" t="e">
        <v>#N/A</v>
      </c>
      <c r="CV519" s="2" t="e">
        <v>#N/A</v>
      </c>
      <c r="CW519" s="2" t="e">
        <v>#N/A</v>
      </c>
      <c r="CX519" s="2" t="e">
        <v>#N/A</v>
      </c>
      <c r="CY519" s="2" t="e">
        <v>#N/A</v>
      </c>
      <c r="CZ519" s="2" t="e">
        <v>#N/A</v>
      </c>
      <c r="DA519" s="2" t="e">
        <v>#N/A</v>
      </c>
      <c r="DB519" s="2" t="e">
        <v>#N/A</v>
      </c>
      <c r="DC519" s="2" t="e">
        <v>#N/A</v>
      </c>
      <c r="DD519" s="2" t="e">
        <v>#N/A</v>
      </c>
      <c r="DE519" s="2" t="e">
        <v>#N/A</v>
      </c>
      <c r="DF519" s="2" t="e">
        <v>#N/A</v>
      </c>
      <c r="DG519" s="2" t="e">
        <v>#N/A</v>
      </c>
      <c r="DH519" s="2" t="e">
        <v>#N/A</v>
      </c>
      <c r="DI519" s="2" t="e">
        <v>#N/A</v>
      </c>
    </row>
    <row r="520" spans="1:113" s="2" customFormat="1">
      <c r="A520" s="4"/>
      <c r="B520" s="4"/>
      <c r="C520" s="46"/>
      <c r="D520" s="46"/>
      <c r="E520" s="46"/>
      <c r="F520" s="46"/>
      <c r="G520" s="46"/>
      <c r="H520" s="46"/>
      <c r="I520" s="46"/>
      <c r="J520" s="46"/>
      <c r="K520" s="46"/>
      <c r="L520" s="47"/>
      <c r="M520" t="str">
        <f t="shared" si="52"/>
        <v>"//*[@class=\"</v>
      </c>
      <c r="N520" t="s">
        <v>31</v>
      </c>
      <c r="R520" t="str">
        <f t="shared" si="53"/>
        <v/>
      </c>
      <c r="S520" s="1" t="str">
        <f t="shared" si="54"/>
        <v/>
      </c>
      <c r="T520" s="4"/>
      <c r="U520" s="4"/>
      <c r="V520" s="4"/>
      <c r="W520" s="4"/>
      <c r="X520" s="4"/>
      <c r="Y520"/>
      <c r="Z520">
        <v>511</v>
      </c>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3"/>
      <c r="BC520" s="3"/>
      <c r="CT520" s="2" t="e">
        <v>#N/A</v>
      </c>
      <c r="CU520" s="2" t="e">
        <v>#N/A</v>
      </c>
      <c r="CV520" s="2" t="e">
        <v>#N/A</v>
      </c>
      <c r="CW520" s="2" t="e">
        <v>#N/A</v>
      </c>
      <c r="CX520" s="2" t="e">
        <v>#N/A</v>
      </c>
      <c r="CY520" s="2" t="e">
        <v>#N/A</v>
      </c>
      <c r="CZ520" s="2" t="e">
        <v>#N/A</v>
      </c>
      <c r="DA520" s="2" t="e">
        <v>#N/A</v>
      </c>
      <c r="DB520" s="2" t="e">
        <v>#N/A</v>
      </c>
      <c r="DC520" s="2" t="e">
        <v>#N/A</v>
      </c>
      <c r="DD520" s="2" t="e">
        <v>#N/A</v>
      </c>
      <c r="DE520" s="2" t="e">
        <v>#N/A</v>
      </c>
      <c r="DF520" s="2" t="e">
        <v>#N/A</v>
      </c>
      <c r="DG520" s="2" t="e">
        <v>#N/A</v>
      </c>
      <c r="DH520" s="2" t="e">
        <v>#N/A</v>
      </c>
      <c r="DI520" s="2" t="e">
        <v>#N/A</v>
      </c>
    </row>
    <row r="521" spans="1:113" s="2" customFormat="1">
      <c r="A521" s="4"/>
      <c r="B521" s="4"/>
      <c r="C521" s="46"/>
      <c r="D521" s="46"/>
      <c r="E521" s="46"/>
      <c r="F521" s="46"/>
      <c r="G521" s="46"/>
      <c r="H521" s="46"/>
      <c r="I521" s="46"/>
      <c r="J521" s="46"/>
      <c r="K521" s="46"/>
      <c r="L521" s="47"/>
      <c r="M521" t="str">
        <f t="shared" ref="M521:M584" si="64">IF(H521="id",""""&amp;"//*[@id=\"&amp;"""",""""&amp;"//*[@class=\"&amp;"""")</f>
        <v>"//*[@class=\"</v>
      </c>
      <c r="N521" t="s">
        <v>31</v>
      </c>
      <c r="R521" t="str">
        <f t="shared" ref="R521:R584" si="65">SUBSTITUTE(IF(C521="Y",""""&amp;E521&amp;""""&amp;":"&amp;Q521&amp;"","")," ","")</f>
        <v/>
      </c>
      <c r="S521" s="1" t="str">
        <f t="shared" si="54"/>
        <v/>
      </c>
      <c r="T521" s="4"/>
      <c r="U521" s="4"/>
      <c r="V521" s="4"/>
      <c r="W521" s="4"/>
      <c r="X521" s="4"/>
      <c r="Y521"/>
      <c r="Z521">
        <v>512</v>
      </c>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3"/>
      <c r="BC521" s="3"/>
      <c r="CT521" s="2" t="e">
        <v>#N/A</v>
      </c>
      <c r="CU521" s="2" t="e">
        <v>#N/A</v>
      </c>
      <c r="CV521" s="2" t="e">
        <v>#N/A</v>
      </c>
      <c r="CW521" s="2" t="e">
        <v>#N/A</v>
      </c>
      <c r="CX521" s="2" t="e">
        <v>#N/A</v>
      </c>
      <c r="CY521" s="2" t="e">
        <v>#N/A</v>
      </c>
      <c r="CZ521" s="2" t="e">
        <v>#N/A</v>
      </c>
      <c r="DA521" s="2" t="e">
        <v>#N/A</v>
      </c>
      <c r="DB521" s="2" t="e">
        <v>#N/A</v>
      </c>
      <c r="DC521" s="2" t="e">
        <v>#N/A</v>
      </c>
      <c r="DD521" s="2" t="e">
        <v>#N/A</v>
      </c>
      <c r="DE521" s="2" t="e">
        <v>#N/A</v>
      </c>
      <c r="DF521" s="2" t="e">
        <v>#N/A</v>
      </c>
      <c r="DG521" s="2" t="e">
        <v>#N/A</v>
      </c>
      <c r="DH521" s="2" t="e">
        <v>#N/A</v>
      </c>
      <c r="DI521" s="2" t="e">
        <v>#N/A</v>
      </c>
    </row>
    <row r="522" spans="1:113" s="2" customFormat="1">
      <c r="A522" s="4"/>
      <c r="B522" s="4"/>
      <c r="C522" s="46"/>
      <c r="D522" s="46"/>
      <c r="E522" s="46"/>
      <c r="F522" s="46"/>
      <c r="G522" s="46"/>
      <c r="H522" s="46"/>
      <c r="I522" s="46"/>
      <c r="J522" s="46"/>
      <c r="K522" s="46"/>
      <c r="L522" s="47"/>
      <c r="M522" t="str">
        <f t="shared" si="64"/>
        <v>"//*[@class=\"</v>
      </c>
      <c r="N522" t="s">
        <v>31</v>
      </c>
      <c r="R522" t="str">
        <f t="shared" si="65"/>
        <v/>
      </c>
      <c r="S522" s="1" t="str">
        <f t="shared" si="54"/>
        <v/>
      </c>
      <c r="T522" s="4"/>
      <c r="U522" s="4"/>
      <c r="V522" s="4"/>
      <c r="W522" s="4"/>
      <c r="X522" s="4"/>
      <c r="Y522"/>
      <c r="Z522">
        <v>513</v>
      </c>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3"/>
      <c r="BC522" s="3"/>
      <c r="CT522" s="2" t="e">
        <v>#N/A</v>
      </c>
      <c r="CU522" s="2" t="e">
        <v>#N/A</v>
      </c>
      <c r="CV522" s="2" t="e">
        <v>#N/A</v>
      </c>
      <c r="CW522" s="2" t="e">
        <v>#N/A</v>
      </c>
      <c r="CX522" s="2" t="e">
        <v>#N/A</v>
      </c>
      <c r="CY522" s="2" t="e">
        <v>#N/A</v>
      </c>
      <c r="CZ522" s="2" t="e">
        <v>#N/A</v>
      </c>
      <c r="DA522" s="2" t="e">
        <v>#N/A</v>
      </c>
      <c r="DB522" s="2" t="e">
        <v>#N/A</v>
      </c>
      <c r="DC522" s="2" t="e">
        <v>#N/A</v>
      </c>
      <c r="DD522" s="2" t="e">
        <v>#N/A</v>
      </c>
      <c r="DE522" s="2" t="e">
        <v>#N/A</v>
      </c>
      <c r="DF522" s="2" t="e">
        <v>#N/A</v>
      </c>
      <c r="DG522" s="2" t="e">
        <v>#N/A</v>
      </c>
      <c r="DH522" s="2" t="e">
        <v>#N/A</v>
      </c>
      <c r="DI522" s="2" t="e">
        <v>#N/A</v>
      </c>
    </row>
    <row r="523" spans="1:113" s="2" customFormat="1">
      <c r="A523" s="4"/>
      <c r="B523" s="4"/>
      <c r="C523" s="46"/>
      <c r="D523" s="46"/>
      <c r="E523" s="46"/>
      <c r="F523" s="46"/>
      <c r="G523" s="46"/>
      <c r="H523" s="46"/>
      <c r="I523" s="46"/>
      <c r="J523" s="46"/>
      <c r="K523" s="46"/>
      <c r="L523" s="47"/>
      <c r="M523" t="str">
        <f t="shared" si="64"/>
        <v>"//*[@class=\"</v>
      </c>
      <c r="N523" t="s">
        <v>31</v>
      </c>
      <c r="R523" t="str">
        <f t="shared" si="65"/>
        <v/>
      </c>
      <c r="S523" s="1" t="str">
        <f t="shared" ref="S523:S586" si="66">IF(C523="Y",IF(D523&lt;&gt;"mat-select",IF(D523="End","",IF(O523="innerText",I523&amp;"="&amp;IF(C523="Y",IF(J523&lt;&gt;"Y",$S$8&amp;$R$9&amp;"."&amp;E523&amp;")."&amp;IF(OR(O523="click",O523="innerText"),O523&amp;"();",O523&amp;"("&amp;$Q$8&amp;"."&amp;E523&amp;");"),$S$7&amp;$R$9&amp;"."&amp;SUBSTITUTE(E523," ","")&amp;")."&amp;IF(O523="click",O523&amp;"();",O523&amp;"("&amp;"'"&amp;K523&amp;"'"&amp;");")),""),IF(C523="Y",IF(J523&lt;&gt;"Y",$S$8&amp;$R$9&amp;"."&amp;SUBSTITUTE(E523," ","")&amp;")."&amp;IF(OR(O523="click",O523="innerText"),O523&amp;"();",O523&amp;"("&amp;$Q$8&amp;"."&amp;SUBSTITUTE(E523," ","")&amp;");"),$S$7&amp;$R$9&amp;"."&amp;SUBSTITUTE(E523," ","")&amp;")."&amp;IF(O523="click",O523&amp;"();",O523&amp;"("&amp;"'"&amp;K523&amp;"'"&amp;");")),""))),"let form"&amp;Z523&amp;": String;"&amp;"for (let i = 1; i &lt; 30; i++) {"&amp;$S$8&amp;$R$9&amp;"."&amp;SUBSTITUTE(E523," ","")&amp;").click();"&amp;$CE$4&amp; "form"&amp;Z523&amp;"="&amp; $S$8&amp;$R$9&amp;"."&amp;SUBSTITUTE(E523," ","")&amp;").innerText();" &amp;"if ("&amp;"form"&amp;Z523&amp;"=="&amp; "Data[index]."&amp;SUBSTITUTE(E523," ","") &amp;"){"&amp;$CE$7),"")</f>
        <v/>
      </c>
      <c r="T523" s="4"/>
      <c r="U523" s="4"/>
      <c r="V523" s="4"/>
      <c r="W523" s="4"/>
      <c r="X523" s="4"/>
      <c r="Y523"/>
      <c r="Z523">
        <v>514</v>
      </c>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3"/>
      <c r="BC523" s="3"/>
      <c r="CT523" s="2" t="e">
        <v>#N/A</v>
      </c>
      <c r="CU523" s="2" t="e">
        <v>#N/A</v>
      </c>
      <c r="CV523" s="2" t="e">
        <v>#N/A</v>
      </c>
      <c r="CW523" s="2" t="e">
        <v>#N/A</v>
      </c>
      <c r="CX523" s="2" t="e">
        <v>#N/A</v>
      </c>
      <c r="CY523" s="2" t="e">
        <v>#N/A</v>
      </c>
      <c r="CZ523" s="2" t="e">
        <v>#N/A</v>
      </c>
      <c r="DA523" s="2" t="e">
        <v>#N/A</v>
      </c>
      <c r="DB523" s="2" t="e">
        <v>#N/A</v>
      </c>
      <c r="DC523" s="2" t="e">
        <v>#N/A</v>
      </c>
      <c r="DD523" s="2" t="e">
        <v>#N/A</v>
      </c>
      <c r="DE523" s="2" t="e">
        <v>#N/A</v>
      </c>
      <c r="DF523" s="2" t="e">
        <v>#N/A</v>
      </c>
      <c r="DG523" s="2" t="e">
        <v>#N/A</v>
      </c>
      <c r="DH523" s="2" t="e">
        <v>#N/A</v>
      </c>
      <c r="DI523" s="2" t="e">
        <v>#N/A</v>
      </c>
    </row>
    <row r="524" spans="1:113" s="2" customFormat="1">
      <c r="A524" s="4"/>
      <c r="B524" s="4"/>
      <c r="C524" s="30"/>
      <c r="D524" s="32"/>
      <c r="E524" s="45"/>
      <c r="F524" s="45"/>
      <c r="G524" s="45"/>
      <c r="H524" s="45"/>
      <c r="I524" s="45"/>
      <c r="J524" s="30"/>
      <c r="K524" s="30"/>
      <c r="L524" s="1"/>
      <c r="M524" t="str">
        <f t="shared" si="64"/>
        <v>"//*[@class=\"</v>
      </c>
      <c r="N524" t="s">
        <v>31</v>
      </c>
      <c r="O524" s="4" t="str">
        <f t="shared" si="60"/>
        <v>click</v>
      </c>
      <c r="P524" t="str">
        <f t="shared" si="61"/>
        <v>();</v>
      </c>
      <c r="Q524" t="str">
        <f t="shared" si="63"/>
        <v/>
      </c>
      <c r="R524" t="str">
        <f t="shared" si="65"/>
        <v/>
      </c>
      <c r="S524" s="1" t="str">
        <f t="shared" si="66"/>
        <v/>
      </c>
      <c r="T524" s="4"/>
      <c r="U524" s="4"/>
      <c r="V524" s="4"/>
      <c r="W524" s="4"/>
      <c r="X524" s="4"/>
      <c r="Y524"/>
      <c r="Z524">
        <v>515</v>
      </c>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3"/>
      <c r="BC524" s="3"/>
      <c r="CT524" s="2" t="e">
        <v>#N/A</v>
      </c>
      <c r="CU524" s="2" t="e">
        <v>#N/A</v>
      </c>
      <c r="CV524" s="2" t="e">
        <v>#N/A</v>
      </c>
      <c r="CW524" s="2" t="e">
        <v>#N/A</v>
      </c>
      <c r="CX524" s="2" t="e">
        <v>#N/A</v>
      </c>
      <c r="CY524" s="2" t="e">
        <v>#N/A</v>
      </c>
      <c r="CZ524" s="2" t="e">
        <v>#N/A</v>
      </c>
      <c r="DA524" s="2" t="e">
        <v>#N/A</v>
      </c>
      <c r="DB524" s="2" t="e">
        <v>#N/A</v>
      </c>
      <c r="DC524" s="2" t="e">
        <v>#N/A</v>
      </c>
      <c r="DD524" s="2" t="e">
        <v>#N/A</v>
      </c>
      <c r="DE524" s="2" t="e">
        <v>#N/A</v>
      </c>
      <c r="DF524" s="2" t="e">
        <v>#N/A</v>
      </c>
      <c r="DG524" s="2" t="e">
        <v>#N/A</v>
      </c>
      <c r="DH524" s="2" t="e">
        <v>#N/A</v>
      </c>
      <c r="DI524" s="2" t="e">
        <v>#N/A</v>
      </c>
    </row>
    <row r="525" spans="1:113" s="2" customFormat="1">
      <c r="A525" s="4"/>
      <c r="B525" s="4"/>
      <c r="C525" s="30"/>
      <c r="D525" s="32"/>
      <c r="E525" s="45"/>
      <c r="F525" s="45"/>
      <c r="G525" s="45"/>
      <c r="H525" s="45"/>
      <c r="I525" s="45"/>
      <c r="J525" s="30"/>
      <c r="K525" s="30"/>
      <c r="L525" s="1"/>
      <c r="M525" t="str">
        <f t="shared" si="64"/>
        <v>"//*[@class=\"</v>
      </c>
      <c r="N525" t="str">
        <f t="shared" ref="N525:N532" si="67">IF(A525="Y",""""&amp;C525&amp;""""&amp;": "&amp;M525&amp;",","")</f>
        <v/>
      </c>
      <c r="O525" s="4" t="str">
        <f t="shared" si="60"/>
        <v>click</v>
      </c>
      <c r="P525" t="str">
        <f t="shared" si="61"/>
        <v>();</v>
      </c>
      <c r="Q525" t="str">
        <f t="shared" si="63"/>
        <v/>
      </c>
      <c r="R525" t="str">
        <f t="shared" si="65"/>
        <v/>
      </c>
      <c r="S525" s="1" t="str">
        <f t="shared" si="66"/>
        <v/>
      </c>
      <c r="T525" s="4"/>
      <c r="U525" s="4"/>
      <c r="V525" s="4"/>
      <c r="W525" s="4"/>
      <c r="X525" s="4"/>
      <c r="Y525"/>
      <c r="Z525">
        <v>516</v>
      </c>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3"/>
      <c r="BC525" s="3"/>
      <c r="CT525" s="2" t="e">
        <v>#N/A</v>
      </c>
      <c r="CU525" s="2" t="e">
        <v>#N/A</v>
      </c>
      <c r="CV525" s="2" t="e">
        <v>#N/A</v>
      </c>
      <c r="CW525" s="2" t="e">
        <v>#N/A</v>
      </c>
      <c r="CX525" s="2" t="e">
        <v>#N/A</v>
      </c>
      <c r="CY525" s="2" t="e">
        <v>#N/A</v>
      </c>
      <c r="CZ525" s="2" t="e">
        <v>#N/A</v>
      </c>
      <c r="DA525" s="2" t="e">
        <v>#N/A</v>
      </c>
      <c r="DB525" s="2" t="e">
        <v>#N/A</v>
      </c>
      <c r="DC525" s="2" t="e">
        <v>#N/A</v>
      </c>
      <c r="DD525" s="2" t="e">
        <v>#N/A</v>
      </c>
      <c r="DE525" s="2" t="e">
        <v>#N/A</v>
      </c>
      <c r="DF525" s="2" t="e">
        <v>#N/A</v>
      </c>
      <c r="DG525" s="2" t="e">
        <v>#N/A</v>
      </c>
      <c r="DH525" s="2" t="e">
        <v>#N/A</v>
      </c>
      <c r="DI525" s="2" t="e">
        <v>#N/A</v>
      </c>
    </row>
    <row r="526" spans="1:113" s="2" customFormat="1">
      <c r="A526" s="4"/>
      <c r="B526" s="4"/>
      <c r="C526" s="30"/>
      <c r="D526" s="32"/>
      <c r="E526" s="45"/>
      <c r="F526" s="45"/>
      <c r="G526" s="45"/>
      <c r="H526" s="45"/>
      <c r="I526" s="45"/>
      <c r="J526" s="30"/>
      <c r="K526" s="30"/>
      <c r="L526" s="1"/>
      <c r="M526" t="str">
        <f t="shared" si="64"/>
        <v>"//*[@class=\"</v>
      </c>
      <c r="N526" t="str">
        <f t="shared" si="67"/>
        <v/>
      </c>
      <c r="O526" s="4" t="str">
        <f t="shared" si="60"/>
        <v>click</v>
      </c>
      <c r="P526" t="str">
        <f t="shared" si="61"/>
        <v>();</v>
      </c>
      <c r="Q526" t="str">
        <f t="shared" si="63"/>
        <v/>
      </c>
      <c r="R526" t="str">
        <f t="shared" si="65"/>
        <v/>
      </c>
      <c r="S526" s="1" t="str">
        <f t="shared" si="66"/>
        <v/>
      </c>
      <c r="T526" s="4"/>
      <c r="U526" s="4"/>
      <c r="V526" s="4"/>
      <c r="W526" s="4"/>
      <c r="X526" s="4"/>
      <c r="Y526"/>
      <c r="Z526">
        <v>517</v>
      </c>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3"/>
      <c r="BC526" s="3"/>
      <c r="CT526" s="2" t="e">
        <v>#N/A</v>
      </c>
      <c r="CU526" s="2" t="e">
        <v>#N/A</v>
      </c>
      <c r="CV526" s="2" t="e">
        <v>#N/A</v>
      </c>
      <c r="CW526" s="2" t="e">
        <v>#N/A</v>
      </c>
      <c r="CX526" s="2" t="e">
        <v>#N/A</v>
      </c>
      <c r="CY526" s="2" t="e">
        <v>#N/A</v>
      </c>
      <c r="CZ526" s="2" t="e">
        <v>#N/A</v>
      </c>
      <c r="DA526" s="2" t="e">
        <v>#N/A</v>
      </c>
      <c r="DB526" s="2" t="e">
        <v>#N/A</v>
      </c>
      <c r="DC526" s="2" t="e">
        <v>#N/A</v>
      </c>
      <c r="DD526" s="2" t="e">
        <v>#N/A</v>
      </c>
      <c r="DE526" s="2" t="e">
        <v>#N/A</v>
      </c>
      <c r="DF526" s="2" t="e">
        <v>#N/A</v>
      </c>
      <c r="DG526" s="2" t="e">
        <v>#N/A</v>
      </c>
      <c r="DH526" s="2" t="e">
        <v>#N/A</v>
      </c>
      <c r="DI526" s="2" t="e">
        <v>#N/A</v>
      </c>
    </row>
    <row r="527" spans="1:113" s="2" customFormat="1">
      <c r="A527" s="4"/>
      <c r="B527" s="4"/>
      <c r="C527" s="30"/>
      <c r="D527" s="32"/>
      <c r="E527" s="45"/>
      <c r="F527" s="45"/>
      <c r="G527" s="45"/>
      <c r="H527" s="45"/>
      <c r="I527" s="45"/>
      <c r="J527" s="30"/>
      <c r="K527" s="30"/>
      <c r="L527" s="1"/>
      <c r="M527" t="str">
        <f t="shared" si="64"/>
        <v>"//*[@class=\"</v>
      </c>
      <c r="N527" t="str">
        <f t="shared" si="67"/>
        <v/>
      </c>
      <c r="O527" s="4" t="str">
        <f t="shared" si="60"/>
        <v>click</v>
      </c>
      <c r="P527" t="str">
        <f t="shared" si="61"/>
        <v>();</v>
      </c>
      <c r="Q527" t="str">
        <f t="shared" si="63"/>
        <v/>
      </c>
      <c r="R527" t="str">
        <f t="shared" si="65"/>
        <v/>
      </c>
      <c r="S527" s="1" t="str">
        <f t="shared" si="66"/>
        <v/>
      </c>
      <c r="T527" s="4"/>
      <c r="U527" s="4"/>
      <c r="V527" s="4"/>
      <c r="W527" s="4"/>
      <c r="X527" s="4"/>
      <c r="Y527"/>
      <c r="Z527">
        <v>518</v>
      </c>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3"/>
      <c r="BC527" s="3"/>
      <c r="CT527" s="2" t="e">
        <v>#N/A</v>
      </c>
      <c r="CU527" s="2" t="e">
        <v>#N/A</v>
      </c>
      <c r="CV527" s="2" t="e">
        <v>#N/A</v>
      </c>
      <c r="CW527" s="2" t="e">
        <v>#N/A</v>
      </c>
      <c r="CX527" s="2" t="e">
        <v>#N/A</v>
      </c>
      <c r="CY527" s="2" t="e">
        <v>#N/A</v>
      </c>
      <c r="CZ527" s="2" t="e">
        <v>#N/A</v>
      </c>
      <c r="DA527" s="2" t="e">
        <v>#N/A</v>
      </c>
      <c r="DB527" s="2" t="e">
        <v>#N/A</v>
      </c>
      <c r="DC527" s="2" t="e">
        <v>#N/A</v>
      </c>
      <c r="DD527" s="2" t="e">
        <v>#N/A</v>
      </c>
      <c r="DE527" s="2" t="e">
        <v>#N/A</v>
      </c>
      <c r="DF527" s="2" t="e">
        <v>#N/A</v>
      </c>
      <c r="DG527" s="2" t="e">
        <v>#N/A</v>
      </c>
      <c r="DH527" s="2" t="e">
        <v>#N/A</v>
      </c>
      <c r="DI527" s="2" t="e">
        <v>#N/A</v>
      </c>
    </row>
    <row r="528" spans="1:113" s="2" customFormat="1">
      <c r="A528" s="4"/>
      <c r="B528" s="4"/>
      <c r="C528" s="30"/>
      <c r="D528" s="32"/>
      <c r="E528" s="45"/>
      <c r="F528" s="45"/>
      <c r="G528" s="45"/>
      <c r="H528" s="45"/>
      <c r="I528" s="45"/>
      <c r="J528" s="30"/>
      <c r="K528" s="30"/>
      <c r="L528" s="1"/>
      <c r="M528" t="str">
        <f t="shared" si="64"/>
        <v>"//*[@class=\"</v>
      </c>
      <c r="N528" t="str">
        <f t="shared" si="67"/>
        <v/>
      </c>
      <c r="O528" s="4" t="str">
        <f t="shared" si="60"/>
        <v>click</v>
      </c>
      <c r="P528" t="str">
        <f t="shared" si="61"/>
        <v>();</v>
      </c>
      <c r="Q528" t="str">
        <f t="shared" si="63"/>
        <v/>
      </c>
      <c r="R528" t="str">
        <f t="shared" si="65"/>
        <v/>
      </c>
      <c r="S528" s="1" t="str">
        <f t="shared" si="66"/>
        <v/>
      </c>
      <c r="T528" s="4"/>
      <c r="U528" s="4"/>
      <c r="V528" s="4"/>
      <c r="W528" s="4"/>
      <c r="X528" s="4"/>
      <c r="Y528"/>
      <c r="Z528">
        <v>519</v>
      </c>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3"/>
      <c r="BC528" s="3"/>
      <c r="CT528" s="2" t="e">
        <v>#N/A</v>
      </c>
      <c r="CU528" s="2" t="e">
        <v>#N/A</v>
      </c>
      <c r="CV528" s="2" t="e">
        <v>#N/A</v>
      </c>
      <c r="CW528" s="2" t="e">
        <v>#N/A</v>
      </c>
      <c r="CX528" s="2" t="e">
        <v>#N/A</v>
      </c>
      <c r="CY528" s="2" t="e">
        <v>#N/A</v>
      </c>
      <c r="CZ528" s="2" t="e">
        <v>#N/A</v>
      </c>
      <c r="DA528" s="2" t="e">
        <v>#N/A</v>
      </c>
      <c r="DB528" s="2" t="e">
        <v>#N/A</v>
      </c>
      <c r="DC528" s="2" t="e">
        <v>#N/A</v>
      </c>
      <c r="DD528" s="2" t="e">
        <v>#N/A</v>
      </c>
      <c r="DE528" s="2" t="e">
        <v>#N/A</v>
      </c>
      <c r="DF528" s="2" t="e">
        <v>#N/A</v>
      </c>
      <c r="DG528" s="2" t="e">
        <v>#N/A</v>
      </c>
      <c r="DH528" s="2" t="e">
        <v>#N/A</v>
      </c>
      <c r="DI528" s="2" t="e">
        <v>#N/A</v>
      </c>
    </row>
    <row r="529" spans="1:113" s="2" customFormat="1">
      <c r="A529" s="4"/>
      <c r="B529" s="4"/>
      <c r="C529" s="30"/>
      <c r="D529" s="32"/>
      <c r="E529" s="45"/>
      <c r="F529" s="45"/>
      <c r="G529" s="45"/>
      <c r="H529" s="45"/>
      <c r="I529" s="45"/>
      <c r="J529" s="30"/>
      <c r="K529" s="30"/>
      <c r="L529" s="1"/>
      <c r="M529" t="str">
        <f t="shared" si="64"/>
        <v>"//*[@class=\"</v>
      </c>
      <c r="N529" t="str">
        <f t="shared" si="67"/>
        <v/>
      </c>
      <c r="O529" s="4" t="str">
        <f t="shared" si="60"/>
        <v>click</v>
      </c>
      <c r="P529" t="str">
        <f t="shared" si="61"/>
        <v>();</v>
      </c>
      <c r="Q529" t="str">
        <f t="shared" si="63"/>
        <v/>
      </c>
      <c r="R529" t="str">
        <f t="shared" si="65"/>
        <v/>
      </c>
      <c r="S529" s="1" t="str">
        <f t="shared" si="66"/>
        <v/>
      </c>
      <c r="T529" s="4"/>
      <c r="U529" s="4"/>
      <c r="V529" s="4"/>
      <c r="W529" s="4"/>
      <c r="X529" s="4"/>
      <c r="Y529"/>
      <c r="Z529">
        <v>520</v>
      </c>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3"/>
      <c r="BC529" s="3"/>
      <c r="CT529" s="2" t="e">
        <v>#N/A</v>
      </c>
      <c r="CU529" s="2" t="e">
        <v>#N/A</v>
      </c>
      <c r="CV529" s="2" t="e">
        <v>#N/A</v>
      </c>
      <c r="CW529" s="2" t="e">
        <v>#N/A</v>
      </c>
      <c r="CX529" s="2" t="e">
        <v>#N/A</v>
      </c>
      <c r="CY529" s="2" t="e">
        <v>#N/A</v>
      </c>
      <c r="CZ529" s="2" t="e">
        <v>#N/A</v>
      </c>
      <c r="DA529" s="2" t="e">
        <v>#N/A</v>
      </c>
      <c r="DB529" s="2" t="e">
        <v>#N/A</v>
      </c>
      <c r="DC529" s="2" t="e">
        <v>#N/A</v>
      </c>
      <c r="DD529" s="2" t="e">
        <v>#N/A</v>
      </c>
      <c r="DE529" s="2" t="e">
        <v>#N/A</v>
      </c>
      <c r="DF529" s="2" t="e">
        <v>#N/A</v>
      </c>
      <c r="DG529" s="2" t="e">
        <v>#N/A</v>
      </c>
      <c r="DH529" s="2" t="e">
        <v>#N/A</v>
      </c>
      <c r="DI529" s="2" t="e">
        <v>#N/A</v>
      </c>
    </row>
    <row r="530" spans="1:113" s="2" customFormat="1">
      <c r="A530" s="4"/>
      <c r="B530" s="4"/>
      <c r="C530" s="30"/>
      <c r="D530" s="32"/>
      <c r="E530" s="45"/>
      <c r="F530" s="45"/>
      <c r="G530" s="45"/>
      <c r="H530" s="45"/>
      <c r="I530" s="45"/>
      <c r="J530" s="30"/>
      <c r="K530" s="30"/>
      <c r="L530" s="1"/>
      <c r="M530" t="str">
        <f t="shared" si="64"/>
        <v>"//*[@class=\"</v>
      </c>
      <c r="N530" t="str">
        <f t="shared" si="67"/>
        <v/>
      </c>
      <c r="O530" s="4" t="str">
        <f t="shared" si="60"/>
        <v>click</v>
      </c>
      <c r="P530" t="str">
        <f t="shared" si="61"/>
        <v>();</v>
      </c>
      <c r="Q530" t="str">
        <f t="shared" si="63"/>
        <v/>
      </c>
      <c r="R530" t="str">
        <f t="shared" si="65"/>
        <v/>
      </c>
      <c r="S530" s="1" t="str">
        <f t="shared" si="66"/>
        <v/>
      </c>
      <c r="T530" s="4"/>
      <c r="U530" s="4"/>
      <c r="V530" s="4"/>
      <c r="W530" s="4"/>
      <c r="X530" s="4"/>
      <c r="Y530"/>
      <c r="Z530">
        <v>521</v>
      </c>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3"/>
      <c r="BC530" s="3"/>
      <c r="CT530" s="2" t="e">
        <v>#N/A</v>
      </c>
      <c r="CU530" s="2" t="e">
        <v>#N/A</v>
      </c>
      <c r="CV530" s="2" t="e">
        <v>#N/A</v>
      </c>
      <c r="CW530" s="2" t="e">
        <v>#N/A</v>
      </c>
      <c r="CX530" s="2" t="e">
        <v>#N/A</v>
      </c>
      <c r="CY530" s="2" t="e">
        <v>#N/A</v>
      </c>
      <c r="CZ530" s="2" t="e">
        <v>#N/A</v>
      </c>
      <c r="DA530" s="2" t="e">
        <v>#N/A</v>
      </c>
      <c r="DB530" s="2" t="e">
        <v>#N/A</v>
      </c>
      <c r="DC530" s="2" t="e">
        <v>#N/A</v>
      </c>
      <c r="DD530" s="2" t="e">
        <v>#N/A</v>
      </c>
      <c r="DE530" s="2" t="e">
        <v>#N/A</v>
      </c>
      <c r="DF530" s="2" t="e">
        <v>#N/A</v>
      </c>
      <c r="DG530" s="2" t="e">
        <v>#N/A</v>
      </c>
      <c r="DH530" s="2" t="e">
        <v>#N/A</v>
      </c>
      <c r="DI530" s="2" t="e">
        <v>#N/A</v>
      </c>
    </row>
    <row r="531" spans="1:113" s="2" customFormat="1">
      <c r="A531" s="4"/>
      <c r="B531" s="4"/>
      <c r="C531" s="30"/>
      <c r="D531" s="32"/>
      <c r="E531" s="45"/>
      <c r="F531" s="45"/>
      <c r="G531" s="45"/>
      <c r="H531" s="45"/>
      <c r="I531" s="45"/>
      <c r="J531" s="30"/>
      <c r="K531" s="30"/>
      <c r="L531" s="1"/>
      <c r="M531" t="str">
        <f t="shared" si="64"/>
        <v>"//*[@class=\"</v>
      </c>
      <c r="N531" t="str">
        <f t="shared" si="67"/>
        <v/>
      </c>
      <c r="O531" s="4" t="str">
        <f t="shared" si="60"/>
        <v>click</v>
      </c>
      <c r="P531" t="str">
        <f t="shared" si="61"/>
        <v>();</v>
      </c>
      <c r="Q531" t="str">
        <f t="shared" si="63"/>
        <v/>
      </c>
      <c r="R531" t="str">
        <f t="shared" si="65"/>
        <v/>
      </c>
      <c r="S531" s="1" t="str">
        <f t="shared" si="66"/>
        <v/>
      </c>
      <c r="T531" s="4"/>
      <c r="U531" s="4"/>
      <c r="V531" s="4"/>
      <c r="W531" s="4"/>
      <c r="X531" s="4"/>
      <c r="Y531"/>
      <c r="Z531">
        <v>522</v>
      </c>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3"/>
      <c r="BC531" s="3"/>
      <c r="CT531" s="2" t="e">
        <v>#N/A</v>
      </c>
      <c r="CU531" s="2" t="e">
        <v>#N/A</v>
      </c>
      <c r="CV531" s="2" t="e">
        <v>#N/A</v>
      </c>
      <c r="CW531" s="2" t="e">
        <v>#N/A</v>
      </c>
      <c r="CX531" s="2" t="e">
        <v>#N/A</v>
      </c>
      <c r="CY531" s="2" t="e">
        <v>#N/A</v>
      </c>
      <c r="CZ531" s="2" t="e">
        <v>#N/A</v>
      </c>
      <c r="DA531" s="2" t="e">
        <v>#N/A</v>
      </c>
      <c r="DB531" s="2" t="e">
        <v>#N/A</v>
      </c>
      <c r="DC531" s="2" t="e">
        <v>#N/A</v>
      </c>
      <c r="DD531" s="2" t="e">
        <v>#N/A</v>
      </c>
      <c r="DE531" s="2" t="e">
        <v>#N/A</v>
      </c>
      <c r="DF531" s="2" t="e">
        <v>#N/A</v>
      </c>
      <c r="DG531" s="2" t="e">
        <v>#N/A</v>
      </c>
      <c r="DH531" s="2" t="e">
        <v>#N/A</v>
      </c>
      <c r="DI531" s="2" t="e">
        <v>#N/A</v>
      </c>
    </row>
    <row r="532" spans="1:113" s="2" customFormat="1">
      <c r="A532" s="4"/>
      <c r="B532" s="4"/>
      <c r="C532" s="30"/>
      <c r="D532" s="32"/>
      <c r="E532" s="45"/>
      <c r="F532" s="45"/>
      <c r="G532" s="45"/>
      <c r="H532" s="45"/>
      <c r="I532" s="45"/>
      <c r="J532" s="30"/>
      <c r="K532" s="30"/>
      <c r="L532" s="1"/>
      <c r="M532" t="str">
        <f t="shared" si="64"/>
        <v>"//*[@class=\"</v>
      </c>
      <c r="N532" t="str">
        <f t="shared" si="67"/>
        <v/>
      </c>
      <c r="O532" s="4" t="str">
        <f t="shared" si="60"/>
        <v>click</v>
      </c>
      <c r="P532" t="str">
        <f t="shared" si="61"/>
        <v>();</v>
      </c>
      <c r="Q532" t="str">
        <f t="shared" si="63"/>
        <v/>
      </c>
      <c r="R532" t="str">
        <f t="shared" si="65"/>
        <v/>
      </c>
      <c r="S532" s="1" t="str">
        <f t="shared" si="66"/>
        <v/>
      </c>
      <c r="T532" s="4"/>
      <c r="U532" s="4"/>
      <c r="V532" s="4"/>
      <c r="W532" s="4"/>
      <c r="X532" s="4"/>
      <c r="Y532"/>
      <c r="Z532">
        <v>523</v>
      </c>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3"/>
      <c r="BC532" s="3"/>
      <c r="CT532" s="2" t="e">
        <v>#N/A</v>
      </c>
      <c r="CU532" s="2" t="e">
        <v>#N/A</v>
      </c>
      <c r="CV532" s="2" t="e">
        <v>#N/A</v>
      </c>
      <c r="CW532" s="2" t="e">
        <v>#N/A</v>
      </c>
      <c r="CX532" s="2" t="e">
        <v>#N/A</v>
      </c>
      <c r="CY532" s="2" t="e">
        <v>#N/A</v>
      </c>
      <c r="CZ532" s="2" t="e">
        <v>#N/A</v>
      </c>
      <c r="DA532" s="2" t="e">
        <v>#N/A</v>
      </c>
      <c r="DB532" s="2" t="e">
        <v>#N/A</v>
      </c>
      <c r="DC532" s="2" t="e">
        <v>#N/A</v>
      </c>
      <c r="DD532" s="2" t="e">
        <v>#N/A</v>
      </c>
      <c r="DE532" s="2" t="e">
        <v>#N/A</v>
      </c>
      <c r="DF532" s="2" t="e">
        <v>#N/A</v>
      </c>
      <c r="DG532" s="2" t="e">
        <v>#N/A</v>
      </c>
      <c r="DH532" s="2" t="e">
        <v>#N/A</v>
      </c>
      <c r="DI532" s="2" t="e">
        <v>#N/A</v>
      </c>
    </row>
    <row r="533" spans="1:113" s="2" customFormat="1">
      <c r="A533" s="4"/>
      <c r="B533" s="4"/>
      <c r="C533" s="30"/>
      <c r="D533" s="32"/>
      <c r="E533" s="45"/>
      <c r="F533" s="45"/>
      <c r="G533" s="45"/>
      <c r="H533" s="45"/>
      <c r="I533" s="45"/>
      <c r="J533" s="30"/>
      <c r="K533" s="30"/>
      <c r="L533" s="1"/>
      <c r="M533" t="str">
        <f t="shared" si="64"/>
        <v>"//*[@class=\"</v>
      </c>
      <c r="N533" t="str">
        <f t="shared" ref="N533:N596" si="68">IF(A533="Y",""""&amp;C533&amp;""""&amp;": "&amp;M533&amp;",","")</f>
        <v/>
      </c>
      <c r="O533" s="4" t="str">
        <f t="shared" ref="O533:O596" si="69">IF(D533="input","fill",IF(I533&lt;&gt;"","innerText",IF(J533="Y",$T$7,"click")))</f>
        <v>click</v>
      </c>
      <c r="P533" t="str">
        <f t="shared" ref="P533:P596" si="70">IF(OR(O533="Click",O533="innerText"),"();","("&amp;""""&amp;K533&amp;""""&amp;");")</f>
        <v>();</v>
      </c>
      <c r="Q533" t="str">
        <f t="shared" si="63"/>
        <v/>
      </c>
      <c r="R533" t="str">
        <f t="shared" si="65"/>
        <v/>
      </c>
      <c r="S533" s="1" t="str">
        <f t="shared" si="66"/>
        <v/>
      </c>
      <c r="T533" s="4"/>
      <c r="U533" s="4"/>
      <c r="V533" s="4"/>
      <c r="W533" s="4"/>
      <c r="X533" s="4"/>
      <c r="Y533"/>
      <c r="Z533">
        <v>524</v>
      </c>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3"/>
      <c r="BC533" s="3"/>
      <c r="CT533" s="2" t="e">
        <v>#N/A</v>
      </c>
      <c r="CU533" s="2" t="e">
        <v>#N/A</v>
      </c>
      <c r="CV533" s="2" t="e">
        <v>#N/A</v>
      </c>
      <c r="CW533" s="2" t="e">
        <v>#N/A</v>
      </c>
      <c r="CX533" s="2" t="e">
        <v>#N/A</v>
      </c>
      <c r="CY533" s="2" t="e">
        <v>#N/A</v>
      </c>
      <c r="CZ533" s="2" t="e">
        <v>#N/A</v>
      </c>
      <c r="DA533" s="2" t="e">
        <v>#N/A</v>
      </c>
      <c r="DB533" s="2" t="e">
        <v>#N/A</v>
      </c>
      <c r="DC533" s="2" t="e">
        <v>#N/A</v>
      </c>
      <c r="DD533" s="2" t="e">
        <v>#N/A</v>
      </c>
      <c r="DE533" s="2" t="e">
        <v>#N/A</v>
      </c>
      <c r="DF533" s="2" t="e">
        <v>#N/A</v>
      </c>
      <c r="DG533" s="2" t="e">
        <v>#N/A</v>
      </c>
      <c r="DH533" s="2" t="e">
        <v>#N/A</v>
      </c>
      <c r="DI533" s="2" t="e">
        <v>#N/A</v>
      </c>
    </row>
    <row r="534" spans="1:113" s="2" customFormat="1">
      <c r="A534" s="4"/>
      <c r="B534" s="4"/>
      <c r="C534" s="30"/>
      <c r="D534" s="32"/>
      <c r="E534" s="45"/>
      <c r="F534" s="45"/>
      <c r="G534" s="45"/>
      <c r="H534" s="45"/>
      <c r="I534" s="45"/>
      <c r="J534" s="30"/>
      <c r="K534" s="30"/>
      <c r="L534" s="1"/>
      <c r="M534" t="str">
        <f t="shared" si="64"/>
        <v>"//*[@class=\"</v>
      </c>
      <c r="N534" t="str">
        <f t="shared" si="68"/>
        <v/>
      </c>
      <c r="O534" s="4" t="str">
        <f t="shared" si="69"/>
        <v>click</v>
      </c>
      <c r="P534" t="str">
        <f t="shared" si="70"/>
        <v>();</v>
      </c>
      <c r="Q534" t="str">
        <f t="shared" si="63"/>
        <v/>
      </c>
      <c r="R534" t="str">
        <f t="shared" si="65"/>
        <v/>
      </c>
      <c r="S534" s="1" t="str">
        <f t="shared" si="66"/>
        <v/>
      </c>
      <c r="T534" s="4"/>
      <c r="U534" s="4"/>
      <c r="V534" s="4"/>
      <c r="W534" s="4"/>
      <c r="X534" s="4"/>
      <c r="Y534"/>
      <c r="Z534">
        <v>525</v>
      </c>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3"/>
      <c r="BC534" s="3"/>
      <c r="CT534" s="2" t="e">
        <v>#N/A</v>
      </c>
      <c r="CU534" s="2" t="e">
        <v>#N/A</v>
      </c>
      <c r="CV534" s="2" t="e">
        <v>#N/A</v>
      </c>
      <c r="CW534" s="2" t="e">
        <v>#N/A</v>
      </c>
      <c r="CX534" s="2" t="e">
        <v>#N/A</v>
      </c>
      <c r="CY534" s="2" t="e">
        <v>#N/A</v>
      </c>
      <c r="CZ534" s="2" t="e">
        <v>#N/A</v>
      </c>
      <c r="DA534" s="2" t="e">
        <v>#N/A</v>
      </c>
      <c r="DB534" s="2" t="e">
        <v>#N/A</v>
      </c>
      <c r="DC534" s="2" t="e">
        <v>#N/A</v>
      </c>
      <c r="DD534" s="2" t="e">
        <v>#N/A</v>
      </c>
      <c r="DE534" s="2" t="e">
        <v>#N/A</v>
      </c>
      <c r="DF534" s="2" t="e">
        <v>#N/A</v>
      </c>
      <c r="DG534" s="2" t="e">
        <v>#N/A</v>
      </c>
      <c r="DH534" s="2" t="e">
        <v>#N/A</v>
      </c>
      <c r="DI534" s="2" t="e">
        <v>#N/A</v>
      </c>
    </row>
    <row r="535" spans="1:113" s="2" customFormat="1">
      <c r="A535" s="4"/>
      <c r="B535" s="4"/>
      <c r="C535" s="30"/>
      <c r="D535" s="32"/>
      <c r="E535" s="45"/>
      <c r="F535" s="45"/>
      <c r="G535" s="45"/>
      <c r="H535" s="45"/>
      <c r="I535" s="45"/>
      <c r="J535" s="30"/>
      <c r="K535" s="30"/>
      <c r="L535" s="1"/>
      <c r="M535" t="str">
        <f t="shared" si="64"/>
        <v>"//*[@class=\"</v>
      </c>
      <c r="N535" t="str">
        <f t="shared" si="68"/>
        <v/>
      </c>
      <c r="O535" s="4" t="str">
        <f t="shared" si="69"/>
        <v>click</v>
      </c>
      <c r="P535" t="str">
        <f t="shared" si="70"/>
        <v>();</v>
      </c>
      <c r="Q535" t="str">
        <f t="shared" si="63"/>
        <v/>
      </c>
      <c r="R535" t="str">
        <f t="shared" si="65"/>
        <v/>
      </c>
      <c r="S535" s="1" t="str">
        <f t="shared" si="66"/>
        <v/>
      </c>
      <c r="T535" s="4"/>
      <c r="U535" s="4"/>
      <c r="V535" s="4"/>
      <c r="W535" s="4"/>
      <c r="X535" s="4"/>
      <c r="Y535"/>
      <c r="Z535">
        <v>526</v>
      </c>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3"/>
      <c r="BC535" s="3"/>
      <c r="CT535" s="2" t="e">
        <v>#N/A</v>
      </c>
      <c r="CU535" s="2" t="e">
        <v>#N/A</v>
      </c>
      <c r="CV535" s="2" t="e">
        <v>#N/A</v>
      </c>
      <c r="CW535" s="2" t="e">
        <v>#N/A</v>
      </c>
      <c r="CX535" s="2" t="e">
        <v>#N/A</v>
      </c>
      <c r="CY535" s="2" t="e">
        <v>#N/A</v>
      </c>
      <c r="CZ535" s="2" t="e">
        <v>#N/A</v>
      </c>
      <c r="DA535" s="2" t="e">
        <v>#N/A</v>
      </c>
      <c r="DB535" s="2" t="e">
        <v>#N/A</v>
      </c>
      <c r="DC535" s="2" t="e">
        <v>#N/A</v>
      </c>
      <c r="DD535" s="2" t="e">
        <v>#N/A</v>
      </c>
      <c r="DE535" s="2" t="e">
        <v>#N/A</v>
      </c>
      <c r="DF535" s="2" t="e">
        <v>#N/A</v>
      </c>
      <c r="DG535" s="2" t="e">
        <v>#N/A</v>
      </c>
      <c r="DH535" s="2" t="e">
        <v>#N/A</v>
      </c>
      <c r="DI535" s="2" t="e">
        <v>#N/A</v>
      </c>
    </row>
    <row r="536" spans="1:113" s="2" customFormat="1">
      <c r="A536" s="4"/>
      <c r="B536" s="4"/>
      <c r="C536" s="30"/>
      <c r="D536" s="32"/>
      <c r="E536" s="45"/>
      <c r="F536" s="45"/>
      <c r="G536" s="45"/>
      <c r="H536" s="45"/>
      <c r="I536" s="45"/>
      <c r="J536" s="30"/>
      <c r="K536" s="30"/>
      <c r="L536" s="1"/>
      <c r="M536" t="str">
        <f t="shared" si="64"/>
        <v>"//*[@class=\"</v>
      </c>
      <c r="N536" t="str">
        <f t="shared" si="68"/>
        <v/>
      </c>
      <c r="O536" s="4" t="str">
        <f t="shared" si="69"/>
        <v>click</v>
      </c>
      <c r="P536" t="str">
        <f t="shared" si="70"/>
        <v>();</v>
      </c>
      <c r="Q536" t="str">
        <f t="shared" si="63"/>
        <v/>
      </c>
      <c r="R536" t="str">
        <f t="shared" si="65"/>
        <v/>
      </c>
      <c r="S536" s="1" t="str">
        <f t="shared" si="66"/>
        <v/>
      </c>
      <c r="T536" s="4"/>
      <c r="U536" s="4"/>
      <c r="V536" s="4"/>
      <c r="W536" s="4"/>
      <c r="X536" s="4"/>
      <c r="Y536"/>
      <c r="Z536">
        <v>527</v>
      </c>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3"/>
      <c r="BC536" s="3"/>
      <c r="CT536" s="2" t="e">
        <v>#N/A</v>
      </c>
      <c r="CU536" s="2" t="e">
        <v>#N/A</v>
      </c>
      <c r="CV536" s="2" t="e">
        <v>#N/A</v>
      </c>
      <c r="CW536" s="2" t="e">
        <v>#N/A</v>
      </c>
      <c r="CX536" s="2" t="e">
        <v>#N/A</v>
      </c>
      <c r="CY536" s="2" t="e">
        <v>#N/A</v>
      </c>
      <c r="CZ536" s="2" t="e">
        <v>#N/A</v>
      </c>
      <c r="DA536" s="2" t="e">
        <v>#N/A</v>
      </c>
      <c r="DB536" s="2" t="e">
        <v>#N/A</v>
      </c>
      <c r="DC536" s="2" t="e">
        <v>#N/A</v>
      </c>
      <c r="DD536" s="2" t="e">
        <v>#N/A</v>
      </c>
      <c r="DE536" s="2" t="e">
        <v>#N/A</v>
      </c>
      <c r="DF536" s="2" t="e">
        <v>#N/A</v>
      </c>
      <c r="DG536" s="2" t="e">
        <v>#N/A</v>
      </c>
      <c r="DH536" s="2" t="e">
        <v>#N/A</v>
      </c>
      <c r="DI536" s="2" t="e">
        <v>#N/A</v>
      </c>
    </row>
    <row r="537" spans="1:113" s="2" customFormat="1">
      <c r="A537" s="4"/>
      <c r="B537" s="4"/>
      <c r="C537" s="30"/>
      <c r="D537" s="32"/>
      <c r="E537" s="45"/>
      <c r="F537" s="45"/>
      <c r="G537" s="45"/>
      <c r="H537" s="45"/>
      <c r="I537" s="45"/>
      <c r="J537" s="30"/>
      <c r="K537" s="30"/>
      <c r="L537" s="1"/>
      <c r="M537" t="str">
        <f t="shared" si="64"/>
        <v>"//*[@class=\"</v>
      </c>
      <c r="N537" t="str">
        <f t="shared" si="68"/>
        <v/>
      </c>
      <c r="O537" s="4" t="str">
        <f t="shared" si="69"/>
        <v>click</v>
      </c>
      <c r="P537" t="str">
        <f t="shared" si="70"/>
        <v>();</v>
      </c>
      <c r="Q537" t="str">
        <f t="shared" si="63"/>
        <v/>
      </c>
      <c r="R537" t="str">
        <f t="shared" si="65"/>
        <v/>
      </c>
      <c r="S537" s="1" t="str">
        <f t="shared" si="66"/>
        <v/>
      </c>
      <c r="T537" s="4"/>
      <c r="U537" s="4"/>
      <c r="V537" s="4"/>
      <c r="W537" s="4"/>
      <c r="X537" s="4"/>
      <c r="Y537"/>
      <c r="Z537">
        <v>528</v>
      </c>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3"/>
      <c r="BC537" s="3"/>
      <c r="CT537" s="2" t="e">
        <v>#N/A</v>
      </c>
      <c r="CU537" s="2" t="e">
        <v>#N/A</v>
      </c>
      <c r="CV537" s="2" t="e">
        <v>#N/A</v>
      </c>
      <c r="CW537" s="2" t="e">
        <v>#N/A</v>
      </c>
      <c r="CX537" s="2" t="e">
        <v>#N/A</v>
      </c>
      <c r="CY537" s="2" t="e">
        <v>#N/A</v>
      </c>
      <c r="CZ537" s="2" t="e">
        <v>#N/A</v>
      </c>
      <c r="DA537" s="2" t="e">
        <v>#N/A</v>
      </c>
      <c r="DB537" s="2" t="e">
        <v>#N/A</v>
      </c>
      <c r="DC537" s="2" t="e">
        <v>#N/A</v>
      </c>
      <c r="DD537" s="2" t="e">
        <v>#N/A</v>
      </c>
      <c r="DE537" s="2" t="e">
        <v>#N/A</v>
      </c>
      <c r="DF537" s="2" t="e">
        <v>#N/A</v>
      </c>
      <c r="DG537" s="2" t="e">
        <v>#N/A</v>
      </c>
      <c r="DH537" s="2" t="e">
        <v>#N/A</v>
      </c>
      <c r="DI537" s="2" t="e">
        <v>#N/A</v>
      </c>
    </row>
    <row r="538" spans="1:113" s="2" customFormat="1">
      <c r="A538" s="4"/>
      <c r="B538" s="4"/>
      <c r="C538" s="30"/>
      <c r="D538" s="32"/>
      <c r="E538" s="45"/>
      <c r="F538" s="45"/>
      <c r="G538" s="45"/>
      <c r="H538" s="45"/>
      <c r="I538" s="45"/>
      <c r="J538" s="30"/>
      <c r="K538" s="30"/>
      <c r="L538" s="1"/>
      <c r="M538" t="str">
        <f t="shared" si="64"/>
        <v>"//*[@class=\"</v>
      </c>
      <c r="N538" t="str">
        <f t="shared" si="68"/>
        <v/>
      </c>
      <c r="O538" s="4" t="str">
        <f t="shared" si="69"/>
        <v>click</v>
      </c>
      <c r="P538" t="str">
        <f t="shared" si="70"/>
        <v>();</v>
      </c>
      <c r="Q538" t="str">
        <f t="shared" si="63"/>
        <v/>
      </c>
      <c r="R538" t="str">
        <f t="shared" si="65"/>
        <v/>
      </c>
      <c r="S538" s="1" t="str">
        <f t="shared" si="66"/>
        <v/>
      </c>
      <c r="T538" s="4"/>
      <c r="U538" s="4"/>
      <c r="V538" s="4"/>
      <c r="W538" s="4"/>
      <c r="X538" s="4"/>
      <c r="Y538"/>
      <c r="Z538">
        <v>529</v>
      </c>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3"/>
      <c r="BC538" s="3"/>
      <c r="CT538" s="2" t="e">
        <v>#N/A</v>
      </c>
      <c r="CU538" s="2" t="e">
        <v>#N/A</v>
      </c>
      <c r="CV538" s="2" t="e">
        <v>#N/A</v>
      </c>
      <c r="CW538" s="2" t="e">
        <v>#N/A</v>
      </c>
      <c r="CX538" s="2" t="e">
        <v>#N/A</v>
      </c>
      <c r="CY538" s="2" t="e">
        <v>#N/A</v>
      </c>
      <c r="CZ538" s="2" t="e">
        <v>#N/A</v>
      </c>
      <c r="DA538" s="2" t="e">
        <v>#N/A</v>
      </c>
      <c r="DB538" s="2" t="e">
        <v>#N/A</v>
      </c>
      <c r="DC538" s="2" t="e">
        <v>#N/A</v>
      </c>
      <c r="DD538" s="2" t="e">
        <v>#N/A</v>
      </c>
      <c r="DE538" s="2" t="e">
        <v>#N/A</v>
      </c>
      <c r="DF538" s="2" t="e">
        <v>#N/A</v>
      </c>
      <c r="DG538" s="2" t="e">
        <v>#N/A</v>
      </c>
      <c r="DH538" s="2" t="e">
        <v>#N/A</v>
      </c>
      <c r="DI538" s="2" t="e">
        <v>#N/A</v>
      </c>
    </row>
    <row r="539" spans="1:113" s="2" customFormat="1">
      <c r="A539" s="4"/>
      <c r="B539" s="4"/>
      <c r="C539" s="30"/>
      <c r="D539" s="32"/>
      <c r="E539" s="45"/>
      <c r="F539" s="45"/>
      <c r="G539" s="45"/>
      <c r="H539" s="45"/>
      <c r="I539" s="45"/>
      <c r="J539" s="30"/>
      <c r="K539" s="30"/>
      <c r="L539" s="1"/>
      <c r="M539" t="str">
        <f t="shared" si="64"/>
        <v>"//*[@class=\"</v>
      </c>
      <c r="N539" t="str">
        <f t="shared" si="68"/>
        <v/>
      </c>
      <c r="O539" s="4" t="str">
        <f t="shared" si="69"/>
        <v>click</v>
      </c>
      <c r="P539" t="str">
        <f t="shared" si="70"/>
        <v>();</v>
      </c>
      <c r="Q539" t="str">
        <f t="shared" si="63"/>
        <v/>
      </c>
      <c r="R539" t="str">
        <f t="shared" si="65"/>
        <v/>
      </c>
      <c r="S539" s="1" t="str">
        <f t="shared" si="66"/>
        <v/>
      </c>
      <c r="T539" s="4"/>
      <c r="U539" s="4"/>
      <c r="V539" s="4"/>
      <c r="W539" s="4"/>
      <c r="X539" s="4"/>
      <c r="Y539"/>
      <c r="Z539">
        <v>530</v>
      </c>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3"/>
      <c r="BC539" s="3"/>
      <c r="CT539" s="2" t="e">
        <v>#N/A</v>
      </c>
      <c r="CU539" s="2" t="e">
        <v>#N/A</v>
      </c>
      <c r="CV539" s="2" t="e">
        <v>#N/A</v>
      </c>
      <c r="CW539" s="2" t="e">
        <v>#N/A</v>
      </c>
      <c r="CX539" s="2" t="e">
        <v>#N/A</v>
      </c>
      <c r="CY539" s="2" t="e">
        <v>#N/A</v>
      </c>
      <c r="CZ539" s="2" t="e">
        <v>#N/A</v>
      </c>
      <c r="DA539" s="2" t="e">
        <v>#N/A</v>
      </c>
      <c r="DB539" s="2" t="e">
        <v>#N/A</v>
      </c>
      <c r="DC539" s="2" t="e">
        <v>#N/A</v>
      </c>
      <c r="DD539" s="2" t="e">
        <v>#N/A</v>
      </c>
      <c r="DE539" s="2" t="e">
        <v>#N/A</v>
      </c>
      <c r="DF539" s="2" t="e">
        <v>#N/A</v>
      </c>
      <c r="DG539" s="2" t="e">
        <v>#N/A</v>
      </c>
      <c r="DH539" s="2" t="e">
        <v>#N/A</v>
      </c>
      <c r="DI539" s="2" t="e">
        <v>#N/A</v>
      </c>
    </row>
    <row r="540" spans="1:113" s="2" customFormat="1">
      <c r="A540" s="4"/>
      <c r="B540" s="4"/>
      <c r="C540" s="30"/>
      <c r="D540" s="32"/>
      <c r="E540" s="45"/>
      <c r="F540" s="45"/>
      <c r="G540" s="45"/>
      <c r="H540" s="45"/>
      <c r="I540" s="45"/>
      <c r="J540" s="30"/>
      <c r="K540" s="30"/>
      <c r="L540" s="1"/>
      <c r="M540" t="str">
        <f t="shared" si="64"/>
        <v>"//*[@class=\"</v>
      </c>
      <c r="N540" t="str">
        <f t="shared" si="68"/>
        <v/>
      </c>
      <c r="O540" s="4" t="str">
        <f t="shared" si="69"/>
        <v>click</v>
      </c>
      <c r="P540" t="str">
        <f t="shared" si="70"/>
        <v>();</v>
      </c>
      <c r="Q540" t="str">
        <f t="shared" si="63"/>
        <v/>
      </c>
      <c r="R540" t="str">
        <f t="shared" si="65"/>
        <v/>
      </c>
      <c r="S540" s="1" t="str">
        <f t="shared" si="66"/>
        <v/>
      </c>
      <c r="T540" s="4"/>
      <c r="U540" s="4"/>
      <c r="V540" s="4"/>
      <c r="W540" s="4"/>
      <c r="X540" s="4"/>
      <c r="Y540"/>
      <c r="Z540">
        <v>531</v>
      </c>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3"/>
      <c r="BC540" s="3"/>
      <c r="CT540" s="2" t="e">
        <v>#N/A</v>
      </c>
      <c r="CU540" s="2" t="e">
        <v>#N/A</v>
      </c>
      <c r="CV540" s="2" t="e">
        <v>#N/A</v>
      </c>
      <c r="CW540" s="2" t="e">
        <v>#N/A</v>
      </c>
      <c r="CX540" s="2" t="e">
        <v>#N/A</v>
      </c>
      <c r="CY540" s="2" t="e">
        <v>#N/A</v>
      </c>
      <c r="CZ540" s="2" t="e">
        <v>#N/A</v>
      </c>
      <c r="DA540" s="2" t="e">
        <v>#N/A</v>
      </c>
      <c r="DB540" s="2" t="e">
        <v>#N/A</v>
      </c>
      <c r="DC540" s="2" t="e">
        <v>#N/A</v>
      </c>
      <c r="DD540" s="2" t="e">
        <v>#N/A</v>
      </c>
      <c r="DE540" s="2" t="e">
        <v>#N/A</v>
      </c>
      <c r="DF540" s="2" t="e">
        <v>#N/A</v>
      </c>
      <c r="DG540" s="2" t="e">
        <v>#N/A</v>
      </c>
      <c r="DH540" s="2" t="e">
        <v>#N/A</v>
      </c>
      <c r="DI540" s="2" t="e">
        <v>#N/A</v>
      </c>
    </row>
    <row r="541" spans="1:113" s="2" customFormat="1">
      <c r="A541" s="4"/>
      <c r="B541" s="4"/>
      <c r="C541" s="30"/>
      <c r="D541" s="32"/>
      <c r="E541" s="45"/>
      <c r="F541" s="45"/>
      <c r="G541" s="45"/>
      <c r="H541" s="45"/>
      <c r="I541" s="45"/>
      <c r="J541" s="30"/>
      <c r="K541" s="30"/>
      <c r="L541" s="1"/>
      <c r="M541" t="str">
        <f t="shared" si="64"/>
        <v>"//*[@class=\"</v>
      </c>
      <c r="N541" t="str">
        <f t="shared" si="68"/>
        <v/>
      </c>
      <c r="O541" s="4" t="str">
        <f t="shared" si="69"/>
        <v>click</v>
      </c>
      <c r="P541" t="str">
        <f t="shared" si="70"/>
        <v>();</v>
      </c>
      <c r="Q541" t="str">
        <f t="shared" ref="Q541:Q604" si="71">IF(A541="Y",IF(H541&lt;&gt;"Xpath",M541&amp;F541&amp;N541,""""&amp;F541&amp;""""),"")</f>
        <v/>
      </c>
      <c r="R541" t="str">
        <f t="shared" si="65"/>
        <v/>
      </c>
      <c r="S541" s="1" t="str">
        <f t="shared" si="66"/>
        <v/>
      </c>
      <c r="T541" s="4"/>
      <c r="U541" s="4"/>
      <c r="V541" s="4"/>
      <c r="W541" s="4"/>
      <c r="X541" s="4"/>
      <c r="Y541"/>
      <c r="Z541">
        <v>532</v>
      </c>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3"/>
      <c r="BC541" s="3"/>
      <c r="CT541" s="2" t="e">
        <v>#N/A</v>
      </c>
      <c r="CU541" s="2" t="e">
        <v>#N/A</v>
      </c>
      <c r="CV541" s="2" t="e">
        <v>#N/A</v>
      </c>
      <c r="CW541" s="2" t="e">
        <v>#N/A</v>
      </c>
      <c r="CX541" s="2" t="e">
        <v>#N/A</v>
      </c>
      <c r="CY541" s="2" t="e">
        <v>#N/A</v>
      </c>
      <c r="CZ541" s="2" t="e">
        <v>#N/A</v>
      </c>
      <c r="DA541" s="2" t="e">
        <v>#N/A</v>
      </c>
      <c r="DB541" s="2" t="e">
        <v>#N/A</v>
      </c>
      <c r="DC541" s="2" t="e">
        <v>#N/A</v>
      </c>
      <c r="DD541" s="2" t="e">
        <v>#N/A</v>
      </c>
      <c r="DE541" s="2" t="e">
        <v>#N/A</v>
      </c>
      <c r="DF541" s="2" t="e">
        <v>#N/A</v>
      </c>
      <c r="DG541" s="2" t="e">
        <v>#N/A</v>
      </c>
      <c r="DH541" s="2" t="e">
        <v>#N/A</v>
      </c>
      <c r="DI541" s="2" t="e">
        <v>#N/A</v>
      </c>
    </row>
    <row r="542" spans="1:113" s="2" customFormat="1">
      <c r="A542" s="4"/>
      <c r="B542" s="4"/>
      <c r="C542" s="30"/>
      <c r="D542" s="32"/>
      <c r="E542" s="45"/>
      <c r="F542" s="45"/>
      <c r="G542" s="45"/>
      <c r="H542" s="45"/>
      <c r="I542" s="45"/>
      <c r="J542" s="30"/>
      <c r="K542" s="30"/>
      <c r="L542" s="1"/>
      <c r="M542" t="str">
        <f t="shared" si="64"/>
        <v>"//*[@class=\"</v>
      </c>
      <c r="N542" t="str">
        <f t="shared" si="68"/>
        <v/>
      </c>
      <c r="O542" s="4" t="str">
        <f t="shared" si="69"/>
        <v>click</v>
      </c>
      <c r="P542" t="str">
        <f t="shared" si="70"/>
        <v>();</v>
      </c>
      <c r="Q542" t="str">
        <f t="shared" si="71"/>
        <v/>
      </c>
      <c r="R542" t="str">
        <f t="shared" si="65"/>
        <v/>
      </c>
      <c r="S542" s="1" t="str">
        <f t="shared" si="66"/>
        <v/>
      </c>
      <c r="T542" s="4"/>
      <c r="U542" s="4"/>
      <c r="V542" s="4"/>
      <c r="W542" s="4"/>
      <c r="X542" s="4"/>
      <c r="Y542"/>
      <c r="Z542">
        <v>533</v>
      </c>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3"/>
      <c r="BC542" s="3"/>
      <c r="CT542" s="2" t="e">
        <v>#N/A</v>
      </c>
      <c r="CU542" s="2" t="e">
        <v>#N/A</v>
      </c>
      <c r="CV542" s="2" t="e">
        <v>#N/A</v>
      </c>
      <c r="CW542" s="2" t="e">
        <v>#N/A</v>
      </c>
      <c r="CX542" s="2" t="e">
        <v>#N/A</v>
      </c>
      <c r="CY542" s="2" t="e">
        <v>#N/A</v>
      </c>
      <c r="CZ542" s="2" t="e">
        <v>#N/A</v>
      </c>
      <c r="DA542" s="2" t="e">
        <v>#N/A</v>
      </c>
      <c r="DB542" s="2" t="e">
        <v>#N/A</v>
      </c>
      <c r="DC542" s="2" t="e">
        <v>#N/A</v>
      </c>
      <c r="DD542" s="2" t="e">
        <v>#N/A</v>
      </c>
      <c r="DE542" s="2" t="e">
        <v>#N/A</v>
      </c>
      <c r="DF542" s="2" t="e">
        <v>#N/A</v>
      </c>
      <c r="DG542" s="2" t="e">
        <v>#N/A</v>
      </c>
      <c r="DH542" s="2" t="e">
        <v>#N/A</v>
      </c>
      <c r="DI542" s="2" t="e">
        <v>#N/A</v>
      </c>
    </row>
    <row r="543" spans="1:113" s="2" customFormat="1">
      <c r="A543" s="4"/>
      <c r="B543" s="4"/>
      <c r="C543" s="30"/>
      <c r="D543" s="32"/>
      <c r="E543" s="45"/>
      <c r="F543" s="45"/>
      <c r="G543" s="45"/>
      <c r="H543" s="45"/>
      <c r="I543" s="45"/>
      <c r="J543" s="30"/>
      <c r="K543" s="30"/>
      <c r="L543" s="1"/>
      <c r="M543" t="str">
        <f t="shared" si="64"/>
        <v>"//*[@class=\"</v>
      </c>
      <c r="N543" t="str">
        <f t="shared" si="68"/>
        <v/>
      </c>
      <c r="O543" s="4" t="str">
        <f t="shared" si="69"/>
        <v>click</v>
      </c>
      <c r="P543" t="str">
        <f t="shared" si="70"/>
        <v>();</v>
      </c>
      <c r="Q543" t="str">
        <f t="shared" si="71"/>
        <v/>
      </c>
      <c r="R543" t="str">
        <f t="shared" si="65"/>
        <v/>
      </c>
      <c r="S543" s="1" t="str">
        <f t="shared" si="66"/>
        <v/>
      </c>
      <c r="T543" s="4"/>
      <c r="U543" s="4"/>
      <c r="V543" s="4"/>
      <c r="W543" s="4"/>
      <c r="X543" s="4"/>
      <c r="Y543"/>
      <c r="Z543">
        <v>534</v>
      </c>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3"/>
      <c r="BC543" s="3"/>
      <c r="CT543" s="2" t="e">
        <v>#N/A</v>
      </c>
      <c r="CU543" s="2" t="e">
        <v>#N/A</v>
      </c>
      <c r="CV543" s="2" t="e">
        <v>#N/A</v>
      </c>
      <c r="CW543" s="2" t="e">
        <v>#N/A</v>
      </c>
      <c r="CX543" s="2" t="e">
        <v>#N/A</v>
      </c>
      <c r="CY543" s="2" t="e">
        <v>#N/A</v>
      </c>
      <c r="CZ543" s="2" t="e">
        <v>#N/A</v>
      </c>
      <c r="DA543" s="2" t="e">
        <v>#N/A</v>
      </c>
      <c r="DB543" s="2" t="e">
        <v>#N/A</v>
      </c>
      <c r="DC543" s="2" t="e">
        <v>#N/A</v>
      </c>
      <c r="DD543" s="2" t="e">
        <v>#N/A</v>
      </c>
      <c r="DE543" s="2" t="e">
        <v>#N/A</v>
      </c>
      <c r="DF543" s="2" t="e">
        <v>#N/A</v>
      </c>
      <c r="DG543" s="2" t="e">
        <v>#N/A</v>
      </c>
      <c r="DH543" s="2" t="e">
        <v>#N/A</v>
      </c>
      <c r="DI543" s="2" t="e">
        <v>#N/A</v>
      </c>
    </row>
    <row r="544" spans="1:113" s="2" customFormat="1">
      <c r="A544" s="4"/>
      <c r="B544" s="4"/>
      <c r="C544" s="30"/>
      <c r="D544" s="32"/>
      <c r="E544" s="45"/>
      <c r="F544" s="45"/>
      <c r="G544" s="45"/>
      <c r="H544" s="45"/>
      <c r="I544" s="45"/>
      <c r="J544" s="30"/>
      <c r="K544" s="30"/>
      <c r="L544" s="1"/>
      <c r="M544" t="str">
        <f t="shared" si="64"/>
        <v>"//*[@class=\"</v>
      </c>
      <c r="N544" t="str">
        <f t="shared" si="68"/>
        <v/>
      </c>
      <c r="O544" s="4" t="str">
        <f t="shared" si="69"/>
        <v>click</v>
      </c>
      <c r="P544" t="str">
        <f t="shared" si="70"/>
        <v>();</v>
      </c>
      <c r="Q544" t="str">
        <f t="shared" si="71"/>
        <v/>
      </c>
      <c r="R544" t="str">
        <f t="shared" si="65"/>
        <v/>
      </c>
      <c r="S544" s="1" t="str">
        <f t="shared" si="66"/>
        <v/>
      </c>
      <c r="T544" s="4"/>
      <c r="U544" s="4"/>
      <c r="V544" s="4"/>
      <c r="W544" s="4"/>
      <c r="X544" s="4"/>
      <c r="Y544"/>
      <c r="Z544">
        <v>535</v>
      </c>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3"/>
      <c r="BC544" s="3"/>
      <c r="CT544" s="2" t="e">
        <v>#N/A</v>
      </c>
      <c r="CU544" s="2" t="e">
        <v>#N/A</v>
      </c>
      <c r="CV544" s="2" t="e">
        <v>#N/A</v>
      </c>
      <c r="CW544" s="2" t="e">
        <v>#N/A</v>
      </c>
      <c r="CX544" s="2" t="e">
        <v>#N/A</v>
      </c>
      <c r="CY544" s="2" t="e">
        <v>#N/A</v>
      </c>
      <c r="CZ544" s="2" t="e">
        <v>#N/A</v>
      </c>
      <c r="DA544" s="2" t="e">
        <v>#N/A</v>
      </c>
      <c r="DB544" s="2" t="e">
        <v>#N/A</v>
      </c>
      <c r="DC544" s="2" t="e">
        <v>#N/A</v>
      </c>
      <c r="DD544" s="2" t="e">
        <v>#N/A</v>
      </c>
      <c r="DE544" s="2" t="e">
        <v>#N/A</v>
      </c>
      <c r="DF544" s="2" t="e">
        <v>#N/A</v>
      </c>
      <c r="DG544" s="2" t="e">
        <v>#N/A</v>
      </c>
      <c r="DH544" s="2" t="e">
        <v>#N/A</v>
      </c>
      <c r="DI544" s="2" t="e">
        <v>#N/A</v>
      </c>
    </row>
    <row r="545" spans="1:113" s="2" customFormat="1">
      <c r="A545" s="4"/>
      <c r="B545" s="4"/>
      <c r="C545" s="30"/>
      <c r="D545" s="32"/>
      <c r="E545" s="45"/>
      <c r="F545" s="45"/>
      <c r="G545" s="45"/>
      <c r="H545" s="45"/>
      <c r="I545" s="45"/>
      <c r="J545" s="30"/>
      <c r="K545" s="30"/>
      <c r="L545" s="1"/>
      <c r="M545" t="str">
        <f t="shared" si="64"/>
        <v>"//*[@class=\"</v>
      </c>
      <c r="N545" t="str">
        <f t="shared" si="68"/>
        <v/>
      </c>
      <c r="O545" s="4" t="str">
        <f t="shared" si="69"/>
        <v>click</v>
      </c>
      <c r="P545" t="str">
        <f t="shared" si="70"/>
        <v>();</v>
      </c>
      <c r="Q545" t="str">
        <f t="shared" si="71"/>
        <v/>
      </c>
      <c r="R545" t="str">
        <f t="shared" si="65"/>
        <v/>
      </c>
      <c r="S545" s="1" t="str">
        <f t="shared" si="66"/>
        <v/>
      </c>
      <c r="T545" s="4"/>
      <c r="U545" s="4"/>
      <c r="V545" s="4"/>
      <c r="W545" s="4"/>
      <c r="X545" s="4"/>
      <c r="Y545"/>
      <c r="Z545">
        <v>536</v>
      </c>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3"/>
      <c r="BC545" s="3"/>
      <c r="CT545" s="2" t="e">
        <v>#N/A</v>
      </c>
      <c r="CU545" s="2" t="e">
        <v>#N/A</v>
      </c>
      <c r="CV545" s="2" t="e">
        <v>#N/A</v>
      </c>
      <c r="CW545" s="2" t="e">
        <v>#N/A</v>
      </c>
      <c r="CX545" s="2" t="e">
        <v>#N/A</v>
      </c>
      <c r="CY545" s="2" t="e">
        <v>#N/A</v>
      </c>
      <c r="CZ545" s="2" t="e">
        <v>#N/A</v>
      </c>
      <c r="DA545" s="2" t="e">
        <v>#N/A</v>
      </c>
      <c r="DB545" s="2" t="e">
        <v>#N/A</v>
      </c>
      <c r="DC545" s="2" t="e">
        <v>#N/A</v>
      </c>
      <c r="DD545" s="2" t="e">
        <v>#N/A</v>
      </c>
      <c r="DE545" s="2" t="e">
        <v>#N/A</v>
      </c>
      <c r="DF545" s="2" t="e">
        <v>#N/A</v>
      </c>
      <c r="DG545" s="2" t="e">
        <v>#N/A</v>
      </c>
      <c r="DH545" s="2" t="e">
        <v>#N/A</v>
      </c>
      <c r="DI545" s="2" t="e">
        <v>#N/A</v>
      </c>
    </row>
    <row r="546" spans="1:113" s="2" customFormat="1">
      <c r="A546" s="4"/>
      <c r="B546" s="4"/>
      <c r="C546" s="30"/>
      <c r="D546" s="32"/>
      <c r="E546" s="45"/>
      <c r="F546" s="45"/>
      <c r="G546" s="45"/>
      <c r="H546" s="45"/>
      <c r="I546" s="45"/>
      <c r="J546" s="30"/>
      <c r="K546" s="30"/>
      <c r="L546" s="1"/>
      <c r="M546" t="str">
        <f t="shared" si="64"/>
        <v>"//*[@class=\"</v>
      </c>
      <c r="N546" t="str">
        <f t="shared" si="68"/>
        <v/>
      </c>
      <c r="O546" s="4" t="str">
        <f t="shared" si="69"/>
        <v>click</v>
      </c>
      <c r="P546" t="str">
        <f t="shared" si="70"/>
        <v>();</v>
      </c>
      <c r="Q546" t="str">
        <f t="shared" si="71"/>
        <v/>
      </c>
      <c r="R546" t="str">
        <f t="shared" si="65"/>
        <v/>
      </c>
      <c r="S546" s="1" t="str">
        <f t="shared" si="66"/>
        <v/>
      </c>
      <c r="T546" s="4"/>
      <c r="U546" s="4"/>
      <c r="V546" s="4"/>
      <c r="W546" s="4"/>
      <c r="X546" s="4"/>
      <c r="Y546"/>
      <c r="Z546">
        <v>537</v>
      </c>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3"/>
      <c r="BC546" s="3"/>
      <c r="CT546" s="2" t="e">
        <v>#N/A</v>
      </c>
      <c r="CU546" s="2" t="e">
        <v>#N/A</v>
      </c>
      <c r="CV546" s="2" t="e">
        <v>#N/A</v>
      </c>
      <c r="CW546" s="2" t="e">
        <v>#N/A</v>
      </c>
      <c r="CX546" s="2" t="e">
        <v>#N/A</v>
      </c>
      <c r="CY546" s="2" t="e">
        <v>#N/A</v>
      </c>
      <c r="CZ546" s="2" t="e">
        <v>#N/A</v>
      </c>
      <c r="DA546" s="2" t="e">
        <v>#N/A</v>
      </c>
      <c r="DB546" s="2" t="e">
        <v>#N/A</v>
      </c>
      <c r="DC546" s="2" t="e">
        <v>#N/A</v>
      </c>
      <c r="DD546" s="2" t="e">
        <v>#N/A</v>
      </c>
      <c r="DE546" s="2" t="e">
        <v>#N/A</v>
      </c>
      <c r="DF546" s="2" t="e">
        <v>#N/A</v>
      </c>
      <c r="DG546" s="2" t="e">
        <v>#N/A</v>
      </c>
      <c r="DH546" s="2" t="e">
        <v>#N/A</v>
      </c>
      <c r="DI546" s="2" t="e">
        <v>#N/A</v>
      </c>
    </row>
    <row r="547" spans="1:113" s="2" customFormat="1">
      <c r="A547" s="4"/>
      <c r="B547" s="4"/>
      <c r="C547" s="30"/>
      <c r="D547" s="32"/>
      <c r="E547" s="45"/>
      <c r="F547" s="45"/>
      <c r="G547" s="45"/>
      <c r="H547" s="45"/>
      <c r="I547" s="45"/>
      <c r="J547" s="30"/>
      <c r="K547" s="30"/>
      <c r="L547" s="1"/>
      <c r="M547" t="str">
        <f t="shared" si="64"/>
        <v>"//*[@class=\"</v>
      </c>
      <c r="N547" t="str">
        <f t="shared" si="68"/>
        <v/>
      </c>
      <c r="O547" s="4" t="str">
        <f t="shared" si="69"/>
        <v>click</v>
      </c>
      <c r="P547" t="str">
        <f t="shared" si="70"/>
        <v>();</v>
      </c>
      <c r="Q547" t="str">
        <f t="shared" si="71"/>
        <v/>
      </c>
      <c r="R547" t="str">
        <f t="shared" si="65"/>
        <v/>
      </c>
      <c r="S547" s="1" t="str">
        <f t="shared" si="66"/>
        <v/>
      </c>
      <c r="T547" s="4"/>
      <c r="U547" s="4"/>
      <c r="V547" s="4"/>
      <c r="W547" s="4"/>
      <c r="X547" s="4"/>
      <c r="Y547"/>
      <c r="Z547">
        <v>538</v>
      </c>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3"/>
      <c r="BC547" s="3"/>
      <c r="CT547" s="2" t="e">
        <v>#N/A</v>
      </c>
      <c r="CU547" s="2" t="e">
        <v>#N/A</v>
      </c>
      <c r="CV547" s="2" t="e">
        <v>#N/A</v>
      </c>
      <c r="CW547" s="2" t="e">
        <v>#N/A</v>
      </c>
      <c r="CX547" s="2" t="e">
        <v>#N/A</v>
      </c>
      <c r="CY547" s="2" t="e">
        <v>#N/A</v>
      </c>
      <c r="CZ547" s="2" t="e">
        <v>#N/A</v>
      </c>
      <c r="DA547" s="2" t="e">
        <v>#N/A</v>
      </c>
      <c r="DB547" s="2" t="e">
        <v>#N/A</v>
      </c>
      <c r="DC547" s="2" t="e">
        <v>#N/A</v>
      </c>
      <c r="DD547" s="2" t="e">
        <v>#N/A</v>
      </c>
      <c r="DE547" s="2" t="e">
        <v>#N/A</v>
      </c>
      <c r="DF547" s="2" t="e">
        <v>#N/A</v>
      </c>
      <c r="DG547" s="2" t="e">
        <v>#N/A</v>
      </c>
      <c r="DH547" s="2" t="e">
        <v>#N/A</v>
      </c>
      <c r="DI547" s="2" t="e">
        <v>#N/A</v>
      </c>
    </row>
    <row r="548" spans="1:113" s="2" customFormat="1">
      <c r="A548" s="4"/>
      <c r="B548" s="4"/>
      <c r="C548" s="30"/>
      <c r="D548" s="32"/>
      <c r="E548" s="45"/>
      <c r="F548" s="45"/>
      <c r="G548" s="45"/>
      <c r="H548" s="45"/>
      <c r="I548" s="45"/>
      <c r="J548" s="30"/>
      <c r="K548" s="30"/>
      <c r="L548" s="1"/>
      <c r="M548" t="str">
        <f t="shared" si="64"/>
        <v>"//*[@class=\"</v>
      </c>
      <c r="N548" t="str">
        <f t="shared" si="68"/>
        <v/>
      </c>
      <c r="O548" s="4" t="str">
        <f t="shared" si="69"/>
        <v>click</v>
      </c>
      <c r="P548" t="str">
        <f t="shared" si="70"/>
        <v>();</v>
      </c>
      <c r="Q548" t="str">
        <f t="shared" si="71"/>
        <v/>
      </c>
      <c r="R548" t="str">
        <f t="shared" si="65"/>
        <v/>
      </c>
      <c r="S548" s="1" t="str">
        <f t="shared" si="66"/>
        <v/>
      </c>
      <c r="T548" s="4"/>
      <c r="U548" s="4"/>
      <c r="V548" s="4"/>
      <c r="W548" s="4"/>
      <c r="X548" s="4"/>
      <c r="Y548"/>
      <c r="Z548">
        <v>539</v>
      </c>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3"/>
      <c r="BC548" s="3"/>
      <c r="CT548" s="2" t="e">
        <v>#N/A</v>
      </c>
      <c r="CU548" s="2" t="e">
        <v>#N/A</v>
      </c>
      <c r="CV548" s="2" t="e">
        <v>#N/A</v>
      </c>
      <c r="CW548" s="2" t="e">
        <v>#N/A</v>
      </c>
      <c r="CX548" s="2" t="e">
        <v>#N/A</v>
      </c>
      <c r="CY548" s="2" t="e">
        <v>#N/A</v>
      </c>
      <c r="CZ548" s="2" t="e">
        <v>#N/A</v>
      </c>
      <c r="DA548" s="2" t="e">
        <v>#N/A</v>
      </c>
      <c r="DB548" s="2" t="e">
        <v>#N/A</v>
      </c>
      <c r="DC548" s="2" t="e">
        <v>#N/A</v>
      </c>
      <c r="DD548" s="2" t="e">
        <v>#N/A</v>
      </c>
      <c r="DE548" s="2" t="e">
        <v>#N/A</v>
      </c>
      <c r="DF548" s="2" t="e">
        <v>#N/A</v>
      </c>
      <c r="DG548" s="2" t="e">
        <v>#N/A</v>
      </c>
      <c r="DH548" s="2" t="e">
        <v>#N/A</v>
      </c>
      <c r="DI548" s="2" t="e">
        <v>#N/A</v>
      </c>
    </row>
    <row r="549" spans="1:113" s="2" customFormat="1">
      <c r="A549" s="4"/>
      <c r="B549" s="4"/>
      <c r="C549" s="30"/>
      <c r="D549" s="32"/>
      <c r="E549" s="45"/>
      <c r="F549" s="45"/>
      <c r="G549" s="45"/>
      <c r="H549" s="45"/>
      <c r="I549" s="45"/>
      <c r="J549" s="30"/>
      <c r="K549" s="30"/>
      <c r="L549" s="1"/>
      <c r="M549" t="str">
        <f t="shared" si="64"/>
        <v>"//*[@class=\"</v>
      </c>
      <c r="N549" t="str">
        <f t="shared" si="68"/>
        <v/>
      </c>
      <c r="O549" s="4" t="str">
        <f t="shared" si="69"/>
        <v>click</v>
      </c>
      <c r="P549" t="str">
        <f t="shared" si="70"/>
        <v>();</v>
      </c>
      <c r="Q549" t="str">
        <f t="shared" si="71"/>
        <v/>
      </c>
      <c r="R549" t="str">
        <f t="shared" si="65"/>
        <v/>
      </c>
      <c r="S549" s="1" t="str">
        <f t="shared" si="66"/>
        <v/>
      </c>
      <c r="T549" s="4"/>
      <c r="U549" s="4"/>
      <c r="V549" s="4"/>
      <c r="W549" s="4"/>
      <c r="X549" s="4"/>
      <c r="Y549"/>
      <c r="Z549">
        <v>540</v>
      </c>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3"/>
      <c r="BC549" s="3"/>
      <c r="CT549" s="2" t="e">
        <v>#N/A</v>
      </c>
      <c r="CU549" s="2" t="e">
        <v>#N/A</v>
      </c>
      <c r="CV549" s="2" t="e">
        <v>#N/A</v>
      </c>
      <c r="CW549" s="2" t="e">
        <v>#N/A</v>
      </c>
      <c r="CX549" s="2" t="e">
        <v>#N/A</v>
      </c>
      <c r="CY549" s="2" t="e">
        <v>#N/A</v>
      </c>
      <c r="CZ549" s="2" t="e">
        <v>#N/A</v>
      </c>
      <c r="DA549" s="2" t="e">
        <v>#N/A</v>
      </c>
      <c r="DB549" s="2" t="e">
        <v>#N/A</v>
      </c>
      <c r="DC549" s="2" t="e">
        <v>#N/A</v>
      </c>
      <c r="DD549" s="2" t="e">
        <v>#N/A</v>
      </c>
      <c r="DE549" s="2" t="e">
        <v>#N/A</v>
      </c>
      <c r="DF549" s="2" t="e">
        <v>#N/A</v>
      </c>
      <c r="DG549" s="2" t="e">
        <v>#N/A</v>
      </c>
      <c r="DH549" s="2" t="e">
        <v>#N/A</v>
      </c>
      <c r="DI549" s="2" t="e">
        <v>#N/A</v>
      </c>
    </row>
    <row r="550" spans="1:113" s="2" customFormat="1">
      <c r="A550" s="4"/>
      <c r="B550" s="4"/>
      <c r="C550" s="30"/>
      <c r="D550" s="32"/>
      <c r="E550" s="45"/>
      <c r="F550" s="45"/>
      <c r="G550" s="45"/>
      <c r="H550" s="45"/>
      <c r="I550" s="45"/>
      <c r="J550" s="30"/>
      <c r="K550" s="30"/>
      <c r="L550" s="1"/>
      <c r="M550" t="str">
        <f t="shared" si="64"/>
        <v>"//*[@class=\"</v>
      </c>
      <c r="N550" t="str">
        <f t="shared" si="68"/>
        <v/>
      </c>
      <c r="O550" s="4" t="str">
        <f t="shared" si="69"/>
        <v>click</v>
      </c>
      <c r="P550" t="str">
        <f t="shared" si="70"/>
        <v>();</v>
      </c>
      <c r="Q550" t="str">
        <f t="shared" si="71"/>
        <v/>
      </c>
      <c r="R550" t="str">
        <f t="shared" si="65"/>
        <v/>
      </c>
      <c r="S550" s="1" t="str">
        <f t="shared" si="66"/>
        <v/>
      </c>
      <c r="T550" s="4"/>
      <c r="U550" s="4"/>
      <c r="V550" s="4"/>
      <c r="W550" s="4"/>
      <c r="X550" s="4"/>
      <c r="Y550"/>
      <c r="Z550">
        <v>541</v>
      </c>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3"/>
      <c r="BC550" s="3"/>
      <c r="CT550" s="2" t="e">
        <v>#N/A</v>
      </c>
      <c r="CU550" s="2" t="e">
        <v>#N/A</v>
      </c>
      <c r="CV550" s="2" t="e">
        <v>#N/A</v>
      </c>
      <c r="CW550" s="2" t="e">
        <v>#N/A</v>
      </c>
      <c r="CX550" s="2" t="e">
        <v>#N/A</v>
      </c>
      <c r="CY550" s="2" t="e">
        <v>#N/A</v>
      </c>
      <c r="CZ550" s="2" t="e">
        <v>#N/A</v>
      </c>
      <c r="DA550" s="2" t="e">
        <v>#N/A</v>
      </c>
      <c r="DB550" s="2" t="e">
        <v>#N/A</v>
      </c>
      <c r="DC550" s="2" t="e">
        <v>#N/A</v>
      </c>
      <c r="DD550" s="2" t="e">
        <v>#N/A</v>
      </c>
      <c r="DE550" s="2" t="e">
        <v>#N/A</v>
      </c>
      <c r="DF550" s="2" t="e">
        <v>#N/A</v>
      </c>
      <c r="DG550" s="2" t="e">
        <v>#N/A</v>
      </c>
      <c r="DH550" s="2" t="e">
        <v>#N/A</v>
      </c>
      <c r="DI550" s="2" t="e">
        <v>#N/A</v>
      </c>
    </row>
    <row r="551" spans="1:113" s="2" customFormat="1">
      <c r="A551" s="4"/>
      <c r="B551" s="4"/>
      <c r="C551" s="30"/>
      <c r="D551" s="32"/>
      <c r="E551" s="45"/>
      <c r="F551" s="45"/>
      <c r="G551" s="45"/>
      <c r="H551" s="45"/>
      <c r="I551" s="45"/>
      <c r="J551" s="30"/>
      <c r="K551" s="30"/>
      <c r="L551" s="1"/>
      <c r="M551" t="str">
        <f t="shared" si="64"/>
        <v>"//*[@class=\"</v>
      </c>
      <c r="N551" t="str">
        <f t="shared" si="68"/>
        <v/>
      </c>
      <c r="O551" s="4" t="str">
        <f t="shared" si="69"/>
        <v>click</v>
      </c>
      <c r="P551" t="str">
        <f t="shared" si="70"/>
        <v>();</v>
      </c>
      <c r="Q551" t="str">
        <f t="shared" si="71"/>
        <v/>
      </c>
      <c r="R551" t="str">
        <f t="shared" si="65"/>
        <v/>
      </c>
      <c r="S551" s="1" t="str">
        <f t="shared" si="66"/>
        <v/>
      </c>
      <c r="T551" s="4"/>
      <c r="U551" s="4"/>
      <c r="V551" s="4"/>
      <c r="W551" s="4"/>
      <c r="X551" s="4"/>
      <c r="Y551"/>
      <c r="Z551">
        <v>542</v>
      </c>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3"/>
      <c r="BC551" s="3"/>
      <c r="CT551" s="2" t="e">
        <v>#N/A</v>
      </c>
      <c r="CU551" s="2" t="e">
        <v>#N/A</v>
      </c>
      <c r="CV551" s="2" t="e">
        <v>#N/A</v>
      </c>
      <c r="CW551" s="2" t="e">
        <v>#N/A</v>
      </c>
      <c r="CX551" s="2" t="e">
        <v>#N/A</v>
      </c>
      <c r="CY551" s="2" t="e">
        <v>#N/A</v>
      </c>
      <c r="CZ551" s="2" t="e">
        <v>#N/A</v>
      </c>
      <c r="DA551" s="2" t="e">
        <v>#N/A</v>
      </c>
      <c r="DB551" s="2" t="e">
        <v>#N/A</v>
      </c>
      <c r="DC551" s="2" t="e">
        <v>#N/A</v>
      </c>
      <c r="DD551" s="2" t="e">
        <v>#N/A</v>
      </c>
      <c r="DE551" s="2" t="e">
        <v>#N/A</v>
      </c>
      <c r="DF551" s="2" t="e">
        <v>#N/A</v>
      </c>
      <c r="DG551" s="2" t="e">
        <v>#N/A</v>
      </c>
      <c r="DH551" s="2" t="e">
        <v>#N/A</v>
      </c>
      <c r="DI551" s="2" t="e">
        <v>#N/A</v>
      </c>
    </row>
    <row r="552" spans="1:113" s="2" customFormat="1">
      <c r="A552" s="4"/>
      <c r="B552" s="4"/>
      <c r="C552" s="30"/>
      <c r="D552" s="32"/>
      <c r="E552" s="45"/>
      <c r="F552" s="45"/>
      <c r="G552" s="45"/>
      <c r="H552" s="45"/>
      <c r="I552" s="45"/>
      <c r="J552" s="30"/>
      <c r="K552" s="30"/>
      <c r="L552" s="1"/>
      <c r="M552" t="str">
        <f t="shared" si="64"/>
        <v>"//*[@class=\"</v>
      </c>
      <c r="N552" t="str">
        <f t="shared" si="68"/>
        <v/>
      </c>
      <c r="O552" s="4" t="str">
        <f t="shared" si="69"/>
        <v>click</v>
      </c>
      <c r="P552" t="str">
        <f t="shared" si="70"/>
        <v>();</v>
      </c>
      <c r="Q552" t="str">
        <f t="shared" si="71"/>
        <v/>
      </c>
      <c r="R552" t="str">
        <f t="shared" si="65"/>
        <v/>
      </c>
      <c r="S552" s="1" t="str">
        <f t="shared" si="66"/>
        <v/>
      </c>
      <c r="T552" s="4"/>
      <c r="U552" s="4"/>
      <c r="V552" s="4"/>
      <c r="W552" s="4"/>
      <c r="X552" s="4"/>
      <c r="Y552"/>
      <c r="Z552">
        <v>543</v>
      </c>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3"/>
      <c r="BC552" s="3"/>
      <c r="CT552" s="2" t="e">
        <v>#N/A</v>
      </c>
      <c r="CU552" s="2" t="e">
        <v>#N/A</v>
      </c>
      <c r="CV552" s="2" t="e">
        <v>#N/A</v>
      </c>
      <c r="CW552" s="2" t="e">
        <v>#N/A</v>
      </c>
      <c r="CX552" s="2" t="e">
        <v>#N/A</v>
      </c>
      <c r="CY552" s="2" t="e">
        <v>#N/A</v>
      </c>
      <c r="CZ552" s="2" t="e">
        <v>#N/A</v>
      </c>
      <c r="DA552" s="2" t="e">
        <v>#N/A</v>
      </c>
      <c r="DB552" s="2" t="e">
        <v>#N/A</v>
      </c>
      <c r="DC552" s="2" t="e">
        <v>#N/A</v>
      </c>
      <c r="DD552" s="2" t="e">
        <v>#N/A</v>
      </c>
      <c r="DE552" s="2" t="e">
        <v>#N/A</v>
      </c>
      <c r="DF552" s="2" t="e">
        <v>#N/A</v>
      </c>
      <c r="DG552" s="2" t="e">
        <v>#N/A</v>
      </c>
      <c r="DH552" s="2" t="e">
        <v>#N/A</v>
      </c>
      <c r="DI552" s="2" t="e">
        <v>#N/A</v>
      </c>
    </row>
    <row r="553" spans="1:113" s="2" customFormat="1">
      <c r="A553" s="4"/>
      <c r="B553" s="4"/>
      <c r="C553" s="30"/>
      <c r="D553" s="32"/>
      <c r="E553" s="45"/>
      <c r="F553" s="45"/>
      <c r="G553" s="45"/>
      <c r="H553" s="45"/>
      <c r="I553" s="45"/>
      <c r="J553" s="30"/>
      <c r="K553" s="30"/>
      <c r="L553" s="1"/>
      <c r="M553" t="str">
        <f t="shared" si="64"/>
        <v>"//*[@class=\"</v>
      </c>
      <c r="N553" t="str">
        <f t="shared" si="68"/>
        <v/>
      </c>
      <c r="O553" s="4" t="str">
        <f t="shared" si="69"/>
        <v>click</v>
      </c>
      <c r="P553" t="str">
        <f t="shared" si="70"/>
        <v>();</v>
      </c>
      <c r="Q553" t="str">
        <f t="shared" si="71"/>
        <v/>
      </c>
      <c r="R553" t="str">
        <f t="shared" si="65"/>
        <v/>
      </c>
      <c r="S553" s="1" t="str">
        <f t="shared" si="66"/>
        <v/>
      </c>
      <c r="T553" s="4"/>
      <c r="U553" s="4"/>
      <c r="V553" s="4"/>
      <c r="W553" s="4"/>
      <c r="X553" s="4"/>
      <c r="Y553"/>
      <c r="Z553">
        <v>544</v>
      </c>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3"/>
      <c r="BC553" s="3"/>
      <c r="CT553" s="2" t="e">
        <v>#N/A</v>
      </c>
      <c r="CU553" s="2" t="e">
        <v>#N/A</v>
      </c>
      <c r="CV553" s="2" t="e">
        <v>#N/A</v>
      </c>
      <c r="CW553" s="2" t="e">
        <v>#N/A</v>
      </c>
      <c r="CX553" s="2" t="e">
        <v>#N/A</v>
      </c>
      <c r="CY553" s="2" t="e">
        <v>#N/A</v>
      </c>
      <c r="CZ553" s="2" t="e">
        <v>#N/A</v>
      </c>
      <c r="DA553" s="2" t="e">
        <v>#N/A</v>
      </c>
      <c r="DB553" s="2" t="e">
        <v>#N/A</v>
      </c>
      <c r="DC553" s="2" t="e">
        <v>#N/A</v>
      </c>
      <c r="DD553" s="2" t="e">
        <v>#N/A</v>
      </c>
      <c r="DE553" s="2" t="e">
        <v>#N/A</v>
      </c>
      <c r="DF553" s="2" t="e">
        <v>#N/A</v>
      </c>
      <c r="DG553" s="2" t="e">
        <v>#N/A</v>
      </c>
      <c r="DH553" s="2" t="e">
        <v>#N/A</v>
      </c>
      <c r="DI553" s="2" t="e">
        <v>#N/A</v>
      </c>
    </row>
    <row r="554" spans="1:113" s="2" customFormat="1">
      <c r="A554" s="4"/>
      <c r="B554" s="4"/>
      <c r="C554" s="30"/>
      <c r="D554" s="32"/>
      <c r="E554" s="45"/>
      <c r="F554" s="45"/>
      <c r="G554" s="45"/>
      <c r="H554" s="45"/>
      <c r="I554" s="45"/>
      <c r="J554" s="30"/>
      <c r="K554" s="30"/>
      <c r="L554" s="1"/>
      <c r="M554" t="str">
        <f t="shared" si="64"/>
        <v>"//*[@class=\"</v>
      </c>
      <c r="N554" t="str">
        <f t="shared" si="68"/>
        <v/>
      </c>
      <c r="O554" s="4" t="str">
        <f t="shared" si="69"/>
        <v>click</v>
      </c>
      <c r="P554" t="str">
        <f t="shared" si="70"/>
        <v>();</v>
      </c>
      <c r="Q554" t="str">
        <f t="shared" si="71"/>
        <v/>
      </c>
      <c r="R554" t="str">
        <f t="shared" si="65"/>
        <v/>
      </c>
      <c r="S554" s="1" t="str">
        <f t="shared" si="66"/>
        <v/>
      </c>
      <c r="T554" s="4"/>
      <c r="U554" s="4"/>
      <c r="V554" s="4"/>
      <c r="W554" s="4"/>
      <c r="X554" s="4"/>
      <c r="Y554"/>
      <c r="Z554">
        <v>545</v>
      </c>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3"/>
      <c r="BC554" s="3"/>
      <c r="CT554" s="2" t="e">
        <v>#N/A</v>
      </c>
      <c r="CU554" s="2" t="e">
        <v>#N/A</v>
      </c>
      <c r="CV554" s="2" t="e">
        <v>#N/A</v>
      </c>
      <c r="CW554" s="2" t="e">
        <v>#N/A</v>
      </c>
      <c r="CX554" s="2" t="e">
        <v>#N/A</v>
      </c>
      <c r="CY554" s="2" t="e">
        <v>#N/A</v>
      </c>
      <c r="CZ554" s="2" t="e">
        <v>#N/A</v>
      </c>
      <c r="DA554" s="2" t="e">
        <v>#N/A</v>
      </c>
      <c r="DB554" s="2" t="e">
        <v>#N/A</v>
      </c>
      <c r="DC554" s="2" t="e">
        <v>#N/A</v>
      </c>
      <c r="DD554" s="2" t="e">
        <v>#N/A</v>
      </c>
      <c r="DE554" s="2" t="e">
        <v>#N/A</v>
      </c>
      <c r="DF554" s="2" t="e">
        <v>#N/A</v>
      </c>
      <c r="DG554" s="2" t="e">
        <v>#N/A</v>
      </c>
      <c r="DH554" s="2" t="e">
        <v>#N/A</v>
      </c>
      <c r="DI554" s="2" t="e">
        <v>#N/A</v>
      </c>
    </row>
    <row r="555" spans="1:113" s="2" customFormat="1">
      <c r="A555" s="4"/>
      <c r="B555" s="4"/>
      <c r="C555" s="30"/>
      <c r="D555" s="32"/>
      <c r="E555" s="45"/>
      <c r="F555" s="45"/>
      <c r="G555" s="45"/>
      <c r="H555" s="45"/>
      <c r="I555" s="45"/>
      <c r="J555" s="30"/>
      <c r="K555" s="30"/>
      <c r="L555" s="1"/>
      <c r="M555" t="str">
        <f t="shared" si="64"/>
        <v>"//*[@class=\"</v>
      </c>
      <c r="N555" t="str">
        <f t="shared" si="68"/>
        <v/>
      </c>
      <c r="O555" s="4" t="str">
        <f t="shared" si="69"/>
        <v>click</v>
      </c>
      <c r="P555" t="str">
        <f t="shared" si="70"/>
        <v>();</v>
      </c>
      <c r="Q555" t="str">
        <f t="shared" si="71"/>
        <v/>
      </c>
      <c r="R555" t="str">
        <f t="shared" si="65"/>
        <v/>
      </c>
      <c r="S555" s="1" t="str">
        <f t="shared" si="66"/>
        <v/>
      </c>
      <c r="T555" s="4"/>
      <c r="U555" s="4"/>
      <c r="V555" s="4"/>
      <c r="W555" s="4"/>
      <c r="X555" s="4"/>
      <c r="Y555"/>
      <c r="Z555">
        <v>546</v>
      </c>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3"/>
      <c r="BC555" s="3"/>
      <c r="CT555" s="2" t="e">
        <v>#N/A</v>
      </c>
      <c r="CU555" s="2" t="e">
        <v>#N/A</v>
      </c>
      <c r="CV555" s="2" t="e">
        <v>#N/A</v>
      </c>
      <c r="CW555" s="2" t="e">
        <v>#N/A</v>
      </c>
      <c r="CX555" s="2" t="e">
        <v>#N/A</v>
      </c>
      <c r="CY555" s="2" t="e">
        <v>#N/A</v>
      </c>
      <c r="CZ555" s="2" t="e">
        <v>#N/A</v>
      </c>
      <c r="DA555" s="2" t="e">
        <v>#N/A</v>
      </c>
      <c r="DB555" s="2" t="e">
        <v>#N/A</v>
      </c>
      <c r="DC555" s="2" t="e">
        <v>#N/A</v>
      </c>
      <c r="DD555" s="2" t="e">
        <v>#N/A</v>
      </c>
      <c r="DE555" s="2" t="e">
        <v>#N/A</v>
      </c>
      <c r="DF555" s="2" t="e">
        <v>#N/A</v>
      </c>
      <c r="DG555" s="2" t="e">
        <v>#N/A</v>
      </c>
      <c r="DH555" s="2" t="e">
        <v>#N/A</v>
      </c>
      <c r="DI555" s="2" t="e">
        <v>#N/A</v>
      </c>
    </row>
    <row r="556" spans="1:113" s="2" customFormat="1">
      <c r="A556" s="4"/>
      <c r="B556" s="4"/>
      <c r="C556" s="30"/>
      <c r="D556" s="32"/>
      <c r="E556" s="45"/>
      <c r="F556" s="45"/>
      <c r="G556" s="45"/>
      <c r="H556" s="45"/>
      <c r="I556" s="45"/>
      <c r="J556" s="30"/>
      <c r="K556" s="30"/>
      <c r="L556" s="1"/>
      <c r="M556" t="str">
        <f t="shared" si="64"/>
        <v>"//*[@class=\"</v>
      </c>
      <c r="N556" t="str">
        <f t="shared" si="68"/>
        <v/>
      </c>
      <c r="O556" s="4" t="str">
        <f t="shared" si="69"/>
        <v>click</v>
      </c>
      <c r="P556" t="str">
        <f t="shared" si="70"/>
        <v>();</v>
      </c>
      <c r="Q556" t="str">
        <f t="shared" si="71"/>
        <v/>
      </c>
      <c r="R556" t="str">
        <f t="shared" si="65"/>
        <v/>
      </c>
      <c r="S556" s="1" t="str">
        <f t="shared" si="66"/>
        <v/>
      </c>
      <c r="T556" s="4"/>
      <c r="U556" s="4"/>
      <c r="V556" s="4"/>
      <c r="W556" s="4"/>
      <c r="X556" s="4"/>
      <c r="Y556"/>
      <c r="Z556">
        <v>547</v>
      </c>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3"/>
      <c r="BC556" s="3"/>
      <c r="CT556" s="2" t="e">
        <v>#N/A</v>
      </c>
      <c r="CU556" s="2" t="e">
        <v>#N/A</v>
      </c>
      <c r="CV556" s="2" t="e">
        <v>#N/A</v>
      </c>
      <c r="CW556" s="2" t="e">
        <v>#N/A</v>
      </c>
      <c r="CX556" s="2" t="e">
        <v>#N/A</v>
      </c>
      <c r="CY556" s="2" t="e">
        <v>#N/A</v>
      </c>
      <c r="CZ556" s="2" t="e">
        <v>#N/A</v>
      </c>
      <c r="DA556" s="2" t="e">
        <v>#N/A</v>
      </c>
      <c r="DB556" s="2" t="e">
        <v>#N/A</v>
      </c>
      <c r="DC556" s="2" t="e">
        <v>#N/A</v>
      </c>
      <c r="DD556" s="2" t="e">
        <v>#N/A</v>
      </c>
      <c r="DE556" s="2" t="e">
        <v>#N/A</v>
      </c>
      <c r="DF556" s="2" t="e">
        <v>#N/A</v>
      </c>
      <c r="DG556" s="2" t="e">
        <v>#N/A</v>
      </c>
      <c r="DH556" s="2" t="e">
        <v>#N/A</v>
      </c>
      <c r="DI556" s="2" t="e">
        <v>#N/A</v>
      </c>
    </row>
    <row r="557" spans="1:113" s="2" customFormat="1">
      <c r="A557" s="4"/>
      <c r="B557" s="4"/>
      <c r="C557" s="30"/>
      <c r="D557" s="32"/>
      <c r="E557" s="45"/>
      <c r="F557" s="45"/>
      <c r="G557" s="45"/>
      <c r="H557" s="45"/>
      <c r="I557" s="45"/>
      <c r="J557" s="30"/>
      <c r="K557" s="30"/>
      <c r="L557" s="1"/>
      <c r="M557" t="str">
        <f t="shared" si="64"/>
        <v>"//*[@class=\"</v>
      </c>
      <c r="N557" t="str">
        <f t="shared" si="68"/>
        <v/>
      </c>
      <c r="O557" s="4" t="str">
        <f t="shared" si="69"/>
        <v>click</v>
      </c>
      <c r="P557" t="str">
        <f t="shared" si="70"/>
        <v>();</v>
      </c>
      <c r="Q557" t="str">
        <f t="shared" si="71"/>
        <v/>
      </c>
      <c r="R557" t="str">
        <f t="shared" si="65"/>
        <v/>
      </c>
      <c r="S557" s="1" t="str">
        <f t="shared" si="66"/>
        <v/>
      </c>
      <c r="T557" s="4"/>
      <c r="U557" s="4"/>
      <c r="V557" s="4"/>
      <c r="W557" s="4"/>
      <c r="X557" s="4"/>
      <c r="Y557"/>
      <c r="Z557">
        <v>548</v>
      </c>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3"/>
      <c r="BC557" s="3"/>
      <c r="CT557" s="2" t="e">
        <v>#N/A</v>
      </c>
      <c r="CU557" s="2" t="e">
        <v>#N/A</v>
      </c>
      <c r="CV557" s="2" t="e">
        <v>#N/A</v>
      </c>
      <c r="CW557" s="2" t="e">
        <v>#N/A</v>
      </c>
      <c r="CX557" s="2" t="e">
        <v>#N/A</v>
      </c>
      <c r="CY557" s="2" t="e">
        <v>#N/A</v>
      </c>
      <c r="CZ557" s="2" t="e">
        <v>#N/A</v>
      </c>
      <c r="DA557" s="2" t="e">
        <v>#N/A</v>
      </c>
      <c r="DB557" s="2" t="e">
        <v>#N/A</v>
      </c>
      <c r="DC557" s="2" t="e">
        <v>#N/A</v>
      </c>
      <c r="DD557" s="2" t="e">
        <v>#N/A</v>
      </c>
      <c r="DE557" s="2" t="e">
        <v>#N/A</v>
      </c>
      <c r="DF557" s="2" t="e">
        <v>#N/A</v>
      </c>
      <c r="DG557" s="2" t="e">
        <v>#N/A</v>
      </c>
      <c r="DH557" s="2" t="e">
        <v>#N/A</v>
      </c>
      <c r="DI557" s="2" t="e">
        <v>#N/A</v>
      </c>
    </row>
    <row r="558" spans="1:113" s="2" customFormat="1">
      <c r="A558" s="4"/>
      <c r="B558" s="4"/>
      <c r="C558" s="30"/>
      <c r="D558" s="32"/>
      <c r="E558" s="45"/>
      <c r="F558" s="45"/>
      <c r="G558" s="45"/>
      <c r="H558" s="45"/>
      <c r="I558" s="45"/>
      <c r="J558" s="30"/>
      <c r="K558" s="30"/>
      <c r="L558" s="1"/>
      <c r="M558" t="str">
        <f t="shared" si="64"/>
        <v>"//*[@class=\"</v>
      </c>
      <c r="N558" t="str">
        <f t="shared" si="68"/>
        <v/>
      </c>
      <c r="O558" s="4" t="str">
        <f t="shared" si="69"/>
        <v>click</v>
      </c>
      <c r="P558" t="str">
        <f t="shared" si="70"/>
        <v>();</v>
      </c>
      <c r="Q558" t="str">
        <f t="shared" si="71"/>
        <v/>
      </c>
      <c r="R558" t="str">
        <f t="shared" si="65"/>
        <v/>
      </c>
      <c r="S558" s="1" t="str">
        <f t="shared" si="66"/>
        <v/>
      </c>
      <c r="T558" s="4"/>
      <c r="U558" s="4"/>
      <c r="V558" s="4"/>
      <c r="W558" s="4"/>
      <c r="X558" s="4"/>
      <c r="Y558"/>
      <c r="Z558">
        <v>549</v>
      </c>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3"/>
      <c r="BC558" s="3"/>
      <c r="CT558" s="2" t="e">
        <v>#N/A</v>
      </c>
      <c r="CU558" s="2" t="e">
        <v>#N/A</v>
      </c>
      <c r="CV558" s="2" t="e">
        <v>#N/A</v>
      </c>
      <c r="CW558" s="2" t="e">
        <v>#N/A</v>
      </c>
      <c r="CX558" s="2" t="e">
        <v>#N/A</v>
      </c>
      <c r="CY558" s="2" t="e">
        <v>#N/A</v>
      </c>
      <c r="CZ558" s="2" t="e">
        <v>#N/A</v>
      </c>
      <c r="DA558" s="2" t="e">
        <v>#N/A</v>
      </c>
      <c r="DB558" s="2" t="e">
        <v>#N/A</v>
      </c>
      <c r="DC558" s="2" t="e">
        <v>#N/A</v>
      </c>
      <c r="DD558" s="2" t="e">
        <v>#N/A</v>
      </c>
      <c r="DE558" s="2" t="e">
        <v>#N/A</v>
      </c>
      <c r="DF558" s="2" t="e">
        <v>#N/A</v>
      </c>
      <c r="DG558" s="2" t="e">
        <v>#N/A</v>
      </c>
      <c r="DH558" s="2" t="e">
        <v>#N/A</v>
      </c>
      <c r="DI558" s="2" t="e">
        <v>#N/A</v>
      </c>
    </row>
    <row r="559" spans="1:113" s="2" customFormat="1">
      <c r="A559" s="4"/>
      <c r="B559" s="4"/>
      <c r="C559" s="30"/>
      <c r="D559" s="32"/>
      <c r="E559" s="45"/>
      <c r="F559" s="45"/>
      <c r="G559" s="45"/>
      <c r="H559" s="45"/>
      <c r="I559" s="45"/>
      <c r="J559" s="30"/>
      <c r="K559" s="30"/>
      <c r="L559" s="1"/>
      <c r="M559" t="str">
        <f t="shared" si="64"/>
        <v>"//*[@class=\"</v>
      </c>
      <c r="N559" t="str">
        <f t="shared" si="68"/>
        <v/>
      </c>
      <c r="O559" s="4" t="str">
        <f t="shared" si="69"/>
        <v>click</v>
      </c>
      <c r="P559" t="str">
        <f t="shared" si="70"/>
        <v>();</v>
      </c>
      <c r="Q559" t="str">
        <f t="shared" si="71"/>
        <v/>
      </c>
      <c r="R559" t="str">
        <f t="shared" si="65"/>
        <v/>
      </c>
      <c r="S559" s="1" t="str">
        <f t="shared" si="66"/>
        <v/>
      </c>
      <c r="T559" s="4"/>
      <c r="U559" s="4"/>
      <c r="V559" s="4"/>
      <c r="W559" s="4"/>
      <c r="X559" s="4"/>
      <c r="Y559"/>
      <c r="Z559">
        <v>550</v>
      </c>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3"/>
      <c r="BC559" s="3"/>
      <c r="CT559" s="2" t="e">
        <v>#N/A</v>
      </c>
      <c r="CU559" s="2" t="e">
        <v>#N/A</v>
      </c>
      <c r="CV559" s="2" t="e">
        <v>#N/A</v>
      </c>
      <c r="CW559" s="2" t="e">
        <v>#N/A</v>
      </c>
      <c r="CX559" s="2" t="e">
        <v>#N/A</v>
      </c>
      <c r="CY559" s="2" t="e">
        <v>#N/A</v>
      </c>
      <c r="CZ559" s="2" t="e">
        <v>#N/A</v>
      </c>
      <c r="DA559" s="2" t="e">
        <v>#N/A</v>
      </c>
      <c r="DB559" s="2" t="e">
        <v>#N/A</v>
      </c>
      <c r="DC559" s="2" t="e">
        <v>#N/A</v>
      </c>
      <c r="DD559" s="2" t="e">
        <v>#N/A</v>
      </c>
      <c r="DE559" s="2" t="e">
        <v>#N/A</v>
      </c>
      <c r="DF559" s="2" t="e">
        <v>#N/A</v>
      </c>
      <c r="DG559" s="2" t="e">
        <v>#N/A</v>
      </c>
      <c r="DH559" s="2" t="e">
        <v>#N/A</v>
      </c>
      <c r="DI559" s="2" t="e">
        <v>#N/A</v>
      </c>
    </row>
    <row r="560" spans="1:113" s="2" customFormat="1">
      <c r="A560" s="4"/>
      <c r="B560" s="4"/>
      <c r="C560" s="30"/>
      <c r="D560" s="32"/>
      <c r="E560" s="45"/>
      <c r="F560" s="45"/>
      <c r="G560" s="45"/>
      <c r="H560" s="45"/>
      <c r="I560" s="45"/>
      <c r="J560" s="30"/>
      <c r="K560" s="30"/>
      <c r="L560" s="1"/>
      <c r="M560" t="str">
        <f t="shared" si="64"/>
        <v>"//*[@class=\"</v>
      </c>
      <c r="N560" t="str">
        <f t="shared" si="68"/>
        <v/>
      </c>
      <c r="O560" s="4" t="str">
        <f t="shared" si="69"/>
        <v>click</v>
      </c>
      <c r="P560" t="str">
        <f t="shared" si="70"/>
        <v>();</v>
      </c>
      <c r="Q560" t="str">
        <f t="shared" si="71"/>
        <v/>
      </c>
      <c r="R560" t="str">
        <f t="shared" si="65"/>
        <v/>
      </c>
      <c r="S560" s="1" t="str">
        <f t="shared" si="66"/>
        <v/>
      </c>
      <c r="T560" s="4"/>
      <c r="U560" s="4"/>
      <c r="V560" s="4"/>
      <c r="W560" s="4"/>
      <c r="X560" s="4"/>
      <c r="Y560"/>
      <c r="Z560">
        <v>551</v>
      </c>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3"/>
      <c r="BC560" s="3"/>
      <c r="CT560" s="2" t="e">
        <v>#N/A</v>
      </c>
      <c r="CU560" s="2" t="e">
        <v>#N/A</v>
      </c>
      <c r="CV560" s="2" t="e">
        <v>#N/A</v>
      </c>
      <c r="CW560" s="2" t="e">
        <v>#N/A</v>
      </c>
      <c r="CX560" s="2" t="e">
        <v>#N/A</v>
      </c>
      <c r="CY560" s="2" t="e">
        <v>#N/A</v>
      </c>
      <c r="CZ560" s="2" t="e">
        <v>#N/A</v>
      </c>
      <c r="DA560" s="2" t="e">
        <v>#N/A</v>
      </c>
      <c r="DB560" s="2" t="e">
        <v>#N/A</v>
      </c>
      <c r="DC560" s="2" t="e">
        <v>#N/A</v>
      </c>
      <c r="DD560" s="2" t="e">
        <v>#N/A</v>
      </c>
      <c r="DE560" s="2" t="e">
        <v>#N/A</v>
      </c>
      <c r="DF560" s="2" t="e">
        <v>#N/A</v>
      </c>
      <c r="DG560" s="2" t="e">
        <v>#N/A</v>
      </c>
      <c r="DH560" s="2" t="e">
        <v>#N/A</v>
      </c>
      <c r="DI560" s="2" t="e">
        <v>#N/A</v>
      </c>
    </row>
    <row r="561" spans="1:113" s="2" customFormat="1">
      <c r="A561" s="4"/>
      <c r="B561" s="4"/>
      <c r="C561" s="30"/>
      <c r="D561" s="32"/>
      <c r="E561" s="45"/>
      <c r="F561" s="45"/>
      <c r="G561" s="45"/>
      <c r="H561" s="45"/>
      <c r="I561" s="45"/>
      <c r="J561" s="30"/>
      <c r="K561" s="30"/>
      <c r="L561" s="1"/>
      <c r="M561" t="str">
        <f t="shared" si="64"/>
        <v>"//*[@class=\"</v>
      </c>
      <c r="N561" t="str">
        <f t="shared" si="68"/>
        <v/>
      </c>
      <c r="O561" s="4" t="str">
        <f t="shared" si="69"/>
        <v>click</v>
      </c>
      <c r="P561" t="str">
        <f t="shared" si="70"/>
        <v>();</v>
      </c>
      <c r="Q561" t="str">
        <f t="shared" si="71"/>
        <v/>
      </c>
      <c r="R561" t="str">
        <f t="shared" si="65"/>
        <v/>
      </c>
      <c r="S561" s="1" t="str">
        <f t="shared" si="66"/>
        <v/>
      </c>
      <c r="T561" s="4"/>
      <c r="U561" s="4"/>
      <c r="V561" s="4"/>
      <c r="W561" s="4"/>
      <c r="X561" s="4"/>
      <c r="Y561"/>
      <c r="Z561">
        <v>552</v>
      </c>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3"/>
      <c r="BC561" s="3"/>
      <c r="CT561" s="2" t="e">
        <v>#N/A</v>
      </c>
      <c r="CU561" s="2" t="e">
        <v>#N/A</v>
      </c>
      <c r="CV561" s="2" t="e">
        <v>#N/A</v>
      </c>
      <c r="CW561" s="2" t="e">
        <v>#N/A</v>
      </c>
      <c r="CX561" s="2" t="e">
        <v>#N/A</v>
      </c>
      <c r="CY561" s="2" t="e">
        <v>#N/A</v>
      </c>
      <c r="CZ561" s="2" t="e">
        <v>#N/A</v>
      </c>
      <c r="DA561" s="2" t="e">
        <v>#N/A</v>
      </c>
      <c r="DB561" s="2" t="e">
        <v>#N/A</v>
      </c>
      <c r="DC561" s="2" t="e">
        <v>#N/A</v>
      </c>
      <c r="DD561" s="2" t="e">
        <v>#N/A</v>
      </c>
      <c r="DE561" s="2" t="e">
        <v>#N/A</v>
      </c>
      <c r="DF561" s="2" t="e">
        <v>#N/A</v>
      </c>
      <c r="DG561" s="2" t="e">
        <v>#N/A</v>
      </c>
      <c r="DH561" s="2" t="e">
        <v>#N/A</v>
      </c>
      <c r="DI561" s="2" t="e">
        <v>#N/A</v>
      </c>
    </row>
    <row r="562" spans="1:113" s="2" customFormat="1">
      <c r="A562" s="4"/>
      <c r="B562" s="4"/>
      <c r="C562" s="30"/>
      <c r="D562" s="32"/>
      <c r="E562" s="45"/>
      <c r="F562" s="45"/>
      <c r="G562" s="45"/>
      <c r="H562" s="45"/>
      <c r="I562" s="45"/>
      <c r="J562" s="30"/>
      <c r="K562" s="30"/>
      <c r="L562" s="1"/>
      <c r="M562" t="str">
        <f t="shared" si="64"/>
        <v>"//*[@class=\"</v>
      </c>
      <c r="N562" t="str">
        <f t="shared" si="68"/>
        <v/>
      </c>
      <c r="O562" s="4" t="str">
        <f t="shared" si="69"/>
        <v>click</v>
      </c>
      <c r="P562" t="str">
        <f t="shared" si="70"/>
        <v>();</v>
      </c>
      <c r="Q562" t="str">
        <f t="shared" si="71"/>
        <v/>
      </c>
      <c r="R562" t="str">
        <f t="shared" si="65"/>
        <v/>
      </c>
      <c r="S562" s="1" t="str">
        <f t="shared" si="66"/>
        <v/>
      </c>
      <c r="T562" s="4"/>
      <c r="U562" s="4"/>
      <c r="V562" s="4"/>
      <c r="W562" s="4"/>
      <c r="X562" s="4"/>
      <c r="Y562"/>
      <c r="Z562">
        <v>553</v>
      </c>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3"/>
      <c r="BC562" s="3"/>
      <c r="CT562" s="2" t="e">
        <v>#N/A</v>
      </c>
      <c r="CU562" s="2" t="e">
        <v>#N/A</v>
      </c>
      <c r="CV562" s="2" t="e">
        <v>#N/A</v>
      </c>
      <c r="CW562" s="2" t="e">
        <v>#N/A</v>
      </c>
      <c r="CX562" s="2" t="e">
        <v>#N/A</v>
      </c>
      <c r="CY562" s="2" t="e">
        <v>#N/A</v>
      </c>
      <c r="CZ562" s="2" t="e">
        <v>#N/A</v>
      </c>
      <c r="DA562" s="2" t="e">
        <v>#N/A</v>
      </c>
      <c r="DB562" s="2" t="e">
        <v>#N/A</v>
      </c>
      <c r="DC562" s="2" t="e">
        <v>#N/A</v>
      </c>
      <c r="DD562" s="2" t="e">
        <v>#N/A</v>
      </c>
      <c r="DE562" s="2" t="e">
        <v>#N/A</v>
      </c>
      <c r="DF562" s="2" t="e">
        <v>#N/A</v>
      </c>
      <c r="DG562" s="2" t="e">
        <v>#N/A</v>
      </c>
      <c r="DH562" s="2" t="e">
        <v>#N/A</v>
      </c>
      <c r="DI562" s="2" t="e">
        <v>#N/A</v>
      </c>
    </row>
    <row r="563" spans="1:113" s="2" customFormat="1">
      <c r="A563" s="4"/>
      <c r="B563" s="4"/>
      <c r="C563" s="30"/>
      <c r="D563" s="32"/>
      <c r="E563" s="45"/>
      <c r="F563" s="45"/>
      <c r="G563" s="45"/>
      <c r="H563" s="45"/>
      <c r="I563" s="45"/>
      <c r="J563" s="30"/>
      <c r="K563" s="30"/>
      <c r="L563" s="1"/>
      <c r="M563" t="str">
        <f t="shared" si="64"/>
        <v>"//*[@class=\"</v>
      </c>
      <c r="N563" t="str">
        <f t="shared" si="68"/>
        <v/>
      </c>
      <c r="O563" s="4" t="str">
        <f t="shared" si="69"/>
        <v>click</v>
      </c>
      <c r="P563" t="str">
        <f t="shared" si="70"/>
        <v>();</v>
      </c>
      <c r="Q563" t="str">
        <f t="shared" si="71"/>
        <v/>
      </c>
      <c r="R563" t="str">
        <f t="shared" si="65"/>
        <v/>
      </c>
      <c r="S563" s="1" t="str">
        <f t="shared" si="66"/>
        <v/>
      </c>
      <c r="T563" s="4"/>
      <c r="U563" s="4"/>
      <c r="V563" s="4"/>
      <c r="W563" s="4"/>
      <c r="X563" s="4"/>
      <c r="Y563"/>
      <c r="Z563">
        <v>554</v>
      </c>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3"/>
      <c r="BC563" s="3"/>
      <c r="CT563" s="2" t="e">
        <v>#N/A</v>
      </c>
      <c r="CU563" s="2" t="e">
        <v>#N/A</v>
      </c>
      <c r="CV563" s="2" t="e">
        <v>#N/A</v>
      </c>
      <c r="CW563" s="2" t="e">
        <v>#N/A</v>
      </c>
      <c r="CX563" s="2" t="e">
        <v>#N/A</v>
      </c>
      <c r="CY563" s="2" t="e">
        <v>#N/A</v>
      </c>
      <c r="CZ563" s="2" t="e">
        <v>#N/A</v>
      </c>
      <c r="DA563" s="2" t="e">
        <v>#N/A</v>
      </c>
      <c r="DB563" s="2" t="e">
        <v>#N/A</v>
      </c>
      <c r="DC563" s="2" t="e">
        <v>#N/A</v>
      </c>
      <c r="DD563" s="2" t="e">
        <v>#N/A</v>
      </c>
      <c r="DE563" s="2" t="e">
        <v>#N/A</v>
      </c>
      <c r="DF563" s="2" t="e">
        <v>#N/A</v>
      </c>
      <c r="DG563" s="2" t="e">
        <v>#N/A</v>
      </c>
      <c r="DH563" s="2" t="e">
        <v>#N/A</v>
      </c>
      <c r="DI563" s="2" t="e">
        <v>#N/A</v>
      </c>
    </row>
    <row r="564" spans="1:113" s="2" customFormat="1">
      <c r="A564" s="4"/>
      <c r="B564" s="4"/>
      <c r="C564" s="30"/>
      <c r="D564" s="32"/>
      <c r="E564" s="45"/>
      <c r="F564" s="45"/>
      <c r="G564" s="45"/>
      <c r="H564" s="45"/>
      <c r="I564" s="45"/>
      <c r="J564" s="30"/>
      <c r="K564" s="30"/>
      <c r="L564" s="1"/>
      <c r="M564" t="str">
        <f t="shared" si="64"/>
        <v>"//*[@class=\"</v>
      </c>
      <c r="N564" t="str">
        <f t="shared" si="68"/>
        <v/>
      </c>
      <c r="O564" s="4" t="str">
        <f t="shared" si="69"/>
        <v>click</v>
      </c>
      <c r="P564" t="str">
        <f t="shared" si="70"/>
        <v>();</v>
      </c>
      <c r="Q564" t="str">
        <f t="shared" si="71"/>
        <v/>
      </c>
      <c r="R564" t="str">
        <f t="shared" si="65"/>
        <v/>
      </c>
      <c r="S564" s="1" t="str">
        <f t="shared" si="66"/>
        <v/>
      </c>
      <c r="T564" s="4"/>
      <c r="U564" s="4"/>
      <c r="V564" s="4"/>
      <c r="W564" s="4"/>
      <c r="X564" s="4"/>
      <c r="Y564"/>
      <c r="Z564">
        <v>555</v>
      </c>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3"/>
      <c r="BC564" s="3"/>
      <c r="CT564" s="2" t="e">
        <v>#N/A</v>
      </c>
      <c r="CU564" s="2" t="e">
        <v>#N/A</v>
      </c>
      <c r="CV564" s="2" t="e">
        <v>#N/A</v>
      </c>
      <c r="CW564" s="2" t="e">
        <v>#N/A</v>
      </c>
      <c r="CX564" s="2" t="e">
        <v>#N/A</v>
      </c>
      <c r="CY564" s="2" t="e">
        <v>#N/A</v>
      </c>
      <c r="CZ564" s="2" t="e">
        <v>#N/A</v>
      </c>
      <c r="DA564" s="2" t="e">
        <v>#N/A</v>
      </c>
      <c r="DB564" s="2" t="e">
        <v>#N/A</v>
      </c>
      <c r="DC564" s="2" t="e">
        <v>#N/A</v>
      </c>
      <c r="DD564" s="2" t="e">
        <v>#N/A</v>
      </c>
      <c r="DE564" s="2" t="e">
        <v>#N/A</v>
      </c>
      <c r="DF564" s="2" t="e">
        <v>#N/A</v>
      </c>
      <c r="DG564" s="2" t="e">
        <v>#N/A</v>
      </c>
      <c r="DH564" s="2" t="e">
        <v>#N/A</v>
      </c>
      <c r="DI564" s="2" t="e">
        <v>#N/A</v>
      </c>
    </row>
    <row r="565" spans="1:113" s="2" customFormat="1">
      <c r="A565" s="4"/>
      <c r="B565" s="4"/>
      <c r="C565" s="30"/>
      <c r="D565" s="32"/>
      <c r="E565" s="45"/>
      <c r="F565" s="45"/>
      <c r="G565" s="45"/>
      <c r="H565" s="45"/>
      <c r="I565" s="45"/>
      <c r="J565" s="30"/>
      <c r="K565" s="30"/>
      <c r="L565" s="1"/>
      <c r="M565" t="str">
        <f t="shared" si="64"/>
        <v>"//*[@class=\"</v>
      </c>
      <c r="N565" t="str">
        <f t="shared" si="68"/>
        <v/>
      </c>
      <c r="O565" s="4" t="str">
        <f t="shared" si="69"/>
        <v>click</v>
      </c>
      <c r="P565" t="str">
        <f t="shared" si="70"/>
        <v>();</v>
      </c>
      <c r="Q565" t="str">
        <f t="shared" si="71"/>
        <v/>
      </c>
      <c r="R565" t="str">
        <f t="shared" si="65"/>
        <v/>
      </c>
      <c r="S565" s="1" t="str">
        <f t="shared" si="66"/>
        <v/>
      </c>
      <c r="T565" s="4"/>
      <c r="U565" s="4"/>
      <c r="V565" s="4"/>
      <c r="W565" s="4"/>
      <c r="X565" s="4"/>
      <c r="Y565"/>
      <c r="Z565">
        <v>556</v>
      </c>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3"/>
      <c r="BC565" s="3"/>
      <c r="CT565" s="2" t="e">
        <v>#N/A</v>
      </c>
      <c r="CU565" s="2" t="e">
        <v>#N/A</v>
      </c>
      <c r="CV565" s="2" t="e">
        <v>#N/A</v>
      </c>
      <c r="CW565" s="2" t="e">
        <v>#N/A</v>
      </c>
      <c r="CX565" s="2" t="e">
        <v>#N/A</v>
      </c>
      <c r="CY565" s="2" t="e">
        <v>#N/A</v>
      </c>
      <c r="CZ565" s="2" t="e">
        <v>#N/A</v>
      </c>
      <c r="DA565" s="2" t="e">
        <v>#N/A</v>
      </c>
      <c r="DB565" s="2" t="e">
        <v>#N/A</v>
      </c>
      <c r="DC565" s="2" t="e">
        <v>#N/A</v>
      </c>
      <c r="DD565" s="2" t="e">
        <v>#N/A</v>
      </c>
      <c r="DE565" s="2" t="e">
        <v>#N/A</v>
      </c>
      <c r="DF565" s="2" t="e">
        <v>#N/A</v>
      </c>
      <c r="DG565" s="2" t="e">
        <v>#N/A</v>
      </c>
      <c r="DH565" s="2" t="e">
        <v>#N/A</v>
      </c>
      <c r="DI565" s="2" t="e">
        <v>#N/A</v>
      </c>
    </row>
    <row r="566" spans="1:113" s="2" customFormat="1">
      <c r="A566" s="4"/>
      <c r="B566" s="4"/>
      <c r="C566" s="30"/>
      <c r="D566" s="32"/>
      <c r="E566" s="45"/>
      <c r="F566" s="45"/>
      <c r="G566" s="45"/>
      <c r="H566" s="45"/>
      <c r="I566" s="45"/>
      <c r="J566" s="30"/>
      <c r="K566" s="30"/>
      <c r="L566" s="1"/>
      <c r="M566" t="str">
        <f t="shared" si="64"/>
        <v>"//*[@class=\"</v>
      </c>
      <c r="N566" t="str">
        <f t="shared" si="68"/>
        <v/>
      </c>
      <c r="O566" s="4" t="str">
        <f t="shared" si="69"/>
        <v>click</v>
      </c>
      <c r="P566" t="str">
        <f t="shared" si="70"/>
        <v>();</v>
      </c>
      <c r="Q566" t="str">
        <f t="shared" si="71"/>
        <v/>
      </c>
      <c r="R566" t="str">
        <f t="shared" si="65"/>
        <v/>
      </c>
      <c r="S566" s="1" t="str">
        <f t="shared" si="66"/>
        <v/>
      </c>
      <c r="T566" s="4"/>
      <c r="U566" s="4"/>
      <c r="V566" s="4"/>
      <c r="W566" s="4"/>
      <c r="X566" s="4"/>
      <c r="Y566"/>
      <c r="Z566">
        <v>557</v>
      </c>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3"/>
      <c r="BC566" s="3"/>
      <c r="CT566" s="2" t="e">
        <v>#N/A</v>
      </c>
      <c r="CU566" s="2" t="e">
        <v>#N/A</v>
      </c>
      <c r="CV566" s="2" t="e">
        <v>#N/A</v>
      </c>
      <c r="CW566" s="2" t="e">
        <v>#N/A</v>
      </c>
      <c r="CX566" s="2" t="e">
        <v>#N/A</v>
      </c>
      <c r="CY566" s="2" t="e">
        <v>#N/A</v>
      </c>
      <c r="CZ566" s="2" t="e">
        <v>#N/A</v>
      </c>
      <c r="DA566" s="2" t="e">
        <v>#N/A</v>
      </c>
      <c r="DB566" s="2" t="e">
        <v>#N/A</v>
      </c>
      <c r="DC566" s="2" t="e">
        <v>#N/A</v>
      </c>
      <c r="DD566" s="2" t="e">
        <v>#N/A</v>
      </c>
      <c r="DE566" s="2" t="e">
        <v>#N/A</v>
      </c>
      <c r="DF566" s="2" t="e">
        <v>#N/A</v>
      </c>
      <c r="DG566" s="2" t="e">
        <v>#N/A</v>
      </c>
      <c r="DH566" s="2" t="e">
        <v>#N/A</v>
      </c>
      <c r="DI566" s="2" t="e">
        <v>#N/A</v>
      </c>
    </row>
    <row r="567" spans="1:113" s="2" customFormat="1">
      <c r="A567" s="4"/>
      <c r="B567" s="4"/>
      <c r="C567" s="30"/>
      <c r="D567" s="32"/>
      <c r="E567" s="45"/>
      <c r="F567" s="45"/>
      <c r="G567" s="45"/>
      <c r="H567" s="45"/>
      <c r="I567" s="45"/>
      <c r="J567" s="30"/>
      <c r="K567" s="30"/>
      <c r="L567" s="9"/>
      <c r="M567" t="str">
        <f t="shared" si="64"/>
        <v>"//*[@class=\"</v>
      </c>
      <c r="N567" t="str">
        <f t="shared" si="68"/>
        <v/>
      </c>
      <c r="O567" s="4" t="str">
        <f t="shared" si="69"/>
        <v>click</v>
      </c>
      <c r="P567" t="str">
        <f t="shared" si="70"/>
        <v>();</v>
      </c>
      <c r="Q567" t="str">
        <f t="shared" si="71"/>
        <v/>
      </c>
      <c r="R567" t="str">
        <f t="shared" si="65"/>
        <v/>
      </c>
      <c r="S567" s="1" t="str">
        <f t="shared" si="66"/>
        <v/>
      </c>
      <c r="T567" s="4"/>
      <c r="U567" s="4"/>
      <c r="V567" s="4"/>
      <c r="W567" s="4"/>
      <c r="X567" s="4"/>
      <c r="Y567"/>
      <c r="Z567">
        <v>558</v>
      </c>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3"/>
      <c r="BC567" s="3"/>
      <c r="CT567" s="2" t="e">
        <v>#N/A</v>
      </c>
      <c r="CU567" s="2" t="e">
        <v>#N/A</v>
      </c>
      <c r="CV567" s="2" t="e">
        <v>#N/A</v>
      </c>
      <c r="CW567" s="2" t="e">
        <v>#N/A</v>
      </c>
      <c r="CX567" s="2" t="e">
        <v>#N/A</v>
      </c>
      <c r="CY567" s="2" t="e">
        <v>#N/A</v>
      </c>
      <c r="CZ567" s="2" t="e">
        <v>#N/A</v>
      </c>
      <c r="DA567" s="2" t="e">
        <v>#N/A</v>
      </c>
      <c r="DB567" s="2" t="e">
        <v>#N/A</v>
      </c>
      <c r="DC567" s="2" t="e">
        <v>#N/A</v>
      </c>
      <c r="DD567" s="2" t="e">
        <v>#N/A</v>
      </c>
      <c r="DE567" s="2" t="e">
        <v>#N/A</v>
      </c>
      <c r="DF567" s="2" t="e">
        <v>#N/A</v>
      </c>
      <c r="DG567" s="2" t="e">
        <v>#N/A</v>
      </c>
      <c r="DH567" s="2" t="e">
        <v>#N/A</v>
      </c>
      <c r="DI567" s="2" t="e">
        <v>#N/A</v>
      </c>
    </row>
    <row r="568" spans="1:113" s="2" customFormat="1">
      <c r="A568" s="4"/>
      <c r="B568" s="4"/>
      <c r="C568" s="30"/>
      <c r="D568" s="32"/>
      <c r="E568" s="45"/>
      <c r="F568" s="45"/>
      <c r="G568" s="45"/>
      <c r="H568" s="45"/>
      <c r="I568" s="45"/>
      <c r="J568" s="30"/>
      <c r="K568" s="30"/>
      <c r="L568" s="9"/>
      <c r="M568" t="str">
        <f t="shared" si="64"/>
        <v>"//*[@class=\"</v>
      </c>
      <c r="N568" t="str">
        <f t="shared" si="68"/>
        <v/>
      </c>
      <c r="O568" s="4" t="str">
        <f t="shared" si="69"/>
        <v>click</v>
      </c>
      <c r="P568" t="str">
        <f t="shared" si="70"/>
        <v>();</v>
      </c>
      <c r="Q568" t="str">
        <f t="shared" si="71"/>
        <v/>
      </c>
      <c r="R568" t="str">
        <f t="shared" si="65"/>
        <v/>
      </c>
      <c r="S568" s="1" t="str">
        <f t="shared" si="66"/>
        <v/>
      </c>
      <c r="T568" s="4"/>
      <c r="U568" s="4"/>
      <c r="V568" s="4"/>
      <c r="W568" s="4"/>
      <c r="X568" s="4"/>
      <c r="Y568"/>
      <c r="Z568">
        <v>559</v>
      </c>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3"/>
      <c r="BC568" s="3"/>
      <c r="CT568" s="2" t="e">
        <v>#N/A</v>
      </c>
      <c r="CU568" s="2" t="e">
        <v>#N/A</v>
      </c>
      <c r="CV568" s="2" t="e">
        <v>#N/A</v>
      </c>
      <c r="CW568" s="2" t="e">
        <v>#N/A</v>
      </c>
      <c r="CX568" s="2" t="e">
        <v>#N/A</v>
      </c>
      <c r="CY568" s="2" t="e">
        <v>#N/A</v>
      </c>
      <c r="CZ568" s="2" t="e">
        <v>#N/A</v>
      </c>
      <c r="DA568" s="2" t="e">
        <v>#N/A</v>
      </c>
      <c r="DB568" s="2" t="e">
        <v>#N/A</v>
      </c>
      <c r="DC568" s="2" t="e">
        <v>#N/A</v>
      </c>
      <c r="DD568" s="2" t="e">
        <v>#N/A</v>
      </c>
      <c r="DE568" s="2" t="e">
        <v>#N/A</v>
      </c>
      <c r="DF568" s="2" t="e">
        <v>#N/A</v>
      </c>
      <c r="DG568" s="2" t="e">
        <v>#N/A</v>
      </c>
      <c r="DH568" s="2" t="e">
        <v>#N/A</v>
      </c>
      <c r="DI568" s="2" t="e">
        <v>#N/A</v>
      </c>
    </row>
    <row r="569" spans="1:113" s="2" customFormat="1">
      <c r="A569" s="4"/>
      <c r="B569" s="4"/>
      <c r="C569" s="30"/>
      <c r="D569" s="32"/>
      <c r="E569" s="45"/>
      <c r="F569" s="45"/>
      <c r="G569" s="45"/>
      <c r="H569" s="45"/>
      <c r="I569" s="45"/>
      <c r="J569" s="30"/>
      <c r="K569" s="30"/>
      <c r="L569" s="9"/>
      <c r="M569" t="str">
        <f t="shared" si="64"/>
        <v>"//*[@class=\"</v>
      </c>
      <c r="N569" t="str">
        <f t="shared" si="68"/>
        <v/>
      </c>
      <c r="O569" s="4" t="str">
        <f t="shared" si="69"/>
        <v>click</v>
      </c>
      <c r="P569" t="str">
        <f t="shared" si="70"/>
        <v>();</v>
      </c>
      <c r="Q569" t="str">
        <f t="shared" si="71"/>
        <v/>
      </c>
      <c r="R569" t="str">
        <f t="shared" si="65"/>
        <v/>
      </c>
      <c r="S569" s="1" t="str">
        <f t="shared" si="66"/>
        <v/>
      </c>
      <c r="T569" s="4"/>
      <c r="U569" s="4"/>
      <c r="V569" s="4"/>
      <c r="W569" s="4"/>
      <c r="X569" s="4"/>
      <c r="Y569"/>
      <c r="Z569">
        <v>560</v>
      </c>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3"/>
      <c r="BC569" s="3"/>
      <c r="CT569" s="2" t="e">
        <v>#N/A</v>
      </c>
      <c r="CU569" s="2" t="e">
        <v>#N/A</v>
      </c>
      <c r="CV569" s="2" t="e">
        <v>#N/A</v>
      </c>
      <c r="CW569" s="2" t="e">
        <v>#N/A</v>
      </c>
      <c r="CX569" s="2" t="e">
        <v>#N/A</v>
      </c>
      <c r="CY569" s="2" t="e">
        <v>#N/A</v>
      </c>
      <c r="CZ569" s="2" t="e">
        <v>#N/A</v>
      </c>
      <c r="DA569" s="2" t="e">
        <v>#N/A</v>
      </c>
      <c r="DB569" s="2" t="e">
        <v>#N/A</v>
      </c>
      <c r="DC569" s="2" t="e">
        <v>#N/A</v>
      </c>
      <c r="DD569" s="2" t="e">
        <v>#N/A</v>
      </c>
      <c r="DE569" s="2" t="e">
        <v>#N/A</v>
      </c>
      <c r="DF569" s="2" t="e">
        <v>#N/A</v>
      </c>
      <c r="DG569" s="2" t="e">
        <v>#N/A</v>
      </c>
      <c r="DH569" s="2" t="e">
        <v>#N/A</v>
      </c>
      <c r="DI569" s="2" t="e">
        <v>#N/A</v>
      </c>
    </row>
    <row r="570" spans="1:113" s="2" customFormat="1">
      <c r="A570" s="4"/>
      <c r="B570" s="4"/>
      <c r="C570" s="30"/>
      <c r="D570" s="32"/>
      <c r="E570" s="45"/>
      <c r="F570" s="45"/>
      <c r="G570" s="45"/>
      <c r="H570" s="45"/>
      <c r="I570" s="45"/>
      <c r="J570" s="30"/>
      <c r="K570" s="30"/>
      <c r="L570" s="9"/>
      <c r="M570" t="str">
        <f t="shared" si="64"/>
        <v>"//*[@class=\"</v>
      </c>
      <c r="N570" t="str">
        <f t="shared" si="68"/>
        <v/>
      </c>
      <c r="O570" s="4" t="str">
        <f t="shared" si="69"/>
        <v>click</v>
      </c>
      <c r="P570" t="str">
        <f t="shared" si="70"/>
        <v>();</v>
      </c>
      <c r="Q570" t="str">
        <f t="shared" si="71"/>
        <v/>
      </c>
      <c r="R570" t="str">
        <f t="shared" si="65"/>
        <v/>
      </c>
      <c r="S570" s="1" t="str">
        <f t="shared" si="66"/>
        <v/>
      </c>
      <c r="T570" s="4"/>
      <c r="U570" s="4"/>
      <c r="V570" s="4"/>
      <c r="W570" s="4"/>
      <c r="X570" s="4"/>
      <c r="Y570"/>
      <c r="Z570">
        <v>561</v>
      </c>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3"/>
      <c r="BC570" s="3"/>
      <c r="CT570" s="2" t="e">
        <v>#N/A</v>
      </c>
      <c r="CU570" s="2" t="e">
        <v>#N/A</v>
      </c>
      <c r="CV570" s="2" t="e">
        <v>#N/A</v>
      </c>
      <c r="CW570" s="2" t="e">
        <v>#N/A</v>
      </c>
      <c r="CX570" s="2" t="e">
        <v>#N/A</v>
      </c>
      <c r="CY570" s="2" t="e">
        <v>#N/A</v>
      </c>
      <c r="CZ570" s="2" t="e">
        <v>#N/A</v>
      </c>
      <c r="DA570" s="2" t="e">
        <v>#N/A</v>
      </c>
      <c r="DB570" s="2" t="e">
        <v>#N/A</v>
      </c>
      <c r="DC570" s="2" t="e">
        <v>#N/A</v>
      </c>
      <c r="DD570" s="2" t="e">
        <v>#N/A</v>
      </c>
      <c r="DE570" s="2" t="e">
        <v>#N/A</v>
      </c>
      <c r="DF570" s="2" t="e">
        <v>#N/A</v>
      </c>
      <c r="DG570" s="2" t="e">
        <v>#N/A</v>
      </c>
      <c r="DH570" s="2" t="e">
        <v>#N/A</v>
      </c>
      <c r="DI570" s="2" t="e">
        <v>#N/A</v>
      </c>
    </row>
    <row r="571" spans="1:113" s="2" customFormat="1">
      <c r="A571" s="4"/>
      <c r="B571" s="4"/>
      <c r="C571" s="30"/>
      <c r="D571" s="32"/>
      <c r="E571" s="45"/>
      <c r="F571" s="45"/>
      <c r="G571" s="45"/>
      <c r="H571" s="45"/>
      <c r="I571" s="45"/>
      <c r="J571" s="30"/>
      <c r="K571" s="30"/>
      <c r="L571" s="9"/>
      <c r="M571" t="str">
        <f t="shared" si="64"/>
        <v>"//*[@class=\"</v>
      </c>
      <c r="N571" t="str">
        <f t="shared" si="68"/>
        <v/>
      </c>
      <c r="O571" s="4" t="str">
        <f t="shared" si="69"/>
        <v>click</v>
      </c>
      <c r="P571" t="str">
        <f t="shared" si="70"/>
        <v>();</v>
      </c>
      <c r="Q571" t="str">
        <f t="shared" si="71"/>
        <v/>
      </c>
      <c r="R571" t="str">
        <f t="shared" si="65"/>
        <v/>
      </c>
      <c r="S571" s="1" t="str">
        <f t="shared" si="66"/>
        <v/>
      </c>
      <c r="T571" s="4"/>
      <c r="U571" s="4"/>
      <c r="V571" s="4"/>
      <c r="W571" s="4"/>
      <c r="X571" s="4"/>
      <c r="Y571"/>
      <c r="Z571">
        <v>562</v>
      </c>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3"/>
      <c r="BC571" s="3"/>
      <c r="CT571" s="2" t="e">
        <v>#N/A</v>
      </c>
      <c r="CU571" s="2" t="e">
        <v>#N/A</v>
      </c>
      <c r="CV571" s="2" t="e">
        <v>#N/A</v>
      </c>
      <c r="CW571" s="2" t="e">
        <v>#N/A</v>
      </c>
      <c r="CX571" s="2" t="e">
        <v>#N/A</v>
      </c>
      <c r="CY571" s="2" t="e">
        <v>#N/A</v>
      </c>
      <c r="CZ571" s="2" t="e">
        <v>#N/A</v>
      </c>
      <c r="DA571" s="2" t="e">
        <v>#N/A</v>
      </c>
      <c r="DB571" s="2" t="e">
        <v>#N/A</v>
      </c>
      <c r="DC571" s="2" t="e">
        <v>#N/A</v>
      </c>
      <c r="DD571" s="2" t="e">
        <v>#N/A</v>
      </c>
      <c r="DE571" s="2" t="e">
        <v>#N/A</v>
      </c>
      <c r="DF571" s="2" t="e">
        <v>#N/A</v>
      </c>
      <c r="DG571" s="2" t="e">
        <v>#N/A</v>
      </c>
      <c r="DH571" s="2" t="e">
        <v>#N/A</v>
      </c>
      <c r="DI571" s="2" t="e">
        <v>#N/A</v>
      </c>
    </row>
    <row r="572" spans="1:113" s="2" customFormat="1">
      <c r="A572" s="4"/>
      <c r="B572" s="4"/>
      <c r="C572" s="30"/>
      <c r="D572" s="32"/>
      <c r="E572" s="45"/>
      <c r="F572" s="45"/>
      <c r="G572" s="45"/>
      <c r="H572" s="45"/>
      <c r="I572" s="45"/>
      <c r="J572" s="30"/>
      <c r="K572" s="30"/>
      <c r="L572" s="9"/>
      <c r="M572" t="str">
        <f t="shared" si="64"/>
        <v>"//*[@class=\"</v>
      </c>
      <c r="N572" t="str">
        <f t="shared" si="68"/>
        <v/>
      </c>
      <c r="O572" s="4" t="str">
        <f t="shared" si="69"/>
        <v>click</v>
      </c>
      <c r="P572" t="str">
        <f t="shared" si="70"/>
        <v>();</v>
      </c>
      <c r="Q572" t="str">
        <f t="shared" si="71"/>
        <v/>
      </c>
      <c r="R572" t="str">
        <f t="shared" si="65"/>
        <v/>
      </c>
      <c r="S572" s="1" t="str">
        <f t="shared" si="66"/>
        <v/>
      </c>
      <c r="T572" s="4"/>
      <c r="U572" s="4"/>
      <c r="V572" s="4"/>
      <c r="W572" s="4"/>
      <c r="X572" s="4"/>
      <c r="Y572"/>
      <c r="Z572">
        <v>563</v>
      </c>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3"/>
      <c r="BC572" s="3"/>
      <c r="CT572" s="2" t="e">
        <v>#N/A</v>
      </c>
      <c r="CU572" s="2" t="e">
        <v>#N/A</v>
      </c>
      <c r="CV572" s="2" t="e">
        <v>#N/A</v>
      </c>
      <c r="CW572" s="2" t="e">
        <v>#N/A</v>
      </c>
      <c r="CX572" s="2" t="e">
        <v>#N/A</v>
      </c>
      <c r="CY572" s="2" t="e">
        <v>#N/A</v>
      </c>
      <c r="CZ572" s="2" t="e">
        <v>#N/A</v>
      </c>
      <c r="DA572" s="2" t="e">
        <v>#N/A</v>
      </c>
      <c r="DB572" s="2" t="e">
        <v>#N/A</v>
      </c>
      <c r="DC572" s="2" t="e">
        <v>#N/A</v>
      </c>
      <c r="DD572" s="2" t="e">
        <v>#N/A</v>
      </c>
      <c r="DE572" s="2" t="e">
        <v>#N/A</v>
      </c>
      <c r="DF572" s="2" t="e">
        <v>#N/A</v>
      </c>
      <c r="DG572" s="2" t="e">
        <v>#N/A</v>
      </c>
      <c r="DH572" s="2" t="e">
        <v>#N/A</v>
      </c>
      <c r="DI572" s="2" t="e">
        <v>#N/A</v>
      </c>
    </row>
    <row r="573" spans="1:113" s="2" customFormat="1">
      <c r="A573" s="4"/>
      <c r="B573" s="4"/>
      <c r="C573" s="30"/>
      <c r="D573" s="32"/>
      <c r="E573" s="45"/>
      <c r="F573" s="45"/>
      <c r="G573" s="45"/>
      <c r="H573" s="45"/>
      <c r="I573" s="45"/>
      <c r="J573" s="30"/>
      <c r="K573" s="30"/>
      <c r="L573" s="9"/>
      <c r="M573" t="str">
        <f t="shared" si="64"/>
        <v>"//*[@class=\"</v>
      </c>
      <c r="N573" t="str">
        <f t="shared" si="68"/>
        <v/>
      </c>
      <c r="O573" s="4" t="str">
        <f t="shared" si="69"/>
        <v>click</v>
      </c>
      <c r="P573" t="str">
        <f t="shared" si="70"/>
        <v>();</v>
      </c>
      <c r="Q573" t="str">
        <f t="shared" si="71"/>
        <v/>
      </c>
      <c r="R573" t="str">
        <f t="shared" si="65"/>
        <v/>
      </c>
      <c r="S573" s="1" t="str">
        <f t="shared" si="66"/>
        <v/>
      </c>
      <c r="T573" s="4"/>
      <c r="U573" s="4"/>
      <c r="V573" s="4"/>
      <c r="W573" s="4"/>
      <c r="X573" s="4"/>
      <c r="Y573"/>
      <c r="Z573">
        <v>564</v>
      </c>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3"/>
      <c r="BC573" s="3"/>
      <c r="CT573" s="2" t="e">
        <v>#N/A</v>
      </c>
      <c r="CU573" s="2" t="e">
        <v>#N/A</v>
      </c>
      <c r="CV573" s="2" t="e">
        <v>#N/A</v>
      </c>
      <c r="CW573" s="2" t="e">
        <v>#N/A</v>
      </c>
      <c r="CX573" s="2" t="e">
        <v>#N/A</v>
      </c>
      <c r="CY573" s="2" t="e">
        <v>#N/A</v>
      </c>
      <c r="CZ573" s="2" t="e">
        <v>#N/A</v>
      </c>
      <c r="DA573" s="2" t="e">
        <v>#N/A</v>
      </c>
      <c r="DB573" s="2" t="e">
        <v>#N/A</v>
      </c>
      <c r="DC573" s="2" t="e">
        <v>#N/A</v>
      </c>
      <c r="DD573" s="2" t="e">
        <v>#N/A</v>
      </c>
      <c r="DE573" s="2" t="e">
        <v>#N/A</v>
      </c>
      <c r="DF573" s="2" t="e">
        <v>#N/A</v>
      </c>
      <c r="DG573" s="2" t="e">
        <v>#N/A</v>
      </c>
      <c r="DH573" s="2" t="e">
        <v>#N/A</v>
      </c>
      <c r="DI573" s="2" t="e">
        <v>#N/A</v>
      </c>
    </row>
    <row r="574" spans="1:113">
      <c r="M574" t="str">
        <f t="shared" si="64"/>
        <v>"//*[@class=\"</v>
      </c>
      <c r="N574" t="str">
        <f t="shared" si="68"/>
        <v/>
      </c>
      <c r="O574" s="4" t="str">
        <f t="shared" si="69"/>
        <v>click</v>
      </c>
      <c r="P574" t="str">
        <f t="shared" si="70"/>
        <v>();</v>
      </c>
      <c r="Q574" t="str">
        <f t="shared" si="71"/>
        <v/>
      </c>
      <c r="R574" t="str">
        <f t="shared" si="65"/>
        <v/>
      </c>
      <c r="S574" s="1" t="str">
        <f t="shared" si="66"/>
        <v/>
      </c>
      <c r="Z574">
        <v>565</v>
      </c>
      <c r="CT574" t="e">
        <v>#N/A</v>
      </c>
      <c r="CU574" t="e">
        <v>#N/A</v>
      </c>
      <c r="CV574" t="e">
        <v>#N/A</v>
      </c>
      <c r="CW574" t="e">
        <v>#N/A</v>
      </c>
      <c r="CX574" t="e">
        <v>#N/A</v>
      </c>
      <c r="CY574" t="e">
        <v>#N/A</v>
      </c>
      <c r="CZ574" t="e">
        <v>#N/A</v>
      </c>
      <c r="DA574" t="e">
        <v>#N/A</v>
      </c>
      <c r="DB574" t="e">
        <v>#N/A</v>
      </c>
      <c r="DC574" t="e">
        <v>#N/A</v>
      </c>
      <c r="DD574" t="e">
        <v>#N/A</v>
      </c>
      <c r="DE574" t="e">
        <v>#N/A</v>
      </c>
      <c r="DF574" t="e">
        <v>#N/A</v>
      </c>
      <c r="DG574" t="e">
        <v>#N/A</v>
      </c>
      <c r="DH574" t="e">
        <v>#N/A</v>
      </c>
      <c r="DI574" t="e">
        <v>#N/A</v>
      </c>
    </row>
    <row r="575" spans="1:113">
      <c r="M575" t="str">
        <f t="shared" si="64"/>
        <v>"//*[@class=\"</v>
      </c>
      <c r="N575" t="str">
        <f t="shared" si="68"/>
        <v/>
      </c>
      <c r="O575" s="4" t="str">
        <f t="shared" si="69"/>
        <v>click</v>
      </c>
      <c r="P575" t="str">
        <f t="shared" si="70"/>
        <v>();</v>
      </c>
      <c r="Q575" t="str">
        <f t="shared" si="71"/>
        <v/>
      </c>
      <c r="R575" t="str">
        <f t="shared" si="65"/>
        <v/>
      </c>
      <c r="S575" s="1" t="str">
        <f t="shared" si="66"/>
        <v/>
      </c>
      <c r="Z575">
        <v>566</v>
      </c>
      <c r="CT575" t="e">
        <v>#N/A</v>
      </c>
      <c r="CU575" t="e">
        <v>#N/A</v>
      </c>
      <c r="CV575" t="e">
        <v>#N/A</v>
      </c>
      <c r="CW575" t="e">
        <v>#N/A</v>
      </c>
      <c r="CX575" t="e">
        <v>#N/A</v>
      </c>
      <c r="CY575" t="e">
        <v>#N/A</v>
      </c>
      <c r="CZ575" t="e">
        <v>#N/A</v>
      </c>
      <c r="DA575" t="e">
        <v>#N/A</v>
      </c>
      <c r="DB575" t="e">
        <v>#N/A</v>
      </c>
      <c r="DC575" t="e">
        <v>#N/A</v>
      </c>
      <c r="DD575" t="e">
        <v>#N/A</v>
      </c>
      <c r="DE575" t="e">
        <v>#N/A</v>
      </c>
      <c r="DF575" t="e">
        <v>#N/A</v>
      </c>
      <c r="DG575" t="e">
        <v>#N/A</v>
      </c>
      <c r="DH575" t="e">
        <v>#N/A</v>
      </c>
      <c r="DI575" t="e">
        <v>#N/A</v>
      </c>
    </row>
    <row r="576" spans="1:113">
      <c r="M576" t="str">
        <f t="shared" si="64"/>
        <v>"//*[@class=\"</v>
      </c>
      <c r="N576" t="str">
        <f t="shared" si="68"/>
        <v/>
      </c>
      <c r="O576" s="4" t="str">
        <f t="shared" si="69"/>
        <v>click</v>
      </c>
      <c r="P576" t="str">
        <f t="shared" si="70"/>
        <v>();</v>
      </c>
      <c r="Q576" t="str">
        <f t="shared" si="71"/>
        <v/>
      </c>
      <c r="R576" t="str">
        <f t="shared" si="65"/>
        <v/>
      </c>
      <c r="S576" s="1" t="str">
        <f t="shared" si="66"/>
        <v/>
      </c>
      <c r="Z576">
        <v>567</v>
      </c>
      <c r="CT576" t="e">
        <v>#N/A</v>
      </c>
      <c r="CU576" t="e">
        <v>#N/A</v>
      </c>
      <c r="CV576" t="e">
        <v>#N/A</v>
      </c>
      <c r="CW576" t="e">
        <v>#N/A</v>
      </c>
      <c r="CX576" t="e">
        <v>#N/A</v>
      </c>
      <c r="CY576" t="e">
        <v>#N/A</v>
      </c>
      <c r="CZ576" t="e">
        <v>#N/A</v>
      </c>
      <c r="DA576" t="e">
        <v>#N/A</v>
      </c>
      <c r="DB576" t="e">
        <v>#N/A</v>
      </c>
      <c r="DC576" t="e">
        <v>#N/A</v>
      </c>
      <c r="DD576" t="e">
        <v>#N/A</v>
      </c>
      <c r="DE576" t="e">
        <v>#N/A</v>
      </c>
      <c r="DF576" t="e">
        <v>#N/A</v>
      </c>
      <c r="DG576" t="e">
        <v>#N/A</v>
      </c>
      <c r="DH576" t="e">
        <v>#N/A</v>
      </c>
      <c r="DI576" t="e">
        <v>#N/A</v>
      </c>
    </row>
    <row r="577" spans="13:113">
      <c r="M577" t="str">
        <f t="shared" si="64"/>
        <v>"//*[@class=\"</v>
      </c>
      <c r="N577" t="str">
        <f t="shared" si="68"/>
        <v/>
      </c>
      <c r="O577" s="4" t="str">
        <f t="shared" si="69"/>
        <v>click</v>
      </c>
      <c r="P577" t="str">
        <f t="shared" si="70"/>
        <v>();</v>
      </c>
      <c r="Q577" t="str">
        <f t="shared" si="71"/>
        <v/>
      </c>
      <c r="R577" t="str">
        <f t="shared" si="65"/>
        <v/>
      </c>
      <c r="S577" s="1" t="str">
        <f t="shared" si="66"/>
        <v/>
      </c>
      <c r="Z577">
        <v>568</v>
      </c>
      <c r="CT577" t="e">
        <v>#N/A</v>
      </c>
      <c r="CU577" t="e">
        <v>#N/A</v>
      </c>
      <c r="CV577" t="e">
        <v>#N/A</v>
      </c>
      <c r="CW577" t="e">
        <v>#N/A</v>
      </c>
      <c r="CX577" t="e">
        <v>#N/A</v>
      </c>
      <c r="CY577" t="e">
        <v>#N/A</v>
      </c>
      <c r="CZ577" t="e">
        <v>#N/A</v>
      </c>
      <c r="DA577" t="e">
        <v>#N/A</v>
      </c>
      <c r="DB577" t="e">
        <v>#N/A</v>
      </c>
      <c r="DC577" t="e">
        <v>#N/A</v>
      </c>
      <c r="DD577" t="e">
        <v>#N/A</v>
      </c>
      <c r="DE577" t="e">
        <v>#N/A</v>
      </c>
      <c r="DF577" t="e">
        <v>#N/A</v>
      </c>
      <c r="DG577" t="e">
        <v>#N/A</v>
      </c>
      <c r="DH577" t="e">
        <v>#N/A</v>
      </c>
      <c r="DI577" t="e">
        <v>#N/A</v>
      </c>
    </row>
    <row r="578" spans="13:113">
      <c r="M578" t="str">
        <f t="shared" si="64"/>
        <v>"//*[@class=\"</v>
      </c>
      <c r="N578" t="str">
        <f t="shared" si="68"/>
        <v/>
      </c>
      <c r="O578" s="4" t="str">
        <f t="shared" si="69"/>
        <v>click</v>
      </c>
      <c r="P578" t="str">
        <f t="shared" si="70"/>
        <v>();</v>
      </c>
      <c r="Q578" t="str">
        <f t="shared" si="71"/>
        <v/>
      </c>
      <c r="R578" t="str">
        <f t="shared" si="65"/>
        <v/>
      </c>
      <c r="S578" s="1" t="str">
        <f t="shared" si="66"/>
        <v/>
      </c>
      <c r="Z578">
        <v>569</v>
      </c>
      <c r="CT578" t="e">
        <v>#N/A</v>
      </c>
      <c r="CU578" t="e">
        <v>#N/A</v>
      </c>
      <c r="CV578" t="e">
        <v>#N/A</v>
      </c>
      <c r="CW578" t="e">
        <v>#N/A</v>
      </c>
      <c r="CX578" t="e">
        <v>#N/A</v>
      </c>
      <c r="CY578" t="e">
        <v>#N/A</v>
      </c>
      <c r="CZ578" t="e">
        <v>#N/A</v>
      </c>
      <c r="DA578" t="e">
        <v>#N/A</v>
      </c>
      <c r="DB578" t="e">
        <v>#N/A</v>
      </c>
      <c r="DC578" t="e">
        <v>#N/A</v>
      </c>
      <c r="DD578" t="e">
        <v>#N/A</v>
      </c>
      <c r="DE578" t="e">
        <v>#N/A</v>
      </c>
      <c r="DF578" t="e">
        <v>#N/A</v>
      </c>
      <c r="DG578" t="e">
        <v>#N/A</v>
      </c>
      <c r="DH578" t="e">
        <v>#N/A</v>
      </c>
      <c r="DI578" t="e">
        <v>#N/A</v>
      </c>
    </row>
    <row r="579" spans="13:113">
      <c r="M579" t="str">
        <f t="shared" si="64"/>
        <v>"//*[@class=\"</v>
      </c>
      <c r="N579" t="str">
        <f t="shared" si="68"/>
        <v/>
      </c>
      <c r="O579" s="4" t="str">
        <f t="shared" si="69"/>
        <v>click</v>
      </c>
      <c r="P579" t="str">
        <f t="shared" si="70"/>
        <v>();</v>
      </c>
      <c r="Q579" t="str">
        <f t="shared" si="71"/>
        <v/>
      </c>
      <c r="R579" t="str">
        <f t="shared" si="65"/>
        <v/>
      </c>
      <c r="S579" s="1" t="str">
        <f t="shared" si="66"/>
        <v/>
      </c>
      <c r="Z579">
        <v>570</v>
      </c>
      <c r="CT579" t="e">
        <v>#N/A</v>
      </c>
      <c r="CU579" t="e">
        <v>#N/A</v>
      </c>
      <c r="CV579" t="e">
        <v>#N/A</v>
      </c>
      <c r="CW579" t="e">
        <v>#N/A</v>
      </c>
      <c r="CX579" t="e">
        <v>#N/A</v>
      </c>
      <c r="CY579" t="e">
        <v>#N/A</v>
      </c>
      <c r="CZ579" t="e">
        <v>#N/A</v>
      </c>
      <c r="DA579" t="e">
        <v>#N/A</v>
      </c>
      <c r="DB579" t="e">
        <v>#N/A</v>
      </c>
      <c r="DC579" t="e">
        <v>#N/A</v>
      </c>
      <c r="DD579" t="e">
        <v>#N/A</v>
      </c>
      <c r="DE579" t="e">
        <v>#N/A</v>
      </c>
      <c r="DF579" t="e">
        <v>#N/A</v>
      </c>
      <c r="DG579" t="e">
        <v>#N/A</v>
      </c>
      <c r="DH579" t="e">
        <v>#N/A</v>
      </c>
      <c r="DI579" t="e">
        <v>#N/A</v>
      </c>
    </row>
    <row r="580" spans="13:113">
      <c r="M580" t="str">
        <f t="shared" si="64"/>
        <v>"//*[@class=\"</v>
      </c>
      <c r="N580" t="str">
        <f t="shared" si="68"/>
        <v/>
      </c>
      <c r="O580" s="4" t="str">
        <f t="shared" si="69"/>
        <v>click</v>
      </c>
      <c r="P580" t="str">
        <f t="shared" si="70"/>
        <v>();</v>
      </c>
      <c r="Q580" t="str">
        <f t="shared" si="71"/>
        <v/>
      </c>
      <c r="R580" t="str">
        <f t="shared" si="65"/>
        <v/>
      </c>
      <c r="S580" s="1" t="str">
        <f t="shared" si="66"/>
        <v/>
      </c>
      <c r="Z580">
        <v>571</v>
      </c>
      <c r="CT580" t="e">
        <v>#N/A</v>
      </c>
      <c r="CU580" t="e">
        <v>#N/A</v>
      </c>
      <c r="CV580" t="e">
        <v>#N/A</v>
      </c>
      <c r="CW580" t="e">
        <v>#N/A</v>
      </c>
      <c r="CX580" t="e">
        <v>#N/A</v>
      </c>
      <c r="CY580" t="e">
        <v>#N/A</v>
      </c>
      <c r="CZ580" t="e">
        <v>#N/A</v>
      </c>
      <c r="DA580" t="e">
        <v>#N/A</v>
      </c>
      <c r="DB580" t="e">
        <v>#N/A</v>
      </c>
      <c r="DC580" t="e">
        <v>#N/A</v>
      </c>
      <c r="DD580" t="e">
        <v>#N/A</v>
      </c>
      <c r="DE580" t="e">
        <v>#N/A</v>
      </c>
      <c r="DF580" t="e">
        <v>#N/A</v>
      </c>
      <c r="DG580" t="e">
        <v>#N/A</v>
      </c>
      <c r="DH580" t="e">
        <v>#N/A</v>
      </c>
      <c r="DI580" t="e">
        <v>#N/A</v>
      </c>
    </row>
    <row r="581" spans="13:113">
      <c r="M581" t="str">
        <f t="shared" si="64"/>
        <v>"//*[@class=\"</v>
      </c>
      <c r="N581" t="str">
        <f t="shared" si="68"/>
        <v/>
      </c>
      <c r="O581" s="4" t="str">
        <f t="shared" si="69"/>
        <v>click</v>
      </c>
      <c r="P581" t="str">
        <f t="shared" si="70"/>
        <v>();</v>
      </c>
      <c r="Q581" t="str">
        <f t="shared" si="71"/>
        <v/>
      </c>
      <c r="R581" t="str">
        <f t="shared" si="65"/>
        <v/>
      </c>
      <c r="S581" s="1" t="str">
        <f t="shared" si="66"/>
        <v/>
      </c>
      <c r="Z581">
        <v>572</v>
      </c>
      <c r="CT581" t="e">
        <v>#N/A</v>
      </c>
      <c r="CU581" t="e">
        <v>#N/A</v>
      </c>
      <c r="CV581" t="e">
        <v>#N/A</v>
      </c>
      <c r="CW581" t="e">
        <v>#N/A</v>
      </c>
      <c r="CX581" t="e">
        <v>#N/A</v>
      </c>
      <c r="CY581" t="e">
        <v>#N/A</v>
      </c>
      <c r="CZ581" t="e">
        <v>#N/A</v>
      </c>
      <c r="DA581" t="e">
        <v>#N/A</v>
      </c>
      <c r="DB581" t="e">
        <v>#N/A</v>
      </c>
      <c r="DC581" t="e">
        <v>#N/A</v>
      </c>
      <c r="DD581" t="e">
        <v>#N/A</v>
      </c>
      <c r="DE581" t="e">
        <v>#N/A</v>
      </c>
      <c r="DF581" t="e">
        <v>#N/A</v>
      </c>
      <c r="DG581" t="e">
        <v>#N/A</v>
      </c>
      <c r="DH581" t="e">
        <v>#N/A</v>
      </c>
      <c r="DI581" t="e">
        <v>#N/A</v>
      </c>
    </row>
    <row r="582" spans="13:113">
      <c r="M582" t="str">
        <f t="shared" si="64"/>
        <v>"//*[@class=\"</v>
      </c>
      <c r="N582" t="str">
        <f t="shared" si="68"/>
        <v/>
      </c>
      <c r="O582" s="4" t="str">
        <f t="shared" si="69"/>
        <v>click</v>
      </c>
      <c r="P582" t="str">
        <f t="shared" si="70"/>
        <v>();</v>
      </c>
      <c r="Q582" t="str">
        <f t="shared" si="71"/>
        <v/>
      </c>
      <c r="R582" t="str">
        <f t="shared" si="65"/>
        <v/>
      </c>
      <c r="S582" s="1" t="str">
        <f t="shared" si="66"/>
        <v/>
      </c>
      <c r="Z582">
        <v>573</v>
      </c>
      <c r="CT582" t="e">
        <v>#N/A</v>
      </c>
      <c r="CU582" t="e">
        <v>#N/A</v>
      </c>
      <c r="CV582" t="e">
        <v>#N/A</v>
      </c>
      <c r="CW582" t="e">
        <v>#N/A</v>
      </c>
      <c r="CX582" t="e">
        <v>#N/A</v>
      </c>
      <c r="CY582" t="e">
        <v>#N/A</v>
      </c>
      <c r="CZ582" t="e">
        <v>#N/A</v>
      </c>
      <c r="DA582" t="e">
        <v>#N/A</v>
      </c>
      <c r="DB582" t="e">
        <v>#N/A</v>
      </c>
      <c r="DC582" t="e">
        <v>#N/A</v>
      </c>
      <c r="DD582" t="e">
        <v>#N/A</v>
      </c>
      <c r="DE582" t="e">
        <v>#N/A</v>
      </c>
      <c r="DF582" t="e">
        <v>#N/A</v>
      </c>
      <c r="DG582" t="e">
        <v>#N/A</v>
      </c>
      <c r="DH582" t="e">
        <v>#N/A</v>
      </c>
      <c r="DI582" t="e">
        <v>#N/A</v>
      </c>
    </row>
    <row r="583" spans="13:113">
      <c r="M583" t="str">
        <f t="shared" si="64"/>
        <v>"//*[@class=\"</v>
      </c>
      <c r="N583" t="str">
        <f t="shared" si="68"/>
        <v/>
      </c>
      <c r="O583" s="4" t="str">
        <f t="shared" si="69"/>
        <v>click</v>
      </c>
      <c r="P583" t="str">
        <f t="shared" si="70"/>
        <v>();</v>
      </c>
      <c r="Q583" t="str">
        <f t="shared" si="71"/>
        <v/>
      </c>
      <c r="R583" t="str">
        <f t="shared" si="65"/>
        <v/>
      </c>
      <c r="S583" s="1" t="str">
        <f t="shared" si="66"/>
        <v/>
      </c>
      <c r="Z583">
        <v>574</v>
      </c>
      <c r="CT583" t="e">
        <v>#N/A</v>
      </c>
      <c r="CU583" t="e">
        <v>#N/A</v>
      </c>
      <c r="CV583" t="e">
        <v>#N/A</v>
      </c>
      <c r="CW583" t="e">
        <v>#N/A</v>
      </c>
      <c r="CX583" t="e">
        <v>#N/A</v>
      </c>
      <c r="CY583" t="e">
        <v>#N/A</v>
      </c>
      <c r="CZ583" t="e">
        <v>#N/A</v>
      </c>
      <c r="DA583" t="e">
        <v>#N/A</v>
      </c>
      <c r="DB583" t="e">
        <v>#N/A</v>
      </c>
      <c r="DC583" t="e">
        <v>#N/A</v>
      </c>
      <c r="DD583" t="e">
        <v>#N/A</v>
      </c>
      <c r="DE583" t="e">
        <v>#N/A</v>
      </c>
      <c r="DF583" t="e">
        <v>#N/A</v>
      </c>
      <c r="DG583" t="e">
        <v>#N/A</v>
      </c>
      <c r="DH583" t="e">
        <v>#N/A</v>
      </c>
      <c r="DI583" t="e">
        <v>#N/A</v>
      </c>
    </row>
    <row r="584" spans="13:113">
      <c r="M584" t="str">
        <f t="shared" si="64"/>
        <v>"//*[@class=\"</v>
      </c>
      <c r="N584" t="str">
        <f t="shared" si="68"/>
        <v/>
      </c>
      <c r="O584" s="4" t="str">
        <f t="shared" si="69"/>
        <v>click</v>
      </c>
      <c r="P584" t="str">
        <f t="shared" si="70"/>
        <v>();</v>
      </c>
      <c r="Q584" t="str">
        <f t="shared" si="71"/>
        <v/>
      </c>
      <c r="R584" t="str">
        <f t="shared" si="65"/>
        <v/>
      </c>
      <c r="S584" s="1" t="str">
        <f t="shared" si="66"/>
        <v/>
      </c>
      <c r="Z584">
        <v>575</v>
      </c>
      <c r="CT584" t="e">
        <v>#N/A</v>
      </c>
      <c r="CU584" t="e">
        <v>#N/A</v>
      </c>
      <c r="CV584" t="e">
        <v>#N/A</v>
      </c>
      <c r="CW584" t="e">
        <v>#N/A</v>
      </c>
      <c r="CX584" t="e">
        <v>#N/A</v>
      </c>
      <c r="CY584" t="e">
        <v>#N/A</v>
      </c>
      <c r="CZ584" t="e">
        <v>#N/A</v>
      </c>
      <c r="DA584" t="e">
        <v>#N/A</v>
      </c>
      <c r="DB584" t="e">
        <v>#N/A</v>
      </c>
      <c r="DC584" t="e">
        <v>#N/A</v>
      </c>
      <c r="DD584" t="e">
        <v>#N/A</v>
      </c>
      <c r="DE584" t="e">
        <v>#N/A</v>
      </c>
      <c r="DF584" t="e">
        <v>#N/A</v>
      </c>
      <c r="DG584" t="e">
        <v>#N/A</v>
      </c>
      <c r="DH584" t="e">
        <v>#N/A</v>
      </c>
      <c r="DI584" t="e">
        <v>#N/A</v>
      </c>
    </row>
    <row r="585" spans="13:113">
      <c r="M585" t="str">
        <f t="shared" ref="M585:M612" si="72">IF(H585="id",""""&amp;"//*[@id=\"&amp;"""",""""&amp;"//*[@class=\"&amp;"""")</f>
        <v>"//*[@class=\"</v>
      </c>
      <c r="N585" t="str">
        <f t="shared" si="68"/>
        <v/>
      </c>
      <c r="O585" s="4" t="str">
        <f t="shared" si="69"/>
        <v>click</v>
      </c>
      <c r="P585" t="str">
        <f t="shared" si="70"/>
        <v>();</v>
      </c>
      <c r="Q585" t="str">
        <f t="shared" si="71"/>
        <v/>
      </c>
      <c r="R585" t="str">
        <f t="shared" ref="R585:R648" si="73">SUBSTITUTE(IF(C585="Y",""""&amp;E585&amp;""""&amp;":"&amp;Q585&amp;"","")," ","")</f>
        <v/>
      </c>
      <c r="S585" s="1" t="str">
        <f t="shared" si="66"/>
        <v/>
      </c>
      <c r="Z585">
        <v>576</v>
      </c>
      <c r="CT585" t="e">
        <v>#N/A</v>
      </c>
      <c r="CU585" t="e">
        <v>#N/A</v>
      </c>
      <c r="CV585" t="e">
        <v>#N/A</v>
      </c>
      <c r="CW585" t="e">
        <v>#N/A</v>
      </c>
      <c r="CX585" t="e">
        <v>#N/A</v>
      </c>
      <c r="CY585" t="e">
        <v>#N/A</v>
      </c>
      <c r="CZ585" t="e">
        <v>#N/A</v>
      </c>
      <c r="DA585" t="e">
        <v>#N/A</v>
      </c>
      <c r="DB585" t="e">
        <v>#N/A</v>
      </c>
      <c r="DC585" t="e">
        <v>#N/A</v>
      </c>
      <c r="DD585" t="e">
        <v>#N/A</v>
      </c>
      <c r="DE585" t="e">
        <v>#N/A</v>
      </c>
      <c r="DF585" t="e">
        <v>#N/A</v>
      </c>
      <c r="DG585" t="e">
        <v>#N/A</v>
      </c>
      <c r="DH585" t="e">
        <v>#N/A</v>
      </c>
      <c r="DI585" t="e">
        <v>#N/A</v>
      </c>
    </row>
    <row r="586" spans="13:113">
      <c r="M586" t="str">
        <f t="shared" si="72"/>
        <v>"//*[@class=\"</v>
      </c>
      <c r="N586" t="str">
        <f t="shared" si="68"/>
        <v/>
      </c>
      <c r="O586" s="4" t="str">
        <f t="shared" si="69"/>
        <v>click</v>
      </c>
      <c r="P586" t="str">
        <f t="shared" si="70"/>
        <v>();</v>
      </c>
      <c r="Q586" t="str">
        <f t="shared" si="71"/>
        <v/>
      </c>
      <c r="R586" t="str">
        <f t="shared" si="73"/>
        <v/>
      </c>
      <c r="S586" s="1" t="str">
        <f t="shared" si="66"/>
        <v/>
      </c>
      <c r="Z586">
        <v>577</v>
      </c>
      <c r="CT586" t="e">
        <v>#N/A</v>
      </c>
      <c r="CU586" t="e">
        <v>#N/A</v>
      </c>
      <c r="CV586" t="e">
        <v>#N/A</v>
      </c>
      <c r="CW586" t="e">
        <v>#N/A</v>
      </c>
      <c r="CX586" t="e">
        <v>#N/A</v>
      </c>
      <c r="CY586" t="e">
        <v>#N/A</v>
      </c>
      <c r="CZ586" t="e">
        <v>#N/A</v>
      </c>
      <c r="DA586" t="e">
        <v>#N/A</v>
      </c>
      <c r="DB586" t="e">
        <v>#N/A</v>
      </c>
      <c r="DC586" t="e">
        <v>#N/A</v>
      </c>
      <c r="DD586" t="e">
        <v>#N/A</v>
      </c>
      <c r="DE586" t="e">
        <v>#N/A</v>
      </c>
      <c r="DF586" t="e">
        <v>#N/A</v>
      </c>
      <c r="DG586" t="e">
        <v>#N/A</v>
      </c>
      <c r="DH586" t="e">
        <v>#N/A</v>
      </c>
      <c r="DI586" t="e">
        <v>#N/A</v>
      </c>
    </row>
    <row r="587" spans="13:113">
      <c r="M587" t="str">
        <f t="shared" si="72"/>
        <v>"//*[@class=\"</v>
      </c>
      <c r="N587" t="str">
        <f t="shared" si="68"/>
        <v/>
      </c>
      <c r="O587" s="4" t="str">
        <f t="shared" si="69"/>
        <v>click</v>
      </c>
      <c r="P587" t="str">
        <f t="shared" si="70"/>
        <v>();</v>
      </c>
      <c r="Q587" t="str">
        <f t="shared" si="71"/>
        <v/>
      </c>
      <c r="R587" t="str">
        <f t="shared" si="73"/>
        <v/>
      </c>
      <c r="S587" s="1" t="str">
        <f t="shared" ref="S587:S650" si="74">IF(C587="Y",IF(D587&lt;&gt;"mat-select",IF(D587="End","",IF(O587="innerText",I587&amp;"="&amp;IF(C587="Y",IF(J587&lt;&gt;"Y",$S$8&amp;$R$9&amp;"."&amp;E587&amp;")."&amp;IF(OR(O587="click",O587="innerText"),O587&amp;"();",O587&amp;"("&amp;$Q$8&amp;"."&amp;E587&amp;");"),$S$7&amp;$R$9&amp;"."&amp;SUBSTITUTE(E587," ","")&amp;")."&amp;IF(O587="click",O587&amp;"();",O587&amp;"("&amp;"'"&amp;K587&amp;"'"&amp;");")),""),IF(C587="Y",IF(J587&lt;&gt;"Y",$S$8&amp;$R$9&amp;"."&amp;SUBSTITUTE(E587," ","")&amp;")."&amp;IF(OR(O587="click",O587="innerText"),O587&amp;"();",O587&amp;"("&amp;$Q$8&amp;"."&amp;SUBSTITUTE(E587," ","")&amp;");"),$S$7&amp;$R$9&amp;"."&amp;SUBSTITUTE(E587," ","")&amp;")."&amp;IF(O587="click",O587&amp;"();",O587&amp;"("&amp;"'"&amp;K587&amp;"'"&amp;");")),""))),"let form"&amp;Z587&amp;": String;"&amp;"for (let i = 1; i &lt; 30; i++) {"&amp;$S$8&amp;$R$9&amp;"."&amp;SUBSTITUTE(E587," ","")&amp;").click();"&amp;$CE$4&amp; "form"&amp;Z587&amp;"="&amp; $S$8&amp;$R$9&amp;"."&amp;SUBSTITUTE(E587," ","")&amp;").innerText();" &amp;"if ("&amp;"form"&amp;Z587&amp;"=="&amp; "Data[index]."&amp;SUBSTITUTE(E587," ","") &amp;"){"&amp;$CE$7),"")</f>
        <v/>
      </c>
      <c r="Z587">
        <v>578</v>
      </c>
      <c r="CT587" t="e">
        <v>#N/A</v>
      </c>
      <c r="CU587" t="e">
        <v>#N/A</v>
      </c>
      <c r="CV587" t="e">
        <v>#N/A</v>
      </c>
      <c r="CW587" t="e">
        <v>#N/A</v>
      </c>
      <c r="CX587" t="e">
        <v>#N/A</v>
      </c>
      <c r="CY587" t="e">
        <v>#N/A</v>
      </c>
      <c r="CZ587" t="e">
        <v>#N/A</v>
      </c>
      <c r="DA587" t="e">
        <v>#N/A</v>
      </c>
      <c r="DB587" t="e">
        <v>#N/A</v>
      </c>
      <c r="DC587" t="e">
        <v>#N/A</v>
      </c>
      <c r="DD587" t="e">
        <v>#N/A</v>
      </c>
      <c r="DE587" t="e">
        <v>#N/A</v>
      </c>
      <c r="DF587" t="e">
        <v>#N/A</v>
      </c>
      <c r="DG587" t="e">
        <v>#N/A</v>
      </c>
      <c r="DH587" t="e">
        <v>#N/A</v>
      </c>
      <c r="DI587" t="e">
        <v>#N/A</v>
      </c>
    </row>
    <row r="588" spans="13:113">
      <c r="M588" t="str">
        <f t="shared" si="72"/>
        <v>"//*[@class=\"</v>
      </c>
      <c r="N588" t="str">
        <f t="shared" si="68"/>
        <v/>
      </c>
      <c r="O588" s="4" t="str">
        <f t="shared" si="69"/>
        <v>click</v>
      </c>
      <c r="P588" t="str">
        <f t="shared" si="70"/>
        <v>();</v>
      </c>
      <c r="Q588" t="str">
        <f t="shared" si="71"/>
        <v/>
      </c>
      <c r="R588" t="str">
        <f t="shared" si="73"/>
        <v/>
      </c>
      <c r="S588" s="1" t="str">
        <f t="shared" si="74"/>
        <v/>
      </c>
      <c r="Z588">
        <v>579</v>
      </c>
      <c r="CT588" t="e">
        <v>#N/A</v>
      </c>
      <c r="CU588" t="e">
        <v>#N/A</v>
      </c>
      <c r="CV588" t="e">
        <v>#N/A</v>
      </c>
      <c r="CW588" t="e">
        <v>#N/A</v>
      </c>
      <c r="CX588" t="e">
        <v>#N/A</v>
      </c>
      <c r="CY588" t="e">
        <v>#N/A</v>
      </c>
      <c r="CZ588" t="e">
        <v>#N/A</v>
      </c>
      <c r="DA588" t="e">
        <v>#N/A</v>
      </c>
      <c r="DB588" t="e">
        <v>#N/A</v>
      </c>
      <c r="DC588" t="e">
        <v>#N/A</v>
      </c>
      <c r="DD588" t="e">
        <v>#N/A</v>
      </c>
      <c r="DE588" t="e">
        <v>#N/A</v>
      </c>
      <c r="DF588" t="e">
        <v>#N/A</v>
      </c>
      <c r="DG588" t="e">
        <v>#N/A</v>
      </c>
      <c r="DH588" t="e">
        <v>#N/A</v>
      </c>
      <c r="DI588" t="e">
        <v>#N/A</v>
      </c>
    </row>
    <row r="589" spans="13:113">
      <c r="M589" t="str">
        <f t="shared" si="72"/>
        <v>"//*[@class=\"</v>
      </c>
      <c r="N589" t="str">
        <f t="shared" si="68"/>
        <v/>
      </c>
      <c r="O589" s="4" t="str">
        <f t="shared" si="69"/>
        <v>click</v>
      </c>
      <c r="P589" t="str">
        <f t="shared" si="70"/>
        <v>();</v>
      </c>
      <c r="Q589" t="str">
        <f t="shared" si="71"/>
        <v/>
      </c>
      <c r="R589" t="str">
        <f t="shared" si="73"/>
        <v/>
      </c>
      <c r="S589" s="1" t="str">
        <f t="shared" si="74"/>
        <v/>
      </c>
      <c r="Z589">
        <v>580</v>
      </c>
      <c r="CT589" t="e">
        <v>#N/A</v>
      </c>
      <c r="CU589" t="e">
        <v>#N/A</v>
      </c>
      <c r="CV589" t="e">
        <v>#N/A</v>
      </c>
      <c r="CW589" t="e">
        <v>#N/A</v>
      </c>
      <c r="CX589" t="e">
        <v>#N/A</v>
      </c>
      <c r="CY589" t="e">
        <v>#N/A</v>
      </c>
      <c r="CZ589" t="e">
        <v>#N/A</v>
      </c>
      <c r="DA589" t="e">
        <v>#N/A</v>
      </c>
      <c r="DB589" t="e">
        <v>#N/A</v>
      </c>
      <c r="DC589" t="e">
        <v>#N/A</v>
      </c>
      <c r="DD589" t="e">
        <v>#N/A</v>
      </c>
      <c r="DE589" t="e">
        <v>#N/A</v>
      </c>
      <c r="DF589" t="e">
        <v>#N/A</v>
      </c>
      <c r="DG589" t="e">
        <v>#N/A</v>
      </c>
      <c r="DH589" t="e">
        <v>#N/A</v>
      </c>
      <c r="DI589" t="e">
        <v>#N/A</v>
      </c>
    </row>
    <row r="590" spans="13:113">
      <c r="M590" t="str">
        <f t="shared" si="72"/>
        <v>"//*[@class=\"</v>
      </c>
      <c r="N590" t="str">
        <f t="shared" si="68"/>
        <v/>
      </c>
      <c r="O590" s="4" t="str">
        <f t="shared" si="69"/>
        <v>click</v>
      </c>
      <c r="P590" t="str">
        <f t="shared" si="70"/>
        <v>();</v>
      </c>
      <c r="Q590" t="str">
        <f t="shared" si="71"/>
        <v/>
      </c>
      <c r="R590" t="str">
        <f t="shared" si="73"/>
        <v/>
      </c>
      <c r="S590" s="1" t="str">
        <f t="shared" si="74"/>
        <v/>
      </c>
      <c r="Z590">
        <v>581</v>
      </c>
      <c r="CT590" t="e">
        <v>#N/A</v>
      </c>
      <c r="CU590" t="e">
        <v>#N/A</v>
      </c>
      <c r="CV590" t="e">
        <v>#N/A</v>
      </c>
      <c r="CW590" t="e">
        <v>#N/A</v>
      </c>
      <c r="CX590" t="e">
        <v>#N/A</v>
      </c>
      <c r="CY590" t="e">
        <v>#N/A</v>
      </c>
      <c r="CZ590" t="e">
        <v>#N/A</v>
      </c>
      <c r="DA590" t="e">
        <v>#N/A</v>
      </c>
      <c r="DB590" t="e">
        <v>#N/A</v>
      </c>
      <c r="DC590" t="e">
        <v>#N/A</v>
      </c>
      <c r="DD590" t="e">
        <v>#N/A</v>
      </c>
      <c r="DE590" t="e">
        <v>#N/A</v>
      </c>
      <c r="DF590" t="e">
        <v>#N/A</v>
      </c>
      <c r="DG590" t="e">
        <v>#N/A</v>
      </c>
      <c r="DH590" t="e">
        <v>#N/A</v>
      </c>
      <c r="DI590" t="e">
        <v>#N/A</v>
      </c>
    </row>
    <row r="591" spans="13:113">
      <c r="M591" t="str">
        <f t="shared" si="72"/>
        <v>"//*[@class=\"</v>
      </c>
      <c r="N591" t="str">
        <f t="shared" si="68"/>
        <v/>
      </c>
      <c r="O591" s="4" t="str">
        <f t="shared" si="69"/>
        <v>click</v>
      </c>
      <c r="P591" t="str">
        <f t="shared" si="70"/>
        <v>();</v>
      </c>
      <c r="Q591" t="str">
        <f t="shared" si="71"/>
        <v/>
      </c>
      <c r="R591" t="str">
        <f t="shared" si="73"/>
        <v/>
      </c>
      <c r="S591" s="1" t="str">
        <f t="shared" si="74"/>
        <v/>
      </c>
      <c r="Z591">
        <v>582</v>
      </c>
      <c r="CT591" t="e">
        <v>#N/A</v>
      </c>
      <c r="CU591" t="e">
        <v>#N/A</v>
      </c>
      <c r="CV591" t="e">
        <v>#N/A</v>
      </c>
      <c r="CW591" t="e">
        <v>#N/A</v>
      </c>
      <c r="CX591" t="e">
        <v>#N/A</v>
      </c>
      <c r="CY591" t="e">
        <v>#N/A</v>
      </c>
      <c r="CZ591" t="e">
        <v>#N/A</v>
      </c>
      <c r="DA591" t="e">
        <v>#N/A</v>
      </c>
      <c r="DB591" t="e">
        <v>#N/A</v>
      </c>
      <c r="DC591" t="e">
        <v>#N/A</v>
      </c>
      <c r="DD591" t="e">
        <v>#N/A</v>
      </c>
      <c r="DE591" t="e">
        <v>#N/A</v>
      </c>
      <c r="DF591" t="e">
        <v>#N/A</v>
      </c>
      <c r="DG591" t="e">
        <v>#N/A</v>
      </c>
      <c r="DH591" t="e">
        <v>#N/A</v>
      </c>
      <c r="DI591" t="e">
        <v>#N/A</v>
      </c>
    </row>
    <row r="592" spans="13:113">
      <c r="M592" t="str">
        <f t="shared" si="72"/>
        <v>"//*[@class=\"</v>
      </c>
      <c r="N592" t="str">
        <f t="shared" si="68"/>
        <v/>
      </c>
      <c r="O592" s="4" t="str">
        <f t="shared" si="69"/>
        <v>click</v>
      </c>
      <c r="P592" t="str">
        <f t="shared" si="70"/>
        <v>();</v>
      </c>
      <c r="Q592" t="str">
        <f t="shared" si="71"/>
        <v/>
      </c>
      <c r="R592" t="str">
        <f t="shared" si="73"/>
        <v/>
      </c>
      <c r="S592" s="1" t="str">
        <f t="shared" si="74"/>
        <v/>
      </c>
      <c r="Z592">
        <v>583</v>
      </c>
      <c r="CT592" t="e">
        <v>#N/A</v>
      </c>
      <c r="CU592" t="e">
        <v>#N/A</v>
      </c>
      <c r="CV592" t="e">
        <v>#N/A</v>
      </c>
      <c r="CW592" t="e">
        <v>#N/A</v>
      </c>
      <c r="CX592" t="e">
        <v>#N/A</v>
      </c>
      <c r="CY592" t="e">
        <v>#N/A</v>
      </c>
      <c r="CZ592" t="e">
        <v>#N/A</v>
      </c>
      <c r="DA592" t="e">
        <v>#N/A</v>
      </c>
      <c r="DB592" t="e">
        <v>#N/A</v>
      </c>
      <c r="DC592" t="e">
        <v>#N/A</v>
      </c>
      <c r="DD592" t="e">
        <v>#N/A</v>
      </c>
      <c r="DE592" t="e">
        <v>#N/A</v>
      </c>
      <c r="DF592" t="e">
        <v>#N/A</v>
      </c>
      <c r="DG592" t="e">
        <v>#N/A</v>
      </c>
      <c r="DH592" t="e">
        <v>#N/A</v>
      </c>
      <c r="DI592" t="e">
        <v>#N/A</v>
      </c>
    </row>
    <row r="593" spans="13:113">
      <c r="M593" t="str">
        <f t="shared" si="72"/>
        <v>"//*[@class=\"</v>
      </c>
      <c r="N593" t="str">
        <f t="shared" si="68"/>
        <v/>
      </c>
      <c r="O593" s="4" t="str">
        <f t="shared" si="69"/>
        <v>click</v>
      </c>
      <c r="P593" t="str">
        <f t="shared" si="70"/>
        <v>();</v>
      </c>
      <c r="Q593" t="str">
        <f t="shared" si="71"/>
        <v/>
      </c>
      <c r="R593" t="str">
        <f t="shared" si="73"/>
        <v/>
      </c>
      <c r="S593" s="1" t="str">
        <f t="shared" si="74"/>
        <v/>
      </c>
      <c r="Z593">
        <v>584</v>
      </c>
      <c r="CT593" t="e">
        <v>#N/A</v>
      </c>
      <c r="CU593" t="e">
        <v>#N/A</v>
      </c>
      <c r="CV593" t="e">
        <v>#N/A</v>
      </c>
      <c r="CW593" t="e">
        <v>#N/A</v>
      </c>
      <c r="CX593" t="e">
        <v>#N/A</v>
      </c>
      <c r="CY593" t="e">
        <v>#N/A</v>
      </c>
      <c r="CZ593" t="e">
        <v>#N/A</v>
      </c>
      <c r="DA593" t="e">
        <v>#N/A</v>
      </c>
      <c r="DB593" t="e">
        <v>#N/A</v>
      </c>
      <c r="DC593" t="e">
        <v>#N/A</v>
      </c>
      <c r="DD593" t="e">
        <v>#N/A</v>
      </c>
      <c r="DE593" t="e">
        <v>#N/A</v>
      </c>
      <c r="DF593" t="e">
        <v>#N/A</v>
      </c>
      <c r="DG593" t="e">
        <v>#N/A</v>
      </c>
      <c r="DH593" t="e">
        <v>#N/A</v>
      </c>
      <c r="DI593" t="e">
        <v>#N/A</v>
      </c>
    </row>
    <row r="594" spans="13:113">
      <c r="M594" t="str">
        <f t="shared" si="72"/>
        <v>"//*[@class=\"</v>
      </c>
      <c r="N594" t="str">
        <f t="shared" si="68"/>
        <v/>
      </c>
      <c r="O594" s="4" t="str">
        <f t="shared" si="69"/>
        <v>click</v>
      </c>
      <c r="P594" t="str">
        <f t="shared" si="70"/>
        <v>();</v>
      </c>
      <c r="Q594" t="str">
        <f t="shared" si="71"/>
        <v/>
      </c>
      <c r="R594" t="str">
        <f t="shared" si="73"/>
        <v/>
      </c>
      <c r="S594" s="1" t="str">
        <f t="shared" si="74"/>
        <v/>
      </c>
      <c r="Z594">
        <v>585</v>
      </c>
      <c r="CT594" t="e">
        <v>#N/A</v>
      </c>
      <c r="CU594" t="e">
        <v>#N/A</v>
      </c>
      <c r="CV594" t="e">
        <v>#N/A</v>
      </c>
      <c r="CW594" t="e">
        <v>#N/A</v>
      </c>
      <c r="CX594" t="e">
        <v>#N/A</v>
      </c>
      <c r="CY594" t="e">
        <v>#N/A</v>
      </c>
      <c r="CZ594" t="e">
        <v>#N/A</v>
      </c>
      <c r="DA594" t="e">
        <v>#N/A</v>
      </c>
      <c r="DB594" t="e">
        <v>#N/A</v>
      </c>
      <c r="DC594" t="e">
        <v>#N/A</v>
      </c>
      <c r="DD594" t="e">
        <v>#N/A</v>
      </c>
      <c r="DE594" t="e">
        <v>#N/A</v>
      </c>
      <c r="DF594" t="e">
        <v>#N/A</v>
      </c>
      <c r="DG594" t="e">
        <v>#N/A</v>
      </c>
      <c r="DH594" t="e">
        <v>#N/A</v>
      </c>
      <c r="DI594" t="e">
        <v>#N/A</v>
      </c>
    </row>
    <row r="595" spans="13:113">
      <c r="M595" t="str">
        <f t="shared" si="72"/>
        <v>"//*[@class=\"</v>
      </c>
      <c r="N595" t="str">
        <f t="shared" si="68"/>
        <v/>
      </c>
      <c r="O595" s="4" t="str">
        <f t="shared" si="69"/>
        <v>click</v>
      </c>
      <c r="P595" t="str">
        <f t="shared" si="70"/>
        <v>();</v>
      </c>
      <c r="Q595" t="str">
        <f t="shared" si="71"/>
        <v/>
      </c>
      <c r="R595" t="str">
        <f t="shared" si="73"/>
        <v/>
      </c>
      <c r="S595" s="1" t="str">
        <f t="shared" si="74"/>
        <v/>
      </c>
      <c r="Z595">
        <v>586</v>
      </c>
      <c r="CT595" t="e">
        <v>#N/A</v>
      </c>
      <c r="CU595" t="e">
        <v>#N/A</v>
      </c>
      <c r="CV595" t="e">
        <v>#N/A</v>
      </c>
      <c r="CW595" t="e">
        <v>#N/A</v>
      </c>
      <c r="CX595" t="e">
        <v>#N/A</v>
      </c>
      <c r="CY595" t="e">
        <v>#N/A</v>
      </c>
      <c r="CZ595" t="e">
        <v>#N/A</v>
      </c>
      <c r="DA595" t="e">
        <v>#N/A</v>
      </c>
      <c r="DB595" t="e">
        <v>#N/A</v>
      </c>
      <c r="DC595" t="e">
        <v>#N/A</v>
      </c>
      <c r="DD595" t="e">
        <v>#N/A</v>
      </c>
      <c r="DE595" t="e">
        <v>#N/A</v>
      </c>
      <c r="DF595" t="e">
        <v>#N/A</v>
      </c>
      <c r="DG595" t="e">
        <v>#N/A</v>
      </c>
      <c r="DH595" t="e">
        <v>#N/A</v>
      </c>
      <c r="DI595" t="e">
        <v>#N/A</v>
      </c>
    </row>
    <row r="596" spans="13:113">
      <c r="M596" t="str">
        <f t="shared" si="72"/>
        <v>"//*[@class=\"</v>
      </c>
      <c r="N596" t="str">
        <f t="shared" si="68"/>
        <v/>
      </c>
      <c r="O596" s="4" t="str">
        <f t="shared" si="69"/>
        <v>click</v>
      </c>
      <c r="P596" t="str">
        <f t="shared" si="70"/>
        <v>();</v>
      </c>
      <c r="Q596" t="str">
        <f t="shared" si="71"/>
        <v/>
      </c>
      <c r="R596" t="str">
        <f t="shared" si="73"/>
        <v/>
      </c>
      <c r="S596" s="1" t="str">
        <f t="shared" si="74"/>
        <v/>
      </c>
      <c r="Z596">
        <v>587</v>
      </c>
      <c r="CT596" t="e">
        <v>#N/A</v>
      </c>
      <c r="CU596" t="e">
        <v>#N/A</v>
      </c>
      <c r="CV596" t="e">
        <v>#N/A</v>
      </c>
      <c r="CW596" t="e">
        <v>#N/A</v>
      </c>
      <c r="CX596" t="e">
        <v>#N/A</v>
      </c>
      <c r="CY596" t="e">
        <v>#N/A</v>
      </c>
      <c r="CZ596" t="e">
        <v>#N/A</v>
      </c>
      <c r="DA596" t="e">
        <v>#N/A</v>
      </c>
      <c r="DB596" t="e">
        <v>#N/A</v>
      </c>
      <c r="DC596" t="e">
        <v>#N/A</v>
      </c>
      <c r="DD596" t="e">
        <v>#N/A</v>
      </c>
      <c r="DE596" t="e">
        <v>#N/A</v>
      </c>
      <c r="DF596" t="e">
        <v>#N/A</v>
      </c>
      <c r="DG596" t="e">
        <v>#N/A</v>
      </c>
      <c r="DH596" t="e">
        <v>#N/A</v>
      </c>
      <c r="DI596" t="e">
        <v>#N/A</v>
      </c>
    </row>
    <row r="597" spans="13:113">
      <c r="M597" t="str">
        <f t="shared" si="72"/>
        <v>"//*[@class=\"</v>
      </c>
      <c r="N597" t="str">
        <f t="shared" ref="N597:N660" si="75">IF(A597="Y",""""&amp;C597&amp;""""&amp;": "&amp;M597&amp;",","")</f>
        <v/>
      </c>
      <c r="O597" s="4" t="str">
        <f t="shared" ref="O597:O660" si="76">IF(D597="input","fill",IF(I597&lt;&gt;"","innerText",IF(J597="Y",$T$7,"click")))</f>
        <v>click</v>
      </c>
      <c r="P597" t="str">
        <f t="shared" ref="P597:P660" si="77">IF(OR(O597="Click",O597="innerText"),"();","("&amp;""""&amp;K597&amp;""""&amp;");")</f>
        <v>();</v>
      </c>
      <c r="Q597" t="str">
        <f t="shared" si="71"/>
        <v/>
      </c>
      <c r="R597" t="str">
        <f t="shared" si="73"/>
        <v/>
      </c>
      <c r="S597" s="1" t="str">
        <f t="shared" si="74"/>
        <v/>
      </c>
      <c r="Z597">
        <v>588</v>
      </c>
      <c r="CT597" t="e">
        <v>#N/A</v>
      </c>
      <c r="CU597" t="e">
        <v>#N/A</v>
      </c>
      <c r="CV597" t="e">
        <v>#N/A</v>
      </c>
      <c r="CW597" t="e">
        <v>#N/A</v>
      </c>
      <c r="CX597" t="e">
        <v>#N/A</v>
      </c>
      <c r="CY597" t="e">
        <v>#N/A</v>
      </c>
      <c r="CZ597" t="e">
        <v>#N/A</v>
      </c>
      <c r="DA597" t="e">
        <v>#N/A</v>
      </c>
      <c r="DB597" t="e">
        <v>#N/A</v>
      </c>
      <c r="DC597" t="e">
        <v>#N/A</v>
      </c>
      <c r="DD597" t="e">
        <v>#N/A</v>
      </c>
      <c r="DE597" t="e">
        <v>#N/A</v>
      </c>
      <c r="DF597" t="e">
        <v>#N/A</v>
      </c>
      <c r="DG597" t="e">
        <v>#N/A</v>
      </c>
      <c r="DH597" t="e">
        <v>#N/A</v>
      </c>
      <c r="DI597" t="e">
        <v>#N/A</v>
      </c>
    </row>
    <row r="598" spans="13:113">
      <c r="M598" t="str">
        <f t="shared" si="72"/>
        <v>"//*[@class=\"</v>
      </c>
      <c r="N598" t="str">
        <f t="shared" si="75"/>
        <v/>
      </c>
      <c r="O598" s="4" t="str">
        <f t="shared" si="76"/>
        <v>click</v>
      </c>
      <c r="P598" t="str">
        <f t="shared" si="77"/>
        <v>();</v>
      </c>
      <c r="Q598" t="str">
        <f t="shared" si="71"/>
        <v/>
      </c>
      <c r="R598" t="str">
        <f t="shared" si="73"/>
        <v/>
      </c>
      <c r="S598" s="1" t="str">
        <f t="shared" si="74"/>
        <v/>
      </c>
      <c r="Z598">
        <v>589</v>
      </c>
      <c r="CT598" t="e">
        <v>#N/A</v>
      </c>
      <c r="CU598" t="e">
        <v>#N/A</v>
      </c>
      <c r="CV598" t="e">
        <v>#N/A</v>
      </c>
      <c r="CW598" t="e">
        <v>#N/A</v>
      </c>
      <c r="CX598" t="e">
        <v>#N/A</v>
      </c>
      <c r="CY598" t="e">
        <v>#N/A</v>
      </c>
      <c r="CZ598" t="e">
        <v>#N/A</v>
      </c>
      <c r="DA598" t="e">
        <v>#N/A</v>
      </c>
      <c r="DB598" t="e">
        <v>#N/A</v>
      </c>
      <c r="DC598" t="e">
        <v>#N/A</v>
      </c>
      <c r="DD598" t="e">
        <v>#N/A</v>
      </c>
      <c r="DE598" t="e">
        <v>#N/A</v>
      </c>
      <c r="DF598" t="e">
        <v>#N/A</v>
      </c>
      <c r="DG598" t="e">
        <v>#N/A</v>
      </c>
      <c r="DH598" t="e">
        <v>#N/A</v>
      </c>
      <c r="DI598" t="e">
        <v>#N/A</v>
      </c>
    </row>
    <row r="599" spans="13:113">
      <c r="M599" t="str">
        <f t="shared" si="72"/>
        <v>"//*[@class=\"</v>
      </c>
      <c r="N599" t="str">
        <f t="shared" si="75"/>
        <v/>
      </c>
      <c r="O599" s="4" t="str">
        <f t="shared" si="76"/>
        <v>click</v>
      </c>
      <c r="P599" t="str">
        <f t="shared" si="77"/>
        <v>();</v>
      </c>
      <c r="Q599" t="str">
        <f t="shared" si="71"/>
        <v/>
      </c>
      <c r="R599" t="str">
        <f t="shared" si="73"/>
        <v/>
      </c>
      <c r="S599" s="1" t="str">
        <f t="shared" si="74"/>
        <v/>
      </c>
      <c r="Z599">
        <v>590</v>
      </c>
      <c r="CT599" t="e">
        <v>#N/A</v>
      </c>
      <c r="CU599" t="e">
        <v>#N/A</v>
      </c>
      <c r="CV599" t="e">
        <v>#N/A</v>
      </c>
      <c r="CW599" t="e">
        <v>#N/A</v>
      </c>
      <c r="CX599" t="e">
        <v>#N/A</v>
      </c>
      <c r="CY599" t="e">
        <v>#N/A</v>
      </c>
      <c r="CZ599" t="e">
        <v>#N/A</v>
      </c>
      <c r="DA599" t="e">
        <v>#N/A</v>
      </c>
      <c r="DB599" t="e">
        <v>#N/A</v>
      </c>
      <c r="DC599" t="e">
        <v>#N/A</v>
      </c>
      <c r="DD599" t="e">
        <v>#N/A</v>
      </c>
      <c r="DE599" t="e">
        <v>#N/A</v>
      </c>
      <c r="DF599" t="e">
        <v>#N/A</v>
      </c>
      <c r="DG599" t="e">
        <v>#N/A</v>
      </c>
      <c r="DH599" t="e">
        <v>#N/A</v>
      </c>
      <c r="DI599" t="e">
        <v>#N/A</v>
      </c>
    </row>
    <row r="600" spans="13:113">
      <c r="M600" t="str">
        <f t="shared" si="72"/>
        <v>"//*[@class=\"</v>
      </c>
      <c r="N600" t="str">
        <f t="shared" si="75"/>
        <v/>
      </c>
      <c r="O600" s="4" t="str">
        <f t="shared" si="76"/>
        <v>click</v>
      </c>
      <c r="P600" t="str">
        <f t="shared" si="77"/>
        <v>();</v>
      </c>
      <c r="Q600" t="str">
        <f t="shared" si="71"/>
        <v/>
      </c>
      <c r="R600" t="str">
        <f t="shared" si="73"/>
        <v/>
      </c>
      <c r="S600" s="1" t="str">
        <f t="shared" si="74"/>
        <v/>
      </c>
      <c r="Z600">
        <v>591</v>
      </c>
      <c r="CT600" t="e">
        <v>#N/A</v>
      </c>
      <c r="CU600" t="e">
        <v>#N/A</v>
      </c>
      <c r="CV600" t="e">
        <v>#N/A</v>
      </c>
      <c r="CW600" t="e">
        <v>#N/A</v>
      </c>
      <c r="CX600" t="e">
        <v>#N/A</v>
      </c>
      <c r="CY600" t="e">
        <v>#N/A</v>
      </c>
      <c r="CZ600" t="e">
        <v>#N/A</v>
      </c>
      <c r="DA600" t="e">
        <v>#N/A</v>
      </c>
      <c r="DB600" t="e">
        <v>#N/A</v>
      </c>
      <c r="DC600" t="e">
        <v>#N/A</v>
      </c>
      <c r="DD600" t="e">
        <v>#N/A</v>
      </c>
      <c r="DE600" t="e">
        <v>#N/A</v>
      </c>
      <c r="DF600" t="e">
        <v>#N/A</v>
      </c>
      <c r="DG600" t="e">
        <v>#N/A</v>
      </c>
      <c r="DH600" t="e">
        <v>#N/A</v>
      </c>
      <c r="DI600" t="e">
        <v>#N/A</v>
      </c>
    </row>
    <row r="601" spans="13:113">
      <c r="M601" t="str">
        <f t="shared" si="72"/>
        <v>"//*[@class=\"</v>
      </c>
      <c r="N601" t="str">
        <f t="shared" si="75"/>
        <v/>
      </c>
      <c r="O601" s="4" t="str">
        <f t="shared" si="76"/>
        <v>click</v>
      </c>
      <c r="P601" t="str">
        <f t="shared" si="77"/>
        <v>();</v>
      </c>
      <c r="Q601" t="str">
        <f t="shared" si="71"/>
        <v/>
      </c>
      <c r="R601" t="str">
        <f t="shared" si="73"/>
        <v/>
      </c>
      <c r="S601" s="1" t="str">
        <f t="shared" si="74"/>
        <v/>
      </c>
      <c r="Z601">
        <v>592</v>
      </c>
      <c r="CT601" t="e">
        <v>#N/A</v>
      </c>
      <c r="CU601" t="e">
        <v>#N/A</v>
      </c>
      <c r="CV601" t="e">
        <v>#N/A</v>
      </c>
      <c r="CW601" t="e">
        <v>#N/A</v>
      </c>
      <c r="CX601" t="e">
        <v>#N/A</v>
      </c>
      <c r="CY601" t="e">
        <v>#N/A</v>
      </c>
      <c r="CZ601" t="e">
        <v>#N/A</v>
      </c>
      <c r="DA601" t="e">
        <v>#N/A</v>
      </c>
      <c r="DB601" t="e">
        <v>#N/A</v>
      </c>
      <c r="DC601" t="e">
        <v>#N/A</v>
      </c>
      <c r="DD601" t="e">
        <v>#N/A</v>
      </c>
      <c r="DE601" t="e">
        <v>#N/A</v>
      </c>
      <c r="DF601" t="e">
        <v>#N/A</v>
      </c>
      <c r="DG601" t="e">
        <v>#N/A</v>
      </c>
      <c r="DH601" t="e">
        <v>#N/A</v>
      </c>
      <c r="DI601" t="e">
        <v>#N/A</v>
      </c>
    </row>
    <row r="602" spans="13:113">
      <c r="M602" t="str">
        <f t="shared" si="72"/>
        <v>"//*[@class=\"</v>
      </c>
      <c r="N602" t="str">
        <f t="shared" si="75"/>
        <v/>
      </c>
      <c r="O602" s="4" t="str">
        <f t="shared" si="76"/>
        <v>click</v>
      </c>
      <c r="P602" t="str">
        <f t="shared" si="77"/>
        <v>();</v>
      </c>
      <c r="Q602" t="str">
        <f t="shared" si="71"/>
        <v/>
      </c>
      <c r="R602" t="str">
        <f t="shared" si="73"/>
        <v/>
      </c>
      <c r="S602" s="1" t="str">
        <f t="shared" si="74"/>
        <v/>
      </c>
      <c r="Z602">
        <v>593</v>
      </c>
      <c r="CT602" t="e">
        <v>#N/A</v>
      </c>
      <c r="CU602" t="e">
        <v>#N/A</v>
      </c>
      <c r="CV602" t="e">
        <v>#N/A</v>
      </c>
      <c r="CW602" t="e">
        <v>#N/A</v>
      </c>
      <c r="CX602" t="e">
        <v>#N/A</v>
      </c>
      <c r="CY602" t="e">
        <v>#N/A</v>
      </c>
      <c r="CZ602" t="e">
        <v>#N/A</v>
      </c>
      <c r="DA602" t="e">
        <v>#N/A</v>
      </c>
      <c r="DB602" t="e">
        <v>#N/A</v>
      </c>
      <c r="DC602" t="e">
        <v>#N/A</v>
      </c>
      <c r="DD602" t="e">
        <v>#N/A</v>
      </c>
      <c r="DE602" t="e">
        <v>#N/A</v>
      </c>
      <c r="DF602" t="e">
        <v>#N/A</v>
      </c>
      <c r="DG602" t="e">
        <v>#N/A</v>
      </c>
      <c r="DH602" t="e">
        <v>#N/A</v>
      </c>
      <c r="DI602" t="e">
        <v>#N/A</v>
      </c>
    </row>
    <row r="603" spans="13:113">
      <c r="M603" t="str">
        <f t="shared" si="72"/>
        <v>"//*[@class=\"</v>
      </c>
      <c r="N603" t="str">
        <f t="shared" si="75"/>
        <v/>
      </c>
      <c r="O603" s="4" t="str">
        <f t="shared" si="76"/>
        <v>click</v>
      </c>
      <c r="P603" t="str">
        <f t="shared" si="77"/>
        <v>();</v>
      </c>
      <c r="Q603" t="str">
        <f t="shared" si="71"/>
        <v/>
      </c>
      <c r="R603" t="str">
        <f t="shared" si="73"/>
        <v/>
      </c>
      <c r="S603" s="1" t="str">
        <f t="shared" si="74"/>
        <v/>
      </c>
      <c r="Z603">
        <v>594</v>
      </c>
      <c r="CT603" t="e">
        <v>#N/A</v>
      </c>
      <c r="CU603" t="e">
        <v>#N/A</v>
      </c>
      <c r="CV603" t="e">
        <v>#N/A</v>
      </c>
      <c r="CW603" t="e">
        <v>#N/A</v>
      </c>
      <c r="CX603" t="e">
        <v>#N/A</v>
      </c>
      <c r="CY603" t="e">
        <v>#N/A</v>
      </c>
      <c r="CZ603" t="e">
        <v>#N/A</v>
      </c>
      <c r="DA603" t="e">
        <v>#N/A</v>
      </c>
      <c r="DB603" t="e">
        <v>#N/A</v>
      </c>
      <c r="DC603" t="e">
        <v>#N/A</v>
      </c>
      <c r="DD603" t="e">
        <v>#N/A</v>
      </c>
      <c r="DE603" t="e">
        <v>#N/A</v>
      </c>
      <c r="DF603" t="e">
        <v>#N/A</v>
      </c>
      <c r="DG603" t="e">
        <v>#N/A</v>
      </c>
      <c r="DH603" t="e">
        <v>#N/A</v>
      </c>
      <c r="DI603" t="e">
        <v>#N/A</v>
      </c>
    </row>
    <row r="604" spans="13:113">
      <c r="M604" t="str">
        <f t="shared" si="72"/>
        <v>"//*[@class=\"</v>
      </c>
      <c r="N604" t="str">
        <f t="shared" si="75"/>
        <v/>
      </c>
      <c r="O604" s="4" t="str">
        <f t="shared" si="76"/>
        <v>click</v>
      </c>
      <c r="P604" t="str">
        <f t="shared" si="77"/>
        <v>();</v>
      </c>
      <c r="Q604" t="str">
        <f t="shared" si="71"/>
        <v/>
      </c>
      <c r="R604" t="str">
        <f t="shared" si="73"/>
        <v/>
      </c>
      <c r="S604" s="1" t="str">
        <f t="shared" si="74"/>
        <v/>
      </c>
      <c r="Z604">
        <v>595</v>
      </c>
      <c r="CT604" t="e">
        <v>#N/A</v>
      </c>
      <c r="CU604" t="e">
        <v>#N/A</v>
      </c>
      <c r="CV604" t="e">
        <v>#N/A</v>
      </c>
      <c r="CW604" t="e">
        <v>#N/A</v>
      </c>
      <c r="CX604" t="e">
        <v>#N/A</v>
      </c>
      <c r="CY604" t="e">
        <v>#N/A</v>
      </c>
      <c r="CZ604" t="e">
        <v>#N/A</v>
      </c>
      <c r="DA604" t="e">
        <v>#N/A</v>
      </c>
      <c r="DB604" t="e">
        <v>#N/A</v>
      </c>
      <c r="DC604" t="e">
        <v>#N/A</v>
      </c>
      <c r="DD604" t="e">
        <v>#N/A</v>
      </c>
      <c r="DE604" t="e">
        <v>#N/A</v>
      </c>
      <c r="DF604" t="e">
        <v>#N/A</v>
      </c>
      <c r="DG604" t="e">
        <v>#N/A</v>
      </c>
      <c r="DH604" t="e">
        <v>#N/A</v>
      </c>
      <c r="DI604" t="e">
        <v>#N/A</v>
      </c>
    </row>
    <row r="605" spans="13:113">
      <c r="M605" t="str">
        <f t="shared" si="72"/>
        <v>"//*[@class=\"</v>
      </c>
      <c r="N605" t="str">
        <f t="shared" si="75"/>
        <v/>
      </c>
      <c r="O605" s="4" t="str">
        <f t="shared" si="76"/>
        <v>click</v>
      </c>
      <c r="P605" t="str">
        <f t="shared" si="77"/>
        <v>();</v>
      </c>
      <c r="Q605" t="str">
        <f t="shared" ref="Q605:Q668" si="78">IF(A605="Y",IF(H605&lt;&gt;"Xpath",M605&amp;F605&amp;N605,""""&amp;F605&amp;""""),"")</f>
        <v/>
      </c>
      <c r="R605" t="str">
        <f t="shared" si="73"/>
        <v/>
      </c>
      <c r="S605" s="1" t="str">
        <f t="shared" si="74"/>
        <v/>
      </c>
      <c r="Z605">
        <v>596</v>
      </c>
      <c r="CT605" t="e">
        <v>#N/A</v>
      </c>
      <c r="CU605" t="e">
        <v>#N/A</v>
      </c>
      <c r="CV605" t="e">
        <v>#N/A</v>
      </c>
      <c r="CW605" t="e">
        <v>#N/A</v>
      </c>
      <c r="CX605" t="e">
        <v>#N/A</v>
      </c>
      <c r="CY605" t="e">
        <v>#N/A</v>
      </c>
      <c r="CZ605" t="e">
        <v>#N/A</v>
      </c>
      <c r="DA605" t="e">
        <v>#N/A</v>
      </c>
      <c r="DB605" t="e">
        <v>#N/A</v>
      </c>
      <c r="DC605" t="e">
        <v>#N/A</v>
      </c>
      <c r="DD605" t="e">
        <v>#N/A</v>
      </c>
      <c r="DE605" t="e">
        <v>#N/A</v>
      </c>
      <c r="DF605" t="e">
        <v>#N/A</v>
      </c>
      <c r="DG605" t="e">
        <v>#N/A</v>
      </c>
      <c r="DH605" t="e">
        <v>#N/A</v>
      </c>
      <c r="DI605" t="e">
        <v>#N/A</v>
      </c>
    </row>
    <row r="606" spans="13:113">
      <c r="M606" t="str">
        <f t="shared" si="72"/>
        <v>"//*[@class=\"</v>
      </c>
      <c r="N606" t="str">
        <f t="shared" si="75"/>
        <v/>
      </c>
      <c r="O606" s="4" t="str">
        <f t="shared" si="76"/>
        <v>click</v>
      </c>
      <c r="P606" t="str">
        <f t="shared" si="77"/>
        <v>();</v>
      </c>
      <c r="Q606" t="str">
        <f t="shared" si="78"/>
        <v/>
      </c>
      <c r="R606" t="str">
        <f t="shared" si="73"/>
        <v/>
      </c>
      <c r="S606" s="1" t="str">
        <f t="shared" si="74"/>
        <v/>
      </c>
      <c r="Z606">
        <v>597</v>
      </c>
      <c r="CT606" t="e">
        <v>#N/A</v>
      </c>
      <c r="CU606" t="e">
        <v>#N/A</v>
      </c>
      <c r="CV606" t="e">
        <v>#N/A</v>
      </c>
      <c r="CW606" t="e">
        <v>#N/A</v>
      </c>
      <c r="CX606" t="e">
        <v>#N/A</v>
      </c>
      <c r="CY606" t="e">
        <v>#N/A</v>
      </c>
      <c r="CZ606" t="e">
        <v>#N/A</v>
      </c>
      <c r="DA606" t="e">
        <v>#N/A</v>
      </c>
      <c r="DB606" t="e">
        <v>#N/A</v>
      </c>
      <c r="DC606" t="e">
        <v>#N/A</v>
      </c>
      <c r="DD606" t="e">
        <v>#N/A</v>
      </c>
      <c r="DE606" t="e">
        <v>#N/A</v>
      </c>
      <c r="DF606" t="e">
        <v>#N/A</v>
      </c>
      <c r="DG606" t="e">
        <v>#N/A</v>
      </c>
      <c r="DH606" t="e">
        <v>#N/A</v>
      </c>
      <c r="DI606" t="e">
        <v>#N/A</v>
      </c>
    </row>
    <row r="607" spans="13:113">
      <c r="M607" t="str">
        <f t="shared" si="72"/>
        <v>"//*[@class=\"</v>
      </c>
      <c r="N607" t="str">
        <f t="shared" si="75"/>
        <v/>
      </c>
      <c r="O607" s="4" t="str">
        <f t="shared" si="76"/>
        <v>click</v>
      </c>
      <c r="P607" t="str">
        <f t="shared" si="77"/>
        <v>();</v>
      </c>
      <c r="Q607" t="str">
        <f t="shared" si="78"/>
        <v/>
      </c>
      <c r="R607" t="str">
        <f t="shared" si="73"/>
        <v/>
      </c>
      <c r="S607" s="1" t="str">
        <f t="shared" si="74"/>
        <v/>
      </c>
      <c r="Z607">
        <v>598</v>
      </c>
      <c r="CT607" t="e">
        <v>#N/A</v>
      </c>
      <c r="CU607" t="e">
        <v>#N/A</v>
      </c>
      <c r="CV607" t="e">
        <v>#N/A</v>
      </c>
      <c r="CW607" t="e">
        <v>#N/A</v>
      </c>
      <c r="CX607" t="e">
        <v>#N/A</v>
      </c>
      <c r="CY607" t="e">
        <v>#N/A</v>
      </c>
      <c r="CZ607" t="e">
        <v>#N/A</v>
      </c>
      <c r="DA607" t="e">
        <v>#N/A</v>
      </c>
      <c r="DB607" t="e">
        <v>#N/A</v>
      </c>
      <c r="DC607" t="e">
        <v>#N/A</v>
      </c>
      <c r="DD607" t="e">
        <v>#N/A</v>
      </c>
      <c r="DE607" t="e">
        <v>#N/A</v>
      </c>
      <c r="DF607" t="e">
        <v>#N/A</v>
      </c>
      <c r="DG607" t="e">
        <v>#N/A</v>
      </c>
      <c r="DH607" t="e">
        <v>#N/A</v>
      </c>
      <c r="DI607" t="e">
        <v>#N/A</v>
      </c>
    </row>
    <row r="608" spans="13:113">
      <c r="M608" t="str">
        <f t="shared" si="72"/>
        <v>"//*[@class=\"</v>
      </c>
      <c r="N608" t="str">
        <f t="shared" si="75"/>
        <v/>
      </c>
      <c r="O608" s="4" t="str">
        <f t="shared" si="76"/>
        <v>click</v>
      </c>
      <c r="P608" t="str">
        <f t="shared" si="77"/>
        <v>();</v>
      </c>
      <c r="Q608" t="str">
        <f t="shared" si="78"/>
        <v/>
      </c>
      <c r="R608" t="str">
        <f t="shared" si="73"/>
        <v/>
      </c>
      <c r="S608" s="1" t="str">
        <f t="shared" si="74"/>
        <v/>
      </c>
      <c r="Z608">
        <v>599</v>
      </c>
      <c r="CT608" t="e">
        <v>#N/A</v>
      </c>
      <c r="CU608" t="e">
        <v>#N/A</v>
      </c>
      <c r="CV608" t="e">
        <v>#N/A</v>
      </c>
      <c r="CW608" t="e">
        <v>#N/A</v>
      </c>
      <c r="CX608" t="e">
        <v>#N/A</v>
      </c>
      <c r="CY608" t="e">
        <v>#N/A</v>
      </c>
      <c r="CZ608" t="e">
        <v>#N/A</v>
      </c>
      <c r="DA608" t="e">
        <v>#N/A</v>
      </c>
      <c r="DB608" t="e">
        <v>#N/A</v>
      </c>
      <c r="DC608" t="e">
        <v>#N/A</v>
      </c>
      <c r="DD608" t="e">
        <v>#N/A</v>
      </c>
      <c r="DE608" t="e">
        <v>#N/A</v>
      </c>
      <c r="DF608" t="e">
        <v>#N/A</v>
      </c>
      <c r="DG608" t="e">
        <v>#N/A</v>
      </c>
      <c r="DH608" t="e">
        <v>#N/A</v>
      </c>
      <c r="DI608" t="e">
        <v>#N/A</v>
      </c>
    </row>
    <row r="609" spans="13:113">
      <c r="M609" t="str">
        <f t="shared" si="72"/>
        <v>"//*[@class=\"</v>
      </c>
      <c r="N609" t="str">
        <f t="shared" si="75"/>
        <v/>
      </c>
      <c r="O609" s="4" t="str">
        <f t="shared" si="76"/>
        <v>click</v>
      </c>
      <c r="P609" t="str">
        <f t="shared" si="77"/>
        <v>();</v>
      </c>
      <c r="Q609" t="str">
        <f t="shared" si="78"/>
        <v/>
      </c>
      <c r="R609" t="str">
        <f t="shared" si="73"/>
        <v/>
      </c>
      <c r="S609" s="1" t="str">
        <f t="shared" si="74"/>
        <v/>
      </c>
      <c r="Z609">
        <v>600</v>
      </c>
      <c r="CT609" t="e">
        <v>#N/A</v>
      </c>
      <c r="CU609" t="e">
        <v>#N/A</v>
      </c>
      <c r="CV609" t="e">
        <v>#N/A</v>
      </c>
      <c r="CW609" t="e">
        <v>#N/A</v>
      </c>
      <c r="CX609" t="e">
        <v>#N/A</v>
      </c>
      <c r="CY609" t="e">
        <v>#N/A</v>
      </c>
      <c r="CZ609" t="e">
        <v>#N/A</v>
      </c>
      <c r="DA609" t="e">
        <v>#N/A</v>
      </c>
      <c r="DB609" t="e">
        <v>#N/A</v>
      </c>
      <c r="DC609" t="e">
        <v>#N/A</v>
      </c>
      <c r="DD609" t="e">
        <v>#N/A</v>
      </c>
      <c r="DE609" t="e">
        <v>#N/A</v>
      </c>
      <c r="DF609" t="e">
        <v>#N/A</v>
      </c>
      <c r="DG609" t="e">
        <v>#N/A</v>
      </c>
      <c r="DH609" t="e">
        <v>#N/A</v>
      </c>
      <c r="DI609" t="e">
        <v>#N/A</v>
      </c>
    </row>
    <row r="610" spans="13:113">
      <c r="M610" t="str">
        <f t="shared" si="72"/>
        <v>"//*[@class=\"</v>
      </c>
      <c r="N610" t="str">
        <f t="shared" si="75"/>
        <v/>
      </c>
      <c r="O610" s="4" t="str">
        <f t="shared" si="76"/>
        <v>click</v>
      </c>
      <c r="P610" t="str">
        <f t="shared" si="77"/>
        <v>();</v>
      </c>
      <c r="Q610" t="str">
        <f t="shared" si="78"/>
        <v/>
      </c>
      <c r="R610" t="str">
        <f t="shared" si="73"/>
        <v/>
      </c>
      <c r="S610" s="1" t="str">
        <f t="shared" si="74"/>
        <v/>
      </c>
      <c r="Z610">
        <v>601</v>
      </c>
      <c r="CT610" t="e">
        <v>#N/A</v>
      </c>
      <c r="CU610" t="e">
        <v>#N/A</v>
      </c>
      <c r="CV610" t="e">
        <v>#N/A</v>
      </c>
      <c r="CW610" t="e">
        <v>#N/A</v>
      </c>
      <c r="CX610" t="e">
        <v>#N/A</v>
      </c>
      <c r="CY610" t="e">
        <v>#N/A</v>
      </c>
      <c r="CZ610" t="e">
        <v>#N/A</v>
      </c>
      <c r="DA610" t="e">
        <v>#N/A</v>
      </c>
      <c r="DB610" t="e">
        <v>#N/A</v>
      </c>
      <c r="DC610" t="e">
        <v>#N/A</v>
      </c>
      <c r="DD610" t="e">
        <v>#N/A</v>
      </c>
      <c r="DE610" t="e">
        <v>#N/A</v>
      </c>
      <c r="DF610" t="e">
        <v>#N/A</v>
      </c>
      <c r="DG610" t="e">
        <v>#N/A</v>
      </c>
      <c r="DH610" t="e">
        <v>#N/A</v>
      </c>
      <c r="DI610" t="e">
        <v>#N/A</v>
      </c>
    </row>
    <row r="611" spans="13:113">
      <c r="M611" t="str">
        <f t="shared" si="72"/>
        <v>"//*[@class=\"</v>
      </c>
      <c r="N611" t="str">
        <f t="shared" si="75"/>
        <v/>
      </c>
      <c r="O611" s="4" t="str">
        <f t="shared" si="76"/>
        <v>click</v>
      </c>
      <c r="P611" t="str">
        <f t="shared" si="77"/>
        <v>();</v>
      </c>
      <c r="Q611" t="str">
        <f t="shared" si="78"/>
        <v/>
      </c>
      <c r="R611" t="str">
        <f t="shared" si="73"/>
        <v/>
      </c>
      <c r="S611" s="1" t="str">
        <f t="shared" si="74"/>
        <v/>
      </c>
      <c r="Z611">
        <v>602</v>
      </c>
      <c r="CT611" t="e">
        <v>#N/A</v>
      </c>
      <c r="CU611" t="e">
        <v>#N/A</v>
      </c>
      <c r="CV611" t="e">
        <v>#N/A</v>
      </c>
      <c r="CW611" t="e">
        <v>#N/A</v>
      </c>
      <c r="CX611" t="e">
        <v>#N/A</v>
      </c>
      <c r="CY611" t="e">
        <v>#N/A</v>
      </c>
      <c r="CZ611" t="e">
        <v>#N/A</v>
      </c>
      <c r="DA611" t="e">
        <v>#N/A</v>
      </c>
      <c r="DB611" t="e">
        <v>#N/A</v>
      </c>
      <c r="DC611" t="e">
        <v>#N/A</v>
      </c>
      <c r="DD611" t="e">
        <v>#N/A</v>
      </c>
      <c r="DE611" t="e">
        <v>#N/A</v>
      </c>
      <c r="DF611" t="e">
        <v>#N/A</v>
      </c>
      <c r="DG611" t="e">
        <v>#N/A</v>
      </c>
      <c r="DH611" t="e">
        <v>#N/A</v>
      </c>
      <c r="DI611" t="e">
        <v>#N/A</v>
      </c>
    </row>
    <row r="612" spans="13:113">
      <c r="M612" t="str">
        <f t="shared" si="72"/>
        <v>"//*[@class=\"</v>
      </c>
      <c r="N612" t="str">
        <f t="shared" si="75"/>
        <v/>
      </c>
      <c r="O612" s="4" t="str">
        <f t="shared" si="76"/>
        <v>click</v>
      </c>
      <c r="P612" t="str">
        <f t="shared" si="77"/>
        <v>();</v>
      </c>
      <c r="Q612" t="str">
        <f t="shared" si="78"/>
        <v/>
      </c>
      <c r="R612" t="str">
        <f t="shared" si="73"/>
        <v/>
      </c>
      <c r="S612" s="1" t="str">
        <f t="shared" si="74"/>
        <v/>
      </c>
      <c r="Z612">
        <v>603</v>
      </c>
      <c r="CT612" t="e">
        <v>#N/A</v>
      </c>
      <c r="CU612" t="e">
        <v>#N/A</v>
      </c>
      <c r="CV612" t="e">
        <v>#N/A</v>
      </c>
      <c r="CW612" t="e">
        <v>#N/A</v>
      </c>
      <c r="CX612" t="e">
        <v>#N/A</v>
      </c>
      <c r="CY612" t="e">
        <v>#N/A</v>
      </c>
      <c r="CZ612" t="e">
        <v>#N/A</v>
      </c>
      <c r="DA612" t="e">
        <v>#N/A</v>
      </c>
      <c r="DB612" t="e">
        <v>#N/A</v>
      </c>
      <c r="DC612" t="e">
        <v>#N/A</v>
      </c>
      <c r="DD612" t="e">
        <v>#N/A</v>
      </c>
      <c r="DE612" t="e">
        <v>#N/A</v>
      </c>
      <c r="DF612" t="e">
        <v>#N/A</v>
      </c>
      <c r="DG612" t="e">
        <v>#N/A</v>
      </c>
      <c r="DH612" t="e">
        <v>#N/A</v>
      </c>
      <c r="DI612" t="e">
        <v>#N/A</v>
      </c>
    </row>
    <row r="613" spans="13:113">
      <c r="M613" t="str">
        <f t="shared" ref="M613:M648" si="79">IF(H613="id",""""&amp;"//*[@id=\"&amp;"""",""""&amp;"//*[@class=\"&amp;"""")</f>
        <v>"//*[@class=\"</v>
      </c>
      <c r="N613" t="str">
        <f t="shared" si="75"/>
        <v/>
      </c>
      <c r="O613" s="4" t="str">
        <f t="shared" si="76"/>
        <v>click</v>
      </c>
      <c r="P613" t="str">
        <f t="shared" si="77"/>
        <v>();</v>
      </c>
      <c r="Q613" t="str">
        <f t="shared" si="78"/>
        <v/>
      </c>
      <c r="R613" t="str">
        <f t="shared" si="73"/>
        <v/>
      </c>
      <c r="S613" s="1" t="str">
        <f t="shared" si="74"/>
        <v/>
      </c>
      <c r="Z613">
        <v>604</v>
      </c>
      <c r="CT613" t="e">
        <v>#N/A</v>
      </c>
      <c r="CU613" t="e">
        <v>#N/A</v>
      </c>
      <c r="CV613" t="e">
        <v>#N/A</v>
      </c>
      <c r="CW613" t="e">
        <v>#N/A</v>
      </c>
      <c r="CX613" t="e">
        <v>#N/A</v>
      </c>
      <c r="CY613" t="e">
        <v>#N/A</v>
      </c>
      <c r="CZ613" t="e">
        <v>#N/A</v>
      </c>
      <c r="DA613" t="e">
        <v>#N/A</v>
      </c>
      <c r="DB613" t="e">
        <v>#N/A</v>
      </c>
      <c r="DC613" t="e">
        <v>#N/A</v>
      </c>
      <c r="DD613" t="e">
        <v>#N/A</v>
      </c>
      <c r="DE613" t="e">
        <v>#N/A</v>
      </c>
      <c r="DF613" t="e">
        <v>#N/A</v>
      </c>
      <c r="DG613" t="e">
        <v>#N/A</v>
      </c>
      <c r="DH613" t="e">
        <v>#N/A</v>
      </c>
      <c r="DI613" t="e">
        <v>#N/A</v>
      </c>
    </row>
    <row r="614" spans="13:113">
      <c r="M614" t="str">
        <f t="shared" si="79"/>
        <v>"//*[@class=\"</v>
      </c>
      <c r="N614" t="str">
        <f t="shared" si="75"/>
        <v/>
      </c>
      <c r="O614" s="4" t="str">
        <f t="shared" si="76"/>
        <v>click</v>
      </c>
      <c r="P614" t="str">
        <f t="shared" si="77"/>
        <v>();</v>
      </c>
      <c r="Q614" t="str">
        <f t="shared" si="78"/>
        <v/>
      </c>
      <c r="R614" t="str">
        <f t="shared" si="73"/>
        <v/>
      </c>
      <c r="S614" s="1" t="str">
        <f t="shared" si="74"/>
        <v/>
      </c>
      <c r="Z614">
        <v>605</v>
      </c>
      <c r="CT614" t="e">
        <v>#N/A</v>
      </c>
      <c r="CU614" t="e">
        <v>#N/A</v>
      </c>
      <c r="CV614" t="e">
        <v>#N/A</v>
      </c>
      <c r="CW614" t="e">
        <v>#N/A</v>
      </c>
      <c r="CX614" t="e">
        <v>#N/A</v>
      </c>
      <c r="CY614" t="e">
        <v>#N/A</v>
      </c>
      <c r="CZ614" t="e">
        <v>#N/A</v>
      </c>
      <c r="DA614" t="e">
        <v>#N/A</v>
      </c>
      <c r="DB614" t="e">
        <v>#N/A</v>
      </c>
      <c r="DC614" t="e">
        <v>#N/A</v>
      </c>
      <c r="DD614" t="e">
        <v>#N/A</v>
      </c>
      <c r="DE614" t="e">
        <v>#N/A</v>
      </c>
      <c r="DF614" t="e">
        <v>#N/A</v>
      </c>
      <c r="DG614" t="e">
        <v>#N/A</v>
      </c>
      <c r="DH614" t="e">
        <v>#N/A</v>
      </c>
      <c r="DI614" t="e">
        <v>#N/A</v>
      </c>
    </row>
    <row r="615" spans="13:113">
      <c r="M615" t="str">
        <f t="shared" si="79"/>
        <v>"//*[@class=\"</v>
      </c>
      <c r="N615" t="str">
        <f t="shared" si="75"/>
        <v/>
      </c>
      <c r="O615" s="4" t="str">
        <f t="shared" si="76"/>
        <v>click</v>
      </c>
      <c r="P615" t="str">
        <f t="shared" si="77"/>
        <v>();</v>
      </c>
      <c r="Q615" t="str">
        <f t="shared" si="78"/>
        <v/>
      </c>
      <c r="R615" t="str">
        <f t="shared" si="73"/>
        <v/>
      </c>
      <c r="S615" s="1" t="str">
        <f t="shared" si="74"/>
        <v/>
      </c>
      <c r="Z615">
        <v>606</v>
      </c>
      <c r="CT615" t="e">
        <v>#N/A</v>
      </c>
      <c r="CU615" t="e">
        <v>#N/A</v>
      </c>
      <c r="CV615" t="e">
        <v>#N/A</v>
      </c>
      <c r="CW615" t="e">
        <v>#N/A</v>
      </c>
      <c r="CX615" t="e">
        <v>#N/A</v>
      </c>
      <c r="CY615" t="e">
        <v>#N/A</v>
      </c>
      <c r="CZ615" t="e">
        <v>#N/A</v>
      </c>
      <c r="DA615" t="e">
        <v>#N/A</v>
      </c>
      <c r="DB615" t="e">
        <v>#N/A</v>
      </c>
      <c r="DC615" t="e">
        <v>#N/A</v>
      </c>
      <c r="DD615" t="e">
        <v>#N/A</v>
      </c>
      <c r="DE615" t="e">
        <v>#N/A</v>
      </c>
      <c r="DF615" t="e">
        <v>#N/A</v>
      </c>
      <c r="DG615" t="e">
        <v>#N/A</v>
      </c>
      <c r="DH615" t="e">
        <v>#N/A</v>
      </c>
      <c r="DI615" t="e">
        <v>#N/A</v>
      </c>
    </row>
    <row r="616" spans="13:113">
      <c r="M616" t="str">
        <f t="shared" si="79"/>
        <v>"//*[@class=\"</v>
      </c>
      <c r="N616" t="str">
        <f t="shared" si="75"/>
        <v/>
      </c>
      <c r="O616" s="4" t="str">
        <f t="shared" si="76"/>
        <v>click</v>
      </c>
      <c r="P616" t="str">
        <f t="shared" si="77"/>
        <v>();</v>
      </c>
      <c r="Q616" t="str">
        <f t="shared" si="78"/>
        <v/>
      </c>
      <c r="R616" t="str">
        <f t="shared" si="73"/>
        <v/>
      </c>
      <c r="S616" s="1" t="str">
        <f t="shared" si="74"/>
        <v/>
      </c>
      <c r="Z616">
        <v>607</v>
      </c>
      <c r="CT616" t="e">
        <v>#N/A</v>
      </c>
      <c r="CU616" t="e">
        <v>#N/A</v>
      </c>
      <c r="CV616" t="e">
        <v>#N/A</v>
      </c>
      <c r="CW616" t="e">
        <v>#N/A</v>
      </c>
      <c r="CX616" t="e">
        <v>#N/A</v>
      </c>
      <c r="CY616" t="e">
        <v>#N/A</v>
      </c>
      <c r="CZ616" t="e">
        <v>#N/A</v>
      </c>
      <c r="DA616" t="e">
        <v>#N/A</v>
      </c>
      <c r="DB616" t="e">
        <v>#N/A</v>
      </c>
      <c r="DC616" t="e">
        <v>#N/A</v>
      </c>
      <c r="DD616" t="e">
        <v>#N/A</v>
      </c>
      <c r="DE616" t="e">
        <v>#N/A</v>
      </c>
      <c r="DF616" t="e">
        <v>#N/A</v>
      </c>
      <c r="DG616" t="e">
        <v>#N/A</v>
      </c>
      <c r="DH616" t="e">
        <v>#N/A</v>
      </c>
      <c r="DI616" t="e">
        <v>#N/A</v>
      </c>
    </row>
    <row r="617" spans="13:113">
      <c r="M617" t="str">
        <f t="shared" si="79"/>
        <v>"//*[@class=\"</v>
      </c>
      <c r="N617" t="str">
        <f t="shared" si="75"/>
        <v/>
      </c>
      <c r="O617" s="4" t="str">
        <f t="shared" si="76"/>
        <v>click</v>
      </c>
      <c r="P617" t="str">
        <f t="shared" si="77"/>
        <v>();</v>
      </c>
      <c r="Q617" t="str">
        <f t="shared" si="78"/>
        <v/>
      </c>
      <c r="R617" t="str">
        <f t="shared" si="73"/>
        <v/>
      </c>
      <c r="S617" s="1" t="str">
        <f t="shared" si="74"/>
        <v/>
      </c>
      <c r="Z617">
        <v>608</v>
      </c>
      <c r="CT617" t="e">
        <v>#N/A</v>
      </c>
      <c r="CU617" t="e">
        <v>#N/A</v>
      </c>
      <c r="CV617" t="e">
        <v>#N/A</v>
      </c>
      <c r="CW617" t="e">
        <v>#N/A</v>
      </c>
      <c r="CX617" t="e">
        <v>#N/A</v>
      </c>
      <c r="CY617" t="e">
        <v>#N/A</v>
      </c>
      <c r="CZ617" t="e">
        <v>#N/A</v>
      </c>
      <c r="DA617" t="e">
        <v>#N/A</v>
      </c>
      <c r="DB617" t="e">
        <v>#N/A</v>
      </c>
      <c r="DC617" t="e">
        <v>#N/A</v>
      </c>
      <c r="DD617" t="e">
        <v>#N/A</v>
      </c>
      <c r="DE617" t="e">
        <v>#N/A</v>
      </c>
      <c r="DF617" t="e">
        <v>#N/A</v>
      </c>
      <c r="DG617" t="e">
        <v>#N/A</v>
      </c>
      <c r="DH617" t="e">
        <v>#N/A</v>
      </c>
      <c r="DI617" t="e">
        <v>#N/A</v>
      </c>
    </row>
    <row r="618" spans="13:113">
      <c r="M618" t="str">
        <f t="shared" si="79"/>
        <v>"//*[@class=\"</v>
      </c>
      <c r="N618" t="str">
        <f t="shared" si="75"/>
        <v/>
      </c>
      <c r="O618" s="4" t="str">
        <f t="shared" si="76"/>
        <v>click</v>
      </c>
      <c r="P618" t="str">
        <f t="shared" si="77"/>
        <v>();</v>
      </c>
      <c r="Q618" t="str">
        <f t="shared" si="78"/>
        <v/>
      </c>
      <c r="R618" t="str">
        <f t="shared" si="73"/>
        <v/>
      </c>
      <c r="S618" s="1" t="str">
        <f t="shared" si="74"/>
        <v/>
      </c>
      <c r="Z618">
        <v>609</v>
      </c>
      <c r="CT618" t="e">
        <v>#N/A</v>
      </c>
      <c r="CU618" t="e">
        <v>#N/A</v>
      </c>
      <c r="CV618" t="e">
        <v>#N/A</v>
      </c>
      <c r="CW618" t="e">
        <v>#N/A</v>
      </c>
      <c r="CX618" t="e">
        <v>#N/A</v>
      </c>
      <c r="CY618" t="e">
        <v>#N/A</v>
      </c>
      <c r="CZ618" t="e">
        <v>#N/A</v>
      </c>
      <c r="DA618" t="e">
        <v>#N/A</v>
      </c>
      <c r="DB618" t="e">
        <v>#N/A</v>
      </c>
      <c r="DC618" t="e">
        <v>#N/A</v>
      </c>
      <c r="DD618" t="e">
        <v>#N/A</v>
      </c>
      <c r="DE618" t="e">
        <v>#N/A</v>
      </c>
      <c r="DF618" t="e">
        <v>#N/A</v>
      </c>
      <c r="DG618" t="e">
        <v>#N/A</v>
      </c>
      <c r="DH618" t="e">
        <v>#N/A</v>
      </c>
      <c r="DI618" t="e">
        <v>#N/A</v>
      </c>
    </row>
    <row r="619" spans="13:113">
      <c r="M619" t="str">
        <f t="shared" si="79"/>
        <v>"//*[@class=\"</v>
      </c>
      <c r="N619" t="str">
        <f t="shared" si="75"/>
        <v/>
      </c>
      <c r="O619" s="4" t="str">
        <f t="shared" si="76"/>
        <v>click</v>
      </c>
      <c r="P619" t="str">
        <f t="shared" si="77"/>
        <v>();</v>
      </c>
      <c r="Q619" t="str">
        <f t="shared" si="78"/>
        <v/>
      </c>
      <c r="R619" t="str">
        <f t="shared" si="73"/>
        <v/>
      </c>
      <c r="S619" s="1" t="str">
        <f t="shared" si="74"/>
        <v/>
      </c>
      <c r="Z619">
        <v>610</v>
      </c>
      <c r="CT619" t="e">
        <v>#N/A</v>
      </c>
      <c r="CU619" t="e">
        <v>#N/A</v>
      </c>
      <c r="CV619" t="e">
        <v>#N/A</v>
      </c>
      <c r="CW619" t="e">
        <v>#N/A</v>
      </c>
      <c r="CX619" t="e">
        <v>#N/A</v>
      </c>
      <c r="CY619" t="e">
        <v>#N/A</v>
      </c>
      <c r="CZ619" t="e">
        <v>#N/A</v>
      </c>
      <c r="DA619" t="e">
        <v>#N/A</v>
      </c>
      <c r="DB619" t="e">
        <v>#N/A</v>
      </c>
      <c r="DC619" t="e">
        <v>#N/A</v>
      </c>
      <c r="DD619" t="e">
        <v>#N/A</v>
      </c>
      <c r="DE619" t="e">
        <v>#N/A</v>
      </c>
      <c r="DF619" t="e">
        <v>#N/A</v>
      </c>
      <c r="DG619" t="e">
        <v>#N/A</v>
      </c>
      <c r="DH619" t="e">
        <v>#N/A</v>
      </c>
      <c r="DI619" t="e">
        <v>#N/A</v>
      </c>
    </row>
    <row r="620" spans="13:113">
      <c r="M620" t="str">
        <f t="shared" si="79"/>
        <v>"//*[@class=\"</v>
      </c>
      <c r="N620" t="str">
        <f t="shared" si="75"/>
        <v/>
      </c>
      <c r="O620" s="4" t="str">
        <f t="shared" si="76"/>
        <v>click</v>
      </c>
      <c r="P620" t="str">
        <f t="shared" si="77"/>
        <v>();</v>
      </c>
      <c r="Q620" t="str">
        <f t="shared" si="78"/>
        <v/>
      </c>
      <c r="R620" t="str">
        <f t="shared" si="73"/>
        <v/>
      </c>
      <c r="S620" s="1" t="str">
        <f t="shared" si="74"/>
        <v/>
      </c>
      <c r="Z620">
        <v>611</v>
      </c>
      <c r="CT620" t="e">
        <v>#N/A</v>
      </c>
      <c r="CU620" t="e">
        <v>#N/A</v>
      </c>
      <c r="CV620" t="e">
        <v>#N/A</v>
      </c>
      <c r="CW620" t="e">
        <v>#N/A</v>
      </c>
      <c r="CX620" t="e">
        <v>#N/A</v>
      </c>
      <c r="CY620" t="e">
        <v>#N/A</v>
      </c>
      <c r="CZ620" t="e">
        <v>#N/A</v>
      </c>
      <c r="DA620" t="e">
        <v>#N/A</v>
      </c>
      <c r="DB620" t="e">
        <v>#N/A</v>
      </c>
      <c r="DC620" t="e">
        <v>#N/A</v>
      </c>
      <c r="DD620" t="e">
        <v>#N/A</v>
      </c>
      <c r="DE620" t="e">
        <v>#N/A</v>
      </c>
      <c r="DF620" t="e">
        <v>#N/A</v>
      </c>
      <c r="DG620" t="e">
        <v>#N/A</v>
      </c>
      <c r="DH620" t="e">
        <v>#N/A</v>
      </c>
      <c r="DI620" t="e">
        <v>#N/A</v>
      </c>
    </row>
    <row r="621" spans="13:113">
      <c r="M621" t="str">
        <f t="shared" si="79"/>
        <v>"//*[@class=\"</v>
      </c>
      <c r="N621" t="str">
        <f t="shared" si="75"/>
        <v/>
      </c>
      <c r="O621" s="4" t="str">
        <f t="shared" si="76"/>
        <v>click</v>
      </c>
      <c r="P621" t="str">
        <f t="shared" si="77"/>
        <v>();</v>
      </c>
      <c r="Q621" t="str">
        <f t="shared" si="78"/>
        <v/>
      </c>
      <c r="R621" t="str">
        <f t="shared" si="73"/>
        <v/>
      </c>
      <c r="S621" s="1" t="str">
        <f t="shared" si="74"/>
        <v/>
      </c>
      <c r="Z621">
        <v>612</v>
      </c>
      <c r="CT621" t="e">
        <v>#N/A</v>
      </c>
      <c r="CU621" t="e">
        <v>#N/A</v>
      </c>
      <c r="CV621" t="e">
        <v>#N/A</v>
      </c>
      <c r="CW621" t="e">
        <v>#N/A</v>
      </c>
      <c r="CX621" t="e">
        <v>#N/A</v>
      </c>
      <c r="CY621" t="e">
        <v>#N/A</v>
      </c>
      <c r="CZ621" t="e">
        <v>#N/A</v>
      </c>
      <c r="DA621" t="e">
        <v>#N/A</v>
      </c>
      <c r="DB621" t="e">
        <v>#N/A</v>
      </c>
      <c r="DC621" t="e">
        <v>#N/A</v>
      </c>
      <c r="DD621" t="e">
        <v>#N/A</v>
      </c>
      <c r="DE621" t="e">
        <v>#N/A</v>
      </c>
      <c r="DF621" t="e">
        <v>#N/A</v>
      </c>
      <c r="DG621" t="e">
        <v>#N/A</v>
      </c>
      <c r="DH621" t="e">
        <v>#N/A</v>
      </c>
      <c r="DI621" t="e">
        <v>#N/A</v>
      </c>
    </row>
    <row r="622" spans="13:113">
      <c r="M622" t="str">
        <f t="shared" si="79"/>
        <v>"//*[@class=\"</v>
      </c>
      <c r="N622" t="str">
        <f t="shared" si="75"/>
        <v/>
      </c>
      <c r="O622" s="4" t="str">
        <f t="shared" si="76"/>
        <v>click</v>
      </c>
      <c r="P622" t="str">
        <f t="shared" si="77"/>
        <v>();</v>
      </c>
      <c r="Q622" t="str">
        <f t="shared" si="78"/>
        <v/>
      </c>
      <c r="R622" t="str">
        <f t="shared" si="73"/>
        <v/>
      </c>
      <c r="S622" s="1" t="str">
        <f t="shared" si="74"/>
        <v/>
      </c>
      <c r="Z622">
        <v>613</v>
      </c>
      <c r="CT622" t="e">
        <v>#N/A</v>
      </c>
      <c r="CU622" t="e">
        <v>#N/A</v>
      </c>
      <c r="CV622" t="e">
        <v>#N/A</v>
      </c>
      <c r="CW622" t="e">
        <v>#N/A</v>
      </c>
      <c r="CX622" t="e">
        <v>#N/A</v>
      </c>
      <c r="CY622" t="e">
        <v>#N/A</v>
      </c>
      <c r="CZ622" t="e">
        <v>#N/A</v>
      </c>
      <c r="DA622" t="e">
        <v>#N/A</v>
      </c>
      <c r="DB622" t="e">
        <v>#N/A</v>
      </c>
      <c r="DC622" t="e">
        <v>#N/A</v>
      </c>
      <c r="DD622" t="e">
        <v>#N/A</v>
      </c>
      <c r="DE622" t="e">
        <v>#N/A</v>
      </c>
      <c r="DF622" t="e">
        <v>#N/A</v>
      </c>
      <c r="DG622" t="e">
        <v>#N/A</v>
      </c>
      <c r="DH622" t="e">
        <v>#N/A</v>
      </c>
      <c r="DI622" t="e">
        <v>#N/A</v>
      </c>
    </row>
    <row r="623" spans="13:113">
      <c r="M623" t="str">
        <f t="shared" si="79"/>
        <v>"//*[@class=\"</v>
      </c>
      <c r="N623" t="str">
        <f t="shared" si="75"/>
        <v/>
      </c>
      <c r="O623" s="4" t="str">
        <f t="shared" si="76"/>
        <v>click</v>
      </c>
      <c r="P623" t="str">
        <f t="shared" si="77"/>
        <v>();</v>
      </c>
      <c r="Q623" t="str">
        <f t="shared" si="78"/>
        <v/>
      </c>
      <c r="R623" t="str">
        <f t="shared" si="73"/>
        <v/>
      </c>
      <c r="S623" s="1" t="str">
        <f t="shared" si="74"/>
        <v/>
      </c>
      <c r="Z623">
        <v>614</v>
      </c>
      <c r="CT623" t="e">
        <v>#N/A</v>
      </c>
      <c r="CU623" t="e">
        <v>#N/A</v>
      </c>
      <c r="CV623" t="e">
        <v>#N/A</v>
      </c>
      <c r="CW623" t="e">
        <v>#N/A</v>
      </c>
      <c r="CX623" t="e">
        <v>#N/A</v>
      </c>
      <c r="CY623" t="e">
        <v>#N/A</v>
      </c>
      <c r="CZ623" t="e">
        <v>#N/A</v>
      </c>
      <c r="DA623" t="e">
        <v>#N/A</v>
      </c>
      <c r="DB623" t="e">
        <v>#N/A</v>
      </c>
      <c r="DC623" t="e">
        <v>#N/A</v>
      </c>
      <c r="DD623" t="e">
        <v>#N/A</v>
      </c>
      <c r="DE623" t="e">
        <v>#N/A</v>
      </c>
      <c r="DF623" t="e">
        <v>#N/A</v>
      </c>
      <c r="DG623" t="e">
        <v>#N/A</v>
      </c>
      <c r="DH623" t="e">
        <v>#N/A</v>
      </c>
      <c r="DI623" t="e">
        <v>#N/A</v>
      </c>
    </row>
    <row r="624" spans="13:113">
      <c r="M624" t="str">
        <f t="shared" si="79"/>
        <v>"//*[@class=\"</v>
      </c>
      <c r="N624" t="str">
        <f t="shared" si="75"/>
        <v/>
      </c>
      <c r="O624" s="4" t="str">
        <f t="shared" si="76"/>
        <v>click</v>
      </c>
      <c r="P624" t="str">
        <f t="shared" si="77"/>
        <v>();</v>
      </c>
      <c r="Q624" t="str">
        <f t="shared" si="78"/>
        <v/>
      </c>
      <c r="R624" t="str">
        <f t="shared" si="73"/>
        <v/>
      </c>
      <c r="S624" s="1" t="str">
        <f t="shared" si="74"/>
        <v/>
      </c>
      <c r="Z624">
        <v>615</v>
      </c>
      <c r="CT624" t="e">
        <v>#N/A</v>
      </c>
      <c r="CU624" t="e">
        <v>#N/A</v>
      </c>
      <c r="CV624" t="e">
        <v>#N/A</v>
      </c>
      <c r="CW624" t="e">
        <v>#N/A</v>
      </c>
      <c r="CX624" t="e">
        <v>#N/A</v>
      </c>
      <c r="CY624" t="e">
        <v>#N/A</v>
      </c>
      <c r="CZ624" t="e">
        <v>#N/A</v>
      </c>
      <c r="DA624" t="e">
        <v>#N/A</v>
      </c>
      <c r="DB624" t="e">
        <v>#N/A</v>
      </c>
      <c r="DC624" t="e">
        <v>#N/A</v>
      </c>
      <c r="DD624" t="e">
        <v>#N/A</v>
      </c>
      <c r="DE624" t="e">
        <v>#N/A</v>
      </c>
      <c r="DF624" t="e">
        <v>#N/A</v>
      </c>
      <c r="DG624" t="e">
        <v>#N/A</v>
      </c>
      <c r="DH624" t="e">
        <v>#N/A</v>
      </c>
      <c r="DI624" t="e">
        <v>#N/A</v>
      </c>
    </row>
    <row r="625" spans="13:113">
      <c r="M625" t="str">
        <f t="shared" si="79"/>
        <v>"//*[@class=\"</v>
      </c>
      <c r="N625" t="str">
        <f t="shared" si="75"/>
        <v/>
      </c>
      <c r="O625" s="4" t="str">
        <f t="shared" si="76"/>
        <v>click</v>
      </c>
      <c r="P625" t="str">
        <f t="shared" si="77"/>
        <v>();</v>
      </c>
      <c r="Q625" t="str">
        <f t="shared" si="78"/>
        <v/>
      </c>
      <c r="R625" t="str">
        <f t="shared" si="73"/>
        <v/>
      </c>
      <c r="S625" s="1" t="str">
        <f t="shared" si="74"/>
        <v/>
      </c>
      <c r="Z625">
        <v>616</v>
      </c>
      <c r="CT625" t="e">
        <v>#N/A</v>
      </c>
      <c r="CU625" t="e">
        <v>#N/A</v>
      </c>
      <c r="CV625" t="e">
        <v>#N/A</v>
      </c>
      <c r="CW625" t="e">
        <v>#N/A</v>
      </c>
      <c r="CX625" t="e">
        <v>#N/A</v>
      </c>
      <c r="CY625" t="e">
        <v>#N/A</v>
      </c>
      <c r="CZ625" t="e">
        <v>#N/A</v>
      </c>
      <c r="DA625" t="e">
        <v>#N/A</v>
      </c>
      <c r="DB625" t="e">
        <v>#N/A</v>
      </c>
      <c r="DC625" t="e">
        <v>#N/A</v>
      </c>
      <c r="DD625" t="e">
        <v>#N/A</v>
      </c>
      <c r="DE625" t="e">
        <v>#N/A</v>
      </c>
      <c r="DF625" t="e">
        <v>#N/A</v>
      </c>
      <c r="DG625" t="e">
        <v>#N/A</v>
      </c>
      <c r="DH625" t="e">
        <v>#N/A</v>
      </c>
      <c r="DI625" t="e">
        <v>#N/A</v>
      </c>
    </row>
    <row r="626" spans="13:113">
      <c r="M626" t="str">
        <f t="shared" si="79"/>
        <v>"//*[@class=\"</v>
      </c>
      <c r="N626" t="str">
        <f t="shared" si="75"/>
        <v/>
      </c>
      <c r="O626" s="4" t="str">
        <f t="shared" si="76"/>
        <v>click</v>
      </c>
      <c r="P626" t="str">
        <f t="shared" si="77"/>
        <v>();</v>
      </c>
      <c r="Q626" t="str">
        <f t="shared" si="78"/>
        <v/>
      </c>
      <c r="R626" t="str">
        <f t="shared" si="73"/>
        <v/>
      </c>
      <c r="S626" s="1" t="str">
        <f t="shared" si="74"/>
        <v/>
      </c>
      <c r="Z626">
        <v>617</v>
      </c>
      <c r="CT626" t="e">
        <v>#N/A</v>
      </c>
      <c r="CU626" t="e">
        <v>#N/A</v>
      </c>
      <c r="CV626" t="e">
        <v>#N/A</v>
      </c>
      <c r="CW626" t="e">
        <v>#N/A</v>
      </c>
      <c r="CX626" t="e">
        <v>#N/A</v>
      </c>
      <c r="CY626" t="e">
        <v>#N/A</v>
      </c>
      <c r="CZ626" t="e">
        <v>#N/A</v>
      </c>
      <c r="DA626" t="e">
        <v>#N/A</v>
      </c>
      <c r="DB626" t="e">
        <v>#N/A</v>
      </c>
      <c r="DC626" t="e">
        <v>#N/A</v>
      </c>
      <c r="DD626" t="e">
        <v>#N/A</v>
      </c>
      <c r="DE626" t="e">
        <v>#N/A</v>
      </c>
      <c r="DF626" t="e">
        <v>#N/A</v>
      </c>
      <c r="DG626" t="e">
        <v>#N/A</v>
      </c>
      <c r="DH626" t="e">
        <v>#N/A</v>
      </c>
      <c r="DI626" t="e">
        <v>#N/A</v>
      </c>
    </row>
    <row r="627" spans="13:113">
      <c r="M627" t="str">
        <f t="shared" si="79"/>
        <v>"//*[@class=\"</v>
      </c>
      <c r="N627" t="str">
        <f t="shared" si="75"/>
        <v/>
      </c>
      <c r="O627" s="4" t="str">
        <f t="shared" si="76"/>
        <v>click</v>
      </c>
      <c r="P627" t="str">
        <f t="shared" si="77"/>
        <v>();</v>
      </c>
      <c r="Q627" t="str">
        <f t="shared" si="78"/>
        <v/>
      </c>
      <c r="R627" t="str">
        <f t="shared" si="73"/>
        <v/>
      </c>
      <c r="S627" s="1" t="str">
        <f t="shared" si="74"/>
        <v/>
      </c>
      <c r="Z627">
        <v>618</v>
      </c>
      <c r="CT627" t="e">
        <v>#N/A</v>
      </c>
      <c r="CU627" t="e">
        <v>#N/A</v>
      </c>
      <c r="CV627" t="e">
        <v>#N/A</v>
      </c>
      <c r="CW627" t="e">
        <v>#N/A</v>
      </c>
      <c r="CX627" t="e">
        <v>#N/A</v>
      </c>
      <c r="CY627" t="e">
        <v>#N/A</v>
      </c>
      <c r="CZ627" t="e">
        <v>#N/A</v>
      </c>
      <c r="DA627" t="e">
        <v>#N/A</v>
      </c>
      <c r="DB627" t="e">
        <v>#N/A</v>
      </c>
      <c r="DC627" t="e">
        <v>#N/A</v>
      </c>
      <c r="DD627" t="e">
        <v>#N/A</v>
      </c>
      <c r="DE627" t="e">
        <v>#N/A</v>
      </c>
      <c r="DF627" t="e">
        <v>#N/A</v>
      </c>
      <c r="DG627" t="e">
        <v>#N/A</v>
      </c>
      <c r="DH627" t="e">
        <v>#N/A</v>
      </c>
      <c r="DI627" t="e">
        <v>#N/A</v>
      </c>
    </row>
    <row r="628" spans="13:113">
      <c r="M628" t="str">
        <f t="shared" si="79"/>
        <v>"//*[@class=\"</v>
      </c>
      <c r="N628" t="str">
        <f t="shared" si="75"/>
        <v/>
      </c>
      <c r="O628" s="4" t="str">
        <f t="shared" si="76"/>
        <v>click</v>
      </c>
      <c r="P628" t="str">
        <f t="shared" si="77"/>
        <v>();</v>
      </c>
      <c r="Q628" t="str">
        <f t="shared" si="78"/>
        <v/>
      </c>
      <c r="R628" t="str">
        <f t="shared" si="73"/>
        <v/>
      </c>
      <c r="S628" s="1" t="str">
        <f t="shared" si="74"/>
        <v/>
      </c>
      <c r="Z628">
        <v>619</v>
      </c>
      <c r="CT628" t="e">
        <v>#N/A</v>
      </c>
      <c r="CU628" t="e">
        <v>#N/A</v>
      </c>
      <c r="CV628" t="e">
        <v>#N/A</v>
      </c>
      <c r="CW628" t="e">
        <v>#N/A</v>
      </c>
      <c r="CX628" t="e">
        <v>#N/A</v>
      </c>
      <c r="CY628" t="e">
        <v>#N/A</v>
      </c>
      <c r="CZ628" t="e">
        <v>#N/A</v>
      </c>
      <c r="DA628" t="e">
        <v>#N/A</v>
      </c>
      <c r="DB628" t="e">
        <v>#N/A</v>
      </c>
      <c r="DC628" t="e">
        <v>#N/A</v>
      </c>
      <c r="DD628" t="e">
        <v>#N/A</v>
      </c>
      <c r="DE628" t="e">
        <v>#N/A</v>
      </c>
      <c r="DF628" t="e">
        <v>#N/A</v>
      </c>
      <c r="DG628" t="e">
        <v>#N/A</v>
      </c>
      <c r="DH628" t="e">
        <v>#N/A</v>
      </c>
      <c r="DI628" t="e">
        <v>#N/A</v>
      </c>
    </row>
    <row r="629" spans="13:113">
      <c r="M629" t="str">
        <f t="shared" si="79"/>
        <v>"//*[@class=\"</v>
      </c>
      <c r="N629" t="str">
        <f t="shared" si="75"/>
        <v/>
      </c>
      <c r="O629" s="4" t="str">
        <f t="shared" si="76"/>
        <v>click</v>
      </c>
      <c r="P629" t="str">
        <f t="shared" si="77"/>
        <v>();</v>
      </c>
      <c r="Q629" t="str">
        <f t="shared" si="78"/>
        <v/>
      </c>
      <c r="R629" t="str">
        <f t="shared" si="73"/>
        <v/>
      </c>
      <c r="S629" s="1" t="str">
        <f t="shared" si="74"/>
        <v/>
      </c>
      <c r="Z629">
        <v>620</v>
      </c>
      <c r="CT629" t="e">
        <v>#N/A</v>
      </c>
      <c r="CU629" t="e">
        <v>#N/A</v>
      </c>
      <c r="CV629" t="e">
        <v>#N/A</v>
      </c>
      <c r="CW629" t="e">
        <v>#N/A</v>
      </c>
      <c r="CX629" t="e">
        <v>#N/A</v>
      </c>
      <c r="CY629" t="e">
        <v>#N/A</v>
      </c>
      <c r="CZ629" t="e">
        <v>#N/A</v>
      </c>
      <c r="DA629" t="e">
        <v>#N/A</v>
      </c>
      <c r="DB629" t="e">
        <v>#N/A</v>
      </c>
      <c r="DC629" t="e">
        <v>#N/A</v>
      </c>
      <c r="DD629" t="e">
        <v>#N/A</v>
      </c>
      <c r="DE629" t="e">
        <v>#N/A</v>
      </c>
      <c r="DF629" t="e">
        <v>#N/A</v>
      </c>
      <c r="DG629" t="e">
        <v>#N/A</v>
      </c>
      <c r="DH629" t="e">
        <v>#N/A</v>
      </c>
      <c r="DI629" t="e">
        <v>#N/A</v>
      </c>
    </row>
    <row r="630" spans="13:113">
      <c r="M630" t="str">
        <f t="shared" si="79"/>
        <v>"//*[@class=\"</v>
      </c>
      <c r="N630" t="str">
        <f t="shared" si="75"/>
        <v/>
      </c>
      <c r="O630" s="4" t="str">
        <f t="shared" si="76"/>
        <v>click</v>
      </c>
      <c r="P630" t="str">
        <f t="shared" si="77"/>
        <v>();</v>
      </c>
      <c r="Q630" t="str">
        <f t="shared" si="78"/>
        <v/>
      </c>
      <c r="R630" t="str">
        <f t="shared" si="73"/>
        <v/>
      </c>
      <c r="S630" s="1" t="str">
        <f t="shared" si="74"/>
        <v/>
      </c>
      <c r="Z630">
        <v>621</v>
      </c>
      <c r="CT630" t="e">
        <v>#N/A</v>
      </c>
      <c r="CU630" t="e">
        <v>#N/A</v>
      </c>
      <c r="CV630" t="e">
        <v>#N/A</v>
      </c>
      <c r="CW630" t="e">
        <v>#N/A</v>
      </c>
      <c r="CX630" t="e">
        <v>#N/A</v>
      </c>
      <c r="CY630" t="e">
        <v>#N/A</v>
      </c>
      <c r="CZ630" t="e">
        <v>#N/A</v>
      </c>
      <c r="DA630" t="e">
        <v>#N/A</v>
      </c>
      <c r="DB630" t="e">
        <v>#N/A</v>
      </c>
      <c r="DC630" t="e">
        <v>#N/A</v>
      </c>
      <c r="DD630" t="e">
        <v>#N/A</v>
      </c>
      <c r="DE630" t="e">
        <v>#N/A</v>
      </c>
      <c r="DF630" t="e">
        <v>#N/A</v>
      </c>
      <c r="DG630" t="e">
        <v>#N/A</v>
      </c>
      <c r="DH630" t="e">
        <v>#N/A</v>
      </c>
      <c r="DI630" t="e">
        <v>#N/A</v>
      </c>
    </row>
    <row r="631" spans="13:113">
      <c r="M631" t="str">
        <f t="shared" si="79"/>
        <v>"//*[@class=\"</v>
      </c>
      <c r="N631" t="str">
        <f t="shared" si="75"/>
        <v/>
      </c>
      <c r="O631" s="4" t="str">
        <f t="shared" si="76"/>
        <v>click</v>
      </c>
      <c r="P631" t="str">
        <f t="shared" si="77"/>
        <v>();</v>
      </c>
      <c r="Q631" t="str">
        <f t="shared" si="78"/>
        <v/>
      </c>
      <c r="R631" t="str">
        <f t="shared" si="73"/>
        <v/>
      </c>
      <c r="S631" s="1" t="str">
        <f t="shared" si="74"/>
        <v/>
      </c>
      <c r="Z631">
        <v>622</v>
      </c>
      <c r="CT631" t="e">
        <v>#N/A</v>
      </c>
      <c r="CU631" t="e">
        <v>#N/A</v>
      </c>
      <c r="CV631" t="e">
        <v>#N/A</v>
      </c>
      <c r="CW631" t="e">
        <v>#N/A</v>
      </c>
      <c r="CX631" t="e">
        <v>#N/A</v>
      </c>
      <c r="CY631" t="e">
        <v>#N/A</v>
      </c>
      <c r="CZ631" t="e">
        <v>#N/A</v>
      </c>
      <c r="DA631" t="e">
        <v>#N/A</v>
      </c>
      <c r="DB631" t="e">
        <v>#N/A</v>
      </c>
      <c r="DC631" t="e">
        <v>#N/A</v>
      </c>
      <c r="DD631" t="e">
        <v>#N/A</v>
      </c>
      <c r="DE631" t="e">
        <v>#N/A</v>
      </c>
      <c r="DF631" t="e">
        <v>#N/A</v>
      </c>
      <c r="DG631" t="e">
        <v>#N/A</v>
      </c>
      <c r="DH631" t="e">
        <v>#N/A</v>
      </c>
      <c r="DI631" t="e">
        <v>#N/A</v>
      </c>
    </row>
    <row r="632" spans="13:113">
      <c r="M632" t="str">
        <f t="shared" si="79"/>
        <v>"//*[@class=\"</v>
      </c>
      <c r="N632" t="str">
        <f t="shared" si="75"/>
        <v/>
      </c>
      <c r="O632" s="4" t="str">
        <f t="shared" si="76"/>
        <v>click</v>
      </c>
      <c r="P632" t="str">
        <f t="shared" si="77"/>
        <v>();</v>
      </c>
      <c r="Q632" t="str">
        <f t="shared" si="78"/>
        <v/>
      </c>
      <c r="R632" t="str">
        <f t="shared" si="73"/>
        <v/>
      </c>
      <c r="S632" s="1" t="str">
        <f t="shared" si="74"/>
        <v/>
      </c>
      <c r="Z632">
        <v>623</v>
      </c>
      <c r="CT632" t="e">
        <v>#N/A</v>
      </c>
      <c r="CU632" t="e">
        <v>#N/A</v>
      </c>
      <c r="CV632" t="e">
        <v>#N/A</v>
      </c>
      <c r="CW632" t="e">
        <v>#N/A</v>
      </c>
      <c r="CX632" t="e">
        <v>#N/A</v>
      </c>
      <c r="CY632" t="e">
        <v>#N/A</v>
      </c>
      <c r="CZ632" t="e">
        <v>#N/A</v>
      </c>
      <c r="DA632" t="e">
        <v>#N/A</v>
      </c>
      <c r="DB632" t="e">
        <v>#N/A</v>
      </c>
      <c r="DC632" t="e">
        <v>#N/A</v>
      </c>
      <c r="DD632" t="e">
        <v>#N/A</v>
      </c>
      <c r="DE632" t="e">
        <v>#N/A</v>
      </c>
      <c r="DF632" t="e">
        <v>#N/A</v>
      </c>
      <c r="DG632" t="e">
        <v>#N/A</v>
      </c>
      <c r="DH632" t="e">
        <v>#N/A</v>
      </c>
      <c r="DI632" t="e">
        <v>#N/A</v>
      </c>
    </row>
    <row r="633" spans="13:113">
      <c r="M633" t="str">
        <f t="shared" si="79"/>
        <v>"//*[@class=\"</v>
      </c>
      <c r="N633" t="str">
        <f t="shared" si="75"/>
        <v/>
      </c>
      <c r="O633" s="4" t="str">
        <f t="shared" si="76"/>
        <v>click</v>
      </c>
      <c r="P633" t="str">
        <f t="shared" si="77"/>
        <v>();</v>
      </c>
      <c r="Q633" t="str">
        <f t="shared" si="78"/>
        <v/>
      </c>
      <c r="R633" t="str">
        <f t="shared" si="73"/>
        <v/>
      </c>
      <c r="S633" s="1" t="str">
        <f t="shared" si="74"/>
        <v/>
      </c>
      <c r="CT633" t="e">
        <v>#N/A</v>
      </c>
      <c r="CU633" t="e">
        <v>#N/A</v>
      </c>
      <c r="CV633" t="e">
        <v>#N/A</v>
      </c>
      <c r="CW633" t="e">
        <v>#N/A</v>
      </c>
      <c r="CX633" t="e">
        <v>#N/A</v>
      </c>
      <c r="CY633" t="e">
        <v>#N/A</v>
      </c>
      <c r="CZ633" t="e">
        <v>#N/A</v>
      </c>
      <c r="DA633" t="e">
        <v>#N/A</v>
      </c>
      <c r="DB633" t="e">
        <v>#N/A</v>
      </c>
      <c r="DC633" t="e">
        <v>#N/A</v>
      </c>
      <c r="DD633" t="e">
        <v>#N/A</v>
      </c>
      <c r="DE633" t="e">
        <v>#N/A</v>
      </c>
      <c r="DF633" t="e">
        <v>#N/A</v>
      </c>
      <c r="DG633" t="e">
        <v>#N/A</v>
      </c>
      <c r="DH633" t="e">
        <v>#N/A</v>
      </c>
      <c r="DI633" t="e">
        <v>#N/A</v>
      </c>
    </row>
    <row r="634" spans="13:113">
      <c r="M634" t="str">
        <f t="shared" si="79"/>
        <v>"//*[@class=\"</v>
      </c>
      <c r="N634" t="str">
        <f t="shared" si="75"/>
        <v/>
      </c>
      <c r="O634" s="4" t="str">
        <f t="shared" si="76"/>
        <v>click</v>
      </c>
      <c r="P634" t="str">
        <f t="shared" si="77"/>
        <v>();</v>
      </c>
      <c r="Q634" t="str">
        <f t="shared" si="78"/>
        <v/>
      </c>
      <c r="R634" t="str">
        <f t="shared" si="73"/>
        <v/>
      </c>
      <c r="S634" s="1" t="str">
        <f t="shared" si="74"/>
        <v/>
      </c>
      <c r="CT634" t="e">
        <v>#N/A</v>
      </c>
      <c r="CU634" t="e">
        <v>#N/A</v>
      </c>
      <c r="CV634" t="e">
        <v>#N/A</v>
      </c>
      <c r="CW634" t="e">
        <v>#N/A</v>
      </c>
      <c r="CX634" t="e">
        <v>#N/A</v>
      </c>
      <c r="CY634" t="e">
        <v>#N/A</v>
      </c>
      <c r="CZ634" t="e">
        <v>#N/A</v>
      </c>
      <c r="DA634" t="e">
        <v>#N/A</v>
      </c>
      <c r="DB634" t="e">
        <v>#N/A</v>
      </c>
      <c r="DC634" t="e">
        <v>#N/A</v>
      </c>
      <c r="DD634" t="e">
        <v>#N/A</v>
      </c>
      <c r="DE634" t="e">
        <v>#N/A</v>
      </c>
      <c r="DF634" t="e">
        <v>#N/A</v>
      </c>
      <c r="DG634" t="e">
        <v>#N/A</v>
      </c>
      <c r="DH634" t="e">
        <v>#N/A</v>
      </c>
      <c r="DI634" t="e">
        <v>#N/A</v>
      </c>
    </row>
    <row r="635" spans="13:113">
      <c r="M635" t="str">
        <f t="shared" si="79"/>
        <v>"//*[@class=\"</v>
      </c>
      <c r="N635" t="str">
        <f t="shared" si="75"/>
        <v/>
      </c>
      <c r="O635" s="4" t="str">
        <f t="shared" si="76"/>
        <v>click</v>
      </c>
      <c r="P635" t="str">
        <f t="shared" si="77"/>
        <v>();</v>
      </c>
      <c r="Q635" t="str">
        <f t="shared" si="78"/>
        <v/>
      </c>
      <c r="R635" t="str">
        <f t="shared" si="73"/>
        <v/>
      </c>
      <c r="S635" s="1" t="str">
        <f t="shared" si="74"/>
        <v/>
      </c>
      <c r="CT635" t="e">
        <v>#N/A</v>
      </c>
      <c r="CU635" t="e">
        <v>#N/A</v>
      </c>
      <c r="CV635" t="e">
        <v>#N/A</v>
      </c>
      <c r="CW635" t="e">
        <v>#N/A</v>
      </c>
      <c r="CX635" t="e">
        <v>#N/A</v>
      </c>
      <c r="CY635" t="e">
        <v>#N/A</v>
      </c>
      <c r="CZ635" t="e">
        <v>#N/A</v>
      </c>
      <c r="DA635" t="e">
        <v>#N/A</v>
      </c>
      <c r="DB635" t="e">
        <v>#N/A</v>
      </c>
      <c r="DC635" t="e">
        <v>#N/A</v>
      </c>
      <c r="DD635" t="e">
        <v>#N/A</v>
      </c>
      <c r="DE635" t="e">
        <v>#N/A</v>
      </c>
      <c r="DF635" t="e">
        <v>#N/A</v>
      </c>
      <c r="DG635" t="e">
        <v>#N/A</v>
      </c>
      <c r="DH635" t="e">
        <v>#N/A</v>
      </c>
      <c r="DI635" t="e">
        <v>#N/A</v>
      </c>
    </row>
    <row r="636" spans="13:113">
      <c r="M636" t="str">
        <f t="shared" si="79"/>
        <v>"//*[@class=\"</v>
      </c>
      <c r="N636" t="str">
        <f t="shared" si="75"/>
        <v/>
      </c>
      <c r="O636" s="4" t="str">
        <f t="shared" si="76"/>
        <v>click</v>
      </c>
      <c r="P636" t="str">
        <f t="shared" si="77"/>
        <v>();</v>
      </c>
      <c r="Q636" t="str">
        <f t="shared" si="78"/>
        <v/>
      </c>
      <c r="R636" t="str">
        <f t="shared" si="73"/>
        <v/>
      </c>
      <c r="S636" s="1" t="str">
        <f t="shared" si="74"/>
        <v/>
      </c>
      <c r="CT636" t="e">
        <v>#N/A</v>
      </c>
      <c r="CU636" t="e">
        <v>#N/A</v>
      </c>
      <c r="CV636" t="e">
        <v>#N/A</v>
      </c>
      <c r="CW636" t="e">
        <v>#N/A</v>
      </c>
      <c r="CX636" t="e">
        <v>#N/A</v>
      </c>
      <c r="CY636" t="e">
        <v>#N/A</v>
      </c>
      <c r="CZ636" t="e">
        <v>#N/A</v>
      </c>
      <c r="DA636" t="e">
        <v>#N/A</v>
      </c>
      <c r="DB636" t="e">
        <v>#N/A</v>
      </c>
      <c r="DC636" t="e">
        <v>#N/A</v>
      </c>
      <c r="DD636" t="e">
        <v>#N/A</v>
      </c>
      <c r="DE636" t="e">
        <v>#N/A</v>
      </c>
      <c r="DF636" t="e">
        <v>#N/A</v>
      </c>
      <c r="DG636" t="e">
        <v>#N/A</v>
      </c>
      <c r="DH636" t="e">
        <v>#N/A</v>
      </c>
      <c r="DI636" t="e">
        <v>#N/A</v>
      </c>
    </row>
    <row r="637" spans="13:113">
      <c r="M637" t="str">
        <f t="shared" si="79"/>
        <v>"//*[@class=\"</v>
      </c>
      <c r="N637" t="str">
        <f t="shared" si="75"/>
        <v/>
      </c>
      <c r="O637" s="4" t="str">
        <f t="shared" si="76"/>
        <v>click</v>
      </c>
      <c r="P637" t="str">
        <f t="shared" si="77"/>
        <v>();</v>
      </c>
      <c r="Q637" t="str">
        <f t="shared" si="78"/>
        <v/>
      </c>
      <c r="R637" t="str">
        <f t="shared" si="73"/>
        <v/>
      </c>
      <c r="S637" s="1" t="str">
        <f t="shared" si="74"/>
        <v/>
      </c>
      <c r="CT637" t="e">
        <v>#N/A</v>
      </c>
      <c r="CU637" t="e">
        <v>#N/A</v>
      </c>
      <c r="CV637" t="e">
        <v>#N/A</v>
      </c>
      <c r="CW637" t="e">
        <v>#N/A</v>
      </c>
      <c r="CX637" t="e">
        <v>#N/A</v>
      </c>
      <c r="CY637" t="e">
        <v>#N/A</v>
      </c>
      <c r="CZ637" t="e">
        <v>#N/A</v>
      </c>
      <c r="DA637" t="e">
        <v>#N/A</v>
      </c>
      <c r="DB637" t="e">
        <v>#N/A</v>
      </c>
      <c r="DC637" t="e">
        <v>#N/A</v>
      </c>
      <c r="DD637" t="e">
        <v>#N/A</v>
      </c>
      <c r="DE637" t="e">
        <v>#N/A</v>
      </c>
      <c r="DF637" t="e">
        <v>#N/A</v>
      </c>
      <c r="DG637" t="e">
        <v>#N/A</v>
      </c>
      <c r="DH637" t="e">
        <v>#N/A</v>
      </c>
      <c r="DI637" t="e">
        <v>#N/A</v>
      </c>
    </row>
    <row r="638" spans="13:113">
      <c r="M638" t="str">
        <f t="shared" si="79"/>
        <v>"//*[@class=\"</v>
      </c>
      <c r="N638" t="str">
        <f t="shared" si="75"/>
        <v/>
      </c>
      <c r="O638" s="4" t="str">
        <f t="shared" si="76"/>
        <v>click</v>
      </c>
      <c r="P638" t="str">
        <f t="shared" si="77"/>
        <v>();</v>
      </c>
      <c r="Q638" t="str">
        <f t="shared" si="78"/>
        <v/>
      </c>
      <c r="R638" t="str">
        <f t="shared" si="73"/>
        <v/>
      </c>
      <c r="S638" s="1" t="str">
        <f t="shared" si="74"/>
        <v/>
      </c>
      <c r="CT638" t="e">
        <v>#N/A</v>
      </c>
      <c r="CU638" t="e">
        <v>#N/A</v>
      </c>
      <c r="CV638" t="e">
        <v>#N/A</v>
      </c>
      <c r="CW638" t="e">
        <v>#N/A</v>
      </c>
      <c r="CX638" t="e">
        <v>#N/A</v>
      </c>
      <c r="CY638" t="e">
        <v>#N/A</v>
      </c>
      <c r="CZ638" t="e">
        <v>#N/A</v>
      </c>
      <c r="DA638" t="e">
        <v>#N/A</v>
      </c>
      <c r="DB638" t="e">
        <v>#N/A</v>
      </c>
      <c r="DC638" t="e">
        <v>#N/A</v>
      </c>
      <c r="DD638" t="e">
        <v>#N/A</v>
      </c>
      <c r="DE638" t="e">
        <v>#N/A</v>
      </c>
      <c r="DF638" t="e">
        <v>#N/A</v>
      </c>
      <c r="DG638" t="e">
        <v>#N/A</v>
      </c>
      <c r="DH638" t="e">
        <v>#N/A</v>
      </c>
      <c r="DI638" t="e">
        <v>#N/A</v>
      </c>
    </row>
    <row r="639" spans="13:113">
      <c r="M639" t="str">
        <f t="shared" si="79"/>
        <v>"//*[@class=\"</v>
      </c>
      <c r="N639" t="str">
        <f t="shared" si="75"/>
        <v/>
      </c>
      <c r="O639" s="4" t="str">
        <f t="shared" si="76"/>
        <v>click</v>
      </c>
      <c r="P639" t="str">
        <f t="shared" si="77"/>
        <v>();</v>
      </c>
      <c r="Q639" t="str">
        <f t="shared" si="78"/>
        <v/>
      </c>
      <c r="R639" t="str">
        <f t="shared" si="73"/>
        <v/>
      </c>
      <c r="S639" s="1" t="str">
        <f t="shared" si="74"/>
        <v/>
      </c>
      <c r="CT639" t="e">
        <v>#N/A</v>
      </c>
      <c r="CU639" t="e">
        <v>#N/A</v>
      </c>
      <c r="CV639" t="e">
        <v>#N/A</v>
      </c>
      <c r="CW639" t="e">
        <v>#N/A</v>
      </c>
      <c r="CX639" t="e">
        <v>#N/A</v>
      </c>
      <c r="CY639" t="e">
        <v>#N/A</v>
      </c>
      <c r="CZ639" t="e">
        <v>#N/A</v>
      </c>
      <c r="DA639" t="e">
        <v>#N/A</v>
      </c>
      <c r="DB639" t="e">
        <v>#N/A</v>
      </c>
      <c r="DC639" t="e">
        <v>#N/A</v>
      </c>
      <c r="DD639" t="e">
        <v>#N/A</v>
      </c>
      <c r="DE639" t="e">
        <v>#N/A</v>
      </c>
      <c r="DF639" t="e">
        <v>#N/A</v>
      </c>
      <c r="DG639" t="e">
        <v>#N/A</v>
      </c>
      <c r="DH639" t="e">
        <v>#N/A</v>
      </c>
      <c r="DI639" t="e">
        <v>#N/A</v>
      </c>
    </row>
    <row r="640" spans="13:113">
      <c r="M640" t="str">
        <f t="shared" si="79"/>
        <v>"//*[@class=\"</v>
      </c>
      <c r="N640" t="str">
        <f t="shared" si="75"/>
        <v/>
      </c>
      <c r="O640" s="4" t="str">
        <f t="shared" si="76"/>
        <v>click</v>
      </c>
      <c r="P640" t="str">
        <f t="shared" si="77"/>
        <v>();</v>
      </c>
      <c r="Q640" t="str">
        <f t="shared" si="78"/>
        <v/>
      </c>
      <c r="R640" t="str">
        <f t="shared" si="73"/>
        <v/>
      </c>
      <c r="S640" s="1" t="str">
        <f t="shared" si="74"/>
        <v/>
      </c>
      <c r="CT640" t="e">
        <v>#N/A</v>
      </c>
      <c r="CU640" t="e">
        <v>#N/A</v>
      </c>
      <c r="CV640" t="e">
        <v>#N/A</v>
      </c>
      <c r="CW640" t="e">
        <v>#N/A</v>
      </c>
      <c r="CX640" t="e">
        <v>#N/A</v>
      </c>
      <c r="CY640" t="e">
        <v>#N/A</v>
      </c>
      <c r="CZ640" t="e">
        <v>#N/A</v>
      </c>
      <c r="DA640" t="e">
        <v>#N/A</v>
      </c>
      <c r="DB640" t="e">
        <v>#N/A</v>
      </c>
      <c r="DC640" t="e">
        <v>#N/A</v>
      </c>
      <c r="DD640" t="e">
        <v>#N/A</v>
      </c>
      <c r="DE640" t="e">
        <v>#N/A</v>
      </c>
      <c r="DF640" t="e">
        <v>#N/A</v>
      </c>
      <c r="DG640" t="e">
        <v>#N/A</v>
      </c>
      <c r="DH640" t="e">
        <v>#N/A</v>
      </c>
      <c r="DI640" t="e">
        <v>#N/A</v>
      </c>
    </row>
    <row r="641" spans="13:113">
      <c r="M641" t="str">
        <f t="shared" si="79"/>
        <v>"//*[@class=\"</v>
      </c>
      <c r="N641" t="str">
        <f t="shared" si="75"/>
        <v/>
      </c>
      <c r="O641" s="4" t="str">
        <f t="shared" si="76"/>
        <v>click</v>
      </c>
      <c r="P641" t="str">
        <f t="shared" si="77"/>
        <v>();</v>
      </c>
      <c r="Q641" t="str">
        <f t="shared" si="78"/>
        <v/>
      </c>
      <c r="R641" t="str">
        <f t="shared" si="73"/>
        <v/>
      </c>
      <c r="S641" s="1" t="str">
        <f t="shared" si="74"/>
        <v/>
      </c>
      <c r="CT641" t="e">
        <v>#N/A</v>
      </c>
      <c r="CU641" t="e">
        <v>#N/A</v>
      </c>
      <c r="CV641" t="e">
        <v>#N/A</v>
      </c>
      <c r="CW641" t="e">
        <v>#N/A</v>
      </c>
      <c r="CX641" t="e">
        <v>#N/A</v>
      </c>
      <c r="CY641" t="e">
        <v>#N/A</v>
      </c>
      <c r="CZ641" t="e">
        <v>#N/A</v>
      </c>
      <c r="DA641" t="e">
        <v>#N/A</v>
      </c>
      <c r="DB641" t="e">
        <v>#N/A</v>
      </c>
      <c r="DC641" t="e">
        <v>#N/A</v>
      </c>
      <c r="DD641" t="e">
        <v>#N/A</v>
      </c>
      <c r="DE641" t="e">
        <v>#N/A</v>
      </c>
      <c r="DF641" t="e">
        <v>#N/A</v>
      </c>
      <c r="DG641" t="e">
        <v>#N/A</v>
      </c>
      <c r="DH641" t="e">
        <v>#N/A</v>
      </c>
      <c r="DI641" t="e">
        <v>#N/A</v>
      </c>
    </row>
    <row r="642" spans="13:113">
      <c r="M642" t="str">
        <f t="shared" si="79"/>
        <v>"//*[@class=\"</v>
      </c>
      <c r="N642" t="str">
        <f t="shared" si="75"/>
        <v/>
      </c>
      <c r="O642" s="4" t="str">
        <f t="shared" si="76"/>
        <v>click</v>
      </c>
      <c r="P642" t="str">
        <f t="shared" si="77"/>
        <v>();</v>
      </c>
      <c r="Q642" t="str">
        <f t="shared" si="78"/>
        <v/>
      </c>
      <c r="R642" t="str">
        <f t="shared" si="73"/>
        <v/>
      </c>
      <c r="S642" s="1" t="str">
        <f t="shared" si="74"/>
        <v/>
      </c>
      <c r="CT642" t="e">
        <v>#N/A</v>
      </c>
      <c r="CU642" t="e">
        <v>#N/A</v>
      </c>
      <c r="CV642" t="e">
        <v>#N/A</v>
      </c>
      <c r="CW642" t="e">
        <v>#N/A</v>
      </c>
      <c r="CX642" t="e">
        <v>#N/A</v>
      </c>
      <c r="CY642" t="e">
        <v>#N/A</v>
      </c>
      <c r="CZ642" t="e">
        <v>#N/A</v>
      </c>
      <c r="DA642" t="e">
        <v>#N/A</v>
      </c>
      <c r="DB642" t="e">
        <v>#N/A</v>
      </c>
      <c r="DC642" t="e">
        <v>#N/A</v>
      </c>
      <c r="DD642" t="e">
        <v>#N/A</v>
      </c>
      <c r="DE642" t="e">
        <v>#N/A</v>
      </c>
      <c r="DF642" t="e">
        <v>#N/A</v>
      </c>
      <c r="DG642" t="e">
        <v>#N/A</v>
      </c>
      <c r="DH642" t="e">
        <v>#N/A</v>
      </c>
      <c r="DI642" t="e">
        <v>#N/A</v>
      </c>
    </row>
    <row r="643" spans="13:113">
      <c r="M643" t="str">
        <f t="shared" si="79"/>
        <v>"//*[@class=\"</v>
      </c>
      <c r="N643" t="str">
        <f t="shared" si="75"/>
        <v/>
      </c>
      <c r="O643" s="4" t="str">
        <f t="shared" si="76"/>
        <v>click</v>
      </c>
      <c r="P643" t="str">
        <f t="shared" si="77"/>
        <v>();</v>
      </c>
      <c r="Q643" t="str">
        <f t="shared" si="78"/>
        <v/>
      </c>
      <c r="R643" t="str">
        <f t="shared" si="73"/>
        <v/>
      </c>
      <c r="S643" s="1" t="str">
        <f t="shared" si="74"/>
        <v/>
      </c>
      <c r="CT643" t="e">
        <v>#N/A</v>
      </c>
      <c r="CU643" t="e">
        <v>#N/A</v>
      </c>
      <c r="CV643" t="e">
        <v>#N/A</v>
      </c>
      <c r="CW643" t="e">
        <v>#N/A</v>
      </c>
      <c r="CX643" t="e">
        <v>#N/A</v>
      </c>
      <c r="CY643" t="e">
        <v>#N/A</v>
      </c>
      <c r="CZ643" t="e">
        <v>#N/A</v>
      </c>
      <c r="DA643" t="e">
        <v>#N/A</v>
      </c>
      <c r="DB643" t="e">
        <v>#N/A</v>
      </c>
      <c r="DC643" t="e">
        <v>#N/A</v>
      </c>
      <c r="DD643" t="e">
        <v>#N/A</v>
      </c>
      <c r="DE643" t="e">
        <v>#N/A</v>
      </c>
      <c r="DF643" t="e">
        <v>#N/A</v>
      </c>
      <c r="DG643" t="e">
        <v>#N/A</v>
      </c>
      <c r="DH643" t="e">
        <v>#N/A</v>
      </c>
      <c r="DI643" t="e">
        <v>#N/A</v>
      </c>
    </row>
    <row r="644" spans="13:113">
      <c r="M644" t="str">
        <f t="shared" si="79"/>
        <v>"//*[@class=\"</v>
      </c>
      <c r="N644" t="str">
        <f t="shared" si="75"/>
        <v/>
      </c>
      <c r="O644" s="4" t="str">
        <f t="shared" si="76"/>
        <v>click</v>
      </c>
      <c r="P644" t="str">
        <f t="shared" si="77"/>
        <v>();</v>
      </c>
      <c r="Q644" t="str">
        <f t="shared" si="78"/>
        <v/>
      </c>
      <c r="R644" t="str">
        <f t="shared" si="73"/>
        <v/>
      </c>
      <c r="S644" s="1" t="str">
        <f t="shared" si="74"/>
        <v/>
      </c>
      <c r="CT644" t="e">
        <v>#N/A</v>
      </c>
      <c r="CU644" t="e">
        <v>#N/A</v>
      </c>
      <c r="CV644" t="e">
        <v>#N/A</v>
      </c>
      <c r="CW644" t="e">
        <v>#N/A</v>
      </c>
      <c r="CX644" t="e">
        <v>#N/A</v>
      </c>
      <c r="CY644" t="e">
        <v>#N/A</v>
      </c>
      <c r="CZ644" t="e">
        <v>#N/A</v>
      </c>
      <c r="DA644" t="e">
        <v>#N/A</v>
      </c>
      <c r="DB644" t="e">
        <v>#N/A</v>
      </c>
      <c r="DC644" t="e">
        <v>#N/A</v>
      </c>
      <c r="DD644" t="e">
        <v>#N/A</v>
      </c>
      <c r="DE644" t="e">
        <v>#N/A</v>
      </c>
      <c r="DF644" t="e">
        <v>#N/A</v>
      </c>
      <c r="DG644" t="e">
        <v>#N/A</v>
      </c>
      <c r="DH644" t="e">
        <v>#N/A</v>
      </c>
      <c r="DI644" t="e">
        <v>#N/A</v>
      </c>
    </row>
    <row r="645" spans="13:113">
      <c r="M645" t="str">
        <f t="shared" si="79"/>
        <v>"//*[@class=\"</v>
      </c>
      <c r="N645" t="str">
        <f t="shared" si="75"/>
        <v/>
      </c>
      <c r="O645" s="4" t="str">
        <f t="shared" si="76"/>
        <v>click</v>
      </c>
      <c r="P645" t="str">
        <f t="shared" si="77"/>
        <v>();</v>
      </c>
      <c r="Q645" t="str">
        <f t="shared" si="78"/>
        <v/>
      </c>
      <c r="R645" t="str">
        <f t="shared" si="73"/>
        <v/>
      </c>
      <c r="S645" s="1" t="str">
        <f t="shared" si="74"/>
        <v/>
      </c>
      <c r="CT645" t="e">
        <v>#N/A</v>
      </c>
      <c r="CU645" t="e">
        <v>#N/A</v>
      </c>
      <c r="CV645" t="e">
        <v>#N/A</v>
      </c>
      <c r="CW645" t="e">
        <v>#N/A</v>
      </c>
      <c r="CX645" t="e">
        <v>#N/A</v>
      </c>
      <c r="CY645" t="e">
        <v>#N/A</v>
      </c>
      <c r="CZ645" t="e">
        <v>#N/A</v>
      </c>
      <c r="DA645" t="e">
        <v>#N/A</v>
      </c>
      <c r="DB645" t="e">
        <v>#N/A</v>
      </c>
      <c r="DC645" t="e">
        <v>#N/A</v>
      </c>
      <c r="DD645" t="e">
        <v>#N/A</v>
      </c>
      <c r="DE645" t="e">
        <v>#N/A</v>
      </c>
      <c r="DF645" t="e">
        <v>#N/A</v>
      </c>
      <c r="DG645" t="e">
        <v>#N/A</v>
      </c>
      <c r="DH645" t="e">
        <v>#N/A</v>
      </c>
      <c r="DI645" t="e">
        <v>#N/A</v>
      </c>
    </row>
    <row r="646" spans="13:113">
      <c r="M646" t="str">
        <f t="shared" si="79"/>
        <v>"//*[@class=\"</v>
      </c>
      <c r="N646" t="str">
        <f t="shared" si="75"/>
        <v/>
      </c>
      <c r="O646" s="4" t="str">
        <f t="shared" si="76"/>
        <v>click</v>
      </c>
      <c r="P646" t="str">
        <f t="shared" si="77"/>
        <v>();</v>
      </c>
      <c r="Q646" t="str">
        <f t="shared" si="78"/>
        <v/>
      </c>
      <c r="R646" t="str">
        <f t="shared" si="73"/>
        <v/>
      </c>
      <c r="S646" s="1" t="str">
        <f t="shared" si="74"/>
        <v/>
      </c>
      <c r="CT646" t="e">
        <v>#N/A</v>
      </c>
      <c r="CU646" t="e">
        <v>#N/A</v>
      </c>
      <c r="CV646" t="e">
        <v>#N/A</v>
      </c>
      <c r="CW646" t="e">
        <v>#N/A</v>
      </c>
      <c r="CX646" t="e">
        <v>#N/A</v>
      </c>
      <c r="CY646" t="e">
        <v>#N/A</v>
      </c>
      <c r="CZ646" t="e">
        <v>#N/A</v>
      </c>
      <c r="DA646" t="e">
        <v>#N/A</v>
      </c>
      <c r="DB646" t="e">
        <v>#N/A</v>
      </c>
      <c r="DC646" t="e">
        <v>#N/A</v>
      </c>
      <c r="DD646" t="e">
        <v>#N/A</v>
      </c>
      <c r="DE646" t="e">
        <v>#N/A</v>
      </c>
      <c r="DF646" t="e">
        <v>#N/A</v>
      </c>
      <c r="DG646" t="e">
        <v>#N/A</v>
      </c>
      <c r="DH646" t="e">
        <v>#N/A</v>
      </c>
      <c r="DI646" t="e">
        <v>#N/A</v>
      </c>
    </row>
    <row r="647" spans="13:113">
      <c r="M647" t="str">
        <f t="shared" si="79"/>
        <v>"//*[@class=\"</v>
      </c>
      <c r="N647" t="str">
        <f t="shared" si="75"/>
        <v/>
      </c>
      <c r="O647" s="4" t="str">
        <f t="shared" si="76"/>
        <v>click</v>
      </c>
      <c r="P647" t="str">
        <f t="shared" si="77"/>
        <v>();</v>
      </c>
      <c r="Q647" t="str">
        <f t="shared" si="78"/>
        <v/>
      </c>
      <c r="R647" t="str">
        <f t="shared" si="73"/>
        <v/>
      </c>
      <c r="S647" s="1" t="str">
        <f t="shared" si="74"/>
        <v/>
      </c>
      <c r="CT647" t="e">
        <v>#N/A</v>
      </c>
      <c r="CU647" t="e">
        <v>#N/A</v>
      </c>
      <c r="CV647" t="e">
        <v>#N/A</v>
      </c>
      <c r="CW647" t="e">
        <v>#N/A</v>
      </c>
      <c r="CX647" t="e">
        <v>#N/A</v>
      </c>
      <c r="CY647" t="e">
        <v>#N/A</v>
      </c>
      <c r="CZ647" t="e">
        <v>#N/A</v>
      </c>
      <c r="DA647" t="e">
        <v>#N/A</v>
      </c>
      <c r="DB647" t="e">
        <v>#N/A</v>
      </c>
      <c r="DC647" t="e">
        <v>#N/A</v>
      </c>
      <c r="DD647" t="e">
        <v>#N/A</v>
      </c>
      <c r="DE647" t="e">
        <v>#N/A</v>
      </c>
      <c r="DF647" t="e">
        <v>#N/A</v>
      </c>
      <c r="DG647" t="e">
        <v>#N/A</v>
      </c>
      <c r="DH647" t="e">
        <v>#N/A</v>
      </c>
      <c r="DI647" t="e">
        <v>#N/A</v>
      </c>
    </row>
    <row r="648" spans="13:113">
      <c r="M648" t="str">
        <f t="shared" si="79"/>
        <v>"//*[@class=\"</v>
      </c>
      <c r="N648" t="str">
        <f t="shared" si="75"/>
        <v/>
      </c>
      <c r="O648" s="4" t="str">
        <f t="shared" si="76"/>
        <v>click</v>
      </c>
      <c r="P648" t="str">
        <f t="shared" si="77"/>
        <v>();</v>
      </c>
      <c r="Q648" t="str">
        <f t="shared" si="78"/>
        <v/>
      </c>
      <c r="R648" t="str">
        <f t="shared" si="73"/>
        <v/>
      </c>
      <c r="S648" s="1" t="str">
        <f t="shared" si="74"/>
        <v/>
      </c>
      <c r="CT648" t="e">
        <v>#N/A</v>
      </c>
      <c r="CU648" t="e">
        <v>#N/A</v>
      </c>
      <c r="CV648" t="e">
        <v>#N/A</v>
      </c>
      <c r="CW648" t="e">
        <v>#N/A</v>
      </c>
      <c r="CX648" t="e">
        <v>#N/A</v>
      </c>
      <c r="CY648" t="e">
        <v>#N/A</v>
      </c>
      <c r="CZ648" t="e">
        <v>#N/A</v>
      </c>
      <c r="DA648" t="e">
        <v>#N/A</v>
      </c>
      <c r="DB648" t="e">
        <v>#N/A</v>
      </c>
      <c r="DC648" t="e">
        <v>#N/A</v>
      </c>
      <c r="DD648" t="e">
        <v>#N/A</v>
      </c>
      <c r="DE648" t="e">
        <v>#N/A</v>
      </c>
      <c r="DF648" t="e">
        <v>#N/A</v>
      </c>
      <c r="DG648" t="e">
        <v>#N/A</v>
      </c>
      <c r="DH648" t="e">
        <v>#N/A</v>
      </c>
      <c r="DI648" t="e">
        <v>#N/A</v>
      </c>
    </row>
    <row r="649" spans="13:113">
      <c r="M649" t="str">
        <f t="shared" ref="M649:M712" si="80">IF(H649="id",""""&amp;"//*[@id=\"&amp;"""",""""&amp;"//*[@class=\"&amp;"""")</f>
        <v>"//*[@class=\"</v>
      </c>
      <c r="N649" t="str">
        <f t="shared" si="75"/>
        <v/>
      </c>
      <c r="O649" s="4" t="str">
        <f t="shared" si="76"/>
        <v>click</v>
      </c>
      <c r="P649" t="str">
        <f t="shared" si="77"/>
        <v>();</v>
      </c>
      <c r="Q649" t="str">
        <f t="shared" si="78"/>
        <v/>
      </c>
      <c r="R649" t="str">
        <f t="shared" ref="R649" si="81">SUBSTITUTE(IF(C649="Y",""""&amp;E649&amp;""""&amp;":"&amp;Q649&amp;"","")," ","")</f>
        <v/>
      </c>
      <c r="S649" s="1" t="str">
        <f t="shared" si="74"/>
        <v/>
      </c>
      <c r="CT649" t="e">
        <v>#N/A</v>
      </c>
      <c r="CU649" t="e">
        <v>#N/A</v>
      </c>
      <c r="CV649" t="e">
        <v>#N/A</v>
      </c>
      <c r="CW649" t="e">
        <v>#N/A</v>
      </c>
      <c r="CX649" t="e">
        <v>#N/A</v>
      </c>
      <c r="CY649" t="e">
        <v>#N/A</v>
      </c>
      <c r="CZ649" t="e">
        <v>#N/A</v>
      </c>
      <c r="DA649" t="e">
        <v>#N/A</v>
      </c>
      <c r="DB649" t="e">
        <v>#N/A</v>
      </c>
      <c r="DC649" t="e">
        <v>#N/A</v>
      </c>
      <c r="DD649" t="e">
        <v>#N/A</v>
      </c>
      <c r="DE649" t="e">
        <v>#N/A</v>
      </c>
      <c r="DF649" t="e">
        <v>#N/A</v>
      </c>
      <c r="DG649" t="e">
        <v>#N/A</v>
      </c>
      <c r="DH649" t="e">
        <v>#N/A</v>
      </c>
      <c r="DI649" t="e">
        <v>#N/A</v>
      </c>
    </row>
    <row r="650" spans="13:113">
      <c r="M650" t="str">
        <f t="shared" si="80"/>
        <v>"//*[@class=\"</v>
      </c>
      <c r="N650" t="str">
        <f t="shared" si="75"/>
        <v/>
      </c>
      <c r="O650" s="4" t="str">
        <f t="shared" si="76"/>
        <v>click</v>
      </c>
      <c r="P650" t="str">
        <f t="shared" si="77"/>
        <v>();</v>
      </c>
      <c r="Q650" t="str">
        <f t="shared" si="78"/>
        <v/>
      </c>
      <c r="R650" t="str">
        <f t="shared" ref="R650:R712" si="82">IF(C650="Y",""""&amp;E650&amp;""""&amp;":"&amp;Q650&amp;"","")</f>
        <v/>
      </c>
      <c r="S650" s="1" t="str">
        <f t="shared" si="74"/>
        <v/>
      </c>
      <c r="CT650" t="e">
        <v>#N/A</v>
      </c>
      <c r="CU650" t="e">
        <v>#N/A</v>
      </c>
      <c r="CV650" t="e">
        <v>#N/A</v>
      </c>
      <c r="CW650" t="e">
        <v>#N/A</v>
      </c>
      <c r="CX650" t="e">
        <v>#N/A</v>
      </c>
      <c r="CY650" t="e">
        <v>#N/A</v>
      </c>
      <c r="CZ650" t="e">
        <v>#N/A</v>
      </c>
      <c r="DA650" t="e">
        <v>#N/A</v>
      </c>
      <c r="DB650" t="e">
        <v>#N/A</v>
      </c>
      <c r="DC650" t="e">
        <v>#N/A</v>
      </c>
      <c r="DD650" t="e">
        <v>#N/A</v>
      </c>
      <c r="DE650" t="e">
        <v>#N/A</v>
      </c>
      <c r="DF650" t="e">
        <v>#N/A</v>
      </c>
      <c r="DG650" t="e">
        <v>#N/A</v>
      </c>
      <c r="DH650" t="e">
        <v>#N/A</v>
      </c>
      <c r="DI650" t="e">
        <v>#N/A</v>
      </c>
    </row>
    <row r="651" spans="13:113">
      <c r="M651" t="str">
        <f t="shared" si="80"/>
        <v>"//*[@class=\"</v>
      </c>
      <c r="N651" t="str">
        <f t="shared" si="75"/>
        <v/>
      </c>
      <c r="O651" s="4" t="str">
        <f t="shared" si="76"/>
        <v>click</v>
      </c>
      <c r="P651" t="str">
        <f t="shared" si="77"/>
        <v>();</v>
      </c>
      <c r="Q651" t="str">
        <f t="shared" si="78"/>
        <v/>
      </c>
      <c r="R651" t="str">
        <f t="shared" si="82"/>
        <v/>
      </c>
      <c r="S651" s="1" t="str">
        <f t="shared" ref="S651:S714" si="83">IF(C651="Y",IF(D651&lt;&gt;"mat-select",IF(D651="End","",IF(O651="innerText",I651&amp;"="&amp;IF(C651="Y",IF(J651&lt;&gt;"Y",$S$8&amp;$R$9&amp;"."&amp;E651&amp;")."&amp;IF(OR(O651="click",O651="innerText"),O651&amp;"();",O651&amp;"("&amp;$Q$8&amp;"."&amp;E651&amp;");"),$S$7&amp;$R$9&amp;"."&amp;SUBSTITUTE(E651," ","")&amp;")."&amp;IF(O651="click",O651&amp;"();",O651&amp;"("&amp;"'"&amp;K651&amp;"'"&amp;");")),""),IF(C651="Y",IF(J651&lt;&gt;"Y",$S$8&amp;$R$9&amp;"."&amp;SUBSTITUTE(E651," ","")&amp;")."&amp;IF(OR(O651="click",O651="innerText"),O651&amp;"();",O651&amp;"("&amp;$Q$8&amp;"."&amp;SUBSTITUTE(E651," ","")&amp;");"),$S$7&amp;$R$9&amp;"."&amp;SUBSTITUTE(E651," ","")&amp;")."&amp;IF(O651="click",O651&amp;"();",O651&amp;"("&amp;"'"&amp;K651&amp;"'"&amp;");")),""))),"let form"&amp;Z651&amp;": String;"&amp;"for (let i = 1; i &lt; 30; i++) {"&amp;$S$8&amp;$R$9&amp;"."&amp;SUBSTITUTE(E651," ","")&amp;").click();"&amp;$CE$4&amp; "form"&amp;Z651&amp;"="&amp; $S$8&amp;$R$9&amp;"."&amp;SUBSTITUTE(E651," ","")&amp;").innerText();" &amp;"if ("&amp;"form"&amp;Z651&amp;"=="&amp; "Data[index]."&amp;SUBSTITUTE(E651," ","") &amp;"){"&amp;$CE$7),"")</f>
        <v/>
      </c>
      <c r="CT651" t="e">
        <v>#N/A</v>
      </c>
      <c r="CU651" t="e">
        <v>#N/A</v>
      </c>
      <c r="CV651" t="e">
        <v>#N/A</v>
      </c>
      <c r="CW651" t="e">
        <v>#N/A</v>
      </c>
      <c r="CX651" t="e">
        <v>#N/A</v>
      </c>
      <c r="CY651" t="e">
        <v>#N/A</v>
      </c>
      <c r="CZ651" t="e">
        <v>#N/A</v>
      </c>
      <c r="DA651" t="e">
        <v>#N/A</v>
      </c>
      <c r="DB651" t="e">
        <v>#N/A</v>
      </c>
      <c r="DC651" t="e">
        <v>#N/A</v>
      </c>
      <c r="DD651" t="e">
        <v>#N/A</v>
      </c>
      <c r="DE651" t="e">
        <v>#N/A</v>
      </c>
      <c r="DF651" t="e">
        <v>#N/A</v>
      </c>
      <c r="DG651" t="e">
        <v>#N/A</v>
      </c>
      <c r="DH651" t="e">
        <v>#N/A</v>
      </c>
      <c r="DI651" t="e">
        <v>#N/A</v>
      </c>
    </row>
    <row r="652" spans="13:113">
      <c r="M652" t="str">
        <f t="shared" si="80"/>
        <v>"//*[@class=\"</v>
      </c>
      <c r="N652" t="str">
        <f t="shared" si="75"/>
        <v/>
      </c>
      <c r="O652" s="4" t="str">
        <f t="shared" si="76"/>
        <v>click</v>
      </c>
      <c r="P652" t="str">
        <f t="shared" si="77"/>
        <v>();</v>
      </c>
      <c r="Q652" t="str">
        <f t="shared" si="78"/>
        <v/>
      </c>
      <c r="R652" t="str">
        <f t="shared" si="82"/>
        <v/>
      </c>
      <c r="S652" s="1" t="str">
        <f t="shared" si="83"/>
        <v/>
      </c>
      <c r="CT652" t="e">
        <v>#N/A</v>
      </c>
      <c r="CU652" t="e">
        <v>#N/A</v>
      </c>
      <c r="CV652" t="e">
        <v>#N/A</v>
      </c>
      <c r="CW652" t="e">
        <v>#N/A</v>
      </c>
      <c r="CX652" t="e">
        <v>#N/A</v>
      </c>
      <c r="CY652" t="e">
        <v>#N/A</v>
      </c>
      <c r="CZ652" t="e">
        <v>#N/A</v>
      </c>
      <c r="DA652" t="e">
        <v>#N/A</v>
      </c>
      <c r="DB652" t="e">
        <v>#N/A</v>
      </c>
      <c r="DC652" t="e">
        <v>#N/A</v>
      </c>
      <c r="DD652" t="e">
        <v>#N/A</v>
      </c>
      <c r="DE652" t="e">
        <v>#N/A</v>
      </c>
      <c r="DF652" t="e">
        <v>#N/A</v>
      </c>
      <c r="DG652" t="e">
        <v>#N/A</v>
      </c>
      <c r="DH652" t="e">
        <v>#N/A</v>
      </c>
      <c r="DI652" t="e">
        <v>#N/A</v>
      </c>
    </row>
    <row r="653" spans="13:113">
      <c r="M653" t="str">
        <f t="shared" si="80"/>
        <v>"//*[@class=\"</v>
      </c>
      <c r="N653" t="str">
        <f t="shared" si="75"/>
        <v/>
      </c>
      <c r="O653" s="4" t="str">
        <f t="shared" si="76"/>
        <v>click</v>
      </c>
      <c r="P653" t="str">
        <f t="shared" si="77"/>
        <v>();</v>
      </c>
      <c r="Q653" t="str">
        <f t="shared" si="78"/>
        <v/>
      </c>
      <c r="R653" t="str">
        <f t="shared" si="82"/>
        <v/>
      </c>
      <c r="S653" s="1" t="str">
        <f t="shared" si="83"/>
        <v/>
      </c>
      <c r="CT653" t="e">
        <v>#N/A</v>
      </c>
      <c r="CU653" t="e">
        <v>#N/A</v>
      </c>
      <c r="CV653" t="e">
        <v>#N/A</v>
      </c>
      <c r="CW653" t="e">
        <v>#N/A</v>
      </c>
      <c r="CX653" t="e">
        <v>#N/A</v>
      </c>
      <c r="CY653" t="e">
        <v>#N/A</v>
      </c>
      <c r="CZ653" t="e">
        <v>#N/A</v>
      </c>
      <c r="DA653" t="e">
        <v>#N/A</v>
      </c>
      <c r="DB653" t="e">
        <v>#N/A</v>
      </c>
      <c r="DC653" t="e">
        <v>#N/A</v>
      </c>
      <c r="DD653" t="e">
        <v>#N/A</v>
      </c>
      <c r="DE653" t="e">
        <v>#N/A</v>
      </c>
      <c r="DF653" t="e">
        <v>#N/A</v>
      </c>
      <c r="DG653" t="e">
        <v>#N/A</v>
      </c>
      <c r="DH653" t="e">
        <v>#N/A</v>
      </c>
      <c r="DI653" t="e">
        <v>#N/A</v>
      </c>
    </row>
    <row r="654" spans="13:113">
      <c r="M654" t="str">
        <f t="shared" si="80"/>
        <v>"//*[@class=\"</v>
      </c>
      <c r="N654" t="str">
        <f t="shared" si="75"/>
        <v/>
      </c>
      <c r="O654" s="4" t="str">
        <f t="shared" si="76"/>
        <v>click</v>
      </c>
      <c r="P654" t="str">
        <f t="shared" si="77"/>
        <v>();</v>
      </c>
      <c r="Q654" t="str">
        <f t="shared" si="78"/>
        <v/>
      </c>
      <c r="R654" t="str">
        <f t="shared" si="82"/>
        <v/>
      </c>
      <c r="S654" s="1" t="str">
        <f t="shared" si="83"/>
        <v/>
      </c>
      <c r="CT654" t="e">
        <v>#N/A</v>
      </c>
      <c r="CU654" t="e">
        <v>#N/A</v>
      </c>
      <c r="CV654" t="e">
        <v>#N/A</v>
      </c>
      <c r="CW654" t="e">
        <v>#N/A</v>
      </c>
      <c r="CX654" t="e">
        <v>#N/A</v>
      </c>
      <c r="CY654" t="e">
        <v>#N/A</v>
      </c>
      <c r="CZ654" t="e">
        <v>#N/A</v>
      </c>
      <c r="DA654" t="e">
        <v>#N/A</v>
      </c>
      <c r="DB654" t="e">
        <v>#N/A</v>
      </c>
      <c r="DC654" t="e">
        <v>#N/A</v>
      </c>
      <c r="DD654" t="e">
        <v>#N/A</v>
      </c>
      <c r="DE654" t="e">
        <v>#N/A</v>
      </c>
      <c r="DF654" t="e">
        <v>#N/A</v>
      </c>
      <c r="DG654" t="e">
        <v>#N/A</v>
      </c>
      <c r="DH654" t="e">
        <v>#N/A</v>
      </c>
      <c r="DI654" t="e">
        <v>#N/A</v>
      </c>
    </row>
    <row r="655" spans="13:113">
      <c r="M655" t="str">
        <f t="shared" si="80"/>
        <v>"//*[@class=\"</v>
      </c>
      <c r="N655" t="str">
        <f t="shared" si="75"/>
        <v/>
      </c>
      <c r="O655" s="4" t="str">
        <f t="shared" si="76"/>
        <v>click</v>
      </c>
      <c r="P655" t="str">
        <f t="shared" si="77"/>
        <v>();</v>
      </c>
      <c r="Q655" t="str">
        <f t="shared" si="78"/>
        <v/>
      </c>
      <c r="R655" t="str">
        <f t="shared" si="82"/>
        <v/>
      </c>
      <c r="S655" s="1" t="str">
        <f t="shared" si="83"/>
        <v/>
      </c>
      <c r="CT655" t="e">
        <v>#N/A</v>
      </c>
      <c r="CU655" t="e">
        <v>#N/A</v>
      </c>
      <c r="CV655" t="e">
        <v>#N/A</v>
      </c>
      <c r="CW655" t="e">
        <v>#N/A</v>
      </c>
      <c r="CX655" t="e">
        <v>#N/A</v>
      </c>
      <c r="CY655" t="e">
        <v>#N/A</v>
      </c>
      <c r="CZ655" t="e">
        <v>#N/A</v>
      </c>
      <c r="DA655" t="e">
        <v>#N/A</v>
      </c>
      <c r="DB655" t="e">
        <v>#N/A</v>
      </c>
      <c r="DC655" t="e">
        <v>#N/A</v>
      </c>
      <c r="DD655" t="e">
        <v>#N/A</v>
      </c>
      <c r="DE655" t="e">
        <v>#N/A</v>
      </c>
      <c r="DF655" t="e">
        <v>#N/A</v>
      </c>
      <c r="DG655" t="e">
        <v>#N/A</v>
      </c>
      <c r="DH655" t="e">
        <v>#N/A</v>
      </c>
      <c r="DI655" t="e">
        <v>#N/A</v>
      </c>
    </row>
    <row r="656" spans="13:113">
      <c r="M656" t="str">
        <f t="shared" si="80"/>
        <v>"//*[@class=\"</v>
      </c>
      <c r="N656" t="str">
        <f t="shared" si="75"/>
        <v/>
      </c>
      <c r="O656" s="4" t="str">
        <f t="shared" si="76"/>
        <v>click</v>
      </c>
      <c r="P656" t="str">
        <f t="shared" si="77"/>
        <v>();</v>
      </c>
      <c r="Q656" t="str">
        <f t="shared" si="78"/>
        <v/>
      </c>
      <c r="R656" t="str">
        <f t="shared" si="82"/>
        <v/>
      </c>
      <c r="S656" s="1" t="str">
        <f t="shared" si="83"/>
        <v/>
      </c>
      <c r="CT656" t="e">
        <v>#N/A</v>
      </c>
      <c r="CU656" t="e">
        <v>#N/A</v>
      </c>
      <c r="CV656" t="e">
        <v>#N/A</v>
      </c>
      <c r="CW656" t="e">
        <v>#N/A</v>
      </c>
      <c r="CX656" t="e">
        <v>#N/A</v>
      </c>
      <c r="CY656" t="e">
        <v>#N/A</v>
      </c>
      <c r="CZ656" t="e">
        <v>#N/A</v>
      </c>
      <c r="DA656" t="e">
        <v>#N/A</v>
      </c>
      <c r="DB656" t="e">
        <v>#N/A</v>
      </c>
      <c r="DC656" t="e">
        <v>#N/A</v>
      </c>
      <c r="DD656" t="e">
        <v>#N/A</v>
      </c>
      <c r="DE656" t="e">
        <v>#N/A</v>
      </c>
      <c r="DF656" t="e">
        <v>#N/A</v>
      </c>
      <c r="DG656" t="e">
        <v>#N/A</v>
      </c>
      <c r="DH656" t="e">
        <v>#N/A</v>
      </c>
      <c r="DI656" t="e">
        <v>#N/A</v>
      </c>
    </row>
    <row r="657" spans="13:113">
      <c r="M657" t="str">
        <f t="shared" si="80"/>
        <v>"//*[@class=\"</v>
      </c>
      <c r="N657" t="str">
        <f t="shared" si="75"/>
        <v/>
      </c>
      <c r="O657" s="4" t="str">
        <f t="shared" si="76"/>
        <v>click</v>
      </c>
      <c r="P657" t="str">
        <f t="shared" si="77"/>
        <v>();</v>
      </c>
      <c r="Q657" t="str">
        <f t="shared" si="78"/>
        <v/>
      </c>
      <c r="R657" t="str">
        <f t="shared" si="82"/>
        <v/>
      </c>
      <c r="S657" s="1" t="str">
        <f t="shared" si="83"/>
        <v/>
      </c>
      <c r="CT657" t="e">
        <v>#N/A</v>
      </c>
      <c r="CU657" t="e">
        <v>#N/A</v>
      </c>
      <c r="CV657" t="e">
        <v>#N/A</v>
      </c>
      <c r="CW657" t="e">
        <v>#N/A</v>
      </c>
      <c r="CX657" t="e">
        <v>#N/A</v>
      </c>
      <c r="CY657" t="e">
        <v>#N/A</v>
      </c>
      <c r="CZ657" t="e">
        <v>#N/A</v>
      </c>
      <c r="DA657" t="e">
        <v>#N/A</v>
      </c>
      <c r="DB657" t="e">
        <v>#N/A</v>
      </c>
      <c r="DC657" t="e">
        <v>#N/A</v>
      </c>
      <c r="DD657" t="e">
        <v>#N/A</v>
      </c>
      <c r="DE657" t="e">
        <v>#N/A</v>
      </c>
      <c r="DF657" t="e">
        <v>#N/A</v>
      </c>
      <c r="DG657" t="e">
        <v>#N/A</v>
      </c>
      <c r="DH657" t="e">
        <v>#N/A</v>
      </c>
      <c r="DI657" t="e">
        <v>#N/A</v>
      </c>
    </row>
    <row r="658" spans="13:113">
      <c r="M658" t="str">
        <f t="shared" si="80"/>
        <v>"//*[@class=\"</v>
      </c>
      <c r="N658" t="str">
        <f t="shared" si="75"/>
        <v/>
      </c>
      <c r="O658" s="4" t="str">
        <f t="shared" si="76"/>
        <v>click</v>
      </c>
      <c r="P658" t="str">
        <f t="shared" si="77"/>
        <v>();</v>
      </c>
      <c r="Q658" t="str">
        <f t="shared" si="78"/>
        <v/>
      </c>
      <c r="R658" t="str">
        <f t="shared" si="82"/>
        <v/>
      </c>
      <c r="S658" s="1" t="str">
        <f t="shared" si="83"/>
        <v/>
      </c>
      <c r="CT658" t="e">
        <v>#N/A</v>
      </c>
      <c r="CU658" t="e">
        <v>#N/A</v>
      </c>
      <c r="CV658" t="e">
        <v>#N/A</v>
      </c>
      <c r="CW658" t="e">
        <v>#N/A</v>
      </c>
      <c r="CX658" t="e">
        <v>#N/A</v>
      </c>
      <c r="CY658" t="e">
        <v>#N/A</v>
      </c>
      <c r="CZ658" t="e">
        <v>#N/A</v>
      </c>
      <c r="DA658" t="e">
        <v>#N/A</v>
      </c>
      <c r="DB658" t="e">
        <v>#N/A</v>
      </c>
      <c r="DC658" t="e">
        <v>#N/A</v>
      </c>
      <c r="DD658" t="e">
        <v>#N/A</v>
      </c>
      <c r="DE658" t="e">
        <v>#N/A</v>
      </c>
      <c r="DF658" t="e">
        <v>#N/A</v>
      </c>
      <c r="DG658" t="e">
        <v>#N/A</v>
      </c>
      <c r="DH658" t="e">
        <v>#N/A</v>
      </c>
      <c r="DI658" t="e">
        <v>#N/A</v>
      </c>
    </row>
    <row r="659" spans="13:113">
      <c r="M659" t="str">
        <f t="shared" si="80"/>
        <v>"//*[@class=\"</v>
      </c>
      <c r="N659" t="str">
        <f t="shared" si="75"/>
        <v/>
      </c>
      <c r="O659" s="4" t="str">
        <f t="shared" si="76"/>
        <v>click</v>
      </c>
      <c r="P659" t="str">
        <f t="shared" si="77"/>
        <v>();</v>
      </c>
      <c r="Q659" t="str">
        <f t="shared" si="78"/>
        <v/>
      </c>
      <c r="R659" t="str">
        <f t="shared" si="82"/>
        <v/>
      </c>
      <c r="S659" s="1" t="str">
        <f t="shared" si="83"/>
        <v/>
      </c>
      <c r="CT659" t="e">
        <v>#N/A</v>
      </c>
      <c r="CU659" t="e">
        <v>#N/A</v>
      </c>
      <c r="CV659" t="e">
        <v>#N/A</v>
      </c>
      <c r="CW659" t="e">
        <v>#N/A</v>
      </c>
      <c r="CX659" t="e">
        <v>#N/A</v>
      </c>
      <c r="CY659" t="e">
        <v>#N/A</v>
      </c>
      <c r="CZ659" t="e">
        <v>#N/A</v>
      </c>
      <c r="DA659" t="e">
        <v>#N/A</v>
      </c>
      <c r="DB659" t="e">
        <v>#N/A</v>
      </c>
      <c r="DC659" t="e">
        <v>#N/A</v>
      </c>
      <c r="DD659" t="e">
        <v>#N/A</v>
      </c>
      <c r="DE659" t="e">
        <v>#N/A</v>
      </c>
      <c r="DF659" t="e">
        <v>#N/A</v>
      </c>
      <c r="DG659" t="e">
        <v>#N/A</v>
      </c>
      <c r="DH659" t="e">
        <v>#N/A</v>
      </c>
      <c r="DI659" t="e">
        <v>#N/A</v>
      </c>
    </row>
    <row r="660" spans="13:113">
      <c r="M660" t="str">
        <f t="shared" si="80"/>
        <v>"//*[@class=\"</v>
      </c>
      <c r="N660" t="str">
        <f t="shared" si="75"/>
        <v/>
      </c>
      <c r="O660" s="4" t="str">
        <f t="shared" si="76"/>
        <v>click</v>
      </c>
      <c r="P660" t="str">
        <f t="shared" si="77"/>
        <v>();</v>
      </c>
      <c r="Q660" t="str">
        <f t="shared" si="78"/>
        <v/>
      </c>
      <c r="R660" t="str">
        <f t="shared" si="82"/>
        <v/>
      </c>
      <c r="S660" s="1" t="str">
        <f t="shared" si="83"/>
        <v/>
      </c>
      <c r="CT660" t="e">
        <v>#N/A</v>
      </c>
      <c r="CU660" t="e">
        <v>#N/A</v>
      </c>
      <c r="CV660" t="e">
        <v>#N/A</v>
      </c>
      <c r="CW660" t="e">
        <v>#N/A</v>
      </c>
      <c r="CX660" t="e">
        <v>#N/A</v>
      </c>
      <c r="CY660" t="e">
        <v>#N/A</v>
      </c>
      <c r="CZ660" t="e">
        <v>#N/A</v>
      </c>
      <c r="DA660" t="e">
        <v>#N/A</v>
      </c>
      <c r="DB660" t="e">
        <v>#N/A</v>
      </c>
      <c r="DC660" t="e">
        <v>#N/A</v>
      </c>
      <c r="DD660" t="e">
        <v>#N/A</v>
      </c>
      <c r="DE660" t="e">
        <v>#N/A</v>
      </c>
      <c r="DF660" t="e">
        <v>#N/A</v>
      </c>
      <c r="DG660" t="e">
        <v>#N/A</v>
      </c>
      <c r="DH660" t="e">
        <v>#N/A</v>
      </c>
      <c r="DI660" t="e">
        <v>#N/A</v>
      </c>
    </row>
    <row r="661" spans="13:113">
      <c r="M661" t="str">
        <f t="shared" si="80"/>
        <v>"//*[@class=\"</v>
      </c>
      <c r="N661" t="str">
        <f t="shared" ref="N661:N724" si="84">IF(A661="Y",""""&amp;C661&amp;""""&amp;": "&amp;M661&amp;",","")</f>
        <v/>
      </c>
      <c r="O661" s="4" t="str">
        <f t="shared" ref="O661:O724" si="85">IF(D661="input","fill",IF(I661&lt;&gt;"","innerText",IF(J661="Y",$T$7,"click")))</f>
        <v>click</v>
      </c>
      <c r="P661" t="str">
        <f t="shared" ref="P661:P724" si="86">IF(OR(O661="Click",O661="innerText"),"();","("&amp;""""&amp;K661&amp;""""&amp;");")</f>
        <v>();</v>
      </c>
      <c r="Q661" t="str">
        <f t="shared" si="78"/>
        <v/>
      </c>
      <c r="R661" t="str">
        <f t="shared" si="82"/>
        <v/>
      </c>
      <c r="S661" s="1" t="str">
        <f t="shared" si="83"/>
        <v/>
      </c>
      <c r="CT661" t="e">
        <v>#N/A</v>
      </c>
      <c r="CU661" t="e">
        <v>#N/A</v>
      </c>
      <c r="CV661" t="e">
        <v>#N/A</v>
      </c>
      <c r="CW661" t="e">
        <v>#N/A</v>
      </c>
      <c r="CX661" t="e">
        <v>#N/A</v>
      </c>
      <c r="CY661" t="e">
        <v>#N/A</v>
      </c>
      <c r="CZ661" t="e">
        <v>#N/A</v>
      </c>
      <c r="DA661" t="e">
        <v>#N/A</v>
      </c>
      <c r="DB661" t="e">
        <v>#N/A</v>
      </c>
      <c r="DC661" t="e">
        <v>#N/A</v>
      </c>
      <c r="DD661" t="e">
        <v>#N/A</v>
      </c>
      <c r="DE661" t="e">
        <v>#N/A</v>
      </c>
      <c r="DF661" t="e">
        <v>#N/A</v>
      </c>
      <c r="DG661" t="e">
        <v>#N/A</v>
      </c>
      <c r="DH661" t="e">
        <v>#N/A</v>
      </c>
      <c r="DI661" t="e">
        <v>#N/A</v>
      </c>
    </row>
    <row r="662" spans="13:113">
      <c r="M662" t="str">
        <f t="shared" si="80"/>
        <v>"//*[@class=\"</v>
      </c>
      <c r="N662" t="str">
        <f t="shared" si="84"/>
        <v/>
      </c>
      <c r="O662" s="4" t="str">
        <f t="shared" si="85"/>
        <v>click</v>
      </c>
      <c r="P662" t="str">
        <f t="shared" si="86"/>
        <v>();</v>
      </c>
      <c r="Q662" t="str">
        <f t="shared" si="78"/>
        <v/>
      </c>
      <c r="R662" t="str">
        <f t="shared" si="82"/>
        <v/>
      </c>
      <c r="S662" s="1" t="str">
        <f t="shared" si="83"/>
        <v/>
      </c>
      <c r="CT662" t="e">
        <v>#N/A</v>
      </c>
      <c r="CU662" t="e">
        <v>#N/A</v>
      </c>
      <c r="CV662" t="e">
        <v>#N/A</v>
      </c>
      <c r="CW662" t="e">
        <v>#N/A</v>
      </c>
      <c r="CX662" t="e">
        <v>#N/A</v>
      </c>
      <c r="CY662" t="e">
        <v>#N/A</v>
      </c>
      <c r="CZ662" t="e">
        <v>#N/A</v>
      </c>
      <c r="DA662" t="e">
        <v>#N/A</v>
      </c>
      <c r="DB662" t="e">
        <v>#N/A</v>
      </c>
      <c r="DC662" t="e">
        <v>#N/A</v>
      </c>
      <c r="DD662" t="e">
        <v>#N/A</v>
      </c>
      <c r="DE662" t="e">
        <v>#N/A</v>
      </c>
      <c r="DF662" t="e">
        <v>#N/A</v>
      </c>
      <c r="DG662" t="e">
        <v>#N/A</v>
      </c>
      <c r="DH662" t="e">
        <v>#N/A</v>
      </c>
      <c r="DI662" t="e">
        <v>#N/A</v>
      </c>
    </row>
    <row r="663" spans="13:113">
      <c r="M663" t="str">
        <f t="shared" si="80"/>
        <v>"//*[@class=\"</v>
      </c>
      <c r="N663" t="str">
        <f t="shared" si="84"/>
        <v/>
      </c>
      <c r="O663" s="4" t="str">
        <f t="shared" si="85"/>
        <v>click</v>
      </c>
      <c r="P663" t="str">
        <f t="shared" si="86"/>
        <v>();</v>
      </c>
      <c r="Q663" t="str">
        <f t="shared" si="78"/>
        <v/>
      </c>
      <c r="R663" t="str">
        <f t="shared" si="82"/>
        <v/>
      </c>
      <c r="S663" s="1" t="str">
        <f t="shared" si="83"/>
        <v/>
      </c>
      <c r="CT663" t="e">
        <v>#N/A</v>
      </c>
      <c r="CU663" t="e">
        <v>#N/A</v>
      </c>
      <c r="CV663" t="e">
        <v>#N/A</v>
      </c>
      <c r="CW663" t="e">
        <v>#N/A</v>
      </c>
      <c r="CX663" t="e">
        <v>#N/A</v>
      </c>
      <c r="CY663" t="e">
        <v>#N/A</v>
      </c>
      <c r="CZ663" t="e">
        <v>#N/A</v>
      </c>
      <c r="DA663" t="e">
        <v>#N/A</v>
      </c>
      <c r="DB663" t="e">
        <v>#N/A</v>
      </c>
      <c r="DC663" t="e">
        <v>#N/A</v>
      </c>
      <c r="DD663" t="e">
        <v>#N/A</v>
      </c>
      <c r="DE663" t="e">
        <v>#N/A</v>
      </c>
      <c r="DF663" t="e">
        <v>#N/A</v>
      </c>
      <c r="DG663" t="e">
        <v>#N/A</v>
      </c>
      <c r="DH663" t="e">
        <v>#N/A</v>
      </c>
      <c r="DI663" t="e">
        <v>#N/A</v>
      </c>
    </row>
    <row r="664" spans="13:113">
      <c r="M664" t="str">
        <f t="shared" si="80"/>
        <v>"//*[@class=\"</v>
      </c>
      <c r="N664" t="str">
        <f t="shared" si="84"/>
        <v/>
      </c>
      <c r="O664" s="4" t="str">
        <f t="shared" si="85"/>
        <v>click</v>
      </c>
      <c r="P664" t="str">
        <f t="shared" si="86"/>
        <v>();</v>
      </c>
      <c r="Q664" t="str">
        <f t="shared" si="78"/>
        <v/>
      </c>
      <c r="R664" t="str">
        <f t="shared" si="82"/>
        <v/>
      </c>
      <c r="S664" s="1" t="str">
        <f t="shared" si="83"/>
        <v/>
      </c>
      <c r="CT664" t="e">
        <v>#N/A</v>
      </c>
      <c r="CU664" t="e">
        <v>#N/A</v>
      </c>
      <c r="CV664" t="e">
        <v>#N/A</v>
      </c>
      <c r="CW664" t="e">
        <v>#N/A</v>
      </c>
      <c r="CX664" t="e">
        <v>#N/A</v>
      </c>
      <c r="CY664" t="e">
        <v>#N/A</v>
      </c>
      <c r="CZ664" t="e">
        <v>#N/A</v>
      </c>
      <c r="DA664" t="e">
        <v>#N/A</v>
      </c>
      <c r="DB664" t="e">
        <v>#N/A</v>
      </c>
      <c r="DC664" t="e">
        <v>#N/A</v>
      </c>
      <c r="DD664" t="e">
        <v>#N/A</v>
      </c>
      <c r="DE664" t="e">
        <v>#N/A</v>
      </c>
      <c r="DF664" t="e">
        <v>#N/A</v>
      </c>
      <c r="DG664" t="e">
        <v>#N/A</v>
      </c>
      <c r="DH664" t="e">
        <v>#N/A</v>
      </c>
      <c r="DI664" t="e">
        <v>#N/A</v>
      </c>
    </row>
    <row r="665" spans="13:113">
      <c r="M665" t="str">
        <f t="shared" si="80"/>
        <v>"//*[@class=\"</v>
      </c>
      <c r="N665" t="str">
        <f t="shared" si="84"/>
        <v/>
      </c>
      <c r="O665" s="4" t="str">
        <f t="shared" si="85"/>
        <v>click</v>
      </c>
      <c r="P665" t="str">
        <f t="shared" si="86"/>
        <v>();</v>
      </c>
      <c r="Q665" t="str">
        <f t="shared" si="78"/>
        <v/>
      </c>
      <c r="R665" t="str">
        <f t="shared" si="82"/>
        <v/>
      </c>
      <c r="S665" s="1" t="str">
        <f t="shared" si="83"/>
        <v/>
      </c>
      <c r="CT665" t="e">
        <v>#N/A</v>
      </c>
      <c r="CU665" t="e">
        <v>#N/A</v>
      </c>
      <c r="CV665" t="e">
        <v>#N/A</v>
      </c>
      <c r="CW665" t="e">
        <v>#N/A</v>
      </c>
      <c r="CX665" t="e">
        <v>#N/A</v>
      </c>
      <c r="CY665" t="e">
        <v>#N/A</v>
      </c>
      <c r="CZ665" t="e">
        <v>#N/A</v>
      </c>
      <c r="DA665" t="e">
        <v>#N/A</v>
      </c>
      <c r="DB665" t="e">
        <v>#N/A</v>
      </c>
      <c r="DC665" t="e">
        <v>#N/A</v>
      </c>
      <c r="DD665" t="e">
        <v>#N/A</v>
      </c>
      <c r="DE665" t="e">
        <v>#N/A</v>
      </c>
      <c r="DF665" t="e">
        <v>#N/A</v>
      </c>
      <c r="DG665" t="e">
        <v>#N/A</v>
      </c>
      <c r="DH665" t="e">
        <v>#N/A</v>
      </c>
      <c r="DI665" t="e">
        <v>#N/A</v>
      </c>
    </row>
    <row r="666" spans="13:113">
      <c r="M666" t="str">
        <f t="shared" si="80"/>
        <v>"//*[@class=\"</v>
      </c>
      <c r="N666" t="str">
        <f t="shared" si="84"/>
        <v/>
      </c>
      <c r="O666" s="4" t="str">
        <f t="shared" si="85"/>
        <v>click</v>
      </c>
      <c r="P666" t="str">
        <f t="shared" si="86"/>
        <v>();</v>
      </c>
      <c r="Q666" t="str">
        <f t="shared" si="78"/>
        <v/>
      </c>
      <c r="R666" t="str">
        <f t="shared" si="82"/>
        <v/>
      </c>
      <c r="S666" s="1" t="str">
        <f t="shared" si="83"/>
        <v/>
      </c>
      <c r="CT666" t="e">
        <v>#N/A</v>
      </c>
      <c r="CU666" t="e">
        <v>#N/A</v>
      </c>
      <c r="CV666" t="e">
        <v>#N/A</v>
      </c>
      <c r="CW666" t="e">
        <v>#N/A</v>
      </c>
      <c r="CX666" t="e">
        <v>#N/A</v>
      </c>
      <c r="CY666" t="e">
        <v>#N/A</v>
      </c>
      <c r="CZ666" t="e">
        <v>#N/A</v>
      </c>
      <c r="DA666" t="e">
        <v>#N/A</v>
      </c>
      <c r="DB666" t="e">
        <v>#N/A</v>
      </c>
      <c r="DC666" t="e">
        <v>#N/A</v>
      </c>
      <c r="DD666" t="e">
        <v>#N/A</v>
      </c>
      <c r="DE666" t="e">
        <v>#N/A</v>
      </c>
      <c r="DF666" t="e">
        <v>#N/A</v>
      </c>
      <c r="DG666" t="e">
        <v>#N/A</v>
      </c>
      <c r="DH666" t="e">
        <v>#N/A</v>
      </c>
      <c r="DI666" t="e">
        <v>#N/A</v>
      </c>
    </row>
    <row r="667" spans="13:113">
      <c r="M667" t="str">
        <f t="shared" si="80"/>
        <v>"//*[@class=\"</v>
      </c>
      <c r="N667" t="str">
        <f t="shared" si="84"/>
        <v/>
      </c>
      <c r="O667" s="4" t="str">
        <f t="shared" si="85"/>
        <v>click</v>
      </c>
      <c r="P667" t="str">
        <f t="shared" si="86"/>
        <v>();</v>
      </c>
      <c r="Q667" t="str">
        <f t="shared" si="78"/>
        <v/>
      </c>
      <c r="R667" t="str">
        <f t="shared" si="82"/>
        <v/>
      </c>
      <c r="S667" s="1" t="str">
        <f t="shared" si="83"/>
        <v/>
      </c>
      <c r="CT667" t="e">
        <v>#N/A</v>
      </c>
      <c r="CU667" t="e">
        <v>#N/A</v>
      </c>
      <c r="CV667" t="e">
        <v>#N/A</v>
      </c>
      <c r="CW667" t="e">
        <v>#N/A</v>
      </c>
      <c r="CX667" t="e">
        <v>#N/A</v>
      </c>
      <c r="CY667" t="e">
        <v>#N/A</v>
      </c>
      <c r="CZ667" t="e">
        <v>#N/A</v>
      </c>
      <c r="DA667" t="e">
        <v>#N/A</v>
      </c>
      <c r="DB667" t="e">
        <v>#N/A</v>
      </c>
      <c r="DC667" t="e">
        <v>#N/A</v>
      </c>
      <c r="DD667" t="e">
        <v>#N/A</v>
      </c>
      <c r="DE667" t="e">
        <v>#N/A</v>
      </c>
      <c r="DF667" t="e">
        <v>#N/A</v>
      </c>
      <c r="DG667" t="e">
        <v>#N/A</v>
      </c>
      <c r="DH667" t="e">
        <v>#N/A</v>
      </c>
      <c r="DI667" t="e">
        <v>#N/A</v>
      </c>
    </row>
    <row r="668" spans="13:113">
      <c r="M668" t="str">
        <f t="shared" si="80"/>
        <v>"//*[@class=\"</v>
      </c>
      <c r="N668" t="str">
        <f t="shared" si="84"/>
        <v/>
      </c>
      <c r="O668" s="4" t="str">
        <f t="shared" si="85"/>
        <v>click</v>
      </c>
      <c r="P668" t="str">
        <f t="shared" si="86"/>
        <v>();</v>
      </c>
      <c r="Q668" t="str">
        <f t="shared" si="78"/>
        <v/>
      </c>
      <c r="R668" t="str">
        <f t="shared" si="82"/>
        <v/>
      </c>
      <c r="S668" s="1" t="str">
        <f t="shared" si="83"/>
        <v/>
      </c>
      <c r="CT668" t="e">
        <v>#N/A</v>
      </c>
      <c r="CU668" t="e">
        <v>#N/A</v>
      </c>
      <c r="CV668" t="e">
        <v>#N/A</v>
      </c>
      <c r="CW668" t="e">
        <v>#N/A</v>
      </c>
      <c r="CX668" t="e">
        <v>#N/A</v>
      </c>
      <c r="CY668" t="e">
        <v>#N/A</v>
      </c>
      <c r="CZ668" t="e">
        <v>#N/A</v>
      </c>
      <c r="DA668" t="e">
        <v>#N/A</v>
      </c>
      <c r="DB668" t="e">
        <v>#N/A</v>
      </c>
      <c r="DC668" t="e">
        <v>#N/A</v>
      </c>
      <c r="DD668" t="e">
        <v>#N/A</v>
      </c>
      <c r="DE668" t="e">
        <v>#N/A</v>
      </c>
      <c r="DF668" t="e">
        <v>#N/A</v>
      </c>
      <c r="DG668" t="e">
        <v>#N/A</v>
      </c>
      <c r="DH668" t="e">
        <v>#N/A</v>
      </c>
      <c r="DI668" t="e">
        <v>#N/A</v>
      </c>
    </row>
    <row r="669" spans="13:113">
      <c r="M669" t="str">
        <f t="shared" si="80"/>
        <v>"//*[@class=\"</v>
      </c>
      <c r="N669" t="str">
        <f t="shared" si="84"/>
        <v/>
      </c>
      <c r="O669" s="4" t="str">
        <f t="shared" si="85"/>
        <v>click</v>
      </c>
      <c r="P669" t="str">
        <f t="shared" si="86"/>
        <v>();</v>
      </c>
      <c r="Q669" t="str">
        <f t="shared" ref="Q669:Q721" si="87">IF(A669="Y",IF(H669&lt;&gt;"Xpath",M669&amp;F669&amp;N669,""""&amp;F669&amp;""""),"")</f>
        <v/>
      </c>
      <c r="R669" t="str">
        <f t="shared" si="82"/>
        <v/>
      </c>
      <c r="S669" s="1" t="str">
        <f t="shared" si="83"/>
        <v/>
      </c>
      <c r="CT669" t="e">
        <v>#N/A</v>
      </c>
      <c r="CU669" t="e">
        <v>#N/A</v>
      </c>
      <c r="CV669" t="e">
        <v>#N/A</v>
      </c>
      <c r="CW669" t="e">
        <v>#N/A</v>
      </c>
      <c r="CX669" t="e">
        <v>#N/A</v>
      </c>
      <c r="CY669" t="e">
        <v>#N/A</v>
      </c>
      <c r="CZ669" t="e">
        <v>#N/A</v>
      </c>
      <c r="DA669" t="e">
        <v>#N/A</v>
      </c>
      <c r="DB669" t="e">
        <v>#N/A</v>
      </c>
      <c r="DC669" t="e">
        <v>#N/A</v>
      </c>
      <c r="DD669" t="e">
        <v>#N/A</v>
      </c>
      <c r="DE669" t="e">
        <v>#N/A</v>
      </c>
      <c r="DF669" t="e">
        <v>#N/A</v>
      </c>
      <c r="DG669" t="e">
        <v>#N/A</v>
      </c>
      <c r="DH669" t="e">
        <v>#N/A</v>
      </c>
      <c r="DI669" t="e">
        <v>#N/A</v>
      </c>
    </row>
    <row r="670" spans="13:113">
      <c r="M670" t="str">
        <f t="shared" si="80"/>
        <v>"//*[@class=\"</v>
      </c>
      <c r="N670" t="str">
        <f t="shared" si="84"/>
        <v/>
      </c>
      <c r="O670" s="4" t="str">
        <f t="shared" si="85"/>
        <v>click</v>
      </c>
      <c r="P670" t="str">
        <f t="shared" si="86"/>
        <v>();</v>
      </c>
      <c r="Q670" t="str">
        <f t="shared" si="87"/>
        <v/>
      </c>
      <c r="R670" t="str">
        <f t="shared" si="82"/>
        <v/>
      </c>
      <c r="S670" s="1" t="str">
        <f t="shared" si="83"/>
        <v/>
      </c>
      <c r="CT670" t="e">
        <v>#N/A</v>
      </c>
      <c r="CU670" t="e">
        <v>#N/A</v>
      </c>
      <c r="CV670" t="e">
        <v>#N/A</v>
      </c>
      <c r="CW670" t="e">
        <v>#N/A</v>
      </c>
      <c r="CX670" t="e">
        <v>#N/A</v>
      </c>
      <c r="CY670" t="e">
        <v>#N/A</v>
      </c>
      <c r="CZ670" t="e">
        <v>#N/A</v>
      </c>
      <c r="DA670" t="e">
        <v>#N/A</v>
      </c>
      <c r="DB670" t="e">
        <v>#N/A</v>
      </c>
      <c r="DC670" t="e">
        <v>#N/A</v>
      </c>
      <c r="DD670" t="e">
        <v>#N/A</v>
      </c>
      <c r="DE670" t="e">
        <v>#N/A</v>
      </c>
      <c r="DF670" t="e">
        <v>#N/A</v>
      </c>
      <c r="DG670" t="e">
        <v>#N/A</v>
      </c>
      <c r="DH670" t="e">
        <v>#N/A</v>
      </c>
      <c r="DI670" t="e">
        <v>#N/A</v>
      </c>
    </row>
    <row r="671" spans="13:113">
      <c r="M671" t="str">
        <f t="shared" si="80"/>
        <v>"//*[@class=\"</v>
      </c>
      <c r="N671" t="str">
        <f t="shared" si="84"/>
        <v/>
      </c>
      <c r="O671" s="4" t="str">
        <f t="shared" si="85"/>
        <v>click</v>
      </c>
      <c r="P671" t="str">
        <f t="shared" si="86"/>
        <v>();</v>
      </c>
      <c r="Q671" t="str">
        <f t="shared" si="87"/>
        <v/>
      </c>
      <c r="R671" t="str">
        <f t="shared" si="82"/>
        <v/>
      </c>
      <c r="S671" s="1" t="str">
        <f t="shared" si="83"/>
        <v/>
      </c>
      <c r="CT671" t="e">
        <v>#N/A</v>
      </c>
      <c r="CU671" t="e">
        <v>#N/A</v>
      </c>
      <c r="CV671" t="e">
        <v>#N/A</v>
      </c>
      <c r="CW671" t="e">
        <v>#N/A</v>
      </c>
      <c r="CX671" t="e">
        <v>#N/A</v>
      </c>
      <c r="CY671" t="e">
        <v>#N/A</v>
      </c>
      <c r="CZ671" t="e">
        <v>#N/A</v>
      </c>
      <c r="DA671" t="e">
        <v>#N/A</v>
      </c>
      <c r="DB671" t="e">
        <v>#N/A</v>
      </c>
      <c r="DC671" t="e">
        <v>#N/A</v>
      </c>
      <c r="DD671" t="e">
        <v>#N/A</v>
      </c>
      <c r="DE671" t="e">
        <v>#N/A</v>
      </c>
      <c r="DF671" t="e">
        <v>#N/A</v>
      </c>
      <c r="DG671" t="e">
        <v>#N/A</v>
      </c>
      <c r="DH671" t="e">
        <v>#N/A</v>
      </c>
      <c r="DI671" t="e">
        <v>#N/A</v>
      </c>
    </row>
    <row r="672" spans="13:113">
      <c r="M672" t="str">
        <f t="shared" si="80"/>
        <v>"//*[@class=\"</v>
      </c>
      <c r="N672" t="str">
        <f t="shared" si="84"/>
        <v/>
      </c>
      <c r="O672" s="4" t="str">
        <f t="shared" si="85"/>
        <v>click</v>
      </c>
      <c r="P672" t="str">
        <f t="shared" si="86"/>
        <v>();</v>
      </c>
      <c r="Q672" t="str">
        <f t="shared" si="87"/>
        <v/>
      </c>
      <c r="R672" t="str">
        <f t="shared" si="82"/>
        <v/>
      </c>
      <c r="S672" s="1" t="str">
        <f t="shared" si="83"/>
        <v/>
      </c>
      <c r="CT672" t="e">
        <v>#N/A</v>
      </c>
      <c r="CU672" t="e">
        <v>#N/A</v>
      </c>
      <c r="CV672" t="e">
        <v>#N/A</v>
      </c>
      <c r="CW672" t="e">
        <v>#N/A</v>
      </c>
      <c r="CX672" t="e">
        <v>#N/A</v>
      </c>
      <c r="CY672" t="e">
        <v>#N/A</v>
      </c>
      <c r="CZ672" t="e">
        <v>#N/A</v>
      </c>
      <c r="DA672" t="e">
        <v>#N/A</v>
      </c>
      <c r="DB672" t="e">
        <v>#N/A</v>
      </c>
      <c r="DC672" t="e">
        <v>#N/A</v>
      </c>
      <c r="DD672" t="e">
        <v>#N/A</v>
      </c>
      <c r="DE672" t="e">
        <v>#N/A</v>
      </c>
      <c r="DF672" t="e">
        <v>#N/A</v>
      </c>
      <c r="DG672" t="e">
        <v>#N/A</v>
      </c>
      <c r="DH672" t="e">
        <v>#N/A</v>
      </c>
      <c r="DI672" t="e">
        <v>#N/A</v>
      </c>
    </row>
    <row r="673" spans="13:113">
      <c r="M673" t="str">
        <f t="shared" si="80"/>
        <v>"//*[@class=\"</v>
      </c>
      <c r="N673" t="str">
        <f t="shared" si="84"/>
        <v/>
      </c>
      <c r="O673" s="4" t="str">
        <f t="shared" si="85"/>
        <v>click</v>
      </c>
      <c r="P673" t="str">
        <f t="shared" si="86"/>
        <v>();</v>
      </c>
      <c r="Q673" t="str">
        <f t="shared" si="87"/>
        <v/>
      </c>
      <c r="R673" t="str">
        <f t="shared" si="82"/>
        <v/>
      </c>
      <c r="S673" s="1" t="str">
        <f t="shared" si="83"/>
        <v/>
      </c>
      <c r="CT673" t="e">
        <v>#N/A</v>
      </c>
      <c r="CU673" t="e">
        <v>#N/A</v>
      </c>
      <c r="CV673" t="e">
        <v>#N/A</v>
      </c>
      <c r="CW673" t="e">
        <v>#N/A</v>
      </c>
      <c r="CX673" t="e">
        <v>#N/A</v>
      </c>
      <c r="CY673" t="e">
        <v>#N/A</v>
      </c>
      <c r="CZ673" t="e">
        <v>#N/A</v>
      </c>
      <c r="DA673" t="e">
        <v>#N/A</v>
      </c>
      <c r="DB673" t="e">
        <v>#N/A</v>
      </c>
      <c r="DC673" t="e">
        <v>#N/A</v>
      </c>
      <c r="DD673" t="e">
        <v>#N/A</v>
      </c>
      <c r="DE673" t="e">
        <v>#N/A</v>
      </c>
      <c r="DF673" t="e">
        <v>#N/A</v>
      </c>
      <c r="DG673" t="e">
        <v>#N/A</v>
      </c>
      <c r="DH673" t="e">
        <v>#N/A</v>
      </c>
      <c r="DI673" t="e">
        <v>#N/A</v>
      </c>
    </row>
    <row r="674" spans="13:113">
      <c r="M674" t="str">
        <f t="shared" si="80"/>
        <v>"//*[@class=\"</v>
      </c>
      <c r="N674" t="str">
        <f t="shared" si="84"/>
        <v/>
      </c>
      <c r="O674" s="4" t="str">
        <f t="shared" si="85"/>
        <v>click</v>
      </c>
      <c r="P674" t="str">
        <f t="shared" si="86"/>
        <v>();</v>
      </c>
      <c r="Q674" t="str">
        <f t="shared" si="87"/>
        <v/>
      </c>
      <c r="R674" t="str">
        <f t="shared" si="82"/>
        <v/>
      </c>
      <c r="S674" s="1" t="str">
        <f t="shared" si="83"/>
        <v/>
      </c>
      <c r="CT674" t="e">
        <v>#N/A</v>
      </c>
      <c r="CU674" t="e">
        <v>#N/A</v>
      </c>
      <c r="CV674" t="e">
        <v>#N/A</v>
      </c>
      <c r="CW674" t="e">
        <v>#N/A</v>
      </c>
      <c r="CX674" t="e">
        <v>#N/A</v>
      </c>
      <c r="CY674" t="e">
        <v>#N/A</v>
      </c>
      <c r="CZ674" t="e">
        <v>#N/A</v>
      </c>
      <c r="DA674" t="e">
        <v>#N/A</v>
      </c>
      <c r="DB674" t="e">
        <v>#N/A</v>
      </c>
      <c r="DC674" t="e">
        <v>#N/A</v>
      </c>
      <c r="DD674" t="e">
        <v>#N/A</v>
      </c>
      <c r="DE674" t="e">
        <v>#N/A</v>
      </c>
      <c r="DF674" t="e">
        <v>#N/A</v>
      </c>
      <c r="DG674" t="e">
        <v>#N/A</v>
      </c>
      <c r="DH674" t="e">
        <v>#N/A</v>
      </c>
      <c r="DI674" t="e">
        <v>#N/A</v>
      </c>
    </row>
    <row r="675" spans="13:113">
      <c r="M675" t="str">
        <f t="shared" si="80"/>
        <v>"//*[@class=\"</v>
      </c>
      <c r="N675" t="str">
        <f t="shared" si="84"/>
        <v/>
      </c>
      <c r="O675" s="4" t="str">
        <f t="shared" si="85"/>
        <v>click</v>
      </c>
      <c r="P675" t="str">
        <f t="shared" si="86"/>
        <v>();</v>
      </c>
      <c r="Q675" t="str">
        <f t="shared" si="87"/>
        <v/>
      </c>
      <c r="R675" t="str">
        <f t="shared" si="82"/>
        <v/>
      </c>
      <c r="S675" s="1" t="str">
        <f t="shared" si="83"/>
        <v/>
      </c>
      <c r="CT675" t="e">
        <v>#N/A</v>
      </c>
      <c r="CU675" t="e">
        <v>#N/A</v>
      </c>
      <c r="CV675" t="e">
        <v>#N/A</v>
      </c>
      <c r="CW675" t="e">
        <v>#N/A</v>
      </c>
      <c r="CX675" t="e">
        <v>#N/A</v>
      </c>
      <c r="CY675" t="e">
        <v>#N/A</v>
      </c>
      <c r="CZ675" t="e">
        <v>#N/A</v>
      </c>
      <c r="DA675" t="e">
        <v>#N/A</v>
      </c>
      <c r="DB675" t="e">
        <v>#N/A</v>
      </c>
      <c r="DC675" t="e">
        <v>#N/A</v>
      </c>
      <c r="DD675" t="e">
        <v>#N/A</v>
      </c>
      <c r="DE675" t="e">
        <v>#N/A</v>
      </c>
      <c r="DF675" t="e">
        <v>#N/A</v>
      </c>
      <c r="DG675" t="e">
        <v>#N/A</v>
      </c>
      <c r="DH675" t="e">
        <v>#N/A</v>
      </c>
      <c r="DI675" t="e">
        <v>#N/A</v>
      </c>
    </row>
    <row r="676" spans="13:113">
      <c r="M676" t="str">
        <f t="shared" si="80"/>
        <v>"//*[@class=\"</v>
      </c>
      <c r="N676" t="str">
        <f t="shared" si="84"/>
        <v/>
      </c>
      <c r="O676" s="4" t="str">
        <f t="shared" si="85"/>
        <v>click</v>
      </c>
      <c r="P676" t="str">
        <f t="shared" si="86"/>
        <v>();</v>
      </c>
      <c r="Q676" t="str">
        <f t="shared" si="87"/>
        <v/>
      </c>
      <c r="R676" t="str">
        <f t="shared" si="82"/>
        <v/>
      </c>
      <c r="S676" s="1" t="str">
        <f t="shared" si="83"/>
        <v/>
      </c>
      <c r="CT676" t="e">
        <v>#N/A</v>
      </c>
      <c r="CU676" t="e">
        <v>#N/A</v>
      </c>
      <c r="CV676" t="e">
        <v>#N/A</v>
      </c>
      <c r="CW676" t="e">
        <v>#N/A</v>
      </c>
      <c r="CX676" t="e">
        <v>#N/A</v>
      </c>
      <c r="CY676" t="e">
        <v>#N/A</v>
      </c>
      <c r="CZ676" t="e">
        <v>#N/A</v>
      </c>
      <c r="DA676" t="e">
        <v>#N/A</v>
      </c>
      <c r="DB676" t="e">
        <v>#N/A</v>
      </c>
      <c r="DC676" t="e">
        <v>#N/A</v>
      </c>
      <c r="DD676" t="e">
        <v>#N/A</v>
      </c>
      <c r="DE676" t="e">
        <v>#N/A</v>
      </c>
      <c r="DF676" t="e">
        <v>#N/A</v>
      </c>
      <c r="DG676" t="e">
        <v>#N/A</v>
      </c>
      <c r="DH676" t="e">
        <v>#N/A</v>
      </c>
      <c r="DI676" t="e">
        <v>#N/A</v>
      </c>
    </row>
    <row r="677" spans="13:113">
      <c r="M677" t="str">
        <f t="shared" si="80"/>
        <v>"//*[@class=\"</v>
      </c>
      <c r="N677" t="str">
        <f t="shared" si="84"/>
        <v/>
      </c>
      <c r="O677" s="4" t="str">
        <f t="shared" si="85"/>
        <v>click</v>
      </c>
      <c r="P677" t="str">
        <f t="shared" si="86"/>
        <v>();</v>
      </c>
      <c r="Q677" t="str">
        <f t="shared" si="87"/>
        <v/>
      </c>
      <c r="R677" t="str">
        <f t="shared" si="82"/>
        <v/>
      </c>
      <c r="S677" s="1" t="str">
        <f t="shared" si="83"/>
        <v/>
      </c>
      <c r="CT677" t="e">
        <v>#N/A</v>
      </c>
      <c r="CU677" t="e">
        <v>#N/A</v>
      </c>
      <c r="CV677" t="e">
        <v>#N/A</v>
      </c>
      <c r="CW677" t="e">
        <v>#N/A</v>
      </c>
      <c r="CX677" t="e">
        <v>#N/A</v>
      </c>
      <c r="CY677" t="e">
        <v>#N/A</v>
      </c>
      <c r="CZ677" t="e">
        <v>#N/A</v>
      </c>
      <c r="DA677" t="e">
        <v>#N/A</v>
      </c>
      <c r="DB677" t="e">
        <v>#N/A</v>
      </c>
      <c r="DC677" t="e">
        <v>#N/A</v>
      </c>
      <c r="DD677" t="e">
        <v>#N/A</v>
      </c>
      <c r="DE677" t="e">
        <v>#N/A</v>
      </c>
      <c r="DF677" t="e">
        <v>#N/A</v>
      </c>
      <c r="DG677" t="e">
        <v>#N/A</v>
      </c>
      <c r="DH677" t="e">
        <v>#N/A</v>
      </c>
      <c r="DI677" t="e">
        <v>#N/A</v>
      </c>
    </row>
    <row r="678" spans="13:113">
      <c r="M678" t="str">
        <f t="shared" si="80"/>
        <v>"//*[@class=\"</v>
      </c>
      <c r="N678" t="str">
        <f t="shared" si="84"/>
        <v/>
      </c>
      <c r="O678" s="4" t="str">
        <f t="shared" si="85"/>
        <v>click</v>
      </c>
      <c r="P678" t="str">
        <f t="shared" si="86"/>
        <v>();</v>
      </c>
      <c r="Q678" t="str">
        <f t="shared" si="87"/>
        <v/>
      </c>
      <c r="R678" t="str">
        <f t="shared" si="82"/>
        <v/>
      </c>
      <c r="S678" s="1" t="str">
        <f t="shared" si="83"/>
        <v/>
      </c>
      <c r="CT678" t="e">
        <v>#N/A</v>
      </c>
      <c r="CU678" t="e">
        <v>#N/A</v>
      </c>
      <c r="CV678" t="e">
        <v>#N/A</v>
      </c>
      <c r="CW678" t="e">
        <v>#N/A</v>
      </c>
      <c r="CX678" t="e">
        <v>#N/A</v>
      </c>
      <c r="CY678" t="e">
        <v>#N/A</v>
      </c>
      <c r="CZ678" t="e">
        <v>#N/A</v>
      </c>
      <c r="DA678" t="e">
        <v>#N/A</v>
      </c>
      <c r="DB678" t="e">
        <v>#N/A</v>
      </c>
      <c r="DC678" t="e">
        <v>#N/A</v>
      </c>
      <c r="DD678" t="e">
        <v>#N/A</v>
      </c>
      <c r="DE678" t="e">
        <v>#N/A</v>
      </c>
      <c r="DF678" t="e">
        <v>#N/A</v>
      </c>
      <c r="DG678" t="e">
        <v>#N/A</v>
      </c>
      <c r="DH678" t="e">
        <v>#N/A</v>
      </c>
      <c r="DI678" t="e">
        <v>#N/A</v>
      </c>
    </row>
    <row r="679" spans="13:113">
      <c r="M679" t="str">
        <f t="shared" si="80"/>
        <v>"//*[@class=\"</v>
      </c>
      <c r="N679" t="str">
        <f t="shared" si="84"/>
        <v/>
      </c>
      <c r="O679" s="4" t="str">
        <f t="shared" si="85"/>
        <v>click</v>
      </c>
      <c r="P679" t="str">
        <f t="shared" si="86"/>
        <v>();</v>
      </c>
      <c r="Q679" t="str">
        <f t="shared" si="87"/>
        <v/>
      </c>
      <c r="R679" t="str">
        <f t="shared" si="82"/>
        <v/>
      </c>
      <c r="S679" s="1" t="str">
        <f t="shared" si="83"/>
        <v/>
      </c>
      <c r="CT679" t="e">
        <v>#N/A</v>
      </c>
      <c r="CU679" t="e">
        <v>#N/A</v>
      </c>
      <c r="CV679" t="e">
        <v>#N/A</v>
      </c>
      <c r="CW679" t="e">
        <v>#N/A</v>
      </c>
      <c r="CX679" t="e">
        <v>#N/A</v>
      </c>
      <c r="CY679" t="e">
        <v>#N/A</v>
      </c>
      <c r="CZ679" t="e">
        <v>#N/A</v>
      </c>
      <c r="DA679" t="e">
        <v>#N/A</v>
      </c>
      <c r="DB679" t="e">
        <v>#N/A</v>
      </c>
      <c r="DC679" t="e">
        <v>#N/A</v>
      </c>
      <c r="DD679" t="e">
        <v>#N/A</v>
      </c>
      <c r="DE679" t="e">
        <v>#N/A</v>
      </c>
      <c r="DF679" t="e">
        <v>#N/A</v>
      </c>
      <c r="DG679" t="e">
        <v>#N/A</v>
      </c>
      <c r="DH679" t="e">
        <v>#N/A</v>
      </c>
      <c r="DI679" t="e">
        <v>#N/A</v>
      </c>
    </row>
    <row r="680" spans="13:113">
      <c r="M680" t="str">
        <f t="shared" si="80"/>
        <v>"//*[@class=\"</v>
      </c>
      <c r="N680" t="str">
        <f t="shared" si="84"/>
        <v/>
      </c>
      <c r="O680" s="4" t="str">
        <f t="shared" si="85"/>
        <v>click</v>
      </c>
      <c r="P680" t="str">
        <f t="shared" si="86"/>
        <v>();</v>
      </c>
      <c r="Q680" t="str">
        <f t="shared" si="87"/>
        <v/>
      </c>
      <c r="R680" t="str">
        <f t="shared" si="82"/>
        <v/>
      </c>
      <c r="S680" s="1" t="str">
        <f t="shared" si="83"/>
        <v/>
      </c>
      <c r="CT680" t="e">
        <v>#N/A</v>
      </c>
      <c r="CU680" t="e">
        <v>#N/A</v>
      </c>
      <c r="CV680" t="e">
        <v>#N/A</v>
      </c>
      <c r="CW680" t="e">
        <v>#N/A</v>
      </c>
      <c r="CX680" t="e">
        <v>#N/A</v>
      </c>
      <c r="CY680" t="e">
        <v>#N/A</v>
      </c>
      <c r="CZ680" t="e">
        <v>#N/A</v>
      </c>
      <c r="DA680" t="e">
        <v>#N/A</v>
      </c>
      <c r="DB680" t="e">
        <v>#N/A</v>
      </c>
      <c r="DC680" t="e">
        <v>#N/A</v>
      </c>
      <c r="DD680" t="e">
        <v>#N/A</v>
      </c>
      <c r="DE680" t="e">
        <v>#N/A</v>
      </c>
      <c r="DF680" t="e">
        <v>#N/A</v>
      </c>
      <c r="DG680" t="e">
        <v>#N/A</v>
      </c>
      <c r="DH680" t="e">
        <v>#N/A</v>
      </c>
      <c r="DI680" t="e">
        <v>#N/A</v>
      </c>
    </row>
    <row r="681" spans="13:113">
      <c r="M681" t="str">
        <f t="shared" si="80"/>
        <v>"//*[@class=\"</v>
      </c>
      <c r="N681" t="str">
        <f t="shared" si="84"/>
        <v/>
      </c>
      <c r="O681" s="4" t="str">
        <f t="shared" si="85"/>
        <v>click</v>
      </c>
      <c r="P681" t="str">
        <f t="shared" si="86"/>
        <v>();</v>
      </c>
      <c r="Q681" t="str">
        <f t="shared" si="87"/>
        <v/>
      </c>
      <c r="R681" t="str">
        <f t="shared" si="82"/>
        <v/>
      </c>
      <c r="S681" s="1" t="str">
        <f t="shared" si="83"/>
        <v/>
      </c>
      <c r="CT681" t="e">
        <v>#N/A</v>
      </c>
      <c r="CU681" t="e">
        <v>#N/A</v>
      </c>
      <c r="CV681" t="e">
        <v>#N/A</v>
      </c>
      <c r="CW681" t="e">
        <v>#N/A</v>
      </c>
      <c r="CX681" t="e">
        <v>#N/A</v>
      </c>
      <c r="CY681" t="e">
        <v>#N/A</v>
      </c>
      <c r="CZ681" t="e">
        <v>#N/A</v>
      </c>
      <c r="DA681" t="e">
        <v>#N/A</v>
      </c>
      <c r="DB681" t="e">
        <v>#N/A</v>
      </c>
      <c r="DC681" t="e">
        <v>#N/A</v>
      </c>
      <c r="DD681" t="e">
        <v>#N/A</v>
      </c>
      <c r="DE681" t="e">
        <v>#N/A</v>
      </c>
      <c r="DF681" t="e">
        <v>#N/A</v>
      </c>
      <c r="DG681" t="e">
        <v>#N/A</v>
      </c>
      <c r="DH681" t="e">
        <v>#N/A</v>
      </c>
      <c r="DI681" t="e">
        <v>#N/A</v>
      </c>
    </row>
    <row r="682" spans="13:113">
      <c r="M682" t="str">
        <f t="shared" si="80"/>
        <v>"//*[@class=\"</v>
      </c>
      <c r="N682" t="str">
        <f t="shared" si="84"/>
        <v/>
      </c>
      <c r="O682" s="4" t="str">
        <f t="shared" si="85"/>
        <v>click</v>
      </c>
      <c r="P682" t="str">
        <f t="shared" si="86"/>
        <v>();</v>
      </c>
      <c r="Q682" t="str">
        <f t="shared" si="87"/>
        <v/>
      </c>
      <c r="R682" t="str">
        <f t="shared" si="82"/>
        <v/>
      </c>
      <c r="S682" s="1" t="str">
        <f t="shared" si="83"/>
        <v/>
      </c>
      <c r="CT682" t="e">
        <v>#N/A</v>
      </c>
      <c r="CU682" t="e">
        <v>#N/A</v>
      </c>
      <c r="CV682" t="e">
        <v>#N/A</v>
      </c>
      <c r="CW682" t="e">
        <v>#N/A</v>
      </c>
      <c r="CX682" t="e">
        <v>#N/A</v>
      </c>
      <c r="CY682" t="e">
        <v>#N/A</v>
      </c>
      <c r="CZ682" t="e">
        <v>#N/A</v>
      </c>
      <c r="DA682" t="e">
        <v>#N/A</v>
      </c>
      <c r="DB682" t="e">
        <v>#N/A</v>
      </c>
      <c r="DC682" t="e">
        <v>#N/A</v>
      </c>
      <c r="DD682" t="e">
        <v>#N/A</v>
      </c>
      <c r="DE682" t="e">
        <v>#N/A</v>
      </c>
      <c r="DF682" t="e">
        <v>#N/A</v>
      </c>
      <c r="DG682" t="e">
        <v>#N/A</v>
      </c>
      <c r="DH682" t="e">
        <v>#N/A</v>
      </c>
      <c r="DI682" t="e">
        <v>#N/A</v>
      </c>
    </row>
    <row r="683" spans="13:113">
      <c r="M683" t="str">
        <f t="shared" si="80"/>
        <v>"//*[@class=\"</v>
      </c>
      <c r="N683" t="str">
        <f t="shared" si="84"/>
        <v/>
      </c>
      <c r="O683" s="4" t="str">
        <f t="shared" si="85"/>
        <v>click</v>
      </c>
      <c r="P683" t="str">
        <f t="shared" si="86"/>
        <v>();</v>
      </c>
      <c r="Q683" t="str">
        <f t="shared" si="87"/>
        <v/>
      </c>
      <c r="R683" t="str">
        <f t="shared" si="82"/>
        <v/>
      </c>
      <c r="S683" s="1" t="str">
        <f t="shared" si="83"/>
        <v/>
      </c>
      <c r="CT683" t="e">
        <v>#N/A</v>
      </c>
      <c r="CU683" t="e">
        <v>#N/A</v>
      </c>
      <c r="CV683" t="e">
        <v>#N/A</v>
      </c>
      <c r="CW683" t="e">
        <v>#N/A</v>
      </c>
      <c r="CX683" t="e">
        <v>#N/A</v>
      </c>
      <c r="CY683" t="e">
        <v>#N/A</v>
      </c>
      <c r="CZ683" t="e">
        <v>#N/A</v>
      </c>
      <c r="DA683" t="e">
        <v>#N/A</v>
      </c>
      <c r="DB683" t="e">
        <v>#N/A</v>
      </c>
      <c r="DC683" t="e">
        <v>#N/A</v>
      </c>
      <c r="DD683" t="e">
        <v>#N/A</v>
      </c>
      <c r="DE683" t="e">
        <v>#N/A</v>
      </c>
      <c r="DF683" t="e">
        <v>#N/A</v>
      </c>
      <c r="DG683" t="e">
        <v>#N/A</v>
      </c>
      <c r="DH683" t="e">
        <v>#N/A</v>
      </c>
      <c r="DI683" t="e">
        <v>#N/A</v>
      </c>
    </row>
    <row r="684" spans="13:113">
      <c r="M684" t="str">
        <f t="shared" si="80"/>
        <v>"//*[@class=\"</v>
      </c>
      <c r="N684" t="str">
        <f t="shared" si="84"/>
        <v/>
      </c>
      <c r="O684" s="4" t="str">
        <f t="shared" si="85"/>
        <v>click</v>
      </c>
      <c r="P684" t="str">
        <f t="shared" si="86"/>
        <v>();</v>
      </c>
      <c r="Q684" t="str">
        <f t="shared" si="87"/>
        <v/>
      </c>
      <c r="R684" t="str">
        <f t="shared" si="82"/>
        <v/>
      </c>
      <c r="S684" s="1" t="str">
        <f t="shared" si="83"/>
        <v/>
      </c>
      <c r="CT684" t="e">
        <v>#N/A</v>
      </c>
      <c r="CU684" t="e">
        <v>#N/A</v>
      </c>
      <c r="CV684" t="e">
        <v>#N/A</v>
      </c>
      <c r="CW684" t="e">
        <v>#N/A</v>
      </c>
      <c r="CX684" t="e">
        <v>#N/A</v>
      </c>
      <c r="CY684" t="e">
        <v>#N/A</v>
      </c>
      <c r="CZ684" t="e">
        <v>#N/A</v>
      </c>
      <c r="DA684" t="e">
        <v>#N/A</v>
      </c>
      <c r="DB684" t="e">
        <v>#N/A</v>
      </c>
      <c r="DC684" t="e">
        <v>#N/A</v>
      </c>
      <c r="DD684" t="e">
        <v>#N/A</v>
      </c>
      <c r="DE684" t="e">
        <v>#N/A</v>
      </c>
      <c r="DF684" t="e">
        <v>#N/A</v>
      </c>
      <c r="DG684" t="e">
        <v>#N/A</v>
      </c>
      <c r="DH684" t="e">
        <v>#N/A</v>
      </c>
      <c r="DI684" t="e">
        <v>#N/A</v>
      </c>
    </row>
    <row r="685" spans="13:113">
      <c r="M685" t="str">
        <f t="shared" si="80"/>
        <v>"//*[@class=\"</v>
      </c>
      <c r="N685" t="str">
        <f t="shared" si="84"/>
        <v/>
      </c>
      <c r="O685" s="4" t="str">
        <f t="shared" si="85"/>
        <v>click</v>
      </c>
      <c r="P685" t="str">
        <f t="shared" si="86"/>
        <v>();</v>
      </c>
      <c r="Q685" t="str">
        <f t="shared" si="87"/>
        <v/>
      </c>
      <c r="R685" t="str">
        <f t="shared" si="82"/>
        <v/>
      </c>
      <c r="S685" s="1" t="str">
        <f t="shared" si="83"/>
        <v/>
      </c>
      <c r="CT685" t="e">
        <v>#N/A</v>
      </c>
      <c r="CU685" t="e">
        <v>#N/A</v>
      </c>
      <c r="CV685" t="e">
        <v>#N/A</v>
      </c>
      <c r="CW685" t="e">
        <v>#N/A</v>
      </c>
      <c r="CX685" t="e">
        <v>#N/A</v>
      </c>
      <c r="CY685" t="e">
        <v>#N/A</v>
      </c>
      <c r="CZ685" t="e">
        <v>#N/A</v>
      </c>
      <c r="DA685" t="e">
        <v>#N/A</v>
      </c>
      <c r="DB685" t="e">
        <v>#N/A</v>
      </c>
      <c r="DC685" t="e">
        <v>#N/A</v>
      </c>
      <c r="DD685" t="e">
        <v>#N/A</v>
      </c>
      <c r="DE685" t="e">
        <v>#N/A</v>
      </c>
      <c r="DF685" t="e">
        <v>#N/A</v>
      </c>
      <c r="DG685" t="e">
        <v>#N/A</v>
      </c>
      <c r="DH685" t="e">
        <v>#N/A</v>
      </c>
      <c r="DI685" t="e">
        <v>#N/A</v>
      </c>
    </row>
    <row r="686" spans="13:113">
      <c r="M686" t="str">
        <f t="shared" si="80"/>
        <v>"//*[@class=\"</v>
      </c>
      <c r="N686" t="str">
        <f t="shared" si="84"/>
        <v/>
      </c>
      <c r="O686" s="4" t="str">
        <f t="shared" si="85"/>
        <v>click</v>
      </c>
      <c r="P686" t="str">
        <f t="shared" si="86"/>
        <v>();</v>
      </c>
      <c r="Q686" t="str">
        <f t="shared" si="87"/>
        <v/>
      </c>
      <c r="R686" t="str">
        <f t="shared" si="82"/>
        <v/>
      </c>
      <c r="S686" s="1" t="str">
        <f t="shared" si="83"/>
        <v/>
      </c>
      <c r="CT686" t="e">
        <v>#N/A</v>
      </c>
      <c r="CU686" t="e">
        <v>#N/A</v>
      </c>
      <c r="CV686" t="e">
        <v>#N/A</v>
      </c>
      <c r="CW686" t="e">
        <v>#N/A</v>
      </c>
      <c r="CX686" t="e">
        <v>#N/A</v>
      </c>
      <c r="CY686" t="e">
        <v>#N/A</v>
      </c>
      <c r="CZ686" t="e">
        <v>#N/A</v>
      </c>
      <c r="DA686" t="e">
        <v>#N/A</v>
      </c>
      <c r="DB686" t="e">
        <v>#N/A</v>
      </c>
      <c r="DC686" t="e">
        <v>#N/A</v>
      </c>
      <c r="DD686" t="e">
        <v>#N/A</v>
      </c>
      <c r="DE686" t="e">
        <v>#N/A</v>
      </c>
      <c r="DF686" t="e">
        <v>#N/A</v>
      </c>
      <c r="DG686" t="e">
        <v>#N/A</v>
      </c>
      <c r="DH686" t="e">
        <v>#N/A</v>
      </c>
      <c r="DI686" t="e">
        <v>#N/A</v>
      </c>
    </row>
    <row r="687" spans="13:113">
      <c r="M687" t="str">
        <f t="shared" si="80"/>
        <v>"//*[@class=\"</v>
      </c>
      <c r="N687" t="str">
        <f t="shared" si="84"/>
        <v/>
      </c>
      <c r="O687" s="4" t="str">
        <f t="shared" si="85"/>
        <v>click</v>
      </c>
      <c r="P687" t="str">
        <f t="shared" si="86"/>
        <v>();</v>
      </c>
      <c r="Q687" t="str">
        <f t="shared" si="87"/>
        <v/>
      </c>
      <c r="R687" t="str">
        <f t="shared" si="82"/>
        <v/>
      </c>
      <c r="S687" s="1" t="str">
        <f t="shared" si="83"/>
        <v/>
      </c>
      <c r="CT687" t="e">
        <v>#N/A</v>
      </c>
      <c r="CU687" t="e">
        <v>#N/A</v>
      </c>
      <c r="CV687" t="e">
        <v>#N/A</v>
      </c>
      <c r="CW687" t="e">
        <v>#N/A</v>
      </c>
      <c r="CX687" t="e">
        <v>#N/A</v>
      </c>
      <c r="CY687" t="e">
        <v>#N/A</v>
      </c>
      <c r="CZ687" t="e">
        <v>#N/A</v>
      </c>
      <c r="DA687" t="e">
        <v>#N/A</v>
      </c>
      <c r="DB687" t="e">
        <v>#N/A</v>
      </c>
      <c r="DC687" t="e">
        <v>#N/A</v>
      </c>
      <c r="DD687" t="e">
        <v>#N/A</v>
      </c>
      <c r="DE687" t="e">
        <v>#N/A</v>
      </c>
      <c r="DF687" t="e">
        <v>#N/A</v>
      </c>
      <c r="DG687" t="e">
        <v>#N/A</v>
      </c>
      <c r="DH687" t="e">
        <v>#N/A</v>
      </c>
      <c r="DI687" t="e">
        <v>#N/A</v>
      </c>
    </row>
    <row r="688" spans="13:113">
      <c r="M688" t="str">
        <f t="shared" si="80"/>
        <v>"//*[@class=\"</v>
      </c>
      <c r="N688" t="str">
        <f t="shared" si="84"/>
        <v/>
      </c>
      <c r="O688" s="4" t="str">
        <f t="shared" si="85"/>
        <v>click</v>
      </c>
      <c r="P688" t="str">
        <f t="shared" si="86"/>
        <v>();</v>
      </c>
      <c r="Q688" t="str">
        <f t="shared" si="87"/>
        <v/>
      </c>
      <c r="R688" t="str">
        <f t="shared" si="82"/>
        <v/>
      </c>
      <c r="S688" s="1" t="str">
        <f t="shared" si="83"/>
        <v/>
      </c>
      <c r="CT688" t="e">
        <v>#N/A</v>
      </c>
      <c r="CU688" t="e">
        <v>#N/A</v>
      </c>
      <c r="CV688" t="e">
        <v>#N/A</v>
      </c>
      <c r="CW688" t="e">
        <v>#N/A</v>
      </c>
      <c r="CX688" t="e">
        <v>#N/A</v>
      </c>
      <c r="CY688" t="e">
        <v>#N/A</v>
      </c>
      <c r="CZ688" t="e">
        <v>#N/A</v>
      </c>
      <c r="DA688" t="e">
        <v>#N/A</v>
      </c>
      <c r="DB688" t="e">
        <v>#N/A</v>
      </c>
      <c r="DC688" t="e">
        <v>#N/A</v>
      </c>
      <c r="DD688" t="e">
        <v>#N/A</v>
      </c>
      <c r="DE688" t="e">
        <v>#N/A</v>
      </c>
      <c r="DF688" t="e">
        <v>#N/A</v>
      </c>
      <c r="DG688" t="e">
        <v>#N/A</v>
      </c>
      <c r="DH688" t="e">
        <v>#N/A</v>
      </c>
      <c r="DI688" t="e">
        <v>#N/A</v>
      </c>
    </row>
    <row r="689" spans="13:113">
      <c r="M689" t="str">
        <f t="shared" si="80"/>
        <v>"//*[@class=\"</v>
      </c>
      <c r="N689" t="str">
        <f t="shared" si="84"/>
        <v/>
      </c>
      <c r="O689" s="4" t="str">
        <f t="shared" si="85"/>
        <v>click</v>
      </c>
      <c r="P689" t="str">
        <f t="shared" si="86"/>
        <v>();</v>
      </c>
      <c r="Q689" t="str">
        <f t="shared" si="87"/>
        <v/>
      </c>
      <c r="R689" t="str">
        <f t="shared" si="82"/>
        <v/>
      </c>
      <c r="S689" s="1" t="str">
        <f t="shared" si="83"/>
        <v/>
      </c>
      <c r="CT689" t="e">
        <v>#N/A</v>
      </c>
      <c r="CU689" t="e">
        <v>#N/A</v>
      </c>
      <c r="CV689" t="e">
        <v>#N/A</v>
      </c>
      <c r="CW689" t="e">
        <v>#N/A</v>
      </c>
      <c r="CX689" t="e">
        <v>#N/A</v>
      </c>
      <c r="CY689" t="e">
        <v>#N/A</v>
      </c>
      <c r="CZ689" t="e">
        <v>#N/A</v>
      </c>
      <c r="DA689" t="e">
        <v>#N/A</v>
      </c>
      <c r="DB689" t="e">
        <v>#N/A</v>
      </c>
      <c r="DC689" t="e">
        <v>#N/A</v>
      </c>
      <c r="DD689" t="e">
        <v>#N/A</v>
      </c>
      <c r="DE689" t="e">
        <v>#N/A</v>
      </c>
      <c r="DF689" t="e">
        <v>#N/A</v>
      </c>
      <c r="DG689" t="e">
        <v>#N/A</v>
      </c>
      <c r="DH689" t="e">
        <v>#N/A</v>
      </c>
      <c r="DI689" t="e">
        <v>#N/A</v>
      </c>
    </row>
    <row r="690" spans="13:113">
      <c r="M690" t="str">
        <f t="shared" si="80"/>
        <v>"//*[@class=\"</v>
      </c>
      <c r="N690" t="str">
        <f t="shared" si="84"/>
        <v/>
      </c>
      <c r="O690" s="4" t="str">
        <f t="shared" si="85"/>
        <v>click</v>
      </c>
      <c r="P690" t="str">
        <f t="shared" si="86"/>
        <v>();</v>
      </c>
      <c r="Q690" t="str">
        <f t="shared" si="87"/>
        <v/>
      </c>
      <c r="R690" t="str">
        <f t="shared" si="82"/>
        <v/>
      </c>
      <c r="S690" s="1" t="str">
        <f t="shared" si="83"/>
        <v/>
      </c>
      <c r="CT690" t="e">
        <v>#N/A</v>
      </c>
      <c r="CU690" t="e">
        <v>#N/A</v>
      </c>
      <c r="CV690" t="e">
        <v>#N/A</v>
      </c>
      <c r="CW690" t="e">
        <v>#N/A</v>
      </c>
      <c r="CX690" t="e">
        <v>#N/A</v>
      </c>
      <c r="CY690" t="e">
        <v>#N/A</v>
      </c>
      <c r="CZ690" t="e">
        <v>#N/A</v>
      </c>
      <c r="DA690" t="e">
        <v>#N/A</v>
      </c>
      <c r="DB690" t="e">
        <v>#N/A</v>
      </c>
      <c r="DC690" t="e">
        <v>#N/A</v>
      </c>
      <c r="DD690" t="e">
        <v>#N/A</v>
      </c>
      <c r="DE690" t="e">
        <v>#N/A</v>
      </c>
      <c r="DF690" t="e">
        <v>#N/A</v>
      </c>
      <c r="DG690" t="e">
        <v>#N/A</v>
      </c>
      <c r="DH690" t="e">
        <v>#N/A</v>
      </c>
      <c r="DI690" t="e">
        <v>#N/A</v>
      </c>
    </row>
    <row r="691" spans="13:113">
      <c r="M691" t="str">
        <f t="shared" si="80"/>
        <v>"//*[@class=\"</v>
      </c>
      <c r="N691" t="str">
        <f t="shared" si="84"/>
        <v/>
      </c>
      <c r="O691" s="4" t="str">
        <f t="shared" si="85"/>
        <v>click</v>
      </c>
      <c r="P691" t="str">
        <f t="shared" si="86"/>
        <v>();</v>
      </c>
      <c r="Q691" t="str">
        <f t="shared" si="87"/>
        <v/>
      </c>
      <c r="R691" t="str">
        <f t="shared" si="82"/>
        <v/>
      </c>
      <c r="S691" s="1" t="str">
        <f t="shared" si="83"/>
        <v/>
      </c>
      <c r="CT691" t="e">
        <v>#N/A</v>
      </c>
      <c r="CU691" t="e">
        <v>#N/A</v>
      </c>
      <c r="CV691" t="e">
        <v>#N/A</v>
      </c>
      <c r="CW691" t="e">
        <v>#N/A</v>
      </c>
      <c r="CX691" t="e">
        <v>#N/A</v>
      </c>
      <c r="CY691" t="e">
        <v>#N/A</v>
      </c>
      <c r="CZ691" t="e">
        <v>#N/A</v>
      </c>
      <c r="DA691" t="e">
        <v>#N/A</v>
      </c>
      <c r="DB691" t="e">
        <v>#N/A</v>
      </c>
      <c r="DC691" t="e">
        <v>#N/A</v>
      </c>
      <c r="DD691" t="e">
        <v>#N/A</v>
      </c>
      <c r="DE691" t="e">
        <v>#N/A</v>
      </c>
      <c r="DF691" t="e">
        <v>#N/A</v>
      </c>
      <c r="DG691" t="e">
        <v>#N/A</v>
      </c>
      <c r="DH691" t="e">
        <v>#N/A</v>
      </c>
      <c r="DI691" t="e">
        <v>#N/A</v>
      </c>
    </row>
    <row r="692" spans="13:113">
      <c r="M692" t="str">
        <f t="shared" si="80"/>
        <v>"//*[@class=\"</v>
      </c>
      <c r="N692" t="str">
        <f t="shared" si="84"/>
        <v/>
      </c>
      <c r="O692" s="4" t="str">
        <f t="shared" si="85"/>
        <v>click</v>
      </c>
      <c r="P692" t="str">
        <f t="shared" si="86"/>
        <v>();</v>
      </c>
      <c r="Q692" t="str">
        <f t="shared" si="87"/>
        <v/>
      </c>
      <c r="R692" t="str">
        <f t="shared" si="82"/>
        <v/>
      </c>
      <c r="S692" s="1" t="str">
        <f t="shared" si="83"/>
        <v/>
      </c>
      <c r="CT692" t="e">
        <v>#N/A</v>
      </c>
      <c r="CU692" t="e">
        <v>#N/A</v>
      </c>
      <c r="CV692" t="e">
        <v>#N/A</v>
      </c>
      <c r="CW692" t="e">
        <v>#N/A</v>
      </c>
      <c r="CX692" t="e">
        <v>#N/A</v>
      </c>
      <c r="CY692" t="e">
        <v>#N/A</v>
      </c>
      <c r="CZ692" t="e">
        <v>#N/A</v>
      </c>
      <c r="DA692" t="e">
        <v>#N/A</v>
      </c>
      <c r="DB692" t="e">
        <v>#N/A</v>
      </c>
      <c r="DC692" t="e">
        <v>#N/A</v>
      </c>
      <c r="DD692" t="e">
        <v>#N/A</v>
      </c>
      <c r="DE692" t="e">
        <v>#N/A</v>
      </c>
      <c r="DF692" t="e">
        <v>#N/A</v>
      </c>
      <c r="DG692" t="e">
        <v>#N/A</v>
      </c>
      <c r="DH692" t="e">
        <v>#N/A</v>
      </c>
      <c r="DI692" t="e">
        <v>#N/A</v>
      </c>
    </row>
    <row r="693" spans="13:113">
      <c r="M693" t="str">
        <f t="shared" si="80"/>
        <v>"//*[@class=\"</v>
      </c>
      <c r="N693" t="str">
        <f t="shared" si="84"/>
        <v/>
      </c>
      <c r="O693" s="4" t="str">
        <f t="shared" si="85"/>
        <v>click</v>
      </c>
      <c r="P693" t="str">
        <f t="shared" si="86"/>
        <v>();</v>
      </c>
      <c r="Q693" t="str">
        <f t="shared" si="87"/>
        <v/>
      </c>
      <c r="R693" t="str">
        <f t="shared" si="82"/>
        <v/>
      </c>
      <c r="S693" s="1" t="str">
        <f t="shared" si="83"/>
        <v/>
      </c>
      <c r="CT693" t="e">
        <v>#N/A</v>
      </c>
      <c r="CU693" t="e">
        <v>#N/A</v>
      </c>
      <c r="CV693" t="e">
        <v>#N/A</v>
      </c>
      <c r="CW693" t="e">
        <v>#N/A</v>
      </c>
      <c r="CX693" t="e">
        <v>#N/A</v>
      </c>
      <c r="CY693" t="e">
        <v>#N/A</v>
      </c>
      <c r="CZ693" t="e">
        <v>#N/A</v>
      </c>
      <c r="DA693" t="e">
        <v>#N/A</v>
      </c>
      <c r="DB693" t="e">
        <v>#N/A</v>
      </c>
      <c r="DC693" t="e">
        <v>#N/A</v>
      </c>
      <c r="DD693" t="e">
        <v>#N/A</v>
      </c>
      <c r="DE693" t="e">
        <v>#N/A</v>
      </c>
      <c r="DF693" t="e">
        <v>#N/A</v>
      </c>
      <c r="DG693" t="e">
        <v>#N/A</v>
      </c>
      <c r="DH693" t="e">
        <v>#N/A</v>
      </c>
      <c r="DI693" t="e">
        <v>#N/A</v>
      </c>
    </row>
    <row r="694" spans="13:113">
      <c r="M694" t="str">
        <f t="shared" si="80"/>
        <v>"//*[@class=\"</v>
      </c>
      <c r="N694" t="str">
        <f t="shared" si="84"/>
        <v/>
      </c>
      <c r="O694" s="4" t="str">
        <f t="shared" si="85"/>
        <v>click</v>
      </c>
      <c r="P694" t="str">
        <f t="shared" si="86"/>
        <v>();</v>
      </c>
      <c r="Q694" t="str">
        <f t="shared" si="87"/>
        <v/>
      </c>
      <c r="R694" t="str">
        <f t="shared" si="82"/>
        <v/>
      </c>
      <c r="S694" s="1" t="str">
        <f t="shared" si="83"/>
        <v/>
      </c>
      <c r="CT694" t="e">
        <v>#N/A</v>
      </c>
      <c r="CU694" t="e">
        <v>#N/A</v>
      </c>
      <c r="CV694" t="e">
        <v>#N/A</v>
      </c>
      <c r="CW694" t="e">
        <v>#N/A</v>
      </c>
      <c r="CX694" t="e">
        <v>#N/A</v>
      </c>
      <c r="CY694" t="e">
        <v>#N/A</v>
      </c>
      <c r="CZ694" t="e">
        <v>#N/A</v>
      </c>
      <c r="DA694" t="e">
        <v>#N/A</v>
      </c>
      <c r="DB694" t="e">
        <v>#N/A</v>
      </c>
      <c r="DC694" t="e">
        <v>#N/A</v>
      </c>
      <c r="DD694" t="e">
        <v>#N/A</v>
      </c>
      <c r="DE694" t="e">
        <v>#N/A</v>
      </c>
      <c r="DF694" t="e">
        <v>#N/A</v>
      </c>
      <c r="DG694" t="e">
        <v>#N/A</v>
      </c>
      <c r="DH694" t="e">
        <v>#N/A</v>
      </c>
      <c r="DI694" t="e">
        <v>#N/A</v>
      </c>
    </row>
    <row r="695" spans="13:113">
      <c r="M695" t="str">
        <f t="shared" si="80"/>
        <v>"//*[@class=\"</v>
      </c>
      <c r="N695" t="str">
        <f t="shared" si="84"/>
        <v/>
      </c>
      <c r="O695" s="4" t="str">
        <f t="shared" si="85"/>
        <v>click</v>
      </c>
      <c r="P695" t="str">
        <f t="shared" si="86"/>
        <v>();</v>
      </c>
      <c r="Q695" t="str">
        <f t="shared" si="87"/>
        <v/>
      </c>
      <c r="R695" t="str">
        <f t="shared" si="82"/>
        <v/>
      </c>
      <c r="S695" s="1" t="str">
        <f t="shared" si="83"/>
        <v/>
      </c>
      <c r="CT695" t="e">
        <v>#N/A</v>
      </c>
      <c r="CU695" t="e">
        <v>#N/A</v>
      </c>
      <c r="CV695" t="e">
        <v>#N/A</v>
      </c>
      <c r="CW695" t="e">
        <v>#N/A</v>
      </c>
      <c r="CX695" t="e">
        <v>#N/A</v>
      </c>
      <c r="CY695" t="e">
        <v>#N/A</v>
      </c>
      <c r="CZ695" t="e">
        <v>#N/A</v>
      </c>
      <c r="DA695" t="e">
        <v>#N/A</v>
      </c>
      <c r="DB695" t="e">
        <v>#N/A</v>
      </c>
      <c r="DC695" t="e">
        <v>#N/A</v>
      </c>
      <c r="DD695" t="e">
        <v>#N/A</v>
      </c>
      <c r="DE695" t="e">
        <v>#N/A</v>
      </c>
      <c r="DF695" t="e">
        <v>#N/A</v>
      </c>
      <c r="DG695" t="e">
        <v>#N/A</v>
      </c>
      <c r="DH695" t="e">
        <v>#N/A</v>
      </c>
      <c r="DI695" t="e">
        <v>#N/A</v>
      </c>
    </row>
    <row r="696" spans="13:113">
      <c r="M696" t="str">
        <f t="shared" si="80"/>
        <v>"//*[@class=\"</v>
      </c>
      <c r="N696" t="str">
        <f t="shared" si="84"/>
        <v/>
      </c>
      <c r="O696" s="4" t="str">
        <f t="shared" si="85"/>
        <v>click</v>
      </c>
      <c r="P696" t="str">
        <f t="shared" si="86"/>
        <v>();</v>
      </c>
      <c r="Q696" t="str">
        <f t="shared" si="87"/>
        <v/>
      </c>
      <c r="R696" t="str">
        <f t="shared" si="82"/>
        <v/>
      </c>
      <c r="S696" s="1" t="str">
        <f t="shared" si="83"/>
        <v/>
      </c>
      <c r="CT696" t="e">
        <v>#N/A</v>
      </c>
      <c r="CU696" t="e">
        <v>#N/A</v>
      </c>
      <c r="CV696" t="e">
        <v>#N/A</v>
      </c>
      <c r="CW696" t="e">
        <v>#N/A</v>
      </c>
      <c r="CX696" t="e">
        <v>#N/A</v>
      </c>
      <c r="CY696" t="e">
        <v>#N/A</v>
      </c>
      <c r="CZ696" t="e">
        <v>#N/A</v>
      </c>
      <c r="DA696" t="e">
        <v>#N/A</v>
      </c>
      <c r="DB696" t="e">
        <v>#N/A</v>
      </c>
      <c r="DC696" t="e">
        <v>#N/A</v>
      </c>
      <c r="DD696" t="e">
        <v>#N/A</v>
      </c>
      <c r="DE696" t="e">
        <v>#N/A</v>
      </c>
      <c r="DF696" t="e">
        <v>#N/A</v>
      </c>
      <c r="DG696" t="e">
        <v>#N/A</v>
      </c>
      <c r="DH696" t="e">
        <v>#N/A</v>
      </c>
      <c r="DI696" t="e">
        <v>#N/A</v>
      </c>
    </row>
    <row r="697" spans="13:113">
      <c r="M697" t="str">
        <f t="shared" si="80"/>
        <v>"//*[@class=\"</v>
      </c>
      <c r="N697" t="str">
        <f t="shared" si="84"/>
        <v/>
      </c>
      <c r="O697" s="4" t="str">
        <f t="shared" si="85"/>
        <v>click</v>
      </c>
      <c r="P697" t="str">
        <f t="shared" si="86"/>
        <v>();</v>
      </c>
      <c r="Q697" t="str">
        <f t="shared" si="87"/>
        <v/>
      </c>
      <c r="R697" t="str">
        <f t="shared" si="82"/>
        <v/>
      </c>
      <c r="S697" s="1" t="str">
        <f t="shared" si="83"/>
        <v/>
      </c>
      <c r="CT697" t="e">
        <v>#N/A</v>
      </c>
      <c r="CU697" t="e">
        <v>#N/A</v>
      </c>
      <c r="CV697" t="e">
        <v>#N/A</v>
      </c>
      <c r="CW697" t="e">
        <v>#N/A</v>
      </c>
      <c r="CX697" t="e">
        <v>#N/A</v>
      </c>
      <c r="CY697" t="e">
        <v>#N/A</v>
      </c>
      <c r="CZ697" t="e">
        <v>#N/A</v>
      </c>
      <c r="DA697" t="e">
        <v>#N/A</v>
      </c>
      <c r="DB697" t="e">
        <v>#N/A</v>
      </c>
      <c r="DC697" t="e">
        <v>#N/A</v>
      </c>
      <c r="DD697" t="e">
        <v>#N/A</v>
      </c>
      <c r="DE697" t="e">
        <v>#N/A</v>
      </c>
      <c r="DF697" t="e">
        <v>#N/A</v>
      </c>
      <c r="DG697" t="e">
        <v>#N/A</v>
      </c>
      <c r="DH697" t="e">
        <v>#N/A</v>
      </c>
      <c r="DI697" t="e">
        <v>#N/A</v>
      </c>
    </row>
    <row r="698" spans="13:113">
      <c r="M698" t="str">
        <f t="shared" si="80"/>
        <v>"//*[@class=\"</v>
      </c>
      <c r="N698" t="str">
        <f t="shared" si="84"/>
        <v/>
      </c>
      <c r="O698" s="4" t="str">
        <f t="shared" si="85"/>
        <v>click</v>
      </c>
      <c r="P698" t="str">
        <f t="shared" si="86"/>
        <v>();</v>
      </c>
      <c r="Q698" t="str">
        <f t="shared" si="87"/>
        <v/>
      </c>
      <c r="R698" t="str">
        <f t="shared" si="82"/>
        <v/>
      </c>
      <c r="S698" s="1" t="str">
        <f t="shared" si="83"/>
        <v/>
      </c>
      <c r="CT698" t="e">
        <v>#N/A</v>
      </c>
      <c r="CU698" t="e">
        <v>#N/A</v>
      </c>
      <c r="CV698" t="e">
        <v>#N/A</v>
      </c>
      <c r="CW698" t="e">
        <v>#N/A</v>
      </c>
      <c r="CX698" t="e">
        <v>#N/A</v>
      </c>
      <c r="CY698" t="e">
        <v>#N/A</v>
      </c>
      <c r="CZ698" t="e">
        <v>#N/A</v>
      </c>
      <c r="DA698" t="e">
        <v>#N/A</v>
      </c>
      <c r="DB698" t="e">
        <v>#N/A</v>
      </c>
      <c r="DC698" t="e">
        <v>#N/A</v>
      </c>
      <c r="DD698" t="e">
        <v>#N/A</v>
      </c>
      <c r="DE698" t="e">
        <v>#N/A</v>
      </c>
      <c r="DF698" t="e">
        <v>#N/A</v>
      </c>
      <c r="DG698" t="e">
        <v>#N/A</v>
      </c>
      <c r="DH698" t="e">
        <v>#N/A</v>
      </c>
      <c r="DI698" t="e">
        <v>#N/A</v>
      </c>
    </row>
    <row r="699" spans="13:113">
      <c r="M699" t="str">
        <f t="shared" si="80"/>
        <v>"//*[@class=\"</v>
      </c>
      <c r="N699" t="str">
        <f t="shared" si="84"/>
        <v/>
      </c>
      <c r="O699" s="4" t="str">
        <f t="shared" si="85"/>
        <v>click</v>
      </c>
      <c r="P699" t="str">
        <f t="shared" si="86"/>
        <v>();</v>
      </c>
      <c r="Q699" t="str">
        <f t="shared" si="87"/>
        <v/>
      </c>
      <c r="R699" t="str">
        <f t="shared" si="82"/>
        <v/>
      </c>
      <c r="S699" s="1" t="str">
        <f t="shared" si="83"/>
        <v/>
      </c>
      <c r="CT699" t="e">
        <v>#N/A</v>
      </c>
      <c r="CU699" t="e">
        <v>#N/A</v>
      </c>
      <c r="CV699" t="e">
        <v>#N/A</v>
      </c>
      <c r="CW699" t="e">
        <v>#N/A</v>
      </c>
      <c r="CX699" t="e">
        <v>#N/A</v>
      </c>
      <c r="CY699" t="e">
        <v>#N/A</v>
      </c>
      <c r="CZ699" t="e">
        <v>#N/A</v>
      </c>
      <c r="DA699" t="e">
        <v>#N/A</v>
      </c>
      <c r="DB699" t="e">
        <v>#N/A</v>
      </c>
      <c r="DC699" t="e">
        <v>#N/A</v>
      </c>
      <c r="DD699" t="e">
        <v>#N/A</v>
      </c>
      <c r="DE699" t="e">
        <v>#N/A</v>
      </c>
      <c r="DF699" t="e">
        <v>#N/A</v>
      </c>
      <c r="DG699" t="e">
        <v>#N/A</v>
      </c>
      <c r="DH699" t="e">
        <v>#N/A</v>
      </c>
      <c r="DI699" t="e">
        <v>#N/A</v>
      </c>
    </row>
    <row r="700" spans="13:113">
      <c r="M700" t="str">
        <f t="shared" si="80"/>
        <v>"//*[@class=\"</v>
      </c>
      <c r="N700" t="str">
        <f t="shared" si="84"/>
        <v/>
      </c>
      <c r="O700" s="4" t="str">
        <f t="shared" si="85"/>
        <v>click</v>
      </c>
      <c r="P700" t="str">
        <f t="shared" si="86"/>
        <v>();</v>
      </c>
      <c r="Q700" t="str">
        <f t="shared" si="87"/>
        <v/>
      </c>
      <c r="R700" t="str">
        <f t="shared" si="82"/>
        <v/>
      </c>
      <c r="S700" s="1" t="str">
        <f t="shared" si="83"/>
        <v/>
      </c>
      <c r="CT700" t="e">
        <v>#N/A</v>
      </c>
      <c r="CU700" t="e">
        <v>#N/A</v>
      </c>
      <c r="CV700" t="e">
        <v>#N/A</v>
      </c>
      <c r="CW700" t="e">
        <v>#N/A</v>
      </c>
      <c r="CX700" t="e">
        <v>#N/A</v>
      </c>
      <c r="CY700" t="e">
        <v>#N/A</v>
      </c>
      <c r="CZ700" t="e">
        <v>#N/A</v>
      </c>
      <c r="DA700" t="e">
        <v>#N/A</v>
      </c>
      <c r="DB700" t="e">
        <v>#N/A</v>
      </c>
      <c r="DC700" t="e">
        <v>#N/A</v>
      </c>
      <c r="DD700" t="e">
        <v>#N/A</v>
      </c>
      <c r="DE700" t="e">
        <v>#N/A</v>
      </c>
      <c r="DF700" t="e">
        <v>#N/A</v>
      </c>
      <c r="DG700" t="e">
        <v>#N/A</v>
      </c>
      <c r="DH700" t="e">
        <v>#N/A</v>
      </c>
      <c r="DI700" t="e">
        <v>#N/A</v>
      </c>
    </row>
    <row r="701" spans="13:113">
      <c r="M701" t="str">
        <f t="shared" si="80"/>
        <v>"//*[@class=\"</v>
      </c>
      <c r="N701" t="str">
        <f t="shared" si="84"/>
        <v/>
      </c>
      <c r="O701" s="4" t="str">
        <f t="shared" si="85"/>
        <v>click</v>
      </c>
      <c r="P701" t="str">
        <f t="shared" si="86"/>
        <v>();</v>
      </c>
      <c r="Q701" t="str">
        <f t="shared" si="87"/>
        <v/>
      </c>
      <c r="R701" t="str">
        <f t="shared" si="82"/>
        <v/>
      </c>
      <c r="S701" s="1" t="str">
        <f t="shared" si="83"/>
        <v/>
      </c>
      <c r="CT701" t="e">
        <v>#N/A</v>
      </c>
      <c r="CU701" t="e">
        <v>#N/A</v>
      </c>
      <c r="CV701" t="e">
        <v>#N/A</v>
      </c>
      <c r="CW701" t="e">
        <v>#N/A</v>
      </c>
      <c r="CX701" t="e">
        <v>#N/A</v>
      </c>
      <c r="CY701" t="e">
        <v>#N/A</v>
      </c>
      <c r="CZ701" t="e">
        <v>#N/A</v>
      </c>
      <c r="DA701" t="e">
        <v>#N/A</v>
      </c>
      <c r="DB701" t="e">
        <v>#N/A</v>
      </c>
      <c r="DC701" t="e">
        <v>#N/A</v>
      </c>
      <c r="DD701" t="e">
        <v>#N/A</v>
      </c>
      <c r="DE701" t="e">
        <v>#N/A</v>
      </c>
      <c r="DF701" t="e">
        <v>#N/A</v>
      </c>
      <c r="DG701" t="e">
        <v>#N/A</v>
      </c>
      <c r="DH701" t="e">
        <v>#N/A</v>
      </c>
      <c r="DI701" t="e">
        <v>#N/A</v>
      </c>
    </row>
    <row r="702" spans="13:113">
      <c r="M702" t="str">
        <f t="shared" si="80"/>
        <v>"//*[@class=\"</v>
      </c>
      <c r="N702" t="str">
        <f t="shared" si="84"/>
        <v/>
      </c>
      <c r="O702" s="4" t="str">
        <f t="shared" si="85"/>
        <v>click</v>
      </c>
      <c r="P702" t="str">
        <f t="shared" si="86"/>
        <v>();</v>
      </c>
      <c r="Q702" t="str">
        <f t="shared" si="87"/>
        <v/>
      </c>
      <c r="R702" t="str">
        <f t="shared" si="82"/>
        <v/>
      </c>
      <c r="S702" s="1" t="str">
        <f t="shared" si="83"/>
        <v/>
      </c>
      <c r="CT702" t="e">
        <v>#N/A</v>
      </c>
      <c r="CU702" t="e">
        <v>#N/A</v>
      </c>
      <c r="CV702" t="e">
        <v>#N/A</v>
      </c>
      <c r="CW702" t="e">
        <v>#N/A</v>
      </c>
      <c r="CX702" t="e">
        <v>#N/A</v>
      </c>
      <c r="CY702" t="e">
        <v>#N/A</v>
      </c>
      <c r="CZ702" t="e">
        <v>#N/A</v>
      </c>
      <c r="DA702" t="e">
        <v>#N/A</v>
      </c>
      <c r="DB702" t="e">
        <v>#N/A</v>
      </c>
      <c r="DC702" t="e">
        <v>#N/A</v>
      </c>
      <c r="DD702" t="e">
        <v>#N/A</v>
      </c>
      <c r="DE702" t="e">
        <v>#N/A</v>
      </c>
      <c r="DF702" t="e">
        <v>#N/A</v>
      </c>
      <c r="DG702" t="e">
        <v>#N/A</v>
      </c>
      <c r="DH702" t="e">
        <v>#N/A</v>
      </c>
      <c r="DI702" t="e">
        <v>#N/A</v>
      </c>
    </row>
    <row r="703" spans="13:113">
      <c r="M703" t="str">
        <f t="shared" si="80"/>
        <v>"//*[@class=\"</v>
      </c>
      <c r="N703" t="str">
        <f t="shared" si="84"/>
        <v/>
      </c>
      <c r="O703" s="4" t="str">
        <f t="shared" si="85"/>
        <v>click</v>
      </c>
      <c r="P703" t="str">
        <f t="shared" si="86"/>
        <v>();</v>
      </c>
      <c r="Q703" t="str">
        <f t="shared" si="87"/>
        <v/>
      </c>
      <c r="R703" t="str">
        <f t="shared" si="82"/>
        <v/>
      </c>
      <c r="S703" s="1" t="str">
        <f t="shared" si="83"/>
        <v/>
      </c>
      <c r="CT703" t="e">
        <v>#N/A</v>
      </c>
      <c r="CU703" t="e">
        <v>#N/A</v>
      </c>
      <c r="CV703" t="e">
        <v>#N/A</v>
      </c>
      <c r="CW703" t="e">
        <v>#N/A</v>
      </c>
      <c r="CX703" t="e">
        <v>#N/A</v>
      </c>
      <c r="CY703" t="e">
        <v>#N/A</v>
      </c>
      <c r="CZ703" t="e">
        <v>#N/A</v>
      </c>
      <c r="DA703" t="e">
        <v>#N/A</v>
      </c>
      <c r="DB703" t="e">
        <v>#N/A</v>
      </c>
      <c r="DC703" t="e">
        <v>#N/A</v>
      </c>
      <c r="DD703" t="e">
        <v>#N/A</v>
      </c>
      <c r="DE703" t="e">
        <v>#N/A</v>
      </c>
      <c r="DF703" t="e">
        <v>#N/A</v>
      </c>
      <c r="DG703" t="e">
        <v>#N/A</v>
      </c>
      <c r="DH703" t="e">
        <v>#N/A</v>
      </c>
      <c r="DI703" t="e">
        <v>#N/A</v>
      </c>
    </row>
    <row r="704" spans="13:113">
      <c r="M704" t="str">
        <f t="shared" si="80"/>
        <v>"//*[@class=\"</v>
      </c>
      <c r="N704" t="str">
        <f t="shared" si="84"/>
        <v/>
      </c>
      <c r="O704" s="4" t="str">
        <f t="shared" si="85"/>
        <v>click</v>
      </c>
      <c r="P704" t="str">
        <f t="shared" si="86"/>
        <v>();</v>
      </c>
      <c r="Q704" t="str">
        <f t="shared" si="87"/>
        <v/>
      </c>
      <c r="R704" t="str">
        <f t="shared" si="82"/>
        <v/>
      </c>
      <c r="S704" s="1" t="str">
        <f t="shared" si="83"/>
        <v/>
      </c>
      <c r="CT704" t="e">
        <v>#N/A</v>
      </c>
      <c r="CU704" t="e">
        <v>#N/A</v>
      </c>
      <c r="CV704" t="e">
        <v>#N/A</v>
      </c>
      <c r="CW704" t="e">
        <v>#N/A</v>
      </c>
      <c r="CX704" t="e">
        <v>#N/A</v>
      </c>
      <c r="CY704" t="e">
        <v>#N/A</v>
      </c>
      <c r="CZ704" t="e">
        <v>#N/A</v>
      </c>
      <c r="DA704" t="e">
        <v>#N/A</v>
      </c>
      <c r="DB704" t="e">
        <v>#N/A</v>
      </c>
      <c r="DC704" t="e">
        <v>#N/A</v>
      </c>
      <c r="DD704" t="e">
        <v>#N/A</v>
      </c>
      <c r="DE704" t="e">
        <v>#N/A</v>
      </c>
      <c r="DF704" t="e">
        <v>#N/A</v>
      </c>
      <c r="DG704" t="e">
        <v>#N/A</v>
      </c>
      <c r="DH704" t="e">
        <v>#N/A</v>
      </c>
      <c r="DI704" t="e">
        <v>#N/A</v>
      </c>
    </row>
    <row r="705" spans="13:113">
      <c r="M705" t="str">
        <f t="shared" si="80"/>
        <v>"//*[@class=\"</v>
      </c>
      <c r="N705" t="str">
        <f t="shared" si="84"/>
        <v/>
      </c>
      <c r="O705" s="4" t="str">
        <f t="shared" si="85"/>
        <v>click</v>
      </c>
      <c r="P705" t="str">
        <f t="shared" si="86"/>
        <v>();</v>
      </c>
      <c r="Q705" t="str">
        <f t="shared" si="87"/>
        <v/>
      </c>
      <c r="R705" t="str">
        <f t="shared" si="82"/>
        <v/>
      </c>
      <c r="S705" s="1" t="str">
        <f t="shared" si="83"/>
        <v/>
      </c>
      <c r="CT705" t="e">
        <v>#N/A</v>
      </c>
      <c r="CU705" t="e">
        <v>#N/A</v>
      </c>
      <c r="CV705" t="e">
        <v>#N/A</v>
      </c>
      <c r="CW705" t="e">
        <v>#N/A</v>
      </c>
      <c r="CX705" t="e">
        <v>#N/A</v>
      </c>
      <c r="CY705" t="e">
        <v>#N/A</v>
      </c>
      <c r="CZ705" t="e">
        <v>#N/A</v>
      </c>
      <c r="DA705" t="e">
        <v>#N/A</v>
      </c>
      <c r="DB705" t="e">
        <v>#N/A</v>
      </c>
      <c r="DC705" t="e">
        <v>#N/A</v>
      </c>
      <c r="DD705" t="e">
        <v>#N/A</v>
      </c>
      <c r="DE705" t="e">
        <v>#N/A</v>
      </c>
      <c r="DF705" t="e">
        <v>#N/A</v>
      </c>
      <c r="DG705" t="e">
        <v>#N/A</v>
      </c>
      <c r="DH705" t="e">
        <v>#N/A</v>
      </c>
      <c r="DI705" t="e">
        <v>#N/A</v>
      </c>
    </row>
    <row r="706" spans="13:113">
      <c r="M706" t="str">
        <f t="shared" si="80"/>
        <v>"//*[@class=\"</v>
      </c>
      <c r="N706" t="str">
        <f t="shared" si="84"/>
        <v/>
      </c>
      <c r="O706" s="4" t="str">
        <f t="shared" si="85"/>
        <v>click</v>
      </c>
      <c r="P706" t="str">
        <f t="shared" si="86"/>
        <v>();</v>
      </c>
      <c r="Q706" t="str">
        <f t="shared" si="87"/>
        <v/>
      </c>
      <c r="R706" t="str">
        <f t="shared" si="82"/>
        <v/>
      </c>
      <c r="S706" s="1" t="str">
        <f t="shared" si="83"/>
        <v/>
      </c>
      <c r="CT706" t="e">
        <v>#N/A</v>
      </c>
      <c r="CU706" t="e">
        <v>#N/A</v>
      </c>
      <c r="CV706" t="e">
        <v>#N/A</v>
      </c>
      <c r="CW706" t="e">
        <v>#N/A</v>
      </c>
      <c r="CX706" t="e">
        <v>#N/A</v>
      </c>
      <c r="CY706" t="e">
        <v>#N/A</v>
      </c>
      <c r="CZ706" t="e">
        <v>#N/A</v>
      </c>
      <c r="DA706" t="e">
        <v>#N/A</v>
      </c>
      <c r="DB706" t="e">
        <v>#N/A</v>
      </c>
      <c r="DC706" t="e">
        <v>#N/A</v>
      </c>
      <c r="DD706" t="e">
        <v>#N/A</v>
      </c>
      <c r="DE706" t="e">
        <v>#N/A</v>
      </c>
      <c r="DF706" t="e">
        <v>#N/A</v>
      </c>
      <c r="DG706" t="e">
        <v>#N/A</v>
      </c>
      <c r="DH706" t="e">
        <v>#N/A</v>
      </c>
      <c r="DI706" t="e">
        <v>#N/A</v>
      </c>
    </row>
    <row r="707" spans="13:113">
      <c r="M707" t="str">
        <f t="shared" si="80"/>
        <v>"//*[@class=\"</v>
      </c>
      <c r="N707" t="str">
        <f t="shared" si="84"/>
        <v/>
      </c>
      <c r="O707" s="4" t="str">
        <f t="shared" si="85"/>
        <v>click</v>
      </c>
      <c r="P707" t="str">
        <f t="shared" si="86"/>
        <v>();</v>
      </c>
      <c r="Q707" t="str">
        <f t="shared" si="87"/>
        <v/>
      </c>
      <c r="R707" t="str">
        <f t="shared" si="82"/>
        <v/>
      </c>
      <c r="S707" s="1" t="str">
        <f t="shared" si="83"/>
        <v/>
      </c>
      <c r="CT707" t="e">
        <v>#N/A</v>
      </c>
      <c r="CU707" t="e">
        <v>#N/A</v>
      </c>
      <c r="CV707" t="e">
        <v>#N/A</v>
      </c>
      <c r="CW707" t="e">
        <v>#N/A</v>
      </c>
      <c r="CX707" t="e">
        <v>#N/A</v>
      </c>
      <c r="CY707" t="e">
        <v>#N/A</v>
      </c>
      <c r="CZ707" t="e">
        <v>#N/A</v>
      </c>
      <c r="DA707" t="e">
        <v>#N/A</v>
      </c>
      <c r="DB707" t="e">
        <v>#N/A</v>
      </c>
      <c r="DC707" t="e">
        <v>#N/A</v>
      </c>
      <c r="DD707" t="e">
        <v>#N/A</v>
      </c>
      <c r="DE707" t="e">
        <v>#N/A</v>
      </c>
      <c r="DF707" t="e">
        <v>#N/A</v>
      </c>
      <c r="DG707" t="e">
        <v>#N/A</v>
      </c>
      <c r="DH707" t="e">
        <v>#N/A</v>
      </c>
      <c r="DI707" t="e">
        <v>#N/A</v>
      </c>
    </row>
    <row r="708" spans="13:113">
      <c r="M708" t="str">
        <f t="shared" si="80"/>
        <v>"//*[@class=\"</v>
      </c>
      <c r="N708" t="str">
        <f t="shared" si="84"/>
        <v/>
      </c>
      <c r="O708" s="4" t="str">
        <f t="shared" si="85"/>
        <v>click</v>
      </c>
      <c r="P708" t="str">
        <f t="shared" si="86"/>
        <v>();</v>
      </c>
      <c r="Q708" t="str">
        <f t="shared" si="87"/>
        <v/>
      </c>
      <c r="R708" t="str">
        <f t="shared" si="82"/>
        <v/>
      </c>
      <c r="S708" s="1" t="str">
        <f t="shared" si="83"/>
        <v/>
      </c>
      <c r="CT708" t="e">
        <v>#N/A</v>
      </c>
      <c r="CU708" t="e">
        <v>#N/A</v>
      </c>
      <c r="CV708" t="e">
        <v>#N/A</v>
      </c>
      <c r="CW708" t="e">
        <v>#N/A</v>
      </c>
      <c r="CX708" t="e">
        <v>#N/A</v>
      </c>
      <c r="CY708" t="e">
        <v>#N/A</v>
      </c>
      <c r="CZ708" t="e">
        <v>#N/A</v>
      </c>
      <c r="DA708" t="e">
        <v>#N/A</v>
      </c>
      <c r="DB708" t="e">
        <v>#N/A</v>
      </c>
      <c r="DC708" t="e">
        <v>#N/A</v>
      </c>
      <c r="DD708" t="e">
        <v>#N/A</v>
      </c>
      <c r="DE708" t="e">
        <v>#N/A</v>
      </c>
      <c r="DF708" t="e">
        <v>#N/A</v>
      </c>
      <c r="DG708" t="e">
        <v>#N/A</v>
      </c>
      <c r="DH708" t="e">
        <v>#N/A</v>
      </c>
      <c r="DI708" t="e">
        <v>#N/A</v>
      </c>
    </row>
    <row r="709" spans="13:113">
      <c r="M709" t="str">
        <f t="shared" si="80"/>
        <v>"//*[@class=\"</v>
      </c>
      <c r="N709" t="str">
        <f t="shared" si="84"/>
        <v/>
      </c>
      <c r="O709" s="4" t="str">
        <f t="shared" si="85"/>
        <v>click</v>
      </c>
      <c r="P709" t="str">
        <f t="shared" si="86"/>
        <v>();</v>
      </c>
      <c r="Q709" t="str">
        <f t="shared" si="87"/>
        <v/>
      </c>
      <c r="R709" t="str">
        <f t="shared" si="82"/>
        <v/>
      </c>
      <c r="S709" s="1" t="str">
        <f t="shared" si="83"/>
        <v/>
      </c>
      <c r="CT709" t="e">
        <v>#N/A</v>
      </c>
      <c r="CU709" t="e">
        <v>#N/A</v>
      </c>
      <c r="CV709" t="e">
        <v>#N/A</v>
      </c>
      <c r="CW709" t="e">
        <v>#N/A</v>
      </c>
      <c r="CX709" t="e">
        <v>#N/A</v>
      </c>
      <c r="CY709" t="e">
        <v>#N/A</v>
      </c>
      <c r="CZ709" t="e">
        <v>#N/A</v>
      </c>
      <c r="DA709" t="e">
        <v>#N/A</v>
      </c>
      <c r="DB709" t="e">
        <v>#N/A</v>
      </c>
      <c r="DC709" t="e">
        <v>#N/A</v>
      </c>
      <c r="DD709" t="e">
        <v>#N/A</v>
      </c>
      <c r="DE709" t="e">
        <v>#N/A</v>
      </c>
      <c r="DF709" t="e">
        <v>#N/A</v>
      </c>
      <c r="DG709" t="e">
        <v>#N/A</v>
      </c>
      <c r="DH709" t="e">
        <v>#N/A</v>
      </c>
      <c r="DI709" t="e">
        <v>#N/A</v>
      </c>
    </row>
    <row r="710" spans="13:113">
      <c r="M710" t="str">
        <f t="shared" si="80"/>
        <v>"//*[@class=\"</v>
      </c>
      <c r="N710" t="str">
        <f t="shared" si="84"/>
        <v/>
      </c>
      <c r="O710" s="4" t="str">
        <f t="shared" si="85"/>
        <v>click</v>
      </c>
      <c r="P710" t="str">
        <f t="shared" si="86"/>
        <v>();</v>
      </c>
      <c r="Q710" t="str">
        <f t="shared" si="87"/>
        <v/>
      </c>
      <c r="R710" t="str">
        <f t="shared" si="82"/>
        <v/>
      </c>
      <c r="S710" s="1" t="str">
        <f t="shared" si="83"/>
        <v/>
      </c>
      <c r="CT710" t="e">
        <v>#N/A</v>
      </c>
      <c r="CU710" t="e">
        <v>#N/A</v>
      </c>
      <c r="CV710" t="e">
        <v>#N/A</v>
      </c>
      <c r="CW710" t="e">
        <v>#N/A</v>
      </c>
      <c r="CX710" t="e">
        <v>#N/A</v>
      </c>
      <c r="CY710" t="e">
        <v>#N/A</v>
      </c>
      <c r="CZ710" t="e">
        <v>#N/A</v>
      </c>
      <c r="DA710" t="e">
        <v>#N/A</v>
      </c>
      <c r="DB710" t="e">
        <v>#N/A</v>
      </c>
      <c r="DC710" t="e">
        <v>#N/A</v>
      </c>
      <c r="DD710" t="e">
        <v>#N/A</v>
      </c>
      <c r="DE710" t="e">
        <v>#N/A</v>
      </c>
      <c r="DF710" t="e">
        <v>#N/A</v>
      </c>
      <c r="DG710" t="e">
        <v>#N/A</v>
      </c>
      <c r="DH710" t="e">
        <v>#N/A</v>
      </c>
      <c r="DI710" t="e">
        <v>#N/A</v>
      </c>
    </row>
    <row r="711" spans="13:113">
      <c r="M711" t="str">
        <f t="shared" si="80"/>
        <v>"//*[@class=\"</v>
      </c>
      <c r="N711" t="str">
        <f t="shared" si="84"/>
        <v/>
      </c>
      <c r="O711" s="4" t="str">
        <f t="shared" si="85"/>
        <v>click</v>
      </c>
      <c r="P711" t="str">
        <f t="shared" si="86"/>
        <v>();</v>
      </c>
      <c r="Q711" t="str">
        <f t="shared" si="87"/>
        <v/>
      </c>
      <c r="R711" t="str">
        <f t="shared" si="82"/>
        <v/>
      </c>
      <c r="S711" s="1" t="str">
        <f t="shared" si="83"/>
        <v/>
      </c>
      <c r="CT711" t="e">
        <v>#N/A</v>
      </c>
      <c r="CU711" t="e">
        <v>#N/A</v>
      </c>
      <c r="CV711" t="e">
        <v>#N/A</v>
      </c>
      <c r="CW711" t="e">
        <v>#N/A</v>
      </c>
      <c r="CX711" t="e">
        <v>#N/A</v>
      </c>
      <c r="CY711" t="e">
        <v>#N/A</v>
      </c>
      <c r="CZ711" t="e">
        <v>#N/A</v>
      </c>
      <c r="DA711" t="e">
        <v>#N/A</v>
      </c>
      <c r="DB711" t="e">
        <v>#N/A</v>
      </c>
      <c r="DC711" t="e">
        <v>#N/A</v>
      </c>
      <c r="DD711" t="e">
        <v>#N/A</v>
      </c>
      <c r="DE711" t="e">
        <v>#N/A</v>
      </c>
      <c r="DF711" t="e">
        <v>#N/A</v>
      </c>
      <c r="DG711" t="e">
        <v>#N/A</v>
      </c>
      <c r="DH711" t="e">
        <v>#N/A</v>
      </c>
      <c r="DI711" t="e">
        <v>#N/A</v>
      </c>
    </row>
    <row r="712" spans="13:113">
      <c r="M712" t="str">
        <f t="shared" si="80"/>
        <v>"//*[@class=\"</v>
      </c>
      <c r="N712" t="str">
        <f t="shared" si="84"/>
        <v/>
      </c>
      <c r="O712" s="4" t="str">
        <f t="shared" si="85"/>
        <v>click</v>
      </c>
      <c r="P712" t="str">
        <f t="shared" si="86"/>
        <v>();</v>
      </c>
      <c r="Q712" t="str">
        <f t="shared" si="87"/>
        <v/>
      </c>
      <c r="R712" t="str">
        <f t="shared" si="82"/>
        <v/>
      </c>
      <c r="S712" s="1" t="str">
        <f t="shared" si="83"/>
        <v/>
      </c>
      <c r="CT712" t="e">
        <v>#N/A</v>
      </c>
      <c r="CU712" t="e">
        <v>#N/A</v>
      </c>
      <c r="CV712" t="e">
        <v>#N/A</v>
      </c>
      <c r="CW712" t="e">
        <v>#N/A</v>
      </c>
      <c r="CX712" t="e">
        <v>#N/A</v>
      </c>
      <c r="CY712" t="e">
        <v>#N/A</v>
      </c>
      <c r="CZ712" t="e">
        <v>#N/A</v>
      </c>
      <c r="DA712" t="e">
        <v>#N/A</v>
      </c>
      <c r="DB712" t="e">
        <v>#N/A</v>
      </c>
      <c r="DC712" t="e">
        <v>#N/A</v>
      </c>
      <c r="DD712" t="e">
        <v>#N/A</v>
      </c>
      <c r="DE712" t="e">
        <v>#N/A</v>
      </c>
      <c r="DF712" t="e">
        <v>#N/A</v>
      </c>
      <c r="DG712" t="e">
        <v>#N/A</v>
      </c>
      <c r="DH712" t="e">
        <v>#N/A</v>
      </c>
      <c r="DI712" t="e">
        <v>#N/A</v>
      </c>
    </row>
    <row r="713" spans="13:113">
      <c r="M713" t="str">
        <f t="shared" ref="M713:M776" si="88">IF(H713="id",""""&amp;"//*[@id=\"&amp;"""",""""&amp;"//*[@class=\"&amp;"""")</f>
        <v>"//*[@class=\"</v>
      </c>
      <c r="N713" t="str">
        <f t="shared" si="84"/>
        <v/>
      </c>
      <c r="O713" s="4" t="str">
        <f t="shared" si="85"/>
        <v>click</v>
      </c>
      <c r="P713" t="str">
        <f t="shared" si="86"/>
        <v>();</v>
      </c>
      <c r="Q713" t="str">
        <f t="shared" si="87"/>
        <v/>
      </c>
      <c r="R713" t="str">
        <f t="shared" ref="R713:R776" si="89">IF(C713="Y",""""&amp;E713&amp;""""&amp;":"&amp;Q713&amp;"","")</f>
        <v/>
      </c>
      <c r="S713" s="1" t="str">
        <f t="shared" si="83"/>
        <v/>
      </c>
      <c r="CT713" t="e">
        <v>#N/A</v>
      </c>
      <c r="CU713" t="e">
        <v>#N/A</v>
      </c>
      <c r="CV713" t="e">
        <v>#N/A</v>
      </c>
      <c r="CW713" t="e">
        <v>#N/A</v>
      </c>
      <c r="CX713" t="e">
        <v>#N/A</v>
      </c>
      <c r="CY713" t="e">
        <v>#N/A</v>
      </c>
      <c r="CZ713" t="e">
        <v>#N/A</v>
      </c>
      <c r="DA713" t="e">
        <v>#N/A</v>
      </c>
      <c r="DB713" t="e">
        <v>#N/A</v>
      </c>
      <c r="DC713" t="e">
        <v>#N/A</v>
      </c>
      <c r="DD713" t="e">
        <v>#N/A</v>
      </c>
      <c r="DE713" t="e">
        <v>#N/A</v>
      </c>
      <c r="DF713" t="e">
        <v>#N/A</v>
      </c>
      <c r="DG713" t="e">
        <v>#N/A</v>
      </c>
      <c r="DH713" t="e">
        <v>#N/A</v>
      </c>
      <c r="DI713" t="e">
        <v>#N/A</v>
      </c>
    </row>
    <row r="714" spans="13:113">
      <c r="M714" t="str">
        <f t="shared" si="88"/>
        <v>"//*[@class=\"</v>
      </c>
      <c r="N714" t="str">
        <f t="shared" si="84"/>
        <v/>
      </c>
      <c r="O714" s="4" t="str">
        <f t="shared" si="85"/>
        <v>click</v>
      </c>
      <c r="P714" t="str">
        <f t="shared" si="86"/>
        <v>();</v>
      </c>
      <c r="Q714" t="str">
        <f t="shared" si="87"/>
        <v/>
      </c>
      <c r="R714" t="str">
        <f t="shared" si="89"/>
        <v/>
      </c>
      <c r="S714" s="1" t="str">
        <f t="shared" si="83"/>
        <v/>
      </c>
      <c r="CT714" t="e">
        <v>#N/A</v>
      </c>
      <c r="CU714" t="e">
        <v>#N/A</v>
      </c>
      <c r="CV714" t="e">
        <v>#N/A</v>
      </c>
      <c r="CW714" t="e">
        <v>#N/A</v>
      </c>
      <c r="CX714" t="e">
        <v>#N/A</v>
      </c>
      <c r="CY714" t="e">
        <v>#N/A</v>
      </c>
      <c r="CZ714" t="e">
        <v>#N/A</v>
      </c>
      <c r="DA714" t="e">
        <v>#N/A</v>
      </c>
      <c r="DB714" t="e">
        <v>#N/A</v>
      </c>
      <c r="DC714" t="e">
        <v>#N/A</v>
      </c>
      <c r="DD714" t="e">
        <v>#N/A</v>
      </c>
      <c r="DE714" t="e">
        <v>#N/A</v>
      </c>
      <c r="DF714" t="e">
        <v>#N/A</v>
      </c>
      <c r="DG714" t="e">
        <v>#N/A</v>
      </c>
      <c r="DH714" t="e">
        <v>#N/A</v>
      </c>
      <c r="DI714" t="e">
        <v>#N/A</v>
      </c>
    </row>
    <row r="715" spans="13:113">
      <c r="M715" t="str">
        <f t="shared" si="88"/>
        <v>"//*[@class=\"</v>
      </c>
      <c r="N715" t="str">
        <f t="shared" si="84"/>
        <v/>
      </c>
      <c r="O715" s="4" t="str">
        <f t="shared" si="85"/>
        <v>click</v>
      </c>
      <c r="P715" t="str">
        <f t="shared" si="86"/>
        <v>();</v>
      </c>
      <c r="Q715" t="str">
        <f t="shared" si="87"/>
        <v/>
      </c>
      <c r="R715" t="str">
        <f t="shared" si="89"/>
        <v/>
      </c>
      <c r="S715" s="1" t="str">
        <f t="shared" ref="S715:S778" si="90">IF(C715="Y",IF(D715&lt;&gt;"mat-select",IF(D715="End","",IF(O715="innerText",I715&amp;"="&amp;IF(C715="Y",IF(J715&lt;&gt;"Y",$S$8&amp;$R$9&amp;"."&amp;E715&amp;")."&amp;IF(OR(O715="click",O715="innerText"),O715&amp;"();",O715&amp;"("&amp;$Q$8&amp;"."&amp;E715&amp;");"),$S$7&amp;$R$9&amp;"."&amp;SUBSTITUTE(E715," ","")&amp;")."&amp;IF(O715="click",O715&amp;"();",O715&amp;"("&amp;"'"&amp;K715&amp;"'"&amp;");")),""),IF(C715="Y",IF(J715&lt;&gt;"Y",$S$8&amp;$R$9&amp;"."&amp;SUBSTITUTE(E715," ","")&amp;")."&amp;IF(OR(O715="click",O715="innerText"),O715&amp;"();",O715&amp;"("&amp;$Q$8&amp;"."&amp;SUBSTITUTE(E715," ","")&amp;");"),$S$7&amp;$R$9&amp;"."&amp;SUBSTITUTE(E715," ","")&amp;")."&amp;IF(O715="click",O715&amp;"();",O715&amp;"("&amp;"'"&amp;K715&amp;"'"&amp;");")),""))),"let form"&amp;Z715&amp;": String;"&amp;"for (let i = 1; i &lt; 30; i++) {"&amp;$S$8&amp;$R$9&amp;"."&amp;SUBSTITUTE(E715," ","")&amp;").click();"&amp;$CE$4&amp; "form"&amp;Z715&amp;"="&amp; $S$8&amp;$R$9&amp;"."&amp;SUBSTITUTE(E715," ","")&amp;").innerText();" &amp;"if ("&amp;"form"&amp;Z715&amp;"=="&amp; "Data[index]."&amp;SUBSTITUTE(E715," ","") &amp;"){"&amp;$CE$7),"")</f>
        <v/>
      </c>
      <c r="CT715" t="e">
        <v>#N/A</v>
      </c>
      <c r="CU715" t="e">
        <v>#N/A</v>
      </c>
      <c r="CV715" t="e">
        <v>#N/A</v>
      </c>
      <c r="CW715" t="e">
        <v>#N/A</v>
      </c>
      <c r="CX715" t="e">
        <v>#N/A</v>
      </c>
      <c r="CY715" t="e">
        <v>#N/A</v>
      </c>
      <c r="CZ715" t="e">
        <v>#N/A</v>
      </c>
      <c r="DA715" t="e">
        <v>#N/A</v>
      </c>
      <c r="DB715" t="e">
        <v>#N/A</v>
      </c>
      <c r="DC715" t="e">
        <v>#N/A</v>
      </c>
      <c r="DD715" t="e">
        <v>#N/A</v>
      </c>
      <c r="DE715" t="e">
        <v>#N/A</v>
      </c>
      <c r="DF715" t="e">
        <v>#N/A</v>
      </c>
      <c r="DG715" t="e">
        <v>#N/A</v>
      </c>
      <c r="DH715" t="e">
        <v>#N/A</v>
      </c>
      <c r="DI715" t="e">
        <v>#N/A</v>
      </c>
    </row>
    <row r="716" spans="13:113">
      <c r="M716" t="str">
        <f t="shared" si="88"/>
        <v>"//*[@class=\"</v>
      </c>
      <c r="N716" t="str">
        <f t="shared" si="84"/>
        <v/>
      </c>
      <c r="O716" s="4" t="str">
        <f t="shared" si="85"/>
        <v>click</v>
      </c>
      <c r="P716" t="str">
        <f t="shared" si="86"/>
        <v>();</v>
      </c>
      <c r="Q716" t="str">
        <f t="shared" si="87"/>
        <v/>
      </c>
      <c r="R716" t="str">
        <f t="shared" si="89"/>
        <v/>
      </c>
      <c r="S716" s="1" t="str">
        <f t="shared" si="90"/>
        <v/>
      </c>
      <c r="CT716" t="e">
        <v>#N/A</v>
      </c>
      <c r="CU716" t="e">
        <v>#N/A</v>
      </c>
      <c r="CV716" t="e">
        <v>#N/A</v>
      </c>
      <c r="CW716" t="e">
        <v>#N/A</v>
      </c>
      <c r="CX716" t="e">
        <v>#N/A</v>
      </c>
      <c r="CY716" t="e">
        <v>#N/A</v>
      </c>
      <c r="CZ716" t="e">
        <v>#N/A</v>
      </c>
      <c r="DA716" t="e">
        <v>#N/A</v>
      </c>
      <c r="DB716" t="e">
        <v>#N/A</v>
      </c>
      <c r="DC716" t="e">
        <v>#N/A</v>
      </c>
      <c r="DD716" t="e">
        <v>#N/A</v>
      </c>
      <c r="DE716" t="e">
        <v>#N/A</v>
      </c>
      <c r="DF716" t="e">
        <v>#N/A</v>
      </c>
      <c r="DG716" t="e">
        <v>#N/A</v>
      </c>
      <c r="DH716" t="e">
        <v>#N/A</v>
      </c>
      <c r="DI716" t="e">
        <v>#N/A</v>
      </c>
    </row>
    <row r="717" spans="13:113">
      <c r="M717" t="str">
        <f t="shared" si="88"/>
        <v>"//*[@class=\"</v>
      </c>
      <c r="N717" t="str">
        <f t="shared" si="84"/>
        <v/>
      </c>
      <c r="O717" s="4" t="str">
        <f t="shared" si="85"/>
        <v>click</v>
      </c>
      <c r="P717" t="str">
        <f t="shared" si="86"/>
        <v>();</v>
      </c>
      <c r="Q717" t="str">
        <f t="shared" si="87"/>
        <v/>
      </c>
      <c r="R717" t="str">
        <f t="shared" si="89"/>
        <v/>
      </c>
      <c r="S717" s="1" t="str">
        <f t="shared" si="90"/>
        <v/>
      </c>
      <c r="CT717" t="e">
        <v>#N/A</v>
      </c>
      <c r="CU717" t="e">
        <v>#N/A</v>
      </c>
      <c r="CV717" t="e">
        <v>#N/A</v>
      </c>
      <c r="CW717" t="e">
        <v>#N/A</v>
      </c>
      <c r="CX717" t="e">
        <v>#N/A</v>
      </c>
      <c r="CY717" t="e">
        <v>#N/A</v>
      </c>
      <c r="CZ717" t="e">
        <v>#N/A</v>
      </c>
      <c r="DA717" t="e">
        <v>#N/A</v>
      </c>
      <c r="DB717" t="e">
        <v>#N/A</v>
      </c>
      <c r="DC717" t="e">
        <v>#N/A</v>
      </c>
      <c r="DD717" t="e">
        <v>#N/A</v>
      </c>
      <c r="DE717" t="e">
        <v>#N/A</v>
      </c>
      <c r="DF717" t="e">
        <v>#N/A</v>
      </c>
      <c r="DG717" t="e">
        <v>#N/A</v>
      </c>
      <c r="DH717" t="e">
        <v>#N/A</v>
      </c>
      <c r="DI717" t="e">
        <v>#N/A</v>
      </c>
    </row>
    <row r="718" spans="13:113">
      <c r="M718" t="str">
        <f t="shared" si="88"/>
        <v>"//*[@class=\"</v>
      </c>
      <c r="N718" t="str">
        <f t="shared" si="84"/>
        <v/>
      </c>
      <c r="O718" s="4" t="str">
        <f t="shared" si="85"/>
        <v>click</v>
      </c>
      <c r="P718" t="str">
        <f t="shared" si="86"/>
        <v>();</v>
      </c>
      <c r="Q718" t="str">
        <f t="shared" si="87"/>
        <v/>
      </c>
      <c r="R718" t="str">
        <f t="shared" si="89"/>
        <v/>
      </c>
      <c r="S718" s="1" t="str">
        <f t="shared" si="90"/>
        <v/>
      </c>
      <c r="CT718" t="e">
        <v>#N/A</v>
      </c>
      <c r="CU718" t="e">
        <v>#N/A</v>
      </c>
      <c r="CV718" t="e">
        <v>#N/A</v>
      </c>
      <c r="CW718" t="e">
        <v>#N/A</v>
      </c>
      <c r="CX718" t="e">
        <v>#N/A</v>
      </c>
      <c r="CY718" t="e">
        <v>#N/A</v>
      </c>
      <c r="CZ718" t="e">
        <v>#N/A</v>
      </c>
      <c r="DA718" t="e">
        <v>#N/A</v>
      </c>
      <c r="DB718" t="e">
        <v>#N/A</v>
      </c>
      <c r="DC718" t="e">
        <v>#N/A</v>
      </c>
      <c r="DD718" t="e">
        <v>#N/A</v>
      </c>
      <c r="DE718" t="e">
        <v>#N/A</v>
      </c>
      <c r="DF718" t="e">
        <v>#N/A</v>
      </c>
      <c r="DG718" t="e">
        <v>#N/A</v>
      </c>
      <c r="DH718" t="e">
        <v>#N/A</v>
      </c>
      <c r="DI718" t="e">
        <v>#N/A</v>
      </c>
    </row>
    <row r="719" spans="13:113">
      <c r="M719" t="str">
        <f t="shared" si="88"/>
        <v>"//*[@class=\"</v>
      </c>
      <c r="N719" t="str">
        <f t="shared" si="84"/>
        <v/>
      </c>
      <c r="O719" s="4" t="str">
        <f t="shared" si="85"/>
        <v>click</v>
      </c>
      <c r="P719" t="str">
        <f t="shared" si="86"/>
        <v>();</v>
      </c>
      <c r="Q719" t="str">
        <f t="shared" si="87"/>
        <v/>
      </c>
      <c r="R719" t="str">
        <f t="shared" si="89"/>
        <v/>
      </c>
      <c r="S719" s="1" t="str">
        <f t="shared" si="90"/>
        <v/>
      </c>
      <c r="CT719" t="e">
        <v>#N/A</v>
      </c>
      <c r="CU719" t="e">
        <v>#N/A</v>
      </c>
      <c r="CV719" t="e">
        <v>#N/A</v>
      </c>
      <c r="CW719" t="e">
        <v>#N/A</v>
      </c>
      <c r="CX719" t="e">
        <v>#N/A</v>
      </c>
      <c r="CY719" t="e">
        <v>#N/A</v>
      </c>
      <c r="CZ719" t="e">
        <v>#N/A</v>
      </c>
      <c r="DA719" t="e">
        <v>#N/A</v>
      </c>
      <c r="DB719" t="e">
        <v>#N/A</v>
      </c>
      <c r="DC719" t="e">
        <v>#N/A</v>
      </c>
      <c r="DD719" t="e">
        <v>#N/A</v>
      </c>
      <c r="DE719" t="e">
        <v>#N/A</v>
      </c>
      <c r="DF719" t="e">
        <v>#N/A</v>
      </c>
      <c r="DG719" t="e">
        <v>#N/A</v>
      </c>
      <c r="DH719" t="e">
        <v>#N/A</v>
      </c>
      <c r="DI719" t="e">
        <v>#N/A</v>
      </c>
    </row>
    <row r="720" spans="13:113">
      <c r="M720" t="str">
        <f t="shared" si="88"/>
        <v>"//*[@class=\"</v>
      </c>
      <c r="N720" t="str">
        <f t="shared" si="84"/>
        <v/>
      </c>
      <c r="O720" s="4" t="str">
        <f t="shared" si="85"/>
        <v>click</v>
      </c>
      <c r="P720" t="str">
        <f t="shared" si="86"/>
        <v>();</v>
      </c>
      <c r="Q720" t="str">
        <f t="shared" si="87"/>
        <v/>
      </c>
      <c r="R720" t="str">
        <f t="shared" si="89"/>
        <v/>
      </c>
      <c r="S720" s="1" t="str">
        <f t="shared" si="90"/>
        <v/>
      </c>
      <c r="CT720" t="e">
        <v>#N/A</v>
      </c>
      <c r="CU720" t="e">
        <v>#N/A</v>
      </c>
      <c r="CV720" t="e">
        <v>#N/A</v>
      </c>
      <c r="CW720" t="e">
        <v>#N/A</v>
      </c>
      <c r="CX720" t="e">
        <v>#N/A</v>
      </c>
      <c r="CY720" t="e">
        <v>#N/A</v>
      </c>
      <c r="CZ720" t="e">
        <v>#N/A</v>
      </c>
      <c r="DA720" t="e">
        <v>#N/A</v>
      </c>
      <c r="DB720" t="e">
        <v>#N/A</v>
      </c>
      <c r="DC720" t="e">
        <v>#N/A</v>
      </c>
      <c r="DD720" t="e">
        <v>#N/A</v>
      </c>
      <c r="DE720" t="e">
        <v>#N/A</v>
      </c>
      <c r="DF720" t="e">
        <v>#N/A</v>
      </c>
      <c r="DG720" t="e">
        <v>#N/A</v>
      </c>
      <c r="DH720" t="e">
        <v>#N/A</v>
      </c>
      <c r="DI720" t="e">
        <v>#N/A</v>
      </c>
    </row>
    <row r="721" spans="13:113">
      <c r="M721" t="str">
        <f t="shared" si="88"/>
        <v>"//*[@class=\"</v>
      </c>
      <c r="N721" t="str">
        <f t="shared" si="84"/>
        <v/>
      </c>
      <c r="O721" s="4" t="str">
        <f t="shared" si="85"/>
        <v>click</v>
      </c>
      <c r="P721" t="str">
        <f t="shared" si="86"/>
        <v>();</v>
      </c>
      <c r="Q721" t="str">
        <f t="shared" si="87"/>
        <v/>
      </c>
      <c r="R721" t="str">
        <f t="shared" si="89"/>
        <v/>
      </c>
      <c r="S721" s="1" t="str">
        <f t="shared" si="90"/>
        <v/>
      </c>
      <c r="CT721" t="e">
        <v>#N/A</v>
      </c>
      <c r="CU721" t="e">
        <v>#N/A</v>
      </c>
      <c r="CV721" t="e">
        <v>#N/A</v>
      </c>
      <c r="CW721" t="e">
        <v>#N/A</v>
      </c>
      <c r="CX721" t="e">
        <v>#N/A</v>
      </c>
      <c r="CY721" t="e">
        <v>#N/A</v>
      </c>
      <c r="CZ721" t="e">
        <v>#N/A</v>
      </c>
      <c r="DA721" t="e">
        <v>#N/A</v>
      </c>
      <c r="DB721" t="e">
        <v>#N/A</v>
      </c>
      <c r="DC721" t="e">
        <v>#N/A</v>
      </c>
      <c r="DD721" t="e">
        <v>#N/A</v>
      </c>
      <c r="DE721" t="e">
        <v>#N/A</v>
      </c>
      <c r="DF721" t="e">
        <v>#N/A</v>
      </c>
      <c r="DG721" t="e">
        <v>#N/A</v>
      </c>
      <c r="DH721" t="e">
        <v>#N/A</v>
      </c>
      <c r="DI721" t="e">
        <v>#N/A</v>
      </c>
    </row>
    <row r="722" spans="13:113">
      <c r="M722" t="str">
        <f t="shared" si="88"/>
        <v>"//*[@class=\"</v>
      </c>
      <c r="N722" t="str">
        <f t="shared" si="84"/>
        <v/>
      </c>
      <c r="O722" s="4" t="str">
        <f t="shared" si="85"/>
        <v>click</v>
      </c>
      <c r="P722" t="str">
        <f t="shared" si="86"/>
        <v>();</v>
      </c>
      <c r="Q722" t="str">
        <f t="shared" ref="Q722:Q724" si="91">IF(A722="Y",IF(J722&lt;&gt;"Xpath",M722&amp;F722&amp;N722,""""&amp;H722&amp;""""),"")</f>
        <v/>
      </c>
      <c r="R722" t="str">
        <f t="shared" si="89"/>
        <v/>
      </c>
      <c r="S722" s="1" t="str">
        <f t="shared" si="90"/>
        <v/>
      </c>
      <c r="CT722" t="e">
        <v>#N/A</v>
      </c>
      <c r="CU722" t="e">
        <v>#N/A</v>
      </c>
      <c r="CV722" t="e">
        <v>#N/A</v>
      </c>
      <c r="CW722" t="e">
        <v>#N/A</v>
      </c>
      <c r="CX722" t="e">
        <v>#N/A</v>
      </c>
      <c r="CY722" t="e">
        <v>#N/A</v>
      </c>
      <c r="CZ722" t="e">
        <v>#N/A</v>
      </c>
      <c r="DA722" t="e">
        <v>#N/A</v>
      </c>
      <c r="DB722" t="e">
        <v>#N/A</v>
      </c>
      <c r="DC722" t="e">
        <v>#N/A</v>
      </c>
      <c r="DD722" t="e">
        <v>#N/A</v>
      </c>
      <c r="DE722" t="e">
        <v>#N/A</v>
      </c>
      <c r="DF722" t="e">
        <v>#N/A</v>
      </c>
      <c r="DG722" t="e">
        <v>#N/A</v>
      </c>
      <c r="DH722" t="e">
        <v>#N/A</v>
      </c>
      <c r="DI722" t="e">
        <v>#N/A</v>
      </c>
    </row>
    <row r="723" spans="13:113">
      <c r="M723" t="str">
        <f t="shared" si="88"/>
        <v>"//*[@class=\"</v>
      </c>
      <c r="N723" t="str">
        <f t="shared" si="84"/>
        <v/>
      </c>
      <c r="O723" s="4" t="str">
        <f t="shared" si="85"/>
        <v>click</v>
      </c>
      <c r="P723" t="str">
        <f t="shared" si="86"/>
        <v>();</v>
      </c>
      <c r="Q723" t="str">
        <f t="shared" si="91"/>
        <v/>
      </c>
      <c r="R723" t="str">
        <f t="shared" si="89"/>
        <v/>
      </c>
      <c r="S723" s="1" t="str">
        <f t="shared" si="90"/>
        <v/>
      </c>
      <c r="CT723" t="e">
        <v>#N/A</v>
      </c>
      <c r="CU723" t="e">
        <v>#N/A</v>
      </c>
      <c r="CV723" t="e">
        <v>#N/A</v>
      </c>
      <c r="CW723" t="e">
        <v>#N/A</v>
      </c>
      <c r="CX723" t="e">
        <v>#N/A</v>
      </c>
      <c r="CY723" t="e">
        <v>#N/A</v>
      </c>
      <c r="CZ723" t="e">
        <v>#N/A</v>
      </c>
      <c r="DA723" t="e">
        <v>#N/A</v>
      </c>
      <c r="DB723" t="e">
        <v>#N/A</v>
      </c>
      <c r="DC723" t="e">
        <v>#N/A</v>
      </c>
      <c r="DD723" t="e">
        <v>#N/A</v>
      </c>
      <c r="DE723" t="e">
        <v>#N/A</v>
      </c>
      <c r="DF723" t="e">
        <v>#N/A</v>
      </c>
      <c r="DG723" t="e">
        <v>#N/A</v>
      </c>
      <c r="DH723" t="e">
        <v>#N/A</v>
      </c>
      <c r="DI723" t="e">
        <v>#N/A</v>
      </c>
    </row>
    <row r="724" spans="13:113">
      <c r="M724" t="str">
        <f t="shared" si="88"/>
        <v>"//*[@class=\"</v>
      </c>
      <c r="N724" t="str">
        <f t="shared" si="84"/>
        <v/>
      </c>
      <c r="O724" s="4" t="str">
        <f t="shared" si="85"/>
        <v>click</v>
      </c>
      <c r="P724" t="str">
        <f t="shared" si="86"/>
        <v>();</v>
      </c>
      <c r="Q724" t="str">
        <f t="shared" si="91"/>
        <v/>
      </c>
      <c r="R724" t="str">
        <f t="shared" si="89"/>
        <v/>
      </c>
      <c r="S724" s="1" t="str">
        <f t="shared" si="90"/>
        <v/>
      </c>
      <c r="CT724" t="e">
        <v>#N/A</v>
      </c>
      <c r="CU724" t="e">
        <v>#N/A</v>
      </c>
      <c r="CV724" t="e">
        <v>#N/A</v>
      </c>
      <c r="CW724" t="e">
        <v>#N/A</v>
      </c>
      <c r="CX724" t="e">
        <v>#N/A</v>
      </c>
      <c r="CY724" t="e">
        <v>#N/A</v>
      </c>
      <c r="CZ724" t="e">
        <v>#N/A</v>
      </c>
      <c r="DA724" t="e">
        <v>#N/A</v>
      </c>
      <c r="DB724" t="e">
        <v>#N/A</v>
      </c>
      <c r="DC724" t="e">
        <v>#N/A</v>
      </c>
      <c r="DD724" t="e">
        <v>#N/A</v>
      </c>
      <c r="DE724" t="e">
        <v>#N/A</v>
      </c>
      <c r="DF724" t="e">
        <v>#N/A</v>
      </c>
      <c r="DG724" t="e">
        <v>#N/A</v>
      </c>
      <c r="DH724" t="e">
        <v>#N/A</v>
      </c>
      <c r="DI724" t="e">
        <v>#N/A</v>
      </c>
    </row>
    <row r="725" spans="13:113">
      <c r="M725" t="str">
        <f t="shared" si="88"/>
        <v>"//*[@class=\"</v>
      </c>
      <c r="N725" t="str">
        <f t="shared" ref="N725:N788" si="92">IF(A725="Y",""""&amp;C725&amp;""""&amp;": "&amp;M725&amp;",","")</f>
        <v/>
      </c>
      <c r="O725" s="4" t="str">
        <f t="shared" ref="O725:O788" si="93">IF(D725="input","fill",IF(I725&lt;&gt;"","innerText",IF(J725="Y",$T$7,"click")))</f>
        <v>click</v>
      </c>
      <c r="P725" t="str">
        <f t="shared" ref="P725:P788" si="94">IF(OR(O725="Click",O725="innerText"),"();","("&amp;""""&amp;K725&amp;""""&amp;");")</f>
        <v>();</v>
      </c>
      <c r="Q725" t="str">
        <f t="shared" ref="Q725:Q788" si="95">IF(A725="Y",IF(J725&lt;&gt;"Xpath",M725&amp;F725&amp;N725,""""&amp;H725&amp;""""),"")</f>
        <v/>
      </c>
      <c r="R725" t="str">
        <f t="shared" si="89"/>
        <v/>
      </c>
      <c r="S725" s="1" t="str">
        <f t="shared" si="90"/>
        <v/>
      </c>
      <c r="CT725" t="e">
        <v>#N/A</v>
      </c>
      <c r="CU725" t="e">
        <v>#N/A</v>
      </c>
      <c r="CV725" t="e">
        <v>#N/A</v>
      </c>
      <c r="CW725" t="e">
        <v>#N/A</v>
      </c>
      <c r="CX725" t="e">
        <v>#N/A</v>
      </c>
      <c r="CY725" t="e">
        <v>#N/A</v>
      </c>
      <c r="CZ725" t="e">
        <v>#N/A</v>
      </c>
      <c r="DA725" t="e">
        <v>#N/A</v>
      </c>
      <c r="DB725" t="e">
        <v>#N/A</v>
      </c>
      <c r="DC725" t="e">
        <v>#N/A</v>
      </c>
      <c r="DD725" t="e">
        <v>#N/A</v>
      </c>
      <c r="DE725" t="e">
        <v>#N/A</v>
      </c>
      <c r="DF725" t="e">
        <v>#N/A</v>
      </c>
      <c r="DG725" t="e">
        <v>#N/A</v>
      </c>
      <c r="DH725" t="e">
        <v>#N/A</v>
      </c>
      <c r="DI725" t="e">
        <v>#N/A</v>
      </c>
    </row>
    <row r="726" spans="13:113">
      <c r="M726" t="str">
        <f t="shared" si="88"/>
        <v>"//*[@class=\"</v>
      </c>
      <c r="N726" t="str">
        <f t="shared" si="92"/>
        <v/>
      </c>
      <c r="O726" s="4" t="str">
        <f t="shared" si="93"/>
        <v>click</v>
      </c>
      <c r="P726" t="str">
        <f t="shared" si="94"/>
        <v>();</v>
      </c>
      <c r="Q726" t="str">
        <f t="shared" si="95"/>
        <v/>
      </c>
      <c r="R726" t="str">
        <f t="shared" si="89"/>
        <v/>
      </c>
      <c r="S726" s="1" t="str">
        <f t="shared" si="90"/>
        <v/>
      </c>
      <c r="CT726" t="e">
        <v>#N/A</v>
      </c>
      <c r="CU726" t="e">
        <v>#N/A</v>
      </c>
      <c r="CV726" t="e">
        <v>#N/A</v>
      </c>
      <c r="CW726" t="e">
        <v>#N/A</v>
      </c>
      <c r="CX726" t="e">
        <v>#N/A</v>
      </c>
      <c r="CY726" t="e">
        <v>#N/A</v>
      </c>
      <c r="CZ726" t="e">
        <v>#N/A</v>
      </c>
      <c r="DA726" t="e">
        <v>#N/A</v>
      </c>
      <c r="DB726" t="e">
        <v>#N/A</v>
      </c>
      <c r="DC726" t="e">
        <v>#N/A</v>
      </c>
      <c r="DD726" t="e">
        <v>#N/A</v>
      </c>
      <c r="DE726" t="e">
        <v>#N/A</v>
      </c>
      <c r="DF726" t="e">
        <v>#N/A</v>
      </c>
      <c r="DG726" t="e">
        <v>#N/A</v>
      </c>
      <c r="DH726" t="e">
        <v>#N/A</v>
      </c>
      <c r="DI726" t="e">
        <v>#N/A</v>
      </c>
    </row>
    <row r="727" spans="13:113">
      <c r="M727" t="str">
        <f t="shared" si="88"/>
        <v>"//*[@class=\"</v>
      </c>
      <c r="N727" t="str">
        <f t="shared" si="92"/>
        <v/>
      </c>
      <c r="O727" s="4" t="str">
        <f t="shared" si="93"/>
        <v>click</v>
      </c>
      <c r="P727" t="str">
        <f t="shared" si="94"/>
        <v>();</v>
      </c>
      <c r="Q727" t="str">
        <f t="shared" si="95"/>
        <v/>
      </c>
      <c r="R727" t="str">
        <f t="shared" si="89"/>
        <v/>
      </c>
      <c r="S727" s="1" t="str">
        <f t="shared" si="90"/>
        <v/>
      </c>
      <c r="CT727" t="e">
        <v>#N/A</v>
      </c>
      <c r="CU727" t="e">
        <v>#N/A</v>
      </c>
      <c r="CV727" t="e">
        <v>#N/A</v>
      </c>
      <c r="CW727" t="e">
        <v>#N/A</v>
      </c>
      <c r="CX727" t="e">
        <v>#N/A</v>
      </c>
      <c r="CY727" t="e">
        <v>#N/A</v>
      </c>
      <c r="CZ727" t="e">
        <v>#N/A</v>
      </c>
      <c r="DA727" t="e">
        <v>#N/A</v>
      </c>
      <c r="DB727" t="e">
        <v>#N/A</v>
      </c>
      <c r="DC727" t="e">
        <v>#N/A</v>
      </c>
      <c r="DD727" t="e">
        <v>#N/A</v>
      </c>
      <c r="DE727" t="e">
        <v>#N/A</v>
      </c>
      <c r="DF727" t="e">
        <v>#N/A</v>
      </c>
      <c r="DG727" t="e">
        <v>#N/A</v>
      </c>
      <c r="DH727" t="e">
        <v>#N/A</v>
      </c>
      <c r="DI727" t="e">
        <v>#N/A</v>
      </c>
    </row>
    <row r="728" spans="13:113">
      <c r="M728" t="str">
        <f t="shared" si="88"/>
        <v>"//*[@class=\"</v>
      </c>
      <c r="N728" t="str">
        <f t="shared" si="92"/>
        <v/>
      </c>
      <c r="O728" s="4" t="str">
        <f t="shared" si="93"/>
        <v>click</v>
      </c>
      <c r="P728" t="str">
        <f t="shared" si="94"/>
        <v>();</v>
      </c>
      <c r="Q728" t="str">
        <f t="shared" si="95"/>
        <v/>
      </c>
      <c r="R728" t="str">
        <f t="shared" si="89"/>
        <v/>
      </c>
      <c r="S728" s="1" t="str">
        <f t="shared" si="90"/>
        <v/>
      </c>
      <c r="CT728" t="e">
        <v>#N/A</v>
      </c>
      <c r="CU728" t="e">
        <v>#N/A</v>
      </c>
      <c r="CV728" t="e">
        <v>#N/A</v>
      </c>
      <c r="CW728" t="e">
        <v>#N/A</v>
      </c>
      <c r="CX728" t="e">
        <v>#N/A</v>
      </c>
      <c r="CY728" t="e">
        <v>#N/A</v>
      </c>
      <c r="CZ728" t="e">
        <v>#N/A</v>
      </c>
      <c r="DA728" t="e">
        <v>#N/A</v>
      </c>
      <c r="DB728" t="e">
        <v>#N/A</v>
      </c>
      <c r="DC728" t="e">
        <v>#N/A</v>
      </c>
      <c r="DD728" t="e">
        <v>#N/A</v>
      </c>
      <c r="DE728" t="e">
        <v>#N/A</v>
      </c>
      <c r="DF728" t="e">
        <v>#N/A</v>
      </c>
      <c r="DG728" t="e">
        <v>#N/A</v>
      </c>
      <c r="DH728" t="e">
        <v>#N/A</v>
      </c>
      <c r="DI728" t="e">
        <v>#N/A</v>
      </c>
    </row>
    <row r="729" spans="13:113">
      <c r="M729" t="str">
        <f t="shared" si="88"/>
        <v>"//*[@class=\"</v>
      </c>
      <c r="N729" t="str">
        <f t="shared" si="92"/>
        <v/>
      </c>
      <c r="O729" s="4" t="str">
        <f t="shared" si="93"/>
        <v>click</v>
      </c>
      <c r="P729" t="str">
        <f t="shared" si="94"/>
        <v>();</v>
      </c>
      <c r="Q729" t="str">
        <f t="shared" si="95"/>
        <v/>
      </c>
      <c r="R729" t="str">
        <f t="shared" si="89"/>
        <v/>
      </c>
      <c r="S729" s="1" t="str">
        <f t="shared" si="90"/>
        <v/>
      </c>
      <c r="CT729" t="e">
        <v>#N/A</v>
      </c>
      <c r="CU729" t="e">
        <v>#N/A</v>
      </c>
      <c r="CV729" t="e">
        <v>#N/A</v>
      </c>
      <c r="CW729" t="e">
        <v>#N/A</v>
      </c>
      <c r="CX729" t="e">
        <v>#N/A</v>
      </c>
      <c r="CY729" t="e">
        <v>#N/A</v>
      </c>
      <c r="CZ729" t="e">
        <v>#N/A</v>
      </c>
      <c r="DA729" t="e">
        <v>#N/A</v>
      </c>
      <c r="DB729" t="e">
        <v>#N/A</v>
      </c>
      <c r="DC729" t="e">
        <v>#N/A</v>
      </c>
      <c r="DD729" t="e">
        <v>#N/A</v>
      </c>
      <c r="DE729" t="e">
        <v>#N/A</v>
      </c>
      <c r="DF729" t="e">
        <v>#N/A</v>
      </c>
      <c r="DG729" t="e">
        <v>#N/A</v>
      </c>
      <c r="DH729" t="e">
        <v>#N/A</v>
      </c>
      <c r="DI729" t="e">
        <v>#N/A</v>
      </c>
    </row>
    <row r="730" spans="13:113">
      <c r="M730" t="str">
        <f t="shared" si="88"/>
        <v>"//*[@class=\"</v>
      </c>
      <c r="N730" t="str">
        <f t="shared" si="92"/>
        <v/>
      </c>
      <c r="O730" s="4" t="str">
        <f t="shared" si="93"/>
        <v>click</v>
      </c>
      <c r="P730" t="str">
        <f t="shared" si="94"/>
        <v>();</v>
      </c>
      <c r="Q730" t="str">
        <f t="shared" si="95"/>
        <v/>
      </c>
      <c r="R730" t="str">
        <f t="shared" si="89"/>
        <v/>
      </c>
      <c r="S730" s="1" t="str">
        <f t="shared" si="90"/>
        <v/>
      </c>
      <c r="CT730" t="e">
        <v>#N/A</v>
      </c>
      <c r="CU730" t="e">
        <v>#N/A</v>
      </c>
      <c r="CV730" t="e">
        <v>#N/A</v>
      </c>
      <c r="CW730" t="e">
        <v>#N/A</v>
      </c>
      <c r="CX730" t="e">
        <v>#N/A</v>
      </c>
      <c r="CY730" t="e">
        <v>#N/A</v>
      </c>
      <c r="CZ730" t="e">
        <v>#N/A</v>
      </c>
      <c r="DA730" t="e">
        <v>#N/A</v>
      </c>
      <c r="DB730" t="e">
        <v>#N/A</v>
      </c>
      <c r="DC730" t="e">
        <v>#N/A</v>
      </c>
      <c r="DD730" t="e">
        <v>#N/A</v>
      </c>
      <c r="DE730" t="e">
        <v>#N/A</v>
      </c>
      <c r="DF730" t="e">
        <v>#N/A</v>
      </c>
      <c r="DG730" t="e">
        <v>#N/A</v>
      </c>
      <c r="DH730" t="e">
        <v>#N/A</v>
      </c>
      <c r="DI730" t="e">
        <v>#N/A</v>
      </c>
    </row>
    <row r="731" spans="13:113">
      <c r="M731" t="str">
        <f t="shared" si="88"/>
        <v>"//*[@class=\"</v>
      </c>
      <c r="N731" t="str">
        <f t="shared" si="92"/>
        <v/>
      </c>
      <c r="O731" s="4" t="str">
        <f t="shared" si="93"/>
        <v>click</v>
      </c>
      <c r="P731" t="str">
        <f t="shared" si="94"/>
        <v>();</v>
      </c>
      <c r="Q731" t="str">
        <f t="shared" si="95"/>
        <v/>
      </c>
      <c r="R731" t="str">
        <f t="shared" si="89"/>
        <v/>
      </c>
      <c r="S731" s="1" t="str">
        <f t="shared" si="90"/>
        <v/>
      </c>
      <c r="CT731" t="e">
        <v>#N/A</v>
      </c>
      <c r="CU731" t="e">
        <v>#N/A</v>
      </c>
      <c r="CV731" t="e">
        <v>#N/A</v>
      </c>
      <c r="CW731" t="e">
        <v>#N/A</v>
      </c>
      <c r="CX731" t="e">
        <v>#N/A</v>
      </c>
      <c r="CY731" t="e">
        <v>#N/A</v>
      </c>
      <c r="CZ731" t="e">
        <v>#N/A</v>
      </c>
      <c r="DA731" t="e">
        <v>#N/A</v>
      </c>
      <c r="DB731" t="e">
        <v>#N/A</v>
      </c>
      <c r="DC731" t="e">
        <v>#N/A</v>
      </c>
      <c r="DD731" t="e">
        <v>#N/A</v>
      </c>
      <c r="DE731" t="e">
        <v>#N/A</v>
      </c>
      <c r="DF731" t="e">
        <v>#N/A</v>
      </c>
      <c r="DG731" t="e">
        <v>#N/A</v>
      </c>
      <c r="DH731" t="e">
        <v>#N/A</v>
      </c>
      <c r="DI731" t="e">
        <v>#N/A</v>
      </c>
    </row>
    <row r="732" spans="13:113">
      <c r="M732" t="str">
        <f t="shared" si="88"/>
        <v>"//*[@class=\"</v>
      </c>
      <c r="N732" t="str">
        <f t="shared" si="92"/>
        <v/>
      </c>
      <c r="O732" s="4" t="str">
        <f t="shared" si="93"/>
        <v>click</v>
      </c>
      <c r="P732" t="str">
        <f t="shared" si="94"/>
        <v>();</v>
      </c>
      <c r="Q732" t="str">
        <f t="shared" si="95"/>
        <v/>
      </c>
      <c r="R732" t="str">
        <f t="shared" si="89"/>
        <v/>
      </c>
      <c r="S732" s="1" t="str">
        <f t="shared" si="90"/>
        <v/>
      </c>
      <c r="CT732" t="e">
        <v>#N/A</v>
      </c>
      <c r="CU732" t="e">
        <v>#N/A</v>
      </c>
      <c r="CV732" t="e">
        <v>#N/A</v>
      </c>
      <c r="CW732" t="e">
        <v>#N/A</v>
      </c>
      <c r="CX732" t="e">
        <v>#N/A</v>
      </c>
      <c r="CY732" t="e">
        <v>#N/A</v>
      </c>
      <c r="CZ732" t="e">
        <v>#N/A</v>
      </c>
      <c r="DA732" t="e">
        <v>#N/A</v>
      </c>
      <c r="DB732" t="e">
        <v>#N/A</v>
      </c>
      <c r="DC732" t="e">
        <v>#N/A</v>
      </c>
      <c r="DD732" t="e">
        <v>#N/A</v>
      </c>
      <c r="DE732" t="e">
        <v>#N/A</v>
      </c>
      <c r="DF732" t="e">
        <v>#N/A</v>
      </c>
      <c r="DG732" t="e">
        <v>#N/A</v>
      </c>
      <c r="DH732" t="e">
        <v>#N/A</v>
      </c>
      <c r="DI732" t="e">
        <v>#N/A</v>
      </c>
    </row>
    <row r="733" spans="13:113">
      <c r="M733" t="str">
        <f t="shared" si="88"/>
        <v>"//*[@class=\"</v>
      </c>
      <c r="N733" t="str">
        <f t="shared" si="92"/>
        <v/>
      </c>
      <c r="O733" s="4" t="str">
        <f t="shared" si="93"/>
        <v>click</v>
      </c>
      <c r="P733" t="str">
        <f t="shared" si="94"/>
        <v>();</v>
      </c>
      <c r="Q733" t="str">
        <f t="shared" si="95"/>
        <v/>
      </c>
      <c r="R733" t="str">
        <f t="shared" si="89"/>
        <v/>
      </c>
      <c r="S733" s="1" t="str">
        <f t="shared" si="90"/>
        <v/>
      </c>
      <c r="CT733" t="e">
        <v>#N/A</v>
      </c>
      <c r="CU733" t="e">
        <v>#N/A</v>
      </c>
      <c r="CV733" t="e">
        <v>#N/A</v>
      </c>
      <c r="CW733" t="e">
        <v>#N/A</v>
      </c>
      <c r="CX733" t="e">
        <v>#N/A</v>
      </c>
      <c r="CY733" t="e">
        <v>#N/A</v>
      </c>
      <c r="CZ733" t="e">
        <v>#N/A</v>
      </c>
      <c r="DA733" t="e">
        <v>#N/A</v>
      </c>
      <c r="DB733" t="e">
        <v>#N/A</v>
      </c>
      <c r="DC733" t="e">
        <v>#N/A</v>
      </c>
      <c r="DD733" t="e">
        <v>#N/A</v>
      </c>
      <c r="DE733" t="e">
        <v>#N/A</v>
      </c>
      <c r="DF733" t="e">
        <v>#N/A</v>
      </c>
      <c r="DG733" t="e">
        <v>#N/A</v>
      </c>
      <c r="DH733" t="e">
        <v>#N/A</v>
      </c>
      <c r="DI733" t="e">
        <v>#N/A</v>
      </c>
    </row>
    <row r="734" spans="13:113">
      <c r="M734" t="str">
        <f t="shared" si="88"/>
        <v>"//*[@class=\"</v>
      </c>
      <c r="N734" t="str">
        <f t="shared" si="92"/>
        <v/>
      </c>
      <c r="O734" s="4" t="str">
        <f t="shared" si="93"/>
        <v>click</v>
      </c>
      <c r="P734" t="str">
        <f t="shared" si="94"/>
        <v>();</v>
      </c>
      <c r="Q734" t="str">
        <f t="shared" si="95"/>
        <v/>
      </c>
      <c r="R734" t="str">
        <f t="shared" si="89"/>
        <v/>
      </c>
      <c r="S734" s="1" t="str">
        <f t="shared" si="90"/>
        <v/>
      </c>
      <c r="CT734" t="e">
        <v>#N/A</v>
      </c>
      <c r="CU734" t="e">
        <v>#N/A</v>
      </c>
      <c r="CV734" t="e">
        <v>#N/A</v>
      </c>
      <c r="CW734" t="e">
        <v>#N/A</v>
      </c>
      <c r="CX734" t="e">
        <v>#N/A</v>
      </c>
      <c r="CY734" t="e">
        <v>#N/A</v>
      </c>
      <c r="CZ734" t="e">
        <v>#N/A</v>
      </c>
      <c r="DA734" t="e">
        <v>#N/A</v>
      </c>
      <c r="DB734" t="e">
        <v>#N/A</v>
      </c>
      <c r="DC734" t="e">
        <v>#N/A</v>
      </c>
      <c r="DD734" t="e">
        <v>#N/A</v>
      </c>
      <c r="DE734" t="e">
        <v>#N/A</v>
      </c>
      <c r="DF734" t="e">
        <v>#N/A</v>
      </c>
      <c r="DG734" t="e">
        <v>#N/A</v>
      </c>
      <c r="DH734" t="e">
        <v>#N/A</v>
      </c>
      <c r="DI734" t="e">
        <v>#N/A</v>
      </c>
    </row>
    <row r="735" spans="13:113">
      <c r="M735" t="str">
        <f t="shared" si="88"/>
        <v>"//*[@class=\"</v>
      </c>
      <c r="N735" t="str">
        <f t="shared" si="92"/>
        <v/>
      </c>
      <c r="O735" s="4" t="str">
        <f t="shared" si="93"/>
        <v>click</v>
      </c>
      <c r="P735" t="str">
        <f t="shared" si="94"/>
        <v>();</v>
      </c>
      <c r="Q735" t="str">
        <f t="shared" si="95"/>
        <v/>
      </c>
      <c r="R735" t="str">
        <f t="shared" si="89"/>
        <v/>
      </c>
      <c r="S735" s="1" t="str">
        <f t="shared" si="90"/>
        <v/>
      </c>
      <c r="CT735" t="e">
        <v>#N/A</v>
      </c>
      <c r="CU735" t="e">
        <v>#N/A</v>
      </c>
      <c r="CV735" t="e">
        <v>#N/A</v>
      </c>
      <c r="CW735" t="e">
        <v>#N/A</v>
      </c>
      <c r="CX735" t="e">
        <v>#N/A</v>
      </c>
      <c r="CY735" t="e">
        <v>#N/A</v>
      </c>
      <c r="CZ735" t="e">
        <v>#N/A</v>
      </c>
      <c r="DA735" t="e">
        <v>#N/A</v>
      </c>
      <c r="DB735" t="e">
        <v>#N/A</v>
      </c>
      <c r="DC735" t="e">
        <v>#N/A</v>
      </c>
      <c r="DD735" t="e">
        <v>#N/A</v>
      </c>
      <c r="DE735" t="e">
        <v>#N/A</v>
      </c>
      <c r="DF735" t="e">
        <v>#N/A</v>
      </c>
      <c r="DG735" t="e">
        <v>#N/A</v>
      </c>
      <c r="DH735" t="e">
        <v>#N/A</v>
      </c>
      <c r="DI735" t="e">
        <v>#N/A</v>
      </c>
    </row>
    <row r="736" spans="13:113">
      <c r="M736" t="str">
        <f t="shared" si="88"/>
        <v>"//*[@class=\"</v>
      </c>
      <c r="N736" t="str">
        <f t="shared" si="92"/>
        <v/>
      </c>
      <c r="O736" s="4" t="str">
        <f t="shared" si="93"/>
        <v>click</v>
      </c>
      <c r="P736" t="str">
        <f t="shared" si="94"/>
        <v>();</v>
      </c>
      <c r="Q736" t="str">
        <f t="shared" si="95"/>
        <v/>
      </c>
      <c r="R736" t="str">
        <f t="shared" si="89"/>
        <v/>
      </c>
      <c r="S736" s="1" t="str">
        <f t="shared" si="90"/>
        <v/>
      </c>
      <c r="CT736" t="e">
        <v>#N/A</v>
      </c>
      <c r="CU736" t="e">
        <v>#N/A</v>
      </c>
      <c r="CV736" t="e">
        <v>#N/A</v>
      </c>
      <c r="CW736" t="e">
        <v>#N/A</v>
      </c>
      <c r="CX736" t="e">
        <v>#N/A</v>
      </c>
      <c r="CY736" t="e">
        <v>#N/A</v>
      </c>
      <c r="CZ736" t="e">
        <v>#N/A</v>
      </c>
      <c r="DA736" t="e">
        <v>#N/A</v>
      </c>
      <c r="DB736" t="e">
        <v>#N/A</v>
      </c>
      <c r="DC736" t="e">
        <v>#N/A</v>
      </c>
      <c r="DD736" t="e">
        <v>#N/A</v>
      </c>
      <c r="DE736" t="e">
        <v>#N/A</v>
      </c>
      <c r="DF736" t="e">
        <v>#N/A</v>
      </c>
      <c r="DG736" t="e">
        <v>#N/A</v>
      </c>
      <c r="DH736" t="e">
        <v>#N/A</v>
      </c>
      <c r="DI736" t="e">
        <v>#N/A</v>
      </c>
    </row>
    <row r="737" spans="13:113">
      <c r="M737" t="str">
        <f t="shared" si="88"/>
        <v>"//*[@class=\"</v>
      </c>
      <c r="N737" t="str">
        <f t="shared" si="92"/>
        <v/>
      </c>
      <c r="O737" s="4" t="str">
        <f t="shared" si="93"/>
        <v>click</v>
      </c>
      <c r="P737" t="str">
        <f t="shared" si="94"/>
        <v>();</v>
      </c>
      <c r="Q737" t="str">
        <f t="shared" si="95"/>
        <v/>
      </c>
      <c r="R737" t="str">
        <f t="shared" si="89"/>
        <v/>
      </c>
      <c r="S737" s="1" t="str">
        <f t="shared" si="90"/>
        <v/>
      </c>
      <c r="CT737" t="e">
        <v>#N/A</v>
      </c>
      <c r="CU737" t="e">
        <v>#N/A</v>
      </c>
      <c r="CV737" t="e">
        <v>#N/A</v>
      </c>
      <c r="CW737" t="e">
        <v>#N/A</v>
      </c>
      <c r="CX737" t="e">
        <v>#N/A</v>
      </c>
      <c r="CY737" t="e">
        <v>#N/A</v>
      </c>
      <c r="CZ737" t="e">
        <v>#N/A</v>
      </c>
      <c r="DA737" t="e">
        <v>#N/A</v>
      </c>
      <c r="DB737" t="e">
        <v>#N/A</v>
      </c>
      <c r="DC737" t="e">
        <v>#N/A</v>
      </c>
      <c r="DD737" t="e">
        <v>#N/A</v>
      </c>
      <c r="DE737" t="e">
        <v>#N/A</v>
      </c>
      <c r="DF737" t="e">
        <v>#N/A</v>
      </c>
      <c r="DG737" t="e">
        <v>#N/A</v>
      </c>
      <c r="DH737" t="e">
        <v>#N/A</v>
      </c>
      <c r="DI737" t="e">
        <v>#N/A</v>
      </c>
    </row>
    <row r="738" spans="13:113">
      <c r="M738" t="str">
        <f t="shared" si="88"/>
        <v>"//*[@class=\"</v>
      </c>
      <c r="N738" t="str">
        <f t="shared" si="92"/>
        <v/>
      </c>
      <c r="O738" s="4" t="str">
        <f t="shared" si="93"/>
        <v>click</v>
      </c>
      <c r="P738" t="str">
        <f t="shared" si="94"/>
        <v>();</v>
      </c>
      <c r="Q738" t="str">
        <f t="shared" si="95"/>
        <v/>
      </c>
      <c r="R738" t="str">
        <f t="shared" si="89"/>
        <v/>
      </c>
      <c r="S738" s="1" t="str">
        <f t="shared" si="90"/>
        <v/>
      </c>
      <c r="CT738" t="e">
        <v>#N/A</v>
      </c>
      <c r="CU738" t="e">
        <v>#N/A</v>
      </c>
      <c r="CV738" t="e">
        <v>#N/A</v>
      </c>
      <c r="CW738" t="e">
        <v>#N/A</v>
      </c>
      <c r="CX738" t="e">
        <v>#N/A</v>
      </c>
      <c r="CY738" t="e">
        <v>#N/A</v>
      </c>
      <c r="CZ738" t="e">
        <v>#N/A</v>
      </c>
      <c r="DA738" t="e">
        <v>#N/A</v>
      </c>
      <c r="DB738" t="e">
        <v>#N/A</v>
      </c>
      <c r="DC738" t="e">
        <v>#N/A</v>
      </c>
      <c r="DD738" t="e">
        <v>#N/A</v>
      </c>
      <c r="DE738" t="e">
        <v>#N/A</v>
      </c>
      <c r="DF738" t="e">
        <v>#N/A</v>
      </c>
      <c r="DG738" t="e">
        <v>#N/A</v>
      </c>
      <c r="DH738" t="e">
        <v>#N/A</v>
      </c>
      <c r="DI738" t="e">
        <v>#N/A</v>
      </c>
    </row>
    <row r="739" spans="13:113">
      <c r="M739" t="str">
        <f t="shared" si="88"/>
        <v>"//*[@class=\"</v>
      </c>
      <c r="N739" t="str">
        <f t="shared" si="92"/>
        <v/>
      </c>
      <c r="O739" s="4" t="str">
        <f t="shared" si="93"/>
        <v>click</v>
      </c>
      <c r="P739" t="str">
        <f t="shared" si="94"/>
        <v>();</v>
      </c>
      <c r="Q739" t="str">
        <f t="shared" si="95"/>
        <v/>
      </c>
      <c r="R739" t="str">
        <f t="shared" si="89"/>
        <v/>
      </c>
      <c r="S739" s="1" t="str">
        <f t="shared" si="90"/>
        <v/>
      </c>
      <c r="CT739" t="e">
        <v>#N/A</v>
      </c>
      <c r="CU739" t="e">
        <v>#N/A</v>
      </c>
      <c r="CV739" t="e">
        <v>#N/A</v>
      </c>
      <c r="CW739" t="e">
        <v>#N/A</v>
      </c>
      <c r="CX739" t="e">
        <v>#N/A</v>
      </c>
      <c r="CY739" t="e">
        <v>#N/A</v>
      </c>
      <c r="CZ739" t="e">
        <v>#N/A</v>
      </c>
      <c r="DA739" t="e">
        <v>#N/A</v>
      </c>
      <c r="DB739" t="e">
        <v>#N/A</v>
      </c>
      <c r="DC739" t="e">
        <v>#N/A</v>
      </c>
      <c r="DD739" t="e">
        <v>#N/A</v>
      </c>
      <c r="DE739" t="e">
        <v>#N/A</v>
      </c>
      <c r="DF739" t="e">
        <v>#N/A</v>
      </c>
      <c r="DG739" t="e">
        <v>#N/A</v>
      </c>
      <c r="DH739" t="e">
        <v>#N/A</v>
      </c>
      <c r="DI739" t="e">
        <v>#N/A</v>
      </c>
    </row>
    <row r="740" spans="13:113">
      <c r="M740" t="str">
        <f t="shared" si="88"/>
        <v>"//*[@class=\"</v>
      </c>
      <c r="N740" t="str">
        <f t="shared" si="92"/>
        <v/>
      </c>
      <c r="O740" s="4" t="str">
        <f t="shared" si="93"/>
        <v>click</v>
      </c>
      <c r="P740" t="str">
        <f t="shared" si="94"/>
        <v>();</v>
      </c>
      <c r="Q740" t="str">
        <f t="shared" si="95"/>
        <v/>
      </c>
      <c r="R740" t="str">
        <f t="shared" si="89"/>
        <v/>
      </c>
      <c r="S740" s="1" t="str">
        <f t="shared" si="90"/>
        <v/>
      </c>
      <c r="CT740" t="e">
        <v>#N/A</v>
      </c>
      <c r="CU740" t="e">
        <v>#N/A</v>
      </c>
      <c r="CV740" t="e">
        <v>#N/A</v>
      </c>
      <c r="CW740" t="e">
        <v>#N/A</v>
      </c>
      <c r="CX740" t="e">
        <v>#N/A</v>
      </c>
      <c r="CY740" t="e">
        <v>#N/A</v>
      </c>
      <c r="CZ740" t="e">
        <v>#N/A</v>
      </c>
      <c r="DA740" t="e">
        <v>#N/A</v>
      </c>
      <c r="DB740" t="e">
        <v>#N/A</v>
      </c>
      <c r="DC740" t="e">
        <v>#N/A</v>
      </c>
      <c r="DD740" t="e">
        <v>#N/A</v>
      </c>
      <c r="DE740" t="e">
        <v>#N/A</v>
      </c>
      <c r="DF740" t="e">
        <v>#N/A</v>
      </c>
      <c r="DG740" t="e">
        <v>#N/A</v>
      </c>
      <c r="DH740" t="e">
        <v>#N/A</v>
      </c>
      <c r="DI740" t="e">
        <v>#N/A</v>
      </c>
    </row>
    <row r="741" spans="13:113">
      <c r="M741" t="str">
        <f t="shared" si="88"/>
        <v>"//*[@class=\"</v>
      </c>
      <c r="N741" t="str">
        <f t="shared" si="92"/>
        <v/>
      </c>
      <c r="O741" s="4" t="str">
        <f t="shared" si="93"/>
        <v>click</v>
      </c>
      <c r="P741" t="str">
        <f t="shared" si="94"/>
        <v>();</v>
      </c>
      <c r="Q741" t="str">
        <f t="shared" si="95"/>
        <v/>
      </c>
      <c r="R741" t="str">
        <f t="shared" si="89"/>
        <v/>
      </c>
      <c r="S741" s="1" t="str">
        <f t="shared" si="90"/>
        <v/>
      </c>
      <c r="CT741" t="e">
        <v>#N/A</v>
      </c>
      <c r="CU741" t="e">
        <v>#N/A</v>
      </c>
      <c r="CV741" t="e">
        <v>#N/A</v>
      </c>
      <c r="CW741" t="e">
        <v>#N/A</v>
      </c>
      <c r="CX741" t="e">
        <v>#N/A</v>
      </c>
      <c r="CY741" t="e">
        <v>#N/A</v>
      </c>
      <c r="CZ741" t="e">
        <v>#N/A</v>
      </c>
      <c r="DA741" t="e">
        <v>#N/A</v>
      </c>
      <c r="DB741" t="e">
        <v>#N/A</v>
      </c>
      <c r="DC741" t="e">
        <v>#N/A</v>
      </c>
      <c r="DD741" t="e">
        <v>#N/A</v>
      </c>
      <c r="DE741" t="e">
        <v>#N/A</v>
      </c>
      <c r="DF741" t="e">
        <v>#N/A</v>
      </c>
      <c r="DG741" t="e">
        <v>#N/A</v>
      </c>
      <c r="DH741" t="e">
        <v>#N/A</v>
      </c>
      <c r="DI741" t="e">
        <v>#N/A</v>
      </c>
    </row>
    <row r="742" spans="13:113">
      <c r="M742" t="str">
        <f t="shared" si="88"/>
        <v>"//*[@class=\"</v>
      </c>
      <c r="N742" t="str">
        <f t="shared" si="92"/>
        <v/>
      </c>
      <c r="O742" s="4" t="str">
        <f t="shared" si="93"/>
        <v>click</v>
      </c>
      <c r="P742" t="str">
        <f t="shared" si="94"/>
        <v>();</v>
      </c>
      <c r="Q742" t="str">
        <f t="shared" si="95"/>
        <v/>
      </c>
      <c r="R742" t="str">
        <f t="shared" si="89"/>
        <v/>
      </c>
      <c r="S742" s="1" t="str">
        <f t="shared" si="90"/>
        <v/>
      </c>
      <c r="CT742" t="e">
        <v>#N/A</v>
      </c>
      <c r="CU742" t="e">
        <v>#N/A</v>
      </c>
      <c r="CV742" t="e">
        <v>#N/A</v>
      </c>
      <c r="CW742" t="e">
        <v>#N/A</v>
      </c>
      <c r="CX742" t="e">
        <v>#N/A</v>
      </c>
      <c r="CY742" t="e">
        <v>#N/A</v>
      </c>
      <c r="CZ742" t="e">
        <v>#N/A</v>
      </c>
      <c r="DA742" t="e">
        <v>#N/A</v>
      </c>
      <c r="DB742" t="e">
        <v>#N/A</v>
      </c>
      <c r="DC742" t="e">
        <v>#N/A</v>
      </c>
      <c r="DD742" t="e">
        <v>#N/A</v>
      </c>
      <c r="DE742" t="e">
        <v>#N/A</v>
      </c>
      <c r="DF742" t="e">
        <v>#N/A</v>
      </c>
      <c r="DG742" t="e">
        <v>#N/A</v>
      </c>
      <c r="DH742" t="e">
        <v>#N/A</v>
      </c>
      <c r="DI742" t="e">
        <v>#N/A</v>
      </c>
    </row>
    <row r="743" spans="13:113">
      <c r="M743" t="str">
        <f t="shared" si="88"/>
        <v>"//*[@class=\"</v>
      </c>
      <c r="N743" t="str">
        <f t="shared" si="92"/>
        <v/>
      </c>
      <c r="O743" s="4" t="str">
        <f t="shared" si="93"/>
        <v>click</v>
      </c>
      <c r="P743" t="str">
        <f t="shared" si="94"/>
        <v>();</v>
      </c>
      <c r="Q743" t="str">
        <f t="shared" si="95"/>
        <v/>
      </c>
      <c r="R743" t="str">
        <f t="shared" si="89"/>
        <v/>
      </c>
      <c r="S743" s="1" t="str">
        <f t="shared" si="90"/>
        <v/>
      </c>
      <c r="CT743" t="e">
        <v>#N/A</v>
      </c>
      <c r="CU743" t="e">
        <v>#N/A</v>
      </c>
      <c r="CV743" t="e">
        <v>#N/A</v>
      </c>
      <c r="CW743" t="e">
        <v>#N/A</v>
      </c>
      <c r="CX743" t="e">
        <v>#N/A</v>
      </c>
      <c r="CY743" t="e">
        <v>#N/A</v>
      </c>
      <c r="CZ743" t="e">
        <v>#N/A</v>
      </c>
      <c r="DA743" t="e">
        <v>#N/A</v>
      </c>
      <c r="DB743" t="e">
        <v>#N/A</v>
      </c>
      <c r="DC743" t="e">
        <v>#N/A</v>
      </c>
      <c r="DD743" t="e">
        <v>#N/A</v>
      </c>
      <c r="DE743" t="e">
        <v>#N/A</v>
      </c>
      <c r="DF743" t="e">
        <v>#N/A</v>
      </c>
      <c r="DG743" t="e">
        <v>#N/A</v>
      </c>
      <c r="DH743" t="e">
        <v>#N/A</v>
      </c>
      <c r="DI743" t="e">
        <v>#N/A</v>
      </c>
    </row>
    <row r="744" spans="13:113">
      <c r="M744" t="str">
        <f t="shared" si="88"/>
        <v>"//*[@class=\"</v>
      </c>
      <c r="N744" t="str">
        <f t="shared" si="92"/>
        <v/>
      </c>
      <c r="O744" s="4" t="str">
        <f t="shared" si="93"/>
        <v>click</v>
      </c>
      <c r="P744" t="str">
        <f t="shared" si="94"/>
        <v>();</v>
      </c>
      <c r="Q744" t="str">
        <f t="shared" si="95"/>
        <v/>
      </c>
      <c r="R744" t="str">
        <f t="shared" si="89"/>
        <v/>
      </c>
      <c r="S744" s="1" t="str">
        <f t="shared" si="90"/>
        <v/>
      </c>
      <c r="CT744" t="e">
        <v>#N/A</v>
      </c>
      <c r="CU744" t="e">
        <v>#N/A</v>
      </c>
      <c r="CV744" t="e">
        <v>#N/A</v>
      </c>
      <c r="CW744" t="e">
        <v>#N/A</v>
      </c>
      <c r="CX744" t="e">
        <v>#N/A</v>
      </c>
      <c r="CY744" t="e">
        <v>#N/A</v>
      </c>
      <c r="CZ744" t="e">
        <v>#N/A</v>
      </c>
      <c r="DA744" t="e">
        <v>#N/A</v>
      </c>
      <c r="DB744" t="e">
        <v>#N/A</v>
      </c>
      <c r="DC744" t="e">
        <v>#N/A</v>
      </c>
      <c r="DD744" t="e">
        <v>#N/A</v>
      </c>
      <c r="DE744" t="e">
        <v>#N/A</v>
      </c>
      <c r="DF744" t="e">
        <v>#N/A</v>
      </c>
      <c r="DG744" t="e">
        <v>#N/A</v>
      </c>
      <c r="DH744" t="e">
        <v>#N/A</v>
      </c>
      <c r="DI744" t="e">
        <v>#N/A</v>
      </c>
    </row>
    <row r="745" spans="13:113">
      <c r="M745" t="str">
        <f t="shared" si="88"/>
        <v>"//*[@class=\"</v>
      </c>
      <c r="N745" t="str">
        <f t="shared" si="92"/>
        <v/>
      </c>
      <c r="O745" s="4" t="str">
        <f t="shared" si="93"/>
        <v>click</v>
      </c>
      <c r="P745" t="str">
        <f t="shared" si="94"/>
        <v>();</v>
      </c>
      <c r="Q745" t="str">
        <f t="shared" si="95"/>
        <v/>
      </c>
      <c r="R745" t="str">
        <f t="shared" si="89"/>
        <v/>
      </c>
      <c r="S745" s="1" t="str">
        <f t="shared" si="90"/>
        <v/>
      </c>
      <c r="CT745" t="e">
        <v>#N/A</v>
      </c>
      <c r="CU745" t="e">
        <v>#N/A</v>
      </c>
      <c r="CV745" t="e">
        <v>#N/A</v>
      </c>
      <c r="CW745" t="e">
        <v>#N/A</v>
      </c>
      <c r="CX745" t="e">
        <v>#N/A</v>
      </c>
      <c r="CY745" t="e">
        <v>#N/A</v>
      </c>
      <c r="CZ745" t="e">
        <v>#N/A</v>
      </c>
      <c r="DA745" t="e">
        <v>#N/A</v>
      </c>
      <c r="DB745" t="e">
        <v>#N/A</v>
      </c>
      <c r="DC745" t="e">
        <v>#N/A</v>
      </c>
      <c r="DD745" t="e">
        <v>#N/A</v>
      </c>
      <c r="DE745" t="e">
        <v>#N/A</v>
      </c>
      <c r="DF745" t="e">
        <v>#N/A</v>
      </c>
      <c r="DG745" t="e">
        <v>#N/A</v>
      </c>
      <c r="DH745" t="e">
        <v>#N/A</v>
      </c>
      <c r="DI745" t="e">
        <v>#N/A</v>
      </c>
    </row>
    <row r="746" spans="13:113">
      <c r="M746" t="str">
        <f t="shared" si="88"/>
        <v>"//*[@class=\"</v>
      </c>
      <c r="N746" t="str">
        <f t="shared" si="92"/>
        <v/>
      </c>
      <c r="O746" s="4" t="str">
        <f t="shared" si="93"/>
        <v>click</v>
      </c>
      <c r="P746" t="str">
        <f t="shared" si="94"/>
        <v>();</v>
      </c>
      <c r="Q746" t="str">
        <f t="shared" si="95"/>
        <v/>
      </c>
      <c r="R746" t="str">
        <f t="shared" si="89"/>
        <v/>
      </c>
      <c r="S746" s="1" t="str">
        <f t="shared" si="90"/>
        <v/>
      </c>
      <c r="CT746" t="e">
        <v>#N/A</v>
      </c>
      <c r="CU746" t="e">
        <v>#N/A</v>
      </c>
      <c r="CV746" t="e">
        <v>#N/A</v>
      </c>
      <c r="CW746" t="e">
        <v>#N/A</v>
      </c>
      <c r="CX746" t="e">
        <v>#N/A</v>
      </c>
      <c r="CY746" t="e">
        <v>#N/A</v>
      </c>
      <c r="CZ746" t="e">
        <v>#N/A</v>
      </c>
      <c r="DA746" t="e">
        <v>#N/A</v>
      </c>
      <c r="DB746" t="e">
        <v>#N/A</v>
      </c>
      <c r="DC746" t="e">
        <v>#N/A</v>
      </c>
      <c r="DD746" t="e">
        <v>#N/A</v>
      </c>
      <c r="DE746" t="e">
        <v>#N/A</v>
      </c>
      <c r="DF746" t="e">
        <v>#N/A</v>
      </c>
      <c r="DG746" t="e">
        <v>#N/A</v>
      </c>
      <c r="DH746" t="e">
        <v>#N/A</v>
      </c>
      <c r="DI746" t="e">
        <v>#N/A</v>
      </c>
    </row>
    <row r="747" spans="13:113">
      <c r="M747" t="str">
        <f t="shared" si="88"/>
        <v>"//*[@class=\"</v>
      </c>
      <c r="N747" t="str">
        <f t="shared" si="92"/>
        <v/>
      </c>
      <c r="O747" s="4" t="str">
        <f t="shared" si="93"/>
        <v>click</v>
      </c>
      <c r="P747" t="str">
        <f t="shared" si="94"/>
        <v>();</v>
      </c>
      <c r="Q747" t="str">
        <f t="shared" si="95"/>
        <v/>
      </c>
      <c r="R747" t="str">
        <f t="shared" si="89"/>
        <v/>
      </c>
      <c r="S747" s="1" t="str">
        <f t="shared" si="90"/>
        <v/>
      </c>
      <c r="CT747" t="e">
        <v>#N/A</v>
      </c>
      <c r="CU747" t="e">
        <v>#N/A</v>
      </c>
      <c r="CV747" t="e">
        <v>#N/A</v>
      </c>
      <c r="CW747" t="e">
        <v>#N/A</v>
      </c>
      <c r="CX747" t="e">
        <v>#N/A</v>
      </c>
      <c r="CY747" t="e">
        <v>#N/A</v>
      </c>
      <c r="CZ747" t="e">
        <v>#N/A</v>
      </c>
      <c r="DA747" t="e">
        <v>#N/A</v>
      </c>
      <c r="DB747" t="e">
        <v>#N/A</v>
      </c>
      <c r="DC747" t="e">
        <v>#N/A</v>
      </c>
      <c r="DD747" t="e">
        <v>#N/A</v>
      </c>
      <c r="DE747" t="e">
        <v>#N/A</v>
      </c>
      <c r="DF747" t="e">
        <v>#N/A</v>
      </c>
      <c r="DG747" t="e">
        <v>#N/A</v>
      </c>
      <c r="DH747" t="e">
        <v>#N/A</v>
      </c>
      <c r="DI747" t="e">
        <v>#N/A</v>
      </c>
    </row>
    <row r="748" spans="13:113">
      <c r="M748" t="str">
        <f t="shared" si="88"/>
        <v>"//*[@class=\"</v>
      </c>
      <c r="N748" t="str">
        <f t="shared" si="92"/>
        <v/>
      </c>
      <c r="O748" s="4" t="str">
        <f t="shared" si="93"/>
        <v>click</v>
      </c>
      <c r="P748" t="str">
        <f t="shared" si="94"/>
        <v>();</v>
      </c>
      <c r="Q748" t="str">
        <f t="shared" si="95"/>
        <v/>
      </c>
      <c r="R748" t="str">
        <f t="shared" si="89"/>
        <v/>
      </c>
      <c r="S748" s="1" t="str">
        <f t="shared" si="90"/>
        <v/>
      </c>
      <c r="CT748" t="e">
        <v>#N/A</v>
      </c>
      <c r="CU748" t="e">
        <v>#N/A</v>
      </c>
      <c r="CV748" t="e">
        <v>#N/A</v>
      </c>
      <c r="CW748" t="e">
        <v>#N/A</v>
      </c>
      <c r="CX748" t="e">
        <v>#N/A</v>
      </c>
      <c r="CY748" t="e">
        <v>#N/A</v>
      </c>
      <c r="CZ748" t="e">
        <v>#N/A</v>
      </c>
      <c r="DA748" t="e">
        <v>#N/A</v>
      </c>
      <c r="DB748" t="e">
        <v>#N/A</v>
      </c>
      <c r="DC748" t="e">
        <v>#N/A</v>
      </c>
      <c r="DD748" t="e">
        <v>#N/A</v>
      </c>
      <c r="DE748" t="e">
        <v>#N/A</v>
      </c>
      <c r="DF748" t="e">
        <v>#N/A</v>
      </c>
      <c r="DG748" t="e">
        <v>#N/A</v>
      </c>
      <c r="DH748" t="e">
        <v>#N/A</v>
      </c>
      <c r="DI748" t="e">
        <v>#N/A</v>
      </c>
    </row>
    <row r="749" spans="13:113">
      <c r="M749" t="str">
        <f t="shared" si="88"/>
        <v>"//*[@class=\"</v>
      </c>
      <c r="N749" t="str">
        <f t="shared" si="92"/>
        <v/>
      </c>
      <c r="O749" s="4" t="str">
        <f t="shared" si="93"/>
        <v>click</v>
      </c>
      <c r="P749" t="str">
        <f t="shared" si="94"/>
        <v>();</v>
      </c>
      <c r="Q749" t="str">
        <f t="shared" si="95"/>
        <v/>
      </c>
      <c r="R749" t="str">
        <f t="shared" si="89"/>
        <v/>
      </c>
      <c r="S749" s="1" t="str">
        <f t="shared" si="90"/>
        <v/>
      </c>
      <c r="CT749" t="e">
        <v>#N/A</v>
      </c>
      <c r="CU749" t="e">
        <v>#N/A</v>
      </c>
      <c r="CV749" t="e">
        <v>#N/A</v>
      </c>
      <c r="CW749" t="e">
        <v>#N/A</v>
      </c>
      <c r="CX749" t="e">
        <v>#N/A</v>
      </c>
      <c r="CY749" t="e">
        <v>#N/A</v>
      </c>
      <c r="CZ749" t="e">
        <v>#N/A</v>
      </c>
      <c r="DA749" t="e">
        <v>#N/A</v>
      </c>
      <c r="DB749" t="e">
        <v>#N/A</v>
      </c>
      <c r="DC749" t="e">
        <v>#N/A</v>
      </c>
      <c r="DD749" t="e">
        <v>#N/A</v>
      </c>
      <c r="DE749" t="e">
        <v>#N/A</v>
      </c>
      <c r="DF749" t="e">
        <v>#N/A</v>
      </c>
      <c r="DG749" t="e">
        <v>#N/A</v>
      </c>
      <c r="DH749" t="e">
        <v>#N/A</v>
      </c>
      <c r="DI749" t="e">
        <v>#N/A</v>
      </c>
    </row>
    <row r="750" spans="13:113">
      <c r="M750" t="str">
        <f t="shared" si="88"/>
        <v>"//*[@class=\"</v>
      </c>
      <c r="N750" t="str">
        <f t="shared" si="92"/>
        <v/>
      </c>
      <c r="O750" s="4" t="str">
        <f t="shared" si="93"/>
        <v>click</v>
      </c>
      <c r="P750" t="str">
        <f t="shared" si="94"/>
        <v>();</v>
      </c>
      <c r="Q750" t="str">
        <f t="shared" si="95"/>
        <v/>
      </c>
      <c r="R750" t="str">
        <f t="shared" si="89"/>
        <v/>
      </c>
      <c r="S750" s="1" t="str">
        <f t="shared" si="90"/>
        <v/>
      </c>
      <c r="CT750" t="e">
        <v>#N/A</v>
      </c>
      <c r="CU750" t="e">
        <v>#N/A</v>
      </c>
      <c r="CV750" t="e">
        <v>#N/A</v>
      </c>
      <c r="CW750" t="e">
        <v>#N/A</v>
      </c>
      <c r="CX750" t="e">
        <v>#N/A</v>
      </c>
      <c r="CY750" t="e">
        <v>#N/A</v>
      </c>
      <c r="CZ750" t="e">
        <v>#N/A</v>
      </c>
      <c r="DA750" t="e">
        <v>#N/A</v>
      </c>
      <c r="DB750" t="e">
        <v>#N/A</v>
      </c>
      <c r="DC750" t="e">
        <v>#N/A</v>
      </c>
      <c r="DD750" t="e">
        <v>#N/A</v>
      </c>
      <c r="DE750" t="e">
        <v>#N/A</v>
      </c>
      <c r="DF750" t="e">
        <v>#N/A</v>
      </c>
      <c r="DG750" t="e">
        <v>#N/A</v>
      </c>
      <c r="DH750" t="e">
        <v>#N/A</v>
      </c>
      <c r="DI750" t="e">
        <v>#N/A</v>
      </c>
    </row>
    <row r="751" spans="13:113">
      <c r="M751" t="str">
        <f t="shared" si="88"/>
        <v>"//*[@class=\"</v>
      </c>
      <c r="N751" t="str">
        <f t="shared" si="92"/>
        <v/>
      </c>
      <c r="O751" s="4" t="str">
        <f t="shared" si="93"/>
        <v>click</v>
      </c>
      <c r="P751" t="str">
        <f t="shared" si="94"/>
        <v>();</v>
      </c>
      <c r="Q751" t="str">
        <f t="shared" si="95"/>
        <v/>
      </c>
      <c r="R751" t="str">
        <f t="shared" si="89"/>
        <v/>
      </c>
      <c r="S751" s="1" t="str">
        <f t="shared" si="90"/>
        <v/>
      </c>
      <c r="CT751" t="e">
        <v>#N/A</v>
      </c>
      <c r="CU751" t="e">
        <v>#N/A</v>
      </c>
      <c r="CV751" t="e">
        <v>#N/A</v>
      </c>
      <c r="CW751" t="e">
        <v>#N/A</v>
      </c>
      <c r="CX751" t="e">
        <v>#N/A</v>
      </c>
      <c r="CY751" t="e">
        <v>#N/A</v>
      </c>
      <c r="CZ751" t="e">
        <v>#N/A</v>
      </c>
      <c r="DA751" t="e">
        <v>#N/A</v>
      </c>
      <c r="DB751" t="e">
        <v>#N/A</v>
      </c>
      <c r="DC751" t="e">
        <v>#N/A</v>
      </c>
      <c r="DD751" t="e">
        <v>#N/A</v>
      </c>
      <c r="DE751" t="e">
        <v>#N/A</v>
      </c>
      <c r="DF751" t="e">
        <v>#N/A</v>
      </c>
      <c r="DG751" t="e">
        <v>#N/A</v>
      </c>
      <c r="DH751" t="e">
        <v>#N/A</v>
      </c>
      <c r="DI751" t="e">
        <v>#N/A</v>
      </c>
    </row>
    <row r="752" spans="13:113">
      <c r="M752" t="str">
        <f t="shared" si="88"/>
        <v>"//*[@class=\"</v>
      </c>
      <c r="N752" t="str">
        <f t="shared" si="92"/>
        <v/>
      </c>
      <c r="O752" s="4" t="str">
        <f t="shared" si="93"/>
        <v>click</v>
      </c>
      <c r="P752" t="str">
        <f t="shared" si="94"/>
        <v>();</v>
      </c>
      <c r="Q752" t="str">
        <f t="shared" si="95"/>
        <v/>
      </c>
      <c r="R752" t="str">
        <f t="shared" si="89"/>
        <v/>
      </c>
      <c r="S752" s="1" t="str">
        <f t="shared" si="90"/>
        <v/>
      </c>
      <c r="CT752" t="e">
        <v>#N/A</v>
      </c>
      <c r="CU752" t="e">
        <v>#N/A</v>
      </c>
      <c r="CV752" t="e">
        <v>#N/A</v>
      </c>
      <c r="CW752" t="e">
        <v>#N/A</v>
      </c>
      <c r="CX752" t="e">
        <v>#N/A</v>
      </c>
      <c r="CY752" t="e">
        <v>#N/A</v>
      </c>
      <c r="CZ752" t="e">
        <v>#N/A</v>
      </c>
      <c r="DA752" t="e">
        <v>#N/A</v>
      </c>
      <c r="DB752" t="e">
        <v>#N/A</v>
      </c>
      <c r="DC752" t="e">
        <v>#N/A</v>
      </c>
      <c r="DD752" t="e">
        <v>#N/A</v>
      </c>
      <c r="DE752" t="e">
        <v>#N/A</v>
      </c>
      <c r="DF752" t="e">
        <v>#N/A</v>
      </c>
      <c r="DG752" t="e">
        <v>#N/A</v>
      </c>
      <c r="DH752" t="e">
        <v>#N/A</v>
      </c>
      <c r="DI752" t="e">
        <v>#N/A</v>
      </c>
    </row>
    <row r="753" spans="13:113">
      <c r="M753" t="str">
        <f t="shared" si="88"/>
        <v>"//*[@class=\"</v>
      </c>
      <c r="N753" t="str">
        <f t="shared" si="92"/>
        <v/>
      </c>
      <c r="O753" s="4" t="str">
        <f t="shared" si="93"/>
        <v>click</v>
      </c>
      <c r="P753" t="str">
        <f t="shared" si="94"/>
        <v>();</v>
      </c>
      <c r="Q753" t="str">
        <f t="shared" si="95"/>
        <v/>
      </c>
      <c r="R753" t="str">
        <f t="shared" si="89"/>
        <v/>
      </c>
      <c r="S753" s="1" t="str">
        <f t="shared" si="90"/>
        <v/>
      </c>
      <c r="CT753" t="e">
        <v>#N/A</v>
      </c>
      <c r="CU753" t="e">
        <v>#N/A</v>
      </c>
      <c r="CV753" t="e">
        <v>#N/A</v>
      </c>
      <c r="CW753" t="e">
        <v>#N/A</v>
      </c>
      <c r="CX753" t="e">
        <v>#N/A</v>
      </c>
      <c r="CY753" t="e">
        <v>#N/A</v>
      </c>
      <c r="CZ753" t="e">
        <v>#N/A</v>
      </c>
      <c r="DA753" t="e">
        <v>#N/A</v>
      </c>
      <c r="DB753" t="e">
        <v>#N/A</v>
      </c>
      <c r="DC753" t="e">
        <v>#N/A</v>
      </c>
      <c r="DD753" t="e">
        <v>#N/A</v>
      </c>
      <c r="DE753" t="e">
        <v>#N/A</v>
      </c>
      <c r="DF753" t="e">
        <v>#N/A</v>
      </c>
      <c r="DG753" t="e">
        <v>#N/A</v>
      </c>
      <c r="DH753" t="e">
        <v>#N/A</v>
      </c>
      <c r="DI753" t="e">
        <v>#N/A</v>
      </c>
    </row>
    <row r="754" spans="13:113">
      <c r="M754" t="str">
        <f t="shared" si="88"/>
        <v>"//*[@class=\"</v>
      </c>
      <c r="N754" t="str">
        <f t="shared" si="92"/>
        <v/>
      </c>
      <c r="O754" s="4" t="str">
        <f t="shared" si="93"/>
        <v>click</v>
      </c>
      <c r="P754" t="str">
        <f t="shared" si="94"/>
        <v>();</v>
      </c>
      <c r="Q754" t="str">
        <f t="shared" si="95"/>
        <v/>
      </c>
      <c r="R754" t="str">
        <f t="shared" si="89"/>
        <v/>
      </c>
      <c r="S754" s="1" t="str">
        <f t="shared" si="90"/>
        <v/>
      </c>
      <c r="CT754" t="e">
        <v>#N/A</v>
      </c>
      <c r="CU754" t="e">
        <v>#N/A</v>
      </c>
      <c r="CV754" t="e">
        <v>#N/A</v>
      </c>
      <c r="CW754" t="e">
        <v>#N/A</v>
      </c>
      <c r="CX754" t="e">
        <v>#N/A</v>
      </c>
      <c r="CY754" t="e">
        <v>#N/A</v>
      </c>
      <c r="CZ754" t="e">
        <v>#N/A</v>
      </c>
      <c r="DA754" t="e">
        <v>#N/A</v>
      </c>
      <c r="DB754" t="e">
        <v>#N/A</v>
      </c>
      <c r="DC754" t="e">
        <v>#N/A</v>
      </c>
      <c r="DD754" t="e">
        <v>#N/A</v>
      </c>
      <c r="DE754" t="e">
        <v>#N/A</v>
      </c>
      <c r="DF754" t="e">
        <v>#N/A</v>
      </c>
      <c r="DG754" t="e">
        <v>#N/A</v>
      </c>
      <c r="DH754" t="e">
        <v>#N/A</v>
      </c>
      <c r="DI754" t="e">
        <v>#N/A</v>
      </c>
    </row>
    <row r="755" spans="13:113">
      <c r="M755" t="str">
        <f t="shared" si="88"/>
        <v>"//*[@class=\"</v>
      </c>
      <c r="N755" t="str">
        <f t="shared" si="92"/>
        <v/>
      </c>
      <c r="O755" s="4" t="str">
        <f t="shared" si="93"/>
        <v>click</v>
      </c>
      <c r="P755" t="str">
        <f t="shared" si="94"/>
        <v>();</v>
      </c>
      <c r="Q755" t="str">
        <f t="shared" si="95"/>
        <v/>
      </c>
      <c r="R755" t="str">
        <f t="shared" si="89"/>
        <v/>
      </c>
      <c r="S755" s="1" t="str">
        <f t="shared" si="90"/>
        <v/>
      </c>
      <c r="CT755" t="e">
        <v>#N/A</v>
      </c>
      <c r="CU755" t="e">
        <v>#N/A</v>
      </c>
      <c r="CV755" t="e">
        <v>#N/A</v>
      </c>
      <c r="CW755" t="e">
        <v>#N/A</v>
      </c>
      <c r="CX755" t="e">
        <v>#N/A</v>
      </c>
      <c r="CY755" t="e">
        <v>#N/A</v>
      </c>
      <c r="CZ755" t="e">
        <v>#N/A</v>
      </c>
      <c r="DA755" t="e">
        <v>#N/A</v>
      </c>
      <c r="DB755" t="e">
        <v>#N/A</v>
      </c>
      <c r="DC755" t="e">
        <v>#N/A</v>
      </c>
      <c r="DD755" t="e">
        <v>#N/A</v>
      </c>
      <c r="DE755" t="e">
        <v>#N/A</v>
      </c>
      <c r="DF755" t="e">
        <v>#N/A</v>
      </c>
      <c r="DG755" t="e">
        <v>#N/A</v>
      </c>
      <c r="DH755" t="e">
        <v>#N/A</v>
      </c>
      <c r="DI755" t="e">
        <v>#N/A</v>
      </c>
    </row>
    <row r="756" spans="13:113">
      <c r="M756" t="str">
        <f t="shared" si="88"/>
        <v>"//*[@class=\"</v>
      </c>
      <c r="N756" t="str">
        <f t="shared" si="92"/>
        <v/>
      </c>
      <c r="O756" s="4" t="str">
        <f t="shared" si="93"/>
        <v>click</v>
      </c>
      <c r="P756" t="str">
        <f t="shared" si="94"/>
        <v>();</v>
      </c>
      <c r="Q756" t="str">
        <f t="shared" si="95"/>
        <v/>
      </c>
      <c r="R756" t="str">
        <f t="shared" si="89"/>
        <v/>
      </c>
      <c r="S756" s="1" t="str">
        <f t="shared" si="90"/>
        <v/>
      </c>
      <c r="CT756" t="e">
        <v>#N/A</v>
      </c>
      <c r="CU756" t="e">
        <v>#N/A</v>
      </c>
      <c r="CV756" t="e">
        <v>#N/A</v>
      </c>
      <c r="CW756" t="e">
        <v>#N/A</v>
      </c>
      <c r="CX756" t="e">
        <v>#N/A</v>
      </c>
      <c r="CY756" t="e">
        <v>#N/A</v>
      </c>
      <c r="CZ756" t="e">
        <v>#N/A</v>
      </c>
      <c r="DA756" t="e">
        <v>#N/A</v>
      </c>
      <c r="DB756" t="e">
        <v>#N/A</v>
      </c>
      <c r="DC756" t="e">
        <v>#N/A</v>
      </c>
      <c r="DD756" t="e">
        <v>#N/A</v>
      </c>
      <c r="DE756" t="e">
        <v>#N/A</v>
      </c>
      <c r="DF756" t="e">
        <v>#N/A</v>
      </c>
      <c r="DG756" t="e">
        <v>#N/A</v>
      </c>
      <c r="DH756" t="e">
        <v>#N/A</v>
      </c>
      <c r="DI756" t="e">
        <v>#N/A</v>
      </c>
    </row>
    <row r="757" spans="13:113">
      <c r="M757" t="str">
        <f t="shared" si="88"/>
        <v>"//*[@class=\"</v>
      </c>
      <c r="N757" t="str">
        <f t="shared" si="92"/>
        <v/>
      </c>
      <c r="O757" s="4" t="str">
        <f t="shared" si="93"/>
        <v>click</v>
      </c>
      <c r="P757" t="str">
        <f t="shared" si="94"/>
        <v>();</v>
      </c>
      <c r="Q757" t="str">
        <f t="shared" si="95"/>
        <v/>
      </c>
      <c r="R757" t="str">
        <f t="shared" si="89"/>
        <v/>
      </c>
      <c r="S757" s="1" t="str">
        <f t="shared" si="90"/>
        <v/>
      </c>
      <c r="CT757" t="e">
        <v>#N/A</v>
      </c>
      <c r="CU757" t="e">
        <v>#N/A</v>
      </c>
      <c r="CV757" t="e">
        <v>#N/A</v>
      </c>
      <c r="CW757" t="e">
        <v>#N/A</v>
      </c>
      <c r="CX757" t="e">
        <v>#N/A</v>
      </c>
      <c r="CY757" t="e">
        <v>#N/A</v>
      </c>
      <c r="CZ757" t="e">
        <v>#N/A</v>
      </c>
      <c r="DA757" t="e">
        <v>#N/A</v>
      </c>
      <c r="DB757" t="e">
        <v>#N/A</v>
      </c>
      <c r="DC757" t="e">
        <v>#N/A</v>
      </c>
      <c r="DD757" t="e">
        <v>#N/A</v>
      </c>
      <c r="DE757" t="e">
        <v>#N/A</v>
      </c>
      <c r="DF757" t="e">
        <v>#N/A</v>
      </c>
      <c r="DG757" t="e">
        <v>#N/A</v>
      </c>
      <c r="DH757" t="e">
        <v>#N/A</v>
      </c>
      <c r="DI757" t="e">
        <v>#N/A</v>
      </c>
    </row>
    <row r="758" spans="13:113">
      <c r="M758" t="str">
        <f t="shared" si="88"/>
        <v>"//*[@class=\"</v>
      </c>
      <c r="N758" t="str">
        <f t="shared" si="92"/>
        <v/>
      </c>
      <c r="O758" s="4" t="str">
        <f t="shared" si="93"/>
        <v>click</v>
      </c>
      <c r="P758" t="str">
        <f t="shared" si="94"/>
        <v>();</v>
      </c>
      <c r="Q758" t="str">
        <f t="shared" si="95"/>
        <v/>
      </c>
      <c r="R758" t="str">
        <f t="shared" si="89"/>
        <v/>
      </c>
      <c r="S758" s="1" t="str">
        <f t="shared" si="90"/>
        <v/>
      </c>
      <c r="CT758" t="e">
        <v>#N/A</v>
      </c>
      <c r="CU758" t="e">
        <v>#N/A</v>
      </c>
      <c r="CV758" t="e">
        <v>#N/A</v>
      </c>
      <c r="CW758" t="e">
        <v>#N/A</v>
      </c>
      <c r="CX758" t="e">
        <v>#N/A</v>
      </c>
      <c r="CY758" t="e">
        <v>#N/A</v>
      </c>
      <c r="CZ758" t="e">
        <v>#N/A</v>
      </c>
      <c r="DA758" t="e">
        <v>#N/A</v>
      </c>
      <c r="DB758" t="e">
        <v>#N/A</v>
      </c>
      <c r="DC758" t="e">
        <v>#N/A</v>
      </c>
      <c r="DD758" t="e">
        <v>#N/A</v>
      </c>
      <c r="DE758" t="e">
        <v>#N/A</v>
      </c>
      <c r="DF758" t="e">
        <v>#N/A</v>
      </c>
      <c r="DG758" t="e">
        <v>#N/A</v>
      </c>
      <c r="DH758" t="e">
        <v>#N/A</v>
      </c>
      <c r="DI758" t="e">
        <v>#N/A</v>
      </c>
    </row>
    <row r="759" spans="13:113">
      <c r="M759" t="str">
        <f t="shared" si="88"/>
        <v>"//*[@class=\"</v>
      </c>
      <c r="N759" t="str">
        <f t="shared" si="92"/>
        <v/>
      </c>
      <c r="O759" s="4" t="str">
        <f t="shared" si="93"/>
        <v>click</v>
      </c>
      <c r="P759" t="str">
        <f t="shared" si="94"/>
        <v>();</v>
      </c>
      <c r="Q759" t="str">
        <f t="shared" si="95"/>
        <v/>
      </c>
      <c r="R759" t="str">
        <f t="shared" si="89"/>
        <v/>
      </c>
      <c r="S759" s="1" t="str">
        <f t="shared" si="90"/>
        <v/>
      </c>
      <c r="CT759" t="e">
        <v>#N/A</v>
      </c>
      <c r="CU759" t="e">
        <v>#N/A</v>
      </c>
      <c r="CV759" t="e">
        <v>#N/A</v>
      </c>
      <c r="CW759" t="e">
        <v>#N/A</v>
      </c>
      <c r="CX759" t="e">
        <v>#N/A</v>
      </c>
      <c r="CY759" t="e">
        <v>#N/A</v>
      </c>
      <c r="CZ759" t="e">
        <v>#N/A</v>
      </c>
      <c r="DA759" t="e">
        <v>#N/A</v>
      </c>
      <c r="DB759" t="e">
        <v>#N/A</v>
      </c>
      <c r="DC759" t="e">
        <v>#N/A</v>
      </c>
      <c r="DD759" t="e">
        <v>#N/A</v>
      </c>
      <c r="DE759" t="e">
        <v>#N/A</v>
      </c>
      <c r="DF759" t="e">
        <v>#N/A</v>
      </c>
      <c r="DG759" t="e">
        <v>#N/A</v>
      </c>
      <c r="DH759" t="e">
        <v>#N/A</v>
      </c>
      <c r="DI759" t="e">
        <v>#N/A</v>
      </c>
    </row>
    <row r="760" spans="13:113">
      <c r="M760" t="str">
        <f t="shared" si="88"/>
        <v>"//*[@class=\"</v>
      </c>
      <c r="N760" t="str">
        <f t="shared" si="92"/>
        <v/>
      </c>
      <c r="O760" s="4" t="str">
        <f t="shared" si="93"/>
        <v>click</v>
      </c>
      <c r="P760" t="str">
        <f t="shared" si="94"/>
        <v>();</v>
      </c>
      <c r="Q760" t="str">
        <f t="shared" si="95"/>
        <v/>
      </c>
      <c r="R760" t="str">
        <f t="shared" si="89"/>
        <v/>
      </c>
      <c r="S760" s="1" t="str">
        <f t="shared" si="90"/>
        <v/>
      </c>
      <c r="CT760" t="e">
        <v>#N/A</v>
      </c>
      <c r="CU760" t="e">
        <v>#N/A</v>
      </c>
      <c r="CV760" t="e">
        <v>#N/A</v>
      </c>
      <c r="CW760" t="e">
        <v>#N/A</v>
      </c>
      <c r="CX760" t="e">
        <v>#N/A</v>
      </c>
      <c r="CY760" t="e">
        <v>#N/A</v>
      </c>
      <c r="CZ760" t="e">
        <v>#N/A</v>
      </c>
      <c r="DA760" t="e">
        <v>#N/A</v>
      </c>
      <c r="DB760" t="e">
        <v>#N/A</v>
      </c>
      <c r="DC760" t="e">
        <v>#N/A</v>
      </c>
      <c r="DD760" t="e">
        <v>#N/A</v>
      </c>
      <c r="DE760" t="e">
        <v>#N/A</v>
      </c>
      <c r="DF760" t="e">
        <v>#N/A</v>
      </c>
      <c r="DG760" t="e">
        <v>#N/A</v>
      </c>
      <c r="DH760" t="e">
        <v>#N/A</v>
      </c>
      <c r="DI760" t="e">
        <v>#N/A</v>
      </c>
    </row>
    <row r="761" spans="13:113">
      <c r="M761" t="str">
        <f t="shared" si="88"/>
        <v>"//*[@class=\"</v>
      </c>
      <c r="N761" t="str">
        <f t="shared" si="92"/>
        <v/>
      </c>
      <c r="O761" s="4" t="str">
        <f t="shared" si="93"/>
        <v>click</v>
      </c>
      <c r="P761" t="str">
        <f t="shared" si="94"/>
        <v>();</v>
      </c>
      <c r="Q761" t="str">
        <f t="shared" si="95"/>
        <v/>
      </c>
      <c r="R761" t="str">
        <f t="shared" si="89"/>
        <v/>
      </c>
      <c r="S761" s="1" t="str">
        <f t="shared" si="90"/>
        <v/>
      </c>
      <c r="CT761" t="e">
        <v>#N/A</v>
      </c>
      <c r="CU761" t="e">
        <v>#N/A</v>
      </c>
      <c r="CV761" t="e">
        <v>#N/A</v>
      </c>
      <c r="CW761" t="e">
        <v>#N/A</v>
      </c>
      <c r="CX761" t="e">
        <v>#N/A</v>
      </c>
      <c r="CY761" t="e">
        <v>#N/A</v>
      </c>
      <c r="CZ761" t="e">
        <v>#N/A</v>
      </c>
      <c r="DA761" t="e">
        <v>#N/A</v>
      </c>
      <c r="DB761" t="e">
        <v>#N/A</v>
      </c>
      <c r="DC761" t="e">
        <v>#N/A</v>
      </c>
      <c r="DD761" t="e">
        <v>#N/A</v>
      </c>
      <c r="DE761" t="e">
        <v>#N/A</v>
      </c>
      <c r="DF761" t="e">
        <v>#N/A</v>
      </c>
      <c r="DG761" t="e">
        <v>#N/A</v>
      </c>
      <c r="DH761" t="e">
        <v>#N/A</v>
      </c>
      <c r="DI761" t="e">
        <v>#N/A</v>
      </c>
    </row>
    <row r="762" spans="13:113">
      <c r="M762" t="str">
        <f t="shared" si="88"/>
        <v>"//*[@class=\"</v>
      </c>
      <c r="N762" t="str">
        <f t="shared" si="92"/>
        <v/>
      </c>
      <c r="O762" s="4" t="str">
        <f t="shared" si="93"/>
        <v>click</v>
      </c>
      <c r="P762" t="str">
        <f t="shared" si="94"/>
        <v>();</v>
      </c>
      <c r="Q762" t="str">
        <f t="shared" si="95"/>
        <v/>
      </c>
      <c r="R762" t="str">
        <f t="shared" si="89"/>
        <v/>
      </c>
      <c r="S762" s="1" t="str">
        <f t="shared" si="90"/>
        <v/>
      </c>
      <c r="CT762" t="e">
        <v>#N/A</v>
      </c>
      <c r="CU762" t="e">
        <v>#N/A</v>
      </c>
      <c r="CV762" t="e">
        <v>#N/A</v>
      </c>
      <c r="CW762" t="e">
        <v>#N/A</v>
      </c>
      <c r="CX762" t="e">
        <v>#N/A</v>
      </c>
      <c r="CY762" t="e">
        <v>#N/A</v>
      </c>
      <c r="CZ762" t="e">
        <v>#N/A</v>
      </c>
      <c r="DA762" t="e">
        <v>#N/A</v>
      </c>
      <c r="DB762" t="e">
        <v>#N/A</v>
      </c>
      <c r="DC762" t="e">
        <v>#N/A</v>
      </c>
      <c r="DD762" t="e">
        <v>#N/A</v>
      </c>
      <c r="DE762" t="e">
        <v>#N/A</v>
      </c>
      <c r="DF762" t="e">
        <v>#N/A</v>
      </c>
      <c r="DG762" t="e">
        <v>#N/A</v>
      </c>
      <c r="DH762" t="e">
        <v>#N/A</v>
      </c>
      <c r="DI762" t="e">
        <v>#N/A</v>
      </c>
    </row>
    <row r="763" spans="13:113">
      <c r="M763" t="str">
        <f t="shared" si="88"/>
        <v>"//*[@class=\"</v>
      </c>
      <c r="N763" t="str">
        <f t="shared" si="92"/>
        <v/>
      </c>
      <c r="O763" s="4" t="str">
        <f t="shared" si="93"/>
        <v>click</v>
      </c>
      <c r="P763" t="str">
        <f t="shared" si="94"/>
        <v>();</v>
      </c>
      <c r="Q763" t="str">
        <f t="shared" si="95"/>
        <v/>
      </c>
      <c r="R763" t="str">
        <f t="shared" si="89"/>
        <v/>
      </c>
      <c r="S763" s="1" t="str">
        <f t="shared" si="90"/>
        <v/>
      </c>
      <c r="CT763" t="e">
        <v>#N/A</v>
      </c>
      <c r="CU763" t="e">
        <v>#N/A</v>
      </c>
      <c r="CV763" t="e">
        <v>#N/A</v>
      </c>
      <c r="CW763" t="e">
        <v>#N/A</v>
      </c>
      <c r="CX763" t="e">
        <v>#N/A</v>
      </c>
      <c r="CY763" t="e">
        <v>#N/A</v>
      </c>
      <c r="CZ763" t="e">
        <v>#N/A</v>
      </c>
      <c r="DA763" t="e">
        <v>#N/A</v>
      </c>
      <c r="DB763" t="e">
        <v>#N/A</v>
      </c>
      <c r="DC763" t="e">
        <v>#N/A</v>
      </c>
      <c r="DD763" t="e">
        <v>#N/A</v>
      </c>
      <c r="DE763" t="e">
        <v>#N/A</v>
      </c>
      <c r="DF763" t="e">
        <v>#N/A</v>
      </c>
      <c r="DG763" t="e">
        <v>#N/A</v>
      </c>
      <c r="DH763" t="e">
        <v>#N/A</v>
      </c>
      <c r="DI763" t="e">
        <v>#N/A</v>
      </c>
    </row>
    <row r="764" spans="13:113">
      <c r="M764" t="str">
        <f t="shared" si="88"/>
        <v>"//*[@class=\"</v>
      </c>
      <c r="N764" t="str">
        <f t="shared" si="92"/>
        <v/>
      </c>
      <c r="O764" s="4" t="str">
        <f t="shared" si="93"/>
        <v>click</v>
      </c>
      <c r="P764" t="str">
        <f t="shared" si="94"/>
        <v>();</v>
      </c>
      <c r="Q764" t="str">
        <f t="shared" si="95"/>
        <v/>
      </c>
      <c r="R764" t="str">
        <f t="shared" si="89"/>
        <v/>
      </c>
      <c r="S764" s="1" t="str">
        <f t="shared" si="90"/>
        <v/>
      </c>
      <c r="CT764" t="e">
        <v>#N/A</v>
      </c>
      <c r="CU764" t="e">
        <v>#N/A</v>
      </c>
      <c r="CV764" t="e">
        <v>#N/A</v>
      </c>
      <c r="CW764" t="e">
        <v>#N/A</v>
      </c>
      <c r="CX764" t="e">
        <v>#N/A</v>
      </c>
      <c r="CY764" t="e">
        <v>#N/A</v>
      </c>
      <c r="CZ764" t="e">
        <v>#N/A</v>
      </c>
      <c r="DA764" t="e">
        <v>#N/A</v>
      </c>
      <c r="DB764" t="e">
        <v>#N/A</v>
      </c>
      <c r="DC764" t="e">
        <v>#N/A</v>
      </c>
      <c r="DD764" t="e">
        <v>#N/A</v>
      </c>
      <c r="DE764" t="e">
        <v>#N/A</v>
      </c>
      <c r="DF764" t="e">
        <v>#N/A</v>
      </c>
      <c r="DG764" t="e">
        <v>#N/A</v>
      </c>
      <c r="DH764" t="e">
        <v>#N/A</v>
      </c>
      <c r="DI764" t="e">
        <v>#N/A</v>
      </c>
    </row>
    <row r="765" spans="13:113">
      <c r="M765" t="str">
        <f t="shared" si="88"/>
        <v>"//*[@class=\"</v>
      </c>
      <c r="N765" t="str">
        <f t="shared" si="92"/>
        <v/>
      </c>
      <c r="O765" s="4" t="str">
        <f t="shared" si="93"/>
        <v>click</v>
      </c>
      <c r="P765" t="str">
        <f t="shared" si="94"/>
        <v>();</v>
      </c>
      <c r="Q765" t="str">
        <f t="shared" si="95"/>
        <v/>
      </c>
      <c r="R765" t="str">
        <f t="shared" si="89"/>
        <v/>
      </c>
      <c r="S765" s="1" t="str">
        <f t="shared" si="90"/>
        <v/>
      </c>
      <c r="CT765" t="e">
        <v>#N/A</v>
      </c>
      <c r="CU765" t="e">
        <v>#N/A</v>
      </c>
      <c r="CV765" t="e">
        <v>#N/A</v>
      </c>
      <c r="CW765" t="e">
        <v>#N/A</v>
      </c>
      <c r="CX765" t="e">
        <v>#N/A</v>
      </c>
      <c r="CY765" t="e">
        <v>#N/A</v>
      </c>
      <c r="CZ765" t="e">
        <v>#N/A</v>
      </c>
      <c r="DA765" t="e">
        <v>#N/A</v>
      </c>
      <c r="DB765" t="e">
        <v>#N/A</v>
      </c>
      <c r="DC765" t="e">
        <v>#N/A</v>
      </c>
      <c r="DD765" t="e">
        <v>#N/A</v>
      </c>
      <c r="DE765" t="e">
        <v>#N/A</v>
      </c>
      <c r="DF765" t="e">
        <v>#N/A</v>
      </c>
      <c r="DG765" t="e">
        <v>#N/A</v>
      </c>
      <c r="DH765" t="e">
        <v>#N/A</v>
      </c>
      <c r="DI765" t="e">
        <v>#N/A</v>
      </c>
    </row>
    <row r="766" spans="13:113">
      <c r="M766" t="str">
        <f t="shared" si="88"/>
        <v>"//*[@class=\"</v>
      </c>
      <c r="N766" t="str">
        <f t="shared" si="92"/>
        <v/>
      </c>
      <c r="O766" s="4" t="str">
        <f t="shared" si="93"/>
        <v>click</v>
      </c>
      <c r="P766" t="str">
        <f t="shared" si="94"/>
        <v>();</v>
      </c>
      <c r="Q766" t="str">
        <f t="shared" si="95"/>
        <v/>
      </c>
      <c r="R766" t="str">
        <f t="shared" si="89"/>
        <v/>
      </c>
      <c r="S766" s="1" t="str">
        <f t="shared" si="90"/>
        <v/>
      </c>
      <c r="CT766" t="e">
        <v>#N/A</v>
      </c>
      <c r="CU766" t="e">
        <v>#N/A</v>
      </c>
      <c r="CV766" t="e">
        <v>#N/A</v>
      </c>
      <c r="CW766" t="e">
        <v>#N/A</v>
      </c>
      <c r="CX766" t="e">
        <v>#N/A</v>
      </c>
      <c r="CY766" t="e">
        <v>#N/A</v>
      </c>
      <c r="CZ766" t="e">
        <v>#N/A</v>
      </c>
      <c r="DA766" t="e">
        <v>#N/A</v>
      </c>
      <c r="DB766" t="e">
        <v>#N/A</v>
      </c>
      <c r="DC766" t="e">
        <v>#N/A</v>
      </c>
      <c r="DD766" t="e">
        <v>#N/A</v>
      </c>
      <c r="DE766" t="e">
        <v>#N/A</v>
      </c>
      <c r="DF766" t="e">
        <v>#N/A</v>
      </c>
      <c r="DG766" t="e">
        <v>#N/A</v>
      </c>
      <c r="DH766" t="e">
        <v>#N/A</v>
      </c>
      <c r="DI766" t="e">
        <v>#N/A</v>
      </c>
    </row>
    <row r="767" spans="13:113">
      <c r="M767" t="str">
        <f t="shared" si="88"/>
        <v>"//*[@class=\"</v>
      </c>
      <c r="N767" t="str">
        <f t="shared" si="92"/>
        <v/>
      </c>
      <c r="O767" s="4" t="str">
        <f t="shared" si="93"/>
        <v>click</v>
      </c>
      <c r="P767" t="str">
        <f t="shared" si="94"/>
        <v>();</v>
      </c>
      <c r="Q767" t="str">
        <f t="shared" si="95"/>
        <v/>
      </c>
      <c r="R767" t="str">
        <f t="shared" si="89"/>
        <v/>
      </c>
      <c r="S767" s="1" t="str">
        <f t="shared" si="90"/>
        <v/>
      </c>
      <c r="CT767" t="e">
        <v>#N/A</v>
      </c>
      <c r="CU767" t="e">
        <v>#N/A</v>
      </c>
      <c r="CV767" t="e">
        <v>#N/A</v>
      </c>
      <c r="CW767" t="e">
        <v>#N/A</v>
      </c>
      <c r="CX767" t="e">
        <v>#N/A</v>
      </c>
      <c r="CY767" t="e">
        <v>#N/A</v>
      </c>
      <c r="CZ767" t="e">
        <v>#N/A</v>
      </c>
      <c r="DA767" t="e">
        <v>#N/A</v>
      </c>
      <c r="DB767" t="e">
        <v>#N/A</v>
      </c>
      <c r="DC767" t="e">
        <v>#N/A</v>
      </c>
      <c r="DD767" t="e">
        <v>#N/A</v>
      </c>
      <c r="DE767" t="e">
        <v>#N/A</v>
      </c>
      <c r="DF767" t="e">
        <v>#N/A</v>
      </c>
      <c r="DG767" t="e">
        <v>#N/A</v>
      </c>
      <c r="DH767" t="e">
        <v>#N/A</v>
      </c>
      <c r="DI767" t="e">
        <v>#N/A</v>
      </c>
    </row>
    <row r="768" spans="13:113">
      <c r="M768" t="str">
        <f t="shared" si="88"/>
        <v>"//*[@class=\"</v>
      </c>
      <c r="N768" t="str">
        <f t="shared" si="92"/>
        <v/>
      </c>
      <c r="O768" s="4" t="str">
        <f t="shared" si="93"/>
        <v>click</v>
      </c>
      <c r="P768" t="str">
        <f t="shared" si="94"/>
        <v>();</v>
      </c>
      <c r="Q768" t="str">
        <f t="shared" si="95"/>
        <v/>
      </c>
      <c r="R768" t="str">
        <f t="shared" si="89"/>
        <v/>
      </c>
      <c r="S768" s="1" t="str">
        <f t="shared" si="90"/>
        <v/>
      </c>
      <c r="CT768" t="e">
        <v>#N/A</v>
      </c>
      <c r="CU768" t="e">
        <v>#N/A</v>
      </c>
      <c r="CV768" t="e">
        <v>#N/A</v>
      </c>
      <c r="CW768" t="e">
        <v>#N/A</v>
      </c>
      <c r="CX768" t="e">
        <v>#N/A</v>
      </c>
      <c r="CY768" t="e">
        <v>#N/A</v>
      </c>
      <c r="CZ768" t="e">
        <v>#N/A</v>
      </c>
      <c r="DA768" t="e">
        <v>#N/A</v>
      </c>
      <c r="DB768" t="e">
        <v>#N/A</v>
      </c>
      <c r="DC768" t="e">
        <v>#N/A</v>
      </c>
      <c r="DD768" t="e">
        <v>#N/A</v>
      </c>
      <c r="DE768" t="e">
        <v>#N/A</v>
      </c>
      <c r="DF768" t="e">
        <v>#N/A</v>
      </c>
      <c r="DG768" t="e">
        <v>#N/A</v>
      </c>
      <c r="DH768" t="e">
        <v>#N/A</v>
      </c>
      <c r="DI768" t="e">
        <v>#N/A</v>
      </c>
    </row>
    <row r="769" spans="13:113">
      <c r="M769" t="str">
        <f t="shared" si="88"/>
        <v>"//*[@class=\"</v>
      </c>
      <c r="N769" t="str">
        <f t="shared" si="92"/>
        <v/>
      </c>
      <c r="O769" s="4" t="str">
        <f t="shared" si="93"/>
        <v>click</v>
      </c>
      <c r="P769" t="str">
        <f t="shared" si="94"/>
        <v>();</v>
      </c>
      <c r="Q769" t="str">
        <f t="shared" si="95"/>
        <v/>
      </c>
      <c r="R769" t="str">
        <f t="shared" si="89"/>
        <v/>
      </c>
      <c r="S769" s="1" t="str">
        <f t="shared" si="90"/>
        <v/>
      </c>
      <c r="CT769" t="e">
        <v>#N/A</v>
      </c>
      <c r="CU769" t="e">
        <v>#N/A</v>
      </c>
      <c r="CV769" t="e">
        <v>#N/A</v>
      </c>
      <c r="CW769" t="e">
        <v>#N/A</v>
      </c>
      <c r="CX769" t="e">
        <v>#N/A</v>
      </c>
      <c r="CY769" t="e">
        <v>#N/A</v>
      </c>
      <c r="CZ769" t="e">
        <v>#N/A</v>
      </c>
      <c r="DA769" t="e">
        <v>#N/A</v>
      </c>
      <c r="DB769" t="e">
        <v>#N/A</v>
      </c>
      <c r="DC769" t="e">
        <v>#N/A</v>
      </c>
      <c r="DD769" t="e">
        <v>#N/A</v>
      </c>
      <c r="DE769" t="e">
        <v>#N/A</v>
      </c>
      <c r="DF769" t="e">
        <v>#N/A</v>
      </c>
      <c r="DG769" t="e">
        <v>#N/A</v>
      </c>
      <c r="DH769" t="e">
        <v>#N/A</v>
      </c>
      <c r="DI769" t="e">
        <v>#N/A</v>
      </c>
    </row>
    <row r="770" spans="13:113">
      <c r="M770" t="str">
        <f t="shared" si="88"/>
        <v>"//*[@class=\"</v>
      </c>
      <c r="N770" t="str">
        <f t="shared" si="92"/>
        <v/>
      </c>
      <c r="O770" s="4" t="str">
        <f t="shared" si="93"/>
        <v>click</v>
      </c>
      <c r="P770" t="str">
        <f t="shared" si="94"/>
        <v>();</v>
      </c>
      <c r="Q770" t="str">
        <f t="shared" si="95"/>
        <v/>
      </c>
      <c r="R770" t="str">
        <f t="shared" si="89"/>
        <v/>
      </c>
      <c r="S770" s="1" t="str">
        <f t="shared" si="90"/>
        <v/>
      </c>
      <c r="CT770" t="e">
        <v>#N/A</v>
      </c>
      <c r="CU770" t="e">
        <v>#N/A</v>
      </c>
      <c r="CV770" t="e">
        <v>#N/A</v>
      </c>
      <c r="CW770" t="e">
        <v>#N/A</v>
      </c>
      <c r="CX770" t="e">
        <v>#N/A</v>
      </c>
      <c r="CY770" t="e">
        <v>#N/A</v>
      </c>
      <c r="CZ770" t="e">
        <v>#N/A</v>
      </c>
      <c r="DA770" t="e">
        <v>#N/A</v>
      </c>
      <c r="DB770" t="e">
        <v>#N/A</v>
      </c>
      <c r="DC770" t="e">
        <v>#N/A</v>
      </c>
      <c r="DD770" t="e">
        <v>#N/A</v>
      </c>
      <c r="DE770" t="e">
        <v>#N/A</v>
      </c>
      <c r="DF770" t="e">
        <v>#N/A</v>
      </c>
      <c r="DG770" t="e">
        <v>#N/A</v>
      </c>
      <c r="DH770" t="e">
        <v>#N/A</v>
      </c>
      <c r="DI770" t="e">
        <v>#N/A</v>
      </c>
    </row>
    <row r="771" spans="13:113">
      <c r="M771" t="str">
        <f t="shared" si="88"/>
        <v>"//*[@class=\"</v>
      </c>
      <c r="N771" t="str">
        <f t="shared" si="92"/>
        <v/>
      </c>
      <c r="O771" s="4" t="str">
        <f t="shared" si="93"/>
        <v>click</v>
      </c>
      <c r="P771" t="str">
        <f t="shared" si="94"/>
        <v>();</v>
      </c>
      <c r="Q771" t="str">
        <f t="shared" si="95"/>
        <v/>
      </c>
      <c r="R771" t="str">
        <f t="shared" si="89"/>
        <v/>
      </c>
      <c r="S771" s="1" t="str">
        <f t="shared" si="90"/>
        <v/>
      </c>
      <c r="CT771" t="e">
        <v>#N/A</v>
      </c>
      <c r="CU771" t="e">
        <v>#N/A</v>
      </c>
      <c r="CV771" t="e">
        <v>#N/A</v>
      </c>
      <c r="CW771" t="e">
        <v>#N/A</v>
      </c>
      <c r="CX771" t="e">
        <v>#N/A</v>
      </c>
      <c r="CY771" t="e">
        <v>#N/A</v>
      </c>
      <c r="CZ771" t="e">
        <v>#N/A</v>
      </c>
      <c r="DA771" t="e">
        <v>#N/A</v>
      </c>
      <c r="DB771" t="e">
        <v>#N/A</v>
      </c>
      <c r="DC771" t="e">
        <v>#N/A</v>
      </c>
      <c r="DD771" t="e">
        <v>#N/A</v>
      </c>
      <c r="DE771" t="e">
        <v>#N/A</v>
      </c>
      <c r="DF771" t="e">
        <v>#N/A</v>
      </c>
      <c r="DG771" t="e">
        <v>#N/A</v>
      </c>
      <c r="DH771" t="e">
        <v>#N/A</v>
      </c>
      <c r="DI771" t="e">
        <v>#N/A</v>
      </c>
    </row>
    <row r="772" spans="13:113">
      <c r="M772" t="str">
        <f t="shared" si="88"/>
        <v>"//*[@class=\"</v>
      </c>
      <c r="N772" t="str">
        <f t="shared" si="92"/>
        <v/>
      </c>
      <c r="O772" s="4" t="str">
        <f t="shared" si="93"/>
        <v>click</v>
      </c>
      <c r="P772" t="str">
        <f t="shared" si="94"/>
        <v>();</v>
      </c>
      <c r="Q772" t="str">
        <f t="shared" si="95"/>
        <v/>
      </c>
      <c r="R772" t="str">
        <f t="shared" si="89"/>
        <v/>
      </c>
      <c r="S772" s="1" t="str">
        <f t="shared" si="90"/>
        <v/>
      </c>
      <c r="CT772" t="e">
        <v>#N/A</v>
      </c>
      <c r="CU772" t="e">
        <v>#N/A</v>
      </c>
      <c r="CV772" t="e">
        <v>#N/A</v>
      </c>
      <c r="CW772" t="e">
        <v>#N/A</v>
      </c>
      <c r="CX772" t="e">
        <v>#N/A</v>
      </c>
      <c r="CY772" t="e">
        <v>#N/A</v>
      </c>
      <c r="CZ772" t="e">
        <v>#N/A</v>
      </c>
      <c r="DA772" t="e">
        <v>#N/A</v>
      </c>
      <c r="DB772" t="e">
        <v>#N/A</v>
      </c>
      <c r="DC772" t="e">
        <v>#N/A</v>
      </c>
      <c r="DD772" t="e">
        <v>#N/A</v>
      </c>
      <c r="DE772" t="e">
        <v>#N/A</v>
      </c>
      <c r="DF772" t="e">
        <v>#N/A</v>
      </c>
      <c r="DG772" t="e">
        <v>#N/A</v>
      </c>
      <c r="DH772" t="e">
        <v>#N/A</v>
      </c>
      <c r="DI772" t="e">
        <v>#N/A</v>
      </c>
    </row>
    <row r="773" spans="13:113">
      <c r="M773" t="str">
        <f t="shared" si="88"/>
        <v>"//*[@class=\"</v>
      </c>
      <c r="N773" t="str">
        <f t="shared" si="92"/>
        <v/>
      </c>
      <c r="O773" s="4" t="str">
        <f t="shared" si="93"/>
        <v>click</v>
      </c>
      <c r="P773" t="str">
        <f t="shared" si="94"/>
        <v>();</v>
      </c>
      <c r="Q773" t="str">
        <f t="shared" si="95"/>
        <v/>
      </c>
      <c r="R773" t="str">
        <f t="shared" si="89"/>
        <v/>
      </c>
      <c r="S773" s="1" t="str">
        <f t="shared" si="90"/>
        <v/>
      </c>
      <c r="CT773" t="e">
        <v>#N/A</v>
      </c>
      <c r="CU773" t="e">
        <v>#N/A</v>
      </c>
      <c r="CV773" t="e">
        <v>#N/A</v>
      </c>
      <c r="CW773" t="e">
        <v>#N/A</v>
      </c>
      <c r="CX773" t="e">
        <v>#N/A</v>
      </c>
      <c r="CY773" t="e">
        <v>#N/A</v>
      </c>
      <c r="CZ773" t="e">
        <v>#N/A</v>
      </c>
      <c r="DA773" t="e">
        <v>#N/A</v>
      </c>
      <c r="DB773" t="e">
        <v>#N/A</v>
      </c>
      <c r="DC773" t="e">
        <v>#N/A</v>
      </c>
      <c r="DD773" t="e">
        <v>#N/A</v>
      </c>
      <c r="DE773" t="e">
        <v>#N/A</v>
      </c>
      <c r="DF773" t="e">
        <v>#N/A</v>
      </c>
      <c r="DG773" t="e">
        <v>#N/A</v>
      </c>
      <c r="DH773" t="e">
        <v>#N/A</v>
      </c>
      <c r="DI773" t="e">
        <v>#N/A</v>
      </c>
    </row>
    <row r="774" spans="13:113">
      <c r="M774" t="str">
        <f t="shared" si="88"/>
        <v>"//*[@class=\"</v>
      </c>
      <c r="N774" t="str">
        <f t="shared" si="92"/>
        <v/>
      </c>
      <c r="O774" s="4" t="str">
        <f t="shared" si="93"/>
        <v>click</v>
      </c>
      <c r="P774" t="str">
        <f t="shared" si="94"/>
        <v>();</v>
      </c>
      <c r="Q774" t="str">
        <f t="shared" si="95"/>
        <v/>
      </c>
      <c r="R774" t="str">
        <f t="shared" si="89"/>
        <v/>
      </c>
      <c r="S774" s="1" t="str">
        <f t="shared" si="90"/>
        <v/>
      </c>
      <c r="CT774" t="e">
        <v>#N/A</v>
      </c>
      <c r="CU774" t="e">
        <v>#N/A</v>
      </c>
      <c r="CV774" t="e">
        <v>#N/A</v>
      </c>
      <c r="CW774" t="e">
        <v>#N/A</v>
      </c>
      <c r="CX774" t="e">
        <v>#N/A</v>
      </c>
      <c r="CY774" t="e">
        <v>#N/A</v>
      </c>
      <c r="CZ774" t="e">
        <v>#N/A</v>
      </c>
      <c r="DA774" t="e">
        <v>#N/A</v>
      </c>
      <c r="DB774" t="e">
        <v>#N/A</v>
      </c>
      <c r="DC774" t="e">
        <v>#N/A</v>
      </c>
      <c r="DD774" t="e">
        <v>#N/A</v>
      </c>
      <c r="DE774" t="e">
        <v>#N/A</v>
      </c>
      <c r="DF774" t="e">
        <v>#N/A</v>
      </c>
      <c r="DG774" t="e">
        <v>#N/A</v>
      </c>
      <c r="DH774" t="e">
        <v>#N/A</v>
      </c>
      <c r="DI774" t="e">
        <v>#N/A</v>
      </c>
    </row>
    <row r="775" spans="13:113">
      <c r="M775" t="str">
        <f t="shared" si="88"/>
        <v>"//*[@class=\"</v>
      </c>
      <c r="N775" t="str">
        <f t="shared" si="92"/>
        <v/>
      </c>
      <c r="O775" s="4" t="str">
        <f t="shared" si="93"/>
        <v>click</v>
      </c>
      <c r="P775" t="str">
        <f t="shared" si="94"/>
        <v>();</v>
      </c>
      <c r="Q775" t="str">
        <f t="shared" si="95"/>
        <v/>
      </c>
      <c r="R775" t="str">
        <f t="shared" si="89"/>
        <v/>
      </c>
      <c r="S775" s="1" t="str">
        <f t="shared" si="90"/>
        <v/>
      </c>
      <c r="CT775" t="e">
        <v>#N/A</v>
      </c>
      <c r="CU775" t="e">
        <v>#N/A</v>
      </c>
      <c r="CV775" t="e">
        <v>#N/A</v>
      </c>
      <c r="CW775" t="e">
        <v>#N/A</v>
      </c>
      <c r="CX775" t="e">
        <v>#N/A</v>
      </c>
      <c r="CY775" t="e">
        <v>#N/A</v>
      </c>
      <c r="CZ775" t="e">
        <v>#N/A</v>
      </c>
      <c r="DA775" t="e">
        <v>#N/A</v>
      </c>
      <c r="DB775" t="e">
        <v>#N/A</v>
      </c>
      <c r="DC775" t="e">
        <v>#N/A</v>
      </c>
      <c r="DD775" t="e">
        <v>#N/A</v>
      </c>
      <c r="DE775" t="e">
        <v>#N/A</v>
      </c>
      <c r="DF775" t="e">
        <v>#N/A</v>
      </c>
      <c r="DG775" t="e">
        <v>#N/A</v>
      </c>
      <c r="DH775" t="e">
        <v>#N/A</v>
      </c>
      <c r="DI775" t="e">
        <v>#N/A</v>
      </c>
    </row>
    <row r="776" spans="13:113">
      <c r="M776" t="str">
        <f t="shared" si="88"/>
        <v>"//*[@class=\"</v>
      </c>
      <c r="N776" t="str">
        <f t="shared" si="92"/>
        <v/>
      </c>
      <c r="O776" s="4" t="str">
        <f t="shared" si="93"/>
        <v>click</v>
      </c>
      <c r="P776" t="str">
        <f t="shared" si="94"/>
        <v>();</v>
      </c>
      <c r="Q776" t="str">
        <f t="shared" si="95"/>
        <v/>
      </c>
      <c r="R776" t="str">
        <f t="shared" si="89"/>
        <v/>
      </c>
      <c r="S776" s="1" t="str">
        <f t="shared" si="90"/>
        <v/>
      </c>
      <c r="CT776" t="e">
        <v>#N/A</v>
      </c>
      <c r="CU776" t="e">
        <v>#N/A</v>
      </c>
      <c r="CV776" t="e">
        <v>#N/A</v>
      </c>
      <c r="CW776" t="e">
        <v>#N/A</v>
      </c>
      <c r="CX776" t="e">
        <v>#N/A</v>
      </c>
      <c r="CY776" t="e">
        <v>#N/A</v>
      </c>
      <c r="CZ776" t="e">
        <v>#N/A</v>
      </c>
      <c r="DA776" t="e">
        <v>#N/A</v>
      </c>
      <c r="DB776" t="e">
        <v>#N/A</v>
      </c>
      <c r="DC776" t="e">
        <v>#N/A</v>
      </c>
      <c r="DD776" t="e">
        <v>#N/A</v>
      </c>
      <c r="DE776" t="e">
        <v>#N/A</v>
      </c>
      <c r="DF776" t="e">
        <v>#N/A</v>
      </c>
      <c r="DG776" t="e">
        <v>#N/A</v>
      </c>
      <c r="DH776" t="e">
        <v>#N/A</v>
      </c>
      <c r="DI776" t="e">
        <v>#N/A</v>
      </c>
    </row>
    <row r="777" spans="13:113">
      <c r="M777" t="str">
        <f t="shared" ref="M777:M822" si="96">IF(H777="id",""""&amp;"//*[@id=\"&amp;"""",""""&amp;"//*[@class=\"&amp;"""")</f>
        <v>"//*[@class=\"</v>
      </c>
      <c r="N777" t="str">
        <f t="shared" si="92"/>
        <v/>
      </c>
      <c r="O777" s="4" t="str">
        <f t="shared" si="93"/>
        <v>click</v>
      </c>
      <c r="P777" t="str">
        <f t="shared" si="94"/>
        <v>();</v>
      </c>
      <c r="Q777" t="str">
        <f t="shared" si="95"/>
        <v/>
      </c>
      <c r="R777" t="str">
        <f t="shared" ref="R777:R801" si="97">IF(C777="Y",""""&amp;E777&amp;""""&amp;":"&amp;Q777&amp;"","")</f>
        <v/>
      </c>
      <c r="S777" s="1" t="str">
        <f t="shared" si="90"/>
        <v/>
      </c>
      <c r="CT777" t="e">
        <v>#N/A</v>
      </c>
      <c r="CU777" t="e">
        <v>#N/A</v>
      </c>
      <c r="CV777" t="e">
        <v>#N/A</v>
      </c>
      <c r="CW777" t="e">
        <v>#N/A</v>
      </c>
      <c r="CX777" t="e">
        <v>#N/A</v>
      </c>
      <c r="CY777" t="e">
        <v>#N/A</v>
      </c>
      <c r="CZ777" t="e">
        <v>#N/A</v>
      </c>
      <c r="DA777" t="e">
        <v>#N/A</v>
      </c>
      <c r="DB777" t="e">
        <v>#N/A</v>
      </c>
      <c r="DC777" t="e">
        <v>#N/A</v>
      </c>
      <c r="DD777" t="e">
        <v>#N/A</v>
      </c>
      <c r="DE777" t="e">
        <v>#N/A</v>
      </c>
      <c r="DF777" t="e">
        <v>#N/A</v>
      </c>
      <c r="DG777" t="e">
        <v>#N/A</v>
      </c>
      <c r="DH777" t="e">
        <v>#N/A</v>
      </c>
      <c r="DI777" t="e">
        <v>#N/A</v>
      </c>
    </row>
    <row r="778" spans="13:113">
      <c r="M778" t="str">
        <f t="shared" si="96"/>
        <v>"//*[@class=\"</v>
      </c>
      <c r="N778" t="str">
        <f t="shared" si="92"/>
        <v/>
      </c>
      <c r="O778" s="4" t="str">
        <f t="shared" si="93"/>
        <v>click</v>
      </c>
      <c r="P778" t="str">
        <f t="shared" si="94"/>
        <v>();</v>
      </c>
      <c r="Q778" t="str">
        <f t="shared" si="95"/>
        <v/>
      </c>
      <c r="R778" t="str">
        <f t="shared" si="97"/>
        <v/>
      </c>
      <c r="S778" s="1" t="str">
        <f t="shared" si="90"/>
        <v/>
      </c>
      <c r="CT778" t="e">
        <v>#N/A</v>
      </c>
      <c r="CU778" t="e">
        <v>#N/A</v>
      </c>
      <c r="CV778" t="e">
        <v>#N/A</v>
      </c>
      <c r="CW778" t="e">
        <v>#N/A</v>
      </c>
      <c r="CX778" t="e">
        <v>#N/A</v>
      </c>
      <c r="CY778" t="e">
        <v>#N/A</v>
      </c>
      <c r="CZ778" t="e">
        <v>#N/A</v>
      </c>
      <c r="DA778" t="e">
        <v>#N/A</v>
      </c>
      <c r="DB778" t="e">
        <v>#N/A</v>
      </c>
      <c r="DC778" t="e">
        <v>#N/A</v>
      </c>
      <c r="DD778" t="e">
        <v>#N/A</v>
      </c>
      <c r="DE778" t="e">
        <v>#N/A</v>
      </c>
      <c r="DF778" t="e">
        <v>#N/A</v>
      </c>
      <c r="DG778" t="e">
        <v>#N/A</v>
      </c>
      <c r="DH778" t="e">
        <v>#N/A</v>
      </c>
      <c r="DI778" t="e">
        <v>#N/A</v>
      </c>
    </row>
    <row r="779" spans="13:113">
      <c r="M779" t="str">
        <f t="shared" si="96"/>
        <v>"//*[@class=\"</v>
      </c>
      <c r="N779" t="str">
        <f t="shared" si="92"/>
        <v/>
      </c>
      <c r="O779" s="4" t="str">
        <f t="shared" si="93"/>
        <v>click</v>
      </c>
      <c r="P779" t="str">
        <f t="shared" si="94"/>
        <v>();</v>
      </c>
      <c r="Q779" t="str">
        <f t="shared" si="95"/>
        <v/>
      </c>
      <c r="R779" t="str">
        <f t="shared" si="97"/>
        <v/>
      </c>
      <c r="S779" s="1" t="str">
        <f t="shared" ref="S779:S842" si="98">IF(C779="Y",IF(D779&lt;&gt;"mat-select",IF(D779="End","",IF(O779="innerText",I779&amp;"="&amp;IF(C779="Y",IF(J779&lt;&gt;"Y",$S$8&amp;$R$9&amp;"."&amp;E779&amp;")."&amp;IF(OR(O779="click",O779="innerText"),O779&amp;"();",O779&amp;"("&amp;$Q$8&amp;"."&amp;E779&amp;");"),$S$7&amp;$R$9&amp;"."&amp;SUBSTITUTE(E779," ","")&amp;")."&amp;IF(O779="click",O779&amp;"();",O779&amp;"("&amp;"'"&amp;K779&amp;"'"&amp;");")),""),IF(C779="Y",IF(J779&lt;&gt;"Y",$S$8&amp;$R$9&amp;"."&amp;SUBSTITUTE(E779," ","")&amp;")."&amp;IF(OR(O779="click",O779="innerText"),O779&amp;"();",O779&amp;"("&amp;$Q$8&amp;"."&amp;SUBSTITUTE(E779," ","")&amp;");"),$S$7&amp;$R$9&amp;"."&amp;SUBSTITUTE(E779," ","")&amp;")."&amp;IF(O779="click",O779&amp;"();",O779&amp;"("&amp;"'"&amp;K779&amp;"'"&amp;");")),""))),"let form"&amp;Z779&amp;": String;"&amp;"for (let i = 1; i &lt; 30; i++) {"&amp;$S$8&amp;$R$9&amp;"."&amp;SUBSTITUTE(E779," ","")&amp;").click();"&amp;$CE$4&amp; "form"&amp;Z779&amp;"="&amp; $S$8&amp;$R$9&amp;"."&amp;SUBSTITUTE(E779," ","")&amp;").innerText();" &amp;"if ("&amp;"form"&amp;Z779&amp;"=="&amp; "Data[index]."&amp;SUBSTITUTE(E779," ","") &amp;"){"&amp;$CE$7),"")</f>
        <v/>
      </c>
      <c r="CT779" t="e">
        <v>#N/A</v>
      </c>
      <c r="CU779" t="e">
        <v>#N/A</v>
      </c>
      <c r="CV779" t="e">
        <v>#N/A</v>
      </c>
      <c r="CW779" t="e">
        <v>#N/A</v>
      </c>
      <c r="CX779" t="e">
        <v>#N/A</v>
      </c>
      <c r="CY779" t="e">
        <v>#N/A</v>
      </c>
      <c r="CZ779" t="e">
        <v>#N/A</v>
      </c>
      <c r="DA779" t="e">
        <v>#N/A</v>
      </c>
      <c r="DB779" t="e">
        <v>#N/A</v>
      </c>
      <c r="DC779" t="e">
        <v>#N/A</v>
      </c>
      <c r="DD779" t="e">
        <v>#N/A</v>
      </c>
      <c r="DE779" t="e">
        <v>#N/A</v>
      </c>
      <c r="DF779" t="e">
        <v>#N/A</v>
      </c>
      <c r="DG779" t="e">
        <v>#N/A</v>
      </c>
      <c r="DH779" t="e">
        <v>#N/A</v>
      </c>
      <c r="DI779" t="e">
        <v>#N/A</v>
      </c>
    </row>
    <row r="780" spans="13:113">
      <c r="M780" t="str">
        <f t="shared" si="96"/>
        <v>"//*[@class=\"</v>
      </c>
      <c r="N780" t="str">
        <f t="shared" si="92"/>
        <v/>
      </c>
      <c r="O780" s="4" t="str">
        <f t="shared" si="93"/>
        <v>click</v>
      </c>
      <c r="P780" t="str">
        <f t="shared" si="94"/>
        <v>();</v>
      </c>
      <c r="Q780" t="str">
        <f t="shared" si="95"/>
        <v/>
      </c>
      <c r="R780" t="str">
        <f t="shared" si="97"/>
        <v/>
      </c>
      <c r="S780" s="1" t="str">
        <f t="shared" si="98"/>
        <v/>
      </c>
      <c r="CT780" t="e">
        <v>#N/A</v>
      </c>
      <c r="CU780" t="e">
        <v>#N/A</v>
      </c>
      <c r="CV780" t="e">
        <v>#N/A</v>
      </c>
      <c r="CW780" t="e">
        <v>#N/A</v>
      </c>
      <c r="CX780" t="e">
        <v>#N/A</v>
      </c>
      <c r="CY780" t="e">
        <v>#N/A</v>
      </c>
      <c r="CZ780" t="e">
        <v>#N/A</v>
      </c>
      <c r="DA780" t="e">
        <v>#N/A</v>
      </c>
      <c r="DB780" t="e">
        <v>#N/A</v>
      </c>
      <c r="DC780" t="e">
        <v>#N/A</v>
      </c>
      <c r="DD780" t="e">
        <v>#N/A</v>
      </c>
      <c r="DE780" t="e">
        <v>#N/A</v>
      </c>
      <c r="DF780" t="e">
        <v>#N/A</v>
      </c>
      <c r="DG780" t="e">
        <v>#N/A</v>
      </c>
      <c r="DH780" t="e">
        <v>#N/A</v>
      </c>
      <c r="DI780" t="e">
        <v>#N/A</v>
      </c>
    </row>
    <row r="781" spans="13:113">
      <c r="M781" t="str">
        <f t="shared" si="96"/>
        <v>"//*[@class=\"</v>
      </c>
      <c r="N781" t="str">
        <f t="shared" si="92"/>
        <v/>
      </c>
      <c r="O781" s="4" t="str">
        <f t="shared" si="93"/>
        <v>click</v>
      </c>
      <c r="P781" t="str">
        <f t="shared" si="94"/>
        <v>();</v>
      </c>
      <c r="Q781" t="str">
        <f t="shared" si="95"/>
        <v/>
      </c>
      <c r="R781" t="str">
        <f t="shared" si="97"/>
        <v/>
      </c>
      <c r="S781" s="1" t="str">
        <f t="shared" si="98"/>
        <v/>
      </c>
      <c r="CT781" t="e">
        <v>#N/A</v>
      </c>
      <c r="CU781" t="e">
        <v>#N/A</v>
      </c>
      <c r="CV781" t="e">
        <v>#N/A</v>
      </c>
      <c r="CW781" t="e">
        <v>#N/A</v>
      </c>
      <c r="CX781" t="e">
        <v>#N/A</v>
      </c>
      <c r="CY781" t="e">
        <v>#N/A</v>
      </c>
      <c r="CZ781" t="e">
        <v>#N/A</v>
      </c>
      <c r="DA781" t="e">
        <v>#N/A</v>
      </c>
      <c r="DB781" t="e">
        <v>#N/A</v>
      </c>
      <c r="DC781" t="e">
        <v>#N/A</v>
      </c>
      <c r="DD781" t="e">
        <v>#N/A</v>
      </c>
      <c r="DE781" t="e">
        <v>#N/A</v>
      </c>
      <c r="DF781" t="e">
        <v>#N/A</v>
      </c>
      <c r="DG781" t="e">
        <v>#N/A</v>
      </c>
      <c r="DH781" t="e">
        <v>#N/A</v>
      </c>
      <c r="DI781" t="e">
        <v>#N/A</v>
      </c>
    </row>
    <row r="782" spans="13:113">
      <c r="M782" t="str">
        <f t="shared" si="96"/>
        <v>"//*[@class=\"</v>
      </c>
      <c r="N782" t="str">
        <f t="shared" si="92"/>
        <v/>
      </c>
      <c r="O782" s="4" t="str">
        <f t="shared" si="93"/>
        <v>click</v>
      </c>
      <c r="P782" t="str">
        <f t="shared" si="94"/>
        <v>();</v>
      </c>
      <c r="Q782" t="str">
        <f t="shared" si="95"/>
        <v/>
      </c>
      <c r="R782" t="str">
        <f t="shared" si="97"/>
        <v/>
      </c>
      <c r="S782" s="1" t="str">
        <f t="shared" si="98"/>
        <v/>
      </c>
      <c r="CT782" t="e">
        <v>#N/A</v>
      </c>
      <c r="CU782" t="e">
        <v>#N/A</v>
      </c>
      <c r="CV782" t="e">
        <v>#N/A</v>
      </c>
      <c r="CW782" t="e">
        <v>#N/A</v>
      </c>
      <c r="CX782" t="e">
        <v>#N/A</v>
      </c>
      <c r="CY782" t="e">
        <v>#N/A</v>
      </c>
      <c r="CZ782" t="e">
        <v>#N/A</v>
      </c>
      <c r="DA782" t="e">
        <v>#N/A</v>
      </c>
      <c r="DB782" t="e">
        <v>#N/A</v>
      </c>
      <c r="DC782" t="e">
        <v>#N/A</v>
      </c>
      <c r="DD782" t="e">
        <v>#N/A</v>
      </c>
      <c r="DE782" t="e">
        <v>#N/A</v>
      </c>
      <c r="DF782" t="e">
        <v>#N/A</v>
      </c>
      <c r="DG782" t="e">
        <v>#N/A</v>
      </c>
      <c r="DH782" t="e">
        <v>#N/A</v>
      </c>
      <c r="DI782" t="e">
        <v>#N/A</v>
      </c>
    </row>
    <row r="783" spans="13:113">
      <c r="M783" t="str">
        <f t="shared" si="96"/>
        <v>"//*[@class=\"</v>
      </c>
      <c r="N783" t="str">
        <f t="shared" si="92"/>
        <v/>
      </c>
      <c r="O783" s="4" t="str">
        <f t="shared" si="93"/>
        <v>click</v>
      </c>
      <c r="P783" t="str">
        <f t="shared" si="94"/>
        <v>();</v>
      </c>
      <c r="Q783" t="str">
        <f t="shared" si="95"/>
        <v/>
      </c>
      <c r="R783" t="str">
        <f t="shared" si="97"/>
        <v/>
      </c>
      <c r="S783" s="1" t="str">
        <f t="shared" si="98"/>
        <v/>
      </c>
      <c r="CT783" t="e">
        <v>#N/A</v>
      </c>
      <c r="CU783" t="e">
        <v>#N/A</v>
      </c>
      <c r="CV783" t="e">
        <v>#N/A</v>
      </c>
      <c r="CW783" t="e">
        <v>#N/A</v>
      </c>
      <c r="CX783" t="e">
        <v>#N/A</v>
      </c>
      <c r="CY783" t="e">
        <v>#N/A</v>
      </c>
      <c r="CZ783" t="e">
        <v>#N/A</v>
      </c>
      <c r="DA783" t="e">
        <v>#N/A</v>
      </c>
      <c r="DB783" t="e">
        <v>#N/A</v>
      </c>
      <c r="DC783" t="e">
        <v>#N/A</v>
      </c>
      <c r="DD783" t="e">
        <v>#N/A</v>
      </c>
      <c r="DE783" t="e">
        <v>#N/A</v>
      </c>
      <c r="DF783" t="e">
        <v>#N/A</v>
      </c>
      <c r="DG783" t="e">
        <v>#N/A</v>
      </c>
      <c r="DH783" t="e">
        <v>#N/A</v>
      </c>
      <c r="DI783" t="e">
        <v>#N/A</v>
      </c>
    </row>
    <row r="784" spans="13:113">
      <c r="M784" t="str">
        <f t="shared" si="96"/>
        <v>"//*[@class=\"</v>
      </c>
      <c r="N784" t="str">
        <f t="shared" si="92"/>
        <v/>
      </c>
      <c r="O784" s="4" t="str">
        <f t="shared" si="93"/>
        <v>click</v>
      </c>
      <c r="P784" t="str">
        <f t="shared" si="94"/>
        <v>();</v>
      </c>
      <c r="Q784" t="str">
        <f t="shared" si="95"/>
        <v/>
      </c>
      <c r="R784" t="str">
        <f t="shared" si="97"/>
        <v/>
      </c>
      <c r="S784" s="1" t="str">
        <f t="shared" si="98"/>
        <v/>
      </c>
      <c r="CT784" t="e">
        <v>#N/A</v>
      </c>
      <c r="CU784" t="e">
        <v>#N/A</v>
      </c>
      <c r="CV784" t="e">
        <v>#N/A</v>
      </c>
      <c r="CW784" t="e">
        <v>#N/A</v>
      </c>
      <c r="CX784" t="e">
        <v>#N/A</v>
      </c>
      <c r="CY784" t="e">
        <v>#N/A</v>
      </c>
      <c r="CZ784" t="e">
        <v>#N/A</v>
      </c>
      <c r="DA784" t="e">
        <v>#N/A</v>
      </c>
      <c r="DB784" t="e">
        <v>#N/A</v>
      </c>
      <c r="DC784" t="e">
        <v>#N/A</v>
      </c>
      <c r="DD784" t="e">
        <v>#N/A</v>
      </c>
      <c r="DE784" t="e">
        <v>#N/A</v>
      </c>
      <c r="DF784" t="e">
        <v>#N/A</v>
      </c>
      <c r="DG784" t="e">
        <v>#N/A</v>
      </c>
      <c r="DH784" t="e">
        <v>#N/A</v>
      </c>
      <c r="DI784" t="e">
        <v>#N/A</v>
      </c>
    </row>
    <row r="785" spans="13:113">
      <c r="M785" t="str">
        <f t="shared" si="96"/>
        <v>"//*[@class=\"</v>
      </c>
      <c r="N785" t="str">
        <f t="shared" si="92"/>
        <v/>
      </c>
      <c r="O785" s="4" t="str">
        <f t="shared" si="93"/>
        <v>click</v>
      </c>
      <c r="P785" t="str">
        <f t="shared" si="94"/>
        <v>();</v>
      </c>
      <c r="Q785" t="str">
        <f t="shared" si="95"/>
        <v/>
      </c>
      <c r="R785" t="str">
        <f t="shared" si="97"/>
        <v/>
      </c>
      <c r="S785" s="1" t="str">
        <f t="shared" si="98"/>
        <v/>
      </c>
      <c r="CT785" t="e">
        <v>#N/A</v>
      </c>
      <c r="CU785" t="e">
        <v>#N/A</v>
      </c>
      <c r="CV785" t="e">
        <v>#N/A</v>
      </c>
      <c r="CW785" t="e">
        <v>#N/A</v>
      </c>
      <c r="CX785" t="e">
        <v>#N/A</v>
      </c>
      <c r="CY785" t="e">
        <v>#N/A</v>
      </c>
      <c r="CZ785" t="e">
        <v>#N/A</v>
      </c>
      <c r="DA785" t="e">
        <v>#N/A</v>
      </c>
      <c r="DB785" t="e">
        <v>#N/A</v>
      </c>
      <c r="DC785" t="e">
        <v>#N/A</v>
      </c>
      <c r="DD785" t="e">
        <v>#N/A</v>
      </c>
      <c r="DE785" t="e">
        <v>#N/A</v>
      </c>
      <c r="DF785" t="e">
        <v>#N/A</v>
      </c>
      <c r="DG785" t="e">
        <v>#N/A</v>
      </c>
      <c r="DH785" t="e">
        <v>#N/A</v>
      </c>
      <c r="DI785" t="e">
        <v>#N/A</v>
      </c>
    </row>
    <row r="786" spans="13:113">
      <c r="M786" t="str">
        <f t="shared" si="96"/>
        <v>"//*[@class=\"</v>
      </c>
      <c r="N786" t="str">
        <f t="shared" si="92"/>
        <v/>
      </c>
      <c r="O786" s="4" t="str">
        <f t="shared" si="93"/>
        <v>click</v>
      </c>
      <c r="P786" t="str">
        <f t="shared" si="94"/>
        <v>();</v>
      </c>
      <c r="Q786" t="str">
        <f t="shared" si="95"/>
        <v/>
      </c>
      <c r="R786" t="str">
        <f t="shared" si="97"/>
        <v/>
      </c>
      <c r="S786" s="1" t="str">
        <f t="shared" si="98"/>
        <v/>
      </c>
      <c r="CT786" t="e">
        <v>#N/A</v>
      </c>
      <c r="CU786" t="e">
        <v>#N/A</v>
      </c>
      <c r="CV786" t="e">
        <v>#N/A</v>
      </c>
      <c r="CW786" t="e">
        <v>#N/A</v>
      </c>
      <c r="CX786" t="e">
        <v>#N/A</v>
      </c>
      <c r="CY786" t="e">
        <v>#N/A</v>
      </c>
      <c r="CZ786" t="e">
        <v>#N/A</v>
      </c>
      <c r="DA786" t="e">
        <v>#N/A</v>
      </c>
      <c r="DB786" t="e">
        <v>#N/A</v>
      </c>
      <c r="DC786" t="e">
        <v>#N/A</v>
      </c>
      <c r="DD786" t="e">
        <v>#N/A</v>
      </c>
      <c r="DE786" t="e">
        <v>#N/A</v>
      </c>
      <c r="DF786" t="e">
        <v>#N/A</v>
      </c>
      <c r="DG786" t="e">
        <v>#N/A</v>
      </c>
      <c r="DH786" t="e">
        <v>#N/A</v>
      </c>
      <c r="DI786" t="e">
        <v>#N/A</v>
      </c>
    </row>
    <row r="787" spans="13:113">
      <c r="M787" t="str">
        <f t="shared" si="96"/>
        <v>"//*[@class=\"</v>
      </c>
      <c r="N787" t="str">
        <f t="shared" si="92"/>
        <v/>
      </c>
      <c r="O787" s="4" t="str">
        <f t="shared" si="93"/>
        <v>click</v>
      </c>
      <c r="P787" t="str">
        <f t="shared" si="94"/>
        <v>();</v>
      </c>
      <c r="Q787" t="str">
        <f t="shared" si="95"/>
        <v/>
      </c>
      <c r="R787" t="str">
        <f t="shared" si="97"/>
        <v/>
      </c>
      <c r="S787" s="1" t="str">
        <f t="shared" si="98"/>
        <v/>
      </c>
      <c r="CT787" t="e">
        <v>#N/A</v>
      </c>
      <c r="CU787" t="e">
        <v>#N/A</v>
      </c>
      <c r="CV787" t="e">
        <v>#N/A</v>
      </c>
      <c r="CW787" t="e">
        <v>#N/A</v>
      </c>
      <c r="CX787" t="e">
        <v>#N/A</v>
      </c>
      <c r="CY787" t="e">
        <v>#N/A</v>
      </c>
      <c r="CZ787" t="e">
        <v>#N/A</v>
      </c>
      <c r="DA787" t="e">
        <v>#N/A</v>
      </c>
      <c r="DB787" t="e">
        <v>#N/A</v>
      </c>
      <c r="DC787" t="e">
        <v>#N/A</v>
      </c>
      <c r="DD787" t="e">
        <v>#N/A</v>
      </c>
      <c r="DE787" t="e">
        <v>#N/A</v>
      </c>
      <c r="DF787" t="e">
        <v>#N/A</v>
      </c>
      <c r="DG787" t="e">
        <v>#N/A</v>
      </c>
      <c r="DH787" t="e">
        <v>#N/A</v>
      </c>
      <c r="DI787" t="e">
        <v>#N/A</v>
      </c>
    </row>
    <row r="788" spans="13:113">
      <c r="M788" t="str">
        <f t="shared" si="96"/>
        <v>"//*[@class=\"</v>
      </c>
      <c r="N788" t="str">
        <f t="shared" si="92"/>
        <v/>
      </c>
      <c r="O788" s="4" t="str">
        <f t="shared" si="93"/>
        <v>click</v>
      </c>
      <c r="P788" t="str">
        <f t="shared" si="94"/>
        <v>();</v>
      </c>
      <c r="Q788" t="str">
        <f t="shared" si="95"/>
        <v/>
      </c>
      <c r="R788" t="str">
        <f t="shared" si="97"/>
        <v/>
      </c>
      <c r="S788" s="1" t="str">
        <f t="shared" si="98"/>
        <v/>
      </c>
      <c r="CT788" t="e">
        <v>#N/A</v>
      </c>
      <c r="CU788" t="e">
        <v>#N/A</v>
      </c>
      <c r="CV788" t="e">
        <v>#N/A</v>
      </c>
      <c r="CW788" t="e">
        <v>#N/A</v>
      </c>
      <c r="CX788" t="e">
        <v>#N/A</v>
      </c>
      <c r="CY788" t="e">
        <v>#N/A</v>
      </c>
      <c r="CZ788" t="e">
        <v>#N/A</v>
      </c>
      <c r="DA788" t="e">
        <v>#N/A</v>
      </c>
      <c r="DB788" t="e">
        <v>#N/A</v>
      </c>
      <c r="DC788" t="e">
        <v>#N/A</v>
      </c>
      <c r="DD788" t="e">
        <v>#N/A</v>
      </c>
      <c r="DE788" t="e">
        <v>#N/A</v>
      </c>
      <c r="DF788" t="e">
        <v>#N/A</v>
      </c>
      <c r="DG788" t="e">
        <v>#N/A</v>
      </c>
      <c r="DH788" t="e">
        <v>#N/A</v>
      </c>
      <c r="DI788" t="e">
        <v>#N/A</v>
      </c>
    </row>
    <row r="789" spans="13:113">
      <c r="M789" t="str">
        <f t="shared" si="96"/>
        <v>"//*[@class=\"</v>
      </c>
      <c r="N789" t="str">
        <f t="shared" ref="N789:N852" si="99">IF(A789="Y",""""&amp;C789&amp;""""&amp;": "&amp;M789&amp;",","")</f>
        <v/>
      </c>
      <c r="O789" s="4" t="str">
        <f t="shared" ref="O789:O852" si="100">IF(D789="input","fill",IF(I789&lt;&gt;"","innerText",IF(J789="Y",$T$7,"click")))</f>
        <v>click</v>
      </c>
      <c r="P789" t="str">
        <f t="shared" ref="P789:P852" si="101">IF(OR(O789="Click",O789="innerText"),"();","("&amp;""""&amp;K789&amp;""""&amp;");")</f>
        <v>();</v>
      </c>
      <c r="Q789" t="str">
        <f t="shared" ref="Q789:Q850" si="102">IF(A789="Y",IF(J789&lt;&gt;"Xpath",M789&amp;F789&amp;N789,""""&amp;H789&amp;""""),"")</f>
        <v/>
      </c>
      <c r="R789" t="str">
        <f t="shared" si="97"/>
        <v/>
      </c>
      <c r="S789" s="1" t="str">
        <f t="shared" si="98"/>
        <v/>
      </c>
      <c r="CT789" t="e">
        <v>#N/A</v>
      </c>
      <c r="CU789" t="e">
        <v>#N/A</v>
      </c>
      <c r="CV789" t="e">
        <v>#N/A</v>
      </c>
      <c r="CW789" t="e">
        <v>#N/A</v>
      </c>
      <c r="CX789" t="e">
        <v>#N/A</v>
      </c>
      <c r="CY789" t="e">
        <v>#N/A</v>
      </c>
      <c r="CZ789" t="e">
        <v>#N/A</v>
      </c>
      <c r="DA789" t="e">
        <v>#N/A</v>
      </c>
      <c r="DB789" t="e">
        <v>#N/A</v>
      </c>
      <c r="DC789" t="e">
        <v>#N/A</v>
      </c>
      <c r="DD789" t="e">
        <v>#N/A</v>
      </c>
      <c r="DE789" t="e">
        <v>#N/A</v>
      </c>
      <c r="DF789" t="e">
        <v>#N/A</v>
      </c>
      <c r="DG789" t="e">
        <v>#N/A</v>
      </c>
      <c r="DH789" t="e">
        <v>#N/A</v>
      </c>
      <c r="DI789" t="e">
        <v>#N/A</v>
      </c>
    </row>
    <row r="790" spans="13:113">
      <c r="M790" t="str">
        <f t="shared" si="96"/>
        <v>"//*[@class=\"</v>
      </c>
      <c r="N790" t="str">
        <f t="shared" si="99"/>
        <v/>
      </c>
      <c r="O790" s="4" t="str">
        <f t="shared" si="100"/>
        <v>click</v>
      </c>
      <c r="P790" t="str">
        <f t="shared" si="101"/>
        <v>();</v>
      </c>
      <c r="Q790" t="str">
        <f t="shared" si="102"/>
        <v/>
      </c>
      <c r="R790" t="str">
        <f t="shared" si="97"/>
        <v/>
      </c>
      <c r="S790" s="1" t="str">
        <f t="shared" si="98"/>
        <v/>
      </c>
      <c r="CT790" t="e">
        <v>#N/A</v>
      </c>
      <c r="CU790" t="e">
        <v>#N/A</v>
      </c>
      <c r="CV790" t="e">
        <v>#N/A</v>
      </c>
      <c r="CW790" t="e">
        <v>#N/A</v>
      </c>
      <c r="CX790" t="e">
        <v>#N/A</v>
      </c>
      <c r="CY790" t="e">
        <v>#N/A</v>
      </c>
      <c r="CZ790" t="e">
        <v>#N/A</v>
      </c>
      <c r="DA790" t="e">
        <v>#N/A</v>
      </c>
      <c r="DB790" t="e">
        <v>#N/A</v>
      </c>
      <c r="DC790" t="e">
        <v>#N/A</v>
      </c>
      <c r="DD790" t="e">
        <v>#N/A</v>
      </c>
      <c r="DE790" t="e">
        <v>#N/A</v>
      </c>
      <c r="DF790" t="e">
        <v>#N/A</v>
      </c>
      <c r="DG790" t="e">
        <v>#N/A</v>
      </c>
      <c r="DH790" t="e">
        <v>#N/A</v>
      </c>
      <c r="DI790" t="e">
        <v>#N/A</v>
      </c>
    </row>
    <row r="791" spans="13:113">
      <c r="M791" t="str">
        <f t="shared" si="96"/>
        <v>"//*[@class=\"</v>
      </c>
      <c r="N791" t="str">
        <f t="shared" si="99"/>
        <v/>
      </c>
      <c r="O791" s="4" t="str">
        <f t="shared" si="100"/>
        <v>click</v>
      </c>
      <c r="P791" t="str">
        <f t="shared" si="101"/>
        <v>();</v>
      </c>
      <c r="Q791" t="str">
        <f t="shared" si="102"/>
        <v/>
      </c>
      <c r="R791" t="str">
        <f t="shared" si="97"/>
        <v/>
      </c>
      <c r="S791" s="1" t="str">
        <f t="shared" si="98"/>
        <v/>
      </c>
      <c r="CT791" t="e">
        <v>#N/A</v>
      </c>
      <c r="CU791" t="e">
        <v>#N/A</v>
      </c>
      <c r="CV791" t="e">
        <v>#N/A</v>
      </c>
      <c r="CW791" t="e">
        <v>#N/A</v>
      </c>
      <c r="CX791" t="e">
        <v>#N/A</v>
      </c>
      <c r="CY791" t="e">
        <v>#N/A</v>
      </c>
      <c r="CZ791" t="e">
        <v>#N/A</v>
      </c>
      <c r="DA791" t="e">
        <v>#N/A</v>
      </c>
      <c r="DB791" t="e">
        <v>#N/A</v>
      </c>
      <c r="DC791" t="e">
        <v>#N/A</v>
      </c>
      <c r="DD791" t="e">
        <v>#N/A</v>
      </c>
      <c r="DE791" t="e">
        <v>#N/A</v>
      </c>
      <c r="DF791" t="e">
        <v>#N/A</v>
      </c>
      <c r="DG791" t="e">
        <v>#N/A</v>
      </c>
      <c r="DH791" t="e">
        <v>#N/A</v>
      </c>
      <c r="DI791" t="e">
        <v>#N/A</v>
      </c>
    </row>
    <row r="792" spans="13:113">
      <c r="M792" t="str">
        <f t="shared" si="96"/>
        <v>"//*[@class=\"</v>
      </c>
      <c r="N792" t="str">
        <f t="shared" si="99"/>
        <v/>
      </c>
      <c r="O792" s="4" t="str">
        <f t="shared" si="100"/>
        <v>click</v>
      </c>
      <c r="P792" t="str">
        <f t="shared" si="101"/>
        <v>();</v>
      </c>
      <c r="Q792" t="str">
        <f t="shared" si="102"/>
        <v/>
      </c>
      <c r="R792" t="str">
        <f t="shared" si="97"/>
        <v/>
      </c>
      <c r="S792" s="1" t="str">
        <f t="shared" si="98"/>
        <v/>
      </c>
      <c r="CT792" t="e">
        <v>#N/A</v>
      </c>
      <c r="CU792" t="e">
        <v>#N/A</v>
      </c>
      <c r="CV792" t="e">
        <v>#N/A</v>
      </c>
      <c r="CW792" t="e">
        <v>#N/A</v>
      </c>
      <c r="CX792" t="e">
        <v>#N/A</v>
      </c>
      <c r="CY792" t="e">
        <v>#N/A</v>
      </c>
      <c r="CZ792" t="e">
        <v>#N/A</v>
      </c>
      <c r="DA792" t="e">
        <v>#N/A</v>
      </c>
      <c r="DB792" t="e">
        <v>#N/A</v>
      </c>
      <c r="DC792" t="e">
        <v>#N/A</v>
      </c>
      <c r="DD792" t="e">
        <v>#N/A</v>
      </c>
      <c r="DE792" t="e">
        <v>#N/A</v>
      </c>
      <c r="DF792" t="e">
        <v>#N/A</v>
      </c>
      <c r="DG792" t="e">
        <v>#N/A</v>
      </c>
      <c r="DH792" t="e">
        <v>#N/A</v>
      </c>
      <c r="DI792" t="e">
        <v>#N/A</v>
      </c>
    </row>
    <row r="793" spans="13:113">
      <c r="M793" t="str">
        <f t="shared" si="96"/>
        <v>"//*[@class=\"</v>
      </c>
      <c r="N793" t="str">
        <f t="shared" si="99"/>
        <v/>
      </c>
      <c r="O793" s="4" t="str">
        <f t="shared" si="100"/>
        <v>click</v>
      </c>
      <c r="P793" t="str">
        <f t="shared" si="101"/>
        <v>();</v>
      </c>
      <c r="Q793" t="str">
        <f t="shared" si="102"/>
        <v/>
      </c>
      <c r="R793" t="str">
        <f t="shared" si="97"/>
        <v/>
      </c>
      <c r="S793" s="1" t="str">
        <f t="shared" si="98"/>
        <v/>
      </c>
      <c r="CT793" t="e">
        <v>#N/A</v>
      </c>
      <c r="CU793" t="e">
        <v>#N/A</v>
      </c>
      <c r="CV793" t="e">
        <v>#N/A</v>
      </c>
      <c r="CW793" t="e">
        <v>#N/A</v>
      </c>
      <c r="CX793" t="e">
        <v>#N/A</v>
      </c>
      <c r="CY793" t="e">
        <v>#N/A</v>
      </c>
      <c r="CZ793" t="e">
        <v>#N/A</v>
      </c>
      <c r="DA793" t="e">
        <v>#N/A</v>
      </c>
      <c r="DB793" t="e">
        <v>#N/A</v>
      </c>
      <c r="DC793" t="e">
        <v>#N/A</v>
      </c>
      <c r="DD793" t="e">
        <v>#N/A</v>
      </c>
      <c r="DE793" t="e">
        <v>#N/A</v>
      </c>
      <c r="DF793" t="e">
        <v>#N/A</v>
      </c>
      <c r="DG793" t="e">
        <v>#N/A</v>
      </c>
      <c r="DH793" t="e">
        <v>#N/A</v>
      </c>
      <c r="DI793" t="e">
        <v>#N/A</v>
      </c>
    </row>
    <row r="794" spans="13:113">
      <c r="M794" t="str">
        <f t="shared" si="96"/>
        <v>"//*[@class=\"</v>
      </c>
      <c r="N794" t="str">
        <f t="shared" si="99"/>
        <v/>
      </c>
      <c r="O794" s="4" t="str">
        <f t="shared" si="100"/>
        <v>click</v>
      </c>
      <c r="P794" t="str">
        <f t="shared" si="101"/>
        <v>();</v>
      </c>
      <c r="Q794" t="str">
        <f t="shared" si="102"/>
        <v/>
      </c>
      <c r="R794" t="str">
        <f t="shared" si="97"/>
        <v/>
      </c>
      <c r="S794" s="1" t="str">
        <f t="shared" si="98"/>
        <v/>
      </c>
      <c r="CT794" t="e">
        <v>#N/A</v>
      </c>
      <c r="CU794" t="e">
        <v>#N/A</v>
      </c>
      <c r="CV794" t="e">
        <v>#N/A</v>
      </c>
      <c r="CW794" t="e">
        <v>#N/A</v>
      </c>
      <c r="CX794" t="e">
        <v>#N/A</v>
      </c>
      <c r="CY794" t="e">
        <v>#N/A</v>
      </c>
      <c r="CZ794" t="e">
        <v>#N/A</v>
      </c>
      <c r="DA794" t="e">
        <v>#N/A</v>
      </c>
      <c r="DB794" t="e">
        <v>#N/A</v>
      </c>
      <c r="DC794" t="e">
        <v>#N/A</v>
      </c>
      <c r="DD794" t="e">
        <v>#N/A</v>
      </c>
      <c r="DE794" t="e">
        <v>#N/A</v>
      </c>
      <c r="DF794" t="e">
        <v>#N/A</v>
      </c>
      <c r="DG794" t="e">
        <v>#N/A</v>
      </c>
      <c r="DH794" t="e">
        <v>#N/A</v>
      </c>
      <c r="DI794" t="e">
        <v>#N/A</v>
      </c>
    </row>
    <row r="795" spans="13:113">
      <c r="M795" t="str">
        <f t="shared" si="96"/>
        <v>"//*[@class=\"</v>
      </c>
      <c r="N795" t="str">
        <f t="shared" si="99"/>
        <v/>
      </c>
      <c r="O795" s="4" t="str">
        <f t="shared" si="100"/>
        <v>click</v>
      </c>
      <c r="P795" t="str">
        <f t="shared" si="101"/>
        <v>();</v>
      </c>
      <c r="Q795" t="str">
        <f t="shared" si="102"/>
        <v/>
      </c>
      <c r="R795" t="str">
        <f t="shared" si="97"/>
        <v/>
      </c>
      <c r="S795" s="1" t="str">
        <f t="shared" si="98"/>
        <v/>
      </c>
      <c r="CT795" t="e">
        <v>#N/A</v>
      </c>
      <c r="CU795" t="e">
        <v>#N/A</v>
      </c>
      <c r="CV795" t="e">
        <v>#N/A</v>
      </c>
      <c r="CW795" t="e">
        <v>#N/A</v>
      </c>
      <c r="CX795" t="e">
        <v>#N/A</v>
      </c>
      <c r="CY795" t="e">
        <v>#N/A</v>
      </c>
      <c r="CZ795" t="e">
        <v>#N/A</v>
      </c>
      <c r="DA795" t="e">
        <v>#N/A</v>
      </c>
      <c r="DB795" t="e">
        <v>#N/A</v>
      </c>
      <c r="DC795" t="e">
        <v>#N/A</v>
      </c>
      <c r="DD795" t="e">
        <v>#N/A</v>
      </c>
      <c r="DE795" t="e">
        <v>#N/A</v>
      </c>
      <c r="DF795" t="e">
        <v>#N/A</v>
      </c>
      <c r="DG795" t="e">
        <v>#N/A</v>
      </c>
      <c r="DH795" t="e">
        <v>#N/A</v>
      </c>
      <c r="DI795" t="e">
        <v>#N/A</v>
      </c>
    </row>
    <row r="796" spans="13:113">
      <c r="M796" t="str">
        <f t="shared" si="96"/>
        <v>"//*[@class=\"</v>
      </c>
      <c r="N796" t="str">
        <f t="shared" si="99"/>
        <v/>
      </c>
      <c r="O796" s="4" t="str">
        <f t="shared" si="100"/>
        <v>click</v>
      </c>
      <c r="P796" t="str">
        <f t="shared" si="101"/>
        <v>();</v>
      </c>
      <c r="Q796" t="str">
        <f t="shared" si="102"/>
        <v/>
      </c>
      <c r="R796" t="str">
        <f t="shared" si="97"/>
        <v/>
      </c>
      <c r="S796" s="1" t="str">
        <f t="shared" si="98"/>
        <v/>
      </c>
      <c r="CT796" t="e">
        <v>#N/A</v>
      </c>
      <c r="CU796" t="e">
        <v>#N/A</v>
      </c>
      <c r="CV796" t="e">
        <v>#N/A</v>
      </c>
      <c r="CW796" t="e">
        <v>#N/A</v>
      </c>
      <c r="CX796" t="e">
        <v>#N/A</v>
      </c>
      <c r="CY796" t="e">
        <v>#N/A</v>
      </c>
      <c r="CZ796" t="e">
        <v>#N/A</v>
      </c>
      <c r="DA796" t="e">
        <v>#N/A</v>
      </c>
      <c r="DB796" t="e">
        <v>#N/A</v>
      </c>
      <c r="DC796" t="e">
        <v>#N/A</v>
      </c>
      <c r="DD796" t="e">
        <v>#N/A</v>
      </c>
      <c r="DE796" t="e">
        <v>#N/A</v>
      </c>
      <c r="DF796" t="e">
        <v>#N/A</v>
      </c>
      <c r="DG796" t="e">
        <v>#N/A</v>
      </c>
      <c r="DH796" t="e">
        <v>#N/A</v>
      </c>
      <c r="DI796" t="e">
        <v>#N/A</v>
      </c>
    </row>
    <row r="797" spans="13:113">
      <c r="M797" t="str">
        <f t="shared" si="96"/>
        <v>"//*[@class=\"</v>
      </c>
      <c r="N797" t="str">
        <f t="shared" si="99"/>
        <v/>
      </c>
      <c r="O797" s="4" t="str">
        <f t="shared" si="100"/>
        <v>click</v>
      </c>
      <c r="P797" t="str">
        <f t="shared" si="101"/>
        <v>();</v>
      </c>
      <c r="Q797" t="str">
        <f t="shared" si="102"/>
        <v/>
      </c>
      <c r="R797" t="str">
        <f t="shared" si="97"/>
        <v/>
      </c>
      <c r="S797" s="1" t="str">
        <f t="shared" si="98"/>
        <v/>
      </c>
      <c r="CT797" t="e">
        <v>#N/A</v>
      </c>
      <c r="CU797" t="e">
        <v>#N/A</v>
      </c>
      <c r="CV797" t="e">
        <v>#N/A</v>
      </c>
      <c r="CW797" t="e">
        <v>#N/A</v>
      </c>
      <c r="CX797" t="e">
        <v>#N/A</v>
      </c>
      <c r="CY797" t="e">
        <v>#N/A</v>
      </c>
      <c r="CZ797" t="e">
        <v>#N/A</v>
      </c>
      <c r="DA797" t="e">
        <v>#N/A</v>
      </c>
      <c r="DB797" t="e">
        <v>#N/A</v>
      </c>
      <c r="DC797" t="e">
        <v>#N/A</v>
      </c>
      <c r="DD797" t="e">
        <v>#N/A</v>
      </c>
      <c r="DE797" t="e">
        <v>#N/A</v>
      </c>
      <c r="DF797" t="e">
        <v>#N/A</v>
      </c>
      <c r="DG797" t="e">
        <v>#N/A</v>
      </c>
      <c r="DH797" t="e">
        <v>#N/A</v>
      </c>
      <c r="DI797" t="e">
        <v>#N/A</v>
      </c>
    </row>
    <row r="798" spans="13:113">
      <c r="M798" t="str">
        <f t="shared" si="96"/>
        <v>"//*[@class=\"</v>
      </c>
      <c r="N798" t="str">
        <f t="shared" si="99"/>
        <v/>
      </c>
      <c r="O798" s="4" t="str">
        <f t="shared" si="100"/>
        <v>click</v>
      </c>
      <c r="P798" t="str">
        <f t="shared" si="101"/>
        <v>();</v>
      </c>
      <c r="Q798" t="str">
        <f t="shared" si="102"/>
        <v/>
      </c>
      <c r="R798" t="str">
        <f t="shared" si="97"/>
        <v/>
      </c>
      <c r="S798" s="1" t="str">
        <f t="shared" si="98"/>
        <v/>
      </c>
      <c r="CT798" t="e">
        <v>#N/A</v>
      </c>
      <c r="CU798" t="e">
        <v>#N/A</v>
      </c>
      <c r="CV798" t="e">
        <v>#N/A</v>
      </c>
      <c r="CW798" t="e">
        <v>#N/A</v>
      </c>
      <c r="CX798" t="e">
        <v>#N/A</v>
      </c>
      <c r="CY798" t="e">
        <v>#N/A</v>
      </c>
      <c r="CZ798" t="e">
        <v>#N/A</v>
      </c>
      <c r="DA798" t="e">
        <v>#N/A</v>
      </c>
      <c r="DB798" t="e">
        <v>#N/A</v>
      </c>
      <c r="DC798" t="e">
        <v>#N/A</v>
      </c>
      <c r="DD798" t="e">
        <v>#N/A</v>
      </c>
      <c r="DE798" t="e">
        <v>#N/A</v>
      </c>
      <c r="DF798" t="e">
        <v>#N/A</v>
      </c>
      <c r="DG798" t="e">
        <v>#N/A</v>
      </c>
      <c r="DH798" t="e">
        <v>#N/A</v>
      </c>
      <c r="DI798" t="e">
        <v>#N/A</v>
      </c>
    </row>
    <row r="799" spans="13:113">
      <c r="M799" t="str">
        <f t="shared" si="96"/>
        <v>"//*[@class=\"</v>
      </c>
      <c r="N799" t="str">
        <f t="shared" si="99"/>
        <v/>
      </c>
      <c r="O799" s="4" t="str">
        <f t="shared" si="100"/>
        <v>click</v>
      </c>
      <c r="P799" t="str">
        <f t="shared" si="101"/>
        <v>();</v>
      </c>
      <c r="Q799" t="str">
        <f t="shared" si="102"/>
        <v/>
      </c>
      <c r="R799" t="str">
        <f t="shared" si="97"/>
        <v/>
      </c>
      <c r="S799" s="1" t="str">
        <f t="shared" si="98"/>
        <v/>
      </c>
      <c r="CT799" t="e">
        <v>#N/A</v>
      </c>
      <c r="CU799" t="e">
        <v>#N/A</v>
      </c>
      <c r="CV799" t="e">
        <v>#N/A</v>
      </c>
      <c r="CW799" t="e">
        <v>#N/A</v>
      </c>
      <c r="CX799" t="e">
        <v>#N/A</v>
      </c>
      <c r="CY799" t="e">
        <v>#N/A</v>
      </c>
      <c r="CZ799" t="e">
        <v>#N/A</v>
      </c>
      <c r="DA799" t="e">
        <v>#N/A</v>
      </c>
      <c r="DB799" t="e">
        <v>#N/A</v>
      </c>
      <c r="DC799" t="e">
        <v>#N/A</v>
      </c>
      <c r="DD799" t="e">
        <v>#N/A</v>
      </c>
      <c r="DE799" t="e">
        <v>#N/A</v>
      </c>
      <c r="DF799" t="e">
        <v>#N/A</v>
      </c>
      <c r="DG799" t="e">
        <v>#N/A</v>
      </c>
      <c r="DH799" t="e">
        <v>#N/A</v>
      </c>
      <c r="DI799" t="e">
        <v>#N/A</v>
      </c>
    </row>
    <row r="800" spans="13:113">
      <c r="M800" t="str">
        <f t="shared" si="96"/>
        <v>"//*[@class=\"</v>
      </c>
      <c r="N800" t="str">
        <f t="shared" si="99"/>
        <v/>
      </c>
      <c r="O800" s="4" t="str">
        <f t="shared" si="100"/>
        <v>click</v>
      </c>
      <c r="P800" t="str">
        <f t="shared" si="101"/>
        <v>();</v>
      </c>
      <c r="Q800" t="str">
        <f t="shared" si="102"/>
        <v/>
      </c>
      <c r="R800" t="str">
        <f t="shared" si="97"/>
        <v/>
      </c>
      <c r="S800" s="1" t="str">
        <f t="shared" si="98"/>
        <v/>
      </c>
      <c r="CT800" t="e">
        <v>#N/A</v>
      </c>
      <c r="CU800" t="e">
        <v>#N/A</v>
      </c>
      <c r="CV800" t="e">
        <v>#N/A</v>
      </c>
      <c r="CW800" t="e">
        <v>#N/A</v>
      </c>
      <c r="CX800" t="e">
        <v>#N/A</v>
      </c>
      <c r="CY800" t="e">
        <v>#N/A</v>
      </c>
      <c r="CZ800" t="e">
        <v>#N/A</v>
      </c>
      <c r="DA800" t="e">
        <v>#N/A</v>
      </c>
      <c r="DB800" t="e">
        <v>#N/A</v>
      </c>
      <c r="DC800" t="e">
        <v>#N/A</v>
      </c>
      <c r="DD800" t="e">
        <v>#N/A</v>
      </c>
      <c r="DE800" t="e">
        <v>#N/A</v>
      </c>
      <c r="DF800" t="e">
        <v>#N/A</v>
      </c>
      <c r="DG800" t="e">
        <v>#N/A</v>
      </c>
      <c r="DH800" t="e">
        <v>#N/A</v>
      </c>
      <c r="DI800" t="e">
        <v>#N/A</v>
      </c>
    </row>
    <row r="801" spans="13:113">
      <c r="M801" t="str">
        <f t="shared" si="96"/>
        <v>"//*[@class=\"</v>
      </c>
      <c r="N801" t="str">
        <f t="shared" si="99"/>
        <v/>
      </c>
      <c r="O801" s="4" t="str">
        <f t="shared" si="100"/>
        <v>click</v>
      </c>
      <c r="P801" t="str">
        <f t="shared" si="101"/>
        <v>();</v>
      </c>
      <c r="Q801" t="str">
        <f t="shared" si="102"/>
        <v/>
      </c>
      <c r="R801" t="str">
        <f t="shared" si="97"/>
        <v/>
      </c>
      <c r="S801" s="1" t="str">
        <f t="shared" si="98"/>
        <v/>
      </c>
      <c r="CT801" t="e">
        <v>#N/A</v>
      </c>
      <c r="CU801" t="e">
        <v>#N/A</v>
      </c>
      <c r="CV801" t="e">
        <v>#N/A</v>
      </c>
      <c r="CW801" t="e">
        <v>#N/A</v>
      </c>
      <c r="CX801" t="e">
        <v>#N/A</v>
      </c>
      <c r="CY801" t="e">
        <v>#N/A</v>
      </c>
      <c r="CZ801" t="e">
        <v>#N/A</v>
      </c>
      <c r="DA801" t="e">
        <v>#N/A</v>
      </c>
      <c r="DB801" t="e">
        <v>#N/A</v>
      </c>
      <c r="DC801" t="e">
        <v>#N/A</v>
      </c>
      <c r="DD801" t="e">
        <v>#N/A</v>
      </c>
      <c r="DE801" t="e">
        <v>#N/A</v>
      </c>
      <c r="DF801" t="e">
        <v>#N/A</v>
      </c>
      <c r="DG801" t="e">
        <v>#N/A</v>
      </c>
      <c r="DH801" t="e">
        <v>#N/A</v>
      </c>
      <c r="DI801" t="e">
        <v>#N/A</v>
      </c>
    </row>
    <row r="802" spans="13:113">
      <c r="M802" t="str">
        <f t="shared" si="96"/>
        <v>"//*[@class=\"</v>
      </c>
      <c r="N802" t="str">
        <f t="shared" si="99"/>
        <v/>
      </c>
      <c r="O802" s="4" t="str">
        <f t="shared" si="100"/>
        <v>click</v>
      </c>
      <c r="P802" t="str">
        <f t="shared" si="101"/>
        <v>();</v>
      </c>
      <c r="Q802" t="str">
        <f t="shared" si="102"/>
        <v/>
      </c>
      <c r="R802" t="str">
        <f t="shared" ref="R802:R821" si="103">IF(C802="Y",""""&amp;E802&amp;""""&amp;":"&amp;Q802&amp;";","")</f>
        <v/>
      </c>
      <c r="S802" s="1" t="str">
        <f t="shared" si="98"/>
        <v/>
      </c>
      <c r="CT802" t="e">
        <v>#N/A</v>
      </c>
      <c r="CU802" t="e">
        <v>#N/A</v>
      </c>
      <c r="CV802" t="e">
        <v>#N/A</v>
      </c>
      <c r="CW802" t="e">
        <v>#N/A</v>
      </c>
      <c r="CX802" t="e">
        <v>#N/A</v>
      </c>
      <c r="CY802" t="e">
        <v>#N/A</v>
      </c>
      <c r="CZ802" t="e">
        <v>#N/A</v>
      </c>
      <c r="DA802" t="e">
        <v>#N/A</v>
      </c>
      <c r="DB802" t="e">
        <v>#N/A</v>
      </c>
      <c r="DC802" t="e">
        <v>#N/A</v>
      </c>
      <c r="DD802" t="e">
        <v>#N/A</v>
      </c>
      <c r="DE802" t="e">
        <v>#N/A</v>
      </c>
      <c r="DF802" t="e">
        <v>#N/A</v>
      </c>
      <c r="DG802" t="e">
        <v>#N/A</v>
      </c>
      <c r="DH802" t="e">
        <v>#N/A</v>
      </c>
      <c r="DI802" t="e">
        <v>#N/A</v>
      </c>
    </row>
    <row r="803" spans="13:113">
      <c r="M803" t="str">
        <f t="shared" si="96"/>
        <v>"//*[@class=\"</v>
      </c>
      <c r="N803" t="str">
        <f t="shared" si="99"/>
        <v/>
      </c>
      <c r="O803" s="4" t="str">
        <f t="shared" si="100"/>
        <v>click</v>
      </c>
      <c r="P803" t="str">
        <f t="shared" si="101"/>
        <v>();</v>
      </c>
      <c r="Q803" t="str">
        <f t="shared" si="102"/>
        <v/>
      </c>
      <c r="R803" t="str">
        <f t="shared" si="103"/>
        <v/>
      </c>
      <c r="S803" s="1" t="str">
        <f t="shared" si="98"/>
        <v/>
      </c>
      <c r="CT803" t="e">
        <v>#N/A</v>
      </c>
      <c r="CU803" t="e">
        <v>#N/A</v>
      </c>
      <c r="CV803" t="e">
        <v>#N/A</v>
      </c>
      <c r="CW803" t="e">
        <v>#N/A</v>
      </c>
      <c r="CX803" t="e">
        <v>#N/A</v>
      </c>
      <c r="CY803" t="e">
        <v>#N/A</v>
      </c>
      <c r="CZ803" t="e">
        <v>#N/A</v>
      </c>
      <c r="DA803" t="e">
        <v>#N/A</v>
      </c>
      <c r="DB803" t="e">
        <v>#N/A</v>
      </c>
      <c r="DC803" t="e">
        <v>#N/A</v>
      </c>
      <c r="DD803" t="e">
        <v>#N/A</v>
      </c>
      <c r="DE803" t="e">
        <v>#N/A</v>
      </c>
      <c r="DF803" t="e">
        <v>#N/A</v>
      </c>
      <c r="DG803" t="e">
        <v>#N/A</v>
      </c>
      <c r="DH803" t="e">
        <v>#N/A</v>
      </c>
      <c r="DI803" t="e">
        <v>#N/A</v>
      </c>
    </row>
    <row r="804" spans="13:113">
      <c r="M804" t="str">
        <f t="shared" si="96"/>
        <v>"//*[@class=\"</v>
      </c>
      <c r="N804" t="str">
        <f t="shared" si="99"/>
        <v/>
      </c>
      <c r="O804" s="4" t="str">
        <f t="shared" si="100"/>
        <v>click</v>
      </c>
      <c r="P804" t="str">
        <f t="shared" si="101"/>
        <v>();</v>
      </c>
      <c r="Q804" t="str">
        <f t="shared" si="102"/>
        <v/>
      </c>
      <c r="R804" t="str">
        <f t="shared" si="103"/>
        <v/>
      </c>
      <c r="S804" s="1" t="str">
        <f t="shared" si="98"/>
        <v/>
      </c>
      <c r="CT804" t="e">
        <v>#N/A</v>
      </c>
      <c r="CU804" t="e">
        <v>#N/A</v>
      </c>
      <c r="CV804" t="e">
        <v>#N/A</v>
      </c>
      <c r="CW804" t="e">
        <v>#N/A</v>
      </c>
      <c r="CX804" t="e">
        <v>#N/A</v>
      </c>
      <c r="CY804" t="e">
        <v>#N/A</v>
      </c>
      <c r="CZ804" t="e">
        <v>#N/A</v>
      </c>
      <c r="DA804" t="e">
        <v>#N/A</v>
      </c>
      <c r="DB804" t="e">
        <v>#N/A</v>
      </c>
      <c r="DC804" t="e">
        <v>#N/A</v>
      </c>
      <c r="DD804" t="e">
        <v>#N/A</v>
      </c>
      <c r="DE804" t="e">
        <v>#N/A</v>
      </c>
      <c r="DF804" t="e">
        <v>#N/A</v>
      </c>
      <c r="DG804" t="e">
        <v>#N/A</v>
      </c>
      <c r="DH804" t="e">
        <v>#N/A</v>
      </c>
      <c r="DI804" t="e">
        <v>#N/A</v>
      </c>
    </row>
    <row r="805" spans="13:113">
      <c r="M805" t="str">
        <f t="shared" si="96"/>
        <v>"//*[@class=\"</v>
      </c>
      <c r="N805" t="str">
        <f t="shared" si="99"/>
        <v/>
      </c>
      <c r="O805" s="4" t="str">
        <f t="shared" si="100"/>
        <v>click</v>
      </c>
      <c r="P805" t="str">
        <f t="shared" si="101"/>
        <v>();</v>
      </c>
      <c r="Q805" t="str">
        <f t="shared" si="102"/>
        <v/>
      </c>
      <c r="R805" t="str">
        <f t="shared" si="103"/>
        <v/>
      </c>
      <c r="S805" s="1" t="str">
        <f t="shared" si="98"/>
        <v/>
      </c>
      <c r="CT805" t="e">
        <v>#N/A</v>
      </c>
      <c r="CU805" t="e">
        <v>#N/A</v>
      </c>
      <c r="CV805" t="e">
        <v>#N/A</v>
      </c>
      <c r="CW805" t="e">
        <v>#N/A</v>
      </c>
      <c r="CX805" t="e">
        <v>#N/A</v>
      </c>
      <c r="CY805" t="e">
        <v>#N/A</v>
      </c>
      <c r="CZ805" t="e">
        <v>#N/A</v>
      </c>
      <c r="DA805" t="e">
        <v>#N/A</v>
      </c>
      <c r="DB805" t="e">
        <v>#N/A</v>
      </c>
      <c r="DC805" t="e">
        <v>#N/A</v>
      </c>
      <c r="DD805" t="e">
        <v>#N/A</v>
      </c>
      <c r="DE805" t="e">
        <v>#N/A</v>
      </c>
      <c r="DF805" t="e">
        <v>#N/A</v>
      </c>
      <c r="DG805" t="e">
        <v>#N/A</v>
      </c>
      <c r="DH805" t="e">
        <v>#N/A</v>
      </c>
      <c r="DI805" t="e">
        <v>#N/A</v>
      </c>
    </row>
    <row r="806" spans="13:113">
      <c r="M806" t="str">
        <f t="shared" si="96"/>
        <v>"//*[@class=\"</v>
      </c>
      <c r="N806" t="str">
        <f t="shared" si="99"/>
        <v/>
      </c>
      <c r="O806" s="4" t="str">
        <f t="shared" si="100"/>
        <v>click</v>
      </c>
      <c r="P806" t="str">
        <f t="shared" si="101"/>
        <v>();</v>
      </c>
      <c r="Q806" t="str">
        <f t="shared" si="102"/>
        <v/>
      </c>
      <c r="R806" t="str">
        <f t="shared" si="103"/>
        <v/>
      </c>
      <c r="S806" s="1" t="str">
        <f t="shared" si="98"/>
        <v/>
      </c>
      <c r="CT806" t="e">
        <v>#N/A</v>
      </c>
      <c r="CU806" t="e">
        <v>#N/A</v>
      </c>
      <c r="CV806" t="e">
        <v>#N/A</v>
      </c>
      <c r="CW806" t="e">
        <v>#N/A</v>
      </c>
      <c r="CX806" t="e">
        <v>#N/A</v>
      </c>
      <c r="CY806" t="e">
        <v>#N/A</v>
      </c>
      <c r="CZ806" t="e">
        <v>#N/A</v>
      </c>
      <c r="DA806" t="e">
        <v>#N/A</v>
      </c>
      <c r="DB806" t="e">
        <v>#N/A</v>
      </c>
      <c r="DC806" t="e">
        <v>#N/A</v>
      </c>
      <c r="DD806" t="e">
        <v>#N/A</v>
      </c>
      <c r="DE806" t="e">
        <v>#N/A</v>
      </c>
      <c r="DF806" t="e">
        <v>#N/A</v>
      </c>
      <c r="DG806" t="e">
        <v>#N/A</v>
      </c>
      <c r="DH806" t="e">
        <v>#N/A</v>
      </c>
      <c r="DI806" t="e">
        <v>#N/A</v>
      </c>
    </row>
    <row r="807" spans="13:113">
      <c r="M807" t="str">
        <f t="shared" si="96"/>
        <v>"//*[@class=\"</v>
      </c>
      <c r="N807" t="str">
        <f t="shared" si="99"/>
        <v/>
      </c>
      <c r="O807" s="4" t="str">
        <f t="shared" si="100"/>
        <v>click</v>
      </c>
      <c r="P807" t="str">
        <f t="shared" si="101"/>
        <v>();</v>
      </c>
      <c r="Q807" t="str">
        <f t="shared" si="102"/>
        <v/>
      </c>
      <c r="R807" t="str">
        <f t="shared" si="103"/>
        <v/>
      </c>
      <c r="S807" s="1" t="str">
        <f t="shared" si="98"/>
        <v/>
      </c>
      <c r="CT807" t="e">
        <v>#N/A</v>
      </c>
      <c r="CU807" t="e">
        <v>#N/A</v>
      </c>
      <c r="CV807" t="e">
        <v>#N/A</v>
      </c>
      <c r="CW807" t="e">
        <v>#N/A</v>
      </c>
      <c r="CX807" t="e">
        <v>#N/A</v>
      </c>
      <c r="CY807" t="e">
        <v>#N/A</v>
      </c>
      <c r="CZ807" t="e">
        <v>#N/A</v>
      </c>
      <c r="DA807" t="e">
        <v>#N/A</v>
      </c>
      <c r="DB807" t="e">
        <v>#N/A</v>
      </c>
      <c r="DC807" t="e">
        <v>#N/A</v>
      </c>
      <c r="DD807" t="e">
        <v>#N/A</v>
      </c>
      <c r="DE807" t="e">
        <v>#N/A</v>
      </c>
      <c r="DF807" t="e">
        <v>#N/A</v>
      </c>
      <c r="DG807" t="e">
        <v>#N/A</v>
      </c>
      <c r="DH807" t="e">
        <v>#N/A</v>
      </c>
      <c r="DI807" t="e">
        <v>#N/A</v>
      </c>
    </row>
    <row r="808" spans="13:113">
      <c r="M808" t="str">
        <f t="shared" si="96"/>
        <v>"//*[@class=\"</v>
      </c>
      <c r="N808" t="str">
        <f t="shared" si="99"/>
        <v/>
      </c>
      <c r="O808" s="4" t="str">
        <f t="shared" si="100"/>
        <v>click</v>
      </c>
      <c r="P808" t="str">
        <f t="shared" si="101"/>
        <v>();</v>
      </c>
      <c r="Q808" t="str">
        <f t="shared" si="102"/>
        <v/>
      </c>
      <c r="R808" t="str">
        <f t="shared" si="103"/>
        <v/>
      </c>
      <c r="S808" s="1" t="str">
        <f t="shared" si="98"/>
        <v/>
      </c>
      <c r="CT808" t="e">
        <v>#N/A</v>
      </c>
      <c r="CU808" t="e">
        <v>#N/A</v>
      </c>
      <c r="CV808" t="e">
        <v>#N/A</v>
      </c>
      <c r="CW808" t="e">
        <v>#N/A</v>
      </c>
      <c r="CX808" t="e">
        <v>#N/A</v>
      </c>
      <c r="CY808" t="e">
        <v>#N/A</v>
      </c>
      <c r="CZ808" t="e">
        <v>#N/A</v>
      </c>
      <c r="DA808" t="e">
        <v>#N/A</v>
      </c>
      <c r="DB808" t="e">
        <v>#N/A</v>
      </c>
      <c r="DC808" t="e">
        <v>#N/A</v>
      </c>
      <c r="DD808" t="e">
        <v>#N/A</v>
      </c>
      <c r="DE808" t="e">
        <v>#N/A</v>
      </c>
      <c r="DF808" t="e">
        <v>#N/A</v>
      </c>
      <c r="DG808" t="e">
        <v>#N/A</v>
      </c>
      <c r="DH808" t="e">
        <v>#N/A</v>
      </c>
      <c r="DI808" t="e">
        <v>#N/A</v>
      </c>
    </row>
    <row r="809" spans="13:113">
      <c r="M809" t="str">
        <f t="shared" si="96"/>
        <v>"//*[@class=\"</v>
      </c>
      <c r="N809" t="str">
        <f t="shared" si="99"/>
        <v/>
      </c>
      <c r="O809" s="4" t="str">
        <f t="shared" si="100"/>
        <v>click</v>
      </c>
      <c r="P809" t="str">
        <f t="shared" si="101"/>
        <v>();</v>
      </c>
      <c r="Q809" t="str">
        <f t="shared" si="102"/>
        <v/>
      </c>
      <c r="R809" t="str">
        <f t="shared" si="103"/>
        <v/>
      </c>
      <c r="S809" s="1" t="str">
        <f t="shared" si="98"/>
        <v/>
      </c>
      <c r="CT809" t="e">
        <v>#N/A</v>
      </c>
      <c r="CU809" t="e">
        <v>#N/A</v>
      </c>
      <c r="CV809" t="e">
        <v>#N/A</v>
      </c>
      <c r="CW809" t="e">
        <v>#N/A</v>
      </c>
      <c r="CX809" t="e">
        <v>#N/A</v>
      </c>
      <c r="CY809" t="e">
        <v>#N/A</v>
      </c>
      <c r="CZ809" t="e">
        <v>#N/A</v>
      </c>
      <c r="DA809" t="e">
        <v>#N/A</v>
      </c>
      <c r="DB809" t="e">
        <v>#N/A</v>
      </c>
      <c r="DC809" t="e">
        <v>#N/A</v>
      </c>
      <c r="DD809" t="e">
        <v>#N/A</v>
      </c>
      <c r="DE809" t="e">
        <v>#N/A</v>
      </c>
      <c r="DF809" t="e">
        <v>#N/A</v>
      </c>
      <c r="DG809" t="e">
        <v>#N/A</v>
      </c>
      <c r="DH809" t="e">
        <v>#N/A</v>
      </c>
      <c r="DI809" t="e">
        <v>#N/A</v>
      </c>
    </row>
    <row r="810" spans="13:113">
      <c r="M810" t="str">
        <f t="shared" si="96"/>
        <v>"//*[@class=\"</v>
      </c>
      <c r="N810" t="str">
        <f t="shared" si="99"/>
        <v/>
      </c>
      <c r="O810" s="4" t="str">
        <f t="shared" si="100"/>
        <v>click</v>
      </c>
      <c r="P810" t="str">
        <f t="shared" si="101"/>
        <v>();</v>
      </c>
      <c r="Q810" t="str">
        <f t="shared" si="102"/>
        <v/>
      </c>
      <c r="R810" t="str">
        <f t="shared" si="103"/>
        <v/>
      </c>
      <c r="S810" s="1" t="str">
        <f t="shared" si="98"/>
        <v/>
      </c>
      <c r="CT810" t="e">
        <v>#N/A</v>
      </c>
      <c r="CU810" t="e">
        <v>#N/A</v>
      </c>
      <c r="CV810" t="e">
        <v>#N/A</v>
      </c>
      <c r="CW810" t="e">
        <v>#N/A</v>
      </c>
      <c r="CX810" t="e">
        <v>#N/A</v>
      </c>
      <c r="CY810" t="e">
        <v>#N/A</v>
      </c>
      <c r="CZ810" t="e">
        <v>#N/A</v>
      </c>
      <c r="DA810" t="e">
        <v>#N/A</v>
      </c>
      <c r="DB810" t="e">
        <v>#N/A</v>
      </c>
      <c r="DC810" t="e">
        <v>#N/A</v>
      </c>
      <c r="DD810" t="e">
        <v>#N/A</v>
      </c>
      <c r="DE810" t="e">
        <v>#N/A</v>
      </c>
      <c r="DF810" t="e">
        <v>#N/A</v>
      </c>
      <c r="DG810" t="e">
        <v>#N/A</v>
      </c>
      <c r="DH810" t="e">
        <v>#N/A</v>
      </c>
      <c r="DI810" t="e">
        <v>#N/A</v>
      </c>
    </row>
    <row r="811" spans="13:113">
      <c r="M811" t="str">
        <f t="shared" si="96"/>
        <v>"//*[@class=\"</v>
      </c>
      <c r="N811" t="str">
        <f t="shared" si="99"/>
        <v/>
      </c>
      <c r="O811" s="4" t="str">
        <f t="shared" si="100"/>
        <v>click</v>
      </c>
      <c r="P811" t="str">
        <f t="shared" si="101"/>
        <v>();</v>
      </c>
      <c r="Q811" t="str">
        <f t="shared" si="102"/>
        <v/>
      </c>
      <c r="R811" t="str">
        <f t="shared" si="103"/>
        <v/>
      </c>
      <c r="S811" s="1" t="str">
        <f t="shared" si="98"/>
        <v/>
      </c>
      <c r="CT811" t="e">
        <v>#N/A</v>
      </c>
      <c r="CU811" t="e">
        <v>#N/A</v>
      </c>
      <c r="CV811" t="e">
        <v>#N/A</v>
      </c>
      <c r="CW811" t="e">
        <v>#N/A</v>
      </c>
      <c r="CX811" t="e">
        <v>#N/A</v>
      </c>
      <c r="CY811" t="e">
        <v>#N/A</v>
      </c>
      <c r="CZ811" t="e">
        <v>#N/A</v>
      </c>
      <c r="DA811" t="e">
        <v>#N/A</v>
      </c>
      <c r="DB811" t="e">
        <v>#N/A</v>
      </c>
      <c r="DC811" t="e">
        <v>#N/A</v>
      </c>
      <c r="DD811" t="e">
        <v>#N/A</v>
      </c>
      <c r="DE811" t="e">
        <v>#N/A</v>
      </c>
      <c r="DF811" t="e">
        <v>#N/A</v>
      </c>
      <c r="DG811" t="e">
        <v>#N/A</v>
      </c>
      <c r="DH811" t="e">
        <v>#N/A</v>
      </c>
      <c r="DI811" t="e">
        <v>#N/A</v>
      </c>
    </row>
    <row r="812" spans="13:113">
      <c r="M812" t="str">
        <f t="shared" si="96"/>
        <v>"//*[@class=\"</v>
      </c>
      <c r="N812" t="str">
        <f t="shared" si="99"/>
        <v/>
      </c>
      <c r="O812" s="4" t="str">
        <f t="shared" si="100"/>
        <v>click</v>
      </c>
      <c r="P812" t="str">
        <f t="shared" si="101"/>
        <v>();</v>
      </c>
      <c r="Q812" t="str">
        <f t="shared" si="102"/>
        <v/>
      </c>
      <c r="R812" t="str">
        <f t="shared" si="103"/>
        <v/>
      </c>
      <c r="S812" s="1" t="str">
        <f t="shared" si="98"/>
        <v/>
      </c>
      <c r="CT812" t="e">
        <v>#N/A</v>
      </c>
      <c r="CU812" t="e">
        <v>#N/A</v>
      </c>
      <c r="CV812" t="e">
        <v>#N/A</v>
      </c>
      <c r="CW812" t="e">
        <v>#N/A</v>
      </c>
      <c r="CX812" t="e">
        <v>#N/A</v>
      </c>
      <c r="CY812" t="e">
        <v>#N/A</v>
      </c>
      <c r="CZ812" t="e">
        <v>#N/A</v>
      </c>
      <c r="DA812" t="e">
        <v>#N/A</v>
      </c>
      <c r="DB812" t="e">
        <v>#N/A</v>
      </c>
      <c r="DC812" t="e">
        <v>#N/A</v>
      </c>
      <c r="DD812" t="e">
        <v>#N/A</v>
      </c>
      <c r="DE812" t="e">
        <v>#N/A</v>
      </c>
      <c r="DF812" t="e">
        <v>#N/A</v>
      </c>
      <c r="DG812" t="e">
        <v>#N/A</v>
      </c>
      <c r="DH812" t="e">
        <v>#N/A</v>
      </c>
      <c r="DI812" t="e">
        <v>#N/A</v>
      </c>
    </row>
    <row r="813" spans="13:113">
      <c r="M813" t="str">
        <f t="shared" si="96"/>
        <v>"//*[@class=\"</v>
      </c>
      <c r="N813" t="str">
        <f t="shared" si="99"/>
        <v/>
      </c>
      <c r="O813" s="4" t="str">
        <f t="shared" si="100"/>
        <v>click</v>
      </c>
      <c r="P813" t="str">
        <f t="shared" si="101"/>
        <v>();</v>
      </c>
      <c r="Q813" t="str">
        <f t="shared" si="102"/>
        <v/>
      </c>
      <c r="R813" t="str">
        <f t="shared" si="103"/>
        <v/>
      </c>
      <c r="S813" s="1" t="str">
        <f t="shared" si="98"/>
        <v/>
      </c>
      <c r="CT813" t="e">
        <v>#N/A</v>
      </c>
      <c r="CU813" t="e">
        <v>#N/A</v>
      </c>
      <c r="CV813" t="e">
        <v>#N/A</v>
      </c>
      <c r="CW813" t="e">
        <v>#N/A</v>
      </c>
      <c r="CX813" t="e">
        <v>#N/A</v>
      </c>
      <c r="CY813" t="e">
        <v>#N/A</v>
      </c>
      <c r="CZ813" t="e">
        <v>#N/A</v>
      </c>
      <c r="DA813" t="e">
        <v>#N/A</v>
      </c>
      <c r="DB813" t="e">
        <v>#N/A</v>
      </c>
      <c r="DC813" t="e">
        <v>#N/A</v>
      </c>
      <c r="DD813" t="e">
        <v>#N/A</v>
      </c>
      <c r="DE813" t="e">
        <v>#N/A</v>
      </c>
      <c r="DF813" t="e">
        <v>#N/A</v>
      </c>
      <c r="DG813" t="e">
        <v>#N/A</v>
      </c>
      <c r="DH813" t="e">
        <v>#N/A</v>
      </c>
      <c r="DI813" t="e">
        <v>#N/A</v>
      </c>
    </row>
    <row r="814" spans="13:113">
      <c r="M814" t="str">
        <f t="shared" si="96"/>
        <v>"//*[@class=\"</v>
      </c>
      <c r="N814" t="str">
        <f t="shared" si="99"/>
        <v/>
      </c>
      <c r="O814" s="4" t="str">
        <f t="shared" si="100"/>
        <v>click</v>
      </c>
      <c r="P814" t="str">
        <f t="shared" si="101"/>
        <v>();</v>
      </c>
      <c r="Q814" t="str">
        <f t="shared" si="102"/>
        <v/>
      </c>
      <c r="R814" t="str">
        <f t="shared" si="103"/>
        <v/>
      </c>
      <c r="S814" s="1" t="str">
        <f t="shared" si="98"/>
        <v/>
      </c>
      <c r="CT814" t="e">
        <v>#N/A</v>
      </c>
      <c r="CU814" t="e">
        <v>#N/A</v>
      </c>
      <c r="CV814" t="e">
        <v>#N/A</v>
      </c>
      <c r="CW814" t="e">
        <v>#N/A</v>
      </c>
      <c r="CX814" t="e">
        <v>#N/A</v>
      </c>
      <c r="CY814" t="e">
        <v>#N/A</v>
      </c>
      <c r="CZ814" t="e">
        <v>#N/A</v>
      </c>
      <c r="DA814" t="e">
        <v>#N/A</v>
      </c>
      <c r="DB814" t="e">
        <v>#N/A</v>
      </c>
      <c r="DC814" t="e">
        <v>#N/A</v>
      </c>
      <c r="DD814" t="e">
        <v>#N/A</v>
      </c>
      <c r="DE814" t="e">
        <v>#N/A</v>
      </c>
      <c r="DF814" t="e">
        <v>#N/A</v>
      </c>
      <c r="DG814" t="e">
        <v>#N/A</v>
      </c>
      <c r="DH814" t="e">
        <v>#N/A</v>
      </c>
      <c r="DI814" t="e">
        <v>#N/A</v>
      </c>
    </row>
    <row r="815" spans="13:113">
      <c r="M815" t="str">
        <f t="shared" si="96"/>
        <v>"//*[@class=\"</v>
      </c>
      <c r="N815" t="str">
        <f t="shared" si="99"/>
        <v/>
      </c>
      <c r="O815" s="4" t="str">
        <f t="shared" si="100"/>
        <v>click</v>
      </c>
      <c r="P815" t="str">
        <f t="shared" si="101"/>
        <v>();</v>
      </c>
      <c r="Q815" t="str">
        <f t="shared" si="102"/>
        <v/>
      </c>
      <c r="R815" t="str">
        <f t="shared" si="103"/>
        <v/>
      </c>
      <c r="S815" s="1" t="str">
        <f t="shared" si="98"/>
        <v/>
      </c>
      <c r="CT815" t="e">
        <v>#N/A</v>
      </c>
      <c r="CU815" t="e">
        <v>#N/A</v>
      </c>
      <c r="CV815" t="e">
        <v>#N/A</v>
      </c>
      <c r="CW815" t="e">
        <v>#N/A</v>
      </c>
      <c r="CX815" t="e">
        <v>#N/A</v>
      </c>
      <c r="CY815" t="e">
        <v>#N/A</v>
      </c>
      <c r="CZ815" t="e">
        <v>#N/A</v>
      </c>
      <c r="DA815" t="e">
        <v>#N/A</v>
      </c>
      <c r="DB815" t="e">
        <v>#N/A</v>
      </c>
      <c r="DC815" t="e">
        <v>#N/A</v>
      </c>
      <c r="DD815" t="e">
        <v>#N/A</v>
      </c>
      <c r="DE815" t="e">
        <v>#N/A</v>
      </c>
      <c r="DF815" t="e">
        <v>#N/A</v>
      </c>
      <c r="DG815" t="e">
        <v>#N/A</v>
      </c>
      <c r="DH815" t="e">
        <v>#N/A</v>
      </c>
      <c r="DI815" t="e">
        <v>#N/A</v>
      </c>
    </row>
    <row r="816" spans="13:113">
      <c r="M816" t="str">
        <f t="shared" si="96"/>
        <v>"//*[@class=\"</v>
      </c>
      <c r="N816" t="str">
        <f t="shared" si="99"/>
        <v/>
      </c>
      <c r="O816" s="4" t="str">
        <f t="shared" si="100"/>
        <v>click</v>
      </c>
      <c r="P816" t="str">
        <f t="shared" si="101"/>
        <v>();</v>
      </c>
      <c r="Q816" t="str">
        <f t="shared" si="102"/>
        <v/>
      </c>
      <c r="R816" t="str">
        <f t="shared" si="103"/>
        <v/>
      </c>
      <c r="S816" s="1" t="str">
        <f t="shared" si="98"/>
        <v/>
      </c>
      <c r="CT816" t="e">
        <v>#N/A</v>
      </c>
      <c r="CU816" t="e">
        <v>#N/A</v>
      </c>
      <c r="CV816" t="e">
        <v>#N/A</v>
      </c>
      <c r="CW816" t="e">
        <v>#N/A</v>
      </c>
      <c r="CX816" t="e">
        <v>#N/A</v>
      </c>
      <c r="CY816" t="e">
        <v>#N/A</v>
      </c>
      <c r="CZ816" t="e">
        <v>#N/A</v>
      </c>
      <c r="DA816" t="e">
        <v>#N/A</v>
      </c>
      <c r="DB816" t="e">
        <v>#N/A</v>
      </c>
      <c r="DC816" t="e">
        <v>#N/A</v>
      </c>
      <c r="DD816" t="e">
        <v>#N/A</v>
      </c>
      <c r="DE816" t="e">
        <v>#N/A</v>
      </c>
      <c r="DF816" t="e">
        <v>#N/A</v>
      </c>
      <c r="DG816" t="e">
        <v>#N/A</v>
      </c>
      <c r="DH816" t="e">
        <v>#N/A</v>
      </c>
      <c r="DI816" t="e">
        <v>#N/A</v>
      </c>
    </row>
    <row r="817" spans="13:113">
      <c r="M817" t="str">
        <f t="shared" si="96"/>
        <v>"//*[@class=\"</v>
      </c>
      <c r="N817" t="str">
        <f t="shared" si="99"/>
        <v/>
      </c>
      <c r="O817" s="4" t="str">
        <f t="shared" si="100"/>
        <v>click</v>
      </c>
      <c r="P817" t="str">
        <f t="shared" si="101"/>
        <v>();</v>
      </c>
      <c r="Q817" t="str">
        <f t="shared" si="102"/>
        <v/>
      </c>
      <c r="R817" t="str">
        <f t="shared" si="103"/>
        <v/>
      </c>
      <c r="S817" s="1" t="str">
        <f t="shared" si="98"/>
        <v/>
      </c>
      <c r="CT817" t="e">
        <v>#N/A</v>
      </c>
      <c r="CU817" t="e">
        <v>#N/A</v>
      </c>
      <c r="CV817" t="e">
        <v>#N/A</v>
      </c>
      <c r="CW817" t="e">
        <v>#N/A</v>
      </c>
      <c r="CX817" t="e">
        <v>#N/A</v>
      </c>
      <c r="CY817" t="e">
        <v>#N/A</v>
      </c>
      <c r="CZ817" t="e">
        <v>#N/A</v>
      </c>
      <c r="DA817" t="e">
        <v>#N/A</v>
      </c>
      <c r="DB817" t="e">
        <v>#N/A</v>
      </c>
      <c r="DC817" t="e">
        <v>#N/A</v>
      </c>
      <c r="DD817" t="e">
        <v>#N/A</v>
      </c>
      <c r="DE817" t="e">
        <v>#N/A</v>
      </c>
      <c r="DF817" t="e">
        <v>#N/A</v>
      </c>
      <c r="DG817" t="e">
        <v>#N/A</v>
      </c>
      <c r="DH817" t="e">
        <v>#N/A</v>
      </c>
      <c r="DI817" t="e">
        <v>#N/A</v>
      </c>
    </row>
    <row r="818" spans="13:113">
      <c r="M818" t="str">
        <f t="shared" si="96"/>
        <v>"//*[@class=\"</v>
      </c>
      <c r="N818" t="str">
        <f t="shared" si="99"/>
        <v/>
      </c>
      <c r="O818" s="4" t="str">
        <f t="shared" si="100"/>
        <v>click</v>
      </c>
      <c r="P818" t="str">
        <f t="shared" si="101"/>
        <v>();</v>
      </c>
      <c r="Q818" t="str">
        <f t="shared" si="102"/>
        <v/>
      </c>
      <c r="R818" t="str">
        <f t="shared" si="103"/>
        <v/>
      </c>
      <c r="S818" s="1" t="str">
        <f t="shared" si="98"/>
        <v/>
      </c>
      <c r="CT818" t="e">
        <v>#N/A</v>
      </c>
      <c r="CU818" t="e">
        <v>#N/A</v>
      </c>
      <c r="CV818" t="e">
        <v>#N/A</v>
      </c>
      <c r="CW818" t="e">
        <v>#N/A</v>
      </c>
      <c r="CX818" t="e">
        <v>#N/A</v>
      </c>
      <c r="CY818" t="e">
        <v>#N/A</v>
      </c>
      <c r="CZ818" t="e">
        <v>#N/A</v>
      </c>
      <c r="DA818" t="e">
        <v>#N/A</v>
      </c>
      <c r="DB818" t="e">
        <v>#N/A</v>
      </c>
      <c r="DC818" t="e">
        <v>#N/A</v>
      </c>
      <c r="DD818" t="e">
        <v>#N/A</v>
      </c>
      <c r="DE818" t="e">
        <v>#N/A</v>
      </c>
      <c r="DF818" t="e">
        <v>#N/A</v>
      </c>
      <c r="DG818" t="e">
        <v>#N/A</v>
      </c>
      <c r="DH818" t="e">
        <v>#N/A</v>
      </c>
      <c r="DI818" t="e">
        <v>#N/A</v>
      </c>
    </row>
    <row r="819" spans="13:113">
      <c r="M819" t="str">
        <f t="shared" si="96"/>
        <v>"//*[@class=\"</v>
      </c>
      <c r="N819" t="str">
        <f t="shared" si="99"/>
        <v/>
      </c>
      <c r="O819" s="4" t="str">
        <f t="shared" si="100"/>
        <v>click</v>
      </c>
      <c r="P819" t="str">
        <f t="shared" si="101"/>
        <v>();</v>
      </c>
      <c r="Q819" t="str">
        <f t="shared" si="102"/>
        <v/>
      </c>
      <c r="R819" t="str">
        <f t="shared" si="103"/>
        <v/>
      </c>
      <c r="S819" s="1" t="str">
        <f t="shared" si="98"/>
        <v/>
      </c>
      <c r="CT819" t="e">
        <v>#N/A</v>
      </c>
      <c r="CU819" t="e">
        <v>#N/A</v>
      </c>
      <c r="CV819" t="e">
        <v>#N/A</v>
      </c>
      <c r="CW819" t="e">
        <v>#N/A</v>
      </c>
      <c r="CX819" t="e">
        <v>#N/A</v>
      </c>
      <c r="CY819" t="e">
        <v>#N/A</v>
      </c>
      <c r="CZ819" t="e">
        <v>#N/A</v>
      </c>
      <c r="DA819" t="e">
        <v>#N/A</v>
      </c>
      <c r="DB819" t="e">
        <v>#N/A</v>
      </c>
      <c r="DC819" t="e">
        <v>#N/A</v>
      </c>
      <c r="DD819" t="e">
        <v>#N/A</v>
      </c>
      <c r="DE819" t="e">
        <v>#N/A</v>
      </c>
      <c r="DF819" t="e">
        <v>#N/A</v>
      </c>
      <c r="DG819" t="e">
        <v>#N/A</v>
      </c>
      <c r="DH819" t="e">
        <v>#N/A</v>
      </c>
      <c r="DI819" t="e">
        <v>#N/A</v>
      </c>
    </row>
    <row r="820" spans="13:113">
      <c r="M820" t="str">
        <f t="shared" si="96"/>
        <v>"//*[@class=\"</v>
      </c>
      <c r="N820" t="str">
        <f t="shared" si="99"/>
        <v/>
      </c>
      <c r="O820" s="4" t="str">
        <f t="shared" si="100"/>
        <v>click</v>
      </c>
      <c r="P820" t="str">
        <f t="shared" si="101"/>
        <v>();</v>
      </c>
      <c r="Q820" t="str">
        <f t="shared" si="102"/>
        <v/>
      </c>
      <c r="R820" t="str">
        <f t="shared" si="103"/>
        <v/>
      </c>
      <c r="S820" s="1" t="str">
        <f t="shared" si="98"/>
        <v/>
      </c>
      <c r="CT820" t="e">
        <v>#N/A</v>
      </c>
      <c r="CU820" t="e">
        <v>#N/A</v>
      </c>
      <c r="CV820" t="e">
        <v>#N/A</v>
      </c>
      <c r="CW820" t="e">
        <v>#N/A</v>
      </c>
      <c r="CX820" t="e">
        <v>#N/A</v>
      </c>
      <c r="CY820" t="e">
        <v>#N/A</v>
      </c>
      <c r="CZ820" t="e">
        <v>#N/A</v>
      </c>
      <c r="DA820" t="e">
        <v>#N/A</v>
      </c>
      <c r="DB820" t="e">
        <v>#N/A</v>
      </c>
      <c r="DC820" t="e">
        <v>#N/A</v>
      </c>
      <c r="DD820" t="e">
        <v>#N/A</v>
      </c>
      <c r="DE820" t="e">
        <v>#N/A</v>
      </c>
      <c r="DF820" t="e">
        <v>#N/A</v>
      </c>
      <c r="DG820" t="e">
        <v>#N/A</v>
      </c>
      <c r="DH820" t="e">
        <v>#N/A</v>
      </c>
      <c r="DI820" t="e">
        <v>#N/A</v>
      </c>
    </row>
    <row r="821" spans="13:113">
      <c r="M821" t="str">
        <f t="shared" si="96"/>
        <v>"//*[@class=\"</v>
      </c>
      <c r="N821" t="str">
        <f t="shared" si="99"/>
        <v/>
      </c>
      <c r="O821" s="4" t="str">
        <f t="shared" si="100"/>
        <v>click</v>
      </c>
      <c r="P821" t="str">
        <f t="shared" si="101"/>
        <v>();</v>
      </c>
      <c r="Q821" t="str">
        <f t="shared" si="102"/>
        <v/>
      </c>
      <c r="R821" t="str">
        <f t="shared" si="103"/>
        <v/>
      </c>
      <c r="S821" s="1" t="str">
        <f t="shared" si="98"/>
        <v/>
      </c>
      <c r="CT821" t="e">
        <v>#N/A</v>
      </c>
      <c r="CU821" t="e">
        <v>#N/A</v>
      </c>
      <c r="CV821" t="e">
        <v>#N/A</v>
      </c>
      <c r="CW821" t="e">
        <v>#N/A</v>
      </c>
      <c r="CX821" t="e">
        <v>#N/A</v>
      </c>
      <c r="CY821" t="e">
        <v>#N/A</v>
      </c>
      <c r="CZ821" t="e">
        <v>#N/A</v>
      </c>
      <c r="DA821" t="e">
        <v>#N/A</v>
      </c>
      <c r="DB821" t="e">
        <v>#N/A</v>
      </c>
      <c r="DC821" t="e">
        <v>#N/A</v>
      </c>
      <c r="DD821" t="e">
        <v>#N/A</v>
      </c>
      <c r="DE821" t="e">
        <v>#N/A</v>
      </c>
      <c r="DF821" t="e">
        <v>#N/A</v>
      </c>
      <c r="DG821" t="e">
        <v>#N/A</v>
      </c>
      <c r="DH821" t="e">
        <v>#N/A</v>
      </c>
      <c r="DI821" t="e">
        <v>#N/A</v>
      </c>
    </row>
    <row r="822" spans="13:113">
      <c r="M822" t="str">
        <f t="shared" si="96"/>
        <v>"//*[@class=\"</v>
      </c>
      <c r="N822" t="str">
        <f t="shared" si="99"/>
        <v/>
      </c>
      <c r="O822" s="4" t="str">
        <f t="shared" si="100"/>
        <v>click</v>
      </c>
      <c r="P822" t="str">
        <f t="shared" si="101"/>
        <v>();</v>
      </c>
      <c r="Q822" t="str">
        <f t="shared" si="102"/>
        <v/>
      </c>
      <c r="S822" s="1" t="str">
        <f t="shared" si="98"/>
        <v/>
      </c>
      <c r="CT822" t="e">
        <v>#N/A</v>
      </c>
      <c r="CU822" t="e">
        <v>#N/A</v>
      </c>
      <c r="CV822" t="e">
        <v>#N/A</v>
      </c>
      <c r="CW822" t="e">
        <v>#N/A</v>
      </c>
      <c r="CX822" t="e">
        <v>#N/A</v>
      </c>
      <c r="CY822" t="e">
        <v>#N/A</v>
      </c>
      <c r="CZ822" t="e">
        <v>#N/A</v>
      </c>
      <c r="DA822" t="e">
        <v>#N/A</v>
      </c>
      <c r="DB822" t="e">
        <v>#N/A</v>
      </c>
      <c r="DC822" t="e">
        <v>#N/A</v>
      </c>
      <c r="DD822" t="e">
        <v>#N/A</v>
      </c>
      <c r="DE822" t="e">
        <v>#N/A</v>
      </c>
      <c r="DF822" t="e">
        <v>#N/A</v>
      </c>
      <c r="DG822" t="e">
        <v>#N/A</v>
      </c>
      <c r="DH822" t="e">
        <v>#N/A</v>
      </c>
      <c r="DI822" t="e">
        <v>#N/A</v>
      </c>
    </row>
    <row r="823" spans="13:113">
      <c r="N823" t="str">
        <f t="shared" si="99"/>
        <v/>
      </c>
      <c r="O823" s="4" t="str">
        <f t="shared" si="100"/>
        <v>click</v>
      </c>
      <c r="P823" t="str">
        <f t="shared" si="101"/>
        <v>();</v>
      </c>
      <c r="Q823" t="str">
        <f t="shared" si="102"/>
        <v/>
      </c>
      <c r="S823" s="1" t="str">
        <f t="shared" si="98"/>
        <v/>
      </c>
      <c r="CT823" t="e">
        <v>#N/A</v>
      </c>
      <c r="CU823" t="e">
        <v>#N/A</v>
      </c>
      <c r="CV823" t="e">
        <v>#N/A</v>
      </c>
      <c r="CW823" t="e">
        <v>#N/A</v>
      </c>
      <c r="CX823" t="e">
        <v>#N/A</v>
      </c>
      <c r="CY823" t="e">
        <v>#N/A</v>
      </c>
      <c r="CZ823" t="e">
        <v>#N/A</v>
      </c>
      <c r="DA823" t="e">
        <v>#N/A</v>
      </c>
      <c r="DB823" t="e">
        <v>#N/A</v>
      </c>
      <c r="DC823" t="e">
        <v>#N/A</v>
      </c>
      <c r="DD823" t="e">
        <v>#N/A</v>
      </c>
      <c r="DE823" t="e">
        <v>#N/A</v>
      </c>
      <c r="DF823" t="e">
        <v>#N/A</v>
      </c>
      <c r="DG823" t="e">
        <v>#N/A</v>
      </c>
      <c r="DH823" t="e">
        <v>#N/A</v>
      </c>
      <c r="DI823" t="e">
        <v>#N/A</v>
      </c>
    </row>
    <row r="824" spans="13:113">
      <c r="N824" t="str">
        <f t="shared" si="99"/>
        <v/>
      </c>
      <c r="O824" s="4" t="str">
        <f t="shared" si="100"/>
        <v>click</v>
      </c>
      <c r="P824" t="str">
        <f t="shared" si="101"/>
        <v>();</v>
      </c>
      <c r="Q824" t="str">
        <f t="shared" si="102"/>
        <v/>
      </c>
      <c r="S824" s="1" t="str">
        <f t="shared" si="98"/>
        <v/>
      </c>
      <c r="CT824" t="e">
        <v>#N/A</v>
      </c>
      <c r="CU824" t="e">
        <v>#N/A</v>
      </c>
      <c r="CV824" t="e">
        <v>#N/A</v>
      </c>
      <c r="CW824" t="e">
        <v>#N/A</v>
      </c>
      <c r="CX824" t="e">
        <v>#N/A</v>
      </c>
      <c r="CY824" t="e">
        <v>#N/A</v>
      </c>
      <c r="CZ824" t="e">
        <v>#N/A</v>
      </c>
      <c r="DA824" t="e">
        <v>#N/A</v>
      </c>
      <c r="DB824" t="e">
        <v>#N/A</v>
      </c>
      <c r="DC824" t="e">
        <v>#N/A</v>
      </c>
      <c r="DD824" t="e">
        <v>#N/A</v>
      </c>
      <c r="DE824" t="e">
        <v>#N/A</v>
      </c>
      <c r="DF824" t="e">
        <v>#N/A</v>
      </c>
      <c r="DG824" t="e">
        <v>#N/A</v>
      </c>
      <c r="DH824" t="e">
        <v>#N/A</v>
      </c>
      <c r="DI824" t="e">
        <v>#N/A</v>
      </c>
    </row>
    <row r="825" spans="13:113">
      <c r="N825" t="str">
        <f t="shared" si="99"/>
        <v/>
      </c>
      <c r="O825" s="4" t="str">
        <f t="shared" si="100"/>
        <v>click</v>
      </c>
      <c r="P825" t="str">
        <f t="shared" si="101"/>
        <v>();</v>
      </c>
      <c r="Q825" t="str">
        <f t="shared" si="102"/>
        <v/>
      </c>
      <c r="S825" s="1" t="str">
        <f t="shared" si="98"/>
        <v/>
      </c>
      <c r="CT825" t="e">
        <v>#N/A</v>
      </c>
      <c r="CU825" t="e">
        <v>#N/A</v>
      </c>
      <c r="CV825" t="e">
        <v>#N/A</v>
      </c>
      <c r="CW825" t="e">
        <v>#N/A</v>
      </c>
      <c r="CX825" t="e">
        <v>#N/A</v>
      </c>
      <c r="CY825" t="e">
        <v>#N/A</v>
      </c>
      <c r="CZ825" t="e">
        <v>#N/A</v>
      </c>
      <c r="DA825" t="e">
        <v>#N/A</v>
      </c>
      <c r="DB825" t="e">
        <v>#N/A</v>
      </c>
      <c r="DC825" t="e">
        <v>#N/A</v>
      </c>
      <c r="DD825" t="e">
        <v>#N/A</v>
      </c>
      <c r="DE825" t="e">
        <v>#N/A</v>
      </c>
      <c r="DF825" t="e">
        <v>#N/A</v>
      </c>
      <c r="DG825" t="e">
        <v>#N/A</v>
      </c>
      <c r="DH825" t="e">
        <v>#N/A</v>
      </c>
      <c r="DI825" t="e">
        <v>#N/A</v>
      </c>
    </row>
    <row r="826" spans="13:113">
      <c r="N826" t="str">
        <f t="shared" si="99"/>
        <v/>
      </c>
      <c r="O826" s="4" t="str">
        <f t="shared" si="100"/>
        <v>click</v>
      </c>
      <c r="P826" t="str">
        <f t="shared" si="101"/>
        <v>();</v>
      </c>
      <c r="Q826" t="str">
        <f t="shared" si="102"/>
        <v/>
      </c>
      <c r="S826" s="1" t="str">
        <f t="shared" si="98"/>
        <v/>
      </c>
      <c r="CT826" t="e">
        <v>#N/A</v>
      </c>
      <c r="CU826" t="e">
        <v>#N/A</v>
      </c>
      <c r="CV826" t="e">
        <v>#N/A</v>
      </c>
      <c r="CW826" t="e">
        <v>#N/A</v>
      </c>
      <c r="CX826" t="e">
        <v>#N/A</v>
      </c>
      <c r="CY826" t="e">
        <v>#N/A</v>
      </c>
      <c r="CZ826" t="e">
        <v>#N/A</v>
      </c>
      <c r="DA826" t="e">
        <v>#N/A</v>
      </c>
      <c r="DB826" t="e">
        <v>#N/A</v>
      </c>
      <c r="DC826" t="e">
        <v>#N/A</v>
      </c>
      <c r="DD826" t="e">
        <v>#N/A</v>
      </c>
      <c r="DE826" t="e">
        <v>#N/A</v>
      </c>
      <c r="DF826" t="e">
        <v>#N/A</v>
      </c>
      <c r="DG826" t="e">
        <v>#N/A</v>
      </c>
      <c r="DH826" t="e">
        <v>#N/A</v>
      </c>
      <c r="DI826" t="e">
        <v>#N/A</v>
      </c>
    </row>
    <row r="827" spans="13:113">
      <c r="N827" t="str">
        <f t="shared" si="99"/>
        <v/>
      </c>
      <c r="O827" s="4" t="str">
        <f t="shared" si="100"/>
        <v>click</v>
      </c>
      <c r="P827" t="str">
        <f t="shared" si="101"/>
        <v>();</v>
      </c>
      <c r="Q827" t="str">
        <f t="shared" si="102"/>
        <v/>
      </c>
      <c r="S827" s="1" t="str">
        <f t="shared" si="98"/>
        <v/>
      </c>
      <c r="CT827" t="e">
        <v>#N/A</v>
      </c>
      <c r="CU827" t="e">
        <v>#N/A</v>
      </c>
      <c r="CV827" t="e">
        <v>#N/A</v>
      </c>
      <c r="CW827" t="e">
        <v>#N/A</v>
      </c>
      <c r="CX827" t="e">
        <v>#N/A</v>
      </c>
      <c r="CY827" t="e">
        <v>#N/A</v>
      </c>
      <c r="CZ827" t="e">
        <v>#N/A</v>
      </c>
      <c r="DA827" t="e">
        <v>#N/A</v>
      </c>
      <c r="DB827" t="e">
        <v>#N/A</v>
      </c>
      <c r="DC827" t="e">
        <v>#N/A</v>
      </c>
      <c r="DD827" t="e">
        <v>#N/A</v>
      </c>
      <c r="DE827" t="e">
        <v>#N/A</v>
      </c>
      <c r="DF827" t="e">
        <v>#N/A</v>
      </c>
      <c r="DG827" t="e">
        <v>#N/A</v>
      </c>
      <c r="DH827" t="e">
        <v>#N/A</v>
      </c>
      <c r="DI827" t="e">
        <v>#N/A</v>
      </c>
    </row>
    <row r="828" spans="13:113">
      <c r="N828" t="str">
        <f t="shared" si="99"/>
        <v/>
      </c>
      <c r="O828" s="4" t="str">
        <f t="shared" si="100"/>
        <v>click</v>
      </c>
      <c r="P828" t="str">
        <f t="shared" si="101"/>
        <v>();</v>
      </c>
      <c r="Q828" t="str">
        <f t="shared" si="102"/>
        <v/>
      </c>
      <c r="S828" s="1" t="str">
        <f t="shared" si="98"/>
        <v/>
      </c>
      <c r="CT828" t="e">
        <v>#N/A</v>
      </c>
      <c r="CU828" t="e">
        <v>#N/A</v>
      </c>
      <c r="CV828" t="e">
        <v>#N/A</v>
      </c>
      <c r="CW828" t="e">
        <v>#N/A</v>
      </c>
      <c r="CX828" t="e">
        <v>#N/A</v>
      </c>
      <c r="CY828" t="e">
        <v>#N/A</v>
      </c>
      <c r="CZ828" t="e">
        <v>#N/A</v>
      </c>
      <c r="DA828" t="e">
        <v>#N/A</v>
      </c>
      <c r="DB828" t="e">
        <v>#N/A</v>
      </c>
      <c r="DC828" t="e">
        <v>#N/A</v>
      </c>
      <c r="DD828" t="e">
        <v>#N/A</v>
      </c>
      <c r="DE828" t="e">
        <v>#N/A</v>
      </c>
      <c r="DF828" t="e">
        <v>#N/A</v>
      </c>
      <c r="DG828" t="e">
        <v>#N/A</v>
      </c>
      <c r="DH828" t="e">
        <v>#N/A</v>
      </c>
      <c r="DI828" t="e">
        <v>#N/A</v>
      </c>
    </row>
    <row r="829" spans="13:113">
      <c r="N829" t="str">
        <f t="shared" si="99"/>
        <v/>
      </c>
      <c r="O829" s="4" t="str">
        <f t="shared" si="100"/>
        <v>click</v>
      </c>
      <c r="P829" t="str">
        <f t="shared" si="101"/>
        <v>();</v>
      </c>
      <c r="Q829" t="str">
        <f t="shared" si="102"/>
        <v/>
      </c>
      <c r="S829" s="1" t="str">
        <f t="shared" si="98"/>
        <v/>
      </c>
      <c r="CT829" t="e">
        <v>#N/A</v>
      </c>
      <c r="CU829" t="e">
        <v>#N/A</v>
      </c>
      <c r="CV829" t="e">
        <v>#N/A</v>
      </c>
      <c r="CW829" t="e">
        <v>#N/A</v>
      </c>
      <c r="CX829" t="e">
        <v>#N/A</v>
      </c>
      <c r="CY829" t="e">
        <v>#N/A</v>
      </c>
      <c r="CZ829" t="e">
        <v>#N/A</v>
      </c>
      <c r="DA829" t="e">
        <v>#N/A</v>
      </c>
      <c r="DB829" t="e">
        <v>#N/A</v>
      </c>
      <c r="DC829" t="e">
        <v>#N/A</v>
      </c>
      <c r="DD829" t="e">
        <v>#N/A</v>
      </c>
      <c r="DE829" t="e">
        <v>#N/A</v>
      </c>
      <c r="DF829" t="e">
        <v>#N/A</v>
      </c>
      <c r="DG829" t="e">
        <v>#N/A</v>
      </c>
      <c r="DH829" t="e">
        <v>#N/A</v>
      </c>
      <c r="DI829" t="e">
        <v>#N/A</v>
      </c>
    </row>
    <row r="830" spans="13:113">
      <c r="N830" t="str">
        <f t="shared" si="99"/>
        <v/>
      </c>
      <c r="O830" s="4" t="str">
        <f t="shared" si="100"/>
        <v>click</v>
      </c>
      <c r="P830" t="str">
        <f t="shared" si="101"/>
        <v>();</v>
      </c>
      <c r="Q830" t="str">
        <f t="shared" si="102"/>
        <v/>
      </c>
      <c r="S830" s="1" t="str">
        <f t="shared" si="98"/>
        <v/>
      </c>
      <c r="CT830" t="e">
        <v>#N/A</v>
      </c>
      <c r="CU830" t="e">
        <v>#N/A</v>
      </c>
      <c r="CV830" t="e">
        <v>#N/A</v>
      </c>
      <c r="CW830" t="e">
        <v>#N/A</v>
      </c>
      <c r="CX830" t="e">
        <v>#N/A</v>
      </c>
      <c r="CY830" t="e">
        <v>#N/A</v>
      </c>
      <c r="CZ830" t="e">
        <v>#N/A</v>
      </c>
      <c r="DA830" t="e">
        <v>#N/A</v>
      </c>
      <c r="DB830" t="e">
        <v>#N/A</v>
      </c>
      <c r="DC830" t="e">
        <v>#N/A</v>
      </c>
      <c r="DD830" t="e">
        <v>#N/A</v>
      </c>
      <c r="DE830" t="e">
        <v>#N/A</v>
      </c>
      <c r="DF830" t="e">
        <v>#N/A</v>
      </c>
      <c r="DG830" t="e">
        <v>#N/A</v>
      </c>
      <c r="DH830" t="e">
        <v>#N/A</v>
      </c>
      <c r="DI830" t="e">
        <v>#N/A</v>
      </c>
    </row>
    <row r="831" spans="13:113">
      <c r="N831" t="str">
        <f t="shared" si="99"/>
        <v/>
      </c>
      <c r="O831" s="4" t="str">
        <f t="shared" si="100"/>
        <v>click</v>
      </c>
      <c r="P831" t="str">
        <f t="shared" si="101"/>
        <v>();</v>
      </c>
      <c r="Q831" t="str">
        <f t="shared" si="102"/>
        <v/>
      </c>
      <c r="S831" s="1" t="str">
        <f t="shared" si="98"/>
        <v/>
      </c>
      <c r="CT831" t="e">
        <v>#N/A</v>
      </c>
      <c r="CU831" t="e">
        <v>#N/A</v>
      </c>
      <c r="CV831" t="e">
        <v>#N/A</v>
      </c>
      <c r="CW831" t="e">
        <v>#N/A</v>
      </c>
      <c r="CX831" t="e">
        <v>#N/A</v>
      </c>
      <c r="CY831" t="e">
        <v>#N/A</v>
      </c>
      <c r="CZ831" t="e">
        <v>#N/A</v>
      </c>
      <c r="DA831" t="e">
        <v>#N/A</v>
      </c>
      <c r="DB831" t="e">
        <v>#N/A</v>
      </c>
      <c r="DC831" t="e">
        <v>#N/A</v>
      </c>
      <c r="DD831" t="e">
        <v>#N/A</v>
      </c>
      <c r="DE831" t="e">
        <v>#N/A</v>
      </c>
      <c r="DF831" t="e">
        <v>#N/A</v>
      </c>
      <c r="DG831" t="e">
        <v>#N/A</v>
      </c>
      <c r="DH831" t="e">
        <v>#N/A</v>
      </c>
      <c r="DI831" t="e">
        <v>#N/A</v>
      </c>
    </row>
    <row r="832" spans="13:113">
      <c r="N832" t="str">
        <f t="shared" si="99"/>
        <v/>
      </c>
      <c r="O832" s="4" t="str">
        <f t="shared" si="100"/>
        <v>click</v>
      </c>
      <c r="P832" t="str">
        <f t="shared" si="101"/>
        <v>();</v>
      </c>
      <c r="Q832" t="str">
        <f t="shared" si="102"/>
        <v/>
      </c>
      <c r="S832" s="1" t="str">
        <f t="shared" si="98"/>
        <v/>
      </c>
      <c r="CT832" t="e">
        <v>#N/A</v>
      </c>
      <c r="CU832" t="e">
        <v>#N/A</v>
      </c>
      <c r="CV832" t="e">
        <v>#N/A</v>
      </c>
      <c r="CW832" t="e">
        <v>#N/A</v>
      </c>
      <c r="CX832" t="e">
        <v>#N/A</v>
      </c>
      <c r="CY832" t="e">
        <v>#N/A</v>
      </c>
      <c r="CZ832" t="e">
        <v>#N/A</v>
      </c>
      <c r="DA832" t="e">
        <v>#N/A</v>
      </c>
      <c r="DB832" t="e">
        <v>#N/A</v>
      </c>
      <c r="DC832" t="e">
        <v>#N/A</v>
      </c>
      <c r="DD832" t="e">
        <v>#N/A</v>
      </c>
      <c r="DE832" t="e">
        <v>#N/A</v>
      </c>
      <c r="DF832" t="e">
        <v>#N/A</v>
      </c>
      <c r="DG832" t="e">
        <v>#N/A</v>
      </c>
      <c r="DH832" t="e">
        <v>#N/A</v>
      </c>
      <c r="DI832" t="e">
        <v>#N/A</v>
      </c>
    </row>
    <row r="833" spans="14:113">
      <c r="N833" t="str">
        <f t="shared" si="99"/>
        <v/>
      </c>
      <c r="O833" s="4" t="str">
        <f t="shared" si="100"/>
        <v>click</v>
      </c>
      <c r="P833" t="str">
        <f t="shared" si="101"/>
        <v>();</v>
      </c>
      <c r="Q833" t="str">
        <f t="shared" si="102"/>
        <v/>
      </c>
      <c r="S833" s="1" t="str">
        <f t="shared" si="98"/>
        <v/>
      </c>
      <c r="CT833" t="e">
        <v>#N/A</v>
      </c>
      <c r="CU833" t="e">
        <v>#N/A</v>
      </c>
      <c r="CV833" t="e">
        <v>#N/A</v>
      </c>
      <c r="CW833" t="e">
        <v>#N/A</v>
      </c>
      <c r="CX833" t="e">
        <v>#N/A</v>
      </c>
      <c r="CY833" t="e">
        <v>#N/A</v>
      </c>
      <c r="CZ833" t="e">
        <v>#N/A</v>
      </c>
      <c r="DA833" t="e">
        <v>#N/A</v>
      </c>
      <c r="DB833" t="e">
        <v>#N/A</v>
      </c>
      <c r="DC833" t="e">
        <v>#N/A</v>
      </c>
      <c r="DD833" t="e">
        <v>#N/A</v>
      </c>
      <c r="DE833" t="e">
        <v>#N/A</v>
      </c>
      <c r="DF833" t="e">
        <v>#N/A</v>
      </c>
      <c r="DG833" t="e">
        <v>#N/A</v>
      </c>
      <c r="DH833" t="e">
        <v>#N/A</v>
      </c>
      <c r="DI833" t="e">
        <v>#N/A</v>
      </c>
    </row>
    <row r="834" spans="14:113">
      <c r="N834" t="str">
        <f t="shared" si="99"/>
        <v/>
      </c>
      <c r="O834" s="4" t="str">
        <f t="shared" si="100"/>
        <v>click</v>
      </c>
      <c r="P834" t="str">
        <f t="shared" si="101"/>
        <v>();</v>
      </c>
      <c r="Q834" t="str">
        <f t="shared" si="102"/>
        <v/>
      </c>
      <c r="S834" s="1" t="str">
        <f t="shared" si="98"/>
        <v/>
      </c>
      <c r="CT834" t="e">
        <v>#N/A</v>
      </c>
      <c r="CU834" t="e">
        <v>#N/A</v>
      </c>
      <c r="CV834" t="e">
        <v>#N/A</v>
      </c>
      <c r="CW834" t="e">
        <v>#N/A</v>
      </c>
      <c r="CX834" t="e">
        <v>#N/A</v>
      </c>
      <c r="CY834" t="e">
        <v>#N/A</v>
      </c>
      <c r="CZ834" t="e">
        <v>#N/A</v>
      </c>
      <c r="DA834" t="e">
        <v>#N/A</v>
      </c>
      <c r="DB834" t="e">
        <v>#N/A</v>
      </c>
      <c r="DC834" t="e">
        <v>#N/A</v>
      </c>
      <c r="DD834" t="e">
        <v>#N/A</v>
      </c>
      <c r="DE834" t="e">
        <v>#N/A</v>
      </c>
      <c r="DF834" t="e">
        <v>#N/A</v>
      </c>
      <c r="DG834" t="e">
        <v>#N/A</v>
      </c>
      <c r="DH834" t="e">
        <v>#N/A</v>
      </c>
      <c r="DI834" t="e">
        <v>#N/A</v>
      </c>
    </row>
    <row r="835" spans="14:113">
      <c r="N835" t="str">
        <f t="shared" si="99"/>
        <v/>
      </c>
      <c r="O835" s="4" t="str">
        <f t="shared" si="100"/>
        <v>click</v>
      </c>
      <c r="P835" t="str">
        <f t="shared" si="101"/>
        <v>();</v>
      </c>
      <c r="Q835" t="str">
        <f t="shared" si="102"/>
        <v/>
      </c>
      <c r="S835" s="1" t="str">
        <f t="shared" si="98"/>
        <v/>
      </c>
      <c r="CT835" t="e">
        <v>#N/A</v>
      </c>
      <c r="CU835" t="e">
        <v>#N/A</v>
      </c>
      <c r="CV835" t="e">
        <v>#N/A</v>
      </c>
      <c r="CW835" t="e">
        <v>#N/A</v>
      </c>
      <c r="CX835" t="e">
        <v>#N/A</v>
      </c>
      <c r="CY835" t="e">
        <v>#N/A</v>
      </c>
      <c r="CZ835" t="e">
        <v>#N/A</v>
      </c>
      <c r="DA835" t="e">
        <v>#N/A</v>
      </c>
      <c r="DB835" t="e">
        <v>#N/A</v>
      </c>
      <c r="DC835" t="e">
        <v>#N/A</v>
      </c>
      <c r="DD835" t="e">
        <v>#N/A</v>
      </c>
      <c r="DE835" t="e">
        <v>#N/A</v>
      </c>
      <c r="DF835" t="e">
        <v>#N/A</v>
      </c>
      <c r="DG835" t="e">
        <v>#N/A</v>
      </c>
      <c r="DH835" t="e">
        <v>#N/A</v>
      </c>
      <c r="DI835" t="e">
        <v>#N/A</v>
      </c>
    </row>
    <row r="836" spans="14:113">
      <c r="N836" t="str">
        <f t="shared" si="99"/>
        <v/>
      </c>
      <c r="O836" s="4" t="str">
        <f t="shared" si="100"/>
        <v>click</v>
      </c>
      <c r="P836" t="str">
        <f t="shared" si="101"/>
        <v>();</v>
      </c>
      <c r="Q836" t="str">
        <f t="shared" si="102"/>
        <v/>
      </c>
      <c r="S836" s="1" t="str">
        <f t="shared" si="98"/>
        <v/>
      </c>
      <c r="CT836" t="e">
        <v>#N/A</v>
      </c>
      <c r="CU836" t="e">
        <v>#N/A</v>
      </c>
      <c r="CV836" t="e">
        <v>#N/A</v>
      </c>
      <c r="CW836" t="e">
        <v>#N/A</v>
      </c>
      <c r="CX836" t="e">
        <v>#N/A</v>
      </c>
      <c r="CY836" t="e">
        <v>#N/A</v>
      </c>
      <c r="CZ836" t="e">
        <v>#N/A</v>
      </c>
      <c r="DA836" t="e">
        <v>#N/A</v>
      </c>
      <c r="DB836" t="e">
        <v>#N/A</v>
      </c>
      <c r="DC836" t="e">
        <v>#N/A</v>
      </c>
      <c r="DD836" t="e">
        <v>#N/A</v>
      </c>
      <c r="DE836" t="e">
        <v>#N/A</v>
      </c>
      <c r="DF836" t="e">
        <v>#N/A</v>
      </c>
      <c r="DG836" t="e">
        <v>#N/A</v>
      </c>
      <c r="DH836" t="e">
        <v>#N/A</v>
      </c>
      <c r="DI836" t="e">
        <v>#N/A</v>
      </c>
    </row>
    <row r="837" spans="14:113">
      <c r="N837" t="str">
        <f t="shared" si="99"/>
        <v/>
      </c>
      <c r="O837" s="4" t="str">
        <f t="shared" si="100"/>
        <v>click</v>
      </c>
      <c r="P837" t="str">
        <f t="shared" si="101"/>
        <v>();</v>
      </c>
      <c r="Q837" t="str">
        <f t="shared" si="102"/>
        <v/>
      </c>
      <c r="S837" s="1" t="str">
        <f t="shared" si="98"/>
        <v/>
      </c>
      <c r="CT837" t="e">
        <v>#N/A</v>
      </c>
      <c r="CU837" t="e">
        <v>#N/A</v>
      </c>
      <c r="CV837" t="e">
        <v>#N/A</v>
      </c>
      <c r="CW837" t="e">
        <v>#N/A</v>
      </c>
      <c r="CX837" t="e">
        <v>#N/A</v>
      </c>
      <c r="CY837" t="e">
        <v>#N/A</v>
      </c>
      <c r="CZ837" t="e">
        <v>#N/A</v>
      </c>
      <c r="DA837" t="e">
        <v>#N/A</v>
      </c>
      <c r="DB837" t="e">
        <v>#N/A</v>
      </c>
      <c r="DC837" t="e">
        <v>#N/A</v>
      </c>
      <c r="DD837" t="e">
        <v>#N/A</v>
      </c>
      <c r="DE837" t="e">
        <v>#N/A</v>
      </c>
      <c r="DF837" t="e">
        <v>#N/A</v>
      </c>
      <c r="DG837" t="e">
        <v>#N/A</v>
      </c>
      <c r="DH837" t="e">
        <v>#N/A</v>
      </c>
      <c r="DI837" t="e">
        <v>#N/A</v>
      </c>
    </row>
    <row r="838" spans="14:113">
      <c r="N838" t="str">
        <f t="shared" si="99"/>
        <v/>
      </c>
      <c r="O838" s="4" t="str">
        <f t="shared" si="100"/>
        <v>click</v>
      </c>
      <c r="P838" t="str">
        <f t="shared" si="101"/>
        <v>();</v>
      </c>
      <c r="Q838" t="str">
        <f t="shared" si="102"/>
        <v/>
      </c>
      <c r="S838" s="1" t="str">
        <f t="shared" si="98"/>
        <v/>
      </c>
      <c r="CT838" t="e">
        <v>#N/A</v>
      </c>
      <c r="CU838" t="e">
        <v>#N/A</v>
      </c>
      <c r="CV838" t="e">
        <v>#N/A</v>
      </c>
      <c r="CW838" t="e">
        <v>#N/A</v>
      </c>
      <c r="CX838" t="e">
        <v>#N/A</v>
      </c>
      <c r="CY838" t="e">
        <v>#N/A</v>
      </c>
      <c r="CZ838" t="e">
        <v>#N/A</v>
      </c>
      <c r="DA838" t="e">
        <v>#N/A</v>
      </c>
      <c r="DB838" t="e">
        <v>#N/A</v>
      </c>
      <c r="DC838" t="e">
        <v>#N/A</v>
      </c>
      <c r="DD838" t="e">
        <v>#N/A</v>
      </c>
      <c r="DE838" t="e">
        <v>#N/A</v>
      </c>
      <c r="DF838" t="e">
        <v>#N/A</v>
      </c>
      <c r="DG838" t="e">
        <v>#N/A</v>
      </c>
      <c r="DH838" t="e">
        <v>#N/A</v>
      </c>
      <c r="DI838" t="e">
        <v>#N/A</v>
      </c>
    </row>
    <row r="839" spans="14:113">
      <c r="N839" t="str">
        <f t="shared" si="99"/>
        <v/>
      </c>
      <c r="O839" s="4" t="str">
        <f t="shared" si="100"/>
        <v>click</v>
      </c>
      <c r="P839" t="str">
        <f t="shared" si="101"/>
        <v>();</v>
      </c>
      <c r="Q839" t="str">
        <f t="shared" si="102"/>
        <v/>
      </c>
      <c r="S839" s="1" t="str">
        <f t="shared" si="98"/>
        <v/>
      </c>
      <c r="CT839" t="e">
        <v>#N/A</v>
      </c>
      <c r="CU839" t="e">
        <v>#N/A</v>
      </c>
      <c r="CV839" t="e">
        <v>#N/A</v>
      </c>
      <c r="CW839" t="e">
        <v>#N/A</v>
      </c>
      <c r="CX839" t="e">
        <v>#N/A</v>
      </c>
      <c r="CY839" t="e">
        <v>#N/A</v>
      </c>
      <c r="CZ839" t="e">
        <v>#N/A</v>
      </c>
      <c r="DA839" t="e">
        <v>#N/A</v>
      </c>
      <c r="DB839" t="e">
        <v>#N/A</v>
      </c>
      <c r="DC839" t="e">
        <v>#N/A</v>
      </c>
      <c r="DD839" t="e">
        <v>#N/A</v>
      </c>
      <c r="DE839" t="e">
        <v>#N/A</v>
      </c>
      <c r="DF839" t="e">
        <v>#N/A</v>
      </c>
      <c r="DG839" t="e">
        <v>#N/A</v>
      </c>
      <c r="DH839" t="e">
        <v>#N/A</v>
      </c>
      <c r="DI839" t="e">
        <v>#N/A</v>
      </c>
    </row>
    <row r="840" spans="14:113">
      <c r="N840" t="str">
        <f t="shared" si="99"/>
        <v/>
      </c>
      <c r="O840" s="4" t="str">
        <f t="shared" si="100"/>
        <v>click</v>
      </c>
      <c r="P840" t="str">
        <f t="shared" si="101"/>
        <v>();</v>
      </c>
      <c r="Q840" t="str">
        <f t="shared" si="102"/>
        <v/>
      </c>
      <c r="S840" s="1" t="str">
        <f t="shared" si="98"/>
        <v/>
      </c>
      <c r="CT840" t="e">
        <v>#N/A</v>
      </c>
      <c r="CU840" t="e">
        <v>#N/A</v>
      </c>
      <c r="CV840" t="e">
        <v>#N/A</v>
      </c>
      <c r="CW840" t="e">
        <v>#N/A</v>
      </c>
      <c r="CX840" t="e">
        <v>#N/A</v>
      </c>
      <c r="CY840" t="e">
        <v>#N/A</v>
      </c>
      <c r="CZ840" t="e">
        <v>#N/A</v>
      </c>
      <c r="DA840" t="e">
        <v>#N/A</v>
      </c>
      <c r="DB840" t="e">
        <v>#N/A</v>
      </c>
      <c r="DC840" t="e">
        <v>#N/A</v>
      </c>
      <c r="DD840" t="e">
        <v>#N/A</v>
      </c>
      <c r="DE840" t="e">
        <v>#N/A</v>
      </c>
      <c r="DF840" t="e">
        <v>#N/A</v>
      </c>
      <c r="DG840" t="e">
        <v>#N/A</v>
      </c>
      <c r="DH840" t="e">
        <v>#N/A</v>
      </c>
      <c r="DI840" t="e">
        <v>#N/A</v>
      </c>
    </row>
    <row r="841" spans="14:113">
      <c r="N841" t="str">
        <f t="shared" si="99"/>
        <v/>
      </c>
      <c r="O841" s="4" t="str">
        <f t="shared" si="100"/>
        <v>click</v>
      </c>
      <c r="P841" t="str">
        <f t="shared" si="101"/>
        <v>();</v>
      </c>
      <c r="Q841" t="str">
        <f t="shared" si="102"/>
        <v/>
      </c>
      <c r="S841" s="1" t="str">
        <f t="shared" si="98"/>
        <v/>
      </c>
      <c r="CT841" t="e">
        <v>#N/A</v>
      </c>
      <c r="CU841" t="e">
        <v>#N/A</v>
      </c>
      <c r="CV841" t="e">
        <v>#N/A</v>
      </c>
      <c r="CW841" t="e">
        <v>#N/A</v>
      </c>
      <c r="CX841" t="e">
        <v>#N/A</v>
      </c>
      <c r="CY841" t="e">
        <v>#N/A</v>
      </c>
      <c r="CZ841" t="e">
        <v>#N/A</v>
      </c>
      <c r="DA841" t="e">
        <v>#N/A</v>
      </c>
      <c r="DB841" t="e">
        <v>#N/A</v>
      </c>
      <c r="DC841" t="e">
        <v>#N/A</v>
      </c>
      <c r="DD841" t="e">
        <v>#N/A</v>
      </c>
      <c r="DE841" t="e">
        <v>#N/A</v>
      </c>
      <c r="DF841" t="e">
        <v>#N/A</v>
      </c>
      <c r="DG841" t="e">
        <v>#N/A</v>
      </c>
      <c r="DH841" t="e">
        <v>#N/A</v>
      </c>
      <c r="DI841" t="e">
        <v>#N/A</v>
      </c>
    </row>
    <row r="842" spans="14:113">
      <c r="N842" t="str">
        <f t="shared" si="99"/>
        <v/>
      </c>
      <c r="O842" s="4" t="str">
        <f t="shared" si="100"/>
        <v>click</v>
      </c>
      <c r="P842" t="str">
        <f t="shared" si="101"/>
        <v>();</v>
      </c>
      <c r="Q842" t="str">
        <f t="shared" si="102"/>
        <v/>
      </c>
      <c r="S842" s="1" t="str">
        <f t="shared" si="98"/>
        <v/>
      </c>
      <c r="CT842" t="e">
        <v>#N/A</v>
      </c>
      <c r="CU842" t="e">
        <v>#N/A</v>
      </c>
      <c r="CV842" t="e">
        <v>#N/A</v>
      </c>
      <c r="CW842" t="e">
        <v>#N/A</v>
      </c>
      <c r="CX842" t="e">
        <v>#N/A</v>
      </c>
      <c r="CY842" t="e">
        <v>#N/A</v>
      </c>
      <c r="CZ842" t="e">
        <v>#N/A</v>
      </c>
      <c r="DA842" t="e">
        <v>#N/A</v>
      </c>
      <c r="DB842" t="e">
        <v>#N/A</v>
      </c>
      <c r="DC842" t="e">
        <v>#N/A</v>
      </c>
      <c r="DD842" t="e">
        <v>#N/A</v>
      </c>
      <c r="DE842" t="e">
        <v>#N/A</v>
      </c>
      <c r="DF842" t="e">
        <v>#N/A</v>
      </c>
      <c r="DG842" t="e">
        <v>#N/A</v>
      </c>
      <c r="DH842" t="e">
        <v>#N/A</v>
      </c>
      <c r="DI842" t="e">
        <v>#N/A</v>
      </c>
    </row>
    <row r="843" spans="14:113">
      <c r="N843" t="str">
        <f t="shared" si="99"/>
        <v/>
      </c>
      <c r="O843" s="4" t="str">
        <f t="shared" si="100"/>
        <v>click</v>
      </c>
      <c r="P843" t="str">
        <f t="shared" si="101"/>
        <v>();</v>
      </c>
      <c r="Q843" t="str">
        <f t="shared" si="102"/>
        <v/>
      </c>
      <c r="S843" s="1" t="str">
        <f t="shared" ref="S843:S906" si="104">IF(C843="Y",IF(D843&lt;&gt;"mat-select",IF(D843="End","",IF(O843="innerText",I843&amp;"="&amp;IF(C843="Y",IF(J843&lt;&gt;"Y",$S$8&amp;$R$9&amp;"."&amp;E843&amp;")."&amp;IF(OR(O843="click",O843="innerText"),O843&amp;"();",O843&amp;"("&amp;$Q$8&amp;"."&amp;E843&amp;");"),$S$7&amp;$R$9&amp;"."&amp;SUBSTITUTE(E843," ","")&amp;")."&amp;IF(O843="click",O843&amp;"();",O843&amp;"("&amp;"'"&amp;K843&amp;"'"&amp;");")),""),IF(C843="Y",IF(J843&lt;&gt;"Y",$S$8&amp;$R$9&amp;"."&amp;SUBSTITUTE(E843," ","")&amp;")."&amp;IF(OR(O843="click",O843="innerText"),O843&amp;"();",O843&amp;"("&amp;$Q$8&amp;"."&amp;SUBSTITUTE(E843," ","")&amp;");"),$S$7&amp;$R$9&amp;"."&amp;SUBSTITUTE(E843," ","")&amp;")."&amp;IF(O843="click",O843&amp;"();",O843&amp;"("&amp;"'"&amp;K843&amp;"'"&amp;");")),""))),"let form"&amp;Z843&amp;": String;"&amp;"for (let i = 1; i &lt; 30; i++) {"&amp;$S$8&amp;$R$9&amp;"."&amp;SUBSTITUTE(E843," ","")&amp;").click();"&amp;$CE$4&amp; "form"&amp;Z843&amp;"="&amp; $S$8&amp;$R$9&amp;"."&amp;SUBSTITUTE(E843," ","")&amp;").innerText();" &amp;"if ("&amp;"form"&amp;Z843&amp;"=="&amp; "Data[index]."&amp;SUBSTITUTE(E843," ","") &amp;"){"&amp;$CE$7),"")</f>
        <v/>
      </c>
      <c r="CT843" t="e">
        <v>#N/A</v>
      </c>
      <c r="CU843" t="e">
        <v>#N/A</v>
      </c>
      <c r="CV843" t="e">
        <v>#N/A</v>
      </c>
      <c r="CW843" t="e">
        <v>#N/A</v>
      </c>
      <c r="CX843" t="e">
        <v>#N/A</v>
      </c>
      <c r="CY843" t="e">
        <v>#N/A</v>
      </c>
      <c r="CZ843" t="e">
        <v>#N/A</v>
      </c>
      <c r="DA843" t="e">
        <v>#N/A</v>
      </c>
      <c r="DB843" t="e">
        <v>#N/A</v>
      </c>
      <c r="DC843" t="e">
        <v>#N/A</v>
      </c>
      <c r="DD843" t="e">
        <v>#N/A</v>
      </c>
      <c r="DE843" t="e">
        <v>#N/A</v>
      </c>
      <c r="DF843" t="e">
        <v>#N/A</v>
      </c>
      <c r="DG843" t="e">
        <v>#N/A</v>
      </c>
      <c r="DH843" t="e">
        <v>#N/A</v>
      </c>
      <c r="DI843" t="e">
        <v>#N/A</v>
      </c>
    </row>
    <row r="844" spans="14:113">
      <c r="N844" t="str">
        <f t="shared" si="99"/>
        <v/>
      </c>
      <c r="O844" s="4" t="str">
        <f t="shared" si="100"/>
        <v>click</v>
      </c>
      <c r="P844" t="str">
        <f t="shared" si="101"/>
        <v>();</v>
      </c>
      <c r="Q844" t="str">
        <f t="shared" si="102"/>
        <v/>
      </c>
      <c r="S844" s="1" t="str">
        <f t="shared" si="104"/>
        <v/>
      </c>
      <c r="CT844" t="e">
        <v>#N/A</v>
      </c>
      <c r="CU844" t="e">
        <v>#N/A</v>
      </c>
      <c r="CV844" t="e">
        <v>#N/A</v>
      </c>
      <c r="CW844" t="e">
        <v>#N/A</v>
      </c>
      <c r="CX844" t="e">
        <v>#N/A</v>
      </c>
      <c r="CY844" t="e">
        <v>#N/A</v>
      </c>
      <c r="CZ844" t="e">
        <v>#N/A</v>
      </c>
      <c r="DA844" t="e">
        <v>#N/A</v>
      </c>
      <c r="DB844" t="e">
        <v>#N/A</v>
      </c>
      <c r="DC844" t="e">
        <v>#N/A</v>
      </c>
      <c r="DD844" t="e">
        <v>#N/A</v>
      </c>
      <c r="DE844" t="e">
        <v>#N/A</v>
      </c>
      <c r="DF844" t="e">
        <v>#N/A</v>
      </c>
      <c r="DG844" t="e">
        <v>#N/A</v>
      </c>
      <c r="DH844" t="e">
        <v>#N/A</v>
      </c>
      <c r="DI844" t="e">
        <v>#N/A</v>
      </c>
    </row>
    <row r="845" spans="14:113">
      <c r="N845" t="str">
        <f t="shared" si="99"/>
        <v/>
      </c>
      <c r="O845" s="4" t="str">
        <f t="shared" si="100"/>
        <v>click</v>
      </c>
      <c r="P845" t="str">
        <f t="shared" si="101"/>
        <v>();</v>
      </c>
      <c r="Q845" t="str">
        <f t="shared" si="102"/>
        <v/>
      </c>
      <c r="S845" s="1" t="str">
        <f t="shared" si="104"/>
        <v/>
      </c>
      <c r="CT845" t="e">
        <v>#N/A</v>
      </c>
      <c r="CU845" t="e">
        <v>#N/A</v>
      </c>
      <c r="CV845" t="e">
        <v>#N/A</v>
      </c>
      <c r="CW845" t="e">
        <v>#N/A</v>
      </c>
      <c r="CX845" t="e">
        <v>#N/A</v>
      </c>
      <c r="CY845" t="e">
        <v>#N/A</v>
      </c>
      <c r="CZ845" t="e">
        <v>#N/A</v>
      </c>
      <c r="DA845" t="e">
        <v>#N/A</v>
      </c>
      <c r="DB845" t="e">
        <v>#N/A</v>
      </c>
      <c r="DC845" t="e">
        <v>#N/A</v>
      </c>
      <c r="DD845" t="e">
        <v>#N/A</v>
      </c>
      <c r="DE845" t="e">
        <v>#N/A</v>
      </c>
      <c r="DF845" t="e">
        <v>#N/A</v>
      </c>
      <c r="DG845" t="e">
        <v>#N/A</v>
      </c>
      <c r="DH845" t="e">
        <v>#N/A</v>
      </c>
      <c r="DI845" t="e">
        <v>#N/A</v>
      </c>
    </row>
    <row r="846" spans="14:113">
      <c r="N846" t="str">
        <f t="shared" si="99"/>
        <v/>
      </c>
      <c r="O846" s="4" t="str">
        <f t="shared" si="100"/>
        <v>click</v>
      </c>
      <c r="P846" t="str">
        <f t="shared" si="101"/>
        <v>();</v>
      </c>
      <c r="Q846" t="str">
        <f t="shared" si="102"/>
        <v/>
      </c>
      <c r="S846" s="1" t="str">
        <f t="shared" si="104"/>
        <v/>
      </c>
      <c r="CT846" t="e">
        <v>#N/A</v>
      </c>
      <c r="CU846" t="e">
        <v>#N/A</v>
      </c>
      <c r="CV846" t="e">
        <v>#N/A</v>
      </c>
      <c r="CW846" t="e">
        <v>#N/A</v>
      </c>
      <c r="CX846" t="e">
        <v>#N/A</v>
      </c>
      <c r="CY846" t="e">
        <v>#N/A</v>
      </c>
      <c r="CZ846" t="e">
        <v>#N/A</v>
      </c>
      <c r="DA846" t="e">
        <v>#N/A</v>
      </c>
      <c r="DB846" t="e">
        <v>#N/A</v>
      </c>
      <c r="DC846" t="e">
        <v>#N/A</v>
      </c>
      <c r="DD846" t="e">
        <v>#N/A</v>
      </c>
      <c r="DE846" t="e">
        <v>#N/A</v>
      </c>
      <c r="DF846" t="e">
        <v>#N/A</v>
      </c>
      <c r="DG846" t="e">
        <v>#N/A</v>
      </c>
      <c r="DH846" t="e">
        <v>#N/A</v>
      </c>
      <c r="DI846" t="e">
        <v>#N/A</v>
      </c>
    </row>
    <row r="847" spans="14:113">
      <c r="N847" t="str">
        <f t="shared" si="99"/>
        <v/>
      </c>
      <c r="O847" s="4" t="str">
        <f t="shared" si="100"/>
        <v>click</v>
      </c>
      <c r="P847" t="str">
        <f t="shared" si="101"/>
        <v>();</v>
      </c>
      <c r="Q847" t="str">
        <f t="shared" si="102"/>
        <v/>
      </c>
      <c r="S847" s="1" t="str">
        <f t="shared" si="104"/>
        <v/>
      </c>
      <c r="CT847" t="e">
        <v>#N/A</v>
      </c>
      <c r="CU847" t="e">
        <v>#N/A</v>
      </c>
      <c r="CV847" t="e">
        <v>#N/A</v>
      </c>
      <c r="CW847" t="e">
        <v>#N/A</v>
      </c>
      <c r="CX847" t="e">
        <v>#N/A</v>
      </c>
      <c r="CY847" t="e">
        <v>#N/A</v>
      </c>
      <c r="CZ847" t="e">
        <v>#N/A</v>
      </c>
      <c r="DA847" t="e">
        <v>#N/A</v>
      </c>
      <c r="DB847" t="e">
        <v>#N/A</v>
      </c>
      <c r="DC847" t="e">
        <v>#N/A</v>
      </c>
      <c r="DD847" t="e">
        <v>#N/A</v>
      </c>
      <c r="DE847" t="e">
        <v>#N/A</v>
      </c>
      <c r="DF847" t="e">
        <v>#N/A</v>
      </c>
      <c r="DG847" t="e">
        <v>#N/A</v>
      </c>
      <c r="DH847" t="e">
        <v>#N/A</v>
      </c>
      <c r="DI847" t="e">
        <v>#N/A</v>
      </c>
    </row>
    <row r="848" spans="14:113">
      <c r="N848" t="str">
        <f t="shared" si="99"/>
        <v/>
      </c>
      <c r="O848" s="4" t="str">
        <f t="shared" si="100"/>
        <v>click</v>
      </c>
      <c r="P848" t="str">
        <f t="shared" si="101"/>
        <v>();</v>
      </c>
      <c r="Q848" t="str">
        <f t="shared" si="102"/>
        <v/>
      </c>
      <c r="S848" s="1" t="str">
        <f t="shared" si="104"/>
        <v/>
      </c>
      <c r="CT848" t="e">
        <v>#N/A</v>
      </c>
      <c r="CU848" t="e">
        <v>#N/A</v>
      </c>
      <c r="CV848" t="e">
        <v>#N/A</v>
      </c>
      <c r="CW848" t="e">
        <v>#N/A</v>
      </c>
      <c r="CX848" t="e">
        <v>#N/A</v>
      </c>
      <c r="CY848" t="e">
        <v>#N/A</v>
      </c>
      <c r="CZ848" t="e">
        <v>#N/A</v>
      </c>
      <c r="DA848" t="e">
        <v>#N/A</v>
      </c>
      <c r="DB848" t="e">
        <v>#N/A</v>
      </c>
      <c r="DC848" t="e">
        <v>#N/A</v>
      </c>
      <c r="DD848" t="e">
        <v>#N/A</v>
      </c>
      <c r="DE848" t="e">
        <v>#N/A</v>
      </c>
      <c r="DF848" t="e">
        <v>#N/A</v>
      </c>
      <c r="DG848" t="e">
        <v>#N/A</v>
      </c>
      <c r="DH848" t="e">
        <v>#N/A</v>
      </c>
      <c r="DI848" t="e">
        <v>#N/A</v>
      </c>
    </row>
    <row r="849" spans="14:113">
      <c r="N849" t="str">
        <f t="shared" si="99"/>
        <v/>
      </c>
      <c r="O849" s="4" t="str">
        <f t="shared" si="100"/>
        <v>click</v>
      </c>
      <c r="P849" t="str">
        <f t="shared" si="101"/>
        <v>();</v>
      </c>
      <c r="Q849" t="str">
        <f t="shared" si="102"/>
        <v/>
      </c>
      <c r="S849" s="1" t="str">
        <f t="shared" si="104"/>
        <v/>
      </c>
      <c r="CT849" t="e">
        <v>#N/A</v>
      </c>
      <c r="CU849" t="e">
        <v>#N/A</v>
      </c>
      <c r="CV849" t="e">
        <v>#N/A</v>
      </c>
      <c r="CW849" t="e">
        <v>#N/A</v>
      </c>
      <c r="CX849" t="e">
        <v>#N/A</v>
      </c>
      <c r="CY849" t="e">
        <v>#N/A</v>
      </c>
      <c r="CZ849" t="e">
        <v>#N/A</v>
      </c>
      <c r="DA849" t="e">
        <v>#N/A</v>
      </c>
      <c r="DB849" t="e">
        <v>#N/A</v>
      </c>
      <c r="DC849" t="e">
        <v>#N/A</v>
      </c>
      <c r="DD849" t="e">
        <v>#N/A</v>
      </c>
      <c r="DE849" t="e">
        <v>#N/A</v>
      </c>
      <c r="DF849" t="e">
        <v>#N/A</v>
      </c>
      <c r="DG849" t="e">
        <v>#N/A</v>
      </c>
      <c r="DH849" t="e">
        <v>#N/A</v>
      </c>
      <c r="DI849" t="e">
        <v>#N/A</v>
      </c>
    </row>
    <row r="850" spans="14:113">
      <c r="N850" t="str">
        <f t="shared" si="99"/>
        <v/>
      </c>
      <c r="O850" s="4" t="str">
        <f t="shared" si="100"/>
        <v>click</v>
      </c>
      <c r="P850" t="str">
        <f t="shared" si="101"/>
        <v>();</v>
      </c>
      <c r="Q850" t="str">
        <f t="shared" si="102"/>
        <v/>
      </c>
      <c r="S850" s="1" t="str">
        <f t="shared" si="104"/>
        <v/>
      </c>
      <c r="CT850" t="e">
        <v>#N/A</v>
      </c>
      <c r="CU850" t="e">
        <v>#N/A</v>
      </c>
      <c r="CV850" t="e">
        <v>#N/A</v>
      </c>
      <c r="CW850" t="e">
        <v>#N/A</v>
      </c>
      <c r="CX850" t="e">
        <v>#N/A</v>
      </c>
      <c r="CY850" t="e">
        <v>#N/A</v>
      </c>
      <c r="CZ850" t="e">
        <v>#N/A</v>
      </c>
      <c r="DA850" t="e">
        <v>#N/A</v>
      </c>
      <c r="DB850" t="e">
        <v>#N/A</v>
      </c>
      <c r="DC850" t="e">
        <v>#N/A</v>
      </c>
      <c r="DD850" t="e">
        <v>#N/A</v>
      </c>
      <c r="DE850" t="e">
        <v>#N/A</v>
      </c>
      <c r="DF850" t="e">
        <v>#N/A</v>
      </c>
      <c r="DG850" t="e">
        <v>#N/A</v>
      </c>
      <c r="DH850" t="e">
        <v>#N/A</v>
      </c>
      <c r="DI850" t="e">
        <v>#N/A</v>
      </c>
    </row>
    <row r="851" spans="14:113">
      <c r="N851" t="str">
        <f t="shared" si="99"/>
        <v/>
      </c>
      <c r="O851" s="4" t="str">
        <f t="shared" si="100"/>
        <v>click</v>
      </c>
      <c r="P851" t="str">
        <f t="shared" si="101"/>
        <v>();</v>
      </c>
      <c r="S851" s="1" t="str">
        <f t="shared" si="104"/>
        <v/>
      </c>
      <c r="CT851" t="e">
        <v>#N/A</v>
      </c>
      <c r="CU851" t="e">
        <v>#N/A</v>
      </c>
      <c r="CV851" t="e">
        <v>#N/A</v>
      </c>
      <c r="CW851" t="e">
        <v>#N/A</v>
      </c>
      <c r="CX851" t="e">
        <v>#N/A</v>
      </c>
      <c r="CY851" t="e">
        <v>#N/A</v>
      </c>
      <c r="CZ851" t="e">
        <v>#N/A</v>
      </c>
      <c r="DA851" t="e">
        <v>#N/A</v>
      </c>
      <c r="DB851" t="e">
        <v>#N/A</v>
      </c>
      <c r="DC851" t="e">
        <v>#N/A</v>
      </c>
      <c r="DD851" t="e">
        <v>#N/A</v>
      </c>
      <c r="DE851" t="e">
        <v>#N/A</v>
      </c>
      <c r="DF851" t="e">
        <v>#N/A</v>
      </c>
      <c r="DG851" t="e">
        <v>#N/A</v>
      </c>
      <c r="DH851" t="e">
        <v>#N/A</v>
      </c>
      <c r="DI851" t="e">
        <v>#N/A</v>
      </c>
    </row>
    <row r="852" spans="14:113">
      <c r="N852" t="str">
        <f t="shared" si="99"/>
        <v/>
      </c>
      <c r="O852" s="4" t="str">
        <f t="shared" si="100"/>
        <v>click</v>
      </c>
      <c r="P852" t="str">
        <f t="shared" si="101"/>
        <v>();</v>
      </c>
      <c r="S852" s="1" t="str">
        <f t="shared" si="104"/>
        <v/>
      </c>
      <c r="CT852" t="e">
        <v>#N/A</v>
      </c>
      <c r="CU852" t="e">
        <v>#N/A</v>
      </c>
      <c r="CV852" t="e">
        <v>#N/A</v>
      </c>
      <c r="CW852" t="e">
        <v>#N/A</v>
      </c>
      <c r="CX852" t="e">
        <v>#N/A</v>
      </c>
      <c r="CY852" t="e">
        <v>#N/A</v>
      </c>
      <c r="CZ852" t="e">
        <v>#N/A</v>
      </c>
      <c r="DA852" t="e">
        <v>#N/A</v>
      </c>
      <c r="DB852" t="e">
        <v>#N/A</v>
      </c>
      <c r="DC852" t="e">
        <v>#N/A</v>
      </c>
      <c r="DD852" t="e">
        <v>#N/A</v>
      </c>
      <c r="DE852" t="e">
        <v>#N/A</v>
      </c>
      <c r="DF852" t="e">
        <v>#N/A</v>
      </c>
      <c r="DG852" t="e">
        <v>#N/A</v>
      </c>
      <c r="DH852" t="e">
        <v>#N/A</v>
      </c>
      <c r="DI852" t="e">
        <v>#N/A</v>
      </c>
    </row>
    <row r="853" spans="14:113">
      <c r="N853" t="str">
        <f t="shared" ref="N853:N916" si="105">IF(A853="Y",""""&amp;C853&amp;""""&amp;": "&amp;M853&amp;",","")</f>
        <v/>
      </c>
      <c r="O853" s="4" t="str">
        <f t="shared" ref="O853:O916" si="106">IF(D853="input","fill",IF(I853&lt;&gt;"","innerText",IF(J853="Y",$T$7,"click")))</f>
        <v>click</v>
      </c>
      <c r="P853" t="str">
        <f t="shared" ref="P853:P916" si="107">IF(OR(O853="Click",O853="innerText"),"();","("&amp;""""&amp;K853&amp;""""&amp;");")</f>
        <v>();</v>
      </c>
      <c r="S853" s="1" t="str">
        <f t="shared" si="104"/>
        <v/>
      </c>
      <c r="CT853" t="e">
        <v>#N/A</v>
      </c>
      <c r="CU853" t="e">
        <v>#N/A</v>
      </c>
      <c r="CV853" t="e">
        <v>#N/A</v>
      </c>
      <c r="CW853" t="e">
        <v>#N/A</v>
      </c>
      <c r="CX853" t="e">
        <v>#N/A</v>
      </c>
      <c r="CY853" t="e">
        <v>#N/A</v>
      </c>
      <c r="CZ853" t="e">
        <v>#N/A</v>
      </c>
      <c r="DA853" t="e">
        <v>#N/A</v>
      </c>
      <c r="DB853" t="e">
        <v>#N/A</v>
      </c>
      <c r="DC853" t="e">
        <v>#N/A</v>
      </c>
      <c r="DD853" t="e">
        <v>#N/A</v>
      </c>
      <c r="DE853" t="e">
        <v>#N/A</v>
      </c>
      <c r="DF853" t="e">
        <v>#N/A</v>
      </c>
      <c r="DG853" t="e">
        <v>#N/A</v>
      </c>
      <c r="DH853" t="e">
        <v>#N/A</v>
      </c>
      <c r="DI853" t="e">
        <v>#N/A</v>
      </c>
    </row>
    <row r="854" spans="14:113">
      <c r="N854" t="str">
        <f t="shared" si="105"/>
        <v/>
      </c>
      <c r="O854" s="4" t="str">
        <f t="shared" si="106"/>
        <v>click</v>
      </c>
      <c r="P854" t="str">
        <f t="shared" si="107"/>
        <v>();</v>
      </c>
      <c r="S854" s="1" t="str">
        <f t="shared" si="104"/>
        <v/>
      </c>
      <c r="CT854" t="e">
        <v>#N/A</v>
      </c>
      <c r="CU854" t="e">
        <v>#N/A</v>
      </c>
      <c r="CV854" t="e">
        <v>#N/A</v>
      </c>
      <c r="CW854" t="e">
        <v>#N/A</v>
      </c>
      <c r="CX854" t="e">
        <v>#N/A</v>
      </c>
      <c r="CY854" t="e">
        <v>#N/A</v>
      </c>
      <c r="CZ854" t="e">
        <v>#N/A</v>
      </c>
      <c r="DA854" t="e">
        <v>#N/A</v>
      </c>
      <c r="DB854" t="e">
        <v>#N/A</v>
      </c>
      <c r="DC854" t="e">
        <v>#N/A</v>
      </c>
      <c r="DD854" t="e">
        <v>#N/A</v>
      </c>
      <c r="DE854" t="e">
        <v>#N/A</v>
      </c>
      <c r="DF854" t="e">
        <v>#N/A</v>
      </c>
      <c r="DG854" t="e">
        <v>#N/A</v>
      </c>
      <c r="DH854" t="e">
        <v>#N/A</v>
      </c>
      <c r="DI854" t="e">
        <v>#N/A</v>
      </c>
    </row>
    <row r="855" spans="14:113">
      <c r="N855" t="str">
        <f t="shared" si="105"/>
        <v/>
      </c>
      <c r="O855" s="4" t="str">
        <f t="shared" si="106"/>
        <v>click</v>
      </c>
      <c r="P855" t="str">
        <f t="shared" si="107"/>
        <v>();</v>
      </c>
      <c r="S855" s="1" t="str">
        <f t="shared" si="104"/>
        <v/>
      </c>
      <c r="CT855" t="e">
        <v>#N/A</v>
      </c>
      <c r="CU855" t="e">
        <v>#N/A</v>
      </c>
      <c r="CV855" t="e">
        <v>#N/A</v>
      </c>
      <c r="CW855" t="e">
        <v>#N/A</v>
      </c>
      <c r="CX855" t="e">
        <v>#N/A</v>
      </c>
      <c r="CY855" t="e">
        <v>#N/A</v>
      </c>
      <c r="CZ855" t="e">
        <v>#N/A</v>
      </c>
      <c r="DA855" t="e">
        <v>#N/A</v>
      </c>
      <c r="DB855" t="e">
        <v>#N/A</v>
      </c>
      <c r="DC855" t="e">
        <v>#N/A</v>
      </c>
      <c r="DD855" t="e">
        <v>#N/A</v>
      </c>
      <c r="DE855" t="e">
        <v>#N/A</v>
      </c>
      <c r="DF855" t="e">
        <v>#N/A</v>
      </c>
      <c r="DG855" t="e">
        <v>#N/A</v>
      </c>
      <c r="DH855" t="e">
        <v>#N/A</v>
      </c>
      <c r="DI855" t="e">
        <v>#N/A</v>
      </c>
    </row>
    <row r="856" spans="14:113">
      <c r="N856" t="str">
        <f t="shared" si="105"/>
        <v/>
      </c>
      <c r="O856" s="4" t="str">
        <f t="shared" si="106"/>
        <v>click</v>
      </c>
      <c r="P856" t="str">
        <f t="shared" si="107"/>
        <v>();</v>
      </c>
      <c r="S856" s="1" t="str">
        <f t="shared" si="104"/>
        <v/>
      </c>
      <c r="CT856" t="e">
        <v>#N/A</v>
      </c>
      <c r="CU856" t="e">
        <v>#N/A</v>
      </c>
      <c r="CV856" t="e">
        <v>#N/A</v>
      </c>
      <c r="CW856" t="e">
        <v>#N/A</v>
      </c>
      <c r="CX856" t="e">
        <v>#N/A</v>
      </c>
      <c r="CY856" t="e">
        <v>#N/A</v>
      </c>
      <c r="CZ856" t="e">
        <v>#N/A</v>
      </c>
      <c r="DA856" t="e">
        <v>#N/A</v>
      </c>
      <c r="DB856" t="e">
        <v>#N/A</v>
      </c>
      <c r="DC856" t="e">
        <v>#N/A</v>
      </c>
      <c r="DD856" t="e">
        <v>#N/A</v>
      </c>
      <c r="DE856" t="e">
        <v>#N/A</v>
      </c>
      <c r="DF856" t="e">
        <v>#N/A</v>
      </c>
      <c r="DG856" t="e">
        <v>#N/A</v>
      </c>
      <c r="DH856" t="e">
        <v>#N/A</v>
      </c>
      <c r="DI856" t="e">
        <v>#N/A</v>
      </c>
    </row>
    <row r="857" spans="14:113">
      <c r="N857" t="str">
        <f t="shared" si="105"/>
        <v/>
      </c>
      <c r="O857" s="4" t="str">
        <f t="shared" si="106"/>
        <v>click</v>
      </c>
      <c r="P857" t="str">
        <f t="shared" si="107"/>
        <v>();</v>
      </c>
      <c r="S857" s="1" t="str">
        <f t="shared" si="104"/>
        <v/>
      </c>
      <c r="CT857" t="e">
        <v>#N/A</v>
      </c>
      <c r="CU857" t="e">
        <v>#N/A</v>
      </c>
      <c r="CV857" t="e">
        <v>#N/A</v>
      </c>
      <c r="CW857" t="e">
        <v>#N/A</v>
      </c>
      <c r="CX857" t="e">
        <v>#N/A</v>
      </c>
      <c r="CY857" t="e">
        <v>#N/A</v>
      </c>
      <c r="CZ857" t="e">
        <v>#N/A</v>
      </c>
      <c r="DA857" t="e">
        <v>#N/A</v>
      </c>
      <c r="DB857" t="e">
        <v>#N/A</v>
      </c>
      <c r="DC857" t="e">
        <v>#N/A</v>
      </c>
      <c r="DD857" t="e">
        <v>#N/A</v>
      </c>
      <c r="DE857" t="e">
        <v>#N/A</v>
      </c>
      <c r="DF857" t="e">
        <v>#N/A</v>
      </c>
      <c r="DG857" t="e">
        <v>#N/A</v>
      </c>
      <c r="DH857" t="e">
        <v>#N/A</v>
      </c>
      <c r="DI857" t="e">
        <v>#N/A</v>
      </c>
    </row>
    <row r="858" spans="14:113">
      <c r="N858" t="str">
        <f t="shared" si="105"/>
        <v/>
      </c>
      <c r="O858" s="4" t="str">
        <f t="shared" si="106"/>
        <v>click</v>
      </c>
      <c r="P858" t="str">
        <f t="shared" si="107"/>
        <v>();</v>
      </c>
      <c r="S858" s="1" t="str">
        <f t="shared" si="104"/>
        <v/>
      </c>
      <c r="CT858" t="e">
        <v>#N/A</v>
      </c>
      <c r="CU858" t="e">
        <v>#N/A</v>
      </c>
      <c r="CV858" t="e">
        <v>#N/A</v>
      </c>
      <c r="CW858" t="e">
        <v>#N/A</v>
      </c>
      <c r="CX858" t="e">
        <v>#N/A</v>
      </c>
      <c r="CY858" t="e">
        <v>#N/A</v>
      </c>
      <c r="CZ858" t="e">
        <v>#N/A</v>
      </c>
      <c r="DA858" t="e">
        <v>#N/A</v>
      </c>
      <c r="DB858" t="e">
        <v>#N/A</v>
      </c>
      <c r="DC858" t="e">
        <v>#N/A</v>
      </c>
      <c r="DD858" t="e">
        <v>#N/A</v>
      </c>
      <c r="DE858" t="e">
        <v>#N/A</v>
      </c>
      <c r="DF858" t="e">
        <v>#N/A</v>
      </c>
      <c r="DG858" t="e">
        <v>#N/A</v>
      </c>
      <c r="DH858" t="e">
        <v>#N/A</v>
      </c>
      <c r="DI858" t="e">
        <v>#N/A</v>
      </c>
    </row>
    <row r="859" spans="14:113">
      <c r="N859" t="str">
        <f t="shared" si="105"/>
        <v/>
      </c>
      <c r="O859" s="4" t="str">
        <f t="shared" si="106"/>
        <v>click</v>
      </c>
      <c r="P859" t="str">
        <f t="shared" si="107"/>
        <v>();</v>
      </c>
      <c r="S859" s="1" t="str">
        <f t="shared" si="104"/>
        <v/>
      </c>
      <c r="CT859" t="e">
        <v>#N/A</v>
      </c>
      <c r="CU859" t="e">
        <v>#N/A</v>
      </c>
      <c r="CV859" t="e">
        <v>#N/A</v>
      </c>
      <c r="CW859" t="e">
        <v>#N/A</v>
      </c>
      <c r="CX859" t="e">
        <v>#N/A</v>
      </c>
      <c r="CY859" t="e">
        <v>#N/A</v>
      </c>
      <c r="CZ859" t="e">
        <v>#N/A</v>
      </c>
      <c r="DA859" t="e">
        <v>#N/A</v>
      </c>
      <c r="DB859" t="e">
        <v>#N/A</v>
      </c>
      <c r="DC859" t="e">
        <v>#N/A</v>
      </c>
      <c r="DD859" t="e">
        <v>#N/A</v>
      </c>
      <c r="DE859" t="e">
        <v>#N/A</v>
      </c>
      <c r="DF859" t="e">
        <v>#N/A</v>
      </c>
      <c r="DG859" t="e">
        <v>#N/A</v>
      </c>
      <c r="DH859" t="e">
        <v>#N/A</v>
      </c>
      <c r="DI859" t="e">
        <v>#N/A</v>
      </c>
    </row>
    <row r="860" spans="14:113">
      <c r="N860" t="str">
        <f t="shared" si="105"/>
        <v/>
      </c>
      <c r="O860" s="4" t="str">
        <f t="shared" si="106"/>
        <v>click</v>
      </c>
      <c r="P860" t="str">
        <f t="shared" si="107"/>
        <v>();</v>
      </c>
      <c r="S860" s="1" t="str">
        <f t="shared" si="104"/>
        <v/>
      </c>
      <c r="CT860" t="e">
        <v>#N/A</v>
      </c>
      <c r="CU860" t="e">
        <v>#N/A</v>
      </c>
      <c r="CV860" t="e">
        <v>#N/A</v>
      </c>
      <c r="CW860" t="e">
        <v>#N/A</v>
      </c>
      <c r="CX860" t="e">
        <v>#N/A</v>
      </c>
      <c r="CY860" t="e">
        <v>#N/A</v>
      </c>
      <c r="CZ860" t="e">
        <v>#N/A</v>
      </c>
      <c r="DA860" t="e">
        <v>#N/A</v>
      </c>
      <c r="DB860" t="e">
        <v>#N/A</v>
      </c>
      <c r="DC860" t="e">
        <v>#N/A</v>
      </c>
      <c r="DD860" t="e">
        <v>#N/A</v>
      </c>
      <c r="DE860" t="e">
        <v>#N/A</v>
      </c>
      <c r="DF860" t="e">
        <v>#N/A</v>
      </c>
      <c r="DG860" t="e">
        <v>#N/A</v>
      </c>
      <c r="DH860" t="e">
        <v>#N/A</v>
      </c>
      <c r="DI860" t="e">
        <v>#N/A</v>
      </c>
    </row>
    <row r="861" spans="14:113">
      <c r="N861" t="str">
        <f t="shared" si="105"/>
        <v/>
      </c>
      <c r="O861" s="4" t="str">
        <f t="shared" si="106"/>
        <v>click</v>
      </c>
      <c r="P861" t="str">
        <f t="shared" si="107"/>
        <v>();</v>
      </c>
      <c r="S861" s="1" t="str">
        <f t="shared" si="104"/>
        <v/>
      </c>
      <c r="CT861" t="e">
        <v>#N/A</v>
      </c>
      <c r="CU861" t="e">
        <v>#N/A</v>
      </c>
      <c r="CV861" t="e">
        <v>#N/A</v>
      </c>
      <c r="CW861" t="e">
        <v>#N/A</v>
      </c>
      <c r="CX861" t="e">
        <v>#N/A</v>
      </c>
      <c r="CY861" t="e">
        <v>#N/A</v>
      </c>
      <c r="CZ861" t="e">
        <v>#N/A</v>
      </c>
      <c r="DA861" t="e">
        <v>#N/A</v>
      </c>
      <c r="DB861" t="e">
        <v>#N/A</v>
      </c>
      <c r="DC861" t="e">
        <v>#N/A</v>
      </c>
      <c r="DD861" t="e">
        <v>#N/A</v>
      </c>
      <c r="DE861" t="e">
        <v>#N/A</v>
      </c>
      <c r="DF861" t="e">
        <v>#N/A</v>
      </c>
      <c r="DG861" t="e">
        <v>#N/A</v>
      </c>
      <c r="DH861" t="e">
        <v>#N/A</v>
      </c>
      <c r="DI861" t="e">
        <v>#N/A</v>
      </c>
    </row>
    <row r="862" spans="14:113">
      <c r="N862" t="str">
        <f t="shared" si="105"/>
        <v/>
      </c>
      <c r="O862" s="4" t="str">
        <f t="shared" si="106"/>
        <v>click</v>
      </c>
      <c r="P862" t="str">
        <f t="shared" si="107"/>
        <v>();</v>
      </c>
      <c r="S862" s="1" t="str">
        <f t="shared" si="104"/>
        <v/>
      </c>
      <c r="CT862" t="e">
        <v>#N/A</v>
      </c>
      <c r="CU862" t="e">
        <v>#N/A</v>
      </c>
      <c r="CV862" t="e">
        <v>#N/A</v>
      </c>
      <c r="CW862" t="e">
        <v>#N/A</v>
      </c>
      <c r="CX862" t="e">
        <v>#N/A</v>
      </c>
      <c r="CY862" t="e">
        <v>#N/A</v>
      </c>
      <c r="CZ862" t="e">
        <v>#N/A</v>
      </c>
      <c r="DA862" t="e">
        <v>#N/A</v>
      </c>
      <c r="DB862" t="e">
        <v>#N/A</v>
      </c>
      <c r="DC862" t="e">
        <v>#N/A</v>
      </c>
      <c r="DD862" t="e">
        <v>#N/A</v>
      </c>
      <c r="DE862" t="e">
        <v>#N/A</v>
      </c>
      <c r="DF862" t="e">
        <v>#N/A</v>
      </c>
      <c r="DG862" t="e">
        <v>#N/A</v>
      </c>
      <c r="DH862" t="e">
        <v>#N/A</v>
      </c>
      <c r="DI862" t="e">
        <v>#N/A</v>
      </c>
    </row>
    <row r="863" spans="14:113">
      <c r="N863" t="str">
        <f t="shared" si="105"/>
        <v/>
      </c>
      <c r="O863" s="4" t="str">
        <f t="shared" si="106"/>
        <v>click</v>
      </c>
      <c r="P863" t="str">
        <f t="shared" si="107"/>
        <v>();</v>
      </c>
      <c r="S863" s="1" t="str">
        <f t="shared" si="104"/>
        <v/>
      </c>
      <c r="CT863" t="e">
        <v>#N/A</v>
      </c>
      <c r="CU863" t="e">
        <v>#N/A</v>
      </c>
      <c r="CV863" t="e">
        <v>#N/A</v>
      </c>
      <c r="CW863" t="e">
        <v>#N/A</v>
      </c>
      <c r="CX863" t="e">
        <v>#N/A</v>
      </c>
      <c r="CY863" t="e">
        <v>#N/A</v>
      </c>
      <c r="CZ863" t="e">
        <v>#N/A</v>
      </c>
      <c r="DA863" t="e">
        <v>#N/A</v>
      </c>
      <c r="DB863" t="e">
        <v>#N/A</v>
      </c>
      <c r="DC863" t="e">
        <v>#N/A</v>
      </c>
      <c r="DD863" t="e">
        <v>#N/A</v>
      </c>
      <c r="DE863" t="e">
        <v>#N/A</v>
      </c>
      <c r="DF863" t="e">
        <v>#N/A</v>
      </c>
      <c r="DG863" t="e">
        <v>#N/A</v>
      </c>
      <c r="DH863" t="e">
        <v>#N/A</v>
      </c>
      <c r="DI863" t="e">
        <v>#N/A</v>
      </c>
    </row>
    <row r="864" spans="14:113">
      <c r="N864" t="str">
        <f t="shared" si="105"/>
        <v/>
      </c>
      <c r="O864" s="4" t="str">
        <f t="shared" si="106"/>
        <v>click</v>
      </c>
      <c r="P864" t="str">
        <f t="shared" si="107"/>
        <v>();</v>
      </c>
      <c r="S864" s="1" t="str">
        <f t="shared" si="104"/>
        <v/>
      </c>
      <c r="CT864" t="e">
        <v>#N/A</v>
      </c>
      <c r="CU864" t="e">
        <v>#N/A</v>
      </c>
      <c r="CV864" t="e">
        <v>#N/A</v>
      </c>
      <c r="CW864" t="e">
        <v>#N/A</v>
      </c>
      <c r="CX864" t="e">
        <v>#N/A</v>
      </c>
      <c r="CY864" t="e">
        <v>#N/A</v>
      </c>
      <c r="CZ864" t="e">
        <v>#N/A</v>
      </c>
      <c r="DA864" t="e">
        <v>#N/A</v>
      </c>
      <c r="DB864" t="e">
        <v>#N/A</v>
      </c>
      <c r="DC864" t="e">
        <v>#N/A</v>
      </c>
      <c r="DD864" t="e">
        <v>#N/A</v>
      </c>
      <c r="DE864" t="e">
        <v>#N/A</v>
      </c>
      <c r="DF864" t="e">
        <v>#N/A</v>
      </c>
      <c r="DG864" t="e">
        <v>#N/A</v>
      </c>
      <c r="DH864" t="e">
        <v>#N/A</v>
      </c>
      <c r="DI864" t="e">
        <v>#N/A</v>
      </c>
    </row>
    <row r="865" spans="14:113">
      <c r="N865" t="str">
        <f t="shared" si="105"/>
        <v/>
      </c>
      <c r="O865" s="4" t="str">
        <f t="shared" si="106"/>
        <v>click</v>
      </c>
      <c r="P865" t="str">
        <f t="shared" si="107"/>
        <v>();</v>
      </c>
      <c r="S865" s="1" t="str">
        <f t="shared" si="104"/>
        <v/>
      </c>
      <c r="CT865" t="e">
        <v>#N/A</v>
      </c>
      <c r="CU865" t="e">
        <v>#N/A</v>
      </c>
      <c r="CV865" t="e">
        <v>#N/A</v>
      </c>
      <c r="CW865" t="e">
        <v>#N/A</v>
      </c>
      <c r="CX865" t="e">
        <v>#N/A</v>
      </c>
      <c r="CY865" t="e">
        <v>#N/A</v>
      </c>
      <c r="CZ865" t="e">
        <v>#N/A</v>
      </c>
      <c r="DA865" t="e">
        <v>#N/A</v>
      </c>
      <c r="DB865" t="e">
        <v>#N/A</v>
      </c>
      <c r="DC865" t="e">
        <v>#N/A</v>
      </c>
      <c r="DD865" t="e">
        <v>#N/A</v>
      </c>
      <c r="DE865" t="e">
        <v>#N/A</v>
      </c>
      <c r="DF865" t="e">
        <v>#N/A</v>
      </c>
      <c r="DG865" t="e">
        <v>#N/A</v>
      </c>
      <c r="DH865" t="e">
        <v>#N/A</v>
      </c>
      <c r="DI865" t="e">
        <v>#N/A</v>
      </c>
    </row>
    <row r="866" spans="14:113">
      <c r="N866" t="str">
        <f t="shared" si="105"/>
        <v/>
      </c>
      <c r="O866" s="4" t="str">
        <f t="shared" si="106"/>
        <v>click</v>
      </c>
      <c r="P866" t="str">
        <f t="shared" si="107"/>
        <v>();</v>
      </c>
      <c r="S866" s="1" t="str">
        <f t="shared" si="104"/>
        <v/>
      </c>
      <c r="CT866" t="e">
        <v>#N/A</v>
      </c>
      <c r="CU866" t="e">
        <v>#N/A</v>
      </c>
      <c r="CV866" t="e">
        <v>#N/A</v>
      </c>
      <c r="CW866" t="e">
        <v>#N/A</v>
      </c>
      <c r="CX866" t="e">
        <v>#N/A</v>
      </c>
      <c r="CY866" t="e">
        <v>#N/A</v>
      </c>
      <c r="CZ866" t="e">
        <v>#N/A</v>
      </c>
      <c r="DA866" t="e">
        <v>#N/A</v>
      </c>
      <c r="DB866" t="e">
        <v>#N/A</v>
      </c>
      <c r="DC866" t="e">
        <v>#N/A</v>
      </c>
      <c r="DD866" t="e">
        <v>#N/A</v>
      </c>
      <c r="DE866" t="e">
        <v>#N/A</v>
      </c>
      <c r="DF866" t="e">
        <v>#N/A</v>
      </c>
      <c r="DG866" t="e">
        <v>#N/A</v>
      </c>
      <c r="DH866" t="e">
        <v>#N/A</v>
      </c>
      <c r="DI866" t="e">
        <v>#N/A</v>
      </c>
    </row>
    <row r="867" spans="14:113">
      <c r="N867" t="str">
        <f t="shared" si="105"/>
        <v/>
      </c>
      <c r="O867" s="4" t="str">
        <f t="shared" si="106"/>
        <v>click</v>
      </c>
      <c r="P867" t="str">
        <f t="shared" si="107"/>
        <v>();</v>
      </c>
      <c r="S867" s="1" t="str">
        <f t="shared" si="104"/>
        <v/>
      </c>
      <c r="CT867" t="e">
        <v>#N/A</v>
      </c>
      <c r="CU867" t="e">
        <v>#N/A</v>
      </c>
      <c r="CV867" t="e">
        <v>#N/A</v>
      </c>
      <c r="CW867" t="e">
        <v>#N/A</v>
      </c>
      <c r="CX867" t="e">
        <v>#N/A</v>
      </c>
      <c r="CY867" t="e">
        <v>#N/A</v>
      </c>
      <c r="CZ867" t="e">
        <v>#N/A</v>
      </c>
      <c r="DA867" t="e">
        <v>#N/A</v>
      </c>
      <c r="DB867" t="e">
        <v>#N/A</v>
      </c>
      <c r="DC867" t="e">
        <v>#N/A</v>
      </c>
      <c r="DD867" t="e">
        <v>#N/A</v>
      </c>
      <c r="DE867" t="e">
        <v>#N/A</v>
      </c>
      <c r="DF867" t="e">
        <v>#N/A</v>
      </c>
      <c r="DG867" t="e">
        <v>#N/A</v>
      </c>
      <c r="DH867" t="e">
        <v>#N/A</v>
      </c>
      <c r="DI867" t="e">
        <v>#N/A</v>
      </c>
    </row>
    <row r="868" spans="14:113">
      <c r="N868" t="str">
        <f t="shared" si="105"/>
        <v/>
      </c>
      <c r="O868" s="4" t="str">
        <f t="shared" si="106"/>
        <v>click</v>
      </c>
      <c r="P868" t="str">
        <f t="shared" si="107"/>
        <v>();</v>
      </c>
      <c r="S868" s="1" t="str">
        <f t="shared" si="104"/>
        <v/>
      </c>
      <c r="CT868" t="e">
        <v>#N/A</v>
      </c>
      <c r="CU868" t="e">
        <v>#N/A</v>
      </c>
      <c r="CV868" t="e">
        <v>#N/A</v>
      </c>
      <c r="CW868" t="e">
        <v>#N/A</v>
      </c>
      <c r="CX868" t="e">
        <v>#N/A</v>
      </c>
      <c r="CY868" t="e">
        <v>#N/A</v>
      </c>
      <c r="CZ868" t="e">
        <v>#N/A</v>
      </c>
      <c r="DA868" t="e">
        <v>#N/A</v>
      </c>
      <c r="DB868" t="e">
        <v>#N/A</v>
      </c>
      <c r="DC868" t="e">
        <v>#N/A</v>
      </c>
      <c r="DD868" t="e">
        <v>#N/A</v>
      </c>
      <c r="DE868" t="e">
        <v>#N/A</v>
      </c>
      <c r="DF868" t="e">
        <v>#N/A</v>
      </c>
      <c r="DG868" t="e">
        <v>#N/A</v>
      </c>
      <c r="DH868" t="e">
        <v>#N/A</v>
      </c>
      <c r="DI868" t="e">
        <v>#N/A</v>
      </c>
    </row>
    <row r="869" spans="14:113">
      <c r="N869" t="str">
        <f t="shared" si="105"/>
        <v/>
      </c>
      <c r="O869" s="4" t="str">
        <f t="shared" si="106"/>
        <v>click</v>
      </c>
      <c r="P869" t="str">
        <f t="shared" si="107"/>
        <v>();</v>
      </c>
      <c r="S869" s="1" t="str">
        <f t="shared" si="104"/>
        <v/>
      </c>
      <c r="CT869" t="e">
        <v>#N/A</v>
      </c>
      <c r="CU869" t="e">
        <v>#N/A</v>
      </c>
      <c r="CV869" t="e">
        <v>#N/A</v>
      </c>
      <c r="CW869" t="e">
        <v>#N/A</v>
      </c>
      <c r="CX869" t="e">
        <v>#N/A</v>
      </c>
      <c r="CY869" t="e">
        <v>#N/A</v>
      </c>
      <c r="CZ869" t="e">
        <v>#N/A</v>
      </c>
      <c r="DA869" t="e">
        <v>#N/A</v>
      </c>
      <c r="DB869" t="e">
        <v>#N/A</v>
      </c>
      <c r="DC869" t="e">
        <v>#N/A</v>
      </c>
      <c r="DD869" t="e">
        <v>#N/A</v>
      </c>
      <c r="DE869" t="e">
        <v>#N/A</v>
      </c>
      <c r="DF869" t="e">
        <v>#N/A</v>
      </c>
      <c r="DG869" t="e">
        <v>#N/A</v>
      </c>
      <c r="DH869" t="e">
        <v>#N/A</v>
      </c>
      <c r="DI869" t="e">
        <v>#N/A</v>
      </c>
    </row>
    <row r="870" spans="14:113">
      <c r="N870" t="str">
        <f t="shared" si="105"/>
        <v/>
      </c>
      <c r="O870" s="4" t="str">
        <f t="shared" si="106"/>
        <v>click</v>
      </c>
      <c r="P870" t="str">
        <f t="shared" si="107"/>
        <v>();</v>
      </c>
      <c r="S870" s="1" t="str">
        <f t="shared" si="104"/>
        <v/>
      </c>
      <c r="CT870" t="e">
        <v>#N/A</v>
      </c>
      <c r="CU870" t="e">
        <v>#N/A</v>
      </c>
      <c r="CV870" t="e">
        <v>#N/A</v>
      </c>
      <c r="CW870" t="e">
        <v>#N/A</v>
      </c>
      <c r="CX870" t="e">
        <v>#N/A</v>
      </c>
      <c r="CY870" t="e">
        <v>#N/A</v>
      </c>
      <c r="CZ870" t="e">
        <v>#N/A</v>
      </c>
      <c r="DA870" t="e">
        <v>#N/A</v>
      </c>
      <c r="DB870" t="e">
        <v>#N/A</v>
      </c>
      <c r="DC870" t="e">
        <v>#N/A</v>
      </c>
      <c r="DD870" t="e">
        <v>#N/A</v>
      </c>
      <c r="DE870" t="e">
        <v>#N/A</v>
      </c>
      <c r="DF870" t="e">
        <v>#N/A</v>
      </c>
      <c r="DG870" t="e">
        <v>#N/A</v>
      </c>
      <c r="DH870" t="e">
        <v>#N/A</v>
      </c>
      <c r="DI870" t="e">
        <v>#N/A</v>
      </c>
    </row>
    <row r="871" spans="14:113">
      <c r="N871" t="str">
        <f t="shared" si="105"/>
        <v/>
      </c>
      <c r="O871" s="4" t="str">
        <f t="shared" si="106"/>
        <v>click</v>
      </c>
      <c r="P871" t="str">
        <f t="shared" si="107"/>
        <v>();</v>
      </c>
      <c r="S871" s="1" t="str">
        <f t="shared" si="104"/>
        <v/>
      </c>
      <c r="CT871" t="e">
        <v>#N/A</v>
      </c>
      <c r="CU871" t="e">
        <v>#N/A</v>
      </c>
      <c r="CV871" t="e">
        <v>#N/A</v>
      </c>
      <c r="CW871" t="e">
        <v>#N/A</v>
      </c>
      <c r="CX871" t="e">
        <v>#N/A</v>
      </c>
      <c r="CY871" t="e">
        <v>#N/A</v>
      </c>
      <c r="CZ871" t="e">
        <v>#N/A</v>
      </c>
      <c r="DA871" t="e">
        <v>#N/A</v>
      </c>
      <c r="DB871" t="e">
        <v>#N/A</v>
      </c>
      <c r="DC871" t="e">
        <v>#N/A</v>
      </c>
      <c r="DD871" t="e">
        <v>#N/A</v>
      </c>
      <c r="DE871" t="e">
        <v>#N/A</v>
      </c>
      <c r="DF871" t="e">
        <v>#N/A</v>
      </c>
      <c r="DG871" t="e">
        <v>#N/A</v>
      </c>
      <c r="DH871" t="e">
        <v>#N/A</v>
      </c>
      <c r="DI871" t="e">
        <v>#N/A</v>
      </c>
    </row>
    <row r="872" spans="14:113">
      <c r="N872" t="str">
        <f t="shared" si="105"/>
        <v/>
      </c>
      <c r="O872" s="4" t="str">
        <f t="shared" si="106"/>
        <v>click</v>
      </c>
      <c r="P872" t="str">
        <f t="shared" si="107"/>
        <v>();</v>
      </c>
      <c r="S872" s="1" t="str">
        <f t="shared" si="104"/>
        <v/>
      </c>
      <c r="CT872" t="e">
        <v>#N/A</v>
      </c>
      <c r="CU872" t="e">
        <v>#N/A</v>
      </c>
      <c r="CV872" t="e">
        <v>#N/A</v>
      </c>
      <c r="CW872" t="e">
        <v>#N/A</v>
      </c>
      <c r="CX872" t="e">
        <v>#N/A</v>
      </c>
      <c r="CY872" t="e">
        <v>#N/A</v>
      </c>
      <c r="CZ872" t="e">
        <v>#N/A</v>
      </c>
      <c r="DA872" t="e">
        <v>#N/A</v>
      </c>
      <c r="DB872" t="e">
        <v>#N/A</v>
      </c>
      <c r="DC872" t="e">
        <v>#N/A</v>
      </c>
      <c r="DD872" t="e">
        <v>#N/A</v>
      </c>
      <c r="DE872" t="e">
        <v>#N/A</v>
      </c>
      <c r="DF872" t="e">
        <v>#N/A</v>
      </c>
      <c r="DG872" t="e">
        <v>#N/A</v>
      </c>
      <c r="DH872" t="e">
        <v>#N/A</v>
      </c>
      <c r="DI872" t="e">
        <v>#N/A</v>
      </c>
    </row>
    <row r="873" spans="14:113">
      <c r="N873" t="str">
        <f t="shared" si="105"/>
        <v/>
      </c>
      <c r="O873" s="4" t="str">
        <f t="shared" si="106"/>
        <v>click</v>
      </c>
      <c r="P873" t="str">
        <f t="shared" si="107"/>
        <v>();</v>
      </c>
      <c r="S873" s="1" t="str">
        <f t="shared" si="104"/>
        <v/>
      </c>
      <c r="CT873" t="e">
        <v>#N/A</v>
      </c>
      <c r="CU873" t="e">
        <v>#N/A</v>
      </c>
      <c r="CV873" t="e">
        <v>#N/A</v>
      </c>
      <c r="CW873" t="e">
        <v>#N/A</v>
      </c>
      <c r="CX873" t="e">
        <v>#N/A</v>
      </c>
      <c r="CY873" t="e">
        <v>#N/A</v>
      </c>
      <c r="CZ873" t="e">
        <v>#N/A</v>
      </c>
      <c r="DA873" t="e">
        <v>#N/A</v>
      </c>
      <c r="DB873" t="e">
        <v>#N/A</v>
      </c>
      <c r="DC873" t="e">
        <v>#N/A</v>
      </c>
      <c r="DD873" t="e">
        <v>#N/A</v>
      </c>
      <c r="DE873" t="e">
        <v>#N/A</v>
      </c>
      <c r="DF873" t="e">
        <v>#N/A</v>
      </c>
      <c r="DG873" t="e">
        <v>#N/A</v>
      </c>
      <c r="DH873" t="e">
        <v>#N/A</v>
      </c>
      <c r="DI873" t="e">
        <v>#N/A</v>
      </c>
    </row>
    <row r="874" spans="14:113">
      <c r="N874" t="str">
        <f t="shared" si="105"/>
        <v/>
      </c>
      <c r="O874" s="4" t="str">
        <f t="shared" si="106"/>
        <v>click</v>
      </c>
      <c r="P874" t="str">
        <f t="shared" si="107"/>
        <v>();</v>
      </c>
      <c r="S874" s="1" t="str">
        <f t="shared" si="104"/>
        <v/>
      </c>
      <c r="CT874" t="e">
        <v>#N/A</v>
      </c>
      <c r="CU874" t="e">
        <v>#N/A</v>
      </c>
      <c r="CV874" t="e">
        <v>#N/A</v>
      </c>
      <c r="CW874" t="e">
        <v>#N/A</v>
      </c>
      <c r="CX874" t="e">
        <v>#N/A</v>
      </c>
      <c r="CY874" t="e">
        <v>#N/A</v>
      </c>
      <c r="CZ874" t="e">
        <v>#N/A</v>
      </c>
      <c r="DA874" t="e">
        <v>#N/A</v>
      </c>
      <c r="DB874" t="e">
        <v>#N/A</v>
      </c>
      <c r="DC874" t="e">
        <v>#N/A</v>
      </c>
      <c r="DD874" t="e">
        <v>#N/A</v>
      </c>
      <c r="DE874" t="e">
        <v>#N/A</v>
      </c>
      <c r="DF874" t="e">
        <v>#N/A</v>
      </c>
      <c r="DG874" t="e">
        <v>#N/A</v>
      </c>
      <c r="DH874" t="e">
        <v>#N/A</v>
      </c>
      <c r="DI874" t="e">
        <v>#N/A</v>
      </c>
    </row>
    <row r="875" spans="14:113">
      <c r="N875" t="str">
        <f t="shared" si="105"/>
        <v/>
      </c>
      <c r="O875" s="4" t="str">
        <f t="shared" si="106"/>
        <v>click</v>
      </c>
      <c r="P875" t="str">
        <f t="shared" si="107"/>
        <v>();</v>
      </c>
      <c r="S875" s="1" t="str">
        <f t="shared" si="104"/>
        <v/>
      </c>
      <c r="CT875" t="e">
        <v>#N/A</v>
      </c>
      <c r="CU875" t="e">
        <v>#N/A</v>
      </c>
      <c r="CV875" t="e">
        <v>#N/A</v>
      </c>
      <c r="CW875" t="e">
        <v>#N/A</v>
      </c>
      <c r="CX875" t="e">
        <v>#N/A</v>
      </c>
      <c r="CY875" t="e">
        <v>#N/A</v>
      </c>
      <c r="CZ875" t="e">
        <v>#N/A</v>
      </c>
      <c r="DA875" t="e">
        <v>#N/A</v>
      </c>
      <c r="DB875" t="e">
        <v>#N/A</v>
      </c>
      <c r="DC875" t="e">
        <v>#N/A</v>
      </c>
      <c r="DD875" t="e">
        <v>#N/A</v>
      </c>
      <c r="DE875" t="e">
        <v>#N/A</v>
      </c>
      <c r="DF875" t="e">
        <v>#N/A</v>
      </c>
      <c r="DG875" t="e">
        <v>#N/A</v>
      </c>
      <c r="DH875" t="e">
        <v>#N/A</v>
      </c>
      <c r="DI875" t="e">
        <v>#N/A</v>
      </c>
    </row>
    <row r="876" spans="14:113">
      <c r="N876" t="str">
        <f t="shared" si="105"/>
        <v/>
      </c>
      <c r="O876" s="4" t="str">
        <f t="shared" si="106"/>
        <v>click</v>
      </c>
      <c r="P876" t="str">
        <f t="shared" si="107"/>
        <v>();</v>
      </c>
      <c r="S876" s="1" t="str">
        <f t="shared" si="104"/>
        <v/>
      </c>
      <c r="CT876" t="e">
        <v>#N/A</v>
      </c>
      <c r="CU876" t="e">
        <v>#N/A</v>
      </c>
      <c r="CV876" t="e">
        <v>#N/A</v>
      </c>
      <c r="CW876" t="e">
        <v>#N/A</v>
      </c>
      <c r="CX876" t="e">
        <v>#N/A</v>
      </c>
      <c r="CY876" t="e">
        <v>#N/A</v>
      </c>
      <c r="CZ876" t="e">
        <v>#N/A</v>
      </c>
      <c r="DA876" t="e">
        <v>#N/A</v>
      </c>
      <c r="DB876" t="e">
        <v>#N/A</v>
      </c>
      <c r="DC876" t="e">
        <v>#N/A</v>
      </c>
      <c r="DD876" t="e">
        <v>#N/A</v>
      </c>
      <c r="DE876" t="e">
        <v>#N/A</v>
      </c>
      <c r="DF876" t="e">
        <v>#N/A</v>
      </c>
      <c r="DG876" t="e">
        <v>#N/A</v>
      </c>
      <c r="DH876" t="e">
        <v>#N/A</v>
      </c>
      <c r="DI876" t="e">
        <v>#N/A</v>
      </c>
    </row>
    <row r="877" spans="14:113">
      <c r="N877" t="str">
        <f t="shared" si="105"/>
        <v/>
      </c>
      <c r="O877" s="4" t="str">
        <f t="shared" si="106"/>
        <v>click</v>
      </c>
      <c r="P877" t="str">
        <f t="shared" si="107"/>
        <v>();</v>
      </c>
      <c r="S877" s="1" t="str">
        <f t="shared" si="104"/>
        <v/>
      </c>
      <c r="CT877" t="e">
        <v>#N/A</v>
      </c>
      <c r="CU877" t="e">
        <v>#N/A</v>
      </c>
      <c r="CV877" t="e">
        <v>#N/A</v>
      </c>
      <c r="CW877" t="e">
        <v>#N/A</v>
      </c>
      <c r="CX877" t="e">
        <v>#N/A</v>
      </c>
      <c r="CY877" t="e">
        <v>#N/A</v>
      </c>
      <c r="CZ877" t="e">
        <v>#N/A</v>
      </c>
      <c r="DA877" t="e">
        <v>#N/A</v>
      </c>
      <c r="DB877" t="e">
        <v>#N/A</v>
      </c>
      <c r="DC877" t="e">
        <v>#N/A</v>
      </c>
      <c r="DD877" t="e">
        <v>#N/A</v>
      </c>
      <c r="DE877" t="e">
        <v>#N/A</v>
      </c>
      <c r="DF877" t="e">
        <v>#N/A</v>
      </c>
      <c r="DG877" t="e">
        <v>#N/A</v>
      </c>
      <c r="DH877" t="e">
        <v>#N/A</v>
      </c>
      <c r="DI877" t="e">
        <v>#N/A</v>
      </c>
    </row>
    <row r="878" spans="14:113">
      <c r="N878" t="str">
        <f t="shared" si="105"/>
        <v/>
      </c>
      <c r="O878" s="4" t="str">
        <f t="shared" si="106"/>
        <v>click</v>
      </c>
      <c r="P878" t="str">
        <f t="shared" si="107"/>
        <v>();</v>
      </c>
      <c r="S878" s="1" t="str">
        <f t="shared" si="104"/>
        <v/>
      </c>
      <c r="CT878" t="e">
        <v>#N/A</v>
      </c>
      <c r="CU878" t="e">
        <v>#N/A</v>
      </c>
      <c r="CV878" t="e">
        <v>#N/A</v>
      </c>
      <c r="CW878" t="e">
        <v>#N/A</v>
      </c>
      <c r="CX878" t="e">
        <v>#N/A</v>
      </c>
      <c r="CY878" t="e">
        <v>#N/A</v>
      </c>
      <c r="CZ878" t="e">
        <v>#N/A</v>
      </c>
      <c r="DA878" t="e">
        <v>#N/A</v>
      </c>
      <c r="DB878" t="e">
        <v>#N/A</v>
      </c>
      <c r="DC878" t="e">
        <v>#N/A</v>
      </c>
      <c r="DD878" t="e">
        <v>#N/A</v>
      </c>
      <c r="DE878" t="e">
        <v>#N/A</v>
      </c>
      <c r="DF878" t="e">
        <v>#N/A</v>
      </c>
      <c r="DG878" t="e">
        <v>#N/A</v>
      </c>
      <c r="DH878" t="e">
        <v>#N/A</v>
      </c>
      <c r="DI878" t="e">
        <v>#N/A</v>
      </c>
    </row>
    <row r="879" spans="14:113">
      <c r="N879" t="str">
        <f t="shared" si="105"/>
        <v/>
      </c>
      <c r="O879" s="4" t="str">
        <f t="shared" si="106"/>
        <v>click</v>
      </c>
      <c r="P879" t="str">
        <f t="shared" si="107"/>
        <v>();</v>
      </c>
      <c r="S879" s="1" t="str">
        <f t="shared" si="104"/>
        <v/>
      </c>
      <c r="CT879" t="e">
        <v>#N/A</v>
      </c>
      <c r="CU879" t="e">
        <v>#N/A</v>
      </c>
      <c r="CV879" t="e">
        <v>#N/A</v>
      </c>
      <c r="CW879" t="e">
        <v>#N/A</v>
      </c>
      <c r="CX879" t="e">
        <v>#N/A</v>
      </c>
      <c r="CY879" t="e">
        <v>#N/A</v>
      </c>
      <c r="CZ879" t="e">
        <v>#N/A</v>
      </c>
      <c r="DA879" t="e">
        <v>#N/A</v>
      </c>
      <c r="DB879" t="e">
        <v>#N/A</v>
      </c>
      <c r="DC879" t="e">
        <v>#N/A</v>
      </c>
      <c r="DD879" t="e">
        <v>#N/A</v>
      </c>
      <c r="DE879" t="e">
        <v>#N/A</v>
      </c>
      <c r="DF879" t="e">
        <v>#N/A</v>
      </c>
      <c r="DG879" t="e">
        <v>#N/A</v>
      </c>
      <c r="DH879" t="e">
        <v>#N/A</v>
      </c>
      <c r="DI879" t="e">
        <v>#N/A</v>
      </c>
    </row>
    <row r="880" spans="14:113">
      <c r="N880" t="str">
        <f t="shared" si="105"/>
        <v/>
      </c>
      <c r="O880" s="4" t="str">
        <f t="shared" si="106"/>
        <v>click</v>
      </c>
      <c r="P880" t="str">
        <f t="shared" si="107"/>
        <v>();</v>
      </c>
      <c r="S880" s="1" t="str">
        <f t="shared" si="104"/>
        <v/>
      </c>
      <c r="CT880" t="e">
        <v>#N/A</v>
      </c>
      <c r="CU880" t="e">
        <v>#N/A</v>
      </c>
      <c r="CV880" t="e">
        <v>#N/A</v>
      </c>
      <c r="CW880" t="e">
        <v>#N/A</v>
      </c>
      <c r="CX880" t="e">
        <v>#N/A</v>
      </c>
      <c r="CY880" t="e">
        <v>#N/A</v>
      </c>
      <c r="CZ880" t="e">
        <v>#N/A</v>
      </c>
      <c r="DA880" t="e">
        <v>#N/A</v>
      </c>
      <c r="DB880" t="e">
        <v>#N/A</v>
      </c>
      <c r="DC880" t="e">
        <v>#N/A</v>
      </c>
      <c r="DD880" t="e">
        <v>#N/A</v>
      </c>
      <c r="DE880" t="e">
        <v>#N/A</v>
      </c>
      <c r="DF880" t="e">
        <v>#N/A</v>
      </c>
      <c r="DG880" t="e">
        <v>#N/A</v>
      </c>
      <c r="DH880" t="e">
        <v>#N/A</v>
      </c>
      <c r="DI880" t="e">
        <v>#N/A</v>
      </c>
    </row>
    <row r="881" spans="14:113">
      <c r="N881" t="str">
        <f t="shared" si="105"/>
        <v/>
      </c>
      <c r="O881" s="4" t="str">
        <f t="shared" si="106"/>
        <v>click</v>
      </c>
      <c r="P881" t="str">
        <f t="shared" si="107"/>
        <v>();</v>
      </c>
      <c r="S881" s="1" t="str">
        <f t="shared" si="104"/>
        <v/>
      </c>
      <c r="CT881" t="e">
        <v>#N/A</v>
      </c>
      <c r="CU881" t="e">
        <v>#N/A</v>
      </c>
      <c r="CV881" t="e">
        <v>#N/A</v>
      </c>
      <c r="CW881" t="e">
        <v>#N/A</v>
      </c>
      <c r="CX881" t="e">
        <v>#N/A</v>
      </c>
      <c r="CY881" t="e">
        <v>#N/A</v>
      </c>
      <c r="CZ881" t="e">
        <v>#N/A</v>
      </c>
      <c r="DA881" t="e">
        <v>#N/A</v>
      </c>
      <c r="DB881" t="e">
        <v>#N/A</v>
      </c>
      <c r="DC881" t="e">
        <v>#N/A</v>
      </c>
      <c r="DD881" t="e">
        <v>#N/A</v>
      </c>
      <c r="DE881" t="e">
        <v>#N/A</v>
      </c>
      <c r="DF881" t="e">
        <v>#N/A</v>
      </c>
      <c r="DG881" t="e">
        <v>#N/A</v>
      </c>
      <c r="DH881" t="e">
        <v>#N/A</v>
      </c>
      <c r="DI881" t="e">
        <v>#N/A</v>
      </c>
    </row>
    <row r="882" spans="14:113">
      <c r="N882" t="str">
        <f t="shared" si="105"/>
        <v/>
      </c>
      <c r="O882" s="4" t="str">
        <f t="shared" si="106"/>
        <v>click</v>
      </c>
      <c r="P882" t="str">
        <f t="shared" si="107"/>
        <v>();</v>
      </c>
      <c r="S882" s="1" t="str">
        <f t="shared" si="104"/>
        <v/>
      </c>
      <c r="CT882" t="e">
        <v>#N/A</v>
      </c>
      <c r="CU882" t="e">
        <v>#N/A</v>
      </c>
      <c r="CV882" t="e">
        <v>#N/A</v>
      </c>
      <c r="CW882" t="e">
        <v>#N/A</v>
      </c>
      <c r="CX882" t="e">
        <v>#N/A</v>
      </c>
      <c r="CY882" t="e">
        <v>#N/A</v>
      </c>
      <c r="CZ882" t="e">
        <v>#N/A</v>
      </c>
      <c r="DA882" t="e">
        <v>#N/A</v>
      </c>
      <c r="DB882" t="e">
        <v>#N/A</v>
      </c>
      <c r="DC882" t="e">
        <v>#N/A</v>
      </c>
      <c r="DD882" t="e">
        <v>#N/A</v>
      </c>
      <c r="DE882" t="e">
        <v>#N/A</v>
      </c>
      <c r="DF882" t="e">
        <v>#N/A</v>
      </c>
      <c r="DG882" t="e">
        <v>#N/A</v>
      </c>
      <c r="DH882" t="e">
        <v>#N/A</v>
      </c>
      <c r="DI882" t="e">
        <v>#N/A</v>
      </c>
    </row>
    <row r="883" spans="14:113">
      <c r="N883" t="str">
        <f t="shared" si="105"/>
        <v/>
      </c>
      <c r="O883" s="4" t="str">
        <f t="shared" si="106"/>
        <v>click</v>
      </c>
      <c r="P883" t="str">
        <f t="shared" si="107"/>
        <v>();</v>
      </c>
      <c r="S883" s="1" t="str">
        <f t="shared" si="104"/>
        <v/>
      </c>
      <c r="CT883" t="e">
        <v>#N/A</v>
      </c>
      <c r="CU883" t="e">
        <v>#N/A</v>
      </c>
      <c r="CV883" t="e">
        <v>#N/A</v>
      </c>
      <c r="CW883" t="e">
        <v>#N/A</v>
      </c>
      <c r="CX883" t="e">
        <v>#N/A</v>
      </c>
      <c r="CY883" t="e">
        <v>#N/A</v>
      </c>
      <c r="CZ883" t="e">
        <v>#N/A</v>
      </c>
      <c r="DA883" t="e">
        <v>#N/A</v>
      </c>
      <c r="DB883" t="e">
        <v>#N/A</v>
      </c>
      <c r="DC883" t="e">
        <v>#N/A</v>
      </c>
      <c r="DD883" t="e">
        <v>#N/A</v>
      </c>
      <c r="DE883" t="e">
        <v>#N/A</v>
      </c>
      <c r="DF883" t="e">
        <v>#N/A</v>
      </c>
      <c r="DG883" t="e">
        <v>#N/A</v>
      </c>
      <c r="DH883" t="e">
        <v>#N/A</v>
      </c>
      <c r="DI883" t="e">
        <v>#N/A</v>
      </c>
    </row>
    <row r="884" spans="14:113">
      <c r="N884" t="str">
        <f t="shared" si="105"/>
        <v/>
      </c>
      <c r="O884" s="4" t="str">
        <f t="shared" si="106"/>
        <v>click</v>
      </c>
      <c r="P884" t="str">
        <f t="shared" si="107"/>
        <v>();</v>
      </c>
      <c r="S884" s="1" t="str">
        <f t="shared" si="104"/>
        <v/>
      </c>
      <c r="CT884" t="e">
        <v>#N/A</v>
      </c>
      <c r="CU884" t="e">
        <v>#N/A</v>
      </c>
      <c r="CV884" t="e">
        <v>#N/A</v>
      </c>
      <c r="CW884" t="e">
        <v>#N/A</v>
      </c>
      <c r="CX884" t="e">
        <v>#N/A</v>
      </c>
      <c r="CY884" t="e">
        <v>#N/A</v>
      </c>
      <c r="CZ884" t="e">
        <v>#N/A</v>
      </c>
      <c r="DA884" t="e">
        <v>#N/A</v>
      </c>
      <c r="DB884" t="e">
        <v>#N/A</v>
      </c>
      <c r="DC884" t="e">
        <v>#N/A</v>
      </c>
      <c r="DD884" t="e">
        <v>#N/A</v>
      </c>
      <c r="DE884" t="e">
        <v>#N/A</v>
      </c>
      <c r="DF884" t="e">
        <v>#N/A</v>
      </c>
      <c r="DG884" t="e">
        <v>#N/A</v>
      </c>
      <c r="DH884" t="e">
        <v>#N/A</v>
      </c>
      <c r="DI884" t="e">
        <v>#N/A</v>
      </c>
    </row>
    <row r="885" spans="14:113">
      <c r="N885" t="str">
        <f t="shared" si="105"/>
        <v/>
      </c>
      <c r="O885" s="4" t="str">
        <f t="shared" si="106"/>
        <v>click</v>
      </c>
      <c r="P885" t="str">
        <f t="shared" si="107"/>
        <v>();</v>
      </c>
      <c r="S885" s="1" t="str">
        <f t="shared" si="104"/>
        <v/>
      </c>
      <c r="CT885" t="e">
        <v>#N/A</v>
      </c>
      <c r="CU885" t="e">
        <v>#N/A</v>
      </c>
      <c r="CV885" t="e">
        <v>#N/A</v>
      </c>
      <c r="CW885" t="e">
        <v>#N/A</v>
      </c>
      <c r="CX885" t="e">
        <v>#N/A</v>
      </c>
      <c r="CY885" t="e">
        <v>#N/A</v>
      </c>
      <c r="CZ885" t="e">
        <v>#N/A</v>
      </c>
      <c r="DA885" t="e">
        <v>#N/A</v>
      </c>
      <c r="DB885" t="e">
        <v>#N/A</v>
      </c>
      <c r="DC885" t="e">
        <v>#N/A</v>
      </c>
      <c r="DD885" t="e">
        <v>#N/A</v>
      </c>
      <c r="DE885" t="e">
        <v>#N/A</v>
      </c>
      <c r="DF885" t="e">
        <v>#N/A</v>
      </c>
      <c r="DG885" t="e">
        <v>#N/A</v>
      </c>
      <c r="DH885" t="e">
        <v>#N/A</v>
      </c>
      <c r="DI885" t="e">
        <v>#N/A</v>
      </c>
    </row>
    <row r="886" spans="14:113">
      <c r="N886" t="str">
        <f t="shared" si="105"/>
        <v/>
      </c>
      <c r="O886" s="4" t="str">
        <f t="shared" si="106"/>
        <v>click</v>
      </c>
      <c r="P886" t="str">
        <f t="shared" si="107"/>
        <v>();</v>
      </c>
      <c r="S886" s="1" t="str">
        <f t="shared" si="104"/>
        <v/>
      </c>
      <c r="CT886" t="e">
        <v>#N/A</v>
      </c>
      <c r="CU886" t="e">
        <v>#N/A</v>
      </c>
      <c r="CV886" t="e">
        <v>#N/A</v>
      </c>
      <c r="CW886" t="e">
        <v>#N/A</v>
      </c>
      <c r="CX886" t="e">
        <v>#N/A</v>
      </c>
      <c r="CY886" t="e">
        <v>#N/A</v>
      </c>
      <c r="CZ886" t="e">
        <v>#N/A</v>
      </c>
      <c r="DA886" t="e">
        <v>#N/A</v>
      </c>
      <c r="DB886" t="e">
        <v>#N/A</v>
      </c>
      <c r="DC886" t="e">
        <v>#N/A</v>
      </c>
      <c r="DD886" t="e">
        <v>#N/A</v>
      </c>
      <c r="DE886" t="e">
        <v>#N/A</v>
      </c>
      <c r="DF886" t="e">
        <v>#N/A</v>
      </c>
      <c r="DG886" t="e">
        <v>#N/A</v>
      </c>
      <c r="DH886" t="e">
        <v>#N/A</v>
      </c>
      <c r="DI886" t="e">
        <v>#N/A</v>
      </c>
    </row>
    <row r="887" spans="14:113">
      <c r="N887" t="str">
        <f t="shared" si="105"/>
        <v/>
      </c>
      <c r="O887" s="4" t="str">
        <f t="shared" si="106"/>
        <v>click</v>
      </c>
      <c r="P887" t="str">
        <f t="shared" si="107"/>
        <v>();</v>
      </c>
      <c r="S887" s="1" t="str">
        <f t="shared" si="104"/>
        <v/>
      </c>
      <c r="CT887" t="e">
        <v>#N/A</v>
      </c>
      <c r="CU887" t="e">
        <v>#N/A</v>
      </c>
      <c r="CV887" t="e">
        <v>#N/A</v>
      </c>
      <c r="CW887" t="e">
        <v>#N/A</v>
      </c>
      <c r="CX887" t="e">
        <v>#N/A</v>
      </c>
      <c r="CY887" t="e">
        <v>#N/A</v>
      </c>
      <c r="CZ887" t="e">
        <v>#N/A</v>
      </c>
      <c r="DA887" t="e">
        <v>#N/A</v>
      </c>
      <c r="DB887" t="e">
        <v>#N/A</v>
      </c>
      <c r="DC887" t="e">
        <v>#N/A</v>
      </c>
      <c r="DD887" t="e">
        <v>#N/A</v>
      </c>
      <c r="DE887" t="e">
        <v>#N/A</v>
      </c>
      <c r="DF887" t="e">
        <v>#N/A</v>
      </c>
      <c r="DG887" t="e">
        <v>#N/A</v>
      </c>
      <c r="DH887" t="e">
        <v>#N/A</v>
      </c>
      <c r="DI887" t="e">
        <v>#N/A</v>
      </c>
    </row>
    <row r="888" spans="14:113">
      <c r="N888" t="str">
        <f t="shared" si="105"/>
        <v/>
      </c>
      <c r="O888" s="4" t="str">
        <f t="shared" si="106"/>
        <v>click</v>
      </c>
      <c r="P888" t="str">
        <f t="shared" si="107"/>
        <v>();</v>
      </c>
      <c r="S888" s="1" t="str">
        <f t="shared" si="104"/>
        <v/>
      </c>
      <c r="CT888" t="e">
        <v>#N/A</v>
      </c>
      <c r="CU888" t="e">
        <v>#N/A</v>
      </c>
      <c r="CV888" t="e">
        <v>#N/A</v>
      </c>
      <c r="CW888" t="e">
        <v>#N/A</v>
      </c>
      <c r="CX888" t="e">
        <v>#N/A</v>
      </c>
      <c r="CY888" t="e">
        <v>#N/A</v>
      </c>
      <c r="CZ888" t="e">
        <v>#N/A</v>
      </c>
      <c r="DA888" t="e">
        <v>#N/A</v>
      </c>
      <c r="DB888" t="e">
        <v>#N/A</v>
      </c>
      <c r="DC888" t="e">
        <v>#N/A</v>
      </c>
      <c r="DD888" t="e">
        <v>#N/A</v>
      </c>
      <c r="DE888" t="e">
        <v>#N/A</v>
      </c>
      <c r="DF888" t="e">
        <v>#N/A</v>
      </c>
      <c r="DG888" t="e">
        <v>#N/A</v>
      </c>
      <c r="DH888" t="e">
        <v>#N/A</v>
      </c>
      <c r="DI888" t="e">
        <v>#N/A</v>
      </c>
    </row>
    <row r="889" spans="14:113">
      <c r="N889" t="str">
        <f t="shared" si="105"/>
        <v/>
      </c>
      <c r="O889" s="4" t="str">
        <f t="shared" si="106"/>
        <v>click</v>
      </c>
      <c r="P889" t="str">
        <f t="shared" si="107"/>
        <v>();</v>
      </c>
      <c r="S889" s="1" t="str">
        <f t="shared" si="104"/>
        <v/>
      </c>
      <c r="CT889" t="e">
        <v>#N/A</v>
      </c>
      <c r="CU889" t="e">
        <v>#N/A</v>
      </c>
      <c r="CV889" t="e">
        <v>#N/A</v>
      </c>
      <c r="CW889" t="e">
        <v>#N/A</v>
      </c>
      <c r="CX889" t="e">
        <v>#N/A</v>
      </c>
      <c r="CY889" t="e">
        <v>#N/A</v>
      </c>
      <c r="CZ889" t="e">
        <v>#N/A</v>
      </c>
      <c r="DA889" t="e">
        <v>#N/A</v>
      </c>
      <c r="DB889" t="e">
        <v>#N/A</v>
      </c>
      <c r="DC889" t="e">
        <v>#N/A</v>
      </c>
      <c r="DD889" t="e">
        <v>#N/A</v>
      </c>
      <c r="DE889" t="e">
        <v>#N/A</v>
      </c>
      <c r="DF889" t="e">
        <v>#N/A</v>
      </c>
      <c r="DG889" t="e">
        <v>#N/A</v>
      </c>
      <c r="DH889" t="e">
        <v>#N/A</v>
      </c>
      <c r="DI889" t="e">
        <v>#N/A</v>
      </c>
    </row>
    <row r="890" spans="14:113">
      <c r="N890" t="str">
        <f t="shared" si="105"/>
        <v/>
      </c>
      <c r="O890" s="4" t="str">
        <f t="shared" si="106"/>
        <v>click</v>
      </c>
      <c r="P890" t="str">
        <f t="shared" si="107"/>
        <v>();</v>
      </c>
      <c r="S890" s="1" t="str">
        <f t="shared" si="104"/>
        <v/>
      </c>
      <c r="CT890" t="e">
        <v>#N/A</v>
      </c>
      <c r="CU890" t="e">
        <v>#N/A</v>
      </c>
      <c r="CV890" t="e">
        <v>#N/A</v>
      </c>
      <c r="CW890" t="e">
        <v>#N/A</v>
      </c>
      <c r="CX890" t="e">
        <v>#N/A</v>
      </c>
      <c r="CY890" t="e">
        <v>#N/A</v>
      </c>
      <c r="CZ890" t="e">
        <v>#N/A</v>
      </c>
      <c r="DA890" t="e">
        <v>#N/A</v>
      </c>
      <c r="DB890" t="e">
        <v>#N/A</v>
      </c>
      <c r="DC890" t="e">
        <v>#N/A</v>
      </c>
      <c r="DD890" t="e">
        <v>#N/A</v>
      </c>
      <c r="DE890" t="e">
        <v>#N/A</v>
      </c>
      <c r="DF890" t="e">
        <v>#N/A</v>
      </c>
      <c r="DG890" t="e">
        <v>#N/A</v>
      </c>
      <c r="DH890" t="e">
        <v>#N/A</v>
      </c>
      <c r="DI890" t="e">
        <v>#N/A</v>
      </c>
    </row>
    <row r="891" spans="14:113">
      <c r="N891" t="str">
        <f t="shared" si="105"/>
        <v/>
      </c>
      <c r="O891" s="4" t="str">
        <f t="shared" si="106"/>
        <v>click</v>
      </c>
      <c r="P891" t="str">
        <f t="shared" si="107"/>
        <v>();</v>
      </c>
      <c r="S891" s="1" t="str">
        <f t="shared" si="104"/>
        <v/>
      </c>
      <c r="CT891" t="e">
        <v>#N/A</v>
      </c>
      <c r="CU891" t="e">
        <v>#N/A</v>
      </c>
      <c r="CV891" t="e">
        <v>#N/A</v>
      </c>
      <c r="CW891" t="e">
        <v>#N/A</v>
      </c>
      <c r="CX891" t="e">
        <v>#N/A</v>
      </c>
      <c r="CY891" t="e">
        <v>#N/A</v>
      </c>
      <c r="CZ891" t="e">
        <v>#N/A</v>
      </c>
      <c r="DA891" t="e">
        <v>#N/A</v>
      </c>
      <c r="DB891" t="e">
        <v>#N/A</v>
      </c>
      <c r="DC891" t="e">
        <v>#N/A</v>
      </c>
      <c r="DD891" t="e">
        <v>#N/A</v>
      </c>
      <c r="DE891" t="e">
        <v>#N/A</v>
      </c>
      <c r="DF891" t="e">
        <v>#N/A</v>
      </c>
      <c r="DG891" t="e">
        <v>#N/A</v>
      </c>
      <c r="DH891" t="e">
        <v>#N/A</v>
      </c>
      <c r="DI891" t="e">
        <v>#N/A</v>
      </c>
    </row>
    <row r="892" spans="14:113">
      <c r="N892" t="str">
        <f t="shared" si="105"/>
        <v/>
      </c>
      <c r="O892" s="4" t="str">
        <f t="shared" si="106"/>
        <v>click</v>
      </c>
      <c r="P892" t="str">
        <f t="shared" si="107"/>
        <v>();</v>
      </c>
      <c r="S892" s="1" t="str">
        <f t="shared" si="104"/>
        <v/>
      </c>
      <c r="CT892" t="e">
        <v>#N/A</v>
      </c>
      <c r="CU892" t="e">
        <v>#N/A</v>
      </c>
      <c r="CV892" t="e">
        <v>#N/A</v>
      </c>
      <c r="CW892" t="e">
        <v>#N/A</v>
      </c>
      <c r="CX892" t="e">
        <v>#N/A</v>
      </c>
      <c r="CY892" t="e">
        <v>#N/A</v>
      </c>
      <c r="CZ892" t="e">
        <v>#N/A</v>
      </c>
      <c r="DA892" t="e">
        <v>#N/A</v>
      </c>
      <c r="DB892" t="e">
        <v>#N/A</v>
      </c>
      <c r="DC892" t="e">
        <v>#N/A</v>
      </c>
      <c r="DD892" t="e">
        <v>#N/A</v>
      </c>
      <c r="DE892" t="e">
        <v>#N/A</v>
      </c>
      <c r="DF892" t="e">
        <v>#N/A</v>
      </c>
      <c r="DG892" t="e">
        <v>#N/A</v>
      </c>
      <c r="DH892" t="e">
        <v>#N/A</v>
      </c>
      <c r="DI892" t="e">
        <v>#N/A</v>
      </c>
    </row>
    <row r="893" spans="14:113">
      <c r="N893" t="str">
        <f t="shared" si="105"/>
        <v/>
      </c>
      <c r="O893" s="4" t="str">
        <f t="shared" si="106"/>
        <v>click</v>
      </c>
      <c r="P893" t="str">
        <f t="shared" si="107"/>
        <v>();</v>
      </c>
      <c r="S893" s="1" t="str">
        <f t="shared" si="104"/>
        <v/>
      </c>
      <c r="CT893" t="e">
        <v>#N/A</v>
      </c>
      <c r="CU893" t="e">
        <v>#N/A</v>
      </c>
      <c r="CV893" t="e">
        <v>#N/A</v>
      </c>
      <c r="CW893" t="e">
        <v>#N/A</v>
      </c>
      <c r="CX893" t="e">
        <v>#N/A</v>
      </c>
      <c r="CY893" t="e">
        <v>#N/A</v>
      </c>
      <c r="CZ893" t="e">
        <v>#N/A</v>
      </c>
      <c r="DA893" t="e">
        <v>#N/A</v>
      </c>
      <c r="DB893" t="e">
        <v>#N/A</v>
      </c>
      <c r="DC893" t="e">
        <v>#N/A</v>
      </c>
      <c r="DD893" t="e">
        <v>#N/A</v>
      </c>
      <c r="DE893" t="e">
        <v>#N/A</v>
      </c>
      <c r="DF893" t="e">
        <v>#N/A</v>
      </c>
      <c r="DG893" t="e">
        <v>#N/A</v>
      </c>
      <c r="DH893" t="e">
        <v>#N/A</v>
      </c>
      <c r="DI893" t="e">
        <v>#N/A</v>
      </c>
    </row>
    <row r="894" spans="14:113">
      <c r="N894" t="str">
        <f t="shared" si="105"/>
        <v/>
      </c>
      <c r="O894" s="4" t="str">
        <f t="shared" si="106"/>
        <v>click</v>
      </c>
      <c r="P894" t="str">
        <f t="shared" si="107"/>
        <v>();</v>
      </c>
      <c r="S894" s="1" t="str">
        <f t="shared" si="104"/>
        <v/>
      </c>
      <c r="CT894" t="e">
        <v>#N/A</v>
      </c>
      <c r="CU894" t="e">
        <v>#N/A</v>
      </c>
      <c r="CV894" t="e">
        <v>#N/A</v>
      </c>
      <c r="CW894" t="e">
        <v>#N/A</v>
      </c>
      <c r="CX894" t="e">
        <v>#N/A</v>
      </c>
      <c r="CY894" t="e">
        <v>#N/A</v>
      </c>
      <c r="CZ894" t="e">
        <v>#N/A</v>
      </c>
      <c r="DA894" t="e">
        <v>#N/A</v>
      </c>
      <c r="DB894" t="e">
        <v>#N/A</v>
      </c>
      <c r="DC894" t="e">
        <v>#N/A</v>
      </c>
      <c r="DD894" t="e">
        <v>#N/A</v>
      </c>
      <c r="DE894" t="e">
        <v>#N/A</v>
      </c>
      <c r="DF894" t="e">
        <v>#N/A</v>
      </c>
      <c r="DG894" t="e">
        <v>#N/A</v>
      </c>
      <c r="DH894" t="e">
        <v>#N/A</v>
      </c>
      <c r="DI894" t="e">
        <v>#N/A</v>
      </c>
    </row>
    <row r="895" spans="14:113">
      <c r="N895" t="str">
        <f t="shared" si="105"/>
        <v/>
      </c>
      <c r="O895" s="4" t="str">
        <f t="shared" si="106"/>
        <v>click</v>
      </c>
      <c r="P895" t="str">
        <f t="shared" si="107"/>
        <v>();</v>
      </c>
      <c r="S895" s="1" t="str">
        <f t="shared" si="104"/>
        <v/>
      </c>
      <c r="CT895" t="e">
        <v>#N/A</v>
      </c>
      <c r="CU895" t="e">
        <v>#N/A</v>
      </c>
      <c r="CV895" t="e">
        <v>#N/A</v>
      </c>
      <c r="CW895" t="e">
        <v>#N/A</v>
      </c>
      <c r="CX895" t="e">
        <v>#N/A</v>
      </c>
      <c r="CY895" t="e">
        <v>#N/A</v>
      </c>
      <c r="CZ895" t="e">
        <v>#N/A</v>
      </c>
      <c r="DA895" t="e">
        <v>#N/A</v>
      </c>
      <c r="DB895" t="e">
        <v>#N/A</v>
      </c>
      <c r="DC895" t="e">
        <v>#N/A</v>
      </c>
      <c r="DD895" t="e">
        <v>#N/A</v>
      </c>
      <c r="DE895" t="e">
        <v>#N/A</v>
      </c>
      <c r="DF895" t="e">
        <v>#N/A</v>
      </c>
      <c r="DG895" t="e">
        <v>#N/A</v>
      </c>
      <c r="DH895" t="e">
        <v>#N/A</v>
      </c>
      <c r="DI895" t="e">
        <v>#N/A</v>
      </c>
    </row>
    <row r="896" spans="14:113">
      <c r="N896" t="str">
        <f t="shared" si="105"/>
        <v/>
      </c>
      <c r="O896" s="4" t="str">
        <f t="shared" si="106"/>
        <v>click</v>
      </c>
      <c r="P896" t="str">
        <f t="shared" si="107"/>
        <v>();</v>
      </c>
      <c r="S896" s="1" t="str">
        <f t="shared" si="104"/>
        <v/>
      </c>
      <c r="CT896" t="e">
        <v>#N/A</v>
      </c>
      <c r="CU896" t="e">
        <v>#N/A</v>
      </c>
      <c r="CV896" t="e">
        <v>#N/A</v>
      </c>
      <c r="CW896" t="e">
        <v>#N/A</v>
      </c>
      <c r="CX896" t="e">
        <v>#N/A</v>
      </c>
      <c r="CY896" t="e">
        <v>#N/A</v>
      </c>
      <c r="CZ896" t="e">
        <v>#N/A</v>
      </c>
      <c r="DA896" t="e">
        <v>#N/A</v>
      </c>
      <c r="DB896" t="e">
        <v>#N/A</v>
      </c>
      <c r="DC896" t="e">
        <v>#N/A</v>
      </c>
      <c r="DD896" t="e">
        <v>#N/A</v>
      </c>
      <c r="DE896" t="e">
        <v>#N/A</v>
      </c>
      <c r="DF896" t="e">
        <v>#N/A</v>
      </c>
      <c r="DG896" t="e">
        <v>#N/A</v>
      </c>
      <c r="DH896" t="e">
        <v>#N/A</v>
      </c>
      <c r="DI896" t="e">
        <v>#N/A</v>
      </c>
    </row>
    <row r="897" spans="14:113">
      <c r="N897" t="str">
        <f t="shared" si="105"/>
        <v/>
      </c>
      <c r="O897" s="4" t="str">
        <f t="shared" si="106"/>
        <v>click</v>
      </c>
      <c r="P897" t="str">
        <f t="shared" si="107"/>
        <v>();</v>
      </c>
      <c r="S897" s="1" t="str">
        <f t="shared" si="104"/>
        <v/>
      </c>
      <c r="CT897" t="e">
        <v>#N/A</v>
      </c>
      <c r="CU897" t="e">
        <v>#N/A</v>
      </c>
      <c r="CV897" t="e">
        <v>#N/A</v>
      </c>
      <c r="CW897" t="e">
        <v>#N/A</v>
      </c>
      <c r="CX897" t="e">
        <v>#N/A</v>
      </c>
      <c r="CY897" t="e">
        <v>#N/A</v>
      </c>
      <c r="CZ897" t="e">
        <v>#N/A</v>
      </c>
      <c r="DA897" t="e">
        <v>#N/A</v>
      </c>
      <c r="DB897" t="e">
        <v>#N/A</v>
      </c>
      <c r="DC897" t="e">
        <v>#N/A</v>
      </c>
      <c r="DD897" t="e">
        <v>#N/A</v>
      </c>
      <c r="DE897" t="e">
        <v>#N/A</v>
      </c>
      <c r="DF897" t="e">
        <v>#N/A</v>
      </c>
      <c r="DG897" t="e">
        <v>#N/A</v>
      </c>
      <c r="DH897" t="e">
        <v>#N/A</v>
      </c>
      <c r="DI897" t="e">
        <v>#N/A</v>
      </c>
    </row>
    <row r="898" spans="14:113">
      <c r="N898" t="str">
        <f t="shared" si="105"/>
        <v/>
      </c>
      <c r="O898" s="4" t="str">
        <f t="shared" si="106"/>
        <v>click</v>
      </c>
      <c r="P898" t="str">
        <f t="shared" si="107"/>
        <v>();</v>
      </c>
      <c r="S898" s="1" t="str">
        <f t="shared" si="104"/>
        <v/>
      </c>
      <c r="CT898" t="e">
        <v>#N/A</v>
      </c>
      <c r="CU898" t="e">
        <v>#N/A</v>
      </c>
      <c r="CV898" t="e">
        <v>#N/A</v>
      </c>
      <c r="CW898" t="e">
        <v>#N/A</v>
      </c>
      <c r="CX898" t="e">
        <v>#N/A</v>
      </c>
      <c r="CY898" t="e">
        <v>#N/A</v>
      </c>
      <c r="CZ898" t="e">
        <v>#N/A</v>
      </c>
      <c r="DA898" t="e">
        <v>#N/A</v>
      </c>
      <c r="DB898" t="e">
        <v>#N/A</v>
      </c>
      <c r="DC898" t="e">
        <v>#N/A</v>
      </c>
      <c r="DD898" t="e">
        <v>#N/A</v>
      </c>
      <c r="DE898" t="e">
        <v>#N/A</v>
      </c>
      <c r="DF898" t="e">
        <v>#N/A</v>
      </c>
      <c r="DG898" t="e">
        <v>#N/A</v>
      </c>
      <c r="DH898" t="e">
        <v>#N/A</v>
      </c>
      <c r="DI898" t="e">
        <v>#N/A</v>
      </c>
    </row>
    <row r="899" spans="14:113">
      <c r="N899" t="str">
        <f t="shared" si="105"/>
        <v/>
      </c>
      <c r="O899" s="4" t="str">
        <f t="shared" si="106"/>
        <v>click</v>
      </c>
      <c r="P899" t="str">
        <f t="shared" si="107"/>
        <v>();</v>
      </c>
      <c r="S899" s="1" t="str">
        <f t="shared" si="104"/>
        <v/>
      </c>
      <c r="CT899" t="e">
        <v>#N/A</v>
      </c>
      <c r="CU899" t="e">
        <v>#N/A</v>
      </c>
      <c r="CV899" t="e">
        <v>#N/A</v>
      </c>
      <c r="CW899" t="e">
        <v>#N/A</v>
      </c>
      <c r="CX899" t="e">
        <v>#N/A</v>
      </c>
      <c r="CY899" t="e">
        <v>#N/A</v>
      </c>
      <c r="CZ899" t="e">
        <v>#N/A</v>
      </c>
      <c r="DA899" t="e">
        <v>#N/A</v>
      </c>
      <c r="DB899" t="e">
        <v>#N/A</v>
      </c>
      <c r="DC899" t="e">
        <v>#N/A</v>
      </c>
      <c r="DD899" t="e">
        <v>#N/A</v>
      </c>
      <c r="DE899" t="e">
        <v>#N/A</v>
      </c>
      <c r="DF899" t="e">
        <v>#N/A</v>
      </c>
      <c r="DG899" t="e">
        <v>#N/A</v>
      </c>
      <c r="DH899" t="e">
        <v>#N/A</v>
      </c>
      <c r="DI899" t="e">
        <v>#N/A</v>
      </c>
    </row>
    <row r="900" spans="14:113">
      <c r="N900" t="str">
        <f t="shared" si="105"/>
        <v/>
      </c>
      <c r="O900" s="4" t="str">
        <f t="shared" si="106"/>
        <v>click</v>
      </c>
      <c r="P900" t="str">
        <f t="shared" si="107"/>
        <v>();</v>
      </c>
      <c r="S900" s="1" t="str">
        <f t="shared" si="104"/>
        <v/>
      </c>
      <c r="CT900" t="e">
        <v>#N/A</v>
      </c>
      <c r="CU900" t="e">
        <v>#N/A</v>
      </c>
      <c r="CV900" t="e">
        <v>#N/A</v>
      </c>
      <c r="CW900" t="e">
        <v>#N/A</v>
      </c>
      <c r="CX900" t="e">
        <v>#N/A</v>
      </c>
      <c r="CY900" t="e">
        <v>#N/A</v>
      </c>
      <c r="CZ900" t="e">
        <v>#N/A</v>
      </c>
      <c r="DA900" t="e">
        <v>#N/A</v>
      </c>
      <c r="DB900" t="e">
        <v>#N/A</v>
      </c>
      <c r="DC900" t="e">
        <v>#N/A</v>
      </c>
      <c r="DD900" t="e">
        <v>#N/A</v>
      </c>
      <c r="DE900" t="e">
        <v>#N/A</v>
      </c>
      <c r="DF900" t="e">
        <v>#N/A</v>
      </c>
      <c r="DG900" t="e">
        <v>#N/A</v>
      </c>
      <c r="DH900" t="e">
        <v>#N/A</v>
      </c>
      <c r="DI900" t="e">
        <v>#N/A</v>
      </c>
    </row>
    <row r="901" spans="14:113">
      <c r="N901" t="str">
        <f t="shared" si="105"/>
        <v/>
      </c>
      <c r="O901" s="4" t="str">
        <f t="shared" si="106"/>
        <v>click</v>
      </c>
      <c r="P901" t="str">
        <f t="shared" si="107"/>
        <v>();</v>
      </c>
      <c r="S901" s="1" t="str">
        <f t="shared" si="104"/>
        <v/>
      </c>
      <c r="CT901" t="e">
        <v>#N/A</v>
      </c>
      <c r="CU901" t="e">
        <v>#N/A</v>
      </c>
      <c r="CV901" t="e">
        <v>#N/A</v>
      </c>
      <c r="CW901" t="e">
        <v>#N/A</v>
      </c>
      <c r="CX901" t="e">
        <v>#N/A</v>
      </c>
      <c r="CY901" t="e">
        <v>#N/A</v>
      </c>
      <c r="CZ901" t="e">
        <v>#N/A</v>
      </c>
      <c r="DA901" t="e">
        <v>#N/A</v>
      </c>
      <c r="DB901" t="e">
        <v>#N/A</v>
      </c>
      <c r="DC901" t="e">
        <v>#N/A</v>
      </c>
      <c r="DD901" t="e">
        <v>#N/A</v>
      </c>
      <c r="DE901" t="e">
        <v>#N/A</v>
      </c>
      <c r="DF901" t="e">
        <v>#N/A</v>
      </c>
      <c r="DG901" t="e">
        <v>#N/A</v>
      </c>
      <c r="DH901" t="e">
        <v>#N/A</v>
      </c>
      <c r="DI901" t="e">
        <v>#N/A</v>
      </c>
    </row>
    <row r="902" spans="14:113">
      <c r="N902" t="str">
        <f t="shared" si="105"/>
        <v/>
      </c>
      <c r="O902" s="4" t="str">
        <f t="shared" si="106"/>
        <v>click</v>
      </c>
      <c r="P902" t="str">
        <f t="shared" si="107"/>
        <v>();</v>
      </c>
      <c r="S902" s="1" t="str">
        <f t="shared" si="104"/>
        <v/>
      </c>
      <c r="CT902" t="e">
        <v>#N/A</v>
      </c>
      <c r="CU902" t="e">
        <v>#N/A</v>
      </c>
      <c r="CV902" t="e">
        <v>#N/A</v>
      </c>
      <c r="CW902" t="e">
        <v>#N/A</v>
      </c>
      <c r="CX902" t="e">
        <v>#N/A</v>
      </c>
      <c r="CY902" t="e">
        <v>#N/A</v>
      </c>
      <c r="CZ902" t="e">
        <v>#N/A</v>
      </c>
      <c r="DA902" t="e">
        <v>#N/A</v>
      </c>
      <c r="DB902" t="e">
        <v>#N/A</v>
      </c>
      <c r="DC902" t="e">
        <v>#N/A</v>
      </c>
      <c r="DD902" t="e">
        <v>#N/A</v>
      </c>
      <c r="DE902" t="e">
        <v>#N/A</v>
      </c>
      <c r="DF902" t="e">
        <v>#N/A</v>
      </c>
      <c r="DG902" t="e">
        <v>#N/A</v>
      </c>
      <c r="DH902" t="e">
        <v>#N/A</v>
      </c>
      <c r="DI902" t="e">
        <v>#N/A</v>
      </c>
    </row>
    <row r="903" spans="14:113">
      <c r="N903" t="str">
        <f t="shared" si="105"/>
        <v/>
      </c>
      <c r="O903" s="4" t="str">
        <f t="shared" si="106"/>
        <v>click</v>
      </c>
      <c r="P903" t="str">
        <f t="shared" si="107"/>
        <v>();</v>
      </c>
      <c r="S903" s="1" t="str">
        <f t="shared" si="104"/>
        <v/>
      </c>
      <c r="CT903" t="e">
        <v>#N/A</v>
      </c>
      <c r="CU903" t="e">
        <v>#N/A</v>
      </c>
      <c r="CV903" t="e">
        <v>#N/A</v>
      </c>
      <c r="CW903" t="e">
        <v>#N/A</v>
      </c>
      <c r="CX903" t="e">
        <v>#N/A</v>
      </c>
      <c r="CY903" t="e">
        <v>#N/A</v>
      </c>
      <c r="CZ903" t="e">
        <v>#N/A</v>
      </c>
      <c r="DA903" t="e">
        <v>#N/A</v>
      </c>
      <c r="DB903" t="e">
        <v>#N/A</v>
      </c>
      <c r="DC903" t="e">
        <v>#N/A</v>
      </c>
      <c r="DD903" t="e">
        <v>#N/A</v>
      </c>
      <c r="DE903" t="e">
        <v>#N/A</v>
      </c>
      <c r="DF903" t="e">
        <v>#N/A</v>
      </c>
      <c r="DG903" t="e">
        <v>#N/A</v>
      </c>
      <c r="DH903" t="e">
        <v>#N/A</v>
      </c>
      <c r="DI903" t="e">
        <v>#N/A</v>
      </c>
    </row>
    <row r="904" spans="14:113">
      <c r="N904" t="str">
        <f t="shared" si="105"/>
        <v/>
      </c>
      <c r="O904" s="4" t="str">
        <f t="shared" si="106"/>
        <v>click</v>
      </c>
      <c r="P904" t="str">
        <f t="shared" si="107"/>
        <v>();</v>
      </c>
      <c r="S904" s="1" t="str">
        <f t="shared" si="104"/>
        <v/>
      </c>
      <c r="CT904" t="e">
        <v>#N/A</v>
      </c>
      <c r="CU904" t="e">
        <v>#N/A</v>
      </c>
      <c r="CV904" t="e">
        <v>#N/A</v>
      </c>
      <c r="CW904" t="e">
        <v>#N/A</v>
      </c>
      <c r="CX904" t="e">
        <v>#N/A</v>
      </c>
      <c r="CY904" t="e">
        <v>#N/A</v>
      </c>
      <c r="CZ904" t="e">
        <v>#N/A</v>
      </c>
      <c r="DA904" t="e">
        <v>#N/A</v>
      </c>
      <c r="DB904" t="e">
        <v>#N/A</v>
      </c>
      <c r="DC904" t="e">
        <v>#N/A</v>
      </c>
      <c r="DD904" t="e">
        <v>#N/A</v>
      </c>
      <c r="DE904" t="e">
        <v>#N/A</v>
      </c>
      <c r="DF904" t="e">
        <v>#N/A</v>
      </c>
      <c r="DG904" t="e">
        <v>#N/A</v>
      </c>
      <c r="DH904" t="e">
        <v>#N/A</v>
      </c>
      <c r="DI904" t="e">
        <v>#N/A</v>
      </c>
    </row>
    <row r="905" spans="14:113">
      <c r="N905" t="str">
        <f t="shared" si="105"/>
        <v/>
      </c>
      <c r="O905" s="4" t="str">
        <f t="shared" si="106"/>
        <v>click</v>
      </c>
      <c r="P905" t="str">
        <f t="shared" si="107"/>
        <v>();</v>
      </c>
      <c r="S905" s="1" t="str">
        <f t="shared" si="104"/>
        <v/>
      </c>
      <c r="CT905" t="e">
        <v>#N/A</v>
      </c>
      <c r="CU905" t="e">
        <v>#N/A</v>
      </c>
      <c r="CV905" t="e">
        <v>#N/A</v>
      </c>
      <c r="CW905" t="e">
        <v>#N/A</v>
      </c>
      <c r="CX905" t="e">
        <v>#N/A</v>
      </c>
      <c r="CY905" t="e">
        <v>#N/A</v>
      </c>
      <c r="CZ905" t="e">
        <v>#N/A</v>
      </c>
      <c r="DA905" t="e">
        <v>#N/A</v>
      </c>
      <c r="DB905" t="e">
        <v>#N/A</v>
      </c>
      <c r="DC905" t="e">
        <v>#N/A</v>
      </c>
      <c r="DD905" t="e">
        <v>#N/A</v>
      </c>
      <c r="DE905" t="e">
        <v>#N/A</v>
      </c>
      <c r="DF905" t="e">
        <v>#N/A</v>
      </c>
      <c r="DG905" t="e">
        <v>#N/A</v>
      </c>
      <c r="DH905" t="e">
        <v>#N/A</v>
      </c>
      <c r="DI905" t="e">
        <v>#N/A</v>
      </c>
    </row>
    <row r="906" spans="14:113">
      <c r="N906" t="str">
        <f t="shared" si="105"/>
        <v/>
      </c>
      <c r="O906" s="4" t="str">
        <f t="shared" si="106"/>
        <v>click</v>
      </c>
      <c r="P906" t="str">
        <f t="shared" si="107"/>
        <v>();</v>
      </c>
      <c r="S906" s="1" t="str">
        <f t="shared" si="104"/>
        <v/>
      </c>
      <c r="CT906" t="e">
        <v>#N/A</v>
      </c>
      <c r="CU906" t="e">
        <v>#N/A</v>
      </c>
      <c r="CV906" t="e">
        <v>#N/A</v>
      </c>
      <c r="CW906" t="e">
        <v>#N/A</v>
      </c>
      <c r="CX906" t="e">
        <v>#N/A</v>
      </c>
      <c r="CY906" t="e">
        <v>#N/A</v>
      </c>
      <c r="CZ906" t="e">
        <v>#N/A</v>
      </c>
      <c r="DA906" t="e">
        <v>#N/A</v>
      </c>
      <c r="DB906" t="e">
        <v>#N/A</v>
      </c>
      <c r="DC906" t="e">
        <v>#N/A</v>
      </c>
      <c r="DD906" t="e">
        <v>#N/A</v>
      </c>
      <c r="DE906" t="e">
        <v>#N/A</v>
      </c>
      <c r="DF906" t="e">
        <v>#N/A</v>
      </c>
      <c r="DG906" t="e">
        <v>#N/A</v>
      </c>
      <c r="DH906" t="e">
        <v>#N/A</v>
      </c>
      <c r="DI906" t="e">
        <v>#N/A</v>
      </c>
    </row>
    <row r="907" spans="14:113">
      <c r="N907" t="str">
        <f t="shared" si="105"/>
        <v/>
      </c>
      <c r="O907" s="4" t="str">
        <f t="shared" si="106"/>
        <v>click</v>
      </c>
      <c r="P907" t="str">
        <f t="shared" si="107"/>
        <v>();</v>
      </c>
      <c r="S907" s="1" t="str">
        <f t="shared" ref="S907:S970" si="108">IF(C907="Y",IF(D907&lt;&gt;"mat-select",IF(D907="End","",IF(O907="innerText",I907&amp;"="&amp;IF(C907="Y",IF(J907&lt;&gt;"Y",$S$8&amp;$R$9&amp;"."&amp;E907&amp;")."&amp;IF(OR(O907="click",O907="innerText"),O907&amp;"();",O907&amp;"("&amp;$Q$8&amp;"."&amp;E907&amp;");"),$S$7&amp;$R$9&amp;"."&amp;SUBSTITUTE(E907," ","")&amp;")."&amp;IF(O907="click",O907&amp;"();",O907&amp;"("&amp;"'"&amp;K907&amp;"'"&amp;");")),""),IF(C907="Y",IF(J907&lt;&gt;"Y",$S$8&amp;$R$9&amp;"."&amp;SUBSTITUTE(E907," ","")&amp;")."&amp;IF(OR(O907="click",O907="innerText"),O907&amp;"();",O907&amp;"("&amp;$Q$8&amp;"."&amp;SUBSTITUTE(E907," ","")&amp;");"),$S$7&amp;$R$9&amp;"."&amp;SUBSTITUTE(E907," ","")&amp;")."&amp;IF(O907="click",O907&amp;"();",O907&amp;"("&amp;"'"&amp;K907&amp;"'"&amp;");")),""))),"let form"&amp;Z907&amp;": String;"&amp;"for (let i = 1; i &lt; 30; i++) {"&amp;$S$8&amp;$R$9&amp;"."&amp;SUBSTITUTE(E907," ","")&amp;").click();"&amp;$CE$4&amp; "form"&amp;Z907&amp;"="&amp; $S$8&amp;$R$9&amp;"."&amp;SUBSTITUTE(E907," ","")&amp;").innerText();" &amp;"if ("&amp;"form"&amp;Z907&amp;"=="&amp; "Data[index]."&amp;SUBSTITUTE(E907," ","") &amp;"){"&amp;$CE$7),"")</f>
        <v/>
      </c>
      <c r="CT907" t="e">
        <v>#N/A</v>
      </c>
      <c r="CU907" t="e">
        <v>#N/A</v>
      </c>
      <c r="CV907" t="e">
        <v>#N/A</v>
      </c>
      <c r="CW907" t="e">
        <v>#N/A</v>
      </c>
      <c r="CX907" t="e">
        <v>#N/A</v>
      </c>
      <c r="CY907" t="e">
        <v>#N/A</v>
      </c>
      <c r="CZ907" t="e">
        <v>#N/A</v>
      </c>
      <c r="DA907" t="e">
        <v>#N/A</v>
      </c>
      <c r="DB907" t="e">
        <v>#N/A</v>
      </c>
      <c r="DC907" t="e">
        <v>#N/A</v>
      </c>
      <c r="DD907" t="e">
        <v>#N/A</v>
      </c>
      <c r="DE907" t="e">
        <v>#N/A</v>
      </c>
      <c r="DF907" t="e">
        <v>#N/A</v>
      </c>
      <c r="DG907" t="e">
        <v>#N/A</v>
      </c>
      <c r="DH907" t="e">
        <v>#N/A</v>
      </c>
      <c r="DI907" t="e">
        <v>#N/A</v>
      </c>
    </row>
    <row r="908" spans="14:113">
      <c r="N908" t="str">
        <f t="shared" si="105"/>
        <v/>
      </c>
      <c r="O908" s="4" t="str">
        <f t="shared" si="106"/>
        <v>click</v>
      </c>
      <c r="P908" t="str">
        <f t="shared" si="107"/>
        <v>();</v>
      </c>
      <c r="S908" s="1" t="str">
        <f t="shared" si="108"/>
        <v/>
      </c>
      <c r="CT908" t="e">
        <v>#N/A</v>
      </c>
      <c r="CU908" t="e">
        <v>#N/A</v>
      </c>
      <c r="CV908" t="e">
        <v>#N/A</v>
      </c>
      <c r="CW908" t="e">
        <v>#N/A</v>
      </c>
      <c r="CX908" t="e">
        <v>#N/A</v>
      </c>
      <c r="CY908" t="e">
        <v>#N/A</v>
      </c>
      <c r="CZ908" t="e">
        <v>#N/A</v>
      </c>
      <c r="DA908" t="e">
        <v>#N/A</v>
      </c>
      <c r="DB908" t="e">
        <v>#N/A</v>
      </c>
      <c r="DC908" t="e">
        <v>#N/A</v>
      </c>
      <c r="DD908" t="e">
        <v>#N/A</v>
      </c>
      <c r="DE908" t="e">
        <v>#N/A</v>
      </c>
      <c r="DF908" t="e">
        <v>#N/A</v>
      </c>
      <c r="DG908" t="e">
        <v>#N/A</v>
      </c>
      <c r="DH908" t="e">
        <v>#N/A</v>
      </c>
      <c r="DI908" t="e">
        <v>#N/A</v>
      </c>
    </row>
    <row r="909" spans="14:113">
      <c r="N909" t="str">
        <f t="shared" si="105"/>
        <v/>
      </c>
      <c r="O909" s="4" t="str">
        <f t="shared" si="106"/>
        <v>click</v>
      </c>
      <c r="P909" t="str">
        <f t="shared" si="107"/>
        <v>();</v>
      </c>
      <c r="S909" s="1" t="str">
        <f t="shared" si="108"/>
        <v/>
      </c>
      <c r="CT909" t="e">
        <v>#N/A</v>
      </c>
      <c r="CU909" t="e">
        <v>#N/A</v>
      </c>
      <c r="CV909" t="e">
        <v>#N/A</v>
      </c>
      <c r="CW909" t="e">
        <v>#N/A</v>
      </c>
      <c r="CX909" t="e">
        <v>#N/A</v>
      </c>
      <c r="CY909" t="e">
        <v>#N/A</v>
      </c>
      <c r="CZ909" t="e">
        <v>#N/A</v>
      </c>
      <c r="DA909" t="e">
        <v>#N/A</v>
      </c>
      <c r="DB909" t="e">
        <v>#N/A</v>
      </c>
      <c r="DC909" t="e">
        <v>#N/A</v>
      </c>
      <c r="DD909" t="e">
        <v>#N/A</v>
      </c>
      <c r="DE909" t="e">
        <v>#N/A</v>
      </c>
      <c r="DF909" t="e">
        <v>#N/A</v>
      </c>
      <c r="DG909" t="e">
        <v>#N/A</v>
      </c>
      <c r="DH909" t="e">
        <v>#N/A</v>
      </c>
      <c r="DI909" t="e">
        <v>#N/A</v>
      </c>
    </row>
    <row r="910" spans="14:113">
      <c r="N910" t="str">
        <f t="shared" si="105"/>
        <v/>
      </c>
      <c r="O910" s="4" t="str">
        <f t="shared" si="106"/>
        <v>click</v>
      </c>
      <c r="P910" t="str">
        <f t="shared" si="107"/>
        <v>();</v>
      </c>
      <c r="S910" s="1" t="str">
        <f t="shared" si="108"/>
        <v/>
      </c>
      <c r="CT910" t="e">
        <v>#N/A</v>
      </c>
      <c r="CU910" t="e">
        <v>#N/A</v>
      </c>
      <c r="CV910" t="e">
        <v>#N/A</v>
      </c>
      <c r="CW910" t="e">
        <v>#N/A</v>
      </c>
      <c r="CX910" t="e">
        <v>#N/A</v>
      </c>
      <c r="CY910" t="e">
        <v>#N/A</v>
      </c>
      <c r="CZ910" t="e">
        <v>#N/A</v>
      </c>
      <c r="DA910" t="e">
        <v>#N/A</v>
      </c>
      <c r="DB910" t="e">
        <v>#N/A</v>
      </c>
      <c r="DC910" t="e">
        <v>#N/A</v>
      </c>
      <c r="DD910" t="e">
        <v>#N/A</v>
      </c>
      <c r="DE910" t="e">
        <v>#N/A</v>
      </c>
      <c r="DF910" t="e">
        <v>#N/A</v>
      </c>
      <c r="DG910" t="e">
        <v>#N/A</v>
      </c>
      <c r="DH910" t="e">
        <v>#N/A</v>
      </c>
      <c r="DI910" t="e">
        <v>#N/A</v>
      </c>
    </row>
    <row r="911" spans="14:113">
      <c r="N911" t="str">
        <f t="shared" si="105"/>
        <v/>
      </c>
      <c r="O911" s="4" t="str">
        <f t="shared" si="106"/>
        <v>click</v>
      </c>
      <c r="P911" t="str">
        <f t="shared" si="107"/>
        <v>();</v>
      </c>
      <c r="S911" s="1" t="str">
        <f t="shared" si="108"/>
        <v/>
      </c>
      <c r="CT911" t="e">
        <v>#N/A</v>
      </c>
      <c r="CU911" t="e">
        <v>#N/A</v>
      </c>
      <c r="CV911" t="e">
        <v>#N/A</v>
      </c>
      <c r="CW911" t="e">
        <v>#N/A</v>
      </c>
      <c r="CX911" t="e">
        <v>#N/A</v>
      </c>
      <c r="CY911" t="e">
        <v>#N/A</v>
      </c>
      <c r="CZ911" t="e">
        <v>#N/A</v>
      </c>
      <c r="DA911" t="e">
        <v>#N/A</v>
      </c>
      <c r="DB911" t="e">
        <v>#N/A</v>
      </c>
      <c r="DC911" t="e">
        <v>#N/A</v>
      </c>
      <c r="DD911" t="e">
        <v>#N/A</v>
      </c>
      <c r="DE911" t="e">
        <v>#N/A</v>
      </c>
      <c r="DF911" t="e">
        <v>#N/A</v>
      </c>
      <c r="DG911" t="e">
        <v>#N/A</v>
      </c>
      <c r="DH911" t="e">
        <v>#N/A</v>
      </c>
      <c r="DI911" t="e">
        <v>#N/A</v>
      </c>
    </row>
    <row r="912" spans="14:113">
      <c r="N912" t="str">
        <f t="shared" si="105"/>
        <v/>
      </c>
      <c r="O912" s="4" t="str">
        <f t="shared" si="106"/>
        <v>click</v>
      </c>
      <c r="P912" t="str">
        <f t="shared" si="107"/>
        <v>();</v>
      </c>
      <c r="S912" s="1" t="str">
        <f t="shared" si="108"/>
        <v/>
      </c>
      <c r="CT912" t="e">
        <v>#N/A</v>
      </c>
      <c r="CU912" t="e">
        <v>#N/A</v>
      </c>
      <c r="CV912" t="e">
        <v>#N/A</v>
      </c>
      <c r="CW912" t="e">
        <v>#N/A</v>
      </c>
      <c r="CX912" t="e">
        <v>#N/A</v>
      </c>
      <c r="CY912" t="e">
        <v>#N/A</v>
      </c>
      <c r="CZ912" t="e">
        <v>#N/A</v>
      </c>
      <c r="DA912" t="e">
        <v>#N/A</v>
      </c>
      <c r="DB912" t="e">
        <v>#N/A</v>
      </c>
      <c r="DC912" t="e">
        <v>#N/A</v>
      </c>
      <c r="DD912" t="e">
        <v>#N/A</v>
      </c>
      <c r="DE912" t="e">
        <v>#N/A</v>
      </c>
      <c r="DF912" t="e">
        <v>#N/A</v>
      </c>
      <c r="DG912" t="e">
        <v>#N/A</v>
      </c>
      <c r="DH912" t="e">
        <v>#N/A</v>
      </c>
      <c r="DI912" t="e">
        <v>#N/A</v>
      </c>
    </row>
    <row r="913" spans="14:113">
      <c r="N913" t="str">
        <f t="shared" si="105"/>
        <v/>
      </c>
      <c r="O913" s="4" t="str">
        <f t="shared" si="106"/>
        <v>click</v>
      </c>
      <c r="P913" t="str">
        <f t="shared" si="107"/>
        <v>();</v>
      </c>
      <c r="S913" s="1" t="str">
        <f t="shared" si="108"/>
        <v/>
      </c>
      <c r="CT913" t="e">
        <v>#N/A</v>
      </c>
      <c r="CU913" t="e">
        <v>#N/A</v>
      </c>
      <c r="CV913" t="e">
        <v>#N/A</v>
      </c>
      <c r="CW913" t="e">
        <v>#N/A</v>
      </c>
      <c r="CX913" t="e">
        <v>#N/A</v>
      </c>
      <c r="CY913" t="e">
        <v>#N/A</v>
      </c>
      <c r="CZ913" t="e">
        <v>#N/A</v>
      </c>
      <c r="DA913" t="e">
        <v>#N/A</v>
      </c>
      <c r="DB913" t="e">
        <v>#N/A</v>
      </c>
      <c r="DC913" t="e">
        <v>#N/A</v>
      </c>
      <c r="DD913" t="e">
        <v>#N/A</v>
      </c>
      <c r="DE913" t="e">
        <v>#N/A</v>
      </c>
      <c r="DF913" t="e">
        <v>#N/A</v>
      </c>
      <c r="DG913" t="e">
        <v>#N/A</v>
      </c>
      <c r="DH913" t="e">
        <v>#N/A</v>
      </c>
      <c r="DI913" t="e">
        <v>#N/A</v>
      </c>
    </row>
    <row r="914" spans="14:113">
      <c r="N914" t="str">
        <f t="shared" si="105"/>
        <v/>
      </c>
      <c r="O914" s="4" t="str">
        <f t="shared" si="106"/>
        <v>click</v>
      </c>
      <c r="P914" t="str">
        <f t="shared" si="107"/>
        <v>();</v>
      </c>
      <c r="S914" s="1" t="str">
        <f t="shared" si="108"/>
        <v/>
      </c>
      <c r="CT914" t="e">
        <v>#N/A</v>
      </c>
      <c r="CU914" t="e">
        <v>#N/A</v>
      </c>
      <c r="CV914" t="e">
        <v>#N/A</v>
      </c>
      <c r="CW914" t="e">
        <v>#N/A</v>
      </c>
      <c r="CX914" t="e">
        <v>#N/A</v>
      </c>
      <c r="CY914" t="e">
        <v>#N/A</v>
      </c>
      <c r="CZ914" t="e">
        <v>#N/A</v>
      </c>
      <c r="DA914" t="e">
        <v>#N/A</v>
      </c>
      <c r="DB914" t="e">
        <v>#N/A</v>
      </c>
      <c r="DC914" t="e">
        <v>#N/A</v>
      </c>
      <c r="DD914" t="e">
        <v>#N/A</v>
      </c>
      <c r="DE914" t="e">
        <v>#N/A</v>
      </c>
      <c r="DF914" t="e">
        <v>#N/A</v>
      </c>
      <c r="DG914" t="e">
        <v>#N/A</v>
      </c>
      <c r="DH914" t="e">
        <v>#N/A</v>
      </c>
      <c r="DI914" t="e">
        <v>#N/A</v>
      </c>
    </row>
    <row r="915" spans="14:113">
      <c r="N915" t="str">
        <f t="shared" si="105"/>
        <v/>
      </c>
      <c r="O915" s="4" t="str">
        <f t="shared" si="106"/>
        <v>click</v>
      </c>
      <c r="P915" t="str">
        <f t="shared" si="107"/>
        <v>();</v>
      </c>
      <c r="S915" s="1" t="str">
        <f t="shared" si="108"/>
        <v/>
      </c>
      <c r="CT915" t="e">
        <v>#N/A</v>
      </c>
      <c r="CU915" t="e">
        <v>#N/A</v>
      </c>
      <c r="CV915" t="e">
        <v>#N/A</v>
      </c>
      <c r="CW915" t="e">
        <v>#N/A</v>
      </c>
      <c r="CX915" t="e">
        <v>#N/A</v>
      </c>
      <c r="CY915" t="e">
        <v>#N/A</v>
      </c>
      <c r="CZ915" t="e">
        <v>#N/A</v>
      </c>
      <c r="DA915" t="e">
        <v>#N/A</v>
      </c>
      <c r="DB915" t="e">
        <v>#N/A</v>
      </c>
      <c r="DC915" t="e">
        <v>#N/A</v>
      </c>
      <c r="DD915" t="e">
        <v>#N/A</v>
      </c>
      <c r="DE915" t="e">
        <v>#N/A</v>
      </c>
      <c r="DF915" t="e">
        <v>#N/A</v>
      </c>
      <c r="DG915" t="e">
        <v>#N/A</v>
      </c>
      <c r="DH915" t="e">
        <v>#N/A</v>
      </c>
      <c r="DI915" t="e">
        <v>#N/A</v>
      </c>
    </row>
    <row r="916" spans="14:113">
      <c r="N916" t="str">
        <f t="shared" si="105"/>
        <v/>
      </c>
      <c r="O916" s="4" t="str">
        <f t="shared" si="106"/>
        <v>click</v>
      </c>
      <c r="P916" t="str">
        <f t="shared" si="107"/>
        <v>();</v>
      </c>
      <c r="S916" s="1" t="str">
        <f t="shared" si="108"/>
        <v/>
      </c>
      <c r="CT916" t="e">
        <v>#N/A</v>
      </c>
      <c r="CU916" t="e">
        <v>#N/A</v>
      </c>
      <c r="CV916" t="e">
        <v>#N/A</v>
      </c>
      <c r="CW916" t="e">
        <v>#N/A</v>
      </c>
      <c r="CX916" t="e">
        <v>#N/A</v>
      </c>
      <c r="CY916" t="e">
        <v>#N/A</v>
      </c>
      <c r="CZ916" t="e">
        <v>#N/A</v>
      </c>
      <c r="DA916" t="e">
        <v>#N/A</v>
      </c>
      <c r="DB916" t="e">
        <v>#N/A</v>
      </c>
      <c r="DC916" t="e">
        <v>#N/A</v>
      </c>
      <c r="DD916" t="e">
        <v>#N/A</v>
      </c>
      <c r="DE916" t="e">
        <v>#N/A</v>
      </c>
      <c r="DF916" t="e">
        <v>#N/A</v>
      </c>
      <c r="DG916" t="e">
        <v>#N/A</v>
      </c>
      <c r="DH916" t="e">
        <v>#N/A</v>
      </c>
      <c r="DI916" t="e">
        <v>#N/A</v>
      </c>
    </row>
    <row r="917" spans="14:113">
      <c r="N917" t="str">
        <f t="shared" ref="N917:N980" si="109">IF(A917="Y",""""&amp;C917&amp;""""&amp;": "&amp;M917&amp;",","")</f>
        <v/>
      </c>
      <c r="O917" s="4" t="str">
        <f t="shared" ref="O917:O980" si="110">IF(D917="input","fill",IF(I917&lt;&gt;"","innerText",IF(J917="Y",$T$7,"click")))</f>
        <v>click</v>
      </c>
      <c r="P917" t="str">
        <f t="shared" ref="P917:P980" si="111">IF(OR(O917="Click",O917="innerText"),"();","("&amp;""""&amp;K917&amp;""""&amp;");")</f>
        <v>();</v>
      </c>
      <c r="S917" s="1" t="str">
        <f t="shared" si="108"/>
        <v/>
      </c>
      <c r="CT917" t="e">
        <v>#N/A</v>
      </c>
      <c r="CU917" t="e">
        <v>#N/A</v>
      </c>
      <c r="CV917" t="e">
        <v>#N/A</v>
      </c>
      <c r="CW917" t="e">
        <v>#N/A</v>
      </c>
      <c r="CX917" t="e">
        <v>#N/A</v>
      </c>
      <c r="CY917" t="e">
        <v>#N/A</v>
      </c>
      <c r="CZ917" t="e">
        <v>#N/A</v>
      </c>
      <c r="DA917" t="e">
        <v>#N/A</v>
      </c>
      <c r="DB917" t="e">
        <v>#N/A</v>
      </c>
      <c r="DC917" t="e">
        <v>#N/A</v>
      </c>
      <c r="DD917" t="e">
        <v>#N/A</v>
      </c>
      <c r="DE917" t="e">
        <v>#N/A</v>
      </c>
      <c r="DF917" t="e">
        <v>#N/A</v>
      </c>
      <c r="DG917" t="e">
        <v>#N/A</v>
      </c>
      <c r="DH917" t="e">
        <v>#N/A</v>
      </c>
      <c r="DI917" t="e">
        <v>#N/A</v>
      </c>
    </row>
    <row r="918" spans="14:113">
      <c r="N918" t="str">
        <f t="shared" si="109"/>
        <v/>
      </c>
      <c r="O918" s="4" t="str">
        <f t="shared" si="110"/>
        <v>click</v>
      </c>
      <c r="P918" t="str">
        <f t="shared" si="111"/>
        <v>();</v>
      </c>
      <c r="S918" s="1" t="str">
        <f t="shared" si="108"/>
        <v/>
      </c>
      <c r="CT918" t="e">
        <v>#N/A</v>
      </c>
      <c r="CU918" t="e">
        <v>#N/A</v>
      </c>
      <c r="CV918" t="e">
        <v>#N/A</v>
      </c>
      <c r="CW918" t="e">
        <v>#N/A</v>
      </c>
      <c r="CX918" t="e">
        <v>#N/A</v>
      </c>
      <c r="CY918" t="e">
        <v>#N/A</v>
      </c>
      <c r="CZ918" t="e">
        <v>#N/A</v>
      </c>
      <c r="DA918" t="e">
        <v>#N/A</v>
      </c>
      <c r="DB918" t="e">
        <v>#N/A</v>
      </c>
      <c r="DC918" t="e">
        <v>#N/A</v>
      </c>
      <c r="DD918" t="e">
        <v>#N/A</v>
      </c>
      <c r="DE918" t="e">
        <v>#N/A</v>
      </c>
      <c r="DF918" t="e">
        <v>#N/A</v>
      </c>
      <c r="DG918" t="e">
        <v>#N/A</v>
      </c>
      <c r="DH918" t="e">
        <v>#N/A</v>
      </c>
      <c r="DI918" t="e">
        <v>#N/A</v>
      </c>
    </row>
    <row r="919" spans="14:113">
      <c r="N919" t="str">
        <f t="shared" si="109"/>
        <v/>
      </c>
      <c r="O919" s="4" t="str">
        <f t="shared" si="110"/>
        <v>click</v>
      </c>
      <c r="P919" t="str">
        <f t="shared" si="111"/>
        <v>();</v>
      </c>
      <c r="S919" s="1" t="str">
        <f t="shared" si="108"/>
        <v/>
      </c>
      <c r="CT919" t="e">
        <v>#N/A</v>
      </c>
      <c r="CU919" t="e">
        <v>#N/A</v>
      </c>
      <c r="CV919" t="e">
        <v>#N/A</v>
      </c>
      <c r="CW919" t="e">
        <v>#N/A</v>
      </c>
      <c r="CX919" t="e">
        <v>#N/A</v>
      </c>
      <c r="CY919" t="e">
        <v>#N/A</v>
      </c>
      <c r="CZ919" t="e">
        <v>#N/A</v>
      </c>
      <c r="DA919" t="e">
        <v>#N/A</v>
      </c>
      <c r="DB919" t="e">
        <v>#N/A</v>
      </c>
      <c r="DC919" t="e">
        <v>#N/A</v>
      </c>
      <c r="DD919" t="e">
        <v>#N/A</v>
      </c>
      <c r="DE919" t="e">
        <v>#N/A</v>
      </c>
      <c r="DF919" t="e">
        <v>#N/A</v>
      </c>
      <c r="DG919" t="e">
        <v>#N/A</v>
      </c>
      <c r="DH919" t="e">
        <v>#N/A</v>
      </c>
      <c r="DI919" t="e">
        <v>#N/A</v>
      </c>
    </row>
    <row r="920" spans="14:113">
      <c r="N920" t="str">
        <f t="shared" si="109"/>
        <v/>
      </c>
      <c r="O920" s="4" t="str">
        <f t="shared" si="110"/>
        <v>click</v>
      </c>
      <c r="P920" t="str">
        <f t="shared" si="111"/>
        <v>();</v>
      </c>
      <c r="S920" s="1" t="str">
        <f t="shared" si="108"/>
        <v/>
      </c>
      <c r="CT920" t="e">
        <v>#N/A</v>
      </c>
      <c r="CU920" t="e">
        <v>#N/A</v>
      </c>
      <c r="CV920" t="e">
        <v>#N/A</v>
      </c>
      <c r="CW920" t="e">
        <v>#N/A</v>
      </c>
      <c r="CX920" t="e">
        <v>#N/A</v>
      </c>
      <c r="CY920" t="e">
        <v>#N/A</v>
      </c>
      <c r="CZ920" t="e">
        <v>#N/A</v>
      </c>
      <c r="DA920" t="e">
        <v>#N/A</v>
      </c>
      <c r="DB920" t="e">
        <v>#N/A</v>
      </c>
      <c r="DC920" t="e">
        <v>#N/A</v>
      </c>
      <c r="DD920" t="e">
        <v>#N/A</v>
      </c>
      <c r="DE920" t="e">
        <v>#N/A</v>
      </c>
      <c r="DF920" t="e">
        <v>#N/A</v>
      </c>
      <c r="DG920" t="e">
        <v>#N/A</v>
      </c>
      <c r="DH920" t="e">
        <v>#N/A</v>
      </c>
      <c r="DI920" t="e">
        <v>#N/A</v>
      </c>
    </row>
    <row r="921" spans="14:113">
      <c r="N921" t="str">
        <f t="shared" si="109"/>
        <v/>
      </c>
      <c r="O921" s="4" t="str">
        <f t="shared" si="110"/>
        <v>click</v>
      </c>
      <c r="P921" t="str">
        <f t="shared" si="111"/>
        <v>();</v>
      </c>
      <c r="S921" s="1" t="str">
        <f t="shared" si="108"/>
        <v/>
      </c>
      <c r="CT921" t="e">
        <v>#N/A</v>
      </c>
      <c r="CU921" t="e">
        <v>#N/A</v>
      </c>
      <c r="CV921" t="e">
        <v>#N/A</v>
      </c>
      <c r="CW921" t="e">
        <v>#N/A</v>
      </c>
      <c r="CX921" t="e">
        <v>#N/A</v>
      </c>
      <c r="CY921" t="e">
        <v>#N/A</v>
      </c>
      <c r="CZ921" t="e">
        <v>#N/A</v>
      </c>
      <c r="DA921" t="e">
        <v>#N/A</v>
      </c>
      <c r="DB921" t="e">
        <v>#N/A</v>
      </c>
      <c r="DC921" t="e">
        <v>#N/A</v>
      </c>
      <c r="DD921" t="e">
        <v>#N/A</v>
      </c>
      <c r="DE921" t="e">
        <v>#N/A</v>
      </c>
      <c r="DF921" t="e">
        <v>#N/A</v>
      </c>
      <c r="DG921" t="e">
        <v>#N/A</v>
      </c>
      <c r="DH921" t="e">
        <v>#N/A</v>
      </c>
      <c r="DI921" t="e">
        <v>#N/A</v>
      </c>
    </row>
    <row r="922" spans="14:113">
      <c r="N922" t="str">
        <f t="shared" si="109"/>
        <v/>
      </c>
      <c r="O922" s="4" t="str">
        <f t="shared" si="110"/>
        <v>click</v>
      </c>
      <c r="P922" t="str">
        <f t="shared" si="111"/>
        <v>();</v>
      </c>
      <c r="S922" s="1" t="str">
        <f t="shared" si="108"/>
        <v/>
      </c>
      <c r="CT922" t="e">
        <v>#N/A</v>
      </c>
      <c r="CU922" t="e">
        <v>#N/A</v>
      </c>
      <c r="CV922" t="e">
        <v>#N/A</v>
      </c>
      <c r="CW922" t="e">
        <v>#N/A</v>
      </c>
      <c r="CX922" t="e">
        <v>#N/A</v>
      </c>
      <c r="CY922" t="e">
        <v>#N/A</v>
      </c>
      <c r="CZ922" t="e">
        <v>#N/A</v>
      </c>
      <c r="DA922" t="e">
        <v>#N/A</v>
      </c>
      <c r="DB922" t="e">
        <v>#N/A</v>
      </c>
      <c r="DC922" t="e">
        <v>#N/A</v>
      </c>
      <c r="DD922" t="e">
        <v>#N/A</v>
      </c>
      <c r="DE922" t="e">
        <v>#N/A</v>
      </c>
      <c r="DF922" t="e">
        <v>#N/A</v>
      </c>
      <c r="DG922" t="e">
        <v>#N/A</v>
      </c>
      <c r="DH922" t="e">
        <v>#N/A</v>
      </c>
      <c r="DI922" t="e">
        <v>#N/A</v>
      </c>
    </row>
    <row r="923" spans="14:113">
      <c r="N923" t="str">
        <f t="shared" si="109"/>
        <v/>
      </c>
      <c r="O923" s="4" t="str">
        <f t="shared" si="110"/>
        <v>click</v>
      </c>
      <c r="P923" t="str">
        <f t="shared" si="111"/>
        <v>();</v>
      </c>
      <c r="S923" s="1" t="str">
        <f t="shared" si="108"/>
        <v/>
      </c>
      <c r="CT923" t="e">
        <v>#N/A</v>
      </c>
      <c r="CU923" t="e">
        <v>#N/A</v>
      </c>
      <c r="CV923" t="e">
        <v>#N/A</v>
      </c>
      <c r="CW923" t="e">
        <v>#N/A</v>
      </c>
      <c r="CX923" t="e">
        <v>#N/A</v>
      </c>
      <c r="CY923" t="e">
        <v>#N/A</v>
      </c>
      <c r="CZ923" t="e">
        <v>#N/A</v>
      </c>
      <c r="DA923" t="e">
        <v>#N/A</v>
      </c>
      <c r="DB923" t="e">
        <v>#N/A</v>
      </c>
      <c r="DC923" t="e">
        <v>#N/A</v>
      </c>
      <c r="DD923" t="e">
        <v>#N/A</v>
      </c>
      <c r="DE923" t="e">
        <v>#N/A</v>
      </c>
      <c r="DF923" t="e">
        <v>#N/A</v>
      </c>
      <c r="DG923" t="e">
        <v>#N/A</v>
      </c>
      <c r="DH923" t="e">
        <v>#N/A</v>
      </c>
      <c r="DI923" t="e">
        <v>#N/A</v>
      </c>
    </row>
    <row r="924" spans="14:113">
      <c r="N924" t="str">
        <f t="shared" si="109"/>
        <v/>
      </c>
      <c r="O924" s="4" t="str">
        <f t="shared" si="110"/>
        <v>click</v>
      </c>
      <c r="P924" t="str">
        <f t="shared" si="111"/>
        <v>();</v>
      </c>
      <c r="S924" s="1" t="str">
        <f t="shared" si="108"/>
        <v/>
      </c>
      <c r="CT924" t="e">
        <v>#N/A</v>
      </c>
      <c r="CU924" t="e">
        <v>#N/A</v>
      </c>
      <c r="CV924" t="e">
        <v>#N/A</v>
      </c>
      <c r="CW924" t="e">
        <v>#N/A</v>
      </c>
      <c r="CX924" t="e">
        <v>#N/A</v>
      </c>
      <c r="CY924" t="e">
        <v>#N/A</v>
      </c>
      <c r="CZ924" t="e">
        <v>#N/A</v>
      </c>
      <c r="DA924" t="e">
        <v>#N/A</v>
      </c>
      <c r="DB924" t="e">
        <v>#N/A</v>
      </c>
      <c r="DC924" t="e">
        <v>#N/A</v>
      </c>
      <c r="DD924" t="e">
        <v>#N/A</v>
      </c>
      <c r="DE924" t="e">
        <v>#N/A</v>
      </c>
      <c r="DF924" t="e">
        <v>#N/A</v>
      </c>
      <c r="DG924" t="e">
        <v>#N/A</v>
      </c>
      <c r="DH924" t="e">
        <v>#N/A</v>
      </c>
      <c r="DI924" t="e">
        <v>#N/A</v>
      </c>
    </row>
    <row r="925" spans="14:113">
      <c r="N925" t="str">
        <f t="shared" si="109"/>
        <v/>
      </c>
      <c r="O925" s="4" t="str">
        <f t="shared" si="110"/>
        <v>click</v>
      </c>
      <c r="P925" t="str">
        <f t="shared" si="111"/>
        <v>();</v>
      </c>
      <c r="S925" s="1" t="str">
        <f t="shared" si="108"/>
        <v/>
      </c>
      <c r="CT925" t="e">
        <v>#N/A</v>
      </c>
      <c r="CU925" t="e">
        <v>#N/A</v>
      </c>
      <c r="CV925" t="e">
        <v>#N/A</v>
      </c>
      <c r="CW925" t="e">
        <v>#N/A</v>
      </c>
      <c r="CX925" t="e">
        <v>#N/A</v>
      </c>
      <c r="CY925" t="e">
        <v>#N/A</v>
      </c>
      <c r="CZ925" t="e">
        <v>#N/A</v>
      </c>
      <c r="DA925" t="e">
        <v>#N/A</v>
      </c>
      <c r="DB925" t="e">
        <v>#N/A</v>
      </c>
      <c r="DC925" t="e">
        <v>#N/A</v>
      </c>
      <c r="DD925" t="e">
        <v>#N/A</v>
      </c>
      <c r="DE925" t="e">
        <v>#N/A</v>
      </c>
      <c r="DF925" t="e">
        <v>#N/A</v>
      </c>
      <c r="DG925" t="e">
        <v>#N/A</v>
      </c>
      <c r="DH925" t="e">
        <v>#N/A</v>
      </c>
      <c r="DI925" t="e">
        <v>#N/A</v>
      </c>
    </row>
    <row r="926" spans="14:113">
      <c r="N926" t="str">
        <f t="shared" si="109"/>
        <v/>
      </c>
      <c r="O926" s="4" t="str">
        <f t="shared" si="110"/>
        <v>click</v>
      </c>
      <c r="P926" t="str">
        <f t="shared" si="111"/>
        <v>();</v>
      </c>
      <c r="S926" s="1" t="str">
        <f t="shared" si="108"/>
        <v/>
      </c>
      <c r="CT926" t="e">
        <v>#N/A</v>
      </c>
      <c r="CU926" t="e">
        <v>#N/A</v>
      </c>
      <c r="CV926" t="e">
        <v>#N/A</v>
      </c>
      <c r="CW926" t="e">
        <v>#N/A</v>
      </c>
      <c r="CX926" t="e">
        <v>#N/A</v>
      </c>
      <c r="CY926" t="e">
        <v>#N/A</v>
      </c>
      <c r="CZ926" t="e">
        <v>#N/A</v>
      </c>
      <c r="DA926" t="e">
        <v>#N/A</v>
      </c>
      <c r="DB926" t="e">
        <v>#N/A</v>
      </c>
      <c r="DC926" t="e">
        <v>#N/A</v>
      </c>
      <c r="DD926" t="e">
        <v>#N/A</v>
      </c>
      <c r="DE926" t="e">
        <v>#N/A</v>
      </c>
      <c r="DF926" t="e">
        <v>#N/A</v>
      </c>
      <c r="DG926" t="e">
        <v>#N/A</v>
      </c>
      <c r="DH926" t="e">
        <v>#N/A</v>
      </c>
      <c r="DI926" t="e">
        <v>#N/A</v>
      </c>
    </row>
    <row r="927" spans="14:113">
      <c r="N927" t="str">
        <f t="shared" si="109"/>
        <v/>
      </c>
      <c r="O927" s="4" t="str">
        <f t="shared" si="110"/>
        <v>click</v>
      </c>
      <c r="P927" t="str">
        <f t="shared" si="111"/>
        <v>();</v>
      </c>
      <c r="S927" s="1" t="str">
        <f t="shared" si="108"/>
        <v/>
      </c>
      <c r="CT927" t="e">
        <v>#N/A</v>
      </c>
      <c r="CU927" t="e">
        <v>#N/A</v>
      </c>
      <c r="CV927" t="e">
        <v>#N/A</v>
      </c>
      <c r="CW927" t="e">
        <v>#N/A</v>
      </c>
      <c r="CX927" t="e">
        <v>#N/A</v>
      </c>
      <c r="CY927" t="e">
        <v>#N/A</v>
      </c>
      <c r="CZ927" t="e">
        <v>#N/A</v>
      </c>
      <c r="DA927" t="e">
        <v>#N/A</v>
      </c>
      <c r="DB927" t="e">
        <v>#N/A</v>
      </c>
      <c r="DC927" t="e">
        <v>#N/A</v>
      </c>
      <c r="DD927" t="e">
        <v>#N/A</v>
      </c>
      <c r="DE927" t="e">
        <v>#N/A</v>
      </c>
      <c r="DF927" t="e">
        <v>#N/A</v>
      </c>
      <c r="DG927" t="e">
        <v>#N/A</v>
      </c>
      <c r="DH927" t="e">
        <v>#N/A</v>
      </c>
      <c r="DI927" t="e">
        <v>#N/A</v>
      </c>
    </row>
    <row r="928" spans="14:113">
      <c r="N928" t="str">
        <f t="shared" si="109"/>
        <v/>
      </c>
      <c r="O928" s="4" t="str">
        <f t="shared" si="110"/>
        <v>click</v>
      </c>
      <c r="P928" t="str">
        <f t="shared" si="111"/>
        <v>();</v>
      </c>
      <c r="S928" s="1" t="str">
        <f t="shared" si="108"/>
        <v/>
      </c>
      <c r="CT928" t="e">
        <v>#N/A</v>
      </c>
      <c r="CU928" t="e">
        <v>#N/A</v>
      </c>
      <c r="CV928" t="e">
        <v>#N/A</v>
      </c>
      <c r="CW928" t="e">
        <v>#N/A</v>
      </c>
      <c r="CX928" t="e">
        <v>#N/A</v>
      </c>
      <c r="CY928" t="e">
        <v>#N/A</v>
      </c>
      <c r="CZ928" t="e">
        <v>#N/A</v>
      </c>
      <c r="DA928" t="e">
        <v>#N/A</v>
      </c>
      <c r="DB928" t="e">
        <v>#N/A</v>
      </c>
      <c r="DC928" t="e">
        <v>#N/A</v>
      </c>
      <c r="DD928" t="e">
        <v>#N/A</v>
      </c>
      <c r="DE928" t="e">
        <v>#N/A</v>
      </c>
      <c r="DF928" t="e">
        <v>#N/A</v>
      </c>
      <c r="DG928" t="e">
        <v>#N/A</v>
      </c>
      <c r="DH928" t="e">
        <v>#N/A</v>
      </c>
      <c r="DI928" t="e">
        <v>#N/A</v>
      </c>
    </row>
    <row r="929" spans="14:113">
      <c r="N929" t="str">
        <f t="shared" si="109"/>
        <v/>
      </c>
      <c r="O929" s="4" t="str">
        <f t="shared" si="110"/>
        <v>click</v>
      </c>
      <c r="P929" t="str">
        <f t="shared" si="111"/>
        <v>();</v>
      </c>
      <c r="S929" s="1" t="str">
        <f t="shared" si="108"/>
        <v/>
      </c>
      <c r="CT929" t="e">
        <v>#N/A</v>
      </c>
      <c r="CU929" t="e">
        <v>#N/A</v>
      </c>
      <c r="CV929" t="e">
        <v>#N/A</v>
      </c>
      <c r="CW929" t="e">
        <v>#N/A</v>
      </c>
      <c r="CX929" t="e">
        <v>#N/A</v>
      </c>
      <c r="CY929" t="e">
        <v>#N/A</v>
      </c>
      <c r="CZ929" t="e">
        <v>#N/A</v>
      </c>
      <c r="DA929" t="e">
        <v>#N/A</v>
      </c>
      <c r="DB929" t="e">
        <v>#N/A</v>
      </c>
      <c r="DC929" t="e">
        <v>#N/A</v>
      </c>
      <c r="DD929" t="e">
        <v>#N/A</v>
      </c>
      <c r="DE929" t="e">
        <v>#N/A</v>
      </c>
      <c r="DF929" t="e">
        <v>#N/A</v>
      </c>
      <c r="DG929" t="e">
        <v>#N/A</v>
      </c>
      <c r="DH929" t="e">
        <v>#N/A</v>
      </c>
      <c r="DI929" t="e">
        <v>#N/A</v>
      </c>
    </row>
    <row r="930" spans="14:113">
      <c r="N930" t="str">
        <f t="shared" si="109"/>
        <v/>
      </c>
      <c r="O930" s="4" t="str">
        <f t="shared" si="110"/>
        <v>click</v>
      </c>
      <c r="P930" t="str">
        <f t="shared" si="111"/>
        <v>();</v>
      </c>
      <c r="S930" s="1" t="str">
        <f t="shared" si="108"/>
        <v/>
      </c>
      <c r="CT930" t="e">
        <v>#N/A</v>
      </c>
      <c r="CU930" t="e">
        <v>#N/A</v>
      </c>
      <c r="CV930" t="e">
        <v>#N/A</v>
      </c>
      <c r="CW930" t="e">
        <v>#N/A</v>
      </c>
      <c r="CX930" t="e">
        <v>#N/A</v>
      </c>
      <c r="CY930" t="e">
        <v>#N/A</v>
      </c>
      <c r="CZ930" t="e">
        <v>#N/A</v>
      </c>
      <c r="DA930" t="e">
        <v>#N/A</v>
      </c>
      <c r="DB930" t="e">
        <v>#N/A</v>
      </c>
      <c r="DC930" t="e">
        <v>#N/A</v>
      </c>
      <c r="DD930" t="e">
        <v>#N/A</v>
      </c>
      <c r="DE930" t="e">
        <v>#N/A</v>
      </c>
      <c r="DF930" t="e">
        <v>#N/A</v>
      </c>
      <c r="DG930" t="e">
        <v>#N/A</v>
      </c>
      <c r="DH930" t="e">
        <v>#N/A</v>
      </c>
      <c r="DI930" t="e">
        <v>#N/A</v>
      </c>
    </row>
    <row r="931" spans="14:113">
      <c r="N931" t="str">
        <f t="shared" si="109"/>
        <v/>
      </c>
      <c r="O931" s="4" t="str">
        <f t="shared" si="110"/>
        <v>click</v>
      </c>
      <c r="P931" t="str">
        <f t="shared" si="111"/>
        <v>();</v>
      </c>
      <c r="S931" s="1" t="str">
        <f t="shared" si="108"/>
        <v/>
      </c>
      <c r="CT931" t="e">
        <v>#N/A</v>
      </c>
      <c r="CU931" t="e">
        <v>#N/A</v>
      </c>
      <c r="CV931" t="e">
        <v>#N/A</v>
      </c>
      <c r="CW931" t="e">
        <v>#N/A</v>
      </c>
      <c r="CX931" t="e">
        <v>#N/A</v>
      </c>
      <c r="CY931" t="e">
        <v>#N/A</v>
      </c>
      <c r="CZ931" t="e">
        <v>#N/A</v>
      </c>
      <c r="DA931" t="e">
        <v>#N/A</v>
      </c>
      <c r="DB931" t="e">
        <v>#N/A</v>
      </c>
      <c r="DC931" t="e">
        <v>#N/A</v>
      </c>
      <c r="DD931" t="e">
        <v>#N/A</v>
      </c>
      <c r="DE931" t="e">
        <v>#N/A</v>
      </c>
      <c r="DF931" t="e">
        <v>#N/A</v>
      </c>
      <c r="DG931" t="e">
        <v>#N/A</v>
      </c>
      <c r="DH931" t="e">
        <v>#N/A</v>
      </c>
      <c r="DI931" t="e">
        <v>#N/A</v>
      </c>
    </row>
    <row r="932" spans="14:113">
      <c r="N932" t="str">
        <f t="shared" si="109"/>
        <v/>
      </c>
      <c r="O932" s="4" t="str">
        <f t="shared" si="110"/>
        <v>click</v>
      </c>
      <c r="P932" t="str">
        <f t="shared" si="111"/>
        <v>();</v>
      </c>
      <c r="S932" s="1" t="str">
        <f t="shared" si="108"/>
        <v/>
      </c>
      <c r="CT932" t="e">
        <v>#N/A</v>
      </c>
      <c r="CU932" t="e">
        <v>#N/A</v>
      </c>
      <c r="CV932" t="e">
        <v>#N/A</v>
      </c>
      <c r="CW932" t="e">
        <v>#N/A</v>
      </c>
      <c r="CX932" t="e">
        <v>#N/A</v>
      </c>
      <c r="CY932" t="e">
        <v>#N/A</v>
      </c>
      <c r="CZ932" t="e">
        <v>#N/A</v>
      </c>
      <c r="DA932" t="e">
        <v>#N/A</v>
      </c>
      <c r="DB932" t="e">
        <v>#N/A</v>
      </c>
      <c r="DC932" t="e">
        <v>#N/A</v>
      </c>
      <c r="DD932" t="e">
        <v>#N/A</v>
      </c>
      <c r="DE932" t="e">
        <v>#N/A</v>
      </c>
      <c r="DF932" t="e">
        <v>#N/A</v>
      </c>
      <c r="DG932" t="e">
        <v>#N/A</v>
      </c>
      <c r="DH932" t="e">
        <v>#N/A</v>
      </c>
      <c r="DI932" t="e">
        <v>#N/A</v>
      </c>
    </row>
    <row r="933" spans="14:113">
      <c r="N933" t="str">
        <f t="shared" si="109"/>
        <v/>
      </c>
      <c r="O933" s="4" t="str">
        <f t="shared" si="110"/>
        <v>click</v>
      </c>
      <c r="P933" t="str">
        <f t="shared" si="111"/>
        <v>();</v>
      </c>
      <c r="S933" s="1" t="str">
        <f t="shared" si="108"/>
        <v/>
      </c>
      <c r="CT933" t="e">
        <v>#N/A</v>
      </c>
      <c r="CU933" t="e">
        <v>#N/A</v>
      </c>
      <c r="CV933" t="e">
        <v>#N/A</v>
      </c>
      <c r="CW933" t="e">
        <v>#N/A</v>
      </c>
      <c r="CX933" t="e">
        <v>#N/A</v>
      </c>
      <c r="CY933" t="e">
        <v>#N/A</v>
      </c>
      <c r="CZ933" t="e">
        <v>#N/A</v>
      </c>
      <c r="DA933" t="e">
        <v>#N/A</v>
      </c>
      <c r="DB933" t="e">
        <v>#N/A</v>
      </c>
      <c r="DC933" t="e">
        <v>#N/A</v>
      </c>
      <c r="DD933" t="e">
        <v>#N/A</v>
      </c>
      <c r="DE933" t="e">
        <v>#N/A</v>
      </c>
      <c r="DF933" t="e">
        <v>#N/A</v>
      </c>
      <c r="DG933" t="e">
        <v>#N/A</v>
      </c>
      <c r="DH933" t="e">
        <v>#N/A</v>
      </c>
      <c r="DI933" t="e">
        <v>#N/A</v>
      </c>
    </row>
    <row r="934" spans="14:113">
      <c r="N934" t="str">
        <f t="shared" si="109"/>
        <v/>
      </c>
      <c r="O934" s="4" t="str">
        <f t="shared" si="110"/>
        <v>click</v>
      </c>
      <c r="P934" t="str">
        <f t="shared" si="111"/>
        <v>();</v>
      </c>
      <c r="S934" s="1" t="str">
        <f t="shared" si="108"/>
        <v/>
      </c>
      <c r="CT934" t="e">
        <v>#N/A</v>
      </c>
      <c r="CU934" t="e">
        <v>#N/A</v>
      </c>
      <c r="CV934" t="e">
        <v>#N/A</v>
      </c>
      <c r="CW934" t="e">
        <v>#N/A</v>
      </c>
      <c r="CX934" t="e">
        <v>#N/A</v>
      </c>
      <c r="CY934" t="e">
        <v>#N/A</v>
      </c>
      <c r="CZ934" t="e">
        <v>#N/A</v>
      </c>
      <c r="DA934" t="e">
        <v>#N/A</v>
      </c>
      <c r="DB934" t="e">
        <v>#N/A</v>
      </c>
      <c r="DC934" t="e">
        <v>#N/A</v>
      </c>
      <c r="DD934" t="e">
        <v>#N/A</v>
      </c>
      <c r="DE934" t="e">
        <v>#N/A</v>
      </c>
      <c r="DF934" t="e">
        <v>#N/A</v>
      </c>
      <c r="DG934" t="e">
        <v>#N/A</v>
      </c>
      <c r="DH934" t="e">
        <v>#N/A</v>
      </c>
      <c r="DI934" t="e">
        <v>#N/A</v>
      </c>
    </row>
    <row r="935" spans="14:113">
      <c r="N935" t="str">
        <f t="shared" si="109"/>
        <v/>
      </c>
      <c r="O935" s="4" t="str">
        <f t="shared" si="110"/>
        <v>click</v>
      </c>
      <c r="P935" t="str">
        <f t="shared" si="111"/>
        <v>();</v>
      </c>
      <c r="S935" s="1" t="str">
        <f t="shared" si="108"/>
        <v/>
      </c>
      <c r="CT935" t="e">
        <v>#N/A</v>
      </c>
      <c r="CU935" t="e">
        <v>#N/A</v>
      </c>
      <c r="CV935" t="e">
        <v>#N/A</v>
      </c>
      <c r="CW935" t="e">
        <v>#N/A</v>
      </c>
      <c r="CX935" t="e">
        <v>#N/A</v>
      </c>
      <c r="CY935" t="e">
        <v>#N/A</v>
      </c>
      <c r="CZ935" t="e">
        <v>#N/A</v>
      </c>
      <c r="DA935" t="e">
        <v>#N/A</v>
      </c>
      <c r="DB935" t="e">
        <v>#N/A</v>
      </c>
      <c r="DC935" t="e">
        <v>#N/A</v>
      </c>
      <c r="DD935" t="e">
        <v>#N/A</v>
      </c>
      <c r="DE935" t="e">
        <v>#N/A</v>
      </c>
      <c r="DF935" t="e">
        <v>#N/A</v>
      </c>
      <c r="DG935" t="e">
        <v>#N/A</v>
      </c>
      <c r="DH935" t="e">
        <v>#N/A</v>
      </c>
      <c r="DI935" t="e">
        <v>#N/A</v>
      </c>
    </row>
    <row r="936" spans="14:113">
      <c r="N936" t="str">
        <f t="shared" si="109"/>
        <v/>
      </c>
      <c r="O936" s="4" t="str">
        <f t="shared" si="110"/>
        <v>click</v>
      </c>
      <c r="P936" t="str">
        <f t="shared" si="111"/>
        <v>();</v>
      </c>
      <c r="S936" s="1" t="str">
        <f t="shared" si="108"/>
        <v/>
      </c>
      <c r="CT936" t="e">
        <v>#N/A</v>
      </c>
      <c r="CU936" t="e">
        <v>#N/A</v>
      </c>
      <c r="CV936" t="e">
        <v>#N/A</v>
      </c>
      <c r="CW936" t="e">
        <v>#N/A</v>
      </c>
      <c r="CX936" t="e">
        <v>#N/A</v>
      </c>
      <c r="CY936" t="e">
        <v>#N/A</v>
      </c>
      <c r="CZ936" t="e">
        <v>#N/A</v>
      </c>
      <c r="DA936" t="e">
        <v>#N/A</v>
      </c>
      <c r="DB936" t="e">
        <v>#N/A</v>
      </c>
      <c r="DC936" t="e">
        <v>#N/A</v>
      </c>
      <c r="DD936" t="e">
        <v>#N/A</v>
      </c>
      <c r="DE936" t="e">
        <v>#N/A</v>
      </c>
      <c r="DF936" t="e">
        <v>#N/A</v>
      </c>
      <c r="DG936" t="e">
        <v>#N/A</v>
      </c>
      <c r="DH936" t="e">
        <v>#N/A</v>
      </c>
      <c r="DI936" t="e">
        <v>#N/A</v>
      </c>
    </row>
    <row r="937" spans="14:113">
      <c r="N937" t="str">
        <f t="shared" si="109"/>
        <v/>
      </c>
      <c r="O937" s="4" t="str">
        <f t="shared" si="110"/>
        <v>click</v>
      </c>
      <c r="P937" t="str">
        <f t="shared" si="111"/>
        <v>();</v>
      </c>
      <c r="S937" s="1" t="str">
        <f t="shared" si="108"/>
        <v/>
      </c>
      <c r="CT937" t="e">
        <v>#N/A</v>
      </c>
      <c r="CU937" t="e">
        <v>#N/A</v>
      </c>
      <c r="CV937" t="e">
        <v>#N/A</v>
      </c>
      <c r="CW937" t="e">
        <v>#N/A</v>
      </c>
      <c r="CX937" t="e">
        <v>#N/A</v>
      </c>
      <c r="CY937" t="e">
        <v>#N/A</v>
      </c>
      <c r="CZ937" t="e">
        <v>#N/A</v>
      </c>
      <c r="DA937" t="e">
        <v>#N/A</v>
      </c>
      <c r="DB937" t="e">
        <v>#N/A</v>
      </c>
      <c r="DC937" t="e">
        <v>#N/A</v>
      </c>
      <c r="DD937" t="e">
        <v>#N/A</v>
      </c>
      <c r="DE937" t="e">
        <v>#N/A</v>
      </c>
      <c r="DF937" t="e">
        <v>#N/A</v>
      </c>
      <c r="DG937" t="e">
        <v>#N/A</v>
      </c>
      <c r="DH937" t="e">
        <v>#N/A</v>
      </c>
      <c r="DI937" t="e">
        <v>#N/A</v>
      </c>
    </row>
    <row r="938" spans="14:113">
      <c r="N938" t="str">
        <f t="shared" si="109"/>
        <v/>
      </c>
      <c r="O938" s="4" t="str">
        <f t="shared" si="110"/>
        <v>click</v>
      </c>
      <c r="P938" t="str">
        <f t="shared" si="111"/>
        <v>();</v>
      </c>
      <c r="S938" s="1" t="str">
        <f t="shared" si="108"/>
        <v/>
      </c>
      <c r="CT938" t="e">
        <v>#N/A</v>
      </c>
      <c r="CU938" t="e">
        <v>#N/A</v>
      </c>
      <c r="CV938" t="e">
        <v>#N/A</v>
      </c>
      <c r="CW938" t="e">
        <v>#N/A</v>
      </c>
      <c r="CX938" t="e">
        <v>#N/A</v>
      </c>
      <c r="CY938" t="e">
        <v>#N/A</v>
      </c>
      <c r="CZ938" t="e">
        <v>#N/A</v>
      </c>
      <c r="DA938" t="e">
        <v>#N/A</v>
      </c>
      <c r="DB938" t="e">
        <v>#N/A</v>
      </c>
      <c r="DC938" t="e">
        <v>#N/A</v>
      </c>
      <c r="DD938" t="e">
        <v>#N/A</v>
      </c>
      <c r="DE938" t="e">
        <v>#N/A</v>
      </c>
      <c r="DF938" t="e">
        <v>#N/A</v>
      </c>
      <c r="DG938" t="e">
        <v>#N/A</v>
      </c>
      <c r="DH938" t="e">
        <v>#N/A</v>
      </c>
      <c r="DI938" t="e">
        <v>#N/A</v>
      </c>
    </row>
    <row r="939" spans="14:113">
      <c r="N939" t="str">
        <f t="shared" si="109"/>
        <v/>
      </c>
      <c r="O939" s="4" t="str">
        <f t="shared" si="110"/>
        <v>click</v>
      </c>
      <c r="P939" t="str">
        <f t="shared" si="111"/>
        <v>();</v>
      </c>
      <c r="S939" s="1" t="str">
        <f t="shared" si="108"/>
        <v/>
      </c>
      <c r="CT939" t="e">
        <v>#N/A</v>
      </c>
      <c r="CU939" t="e">
        <v>#N/A</v>
      </c>
      <c r="CV939" t="e">
        <v>#N/A</v>
      </c>
      <c r="CW939" t="e">
        <v>#N/A</v>
      </c>
      <c r="CX939" t="e">
        <v>#N/A</v>
      </c>
      <c r="CY939" t="e">
        <v>#N/A</v>
      </c>
      <c r="CZ939" t="e">
        <v>#N/A</v>
      </c>
      <c r="DA939" t="e">
        <v>#N/A</v>
      </c>
      <c r="DB939" t="e">
        <v>#N/A</v>
      </c>
      <c r="DC939" t="e">
        <v>#N/A</v>
      </c>
      <c r="DD939" t="e">
        <v>#N/A</v>
      </c>
      <c r="DE939" t="e">
        <v>#N/A</v>
      </c>
      <c r="DF939" t="e">
        <v>#N/A</v>
      </c>
      <c r="DG939" t="e">
        <v>#N/A</v>
      </c>
      <c r="DH939" t="e">
        <v>#N/A</v>
      </c>
      <c r="DI939" t="e">
        <v>#N/A</v>
      </c>
    </row>
    <row r="940" spans="14:113">
      <c r="N940" t="str">
        <f t="shared" si="109"/>
        <v/>
      </c>
      <c r="O940" s="4" t="str">
        <f t="shared" si="110"/>
        <v>click</v>
      </c>
      <c r="P940" t="str">
        <f t="shared" si="111"/>
        <v>();</v>
      </c>
      <c r="S940" s="1" t="str">
        <f t="shared" si="108"/>
        <v/>
      </c>
      <c r="CT940" t="e">
        <v>#N/A</v>
      </c>
      <c r="CU940" t="e">
        <v>#N/A</v>
      </c>
      <c r="CV940" t="e">
        <v>#N/A</v>
      </c>
      <c r="CW940" t="e">
        <v>#N/A</v>
      </c>
      <c r="CX940" t="e">
        <v>#N/A</v>
      </c>
      <c r="CY940" t="e">
        <v>#N/A</v>
      </c>
      <c r="CZ940" t="e">
        <v>#N/A</v>
      </c>
      <c r="DA940" t="e">
        <v>#N/A</v>
      </c>
      <c r="DB940" t="e">
        <v>#N/A</v>
      </c>
      <c r="DC940" t="e">
        <v>#N/A</v>
      </c>
      <c r="DD940" t="e">
        <v>#N/A</v>
      </c>
      <c r="DE940" t="e">
        <v>#N/A</v>
      </c>
      <c r="DF940" t="e">
        <v>#N/A</v>
      </c>
      <c r="DG940" t="e">
        <v>#N/A</v>
      </c>
      <c r="DH940" t="e">
        <v>#N/A</v>
      </c>
      <c r="DI940" t="e">
        <v>#N/A</v>
      </c>
    </row>
    <row r="941" spans="14:113">
      <c r="N941" t="str">
        <f t="shared" si="109"/>
        <v/>
      </c>
      <c r="O941" s="4" t="str">
        <f t="shared" si="110"/>
        <v>click</v>
      </c>
      <c r="P941" t="str">
        <f t="shared" si="111"/>
        <v>();</v>
      </c>
      <c r="S941" s="1" t="str">
        <f t="shared" si="108"/>
        <v/>
      </c>
      <c r="CT941" t="e">
        <v>#N/A</v>
      </c>
      <c r="CU941" t="e">
        <v>#N/A</v>
      </c>
      <c r="CV941" t="e">
        <v>#N/A</v>
      </c>
      <c r="CW941" t="e">
        <v>#N/A</v>
      </c>
      <c r="CX941" t="e">
        <v>#N/A</v>
      </c>
      <c r="CY941" t="e">
        <v>#N/A</v>
      </c>
      <c r="CZ941" t="e">
        <v>#N/A</v>
      </c>
      <c r="DA941" t="e">
        <v>#N/A</v>
      </c>
      <c r="DB941" t="e">
        <v>#N/A</v>
      </c>
      <c r="DC941" t="e">
        <v>#N/A</v>
      </c>
      <c r="DD941" t="e">
        <v>#N/A</v>
      </c>
      <c r="DE941" t="e">
        <v>#N/A</v>
      </c>
      <c r="DF941" t="e">
        <v>#N/A</v>
      </c>
      <c r="DG941" t="e">
        <v>#N/A</v>
      </c>
      <c r="DH941" t="e">
        <v>#N/A</v>
      </c>
      <c r="DI941" t="e">
        <v>#N/A</v>
      </c>
    </row>
    <row r="942" spans="14:113">
      <c r="N942" t="str">
        <f t="shared" si="109"/>
        <v/>
      </c>
      <c r="O942" s="4" t="str">
        <f t="shared" si="110"/>
        <v>click</v>
      </c>
      <c r="P942" t="str">
        <f t="shared" si="111"/>
        <v>();</v>
      </c>
      <c r="S942" s="1" t="str">
        <f t="shared" si="108"/>
        <v/>
      </c>
      <c r="CT942" t="e">
        <v>#N/A</v>
      </c>
      <c r="CU942" t="e">
        <v>#N/A</v>
      </c>
      <c r="CV942" t="e">
        <v>#N/A</v>
      </c>
      <c r="CW942" t="e">
        <v>#N/A</v>
      </c>
      <c r="CX942" t="e">
        <v>#N/A</v>
      </c>
      <c r="CY942" t="e">
        <v>#N/A</v>
      </c>
      <c r="CZ942" t="e">
        <v>#N/A</v>
      </c>
      <c r="DA942" t="e">
        <v>#N/A</v>
      </c>
      <c r="DB942" t="e">
        <v>#N/A</v>
      </c>
      <c r="DC942" t="e">
        <v>#N/A</v>
      </c>
      <c r="DD942" t="e">
        <v>#N/A</v>
      </c>
      <c r="DE942" t="e">
        <v>#N/A</v>
      </c>
      <c r="DF942" t="e">
        <v>#N/A</v>
      </c>
      <c r="DG942" t="e">
        <v>#N/A</v>
      </c>
      <c r="DH942" t="e">
        <v>#N/A</v>
      </c>
      <c r="DI942" t="e">
        <v>#N/A</v>
      </c>
    </row>
    <row r="943" spans="14:113">
      <c r="N943" t="str">
        <f t="shared" si="109"/>
        <v/>
      </c>
      <c r="O943" s="4" t="str">
        <f t="shared" si="110"/>
        <v>click</v>
      </c>
      <c r="P943" t="str">
        <f t="shared" si="111"/>
        <v>();</v>
      </c>
      <c r="S943" s="1" t="str">
        <f t="shared" si="108"/>
        <v/>
      </c>
      <c r="CT943" t="e">
        <v>#N/A</v>
      </c>
      <c r="CU943" t="e">
        <v>#N/A</v>
      </c>
      <c r="CV943" t="e">
        <v>#N/A</v>
      </c>
      <c r="CW943" t="e">
        <v>#N/A</v>
      </c>
      <c r="CX943" t="e">
        <v>#N/A</v>
      </c>
      <c r="CY943" t="e">
        <v>#N/A</v>
      </c>
      <c r="CZ943" t="e">
        <v>#N/A</v>
      </c>
      <c r="DA943" t="e">
        <v>#N/A</v>
      </c>
      <c r="DB943" t="e">
        <v>#N/A</v>
      </c>
      <c r="DC943" t="e">
        <v>#N/A</v>
      </c>
      <c r="DD943" t="e">
        <v>#N/A</v>
      </c>
      <c r="DE943" t="e">
        <v>#N/A</v>
      </c>
      <c r="DF943" t="e">
        <v>#N/A</v>
      </c>
      <c r="DG943" t="e">
        <v>#N/A</v>
      </c>
      <c r="DH943" t="e">
        <v>#N/A</v>
      </c>
      <c r="DI943" t="e">
        <v>#N/A</v>
      </c>
    </row>
    <row r="944" spans="14:113">
      <c r="N944" t="str">
        <f t="shared" si="109"/>
        <v/>
      </c>
      <c r="O944" s="4" t="str">
        <f t="shared" si="110"/>
        <v>click</v>
      </c>
      <c r="P944" t="str">
        <f t="shared" si="111"/>
        <v>();</v>
      </c>
      <c r="S944" s="1" t="str">
        <f t="shared" si="108"/>
        <v/>
      </c>
      <c r="CT944" t="e">
        <v>#N/A</v>
      </c>
      <c r="CU944" t="e">
        <v>#N/A</v>
      </c>
      <c r="CV944" t="e">
        <v>#N/A</v>
      </c>
      <c r="CW944" t="e">
        <v>#N/A</v>
      </c>
      <c r="CX944" t="e">
        <v>#N/A</v>
      </c>
      <c r="CY944" t="e">
        <v>#N/A</v>
      </c>
      <c r="CZ944" t="e">
        <v>#N/A</v>
      </c>
      <c r="DA944" t="e">
        <v>#N/A</v>
      </c>
      <c r="DB944" t="e">
        <v>#N/A</v>
      </c>
      <c r="DC944" t="e">
        <v>#N/A</v>
      </c>
      <c r="DD944" t="e">
        <v>#N/A</v>
      </c>
      <c r="DE944" t="e">
        <v>#N/A</v>
      </c>
      <c r="DF944" t="e">
        <v>#N/A</v>
      </c>
      <c r="DG944" t="e">
        <v>#N/A</v>
      </c>
      <c r="DH944" t="e">
        <v>#N/A</v>
      </c>
      <c r="DI944" t="e">
        <v>#N/A</v>
      </c>
    </row>
    <row r="945" spans="14:113">
      <c r="N945" t="str">
        <f t="shared" si="109"/>
        <v/>
      </c>
      <c r="O945" s="4" t="str">
        <f t="shared" si="110"/>
        <v>click</v>
      </c>
      <c r="P945" t="str">
        <f t="shared" si="111"/>
        <v>();</v>
      </c>
      <c r="S945" s="1" t="str">
        <f t="shared" si="108"/>
        <v/>
      </c>
      <c r="CT945" t="e">
        <v>#N/A</v>
      </c>
      <c r="CU945" t="e">
        <v>#N/A</v>
      </c>
      <c r="CV945" t="e">
        <v>#N/A</v>
      </c>
      <c r="CW945" t="e">
        <v>#N/A</v>
      </c>
      <c r="CX945" t="e">
        <v>#N/A</v>
      </c>
      <c r="CY945" t="e">
        <v>#N/A</v>
      </c>
      <c r="CZ945" t="e">
        <v>#N/A</v>
      </c>
      <c r="DA945" t="e">
        <v>#N/A</v>
      </c>
      <c r="DB945" t="e">
        <v>#N/A</v>
      </c>
      <c r="DC945" t="e">
        <v>#N/A</v>
      </c>
      <c r="DD945" t="e">
        <v>#N/A</v>
      </c>
      <c r="DE945" t="e">
        <v>#N/A</v>
      </c>
      <c r="DF945" t="e">
        <v>#N/A</v>
      </c>
      <c r="DG945" t="e">
        <v>#N/A</v>
      </c>
      <c r="DH945" t="e">
        <v>#N/A</v>
      </c>
      <c r="DI945" t="e">
        <v>#N/A</v>
      </c>
    </row>
    <row r="946" spans="14:113">
      <c r="N946" t="str">
        <f t="shared" si="109"/>
        <v/>
      </c>
      <c r="O946" s="4" t="str">
        <f t="shared" si="110"/>
        <v>click</v>
      </c>
      <c r="P946" t="str">
        <f t="shared" si="111"/>
        <v>();</v>
      </c>
      <c r="S946" s="1" t="str">
        <f t="shared" si="108"/>
        <v/>
      </c>
      <c r="CT946" t="e">
        <v>#N/A</v>
      </c>
      <c r="CU946" t="e">
        <v>#N/A</v>
      </c>
      <c r="CV946" t="e">
        <v>#N/A</v>
      </c>
      <c r="CW946" t="e">
        <v>#N/A</v>
      </c>
      <c r="CX946" t="e">
        <v>#N/A</v>
      </c>
      <c r="CY946" t="e">
        <v>#N/A</v>
      </c>
      <c r="CZ946" t="e">
        <v>#N/A</v>
      </c>
      <c r="DA946" t="e">
        <v>#N/A</v>
      </c>
      <c r="DB946" t="e">
        <v>#N/A</v>
      </c>
      <c r="DC946" t="e">
        <v>#N/A</v>
      </c>
      <c r="DD946" t="e">
        <v>#N/A</v>
      </c>
      <c r="DE946" t="e">
        <v>#N/A</v>
      </c>
      <c r="DF946" t="e">
        <v>#N/A</v>
      </c>
      <c r="DG946" t="e">
        <v>#N/A</v>
      </c>
      <c r="DH946" t="e">
        <v>#N/A</v>
      </c>
      <c r="DI946" t="e">
        <v>#N/A</v>
      </c>
    </row>
    <row r="947" spans="14:113">
      <c r="N947" t="str">
        <f t="shared" si="109"/>
        <v/>
      </c>
      <c r="O947" s="4" t="str">
        <f t="shared" si="110"/>
        <v>click</v>
      </c>
      <c r="P947" t="str">
        <f t="shared" si="111"/>
        <v>();</v>
      </c>
      <c r="S947" s="1" t="str">
        <f t="shared" si="108"/>
        <v/>
      </c>
      <c r="CT947" t="e">
        <v>#N/A</v>
      </c>
      <c r="CU947" t="e">
        <v>#N/A</v>
      </c>
      <c r="CV947" t="e">
        <v>#N/A</v>
      </c>
      <c r="CW947" t="e">
        <v>#N/A</v>
      </c>
      <c r="CX947" t="e">
        <v>#N/A</v>
      </c>
      <c r="CY947" t="e">
        <v>#N/A</v>
      </c>
      <c r="CZ947" t="e">
        <v>#N/A</v>
      </c>
      <c r="DA947" t="e">
        <v>#N/A</v>
      </c>
      <c r="DB947" t="e">
        <v>#N/A</v>
      </c>
      <c r="DC947" t="e">
        <v>#N/A</v>
      </c>
      <c r="DD947" t="e">
        <v>#N/A</v>
      </c>
      <c r="DE947" t="e">
        <v>#N/A</v>
      </c>
      <c r="DF947" t="e">
        <v>#N/A</v>
      </c>
      <c r="DG947" t="e">
        <v>#N/A</v>
      </c>
      <c r="DH947" t="e">
        <v>#N/A</v>
      </c>
      <c r="DI947" t="e">
        <v>#N/A</v>
      </c>
    </row>
    <row r="948" spans="14:113">
      <c r="N948" t="str">
        <f t="shared" si="109"/>
        <v/>
      </c>
      <c r="O948" s="4" t="str">
        <f t="shared" si="110"/>
        <v>click</v>
      </c>
      <c r="P948" t="str">
        <f t="shared" si="111"/>
        <v>();</v>
      </c>
      <c r="S948" s="1" t="str">
        <f t="shared" si="108"/>
        <v/>
      </c>
      <c r="CT948" t="e">
        <v>#N/A</v>
      </c>
      <c r="CU948" t="e">
        <v>#N/A</v>
      </c>
      <c r="CV948" t="e">
        <v>#N/A</v>
      </c>
      <c r="CW948" t="e">
        <v>#N/A</v>
      </c>
      <c r="CX948" t="e">
        <v>#N/A</v>
      </c>
      <c r="CY948" t="e">
        <v>#N/A</v>
      </c>
      <c r="CZ948" t="e">
        <v>#N/A</v>
      </c>
      <c r="DA948" t="e">
        <v>#N/A</v>
      </c>
      <c r="DB948" t="e">
        <v>#N/A</v>
      </c>
      <c r="DC948" t="e">
        <v>#N/A</v>
      </c>
      <c r="DD948" t="e">
        <v>#N/A</v>
      </c>
      <c r="DE948" t="e">
        <v>#N/A</v>
      </c>
      <c r="DF948" t="e">
        <v>#N/A</v>
      </c>
      <c r="DG948" t="e">
        <v>#N/A</v>
      </c>
      <c r="DH948" t="e">
        <v>#N/A</v>
      </c>
      <c r="DI948" t="e">
        <v>#N/A</v>
      </c>
    </row>
    <row r="949" spans="14:113">
      <c r="N949" t="str">
        <f t="shared" si="109"/>
        <v/>
      </c>
      <c r="O949" s="4" t="str">
        <f t="shared" si="110"/>
        <v>click</v>
      </c>
      <c r="P949" t="str">
        <f t="shared" si="111"/>
        <v>();</v>
      </c>
      <c r="S949" s="1" t="str">
        <f t="shared" si="108"/>
        <v/>
      </c>
      <c r="CT949" t="e">
        <v>#N/A</v>
      </c>
      <c r="CU949" t="e">
        <v>#N/A</v>
      </c>
      <c r="CV949" t="e">
        <v>#N/A</v>
      </c>
      <c r="CW949" t="e">
        <v>#N/A</v>
      </c>
      <c r="CX949" t="e">
        <v>#N/A</v>
      </c>
      <c r="CY949" t="e">
        <v>#N/A</v>
      </c>
      <c r="CZ949" t="e">
        <v>#N/A</v>
      </c>
      <c r="DA949" t="e">
        <v>#N/A</v>
      </c>
      <c r="DB949" t="e">
        <v>#N/A</v>
      </c>
      <c r="DC949" t="e">
        <v>#N/A</v>
      </c>
      <c r="DD949" t="e">
        <v>#N/A</v>
      </c>
      <c r="DE949" t="e">
        <v>#N/A</v>
      </c>
      <c r="DF949" t="e">
        <v>#N/A</v>
      </c>
      <c r="DG949" t="e">
        <v>#N/A</v>
      </c>
      <c r="DH949" t="e">
        <v>#N/A</v>
      </c>
      <c r="DI949" t="e">
        <v>#N/A</v>
      </c>
    </row>
    <row r="950" spans="14:113">
      <c r="N950" t="str">
        <f t="shared" si="109"/>
        <v/>
      </c>
      <c r="O950" s="4" t="str">
        <f t="shared" si="110"/>
        <v>click</v>
      </c>
      <c r="P950" t="str">
        <f t="shared" si="111"/>
        <v>();</v>
      </c>
      <c r="S950" s="1" t="str">
        <f t="shared" si="108"/>
        <v/>
      </c>
      <c r="CT950" t="e">
        <v>#N/A</v>
      </c>
      <c r="CU950" t="e">
        <v>#N/A</v>
      </c>
      <c r="CV950" t="e">
        <v>#N/A</v>
      </c>
      <c r="CW950" t="e">
        <v>#N/A</v>
      </c>
      <c r="CX950" t="e">
        <v>#N/A</v>
      </c>
      <c r="CY950" t="e">
        <v>#N/A</v>
      </c>
      <c r="CZ950" t="e">
        <v>#N/A</v>
      </c>
      <c r="DA950" t="e">
        <v>#N/A</v>
      </c>
      <c r="DB950" t="e">
        <v>#N/A</v>
      </c>
      <c r="DC950" t="e">
        <v>#N/A</v>
      </c>
      <c r="DD950" t="e">
        <v>#N/A</v>
      </c>
      <c r="DE950" t="e">
        <v>#N/A</v>
      </c>
      <c r="DF950" t="e">
        <v>#N/A</v>
      </c>
      <c r="DG950" t="e">
        <v>#N/A</v>
      </c>
      <c r="DH950" t="e">
        <v>#N/A</v>
      </c>
      <c r="DI950" t="e">
        <v>#N/A</v>
      </c>
    </row>
    <row r="951" spans="14:113">
      <c r="N951" t="str">
        <f t="shared" si="109"/>
        <v/>
      </c>
      <c r="O951" s="4" t="str">
        <f t="shared" si="110"/>
        <v>click</v>
      </c>
      <c r="P951" t="str">
        <f t="shared" si="111"/>
        <v>();</v>
      </c>
      <c r="S951" s="1" t="str">
        <f t="shared" si="108"/>
        <v/>
      </c>
      <c r="CT951" t="e">
        <v>#N/A</v>
      </c>
      <c r="CU951" t="e">
        <v>#N/A</v>
      </c>
      <c r="CV951" t="e">
        <v>#N/A</v>
      </c>
      <c r="CW951" t="e">
        <v>#N/A</v>
      </c>
      <c r="CX951" t="e">
        <v>#N/A</v>
      </c>
      <c r="CY951" t="e">
        <v>#N/A</v>
      </c>
      <c r="CZ951" t="e">
        <v>#N/A</v>
      </c>
      <c r="DA951" t="e">
        <v>#N/A</v>
      </c>
      <c r="DB951" t="e">
        <v>#N/A</v>
      </c>
      <c r="DC951" t="e">
        <v>#N/A</v>
      </c>
      <c r="DD951" t="e">
        <v>#N/A</v>
      </c>
      <c r="DE951" t="e">
        <v>#N/A</v>
      </c>
      <c r="DF951" t="e">
        <v>#N/A</v>
      </c>
      <c r="DG951" t="e">
        <v>#N/A</v>
      </c>
      <c r="DH951" t="e">
        <v>#N/A</v>
      </c>
      <c r="DI951" t="e">
        <v>#N/A</v>
      </c>
    </row>
    <row r="952" spans="14:113">
      <c r="N952" t="str">
        <f t="shared" si="109"/>
        <v/>
      </c>
      <c r="O952" s="4" t="str">
        <f t="shared" si="110"/>
        <v>click</v>
      </c>
      <c r="P952" t="str">
        <f t="shared" si="111"/>
        <v>();</v>
      </c>
      <c r="S952" s="1" t="str">
        <f t="shared" si="108"/>
        <v/>
      </c>
      <c r="CT952" t="e">
        <v>#N/A</v>
      </c>
      <c r="CU952" t="e">
        <v>#N/A</v>
      </c>
      <c r="CV952" t="e">
        <v>#N/A</v>
      </c>
      <c r="CW952" t="e">
        <v>#N/A</v>
      </c>
      <c r="CX952" t="e">
        <v>#N/A</v>
      </c>
      <c r="CY952" t="e">
        <v>#N/A</v>
      </c>
      <c r="CZ952" t="e">
        <v>#N/A</v>
      </c>
      <c r="DA952" t="e">
        <v>#N/A</v>
      </c>
      <c r="DB952" t="e">
        <v>#N/A</v>
      </c>
      <c r="DC952" t="e">
        <v>#N/A</v>
      </c>
      <c r="DD952" t="e">
        <v>#N/A</v>
      </c>
      <c r="DE952" t="e">
        <v>#N/A</v>
      </c>
      <c r="DF952" t="e">
        <v>#N/A</v>
      </c>
      <c r="DG952" t="e">
        <v>#N/A</v>
      </c>
      <c r="DH952" t="e">
        <v>#N/A</v>
      </c>
      <c r="DI952" t="e">
        <v>#N/A</v>
      </c>
    </row>
    <row r="953" spans="14:113">
      <c r="N953" t="str">
        <f t="shared" si="109"/>
        <v/>
      </c>
      <c r="O953" s="4" t="str">
        <f t="shared" si="110"/>
        <v>click</v>
      </c>
      <c r="P953" t="str">
        <f t="shared" si="111"/>
        <v>();</v>
      </c>
      <c r="S953" s="1" t="str">
        <f t="shared" si="108"/>
        <v/>
      </c>
      <c r="CT953" t="e">
        <v>#N/A</v>
      </c>
      <c r="CU953" t="e">
        <v>#N/A</v>
      </c>
      <c r="CV953" t="e">
        <v>#N/A</v>
      </c>
      <c r="CW953" t="e">
        <v>#N/A</v>
      </c>
      <c r="CX953" t="e">
        <v>#N/A</v>
      </c>
      <c r="CY953" t="e">
        <v>#N/A</v>
      </c>
      <c r="CZ953" t="e">
        <v>#N/A</v>
      </c>
      <c r="DA953" t="e">
        <v>#N/A</v>
      </c>
      <c r="DB953" t="e">
        <v>#N/A</v>
      </c>
      <c r="DC953" t="e">
        <v>#N/A</v>
      </c>
      <c r="DD953" t="e">
        <v>#N/A</v>
      </c>
      <c r="DE953" t="e">
        <v>#N/A</v>
      </c>
      <c r="DF953" t="e">
        <v>#N/A</v>
      </c>
      <c r="DG953" t="e">
        <v>#N/A</v>
      </c>
      <c r="DH953" t="e">
        <v>#N/A</v>
      </c>
      <c r="DI953" t="e">
        <v>#N/A</v>
      </c>
    </row>
    <row r="954" spans="14:113">
      <c r="N954" t="str">
        <f t="shared" si="109"/>
        <v/>
      </c>
      <c r="O954" s="4" t="str">
        <f t="shared" si="110"/>
        <v>click</v>
      </c>
      <c r="P954" t="str">
        <f t="shared" si="111"/>
        <v>();</v>
      </c>
      <c r="S954" s="1" t="str">
        <f t="shared" si="108"/>
        <v/>
      </c>
      <c r="CT954" t="e">
        <v>#N/A</v>
      </c>
      <c r="CU954" t="e">
        <v>#N/A</v>
      </c>
      <c r="CV954" t="e">
        <v>#N/A</v>
      </c>
      <c r="CW954" t="e">
        <v>#N/A</v>
      </c>
      <c r="CX954" t="e">
        <v>#N/A</v>
      </c>
      <c r="CY954" t="e">
        <v>#N/A</v>
      </c>
      <c r="CZ954" t="e">
        <v>#N/A</v>
      </c>
      <c r="DA954" t="e">
        <v>#N/A</v>
      </c>
      <c r="DB954" t="e">
        <v>#N/A</v>
      </c>
      <c r="DC954" t="e">
        <v>#N/A</v>
      </c>
      <c r="DD954" t="e">
        <v>#N/A</v>
      </c>
      <c r="DE954" t="e">
        <v>#N/A</v>
      </c>
      <c r="DF954" t="e">
        <v>#N/A</v>
      </c>
      <c r="DG954" t="e">
        <v>#N/A</v>
      </c>
      <c r="DH954" t="e">
        <v>#N/A</v>
      </c>
      <c r="DI954" t="e">
        <v>#N/A</v>
      </c>
    </row>
    <row r="955" spans="14:113">
      <c r="N955" t="str">
        <f t="shared" si="109"/>
        <v/>
      </c>
      <c r="O955" s="4" t="str">
        <f t="shared" si="110"/>
        <v>click</v>
      </c>
      <c r="P955" t="str">
        <f t="shared" si="111"/>
        <v>();</v>
      </c>
      <c r="S955" s="1" t="str">
        <f t="shared" si="108"/>
        <v/>
      </c>
      <c r="CT955" t="e">
        <v>#N/A</v>
      </c>
      <c r="CU955" t="e">
        <v>#N/A</v>
      </c>
      <c r="CV955" t="e">
        <v>#N/A</v>
      </c>
      <c r="CW955" t="e">
        <v>#N/A</v>
      </c>
      <c r="CX955" t="e">
        <v>#N/A</v>
      </c>
      <c r="CY955" t="e">
        <v>#N/A</v>
      </c>
      <c r="CZ955" t="e">
        <v>#N/A</v>
      </c>
      <c r="DA955" t="e">
        <v>#N/A</v>
      </c>
      <c r="DB955" t="e">
        <v>#N/A</v>
      </c>
      <c r="DC955" t="e">
        <v>#N/A</v>
      </c>
      <c r="DD955" t="e">
        <v>#N/A</v>
      </c>
      <c r="DE955" t="e">
        <v>#N/A</v>
      </c>
      <c r="DF955" t="e">
        <v>#N/A</v>
      </c>
      <c r="DG955" t="e">
        <v>#N/A</v>
      </c>
      <c r="DH955" t="e">
        <v>#N/A</v>
      </c>
      <c r="DI955" t="e">
        <v>#N/A</v>
      </c>
    </row>
    <row r="956" spans="14:113">
      <c r="N956" t="str">
        <f t="shared" si="109"/>
        <v/>
      </c>
      <c r="O956" s="4" t="str">
        <f t="shared" si="110"/>
        <v>click</v>
      </c>
      <c r="P956" t="str">
        <f t="shared" si="111"/>
        <v>();</v>
      </c>
      <c r="S956" s="1" t="str">
        <f t="shared" si="108"/>
        <v/>
      </c>
      <c r="CT956" t="e">
        <v>#N/A</v>
      </c>
      <c r="CU956" t="e">
        <v>#N/A</v>
      </c>
      <c r="CV956" t="e">
        <v>#N/A</v>
      </c>
      <c r="CW956" t="e">
        <v>#N/A</v>
      </c>
      <c r="CX956" t="e">
        <v>#N/A</v>
      </c>
      <c r="CY956" t="e">
        <v>#N/A</v>
      </c>
      <c r="CZ956" t="e">
        <v>#N/A</v>
      </c>
      <c r="DA956" t="e">
        <v>#N/A</v>
      </c>
      <c r="DB956" t="e">
        <v>#N/A</v>
      </c>
      <c r="DC956" t="e">
        <v>#N/A</v>
      </c>
      <c r="DD956" t="e">
        <v>#N/A</v>
      </c>
      <c r="DE956" t="e">
        <v>#N/A</v>
      </c>
      <c r="DF956" t="e">
        <v>#N/A</v>
      </c>
      <c r="DG956" t="e">
        <v>#N/A</v>
      </c>
      <c r="DH956" t="e">
        <v>#N/A</v>
      </c>
      <c r="DI956" t="e">
        <v>#N/A</v>
      </c>
    </row>
    <row r="957" spans="14:113">
      <c r="N957" t="str">
        <f t="shared" si="109"/>
        <v/>
      </c>
      <c r="O957" s="4" t="str">
        <f t="shared" si="110"/>
        <v>click</v>
      </c>
      <c r="P957" t="str">
        <f t="shared" si="111"/>
        <v>();</v>
      </c>
      <c r="S957" s="1" t="str">
        <f t="shared" si="108"/>
        <v/>
      </c>
      <c r="CT957" t="e">
        <v>#N/A</v>
      </c>
      <c r="CU957" t="e">
        <v>#N/A</v>
      </c>
      <c r="CV957" t="e">
        <v>#N/A</v>
      </c>
      <c r="CW957" t="e">
        <v>#N/A</v>
      </c>
      <c r="CX957" t="e">
        <v>#N/A</v>
      </c>
      <c r="CY957" t="e">
        <v>#N/A</v>
      </c>
      <c r="CZ957" t="e">
        <v>#N/A</v>
      </c>
      <c r="DA957" t="e">
        <v>#N/A</v>
      </c>
      <c r="DB957" t="e">
        <v>#N/A</v>
      </c>
      <c r="DC957" t="e">
        <v>#N/A</v>
      </c>
      <c r="DD957" t="e">
        <v>#N/A</v>
      </c>
      <c r="DE957" t="e">
        <v>#N/A</v>
      </c>
      <c r="DF957" t="e">
        <v>#N/A</v>
      </c>
      <c r="DG957" t="e">
        <v>#N/A</v>
      </c>
      <c r="DH957" t="e">
        <v>#N/A</v>
      </c>
      <c r="DI957" t="e">
        <v>#N/A</v>
      </c>
    </row>
    <row r="958" spans="14:113">
      <c r="N958" t="str">
        <f t="shared" si="109"/>
        <v/>
      </c>
      <c r="O958" s="4" t="str">
        <f t="shared" si="110"/>
        <v>click</v>
      </c>
      <c r="P958" t="str">
        <f t="shared" si="111"/>
        <v>();</v>
      </c>
      <c r="S958" s="1" t="str">
        <f t="shared" si="108"/>
        <v/>
      </c>
      <c r="CT958" t="e">
        <v>#N/A</v>
      </c>
      <c r="CU958" t="e">
        <v>#N/A</v>
      </c>
      <c r="CV958" t="e">
        <v>#N/A</v>
      </c>
      <c r="CW958" t="e">
        <v>#N/A</v>
      </c>
      <c r="CX958" t="e">
        <v>#N/A</v>
      </c>
      <c r="CY958" t="e">
        <v>#N/A</v>
      </c>
      <c r="CZ958" t="e">
        <v>#N/A</v>
      </c>
      <c r="DA958" t="e">
        <v>#N/A</v>
      </c>
      <c r="DB958" t="e">
        <v>#N/A</v>
      </c>
      <c r="DC958" t="e">
        <v>#N/A</v>
      </c>
      <c r="DD958" t="e">
        <v>#N/A</v>
      </c>
      <c r="DE958" t="e">
        <v>#N/A</v>
      </c>
      <c r="DF958" t="e">
        <v>#N/A</v>
      </c>
      <c r="DG958" t="e">
        <v>#N/A</v>
      </c>
      <c r="DH958" t="e">
        <v>#N/A</v>
      </c>
      <c r="DI958" t="e">
        <v>#N/A</v>
      </c>
    </row>
    <row r="959" spans="14:113">
      <c r="N959" t="str">
        <f t="shared" si="109"/>
        <v/>
      </c>
      <c r="O959" s="4" t="str">
        <f t="shared" si="110"/>
        <v>click</v>
      </c>
      <c r="P959" t="str">
        <f t="shared" si="111"/>
        <v>();</v>
      </c>
      <c r="S959" s="1" t="str">
        <f t="shared" si="108"/>
        <v/>
      </c>
      <c r="CT959" t="e">
        <v>#N/A</v>
      </c>
      <c r="CU959" t="e">
        <v>#N/A</v>
      </c>
      <c r="CV959" t="e">
        <v>#N/A</v>
      </c>
      <c r="CW959" t="e">
        <v>#N/A</v>
      </c>
      <c r="CX959" t="e">
        <v>#N/A</v>
      </c>
      <c r="CY959" t="e">
        <v>#N/A</v>
      </c>
      <c r="CZ959" t="e">
        <v>#N/A</v>
      </c>
      <c r="DA959" t="e">
        <v>#N/A</v>
      </c>
      <c r="DB959" t="e">
        <v>#N/A</v>
      </c>
      <c r="DC959" t="e">
        <v>#N/A</v>
      </c>
      <c r="DD959" t="e">
        <v>#N/A</v>
      </c>
      <c r="DE959" t="e">
        <v>#N/A</v>
      </c>
      <c r="DF959" t="e">
        <v>#N/A</v>
      </c>
      <c r="DG959" t="e">
        <v>#N/A</v>
      </c>
      <c r="DH959" t="e">
        <v>#N/A</v>
      </c>
      <c r="DI959" t="e">
        <v>#N/A</v>
      </c>
    </row>
    <row r="960" spans="14:113">
      <c r="N960" t="str">
        <f t="shared" si="109"/>
        <v/>
      </c>
      <c r="O960" s="4" t="str">
        <f t="shared" si="110"/>
        <v>click</v>
      </c>
      <c r="P960" t="str">
        <f t="shared" si="111"/>
        <v>();</v>
      </c>
      <c r="S960" s="1" t="str">
        <f t="shared" si="108"/>
        <v/>
      </c>
      <c r="CT960" t="e">
        <v>#N/A</v>
      </c>
      <c r="CU960" t="e">
        <v>#N/A</v>
      </c>
      <c r="CV960" t="e">
        <v>#N/A</v>
      </c>
      <c r="CW960" t="e">
        <v>#N/A</v>
      </c>
      <c r="CX960" t="e">
        <v>#N/A</v>
      </c>
      <c r="CY960" t="e">
        <v>#N/A</v>
      </c>
      <c r="CZ960" t="e">
        <v>#N/A</v>
      </c>
      <c r="DA960" t="e">
        <v>#N/A</v>
      </c>
      <c r="DB960" t="e">
        <v>#N/A</v>
      </c>
      <c r="DC960" t="e">
        <v>#N/A</v>
      </c>
      <c r="DD960" t="e">
        <v>#N/A</v>
      </c>
      <c r="DE960" t="e">
        <v>#N/A</v>
      </c>
      <c r="DF960" t="e">
        <v>#N/A</v>
      </c>
      <c r="DG960" t="e">
        <v>#N/A</v>
      </c>
      <c r="DH960" t="e">
        <v>#N/A</v>
      </c>
      <c r="DI960" t="e">
        <v>#N/A</v>
      </c>
    </row>
    <row r="961" spans="14:113">
      <c r="N961" t="str">
        <f t="shared" si="109"/>
        <v/>
      </c>
      <c r="O961" s="4" t="str">
        <f t="shared" si="110"/>
        <v>click</v>
      </c>
      <c r="P961" t="str">
        <f t="shared" si="111"/>
        <v>();</v>
      </c>
      <c r="S961" s="1" t="str">
        <f t="shared" si="108"/>
        <v/>
      </c>
      <c r="CT961" t="e">
        <v>#N/A</v>
      </c>
      <c r="CU961" t="e">
        <v>#N/A</v>
      </c>
      <c r="CV961" t="e">
        <v>#N/A</v>
      </c>
      <c r="CW961" t="e">
        <v>#N/A</v>
      </c>
      <c r="CX961" t="e">
        <v>#N/A</v>
      </c>
      <c r="CY961" t="e">
        <v>#N/A</v>
      </c>
      <c r="CZ961" t="e">
        <v>#N/A</v>
      </c>
      <c r="DA961" t="e">
        <v>#N/A</v>
      </c>
      <c r="DB961" t="e">
        <v>#N/A</v>
      </c>
      <c r="DC961" t="e">
        <v>#N/A</v>
      </c>
      <c r="DD961" t="e">
        <v>#N/A</v>
      </c>
      <c r="DE961" t="e">
        <v>#N/A</v>
      </c>
      <c r="DF961" t="e">
        <v>#N/A</v>
      </c>
      <c r="DG961" t="e">
        <v>#N/A</v>
      </c>
      <c r="DH961" t="e">
        <v>#N/A</v>
      </c>
      <c r="DI961" t="e">
        <v>#N/A</v>
      </c>
    </row>
    <row r="962" spans="14:113">
      <c r="N962" t="str">
        <f t="shared" si="109"/>
        <v/>
      </c>
      <c r="O962" s="4" t="str">
        <f t="shared" si="110"/>
        <v>click</v>
      </c>
      <c r="P962" t="str">
        <f t="shared" si="111"/>
        <v>();</v>
      </c>
      <c r="S962" s="1" t="str">
        <f t="shared" si="108"/>
        <v/>
      </c>
      <c r="CT962" t="e">
        <v>#N/A</v>
      </c>
      <c r="CU962" t="e">
        <v>#N/A</v>
      </c>
      <c r="CV962" t="e">
        <v>#N/A</v>
      </c>
      <c r="CW962" t="e">
        <v>#N/A</v>
      </c>
      <c r="CX962" t="e">
        <v>#N/A</v>
      </c>
      <c r="CY962" t="e">
        <v>#N/A</v>
      </c>
      <c r="CZ962" t="e">
        <v>#N/A</v>
      </c>
      <c r="DA962" t="e">
        <v>#N/A</v>
      </c>
      <c r="DB962" t="e">
        <v>#N/A</v>
      </c>
      <c r="DC962" t="e">
        <v>#N/A</v>
      </c>
      <c r="DD962" t="e">
        <v>#N/A</v>
      </c>
      <c r="DE962" t="e">
        <v>#N/A</v>
      </c>
      <c r="DF962" t="e">
        <v>#N/A</v>
      </c>
      <c r="DG962" t="e">
        <v>#N/A</v>
      </c>
      <c r="DH962" t="e">
        <v>#N/A</v>
      </c>
      <c r="DI962" t="e">
        <v>#N/A</v>
      </c>
    </row>
    <row r="963" spans="14:113">
      <c r="N963" t="str">
        <f t="shared" si="109"/>
        <v/>
      </c>
      <c r="O963" s="4" t="str">
        <f t="shared" si="110"/>
        <v>click</v>
      </c>
      <c r="P963" t="str">
        <f t="shared" si="111"/>
        <v>();</v>
      </c>
      <c r="S963" s="1" t="str">
        <f t="shared" si="108"/>
        <v/>
      </c>
      <c r="CT963" t="e">
        <v>#N/A</v>
      </c>
      <c r="CU963" t="e">
        <v>#N/A</v>
      </c>
      <c r="CV963" t="e">
        <v>#N/A</v>
      </c>
      <c r="CW963" t="e">
        <v>#N/A</v>
      </c>
      <c r="CX963" t="e">
        <v>#N/A</v>
      </c>
      <c r="CY963" t="e">
        <v>#N/A</v>
      </c>
      <c r="CZ963" t="e">
        <v>#N/A</v>
      </c>
      <c r="DA963" t="e">
        <v>#N/A</v>
      </c>
      <c r="DB963" t="e">
        <v>#N/A</v>
      </c>
      <c r="DC963" t="e">
        <v>#N/A</v>
      </c>
      <c r="DD963" t="e">
        <v>#N/A</v>
      </c>
      <c r="DE963" t="e">
        <v>#N/A</v>
      </c>
      <c r="DF963" t="e">
        <v>#N/A</v>
      </c>
      <c r="DG963" t="e">
        <v>#N/A</v>
      </c>
      <c r="DH963" t="e">
        <v>#N/A</v>
      </c>
      <c r="DI963" t="e">
        <v>#N/A</v>
      </c>
    </row>
    <row r="964" spans="14:113">
      <c r="N964" t="str">
        <f t="shared" si="109"/>
        <v/>
      </c>
      <c r="O964" s="4" t="str">
        <f t="shared" si="110"/>
        <v>click</v>
      </c>
      <c r="P964" t="str">
        <f t="shared" si="111"/>
        <v>();</v>
      </c>
      <c r="S964" s="1" t="str">
        <f t="shared" si="108"/>
        <v/>
      </c>
      <c r="CT964" t="e">
        <v>#N/A</v>
      </c>
      <c r="CU964" t="e">
        <v>#N/A</v>
      </c>
      <c r="CV964" t="e">
        <v>#N/A</v>
      </c>
      <c r="CW964" t="e">
        <v>#N/A</v>
      </c>
      <c r="CX964" t="e">
        <v>#N/A</v>
      </c>
      <c r="CY964" t="e">
        <v>#N/A</v>
      </c>
      <c r="CZ964" t="e">
        <v>#N/A</v>
      </c>
      <c r="DA964" t="e">
        <v>#N/A</v>
      </c>
      <c r="DB964" t="e">
        <v>#N/A</v>
      </c>
      <c r="DC964" t="e">
        <v>#N/A</v>
      </c>
      <c r="DD964" t="e">
        <v>#N/A</v>
      </c>
      <c r="DE964" t="e">
        <v>#N/A</v>
      </c>
      <c r="DF964" t="e">
        <v>#N/A</v>
      </c>
      <c r="DG964" t="e">
        <v>#N/A</v>
      </c>
      <c r="DH964" t="e">
        <v>#N/A</v>
      </c>
      <c r="DI964" t="e">
        <v>#N/A</v>
      </c>
    </row>
    <row r="965" spans="14:113">
      <c r="N965" t="str">
        <f t="shared" si="109"/>
        <v/>
      </c>
      <c r="O965" s="4" t="str">
        <f t="shared" si="110"/>
        <v>click</v>
      </c>
      <c r="P965" t="str">
        <f t="shared" si="111"/>
        <v>();</v>
      </c>
      <c r="S965" s="1" t="str">
        <f t="shared" si="108"/>
        <v/>
      </c>
      <c r="CT965" t="e">
        <v>#N/A</v>
      </c>
      <c r="CU965" t="e">
        <v>#N/A</v>
      </c>
      <c r="CV965" t="e">
        <v>#N/A</v>
      </c>
      <c r="CW965" t="e">
        <v>#N/A</v>
      </c>
      <c r="CX965" t="e">
        <v>#N/A</v>
      </c>
      <c r="CY965" t="e">
        <v>#N/A</v>
      </c>
      <c r="CZ965" t="e">
        <v>#N/A</v>
      </c>
      <c r="DA965" t="e">
        <v>#N/A</v>
      </c>
      <c r="DB965" t="e">
        <v>#N/A</v>
      </c>
      <c r="DC965" t="e">
        <v>#N/A</v>
      </c>
      <c r="DD965" t="e">
        <v>#N/A</v>
      </c>
      <c r="DE965" t="e">
        <v>#N/A</v>
      </c>
      <c r="DF965" t="e">
        <v>#N/A</v>
      </c>
      <c r="DG965" t="e">
        <v>#N/A</v>
      </c>
      <c r="DH965" t="e">
        <v>#N/A</v>
      </c>
      <c r="DI965" t="e">
        <v>#N/A</v>
      </c>
    </row>
    <row r="966" spans="14:113">
      <c r="N966" t="str">
        <f t="shared" si="109"/>
        <v/>
      </c>
      <c r="O966" s="4" t="str">
        <f t="shared" si="110"/>
        <v>click</v>
      </c>
      <c r="P966" t="str">
        <f t="shared" si="111"/>
        <v>();</v>
      </c>
      <c r="S966" s="1" t="str">
        <f t="shared" si="108"/>
        <v/>
      </c>
      <c r="CT966" t="e">
        <v>#N/A</v>
      </c>
      <c r="CU966" t="e">
        <v>#N/A</v>
      </c>
      <c r="CV966" t="e">
        <v>#N/A</v>
      </c>
      <c r="CW966" t="e">
        <v>#N/A</v>
      </c>
      <c r="CX966" t="e">
        <v>#N/A</v>
      </c>
      <c r="CY966" t="e">
        <v>#N/A</v>
      </c>
      <c r="CZ966" t="e">
        <v>#N/A</v>
      </c>
      <c r="DA966" t="e">
        <v>#N/A</v>
      </c>
      <c r="DB966" t="e">
        <v>#N/A</v>
      </c>
      <c r="DC966" t="e">
        <v>#N/A</v>
      </c>
      <c r="DD966" t="e">
        <v>#N/A</v>
      </c>
      <c r="DE966" t="e">
        <v>#N/A</v>
      </c>
      <c r="DF966" t="e">
        <v>#N/A</v>
      </c>
      <c r="DG966" t="e">
        <v>#N/A</v>
      </c>
      <c r="DH966" t="e">
        <v>#N/A</v>
      </c>
      <c r="DI966" t="e">
        <v>#N/A</v>
      </c>
    </row>
    <row r="967" spans="14:113">
      <c r="N967" t="str">
        <f t="shared" si="109"/>
        <v/>
      </c>
      <c r="O967" s="4" t="str">
        <f t="shared" si="110"/>
        <v>click</v>
      </c>
      <c r="P967" t="str">
        <f t="shared" si="111"/>
        <v>();</v>
      </c>
      <c r="S967" s="1" t="str">
        <f t="shared" si="108"/>
        <v/>
      </c>
      <c r="CT967" t="e">
        <v>#N/A</v>
      </c>
      <c r="CU967" t="e">
        <v>#N/A</v>
      </c>
      <c r="CV967" t="e">
        <v>#N/A</v>
      </c>
      <c r="CW967" t="e">
        <v>#N/A</v>
      </c>
      <c r="CX967" t="e">
        <v>#N/A</v>
      </c>
      <c r="CY967" t="e">
        <v>#N/A</v>
      </c>
      <c r="CZ967" t="e">
        <v>#N/A</v>
      </c>
      <c r="DA967" t="e">
        <v>#N/A</v>
      </c>
      <c r="DB967" t="e">
        <v>#N/A</v>
      </c>
      <c r="DC967" t="e">
        <v>#N/A</v>
      </c>
      <c r="DD967" t="e">
        <v>#N/A</v>
      </c>
      <c r="DE967" t="e">
        <v>#N/A</v>
      </c>
      <c r="DF967" t="e">
        <v>#N/A</v>
      </c>
      <c r="DG967" t="e">
        <v>#N/A</v>
      </c>
      <c r="DH967" t="e">
        <v>#N/A</v>
      </c>
      <c r="DI967" t="e">
        <v>#N/A</v>
      </c>
    </row>
    <row r="968" spans="14:113">
      <c r="N968" t="str">
        <f t="shared" si="109"/>
        <v/>
      </c>
      <c r="O968" s="4" t="str">
        <f t="shared" si="110"/>
        <v>click</v>
      </c>
      <c r="P968" t="str">
        <f t="shared" si="111"/>
        <v>();</v>
      </c>
      <c r="S968" s="1" t="str">
        <f t="shared" si="108"/>
        <v/>
      </c>
      <c r="CT968" t="e">
        <v>#N/A</v>
      </c>
      <c r="CU968" t="e">
        <v>#N/A</v>
      </c>
      <c r="CV968" t="e">
        <v>#N/A</v>
      </c>
      <c r="CW968" t="e">
        <v>#N/A</v>
      </c>
      <c r="CX968" t="e">
        <v>#N/A</v>
      </c>
      <c r="CY968" t="e">
        <v>#N/A</v>
      </c>
      <c r="CZ968" t="e">
        <v>#N/A</v>
      </c>
      <c r="DA968" t="e">
        <v>#N/A</v>
      </c>
      <c r="DB968" t="e">
        <v>#N/A</v>
      </c>
      <c r="DC968" t="e">
        <v>#N/A</v>
      </c>
      <c r="DD968" t="e">
        <v>#N/A</v>
      </c>
      <c r="DE968" t="e">
        <v>#N/A</v>
      </c>
      <c r="DF968" t="e">
        <v>#N/A</v>
      </c>
      <c r="DG968" t="e">
        <v>#N/A</v>
      </c>
      <c r="DH968" t="e">
        <v>#N/A</v>
      </c>
      <c r="DI968" t="e">
        <v>#N/A</v>
      </c>
    </row>
    <row r="969" spans="14:113">
      <c r="N969" t="str">
        <f t="shared" si="109"/>
        <v/>
      </c>
      <c r="O969" s="4" t="str">
        <f t="shared" si="110"/>
        <v>click</v>
      </c>
      <c r="P969" t="str">
        <f t="shared" si="111"/>
        <v>();</v>
      </c>
      <c r="S969" s="1" t="str">
        <f t="shared" si="108"/>
        <v/>
      </c>
      <c r="CT969" t="e">
        <v>#N/A</v>
      </c>
      <c r="CU969" t="e">
        <v>#N/A</v>
      </c>
      <c r="CV969" t="e">
        <v>#N/A</v>
      </c>
      <c r="CW969" t="e">
        <v>#N/A</v>
      </c>
      <c r="CX969" t="e">
        <v>#N/A</v>
      </c>
      <c r="CY969" t="e">
        <v>#N/A</v>
      </c>
      <c r="CZ969" t="e">
        <v>#N/A</v>
      </c>
      <c r="DA969" t="e">
        <v>#N/A</v>
      </c>
      <c r="DB969" t="e">
        <v>#N/A</v>
      </c>
      <c r="DC969" t="e">
        <v>#N/A</v>
      </c>
      <c r="DD969" t="e">
        <v>#N/A</v>
      </c>
      <c r="DE969" t="e">
        <v>#N/A</v>
      </c>
      <c r="DF969" t="e">
        <v>#N/A</v>
      </c>
      <c r="DG969" t="e">
        <v>#N/A</v>
      </c>
      <c r="DH969" t="e">
        <v>#N/A</v>
      </c>
      <c r="DI969" t="e">
        <v>#N/A</v>
      </c>
    </row>
    <row r="970" spans="14:113">
      <c r="N970" t="str">
        <f t="shared" si="109"/>
        <v/>
      </c>
      <c r="O970" s="4" t="str">
        <f t="shared" si="110"/>
        <v>click</v>
      </c>
      <c r="P970" t="str">
        <f t="shared" si="111"/>
        <v>();</v>
      </c>
      <c r="S970" s="1" t="str">
        <f t="shared" si="108"/>
        <v/>
      </c>
      <c r="CT970" t="e">
        <v>#N/A</v>
      </c>
      <c r="CU970" t="e">
        <v>#N/A</v>
      </c>
      <c r="CV970" t="e">
        <v>#N/A</v>
      </c>
      <c r="CW970" t="e">
        <v>#N/A</v>
      </c>
      <c r="CX970" t="e">
        <v>#N/A</v>
      </c>
      <c r="CY970" t="e">
        <v>#N/A</v>
      </c>
      <c r="CZ970" t="e">
        <v>#N/A</v>
      </c>
      <c r="DA970" t="e">
        <v>#N/A</v>
      </c>
      <c r="DB970" t="e">
        <v>#N/A</v>
      </c>
      <c r="DC970" t="e">
        <v>#N/A</v>
      </c>
      <c r="DD970" t="e">
        <v>#N/A</v>
      </c>
      <c r="DE970" t="e">
        <v>#N/A</v>
      </c>
      <c r="DF970" t="e">
        <v>#N/A</v>
      </c>
      <c r="DG970" t="e">
        <v>#N/A</v>
      </c>
      <c r="DH970" t="e">
        <v>#N/A</v>
      </c>
      <c r="DI970" t="e">
        <v>#N/A</v>
      </c>
    </row>
    <row r="971" spans="14:113">
      <c r="N971" t="str">
        <f t="shared" si="109"/>
        <v/>
      </c>
      <c r="O971" s="4" t="str">
        <f t="shared" si="110"/>
        <v>click</v>
      </c>
      <c r="P971" t="str">
        <f t="shared" si="111"/>
        <v>();</v>
      </c>
      <c r="S971" s="1" t="str">
        <f t="shared" ref="S971:S1034" si="112">IF(C971="Y",IF(D971&lt;&gt;"mat-select",IF(D971="End","",IF(O971="innerText",I971&amp;"="&amp;IF(C971="Y",IF(J971&lt;&gt;"Y",$S$8&amp;$R$9&amp;"."&amp;E971&amp;")."&amp;IF(OR(O971="click",O971="innerText"),O971&amp;"();",O971&amp;"("&amp;$Q$8&amp;"."&amp;E971&amp;");"),$S$7&amp;$R$9&amp;"."&amp;SUBSTITUTE(E971," ","")&amp;")."&amp;IF(O971="click",O971&amp;"();",O971&amp;"("&amp;"'"&amp;K971&amp;"'"&amp;");")),""),IF(C971="Y",IF(J971&lt;&gt;"Y",$S$8&amp;$R$9&amp;"."&amp;SUBSTITUTE(E971," ","")&amp;")."&amp;IF(OR(O971="click",O971="innerText"),O971&amp;"();",O971&amp;"("&amp;$Q$8&amp;"."&amp;SUBSTITUTE(E971," ","")&amp;");"),$S$7&amp;$R$9&amp;"."&amp;SUBSTITUTE(E971," ","")&amp;")."&amp;IF(O971="click",O971&amp;"();",O971&amp;"("&amp;"'"&amp;K971&amp;"'"&amp;");")),""))),"let form"&amp;Z971&amp;": String;"&amp;"for (let i = 1; i &lt; 30; i++) {"&amp;$S$8&amp;$R$9&amp;"."&amp;SUBSTITUTE(E971," ","")&amp;").click();"&amp;$CE$4&amp; "form"&amp;Z971&amp;"="&amp; $S$8&amp;$R$9&amp;"."&amp;SUBSTITUTE(E971," ","")&amp;").innerText();" &amp;"if ("&amp;"form"&amp;Z971&amp;"=="&amp; "Data[index]."&amp;SUBSTITUTE(E971," ","") &amp;"){"&amp;$CE$7),"")</f>
        <v/>
      </c>
      <c r="CT971" t="e">
        <v>#N/A</v>
      </c>
      <c r="CU971" t="e">
        <v>#N/A</v>
      </c>
      <c r="CV971" t="e">
        <v>#N/A</v>
      </c>
      <c r="CW971" t="e">
        <v>#N/A</v>
      </c>
      <c r="CX971" t="e">
        <v>#N/A</v>
      </c>
      <c r="CY971" t="e">
        <v>#N/A</v>
      </c>
      <c r="CZ971" t="e">
        <v>#N/A</v>
      </c>
      <c r="DA971" t="e">
        <v>#N/A</v>
      </c>
      <c r="DB971" t="e">
        <v>#N/A</v>
      </c>
      <c r="DC971" t="e">
        <v>#N/A</v>
      </c>
      <c r="DD971" t="e">
        <v>#N/A</v>
      </c>
      <c r="DE971" t="e">
        <v>#N/A</v>
      </c>
      <c r="DF971" t="e">
        <v>#N/A</v>
      </c>
      <c r="DG971" t="e">
        <v>#N/A</v>
      </c>
      <c r="DH971" t="e">
        <v>#N/A</v>
      </c>
      <c r="DI971" t="e">
        <v>#N/A</v>
      </c>
    </row>
    <row r="972" spans="14:113">
      <c r="N972" t="str">
        <f t="shared" si="109"/>
        <v/>
      </c>
      <c r="O972" s="4" t="str">
        <f t="shared" si="110"/>
        <v>click</v>
      </c>
      <c r="P972" t="str">
        <f t="shared" si="111"/>
        <v>();</v>
      </c>
      <c r="S972" s="1" t="str">
        <f t="shared" si="112"/>
        <v/>
      </c>
      <c r="CT972" t="e">
        <v>#N/A</v>
      </c>
      <c r="CU972" t="e">
        <v>#N/A</v>
      </c>
      <c r="CV972" t="e">
        <v>#N/A</v>
      </c>
      <c r="CW972" t="e">
        <v>#N/A</v>
      </c>
      <c r="CX972" t="e">
        <v>#N/A</v>
      </c>
      <c r="CY972" t="e">
        <v>#N/A</v>
      </c>
      <c r="CZ972" t="e">
        <v>#N/A</v>
      </c>
      <c r="DA972" t="e">
        <v>#N/A</v>
      </c>
      <c r="DB972" t="e">
        <v>#N/A</v>
      </c>
      <c r="DC972" t="e">
        <v>#N/A</v>
      </c>
      <c r="DD972" t="e">
        <v>#N/A</v>
      </c>
      <c r="DE972" t="e">
        <v>#N/A</v>
      </c>
      <c r="DF972" t="e">
        <v>#N/A</v>
      </c>
      <c r="DG972" t="e">
        <v>#N/A</v>
      </c>
      <c r="DH972" t="e">
        <v>#N/A</v>
      </c>
      <c r="DI972" t="e">
        <v>#N/A</v>
      </c>
    </row>
    <row r="973" spans="14:113">
      <c r="N973" t="str">
        <f t="shared" si="109"/>
        <v/>
      </c>
      <c r="O973" s="4" t="str">
        <f t="shared" si="110"/>
        <v>click</v>
      </c>
      <c r="P973" t="str">
        <f t="shared" si="111"/>
        <v>();</v>
      </c>
      <c r="S973" s="1" t="str">
        <f t="shared" si="112"/>
        <v/>
      </c>
      <c r="CT973" t="e">
        <v>#N/A</v>
      </c>
      <c r="CU973" t="e">
        <v>#N/A</v>
      </c>
      <c r="CV973" t="e">
        <v>#N/A</v>
      </c>
      <c r="CW973" t="e">
        <v>#N/A</v>
      </c>
      <c r="CX973" t="e">
        <v>#N/A</v>
      </c>
      <c r="CY973" t="e">
        <v>#N/A</v>
      </c>
      <c r="CZ973" t="e">
        <v>#N/A</v>
      </c>
      <c r="DA973" t="e">
        <v>#N/A</v>
      </c>
      <c r="DB973" t="e">
        <v>#N/A</v>
      </c>
      <c r="DC973" t="e">
        <v>#N/A</v>
      </c>
      <c r="DD973" t="e">
        <v>#N/A</v>
      </c>
      <c r="DE973" t="e">
        <v>#N/A</v>
      </c>
      <c r="DF973" t="e">
        <v>#N/A</v>
      </c>
      <c r="DG973" t="e">
        <v>#N/A</v>
      </c>
      <c r="DH973" t="e">
        <v>#N/A</v>
      </c>
      <c r="DI973" t="e">
        <v>#N/A</v>
      </c>
    </row>
    <row r="974" spans="14:113">
      <c r="N974" t="str">
        <f t="shared" si="109"/>
        <v/>
      </c>
      <c r="O974" s="4" t="str">
        <f t="shared" si="110"/>
        <v>click</v>
      </c>
      <c r="P974" t="str">
        <f t="shared" si="111"/>
        <v>();</v>
      </c>
      <c r="S974" s="1" t="str">
        <f t="shared" si="112"/>
        <v/>
      </c>
      <c r="CT974" t="e">
        <v>#N/A</v>
      </c>
      <c r="CU974" t="e">
        <v>#N/A</v>
      </c>
      <c r="CV974" t="e">
        <v>#N/A</v>
      </c>
      <c r="CW974" t="e">
        <v>#N/A</v>
      </c>
      <c r="CX974" t="e">
        <v>#N/A</v>
      </c>
      <c r="CY974" t="e">
        <v>#N/A</v>
      </c>
      <c r="CZ974" t="e">
        <v>#N/A</v>
      </c>
      <c r="DA974" t="e">
        <v>#N/A</v>
      </c>
      <c r="DB974" t="e">
        <v>#N/A</v>
      </c>
      <c r="DC974" t="e">
        <v>#N/A</v>
      </c>
      <c r="DD974" t="e">
        <v>#N/A</v>
      </c>
      <c r="DE974" t="e">
        <v>#N/A</v>
      </c>
      <c r="DF974" t="e">
        <v>#N/A</v>
      </c>
      <c r="DG974" t="e">
        <v>#N/A</v>
      </c>
      <c r="DH974" t="e">
        <v>#N/A</v>
      </c>
      <c r="DI974" t="e">
        <v>#N/A</v>
      </c>
    </row>
    <row r="975" spans="14:113">
      <c r="N975" t="str">
        <f t="shared" si="109"/>
        <v/>
      </c>
      <c r="O975" s="4" t="str">
        <f t="shared" si="110"/>
        <v>click</v>
      </c>
      <c r="P975" t="str">
        <f t="shared" si="111"/>
        <v>();</v>
      </c>
      <c r="S975" s="1" t="str">
        <f t="shared" si="112"/>
        <v/>
      </c>
      <c r="CT975" t="e">
        <v>#N/A</v>
      </c>
      <c r="CU975" t="e">
        <v>#N/A</v>
      </c>
      <c r="CV975" t="e">
        <v>#N/A</v>
      </c>
      <c r="CW975" t="e">
        <v>#N/A</v>
      </c>
      <c r="CX975" t="e">
        <v>#N/A</v>
      </c>
      <c r="CY975" t="e">
        <v>#N/A</v>
      </c>
      <c r="CZ975" t="e">
        <v>#N/A</v>
      </c>
      <c r="DA975" t="e">
        <v>#N/A</v>
      </c>
      <c r="DB975" t="e">
        <v>#N/A</v>
      </c>
      <c r="DC975" t="e">
        <v>#N/A</v>
      </c>
      <c r="DD975" t="e">
        <v>#N/A</v>
      </c>
      <c r="DE975" t="e">
        <v>#N/A</v>
      </c>
      <c r="DF975" t="e">
        <v>#N/A</v>
      </c>
      <c r="DG975" t="e">
        <v>#N/A</v>
      </c>
      <c r="DH975" t="e">
        <v>#N/A</v>
      </c>
      <c r="DI975" t="e">
        <v>#N/A</v>
      </c>
    </row>
    <row r="976" spans="14:113">
      <c r="N976" t="str">
        <f t="shared" si="109"/>
        <v/>
      </c>
      <c r="O976" s="4" t="str">
        <f t="shared" si="110"/>
        <v>click</v>
      </c>
      <c r="P976" t="str">
        <f t="shared" si="111"/>
        <v>();</v>
      </c>
      <c r="S976" s="1" t="str">
        <f t="shared" si="112"/>
        <v/>
      </c>
      <c r="CT976" t="e">
        <v>#N/A</v>
      </c>
      <c r="CU976" t="e">
        <v>#N/A</v>
      </c>
      <c r="CV976" t="e">
        <v>#N/A</v>
      </c>
      <c r="CW976" t="e">
        <v>#N/A</v>
      </c>
      <c r="CX976" t="e">
        <v>#N/A</v>
      </c>
      <c r="CY976" t="e">
        <v>#N/A</v>
      </c>
      <c r="CZ976" t="e">
        <v>#N/A</v>
      </c>
      <c r="DA976" t="e">
        <v>#N/A</v>
      </c>
      <c r="DB976" t="e">
        <v>#N/A</v>
      </c>
      <c r="DC976" t="e">
        <v>#N/A</v>
      </c>
      <c r="DD976" t="e">
        <v>#N/A</v>
      </c>
      <c r="DE976" t="e">
        <v>#N/A</v>
      </c>
      <c r="DF976" t="e">
        <v>#N/A</v>
      </c>
      <c r="DG976" t="e">
        <v>#N/A</v>
      </c>
      <c r="DH976" t="e">
        <v>#N/A</v>
      </c>
      <c r="DI976" t="e">
        <v>#N/A</v>
      </c>
    </row>
    <row r="977" spans="14:113">
      <c r="N977" t="str">
        <f t="shared" si="109"/>
        <v/>
      </c>
      <c r="O977" s="4" t="str">
        <f t="shared" si="110"/>
        <v>click</v>
      </c>
      <c r="P977" t="str">
        <f t="shared" si="111"/>
        <v>();</v>
      </c>
      <c r="S977" s="1" t="str">
        <f t="shared" si="112"/>
        <v/>
      </c>
      <c r="CT977" t="e">
        <v>#N/A</v>
      </c>
      <c r="CU977" t="e">
        <v>#N/A</v>
      </c>
      <c r="CV977" t="e">
        <v>#N/A</v>
      </c>
      <c r="CW977" t="e">
        <v>#N/A</v>
      </c>
      <c r="CX977" t="e">
        <v>#N/A</v>
      </c>
      <c r="CY977" t="e">
        <v>#N/A</v>
      </c>
      <c r="CZ977" t="e">
        <v>#N/A</v>
      </c>
      <c r="DA977" t="e">
        <v>#N/A</v>
      </c>
      <c r="DB977" t="e">
        <v>#N/A</v>
      </c>
      <c r="DC977" t="e">
        <v>#N/A</v>
      </c>
      <c r="DD977" t="e">
        <v>#N/A</v>
      </c>
      <c r="DE977" t="e">
        <v>#N/A</v>
      </c>
      <c r="DF977" t="e">
        <v>#N/A</v>
      </c>
      <c r="DG977" t="e">
        <v>#N/A</v>
      </c>
      <c r="DH977" t="e">
        <v>#N/A</v>
      </c>
      <c r="DI977" t="e">
        <v>#N/A</v>
      </c>
    </row>
    <row r="978" spans="14:113">
      <c r="N978" t="str">
        <f t="shared" si="109"/>
        <v/>
      </c>
      <c r="O978" s="4" t="str">
        <f t="shared" si="110"/>
        <v>click</v>
      </c>
      <c r="P978" t="str">
        <f t="shared" si="111"/>
        <v>();</v>
      </c>
      <c r="S978" s="1" t="str">
        <f t="shared" si="112"/>
        <v/>
      </c>
      <c r="CT978" t="e">
        <v>#N/A</v>
      </c>
      <c r="CU978" t="e">
        <v>#N/A</v>
      </c>
      <c r="CV978" t="e">
        <v>#N/A</v>
      </c>
      <c r="CW978" t="e">
        <v>#N/A</v>
      </c>
      <c r="CX978" t="e">
        <v>#N/A</v>
      </c>
      <c r="CY978" t="e">
        <v>#N/A</v>
      </c>
      <c r="CZ978" t="e">
        <v>#N/A</v>
      </c>
      <c r="DA978" t="e">
        <v>#N/A</v>
      </c>
      <c r="DB978" t="e">
        <v>#N/A</v>
      </c>
      <c r="DC978" t="e">
        <v>#N/A</v>
      </c>
      <c r="DD978" t="e">
        <v>#N/A</v>
      </c>
      <c r="DE978" t="e">
        <v>#N/A</v>
      </c>
      <c r="DF978" t="e">
        <v>#N/A</v>
      </c>
      <c r="DG978" t="e">
        <v>#N/A</v>
      </c>
      <c r="DH978" t="e">
        <v>#N/A</v>
      </c>
      <c r="DI978" t="e">
        <v>#N/A</v>
      </c>
    </row>
    <row r="979" spans="14:113">
      <c r="N979" t="str">
        <f t="shared" si="109"/>
        <v/>
      </c>
      <c r="O979" s="4" t="str">
        <f t="shared" si="110"/>
        <v>click</v>
      </c>
      <c r="P979" t="str">
        <f t="shared" si="111"/>
        <v>();</v>
      </c>
      <c r="S979" s="1" t="str">
        <f t="shared" si="112"/>
        <v/>
      </c>
      <c r="CT979" t="e">
        <v>#N/A</v>
      </c>
      <c r="CU979" t="e">
        <v>#N/A</v>
      </c>
      <c r="CV979" t="e">
        <v>#N/A</v>
      </c>
      <c r="CW979" t="e">
        <v>#N/A</v>
      </c>
      <c r="CX979" t="e">
        <v>#N/A</v>
      </c>
      <c r="CY979" t="e">
        <v>#N/A</v>
      </c>
      <c r="CZ979" t="e">
        <v>#N/A</v>
      </c>
      <c r="DA979" t="e">
        <v>#N/A</v>
      </c>
      <c r="DB979" t="e">
        <v>#N/A</v>
      </c>
      <c r="DC979" t="e">
        <v>#N/A</v>
      </c>
      <c r="DD979" t="e">
        <v>#N/A</v>
      </c>
      <c r="DE979" t="e">
        <v>#N/A</v>
      </c>
      <c r="DF979" t="e">
        <v>#N/A</v>
      </c>
      <c r="DG979" t="e">
        <v>#N/A</v>
      </c>
      <c r="DH979" t="e">
        <v>#N/A</v>
      </c>
      <c r="DI979" t="e">
        <v>#N/A</v>
      </c>
    </row>
    <row r="980" spans="14:113">
      <c r="N980" t="str">
        <f t="shared" si="109"/>
        <v/>
      </c>
      <c r="O980" s="4" t="str">
        <f t="shared" si="110"/>
        <v>click</v>
      </c>
      <c r="P980" t="str">
        <f t="shared" si="111"/>
        <v>();</v>
      </c>
      <c r="S980" s="1" t="str">
        <f t="shared" si="112"/>
        <v/>
      </c>
      <c r="CT980" t="e">
        <v>#N/A</v>
      </c>
      <c r="CU980" t="e">
        <v>#N/A</v>
      </c>
      <c r="CV980" t="e">
        <v>#N/A</v>
      </c>
      <c r="CW980" t="e">
        <v>#N/A</v>
      </c>
      <c r="CX980" t="e">
        <v>#N/A</v>
      </c>
      <c r="CY980" t="e">
        <v>#N/A</v>
      </c>
      <c r="CZ980" t="e">
        <v>#N/A</v>
      </c>
      <c r="DA980" t="e">
        <v>#N/A</v>
      </c>
      <c r="DB980" t="e">
        <v>#N/A</v>
      </c>
      <c r="DC980" t="e">
        <v>#N/A</v>
      </c>
      <c r="DD980" t="e">
        <v>#N/A</v>
      </c>
      <c r="DE980" t="e">
        <v>#N/A</v>
      </c>
      <c r="DF980" t="e">
        <v>#N/A</v>
      </c>
      <c r="DG980" t="e">
        <v>#N/A</v>
      </c>
      <c r="DH980" t="e">
        <v>#N/A</v>
      </c>
      <c r="DI980" t="e">
        <v>#N/A</v>
      </c>
    </row>
    <row r="981" spans="14:113">
      <c r="N981" t="str">
        <f t="shared" ref="N981:N1044" si="113">IF(A981="Y",""""&amp;C981&amp;""""&amp;": "&amp;M981&amp;",","")</f>
        <v/>
      </c>
      <c r="O981" s="4" t="str">
        <f t="shared" ref="O981:O1044" si="114">IF(D981="input","fill",IF(I981&lt;&gt;"","innerText",IF(J981="Y",$T$7,"click")))</f>
        <v>click</v>
      </c>
      <c r="P981" t="str">
        <f t="shared" ref="P981:P1044" si="115">IF(OR(O981="Click",O981="innerText"),"();","("&amp;""""&amp;K981&amp;""""&amp;");")</f>
        <v>();</v>
      </c>
      <c r="S981" s="1" t="str">
        <f t="shared" si="112"/>
        <v/>
      </c>
      <c r="CT981" t="e">
        <v>#N/A</v>
      </c>
      <c r="CU981" t="e">
        <v>#N/A</v>
      </c>
      <c r="CV981" t="e">
        <v>#N/A</v>
      </c>
      <c r="CW981" t="e">
        <v>#N/A</v>
      </c>
      <c r="CX981" t="e">
        <v>#N/A</v>
      </c>
      <c r="CY981" t="e">
        <v>#N/A</v>
      </c>
      <c r="CZ981" t="e">
        <v>#N/A</v>
      </c>
      <c r="DA981" t="e">
        <v>#N/A</v>
      </c>
      <c r="DB981" t="e">
        <v>#N/A</v>
      </c>
      <c r="DC981" t="e">
        <v>#N/A</v>
      </c>
      <c r="DD981" t="e">
        <v>#N/A</v>
      </c>
      <c r="DE981" t="e">
        <v>#N/A</v>
      </c>
      <c r="DF981" t="e">
        <v>#N/A</v>
      </c>
      <c r="DG981" t="e">
        <v>#N/A</v>
      </c>
      <c r="DH981" t="e">
        <v>#N/A</v>
      </c>
      <c r="DI981" t="e">
        <v>#N/A</v>
      </c>
    </row>
    <row r="982" spans="14:113">
      <c r="N982" t="str">
        <f t="shared" si="113"/>
        <v/>
      </c>
      <c r="O982" s="4" t="str">
        <f t="shared" si="114"/>
        <v>click</v>
      </c>
      <c r="P982" t="str">
        <f t="shared" si="115"/>
        <v>();</v>
      </c>
      <c r="S982" s="1" t="str">
        <f t="shared" si="112"/>
        <v/>
      </c>
      <c r="CT982" t="e">
        <v>#N/A</v>
      </c>
      <c r="CU982" t="e">
        <v>#N/A</v>
      </c>
      <c r="CV982" t="e">
        <v>#N/A</v>
      </c>
      <c r="CW982" t="e">
        <v>#N/A</v>
      </c>
      <c r="CX982" t="e">
        <v>#N/A</v>
      </c>
      <c r="CY982" t="e">
        <v>#N/A</v>
      </c>
      <c r="CZ982" t="e">
        <v>#N/A</v>
      </c>
      <c r="DA982" t="e">
        <v>#N/A</v>
      </c>
      <c r="DB982" t="e">
        <v>#N/A</v>
      </c>
      <c r="DC982" t="e">
        <v>#N/A</v>
      </c>
      <c r="DD982" t="e">
        <v>#N/A</v>
      </c>
      <c r="DE982" t="e">
        <v>#N/A</v>
      </c>
      <c r="DF982" t="e">
        <v>#N/A</v>
      </c>
      <c r="DG982" t="e">
        <v>#N/A</v>
      </c>
      <c r="DH982" t="e">
        <v>#N/A</v>
      </c>
      <c r="DI982" t="e">
        <v>#N/A</v>
      </c>
    </row>
    <row r="983" spans="14:113">
      <c r="N983" t="str">
        <f t="shared" si="113"/>
        <v/>
      </c>
      <c r="O983" s="4" t="str">
        <f t="shared" si="114"/>
        <v>click</v>
      </c>
      <c r="P983" t="str">
        <f t="shared" si="115"/>
        <v>();</v>
      </c>
      <c r="S983" s="1" t="str">
        <f t="shared" si="112"/>
        <v/>
      </c>
      <c r="CT983" t="e">
        <v>#N/A</v>
      </c>
      <c r="CU983" t="e">
        <v>#N/A</v>
      </c>
      <c r="CV983" t="e">
        <v>#N/A</v>
      </c>
      <c r="CW983" t="e">
        <v>#N/A</v>
      </c>
      <c r="CX983" t="e">
        <v>#N/A</v>
      </c>
      <c r="CY983" t="e">
        <v>#N/A</v>
      </c>
      <c r="CZ983" t="e">
        <v>#N/A</v>
      </c>
      <c r="DA983" t="e">
        <v>#N/A</v>
      </c>
      <c r="DB983" t="e">
        <v>#N/A</v>
      </c>
      <c r="DC983" t="e">
        <v>#N/A</v>
      </c>
      <c r="DD983" t="e">
        <v>#N/A</v>
      </c>
      <c r="DE983" t="e">
        <v>#N/A</v>
      </c>
      <c r="DF983" t="e">
        <v>#N/A</v>
      </c>
      <c r="DG983" t="e">
        <v>#N/A</v>
      </c>
      <c r="DH983" t="e">
        <v>#N/A</v>
      </c>
      <c r="DI983" t="e">
        <v>#N/A</v>
      </c>
    </row>
    <row r="984" spans="14:113">
      <c r="N984" t="str">
        <f t="shared" si="113"/>
        <v/>
      </c>
      <c r="O984" s="4" t="str">
        <f t="shared" si="114"/>
        <v>click</v>
      </c>
      <c r="P984" t="str">
        <f t="shared" si="115"/>
        <v>();</v>
      </c>
      <c r="S984" s="1" t="str">
        <f t="shared" si="112"/>
        <v/>
      </c>
      <c r="CT984" t="e">
        <v>#N/A</v>
      </c>
      <c r="CU984" t="e">
        <v>#N/A</v>
      </c>
      <c r="CV984" t="e">
        <v>#N/A</v>
      </c>
      <c r="CW984" t="e">
        <v>#N/A</v>
      </c>
      <c r="CX984" t="e">
        <v>#N/A</v>
      </c>
      <c r="CY984" t="e">
        <v>#N/A</v>
      </c>
      <c r="CZ984" t="e">
        <v>#N/A</v>
      </c>
      <c r="DA984" t="e">
        <v>#N/A</v>
      </c>
      <c r="DB984" t="e">
        <v>#N/A</v>
      </c>
      <c r="DC984" t="e">
        <v>#N/A</v>
      </c>
      <c r="DD984" t="e">
        <v>#N/A</v>
      </c>
      <c r="DE984" t="e">
        <v>#N/A</v>
      </c>
      <c r="DF984" t="e">
        <v>#N/A</v>
      </c>
      <c r="DG984" t="e">
        <v>#N/A</v>
      </c>
      <c r="DH984" t="e">
        <v>#N/A</v>
      </c>
      <c r="DI984" t="e">
        <v>#N/A</v>
      </c>
    </row>
    <row r="985" spans="14:113">
      <c r="N985" t="str">
        <f t="shared" si="113"/>
        <v/>
      </c>
      <c r="O985" s="4" t="str">
        <f t="shared" si="114"/>
        <v>click</v>
      </c>
      <c r="P985" t="str">
        <f t="shared" si="115"/>
        <v>();</v>
      </c>
      <c r="S985" s="1" t="str">
        <f t="shared" si="112"/>
        <v/>
      </c>
      <c r="CT985" t="e">
        <v>#N/A</v>
      </c>
      <c r="CU985" t="e">
        <v>#N/A</v>
      </c>
      <c r="CV985" t="e">
        <v>#N/A</v>
      </c>
      <c r="CW985" t="e">
        <v>#N/A</v>
      </c>
      <c r="CX985" t="e">
        <v>#N/A</v>
      </c>
      <c r="CY985" t="e">
        <v>#N/A</v>
      </c>
      <c r="CZ985" t="e">
        <v>#N/A</v>
      </c>
      <c r="DA985" t="e">
        <v>#N/A</v>
      </c>
      <c r="DB985" t="e">
        <v>#N/A</v>
      </c>
      <c r="DC985" t="e">
        <v>#N/A</v>
      </c>
      <c r="DD985" t="e">
        <v>#N/A</v>
      </c>
      <c r="DE985" t="e">
        <v>#N/A</v>
      </c>
      <c r="DF985" t="e">
        <v>#N/A</v>
      </c>
      <c r="DG985" t="e">
        <v>#N/A</v>
      </c>
      <c r="DH985" t="e">
        <v>#N/A</v>
      </c>
      <c r="DI985" t="e">
        <v>#N/A</v>
      </c>
    </row>
    <row r="986" spans="14:113">
      <c r="N986" t="str">
        <f t="shared" si="113"/>
        <v/>
      </c>
      <c r="O986" s="4" t="str">
        <f t="shared" si="114"/>
        <v>click</v>
      </c>
      <c r="P986" t="str">
        <f t="shared" si="115"/>
        <v>();</v>
      </c>
      <c r="S986" s="1" t="str">
        <f t="shared" si="112"/>
        <v/>
      </c>
      <c r="CT986" t="e">
        <v>#N/A</v>
      </c>
      <c r="CU986" t="e">
        <v>#N/A</v>
      </c>
      <c r="CV986" t="e">
        <v>#N/A</v>
      </c>
      <c r="CW986" t="e">
        <v>#N/A</v>
      </c>
      <c r="CX986" t="e">
        <v>#N/A</v>
      </c>
      <c r="CY986" t="e">
        <v>#N/A</v>
      </c>
      <c r="CZ986" t="e">
        <v>#N/A</v>
      </c>
      <c r="DA986" t="e">
        <v>#N/A</v>
      </c>
      <c r="DB986" t="e">
        <v>#N/A</v>
      </c>
      <c r="DC986" t="e">
        <v>#N/A</v>
      </c>
      <c r="DD986" t="e">
        <v>#N/A</v>
      </c>
      <c r="DE986" t="e">
        <v>#N/A</v>
      </c>
      <c r="DF986" t="e">
        <v>#N/A</v>
      </c>
      <c r="DG986" t="e">
        <v>#N/A</v>
      </c>
      <c r="DH986" t="e">
        <v>#N/A</v>
      </c>
      <c r="DI986" t="e">
        <v>#N/A</v>
      </c>
    </row>
    <row r="987" spans="14:113">
      <c r="N987" t="str">
        <f t="shared" si="113"/>
        <v/>
      </c>
      <c r="O987" s="4" t="str">
        <f t="shared" si="114"/>
        <v>click</v>
      </c>
      <c r="P987" t="str">
        <f t="shared" si="115"/>
        <v>();</v>
      </c>
      <c r="S987" s="1" t="str">
        <f t="shared" si="112"/>
        <v/>
      </c>
      <c r="CT987" t="e">
        <v>#N/A</v>
      </c>
      <c r="CU987" t="e">
        <v>#N/A</v>
      </c>
      <c r="CV987" t="e">
        <v>#N/A</v>
      </c>
      <c r="CW987" t="e">
        <v>#N/A</v>
      </c>
      <c r="CX987" t="e">
        <v>#N/A</v>
      </c>
      <c r="CY987" t="e">
        <v>#N/A</v>
      </c>
      <c r="CZ987" t="e">
        <v>#N/A</v>
      </c>
      <c r="DA987" t="e">
        <v>#N/A</v>
      </c>
      <c r="DB987" t="e">
        <v>#N/A</v>
      </c>
      <c r="DC987" t="e">
        <v>#N/A</v>
      </c>
      <c r="DD987" t="e">
        <v>#N/A</v>
      </c>
      <c r="DE987" t="e">
        <v>#N/A</v>
      </c>
      <c r="DF987" t="e">
        <v>#N/A</v>
      </c>
      <c r="DG987" t="e">
        <v>#N/A</v>
      </c>
      <c r="DH987" t="e">
        <v>#N/A</v>
      </c>
      <c r="DI987" t="e">
        <v>#N/A</v>
      </c>
    </row>
    <row r="988" spans="14:113">
      <c r="N988" t="str">
        <f t="shared" si="113"/>
        <v/>
      </c>
      <c r="O988" s="4" t="str">
        <f t="shared" si="114"/>
        <v>click</v>
      </c>
      <c r="P988" t="str">
        <f t="shared" si="115"/>
        <v>();</v>
      </c>
      <c r="S988" s="1" t="str">
        <f t="shared" si="112"/>
        <v/>
      </c>
      <c r="CT988" t="e">
        <v>#N/A</v>
      </c>
      <c r="CU988" t="e">
        <v>#N/A</v>
      </c>
      <c r="CV988" t="e">
        <v>#N/A</v>
      </c>
      <c r="CW988" t="e">
        <v>#N/A</v>
      </c>
      <c r="CX988" t="e">
        <v>#N/A</v>
      </c>
      <c r="CY988" t="e">
        <v>#N/A</v>
      </c>
      <c r="CZ988" t="e">
        <v>#N/A</v>
      </c>
      <c r="DA988" t="e">
        <v>#N/A</v>
      </c>
      <c r="DB988" t="e">
        <v>#N/A</v>
      </c>
      <c r="DC988" t="e">
        <v>#N/A</v>
      </c>
      <c r="DD988" t="e">
        <v>#N/A</v>
      </c>
      <c r="DE988" t="e">
        <v>#N/A</v>
      </c>
      <c r="DF988" t="e">
        <v>#N/A</v>
      </c>
      <c r="DG988" t="e">
        <v>#N/A</v>
      </c>
      <c r="DH988" t="e">
        <v>#N/A</v>
      </c>
      <c r="DI988" t="e">
        <v>#N/A</v>
      </c>
    </row>
    <row r="989" spans="14:113">
      <c r="N989" t="str">
        <f t="shared" si="113"/>
        <v/>
      </c>
      <c r="O989" s="4" t="str">
        <f t="shared" si="114"/>
        <v>click</v>
      </c>
      <c r="P989" t="str">
        <f t="shared" si="115"/>
        <v>();</v>
      </c>
      <c r="S989" s="1" t="str">
        <f t="shared" si="112"/>
        <v/>
      </c>
      <c r="CT989" t="e">
        <v>#N/A</v>
      </c>
      <c r="CU989" t="e">
        <v>#N/A</v>
      </c>
      <c r="CV989" t="e">
        <v>#N/A</v>
      </c>
      <c r="CW989" t="e">
        <v>#N/A</v>
      </c>
      <c r="CX989" t="e">
        <v>#N/A</v>
      </c>
      <c r="CY989" t="e">
        <v>#N/A</v>
      </c>
      <c r="CZ989" t="e">
        <v>#N/A</v>
      </c>
      <c r="DA989" t="e">
        <v>#N/A</v>
      </c>
      <c r="DB989" t="e">
        <v>#N/A</v>
      </c>
      <c r="DC989" t="e">
        <v>#N/A</v>
      </c>
      <c r="DD989" t="e">
        <v>#N/A</v>
      </c>
      <c r="DE989" t="e">
        <v>#N/A</v>
      </c>
      <c r="DF989" t="e">
        <v>#N/A</v>
      </c>
      <c r="DG989" t="e">
        <v>#N/A</v>
      </c>
      <c r="DH989" t="e">
        <v>#N/A</v>
      </c>
      <c r="DI989" t="e">
        <v>#N/A</v>
      </c>
    </row>
    <row r="990" spans="14:113">
      <c r="N990" t="str">
        <f t="shared" si="113"/>
        <v/>
      </c>
      <c r="O990" s="4" t="str">
        <f t="shared" si="114"/>
        <v>click</v>
      </c>
      <c r="P990" t="str">
        <f t="shared" si="115"/>
        <v>();</v>
      </c>
      <c r="S990" s="1" t="str">
        <f t="shared" si="112"/>
        <v/>
      </c>
      <c r="CT990" t="e">
        <v>#N/A</v>
      </c>
      <c r="CU990" t="e">
        <v>#N/A</v>
      </c>
      <c r="CV990" t="e">
        <v>#N/A</v>
      </c>
      <c r="CW990" t="e">
        <v>#N/A</v>
      </c>
      <c r="CX990" t="e">
        <v>#N/A</v>
      </c>
      <c r="CY990" t="e">
        <v>#N/A</v>
      </c>
      <c r="CZ990" t="e">
        <v>#N/A</v>
      </c>
      <c r="DA990" t="e">
        <v>#N/A</v>
      </c>
      <c r="DB990" t="e">
        <v>#N/A</v>
      </c>
      <c r="DC990" t="e">
        <v>#N/A</v>
      </c>
      <c r="DD990" t="e">
        <v>#N/A</v>
      </c>
      <c r="DE990" t="e">
        <v>#N/A</v>
      </c>
      <c r="DF990" t="e">
        <v>#N/A</v>
      </c>
      <c r="DG990" t="e">
        <v>#N/A</v>
      </c>
      <c r="DH990" t="e">
        <v>#N/A</v>
      </c>
      <c r="DI990" t="e">
        <v>#N/A</v>
      </c>
    </row>
    <row r="991" spans="14:113">
      <c r="N991" t="str">
        <f t="shared" si="113"/>
        <v/>
      </c>
      <c r="O991" s="4" t="str">
        <f t="shared" si="114"/>
        <v>click</v>
      </c>
      <c r="P991" t="str">
        <f t="shared" si="115"/>
        <v>();</v>
      </c>
      <c r="S991" s="1" t="str">
        <f t="shared" si="112"/>
        <v/>
      </c>
      <c r="CT991" t="e">
        <v>#N/A</v>
      </c>
      <c r="CU991" t="e">
        <v>#N/A</v>
      </c>
      <c r="CV991" t="e">
        <v>#N/A</v>
      </c>
      <c r="CW991" t="e">
        <v>#N/A</v>
      </c>
      <c r="CX991" t="e">
        <v>#N/A</v>
      </c>
      <c r="CY991" t="e">
        <v>#N/A</v>
      </c>
      <c r="CZ991" t="e">
        <v>#N/A</v>
      </c>
      <c r="DA991" t="e">
        <v>#N/A</v>
      </c>
      <c r="DB991" t="e">
        <v>#N/A</v>
      </c>
      <c r="DC991" t="e">
        <v>#N/A</v>
      </c>
      <c r="DD991" t="e">
        <v>#N/A</v>
      </c>
      <c r="DE991" t="e">
        <v>#N/A</v>
      </c>
      <c r="DF991" t="e">
        <v>#N/A</v>
      </c>
      <c r="DG991" t="e">
        <v>#N/A</v>
      </c>
      <c r="DH991" t="e">
        <v>#N/A</v>
      </c>
      <c r="DI991" t="e">
        <v>#N/A</v>
      </c>
    </row>
    <row r="992" spans="14:113">
      <c r="N992" t="str">
        <f t="shared" si="113"/>
        <v/>
      </c>
      <c r="O992" s="4" t="str">
        <f t="shared" si="114"/>
        <v>click</v>
      </c>
      <c r="P992" t="str">
        <f t="shared" si="115"/>
        <v>();</v>
      </c>
      <c r="S992" s="1" t="str">
        <f t="shared" si="112"/>
        <v/>
      </c>
      <c r="CT992" t="e">
        <v>#N/A</v>
      </c>
      <c r="CU992" t="e">
        <v>#N/A</v>
      </c>
      <c r="CV992" t="e">
        <v>#N/A</v>
      </c>
      <c r="CW992" t="e">
        <v>#N/A</v>
      </c>
      <c r="CX992" t="e">
        <v>#N/A</v>
      </c>
      <c r="CY992" t="e">
        <v>#N/A</v>
      </c>
      <c r="CZ992" t="e">
        <v>#N/A</v>
      </c>
      <c r="DA992" t="e">
        <v>#N/A</v>
      </c>
      <c r="DB992" t="e">
        <v>#N/A</v>
      </c>
      <c r="DC992" t="e">
        <v>#N/A</v>
      </c>
      <c r="DD992" t="e">
        <v>#N/A</v>
      </c>
      <c r="DE992" t="e">
        <v>#N/A</v>
      </c>
      <c r="DF992" t="e">
        <v>#N/A</v>
      </c>
      <c r="DG992" t="e">
        <v>#N/A</v>
      </c>
      <c r="DH992" t="e">
        <v>#N/A</v>
      </c>
      <c r="DI992" t="e">
        <v>#N/A</v>
      </c>
    </row>
    <row r="993" spans="14:113">
      <c r="N993" t="str">
        <f t="shared" si="113"/>
        <v/>
      </c>
      <c r="O993" s="4" t="str">
        <f t="shared" si="114"/>
        <v>click</v>
      </c>
      <c r="P993" t="str">
        <f t="shared" si="115"/>
        <v>();</v>
      </c>
      <c r="S993" s="1" t="str">
        <f t="shared" si="112"/>
        <v/>
      </c>
      <c r="CT993" t="e">
        <v>#N/A</v>
      </c>
      <c r="CU993" t="e">
        <v>#N/A</v>
      </c>
      <c r="CV993" t="e">
        <v>#N/A</v>
      </c>
      <c r="CW993" t="e">
        <v>#N/A</v>
      </c>
      <c r="CX993" t="e">
        <v>#N/A</v>
      </c>
      <c r="CY993" t="e">
        <v>#N/A</v>
      </c>
      <c r="CZ993" t="e">
        <v>#N/A</v>
      </c>
      <c r="DA993" t="e">
        <v>#N/A</v>
      </c>
      <c r="DB993" t="e">
        <v>#N/A</v>
      </c>
      <c r="DC993" t="e">
        <v>#N/A</v>
      </c>
      <c r="DD993" t="e">
        <v>#N/A</v>
      </c>
      <c r="DE993" t="e">
        <v>#N/A</v>
      </c>
      <c r="DF993" t="e">
        <v>#N/A</v>
      </c>
      <c r="DG993" t="e">
        <v>#N/A</v>
      </c>
      <c r="DH993" t="e">
        <v>#N/A</v>
      </c>
      <c r="DI993" t="e">
        <v>#N/A</v>
      </c>
    </row>
    <row r="994" spans="14:113">
      <c r="N994" t="str">
        <f t="shared" si="113"/>
        <v/>
      </c>
      <c r="O994" s="4" t="str">
        <f t="shared" si="114"/>
        <v>click</v>
      </c>
      <c r="P994" t="str">
        <f t="shared" si="115"/>
        <v>();</v>
      </c>
      <c r="S994" s="1" t="str">
        <f t="shared" si="112"/>
        <v/>
      </c>
      <c r="CT994" t="e">
        <v>#N/A</v>
      </c>
      <c r="CU994" t="e">
        <v>#N/A</v>
      </c>
      <c r="CV994" t="e">
        <v>#N/A</v>
      </c>
      <c r="CW994" t="e">
        <v>#N/A</v>
      </c>
      <c r="CX994" t="e">
        <v>#N/A</v>
      </c>
      <c r="CY994" t="e">
        <v>#N/A</v>
      </c>
      <c r="CZ994" t="e">
        <v>#N/A</v>
      </c>
      <c r="DA994" t="e">
        <v>#N/A</v>
      </c>
      <c r="DB994" t="e">
        <v>#N/A</v>
      </c>
      <c r="DC994" t="e">
        <v>#N/A</v>
      </c>
      <c r="DD994" t="e">
        <v>#N/A</v>
      </c>
      <c r="DE994" t="e">
        <v>#N/A</v>
      </c>
      <c r="DF994" t="e">
        <v>#N/A</v>
      </c>
      <c r="DG994" t="e">
        <v>#N/A</v>
      </c>
      <c r="DH994" t="e">
        <v>#N/A</v>
      </c>
      <c r="DI994" t="e">
        <v>#N/A</v>
      </c>
    </row>
    <row r="995" spans="14:113">
      <c r="N995" t="str">
        <f t="shared" si="113"/>
        <v/>
      </c>
      <c r="O995" s="4" t="str">
        <f t="shared" si="114"/>
        <v>click</v>
      </c>
      <c r="P995" t="str">
        <f t="shared" si="115"/>
        <v>();</v>
      </c>
      <c r="S995" s="1" t="str">
        <f t="shared" si="112"/>
        <v/>
      </c>
      <c r="CT995" t="e">
        <v>#N/A</v>
      </c>
      <c r="CU995" t="e">
        <v>#N/A</v>
      </c>
      <c r="CV995" t="e">
        <v>#N/A</v>
      </c>
      <c r="CW995" t="e">
        <v>#N/A</v>
      </c>
      <c r="CX995" t="e">
        <v>#N/A</v>
      </c>
      <c r="CY995" t="e">
        <v>#N/A</v>
      </c>
      <c r="CZ995" t="e">
        <v>#N/A</v>
      </c>
      <c r="DA995" t="e">
        <v>#N/A</v>
      </c>
      <c r="DB995" t="e">
        <v>#N/A</v>
      </c>
      <c r="DC995" t="e">
        <v>#N/A</v>
      </c>
      <c r="DD995" t="e">
        <v>#N/A</v>
      </c>
      <c r="DE995" t="e">
        <v>#N/A</v>
      </c>
      <c r="DF995" t="e">
        <v>#N/A</v>
      </c>
      <c r="DG995" t="e">
        <v>#N/A</v>
      </c>
      <c r="DH995" t="e">
        <v>#N/A</v>
      </c>
      <c r="DI995" t="e">
        <v>#N/A</v>
      </c>
    </row>
    <row r="996" spans="14:113">
      <c r="N996" t="str">
        <f t="shared" si="113"/>
        <v/>
      </c>
      <c r="O996" s="4" t="str">
        <f t="shared" si="114"/>
        <v>click</v>
      </c>
      <c r="P996" t="str">
        <f t="shared" si="115"/>
        <v>();</v>
      </c>
      <c r="S996" s="1" t="str">
        <f t="shared" si="112"/>
        <v/>
      </c>
      <c r="CT996" t="e">
        <v>#N/A</v>
      </c>
      <c r="CU996" t="e">
        <v>#N/A</v>
      </c>
      <c r="CV996" t="e">
        <v>#N/A</v>
      </c>
      <c r="CW996" t="e">
        <v>#N/A</v>
      </c>
      <c r="CX996" t="e">
        <v>#N/A</v>
      </c>
      <c r="CY996" t="e">
        <v>#N/A</v>
      </c>
      <c r="CZ996" t="e">
        <v>#N/A</v>
      </c>
      <c r="DA996" t="e">
        <v>#N/A</v>
      </c>
      <c r="DB996" t="e">
        <v>#N/A</v>
      </c>
      <c r="DC996" t="e">
        <v>#N/A</v>
      </c>
      <c r="DD996" t="e">
        <v>#N/A</v>
      </c>
      <c r="DE996" t="e">
        <v>#N/A</v>
      </c>
      <c r="DF996" t="e">
        <v>#N/A</v>
      </c>
      <c r="DG996" t="e">
        <v>#N/A</v>
      </c>
      <c r="DH996" t="e">
        <v>#N/A</v>
      </c>
      <c r="DI996" t="e">
        <v>#N/A</v>
      </c>
    </row>
    <row r="997" spans="14:113">
      <c r="N997" t="str">
        <f t="shared" si="113"/>
        <v/>
      </c>
      <c r="O997" s="4" t="str">
        <f t="shared" si="114"/>
        <v>click</v>
      </c>
      <c r="P997" t="str">
        <f t="shared" si="115"/>
        <v>();</v>
      </c>
      <c r="S997" s="1" t="str">
        <f t="shared" si="112"/>
        <v/>
      </c>
      <c r="CT997" t="e">
        <v>#N/A</v>
      </c>
      <c r="CU997" t="e">
        <v>#N/A</v>
      </c>
      <c r="CV997" t="e">
        <v>#N/A</v>
      </c>
      <c r="CW997" t="e">
        <v>#N/A</v>
      </c>
      <c r="CX997" t="e">
        <v>#N/A</v>
      </c>
      <c r="CY997" t="e">
        <v>#N/A</v>
      </c>
      <c r="CZ997" t="e">
        <v>#N/A</v>
      </c>
      <c r="DA997" t="e">
        <v>#N/A</v>
      </c>
      <c r="DB997" t="e">
        <v>#N/A</v>
      </c>
      <c r="DC997" t="e">
        <v>#N/A</v>
      </c>
      <c r="DD997" t="e">
        <v>#N/A</v>
      </c>
      <c r="DE997" t="e">
        <v>#N/A</v>
      </c>
      <c r="DF997" t="e">
        <v>#N/A</v>
      </c>
      <c r="DG997" t="e">
        <v>#N/A</v>
      </c>
      <c r="DH997" t="e">
        <v>#N/A</v>
      </c>
      <c r="DI997" t="e">
        <v>#N/A</v>
      </c>
    </row>
    <row r="998" spans="14:113">
      <c r="N998" t="str">
        <f t="shared" si="113"/>
        <v/>
      </c>
      <c r="O998" s="4" t="str">
        <f t="shared" si="114"/>
        <v>click</v>
      </c>
      <c r="P998" t="str">
        <f t="shared" si="115"/>
        <v>();</v>
      </c>
      <c r="S998" s="1" t="str">
        <f t="shared" si="112"/>
        <v/>
      </c>
      <c r="CT998" t="e">
        <v>#N/A</v>
      </c>
      <c r="CU998" t="e">
        <v>#N/A</v>
      </c>
      <c r="CV998" t="e">
        <v>#N/A</v>
      </c>
      <c r="CW998" t="e">
        <v>#N/A</v>
      </c>
      <c r="CX998" t="e">
        <v>#N/A</v>
      </c>
      <c r="CY998" t="e">
        <v>#N/A</v>
      </c>
      <c r="CZ998" t="e">
        <v>#N/A</v>
      </c>
      <c r="DA998" t="e">
        <v>#N/A</v>
      </c>
      <c r="DB998" t="e">
        <v>#N/A</v>
      </c>
      <c r="DC998" t="e">
        <v>#N/A</v>
      </c>
      <c r="DD998" t="e">
        <v>#N/A</v>
      </c>
      <c r="DE998" t="e">
        <v>#N/A</v>
      </c>
      <c r="DF998" t="e">
        <v>#N/A</v>
      </c>
      <c r="DG998" t="e">
        <v>#N/A</v>
      </c>
      <c r="DH998" t="e">
        <v>#N/A</v>
      </c>
      <c r="DI998" t="e">
        <v>#N/A</v>
      </c>
    </row>
    <row r="999" spans="14:113">
      <c r="N999" t="str">
        <f t="shared" si="113"/>
        <v/>
      </c>
      <c r="O999" s="4" t="str">
        <f t="shared" si="114"/>
        <v>click</v>
      </c>
      <c r="P999" t="str">
        <f t="shared" si="115"/>
        <v>();</v>
      </c>
      <c r="S999" s="1" t="str">
        <f t="shared" si="112"/>
        <v/>
      </c>
      <c r="CT999" t="e">
        <v>#N/A</v>
      </c>
      <c r="CU999" t="e">
        <v>#N/A</v>
      </c>
      <c r="CV999" t="e">
        <v>#N/A</v>
      </c>
      <c r="CW999" t="e">
        <v>#N/A</v>
      </c>
      <c r="CX999" t="e">
        <v>#N/A</v>
      </c>
      <c r="CY999" t="e">
        <v>#N/A</v>
      </c>
      <c r="CZ999" t="e">
        <v>#N/A</v>
      </c>
      <c r="DA999" t="e">
        <v>#N/A</v>
      </c>
      <c r="DB999" t="e">
        <v>#N/A</v>
      </c>
      <c r="DC999" t="e">
        <v>#N/A</v>
      </c>
      <c r="DD999" t="e">
        <v>#N/A</v>
      </c>
      <c r="DE999" t="e">
        <v>#N/A</v>
      </c>
      <c r="DF999" t="e">
        <v>#N/A</v>
      </c>
      <c r="DG999" t="e">
        <v>#N/A</v>
      </c>
      <c r="DH999" t="e">
        <v>#N/A</v>
      </c>
      <c r="DI999" t="e">
        <v>#N/A</v>
      </c>
    </row>
    <row r="1000" spans="14:113">
      <c r="N1000" t="str">
        <f t="shared" si="113"/>
        <v/>
      </c>
      <c r="O1000" s="4" t="str">
        <f t="shared" si="114"/>
        <v>click</v>
      </c>
      <c r="P1000" t="str">
        <f t="shared" si="115"/>
        <v>();</v>
      </c>
      <c r="S1000" s="1" t="str">
        <f t="shared" si="112"/>
        <v/>
      </c>
      <c r="CT1000" t="e">
        <v>#N/A</v>
      </c>
      <c r="CU1000" t="e">
        <v>#N/A</v>
      </c>
      <c r="CV1000" t="e">
        <v>#N/A</v>
      </c>
      <c r="CW1000" t="e">
        <v>#N/A</v>
      </c>
      <c r="CX1000" t="e">
        <v>#N/A</v>
      </c>
      <c r="CY1000" t="e">
        <v>#N/A</v>
      </c>
      <c r="CZ1000" t="e">
        <v>#N/A</v>
      </c>
      <c r="DA1000" t="e">
        <v>#N/A</v>
      </c>
      <c r="DB1000" t="e">
        <v>#N/A</v>
      </c>
      <c r="DC1000" t="e">
        <v>#N/A</v>
      </c>
      <c r="DD1000" t="e">
        <v>#N/A</v>
      </c>
      <c r="DE1000" t="e">
        <v>#N/A</v>
      </c>
      <c r="DF1000" t="e">
        <v>#N/A</v>
      </c>
      <c r="DG1000" t="e">
        <v>#N/A</v>
      </c>
      <c r="DH1000" t="e">
        <v>#N/A</v>
      </c>
      <c r="DI1000" t="e">
        <v>#N/A</v>
      </c>
    </row>
    <row r="1001" spans="14:113">
      <c r="N1001" t="str">
        <f t="shared" si="113"/>
        <v/>
      </c>
      <c r="O1001" s="4" t="str">
        <f t="shared" si="114"/>
        <v>click</v>
      </c>
      <c r="P1001" t="str">
        <f t="shared" si="115"/>
        <v>();</v>
      </c>
      <c r="S1001" s="1" t="str">
        <f t="shared" si="112"/>
        <v/>
      </c>
      <c r="CT1001" t="e">
        <v>#N/A</v>
      </c>
      <c r="CU1001" t="e">
        <v>#N/A</v>
      </c>
      <c r="CV1001" t="e">
        <v>#N/A</v>
      </c>
      <c r="CW1001" t="e">
        <v>#N/A</v>
      </c>
      <c r="CX1001" t="e">
        <v>#N/A</v>
      </c>
      <c r="CY1001" t="e">
        <v>#N/A</v>
      </c>
      <c r="CZ1001" t="e">
        <v>#N/A</v>
      </c>
      <c r="DA1001" t="e">
        <v>#N/A</v>
      </c>
      <c r="DB1001" t="e">
        <v>#N/A</v>
      </c>
      <c r="DC1001" t="e">
        <v>#N/A</v>
      </c>
      <c r="DD1001" t="e">
        <v>#N/A</v>
      </c>
      <c r="DE1001" t="e">
        <v>#N/A</v>
      </c>
      <c r="DF1001" t="e">
        <v>#N/A</v>
      </c>
      <c r="DG1001" t="e">
        <v>#N/A</v>
      </c>
      <c r="DH1001" t="e">
        <v>#N/A</v>
      </c>
      <c r="DI1001" t="e">
        <v>#N/A</v>
      </c>
    </row>
    <row r="1002" spans="14:113">
      <c r="N1002" t="str">
        <f t="shared" si="113"/>
        <v/>
      </c>
      <c r="O1002" s="4" t="str">
        <f t="shared" si="114"/>
        <v>click</v>
      </c>
      <c r="P1002" t="str">
        <f t="shared" si="115"/>
        <v>();</v>
      </c>
      <c r="S1002" s="1" t="str">
        <f t="shared" si="112"/>
        <v/>
      </c>
      <c r="CT1002" t="e">
        <v>#N/A</v>
      </c>
      <c r="CU1002" t="e">
        <v>#N/A</v>
      </c>
      <c r="CV1002" t="e">
        <v>#N/A</v>
      </c>
      <c r="CW1002" t="e">
        <v>#N/A</v>
      </c>
      <c r="CX1002" t="e">
        <v>#N/A</v>
      </c>
      <c r="CY1002" t="e">
        <v>#N/A</v>
      </c>
      <c r="CZ1002" t="e">
        <v>#N/A</v>
      </c>
      <c r="DA1002" t="e">
        <v>#N/A</v>
      </c>
      <c r="DB1002" t="e">
        <v>#N/A</v>
      </c>
      <c r="DC1002" t="e">
        <v>#N/A</v>
      </c>
      <c r="DD1002" t="e">
        <v>#N/A</v>
      </c>
      <c r="DE1002" t="e">
        <v>#N/A</v>
      </c>
      <c r="DF1002" t="e">
        <v>#N/A</v>
      </c>
      <c r="DG1002" t="e">
        <v>#N/A</v>
      </c>
      <c r="DH1002" t="e">
        <v>#N/A</v>
      </c>
      <c r="DI1002" t="e">
        <v>#N/A</v>
      </c>
    </row>
    <row r="1003" spans="14:113">
      <c r="N1003" t="str">
        <f t="shared" si="113"/>
        <v/>
      </c>
      <c r="O1003" s="4" t="str">
        <f t="shared" si="114"/>
        <v>click</v>
      </c>
      <c r="P1003" t="str">
        <f t="shared" si="115"/>
        <v>();</v>
      </c>
      <c r="S1003" s="1" t="str">
        <f t="shared" si="112"/>
        <v/>
      </c>
      <c r="CT1003" t="e">
        <v>#N/A</v>
      </c>
      <c r="CU1003" t="e">
        <v>#N/A</v>
      </c>
      <c r="CV1003" t="e">
        <v>#N/A</v>
      </c>
      <c r="CW1003" t="e">
        <v>#N/A</v>
      </c>
      <c r="CX1003" t="e">
        <v>#N/A</v>
      </c>
      <c r="CY1003" t="e">
        <v>#N/A</v>
      </c>
      <c r="CZ1003" t="e">
        <v>#N/A</v>
      </c>
      <c r="DA1003" t="e">
        <v>#N/A</v>
      </c>
      <c r="DB1003" t="e">
        <v>#N/A</v>
      </c>
      <c r="DC1003" t="e">
        <v>#N/A</v>
      </c>
      <c r="DD1003" t="e">
        <v>#N/A</v>
      </c>
      <c r="DE1003" t="e">
        <v>#N/A</v>
      </c>
      <c r="DF1003" t="e">
        <v>#N/A</v>
      </c>
      <c r="DG1003" t="e">
        <v>#N/A</v>
      </c>
      <c r="DH1003" t="e">
        <v>#N/A</v>
      </c>
      <c r="DI1003" t="e">
        <v>#N/A</v>
      </c>
    </row>
    <row r="1004" spans="14:113">
      <c r="N1004" t="str">
        <f t="shared" si="113"/>
        <v/>
      </c>
      <c r="O1004" s="4" t="str">
        <f t="shared" si="114"/>
        <v>click</v>
      </c>
      <c r="P1004" t="str">
        <f t="shared" si="115"/>
        <v>();</v>
      </c>
      <c r="S1004" s="1" t="str">
        <f t="shared" si="112"/>
        <v/>
      </c>
      <c r="CT1004" t="e">
        <v>#N/A</v>
      </c>
      <c r="CU1004" t="e">
        <v>#N/A</v>
      </c>
      <c r="CV1004" t="e">
        <v>#N/A</v>
      </c>
      <c r="CW1004" t="e">
        <v>#N/A</v>
      </c>
      <c r="CX1004" t="e">
        <v>#N/A</v>
      </c>
      <c r="CY1004" t="e">
        <v>#N/A</v>
      </c>
      <c r="CZ1004" t="e">
        <v>#N/A</v>
      </c>
      <c r="DA1004" t="e">
        <v>#N/A</v>
      </c>
      <c r="DB1004" t="e">
        <v>#N/A</v>
      </c>
      <c r="DC1004" t="e">
        <v>#N/A</v>
      </c>
      <c r="DD1004" t="e">
        <v>#N/A</v>
      </c>
      <c r="DE1004" t="e">
        <v>#N/A</v>
      </c>
      <c r="DF1004" t="e">
        <v>#N/A</v>
      </c>
      <c r="DG1004" t="e">
        <v>#N/A</v>
      </c>
      <c r="DH1004" t="e">
        <v>#N/A</v>
      </c>
      <c r="DI1004" t="e">
        <v>#N/A</v>
      </c>
    </row>
    <row r="1005" spans="14:113">
      <c r="N1005" t="str">
        <f t="shared" si="113"/>
        <v/>
      </c>
      <c r="O1005" s="4" t="str">
        <f t="shared" si="114"/>
        <v>click</v>
      </c>
      <c r="P1005" t="str">
        <f t="shared" si="115"/>
        <v>();</v>
      </c>
      <c r="S1005" s="1" t="str">
        <f t="shared" si="112"/>
        <v/>
      </c>
      <c r="CT1005" t="e">
        <v>#N/A</v>
      </c>
      <c r="CU1005" t="e">
        <v>#N/A</v>
      </c>
      <c r="CV1005" t="e">
        <v>#N/A</v>
      </c>
      <c r="CW1005" t="e">
        <v>#N/A</v>
      </c>
      <c r="CX1005" t="e">
        <v>#N/A</v>
      </c>
      <c r="CY1005" t="e">
        <v>#N/A</v>
      </c>
      <c r="CZ1005" t="e">
        <v>#N/A</v>
      </c>
      <c r="DA1005" t="e">
        <v>#N/A</v>
      </c>
      <c r="DB1005" t="e">
        <v>#N/A</v>
      </c>
      <c r="DC1005" t="e">
        <v>#N/A</v>
      </c>
      <c r="DD1005" t="e">
        <v>#N/A</v>
      </c>
      <c r="DE1005" t="e">
        <v>#N/A</v>
      </c>
      <c r="DF1005" t="e">
        <v>#N/A</v>
      </c>
      <c r="DG1005" t="e">
        <v>#N/A</v>
      </c>
      <c r="DH1005" t="e">
        <v>#N/A</v>
      </c>
      <c r="DI1005" t="e">
        <v>#N/A</v>
      </c>
    </row>
    <row r="1006" spans="14:113">
      <c r="N1006" t="str">
        <f t="shared" si="113"/>
        <v/>
      </c>
      <c r="O1006" s="4" t="str">
        <f t="shared" si="114"/>
        <v>click</v>
      </c>
      <c r="P1006" t="str">
        <f t="shared" si="115"/>
        <v>();</v>
      </c>
      <c r="S1006" s="1" t="str">
        <f t="shared" si="112"/>
        <v/>
      </c>
      <c r="CT1006" t="e">
        <v>#N/A</v>
      </c>
      <c r="CU1006" t="e">
        <v>#N/A</v>
      </c>
      <c r="CV1006" t="e">
        <v>#N/A</v>
      </c>
      <c r="CW1006" t="e">
        <v>#N/A</v>
      </c>
      <c r="CX1006" t="e">
        <v>#N/A</v>
      </c>
      <c r="CY1006" t="e">
        <v>#N/A</v>
      </c>
      <c r="CZ1006" t="e">
        <v>#N/A</v>
      </c>
      <c r="DA1006" t="e">
        <v>#N/A</v>
      </c>
      <c r="DB1006" t="e">
        <v>#N/A</v>
      </c>
      <c r="DC1006" t="e">
        <v>#N/A</v>
      </c>
      <c r="DD1006" t="e">
        <v>#N/A</v>
      </c>
      <c r="DE1006" t="e">
        <v>#N/A</v>
      </c>
      <c r="DF1006" t="e">
        <v>#N/A</v>
      </c>
      <c r="DG1006" t="e">
        <v>#N/A</v>
      </c>
      <c r="DH1006" t="e">
        <v>#N/A</v>
      </c>
      <c r="DI1006" t="e">
        <v>#N/A</v>
      </c>
    </row>
    <row r="1007" spans="14:113">
      <c r="N1007" t="str">
        <f t="shared" si="113"/>
        <v/>
      </c>
      <c r="O1007" s="4" t="str">
        <f t="shared" si="114"/>
        <v>click</v>
      </c>
      <c r="P1007" t="str">
        <f t="shared" si="115"/>
        <v>();</v>
      </c>
      <c r="S1007" s="1" t="str">
        <f t="shared" si="112"/>
        <v/>
      </c>
      <c r="CT1007" t="e">
        <v>#N/A</v>
      </c>
      <c r="CU1007" t="e">
        <v>#N/A</v>
      </c>
      <c r="CV1007" t="e">
        <v>#N/A</v>
      </c>
      <c r="CW1007" t="e">
        <v>#N/A</v>
      </c>
      <c r="CX1007" t="e">
        <v>#N/A</v>
      </c>
      <c r="CY1007" t="e">
        <v>#N/A</v>
      </c>
      <c r="CZ1007" t="e">
        <v>#N/A</v>
      </c>
      <c r="DA1007" t="e">
        <v>#N/A</v>
      </c>
      <c r="DB1007" t="e">
        <v>#N/A</v>
      </c>
      <c r="DC1007" t="e">
        <v>#N/A</v>
      </c>
      <c r="DD1007" t="e">
        <v>#N/A</v>
      </c>
      <c r="DE1007" t="e">
        <v>#N/A</v>
      </c>
      <c r="DF1007" t="e">
        <v>#N/A</v>
      </c>
    </row>
    <row r="1008" spans="14:113">
      <c r="N1008" t="str">
        <f t="shared" si="113"/>
        <v/>
      </c>
      <c r="O1008" s="4" t="str">
        <f t="shared" si="114"/>
        <v>click</v>
      </c>
      <c r="P1008" t="str">
        <f t="shared" si="115"/>
        <v>();</v>
      </c>
      <c r="S1008" s="1" t="str">
        <f t="shared" si="112"/>
        <v/>
      </c>
      <c r="CT1008" t="e">
        <v>#N/A</v>
      </c>
      <c r="CU1008" t="e">
        <v>#N/A</v>
      </c>
      <c r="CV1008" t="e">
        <v>#N/A</v>
      </c>
      <c r="CW1008" t="e">
        <v>#N/A</v>
      </c>
      <c r="CX1008" t="e">
        <v>#N/A</v>
      </c>
      <c r="CY1008" t="e">
        <v>#N/A</v>
      </c>
      <c r="CZ1008" t="e">
        <v>#N/A</v>
      </c>
      <c r="DA1008" t="e">
        <v>#N/A</v>
      </c>
      <c r="DB1008" t="e">
        <v>#N/A</v>
      </c>
      <c r="DC1008" t="e">
        <v>#N/A</v>
      </c>
      <c r="DD1008" t="e">
        <v>#N/A</v>
      </c>
      <c r="DE1008" t="e">
        <v>#N/A</v>
      </c>
      <c r="DF1008" t="e">
        <v>#N/A</v>
      </c>
    </row>
    <row r="1009" spans="14:110">
      <c r="N1009" t="str">
        <f t="shared" si="113"/>
        <v/>
      </c>
      <c r="O1009" s="4" t="str">
        <f t="shared" si="114"/>
        <v>click</v>
      </c>
      <c r="P1009" t="str">
        <f t="shared" si="115"/>
        <v>();</v>
      </c>
      <c r="S1009" s="1" t="str">
        <f t="shared" si="112"/>
        <v/>
      </c>
      <c r="CT1009" t="e">
        <v>#N/A</v>
      </c>
      <c r="CU1009" t="e">
        <v>#N/A</v>
      </c>
      <c r="CV1009" t="e">
        <v>#N/A</v>
      </c>
      <c r="CW1009" t="e">
        <v>#N/A</v>
      </c>
      <c r="CX1009" t="e">
        <v>#N/A</v>
      </c>
      <c r="CY1009" t="e">
        <v>#N/A</v>
      </c>
      <c r="CZ1009" t="e">
        <v>#N/A</v>
      </c>
      <c r="DA1009" t="e">
        <v>#N/A</v>
      </c>
      <c r="DB1009" t="e">
        <v>#N/A</v>
      </c>
      <c r="DC1009" t="e">
        <v>#N/A</v>
      </c>
      <c r="DD1009" t="e">
        <v>#N/A</v>
      </c>
      <c r="DE1009" t="e">
        <v>#N/A</v>
      </c>
      <c r="DF1009" t="e">
        <v>#N/A</v>
      </c>
    </row>
    <row r="1010" spans="14:110">
      <c r="N1010" t="str">
        <f t="shared" si="113"/>
        <v/>
      </c>
      <c r="O1010" s="4" t="str">
        <f t="shared" si="114"/>
        <v>click</v>
      </c>
      <c r="P1010" t="str">
        <f t="shared" si="115"/>
        <v>();</v>
      </c>
      <c r="S1010" s="1" t="str">
        <f t="shared" si="112"/>
        <v/>
      </c>
      <c r="CT1010" t="e">
        <v>#N/A</v>
      </c>
      <c r="CU1010" t="e">
        <v>#N/A</v>
      </c>
      <c r="CV1010" t="e">
        <v>#N/A</v>
      </c>
      <c r="CW1010" t="e">
        <v>#N/A</v>
      </c>
      <c r="CX1010" t="e">
        <v>#N/A</v>
      </c>
      <c r="CY1010" t="e">
        <v>#N/A</v>
      </c>
      <c r="CZ1010" t="e">
        <v>#N/A</v>
      </c>
      <c r="DA1010" t="e">
        <v>#N/A</v>
      </c>
      <c r="DB1010" t="e">
        <v>#N/A</v>
      </c>
      <c r="DC1010" t="e">
        <v>#N/A</v>
      </c>
      <c r="DD1010" t="e">
        <v>#N/A</v>
      </c>
      <c r="DE1010" t="e">
        <v>#N/A</v>
      </c>
      <c r="DF1010" t="e">
        <v>#N/A</v>
      </c>
    </row>
    <row r="1011" spans="14:110">
      <c r="N1011" t="str">
        <f t="shared" si="113"/>
        <v/>
      </c>
      <c r="O1011" s="4" t="str">
        <f t="shared" si="114"/>
        <v>click</v>
      </c>
      <c r="P1011" t="str">
        <f t="shared" si="115"/>
        <v>();</v>
      </c>
      <c r="S1011" s="1" t="str">
        <f t="shared" si="112"/>
        <v/>
      </c>
      <c r="CT1011" t="e">
        <v>#N/A</v>
      </c>
      <c r="CU1011" t="e">
        <v>#N/A</v>
      </c>
      <c r="CV1011" t="e">
        <v>#N/A</v>
      </c>
      <c r="CW1011" t="e">
        <v>#N/A</v>
      </c>
      <c r="CX1011" t="e">
        <v>#N/A</v>
      </c>
      <c r="CY1011" t="e">
        <v>#N/A</v>
      </c>
      <c r="CZ1011" t="e">
        <v>#N/A</v>
      </c>
      <c r="DA1011" t="e">
        <v>#N/A</v>
      </c>
      <c r="DB1011" t="e">
        <v>#N/A</v>
      </c>
      <c r="DC1011" t="e">
        <v>#N/A</v>
      </c>
      <c r="DD1011" t="e">
        <v>#N/A</v>
      </c>
      <c r="DE1011" t="e">
        <v>#N/A</v>
      </c>
      <c r="DF1011" t="e">
        <v>#N/A</v>
      </c>
    </row>
    <row r="1012" spans="14:110">
      <c r="N1012" t="str">
        <f t="shared" si="113"/>
        <v/>
      </c>
      <c r="O1012" s="4" t="str">
        <f t="shared" si="114"/>
        <v>click</v>
      </c>
      <c r="P1012" t="str">
        <f t="shared" si="115"/>
        <v>();</v>
      </c>
      <c r="S1012" s="1" t="str">
        <f t="shared" si="112"/>
        <v/>
      </c>
      <c r="CT1012" t="e">
        <v>#N/A</v>
      </c>
      <c r="CU1012" t="e">
        <v>#N/A</v>
      </c>
      <c r="CV1012" t="e">
        <v>#N/A</v>
      </c>
      <c r="CW1012" t="e">
        <v>#N/A</v>
      </c>
      <c r="CX1012" t="e">
        <v>#N/A</v>
      </c>
      <c r="CY1012" t="e">
        <v>#N/A</v>
      </c>
      <c r="CZ1012" t="e">
        <v>#N/A</v>
      </c>
      <c r="DA1012" t="e">
        <v>#N/A</v>
      </c>
      <c r="DB1012" t="e">
        <v>#N/A</v>
      </c>
      <c r="DC1012" t="e">
        <v>#N/A</v>
      </c>
      <c r="DD1012" t="e">
        <v>#N/A</v>
      </c>
      <c r="DE1012" t="e">
        <v>#N/A</v>
      </c>
      <c r="DF1012" t="e">
        <v>#N/A</v>
      </c>
    </row>
    <row r="1013" spans="14:110">
      <c r="N1013" t="str">
        <f t="shared" si="113"/>
        <v/>
      </c>
      <c r="O1013" s="4" t="str">
        <f t="shared" si="114"/>
        <v>click</v>
      </c>
      <c r="P1013" t="str">
        <f t="shared" si="115"/>
        <v>();</v>
      </c>
      <c r="S1013" s="1" t="str">
        <f t="shared" si="112"/>
        <v/>
      </c>
      <c r="CT1013" t="e">
        <v>#N/A</v>
      </c>
      <c r="CU1013" t="e">
        <v>#N/A</v>
      </c>
      <c r="CV1013" t="e">
        <v>#N/A</v>
      </c>
      <c r="CW1013" t="e">
        <v>#N/A</v>
      </c>
      <c r="CX1013" t="e">
        <v>#N/A</v>
      </c>
      <c r="CY1013" t="e">
        <v>#N/A</v>
      </c>
      <c r="CZ1013" t="e">
        <v>#N/A</v>
      </c>
      <c r="DA1013" t="e">
        <v>#N/A</v>
      </c>
      <c r="DB1013" t="e">
        <v>#N/A</v>
      </c>
      <c r="DC1013" t="e">
        <v>#N/A</v>
      </c>
      <c r="DD1013" t="e">
        <v>#N/A</v>
      </c>
      <c r="DE1013" t="e">
        <v>#N/A</v>
      </c>
      <c r="DF1013" t="e">
        <v>#N/A</v>
      </c>
    </row>
    <row r="1014" spans="14:110">
      <c r="N1014" t="str">
        <f t="shared" si="113"/>
        <v/>
      </c>
      <c r="O1014" s="4" t="str">
        <f t="shared" si="114"/>
        <v>click</v>
      </c>
      <c r="P1014" t="str">
        <f t="shared" si="115"/>
        <v>();</v>
      </c>
      <c r="S1014" s="1" t="str">
        <f t="shared" si="112"/>
        <v/>
      </c>
      <c r="CT1014" t="e">
        <v>#N/A</v>
      </c>
      <c r="CU1014" t="e">
        <v>#N/A</v>
      </c>
      <c r="CV1014" t="e">
        <v>#N/A</v>
      </c>
      <c r="CW1014" t="e">
        <v>#N/A</v>
      </c>
      <c r="CX1014" t="e">
        <v>#N/A</v>
      </c>
      <c r="CY1014" t="e">
        <v>#N/A</v>
      </c>
      <c r="CZ1014" t="e">
        <v>#N/A</v>
      </c>
      <c r="DA1014" t="e">
        <v>#N/A</v>
      </c>
      <c r="DB1014" t="e">
        <v>#N/A</v>
      </c>
      <c r="DC1014" t="e">
        <v>#N/A</v>
      </c>
      <c r="DD1014" t="e">
        <v>#N/A</v>
      </c>
      <c r="DE1014" t="e">
        <v>#N/A</v>
      </c>
      <c r="DF1014" t="e">
        <v>#N/A</v>
      </c>
    </row>
    <row r="1015" spans="14:110">
      <c r="N1015" t="str">
        <f t="shared" si="113"/>
        <v/>
      </c>
      <c r="O1015" s="4" t="str">
        <f t="shared" si="114"/>
        <v>click</v>
      </c>
      <c r="P1015" t="str">
        <f t="shared" si="115"/>
        <v>();</v>
      </c>
      <c r="S1015" s="1" t="str">
        <f t="shared" si="112"/>
        <v/>
      </c>
    </row>
    <row r="1016" spans="14:110">
      <c r="N1016" t="str">
        <f t="shared" si="113"/>
        <v/>
      </c>
      <c r="O1016" s="4" t="str">
        <f t="shared" si="114"/>
        <v>click</v>
      </c>
      <c r="P1016" t="str">
        <f t="shared" si="115"/>
        <v>();</v>
      </c>
      <c r="S1016" s="1" t="str">
        <f t="shared" si="112"/>
        <v/>
      </c>
    </row>
    <row r="1017" spans="14:110">
      <c r="N1017" t="str">
        <f t="shared" si="113"/>
        <v/>
      </c>
      <c r="O1017" s="4" t="str">
        <f t="shared" si="114"/>
        <v>click</v>
      </c>
      <c r="P1017" t="str">
        <f t="shared" si="115"/>
        <v>();</v>
      </c>
      <c r="S1017" s="1" t="str">
        <f t="shared" si="112"/>
        <v/>
      </c>
    </row>
    <row r="1018" spans="14:110">
      <c r="N1018" t="str">
        <f t="shared" si="113"/>
        <v/>
      </c>
      <c r="O1018" s="4" t="str">
        <f t="shared" si="114"/>
        <v>click</v>
      </c>
      <c r="P1018" t="str">
        <f t="shared" si="115"/>
        <v>();</v>
      </c>
      <c r="S1018" s="1" t="str">
        <f t="shared" si="112"/>
        <v/>
      </c>
    </row>
    <row r="1019" spans="14:110">
      <c r="N1019" t="str">
        <f t="shared" si="113"/>
        <v/>
      </c>
      <c r="O1019" s="4" t="str">
        <f t="shared" si="114"/>
        <v>click</v>
      </c>
      <c r="P1019" t="str">
        <f t="shared" si="115"/>
        <v>();</v>
      </c>
      <c r="S1019" s="1" t="str">
        <f t="shared" si="112"/>
        <v/>
      </c>
    </row>
    <row r="1020" spans="14:110">
      <c r="N1020" t="str">
        <f t="shared" si="113"/>
        <v/>
      </c>
      <c r="O1020" s="4" t="str">
        <f t="shared" si="114"/>
        <v>click</v>
      </c>
      <c r="P1020" t="str">
        <f t="shared" si="115"/>
        <v>();</v>
      </c>
      <c r="S1020" s="1" t="str">
        <f t="shared" si="112"/>
        <v/>
      </c>
    </row>
    <row r="1021" spans="14:110">
      <c r="N1021" t="str">
        <f t="shared" si="113"/>
        <v/>
      </c>
      <c r="O1021" s="4" t="str">
        <f t="shared" si="114"/>
        <v>click</v>
      </c>
      <c r="P1021" t="str">
        <f t="shared" si="115"/>
        <v>();</v>
      </c>
      <c r="S1021" s="1" t="str">
        <f t="shared" si="112"/>
        <v/>
      </c>
    </row>
    <row r="1022" spans="14:110">
      <c r="N1022" t="str">
        <f t="shared" si="113"/>
        <v/>
      </c>
      <c r="O1022" s="4" t="str">
        <f t="shared" si="114"/>
        <v>click</v>
      </c>
      <c r="P1022" t="str">
        <f t="shared" si="115"/>
        <v>();</v>
      </c>
      <c r="S1022" s="1" t="str">
        <f t="shared" si="112"/>
        <v/>
      </c>
    </row>
    <row r="1023" spans="14:110">
      <c r="N1023" t="str">
        <f t="shared" si="113"/>
        <v/>
      </c>
      <c r="O1023" s="4" t="str">
        <f t="shared" si="114"/>
        <v>click</v>
      </c>
      <c r="P1023" t="str">
        <f t="shared" si="115"/>
        <v>();</v>
      </c>
      <c r="S1023" s="1" t="str">
        <f t="shared" si="112"/>
        <v/>
      </c>
    </row>
    <row r="1024" spans="14:110">
      <c r="N1024" t="str">
        <f t="shared" si="113"/>
        <v/>
      </c>
      <c r="O1024" s="4" t="str">
        <f t="shared" si="114"/>
        <v>click</v>
      </c>
      <c r="P1024" t="str">
        <f t="shared" si="115"/>
        <v>();</v>
      </c>
      <c r="S1024" s="1" t="str">
        <f t="shared" si="112"/>
        <v/>
      </c>
    </row>
    <row r="1025" spans="14:19">
      <c r="N1025" t="str">
        <f t="shared" si="113"/>
        <v/>
      </c>
      <c r="O1025" s="4" t="str">
        <f t="shared" si="114"/>
        <v>click</v>
      </c>
      <c r="P1025" t="str">
        <f t="shared" si="115"/>
        <v>();</v>
      </c>
      <c r="S1025" s="1" t="str">
        <f t="shared" si="112"/>
        <v/>
      </c>
    </row>
    <row r="1026" spans="14:19">
      <c r="N1026" t="str">
        <f t="shared" si="113"/>
        <v/>
      </c>
      <c r="O1026" s="4" t="str">
        <f t="shared" si="114"/>
        <v>click</v>
      </c>
      <c r="P1026" t="str">
        <f t="shared" si="115"/>
        <v>();</v>
      </c>
      <c r="S1026" s="1" t="str">
        <f t="shared" si="112"/>
        <v/>
      </c>
    </row>
    <row r="1027" spans="14:19">
      <c r="N1027" t="str">
        <f t="shared" si="113"/>
        <v/>
      </c>
      <c r="O1027" s="4" t="str">
        <f t="shared" si="114"/>
        <v>click</v>
      </c>
      <c r="P1027" t="str">
        <f t="shared" si="115"/>
        <v>();</v>
      </c>
      <c r="S1027" s="1" t="str">
        <f t="shared" si="112"/>
        <v/>
      </c>
    </row>
    <row r="1028" spans="14:19">
      <c r="N1028" t="str">
        <f t="shared" si="113"/>
        <v/>
      </c>
      <c r="O1028" s="4" t="str">
        <f t="shared" si="114"/>
        <v>click</v>
      </c>
      <c r="P1028" t="str">
        <f t="shared" si="115"/>
        <v>();</v>
      </c>
      <c r="S1028" s="1" t="str">
        <f t="shared" si="112"/>
        <v/>
      </c>
    </row>
    <row r="1029" spans="14:19">
      <c r="N1029" t="str">
        <f t="shared" si="113"/>
        <v/>
      </c>
      <c r="O1029" s="4" t="str">
        <f t="shared" si="114"/>
        <v>click</v>
      </c>
      <c r="P1029" t="str">
        <f t="shared" si="115"/>
        <v>();</v>
      </c>
      <c r="S1029" s="1" t="str">
        <f t="shared" si="112"/>
        <v/>
      </c>
    </row>
    <row r="1030" spans="14:19">
      <c r="N1030" t="str">
        <f t="shared" si="113"/>
        <v/>
      </c>
      <c r="O1030" s="4" t="str">
        <f t="shared" si="114"/>
        <v>click</v>
      </c>
      <c r="P1030" t="str">
        <f t="shared" si="115"/>
        <v>();</v>
      </c>
      <c r="S1030" s="1" t="str">
        <f t="shared" si="112"/>
        <v/>
      </c>
    </row>
    <row r="1031" spans="14:19">
      <c r="N1031" t="str">
        <f t="shared" si="113"/>
        <v/>
      </c>
      <c r="O1031" s="4" t="str">
        <f t="shared" si="114"/>
        <v>click</v>
      </c>
      <c r="P1031" t="str">
        <f t="shared" si="115"/>
        <v>();</v>
      </c>
      <c r="S1031" s="1" t="str">
        <f t="shared" si="112"/>
        <v/>
      </c>
    </row>
    <row r="1032" spans="14:19">
      <c r="N1032" t="str">
        <f t="shared" si="113"/>
        <v/>
      </c>
      <c r="O1032" s="4" t="str">
        <f t="shared" si="114"/>
        <v>click</v>
      </c>
      <c r="P1032" t="str">
        <f t="shared" si="115"/>
        <v>();</v>
      </c>
      <c r="S1032" s="1" t="str">
        <f t="shared" si="112"/>
        <v/>
      </c>
    </row>
    <row r="1033" spans="14:19">
      <c r="N1033" t="str">
        <f t="shared" si="113"/>
        <v/>
      </c>
      <c r="O1033" s="4" t="str">
        <f t="shared" si="114"/>
        <v>click</v>
      </c>
      <c r="P1033" t="str">
        <f t="shared" si="115"/>
        <v>();</v>
      </c>
      <c r="S1033" s="1" t="str">
        <f t="shared" si="112"/>
        <v/>
      </c>
    </row>
    <row r="1034" spans="14:19">
      <c r="N1034" t="str">
        <f t="shared" si="113"/>
        <v/>
      </c>
      <c r="O1034" s="4" t="str">
        <f t="shared" si="114"/>
        <v>click</v>
      </c>
      <c r="P1034" t="str">
        <f t="shared" si="115"/>
        <v>();</v>
      </c>
      <c r="S1034" s="1" t="str">
        <f t="shared" si="112"/>
        <v/>
      </c>
    </row>
    <row r="1035" spans="14:19">
      <c r="N1035" t="str">
        <f t="shared" si="113"/>
        <v/>
      </c>
      <c r="O1035" s="4" t="str">
        <f t="shared" si="114"/>
        <v>click</v>
      </c>
      <c r="P1035" t="str">
        <f t="shared" si="115"/>
        <v>();</v>
      </c>
      <c r="S1035" s="1" t="str">
        <f t="shared" ref="S1035:S1098" si="116">IF(C1035="Y",IF(D1035&lt;&gt;"mat-select",IF(D1035="End","",IF(O1035="innerText",I1035&amp;"="&amp;IF(C1035="Y",IF(J1035&lt;&gt;"Y",$S$8&amp;$R$9&amp;"."&amp;E1035&amp;")."&amp;IF(OR(O1035="click",O1035="innerText"),O1035&amp;"();",O1035&amp;"("&amp;$Q$8&amp;"."&amp;E1035&amp;");"),$S$7&amp;$R$9&amp;"."&amp;SUBSTITUTE(E1035," ","")&amp;")."&amp;IF(O1035="click",O1035&amp;"();",O1035&amp;"("&amp;"'"&amp;K1035&amp;"'"&amp;");")),""),IF(C1035="Y",IF(J1035&lt;&gt;"Y",$S$8&amp;$R$9&amp;"."&amp;SUBSTITUTE(E1035," ","")&amp;")."&amp;IF(OR(O1035="click",O1035="innerText"),O1035&amp;"();",O1035&amp;"("&amp;$Q$8&amp;"."&amp;SUBSTITUTE(E1035," ","")&amp;");"),$S$7&amp;$R$9&amp;"."&amp;SUBSTITUTE(E1035," ","")&amp;")."&amp;IF(O1035="click",O1035&amp;"();",O1035&amp;"("&amp;"'"&amp;K1035&amp;"'"&amp;");")),""))),"let form"&amp;Z1035&amp;": String;"&amp;"for (let i = 1; i &lt; 30; i++) {"&amp;$S$8&amp;$R$9&amp;"."&amp;SUBSTITUTE(E1035," ","")&amp;").click();"&amp;$CE$4&amp; "form"&amp;Z1035&amp;"="&amp; $S$8&amp;$R$9&amp;"."&amp;SUBSTITUTE(E1035," ","")&amp;").innerText();" &amp;"if ("&amp;"form"&amp;Z1035&amp;"=="&amp; "Data[index]."&amp;SUBSTITUTE(E1035," ","") &amp;"){"&amp;$CE$7),"")</f>
        <v/>
      </c>
    </row>
    <row r="1036" spans="14:19">
      <c r="N1036" t="str">
        <f t="shared" si="113"/>
        <v/>
      </c>
      <c r="O1036" s="4" t="str">
        <f t="shared" si="114"/>
        <v>click</v>
      </c>
      <c r="P1036" t="str">
        <f t="shared" si="115"/>
        <v>();</v>
      </c>
      <c r="S1036" s="1" t="str">
        <f t="shared" si="116"/>
        <v/>
      </c>
    </row>
    <row r="1037" spans="14:19">
      <c r="N1037" t="str">
        <f t="shared" si="113"/>
        <v/>
      </c>
      <c r="O1037" s="4" t="str">
        <f t="shared" si="114"/>
        <v>click</v>
      </c>
      <c r="P1037" t="str">
        <f t="shared" si="115"/>
        <v>();</v>
      </c>
      <c r="S1037" s="1" t="str">
        <f t="shared" si="116"/>
        <v/>
      </c>
    </row>
    <row r="1038" spans="14:19">
      <c r="N1038" t="str">
        <f t="shared" si="113"/>
        <v/>
      </c>
      <c r="O1038" s="4" t="str">
        <f t="shared" si="114"/>
        <v>click</v>
      </c>
      <c r="P1038" t="str">
        <f t="shared" si="115"/>
        <v>();</v>
      </c>
      <c r="S1038" s="1" t="str">
        <f t="shared" si="116"/>
        <v/>
      </c>
    </row>
    <row r="1039" spans="14:19">
      <c r="N1039" t="str">
        <f t="shared" si="113"/>
        <v/>
      </c>
      <c r="O1039" s="4" t="str">
        <f t="shared" si="114"/>
        <v>click</v>
      </c>
      <c r="P1039" t="str">
        <f t="shared" si="115"/>
        <v>();</v>
      </c>
      <c r="S1039" s="1" t="str">
        <f t="shared" si="116"/>
        <v/>
      </c>
    </row>
    <row r="1040" spans="14:19">
      <c r="N1040" t="str">
        <f t="shared" si="113"/>
        <v/>
      </c>
      <c r="O1040" s="4" t="str">
        <f t="shared" si="114"/>
        <v>click</v>
      </c>
      <c r="P1040" t="str">
        <f t="shared" si="115"/>
        <v>();</v>
      </c>
      <c r="S1040" s="1" t="str">
        <f t="shared" si="116"/>
        <v/>
      </c>
    </row>
    <row r="1041" spans="14:19">
      <c r="N1041" t="str">
        <f t="shared" si="113"/>
        <v/>
      </c>
      <c r="O1041" s="4" t="str">
        <f t="shared" si="114"/>
        <v>click</v>
      </c>
      <c r="P1041" t="str">
        <f t="shared" si="115"/>
        <v>();</v>
      </c>
      <c r="S1041" s="1" t="str">
        <f t="shared" si="116"/>
        <v/>
      </c>
    </row>
    <row r="1042" spans="14:19">
      <c r="N1042" t="str">
        <f t="shared" si="113"/>
        <v/>
      </c>
      <c r="O1042" s="4" t="str">
        <f t="shared" si="114"/>
        <v>click</v>
      </c>
      <c r="P1042" t="str">
        <f t="shared" si="115"/>
        <v>();</v>
      </c>
      <c r="S1042" s="1" t="str">
        <f t="shared" si="116"/>
        <v/>
      </c>
    </row>
    <row r="1043" spans="14:19">
      <c r="N1043" t="str">
        <f t="shared" si="113"/>
        <v/>
      </c>
      <c r="O1043" s="4" t="str">
        <f t="shared" si="114"/>
        <v>click</v>
      </c>
      <c r="P1043" t="str">
        <f t="shared" si="115"/>
        <v>();</v>
      </c>
      <c r="S1043" s="1" t="str">
        <f t="shared" si="116"/>
        <v/>
      </c>
    </row>
    <row r="1044" spans="14:19">
      <c r="N1044" t="str">
        <f t="shared" si="113"/>
        <v/>
      </c>
      <c r="O1044" s="4" t="str">
        <f t="shared" si="114"/>
        <v>click</v>
      </c>
      <c r="P1044" t="str">
        <f t="shared" si="115"/>
        <v>();</v>
      </c>
      <c r="S1044" s="1" t="str">
        <f t="shared" si="116"/>
        <v/>
      </c>
    </row>
    <row r="1045" spans="14:19">
      <c r="N1045" t="str">
        <f t="shared" ref="N1045:N1108" si="117">IF(A1045="Y",""""&amp;C1045&amp;""""&amp;": "&amp;M1045&amp;",","")</f>
        <v/>
      </c>
      <c r="O1045" s="4" t="str">
        <f t="shared" ref="O1045:O1108" si="118">IF(D1045="input","fill",IF(I1045&lt;&gt;"","innerText",IF(J1045="Y",$T$7,"click")))</f>
        <v>click</v>
      </c>
      <c r="P1045" t="str">
        <f t="shared" ref="P1045:P1108" si="119">IF(OR(O1045="Click",O1045="innerText"),"();","("&amp;""""&amp;K1045&amp;""""&amp;");")</f>
        <v>();</v>
      </c>
      <c r="S1045" s="1" t="str">
        <f t="shared" si="116"/>
        <v/>
      </c>
    </row>
    <row r="1046" spans="14:19">
      <c r="N1046" t="str">
        <f t="shared" si="117"/>
        <v/>
      </c>
      <c r="O1046" s="4" t="str">
        <f t="shared" si="118"/>
        <v>click</v>
      </c>
      <c r="P1046" t="str">
        <f t="shared" si="119"/>
        <v>();</v>
      </c>
      <c r="S1046" s="1" t="str">
        <f t="shared" si="116"/>
        <v/>
      </c>
    </row>
    <row r="1047" spans="14:19">
      <c r="N1047" t="str">
        <f t="shared" si="117"/>
        <v/>
      </c>
      <c r="O1047" s="4" t="str">
        <f t="shared" si="118"/>
        <v>click</v>
      </c>
      <c r="P1047" t="str">
        <f t="shared" si="119"/>
        <v>();</v>
      </c>
      <c r="S1047" s="1" t="str">
        <f t="shared" si="116"/>
        <v/>
      </c>
    </row>
    <row r="1048" spans="14:19">
      <c r="N1048" t="str">
        <f t="shared" si="117"/>
        <v/>
      </c>
      <c r="O1048" s="4" t="str">
        <f t="shared" si="118"/>
        <v>click</v>
      </c>
      <c r="P1048" t="str">
        <f t="shared" si="119"/>
        <v>();</v>
      </c>
      <c r="S1048" s="1" t="str">
        <f t="shared" si="116"/>
        <v/>
      </c>
    </row>
    <row r="1049" spans="14:19">
      <c r="N1049" t="str">
        <f t="shared" si="117"/>
        <v/>
      </c>
      <c r="O1049" s="4" t="str">
        <f t="shared" si="118"/>
        <v>click</v>
      </c>
      <c r="P1049" t="str">
        <f t="shared" si="119"/>
        <v>();</v>
      </c>
      <c r="S1049" s="1" t="str">
        <f t="shared" si="116"/>
        <v/>
      </c>
    </row>
    <row r="1050" spans="14:19">
      <c r="N1050" t="str">
        <f t="shared" si="117"/>
        <v/>
      </c>
      <c r="O1050" s="4" t="str">
        <f t="shared" si="118"/>
        <v>click</v>
      </c>
      <c r="P1050" t="str">
        <f t="shared" si="119"/>
        <v>();</v>
      </c>
      <c r="S1050" s="1" t="str">
        <f t="shared" si="116"/>
        <v/>
      </c>
    </row>
    <row r="1051" spans="14:19">
      <c r="N1051" t="str">
        <f t="shared" si="117"/>
        <v/>
      </c>
      <c r="O1051" s="4" t="str">
        <f t="shared" si="118"/>
        <v>click</v>
      </c>
      <c r="P1051" t="str">
        <f t="shared" si="119"/>
        <v>();</v>
      </c>
      <c r="S1051" s="1" t="str">
        <f t="shared" si="116"/>
        <v/>
      </c>
    </row>
    <row r="1052" spans="14:19">
      <c r="N1052" t="str">
        <f t="shared" si="117"/>
        <v/>
      </c>
      <c r="O1052" s="4" t="str">
        <f t="shared" si="118"/>
        <v>click</v>
      </c>
      <c r="P1052" t="str">
        <f t="shared" si="119"/>
        <v>();</v>
      </c>
      <c r="S1052" s="1" t="str">
        <f t="shared" si="116"/>
        <v/>
      </c>
    </row>
    <row r="1053" spans="14:19">
      <c r="N1053" t="str">
        <f t="shared" si="117"/>
        <v/>
      </c>
      <c r="O1053" s="4" t="str">
        <f t="shared" si="118"/>
        <v>click</v>
      </c>
      <c r="P1053" t="str">
        <f t="shared" si="119"/>
        <v>();</v>
      </c>
      <c r="S1053" s="1" t="str">
        <f t="shared" si="116"/>
        <v/>
      </c>
    </row>
    <row r="1054" spans="14:19">
      <c r="N1054" t="str">
        <f t="shared" si="117"/>
        <v/>
      </c>
      <c r="O1054" s="4" t="str">
        <f t="shared" si="118"/>
        <v>click</v>
      </c>
      <c r="P1054" t="str">
        <f t="shared" si="119"/>
        <v>();</v>
      </c>
      <c r="S1054" s="1" t="str">
        <f t="shared" si="116"/>
        <v/>
      </c>
    </row>
    <row r="1055" spans="14:19">
      <c r="N1055" t="str">
        <f t="shared" si="117"/>
        <v/>
      </c>
      <c r="O1055" s="4" t="str">
        <f t="shared" si="118"/>
        <v>click</v>
      </c>
      <c r="P1055" t="str">
        <f t="shared" si="119"/>
        <v>();</v>
      </c>
      <c r="S1055" s="1" t="str">
        <f t="shared" si="116"/>
        <v/>
      </c>
    </row>
    <row r="1056" spans="14:19">
      <c r="N1056" t="str">
        <f t="shared" si="117"/>
        <v/>
      </c>
      <c r="O1056" s="4" t="str">
        <f t="shared" si="118"/>
        <v>click</v>
      </c>
      <c r="P1056" t="str">
        <f t="shared" si="119"/>
        <v>();</v>
      </c>
      <c r="S1056" s="1" t="str">
        <f t="shared" si="116"/>
        <v/>
      </c>
    </row>
    <row r="1057" spans="14:19">
      <c r="N1057" t="str">
        <f t="shared" si="117"/>
        <v/>
      </c>
      <c r="O1057" s="4" t="str">
        <f t="shared" si="118"/>
        <v>click</v>
      </c>
      <c r="P1057" t="str">
        <f t="shared" si="119"/>
        <v>();</v>
      </c>
      <c r="S1057" s="1" t="str">
        <f t="shared" si="116"/>
        <v/>
      </c>
    </row>
    <row r="1058" spans="14:19">
      <c r="N1058" t="str">
        <f t="shared" si="117"/>
        <v/>
      </c>
      <c r="O1058" s="4" t="str">
        <f t="shared" si="118"/>
        <v>click</v>
      </c>
      <c r="P1058" t="str">
        <f t="shared" si="119"/>
        <v>();</v>
      </c>
      <c r="S1058" s="1" t="str">
        <f t="shared" si="116"/>
        <v/>
      </c>
    </row>
    <row r="1059" spans="14:19">
      <c r="N1059" t="str">
        <f t="shared" si="117"/>
        <v/>
      </c>
      <c r="O1059" s="4" t="str">
        <f t="shared" si="118"/>
        <v>click</v>
      </c>
      <c r="P1059" t="str">
        <f t="shared" si="119"/>
        <v>();</v>
      </c>
      <c r="S1059" s="1" t="str">
        <f t="shared" si="116"/>
        <v/>
      </c>
    </row>
    <row r="1060" spans="14:19">
      <c r="N1060" t="str">
        <f t="shared" si="117"/>
        <v/>
      </c>
      <c r="O1060" s="4" t="str">
        <f t="shared" si="118"/>
        <v>click</v>
      </c>
      <c r="P1060" t="str">
        <f t="shared" si="119"/>
        <v>();</v>
      </c>
      <c r="S1060" s="1" t="str">
        <f t="shared" si="116"/>
        <v/>
      </c>
    </row>
    <row r="1061" spans="14:19">
      <c r="N1061" t="str">
        <f t="shared" si="117"/>
        <v/>
      </c>
      <c r="O1061" s="4" t="str">
        <f t="shared" si="118"/>
        <v>click</v>
      </c>
      <c r="P1061" t="str">
        <f t="shared" si="119"/>
        <v>();</v>
      </c>
      <c r="S1061" s="1" t="str">
        <f t="shared" si="116"/>
        <v/>
      </c>
    </row>
    <row r="1062" spans="14:19">
      <c r="N1062" t="str">
        <f t="shared" si="117"/>
        <v/>
      </c>
      <c r="O1062" s="4" t="str">
        <f t="shared" si="118"/>
        <v>click</v>
      </c>
      <c r="P1062" t="str">
        <f t="shared" si="119"/>
        <v>();</v>
      </c>
      <c r="S1062" s="1" t="str">
        <f t="shared" si="116"/>
        <v/>
      </c>
    </row>
    <row r="1063" spans="14:19">
      <c r="N1063" t="str">
        <f t="shared" si="117"/>
        <v/>
      </c>
      <c r="O1063" s="4" t="str">
        <f t="shared" si="118"/>
        <v>click</v>
      </c>
      <c r="P1063" t="str">
        <f t="shared" si="119"/>
        <v>();</v>
      </c>
      <c r="S1063" s="1" t="str">
        <f t="shared" si="116"/>
        <v/>
      </c>
    </row>
    <row r="1064" spans="14:19">
      <c r="N1064" t="str">
        <f t="shared" si="117"/>
        <v/>
      </c>
      <c r="O1064" s="4" t="str">
        <f t="shared" si="118"/>
        <v>click</v>
      </c>
      <c r="P1064" t="str">
        <f t="shared" si="119"/>
        <v>();</v>
      </c>
      <c r="S1064" s="1" t="str">
        <f t="shared" si="116"/>
        <v/>
      </c>
    </row>
    <row r="1065" spans="14:19">
      <c r="N1065" t="str">
        <f t="shared" si="117"/>
        <v/>
      </c>
      <c r="O1065" s="4" t="str">
        <f t="shared" si="118"/>
        <v>click</v>
      </c>
      <c r="P1065" t="str">
        <f t="shared" si="119"/>
        <v>();</v>
      </c>
      <c r="S1065" s="1" t="str">
        <f t="shared" si="116"/>
        <v/>
      </c>
    </row>
    <row r="1066" spans="14:19">
      <c r="N1066" t="str">
        <f t="shared" si="117"/>
        <v/>
      </c>
      <c r="O1066" s="4" t="str">
        <f t="shared" si="118"/>
        <v>click</v>
      </c>
      <c r="P1066" t="str">
        <f t="shared" si="119"/>
        <v>();</v>
      </c>
      <c r="S1066" s="1" t="str">
        <f t="shared" si="116"/>
        <v/>
      </c>
    </row>
    <row r="1067" spans="14:19">
      <c r="N1067" t="str">
        <f t="shared" si="117"/>
        <v/>
      </c>
      <c r="O1067" s="4" t="str">
        <f t="shared" si="118"/>
        <v>click</v>
      </c>
      <c r="P1067" t="str">
        <f t="shared" si="119"/>
        <v>();</v>
      </c>
      <c r="S1067" s="1" t="str">
        <f t="shared" si="116"/>
        <v/>
      </c>
    </row>
    <row r="1068" spans="14:19">
      <c r="N1068" t="str">
        <f t="shared" si="117"/>
        <v/>
      </c>
      <c r="O1068" s="4" t="str">
        <f t="shared" si="118"/>
        <v>click</v>
      </c>
      <c r="P1068" t="str">
        <f t="shared" si="119"/>
        <v>();</v>
      </c>
      <c r="S1068" s="1" t="str">
        <f t="shared" si="116"/>
        <v/>
      </c>
    </row>
    <row r="1069" spans="14:19">
      <c r="N1069" t="str">
        <f t="shared" si="117"/>
        <v/>
      </c>
      <c r="O1069" s="4" t="str">
        <f t="shared" si="118"/>
        <v>click</v>
      </c>
      <c r="P1069" t="str">
        <f t="shared" si="119"/>
        <v>();</v>
      </c>
      <c r="S1069" s="1" t="str">
        <f t="shared" si="116"/>
        <v/>
      </c>
    </row>
    <row r="1070" spans="14:19">
      <c r="N1070" t="str">
        <f t="shared" si="117"/>
        <v/>
      </c>
      <c r="O1070" s="4" t="str">
        <f t="shared" si="118"/>
        <v>click</v>
      </c>
      <c r="P1070" t="str">
        <f t="shared" si="119"/>
        <v>();</v>
      </c>
      <c r="S1070" s="1" t="str">
        <f t="shared" si="116"/>
        <v/>
      </c>
    </row>
    <row r="1071" spans="14:19">
      <c r="N1071" t="str">
        <f t="shared" si="117"/>
        <v/>
      </c>
      <c r="O1071" s="4" t="str">
        <f t="shared" si="118"/>
        <v>click</v>
      </c>
      <c r="P1071" t="str">
        <f t="shared" si="119"/>
        <v>();</v>
      </c>
      <c r="S1071" s="1" t="str">
        <f t="shared" si="116"/>
        <v/>
      </c>
    </row>
    <row r="1072" spans="14:19">
      <c r="N1072" t="str">
        <f t="shared" si="117"/>
        <v/>
      </c>
      <c r="O1072" s="4" t="str">
        <f t="shared" si="118"/>
        <v>click</v>
      </c>
      <c r="P1072" t="str">
        <f t="shared" si="119"/>
        <v>();</v>
      </c>
      <c r="S1072" s="1" t="str">
        <f t="shared" si="116"/>
        <v/>
      </c>
    </row>
    <row r="1073" spans="14:19">
      <c r="N1073" t="str">
        <f t="shared" si="117"/>
        <v/>
      </c>
      <c r="O1073" s="4" t="str">
        <f t="shared" si="118"/>
        <v>click</v>
      </c>
      <c r="P1073" t="str">
        <f t="shared" si="119"/>
        <v>();</v>
      </c>
      <c r="S1073" s="1" t="str">
        <f t="shared" si="116"/>
        <v/>
      </c>
    </row>
    <row r="1074" spans="14:19">
      <c r="N1074" t="str">
        <f t="shared" si="117"/>
        <v/>
      </c>
      <c r="O1074" s="4" t="str">
        <f t="shared" si="118"/>
        <v>click</v>
      </c>
      <c r="P1074" t="str">
        <f t="shared" si="119"/>
        <v>();</v>
      </c>
      <c r="S1074" s="1" t="str">
        <f t="shared" si="116"/>
        <v/>
      </c>
    </row>
    <row r="1075" spans="14:19">
      <c r="N1075" t="str">
        <f t="shared" si="117"/>
        <v/>
      </c>
      <c r="O1075" s="4" t="str">
        <f t="shared" si="118"/>
        <v>click</v>
      </c>
      <c r="P1075" t="str">
        <f t="shared" si="119"/>
        <v>();</v>
      </c>
      <c r="S1075" s="1" t="str">
        <f t="shared" si="116"/>
        <v/>
      </c>
    </row>
    <row r="1076" spans="14:19">
      <c r="N1076" t="str">
        <f t="shared" si="117"/>
        <v/>
      </c>
      <c r="O1076" s="4" t="str">
        <f t="shared" si="118"/>
        <v>click</v>
      </c>
      <c r="P1076" t="str">
        <f t="shared" si="119"/>
        <v>();</v>
      </c>
      <c r="S1076" s="1" t="str">
        <f t="shared" si="116"/>
        <v/>
      </c>
    </row>
    <row r="1077" spans="14:19">
      <c r="N1077" t="str">
        <f t="shared" si="117"/>
        <v/>
      </c>
      <c r="O1077" s="4" t="str">
        <f t="shared" si="118"/>
        <v>click</v>
      </c>
      <c r="P1077" t="str">
        <f t="shared" si="119"/>
        <v>();</v>
      </c>
      <c r="S1077" s="1" t="str">
        <f t="shared" si="116"/>
        <v/>
      </c>
    </row>
    <row r="1078" spans="14:19">
      <c r="N1078" t="str">
        <f t="shared" si="117"/>
        <v/>
      </c>
      <c r="O1078" s="4" t="str">
        <f t="shared" si="118"/>
        <v>click</v>
      </c>
      <c r="P1078" t="str">
        <f t="shared" si="119"/>
        <v>();</v>
      </c>
      <c r="S1078" s="1" t="str">
        <f t="shared" si="116"/>
        <v/>
      </c>
    </row>
    <row r="1079" spans="14:19">
      <c r="N1079" t="str">
        <f t="shared" si="117"/>
        <v/>
      </c>
      <c r="O1079" s="4" t="str">
        <f t="shared" si="118"/>
        <v>click</v>
      </c>
      <c r="P1079" t="str">
        <f t="shared" si="119"/>
        <v>();</v>
      </c>
      <c r="S1079" s="1" t="str">
        <f t="shared" si="116"/>
        <v/>
      </c>
    </row>
    <row r="1080" spans="14:19">
      <c r="N1080" t="str">
        <f t="shared" si="117"/>
        <v/>
      </c>
      <c r="O1080" s="4" t="str">
        <f t="shared" si="118"/>
        <v>click</v>
      </c>
      <c r="P1080" t="str">
        <f t="shared" si="119"/>
        <v>();</v>
      </c>
      <c r="S1080" s="1" t="str">
        <f t="shared" si="116"/>
        <v/>
      </c>
    </row>
    <row r="1081" spans="14:19">
      <c r="N1081" t="str">
        <f t="shared" si="117"/>
        <v/>
      </c>
      <c r="O1081" s="4" t="str">
        <f t="shared" si="118"/>
        <v>click</v>
      </c>
      <c r="P1081" t="str">
        <f t="shared" si="119"/>
        <v>();</v>
      </c>
      <c r="S1081" s="1" t="str">
        <f t="shared" si="116"/>
        <v/>
      </c>
    </row>
    <row r="1082" spans="14:19">
      <c r="N1082" t="str">
        <f t="shared" si="117"/>
        <v/>
      </c>
      <c r="O1082" s="4" t="str">
        <f t="shared" si="118"/>
        <v>click</v>
      </c>
      <c r="P1082" t="str">
        <f t="shared" si="119"/>
        <v>();</v>
      </c>
      <c r="S1082" s="1" t="str">
        <f t="shared" si="116"/>
        <v/>
      </c>
    </row>
    <row r="1083" spans="14:19">
      <c r="N1083" t="str">
        <f t="shared" si="117"/>
        <v/>
      </c>
      <c r="O1083" s="4" t="str">
        <f t="shared" si="118"/>
        <v>click</v>
      </c>
      <c r="P1083" t="str">
        <f t="shared" si="119"/>
        <v>();</v>
      </c>
      <c r="S1083" s="1" t="str">
        <f t="shared" si="116"/>
        <v/>
      </c>
    </row>
    <row r="1084" spans="14:19">
      <c r="N1084" t="str">
        <f t="shared" si="117"/>
        <v/>
      </c>
      <c r="O1084" s="4" t="str">
        <f t="shared" si="118"/>
        <v>click</v>
      </c>
      <c r="P1084" t="str">
        <f t="shared" si="119"/>
        <v>();</v>
      </c>
      <c r="S1084" s="1" t="str">
        <f t="shared" si="116"/>
        <v/>
      </c>
    </row>
    <row r="1085" spans="14:19">
      <c r="N1085" t="str">
        <f t="shared" si="117"/>
        <v/>
      </c>
      <c r="O1085" s="4" t="str">
        <f t="shared" si="118"/>
        <v>click</v>
      </c>
      <c r="P1085" t="str">
        <f t="shared" si="119"/>
        <v>();</v>
      </c>
      <c r="S1085" s="1" t="str">
        <f t="shared" si="116"/>
        <v/>
      </c>
    </row>
    <row r="1086" spans="14:19">
      <c r="N1086" t="str">
        <f t="shared" si="117"/>
        <v/>
      </c>
      <c r="O1086" s="4" t="str">
        <f t="shared" si="118"/>
        <v>click</v>
      </c>
      <c r="P1086" t="str">
        <f t="shared" si="119"/>
        <v>();</v>
      </c>
      <c r="S1086" s="1" t="str">
        <f t="shared" si="116"/>
        <v/>
      </c>
    </row>
    <row r="1087" spans="14:19">
      <c r="N1087" t="str">
        <f t="shared" si="117"/>
        <v/>
      </c>
      <c r="O1087" s="4" t="str">
        <f t="shared" si="118"/>
        <v>click</v>
      </c>
      <c r="P1087" t="str">
        <f t="shared" si="119"/>
        <v>();</v>
      </c>
      <c r="S1087" s="1" t="str">
        <f t="shared" si="116"/>
        <v/>
      </c>
    </row>
    <row r="1088" spans="14:19">
      <c r="N1088" t="str">
        <f t="shared" si="117"/>
        <v/>
      </c>
      <c r="O1088" s="4" t="str">
        <f t="shared" si="118"/>
        <v>click</v>
      </c>
      <c r="P1088" t="str">
        <f t="shared" si="119"/>
        <v>();</v>
      </c>
      <c r="S1088" s="1" t="str">
        <f t="shared" si="116"/>
        <v/>
      </c>
    </row>
    <row r="1089" spans="14:19">
      <c r="N1089" t="str">
        <f t="shared" si="117"/>
        <v/>
      </c>
      <c r="O1089" s="4" t="str">
        <f t="shared" si="118"/>
        <v>click</v>
      </c>
      <c r="P1089" t="str">
        <f t="shared" si="119"/>
        <v>();</v>
      </c>
      <c r="S1089" s="1" t="str">
        <f t="shared" si="116"/>
        <v/>
      </c>
    </row>
    <row r="1090" spans="14:19">
      <c r="N1090" t="str">
        <f t="shared" si="117"/>
        <v/>
      </c>
      <c r="O1090" s="4" t="str">
        <f t="shared" si="118"/>
        <v>click</v>
      </c>
      <c r="P1090" t="str">
        <f t="shared" si="119"/>
        <v>();</v>
      </c>
      <c r="S1090" s="1" t="str">
        <f t="shared" si="116"/>
        <v/>
      </c>
    </row>
    <row r="1091" spans="14:19">
      <c r="N1091" t="str">
        <f t="shared" si="117"/>
        <v/>
      </c>
      <c r="O1091" s="4" t="str">
        <f t="shared" si="118"/>
        <v>click</v>
      </c>
      <c r="P1091" t="str">
        <f t="shared" si="119"/>
        <v>();</v>
      </c>
      <c r="S1091" s="1" t="str">
        <f t="shared" si="116"/>
        <v/>
      </c>
    </row>
    <row r="1092" spans="14:19">
      <c r="N1092" t="str">
        <f t="shared" si="117"/>
        <v/>
      </c>
      <c r="O1092" s="4" t="str">
        <f t="shared" si="118"/>
        <v>click</v>
      </c>
      <c r="P1092" t="str">
        <f t="shared" si="119"/>
        <v>();</v>
      </c>
      <c r="S1092" s="1" t="str">
        <f t="shared" si="116"/>
        <v/>
      </c>
    </row>
    <row r="1093" spans="14:19">
      <c r="N1093" t="str">
        <f t="shared" si="117"/>
        <v/>
      </c>
      <c r="O1093" s="4" t="str">
        <f t="shared" si="118"/>
        <v>click</v>
      </c>
      <c r="P1093" t="str">
        <f t="shared" si="119"/>
        <v>();</v>
      </c>
      <c r="S1093" s="1" t="str">
        <f t="shared" si="116"/>
        <v/>
      </c>
    </row>
    <row r="1094" spans="14:19">
      <c r="N1094" t="str">
        <f t="shared" si="117"/>
        <v/>
      </c>
      <c r="O1094" s="4" t="str">
        <f t="shared" si="118"/>
        <v>click</v>
      </c>
      <c r="P1094" t="str">
        <f t="shared" si="119"/>
        <v>();</v>
      </c>
      <c r="S1094" s="1" t="str">
        <f t="shared" si="116"/>
        <v/>
      </c>
    </row>
    <row r="1095" spans="14:19">
      <c r="N1095" t="str">
        <f t="shared" si="117"/>
        <v/>
      </c>
      <c r="O1095" s="4" t="str">
        <f t="shared" si="118"/>
        <v>click</v>
      </c>
      <c r="P1095" t="str">
        <f t="shared" si="119"/>
        <v>();</v>
      </c>
      <c r="S1095" s="1" t="str">
        <f t="shared" si="116"/>
        <v/>
      </c>
    </row>
    <row r="1096" spans="14:19">
      <c r="N1096" t="str">
        <f t="shared" si="117"/>
        <v/>
      </c>
      <c r="O1096" s="4" t="str">
        <f t="shared" si="118"/>
        <v>click</v>
      </c>
      <c r="P1096" t="str">
        <f t="shared" si="119"/>
        <v>();</v>
      </c>
      <c r="S1096" s="1" t="str">
        <f t="shared" si="116"/>
        <v/>
      </c>
    </row>
    <row r="1097" spans="14:19">
      <c r="N1097" t="str">
        <f t="shared" si="117"/>
        <v/>
      </c>
      <c r="O1097" s="4" t="str">
        <f t="shared" si="118"/>
        <v>click</v>
      </c>
      <c r="P1097" t="str">
        <f t="shared" si="119"/>
        <v>();</v>
      </c>
      <c r="S1097" s="1" t="str">
        <f t="shared" si="116"/>
        <v/>
      </c>
    </row>
    <row r="1098" spans="14:19">
      <c r="N1098" t="str">
        <f t="shared" si="117"/>
        <v/>
      </c>
      <c r="O1098" s="4" t="str">
        <f t="shared" si="118"/>
        <v>click</v>
      </c>
      <c r="P1098" t="str">
        <f t="shared" si="119"/>
        <v>();</v>
      </c>
      <c r="S1098" s="1" t="str">
        <f t="shared" si="116"/>
        <v/>
      </c>
    </row>
    <row r="1099" spans="14:19">
      <c r="N1099" t="str">
        <f t="shared" si="117"/>
        <v/>
      </c>
      <c r="O1099" s="4" t="str">
        <f t="shared" si="118"/>
        <v>click</v>
      </c>
      <c r="P1099" t="str">
        <f t="shared" si="119"/>
        <v>();</v>
      </c>
      <c r="S1099" s="1" t="str">
        <f t="shared" ref="S1099:S1162" si="120">IF(C1099="Y",IF(D1099&lt;&gt;"mat-select",IF(D1099="End","",IF(O1099="innerText",I1099&amp;"="&amp;IF(C1099="Y",IF(J1099&lt;&gt;"Y",$S$8&amp;$R$9&amp;"."&amp;E1099&amp;")."&amp;IF(OR(O1099="click",O1099="innerText"),O1099&amp;"();",O1099&amp;"("&amp;$Q$8&amp;"."&amp;E1099&amp;");"),$S$7&amp;$R$9&amp;"."&amp;SUBSTITUTE(E1099," ","")&amp;")."&amp;IF(O1099="click",O1099&amp;"();",O1099&amp;"("&amp;"'"&amp;K1099&amp;"'"&amp;");")),""),IF(C1099="Y",IF(J1099&lt;&gt;"Y",$S$8&amp;$R$9&amp;"."&amp;SUBSTITUTE(E1099," ","")&amp;")."&amp;IF(OR(O1099="click",O1099="innerText"),O1099&amp;"();",O1099&amp;"("&amp;$Q$8&amp;"."&amp;SUBSTITUTE(E1099," ","")&amp;");"),$S$7&amp;$R$9&amp;"."&amp;SUBSTITUTE(E1099," ","")&amp;")."&amp;IF(O1099="click",O1099&amp;"();",O1099&amp;"("&amp;"'"&amp;K1099&amp;"'"&amp;");")),""))),"let form"&amp;Z1099&amp;": String;"&amp;"for (let i = 1; i &lt; 30; i++) {"&amp;$S$8&amp;$R$9&amp;"."&amp;SUBSTITUTE(E1099," ","")&amp;").click();"&amp;$CE$4&amp; "form"&amp;Z1099&amp;"="&amp; $S$8&amp;$R$9&amp;"."&amp;SUBSTITUTE(E1099," ","")&amp;").innerText();" &amp;"if ("&amp;"form"&amp;Z1099&amp;"=="&amp; "Data[index]."&amp;SUBSTITUTE(E1099," ","") &amp;"){"&amp;$CE$7),"")</f>
        <v/>
      </c>
    </row>
    <row r="1100" spans="14:19">
      <c r="N1100" t="str">
        <f t="shared" si="117"/>
        <v/>
      </c>
      <c r="O1100" s="4" t="str">
        <f t="shared" si="118"/>
        <v>click</v>
      </c>
      <c r="P1100" t="str">
        <f t="shared" si="119"/>
        <v>();</v>
      </c>
      <c r="S1100" s="1" t="str">
        <f t="shared" si="120"/>
        <v/>
      </c>
    </row>
    <row r="1101" spans="14:19">
      <c r="N1101" t="str">
        <f t="shared" si="117"/>
        <v/>
      </c>
      <c r="O1101" s="4" t="str">
        <f t="shared" si="118"/>
        <v>click</v>
      </c>
      <c r="P1101" t="str">
        <f t="shared" si="119"/>
        <v>();</v>
      </c>
      <c r="S1101" s="1" t="str">
        <f t="shared" si="120"/>
        <v/>
      </c>
    </row>
    <row r="1102" spans="14:19">
      <c r="N1102" t="str">
        <f t="shared" si="117"/>
        <v/>
      </c>
      <c r="O1102" s="4" t="str">
        <f t="shared" si="118"/>
        <v>click</v>
      </c>
      <c r="P1102" t="str">
        <f t="shared" si="119"/>
        <v>();</v>
      </c>
      <c r="S1102" s="1" t="str">
        <f t="shared" si="120"/>
        <v/>
      </c>
    </row>
    <row r="1103" spans="14:19">
      <c r="N1103" t="str">
        <f t="shared" si="117"/>
        <v/>
      </c>
      <c r="O1103" s="4" t="str">
        <f t="shared" si="118"/>
        <v>click</v>
      </c>
      <c r="P1103" t="str">
        <f t="shared" si="119"/>
        <v>();</v>
      </c>
      <c r="S1103" s="1" t="str">
        <f t="shared" si="120"/>
        <v/>
      </c>
    </row>
    <row r="1104" spans="14:19">
      <c r="N1104" t="str">
        <f t="shared" si="117"/>
        <v/>
      </c>
      <c r="O1104" s="4" t="str">
        <f t="shared" si="118"/>
        <v>click</v>
      </c>
      <c r="P1104" t="str">
        <f t="shared" si="119"/>
        <v>();</v>
      </c>
      <c r="S1104" s="1" t="str">
        <f t="shared" si="120"/>
        <v/>
      </c>
    </row>
    <row r="1105" spans="14:19">
      <c r="N1105" t="str">
        <f t="shared" si="117"/>
        <v/>
      </c>
      <c r="O1105" s="4" t="str">
        <f t="shared" si="118"/>
        <v>click</v>
      </c>
      <c r="P1105" t="str">
        <f t="shared" si="119"/>
        <v>();</v>
      </c>
      <c r="S1105" s="1" t="str">
        <f t="shared" si="120"/>
        <v/>
      </c>
    </row>
    <row r="1106" spans="14:19">
      <c r="N1106" t="str">
        <f t="shared" si="117"/>
        <v/>
      </c>
      <c r="O1106" s="4" t="str">
        <f t="shared" si="118"/>
        <v>click</v>
      </c>
      <c r="P1106" t="str">
        <f t="shared" si="119"/>
        <v>();</v>
      </c>
      <c r="S1106" s="1" t="str">
        <f t="shared" si="120"/>
        <v/>
      </c>
    </row>
    <row r="1107" spans="14:19">
      <c r="N1107" t="str">
        <f t="shared" si="117"/>
        <v/>
      </c>
      <c r="O1107" s="4" t="str">
        <f t="shared" si="118"/>
        <v>click</v>
      </c>
      <c r="P1107" t="str">
        <f t="shared" si="119"/>
        <v>();</v>
      </c>
      <c r="S1107" s="1" t="str">
        <f t="shared" si="120"/>
        <v/>
      </c>
    </row>
    <row r="1108" spans="14:19">
      <c r="N1108" t="str">
        <f t="shared" si="117"/>
        <v/>
      </c>
      <c r="O1108" s="4" t="str">
        <f t="shared" si="118"/>
        <v>click</v>
      </c>
      <c r="P1108" t="str">
        <f t="shared" si="119"/>
        <v>();</v>
      </c>
      <c r="S1108" s="1" t="str">
        <f t="shared" si="120"/>
        <v/>
      </c>
    </row>
    <row r="1109" spans="14:19">
      <c r="N1109" t="str">
        <f t="shared" ref="N1109:N1172" si="121">IF(A1109="Y",""""&amp;C1109&amp;""""&amp;": "&amp;M1109&amp;",","")</f>
        <v/>
      </c>
      <c r="O1109" s="4" t="str">
        <f t="shared" ref="O1109:O1172" si="122">IF(D1109="input","fill",IF(I1109&lt;&gt;"","innerText",IF(J1109="Y",$T$7,"click")))</f>
        <v>click</v>
      </c>
      <c r="P1109" t="str">
        <f t="shared" ref="P1109:P1172" si="123">IF(OR(O1109="Click",O1109="innerText"),"();","("&amp;""""&amp;K1109&amp;""""&amp;");")</f>
        <v>();</v>
      </c>
      <c r="S1109" s="1" t="str">
        <f t="shared" si="120"/>
        <v/>
      </c>
    </row>
    <row r="1110" spans="14:19">
      <c r="N1110" t="str">
        <f t="shared" si="121"/>
        <v/>
      </c>
      <c r="O1110" s="4" t="str">
        <f t="shared" si="122"/>
        <v>click</v>
      </c>
      <c r="P1110" t="str">
        <f t="shared" si="123"/>
        <v>();</v>
      </c>
      <c r="S1110" s="1" t="str">
        <f t="shared" si="120"/>
        <v/>
      </c>
    </row>
    <row r="1111" spans="14:19">
      <c r="N1111" t="str">
        <f t="shared" si="121"/>
        <v/>
      </c>
      <c r="O1111" s="4" t="str">
        <f t="shared" si="122"/>
        <v>click</v>
      </c>
      <c r="P1111" t="str">
        <f t="shared" si="123"/>
        <v>();</v>
      </c>
      <c r="S1111" s="1" t="str">
        <f t="shared" si="120"/>
        <v/>
      </c>
    </row>
    <row r="1112" spans="14:19">
      <c r="N1112" t="str">
        <f t="shared" si="121"/>
        <v/>
      </c>
      <c r="O1112" s="4" t="str">
        <f t="shared" si="122"/>
        <v>click</v>
      </c>
      <c r="P1112" t="str">
        <f t="shared" si="123"/>
        <v>();</v>
      </c>
      <c r="S1112" s="1" t="str">
        <f t="shared" si="120"/>
        <v/>
      </c>
    </row>
    <row r="1113" spans="14:19">
      <c r="N1113" t="str">
        <f t="shared" si="121"/>
        <v/>
      </c>
      <c r="O1113" s="4" t="str">
        <f t="shared" si="122"/>
        <v>click</v>
      </c>
      <c r="P1113" t="str">
        <f t="shared" si="123"/>
        <v>();</v>
      </c>
      <c r="S1113" s="1" t="str">
        <f t="shared" si="120"/>
        <v/>
      </c>
    </row>
    <row r="1114" spans="14:19">
      <c r="N1114" t="str">
        <f t="shared" si="121"/>
        <v/>
      </c>
      <c r="O1114" s="4" t="str">
        <f t="shared" si="122"/>
        <v>click</v>
      </c>
      <c r="P1114" t="str">
        <f t="shared" si="123"/>
        <v>();</v>
      </c>
      <c r="S1114" s="1" t="str">
        <f t="shared" si="120"/>
        <v/>
      </c>
    </row>
    <row r="1115" spans="14:19">
      <c r="N1115" t="str">
        <f t="shared" si="121"/>
        <v/>
      </c>
      <c r="O1115" s="4" t="str">
        <f t="shared" si="122"/>
        <v>click</v>
      </c>
      <c r="P1115" t="str">
        <f t="shared" si="123"/>
        <v>();</v>
      </c>
      <c r="S1115" s="1" t="str">
        <f t="shared" si="120"/>
        <v/>
      </c>
    </row>
    <row r="1116" spans="14:19">
      <c r="N1116" t="str">
        <f t="shared" si="121"/>
        <v/>
      </c>
      <c r="O1116" s="4" t="str">
        <f t="shared" si="122"/>
        <v>click</v>
      </c>
      <c r="P1116" t="str">
        <f t="shared" si="123"/>
        <v>();</v>
      </c>
      <c r="S1116" s="1" t="str">
        <f t="shared" si="120"/>
        <v/>
      </c>
    </row>
    <row r="1117" spans="14:19">
      <c r="N1117" t="str">
        <f t="shared" si="121"/>
        <v/>
      </c>
      <c r="O1117" s="4" t="str">
        <f t="shared" si="122"/>
        <v>click</v>
      </c>
      <c r="P1117" t="str">
        <f t="shared" si="123"/>
        <v>();</v>
      </c>
      <c r="S1117" s="1" t="str">
        <f t="shared" si="120"/>
        <v/>
      </c>
    </row>
    <row r="1118" spans="14:19">
      <c r="N1118" t="str">
        <f t="shared" si="121"/>
        <v/>
      </c>
      <c r="O1118" s="4" t="str">
        <f t="shared" si="122"/>
        <v>click</v>
      </c>
      <c r="P1118" t="str">
        <f t="shared" si="123"/>
        <v>();</v>
      </c>
      <c r="S1118" s="1" t="str">
        <f t="shared" si="120"/>
        <v/>
      </c>
    </row>
    <row r="1119" spans="14:19">
      <c r="N1119" t="str">
        <f t="shared" si="121"/>
        <v/>
      </c>
      <c r="O1119" s="4" t="str">
        <f t="shared" si="122"/>
        <v>click</v>
      </c>
      <c r="P1119" t="str">
        <f t="shared" si="123"/>
        <v>();</v>
      </c>
      <c r="S1119" s="1" t="str">
        <f t="shared" si="120"/>
        <v/>
      </c>
    </row>
    <row r="1120" spans="14:19">
      <c r="N1120" t="str">
        <f t="shared" si="121"/>
        <v/>
      </c>
      <c r="O1120" s="4" t="str">
        <f t="shared" si="122"/>
        <v>click</v>
      </c>
      <c r="P1120" t="str">
        <f t="shared" si="123"/>
        <v>();</v>
      </c>
      <c r="S1120" s="1" t="str">
        <f t="shared" si="120"/>
        <v/>
      </c>
    </row>
    <row r="1121" spans="14:19">
      <c r="N1121" t="str">
        <f t="shared" si="121"/>
        <v/>
      </c>
      <c r="O1121" s="4" t="str">
        <f t="shared" si="122"/>
        <v>click</v>
      </c>
      <c r="P1121" t="str">
        <f t="shared" si="123"/>
        <v>();</v>
      </c>
      <c r="S1121" s="1" t="str">
        <f t="shared" si="120"/>
        <v/>
      </c>
    </row>
    <row r="1122" spans="14:19">
      <c r="N1122" t="str">
        <f t="shared" si="121"/>
        <v/>
      </c>
      <c r="O1122" s="4" t="str">
        <f t="shared" si="122"/>
        <v>click</v>
      </c>
      <c r="P1122" t="str">
        <f t="shared" si="123"/>
        <v>();</v>
      </c>
      <c r="S1122" s="1" t="str">
        <f t="shared" si="120"/>
        <v/>
      </c>
    </row>
    <row r="1123" spans="14:19">
      <c r="N1123" t="str">
        <f t="shared" si="121"/>
        <v/>
      </c>
      <c r="O1123" s="4" t="str">
        <f t="shared" si="122"/>
        <v>click</v>
      </c>
      <c r="P1123" t="str">
        <f t="shared" si="123"/>
        <v>();</v>
      </c>
      <c r="S1123" s="1" t="str">
        <f t="shared" si="120"/>
        <v/>
      </c>
    </row>
    <row r="1124" spans="14:19">
      <c r="N1124" t="str">
        <f t="shared" si="121"/>
        <v/>
      </c>
      <c r="O1124" s="4" t="str">
        <f t="shared" si="122"/>
        <v>click</v>
      </c>
      <c r="P1124" t="str">
        <f t="shared" si="123"/>
        <v>();</v>
      </c>
      <c r="S1124" s="1" t="str">
        <f t="shared" si="120"/>
        <v/>
      </c>
    </row>
    <row r="1125" spans="14:19">
      <c r="N1125" t="str">
        <f t="shared" si="121"/>
        <v/>
      </c>
      <c r="O1125" s="4" t="str">
        <f t="shared" si="122"/>
        <v>click</v>
      </c>
      <c r="P1125" t="str">
        <f t="shared" si="123"/>
        <v>();</v>
      </c>
      <c r="S1125" s="1" t="str">
        <f t="shared" si="120"/>
        <v/>
      </c>
    </row>
    <row r="1126" spans="14:19">
      <c r="N1126" t="str">
        <f t="shared" si="121"/>
        <v/>
      </c>
      <c r="O1126" s="4" t="str">
        <f t="shared" si="122"/>
        <v>click</v>
      </c>
      <c r="P1126" t="str">
        <f t="shared" si="123"/>
        <v>();</v>
      </c>
      <c r="S1126" s="1" t="str">
        <f t="shared" si="120"/>
        <v/>
      </c>
    </row>
    <row r="1127" spans="14:19">
      <c r="N1127" t="str">
        <f t="shared" si="121"/>
        <v/>
      </c>
      <c r="O1127" s="4" t="str">
        <f t="shared" si="122"/>
        <v>click</v>
      </c>
      <c r="P1127" t="str">
        <f t="shared" si="123"/>
        <v>();</v>
      </c>
      <c r="S1127" s="1" t="str">
        <f t="shared" si="120"/>
        <v/>
      </c>
    </row>
    <row r="1128" spans="14:19">
      <c r="N1128" t="str">
        <f t="shared" si="121"/>
        <v/>
      </c>
      <c r="O1128" s="4" t="str">
        <f t="shared" si="122"/>
        <v>click</v>
      </c>
      <c r="P1128" t="str">
        <f t="shared" si="123"/>
        <v>();</v>
      </c>
      <c r="S1128" s="1" t="str">
        <f t="shared" si="120"/>
        <v/>
      </c>
    </row>
    <row r="1129" spans="14:19">
      <c r="N1129" t="str">
        <f t="shared" si="121"/>
        <v/>
      </c>
      <c r="O1129" s="4" t="str">
        <f t="shared" si="122"/>
        <v>click</v>
      </c>
      <c r="P1129" t="str">
        <f t="shared" si="123"/>
        <v>();</v>
      </c>
      <c r="S1129" s="1" t="str">
        <f t="shared" si="120"/>
        <v/>
      </c>
    </row>
    <row r="1130" spans="14:19">
      <c r="N1130" t="str">
        <f t="shared" si="121"/>
        <v/>
      </c>
      <c r="O1130" s="4" t="str">
        <f t="shared" si="122"/>
        <v>click</v>
      </c>
      <c r="P1130" t="str">
        <f t="shared" si="123"/>
        <v>();</v>
      </c>
      <c r="S1130" s="1" t="str">
        <f t="shared" si="120"/>
        <v/>
      </c>
    </row>
    <row r="1131" spans="14:19">
      <c r="N1131" t="str">
        <f t="shared" si="121"/>
        <v/>
      </c>
      <c r="O1131" s="4" t="str">
        <f t="shared" si="122"/>
        <v>click</v>
      </c>
      <c r="P1131" t="str">
        <f t="shared" si="123"/>
        <v>();</v>
      </c>
      <c r="S1131" s="1" t="str">
        <f t="shared" si="120"/>
        <v/>
      </c>
    </row>
    <row r="1132" spans="14:19">
      <c r="N1132" t="str">
        <f t="shared" si="121"/>
        <v/>
      </c>
      <c r="O1132" s="4" t="str">
        <f t="shared" si="122"/>
        <v>click</v>
      </c>
      <c r="P1132" t="str">
        <f t="shared" si="123"/>
        <v>();</v>
      </c>
      <c r="S1132" s="1" t="str">
        <f t="shared" si="120"/>
        <v/>
      </c>
    </row>
    <row r="1133" spans="14:19">
      <c r="N1133" t="str">
        <f t="shared" si="121"/>
        <v/>
      </c>
      <c r="O1133" s="4" t="str">
        <f t="shared" si="122"/>
        <v>click</v>
      </c>
      <c r="P1133" t="str">
        <f t="shared" si="123"/>
        <v>();</v>
      </c>
      <c r="S1133" s="1" t="str">
        <f t="shared" si="120"/>
        <v/>
      </c>
    </row>
    <row r="1134" spans="14:19">
      <c r="N1134" t="str">
        <f t="shared" si="121"/>
        <v/>
      </c>
      <c r="O1134" s="4" t="str">
        <f t="shared" si="122"/>
        <v>click</v>
      </c>
      <c r="P1134" t="str">
        <f t="shared" si="123"/>
        <v>();</v>
      </c>
      <c r="S1134" s="1" t="str">
        <f t="shared" si="120"/>
        <v/>
      </c>
    </row>
    <row r="1135" spans="14:19">
      <c r="N1135" t="str">
        <f t="shared" si="121"/>
        <v/>
      </c>
      <c r="O1135" s="4" t="str">
        <f t="shared" si="122"/>
        <v>click</v>
      </c>
      <c r="P1135" t="str">
        <f t="shared" si="123"/>
        <v>();</v>
      </c>
      <c r="S1135" s="1" t="str">
        <f t="shared" si="120"/>
        <v/>
      </c>
    </row>
    <row r="1136" spans="14:19">
      <c r="N1136" t="str">
        <f t="shared" si="121"/>
        <v/>
      </c>
      <c r="O1136" s="4" t="str">
        <f t="shared" si="122"/>
        <v>click</v>
      </c>
      <c r="P1136" t="str">
        <f t="shared" si="123"/>
        <v>();</v>
      </c>
      <c r="S1136" s="1" t="str">
        <f t="shared" si="120"/>
        <v/>
      </c>
    </row>
    <row r="1137" spans="14:19">
      <c r="N1137" t="str">
        <f t="shared" si="121"/>
        <v/>
      </c>
      <c r="O1137" s="4" t="str">
        <f t="shared" si="122"/>
        <v>click</v>
      </c>
      <c r="P1137" t="str">
        <f t="shared" si="123"/>
        <v>();</v>
      </c>
      <c r="S1137" s="1" t="str">
        <f t="shared" si="120"/>
        <v/>
      </c>
    </row>
    <row r="1138" spans="14:19">
      <c r="N1138" t="str">
        <f t="shared" si="121"/>
        <v/>
      </c>
      <c r="O1138" s="4" t="str">
        <f t="shared" si="122"/>
        <v>click</v>
      </c>
      <c r="P1138" t="str">
        <f t="shared" si="123"/>
        <v>();</v>
      </c>
      <c r="S1138" s="1" t="str">
        <f t="shared" si="120"/>
        <v/>
      </c>
    </row>
    <row r="1139" spans="14:19">
      <c r="N1139" t="str">
        <f t="shared" si="121"/>
        <v/>
      </c>
      <c r="O1139" s="4" t="str">
        <f t="shared" si="122"/>
        <v>click</v>
      </c>
      <c r="P1139" t="str">
        <f t="shared" si="123"/>
        <v>();</v>
      </c>
      <c r="S1139" s="1" t="str">
        <f t="shared" si="120"/>
        <v/>
      </c>
    </row>
    <row r="1140" spans="14:19">
      <c r="N1140" t="str">
        <f t="shared" si="121"/>
        <v/>
      </c>
      <c r="O1140" s="4" t="str">
        <f t="shared" si="122"/>
        <v>click</v>
      </c>
      <c r="P1140" t="str">
        <f t="shared" si="123"/>
        <v>();</v>
      </c>
      <c r="S1140" s="1" t="str">
        <f t="shared" si="120"/>
        <v/>
      </c>
    </row>
    <row r="1141" spans="14:19">
      <c r="N1141" t="str">
        <f t="shared" si="121"/>
        <v/>
      </c>
      <c r="O1141" s="4" t="str">
        <f t="shared" si="122"/>
        <v>click</v>
      </c>
      <c r="P1141" t="str">
        <f t="shared" si="123"/>
        <v>();</v>
      </c>
      <c r="S1141" s="1" t="str">
        <f t="shared" si="120"/>
        <v/>
      </c>
    </row>
    <row r="1142" spans="14:19">
      <c r="N1142" t="str">
        <f t="shared" si="121"/>
        <v/>
      </c>
      <c r="O1142" s="4" t="str">
        <f t="shared" si="122"/>
        <v>click</v>
      </c>
      <c r="P1142" t="str">
        <f t="shared" si="123"/>
        <v>();</v>
      </c>
      <c r="S1142" s="1" t="str">
        <f t="shared" si="120"/>
        <v/>
      </c>
    </row>
    <row r="1143" spans="14:19">
      <c r="N1143" t="str">
        <f t="shared" si="121"/>
        <v/>
      </c>
      <c r="O1143" s="4" t="str">
        <f t="shared" si="122"/>
        <v>click</v>
      </c>
      <c r="P1143" t="str">
        <f t="shared" si="123"/>
        <v>();</v>
      </c>
      <c r="S1143" s="1" t="str">
        <f t="shared" si="120"/>
        <v/>
      </c>
    </row>
    <row r="1144" spans="14:19">
      <c r="N1144" t="str">
        <f t="shared" si="121"/>
        <v/>
      </c>
      <c r="O1144" s="4" t="str">
        <f t="shared" si="122"/>
        <v>click</v>
      </c>
      <c r="P1144" t="str">
        <f t="shared" si="123"/>
        <v>();</v>
      </c>
      <c r="S1144" s="1" t="str">
        <f t="shared" si="120"/>
        <v/>
      </c>
    </row>
    <row r="1145" spans="14:19">
      <c r="N1145" t="str">
        <f t="shared" si="121"/>
        <v/>
      </c>
      <c r="O1145" s="4" t="str">
        <f t="shared" si="122"/>
        <v>click</v>
      </c>
      <c r="P1145" t="str">
        <f t="shared" si="123"/>
        <v>();</v>
      </c>
      <c r="S1145" s="1" t="str">
        <f t="shared" si="120"/>
        <v/>
      </c>
    </row>
    <row r="1146" spans="14:19">
      <c r="N1146" t="str">
        <f t="shared" si="121"/>
        <v/>
      </c>
      <c r="O1146" s="4" t="str">
        <f t="shared" si="122"/>
        <v>click</v>
      </c>
      <c r="P1146" t="str">
        <f t="shared" si="123"/>
        <v>();</v>
      </c>
      <c r="S1146" s="1" t="str">
        <f t="shared" si="120"/>
        <v/>
      </c>
    </row>
    <row r="1147" spans="14:19">
      <c r="N1147" t="str">
        <f t="shared" si="121"/>
        <v/>
      </c>
      <c r="O1147" s="4" t="str">
        <f t="shared" si="122"/>
        <v>click</v>
      </c>
      <c r="P1147" t="str">
        <f t="shared" si="123"/>
        <v>();</v>
      </c>
      <c r="S1147" s="1" t="str">
        <f t="shared" si="120"/>
        <v/>
      </c>
    </row>
    <row r="1148" spans="14:19">
      <c r="N1148" t="str">
        <f t="shared" si="121"/>
        <v/>
      </c>
      <c r="O1148" s="4" t="str">
        <f t="shared" si="122"/>
        <v>click</v>
      </c>
      <c r="P1148" t="str">
        <f t="shared" si="123"/>
        <v>();</v>
      </c>
      <c r="S1148" s="1" t="str">
        <f t="shared" si="120"/>
        <v/>
      </c>
    </row>
    <row r="1149" spans="14:19">
      <c r="N1149" t="str">
        <f t="shared" si="121"/>
        <v/>
      </c>
      <c r="O1149" s="4" t="str">
        <f t="shared" si="122"/>
        <v>click</v>
      </c>
      <c r="P1149" t="str">
        <f t="shared" si="123"/>
        <v>();</v>
      </c>
      <c r="S1149" s="1" t="str">
        <f t="shared" si="120"/>
        <v/>
      </c>
    </row>
    <row r="1150" spans="14:19">
      <c r="N1150" t="str">
        <f t="shared" si="121"/>
        <v/>
      </c>
      <c r="O1150" s="4" t="str">
        <f t="shared" si="122"/>
        <v>click</v>
      </c>
      <c r="P1150" t="str">
        <f t="shared" si="123"/>
        <v>();</v>
      </c>
      <c r="S1150" s="1" t="str">
        <f t="shared" si="120"/>
        <v/>
      </c>
    </row>
    <row r="1151" spans="14:19">
      <c r="N1151" t="str">
        <f t="shared" si="121"/>
        <v/>
      </c>
      <c r="O1151" s="4" t="str">
        <f t="shared" si="122"/>
        <v>click</v>
      </c>
      <c r="P1151" t="str">
        <f t="shared" si="123"/>
        <v>();</v>
      </c>
      <c r="S1151" s="1" t="str">
        <f t="shared" si="120"/>
        <v/>
      </c>
    </row>
    <row r="1152" spans="14:19">
      <c r="N1152" t="str">
        <f t="shared" si="121"/>
        <v/>
      </c>
      <c r="O1152" s="4" t="str">
        <f t="shared" si="122"/>
        <v>click</v>
      </c>
      <c r="P1152" t="str">
        <f t="shared" si="123"/>
        <v>();</v>
      </c>
      <c r="S1152" s="1" t="str">
        <f t="shared" si="120"/>
        <v/>
      </c>
    </row>
    <row r="1153" spans="14:19">
      <c r="N1153" t="str">
        <f t="shared" si="121"/>
        <v/>
      </c>
      <c r="O1153" s="4" t="str">
        <f t="shared" si="122"/>
        <v>click</v>
      </c>
      <c r="P1153" t="str">
        <f t="shared" si="123"/>
        <v>();</v>
      </c>
      <c r="S1153" s="1" t="str">
        <f t="shared" si="120"/>
        <v/>
      </c>
    </row>
    <row r="1154" spans="14:19">
      <c r="N1154" t="str">
        <f t="shared" si="121"/>
        <v/>
      </c>
      <c r="O1154" s="4" t="str">
        <f t="shared" si="122"/>
        <v>click</v>
      </c>
      <c r="P1154" t="str">
        <f t="shared" si="123"/>
        <v>();</v>
      </c>
      <c r="S1154" s="1" t="str">
        <f t="shared" si="120"/>
        <v/>
      </c>
    </row>
    <row r="1155" spans="14:19">
      <c r="N1155" t="str">
        <f t="shared" si="121"/>
        <v/>
      </c>
      <c r="O1155" s="4" t="str">
        <f t="shared" si="122"/>
        <v>click</v>
      </c>
      <c r="P1155" t="str">
        <f t="shared" si="123"/>
        <v>();</v>
      </c>
      <c r="S1155" s="1" t="str">
        <f t="shared" si="120"/>
        <v/>
      </c>
    </row>
    <row r="1156" spans="14:19">
      <c r="N1156" t="str">
        <f t="shared" si="121"/>
        <v/>
      </c>
      <c r="O1156" s="4" t="str">
        <f t="shared" si="122"/>
        <v>click</v>
      </c>
      <c r="P1156" t="str">
        <f t="shared" si="123"/>
        <v>();</v>
      </c>
      <c r="S1156" s="1" t="str">
        <f t="shared" si="120"/>
        <v/>
      </c>
    </row>
    <row r="1157" spans="14:19">
      <c r="N1157" t="str">
        <f t="shared" si="121"/>
        <v/>
      </c>
      <c r="O1157" s="4" t="str">
        <f t="shared" si="122"/>
        <v>click</v>
      </c>
      <c r="P1157" t="str">
        <f t="shared" si="123"/>
        <v>();</v>
      </c>
      <c r="S1157" s="1" t="str">
        <f t="shared" si="120"/>
        <v/>
      </c>
    </row>
    <row r="1158" spans="14:19">
      <c r="N1158" t="str">
        <f t="shared" si="121"/>
        <v/>
      </c>
      <c r="O1158" s="4" t="str">
        <f t="shared" si="122"/>
        <v>click</v>
      </c>
      <c r="P1158" t="str">
        <f t="shared" si="123"/>
        <v>();</v>
      </c>
      <c r="S1158" s="1" t="str">
        <f t="shared" si="120"/>
        <v/>
      </c>
    </row>
    <row r="1159" spans="14:19">
      <c r="N1159" t="str">
        <f t="shared" si="121"/>
        <v/>
      </c>
      <c r="O1159" s="4" t="str">
        <f t="shared" si="122"/>
        <v>click</v>
      </c>
      <c r="P1159" t="str">
        <f t="shared" si="123"/>
        <v>();</v>
      </c>
      <c r="S1159" s="1" t="str">
        <f t="shared" si="120"/>
        <v/>
      </c>
    </row>
    <row r="1160" spans="14:19">
      <c r="N1160" t="str">
        <f t="shared" si="121"/>
        <v/>
      </c>
      <c r="O1160" s="4" t="str">
        <f t="shared" si="122"/>
        <v>click</v>
      </c>
      <c r="P1160" t="str">
        <f t="shared" si="123"/>
        <v>();</v>
      </c>
      <c r="S1160" s="1" t="str">
        <f t="shared" si="120"/>
        <v/>
      </c>
    </row>
    <row r="1161" spans="14:19">
      <c r="N1161" t="str">
        <f t="shared" si="121"/>
        <v/>
      </c>
      <c r="O1161" s="4" t="str">
        <f t="shared" si="122"/>
        <v>click</v>
      </c>
      <c r="P1161" t="str">
        <f t="shared" si="123"/>
        <v>();</v>
      </c>
      <c r="S1161" s="1" t="str">
        <f t="shared" si="120"/>
        <v/>
      </c>
    </row>
    <row r="1162" spans="14:19">
      <c r="N1162" t="str">
        <f t="shared" si="121"/>
        <v/>
      </c>
      <c r="O1162" s="4" t="str">
        <f t="shared" si="122"/>
        <v>click</v>
      </c>
      <c r="P1162" t="str">
        <f t="shared" si="123"/>
        <v>();</v>
      </c>
      <c r="S1162" s="1" t="str">
        <f t="shared" si="120"/>
        <v/>
      </c>
    </row>
    <row r="1163" spans="14:19">
      <c r="N1163" t="str">
        <f t="shared" si="121"/>
        <v/>
      </c>
      <c r="O1163" s="4" t="str">
        <f t="shared" si="122"/>
        <v>click</v>
      </c>
      <c r="P1163" t="str">
        <f t="shared" si="123"/>
        <v>();</v>
      </c>
      <c r="S1163" s="1" t="str">
        <f t="shared" ref="S1163:S1226" si="124">IF(C1163="Y",IF(D1163&lt;&gt;"mat-select",IF(D1163="End","",IF(O1163="innerText",I1163&amp;"="&amp;IF(C1163="Y",IF(J1163&lt;&gt;"Y",$S$8&amp;$R$9&amp;"."&amp;E1163&amp;")."&amp;IF(OR(O1163="click",O1163="innerText"),O1163&amp;"();",O1163&amp;"("&amp;$Q$8&amp;"."&amp;E1163&amp;");"),$S$7&amp;$R$9&amp;"."&amp;SUBSTITUTE(E1163," ","")&amp;")."&amp;IF(O1163="click",O1163&amp;"();",O1163&amp;"("&amp;"'"&amp;K1163&amp;"'"&amp;");")),""),IF(C1163="Y",IF(J1163&lt;&gt;"Y",$S$8&amp;$R$9&amp;"."&amp;SUBSTITUTE(E1163," ","")&amp;")."&amp;IF(OR(O1163="click",O1163="innerText"),O1163&amp;"();",O1163&amp;"("&amp;$Q$8&amp;"."&amp;SUBSTITUTE(E1163," ","")&amp;");"),$S$7&amp;$R$9&amp;"."&amp;SUBSTITUTE(E1163," ","")&amp;")."&amp;IF(O1163="click",O1163&amp;"();",O1163&amp;"("&amp;"'"&amp;K1163&amp;"'"&amp;");")),""))),"let form"&amp;Z1163&amp;": String;"&amp;"for (let i = 1; i &lt; 30; i++) {"&amp;$S$8&amp;$R$9&amp;"."&amp;SUBSTITUTE(E1163," ","")&amp;").click();"&amp;$CE$4&amp; "form"&amp;Z1163&amp;"="&amp; $S$8&amp;$R$9&amp;"."&amp;SUBSTITUTE(E1163," ","")&amp;").innerText();" &amp;"if ("&amp;"form"&amp;Z1163&amp;"=="&amp; "Data[index]."&amp;SUBSTITUTE(E1163," ","") &amp;"){"&amp;$CE$7),"")</f>
        <v/>
      </c>
    </row>
    <row r="1164" spans="14:19">
      <c r="N1164" t="str">
        <f t="shared" si="121"/>
        <v/>
      </c>
      <c r="O1164" s="4" t="str">
        <f t="shared" si="122"/>
        <v>click</v>
      </c>
      <c r="P1164" t="str">
        <f t="shared" si="123"/>
        <v>();</v>
      </c>
      <c r="S1164" s="1" t="str">
        <f t="shared" si="124"/>
        <v/>
      </c>
    </row>
    <row r="1165" spans="14:19">
      <c r="N1165" t="str">
        <f t="shared" si="121"/>
        <v/>
      </c>
      <c r="O1165" s="4" t="str">
        <f t="shared" si="122"/>
        <v>click</v>
      </c>
      <c r="P1165" t="str">
        <f t="shared" si="123"/>
        <v>();</v>
      </c>
      <c r="S1165" s="1" t="str">
        <f t="shared" si="124"/>
        <v/>
      </c>
    </row>
    <row r="1166" spans="14:19">
      <c r="N1166" t="str">
        <f t="shared" si="121"/>
        <v/>
      </c>
      <c r="O1166" s="4" t="str">
        <f t="shared" si="122"/>
        <v>click</v>
      </c>
      <c r="P1166" t="str">
        <f t="shared" si="123"/>
        <v>();</v>
      </c>
      <c r="S1166" s="1" t="str">
        <f t="shared" si="124"/>
        <v/>
      </c>
    </row>
    <row r="1167" spans="14:19">
      <c r="N1167" t="str">
        <f t="shared" si="121"/>
        <v/>
      </c>
      <c r="O1167" s="4" t="str">
        <f t="shared" si="122"/>
        <v>click</v>
      </c>
      <c r="P1167" t="str">
        <f t="shared" si="123"/>
        <v>();</v>
      </c>
      <c r="S1167" s="1" t="str">
        <f t="shared" si="124"/>
        <v/>
      </c>
    </row>
    <row r="1168" spans="14:19">
      <c r="N1168" t="str">
        <f t="shared" si="121"/>
        <v/>
      </c>
      <c r="O1168" s="4" t="str">
        <f t="shared" si="122"/>
        <v>click</v>
      </c>
      <c r="P1168" t="str">
        <f t="shared" si="123"/>
        <v>();</v>
      </c>
      <c r="S1168" s="1" t="str">
        <f t="shared" si="124"/>
        <v/>
      </c>
    </row>
    <row r="1169" spans="14:19">
      <c r="N1169" t="str">
        <f t="shared" si="121"/>
        <v/>
      </c>
      <c r="O1169" s="4" t="str">
        <f t="shared" si="122"/>
        <v>click</v>
      </c>
      <c r="P1169" t="str">
        <f t="shared" si="123"/>
        <v>();</v>
      </c>
      <c r="S1169" s="1" t="str">
        <f t="shared" si="124"/>
        <v/>
      </c>
    </row>
    <row r="1170" spans="14:19">
      <c r="N1170" t="str">
        <f t="shared" si="121"/>
        <v/>
      </c>
      <c r="O1170" s="4" t="str">
        <f t="shared" si="122"/>
        <v>click</v>
      </c>
      <c r="P1170" t="str">
        <f t="shared" si="123"/>
        <v>();</v>
      </c>
      <c r="S1170" s="1" t="str">
        <f t="shared" si="124"/>
        <v/>
      </c>
    </row>
    <row r="1171" spans="14:19">
      <c r="N1171" t="str">
        <f t="shared" si="121"/>
        <v/>
      </c>
      <c r="O1171" s="4" t="str">
        <f t="shared" si="122"/>
        <v>click</v>
      </c>
      <c r="P1171" t="str">
        <f t="shared" si="123"/>
        <v>();</v>
      </c>
      <c r="S1171" s="1" t="str">
        <f t="shared" si="124"/>
        <v/>
      </c>
    </row>
    <row r="1172" spans="14:19">
      <c r="N1172" t="str">
        <f t="shared" si="121"/>
        <v/>
      </c>
      <c r="O1172" s="4" t="str">
        <f t="shared" si="122"/>
        <v>click</v>
      </c>
      <c r="P1172" t="str">
        <f t="shared" si="123"/>
        <v>();</v>
      </c>
      <c r="S1172" s="1" t="str">
        <f t="shared" si="124"/>
        <v/>
      </c>
    </row>
    <row r="1173" spans="14:19">
      <c r="N1173" t="str">
        <f t="shared" ref="N1173:N1236" si="125">IF(A1173="Y",""""&amp;C1173&amp;""""&amp;": "&amp;M1173&amp;",","")</f>
        <v/>
      </c>
      <c r="O1173" s="4" t="str">
        <f t="shared" ref="O1173:O1236" si="126">IF(D1173="input","fill",IF(I1173&lt;&gt;"","innerText",IF(J1173="Y",$T$7,"click")))</f>
        <v>click</v>
      </c>
      <c r="P1173" t="str">
        <f t="shared" ref="P1173:P1236" si="127">IF(OR(O1173="Click",O1173="innerText"),"();","("&amp;""""&amp;K1173&amp;""""&amp;");")</f>
        <v>();</v>
      </c>
      <c r="S1173" s="1" t="str">
        <f t="shared" si="124"/>
        <v/>
      </c>
    </row>
    <row r="1174" spans="14:19">
      <c r="N1174" t="str">
        <f t="shared" si="125"/>
        <v/>
      </c>
      <c r="O1174" s="4" t="str">
        <f t="shared" si="126"/>
        <v>click</v>
      </c>
      <c r="P1174" t="str">
        <f t="shared" si="127"/>
        <v>();</v>
      </c>
      <c r="S1174" s="1" t="str">
        <f t="shared" si="124"/>
        <v/>
      </c>
    </row>
    <row r="1175" spans="14:19">
      <c r="N1175" t="str">
        <f t="shared" si="125"/>
        <v/>
      </c>
      <c r="O1175" s="4" t="str">
        <f t="shared" si="126"/>
        <v>click</v>
      </c>
      <c r="P1175" t="str">
        <f t="shared" si="127"/>
        <v>();</v>
      </c>
      <c r="S1175" s="1" t="str">
        <f t="shared" si="124"/>
        <v/>
      </c>
    </row>
    <row r="1176" spans="14:19">
      <c r="N1176" t="str">
        <f t="shared" si="125"/>
        <v/>
      </c>
      <c r="O1176" s="4" t="str">
        <f t="shared" si="126"/>
        <v>click</v>
      </c>
      <c r="P1176" t="str">
        <f t="shared" si="127"/>
        <v>();</v>
      </c>
      <c r="S1176" s="1" t="str">
        <f t="shared" si="124"/>
        <v/>
      </c>
    </row>
    <row r="1177" spans="14:19">
      <c r="N1177" t="str">
        <f t="shared" si="125"/>
        <v/>
      </c>
      <c r="O1177" s="4" t="str">
        <f t="shared" si="126"/>
        <v>click</v>
      </c>
      <c r="P1177" t="str">
        <f t="shared" si="127"/>
        <v>();</v>
      </c>
      <c r="S1177" s="1" t="str">
        <f t="shared" si="124"/>
        <v/>
      </c>
    </row>
    <row r="1178" spans="14:19">
      <c r="N1178" t="str">
        <f t="shared" si="125"/>
        <v/>
      </c>
      <c r="O1178" s="4" t="str">
        <f t="shared" si="126"/>
        <v>click</v>
      </c>
      <c r="P1178" t="str">
        <f t="shared" si="127"/>
        <v>();</v>
      </c>
      <c r="S1178" s="1" t="str">
        <f t="shared" si="124"/>
        <v/>
      </c>
    </row>
    <row r="1179" spans="14:19">
      <c r="N1179" t="str">
        <f t="shared" si="125"/>
        <v/>
      </c>
      <c r="O1179" s="4" t="str">
        <f t="shared" si="126"/>
        <v>click</v>
      </c>
      <c r="P1179" t="str">
        <f t="shared" si="127"/>
        <v>();</v>
      </c>
      <c r="S1179" s="1" t="str">
        <f t="shared" si="124"/>
        <v/>
      </c>
    </row>
    <row r="1180" spans="14:19">
      <c r="N1180" t="str">
        <f t="shared" si="125"/>
        <v/>
      </c>
      <c r="O1180" s="4" t="str">
        <f t="shared" si="126"/>
        <v>click</v>
      </c>
      <c r="P1180" t="str">
        <f t="shared" si="127"/>
        <v>();</v>
      </c>
      <c r="S1180" s="1" t="str">
        <f t="shared" si="124"/>
        <v/>
      </c>
    </row>
    <row r="1181" spans="14:19">
      <c r="N1181" t="str">
        <f t="shared" si="125"/>
        <v/>
      </c>
      <c r="O1181" s="4" t="str">
        <f t="shared" si="126"/>
        <v>click</v>
      </c>
      <c r="P1181" t="str">
        <f t="shared" si="127"/>
        <v>();</v>
      </c>
      <c r="S1181" s="1" t="str">
        <f t="shared" si="124"/>
        <v/>
      </c>
    </row>
    <row r="1182" spans="14:19">
      <c r="N1182" t="str">
        <f t="shared" si="125"/>
        <v/>
      </c>
      <c r="O1182" s="4" t="str">
        <f t="shared" si="126"/>
        <v>click</v>
      </c>
      <c r="P1182" t="str">
        <f t="shared" si="127"/>
        <v>();</v>
      </c>
      <c r="S1182" s="1" t="str">
        <f t="shared" si="124"/>
        <v/>
      </c>
    </row>
    <row r="1183" spans="14:19">
      <c r="N1183" t="str">
        <f t="shared" si="125"/>
        <v/>
      </c>
      <c r="O1183" s="4" t="str">
        <f t="shared" si="126"/>
        <v>click</v>
      </c>
      <c r="P1183" t="str">
        <f t="shared" si="127"/>
        <v>();</v>
      </c>
      <c r="S1183" s="1" t="str">
        <f t="shared" si="124"/>
        <v/>
      </c>
    </row>
    <row r="1184" spans="14:19">
      <c r="N1184" t="str">
        <f t="shared" si="125"/>
        <v/>
      </c>
      <c r="O1184" s="4" t="str">
        <f t="shared" si="126"/>
        <v>click</v>
      </c>
      <c r="P1184" t="str">
        <f t="shared" si="127"/>
        <v>();</v>
      </c>
      <c r="S1184" s="1" t="str">
        <f t="shared" si="124"/>
        <v/>
      </c>
    </row>
    <row r="1185" spans="14:19">
      <c r="N1185" t="str">
        <f t="shared" si="125"/>
        <v/>
      </c>
      <c r="O1185" s="4" t="str">
        <f t="shared" si="126"/>
        <v>click</v>
      </c>
      <c r="P1185" t="str">
        <f t="shared" si="127"/>
        <v>();</v>
      </c>
      <c r="S1185" s="1" t="str">
        <f t="shared" si="124"/>
        <v/>
      </c>
    </row>
    <row r="1186" spans="14:19">
      <c r="N1186" t="str">
        <f t="shared" si="125"/>
        <v/>
      </c>
      <c r="O1186" s="4" t="str">
        <f t="shared" si="126"/>
        <v>click</v>
      </c>
      <c r="P1186" t="str">
        <f t="shared" si="127"/>
        <v>();</v>
      </c>
      <c r="S1186" s="1" t="str">
        <f t="shared" si="124"/>
        <v/>
      </c>
    </row>
    <row r="1187" spans="14:19">
      <c r="N1187" t="str">
        <f t="shared" si="125"/>
        <v/>
      </c>
      <c r="O1187" s="4" t="str">
        <f t="shared" si="126"/>
        <v>click</v>
      </c>
      <c r="P1187" t="str">
        <f t="shared" si="127"/>
        <v>();</v>
      </c>
      <c r="S1187" s="1" t="str">
        <f t="shared" si="124"/>
        <v/>
      </c>
    </row>
    <row r="1188" spans="14:19">
      <c r="N1188" t="str">
        <f t="shared" si="125"/>
        <v/>
      </c>
      <c r="O1188" s="4" t="str">
        <f t="shared" si="126"/>
        <v>click</v>
      </c>
      <c r="P1188" t="str">
        <f t="shared" si="127"/>
        <v>();</v>
      </c>
      <c r="S1188" s="1" t="str">
        <f t="shared" si="124"/>
        <v/>
      </c>
    </row>
    <row r="1189" spans="14:19">
      <c r="N1189" t="str">
        <f t="shared" si="125"/>
        <v/>
      </c>
      <c r="O1189" s="4" t="str">
        <f t="shared" si="126"/>
        <v>click</v>
      </c>
      <c r="P1189" t="str">
        <f t="shared" si="127"/>
        <v>();</v>
      </c>
      <c r="S1189" s="1" t="str">
        <f t="shared" si="124"/>
        <v/>
      </c>
    </row>
    <row r="1190" spans="14:19">
      <c r="N1190" t="str">
        <f t="shared" si="125"/>
        <v/>
      </c>
      <c r="O1190" s="4" t="str">
        <f t="shared" si="126"/>
        <v>click</v>
      </c>
      <c r="P1190" t="str">
        <f t="shared" si="127"/>
        <v>();</v>
      </c>
      <c r="S1190" s="1" t="str">
        <f t="shared" si="124"/>
        <v/>
      </c>
    </row>
    <row r="1191" spans="14:19">
      <c r="N1191" t="str">
        <f t="shared" si="125"/>
        <v/>
      </c>
      <c r="O1191" s="4" t="str">
        <f t="shared" si="126"/>
        <v>click</v>
      </c>
      <c r="P1191" t="str">
        <f t="shared" si="127"/>
        <v>();</v>
      </c>
      <c r="S1191" s="1" t="str">
        <f t="shared" si="124"/>
        <v/>
      </c>
    </row>
    <row r="1192" spans="14:19">
      <c r="N1192" t="str">
        <f t="shared" si="125"/>
        <v/>
      </c>
      <c r="O1192" s="4" t="str">
        <f t="shared" si="126"/>
        <v>click</v>
      </c>
      <c r="P1192" t="str">
        <f t="shared" si="127"/>
        <v>();</v>
      </c>
      <c r="S1192" s="1" t="str">
        <f t="shared" si="124"/>
        <v/>
      </c>
    </row>
    <row r="1193" spans="14:19">
      <c r="N1193" t="str">
        <f t="shared" si="125"/>
        <v/>
      </c>
      <c r="O1193" s="4" t="str">
        <f t="shared" si="126"/>
        <v>click</v>
      </c>
      <c r="P1193" t="str">
        <f t="shared" si="127"/>
        <v>();</v>
      </c>
      <c r="S1193" s="1" t="str">
        <f t="shared" si="124"/>
        <v/>
      </c>
    </row>
    <row r="1194" spans="14:19">
      <c r="N1194" t="str">
        <f t="shared" si="125"/>
        <v/>
      </c>
      <c r="O1194" s="4" t="str">
        <f t="shared" si="126"/>
        <v>click</v>
      </c>
      <c r="P1194" t="str">
        <f t="shared" si="127"/>
        <v>();</v>
      </c>
      <c r="S1194" s="1" t="str">
        <f t="shared" si="124"/>
        <v/>
      </c>
    </row>
    <row r="1195" spans="14:19">
      <c r="N1195" t="str">
        <f t="shared" si="125"/>
        <v/>
      </c>
      <c r="O1195" s="4" t="str">
        <f t="shared" si="126"/>
        <v>click</v>
      </c>
      <c r="P1195" t="str">
        <f t="shared" si="127"/>
        <v>();</v>
      </c>
      <c r="S1195" s="1" t="str">
        <f t="shared" si="124"/>
        <v/>
      </c>
    </row>
    <row r="1196" spans="14:19">
      <c r="N1196" t="str">
        <f t="shared" si="125"/>
        <v/>
      </c>
      <c r="O1196" s="4" t="str">
        <f t="shared" si="126"/>
        <v>click</v>
      </c>
      <c r="P1196" t="str">
        <f t="shared" si="127"/>
        <v>();</v>
      </c>
      <c r="S1196" s="1" t="str">
        <f t="shared" si="124"/>
        <v/>
      </c>
    </row>
    <row r="1197" spans="14:19">
      <c r="N1197" t="str">
        <f t="shared" si="125"/>
        <v/>
      </c>
      <c r="O1197" s="4" t="str">
        <f t="shared" si="126"/>
        <v>click</v>
      </c>
      <c r="P1197" t="str">
        <f t="shared" si="127"/>
        <v>();</v>
      </c>
      <c r="S1197" s="1" t="str">
        <f t="shared" si="124"/>
        <v/>
      </c>
    </row>
    <row r="1198" spans="14:19">
      <c r="N1198" t="str">
        <f t="shared" si="125"/>
        <v/>
      </c>
      <c r="O1198" s="4" t="str">
        <f t="shared" si="126"/>
        <v>click</v>
      </c>
      <c r="P1198" t="str">
        <f t="shared" si="127"/>
        <v>();</v>
      </c>
      <c r="S1198" s="1" t="str">
        <f t="shared" si="124"/>
        <v/>
      </c>
    </row>
    <row r="1199" spans="14:19">
      <c r="N1199" t="str">
        <f t="shared" si="125"/>
        <v/>
      </c>
      <c r="O1199" s="4" t="str">
        <f t="shared" si="126"/>
        <v>click</v>
      </c>
      <c r="P1199" t="str">
        <f t="shared" si="127"/>
        <v>();</v>
      </c>
      <c r="S1199" s="1" t="str">
        <f t="shared" si="124"/>
        <v/>
      </c>
    </row>
    <row r="1200" spans="14:19">
      <c r="N1200" t="str">
        <f t="shared" si="125"/>
        <v/>
      </c>
      <c r="O1200" s="4" t="str">
        <f t="shared" si="126"/>
        <v>click</v>
      </c>
      <c r="P1200" t="str">
        <f t="shared" si="127"/>
        <v>();</v>
      </c>
      <c r="S1200" s="1" t="str">
        <f t="shared" si="124"/>
        <v/>
      </c>
    </row>
    <row r="1201" spans="14:19">
      <c r="N1201" t="str">
        <f t="shared" si="125"/>
        <v/>
      </c>
      <c r="O1201" s="4" t="str">
        <f t="shared" si="126"/>
        <v>click</v>
      </c>
      <c r="P1201" t="str">
        <f t="shared" si="127"/>
        <v>();</v>
      </c>
      <c r="S1201" s="1" t="str">
        <f t="shared" si="124"/>
        <v/>
      </c>
    </row>
    <row r="1202" spans="14:19">
      <c r="N1202" t="str">
        <f t="shared" si="125"/>
        <v/>
      </c>
      <c r="O1202" s="4" t="str">
        <f t="shared" si="126"/>
        <v>click</v>
      </c>
      <c r="P1202" t="str">
        <f t="shared" si="127"/>
        <v>();</v>
      </c>
      <c r="S1202" s="1" t="str">
        <f t="shared" si="124"/>
        <v/>
      </c>
    </row>
    <row r="1203" spans="14:19">
      <c r="N1203" t="str">
        <f t="shared" si="125"/>
        <v/>
      </c>
      <c r="O1203" s="4" t="str">
        <f t="shared" si="126"/>
        <v>click</v>
      </c>
      <c r="P1203" t="str">
        <f t="shared" si="127"/>
        <v>();</v>
      </c>
      <c r="S1203" s="1" t="str">
        <f t="shared" si="124"/>
        <v/>
      </c>
    </row>
    <row r="1204" spans="14:19">
      <c r="N1204" t="str">
        <f t="shared" si="125"/>
        <v/>
      </c>
      <c r="O1204" s="4" t="str">
        <f t="shared" si="126"/>
        <v>click</v>
      </c>
      <c r="P1204" t="str">
        <f t="shared" si="127"/>
        <v>();</v>
      </c>
      <c r="S1204" s="1" t="str">
        <f t="shared" si="124"/>
        <v/>
      </c>
    </row>
    <row r="1205" spans="14:19">
      <c r="N1205" t="str">
        <f t="shared" si="125"/>
        <v/>
      </c>
      <c r="O1205" s="4" t="str">
        <f t="shared" si="126"/>
        <v>click</v>
      </c>
      <c r="P1205" t="str">
        <f t="shared" si="127"/>
        <v>();</v>
      </c>
      <c r="S1205" s="1" t="str">
        <f t="shared" si="124"/>
        <v/>
      </c>
    </row>
    <row r="1206" spans="14:19">
      <c r="N1206" t="str">
        <f t="shared" si="125"/>
        <v/>
      </c>
      <c r="O1206" s="4" t="str">
        <f t="shared" si="126"/>
        <v>click</v>
      </c>
      <c r="P1206" t="str">
        <f t="shared" si="127"/>
        <v>();</v>
      </c>
      <c r="S1206" s="1" t="str">
        <f t="shared" si="124"/>
        <v/>
      </c>
    </row>
    <row r="1207" spans="14:19">
      <c r="N1207" t="str">
        <f t="shared" si="125"/>
        <v/>
      </c>
      <c r="O1207" s="4" t="str">
        <f t="shared" si="126"/>
        <v>click</v>
      </c>
      <c r="P1207" t="str">
        <f t="shared" si="127"/>
        <v>();</v>
      </c>
      <c r="S1207" s="1" t="str">
        <f t="shared" si="124"/>
        <v/>
      </c>
    </row>
    <row r="1208" spans="14:19">
      <c r="N1208" t="str">
        <f t="shared" si="125"/>
        <v/>
      </c>
      <c r="O1208" s="4" t="str">
        <f t="shared" si="126"/>
        <v>click</v>
      </c>
      <c r="P1208" t="str">
        <f t="shared" si="127"/>
        <v>();</v>
      </c>
      <c r="S1208" s="1" t="str">
        <f t="shared" si="124"/>
        <v/>
      </c>
    </row>
    <row r="1209" spans="14:19">
      <c r="N1209" t="str">
        <f t="shared" si="125"/>
        <v/>
      </c>
      <c r="O1209" s="4" t="str">
        <f t="shared" si="126"/>
        <v>click</v>
      </c>
      <c r="P1209" t="str">
        <f t="shared" si="127"/>
        <v>();</v>
      </c>
      <c r="S1209" s="1" t="str">
        <f t="shared" si="124"/>
        <v/>
      </c>
    </row>
    <row r="1210" spans="14:19">
      <c r="N1210" t="str">
        <f t="shared" si="125"/>
        <v/>
      </c>
      <c r="O1210" s="4" t="str">
        <f t="shared" si="126"/>
        <v>click</v>
      </c>
      <c r="P1210" t="str">
        <f t="shared" si="127"/>
        <v>();</v>
      </c>
      <c r="S1210" s="1" t="str">
        <f t="shared" si="124"/>
        <v/>
      </c>
    </row>
    <row r="1211" spans="14:19">
      <c r="N1211" t="str">
        <f t="shared" si="125"/>
        <v/>
      </c>
      <c r="O1211" s="4" t="str">
        <f t="shared" si="126"/>
        <v>click</v>
      </c>
      <c r="P1211" t="str">
        <f t="shared" si="127"/>
        <v>();</v>
      </c>
      <c r="S1211" s="1" t="str">
        <f t="shared" si="124"/>
        <v/>
      </c>
    </row>
    <row r="1212" spans="14:19">
      <c r="N1212" t="str">
        <f t="shared" si="125"/>
        <v/>
      </c>
      <c r="O1212" s="4" t="str">
        <f t="shared" si="126"/>
        <v>click</v>
      </c>
      <c r="P1212" t="str">
        <f t="shared" si="127"/>
        <v>();</v>
      </c>
      <c r="S1212" s="1" t="str">
        <f t="shared" si="124"/>
        <v/>
      </c>
    </row>
    <row r="1213" spans="14:19">
      <c r="N1213" t="str">
        <f t="shared" si="125"/>
        <v/>
      </c>
      <c r="O1213" s="4" t="str">
        <f t="shared" si="126"/>
        <v>click</v>
      </c>
      <c r="P1213" t="str">
        <f t="shared" si="127"/>
        <v>();</v>
      </c>
      <c r="S1213" s="1" t="str">
        <f t="shared" si="124"/>
        <v/>
      </c>
    </row>
    <row r="1214" spans="14:19">
      <c r="N1214" t="str">
        <f t="shared" si="125"/>
        <v/>
      </c>
      <c r="O1214" s="4" t="str">
        <f t="shared" si="126"/>
        <v>click</v>
      </c>
      <c r="P1214" t="str">
        <f t="shared" si="127"/>
        <v>();</v>
      </c>
      <c r="S1214" s="1" t="str">
        <f t="shared" si="124"/>
        <v/>
      </c>
    </row>
    <row r="1215" spans="14:19">
      <c r="N1215" t="str">
        <f t="shared" si="125"/>
        <v/>
      </c>
      <c r="O1215" s="4" t="str">
        <f t="shared" si="126"/>
        <v>click</v>
      </c>
      <c r="P1215" t="str">
        <f t="shared" si="127"/>
        <v>();</v>
      </c>
      <c r="S1215" s="1" t="str">
        <f t="shared" si="124"/>
        <v/>
      </c>
    </row>
    <row r="1216" spans="14:19">
      <c r="N1216" t="str">
        <f t="shared" si="125"/>
        <v/>
      </c>
      <c r="O1216" s="4" t="str">
        <f t="shared" si="126"/>
        <v>click</v>
      </c>
      <c r="P1216" t="str">
        <f t="shared" si="127"/>
        <v>();</v>
      </c>
      <c r="S1216" s="1" t="str">
        <f t="shared" si="124"/>
        <v/>
      </c>
    </row>
    <row r="1217" spans="14:19">
      <c r="N1217" t="str">
        <f t="shared" si="125"/>
        <v/>
      </c>
      <c r="O1217" s="4" t="str">
        <f t="shared" si="126"/>
        <v>click</v>
      </c>
      <c r="P1217" t="str">
        <f t="shared" si="127"/>
        <v>();</v>
      </c>
      <c r="S1217" s="1" t="str">
        <f t="shared" si="124"/>
        <v/>
      </c>
    </row>
    <row r="1218" spans="14:19">
      <c r="N1218" t="str">
        <f t="shared" si="125"/>
        <v/>
      </c>
      <c r="O1218" s="4" t="str">
        <f t="shared" si="126"/>
        <v>click</v>
      </c>
      <c r="P1218" t="str">
        <f t="shared" si="127"/>
        <v>();</v>
      </c>
      <c r="S1218" s="1" t="str">
        <f t="shared" si="124"/>
        <v/>
      </c>
    </row>
    <row r="1219" spans="14:19">
      <c r="N1219" t="str">
        <f t="shared" si="125"/>
        <v/>
      </c>
      <c r="O1219" s="4" t="str">
        <f t="shared" si="126"/>
        <v>click</v>
      </c>
      <c r="P1219" t="str">
        <f t="shared" si="127"/>
        <v>();</v>
      </c>
      <c r="S1219" s="1" t="str">
        <f t="shared" si="124"/>
        <v/>
      </c>
    </row>
    <row r="1220" spans="14:19">
      <c r="N1220" t="str">
        <f t="shared" si="125"/>
        <v/>
      </c>
      <c r="O1220" s="4" t="str">
        <f t="shared" si="126"/>
        <v>click</v>
      </c>
      <c r="P1220" t="str">
        <f t="shared" si="127"/>
        <v>();</v>
      </c>
      <c r="S1220" s="1" t="str">
        <f t="shared" si="124"/>
        <v/>
      </c>
    </row>
    <row r="1221" spans="14:19">
      <c r="N1221" t="str">
        <f t="shared" si="125"/>
        <v/>
      </c>
      <c r="O1221" s="4" t="str">
        <f t="shared" si="126"/>
        <v>click</v>
      </c>
      <c r="P1221" t="str">
        <f t="shared" si="127"/>
        <v>();</v>
      </c>
      <c r="S1221" s="1" t="str">
        <f t="shared" si="124"/>
        <v/>
      </c>
    </row>
    <row r="1222" spans="14:19">
      <c r="N1222" t="str">
        <f t="shared" si="125"/>
        <v/>
      </c>
      <c r="O1222" s="4" t="str">
        <f t="shared" si="126"/>
        <v>click</v>
      </c>
      <c r="P1222" t="str">
        <f t="shared" si="127"/>
        <v>();</v>
      </c>
      <c r="S1222" s="1" t="str">
        <f t="shared" si="124"/>
        <v/>
      </c>
    </row>
    <row r="1223" spans="14:19">
      <c r="N1223" t="str">
        <f t="shared" si="125"/>
        <v/>
      </c>
      <c r="O1223" s="4" t="str">
        <f t="shared" si="126"/>
        <v>click</v>
      </c>
      <c r="P1223" t="str">
        <f t="shared" si="127"/>
        <v>();</v>
      </c>
      <c r="S1223" s="1" t="str">
        <f t="shared" si="124"/>
        <v/>
      </c>
    </row>
    <row r="1224" spans="14:19">
      <c r="N1224" t="str">
        <f t="shared" si="125"/>
        <v/>
      </c>
      <c r="O1224" s="4" t="str">
        <f t="shared" si="126"/>
        <v>click</v>
      </c>
      <c r="P1224" t="str">
        <f t="shared" si="127"/>
        <v>();</v>
      </c>
      <c r="S1224" s="1" t="str">
        <f t="shared" si="124"/>
        <v/>
      </c>
    </row>
    <row r="1225" spans="14:19">
      <c r="N1225" t="str">
        <f t="shared" si="125"/>
        <v/>
      </c>
      <c r="O1225" s="4" t="str">
        <f t="shared" si="126"/>
        <v>click</v>
      </c>
      <c r="P1225" t="str">
        <f t="shared" si="127"/>
        <v>();</v>
      </c>
      <c r="S1225" s="1" t="str">
        <f t="shared" si="124"/>
        <v/>
      </c>
    </row>
    <row r="1226" spans="14:19">
      <c r="N1226" t="str">
        <f t="shared" si="125"/>
        <v/>
      </c>
      <c r="O1226" s="4" t="str">
        <f t="shared" si="126"/>
        <v>click</v>
      </c>
      <c r="P1226" t="str">
        <f t="shared" si="127"/>
        <v>();</v>
      </c>
      <c r="S1226" s="1" t="str">
        <f t="shared" si="124"/>
        <v/>
      </c>
    </row>
    <row r="1227" spans="14:19">
      <c r="N1227" t="str">
        <f t="shared" si="125"/>
        <v/>
      </c>
      <c r="O1227" s="4" t="str">
        <f t="shared" si="126"/>
        <v>click</v>
      </c>
      <c r="P1227" t="str">
        <f t="shared" si="127"/>
        <v>();</v>
      </c>
      <c r="S1227" s="1" t="str">
        <f t="shared" ref="S1227:S1290" si="128">IF(C1227="Y",IF(D1227&lt;&gt;"mat-select",IF(D1227="End","",IF(O1227="innerText",I1227&amp;"="&amp;IF(C1227="Y",IF(J1227&lt;&gt;"Y",$S$8&amp;$R$9&amp;"."&amp;E1227&amp;")."&amp;IF(OR(O1227="click",O1227="innerText"),O1227&amp;"();",O1227&amp;"("&amp;$Q$8&amp;"."&amp;E1227&amp;");"),$S$7&amp;$R$9&amp;"."&amp;SUBSTITUTE(E1227," ","")&amp;")."&amp;IF(O1227="click",O1227&amp;"();",O1227&amp;"("&amp;"'"&amp;K1227&amp;"'"&amp;");")),""),IF(C1227="Y",IF(J1227&lt;&gt;"Y",$S$8&amp;$R$9&amp;"."&amp;SUBSTITUTE(E1227," ","")&amp;")."&amp;IF(OR(O1227="click",O1227="innerText"),O1227&amp;"();",O1227&amp;"("&amp;$Q$8&amp;"."&amp;SUBSTITUTE(E1227," ","")&amp;");"),$S$7&amp;$R$9&amp;"."&amp;SUBSTITUTE(E1227," ","")&amp;")."&amp;IF(O1227="click",O1227&amp;"();",O1227&amp;"("&amp;"'"&amp;K1227&amp;"'"&amp;");")),""))),"let form"&amp;Z1227&amp;": String;"&amp;"for (let i = 1; i &lt; 30; i++) {"&amp;$S$8&amp;$R$9&amp;"."&amp;SUBSTITUTE(E1227," ","")&amp;").click();"&amp;$CE$4&amp; "form"&amp;Z1227&amp;"="&amp; $S$8&amp;$R$9&amp;"."&amp;SUBSTITUTE(E1227," ","")&amp;").innerText();" &amp;"if ("&amp;"form"&amp;Z1227&amp;"=="&amp; "Data[index]."&amp;SUBSTITUTE(E1227," ","") &amp;"){"&amp;$CE$7),"")</f>
        <v/>
      </c>
    </row>
    <row r="1228" spans="14:19">
      <c r="N1228" t="str">
        <f t="shared" si="125"/>
        <v/>
      </c>
      <c r="O1228" s="4" t="str">
        <f t="shared" si="126"/>
        <v>click</v>
      </c>
      <c r="P1228" t="str">
        <f t="shared" si="127"/>
        <v>();</v>
      </c>
      <c r="S1228" s="1" t="str">
        <f t="shared" si="128"/>
        <v/>
      </c>
    </row>
    <row r="1229" spans="14:19">
      <c r="N1229" t="str">
        <f t="shared" si="125"/>
        <v/>
      </c>
      <c r="O1229" s="4" t="str">
        <f t="shared" si="126"/>
        <v>click</v>
      </c>
      <c r="P1229" t="str">
        <f t="shared" si="127"/>
        <v>();</v>
      </c>
      <c r="S1229" s="1" t="str">
        <f t="shared" si="128"/>
        <v/>
      </c>
    </row>
    <row r="1230" spans="14:19">
      <c r="N1230" t="str">
        <f t="shared" si="125"/>
        <v/>
      </c>
      <c r="O1230" s="4" t="str">
        <f t="shared" si="126"/>
        <v>click</v>
      </c>
      <c r="P1230" t="str">
        <f t="shared" si="127"/>
        <v>();</v>
      </c>
      <c r="S1230" s="1" t="str">
        <f t="shared" si="128"/>
        <v/>
      </c>
    </row>
    <row r="1231" spans="14:19">
      <c r="N1231" t="str">
        <f t="shared" si="125"/>
        <v/>
      </c>
      <c r="O1231" s="4" t="str">
        <f t="shared" si="126"/>
        <v>click</v>
      </c>
      <c r="P1231" t="str">
        <f t="shared" si="127"/>
        <v>();</v>
      </c>
      <c r="S1231" s="1" t="str">
        <f t="shared" si="128"/>
        <v/>
      </c>
    </row>
    <row r="1232" spans="14:19">
      <c r="N1232" t="str">
        <f t="shared" si="125"/>
        <v/>
      </c>
      <c r="O1232" s="4" t="str">
        <f t="shared" si="126"/>
        <v>click</v>
      </c>
      <c r="P1232" t="str">
        <f t="shared" si="127"/>
        <v>();</v>
      </c>
      <c r="S1232" s="1" t="str">
        <f t="shared" si="128"/>
        <v/>
      </c>
    </row>
    <row r="1233" spans="14:19">
      <c r="N1233" t="str">
        <f t="shared" si="125"/>
        <v/>
      </c>
      <c r="O1233" s="4" t="str">
        <f t="shared" si="126"/>
        <v>click</v>
      </c>
      <c r="P1233" t="str">
        <f t="shared" si="127"/>
        <v>();</v>
      </c>
      <c r="S1233" s="1" t="str">
        <f t="shared" si="128"/>
        <v/>
      </c>
    </row>
    <row r="1234" spans="14:19">
      <c r="N1234" t="str">
        <f t="shared" si="125"/>
        <v/>
      </c>
      <c r="O1234" s="4" t="str">
        <f t="shared" si="126"/>
        <v>click</v>
      </c>
      <c r="P1234" t="str">
        <f t="shared" si="127"/>
        <v>();</v>
      </c>
      <c r="S1234" s="1" t="str">
        <f t="shared" si="128"/>
        <v/>
      </c>
    </row>
    <row r="1235" spans="14:19">
      <c r="N1235" t="str">
        <f t="shared" si="125"/>
        <v/>
      </c>
      <c r="O1235" s="4" t="str">
        <f t="shared" si="126"/>
        <v>click</v>
      </c>
      <c r="P1235" t="str">
        <f t="shared" si="127"/>
        <v>();</v>
      </c>
      <c r="S1235" s="1" t="str">
        <f t="shared" si="128"/>
        <v/>
      </c>
    </row>
    <row r="1236" spans="14:19">
      <c r="N1236" t="str">
        <f t="shared" si="125"/>
        <v/>
      </c>
      <c r="O1236" s="4" t="str">
        <f t="shared" si="126"/>
        <v>click</v>
      </c>
      <c r="P1236" t="str">
        <f t="shared" si="127"/>
        <v>();</v>
      </c>
      <c r="S1236" s="1" t="str">
        <f t="shared" si="128"/>
        <v/>
      </c>
    </row>
    <row r="1237" spans="14:19">
      <c r="N1237" t="str">
        <f t="shared" ref="N1237:N1300" si="129">IF(A1237="Y",""""&amp;C1237&amp;""""&amp;": "&amp;M1237&amp;",","")</f>
        <v/>
      </c>
      <c r="O1237" s="4" t="str">
        <f t="shared" ref="O1237:O1300" si="130">IF(D1237="input","fill",IF(I1237&lt;&gt;"","innerText",IF(J1237="Y",$T$7,"click")))</f>
        <v>click</v>
      </c>
      <c r="P1237" t="str">
        <f t="shared" ref="P1237:P1300" si="131">IF(OR(O1237="Click",O1237="innerText"),"();","("&amp;""""&amp;K1237&amp;""""&amp;");")</f>
        <v>();</v>
      </c>
      <c r="S1237" s="1" t="str">
        <f t="shared" si="128"/>
        <v/>
      </c>
    </row>
    <row r="1238" spans="14:19">
      <c r="N1238" t="str">
        <f t="shared" si="129"/>
        <v/>
      </c>
      <c r="O1238" s="4" t="str">
        <f t="shared" si="130"/>
        <v>click</v>
      </c>
      <c r="P1238" t="str">
        <f t="shared" si="131"/>
        <v>();</v>
      </c>
      <c r="S1238" s="1" t="str">
        <f t="shared" si="128"/>
        <v/>
      </c>
    </row>
    <row r="1239" spans="14:19">
      <c r="N1239" t="str">
        <f t="shared" si="129"/>
        <v/>
      </c>
      <c r="O1239" s="4" t="str">
        <f t="shared" si="130"/>
        <v>click</v>
      </c>
      <c r="P1239" t="str">
        <f t="shared" si="131"/>
        <v>();</v>
      </c>
      <c r="S1239" s="1" t="str">
        <f t="shared" si="128"/>
        <v/>
      </c>
    </row>
    <row r="1240" spans="14:19">
      <c r="N1240" t="str">
        <f t="shared" si="129"/>
        <v/>
      </c>
      <c r="O1240" s="4" t="str">
        <f t="shared" si="130"/>
        <v>click</v>
      </c>
      <c r="P1240" t="str">
        <f t="shared" si="131"/>
        <v>();</v>
      </c>
      <c r="S1240" s="1" t="str">
        <f t="shared" si="128"/>
        <v/>
      </c>
    </row>
    <row r="1241" spans="14:19">
      <c r="N1241" t="str">
        <f t="shared" si="129"/>
        <v/>
      </c>
      <c r="O1241" s="4" t="str">
        <f t="shared" si="130"/>
        <v>click</v>
      </c>
      <c r="P1241" t="str">
        <f t="shared" si="131"/>
        <v>();</v>
      </c>
      <c r="S1241" s="1" t="str">
        <f t="shared" si="128"/>
        <v/>
      </c>
    </row>
    <row r="1242" spans="14:19">
      <c r="N1242" t="str">
        <f t="shared" si="129"/>
        <v/>
      </c>
      <c r="O1242" s="4" t="str">
        <f t="shared" si="130"/>
        <v>click</v>
      </c>
      <c r="P1242" t="str">
        <f t="shared" si="131"/>
        <v>();</v>
      </c>
      <c r="S1242" s="1" t="str">
        <f t="shared" si="128"/>
        <v/>
      </c>
    </row>
    <row r="1243" spans="14:19">
      <c r="N1243" t="str">
        <f t="shared" si="129"/>
        <v/>
      </c>
      <c r="O1243" s="4" t="str">
        <f t="shared" si="130"/>
        <v>click</v>
      </c>
      <c r="P1243" t="str">
        <f t="shared" si="131"/>
        <v>();</v>
      </c>
      <c r="S1243" s="1" t="str">
        <f t="shared" si="128"/>
        <v/>
      </c>
    </row>
    <row r="1244" spans="14:19">
      <c r="N1244" t="str">
        <f t="shared" si="129"/>
        <v/>
      </c>
      <c r="O1244" s="4" t="str">
        <f t="shared" si="130"/>
        <v>click</v>
      </c>
      <c r="P1244" t="str">
        <f t="shared" si="131"/>
        <v>();</v>
      </c>
      <c r="S1244" s="1" t="str">
        <f t="shared" si="128"/>
        <v/>
      </c>
    </row>
    <row r="1245" spans="14:19">
      <c r="N1245" t="str">
        <f t="shared" si="129"/>
        <v/>
      </c>
      <c r="O1245" s="4" t="str">
        <f t="shared" si="130"/>
        <v>click</v>
      </c>
      <c r="P1245" t="str">
        <f t="shared" si="131"/>
        <v>();</v>
      </c>
      <c r="S1245" s="1" t="str">
        <f t="shared" si="128"/>
        <v/>
      </c>
    </row>
    <row r="1246" spans="14:19">
      <c r="N1246" t="str">
        <f t="shared" si="129"/>
        <v/>
      </c>
      <c r="O1246" s="4" t="str">
        <f t="shared" si="130"/>
        <v>click</v>
      </c>
      <c r="P1246" t="str">
        <f t="shared" si="131"/>
        <v>();</v>
      </c>
      <c r="S1246" s="1" t="str">
        <f t="shared" si="128"/>
        <v/>
      </c>
    </row>
    <row r="1247" spans="14:19">
      <c r="N1247" t="str">
        <f t="shared" si="129"/>
        <v/>
      </c>
      <c r="O1247" s="4" t="str">
        <f t="shared" si="130"/>
        <v>click</v>
      </c>
      <c r="P1247" t="str">
        <f t="shared" si="131"/>
        <v>();</v>
      </c>
      <c r="S1247" s="1" t="str">
        <f t="shared" si="128"/>
        <v/>
      </c>
    </row>
    <row r="1248" spans="14:19">
      <c r="N1248" t="str">
        <f t="shared" si="129"/>
        <v/>
      </c>
      <c r="O1248" s="4" t="str">
        <f t="shared" si="130"/>
        <v>click</v>
      </c>
      <c r="P1248" t="str">
        <f t="shared" si="131"/>
        <v>();</v>
      </c>
      <c r="S1248" s="1" t="str">
        <f t="shared" si="128"/>
        <v/>
      </c>
    </row>
    <row r="1249" spans="14:19">
      <c r="N1249" t="str">
        <f t="shared" si="129"/>
        <v/>
      </c>
      <c r="O1249" s="4" t="str">
        <f t="shared" si="130"/>
        <v>click</v>
      </c>
      <c r="P1249" t="str">
        <f t="shared" si="131"/>
        <v>();</v>
      </c>
      <c r="S1249" s="1" t="str">
        <f t="shared" si="128"/>
        <v/>
      </c>
    </row>
    <row r="1250" spans="14:19">
      <c r="N1250" t="str">
        <f t="shared" si="129"/>
        <v/>
      </c>
      <c r="O1250" s="4" t="str">
        <f t="shared" si="130"/>
        <v>click</v>
      </c>
      <c r="P1250" t="str">
        <f t="shared" si="131"/>
        <v>();</v>
      </c>
      <c r="S1250" s="1" t="str">
        <f t="shared" si="128"/>
        <v/>
      </c>
    </row>
    <row r="1251" spans="14:19">
      <c r="N1251" t="str">
        <f t="shared" si="129"/>
        <v/>
      </c>
      <c r="O1251" s="4" t="str">
        <f t="shared" si="130"/>
        <v>click</v>
      </c>
      <c r="P1251" t="str">
        <f t="shared" si="131"/>
        <v>();</v>
      </c>
      <c r="S1251" s="1" t="str">
        <f t="shared" si="128"/>
        <v/>
      </c>
    </row>
    <row r="1252" spans="14:19">
      <c r="N1252" t="str">
        <f t="shared" si="129"/>
        <v/>
      </c>
      <c r="O1252" s="4" t="str">
        <f t="shared" si="130"/>
        <v>click</v>
      </c>
      <c r="P1252" t="str">
        <f t="shared" si="131"/>
        <v>();</v>
      </c>
      <c r="S1252" s="1" t="str">
        <f t="shared" si="128"/>
        <v/>
      </c>
    </row>
    <row r="1253" spans="14:19">
      <c r="N1253" t="str">
        <f t="shared" si="129"/>
        <v/>
      </c>
      <c r="O1253" s="4" t="str">
        <f t="shared" si="130"/>
        <v>click</v>
      </c>
      <c r="P1253" t="str">
        <f t="shared" si="131"/>
        <v>();</v>
      </c>
      <c r="S1253" s="1" t="str">
        <f t="shared" si="128"/>
        <v/>
      </c>
    </row>
    <row r="1254" spans="14:19">
      <c r="N1254" t="str">
        <f t="shared" si="129"/>
        <v/>
      </c>
      <c r="O1254" s="4" t="str">
        <f t="shared" si="130"/>
        <v>click</v>
      </c>
      <c r="P1254" t="str">
        <f t="shared" si="131"/>
        <v>();</v>
      </c>
      <c r="S1254" s="1" t="str">
        <f t="shared" si="128"/>
        <v/>
      </c>
    </row>
    <row r="1255" spans="14:19">
      <c r="N1255" t="str">
        <f t="shared" si="129"/>
        <v/>
      </c>
      <c r="O1255" s="4" t="str">
        <f t="shared" si="130"/>
        <v>click</v>
      </c>
      <c r="P1255" t="str">
        <f t="shared" si="131"/>
        <v>();</v>
      </c>
      <c r="S1255" s="1" t="str">
        <f t="shared" si="128"/>
        <v/>
      </c>
    </row>
    <row r="1256" spans="14:19">
      <c r="N1256" t="str">
        <f t="shared" si="129"/>
        <v/>
      </c>
      <c r="O1256" s="4" t="str">
        <f t="shared" si="130"/>
        <v>click</v>
      </c>
      <c r="P1256" t="str">
        <f t="shared" si="131"/>
        <v>();</v>
      </c>
      <c r="S1256" s="1" t="str">
        <f t="shared" si="128"/>
        <v/>
      </c>
    </row>
    <row r="1257" spans="14:19">
      <c r="N1257" t="str">
        <f t="shared" si="129"/>
        <v/>
      </c>
      <c r="O1257" s="4" t="str">
        <f t="shared" si="130"/>
        <v>click</v>
      </c>
      <c r="P1257" t="str">
        <f t="shared" si="131"/>
        <v>();</v>
      </c>
      <c r="S1257" s="1" t="str">
        <f t="shared" si="128"/>
        <v/>
      </c>
    </row>
    <row r="1258" spans="14:19">
      <c r="N1258" t="str">
        <f t="shared" si="129"/>
        <v/>
      </c>
      <c r="O1258" s="4" t="str">
        <f t="shared" si="130"/>
        <v>click</v>
      </c>
      <c r="P1258" t="str">
        <f t="shared" si="131"/>
        <v>();</v>
      </c>
      <c r="S1258" s="1" t="str">
        <f t="shared" si="128"/>
        <v/>
      </c>
    </row>
    <row r="1259" spans="14:19">
      <c r="N1259" t="str">
        <f t="shared" si="129"/>
        <v/>
      </c>
      <c r="O1259" s="4" t="str">
        <f t="shared" si="130"/>
        <v>click</v>
      </c>
      <c r="P1259" t="str">
        <f t="shared" si="131"/>
        <v>();</v>
      </c>
      <c r="S1259" s="1" t="str">
        <f t="shared" si="128"/>
        <v/>
      </c>
    </row>
    <row r="1260" spans="14:19">
      <c r="N1260" t="str">
        <f t="shared" si="129"/>
        <v/>
      </c>
      <c r="O1260" s="4" t="str">
        <f t="shared" si="130"/>
        <v>click</v>
      </c>
      <c r="P1260" t="str">
        <f t="shared" si="131"/>
        <v>();</v>
      </c>
      <c r="S1260" s="1" t="str">
        <f t="shared" si="128"/>
        <v/>
      </c>
    </row>
    <row r="1261" spans="14:19">
      <c r="N1261" t="str">
        <f t="shared" si="129"/>
        <v/>
      </c>
      <c r="O1261" s="4" t="str">
        <f t="shared" si="130"/>
        <v>click</v>
      </c>
      <c r="P1261" t="str">
        <f t="shared" si="131"/>
        <v>();</v>
      </c>
      <c r="S1261" s="1" t="str">
        <f t="shared" si="128"/>
        <v/>
      </c>
    </row>
    <row r="1262" spans="14:19">
      <c r="N1262" t="str">
        <f t="shared" si="129"/>
        <v/>
      </c>
      <c r="O1262" s="4" t="str">
        <f t="shared" si="130"/>
        <v>click</v>
      </c>
      <c r="P1262" t="str">
        <f t="shared" si="131"/>
        <v>();</v>
      </c>
      <c r="S1262" s="1" t="str">
        <f t="shared" si="128"/>
        <v/>
      </c>
    </row>
    <row r="1263" spans="14:19">
      <c r="N1263" t="str">
        <f t="shared" si="129"/>
        <v/>
      </c>
      <c r="O1263" s="4" t="str">
        <f t="shared" si="130"/>
        <v>click</v>
      </c>
      <c r="P1263" t="str">
        <f t="shared" si="131"/>
        <v>();</v>
      </c>
      <c r="S1263" s="1" t="str">
        <f t="shared" si="128"/>
        <v/>
      </c>
    </row>
    <row r="1264" spans="14:19">
      <c r="N1264" t="str">
        <f t="shared" si="129"/>
        <v/>
      </c>
      <c r="O1264" s="4" t="str">
        <f t="shared" si="130"/>
        <v>click</v>
      </c>
      <c r="P1264" t="str">
        <f t="shared" si="131"/>
        <v>();</v>
      </c>
      <c r="S1264" s="1" t="str">
        <f t="shared" si="128"/>
        <v/>
      </c>
    </row>
    <row r="1265" spans="14:19">
      <c r="N1265" t="str">
        <f t="shared" si="129"/>
        <v/>
      </c>
      <c r="O1265" s="4" t="str">
        <f t="shared" si="130"/>
        <v>click</v>
      </c>
      <c r="P1265" t="str">
        <f t="shared" si="131"/>
        <v>();</v>
      </c>
      <c r="S1265" s="1" t="str">
        <f t="shared" si="128"/>
        <v/>
      </c>
    </row>
    <row r="1266" spans="14:19">
      <c r="N1266" t="str">
        <f t="shared" si="129"/>
        <v/>
      </c>
      <c r="O1266" s="4" t="str">
        <f t="shared" si="130"/>
        <v>click</v>
      </c>
      <c r="P1266" t="str">
        <f t="shared" si="131"/>
        <v>();</v>
      </c>
      <c r="S1266" s="1" t="str">
        <f t="shared" si="128"/>
        <v/>
      </c>
    </row>
    <row r="1267" spans="14:19">
      <c r="N1267" t="str">
        <f t="shared" si="129"/>
        <v/>
      </c>
      <c r="O1267" s="4" t="str">
        <f t="shared" si="130"/>
        <v>click</v>
      </c>
      <c r="P1267" t="str">
        <f t="shared" si="131"/>
        <v>();</v>
      </c>
      <c r="S1267" s="1" t="str">
        <f t="shared" si="128"/>
        <v/>
      </c>
    </row>
    <row r="1268" spans="14:19">
      <c r="N1268" t="str">
        <f t="shared" si="129"/>
        <v/>
      </c>
      <c r="O1268" s="4" t="str">
        <f t="shared" si="130"/>
        <v>click</v>
      </c>
      <c r="P1268" t="str">
        <f t="shared" si="131"/>
        <v>();</v>
      </c>
      <c r="S1268" s="1" t="str">
        <f t="shared" si="128"/>
        <v/>
      </c>
    </row>
    <row r="1269" spans="14:19">
      <c r="N1269" t="str">
        <f t="shared" si="129"/>
        <v/>
      </c>
      <c r="O1269" s="4" t="str">
        <f t="shared" si="130"/>
        <v>click</v>
      </c>
      <c r="P1269" t="str">
        <f t="shared" si="131"/>
        <v>();</v>
      </c>
      <c r="S1269" s="1" t="str">
        <f t="shared" si="128"/>
        <v/>
      </c>
    </row>
    <row r="1270" spans="14:19">
      <c r="N1270" t="str">
        <f t="shared" si="129"/>
        <v/>
      </c>
      <c r="O1270" s="4" t="str">
        <f t="shared" si="130"/>
        <v>click</v>
      </c>
      <c r="P1270" t="str">
        <f t="shared" si="131"/>
        <v>();</v>
      </c>
      <c r="S1270" s="1" t="str">
        <f t="shared" si="128"/>
        <v/>
      </c>
    </row>
    <row r="1271" spans="14:19">
      <c r="N1271" t="str">
        <f t="shared" si="129"/>
        <v/>
      </c>
      <c r="O1271" s="4" t="str">
        <f t="shared" si="130"/>
        <v>click</v>
      </c>
      <c r="P1271" t="str">
        <f t="shared" si="131"/>
        <v>();</v>
      </c>
      <c r="S1271" s="1" t="str">
        <f t="shared" si="128"/>
        <v/>
      </c>
    </row>
    <row r="1272" spans="14:19">
      <c r="N1272" t="str">
        <f t="shared" si="129"/>
        <v/>
      </c>
      <c r="O1272" s="4" t="str">
        <f t="shared" si="130"/>
        <v>click</v>
      </c>
      <c r="P1272" t="str">
        <f t="shared" si="131"/>
        <v>();</v>
      </c>
      <c r="S1272" s="1" t="str">
        <f t="shared" si="128"/>
        <v/>
      </c>
    </row>
    <row r="1273" spans="14:19">
      <c r="N1273" t="str">
        <f t="shared" si="129"/>
        <v/>
      </c>
      <c r="O1273" s="4" t="str">
        <f t="shared" si="130"/>
        <v>click</v>
      </c>
      <c r="P1273" t="str">
        <f t="shared" si="131"/>
        <v>();</v>
      </c>
      <c r="S1273" s="1" t="str">
        <f t="shared" si="128"/>
        <v/>
      </c>
    </row>
    <row r="1274" spans="14:19">
      <c r="N1274" t="str">
        <f t="shared" si="129"/>
        <v/>
      </c>
      <c r="O1274" s="4" t="str">
        <f t="shared" si="130"/>
        <v>click</v>
      </c>
      <c r="P1274" t="str">
        <f t="shared" si="131"/>
        <v>();</v>
      </c>
      <c r="S1274" s="1" t="str">
        <f t="shared" si="128"/>
        <v/>
      </c>
    </row>
    <row r="1275" spans="14:19">
      <c r="N1275" t="str">
        <f t="shared" si="129"/>
        <v/>
      </c>
      <c r="O1275" s="4" t="str">
        <f t="shared" si="130"/>
        <v>click</v>
      </c>
      <c r="P1275" t="str">
        <f t="shared" si="131"/>
        <v>();</v>
      </c>
      <c r="S1275" s="1" t="str">
        <f t="shared" si="128"/>
        <v/>
      </c>
    </row>
    <row r="1276" spans="14:19">
      <c r="N1276" t="str">
        <f t="shared" si="129"/>
        <v/>
      </c>
      <c r="O1276" s="4" t="str">
        <f t="shared" si="130"/>
        <v>click</v>
      </c>
      <c r="P1276" t="str">
        <f t="shared" si="131"/>
        <v>();</v>
      </c>
      <c r="S1276" s="1" t="str">
        <f t="shared" si="128"/>
        <v/>
      </c>
    </row>
    <row r="1277" spans="14:19">
      <c r="N1277" t="str">
        <f t="shared" si="129"/>
        <v/>
      </c>
      <c r="O1277" s="4" t="str">
        <f t="shared" si="130"/>
        <v>click</v>
      </c>
      <c r="P1277" t="str">
        <f t="shared" si="131"/>
        <v>();</v>
      </c>
      <c r="S1277" s="1" t="str">
        <f t="shared" si="128"/>
        <v/>
      </c>
    </row>
    <row r="1278" spans="14:19">
      <c r="N1278" t="str">
        <f t="shared" si="129"/>
        <v/>
      </c>
      <c r="O1278" s="4" t="str">
        <f t="shared" si="130"/>
        <v>click</v>
      </c>
      <c r="P1278" t="str">
        <f t="shared" si="131"/>
        <v>();</v>
      </c>
      <c r="S1278" s="1" t="str">
        <f t="shared" si="128"/>
        <v/>
      </c>
    </row>
    <row r="1279" spans="14:19">
      <c r="N1279" t="str">
        <f t="shared" si="129"/>
        <v/>
      </c>
      <c r="O1279" s="4" t="str">
        <f t="shared" si="130"/>
        <v>click</v>
      </c>
      <c r="P1279" t="str">
        <f t="shared" si="131"/>
        <v>();</v>
      </c>
      <c r="S1279" s="1" t="str">
        <f t="shared" si="128"/>
        <v/>
      </c>
    </row>
    <row r="1280" spans="14:19">
      <c r="N1280" t="str">
        <f t="shared" si="129"/>
        <v/>
      </c>
      <c r="O1280" s="4" t="str">
        <f t="shared" si="130"/>
        <v>click</v>
      </c>
      <c r="P1280" t="str">
        <f t="shared" si="131"/>
        <v>();</v>
      </c>
      <c r="S1280" s="1" t="str">
        <f t="shared" si="128"/>
        <v/>
      </c>
    </row>
    <row r="1281" spans="14:19">
      <c r="N1281" t="str">
        <f t="shared" si="129"/>
        <v/>
      </c>
      <c r="O1281" s="4" t="str">
        <f t="shared" si="130"/>
        <v>click</v>
      </c>
      <c r="P1281" t="str">
        <f t="shared" si="131"/>
        <v>();</v>
      </c>
      <c r="S1281" s="1" t="str">
        <f t="shared" si="128"/>
        <v/>
      </c>
    </row>
    <row r="1282" spans="14:19">
      <c r="N1282" t="str">
        <f t="shared" si="129"/>
        <v/>
      </c>
      <c r="O1282" s="4" t="str">
        <f t="shared" si="130"/>
        <v>click</v>
      </c>
      <c r="P1282" t="str">
        <f t="shared" si="131"/>
        <v>();</v>
      </c>
      <c r="S1282" s="1" t="str">
        <f t="shared" si="128"/>
        <v/>
      </c>
    </row>
    <row r="1283" spans="14:19">
      <c r="N1283" t="str">
        <f t="shared" si="129"/>
        <v/>
      </c>
      <c r="O1283" s="4" t="str">
        <f t="shared" si="130"/>
        <v>click</v>
      </c>
      <c r="P1283" t="str">
        <f t="shared" si="131"/>
        <v>();</v>
      </c>
      <c r="S1283" s="1" t="str">
        <f t="shared" si="128"/>
        <v/>
      </c>
    </row>
    <row r="1284" spans="14:19">
      <c r="N1284" t="str">
        <f t="shared" si="129"/>
        <v/>
      </c>
      <c r="O1284" s="4" t="str">
        <f t="shared" si="130"/>
        <v>click</v>
      </c>
      <c r="P1284" t="str">
        <f t="shared" si="131"/>
        <v>();</v>
      </c>
      <c r="S1284" s="1" t="str">
        <f t="shared" si="128"/>
        <v/>
      </c>
    </row>
    <row r="1285" spans="14:19">
      <c r="N1285" t="str">
        <f t="shared" si="129"/>
        <v/>
      </c>
      <c r="O1285" s="4" t="str">
        <f t="shared" si="130"/>
        <v>click</v>
      </c>
      <c r="P1285" t="str">
        <f t="shared" si="131"/>
        <v>();</v>
      </c>
      <c r="S1285" s="1" t="str">
        <f t="shared" si="128"/>
        <v/>
      </c>
    </row>
    <row r="1286" spans="14:19">
      <c r="N1286" t="str">
        <f t="shared" si="129"/>
        <v/>
      </c>
      <c r="O1286" s="4" t="str">
        <f t="shared" si="130"/>
        <v>click</v>
      </c>
      <c r="P1286" t="str">
        <f t="shared" si="131"/>
        <v>();</v>
      </c>
      <c r="S1286" s="1" t="str">
        <f t="shared" si="128"/>
        <v/>
      </c>
    </row>
    <row r="1287" spans="14:19">
      <c r="N1287" t="str">
        <f t="shared" si="129"/>
        <v/>
      </c>
      <c r="O1287" s="4" t="str">
        <f t="shared" si="130"/>
        <v>click</v>
      </c>
      <c r="P1287" t="str">
        <f t="shared" si="131"/>
        <v>();</v>
      </c>
      <c r="S1287" s="1" t="str">
        <f t="shared" si="128"/>
        <v/>
      </c>
    </row>
    <row r="1288" spans="14:19">
      <c r="N1288" t="str">
        <f t="shared" si="129"/>
        <v/>
      </c>
      <c r="O1288" s="4" t="str">
        <f t="shared" si="130"/>
        <v>click</v>
      </c>
      <c r="P1288" t="str">
        <f t="shared" si="131"/>
        <v>();</v>
      </c>
      <c r="S1288" s="1" t="str">
        <f t="shared" si="128"/>
        <v/>
      </c>
    </row>
    <row r="1289" spans="14:19">
      <c r="N1289" t="str">
        <f t="shared" si="129"/>
        <v/>
      </c>
      <c r="O1289" s="4" t="str">
        <f t="shared" si="130"/>
        <v>click</v>
      </c>
      <c r="P1289" t="str">
        <f t="shared" si="131"/>
        <v>();</v>
      </c>
      <c r="S1289" s="1" t="str">
        <f t="shared" si="128"/>
        <v/>
      </c>
    </row>
    <row r="1290" spans="14:19">
      <c r="N1290" t="str">
        <f t="shared" si="129"/>
        <v/>
      </c>
      <c r="O1290" s="4" t="str">
        <f t="shared" si="130"/>
        <v>click</v>
      </c>
      <c r="P1290" t="str">
        <f t="shared" si="131"/>
        <v>();</v>
      </c>
      <c r="S1290" s="1" t="str">
        <f t="shared" si="128"/>
        <v/>
      </c>
    </row>
    <row r="1291" spans="14:19">
      <c r="N1291" t="str">
        <f t="shared" si="129"/>
        <v/>
      </c>
      <c r="O1291" s="4" t="str">
        <f t="shared" si="130"/>
        <v>click</v>
      </c>
      <c r="P1291" t="str">
        <f t="shared" si="131"/>
        <v>();</v>
      </c>
      <c r="S1291" s="1" t="str">
        <f t="shared" ref="S1291:S1354" si="132">IF(C1291="Y",IF(D1291&lt;&gt;"mat-select",IF(D1291="End","",IF(O1291="innerText",I1291&amp;"="&amp;IF(C1291="Y",IF(J1291&lt;&gt;"Y",$S$8&amp;$R$9&amp;"."&amp;E1291&amp;")."&amp;IF(OR(O1291="click",O1291="innerText"),O1291&amp;"();",O1291&amp;"("&amp;$Q$8&amp;"."&amp;E1291&amp;");"),$S$7&amp;$R$9&amp;"."&amp;SUBSTITUTE(E1291," ","")&amp;")."&amp;IF(O1291="click",O1291&amp;"();",O1291&amp;"("&amp;"'"&amp;K1291&amp;"'"&amp;");")),""),IF(C1291="Y",IF(J1291&lt;&gt;"Y",$S$8&amp;$R$9&amp;"."&amp;SUBSTITUTE(E1291," ","")&amp;")."&amp;IF(OR(O1291="click",O1291="innerText"),O1291&amp;"();",O1291&amp;"("&amp;$Q$8&amp;"."&amp;SUBSTITUTE(E1291," ","")&amp;");"),$S$7&amp;$R$9&amp;"."&amp;SUBSTITUTE(E1291," ","")&amp;")."&amp;IF(O1291="click",O1291&amp;"();",O1291&amp;"("&amp;"'"&amp;K1291&amp;"'"&amp;");")),""))),"let form"&amp;Z1291&amp;": String;"&amp;"for (let i = 1; i &lt; 30; i++) {"&amp;$S$8&amp;$R$9&amp;"."&amp;SUBSTITUTE(E1291," ","")&amp;").click();"&amp;$CE$4&amp; "form"&amp;Z1291&amp;"="&amp; $S$8&amp;$R$9&amp;"."&amp;SUBSTITUTE(E1291," ","")&amp;").innerText();" &amp;"if ("&amp;"form"&amp;Z1291&amp;"=="&amp; "Data[index]."&amp;SUBSTITUTE(E1291," ","") &amp;"){"&amp;$CE$7),"")</f>
        <v/>
      </c>
    </row>
    <row r="1292" spans="14:19">
      <c r="N1292" t="str">
        <f t="shared" si="129"/>
        <v/>
      </c>
      <c r="O1292" s="4" t="str">
        <f t="shared" si="130"/>
        <v>click</v>
      </c>
      <c r="P1292" t="str">
        <f t="shared" si="131"/>
        <v>();</v>
      </c>
      <c r="S1292" s="1" t="str">
        <f t="shared" si="132"/>
        <v/>
      </c>
    </row>
    <row r="1293" spans="14:19">
      <c r="N1293" t="str">
        <f t="shared" si="129"/>
        <v/>
      </c>
      <c r="O1293" s="4" t="str">
        <f t="shared" si="130"/>
        <v>click</v>
      </c>
      <c r="P1293" t="str">
        <f t="shared" si="131"/>
        <v>();</v>
      </c>
      <c r="S1293" s="1" t="str">
        <f t="shared" si="132"/>
        <v/>
      </c>
    </row>
    <row r="1294" spans="14:19">
      <c r="N1294" t="str">
        <f t="shared" si="129"/>
        <v/>
      </c>
      <c r="O1294" s="4" t="str">
        <f t="shared" si="130"/>
        <v>click</v>
      </c>
      <c r="P1294" t="str">
        <f t="shared" si="131"/>
        <v>();</v>
      </c>
      <c r="S1294" s="1" t="str">
        <f t="shared" si="132"/>
        <v/>
      </c>
    </row>
    <row r="1295" spans="14:19">
      <c r="N1295" t="str">
        <f t="shared" si="129"/>
        <v/>
      </c>
      <c r="O1295" s="4" t="str">
        <f t="shared" si="130"/>
        <v>click</v>
      </c>
      <c r="P1295" t="str">
        <f t="shared" si="131"/>
        <v>();</v>
      </c>
      <c r="S1295" s="1" t="str">
        <f t="shared" si="132"/>
        <v/>
      </c>
    </row>
    <row r="1296" spans="14:19">
      <c r="N1296" t="str">
        <f t="shared" si="129"/>
        <v/>
      </c>
      <c r="O1296" s="4" t="str">
        <f t="shared" si="130"/>
        <v>click</v>
      </c>
      <c r="P1296" t="str">
        <f t="shared" si="131"/>
        <v>();</v>
      </c>
      <c r="S1296" s="1" t="str">
        <f t="shared" si="132"/>
        <v/>
      </c>
    </row>
    <row r="1297" spans="14:19">
      <c r="N1297" t="str">
        <f t="shared" si="129"/>
        <v/>
      </c>
      <c r="O1297" s="4" t="str">
        <f t="shared" si="130"/>
        <v>click</v>
      </c>
      <c r="P1297" t="str">
        <f t="shared" si="131"/>
        <v>();</v>
      </c>
      <c r="S1297" s="1" t="str">
        <f t="shared" si="132"/>
        <v/>
      </c>
    </row>
    <row r="1298" spans="14:19">
      <c r="N1298" t="str">
        <f t="shared" si="129"/>
        <v/>
      </c>
      <c r="O1298" s="4" t="str">
        <f t="shared" si="130"/>
        <v>click</v>
      </c>
      <c r="P1298" t="str">
        <f t="shared" si="131"/>
        <v>();</v>
      </c>
      <c r="S1298" s="1" t="str">
        <f t="shared" si="132"/>
        <v/>
      </c>
    </row>
    <row r="1299" spans="14:19">
      <c r="N1299" t="str">
        <f t="shared" si="129"/>
        <v/>
      </c>
      <c r="O1299" s="4" t="str">
        <f t="shared" si="130"/>
        <v>click</v>
      </c>
      <c r="P1299" t="str">
        <f t="shared" si="131"/>
        <v>();</v>
      </c>
      <c r="S1299" s="1" t="str">
        <f t="shared" si="132"/>
        <v/>
      </c>
    </row>
    <row r="1300" spans="14:19">
      <c r="N1300" t="str">
        <f t="shared" si="129"/>
        <v/>
      </c>
      <c r="O1300" s="4" t="str">
        <f t="shared" si="130"/>
        <v>click</v>
      </c>
      <c r="P1300" t="str">
        <f t="shared" si="131"/>
        <v>();</v>
      </c>
      <c r="S1300" s="1" t="str">
        <f t="shared" si="132"/>
        <v/>
      </c>
    </row>
    <row r="1301" spans="14:19">
      <c r="N1301" t="str">
        <f t="shared" ref="N1301:N1364" si="133">IF(A1301="Y",""""&amp;C1301&amp;""""&amp;": "&amp;M1301&amp;",","")</f>
        <v/>
      </c>
      <c r="O1301" s="4" t="str">
        <f t="shared" ref="O1301:O1364" si="134">IF(D1301="input","fill",IF(I1301&lt;&gt;"","innerText",IF(J1301="Y",$T$7,"click")))</f>
        <v>click</v>
      </c>
      <c r="P1301" t="str">
        <f t="shared" ref="P1301:P1364" si="135">IF(OR(O1301="Click",O1301="innerText"),"();","("&amp;""""&amp;K1301&amp;""""&amp;");")</f>
        <v>();</v>
      </c>
      <c r="S1301" s="1" t="str">
        <f t="shared" si="132"/>
        <v/>
      </c>
    </row>
    <row r="1302" spans="14:19">
      <c r="N1302" t="str">
        <f t="shared" si="133"/>
        <v/>
      </c>
      <c r="O1302" s="4" t="str">
        <f t="shared" si="134"/>
        <v>click</v>
      </c>
      <c r="P1302" t="str">
        <f t="shared" si="135"/>
        <v>();</v>
      </c>
      <c r="S1302" s="1" t="str">
        <f t="shared" si="132"/>
        <v/>
      </c>
    </row>
    <row r="1303" spans="14:19">
      <c r="N1303" t="str">
        <f t="shared" si="133"/>
        <v/>
      </c>
      <c r="O1303" s="4" t="str">
        <f t="shared" si="134"/>
        <v>click</v>
      </c>
      <c r="P1303" t="str">
        <f t="shared" si="135"/>
        <v>();</v>
      </c>
      <c r="S1303" s="1" t="str">
        <f t="shared" si="132"/>
        <v/>
      </c>
    </row>
    <row r="1304" spans="14:19">
      <c r="N1304" t="str">
        <f t="shared" si="133"/>
        <v/>
      </c>
      <c r="O1304" s="4" t="str">
        <f t="shared" si="134"/>
        <v>click</v>
      </c>
      <c r="P1304" t="str">
        <f t="shared" si="135"/>
        <v>();</v>
      </c>
      <c r="S1304" s="1" t="str">
        <f t="shared" si="132"/>
        <v/>
      </c>
    </row>
    <row r="1305" spans="14:19">
      <c r="N1305" t="str">
        <f t="shared" si="133"/>
        <v/>
      </c>
      <c r="O1305" s="4" t="str">
        <f t="shared" si="134"/>
        <v>click</v>
      </c>
      <c r="P1305" t="str">
        <f t="shared" si="135"/>
        <v>();</v>
      </c>
      <c r="S1305" s="1" t="str">
        <f t="shared" si="132"/>
        <v/>
      </c>
    </row>
    <row r="1306" spans="14:19">
      <c r="N1306" t="str">
        <f t="shared" si="133"/>
        <v/>
      </c>
      <c r="O1306" s="4" t="str">
        <f t="shared" si="134"/>
        <v>click</v>
      </c>
      <c r="P1306" t="str">
        <f t="shared" si="135"/>
        <v>();</v>
      </c>
      <c r="S1306" s="1" t="str">
        <f t="shared" si="132"/>
        <v/>
      </c>
    </row>
    <row r="1307" spans="14:19">
      <c r="N1307" t="str">
        <f t="shared" si="133"/>
        <v/>
      </c>
      <c r="O1307" s="4" t="str">
        <f t="shared" si="134"/>
        <v>click</v>
      </c>
      <c r="P1307" t="str">
        <f t="shared" si="135"/>
        <v>();</v>
      </c>
      <c r="S1307" s="1" t="str">
        <f t="shared" si="132"/>
        <v/>
      </c>
    </row>
    <row r="1308" spans="14:19">
      <c r="N1308" t="str">
        <f t="shared" si="133"/>
        <v/>
      </c>
      <c r="O1308" s="4" t="str">
        <f t="shared" si="134"/>
        <v>click</v>
      </c>
      <c r="P1308" t="str">
        <f t="shared" si="135"/>
        <v>();</v>
      </c>
      <c r="S1308" s="1" t="str">
        <f t="shared" si="132"/>
        <v/>
      </c>
    </row>
    <row r="1309" spans="14:19">
      <c r="N1309" t="str">
        <f t="shared" si="133"/>
        <v/>
      </c>
      <c r="O1309" s="4" t="str">
        <f t="shared" si="134"/>
        <v>click</v>
      </c>
      <c r="P1309" t="str">
        <f t="shared" si="135"/>
        <v>();</v>
      </c>
      <c r="S1309" s="1" t="str">
        <f t="shared" si="132"/>
        <v/>
      </c>
    </row>
    <row r="1310" spans="14:19">
      <c r="N1310" t="str">
        <f t="shared" si="133"/>
        <v/>
      </c>
      <c r="O1310" s="4" t="str">
        <f t="shared" si="134"/>
        <v>click</v>
      </c>
      <c r="P1310" t="str">
        <f t="shared" si="135"/>
        <v>();</v>
      </c>
      <c r="S1310" s="1" t="str">
        <f t="shared" si="132"/>
        <v/>
      </c>
    </row>
    <row r="1311" spans="14:19">
      <c r="N1311" t="str">
        <f t="shared" si="133"/>
        <v/>
      </c>
      <c r="O1311" s="4" t="str">
        <f t="shared" si="134"/>
        <v>click</v>
      </c>
      <c r="P1311" t="str">
        <f t="shared" si="135"/>
        <v>();</v>
      </c>
      <c r="S1311" s="1" t="str">
        <f t="shared" si="132"/>
        <v/>
      </c>
    </row>
    <row r="1312" spans="14:19">
      <c r="N1312" t="str">
        <f t="shared" si="133"/>
        <v/>
      </c>
      <c r="O1312" s="4" t="str">
        <f t="shared" si="134"/>
        <v>click</v>
      </c>
      <c r="P1312" t="str">
        <f t="shared" si="135"/>
        <v>();</v>
      </c>
      <c r="S1312" s="1" t="str">
        <f t="shared" si="132"/>
        <v/>
      </c>
    </row>
    <row r="1313" spans="14:19">
      <c r="N1313" t="str">
        <f t="shared" si="133"/>
        <v/>
      </c>
      <c r="O1313" s="4" t="str">
        <f t="shared" si="134"/>
        <v>click</v>
      </c>
      <c r="P1313" t="str">
        <f t="shared" si="135"/>
        <v>();</v>
      </c>
      <c r="S1313" s="1" t="str">
        <f t="shared" si="132"/>
        <v/>
      </c>
    </row>
    <row r="1314" spans="14:19">
      <c r="N1314" t="str">
        <f t="shared" si="133"/>
        <v/>
      </c>
      <c r="O1314" s="4" t="str">
        <f t="shared" si="134"/>
        <v>click</v>
      </c>
      <c r="P1314" t="str">
        <f t="shared" si="135"/>
        <v>();</v>
      </c>
      <c r="S1314" s="1" t="str">
        <f t="shared" si="132"/>
        <v/>
      </c>
    </row>
    <row r="1315" spans="14:19">
      <c r="N1315" t="str">
        <f t="shared" si="133"/>
        <v/>
      </c>
      <c r="O1315" s="4" t="str">
        <f t="shared" si="134"/>
        <v>click</v>
      </c>
      <c r="P1315" t="str">
        <f t="shared" si="135"/>
        <v>();</v>
      </c>
      <c r="S1315" s="1" t="str">
        <f t="shared" si="132"/>
        <v/>
      </c>
    </row>
    <row r="1316" spans="14:19">
      <c r="N1316" t="str">
        <f t="shared" si="133"/>
        <v/>
      </c>
      <c r="O1316" s="4" t="str">
        <f t="shared" si="134"/>
        <v>click</v>
      </c>
      <c r="P1316" t="str">
        <f t="shared" si="135"/>
        <v>();</v>
      </c>
      <c r="S1316" s="1" t="str">
        <f t="shared" si="132"/>
        <v/>
      </c>
    </row>
    <row r="1317" spans="14:19">
      <c r="N1317" t="str">
        <f t="shared" si="133"/>
        <v/>
      </c>
      <c r="O1317" s="4" t="str">
        <f t="shared" si="134"/>
        <v>click</v>
      </c>
      <c r="P1317" t="str">
        <f t="shared" si="135"/>
        <v>();</v>
      </c>
      <c r="S1317" s="1" t="str">
        <f t="shared" si="132"/>
        <v/>
      </c>
    </row>
    <row r="1318" spans="14:19">
      <c r="N1318" t="str">
        <f t="shared" si="133"/>
        <v/>
      </c>
      <c r="O1318" s="4" t="str">
        <f t="shared" si="134"/>
        <v>click</v>
      </c>
      <c r="P1318" t="str">
        <f t="shared" si="135"/>
        <v>();</v>
      </c>
      <c r="S1318" s="1" t="str">
        <f t="shared" si="132"/>
        <v/>
      </c>
    </row>
    <row r="1319" spans="14:19">
      <c r="N1319" t="str">
        <f t="shared" si="133"/>
        <v/>
      </c>
      <c r="O1319" s="4" t="str">
        <f t="shared" si="134"/>
        <v>click</v>
      </c>
      <c r="P1319" t="str">
        <f t="shared" si="135"/>
        <v>();</v>
      </c>
      <c r="S1319" s="1" t="str">
        <f t="shared" si="132"/>
        <v/>
      </c>
    </row>
    <row r="1320" spans="14:19">
      <c r="N1320" t="str">
        <f t="shared" si="133"/>
        <v/>
      </c>
      <c r="O1320" s="4" t="str">
        <f t="shared" si="134"/>
        <v>click</v>
      </c>
      <c r="P1320" t="str">
        <f t="shared" si="135"/>
        <v>();</v>
      </c>
      <c r="S1320" s="1" t="str">
        <f t="shared" si="132"/>
        <v/>
      </c>
    </row>
    <row r="1321" spans="14:19">
      <c r="N1321" t="str">
        <f t="shared" si="133"/>
        <v/>
      </c>
      <c r="O1321" s="4" t="str">
        <f t="shared" si="134"/>
        <v>click</v>
      </c>
      <c r="P1321" t="str">
        <f t="shared" si="135"/>
        <v>();</v>
      </c>
      <c r="S1321" s="1" t="str">
        <f t="shared" si="132"/>
        <v/>
      </c>
    </row>
    <row r="1322" spans="14:19">
      <c r="N1322" t="str">
        <f t="shared" si="133"/>
        <v/>
      </c>
      <c r="O1322" s="4" t="str">
        <f t="shared" si="134"/>
        <v>click</v>
      </c>
      <c r="P1322" t="str">
        <f t="shared" si="135"/>
        <v>();</v>
      </c>
      <c r="S1322" s="1" t="str">
        <f t="shared" si="132"/>
        <v/>
      </c>
    </row>
    <row r="1323" spans="14:19">
      <c r="N1323" t="str">
        <f t="shared" si="133"/>
        <v/>
      </c>
      <c r="O1323" s="4" t="str">
        <f t="shared" si="134"/>
        <v>click</v>
      </c>
      <c r="P1323" t="str">
        <f t="shared" si="135"/>
        <v>();</v>
      </c>
      <c r="S1323" s="1" t="str">
        <f t="shared" si="132"/>
        <v/>
      </c>
    </row>
    <row r="1324" spans="14:19">
      <c r="N1324" t="str">
        <f t="shared" si="133"/>
        <v/>
      </c>
      <c r="O1324" s="4" t="str">
        <f t="shared" si="134"/>
        <v>click</v>
      </c>
      <c r="P1324" t="str">
        <f t="shared" si="135"/>
        <v>();</v>
      </c>
      <c r="S1324" s="1" t="str">
        <f t="shared" si="132"/>
        <v/>
      </c>
    </row>
    <row r="1325" spans="14:19">
      <c r="N1325" t="str">
        <f t="shared" si="133"/>
        <v/>
      </c>
      <c r="O1325" s="4" t="str">
        <f t="shared" si="134"/>
        <v>click</v>
      </c>
      <c r="P1325" t="str">
        <f t="shared" si="135"/>
        <v>();</v>
      </c>
      <c r="S1325" s="1" t="str">
        <f t="shared" si="132"/>
        <v/>
      </c>
    </row>
    <row r="1326" spans="14:19">
      <c r="N1326" t="str">
        <f t="shared" si="133"/>
        <v/>
      </c>
      <c r="O1326" s="4" t="str">
        <f t="shared" si="134"/>
        <v>click</v>
      </c>
      <c r="P1326" t="str">
        <f t="shared" si="135"/>
        <v>();</v>
      </c>
      <c r="S1326" s="1" t="str">
        <f t="shared" si="132"/>
        <v/>
      </c>
    </row>
    <row r="1327" spans="14:19">
      <c r="N1327" t="str">
        <f t="shared" si="133"/>
        <v/>
      </c>
      <c r="O1327" s="4" t="str">
        <f t="shared" si="134"/>
        <v>click</v>
      </c>
      <c r="P1327" t="str">
        <f t="shared" si="135"/>
        <v>();</v>
      </c>
      <c r="S1327" s="1" t="str">
        <f t="shared" si="132"/>
        <v/>
      </c>
    </row>
    <row r="1328" spans="14:19">
      <c r="N1328" t="str">
        <f t="shared" si="133"/>
        <v/>
      </c>
      <c r="O1328" s="4" t="str">
        <f t="shared" si="134"/>
        <v>click</v>
      </c>
      <c r="P1328" t="str">
        <f t="shared" si="135"/>
        <v>();</v>
      </c>
      <c r="S1328" s="1" t="str">
        <f t="shared" si="132"/>
        <v/>
      </c>
    </row>
    <row r="1329" spans="14:19">
      <c r="N1329" t="str">
        <f t="shared" si="133"/>
        <v/>
      </c>
      <c r="O1329" s="4" t="str">
        <f t="shared" si="134"/>
        <v>click</v>
      </c>
      <c r="P1329" t="str">
        <f t="shared" si="135"/>
        <v>();</v>
      </c>
      <c r="S1329" s="1" t="str">
        <f t="shared" si="132"/>
        <v/>
      </c>
    </row>
    <row r="1330" spans="14:19">
      <c r="N1330" t="str">
        <f t="shared" si="133"/>
        <v/>
      </c>
      <c r="O1330" s="4" t="str">
        <f t="shared" si="134"/>
        <v>click</v>
      </c>
      <c r="P1330" t="str">
        <f t="shared" si="135"/>
        <v>();</v>
      </c>
      <c r="S1330" s="1" t="str">
        <f t="shared" si="132"/>
        <v/>
      </c>
    </row>
    <row r="1331" spans="14:19">
      <c r="N1331" t="str">
        <f t="shared" si="133"/>
        <v/>
      </c>
      <c r="O1331" s="4" t="str">
        <f t="shared" si="134"/>
        <v>click</v>
      </c>
      <c r="P1331" t="str">
        <f t="shared" si="135"/>
        <v>();</v>
      </c>
      <c r="S1331" s="1" t="str">
        <f t="shared" si="132"/>
        <v/>
      </c>
    </row>
    <row r="1332" spans="14:19">
      <c r="N1332" t="str">
        <f t="shared" si="133"/>
        <v/>
      </c>
      <c r="O1332" s="4" t="str">
        <f t="shared" si="134"/>
        <v>click</v>
      </c>
      <c r="P1332" t="str">
        <f t="shared" si="135"/>
        <v>();</v>
      </c>
      <c r="S1332" s="1" t="str">
        <f t="shared" si="132"/>
        <v/>
      </c>
    </row>
    <row r="1333" spans="14:19">
      <c r="N1333" t="str">
        <f t="shared" si="133"/>
        <v/>
      </c>
      <c r="O1333" s="4" t="str">
        <f t="shared" si="134"/>
        <v>click</v>
      </c>
      <c r="P1333" t="str">
        <f t="shared" si="135"/>
        <v>();</v>
      </c>
      <c r="S1333" s="1" t="str">
        <f t="shared" si="132"/>
        <v/>
      </c>
    </row>
    <row r="1334" spans="14:19">
      <c r="N1334" t="str">
        <f t="shared" si="133"/>
        <v/>
      </c>
      <c r="O1334" s="4" t="str">
        <f t="shared" si="134"/>
        <v>click</v>
      </c>
      <c r="P1334" t="str">
        <f t="shared" si="135"/>
        <v>();</v>
      </c>
      <c r="S1334" s="1" t="str">
        <f t="shared" si="132"/>
        <v/>
      </c>
    </row>
    <row r="1335" spans="14:19">
      <c r="N1335" t="str">
        <f t="shared" si="133"/>
        <v/>
      </c>
      <c r="O1335" s="4" t="str">
        <f t="shared" si="134"/>
        <v>click</v>
      </c>
      <c r="P1335" t="str">
        <f t="shared" si="135"/>
        <v>();</v>
      </c>
      <c r="S1335" s="1" t="str">
        <f t="shared" si="132"/>
        <v/>
      </c>
    </row>
    <row r="1336" spans="14:19">
      <c r="N1336" t="str">
        <f t="shared" si="133"/>
        <v/>
      </c>
      <c r="O1336" s="4" t="str">
        <f t="shared" si="134"/>
        <v>click</v>
      </c>
      <c r="P1336" t="str">
        <f t="shared" si="135"/>
        <v>();</v>
      </c>
      <c r="S1336" s="1" t="str">
        <f t="shared" si="132"/>
        <v/>
      </c>
    </row>
    <row r="1337" spans="14:19">
      <c r="N1337" t="str">
        <f t="shared" si="133"/>
        <v/>
      </c>
      <c r="O1337" s="4" t="str">
        <f t="shared" si="134"/>
        <v>click</v>
      </c>
      <c r="P1337" t="str">
        <f t="shared" si="135"/>
        <v>();</v>
      </c>
      <c r="S1337" s="1" t="str">
        <f t="shared" si="132"/>
        <v/>
      </c>
    </row>
    <row r="1338" spans="14:19">
      <c r="N1338" t="str">
        <f t="shared" si="133"/>
        <v/>
      </c>
      <c r="O1338" s="4" t="str">
        <f t="shared" si="134"/>
        <v>click</v>
      </c>
      <c r="P1338" t="str">
        <f t="shared" si="135"/>
        <v>();</v>
      </c>
      <c r="S1338" s="1" t="str">
        <f t="shared" si="132"/>
        <v/>
      </c>
    </row>
    <row r="1339" spans="14:19">
      <c r="N1339" t="str">
        <f t="shared" si="133"/>
        <v/>
      </c>
      <c r="O1339" s="4" t="str">
        <f t="shared" si="134"/>
        <v>click</v>
      </c>
      <c r="P1339" t="str">
        <f t="shared" si="135"/>
        <v>();</v>
      </c>
      <c r="S1339" s="1" t="str">
        <f t="shared" si="132"/>
        <v/>
      </c>
    </row>
    <row r="1340" spans="14:19">
      <c r="N1340" t="str">
        <f t="shared" si="133"/>
        <v/>
      </c>
      <c r="O1340" s="4" t="str">
        <f t="shared" si="134"/>
        <v>click</v>
      </c>
      <c r="P1340" t="str">
        <f t="shared" si="135"/>
        <v>();</v>
      </c>
      <c r="S1340" s="1" t="str">
        <f t="shared" si="132"/>
        <v/>
      </c>
    </row>
    <row r="1341" spans="14:19">
      <c r="N1341" t="str">
        <f t="shared" si="133"/>
        <v/>
      </c>
      <c r="O1341" s="4" t="str">
        <f t="shared" si="134"/>
        <v>click</v>
      </c>
      <c r="P1341" t="str">
        <f t="shared" si="135"/>
        <v>();</v>
      </c>
      <c r="S1341" s="1" t="str">
        <f t="shared" si="132"/>
        <v/>
      </c>
    </row>
    <row r="1342" spans="14:19">
      <c r="N1342" t="str">
        <f t="shared" si="133"/>
        <v/>
      </c>
      <c r="O1342" s="4" t="str">
        <f t="shared" si="134"/>
        <v>click</v>
      </c>
      <c r="P1342" t="str">
        <f t="shared" si="135"/>
        <v>();</v>
      </c>
      <c r="S1342" s="1" t="str">
        <f t="shared" si="132"/>
        <v/>
      </c>
    </row>
    <row r="1343" spans="14:19">
      <c r="N1343" t="str">
        <f t="shared" si="133"/>
        <v/>
      </c>
      <c r="O1343" s="4" t="str">
        <f t="shared" si="134"/>
        <v>click</v>
      </c>
      <c r="P1343" t="str">
        <f t="shared" si="135"/>
        <v>();</v>
      </c>
      <c r="S1343" s="1" t="str">
        <f t="shared" si="132"/>
        <v/>
      </c>
    </row>
    <row r="1344" spans="14:19">
      <c r="N1344" t="str">
        <f t="shared" si="133"/>
        <v/>
      </c>
      <c r="O1344" s="4" t="str">
        <f t="shared" si="134"/>
        <v>click</v>
      </c>
      <c r="P1344" t="str">
        <f t="shared" si="135"/>
        <v>();</v>
      </c>
      <c r="S1344" s="1" t="str">
        <f t="shared" si="132"/>
        <v/>
      </c>
    </row>
    <row r="1345" spans="14:19">
      <c r="N1345" t="str">
        <f t="shared" si="133"/>
        <v/>
      </c>
      <c r="O1345" s="4" t="str">
        <f t="shared" si="134"/>
        <v>click</v>
      </c>
      <c r="P1345" t="str">
        <f t="shared" si="135"/>
        <v>();</v>
      </c>
      <c r="S1345" s="1" t="str">
        <f t="shared" si="132"/>
        <v/>
      </c>
    </row>
    <row r="1346" spans="14:19">
      <c r="N1346" t="str">
        <f t="shared" si="133"/>
        <v/>
      </c>
      <c r="O1346" s="4" t="str">
        <f t="shared" si="134"/>
        <v>click</v>
      </c>
      <c r="P1346" t="str">
        <f t="shared" si="135"/>
        <v>();</v>
      </c>
      <c r="S1346" s="1" t="str">
        <f t="shared" si="132"/>
        <v/>
      </c>
    </row>
    <row r="1347" spans="14:19">
      <c r="N1347" t="str">
        <f t="shared" si="133"/>
        <v/>
      </c>
      <c r="O1347" s="4" t="str">
        <f t="shared" si="134"/>
        <v>click</v>
      </c>
      <c r="P1347" t="str">
        <f t="shared" si="135"/>
        <v>();</v>
      </c>
      <c r="S1347" s="1" t="str">
        <f t="shared" si="132"/>
        <v/>
      </c>
    </row>
    <row r="1348" spans="14:19">
      <c r="N1348" t="str">
        <f t="shared" si="133"/>
        <v/>
      </c>
      <c r="O1348" s="4" t="str">
        <f t="shared" si="134"/>
        <v>click</v>
      </c>
      <c r="P1348" t="str">
        <f t="shared" si="135"/>
        <v>();</v>
      </c>
      <c r="S1348" s="1" t="str">
        <f t="shared" si="132"/>
        <v/>
      </c>
    </row>
    <row r="1349" spans="14:19">
      <c r="N1349" t="str">
        <f t="shared" si="133"/>
        <v/>
      </c>
      <c r="O1349" s="4" t="str">
        <f t="shared" si="134"/>
        <v>click</v>
      </c>
      <c r="P1349" t="str">
        <f t="shared" si="135"/>
        <v>();</v>
      </c>
      <c r="S1349" s="1" t="str">
        <f t="shared" si="132"/>
        <v/>
      </c>
    </row>
    <row r="1350" spans="14:19">
      <c r="N1350" t="str">
        <f t="shared" si="133"/>
        <v/>
      </c>
      <c r="O1350" s="4" t="str">
        <f t="shared" si="134"/>
        <v>click</v>
      </c>
      <c r="P1350" t="str">
        <f t="shared" si="135"/>
        <v>();</v>
      </c>
      <c r="S1350" s="1" t="str">
        <f t="shared" si="132"/>
        <v/>
      </c>
    </row>
    <row r="1351" spans="14:19">
      <c r="N1351" t="str">
        <f t="shared" si="133"/>
        <v/>
      </c>
      <c r="O1351" s="4" t="str">
        <f t="shared" si="134"/>
        <v>click</v>
      </c>
      <c r="P1351" t="str">
        <f t="shared" si="135"/>
        <v>();</v>
      </c>
      <c r="S1351" s="1" t="str">
        <f t="shared" si="132"/>
        <v/>
      </c>
    </row>
    <row r="1352" spans="14:19">
      <c r="N1352" t="str">
        <f t="shared" si="133"/>
        <v/>
      </c>
      <c r="O1352" s="4" t="str">
        <f t="shared" si="134"/>
        <v>click</v>
      </c>
      <c r="P1352" t="str">
        <f t="shared" si="135"/>
        <v>();</v>
      </c>
      <c r="S1352" s="1" t="str">
        <f t="shared" si="132"/>
        <v/>
      </c>
    </row>
    <row r="1353" spans="14:19">
      <c r="N1353" t="str">
        <f t="shared" si="133"/>
        <v/>
      </c>
      <c r="O1353" s="4" t="str">
        <f t="shared" si="134"/>
        <v>click</v>
      </c>
      <c r="P1353" t="str">
        <f t="shared" si="135"/>
        <v>();</v>
      </c>
      <c r="S1353" s="1" t="str">
        <f t="shared" si="132"/>
        <v/>
      </c>
    </row>
    <row r="1354" spans="14:19">
      <c r="N1354" t="str">
        <f t="shared" si="133"/>
        <v/>
      </c>
      <c r="O1354" s="4" t="str">
        <f t="shared" si="134"/>
        <v>click</v>
      </c>
      <c r="P1354" t="str">
        <f t="shared" si="135"/>
        <v>();</v>
      </c>
      <c r="S1354" s="1" t="str">
        <f t="shared" si="132"/>
        <v/>
      </c>
    </row>
    <row r="1355" spans="14:19">
      <c r="N1355" t="str">
        <f t="shared" si="133"/>
        <v/>
      </c>
      <c r="O1355" s="4" t="str">
        <f t="shared" si="134"/>
        <v>click</v>
      </c>
      <c r="P1355" t="str">
        <f t="shared" si="135"/>
        <v>();</v>
      </c>
      <c r="S1355" s="1" t="str">
        <f t="shared" ref="S1355:S1418" si="136">IF(C1355="Y",IF(D1355&lt;&gt;"mat-select",IF(D1355="End","",IF(O1355="innerText",I1355&amp;"="&amp;IF(C1355="Y",IF(J1355&lt;&gt;"Y",$S$8&amp;$R$9&amp;"."&amp;E1355&amp;")."&amp;IF(OR(O1355="click",O1355="innerText"),O1355&amp;"();",O1355&amp;"("&amp;$Q$8&amp;"."&amp;E1355&amp;");"),$S$7&amp;$R$9&amp;"."&amp;SUBSTITUTE(E1355," ","")&amp;")."&amp;IF(O1355="click",O1355&amp;"();",O1355&amp;"("&amp;"'"&amp;K1355&amp;"'"&amp;");")),""),IF(C1355="Y",IF(J1355&lt;&gt;"Y",$S$8&amp;$R$9&amp;"."&amp;SUBSTITUTE(E1355," ","")&amp;")."&amp;IF(OR(O1355="click",O1355="innerText"),O1355&amp;"();",O1355&amp;"("&amp;$Q$8&amp;"."&amp;SUBSTITUTE(E1355," ","")&amp;");"),$S$7&amp;$R$9&amp;"."&amp;SUBSTITUTE(E1355," ","")&amp;")."&amp;IF(O1355="click",O1355&amp;"();",O1355&amp;"("&amp;"'"&amp;K1355&amp;"'"&amp;");")),""))),"let form"&amp;Z1355&amp;": String;"&amp;"for (let i = 1; i &lt; 30; i++) {"&amp;$S$8&amp;$R$9&amp;"."&amp;SUBSTITUTE(E1355," ","")&amp;").click();"&amp;$CE$4&amp; "form"&amp;Z1355&amp;"="&amp; $S$8&amp;$R$9&amp;"."&amp;SUBSTITUTE(E1355," ","")&amp;").innerText();" &amp;"if ("&amp;"form"&amp;Z1355&amp;"=="&amp; "Data[index]."&amp;SUBSTITUTE(E1355," ","") &amp;"){"&amp;$CE$7),"")</f>
        <v/>
      </c>
    </row>
    <row r="1356" spans="14:19">
      <c r="N1356" t="str">
        <f t="shared" si="133"/>
        <v/>
      </c>
      <c r="O1356" s="4" t="str">
        <f t="shared" si="134"/>
        <v>click</v>
      </c>
      <c r="P1356" t="str">
        <f t="shared" si="135"/>
        <v>();</v>
      </c>
      <c r="S1356" s="1" t="str">
        <f t="shared" si="136"/>
        <v/>
      </c>
    </row>
    <row r="1357" spans="14:19">
      <c r="N1357" t="str">
        <f t="shared" si="133"/>
        <v/>
      </c>
      <c r="O1357" s="4" t="str">
        <f t="shared" si="134"/>
        <v>click</v>
      </c>
      <c r="P1357" t="str">
        <f t="shared" si="135"/>
        <v>();</v>
      </c>
      <c r="S1357" s="1" t="str">
        <f t="shared" si="136"/>
        <v/>
      </c>
    </row>
    <row r="1358" spans="14:19">
      <c r="N1358" t="str">
        <f t="shared" si="133"/>
        <v/>
      </c>
      <c r="O1358" s="4" t="str">
        <f t="shared" si="134"/>
        <v>click</v>
      </c>
      <c r="P1358" t="str">
        <f t="shared" si="135"/>
        <v>();</v>
      </c>
      <c r="S1358" s="1" t="str">
        <f t="shared" si="136"/>
        <v/>
      </c>
    </row>
    <row r="1359" spans="14:19">
      <c r="N1359" t="str">
        <f t="shared" si="133"/>
        <v/>
      </c>
      <c r="O1359" s="4" t="str">
        <f t="shared" si="134"/>
        <v>click</v>
      </c>
      <c r="P1359" t="str">
        <f t="shared" si="135"/>
        <v>();</v>
      </c>
      <c r="S1359" s="1" t="str">
        <f t="shared" si="136"/>
        <v/>
      </c>
    </row>
    <row r="1360" spans="14:19">
      <c r="N1360" t="str">
        <f t="shared" si="133"/>
        <v/>
      </c>
      <c r="O1360" s="4" t="str">
        <f t="shared" si="134"/>
        <v>click</v>
      </c>
      <c r="P1360" t="str">
        <f t="shared" si="135"/>
        <v>();</v>
      </c>
      <c r="S1360" s="1" t="str">
        <f t="shared" si="136"/>
        <v/>
      </c>
    </row>
    <row r="1361" spans="14:19">
      <c r="N1361" t="str">
        <f t="shared" si="133"/>
        <v/>
      </c>
      <c r="O1361" s="4" t="str">
        <f t="shared" si="134"/>
        <v>click</v>
      </c>
      <c r="P1361" t="str">
        <f t="shared" si="135"/>
        <v>();</v>
      </c>
      <c r="S1361" s="1" t="str">
        <f t="shared" si="136"/>
        <v/>
      </c>
    </row>
    <row r="1362" spans="14:19">
      <c r="N1362" t="str">
        <f t="shared" si="133"/>
        <v/>
      </c>
      <c r="O1362" s="4" t="str">
        <f t="shared" si="134"/>
        <v>click</v>
      </c>
      <c r="P1362" t="str">
        <f t="shared" si="135"/>
        <v>();</v>
      </c>
      <c r="S1362" s="1" t="str">
        <f t="shared" si="136"/>
        <v/>
      </c>
    </row>
    <row r="1363" spans="14:19">
      <c r="N1363" t="str">
        <f t="shared" si="133"/>
        <v/>
      </c>
      <c r="O1363" s="4" t="str">
        <f t="shared" si="134"/>
        <v>click</v>
      </c>
      <c r="P1363" t="str">
        <f t="shared" si="135"/>
        <v>();</v>
      </c>
      <c r="S1363" s="1" t="str">
        <f t="shared" si="136"/>
        <v/>
      </c>
    </row>
    <row r="1364" spans="14:19">
      <c r="N1364" t="str">
        <f t="shared" si="133"/>
        <v/>
      </c>
      <c r="O1364" s="4" t="str">
        <f t="shared" si="134"/>
        <v>click</v>
      </c>
      <c r="P1364" t="str">
        <f t="shared" si="135"/>
        <v>();</v>
      </c>
      <c r="S1364" s="1" t="str">
        <f t="shared" si="136"/>
        <v/>
      </c>
    </row>
    <row r="1365" spans="14:19">
      <c r="N1365" t="str">
        <f t="shared" ref="N1365:N1428" si="137">IF(A1365="Y",""""&amp;C1365&amp;""""&amp;": "&amp;M1365&amp;",","")</f>
        <v/>
      </c>
      <c r="O1365" s="4" t="str">
        <f t="shared" ref="O1365:O1428" si="138">IF(D1365="input","fill",IF(I1365&lt;&gt;"","innerText",IF(J1365="Y",$T$7,"click")))</f>
        <v>click</v>
      </c>
      <c r="P1365" t="str">
        <f t="shared" ref="P1365:P1428" si="139">IF(OR(O1365="Click",O1365="innerText"),"();","("&amp;""""&amp;K1365&amp;""""&amp;");")</f>
        <v>();</v>
      </c>
      <c r="S1365" s="1" t="str">
        <f t="shared" si="136"/>
        <v/>
      </c>
    </row>
    <row r="1366" spans="14:19">
      <c r="N1366" t="str">
        <f t="shared" si="137"/>
        <v/>
      </c>
      <c r="O1366" s="4" t="str">
        <f t="shared" si="138"/>
        <v>click</v>
      </c>
      <c r="P1366" t="str">
        <f t="shared" si="139"/>
        <v>();</v>
      </c>
      <c r="S1366" s="1" t="str">
        <f t="shared" si="136"/>
        <v/>
      </c>
    </row>
    <row r="1367" spans="14:19">
      <c r="N1367" t="str">
        <f t="shared" si="137"/>
        <v/>
      </c>
      <c r="O1367" s="4" t="str">
        <f t="shared" si="138"/>
        <v>click</v>
      </c>
      <c r="P1367" t="str">
        <f t="shared" si="139"/>
        <v>();</v>
      </c>
      <c r="S1367" s="1" t="str">
        <f t="shared" si="136"/>
        <v/>
      </c>
    </row>
    <row r="1368" spans="14:19">
      <c r="N1368" t="str">
        <f t="shared" si="137"/>
        <v/>
      </c>
      <c r="O1368" s="4" t="str">
        <f t="shared" si="138"/>
        <v>click</v>
      </c>
      <c r="P1368" t="str">
        <f t="shared" si="139"/>
        <v>();</v>
      </c>
      <c r="S1368" s="1" t="str">
        <f t="shared" si="136"/>
        <v/>
      </c>
    </row>
    <row r="1369" spans="14:19">
      <c r="N1369" t="str">
        <f t="shared" si="137"/>
        <v/>
      </c>
      <c r="O1369" s="4" t="str">
        <f t="shared" si="138"/>
        <v>click</v>
      </c>
      <c r="P1369" t="str">
        <f t="shared" si="139"/>
        <v>();</v>
      </c>
      <c r="S1369" s="1" t="str">
        <f t="shared" si="136"/>
        <v/>
      </c>
    </row>
    <row r="1370" spans="14:19">
      <c r="N1370" t="str">
        <f t="shared" si="137"/>
        <v/>
      </c>
      <c r="O1370" s="4" t="str">
        <f t="shared" si="138"/>
        <v>click</v>
      </c>
      <c r="P1370" t="str">
        <f t="shared" si="139"/>
        <v>();</v>
      </c>
      <c r="S1370" s="1" t="str">
        <f t="shared" si="136"/>
        <v/>
      </c>
    </row>
    <row r="1371" spans="14:19">
      <c r="S1371" s="1" t="str">
        <f t="shared" si="136"/>
        <v/>
      </c>
    </row>
    <row r="1372" spans="14:19">
      <c r="S1372" s="1" t="str">
        <f t="shared" si="136"/>
        <v/>
      </c>
    </row>
    <row r="1373" spans="14:19">
      <c r="S1373" s="1" t="str">
        <f t="shared" si="136"/>
        <v/>
      </c>
    </row>
    <row r="1374" spans="14:19">
      <c r="S1374" s="1" t="str">
        <f t="shared" si="136"/>
        <v/>
      </c>
    </row>
    <row r="1375" spans="14:19">
      <c r="S1375" s="1" t="str">
        <f t="shared" si="136"/>
        <v/>
      </c>
    </row>
    <row r="1376" spans="14:19">
      <c r="S1376" s="1" t="str">
        <f t="shared" si="136"/>
        <v/>
      </c>
    </row>
    <row r="1377" spans="14:19">
      <c r="S1377" s="1" t="str">
        <f t="shared" si="136"/>
        <v/>
      </c>
    </row>
    <row r="1378" spans="14:19">
      <c r="S1378" s="1" t="str">
        <f t="shared" si="136"/>
        <v/>
      </c>
    </row>
    <row r="1379" spans="14:19">
      <c r="S1379" s="1" t="str">
        <f t="shared" si="136"/>
        <v/>
      </c>
    </row>
    <row r="1380" spans="14:19">
      <c r="N1380" t="str">
        <f t="shared" si="137"/>
        <v/>
      </c>
      <c r="O1380" s="4" t="str">
        <f t="shared" si="138"/>
        <v>click</v>
      </c>
      <c r="P1380" t="str">
        <f t="shared" si="139"/>
        <v>();</v>
      </c>
      <c r="S1380" s="1" t="str">
        <f t="shared" si="136"/>
        <v/>
      </c>
    </row>
    <row r="1381" spans="14:19">
      <c r="N1381" t="str">
        <f t="shared" si="137"/>
        <v/>
      </c>
      <c r="O1381" s="4" t="str">
        <f t="shared" si="138"/>
        <v>click</v>
      </c>
      <c r="P1381" t="str">
        <f t="shared" si="139"/>
        <v>();</v>
      </c>
      <c r="S1381" s="1" t="str">
        <f t="shared" si="136"/>
        <v/>
      </c>
    </row>
    <row r="1382" spans="14:19">
      <c r="N1382" t="str">
        <f t="shared" si="137"/>
        <v/>
      </c>
      <c r="O1382" s="4" t="str">
        <f t="shared" si="138"/>
        <v>click</v>
      </c>
      <c r="P1382" t="str">
        <f t="shared" si="139"/>
        <v>();</v>
      </c>
      <c r="S1382" s="1" t="str">
        <f t="shared" si="136"/>
        <v/>
      </c>
    </row>
    <row r="1383" spans="14:19">
      <c r="N1383" t="str">
        <f t="shared" si="137"/>
        <v/>
      </c>
      <c r="O1383" s="4" t="str">
        <f t="shared" si="138"/>
        <v>click</v>
      </c>
      <c r="P1383" t="str">
        <f t="shared" si="139"/>
        <v>();</v>
      </c>
      <c r="S1383" s="1" t="str">
        <f t="shared" si="136"/>
        <v/>
      </c>
    </row>
    <row r="1384" spans="14:19">
      <c r="N1384" t="str">
        <f t="shared" si="137"/>
        <v/>
      </c>
      <c r="O1384" s="4" t="str">
        <f t="shared" si="138"/>
        <v>click</v>
      </c>
      <c r="P1384" t="str">
        <f t="shared" si="139"/>
        <v>();</v>
      </c>
      <c r="S1384" s="1" t="str">
        <f t="shared" si="136"/>
        <v/>
      </c>
    </row>
    <row r="1385" spans="14:19">
      <c r="N1385" t="str">
        <f t="shared" si="137"/>
        <v/>
      </c>
      <c r="O1385" s="4" t="str">
        <f t="shared" si="138"/>
        <v>click</v>
      </c>
      <c r="P1385" t="str">
        <f t="shared" si="139"/>
        <v>();</v>
      </c>
      <c r="S1385" s="1" t="str">
        <f t="shared" si="136"/>
        <v/>
      </c>
    </row>
    <row r="1386" spans="14:19">
      <c r="N1386" t="str">
        <f t="shared" si="137"/>
        <v/>
      </c>
      <c r="O1386" s="4" t="str">
        <f t="shared" si="138"/>
        <v>click</v>
      </c>
      <c r="P1386" t="str">
        <f t="shared" si="139"/>
        <v>();</v>
      </c>
      <c r="S1386" s="1" t="str">
        <f t="shared" si="136"/>
        <v/>
      </c>
    </row>
    <row r="1387" spans="14:19">
      <c r="N1387" t="str">
        <f t="shared" si="137"/>
        <v/>
      </c>
      <c r="O1387" s="4" t="str">
        <f t="shared" si="138"/>
        <v>click</v>
      </c>
      <c r="P1387" t="str">
        <f t="shared" si="139"/>
        <v>();</v>
      </c>
      <c r="S1387" s="1" t="str">
        <f t="shared" si="136"/>
        <v/>
      </c>
    </row>
    <row r="1388" spans="14:19">
      <c r="N1388" t="str">
        <f t="shared" si="137"/>
        <v/>
      </c>
      <c r="O1388" s="4" t="str">
        <f t="shared" si="138"/>
        <v>click</v>
      </c>
      <c r="P1388" t="str">
        <f t="shared" si="139"/>
        <v>();</v>
      </c>
      <c r="S1388" s="1" t="str">
        <f t="shared" si="136"/>
        <v/>
      </c>
    </row>
    <row r="1389" spans="14:19">
      <c r="N1389" t="str">
        <f t="shared" si="137"/>
        <v/>
      </c>
      <c r="O1389" s="4" t="str">
        <f t="shared" si="138"/>
        <v>click</v>
      </c>
      <c r="P1389" t="str">
        <f t="shared" si="139"/>
        <v>();</v>
      </c>
      <c r="S1389" s="1" t="str">
        <f t="shared" si="136"/>
        <v/>
      </c>
    </row>
    <row r="1390" spans="14:19">
      <c r="N1390" t="str">
        <f t="shared" si="137"/>
        <v/>
      </c>
      <c r="O1390" s="4" t="str">
        <f t="shared" si="138"/>
        <v>click</v>
      </c>
      <c r="P1390" t="str">
        <f t="shared" si="139"/>
        <v>();</v>
      </c>
      <c r="S1390" s="1" t="str">
        <f t="shared" si="136"/>
        <v/>
      </c>
    </row>
    <row r="1391" spans="14:19">
      <c r="N1391" t="str">
        <f t="shared" si="137"/>
        <v/>
      </c>
      <c r="O1391" s="4" t="str">
        <f t="shared" si="138"/>
        <v>click</v>
      </c>
      <c r="P1391" t="str">
        <f t="shared" si="139"/>
        <v>();</v>
      </c>
      <c r="S1391" s="1" t="str">
        <f t="shared" si="136"/>
        <v/>
      </c>
    </row>
    <row r="1392" spans="14:19">
      <c r="N1392" t="str">
        <f t="shared" si="137"/>
        <v/>
      </c>
      <c r="O1392" s="4" t="str">
        <f t="shared" si="138"/>
        <v>click</v>
      </c>
      <c r="P1392" t="str">
        <f t="shared" si="139"/>
        <v>();</v>
      </c>
      <c r="S1392" s="1" t="str">
        <f t="shared" si="136"/>
        <v/>
      </c>
    </row>
    <row r="1393" spans="14:19">
      <c r="N1393" t="str">
        <f t="shared" si="137"/>
        <v/>
      </c>
      <c r="O1393" s="4" t="str">
        <f t="shared" si="138"/>
        <v>click</v>
      </c>
      <c r="P1393" t="str">
        <f t="shared" si="139"/>
        <v>();</v>
      </c>
      <c r="S1393" s="1" t="str">
        <f t="shared" si="136"/>
        <v/>
      </c>
    </row>
    <row r="1394" spans="14:19">
      <c r="N1394" t="str">
        <f t="shared" si="137"/>
        <v/>
      </c>
      <c r="O1394" s="4" t="str">
        <f t="shared" si="138"/>
        <v>click</v>
      </c>
      <c r="P1394" t="str">
        <f t="shared" si="139"/>
        <v>();</v>
      </c>
      <c r="S1394" s="1" t="str">
        <f t="shared" si="136"/>
        <v/>
      </c>
    </row>
    <row r="1395" spans="14:19">
      <c r="N1395" t="str">
        <f t="shared" si="137"/>
        <v/>
      </c>
      <c r="O1395" s="4" t="str">
        <f t="shared" si="138"/>
        <v>click</v>
      </c>
      <c r="P1395" t="str">
        <f t="shared" si="139"/>
        <v>();</v>
      </c>
      <c r="S1395" s="1" t="str">
        <f t="shared" si="136"/>
        <v/>
      </c>
    </row>
    <row r="1396" spans="14:19">
      <c r="N1396" t="str">
        <f t="shared" si="137"/>
        <v/>
      </c>
      <c r="O1396" s="4" t="str">
        <f t="shared" si="138"/>
        <v>click</v>
      </c>
      <c r="P1396" t="str">
        <f t="shared" si="139"/>
        <v>();</v>
      </c>
      <c r="S1396" s="1" t="str">
        <f t="shared" si="136"/>
        <v/>
      </c>
    </row>
    <row r="1397" spans="14:19">
      <c r="N1397" t="str">
        <f t="shared" si="137"/>
        <v/>
      </c>
      <c r="O1397" s="4" t="str">
        <f t="shared" si="138"/>
        <v>click</v>
      </c>
      <c r="P1397" t="str">
        <f t="shared" si="139"/>
        <v>();</v>
      </c>
      <c r="S1397" s="1" t="str">
        <f t="shared" si="136"/>
        <v/>
      </c>
    </row>
    <row r="1398" spans="14:19">
      <c r="N1398" t="str">
        <f t="shared" si="137"/>
        <v/>
      </c>
      <c r="O1398" s="4" t="str">
        <f t="shared" si="138"/>
        <v>click</v>
      </c>
      <c r="P1398" t="str">
        <f t="shared" si="139"/>
        <v>();</v>
      </c>
      <c r="S1398" s="1" t="str">
        <f t="shared" si="136"/>
        <v/>
      </c>
    </row>
    <row r="1399" spans="14:19">
      <c r="N1399" t="str">
        <f t="shared" si="137"/>
        <v/>
      </c>
      <c r="O1399" s="4" t="str">
        <f t="shared" si="138"/>
        <v>click</v>
      </c>
      <c r="P1399" t="str">
        <f t="shared" si="139"/>
        <v>();</v>
      </c>
      <c r="S1399" s="1" t="str">
        <f t="shared" si="136"/>
        <v/>
      </c>
    </row>
    <row r="1400" spans="14:19">
      <c r="N1400" t="str">
        <f t="shared" si="137"/>
        <v/>
      </c>
      <c r="O1400" s="4" t="str">
        <f t="shared" si="138"/>
        <v>click</v>
      </c>
      <c r="P1400" t="str">
        <f t="shared" si="139"/>
        <v>();</v>
      </c>
      <c r="S1400" s="1" t="str">
        <f t="shared" si="136"/>
        <v/>
      </c>
    </row>
    <row r="1401" spans="14:19">
      <c r="N1401" t="str">
        <f t="shared" si="137"/>
        <v/>
      </c>
      <c r="O1401" s="4" t="str">
        <f t="shared" si="138"/>
        <v>click</v>
      </c>
      <c r="P1401" t="str">
        <f t="shared" si="139"/>
        <v>();</v>
      </c>
      <c r="S1401" s="1" t="str">
        <f t="shared" si="136"/>
        <v/>
      </c>
    </row>
    <row r="1402" spans="14:19">
      <c r="N1402" t="str">
        <f t="shared" si="137"/>
        <v/>
      </c>
      <c r="O1402" s="4" t="str">
        <f t="shared" si="138"/>
        <v>click</v>
      </c>
      <c r="P1402" t="str">
        <f t="shared" si="139"/>
        <v>();</v>
      </c>
      <c r="S1402" s="1" t="str">
        <f t="shared" si="136"/>
        <v/>
      </c>
    </row>
    <row r="1403" spans="14:19">
      <c r="N1403" t="str">
        <f t="shared" si="137"/>
        <v/>
      </c>
      <c r="O1403" s="4" t="str">
        <f t="shared" si="138"/>
        <v>click</v>
      </c>
      <c r="P1403" t="str">
        <f t="shared" si="139"/>
        <v>();</v>
      </c>
      <c r="S1403" s="1" t="str">
        <f t="shared" si="136"/>
        <v/>
      </c>
    </row>
    <row r="1404" spans="14:19">
      <c r="N1404" t="str">
        <f t="shared" si="137"/>
        <v/>
      </c>
      <c r="O1404" s="4" t="str">
        <f t="shared" si="138"/>
        <v>click</v>
      </c>
      <c r="P1404" t="str">
        <f t="shared" si="139"/>
        <v>();</v>
      </c>
      <c r="S1404" s="1" t="str">
        <f t="shared" si="136"/>
        <v/>
      </c>
    </row>
    <row r="1405" spans="14:19">
      <c r="N1405" t="str">
        <f t="shared" si="137"/>
        <v/>
      </c>
      <c r="O1405" s="4" t="str">
        <f t="shared" si="138"/>
        <v>click</v>
      </c>
      <c r="P1405" t="str">
        <f t="shared" si="139"/>
        <v>();</v>
      </c>
      <c r="S1405" s="1" t="str">
        <f t="shared" si="136"/>
        <v/>
      </c>
    </row>
    <row r="1406" spans="14:19">
      <c r="N1406" t="str">
        <f t="shared" si="137"/>
        <v/>
      </c>
      <c r="O1406" s="4" t="str">
        <f t="shared" si="138"/>
        <v>click</v>
      </c>
      <c r="P1406" t="str">
        <f t="shared" si="139"/>
        <v>();</v>
      </c>
      <c r="S1406" s="1" t="str">
        <f t="shared" si="136"/>
        <v/>
      </c>
    </row>
    <row r="1407" spans="14:19">
      <c r="N1407" t="str">
        <f t="shared" si="137"/>
        <v/>
      </c>
      <c r="O1407" s="4" t="str">
        <f t="shared" si="138"/>
        <v>click</v>
      </c>
      <c r="P1407" t="str">
        <f t="shared" si="139"/>
        <v>();</v>
      </c>
      <c r="S1407" s="1" t="str">
        <f t="shared" si="136"/>
        <v/>
      </c>
    </row>
    <row r="1408" spans="14:19">
      <c r="N1408" t="str">
        <f t="shared" si="137"/>
        <v/>
      </c>
      <c r="O1408" s="4" t="str">
        <f t="shared" si="138"/>
        <v>click</v>
      </c>
      <c r="P1408" t="str">
        <f t="shared" si="139"/>
        <v>();</v>
      </c>
      <c r="S1408" s="1" t="str">
        <f t="shared" si="136"/>
        <v/>
      </c>
    </row>
    <row r="1409" spans="14:19">
      <c r="N1409" t="str">
        <f t="shared" si="137"/>
        <v/>
      </c>
      <c r="O1409" s="4" t="str">
        <f t="shared" si="138"/>
        <v>click</v>
      </c>
      <c r="P1409" t="str">
        <f t="shared" si="139"/>
        <v>();</v>
      </c>
      <c r="S1409" s="1" t="str">
        <f t="shared" si="136"/>
        <v/>
      </c>
    </row>
    <row r="1410" spans="14:19">
      <c r="N1410" t="str">
        <f t="shared" si="137"/>
        <v/>
      </c>
      <c r="O1410" s="4" t="str">
        <f t="shared" si="138"/>
        <v>click</v>
      </c>
      <c r="P1410" t="str">
        <f t="shared" si="139"/>
        <v>();</v>
      </c>
      <c r="S1410" s="1" t="str">
        <f t="shared" si="136"/>
        <v/>
      </c>
    </row>
    <row r="1411" spans="14:19">
      <c r="N1411" t="str">
        <f t="shared" si="137"/>
        <v/>
      </c>
      <c r="O1411" s="4" t="str">
        <f t="shared" si="138"/>
        <v>click</v>
      </c>
      <c r="P1411" t="str">
        <f t="shared" si="139"/>
        <v>();</v>
      </c>
      <c r="S1411" s="1" t="str">
        <f t="shared" si="136"/>
        <v/>
      </c>
    </row>
    <row r="1412" spans="14:19">
      <c r="N1412" t="str">
        <f t="shared" si="137"/>
        <v/>
      </c>
      <c r="O1412" s="4" t="str">
        <f t="shared" si="138"/>
        <v>click</v>
      </c>
      <c r="P1412" t="str">
        <f t="shared" si="139"/>
        <v>();</v>
      </c>
      <c r="S1412" s="1" t="str">
        <f t="shared" si="136"/>
        <v/>
      </c>
    </row>
    <row r="1413" spans="14:19">
      <c r="N1413" t="str">
        <f t="shared" si="137"/>
        <v/>
      </c>
      <c r="O1413" s="4" t="str">
        <f t="shared" si="138"/>
        <v>click</v>
      </c>
      <c r="P1413" t="str">
        <f t="shared" si="139"/>
        <v>();</v>
      </c>
      <c r="S1413" s="1" t="str">
        <f t="shared" si="136"/>
        <v/>
      </c>
    </row>
    <row r="1414" spans="14:19">
      <c r="N1414" t="str">
        <f t="shared" si="137"/>
        <v/>
      </c>
      <c r="O1414" s="4" t="str">
        <f t="shared" si="138"/>
        <v>click</v>
      </c>
      <c r="P1414" t="str">
        <f t="shared" si="139"/>
        <v>();</v>
      </c>
      <c r="S1414" s="1" t="str">
        <f t="shared" si="136"/>
        <v/>
      </c>
    </row>
    <row r="1415" spans="14:19">
      <c r="N1415" t="str">
        <f t="shared" si="137"/>
        <v/>
      </c>
      <c r="O1415" s="4" t="str">
        <f t="shared" si="138"/>
        <v>click</v>
      </c>
      <c r="P1415" t="str">
        <f t="shared" si="139"/>
        <v>();</v>
      </c>
      <c r="S1415" s="1" t="str">
        <f t="shared" si="136"/>
        <v/>
      </c>
    </row>
    <row r="1416" spans="14:19">
      <c r="N1416" t="str">
        <f t="shared" si="137"/>
        <v/>
      </c>
      <c r="O1416" s="4" t="str">
        <f t="shared" si="138"/>
        <v>click</v>
      </c>
      <c r="P1416" t="str">
        <f t="shared" si="139"/>
        <v>();</v>
      </c>
      <c r="S1416" s="1" t="str">
        <f t="shared" si="136"/>
        <v/>
      </c>
    </row>
    <row r="1417" spans="14:19">
      <c r="N1417" t="str">
        <f t="shared" si="137"/>
        <v/>
      </c>
      <c r="O1417" s="4" t="str">
        <f t="shared" si="138"/>
        <v>click</v>
      </c>
      <c r="P1417" t="str">
        <f t="shared" si="139"/>
        <v>();</v>
      </c>
      <c r="S1417" s="1" t="str">
        <f t="shared" si="136"/>
        <v/>
      </c>
    </row>
    <row r="1418" spans="14:19">
      <c r="N1418" t="str">
        <f t="shared" si="137"/>
        <v/>
      </c>
      <c r="O1418" s="4" t="str">
        <f t="shared" si="138"/>
        <v>click</v>
      </c>
      <c r="P1418" t="str">
        <f t="shared" si="139"/>
        <v>();</v>
      </c>
      <c r="S1418" s="1" t="str">
        <f t="shared" si="136"/>
        <v/>
      </c>
    </row>
    <row r="1419" spans="14:19">
      <c r="N1419" t="str">
        <f t="shared" si="137"/>
        <v/>
      </c>
      <c r="O1419" s="4" t="str">
        <f t="shared" si="138"/>
        <v>click</v>
      </c>
      <c r="P1419" t="str">
        <f t="shared" si="139"/>
        <v>();</v>
      </c>
      <c r="S1419" s="1" t="str">
        <f t="shared" ref="S1419:S1482" si="140">IF(C1419="Y",IF(D1419&lt;&gt;"mat-select",IF(D1419="End","",IF(O1419="innerText",I1419&amp;"="&amp;IF(C1419="Y",IF(J1419&lt;&gt;"Y",$S$8&amp;$R$9&amp;"."&amp;E1419&amp;")."&amp;IF(OR(O1419="click",O1419="innerText"),O1419&amp;"();",O1419&amp;"("&amp;$Q$8&amp;"."&amp;E1419&amp;");"),$S$7&amp;$R$9&amp;"."&amp;SUBSTITUTE(E1419," ","")&amp;")."&amp;IF(O1419="click",O1419&amp;"();",O1419&amp;"("&amp;"'"&amp;K1419&amp;"'"&amp;");")),""),IF(C1419="Y",IF(J1419&lt;&gt;"Y",$S$8&amp;$R$9&amp;"."&amp;SUBSTITUTE(E1419," ","")&amp;")."&amp;IF(OR(O1419="click",O1419="innerText"),O1419&amp;"();",O1419&amp;"("&amp;$Q$8&amp;"."&amp;SUBSTITUTE(E1419," ","")&amp;");"),$S$7&amp;$R$9&amp;"."&amp;SUBSTITUTE(E1419," ","")&amp;")."&amp;IF(O1419="click",O1419&amp;"();",O1419&amp;"("&amp;"'"&amp;K1419&amp;"'"&amp;");")),""))),"let form"&amp;Z1419&amp;": String;"&amp;"for (let i = 1; i &lt; 30; i++) {"&amp;$S$8&amp;$R$9&amp;"."&amp;SUBSTITUTE(E1419," ","")&amp;").click();"&amp;$CE$4&amp; "form"&amp;Z1419&amp;"="&amp; $S$8&amp;$R$9&amp;"."&amp;SUBSTITUTE(E1419," ","")&amp;").innerText();" &amp;"if ("&amp;"form"&amp;Z1419&amp;"=="&amp; "Data[index]."&amp;SUBSTITUTE(E1419," ","") &amp;"){"&amp;$CE$7),"")</f>
        <v/>
      </c>
    </row>
    <row r="1420" spans="14:19">
      <c r="N1420" t="str">
        <f t="shared" si="137"/>
        <v/>
      </c>
      <c r="O1420" s="4" t="str">
        <f t="shared" si="138"/>
        <v>click</v>
      </c>
      <c r="P1420" t="str">
        <f t="shared" si="139"/>
        <v>();</v>
      </c>
      <c r="S1420" s="1" t="str">
        <f t="shared" si="140"/>
        <v/>
      </c>
    </row>
    <row r="1421" spans="14:19">
      <c r="N1421" t="str">
        <f t="shared" si="137"/>
        <v/>
      </c>
      <c r="O1421" s="4" t="str">
        <f t="shared" si="138"/>
        <v>click</v>
      </c>
      <c r="P1421" t="str">
        <f t="shared" si="139"/>
        <v>();</v>
      </c>
      <c r="S1421" s="1" t="str">
        <f t="shared" si="140"/>
        <v/>
      </c>
    </row>
    <row r="1422" spans="14:19">
      <c r="N1422" t="str">
        <f t="shared" si="137"/>
        <v/>
      </c>
      <c r="O1422" s="4" t="str">
        <f t="shared" si="138"/>
        <v>click</v>
      </c>
      <c r="P1422" t="str">
        <f t="shared" si="139"/>
        <v>();</v>
      </c>
      <c r="S1422" s="1" t="str">
        <f t="shared" si="140"/>
        <v/>
      </c>
    </row>
    <row r="1423" spans="14:19">
      <c r="N1423" t="str">
        <f t="shared" si="137"/>
        <v/>
      </c>
      <c r="O1423" s="4" t="str">
        <f t="shared" si="138"/>
        <v>click</v>
      </c>
      <c r="P1423" t="str">
        <f t="shared" si="139"/>
        <v>();</v>
      </c>
      <c r="S1423" s="1" t="str">
        <f t="shared" si="140"/>
        <v/>
      </c>
    </row>
    <row r="1424" spans="14:19">
      <c r="N1424" t="str">
        <f t="shared" si="137"/>
        <v/>
      </c>
      <c r="O1424" s="4" t="str">
        <f t="shared" si="138"/>
        <v>click</v>
      </c>
      <c r="P1424" t="str">
        <f t="shared" si="139"/>
        <v>();</v>
      </c>
      <c r="S1424" s="1" t="str">
        <f t="shared" si="140"/>
        <v/>
      </c>
    </row>
    <row r="1425" spans="14:19">
      <c r="N1425" t="str">
        <f t="shared" si="137"/>
        <v/>
      </c>
      <c r="O1425" s="4" t="str">
        <f t="shared" si="138"/>
        <v>click</v>
      </c>
      <c r="P1425" t="str">
        <f t="shared" si="139"/>
        <v>();</v>
      </c>
      <c r="S1425" s="1" t="str">
        <f t="shared" si="140"/>
        <v/>
      </c>
    </row>
    <row r="1426" spans="14:19">
      <c r="N1426" t="str">
        <f t="shared" si="137"/>
        <v/>
      </c>
      <c r="O1426" s="4" t="str">
        <f t="shared" si="138"/>
        <v>click</v>
      </c>
      <c r="P1426" t="str">
        <f t="shared" si="139"/>
        <v>();</v>
      </c>
      <c r="S1426" s="1" t="str">
        <f t="shared" si="140"/>
        <v/>
      </c>
    </row>
    <row r="1427" spans="14:19">
      <c r="N1427" t="str">
        <f t="shared" si="137"/>
        <v/>
      </c>
      <c r="O1427" s="4" t="str">
        <f t="shared" si="138"/>
        <v>click</v>
      </c>
      <c r="P1427" t="str">
        <f t="shared" si="139"/>
        <v>();</v>
      </c>
      <c r="S1427" s="1" t="str">
        <f t="shared" si="140"/>
        <v/>
      </c>
    </row>
    <row r="1428" spans="14:19">
      <c r="N1428" t="str">
        <f t="shared" si="137"/>
        <v/>
      </c>
      <c r="O1428" s="4" t="str">
        <f t="shared" si="138"/>
        <v>click</v>
      </c>
      <c r="P1428" t="str">
        <f t="shared" si="139"/>
        <v>();</v>
      </c>
      <c r="S1428" s="1" t="str">
        <f t="shared" si="140"/>
        <v/>
      </c>
    </row>
    <row r="1429" spans="14:19">
      <c r="N1429" t="str">
        <f t="shared" ref="N1429:N1492" si="141">IF(A1429="Y",""""&amp;C1429&amp;""""&amp;": "&amp;M1429&amp;",","")</f>
        <v/>
      </c>
      <c r="O1429" s="4" t="str">
        <f t="shared" ref="O1429:O1492" si="142">IF(D1429="input","fill",IF(I1429&lt;&gt;"","innerText",IF(J1429="Y",$T$7,"click")))</f>
        <v>click</v>
      </c>
      <c r="P1429" t="str">
        <f t="shared" ref="P1429:P1492" si="143">IF(OR(O1429="Click",O1429="innerText"),"();","("&amp;""""&amp;K1429&amp;""""&amp;");")</f>
        <v>();</v>
      </c>
      <c r="S1429" s="1" t="str">
        <f t="shared" si="140"/>
        <v/>
      </c>
    </row>
    <row r="1430" spans="14:19">
      <c r="N1430" t="str">
        <f t="shared" si="141"/>
        <v/>
      </c>
      <c r="O1430" s="4" t="str">
        <f t="shared" si="142"/>
        <v>click</v>
      </c>
      <c r="P1430" t="str">
        <f t="shared" si="143"/>
        <v>();</v>
      </c>
      <c r="S1430" s="1" t="str">
        <f t="shared" si="140"/>
        <v/>
      </c>
    </row>
    <row r="1431" spans="14:19">
      <c r="N1431" t="str">
        <f t="shared" si="141"/>
        <v/>
      </c>
      <c r="O1431" s="4" t="str">
        <f t="shared" si="142"/>
        <v>click</v>
      </c>
      <c r="P1431" t="str">
        <f t="shared" si="143"/>
        <v>();</v>
      </c>
      <c r="S1431" s="1" t="str">
        <f t="shared" si="140"/>
        <v/>
      </c>
    </row>
    <row r="1432" spans="14:19">
      <c r="N1432" t="str">
        <f t="shared" si="141"/>
        <v/>
      </c>
      <c r="O1432" s="4" t="str">
        <f t="shared" si="142"/>
        <v>click</v>
      </c>
      <c r="P1432" t="str">
        <f t="shared" si="143"/>
        <v>();</v>
      </c>
      <c r="S1432" s="1" t="str">
        <f t="shared" si="140"/>
        <v/>
      </c>
    </row>
    <row r="1433" spans="14:19">
      <c r="N1433" t="str">
        <f t="shared" si="141"/>
        <v/>
      </c>
      <c r="O1433" s="4" t="str">
        <f t="shared" si="142"/>
        <v>click</v>
      </c>
      <c r="P1433" t="str">
        <f t="shared" si="143"/>
        <v>();</v>
      </c>
      <c r="S1433" s="1" t="str">
        <f t="shared" si="140"/>
        <v/>
      </c>
    </row>
    <row r="1434" spans="14:19">
      <c r="N1434" t="str">
        <f t="shared" si="141"/>
        <v/>
      </c>
      <c r="O1434" s="4" t="str">
        <f t="shared" si="142"/>
        <v>click</v>
      </c>
      <c r="P1434" t="str">
        <f t="shared" si="143"/>
        <v>();</v>
      </c>
      <c r="S1434" s="1" t="str">
        <f t="shared" si="140"/>
        <v/>
      </c>
    </row>
    <row r="1435" spans="14:19">
      <c r="N1435" t="str">
        <f t="shared" si="141"/>
        <v/>
      </c>
      <c r="O1435" s="4" t="str">
        <f t="shared" si="142"/>
        <v>click</v>
      </c>
      <c r="P1435" t="str">
        <f t="shared" si="143"/>
        <v>();</v>
      </c>
      <c r="S1435" s="1" t="str">
        <f t="shared" si="140"/>
        <v/>
      </c>
    </row>
    <row r="1436" spans="14:19">
      <c r="N1436" t="str">
        <f t="shared" si="141"/>
        <v/>
      </c>
      <c r="O1436" s="4" t="str">
        <f t="shared" si="142"/>
        <v>click</v>
      </c>
      <c r="P1436" t="str">
        <f t="shared" si="143"/>
        <v>();</v>
      </c>
      <c r="S1436" s="1" t="str">
        <f t="shared" si="140"/>
        <v/>
      </c>
    </row>
    <row r="1437" spans="14:19">
      <c r="N1437" t="str">
        <f t="shared" si="141"/>
        <v/>
      </c>
      <c r="O1437" s="4" t="str">
        <f t="shared" si="142"/>
        <v>click</v>
      </c>
      <c r="P1437" t="str">
        <f t="shared" si="143"/>
        <v>();</v>
      </c>
      <c r="S1437" s="1" t="str">
        <f t="shared" si="140"/>
        <v/>
      </c>
    </row>
    <row r="1438" spans="14:19">
      <c r="N1438" t="str">
        <f t="shared" si="141"/>
        <v/>
      </c>
      <c r="O1438" s="4" t="str">
        <f t="shared" si="142"/>
        <v>click</v>
      </c>
      <c r="P1438" t="str">
        <f t="shared" si="143"/>
        <v>();</v>
      </c>
      <c r="S1438" s="1" t="str">
        <f t="shared" si="140"/>
        <v/>
      </c>
    </row>
    <row r="1439" spans="14:19">
      <c r="N1439" t="str">
        <f t="shared" si="141"/>
        <v/>
      </c>
      <c r="O1439" s="4" t="str">
        <f t="shared" si="142"/>
        <v>click</v>
      </c>
      <c r="P1439" t="str">
        <f t="shared" si="143"/>
        <v>();</v>
      </c>
      <c r="S1439" s="1" t="str">
        <f t="shared" si="140"/>
        <v/>
      </c>
    </row>
    <row r="1440" spans="14:19">
      <c r="N1440" t="str">
        <f t="shared" si="141"/>
        <v/>
      </c>
      <c r="O1440" s="4" t="str">
        <f t="shared" si="142"/>
        <v>click</v>
      </c>
      <c r="P1440" t="str">
        <f t="shared" si="143"/>
        <v>();</v>
      </c>
      <c r="S1440" s="1" t="str">
        <f t="shared" si="140"/>
        <v/>
      </c>
    </row>
    <row r="1441" spans="14:19">
      <c r="N1441" t="str">
        <f t="shared" si="141"/>
        <v/>
      </c>
      <c r="O1441" s="4" t="str">
        <f t="shared" si="142"/>
        <v>click</v>
      </c>
      <c r="P1441" t="str">
        <f t="shared" si="143"/>
        <v>();</v>
      </c>
      <c r="S1441" s="1" t="str">
        <f t="shared" si="140"/>
        <v/>
      </c>
    </row>
    <row r="1442" spans="14:19">
      <c r="N1442" t="str">
        <f t="shared" si="141"/>
        <v/>
      </c>
      <c r="O1442" s="4" t="str">
        <f t="shared" si="142"/>
        <v>click</v>
      </c>
      <c r="P1442" t="str">
        <f t="shared" si="143"/>
        <v>();</v>
      </c>
      <c r="S1442" s="1" t="str">
        <f t="shared" si="140"/>
        <v/>
      </c>
    </row>
    <row r="1443" spans="14:19">
      <c r="N1443" t="str">
        <f t="shared" si="141"/>
        <v/>
      </c>
      <c r="O1443" s="4" t="str">
        <f t="shared" si="142"/>
        <v>click</v>
      </c>
      <c r="P1443" t="str">
        <f t="shared" si="143"/>
        <v>();</v>
      </c>
      <c r="S1443" s="1" t="str">
        <f t="shared" si="140"/>
        <v/>
      </c>
    </row>
    <row r="1444" spans="14:19">
      <c r="N1444" t="str">
        <f t="shared" si="141"/>
        <v/>
      </c>
      <c r="O1444" s="4" t="str">
        <f t="shared" si="142"/>
        <v>click</v>
      </c>
      <c r="P1444" t="str">
        <f t="shared" si="143"/>
        <v>();</v>
      </c>
      <c r="S1444" s="1" t="str">
        <f t="shared" si="140"/>
        <v/>
      </c>
    </row>
    <row r="1445" spans="14:19">
      <c r="N1445" t="str">
        <f t="shared" si="141"/>
        <v/>
      </c>
      <c r="O1445" s="4" t="str">
        <f t="shared" si="142"/>
        <v>click</v>
      </c>
      <c r="P1445" t="str">
        <f t="shared" si="143"/>
        <v>();</v>
      </c>
      <c r="S1445" s="1" t="str">
        <f t="shared" si="140"/>
        <v/>
      </c>
    </row>
    <row r="1446" spans="14:19">
      <c r="N1446" t="str">
        <f t="shared" si="141"/>
        <v/>
      </c>
      <c r="O1446" s="4" t="str">
        <f t="shared" si="142"/>
        <v>click</v>
      </c>
      <c r="P1446" t="str">
        <f t="shared" si="143"/>
        <v>();</v>
      </c>
      <c r="S1446" s="1" t="str">
        <f t="shared" si="140"/>
        <v/>
      </c>
    </row>
    <row r="1447" spans="14:19">
      <c r="N1447" t="str">
        <f t="shared" si="141"/>
        <v/>
      </c>
      <c r="O1447" s="4" t="str">
        <f t="shared" si="142"/>
        <v>click</v>
      </c>
      <c r="P1447" t="str">
        <f t="shared" si="143"/>
        <v>();</v>
      </c>
      <c r="S1447" s="1" t="str">
        <f t="shared" si="140"/>
        <v/>
      </c>
    </row>
    <row r="1448" spans="14:19">
      <c r="N1448" t="str">
        <f t="shared" si="141"/>
        <v/>
      </c>
      <c r="O1448" s="4" t="str">
        <f t="shared" si="142"/>
        <v>click</v>
      </c>
      <c r="P1448" t="str">
        <f t="shared" si="143"/>
        <v>();</v>
      </c>
      <c r="S1448" s="1" t="str">
        <f t="shared" si="140"/>
        <v/>
      </c>
    </row>
    <row r="1449" spans="14:19">
      <c r="N1449" t="str">
        <f t="shared" si="141"/>
        <v/>
      </c>
      <c r="O1449" s="4" t="str">
        <f t="shared" si="142"/>
        <v>click</v>
      </c>
      <c r="P1449" t="str">
        <f t="shared" si="143"/>
        <v>();</v>
      </c>
      <c r="S1449" s="1" t="str">
        <f t="shared" si="140"/>
        <v/>
      </c>
    </row>
    <row r="1450" spans="14:19">
      <c r="N1450" t="str">
        <f t="shared" si="141"/>
        <v/>
      </c>
      <c r="O1450" s="4" t="str">
        <f t="shared" si="142"/>
        <v>click</v>
      </c>
      <c r="P1450" t="str">
        <f t="shared" si="143"/>
        <v>();</v>
      </c>
      <c r="S1450" s="1" t="str">
        <f t="shared" si="140"/>
        <v/>
      </c>
    </row>
    <row r="1451" spans="14:19">
      <c r="N1451" t="str">
        <f t="shared" si="141"/>
        <v/>
      </c>
      <c r="O1451" s="4" t="str">
        <f t="shared" si="142"/>
        <v>click</v>
      </c>
      <c r="P1451" t="str">
        <f t="shared" si="143"/>
        <v>();</v>
      </c>
      <c r="S1451" s="1" t="str">
        <f t="shared" si="140"/>
        <v/>
      </c>
    </row>
    <row r="1452" spans="14:19">
      <c r="N1452" t="str">
        <f t="shared" si="141"/>
        <v/>
      </c>
      <c r="O1452" s="4" t="str">
        <f t="shared" si="142"/>
        <v>click</v>
      </c>
      <c r="P1452" t="str">
        <f t="shared" si="143"/>
        <v>();</v>
      </c>
      <c r="S1452" s="1" t="str">
        <f t="shared" si="140"/>
        <v/>
      </c>
    </row>
    <row r="1453" spans="14:19">
      <c r="N1453" t="str">
        <f t="shared" si="141"/>
        <v/>
      </c>
      <c r="O1453" s="4" t="str">
        <f t="shared" si="142"/>
        <v>click</v>
      </c>
      <c r="P1453" t="str">
        <f t="shared" si="143"/>
        <v>();</v>
      </c>
      <c r="S1453" s="1" t="str">
        <f t="shared" si="140"/>
        <v/>
      </c>
    </row>
    <row r="1454" spans="14:19">
      <c r="N1454" t="str">
        <f t="shared" si="141"/>
        <v/>
      </c>
      <c r="O1454" s="4" t="str">
        <f t="shared" si="142"/>
        <v>click</v>
      </c>
      <c r="P1454" t="str">
        <f t="shared" si="143"/>
        <v>();</v>
      </c>
      <c r="S1454" s="1" t="str">
        <f t="shared" si="140"/>
        <v/>
      </c>
    </row>
    <row r="1455" spans="14:19">
      <c r="N1455" t="str">
        <f t="shared" si="141"/>
        <v/>
      </c>
      <c r="O1455" s="4" t="str">
        <f t="shared" si="142"/>
        <v>click</v>
      </c>
      <c r="P1455" t="str">
        <f t="shared" si="143"/>
        <v>();</v>
      </c>
      <c r="S1455" s="1" t="str">
        <f t="shared" si="140"/>
        <v/>
      </c>
    </row>
    <row r="1456" spans="14:19">
      <c r="N1456" t="str">
        <f t="shared" si="141"/>
        <v/>
      </c>
      <c r="O1456" s="4" t="str">
        <f t="shared" si="142"/>
        <v>click</v>
      </c>
      <c r="P1456" t="str">
        <f t="shared" si="143"/>
        <v>();</v>
      </c>
      <c r="S1456" s="1" t="str">
        <f t="shared" si="140"/>
        <v/>
      </c>
    </row>
    <row r="1457" spans="14:19">
      <c r="N1457" t="str">
        <f t="shared" si="141"/>
        <v/>
      </c>
      <c r="O1457" s="4" t="str">
        <f t="shared" si="142"/>
        <v>click</v>
      </c>
      <c r="P1457" t="str">
        <f t="shared" si="143"/>
        <v>();</v>
      </c>
      <c r="S1457" s="1" t="str">
        <f t="shared" si="140"/>
        <v/>
      </c>
    </row>
    <row r="1458" spans="14:19">
      <c r="N1458" t="str">
        <f t="shared" si="141"/>
        <v/>
      </c>
      <c r="O1458" s="4" t="str">
        <f t="shared" si="142"/>
        <v>click</v>
      </c>
      <c r="P1458" t="str">
        <f t="shared" si="143"/>
        <v>();</v>
      </c>
      <c r="S1458" s="1" t="str">
        <f t="shared" si="140"/>
        <v/>
      </c>
    </row>
    <row r="1459" spans="14:19">
      <c r="N1459" t="str">
        <f t="shared" si="141"/>
        <v/>
      </c>
      <c r="O1459" s="4" t="str">
        <f t="shared" si="142"/>
        <v>click</v>
      </c>
      <c r="P1459" t="str">
        <f t="shared" si="143"/>
        <v>();</v>
      </c>
      <c r="S1459" s="1" t="str">
        <f t="shared" si="140"/>
        <v/>
      </c>
    </row>
    <row r="1460" spans="14:19">
      <c r="N1460" t="str">
        <f t="shared" si="141"/>
        <v/>
      </c>
      <c r="O1460" s="4" t="str">
        <f t="shared" si="142"/>
        <v>click</v>
      </c>
      <c r="P1460" t="str">
        <f t="shared" si="143"/>
        <v>();</v>
      </c>
      <c r="S1460" s="1" t="str">
        <f t="shared" si="140"/>
        <v/>
      </c>
    </row>
    <row r="1461" spans="14:19">
      <c r="N1461" t="str">
        <f t="shared" si="141"/>
        <v/>
      </c>
      <c r="O1461" s="4" t="str">
        <f t="shared" si="142"/>
        <v>click</v>
      </c>
      <c r="P1461" t="str">
        <f t="shared" si="143"/>
        <v>();</v>
      </c>
      <c r="S1461" s="1" t="str">
        <f t="shared" si="140"/>
        <v/>
      </c>
    </row>
    <row r="1462" spans="14:19">
      <c r="N1462" t="str">
        <f t="shared" si="141"/>
        <v/>
      </c>
      <c r="O1462" s="4" t="str">
        <f t="shared" si="142"/>
        <v>click</v>
      </c>
      <c r="P1462" t="str">
        <f t="shared" si="143"/>
        <v>();</v>
      </c>
      <c r="S1462" s="1" t="str">
        <f t="shared" si="140"/>
        <v/>
      </c>
    </row>
    <row r="1463" spans="14:19">
      <c r="N1463" t="str">
        <f t="shared" si="141"/>
        <v/>
      </c>
      <c r="O1463" s="4" t="str">
        <f t="shared" si="142"/>
        <v>click</v>
      </c>
      <c r="P1463" t="str">
        <f t="shared" si="143"/>
        <v>();</v>
      </c>
      <c r="S1463" s="1" t="str">
        <f t="shared" si="140"/>
        <v/>
      </c>
    </row>
    <row r="1464" spans="14:19">
      <c r="N1464" t="str">
        <f t="shared" si="141"/>
        <v/>
      </c>
      <c r="O1464" s="4" t="str">
        <f t="shared" si="142"/>
        <v>click</v>
      </c>
      <c r="P1464" t="str">
        <f t="shared" si="143"/>
        <v>();</v>
      </c>
      <c r="S1464" s="1" t="str">
        <f t="shared" si="140"/>
        <v/>
      </c>
    </row>
    <row r="1465" spans="14:19">
      <c r="N1465" t="str">
        <f t="shared" si="141"/>
        <v/>
      </c>
      <c r="O1465" s="4" t="str">
        <f t="shared" si="142"/>
        <v>click</v>
      </c>
      <c r="P1465" t="str">
        <f t="shared" si="143"/>
        <v>();</v>
      </c>
      <c r="S1465" s="1" t="str">
        <f t="shared" si="140"/>
        <v/>
      </c>
    </row>
    <row r="1466" spans="14:19">
      <c r="N1466" t="str">
        <f t="shared" si="141"/>
        <v/>
      </c>
      <c r="O1466" s="4" t="str">
        <f t="shared" si="142"/>
        <v>click</v>
      </c>
      <c r="P1466" t="str">
        <f t="shared" si="143"/>
        <v>();</v>
      </c>
      <c r="S1466" s="1" t="str">
        <f t="shared" si="140"/>
        <v/>
      </c>
    </row>
    <row r="1467" spans="14:19">
      <c r="N1467" t="str">
        <f t="shared" si="141"/>
        <v/>
      </c>
      <c r="O1467" s="4" t="str">
        <f t="shared" si="142"/>
        <v>click</v>
      </c>
      <c r="P1467" t="str">
        <f t="shared" si="143"/>
        <v>();</v>
      </c>
      <c r="S1467" s="1" t="str">
        <f t="shared" si="140"/>
        <v/>
      </c>
    </row>
    <row r="1468" spans="14:19">
      <c r="N1468" t="str">
        <f t="shared" si="141"/>
        <v/>
      </c>
      <c r="O1468" s="4" t="str">
        <f t="shared" si="142"/>
        <v>click</v>
      </c>
      <c r="P1468" t="str">
        <f t="shared" si="143"/>
        <v>();</v>
      </c>
      <c r="S1468" s="1" t="str">
        <f t="shared" si="140"/>
        <v/>
      </c>
    </row>
    <row r="1469" spans="14:19">
      <c r="N1469" t="str">
        <f t="shared" si="141"/>
        <v/>
      </c>
      <c r="O1469" s="4" t="str">
        <f t="shared" si="142"/>
        <v>click</v>
      </c>
      <c r="P1469" t="str">
        <f t="shared" si="143"/>
        <v>();</v>
      </c>
      <c r="S1469" s="1" t="str">
        <f t="shared" si="140"/>
        <v/>
      </c>
    </row>
    <row r="1470" spans="14:19">
      <c r="N1470" t="str">
        <f t="shared" si="141"/>
        <v/>
      </c>
      <c r="O1470" s="4" t="str">
        <f t="shared" si="142"/>
        <v>click</v>
      </c>
      <c r="P1470" t="str">
        <f t="shared" si="143"/>
        <v>();</v>
      </c>
      <c r="S1470" s="1" t="str">
        <f t="shared" si="140"/>
        <v/>
      </c>
    </row>
    <row r="1471" spans="14:19">
      <c r="N1471" t="str">
        <f t="shared" si="141"/>
        <v/>
      </c>
      <c r="O1471" s="4" t="str">
        <f t="shared" si="142"/>
        <v>click</v>
      </c>
      <c r="P1471" t="str">
        <f t="shared" si="143"/>
        <v>();</v>
      </c>
      <c r="S1471" s="1" t="str">
        <f t="shared" si="140"/>
        <v/>
      </c>
    </row>
    <row r="1472" spans="14:19">
      <c r="N1472" t="str">
        <f t="shared" si="141"/>
        <v/>
      </c>
      <c r="O1472" s="4" t="str">
        <f t="shared" si="142"/>
        <v>click</v>
      </c>
      <c r="P1472" t="str">
        <f t="shared" si="143"/>
        <v>();</v>
      </c>
      <c r="S1472" s="1" t="str">
        <f t="shared" si="140"/>
        <v/>
      </c>
    </row>
    <row r="1473" spans="14:19">
      <c r="N1473" t="str">
        <f t="shared" si="141"/>
        <v/>
      </c>
      <c r="O1473" s="4" t="str">
        <f t="shared" si="142"/>
        <v>click</v>
      </c>
      <c r="P1473" t="str">
        <f t="shared" si="143"/>
        <v>();</v>
      </c>
      <c r="S1473" s="1" t="str">
        <f t="shared" si="140"/>
        <v/>
      </c>
    </row>
    <row r="1474" spans="14:19">
      <c r="N1474" t="str">
        <f t="shared" si="141"/>
        <v/>
      </c>
      <c r="O1474" s="4" t="str">
        <f t="shared" si="142"/>
        <v>click</v>
      </c>
      <c r="P1474" t="str">
        <f t="shared" si="143"/>
        <v>();</v>
      </c>
      <c r="S1474" s="1" t="str">
        <f t="shared" si="140"/>
        <v/>
      </c>
    </row>
    <row r="1475" spans="14:19">
      <c r="N1475" t="str">
        <f t="shared" si="141"/>
        <v/>
      </c>
      <c r="O1475" s="4" t="str">
        <f t="shared" si="142"/>
        <v>click</v>
      </c>
      <c r="P1475" t="str">
        <f t="shared" si="143"/>
        <v>();</v>
      </c>
      <c r="S1475" s="1" t="str">
        <f t="shared" si="140"/>
        <v/>
      </c>
    </row>
    <row r="1476" spans="14:19">
      <c r="N1476" t="str">
        <f t="shared" si="141"/>
        <v/>
      </c>
      <c r="O1476" s="4" t="str">
        <f t="shared" si="142"/>
        <v>click</v>
      </c>
      <c r="P1476" t="str">
        <f t="shared" si="143"/>
        <v>();</v>
      </c>
      <c r="S1476" s="1" t="str">
        <f t="shared" si="140"/>
        <v/>
      </c>
    </row>
    <row r="1477" spans="14:19">
      <c r="N1477" t="str">
        <f t="shared" si="141"/>
        <v/>
      </c>
      <c r="O1477" s="4" t="str">
        <f t="shared" si="142"/>
        <v>click</v>
      </c>
      <c r="P1477" t="str">
        <f t="shared" si="143"/>
        <v>();</v>
      </c>
      <c r="S1477" s="1" t="str">
        <f t="shared" si="140"/>
        <v/>
      </c>
    </row>
    <row r="1478" spans="14:19">
      <c r="N1478" t="str">
        <f t="shared" si="141"/>
        <v/>
      </c>
      <c r="O1478" s="4" t="str">
        <f t="shared" si="142"/>
        <v>click</v>
      </c>
      <c r="P1478" t="str">
        <f t="shared" si="143"/>
        <v>();</v>
      </c>
      <c r="S1478" s="1" t="str">
        <f t="shared" si="140"/>
        <v/>
      </c>
    </row>
    <row r="1479" spans="14:19">
      <c r="N1479" t="str">
        <f t="shared" si="141"/>
        <v/>
      </c>
      <c r="O1479" s="4" t="str">
        <f t="shared" si="142"/>
        <v>click</v>
      </c>
      <c r="P1479" t="str">
        <f t="shared" si="143"/>
        <v>();</v>
      </c>
      <c r="S1479" s="1" t="str">
        <f t="shared" si="140"/>
        <v/>
      </c>
    </row>
    <row r="1480" spans="14:19">
      <c r="N1480" t="str">
        <f t="shared" si="141"/>
        <v/>
      </c>
      <c r="O1480" s="4" t="str">
        <f t="shared" si="142"/>
        <v>click</v>
      </c>
      <c r="P1480" t="str">
        <f t="shared" si="143"/>
        <v>();</v>
      </c>
      <c r="S1480" s="1" t="str">
        <f t="shared" si="140"/>
        <v/>
      </c>
    </row>
    <row r="1481" spans="14:19">
      <c r="N1481" t="str">
        <f t="shared" si="141"/>
        <v/>
      </c>
      <c r="O1481" s="4" t="str">
        <f t="shared" si="142"/>
        <v>click</v>
      </c>
      <c r="P1481" t="str">
        <f t="shared" si="143"/>
        <v>();</v>
      </c>
      <c r="S1481" s="1" t="str">
        <f t="shared" si="140"/>
        <v/>
      </c>
    </row>
    <row r="1482" spans="14:19">
      <c r="N1482" t="str">
        <f t="shared" si="141"/>
        <v/>
      </c>
      <c r="O1482" s="4" t="str">
        <f t="shared" si="142"/>
        <v>click</v>
      </c>
      <c r="P1482" t="str">
        <f t="shared" si="143"/>
        <v>();</v>
      </c>
      <c r="S1482" s="1" t="str">
        <f t="shared" si="140"/>
        <v/>
      </c>
    </row>
    <row r="1483" spans="14:19">
      <c r="N1483" t="str">
        <f t="shared" si="141"/>
        <v/>
      </c>
      <c r="O1483" s="4" t="str">
        <f t="shared" si="142"/>
        <v>click</v>
      </c>
      <c r="P1483" t="str">
        <f t="shared" si="143"/>
        <v>();</v>
      </c>
      <c r="S1483" s="1" t="str">
        <f t="shared" ref="S1483:S1531" si="144">IF(C1483="Y",IF(D1483&lt;&gt;"mat-select",IF(D1483="End","",IF(O1483="innerText",I1483&amp;"="&amp;IF(C1483="Y",IF(J1483&lt;&gt;"Y",$S$8&amp;$R$9&amp;"."&amp;E1483&amp;")."&amp;IF(OR(O1483="click",O1483="innerText"),O1483&amp;"();",O1483&amp;"("&amp;$Q$8&amp;"."&amp;E1483&amp;");"),$S$7&amp;$R$9&amp;"."&amp;SUBSTITUTE(E1483," ","")&amp;")."&amp;IF(O1483="click",O1483&amp;"();",O1483&amp;"("&amp;"'"&amp;K1483&amp;"'"&amp;");")),""),IF(C1483="Y",IF(J1483&lt;&gt;"Y",$S$8&amp;$R$9&amp;"."&amp;SUBSTITUTE(E1483," ","")&amp;")."&amp;IF(OR(O1483="click",O1483="innerText"),O1483&amp;"();",O1483&amp;"("&amp;$Q$8&amp;"."&amp;SUBSTITUTE(E1483," ","")&amp;");"),$S$7&amp;$R$9&amp;"."&amp;SUBSTITUTE(E1483," ","")&amp;")."&amp;IF(O1483="click",O1483&amp;"();",O1483&amp;"("&amp;"'"&amp;K1483&amp;"'"&amp;");")),""))),"let form"&amp;Z1483&amp;": String;"&amp;"for (let i = 1; i &lt; 30; i++) {"&amp;$S$8&amp;$R$9&amp;"."&amp;SUBSTITUTE(E1483," ","")&amp;").click();"&amp;$CE$4&amp; "form"&amp;Z1483&amp;"="&amp; $S$8&amp;$R$9&amp;"."&amp;SUBSTITUTE(E1483," ","")&amp;").innerText();" &amp;"if ("&amp;"form"&amp;Z1483&amp;"=="&amp; "Data[index]."&amp;SUBSTITUTE(E1483," ","") &amp;"){"&amp;$CE$7),"")</f>
        <v/>
      </c>
    </row>
    <row r="1484" spans="14:19">
      <c r="N1484" t="str">
        <f t="shared" si="141"/>
        <v/>
      </c>
      <c r="O1484" s="4" t="str">
        <f t="shared" si="142"/>
        <v>click</v>
      </c>
      <c r="P1484" t="str">
        <f t="shared" si="143"/>
        <v>();</v>
      </c>
      <c r="S1484" s="1" t="str">
        <f t="shared" si="144"/>
        <v/>
      </c>
    </row>
    <row r="1485" spans="14:19">
      <c r="N1485" t="str">
        <f t="shared" si="141"/>
        <v/>
      </c>
      <c r="O1485" s="4" t="str">
        <f t="shared" si="142"/>
        <v>click</v>
      </c>
      <c r="P1485" t="str">
        <f t="shared" si="143"/>
        <v>();</v>
      </c>
      <c r="S1485" s="1" t="str">
        <f t="shared" si="144"/>
        <v/>
      </c>
    </row>
    <row r="1486" spans="14:19">
      <c r="N1486" t="str">
        <f t="shared" si="141"/>
        <v/>
      </c>
      <c r="O1486" s="4" t="str">
        <f t="shared" si="142"/>
        <v>click</v>
      </c>
      <c r="P1486" t="str">
        <f t="shared" si="143"/>
        <v>();</v>
      </c>
      <c r="S1486" s="1" t="str">
        <f t="shared" si="144"/>
        <v/>
      </c>
    </row>
    <row r="1487" spans="14:19">
      <c r="N1487" t="str">
        <f t="shared" si="141"/>
        <v/>
      </c>
      <c r="O1487" s="4" t="str">
        <f t="shared" si="142"/>
        <v>click</v>
      </c>
      <c r="P1487" t="str">
        <f t="shared" si="143"/>
        <v>();</v>
      </c>
      <c r="S1487" s="1" t="str">
        <f t="shared" si="144"/>
        <v/>
      </c>
    </row>
    <row r="1488" spans="14:19">
      <c r="N1488" t="str">
        <f t="shared" si="141"/>
        <v/>
      </c>
      <c r="O1488" s="4" t="str">
        <f t="shared" si="142"/>
        <v>click</v>
      </c>
      <c r="P1488" t="str">
        <f t="shared" si="143"/>
        <v>();</v>
      </c>
      <c r="S1488" s="1" t="str">
        <f t="shared" si="144"/>
        <v/>
      </c>
    </row>
    <row r="1489" spans="14:19">
      <c r="N1489" t="str">
        <f t="shared" si="141"/>
        <v/>
      </c>
      <c r="O1489" s="4" t="str">
        <f t="shared" si="142"/>
        <v>click</v>
      </c>
      <c r="P1489" t="str">
        <f t="shared" si="143"/>
        <v>();</v>
      </c>
      <c r="S1489" s="1" t="str">
        <f t="shared" si="144"/>
        <v/>
      </c>
    </row>
    <row r="1490" spans="14:19">
      <c r="N1490" t="str">
        <f t="shared" si="141"/>
        <v/>
      </c>
      <c r="O1490" s="4" t="str">
        <f t="shared" si="142"/>
        <v>click</v>
      </c>
      <c r="P1490" t="str">
        <f t="shared" si="143"/>
        <v>();</v>
      </c>
      <c r="S1490" s="1" t="str">
        <f t="shared" si="144"/>
        <v/>
      </c>
    </row>
    <row r="1491" spans="14:19">
      <c r="N1491" t="str">
        <f t="shared" si="141"/>
        <v/>
      </c>
      <c r="O1491" s="4" t="str">
        <f t="shared" si="142"/>
        <v>click</v>
      </c>
      <c r="P1491" t="str">
        <f t="shared" si="143"/>
        <v>();</v>
      </c>
      <c r="S1491" s="1" t="str">
        <f t="shared" si="144"/>
        <v/>
      </c>
    </row>
    <row r="1492" spans="14:19">
      <c r="N1492" t="str">
        <f t="shared" si="141"/>
        <v/>
      </c>
      <c r="O1492" s="4" t="str">
        <f t="shared" si="142"/>
        <v>click</v>
      </c>
      <c r="P1492" t="str">
        <f t="shared" si="143"/>
        <v>();</v>
      </c>
      <c r="S1492" s="1" t="str">
        <f t="shared" si="144"/>
        <v/>
      </c>
    </row>
    <row r="1493" spans="14:19">
      <c r="N1493" t="str">
        <f t="shared" ref="N1493:N1513" si="145">IF(A1493="Y",""""&amp;C1493&amp;""""&amp;": "&amp;M1493&amp;",","")</f>
        <v/>
      </c>
      <c r="O1493" s="4" t="str">
        <f t="shared" ref="O1493:O1556" si="146">IF(D1493="input","fill",IF(I1493&lt;&gt;"","innerText",IF(J1493="Y",$T$7,"click")))</f>
        <v>click</v>
      </c>
      <c r="P1493" t="str">
        <f t="shared" ref="P1493:P1556" si="147">IF(OR(O1493="Click",O1493="innerText"),"();","("&amp;""""&amp;K1493&amp;""""&amp;");")</f>
        <v>();</v>
      </c>
      <c r="S1493" s="1" t="str">
        <f t="shared" si="144"/>
        <v/>
      </c>
    </row>
    <row r="1494" spans="14:19">
      <c r="N1494" t="str">
        <f t="shared" si="145"/>
        <v/>
      </c>
      <c r="O1494" s="4" t="str">
        <f t="shared" si="146"/>
        <v>click</v>
      </c>
      <c r="P1494" t="str">
        <f t="shared" si="147"/>
        <v>();</v>
      </c>
      <c r="S1494" s="1" t="str">
        <f t="shared" si="144"/>
        <v/>
      </c>
    </row>
    <row r="1495" spans="14:19">
      <c r="N1495" t="str">
        <f t="shared" si="145"/>
        <v/>
      </c>
      <c r="O1495" s="4" t="str">
        <f t="shared" si="146"/>
        <v>click</v>
      </c>
      <c r="P1495" t="str">
        <f t="shared" si="147"/>
        <v>();</v>
      </c>
      <c r="S1495" s="1" t="str">
        <f t="shared" si="144"/>
        <v/>
      </c>
    </row>
    <row r="1496" spans="14:19">
      <c r="N1496" t="str">
        <f t="shared" si="145"/>
        <v/>
      </c>
      <c r="O1496" s="4" t="str">
        <f t="shared" si="146"/>
        <v>click</v>
      </c>
      <c r="P1496" t="str">
        <f t="shared" si="147"/>
        <v>();</v>
      </c>
      <c r="S1496" s="1" t="str">
        <f t="shared" si="144"/>
        <v/>
      </c>
    </row>
    <row r="1497" spans="14:19">
      <c r="N1497" t="str">
        <f t="shared" si="145"/>
        <v/>
      </c>
      <c r="O1497" s="4" t="str">
        <f t="shared" si="146"/>
        <v>click</v>
      </c>
      <c r="P1497" t="str">
        <f t="shared" si="147"/>
        <v>();</v>
      </c>
      <c r="S1497" s="1" t="str">
        <f t="shared" si="144"/>
        <v/>
      </c>
    </row>
    <row r="1498" spans="14:19">
      <c r="N1498" t="str">
        <f t="shared" si="145"/>
        <v/>
      </c>
      <c r="O1498" s="4" t="str">
        <f t="shared" si="146"/>
        <v>click</v>
      </c>
      <c r="P1498" t="str">
        <f t="shared" si="147"/>
        <v>();</v>
      </c>
      <c r="S1498" s="1" t="str">
        <f t="shared" si="144"/>
        <v/>
      </c>
    </row>
    <row r="1499" spans="14:19">
      <c r="N1499" t="str">
        <f t="shared" si="145"/>
        <v/>
      </c>
      <c r="O1499" s="4" t="str">
        <f t="shared" si="146"/>
        <v>click</v>
      </c>
      <c r="P1499" t="str">
        <f t="shared" si="147"/>
        <v>();</v>
      </c>
      <c r="S1499" s="1" t="str">
        <f t="shared" si="144"/>
        <v/>
      </c>
    </row>
    <row r="1500" spans="14:19">
      <c r="N1500" t="str">
        <f t="shared" si="145"/>
        <v/>
      </c>
      <c r="O1500" s="4" t="str">
        <f t="shared" si="146"/>
        <v>click</v>
      </c>
      <c r="P1500" t="str">
        <f t="shared" si="147"/>
        <v>();</v>
      </c>
      <c r="S1500" s="1" t="str">
        <f t="shared" si="144"/>
        <v/>
      </c>
    </row>
    <row r="1501" spans="14:19">
      <c r="N1501" t="str">
        <f t="shared" si="145"/>
        <v/>
      </c>
      <c r="O1501" s="4" t="str">
        <f t="shared" si="146"/>
        <v>click</v>
      </c>
      <c r="P1501" t="str">
        <f t="shared" si="147"/>
        <v>();</v>
      </c>
      <c r="S1501" s="1" t="str">
        <f t="shared" si="144"/>
        <v/>
      </c>
    </row>
    <row r="1502" spans="14:19">
      <c r="N1502" t="str">
        <f t="shared" si="145"/>
        <v/>
      </c>
      <c r="O1502" s="4" t="str">
        <f t="shared" si="146"/>
        <v>click</v>
      </c>
      <c r="P1502" t="str">
        <f t="shared" si="147"/>
        <v>();</v>
      </c>
      <c r="S1502" s="1" t="str">
        <f t="shared" si="144"/>
        <v/>
      </c>
    </row>
    <row r="1503" spans="14:19">
      <c r="N1503" t="str">
        <f t="shared" si="145"/>
        <v/>
      </c>
      <c r="O1503" s="4" t="str">
        <f t="shared" si="146"/>
        <v>click</v>
      </c>
      <c r="P1503" t="str">
        <f t="shared" si="147"/>
        <v>();</v>
      </c>
      <c r="S1503" s="1" t="str">
        <f t="shared" si="144"/>
        <v/>
      </c>
    </row>
    <row r="1504" spans="14:19">
      <c r="N1504" t="str">
        <f t="shared" si="145"/>
        <v/>
      </c>
      <c r="O1504" s="4" t="str">
        <f t="shared" si="146"/>
        <v>click</v>
      </c>
      <c r="P1504" t="str">
        <f t="shared" si="147"/>
        <v>();</v>
      </c>
      <c r="S1504" s="1" t="str">
        <f t="shared" si="144"/>
        <v/>
      </c>
    </row>
    <row r="1505" spans="14:19">
      <c r="N1505" t="str">
        <f t="shared" si="145"/>
        <v/>
      </c>
      <c r="O1505" s="4" t="str">
        <f t="shared" si="146"/>
        <v>click</v>
      </c>
      <c r="P1505" t="str">
        <f t="shared" si="147"/>
        <v>();</v>
      </c>
      <c r="S1505" s="1" t="str">
        <f t="shared" si="144"/>
        <v/>
      </c>
    </row>
    <row r="1506" spans="14:19">
      <c r="N1506" t="str">
        <f t="shared" si="145"/>
        <v/>
      </c>
      <c r="O1506" s="4" t="str">
        <f t="shared" si="146"/>
        <v>click</v>
      </c>
      <c r="P1506" t="str">
        <f t="shared" si="147"/>
        <v>();</v>
      </c>
      <c r="S1506" s="1" t="str">
        <f t="shared" si="144"/>
        <v/>
      </c>
    </row>
    <row r="1507" spans="14:19">
      <c r="N1507" t="str">
        <f t="shared" si="145"/>
        <v/>
      </c>
      <c r="O1507" s="4" t="str">
        <f t="shared" si="146"/>
        <v>click</v>
      </c>
      <c r="P1507" t="str">
        <f t="shared" si="147"/>
        <v>();</v>
      </c>
      <c r="S1507" s="1" t="str">
        <f t="shared" si="144"/>
        <v/>
      </c>
    </row>
    <row r="1508" spans="14:19">
      <c r="N1508" t="str">
        <f t="shared" si="145"/>
        <v/>
      </c>
      <c r="O1508" s="4" t="str">
        <f t="shared" si="146"/>
        <v>click</v>
      </c>
      <c r="P1508" t="str">
        <f t="shared" si="147"/>
        <v>();</v>
      </c>
      <c r="S1508" s="1" t="str">
        <f t="shared" si="144"/>
        <v/>
      </c>
    </row>
    <row r="1509" spans="14:19">
      <c r="N1509" t="str">
        <f t="shared" si="145"/>
        <v/>
      </c>
      <c r="O1509" s="4" t="str">
        <f t="shared" si="146"/>
        <v>click</v>
      </c>
      <c r="P1509" t="str">
        <f t="shared" si="147"/>
        <v>();</v>
      </c>
      <c r="S1509" s="1" t="str">
        <f t="shared" si="144"/>
        <v/>
      </c>
    </row>
    <row r="1510" spans="14:19">
      <c r="N1510" t="str">
        <f t="shared" si="145"/>
        <v/>
      </c>
      <c r="O1510" s="4" t="str">
        <f t="shared" si="146"/>
        <v>click</v>
      </c>
      <c r="P1510" t="str">
        <f t="shared" si="147"/>
        <v>();</v>
      </c>
      <c r="S1510" s="1" t="str">
        <f t="shared" si="144"/>
        <v/>
      </c>
    </row>
    <row r="1511" spans="14:19">
      <c r="N1511" t="str">
        <f t="shared" si="145"/>
        <v/>
      </c>
      <c r="O1511" s="4" t="str">
        <f t="shared" si="146"/>
        <v>click</v>
      </c>
      <c r="P1511" t="str">
        <f t="shared" si="147"/>
        <v>();</v>
      </c>
      <c r="S1511" s="1" t="str">
        <f t="shared" si="144"/>
        <v/>
      </c>
    </row>
    <row r="1512" spans="14:19">
      <c r="N1512" t="str">
        <f t="shared" si="145"/>
        <v/>
      </c>
      <c r="O1512" s="4" t="str">
        <f t="shared" si="146"/>
        <v>click</v>
      </c>
      <c r="P1512" t="str">
        <f t="shared" si="147"/>
        <v>();</v>
      </c>
      <c r="S1512" s="1" t="str">
        <f t="shared" si="144"/>
        <v/>
      </c>
    </row>
    <row r="1513" spans="14:19">
      <c r="N1513" t="str">
        <f t="shared" si="145"/>
        <v/>
      </c>
      <c r="O1513" s="4" t="str">
        <f t="shared" si="146"/>
        <v>click</v>
      </c>
      <c r="P1513" t="str">
        <f t="shared" si="147"/>
        <v>();</v>
      </c>
      <c r="S1513" s="1" t="str">
        <f t="shared" si="144"/>
        <v/>
      </c>
    </row>
    <row r="1514" spans="14:19">
      <c r="O1514" s="4" t="str">
        <f t="shared" si="146"/>
        <v>click</v>
      </c>
      <c r="P1514" t="str">
        <f t="shared" si="147"/>
        <v>();</v>
      </c>
      <c r="S1514" s="1" t="str">
        <f t="shared" si="144"/>
        <v/>
      </c>
    </row>
    <row r="1515" spans="14:19">
      <c r="O1515" s="4" t="str">
        <f t="shared" si="146"/>
        <v>click</v>
      </c>
      <c r="P1515" t="str">
        <f t="shared" si="147"/>
        <v>();</v>
      </c>
      <c r="S1515" s="1" t="str">
        <f t="shared" si="144"/>
        <v/>
      </c>
    </row>
    <row r="1516" spans="14:19">
      <c r="O1516" s="4" t="str">
        <f t="shared" si="146"/>
        <v>click</v>
      </c>
      <c r="P1516" t="str">
        <f t="shared" si="147"/>
        <v>();</v>
      </c>
      <c r="S1516" s="1" t="str">
        <f t="shared" si="144"/>
        <v/>
      </c>
    </row>
    <row r="1517" spans="14:19">
      <c r="O1517" s="4" t="str">
        <f t="shared" si="146"/>
        <v>click</v>
      </c>
      <c r="P1517" t="str">
        <f t="shared" si="147"/>
        <v>();</v>
      </c>
      <c r="S1517" s="1" t="str">
        <f t="shared" si="144"/>
        <v/>
      </c>
    </row>
    <row r="1518" spans="14:19">
      <c r="O1518" s="4" t="str">
        <f t="shared" si="146"/>
        <v>click</v>
      </c>
      <c r="P1518" t="str">
        <f t="shared" si="147"/>
        <v>();</v>
      </c>
      <c r="S1518" s="1" t="str">
        <f t="shared" si="144"/>
        <v/>
      </c>
    </row>
    <row r="1519" spans="14:19">
      <c r="O1519" s="4" t="str">
        <f t="shared" si="146"/>
        <v>click</v>
      </c>
      <c r="P1519" t="str">
        <f t="shared" si="147"/>
        <v>();</v>
      </c>
      <c r="S1519" s="1" t="str">
        <f t="shared" si="144"/>
        <v/>
      </c>
    </row>
    <row r="1520" spans="14:19">
      <c r="O1520" s="4" t="str">
        <f t="shared" si="146"/>
        <v>click</v>
      </c>
      <c r="P1520" t="str">
        <f t="shared" si="147"/>
        <v>();</v>
      </c>
      <c r="S1520" s="1" t="str">
        <f t="shared" si="144"/>
        <v/>
      </c>
    </row>
    <row r="1521" spans="15:19">
      <c r="O1521" s="4" t="str">
        <f t="shared" si="146"/>
        <v>click</v>
      </c>
      <c r="P1521" t="str">
        <f t="shared" si="147"/>
        <v>();</v>
      </c>
      <c r="S1521" s="1" t="str">
        <f t="shared" si="144"/>
        <v/>
      </c>
    </row>
    <row r="1522" spans="15:19">
      <c r="O1522" s="4" t="str">
        <f t="shared" si="146"/>
        <v>click</v>
      </c>
      <c r="P1522" t="str">
        <f t="shared" si="147"/>
        <v>();</v>
      </c>
      <c r="S1522" s="1" t="str">
        <f t="shared" si="144"/>
        <v/>
      </c>
    </row>
    <row r="1523" spans="15:19">
      <c r="O1523" s="4" t="str">
        <f t="shared" si="146"/>
        <v>click</v>
      </c>
      <c r="P1523" t="str">
        <f t="shared" si="147"/>
        <v>();</v>
      </c>
      <c r="S1523" s="1" t="str">
        <f t="shared" si="144"/>
        <v/>
      </c>
    </row>
    <row r="1524" spans="15:19">
      <c r="O1524" s="4" t="str">
        <f t="shared" si="146"/>
        <v>click</v>
      </c>
      <c r="P1524" t="str">
        <f t="shared" si="147"/>
        <v>();</v>
      </c>
      <c r="S1524" s="1" t="str">
        <f t="shared" si="144"/>
        <v/>
      </c>
    </row>
    <row r="1525" spans="15:19">
      <c r="O1525" s="4" t="str">
        <f t="shared" si="146"/>
        <v>click</v>
      </c>
      <c r="P1525" t="str">
        <f t="shared" si="147"/>
        <v>();</v>
      </c>
      <c r="S1525" s="1" t="str">
        <f t="shared" si="144"/>
        <v/>
      </c>
    </row>
    <row r="1526" spans="15:19">
      <c r="O1526" s="4" t="str">
        <f t="shared" si="146"/>
        <v>click</v>
      </c>
      <c r="P1526" t="str">
        <f t="shared" si="147"/>
        <v>();</v>
      </c>
      <c r="S1526" s="1" t="str">
        <f t="shared" si="144"/>
        <v/>
      </c>
    </row>
    <row r="1527" spans="15:19">
      <c r="O1527" s="4" t="str">
        <f t="shared" si="146"/>
        <v>click</v>
      </c>
      <c r="P1527" t="str">
        <f t="shared" si="147"/>
        <v>();</v>
      </c>
      <c r="S1527" s="1" t="str">
        <f t="shared" si="144"/>
        <v/>
      </c>
    </row>
    <row r="1528" spans="15:19">
      <c r="O1528" s="4" t="str">
        <f t="shared" si="146"/>
        <v>click</v>
      </c>
      <c r="P1528" t="str">
        <f t="shared" si="147"/>
        <v>();</v>
      </c>
      <c r="S1528" s="1" t="str">
        <f t="shared" si="144"/>
        <v/>
      </c>
    </row>
    <row r="1529" spans="15:19">
      <c r="O1529" s="4" t="str">
        <f t="shared" si="146"/>
        <v>click</v>
      </c>
      <c r="P1529" t="str">
        <f t="shared" si="147"/>
        <v>();</v>
      </c>
      <c r="S1529" s="1" t="str">
        <f t="shared" si="144"/>
        <v/>
      </c>
    </row>
    <row r="1530" spans="15:19">
      <c r="O1530" s="4" t="str">
        <f t="shared" si="146"/>
        <v>click</v>
      </c>
      <c r="P1530" t="str">
        <f t="shared" si="147"/>
        <v>();</v>
      </c>
      <c r="S1530" s="1" t="str">
        <f t="shared" si="144"/>
        <v/>
      </c>
    </row>
    <row r="1531" spans="15:19">
      <c r="O1531" s="4" t="str">
        <f t="shared" si="146"/>
        <v>click</v>
      </c>
      <c r="P1531" t="str">
        <f t="shared" si="147"/>
        <v>();</v>
      </c>
      <c r="S1531" s="1" t="str">
        <f t="shared" si="144"/>
        <v/>
      </c>
    </row>
    <row r="1532" spans="15:19">
      <c r="O1532" s="4" t="str">
        <f t="shared" si="146"/>
        <v>click</v>
      </c>
      <c r="P1532" t="str">
        <f t="shared" si="147"/>
        <v>();</v>
      </c>
      <c r="S1532" s="1" t="str">
        <f t="shared" ref="S1532:S1572" si="148">IF(O1532="innerText",I1532&amp;"="&amp;IF(C1532="Y",IF(J1532&lt;&gt;"Y",$S$8&amp;$R$9&amp;"."&amp;E1532&amp;")."&amp;IF(OR(O1532="click",O1532="innerText"),O1532&amp;"();",O1532&amp;"("&amp;$Q$8&amp;"."&amp;E1532&amp;");"),$S$7&amp;$R$9&amp;"."&amp;E1532&amp;")."&amp;IF(O1532="click",O1532&amp;"();",O1532&amp;"("&amp;"'"&amp;K1532&amp;"'"&amp;");")),""),IF(C1532="Y",IF(J1532&lt;&gt;"Y",$S$8&amp;$R$9&amp;"."&amp;E1532&amp;")."&amp;IF(OR(O1532="click",O1532="innerText"),O1532&amp;"();",O1532&amp;"("&amp;$Q$8&amp;"."&amp;E1532&amp;");"),$S$7&amp;$R$9&amp;"."&amp;E1532&amp;")."&amp;IF(O1532="click",O1532&amp;"();",O1532&amp;"("&amp;"'"&amp;K1532&amp;"'"&amp;");")),""))</f>
        <v/>
      </c>
    </row>
    <row r="1533" spans="15:19">
      <c r="O1533" s="4" t="str">
        <f t="shared" si="146"/>
        <v>click</v>
      </c>
      <c r="P1533" t="str">
        <f t="shared" si="147"/>
        <v>();</v>
      </c>
      <c r="S1533" s="1" t="str">
        <f t="shared" si="148"/>
        <v/>
      </c>
    </row>
    <row r="1534" spans="15:19">
      <c r="O1534" s="4" t="str">
        <f t="shared" si="146"/>
        <v>click</v>
      </c>
      <c r="P1534" t="str">
        <f t="shared" si="147"/>
        <v>();</v>
      </c>
      <c r="S1534" s="1" t="str">
        <f t="shared" si="148"/>
        <v/>
      </c>
    </row>
    <row r="1535" spans="15:19">
      <c r="O1535" s="4" t="str">
        <f t="shared" si="146"/>
        <v>click</v>
      </c>
      <c r="P1535" t="str">
        <f t="shared" si="147"/>
        <v>();</v>
      </c>
      <c r="S1535" s="1" t="str">
        <f t="shared" si="148"/>
        <v/>
      </c>
    </row>
    <row r="1536" spans="15:19">
      <c r="O1536" s="4" t="str">
        <f t="shared" si="146"/>
        <v>click</v>
      </c>
      <c r="P1536" t="str">
        <f t="shared" si="147"/>
        <v>();</v>
      </c>
      <c r="S1536" s="1" t="str">
        <f t="shared" si="148"/>
        <v/>
      </c>
    </row>
    <row r="1537" spans="15:19">
      <c r="O1537" s="4" t="str">
        <f t="shared" si="146"/>
        <v>click</v>
      </c>
      <c r="P1537" t="str">
        <f t="shared" si="147"/>
        <v>();</v>
      </c>
      <c r="S1537" s="1" t="str">
        <f t="shared" si="148"/>
        <v/>
      </c>
    </row>
    <row r="1538" spans="15:19">
      <c r="O1538" s="4" t="str">
        <f t="shared" si="146"/>
        <v>click</v>
      </c>
      <c r="P1538" t="str">
        <f t="shared" si="147"/>
        <v>();</v>
      </c>
      <c r="S1538" s="1" t="str">
        <f t="shared" si="148"/>
        <v/>
      </c>
    </row>
    <row r="1539" spans="15:19">
      <c r="O1539" s="4" t="str">
        <f t="shared" si="146"/>
        <v>click</v>
      </c>
      <c r="P1539" t="str">
        <f t="shared" si="147"/>
        <v>();</v>
      </c>
      <c r="S1539" s="1" t="str">
        <f t="shared" si="148"/>
        <v/>
      </c>
    </row>
    <row r="1540" spans="15:19">
      <c r="O1540" s="4" t="str">
        <f t="shared" si="146"/>
        <v>click</v>
      </c>
      <c r="P1540" t="str">
        <f t="shared" si="147"/>
        <v>();</v>
      </c>
      <c r="S1540" s="1" t="str">
        <f t="shared" si="148"/>
        <v/>
      </c>
    </row>
    <row r="1541" spans="15:19">
      <c r="O1541" s="4" t="str">
        <f t="shared" si="146"/>
        <v>click</v>
      </c>
      <c r="P1541" t="str">
        <f t="shared" si="147"/>
        <v>();</v>
      </c>
      <c r="S1541" s="1" t="str">
        <f t="shared" si="148"/>
        <v/>
      </c>
    </row>
    <row r="1542" spans="15:19">
      <c r="O1542" s="4" t="str">
        <f t="shared" si="146"/>
        <v>click</v>
      </c>
      <c r="P1542" t="str">
        <f t="shared" si="147"/>
        <v>();</v>
      </c>
      <c r="S1542" s="1" t="str">
        <f t="shared" si="148"/>
        <v/>
      </c>
    </row>
    <row r="1543" spans="15:19">
      <c r="O1543" s="4" t="str">
        <f t="shared" si="146"/>
        <v>click</v>
      </c>
      <c r="P1543" t="str">
        <f t="shared" si="147"/>
        <v>();</v>
      </c>
      <c r="S1543" s="1" t="str">
        <f t="shared" si="148"/>
        <v/>
      </c>
    </row>
    <row r="1544" spans="15:19">
      <c r="O1544" s="4" t="str">
        <f t="shared" si="146"/>
        <v>click</v>
      </c>
      <c r="P1544" t="str">
        <f t="shared" si="147"/>
        <v>();</v>
      </c>
      <c r="S1544" s="1" t="str">
        <f t="shared" si="148"/>
        <v/>
      </c>
    </row>
    <row r="1545" spans="15:19">
      <c r="O1545" s="4" t="str">
        <f t="shared" si="146"/>
        <v>click</v>
      </c>
      <c r="P1545" t="str">
        <f t="shared" si="147"/>
        <v>();</v>
      </c>
      <c r="S1545" s="1" t="str">
        <f t="shared" si="148"/>
        <v/>
      </c>
    </row>
    <row r="1546" spans="15:19">
      <c r="O1546" s="4" t="str">
        <f t="shared" si="146"/>
        <v>click</v>
      </c>
      <c r="P1546" t="str">
        <f t="shared" si="147"/>
        <v>();</v>
      </c>
      <c r="S1546" s="1" t="str">
        <f t="shared" si="148"/>
        <v/>
      </c>
    </row>
    <row r="1547" spans="15:19">
      <c r="O1547" s="4" t="str">
        <f t="shared" si="146"/>
        <v>click</v>
      </c>
      <c r="P1547" t="str">
        <f t="shared" si="147"/>
        <v>();</v>
      </c>
      <c r="S1547" s="1" t="str">
        <f t="shared" si="148"/>
        <v/>
      </c>
    </row>
    <row r="1548" spans="15:19">
      <c r="O1548" s="4" t="str">
        <f t="shared" si="146"/>
        <v>click</v>
      </c>
      <c r="P1548" t="str">
        <f t="shared" si="147"/>
        <v>();</v>
      </c>
      <c r="S1548" s="1" t="str">
        <f t="shared" si="148"/>
        <v/>
      </c>
    </row>
    <row r="1549" spans="15:19">
      <c r="O1549" s="4" t="str">
        <f t="shared" si="146"/>
        <v>click</v>
      </c>
      <c r="P1549" t="str">
        <f t="shared" si="147"/>
        <v>();</v>
      </c>
      <c r="S1549" s="1" t="str">
        <f t="shared" si="148"/>
        <v/>
      </c>
    </row>
    <row r="1550" spans="15:19">
      <c r="O1550" s="4" t="str">
        <f t="shared" si="146"/>
        <v>click</v>
      </c>
      <c r="P1550" t="str">
        <f t="shared" si="147"/>
        <v>();</v>
      </c>
      <c r="S1550" s="1" t="str">
        <f t="shared" si="148"/>
        <v/>
      </c>
    </row>
    <row r="1551" spans="15:19">
      <c r="O1551" s="4" t="str">
        <f t="shared" si="146"/>
        <v>click</v>
      </c>
      <c r="P1551" t="str">
        <f t="shared" si="147"/>
        <v>();</v>
      </c>
      <c r="S1551" s="1" t="str">
        <f t="shared" si="148"/>
        <v/>
      </c>
    </row>
    <row r="1552" spans="15:19">
      <c r="O1552" s="4" t="str">
        <f t="shared" si="146"/>
        <v>click</v>
      </c>
      <c r="P1552" t="str">
        <f t="shared" si="147"/>
        <v>();</v>
      </c>
      <c r="S1552" s="1" t="str">
        <f t="shared" si="148"/>
        <v/>
      </c>
    </row>
    <row r="1553" spans="15:19">
      <c r="O1553" s="4" t="str">
        <f t="shared" si="146"/>
        <v>click</v>
      </c>
      <c r="P1553" t="str">
        <f t="shared" si="147"/>
        <v>();</v>
      </c>
      <c r="S1553" s="1" t="str">
        <f t="shared" si="148"/>
        <v/>
      </c>
    </row>
    <row r="1554" spans="15:19">
      <c r="O1554" s="4" t="str">
        <f t="shared" si="146"/>
        <v>click</v>
      </c>
      <c r="P1554" t="str">
        <f t="shared" si="147"/>
        <v>();</v>
      </c>
      <c r="S1554" s="1" t="str">
        <f t="shared" si="148"/>
        <v/>
      </c>
    </row>
    <row r="1555" spans="15:19">
      <c r="O1555" s="4" t="str">
        <f t="shared" si="146"/>
        <v>click</v>
      </c>
      <c r="P1555" t="str">
        <f t="shared" si="147"/>
        <v>();</v>
      </c>
      <c r="S1555" s="1" t="str">
        <f t="shared" si="148"/>
        <v/>
      </c>
    </row>
    <row r="1556" spans="15:19">
      <c r="O1556" s="4" t="str">
        <f t="shared" si="146"/>
        <v>click</v>
      </c>
      <c r="P1556" t="str">
        <f t="shared" si="147"/>
        <v>();</v>
      </c>
      <c r="S1556" s="1" t="str">
        <f t="shared" si="148"/>
        <v/>
      </c>
    </row>
    <row r="1557" spans="15:19">
      <c r="O1557" s="4" t="str">
        <f t="shared" ref="O1557:O1620" si="149">IF(D1557="input","fill",IF(I1557&lt;&gt;"","innerText",IF(J1557="Y",$T$7,"click")))</f>
        <v>click</v>
      </c>
      <c r="P1557" t="str">
        <f t="shared" ref="P1557:P1615" si="150">IF(OR(O1557="Click",O1557="innerText"),"();","("&amp;""""&amp;K1557&amp;""""&amp;");")</f>
        <v>();</v>
      </c>
      <c r="S1557" s="1" t="str">
        <f t="shared" si="148"/>
        <v/>
      </c>
    </row>
    <row r="1558" spans="15:19">
      <c r="O1558" s="4" t="str">
        <f t="shared" si="149"/>
        <v>click</v>
      </c>
      <c r="P1558" t="str">
        <f t="shared" si="150"/>
        <v>();</v>
      </c>
      <c r="S1558" s="1" t="str">
        <f t="shared" si="148"/>
        <v/>
      </c>
    </row>
    <row r="1559" spans="15:19">
      <c r="O1559" s="4" t="str">
        <f t="shared" si="149"/>
        <v>click</v>
      </c>
      <c r="P1559" t="str">
        <f t="shared" si="150"/>
        <v>();</v>
      </c>
      <c r="S1559" s="1" t="str">
        <f t="shared" si="148"/>
        <v/>
      </c>
    </row>
    <row r="1560" spans="15:19">
      <c r="O1560" s="4" t="str">
        <f t="shared" si="149"/>
        <v>click</v>
      </c>
      <c r="P1560" t="str">
        <f t="shared" si="150"/>
        <v>();</v>
      </c>
      <c r="S1560" s="1" t="str">
        <f t="shared" si="148"/>
        <v/>
      </c>
    </row>
    <row r="1561" spans="15:19">
      <c r="O1561" s="4" t="str">
        <f t="shared" si="149"/>
        <v>click</v>
      </c>
      <c r="P1561" t="str">
        <f t="shared" si="150"/>
        <v>();</v>
      </c>
      <c r="S1561" s="1" t="str">
        <f t="shared" si="148"/>
        <v/>
      </c>
    </row>
    <row r="1562" spans="15:19">
      <c r="O1562" s="4" t="str">
        <f t="shared" si="149"/>
        <v>click</v>
      </c>
      <c r="P1562" t="str">
        <f t="shared" si="150"/>
        <v>();</v>
      </c>
      <c r="S1562" s="1" t="str">
        <f t="shared" si="148"/>
        <v/>
      </c>
    </row>
    <row r="1563" spans="15:19">
      <c r="O1563" s="4" t="str">
        <f t="shared" si="149"/>
        <v>click</v>
      </c>
      <c r="P1563" t="str">
        <f t="shared" si="150"/>
        <v>();</v>
      </c>
      <c r="S1563" s="1" t="str">
        <f t="shared" si="148"/>
        <v/>
      </c>
    </row>
    <row r="1564" spans="15:19">
      <c r="O1564" s="4" t="str">
        <f t="shared" si="149"/>
        <v>click</v>
      </c>
      <c r="P1564" t="str">
        <f t="shared" si="150"/>
        <v>();</v>
      </c>
      <c r="S1564" s="1" t="str">
        <f t="shared" si="148"/>
        <v/>
      </c>
    </row>
    <row r="1565" spans="15:19">
      <c r="O1565" s="4" t="str">
        <f t="shared" si="149"/>
        <v>click</v>
      </c>
      <c r="P1565" t="str">
        <f t="shared" si="150"/>
        <v>();</v>
      </c>
      <c r="S1565" s="1" t="str">
        <f t="shared" si="148"/>
        <v/>
      </c>
    </row>
    <row r="1566" spans="15:19">
      <c r="O1566" s="4" t="str">
        <f t="shared" si="149"/>
        <v>click</v>
      </c>
      <c r="P1566" t="str">
        <f t="shared" si="150"/>
        <v>();</v>
      </c>
      <c r="S1566" s="1" t="str">
        <f t="shared" si="148"/>
        <v/>
      </c>
    </row>
    <row r="1567" spans="15:19">
      <c r="O1567" s="4" t="str">
        <f t="shared" si="149"/>
        <v>click</v>
      </c>
      <c r="P1567" t="str">
        <f t="shared" si="150"/>
        <v>();</v>
      </c>
      <c r="S1567" s="1" t="str">
        <f t="shared" si="148"/>
        <v/>
      </c>
    </row>
    <row r="1568" spans="15:19">
      <c r="O1568" s="4" t="str">
        <f t="shared" si="149"/>
        <v>click</v>
      </c>
      <c r="P1568" t="str">
        <f t="shared" si="150"/>
        <v>();</v>
      </c>
      <c r="S1568" s="1" t="str">
        <f t="shared" si="148"/>
        <v/>
      </c>
    </row>
    <row r="1569" spans="15:19">
      <c r="O1569" s="4" t="str">
        <f t="shared" si="149"/>
        <v>click</v>
      </c>
      <c r="P1569" t="str">
        <f t="shared" si="150"/>
        <v>();</v>
      </c>
      <c r="S1569" s="1" t="str">
        <f t="shared" si="148"/>
        <v/>
      </c>
    </row>
    <row r="1570" spans="15:19">
      <c r="O1570" s="4" t="str">
        <f t="shared" si="149"/>
        <v>click</v>
      </c>
      <c r="P1570" t="str">
        <f t="shared" si="150"/>
        <v>();</v>
      </c>
      <c r="S1570" s="1" t="str">
        <f t="shared" si="148"/>
        <v/>
      </c>
    </row>
    <row r="1571" spans="15:19">
      <c r="O1571" s="4" t="str">
        <f t="shared" si="149"/>
        <v>click</v>
      </c>
      <c r="P1571" t="str">
        <f t="shared" si="150"/>
        <v>();</v>
      </c>
      <c r="S1571" s="1" t="str">
        <f t="shared" si="148"/>
        <v/>
      </c>
    </row>
    <row r="1572" spans="15:19">
      <c r="O1572" s="4" t="str">
        <f t="shared" si="149"/>
        <v>click</v>
      </c>
      <c r="P1572" t="str">
        <f t="shared" si="150"/>
        <v>();</v>
      </c>
      <c r="S1572" s="1" t="str">
        <f t="shared" si="148"/>
        <v/>
      </c>
    </row>
    <row r="1573" spans="15:19">
      <c r="O1573" s="4" t="str">
        <f t="shared" si="149"/>
        <v>click</v>
      </c>
      <c r="P1573" t="str">
        <f t="shared" si="150"/>
        <v>();</v>
      </c>
      <c r="S1573" s="1" t="str">
        <f t="shared" ref="S1573:S1636" si="151">IF(O1573="innerText",I1573&amp;"="&amp;IF(C1573="Y",IF(J1573&lt;&gt;"Y",$S$8&amp;$R$9&amp;"."&amp;E1573&amp;")."&amp;IF(OR(O1573="click",O1573="innerText"),O1573&amp;"();",O1573&amp;"("&amp;$Q$8&amp;"."&amp;E1573&amp;");"),$S$7&amp;$R$9&amp;"."&amp;E1573&amp;")."&amp;IF(O1573="click",O1573&amp;"();",O1573&amp;"("&amp;"'"&amp;K1573&amp;"'"&amp;");")),""),IF(C1573="Y",IF(J1573&lt;&gt;"Y",$S$8&amp;$R$9&amp;"."&amp;E1573&amp;")."&amp;IF(OR(O1573="click",O1573="innerText"),O1573&amp;"();",O1573&amp;"("&amp;$Q$8&amp;"."&amp;E1573&amp;");"),$S$7&amp;$R$9&amp;"."&amp;E1573&amp;")."&amp;IF(O1573="click",O1573&amp;"();",O1573&amp;"("&amp;"'"&amp;K1573&amp;"'"&amp;");")),""))</f>
        <v/>
      </c>
    </row>
    <row r="1574" spans="15:19">
      <c r="O1574" s="4" t="str">
        <f t="shared" si="149"/>
        <v>click</v>
      </c>
      <c r="P1574" t="str">
        <f t="shared" si="150"/>
        <v>();</v>
      </c>
      <c r="S1574" s="1" t="str">
        <f t="shared" si="151"/>
        <v/>
      </c>
    </row>
    <row r="1575" spans="15:19">
      <c r="O1575" s="4" t="str">
        <f t="shared" si="149"/>
        <v>click</v>
      </c>
      <c r="P1575" t="str">
        <f t="shared" si="150"/>
        <v>();</v>
      </c>
      <c r="S1575" s="1" t="str">
        <f t="shared" si="151"/>
        <v/>
      </c>
    </row>
    <row r="1576" spans="15:19">
      <c r="O1576" s="4" t="str">
        <f t="shared" si="149"/>
        <v>click</v>
      </c>
      <c r="P1576" t="str">
        <f t="shared" si="150"/>
        <v>();</v>
      </c>
      <c r="S1576" s="1" t="str">
        <f t="shared" si="151"/>
        <v/>
      </c>
    </row>
    <row r="1577" spans="15:19">
      <c r="O1577" s="4" t="str">
        <f t="shared" si="149"/>
        <v>click</v>
      </c>
      <c r="P1577" t="str">
        <f t="shared" si="150"/>
        <v>();</v>
      </c>
      <c r="S1577" s="1" t="str">
        <f t="shared" si="151"/>
        <v/>
      </c>
    </row>
    <row r="1578" spans="15:19">
      <c r="O1578" s="4" t="str">
        <f t="shared" si="149"/>
        <v>click</v>
      </c>
      <c r="P1578" t="str">
        <f t="shared" si="150"/>
        <v>();</v>
      </c>
      <c r="S1578" s="1" t="str">
        <f t="shared" si="151"/>
        <v/>
      </c>
    </row>
    <row r="1579" spans="15:19">
      <c r="O1579" s="4" t="str">
        <f t="shared" si="149"/>
        <v>click</v>
      </c>
      <c r="P1579" t="str">
        <f t="shared" si="150"/>
        <v>();</v>
      </c>
      <c r="S1579" s="1" t="str">
        <f t="shared" si="151"/>
        <v/>
      </c>
    </row>
    <row r="1580" spans="15:19">
      <c r="O1580" s="4" t="str">
        <f t="shared" si="149"/>
        <v>click</v>
      </c>
      <c r="P1580" t="str">
        <f t="shared" si="150"/>
        <v>();</v>
      </c>
      <c r="S1580" s="1" t="str">
        <f t="shared" si="151"/>
        <v/>
      </c>
    </row>
    <row r="1581" spans="15:19">
      <c r="O1581" s="4" t="str">
        <f t="shared" si="149"/>
        <v>click</v>
      </c>
      <c r="P1581" t="str">
        <f t="shared" si="150"/>
        <v>();</v>
      </c>
      <c r="S1581" s="1" t="str">
        <f t="shared" si="151"/>
        <v/>
      </c>
    </row>
    <row r="1582" spans="15:19">
      <c r="O1582" s="4" t="str">
        <f t="shared" si="149"/>
        <v>click</v>
      </c>
      <c r="P1582" t="str">
        <f t="shared" si="150"/>
        <v>();</v>
      </c>
      <c r="S1582" s="1" t="str">
        <f t="shared" si="151"/>
        <v/>
      </c>
    </row>
    <row r="1583" spans="15:19">
      <c r="O1583" s="4" t="str">
        <f t="shared" si="149"/>
        <v>click</v>
      </c>
      <c r="P1583" t="str">
        <f t="shared" si="150"/>
        <v>();</v>
      </c>
      <c r="S1583" s="1" t="str">
        <f t="shared" si="151"/>
        <v/>
      </c>
    </row>
    <row r="1584" spans="15:19">
      <c r="O1584" s="4" t="str">
        <f t="shared" si="149"/>
        <v>click</v>
      </c>
      <c r="P1584" t="str">
        <f t="shared" si="150"/>
        <v>();</v>
      </c>
      <c r="S1584" s="1" t="str">
        <f t="shared" si="151"/>
        <v/>
      </c>
    </row>
    <row r="1585" spans="15:19">
      <c r="O1585" s="4" t="str">
        <f t="shared" si="149"/>
        <v>click</v>
      </c>
      <c r="P1585" t="str">
        <f t="shared" si="150"/>
        <v>();</v>
      </c>
      <c r="S1585" s="1" t="str">
        <f t="shared" si="151"/>
        <v/>
      </c>
    </row>
    <row r="1586" spans="15:19">
      <c r="O1586" s="4" t="str">
        <f t="shared" si="149"/>
        <v>click</v>
      </c>
      <c r="P1586" t="str">
        <f t="shared" si="150"/>
        <v>();</v>
      </c>
      <c r="S1586" s="1" t="str">
        <f t="shared" si="151"/>
        <v/>
      </c>
    </row>
    <row r="1587" spans="15:19">
      <c r="O1587" s="4" t="str">
        <f t="shared" si="149"/>
        <v>click</v>
      </c>
      <c r="P1587" t="str">
        <f t="shared" si="150"/>
        <v>();</v>
      </c>
      <c r="S1587" s="1" t="str">
        <f t="shared" si="151"/>
        <v/>
      </c>
    </row>
    <row r="1588" spans="15:19">
      <c r="O1588" s="4" t="str">
        <f t="shared" si="149"/>
        <v>click</v>
      </c>
      <c r="P1588" t="str">
        <f t="shared" si="150"/>
        <v>();</v>
      </c>
      <c r="S1588" s="1" t="str">
        <f t="shared" si="151"/>
        <v/>
      </c>
    </row>
    <row r="1589" spans="15:19">
      <c r="O1589" s="4" t="str">
        <f t="shared" si="149"/>
        <v>click</v>
      </c>
      <c r="P1589" t="str">
        <f t="shared" si="150"/>
        <v>();</v>
      </c>
      <c r="S1589" s="1" t="str">
        <f t="shared" si="151"/>
        <v/>
      </c>
    </row>
    <row r="1590" spans="15:19">
      <c r="O1590" s="4" t="str">
        <f t="shared" si="149"/>
        <v>click</v>
      </c>
      <c r="P1590" t="str">
        <f t="shared" si="150"/>
        <v>();</v>
      </c>
      <c r="S1590" s="1" t="str">
        <f t="shared" si="151"/>
        <v/>
      </c>
    </row>
    <row r="1591" spans="15:19">
      <c r="O1591" s="4" t="str">
        <f t="shared" si="149"/>
        <v>click</v>
      </c>
      <c r="P1591" t="str">
        <f t="shared" si="150"/>
        <v>();</v>
      </c>
      <c r="S1591" s="1" t="str">
        <f t="shared" si="151"/>
        <v/>
      </c>
    </row>
    <row r="1592" spans="15:19">
      <c r="O1592" s="4" t="str">
        <f t="shared" si="149"/>
        <v>click</v>
      </c>
      <c r="P1592" t="str">
        <f t="shared" si="150"/>
        <v>();</v>
      </c>
      <c r="S1592" s="1" t="str">
        <f t="shared" si="151"/>
        <v/>
      </c>
    </row>
    <row r="1593" spans="15:19">
      <c r="O1593" s="4" t="str">
        <f t="shared" si="149"/>
        <v>click</v>
      </c>
      <c r="P1593" t="str">
        <f t="shared" si="150"/>
        <v>();</v>
      </c>
      <c r="S1593" s="1" t="str">
        <f t="shared" si="151"/>
        <v/>
      </c>
    </row>
    <row r="1594" spans="15:19">
      <c r="O1594" s="4" t="str">
        <f t="shared" si="149"/>
        <v>click</v>
      </c>
      <c r="P1594" t="str">
        <f t="shared" si="150"/>
        <v>();</v>
      </c>
      <c r="S1594" s="1" t="str">
        <f t="shared" si="151"/>
        <v/>
      </c>
    </row>
    <row r="1595" spans="15:19">
      <c r="O1595" s="4" t="str">
        <f t="shared" si="149"/>
        <v>click</v>
      </c>
      <c r="P1595" t="str">
        <f t="shared" si="150"/>
        <v>();</v>
      </c>
      <c r="S1595" s="1" t="str">
        <f t="shared" si="151"/>
        <v/>
      </c>
    </row>
    <row r="1596" spans="15:19">
      <c r="O1596" s="4" t="str">
        <f t="shared" si="149"/>
        <v>click</v>
      </c>
      <c r="P1596" t="str">
        <f t="shared" si="150"/>
        <v>();</v>
      </c>
      <c r="S1596" s="1" t="str">
        <f t="shared" si="151"/>
        <v/>
      </c>
    </row>
    <row r="1597" spans="15:19">
      <c r="O1597" s="4" t="str">
        <f t="shared" si="149"/>
        <v>click</v>
      </c>
      <c r="P1597" t="str">
        <f t="shared" si="150"/>
        <v>();</v>
      </c>
      <c r="S1597" s="1" t="str">
        <f t="shared" si="151"/>
        <v/>
      </c>
    </row>
    <row r="1598" spans="15:19">
      <c r="O1598" s="4" t="str">
        <f t="shared" si="149"/>
        <v>click</v>
      </c>
      <c r="P1598" t="str">
        <f t="shared" si="150"/>
        <v>();</v>
      </c>
      <c r="S1598" s="1" t="str">
        <f t="shared" si="151"/>
        <v/>
      </c>
    </row>
    <row r="1599" spans="15:19">
      <c r="O1599" s="4" t="str">
        <f t="shared" si="149"/>
        <v>click</v>
      </c>
      <c r="P1599" t="str">
        <f t="shared" si="150"/>
        <v>();</v>
      </c>
      <c r="S1599" s="1" t="str">
        <f t="shared" si="151"/>
        <v/>
      </c>
    </row>
    <row r="1600" spans="15:19">
      <c r="O1600" s="4" t="str">
        <f t="shared" si="149"/>
        <v>click</v>
      </c>
      <c r="P1600" t="str">
        <f t="shared" si="150"/>
        <v>();</v>
      </c>
      <c r="S1600" s="1" t="str">
        <f t="shared" si="151"/>
        <v/>
      </c>
    </row>
    <row r="1601" spans="15:19">
      <c r="O1601" s="4" t="str">
        <f t="shared" si="149"/>
        <v>click</v>
      </c>
      <c r="P1601" t="str">
        <f t="shared" si="150"/>
        <v>();</v>
      </c>
      <c r="S1601" s="1" t="str">
        <f t="shared" si="151"/>
        <v/>
      </c>
    </row>
    <row r="1602" spans="15:19">
      <c r="O1602" s="4" t="str">
        <f t="shared" si="149"/>
        <v>click</v>
      </c>
      <c r="P1602" t="str">
        <f t="shared" si="150"/>
        <v>();</v>
      </c>
      <c r="S1602" s="1" t="str">
        <f t="shared" si="151"/>
        <v/>
      </c>
    </row>
    <row r="1603" spans="15:19">
      <c r="O1603" s="4" t="str">
        <f t="shared" si="149"/>
        <v>click</v>
      </c>
      <c r="P1603" t="str">
        <f t="shared" si="150"/>
        <v>();</v>
      </c>
      <c r="S1603" s="1" t="str">
        <f t="shared" si="151"/>
        <v/>
      </c>
    </row>
    <row r="1604" spans="15:19">
      <c r="O1604" s="4" t="str">
        <f t="shared" si="149"/>
        <v>click</v>
      </c>
      <c r="P1604" t="str">
        <f t="shared" si="150"/>
        <v>();</v>
      </c>
      <c r="S1604" s="1" t="str">
        <f t="shared" si="151"/>
        <v/>
      </c>
    </row>
    <row r="1605" spans="15:19">
      <c r="O1605" s="4" t="str">
        <f t="shared" si="149"/>
        <v>click</v>
      </c>
      <c r="P1605" t="str">
        <f t="shared" si="150"/>
        <v>();</v>
      </c>
      <c r="S1605" s="1" t="str">
        <f t="shared" si="151"/>
        <v/>
      </c>
    </row>
    <row r="1606" spans="15:19">
      <c r="O1606" s="4" t="str">
        <f t="shared" si="149"/>
        <v>click</v>
      </c>
      <c r="P1606" t="str">
        <f t="shared" si="150"/>
        <v>();</v>
      </c>
      <c r="S1606" s="1" t="str">
        <f t="shared" si="151"/>
        <v/>
      </c>
    </row>
    <row r="1607" spans="15:19">
      <c r="O1607" s="4" t="str">
        <f t="shared" si="149"/>
        <v>click</v>
      </c>
      <c r="P1607" t="str">
        <f t="shared" si="150"/>
        <v>();</v>
      </c>
      <c r="S1607" s="1" t="str">
        <f t="shared" si="151"/>
        <v/>
      </c>
    </row>
    <row r="1608" spans="15:19">
      <c r="O1608" s="4" t="str">
        <f t="shared" si="149"/>
        <v>click</v>
      </c>
      <c r="P1608" t="str">
        <f t="shared" si="150"/>
        <v>();</v>
      </c>
      <c r="S1608" s="1" t="str">
        <f t="shared" si="151"/>
        <v/>
      </c>
    </row>
    <row r="1609" spans="15:19">
      <c r="O1609" s="4" t="str">
        <f t="shared" si="149"/>
        <v>click</v>
      </c>
      <c r="P1609" t="str">
        <f t="shared" si="150"/>
        <v>();</v>
      </c>
      <c r="S1609" s="1" t="str">
        <f t="shared" si="151"/>
        <v/>
      </c>
    </row>
    <row r="1610" spans="15:19">
      <c r="O1610" s="4" t="str">
        <f t="shared" si="149"/>
        <v>click</v>
      </c>
      <c r="P1610" t="str">
        <f t="shared" si="150"/>
        <v>();</v>
      </c>
      <c r="S1610" s="1" t="str">
        <f t="shared" si="151"/>
        <v/>
      </c>
    </row>
    <row r="1611" spans="15:19">
      <c r="O1611" s="4" t="str">
        <f t="shared" si="149"/>
        <v>click</v>
      </c>
      <c r="P1611" t="str">
        <f t="shared" si="150"/>
        <v>();</v>
      </c>
      <c r="S1611" s="1" t="str">
        <f t="shared" si="151"/>
        <v/>
      </c>
    </row>
    <row r="1612" spans="15:19">
      <c r="O1612" s="4" t="str">
        <f t="shared" si="149"/>
        <v>click</v>
      </c>
      <c r="P1612" t="str">
        <f t="shared" si="150"/>
        <v>();</v>
      </c>
      <c r="S1612" s="1" t="str">
        <f t="shared" si="151"/>
        <v/>
      </c>
    </row>
    <row r="1613" spans="15:19">
      <c r="O1613" s="4" t="str">
        <f t="shared" si="149"/>
        <v>click</v>
      </c>
      <c r="P1613" t="str">
        <f t="shared" si="150"/>
        <v>();</v>
      </c>
      <c r="S1613" s="1" t="str">
        <f t="shared" si="151"/>
        <v/>
      </c>
    </row>
    <row r="1614" spans="15:19">
      <c r="O1614" s="4" t="str">
        <f t="shared" si="149"/>
        <v>click</v>
      </c>
      <c r="P1614" t="str">
        <f t="shared" si="150"/>
        <v>();</v>
      </c>
      <c r="S1614" s="1" t="str">
        <f t="shared" si="151"/>
        <v/>
      </c>
    </row>
    <row r="1615" spans="15:19">
      <c r="O1615" s="4" t="str">
        <f t="shared" si="149"/>
        <v>click</v>
      </c>
      <c r="P1615" t="str">
        <f t="shared" si="150"/>
        <v>();</v>
      </c>
      <c r="S1615" s="1" t="str">
        <f t="shared" si="151"/>
        <v/>
      </c>
    </row>
    <row r="1616" spans="15:19">
      <c r="O1616" s="4" t="str">
        <f t="shared" si="149"/>
        <v>click</v>
      </c>
      <c r="S1616" s="1" t="str">
        <f t="shared" si="151"/>
        <v/>
      </c>
    </row>
    <row r="1617" spans="15:19">
      <c r="O1617" s="4" t="str">
        <f t="shared" si="149"/>
        <v>click</v>
      </c>
      <c r="S1617" s="1" t="str">
        <f t="shared" si="151"/>
        <v/>
      </c>
    </row>
    <row r="1618" spans="15:19">
      <c r="O1618" s="4" t="str">
        <f t="shared" si="149"/>
        <v>click</v>
      </c>
      <c r="S1618" s="1" t="str">
        <f t="shared" si="151"/>
        <v/>
      </c>
    </row>
    <row r="1619" spans="15:19">
      <c r="O1619" s="4" t="str">
        <f t="shared" si="149"/>
        <v>click</v>
      </c>
      <c r="S1619" s="1" t="str">
        <f t="shared" si="151"/>
        <v/>
      </c>
    </row>
    <row r="1620" spans="15:19">
      <c r="O1620" s="4" t="str">
        <f t="shared" si="149"/>
        <v>click</v>
      </c>
      <c r="S1620" s="1" t="str">
        <f t="shared" si="151"/>
        <v/>
      </c>
    </row>
    <row r="1621" spans="15:19">
      <c r="O1621" s="4" t="str">
        <f t="shared" ref="O1621:O1684" si="152">IF(D1621="input","fill",IF(I1621&lt;&gt;"","innerText",IF(J1621="Y",$T$7,"click")))</f>
        <v>click</v>
      </c>
      <c r="S1621" s="1" t="str">
        <f t="shared" si="151"/>
        <v/>
      </c>
    </row>
    <row r="1622" spans="15:19">
      <c r="O1622" s="4" t="str">
        <f t="shared" si="152"/>
        <v>click</v>
      </c>
      <c r="S1622" s="1" t="str">
        <f t="shared" si="151"/>
        <v/>
      </c>
    </row>
    <row r="1623" spans="15:19">
      <c r="O1623" s="4" t="str">
        <f t="shared" si="152"/>
        <v>click</v>
      </c>
      <c r="S1623" s="1" t="str">
        <f t="shared" si="151"/>
        <v/>
      </c>
    </row>
    <row r="1624" spans="15:19">
      <c r="O1624" s="4" t="str">
        <f t="shared" si="152"/>
        <v>click</v>
      </c>
      <c r="S1624" s="1" t="str">
        <f t="shared" si="151"/>
        <v/>
      </c>
    </row>
    <row r="1625" spans="15:19">
      <c r="O1625" s="4" t="str">
        <f t="shared" si="152"/>
        <v>click</v>
      </c>
      <c r="S1625" s="1" t="str">
        <f t="shared" si="151"/>
        <v/>
      </c>
    </row>
    <row r="1626" spans="15:19">
      <c r="O1626" s="4" t="str">
        <f t="shared" si="152"/>
        <v>click</v>
      </c>
      <c r="S1626" s="1" t="str">
        <f t="shared" si="151"/>
        <v/>
      </c>
    </row>
    <row r="1627" spans="15:19">
      <c r="O1627" s="4" t="str">
        <f t="shared" si="152"/>
        <v>click</v>
      </c>
      <c r="S1627" s="1" t="str">
        <f t="shared" si="151"/>
        <v/>
      </c>
    </row>
    <row r="1628" spans="15:19">
      <c r="O1628" s="4" t="str">
        <f t="shared" si="152"/>
        <v>click</v>
      </c>
      <c r="S1628" s="1" t="str">
        <f t="shared" si="151"/>
        <v/>
      </c>
    </row>
    <row r="1629" spans="15:19">
      <c r="O1629" s="4" t="str">
        <f t="shared" si="152"/>
        <v>click</v>
      </c>
      <c r="S1629" s="1" t="str">
        <f t="shared" si="151"/>
        <v/>
      </c>
    </row>
    <row r="1630" spans="15:19">
      <c r="O1630" s="4" t="str">
        <f t="shared" si="152"/>
        <v>click</v>
      </c>
      <c r="S1630" s="1" t="str">
        <f t="shared" si="151"/>
        <v/>
      </c>
    </row>
    <row r="1631" spans="15:19">
      <c r="O1631" s="4" t="str">
        <f t="shared" si="152"/>
        <v>click</v>
      </c>
      <c r="S1631" s="1" t="str">
        <f t="shared" si="151"/>
        <v/>
      </c>
    </row>
    <row r="1632" spans="15:19">
      <c r="O1632" s="4" t="str">
        <f t="shared" si="152"/>
        <v>click</v>
      </c>
      <c r="S1632" s="1" t="str">
        <f t="shared" si="151"/>
        <v/>
      </c>
    </row>
    <row r="1633" spans="15:19">
      <c r="O1633" s="4" t="str">
        <f t="shared" si="152"/>
        <v>click</v>
      </c>
      <c r="S1633" s="1" t="str">
        <f t="shared" si="151"/>
        <v/>
      </c>
    </row>
    <row r="1634" spans="15:19">
      <c r="O1634" s="4" t="str">
        <f t="shared" si="152"/>
        <v>click</v>
      </c>
      <c r="S1634" s="1" t="str">
        <f t="shared" si="151"/>
        <v/>
      </c>
    </row>
    <row r="1635" spans="15:19">
      <c r="O1635" s="4" t="str">
        <f t="shared" si="152"/>
        <v>click</v>
      </c>
      <c r="S1635" s="1" t="str">
        <f t="shared" si="151"/>
        <v/>
      </c>
    </row>
    <row r="1636" spans="15:19">
      <c r="O1636" s="4" t="str">
        <f t="shared" si="152"/>
        <v>click</v>
      </c>
      <c r="S1636" s="1" t="str">
        <f t="shared" si="151"/>
        <v/>
      </c>
    </row>
    <row r="1637" spans="15:19">
      <c r="O1637" s="4" t="str">
        <f t="shared" si="152"/>
        <v>click</v>
      </c>
      <c r="S1637" s="1" t="str">
        <f t="shared" ref="S1637:S1700" si="153">IF(O1637="innerText",I1637&amp;"="&amp;IF(C1637="Y",IF(J1637&lt;&gt;"Y",$S$8&amp;$R$9&amp;"."&amp;E1637&amp;")."&amp;IF(OR(O1637="click",O1637="innerText"),O1637&amp;"();",O1637&amp;"("&amp;$Q$8&amp;"."&amp;E1637&amp;");"),$S$7&amp;$R$9&amp;"."&amp;E1637&amp;")."&amp;IF(O1637="click",O1637&amp;"();",O1637&amp;"("&amp;"'"&amp;K1637&amp;"'"&amp;");")),""),IF(C1637="Y",IF(J1637&lt;&gt;"Y",$S$8&amp;$R$9&amp;"."&amp;E1637&amp;")."&amp;IF(OR(O1637="click",O1637="innerText"),O1637&amp;"();",O1637&amp;"("&amp;$Q$8&amp;"."&amp;E1637&amp;");"),$S$7&amp;$R$9&amp;"."&amp;E1637&amp;")."&amp;IF(O1637="click",O1637&amp;"();",O1637&amp;"("&amp;"'"&amp;K1637&amp;"'"&amp;");")),""))</f>
        <v/>
      </c>
    </row>
    <row r="1638" spans="15:19">
      <c r="O1638" s="4" t="str">
        <f t="shared" si="152"/>
        <v>click</v>
      </c>
      <c r="S1638" s="1" t="str">
        <f t="shared" si="153"/>
        <v/>
      </c>
    </row>
    <row r="1639" spans="15:19">
      <c r="O1639" s="4" t="str">
        <f t="shared" si="152"/>
        <v>click</v>
      </c>
      <c r="S1639" s="1" t="str">
        <f t="shared" si="153"/>
        <v/>
      </c>
    </row>
    <row r="1640" spans="15:19">
      <c r="O1640" s="4" t="str">
        <f t="shared" si="152"/>
        <v>click</v>
      </c>
      <c r="S1640" s="1" t="str">
        <f t="shared" si="153"/>
        <v/>
      </c>
    </row>
    <row r="1641" spans="15:19">
      <c r="O1641" s="4" t="str">
        <f t="shared" si="152"/>
        <v>click</v>
      </c>
      <c r="S1641" s="1" t="str">
        <f t="shared" si="153"/>
        <v/>
      </c>
    </row>
    <row r="1642" spans="15:19">
      <c r="O1642" s="4" t="str">
        <f t="shared" si="152"/>
        <v>click</v>
      </c>
      <c r="S1642" s="1" t="str">
        <f t="shared" si="153"/>
        <v/>
      </c>
    </row>
    <row r="1643" spans="15:19">
      <c r="O1643" s="4" t="str">
        <f t="shared" si="152"/>
        <v>click</v>
      </c>
      <c r="S1643" s="1" t="str">
        <f t="shared" si="153"/>
        <v/>
      </c>
    </row>
    <row r="1644" spans="15:19">
      <c r="O1644" s="4" t="str">
        <f t="shared" si="152"/>
        <v>click</v>
      </c>
      <c r="S1644" s="1" t="str">
        <f t="shared" si="153"/>
        <v/>
      </c>
    </row>
    <row r="1645" spans="15:19">
      <c r="O1645" s="4" t="str">
        <f t="shared" si="152"/>
        <v>click</v>
      </c>
      <c r="S1645" s="1" t="str">
        <f t="shared" si="153"/>
        <v/>
      </c>
    </row>
    <row r="1646" spans="15:19">
      <c r="O1646" s="4" t="str">
        <f t="shared" si="152"/>
        <v>click</v>
      </c>
      <c r="S1646" s="1" t="str">
        <f t="shared" si="153"/>
        <v/>
      </c>
    </row>
    <row r="1647" spans="15:19">
      <c r="O1647" s="4" t="str">
        <f t="shared" si="152"/>
        <v>click</v>
      </c>
      <c r="S1647" s="1" t="str">
        <f t="shared" si="153"/>
        <v/>
      </c>
    </row>
    <row r="1648" spans="15:19">
      <c r="O1648" s="4" t="str">
        <f t="shared" si="152"/>
        <v>click</v>
      </c>
      <c r="S1648" s="1" t="str">
        <f t="shared" si="153"/>
        <v/>
      </c>
    </row>
    <row r="1649" spans="15:19">
      <c r="O1649" s="4" t="str">
        <f t="shared" si="152"/>
        <v>click</v>
      </c>
      <c r="S1649" s="1" t="str">
        <f t="shared" si="153"/>
        <v/>
      </c>
    </row>
    <row r="1650" spans="15:19">
      <c r="O1650" s="4" t="str">
        <f t="shared" si="152"/>
        <v>click</v>
      </c>
      <c r="S1650" s="1" t="str">
        <f t="shared" si="153"/>
        <v/>
      </c>
    </row>
    <row r="1651" spans="15:19">
      <c r="O1651" s="4" t="str">
        <f t="shared" si="152"/>
        <v>click</v>
      </c>
      <c r="S1651" s="1" t="str">
        <f t="shared" si="153"/>
        <v/>
      </c>
    </row>
    <row r="1652" spans="15:19">
      <c r="O1652" s="4" t="str">
        <f t="shared" si="152"/>
        <v>click</v>
      </c>
      <c r="S1652" s="1" t="str">
        <f t="shared" si="153"/>
        <v/>
      </c>
    </row>
    <row r="1653" spans="15:19">
      <c r="O1653" s="4" t="str">
        <f t="shared" si="152"/>
        <v>click</v>
      </c>
      <c r="S1653" s="1" t="str">
        <f t="shared" si="153"/>
        <v/>
      </c>
    </row>
    <row r="1654" spans="15:19">
      <c r="O1654" s="4" t="str">
        <f t="shared" si="152"/>
        <v>click</v>
      </c>
      <c r="S1654" s="1" t="str">
        <f t="shared" si="153"/>
        <v/>
      </c>
    </row>
    <row r="1655" spans="15:19">
      <c r="O1655" s="4" t="str">
        <f t="shared" si="152"/>
        <v>click</v>
      </c>
      <c r="S1655" s="1" t="str">
        <f t="shared" si="153"/>
        <v/>
      </c>
    </row>
    <row r="1656" spans="15:19">
      <c r="O1656" s="4" t="str">
        <f t="shared" si="152"/>
        <v>click</v>
      </c>
      <c r="S1656" s="1" t="str">
        <f t="shared" si="153"/>
        <v/>
      </c>
    </row>
    <row r="1657" spans="15:19">
      <c r="O1657" s="4" t="str">
        <f t="shared" si="152"/>
        <v>click</v>
      </c>
      <c r="S1657" s="1" t="str">
        <f t="shared" si="153"/>
        <v/>
      </c>
    </row>
    <row r="1658" spans="15:19">
      <c r="O1658" s="4" t="str">
        <f t="shared" si="152"/>
        <v>click</v>
      </c>
      <c r="S1658" s="1" t="str">
        <f t="shared" si="153"/>
        <v/>
      </c>
    </row>
    <row r="1659" spans="15:19">
      <c r="O1659" s="4" t="str">
        <f t="shared" si="152"/>
        <v>click</v>
      </c>
      <c r="S1659" s="1" t="str">
        <f t="shared" si="153"/>
        <v/>
      </c>
    </row>
    <row r="1660" spans="15:19">
      <c r="O1660" s="4" t="str">
        <f t="shared" si="152"/>
        <v>click</v>
      </c>
      <c r="S1660" s="1" t="str">
        <f t="shared" si="153"/>
        <v/>
      </c>
    </row>
    <row r="1661" spans="15:19">
      <c r="O1661" s="4" t="str">
        <f t="shared" si="152"/>
        <v>click</v>
      </c>
      <c r="S1661" s="1" t="str">
        <f t="shared" si="153"/>
        <v/>
      </c>
    </row>
    <row r="1662" spans="15:19">
      <c r="O1662" s="4" t="str">
        <f t="shared" si="152"/>
        <v>click</v>
      </c>
      <c r="S1662" s="1" t="str">
        <f t="shared" si="153"/>
        <v/>
      </c>
    </row>
    <row r="1663" spans="15:19">
      <c r="O1663" s="4" t="str">
        <f t="shared" si="152"/>
        <v>click</v>
      </c>
      <c r="S1663" s="1" t="str">
        <f t="shared" si="153"/>
        <v/>
      </c>
    </row>
    <row r="1664" spans="15:19">
      <c r="O1664" s="4" t="str">
        <f t="shared" si="152"/>
        <v>click</v>
      </c>
      <c r="S1664" s="1" t="str">
        <f t="shared" si="153"/>
        <v/>
      </c>
    </row>
    <row r="1665" spans="15:19">
      <c r="O1665" s="4" t="str">
        <f t="shared" si="152"/>
        <v>click</v>
      </c>
      <c r="S1665" s="1" t="str">
        <f t="shared" si="153"/>
        <v/>
      </c>
    </row>
    <row r="1666" spans="15:19">
      <c r="O1666" s="4" t="str">
        <f t="shared" si="152"/>
        <v>click</v>
      </c>
      <c r="S1666" s="1" t="str">
        <f t="shared" si="153"/>
        <v/>
      </c>
    </row>
    <row r="1667" spans="15:19">
      <c r="O1667" s="4" t="str">
        <f t="shared" si="152"/>
        <v>click</v>
      </c>
      <c r="S1667" s="1" t="str">
        <f t="shared" si="153"/>
        <v/>
      </c>
    </row>
    <row r="1668" spans="15:19">
      <c r="O1668" s="4" t="str">
        <f t="shared" si="152"/>
        <v>click</v>
      </c>
      <c r="S1668" s="1" t="str">
        <f t="shared" si="153"/>
        <v/>
      </c>
    </row>
    <row r="1669" spans="15:19">
      <c r="O1669" s="4" t="str">
        <f t="shared" si="152"/>
        <v>click</v>
      </c>
      <c r="S1669" s="1" t="str">
        <f t="shared" si="153"/>
        <v/>
      </c>
    </row>
    <row r="1670" spans="15:19">
      <c r="O1670" s="4" t="str">
        <f t="shared" si="152"/>
        <v>click</v>
      </c>
      <c r="S1670" s="1" t="str">
        <f t="shared" si="153"/>
        <v/>
      </c>
    </row>
    <row r="1671" spans="15:19">
      <c r="O1671" s="4" t="str">
        <f t="shared" si="152"/>
        <v>click</v>
      </c>
      <c r="S1671" s="1" t="str">
        <f t="shared" si="153"/>
        <v/>
      </c>
    </row>
    <row r="1672" spans="15:19">
      <c r="O1672" s="4" t="str">
        <f t="shared" si="152"/>
        <v>click</v>
      </c>
      <c r="S1672" s="1" t="str">
        <f t="shared" si="153"/>
        <v/>
      </c>
    </row>
    <row r="1673" spans="15:19">
      <c r="O1673" s="4" t="str">
        <f t="shared" si="152"/>
        <v>click</v>
      </c>
      <c r="S1673" s="1" t="str">
        <f t="shared" si="153"/>
        <v/>
      </c>
    </row>
    <row r="1674" spans="15:19">
      <c r="O1674" s="4" t="str">
        <f t="shared" si="152"/>
        <v>click</v>
      </c>
      <c r="S1674" s="1" t="str">
        <f t="shared" si="153"/>
        <v/>
      </c>
    </row>
    <row r="1675" spans="15:19">
      <c r="O1675" s="4" t="str">
        <f t="shared" si="152"/>
        <v>click</v>
      </c>
      <c r="S1675" s="1" t="str">
        <f t="shared" si="153"/>
        <v/>
      </c>
    </row>
    <row r="1676" spans="15:19">
      <c r="O1676" s="4" t="str">
        <f t="shared" si="152"/>
        <v>click</v>
      </c>
      <c r="S1676" s="1" t="str">
        <f t="shared" si="153"/>
        <v/>
      </c>
    </row>
    <row r="1677" spans="15:19">
      <c r="O1677" s="4" t="str">
        <f t="shared" si="152"/>
        <v>click</v>
      </c>
      <c r="S1677" s="1" t="str">
        <f t="shared" si="153"/>
        <v/>
      </c>
    </row>
    <row r="1678" spans="15:19">
      <c r="O1678" s="4" t="str">
        <f t="shared" si="152"/>
        <v>click</v>
      </c>
      <c r="S1678" s="1" t="str">
        <f t="shared" si="153"/>
        <v/>
      </c>
    </row>
    <row r="1679" spans="15:19">
      <c r="O1679" s="4" t="str">
        <f t="shared" si="152"/>
        <v>click</v>
      </c>
      <c r="S1679" s="1" t="str">
        <f t="shared" si="153"/>
        <v/>
      </c>
    </row>
    <row r="1680" spans="15:19">
      <c r="O1680" s="4" t="str">
        <f t="shared" si="152"/>
        <v>click</v>
      </c>
      <c r="S1680" s="1" t="str">
        <f t="shared" si="153"/>
        <v/>
      </c>
    </row>
    <row r="1681" spans="15:19">
      <c r="O1681" s="4" t="str">
        <f t="shared" si="152"/>
        <v>click</v>
      </c>
      <c r="S1681" s="1" t="str">
        <f t="shared" si="153"/>
        <v/>
      </c>
    </row>
    <row r="1682" spans="15:19">
      <c r="O1682" s="4" t="str">
        <f t="shared" si="152"/>
        <v>click</v>
      </c>
      <c r="S1682" s="1" t="str">
        <f t="shared" si="153"/>
        <v/>
      </c>
    </row>
    <row r="1683" spans="15:19">
      <c r="O1683" s="4" t="str">
        <f t="shared" si="152"/>
        <v>click</v>
      </c>
      <c r="S1683" s="1" t="str">
        <f t="shared" si="153"/>
        <v/>
      </c>
    </row>
    <row r="1684" spans="15:19">
      <c r="O1684" s="4" t="str">
        <f t="shared" si="152"/>
        <v>click</v>
      </c>
      <c r="S1684" s="1" t="str">
        <f t="shared" si="153"/>
        <v/>
      </c>
    </row>
    <row r="1685" spans="15:19">
      <c r="O1685" s="4" t="str">
        <f t="shared" ref="O1685:O1748" si="154">IF(D1685="input","fill",IF(I1685&lt;&gt;"","innerText",IF(J1685="Y",$T$7,"click")))</f>
        <v>click</v>
      </c>
      <c r="S1685" s="1" t="str">
        <f t="shared" si="153"/>
        <v/>
      </c>
    </row>
    <row r="1686" spans="15:19">
      <c r="O1686" s="4" t="str">
        <f t="shared" si="154"/>
        <v>click</v>
      </c>
      <c r="S1686" s="1" t="str">
        <f t="shared" si="153"/>
        <v/>
      </c>
    </row>
    <row r="1687" spans="15:19">
      <c r="O1687" s="4" t="str">
        <f t="shared" si="154"/>
        <v>click</v>
      </c>
      <c r="S1687" s="1" t="str">
        <f t="shared" si="153"/>
        <v/>
      </c>
    </row>
    <row r="1688" spans="15:19">
      <c r="O1688" s="4" t="str">
        <f t="shared" si="154"/>
        <v>click</v>
      </c>
      <c r="S1688" s="1" t="str">
        <f t="shared" si="153"/>
        <v/>
      </c>
    </row>
    <row r="1689" spans="15:19">
      <c r="O1689" s="4" t="str">
        <f t="shared" si="154"/>
        <v>click</v>
      </c>
      <c r="S1689" s="1" t="str">
        <f t="shared" si="153"/>
        <v/>
      </c>
    </row>
    <row r="1690" spans="15:19">
      <c r="O1690" s="4" t="str">
        <f t="shared" si="154"/>
        <v>click</v>
      </c>
      <c r="S1690" s="1" t="str">
        <f t="shared" si="153"/>
        <v/>
      </c>
    </row>
    <row r="1691" spans="15:19">
      <c r="O1691" s="4" t="str">
        <f t="shared" si="154"/>
        <v>click</v>
      </c>
      <c r="S1691" s="1" t="str">
        <f t="shared" si="153"/>
        <v/>
      </c>
    </row>
    <row r="1692" spans="15:19">
      <c r="O1692" s="4" t="str">
        <f t="shared" si="154"/>
        <v>click</v>
      </c>
      <c r="S1692" s="1" t="str">
        <f t="shared" si="153"/>
        <v/>
      </c>
    </row>
    <row r="1693" spans="15:19">
      <c r="O1693" s="4" t="str">
        <f t="shared" si="154"/>
        <v>click</v>
      </c>
      <c r="S1693" s="1" t="str">
        <f t="shared" si="153"/>
        <v/>
      </c>
    </row>
    <row r="1694" spans="15:19">
      <c r="O1694" s="4" t="str">
        <f t="shared" si="154"/>
        <v>click</v>
      </c>
      <c r="S1694" s="1" t="str">
        <f t="shared" si="153"/>
        <v/>
      </c>
    </row>
    <row r="1695" spans="15:19">
      <c r="O1695" s="4" t="str">
        <f t="shared" si="154"/>
        <v>click</v>
      </c>
      <c r="S1695" s="1" t="str">
        <f t="shared" si="153"/>
        <v/>
      </c>
    </row>
    <row r="1696" spans="15:19">
      <c r="O1696" s="4" t="str">
        <f t="shared" si="154"/>
        <v>click</v>
      </c>
      <c r="S1696" s="1" t="str">
        <f t="shared" si="153"/>
        <v/>
      </c>
    </row>
    <row r="1697" spans="15:19">
      <c r="O1697" s="4" t="str">
        <f t="shared" si="154"/>
        <v>click</v>
      </c>
      <c r="S1697" s="1" t="str">
        <f t="shared" si="153"/>
        <v/>
      </c>
    </row>
    <row r="1698" spans="15:19">
      <c r="O1698" s="4" t="str">
        <f t="shared" si="154"/>
        <v>click</v>
      </c>
      <c r="S1698" s="1" t="str">
        <f t="shared" si="153"/>
        <v/>
      </c>
    </row>
    <row r="1699" spans="15:19">
      <c r="O1699" s="4" t="str">
        <f t="shared" si="154"/>
        <v>click</v>
      </c>
      <c r="S1699" s="1" t="str">
        <f t="shared" si="153"/>
        <v/>
      </c>
    </row>
    <row r="1700" spans="15:19">
      <c r="O1700" s="4" t="str">
        <f t="shared" si="154"/>
        <v>click</v>
      </c>
      <c r="S1700" s="1" t="str">
        <f t="shared" si="153"/>
        <v/>
      </c>
    </row>
    <row r="1701" spans="15:19">
      <c r="O1701" s="4" t="str">
        <f t="shared" si="154"/>
        <v>click</v>
      </c>
      <c r="S1701" s="1" t="str">
        <f t="shared" ref="S1701:S1764" si="155">IF(O1701="innerText",I1701&amp;"="&amp;IF(C1701="Y",IF(J1701&lt;&gt;"Y",$S$8&amp;$R$9&amp;"."&amp;E1701&amp;")."&amp;IF(OR(O1701="click",O1701="innerText"),O1701&amp;"();",O1701&amp;"("&amp;$Q$8&amp;"."&amp;E1701&amp;");"),$S$7&amp;$R$9&amp;"."&amp;E1701&amp;")."&amp;IF(O1701="click",O1701&amp;"();",O1701&amp;"("&amp;"'"&amp;K1701&amp;"'"&amp;");")),""),IF(C1701="Y",IF(J1701&lt;&gt;"Y",$S$8&amp;$R$9&amp;"."&amp;E1701&amp;")."&amp;IF(OR(O1701="click",O1701="innerText"),O1701&amp;"();",O1701&amp;"("&amp;$Q$8&amp;"."&amp;E1701&amp;");"),$S$7&amp;$R$9&amp;"."&amp;E1701&amp;")."&amp;IF(O1701="click",O1701&amp;"();",O1701&amp;"("&amp;"'"&amp;K1701&amp;"'"&amp;");")),""))</f>
        <v/>
      </c>
    </row>
    <row r="1702" spans="15:19">
      <c r="O1702" s="4" t="str">
        <f t="shared" si="154"/>
        <v>click</v>
      </c>
      <c r="S1702" s="1" t="str">
        <f t="shared" si="155"/>
        <v/>
      </c>
    </row>
    <row r="1703" spans="15:19">
      <c r="O1703" s="4" t="str">
        <f t="shared" si="154"/>
        <v>click</v>
      </c>
      <c r="S1703" s="1" t="str">
        <f t="shared" si="155"/>
        <v/>
      </c>
    </row>
    <row r="1704" spans="15:19">
      <c r="O1704" s="4" t="str">
        <f t="shared" si="154"/>
        <v>click</v>
      </c>
      <c r="S1704" s="1" t="str">
        <f t="shared" si="155"/>
        <v/>
      </c>
    </row>
    <row r="1705" spans="15:19">
      <c r="O1705" s="4" t="str">
        <f t="shared" si="154"/>
        <v>click</v>
      </c>
      <c r="S1705" s="1" t="str">
        <f t="shared" si="155"/>
        <v/>
      </c>
    </row>
    <row r="1706" spans="15:19">
      <c r="O1706" s="4" t="str">
        <f t="shared" si="154"/>
        <v>click</v>
      </c>
      <c r="S1706" s="1" t="str">
        <f t="shared" si="155"/>
        <v/>
      </c>
    </row>
    <row r="1707" spans="15:19">
      <c r="O1707" s="4" t="str">
        <f t="shared" si="154"/>
        <v>click</v>
      </c>
      <c r="S1707" s="1" t="str">
        <f t="shared" si="155"/>
        <v/>
      </c>
    </row>
    <row r="1708" spans="15:19">
      <c r="O1708" s="4" t="str">
        <f t="shared" si="154"/>
        <v>click</v>
      </c>
      <c r="S1708" s="1" t="str">
        <f t="shared" si="155"/>
        <v/>
      </c>
    </row>
    <row r="1709" spans="15:19">
      <c r="O1709" s="4" t="str">
        <f t="shared" si="154"/>
        <v>click</v>
      </c>
      <c r="S1709" s="1" t="str">
        <f t="shared" si="155"/>
        <v/>
      </c>
    </row>
    <row r="1710" spans="15:19">
      <c r="O1710" s="4" t="str">
        <f t="shared" si="154"/>
        <v>click</v>
      </c>
      <c r="S1710" s="1" t="str">
        <f t="shared" si="155"/>
        <v/>
      </c>
    </row>
    <row r="1711" spans="15:19">
      <c r="O1711" s="4" t="str">
        <f t="shared" si="154"/>
        <v>click</v>
      </c>
      <c r="S1711" s="1" t="str">
        <f t="shared" si="155"/>
        <v/>
      </c>
    </row>
    <row r="1712" spans="15:19">
      <c r="O1712" s="4" t="str">
        <f t="shared" si="154"/>
        <v>click</v>
      </c>
      <c r="S1712" s="1" t="str">
        <f t="shared" si="155"/>
        <v/>
      </c>
    </row>
    <row r="1713" spans="15:19">
      <c r="O1713" s="4" t="str">
        <f t="shared" si="154"/>
        <v>click</v>
      </c>
      <c r="S1713" s="1" t="str">
        <f t="shared" si="155"/>
        <v/>
      </c>
    </row>
    <row r="1714" spans="15:19">
      <c r="O1714" s="4" t="str">
        <f t="shared" si="154"/>
        <v>click</v>
      </c>
      <c r="S1714" s="1" t="str">
        <f t="shared" si="155"/>
        <v/>
      </c>
    </row>
    <row r="1715" spans="15:19">
      <c r="O1715" s="4" t="str">
        <f t="shared" si="154"/>
        <v>click</v>
      </c>
      <c r="S1715" s="1" t="str">
        <f t="shared" si="155"/>
        <v/>
      </c>
    </row>
    <row r="1716" spans="15:19">
      <c r="O1716" s="4" t="str">
        <f t="shared" si="154"/>
        <v>click</v>
      </c>
      <c r="S1716" s="1" t="str">
        <f t="shared" si="155"/>
        <v/>
      </c>
    </row>
    <row r="1717" spans="15:19">
      <c r="O1717" s="4" t="str">
        <f t="shared" si="154"/>
        <v>click</v>
      </c>
      <c r="S1717" s="1" t="str">
        <f t="shared" si="155"/>
        <v/>
      </c>
    </row>
    <row r="1718" spans="15:19">
      <c r="O1718" s="4" t="str">
        <f t="shared" si="154"/>
        <v>click</v>
      </c>
      <c r="S1718" s="1" t="str">
        <f t="shared" si="155"/>
        <v/>
      </c>
    </row>
    <row r="1719" spans="15:19">
      <c r="O1719" s="4" t="str">
        <f t="shared" si="154"/>
        <v>click</v>
      </c>
      <c r="S1719" s="1" t="str">
        <f t="shared" si="155"/>
        <v/>
      </c>
    </row>
    <row r="1720" spans="15:19">
      <c r="O1720" s="4" t="str">
        <f t="shared" si="154"/>
        <v>click</v>
      </c>
      <c r="S1720" s="1" t="str">
        <f t="shared" si="155"/>
        <v/>
      </c>
    </row>
    <row r="1721" spans="15:19">
      <c r="O1721" s="4" t="str">
        <f t="shared" si="154"/>
        <v>click</v>
      </c>
      <c r="S1721" s="1" t="str">
        <f t="shared" si="155"/>
        <v/>
      </c>
    </row>
    <row r="1722" spans="15:19">
      <c r="O1722" s="4" t="str">
        <f t="shared" si="154"/>
        <v>click</v>
      </c>
      <c r="S1722" s="1" t="str">
        <f t="shared" si="155"/>
        <v/>
      </c>
    </row>
    <row r="1723" spans="15:19">
      <c r="O1723" s="4" t="str">
        <f t="shared" si="154"/>
        <v>click</v>
      </c>
      <c r="S1723" s="1" t="str">
        <f t="shared" si="155"/>
        <v/>
      </c>
    </row>
    <row r="1724" spans="15:19">
      <c r="O1724" s="4" t="str">
        <f t="shared" si="154"/>
        <v>click</v>
      </c>
      <c r="S1724" s="1" t="str">
        <f t="shared" si="155"/>
        <v/>
      </c>
    </row>
    <row r="1725" spans="15:19">
      <c r="O1725" s="4" t="str">
        <f t="shared" si="154"/>
        <v>click</v>
      </c>
      <c r="S1725" s="1" t="str">
        <f t="shared" si="155"/>
        <v/>
      </c>
    </row>
    <row r="1726" spans="15:19">
      <c r="O1726" s="4" t="str">
        <f t="shared" si="154"/>
        <v>click</v>
      </c>
      <c r="S1726" s="1" t="str">
        <f t="shared" si="155"/>
        <v/>
      </c>
    </row>
    <row r="1727" spans="15:19">
      <c r="O1727" s="4" t="str">
        <f t="shared" si="154"/>
        <v>click</v>
      </c>
      <c r="S1727" s="1" t="str">
        <f t="shared" si="155"/>
        <v/>
      </c>
    </row>
    <row r="1728" spans="15:19">
      <c r="O1728" s="4" t="str">
        <f t="shared" si="154"/>
        <v>click</v>
      </c>
      <c r="S1728" s="1" t="str">
        <f t="shared" si="155"/>
        <v/>
      </c>
    </row>
    <row r="1729" spans="15:19">
      <c r="O1729" s="4" t="str">
        <f t="shared" si="154"/>
        <v>click</v>
      </c>
      <c r="S1729" s="1" t="str">
        <f t="shared" si="155"/>
        <v/>
      </c>
    </row>
    <row r="1730" spans="15:19">
      <c r="O1730" s="4" t="str">
        <f t="shared" si="154"/>
        <v>click</v>
      </c>
      <c r="S1730" s="1" t="str">
        <f t="shared" si="155"/>
        <v/>
      </c>
    </row>
    <row r="1731" spans="15:19">
      <c r="O1731" s="4" t="str">
        <f t="shared" si="154"/>
        <v>click</v>
      </c>
      <c r="S1731" s="1" t="str">
        <f t="shared" si="155"/>
        <v/>
      </c>
    </row>
    <row r="1732" spans="15:19">
      <c r="O1732" s="4" t="str">
        <f t="shared" si="154"/>
        <v>click</v>
      </c>
      <c r="S1732" s="1" t="str">
        <f t="shared" si="155"/>
        <v/>
      </c>
    </row>
    <row r="1733" spans="15:19">
      <c r="O1733" s="4" t="str">
        <f t="shared" si="154"/>
        <v>click</v>
      </c>
      <c r="S1733" s="1" t="str">
        <f t="shared" si="155"/>
        <v/>
      </c>
    </row>
    <row r="1734" spans="15:19">
      <c r="O1734" s="4" t="str">
        <f t="shared" si="154"/>
        <v>click</v>
      </c>
      <c r="S1734" s="1" t="str">
        <f t="shared" si="155"/>
        <v/>
      </c>
    </row>
    <row r="1735" spans="15:19">
      <c r="O1735" s="4" t="str">
        <f t="shared" si="154"/>
        <v>click</v>
      </c>
      <c r="S1735" s="1" t="str">
        <f t="shared" si="155"/>
        <v/>
      </c>
    </row>
    <row r="1736" spans="15:19">
      <c r="O1736" s="4" t="str">
        <f t="shared" si="154"/>
        <v>click</v>
      </c>
      <c r="S1736" s="1" t="str">
        <f t="shared" si="155"/>
        <v/>
      </c>
    </row>
    <row r="1737" spans="15:19">
      <c r="O1737" s="4" t="str">
        <f t="shared" si="154"/>
        <v>click</v>
      </c>
      <c r="S1737" s="1" t="str">
        <f t="shared" si="155"/>
        <v/>
      </c>
    </row>
    <row r="1738" spans="15:19">
      <c r="O1738" s="4" t="str">
        <f t="shared" si="154"/>
        <v>click</v>
      </c>
      <c r="S1738" s="1" t="str">
        <f t="shared" si="155"/>
        <v/>
      </c>
    </row>
    <row r="1739" spans="15:19">
      <c r="O1739" s="4" t="str">
        <f t="shared" si="154"/>
        <v>click</v>
      </c>
      <c r="S1739" s="1" t="str">
        <f t="shared" si="155"/>
        <v/>
      </c>
    </row>
    <row r="1740" spans="15:19">
      <c r="O1740" s="4" t="str">
        <f t="shared" si="154"/>
        <v>click</v>
      </c>
      <c r="S1740" s="1" t="str">
        <f t="shared" si="155"/>
        <v/>
      </c>
    </row>
    <row r="1741" spans="15:19">
      <c r="O1741" s="4" t="str">
        <f t="shared" si="154"/>
        <v>click</v>
      </c>
      <c r="S1741" s="1" t="str">
        <f t="shared" si="155"/>
        <v/>
      </c>
    </row>
    <row r="1742" spans="15:19">
      <c r="O1742" s="4" t="str">
        <f t="shared" si="154"/>
        <v>click</v>
      </c>
      <c r="S1742" s="1" t="str">
        <f t="shared" si="155"/>
        <v/>
      </c>
    </row>
    <row r="1743" spans="15:19">
      <c r="O1743" s="4" t="str">
        <f t="shared" si="154"/>
        <v>click</v>
      </c>
      <c r="S1743" s="1" t="str">
        <f t="shared" si="155"/>
        <v/>
      </c>
    </row>
    <row r="1744" spans="15:19">
      <c r="O1744" s="4" t="str">
        <f t="shared" si="154"/>
        <v>click</v>
      </c>
      <c r="S1744" s="1" t="str">
        <f t="shared" si="155"/>
        <v/>
      </c>
    </row>
    <row r="1745" spans="15:19">
      <c r="O1745" s="4" t="str">
        <f t="shared" si="154"/>
        <v>click</v>
      </c>
      <c r="S1745" s="1" t="str">
        <f t="shared" si="155"/>
        <v/>
      </c>
    </row>
    <row r="1746" spans="15:19">
      <c r="O1746" s="4" t="str">
        <f t="shared" si="154"/>
        <v>click</v>
      </c>
      <c r="S1746" s="1" t="str">
        <f t="shared" si="155"/>
        <v/>
      </c>
    </row>
    <row r="1747" spans="15:19">
      <c r="O1747" s="4" t="str">
        <f t="shared" si="154"/>
        <v>click</v>
      </c>
      <c r="S1747" s="1" t="str">
        <f t="shared" si="155"/>
        <v/>
      </c>
    </row>
    <row r="1748" spans="15:19">
      <c r="O1748" s="4" t="str">
        <f t="shared" si="154"/>
        <v>click</v>
      </c>
      <c r="S1748" s="1" t="str">
        <f t="shared" si="155"/>
        <v/>
      </c>
    </row>
    <row r="1749" spans="15:19">
      <c r="O1749" s="4" t="str">
        <f t="shared" ref="O1749:O1812" si="156">IF(D1749="input","fill",IF(I1749&lt;&gt;"","innerText",IF(J1749="Y",$T$7,"click")))</f>
        <v>click</v>
      </c>
      <c r="S1749" s="1" t="str">
        <f t="shared" si="155"/>
        <v/>
      </c>
    </row>
    <row r="1750" spans="15:19">
      <c r="O1750" s="4" t="str">
        <f t="shared" si="156"/>
        <v>click</v>
      </c>
      <c r="S1750" s="1" t="str">
        <f t="shared" si="155"/>
        <v/>
      </c>
    </row>
    <row r="1751" spans="15:19">
      <c r="O1751" s="4" t="str">
        <f t="shared" si="156"/>
        <v>click</v>
      </c>
      <c r="S1751" s="1" t="str">
        <f t="shared" si="155"/>
        <v/>
      </c>
    </row>
    <row r="1752" spans="15:19">
      <c r="O1752" s="4" t="str">
        <f t="shared" si="156"/>
        <v>click</v>
      </c>
      <c r="S1752" s="1" t="str">
        <f t="shared" si="155"/>
        <v/>
      </c>
    </row>
    <row r="1753" spans="15:19">
      <c r="O1753" s="4" t="str">
        <f t="shared" si="156"/>
        <v>click</v>
      </c>
      <c r="S1753" s="1" t="str">
        <f t="shared" si="155"/>
        <v/>
      </c>
    </row>
    <row r="1754" spans="15:19">
      <c r="O1754" s="4" t="str">
        <f t="shared" si="156"/>
        <v>click</v>
      </c>
      <c r="S1754" s="1" t="str">
        <f t="shared" si="155"/>
        <v/>
      </c>
    </row>
    <row r="1755" spans="15:19">
      <c r="O1755" s="4" t="str">
        <f t="shared" si="156"/>
        <v>click</v>
      </c>
      <c r="S1755" s="1" t="str">
        <f t="shared" si="155"/>
        <v/>
      </c>
    </row>
    <row r="1756" spans="15:19">
      <c r="O1756" s="4" t="str">
        <f t="shared" si="156"/>
        <v>click</v>
      </c>
      <c r="S1756" s="1" t="str">
        <f t="shared" si="155"/>
        <v/>
      </c>
    </row>
    <row r="1757" spans="15:19">
      <c r="O1757" s="4" t="str">
        <f t="shared" si="156"/>
        <v>click</v>
      </c>
      <c r="S1757" s="1" t="str">
        <f t="shared" si="155"/>
        <v/>
      </c>
    </row>
    <row r="1758" spans="15:19">
      <c r="O1758" s="4" t="str">
        <f t="shared" si="156"/>
        <v>click</v>
      </c>
      <c r="S1758" s="1" t="str">
        <f t="shared" si="155"/>
        <v/>
      </c>
    </row>
    <row r="1759" spans="15:19">
      <c r="O1759" s="4" t="str">
        <f t="shared" si="156"/>
        <v>click</v>
      </c>
      <c r="S1759" s="1" t="str">
        <f t="shared" si="155"/>
        <v/>
      </c>
    </row>
    <row r="1760" spans="15:19">
      <c r="O1760" s="4" t="str">
        <f t="shared" si="156"/>
        <v>click</v>
      </c>
      <c r="S1760" s="1" t="str">
        <f t="shared" si="155"/>
        <v/>
      </c>
    </row>
    <row r="1761" spans="15:19">
      <c r="O1761" s="4" t="str">
        <f t="shared" si="156"/>
        <v>click</v>
      </c>
      <c r="S1761" s="1" t="str">
        <f t="shared" si="155"/>
        <v/>
      </c>
    </row>
    <row r="1762" spans="15:19">
      <c r="O1762" s="4" t="str">
        <f t="shared" si="156"/>
        <v>click</v>
      </c>
      <c r="S1762" s="1" t="str">
        <f t="shared" si="155"/>
        <v/>
      </c>
    </row>
    <row r="1763" spans="15:19">
      <c r="O1763" s="4" t="str">
        <f t="shared" si="156"/>
        <v>click</v>
      </c>
      <c r="S1763" s="1" t="str">
        <f t="shared" si="155"/>
        <v/>
      </c>
    </row>
    <row r="1764" spans="15:19">
      <c r="O1764" s="4" t="str">
        <f t="shared" si="156"/>
        <v>click</v>
      </c>
      <c r="S1764" s="1" t="str">
        <f t="shared" si="155"/>
        <v/>
      </c>
    </row>
    <row r="1765" spans="15:19">
      <c r="O1765" s="4" t="str">
        <f t="shared" si="156"/>
        <v>click</v>
      </c>
      <c r="S1765" s="1" t="str">
        <f t="shared" ref="S1765:S1828" si="157">IF(O1765="innerText",I1765&amp;"="&amp;IF(C1765="Y",IF(J1765&lt;&gt;"Y",$S$8&amp;$R$9&amp;"."&amp;E1765&amp;")."&amp;IF(OR(O1765="click",O1765="innerText"),O1765&amp;"();",O1765&amp;"("&amp;$Q$8&amp;"."&amp;E1765&amp;");"),$S$7&amp;$R$9&amp;"."&amp;E1765&amp;")."&amp;IF(O1765="click",O1765&amp;"();",O1765&amp;"("&amp;"'"&amp;K1765&amp;"'"&amp;");")),""),IF(C1765="Y",IF(J1765&lt;&gt;"Y",$S$8&amp;$R$9&amp;"."&amp;E1765&amp;")."&amp;IF(OR(O1765="click",O1765="innerText"),O1765&amp;"();",O1765&amp;"("&amp;$Q$8&amp;"."&amp;E1765&amp;");"),$S$7&amp;$R$9&amp;"."&amp;E1765&amp;")."&amp;IF(O1765="click",O1765&amp;"();",O1765&amp;"("&amp;"'"&amp;K1765&amp;"'"&amp;");")),""))</f>
        <v/>
      </c>
    </row>
    <row r="1766" spans="15:19">
      <c r="O1766" s="4" t="str">
        <f t="shared" si="156"/>
        <v>click</v>
      </c>
      <c r="S1766" s="1" t="str">
        <f t="shared" si="157"/>
        <v/>
      </c>
    </row>
    <row r="1767" spans="15:19">
      <c r="O1767" s="4" t="str">
        <f t="shared" si="156"/>
        <v>click</v>
      </c>
      <c r="S1767" s="1" t="str">
        <f t="shared" si="157"/>
        <v/>
      </c>
    </row>
    <row r="1768" spans="15:19">
      <c r="O1768" s="4" t="str">
        <f t="shared" si="156"/>
        <v>click</v>
      </c>
      <c r="S1768" s="1" t="str">
        <f t="shared" si="157"/>
        <v/>
      </c>
    </row>
    <row r="1769" spans="15:19">
      <c r="O1769" s="4" t="str">
        <f t="shared" si="156"/>
        <v>click</v>
      </c>
      <c r="S1769" s="1" t="str">
        <f t="shared" si="157"/>
        <v/>
      </c>
    </row>
    <row r="1770" spans="15:19">
      <c r="O1770" s="4" t="str">
        <f t="shared" si="156"/>
        <v>click</v>
      </c>
      <c r="S1770" s="1" t="str">
        <f t="shared" si="157"/>
        <v/>
      </c>
    </row>
    <row r="1771" spans="15:19">
      <c r="O1771" s="4" t="str">
        <f t="shared" si="156"/>
        <v>click</v>
      </c>
      <c r="S1771" s="1" t="str">
        <f t="shared" si="157"/>
        <v/>
      </c>
    </row>
    <row r="1772" spans="15:19">
      <c r="O1772" s="4" t="str">
        <f t="shared" si="156"/>
        <v>click</v>
      </c>
      <c r="S1772" s="1" t="str">
        <f t="shared" si="157"/>
        <v/>
      </c>
    </row>
    <row r="1773" spans="15:19">
      <c r="O1773" s="4" t="str">
        <f t="shared" si="156"/>
        <v>click</v>
      </c>
      <c r="S1773" s="1" t="str">
        <f t="shared" si="157"/>
        <v/>
      </c>
    </row>
    <row r="1774" spans="15:19">
      <c r="O1774" s="4" t="str">
        <f t="shared" si="156"/>
        <v>click</v>
      </c>
      <c r="S1774" s="1" t="str">
        <f t="shared" si="157"/>
        <v/>
      </c>
    </row>
    <row r="1775" spans="15:19">
      <c r="O1775" s="4" t="str">
        <f t="shared" si="156"/>
        <v>click</v>
      </c>
      <c r="S1775" s="1" t="str">
        <f t="shared" si="157"/>
        <v/>
      </c>
    </row>
    <row r="1776" spans="15:19">
      <c r="O1776" s="4" t="str">
        <f t="shared" si="156"/>
        <v>click</v>
      </c>
      <c r="S1776" s="1" t="str">
        <f t="shared" si="157"/>
        <v/>
      </c>
    </row>
    <row r="1777" spans="15:19">
      <c r="O1777" s="4" t="str">
        <f t="shared" si="156"/>
        <v>click</v>
      </c>
      <c r="S1777" s="1" t="str">
        <f t="shared" si="157"/>
        <v/>
      </c>
    </row>
    <row r="1778" spans="15:19">
      <c r="O1778" s="4" t="str">
        <f t="shared" si="156"/>
        <v>click</v>
      </c>
      <c r="S1778" s="1" t="str">
        <f t="shared" si="157"/>
        <v/>
      </c>
    </row>
    <row r="1779" spans="15:19">
      <c r="O1779" s="4" t="str">
        <f t="shared" si="156"/>
        <v>click</v>
      </c>
      <c r="S1779" s="1" t="str">
        <f t="shared" si="157"/>
        <v/>
      </c>
    </row>
    <row r="1780" spans="15:19">
      <c r="O1780" s="4" t="str">
        <f t="shared" si="156"/>
        <v>click</v>
      </c>
      <c r="S1780" s="1" t="str">
        <f t="shared" si="157"/>
        <v/>
      </c>
    </row>
    <row r="1781" spans="15:19">
      <c r="O1781" s="4" t="str">
        <f t="shared" si="156"/>
        <v>click</v>
      </c>
      <c r="S1781" s="1" t="str">
        <f t="shared" si="157"/>
        <v/>
      </c>
    </row>
    <row r="1782" spans="15:19">
      <c r="O1782" s="4" t="str">
        <f t="shared" si="156"/>
        <v>click</v>
      </c>
      <c r="S1782" s="1" t="str">
        <f t="shared" si="157"/>
        <v/>
      </c>
    </row>
    <row r="1783" spans="15:19">
      <c r="O1783" s="4" t="str">
        <f t="shared" si="156"/>
        <v>click</v>
      </c>
      <c r="S1783" s="1" t="str">
        <f t="shared" si="157"/>
        <v/>
      </c>
    </row>
    <row r="1784" spans="15:19">
      <c r="O1784" s="4" t="str">
        <f t="shared" si="156"/>
        <v>click</v>
      </c>
      <c r="S1784" s="1" t="str">
        <f t="shared" si="157"/>
        <v/>
      </c>
    </row>
    <row r="1785" spans="15:19">
      <c r="O1785" s="4" t="str">
        <f t="shared" si="156"/>
        <v>click</v>
      </c>
      <c r="S1785" s="1" t="str">
        <f t="shared" si="157"/>
        <v/>
      </c>
    </row>
    <row r="1786" spans="15:19">
      <c r="O1786" s="4" t="str">
        <f t="shared" si="156"/>
        <v>click</v>
      </c>
      <c r="S1786" s="1" t="str">
        <f t="shared" si="157"/>
        <v/>
      </c>
    </row>
    <row r="1787" spans="15:19">
      <c r="O1787" s="4" t="str">
        <f t="shared" si="156"/>
        <v>click</v>
      </c>
      <c r="S1787" s="1" t="str">
        <f t="shared" si="157"/>
        <v/>
      </c>
    </row>
    <row r="1788" spans="15:19">
      <c r="O1788" s="4" t="str">
        <f t="shared" si="156"/>
        <v>click</v>
      </c>
      <c r="S1788" s="1" t="str">
        <f t="shared" si="157"/>
        <v/>
      </c>
    </row>
    <row r="1789" spans="15:19">
      <c r="O1789" s="4" t="str">
        <f t="shared" si="156"/>
        <v>click</v>
      </c>
      <c r="S1789" s="1" t="str">
        <f t="shared" si="157"/>
        <v/>
      </c>
    </row>
    <row r="1790" spans="15:19">
      <c r="O1790" s="4" t="str">
        <f t="shared" si="156"/>
        <v>click</v>
      </c>
      <c r="S1790" s="1" t="str">
        <f t="shared" si="157"/>
        <v/>
      </c>
    </row>
    <row r="1791" spans="15:19">
      <c r="O1791" s="4" t="str">
        <f t="shared" si="156"/>
        <v>click</v>
      </c>
      <c r="S1791" s="1" t="str">
        <f t="shared" si="157"/>
        <v/>
      </c>
    </row>
    <row r="1792" spans="15:19">
      <c r="O1792" s="4" t="str">
        <f t="shared" si="156"/>
        <v>click</v>
      </c>
      <c r="S1792" s="1" t="str">
        <f t="shared" si="157"/>
        <v/>
      </c>
    </row>
    <row r="1793" spans="15:19">
      <c r="O1793" s="4" t="str">
        <f t="shared" si="156"/>
        <v>click</v>
      </c>
      <c r="S1793" s="1" t="str">
        <f t="shared" si="157"/>
        <v/>
      </c>
    </row>
    <row r="1794" spans="15:19">
      <c r="O1794" s="4" t="str">
        <f t="shared" si="156"/>
        <v>click</v>
      </c>
      <c r="S1794" s="1" t="str">
        <f t="shared" si="157"/>
        <v/>
      </c>
    </row>
    <row r="1795" spans="15:19">
      <c r="O1795" s="4" t="str">
        <f t="shared" si="156"/>
        <v>click</v>
      </c>
      <c r="S1795" s="1" t="str">
        <f t="shared" si="157"/>
        <v/>
      </c>
    </row>
    <row r="1796" spans="15:19">
      <c r="O1796" s="4" t="str">
        <f t="shared" si="156"/>
        <v>click</v>
      </c>
      <c r="S1796" s="1" t="str">
        <f t="shared" si="157"/>
        <v/>
      </c>
    </row>
    <row r="1797" spans="15:19">
      <c r="O1797" s="4" t="str">
        <f t="shared" si="156"/>
        <v>click</v>
      </c>
      <c r="S1797" s="1" t="str">
        <f t="shared" si="157"/>
        <v/>
      </c>
    </row>
    <row r="1798" spans="15:19">
      <c r="O1798" s="4" t="str">
        <f t="shared" si="156"/>
        <v>click</v>
      </c>
      <c r="S1798" s="1" t="str">
        <f t="shared" si="157"/>
        <v/>
      </c>
    </row>
    <row r="1799" spans="15:19">
      <c r="O1799" s="4" t="str">
        <f t="shared" si="156"/>
        <v>click</v>
      </c>
      <c r="S1799" s="1" t="str">
        <f t="shared" si="157"/>
        <v/>
      </c>
    </row>
    <row r="1800" spans="15:19">
      <c r="O1800" s="4" t="str">
        <f t="shared" si="156"/>
        <v>click</v>
      </c>
      <c r="S1800" s="1" t="str">
        <f t="shared" si="157"/>
        <v/>
      </c>
    </row>
    <row r="1801" spans="15:19">
      <c r="O1801" s="4" t="str">
        <f t="shared" si="156"/>
        <v>click</v>
      </c>
      <c r="S1801" s="1" t="str">
        <f t="shared" si="157"/>
        <v/>
      </c>
    </row>
    <row r="1802" spans="15:19">
      <c r="O1802" s="4" t="str">
        <f t="shared" si="156"/>
        <v>click</v>
      </c>
      <c r="S1802" s="1" t="str">
        <f t="shared" si="157"/>
        <v/>
      </c>
    </row>
    <row r="1803" spans="15:19">
      <c r="O1803" s="4" t="str">
        <f t="shared" si="156"/>
        <v>click</v>
      </c>
      <c r="S1803" s="1" t="str">
        <f t="shared" si="157"/>
        <v/>
      </c>
    </row>
    <row r="1804" spans="15:19">
      <c r="O1804" s="4" t="str">
        <f t="shared" si="156"/>
        <v>click</v>
      </c>
      <c r="S1804" s="1" t="str">
        <f t="shared" si="157"/>
        <v/>
      </c>
    </row>
    <row r="1805" spans="15:19">
      <c r="O1805" s="4" t="str">
        <f t="shared" si="156"/>
        <v>click</v>
      </c>
      <c r="S1805" s="1" t="str">
        <f t="shared" si="157"/>
        <v/>
      </c>
    </row>
    <row r="1806" spans="15:19">
      <c r="O1806" s="4" t="str">
        <f t="shared" si="156"/>
        <v>click</v>
      </c>
      <c r="S1806" s="1" t="str">
        <f t="shared" si="157"/>
        <v/>
      </c>
    </row>
    <row r="1807" spans="15:19">
      <c r="O1807" s="4" t="str">
        <f t="shared" si="156"/>
        <v>click</v>
      </c>
      <c r="S1807" s="1" t="str">
        <f t="shared" si="157"/>
        <v/>
      </c>
    </row>
    <row r="1808" spans="15:19">
      <c r="O1808" s="4" t="str">
        <f t="shared" si="156"/>
        <v>click</v>
      </c>
      <c r="S1808" s="1" t="str">
        <f t="shared" si="157"/>
        <v/>
      </c>
    </row>
    <row r="1809" spans="15:19">
      <c r="O1809" s="4" t="str">
        <f t="shared" si="156"/>
        <v>click</v>
      </c>
      <c r="S1809" s="1" t="str">
        <f t="shared" si="157"/>
        <v/>
      </c>
    </row>
    <row r="1810" spans="15:19">
      <c r="O1810" s="4" t="str">
        <f t="shared" si="156"/>
        <v>click</v>
      </c>
      <c r="S1810" s="1" t="str">
        <f t="shared" si="157"/>
        <v/>
      </c>
    </row>
    <row r="1811" spans="15:19">
      <c r="O1811" s="4" t="str">
        <f t="shared" si="156"/>
        <v>click</v>
      </c>
      <c r="S1811" s="1" t="str">
        <f t="shared" si="157"/>
        <v/>
      </c>
    </row>
    <row r="1812" spans="15:19">
      <c r="O1812" s="4" t="str">
        <f t="shared" si="156"/>
        <v>click</v>
      </c>
      <c r="S1812" s="1" t="str">
        <f t="shared" si="157"/>
        <v/>
      </c>
    </row>
    <row r="1813" spans="15:19">
      <c r="O1813" s="4" t="str">
        <f t="shared" ref="O1813:O1876" si="158">IF(D1813="input","fill",IF(I1813&lt;&gt;"","innerText",IF(J1813="Y",$T$7,"click")))</f>
        <v>click</v>
      </c>
      <c r="S1813" s="1" t="str">
        <f t="shared" si="157"/>
        <v/>
      </c>
    </row>
    <row r="1814" spans="15:19">
      <c r="O1814" s="4" t="str">
        <f t="shared" si="158"/>
        <v>click</v>
      </c>
      <c r="S1814" s="1" t="str">
        <f t="shared" si="157"/>
        <v/>
      </c>
    </row>
    <row r="1815" spans="15:19">
      <c r="O1815" s="4" t="str">
        <f t="shared" si="158"/>
        <v>click</v>
      </c>
      <c r="S1815" s="1" t="str">
        <f t="shared" si="157"/>
        <v/>
      </c>
    </row>
    <row r="1816" spans="15:19">
      <c r="O1816" s="4" t="str">
        <f t="shared" si="158"/>
        <v>click</v>
      </c>
      <c r="S1816" s="1" t="str">
        <f t="shared" si="157"/>
        <v/>
      </c>
    </row>
    <row r="1817" spans="15:19">
      <c r="O1817" s="4" t="str">
        <f t="shared" si="158"/>
        <v>click</v>
      </c>
      <c r="S1817" s="1" t="str">
        <f t="shared" si="157"/>
        <v/>
      </c>
    </row>
    <row r="1818" spans="15:19">
      <c r="O1818" s="4" t="str">
        <f t="shared" si="158"/>
        <v>click</v>
      </c>
      <c r="S1818" s="1" t="str">
        <f t="shared" si="157"/>
        <v/>
      </c>
    </row>
    <row r="1819" spans="15:19">
      <c r="O1819" s="4" t="str">
        <f t="shared" si="158"/>
        <v>click</v>
      </c>
      <c r="S1819" s="1" t="str">
        <f t="shared" si="157"/>
        <v/>
      </c>
    </row>
    <row r="1820" spans="15:19">
      <c r="O1820" s="4" t="str">
        <f t="shared" si="158"/>
        <v>click</v>
      </c>
      <c r="S1820" s="1" t="str">
        <f t="shared" si="157"/>
        <v/>
      </c>
    </row>
    <row r="1821" spans="15:19">
      <c r="O1821" s="4" t="str">
        <f t="shared" si="158"/>
        <v>click</v>
      </c>
      <c r="S1821" s="1" t="str">
        <f t="shared" si="157"/>
        <v/>
      </c>
    </row>
    <row r="1822" spans="15:19">
      <c r="O1822" s="4" t="str">
        <f t="shared" si="158"/>
        <v>click</v>
      </c>
      <c r="S1822" s="1" t="str">
        <f t="shared" si="157"/>
        <v/>
      </c>
    </row>
    <row r="1823" spans="15:19">
      <c r="O1823" s="4" t="str">
        <f t="shared" si="158"/>
        <v>click</v>
      </c>
      <c r="S1823" s="1" t="str">
        <f t="shared" si="157"/>
        <v/>
      </c>
    </row>
    <row r="1824" spans="15:19">
      <c r="O1824" s="4" t="str">
        <f t="shared" si="158"/>
        <v>click</v>
      </c>
      <c r="S1824" s="1" t="str">
        <f t="shared" si="157"/>
        <v/>
      </c>
    </row>
    <row r="1825" spans="15:19">
      <c r="O1825" s="4" t="str">
        <f t="shared" si="158"/>
        <v>click</v>
      </c>
      <c r="S1825" s="1" t="str">
        <f t="shared" si="157"/>
        <v/>
      </c>
    </row>
    <row r="1826" spans="15:19">
      <c r="O1826" s="4" t="str">
        <f t="shared" si="158"/>
        <v>click</v>
      </c>
      <c r="S1826" s="1" t="str">
        <f t="shared" si="157"/>
        <v/>
      </c>
    </row>
    <row r="1827" spans="15:19">
      <c r="O1827" s="4" t="str">
        <f t="shared" si="158"/>
        <v>click</v>
      </c>
      <c r="S1827" s="1" t="str">
        <f t="shared" si="157"/>
        <v/>
      </c>
    </row>
    <row r="1828" spans="15:19">
      <c r="O1828" s="4" t="str">
        <f t="shared" si="158"/>
        <v>click</v>
      </c>
      <c r="S1828" s="1" t="str">
        <f t="shared" si="157"/>
        <v/>
      </c>
    </row>
    <row r="1829" spans="15:19">
      <c r="O1829" s="4" t="str">
        <f t="shared" si="158"/>
        <v>click</v>
      </c>
      <c r="S1829" s="1" t="str">
        <f t="shared" ref="S1829:S1892" si="159">IF(O1829="innerText",I1829&amp;"="&amp;IF(C1829="Y",IF(J1829&lt;&gt;"Y",$S$8&amp;$R$9&amp;"."&amp;E1829&amp;")."&amp;IF(OR(O1829="click",O1829="innerText"),O1829&amp;"();",O1829&amp;"("&amp;$Q$8&amp;"."&amp;E1829&amp;");"),$S$7&amp;$R$9&amp;"."&amp;E1829&amp;")."&amp;IF(O1829="click",O1829&amp;"();",O1829&amp;"("&amp;"'"&amp;K1829&amp;"'"&amp;");")),""),IF(C1829="Y",IF(J1829&lt;&gt;"Y",$S$8&amp;$R$9&amp;"."&amp;E1829&amp;")."&amp;IF(OR(O1829="click",O1829="innerText"),O1829&amp;"();",O1829&amp;"("&amp;$Q$8&amp;"."&amp;E1829&amp;");"),$S$7&amp;$R$9&amp;"."&amp;E1829&amp;")."&amp;IF(O1829="click",O1829&amp;"();",O1829&amp;"("&amp;"'"&amp;K1829&amp;"'"&amp;");")),""))</f>
        <v/>
      </c>
    </row>
    <row r="1830" spans="15:19">
      <c r="O1830" s="4" t="str">
        <f t="shared" si="158"/>
        <v>click</v>
      </c>
      <c r="S1830" s="1" t="str">
        <f t="shared" si="159"/>
        <v/>
      </c>
    </row>
    <row r="1831" spans="15:19">
      <c r="O1831" s="4" t="str">
        <f t="shared" si="158"/>
        <v>click</v>
      </c>
      <c r="S1831" s="1" t="str">
        <f t="shared" si="159"/>
        <v/>
      </c>
    </row>
    <row r="1832" spans="15:19">
      <c r="O1832" s="4" t="str">
        <f t="shared" si="158"/>
        <v>click</v>
      </c>
      <c r="S1832" s="1" t="str">
        <f t="shared" si="159"/>
        <v/>
      </c>
    </row>
    <row r="1833" spans="15:19">
      <c r="O1833" s="4" t="str">
        <f t="shared" si="158"/>
        <v>click</v>
      </c>
      <c r="S1833" s="1" t="str">
        <f t="shared" si="159"/>
        <v/>
      </c>
    </row>
    <row r="1834" spans="15:19">
      <c r="O1834" s="4" t="str">
        <f t="shared" si="158"/>
        <v>click</v>
      </c>
      <c r="S1834" s="1" t="str">
        <f t="shared" si="159"/>
        <v/>
      </c>
    </row>
    <row r="1835" spans="15:19">
      <c r="O1835" s="4" t="str">
        <f t="shared" si="158"/>
        <v>click</v>
      </c>
      <c r="S1835" s="1" t="str">
        <f t="shared" si="159"/>
        <v/>
      </c>
    </row>
    <row r="1836" spans="15:19">
      <c r="O1836" s="4" t="str">
        <f t="shared" si="158"/>
        <v>click</v>
      </c>
      <c r="S1836" s="1" t="str">
        <f t="shared" si="159"/>
        <v/>
      </c>
    </row>
    <row r="1837" spans="15:19">
      <c r="O1837" s="4" t="str">
        <f t="shared" si="158"/>
        <v>click</v>
      </c>
      <c r="S1837" s="1" t="str">
        <f t="shared" si="159"/>
        <v/>
      </c>
    </row>
    <row r="1838" spans="15:19">
      <c r="O1838" s="4" t="str">
        <f t="shared" si="158"/>
        <v>click</v>
      </c>
      <c r="S1838" s="1" t="str">
        <f t="shared" si="159"/>
        <v/>
      </c>
    </row>
    <row r="1839" spans="15:19">
      <c r="O1839" s="4" t="str">
        <f t="shared" si="158"/>
        <v>click</v>
      </c>
      <c r="S1839" s="1" t="str">
        <f t="shared" si="159"/>
        <v/>
      </c>
    </row>
    <row r="1840" spans="15:19">
      <c r="O1840" s="4" t="str">
        <f t="shared" si="158"/>
        <v>click</v>
      </c>
      <c r="S1840" s="1" t="str">
        <f t="shared" si="159"/>
        <v/>
      </c>
    </row>
    <row r="1841" spans="15:19">
      <c r="O1841" s="4" t="str">
        <f t="shared" si="158"/>
        <v>click</v>
      </c>
      <c r="S1841" s="1" t="str">
        <f t="shared" si="159"/>
        <v/>
      </c>
    </row>
    <row r="1842" spans="15:19">
      <c r="O1842" s="4" t="str">
        <f t="shared" si="158"/>
        <v>click</v>
      </c>
      <c r="S1842" s="1" t="str">
        <f t="shared" si="159"/>
        <v/>
      </c>
    </row>
    <row r="1843" spans="15:19">
      <c r="O1843" s="4" t="str">
        <f t="shared" si="158"/>
        <v>click</v>
      </c>
      <c r="S1843" s="1" t="str">
        <f t="shared" si="159"/>
        <v/>
      </c>
    </row>
    <row r="1844" spans="15:19">
      <c r="O1844" s="4" t="str">
        <f t="shared" si="158"/>
        <v>click</v>
      </c>
      <c r="S1844" s="1" t="str">
        <f t="shared" si="159"/>
        <v/>
      </c>
    </row>
    <row r="1845" spans="15:19">
      <c r="O1845" s="4" t="str">
        <f t="shared" si="158"/>
        <v>click</v>
      </c>
      <c r="S1845" s="1" t="str">
        <f t="shared" si="159"/>
        <v/>
      </c>
    </row>
    <row r="1846" spans="15:19">
      <c r="O1846" s="4" t="str">
        <f t="shared" si="158"/>
        <v>click</v>
      </c>
      <c r="S1846" s="1" t="str">
        <f t="shared" si="159"/>
        <v/>
      </c>
    </row>
    <row r="1847" spans="15:19">
      <c r="O1847" s="4" t="str">
        <f t="shared" si="158"/>
        <v>click</v>
      </c>
      <c r="S1847" s="1" t="str">
        <f t="shared" si="159"/>
        <v/>
      </c>
    </row>
    <row r="1848" spans="15:19">
      <c r="O1848" s="4" t="str">
        <f t="shared" si="158"/>
        <v>click</v>
      </c>
      <c r="S1848" s="1" t="str">
        <f t="shared" si="159"/>
        <v/>
      </c>
    </row>
    <row r="1849" spans="15:19">
      <c r="O1849" s="4" t="str">
        <f t="shared" si="158"/>
        <v>click</v>
      </c>
      <c r="S1849" s="1" t="str">
        <f t="shared" si="159"/>
        <v/>
      </c>
    </row>
    <row r="1850" spans="15:19">
      <c r="O1850" s="4" t="str">
        <f t="shared" si="158"/>
        <v>click</v>
      </c>
      <c r="S1850" s="1" t="str">
        <f t="shared" si="159"/>
        <v/>
      </c>
    </row>
    <row r="1851" spans="15:19">
      <c r="O1851" s="4" t="str">
        <f t="shared" si="158"/>
        <v>click</v>
      </c>
      <c r="S1851" s="1" t="str">
        <f t="shared" si="159"/>
        <v/>
      </c>
    </row>
    <row r="1852" spans="15:19">
      <c r="O1852" s="4" t="str">
        <f t="shared" si="158"/>
        <v>click</v>
      </c>
      <c r="S1852" s="1" t="str">
        <f t="shared" si="159"/>
        <v/>
      </c>
    </row>
    <row r="1853" spans="15:19">
      <c r="O1853" s="4" t="str">
        <f t="shared" si="158"/>
        <v>click</v>
      </c>
      <c r="S1853" s="1" t="str">
        <f t="shared" si="159"/>
        <v/>
      </c>
    </row>
    <row r="1854" spans="15:19">
      <c r="O1854" s="4" t="str">
        <f t="shared" si="158"/>
        <v>click</v>
      </c>
      <c r="S1854" s="1" t="str">
        <f t="shared" si="159"/>
        <v/>
      </c>
    </row>
    <row r="1855" spans="15:19">
      <c r="O1855" s="4" t="str">
        <f t="shared" si="158"/>
        <v>click</v>
      </c>
      <c r="S1855" s="1" t="str">
        <f t="shared" si="159"/>
        <v/>
      </c>
    </row>
    <row r="1856" spans="15:19">
      <c r="O1856" s="4" t="str">
        <f t="shared" si="158"/>
        <v>click</v>
      </c>
      <c r="S1856" s="1" t="str">
        <f t="shared" si="159"/>
        <v/>
      </c>
    </row>
    <row r="1857" spans="15:19">
      <c r="O1857" s="4" t="str">
        <f t="shared" si="158"/>
        <v>click</v>
      </c>
      <c r="S1857" s="1" t="str">
        <f t="shared" si="159"/>
        <v/>
      </c>
    </row>
    <row r="1858" spans="15:19">
      <c r="O1858" s="4" t="str">
        <f t="shared" si="158"/>
        <v>click</v>
      </c>
      <c r="S1858" s="1" t="str">
        <f t="shared" si="159"/>
        <v/>
      </c>
    </row>
    <row r="1859" spans="15:19">
      <c r="O1859" s="4" t="str">
        <f t="shared" si="158"/>
        <v>click</v>
      </c>
      <c r="S1859" s="1" t="str">
        <f t="shared" si="159"/>
        <v/>
      </c>
    </row>
    <row r="1860" spans="15:19">
      <c r="O1860" s="4" t="str">
        <f t="shared" si="158"/>
        <v>click</v>
      </c>
      <c r="S1860" s="1" t="str">
        <f t="shared" si="159"/>
        <v/>
      </c>
    </row>
    <row r="1861" spans="15:19">
      <c r="O1861" s="4" t="str">
        <f t="shared" si="158"/>
        <v>click</v>
      </c>
      <c r="S1861" s="1" t="str">
        <f t="shared" si="159"/>
        <v/>
      </c>
    </row>
    <row r="1862" spans="15:19">
      <c r="O1862" s="4" t="str">
        <f t="shared" si="158"/>
        <v>click</v>
      </c>
      <c r="S1862" s="1" t="str">
        <f t="shared" si="159"/>
        <v/>
      </c>
    </row>
    <row r="1863" spans="15:19">
      <c r="O1863" s="4" t="str">
        <f t="shared" si="158"/>
        <v>click</v>
      </c>
      <c r="S1863" s="1" t="str">
        <f t="shared" si="159"/>
        <v/>
      </c>
    </row>
    <row r="1864" spans="15:19">
      <c r="O1864" s="4" t="str">
        <f t="shared" si="158"/>
        <v>click</v>
      </c>
      <c r="S1864" s="1" t="str">
        <f t="shared" si="159"/>
        <v/>
      </c>
    </row>
    <row r="1865" spans="15:19">
      <c r="O1865" s="4" t="str">
        <f t="shared" si="158"/>
        <v>click</v>
      </c>
      <c r="S1865" s="1" t="str">
        <f t="shared" si="159"/>
        <v/>
      </c>
    </row>
    <row r="1866" spans="15:19">
      <c r="O1866" s="4" t="str">
        <f t="shared" si="158"/>
        <v>click</v>
      </c>
      <c r="S1866" s="1" t="str">
        <f t="shared" si="159"/>
        <v/>
      </c>
    </row>
    <row r="1867" spans="15:19">
      <c r="O1867" s="4" t="str">
        <f t="shared" si="158"/>
        <v>click</v>
      </c>
      <c r="S1867" s="1" t="str">
        <f t="shared" si="159"/>
        <v/>
      </c>
    </row>
    <row r="1868" spans="15:19">
      <c r="O1868" s="4" t="str">
        <f t="shared" si="158"/>
        <v>click</v>
      </c>
      <c r="S1868" s="1" t="str">
        <f t="shared" si="159"/>
        <v/>
      </c>
    </row>
    <row r="1869" spans="15:19">
      <c r="O1869" s="4" t="str">
        <f t="shared" si="158"/>
        <v>click</v>
      </c>
      <c r="S1869" s="1" t="str">
        <f t="shared" si="159"/>
        <v/>
      </c>
    </row>
    <row r="1870" spans="15:19">
      <c r="O1870" s="4" t="str">
        <f t="shared" si="158"/>
        <v>click</v>
      </c>
      <c r="S1870" s="1" t="str">
        <f t="shared" si="159"/>
        <v/>
      </c>
    </row>
    <row r="1871" spans="15:19">
      <c r="O1871" s="4" t="str">
        <f t="shared" si="158"/>
        <v>click</v>
      </c>
      <c r="S1871" s="1" t="str">
        <f t="shared" si="159"/>
        <v/>
      </c>
    </row>
    <row r="1872" spans="15:19">
      <c r="O1872" s="4" t="str">
        <f t="shared" si="158"/>
        <v>click</v>
      </c>
      <c r="S1872" s="1" t="str">
        <f t="shared" si="159"/>
        <v/>
      </c>
    </row>
    <row r="1873" spans="15:19">
      <c r="O1873" s="4" t="str">
        <f t="shared" si="158"/>
        <v>click</v>
      </c>
      <c r="S1873" s="1" t="str">
        <f t="shared" si="159"/>
        <v/>
      </c>
    </row>
    <row r="1874" spans="15:19">
      <c r="O1874" s="4" t="str">
        <f t="shared" si="158"/>
        <v>click</v>
      </c>
      <c r="S1874" s="1" t="str">
        <f t="shared" si="159"/>
        <v/>
      </c>
    </row>
    <row r="1875" spans="15:19">
      <c r="O1875" s="4" t="str">
        <f t="shared" si="158"/>
        <v>click</v>
      </c>
      <c r="S1875" s="1" t="str">
        <f t="shared" si="159"/>
        <v/>
      </c>
    </row>
    <row r="1876" spans="15:19">
      <c r="O1876" s="4" t="str">
        <f t="shared" si="158"/>
        <v>click</v>
      </c>
      <c r="S1876" s="1" t="str">
        <f t="shared" si="159"/>
        <v/>
      </c>
    </row>
    <row r="1877" spans="15:19">
      <c r="O1877" s="4" t="str">
        <f t="shared" ref="O1877:O1940" si="160">IF(D1877="input","fill",IF(I1877&lt;&gt;"","innerText",IF(J1877="Y",$T$7,"click")))</f>
        <v>click</v>
      </c>
      <c r="S1877" s="1" t="str">
        <f t="shared" si="159"/>
        <v/>
      </c>
    </row>
    <row r="1878" spans="15:19">
      <c r="O1878" s="4" t="str">
        <f t="shared" si="160"/>
        <v>click</v>
      </c>
      <c r="S1878" s="1" t="str">
        <f t="shared" si="159"/>
        <v/>
      </c>
    </row>
    <row r="1879" spans="15:19">
      <c r="O1879" s="4" t="str">
        <f t="shared" si="160"/>
        <v>click</v>
      </c>
      <c r="S1879" s="1" t="str">
        <f t="shared" si="159"/>
        <v/>
      </c>
    </row>
    <row r="1880" spans="15:19">
      <c r="O1880" s="4" t="str">
        <f t="shared" si="160"/>
        <v>click</v>
      </c>
      <c r="S1880" s="1" t="str">
        <f t="shared" si="159"/>
        <v/>
      </c>
    </row>
    <row r="1881" spans="15:19">
      <c r="O1881" s="4" t="str">
        <f t="shared" si="160"/>
        <v>click</v>
      </c>
      <c r="S1881" s="1" t="str">
        <f t="shared" si="159"/>
        <v/>
      </c>
    </row>
    <row r="1882" spans="15:19">
      <c r="O1882" s="4" t="str">
        <f t="shared" si="160"/>
        <v>click</v>
      </c>
      <c r="S1882" s="1" t="str">
        <f t="shared" si="159"/>
        <v/>
      </c>
    </row>
    <row r="1883" spans="15:19">
      <c r="O1883" s="4" t="str">
        <f t="shared" si="160"/>
        <v>click</v>
      </c>
      <c r="S1883" s="1" t="str">
        <f t="shared" si="159"/>
        <v/>
      </c>
    </row>
    <row r="1884" spans="15:19">
      <c r="O1884" s="4" t="str">
        <f t="shared" si="160"/>
        <v>click</v>
      </c>
      <c r="S1884" s="1" t="str">
        <f t="shared" si="159"/>
        <v/>
      </c>
    </row>
    <row r="1885" spans="15:19">
      <c r="O1885" s="4" t="str">
        <f t="shared" si="160"/>
        <v>click</v>
      </c>
      <c r="S1885" s="1" t="str">
        <f t="shared" si="159"/>
        <v/>
      </c>
    </row>
    <row r="1886" spans="15:19">
      <c r="O1886" s="4" t="str">
        <f t="shared" si="160"/>
        <v>click</v>
      </c>
      <c r="S1886" s="1" t="str">
        <f t="shared" si="159"/>
        <v/>
      </c>
    </row>
    <row r="1887" spans="15:19">
      <c r="O1887" s="4" t="str">
        <f t="shared" si="160"/>
        <v>click</v>
      </c>
      <c r="S1887" s="1" t="str">
        <f t="shared" si="159"/>
        <v/>
      </c>
    </row>
    <row r="1888" spans="15:19">
      <c r="O1888" s="4" t="str">
        <f t="shared" si="160"/>
        <v>click</v>
      </c>
      <c r="S1888" s="1" t="str">
        <f t="shared" si="159"/>
        <v/>
      </c>
    </row>
    <row r="1889" spans="15:19">
      <c r="O1889" s="4" t="str">
        <f t="shared" si="160"/>
        <v>click</v>
      </c>
      <c r="S1889" s="1" t="str">
        <f t="shared" si="159"/>
        <v/>
      </c>
    </row>
    <row r="1890" spans="15:19">
      <c r="O1890" s="4" t="str">
        <f t="shared" si="160"/>
        <v>click</v>
      </c>
      <c r="S1890" s="1" t="str">
        <f t="shared" si="159"/>
        <v/>
      </c>
    </row>
    <row r="1891" spans="15:19">
      <c r="O1891" s="4" t="str">
        <f t="shared" si="160"/>
        <v>click</v>
      </c>
      <c r="S1891" s="1" t="str">
        <f t="shared" si="159"/>
        <v/>
      </c>
    </row>
    <row r="1892" spans="15:19">
      <c r="O1892" s="4" t="str">
        <f t="shared" si="160"/>
        <v>click</v>
      </c>
      <c r="S1892" s="1" t="str">
        <f t="shared" si="159"/>
        <v/>
      </c>
    </row>
    <row r="1893" spans="15:19">
      <c r="O1893" s="4" t="str">
        <f t="shared" si="160"/>
        <v>click</v>
      </c>
      <c r="S1893" s="1" t="str">
        <f t="shared" ref="S1893:S1956" si="161">IF(O1893="innerText",I1893&amp;"="&amp;IF(C1893="Y",IF(J1893&lt;&gt;"Y",$S$8&amp;$R$9&amp;"."&amp;E1893&amp;")."&amp;IF(OR(O1893="click",O1893="innerText"),O1893&amp;"();",O1893&amp;"("&amp;$Q$8&amp;"."&amp;E1893&amp;");"),$S$7&amp;$R$9&amp;"."&amp;E1893&amp;")."&amp;IF(O1893="click",O1893&amp;"();",O1893&amp;"("&amp;"'"&amp;K1893&amp;"'"&amp;");")),""),IF(C1893="Y",IF(J1893&lt;&gt;"Y",$S$8&amp;$R$9&amp;"."&amp;E1893&amp;")."&amp;IF(OR(O1893="click",O1893="innerText"),O1893&amp;"();",O1893&amp;"("&amp;$Q$8&amp;"."&amp;E1893&amp;");"),$S$7&amp;$R$9&amp;"."&amp;E1893&amp;")."&amp;IF(O1893="click",O1893&amp;"();",O1893&amp;"("&amp;"'"&amp;K1893&amp;"'"&amp;");")),""))</f>
        <v/>
      </c>
    </row>
    <row r="1894" spans="15:19">
      <c r="O1894" s="4" t="str">
        <f t="shared" si="160"/>
        <v>click</v>
      </c>
      <c r="S1894" s="1" t="str">
        <f t="shared" si="161"/>
        <v/>
      </c>
    </row>
    <row r="1895" spans="15:19">
      <c r="O1895" s="4" t="str">
        <f t="shared" si="160"/>
        <v>click</v>
      </c>
      <c r="S1895" s="1" t="str">
        <f t="shared" si="161"/>
        <v/>
      </c>
    </row>
    <row r="1896" spans="15:19">
      <c r="O1896" s="4" t="str">
        <f t="shared" si="160"/>
        <v>click</v>
      </c>
      <c r="S1896" s="1" t="str">
        <f t="shared" si="161"/>
        <v/>
      </c>
    </row>
    <row r="1897" spans="15:19">
      <c r="O1897" s="4" t="str">
        <f t="shared" si="160"/>
        <v>click</v>
      </c>
      <c r="S1897" s="1" t="str">
        <f t="shared" si="161"/>
        <v/>
      </c>
    </row>
    <row r="1898" spans="15:19">
      <c r="O1898" s="4" t="str">
        <f t="shared" si="160"/>
        <v>click</v>
      </c>
      <c r="S1898" s="1" t="str">
        <f t="shared" si="161"/>
        <v/>
      </c>
    </row>
    <row r="1899" spans="15:19">
      <c r="O1899" s="4" t="str">
        <f t="shared" si="160"/>
        <v>click</v>
      </c>
      <c r="S1899" s="1" t="str">
        <f t="shared" si="161"/>
        <v/>
      </c>
    </row>
    <row r="1900" spans="15:19">
      <c r="O1900" s="4" t="str">
        <f t="shared" si="160"/>
        <v>click</v>
      </c>
      <c r="S1900" s="1" t="str">
        <f t="shared" si="161"/>
        <v/>
      </c>
    </row>
    <row r="1901" spans="15:19">
      <c r="O1901" s="4" t="str">
        <f t="shared" si="160"/>
        <v>click</v>
      </c>
      <c r="S1901" s="1" t="str">
        <f t="shared" si="161"/>
        <v/>
      </c>
    </row>
    <row r="1902" spans="15:19">
      <c r="O1902" s="4" t="str">
        <f t="shared" si="160"/>
        <v>click</v>
      </c>
      <c r="S1902" s="1" t="str">
        <f t="shared" si="161"/>
        <v/>
      </c>
    </row>
    <row r="1903" spans="15:19">
      <c r="O1903" s="4" t="str">
        <f t="shared" si="160"/>
        <v>click</v>
      </c>
      <c r="S1903" s="1" t="str">
        <f t="shared" si="161"/>
        <v/>
      </c>
    </row>
    <row r="1904" spans="15:19">
      <c r="O1904" s="4" t="str">
        <f t="shared" si="160"/>
        <v>click</v>
      </c>
      <c r="S1904" s="1" t="str">
        <f t="shared" si="161"/>
        <v/>
      </c>
    </row>
    <row r="1905" spans="15:19">
      <c r="O1905" s="4" t="str">
        <f t="shared" si="160"/>
        <v>click</v>
      </c>
      <c r="S1905" s="1" t="str">
        <f t="shared" si="161"/>
        <v/>
      </c>
    </row>
    <row r="1906" spans="15:19">
      <c r="O1906" s="4" t="str">
        <f t="shared" si="160"/>
        <v>click</v>
      </c>
      <c r="S1906" s="1" t="str">
        <f t="shared" si="161"/>
        <v/>
      </c>
    </row>
    <row r="1907" spans="15:19">
      <c r="O1907" s="4" t="str">
        <f t="shared" si="160"/>
        <v>click</v>
      </c>
      <c r="S1907" s="1" t="str">
        <f t="shared" si="161"/>
        <v/>
      </c>
    </row>
    <row r="1908" spans="15:19">
      <c r="O1908" s="4" t="str">
        <f t="shared" si="160"/>
        <v>click</v>
      </c>
      <c r="S1908" s="1" t="str">
        <f t="shared" si="161"/>
        <v/>
      </c>
    </row>
    <row r="1909" spans="15:19">
      <c r="O1909" s="4" t="str">
        <f t="shared" si="160"/>
        <v>click</v>
      </c>
      <c r="S1909" s="1" t="str">
        <f t="shared" si="161"/>
        <v/>
      </c>
    </row>
    <row r="1910" spans="15:19">
      <c r="O1910" s="4" t="str">
        <f t="shared" si="160"/>
        <v>click</v>
      </c>
      <c r="S1910" s="1" t="str">
        <f t="shared" si="161"/>
        <v/>
      </c>
    </row>
    <row r="1911" spans="15:19">
      <c r="O1911" s="4" t="str">
        <f t="shared" si="160"/>
        <v>click</v>
      </c>
      <c r="S1911" s="1" t="str">
        <f t="shared" si="161"/>
        <v/>
      </c>
    </row>
    <row r="1912" spans="15:19">
      <c r="O1912" s="4" t="str">
        <f t="shared" si="160"/>
        <v>click</v>
      </c>
      <c r="S1912" s="1" t="str">
        <f t="shared" si="161"/>
        <v/>
      </c>
    </row>
    <row r="1913" spans="15:19">
      <c r="O1913" s="4" t="str">
        <f t="shared" si="160"/>
        <v>click</v>
      </c>
      <c r="S1913" s="1" t="str">
        <f t="shared" si="161"/>
        <v/>
      </c>
    </row>
    <row r="1914" spans="15:19">
      <c r="O1914" s="4" t="str">
        <f t="shared" si="160"/>
        <v>click</v>
      </c>
      <c r="S1914" s="1" t="str">
        <f t="shared" si="161"/>
        <v/>
      </c>
    </row>
    <row r="1915" spans="15:19">
      <c r="O1915" s="4" t="str">
        <f t="shared" si="160"/>
        <v>click</v>
      </c>
      <c r="S1915" s="1" t="str">
        <f t="shared" si="161"/>
        <v/>
      </c>
    </row>
    <row r="1916" spans="15:19">
      <c r="O1916" s="4" t="str">
        <f t="shared" si="160"/>
        <v>click</v>
      </c>
      <c r="S1916" s="1" t="str">
        <f t="shared" si="161"/>
        <v/>
      </c>
    </row>
    <row r="1917" spans="15:19">
      <c r="O1917" s="4" t="str">
        <f t="shared" si="160"/>
        <v>click</v>
      </c>
      <c r="S1917" s="1" t="str">
        <f t="shared" si="161"/>
        <v/>
      </c>
    </row>
    <row r="1918" spans="15:19">
      <c r="O1918" s="4" t="str">
        <f t="shared" si="160"/>
        <v>click</v>
      </c>
      <c r="S1918" s="1" t="str">
        <f t="shared" si="161"/>
        <v/>
      </c>
    </row>
    <row r="1919" spans="15:19">
      <c r="O1919" s="4" t="str">
        <f t="shared" si="160"/>
        <v>click</v>
      </c>
      <c r="S1919" s="1" t="str">
        <f t="shared" si="161"/>
        <v/>
      </c>
    </row>
    <row r="1920" spans="15:19">
      <c r="O1920" s="4" t="str">
        <f t="shared" si="160"/>
        <v>click</v>
      </c>
      <c r="S1920" s="1" t="str">
        <f t="shared" si="161"/>
        <v/>
      </c>
    </row>
    <row r="1921" spans="15:19">
      <c r="O1921" s="4" t="str">
        <f t="shared" si="160"/>
        <v>click</v>
      </c>
      <c r="S1921" s="1" t="str">
        <f t="shared" si="161"/>
        <v/>
      </c>
    </row>
    <row r="1922" spans="15:19">
      <c r="O1922" s="4" t="str">
        <f t="shared" si="160"/>
        <v>click</v>
      </c>
      <c r="S1922" s="1" t="str">
        <f t="shared" si="161"/>
        <v/>
      </c>
    </row>
    <row r="1923" spans="15:19">
      <c r="O1923" s="4" t="str">
        <f t="shared" si="160"/>
        <v>click</v>
      </c>
      <c r="S1923" s="1" t="str">
        <f t="shared" si="161"/>
        <v/>
      </c>
    </row>
    <row r="1924" spans="15:19">
      <c r="O1924" s="4" t="str">
        <f t="shared" si="160"/>
        <v>click</v>
      </c>
      <c r="S1924" s="1" t="str">
        <f t="shared" si="161"/>
        <v/>
      </c>
    </row>
    <row r="1925" spans="15:19">
      <c r="O1925" s="4" t="str">
        <f t="shared" si="160"/>
        <v>click</v>
      </c>
      <c r="S1925" s="1" t="str">
        <f t="shared" si="161"/>
        <v/>
      </c>
    </row>
    <row r="1926" spans="15:19">
      <c r="O1926" s="4" t="str">
        <f t="shared" si="160"/>
        <v>click</v>
      </c>
      <c r="S1926" s="1" t="str">
        <f t="shared" si="161"/>
        <v/>
      </c>
    </row>
    <row r="1927" spans="15:19">
      <c r="O1927" s="4" t="str">
        <f t="shared" si="160"/>
        <v>click</v>
      </c>
      <c r="S1927" s="1" t="str">
        <f t="shared" si="161"/>
        <v/>
      </c>
    </row>
    <row r="1928" spans="15:19">
      <c r="O1928" s="4" t="str">
        <f t="shared" si="160"/>
        <v>click</v>
      </c>
      <c r="S1928" s="1" t="str">
        <f t="shared" si="161"/>
        <v/>
      </c>
    </row>
    <row r="1929" spans="15:19">
      <c r="O1929" s="4" t="str">
        <f t="shared" si="160"/>
        <v>click</v>
      </c>
      <c r="S1929" s="1" t="str">
        <f t="shared" si="161"/>
        <v/>
      </c>
    </row>
    <row r="1930" spans="15:19">
      <c r="O1930" s="4" t="str">
        <f t="shared" si="160"/>
        <v>click</v>
      </c>
      <c r="S1930" s="1" t="str">
        <f t="shared" si="161"/>
        <v/>
      </c>
    </row>
    <row r="1931" spans="15:19">
      <c r="O1931" s="4" t="str">
        <f t="shared" si="160"/>
        <v>click</v>
      </c>
      <c r="S1931" s="1" t="str">
        <f t="shared" si="161"/>
        <v/>
      </c>
    </row>
    <row r="1932" spans="15:19">
      <c r="O1932" s="4" t="str">
        <f t="shared" si="160"/>
        <v>click</v>
      </c>
      <c r="S1932" s="1" t="str">
        <f t="shared" si="161"/>
        <v/>
      </c>
    </row>
    <row r="1933" spans="15:19">
      <c r="O1933" s="4" t="str">
        <f t="shared" si="160"/>
        <v>click</v>
      </c>
      <c r="S1933" s="1" t="str">
        <f t="shared" si="161"/>
        <v/>
      </c>
    </row>
    <row r="1934" spans="15:19">
      <c r="O1934" s="4" t="str">
        <f t="shared" si="160"/>
        <v>click</v>
      </c>
      <c r="S1934" s="1" t="str">
        <f t="shared" si="161"/>
        <v/>
      </c>
    </row>
    <row r="1935" spans="15:19">
      <c r="O1935" s="4" t="str">
        <f t="shared" si="160"/>
        <v>click</v>
      </c>
      <c r="S1935" s="1" t="str">
        <f t="shared" si="161"/>
        <v/>
      </c>
    </row>
    <row r="1936" spans="15:19">
      <c r="O1936" s="4" t="str">
        <f t="shared" si="160"/>
        <v>click</v>
      </c>
      <c r="S1936" s="1" t="str">
        <f t="shared" si="161"/>
        <v/>
      </c>
    </row>
    <row r="1937" spans="15:19">
      <c r="O1937" s="4" t="str">
        <f t="shared" si="160"/>
        <v>click</v>
      </c>
      <c r="S1937" s="1" t="str">
        <f t="shared" si="161"/>
        <v/>
      </c>
    </row>
    <row r="1938" spans="15:19">
      <c r="O1938" s="4" t="str">
        <f t="shared" si="160"/>
        <v>click</v>
      </c>
      <c r="S1938" s="1" t="str">
        <f t="shared" si="161"/>
        <v/>
      </c>
    </row>
    <row r="1939" spans="15:19">
      <c r="O1939" s="4" t="str">
        <f t="shared" si="160"/>
        <v>click</v>
      </c>
      <c r="S1939" s="1" t="str">
        <f t="shared" si="161"/>
        <v/>
      </c>
    </row>
    <row r="1940" spans="15:19">
      <c r="O1940" s="4" t="str">
        <f t="shared" si="160"/>
        <v>click</v>
      </c>
      <c r="S1940" s="1" t="str">
        <f t="shared" si="161"/>
        <v/>
      </c>
    </row>
    <row r="1941" spans="15:19">
      <c r="O1941" s="4" t="str">
        <f t="shared" ref="O1941:O2004" si="162">IF(D1941="input","fill",IF(I1941&lt;&gt;"","innerText",IF(J1941="Y",$T$7,"click")))</f>
        <v>click</v>
      </c>
      <c r="S1941" s="1" t="str">
        <f t="shared" si="161"/>
        <v/>
      </c>
    </row>
    <row r="1942" spans="15:19">
      <c r="O1942" s="4" t="str">
        <f t="shared" si="162"/>
        <v>click</v>
      </c>
      <c r="S1942" s="1" t="str">
        <f t="shared" si="161"/>
        <v/>
      </c>
    </row>
    <row r="1943" spans="15:19">
      <c r="O1943" s="4" t="str">
        <f t="shared" si="162"/>
        <v>click</v>
      </c>
      <c r="S1943" s="1" t="str">
        <f t="shared" si="161"/>
        <v/>
      </c>
    </row>
    <row r="1944" spans="15:19">
      <c r="O1944" s="4" t="str">
        <f t="shared" si="162"/>
        <v>click</v>
      </c>
      <c r="S1944" s="1" t="str">
        <f t="shared" si="161"/>
        <v/>
      </c>
    </row>
    <row r="1945" spans="15:19">
      <c r="O1945" s="4" t="str">
        <f t="shared" si="162"/>
        <v>click</v>
      </c>
      <c r="S1945" s="1" t="str">
        <f t="shared" si="161"/>
        <v/>
      </c>
    </row>
    <row r="1946" spans="15:19">
      <c r="O1946" s="4" t="str">
        <f t="shared" si="162"/>
        <v>click</v>
      </c>
      <c r="S1946" s="1" t="str">
        <f t="shared" si="161"/>
        <v/>
      </c>
    </row>
    <row r="1947" spans="15:19">
      <c r="O1947" s="4" t="str">
        <f t="shared" si="162"/>
        <v>click</v>
      </c>
      <c r="S1947" s="1" t="str">
        <f t="shared" si="161"/>
        <v/>
      </c>
    </row>
    <row r="1948" spans="15:19">
      <c r="O1948" s="4" t="str">
        <f t="shared" si="162"/>
        <v>click</v>
      </c>
      <c r="S1948" s="1" t="str">
        <f t="shared" si="161"/>
        <v/>
      </c>
    </row>
    <row r="1949" spans="15:19">
      <c r="O1949" s="4" t="str">
        <f t="shared" si="162"/>
        <v>click</v>
      </c>
      <c r="S1949" s="1" t="str">
        <f t="shared" si="161"/>
        <v/>
      </c>
    </row>
    <row r="1950" spans="15:19">
      <c r="O1950" s="4" t="str">
        <f t="shared" si="162"/>
        <v>click</v>
      </c>
      <c r="S1950" s="1" t="str">
        <f t="shared" si="161"/>
        <v/>
      </c>
    </row>
    <row r="1951" spans="15:19">
      <c r="O1951" s="4" t="str">
        <f t="shared" si="162"/>
        <v>click</v>
      </c>
      <c r="S1951" s="1" t="str">
        <f t="shared" si="161"/>
        <v/>
      </c>
    </row>
    <row r="1952" spans="15:19">
      <c r="O1952" s="4" t="str">
        <f t="shared" si="162"/>
        <v>click</v>
      </c>
      <c r="S1952" s="1" t="str">
        <f t="shared" si="161"/>
        <v/>
      </c>
    </row>
    <row r="1953" spans="15:19">
      <c r="O1953" s="4" t="str">
        <f t="shared" si="162"/>
        <v>click</v>
      </c>
      <c r="S1953" s="1" t="str">
        <f t="shared" si="161"/>
        <v/>
      </c>
    </row>
    <row r="1954" spans="15:19">
      <c r="O1954" s="4" t="str">
        <f t="shared" si="162"/>
        <v>click</v>
      </c>
      <c r="S1954" s="1" t="str">
        <f t="shared" si="161"/>
        <v/>
      </c>
    </row>
    <row r="1955" spans="15:19">
      <c r="O1955" s="4" t="str">
        <f t="shared" si="162"/>
        <v>click</v>
      </c>
      <c r="S1955" s="1" t="str">
        <f t="shared" si="161"/>
        <v/>
      </c>
    </row>
    <row r="1956" spans="15:19">
      <c r="O1956" s="4" t="str">
        <f t="shared" si="162"/>
        <v>click</v>
      </c>
      <c r="S1956" s="1" t="str">
        <f t="shared" si="161"/>
        <v/>
      </c>
    </row>
    <row r="1957" spans="15:19">
      <c r="O1957" s="4" t="str">
        <f t="shared" si="162"/>
        <v>click</v>
      </c>
      <c r="S1957" s="1" t="str">
        <f t="shared" ref="S1957:S2020" si="163">IF(O1957="innerText",I1957&amp;"="&amp;IF(C1957="Y",IF(J1957&lt;&gt;"Y",$S$8&amp;$R$9&amp;"."&amp;E1957&amp;")."&amp;IF(OR(O1957="click",O1957="innerText"),O1957&amp;"();",O1957&amp;"("&amp;$Q$8&amp;"."&amp;E1957&amp;");"),$S$7&amp;$R$9&amp;"."&amp;E1957&amp;")."&amp;IF(O1957="click",O1957&amp;"();",O1957&amp;"("&amp;"'"&amp;K1957&amp;"'"&amp;");")),""),IF(C1957="Y",IF(J1957&lt;&gt;"Y",$S$8&amp;$R$9&amp;"."&amp;E1957&amp;")."&amp;IF(OR(O1957="click",O1957="innerText"),O1957&amp;"();",O1957&amp;"("&amp;$Q$8&amp;"."&amp;E1957&amp;");"),$S$7&amp;$R$9&amp;"."&amp;E1957&amp;")."&amp;IF(O1957="click",O1957&amp;"();",O1957&amp;"("&amp;"'"&amp;K1957&amp;"'"&amp;");")),""))</f>
        <v/>
      </c>
    </row>
    <row r="1958" spans="15:19">
      <c r="O1958" s="4" t="str">
        <f t="shared" si="162"/>
        <v>click</v>
      </c>
      <c r="S1958" s="1" t="str">
        <f t="shared" si="163"/>
        <v/>
      </c>
    </row>
    <row r="1959" spans="15:19">
      <c r="O1959" s="4" t="str">
        <f t="shared" si="162"/>
        <v>click</v>
      </c>
      <c r="S1959" s="1" t="str">
        <f t="shared" si="163"/>
        <v/>
      </c>
    </row>
    <row r="1960" spans="15:19">
      <c r="O1960" s="4" t="str">
        <f t="shared" si="162"/>
        <v>click</v>
      </c>
      <c r="S1960" s="1" t="str">
        <f t="shared" si="163"/>
        <v/>
      </c>
    </row>
    <row r="1961" spans="15:19">
      <c r="O1961" s="4" t="str">
        <f t="shared" si="162"/>
        <v>click</v>
      </c>
      <c r="S1961" s="1" t="str">
        <f t="shared" si="163"/>
        <v/>
      </c>
    </row>
    <row r="1962" spans="15:19">
      <c r="O1962" s="4" t="str">
        <f t="shared" si="162"/>
        <v>click</v>
      </c>
      <c r="S1962" s="1" t="str">
        <f t="shared" si="163"/>
        <v/>
      </c>
    </row>
    <row r="1963" spans="15:19">
      <c r="O1963" s="4" t="str">
        <f t="shared" si="162"/>
        <v>click</v>
      </c>
      <c r="S1963" s="1" t="str">
        <f t="shared" si="163"/>
        <v/>
      </c>
    </row>
    <row r="1964" spans="15:19">
      <c r="O1964" s="4" t="str">
        <f t="shared" si="162"/>
        <v>click</v>
      </c>
      <c r="S1964" s="1" t="str">
        <f t="shared" si="163"/>
        <v/>
      </c>
    </row>
    <row r="1965" spans="15:19">
      <c r="O1965" s="4" t="str">
        <f t="shared" si="162"/>
        <v>click</v>
      </c>
      <c r="S1965" s="1" t="str">
        <f t="shared" si="163"/>
        <v/>
      </c>
    </row>
    <row r="1966" spans="15:19">
      <c r="O1966" s="4" t="str">
        <f t="shared" si="162"/>
        <v>click</v>
      </c>
      <c r="S1966" s="1" t="str">
        <f t="shared" si="163"/>
        <v/>
      </c>
    </row>
    <row r="1967" spans="15:19">
      <c r="O1967" s="4" t="str">
        <f t="shared" si="162"/>
        <v>click</v>
      </c>
      <c r="S1967" s="1" t="str">
        <f t="shared" si="163"/>
        <v/>
      </c>
    </row>
    <row r="1968" spans="15:19">
      <c r="O1968" s="4" t="str">
        <f t="shared" si="162"/>
        <v>click</v>
      </c>
      <c r="S1968" s="1" t="str">
        <f t="shared" si="163"/>
        <v/>
      </c>
    </row>
    <row r="1969" spans="15:19">
      <c r="O1969" s="4" t="str">
        <f t="shared" si="162"/>
        <v>click</v>
      </c>
      <c r="S1969" s="1" t="str">
        <f t="shared" si="163"/>
        <v/>
      </c>
    </row>
    <row r="1970" spans="15:19">
      <c r="O1970" s="4" t="str">
        <f t="shared" si="162"/>
        <v>click</v>
      </c>
      <c r="S1970" s="1" t="str">
        <f t="shared" si="163"/>
        <v/>
      </c>
    </row>
    <row r="1971" spans="15:19">
      <c r="O1971" s="4" t="str">
        <f t="shared" si="162"/>
        <v>click</v>
      </c>
      <c r="S1971" s="1" t="str">
        <f t="shared" si="163"/>
        <v/>
      </c>
    </row>
    <row r="1972" spans="15:19">
      <c r="O1972" s="4" t="str">
        <f t="shared" si="162"/>
        <v>click</v>
      </c>
      <c r="S1972" s="1" t="str">
        <f t="shared" si="163"/>
        <v/>
      </c>
    </row>
    <row r="1973" spans="15:19">
      <c r="O1973" s="4" t="str">
        <f t="shared" si="162"/>
        <v>click</v>
      </c>
      <c r="S1973" s="1" t="str">
        <f t="shared" si="163"/>
        <v/>
      </c>
    </row>
    <row r="1974" spans="15:19">
      <c r="O1974" s="4" t="str">
        <f t="shared" si="162"/>
        <v>click</v>
      </c>
      <c r="S1974" s="1" t="str">
        <f t="shared" si="163"/>
        <v/>
      </c>
    </row>
    <row r="1975" spans="15:19">
      <c r="O1975" s="4" t="str">
        <f t="shared" si="162"/>
        <v>click</v>
      </c>
      <c r="S1975" s="1" t="str">
        <f t="shared" si="163"/>
        <v/>
      </c>
    </row>
    <row r="1976" spans="15:19">
      <c r="O1976" s="4" t="str">
        <f t="shared" si="162"/>
        <v>click</v>
      </c>
      <c r="S1976" s="1" t="str">
        <f t="shared" si="163"/>
        <v/>
      </c>
    </row>
    <row r="1977" spans="15:19">
      <c r="O1977" s="4" t="str">
        <f t="shared" si="162"/>
        <v>click</v>
      </c>
      <c r="S1977" s="1" t="str">
        <f t="shared" si="163"/>
        <v/>
      </c>
    </row>
    <row r="1978" spans="15:19">
      <c r="O1978" s="4" t="str">
        <f t="shared" si="162"/>
        <v>click</v>
      </c>
      <c r="S1978" s="1" t="str">
        <f t="shared" si="163"/>
        <v/>
      </c>
    </row>
    <row r="1979" spans="15:19">
      <c r="O1979" s="4" t="str">
        <f t="shared" si="162"/>
        <v>click</v>
      </c>
      <c r="S1979" s="1" t="str">
        <f t="shared" si="163"/>
        <v/>
      </c>
    </row>
    <row r="1980" spans="15:19">
      <c r="O1980" s="4" t="str">
        <f t="shared" si="162"/>
        <v>click</v>
      </c>
      <c r="S1980" s="1" t="str">
        <f t="shared" si="163"/>
        <v/>
      </c>
    </row>
    <row r="1981" spans="15:19">
      <c r="O1981" s="4" t="str">
        <f t="shared" si="162"/>
        <v>click</v>
      </c>
      <c r="S1981" s="1" t="str">
        <f t="shared" si="163"/>
        <v/>
      </c>
    </row>
    <row r="1982" spans="15:19">
      <c r="O1982" s="4" t="str">
        <f t="shared" si="162"/>
        <v>click</v>
      </c>
      <c r="S1982" s="1" t="str">
        <f t="shared" si="163"/>
        <v/>
      </c>
    </row>
    <row r="1983" spans="15:19">
      <c r="O1983" s="4" t="str">
        <f t="shared" si="162"/>
        <v>click</v>
      </c>
      <c r="S1983" s="1" t="str">
        <f t="shared" si="163"/>
        <v/>
      </c>
    </row>
    <row r="1984" spans="15:19">
      <c r="O1984" s="4" t="str">
        <f t="shared" si="162"/>
        <v>click</v>
      </c>
      <c r="S1984" s="1" t="str">
        <f t="shared" si="163"/>
        <v/>
      </c>
    </row>
    <row r="1985" spans="15:19">
      <c r="O1985" s="4" t="str">
        <f t="shared" si="162"/>
        <v>click</v>
      </c>
      <c r="S1985" s="1" t="str">
        <f t="shared" si="163"/>
        <v/>
      </c>
    </row>
    <row r="1986" spans="15:19">
      <c r="O1986" s="4" t="str">
        <f t="shared" si="162"/>
        <v>click</v>
      </c>
      <c r="S1986" s="1" t="str">
        <f t="shared" si="163"/>
        <v/>
      </c>
    </row>
    <row r="1987" spans="15:19">
      <c r="O1987" s="4" t="str">
        <f t="shared" si="162"/>
        <v>click</v>
      </c>
      <c r="S1987" s="1" t="str">
        <f t="shared" si="163"/>
        <v/>
      </c>
    </row>
    <row r="1988" spans="15:19">
      <c r="O1988" s="4" t="str">
        <f t="shared" si="162"/>
        <v>click</v>
      </c>
      <c r="S1988" s="1" t="str">
        <f t="shared" si="163"/>
        <v/>
      </c>
    </row>
    <row r="1989" spans="15:19">
      <c r="O1989" s="4" t="str">
        <f t="shared" si="162"/>
        <v>click</v>
      </c>
      <c r="S1989" s="1" t="str">
        <f t="shared" si="163"/>
        <v/>
      </c>
    </row>
    <row r="1990" spans="15:19">
      <c r="O1990" s="4" t="str">
        <f t="shared" si="162"/>
        <v>click</v>
      </c>
      <c r="S1990" s="1" t="str">
        <f t="shared" si="163"/>
        <v/>
      </c>
    </row>
    <row r="1991" spans="15:19">
      <c r="O1991" s="4" t="str">
        <f t="shared" si="162"/>
        <v>click</v>
      </c>
      <c r="S1991" s="1" t="str">
        <f t="shared" si="163"/>
        <v/>
      </c>
    </row>
    <row r="1992" spans="15:19">
      <c r="O1992" s="4" t="str">
        <f t="shared" si="162"/>
        <v>click</v>
      </c>
      <c r="S1992" s="1" t="str">
        <f t="shared" si="163"/>
        <v/>
      </c>
    </row>
    <row r="1993" spans="15:19">
      <c r="O1993" s="4" t="str">
        <f t="shared" si="162"/>
        <v>click</v>
      </c>
      <c r="S1993" s="1" t="str">
        <f t="shared" si="163"/>
        <v/>
      </c>
    </row>
    <row r="1994" spans="15:19">
      <c r="O1994" s="4" t="str">
        <f t="shared" si="162"/>
        <v>click</v>
      </c>
      <c r="S1994" s="1" t="str">
        <f t="shared" si="163"/>
        <v/>
      </c>
    </row>
    <row r="1995" spans="15:19">
      <c r="O1995" s="4" t="str">
        <f t="shared" si="162"/>
        <v>click</v>
      </c>
      <c r="S1995" s="1" t="str">
        <f t="shared" si="163"/>
        <v/>
      </c>
    </row>
    <row r="1996" spans="15:19">
      <c r="O1996" s="4" t="str">
        <f t="shared" si="162"/>
        <v>click</v>
      </c>
      <c r="S1996" s="1" t="str">
        <f t="shared" si="163"/>
        <v/>
      </c>
    </row>
    <row r="1997" spans="15:19">
      <c r="O1997" s="4" t="str">
        <f t="shared" si="162"/>
        <v>click</v>
      </c>
      <c r="S1997" s="1" t="str">
        <f t="shared" si="163"/>
        <v/>
      </c>
    </row>
    <row r="1998" spans="15:19">
      <c r="O1998" s="4" t="str">
        <f t="shared" si="162"/>
        <v>click</v>
      </c>
      <c r="S1998" s="1" t="str">
        <f t="shared" si="163"/>
        <v/>
      </c>
    </row>
    <row r="1999" spans="15:19">
      <c r="O1999" s="4" t="str">
        <f t="shared" si="162"/>
        <v>click</v>
      </c>
      <c r="S1999" s="1" t="str">
        <f t="shared" si="163"/>
        <v/>
      </c>
    </row>
    <row r="2000" spans="15:19">
      <c r="O2000" s="4" t="str">
        <f t="shared" si="162"/>
        <v>click</v>
      </c>
      <c r="S2000" s="1" t="str">
        <f t="shared" si="163"/>
        <v/>
      </c>
    </row>
    <row r="2001" spans="15:19">
      <c r="O2001" s="4" t="str">
        <f t="shared" si="162"/>
        <v>click</v>
      </c>
      <c r="S2001" s="1" t="str">
        <f t="shared" si="163"/>
        <v/>
      </c>
    </row>
    <row r="2002" spans="15:19">
      <c r="O2002" s="4" t="str">
        <f t="shared" si="162"/>
        <v>click</v>
      </c>
      <c r="S2002" s="1" t="str">
        <f t="shared" si="163"/>
        <v/>
      </c>
    </row>
    <row r="2003" spans="15:19">
      <c r="O2003" s="4" t="str">
        <f t="shared" si="162"/>
        <v>click</v>
      </c>
      <c r="S2003" s="1" t="str">
        <f t="shared" si="163"/>
        <v/>
      </c>
    </row>
    <row r="2004" spans="15:19">
      <c r="O2004" s="4" t="str">
        <f t="shared" si="162"/>
        <v>click</v>
      </c>
      <c r="S2004" s="1" t="str">
        <f t="shared" si="163"/>
        <v/>
      </c>
    </row>
    <row r="2005" spans="15:19">
      <c r="O2005" s="4" t="str">
        <f t="shared" ref="O2005:O2068" si="164">IF(D2005="input","fill",IF(I2005&lt;&gt;"","innerText",IF(J2005="Y",$T$7,"click")))</f>
        <v>click</v>
      </c>
      <c r="S2005" s="1" t="str">
        <f t="shared" si="163"/>
        <v/>
      </c>
    </row>
    <row r="2006" spans="15:19">
      <c r="O2006" s="4" t="str">
        <f t="shared" si="164"/>
        <v>click</v>
      </c>
      <c r="S2006" s="1" t="str">
        <f t="shared" si="163"/>
        <v/>
      </c>
    </row>
    <row r="2007" spans="15:19">
      <c r="O2007" s="4" t="str">
        <f t="shared" si="164"/>
        <v>click</v>
      </c>
      <c r="S2007" s="1" t="str">
        <f t="shared" si="163"/>
        <v/>
      </c>
    </row>
    <row r="2008" spans="15:19">
      <c r="O2008" s="4" t="str">
        <f t="shared" si="164"/>
        <v>click</v>
      </c>
      <c r="S2008" s="1" t="str">
        <f t="shared" si="163"/>
        <v/>
      </c>
    </row>
    <row r="2009" spans="15:19">
      <c r="O2009" s="4" t="str">
        <f t="shared" si="164"/>
        <v>click</v>
      </c>
      <c r="S2009" s="1" t="str">
        <f t="shared" si="163"/>
        <v/>
      </c>
    </row>
    <row r="2010" spans="15:19">
      <c r="O2010" s="4" t="str">
        <f t="shared" si="164"/>
        <v>click</v>
      </c>
      <c r="S2010" s="1" t="str">
        <f t="shared" si="163"/>
        <v/>
      </c>
    </row>
    <row r="2011" spans="15:19">
      <c r="O2011" s="4" t="str">
        <f t="shared" si="164"/>
        <v>click</v>
      </c>
      <c r="S2011" s="1" t="str">
        <f t="shared" si="163"/>
        <v/>
      </c>
    </row>
    <row r="2012" spans="15:19">
      <c r="O2012" s="4" t="str">
        <f t="shared" si="164"/>
        <v>click</v>
      </c>
      <c r="S2012" s="1" t="str">
        <f t="shared" si="163"/>
        <v/>
      </c>
    </row>
    <row r="2013" spans="15:19">
      <c r="O2013" s="4" t="str">
        <f t="shared" si="164"/>
        <v>click</v>
      </c>
      <c r="S2013" s="1" t="str">
        <f t="shared" si="163"/>
        <v/>
      </c>
    </row>
    <row r="2014" spans="15:19">
      <c r="O2014" s="4" t="str">
        <f t="shared" si="164"/>
        <v>click</v>
      </c>
      <c r="S2014" s="1" t="str">
        <f t="shared" si="163"/>
        <v/>
      </c>
    </row>
    <row r="2015" spans="15:19">
      <c r="O2015" s="4" t="str">
        <f t="shared" si="164"/>
        <v>click</v>
      </c>
      <c r="S2015" s="1" t="str">
        <f t="shared" si="163"/>
        <v/>
      </c>
    </row>
    <row r="2016" spans="15:19">
      <c r="O2016" s="4" t="str">
        <f t="shared" si="164"/>
        <v>click</v>
      </c>
      <c r="S2016" s="1" t="str">
        <f t="shared" si="163"/>
        <v/>
      </c>
    </row>
    <row r="2017" spans="15:19">
      <c r="O2017" s="4" t="str">
        <f t="shared" si="164"/>
        <v>click</v>
      </c>
      <c r="S2017" s="1" t="str">
        <f t="shared" si="163"/>
        <v/>
      </c>
    </row>
    <row r="2018" spans="15:19">
      <c r="O2018" s="4" t="str">
        <f t="shared" si="164"/>
        <v>click</v>
      </c>
      <c r="S2018" s="1" t="str">
        <f t="shared" si="163"/>
        <v/>
      </c>
    </row>
    <row r="2019" spans="15:19">
      <c r="O2019" s="4" t="str">
        <f t="shared" si="164"/>
        <v>click</v>
      </c>
      <c r="S2019" s="1" t="str">
        <f t="shared" si="163"/>
        <v/>
      </c>
    </row>
    <row r="2020" spans="15:19">
      <c r="O2020" s="4" t="str">
        <f t="shared" si="164"/>
        <v>click</v>
      </c>
      <c r="S2020" s="1" t="str">
        <f t="shared" si="163"/>
        <v/>
      </c>
    </row>
    <row r="2021" spans="15:19">
      <c r="O2021" s="4" t="str">
        <f t="shared" si="164"/>
        <v>click</v>
      </c>
      <c r="S2021" s="1" t="str">
        <f t="shared" ref="S2021:S2084" si="165">IF(O2021="innerText",I2021&amp;"="&amp;IF(C2021="Y",IF(J2021&lt;&gt;"Y",$S$8&amp;$R$9&amp;"."&amp;E2021&amp;")."&amp;IF(OR(O2021="click",O2021="innerText"),O2021&amp;"();",O2021&amp;"("&amp;$Q$8&amp;"."&amp;E2021&amp;");"),$S$7&amp;$R$9&amp;"."&amp;E2021&amp;")."&amp;IF(O2021="click",O2021&amp;"();",O2021&amp;"("&amp;"'"&amp;K2021&amp;"'"&amp;");")),""),IF(C2021="Y",IF(J2021&lt;&gt;"Y",$S$8&amp;$R$9&amp;"."&amp;E2021&amp;")."&amp;IF(OR(O2021="click",O2021="innerText"),O2021&amp;"();",O2021&amp;"("&amp;$Q$8&amp;"."&amp;E2021&amp;");"),$S$7&amp;$R$9&amp;"."&amp;E2021&amp;")."&amp;IF(O2021="click",O2021&amp;"();",O2021&amp;"("&amp;"'"&amp;K2021&amp;"'"&amp;");")),""))</f>
        <v/>
      </c>
    </row>
    <row r="2022" spans="15:19">
      <c r="O2022" s="4" t="str">
        <f t="shared" si="164"/>
        <v>click</v>
      </c>
      <c r="S2022" s="1" t="str">
        <f t="shared" si="165"/>
        <v/>
      </c>
    </row>
    <row r="2023" spans="15:19">
      <c r="O2023" s="4" t="str">
        <f t="shared" si="164"/>
        <v>click</v>
      </c>
      <c r="S2023" s="1" t="str">
        <f t="shared" si="165"/>
        <v/>
      </c>
    </row>
    <row r="2024" spans="15:19">
      <c r="O2024" s="4" t="str">
        <f t="shared" si="164"/>
        <v>click</v>
      </c>
      <c r="S2024" s="1" t="str">
        <f t="shared" si="165"/>
        <v/>
      </c>
    </row>
    <row r="2025" spans="15:19">
      <c r="O2025" s="4" t="str">
        <f t="shared" si="164"/>
        <v>click</v>
      </c>
      <c r="S2025" s="1" t="str">
        <f t="shared" si="165"/>
        <v/>
      </c>
    </row>
    <row r="2026" spans="15:19">
      <c r="O2026" s="4" t="str">
        <f t="shared" si="164"/>
        <v>click</v>
      </c>
      <c r="S2026" s="1" t="str">
        <f t="shared" si="165"/>
        <v/>
      </c>
    </row>
    <row r="2027" spans="15:19">
      <c r="O2027" s="4" t="str">
        <f t="shared" si="164"/>
        <v>click</v>
      </c>
      <c r="S2027" s="1" t="str">
        <f t="shared" si="165"/>
        <v/>
      </c>
    </row>
    <row r="2028" spans="15:19">
      <c r="O2028" s="4" t="str">
        <f t="shared" si="164"/>
        <v>click</v>
      </c>
      <c r="S2028" s="1" t="str">
        <f t="shared" si="165"/>
        <v/>
      </c>
    </row>
    <row r="2029" spans="15:19">
      <c r="O2029" s="4" t="str">
        <f t="shared" si="164"/>
        <v>click</v>
      </c>
      <c r="S2029" s="1" t="str">
        <f t="shared" si="165"/>
        <v/>
      </c>
    </row>
    <row r="2030" spans="15:19">
      <c r="O2030" s="4" t="str">
        <f t="shared" si="164"/>
        <v>click</v>
      </c>
      <c r="S2030" s="1" t="str">
        <f t="shared" si="165"/>
        <v/>
      </c>
    </row>
    <row r="2031" spans="15:19">
      <c r="O2031" s="4" t="str">
        <f t="shared" si="164"/>
        <v>click</v>
      </c>
      <c r="S2031" s="1" t="str">
        <f t="shared" si="165"/>
        <v/>
      </c>
    </row>
    <row r="2032" spans="15:19">
      <c r="O2032" s="4" t="str">
        <f t="shared" si="164"/>
        <v>click</v>
      </c>
      <c r="S2032" s="1" t="str">
        <f t="shared" si="165"/>
        <v/>
      </c>
    </row>
    <row r="2033" spans="15:19">
      <c r="O2033" s="4" t="str">
        <f t="shared" si="164"/>
        <v>click</v>
      </c>
      <c r="S2033" s="1" t="str">
        <f t="shared" si="165"/>
        <v/>
      </c>
    </row>
    <row r="2034" spans="15:19">
      <c r="O2034" s="4" t="str">
        <f t="shared" si="164"/>
        <v>click</v>
      </c>
      <c r="S2034" s="1" t="str">
        <f t="shared" si="165"/>
        <v/>
      </c>
    </row>
    <row r="2035" spans="15:19">
      <c r="O2035" s="4" t="str">
        <f t="shared" si="164"/>
        <v>click</v>
      </c>
      <c r="S2035" s="1" t="str">
        <f t="shared" si="165"/>
        <v/>
      </c>
    </row>
    <row r="2036" spans="15:19">
      <c r="O2036" s="4" t="str">
        <f t="shared" si="164"/>
        <v>click</v>
      </c>
      <c r="S2036" s="1" t="str">
        <f t="shared" si="165"/>
        <v/>
      </c>
    </row>
    <row r="2037" spans="15:19">
      <c r="O2037" s="4" t="str">
        <f t="shared" si="164"/>
        <v>click</v>
      </c>
      <c r="S2037" s="1" t="str">
        <f t="shared" si="165"/>
        <v/>
      </c>
    </row>
    <row r="2038" spans="15:19">
      <c r="O2038" s="4" t="str">
        <f t="shared" si="164"/>
        <v>click</v>
      </c>
      <c r="S2038" s="1" t="str">
        <f t="shared" si="165"/>
        <v/>
      </c>
    </row>
    <row r="2039" spans="15:19">
      <c r="O2039" s="4" t="str">
        <f t="shared" si="164"/>
        <v>click</v>
      </c>
      <c r="S2039" s="1" t="str">
        <f t="shared" si="165"/>
        <v/>
      </c>
    </row>
    <row r="2040" spans="15:19">
      <c r="O2040" s="4" t="str">
        <f t="shared" si="164"/>
        <v>click</v>
      </c>
      <c r="S2040" s="1" t="str">
        <f t="shared" si="165"/>
        <v/>
      </c>
    </row>
    <row r="2041" spans="15:19">
      <c r="O2041" s="4" t="str">
        <f t="shared" si="164"/>
        <v>click</v>
      </c>
      <c r="S2041" s="1" t="str">
        <f t="shared" si="165"/>
        <v/>
      </c>
    </row>
    <row r="2042" spans="15:19">
      <c r="O2042" s="4" t="str">
        <f t="shared" si="164"/>
        <v>click</v>
      </c>
      <c r="S2042" s="1" t="str">
        <f t="shared" si="165"/>
        <v/>
      </c>
    </row>
    <row r="2043" spans="15:19">
      <c r="O2043" s="4" t="str">
        <f t="shared" si="164"/>
        <v>click</v>
      </c>
      <c r="S2043" s="1" t="str">
        <f t="shared" si="165"/>
        <v/>
      </c>
    </row>
    <row r="2044" spans="15:19">
      <c r="O2044" s="4" t="str">
        <f t="shared" si="164"/>
        <v>click</v>
      </c>
      <c r="S2044" s="1" t="str">
        <f t="shared" si="165"/>
        <v/>
      </c>
    </row>
    <row r="2045" spans="15:19">
      <c r="O2045" s="4" t="str">
        <f t="shared" si="164"/>
        <v>click</v>
      </c>
      <c r="S2045" s="1" t="str">
        <f t="shared" si="165"/>
        <v/>
      </c>
    </row>
    <row r="2046" spans="15:19">
      <c r="O2046" s="4" t="str">
        <f t="shared" si="164"/>
        <v>click</v>
      </c>
      <c r="S2046" s="1" t="str">
        <f t="shared" si="165"/>
        <v/>
      </c>
    </row>
    <row r="2047" spans="15:19">
      <c r="O2047" s="4" t="str">
        <f t="shared" si="164"/>
        <v>click</v>
      </c>
      <c r="S2047" s="1" t="str">
        <f t="shared" si="165"/>
        <v/>
      </c>
    </row>
    <row r="2048" spans="15:19">
      <c r="O2048" s="4" t="str">
        <f t="shared" si="164"/>
        <v>click</v>
      </c>
      <c r="S2048" s="1" t="str">
        <f t="shared" si="165"/>
        <v/>
      </c>
    </row>
    <row r="2049" spans="15:19">
      <c r="O2049" s="4" t="str">
        <f t="shared" si="164"/>
        <v>click</v>
      </c>
      <c r="S2049" s="1" t="str">
        <f t="shared" si="165"/>
        <v/>
      </c>
    </row>
    <row r="2050" spans="15:19">
      <c r="O2050" s="4" t="str">
        <f t="shared" si="164"/>
        <v>click</v>
      </c>
      <c r="S2050" s="1" t="str">
        <f t="shared" si="165"/>
        <v/>
      </c>
    </row>
    <row r="2051" spans="15:19">
      <c r="O2051" s="4" t="str">
        <f t="shared" si="164"/>
        <v>click</v>
      </c>
      <c r="S2051" s="1" t="str">
        <f t="shared" si="165"/>
        <v/>
      </c>
    </row>
    <row r="2052" spans="15:19">
      <c r="O2052" s="4" t="str">
        <f t="shared" si="164"/>
        <v>click</v>
      </c>
      <c r="S2052" s="1" t="str">
        <f t="shared" si="165"/>
        <v/>
      </c>
    </row>
    <row r="2053" spans="15:19">
      <c r="O2053" s="4" t="str">
        <f t="shared" si="164"/>
        <v>click</v>
      </c>
      <c r="S2053" s="1" t="str">
        <f t="shared" si="165"/>
        <v/>
      </c>
    </row>
    <row r="2054" spans="15:19">
      <c r="O2054" s="4" t="str">
        <f t="shared" si="164"/>
        <v>click</v>
      </c>
      <c r="S2054" s="1" t="str">
        <f t="shared" si="165"/>
        <v/>
      </c>
    </row>
    <row r="2055" spans="15:19">
      <c r="O2055" s="4" t="str">
        <f t="shared" si="164"/>
        <v>click</v>
      </c>
      <c r="S2055" s="1" t="str">
        <f t="shared" si="165"/>
        <v/>
      </c>
    </row>
    <row r="2056" spans="15:19">
      <c r="O2056" s="4" t="str">
        <f t="shared" si="164"/>
        <v>click</v>
      </c>
      <c r="S2056" s="1" t="str">
        <f t="shared" si="165"/>
        <v/>
      </c>
    </row>
    <row r="2057" spans="15:19">
      <c r="O2057" s="4" t="str">
        <f t="shared" si="164"/>
        <v>click</v>
      </c>
      <c r="S2057" s="1" t="str">
        <f t="shared" si="165"/>
        <v/>
      </c>
    </row>
    <row r="2058" spans="15:19">
      <c r="O2058" s="4" t="str">
        <f t="shared" si="164"/>
        <v>click</v>
      </c>
      <c r="S2058" s="1" t="str">
        <f t="shared" si="165"/>
        <v/>
      </c>
    </row>
    <row r="2059" spans="15:19">
      <c r="O2059" s="4" t="str">
        <f t="shared" si="164"/>
        <v>click</v>
      </c>
      <c r="S2059" s="1" t="str">
        <f t="shared" si="165"/>
        <v/>
      </c>
    </row>
    <row r="2060" spans="15:19">
      <c r="O2060" s="4" t="str">
        <f t="shared" si="164"/>
        <v>click</v>
      </c>
      <c r="S2060" s="1" t="str">
        <f t="shared" si="165"/>
        <v/>
      </c>
    </row>
    <row r="2061" spans="15:19">
      <c r="O2061" s="4" t="str">
        <f t="shared" si="164"/>
        <v>click</v>
      </c>
      <c r="S2061" s="1" t="str">
        <f t="shared" si="165"/>
        <v/>
      </c>
    </row>
    <row r="2062" spans="15:19">
      <c r="O2062" s="4" t="str">
        <f t="shared" si="164"/>
        <v>click</v>
      </c>
      <c r="S2062" s="1" t="str">
        <f t="shared" si="165"/>
        <v/>
      </c>
    </row>
    <row r="2063" spans="15:19">
      <c r="O2063" s="4" t="str">
        <f t="shared" si="164"/>
        <v>click</v>
      </c>
      <c r="S2063" s="1" t="str">
        <f t="shared" si="165"/>
        <v/>
      </c>
    </row>
    <row r="2064" spans="15:19">
      <c r="O2064" s="4" t="str">
        <f t="shared" si="164"/>
        <v>click</v>
      </c>
      <c r="S2064" s="1" t="str">
        <f t="shared" si="165"/>
        <v/>
      </c>
    </row>
    <row r="2065" spans="15:19">
      <c r="O2065" s="4" t="str">
        <f t="shared" si="164"/>
        <v>click</v>
      </c>
      <c r="S2065" s="1" t="str">
        <f t="shared" si="165"/>
        <v/>
      </c>
    </row>
    <row r="2066" spans="15:19">
      <c r="O2066" s="4" t="str">
        <f t="shared" si="164"/>
        <v>click</v>
      </c>
      <c r="S2066" s="1" t="str">
        <f t="shared" si="165"/>
        <v/>
      </c>
    </row>
    <row r="2067" spans="15:19">
      <c r="O2067" s="4" t="str">
        <f t="shared" si="164"/>
        <v>click</v>
      </c>
      <c r="S2067" s="1" t="str">
        <f t="shared" si="165"/>
        <v/>
      </c>
    </row>
    <row r="2068" spans="15:19">
      <c r="O2068" s="4" t="str">
        <f t="shared" si="164"/>
        <v>click</v>
      </c>
      <c r="S2068" s="1" t="str">
        <f t="shared" si="165"/>
        <v/>
      </c>
    </row>
    <row r="2069" spans="15:19">
      <c r="O2069" s="4" t="str">
        <f t="shared" ref="O2069:O2132" si="166">IF(D2069="input","fill",IF(I2069&lt;&gt;"","innerText",IF(J2069="Y",$T$7,"click")))</f>
        <v>click</v>
      </c>
      <c r="S2069" s="1" t="str">
        <f t="shared" si="165"/>
        <v/>
      </c>
    </row>
    <row r="2070" spans="15:19">
      <c r="O2070" s="4" t="str">
        <f t="shared" si="166"/>
        <v>click</v>
      </c>
      <c r="S2070" s="1" t="str">
        <f t="shared" si="165"/>
        <v/>
      </c>
    </row>
    <row r="2071" spans="15:19">
      <c r="O2071" s="4" t="str">
        <f t="shared" si="166"/>
        <v>click</v>
      </c>
      <c r="S2071" s="1" t="str">
        <f t="shared" si="165"/>
        <v/>
      </c>
    </row>
    <row r="2072" spans="15:19">
      <c r="O2072" s="4" t="str">
        <f t="shared" si="166"/>
        <v>click</v>
      </c>
      <c r="S2072" s="1" t="str">
        <f t="shared" si="165"/>
        <v/>
      </c>
    </row>
    <row r="2073" spans="15:19">
      <c r="O2073" s="4" t="str">
        <f t="shared" si="166"/>
        <v>click</v>
      </c>
      <c r="S2073" s="1" t="str">
        <f t="shared" si="165"/>
        <v/>
      </c>
    </row>
    <row r="2074" spans="15:19">
      <c r="O2074" s="4" t="str">
        <f t="shared" si="166"/>
        <v>click</v>
      </c>
      <c r="S2074" s="1" t="str">
        <f t="shared" si="165"/>
        <v/>
      </c>
    </row>
    <row r="2075" spans="15:19">
      <c r="O2075" s="4" t="str">
        <f t="shared" si="166"/>
        <v>click</v>
      </c>
      <c r="S2075" s="1" t="str">
        <f t="shared" si="165"/>
        <v/>
      </c>
    </row>
    <row r="2076" spans="15:19">
      <c r="O2076" s="4" t="str">
        <f t="shared" si="166"/>
        <v>click</v>
      </c>
      <c r="S2076" s="1" t="str">
        <f t="shared" si="165"/>
        <v/>
      </c>
    </row>
    <row r="2077" spans="15:19">
      <c r="O2077" s="4" t="str">
        <f t="shared" si="166"/>
        <v>click</v>
      </c>
      <c r="S2077" s="1" t="str">
        <f t="shared" si="165"/>
        <v/>
      </c>
    </row>
    <row r="2078" spans="15:19">
      <c r="O2078" s="4" t="str">
        <f t="shared" si="166"/>
        <v>click</v>
      </c>
      <c r="S2078" s="1" t="str">
        <f t="shared" si="165"/>
        <v/>
      </c>
    </row>
    <row r="2079" spans="15:19">
      <c r="O2079" s="4" t="str">
        <f t="shared" si="166"/>
        <v>click</v>
      </c>
      <c r="S2079" s="1" t="str">
        <f t="shared" si="165"/>
        <v/>
      </c>
    </row>
    <row r="2080" spans="15:19">
      <c r="O2080" s="4" t="str">
        <f t="shared" si="166"/>
        <v>click</v>
      </c>
      <c r="S2080" s="1" t="str">
        <f t="shared" si="165"/>
        <v/>
      </c>
    </row>
    <row r="2081" spans="15:19">
      <c r="O2081" s="4" t="str">
        <f t="shared" si="166"/>
        <v>click</v>
      </c>
      <c r="S2081" s="1" t="str">
        <f t="shared" si="165"/>
        <v/>
      </c>
    </row>
    <row r="2082" spans="15:19">
      <c r="O2082" s="4" t="str">
        <f t="shared" si="166"/>
        <v>click</v>
      </c>
      <c r="S2082" s="1" t="str">
        <f t="shared" si="165"/>
        <v/>
      </c>
    </row>
    <row r="2083" spans="15:19">
      <c r="O2083" s="4" t="str">
        <f t="shared" si="166"/>
        <v>click</v>
      </c>
      <c r="S2083" s="1" t="str">
        <f t="shared" si="165"/>
        <v/>
      </c>
    </row>
    <row r="2084" spans="15:19">
      <c r="O2084" s="4" t="str">
        <f t="shared" si="166"/>
        <v>click</v>
      </c>
      <c r="S2084" s="1" t="str">
        <f t="shared" si="165"/>
        <v/>
      </c>
    </row>
    <row r="2085" spans="15:19">
      <c r="O2085" s="4" t="str">
        <f t="shared" si="166"/>
        <v>click</v>
      </c>
      <c r="S2085" s="1" t="str">
        <f t="shared" ref="S2085:S2148" si="167">IF(O2085="innerText",I2085&amp;"="&amp;IF(C2085="Y",IF(J2085&lt;&gt;"Y",$S$8&amp;$R$9&amp;"."&amp;E2085&amp;")."&amp;IF(OR(O2085="click",O2085="innerText"),O2085&amp;"();",O2085&amp;"("&amp;$Q$8&amp;"."&amp;E2085&amp;");"),$S$7&amp;$R$9&amp;"."&amp;E2085&amp;")."&amp;IF(O2085="click",O2085&amp;"();",O2085&amp;"("&amp;"'"&amp;K2085&amp;"'"&amp;");")),""),IF(C2085="Y",IF(J2085&lt;&gt;"Y",$S$8&amp;$R$9&amp;"."&amp;E2085&amp;")."&amp;IF(OR(O2085="click",O2085="innerText"),O2085&amp;"();",O2085&amp;"("&amp;$Q$8&amp;"."&amp;E2085&amp;");"),$S$7&amp;$R$9&amp;"."&amp;E2085&amp;")."&amp;IF(O2085="click",O2085&amp;"();",O2085&amp;"("&amp;"'"&amp;K2085&amp;"'"&amp;");")),""))</f>
        <v/>
      </c>
    </row>
    <row r="2086" spans="15:19">
      <c r="O2086" s="4" t="str">
        <f t="shared" si="166"/>
        <v>click</v>
      </c>
      <c r="S2086" s="1" t="str">
        <f t="shared" si="167"/>
        <v/>
      </c>
    </row>
    <row r="2087" spans="15:19">
      <c r="O2087" s="4" t="str">
        <f t="shared" si="166"/>
        <v>click</v>
      </c>
      <c r="S2087" s="1" t="str">
        <f t="shared" si="167"/>
        <v/>
      </c>
    </row>
    <row r="2088" spans="15:19">
      <c r="O2088" s="4" t="str">
        <f t="shared" si="166"/>
        <v>click</v>
      </c>
      <c r="S2088" s="1" t="str">
        <f t="shared" si="167"/>
        <v/>
      </c>
    </row>
    <row r="2089" spans="15:19">
      <c r="O2089" s="4" t="str">
        <f t="shared" si="166"/>
        <v>click</v>
      </c>
      <c r="S2089" s="1" t="str">
        <f t="shared" si="167"/>
        <v/>
      </c>
    </row>
    <row r="2090" spans="15:19">
      <c r="O2090" s="4" t="str">
        <f t="shared" si="166"/>
        <v>click</v>
      </c>
      <c r="S2090" s="1" t="str">
        <f t="shared" si="167"/>
        <v/>
      </c>
    </row>
    <row r="2091" spans="15:19">
      <c r="O2091" s="4" t="str">
        <f t="shared" si="166"/>
        <v>click</v>
      </c>
      <c r="S2091" s="1" t="str">
        <f t="shared" si="167"/>
        <v/>
      </c>
    </row>
    <row r="2092" spans="15:19">
      <c r="O2092" s="4" t="str">
        <f t="shared" si="166"/>
        <v>click</v>
      </c>
      <c r="S2092" s="1" t="str">
        <f t="shared" si="167"/>
        <v/>
      </c>
    </row>
    <row r="2093" spans="15:19">
      <c r="O2093" s="4" t="str">
        <f t="shared" si="166"/>
        <v>click</v>
      </c>
      <c r="S2093" s="1" t="str">
        <f t="shared" si="167"/>
        <v/>
      </c>
    </row>
    <row r="2094" spans="15:19">
      <c r="O2094" s="4" t="str">
        <f t="shared" si="166"/>
        <v>click</v>
      </c>
      <c r="S2094" s="1" t="str">
        <f t="shared" si="167"/>
        <v/>
      </c>
    </row>
    <row r="2095" spans="15:19">
      <c r="O2095" s="4" t="str">
        <f t="shared" si="166"/>
        <v>click</v>
      </c>
      <c r="S2095" s="1" t="str">
        <f t="shared" si="167"/>
        <v/>
      </c>
    </row>
    <row r="2096" spans="15:19">
      <c r="O2096" s="4" t="str">
        <f t="shared" si="166"/>
        <v>click</v>
      </c>
      <c r="S2096" s="1" t="str">
        <f t="shared" si="167"/>
        <v/>
      </c>
    </row>
    <row r="2097" spans="15:19">
      <c r="O2097" s="4" t="str">
        <f t="shared" si="166"/>
        <v>click</v>
      </c>
      <c r="S2097" s="1" t="str">
        <f t="shared" si="167"/>
        <v/>
      </c>
    </row>
    <row r="2098" spans="15:19">
      <c r="O2098" s="4" t="str">
        <f t="shared" si="166"/>
        <v>click</v>
      </c>
      <c r="S2098" s="1" t="str">
        <f t="shared" si="167"/>
        <v/>
      </c>
    </row>
    <row r="2099" spans="15:19">
      <c r="O2099" s="4" t="str">
        <f t="shared" si="166"/>
        <v>click</v>
      </c>
      <c r="S2099" s="1" t="str">
        <f t="shared" si="167"/>
        <v/>
      </c>
    </row>
    <row r="2100" spans="15:19">
      <c r="O2100" s="4" t="str">
        <f t="shared" si="166"/>
        <v>click</v>
      </c>
      <c r="S2100" s="1" t="str">
        <f t="shared" si="167"/>
        <v/>
      </c>
    </row>
    <row r="2101" spans="15:19">
      <c r="O2101" s="4" t="str">
        <f t="shared" si="166"/>
        <v>click</v>
      </c>
      <c r="S2101" s="1" t="str">
        <f t="shared" si="167"/>
        <v/>
      </c>
    </row>
    <row r="2102" spans="15:19">
      <c r="O2102" s="4" t="str">
        <f t="shared" si="166"/>
        <v>click</v>
      </c>
      <c r="S2102" s="1" t="str">
        <f t="shared" si="167"/>
        <v/>
      </c>
    </row>
    <row r="2103" spans="15:19">
      <c r="O2103" s="4" t="str">
        <f t="shared" si="166"/>
        <v>click</v>
      </c>
      <c r="S2103" s="1" t="str">
        <f t="shared" si="167"/>
        <v/>
      </c>
    </row>
    <row r="2104" spans="15:19">
      <c r="O2104" s="4" t="str">
        <f t="shared" si="166"/>
        <v>click</v>
      </c>
      <c r="S2104" s="1" t="str">
        <f t="shared" si="167"/>
        <v/>
      </c>
    </row>
    <row r="2105" spans="15:19">
      <c r="O2105" s="4" t="str">
        <f t="shared" si="166"/>
        <v>click</v>
      </c>
      <c r="S2105" s="1" t="str">
        <f t="shared" si="167"/>
        <v/>
      </c>
    </row>
    <row r="2106" spans="15:19">
      <c r="O2106" s="4" t="str">
        <f t="shared" si="166"/>
        <v>click</v>
      </c>
      <c r="S2106" s="1" t="str">
        <f t="shared" si="167"/>
        <v/>
      </c>
    </row>
    <row r="2107" spans="15:19">
      <c r="O2107" s="4" t="str">
        <f t="shared" si="166"/>
        <v>click</v>
      </c>
      <c r="S2107" s="1" t="str">
        <f t="shared" si="167"/>
        <v/>
      </c>
    </row>
    <row r="2108" spans="15:19">
      <c r="O2108" s="4" t="str">
        <f t="shared" si="166"/>
        <v>click</v>
      </c>
      <c r="S2108" s="1" t="str">
        <f t="shared" si="167"/>
        <v/>
      </c>
    </row>
    <row r="2109" spans="15:19">
      <c r="O2109" s="4" t="str">
        <f t="shared" si="166"/>
        <v>click</v>
      </c>
      <c r="S2109" s="1" t="str">
        <f t="shared" si="167"/>
        <v/>
      </c>
    </row>
    <row r="2110" spans="15:19">
      <c r="O2110" s="4" t="str">
        <f t="shared" si="166"/>
        <v>click</v>
      </c>
      <c r="S2110" s="1" t="str">
        <f t="shared" si="167"/>
        <v/>
      </c>
    </row>
    <row r="2111" spans="15:19">
      <c r="O2111" s="4" t="str">
        <f t="shared" si="166"/>
        <v>click</v>
      </c>
      <c r="S2111" s="1" t="str">
        <f t="shared" si="167"/>
        <v/>
      </c>
    </row>
    <row r="2112" spans="15:19">
      <c r="O2112" s="4" t="str">
        <f t="shared" si="166"/>
        <v>click</v>
      </c>
      <c r="S2112" s="1" t="str">
        <f t="shared" si="167"/>
        <v/>
      </c>
    </row>
    <row r="2113" spans="15:19">
      <c r="O2113" s="4" t="str">
        <f t="shared" si="166"/>
        <v>click</v>
      </c>
      <c r="S2113" s="1" t="str">
        <f t="shared" si="167"/>
        <v/>
      </c>
    </row>
    <row r="2114" spans="15:19">
      <c r="O2114" s="4" t="str">
        <f t="shared" si="166"/>
        <v>click</v>
      </c>
      <c r="S2114" s="1" t="str">
        <f t="shared" si="167"/>
        <v/>
      </c>
    </row>
    <row r="2115" spans="15:19">
      <c r="O2115" s="4" t="str">
        <f t="shared" si="166"/>
        <v>click</v>
      </c>
      <c r="S2115" s="1" t="str">
        <f t="shared" si="167"/>
        <v/>
      </c>
    </row>
    <row r="2116" spans="15:19">
      <c r="O2116" s="4" t="str">
        <f t="shared" si="166"/>
        <v>click</v>
      </c>
      <c r="S2116" s="1" t="str">
        <f t="shared" si="167"/>
        <v/>
      </c>
    </row>
    <row r="2117" spans="15:19">
      <c r="O2117" s="4" t="str">
        <f t="shared" si="166"/>
        <v>click</v>
      </c>
      <c r="S2117" s="1" t="str">
        <f t="shared" si="167"/>
        <v/>
      </c>
    </row>
    <row r="2118" spans="15:19">
      <c r="O2118" s="4" t="str">
        <f t="shared" si="166"/>
        <v>click</v>
      </c>
      <c r="S2118" s="1" t="str">
        <f t="shared" si="167"/>
        <v/>
      </c>
    </row>
    <row r="2119" spans="15:19">
      <c r="O2119" s="4" t="str">
        <f t="shared" si="166"/>
        <v>click</v>
      </c>
      <c r="S2119" s="1" t="str">
        <f t="shared" si="167"/>
        <v/>
      </c>
    </row>
    <row r="2120" spans="15:19">
      <c r="O2120" s="4" t="str">
        <f t="shared" si="166"/>
        <v>click</v>
      </c>
      <c r="S2120" s="1" t="str">
        <f t="shared" si="167"/>
        <v/>
      </c>
    </row>
    <row r="2121" spans="15:19">
      <c r="O2121" s="4" t="str">
        <f t="shared" si="166"/>
        <v>click</v>
      </c>
      <c r="S2121" s="1" t="str">
        <f t="shared" si="167"/>
        <v/>
      </c>
    </row>
    <row r="2122" spans="15:19">
      <c r="O2122" s="4" t="str">
        <f t="shared" si="166"/>
        <v>click</v>
      </c>
      <c r="S2122" s="1" t="str">
        <f t="shared" si="167"/>
        <v/>
      </c>
    </row>
    <row r="2123" spans="15:19">
      <c r="O2123" s="4" t="str">
        <f t="shared" si="166"/>
        <v>click</v>
      </c>
      <c r="S2123" s="1" t="str">
        <f t="shared" si="167"/>
        <v/>
      </c>
    </row>
    <row r="2124" spans="15:19">
      <c r="O2124" s="4" t="str">
        <f t="shared" si="166"/>
        <v>click</v>
      </c>
      <c r="S2124" s="1" t="str">
        <f t="shared" si="167"/>
        <v/>
      </c>
    </row>
    <row r="2125" spans="15:19">
      <c r="O2125" s="4" t="str">
        <f t="shared" si="166"/>
        <v>click</v>
      </c>
      <c r="S2125" s="1" t="str">
        <f t="shared" si="167"/>
        <v/>
      </c>
    </row>
    <row r="2126" spans="15:19">
      <c r="O2126" s="4" t="str">
        <f t="shared" si="166"/>
        <v>click</v>
      </c>
      <c r="S2126" s="1" t="str">
        <f t="shared" si="167"/>
        <v/>
      </c>
    </row>
    <row r="2127" spans="15:19">
      <c r="O2127" s="4" t="str">
        <f t="shared" si="166"/>
        <v>click</v>
      </c>
      <c r="S2127" s="1" t="str">
        <f t="shared" si="167"/>
        <v/>
      </c>
    </row>
    <row r="2128" spans="15:19">
      <c r="O2128" s="4" t="str">
        <f t="shared" si="166"/>
        <v>click</v>
      </c>
      <c r="S2128" s="1" t="str">
        <f t="shared" si="167"/>
        <v/>
      </c>
    </row>
    <row r="2129" spans="15:19">
      <c r="O2129" s="4" t="str">
        <f t="shared" si="166"/>
        <v>click</v>
      </c>
      <c r="S2129" s="1" t="str">
        <f t="shared" si="167"/>
        <v/>
      </c>
    </row>
    <row r="2130" spans="15:19">
      <c r="O2130" s="4" t="str">
        <f t="shared" si="166"/>
        <v>click</v>
      </c>
      <c r="S2130" s="1" t="str">
        <f t="shared" si="167"/>
        <v/>
      </c>
    </row>
    <row r="2131" spans="15:19">
      <c r="O2131" s="4" t="str">
        <f t="shared" si="166"/>
        <v>click</v>
      </c>
      <c r="S2131" s="1" t="str">
        <f t="shared" si="167"/>
        <v/>
      </c>
    </row>
    <row r="2132" spans="15:19">
      <c r="O2132" s="4" t="str">
        <f t="shared" si="166"/>
        <v>click</v>
      </c>
      <c r="S2132" s="1" t="str">
        <f t="shared" si="167"/>
        <v/>
      </c>
    </row>
    <row r="2133" spans="15:19">
      <c r="O2133" s="4" t="str">
        <f t="shared" ref="O2133:O2196" si="168">IF(D2133="input","fill",IF(I2133&lt;&gt;"","innerText",IF(J2133="Y",$T$7,"click")))</f>
        <v>click</v>
      </c>
      <c r="S2133" s="1" t="str">
        <f t="shared" si="167"/>
        <v/>
      </c>
    </row>
    <row r="2134" spans="15:19">
      <c r="O2134" s="4" t="str">
        <f t="shared" si="168"/>
        <v>click</v>
      </c>
      <c r="S2134" s="1" t="str">
        <f t="shared" si="167"/>
        <v/>
      </c>
    </row>
    <row r="2135" spans="15:19">
      <c r="O2135" s="4" t="str">
        <f t="shared" si="168"/>
        <v>click</v>
      </c>
      <c r="S2135" s="1" t="str">
        <f t="shared" si="167"/>
        <v/>
      </c>
    </row>
    <row r="2136" spans="15:19">
      <c r="O2136" s="4" t="str">
        <f t="shared" si="168"/>
        <v>click</v>
      </c>
      <c r="S2136" s="1" t="str">
        <f t="shared" si="167"/>
        <v/>
      </c>
    </row>
    <row r="2137" spans="15:19">
      <c r="O2137" s="4" t="str">
        <f t="shared" si="168"/>
        <v>click</v>
      </c>
      <c r="S2137" s="1" t="str">
        <f t="shared" si="167"/>
        <v/>
      </c>
    </row>
    <row r="2138" spans="15:19">
      <c r="O2138" s="4" t="str">
        <f t="shared" si="168"/>
        <v>click</v>
      </c>
      <c r="S2138" s="1" t="str">
        <f t="shared" si="167"/>
        <v/>
      </c>
    </row>
    <row r="2139" spans="15:19">
      <c r="O2139" s="4" t="str">
        <f t="shared" si="168"/>
        <v>click</v>
      </c>
      <c r="S2139" s="1" t="str">
        <f t="shared" si="167"/>
        <v/>
      </c>
    </row>
    <row r="2140" spans="15:19">
      <c r="O2140" s="4" t="str">
        <f t="shared" si="168"/>
        <v>click</v>
      </c>
      <c r="S2140" s="1" t="str">
        <f t="shared" si="167"/>
        <v/>
      </c>
    </row>
    <row r="2141" spans="15:19">
      <c r="O2141" s="4" t="str">
        <f t="shared" si="168"/>
        <v>click</v>
      </c>
      <c r="S2141" s="1" t="str">
        <f t="shared" si="167"/>
        <v/>
      </c>
    </row>
    <row r="2142" spans="15:19">
      <c r="O2142" s="4" t="str">
        <f t="shared" si="168"/>
        <v>click</v>
      </c>
      <c r="S2142" s="1" t="str">
        <f t="shared" si="167"/>
        <v/>
      </c>
    </row>
    <row r="2143" spans="15:19">
      <c r="O2143" s="4" t="str">
        <f t="shared" si="168"/>
        <v>click</v>
      </c>
      <c r="S2143" s="1" t="str">
        <f t="shared" si="167"/>
        <v/>
      </c>
    </row>
    <row r="2144" spans="15:19">
      <c r="O2144" s="4" t="str">
        <f t="shared" si="168"/>
        <v>click</v>
      </c>
      <c r="S2144" s="1" t="str">
        <f t="shared" si="167"/>
        <v/>
      </c>
    </row>
    <row r="2145" spans="15:19">
      <c r="O2145" s="4" t="str">
        <f t="shared" si="168"/>
        <v>click</v>
      </c>
      <c r="S2145" s="1" t="str">
        <f t="shared" si="167"/>
        <v/>
      </c>
    </row>
    <row r="2146" spans="15:19">
      <c r="O2146" s="4" t="str">
        <f t="shared" si="168"/>
        <v>click</v>
      </c>
      <c r="S2146" s="1" t="str">
        <f t="shared" si="167"/>
        <v/>
      </c>
    </row>
    <row r="2147" spans="15:19">
      <c r="O2147" s="4" t="str">
        <f t="shared" si="168"/>
        <v>click</v>
      </c>
      <c r="S2147" s="1" t="str">
        <f t="shared" si="167"/>
        <v/>
      </c>
    </row>
    <row r="2148" spans="15:19">
      <c r="O2148" s="4" t="str">
        <f t="shared" si="168"/>
        <v>click</v>
      </c>
      <c r="S2148" s="1" t="str">
        <f t="shared" si="167"/>
        <v/>
      </c>
    </row>
    <row r="2149" spans="15:19">
      <c r="O2149" s="4" t="str">
        <f t="shared" si="168"/>
        <v>click</v>
      </c>
      <c r="S2149" s="1" t="str">
        <f t="shared" ref="S2149:S2212" si="169">IF(O2149="innerText",I2149&amp;"="&amp;IF(C2149="Y",IF(J2149&lt;&gt;"Y",$S$8&amp;$R$9&amp;"."&amp;E2149&amp;")."&amp;IF(OR(O2149="click",O2149="innerText"),O2149&amp;"();",O2149&amp;"("&amp;$Q$8&amp;"."&amp;E2149&amp;");"),$S$7&amp;$R$9&amp;"."&amp;E2149&amp;")."&amp;IF(O2149="click",O2149&amp;"();",O2149&amp;"("&amp;"'"&amp;K2149&amp;"'"&amp;");")),""),IF(C2149="Y",IF(J2149&lt;&gt;"Y",$S$8&amp;$R$9&amp;"."&amp;E2149&amp;")."&amp;IF(OR(O2149="click",O2149="innerText"),O2149&amp;"();",O2149&amp;"("&amp;$Q$8&amp;"."&amp;E2149&amp;");"),$S$7&amp;$R$9&amp;"."&amp;E2149&amp;")."&amp;IF(O2149="click",O2149&amp;"();",O2149&amp;"("&amp;"'"&amp;K2149&amp;"'"&amp;");")),""))</f>
        <v/>
      </c>
    </row>
    <row r="2150" spans="15:19">
      <c r="O2150" s="4" t="str">
        <f t="shared" si="168"/>
        <v>click</v>
      </c>
      <c r="S2150" s="1" t="str">
        <f t="shared" si="169"/>
        <v/>
      </c>
    </row>
    <row r="2151" spans="15:19">
      <c r="O2151" s="4" t="str">
        <f t="shared" si="168"/>
        <v>click</v>
      </c>
      <c r="S2151" s="1" t="str">
        <f t="shared" si="169"/>
        <v/>
      </c>
    </row>
    <row r="2152" spans="15:19">
      <c r="O2152" s="4" t="str">
        <f t="shared" si="168"/>
        <v>click</v>
      </c>
      <c r="S2152" s="1" t="str">
        <f t="shared" si="169"/>
        <v/>
      </c>
    </row>
    <row r="2153" spans="15:19">
      <c r="O2153" s="4" t="str">
        <f t="shared" si="168"/>
        <v>click</v>
      </c>
      <c r="S2153" s="1" t="str">
        <f t="shared" si="169"/>
        <v/>
      </c>
    </row>
    <row r="2154" spans="15:19">
      <c r="O2154" s="4" t="str">
        <f t="shared" si="168"/>
        <v>click</v>
      </c>
      <c r="S2154" s="1" t="str">
        <f t="shared" si="169"/>
        <v/>
      </c>
    </row>
    <row r="2155" spans="15:19">
      <c r="O2155" s="4" t="str">
        <f t="shared" si="168"/>
        <v>click</v>
      </c>
      <c r="S2155" s="1" t="str">
        <f t="shared" si="169"/>
        <v/>
      </c>
    </row>
    <row r="2156" spans="15:19">
      <c r="O2156" s="4" t="str">
        <f t="shared" si="168"/>
        <v>click</v>
      </c>
      <c r="S2156" s="1" t="str">
        <f t="shared" si="169"/>
        <v/>
      </c>
    </row>
    <row r="2157" spans="15:19">
      <c r="O2157" s="4" t="str">
        <f t="shared" si="168"/>
        <v>click</v>
      </c>
      <c r="S2157" s="1" t="str">
        <f t="shared" si="169"/>
        <v/>
      </c>
    </row>
    <row r="2158" spans="15:19">
      <c r="O2158" s="4" t="str">
        <f t="shared" si="168"/>
        <v>click</v>
      </c>
      <c r="S2158" s="1" t="str">
        <f t="shared" si="169"/>
        <v/>
      </c>
    </row>
    <row r="2159" spans="15:19">
      <c r="O2159" s="4" t="str">
        <f t="shared" si="168"/>
        <v>click</v>
      </c>
      <c r="S2159" s="1" t="str">
        <f t="shared" si="169"/>
        <v/>
      </c>
    </row>
    <row r="2160" spans="15:19">
      <c r="O2160" s="4" t="str">
        <f t="shared" si="168"/>
        <v>click</v>
      </c>
      <c r="S2160" s="1" t="str">
        <f t="shared" si="169"/>
        <v/>
      </c>
    </row>
    <row r="2161" spans="15:19">
      <c r="O2161" s="4" t="str">
        <f t="shared" si="168"/>
        <v>click</v>
      </c>
      <c r="S2161" s="1" t="str">
        <f t="shared" si="169"/>
        <v/>
      </c>
    </row>
    <row r="2162" spans="15:19">
      <c r="O2162" s="4" t="str">
        <f t="shared" si="168"/>
        <v>click</v>
      </c>
      <c r="S2162" s="1" t="str">
        <f t="shared" si="169"/>
        <v/>
      </c>
    </row>
    <row r="2163" spans="15:19">
      <c r="O2163" s="4" t="str">
        <f t="shared" si="168"/>
        <v>click</v>
      </c>
      <c r="S2163" s="1" t="str">
        <f t="shared" si="169"/>
        <v/>
      </c>
    </row>
    <row r="2164" spans="15:19">
      <c r="O2164" s="4" t="str">
        <f t="shared" si="168"/>
        <v>click</v>
      </c>
      <c r="S2164" s="1" t="str">
        <f t="shared" si="169"/>
        <v/>
      </c>
    </row>
    <row r="2165" spans="15:19">
      <c r="O2165" s="4" t="str">
        <f t="shared" si="168"/>
        <v>click</v>
      </c>
      <c r="S2165" s="1" t="str">
        <f t="shared" si="169"/>
        <v/>
      </c>
    </row>
    <row r="2166" spans="15:19">
      <c r="O2166" s="4" t="str">
        <f t="shared" si="168"/>
        <v>click</v>
      </c>
      <c r="S2166" s="1" t="str">
        <f t="shared" si="169"/>
        <v/>
      </c>
    </row>
    <row r="2167" spans="15:19">
      <c r="O2167" s="4" t="str">
        <f t="shared" si="168"/>
        <v>click</v>
      </c>
      <c r="S2167" s="1" t="str">
        <f t="shared" si="169"/>
        <v/>
      </c>
    </row>
    <row r="2168" spans="15:19">
      <c r="O2168" s="4" t="str">
        <f t="shared" si="168"/>
        <v>click</v>
      </c>
      <c r="S2168" s="1" t="str">
        <f t="shared" si="169"/>
        <v/>
      </c>
    </row>
    <row r="2169" spans="15:19">
      <c r="O2169" s="4" t="str">
        <f t="shared" si="168"/>
        <v>click</v>
      </c>
      <c r="S2169" s="1" t="str">
        <f t="shared" si="169"/>
        <v/>
      </c>
    </row>
    <row r="2170" spans="15:19">
      <c r="O2170" s="4" t="str">
        <f t="shared" si="168"/>
        <v>click</v>
      </c>
      <c r="S2170" s="1" t="str">
        <f t="shared" si="169"/>
        <v/>
      </c>
    </row>
    <row r="2171" spans="15:19">
      <c r="O2171" s="4" t="str">
        <f t="shared" si="168"/>
        <v>click</v>
      </c>
      <c r="S2171" s="1" t="str">
        <f t="shared" si="169"/>
        <v/>
      </c>
    </row>
    <row r="2172" spans="15:19">
      <c r="O2172" s="4" t="str">
        <f t="shared" si="168"/>
        <v>click</v>
      </c>
      <c r="S2172" s="1" t="str">
        <f t="shared" si="169"/>
        <v/>
      </c>
    </row>
    <row r="2173" spans="15:19">
      <c r="O2173" s="4" t="str">
        <f t="shared" si="168"/>
        <v>click</v>
      </c>
      <c r="S2173" s="1" t="str">
        <f t="shared" si="169"/>
        <v/>
      </c>
    </row>
    <row r="2174" spans="15:19">
      <c r="O2174" s="4" t="str">
        <f t="shared" si="168"/>
        <v>click</v>
      </c>
      <c r="S2174" s="1" t="str">
        <f t="shared" si="169"/>
        <v/>
      </c>
    </row>
    <row r="2175" spans="15:19">
      <c r="O2175" s="4" t="str">
        <f t="shared" si="168"/>
        <v>click</v>
      </c>
      <c r="S2175" s="1" t="str">
        <f t="shared" si="169"/>
        <v/>
      </c>
    </row>
    <row r="2176" spans="15:19">
      <c r="O2176" s="4" t="str">
        <f t="shared" si="168"/>
        <v>click</v>
      </c>
      <c r="S2176" s="1" t="str">
        <f t="shared" si="169"/>
        <v/>
      </c>
    </row>
    <row r="2177" spans="15:19">
      <c r="O2177" s="4" t="str">
        <f t="shared" si="168"/>
        <v>click</v>
      </c>
      <c r="S2177" s="1" t="str">
        <f t="shared" si="169"/>
        <v/>
      </c>
    </row>
    <row r="2178" spans="15:19">
      <c r="O2178" s="4" t="str">
        <f t="shared" si="168"/>
        <v>click</v>
      </c>
      <c r="S2178" s="1" t="str">
        <f t="shared" si="169"/>
        <v/>
      </c>
    </row>
    <row r="2179" spans="15:19">
      <c r="O2179" s="4" t="str">
        <f t="shared" si="168"/>
        <v>click</v>
      </c>
      <c r="S2179" s="1" t="str">
        <f t="shared" si="169"/>
        <v/>
      </c>
    </row>
    <row r="2180" spans="15:19">
      <c r="O2180" s="4" t="str">
        <f t="shared" si="168"/>
        <v>click</v>
      </c>
      <c r="S2180" s="1" t="str">
        <f t="shared" si="169"/>
        <v/>
      </c>
    </row>
    <row r="2181" spans="15:19">
      <c r="O2181" s="4" t="str">
        <f t="shared" si="168"/>
        <v>click</v>
      </c>
      <c r="S2181" s="1" t="str">
        <f t="shared" si="169"/>
        <v/>
      </c>
    </row>
    <row r="2182" spans="15:19">
      <c r="O2182" s="4" t="str">
        <f t="shared" si="168"/>
        <v>click</v>
      </c>
      <c r="S2182" s="1" t="str">
        <f t="shared" si="169"/>
        <v/>
      </c>
    </row>
    <row r="2183" spans="15:19">
      <c r="O2183" s="4" t="str">
        <f t="shared" si="168"/>
        <v>click</v>
      </c>
      <c r="S2183" s="1" t="str">
        <f t="shared" si="169"/>
        <v/>
      </c>
    </row>
    <row r="2184" spans="15:19">
      <c r="O2184" s="4" t="str">
        <f t="shared" si="168"/>
        <v>click</v>
      </c>
      <c r="S2184" s="1" t="str">
        <f t="shared" si="169"/>
        <v/>
      </c>
    </row>
    <row r="2185" spans="15:19">
      <c r="O2185" s="4" t="str">
        <f t="shared" si="168"/>
        <v>click</v>
      </c>
      <c r="S2185" s="1" t="str">
        <f t="shared" si="169"/>
        <v/>
      </c>
    </row>
    <row r="2186" spans="15:19">
      <c r="O2186" s="4" t="str">
        <f t="shared" si="168"/>
        <v>click</v>
      </c>
      <c r="S2186" s="1" t="str">
        <f t="shared" si="169"/>
        <v/>
      </c>
    </row>
    <row r="2187" spans="15:19">
      <c r="O2187" s="4" t="str">
        <f t="shared" si="168"/>
        <v>click</v>
      </c>
      <c r="S2187" s="1" t="str">
        <f t="shared" si="169"/>
        <v/>
      </c>
    </row>
    <row r="2188" spans="15:19">
      <c r="O2188" s="4" t="str">
        <f t="shared" si="168"/>
        <v>click</v>
      </c>
      <c r="S2188" s="1" t="str">
        <f t="shared" si="169"/>
        <v/>
      </c>
    </row>
    <row r="2189" spans="15:19">
      <c r="O2189" s="4" t="str">
        <f t="shared" si="168"/>
        <v>click</v>
      </c>
      <c r="S2189" s="1" t="str">
        <f t="shared" si="169"/>
        <v/>
      </c>
    </row>
    <row r="2190" spans="15:19">
      <c r="O2190" s="4" t="str">
        <f t="shared" si="168"/>
        <v>click</v>
      </c>
      <c r="S2190" s="1" t="str">
        <f t="shared" si="169"/>
        <v/>
      </c>
    </row>
    <row r="2191" spans="15:19">
      <c r="O2191" s="4" t="str">
        <f t="shared" si="168"/>
        <v>click</v>
      </c>
      <c r="S2191" s="1" t="str">
        <f t="shared" si="169"/>
        <v/>
      </c>
    </row>
    <row r="2192" spans="15:19">
      <c r="O2192" s="4" t="str">
        <f t="shared" si="168"/>
        <v>click</v>
      </c>
      <c r="S2192" s="1" t="str">
        <f t="shared" si="169"/>
        <v/>
      </c>
    </row>
    <row r="2193" spans="15:19">
      <c r="O2193" s="4" t="str">
        <f t="shared" si="168"/>
        <v>click</v>
      </c>
      <c r="S2193" s="1" t="str">
        <f t="shared" si="169"/>
        <v/>
      </c>
    </row>
    <row r="2194" spans="15:19">
      <c r="O2194" s="4" t="str">
        <f t="shared" si="168"/>
        <v>click</v>
      </c>
      <c r="S2194" s="1" t="str">
        <f t="shared" si="169"/>
        <v/>
      </c>
    </row>
    <row r="2195" spans="15:19">
      <c r="O2195" s="4" t="str">
        <f t="shared" si="168"/>
        <v>click</v>
      </c>
      <c r="S2195" s="1" t="str">
        <f t="shared" si="169"/>
        <v/>
      </c>
    </row>
    <row r="2196" spans="15:19">
      <c r="O2196" s="4" t="str">
        <f t="shared" si="168"/>
        <v>click</v>
      </c>
      <c r="S2196" s="1" t="str">
        <f t="shared" si="169"/>
        <v/>
      </c>
    </row>
    <row r="2197" spans="15:19">
      <c r="O2197" s="4" t="str">
        <f t="shared" ref="O2197:O2260" si="170">IF(D2197="input","fill",IF(I2197&lt;&gt;"","innerText",IF(J2197="Y",$T$7,"click")))</f>
        <v>click</v>
      </c>
      <c r="S2197" s="1" t="str">
        <f t="shared" si="169"/>
        <v/>
      </c>
    </row>
    <row r="2198" spans="15:19">
      <c r="O2198" s="4" t="str">
        <f t="shared" si="170"/>
        <v>click</v>
      </c>
      <c r="S2198" s="1" t="str">
        <f t="shared" si="169"/>
        <v/>
      </c>
    </row>
    <row r="2199" spans="15:19">
      <c r="O2199" s="4" t="str">
        <f t="shared" si="170"/>
        <v>click</v>
      </c>
      <c r="S2199" s="1" t="str">
        <f t="shared" si="169"/>
        <v/>
      </c>
    </row>
    <row r="2200" spans="15:19">
      <c r="O2200" s="4" t="str">
        <f t="shared" si="170"/>
        <v>click</v>
      </c>
      <c r="S2200" s="1" t="str">
        <f t="shared" si="169"/>
        <v/>
      </c>
    </row>
    <row r="2201" spans="15:19">
      <c r="O2201" s="4" t="str">
        <f t="shared" si="170"/>
        <v>click</v>
      </c>
      <c r="S2201" s="1" t="str">
        <f t="shared" si="169"/>
        <v/>
      </c>
    </row>
    <row r="2202" spans="15:19">
      <c r="O2202" s="4" t="str">
        <f t="shared" si="170"/>
        <v>click</v>
      </c>
      <c r="S2202" s="1" t="str">
        <f t="shared" si="169"/>
        <v/>
      </c>
    </row>
    <row r="2203" spans="15:19">
      <c r="O2203" s="4" t="str">
        <f t="shared" si="170"/>
        <v>click</v>
      </c>
      <c r="S2203" s="1" t="str">
        <f t="shared" si="169"/>
        <v/>
      </c>
    </row>
    <row r="2204" spans="15:19">
      <c r="O2204" s="4" t="str">
        <f t="shared" si="170"/>
        <v>click</v>
      </c>
      <c r="S2204" s="1" t="str">
        <f t="shared" si="169"/>
        <v/>
      </c>
    </row>
    <row r="2205" spans="15:19">
      <c r="O2205" s="4" t="str">
        <f t="shared" si="170"/>
        <v>click</v>
      </c>
      <c r="S2205" s="1" t="str">
        <f t="shared" si="169"/>
        <v/>
      </c>
    </row>
    <row r="2206" spans="15:19">
      <c r="O2206" s="4" t="str">
        <f t="shared" si="170"/>
        <v>click</v>
      </c>
      <c r="S2206" s="1" t="str">
        <f t="shared" si="169"/>
        <v/>
      </c>
    </row>
    <row r="2207" spans="15:19">
      <c r="O2207" s="4" t="str">
        <f t="shared" si="170"/>
        <v>click</v>
      </c>
      <c r="S2207" s="1" t="str">
        <f t="shared" si="169"/>
        <v/>
      </c>
    </row>
    <row r="2208" spans="15:19">
      <c r="O2208" s="4" t="str">
        <f t="shared" si="170"/>
        <v>click</v>
      </c>
      <c r="S2208" s="1" t="str">
        <f t="shared" si="169"/>
        <v/>
      </c>
    </row>
    <row r="2209" spans="15:19">
      <c r="O2209" s="4" t="str">
        <f t="shared" si="170"/>
        <v>click</v>
      </c>
      <c r="S2209" s="1" t="str">
        <f t="shared" si="169"/>
        <v/>
      </c>
    </row>
    <row r="2210" spans="15:19">
      <c r="O2210" s="4" t="str">
        <f t="shared" si="170"/>
        <v>click</v>
      </c>
      <c r="S2210" s="1" t="str">
        <f t="shared" si="169"/>
        <v/>
      </c>
    </row>
    <row r="2211" spans="15:19">
      <c r="O2211" s="4" t="str">
        <f t="shared" si="170"/>
        <v>click</v>
      </c>
      <c r="S2211" s="1" t="str">
        <f t="shared" si="169"/>
        <v/>
      </c>
    </row>
    <row r="2212" spans="15:19">
      <c r="O2212" s="4" t="str">
        <f t="shared" si="170"/>
        <v>click</v>
      </c>
      <c r="S2212" s="1" t="str">
        <f t="shared" si="169"/>
        <v/>
      </c>
    </row>
    <row r="2213" spans="15:19">
      <c r="O2213" s="4" t="str">
        <f t="shared" si="170"/>
        <v>click</v>
      </c>
      <c r="S2213" s="1" t="str">
        <f t="shared" ref="S2213:S2276" si="171">IF(O2213="innerText",I2213&amp;"="&amp;IF(C2213="Y",IF(J2213&lt;&gt;"Y",$S$8&amp;$R$9&amp;"."&amp;E2213&amp;")."&amp;IF(OR(O2213="click",O2213="innerText"),O2213&amp;"();",O2213&amp;"("&amp;$Q$8&amp;"."&amp;E2213&amp;");"),$S$7&amp;$R$9&amp;"."&amp;E2213&amp;")."&amp;IF(O2213="click",O2213&amp;"();",O2213&amp;"("&amp;"'"&amp;K2213&amp;"'"&amp;");")),""),IF(C2213="Y",IF(J2213&lt;&gt;"Y",$S$8&amp;$R$9&amp;"."&amp;E2213&amp;")."&amp;IF(OR(O2213="click",O2213="innerText"),O2213&amp;"();",O2213&amp;"("&amp;$Q$8&amp;"."&amp;E2213&amp;");"),$S$7&amp;$R$9&amp;"."&amp;E2213&amp;")."&amp;IF(O2213="click",O2213&amp;"();",O2213&amp;"("&amp;"'"&amp;K2213&amp;"'"&amp;");")),""))</f>
        <v/>
      </c>
    </row>
    <row r="2214" spans="15:19">
      <c r="O2214" s="4" t="str">
        <f t="shared" si="170"/>
        <v>click</v>
      </c>
      <c r="S2214" s="1" t="str">
        <f t="shared" si="171"/>
        <v/>
      </c>
    </row>
    <row r="2215" spans="15:19">
      <c r="O2215" s="4" t="str">
        <f t="shared" si="170"/>
        <v>click</v>
      </c>
      <c r="S2215" s="1" t="str">
        <f t="shared" si="171"/>
        <v/>
      </c>
    </row>
    <row r="2216" spans="15:19">
      <c r="O2216" s="4" t="str">
        <f t="shared" si="170"/>
        <v>click</v>
      </c>
      <c r="S2216" s="1" t="str">
        <f t="shared" si="171"/>
        <v/>
      </c>
    </row>
    <row r="2217" spans="15:19">
      <c r="O2217" s="4" t="str">
        <f t="shared" si="170"/>
        <v>click</v>
      </c>
      <c r="S2217" s="1" t="str">
        <f t="shared" si="171"/>
        <v/>
      </c>
    </row>
    <row r="2218" spans="15:19">
      <c r="O2218" s="4" t="str">
        <f t="shared" si="170"/>
        <v>click</v>
      </c>
      <c r="S2218" s="1" t="str">
        <f t="shared" si="171"/>
        <v/>
      </c>
    </row>
    <row r="2219" spans="15:19">
      <c r="O2219" s="4" t="str">
        <f t="shared" si="170"/>
        <v>click</v>
      </c>
      <c r="S2219" s="1" t="str">
        <f t="shared" si="171"/>
        <v/>
      </c>
    </row>
    <row r="2220" spans="15:19">
      <c r="O2220" s="4" t="str">
        <f t="shared" si="170"/>
        <v>click</v>
      </c>
      <c r="S2220" s="1" t="str">
        <f t="shared" si="171"/>
        <v/>
      </c>
    </row>
    <row r="2221" spans="15:19">
      <c r="O2221" s="4" t="str">
        <f t="shared" si="170"/>
        <v>click</v>
      </c>
      <c r="S2221" s="1" t="str">
        <f t="shared" si="171"/>
        <v/>
      </c>
    </row>
    <row r="2222" spans="15:19">
      <c r="O2222" s="4" t="str">
        <f t="shared" si="170"/>
        <v>click</v>
      </c>
      <c r="S2222" s="1" t="str">
        <f t="shared" si="171"/>
        <v/>
      </c>
    </row>
    <row r="2223" spans="15:19">
      <c r="O2223" s="4" t="str">
        <f t="shared" si="170"/>
        <v>click</v>
      </c>
      <c r="S2223" s="1" t="str">
        <f t="shared" si="171"/>
        <v/>
      </c>
    </row>
    <row r="2224" spans="15:19">
      <c r="O2224" s="4" t="str">
        <f t="shared" si="170"/>
        <v>click</v>
      </c>
      <c r="S2224" s="1" t="str">
        <f t="shared" si="171"/>
        <v/>
      </c>
    </row>
    <row r="2225" spans="15:19">
      <c r="O2225" s="4" t="str">
        <f t="shared" si="170"/>
        <v>click</v>
      </c>
      <c r="S2225" s="1" t="str">
        <f t="shared" si="171"/>
        <v/>
      </c>
    </row>
    <row r="2226" spans="15:19">
      <c r="O2226" s="4" t="str">
        <f t="shared" si="170"/>
        <v>click</v>
      </c>
      <c r="S2226" s="1" t="str">
        <f t="shared" si="171"/>
        <v/>
      </c>
    </row>
    <row r="2227" spans="15:19">
      <c r="O2227" s="4" t="str">
        <f t="shared" si="170"/>
        <v>click</v>
      </c>
      <c r="S2227" s="1" t="str">
        <f t="shared" si="171"/>
        <v/>
      </c>
    </row>
    <row r="2228" spans="15:19">
      <c r="O2228" s="4" t="str">
        <f t="shared" si="170"/>
        <v>click</v>
      </c>
      <c r="S2228" s="1" t="str">
        <f t="shared" si="171"/>
        <v/>
      </c>
    </row>
    <row r="2229" spans="15:19">
      <c r="O2229" s="4" t="str">
        <f t="shared" si="170"/>
        <v>click</v>
      </c>
      <c r="S2229" s="1" t="str">
        <f t="shared" si="171"/>
        <v/>
      </c>
    </row>
    <row r="2230" spans="15:19">
      <c r="O2230" s="4" t="str">
        <f t="shared" si="170"/>
        <v>click</v>
      </c>
      <c r="S2230" s="1" t="str">
        <f t="shared" si="171"/>
        <v/>
      </c>
    </row>
    <row r="2231" spans="15:19">
      <c r="O2231" s="4" t="str">
        <f t="shared" si="170"/>
        <v>click</v>
      </c>
      <c r="S2231" s="1" t="str">
        <f t="shared" si="171"/>
        <v/>
      </c>
    </row>
    <row r="2232" spans="15:19">
      <c r="O2232" s="4" t="str">
        <f t="shared" si="170"/>
        <v>click</v>
      </c>
      <c r="S2232" s="1" t="str">
        <f t="shared" si="171"/>
        <v/>
      </c>
    </row>
    <row r="2233" spans="15:19">
      <c r="O2233" s="4" t="str">
        <f t="shared" si="170"/>
        <v>click</v>
      </c>
      <c r="S2233" s="1" t="str">
        <f t="shared" si="171"/>
        <v/>
      </c>
    </row>
    <row r="2234" spans="15:19">
      <c r="O2234" s="4" t="str">
        <f t="shared" si="170"/>
        <v>click</v>
      </c>
      <c r="S2234" s="1" t="str">
        <f t="shared" si="171"/>
        <v/>
      </c>
    </row>
    <row r="2235" spans="15:19">
      <c r="O2235" s="4" t="str">
        <f t="shared" si="170"/>
        <v>click</v>
      </c>
      <c r="S2235" s="1" t="str">
        <f t="shared" si="171"/>
        <v/>
      </c>
    </row>
    <row r="2236" spans="15:19">
      <c r="O2236" s="4" t="str">
        <f t="shared" si="170"/>
        <v>click</v>
      </c>
      <c r="S2236" s="1" t="str">
        <f t="shared" si="171"/>
        <v/>
      </c>
    </row>
    <row r="2237" spans="15:19">
      <c r="O2237" s="4" t="str">
        <f t="shared" si="170"/>
        <v>click</v>
      </c>
      <c r="S2237" s="1" t="str">
        <f t="shared" si="171"/>
        <v/>
      </c>
    </row>
    <row r="2238" spans="15:19">
      <c r="O2238" s="4" t="str">
        <f t="shared" si="170"/>
        <v>click</v>
      </c>
      <c r="S2238" s="1" t="str">
        <f t="shared" si="171"/>
        <v/>
      </c>
    </row>
    <row r="2239" spans="15:19">
      <c r="O2239" s="4" t="str">
        <f t="shared" si="170"/>
        <v>click</v>
      </c>
      <c r="S2239" s="1" t="str">
        <f t="shared" si="171"/>
        <v/>
      </c>
    </row>
    <row r="2240" spans="15:19">
      <c r="O2240" s="4" t="str">
        <f t="shared" si="170"/>
        <v>click</v>
      </c>
      <c r="S2240" s="1" t="str">
        <f t="shared" si="171"/>
        <v/>
      </c>
    </row>
    <row r="2241" spans="15:19">
      <c r="O2241" s="4" t="str">
        <f t="shared" si="170"/>
        <v>click</v>
      </c>
      <c r="S2241" s="1" t="str">
        <f t="shared" si="171"/>
        <v/>
      </c>
    </row>
    <row r="2242" spans="15:19">
      <c r="O2242" s="4" t="str">
        <f t="shared" si="170"/>
        <v>click</v>
      </c>
      <c r="S2242" s="1" t="str">
        <f t="shared" si="171"/>
        <v/>
      </c>
    </row>
    <row r="2243" spans="15:19">
      <c r="O2243" s="4" t="str">
        <f t="shared" si="170"/>
        <v>click</v>
      </c>
      <c r="S2243" s="1" t="str">
        <f t="shared" si="171"/>
        <v/>
      </c>
    </row>
    <row r="2244" spans="15:19">
      <c r="O2244" s="4" t="str">
        <f t="shared" si="170"/>
        <v>click</v>
      </c>
      <c r="S2244" s="1" t="str">
        <f t="shared" si="171"/>
        <v/>
      </c>
    </row>
    <row r="2245" spans="15:19">
      <c r="O2245" s="4" t="str">
        <f t="shared" si="170"/>
        <v>click</v>
      </c>
      <c r="S2245" s="1" t="str">
        <f t="shared" si="171"/>
        <v/>
      </c>
    </row>
    <row r="2246" spans="15:19">
      <c r="O2246" s="4" t="str">
        <f t="shared" si="170"/>
        <v>click</v>
      </c>
      <c r="S2246" s="1" t="str">
        <f t="shared" si="171"/>
        <v/>
      </c>
    </row>
    <row r="2247" spans="15:19">
      <c r="O2247" s="4" t="str">
        <f t="shared" si="170"/>
        <v>click</v>
      </c>
      <c r="S2247" s="1" t="str">
        <f t="shared" si="171"/>
        <v/>
      </c>
    </row>
    <row r="2248" spans="15:19">
      <c r="O2248" s="4" t="str">
        <f t="shared" si="170"/>
        <v>click</v>
      </c>
      <c r="S2248" s="1" t="str">
        <f t="shared" si="171"/>
        <v/>
      </c>
    </row>
    <row r="2249" spans="15:19">
      <c r="O2249" s="4" t="str">
        <f t="shared" si="170"/>
        <v>click</v>
      </c>
      <c r="S2249" s="1" t="str">
        <f t="shared" si="171"/>
        <v/>
      </c>
    </row>
    <row r="2250" spans="15:19">
      <c r="O2250" s="4" t="str">
        <f t="shared" si="170"/>
        <v>click</v>
      </c>
      <c r="S2250" s="1" t="str">
        <f t="shared" si="171"/>
        <v/>
      </c>
    </row>
    <row r="2251" spans="15:19">
      <c r="O2251" s="4" t="str">
        <f t="shared" si="170"/>
        <v>click</v>
      </c>
      <c r="S2251" s="1" t="str">
        <f t="shared" si="171"/>
        <v/>
      </c>
    </row>
    <row r="2252" spans="15:19">
      <c r="O2252" s="4" t="str">
        <f t="shared" si="170"/>
        <v>click</v>
      </c>
      <c r="S2252" s="1" t="str">
        <f t="shared" si="171"/>
        <v/>
      </c>
    </row>
    <row r="2253" spans="15:19">
      <c r="O2253" s="4" t="str">
        <f t="shared" si="170"/>
        <v>click</v>
      </c>
      <c r="S2253" s="1" t="str">
        <f t="shared" si="171"/>
        <v/>
      </c>
    </row>
    <row r="2254" spans="15:19">
      <c r="O2254" s="4" t="str">
        <f t="shared" si="170"/>
        <v>click</v>
      </c>
      <c r="S2254" s="1" t="str">
        <f t="shared" si="171"/>
        <v/>
      </c>
    </row>
    <row r="2255" spans="15:19">
      <c r="O2255" s="4" t="str">
        <f t="shared" si="170"/>
        <v>click</v>
      </c>
      <c r="S2255" s="1" t="str">
        <f t="shared" si="171"/>
        <v/>
      </c>
    </row>
    <row r="2256" spans="15:19">
      <c r="O2256" s="4" t="str">
        <f t="shared" si="170"/>
        <v>click</v>
      </c>
      <c r="S2256" s="1" t="str">
        <f t="shared" si="171"/>
        <v/>
      </c>
    </row>
    <row r="2257" spans="15:19">
      <c r="O2257" s="4" t="str">
        <f t="shared" si="170"/>
        <v>click</v>
      </c>
      <c r="S2257" s="1" t="str">
        <f t="shared" si="171"/>
        <v/>
      </c>
    </row>
    <row r="2258" spans="15:19">
      <c r="O2258" s="4" t="str">
        <f t="shared" si="170"/>
        <v>click</v>
      </c>
      <c r="S2258" s="1" t="str">
        <f t="shared" si="171"/>
        <v/>
      </c>
    </row>
    <row r="2259" spans="15:19">
      <c r="O2259" s="4" t="str">
        <f t="shared" si="170"/>
        <v>click</v>
      </c>
      <c r="S2259" s="1" t="str">
        <f t="shared" si="171"/>
        <v/>
      </c>
    </row>
    <row r="2260" spans="15:19">
      <c r="O2260" s="4" t="str">
        <f t="shared" si="170"/>
        <v>click</v>
      </c>
      <c r="S2260" s="1" t="str">
        <f t="shared" si="171"/>
        <v/>
      </c>
    </row>
    <row r="2261" spans="15:19">
      <c r="O2261" s="4" t="str">
        <f t="shared" ref="O2261:O2324" si="172">IF(D2261="input","fill",IF(I2261&lt;&gt;"","innerText",IF(J2261="Y",$T$7,"click")))</f>
        <v>click</v>
      </c>
      <c r="S2261" s="1" t="str">
        <f t="shared" si="171"/>
        <v/>
      </c>
    </row>
    <row r="2262" spans="15:19">
      <c r="O2262" s="4" t="str">
        <f t="shared" si="172"/>
        <v>click</v>
      </c>
      <c r="S2262" s="1" t="str">
        <f t="shared" si="171"/>
        <v/>
      </c>
    </row>
    <row r="2263" spans="15:19">
      <c r="O2263" s="4" t="str">
        <f t="shared" si="172"/>
        <v>click</v>
      </c>
      <c r="S2263" s="1" t="str">
        <f t="shared" si="171"/>
        <v/>
      </c>
    </row>
    <row r="2264" spans="15:19">
      <c r="O2264" s="4" t="str">
        <f t="shared" si="172"/>
        <v>click</v>
      </c>
      <c r="S2264" s="1" t="str">
        <f t="shared" si="171"/>
        <v/>
      </c>
    </row>
    <row r="2265" spans="15:19">
      <c r="O2265" s="4" t="str">
        <f t="shared" si="172"/>
        <v>click</v>
      </c>
      <c r="S2265" s="1" t="str">
        <f t="shared" si="171"/>
        <v/>
      </c>
    </row>
    <row r="2266" spans="15:19">
      <c r="O2266" s="4" t="str">
        <f t="shared" si="172"/>
        <v>click</v>
      </c>
      <c r="S2266" s="1" t="str">
        <f t="shared" si="171"/>
        <v/>
      </c>
    </row>
    <row r="2267" spans="15:19">
      <c r="O2267" s="4" t="str">
        <f t="shared" si="172"/>
        <v>click</v>
      </c>
      <c r="S2267" s="1" t="str">
        <f t="shared" si="171"/>
        <v/>
      </c>
    </row>
    <row r="2268" spans="15:19">
      <c r="O2268" s="4" t="str">
        <f t="shared" si="172"/>
        <v>click</v>
      </c>
      <c r="S2268" s="1" t="str">
        <f t="shared" si="171"/>
        <v/>
      </c>
    </row>
    <row r="2269" spans="15:19">
      <c r="O2269" s="4" t="str">
        <f t="shared" si="172"/>
        <v>click</v>
      </c>
      <c r="S2269" s="1" t="str">
        <f t="shared" si="171"/>
        <v/>
      </c>
    </row>
    <row r="2270" spans="15:19">
      <c r="O2270" s="4" t="str">
        <f t="shared" si="172"/>
        <v>click</v>
      </c>
      <c r="S2270" s="1" t="str">
        <f t="shared" si="171"/>
        <v/>
      </c>
    </row>
    <row r="2271" spans="15:19">
      <c r="O2271" s="4" t="str">
        <f t="shared" si="172"/>
        <v>click</v>
      </c>
      <c r="S2271" s="1" t="str">
        <f t="shared" si="171"/>
        <v/>
      </c>
    </row>
    <row r="2272" spans="15:19">
      <c r="O2272" s="4" t="str">
        <f t="shared" si="172"/>
        <v>click</v>
      </c>
      <c r="S2272" s="1" t="str">
        <f t="shared" si="171"/>
        <v/>
      </c>
    </row>
    <row r="2273" spans="15:19">
      <c r="O2273" s="4" t="str">
        <f t="shared" si="172"/>
        <v>click</v>
      </c>
      <c r="S2273" s="1" t="str">
        <f t="shared" si="171"/>
        <v/>
      </c>
    </row>
    <row r="2274" spans="15:19">
      <c r="O2274" s="4" t="str">
        <f t="shared" si="172"/>
        <v>click</v>
      </c>
      <c r="S2274" s="1" t="str">
        <f t="shared" si="171"/>
        <v/>
      </c>
    </row>
    <row r="2275" spans="15:19">
      <c r="O2275" s="4" t="str">
        <f t="shared" si="172"/>
        <v>click</v>
      </c>
      <c r="S2275" s="1" t="str">
        <f t="shared" si="171"/>
        <v/>
      </c>
    </row>
    <row r="2276" spans="15:19">
      <c r="O2276" s="4" t="str">
        <f t="shared" si="172"/>
        <v>click</v>
      </c>
      <c r="S2276" s="1" t="str">
        <f t="shared" si="171"/>
        <v/>
      </c>
    </row>
    <row r="2277" spans="15:19">
      <c r="O2277" s="4" t="str">
        <f t="shared" si="172"/>
        <v>click</v>
      </c>
      <c r="S2277" s="1" t="str">
        <f t="shared" ref="S2277:S2340" si="173">IF(O2277="innerText",I2277&amp;"="&amp;IF(C2277="Y",IF(J2277&lt;&gt;"Y",$S$8&amp;$R$9&amp;"."&amp;E2277&amp;")."&amp;IF(OR(O2277="click",O2277="innerText"),O2277&amp;"();",O2277&amp;"("&amp;$Q$8&amp;"."&amp;E2277&amp;");"),$S$7&amp;$R$9&amp;"."&amp;E2277&amp;")."&amp;IF(O2277="click",O2277&amp;"();",O2277&amp;"("&amp;"'"&amp;K2277&amp;"'"&amp;");")),""),IF(C2277="Y",IF(J2277&lt;&gt;"Y",$S$8&amp;$R$9&amp;"."&amp;E2277&amp;")."&amp;IF(OR(O2277="click",O2277="innerText"),O2277&amp;"();",O2277&amp;"("&amp;$Q$8&amp;"."&amp;E2277&amp;");"),$S$7&amp;$R$9&amp;"."&amp;E2277&amp;")."&amp;IF(O2277="click",O2277&amp;"();",O2277&amp;"("&amp;"'"&amp;K2277&amp;"'"&amp;");")),""))</f>
        <v/>
      </c>
    </row>
    <row r="2278" spans="15:19">
      <c r="O2278" s="4" t="str">
        <f t="shared" si="172"/>
        <v>click</v>
      </c>
      <c r="S2278" s="1" t="str">
        <f t="shared" si="173"/>
        <v/>
      </c>
    </row>
    <row r="2279" spans="15:19">
      <c r="O2279" s="4" t="str">
        <f t="shared" si="172"/>
        <v>click</v>
      </c>
      <c r="S2279" s="1" t="str">
        <f t="shared" si="173"/>
        <v/>
      </c>
    </row>
    <row r="2280" spans="15:19">
      <c r="O2280" s="4" t="str">
        <f t="shared" si="172"/>
        <v>click</v>
      </c>
      <c r="S2280" s="1" t="str">
        <f t="shared" si="173"/>
        <v/>
      </c>
    </row>
    <row r="2281" spans="15:19">
      <c r="O2281" s="4" t="str">
        <f t="shared" si="172"/>
        <v>click</v>
      </c>
      <c r="S2281" s="1" t="str">
        <f t="shared" si="173"/>
        <v/>
      </c>
    </row>
    <row r="2282" spans="15:19">
      <c r="O2282" s="4" t="str">
        <f t="shared" si="172"/>
        <v>click</v>
      </c>
      <c r="S2282" s="1" t="str">
        <f t="shared" si="173"/>
        <v/>
      </c>
    </row>
    <row r="2283" spans="15:19">
      <c r="O2283" s="4" t="str">
        <f t="shared" si="172"/>
        <v>click</v>
      </c>
      <c r="S2283" s="1" t="str">
        <f t="shared" si="173"/>
        <v/>
      </c>
    </row>
    <row r="2284" spans="15:19">
      <c r="O2284" s="4" t="str">
        <f t="shared" si="172"/>
        <v>click</v>
      </c>
      <c r="S2284" s="1" t="str">
        <f t="shared" si="173"/>
        <v/>
      </c>
    </row>
    <row r="2285" spans="15:19">
      <c r="O2285" s="4" t="str">
        <f t="shared" si="172"/>
        <v>click</v>
      </c>
      <c r="S2285" s="1" t="str">
        <f t="shared" si="173"/>
        <v/>
      </c>
    </row>
    <row r="2286" spans="15:19">
      <c r="O2286" s="4" t="str">
        <f t="shared" si="172"/>
        <v>click</v>
      </c>
      <c r="S2286" s="1" t="str">
        <f t="shared" si="173"/>
        <v/>
      </c>
    </row>
    <row r="2287" spans="15:19">
      <c r="O2287" s="4" t="str">
        <f t="shared" si="172"/>
        <v>click</v>
      </c>
      <c r="S2287" s="1" t="str">
        <f t="shared" si="173"/>
        <v/>
      </c>
    </row>
    <row r="2288" spans="15:19">
      <c r="O2288" s="4" t="str">
        <f t="shared" si="172"/>
        <v>click</v>
      </c>
      <c r="S2288" s="1" t="str">
        <f t="shared" si="173"/>
        <v/>
      </c>
    </row>
    <row r="2289" spans="15:19">
      <c r="O2289" s="4" t="str">
        <f t="shared" si="172"/>
        <v>click</v>
      </c>
      <c r="S2289" s="1" t="str">
        <f t="shared" si="173"/>
        <v/>
      </c>
    </row>
    <row r="2290" spans="15:19">
      <c r="O2290" s="4" t="str">
        <f t="shared" si="172"/>
        <v>click</v>
      </c>
      <c r="S2290" s="1" t="str">
        <f t="shared" si="173"/>
        <v/>
      </c>
    </row>
    <row r="2291" spans="15:19">
      <c r="O2291" s="4" t="str">
        <f t="shared" si="172"/>
        <v>click</v>
      </c>
      <c r="S2291" s="1" t="str">
        <f t="shared" si="173"/>
        <v/>
      </c>
    </row>
    <row r="2292" spans="15:19">
      <c r="O2292" s="4" t="str">
        <f t="shared" si="172"/>
        <v>click</v>
      </c>
      <c r="S2292" s="1" t="str">
        <f t="shared" si="173"/>
        <v/>
      </c>
    </row>
    <row r="2293" spans="15:19">
      <c r="O2293" s="4" t="str">
        <f t="shared" si="172"/>
        <v>click</v>
      </c>
      <c r="S2293" s="1" t="str">
        <f t="shared" si="173"/>
        <v/>
      </c>
    </row>
    <row r="2294" spans="15:19">
      <c r="O2294" s="4" t="str">
        <f t="shared" si="172"/>
        <v>click</v>
      </c>
      <c r="S2294" s="1" t="str">
        <f t="shared" si="173"/>
        <v/>
      </c>
    </row>
    <row r="2295" spans="15:19">
      <c r="O2295" s="4" t="str">
        <f t="shared" si="172"/>
        <v>click</v>
      </c>
      <c r="S2295" s="1" t="str">
        <f t="shared" si="173"/>
        <v/>
      </c>
    </row>
    <row r="2296" spans="15:19">
      <c r="O2296" s="4" t="str">
        <f t="shared" si="172"/>
        <v>click</v>
      </c>
      <c r="S2296" s="1" t="str">
        <f t="shared" si="173"/>
        <v/>
      </c>
    </row>
    <row r="2297" spans="15:19">
      <c r="O2297" s="4" t="str">
        <f t="shared" si="172"/>
        <v>click</v>
      </c>
      <c r="S2297" s="1" t="str">
        <f t="shared" si="173"/>
        <v/>
      </c>
    </row>
    <row r="2298" spans="15:19">
      <c r="O2298" s="4" t="str">
        <f t="shared" si="172"/>
        <v>click</v>
      </c>
      <c r="S2298" s="1" t="str">
        <f t="shared" si="173"/>
        <v/>
      </c>
    </row>
    <row r="2299" spans="15:19">
      <c r="O2299" s="4" t="str">
        <f t="shared" si="172"/>
        <v>click</v>
      </c>
      <c r="S2299" s="1" t="str">
        <f t="shared" si="173"/>
        <v/>
      </c>
    </row>
    <row r="2300" spans="15:19">
      <c r="O2300" s="4" t="str">
        <f t="shared" si="172"/>
        <v>click</v>
      </c>
      <c r="S2300" s="1" t="str">
        <f t="shared" si="173"/>
        <v/>
      </c>
    </row>
    <row r="2301" spans="15:19">
      <c r="O2301" s="4" t="str">
        <f t="shared" si="172"/>
        <v>click</v>
      </c>
      <c r="S2301" s="1" t="str">
        <f t="shared" si="173"/>
        <v/>
      </c>
    </row>
    <row r="2302" spans="15:19">
      <c r="O2302" s="4" t="str">
        <f t="shared" si="172"/>
        <v>click</v>
      </c>
      <c r="S2302" s="1" t="str">
        <f t="shared" si="173"/>
        <v/>
      </c>
    </row>
    <row r="2303" spans="15:19">
      <c r="O2303" s="4" t="str">
        <f t="shared" si="172"/>
        <v>click</v>
      </c>
      <c r="S2303" s="1" t="str">
        <f t="shared" si="173"/>
        <v/>
      </c>
    </row>
    <row r="2304" spans="15:19">
      <c r="O2304" s="4" t="str">
        <f t="shared" si="172"/>
        <v>click</v>
      </c>
      <c r="S2304" s="1" t="str">
        <f t="shared" si="173"/>
        <v/>
      </c>
    </row>
    <row r="2305" spans="15:19">
      <c r="O2305" s="4" t="str">
        <f t="shared" si="172"/>
        <v>click</v>
      </c>
      <c r="S2305" s="1" t="str">
        <f t="shared" si="173"/>
        <v/>
      </c>
    </row>
    <row r="2306" spans="15:19">
      <c r="O2306" s="4" t="str">
        <f t="shared" si="172"/>
        <v>click</v>
      </c>
      <c r="S2306" s="1" t="str">
        <f t="shared" si="173"/>
        <v/>
      </c>
    </row>
    <row r="2307" spans="15:19">
      <c r="O2307" s="4" t="str">
        <f t="shared" si="172"/>
        <v>click</v>
      </c>
      <c r="S2307" s="1" t="str">
        <f t="shared" si="173"/>
        <v/>
      </c>
    </row>
    <row r="2308" spans="15:19">
      <c r="O2308" s="4" t="str">
        <f t="shared" si="172"/>
        <v>click</v>
      </c>
      <c r="S2308" s="1" t="str">
        <f t="shared" si="173"/>
        <v/>
      </c>
    </row>
    <row r="2309" spans="15:19">
      <c r="O2309" s="4" t="str">
        <f t="shared" si="172"/>
        <v>click</v>
      </c>
      <c r="S2309" s="1" t="str">
        <f t="shared" si="173"/>
        <v/>
      </c>
    </row>
    <row r="2310" spans="15:19">
      <c r="O2310" s="4" t="str">
        <f t="shared" si="172"/>
        <v>click</v>
      </c>
      <c r="S2310" s="1" t="str">
        <f t="shared" si="173"/>
        <v/>
      </c>
    </row>
    <row r="2311" spans="15:19">
      <c r="O2311" s="4" t="str">
        <f t="shared" si="172"/>
        <v>click</v>
      </c>
      <c r="S2311" s="1" t="str">
        <f t="shared" si="173"/>
        <v/>
      </c>
    </row>
    <row r="2312" spans="15:19">
      <c r="O2312" s="4" t="str">
        <f t="shared" si="172"/>
        <v>click</v>
      </c>
      <c r="S2312" s="1" t="str">
        <f t="shared" si="173"/>
        <v/>
      </c>
    </row>
    <row r="2313" spans="15:19">
      <c r="O2313" s="4" t="str">
        <f t="shared" si="172"/>
        <v>click</v>
      </c>
      <c r="S2313" s="1" t="str">
        <f t="shared" si="173"/>
        <v/>
      </c>
    </row>
    <row r="2314" spans="15:19">
      <c r="O2314" s="4" t="str">
        <f t="shared" si="172"/>
        <v>click</v>
      </c>
      <c r="S2314" s="1" t="str">
        <f t="shared" si="173"/>
        <v/>
      </c>
    </row>
    <row r="2315" spans="15:19">
      <c r="O2315" s="4" t="str">
        <f t="shared" si="172"/>
        <v>click</v>
      </c>
      <c r="S2315" s="1" t="str">
        <f t="shared" si="173"/>
        <v/>
      </c>
    </row>
    <row r="2316" spans="15:19">
      <c r="O2316" s="4" t="str">
        <f t="shared" si="172"/>
        <v>click</v>
      </c>
      <c r="S2316" s="1" t="str">
        <f t="shared" si="173"/>
        <v/>
      </c>
    </row>
    <row r="2317" spans="15:19">
      <c r="O2317" s="4" t="str">
        <f t="shared" si="172"/>
        <v>click</v>
      </c>
      <c r="S2317" s="1" t="str">
        <f t="shared" si="173"/>
        <v/>
      </c>
    </row>
    <row r="2318" spans="15:19">
      <c r="O2318" s="4" t="str">
        <f t="shared" si="172"/>
        <v>click</v>
      </c>
      <c r="S2318" s="1" t="str">
        <f t="shared" si="173"/>
        <v/>
      </c>
    </row>
    <row r="2319" spans="15:19">
      <c r="O2319" s="4" t="str">
        <f t="shared" si="172"/>
        <v>click</v>
      </c>
      <c r="S2319" s="1" t="str">
        <f t="shared" si="173"/>
        <v/>
      </c>
    </row>
    <row r="2320" spans="15:19">
      <c r="O2320" s="4" t="str">
        <f t="shared" si="172"/>
        <v>click</v>
      </c>
      <c r="S2320" s="1" t="str">
        <f t="shared" si="173"/>
        <v/>
      </c>
    </row>
    <row r="2321" spans="15:19">
      <c r="O2321" s="4" t="str">
        <f t="shared" si="172"/>
        <v>click</v>
      </c>
      <c r="S2321" s="1" t="str">
        <f t="shared" si="173"/>
        <v/>
      </c>
    </row>
    <row r="2322" spans="15:19">
      <c r="O2322" s="4" t="str">
        <f t="shared" si="172"/>
        <v>click</v>
      </c>
      <c r="S2322" s="1" t="str">
        <f t="shared" si="173"/>
        <v/>
      </c>
    </row>
    <row r="2323" spans="15:19">
      <c r="O2323" s="4" t="str">
        <f t="shared" si="172"/>
        <v>click</v>
      </c>
      <c r="S2323" s="1" t="str">
        <f t="shared" si="173"/>
        <v/>
      </c>
    </row>
    <row r="2324" spans="15:19">
      <c r="O2324" s="4" t="str">
        <f t="shared" si="172"/>
        <v>click</v>
      </c>
      <c r="S2324" s="1" t="str">
        <f t="shared" si="173"/>
        <v/>
      </c>
    </row>
    <row r="2325" spans="15:19">
      <c r="O2325" s="4" t="str">
        <f t="shared" ref="O2325:O2388" si="174">IF(D2325="input","fill",IF(I2325&lt;&gt;"","innerText",IF(J2325="Y",$T$7,"click")))</f>
        <v>click</v>
      </c>
      <c r="S2325" s="1" t="str">
        <f t="shared" si="173"/>
        <v/>
      </c>
    </row>
    <row r="2326" spans="15:19">
      <c r="O2326" s="4" t="str">
        <f t="shared" si="174"/>
        <v>click</v>
      </c>
      <c r="S2326" s="1" t="str">
        <f t="shared" si="173"/>
        <v/>
      </c>
    </row>
    <row r="2327" spans="15:19">
      <c r="O2327" s="4" t="str">
        <f t="shared" si="174"/>
        <v>click</v>
      </c>
      <c r="S2327" s="1" t="str">
        <f t="shared" si="173"/>
        <v/>
      </c>
    </row>
    <row r="2328" spans="15:19">
      <c r="O2328" s="4" t="str">
        <f t="shared" si="174"/>
        <v>click</v>
      </c>
      <c r="S2328" s="1" t="str">
        <f t="shared" si="173"/>
        <v/>
      </c>
    </row>
    <row r="2329" spans="15:19">
      <c r="O2329" s="4" t="str">
        <f t="shared" si="174"/>
        <v>click</v>
      </c>
      <c r="S2329" s="1" t="str">
        <f t="shared" si="173"/>
        <v/>
      </c>
    </row>
    <row r="2330" spans="15:19">
      <c r="O2330" s="4" t="str">
        <f t="shared" si="174"/>
        <v>click</v>
      </c>
      <c r="S2330" s="1" t="str">
        <f t="shared" si="173"/>
        <v/>
      </c>
    </row>
    <row r="2331" spans="15:19">
      <c r="O2331" s="4" t="str">
        <f t="shared" si="174"/>
        <v>click</v>
      </c>
      <c r="S2331" s="1" t="str">
        <f t="shared" si="173"/>
        <v/>
      </c>
    </row>
    <row r="2332" spans="15:19">
      <c r="O2332" s="4" t="str">
        <f t="shared" si="174"/>
        <v>click</v>
      </c>
      <c r="S2332" s="1" t="str">
        <f t="shared" si="173"/>
        <v/>
      </c>
    </row>
    <row r="2333" spans="15:19">
      <c r="O2333" s="4" t="str">
        <f t="shared" si="174"/>
        <v>click</v>
      </c>
      <c r="S2333" s="1" t="str">
        <f t="shared" si="173"/>
        <v/>
      </c>
    </row>
    <row r="2334" spans="15:19">
      <c r="O2334" s="4" t="str">
        <f t="shared" si="174"/>
        <v>click</v>
      </c>
      <c r="S2334" s="1" t="str">
        <f t="shared" si="173"/>
        <v/>
      </c>
    </row>
    <row r="2335" spans="15:19">
      <c r="O2335" s="4" t="str">
        <f t="shared" si="174"/>
        <v>click</v>
      </c>
      <c r="S2335" s="1" t="str">
        <f t="shared" si="173"/>
        <v/>
      </c>
    </row>
    <row r="2336" spans="15:19">
      <c r="O2336" s="4" t="str">
        <f t="shared" si="174"/>
        <v>click</v>
      </c>
      <c r="S2336" s="1" t="str">
        <f t="shared" si="173"/>
        <v/>
      </c>
    </row>
    <row r="2337" spans="15:19">
      <c r="O2337" s="4" t="str">
        <f t="shared" si="174"/>
        <v>click</v>
      </c>
      <c r="S2337" s="1" t="str">
        <f t="shared" si="173"/>
        <v/>
      </c>
    </row>
    <row r="2338" spans="15:19">
      <c r="O2338" s="4" t="str">
        <f t="shared" si="174"/>
        <v>click</v>
      </c>
      <c r="S2338" s="1" t="str">
        <f t="shared" si="173"/>
        <v/>
      </c>
    </row>
    <row r="2339" spans="15:19">
      <c r="O2339" s="4" t="str">
        <f t="shared" si="174"/>
        <v>click</v>
      </c>
      <c r="S2339" s="1" t="str">
        <f t="shared" si="173"/>
        <v/>
      </c>
    </row>
    <row r="2340" spans="15:19">
      <c r="O2340" s="4" t="str">
        <f t="shared" si="174"/>
        <v>click</v>
      </c>
      <c r="S2340" s="1" t="str">
        <f t="shared" si="173"/>
        <v/>
      </c>
    </row>
    <row r="2341" spans="15:19">
      <c r="O2341" s="4" t="str">
        <f t="shared" si="174"/>
        <v>click</v>
      </c>
      <c r="S2341" s="1" t="str">
        <f t="shared" ref="S2341:S2404" si="175">IF(O2341="innerText",I2341&amp;"="&amp;IF(C2341="Y",IF(J2341&lt;&gt;"Y",$S$8&amp;$R$9&amp;"."&amp;E2341&amp;")."&amp;IF(OR(O2341="click",O2341="innerText"),O2341&amp;"();",O2341&amp;"("&amp;$Q$8&amp;"."&amp;E2341&amp;");"),$S$7&amp;$R$9&amp;"."&amp;E2341&amp;")."&amp;IF(O2341="click",O2341&amp;"();",O2341&amp;"("&amp;"'"&amp;K2341&amp;"'"&amp;");")),""),IF(C2341="Y",IF(J2341&lt;&gt;"Y",$S$8&amp;$R$9&amp;"."&amp;E2341&amp;")."&amp;IF(OR(O2341="click",O2341="innerText"),O2341&amp;"();",O2341&amp;"("&amp;$Q$8&amp;"."&amp;E2341&amp;");"),$S$7&amp;$R$9&amp;"."&amp;E2341&amp;")."&amp;IF(O2341="click",O2341&amp;"();",O2341&amp;"("&amp;"'"&amp;K2341&amp;"'"&amp;");")),""))</f>
        <v/>
      </c>
    </row>
    <row r="2342" spans="15:19">
      <c r="O2342" s="4" t="str">
        <f t="shared" si="174"/>
        <v>click</v>
      </c>
      <c r="S2342" s="1" t="str">
        <f t="shared" si="175"/>
        <v/>
      </c>
    </row>
    <row r="2343" spans="15:19">
      <c r="O2343" s="4" t="str">
        <f t="shared" si="174"/>
        <v>click</v>
      </c>
      <c r="S2343" s="1" t="str">
        <f t="shared" si="175"/>
        <v/>
      </c>
    </row>
    <row r="2344" spans="15:19">
      <c r="O2344" s="4" t="str">
        <f t="shared" si="174"/>
        <v>click</v>
      </c>
      <c r="S2344" s="1" t="str">
        <f t="shared" si="175"/>
        <v/>
      </c>
    </row>
    <row r="2345" spans="15:19">
      <c r="O2345" s="4" t="str">
        <f t="shared" si="174"/>
        <v>click</v>
      </c>
      <c r="S2345" s="1" t="str">
        <f t="shared" si="175"/>
        <v/>
      </c>
    </row>
    <row r="2346" spans="15:19">
      <c r="O2346" s="4" t="str">
        <f t="shared" si="174"/>
        <v>click</v>
      </c>
      <c r="S2346" s="1" t="str">
        <f t="shared" si="175"/>
        <v/>
      </c>
    </row>
    <row r="2347" spans="15:19">
      <c r="O2347" s="4" t="str">
        <f t="shared" si="174"/>
        <v>click</v>
      </c>
      <c r="S2347" s="1" t="str">
        <f t="shared" si="175"/>
        <v/>
      </c>
    </row>
    <row r="2348" spans="15:19">
      <c r="O2348" s="4" t="str">
        <f t="shared" si="174"/>
        <v>click</v>
      </c>
      <c r="S2348" s="1" t="str">
        <f t="shared" si="175"/>
        <v/>
      </c>
    </row>
    <row r="2349" spans="15:19">
      <c r="O2349" s="4" t="str">
        <f t="shared" si="174"/>
        <v>click</v>
      </c>
      <c r="S2349" s="1" t="str">
        <f t="shared" si="175"/>
        <v/>
      </c>
    </row>
    <row r="2350" spans="15:19">
      <c r="O2350" s="4" t="str">
        <f t="shared" si="174"/>
        <v>click</v>
      </c>
      <c r="S2350" s="1" t="str">
        <f t="shared" si="175"/>
        <v/>
      </c>
    </row>
    <row r="2351" spans="15:19">
      <c r="O2351" s="4" t="str">
        <f t="shared" si="174"/>
        <v>click</v>
      </c>
      <c r="S2351" s="1" t="str">
        <f t="shared" si="175"/>
        <v/>
      </c>
    </row>
    <row r="2352" spans="15:19">
      <c r="O2352" s="4" t="str">
        <f t="shared" si="174"/>
        <v>click</v>
      </c>
      <c r="S2352" s="1" t="str">
        <f t="shared" si="175"/>
        <v/>
      </c>
    </row>
    <row r="2353" spans="15:19">
      <c r="O2353" s="4" t="str">
        <f t="shared" si="174"/>
        <v>click</v>
      </c>
      <c r="S2353" s="1" t="str">
        <f t="shared" si="175"/>
        <v/>
      </c>
    </row>
    <row r="2354" spans="15:19">
      <c r="O2354" s="4" t="str">
        <f t="shared" si="174"/>
        <v>click</v>
      </c>
      <c r="S2354" s="1" t="str">
        <f t="shared" si="175"/>
        <v/>
      </c>
    </row>
    <row r="2355" spans="15:19">
      <c r="O2355" s="4" t="str">
        <f t="shared" si="174"/>
        <v>click</v>
      </c>
      <c r="S2355" s="1" t="str">
        <f t="shared" si="175"/>
        <v/>
      </c>
    </row>
    <row r="2356" spans="15:19">
      <c r="O2356" s="4" t="str">
        <f t="shared" si="174"/>
        <v>click</v>
      </c>
      <c r="S2356" s="1" t="str">
        <f t="shared" si="175"/>
        <v/>
      </c>
    </row>
    <row r="2357" spans="15:19">
      <c r="O2357" s="4" t="str">
        <f t="shared" si="174"/>
        <v>click</v>
      </c>
      <c r="S2357" s="1" t="str">
        <f t="shared" si="175"/>
        <v/>
      </c>
    </row>
    <row r="2358" spans="15:19">
      <c r="O2358" s="4" t="str">
        <f t="shared" si="174"/>
        <v>click</v>
      </c>
      <c r="S2358" s="1" t="str">
        <f t="shared" si="175"/>
        <v/>
      </c>
    </row>
    <row r="2359" spans="15:19">
      <c r="O2359" s="4" t="str">
        <f t="shared" si="174"/>
        <v>click</v>
      </c>
      <c r="S2359" s="1" t="str">
        <f t="shared" si="175"/>
        <v/>
      </c>
    </row>
    <row r="2360" spans="15:19">
      <c r="O2360" s="4" t="str">
        <f t="shared" si="174"/>
        <v>click</v>
      </c>
      <c r="S2360" s="1" t="str">
        <f t="shared" si="175"/>
        <v/>
      </c>
    </row>
    <row r="2361" spans="15:19">
      <c r="O2361" s="4" t="str">
        <f t="shared" si="174"/>
        <v>click</v>
      </c>
      <c r="S2361" s="1" t="str">
        <f t="shared" si="175"/>
        <v/>
      </c>
    </row>
    <row r="2362" spans="15:19">
      <c r="O2362" s="4" t="str">
        <f t="shared" si="174"/>
        <v>click</v>
      </c>
      <c r="S2362" s="1" t="str">
        <f t="shared" si="175"/>
        <v/>
      </c>
    </row>
    <row r="2363" spans="15:19">
      <c r="O2363" s="4" t="str">
        <f t="shared" si="174"/>
        <v>click</v>
      </c>
      <c r="S2363" s="1" t="str">
        <f t="shared" si="175"/>
        <v/>
      </c>
    </row>
    <row r="2364" spans="15:19">
      <c r="O2364" s="4" t="str">
        <f t="shared" si="174"/>
        <v>click</v>
      </c>
      <c r="S2364" s="1" t="str">
        <f t="shared" si="175"/>
        <v/>
      </c>
    </row>
    <row r="2365" spans="15:19">
      <c r="O2365" s="4" t="str">
        <f t="shared" si="174"/>
        <v>click</v>
      </c>
      <c r="S2365" s="1" t="str">
        <f t="shared" si="175"/>
        <v/>
      </c>
    </row>
    <row r="2366" spans="15:19">
      <c r="O2366" s="4" t="str">
        <f t="shared" si="174"/>
        <v>click</v>
      </c>
      <c r="S2366" s="1" t="str">
        <f t="shared" si="175"/>
        <v/>
      </c>
    </row>
    <row r="2367" spans="15:19">
      <c r="O2367" s="4" t="str">
        <f t="shared" si="174"/>
        <v>click</v>
      </c>
      <c r="S2367" s="1" t="str">
        <f t="shared" si="175"/>
        <v/>
      </c>
    </row>
    <row r="2368" spans="15:19">
      <c r="O2368" s="4" t="str">
        <f t="shared" si="174"/>
        <v>click</v>
      </c>
      <c r="S2368" s="1" t="str">
        <f t="shared" si="175"/>
        <v/>
      </c>
    </row>
    <row r="2369" spans="15:19">
      <c r="O2369" s="4" t="str">
        <f t="shared" si="174"/>
        <v>click</v>
      </c>
      <c r="S2369" s="1" t="str">
        <f t="shared" si="175"/>
        <v/>
      </c>
    </row>
    <row r="2370" spans="15:19">
      <c r="O2370" s="4" t="str">
        <f t="shared" si="174"/>
        <v>click</v>
      </c>
      <c r="S2370" s="1" t="str">
        <f t="shared" si="175"/>
        <v/>
      </c>
    </row>
    <row r="2371" spans="15:19">
      <c r="O2371" s="4" t="str">
        <f t="shared" si="174"/>
        <v>click</v>
      </c>
      <c r="S2371" s="1" t="str">
        <f t="shared" si="175"/>
        <v/>
      </c>
    </row>
    <row r="2372" spans="15:19">
      <c r="O2372" s="4" t="str">
        <f t="shared" si="174"/>
        <v>click</v>
      </c>
      <c r="S2372" s="1" t="str">
        <f t="shared" si="175"/>
        <v/>
      </c>
    </row>
    <row r="2373" spans="15:19">
      <c r="O2373" s="4" t="str">
        <f t="shared" si="174"/>
        <v>click</v>
      </c>
      <c r="S2373" s="1" t="str">
        <f t="shared" si="175"/>
        <v/>
      </c>
    </row>
    <row r="2374" spans="15:19">
      <c r="O2374" s="4" t="str">
        <f t="shared" si="174"/>
        <v>click</v>
      </c>
      <c r="S2374" s="1" t="str">
        <f t="shared" si="175"/>
        <v/>
      </c>
    </row>
    <row r="2375" spans="15:19">
      <c r="O2375" s="4" t="str">
        <f t="shared" si="174"/>
        <v>click</v>
      </c>
      <c r="S2375" s="1" t="str">
        <f t="shared" si="175"/>
        <v/>
      </c>
    </row>
    <row r="2376" spans="15:19">
      <c r="O2376" s="4" t="str">
        <f t="shared" si="174"/>
        <v>click</v>
      </c>
      <c r="S2376" s="1" t="str">
        <f t="shared" si="175"/>
        <v/>
      </c>
    </row>
    <row r="2377" spans="15:19">
      <c r="O2377" s="4" t="str">
        <f t="shared" si="174"/>
        <v>click</v>
      </c>
      <c r="S2377" s="1" t="str">
        <f t="shared" si="175"/>
        <v/>
      </c>
    </row>
    <row r="2378" spans="15:19">
      <c r="O2378" s="4" t="str">
        <f t="shared" si="174"/>
        <v>click</v>
      </c>
      <c r="S2378" s="1" t="str">
        <f t="shared" si="175"/>
        <v/>
      </c>
    </row>
    <row r="2379" spans="15:19">
      <c r="O2379" s="4" t="str">
        <f t="shared" si="174"/>
        <v>click</v>
      </c>
      <c r="S2379" s="1" t="str">
        <f t="shared" si="175"/>
        <v/>
      </c>
    </row>
    <row r="2380" spans="15:19">
      <c r="O2380" s="4" t="str">
        <f t="shared" si="174"/>
        <v>click</v>
      </c>
      <c r="S2380" s="1" t="str">
        <f t="shared" si="175"/>
        <v/>
      </c>
    </row>
    <row r="2381" spans="15:19">
      <c r="O2381" s="4" t="str">
        <f t="shared" si="174"/>
        <v>click</v>
      </c>
      <c r="S2381" s="1" t="str">
        <f t="shared" si="175"/>
        <v/>
      </c>
    </row>
    <row r="2382" spans="15:19">
      <c r="O2382" s="4" t="str">
        <f t="shared" si="174"/>
        <v>click</v>
      </c>
      <c r="S2382" s="1" t="str">
        <f t="shared" si="175"/>
        <v/>
      </c>
    </row>
    <row r="2383" spans="15:19">
      <c r="O2383" s="4" t="str">
        <f t="shared" si="174"/>
        <v>click</v>
      </c>
      <c r="S2383" s="1" t="str">
        <f t="shared" si="175"/>
        <v/>
      </c>
    </row>
    <row r="2384" spans="15:19">
      <c r="O2384" s="4" t="str">
        <f t="shared" si="174"/>
        <v>click</v>
      </c>
      <c r="S2384" s="1" t="str">
        <f t="shared" si="175"/>
        <v/>
      </c>
    </row>
    <row r="2385" spans="15:19">
      <c r="O2385" s="4" t="str">
        <f t="shared" si="174"/>
        <v>click</v>
      </c>
      <c r="S2385" s="1" t="str">
        <f t="shared" si="175"/>
        <v/>
      </c>
    </row>
    <row r="2386" spans="15:19">
      <c r="O2386" s="4" t="str">
        <f t="shared" si="174"/>
        <v>click</v>
      </c>
      <c r="S2386" s="1" t="str">
        <f t="shared" si="175"/>
        <v/>
      </c>
    </row>
    <row r="2387" spans="15:19">
      <c r="O2387" s="4" t="str">
        <f t="shared" si="174"/>
        <v>click</v>
      </c>
      <c r="S2387" s="1" t="str">
        <f t="shared" si="175"/>
        <v/>
      </c>
    </row>
    <row r="2388" spans="15:19">
      <c r="O2388" s="4" t="str">
        <f t="shared" si="174"/>
        <v>click</v>
      </c>
      <c r="S2388" s="1" t="str">
        <f t="shared" si="175"/>
        <v/>
      </c>
    </row>
    <row r="2389" spans="15:19">
      <c r="O2389" s="4" t="str">
        <f t="shared" ref="O2389:O2452" si="176">IF(D2389="input","fill",IF(I2389&lt;&gt;"","innerText",IF(J2389="Y",$T$7,"click")))</f>
        <v>click</v>
      </c>
      <c r="S2389" s="1" t="str">
        <f t="shared" si="175"/>
        <v/>
      </c>
    </row>
    <row r="2390" spans="15:19">
      <c r="O2390" s="4" t="str">
        <f t="shared" si="176"/>
        <v>click</v>
      </c>
      <c r="S2390" s="1" t="str">
        <f t="shared" si="175"/>
        <v/>
      </c>
    </row>
    <row r="2391" spans="15:19">
      <c r="O2391" s="4" t="str">
        <f t="shared" si="176"/>
        <v>click</v>
      </c>
      <c r="S2391" s="1" t="str">
        <f t="shared" si="175"/>
        <v/>
      </c>
    </row>
    <row r="2392" spans="15:19">
      <c r="O2392" s="4" t="str">
        <f t="shared" si="176"/>
        <v>click</v>
      </c>
      <c r="S2392" s="1" t="str">
        <f t="shared" si="175"/>
        <v/>
      </c>
    </row>
    <row r="2393" spans="15:19">
      <c r="O2393" s="4" t="str">
        <f t="shared" si="176"/>
        <v>click</v>
      </c>
      <c r="S2393" s="1" t="str">
        <f t="shared" si="175"/>
        <v/>
      </c>
    </row>
    <row r="2394" spans="15:19">
      <c r="O2394" s="4" t="str">
        <f t="shared" si="176"/>
        <v>click</v>
      </c>
      <c r="S2394" s="1" t="str">
        <f t="shared" si="175"/>
        <v/>
      </c>
    </row>
    <row r="2395" spans="15:19">
      <c r="O2395" s="4" t="str">
        <f t="shared" si="176"/>
        <v>click</v>
      </c>
      <c r="S2395" s="1" t="str">
        <f t="shared" si="175"/>
        <v/>
      </c>
    </row>
    <row r="2396" spans="15:19">
      <c r="O2396" s="4" t="str">
        <f t="shared" si="176"/>
        <v>click</v>
      </c>
      <c r="S2396" s="1" t="str">
        <f t="shared" si="175"/>
        <v/>
      </c>
    </row>
    <row r="2397" spans="15:19">
      <c r="O2397" s="4" t="str">
        <f t="shared" si="176"/>
        <v>click</v>
      </c>
      <c r="S2397" s="1" t="str">
        <f t="shared" si="175"/>
        <v/>
      </c>
    </row>
    <row r="2398" spans="15:19">
      <c r="O2398" s="4" t="str">
        <f t="shared" si="176"/>
        <v>click</v>
      </c>
      <c r="S2398" s="1" t="str">
        <f t="shared" si="175"/>
        <v/>
      </c>
    </row>
    <row r="2399" spans="15:19">
      <c r="O2399" s="4" t="str">
        <f t="shared" si="176"/>
        <v>click</v>
      </c>
      <c r="S2399" s="1" t="str">
        <f t="shared" si="175"/>
        <v/>
      </c>
    </row>
    <row r="2400" spans="15:19">
      <c r="O2400" s="4" t="str">
        <f t="shared" si="176"/>
        <v>click</v>
      </c>
      <c r="S2400" s="1" t="str">
        <f t="shared" si="175"/>
        <v/>
      </c>
    </row>
    <row r="2401" spans="15:19">
      <c r="O2401" s="4" t="str">
        <f t="shared" si="176"/>
        <v>click</v>
      </c>
      <c r="S2401" s="1" t="str">
        <f t="shared" si="175"/>
        <v/>
      </c>
    </row>
    <row r="2402" spans="15:19">
      <c r="O2402" s="4" t="str">
        <f t="shared" si="176"/>
        <v>click</v>
      </c>
      <c r="S2402" s="1" t="str">
        <f t="shared" si="175"/>
        <v/>
      </c>
    </row>
    <row r="2403" spans="15:19">
      <c r="O2403" s="4" t="str">
        <f t="shared" si="176"/>
        <v>click</v>
      </c>
      <c r="S2403" s="1" t="str">
        <f t="shared" si="175"/>
        <v/>
      </c>
    </row>
    <row r="2404" spans="15:19">
      <c r="O2404" s="4" t="str">
        <f t="shared" si="176"/>
        <v>click</v>
      </c>
      <c r="S2404" s="1" t="str">
        <f t="shared" si="175"/>
        <v/>
      </c>
    </row>
    <row r="2405" spans="15:19">
      <c r="O2405" s="4" t="str">
        <f t="shared" si="176"/>
        <v>click</v>
      </c>
      <c r="S2405" s="1" t="str">
        <f t="shared" ref="S2405:S2468" si="177">IF(O2405="innerText",I2405&amp;"="&amp;IF(C2405="Y",IF(J2405&lt;&gt;"Y",$S$8&amp;$R$9&amp;"."&amp;E2405&amp;")."&amp;IF(OR(O2405="click",O2405="innerText"),O2405&amp;"();",O2405&amp;"("&amp;$Q$8&amp;"."&amp;E2405&amp;");"),$S$7&amp;$R$9&amp;"."&amp;E2405&amp;")."&amp;IF(O2405="click",O2405&amp;"();",O2405&amp;"("&amp;"'"&amp;K2405&amp;"'"&amp;");")),""),IF(C2405="Y",IF(J2405&lt;&gt;"Y",$S$8&amp;$R$9&amp;"."&amp;E2405&amp;")."&amp;IF(OR(O2405="click",O2405="innerText"),O2405&amp;"();",O2405&amp;"("&amp;$Q$8&amp;"."&amp;E2405&amp;");"),$S$7&amp;$R$9&amp;"."&amp;E2405&amp;")."&amp;IF(O2405="click",O2405&amp;"();",O2405&amp;"("&amp;"'"&amp;K2405&amp;"'"&amp;");")),""))</f>
        <v/>
      </c>
    </row>
    <row r="2406" spans="15:19">
      <c r="O2406" s="4" t="str">
        <f t="shared" si="176"/>
        <v>click</v>
      </c>
      <c r="S2406" s="1" t="str">
        <f t="shared" si="177"/>
        <v/>
      </c>
    </row>
    <row r="2407" spans="15:19">
      <c r="O2407" s="4" t="str">
        <f t="shared" si="176"/>
        <v>click</v>
      </c>
      <c r="S2407" s="1" t="str">
        <f t="shared" si="177"/>
        <v/>
      </c>
    </row>
    <row r="2408" spans="15:19">
      <c r="O2408" s="4" t="str">
        <f t="shared" si="176"/>
        <v>click</v>
      </c>
      <c r="S2408" s="1" t="str">
        <f t="shared" si="177"/>
        <v/>
      </c>
    </row>
    <row r="2409" spans="15:19">
      <c r="O2409" s="4" t="str">
        <f t="shared" si="176"/>
        <v>click</v>
      </c>
      <c r="S2409" s="1" t="str">
        <f t="shared" si="177"/>
        <v/>
      </c>
    </row>
    <row r="2410" spans="15:19">
      <c r="O2410" s="4" t="str">
        <f t="shared" si="176"/>
        <v>click</v>
      </c>
      <c r="S2410" s="1" t="str">
        <f t="shared" si="177"/>
        <v/>
      </c>
    </row>
    <row r="2411" spans="15:19">
      <c r="O2411" s="4" t="str">
        <f t="shared" si="176"/>
        <v>click</v>
      </c>
      <c r="S2411" s="1" t="str">
        <f t="shared" si="177"/>
        <v/>
      </c>
    </row>
    <row r="2412" spans="15:19">
      <c r="O2412" s="4" t="str">
        <f t="shared" si="176"/>
        <v>click</v>
      </c>
      <c r="S2412" s="1" t="str">
        <f t="shared" si="177"/>
        <v/>
      </c>
    </row>
    <row r="2413" spans="15:19">
      <c r="O2413" s="4" t="str">
        <f t="shared" si="176"/>
        <v>click</v>
      </c>
      <c r="S2413" s="1" t="str">
        <f t="shared" si="177"/>
        <v/>
      </c>
    </row>
    <row r="2414" spans="15:19">
      <c r="O2414" s="4" t="str">
        <f t="shared" si="176"/>
        <v>click</v>
      </c>
      <c r="S2414" s="1" t="str">
        <f t="shared" si="177"/>
        <v/>
      </c>
    </row>
    <row r="2415" spans="15:19">
      <c r="O2415" s="4" t="str">
        <f t="shared" si="176"/>
        <v>click</v>
      </c>
      <c r="S2415" s="1" t="str">
        <f t="shared" si="177"/>
        <v/>
      </c>
    </row>
    <row r="2416" spans="15:19">
      <c r="O2416" s="4" t="str">
        <f t="shared" si="176"/>
        <v>click</v>
      </c>
      <c r="S2416" s="1" t="str">
        <f t="shared" si="177"/>
        <v/>
      </c>
    </row>
    <row r="2417" spans="15:19">
      <c r="O2417" s="4" t="str">
        <f t="shared" si="176"/>
        <v>click</v>
      </c>
      <c r="S2417" s="1" t="str">
        <f t="shared" si="177"/>
        <v/>
      </c>
    </row>
    <row r="2418" spans="15:19">
      <c r="O2418" s="4" t="str">
        <f t="shared" si="176"/>
        <v>click</v>
      </c>
      <c r="S2418" s="1" t="str">
        <f t="shared" si="177"/>
        <v/>
      </c>
    </row>
    <row r="2419" spans="15:19">
      <c r="O2419" s="4" t="str">
        <f t="shared" si="176"/>
        <v>click</v>
      </c>
      <c r="S2419" s="1" t="str">
        <f t="shared" si="177"/>
        <v/>
      </c>
    </row>
    <row r="2420" spans="15:19">
      <c r="O2420" s="4" t="str">
        <f t="shared" si="176"/>
        <v>click</v>
      </c>
      <c r="S2420" s="1" t="str">
        <f t="shared" si="177"/>
        <v/>
      </c>
    </row>
    <row r="2421" spans="15:19">
      <c r="O2421" s="4" t="str">
        <f t="shared" si="176"/>
        <v>click</v>
      </c>
      <c r="S2421" s="1" t="str">
        <f t="shared" si="177"/>
        <v/>
      </c>
    </row>
    <row r="2422" spans="15:19">
      <c r="O2422" s="4" t="str">
        <f t="shared" si="176"/>
        <v>click</v>
      </c>
      <c r="S2422" s="1" t="str">
        <f t="shared" si="177"/>
        <v/>
      </c>
    </row>
    <row r="2423" spans="15:19">
      <c r="O2423" s="4" t="str">
        <f t="shared" si="176"/>
        <v>click</v>
      </c>
      <c r="S2423" s="1" t="str">
        <f t="shared" si="177"/>
        <v/>
      </c>
    </row>
    <row r="2424" spans="15:19">
      <c r="O2424" s="4" t="str">
        <f t="shared" si="176"/>
        <v>click</v>
      </c>
      <c r="S2424" s="1" t="str">
        <f t="shared" si="177"/>
        <v/>
      </c>
    </row>
    <row r="2425" spans="15:19">
      <c r="O2425" s="4" t="str">
        <f t="shared" si="176"/>
        <v>click</v>
      </c>
      <c r="S2425" s="1" t="str">
        <f t="shared" si="177"/>
        <v/>
      </c>
    </row>
    <row r="2426" spans="15:19">
      <c r="O2426" s="4" t="str">
        <f t="shared" si="176"/>
        <v>click</v>
      </c>
      <c r="S2426" s="1" t="str">
        <f t="shared" si="177"/>
        <v/>
      </c>
    </row>
    <row r="2427" spans="15:19">
      <c r="O2427" s="4" t="str">
        <f t="shared" si="176"/>
        <v>click</v>
      </c>
      <c r="S2427" s="1" t="str">
        <f t="shared" si="177"/>
        <v/>
      </c>
    </row>
    <row r="2428" spans="15:19">
      <c r="O2428" s="4" t="str">
        <f t="shared" si="176"/>
        <v>click</v>
      </c>
      <c r="S2428" s="1" t="str">
        <f t="shared" si="177"/>
        <v/>
      </c>
    </row>
    <row r="2429" spans="15:19">
      <c r="O2429" s="4" t="str">
        <f t="shared" si="176"/>
        <v>click</v>
      </c>
      <c r="S2429" s="1" t="str">
        <f t="shared" si="177"/>
        <v/>
      </c>
    </row>
    <row r="2430" spans="15:19">
      <c r="O2430" s="4" t="str">
        <f t="shared" si="176"/>
        <v>click</v>
      </c>
      <c r="S2430" s="1" t="str">
        <f t="shared" si="177"/>
        <v/>
      </c>
    </row>
    <row r="2431" spans="15:19">
      <c r="O2431" s="4" t="str">
        <f t="shared" si="176"/>
        <v>click</v>
      </c>
      <c r="S2431" s="1" t="str">
        <f t="shared" si="177"/>
        <v/>
      </c>
    </row>
    <row r="2432" spans="15:19">
      <c r="O2432" s="4" t="str">
        <f t="shared" si="176"/>
        <v>click</v>
      </c>
      <c r="S2432" s="1" t="str">
        <f t="shared" si="177"/>
        <v/>
      </c>
    </row>
    <row r="2433" spans="15:19">
      <c r="O2433" s="4" t="str">
        <f t="shared" si="176"/>
        <v>click</v>
      </c>
      <c r="S2433" s="1" t="str">
        <f t="shared" si="177"/>
        <v/>
      </c>
    </row>
    <row r="2434" spans="15:19">
      <c r="O2434" s="4" t="str">
        <f t="shared" si="176"/>
        <v>click</v>
      </c>
      <c r="S2434" s="1" t="str">
        <f t="shared" si="177"/>
        <v/>
      </c>
    </row>
    <row r="2435" spans="15:19">
      <c r="O2435" s="4" t="str">
        <f t="shared" si="176"/>
        <v>click</v>
      </c>
      <c r="S2435" s="1" t="str">
        <f t="shared" si="177"/>
        <v/>
      </c>
    </row>
    <row r="2436" spans="15:19">
      <c r="O2436" s="4" t="str">
        <f t="shared" si="176"/>
        <v>click</v>
      </c>
      <c r="S2436" s="1" t="str">
        <f t="shared" si="177"/>
        <v/>
      </c>
    </row>
    <row r="2437" spans="15:19">
      <c r="O2437" s="4" t="str">
        <f t="shared" si="176"/>
        <v>click</v>
      </c>
      <c r="S2437" s="1" t="str">
        <f t="shared" si="177"/>
        <v/>
      </c>
    </row>
    <row r="2438" spans="15:19">
      <c r="O2438" s="4" t="str">
        <f t="shared" si="176"/>
        <v>click</v>
      </c>
      <c r="S2438" s="1" t="str">
        <f t="shared" si="177"/>
        <v/>
      </c>
    </row>
    <row r="2439" spans="15:19">
      <c r="O2439" s="4" t="str">
        <f t="shared" si="176"/>
        <v>click</v>
      </c>
      <c r="S2439" s="1" t="str">
        <f t="shared" si="177"/>
        <v/>
      </c>
    </row>
    <row r="2440" spans="15:19">
      <c r="O2440" s="4" t="str">
        <f t="shared" si="176"/>
        <v>click</v>
      </c>
      <c r="S2440" s="1" t="str">
        <f t="shared" si="177"/>
        <v/>
      </c>
    </row>
    <row r="2441" spans="15:19">
      <c r="O2441" s="4" t="str">
        <f t="shared" si="176"/>
        <v>click</v>
      </c>
      <c r="S2441" s="1" t="str">
        <f t="shared" si="177"/>
        <v/>
      </c>
    </row>
    <row r="2442" spans="15:19">
      <c r="O2442" s="4" t="str">
        <f t="shared" si="176"/>
        <v>click</v>
      </c>
      <c r="S2442" s="1" t="str">
        <f t="shared" si="177"/>
        <v/>
      </c>
    </row>
    <row r="2443" spans="15:19">
      <c r="O2443" s="4" t="str">
        <f t="shared" si="176"/>
        <v>click</v>
      </c>
      <c r="S2443" s="1" t="str">
        <f t="shared" si="177"/>
        <v/>
      </c>
    </row>
    <row r="2444" spans="15:19">
      <c r="O2444" s="4" t="str">
        <f t="shared" si="176"/>
        <v>click</v>
      </c>
      <c r="S2444" s="1" t="str">
        <f t="shared" si="177"/>
        <v/>
      </c>
    </row>
    <row r="2445" spans="15:19">
      <c r="O2445" s="4" t="str">
        <f t="shared" si="176"/>
        <v>click</v>
      </c>
      <c r="S2445" s="1" t="str">
        <f t="shared" si="177"/>
        <v/>
      </c>
    </row>
    <row r="2446" spans="15:19">
      <c r="O2446" s="4" t="str">
        <f t="shared" si="176"/>
        <v>click</v>
      </c>
      <c r="S2446" s="1" t="str">
        <f t="shared" si="177"/>
        <v/>
      </c>
    </row>
    <row r="2447" spans="15:19">
      <c r="O2447" s="4" t="str">
        <f t="shared" si="176"/>
        <v>click</v>
      </c>
      <c r="S2447" s="1" t="str">
        <f t="shared" si="177"/>
        <v/>
      </c>
    </row>
    <row r="2448" spans="15:19">
      <c r="O2448" s="4" t="str">
        <f t="shared" si="176"/>
        <v>click</v>
      </c>
      <c r="S2448" s="1" t="str">
        <f t="shared" si="177"/>
        <v/>
      </c>
    </row>
    <row r="2449" spans="15:19">
      <c r="O2449" s="4" t="str">
        <f t="shared" si="176"/>
        <v>click</v>
      </c>
      <c r="S2449" s="1" t="str">
        <f t="shared" si="177"/>
        <v/>
      </c>
    </row>
    <row r="2450" spans="15:19">
      <c r="O2450" s="4" t="str">
        <f t="shared" si="176"/>
        <v>click</v>
      </c>
      <c r="S2450" s="1" t="str">
        <f t="shared" si="177"/>
        <v/>
      </c>
    </row>
    <row r="2451" spans="15:19">
      <c r="O2451" s="4" t="str">
        <f t="shared" si="176"/>
        <v>click</v>
      </c>
      <c r="S2451" s="1" t="str">
        <f t="shared" si="177"/>
        <v/>
      </c>
    </row>
    <row r="2452" spans="15:19">
      <c r="O2452" s="4" t="str">
        <f t="shared" si="176"/>
        <v>click</v>
      </c>
      <c r="S2452" s="1" t="str">
        <f t="shared" si="177"/>
        <v/>
      </c>
    </row>
    <row r="2453" spans="15:19">
      <c r="O2453" s="4" t="str">
        <f t="shared" ref="O2453:O2464" si="178">IF(D2453="input","fill",IF(I2453&lt;&gt;"","innerText",IF(J2453="Y",$T$7,"click")))</f>
        <v>click</v>
      </c>
      <c r="S2453" s="1" t="str">
        <f t="shared" si="177"/>
        <v/>
      </c>
    </row>
    <row r="2454" spans="15:19">
      <c r="O2454" s="4" t="str">
        <f t="shared" si="178"/>
        <v>click</v>
      </c>
      <c r="S2454" s="1" t="str">
        <f t="shared" si="177"/>
        <v/>
      </c>
    </row>
    <row r="2455" spans="15:19">
      <c r="O2455" s="4" t="str">
        <f t="shared" si="178"/>
        <v>click</v>
      </c>
      <c r="S2455" s="1" t="str">
        <f t="shared" si="177"/>
        <v/>
      </c>
    </row>
    <row r="2456" spans="15:19">
      <c r="O2456" s="4" t="str">
        <f t="shared" si="178"/>
        <v>click</v>
      </c>
      <c r="S2456" s="1" t="str">
        <f t="shared" si="177"/>
        <v/>
      </c>
    </row>
    <row r="2457" spans="15:19">
      <c r="O2457" s="4" t="str">
        <f t="shared" si="178"/>
        <v>click</v>
      </c>
      <c r="S2457" s="1" t="str">
        <f t="shared" si="177"/>
        <v/>
      </c>
    </row>
    <row r="2458" spans="15:19">
      <c r="O2458" s="4" t="str">
        <f t="shared" si="178"/>
        <v>click</v>
      </c>
      <c r="S2458" s="1" t="str">
        <f t="shared" si="177"/>
        <v/>
      </c>
    </row>
    <row r="2459" spans="15:19">
      <c r="O2459" s="4" t="str">
        <f t="shared" si="178"/>
        <v>click</v>
      </c>
      <c r="S2459" s="1" t="str">
        <f t="shared" si="177"/>
        <v/>
      </c>
    </row>
    <row r="2460" spans="15:19">
      <c r="O2460" s="4" t="str">
        <f t="shared" si="178"/>
        <v>click</v>
      </c>
      <c r="S2460" s="1" t="str">
        <f t="shared" si="177"/>
        <v/>
      </c>
    </row>
    <row r="2461" spans="15:19">
      <c r="O2461" s="4" t="str">
        <f t="shared" si="178"/>
        <v>click</v>
      </c>
      <c r="S2461" s="1" t="str">
        <f t="shared" si="177"/>
        <v/>
      </c>
    </row>
    <row r="2462" spans="15:19">
      <c r="O2462" s="4" t="str">
        <f t="shared" si="178"/>
        <v>click</v>
      </c>
      <c r="S2462" s="1" t="str">
        <f t="shared" si="177"/>
        <v/>
      </c>
    </row>
    <row r="2463" spans="15:19">
      <c r="O2463" s="4" t="str">
        <f t="shared" si="178"/>
        <v>click</v>
      </c>
      <c r="S2463" s="1" t="str">
        <f t="shared" si="177"/>
        <v/>
      </c>
    </row>
    <row r="2464" spans="15:19">
      <c r="O2464" s="4" t="str">
        <f t="shared" si="178"/>
        <v>click</v>
      </c>
      <c r="S2464" s="1" t="str">
        <f t="shared" si="177"/>
        <v/>
      </c>
    </row>
    <row r="2465" spans="19:19">
      <c r="S2465" s="1" t="str">
        <f t="shared" si="177"/>
        <v/>
      </c>
    </row>
    <row r="2466" spans="19:19">
      <c r="S2466" s="1" t="str">
        <f t="shared" si="177"/>
        <v/>
      </c>
    </row>
    <row r="2467" spans="19:19">
      <c r="S2467" s="1" t="str">
        <f t="shared" si="177"/>
        <v/>
      </c>
    </row>
    <row r="2468" spans="19:19">
      <c r="S2468" s="1" t="str">
        <f t="shared" si="177"/>
        <v/>
      </c>
    </row>
    <row r="2469" spans="19:19">
      <c r="S2469" s="1" t="str">
        <f t="shared" ref="S2469:S2532" si="179">IF(O2469="innerText",I2469&amp;"="&amp;IF(C2469="Y",IF(J2469&lt;&gt;"Y",$S$8&amp;$R$9&amp;"."&amp;E2469&amp;")."&amp;IF(OR(O2469="click",O2469="innerText"),O2469&amp;"();",O2469&amp;"("&amp;$Q$8&amp;"."&amp;E2469&amp;");"),$S$7&amp;$R$9&amp;"."&amp;E2469&amp;")."&amp;IF(O2469="click",O2469&amp;"();",O2469&amp;"("&amp;"'"&amp;K2469&amp;"'"&amp;");")),""),IF(C2469="Y",IF(J2469&lt;&gt;"Y",$S$8&amp;$R$9&amp;"."&amp;E2469&amp;")."&amp;IF(OR(O2469="click",O2469="innerText"),O2469&amp;"();",O2469&amp;"("&amp;$Q$8&amp;"."&amp;E2469&amp;");"),$S$7&amp;$R$9&amp;"."&amp;E2469&amp;")."&amp;IF(O2469="click",O2469&amp;"();",O2469&amp;"("&amp;"'"&amp;K2469&amp;"'"&amp;");")),""))</f>
        <v/>
      </c>
    </row>
    <row r="2470" spans="19:19">
      <c r="S2470" s="1" t="str">
        <f t="shared" si="179"/>
        <v/>
      </c>
    </row>
    <row r="2471" spans="19:19">
      <c r="S2471" s="1" t="str">
        <f t="shared" si="179"/>
        <v/>
      </c>
    </row>
    <row r="2472" spans="19:19">
      <c r="S2472" s="1" t="str">
        <f t="shared" si="179"/>
        <v/>
      </c>
    </row>
    <row r="2473" spans="19:19">
      <c r="S2473" s="1" t="str">
        <f t="shared" si="179"/>
        <v/>
      </c>
    </row>
    <row r="2474" spans="19:19">
      <c r="S2474" s="1" t="str">
        <f t="shared" si="179"/>
        <v/>
      </c>
    </row>
    <row r="2475" spans="19:19">
      <c r="S2475" s="1" t="str">
        <f t="shared" si="179"/>
        <v/>
      </c>
    </row>
    <row r="2476" spans="19:19">
      <c r="S2476" s="1" t="str">
        <f t="shared" si="179"/>
        <v/>
      </c>
    </row>
    <row r="2477" spans="19:19">
      <c r="S2477" s="1" t="str">
        <f t="shared" si="179"/>
        <v/>
      </c>
    </row>
    <row r="2478" spans="19:19">
      <c r="S2478" s="1" t="str">
        <f t="shared" si="179"/>
        <v/>
      </c>
    </row>
    <row r="2479" spans="19:19">
      <c r="S2479" s="1" t="str">
        <f t="shared" si="179"/>
        <v/>
      </c>
    </row>
    <row r="2480" spans="19:19">
      <c r="S2480" s="1" t="str">
        <f t="shared" si="179"/>
        <v/>
      </c>
    </row>
    <row r="2481" spans="19:19">
      <c r="S2481" s="1" t="str">
        <f t="shared" si="179"/>
        <v/>
      </c>
    </row>
    <row r="2482" spans="19:19">
      <c r="S2482" s="1" t="str">
        <f t="shared" si="179"/>
        <v/>
      </c>
    </row>
    <row r="2483" spans="19:19">
      <c r="S2483" s="1" t="str">
        <f t="shared" si="179"/>
        <v/>
      </c>
    </row>
    <row r="2484" spans="19:19">
      <c r="S2484" s="1" t="str">
        <f t="shared" si="179"/>
        <v/>
      </c>
    </row>
    <row r="2485" spans="19:19">
      <c r="S2485" s="1" t="str">
        <f t="shared" si="179"/>
        <v/>
      </c>
    </row>
    <row r="2486" spans="19:19">
      <c r="S2486" s="1" t="str">
        <f t="shared" si="179"/>
        <v/>
      </c>
    </row>
    <row r="2487" spans="19:19">
      <c r="S2487" s="1" t="str">
        <f t="shared" si="179"/>
        <v/>
      </c>
    </row>
    <row r="2488" spans="19:19">
      <c r="S2488" s="1" t="str">
        <f t="shared" si="179"/>
        <v/>
      </c>
    </row>
    <row r="2489" spans="19:19">
      <c r="S2489" s="1" t="str">
        <f t="shared" si="179"/>
        <v/>
      </c>
    </row>
    <row r="2490" spans="19:19">
      <c r="S2490" s="1" t="str">
        <f t="shared" si="179"/>
        <v/>
      </c>
    </row>
    <row r="2491" spans="19:19">
      <c r="S2491" s="1" t="str">
        <f t="shared" si="179"/>
        <v/>
      </c>
    </row>
    <row r="2492" spans="19:19">
      <c r="S2492" s="1" t="str">
        <f t="shared" si="179"/>
        <v/>
      </c>
    </row>
    <row r="2493" spans="19:19">
      <c r="S2493" s="1" t="str">
        <f t="shared" si="179"/>
        <v/>
      </c>
    </row>
    <row r="2494" spans="19:19">
      <c r="S2494" s="1" t="str">
        <f t="shared" si="179"/>
        <v/>
      </c>
    </row>
    <row r="2495" spans="19:19">
      <c r="S2495" s="1" t="str">
        <f t="shared" si="179"/>
        <v/>
      </c>
    </row>
    <row r="2496" spans="19:19">
      <c r="S2496" s="1" t="str">
        <f t="shared" si="179"/>
        <v/>
      </c>
    </row>
    <row r="2497" spans="19:19">
      <c r="S2497" s="1" t="str">
        <f t="shared" si="179"/>
        <v/>
      </c>
    </row>
    <row r="2498" spans="19:19">
      <c r="S2498" s="1" t="str">
        <f t="shared" si="179"/>
        <v/>
      </c>
    </row>
    <row r="2499" spans="19:19">
      <c r="S2499" s="1" t="str">
        <f t="shared" si="179"/>
        <v/>
      </c>
    </row>
    <row r="2500" spans="19:19">
      <c r="S2500" s="1" t="str">
        <f t="shared" si="179"/>
        <v/>
      </c>
    </row>
    <row r="2501" spans="19:19">
      <c r="S2501" s="1" t="str">
        <f t="shared" si="179"/>
        <v/>
      </c>
    </row>
    <row r="2502" spans="19:19">
      <c r="S2502" s="1" t="str">
        <f t="shared" si="179"/>
        <v/>
      </c>
    </row>
    <row r="2503" spans="19:19">
      <c r="S2503" s="1" t="str">
        <f t="shared" si="179"/>
        <v/>
      </c>
    </row>
    <row r="2504" spans="19:19">
      <c r="S2504" s="1" t="str">
        <f t="shared" si="179"/>
        <v/>
      </c>
    </row>
    <row r="2505" spans="19:19">
      <c r="S2505" s="1" t="str">
        <f t="shared" si="179"/>
        <v/>
      </c>
    </row>
    <row r="2506" spans="19:19">
      <c r="S2506" s="1" t="str">
        <f t="shared" si="179"/>
        <v/>
      </c>
    </row>
    <row r="2507" spans="19:19">
      <c r="S2507" s="1" t="str">
        <f t="shared" si="179"/>
        <v/>
      </c>
    </row>
    <row r="2508" spans="19:19">
      <c r="S2508" s="1" t="str">
        <f t="shared" si="179"/>
        <v/>
      </c>
    </row>
    <row r="2509" spans="19:19">
      <c r="S2509" s="1" t="str">
        <f t="shared" si="179"/>
        <v/>
      </c>
    </row>
    <row r="2510" spans="19:19">
      <c r="S2510" s="1" t="str">
        <f t="shared" si="179"/>
        <v/>
      </c>
    </row>
    <row r="2511" spans="19:19">
      <c r="S2511" s="1" t="str">
        <f t="shared" si="179"/>
        <v/>
      </c>
    </row>
    <row r="2512" spans="19:19">
      <c r="S2512" s="1" t="str">
        <f t="shared" si="179"/>
        <v/>
      </c>
    </row>
    <row r="2513" spans="19:19">
      <c r="S2513" s="1" t="str">
        <f t="shared" si="179"/>
        <v/>
      </c>
    </row>
    <row r="2514" spans="19:19">
      <c r="S2514" s="1" t="str">
        <f t="shared" si="179"/>
        <v/>
      </c>
    </row>
    <row r="2515" spans="19:19">
      <c r="S2515" s="1" t="str">
        <f t="shared" si="179"/>
        <v/>
      </c>
    </row>
    <row r="2516" spans="19:19">
      <c r="S2516" s="1" t="str">
        <f t="shared" si="179"/>
        <v/>
      </c>
    </row>
    <row r="2517" spans="19:19">
      <c r="S2517" s="1" t="str">
        <f t="shared" si="179"/>
        <v/>
      </c>
    </row>
    <row r="2518" spans="19:19">
      <c r="S2518" s="1" t="str">
        <f t="shared" si="179"/>
        <v/>
      </c>
    </row>
    <row r="2519" spans="19:19">
      <c r="S2519" s="1" t="str">
        <f t="shared" si="179"/>
        <v/>
      </c>
    </row>
    <row r="2520" spans="19:19">
      <c r="S2520" s="1" t="str">
        <f t="shared" si="179"/>
        <v/>
      </c>
    </row>
    <row r="2521" spans="19:19">
      <c r="S2521" s="1" t="str">
        <f t="shared" si="179"/>
        <v/>
      </c>
    </row>
    <row r="2522" spans="19:19">
      <c r="S2522" s="1" t="str">
        <f t="shared" si="179"/>
        <v/>
      </c>
    </row>
    <row r="2523" spans="19:19">
      <c r="S2523" s="1" t="str">
        <f t="shared" si="179"/>
        <v/>
      </c>
    </row>
    <row r="2524" spans="19:19">
      <c r="S2524" s="1" t="str">
        <f t="shared" si="179"/>
        <v/>
      </c>
    </row>
    <row r="2525" spans="19:19">
      <c r="S2525" s="1" t="str">
        <f t="shared" si="179"/>
        <v/>
      </c>
    </row>
    <row r="2526" spans="19:19">
      <c r="S2526" s="1" t="str">
        <f t="shared" si="179"/>
        <v/>
      </c>
    </row>
    <row r="2527" spans="19:19">
      <c r="S2527" s="1" t="str">
        <f t="shared" si="179"/>
        <v/>
      </c>
    </row>
    <row r="2528" spans="19:19">
      <c r="S2528" s="1" t="str">
        <f t="shared" si="179"/>
        <v/>
      </c>
    </row>
    <row r="2529" spans="19:19">
      <c r="S2529" s="1" t="str">
        <f t="shared" si="179"/>
        <v/>
      </c>
    </row>
    <row r="2530" spans="19:19">
      <c r="S2530" s="1" t="str">
        <f t="shared" si="179"/>
        <v/>
      </c>
    </row>
    <row r="2531" spans="19:19">
      <c r="S2531" s="1" t="str">
        <f t="shared" si="179"/>
        <v/>
      </c>
    </row>
    <row r="2532" spans="19:19">
      <c r="S2532" s="1" t="str">
        <f t="shared" si="179"/>
        <v/>
      </c>
    </row>
    <row r="2533" spans="19:19">
      <c r="S2533" s="1" t="str">
        <f t="shared" ref="S2533:S2596" si="180">IF(O2533="innerText",I2533&amp;"="&amp;IF(C2533="Y",IF(J2533&lt;&gt;"Y",$S$8&amp;$R$9&amp;"."&amp;E2533&amp;")."&amp;IF(OR(O2533="click",O2533="innerText"),O2533&amp;"();",O2533&amp;"("&amp;$Q$8&amp;"."&amp;E2533&amp;");"),$S$7&amp;$R$9&amp;"."&amp;E2533&amp;")."&amp;IF(O2533="click",O2533&amp;"();",O2533&amp;"("&amp;"'"&amp;K2533&amp;"'"&amp;");")),""),IF(C2533="Y",IF(J2533&lt;&gt;"Y",$S$8&amp;$R$9&amp;"."&amp;E2533&amp;")."&amp;IF(OR(O2533="click",O2533="innerText"),O2533&amp;"();",O2533&amp;"("&amp;$Q$8&amp;"."&amp;E2533&amp;");"),$S$7&amp;$R$9&amp;"."&amp;E2533&amp;")."&amp;IF(O2533="click",O2533&amp;"();",O2533&amp;"("&amp;"'"&amp;K2533&amp;"'"&amp;");")),""))</f>
        <v/>
      </c>
    </row>
    <row r="2534" spans="19:19">
      <c r="S2534" s="1" t="str">
        <f t="shared" si="180"/>
        <v/>
      </c>
    </row>
    <row r="2535" spans="19:19">
      <c r="S2535" s="1" t="str">
        <f t="shared" si="180"/>
        <v/>
      </c>
    </row>
    <row r="2536" spans="19:19">
      <c r="S2536" s="1" t="str">
        <f t="shared" si="180"/>
        <v/>
      </c>
    </row>
    <row r="2537" spans="19:19">
      <c r="S2537" s="1" t="str">
        <f t="shared" si="180"/>
        <v/>
      </c>
    </row>
    <row r="2538" spans="19:19">
      <c r="S2538" s="1" t="str">
        <f t="shared" si="180"/>
        <v/>
      </c>
    </row>
    <row r="2539" spans="19:19">
      <c r="S2539" s="1" t="str">
        <f t="shared" si="180"/>
        <v/>
      </c>
    </row>
    <row r="2540" spans="19:19">
      <c r="S2540" s="1" t="str">
        <f t="shared" si="180"/>
        <v/>
      </c>
    </row>
    <row r="2541" spans="19:19">
      <c r="S2541" s="1" t="str">
        <f t="shared" si="180"/>
        <v/>
      </c>
    </row>
    <row r="2542" spans="19:19">
      <c r="S2542" s="1" t="str">
        <f t="shared" si="180"/>
        <v/>
      </c>
    </row>
    <row r="2543" spans="19:19">
      <c r="S2543" s="1" t="str">
        <f t="shared" si="180"/>
        <v/>
      </c>
    </row>
    <row r="2544" spans="19:19">
      <c r="S2544" s="1" t="str">
        <f t="shared" si="180"/>
        <v/>
      </c>
    </row>
    <row r="2545" spans="19:19">
      <c r="S2545" s="1" t="str">
        <f t="shared" si="180"/>
        <v/>
      </c>
    </row>
    <row r="2546" spans="19:19">
      <c r="S2546" s="1" t="str">
        <f t="shared" si="180"/>
        <v/>
      </c>
    </row>
    <row r="2547" spans="19:19">
      <c r="S2547" s="1" t="str">
        <f t="shared" si="180"/>
        <v/>
      </c>
    </row>
    <row r="2548" spans="19:19">
      <c r="S2548" s="1" t="str">
        <f t="shared" si="180"/>
        <v/>
      </c>
    </row>
    <row r="2549" spans="19:19">
      <c r="S2549" s="1" t="str">
        <f t="shared" si="180"/>
        <v/>
      </c>
    </row>
    <row r="2550" spans="19:19">
      <c r="S2550" s="1" t="str">
        <f t="shared" si="180"/>
        <v/>
      </c>
    </row>
    <row r="2551" spans="19:19">
      <c r="S2551" s="1" t="str">
        <f t="shared" si="180"/>
        <v/>
      </c>
    </row>
    <row r="2552" spans="19:19">
      <c r="S2552" s="1" t="str">
        <f t="shared" si="180"/>
        <v/>
      </c>
    </row>
    <row r="2553" spans="19:19">
      <c r="S2553" s="1" t="str">
        <f t="shared" si="180"/>
        <v/>
      </c>
    </row>
    <row r="2554" spans="19:19">
      <c r="S2554" s="1" t="str">
        <f t="shared" si="180"/>
        <v/>
      </c>
    </row>
    <row r="2555" spans="19:19">
      <c r="S2555" s="1" t="str">
        <f t="shared" si="180"/>
        <v/>
      </c>
    </row>
    <row r="2556" spans="19:19">
      <c r="S2556" s="1" t="str">
        <f t="shared" si="180"/>
        <v/>
      </c>
    </row>
    <row r="2557" spans="19:19">
      <c r="S2557" s="1" t="str">
        <f t="shared" si="180"/>
        <v/>
      </c>
    </row>
    <row r="2558" spans="19:19">
      <c r="S2558" s="1" t="str">
        <f t="shared" si="180"/>
        <v/>
      </c>
    </row>
    <row r="2559" spans="19:19">
      <c r="S2559" s="1" t="str">
        <f t="shared" si="180"/>
        <v/>
      </c>
    </row>
    <row r="2560" spans="19:19">
      <c r="S2560" s="1" t="str">
        <f t="shared" si="180"/>
        <v/>
      </c>
    </row>
    <row r="2561" spans="19:19">
      <c r="S2561" s="1" t="str">
        <f t="shared" si="180"/>
        <v/>
      </c>
    </row>
    <row r="2562" spans="19:19">
      <c r="S2562" s="1" t="str">
        <f t="shared" si="180"/>
        <v/>
      </c>
    </row>
    <row r="2563" spans="19:19">
      <c r="S2563" s="1" t="str">
        <f t="shared" si="180"/>
        <v/>
      </c>
    </row>
    <row r="2564" spans="19:19">
      <c r="S2564" s="1" t="str">
        <f t="shared" si="180"/>
        <v/>
      </c>
    </row>
    <row r="2565" spans="19:19">
      <c r="S2565" s="1" t="str">
        <f t="shared" si="180"/>
        <v/>
      </c>
    </row>
    <row r="2566" spans="19:19">
      <c r="S2566" s="1" t="str">
        <f t="shared" si="180"/>
        <v/>
      </c>
    </row>
    <row r="2567" spans="19:19">
      <c r="S2567" s="1" t="str">
        <f t="shared" si="180"/>
        <v/>
      </c>
    </row>
    <row r="2568" spans="19:19">
      <c r="S2568" s="1" t="str">
        <f t="shared" si="180"/>
        <v/>
      </c>
    </row>
    <row r="2569" spans="19:19">
      <c r="S2569" s="1" t="str">
        <f t="shared" si="180"/>
        <v/>
      </c>
    </row>
    <row r="2570" spans="19:19">
      <c r="S2570" s="1" t="str">
        <f t="shared" si="180"/>
        <v/>
      </c>
    </row>
    <row r="2571" spans="19:19">
      <c r="S2571" s="1" t="str">
        <f t="shared" si="180"/>
        <v/>
      </c>
    </row>
    <row r="2572" spans="19:19">
      <c r="S2572" s="1" t="str">
        <f t="shared" si="180"/>
        <v/>
      </c>
    </row>
    <row r="2573" spans="19:19">
      <c r="S2573" s="1" t="str">
        <f t="shared" si="180"/>
        <v/>
      </c>
    </row>
    <row r="2574" spans="19:19">
      <c r="S2574" s="1" t="str">
        <f t="shared" si="180"/>
        <v/>
      </c>
    </row>
    <row r="2575" spans="19:19">
      <c r="S2575" s="1" t="str">
        <f t="shared" si="180"/>
        <v/>
      </c>
    </row>
    <row r="2576" spans="19:19">
      <c r="S2576" s="1" t="str">
        <f t="shared" si="180"/>
        <v/>
      </c>
    </row>
    <row r="2577" spans="19:19">
      <c r="S2577" s="1" t="str">
        <f t="shared" si="180"/>
        <v/>
      </c>
    </row>
    <row r="2578" spans="19:19">
      <c r="S2578" s="1" t="str">
        <f t="shared" si="180"/>
        <v/>
      </c>
    </row>
    <row r="2579" spans="19:19">
      <c r="S2579" s="1" t="str">
        <f t="shared" si="180"/>
        <v/>
      </c>
    </row>
    <row r="2580" spans="19:19">
      <c r="S2580" s="1" t="str">
        <f t="shared" si="180"/>
        <v/>
      </c>
    </row>
    <row r="2581" spans="19:19">
      <c r="S2581" s="1" t="str">
        <f t="shared" si="180"/>
        <v/>
      </c>
    </row>
    <row r="2582" spans="19:19">
      <c r="S2582" s="1" t="str">
        <f t="shared" si="180"/>
        <v/>
      </c>
    </row>
    <row r="2583" spans="19:19">
      <c r="S2583" s="1" t="str">
        <f t="shared" si="180"/>
        <v/>
      </c>
    </row>
    <row r="2584" spans="19:19">
      <c r="S2584" s="1" t="str">
        <f t="shared" si="180"/>
        <v/>
      </c>
    </row>
    <row r="2585" spans="19:19">
      <c r="S2585" s="1" t="str">
        <f t="shared" si="180"/>
        <v/>
      </c>
    </row>
    <row r="2586" spans="19:19">
      <c r="S2586" s="1" t="str">
        <f t="shared" si="180"/>
        <v/>
      </c>
    </row>
    <row r="2587" spans="19:19">
      <c r="S2587" s="1" t="str">
        <f t="shared" si="180"/>
        <v/>
      </c>
    </row>
    <row r="2588" spans="19:19">
      <c r="S2588" s="1" t="str">
        <f t="shared" si="180"/>
        <v/>
      </c>
    </row>
    <row r="2589" spans="19:19">
      <c r="S2589" s="1" t="str">
        <f t="shared" si="180"/>
        <v/>
      </c>
    </row>
    <row r="2590" spans="19:19">
      <c r="S2590" s="1" t="str">
        <f t="shared" si="180"/>
        <v/>
      </c>
    </row>
    <row r="2591" spans="19:19">
      <c r="S2591" s="1" t="str">
        <f t="shared" si="180"/>
        <v/>
      </c>
    </row>
    <row r="2592" spans="19:19">
      <c r="S2592" s="1" t="str">
        <f t="shared" si="180"/>
        <v/>
      </c>
    </row>
    <row r="2593" spans="19:19">
      <c r="S2593" s="1" t="str">
        <f t="shared" si="180"/>
        <v/>
      </c>
    </row>
    <row r="2594" spans="19:19">
      <c r="S2594" s="1" t="str">
        <f t="shared" si="180"/>
        <v/>
      </c>
    </row>
    <row r="2595" spans="19:19">
      <c r="S2595" s="1" t="str">
        <f t="shared" si="180"/>
        <v/>
      </c>
    </row>
    <row r="2596" spans="19:19">
      <c r="S2596" s="1" t="str">
        <f t="shared" si="180"/>
        <v/>
      </c>
    </row>
    <row r="2597" spans="19:19">
      <c r="S2597" s="1" t="str">
        <f t="shared" ref="S2597:S2660" si="181">IF(O2597="innerText",I2597&amp;"="&amp;IF(C2597="Y",IF(J2597&lt;&gt;"Y",$S$8&amp;$R$9&amp;"."&amp;E2597&amp;")."&amp;IF(OR(O2597="click",O2597="innerText"),O2597&amp;"();",O2597&amp;"("&amp;$Q$8&amp;"."&amp;E2597&amp;");"),$S$7&amp;$R$9&amp;"."&amp;E2597&amp;")."&amp;IF(O2597="click",O2597&amp;"();",O2597&amp;"("&amp;"'"&amp;K2597&amp;"'"&amp;");")),""),IF(C2597="Y",IF(J2597&lt;&gt;"Y",$S$8&amp;$R$9&amp;"."&amp;E2597&amp;")."&amp;IF(OR(O2597="click",O2597="innerText"),O2597&amp;"();",O2597&amp;"("&amp;$Q$8&amp;"."&amp;E2597&amp;");"),$S$7&amp;$R$9&amp;"."&amp;E2597&amp;")."&amp;IF(O2597="click",O2597&amp;"();",O2597&amp;"("&amp;"'"&amp;K2597&amp;"'"&amp;");")),""))</f>
        <v/>
      </c>
    </row>
    <row r="2598" spans="19:19">
      <c r="S2598" s="1" t="str">
        <f t="shared" si="181"/>
        <v/>
      </c>
    </row>
    <row r="2599" spans="19:19">
      <c r="S2599" s="1" t="str">
        <f t="shared" si="181"/>
        <v/>
      </c>
    </row>
    <row r="2600" spans="19:19">
      <c r="S2600" s="1" t="str">
        <f t="shared" si="181"/>
        <v/>
      </c>
    </row>
    <row r="2601" spans="19:19">
      <c r="S2601" s="1" t="str">
        <f t="shared" si="181"/>
        <v/>
      </c>
    </row>
    <row r="2602" spans="19:19">
      <c r="S2602" s="1" t="str">
        <f t="shared" si="181"/>
        <v/>
      </c>
    </row>
    <row r="2603" spans="19:19">
      <c r="S2603" s="1" t="str">
        <f t="shared" si="181"/>
        <v/>
      </c>
    </row>
    <row r="2604" spans="19:19">
      <c r="S2604" s="1" t="str">
        <f t="shared" si="181"/>
        <v/>
      </c>
    </row>
    <row r="2605" spans="19:19">
      <c r="S2605" s="1" t="str">
        <f t="shared" si="181"/>
        <v/>
      </c>
    </row>
    <row r="2606" spans="19:19">
      <c r="S2606" s="1" t="str">
        <f t="shared" si="181"/>
        <v/>
      </c>
    </row>
    <row r="2607" spans="19:19">
      <c r="S2607" s="1" t="str">
        <f t="shared" si="181"/>
        <v/>
      </c>
    </row>
    <row r="2608" spans="19:19">
      <c r="S2608" s="1" t="str">
        <f t="shared" si="181"/>
        <v/>
      </c>
    </row>
    <row r="2609" spans="19:19">
      <c r="S2609" s="1" t="str">
        <f t="shared" si="181"/>
        <v/>
      </c>
    </row>
    <row r="2610" spans="19:19">
      <c r="S2610" s="1" t="str">
        <f t="shared" si="181"/>
        <v/>
      </c>
    </row>
    <row r="2611" spans="19:19">
      <c r="S2611" s="1" t="str">
        <f t="shared" si="181"/>
        <v/>
      </c>
    </row>
    <row r="2612" spans="19:19">
      <c r="S2612" s="1" t="str">
        <f t="shared" si="181"/>
        <v/>
      </c>
    </row>
    <row r="2613" spans="19:19">
      <c r="S2613" s="1" t="str">
        <f t="shared" si="181"/>
        <v/>
      </c>
    </row>
    <row r="2614" spans="19:19">
      <c r="S2614" s="1" t="str">
        <f t="shared" si="181"/>
        <v/>
      </c>
    </row>
    <row r="2615" spans="19:19">
      <c r="S2615" s="1" t="str">
        <f t="shared" si="181"/>
        <v/>
      </c>
    </row>
    <row r="2616" spans="19:19">
      <c r="S2616" s="1" t="str">
        <f t="shared" si="181"/>
        <v/>
      </c>
    </row>
    <row r="2617" spans="19:19">
      <c r="S2617" s="1" t="str">
        <f t="shared" si="181"/>
        <v/>
      </c>
    </row>
    <row r="2618" spans="19:19">
      <c r="S2618" s="1" t="str">
        <f t="shared" si="181"/>
        <v/>
      </c>
    </row>
    <row r="2619" spans="19:19">
      <c r="S2619" s="1" t="str">
        <f t="shared" si="181"/>
        <v/>
      </c>
    </row>
    <row r="2620" spans="19:19">
      <c r="S2620" s="1" t="str">
        <f t="shared" si="181"/>
        <v/>
      </c>
    </row>
    <row r="2621" spans="19:19">
      <c r="S2621" s="1" t="str">
        <f t="shared" si="181"/>
        <v/>
      </c>
    </row>
    <row r="2622" spans="19:19">
      <c r="S2622" s="1" t="str">
        <f t="shared" si="181"/>
        <v/>
      </c>
    </row>
    <row r="2623" spans="19:19">
      <c r="S2623" s="1" t="str">
        <f t="shared" si="181"/>
        <v/>
      </c>
    </row>
    <row r="2624" spans="19:19">
      <c r="S2624" s="1" t="str">
        <f t="shared" si="181"/>
        <v/>
      </c>
    </row>
    <row r="2625" spans="19:19">
      <c r="S2625" s="1" t="str">
        <f t="shared" si="181"/>
        <v/>
      </c>
    </row>
    <row r="2626" spans="19:19">
      <c r="S2626" s="1" t="str">
        <f t="shared" si="181"/>
        <v/>
      </c>
    </row>
    <row r="2627" spans="19:19">
      <c r="S2627" s="1" t="str">
        <f t="shared" si="181"/>
        <v/>
      </c>
    </row>
    <row r="2628" spans="19:19">
      <c r="S2628" s="1" t="str">
        <f t="shared" si="181"/>
        <v/>
      </c>
    </row>
    <row r="2629" spans="19:19">
      <c r="S2629" s="1" t="str">
        <f t="shared" si="181"/>
        <v/>
      </c>
    </row>
    <row r="2630" spans="19:19">
      <c r="S2630" s="1" t="str">
        <f t="shared" si="181"/>
        <v/>
      </c>
    </row>
    <row r="2631" spans="19:19">
      <c r="S2631" s="1" t="str">
        <f t="shared" si="181"/>
        <v/>
      </c>
    </row>
    <row r="2632" spans="19:19">
      <c r="S2632" s="1" t="str">
        <f t="shared" si="181"/>
        <v/>
      </c>
    </row>
    <row r="2633" spans="19:19">
      <c r="S2633" s="1" t="str">
        <f t="shared" si="181"/>
        <v/>
      </c>
    </row>
    <row r="2634" spans="19:19">
      <c r="S2634" s="1" t="str">
        <f t="shared" si="181"/>
        <v/>
      </c>
    </row>
    <row r="2635" spans="19:19">
      <c r="S2635" s="1" t="str">
        <f t="shared" si="181"/>
        <v/>
      </c>
    </row>
    <row r="2636" spans="19:19">
      <c r="S2636" s="1" t="str">
        <f t="shared" si="181"/>
        <v/>
      </c>
    </row>
    <row r="2637" spans="19:19">
      <c r="S2637" s="1" t="str">
        <f t="shared" si="181"/>
        <v/>
      </c>
    </row>
    <row r="2638" spans="19:19">
      <c r="S2638" s="1" t="str">
        <f t="shared" si="181"/>
        <v/>
      </c>
    </row>
    <row r="2639" spans="19:19">
      <c r="S2639" s="1" t="str">
        <f t="shared" si="181"/>
        <v/>
      </c>
    </row>
    <row r="2640" spans="19:19">
      <c r="S2640" s="1" t="str">
        <f t="shared" si="181"/>
        <v/>
      </c>
    </row>
    <row r="2641" spans="19:19">
      <c r="S2641" s="1" t="str">
        <f t="shared" si="181"/>
        <v/>
      </c>
    </row>
    <row r="2642" spans="19:19">
      <c r="S2642" s="1" t="str">
        <f t="shared" si="181"/>
        <v/>
      </c>
    </row>
    <row r="2643" spans="19:19">
      <c r="S2643" s="1" t="str">
        <f t="shared" si="181"/>
        <v/>
      </c>
    </row>
    <row r="2644" spans="19:19">
      <c r="S2644" s="1" t="str">
        <f t="shared" si="181"/>
        <v/>
      </c>
    </row>
    <row r="2645" spans="19:19">
      <c r="S2645" s="1" t="str">
        <f t="shared" si="181"/>
        <v/>
      </c>
    </row>
    <row r="2646" spans="19:19">
      <c r="S2646" s="1" t="str">
        <f t="shared" si="181"/>
        <v/>
      </c>
    </row>
    <row r="2647" spans="19:19">
      <c r="S2647" s="1" t="str">
        <f t="shared" si="181"/>
        <v/>
      </c>
    </row>
    <row r="2648" spans="19:19">
      <c r="S2648" s="1" t="str">
        <f t="shared" si="181"/>
        <v/>
      </c>
    </row>
    <row r="2649" spans="19:19">
      <c r="S2649" s="1" t="str">
        <f t="shared" si="181"/>
        <v/>
      </c>
    </row>
    <row r="2650" spans="19:19">
      <c r="S2650" s="1" t="str">
        <f t="shared" si="181"/>
        <v/>
      </c>
    </row>
    <row r="2651" spans="19:19">
      <c r="S2651" s="1" t="str">
        <f t="shared" si="181"/>
        <v/>
      </c>
    </row>
    <row r="2652" spans="19:19">
      <c r="S2652" s="1" t="str">
        <f t="shared" si="181"/>
        <v/>
      </c>
    </row>
    <row r="2653" spans="19:19">
      <c r="S2653" s="1" t="str">
        <f t="shared" si="181"/>
        <v/>
      </c>
    </row>
    <row r="2654" spans="19:19">
      <c r="S2654" s="1" t="str">
        <f t="shared" si="181"/>
        <v/>
      </c>
    </row>
    <row r="2655" spans="19:19">
      <c r="S2655" s="1" t="str">
        <f t="shared" si="181"/>
        <v/>
      </c>
    </row>
    <row r="2656" spans="19:19">
      <c r="S2656" s="1" t="str">
        <f t="shared" si="181"/>
        <v/>
      </c>
    </row>
    <row r="2657" spans="19:19">
      <c r="S2657" s="1" t="str">
        <f t="shared" si="181"/>
        <v/>
      </c>
    </row>
    <row r="2658" spans="19:19">
      <c r="S2658" s="1" t="str">
        <f t="shared" si="181"/>
        <v/>
      </c>
    </row>
    <row r="2659" spans="19:19">
      <c r="S2659" s="1" t="str">
        <f t="shared" si="181"/>
        <v/>
      </c>
    </row>
    <row r="2660" spans="19:19">
      <c r="S2660" s="1" t="str">
        <f t="shared" si="181"/>
        <v/>
      </c>
    </row>
    <row r="2661" spans="19:19">
      <c r="S2661" s="1" t="str">
        <f t="shared" ref="S2661:S2724" si="182">IF(O2661="innerText",I2661&amp;"="&amp;IF(C2661="Y",IF(J2661&lt;&gt;"Y",$S$8&amp;$R$9&amp;"."&amp;E2661&amp;")."&amp;IF(OR(O2661="click",O2661="innerText"),O2661&amp;"();",O2661&amp;"("&amp;$Q$8&amp;"."&amp;E2661&amp;");"),$S$7&amp;$R$9&amp;"."&amp;E2661&amp;")."&amp;IF(O2661="click",O2661&amp;"();",O2661&amp;"("&amp;"'"&amp;K2661&amp;"'"&amp;");")),""),IF(C2661="Y",IF(J2661&lt;&gt;"Y",$S$8&amp;$R$9&amp;"."&amp;E2661&amp;")."&amp;IF(OR(O2661="click",O2661="innerText"),O2661&amp;"();",O2661&amp;"("&amp;$Q$8&amp;"."&amp;E2661&amp;");"),$S$7&amp;$R$9&amp;"."&amp;E2661&amp;")."&amp;IF(O2661="click",O2661&amp;"();",O2661&amp;"("&amp;"'"&amp;K2661&amp;"'"&amp;");")),""))</f>
        <v/>
      </c>
    </row>
    <row r="2662" spans="19:19">
      <c r="S2662" s="1" t="str">
        <f t="shared" si="182"/>
        <v/>
      </c>
    </row>
    <row r="2663" spans="19:19">
      <c r="S2663" s="1" t="str">
        <f t="shared" si="182"/>
        <v/>
      </c>
    </row>
    <row r="2664" spans="19:19">
      <c r="S2664" s="1" t="str">
        <f t="shared" si="182"/>
        <v/>
      </c>
    </row>
    <row r="2665" spans="19:19">
      <c r="S2665" s="1" t="str">
        <f t="shared" si="182"/>
        <v/>
      </c>
    </row>
    <row r="2666" spans="19:19">
      <c r="S2666" s="1" t="str">
        <f t="shared" si="182"/>
        <v/>
      </c>
    </row>
    <row r="2667" spans="19:19">
      <c r="S2667" s="1" t="str">
        <f t="shared" si="182"/>
        <v/>
      </c>
    </row>
    <row r="2668" spans="19:19">
      <c r="S2668" s="1" t="str">
        <f t="shared" si="182"/>
        <v/>
      </c>
    </row>
    <row r="2669" spans="19:19">
      <c r="S2669" s="1" t="str">
        <f t="shared" si="182"/>
        <v/>
      </c>
    </row>
    <row r="2670" spans="19:19">
      <c r="S2670" s="1" t="str">
        <f t="shared" si="182"/>
        <v/>
      </c>
    </row>
    <row r="2671" spans="19:19">
      <c r="S2671" s="1" t="str">
        <f t="shared" si="182"/>
        <v/>
      </c>
    </row>
    <row r="2672" spans="19:19">
      <c r="S2672" s="1" t="str">
        <f t="shared" si="182"/>
        <v/>
      </c>
    </row>
    <row r="2673" spans="19:19">
      <c r="S2673" s="1" t="str">
        <f t="shared" si="182"/>
        <v/>
      </c>
    </row>
    <row r="2674" spans="19:19">
      <c r="S2674" s="1" t="str">
        <f t="shared" si="182"/>
        <v/>
      </c>
    </row>
    <row r="2675" spans="19:19">
      <c r="S2675" s="1" t="str">
        <f t="shared" si="182"/>
        <v/>
      </c>
    </row>
    <row r="2676" spans="19:19">
      <c r="S2676" s="1" t="str">
        <f t="shared" si="182"/>
        <v/>
      </c>
    </row>
    <row r="2677" spans="19:19">
      <c r="S2677" s="1" t="str">
        <f t="shared" si="182"/>
        <v/>
      </c>
    </row>
    <row r="2678" spans="19:19">
      <c r="S2678" s="1" t="str">
        <f t="shared" si="182"/>
        <v/>
      </c>
    </row>
    <row r="2679" spans="19:19">
      <c r="S2679" s="1" t="str">
        <f t="shared" si="182"/>
        <v/>
      </c>
    </row>
    <row r="2680" spans="19:19">
      <c r="S2680" s="1" t="str">
        <f t="shared" si="182"/>
        <v/>
      </c>
    </row>
    <row r="2681" spans="19:19">
      <c r="S2681" s="1" t="str">
        <f t="shared" si="182"/>
        <v/>
      </c>
    </row>
    <row r="2682" spans="19:19">
      <c r="S2682" s="1" t="str">
        <f t="shared" si="182"/>
        <v/>
      </c>
    </row>
    <row r="2683" spans="19:19">
      <c r="S2683" s="1" t="str">
        <f t="shared" si="182"/>
        <v/>
      </c>
    </row>
    <row r="2684" spans="19:19">
      <c r="S2684" s="1" t="str">
        <f t="shared" si="182"/>
        <v/>
      </c>
    </row>
    <row r="2685" spans="19:19">
      <c r="S2685" s="1" t="str">
        <f t="shared" si="182"/>
        <v/>
      </c>
    </row>
    <row r="2686" spans="19:19">
      <c r="S2686" s="1" t="str">
        <f t="shared" si="182"/>
        <v/>
      </c>
    </row>
    <row r="2687" spans="19:19">
      <c r="S2687" s="1" t="str">
        <f t="shared" si="182"/>
        <v/>
      </c>
    </row>
    <row r="2688" spans="19:19">
      <c r="S2688" s="1" t="str">
        <f t="shared" si="182"/>
        <v/>
      </c>
    </row>
    <row r="2689" spans="19:19">
      <c r="S2689" s="1" t="str">
        <f t="shared" si="182"/>
        <v/>
      </c>
    </row>
    <row r="2690" spans="19:19">
      <c r="S2690" s="1" t="str">
        <f t="shared" si="182"/>
        <v/>
      </c>
    </row>
    <row r="2691" spans="19:19">
      <c r="S2691" s="1" t="str">
        <f t="shared" si="182"/>
        <v/>
      </c>
    </row>
    <row r="2692" spans="19:19">
      <c r="S2692" s="1" t="str">
        <f t="shared" si="182"/>
        <v/>
      </c>
    </row>
    <row r="2693" spans="19:19">
      <c r="S2693" s="1" t="str">
        <f t="shared" si="182"/>
        <v/>
      </c>
    </row>
    <row r="2694" spans="19:19">
      <c r="S2694" s="1" t="str">
        <f t="shared" si="182"/>
        <v/>
      </c>
    </row>
    <row r="2695" spans="19:19">
      <c r="S2695" s="1" t="str">
        <f t="shared" si="182"/>
        <v/>
      </c>
    </row>
    <row r="2696" spans="19:19">
      <c r="S2696" s="1" t="str">
        <f t="shared" si="182"/>
        <v/>
      </c>
    </row>
    <row r="2697" spans="19:19">
      <c r="S2697" s="1" t="str">
        <f t="shared" si="182"/>
        <v/>
      </c>
    </row>
    <row r="2698" spans="19:19">
      <c r="S2698" s="1" t="str">
        <f t="shared" si="182"/>
        <v/>
      </c>
    </row>
    <row r="2699" spans="19:19">
      <c r="S2699" s="1" t="str">
        <f t="shared" si="182"/>
        <v/>
      </c>
    </row>
    <row r="2700" spans="19:19">
      <c r="S2700" s="1" t="str">
        <f t="shared" si="182"/>
        <v/>
      </c>
    </row>
    <row r="2701" spans="19:19">
      <c r="S2701" s="1" t="str">
        <f t="shared" si="182"/>
        <v/>
      </c>
    </row>
    <row r="2702" spans="19:19">
      <c r="S2702" s="1" t="str">
        <f t="shared" si="182"/>
        <v/>
      </c>
    </row>
    <row r="2703" spans="19:19">
      <c r="S2703" s="1" t="str">
        <f t="shared" si="182"/>
        <v/>
      </c>
    </row>
    <row r="2704" spans="19:19">
      <c r="S2704" s="1" t="str">
        <f t="shared" si="182"/>
        <v/>
      </c>
    </row>
    <row r="2705" spans="19:19">
      <c r="S2705" s="1" t="str">
        <f t="shared" si="182"/>
        <v/>
      </c>
    </row>
    <row r="2706" spans="19:19">
      <c r="S2706" s="1" t="str">
        <f t="shared" si="182"/>
        <v/>
      </c>
    </row>
    <row r="2707" spans="19:19">
      <c r="S2707" s="1" t="str">
        <f t="shared" si="182"/>
        <v/>
      </c>
    </row>
    <row r="2708" spans="19:19">
      <c r="S2708" s="1" t="str">
        <f t="shared" si="182"/>
        <v/>
      </c>
    </row>
    <row r="2709" spans="19:19">
      <c r="S2709" s="1" t="str">
        <f t="shared" si="182"/>
        <v/>
      </c>
    </row>
    <row r="2710" spans="19:19">
      <c r="S2710" s="1" t="str">
        <f t="shared" si="182"/>
        <v/>
      </c>
    </row>
    <row r="2711" spans="19:19">
      <c r="S2711" s="1" t="str">
        <f t="shared" si="182"/>
        <v/>
      </c>
    </row>
    <row r="2712" spans="19:19">
      <c r="S2712" s="1" t="str">
        <f t="shared" si="182"/>
        <v/>
      </c>
    </row>
    <row r="2713" spans="19:19">
      <c r="S2713" s="1" t="str">
        <f t="shared" si="182"/>
        <v/>
      </c>
    </row>
    <row r="2714" spans="19:19">
      <c r="S2714" s="1" t="str">
        <f t="shared" si="182"/>
        <v/>
      </c>
    </row>
    <row r="2715" spans="19:19">
      <c r="S2715" s="1" t="str">
        <f t="shared" si="182"/>
        <v/>
      </c>
    </row>
    <row r="2716" spans="19:19">
      <c r="S2716" s="1" t="str">
        <f t="shared" si="182"/>
        <v/>
      </c>
    </row>
    <row r="2717" spans="19:19">
      <c r="S2717" s="1" t="str">
        <f t="shared" si="182"/>
        <v/>
      </c>
    </row>
    <row r="2718" spans="19:19">
      <c r="S2718" s="1" t="str">
        <f t="shared" si="182"/>
        <v/>
      </c>
    </row>
    <row r="2719" spans="19:19">
      <c r="S2719" s="1" t="str">
        <f t="shared" si="182"/>
        <v/>
      </c>
    </row>
    <row r="2720" spans="19:19">
      <c r="S2720" s="1" t="str">
        <f t="shared" si="182"/>
        <v/>
      </c>
    </row>
    <row r="2721" spans="19:19">
      <c r="S2721" s="1" t="str">
        <f t="shared" si="182"/>
        <v/>
      </c>
    </row>
    <row r="2722" spans="19:19">
      <c r="S2722" s="1" t="str">
        <f t="shared" si="182"/>
        <v/>
      </c>
    </row>
    <row r="2723" spans="19:19">
      <c r="S2723" s="1" t="str">
        <f t="shared" si="182"/>
        <v/>
      </c>
    </row>
    <row r="2724" spans="19:19">
      <c r="S2724" s="1" t="str">
        <f t="shared" si="182"/>
        <v/>
      </c>
    </row>
    <row r="2725" spans="19:19">
      <c r="S2725" s="1" t="str">
        <f t="shared" ref="S2725:S2788" si="183">IF(O2725="innerText",I2725&amp;"="&amp;IF(C2725="Y",IF(J2725&lt;&gt;"Y",$S$8&amp;$R$9&amp;"."&amp;E2725&amp;")."&amp;IF(OR(O2725="click",O2725="innerText"),O2725&amp;"();",O2725&amp;"("&amp;$Q$8&amp;"."&amp;E2725&amp;");"),$S$7&amp;$R$9&amp;"."&amp;E2725&amp;")."&amp;IF(O2725="click",O2725&amp;"();",O2725&amp;"("&amp;"'"&amp;K2725&amp;"'"&amp;");")),""),IF(C2725="Y",IF(J2725&lt;&gt;"Y",$S$8&amp;$R$9&amp;"."&amp;E2725&amp;")."&amp;IF(OR(O2725="click",O2725="innerText"),O2725&amp;"();",O2725&amp;"("&amp;$Q$8&amp;"."&amp;E2725&amp;");"),$S$7&amp;$R$9&amp;"."&amp;E2725&amp;")."&amp;IF(O2725="click",O2725&amp;"();",O2725&amp;"("&amp;"'"&amp;K2725&amp;"'"&amp;");")),""))</f>
        <v/>
      </c>
    </row>
    <row r="2726" spans="19:19">
      <c r="S2726" s="1" t="str">
        <f t="shared" si="183"/>
        <v/>
      </c>
    </row>
    <row r="2727" spans="19:19">
      <c r="S2727" s="1" t="str">
        <f t="shared" si="183"/>
        <v/>
      </c>
    </row>
    <row r="2728" spans="19:19">
      <c r="S2728" s="1" t="str">
        <f t="shared" si="183"/>
        <v/>
      </c>
    </row>
    <row r="2729" spans="19:19">
      <c r="S2729" s="1" t="str">
        <f t="shared" si="183"/>
        <v/>
      </c>
    </row>
    <row r="2730" spans="19:19">
      <c r="S2730" s="1" t="str">
        <f t="shared" si="183"/>
        <v/>
      </c>
    </row>
    <row r="2731" spans="19:19">
      <c r="S2731" s="1" t="str">
        <f t="shared" si="183"/>
        <v/>
      </c>
    </row>
    <row r="2732" spans="19:19">
      <c r="S2732" s="1" t="str">
        <f t="shared" si="183"/>
        <v/>
      </c>
    </row>
    <row r="2733" spans="19:19">
      <c r="S2733" s="1" t="str">
        <f t="shared" si="183"/>
        <v/>
      </c>
    </row>
    <row r="2734" spans="19:19">
      <c r="S2734" s="1" t="str">
        <f t="shared" si="183"/>
        <v/>
      </c>
    </row>
    <row r="2735" spans="19:19">
      <c r="S2735" s="1" t="str">
        <f t="shared" si="183"/>
        <v/>
      </c>
    </row>
    <row r="2736" spans="19:19">
      <c r="S2736" s="1" t="str">
        <f t="shared" si="183"/>
        <v/>
      </c>
    </row>
    <row r="2737" spans="19:19">
      <c r="S2737" s="1" t="str">
        <f t="shared" si="183"/>
        <v/>
      </c>
    </row>
    <row r="2738" spans="19:19">
      <c r="S2738" s="1" t="str">
        <f t="shared" si="183"/>
        <v/>
      </c>
    </row>
    <row r="2739" spans="19:19">
      <c r="S2739" s="1" t="str">
        <f t="shared" si="183"/>
        <v/>
      </c>
    </row>
    <row r="2740" spans="19:19">
      <c r="S2740" s="1" t="str">
        <f t="shared" si="183"/>
        <v/>
      </c>
    </row>
    <row r="2741" spans="19:19">
      <c r="S2741" s="1" t="str">
        <f t="shared" si="183"/>
        <v/>
      </c>
    </row>
    <row r="2742" spans="19:19">
      <c r="S2742" s="1" t="str">
        <f t="shared" si="183"/>
        <v/>
      </c>
    </row>
    <row r="2743" spans="19:19">
      <c r="S2743" s="1" t="str">
        <f t="shared" si="183"/>
        <v/>
      </c>
    </row>
    <row r="2744" spans="19:19">
      <c r="S2744" s="1" t="str">
        <f t="shared" si="183"/>
        <v/>
      </c>
    </row>
    <row r="2745" spans="19:19">
      <c r="S2745" s="1" t="str">
        <f t="shared" si="183"/>
        <v/>
      </c>
    </row>
    <row r="2746" spans="19:19">
      <c r="S2746" s="1" t="str">
        <f t="shared" si="183"/>
        <v/>
      </c>
    </row>
    <row r="2747" spans="19:19">
      <c r="S2747" s="1" t="str">
        <f t="shared" si="183"/>
        <v/>
      </c>
    </row>
    <row r="2748" spans="19:19">
      <c r="S2748" s="1" t="str">
        <f t="shared" si="183"/>
        <v/>
      </c>
    </row>
    <row r="2749" spans="19:19">
      <c r="S2749" s="1" t="str">
        <f t="shared" si="183"/>
        <v/>
      </c>
    </row>
    <row r="2750" spans="19:19">
      <c r="S2750" s="1" t="str">
        <f t="shared" si="183"/>
        <v/>
      </c>
    </row>
    <row r="2751" spans="19:19">
      <c r="S2751" s="1" t="str">
        <f t="shared" si="183"/>
        <v/>
      </c>
    </row>
    <row r="2752" spans="19:19">
      <c r="S2752" s="1" t="str">
        <f t="shared" si="183"/>
        <v/>
      </c>
    </row>
    <row r="2753" spans="19:19">
      <c r="S2753" s="1" t="str">
        <f t="shared" si="183"/>
        <v/>
      </c>
    </row>
    <row r="2754" spans="19:19">
      <c r="S2754" s="1" t="str">
        <f t="shared" si="183"/>
        <v/>
      </c>
    </row>
    <row r="2755" spans="19:19">
      <c r="S2755" s="1" t="str">
        <f t="shared" si="183"/>
        <v/>
      </c>
    </row>
    <row r="2756" spans="19:19">
      <c r="S2756" s="1" t="str">
        <f t="shared" si="183"/>
        <v/>
      </c>
    </row>
    <row r="2757" spans="19:19">
      <c r="S2757" s="1" t="str">
        <f t="shared" si="183"/>
        <v/>
      </c>
    </row>
    <row r="2758" spans="19:19">
      <c r="S2758" s="1" t="str">
        <f t="shared" si="183"/>
        <v/>
      </c>
    </row>
    <row r="2759" spans="19:19">
      <c r="S2759" s="1" t="str">
        <f t="shared" si="183"/>
        <v/>
      </c>
    </row>
    <row r="2760" spans="19:19">
      <c r="S2760" s="1" t="str">
        <f t="shared" si="183"/>
        <v/>
      </c>
    </row>
    <row r="2761" spans="19:19">
      <c r="S2761" s="1" t="str">
        <f t="shared" si="183"/>
        <v/>
      </c>
    </row>
    <row r="2762" spans="19:19">
      <c r="S2762" s="1" t="str">
        <f t="shared" si="183"/>
        <v/>
      </c>
    </row>
    <row r="2763" spans="19:19">
      <c r="S2763" s="1" t="str">
        <f t="shared" si="183"/>
        <v/>
      </c>
    </row>
    <row r="2764" spans="19:19">
      <c r="S2764" s="1" t="str">
        <f t="shared" si="183"/>
        <v/>
      </c>
    </row>
    <row r="2765" spans="19:19">
      <c r="S2765" s="1" t="str">
        <f t="shared" si="183"/>
        <v/>
      </c>
    </row>
    <row r="2766" spans="19:19">
      <c r="S2766" s="1" t="str">
        <f t="shared" si="183"/>
        <v/>
      </c>
    </row>
    <row r="2767" spans="19:19">
      <c r="S2767" s="1" t="str">
        <f t="shared" si="183"/>
        <v/>
      </c>
    </row>
    <row r="2768" spans="19:19">
      <c r="S2768" s="1" t="str">
        <f t="shared" si="183"/>
        <v/>
      </c>
    </row>
    <row r="2769" spans="19:19">
      <c r="S2769" s="1" t="str">
        <f t="shared" si="183"/>
        <v/>
      </c>
    </row>
    <row r="2770" spans="19:19">
      <c r="S2770" s="1" t="str">
        <f t="shared" si="183"/>
        <v/>
      </c>
    </row>
    <row r="2771" spans="19:19">
      <c r="S2771" s="1" t="str">
        <f t="shared" si="183"/>
        <v/>
      </c>
    </row>
    <row r="2772" spans="19:19">
      <c r="S2772" s="1" t="str">
        <f t="shared" si="183"/>
        <v/>
      </c>
    </row>
    <row r="2773" spans="19:19">
      <c r="S2773" s="1" t="str">
        <f t="shared" si="183"/>
        <v/>
      </c>
    </row>
    <row r="2774" spans="19:19">
      <c r="S2774" s="1" t="str">
        <f t="shared" si="183"/>
        <v/>
      </c>
    </row>
    <row r="2775" spans="19:19">
      <c r="S2775" s="1" t="str">
        <f t="shared" si="183"/>
        <v/>
      </c>
    </row>
    <row r="2776" spans="19:19">
      <c r="S2776" s="1" t="str">
        <f t="shared" si="183"/>
        <v/>
      </c>
    </row>
    <row r="2777" spans="19:19">
      <c r="S2777" s="1" t="str">
        <f t="shared" si="183"/>
        <v/>
      </c>
    </row>
    <row r="2778" spans="19:19">
      <c r="S2778" s="1" t="str">
        <f t="shared" si="183"/>
        <v/>
      </c>
    </row>
    <row r="2779" spans="19:19">
      <c r="S2779" s="1" t="str">
        <f t="shared" si="183"/>
        <v/>
      </c>
    </row>
    <row r="2780" spans="19:19">
      <c r="S2780" s="1" t="str">
        <f t="shared" si="183"/>
        <v/>
      </c>
    </row>
    <row r="2781" spans="19:19">
      <c r="S2781" s="1" t="str">
        <f t="shared" si="183"/>
        <v/>
      </c>
    </row>
    <row r="2782" spans="19:19">
      <c r="S2782" s="1" t="str">
        <f t="shared" si="183"/>
        <v/>
      </c>
    </row>
    <row r="2783" spans="19:19">
      <c r="S2783" s="1" t="str">
        <f t="shared" si="183"/>
        <v/>
      </c>
    </row>
    <row r="2784" spans="19:19">
      <c r="S2784" s="1" t="str">
        <f t="shared" si="183"/>
        <v/>
      </c>
    </row>
    <row r="2785" spans="19:19">
      <c r="S2785" s="1" t="str">
        <f t="shared" si="183"/>
        <v/>
      </c>
    </row>
    <row r="2786" spans="19:19">
      <c r="S2786" s="1" t="str">
        <f t="shared" si="183"/>
        <v/>
      </c>
    </row>
    <row r="2787" spans="19:19">
      <c r="S2787" s="1" t="str">
        <f t="shared" si="183"/>
        <v/>
      </c>
    </row>
    <row r="2788" spans="19:19">
      <c r="S2788" s="1" t="str">
        <f t="shared" si="183"/>
        <v/>
      </c>
    </row>
    <row r="2789" spans="19:19">
      <c r="S2789" s="1" t="str">
        <f t="shared" ref="S2789:S2852" si="184">IF(O2789="innerText",I2789&amp;"="&amp;IF(C2789="Y",IF(J2789&lt;&gt;"Y",$S$8&amp;$R$9&amp;"."&amp;E2789&amp;")."&amp;IF(OR(O2789="click",O2789="innerText"),O2789&amp;"();",O2789&amp;"("&amp;$Q$8&amp;"."&amp;E2789&amp;");"),$S$7&amp;$R$9&amp;"."&amp;E2789&amp;")."&amp;IF(O2789="click",O2789&amp;"();",O2789&amp;"("&amp;"'"&amp;K2789&amp;"'"&amp;");")),""),IF(C2789="Y",IF(J2789&lt;&gt;"Y",$S$8&amp;$R$9&amp;"."&amp;E2789&amp;")."&amp;IF(OR(O2789="click",O2789="innerText"),O2789&amp;"();",O2789&amp;"("&amp;$Q$8&amp;"."&amp;E2789&amp;");"),$S$7&amp;$R$9&amp;"."&amp;E2789&amp;")."&amp;IF(O2789="click",O2789&amp;"();",O2789&amp;"("&amp;"'"&amp;K2789&amp;"'"&amp;");")),""))</f>
        <v/>
      </c>
    </row>
    <row r="2790" spans="19:19">
      <c r="S2790" s="1" t="str">
        <f t="shared" si="184"/>
        <v/>
      </c>
    </row>
    <row r="2791" spans="19:19">
      <c r="S2791" s="1" t="str">
        <f t="shared" si="184"/>
        <v/>
      </c>
    </row>
    <row r="2792" spans="19:19">
      <c r="S2792" s="1" t="str">
        <f t="shared" si="184"/>
        <v/>
      </c>
    </row>
    <row r="2793" spans="19:19">
      <c r="S2793" s="1" t="str">
        <f t="shared" si="184"/>
        <v/>
      </c>
    </row>
    <row r="2794" spans="19:19">
      <c r="S2794" s="1" t="str">
        <f t="shared" si="184"/>
        <v/>
      </c>
    </row>
    <row r="2795" spans="19:19">
      <c r="S2795" s="1" t="str">
        <f t="shared" si="184"/>
        <v/>
      </c>
    </row>
    <row r="2796" spans="19:19">
      <c r="S2796" s="1" t="str">
        <f t="shared" si="184"/>
        <v/>
      </c>
    </row>
    <row r="2797" spans="19:19">
      <c r="S2797" s="1" t="str">
        <f t="shared" si="184"/>
        <v/>
      </c>
    </row>
    <row r="2798" spans="19:19">
      <c r="S2798" s="1" t="str">
        <f t="shared" si="184"/>
        <v/>
      </c>
    </row>
    <row r="2799" spans="19:19">
      <c r="S2799" s="1" t="str">
        <f t="shared" si="184"/>
        <v/>
      </c>
    </row>
    <row r="2800" spans="19:19">
      <c r="S2800" s="1" t="str">
        <f t="shared" si="184"/>
        <v/>
      </c>
    </row>
    <row r="2801" spans="19:19">
      <c r="S2801" s="1" t="str">
        <f t="shared" si="184"/>
        <v/>
      </c>
    </row>
    <row r="2802" spans="19:19">
      <c r="S2802" s="1" t="str">
        <f t="shared" si="184"/>
        <v/>
      </c>
    </row>
    <row r="2803" spans="19:19">
      <c r="S2803" s="1" t="str">
        <f t="shared" si="184"/>
        <v/>
      </c>
    </row>
    <row r="2804" spans="19:19">
      <c r="S2804" s="1" t="str">
        <f t="shared" si="184"/>
        <v/>
      </c>
    </row>
    <row r="2805" spans="19:19">
      <c r="S2805" s="1" t="str">
        <f t="shared" si="184"/>
        <v/>
      </c>
    </row>
    <row r="2806" spans="19:19">
      <c r="S2806" s="1" t="str">
        <f t="shared" si="184"/>
        <v/>
      </c>
    </row>
    <row r="2807" spans="19:19">
      <c r="S2807" s="1" t="str">
        <f t="shared" si="184"/>
        <v/>
      </c>
    </row>
    <row r="2808" spans="19:19">
      <c r="S2808" s="1" t="str">
        <f t="shared" si="184"/>
        <v/>
      </c>
    </row>
    <row r="2809" spans="19:19">
      <c r="S2809" s="1" t="str">
        <f t="shared" si="184"/>
        <v/>
      </c>
    </row>
    <row r="2810" spans="19:19">
      <c r="S2810" s="1" t="str">
        <f t="shared" si="184"/>
        <v/>
      </c>
    </row>
    <row r="2811" spans="19:19">
      <c r="S2811" s="1" t="str">
        <f t="shared" si="184"/>
        <v/>
      </c>
    </row>
    <row r="2812" spans="19:19">
      <c r="S2812" s="1" t="str">
        <f t="shared" si="184"/>
        <v/>
      </c>
    </row>
    <row r="2813" spans="19:19">
      <c r="S2813" s="1" t="str">
        <f t="shared" si="184"/>
        <v/>
      </c>
    </row>
    <row r="2814" spans="19:19">
      <c r="S2814" s="1" t="str">
        <f t="shared" si="184"/>
        <v/>
      </c>
    </row>
    <row r="2815" spans="19:19">
      <c r="S2815" s="1" t="str">
        <f t="shared" si="184"/>
        <v/>
      </c>
    </row>
    <row r="2816" spans="19:19">
      <c r="S2816" s="1" t="str">
        <f t="shared" si="184"/>
        <v/>
      </c>
    </row>
    <row r="2817" spans="19:19">
      <c r="S2817" s="1" t="str">
        <f t="shared" si="184"/>
        <v/>
      </c>
    </row>
    <row r="2818" spans="19:19">
      <c r="S2818" s="1" t="str">
        <f t="shared" si="184"/>
        <v/>
      </c>
    </row>
    <row r="2819" spans="19:19">
      <c r="S2819" s="1" t="str">
        <f t="shared" si="184"/>
        <v/>
      </c>
    </row>
    <row r="2820" spans="19:19">
      <c r="S2820" s="1" t="str">
        <f t="shared" si="184"/>
        <v/>
      </c>
    </row>
    <row r="2821" spans="19:19">
      <c r="S2821" s="1" t="str">
        <f t="shared" si="184"/>
        <v/>
      </c>
    </row>
    <row r="2822" spans="19:19">
      <c r="S2822" s="1" t="str">
        <f t="shared" si="184"/>
        <v/>
      </c>
    </row>
    <row r="2823" spans="19:19">
      <c r="S2823" s="1" t="str">
        <f t="shared" si="184"/>
        <v/>
      </c>
    </row>
    <row r="2824" spans="19:19">
      <c r="S2824" s="1" t="str">
        <f t="shared" si="184"/>
        <v/>
      </c>
    </row>
    <row r="2825" spans="19:19">
      <c r="S2825" s="1" t="str">
        <f t="shared" si="184"/>
        <v/>
      </c>
    </row>
    <row r="2826" spans="19:19">
      <c r="S2826" s="1" t="str">
        <f t="shared" si="184"/>
        <v/>
      </c>
    </row>
    <row r="2827" spans="19:19">
      <c r="S2827" s="1" t="str">
        <f t="shared" si="184"/>
        <v/>
      </c>
    </row>
    <row r="2828" spans="19:19">
      <c r="S2828" s="1" t="str">
        <f t="shared" si="184"/>
        <v/>
      </c>
    </row>
    <row r="2829" spans="19:19">
      <c r="S2829" s="1" t="str">
        <f t="shared" si="184"/>
        <v/>
      </c>
    </row>
    <row r="2830" spans="19:19">
      <c r="S2830" s="1" t="str">
        <f t="shared" si="184"/>
        <v/>
      </c>
    </row>
    <row r="2831" spans="19:19">
      <c r="S2831" s="1" t="str">
        <f t="shared" si="184"/>
        <v/>
      </c>
    </row>
    <row r="2832" spans="19:19">
      <c r="S2832" s="1" t="str">
        <f t="shared" si="184"/>
        <v/>
      </c>
    </row>
    <row r="2833" spans="19:19">
      <c r="S2833" s="1" t="str">
        <f t="shared" si="184"/>
        <v/>
      </c>
    </row>
    <row r="2834" spans="19:19">
      <c r="S2834" s="1" t="str">
        <f t="shared" si="184"/>
        <v/>
      </c>
    </row>
    <row r="2835" spans="19:19">
      <c r="S2835" s="1" t="str">
        <f t="shared" si="184"/>
        <v/>
      </c>
    </row>
    <row r="2836" spans="19:19">
      <c r="S2836" s="1" t="str">
        <f t="shared" si="184"/>
        <v/>
      </c>
    </row>
    <row r="2837" spans="19:19">
      <c r="S2837" s="1" t="str">
        <f t="shared" si="184"/>
        <v/>
      </c>
    </row>
    <row r="2838" spans="19:19">
      <c r="S2838" s="1" t="str">
        <f t="shared" si="184"/>
        <v/>
      </c>
    </row>
    <row r="2839" spans="19:19">
      <c r="S2839" s="1" t="str">
        <f t="shared" si="184"/>
        <v/>
      </c>
    </row>
    <row r="2840" spans="19:19">
      <c r="S2840" s="1" t="str">
        <f t="shared" si="184"/>
        <v/>
      </c>
    </row>
    <row r="2841" spans="19:19">
      <c r="S2841" s="1" t="str">
        <f t="shared" si="184"/>
        <v/>
      </c>
    </row>
    <row r="2842" spans="19:19">
      <c r="S2842" s="1" t="str">
        <f t="shared" si="184"/>
        <v/>
      </c>
    </row>
    <row r="2843" spans="19:19">
      <c r="S2843" s="1" t="str">
        <f t="shared" si="184"/>
        <v/>
      </c>
    </row>
    <row r="2844" spans="19:19">
      <c r="S2844" s="1" t="str">
        <f t="shared" si="184"/>
        <v/>
      </c>
    </row>
    <row r="2845" spans="19:19">
      <c r="S2845" s="1" t="str">
        <f t="shared" si="184"/>
        <v/>
      </c>
    </row>
    <row r="2846" spans="19:19">
      <c r="S2846" s="1" t="str">
        <f t="shared" si="184"/>
        <v/>
      </c>
    </row>
    <row r="2847" spans="19:19">
      <c r="S2847" s="1" t="str">
        <f t="shared" si="184"/>
        <v/>
      </c>
    </row>
    <row r="2848" spans="19:19">
      <c r="S2848" s="1" t="str">
        <f t="shared" si="184"/>
        <v/>
      </c>
    </row>
    <row r="2849" spans="19:19">
      <c r="S2849" s="1" t="str">
        <f t="shared" si="184"/>
        <v/>
      </c>
    </row>
    <row r="2850" spans="19:19">
      <c r="S2850" s="1" t="str">
        <f t="shared" si="184"/>
        <v/>
      </c>
    </row>
    <row r="2851" spans="19:19">
      <c r="S2851" s="1" t="str">
        <f t="shared" si="184"/>
        <v/>
      </c>
    </row>
    <row r="2852" spans="19:19">
      <c r="S2852" s="1" t="str">
        <f t="shared" si="184"/>
        <v/>
      </c>
    </row>
    <row r="2853" spans="19:19">
      <c r="S2853" s="1" t="str">
        <f t="shared" ref="S2853:S2916" si="185">IF(O2853="innerText",I2853&amp;"="&amp;IF(C2853="Y",IF(J2853&lt;&gt;"Y",$S$8&amp;$R$9&amp;"."&amp;E2853&amp;")."&amp;IF(OR(O2853="click",O2853="innerText"),O2853&amp;"();",O2853&amp;"("&amp;$Q$8&amp;"."&amp;E2853&amp;");"),$S$7&amp;$R$9&amp;"."&amp;E2853&amp;")."&amp;IF(O2853="click",O2853&amp;"();",O2853&amp;"("&amp;"'"&amp;K2853&amp;"'"&amp;");")),""),IF(C2853="Y",IF(J2853&lt;&gt;"Y",$S$8&amp;$R$9&amp;"."&amp;E2853&amp;")."&amp;IF(OR(O2853="click",O2853="innerText"),O2853&amp;"();",O2853&amp;"("&amp;$Q$8&amp;"."&amp;E2853&amp;");"),$S$7&amp;$R$9&amp;"."&amp;E2853&amp;")."&amp;IF(O2853="click",O2853&amp;"();",O2853&amp;"("&amp;"'"&amp;K2853&amp;"'"&amp;");")),""))</f>
        <v/>
      </c>
    </row>
    <row r="2854" spans="19:19">
      <c r="S2854" s="1" t="str">
        <f t="shared" si="185"/>
        <v/>
      </c>
    </row>
    <row r="2855" spans="19:19">
      <c r="S2855" s="1" t="str">
        <f t="shared" si="185"/>
        <v/>
      </c>
    </row>
    <row r="2856" spans="19:19">
      <c r="S2856" s="1" t="str">
        <f t="shared" si="185"/>
        <v/>
      </c>
    </row>
    <row r="2857" spans="19:19">
      <c r="S2857" s="1" t="str">
        <f t="shared" si="185"/>
        <v/>
      </c>
    </row>
    <row r="2858" spans="19:19">
      <c r="S2858" s="1" t="str">
        <f t="shared" si="185"/>
        <v/>
      </c>
    </row>
    <row r="2859" spans="19:19">
      <c r="S2859" s="1" t="str">
        <f t="shared" si="185"/>
        <v/>
      </c>
    </row>
    <row r="2860" spans="19:19">
      <c r="S2860" s="1" t="str">
        <f t="shared" si="185"/>
        <v/>
      </c>
    </row>
    <row r="2861" spans="19:19">
      <c r="S2861" s="1" t="str">
        <f t="shared" si="185"/>
        <v/>
      </c>
    </row>
    <row r="2862" spans="19:19">
      <c r="S2862" s="1" t="str">
        <f t="shared" si="185"/>
        <v/>
      </c>
    </row>
    <row r="2863" spans="19:19">
      <c r="S2863" s="1" t="str">
        <f t="shared" si="185"/>
        <v/>
      </c>
    </row>
    <row r="2864" spans="19:19">
      <c r="S2864" s="1" t="str">
        <f t="shared" si="185"/>
        <v/>
      </c>
    </row>
    <row r="2865" spans="19:19">
      <c r="S2865" s="1" t="str">
        <f t="shared" si="185"/>
        <v/>
      </c>
    </row>
    <row r="2866" spans="19:19">
      <c r="S2866" s="1" t="str">
        <f t="shared" si="185"/>
        <v/>
      </c>
    </row>
    <row r="2867" spans="19:19">
      <c r="S2867" s="1" t="str">
        <f t="shared" si="185"/>
        <v/>
      </c>
    </row>
    <row r="2868" spans="19:19">
      <c r="S2868" s="1" t="str">
        <f t="shared" si="185"/>
        <v/>
      </c>
    </row>
    <row r="2869" spans="19:19">
      <c r="S2869" s="1" t="str">
        <f t="shared" si="185"/>
        <v/>
      </c>
    </row>
    <row r="2870" spans="19:19">
      <c r="S2870" s="1" t="str">
        <f t="shared" si="185"/>
        <v/>
      </c>
    </row>
    <row r="2871" spans="19:19">
      <c r="S2871" s="1" t="str">
        <f t="shared" si="185"/>
        <v/>
      </c>
    </row>
    <row r="2872" spans="19:19">
      <c r="S2872" s="1" t="str">
        <f t="shared" si="185"/>
        <v/>
      </c>
    </row>
    <row r="2873" spans="19:19">
      <c r="S2873" s="1" t="str">
        <f t="shared" si="185"/>
        <v/>
      </c>
    </row>
    <row r="2874" spans="19:19">
      <c r="S2874" s="1" t="str">
        <f t="shared" si="185"/>
        <v/>
      </c>
    </row>
    <row r="2875" spans="19:19">
      <c r="S2875" s="1" t="str">
        <f t="shared" si="185"/>
        <v/>
      </c>
    </row>
    <row r="2876" spans="19:19">
      <c r="S2876" s="1" t="str">
        <f t="shared" si="185"/>
        <v/>
      </c>
    </row>
    <row r="2877" spans="19:19">
      <c r="S2877" s="1" t="str">
        <f t="shared" si="185"/>
        <v/>
      </c>
    </row>
    <row r="2878" spans="19:19">
      <c r="S2878" s="1" t="str">
        <f t="shared" si="185"/>
        <v/>
      </c>
    </row>
    <row r="2879" spans="19:19">
      <c r="S2879" s="1" t="str">
        <f t="shared" si="185"/>
        <v/>
      </c>
    </row>
    <row r="2880" spans="19:19">
      <c r="S2880" s="1" t="str">
        <f t="shared" si="185"/>
        <v/>
      </c>
    </row>
    <row r="2881" spans="19:19">
      <c r="S2881" s="1" t="str">
        <f t="shared" si="185"/>
        <v/>
      </c>
    </row>
    <row r="2882" spans="19:19">
      <c r="S2882" s="1" t="str">
        <f t="shared" si="185"/>
        <v/>
      </c>
    </row>
    <row r="2883" spans="19:19">
      <c r="S2883" s="1" t="str">
        <f t="shared" si="185"/>
        <v/>
      </c>
    </row>
    <row r="2884" spans="19:19">
      <c r="S2884" s="1" t="str">
        <f t="shared" si="185"/>
        <v/>
      </c>
    </row>
    <row r="2885" spans="19:19">
      <c r="S2885" s="1" t="str">
        <f t="shared" si="185"/>
        <v/>
      </c>
    </row>
    <row r="2886" spans="19:19">
      <c r="S2886" s="1" t="str">
        <f t="shared" si="185"/>
        <v/>
      </c>
    </row>
    <row r="2887" spans="19:19">
      <c r="S2887" s="1" t="str">
        <f t="shared" si="185"/>
        <v/>
      </c>
    </row>
    <row r="2888" spans="19:19">
      <c r="S2888" s="1" t="str">
        <f t="shared" si="185"/>
        <v/>
      </c>
    </row>
    <row r="2889" spans="19:19">
      <c r="S2889" s="1" t="str">
        <f t="shared" si="185"/>
        <v/>
      </c>
    </row>
    <row r="2890" spans="19:19">
      <c r="S2890" s="1" t="str">
        <f t="shared" si="185"/>
        <v/>
      </c>
    </row>
    <row r="2891" spans="19:19">
      <c r="S2891" s="1" t="str">
        <f t="shared" si="185"/>
        <v/>
      </c>
    </row>
    <row r="2892" spans="19:19">
      <c r="S2892" s="1" t="str">
        <f t="shared" si="185"/>
        <v/>
      </c>
    </row>
    <row r="2893" spans="19:19">
      <c r="S2893" s="1" t="str">
        <f t="shared" si="185"/>
        <v/>
      </c>
    </row>
    <row r="2894" spans="19:19">
      <c r="S2894" s="1" t="str">
        <f t="shared" si="185"/>
        <v/>
      </c>
    </row>
    <row r="2895" spans="19:19">
      <c r="S2895" s="1" t="str">
        <f t="shared" si="185"/>
        <v/>
      </c>
    </row>
    <row r="2896" spans="19:19">
      <c r="S2896" s="1" t="str">
        <f t="shared" si="185"/>
        <v/>
      </c>
    </row>
    <row r="2897" spans="19:19">
      <c r="S2897" s="1" t="str">
        <f t="shared" si="185"/>
        <v/>
      </c>
    </row>
    <row r="2898" spans="19:19">
      <c r="S2898" s="1" t="str">
        <f t="shared" si="185"/>
        <v/>
      </c>
    </row>
    <row r="2899" spans="19:19">
      <c r="S2899" s="1" t="str">
        <f t="shared" si="185"/>
        <v/>
      </c>
    </row>
    <row r="2900" spans="19:19">
      <c r="S2900" s="1" t="str">
        <f t="shared" si="185"/>
        <v/>
      </c>
    </row>
    <row r="2901" spans="19:19">
      <c r="S2901" s="1" t="str">
        <f t="shared" si="185"/>
        <v/>
      </c>
    </row>
    <row r="2902" spans="19:19">
      <c r="S2902" s="1" t="str">
        <f t="shared" si="185"/>
        <v/>
      </c>
    </row>
    <row r="2903" spans="19:19">
      <c r="S2903" s="1" t="str">
        <f t="shared" si="185"/>
        <v/>
      </c>
    </row>
    <row r="2904" spans="19:19">
      <c r="S2904" s="1" t="str">
        <f t="shared" si="185"/>
        <v/>
      </c>
    </row>
    <row r="2905" spans="19:19">
      <c r="S2905" s="1" t="str">
        <f t="shared" si="185"/>
        <v/>
      </c>
    </row>
    <row r="2906" spans="19:19">
      <c r="S2906" s="1" t="str">
        <f t="shared" si="185"/>
        <v/>
      </c>
    </row>
    <row r="2907" spans="19:19">
      <c r="S2907" s="1" t="str">
        <f t="shared" si="185"/>
        <v/>
      </c>
    </row>
    <row r="2908" spans="19:19">
      <c r="S2908" s="1" t="str">
        <f t="shared" si="185"/>
        <v/>
      </c>
    </row>
    <row r="2909" spans="19:19">
      <c r="S2909" s="1" t="str">
        <f t="shared" si="185"/>
        <v/>
      </c>
    </row>
    <row r="2910" spans="19:19">
      <c r="S2910" s="1" t="str">
        <f t="shared" si="185"/>
        <v/>
      </c>
    </row>
    <row r="2911" spans="19:19">
      <c r="S2911" s="1" t="str">
        <f t="shared" si="185"/>
        <v/>
      </c>
    </row>
    <row r="2912" spans="19:19">
      <c r="S2912" s="1" t="str">
        <f t="shared" si="185"/>
        <v/>
      </c>
    </row>
    <row r="2913" spans="19:19">
      <c r="S2913" s="1" t="str">
        <f t="shared" si="185"/>
        <v/>
      </c>
    </row>
    <row r="2914" spans="19:19">
      <c r="S2914" s="1" t="str">
        <f t="shared" si="185"/>
        <v/>
      </c>
    </row>
    <row r="2915" spans="19:19">
      <c r="S2915" s="1" t="str">
        <f t="shared" si="185"/>
        <v/>
      </c>
    </row>
    <row r="2916" spans="19:19">
      <c r="S2916" s="1" t="str">
        <f t="shared" si="185"/>
        <v/>
      </c>
    </row>
    <row r="2917" spans="19:19">
      <c r="S2917" s="1" t="str">
        <f t="shared" ref="S2917:S2980" si="186">IF(O2917="innerText",I2917&amp;"="&amp;IF(C2917="Y",IF(J2917&lt;&gt;"Y",$S$8&amp;$R$9&amp;"."&amp;E2917&amp;")."&amp;IF(OR(O2917="click",O2917="innerText"),O2917&amp;"();",O2917&amp;"("&amp;$Q$8&amp;"."&amp;E2917&amp;");"),$S$7&amp;$R$9&amp;"."&amp;E2917&amp;")."&amp;IF(O2917="click",O2917&amp;"();",O2917&amp;"("&amp;"'"&amp;K2917&amp;"'"&amp;");")),""),IF(C2917="Y",IF(J2917&lt;&gt;"Y",$S$8&amp;$R$9&amp;"."&amp;E2917&amp;")."&amp;IF(OR(O2917="click",O2917="innerText"),O2917&amp;"();",O2917&amp;"("&amp;$Q$8&amp;"."&amp;E2917&amp;");"),$S$7&amp;$R$9&amp;"."&amp;E2917&amp;")."&amp;IF(O2917="click",O2917&amp;"();",O2917&amp;"("&amp;"'"&amp;K2917&amp;"'"&amp;");")),""))</f>
        <v/>
      </c>
    </row>
    <row r="2918" spans="19:19">
      <c r="S2918" s="1" t="str">
        <f t="shared" si="186"/>
        <v/>
      </c>
    </row>
    <row r="2919" spans="19:19">
      <c r="S2919" s="1" t="str">
        <f t="shared" si="186"/>
        <v/>
      </c>
    </row>
    <row r="2920" spans="19:19">
      <c r="S2920" s="1" t="str">
        <f t="shared" si="186"/>
        <v/>
      </c>
    </row>
    <row r="2921" spans="19:19">
      <c r="S2921" s="1" t="str">
        <f t="shared" si="186"/>
        <v/>
      </c>
    </row>
    <row r="2922" spans="19:19">
      <c r="S2922" s="1" t="str">
        <f t="shared" si="186"/>
        <v/>
      </c>
    </row>
    <row r="2923" spans="19:19">
      <c r="S2923" s="1" t="str">
        <f t="shared" si="186"/>
        <v/>
      </c>
    </row>
    <row r="2924" spans="19:19">
      <c r="S2924" s="1" t="str">
        <f t="shared" si="186"/>
        <v/>
      </c>
    </row>
    <row r="2925" spans="19:19">
      <c r="S2925" s="1" t="str">
        <f t="shared" si="186"/>
        <v/>
      </c>
    </row>
    <row r="2926" spans="19:19">
      <c r="S2926" s="1" t="str">
        <f t="shared" si="186"/>
        <v/>
      </c>
    </row>
    <row r="2927" spans="19:19">
      <c r="S2927" s="1" t="str">
        <f t="shared" si="186"/>
        <v/>
      </c>
    </row>
    <row r="2928" spans="19:19">
      <c r="S2928" s="1" t="str">
        <f t="shared" si="186"/>
        <v/>
      </c>
    </row>
    <row r="2929" spans="19:19">
      <c r="S2929" s="1" t="str">
        <f t="shared" si="186"/>
        <v/>
      </c>
    </row>
    <row r="2930" spans="19:19">
      <c r="S2930" s="1" t="str">
        <f t="shared" si="186"/>
        <v/>
      </c>
    </row>
    <row r="2931" spans="19:19">
      <c r="S2931" s="1" t="str">
        <f t="shared" si="186"/>
        <v/>
      </c>
    </row>
    <row r="2932" spans="19:19">
      <c r="S2932" s="1" t="str">
        <f t="shared" si="186"/>
        <v/>
      </c>
    </row>
    <row r="2933" spans="19:19">
      <c r="S2933" s="1" t="str">
        <f t="shared" si="186"/>
        <v/>
      </c>
    </row>
    <row r="2934" spans="19:19">
      <c r="S2934" s="1" t="str">
        <f t="shared" si="186"/>
        <v/>
      </c>
    </row>
    <row r="2935" spans="19:19">
      <c r="S2935" s="1" t="str">
        <f t="shared" si="186"/>
        <v/>
      </c>
    </row>
    <row r="2936" spans="19:19">
      <c r="S2936" s="1" t="str">
        <f t="shared" si="186"/>
        <v/>
      </c>
    </row>
    <row r="2937" spans="19:19">
      <c r="S2937" s="1" t="str">
        <f t="shared" si="186"/>
        <v/>
      </c>
    </row>
    <row r="2938" spans="19:19">
      <c r="S2938" s="1" t="str">
        <f t="shared" si="186"/>
        <v/>
      </c>
    </row>
    <row r="2939" spans="19:19">
      <c r="S2939" s="1" t="str">
        <f t="shared" si="186"/>
        <v/>
      </c>
    </row>
    <row r="2940" spans="19:19">
      <c r="S2940" s="1" t="str">
        <f t="shared" si="186"/>
        <v/>
      </c>
    </row>
    <row r="2941" spans="19:19">
      <c r="S2941" s="1" t="str">
        <f t="shared" si="186"/>
        <v/>
      </c>
    </row>
    <row r="2942" spans="19:19">
      <c r="S2942" s="1" t="str">
        <f t="shared" si="186"/>
        <v/>
      </c>
    </row>
    <row r="2943" spans="19:19">
      <c r="S2943" s="1" t="str">
        <f t="shared" si="186"/>
        <v/>
      </c>
    </row>
    <row r="2944" spans="19:19">
      <c r="S2944" s="1" t="str">
        <f t="shared" si="186"/>
        <v/>
      </c>
    </row>
    <row r="2945" spans="19:19">
      <c r="S2945" s="1" t="str">
        <f t="shared" si="186"/>
        <v/>
      </c>
    </row>
    <row r="2946" spans="19:19">
      <c r="S2946" s="1" t="str">
        <f t="shared" si="186"/>
        <v/>
      </c>
    </row>
    <row r="2947" spans="19:19">
      <c r="S2947" s="1" t="str">
        <f t="shared" si="186"/>
        <v/>
      </c>
    </row>
    <row r="2948" spans="19:19">
      <c r="S2948" s="1" t="str">
        <f t="shared" si="186"/>
        <v/>
      </c>
    </row>
    <row r="2949" spans="19:19">
      <c r="S2949" s="1" t="str">
        <f t="shared" si="186"/>
        <v/>
      </c>
    </row>
    <row r="2950" spans="19:19">
      <c r="S2950" s="1" t="str">
        <f t="shared" si="186"/>
        <v/>
      </c>
    </row>
    <row r="2951" spans="19:19">
      <c r="S2951" s="1" t="str">
        <f t="shared" si="186"/>
        <v/>
      </c>
    </row>
    <row r="2952" spans="19:19">
      <c r="S2952" s="1" t="str">
        <f t="shared" si="186"/>
        <v/>
      </c>
    </row>
    <row r="2953" spans="19:19">
      <c r="S2953" s="1" t="str">
        <f t="shared" si="186"/>
        <v/>
      </c>
    </row>
    <row r="2954" spans="19:19">
      <c r="S2954" s="1" t="str">
        <f t="shared" si="186"/>
        <v/>
      </c>
    </row>
    <row r="2955" spans="19:19">
      <c r="S2955" s="1" t="str">
        <f t="shared" si="186"/>
        <v/>
      </c>
    </row>
    <row r="2956" spans="19:19">
      <c r="S2956" s="1" t="str">
        <f t="shared" si="186"/>
        <v/>
      </c>
    </row>
    <row r="2957" spans="19:19">
      <c r="S2957" s="1" t="str">
        <f t="shared" si="186"/>
        <v/>
      </c>
    </row>
    <row r="2958" spans="19:19">
      <c r="S2958" s="1" t="str">
        <f t="shared" si="186"/>
        <v/>
      </c>
    </row>
    <row r="2959" spans="19:19">
      <c r="S2959" s="1" t="str">
        <f t="shared" si="186"/>
        <v/>
      </c>
    </row>
    <row r="2960" spans="19:19">
      <c r="S2960" s="1" t="str">
        <f t="shared" si="186"/>
        <v/>
      </c>
    </row>
    <row r="2961" spans="19:19">
      <c r="S2961" s="1" t="str">
        <f t="shared" si="186"/>
        <v/>
      </c>
    </row>
    <row r="2962" spans="19:19">
      <c r="S2962" s="1" t="str">
        <f t="shared" si="186"/>
        <v/>
      </c>
    </row>
    <row r="2963" spans="19:19">
      <c r="S2963" s="1" t="str">
        <f t="shared" si="186"/>
        <v/>
      </c>
    </row>
    <row r="2964" spans="19:19">
      <c r="S2964" s="1" t="str">
        <f t="shared" si="186"/>
        <v/>
      </c>
    </row>
    <row r="2965" spans="19:19">
      <c r="S2965" s="1" t="str">
        <f t="shared" si="186"/>
        <v/>
      </c>
    </row>
    <row r="2966" spans="19:19">
      <c r="S2966" s="1" t="str">
        <f t="shared" si="186"/>
        <v/>
      </c>
    </row>
    <row r="2967" spans="19:19">
      <c r="S2967" s="1" t="str">
        <f t="shared" si="186"/>
        <v/>
      </c>
    </row>
    <row r="2968" spans="19:19">
      <c r="S2968" s="1" t="str">
        <f t="shared" si="186"/>
        <v/>
      </c>
    </row>
    <row r="2969" spans="19:19">
      <c r="S2969" s="1" t="str">
        <f t="shared" si="186"/>
        <v/>
      </c>
    </row>
    <row r="2970" spans="19:19">
      <c r="S2970" s="1" t="str">
        <f t="shared" si="186"/>
        <v/>
      </c>
    </row>
    <row r="2971" spans="19:19">
      <c r="S2971" s="1" t="str">
        <f t="shared" si="186"/>
        <v/>
      </c>
    </row>
    <row r="2972" spans="19:19">
      <c r="S2972" s="1" t="str">
        <f t="shared" si="186"/>
        <v/>
      </c>
    </row>
    <row r="2973" spans="19:19">
      <c r="S2973" s="1" t="str">
        <f t="shared" si="186"/>
        <v/>
      </c>
    </row>
    <row r="2974" spans="19:19">
      <c r="S2974" s="1" t="str">
        <f t="shared" si="186"/>
        <v/>
      </c>
    </row>
    <row r="2975" spans="19:19">
      <c r="S2975" s="1" t="str">
        <f t="shared" si="186"/>
        <v/>
      </c>
    </row>
    <row r="2976" spans="19:19">
      <c r="S2976" s="1" t="str">
        <f t="shared" si="186"/>
        <v/>
      </c>
    </row>
    <row r="2977" spans="19:19">
      <c r="S2977" s="1" t="str">
        <f t="shared" si="186"/>
        <v/>
      </c>
    </row>
    <row r="2978" spans="19:19">
      <c r="S2978" s="1" t="str">
        <f t="shared" si="186"/>
        <v/>
      </c>
    </row>
    <row r="2979" spans="19:19">
      <c r="S2979" s="1" t="str">
        <f t="shared" si="186"/>
        <v/>
      </c>
    </row>
    <row r="2980" spans="19:19">
      <c r="S2980" s="1" t="str">
        <f t="shared" si="186"/>
        <v/>
      </c>
    </row>
    <row r="2981" spans="19:19">
      <c r="S2981" s="1" t="str">
        <f t="shared" ref="S2981:S3044" si="187">IF(O2981="innerText",I2981&amp;"="&amp;IF(C2981="Y",IF(J2981&lt;&gt;"Y",$S$8&amp;$R$9&amp;"."&amp;E2981&amp;")."&amp;IF(OR(O2981="click",O2981="innerText"),O2981&amp;"();",O2981&amp;"("&amp;$Q$8&amp;"."&amp;E2981&amp;");"),$S$7&amp;$R$9&amp;"."&amp;E2981&amp;")."&amp;IF(O2981="click",O2981&amp;"();",O2981&amp;"("&amp;"'"&amp;K2981&amp;"'"&amp;");")),""),IF(C2981="Y",IF(J2981&lt;&gt;"Y",$S$8&amp;$R$9&amp;"."&amp;E2981&amp;")."&amp;IF(OR(O2981="click",O2981="innerText"),O2981&amp;"();",O2981&amp;"("&amp;$Q$8&amp;"."&amp;E2981&amp;");"),$S$7&amp;$R$9&amp;"."&amp;E2981&amp;")."&amp;IF(O2981="click",O2981&amp;"();",O2981&amp;"("&amp;"'"&amp;K2981&amp;"'"&amp;");")),""))</f>
        <v/>
      </c>
    </row>
    <row r="2982" spans="19:19">
      <c r="S2982" s="1" t="str">
        <f t="shared" si="187"/>
        <v/>
      </c>
    </row>
    <row r="2983" spans="19:19">
      <c r="S2983" s="1" t="str">
        <f t="shared" si="187"/>
        <v/>
      </c>
    </row>
    <row r="2984" spans="19:19">
      <c r="S2984" s="1" t="str">
        <f t="shared" si="187"/>
        <v/>
      </c>
    </row>
    <row r="2985" spans="19:19">
      <c r="S2985" s="1" t="str">
        <f t="shared" si="187"/>
        <v/>
      </c>
    </row>
    <row r="2986" spans="19:19">
      <c r="S2986" s="1" t="str">
        <f t="shared" si="187"/>
        <v/>
      </c>
    </row>
    <row r="2987" spans="19:19">
      <c r="S2987" s="1" t="str">
        <f t="shared" si="187"/>
        <v/>
      </c>
    </row>
    <row r="2988" spans="19:19">
      <c r="S2988" s="1" t="str">
        <f t="shared" si="187"/>
        <v/>
      </c>
    </row>
    <row r="2989" spans="19:19">
      <c r="S2989" s="1" t="str">
        <f t="shared" si="187"/>
        <v/>
      </c>
    </row>
    <row r="2990" spans="19:19">
      <c r="S2990" s="1" t="str">
        <f t="shared" si="187"/>
        <v/>
      </c>
    </row>
    <row r="2991" spans="19:19">
      <c r="S2991" s="1" t="str">
        <f t="shared" si="187"/>
        <v/>
      </c>
    </row>
    <row r="2992" spans="19:19">
      <c r="S2992" s="1" t="str">
        <f t="shared" si="187"/>
        <v/>
      </c>
    </row>
    <row r="2993" spans="19:19">
      <c r="S2993" s="1" t="str">
        <f t="shared" si="187"/>
        <v/>
      </c>
    </row>
    <row r="2994" spans="19:19">
      <c r="S2994" s="1" t="str">
        <f t="shared" si="187"/>
        <v/>
      </c>
    </row>
    <row r="2995" spans="19:19">
      <c r="S2995" s="1" t="str">
        <f t="shared" si="187"/>
        <v/>
      </c>
    </row>
    <row r="2996" spans="19:19">
      <c r="S2996" s="1" t="str">
        <f t="shared" si="187"/>
        <v/>
      </c>
    </row>
    <row r="2997" spans="19:19">
      <c r="S2997" s="1" t="str">
        <f t="shared" si="187"/>
        <v/>
      </c>
    </row>
    <row r="2998" spans="19:19">
      <c r="S2998" s="1" t="str">
        <f t="shared" si="187"/>
        <v/>
      </c>
    </row>
    <row r="2999" spans="19:19">
      <c r="S2999" s="1" t="str">
        <f t="shared" si="187"/>
        <v/>
      </c>
    </row>
    <row r="3000" spans="19:19">
      <c r="S3000" s="1" t="str">
        <f t="shared" si="187"/>
        <v/>
      </c>
    </row>
    <row r="3001" spans="19:19">
      <c r="S3001" s="1" t="str">
        <f t="shared" si="187"/>
        <v/>
      </c>
    </row>
    <row r="3002" spans="19:19">
      <c r="S3002" s="1" t="str">
        <f t="shared" si="187"/>
        <v/>
      </c>
    </row>
    <row r="3003" spans="19:19">
      <c r="S3003" s="1" t="str">
        <f t="shared" si="187"/>
        <v/>
      </c>
    </row>
    <row r="3004" spans="19:19">
      <c r="S3004" s="1" t="str">
        <f t="shared" si="187"/>
        <v/>
      </c>
    </row>
    <row r="3005" spans="19:19">
      <c r="S3005" s="1" t="str">
        <f t="shared" si="187"/>
        <v/>
      </c>
    </row>
    <row r="3006" spans="19:19">
      <c r="S3006" s="1" t="str">
        <f t="shared" si="187"/>
        <v/>
      </c>
    </row>
    <row r="3007" spans="19:19">
      <c r="S3007" s="1" t="str">
        <f t="shared" si="187"/>
        <v/>
      </c>
    </row>
    <row r="3008" spans="19:19">
      <c r="S3008" s="1" t="str">
        <f t="shared" si="187"/>
        <v/>
      </c>
    </row>
    <row r="3009" spans="19:19">
      <c r="S3009" s="1" t="str">
        <f t="shared" si="187"/>
        <v/>
      </c>
    </row>
    <row r="3010" spans="19:19">
      <c r="S3010" s="1" t="str">
        <f t="shared" si="187"/>
        <v/>
      </c>
    </row>
    <row r="3011" spans="19:19">
      <c r="S3011" s="1" t="str">
        <f t="shared" si="187"/>
        <v/>
      </c>
    </row>
    <row r="3012" spans="19:19">
      <c r="S3012" s="1" t="str">
        <f t="shared" si="187"/>
        <v/>
      </c>
    </row>
    <row r="3013" spans="19:19">
      <c r="S3013" s="1" t="str">
        <f t="shared" si="187"/>
        <v/>
      </c>
    </row>
    <row r="3014" spans="19:19">
      <c r="S3014" s="1" t="str">
        <f t="shared" si="187"/>
        <v/>
      </c>
    </row>
    <row r="3015" spans="19:19">
      <c r="S3015" s="1" t="str">
        <f t="shared" si="187"/>
        <v/>
      </c>
    </row>
    <row r="3016" spans="19:19">
      <c r="S3016" s="1" t="str">
        <f t="shared" si="187"/>
        <v/>
      </c>
    </row>
    <row r="3017" spans="19:19">
      <c r="S3017" s="1" t="str">
        <f t="shared" si="187"/>
        <v/>
      </c>
    </row>
    <row r="3018" spans="19:19">
      <c r="S3018" s="1" t="str">
        <f t="shared" si="187"/>
        <v/>
      </c>
    </row>
    <row r="3019" spans="19:19">
      <c r="S3019" s="1" t="str">
        <f t="shared" si="187"/>
        <v/>
      </c>
    </row>
    <row r="3020" spans="19:19">
      <c r="S3020" s="1" t="str">
        <f t="shared" si="187"/>
        <v/>
      </c>
    </row>
    <row r="3021" spans="19:19">
      <c r="S3021" s="1" t="str">
        <f t="shared" si="187"/>
        <v/>
      </c>
    </row>
    <row r="3022" spans="19:19">
      <c r="S3022" s="1" t="str">
        <f t="shared" si="187"/>
        <v/>
      </c>
    </row>
    <row r="3023" spans="19:19">
      <c r="S3023" s="1" t="str">
        <f t="shared" si="187"/>
        <v/>
      </c>
    </row>
    <row r="3024" spans="19:19">
      <c r="S3024" s="1" t="str">
        <f t="shared" si="187"/>
        <v/>
      </c>
    </row>
    <row r="3025" spans="19:19">
      <c r="S3025" s="1" t="str">
        <f t="shared" si="187"/>
        <v/>
      </c>
    </row>
    <row r="3026" spans="19:19">
      <c r="S3026" s="1" t="str">
        <f t="shared" si="187"/>
        <v/>
      </c>
    </row>
    <row r="3027" spans="19:19">
      <c r="S3027" s="1" t="str">
        <f t="shared" si="187"/>
        <v/>
      </c>
    </row>
    <row r="3028" spans="19:19">
      <c r="S3028" s="1" t="str">
        <f t="shared" si="187"/>
        <v/>
      </c>
    </row>
    <row r="3029" spans="19:19">
      <c r="S3029" s="1" t="str">
        <f t="shared" si="187"/>
        <v/>
      </c>
    </row>
    <row r="3030" spans="19:19">
      <c r="S3030" s="1" t="str">
        <f t="shared" si="187"/>
        <v/>
      </c>
    </row>
    <row r="3031" spans="19:19">
      <c r="S3031" s="1" t="str">
        <f t="shared" si="187"/>
        <v/>
      </c>
    </row>
    <row r="3032" spans="19:19">
      <c r="S3032" s="1" t="str">
        <f t="shared" si="187"/>
        <v/>
      </c>
    </row>
    <row r="3033" spans="19:19">
      <c r="S3033" s="1" t="str">
        <f t="shared" si="187"/>
        <v/>
      </c>
    </row>
    <row r="3034" spans="19:19">
      <c r="S3034" s="1" t="str">
        <f t="shared" si="187"/>
        <v/>
      </c>
    </row>
    <row r="3035" spans="19:19">
      <c r="S3035" s="1" t="str">
        <f t="shared" si="187"/>
        <v/>
      </c>
    </row>
    <row r="3036" spans="19:19">
      <c r="S3036" s="1" t="str">
        <f t="shared" si="187"/>
        <v/>
      </c>
    </row>
    <row r="3037" spans="19:19">
      <c r="S3037" s="1" t="str">
        <f t="shared" si="187"/>
        <v/>
      </c>
    </row>
    <row r="3038" spans="19:19">
      <c r="S3038" s="1" t="str">
        <f t="shared" si="187"/>
        <v/>
      </c>
    </row>
    <row r="3039" spans="19:19">
      <c r="S3039" s="1" t="str">
        <f t="shared" si="187"/>
        <v/>
      </c>
    </row>
    <row r="3040" spans="19:19">
      <c r="S3040" s="1" t="str">
        <f t="shared" si="187"/>
        <v/>
      </c>
    </row>
    <row r="3041" spans="19:19">
      <c r="S3041" s="1" t="str">
        <f t="shared" si="187"/>
        <v/>
      </c>
    </row>
    <row r="3042" spans="19:19">
      <c r="S3042" s="1" t="str">
        <f t="shared" si="187"/>
        <v/>
      </c>
    </row>
    <row r="3043" spans="19:19">
      <c r="S3043" s="1" t="str">
        <f t="shared" si="187"/>
        <v/>
      </c>
    </row>
    <row r="3044" spans="19:19">
      <c r="S3044" s="1" t="str">
        <f t="shared" si="187"/>
        <v/>
      </c>
    </row>
    <row r="3045" spans="19:19">
      <c r="S3045" s="1" t="str">
        <f t="shared" ref="S3045:S3108" si="188">IF(O3045="innerText",I3045&amp;"="&amp;IF(C3045="Y",IF(J3045&lt;&gt;"Y",$S$8&amp;$R$9&amp;"."&amp;E3045&amp;")."&amp;IF(OR(O3045="click",O3045="innerText"),O3045&amp;"();",O3045&amp;"("&amp;$Q$8&amp;"."&amp;E3045&amp;");"),$S$7&amp;$R$9&amp;"."&amp;E3045&amp;")."&amp;IF(O3045="click",O3045&amp;"();",O3045&amp;"("&amp;"'"&amp;K3045&amp;"'"&amp;");")),""),IF(C3045="Y",IF(J3045&lt;&gt;"Y",$S$8&amp;$R$9&amp;"."&amp;E3045&amp;")."&amp;IF(OR(O3045="click",O3045="innerText"),O3045&amp;"();",O3045&amp;"("&amp;$Q$8&amp;"."&amp;E3045&amp;");"),$S$7&amp;$R$9&amp;"."&amp;E3045&amp;")."&amp;IF(O3045="click",O3045&amp;"();",O3045&amp;"("&amp;"'"&amp;K3045&amp;"'"&amp;");")),""))</f>
        <v/>
      </c>
    </row>
    <row r="3046" spans="19:19">
      <c r="S3046" s="1" t="str">
        <f t="shared" si="188"/>
        <v/>
      </c>
    </row>
    <row r="3047" spans="19:19">
      <c r="S3047" s="1" t="str">
        <f t="shared" si="188"/>
        <v/>
      </c>
    </row>
    <row r="3048" spans="19:19">
      <c r="S3048" s="1" t="str">
        <f t="shared" si="188"/>
        <v/>
      </c>
    </row>
    <row r="3049" spans="19:19">
      <c r="S3049" s="1" t="str">
        <f t="shared" si="188"/>
        <v/>
      </c>
    </row>
    <row r="3050" spans="19:19">
      <c r="S3050" s="1" t="str">
        <f t="shared" si="188"/>
        <v/>
      </c>
    </row>
    <row r="3051" spans="19:19">
      <c r="S3051" s="1" t="str">
        <f t="shared" si="188"/>
        <v/>
      </c>
    </row>
    <row r="3052" spans="19:19">
      <c r="S3052" s="1" t="str">
        <f t="shared" si="188"/>
        <v/>
      </c>
    </row>
    <row r="3053" spans="19:19">
      <c r="S3053" s="1" t="str">
        <f t="shared" si="188"/>
        <v/>
      </c>
    </row>
    <row r="3054" spans="19:19">
      <c r="S3054" s="1" t="str">
        <f t="shared" si="188"/>
        <v/>
      </c>
    </row>
    <row r="3055" spans="19:19">
      <c r="S3055" s="1" t="str">
        <f t="shared" si="188"/>
        <v/>
      </c>
    </row>
    <row r="3056" spans="19:19">
      <c r="S3056" s="1" t="str">
        <f t="shared" si="188"/>
        <v/>
      </c>
    </row>
    <row r="3057" spans="19:19">
      <c r="S3057" s="1" t="str">
        <f t="shared" si="188"/>
        <v/>
      </c>
    </row>
    <row r="3058" spans="19:19">
      <c r="S3058" s="1" t="str">
        <f t="shared" si="188"/>
        <v/>
      </c>
    </row>
    <row r="3059" spans="19:19">
      <c r="S3059" s="1" t="str">
        <f t="shared" si="188"/>
        <v/>
      </c>
    </row>
    <row r="3060" spans="19:19">
      <c r="S3060" s="1" t="str">
        <f t="shared" si="188"/>
        <v/>
      </c>
    </row>
    <row r="3061" spans="19:19">
      <c r="S3061" s="1" t="str">
        <f t="shared" si="188"/>
        <v/>
      </c>
    </row>
    <row r="3062" spans="19:19">
      <c r="S3062" s="1" t="str">
        <f t="shared" si="188"/>
        <v/>
      </c>
    </row>
    <row r="3063" spans="19:19">
      <c r="S3063" s="1" t="str">
        <f t="shared" si="188"/>
        <v/>
      </c>
    </row>
    <row r="3064" spans="19:19">
      <c r="S3064" s="1" t="str">
        <f t="shared" si="188"/>
        <v/>
      </c>
    </row>
    <row r="3065" spans="19:19">
      <c r="S3065" s="1" t="str">
        <f t="shared" si="188"/>
        <v/>
      </c>
    </row>
    <row r="3066" spans="19:19">
      <c r="S3066" s="1" t="str">
        <f t="shared" si="188"/>
        <v/>
      </c>
    </row>
    <row r="3067" spans="19:19">
      <c r="S3067" s="1" t="str">
        <f t="shared" si="188"/>
        <v/>
      </c>
    </row>
    <row r="3068" spans="19:19">
      <c r="S3068" s="1" t="str">
        <f t="shared" si="188"/>
        <v/>
      </c>
    </row>
    <row r="3069" spans="19:19">
      <c r="S3069" s="1" t="str">
        <f t="shared" si="188"/>
        <v/>
      </c>
    </row>
    <row r="3070" spans="19:19">
      <c r="S3070" s="1" t="str">
        <f t="shared" si="188"/>
        <v/>
      </c>
    </row>
    <row r="3071" spans="19:19">
      <c r="S3071" s="1" t="str">
        <f t="shared" si="188"/>
        <v/>
      </c>
    </row>
    <row r="3072" spans="19:19">
      <c r="S3072" s="1" t="str">
        <f t="shared" si="188"/>
        <v/>
      </c>
    </row>
    <row r="3073" spans="19:19">
      <c r="S3073" s="1" t="str">
        <f t="shared" si="188"/>
        <v/>
      </c>
    </row>
    <row r="3074" spans="19:19">
      <c r="S3074" s="1" t="str">
        <f t="shared" si="188"/>
        <v/>
      </c>
    </row>
    <row r="3075" spans="19:19">
      <c r="S3075" s="1" t="str">
        <f t="shared" si="188"/>
        <v/>
      </c>
    </row>
    <row r="3076" spans="19:19">
      <c r="S3076" s="1" t="str">
        <f t="shared" si="188"/>
        <v/>
      </c>
    </row>
    <row r="3077" spans="19:19">
      <c r="S3077" s="1" t="str">
        <f t="shared" si="188"/>
        <v/>
      </c>
    </row>
    <row r="3078" spans="19:19">
      <c r="S3078" s="1" t="str">
        <f t="shared" si="188"/>
        <v/>
      </c>
    </row>
    <row r="3079" spans="19:19">
      <c r="S3079" s="1" t="str">
        <f t="shared" si="188"/>
        <v/>
      </c>
    </row>
    <row r="3080" spans="19:19">
      <c r="S3080" s="1" t="str">
        <f t="shared" si="188"/>
        <v/>
      </c>
    </row>
    <row r="3081" spans="19:19">
      <c r="S3081" s="1" t="str">
        <f t="shared" si="188"/>
        <v/>
      </c>
    </row>
    <row r="3082" spans="19:19">
      <c r="S3082" s="1" t="str">
        <f t="shared" si="188"/>
        <v/>
      </c>
    </row>
    <row r="3083" spans="19:19">
      <c r="S3083" s="1" t="str">
        <f t="shared" si="188"/>
        <v/>
      </c>
    </row>
    <row r="3084" spans="19:19">
      <c r="S3084" s="1" t="str">
        <f t="shared" si="188"/>
        <v/>
      </c>
    </row>
    <row r="3085" spans="19:19">
      <c r="S3085" s="1" t="str">
        <f t="shared" si="188"/>
        <v/>
      </c>
    </row>
    <row r="3086" spans="19:19">
      <c r="S3086" s="1" t="str">
        <f t="shared" si="188"/>
        <v/>
      </c>
    </row>
    <row r="3087" spans="19:19">
      <c r="S3087" s="1" t="str">
        <f t="shared" si="188"/>
        <v/>
      </c>
    </row>
    <row r="3088" spans="19:19">
      <c r="S3088" s="1" t="str">
        <f t="shared" si="188"/>
        <v/>
      </c>
    </row>
    <row r="3089" spans="19:19">
      <c r="S3089" s="1" t="str">
        <f t="shared" si="188"/>
        <v/>
      </c>
    </row>
    <row r="3090" spans="19:19">
      <c r="S3090" s="1" t="str">
        <f t="shared" si="188"/>
        <v/>
      </c>
    </row>
    <row r="3091" spans="19:19">
      <c r="S3091" s="1" t="str">
        <f t="shared" si="188"/>
        <v/>
      </c>
    </row>
    <row r="3092" spans="19:19">
      <c r="S3092" s="1" t="str">
        <f t="shared" si="188"/>
        <v/>
      </c>
    </row>
    <row r="3093" spans="19:19">
      <c r="S3093" s="1" t="str">
        <f t="shared" si="188"/>
        <v/>
      </c>
    </row>
    <row r="3094" spans="19:19">
      <c r="S3094" s="1" t="str">
        <f t="shared" si="188"/>
        <v/>
      </c>
    </row>
    <row r="3095" spans="19:19">
      <c r="S3095" s="1" t="str">
        <f t="shared" si="188"/>
        <v/>
      </c>
    </row>
    <row r="3096" spans="19:19">
      <c r="S3096" s="1" t="str">
        <f t="shared" si="188"/>
        <v/>
      </c>
    </row>
    <row r="3097" spans="19:19">
      <c r="S3097" s="1" t="str">
        <f t="shared" si="188"/>
        <v/>
      </c>
    </row>
    <row r="3098" spans="19:19">
      <c r="S3098" s="1" t="str">
        <f t="shared" si="188"/>
        <v/>
      </c>
    </row>
    <row r="3099" spans="19:19">
      <c r="S3099" s="1" t="str">
        <f t="shared" si="188"/>
        <v/>
      </c>
    </row>
    <row r="3100" spans="19:19">
      <c r="S3100" s="1" t="str">
        <f t="shared" si="188"/>
        <v/>
      </c>
    </row>
    <row r="3101" spans="19:19">
      <c r="S3101" s="1" t="str">
        <f t="shared" si="188"/>
        <v/>
      </c>
    </row>
    <row r="3102" spans="19:19">
      <c r="S3102" s="1" t="str">
        <f t="shared" si="188"/>
        <v/>
      </c>
    </row>
    <row r="3103" spans="19:19">
      <c r="S3103" s="1" t="str">
        <f t="shared" si="188"/>
        <v/>
      </c>
    </row>
    <row r="3104" spans="19:19">
      <c r="S3104" s="1" t="str">
        <f t="shared" si="188"/>
        <v/>
      </c>
    </row>
    <row r="3105" spans="19:19">
      <c r="S3105" s="1" t="str">
        <f t="shared" si="188"/>
        <v/>
      </c>
    </row>
    <row r="3106" spans="19:19">
      <c r="S3106" s="1" t="str">
        <f t="shared" si="188"/>
        <v/>
      </c>
    </row>
    <row r="3107" spans="19:19">
      <c r="S3107" s="1" t="str">
        <f t="shared" si="188"/>
        <v/>
      </c>
    </row>
    <row r="3108" spans="19:19">
      <c r="S3108" s="1" t="str">
        <f t="shared" si="188"/>
        <v/>
      </c>
    </row>
    <row r="3109" spans="19:19">
      <c r="S3109" s="1" t="str">
        <f t="shared" ref="S3109:S3172" si="189">IF(O3109="innerText",I3109&amp;"="&amp;IF(C3109="Y",IF(J3109&lt;&gt;"Y",$S$8&amp;$R$9&amp;"."&amp;E3109&amp;")."&amp;IF(OR(O3109="click",O3109="innerText"),O3109&amp;"();",O3109&amp;"("&amp;$Q$8&amp;"."&amp;E3109&amp;");"),$S$7&amp;$R$9&amp;"."&amp;E3109&amp;")."&amp;IF(O3109="click",O3109&amp;"();",O3109&amp;"("&amp;"'"&amp;K3109&amp;"'"&amp;");")),""),IF(C3109="Y",IF(J3109&lt;&gt;"Y",$S$8&amp;$R$9&amp;"."&amp;E3109&amp;")."&amp;IF(OR(O3109="click",O3109="innerText"),O3109&amp;"();",O3109&amp;"("&amp;$Q$8&amp;"."&amp;E3109&amp;");"),$S$7&amp;$R$9&amp;"."&amp;E3109&amp;")."&amp;IF(O3109="click",O3109&amp;"();",O3109&amp;"("&amp;"'"&amp;K3109&amp;"'"&amp;");")),""))</f>
        <v/>
      </c>
    </row>
    <row r="3110" spans="19:19">
      <c r="S3110" s="1" t="str">
        <f t="shared" si="189"/>
        <v/>
      </c>
    </row>
    <row r="3111" spans="19:19">
      <c r="S3111" s="1" t="str">
        <f t="shared" si="189"/>
        <v/>
      </c>
    </row>
    <row r="3112" spans="19:19">
      <c r="S3112" s="1" t="str">
        <f t="shared" si="189"/>
        <v/>
      </c>
    </row>
    <row r="3113" spans="19:19">
      <c r="S3113" s="1" t="str">
        <f t="shared" si="189"/>
        <v/>
      </c>
    </row>
    <row r="3114" spans="19:19">
      <c r="S3114" s="1" t="str">
        <f t="shared" si="189"/>
        <v/>
      </c>
    </row>
    <row r="3115" spans="19:19">
      <c r="S3115" s="1" t="str">
        <f t="shared" si="189"/>
        <v/>
      </c>
    </row>
    <row r="3116" spans="19:19">
      <c r="S3116" s="1" t="str">
        <f t="shared" si="189"/>
        <v/>
      </c>
    </row>
    <row r="3117" spans="19:19">
      <c r="S3117" s="1" t="str">
        <f t="shared" si="189"/>
        <v/>
      </c>
    </row>
    <row r="3118" spans="19:19">
      <c r="S3118" s="1" t="str">
        <f t="shared" si="189"/>
        <v/>
      </c>
    </row>
    <row r="3119" spans="19:19">
      <c r="S3119" s="1" t="str">
        <f t="shared" si="189"/>
        <v/>
      </c>
    </row>
    <row r="3120" spans="19:19">
      <c r="S3120" s="1" t="str">
        <f t="shared" si="189"/>
        <v/>
      </c>
    </row>
    <row r="3121" spans="19:19">
      <c r="S3121" s="1" t="str">
        <f t="shared" si="189"/>
        <v/>
      </c>
    </row>
    <row r="3122" spans="19:19">
      <c r="S3122" s="1" t="str">
        <f t="shared" si="189"/>
        <v/>
      </c>
    </row>
    <row r="3123" spans="19:19">
      <c r="S3123" s="1" t="str">
        <f t="shared" si="189"/>
        <v/>
      </c>
    </row>
    <row r="3124" spans="19:19">
      <c r="S3124" s="1" t="str">
        <f t="shared" si="189"/>
        <v/>
      </c>
    </row>
    <row r="3125" spans="19:19">
      <c r="S3125" s="1" t="str">
        <f t="shared" si="189"/>
        <v/>
      </c>
    </row>
    <row r="3126" spans="19:19">
      <c r="S3126" s="1" t="str">
        <f t="shared" si="189"/>
        <v/>
      </c>
    </row>
    <row r="3127" spans="19:19">
      <c r="S3127" s="1" t="str">
        <f t="shared" si="189"/>
        <v/>
      </c>
    </row>
    <row r="3128" spans="19:19">
      <c r="S3128" s="1" t="str">
        <f t="shared" si="189"/>
        <v/>
      </c>
    </row>
    <row r="3129" spans="19:19">
      <c r="S3129" s="1" t="str">
        <f t="shared" si="189"/>
        <v/>
      </c>
    </row>
    <row r="3130" spans="19:19">
      <c r="S3130" s="1" t="str">
        <f t="shared" si="189"/>
        <v/>
      </c>
    </row>
    <row r="3131" spans="19:19">
      <c r="S3131" s="1" t="str">
        <f t="shared" si="189"/>
        <v/>
      </c>
    </row>
    <row r="3132" spans="19:19">
      <c r="S3132" s="1" t="str">
        <f t="shared" si="189"/>
        <v/>
      </c>
    </row>
    <row r="3133" spans="19:19">
      <c r="S3133" s="1" t="str">
        <f t="shared" si="189"/>
        <v/>
      </c>
    </row>
    <row r="3134" spans="19:19">
      <c r="S3134" s="1" t="str">
        <f t="shared" si="189"/>
        <v/>
      </c>
    </row>
    <row r="3135" spans="19:19">
      <c r="S3135" s="1" t="str">
        <f t="shared" si="189"/>
        <v/>
      </c>
    </row>
    <row r="3136" spans="19:19">
      <c r="S3136" s="1" t="str">
        <f t="shared" si="189"/>
        <v/>
      </c>
    </row>
    <row r="3137" spans="19:19">
      <c r="S3137" s="1" t="str">
        <f t="shared" si="189"/>
        <v/>
      </c>
    </row>
    <row r="3138" spans="19:19">
      <c r="S3138" s="1" t="str">
        <f t="shared" si="189"/>
        <v/>
      </c>
    </row>
    <row r="3139" spans="19:19">
      <c r="S3139" s="1" t="str">
        <f t="shared" si="189"/>
        <v/>
      </c>
    </row>
    <row r="3140" spans="19:19">
      <c r="S3140" s="1" t="str">
        <f t="shared" si="189"/>
        <v/>
      </c>
    </row>
    <row r="3141" spans="19:19">
      <c r="S3141" s="1" t="str">
        <f t="shared" si="189"/>
        <v/>
      </c>
    </row>
    <row r="3142" spans="19:19">
      <c r="S3142" s="1" t="str">
        <f t="shared" si="189"/>
        <v/>
      </c>
    </row>
    <row r="3143" spans="19:19">
      <c r="S3143" s="1" t="str">
        <f t="shared" si="189"/>
        <v/>
      </c>
    </row>
    <row r="3144" spans="19:19">
      <c r="S3144" s="1" t="str">
        <f t="shared" si="189"/>
        <v/>
      </c>
    </row>
    <row r="3145" spans="19:19">
      <c r="S3145" s="1" t="str">
        <f t="shared" si="189"/>
        <v/>
      </c>
    </row>
    <row r="3146" spans="19:19">
      <c r="S3146" s="1" t="str">
        <f t="shared" si="189"/>
        <v/>
      </c>
    </row>
    <row r="3147" spans="19:19">
      <c r="S3147" s="1" t="str">
        <f t="shared" si="189"/>
        <v/>
      </c>
    </row>
    <row r="3148" spans="19:19">
      <c r="S3148" s="1" t="str">
        <f t="shared" si="189"/>
        <v/>
      </c>
    </row>
    <row r="3149" spans="19:19">
      <c r="S3149" s="1" t="str">
        <f t="shared" si="189"/>
        <v/>
      </c>
    </row>
    <row r="3150" spans="19:19">
      <c r="S3150" s="1" t="str">
        <f t="shared" si="189"/>
        <v/>
      </c>
    </row>
    <row r="3151" spans="19:19">
      <c r="S3151" s="1" t="str">
        <f t="shared" si="189"/>
        <v/>
      </c>
    </row>
    <row r="3152" spans="19:19">
      <c r="S3152" s="1" t="str">
        <f t="shared" si="189"/>
        <v/>
      </c>
    </row>
    <row r="3153" spans="19:19">
      <c r="S3153" s="1" t="str">
        <f t="shared" si="189"/>
        <v/>
      </c>
    </row>
    <row r="3154" spans="19:19">
      <c r="S3154" s="1" t="str">
        <f t="shared" si="189"/>
        <v/>
      </c>
    </row>
    <row r="3155" spans="19:19">
      <c r="S3155" s="1" t="str">
        <f t="shared" si="189"/>
        <v/>
      </c>
    </row>
    <row r="3156" spans="19:19">
      <c r="S3156" s="1" t="str">
        <f t="shared" si="189"/>
        <v/>
      </c>
    </row>
    <row r="3157" spans="19:19">
      <c r="S3157" s="1" t="str">
        <f t="shared" si="189"/>
        <v/>
      </c>
    </row>
    <row r="3158" spans="19:19">
      <c r="S3158" s="1" t="str">
        <f t="shared" si="189"/>
        <v/>
      </c>
    </row>
    <row r="3159" spans="19:19">
      <c r="S3159" s="1" t="str">
        <f t="shared" si="189"/>
        <v/>
      </c>
    </row>
    <row r="3160" spans="19:19">
      <c r="S3160" s="1" t="str">
        <f t="shared" si="189"/>
        <v/>
      </c>
    </row>
    <row r="3161" spans="19:19">
      <c r="S3161" s="1" t="str">
        <f t="shared" si="189"/>
        <v/>
      </c>
    </row>
    <row r="3162" spans="19:19">
      <c r="S3162" s="1" t="str">
        <f t="shared" si="189"/>
        <v/>
      </c>
    </row>
    <row r="3163" spans="19:19">
      <c r="S3163" s="1" t="str">
        <f t="shared" si="189"/>
        <v/>
      </c>
    </row>
    <row r="3164" spans="19:19">
      <c r="S3164" s="1" t="str">
        <f t="shared" si="189"/>
        <v/>
      </c>
    </row>
    <row r="3165" spans="19:19">
      <c r="S3165" s="1" t="str">
        <f t="shared" si="189"/>
        <v/>
      </c>
    </row>
    <row r="3166" spans="19:19">
      <c r="S3166" s="1" t="str">
        <f t="shared" si="189"/>
        <v/>
      </c>
    </row>
    <row r="3167" spans="19:19">
      <c r="S3167" s="1" t="str">
        <f t="shared" si="189"/>
        <v/>
      </c>
    </row>
    <row r="3168" spans="19:19">
      <c r="S3168" s="1" t="str">
        <f t="shared" si="189"/>
        <v/>
      </c>
    </row>
    <row r="3169" spans="19:19">
      <c r="S3169" s="1" t="str">
        <f t="shared" si="189"/>
        <v/>
      </c>
    </row>
    <row r="3170" spans="19:19">
      <c r="S3170" s="1" t="str">
        <f t="shared" si="189"/>
        <v/>
      </c>
    </row>
    <row r="3171" spans="19:19">
      <c r="S3171" s="1" t="str">
        <f t="shared" si="189"/>
        <v/>
      </c>
    </row>
    <row r="3172" spans="19:19">
      <c r="S3172" s="1" t="str">
        <f t="shared" si="189"/>
        <v/>
      </c>
    </row>
    <row r="3173" spans="19:19">
      <c r="S3173" s="1" t="str">
        <f t="shared" ref="S3173:S3236" si="190">IF(O3173="innerText",I3173&amp;"="&amp;IF(C3173="Y",IF(J3173&lt;&gt;"Y",$S$8&amp;$R$9&amp;"."&amp;E3173&amp;")."&amp;IF(OR(O3173="click",O3173="innerText"),O3173&amp;"();",O3173&amp;"("&amp;$Q$8&amp;"."&amp;E3173&amp;");"),$S$7&amp;$R$9&amp;"."&amp;E3173&amp;")."&amp;IF(O3173="click",O3173&amp;"();",O3173&amp;"("&amp;"'"&amp;K3173&amp;"'"&amp;");")),""),IF(C3173="Y",IF(J3173&lt;&gt;"Y",$S$8&amp;$R$9&amp;"."&amp;E3173&amp;")."&amp;IF(OR(O3173="click",O3173="innerText"),O3173&amp;"();",O3173&amp;"("&amp;$Q$8&amp;"."&amp;E3173&amp;");"),$S$7&amp;$R$9&amp;"."&amp;E3173&amp;")."&amp;IF(O3173="click",O3173&amp;"();",O3173&amp;"("&amp;"'"&amp;K3173&amp;"'"&amp;");")),""))</f>
        <v/>
      </c>
    </row>
    <row r="3174" spans="19:19">
      <c r="S3174" s="1" t="str">
        <f t="shared" si="190"/>
        <v/>
      </c>
    </row>
    <row r="3175" spans="19:19">
      <c r="S3175" s="1" t="str">
        <f t="shared" si="190"/>
        <v/>
      </c>
    </row>
    <row r="3176" spans="19:19">
      <c r="S3176" s="1" t="str">
        <f t="shared" si="190"/>
        <v/>
      </c>
    </row>
    <row r="3177" spans="19:19">
      <c r="S3177" s="1" t="str">
        <f t="shared" si="190"/>
        <v/>
      </c>
    </row>
    <row r="3178" spans="19:19">
      <c r="S3178" s="1" t="str">
        <f t="shared" si="190"/>
        <v/>
      </c>
    </row>
    <row r="3179" spans="19:19">
      <c r="S3179" s="1" t="str">
        <f t="shared" si="190"/>
        <v/>
      </c>
    </row>
    <row r="3180" spans="19:19">
      <c r="S3180" s="1" t="str">
        <f t="shared" si="190"/>
        <v/>
      </c>
    </row>
    <row r="3181" spans="19:19">
      <c r="S3181" s="1" t="str">
        <f t="shared" si="190"/>
        <v/>
      </c>
    </row>
    <row r="3182" spans="19:19">
      <c r="S3182" s="1" t="str">
        <f t="shared" si="190"/>
        <v/>
      </c>
    </row>
    <row r="3183" spans="19:19">
      <c r="S3183" s="1" t="str">
        <f t="shared" si="190"/>
        <v/>
      </c>
    </row>
    <row r="3184" spans="19:19">
      <c r="S3184" s="1" t="str">
        <f t="shared" si="190"/>
        <v/>
      </c>
    </row>
    <row r="3185" spans="19:19">
      <c r="S3185" s="1" t="str">
        <f t="shared" si="190"/>
        <v/>
      </c>
    </row>
    <row r="3186" spans="19:19">
      <c r="S3186" s="1" t="str">
        <f t="shared" si="190"/>
        <v/>
      </c>
    </row>
    <row r="3187" spans="19:19">
      <c r="S3187" s="1" t="str">
        <f t="shared" si="190"/>
        <v/>
      </c>
    </row>
    <row r="3188" spans="19:19">
      <c r="S3188" s="1" t="str">
        <f t="shared" si="190"/>
        <v/>
      </c>
    </row>
    <row r="3189" spans="19:19">
      <c r="S3189" s="1" t="str">
        <f t="shared" si="190"/>
        <v/>
      </c>
    </row>
    <row r="3190" spans="19:19">
      <c r="S3190" s="1" t="str">
        <f t="shared" si="190"/>
        <v/>
      </c>
    </row>
    <row r="3191" spans="19:19">
      <c r="S3191" s="1" t="str">
        <f t="shared" si="190"/>
        <v/>
      </c>
    </row>
    <row r="3192" spans="19:19">
      <c r="S3192" s="1" t="str">
        <f t="shared" si="190"/>
        <v/>
      </c>
    </row>
    <row r="3193" spans="19:19">
      <c r="S3193" s="1" t="str">
        <f t="shared" si="190"/>
        <v/>
      </c>
    </row>
    <row r="3194" spans="19:19">
      <c r="S3194" s="1" t="str">
        <f t="shared" si="190"/>
        <v/>
      </c>
    </row>
    <row r="3195" spans="19:19">
      <c r="S3195" s="1" t="str">
        <f t="shared" si="190"/>
        <v/>
      </c>
    </row>
    <row r="3196" spans="19:19">
      <c r="S3196" s="1" t="str">
        <f t="shared" si="190"/>
        <v/>
      </c>
    </row>
    <row r="3197" spans="19:19">
      <c r="S3197" s="1" t="str">
        <f t="shared" si="190"/>
        <v/>
      </c>
    </row>
    <row r="3198" spans="19:19">
      <c r="S3198" s="1" t="str">
        <f t="shared" si="190"/>
        <v/>
      </c>
    </row>
    <row r="3199" spans="19:19">
      <c r="S3199" s="1" t="str">
        <f t="shared" si="190"/>
        <v/>
      </c>
    </row>
    <row r="3200" spans="19:19">
      <c r="S3200" s="1" t="str">
        <f t="shared" si="190"/>
        <v/>
      </c>
    </row>
    <row r="3201" spans="19:19">
      <c r="S3201" s="1" t="str">
        <f t="shared" si="190"/>
        <v/>
      </c>
    </row>
    <row r="3202" spans="19:19">
      <c r="S3202" s="1" t="str">
        <f t="shared" si="190"/>
        <v/>
      </c>
    </row>
    <row r="3203" spans="19:19">
      <c r="S3203" s="1" t="str">
        <f t="shared" si="190"/>
        <v/>
      </c>
    </row>
    <row r="3204" spans="19:19">
      <c r="S3204" s="1" t="str">
        <f t="shared" si="190"/>
        <v/>
      </c>
    </row>
    <row r="3205" spans="19:19">
      <c r="S3205" s="1" t="str">
        <f t="shared" si="190"/>
        <v/>
      </c>
    </row>
    <row r="3206" spans="19:19">
      <c r="S3206" s="1" t="str">
        <f t="shared" si="190"/>
        <v/>
      </c>
    </row>
    <row r="3207" spans="19:19">
      <c r="S3207" s="1" t="str">
        <f t="shared" si="190"/>
        <v/>
      </c>
    </row>
    <row r="3208" spans="19:19">
      <c r="S3208" s="1" t="str">
        <f t="shared" si="190"/>
        <v/>
      </c>
    </row>
    <row r="3209" spans="19:19">
      <c r="S3209" s="1" t="str">
        <f t="shared" si="190"/>
        <v/>
      </c>
    </row>
    <row r="3210" spans="19:19">
      <c r="S3210" s="1" t="str">
        <f t="shared" si="190"/>
        <v/>
      </c>
    </row>
    <row r="3211" spans="19:19">
      <c r="S3211" s="1" t="str">
        <f t="shared" si="190"/>
        <v/>
      </c>
    </row>
    <row r="3212" spans="19:19">
      <c r="S3212" s="1" t="str">
        <f t="shared" si="190"/>
        <v/>
      </c>
    </row>
    <row r="3213" spans="19:19">
      <c r="S3213" s="1" t="str">
        <f t="shared" si="190"/>
        <v/>
      </c>
    </row>
    <row r="3214" spans="19:19">
      <c r="S3214" s="1" t="str">
        <f t="shared" si="190"/>
        <v/>
      </c>
    </row>
    <row r="3215" spans="19:19">
      <c r="S3215" s="1" t="str">
        <f t="shared" si="190"/>
        <v/>
      </c>
    </row>
    <row r="3216" spans="19:19">
      <c r="S3216" s="1" t="str">
        <f t="shared" si="190"/>
        <v/>
      </c>
    </row>
    <row r="3217" spans="19:19">
      <c r="S3217" s="1" t="str">
        <f t="shared" si="190"/>
        <v/>
      </c>
    </row>
    <row r="3218" spans="19:19">
      <c r="S3218" s="1" t="str">
        <f t="shared" si="190"/>
        <v/>
      </c>
    </row>
    <row r="3219" spans="19:19">
      <c r="S3219" s="1" t="str">
        <f t="shared" si="190"/>
        <v/>
      </c>
    </row>
    <row r="3220" spans="19:19">
      <c r="S3220" s="1" t="str">
        <f t="shared" si="190"/>
        <v/>
      </c>
    </row>
    <row r="3221" spans="19:19">
      <c r="S3221" s="1" t="str">
        <f t="shared" si="190"/>
        <v/>
      </c>
    </row>
    <row r="3222" spans="19:19">
      <c r="S3222" s="1" t="str">
        <f t="shared" si="190"/>
        <v/>
      </c>
    </row>
    <row r="3223" spans="19:19">
      <c r="S3223" s="1" t="str">
        <f t="shared" si="190"/>
        <v/>
      </c>
    </row>
    <row r="3224" spans="19:19">
      <c r="S3224" s="1" t="str">
        <f t="shared" si="190"/>
        <v/>
      </c>
    </row>
    <row r="3225" spans="19:19">
      <c r="S3225" s="1" t="str">
        <f t="shared" si="190"/>
        <v/>
      </c>
    </row>
    <row r="3226" spans="19:19">
      <c r="S3226" s="1" t="str">
        <f t="shared" si="190"/>
        <v/>
      </c>
    </row>
    <row r="3227" spans="19:19">
      <c r="S3227" s="1" t="str">
        <f t="shared" si="190"/>
        <v/>
      </c>
    </row>
    <row r="3228" spans="19:19">
      <c r="S3228" s="1" t="str">
        <f t="shared" si="190"/>
        <v/>
      </c>
    </row>
    <row r="3229" spans="19:19">
      <c r="S3229" s="1" t="str">
        <f t="shared" si="190"/>
        <v/>
      </c>
    </row>
    <row r="3230" spans="19:19">
      <c r="S3230" s="1" t="str">
        <f t="shared" si="190"/>
        <v/>
      </c>
    </row>
    <row r="3231" spans="19:19">
      <c r="S3231" s="1" t="str">
        <f t="shared" si="190"/>
        <v/>
      </c>
    </row>
    <row r="3232" spans="19:19">
      <c r="S3232" s="1" t="str">
        <f t="shared" si="190"/>
        <v/>
      </c>
    </row>
    <row r="3233" spans="19:19">
      <c r="S3233" s="1" t="str">
        <f t="shared" si="190"/>
        <v/>
      </c>
    </row>
    <row r="3234" spans="19:19">
      <c r="S3234" s="1" t="str">
        <f t="shared" si="190"/>
        <v/>
      </c>
    </row>
    <row r="3235" spans="19:19">
      <c r="S3235" s="1" t="str">
        <f t="shared" si="190"/>
        <v/>
      </c>
    </row>
    <row r="3236" spans="19:19">
      <c r="S3236" s="1" t="str">
        <f t="shared" si="190"/>
        <v/>
      </c>
    </row>
    <row r="3237" spans="19:19">
      <c r="S3237" s="1" t="str">
        <f t="shared" ref="S3237:S3300" si="191">IF(O3237="innerText",I3237&amp;"="&amp;IF(C3237="Y",IF(J3237&lt;&gt;"Y",$S$8&amp;$R$9&amp;"."&amp;E3237&amp;")."&amp;IF(OR(O3237="click",O3237="innerText"),O3237&amp;"();",O3237&amp;"("&amp;$Q$8&amp;"."&amp;E3237&amp;");"),$S$7&amp;$R$9&amp;"."&amp;E3237&amp;")."&amp;IF(O3237="click",O3237&amp;"();",O3237&amp;"("&amp;"'"&amp;K3237&amp;"'"&amp;");")),""),IF(C3237="Y",IF(J3237&lt;&gt;"Y",$S$8&amp;$R$9&amp;"."&amp;E3237&amp;")."&amp;IF(OR(O3237="click",O3237="innerText"),O3237&amp;"();",O3237&amp;"("&amp;$Q$8&amp;"."&amp;E3237&amp;");"),$S$7&amp;$R$9&amp;"."&amp;E3237&amp;")."&amp;IF(O3237="click",O3237&amp;"();",O3237&amp;"("&amp;"'"&amp;K3237&amp;"'"&amp;");")),""))</f>
        <v/>
      </c>
    </row>
    <row r="3238" spans="19:19">
      <c r="S3238" s="1" t="str">
        <f t="shared" si="191"/>
        <v/>
      </c>
    </row>
    <row r="3239" spans="19:19">
      <c r="S3239" s="1" t="str">
        <f t="shared" si="191"/>
        <v/>
      </c>
    </row>
    <row r="3240" spans="19:19">
      <c r="S3240" s="1" t="str">
        <f t="shared" si="191"/>
        <v/>
      </c>
    </row>
    <row r="3241" spans="19:19">
      <c r="S3241" s="1" t="str">
        <f t="shared" si="191"/>
        <v/>
      </c>
    </row>
    <row r="3242" spans="19:19">
      <c r="S3242" s="1" t="str">
        <f t="shared" si="191"/>
        <v/>
      </c>
    </row>
    <row r="3243" spans="19:19">
      <c r="S3243" s="1" t="str">
        <f t="shared" si="191"/>
        <v/>
      </c>
    </row>
    <row r="3244" spans="19:19">
      <c r="S3244" s="1" t="str">
        <f t="shared" si="191"/>
        <v/>
      </c>
    </row>
    <row r="3245" spans="19:19">
      <c r="S3245" s="1" t="str">
        <f t="shared" si="191"/>
        <v/>
      </c>
    </row>
    <row r="3246" spans="19:19">
      <c r="S3246" s="1" t="str">
        <f t="shared" si="191"/>
        <v/>
      </c>
    </row>
    <row r="3247" spans="19:19">
      <c r="S3247" s="1" t="str">
        <f t="shared" si="191"/>
        <v/>
      </c>
    </row>
    <row r="3248" spans="19:19">
      <c r="S3248" s="1" t="str">
        <f t="shared" si="191"/>
        <v/>
      </c>
    </row>
    <row r="3249" spans="19:19">
      <c r="S3249" s="1" t="str">
        <f t="shared" si="191"/>
        <v/>
      </c>
    </row>
    <row r="3250" spans="19:19">
      <c r="S3250" s="1" t="str">
        <f t="shared" si="191"/>
        <v/>
      </c>
    </row>
    <row r="3251" spans="19:19">
      <c r="S3251" s="1" t="str">
        <f t="shared" si="191"/>
        <v/>
      </c>
    </row>
    <row r="3252" spans="19:19">
      <c r="S3252" s="1" t="str">
        <f t="shared" si="191"/>
        <v/>
      </c>
    </row>
    <row r="3253" spans="19:19">
      <c r="S3253" s="1" t="str">
        <f t="shared" si="191"/>
        <v/>
      </c>
    </row>
    <row r="3254" spans="19:19">
      <c r="S3254" s="1" t="str">
        <f t="shared" si="191"/>
        <v/>
      </c>
    </row>
    <row r="3255" spans="19:19">
      <c r="S3255" s="1" t="str">
        <f t="shared" si="191"/>
        <v/>
      </c>
    </row>
    <row r="3256" spans="19:19">
      <c r="S3256" s="1" t="str">
        <f t="shared" si="191"/>
        <v/>
      </c>
    </row>
    <row r="3257" spans="19:19">
      <c r="S3257" s="1" t="str">
        <f t="shared" si="191"/>
        <v/>
      </c>
    </row>
    <row r="3258" spans="19:19">
      <c r="S3258" s="1" t="str">
        <f t="shared" si="191"/>
        <v/>
      </c>
    </row>
    <row r="3259" spans="19:19">
      <c r="S3259" s="1" t="str">
        <f t="shared" si="191"/>
        <v/>
      </c>
    </row>
    <row r="3260" spans="19:19">
      <c r="S3260" s="1" t="str">
        <f t="shared" si="191"/>
        <v/>
      </c>
    </row>
    <row r="3261" spans="19:19">
      <c r="S3261" s="1" t="str">
        <f t="shared" si="191"/>
        <v/>
      </c>
    </row>
    <row r="3262" spans="19:19">
      <c r="S3262" s="1" t="str">
        <f t="shared" si="191"/>
        <v/>
      </c>
    </row>
    <row r="3263" spans="19:19">
      <c r="S3263" s="1" t="str">
        <f t="shared" si="191"/>
        <v/>
      </c>
    </row>
    <row r="3264" spans="19:19">
      <c r="S3264" s="1" t="str">
        <f t="shared" si="191"/>
        <v/>
      </c>
    </row>
    <row r="3265" spans="19:19">
      <c r="S3265" s="1" t="str">
        <f t="shared" si="191"/>
        <v/>
      </c>
    </row>
    <row r="3266" spans="19:19">
      <c r="S3266" s="1" t="str">
        <f t="shared" si="191"/>
        <v/>
      </c>
    </row>
    <row r="3267" spans="19:19">
      <c r="S3267" s="1" t="str">
        <f t="shared" si="191"/>
        <v/>
      </c>
    </row>
    <row r="3268" spans="19:19">
      <c r="S3268" s="1" t="str">
        <f t="shared" si="191"/>
        <v/>
      </c>
    </row>
    <row r="3269" spans="19:19">
      <c r="S3269" s="1" t="str">
        <f t="shared" si="191"/>
        <v/>
      </c>
    </row>
    <row r="3270" spans="19:19">
      <c r="S3270" s="1" t="str">
        <f t="shared" si="191"/>
        <v/>
      </c>
    </row>
    <row r="3271" spans="19:19">
      <c r="S3271" s="1" t="str">
        <f t="shared" si="191"/>
        <v/>
      </c>
    </row>
    <row r="3272" spans="19:19">
      <c r="S3272" s="1" t="str">
        <f t="shared" si="191"/>
        <v/>
      </c>
    </row>
    <row r="3273" spans="19:19">
      <c r="S3273" s="1" t="str">
        <f t="shared" si="191"/>
        <v/>
      </c>
    </row>
    <row r="3274" spans="19:19">
      <c r="S3274" s="1" t="str">
        <f t="shared" si="191"/>
        <v/>
      </c>
    </row>
    <row r="3275" spans="19:19">
      <c r="S3275" s="1" t="str">
        <f t="shared" si="191"/>
        <v/>
      </c>
    </row>
    <row r="3276" spans="19:19">
      <c r="S3276" s="1" t="str">
        <f t="shared" si="191"/>
        <v/>
      </c>
    </row>
    <row r="3277" spans="19:19">
      <c r="S3277" s="1" t="str">
        <f t="shared" si="191"/>
        <v/>
      </c>
    </row>
    <row r="3278" spans="19:19">
      <c r="S3278" s="1" t="str">
        <f t="shared" si="191"/>
        <v/>
      </c>
    </row>
    <row r="3279" spans="19:19">
      <c r="S3279" s="1" t="str">
        <f t="shared" si="191"/>
        <v/>
      </c>
    </row>
    <row r="3280" spans="19:19">
      <c r="S3280" s="1" t="str">
        <f t="shared" si="191"/>
        <v/>
      </c>
    </row>
    <row r="3281" spans="19:19">
      <c r="S3281" s="1" t="str">
        <f t="shared" si="191"/>
        <v/>
      </c>
    </row>
    <row r="3282" spans="19:19">
      <c r="S3282" s="1" t="str">
        <f t="shared" si="191"/>
        <v/>
      </c>
    </row>
    <row r="3283" spans="19:19">
      <c r="S3283" s="1" t="str">
        <f t="shared" si="191"/>
        <v/>
      </c>
    </row>
    <row r="3284" spans="19:19">
      <c r="S3284" s="1" t="str">
        <f t="shared" si="191"/>
        <v/>
      </c>
    </row>
    <row r="3285" spans="19:19">
      <c r="S3285" s="1" t="str">
        <f t="shared" si="191"/>
        <v/>
      </c>
    </row>
    <row r="3286" spans="19:19">
      <c r="S3286" s="1" t="str">
        <f t="shared" si="191"/>
        <v/>
      </c>
    </row>
    <row r="3287" spans="19:19">
      <c r="S3287" s="1" t="str">
        <f t="shared" si="191"/>
        <v/>
      </c>
    </row>
    <row r="3288" spans="19:19">
      <c r="S3288" s="1" t="str">
        <f t="shared" si="191"/>
        <v/>
      </c>
    </row>
    <row r="3289" spans="19:19">
      <c r="S3289" s="1" t="str">
        <f t="shared" si="191"/>
        <v/>
      </c>
    </row>
    <row r="3290" spans="19:19">
      <c r="S3290" s="1" t="str">
        <f t="shared" si="191"/>
        <v/>
      </c>
    </row>
    <row r="3291" spans="19:19">
      <c r="S3291" s="1" t="str">
        <f t="shared" si="191"/>
        <v/>
      </c>
    </row>
    <row r="3292" spans="19:19">
      <c r="S3292" s="1" t="str">
        <f t="shared" si="191"/>
        <v/>
      </c>
    </row>
    <row r="3293" spans="19:19">
      <c r="S3293" s="1" t="str">
        <f t="shared" si="191"/>
        <v/>
      </c>
    </row>
    <row r="3294" spans="19:19">
      <c r="S3294" s="1" t="str">
        <f t="shared" si="191"/>
        <v/>
      </c>
    </row>
    <row r="3295" spans="19:19">
      <c r="S3295" s="1" t="str">
        <f t="shared" si="191"/>
        <v/>
      </c>
    </row>
    <row r="3296" spans="19:19">
      <c r="S3296" s="1" t="str">
        <f t="shared" si="191"/>
        <v/>
      </c>
    </row>
    <row r="3297" spans="19:19">
      <c r="S3297" s="1" t="str">
        <f t="shared" si="191"/>
        <v/>
      </c>
    </row>
    <row r="3298" spans="19:19">
      <c r="S3298" s="1" t="str">
        <f t="shared" si="191"/>
        <v/>
      </c>
    </row>
    <row r="3299" spans="19:19">
      <c r="S3299" s="1" t="str">
        <f t="shared" si="191"/>
        <v/>
      </c>
    </row>
    <row r="3300" spans="19:19">
      <c r="S3300" s="1" t="str">
        <f t="shared" si="191"/>
        <v/>
      </c>
    </row>
    <row r="3301" spans="19:19">
      <c r="S3301" s="1" t="str">
        <f t="shared" ref="S3301:S3369" si="192">IF(O3301="innerText",I3301&amp;"="&amp;IF(C3301="Y",IF(J3301&lt;&gt;"Y",$S$8&amp;$R$9&amp;"."&amp;E3301&amp;")."&amp;IF(OR(O3301="click",O3301="innerText"),O3301&amp;"();",O3301&amp;"("&amp;$Q$8&amp;"."&amp;E3301&amp;");"),$S$7&amp;$R$9&amp;"."&amp;E3301&amp;")."&amp;IF(O3301="click",O3301&amp;"();",O3301&amp;"("&amp;"'"&amp;K3301&amp;"'"&amp;");")),""),IF(C3301="Y",IF(J3301&lt;&gt;"Y",$S$8&amp;$R$9&amp;"."&amp;E3301&amp;")."&amp;IF(OR(O3301="click",O3301="innerText"),O3301&amp;"();",O3301&amp;"("&amp;$Q$8&amp;"."&amp;E3301&amp;");"),$S$7&amp;$R$9&amp;"."&amp;E3301&amp;")."&amp;IF(O3301="click",O3301&amp;"();",O3301&amp;"("&amp;"'"&amp;K3301&amp;"'"&amp;");")),""))</f>
        <v/>
      </c>
    </row>
    <row r="3302" spans="19:19">
      <c r="S3302" s="1" t="str">
        <f t="shared" si="192"/>
        <v/>
      </c>
    </row>
    <row r="3303" spans="19:19">
      <c r="S3303" s="1" t="str">
        <f t="shared" si="192"/>
        <v/>
      </c>
    </row>
    <row r="3304" spans="19:19">
      <c r="S3304" s="1" t="str">
        <f t="shared" si="192"/>
        <v/>
      </c>
    </row>
    <row r="3305" spans="19:19">
      <c r="S3305" s="1" t="str">
        <f t="shared" si="192"/>
        <v/>
      </c>
    </row>
    <row r="3306" spans="19:19">
      <c r="S3306" s="1" t="str">
        <f t="shared" si="192"/>
        <v/>
      </c>
    </row>
    <row r="3307" spans="19:19">
      <c r="S3307" s="1" t="str">
        <f t="shared" si="192"/>
        <v/>
      </c>
    </row>
    <row r="3308" spans="19:19">
      <c r="S3308" s="1" t="str">
        <f t="shared" si="192"/>
        <v/>
      </c>
    </row>
    <row r="3309" spans="19:19">
      <c r="S3309" s="1" t="str">
        <f t="shared" si="192"/>
        <v/>
      </c>
    </row>
    <row r="3310" spans="19:19">
      <c r="S3310" s="1" t="str">
        <f t="shared" si="192"/>
        <v/>
      </c>
    </row>
    <row r="3311" spans="19:19">
      <c r="S3311" s="1" t="str">
        <f t="shared" si="192"/>
        <v/>
      </c>
    </row>
    <row r="3312" spans="19:19">
      <c r="S3312" s="1" t="str">
        <f t="shared" si="192"/>
        <v/>
      </c>
    </row>
    <row r="3313" spans="19:19">
      <c r="S3313" s="1" t="str">
        <f t="shared" si="192"/>
        <v/>
      </c>
    </row>
    <row r="3314" spans="19:19">
      <c r="S3314" s="1" t="str">
        <f t="shared" si="192"/>
        <v/>
      </c>
    </row>
    <row r="3315" spans="19:19">
      <c r="S3315" s="1" t="str">
        <f t="shared" si="192"/>
        <v/>
      </c>
    </row>
    <row r="3316" spans="19:19">
      <c r="S3316" s="1" t="str">
        <f t="shared" si="192"/>
        <v/>
      </c>
    </row>
    <row r="3317" spans="19:19">
      <c r="S3317" s="1" t="str">
        <f t="shared" si="192"/>
        <v/>
      </c>
    </row>
    <row r="3318" spans="19:19">
      <c r="S3318" s="1" t="str">
        <f t="shared" si="192"/>
        <v/>
      </c>
    </row>
    <row r="3319" spans="19:19">
      <c r="S3319" s="1" t="str">
        <f t="shared" si="192"/>
        <v/>
      </c>
    </row>
    <row r="3320" spans="19:19">
      <c r="S3320" s="1" t="str">
        <f t="shared" si="192"/>
        <v/>
      </c>
    </row>
    <row r="3321" spans="19:19">
      <c r="S3321" s="1" t="str">
        <f t="shared" si="192"/>
        <v/>
      </c>
    </row>
    <row r="3322" spans="19:19">
      <c r="S3322" s="1" t="str">
        <f t="shared" si="192"/>
        <v/>
      </c>
    </row>
    <row r="3323" spans="19:19">
      <c r="S3323" s="1" t="str">
        <f t="shared" si="192"/>
        <v/>
      </c>
    </row>
    <row r="3324" spans="19:19">
      <c r="S3324" s="1" t="str">
        <f t="shared" si="192"/>
        <v/>
      </c>
    </row>
    <row r="3325" spans="19:19">
      <c r="S3325" s="1" t="str">
        <f t="shared" si="192"/>
        <v/>
      </c>
    </row>
    <row r="3326" spans="19:19">
      <c r="S3326" s="1" t="str">
        <f t="shared" si="192"/>
        <v/>
      </c>
    </row>
    <row r="3327" spans="19:19">
      <c r="S3327" s="1" t="str">
        <f t="shared" si="192"/>
        <v/>
      </c>
    </row>
    <row r="3328" spans="19:19">
      <c r="S3328" s="1" t="str">
        <f t="shared" si="192"/>
        <v/>
      </c>
    </row>
    <row r="3329" spans="19:19">
      <c r="S3329" s="1" t="str">
        <f t="shared" si="192"/>
        <v/>
      </c>
    </row>
    <row r="3330" spans="19:19">
      <c r="S3330" s="1" t="str">
        <f t="shared" si="192"/>
        <v/>
      </c>
    </row>
    <row r="3331" spans="19:19">
      <c r="S3331" s="1" t="str">
        <f t="shared" si="192"/>
        <v/>
      </c>
    </row>
    <row r="3332" spans="19:19">
      <c r="S3332" s="1" t="str">
        <f t="shared" si="192"/>
        <v/>
      </c>
    </row>
    <row r="3333" spans="19:19">
      <c r="S3333" s="1" t="str">
        <f t="shared" si="192"/>
        <v/>
      </c>
    </row>
    <row r="3334" spans="19:19">
      <c r="S3334" s="1" t="str">
        <f t="shared" si="192"/>
        <v/>
      </c>
    </row>
    <row r="3335" spans="19:19">
      <c r="S3335" s="1" t="str">
        <f t="shared" si="192"/>
        <v/>
      </c>
    </row>
    <row r="3336" spans="19:19">
      <c r="S3336" s="1" t="str">
        <f t="shared" si="192"/>
        <v/>
      </c>
    </row>
    <row r="3337" spans="19:19">
      <c r="S3337" s="1" t="str">
        <f t="shared" si="192"/>
        <v/>
      </c>
    </row>
    <row r="3338" spans="19:19">
      <c r="S3338" s="1" t="str">
        <f t="shared" si="192"/>
        <v/>
      </c>
    </row>
    <row r="3339" spans="19:19">
      <c r="S3339" s="1" t="str">
        <f t="shared" si="192"/>
        <v/>
      </c>
    </row>
    <row r="3340" spans="19:19">
      <c r="S3340" s="1" t="str">
        <f t="shared" si="192"/>
        <v/>
      </c>
    </row>
    <row r="3341" spans="19:19">
      <c r="S3341" s="1" t="str">
        <f t="shared" si="192"/>
        <v/>
      </c>
    </row>
    <row r="3342" spans="19:19">
      <c r="S3342" s="1" t="str">
        <f t="shared" si="192"/>
        <v/>
      </c>
    </row>
    <row r="3343" spans="19:19">
      <c r="S3343" s="1" t="str">
        <f t="shared" si="192"/>
        <v/>
      </c>
    </row>
    <row r="3344" spans="19:19">
      <c r="S3344" s="1" t="str">
        <f t="shared" si="192"/>
        <v/>
      </c>
    </row>
    <row r="3345" spans="19:19">
      <c r="S3345" s="1" t="str">
        <f t="shared" si="192"/>
        <v/>
      </c>
    </row>
    <row r="3346" spans="19:19">
      <c r="S3346" s="1" t="str">
        <f t="shared" si="192"/>
        <v/>
      </c>
    </row>
    <row r="3347" spans="19:19">
      <c r="S3347" s="1" t="str">
        <f t="shared" si="192"/>
        <v/>
      </c>
    </row>
    <row r="3348" spans="19:19">
      <c r="S3348" s="1" t="str">
        <f t="shared" si="192"/>
        <v/>
      </c>
    </row>
    <row r="3349" spans="19:19">
      <c r="S3349" s="1" t="str">
        <f t="shared" si="192"/>
        <v/>
      </c>
    </row>
    <row r="3350" spans="19:19">
      <c r="S3350" s="1" t="str">
        <f t="shared" si="192"/>
        <v/>
      </c>
    </row>
    <row r="3351" spans="19:19">
      <c r="S3351" s="1" t="str">
        <f t="shared" si="192"/>
        <v/>
      </c>
    </row>
    <row r="3352" spans="19:19">
      <c r="S3352" s="1" t="str">
        <f t="shared" si="192"/>
        <v/>
      </c>
    </row>
    <row r="3353" spans="19:19">
      <c r="S3353" s="1" t="str">
        <f t="shared" si="192"/>
        <v/>
      </c>
    </row>
    <row r="3354" spans="19:19">
      <c r="S3354" s="1" t="str">
        <f t="shared" si="192"/>
        <v/>
      </c>
    </row>
    <row r="3355" spans="19:19">
      <c r="S3355" s="1" t="str">
        <f t="shared" si="192"/>
        <v/>
      </c>
    </row>
    <row r="3356" spans="19:19">
      <c r="S3356" s="1" t="str">
        <f t="shared" si="192"/>
        <v/>
      </c>
    </row>
    <row r="3357" spans="19:19">
      <c r="S3357" s="1" t="str">
        <f t="shared" si="192"/>
        <v/>
      </c>
    </row>
    <row r="3358" spans="19:19">
      <c r="S3358" s="1" t="str">
        <f t="shared" si="192"/>
        <v/>
      </c>
    </row>
    <row r="3359" spans="19:19">
      <c r="S3359" s="1" t="str">
        <f t="shared" si="192"/>
        <v/>
      </c>
    </row>
    <row r="3360" spans="19:19">
      <c r="S3360" s="1" t="str">
        <f t="shared" si="192"/>
        <v/>
      </c>
    </row>
    <row r="3361" spans="19:19">
      <c r="S3361" s="1" t="str">
        <f t="shared" si="192"/>
        <v/>
      </c>
    </row>
    <row r="3362" spans="19:19">
      <c r="S3362" s="1" t="str">
        <f t="shared" si="192"/>
        <v/>
      </c>
    </row>
    <row r="3363" spans="19:19">
      <c r="S3363" s="1" t="str">
        <f t="shared" si="192"/>
        <v/>
      </c>
    </row>
    <row r="3364" spans="19:19">
      <c r="S3364" s="1" t="str">
        <f t="shared" si="192"/>
        <v/>
      </c>
    </row>
    <row r="3365" spans="19:19">
      <c r="S3365" s="1" t="str">
        <f t="shared" si="192"/>
        <v/>
      </c>
    </row>
    <row r="3366" spans="19:19">
      <c r="S3366" s="1" t="str">
        <f t="shared" si="192"/>
        <v/>
      </c>
    </row>
    <row r="3367" spans="19:19">
      <c r="S3367" s="1" t="str">
        <f t="shared" si="192"/>
        <v/>
      </c>
    </row>
    <row r="3368" spans="19:19">
      <c r="S3368" s="1" t="str">
        <f t="shared" si="192"/>
        <v/>
      </c>
    </row>
    <row r="3369" spans="19:19">
      <c r="S3369" s="1" t="str">
        <f t="shared" si="192"/>
        <v/>
      </c>
    </row>
  </sheetData>
  <sortState xmlns:xlrd2="http://schemas.microsoft.com/office/spreadsheetml/2017/richdata2" ref="Y9:Y12">
    <sortCondition ref="Y1"/>
  </sortState>
  <phoneticPr fontId="1" type="noConversion"/>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9F1A6-FD98-49D4-86F7-E836D78E35ED}">
  <sheetPr codeName="Sheet30"/>
  <dimension ref="A1:AF2577"/>
  <sheetViews>
    <sheetView topLeftCell="O1" workbookViewId="0">
      <selection activeCell="T18" sqref="T18"/>
    </sheetView>
  </sheetViews>
  <sheetFormatPr defaultRowHeight="15"/>
  <cols>
    <col min="1" max="1" width="9.7109375" bestFit="1" customWidth="1"/>
    <col min="2" max="2" width="17.28515625" bestFit="1" customWidth="1"/>
    <col min="3" max="3" width="38.85546875" bestFit="1" customWidth="1"/>
    <col min="4" max="4" width="11.42578125" bestFit="1" customWidth="1"/>
    <col min="5" max="6" width="17.5703125" bestFit="1" customWidth="1"/>
    <col min="10" max="10" width="13.28515625" bestFit="1" customWidth="1"/>
    <col min="11" max="11" width="15.28515625" bestFit="1" customWidth="1"/>
    <col min="14" max="15" width="133" bestFit="1" customWidth="1"/>
    <col min="16" max="16" width="72.85546875" style="1" bestFit="1" customWidth="1"/>
    <col min="17" max="17" width="31.28515625" bestFit="1" customWidth="1"/>
    <col min="18" max="18" width="58.140625" bestFit="1" customWidth="1"/>
    <col min="19" max="19" width="34.42578125" customWidth="1"/>
    <col min="21" max="21" width="25.85546875" customWidth="1"/>
    <col min="23" max="23" width="12.140625" bestFit="1" customWidth="1"/>
    <col min="31" max="31" width="18.28515625" bestFit="1" customWidth="1"/>
  </cols>
  <sheetData>
    <row r="1" spans="1:32">
      <c r="A1" t="str" cm="1">
        <f t="array" ref="A1">IFERROR(INDEX(Create_TC_Web!D$1:D$505,SMALL(IF(Create_TC_Web!$C$1:$C$505&lt;&gt;"",MATCH(ROW(Create_TC_Web!$C$1:$C$505),ROW(Create_TC_Web!$C$1:$C$505)),""),ROW(Create_TC_Web!B1))),"")</f>
        <v>Action</v>
      </c>
      <c r="B1" t="str" cm="1">
        <f t="array" ref="B1">IFERROR(INDEX(Create_TC_Web!E$1:E$505,SMALL(IF(Create_TC_Web!$C$1:$C$505&lt;&gt;"",MATCH(ROW(Create_TC_Web!$C$1:$C$505),ROW(Create_TC_Web!$C$1:$C$505)),""),ROW(Create_TC_Web!C1))),"")</f>
        <v>Logical Name</v>
      </c>
      <c r="C1" t="str" cm="1">
        <f t="array" ref="C1">IFERROR(INDEX(Create_TC_Web!F$1:F$505,SMALL(IF(Create_TC_Web!$C$1:$C$505&lt;&gt;"",MATCH(ROW(Create_TC_Web!$C$1:$C$505),ROW(Create_TC_Web!$C$1:$C$505)),""),ROW(Create_TC_Web!D1))),"")</f>
        <v>Physical Name</v>
      </c>
      <c r="D1" t="str" cm="1">
        <f t="array" ref="D1">IFERROR(INDEX(Create_TC_Web!G$1:G$505,SMALL(IF(Create_TC_Web!$C$1:$C$505&lt;&gt;"",MATCH(ROW(Create_TC_Web!$C$1:$C$505),ROW(Create_TC_Web!$C$1:$C$505)),""),ROW(Create_TC_Web!E1))),"")</f>
        <v>Element Type</v>
      </c>
      <c r="E1" t="str" cm="1">
        <f t="array" ref="E1">IFERROR(INDEX(Create_TC_Web!H$1:H$505,SMALL(IF(Create_TC_Web!$C$1:$C$505&lt;&gt;"",MATCH(ROW(Create_TC_Web!$C$1:$C$505),ROW(Create_TC_Web!$C$1:$C$505)),""),ROW(Create_TC_Web!F1))),"")</f>
        <v>Locator</v>
      </c>
      <c r="F1" t="str" cm="1">
        <f t="array" ref="F1">IFERROR(INDEX(Create_TC_Web!I$1:I$505,SMALL(IF(Create_TC_Web!$C$1:$C$505&lt;&gt;"",MATCH(ROW(Create_TC_Web!$C$1:$C$505),ROW(Create_TC_Web!$C$1:$C$505)),""),ROW(Create_TC_Web!G1))),"")</f>
        <v>Verification</v>
      </c>
      <c r="G1" t="str" cm="1">
        <f t="array" ref="G1">IFERROR(INDEX(Create_TC_Web!J$1:J$505,SMALL(IF(Create_TC_Web!$C$1:$C$505&lt;&gt;"",MATCH(ROW(Create_TC_Web!$C$1:$C$505),ROW(Create_TC_Web!$C$1:$C$505)),""),ROW(Create_TC_Web!H1))),"")</f>
        <v>Assertion</v>
      </c>
      <c r="H1" t="str" cm="1">
        <f t="array" ref="H1">IFERROR(INDEX(Create_TC_Web!K$1:K$505,SMALL(IF(Create_TC_Web!$C$1:$C$505&lt;&gt;"",MATCH(ROW(Create_TC_Web!$C$1:$C$505),ROW(Create_TC_Web!$C$1:$C$505)),""),ROW(Create_TC_Web!I1))),"")</f>
        <v>Excepected Result</v>
      </c>
      <c r="I1" t="str" cm="1">
        <f t="array" ref="I1">IFERROR(INDEX(Create_TC_Web!L$1:L$505,SMALL(IF(Create_TC_Web!$C$1:$C$505&lt;&gt;"",MATCH(ROW(Create_TC_Web!$C$1:$C$505),ROW(Create_TC_Web!$C$1:$C$505)),""),ROW(Create_TC_Web!J1))),"")</f>
        <v>TestData</v>
      </c>
      <c r="J1" t="str" cm="1">
        <f t="array" ref="J1">IFERROR(INDEX(Create_TC_Web!M$1:M$505,SMALL(IF(Create_TC_Web!$C$1:$C$505&lt;&gt;"",MATCH(ROW(Create_TC_Web!$C$1:$C$505),ROW(Create_TC_Web!$C$1:$C$505)),""),ROW(Create_TC_Web!K1))),"")</f>
        <v>Locator</v>
      </c>
      <c r="K1" t="str" cm="1">
        <f t="array" ref="K1">IFERROR(INDEX(Create_TC_Web!N$1:N$505,SMALL(IF(Create_TC_Web!$C$1:$C$505&lt;&gt;"",MATCH(ROW(Create_TC_Web!$C$1:$C$505),ROW(Create_TC_Web!$C$1:$C$505)),""),ROW(Create_TC_Web!L1))),"")</f>
        <v>14COpyQuoteApplicationPage_locators.json</v>
      </c>
      <c r="L1" cm="1">
        <f t="array" ref="L1">IFERROR(INDEX(Create_TC_Web!O$1:O$505,SMALL(IF(Create_TC_Web!$C$1:$C$505&lt;&gt;"",MATCH(ROW(Create_TC_Web!$C$1:$C$505),ROW(Create_TC_Web!$C$1:$C$505)),""),ROW(Create_TC_Web!M1))),"")</f>
        <v>0</v>
      </c>
      <c r="M1" cm="1">
        <f t="array" ref="M1">IFERROR(INDEX(Create_TC_Web!P$1:P$505,SMALL(IF(Create_TC_Web!$C$1:$C$505&lt;&gt;"",MATCH(ROW(Create_TC_Web!$C$1:$C$505),ROW(Create_TC_Web!$C$1:$C$505)),""),ROW(Create_TC_Web!N1))),"")</f>
        <v>0</v>
      </c>
      <c r="N1" t="str">
        <f>Create_TC_Web!CA10</f>
        <v>COpyQuoteApplicationPageLocator1</v>
      </c>
      <c r="P1" s="1" t="str">
        <f>Create_TC_Web!S9</f>
        <v>Script</v>
      </c>
      <c r="S1" t="str">
        <f>TRIM(IF(RIGHT(P1,LEN(P1)-1)=" ",RIGHT(P1,LEN(P1)-1),P1))</f>
        <v>Script</v>
      </c>
      <c r="W1" t="s">
        <v>3545</v>
      </c>
      <c r="X1" t="str">
        <f>IF(RIGHT(W1,4)="spec",W1,"")</f>
        <v>COPOutOfSequence.spec</v>
      </c>
      <c r="Y1" t="str" cm="1">
        <f t="array" ref="Y1:Y6">_xlfn._xlws.FILTER(X1:X30,X1:X30&lt;&gt;"")</f>
        <v>COPOutOfSequence.spec</v>
      </c>
      <c r="AA1" t="str">
        <f>"S$"&amp;AB1</f>
        <v>S$81</v>
      </c>
      <c r="AB1">
        <f>COUNTA(Create_TC_Web!D10:D515)</f>
        <v>81</v>
      </c>
    </row>
    <row r="2" spans="1:32" ht="22.5">
      <c r="A2" t="str" cm="1">
        <f t="array" ref="A2">IFERROR(INDEX(Create_TC_Web!D$1:D$505,SMALL(IF(Create_TC_Web!$C$1:$C$505&lt;&gt;"",MATCH(ROW(Create_TC_Web!$C$1:$C$505),ROW(Create_TC_Web!$C$1:$C$505)),""),ROW(Create_TC_Web!B2))),"")</f>
        <v>span</v>
      </c>
      <c r="B2" t="str" cm="1">
        <f t="array" ref="B2">SUBSTITUTE(SUBSTITUTE(SUBSTITUTE(IFERROR(INDEX(Create_TC_Web!E$1:E$505,SMALL(IF(Create_TC_Web!$C$1:$C$505&lt;&gt;"",MATCH(ROW(Create_TC_Web!$C$1:$C$505),ROW(Create_TC_Web!$C$1:$C$505)),""),ROW(Create_TC_Web!C2))),"")," ",""),"-",""),"_","")</f>
        <v>VerifyPayorName</v>
      </c>
      <c r="C2" t="str" cm="1">
        <f t="array" ref="C2">IFERROR(INDEX(Create_TC_Web!F$1:F$505,SMALL(IF(Create_TC_Web!$C$1:$C$505&lt;&gt;"",MATCH(ROW(Create_TC_Web!$C$1:$C$505),ROW(Create_TC_Web!$C$1:$C$505)),""),ROW(Create_TC_Web!D2))),"")</f>
        <v>//html/body/app-root/div/div/app-quote-stepper/div/div[2]/form/mat-horizontal-stepper/div/div[2]/div[4]/div/mat-card/mat-card-content/app-application/div/app-billing-information/div/div[1]/app-payor-information/div[2]/div/div/div[4]/div/mat-form-field/div[1]/div/div[2]/mat-select/div/div[1]/span/span</v>
      </c>
      <c r="D2" t="str" cm="1">
        <f t="array" ref="D2">IFERROR(INDEX(Create_TC_Web!G$1:G$505,SMALL(IF(Create_TC_Web!$C$1:$C$505&lt;&gt;"",MATCH(ROW(Create_TC_Web!$C$1:$C$505),ROW(Create_TC_Web!$C$1:$C$505)),""),ROW(Create_TC_Web!E2))),"")</f>
        <v>WebElement</v>
      </c>
      <c r="E2" t="str" cm="1">
        <f t="array" ref="E2">IFERROR(INDEX(Create_TC_Web!H$1:H$505,SMALL(IF(Create_TC_Web!$C$1:$C$505&lt;&gt;"",MATCH(ROW(Create_TC_Web!$C$1:$C$505),ROW(Create_TC_Web!$C$1:$C$505)),""),ROW(Create_TC_Web!F2))),"")</f>
        <v>XPath</v>
      </c>
      <c r="F2" t="str" cm="1">
        <f t="array" ref="F2">IFERROR(INDEX(Create_TC_Web!I$1:I$505,SMALL(IF(Create_TC_Web!$C$1:$C$505&lt;&gt;"",MATCH(ROW(Create_TC_Web!$C$1:$C$505),ROW(Create_TC_Web!$C$1:$C$505)),""),ROW(Create_TC_Web!G2))),"")</f>
        <v>Y</v>
      </c>
      <c r="G2" t="str" cm="1">
        <f t="array" ref="G2">IFERROR(INDEX(Create_TC_Web!J$1:J$505,SMALL(IF(Create_TC_Web!$C$1:$C$505&lt;&gt;"",MATCH(ROW(Create_TC_Web!$C$1:$C$505),ROW(Create_TC_Web!$C$1:$C$505)),""),ROW(Create_TC_Web!H2))),"")</f>
        <v>Y</v>
      </c>
      <c r="H2" t="str" cm="1">
        <f t="array" ref="H2">IFERROR(INDEX(Create_TC_Web!K$1:K$505,SMALL(IF(Create_TC_Web!$C$1:$C$505&lt;&gt;"",MATCH(ROW(Create_TC_Web!$C$1:$C$505),ROW(Create_TC_Web!$C$1:$C$505)),""),ROW(Create_TC_Web!I2))),"")</f>
        <v>Dwyne Jhonson</v>
      </c>
      <c r="I2" cm="1">
        <f t="array" ref="I2">IFERROR(INDEX(Create_TC_Web!L$1:L$505,SMALL(IF(Create_TC_Web!$C$1:$C$505&lt;&gt;"",MATCH(ROW(Create_TC_Web!$C$1:$C$505),ROW(Create_TC_Web!$C$1:$C$505)),""),ROW(Create_TC_Web!J2))),"")</f>
        <v>0</v>
      </c>
      <c r="J2" t="str" cm="1">
        <f t="array" ref="J2">IFERROR(INDEX(Create_TC_Web!M$1:M$505,SMALL(IF(Create_TC_Web!$C$1:$C$505&lt;&gt;"",MATCH(ROW(Create_TC_Web!$C$1:$C$505),ROW(Create_TC_Web!$C$1:$C$505)),""),ROW(Create_TC_Web!K2))),"")</f>
        <v>"//*[@class=\"</v>
      </c>
      <c r="K2" t="str" cm="1">
        <f t="array" ref="K2">IFERROR(INDEX(Create_TC_Web!N$1:N$505,SMALL(IF(Create_TC_Web!$C$1:$C$505&lt;&gt;"",MATCH(ROW(Create_TC_Web!$C$1:$C$505),ROW(Create_TC_Web!$C$1:$C$505)),""),ROW(Create_TC_Web!L2))),"")</f>
        <v>\"]"</v>
      </c>
      <c r="L2" t="str" cm="1">
        <f t="array" ref="L2">IFERROR(INDEX(Create_TC_Web!O$1:O$505,SMALL(IF(Create_TC_Web!$C$1:$C$505&lt;&gt;"",MATCH(ROW(Create_TC_Web!$C$1:$C$505),ROW(Create_TC_Web!$C$1:$C$505)),""),ROW(Create_TC_Web!M2))),"")</f>
        <v>innerText</v>
      </c>
      <c r="M2" t="str" cm="1">
        <f t="array" ref="M2">IFERROR(INDEX(Create_TC_Web!P$1:P$505,SMALL(IF(Create_TC_Web!$C$1:$C$505&lt;&gt;"",MATCH(ROW(Create_TC_Web!$C$1:$C$505),ROW(Create_TC_Web!$C$1:$C$505)),""),ROW(Create_TC_Web!N2))),"")</f>
        <v>();</v>
      </c>
      <c r="N2" t="str">
        <f>Create_TC_Web!CA11</f>
        <v>"VerifyPayorName":"//html/body/app-root/div/div/app-quote-stepper/div/div[2]/form/mat-horizontal-stepper/div/div[2]/div[4]/div/mat-card/mat-card-content/app-application/div/app-billing-information/div/div[1]/app-payor-information/div[2]/div/div/div[4]/div/mat-form-field/div[1]/div/div[2]/mat-select/div/div[1]/span/span"</v>
      </c>
      <c r="O2" t="str">
        <f>IF(N2&lt;&gt;0,N2,"")</f>
        <v>"VerifyPayorName":"//html/body/app-root/div/div/app-quote-stepper/div/div[2]/form/mat-horizontal-stepper/div/div[2]/div[4]/div/mat-card/mat-card-content/app-application/div/app-billing-information/div/div[1]/app-payor-information/div[2]/div/div/div[4]/div/mat-form-field/div[1]/div/div[2]/mat-select/div/div[1]/span/span"</v>
      </c>
      <c r="P2" s="18" t="str">
        <f>"const "&amp;Create_TC_Web!F8&amp;"Locator"&amp;" = require('"&amp;"."&amp;"/"&amp;General!E9&amp;"POM/"&amp;Create_TC_Web!F7&amp;".json');"</f>
        <v>const COpyQuoteApplicationPageLocator = require('./HOCopyQuotePOM/14COpyQuoteApplicationPage.json');</v>
      </c>
      <c r="Q2" t="str">
        <f>IF(TestData!CB2&lt;&gt;0,TestData!CB2,"")</f>
        <v>"VerifyPayorName": "0"</v>
      </c>
      <c r="R2" t="str">
        <f>IF(OR(R3="},",R3="}]"),LEFT(O2,LEN(O2)-1),O2)</f>
        <v>"VerifyPayorName":"//html/body/app-root/div/div/app-quote-stepper/div/div[2]/form/mat-horizontal-stepper/div/div[2]/div[4]/div/mat-card/mat-card-content/app-application/div/app-billing-information/div/div[1]/app-payor-information/div[2]/div/div/div[4]/div/mat-form-field/div[1]/div/div[2]/mat-select/div/div[1]/span/span"</v>
      </c>
      <c r="S2" t="str">
        <f>IF(P2&lt;&gt;0,P2,"")</f>
        <v>const COpyQuoteApplicationPageLocator = require('./HOCopyQuotePOM/14COpyQuoteApplicationPage.json');</v>
      </c>
      <c r="W2" t="s">
        <v>3671</v>
      </c>
      <c r="X2" t="str">
        <f t="shared" ref="X2:X54" si="0">IF(RIGHT(W2,4)="spec",W2,"")</f>
        <v/>
      </c>
      <c r="Y2" t="str">
        <v>example.spec</v>
      </c>
      <c r="AE2" t="str">
        <f>IF(L2="Fill",B2,"")</f>
        <v/>
      </c>
      <c r="AF2">
        <f ca="1">IF(AF2&lt;&gt;0,AF2,"")</f>
        <v>0</v>
      </c>
    </row>
    <row r="3" spans="1:32">
      <c r="A3" t="str" cm="1">
        <f t="array" ref="A3">IFERROR(INDEX(Create_TC_Web!D$1:D$505,SMALL(IF(Create_TC_Web!$C$1:$C$505&lt;&gt;"",MATCH(ROW(Create_TC_Web!$C$1:$C$505),ROW(Create_TC_Web!$C$1:$C$505)),""),ROW(Create_TC_Web!B3))),"")</f>
        <v/>
      </c>
      <c r="B3" t="str" cm="1">
        <f t="array" ref="B3">SUBSTITUTE(SUBSTITUTE(SUBSTITUTE(IFERROR(INDEX(Create_TC_Web!E$1:E$505,SMALL(IF(Create_TC_Web!$C$1:$C$505&lt;&gt;"",MATCH(ROW(Create_TC_Web!$C$1:$C$505),ROW(Create_TC_Web!$C$1:$C$505)),""),ROW(Create_TC_Web!C3))),"")," ",""),"-",""),"_","")</f>
        <v/>
      </c>
      <c r="C3" t="str" cm="1">
        <f t="array" ref="C3">IFERROR(INDEX(Create_TC_Web!F$1:F$505,SMALL(IF(Create_TC_Web!$C$1:$C$505&lt;&gt;"",MATCH(ROW(Create_TC_Web!$C$1:$C$505),ROW(Create_TC_Web!$C$1:$C$505)),""),ROW(Create_TC_Web!D3))),"")</f>
        <v/>
      </c>
      <c r="D3" t="str" cm="1">
        <f t="array" ref="D3">IFERROR(INDEX(Create_TC_Web!G$1:G$505,SMALL(IF(Create_TC_Web!$C$1:$C$505&lt;&gt;"",MATCH(ROW(Create_TC_Web!$C$1:$C$505),ROW(Create_TC_Web!$C$1:$C$505)),""),ROW(Create_TC_Web!E3))),"")</f>
        <v/>
      </c>
      <c r="E3" t="str" cm="1">
        <f t="array" ref="E3">IFERROR(INDEX(Create_TC_Web!H$1:H$505,SMALL(IF(Create_TC_Web!$C$1:$C$505&lt;&gt;"",MATCH(ROW(Create_TC_Web!$C$1:$C$505),ROW(Create_TC_Web!$C$1:$C$505)),""),ROW(Create_TC_Web!F3))),"")</f>
        <v/>
      </c>
      <c r="F3" t="str" cm="1">
        <f t="array" ref="F3">IFERROR(INDEX(Create_TC_Web!I$1:I$505,SMALL(IF(Create_TC_Web!$C$1:$C$505&lt;&gt;"",MATCH(ROW(Create_TC_Web!$C$1:$C$505),ROW(Create_TC_Web!$C$1:$C$505)),""),ROW(Create_TC_Web!G3))),"")</f>
        <v/>
      </c>
      <c r="G3" t="str" cm="1">
        <f t="array" ref="G3">IFERROR(INDEX(Create_TC_Web!J$1:J$505,SMALL(IF(Create_TC_Web!$C$1:$C$505&lt;&gt;"",MATCH(ROW(Create_TC_Web!$C$1:$C$505),ROW(Create_TC_Web!$C$1:$C$505)),""),ROW(Create_TC_Web!H3))),"")</f>
        <v/>
      </c>
      <c r="H3" t="str" cm="1">
        <f t="array" ref="H3">IFERROR(INDEX(Create_TC_Web!K$1:K$505,SMALL(IF(Create_TC_Web!$C$1:$C$505&lt;&gt;"",MATCH(ROW(Create_TC_Web!$C$1:$C$505),ROW(Create_TC_Web!$C$1:$C$505)),""),ROW(Create_TC_Web!I3))),"")</f>
        <v/>
      </c>
      <c r="I3" t="str" cm="1">
        <f t="array" ref="I3">IFERROR(INDEX(Create_TC_Web!L$1:L$505,SMALL(IF(Create_TC_Web!$C$1:$C$505&lt;&gt;"",MATCH(ROW(Create_TC_Web!$C$1:$C$505),ROW(Create_TC_Web!$C$1:$C$505)),""),ROW(Create_TC_Web!J3))),"")</f>
        <v/>
      </c>
      <c r="J3" t="str" cm="1">
        <f t="array" ref="J3">IFERROR(INDEX(Create_TC_Web!M$1:M$505,SMALL(IF(Create_TC_Web!$C$1:$C$505&lt;&gt;"",MATCH(ROW(Create_TC_Web!$C$1:$C$505),ROW(Create_TC_Web!$C$1:$C$505)),""),ROW(Create_TC_Web!K3))),"")</f>
        <v/>
      </c>
      <c r="K3" t="str" cm="1">
        <f t="array" ref="K3">IFERROR(INDEX(Create_TC_Web!N$1:N$505,SMALL(IF(Create_TC_Web!$C$1:$C$505&lt;&gt;"",MATCH(ROW(Create_TC_Web!$C$1:$C$505),ROW(Create_TC_Web!$C$1:$C$505)),""),ROW(Create_TC_Web!L3))),"")</f>
        <v/>
      </c>
      <c r="L3" t="str" cm="1">
        <f t="array" ref="L3">IFERROR(INDEX(Create_TC_Web!O$1:O$505,SMALL(IF(Create_TC_Web!$C$1:$C$505&lt;&gt;"",MATCH(ROW(Create_TC_Web!$C$1:$C$505),ROW(Create_TC_Web!$C$1:$C$505)),""),ROW(Create_TC_Web!M3))),"")</f>
        <v/>
      </c>
      <c r="M3" t="str" cm="1">
        <f t="array" ref="M3">IFERROR(INDEX(Create_TC_Web!P$1:P$505,SMALL(IF(Create_TC_Web!$C$1:$C$505&lt;&gt;"",MATCH(ROW(Create_TC_Web!$C$1:$C$505),ROW(Create_TC_Web!$C$1:$C$505)),""),ROW(Create_TC_Web!N3))),"")</f>
        <v/>
      </c>
      <c r="N3">
        <f>Create_TC_Web!CA12</f>
        <v>0</v>
      </c>
      <c r="O3" t="str">
        <f t="shared" ref="O3:O66" si="1">IF(N3&lt;&gt;0,N3,"")</f>
        <v/>
      </c>
      <c r="P3" s="18"/>
      <c r="Q3" t="str">
        <f>IF(TestData!CB3&lt;&gt;0,TestData!CB3,"")</f>
        <v/>
      </c>
      <c r="R3" t="str">
        <f>IF(OR(R4="},",R4="}]"),LEFT(O3,LEN(O3)-1),O3)</f>
        <v/>
      </c>
      <c r="S3" t="str">
        <f t="shared" ref="S3:S66" si="2">IF(P3&lt;&gt;0,P3,"")</f>
        <v/>
      </c>
      <c r="W3" t="s">
        <v>2918</v>
      </c>
      <c r="X3" t="str">
        <f t="shared" si="0"/>
        <v>example.spec</v>
      </c>
      <c r="Y3" t="str">
        <v>HOCopyQuote.spec</v>
      </c>
      <c r="AE3" t="str">
        <f t="shared" ref="AE3:AE66" si="3">IF(L3="Fill",B3,"")</f>
        <v/>
      </c>
      <c r="AF3">
        <f t="shared" ref="AF3:AF26" ca="1" si="4">IF(AF3&lt;&gt;0,AF3,"")</f>
        <v>0</v>
      </c>
    </row>
    <row r="4" spans="1:32">
      <c r="A4" t="str" cm="1">
        <f t="array" ref="A4">IFERROR(INDEX(Create_TC_Web!D$1:D$505,SMALL(IF(Create_TC_Web!$C$1:$C$505&lt;&gt;"",MATCH(ROW(Create_TC_Web!$C$1:$C$505),ROW(Create_TC_Web!$C$1:$C$505)),""),ROW(Create_TC_Web!B4))),"")</f>
        <v/>
      </c>
      <c r="B4" t="str" cm="1">
        <f t="array" ref="B4">SUBSTITUTE(SUBSTITUTE(SUBSTITUTE(IFERROR(INDEX(Create_TC_Web!E$1:E$505,SMALL(IF(Create_TC_Web!$C$1:$C$505&lt;&gt;"",MATCH(ROW(Create_TC_Web!$C$1:$C$505),ROW(Create_TC_Web!$C$1:$C$505)),""),ROW(Create_TC_Web!C4))),"")," ",""),"-",""),"_","")</f>
        <v/>
      </c>
      <c r="C4" t="str" cm="1">
        <f t="array" ref="C4">IFERROR(INDEX(Create_TC_Web!F$1:F$505,SMALL(IF(Create_TC_Web!$C$1:$C$505&lt;&gt;"",MATCH(ROW(Create_TC_Web!$C$1:$C$505),ROW(Create_TC_Web!$C$1:$C$505)),""),ROW(Create_TC_Web!D4))),"")</f>
        <v/>
      </c>
      <c r="D4" t="str" cm="1">
        <f t="array" ref="D4">IFERROR(INDEX(Create_TC_Web!G$1:G$505,SMALL(IF(Create_TC_Web!$C$1:$C$505&lt;&gt;"",MATCH(ROW(Create_TC_Web!$C$1:$C$505),ROW(Create_TC_Web!$C$1:$C$505)),""),ROW(Create_TC_Web!E4))),"")</f>
        <v/>
      </c>
      <c r="E4" t="str" cm="1">
        <f t="array" ref="E4">IFERROR(INDEX(Create_TC_Web!H$1:H$505,SMALL(IF(Create_TC_Web!$C$1:$C$505&lt;&gt;"",MATCH(ROW(Create_TC_Web!$C$1:$C$505),ROW(Create_TC_Web!$C$1:$C$505)),""),ROW(Create_TC_Web!F4))),"")</f>
        <v/>
      </c>
      <c r="F4" t="str" cm="1">
        <f t="array" ref="F4">IFERROR(INDEX(Create_TC_Web!I$1:I$505,SMALL(IF(Create_TC_Web!$C$1:$C$505&lt;&gt;"",MATCH(ROW(Create_TC_Web!$C$1:$C$505),ROW(Create_TC_Web!$C$1:$C$505)),""),ROW(Create_TC_Web!G4))),"")</f>
        <v/>
      </c>
      <c r="G4" t="str" cm="1">
        <f t="array" ref="G4">IFERROR(INDEX(Create_TC_Web!J$1:J$505,SMALL(IF(Create_TC_Web!$C$1:$C$505&lt;&gt;"",MATCH(ROW(Create_TC_Web!$C$1:$C$505),ROW(Create_TC_Web!$C$1:$C$505)),""),ROW(Create_TC_Web!H4))),"")</f>
        <v/>
      </c>
      <c r="H4" t="str" cm="1">
        <f t="array" ref="H4">IFERROR(INDEX(Create_TC_Web!K$1:K$505,SMALL(IF(Create_TC_Web!$C$1:$C$505&lt;&gt;"",MATCH(ROW(Create_TC_Web!$C$1:$C$505),ROW(Create_TC_Web!$C$1:$C$505)),""),ROW(Create_TC_Web!I4))),"")</f>
        <v/>
      </c>
      <c r="I4" t="str" cm="1">
        <f t="array" ref="I4">IFERROR(INDEX(Create_TC_Web!L$1:L$505,SMALL(IF(Create_TC_Web!$C$1:$C$505&lt;&gt;"",MATCH(ROW(Create_TC_Web!$C$1:$C$505),ROW(Create_TC_Web!$C$1:$C$505)),""),ROW(Create_TC_Web!J4))),"")</f>
        <v/>
      </c>
      <c r="J4" t="str" cm="1">
        <f t="array" ref="J4">IFERROR(INDEX(Create_TC_Web!M$1:M$505,SMALL(IF(Create_TC_Web!$C$1:$C$505&lt;&gt;"",MATCH(ROW(Create_TC_Web!$C$1:$C$505),ROW(Create_TC_Web!$C$1:$C$505)),""),ROW(Create_TC_Web!K4))),"")</f>
        <v/>
      </c>
      <c r="K4" t="str" cm="1">
        <f t="array" ref="K4">IFERROR(INDEX(Create_TC_Web!N$1:N$505,SMALL(IF(Create_TC_Web!$C$1:$C$505&lt;&gt;"",MATCH(ROW(Create_TC_Web!$C$1:$C$505),ROW(Create_TC_Web!$C$1:$C$505)),""),ROW(Create_TC_Web!L4))),"")</f>
        <v/>
      </c>
      <c r="L4" t="str" cm="1">
        <f t="array" ref="L4">IFERROR(INDEX(Create_TC_Web!O$1:O$505,SMALL(IF(Create_TC_Web!$C$1:$C$505&lt;&gt;"",MATCH(ROW(Create_TC_Web!$C$1:$C$505),ROW(Create_TC_Web!$C$1:$C$505)),""),ROW(Create_TC_Web!M4))),"")</f>
        <v/>
      </c>
      <c r="M4" t="str" cm="1">
        <f t="array" ref="M4">IFERROR(INDEX(Create_TC_Web!P$1:P$505,SMALL(IF(Create_TC_Web!$C$1:$C$505&lt;&gt;"",MATCH(ROW(Create_TC_Web!$C$1:$C$505),ROW(Create_TC_Web!$C$1:$C$505)),""),ROW(Create_TC_Web!N4))),"")</f>
        <v/>
      </c>
      <c r="N4">
        <f>Create_TC_Web!CA13</f>
        <v>0</v>
      </c>
      <c r="O4" t="str">
        <f t="shared" si="1"/>
        <v/>
      </c>
      <c r="P4" s="19"/>
      <c r="Q4" t="str">
        <f>IF(TestData!CB4&lt;&gt;0,TestData!CB4,"")</f>
        <v/>
      </c>
      <c r="R4" t="str">
        <f t="shared" ref="R4:R46" si="5">IF(OR(R5="},",R5="}]"),LEFT(O4,LEN(O4)-1),O4)</f>
        <v/>
      </c>
      <c r="S4" t="str">
        <f t="shared" si="2"/>
        <v/>
      </c>
      <c r="W4" t="s">
        <v>3672</v>
      </c>
      <c r="X4" t="str">
        <f t="shared" si="0"/>
        <v>HOCopyQuote.spec</v>
      </c>
      <c r="Y4" t="str">
        <v>PersonalAutoRenewal.spec</v>
      </c>
      <c r="AE4" t="str">
        <f t="shared" si="3"/>
        <v/>
      </c>
      <c r="AF4">
        <f t="shared" ca="1" si="4"/>
        <v>0</v>
      </c>
    </row>
    <row r="5" spans="1:32">
      <c r="A5" t="str" cm="1">
        <f t="array" ref="A5">IFERROR(INDEX(Create_TC_Web!D$1:D$505,SMALL(IF(Create_TC_Web!$C$1:$C$505&lt;&gt;"",MATCH(ROW(Create_TC_Web!$C$1:$C$505),ROW(Create_TC_Web!$C$1:$C$505)),""),ROW(Create_TC_Web!B5))),"")</f>
        <v/>
      </c>
      <c r="B5" t="str" cm="1">
        <f t="array" ref="B5">SUBSTITUTE(SUBSTITUTE(SUBSTITUTE(IFERROR(INDEX(Create_TC_Web!E$1:E$505,SMALL(IF(Create_TC_Web!$C$1:$C$505&lt;&gt;"",MATCH(ROW(Create_TC_Web!$C$1:$C$505),ROW(Create_TC_Web!$C$1:$C$505)),""),ROW(Create_TC_Web!C5))),"")," ",""),"-",""),"_","")</f>
        <v/>
      </c>
      <c r="C5" t="str" cm="1">
        <f t="array" ref="C5">IFERROR(INDEX(Create_TC_Web!F$1:F$505,SMALL(IF(Create_TC_Web!$C$1:$C$505&lt;&gt;"",MATCH(ROW(Create_TC_Web!$C$1:$C$505),ROW(Create_TC_Web!$C$1:$C$505)),""),ROW(Create_TC_Web!D5))),"")</f>
        <v/>
      </c>
      <c r="D5" t="str" cm="1">
        <f t="array" ref="D5">IFERROR(INDEX(Create_TC_Web!G$1:G$505,SMALL(IF(Create_TC_Web!$C$1:$C$505&lt;&gt;"",MATCH(ROW(Create_TC_Web!$C$1:$C$505),ROW(Create_TC_Web!$C$1:$C$505)),""),ROW(Create_TC_Web!E5))),"")</f>
        <v/>
      </c>
      <c r="E5" t="str" cm="1">
        <f t="array" ref="E5">IFERROR(INDEX(Create_TC_Web!H$1:H$505,SMALL(IF(Create_TC_Web!$C$1:$C$505&lt;&gt;"",MATCH(ROW(Create_TC_Web!$C$1:$C$505),ROW(Create_TC_Web!$C$1:$C$505)),""),ROW(Create_TC_Web!F5))),"")</f>
        <v/>
      </c>
      <c r="F5" t="str" cm="1">
        <f t="array" ref="F5">IFERROR(INDEX(Create_TC_Web!I$1:I$505,SMALL(IF(Create_TC_Web!$C$1:$C$505&lt;&gt;"",MATCH(ROW(Create_TC_Web!$C$1:$C$505),ROW(Create_TC_Web!$C$1:$C$505)),""),ROW(Create_TC_Web!G5))),"")</f>
        <v/>
      </c>
      <c r="G5" t="str" cm="1">
        <f t="array" ref="G5">IFERROR(INDEX(Create_TC_Web!J$1:J$505,SMALL(IF(Create_TC_Web!$C$1:$C$505&lt;&gt;"",MATCH(ROW(Create_TC_Web!$C$1:$C$505),ROW(Create_TC_Web!$C$1:$C$505)),""),ROW(Create_TC_Web!H5))),"")</f>
        <v/>
      </c>
      <c r="H5" t="str" cm="1">
        <f t="array" ref="H5">IFERROR(INDEX(Create_TC_Web!K$1:K$505,SMALL(IF(Create_TC_Web!$C$1:$C$505&lt;&gt;"",MATCH(ROW(Create_TC_Web!$C$1:$C$505),ROW(Create_TC_Web!$C$1:$C$505)),""),ROW(Create_TC_Web!I5))),"")</f>
        <v/>
      </c>
      <c r="I5" t="str" cm="1">
        <f t="array" ref="I5">IFERROR(INDEX(Create_TC_Web!L$1:L$505,SMALL(IF(Create_TC_Web!$C$1:$C$505&lt;&gt;"",MATCH(ROW(Create_TC_Web!$C$1:$C$505),ROW(Create_TC_Web!$C$1:$C$505)),""),ROW(Create_TC_Web!J5))),"")</f>
        <v/>
      </c>
      <c r="J5" t="str" cm="1">
        <f t="array" ref="J5">IFERROR(INDEX(Create_TC_Web!M$1:M$505,SMALL(IF(Create_TC_Web!$C$1:$C$505&lt;&gt;"",MATCH(ROW(Create_TC_Web!$C$1:$C$505),ROW(Create_TC_Web!$C$1:$C$505)),""),ROW(Create_TC_Web!K5))),"")</f>
        <v/>
      </c>
      <c r="K5" t="str" cm="1">
        <f t="array" ref="K5">IFERROR(INDEX(Create_TC_Web!N$1:N$505,SMALL(IF(Create_TC_Web!$C$1:$C$505&lt;&gt;"",MATCH(ROW(Create_TC_Web!$C$1:$C$505),ROW(Create_TC_Web!$C$1:$C$505)),""),ROW(Create_TC_Web!L5))),"")</f>
        <v/>
      </c>
      <c r="L5" t="str" cm="1">
        <f t="array" ref="L5">IFERROR(INDEX(Create_TC_Web!O$1:O$505,SMALL(IF(Create_TC_Web!$C$1:$C$505&lt;&gt;"",MATCH(ROW(Create_TC_Web!$C$1:$C$505),ROW(Create_TC_Web!$C$1:$C$505)),""),ROW(Create_TC_Web!M5))),"")</f>
        <v/>
      </c>
      <c r="M5" t="str" cm="1">
        <f t="array" ref="M5">IFERROR(INDEX(Create_TC_Web!P$1:P$505,SMALL(IF(Create_TC_Web!$C$1:$C$505&lt;&gt;"",MATCH(ROW(Create_TC_Web!$C$1:$C$505),ROW(Create_TC_Web!$C$1:$C$505)),""),ROW(Create_TC_Web!N5))),"")</f>
        <v/>
      </c>
      <c r="N5">
        <f>Create_TC_Web!CA14</f>
        <v>0</v>
      </c>
      <c r="O5" t="str">
        <f t="shared" si="1"/>
        <v/>
      </c>
      <c r="P5" s="18"/>
      <c r="Q5" t="str">
        <f>IF(TestData!CB5&lt;&gt;0,TestData!CB5,"")</f>
        <v/>
      </c>
      <c r="R5" t="str">
        <f t="shared" si="5"/>
        <v/>
      </c>
      <c r="S5" t="str">
        <f t="shared" si="2"/>
        <v/>
      </c>
      <c r="W5" t="s">
        <v>3508</v>
      </c>
      <c r="X5" t="str">
        <f t="shared" si="0"/>
        <v>PersonalAutoRenewal.spec</v>
      </c>
      <c r="Y5" t="str">
        <v>PersonalUmbrella.spec</v>
      </c>
      <c r="AE5" t="str">
        <f t="shared" si="3"/>
        <v/>
      </c>
      <c r="AF5">
        <f t="shared" ca="1" si="4"/>
        <v>0</v>
      </c>
    </row>
    <row r="6" spans="1:32">
      <c r="A6" t="str" cm="1">
        <f t="array" ref="A6">IFERROR(INDEX(Create_TC_Web!D$1:D$505,SMALL(IF(Create_TC_Web!$C$1:$C$505&lt;&gt;"",MATCH(ROW(Create_TC_Web!$C$1:$C$505),ROW(Create_TC_Web!$C$1:$C$505)),""),ROW(Create_TC_Web!B6))),"")</f>
        <v/>
      </c>
      <c r="B6" t="str" cm="1">
        <f t="array" ref="B6">SUBSTITUTE(SUBSTITUTE(SUBSTITUTE(IFERROR(INDEX(Create_TC_Web!E$1:E$505,SMALL(IF(Create_TC_Web!$C$1:$C$505&lt;&gt;"",MATCH(ROW(Create_TC_Web!$C$1:$C$505),ROW(Create_TC_Web!$C$1:$C$505)),""),ROW(Create_TC_Web!C6))),"")," ",""),"-",""),"_","")</f>
        <v/>
      </c>
      <c r="C6" t="str" cm="1">
        <f t="array" ref="C6">IFERROR(INDEX(Create_TC_Web!F$1:F$505,SMALL(IF(Create_TC_Web!$C$1:$C$505&lt;&gt;"",MATCH(ROW(Create_TC_Web!$C$1:$C$505),ROW(Create_TC_Web!$C$1:$C$505)),""),ROW(Create_TC_Web!D6))),"")</f>
        <v/>
      </c>
      <c r="D6" t="str" cm="1">
        <f t="array" ref="D6">IFERROR(INDEX(Create_TC_Web!G$1:G$505,SMALL(IF(Create_TC_Web!$C$1:$C$505&lt;&gt;"",MATCH(ROW(Create_TC_Web!$C$1:$C$505),ROW(Create_TC_Web!$C$1:$C$505)),""),ROW(Create_TC_Web!E6))),"")</f>
        <v/>
      </c>
      <c r="E6" t="str" cm="1">
        <f t="array" ref="E6">IFERROR(INDEX(Create_TC_Web!H$1:H$505,SMALL(IF(Create_TC_Web!$C$1:$C$505&lt;&gt;"",MATCH(ROW(Create_TC_Web!$C$1:$C$505),ROW(Create_TC_Web!$C$1:$C$505)),""),ROW(Create_TC_Web!F6))),"")</f>
        <v/>
      </c>
      <c r="F6" t="str" cm="1">
        <f t="array" ref="F6">IFERROR(INDEX(Create_TC_Web!I$1:I$505,SMALL(IF(Create_TC_Web!$C$1:$C$505&lt;&gt;"",MATCH(ROW(Create_TC_Web!$C$1:$C$505),ROW(Create_TC_Web!$C$1:$C$505)),""),ROW(Create_TC_Web!G6))),"")</f>
        <v/>
      </c>
      <c r="G6" t="str" cm="1">
        <f t="array" ref="G6">IFERROR(INDEX(Create_TC_Web!J$1:J$505,SMALL(IF(Create_TC_Web!$C$1:$C$505&lt;&gt;"",MATCH(ROW(Create_TC_Web!$C$1:$C$505),ROW(Create_TC_Web!$C$1:$C$505)),""),ROW(Create_TC_Web!H6))),"")</f>
        <v/>
      </c>
      <c r="H6" t="str" cm="1">
        <f t="array" ref="H6">IFERROR(INDEX(Create_TC_Web!K$1:K$505,SMALL(IF(Create_TC_Web!$C$1:$C$505&lt;&gt;"",MATCH(ROW(Create_TC_Web!$C$1:$C$505),ROW(Create_TC_Web!$C$1:$C$505)),""),ROW(Create_TC_Web!I6))),"")</f>
        <v/>
      </c>
      <c r="I6" t="str" cm="1">
        <f t="array" ref="I6">IFERROR(INDEX(Create_TC_Web!L$1:L$505,SMALL(IF(Create_TC_Web!$C$1:$C$505&lt;&gt;"",MATCH(ROW(Create_TC_Web!$C$1:$C$505),ROW(Create_TC_Web!$C$1:$C$505)),""),ROW(Create_TC_Web!J6))),"")</f>
        <v/>
      </c>
      <c r="J6" t="str" cm="1">
        <f t="array" ref="J6">IFERROR(INDEX(Create_TC_Web!M$1:M$505,SMALL(IF(Create_TC_Web!$C$1:$C$505&lt;&gt;"",MATCH(ROW(Create_TC_Web!$C$1:$C$505),ROW(Create_TC_Web!$C$1:$C$505)),""),ROW(Create_TC_Web!K6))),"")</f>
        <v/>
      </c>
      <c r="K6" t="str" cm="1">
        <f t="array" ref="K6">IFERROR(INDEX(Create_TC_Web!N$1:N$505,SMALL(IF(Create_TC_Web!$C$1:$C$505&lt;&gt;"",MATCH(ROW(Create_TC_Web!$C$1:$C$505),ROW(Create_TC_Web!$C$1:$C$505)),""),ROW(Create_TC_Web!L6))),"")</f>
        <v/>
      </c>
      <c r="L6" t="str" cm="1">
        <f t="array" ref="L6">IFERROR(INDEX(Create_TC_Web!O$1:O$505,SMALL(IF(Create_TC_Web!$C$1:$C$505&lt;&gt;"",MATCH(ROW(Create_TC_Web!$C$1:$C$505),ROW(Create_TC_Web!$C$1:$C$505)),""),ROW(Create_TC_Web!M6))),"")</f>
        <v/>
      </c>
      <c r="M6" t="str" cm="1">
        <f t="array" ref="M6">IFERROR(INDEX(Create_TC_Web!P$1:P$505,SMALL(IF(Create_TC_Web!$C$1:$C$505&lt;&gt;"",MATCH(ROW(Create_TC_Web!$C$1:$C$505),ROW(Create_TC_Web!$C$1:$C$505)),""),ROW(Create_TC_Web!N6))),"")</f>
        <v/>
      </c>
      <c r="N6">
        <f>Create_TC_Web!CA15</f>
        <v>0</v>
      </c>
      <c r="O6" t="str">
        <f t="shared" si="1"/>
        <v/>
      </c>
      <c r="P6" s="18"/>
      <c r="Q6" t="str">
        <f>IF(TestData!CB6&lt;&gt;0,TestData!CB6,"")</f>
        <v/>
      </c>
      <c r="R6" t="str">
        <f t="shared" si="5"/>
        <v/>
      </c>
      <c r="S6" t="str">
        <f t="shared" si="2"/>
        <v/>
      </c>
      <c r="W6" t="s">
        <v>3510</v>
      </c>
      <c r="X6" t="str">
        <f t="shared" si="0"/>
        <v/>
      </c>
      <c r="Y6" t="str">
        <v>PWReinstate.spec</v>
      </c>
      <c r="AE6" t="str">
        <f t="shared" si="3"/>
        <v/>
      </c>
      <c r="AF6">
        <f t="shared" ca="1" si="4"/>
        <v>0</v>
      </c>
    </row>
    <row r="7" spans="1:32">
      <c r="A7" t="str" cm="1">
        <f t="array" ref="A7">IFERROR(INDEX(Create_TC_Web!D$1:D$505,SMALL(IF(Create_TC_Web!$C$1:$C$505&lt;&gt;"",MATCH(ROW(Create_TC_Web!$C$1:$C$505),ROW(Create_TC_Web!$C$1:$C$505)),""),ROW(Create_TC_Web!B7))),"")</f>
        <v/>
      </c>
      <c r="B7" t="str" cm="1">
        <f t="array" ref="B7">SUBSTITUTE(SUBSTITUTE(SUBSTITUTE(IFERROR(INDEX(Create_TC_Web!E$1:E$505,SMALL(IF(Create_TC_Web!$C$1:$C$505&lt;&gt;"",MATCH(ROW(Create_TC_Web!$C$1:$C$505),ROW(Create_TC_Web!$C$1:$C$505)),""),ROW(Create_TC_Web!C7))),"")," ",""),"-",""),"_","")</f>
        <v/>
      </c>
      <c r="C7" t="str" cm="1">
        <f t="array" ref="C7">IFERROR(INDEX(Create_TC_Web!F$1:F$505,SMALL(IF(Create_TC_Web!$C$1:$C$505&lt;&gt;"",MATCH(ROW(Create_TC_Web!$C$1:$C$505),ROW(Create_TC_Web!$C$1:$C$505)),""),ROW(Create_TC_Web!D7))),"")</f>
        <v/>
      </c>
      <c r="D7" t="str" cm="1">
        <f t="array" ref="D7">IFERROR(INDEX(Create_TC_Web!G$1:G$505,SMALL(IF(Create_TC_Web!$C$1:$C$505&lt;&gt;"",MATCH(ROW(Create_TC_Web!$C$1:$C$505),ROW(Create_TC_Web!$C$1:$C$505)),""),ROW(Create_TC_Web!E7))),"")</f>
        <v/>
      </c>
      <c r="E7" t="str" cm="1">
        <f t="array" ref="E7">IFERROR(INDEX(Create_TC_Web!H$1:H$505,SMALL(IF(Create_TC_Web!$C$1:$C$505&lt;&gt;"",MATCH(ROW(Create_TC_Web!$C$1:$C$505),ROW(Create_TC_Web!$C$1:$C$505)),""),ROW(Create_TC_Web!F7))),"")</f>
        <v/>
      </c>
      <c r="F7" t="str" cm="1">
        <f t="array" ref="F7">IFERROR(INDEX(Create_TC_Web!I$1:I$505,SMALL(IF(Create_TC_Web!$C$1:$C$505&lt;&gt;"",MATCH(ROW(Create_TC_Web!$C$1:$C$505),ROW(Create_TC_Web!$C$1:$C$505)),""),ROW(Create_TC_Web!G7))),"")</f>
        <v/>
      </c>
      <c r="G7" t="str" cm="1">
        <f t="array" ref="G7">IFERROR(INDEX(Create_TC_Web!J$1:J$505,SMALL(IF(Create_TC_Web!$C$1:$C$505&lt;&gt;"",MATCH(ROW(Create_TC_Web!$C$1:$C$505),ROW(Create_TC_Web!$C$1:$C$505)),""),ROW(Create_TC_Web!H7))),"")</f>
        <v/>
      </c>
      <c r="H7" t="str" cm="1">
        <f t="array" ref="H7">IFERROR(INDEX(Create_TC_Web!K$1:K$505,SMALL(IF(Create_TC_Web!$C$1:$C$505&lt;&gt;"",MATCH(ROW(Create_TC_Web!$C$1:$C$505),ROW(Create_TC_Web!$C$1:$C$505)),""),ROW(Create_TC_Web!I7))),"")</f>
        <v/>
      </c>
      <c r="I7" t="str" cm="1">
        <f t="array" ref="I7">IFERROR(INDEX(Create_TC_Web!L$1:L$505,SMALL(IF(Create_TC_Web!$C$1:$C$505&lt;&gt;"",MATCH(ROW(Create_TC_Web!$C$1:$C$505),ROW(Create_TC_Web!$C$1:$C$505)),""),ROW(Create_TC_Web!J7))),"")</f>
        <v/>
      </c>
      <c r="J7" t="str" cm="1">
        <f t="array" ref="J7">IFERROR(INDEX(Create_TC_Web!M$1:M$505,SMALL(IF(Create_TC_Web!$C$1:$C$505&lt;&gt;"",MATCH(ROW(Create_TC_Web!$C$1:$C$505),ROW(Create_TC_Web!$C$1:$C$505)),""),ROW(Create_TC_Web!K7))),"")</f>
        <v/>
      </c>
      <c r="K7" t="str" cm="1">
        <f t="array" ref="K7">IFERROR(INDEX(Create_TC_Web!N$1:N$505,SMALL(IF(Create_TC_Web!$C$1:$C$505&lt;&gt;"",MATCH(ROW(Create_TC_Web!$C$1:$C$505),ROW(Create_TC_Web!$C$1:$C$505)),""),ROW(Create_TC_Web!L7))),"")</f>
        <v/>
      </c>
      <c r="L7" t="str" cm="1">
        <f t="array" ref="L7">IFERROR(INDEX(Create_TC_Web!O$1:O$505,SMALL(IF(Create_TC_Web!$C$1:$C$505&lt;&gt;"",MATCH(ROW(Create_TC_Web!$C$1:$C$505),ROW(Create_TC_Web!$C$1:$C$505)),""),ROW(Create_TC_Web!M7))),"")</f>
        <v/>
      </c>
      <c r="M7" t="str" cm="1">
        <f t="array" ref="M7">IFERROR(INDEX(Create_TC_Web!P$1:P$505,SMALL(IF(Create_TC_Web!$C$1:$C$505&lt;&gt;"",MATCH(ROW(Create_TC_Web!$C$1:$C$505),ROW(Create_TC_Web!$C$1:$C$505)),""),ROW(Create_TC_Web!N7))),"")</f>
        <v/>
      </c>
      <c r="N7">
        <f>Create_TC_Web!CA16</f>
        <v>0</v>
      </c>
      <c r="O7" t="str">
        <f t="shared" si="1"/>
        <v/>
      </c>
      <c r="P7" s="18" t="str">
        <f>IFERROR(IF(Create_TC_Web!U20&lt;&gt;"","let "&amp; Create_TC_Web!U20&amp;": String;",""),"")</f>
        <v/>
      </c>
      <c r="Q7" t="str">
        <f>IF(TestData!CB7&lt;&gt;0,TestData!CB7,"")</f>
        <v/>
      </c>
      <c r="R7" t="str">
        <f t="shared" si="5"/>
        <v/>
      </c>
      <c r="S7" t="str">
        <f t="shared" si="2"/>
        <v/>
      </c>
      <c r="W7" t="s">
        <v>3505</v>
      </c>
      <c r="X7" t="str">
        <f t="shared" si="0"/>
        <v>PersonalUmbrella.spec</v>
      </c>
      <c r="AE7" t="str">
        <f t="shared" si="3"/>
        <v/>
      </c>
      <c r="AF7">
        <f t="shared" ca="1" si="4"/>
        <v>0</v>
      </c>
    </row>
    <row r="8" spans="1:32">
      <c r="A8" t="str" cm="1">
        <f t="array" ref="A8">IFERROR(INDEX(Create_TC_Web!D$1:D$505,SMALL(IF(Create_TC_Web!$C$1:$C$505&lt;&gt;"",MATCH(ROW(Create_TC_Web!$C$1:$C$505),ROW(Create_TC_Web!$C$1:$C$505)),""),ROW(Create_TC_Web!B8))),"")</f>
        <v/>
      </c>
      <c r="B8" t="str" cm="1">
        <f t="array" ref="B8">SUBSTITUTE(SUBSTITUTE(SUBSTITUTE(IFERROR(INDEX(Create_TC_Web!E$1:E$505,SMALL(IF(Create_TC_Web!$C$1:$C$505&lt;&gt;"",MATCH(ROW(Create_TC_Web!$C$1:$C$505),ROW(Create_TC_Web!$C$1:$C$505)),""),ROW(Create_TC_Web!C8))),"")," ",""),"-",""),"_","")</f>
        <v/>
      </c>
      <c r="C8" t="str" cm="1">
        <f t="array" ref="C8">IFERROR(INDEX(Create_TC_Web!F$1:F$505,SMALL(IF(Create_TC_Web!$C$1:$C$505&lt;&gt;"",MATCH(ROW(Create_TC_Web!$C$1:$C$505),ROW(Create_TC_Web!$C$1:$C$505)),""),ROW(Create_TC_Web!D8))),"")</f>
        <v/>
      </c>
      <c r="D8" t="str" cm="1">
        <f t="array" ref="D8">IFERROR(INDEX(Create_TC_Web!G$1:G$505,SMALL(IF(Create_TC_Web!$C$1:$C$505&lt;&gt;"",MATCH(ROW(Create_TC_Web!$C$1:$C$505),ROW(Create_TC_Web!$C$1:$C$505)),""),ROW(Create_TC_Web!E8))),"")</f>
        <v/>
      </c>
      <c r="E8" t="str" cm="1">
        <f t="array" ref="E8">IFERROR(INDEX(Create_TC_Web!H$1:H$505,SMALL(IF(Create_TC_Web!$C$1:$C$505&lt;&gt;"",MATCH(ROW(Create_TC_Web!$C$1:$C$505),ROW(Create_TC_Web!$C$1:$C$505)),""),ROW(Create_TC_Web!F8))),"")</f>
        <v/>
      </c>
      <c r="F8" t="str" cm="1">
        <f t="array" ref="F8">IFERROR(INDEX(Create_TC_Web!I$1:I$505,SMALL(IF(Create_TC_Web!$C$1:$C$505&lt;&gt;"",MATCH(ROW(Create_TC_Web!$C$1:$C$505),ROW(Create_TC_Web!$C$1:$C$505)),""),ROW(Create_TC_Web!G8))),"")</f>
        <v/>
      </c>
      <c r="G8" t="str" cm="1">
        <f t="array" ref="G8">IFERROR(INDEX(Create_TC_Web!J$1:J$505,SMALL(IF(Create_TC_Web!$C$1:$C$505&lt;&gt;"",MATCH(ROW(Create_TC_Web!$C$1:$C$505),ROW(Create_TC_Web!$C$1:$C$505)),""),ROW(Create_TC_Web!H8))),"")</f>
        <v/>
      </c>
      <c r="H8" t="str" cm="1">
        <f t="array" ref="H8">IFERROR(INDEX(Create_TC_Web!K$1:K$505,SMALL(IF(Create_TC_Web!$C$1:$C$505&lt;&gt;"",MATCH(ROW(Create_TC_Web!$C$1:$C$505),ROW(Create_TC_Web!$C$1:$C$505)),""),ROW(Create_TC_Web!I8))),"")</f>
        <v/>
      </c>
      <c r="I8" t="str" cm="1">
        <f t="array" ref="I8">IFERROR(INDEX(Create_TC_Web!L$1:L$505,SMALL(IF(Create_TC_Web!$C$1:$C$505&lt;&gt;"",MATCH(ROW(Create_TC_Web!$C$1:$C$505),ROW(Create_TC_Web!$C$1:$C$505)),""),ROW(Create_TC_Web!J8))),"")</f>
        <v/>
      </c>
      <c r="J8" t="str" cm="1">
        <f t="array" ref="J8">IFERROR(INDEX(Create_TC_Web!M$1:M$505,SMALL(IF(Create_TC_Web!$C$1:$C$505&lt;&gt;"",MATCH(ROW(Create_TC_Web!$C$1:$C$505),ROW(Create_TC_Web!$C$1:$C$505)),""),ROW(Create_TC_Web!K8))),"")</f>
        <v/>
      </c>
      <c r="K8" t="str" cm="1">
        <f t="array" ref="K8">IFERROR(INDEX(Create_TC_Web!N$1:N$505,SMALL(IF(Create_TC_Web!$C$1:$C$505&lt;&gt;"",MATCH(ROW(Create_TC_Web!$C$1:$C$505),ROW(Create_TC_Web!$C$1:$C$505)),""),ROW(Create_TC_Web!L8))),"")</f>
        <v/>
      </c>
      <c r="L8" t="str" cm="1">
        <f t="array" ref="L8">IFERROR(INDEX(Create_TC_Web!O$1:O$505,SMALL(IF(Create_TC_Web!$C$1:$C$505&lt;&gt;"",MATCH(ROW(Create_TC_Web!$C$1:$C$505),ROW(Create_TC_Web!$C$1:$C$505)),""),ROW(Create_TC_Web!M8))),"")</f>
        <v/>
      </c>
      <c r="M8" t="str" cm="1">
        <f t="array" ref="M8">IFERROR(INDEX(Create_TC_Web!P$1:P$505,SMALL(IF(Create_TC_Web!$C$1:$C$505&lt;&gt;"",MATCH(ROW(Create_TC_Web!$C$1:$C$505),ROW(Create_TC_Web!$C$1:$C$505)),""),ROW(Create_TC_Web!N8))),"")</f>
        <v/>
      </c>
      <c r="N8">
        <f>Create_TC_Web!CA17</f>
        <v>0</v>
      </c>
      <c r="O8" t="str">
        <f t="shared" si="1"/>
        <v/>
      </c>
      <c r="P8" s="18" t="str">
        <f>IFERROR(IF(Create_TC_Web!U21&lt;&gt;"","let "&amp; Create_TC_Web!U21&amp;": String;",""),"")</f>
        <v/>
      </c>
      <c r="Q8" t="str">
        <f>IF(TestData!CB8&lt;&gt;0,TestData!CB8,"")</f>
        <v/>
      </c>
      <c r="R8" t="str">
        <f t="shared" si="5"/>
        <v/>
      </c>
      <c r="S8" t="str">
        <f t="shared" si="2"/>
        <v/>
      </c>
      <c r="W8" t="s">
        <v>3509</v>
      </c>
      <c r="X8" t="str">
        <f t="shared" si="0"/>
        <v/>
      </c>
      <c r="AE8" t="str">
        <f t="shared" si="3"/>
        <v/>
      </c>
      <c r="AF8">
        <f t="shared" ca="1" si="4"/>
        <v>0</v>
      </c>
    </row>
    <row r="9" spans="1:32">
      <c r="A9" t="str" cm="1">
        <f t="array" ref="A9">IFERROR(INDEX(Create_TC_Web!D$1:D$505,SMALL(IF(Create_TC_Web!$C$1:$C$505&lt;&gt;"",MATCH(ROW(Create_TC_Web!$C$1:$C$505),ROW(Create_TC_Web!$C$1:$C$505)),""),ROW(Create_TC_Web!B9))),"")</f>
        <v/>
      </c>
      <c r="B9" t="str" cm="1">
        <f t="array" ref="B9">SUBSTITUTE(SUBSTITUTE(SUBSTITUTE(IFERROR(INDEX(Create_TC_Web!E$1:E$505,SMALL(IF(Create_TC_Web!$C$1:$C$505&lt;&gt;"",MATCH(ROW(Create_TC_Web!$C$1:$C$505),ROW(Create_TC_Web!$C$1:$C$505)),""),ROW(Create_TC_Web!C9))),"")," ",""),"-",""),"_","")</f>
        <v/>
      </c>
      <c r="C9" t="str" cm="1">
        <f t="array" ref="C9">IFERROR(INDEX(Create_TC_Web!F$1:F$505,SMALL(IF(Create_TC_Web!$C$1:$C$505&lt;&gt;"",MATCH(ROW(Create_TC_Web!$C$1:$C$505),ROW(Create_TC_Web!$C$1:$C$505)),""),ROW(Create_TC_Web!D9))),"")</f>
        <v/>
      </c>
      <c r="D9" t="str" cm="1">
        <f t="array" ref="D9">IFERROR(INDEX(Create_TC_Web!G$1:G$505,SMALL(IF(Create_TC_Web!$C$1:$C$505&lt;&gt;"",MATCH(ROW(Create_TC_Web!$C$1:$C$505),ROW(Create_TC_Web!$C$1:$C$505)),""),ROW(Create_TC_Web!E9))),"")</f>
        <v/>
      </c>
      <c r="E9" t="str" cm="1">
        <f t="array" ref="E9">IFERROR(INDEX(Create_TC_Web!H$1:H$505,SMALL(IF(Create_TC_Web!$C$1:$C$505&lt;&gt;"",MATCH(ROW(Create_TC_Web!$C$1:$C$505),ROW(Create_TC_Web!$C$1:$C$505)),""),ROW(Create_TC_Web!F9))),"")</f>
        <v/>
      </c>
      <c r="F9" t="str" cm="1">
        <f t="array" ref="F9">IFERROR(INDEX(Create_TC_Web!I$1:I$505,SMALL(IF(Create_TC_Web!$C$1:$C$505&lt;&gt;"",MATCH(ROW(Create_TC_Web!$C$1:$C$505),ROW(Create_TC_Web!$C$1:$C$505)),""),ROW(Create_TC_Web!G9))),"")</f>
        <v/>
      </c>
      <c r="G9" t="str" cm="1">
        <f t="array" ref="G9">IFERROR(INDEX(Create_TC_Web!J$1:J$505,SMALL(IF(Create_TC_Web!$C$1:$C$505&lt;&gt;"",MATCH(ROW(Create_TC_Web!$C$1:$C$505),ROW(Create_TC_Web!$C$1:$C$505)),""),ROW(Create_TC_Web!H9))),"")</f>
        <v/>
      </c>
      <c r="H9" t="str" cm="1">
        <f t="array" ref="H9">IFERROR(INDEX(Create_TC_Web!K$1:K$505,SMALL(IF(Create_TC_Web!$C$1:$C$505&lt;&gt;"",MATCH(ROW(Create_TC_Web!$C$1:$C$505),ROW(Create_TC_Web!$C$1:$C$505)),""),ROW(Create_TC_Web!I9))),"")</f>
        <v/>
      </c>
      <c r="I9" t="str" cm="1">
        <f t="array" ref="I9">IFERROR(INDEX(Create_TC_Web!L$1:L$505,SMALL(IF(Create_TC_Web!$C$1:$C$505&lt;&gt;"",MATCH(ROW(Create_TC_Web!$C$1:$C$505),ROW(Create_TC_Web!$C$1:$C$505)),""),ROW(Create_TC_Web!J9))),"")</f>
        <v/>
      </c>
      <c r="J9" t="str" cm="1">
        <f t="array" ref="J9">IFERROR(INDEX(Create_TC_Web!M$1:M$505,SMALL(IF(Create_TC_Web!$C$1:$C$505&lt;&gt;"",MATCH(ROW(Create_TC_Web!$C$1:$C$505),ROW(Create_TC_Web!$C$1:$C$505)),""),ROW(Create_TC_Web!K9))),"")</f>
        <v/>
      </c>
      <c r="K9" t="str" cm="1">
        <f t="array" ref="K9">IFERROR(INDEX(Create_TC_Web!N$1:N$505,SMALL(IF(Create_TC_Web!$C$1:$C$505&lt;&gt;"",MATCH(ROW(Create_TC_Web!$C$1:$C$505),ROW(Create_TC_Web!$C$1:$C$505)),""),ROW(Create_TC_Web!L9))),"")</f>
        <v/>
      </c>
      <c r="L9" t="str" cm="1">
        <f t="array" ref="L9">IFERROR(INDEX(Create_TC_Web!O$1:O$505,SMALL(IF(Create_TC_Web!$C$1:$C$505&lt;&gt;"",MATCH(ROW(Create_TC_Web!$C$1:$C$505),ROW(Create_TC_Web!$C$1:$C$505)),""),ROW(Create_TC_Web!M9))),"")</f>
        <v/>
      </c>
      <c r="M9" t="str" cm="1">
        <f t="array" ref="M9">IFERROR(INDEX(Create_TC_Web!P$1:P$505,SMALL(IF(Create_TC_Web!$C$1:$C$505&lt;&gt;"",MATCH(ROW(Create_TC_Web!$C$1:$C$505),ROW(Create_TC_Web!$C$1:$C$505)),""),ROW(Create_TC_Web!N9))),"")</f>
        <v/>
      </c>
      <c r="N9">
        <f>Create_TC_Web!CA18</f>
        <v>0</v>
      </c>
      <c r="O9" t="str">
        <f t="shared" si="1"/>
        <v/>
      </c>
      <c r="P9" s="18" t="str">
        <f>IFERROR(IF(Create_TC_Web!U22&lt;&gt;"","let "&amp; Create_TC_Web!U22&amp;": String;",""),"")</f>
        <v/>
      </c>
      <c r="Q9" t="str">
        <f>IF(TestData!CB9&lt;&gt;0,TestData!CB9,"")</f>
        <v/>
      </c>
      <c r="R9" t="str">
        <f t="shared" si="5"/>
        <v/>
      </c>
      <c r="S9" t="str">
        <f t="shared" si="2"/>
        <v/>
      </c>
      <c r="W9" t="s">
        <v>3511</v>
      </c>
      <c r="X9" t="str">
        <f t="shared" si="0"/>
        <v>PWReinstate.spec</v>
      </c>
      <c r="AE9" t="str">
        <f t="shared" si="3"/>
        <v/>
      </c>
      <c r="AF9">
        <f t="shared" ca="1" si="4"/>
        <v>0</v>
      </c>
    </row>
    <row r="10" spans="1:32">
      <c r="A10" t="str" cm="1">
        <f t="array" ref="A10">IFERROR(INDEX(Create_TC_Web!D$1:D$505,SMALL(IF(Create_TC_Web!$C$1:$C$505&lt;&gt;"",MATCH(ROW(Create_TC_Web!$C$1:$C$505),ROW(Create_TC_Web!$C$1:$C$505)),""),ROW(Create_TC_Web!B10))),"")</f>
        <v/>
      </c>
      <c r="B10" t="str" cm="1">
        <f t="array" ref="B10">SUBSTITUTE(SUBSTITUTE(SUBSTITUTE(IFERROR(INDEX(Create_TC_Web!E$1:E$505,SMALL(IF(Create_TC_Web!$C$1:$C$505&lt;&gt;"",MATCH(ROW(Create_TC_Web!$C$1:$C$505),ROW(Create_TC_Web!$C$1:$C$505)),""),ROW(Create_TC_Web!C10))),"")," ",""),"-",""),"_","")</f>
        <v/>
      </c>
      <c r="C10" t="str" cm="1">
        <f t="array" ref="C10">IFERROR(INDEX(Create_TC_Web!F$1:F$505,SMALL(IF(Create_TC_Web!$C$1:$C$505&lt;&gt;"",MATCH(ROW(Create_TC_Web!$C$1:$C$505),ROW(Create_TC_Web!$C$1:$C$505)),""),ROW(Create_TC_Web!D10))),"")</f>
        <v/>
      </c>
      <c r="D10" t="str" cm="1">
        <f t="array" ref="D10">IFERROR(INDEX(Create_TC_Web!G$1:G$505,SMALL(IF(Create_TC_Web!$C$1:$C$505&lt;&gt;"",MATCH(ROW(Create_TC_Web!$C$1:$C$505),ROW(Create_TC_Web!$C$1:$C$505)),""),ROW(Create_TC_Web!E10))),"")</f>
        <v/>
      </c>
      <c r="E10" t="str" cm="1">
        <f t="array" ref="E10">IFERROR(INDEX(Create_TC_Web!H$1:H$505,SMALL(IF(Create_TC_Web!$C$1:$C$505&lt;&gt;"",MATCH(ROW(Create_TC_Web!$C$1:$C$505),ROW(Create_TC_Web!$C$1:$C$505)),""),ROW(Create_TC_Web!F10))),"")</f>
        <v/>
      </c>
      <c r="F10" t="str" cm="1">
        <f t="array" ref="F10">IFERROR(INDEX(Create_TC_Web!I$1:I$505,SMALL(IF(Create_TC_Web!$C$1:$C$505&lt;&gt;"",MATCH(ROW(Create_TC_Web!$C$1:$C$505),ROW(Create_TC_Web!$C$1:$C$505)),""),ROW(Create_TC_Web!G10))),"")</f>
        <v/>
      </c>
      <c r="G10" t="str" cm="1">
        <f t="array" ref="G10">IFERROR(INDEX(Create_TC_Web!J$1:J$505,SMALL(IF(Create_TC_Web!$C$1:$C$505&lt;&gt;"",MATCH(ROW(Create_TC_Web!$C$1:$C$505),ROW(Create_TC_Web!$C$1:$C$505)),""),ROW(Create_TC_Web!H10))),"")</f>
        <v/>
      </c>
      <c r="H10" t="str" cm="1">
        <f t="array" ref="H10">IFERROR(INDEX(Create_TC_Web!K$1:K$505,SMALL(IF(Create_TC_Web!$C$1:$C$505&lt;&gt;"",MATCH(ROW(Create_TC_Web!$C$1:$C$505),ROW(Create_TC_Web!$C$1:$C$505)),""),ROW(Create_TC_Web!I10))),"")</f>
        <v/>
      </c>
      <c r="I10" t="str" cm="1">
        <f t="array" ref="I10">IFERROR(INDEX(Create_TC_Web!L$1:L$505,SMALL(IF(Create_TC_Web!$C$1:$C$505&lt;&gt;"",MATCH(ROW(Create_TC_Web!$C$1:$C$505),ROW(Create_TC_Web!$C$1:$C$505)),""),ROW(Create_TC_Web!J10))),"")</f>
        <v/>
      </c>
      <c r="J10" t="str" cm="1">
        <f t="array" ref="J10">IFERROR(INDEX(Create_TC_Web!M$1:M$505,SMALL(IF(Create_TC_Web!$C$1:$C$505&lt;&gt;"",MATCH(ROW(Create_TC_Web!$C$1:$C$505),ROW(Create_TC_Web!$C$1:$C$505)),""),ROW(Create_TC_Web!K10))),"")</f>
        <v/>
      </c>
      <c r="K10" t="str" cm="1">
        <f t="array" ref="K10">IFERROR(INDEX(Create_TC_Web!N$1:N$505,SMALL(IF(Create_TC_Web!$C$1:$C$505&lt;&gt;"",MATCH(ROW(Create_TC_Web!$C$1:$C$505),ROW(Create_TC_Web!$C$1:$C$505)),""),ROW(Create_TC_Web!L10))),"")</f>
        <v/>
      </c>
      <c r="L10" t="str" cm="1">
        <f t="array" ref="L10">IFERROR(INDEX(Create_TC_Web!O$1:O$505,SMALL(IF(Create_TC_Web!$C$1:$C$505&lt;&gt;"",MATCH(ROW(Create_TC_Web!$C$1:$C$505),ROW(Create_TC_Web!$C$1:$C$505)),""),ROW(Create_TC_Web!M10))),"")</f>
        <v/>
      </c>
      <c r="M10" t="str" cm="1">
        <f t="array" ref="M10">IFERROR(INDEX(Create_TC_Web!P$1:P$505,SMALL(IF(Create_TC_Web!$C$1:$C$505&lt;&gt;"",MATCH(ROW(Create_TC_Web!$C$1:$C$505),ROW(Create_TC_Web!$C$1:$C$505)),""),ROW(Create_TC_Web!N10))),"")</f>
        <v/>
      </c>
      <c r="N10">
        <f>Create_TC_Web!CA19</f>
        <v>0</v>
      </c>
      <c r="O10" t="str">
        <f t="shared" si="1"/>
        <v/>
      </c>
      <c r="P10" s="18" t="str">
        <f>IFERROR(IF(Create_TC_Web!U23&lt;&gt;"","let "&amp; Create_TC_Web!U23&amp;": String;",""),"")</f>
        <v/>
      </c>
      <c r="Q10" t="str">
        <f>IF(TestData!CB10&lt;&gt;0,TestData!CB10,"")</f>
        <v/>
      </c>
      <c r="R10" t="str">
        <f t="shared" si="5"/>
        <v/>
      </c>
      <c r="S10" t="str">
        <f t="shared" si="2"/>
        <v/>
      </c>
      <c r="W10" t="s">
        <v>3515</v>
      </c>
      <c r="X10" t="str">
        <f t="shared" si="0"/>
        <v/>
      </c>
      <c r="AE10" t="str">
        <f t="shared" si="3"/>
        <v/>
      </c>
      <c r="AF10">
        <f t="shared" ca="1" si="4"/>
        <v>0</v>
      </c>
    </row>
    <row r="11" spans="1:32">
      <c r="A11" t="str" cm="1">
        <f t="array" ref="A11">IFERROR(INDEX(Create_TC_Web!D$1:D$505,SMALL(IF(Create_TC_Web!$C$1:$C$505&lt;&gt;"",MATCH(ROW(Create_TC_Web!$C$1:$C$505),ROW(Create_TC_Web!$C$1:$C$505)),""),ROW(Create_TC_Web!B11))),"")</f>
        <v/>
      </c>
      <c r="B11" t="str" cm="1">
        <f t="array" ref="B11">SUBSTITUTE(SUBSTITUTE(SUBSTITUTE(IFERROR(INDEX(Create_TC_Web!E$1:E$505,SMALL(IF(Create_TC_Web!$C$1:$C$505&lt;&gt;"",MATCH(ROW(Create_TC_Web!$C$1:$C$505),ROW(Create_TC_Web!$C$1:$C$505)),""),ROW(Create_TC_Web!C11))),"")," ",""),"-",""),"_","")</f>
        <v/>
      </c>
      <c r="C11" t="str" cm="1">
        <f t="array" ref="C11">IFERROR(INDEX(Create_TC_Web!F$1:F$505,SMALL(IF(Create_TC_Web!$C$1:$C$505&lt;&gt;"",MATCH(ROW(Create_TC_Web!$C$1:$C$505),ROW(Create_TC_Web!$C$1:$C$505)),""),ROW(Create_TC_Web!D11))),"")</f>
        <v/>
      </c>
      <c r="D11" t="str" cm="1">
        <f t="array" ref="D11">IFERROR(INDEX(Create_TC_Web!G$1:G$505,SMALL(IF(Create_TC_Web!$C$1:$C$505&lt;&gt;"",MATCH(ROW(Create_TC_Web!$C$1:$C$505),ROW(Create_TC_Web!$C$1:$C$505)),""),ROW(Create_TC_Web!E11))),"")</f>
        <v/>
      </c>
      <c r="E11" t="str" cm="1">
        <f t="array" ref="E11">IFERROR(INDEX(Create_TC_Web!H$1:H$505,SMALL(IF(Create_TC_Web!$C$1:$C$505&lt;&gt;"",MATCH(ROW(Create_TC_Web!$C$1:$C$505),ROW(Create_TC_Web!$C$1:$C$505)),""),ROW(Create_TC_Web!F11))),"")</f>
        <v/>
      </c>
      <c r="F11" t="str" cm="1">
        <f t="array" ref="F11">IFERROR(INDEX(Create_TC_Web!I$1:I$505,SMALL(IF(Create_TC_Web!$C$1:$C$505&lt;&gt;"",MATCH(ROW(Create_TC_Web!$C$1:$C$505),ROW(Create_TC_Web!$C$1:$C$505)),""),ROW(Create_TC_Web!G11))),"")</f>
        <v/>
      </c>
      <c r="G11" t="str" cm="1">
        <f t="array" ref="G11">IFERROR(INDEX(Create_TC_Web!J$1:J$505,SMALL(IF(Create_TC_Web!$C$1:$C$505&lt;&gt;"",MATCH(ROW(Create_TC_Web!$C$1:$C$505),ROW(Create_TC_Web!$C$1:$C$505)),""),ROW(Create_TC_Web!H11))),"")</f>
        <v/>
      </c>
      <c r="H11" t="str" cm="1">
        <f t="array" ref="H11">IFERROR(INDEX(Create_TC_Web!K$1:K$505,SMALL(IF(Create_TC_Web!$C$1:$C$505&lt;&gt;"",MATCH(ROW(Create_TC_Web!$C$1:$C$505),ROW(Create_TC_Web!$C$1:$C$505)),""),ROW(Create_TC_Web!I11))),"")</f>
        <v/>
      </c>
      <c r="I11" t="str" cm="1">
        <f t="array" ref="I11">IFERROR(INDEX(Create_TC_Web!L$1:L$505,SMALL(IF(Create_TC_Web!$C$1:$C$505&lt;&gt;"",MATCH(ROW(Create_TC_Web!$C$1:$C$505),ROW(Create_TC_Web!$C$1:$C$505)),""),ROW(Create_TC_Web!J11))),"")</f>
        <v/>
      </c>
      <c r="J11" t="str" cm="1">
        <f t="array" ref="J11">IFERROR(INDEX(Create_TC_Web!M$1:M$505,SMALL(IF(Create_TC_Web!$C$1:$C$505&lt;&gt;"",MATCH(ROW(Create_TC_Web!$C$1:$C$505),ROW(Create_TC_Web!$C$1:$C$505)),""),ROW(Create_TC_Web!K11))),"")</f>
        <v/>
      </c>
      <c r="K11" t="str" cm="1">
        <f t="array" ref="K11">IFERROR(INDEX(Create_TC_Web!N$1:N$505,SMALL(IF(Create_TC_Web!$C$1:$C$505&lt;&gt;"",MATCH(ROW(Create_TC_Web!$C$1:$C$505),ROW(Create_TC_Web!$C$1:$C$505)),""),ROW(Create_TC_Web!L11))),"")</f>
        <v/>
      </c>
      <c r="L11" t="str" cm="1">
        <f t="array" ref="L11">IFERROR(INDEX(Create_TC_Web!O$1:O$505,SMALL(IF(Create_TC_Web!$C$1:$C$505&lt;&gt;"",MATCH(ROW(Create_TC_Web!$C$1:$C$505),ROW(Create_TC_Web!$C$1:$C$505)),""),ROW(Create_TC_Web!M11))),"")</f>
        <v/>
      </c>
      <c r="M11" t="str" cm="1">
        <f t="array" ref="M11">IFERROR(INDEX(Create_TC_Web!P$1:P$505,SMALL(IF(Create_TC_Web!$C$1:$C$505&lt;&gt;"",MATCH(ROW(Create_TC_Web!$C$1:$C$505),ROW(Create_TC_Web!$C$1:$C$505)),""),ROW(Create_TC_Web!N11))),"")</f>
        <v/>
      </c>
      <c r="N11">
        <f>Create_TC_Web!CA20</f>
        <v>0</v>
      </c>
      <c r="O11" t="str">
        <f t="shared" si="1"/>
        <v/>
      </c>
      <c r="P11" s="18" t="str">
        <f>IFERROR(IF(Create_TC_Web!U24&lt;&gt;"","let "&amp; Create_TC_Web!U24&amp;": String;",""),"")</f>
        <v/>
      </c>
      <c r="Q11" t="str">
        <f>IF(TestData!CB11&lt;&gt;0,TestData!CB11,"")</f>
        <v/>
      </c>
      <c r="R11" t="str">
        <f t="shared" si="5"/>
        <v/>
      </c>
      <c r="S11" t="str">
        <f t="shared" si="2"/>
        <v/>
      </c>
      <c r="W11" t="s">
        <v>3506</v>
      </c>
      <c r="X11" t="str">
        <f t="shared" si="0"/>
        <v/>
      </c>
      <c r="AE11" t="str">
        <f t="shared" si="3"/>
        <v/>
      </c>
      <c r="AF11">
        <f t="shared" ca="1" si="4"/>
        <v>0</v>
      </c>
    </row>
    <row r="12" spans="1:32">
      <c r="A12" t="str" cm="1">
        <f t="array" ref="A12">IFERROR(INDEX(Create_TC_Web!D$1:D$505,SMALL(IF(Create_TC_Web!$C$1:$C$505&lt;&gt;"",MATCH(ROW(Create_TC_Web!$C$1:$C$505),ROW(Create_TC_Web!$C$1:$C$505)),""),ROW(Create_TC_Web!B12))),"")</f>
        <v/>
      </c>
      <c r="B12" t="str" cm="1">
        <f t="array" ref="B12">SUBSTITUTE(SUBSTITUTE(SUBSTITUTE(IFERROR(INDEX(Create_TC_Web!E$1:E$505,SMALL(IF(Create_TC_Web!$C$1:$C$505&lt;&gt;"",MATCH(ROW(Create_TC_Web!$C$1:$C$505),ROW(Create_TC_Web!$C$1:$C$505)),""),ROW(Create_TC_Web!C12))),"")," ",""),"-",""),"_","")</f>
        <v/>
      </c>
      <c r="C12" t="str" cm="1">
        <f t="array" ref="C12">IFERROR(INDEX(Create_TC_Web!F$1:F$505,SMALL(IF(Create_TC_Web!$C$1:$C$505&lt;&gt;"",MATCH(ROW(Create_TC_Web!$C$1:$C$505),ROW(Create_TC_Web!$C$1:$C$505)),""),ROW(Create_TC_Web!D12))),"")</f>
        <v/>
      </c>
      <c r="D12" t="str" cm="1">
        <f t="array" ref="D12">IFERROR(INDEX(Create_TC_Web!G$1:G$505,SMALL(IF(Create_TC_Web!$C$1:$C$505&lt;&gt;"",MATCH(ROW(Create_TC_Web!$C$1:$C$505),ROW(Create_TC_Web!$C$1:$C$505)),""),ROW(Create_TC_Web!E12))),"")</f>
        <v/>
      </c>
      <c r="E12" t="str" cm="1">
        <f t="array" ref="E12">IFERROR(INDEX(Create_TC_Web!H$1:H$505,SMALL(IF(Create_TC_Web!$C$1:$C$505&lt;&gt;"",MATCH(ROW(Create_TC_Web!$C$1:$C$505),ROW(Create_TC_Web!$C$1:$C$505)),""),ROW(Create_TC_Web!F12))),"")</f>
        <v/>
      </c>
      <c r="F12" t="str" cm="1">
        <f t="array" ref="F12">IFERROR(INDEX(Create_TC_Web!I$1:I$505,SMALL(IF(Create_TC_Web!$C$1:$C$505&lt;&gt;"",MATCH(ROW(Create_TC_Web!$C$1:$C$505),ROW(Create_TC_Web!$C$1:$C$505)),""),ROW(Create_TC_Web!G12))),"")</f>
        <v/>
      </c>
      <c r="G12" t="str" cm="1">
        <f t="array" ref="G12">IFERROR(INDEX(Create_TC_Web!J$1:J$505,SMALL(IF(Create_TC_Web!$C$1:$C$505&lt;&gt;"",MATCH(ROW(Create_TC_Web!$C$1:$C$505),ROW(Create_TC_Web!$C$1:$C$505)),""),ROW(Create_TC_Web!H12))),"")</f>
        <v/>
      </c>
      <c r="H12" t="str" cm="1">
        <f t="array" ref="H12">IFERROR(INDEX(Create_TC_Web!K$1:K$505,SMALL(IF(Create_TC_Web!$C$1:$C$505&lt;&gt;"",MATCH(ROW(Create_TC_Web!$C$1:$C$505),ROW(Create_TC_Web!$C$1:$C$505)),""),ROW(Create_TC_Web!I12))),"")</f>
        <v/>
      </c>
      <c r="I12" t="str" cm="1">
        <f t="array" ref="I12">IFERROR(INDEX(Create_TC_Web!L$1:L$505,SMALL(IF(Create_TC_Web!$C$1:$C$505&lt;&gt;"",MATCH(ROW(Create_TC_Web!$C$1:$C$505),ROW(Create_TC_Web!$C$1:$C$505)),""),ROW(Create_TC_Web!J12))),"")</f>
        <v/>
      </c>
      <c r="J12" t="str" cm="1">
        <f t="array" ref="J12">IFERROR(INDEX(Create_TC_Web!M$1:M$505,SMALL(IF(Create_TC_Web!$C$1:$C$505&lt;&gt;"",MATCH(ROW(Create_TC_Web!$C$1:$C$505),ROW(Create_TC_Web!$C$1:$C$505)),""),ROW(Create_TC_Web!K12))),"")</f>
        <v/>
      </c>
      <c r="K12" t="str" cm="1">
        <f t="array" ref="K12">IFERROR(INDEX(Create_TC_Web!N$1:N$505,SMALL(IF(Create_TC_Web!$C$1:$C$505&lt;&gt;"",MATCH(ROW(Create_TC_Web!$C$1:$C$505),ROW(Create_TC_Web!$C$1:$C$505)),""),ROW(Create_TC_Web!L12))),"")</f>
        <v/>
      </c>
      <c r="L12" t="str" cm="1">
        <f t="array" ref="L12">IFERROR(INDEX(Create_TC_Web!O$1:O$505,SMALL(IF(Create_TC_Web!$C$1:$C$505&lt;&gt;"",MATCH(ROW(Create_TC_Web!$C$1:$C$505),ROW(Create_TC_Web!$C$1:$C$505)),""),ROW(Create_TC_Web!M12))),"")</f>
        <v/>
      </c>
      <c r="M12" t="str" cm="1">
        <f t="array" ref="M12">IFERROR(INDEX(Create_TC_Web!P$1:P$505,SMALL(IF(Create_TC_Web!$C$1:$C$505&lt;&gt;"",MATCH(ROW(Create_TC_Web!$C$1:$C$505),ROW(Create_TC_Web!$C$1:$C$505)),""),ROW(Create_TC_Web!N12))),"")</f>
        <v/>
      </c>
      <c r="N12">
        <f>Create_TC_Web!CA21</f>
        <v>0</v>
      </c>
      <c r="O12" t="str">
        <f t="shared" si="1"/>
        <v/>
      </c>
      <c r="P12" s="18" t="str">
        <f>IFERROR(IF(Create_TC_Web!U25&lt;&gt;"","let "&amp; Create_TC_Web!U25&amp;": String;",""),"")</f>
        <v/>
      </c>
      <c r="Q12" t="str">
        <f>IF(TestData!CB12&lt;&gt;0,TestData!CB12,"")</f>
        <v/>
      </c>
      <c r="R12" t="str">
        <f t="shared" si="5"/>
        <v/>
      </c>
      <c r="S12" t="str">
        <f t="shared" si="2"/>
        <v/>
      </c>
      <c r="W12" t="s">
        <v>3507</v>
      </c>
      <c r="X12" t="str">
        <f t="shared" si="0"/>
        <v/>
      </c>
      <c r="AE12" t="str">
        <f t="shared" si="3"/>
        <v/>
      </c>
      <c r="AF12">
        <f t="shared" ca="1" si="4"/>
        <v>0</v>
      </c>
    </row>
    <row r="13" spans="1:32">
      <c r="A13" t="str" cm="1">
        <f t="array" ref="A13">IFERROR(INDEX(Create_TC_Web!D$1:D$505,SMALL(IF(Create_TC_Web!$C$1:$C$505&lt;&gt;"",MATCH(ROW(Create_TC_Web!$C$1:$C$505),ROW(Create_TC_Web!$C$1:$C$505)),""),ROW(Create_TC_Web!B13))),"")</f>
        <v/>
      </c>
      <c r="B13" t="str" cm="1">
        <f t="array" ref="B13">SUBSTITUTE(SUBSTITUTE(SUBSTITUTE(IFERROR(INDEX(Create_TC_Web!E$1:E$505,SMALL(IF(Create_TC_Web!$C$1:$C$505&lt;&gt;"",MATCH(ROW(Create_TC_Web!$C$1:$C$505),ROW(Create_TC_Web!$C$1:$C$505)),""),ROW(Create_TC_Web!C13))),"")," ",""),"-",""),"_","")</f>
        <v/>
      </c>
      <c r="C13" t="str" cm="1">
        <f t="array" ref="C13">IFERROR(INDEX(Create_TC_Web!F$1:F$505,SMALL(IF(Create_TC_Web!$C$1:$C$505&lt;&gt;"",MATCH(ROW(Create_TC_Web!$C$1:$C$505),ROW(Create_TC_Web!$C$1:$C$505)),""),ROW(Create_TC_Web!D13))),"")</f>
        <v/>
      </c>
      <c r="D13" t="str" cm="1">
        <f t="array" ref="D13">IFERROR(INDEX(Create_TC_Web!G$1:G$505,SMALL(IF(Create_TC_Web!$C$1:$C$505&lt;&gt;"",MATCH(ROW(Create_TC_Web!$C$1:$C$505),ROW(Create_TC_Web!$C$1:$C$505)),""),ROW(Create_TC_Web!E13))),"")</f>
        <v/>
      </c>
      <c r="E13" t="str" cm="1">
        <f t="array" ref="E13">IFERROR(INDEX(Create_TC_Web!H$1:H$505,SMALL(IF(Create_TC_Web!$C$1:$C$505&lt;&gt;"",MATCH(ROW(Create_TC_Web!$C$1:$C$505),ROW(Create_TC_Web!$C$1:$C$505)),""),ROW(Create_TC_Web!F13))),"")</f>
        <v/>
      </c>
      <c r="F13" t="str" cm="1">
        <f t="array" ref="F13">IFERROR(INDEX(Create_TC_Web!I$1:I$505,SMALL(IF(Create_TC_Web!$C$1:$C$505&lt;&gt;"",MATCH(ROW(Create_TC_Web!$C$1:$C$505),ROW(Create_TC_Web!$C$1:$C$505)),""),ROW(Create_TC_Web!G13))),"")</f>
        <v/>
      </c>
      <c r="G13" t="str" cm="1">
        <f t="array" ref="G13">IFERROR(INDEX(Create_TC_Web!J$1:J$505,SMALL(IF(Create_TC_Web!$C$1:$C$505&lt;&gt;"",MATCH(ROW(Create_TC_Web!$C$1:$C$505),ROW(Create_TC_Web!$C$1:$C$505)),""),ROW(Create_TC_Web!H13))),"")</f>
        <v/>
      </c>
      <c r="H13" t="str" cm="1">
        <f t="array" ref="H13">IFERROR(INDEX(Create_TC_Web!K$1:K$505,SMALL(IF(Create_TC_Web!$C$1:$C$505&lt;&gt;"",MATCH(ROW(Create_TC_Web!$C$1:$C$505),ROW(Create_TC_Web!$C$1:$C$505)),""),ROW(Create_TC_Web!I13))),"")</f>
        <v/>
      </c>
      <c r="I13" t="str" cm="1">
        <f t="array" ref="I13">IFERROR(INDEX(Create_TC_Web!L$1:L$505,SMALL(IF(Create_TC_Web!$C$1:$C$505&lt;&gt;"",MATCH(ROW(Create_TC_Web!$C$1:$C$505),ROW(Create_TC_Web!$C$1:$C$505)),""),ROW(Create_TC_Web!J13))),"")</f>
        <v/>
      </c>
      <c r="J13" t="str" cm="1">
        <f t="array" ref="J13">IFERROR(INDEX(Create_TC_Web!M$1:M$505,SMALL(IF(Create_TC_Web!$C$1:$C$505&lt;&gt;"",MATCH(ROW(Create_TC_Web!$C$1:$C$505),ROW(Create_TC_Web!$C$1:$C$505)),""),ROW(Create_TC_Web!K13))),"")</f>
        <v/>
      </c>
      <c r="K13" t="str" cm="1">
        <f t="array" ref="K13">IFERROR(INDEX(Create_TC_Web!N$1:N$505,SMALL(IF(Create_TC_Web!$C$1:$C$505&lt;&gt;"",MATCH(ROW(Create_TC_Web!$C$1:$C$505),ROW(Create_TC_Web!$C$1:$C$505)),""),ROW(Create_TC_Web!L13))),"")</f>
        <v/>
      </c>
      <c r="L13" t="str" cm="1">
        <f t="array" ref="L13">IFERROR(INDEX(Create_TC_Web!O$1:O$505,SMALL(IF(Create_TC_Web!$C$1:$C$505&lt;&gt;"",MATCH(ROW(Create_TC_Web!$C$1:$C$505),ROW(Create_TC_Web!$C$1:$C$505)),""),ROW(Create_TC_Web!M13))),"")</f>
        <v/>
      </c>
      <c r="M13" t="str" cm="1">
        <f t="array" ref="M13">IFERROR(INDEX(Create_TC_Web!P$1:P$505,SMALL(IF(Create_TC_Web!$C$1:$C$505&lt;&gt;"",MATCH(ROW(Create_TC_Web!$C$1:$C$505),ROW(Create_TC_Web!$C$1:$C$505)),""),ROW(Create_TC_Web!N13))),"")</f>
        <v/>
      </c>
      <c r="N13">
        <f>Create_TC_Web!CA22</f>
        <v>0</v>
      </c>
      <c r="O13" t="str">
        <f t="shared" si="1"/>
        <v/>
      </c>
      <c r="P13" s="18" t="str">
        <f>IFERROR(IF(Create_TC_Web!U26&lt;&gt;"","let "&amp; Create_TC_Web!U26&amp;": String;",""),"")</f>
        <v/>
      </c>
      <c r="Q13" t="str">
        <f>IF(TestData!CB13&lt;&gt;0,TestData!CB13,"")</f>
        <v/>
      </c>
      <c r="R13" t="str">
        <f t="shared" si="5"/>
        <v/>
      </c>
      <c r="S13" t="str">
        <f t="shared" si="2"/>
        <v/>
      </c>
      <c r="X13" t="str">
        <f t="shared" si="0"/>
        <v/>
      </c>
      <c r="AE13" t="str">
        <f t="shared" si="3"/>
        <v/>
      </c>
      <c r="AF13">
        <f t="shared" ca="1" si="4"/>
        <v>0</v>
      </c>
    </row>
    <row r="14" spans="1:32">
      <c r="A14" t="str" cm="1">
        <f t="array" ref="A14">IFERROR(INDEX(Create_TC_Web!D$1:D$505,SMALL(IF(Create_TC_Web!$C$1:$C$505&lt;&gt;"",MATCH(ROW(Create_TC_Web!$C$1:$C$505),ROW(Create_TC_Web!$C$1:$C$505)),""),ROW(Create_TC_Web!B14))),"")</f>
        <v/>
      </c>
      <c r="B14" t="str" cm="1">
        <f t="array" ref="B14">SUBSTITUTE(SUBSTITUTE(SUBSTITUTE(IFERROR(INDEX(Create_TC_Web!E$1:E$505,SMALL(IF(Create_TC_Web!$C$1:$C$505&lt;&gt;"",MATCH(ROW(Create_TC_Web!$C$1:$C$505),ROW(Create_TC_Web!$C$1:$C$505)),""),ROW(Create_TC_Web!C14))),"")," ",""),"-",""),"_","")</f>
        <v/>
      </c>
      <c r="C14" t="str" cm="1">
        <f t="array" ref="C14">IFERROR(INDEX(Create_TC_Web!F$1:F$505,SMALL(IF(Create_TC_Web!$C$1:$C$505&lt;&gt;"",MATCH(ROW(Create_TC_Web!$C$1:$C$505),ROW(Create_TC_Web!$C$1:$C$505)),""),ROW(Create_TC_Web!D14))),"")</f>
        <v/>
      </c>
      <c r="D14" t="str" cm="1">
        <f t="array" ref="D14">IFERROR(INDEX(Create_TC_Web!G$1:G$505,SMALL(IF(Create_TC_Web!$C$1:$C$505&lt;&gt;"",MATCH(ROW(Create_TC_Web!$C$1:$C$505),ROW(Create_TC_Web!$C$1:$C$505)),""),ROW(Create_TC_Web!E14))),"")</f>
        <v/>
      </c>
      <c r="E14" t="str" cm="1">
        <f t="array" ref="E14">IFERROR(INDEX(Create_TC_Web!H$1:H$505,SMALL(IF(Create_TC_Web!$C$1:$C$505&lt;&gt;"",MATCH(ROW(Create_TC_Web!$C$1:$C$505),ROW(Create_TC_Web!$C$1:$C$505)),""),ROW(Create_TC_Web!F14))),"")</f>
        <v/>
      </c>
      <c r="F14" t="str" cm="1">
        <f t="array" ref="F14">IFERROR(INDEX(Create_TC_Web!I$1:I$505,SMALL(IF(Create_TC_Web!$C$1:$C$505&lt;&gt;"",MATCH(ROW(Create_TC_Web!$C$1:$C$505),ROW(Create_TC_Web!$C$1:$C$505)),""),ROW(Create_TC_Web!G14))),"")</f>
        <v/>
      </c>
      <c r="G14" t="str" cm="1">
        <f t="array" ref="G14">IFERROR(INDEX(Create_TC_Web!J$1:J$505,SMALL(IF(Create_TC_Web!$C$1:$C$505&lt;&gt;"",MATCH(ROW(Create_TC_Web!$C$1:$C$505),ROW(Create_TC_Web!$C$1:$C$505)),""),ROW(Create_TC_Web!H14))),"")</f>
        <v/>
      </c>
      <c r="H14" t="str" cm="1">
        <f t="array" ref="H14">IFERROR(INDEX(Create_TC_Web!K$1:K$505,SMALL(IF(Create_TC_Web!$C$1:$C$505&lt;&gt;"",MATCH(ROW(Create_TC_Web!$C$1:$C$505),ROW(Create_TC_Web!$C$1:$C$505)),""),ROW(Create_TC_Web!I14))),"")</f>
        <v/>
      </c>
      <c r="I14" t="str" cm="1">
        <f t="array" ref="I14">IFERROR(INDEX(Create_TC_Web!L$1:L$505,SMALL(IF(Create_TC_Web!$C$1:$C$505&lt;&gt;"",MATCH(ROW(Create_TC_Web!$C$1:$C$505),ROW(Create_TC_Web!$C$1:$C$505)),""),ROW(Create_TC_Web!J14))),"")</f>
        <v/>
      </c>
      <c r="J14" t="str" cm="1">
        <f t="array" ref="J14">IFERROR(INDEX(Create_TC_Web!M$1:M$505,SMALL(IF(Create_TC_Web!$C$1:$C$505&lt;&gt;"",MATCH(ROW(Create_TC_Web!$C$1:$C$505),ROW(Create_TC_Web!$C$1:$C$505)),""),ROW(Create_TC_Web!K14))),"")</f>
        <v/>
      </c>
      <c r="K14" t="str" cm="1">
        <f t="array" ref="K14">IFERROR(INDEX(Create_TC_Web!N$1:N$505,SMALL(IF(Create_TC_Web!$C$1:$C$505&lt;&gt;"",MATCH(ROW(Create_TC_Web!$C$1:$C$505),ROW(Create_TC_Web!$C$1:$C$505)),""),ROW(Create_TC_Web!L14))),"")</f>
        <v/>
      </c>
      <c r="L14" t="str" cm="1">
        <f t="array" ref="L14">IFERROR(INDEX(Create_TC_Web!O$1:O$505,SMALL(IF(Create_TC_Web!$C$1:$C$505&lt;&gt;"",MATCH(ROW(Create_TC_Web!$C$1:$C$505),ROW(Create_TC_Web!$C$1:$C$505)),""),ROW(Create_TC_Web!M14))),"")</f>
        <v/>
      </c>
      <c r="M14" t="str" cm="1">
        <f t="array" ref="M14">IFERROR(INDEX(Create_TC_Web!P$1:P$505,SMALL(IF(Create_TC_Web!$C$1:$C$505&lt;&gt;"",MATCH(ROW(Create_TC_Web!$C$1:$C$505),ROW(Create_TC_Web!$C$1:$C$505)),""),ROW(Create_TC_Web!N14))),"")</f>
        <v/>
      </c>
      <c r="N14">
        <f>Create_TC_Web!CA23</f>
        <v>0</v>
      </c>
      <c r="O14" t="str">
        <f t="shared" si="1"/>
        <v/>
      </c>
      <c r="P14" s="18" t="str">
        <f>IFERROR(IF(Create_TC_Web!U27&lt;&gt;"","let "&amp; Create_TC_Web!U27&amp;": String;",""),"")</f>
        <v/>
      </c>
      <c r="Q14" t="str">
        <f>IF(TestData!CB14&lt;&gt;0,TestData!CB14,"")</f>
        <v/>
      </c>
      <c r="R14" t="str">
        <f t="shared" si="5"/>
        <v/>
      </c>
      <c r="S14" t="str">
        <f t="shared" si="2"/>
        <v/>
      </c>
      <c r="X14" t="str">
        <f t="shared" si="0"/>
        <v/>
      </c>
      <c r="AE14" t="str">
        <f t="shared" si="3"/>
        <v/>
      </c>
      <c r="AF14">
        <f t="shared" ca="1" si="4"/>
        <v>0</v>
      </c>
    </row>
    <row r="15" spans="1:32">
      <c r="A15" t="str" cm="1">
        <f t="array" ref="A15">IFERROR(INDEX(Create_TC_Web!D$1:D$505,SMALL(IF(Create_TC_Web!$C$1:$C$505&lt;&gt;"",MATCH(ROW(Create_TC_Web!$C$1:$C$505),ROW(Create_TC_Web!$C$1:$C$505)),""),ROW(Create_TC_Web!B15))),"")</f>
        <v/>
      </c>
      <c r="B15" t="str" cm="1">
        <f t="array" ref="B15">SUBSTITUTE(SUBSTITUTE(SUBSTITUTE(IFERROR(INDEX(Create_TC_Web!E$1:E$505,SMALL(IF(Create_TC_Web!$C$1:$C$505&lt;&gt;"",MATCH(ROW(Create_TC_Web!$C$1:$C$505),ROW(Create_TC_Web!$C$1:$C$505)),""),ROW(Create_TC_Web!C15))),"")," ",""),"-",""),"_","")</f>
        <v/>
      </c>
      <c r="C15" t="str" cm="1">
        <f t="array" ref="C15">IFERROR(INDEX(Create_TC_Web!F$1:F$505,SMALL(IF(Create_TC_Web!$C$1:$C$505&lt;&gt;"",MATCH(ROW(Create_TC_Web!$C$1:$C$505),ROW(Create_TC_Web!$C$1:$C$505)),""),ROW(Create_TC_Web!D15))),"")</f>
        <v/>
      </c>
      <c r="D15" t="str" cm="1">
        <f t="array" ref="D15">IFERROR(INDEX(Create_TC_Web!G$1:G$505,SMALL(IF(Create_TC_Web!$C$1:$C$505&lt;&gt;"",MATCH(ROW(Create_TC_Web!$C$1:$C$505),ROW(Create_TC_Web!$C$1:$C$505)),""),ROW(Create_TC_Web!E15))),"")</f>
        <v/>
      </c>
      <c r="E15" t="str" cm="1">
        <f t="array" ref="E15">IFERROR(INDEX(Create_TC_Web!H$1:H$505,SMALL(IF(Create_TC_Web!$C$1:$C$505&lt;&gt;"",MATCH(ROW(Create_TC_Web!$C$1:$C$505),ROW(Create_TC_Web!$C$1:$C$505)),""),ROW(Create_TC_Web!F15))),"")</f>
        <v/>
      </c>
      <c r="F15" t="str" cm="1">
        <f t="array" ref="F15">IFERROR(INDEX(Create_TC_Web!I$1:I$505,SMALL(IF(Create_TC_Web!$C$1:$C$505&lt;&gt;"",MATCH(ROW(Create_TC_Web!$C$1:$C$505),ROW(Create_TC_Web!$C$1:$C$505)),""),ROW(Create_TC_Web!G15))),"")</f>
        <v/>
      </c>
      <c r="G15" t="str" cm="1">
        <f t="array" ref="G15">IFERROR(INDEX(Create_TC_Web!J$1:J$505,SMALL(IF(Create_TC_Web!$C$1:$C$505&lt;&gt;"",MATCH(ROW(Create_TC_Web!$C$1:$C$505),ROW(Create_TC_Web!$C$1:$C$505)),""),ROW(Create_TC_Web!H15))),"")</f>
        <v/>
      </c>
      <c r="H15" t="str" cm="1">
        <f t="array" ref="H15">IFERROR(INDEX(Create_TC_Web!K$1:K$505,SMALL(IF(Create_TC_Web!$C$1:$C$505&lt;&gt;"",MATCH(ROW(Create_TC_Web!$C$1:$C$505),ROW(Create_TC_Web!$C$1:$C$505)),""),ROW(Create_TC_Web!I15))),"")</f>
        <v/>
      </c>
      <c r="I15" t="str" cm="1">
        <f t="array" ref="I15">IFERROR(INDEX(Create_TC_Web!L$1:L$505,SMALL(IF(Create_TC_Web!$C$1:$C$505&lt;&gt;"",MATCH(ROW(Create_TC_Web!$C$1:$C$505),ROW(Create_TC_Web!$C$1:$C$505)),""),ROW(Create_TC_Web!J15))),"")</f>
        <v/>
      </c>
      <c r="J15" t="str" cm="1">
        <f t="array" ref="J15">IFERROR(INDEX(Create_TC_Web!M$1:M$505,SMALL(IF(Create_TC_Web!$C$1:$C$505&lt;&gt;"",MATCH(ROW(Create_TC_Web!$C$1:$C$505),ROW(Create_TC_Web!$C$1:$C$505)),""),ROW(Create_TC_Web!K15))),"")</f>
        <v/>
      </c>
      <c r="K15" t="str" cm="1">
        <f t="array" ref="K15">IFERROR(INDEX(Create_TC_Web!N$1:N$505,SMALL(IF(Create_TC_Web!$C$1:$C$505&lt;&gt;"",MATCH(ROW(Create_TC_Web!$C$1:$C$505),ROW(Create_TC_Web!$C$1:$C$505)),""),ROW(Create_TC_Web!L15))),"")</f>
        <v/>
      </c>
      <c r="L15" t="str" cm="1">
        <f t="array" ref="L15">IFERROR(INDEX(Create_TC_Web!O$1:O$505,SMALL(IF(Create_TC_Web!$C$1:$C$505&lt;&gt;"",MATCH(ROW(Create_TC_Web!$C$1:$C$505),ROW(Create_TC_Web!$C$1:$C$505)),""),ROW(Create_TC_Web!M15))),"")</f>
        <v/>
      </c>
      <c r="M15" t="str" cm="1">
        <f t="array" ref="M15">IFERROR(INDEX(Create_TC_Web!P$1:P$505,SMALL(IF(Create_TC_Web!$C$1:$C$505&lt;&gt;"",MATCH(ROW(Create_TC_Web!$C$1:$C$505),ROW(Create_TC_Web!$C$1:$C$505)),""),ROW(Create_TC_Web!N15))),"")</f>
        <v/>
      </c>
      <c r="N15">
        <f>Create_TC_Web!CA24</f>
        <v>0</v>
      </c>
      <c r="O15" t="str">
        <f t="shared" si="1"/>
        <v/>
      </c>
      <c r="P15" s="18" t="str">
        <f>IFERROR(IF(Create_TC_Web!U28&lt;&gt;"","let "&amp; Create_TC_Web!U28&amp;": String;",""),"")</f>
        <v/>
      </c>
      <c r="Q15" t="str">
        <f>IF(TestData!CB15&lt;&gt;0,TestData!CB15,"")</f>
        <v/>
      </c>
      <c r="R15" t="str">
        <f t="shared" si="5"/>
        <v/>
      </c>
      <c r="S15" t="str">
        <f t="shared" si="2"/>
        <v/>
      </c>
      <c r="X15" t="str">
        <f t="shared" si="0"/>
        <v/>
      </c>
      <c r="AE15" t="str">
        <f t="shared" si="3"/>
        <v/>
      </c>
      <c r="AF15">
        <f t="shared" ca="1" si="4"/>
        <v>0</v>
      </c>
    </row>
    <row r="16" spans="1:32">
      <c r="A16" t="str" cm="1">
        <f t="array" ref="A16">IFERROR(INDEX(Create_TC_Web!D$1:D$505,SMALL(IF(Create_TC_Web!$C$1:$C$505&lt;&gt;"",MATCH(ROW(Create_TC_Web!$C$1:$C$505),ROW(Create_TC_Web!$C$1:$C$505)),""),ROW(Create_TC_Web!B16))),"")</f>
        <v/>
      </c>
      <c r="B16" t="str" cm="1">
        <f t="array" ref="B16">SUBSTITUTE(SUBSTITUTE(SUBSTITUTE(IFERROR(INDEX(Create_TC_Web!E$1:E$505,SMALL(IF(Create_TC_Web!$C$1:$C$505&lt;&gt;"",MATCH(ROW(Create_TC_Web!$C$1:$C$505),ROW(Create_TC_Web!$C$1:$C$505)),""),ROW(Create_TC_Web!C16))),"")," ",""),"-",""),"_","")</f>
        <v/>
      </c>
      <c r="C16" t="str" cm="1">
        <f t="array" ref="C16">IFERROR(INDEX(Create_TC_Web!F$1:F$505,SMALL(IF(Create_TC_Web!$C$1:$C$505&lt;&gt;"",MATCH(ROW(Create_TC_Web!$C$1:$C$505),ROW(Create_TC_Web!$C$1:$C$505)),""),ROW(Create_TC_Web!D16))),"")</f>
        <v/>
      </c>
      <c r="D16" t="str" cm="1">
        <f t="array" ref="D16">IFERROR(INDEX(Create_TC_Web!G$1:G$505,SMALL(IF(Create_TC_Web!$C$1:$C$505&lt;&gt;"",MATCH(ROW(Create_TC_Web!$C$1:$C$505),ROW(Create_TC_Web!$C$1:$C$505)),""),ROW(Create_TC_Web!E16))),"")</f>
        <v/>
      </c>
      <c r="E16" t="str" cm="1">
        <f t="array" ref="E16">IFERROR(INDEX(Create_TC_Web!H$1:H$505,SMALL(IF(Create_TC_Web!$C$1:$C$505&lt;&gt;"",MATCH(ROW(Create_TC_Web!$C$1:$C$505),ROW(Create_TC_Web!$C$1:$C$505)),""),ROW(Create_TC_Web!F16))),"")</f>
        <v/>
      </c>
      <c r="F16" t="str" cm="1">
        <f t="array" ref="F16">IFERROR(INDEX(Create_TC_Web!I$1:I$505,SMALL(IF(Create_TC_Web!$C$1:$C$505&lt;&gt;"",MATCH(ROW(Create_TC_Web!$C$1:$C$505),ROW(Create_TC_Web!$C$1:$C$505)),""),ROW(Create_TC_Web!G16))),"")</f>
        <v/>
      </c>
      <c r="G16" t="str" cm="1">
        <f t="array" ref="G16">IFERROR(INDEX(Create_TC_Web!J$1:J$505,SMALL(IF(Create_TC_Web!$C$1:$C$505&lt;&gt;"",MATCH(ROW(Create_TC_Web!$C$1:$C$505),ROW(Create_TC_Web!$C$1:$C$505)),""),ROW(Create_TC_Web!H16))),"")</f>
        <v/>
      </c>
      <c r="H16" t="str" cm="1">
        <f t="array" ref="H16">IFERROR(INDEX(Create_TC_Web!K$1:K$505,SMALL(IF(Create_TC_Web!$C$1:$C$505&lt;&gt;"",MATCH(ROW(Create_TC_Web!$C$1:$C$505),ROW(Create_TC_Web!$C$1:$C$505)),""),ROW(Create_TC_Web!I16))),"")</f>
        <v/>
      </c>
      <c r="I16" t="str" cm="1">
        <f t="array" ref="I16">IFERROR(INDEX(Create_TC_Web!L$1:L$505,SMALL(IF(Create_TC_Web!$C$1:$C$505&lt;&gt;"",MATCH(ROW(Create_TC_Web!$C$1:$C$505),ROW(Create_TC_Web!$C$1:$C$505)),""),ROW(Create_TC_Web!J16))),"")</f>
        <v/>
      </c>
      <c r="J16" t="str" cm="1">
        <f t="array" ref="J16">IFERROR(INDEX(Create_TC_Web!M$1:M$505,SMALL(IF(Create_TC_Web!$C$1:$C$505&lt;&gt;"",MATCH(ROW(Create_TC_Web!$C$1:$C$505),ROW(Create_TC_Web!$C$1:$C$505)),""),ROW(Create_TC_Web!K16))),"")</f>
        <v/>
      </c>
      <c r="K16" t="str" cm="1">
        <f t="array" ref="K16">IFERROR(INDEX(Create_TC_Web!N$1:N$505,SMALL(IF(Create_TC_Web!$C$1:$C$505&lt;&gt;"",MATCH(ROW(Create_TC_Web!$C$1:$C$505),ROW(Create_TC_Web!$C$1:$C$505)),""),ROW(Create_TC_Web!L16))),"")</f>
        <v/>
      </c>
      <c r="L16" t="str" cm="1">
        <f t="array" ref="L16">IFERROR(INDEX(Create_TC_Web!O$1:O$505,SMALL(IF(Create_TC_Web!$C$1:$C$505&lt;&gt;"",MATCH(ROW(Create_TC_Web!$C$1:$C$505),ROW(Create_TC_Web!$C$1:$C$505)),""),ROW(Create_TC_Web!M16))),"")</f>
        <v/>
      </c>
      <c r="M16" t="str" cm="1">
        <f t="array" ref="M16">IFERROR(INDEX(Create_TC_Web!P$1:P$505,SMALL(IF(Create_TC_Web!$C$1:$C$505&lt;&gt;"",MATCH(ROW(Create_TC_Web!$C$1:$C$505),ROW(Create_TC_Web!$C$1:$C$505)),""),ROW(Create_TC_Web!N16))),"")</f>
        <v/>
      </c>
      <c r="N16">
        <f>Create_TC_Web!CA25</f>
        <v>0</v>
      </c>
      <c r="O16" t="str">
        <f t="shared" si="1"/>
        <v/>
      </c>
      <c r="P16" s="18" t="str">
        <f>IFERROR(IF(Create_TC_Web!U30&lt;&gt;"","let "&amp; Create_TC_Web!U30&amp;": String;",""),"")</f>
        <v/>
      </c>
      <c r="Q16" t="str">
        <f>IF(TestData!CB16&lt;&gt;0,TestData!CB16,"")</f>
        <v/>
      </c>
      <c r="R16" t="str">
        <f t="shared" si="5"/>
        <v/>
      </c>
      <c r="S16" t="str">
        <f t="shared" si="2"/>
        <v/>
      </c>
      <c r="X16" t="str">
        <f t="shared" si="0"/>
        <v/>
      </c>
      <c r="AE16" t="str">
        <f t="shared" si="3"/>
        <v/>
      </c>
      <c r="AF16">
        <f t="shared" ca="1" si="4"/>
        <v>0</v>
      </c>
    </row>
    <row r="17" spans="1:32">
      <c r="A17" t="str" cm="1">
        <f t="array" ref="A17">IFERROR(INDEX(Create_TC_Web!D$1:D$505,SMALL(IF(Create_TC_Web!$C$1:$C$505&lt;&gt;"",MATCH(ROW(Create_TC_Web!$C$1:$C$505),ROW(Create_TC_Web!$C$1:$C$505)),""),ROW(Create_TC_Web!B17))),"")</f>
        <v/>
      </c>
      <c r="B17" t="str" cm="1">
        <f t="array" ref="B17">SUBSTITUTE(SUBSTITUTE(SUBSTITUTE(IFERROR(INDEX(Create_TC_Web!E$1:E$505,SMALL(IF(Create_TC_Web!$C$1:$C$505&lt;&gt;"",MATCH(ROW(Create_TC_Web!$C$1:$C$505),ROW(Create_TC_Web!$C$1:$C$505)),""),ROW(Create_TC_Web!C17))),"")," ",""),"-",""),"_","")</f>
        <v/>
      </c>
      <c r="C17" t="str" cm="1">
        <f t="array" ref="C17">IFERROR(INDEX(Create_TC_Web!F$1:F$505,SMALL(IF(Create_TC_Web!$C$1:$C$505&lt;&gt;"",MATCH(ROW(Create_TC_Web!$C$1:$C$505),ROW(Create_TC_Web!$C$1:$C$505)),""),ROW(Create_TC_Web!D17))),"")</f>
        <v/>
      </c>
      <c r="D17" t="str" cm="1">
        <f t="array" ref="D17">IFERROR(INDEX(Create_TC_Web!G$1:G$505,SMALL(IF(Create_TC_Web!$C$1:$C$505&lt;&gt;"",MATCH(ROW(Create_TC_Web!$C$1:$C$505),ROW(Create_TC_Web!$C$1:$C$505)),""),ROW(Create_TC_Web!E17))),"")</f>
        <v/>
      </c>
      <c r="E17" t="str" cm="1">
        <f t="array" ref="E17">IFERROR(INDEX(Create_TC_Web!H$1:H$505,SMALL(IF(Create_TC_Web!$C$1:$C$505&lt;&gt;"",MATCH(ROW(Create_TC_Web!$C$1:$C$505),ROW(Create_TC_Web!$C$1:$C$505)),""),ROW(Create_TC_Web!F17))),"")</f>
        <v/>
      </c>
      <c r="F17" t="str" cm="1">
        <f t="array" ref="F17">IFERROR(INDEX(Create_TC_Web!I$1:I$505,SMALL(IF(Create_TC_Web!$C$1:$C$505&lt;&gt;"",MATCH(ROW(Create_TC_Web!$C$1:$C$505),ROW(Create_TC_Web!$C$1:$C$505)),""),ROW(Create_TC_Web!G17))),"")</f>
        <v/>
      </c>
      <c r="G17" t="str" cm="1">
        <f t="array" ref="G17">IFERROR(INDEX(Create_TC_Web!J$1:J$505,SMALL(IF(Create_TC_Web!$C$1:$C$505&lt;&gt;"",MATCH(ROW(Create_TC_Web!$C$1:$C$505),ROW(Create_TC_Web!$C$1:$C$505)),""),ROW(Create_TC_Web!H17))),"")</f>
        <v/>
      </c>
      <c r="H17" t="str" cm="1">
        <f t="array" ref="H17">IFERROR(INDEX(Create_TC_Web!K$1:K$505,SMALL(IF(Create_TC_Web!$C$1:$C$505&lt;&gt;"",MATCH(ROW(Create_TC_Web!$C$1:$C$505),ROW(Create_TC_Web!$C$1:$C$505)),""),ROW(Create_TC_Web!I17))),"")</f>
        <v/>
      </c>
      <c r="I17" t="str" cm="1">
        <f t="array" ref="I17">IFERROR(INDEX(Create_TC_Web!L$1:L$505,SMALL(IF(Create_TC_Web!$C$1:$C$505&lt;&gt;"",MATCH(ROW(Create_TC_Web!$C$1:$C$505),ROW(Create_TC_Web!$C$1:$C$505)),""),ROW(Create_TC_Web!J17))),"")</f>
        <v/>
      </c>
      <c r="J17" t="str" cm="1">
        <f t="array" ref="J17">IFERROR(INDEX(Create_TC_Web!M$1:M$505,SMALL(IF(Create_TC_Web!$C$1:$C$505&lt;&gt;"",MATCH(ROW(Create_TC_Web!$C$1:$C$505),ROW(Create_TC_Web!$C$1:$C$505)),""),ROW(Create_TC_Web!K17))),"")</f>
        <v/>
      </c>
      <c r="K17" t="str" cm="1">
        <f t="array" ref="K17">IFERROR(INDEX(Create_TC_Web!N$1:N$505,SMALL(IF(Create_TC_Web!$C$1:$C$505&lt;&gt;"",MATCH(ROW(Create_TC_Web!$C$1:$C$505),ROW(Create_TC_Web!$C$1:$C$505)),""),ROW(Create_TC_Web!L17))),"")</f>
        <v/>
      </c>
      <c r="L17" t="str" cm="1">
        <f t="array" ref="L17">IFERROR(INDEX(Create_TC_Web!O$1:O$505,SMALL(IF(Create_TC_Web!$C$1:$C$505&lt;&gt;"",MATCH(ROW(Create_TC_Web!$C$1:$C$505),ROW(Create_TC_Web!$C$1:$C$505)),""),ROW(Create_TC_Web!M17))),"")</f>
        <v/>
      </c>
      <c r="M17" t="str" cm="1">
        <f t="array" ref="M17">IFERROR(INDEX(Create_TC_Web!P$1:P$505,SMALL(IF(Create_TC_Web!$C$1:$C$505&lt;&gt;"",MATCH(ROW(Create_TC_Web!$C$1:$C$505),ROW(Create_TC_Web!$C$1:$C$505)),""),ROW(Create_TC_Web!N17))),"")</f>
        <v/>
      </c>
      <c r="N17">
        <f>Create_TC_Web!CA26</f>
        <v>0</v>
      </c>
      <c r="O17" t="str">
        <f t="shared" si="1"/>
        <v/>
      </c>
      <c r="P17" s="18" t="str">
        <f>IFERROR(IF(Create_TC_Web!U32&lt;&gt;"","let "&amp; Create_TC_Web!U32&amp;": String;",""),"")</f>
        <v/>
      </c>
      <c r="Q17" t="str">
        <f>IF(TestData!CB17&lt;&gt;0,TestData!CB17,"")</f>
        <v/>
      </c>
      <c r="R17" t="str">
        <f t="shared" si="5"/>
        <v/>
      </c>
      <c r="S17" t="str">
        <f t="shared" si="2"/>
        <v/>
      </c>
      <c r="X17" t="str">
        <f t="shared" si="0"/>
        <v/>
      </c>
      <c r="AE17" t="str">
        <f t="shared" si="3"/>
        <v/>
      </c>
      <c r="AF17">
        <f t="shared" ca="1" si="4"/>
        <v>0</v>
      </c>
    </row>
    <row r="18" spans="1:32">
      <c r="A18" t="str" cm="1">
        <f t="array" ref="A18">IFERROR(INDEX(Create_TC_Web!D$1:D$505,SMALL(IF(Create_TC_Web!$C$1:$C$505&lt;&gt;"",MATCH(ROW(Create_TC_Web!$C$1:$C$505),ROW(Create_TC_Web!$C$1:$C$505)),""),ROW(Create_TC_Web!B18))),"")</f>
        <v/>
      </c>
      <c r="B18" t="str" cm="1">
        <f t="array" ref="B18">SUBSTITUTE(SUBSTITUTE(SUBSTITUTE(IFERROR(INDEX(Create_TC_Web!E$1:E$505,SMALL(IF(Create_TC_Web!$C$1:$C$505&lt;&gt;"",MATCH(ROW(Create_TC_Web!$C$1:$C$505),ROW(Create_TC_Web!$C$1:$C$505)),""),ROW(Create_TC_Web!C18))),"")," ",""),"-",""),"_","")</f>
        <v/>
      </c>
      <c r="C18" t="str" cm="1">
        <f t="array" ref="C18">IFERROR(INDEX(Create_TC_Web!F$1:F$505,SMALL(IF(Create_TC_Web!$C$1:$C$505&lt;&gt;"",MATCH(ROW(Create_TC_Web!$C$1:$C$505),ROW(Create_TC_Web!$C$1:$C$505)),""),ROW(Create_TC_Web!D18))),"")</f>
        <v/>
      </c>
      <c r="D18" t="str" cm="1">
        <f t="array" ref="D18">IFERROR(INDEX(Create_TC_Web!G$1:G$505,SMALL(IF(Create_TC_Web!$C$1:$C$505&lt;&gt;"",MATCH(ROW(Create_TC_Web!$C$1:$C$505),ROW(Create_TC_Web!$C$1:$C$505)),""),ROW(Create_TC_Web!E18))),"")</f>
        <v/>
      </c>
      <c r="E18" t="str" cm="1">
        <f t="array" ref="E18">IFERROR(INDEX(Create_TC_Web!H$1:H$505,SMALL(IF(Create_TC_Web!$C$1:$C$505&lt;&gt;"",MATCH(ROW(Create_TC_Web!$C$1:$C$505),ROW(Create_TC_Web!$C$1:$C$505)),""),ROW(Create_TC_Web!F18))),"")</f>
        <v/>
      </c>
      <c r="F18" t="str" cm="1">
        <f t="array" ref="F18">IFERROR(INDEX(Create_TC_Web!I$1:I$505,SMALL(IF(Create_TC_Web!$C$1:$C$505&lt;&gt;"",MATCH(ROW(Create_TC_Web!$C$1:$C$505),ROW(Create_TC_Web!$C$1:$C$505)),""),ROW(Create_TC_Web!G18))),"")</f>
        <v/>
      </c>
      <c r="G18" t="str" cm="1">
        <f t="array" ref="G18">IFERROR(INDEX(Create_TC_Web!J$1:J$505,SMALL(IF(Create_TC_Web!$C$1:$C$505&lt;&gt;"",MATCH(ROW(Create_TC_Web!$C$1:$C$505),ROW(Create_TC_Web!$C$1:$C$505)),""),ROW(Create_TC_Web!H18))),"")</f>
        <v/>
      </c>
      <c r="H18" t="str" cm="1">
        <f t="array" ref="H18">IFERROR(INDEX(Create_TC_Web!K$1:K$505,SMALL(IF(Create_TC_Web!$C$1:$C$505&lt;&gt;"",MATCH(ROW(Create_TC_Web!$C$1:$C$505),ROW(Create_TC_Web!$C$1:$C$505)),""),ROW(Create_TC_Web!I18))),"")</f>
        <v/>
      </c>
      <c r="I18" t="str" cm="1">
        <f t="array" ref="I18">IFERROR(INDEX(Create_TC_Web!L$1:L$505,SMALL(IF(Create_TC_Web!$C$1:$C$505&lt;&gt;"",MATCH(ROW(Create_TC_Web!$C$1:$C$505),ROW(Create_TC_Web!$C$1:$C$505)),""),ROW(Create_TC_Web!J18))),"")</f>
        <v/>
      </c>
      <c r="J18" t="str" cm="1">
        <f t="array" ref="J18">IFERROR(INDEX(Create_TC_Web!M$1:M$505,SMALL(IF(Create_TC_Web!$C$1:$C$505&lt;&gt;"",MATCH(ROW(Create_TC_Web!$C$1:$C$505),ROW(Create_TC_Web!$C$1:$C$505)),""),ROW(Create_TC_Web!K18))),"")</f>
        <v/>
      </c>
      <c r="K18" t="str" cm="1">
        <f t="array" ref="K18">IFERROR(INDEX(Create_TC_Web!N$1:N$505,SMALL(IF(Create_TC_Web!$C$1:$C$505&lt;&gt;"",MATCH(ROW(Create_TC_Web!$C$1:$C$505),ROW(Create_TC_Web!$C$1:$C$505)),""),ROW(Create_TC_Web!L18))),"")</f>
        <v/>
      </c>
      <c r="L18" t="str" cm="1">
        <f t="array" ref="L18">IFERROR(INDEX(Create_TC_Web!O$1:O$505,SMALL(IF(Create_TC_Web!$C$1:$C$505&lt;&gt;"",MATCH(ROW(Create_TC_Web!$C$1:$C$505),ROW(Create_TC_Web!$C$1:$C$505)),""),ROW(Create_TC_Web!M18))),"")</f>
        <v/>
      </c>
      <c r="M18" t="str" cm="1">
        <f t="array" ref="M18">IFERROR(INDEX(Create_TC_Web!P$1:P$505,SMALL(IF(Create_TC_Web!$C$1:$C$505&lt;&gt;"",MATCH(ROW(Create_TC_Web!$C$1:$C$505),ROW(Create_TC_Web!$C$1:$C$505)),""),ROW(Create_TC_Web!N18))),"")</f>
        <v/>
      </c>
      <c r="N18">
        <f>Create_TC_Web!CA27</f>
        <v>0</v>
      </c>
      <c r="O18" t="str">
        <f t="shared" si="1"/>
        <v/>
      </c>
      <c r="P18" s="18" t="str">
        <f>IFERROR(IF(Create_TC_Web!U33&lt;&gt;"","let "&amp; Create_TC_Web!U33&amp;": String;",""),"")</f>
        <v/>
      </c>
      <c r="Q18" t="str">
        <f>IF(TestData!CB18&lt;&gt;0,TestData!CB18,"")</f>
        <v/>
      </c>
      <c r="R18" t="str">
        <f t="shared" si="5"/>
        <v/>
      </c>
      <c r="S18" t="str">
        <f t="shared" si="2"/>
        <v/>
      </c>
      <c r="X18" t="str">
        <f t="shared" si="0"/>
        <v/>
      </c>
      <c r="AE18" t="str">
        <f t="shared" si="3"/>
        <v/>
      </c>
      <c r="AF18">
        <f t="shared" ca="1" si="4"/>
        <v>0</v>
      </c>
    </row>
    <row r="19" spans="1:32">
      <c r="A19" t="str" cm="1">
        <f t="array" ref="A19">IFERROR(INDEX(Create_TC_Web!D$1:D$505,SMALL(IF(Create_TC_Web!$C$1:$C$505&lt;&gt;"",MATCH(ROW(Create_TC_Web!$C$1:$C$505),ROW(Create_TC_Web!$C$1:$C$505)),""),ROW(Create_TC_Web!B19))),"")</f>
        <v/>
      </c>
      <c r="B19" t="str" cm="1">
        <f t="array" ref="B19">SUBSTITUTE(SUBSTITUTE(SUBSTITUTE(IFERROR(INDEX(Create_TC_Web!E$1:E$505,SMALL(IF(Create_TC_Web!$C$1:$C$505&lt;&gt;"",MATCH(ROW(Create_TC_Web!$C$1:$C$505),ROW(Create_TC_Web!$C$1:$C$505)),""),ROW(Create_TC_Web!C19))),"")," ",""),"-",""),"_","")</f>
        <v/>
      </c>
      <c r="C19" t="str" cm="1">
        <f t="array" ref="C19">IFERROR(INDEX(Create_TC_Web!F$1:F$505,SMALL(IF(Create_TC_Web!$C$1:$C$505&lt;&gt;"",MATCH(ROW(Create_TC_Web!$C$1:$C$505),ROW(Create_TC_Web!$C$1:$C$505)),""),ROW(Create_TC_Web!D19))),"")</f>
        <v/>
      </c>
      <c r="D19" t="str" cm="1">
        <f t="array" ref="D19">IFERROR(INDEX(Create_TC_Web!G$1:G$505,SMALL(IF(Create_TC_Web!$C$1:$C$505&lt;&gt;"",MATCH(ROW(Create_TC_Web!$C$1:$C$505),ROW(Create_TC_Web!$C$1:$C$505)),""),ROW(Create_TC_Web!E19))),"")</f>
        <v/>
      </c>
      <c r="E19" t="str" cm="1">
        <f t="array" ref="E19">IFERROR(INDEX(Create_TC_Web!H$1:H$505,SMALL(IF(Create_TC_Web!$C$1:$C$505&lt;&gt;"",MATCH(ROW(Create_TC_Web!$C$1:$C$505),ROW(Create_TC_Web!$C$1:$C$505)),""),ROW(Create_TC_Web!F19))),"")</f>
        <v/>
      </c>
      <c r="F19" t="str" cm="1">
        <f t="array" ref="F19">IFERROR(INDEX(Create_TC_Web!I$1:I$505,SMALL(IF(Create_TC_Web!$C$1:$C$505&lt;&gt;"",MATCH(ROW(Create_TC_Web!$C$1:$C$505),ROW(Create_TC_Web!$C$1:$C$505)),""),ROW(Create_TC_Web!G19))),"")</f>
        <v/>
      </c>
      <c r="G19" t="str" cm="1">
        <f t="array" ref="G19">IFERROR(INDEX(Create_TC_Web!J$1:J$505,SMALL(IF(Create_TC_Web!$C$1:$C$505&lt;&gt;"",MATCH(ROW(Create_TC_Web!$C$1:$C$505),ROW(Create_TC_Web!$C$1:$C$505)),""),ROW(Create_TC_Web!H19))),"")</f>
        <v/>
      </c>
      <c r="H19" t="str" cm="1">
        <f t="array" ref="H19">IFERROR(INDEX(Create_TC_Web!K$1:K$505,SMALL(IF(Create_TC_Web!$C$1:$C$505&lt;&gt;"",MATCH(ROW(Create_TC_Web!$C$1:$C$505),ROW(Create_TC_Web!$C$1:$C$505)),""),ROW(Create_TC_Web!I19))),"")</f>
        <v/>
      </c>
      <c r="I19" t="str" cm="1">
        <f t="array" ref="I19">IFERROR(INDEX(Create_TC_Web!L$1:L$505,SMALL(IF(Create_TC_Web!$C$1:$C$505&lt;&gt;"",MATCH(ROW(Create_TC_Web!$C$1:$C$505),ROW(Create_TC_Web!$C$1:$C$505)),""),ROW(Create_TC_Web!J19))),"")</f>
        <v/>
      </c>
      <c r="J19" t="str" cm="1">
        <f t="array" ref="J19">IFERROR(INDEX(Create_TC_Web!M$1:M$505,SMALL(IF(Create_TC_Web!$C$1:$C$505&lt;&gt;"",MATCH(ROW(Create_TC_Web!$C$1:$C$505),ROW(Create_TC_Web!$C$1:$C$505)),""),ROW(Create_TC_Web!K19))),"")</f>
        <v/>
      </c>
      <c r="K19" t="str" cm="1">
        <f t="array" ref="K19">IFERROR(INDEX(Create_TC_Web!N$1:N$505,SMALL(IF(Create_TC_Web!$C$1:$C$505&lt;&gt;"",MATCH(ROW(Create_TC_Web!$C$1:$C$505),ROW(Create_TC_Web!$C$1:$C$505)),""),ROW(Create_TC_Web!L19))),"")</f>
        <v/>
      </c>
      <c r="L19" t="str" cm="1">
        <f t="array" ref="L19">IFERROR(INDEX(Create_TC_Web!O$1:O$505,SMALL(IF(Create_TC_Web!$C$1:$C$505&lt;&gt;"",MATCH(ROW(Create_TC_Web!$C$1:$C$505),ROW(Create_TC_Web!$C$1:$C$505)),""),ROW(Create_TC_Web!M19))),"")</f>
        <v/>
      </c>
      <c r="M19" t="str" cm="1">
        <f t="array" ref="M19">IFERROR(INDEX(Create_TC_Web!P$1:P$505,SMALL(IF(Create_TC_Web!$C$1:$C$505&lt;&gt;"",MATCH(ROW(Create_TC_Web!$C$1:$C$505),ROW(Create_TC_Web!$C$1:$C$505)),""),ROW(Create_TC_Web!N19))),"")</f>
        <v/>
      </c>
      <c r="N19">
        <f>Create_TC_Web!CA28</f>
        <v>0</v>
      </c>
      <c r="O19" t="str">
        <f t="shared" si="1"/>
        <v/>
      </c>
      <c r="P19" s="18" t="str">
        <f>IFERROR(IF(Create_TC_Web!U34&lt;&gt;"","let "&amp; Create_TC_Web!U34&amp;": String;",""),"")</f>
        <v/>
      </c>
      <c r="Q19" t="str">
        <f>IF(TestData!CB19&lt;&gt;0,TestData!CB19,"")</f>
        <v/>
      </c>
      <c r="R19" t="str">
        <f t="shared" si="5"/>
        <v/>
      </c>
      <c r="S19" t="str">
        <f t="shared" si="2"/>
        <v/>
      </c>
      <c r="X19" t="str">
        <f t="shared" si="0"/>
        <v/>
      </c>
      <c r="AE19" t="str">
        <f t="shared" si="3"/>
        <v/>
      </c>
      <c r="AF19">
        <f t="shared" ca="1" si="4"/>
        <v>0</v>
      </c>
    </row>
    <row r="20" spans="1:32">
      <c r="A20" t="str" cm="1">
        <f t="array" ref="A20">IFERROR(INDEX(Create_TC_Web!D$1:D$505,SMALL(IF(Create_TC_Web!$C$1:$C$505&lt;&gt;"",MATCH(ROW(Create_TC_Web!$C$1:$C$505),ROW(Create_TC_Web!$C$1:$C$505)),""),ROW(Create_TC_Web!B20))),"")</f>
        <v/>
      </c>
      <c r="B20" t="str" cm="1">
        <f t="array" ref="B20">SUBSTITUTE(SUBSTITUTE(SUBSTITUTE(IFERROR(INDEX(Create_TC_Web!E$1:E$505,SMALL(IF(Create_TC_Web!$C$1:$C$505&lt;&gt;"",MATCH(ROW(Create_TC_Web!$C$1:$C$505),ROW(Create_TC_Web!$C$1:$C$505)),""),ROW(Create_TC_Web!C20))),"")," ",""),"-",""),"_","")</f>
        <v/>
      </c>
      <c r="C20" t="str" cm="1">
        <f t="array" ref="C20">IFERROR(INDEX(Create_TC_Web!F$1:F$505,SMALL(IF(Create_TC_Web!$C$1:$C$505&lt;&gt;"",MATCH(ROW(Create_TC_Web!$C$1:$C$505),ROW(Create_TC_Web!$C$1:$C$505)),""),ROW(Create_TC_Web!D20))),"")</f>
        <v/>
      </c>
      <c r="D20" t="str" cm="1">
        <f t="array" ref="D20">IFERROR(INDEX(Create_TC_Web!G$1:G$505,SMALL(IF(Create_TC_Web!$C$1:$C$505&lt;&gt;"",MATCH(ROW(Create_TC_Web!$C$1:$C$505),ROW(Create_TC_Web!$C$1:$C$505)),""),ROW(Create_TC_Web!E20))),"")</f>
        <v/>
      </c>
      <c r="E20" t="str" cm="1">
        <f t="array" ref="E20">IFERROR(INDEX(Create_TC_Web!H$1:H$505,SMALL(IF(Create_TC_Web!$C$1:$C$505&lt;&gt;"",MATCH(ROW(Create_TC_Web!$C$1:$C$505),ROW(Create_TC_Web!$C$1:$C$505)),""),ROW(Create_TC_Web!F20))),"")</f>
        <v/>
      </c>
      <c r="F20" t="str" cm="1">
        <f t="array" ref="F20">IFERROR(INDEX(Create_TC_Web!I$1:I$505,SMALL(IF(Create_TC_Web!$C$1:$C$505&lt;&gt;"",MATCH(ROW(Create_TC_Web!$C$1:$C$505),ROW(Create_TC_Web!$C$1:$C$505)),""),ROW(Create_TC_Web!G20))),"")</f>
        <v/>
      </c>
      <c r="G20" t="str" cm="1">
        <f t="array" ref="G20">IFERROR(INDEX(Create_TC_Web!J$1:J$505,SMALL(IF(Create_TC_Web!$C$1:$C$505&lt;&gt;"",MATCH(ROW(Create_TC_Web!$C$1:$C$505),ROW(Create_TC_Web!$C$1:$C$505)),""),ROW(Create_TC_Web!H20))),"")</f>
        <v/>
      </c>
      <c r="H20" t="str" cm="1">
        <f t="array" ref="H20">IFERROR(INDEX(Create_TC_Web!K$1:K$505,SMALL(IF(Create_TC_Web!$C$1:$C$505&lt;&gt;"",MATCH(ROW(Create_TC_Web!$C$1:$C$505),ROW(Create_TC_Web!$C$1:$C$505)),""),ROW(Create_TC_Web!I20))),"")</f>
        <v/>
      </c>
      <c r="I20" t="str" cm="1">
        <f t="array" ref="I20">IFERROR(INDEX(Create_TC_Web!L$1:L$505,SMALL(IF(Create_TC_Web!$C$1:$C$505&lt;&gt;"",MATCH(ROW(Create_TC_Web!$C$1:$C$505),ROW(Create_TC_Web!$C$1:$C$505)),""),ROW(Create_TC_Web!J20))),"")</f>
        <v/>
      </c>
      <c r="J20" t="str" cm="1">
        <f t="array" ref="J20">IFERROR(INDEX(Create_TC_Web!M$1:M$505,SMALL(IF(Create_TC_Web!$C$1:$C$505&lt;&gt;"",MATCH(ROW(Create_TC_Web!$C$1:$C$505),ROW(Create_TC_Web!$C$1:$C$505)),""),ROW(Create_TC_Web!K20))),"")</f>
        <v/>
      </c>
      <c r="K20" t="str" cm="1">
        <f t="array" ref="K20">IFERROR(INDEX(Create_TC_Web!N$1:N$505,SMALL(IF(Create_TC_Web!$C$1:$C$505&lt;&gt;"",MATCH(ROW(Create_TC_Web!$C$1:$C$505),ROW(Create_TC_Web!$C$1:$C$505)),""),ROW(Create_TC_Web!L20))),"")</f>
        <v/>
      </c>
      <c r="L20" t="str" cm="1">
        <f t="array" ref="L20">IFERROR(INDEX(Create_TC_Web!O$1:O$505,SMALL(IF(Create_TC_Web!$C$1:$C$505&lt;&gt;"",MATCH(ROW(Create_TC_Web!$C$1:$C$505),ROW(Create_TC_Web!$C$1:$C$505)),""),ROW(Create_TC_Web!M20))),"")</f>
        <v/>
      </c>
      <c r="M20" t="str" cm="1">
        <f t="array" ref="M20">IFERROR(INDEX(Create_TC_Web!P$1:P$505,SMALL(IF(Create_TC_Web!$C$1:$C$505&lt;&gt;"",MATCH(ROW(Create_TC_Web!$C$1:$C$505),ROW(Create_TC_Web!$C$1:$C$505)),""),ROW(Create_TC_Web!N20))),"")</f>
        <v/>
      </c>
      <c r="N20">
        <f>Create_TC_Web!CA29</f>
        <v>0</v>
      </c>
      <c r="O20" t="str">
        <f t="shared" si="1"/>
        <v/>
      </c>
      <c r="P20" s="18" t="str">
        <f>IFERROR(IF(Create_TC_Web!U35&lt;&gt;"","let "&amp; Create_TC_Web!U35&amp;": String;",""),"")</f>
        <v/>
      </c>
      <c r="Q20" t="str">
        <f>IF(TestData!CB20&lt;&gt;0,TestData!CB20,"")</f>
        <v/>
      </c>
      <c r="R20" t="str">
        <f t="shared" si="5"/>
        <v/>
      </c>
      <c r="S20" t="str">
        <f t="shared" si="2"/>
        <v/>
      </c>
      <c r="X20" t="str">
        <f t="shared" si="0"/>
        <v/>
      </c>
      <c r="AE20" t="str">
        <f t="shared" si="3"/>
        <v/>
      </c>
      <c r="AF20">
        <f t="shared" ca="1" si="4"/>
        <v>0</v>
      </c>
    </row>
    <row r="21" spans="1:32">
      <c r="A21" t="str" cm="1">
        <f t="array" ref="A21">IFERROR(INDEX(Create_TC_Web!D$1:D$505,SMALL(IF(Create_TC_Web!$C$1:$C$505&lt;&gt;"",MATCH(ROW(Create_TC_Web!$C$1:$C$505),ROW(Create_TC_Web!$C$1:$C$505)),""),ROW(Create_TC_Web!B21))),"")</f>
        <v/>
      </c>
      <c r="B21" t="str" cm="1">
        <f t="array" ref="B21">SUBSTITUTE(SUBSTITUTE(SUBSTITUTE(IFERROR(INDEX(Create_TC_Web!E$1:E$505,SMALL(IF(Create_TC_Web!$C$1:$C$505&lt;&gt;"",MATCH(ROW(Create_TC_Web!$C$1:$C$505),ROW(Create_TC_Web!$C$1:$C$505)),""),ROW(Create_TC_Web!C21))),"")," ",""),"-",""),"_","")</f>
        <v/>
      </c>
      <c r="C21" t="str" cm="1">
        <f t="array" ref="C21">IFERROR(INDEX(Create_TC_Web!F$1:F$505,SMALL(IF(Create_TC_Web!$C$1:$C$505&lt;&gt;"",MATCH(ROW(Create_TC_Web!$C$1:$C$505),ROW(Create_TC_Web!$C$1:$C$505)),""),ROW(Create_TC_Web!D21))),"")</f>
        <v/>
      </c>
      <c r="D21" t="str" cm="1">
        <f t="array" ref="D21">IFERROR(INDEX(Create_TC_Web!G$1:G$505,SMALL(IF(Create_TC_Web!$C$1:$C$505&lt;&gt;"",MATCH(ROW(Create_TC_Web!$C$1:$C$505),ROW(Create_TC_Web!$C$1:$C$505)),""),ROW(Create_TC_Web!E21))),"")</f>
        <v/>
      </c>
      <c r="E21" t="str" cm="1">
        <f t="array" ref="E21">IFERROR(INDEX(Create_TC_Web!H$1:H$505,SMALL(IF(Create_TC_Web!$C$1:$C$505&lt;&gt;"",MATCH(ROW(Create_TC_Web!$C$1:$C$505),ROW(Create_TC_Web!$C$1:$C$505)),""),ROW(Create_TC_Web!F21))),"")</f>
        <v/>
      </c>
      <c r="F21" t="str" cm="1">
        <f t="array" ref="F21">IFERROR(INDEX(Create_TC_Web!I$1:I$505,SMALL(IF(Create_TC_Web!$C$1:$C$505&lt;&gt;"",MATCH(ROW(Create_TC_Web!$C$1:$C$505),ROW(Create_TC_Web!$C$1:$C$505)),""),ROW(Create_TC_Web!G21))),"")</f>
        <v/>
      </c>
      <c r="G21" t="str" cm="1">
        <f t="array" ref="G21">IFERROR(INDEX(Create_TC_Web!J$1:J$505,SMALL(IF(Create_TC_Web!$C$1:$C$505&lt;&gt;"",MATCH(ROW(Create_TC_Web!$C$1:$C$505),ROW(Create_TC_Web!$C$1:$C$505)),""),ROW(Create_TC_Web!H21))),"")</f>
        <v/>
      </c>
      <c r="H21" t="str" cm="1">
        <f t="array" ref="H21">IFERROR(INDEX(Create_TC_Web!K$1:K$505,SMALL(IF(Create_TC_Web!$C$1:$C$505&lt;&gt;"",MATCH(ROW(Create_TC_Web!$C$1:$C$505),ROW(Create_TC_Web!$C$1:$C$505)),""),ROW(Create_TC_Web!I21))),"")</f>
        <v/>
      </c>
      <c r="I21" t="str" cm="1">
        <f t="array" ref="I21">IFERROR(INDEX(Create_TC_Web!L$1:L$505,SMALL(IF(Create_TC_Web!$C$1:$C$505&lt;&gt;"",MATCH(ROW(Create_TC_Web!$C$1:$C$505),ROW(Create_TC_Web!$C$1:$C$505)),""),ROW(Create_TC_Web!J21))),"")</f>
        <v/>
      </c>
      <c r="J21" t="str" cm="1">
        <f t="array" ref="J21">IFERROR(INDEX(Create_TC_Web!M$1:M$505,SMALL(IF(Create_TC_Web!$C$1:$C$505&lt;&gt;"",MATCH(ROW(Create_TC_Web!$C$1:$C$505),ROW(Create_TC_Web!$C$1:$C$505)),""),ROW(Create_TC_Web!K21))),"")</f>
        <v/>
      </c>
      <c r="K21" t="str" cm="1">
        <f t="array" ref="K21">IFERROR(INDEX(Create_TC_Web!N$1:N$505,SMALL(IF(Create_TC_Web!$C$1:$C$505&lt;&gt;"",MATCH(ROW(Create_TC_Web!$C$1:$C$505),ROW(Create_TC_Web!$C$1:$C$505)),""),ROW(Create_TC_Web!L21))),"")</f>
        <v/>
      </c>
      <c r="L21" t="str" cm="1">
        <f t="array" ref="L21">IFERROR(INDEX(Create_TC_Web!O$1:O$505,SMALL(IF(Create_TC_Web!$C$1:$C$505&lt;&gt;"",MATCH(ROW(Create_TC_Web!$C$1:$C$505),ROW(Create_TC_Web!$C$1:$C$505)),""),ROW(Create_TC_Web!M21))),"")</f>
        <v/>
      </c>
      <c r="M21" t="str" cm="1">
        <f t="array" ref="M21">IFERROR(INDEX(Create_TC_Web!P$1:P$505,SMALL(IF(Create_TC_Web!$C$1:$C$505&lt;&gt;"",MATCH(ROW(Create_TC_Web!$C$1:$C$505),ROW(Create_TC_Web!$C$1:$C$505)),""),ROW(Create_TC_Web!N21))),"")</f>
        <v/>
      </c>
      <c r="N21">
        <f>Create_TC_Web!CA30</f>
        <v>0</v>
      </c>
      <c r="O21" t="str">
        <f t="shared" si="1"/>
        <v/>
      </c>
      <c r="P21" s="19"/>
      <c r="Q21" t="str">
        <f>IF(TestData!CB21&lt;&gt;0,TestData!CB21,"")</f>
        <v/>
      </c>
      <c r="R21" t="str">
        <f t="shared" si="5"/>
        <v/>
      </c>
      <c r="S21" t="str">
        <f t="shared" si="2"/>
        <v/>
      </c>
      <c r="X21" t="str">
        <f t="shared" si="0"/>
        <v/>
      </c>
      <c r="AE21" t="str">
        <f t="shared" si="3"/>
        <v/>
      </c>
      <c r="AF21">
        <f t="shared" ca="1" si="4"/>
        <v>0</v>
      </c>
    </row>
    <row r="22" spans="1:32">
      <c r="A22" t="str" cm="1">
        <f t="array" ref="A22">IFERROR(INDEX(Create_TC_Web!D$1:D$505,SMALL(IF(Create_TC_Web!$C$1:$C$505&lt;&gt;"",MATCH(ROW(Create_TC_Web!$C$1:$C$505),ROW(Create_TC_Web!$C$1:$C$505)),""),ROW(Create_TC_Web!B22))),"")</f>
        <v/>
      </c>
      <c r="B22" t="str" cm="1">
        <f t="array" ref="B22">SUBSTITUTE(SUBSTITUTE(SUBSTITUTE(IFERROR(INDEX(Create_TC_Web!E$1:E$505,SMALL(IF(Create_TC_Web!$C$1:$C$505&lt;&gt;"",MATCH(ROW(Create_TC_Web!$C$1:$C$505),ROW(Create_TC_Web!$C$1:$C$505)),""),ROW(Create_TC_Web!C22))),"")," ",""),"-",""),"_","")</f>
        <v/>
      </c>
      <c r="C22" t="str" cm="1">
        <f t="array" ref="C22">IFERROR(INDEX(Create_TC_Web!F$1:F$505,SMALL(IF(Create_TC_Web!$C$1:$C$505&lt;&gt;"",MATCH(ROW(Create_TC_Web!$C$1:$C$505),ROW(Create_TC_Web!$C$1:$C$505)),""),ROW(Create_TC_Web!D22))),"")</f>
        <v/>
      </c>
      <c r="D22" t="str" cm="1">
        <f t="array" ref="D22">IFERROR(INDEX(Create_TC_Web!G$1:G$505,SMALL(IF(Create_TC_Web!$C$1:$C$505&lt;&gt;"",MATCH(ROW(Create_TC_Web!$C$1:$C$505),ROW(Create_TC_Web!$C$1:$C$505)),""),ROW(Create_TC_Web!E22))),"")</f>
        <v/>
      </c>
      <c r="E22" t="str" cm="1">
        <f t="array" ref="E22">IFERROR(INDEX(Create_TC_Web!H$1:H$505,SMALL(IF(Create_TC_Web!$C$1:$C$505&lt;&gt;"",MATCH(ROW(Create_TC_Web!$C$1:$C$505),ROW(Create_TC_Web!$C$1:$C$505)),""),ROW(Create_TC_Web!F22))),"")</f>
        <v/>
      </c>
      <c r="F22" t="str" cm="1">
        <f t="array" ref="F22">IFERROR(INDEX(Create_TC_Web!I$1:I$505,SMALL(IF(Create_TC_Web!$C$1:$C$505&lt;&gt;"",MATCH(ROW(Create_TC_Web!$C$1:$C$505),ROW(Create_TC_Web!$C$1:$C$505)),""),ROW(Create_TC_Web!G22))),"")</f>
        <v/>
      </c>
      <c r="G22" t="str" cm="1">
        <f t="array" ref="G22">IFERROR(INDEX(Create_TC_Web!J$1:J$505,SMALL(IF(Create_TC_Web!$C$1:$C$505&lt;&gt;"",MATCH(ROW(Create_TC_Web!$C$1:$C$505),ROW(Create_TC_Web!$C$1:$C$505)),""),ROW(Create_TC_Web!H22))),"")</f>
        <v/>
      </c>
      <c r="H22" t="str" cm="1">
        <f t="array" ref="H22">IFERROR(INDEX(Create_TC_Web!K$1:K$505,SMALL(IF(Create_TC_Web!$C$1:$C$505&lt;&gt;"",MATCH(ROW(Create_TC_Web!$C$1:$C$505),ROW(Create_TC_Web!$C$1:$C$505)),""),ROW(Create_TC_Web!I22))),"")</f>
        <v/>
      </c>
      <c r="I22" t="str" cm="1">
        <f t="array" ref="I22">IFERROR(INDEX(Create_TC_Web!L$1:L$505,SMALL(IF(Create_TC_Web!$C$1:$C$505&lt;&gt;"",MATCH(ROW(Create_TC_Web!$C$1:$C$505),ROW(Create_TC_Web!$C$1:$C$505)),""),ROW(Create_TC_Web!J22))),"")</f>
        <v/>
      </c>
      <c r="J22" t="str" cm="1">
        <f t="array" ref="J22">IFERROR(INDEX(Create_TC_Web!M$1:M$505,SMALL(IF(Create_TC_Web!$C$1:$C$505&lt;&gt;"",MATCH(ROW(Create_TC_Web!$C$1:$C$505),ROW(Create_TC_Web!$C$1:$C$505)),""),ROW(Create_TC_Web!K22))),"")</f>
        <v/>
      </c>
      <c r="K22" t="str" cm="1">
        <f t="array" ref="K22">IFERROR(INDEX(Create_TC_Web!N$1:N$505,SMALL(IF(Create_TC_Web!$C$1:$C$505&lt;&gt;"",MATCH(ROW(Create_TC_Web!$C$1:$C$505),ROW(Create_TC_Web!$C$1:$C$505)),""),ROW(Create_TC_Web!L22))),"")</f>
        <v/>
      </c>
      <c r="L22" t="str" cm="1">
        <f t="array" ref="L22">IFERROR(INDEX(Create_TC_Web!O$1:O$505,SMALL(IF(Create_TC_Web!$C$1:$C$505&lt;&gt;"",MATCH(ROW(Create_TC_Web!$C$1:$C$505),ROW(Create_TC_Web!$C$1:$C$505)),""),ROW(Create_TC_Web!M22))),"")</f>
        <v/>
      </c>
      <c r="M22" t="str" cm="1">
        <f t="array" ref="M22">IFERROR(INDEX(Create_TC_Web!P$1:P$505,SMALL(IF(Create_TC_Web!$C$1:$C$505&lt;&gt;"",MATCH(ROW(Create_TC_Web!$C$1:$C$505),ROW(Create_TC_Web!$C$1:$C$505)),""),ROW(Create_TC_Web!N22))),"")</f>
        <v/>
      </c>
      <c r="N22">
        <f>Create_TC_Web!CA31</f>
        <v>0</v>
      </c>
      <c r="O22" t="str">
        <f t="shared" si="1"/>
        <v/>
      </c>
      <c r="P22" s="17" t="str">
        <f>"test("&amp;"`"&amp;SUBSTITUTE(Create_TC_Web!F7," ","")&amp;": : ${index+1}`" &amp;" , " &amp; "async () =&gt; {"</f>
        <v>test(`14COpyQuoteApplicationPage: : ${index+1}` , async () =&gt; {</v>
      </c>
      <c r="Q22" t="str">
        <f>IF(TestData!CB22&lt;&gt;0,TestData!CB22,"")</f>
        <v/>
      </c>
      <c r="R22" t="str">
        <f t="shared" si="5"/>
        <v/>
      </c>
      <c r="S22" t="str">
        <f t="shared" si="2"/>
        <v>test(`14COpyQuoteApplicationPage: : ${index+1}` , async () =&gt; {</v>
      </c>
      <c r="X22" t="str">
        <f t="shared" si="0"/>
        <v/>
      </c>
      <c r="AE22" t="str">
        <f t="shared" si="3"/>
        <v/>
      </c>
      <c r="AF22">
        <f t="shared" ca="1" si="4"/>
        <v>0</v>
      </c>
    </row>
    <row r="23" spans="1:32">
      <c r="A23" t="str" cm="1">
        <f t="array" ref="A23">IFERROR(INDEX(Create_TC_Web!D$1:D$505,SMALL(IF(Create_TC_Web!$C$1:$C$505&lt;&gt;"",MATCH(ROW(Create_TC_Web!$C$1:$C$505),ROW(Create_TC_Web!$C$1:$C$505)),""),ROW(Create_TC_Web!B23))),"")</f>
        <v/>
      </c>
      <c r="B23" t="str" cm="1">
        <f t="array" ref="B23">SUBSTITUTE(SUBSTITUTE(SUBSTITUTE(IFERROR(INDEX(Create_TC_Web!E$1:E$505,SMALL(IF(Create_TC_Web!$C$1:$C$505&lt;&gt;"",MATCH(ROW(Create_TC_Web!$C$1:$C$505),ROW(Create_TC_Web!$C$1:$C$505)),""),ROW(Create_TC_Web!C23))),"")," ",""),"-",""),"_","")</f>
        <v/>
      </c>
      <c r="C23" t="str" cm="1">
        <f t="array" ref="C23">IFERROR(INDEX(Create_TC_Web!F$1:F$505,SMALL(IF(Create_TC_Web!$C$1:$C$505&lt;&gt;"",MATCH(ROW(Create_TC_Web!$C$1:$C$505),ROW(Create_TC_Web!$C$1:$C$505)),""),ROW(Create_TC_Web!D23))),"")</f>
        <v/>
      </c>
      <c r="D23" t="str" cm="1">
        <f t="array" ref="D23">IFERROR(INDEX(Create_TC_Web!G$1:G$505,SMALL(IF(Create_TC_Web!$C$1:$C$505&lt;&gt;"",MATCH(ROW(Create_TC_Web!$C$1:$C$505),ROW(Create_TC_Web!$C$1:$C$505)),""),ROW(Create_TC_Web!E23))),"")</f>
        <v/>
      </c>
      <c r="E23" t="str" cm="1">
        <f t="array" ref="E23">IFERROR(INDEX(Create_TC_Web!H$1:H$505,SMALL(IF(Create_TC_Web!$C$1:$C$505&lt;&gt;"",MATCH(ROW(Create_TC_Web!$C$1:$C$505),ROW(Create_TC_Web!$C$1:$C$505)),""),ROW(Create_TC_Web!F23))),"")</f>
        <v/>
      </c>
      <c r="F23" t="str" cm="1">
        <f t="array" ref="F23">IFERROR(INDEX(Create_TC_Web!I$1:I$505,SMALL(IF(Create_TC_Web!$C$1:$C$505&lt;&gt;"",MATCH(ROW(Create_TC_Web!$C$1:$C$505),ROW(Create_TC_Web!$C$1:$C$505)),""),ROW(Create_TC_Web!G23))),"")</f>
        <v/>
      </c>
      <c r="G23" t="str" cm="1">
        <f t="array" ref="G23">IFERROR(INDEX(Create_TC_Web!J$1:J$505,SMALL(IF(Create_TC_Web!$C$1:$C$505&lt;&gt;"",MATCH(ROW(Create_TC_Web!$C$1:$C$505),ROW(Create_TC_Web!$C$1:$C$505)),""),ROW(Create_TC_Web!H23))),"")</f>
        <v/>
      </c>
      <c r="H23" t="str" cm="1">
        <f t="array" ref="H23">IFERROR(INDEX(Create_TC_Web!K$1:K$505,SMALL(IF(Create_TC_Web!$C$1:$C$505&lt;&gt;"",MATCH(ROW(Create_TC_Web!$C$1:$C$505),ROW(Create_TC_Web!$C$1:$C$505)),""),ROW(Create_TC_Web!I23))),"")</f>
        <v/>
      </c>
      <c r="I23" t="str" cm="1">
        <f t="array" ref="I23">IFERROR(INDEX(Create_TC_Web!L$1:L$505,SMALL(IF(Create_TC_Web!$C$1:$C$505&lt;&gt;"",MATCH(ROW(Create_TC_Web!$C$1:$C$505),ROW(Create_TC_Web!$C$1:$C$505)),""),ROW(Create_TC_Web!J23))),"")</f>
        <v/>
      </c>
      <c r="J23" t="str" cm="1">
        <f t="array" ref="J23">IFERROR(INDEX(Create_TC_Web!M$1:M$505,SMALL(IF(Create_TC_Web!$C$1:$C$505&lt;&gt;"",MATCH(ROW(Create_TC_Web!$C$1:$C$505),ROW(Create_TC_Web!$C$1:$C$505)),""),ROW(Create_TC_Web!K23))),"")</f>
        <v/>
      </c>
      <c r="K23" t="str" cm="1">
        <f t="array" ref="K23">IFERROR(INDEX(Create_TC_Web!N$1:N$505,SMALL(IF(Create_TC_Web!$C$1:$C$505&lt;&gt;"",MATCH(ROW(Create_TC_Web!$C$1:$C$505),ROW(Create_TC_Web!$C$1:$C$505)),""),ROW(Create_TC_Web!L23))),"")</f>
        <v/>
      </c>
      <c r="L23" t="str" cm="1">
        <f t="array" ref="L23">IFERROR(INDEX(Create_TC_Web!O$1:O$505,SMALL(IF(Create_TC_Web!$C$1:$C$505&lt;&gt;"",MATCH(ROW(Create_TC_Web!$C$1:$C$505),ROW(Create_TC_Web!$C$1:$C$505)),""),ROW(Create_TC_Web!M23))),"")</f>
        <v/>
      </c>
      <c r="M23" t="str" cm="1">
        <f t="array" ref="M23">IFERROR(INDEX(Create_TC_Web!P$1:P$505,SMALL(IF(Create_TC_Web!$C$1:$C$505&lt;&gt;"",MATCH(ROW(Create_TC_Web!$C$1:$C$505),ROW(Create_TC_Web!$C$1:$C$505)),""),ROW(Create_TC_Web!N23))),"")</f>
        <v/>
      </c>
      <c r="N23">
        <f>Create_TC_Web!CA32</f>
        <v>0</v>
      </c>
      <c r="O23" t="str">
        <f t="shared" si="1"/>
        <v/>
      </c>
      <c r="P23" s="17" t="str">
        <f>"for (const "&amp;Create_TC_Web!$F$8&amp;"Locator1 of "&amp;Create_TC_Web!$F$8&amp;"Locator ) {"</f>
        <v>for (const COpyQuoteApplicationPageLocator1 of COpyQuoteApplicationPageLocator ) {</v>
      </c>
      <c r="Q23" t="str">
        <f>IF(TestData!CB23&lt;&gt;0,TestData!CB23,"")</f>
        <v/>
      </c>
      <c r="R23" t="str">
        <f t="shared" si="5"/>
        <v/>
      </c>
      <c r="S23" t="str">
        <f t="shared" si="2"/>
        <v>for (const COpyQuoteApplicationPageLocator1 of COpyQuoteApplicationPageLocator ) {</v>
      </c>
      <c r="X23" t="str">
        <f t="shared" si="0"/>
        <v/>
      </c>
      <c r="AE23" t="str">
        <f t="shared" si="3"/>
        <v/>
      </c>
      <c r="AF23">
        <f t="shared" ca="1" si="4"/>
        <v>0</v>
      </c>
    </row>
    <row r="24" spans="1:32">
      <c r="A24" t="str" cm="1">
        <f t="array" ref="A24">IFERROR(INDEX(Create_TC_Web!D$1:D$505,SMALL(IF(Create_TC_Web!$C$1:$C$505&lt;&gt;"",MATCH(ROW(Create_TC_Web!$C$1:$C$505),ROW(Create_TC_Web!$C$1:$C$505)),""),ROW(Create_TC_Web!B24))),"")</f>
        <v/>
      </c>
      <c r="B24" t="str" cm="1">
        <f t="array" ref="B24">SUBSTITUTE(SUBSTITUTE(SUBSTITUTE(IFERROR(INDEX(Create_TC_Web!E$1:E$505,SMALL(IF(Create_TC_Web!$C$1:$C$505&lt;&gt;"",MATCH(ROW(Create_TC_Web!$C$1:$C$505),ROW(Create_TC_Web!$C$1:$C$505)),""),ROW(Create_TC_Web!C24))),"")," ",""),"-",""),"_","")</f>
        <v/>
      </c>
      <c r="C24" t="str" cm="1">
        <f t="array" ref="C24">IFERROR(INDEX(Create_TC_Web!F$1:F$505,SMALL(IF(Create_TC_Web!$C$1:$C$505&lt;&gt;"",MATCH(ROW(Create_TC_Web!$C$1:$C$505),ROW(Create_TC_Web!$C$1:$C$505)),""),ROW(Create_TC_Web!D24))),"")</f>
        <v/>
      </c>
      <c r="D24" t="str" cm="1">
        <f t="array" ref="D24">IFERROR(INDEX(Create_TC_Web!G$1:G$505,SMALL(IF(Create_TC_Web!$C$1:$C$505&lt;&gt;"",MATCH(ROW(Create_TC_Web!$C$1:$C$505),ROW(Create_TC_Web!$C$1:$C$505)),""),ROW(Create_TC_Web!E24))),"")</f>
        <v/>
      </c>
      <c r="E24" t="str" cm="1">
        <f t="array" ref="E24">IFERROR(INDEX(Create_TC_Web!H$1:H$505,SMALL(IF(Create_TC_Web!$C$1:$C$505&lt;&gt;"",MATCH(ROW(Create_TC_Web!$C$1:$C$505),ROW(Create_TC_Web!$C$1:$C$505)),""),ROW(Create_TC_Web!F24))),"")</f>
        <v/>
      </c>
      <c r="F24" t="str" cm="1">
        <f t="array" ref="F24">IFERROR(INDEX(Create_TC_Web!I$1:I$505,SMALL(IF(Create_TC_Web!$C$1:$C$505&lt;&gt;"",MATCH(ROW(Create_TC_Web!$C$1:$C$505),ROW(Create_TC_Web!$C$1:$C$505)),""),ROW(Create_TC_Web!G24))),"")</f>
        <v/>
      </c>
      <c r="G24" t="str" cm="1">
        <f t="array" ref="G24">IFERROR(INDEX(Create_TC_Web!J$1:J$505,SMALL(IF(Create_TC_Web!$C$1:$C$505&lt;&gt;"",MATCH(ROW(Create_TC_Web!$C$1:$C$505),ROW(Create_TC_Web!$C$1:$C$505)),""),ROW(Create_TC_Web!H24))),"")</f>
        <v/>
      </c>
      <c r="H24" t="str" cm="1">
        <f t="array" ref="H24">IFERROR(INDEX(Create_TC_Web!K$1:K$505,SMALL(IF(Create_TC_Web!$C$1:$C$505&lt;&gt;"",MATCH(ROW(Create_TC_Web!$C$1:$C$505),ROW(Create_TC_Web!$C$1:$C$505)),""),ROW(Create_TC_Web!I24))),"")</f>
        <v/>
      </c>
      <c r="I24" t="str" cm="1">
        <f t="array" ref="I24">IFERROR(INDEX(Create_TC_Web!L$1:L$505,SMALL(IF(Create_TC_Web!$C$1:$C$505&lt;&gt;"",MATCH(ROW(Create_TC_Web!$C$1:$C$505),ROW(Create_TC_Web!$C$1:$C$505)),""),ROW(Create_TC_Web!J24))),"")</f>
        <v/>
      </c>
      <c r="J24" t="str" cm="1">
        <f t="array" ref="J24">IFERROR(INDEX(Create_TC_Web!M$1:M$505,SMALL(IF(Create_TC_Web!$C$1:$C$505&lt;&gt;"",MATCH(ROW(Create_TC_Web!$C$1:$C$505),ROW(Create_TC_Web!$C$1:$C$505)),""),ROW(Create_TC_Web!K24))),"")</f>
        <v/>
      </c>
      <c r="K24" t="str" cm="1">
        <f t="array" ref="K24">IFERROR(INDEX(Create_TC_Web!N$1:N$505,SMALL(IF(Create_TC_Web!$C$1:$C$505&lt;&gt;"",MATCH(ROW(Create_TC_Web!$C$1:$C$505),ROW(Create_TC_Web!$C$1:$C$505)),""),ROW(Create_TC_Web!L24))),"")</f>
        <v/>
      </c>
      <c r="L24" t="str" cm="1">
        <f t="array" ref="L24">IFERROR(INDEX(Create_TC_Web!O$1:O$505,SMALL(IF(Create_TC_Web!$C$1:$C$505&lt;&gt;"",MATCH(ROW(Create_TC_Web!$C$1:$C$505),ROW(Create_TC_Web!$C$1:$C$505)),""),ROW(Create_TC_Web!M24))),"")</f>
        <v/>
      </c>
      <c r="M24" t="str" cm="1">
        <f t="array" ref="M24">IFERROR(INDEX(Create_TC_Web!P$1:P$505,SMALL(IF(Create_TC_Web!$C$1:$C$505&lt;&gt;"",MATCH(ROW(Create_TC_Web!$C$1:$C$505),ROW(Create_TC_Web!$C$1:$C$505)),""),ROW(Create_TC_Web!N24))),"")</f>
        <v/>
      </c>
      <c r="N24">
        <f>Create_TC_Web!CA33</f>
        <v>0</v>
      </c>
      <c r="O24" t="str">
        <f t="shared" si="1"/>
        <v/>
      </c>
      <c r="P24" s="17"/>
      <c r="Q24" t="str">
        <f>IF(TestData!CB24&lt;&gt;0,TestData!CB24,"")</f>
        <v/>
      </c>
      <c r="R24" t="str">
        <f t="shared" si="5"/>
        <v/>
      </c>
      <c r="S24" t="str">
        <f t="shared" si="2"/>
        <v/>
      </c>
      <c r="X24" t="str">
        <f t="shared" si="0"/>
        <v/>
      </c>
      <c r="AE24" t="str">
        <f t="shared" si="3"/>
        <v/>
      </c>
      <c r="AF24">
        <f t="shared" ca="1" si="4"/>
        <v>0</v>
      </c>
    </row>
    <row r="25" spans="1:32" ht="33.75">
      <c r="A25" t="str" cm="1">
        <f t="array" ref="A25">IFERROR(INDEX(Create_TC_Web!D$1:D$505,SMALL(IF(Create_TC_Web!$C$1:$C$505&lt;&gt;"",MATCH(ROW(Create_TC_Web!$C$1:$C$505),ROW(Create_TC_Web!$C$1:$C$505)),""),ROW(Create_TC_Web!B25))),"")</f>
        <v/>
      </c>
      <c r="B25" t="str" cm="1">
        <f t="array" ref="B25">SUBSTITUTE(SUBSTITUTE(SUBSTITUTE(IFERROR(INDEX(Create_TC_Web!E$1:E$505,SMALL(IF(Create_TC_Web!$C$1:$C$505&lt;&gt;"",MATCH(ROW(Create_TC_Web!$C$1:$C$505),ROW(Create_TC_Web!$C$1:$C$505)),""),ROW(Create_TC_Web!C25))),"")," ",""),"-",""),"_","")</f>
        <v/>
      </c>
      <c r="C25" t="str" cm="1">
        <f t="array" ref="C25">IFERROR(INDEX(Create_TC_Web!F$1:F$505,SMALL(IF(Create_TC_Web!$C$1:$C$505&lt;&gt;"",MATCH(ROW(Create_TC_Web!$C$1:$C$505),ROW(Create_TC_Web!$C$1:$C$505)),""),ROW(Create_TC_Web!D25))),"")</f>
        <v/>
      </c>
      <c r="D25" t="str" cm="1">
        <f t="array" ref="D25">IFERROR(INDEX(Create_TC_Web!G$1:G$505,SMALL(IF(Create_TC_Web!$C$1:$C$505&lt;&gt;"",MATCH(ROW(Create_TC_Web!$C$1:$C$505),ROW(Create_TC_Web!$C$1:$C$505)),""),ROW(Create_TC_Web!E25))),"")</f>
        <v/>
      </c>
      <c r="E25" t="str" cm="1">
        <f t="array" ref="E25">IFERROR(INDEX(Create_TC_Web!H$1:H$505,SMALL(IF(Create_TC_Web!$C$1:$C$505&lt;&gt;"",MATCH(ROW(Create_TC_Web!$C$1:$C$505),ROW(Create_TC_Web!$C$1:$C$505)),""),ROW(Create_TC_Web!F25))),"")</f>
        <v/>
      </c>
      <c r="F25" t="str" cm="1">
        <f t="array" ref="F25">IFERROR(INDEX(Create_TC_Web!I$1:I$505,SMALL(IF(Create_TC_Web!$C$1:$C$505&lt;&gt;"",MATCH(ROW(Create_TC_Web!$C$1:$C$505),ROW(Create_TC_Web!$C$1:$C$505)),""),ROW(Create_TC_Web!G25))),"")</f>
        <v/>
      </c>
      <c r="G25" t="str" cm="1">
        <f t="array" ref="G25">IFERROR(INDEX(Create_TC_Web!J$1:J$505,SMALL(IF(Create_TC_Web!$C$1:$C$505&lt;&gt;"",MATCH(ROW(Create_TC_Web!$C$1:$C$505),ROW(Create_TC_Web!$C$1:$C$505)),""),ROW(Create_TC_Web!H25))),"")</f>
        <v/>
      </c>
      <c r="H25" t="str" cm="1">
        <f t="array" ref="H25">IFERROR(INDEX(Create_TC_Web!K$1:K$505,SMALL(IF(Create_TC_Web!$C$1:$C$505&lt;&gt;"",MATCH(ROW(Create_TC_Web!$C$1:$C$505),ROW(Create_TC_Web!$C$1:$C$505)),""),ROW(Create_TC_Web!I25))),"")</f>
        <v/>
      </c>
      <c r="I25" t="str" cm="1">
        <f t="array" ref="I25">IFERROR(INDEX(Create_TC_Web!L$1:L$505,SMALL(IF(Create_TC_Web!$C$1:$C$505&lt;&gt;"",MATCH(ROW(Create_TC_Web!$C$1:$C$505),ROW(Create_TC_Web!$C$1:$C$505)),""),ROW(Create_TC_Web!J25))),"")</f>
        <v/>
      </c>
      <c r="J25" t="str" cm="1">
        <f t="array" ref="J25">IFERROR(INDEX(Create_TC_Web!M$1:M$505,SMALL(IF(Create_TC_Web!$C$1:$C$505&lt;&gt;"",MATCH(ROW(Create_TC_Web!$C$1:$C$505),ROW(Create_TC_Web!$C$1:$C$505)),""),ROW(Create_TC_Web!K25))),"")</f>
        <v/>
      </c>
      <c r="K25" t="str" cm="1">
        <f t="array" ref="K25">IFERROR(INDEX(Create_TC_Web!N$1:N$505,SMALL(IF(Create_TC_Web!$C$1:$C$505&lt;&gt;"",MATCH(ROW(Create_TC_Web!$C$1:$C$505),ROW(Create_TC_Web!$C$1:$C$505)),""),ROW(Create_TC_Web!L25))),"")</f>
        <v/>
      </c>
      <c r="L25" t="str" cm="1">
        <f t="array" ref="L25">IFERROR(INDEX(Create_TC_Web!O$1:O$505,SMALL(IF(Create_TC_Web!$C$1:$C$505&lt;&gt;"",MATCH(ROW(Create_TC_Web!$C$1:$C$505),ROW(Create_TC_Web!$C$1:$C$505)),""),ROW(Create_TC_Web!M25))),"")</f>
        <v/>
      </c>
      <c r="M25" t="str" cm="1">
        <f t="array" ref="M25">IFERROR(INDEX(Create_TC_Web!P$1:P$505,SMALL(IF(Create_TC_Web!$C$1:$C$505&lt;&gt;"",MATCH(ROW(Create_TC_Web!$C$1:$C$505),ROW(Create_TC_Web!$C$1:$C$505)),""),ROW(Create_TC_Web!N25))),"")</f>
        <v/>
      </c>
      <c r="N25">
        <f>Create_TC_Web!CA34</f>
        <v>0</v>
      </c>
      <c r="O25" t="str">
        <f t="shared" si="1"/>
        <v/>
      </c>
      <c r="P25" s="17" t="str">
        <f>Create_TC_Web!CI12</f>
        <v>Y=await expect(COpyQuoteApplicationPageLocator1.VerifyPayorName).innerText('Dwyne Jhonson');</v>
      </c>
      <c r="Q25" t="str">
        <f>IF(TestData!CB25&lt;&gt;0,TestData!CB25,"")</f>
        <v/>
      </c>
      <c r="R25" t="str">
        <f t="shared" si="5"/>
        <v/>
      </c>
      <c r="S25" t="str">
        <f t="shared" si="2"/>
        <v>Y=await expect(COpyQuoteApplicationPageLocator1.VerifyPayorName).innerText('Dwyne Jhonson');</v>
      </c>
      <c r="X25" t="str">
        <f t="shared" si="0"/>
        <v/>
      </c>
      <c r="AE25" t="str">
        <f t="shared" si="3"/>
        <v/>
      </c>
      <c r="AF25">
        <f t="shared" ca="1" si="4"/>
        <v>0</v>
      </c>
    </row>
    <row r="26" spans="1:32">
      <c r="A26" t="str" cm="1">
        <f t="array" ref="A26">IFERROR(INDEX(Create_TC_Web!D$1:D$505,SMALL(IF(Create_TC_Web!$C$1:$C$505&lt;&gt;"",MATCH(ROW(Create_TC_Web!$C$1:$C$505),ROW(Create_TC_Web!$C$1:$C$505)),""),ROW(Create_TC_Web!B26))),"")</f>
        <v/>
      </c>
      <c r="B26" t="str" cm="1">
        <f t="array" ref="B26">SUBSTITUTE(SUBSTITUTE(SUBSTITUTE(IFERROR(INDEX(Create_TC_Web!E$1:E$505,SMALL(IF(Create_TC_Web!$C$1:$C$505&lt;&gt;"",MATCH(ROW(Create_TC_Web!$C$1:$C$505),ROW(Create_TC_Web!$C$1:$C$505)),""),ROW(Create_TC_Web!C26))),"")," ",""),"-",""),"_","")</f>
        <v/>
      </c>
      <c r="C26" t="str" cm="1">
        <f t="array" ref="C26">IFERROR(INDEX(Create_TC_Web!F$1:F$505,SMALL(IF(Create_TC_Web!$C$1:$C$505&lt;&gt;"",MATCH(ROW(Create_TC_Web!$C$1:$C$505),ROW(Create_TC_Web!$C$1:$C$505)),""),ROW(Create_TC_Web!D26))),"")</f>
        <v/>
      </c>
      <c r="D26" t="str" cm="1">
        <f t="array" ref="D26">IFERROR(INDEX(Create_TC_Web!G$1:G$505,SMALL(IF(Create_TC_Web!$C$1:$C$505&lt;&gt;"",MATCH(ROW(Create_TC_Web!$C$1:$C$505),ROW(Create_TC_Web!$C$1:$C$505)),""),ROW(Create_TC_Web!E26))),"")</f>
        <v/>
      </c>
      <c r="E26" t="str" cm="1">
        <f t="array" ref="E26">IFERROR(INDEX(Create_TC_Web!H$1:H$505,SMALL(IF(Create_TC_Web!$C$1:$C$505&lt;&gt;"",MATCH(ROW(Create_TC_Web!$C$1:$C$505),ROW(Create_TC_Web!$C$1:$C$505)),""),ROW(Create_TC_Web!F26))),"")</f>
        <v/>
      </c>
      <c r="F26" t="str" cm="1">
        <f t="array" ref="F26">IFERROR(INDEX(Create_TC_Web!I$1:I$505,SMALL(IF(Create_TC_Web!$C$1:$C$505&lt;&gt;"",MATCH(ROW(Create_TC_Web!$C$1:$C$505),ROW(Create_TC_Web!$C$1:$C$505)),""),ROW(Create_TC_Web!G26))),"")</f>
        <v/>
      </c>
      <c r="G26" t="str" cm="1">
        <f t="array" ref="G26">IFERROR(INDEX(Create_TC_Web!J$1:J$505,SMALL(IF(Create_TC_Web!$C$1:$C$505&lt;&gt;"",MATCH(ROW(Create_TC_Web!$C$1:$C$505),ROW(Create_TC_Web!$C$1:$C$505)),""),ROW(Create_TC_Web!H26))),"")</f>
        <v/>
      </c>
      <c r="H26" t="str" cm="1">
        <f t="array" ref="H26">IFERROR(INDEX(Create_TC_Web!K$1:K$505,SMALL(IF(Create_TC_Web!$C$1:$C$505&lt;&gt;"",MATCH(ROW(Create_TC_Web!$C$1:$C$505),ROW(Create_TC_Web!$C$1:$C$505)),""),ROW(Create_TC_Web!I26))),"")</f>
        <v/>
      </c>
      <c r="I26" t="str" cm="1">
        <f t="array" ref="I26">IFERROR(INDEX(Create_TC_Web!L$1:L$505,SMALL(IF(Create_TC_Web!$C$1:$C$505&lt;&gt;"",MATCH(ROW(Create_TC_Web!$C$1:$C$505),ROW(Create_TC_Web!$C$1:$C$505)),""),ROW(Create_TC_Web!J26))),"")</f>
        <v/>
      </c>
      <c r="J26" t="str" cm="1">
        <f t="array" ref="J26">IFERROR(INDEX(Create_TC_Web!M$1:M$505,SMALL(IF(Create_TC_Web!$C$1:$C$505&lt;&gt;"",MATCH(ROW(Create_TC_Web!$C$1:$C$505),ROW(Create_TC_Web!$C$1:$C$505)),""),ROW(Create_TC_Web!K26))),"")</f>
        <v/>
      </c>
      <c r="K26" t="str" cm="1">
        <f t="array" ref="K26">IFERROR(INDEX(Create_TC_Web!N$1:N$505,SMALL(IF(Create_TC_Web!$C$1:$C$505&lt;&gt;"",MATCH(ROW(Create_TC_Web!$C$1:$C$505),ROW(Create_TC_Web!$C$1:$C$505)),""),ROW(Create_TC_Web!L26))),"")</f>
        <v/>
      </c>
      <c r="L26" t="str" cm="1">
        <f t="array" ref="L26">IFERROR(INDEX(Create_TC_Web!O$1:O$505,SMALL(IF(Create_TC_Web!$C$1:$C$505&lt;&gt;"",MATCH(ROW(Create_TC_Web!$C$1:$C$505),ROW(Create_TC_Web!$C$1:$C$505)),""),ROW(Create_TC_Web!M26))),"")</f>
        <v/>
      </c>
      <c r="M26" t="str" cm="1">
        <f t="array" ref="M26">IFERROR(INDEX(Create_TC_Web!P$1:P$505,SMALL(IF(Create_TC_Web!$C$1:$C$505&lt;&gt;"",MATCH(ROW(Create_TC_Web!$C$1:$C$505),ROW(Create_TC_Web!$C$1:$C$505)),""),ROW(Create_TC_Web!N26))),"")</f>
        <v/>
      </c>
      <c r="N26">
        <f>Create_TC_Web!CA35</f>
        <v>0</v>
      </c>
      <c r="O26" t="str">
        <f t="shared" si="1"/>
        <v/>
      </c>
      <c r="P26" s="17">
        <f>Create_TC_Web!CI13</f>
        <v>0</v>
      </c>
      <c r="Q26" t="str">
        <f>IF(TestData!CB26&lt;&gt;0,TestData!CB26,"")</f>
        <v/>
      </c>
      <c r="R26" t="str">
        <f t="shared" si="5"/>
        <v/>
      </c>
      <c r="S26" t="str">
        <f t="shared" si="2"/>
        <v/>
      </c>
      <c r="X26" t="str">
        <f t="shared" si="0"/>
        <v/>
      </c>
      <c r="AE26" t="str">
        <f t="shared" si="3"/>
        <v/>
      </c>
      <c r="AF26">
        <f t="shared" ca="1" si="4"/>
        <v>0</v>
      </c>
    </row>
    <row r="27" spans="1:32">
      <c r="A27" t="str" cm="1">
        <f t="array" ref="A27">IFERROR(INDEX(Create_TC_Web!D$1:D$505,SMALL(IF(Create_TC_Web!$C$1:$C$505&lt;&gt;"",MATCH(ROW(Create_TC_Web!$C$1:$C$505),ROW(Create_TC_Web!$C$1:$C$505)),""),ROW(Create_TC_Web!B27))),"")</f>
        <v/>
      </c>
      <c r="B27" t="str" cm="1">
        <f t="array" ref="B27">SUBSTITUTE(SUBSTITUTE(SUBSTITUTE(IFERROR(INDEX(Create_TC_Web!E$1:E$505,SMALL(IF(Create_TC_Web!$C$1:$C$505&lt;&gt;"",MATCH(ROW(Create_TC_Web!$C$1:$C$505),ROW(Create_TC_Web!$C$1:$C$505)),""),ROW(Create_TC_Web!C27))),"")," ",""),"-",""),"_","")</f>
        <v/>
      </c>
      <c r="C27" t="str" cm="1">
        <f t="array" ref="C27">IFERROR(INDEX(Create_TC_Web!F$1:F$505,SMALL(IF(Create_TC_Web!$C$1:$C$505&lt;&gt;"",MATCH(ROW(Create_TC_Web!$C$1:$C$505),ROW(Create_TC_Web!$C$1:$C$505)),""),ROW(Create_TC_Web!D27))),"")</f>
        <v/>
      </c>
      <c r="D27" t="str" cm="1">
        <f t="array" ref="D27">IFERROR(INDEX(Create_TC_Web!G$1:G$505,SMALL(IF(Create_TC_Web!$C$1:$C$505&lt;&gt;"",MATCH(ROW(Create_TC_Web!$C$1:$C$505),ROW(Create_TC_Web!$C$1:$C$505)),""),ROW(Create_TC_Web!E27))),"")</f>
        <v/>
      </c>
      <c r="E27" t="str" cm="1">
        <f t="array" ref="E27">IFERROR(INDEX(Create_TC_Web!H$1:H$505,SMALL(IF(Create_TC_Web!$C$1:$C$505&lt;&gt;"",MATCH(ROW(Create_TC_Web!$C$1:$C$505),ROW(Create_TC_Web!$C$1:$C$505)),""),ROW(Create_TC_Web!F27))),"")</f>
        <v/>
      </c>
      <c r="F27" t="str" cm="1">
        <f t="array" ref="F27">IFERROR(INDEX(Create_TC_Web!I$1:I$505,SMALL(IF(Create_TC_Web!$C$1:$C$505&lt;&gt;"",MATCH(ROW(Create_TC_Web!$C$1:$C$505),ROW(Create_TC_Web!$C$1:$C$505)),""),ROW(Create_TC_Web!G27))),"")</f>
        <v/>
      </c>
      <c r="G27" t="str" cm="1">
        <f t="array" ref="G27">IFERROR(INDEX(Create_TC_Web!J$1:J$505,SMALL(IF(Create_TC_Web!$C$1:$C$505&lt;&gt;"",MATCH(ROW(Create_TC_Web!$C$1:$C$505),ROW(Create_TC_Web!$C$1:$C$505)),""),ROW(Create_TC_Web!H27))),"")</f>
        <v/>
      </c>
      <c r="H27" t="str" cm="1">
        <f t="array" ref="H27">IFERROR(INDEX(Create_TC_Web!K$1:K$505,SMALL(IF(Create_TC_Web!$C$1:$C$505&lt;&gt;"",MATCH(ROW(Create_TC_Web!$C$1:$C$505),ROW(Create_TC_Web!$C$1:$C$505)),""),ROW(Create_TC_Web!I27))),"")</f>
        <v/>
      </c>
      <c r="I27" t="str" cm="1">
        <f t="array" ref="I27">IFERROR(INDEX(Create_TC_Web!L$1:L$505,SMALL(IF(Create_TC_Web!$C$1:$C$505&lt;&gt;"",MATCH(ROW(Create_TC_Web!$C$1:$C$505),ROW(Create_TC_Web!$C$1:$C$505)),""),ROW(Create_TC_Web!J27))),"")</f>
        <v/>
      </c>
      <c r="J27" t="str" cm="1">
        <f t="array" ref="J27">IFERROR(INDEX(Create_TC_Web!M$1:M$505,SMALL(IF(Create_TC_Web!$C$1:$C$505&lt;&gt;"",MATCH(ROW(Create_TC_Web!$C$1:$C$505),ROW(Create_TC_Web!$C$1:$C$505)),""),ROW(Create_TC_Web!K27))),"")</f>
        <v/>
      </c>
      <c r="K27" t="str" cm="1">
        <f t="array" ref="K27">IFERROR(INDEX(Create_TC_Web!N$1:N$505,SMALL(IF(Create_TC_Web!$C$1:$C$505&lt;&gt;"",MATCH(ROW(Create_TC_Web!$C$1:$C$505),ROW(Create_TC_Web!$C$1:$C$505)),""),ROW(Create_TC_Web!L27))),"")</f>
        <v/>
      </c>
      <c r="L27" t="str" cm="1">
        <f t="array" ref="L27">IFERROR(INDEX(Create_TC_Web!O$1:O$505,SMALL(IF(Create_TC_Web!$C$1:$C$505&lt;&gt;"",MATCH(ROW(Create_TC_Web!$C$1:$C$505),ROW(Create_TC_Web!$C$1:$C$505)),""),ROW(Create_TC_Web!M27))),"")</f>
        <v/>
      </c>
      <c r="M27" t="str" cm="1">
        <f t="array" ref="M27">IFERROR(INDEX(Create_TC_Web!P$1:P$505,SMALL(IF(Create_TC_Web!$C$1:$C$505&lt;&gt;"",MATCH(ROW(Create_TC_Web!$C$1:$C$505),ROW(Create_TC_Web!$C$1:$C$505)),""),ROW(Create_TC_Web!N27))),"")</f>
        <v/>
      </c>
      <c r="N27">
        <f>Create_TC_Web!CA36</f>
        <v>0</v>
      </c>
      <c r="O27" t="str">
        <f t="shared" si="1"/>
        <v/>
      </c>
      <c r="P27" s="17">
        <f>Create_TC_Web!CI14</f>
        <v>0</v>
      </c>
      <c r="Q27" t="str">
        <f>IF(TestData!CB27&lt;&gt;0,TestData!CB27,"")</f>
        <v/>
      </c>
      <c r="R27" t="str">
        <f t="shared" si="5"/>
        <v/>
      </c>
      <c r="S27" t="str">
        <f t="shared" si="2"/>
        <v/>
      </c>
      <c r="X27" t="str">
        <f t="shared" si="0"/>
        <v/>
      </c>
      <c r="AE27" t="str">
        <f t="shared" si="3"/>
        <v/>
      </c>
    </row>
    <row r="28" spans="1:32">
      <c r="A28" t="str" cm="1">
        <f t="array" ref="A28">IFERROR(INDEX(Create_TC_Web!D$1:D$505,SMALL(IF(Create_TC_Web!$C$1:$C$505&lt;&gt;"",MATCH(ROW(Create_TC_Web!$C$1:$C$505),ROW(Create_TC_Web!$C$1:$C$505)),""),ROW(Create_TC_Web!B28))),"")</f>
        <v/>
      </c>
      <c r="B28" t="str" cm="1">
        <f t="array" ref="B28">SUBSTITUTE(SUBSTITUTE(SUBSTITUTE(IFERROR(INDEX(Create_TC_Web!E$1:E$505,SMALL(IF(Create_TC_Web!$C$1:$C$505&lt;&gt;"",MATCH(ROW(Create_TC_Web!$C$1:$C$505),ROW(Create_TC_Web!$C$1:$C$505)),""),ROW(Create_TC_Web!C28))),"")," ",""),"-",""),"_","")</f>
        <v/>
      </c>
      <c r="C28" t="str" cm="1">
        <f t="array" ref="C28">IFERROR(INDEX(Create_TC_Web!F$1:F$505,SMALL(IF(Create_TC_Web!$C$1:$C$505&lt;&gt;"",MATCH(ROW(Create_TC_Web!$C$1:$C$505),ROW(Create_TC_Web!$C$1:$C$505)),""),ROW(Create_TC_Web!D28))),"")</f>
        <v/>
      </c>
      <c r="D28" t="str" cm="1">
        <f t="array" ref="D28">IFERROR(INDEX(Create_TC_Web!G$1:G$505,SMALL(IF(Create_TC_Web!$C$1:$C$505&lt;&gt;"",MATCH(ROW(Create_TC_Web!$C$1:$C$505),ROW(Create_TC_Web!$C$1:$C$505)),""),ROW(Create_TC_Web!E28))),"")</f>
        <v/>
      </c>
      <c r="E28" t="str" cm="1">
        <f t="array" ref="E28">IFERROR(INDEX(Create_TC_Web!H$1:H$505,SMALL(IF(Create_TC_Web!$C$1:$C$505&lt;&gt;"",MATCH(ROW(Create_TC_Web!$C$1:$C$505),ROW(Create_TC_Web!$C$1:$C$505)),""),ROW(Create_TC_Web!F28))),"")</f>
        <v/>
      </c>
      <c r="F28" t="str" cm="1">
        <f t="array" ref="F28">IFERROR(INDEX(Create_TC_Web!I$1:I$505,SMALL(IF(Create_TC_Web!$C$1:$C$505&lt;&gt;"",MATCH(ROW(Create_TC_Web!$C$1:$C$505),ROW(Create_TC_Web!$C$1:$C$505)),""),ROW(Create_TC_Web!G28))),"")</f>
        <v/>
      </c>
      <c r="G28" t="str" cm="1">
        <f t="array" ref="G28">IFERROR(INDEX(Create_TC_Web!J$1:J$505,SMALL(IF(Create_TC_Web!$C$1:$C$505&lt;&gt;"",MATCH(ROW(Create_TC_Web!$C$1:$C$505),ROW(Create_TC_Web!$C$1:$C$505)),""),ROW(Create_TC_Web!H28))),"")</f>
        <v/>
      </c>
      <c r="H28" t="str" cm="1">
        <f t="array" ref="H28">IFERROR(INDEX(Create_TC_Web!K$1:K$505,SMALL(IF(Create_TC_Web!$C$1:$C$505&lt;&gt;"",MATCH(ROW(Create_TC_Web!$C$1:$C$505),ROW(Create_TC_Web!$C$1:$C$505)),""),ROW(Create_TC_Web!I28))),"")</f>
        <v/>
      </c>
      <c r="I28" t="str" cm="1">
        <f t="array" ref="I28">IFERROR(INDEX(Create_TC_Web!L$1:L$505,SMALL(IF(Create_TC_Web!$C$1:$C$505&lt;&gt;"",MATCH(ROW(Create_TC_Web!$C$1:$C$505),ROW(Create_TC_Web!$C$1:$C$505)),""),ROW(Create_TC_Web!J28))),"")</f>
        <v/>
      </c>
      <c r="J28" t="str" cm="1">
        <f t="array" ref="J28">IFERROR(INDEX(Create_TC_Web!M$1:M$505,SMALL(IF(Create_TC_Web!$C$1:$C$505&lt;&gt;"",MATCH(ROW(Create_TC_Web!$C$1:$C$505),ROW(Create_TC_Web!$C$1:$C$505)),""),ROW(Create_TC_Web!K28))),"")</f>
        <v/>
      </c>
      <c r="K28" t="str" cm="1">
        <f t="array" ref="K28">IFERROR(INDEX(Create_TC_Web!N$1:N$505,SMALL(IF(Create_TC_Web!$C$1:$C$505&lt;&gt;"",MATCH(ROW(Create_TC_Web!$C$1:$C$505),ROW(Create_TC_Web!$C$1:$C$505)),""),ROW(Create_TC_Web!L28))),"")</f>
        <v/>
      </c>
      <c r="L28" t="str" cm="1">
        <f t="array" ref="L28">IFERROR(INDEX(Create_TC_Web!O$1:O$505,SMALL(IF(Create_TC_Web!$C$1:$C$505&lt;&gt;"",MATCH(ROW(Create_TC_Web!$C$1:$C$505),ROW(Create_TC_Web!$C$1:$C$505)),""),ROW(Create_TC_Web!M28))),"")</f>
        <v/>
      </c>
      <c r="M28" t="str" cm="1">
        <f t="array" ref="M28">IFERROR(INDEX(Create_TC_Web!P$1:P$505,SMALL(IF(Create_TC_Web!$C$1:$C$505&lt;&gt;"",MATCH(ROW(Create_TC_Web!$C$1:$C$505),ROW(Create_TC_Web!$C$1:$C$505)),""),ROW(Create_TC_Web!N28))),"")</f>
        <v/>
      </c>
      <c r="N28">
        <f>Create_TC_Web!CA37</f>
        <v>0</v>
      </c>
      <c r="O28" t="str">
        <f t="shared" si="1"/>
        <v/>
      </c>
      <c r="P28" s="17">
        <f>Create_TC_Web!CI15</f>
        <v>0</v>
      </c>
      <c r="Q28" t="str">
        <f>IF(TestData!CB28&lt;&gt;0,TestData!CB28,"")</f>
        <v/>
      </c>
      <c r="R28" t="str">
        <f t="shared" si="5"/>
        <v/>
      </c>
      <c r="S28" t="str">
        <f t="shared" si="2"/>
        <v/>
      </c>
      <c r="X28" t="str">
        <f t="shared" si="0"/>
        <v/>
      </c>
      <c r="AE28" t="str">
        <f t="shared" si="3"/>
        <v/>
      </c>
    </row>
    <row r="29" spans="1:32">
      <c r="A29" t="str" cm="1">
        <f t="array" ref="A29">IFERROR(INDEX(Create_TC_Web!D$1:D$505,SMALL(IF(Create_TC_Web!$C$1:$C$505&lt;&gt;"",MATCH(ROW(Create_TC_Web!$C$1:$C$505),ROW(Create_TC_Web!$C$1:$C$505)),""),ROW(Create_TC_Web!B29))),"")</f>
        <v/>
      </c>
      <c r="B29" t="str" cm="1">
        <f t="array" ref="B29">SUBSTITUTE(SUBSTITUTE(SUBSTITUTE(IFERROR(INDEX(Create_TC_Web!E$1:E$505,SMALL(IF(Create_TC_Web!$C$1:$C$505&lt;&gt;"",MATCH(ROW(Create_TC_Web!$C$1:$C$505),ROW(Create_TC_Web!$C$1:$C$505)),""),ROW(Create_TC_Web!C29))),"")," ",""),"-",""),"_","")</f>
        <v/>
      </c>
      <c r="C29" t="str" cm="1">
        <f t="array" ref="C29">IFERROR(INDEX(Create_TC_Web!F$1:F$505,SMALL(IF(Create_TC_Web!$C$1:$C$505&lt;&gt;"",MATCH(ROW(Create_TC_Web!$C$1:$C$505),ROW(Create_TC_Web!$C$1:$C$505)),""),ROW(Create_TC_Web!D29))),"")</f>
        <v/>
      </c>
      <c r="D29" t="str" cm="1">
        <f t="array" ref="D29">IFERROR(INDEX(Create_TC_Web!G$1:G$505,SMALL(IF(Create_TC_Web!$C$1:$C$505&lt;&gt;"",MATCH(ROW(Create_TC_Web!$C$1:$C$505),ROW(Create_TC_Web!$C$1:$C$505)),""),ROW(Create_TC_Web!E29))),"")</f>
        <v/>
      </c>
      <c r="E29" t="str" cm="1">
        <f t="array" ref="E29">IFERROR(INDEX(Create_TC_Web!H$1:H$505,SMALL(IF(Create_TC_Web!$C$1:$C$505&lt;&gt;"",MATCH(ROW(Create_TC_Web!$C$1:$C$505),ROW(Create_TC_Web!$C$1:$C$505)),""),ROW(Create_TC_Web!F29))),"")</f>
        <v/>
      </c>
      <c r="F29" t="str" cm="1">
        <f t="array" ref="F29">IFERROR(INDEX(Create_TC_Web!I$1:I$505,SMALL(IF(Create_TC_Web!$C$1:$C$505&lt;&gt;"",MATCH(ROW(Create_TC_Web!$C$1:$C$505),ROW(Create_TC_Web!$C$1:$C$505)),""),ROW(Create_TC_Web!G29))),"")</f>
        <v/>
      </c>
      <c r="G29" t="str" cm="1">
        <f t="array" ref="G29">IFERROR(INDEX(Create_TC_Web!J$1:J$505,SMALL(IF(Create_TC_Web!$C$1:$C$505&lt;&gt;"",MATCH(ROW(Create_TC_Web!$C$1:$C$505),ROW(Create_TC_Web!$C$1:$C$505)),""),ROW(Create_TC_Web!H29))),"")</f>
        <v/>
      </c>
      <c r="H29" t="str" cm="1">
        <f t="array" ref="H29">IFERROR(INDEX(Create_TC_Web!K$1:K$505,SMALL(IF(Create_TC_Web!$C$1:$C$505&lt;&gt;"",MATCH(ROW(Create_TC_Web!$C$1:$C$505),ROW(Create_TC_Web!$C$1:$C$505)),""),ROW(Create_TC_Web!I29))),"")</f>
        <v/>
      </c>
      <c r="I29" t="str" cm="1">
        <f t="array" ref="I29">IFERROR(INDEX(Create_TC_Web!L$1:L$505,SMALL(IF(Create_TC_Web!$C$1:$C$505&lt;&gt;"",MATCH(ROW(Create_TC_Web!$C$1:$C$505),ROW(Create_TC_Web!$C$1:$C$505)),""),ROW(Create_TC_Web!J29))),"")</f>
        <v/>
      </c>
      <c r="J29" t="str" cm="1">
        <f t="array" ref="J29">IFERROR(INDEX(Create_TC_Web!M$1:M$505,SMALL(IF(Create_TC_Web!$C$1:$C$505&lt;&gt;"",MATCH(ROW(Create_TC_Web!$C$1:$C$505),ROW(Create_TC_Web!$C$1:$C$505)),""),ROW(Create_TC_Web!K29))),"")</f>
        <v/>
      </c>
      <c r="K29" t="str" cm="1">
        <f t="array" ref="K29">IFERROR(INDEX(Create_TC_Web!N$1:N$505,SMALL(IF(Create_TC_Web!$C$1:$C$505&lt;&gt;"",MATCH(ROW(Create_TC_Web!$C$1:$C$505),ROW(Create_TC_Web!$C$1:$C$505)),""),ROW(Create_TC_Web!L29))),"")</f>
        <v/>
      </c>
      <c r="L29" t="str" cm="1">
        <f t="array" ref="L29">IFERROR(INDEX(Create_TC_Web!O$1:O$505,SMALL(IF(Create_TC_Web!$C$1:$C$505&lt;&gt;"",MATCH(ROW(Create_TC_Web!$C$1:$C$505),ROW(Create_TC_Web!$C$1:$C$505)),""),ROW(Create_TC_Web!M29))),"")</f>
        <v/>
      </c>
      <c r="M29" t="str" cm="1">
        <f t="array" ref="M29">IFERROR(INDEX(Create_TC_Web!P$1:P$505,SMALL(IF(Create_TC_Web!$C$1:$C$505&lt;&gt;"",MATCH(ROW(Create_TC_Web!$C$1:$C$505),ROW(Create_TC_Web!$C$1:$C$505)),""),ROW(Create_TC_Web!N29))),"")</f>
        <v/>
      </c>
      <c r="N29">
        <f>Create_TC_Web!CA38</f>
        <v>0</v>
      </c>
      <c r="O29" t="str">
        <f t="shared" si="1"/>
        <v/>
      </c>
      <c r="P29" s="17">
        <f>Create_TC_Web!CI16</f>
        <v>0</v>
      </c>
      <c r="Q29" t="str">
        <f>IF(TestData!CB29&lt;&gt;0,TestData!CB29,"")</f>
        <v/>
      </c>
      <c r="R29" t="str">
        <f t="shared" si="5"/>
        <v/>
      </c>
      <c r="S29" t="str">
        <f t="shared" si="2"/>
        <v/>
      </c>
      <c r="X29" t="str">
        <f t="shared" si="0"/>
        <v/>
      </c>
      <c r="AE29" t="str">
        <f t="shared" si="3"/>
        <v/>
      </c>
    </row>
    <row r="30" spans="1:32">
      <c r="A30" t="str" cm="1">
        <f t="array" ref="A30">IFERROR(INDEX(Create_TC_Web!D$1:D$505,SMALL(IF(Create_TC_Web!$C$1:$C$505&lt;&gt;"",MATCH(ROW(Create_TC_Web!$C$1:$C$505),ROW(Create_TC_Web!$C$1:$C$505)),""),ROW(Create_TC_Web!B30))),"")</f>
        <v/>
      </c>
      <c r="B30" t="str" cm="1">
        <f t="array" ref="B30">SUBSTITUTE(SUBSTITUTE(SUBSTITUTE(IFERROR(INDEX(Create_TC_Web!E$1:E$505,SMALL(IF(Create_TC_Web!$C$1:$C$505&lt;&gt;"",MATCH(ROW(Create_TC_Web!$C$1:$C$505),ROW(Create_TC_Web!$C$1:$C$505)),""),ROW(Create_TC_Web!C30))),"")," ",""),"-",""),"_","")</f>
        <v/>
      </c>
      <c r="C30" t="str" cm="1">
        <f t="array" ref="C30">IFERROR(INDEX(Create_TC_Web!F$1:F$505,SMALL(IF(Create_TC_Web!$C$1:$C$505&lt;&gt;"",MATCH(ROW(Create_TC_Web!$C$1:$C$505),ROW(Create_TC_Web!$C$1:$C$505)),""),ROW(Create_TC_Web!D30))),"")</f>
        <v/>
      </c>
      <c r="D30" t="str" cm="1">
        <f t="array" ref="D30">IFERROR(INDEX(Create_TC_Web!G$1:G$505,SMALL(IF(Create_TC_Web!$C$1:$C$505&lt;&gt;"",MATCH(ROW(Create_TC_Web!$C$1:$C$505),ROW(Create_TC_Web!$C$1:$C$505)),""),ROW(Create_TC_Web!E30))),"")</f>
        <v/>
      </c>
      <c r="E30" t="str" cm="1">
        <f t="array" ref="E30">IFERROR(INDEX(Create_TC_Web!H$1:H$505,SMALL(IF(Create_TC_Web!$C$1:$C$505&lt;&gt;"",MATCH(ROW(Create_TC_Web!$C$1:$C$505),ROW(Create_TC_Web!$C$1:$C$505)),""),ROW(Create_TC_Web!F30))),"")</f>
        <v/>
      </c>
      <c r="F30" t="str" cm="1">
        <f t="array" ref="F30">IFERROR(INDEX(Create_TC_Web!I$1:I$505,SMALL(IF(Create_TC_Web!$C$1:$C$505&lt;&gt;"",MATCH(ROW(Create_TC_Web!$C$1:$C$505),ROW(Create_TC_Web!$C$1:$C$505)),""),ROW(Create_TC_Web!G30))),"")</f>
        <v/>
      </c>
      <c r="G30" t="str" cm="1">
        <f t="array" ref="G30">IFERROR(INDEX(Create_TC_Web!J$1:J$505,SMALL(IF(Create_TC_Web!$C$1:$C$505&lt;&gt;"",MATCH(ROW(Create_TC_Web!$C$1:$C$505),ROW(Create_TC_Web!$C$1:$C$505)),""),ROW(Create_TC_Web!H30))),"")</f>
        <v/>
      </c>
      <c r="H30" t="str" cm="1">
        <f t="array" ref="H30">IFERROR(INDEX(Create_TC_Web!K$1:K$505,SMALL(IF(Create_TC_Web!$C$1:$C$505&lt;&gt;"",MATCH(ROW(Create_TC_Web!$C$1:$C$505),ROW(Create_TC_Web!$C$1:$C$505)),""),ROW(Create_TC_Web!I30))),"")</f>
        <v/>
      </c>
      <c r="I30" t="str" cm="1">
        <f t="array" ref="I30">IFERROR(INDEX(Create_TC_Web!L$1:L$505,SMALL(IF(Create_TC_Web!$C$1:$C$505&lt;&gt;"",MATCH(ROW(Create_TC_Web!$C$1:$C$505),ROW(Create_TC_Web!$C$1:$C$505)),""),ROW(Create_TC_Web!J30))),"")</f>
        <v/>
      </c>
      <c r="J30" t="str" cm="1">
        <f t="array" ref="J30">IFERROR(INDEX(Create_TC_Web!M$1:M$505,SMALL(IF(Create_TC_Web!$C$1:$C$505&lt;&gt;"",MATCH(ROW(Create_TC_Web!$C$1:$C$505),ROW(Create_TC_Web!$C$1:$C$505)),""),ROW(Create_TC_Web!K30))),"")</f>
        <v/>
      </c>
      <c r="K30" t="str" cm="1">
        <f t="array" ref="K30">IFERROR(INDEX(Create_TC_Web!N$1:N$505,SMALL(IF(Create_TC_Web!$C$1:$C$505&lt;&gt;"",MATCH(ROW(Create_TC_Web!$C$1:$C$505),ROW(Create_TC_Web!$C$1:$C$505)),""),ROW(Create_TC_Web!L30))),"")</f>
        <v/>
      </c>
      <c r="L30" t="str" cm="1">
        <f t="array" ref="L30">IFERROR(INDEX(Create_TC_Web!O$1:O$505,SMALL(IF(Create_TC_Web!$C$1:$C$505&lt;&gt;"",MATCH(ROW(Create_TC_Web!$C$1:$C$505),ROW(Create_TC_Web!$C$1:$C$505)),""),ROW(Create_TC_Web!M30))),"")</f>
        <v/>
      </c>
      <c r="M30" t="str" cm="1">
        <f t="array" ref="M30">IFERROR(INDEX(Create_TC_Web!P$1:P$505,SMALL(IF(Create_TC_Web!$C$1:$C$505&lt;&gt;"",MATCH(ROW(Create_TC_Web!$C$1:$C$505),ROW(Create_TC_Web!$C$1:$C$505)),""),ROW(Create_TC_Web!N30))),"")</f>
        <v/>
      </c>
      <c r="N30">
        <f>Create_TC_Web!CA39</f>
        <v>0</v>
      </c>
      <c r="O30" t="str">
        <f t="shared" si="1"/>
        <v/>
      </c>
      <c r="P30" s="17">
        <f>Create_TC_Web!CI17</f>
        <v>0</v>
      </c>
      <c r="Q30" t="str">
        <f>IF(TestData!CB30&lt;&gt;0,TestData!CB30,"")</f>
        <v/>
      </c>
      <c r="R30" t="str">
        <f t="shared" si="5"/>
        <v/>
      </c>
      <c r="S30" t="str">
        <f t="shared" si="2"/>
        <v/>
      </c>
      <c r="X30" t="str">
        <f t="shared" si="0"/>
        <v/>
      </c>
      <c r="AE30" t="str">
        <f t="shared" si="3"/>
        <v/>
      </c>
    </row>
    <row r="31" spans="1:32">
      <c r="A31" t="str" cm="1">
        <f t="array" ref="A31">IFERROR(INDEX(Create_TC_Web!D$1:D$505,SMALL(IF(Create_TC_Web!$C$1:$C$505&lt;&gt;"",MATCH(ROW(Create_TC_Web!$C$1:$C$505),ROW(Create_TC_Web!$C$1:$C$505)),""),ROW(Create_TC_Web!B31))),"")</f>
        <v/>
      </c>
      <c r="B31" t="str" cm="1">
        <f t="array" ref="B31">SUBSTITUTE(SUBSTITUTE(SUBSTITUTE(IFERROR(INDEX(Create_TC_Web!E$1:E$505,SMALL(IF(Create_TC_Web!$C$1:$C$505&lt;&gt;"",MATCH(ROW(Create_TC_Web!$C$1:$C$505),ROW(Create_TC_Web!$C$1:$C$505)),""),ROW(Create_TC_Web!C31))),"")," ",""),"-",""),"_","")</f>
        <v/>
      </c>
      <c r="C31" t="str" cm="1">
        <f t="array" ref="C31">IFERROR(INDEX(Create_TC_Web!F$1:F$505,SMALL(IF(Create_TC_Web!$C$1:$C$505&lt;&gt;"",MATCH(ROW(Create_TC_Web!$C$1:$C$505),ROW(Create_TC_Web!$C$1:$C$505)),""),ROW(Create_TC_Web!D31))),"")</f>
        <v/>
      </c>
      <c r="D31" t="str" cm="1">
        <f t="array" ref="D31">IFERROR(INDEX(Create_TC_Web!G$1:G$505,SMALL(IF(Create_TC_Web!$C$1:$C$505&lt;&gt;"",MATCH(ROW(Create_TC_Web!$C$1:$C$505),ROW(Create_TC_Web!$C$1:$C$505)),""),ROW(Create_TC_Web!E31))),"")</f>
        <v/>
      </c>
      <c r="E31" t="str" cm="1">
        <f t="array" ref="E31">IFERROR(INDEX(Create_TC_Web!H$1:H$505,SMALL(IF(Create_TC_Web!$C$1:$C$505&lt;&gt;"",MATCH(ROW(Create_TC_Web!$C$1:$C$505),ROW(Create_TC_Web!$C$1:$C$505)),""),ROW(Create_TC_Web!F31))),"")</f>
        <v/>
      </c>
      <c r="F31" t="str" cm="1">
        <f t="array" ref="F31">IFERROR(INDEX(Create_TC_Web!I$1:I$505,SMALL(IF(Create_TC_Web!$C$1:$C$505&lt;&gt;"",MATCH(ROW(Create_TC_Web!$C$1:$C$505),ROW(Create_TC_Web!$C$1:$C$505)),""),ROW(Create_TC_Web!G31))),"")</f>
        <v/>
      </c>
      <c r="G31" t="str" cm="1">
        <f t="array" ref="G31">IFERROR(INDEX(Create_TC_Web!J$1:J$505,SMALL(IF(Create_TC_Web!$C$1:$C$505&lt;&gt;"",MATCH(ROW(Create_TC_Web!$C$1:$C$505),ROW(Create_TC_Web!$C$1:$C$505)),""),ROW(Create_TC_Web!H31))),"")</f>
        <v/>
      </c>
      <c r="H31" t="str" cm="1">
        <f t="array" ref="H31">IFERROR(INDEX(Create_TC_Web!K$1:K$505,SMALL(IF(Create_TC_Web!$C$1:$C$505&lt;&gt;"",MATCH(ROW(Create_TC_Web!$C$1:$C$505),ROW(Create_TC_Web!$C$1:$C$505)),""),ROW(Create_TC_Web!I31))),"")</f>
        <v/>
      </c>
      <c r="I31" t="str" cm="1">
        <f t="array" ref="I31">IFERROR(INDEX(Create_TC_Web!L$1:L$505,SMALL(IF(Create_TC_Web!$C$1:$C$505&lt;&gt;"",MATCH(ROW(Create_TC_Web!$C$1:$C$505),ROW(Create_TC_Web!$C$1:$C$505)),""),ROW(Create_TC_Web!J31))),"")</f>
        <v/>
      </c>
      <c r="J31" t="str" cm="1">
        <f t="array" ref="J31">IFERROR(INDEX(Create_TC_Web!M$1:M$505,SMALL(IF(Create_TC_Web!$C$1:$C$505&lt;&gt;"",MATCH(ROW(Create_TC_Web!$C$1:$C$505),ROW(Create_TC_Web!$C$1:$C$505)),""),ROW(Create_TC_Web!K31))),"")</f>
        <v/>
      </c>
      <c r="K31" t="str" cm="1">
        <f t="array" ref="K31">IFERROR(INDEX(Create_TC_Web!N$1:N$505,SMALL(IF(Create_TC_Web!$C$1:$C$505&lt;&gt;"",MATCH(ROW(Create_TC_Web!$C$1:$C$505),ROW(Create_TC_Web!$C$1:$C$505)),""),ROW(Create_TC_Web!L31))),"")</f>
        <v/>
      </c>
      <c r="L31" t="str" cm="1">
        <f t="array" ref="L31">IFERROR(INDEX(Create_TC_Web!O$1:O$505,SMALL(IF(Create_TC_Web!$C$1:$C$505&lt;&gt;"",MATCH(ROW(Create_TC_Web!$C$1:$C$505),ROW(Create_TC_Web!$C$1:$C$505)),""),ROW(Create_TC_Web!M31))),"")</f>
        <v/>
      </c>
      <c r="M31" t="str" cm="1">
        <f t="array" ref="M31">IFERROR(INDEX(Create_TC_Web!P$1:P$505,SMALL(IF(Create_TC_Web!$C$1:$C$505&lt;&gt;"",MATCH(ROW(Create_TC_Web!$C$1:$C$505),ROW(Create_TC_Web!$C$1:$C$505)),""),ROW(Create_TC_Web!N31))),"")</f>
        <v/>
      </c>
      <c r="N31">
        <f>Create_TC_Web!CA40</f>
        <v>0</v>
      </c>
      <c r="O31" t="str">
        <f t="shared" si="1"/>
        <v/>
      </c>
      <c r="P31" s="17">
        <f>Create_TC_Web!CI18</f>
        <v>0</v>
      </c>
      <c r="Q31" t="str">
        <f>IF(TestData!CB31&lt;&gt;0,TestData!CB31,"")</f>
        <v/>
      </c>
      <c r="R31" t="str">
        <f t="shared" si="5"/>
        <v/>
      </c>
      <c r="S31" t="str">
        <f t="shared" si="2"/>
        <v/>
      </c>
      <c r="X31" t="str">
        <f t="shared" si="0"/>
        <v/>
      </c>
      <c r="AE31" t="str">
        <f t="shared" si="3"/>
        <v/>
      </c>
    </row>
    <row r="32" spans="1:32">
      <c r="A32" t="str" cm="1">
        <f t="array" ref="A32">IFERROR(INDEX(Create_TC_Web!D$1:D$505,SMALL(IF(Create_TC_Web!$C$1:$C$505&lt;&gt;"",MATCH(ROW(Create_TC_Web!$C$1:$C$505),ROW(Create_TC_Web!$C$1:$C$505)),""),ROW(Create_TC_Web!B32))),"")</f>
        <v/>
      </c>
      <c r="B32" t="str" cm="1">
        <f t="array" ref="B32">SUBSTITUTE(SUBSTITUTE(SUBSTITUTE(IFERROR(INDEX(Create_TC_Web!E$1:E$505,SMALL(IF(Create_TC_Web!$C$1:$C$505&lt;&gt;"",MATCH(ROW(Create_TC_Web!$C$1:$C$505),ROW(Create_TC_Web!$C$1:$C$505)),""),ROW(Create_TC_Web!C32))),"")," ",""),"-",""),"_","")</f>
        <v/>
      </c>
      <c r="C32" t="str" cm="1">
        <f t="array" ref="C32">IFERROR(INDEX(Create_TC_Web!F$1:F$505,SMALL(IF(Create_TC_Web!$C$1:$C$505&lt;&gt;"",MATCH(ROW(Create_TC_Web!$C$1:$C$505),ROW(Create_TC_Web!$C$1:$C$505)),""),ROW(Create_TC_Web!D32))),"")</f>
        <v/>
      </c>
      <c r="D32" t="str" cm="1">
        <f t="array" ref="D32">IFERROR(INDEX(Create_TC_Web!G$1:G$505,SMALL(IF(Create_TC_Web!$C$1:$C$505&lt;&gt;"",MATCH(ROW(Create_TC_Web!$C$1:$C$505),ROW(Create_TC_Web!$C$1:$C$505)),""),ROW(Create_TC_Web!E32))),"")</f>
        <v/>
      </c>
      <c r="E32" t="str" cm="1">
        <f t="array" ref="E32">IFERROR(INDEX(Create_TC_Web!H$1:H$505,SMALL(IF(Create_TC_Web!$C$1:$C$505&lt;&gt;"",MATCH(ROW(Create_TC_Web!$C$1:$C$505),ROW(Create_TC_Web!$C$1:$C$505)),""),ROW(Create_TC_Web!F32))),"")</f>
        <v/>
      </c>
      <c r="F32" t="str" cm="1">
        <f t="array" ref="F32">IFERROR(INDEX(Create_TC_Web!I$1:I$505,SMALL(IF(Create_TC_Web!$C$1:$C$505&lt;&gt;"",MATCH(ROW(Create_TC_Web!$C$1:$C$505),ROW(Create_TC_Web!$C$1:$C$505)),""),ROW(Create_TC_Web!G32))),"")</f>
        <v/>
      </c>
      <c r="G32" t="str" cm="1">
        <f t="array" ref="G32">IFERROR(INDEX(Create_TC_Web!J$1:J$505,SMALL(IF(Create_TC_Web!$C$1:$C$505&lt;&gt;"",MATCH(ROW(Create_TC_Web!$C$1:$C$505),ROW(Create_TC_Web!$C$1:$C$505)),""),ROW(Create_TC_Web!H32))),"")</f>
        <v/>
      </c>
      <c r="H32" t="str" cm="1">
        <f t="array" ref="H32">IFERROR(INDEX(Create_TC_Web!K$1:K$505,SMALL(IF(Create_TC_Web!$C$1:$C$505&lt;&gt;"",MATCH(ROW(Create_TC_Web!$C$1:$C$505),ROW(Create_TC_Web!$C$1:$C$505)),""),ROW(Create_TC_Web!I32))),"")</f>
        <v/>
      </c>
      <c r="I32" t="str" cm="1">
        <f t="array" ref="I32">IFERROR(INDEX(Create_TC_Web!L$1:L$505,SMALL(IF(Create_TC_Web!$C$1:$C$505&lt;&gt;"",MATCH(ROW(Create_TC_Web!$C$1:$C$505),ROW(Create_TC_Web!$C$1:$C$505)),""),ROW(Create_TC_Web!J32))),"")</f>
        <v/>
      </c>
      <c r="J32" t="str" cm="1">
        <f t="array" ref="J32">IFERROR(INDEX(Create_TC_Web!M$1:M$505,SMALL(IF(Create_TC_Web!$C$1:$C$505&lt;&gt;"",MATCH(ROW(Create_TC_Web!$C$1:$C$505),ROW(Create_TC_Web!$C$1:$C$505)),""),ROW(Create_TC_Web!K32))),"")</f>
        <v/>
      </c>
      <c r="K32" t="str" cm="1">
        <f t="array" ref="K32">IFERROR(INDEX(Create_TC_Web!N$1:N$505,SMALL(IF(Create_TC_Web!$C$1:$C$505&lt;&gt;"",MATCH(ROW(Create_TC_Web!$C$1:$C$505),ROW(Create_TC_Web!$C$1:$C$505)),""),ROW(Create_TC_Web!L32))),"")</f>
        <v/>
      </c>
      <c r="L32" t="str" cm="1">
        <f t="array" ref="L32">IFERROR(INDEX(Create_TC_Web!O$1:O$505,SMALL(IF(Create_TC_Web!$C$1:$C$505&lt;&gt;"",MATCH(ROW(Create_TC_Web!$C$1:$C$505),ROW(Create_TC_Web!$C$1:$C$505)),""),ROW(Create_TC_Web!M32))),"")</f>
        <v/>
      </c>
      <c r="M32" t="str" cm="1">
        <f t="array" ref="M32">IFERROR(INDEX(Create_TC_Web!P$1:P$505,SMALL(IF(Create_TC_Web!$C$1:$C$505&lt;&gt;"",MATCH(ROW(Create_TC_Web!$C$1:$C$505),ROW(Create_TC_Web!$C$1:$C$505)),""),ROW(Create_TC_Web!N32))),"")</f>
        <v/>
      </c>
      <c r="N32">
        <f>Create_TC_Web!CA41</f>
        <v>0</v>
      </c>
      <c r="O32" t="str">
        <f t="shared" si="1"/>
        <v/>
      </c>
      <c r="P32" s="17">
        <f>Create_TC_Web!CI19</f>
        <v>0</v>
      </c>
      <c r="Q32" t="str">
        <f>IF(TestData!CB32&lt;&gt;0,TestData!CB32,"")</f>
        <v/>
      </c>
      <c r="R32" t="str">
        <f t="shared" si="5"/>
        <v/>
      </c>
      <c r="S32" t="str">
        <f t="shared" si="2"/>
        <v/>
      </c>
      <c r="X32" t="str">
        <f t="shared" si="0"/>
        <v/>
      </c>
      <c r="AE32" t="str">
        <f t="shared" si="3"/>
        <v/>
      </c>
    </row>
    <row r="33" spans="1:31">
      <c r="A33" t="str" cm="1">
        <f t="array" ref="A33">IFERROR(INDEX(Create_TC_Web!D$1:D$505,SMALL(IF(Create_TC_Web!$C$1:$C$505&lt;&gt;"",MATCH(ROW(Create_TC_Web!$C$1:$C$505),ROW(Create_TC_Web!$C$1:$C$505)),""),ROW(Create_TC_Web!B33))),"")</f>
        <v/>
      </c>
      <c r="B33" t="str" cm="1">
        <f t="array" ref="B33">SUBSTITUTE(SUBSTITUTE(SUBSTITUTE(IFERROR(INDEX(Create_TC_Web!E$1:E$505,SMALL(IF(Create_TC_Web!$C$1:$C$505&lt;&gt;"",MATCH(ROW(Create_TC_Web!$C$1:$C$505),ROW(Create_TC_Web!$C$1:$C$505)),""),ROW(Create_TC_Web!C33))),"")," ",""),"-",""),"_","")</f>
        <v/>
      </c>
      <c r="C33" t="str" cm="1">
        <f t="array" ref="C33">IFERROR(INDEX(Create_TC_Web!F$1:F$505,SMALL(IF(Create_TC_Web!$C$1:$C$505&lt;&gt;"",MATCH(ROW(Create_TC_Web!$C$1:$C$505),ROW(Create_TC_Web!$C$1:$C$505)),""),ROW(Create_TC_Web!D33))),"")</f>
        <v/>
      </c>
      <c r="D33" t="str" cm="1">
        <f t="array" ref="D33">IFERROR(INDEX(Create_TC_Web!G$1:G$505,SMALL(IF(Create_TC_Web!$C$1:$C$505&lt;&gt;"",MATCH(ROW(Create_TC_Web!$C$1:$C$505),ROW(Create_TC_Web!$C$1:$C$505)),""),ROW(Create_TC_Web!E33))),"")</f>
        <v/>
      </c>
      <c r="E33" t="str" cm="1">
        <f t="array" ref="E33">IFERROR(INDEX(Create_TC_Web!H$1:H$505,SMALL(IF(Create_TC_Web!$C$1:$C$505&lt;&gt;"",MATCH(ROW(Create_TC_Web!$C$1:$C$505),ROW(Create_TC_Web!$C$1:$C$505)),""),ROW(Create_TC_Web!F33))),"")</f>
        <v/>
      </c>
      <c r="F33" t="str" cm="1">
        <f t="array" ref="F33">IFERROR(INDEX(Create_TC_Web!I$1:I$505,SMALL(IF(Create_TC_Web!$C$1:$C$505&lt;&gt;"",MATCH(ROW(Create_TC_Web!$C$1:$C$505),ROW(Create_TC_Web!$C$1:$C$505)),""),ROW(Create_TC_Web!G33))),"")</f>
        <v/>
      </c>
      <c r="G33" t="str" cm="1">
        <f t="array" ref="G33">IFERROR(INDEX(Create_TC_Web!J$1:J$505,SMALL(IF(Create_TC_Web!$C$1:$C$505&lt;&gt;"",MATCH(ROW(Create_TC_Web!$C$1:$C$505),ROW(Create_TC_Web!$C$1:$C$505)),""),ROW(Create_TC_Web!H33))),"")</f>
        <v/>
      </c>
      <c r="H33" t="str" cm="1">
        <f t="array" ref="H33">IFERROR(INDEX(Create_TC_Web!K$1:K$505,SMALL(IF(Create_TC_Web!$C$1:$C$505&lt;&gt;"",MATCH(ROW(Create_TC_Web!$C$1:$C$505),ROW(Create_TC_Web!$C$1:$C$505)),""),ROW(Create_TC_Web!I33))),"")</f>
        <v/>
      </c>
      <c r="I33" t="str" cm="1">
        <f t="array" ref="I33">IFERROR(INDEX(Create_TC_Web!L$1:L$505,SMALL(IF(Create_TC_Web!$C$1:$C$505&lt;&gt;"",MATCH(ROW(Create_TC_Web!$C$1:$C$505),ROW(Create_TC_Web!$C$1:$C$505)),""),ROW(Create_TC_Web!J33))),"")</f>
        <v/>
      </c>
      <c r="J33" t="str" cm="1">
        <f t="array" ref="J33">IFERROR(INDEX(Create_TC_Web!M$1:M$505,SMALL(IF(Create_TC_Web!$C$1:$C$505&lt;&gt;"",MATCH(ROW(Create_TC_Web!$C$1:$C$505),ROW(Create_TC_Web!$C$1:$C$505)),""),ROW(Create_TC_Web!K33))),"")</f>
        <v/>
      </c>
      <c r="K33" t="str" cm="1">
        <f t="array" ref="K33">IFERROR(INDEX(Create_TC_Web!N$1:N$505,SMALL(IF(Create_TC_Web!$C$1:$C$505&lt;&gt;"",MATCH(ROW(Create_TC_Web!$C$1:$C$505),ROW(Create_TC_Web!$C$1:$C$505)),""),ROW(Create_TC_Web!L33))),"")</f>
        <v/>
      </c>
      <c r="L33" t="str" cm="1">
        <f t="array" ref="L33">IFERROR(INDEX(Create_TC_Web!O$1:O$505,SMALL(IF(Create_TC_Web!$C$1:$C$505&lt;&gt;"",MATCH(ROW(Create_TC_Web!$C$1:$C$505),ROW(Create_TC_Web!$C$1:$C$505)),""),ROW(Create_TC_Web!M33))),"")</f>
        <v/>
      </c>
      <c r="M33" t="str" cm="1">
        <f t="array" ref="M33">IFERROR(INDEX(Create_TC_Web!P$1:P$505,SMALL(IF(Create_TC_Web!$C$1:$C$505&lt;&gt;"",MATCH(ROW(Create_TC_Web!$C$1:$C$505),ROW(Create_TC_Web!$C$1:$C$505)),""),ROW(Create_TC_Web!N33))),"")</f>
        <v/>
      </c>
      <c r="N33">
        <f>Create_TC_Web!CA42</f>
        <v>0</v>
      </c>
      <c r="O33" t="str">
        <f t="shared" si="1"/>
        <v/>
      </c>
      <c r="P33" s="17">
        <f>Create_TC_Web!CI20</f>
        <v>0</v>
      </c>
      <c r="Q33" t="str">
        <f>IF(TestData!CB33&lt;&gt;0,TestData!CB33,"")</f>
        <v/>
      </c>
      <c r="R33" t="str">
        <f t="shared" si="5"/>
        <v/>
      </c>
      <c r="S33" t="str">
        <f t="shared" si="2"/>
        <v/>
      </c>
      <c r="X33" t="str">
        <f t="shared" si="0"/>
        <v/>
      </c>
      <c r="AE33" t="str">
        <f t="shared" si="3"/>
        <v/>
      </c>
    </row>
    <row r="34" spans="1:31">
      <c r="A34" t="str" cm="1">
        <f t="array" ref="A34">IFERROR(INDEX(Create_TC_Web!D$1:D$505,SMALL(IF(Create_TC_Web!$C$1:$C$505&lt;&gt;"",MATCH(ROW(Create_TC_Web!$C$1:$C$505),ROW(Create_TC_Web!$C$1:$C$505)),""),ROW(Create_TC_Web!B34))),"")</f>
        <v/>
      </c>
      <c r="B34" t="str" cm="1">
        <f t="array" ref="B34">SUBSTITUTE(SUBSTITUTE(SUBSTITUTE(IFERROR(INDEX(Create_TC_Web!E$1:E$505,SMALL(IF(Create_TC_Web!$C$1:$C$505&lt;&gt;"",MATCH(ROW(Create_TC_Web!$C$1:$C$505),ROW(Create_TC_Web!$C$1:$C$505)),""),ROW(Create_TC_Web!C34))),"")," ",""),"-",""),"_","")</f>
        <v/>
      </c>
      <c r="C34" t="str" cm="1">
        <f t="array" ref="C34">IFERROR(INDEX(Create_TC_Web!F$1:F$505,SMALL(IF(Create_TC_Web!$C$1:$C$505&lt;&gt;"",MATCH(ROW(Create_TC_Web!$C$1:$C$505),ROW(Create_TC_Web!$C$1:$C$505)),""),ROW(Create_TC_Web!D34))),"")</f>
        <v/>
      </c>
      <c r="D34" t="str" cm="1">
        <f t="array" ref="D34">IFERROR(INDEX(Create_TC_Web!G$1:G$505,SMALL(IF(Create_TC_Web!$C$1:$C$505&lt;&gt;"",MATCH(ROW(Create_TC_Web!$C$1:$C$505),ROW(Create_TC_Web!$C$1:$C$505)),""),ROW(Create_TC_Web!E34))),"")</f>
        <v/>
      </c>
      <c r="E34" t="str" cm="1">
        <f t="array" ref="E34">IFERROR(INDEX(Create_TC_Web!H$1:H$505,SMALL(IF(Create_TC_Web!$C$1:$C$505&lt;&gt;"",MATCH(ROW(Create_TC_Web!$C$1:$C$505),ROW(Create_TC_Web!$C$1:$C$505)),""),ROW(Create_TC_Web!F34))),"")</f>
        <v/>
      </c>
      <c r="F34" t="str" cm="1">
        <f t="array" ref="F34">IFERROR(INDEX(Create_TC_Web!I$1:I$505,SMALL(IF(Create_TC_Web!$C$1:$C$505&lt;&gt;"",MATCH(ROW(Create_TC_Web!$C$1:$C$505),ROW(Create_TC_Web!$C$1:$C$505)),""),ROW(Create_TC_Web!G34))),"")</f>
        <v/>
      </c>
      <c r="G34" t="str" cm="1">
        <f t="array" ref="G34">IFERROR(INDEX(Create_TC_Web!J$1:J$505,SMALL(IF(Create_TC_Web!$C$1:$C$505&lt;&gt;"",MATCH(ROW(Create_TC_Web!$C$1:$C$505),ROW(Create_TC_Web!$C$1:$C$505)),""),ROW(Create_TC_Web!H34))),"")</f>
        <v/>
      </c>
      <c r="H34" t="str" cm="1">
        <f t="array" ref="H34">IFERROR(INDEX(Create_TC_Web!K$1:K$505,SMALL(IF(Create_TC_Web!$C$1:$C$505&lt;&gt;"",MATCH(ROW(Create_TC_Web!$C$1:$C$505),ROW(Create_TC_Web!$C$1:$C$505)),""),ROW(Create_TC_Web!I34))),"")</f>
        <v/>
      </c>
      <c r="I34" t="str" cm="1">
        <f t="array" ref="I34">IFERROR(INDEX(Create_TC_Web!L$1:L$505,SMALL(IF(Create_TC_Web!$C$1:$C$505&lt;&gt;"",MATCH(ROW(Create_TC_Web!$C$1:$C$505),ROW(Create_TC_Web!$C$1:$C$505)),""),ROW(Create_TC_Web!J34))),"")</f>
        <v/>
      </c>
      <c r="J34" t="str" cm="1">
        <f t="array" ref="J34">IFERROR(INDEX(Create_TC_Web!M$1:M$505,SMALL(IF(Create_TC_Web!$C$1:$C$505&lt;&gt;"",MATCH(ROW(Create_TC_Web!$C$1:$C$505),ROW(Create_TC_Web!$C$1:$C$505)),""),ROW(Create_TC_Web!K34))),"")</f>
        <v/>
      </c>
      <c r="K34" t="str" cm="1">
        <f t="array" ref="K34">IFERROR(INDEX(Create_TC_Web!N$1:N$505,SMALL(IF(Create_TC_Web!$C$1:$C$505&lt;&gt;"",MATCH(ROW(Create_TC_Web!$C$1:$C$505),ROW(Create_TC_Web!$C$1:$C$505)),""),ROW(Create_TC_Web!L34))),"")</f>
        <v/>
      </c>
      <c r="L34" t="str" cm="1">
        <f t="array" ref="L34">IFERROR(INDEX(Create_TC_Web!O$1:O$505,SMALL(IF(Create_TC_Web!$C$1:$C$505&lt;&gt;"",MATCH(ROW(Create_TC_Web!$C$1:$C$505),ROW(Create_TC_Web!$C$1:$C$505)),""),ROW(Create_TC_Web!M34))),"")</f>
        <v/>
      </c>
      <c r="M34" t="str" cm="1">
        <f t="array" ref="M34">IFERROR(INDEX(Create_TC_Web!P$1:P$505,SMALL(IF(Create_TC_Web!$C$1:$C$505&lt;&gt;"",MATCH(ROW(Create_TC_Web!$C$1:$C$505),ROW(Create_TC_Web!$C$1:$C$505)),""),ROW(Create_TC_Web!N34))),"")</f>
        <v/>
      </c>
      <c r="N34">
        <f>Create_TC_Web!CA43</f>
        <v>0</v>
      </c>
      <c r="O34" t="str">
        <f t="shared" si="1"/>
        <v/>
      </c>
      <c r="P34" s="17">
        <f>Create_TC_Web!CI21</f>
        <v>0</v>
      </c>
      <c r="Q34" t="str">
        <f>IF(TestData!CB34&lt;&gt;0,TestData!CB34,"")</f>
        <v/>
      </c>
      <c r="R34" t="str">
        <f t="shared" si="5"/>
        <v/>
      </c>
      <c r="S34" t="str">
        <f t="shared" si="2"/>
        <v/>
      </c>
      <c r="X34" t="str">
        <f t="shared" si="0"/>
        <v/>
      </c>
      <c r="AE34" t="str">
        <f t="shared" si="3"/>
        <v/>
      </c>
    </row>
    <row r="35" spans="1:31">
      <c r="A35" t="str" cm="1">
        <f t="array" ref="A35">IFERROR(INDEX(Create_TC_Web!D$1:D$505,SMALL(IF(Create_TC_Web!$C$1:$C$505&lt;&gt;"",MATCH(ROW(Create_TC_Web!$C$1:$C$505),ROW(Create_TC_Web!$C$1:$C$505)),""),ROW(Create_TC_Web!B35))),"")</f>
        <v/>
      </c>
      <c r="B35" t="str" cm="1">
        <f t="array" ref="B35">SUBSTITUTE(SUBSTITUTE(SUBSTITUTE(IFERROR(INDEX(Create_TC_Web!E$1:E$505,SMALL(IF(Create_TC_Web!$C$1:$C$505&lt;&gt;"",MATCH(ROW(Create_TC_Web!$C$1:$C$505),ROW(Create_TC_Web!$C$1:$C$505)),""),ROW(Create_TC_Web!C35))),"")," ",""),"-",""),"_","")</f>
        <v/>
      </c>
      <c r="C35" t="str" cm="1">
        <f t="array" ref="C35">IFERROR(INDEX(Create_TC_Web!F$1:F$505,SMALL(IF(Create_TC_Web!$C$1:$C$505&lt;&gt;"",MATCH(ROW(Create_TC_Web!$C$1:$C$505),ROW(Create_TC_Web!$C$1:$C$505)),""),ROW(Create_TC_Web!D35))),"")</f>
        <v/>
      </c>
      <c r="D35" t="str" cm="1">
        <f t="array" ref="D35">IFERROR(INDEX(Create_TC_Web!G$1:G$505,SMALL(IF(Create_TC_Web!$C$1:$C$505&lt;&gt;"",MATCH(ROW(Create_TC_Web!$C$1:$C$505),ROW(Create_TC_Web!$C$1:$C$505)),""),ROW(Create_TC_Web!E35))),"")</f>
        <v/>
      </c>
      <c r="E35" t="str" cm="1">
        <f t="array" ref="E35">IFERROR(INDEX(Create_TC_Web!H$1:H$505,SMALL(IF(Create_TC_Web!$C$1:$C$505&lt;&gt;"",MATCH(ROW(Create_TC_Web!$C$1:$C$505),ROW(Create_TC_Web!$C$1:$C$505)),""),ROW(Create_TC_Web!F35))),"")</f>
        <v/>
      </c>
      <c r="F35" t="str" cm="1">
        <f t="array" ref="F35">IFERROR(INDEX(Create_TC_Web!I$1:I$505,SMALL(IF(Create_TC_Web!$C$1:$C$505&lt;&gt;"",MATCH(ROW(Create_TC_Web!$C$1:$C$505),ROW(Create_TC_Web!$C$1:$C$505)),""),ROW(Create_TC_Web!G35))),"")</f>
        <v/>
      </c>
      <c r="G35" t="str" cm="1">
        <f t="array" ref="G35">IFERROR(INDEX(Create_TC_Web!J$1:J$505,SMALL(IF(Create_TC_Web!$C$1:$C$505&lt;&gt;"",MATCH(ROW(Create_TC_Web!$C$1:$C$505),ROW(Create_TC_Web!$C$1:$C$505)),""),ROW(Create_TC_Web!H35))),"")</f>
        <v/>
      </c>
      <c r="H35" t="str" cm="1">
        <f t="array" ref="H35">IFERROR(INDEX(Create_TC_Web!K$1:K$505,SMALL(IF(Create_TC_Web!$C$1:$C$505&lt;&gt;"",MATCH(ROW(Create_TC_Web!$C$1:$C$505),ROW(Create_TC_Web!$C$1:$C$505)),""),ROW(Create_TC_Web!I35))),"")</f>
        <v/>
      </c>
      <c r="I35" t="str" cm="1">
        <f t="array" ref="I35">IFERROR(INDEX(Create_TC_Web!L$1:L$505,SMALL(IF(Create_TC_Web!$C$1:$C$505&lt;&gt;"",MATCH(ROW(Create_TC_Web!$C$1:$C$505),ROW(Create_TC_Web!$C$1:$C$505)),""),ROW(Create_TC_Web!J35))),"")</f>
        <v/>
      </c>
      <c r="J35" t="str" cm="1">
        <f t="array" ref="J35">IFERROR(INDEX(Create_TC_Web!M$1:M$505,SMALL(IF(Create_TC_Web!$C$1:$C$505&lt;&gt;"",MATCH(ROW(Create_TC_Web!$C$1:$C$505),ROW(Create_TC_Web!$C$1:$C$505)),""),ROW(Create_TC_Web!K35))),"")</f>
        <v/>
      </c>
      <c r="K35" t="str" cm="1">
        <f t="array" ref="K35">IFERROR(INDEX(Create_TC_Web!N$1:N$505,SMALL(IF(Create_TC_Web!$C$1:$C$505&lt;&gt;"",MATCH(ROW(Create_TC_Web!$C$1:$C$505),ROW(Create_TC_Web!$C$1:$C$505)),""),ROW(Create_TC_Web!L35))),"")</f>
        <v/>
      </c>
      <c r="L35" t="str" cm="1">
        <f t="array" ref="L35">IFERROR(INDEX(Create_TC_Web!O$1:O$505,SMALL(IF(Create_TC_Web!$C$1:$C$505&lt;&gt;"",MATCH(ROW(Create_TC_Web!$C$1:$C$505),ROW(Create_TC_Web!$C$1:$C$505)),""),ROW(Create_TC_Web!M35))),"")</f>
        <v/>
      </c>
      <c r="M35" t="str" cm="1">
        <f t="array" ref="M35">IFERROR(INDEX(Create_TC_Web!P$1:P$505,SMALL(IF(Create_TC_Web!$C$1:$C$505&lt;&gt;"",MATCH(ROW(Create_TC_Web!$C$1:$C$505),ROW(Create_TC_Web!$C$1:$C$505)),""),ROW(Create_TC_Web!N35))),"")</f>
        <v/>
      </c>
      <c r="N35">
        <f>Create_TC_Web!CA44</f>
        <v>0</v>
      </c>
      <c r="O35" t="str">
        <f t="shared" si="1"/>
        <v/>
      </c>
      <c r="P35" s="17">
        <f>Create_TC_Web!CI22</f>
        <v>0</v>
      </c>
      <c r="Q35" t="str">
        <f>IF(TestData!CB35&lt;&gt;0,TestData!CB35,"")</f>
        <v/>
      </c>
      <c r="R35" t="str">
        <f t="shared" si="5"/>
        <v/>
      </c>
      <c r="S35" t="str">
        <f t="shared" si="2"/>
        <v/>
      </c>
      <c r="X35" t="str">
        <f t="shared" si="0"/>
        <v/>
      </c>
      <c r="AE35" t="str">
        <f t="shared" si="3"/>
        <v/>
      </c>
    </row>
    <row r="36" spans="1:31">
      <c r="A36" t="str" cm="1">
        <f t="array" ref="A36">IFERROR(INDEX(Create_TC_Web!D$1:D$505,SMALL(IF(Create_TC_Web!$C$1:$C$505&lt;&gt;"",MATCH(ROW(Create_TC_Web!$C$1:$C$505),ROW(Create_TC_Web!$C$1:$C$505)),""),ROW(Create_TC_Web!B36))),"")</f>
        <v/>
      </c>
      <c r="B36" t="str" cm="1">
        <f t="array" ref="B36">SUBSTITUTE(SUBSTITUTE(SUBSTITUTE(IFERROR(INDEX(Create_TC_Web!E$1:E$505,SMALL(IF(Create_TC_Web!$C$1:$C$505&lt;&gt;"",MATCH(ROW(Create_TC_Web!$C$1:$C$505),ROW(Create_TC_Web!$C$1:$C$505)),""),ROW(Create_TC_Web!C36))),"")," ",""),"-",""),"_","")</f>
        <v/>
      </c>
      <c r="C36" t="str" cm="1">
        <f t="array" ref="C36">IFERROR(INDEX(Create_TC_Web!F$1:F$505,SMALL(IF(Create_TC_Web!$C$1:$C$505&lt;&gt;"",MATCH(ROW(Create_TC_Web!$C$1:$C$505),ROW(Create_TC_Web!$C$1:$C$505)),""),ROW(Create_TC_Web!D36))),"")</f>
        <v/>
      </c>
      <c r="D36" t="str" cm="1">
        <f t="array" ref="D36">IFERROR(INDEX(Create_TC_Web!G$1:G$505,SMALL(IF(Create_TC_Web!$C$1:$C$505&lt;&gt;"",MATCH(ROW(Create_TC_Web!$C$1:$C$505),ROW(Create_TC_Web!$C$1:$C$505)),""),ROW(Create_TC_Web!E36))),"")</f>
        <v/>
      </c>
      <c r="E36" t="str" cm="1">
        <f t="array" ref="E36">IFERROR(INDEX(Create_TC_Web!H$1:H$505,SMALL(IF(Create_TC_Web!$C$1:$C$505&lt;&gt;"",MATCH(ROW(Create_TC_Web!$C$1:$C$505),ROW(Create_TC_Web!$C$1:$C$505)),""),ROW(Create_TC_Web!F36))),"")</f>
        <v/>
      </c>
      <c r="F36" t="str" cm="1">
        <f t="array" ref="F36">IFERROR(INDEX(Create_TC_Web!I$1:I$505,SMALL(IF(Create_TC_Web!$C$1:$C$505&lt;&gt;"",MATCH(ROW(Create_TC_Web!$C$1:$C$505),ROW(Create_TC_Web!$C$1:$C$505)),""),ROW(Create_TC_Web!G36))),"")</f>
        <v/>
      </c>
      <c r="G36" t="str" cm="1">
        <f t="array" ref="G36">IFERROR(INDEX(Create_TC_Web!J$1:J$505,SMALL(IF(Create_TC_Web!$C$1:$C$505&lt;&gt;"",MATCH(ROW(Create_TC_Web!$C$1:$C$505),ROW(Create_TC_Web!$C$1:$C$505)),""),ROW(Create_TC_Web!H36))),"")</f>
        <v/>
      </c>
      <c r="H36" t="str" cm="1">
        <f t="array" ref="H36">IFERROR(INDEX(Create_TC_Web!K$1:K$505,SMALL(IF(Create_TC_Web!$C$1:$C$505&lt;&gt;"",MATCH(ROW(Create_TC_Web!$C$1:$C$505),ROW(Create_TC_Web!$C$1:$C$505)),""),ROW(Create_TC_Web!I36))),"")</f>
        <v/>
      </c>
      <c r="I36" t="str" cm="1">
        <f t="array" ref="I36">IFERROR(INDEX(Create_TC_Web!L$1:L$505,SMALL(IF(Create_TC_Web!$C$1:$C$505&lt;&gt;"",MATCH(ROW(Create_TC_Web!$C$1:$C$505),ROW(Create_TC_Web!$C$1:$C$505)),""),ROW(Create_TC_Web!J36))),"")</f>
        <v/>
      </c>
      <c r="J36" t="str" cm="1">
        <f t="array" ref="J36">IFERROR(INDEX(Create_TC_Web!M$1:M$505,SMALL(IF(Create_TC_Web!$C$1:$C$505&lt;&gt;"",MATCH(ROW(Create_TC_Web!$C$1:$C$505),ROW(Create_TC_Web!$C$1:$C$505)),""),ROW(Create_TC_Web!K36))),"")</f>
        <v/>
      </c>
      <c r="K36" t="str" cm="1">
        <f t="array" ref="K36">IFERROR(INDEX(Create_TC_Web!N$1:N$505,SMALL(IF(Create_TC_Web!$C$1:$C$505&lt;&gt;"",MATCH(ROW(Create_TC_Web!$C$1:$C$505),ROW(Create_TC_Web!$C$1:$C$505)),""),ROW(Create_TC_Web!L36))),"")</f>
        <v/>
      </c>
      <c r="L36" t="str" cm="1">
        <f t="array" ref="L36">IFERROR(INDEX(Create_TC_Web!O$1:O$505,SMALL(IF(Create_TC_Web!$C$1:$C$505&lt;&gt;"",MATCH(ROW(Create_TC_Web!$C$1:$C$505),ROW(Create_TC_Web!$C$1:$C$505)),""),ROW(Create_TC_Web!M36))),"")</f>
        <v/>
      </c>
      <c r="M36" t="str" cm="1">
        <f t="array" ref="M36">IFERROR(INDEX(Create_TC_Web!P$1:P$505,SMALL(IF(Create_TC_Web!$C$1:$C$505&lt;&gt;"",MATCH(ROW(Create_TC_Web!$C$1:$C$505),ROW(Create_TC_Web!$C$1:$C$505)),""),ROW(Create_TC_Web!N36))),"")</f>
        <v/>
      </c>
      <c r="N36">
        <f>Create_TC_Web!CA45</f>
        <v>0</v>
      </c>
      <c r="O36" t="str">
        <f t="shared" si="1"/>
        <v/>
      </c>
      <c r="P36" s="17">
        <f>Create_TC_Web!CI23</f>
        <v>0</v>
      </c>
      <c r="Q36" t="str">
        <f>IF(TestData!CB36&lt;&gt;0,TestData!CB36,"")</f>
        <v/>
      </c>
      <c r="R36" t="str">
        <f t="shared" si="5"/>
        <v/>
      </c>
      <c r="S36" t="str">
        <f t="shared" si="2"/>
        <v/>
      </c>
      <c r="X36" t="str">
        <f t="shared" si="0"/>
        <v/>
      </c>
      <c r="AE36" t="str">
        <f t="shared" si="3"/>
        <v/>
      </c>
    </row>
    <row r="37" spans="1:31">
      <c r="A37" t="str" cm="1">
        <f t="array" ref="A37">IFERROR(INDEX(Create_TC_Web!D$1:D$505,SMALL(IF(Create_TC_Web!$C$1:$C$505&lt;&gt;"",MATCH(ROW(Create_TC_Web!$C$1:$C$505),ROW(Create_TC_Web!$C$1:$C$505)),""),ROW(Create_TC_Web!B37))),"")</f>
        <v/>
      </c>
      <c r="B37" t="str" cm="1">
        <f t="array" ref="B37">SUBSTITUTE(SUBSTITUTE(SUBSTITUTE(IFERROR(INDEX(Create_TC_Web!E$1:E$505,SMALL(IF(Create_TC_Web!$C$1:$C$505&lt;&gt;"",MATCH(ROW(Create_TC_Web!$C$1:$C$505),ROW(Create_TC_Web!$C$1:$C$505)),""),ROW(Create_TC_Web!C37))),"")," ",""),"-",""),"_","")</f>
        <v/>
      </c>
      <c r="C37" t="str" cm="1">
        <f t="array" ref="C37">IFERROR(INDEX(Create_TC_Web!F$1:F$505,SMALL(IF(Create_TC_Web!$C$1:$C$505&lt;&gt;"",MATCH(ROW(Create_TC_Web!$C$1:$C$505),ROW(Create_TC_Web!$C$1:$C$505)),""),ROW(Create_TC_Web!D37))),"")</f>
        <v/>
      </c>
      <c r="D37" t="str" cm="1">
        <f t="array" ref="D37">IFERROR(INDEX(Create_TC_Web!G$1:G$505,SMALL(IF(Create_TC_Web!$C$1:$C$505&lt;&gt;"",MATCH(ROW(Create_TC_Web!$C$1:$C$505),ROW(Create_TC_Web!$C$1:$C$505)),""),ROW(Create_TC_Web!E37))),"")</f>
        <v/>
      </c>
      <c r="E37" t="str" cm="1">
        <f t="array" ref="E37">IFERROR(INDEX(Create_TC_Web!H$1:H$505,SMALL(IF(Create_TC_Web!$C$1:$C$505&lt;&gt;"",MATCH(ROW(Create_TC_Web!$C$1:$C$505),ROW(Create_TC_Web!$C$1:$C$505)),""),ROW(Create_TC_Web!F37))),"")</f>
        <v/>
      </c>
      <c r="F37" t="str" cm="1">
        <f t="array" ref="F37">IFERROR(INDEX(Create_TC_Web!I$1:I$505,SMALL(IF(Create_TC_Web!$C$1:$C$505&lt;&gt;"",MATCH(ROW(Create_TC_Web!$C$1:$C$505),ROW(Create_TC_Web!$C$1:$C$505)),""),ROW(Create_TC_Web!G37))),"")</f>
        <v/>
      </c>
      <c r="G37" t="str" cm="1">
        <f t="array" ref="G37">IFERROR(INDEX(Create_TC_Web!J$1:J$505,SMALL(IF(Create_TC_Web!$C$1:$C$505&lt;&gt;"",MATCH(ROW(Create_TC_Web!$C$1:$C$505),ROW(Create_TC_Web!$C$1:$C$505)),""),ROW(Create_TC_Web!H37))),"")</f>
        <v/>
      </c>
      <c r="H37" t="str" cm="1">
        <f t="array" ref="H37">IFERROR(INDEX(Create_TC_Web!K$1:K$505,SMALL(IF(Create_TC_Web!$C$1:$C$505&lt;&gt;"",MATCH(ROW(Create_TC_Web!$C$1:$C$505),ROW(Create_TC_Web!$C$1:$C$505)),""),ROW(Create_TC_Web!I37))),"")</f>
        <v/>
      </c>
      <c r="I37" t="str" cm="1">
        <f t="array" ref="I37">IFERROR(INDEX(Create_TC_Web!L$1:L$505,SMALL(IF(Create_TC_Web!$C$1:$C$505&lt;&gt;"",MATCH(ROW(Create_TC_Web!$C$1:$C$505),ROW(Create_TC_Web!$C$1:$C$505)),""),ROW(Create_TC_Web!J37))),"")</f>
        <v/>
      </c>
      <c r="J37" t="str" cm="1">
        <f t="array" ref="J37">IFERROR(INDEX(Create_TC_Web!M$1:M$505,SMALL(IF(Create_TC_Web!$C$1:$C$505&lt;&gt;"",MATCH(ROW(Create_TC_Web!$C$1:$C$505),ROW(Create_TC_Web!$C$1:$C$505)),""),ROW(Create_TC_Web!K37))),"")</f>
        <v/>
      </c>
      <c r="K37" t="str" cm="1">
        <f t="array" ref="K37">IFERROR(INDEX(Create_TC_Web!N$1:N$505,SMALL(IF(Create_TC_Web!$C$1:$C$505&lt;&gt;"",MATCH(ROW(Create_TC_Web!$C$1:$C$505),ROW(Create_TC_Web!$C$1:$C$505)),""),ROW(Create_TC_Web!L37))),"")</f>
        <v/>
      </c>
      <c r="L37" t="str" cm="1">
        <f t="array" ref="L37">IFERROR(INDEX(Create_TC_Web!O$1:O$505,SMALL(IF(Create_TC_Web!$C$1:$C$505&lt;&gt;"",MATCH(ROW(Create_TC_Web!$C$1:$C$505),ROW(Create_TC_Web!$C$1:$C$505)),""),ROW(Create_TC_Web!M37))),"")</f>
        <v/>
      </c>
      <c r="M37" t="str" cm="1">
        <f t="array" ref="M37">IFERROR(INDEX(Create_TC_Web!P$1:P$505,SMALL(IF(Create_TC_Web!$C$1:$C$505&lt;&gt;"",MATCH(ROW(Create_TC_Web!$C$1:$C$505),ROW(Create_TC_Web!$C$1:$C$505)),""),ROW(Create_TC_Web!N37))),"")</f>
        <v/>
      </c>
      <c r="N37">
        <f>Create_TC_Web!CA46</f>
        <v>0</v>
      </c>
      <c r="O37" t="str">
        <f t="shared" si="1"/>
        <v/>
      </c>
      <c r="P37" s="17">
        <f>Create_TC_Web!CI24</f>
        <v>0</v>
      </c>
      <c r="Q37" t="str">
        <f>IF(TestData!CB37&lt;&gt;0,TestData!CB37,"")</f>
        <v/>
      </c>
      <c r="R37" t="str">
        <f t="shared" si="5"/>
        <v/>
      </c>
      <c r="S37" t="str">
        <f t="shared" si="2"/>
        <v/>
      </c>
      <c r="X37" t="str">
        <f t="shared" si="0"/>
        <v/>
      </c>
      <c r="AE37" t="str">
        <f t="shared" si="3"/>
        <v/>
      </c>
    </row>
    <row r="38" spans="1:31">
      <c r="A38" t="str" cm="1">
        <f t="array" ref="A38">IFERROR(INDEX(Create_TC_Web!D$1:D$505,SMALL(IF(Create_TC_Web!$C$1:$C$505&lt;&gt;"",MATCH(ROW(Create_TC_Web!$C$1:$C$505),ROW(Create_TC_Web!$C$1:$C$505)),""),ROW(Create_TC_Web!B38))),"")</f>
        <v/>
      </c>
      <c r="B38" t="str" cm="1">
        <f t="array" ref="B38">SUBSTITUTE(SUBSTITUTE(SUBSTITUTE(IFERROR(INDEX(Create_TC_Web!E$1:E$505,SMALL(IF(Create_TC_Web!$C$1:$C$505&lt;&gt;"",MATCH(ROW(Create_TC_Web!$C$1:$C$505),ROW(Create_TC_Web!$C$1:$C$505)),""),ROW(Create_TC_Web!C38))),"")," ",""),"-",""),"_","")</f>
        <v/>
      </c>
      <c r="C38" t="str" cm="1">
        <f t="array" ref="C38">IFERROR(INDEX(Create_TC_Web!F$1:F$505,SMALL(IF(Create_TC_Web!$C$1:$C$505&lt;&gt;"",MATCH(ROW(Create_TC_Web!$C$1:$C$505),ROW(Create_TC_Web!$C$1:$C$505)),""),ROW(Create_TC_Web!D38))),"")</f>
        <v/>
      </c>
      <c r="D38" t="str" cm="1">
        <f t="array" ref="D38">IFERROR(INDEX(Create_TC_Web!G$1:G$505,SMALL(IF(Create_TC_Web!$C$1:$C$505&lt;&gt;"",MATCH(ROW(Create_TC_Web!$C$1:$C$505),ROW(Create_TC_Web!$C$1:$C$505)),""),ROW(Create_TC_Web!E38))),"")</f>
        <v/>
      </c>
      <c r="E38" t="str" cm="1">
        <f t="array" ref="E38">IFERROR(INDEX(Create_TC_Web!H$1:H$505,SMALL(IF(Create_TC_Web!$C$1:$C$505&lt;&gt;"",MATCH(ROW(Create_TC_Web!$C$1:$C$505),ROW(Create_TC_Web!$C$1:$C$505)),""),ROW(Create_TC_Web!F38))),"")</f>
        <v/>
      </c>
      <c r="F38" t="str" cm="1">
        <f t="array" ref="F38">IFERROR(INDEX(Create_TC_Web!I$1:I$505,SMALL(IF(Create_TC_Web!$C$1:$C$505&lt;&gt;"",MATCH(ROW(Create_TC_Web!$C$1:$C$505),ROW(Create_TC_Web!$C$1:$C$505)),""),ROW(Create_TC_Web!G38))),"")</f>
        <v/>
      </c>
      <c r="G38" t="str" cm="1">
        <f t="array" ref="G38">IFERROR(INDEX(Create_TC_Web!J$1:J$505,SMALL(IF(Create_TC_Web!$C$1:$C$505&lt;&gt;"",MATCH(ROW(Create_TC_Web!$C$1:$C$505),ROW(Create_TC_Web!$C$1:$C$505)),""),ROW(Create_TC_Web!H38))),"")</f>
        <v/>
      </c>
      <c r="H38" t="str" cm="1">
        <f t="array" ref="H38">IFERROR(INDEX(Create_TC_Web!K$1:K$505,SMALL(IF(Create_TC_Web!$C$1:$C$505&lt;&gt;"",MATCH(ROW(Create_TC_Web!$C$1:$C$505),ROW(Create_TC_Web!$C$1:$C$505)),""),ROW(Create_TC_Web!I38))),"")</f>
        <v/>
      </c>
      <c r="I38" t="str" cm="1">
        <f t="array" ref="I38">IFERROR(INDEX(Create_TC_Web!L$1:L$505,SMALL(IF(Create_TC_Web!$C$1:$C$505&lt;&gt;"",MATCH(ROW(Create_TC_Web!$C$1:$C$505),ROW(Create_TC_Web!$C$1:$C$505)),""),ROW(Create_TC_Web!J38))),"")</f>
        <v/>
      </c>
      <c r="J38" t="str" cm="1">
        <f t="array" ref="J38">IFERROR(INDEX(Create_TC_Web!M$1:M$505,SMALL(IF(Create_TC_Web!$C$1:$C$505&lt;&gt;"",MATCH(ROW(Create_TC_Web!$C$1:$C$505),ROW(Create_TC_Web!$C$1:$C$505)),""),ROW(Create_TC_Web!K38))),"")</f>
        <v/>
      </c>
      <c r="K38" t="str" cm="1">
        <f t="array" ref="K38">IFERROR(INDEX(Create_TC_Web!N$1:N$505,SMALL(IF(Create_TC_Web!$C$1:$C$505&lt;&gt;"",MATCH(ROW(Create_TC_Web!$C$1:$C$505),ROW(Create_TC_Web!$C$1:$C$505)),""),ROW(Create_TC_Web!L38))),"")</f>
        <v/>
      </c>
      <c r="L38" t="str" cm="1">
        <f t="array" ref="L38">IFERROR(INDEX(Create_TC_Web!O$1:O$505,SMALL(IF(Create_TC_Web!$C$1:$C$505&lt;&gt;"",MATCH(ROW(Create_TC_Web!$C$1:$C$505),ROW(Create_TC_Web!$C$1:$C$505)),""),ROW(Create_TC_Web!M38))),"")</f>
        <v/>
      </c>
      <c r="M38" t="str" cm="1">
        <f t="array" ref="M38">IFERROR(INDEX(Create_TC_Web!P$1:P$505,SMALL(IF(Create_TC_Web!$C$1:$C$505&lt;&gt;"",MATCH(ROW(Create_TC_Web!$C$1:$C$505),ROW(Create_TC_Web!$C$1:$C$505)),""),ROW(Create_TC_Web!N38))),"")</f>
        <v/>
      </c>
      <c r="N38">
        <f>Create_TC_Web!CA47</f>
        <v>0</v>
      </c>
      <c r="O38" t="str">
        <f t="shared" si="1"/>
        <v/>
      </c>
      <c r="P38" s="17">
        <f>Create_TC_Web!CI25</f>
        <v>0</v>
      </c>
      <c r="Q38" t="str">
        <f>IF(TestData!CB38&lt;&gt;0,TestData!CB38,"")</f>
        <v/>
      </c>
      <c r="R38" t="str">
        <f t="shared" si="5"/>
        <v/>
      </c>
      <c r="S38" t="str">
        <f t="shared" si="2"/>
        <v/>
      </c>
      <c r="X38" t="str">
        <f t="shared" si="0"/>
        <v/>
      </c>
      <c r="AE38" t="str">
        <f t="shared" si="3"/>
        <v/>
      </c>
    </row>
    <row r="39" spans="1:31">
      <c r="A39" t="str" cm="1">
        <f t="array" ref="A39">IFERROR(INDEX(Create_TC_Web!D$1:D$505,SMALL(IF(Create_TC_Web!$C$1:$C$505&lt;&gt;"",MATCH(ROW(Create_TC_Web!$C$1:$C$505),ROW(Create_TC_Web!$C$1:$C$505)),""),ROW(Create_TC_Web!B39))),"")</f>
        <v/>
      </c>
      <c r="B39" t="str" cm="1">
        <f t="array" ref="B39">SUBSTITUTE(SUBSTITUTE(SUBSTITUTE(IFERROR(INDEX(Create_TC_Web!E$1:E$505,SMALL(IF(Create_TC_Web!$C$1:$C$505&lt;&gt;"",MATCH(ROW(Create_TC_Web!$C$1:$C$505),ROW(Create_TC_Web!$C$1:$C$505)),""),ROW(Create_TC_Web!C39))),"")," ",""),"-",""),"_","")</f>
        <v/>
      </c>
      <c r="C39" t="str" cm="1">
        <f t="array" ref="C39">IFERROR(INDEX(Create_TC_Web!F$1:F$505,SMALL(IF(Create_TC_Web!$C$1:$C$505&lt;&gt;"",MATCH(ROW(Create_TC_Web!$C$1:$C$505),ROW(Create_TC_Web!$C$1:$C$505)),""),ROW(Create_TC_Web!D39))),"")</f>
        <v/>
      </c>
      <c r="D39" t="str" cm="1">
        <f t="array" ref="D39">IFERROR(INDEX(Create_TC_Web!G$1:G$505,SMALL(IF(Create_TC_Web!$C$1:$C$505&lt;&gt;"",MATCH(ROW(Create_TC_Web!$C$1:$C$505),ROW(Create_TC_Web!$C$1:$C$505)),""),ROW(Create_TC_Web!E39))),"")</f>
        <v/>
      </c>
      <c r="E39" t="str" cm="1">
        <f t="array" ref="E39">IFERROR(INDEX(Create_TC_Web!H$1:H$505,SMALL(IF(Create_TC_Web!$C$1:$C$505&lt;&gt;"",MATCH(ROW(Create_TC_Web!$C$1:$C$505),ROW(Create_TC_Web!$C$1:$C$505)),""),ROW(Create_TC_Web!F39))),"")</f>
        <v/>
      </c>
      <c r="F39" t="str" cm="1">
        <f t="array" ref="F39">IFERROR(INDEX(Create_TC_Web!I$1:I$505,SMALL(IF(Create_TC_Web!$C$1:$C$505&lt;&gt;"",MATCH(ROW(Create_TC_Web!$C$1:$C$505),ROW(Create_TC_Web!$C$1:$C$505)),""),ROW(Create_TC_Web!G39))),"")</f>
        <v/>
      </c>
      <c r="G39" t="str" cm="1">
        <f t="array" ref="G39">IFERROR(INDEX(Create_TC_Web!J$1:J$505,SMALL(IF(Create_TC_Web!$C$1:$C$505&lt;&gt;"",MATCH(ROW(Create_TC_Web!$C$1:$C$505),ROW(Create_TC_Web!$C$1:$C$505)),""),ROW(Create_TC_Web!H39))),"")</f>
        <v/>
      </c>
      <c r="H39" t="str" cm="1">
        <f t="array" ref="H39">IFERROR(INDEX(Create_TC_Web!K$1:K$505,SMALL(IF(Create_TC_Web!$C$1:$C$505&lt;&gt;"",MATCH(ROW(Create_TC_Web!$C$1:$C$505),ROW(Create_TC_Web!$C$1:$C$505)),""),ROW(Create_TC_Web!I39))),"")</f>
        <v/>
      </c>
      <c r="I39" t="str" cm="1">
        <f t="array" ref="I39">IFERROR(INDEX(Create_TC_Web!L$1:L$505,SMALL(IF(Create_TC_Web!$C$1:$C$505&lt;&gt;"",MATCH(ROW(Create_TC_Web!$C$1:$C$505),ROW(Create_TC_Web!$C$1:$C$505)),""),ROW(Create_TC_Web!J39))),"")</f>
        <v/>
      </c>
      <c r="J39" t="str" cm="1">
        <f t="array" ref="J39">IFERROR(INDEX(Create_TC_Web!M$1:M$505,SMALL(IF(Create_TC_Web!$C$1:$C$505&lt;&gt;"",MATCH(ROW(Create_TC_Web!$C$1:$C$505),ROW(Create_TC_Web!$C$1:$C$505)),""),ROW(Create_TC_Web!K39))),"")</f>
        <v/>
      </c>
      <c r="K39" t="str" cm="1">
        <f t="array" ref="K39">IFERROR(INDEX(Create_TC_Web!N$1:N$505,SMALL(IF(Create_TC_Web!$C$1:$C$505&lt;&gt;"",MATCH(ROW(Create_TC_Web!$C$1:$C$505),ROW(Create_TC_Web!$C$1:$C$505)),""),ROW(Create_TC_Web!L39))),"")</f>
        <v/>
      </c>
      <c r="L39" t="str" cm="1">
        <f t="array" ref="L39">IFERROR(INDEX(Create_TC_Web!O$1:O$505,SMALL(IF(Create_TC_Web!$C$1:$C$505&lt;&gt;"",MATCH(ROW(Create_TC_Web!$C$1:$C$505),ROW(Create_TC_Web!$C$1:$C$505)),""),ROW(Create_TC_Web!M39))),"")</f>
        <v/>
      </c>
      <c r="M39" t="str" cm="1">
        <f t="array" ref="M39">IFERROR(INDEX(Create_TC_Web!P$1:P$505,SMALL(IF(Create_TC_Web!$C$1:$C$505&lt;&gt;"",MATCH(ROW(Create_TC_Web!$C$1:$C$505),ROW(Create_TC_Web!$C$1:$C$505)),""),ROW(Create_TC_Web!N39))),"")</f>
        <v/>
      </c>
      <c r="N39">
        <f>Create_TC_Web!CA48</f>
        <v>0</v>
      </c>
      <c r="O39" t="str">
        <f t="shared" si="1"/>
        <v/>
      </c>
      <c r="P39" s="17">
        <f>Create_TC_Web!CI26</f>
        <v>0</v>
      </c>
      <c r="Q39" t="str">
        <f>IF(TestData!CB39&lt;&gt;0,TestData!CB39,"")</f>
        <v/>
      </c>
      <c r="R39" t="str">
        <f t="shared" si="5"/>
        <v/>
      </c>
      <c r="S39" t="str">
        <f t="shared" si="2"/>
        <v/>
      </c>
      <c r="X39" t="str">
        <f t="shared" si="0"/>
        <v/>
      </c>
      <c r="AE39" t="str">
        <f t="shared" si="3"/>
        <v/>
      </c>
    </row>
    <row r="40" spans="1:31">
      <c r="A40" t="str" cm="1">
        <f t="array" ref="A40">IFERROR(INDEX(Create_TC_Web!D$1:D$505,SMALL(IF(Create_TC_Web!$C$1:$C$505&lt;&gt;"",MATCH(ROW(Create_TC_Web!$C$1:$C$505),ROW(Create_TC_Web!$C$1:$C$505)),""),ROW(Create_TC_Web!B40))),"")</f>
        <v/>
      </c>
      <c r="B40" t="str" cm="1">
        <f t="array" ref="B40">SUBSTITUTE(SUBSTITUTE(SUBSTITUTE(IFERROR(INDEX(Create_TC_Web!E$1:E$505,SMALL(IF(Create_TC_Web!$C$1:$C$505&lt;&gt;"",MATCH(ROW(Create_TC_Web!$C$1:$C$505),ROW(Create_TC_Web!$C$1:$C$505)),""),ROW(Create_TC_Web!C40))),"")," ",""),"-",""),"_","")</f>
        <v/>
      </c>
      <c r="C40" t="str" cm="1">
        <f t="array" ref="C40">IFERROR(INDEX(Create_TC_Web!F$1:F$505,SMALL(IF(Create_TC_Web!$C$1:$C$505&lt;&gt;"",MATCH(ROW(Create_TC_Web!$C$1:$C$505),ROW(Create_TC_Web!$C$1:$C$505)),""),ROW(Create_TC_Web!D40))),"")</f>
        <v/>
      </c>
      <c r="D40" t="str" cm="1">
        <f t="array" ref="D40">IFERROR(INDEX(Create_TC_Web!G$1:G$505,SMALL(IF(Create_TC_Web!$C$1:$C$505&lt;&gt;"",MATCH(ROW(Create_TC_Web!$C$1:$C$505),ROW(Create_TC_Web!$C$1:$C$505)),""),ROW(Create_TC_Web!E40))),"")</f>
        <v/>
      </c>
      <c r="E40" t="str" cm="1">
        <f t="array" ref="E40">IFERROR(INDEX(Create_TC_Web!H$1:H$505,SMALL(IF(Create_TC_Web!$C$1:$C$505&lt;&gt;"",MATCH(ROW(Create_TC_Web!$C$1:$C$505),ROW(Create_TC_Web!$C$1:$C$505)),""),ROW(Create_TC_Web!F40))),"")</f>
        <v/>
      </c>
      <c r="F40" t="str" cm="1">
        <f t="array" ref="F40">IFERROR(INDEX(Create_TC_Web!I$1:I$505,SMALL(IF(Create_TC_Web!$C$1:$C$505&lt;&gt;"",MATCH(ROW(Create_TC_Web!$C$1:$C$505),ROW(Create_TC_Web!$C$1:$C$505)),""),ROW(Create_TC_Web!G40))),"")</f>
        <v/>
      </c>
      <c r="G40" t="str" cm="1">
        <f t="array" ref="G40">IFERROR(INDEX(Create_TC_Web!J$1:J$505,SMALL(IF(Create_TC_Web!$C$1:$C$505&lt;&gt;"",MATCH(ROW(Create_TC_Web!$C$1:$C$505),ROW(Create_TC_Web!$C$1:$C$505)),""),ROW(Create_TC_Web!H40))),"")</f>
        <v/>
      </c>
      <c r="H40" t="str" cm="1">
        <f t="array" ref="H40">IFERROR(INDEX(Create_TC_Web!K$1:K$505,SMALL(IF(Create_TC_Web!$C$1:$C$505&lt;&gt;"",MATCH(ROW(Create_TC_Web!$C$1:$C$505),ROW(Create_TC_Web!$C$1:$C$505)),""),ROW(Create_TC_Web!I40))),"")</f>
        <v/>
      </c>
      <c r="I40" t="str" cm="1">
        <f t="array" ref="I40">IFERROR(INDEX(Create_TC_Web!L$1:L$505,SMALL(IF(Create_TC_Web!$C$1:$C$505&lt;&gt;"",MATCH(ROW(Create_TC_Web!$C$1:$C$505),ROW(Create_TC_Web!$C$1:$C$505)),""),ROW(Create_TC_Web!J40))),"")</f>
        <v/>
      </c>
      <c r="J40" t="str" cm="1">
        <f t="array" ref="J40">IFERROR(INDEX(Create_TC_Web!M$1:M$505,SMALL(IF(Create_TC_Web!$C$1:$C$505&lt;&gt;"",MATCH(ROW(Create_TC_Web!$C$1:$C$505),ROW(Create_TC_Web!$C$1:$C$505)),""),ROW(Create_TC_Web!K40))),"")</f>
        <v/>
      </c>
      <c r="K40" t="str" cm="1">
        <f t="array" ref="K40">IFERROR(INDEX(Create_TC_Web!N$1:N$505,SMALL(IF(Create_TC_Web!$C$1:$C$505&lt;&gt;"",MATCH(ROW(Create_TC_Web!$C$1:$C$505),ROW(Create_TC_Web!$C$1:$C$505)),""),ROW(Create_TC_Web!L40))),"")</f>
        <v/>
      </c>
      <c r="L40" t="str" cm="1">
        <f t="array" ref="L40">IFERROR(INDEX(Create_TC_Web!O$1:O$505,SMALL(IF(Create_TC_Web!$C$1:$C$505&lt;&gt;"",MATCH(ROW(Create_TC_Web!$C$1:$C$505),ROW(Create_TC_Web!$C$1:$C$505)),""),ROW(Create_TC_Web!M40))),"")</f>
        <v/>
      </c>
      <c r="M40" t="str" cm="1">
        <f t="array" ref="M40">IFERROR(INDEX(Create_TC_Web!P$1:P$505,SMALL(IF(Create_TC_Web!$C$1:$C$505&lt;&gt;"",MATCH(ROW(Create_TC_Web!$C$1:$C$505),ROW(Create_TC_Web!$C$1:$C$505)),""),ROW(Create_TC_Web!N40))),"")</f>
        <v/>
      </c>
      <c r="N40">
        <f>Create_TC_Web!CA49</f>
        <v>0</v>
      </c>
      <c r="O40" t="str">
        <f t="shared" si="1"/>
        <v/>
      </c>
      <c r="P40" s="17">
        <f>Create_TC_Web!CI27</f>
        <v>0</v>
      </c>
      <c r="Q40" t="str">
        <f>IF(TestData!CB40&lt;&gt;0,TestData!CB40,"")</f>
        <v/>
      </c>
      <c r="R40" t="str">
        <f t="shared" si="5"/>
        <v/>
      </c>
      <c r="S40" t="str">
        <f t="shared" si="2"/>
        <v/>
      </c>
      <c r="X40" t="str">
        <f t="shared" si="0"/>
        <v/>
      </c>
      <c r="AE40" t="str">
        <f t="shared" si="3"/>
        <v/>
      </c>
    </row>
    <row r="41" spans="1:31">
      <c r="A41" t="str" cm="1">
        <f t="array" ref="A41">IFERROR(INDEX(Create_TC_Web!D$1:D$505,SMALL(IF(Create_TC_Web!$C$1:$C$505&lt;&gt;"",MATCH(ROW(Create_TC_Web!$C$1:$C$505),ROW(Create_TC_Web!$C$1:$C$505)),""),ROW(Create_TC_Web!B41))),"")</f>
        <v/>
      </c>
      <c r="B41" t="str" cm="1">
        <f t="array" ref="B41">SUBSTITUTE(SUBSTITUTE(SUBSTITUTE(IFERROR(INDEX(Create_TC_Web!E$1:E$505,SMALL(IF(Create_TC_Web!$C$1:$C$505&lt;&gt;"",MATCH(ROW(Create_TC_Web!$C$1:$C$505),ROW(Create_TC_Web!$C$1:$C$505)),""),ROW(Create_TC_Web!C41))),"")," ",""),"-",""),"_","")</f>
        <v/>
      </c>
      <c r="C41" t="str" cm="1">
        <f t="array" ref="C41">IFERROR(INDEX(Create_TC_Web!F$1:F$505,SMALL(IF(Create_TC_Web!$C$1:$C$505&lt;&gt;"",MATCH(ROW(Create_TC_Web!$C$1:$C$505),ROW(Create_TC_Web!$C$1:$C$505)),""),ROW(Create_TC_Web!D41))),"")</f>
        <v/>
      </c>
      <c r="D41" t="str" cm="1">
        <f t="array" ref="D41">IFERROR(INDEX(Create_TC_Web!G$1:G$505,SMALL(IF(Create_TC_Web!$C$1:$C$505&lt;&gt;"",MATCH(ROW(Create_TC_Web!$C$1:$C$505),ROW(Create_TC_Web!$C$1:$C$505)),""),ROW(Create_TC_Web!E41))),"")</f>
        <v/>
      </c>
      <c r="E41" t="str" cm="1">
        <f t="array" ref="E41">IFERROR(INDEX(Create_TC_Web!H$1:H$505,SMALL(IF(Create_TC_Web!$C$1:$C$505&lt;&gt;"",MATCH(ROW(Create_TC_Web!$C$1:$C$505),ROW(Create_TC_Web!$C$1:$C$505)),""),ROW(Create_TC_Web!F41))),"")</f>
        <v/>
      </c>
      <c r="F41" t="str" cm="1">
        <f t="array" ref="F41">IFERROR(INDEX(Create_TC_Web!I$1:I$505,SMALL(IF(Create_TC_Web!$C$1:$C$505&lt;&gt;"",MATCH(ROW(Create_TC_Web!$C$1:$C$505),ROW(Create_TC_Web!$C$1:$C$505)),""),ROW(Create_TC_Web!G41))),"")</f>
        <v/>
      </c>
      <c r="G41" t="str" cm="1">
        <f t="array" ref="G41">IFERROR(INDEX(Create_TC_Web!J$1:J$505,SMALL(IF(Create_TC_Web!$C$1:$C$505&lt;&gt;"",MATCH(ROW(Create_TC_Web!$C$1:$C$505),ROW(Create_TC_Web!$C$1:$C$505)),""),ROW(Create_TC_Web!H41))),"")</f>
        <v/>
      </c>
      <c r="H41" t="str" cm="1">
        <f t="array" ref="H41">IFERROR(INDEX(Create_TC_Web!K$1:K$505,SMALL(IF(Create_TC_Web!$C$1:$C$505&lt;&gt;"",MATCH(ROW(Create_TC_Web!$C$1:$C$505),ROW(Create_TC_Web!$C$1:$C$505)),""),ROW(Create_TC_Web!I41))),"")</f>
        <v/>
      </c>
      <c r="I41" t="str" cm="1">
        <f t="array" ref="I41">IFERROR(INDEX(Create_TC_Web!L$1:L$505,SMALL(IF(Create_TC_Web!$C$1:$C$505&lt;&gt;"",MATCH(ROW(Create_TC_Web!$C$1:$C$505),ROW(Create_TC_Web!$C$1:$C$505)),""),ROW(Create_TC_Web!J41))),"")</f>
        <v/>
      </c>
      <c r="J41" t="str" cm="1">
        <f t="array" ref="J41">IFERROR(INDEX(Create_TC_Web!M$1:M$505,SMALL(IF(Create_TC_Web!$C$1:$C$505&lt;&gt;"",MATCH(ROW(Create_TC_Web!$C$1:$C$505),ROW(Create_TC_Web!$C$1:$C$505)),""),ROW(Create_TC_Web!K41))),"")</f>
        <v/>
      </c>
      <c r="K41" t="str" cm="1">
        <f t="array" ref="K41">IFERROR(INDEX(Create_TC_Web!N$1:N$505,SMALL(IF(Create_TC_Web!$C$1:$C$505&lt;&gt;"",MATCH(ROW(Create_TC_Web!$C$1:$C$505),ROW(Create_TC_Web!$C$1:$C$505)),""),ROW(Create_TC_Web!L41))),"")</f>
        <v/>
      </c>
      <c r="L41" t="str" cm="1">
        <f t="array" ref="L41">IFERROR(INDEX(Create_TC_Web!O$1:O$505,SMALL(IF(Create_TC_Web!$C$1:$C$505&lt;&gt;"",MATCH(ROW(Create_TC_Web!$C$1:$C$505),ROW(Create_TC_Web!$C$1:$C$505)),""),ROW(Create_TC_Web!M41))),"")</f>
        <v/>
      </c>
      <c r="M41" t="str" cm="1">
        <f t="array" ref="M41">IFERROR(INDEX(Create_TC_Web!P$1:P$505,SMALL(IF(Create_TC_Web!$C$1:$C$505&lt;&gt;"",MATCH(ROW(Create_TC_Web!$C$1:$C$505),ROW(Create_TC_Web!$C$1:$C$505)),""),ROW(Create_TC_Web!N41))),"")</f>
        <v/>
      </c>
      <c r="N41">
        <f>Create_TC_Web!CA50</f>
        <v>0</v>
      </c>
      <c r="O41" t="str">
        <f t="shared" si="1"/>
        <v/>
      </c>
      <c r="P41" s="17">
        <f>Create_TC_Web!CI28</f>
        <v>0</v>
      </c>
      <c r="Q41" t="str">
        <f>IF(TestData!CB41&lt;&gt;0,TestData!CB41,"")</f>
        <v/>
      </c>
      <c r="R41" t="str">
        <f t="shared" si="5"/>
        <v/>
      </c>
      <c r="S41" t="str">
        <f t="shared" si="2"/>
        <v/>
      </c>
      <c r="X41" t="str">
        <f t="shared" si="0"/>
        <v/>
      </c>
      <c r="AE41" t="str">
        <f t="shared" si="3"/>
        <v/>
      </c>
    </row>
    <row r="42" spans="1:31">
      <c r="A42" t="str" cm="1">
        <f t="array" ref="A42">IFERROR(INDEX(Create_TC_Web!D$1:D$505,SMALL(IF(Create_TC_Web!$C$1:$C$505&lt;&gt;"",MATCH(ROW(Create_TC_Web!$C$1:$C$505),ROW(Create_TC_Web!$C$1:$C$505)),""),ROW(Create_TC_Web!B42))),"")</f>
        <v/>
      </c>
      <c r="B42" t="str" cm="1">
        <f t="array" ref="B42">SUBSTITUTE(SUBSTITUTE(SUBSTITUTE(IFERROR(INDEX(Create_TC_Web!E$1:E$505,SMALL(IF(Create_TC_Web!$C$1:$C$505&lt;&gt;"",MATCH(ROW(Create_TC_Web!$C$1:$C$505),ROW(Create_TC_Web!$C$1:$C$505)),""),ROW(Create_TC_Web!C42))),"")," ",""),"-",""),"_","")</f>
        <v/>
      </c>
      <c r="C42" t="str" cm="1">
        <f t="array" ref="C42">IFERROR(INDEX(Create_TC_Web!F$1:F$505,SMALL(IF(Create_TC_Web!$C$1:$C$505&lt;&gt;"",MATCH(ROW(Create_TC_Web!$C$1:$C$505),ROW(Create_TC_Web!$C$1:$C$505)),""),ROW(Create_TC_Web!D42))),"")</f>
        <v/>
      </c>
      <c r="D42" t="str" cm="1">
        <f t="array" ref="D42">IFERROR(INDEX(Create_TC_Web!G$1:G$505,SMALL(IF(Create_TC_Web!$C$1:$C$505&lt;&gt;"",MATCH(ROW(Create_TC_Web!$C$1:$C$505),ROW(Create_TC_Web!$C$1:$C$505)),""),ROW(Create_TC_Web!E42))),"")</f>
        <v/>
      </c>
      <c r="E42" t="str" cm="1">
        <f t="array" ref="E42">IFERROR(INDEX(Create_TC_Web!H$1:H$505,SMALL(IF(Create_TC_Web!$C$1:$C$505&lt;&gt;"",MATCH(ROW(Create_TC_Web!$C$1:$C$505),ROW(Create_TC_Web!$C$1:$C$505)),""),ROW(Create_TC_Web!F42))),"")</f>
        <v/>
      </c>
      <c r="F42" t="str" cm="1">
        <f t="array" ref="F42">IFERROR(INDEX(Create_TC_Web!I$1:I$505,SMALL(IF(Create_TC_Web!$C$1:$C$505&lt;&gt;"",MATCH(ROW(Create_TC_Web!$C$1:$C$505),ROW(Create_TC_Web!$C$1:$C$505)),""),ROW(Create_TC_Web!G42))),"")</f>
        <v/>
      </c>
      <c r="G42" t="str" cm="1">
        <f t="array" ref="G42">IFERROR(INDEX(Create_TC_Web!J$1:J$505,SMALL(IF(Create_TC_Web!$C$1:$C$505&lt;&gt;"",MATCH(ROW(Create_TC_Web!$C$1:$C$505),ROW(Create_TC_Web!$C$1:$C$505)),""),ROW(Create_TC_Web!H42))),"")</f>
        <v/>
      </c>
      <c r="H42" t="str" cm="1">
        <f t="array" ref="H42">IFERROR(INDEX(Create_TC_Web!K$1:K$505,SMALL(IF(Create_TC_Web!$C$1:$C$505&lt;&gt;"",MATCH(ROW(Create_TC_Web!$C$1:$C$505),ROW(Create_TC_Web!$C$1:$C$505)),""),ROW(Create_TC_Web!I42))),"")</f>
        <v/>
      </c>
      <c r="I42" t="str" cm="1">
        <f t="array" ref="I42">IFERROR(INDEX(Create_TC_Web!L$1:L$505,SMALL(IF(Create_TC_Web!$C$1:$C$505&lt;&gt;"",MATCH(ROW(Create_TC_Web!$C$1:$C$505),ROW(Create_TC_Web!$C$1:$C$505)),""),ROW(Create_TC_Web!J42))),"")</f>
        <v/>
      </c>
      <c r="J42" t="str" cm="1">
        <f t="array" ref="J42">IFERROR(INDEX(Create_TC_Web!M$1:M$505,SMALL(IF(Create_TC_Web!$C$1:$C$505&lt;&gt;"",MATCH(ROW(Create_TC_Web!$C$1:$C$505),ROW(Create_TC_Web!$C$1:$C$505)),""),ROW(Create_TC_Web!K42))),"")</f>
        <v/>
      </c>
      <c r="K42" t="str" cm="1">
        <f t="array" ref="K42">IFERROR(INDEX(Create_TC_Web!N$1:N$505,SMALL(IF(Create_TC_Web!$C$1:$C$505&lt;&gt;"",MATCH(ROW(Create_TC_Web!$C$1:$C$505),ROW(Create_TC_Web!$C$1:$C$505)),""),ROW(Create_TC_Web!L42))),"")</f>
        <v/>
      </c>
      <c r="L42" t="str" cm="1">
        <f t="array" ref="L42">IFERROR(INDEX(Create_TC_Web!O$1:O$505,SMALL(IF(Create_TC_Web!$C$1:$C$505&lt;&gt;"",MATCH(ROW(Create_TC_Web!$C$1:$C$505),ROW(Create_TC_Web!$C$1:$C$505)),""),ROW(Create_TC_Web!M42))),"")</f>
        <v/>
      </c>
      <c r="M42" t="str" cm="1">
        <f t="array" ref="M42">IFERROR(INDEX(Create_TC_Web!P$1:P$505,SMALL(IF(Create_TC_Web!$C$1:$C$505&lt;&gt;"",MATCH(ROW(Create_TC_Web!$C$1:$C$505),ROW(Create_TC_Web!$C$1:$C$505)),""),ROW(Create_TC_Web!N42))),"")</f>
        <v/>
      </c>
      <c r="N42">
        <f>Create_TC_Web!CA51</f>
        <v>0</v>
      </c>
      <c r="O42" t="str">
        <f t="shared" si="1"/>
        <v/>
      </c>
      <c r="P42" s="17">
        <f>Create_TC_Web!CI29</f>
        <v>0</v>
      </c>
      <c r="Q42" t="str">
        <f>IF(TestData!CB42&lt;&gt;0,TestData!CB42,"")</f>
        <v/>
      </c>
      <c r="R42" t="str">
        <f t="shared" si="5"/>
        <v/>
      </c>
      <c r="S42" t="str">
        <f t="shared" si="2"/>
        <v/>
      </c>
      <c r="X42" t="str">
        <f t="shared" si="0"/>
        <v/>
      </c>
      <c r="AE42" t="str">
        <f t="shared" si="3"/>
        <v/>
      </c>
    </row>
    <row r="43" spans="1:31">
      <c r="A43" t="str" cm="1">
        <f t="array" ref="A43">IFERROR(INDEX(Create_TC_Web!D$1:D$505,SMALL(IF(Create_TC_Web!$C$1:$C$505&lt;&gt;"",MATCH(ROW(Create_TC_Web!$C$1:$C$505),ROW(Create_TC_Web!$C$1:$C$505)),""),ROW(Create_TC_Web!B43))),"")</f>
        <v/>
      </c>
      <c r="B43" t="str" cm="1">
        <f t="array" ref="B43">SUBSTITUTE(SUBSTITUTE(SUBSTITUTE(IFERROR(INDEX(Create_TC_Web!E$1:E$505,SMALL(IF(Create_TC_Web!$C$1:$C$505&lt;&gt;"",MATCH(ROW(Create_TC_Web!$C$1:$C$505),ROW(Create_TC_Web!$C$1:$C$505)),""),ROW(Create_TC_Web!C43))),"")," ",""),"-",""),"_","")</f>
        <v/>
      </c>
      <c r="C43" t="str" cm="1">
        <f t="array" ref="C43">IFERROR(INDEX(Create_TC_Web!F$1:F$505,SMALL(IF(Create_TC_Web!$C$1:$C$505&lt;&gt;"",MATCH(ROW(Create_TC_Web!$C$1:$C$505),ROW(Create_TC_Web!$C$1:$C$505)),""),ROW(Create_TC_Web!D43))),"")</f>
        <v/>
      </c>
      <c r="D43" t="str" cm="1">
        <f t="array" ref="D43">IFERROR(INDEX(Create_TC_Web!G$1:G$505,SMALL(IF(Create_TC_Web!$C$1:$C$505&lt;&gt;"",MATCH(ROW(Create_TC_Web!$C$1:$C$505),ROW(Create_TC_Web!$C$1:$C$505)),""),ROW(Create_TC_Web!E43))),"")</f>
        <v/>
      </c>
      <c r="E43" t="str" cm="1">
        <f t="array" ref="E43">IFERROR(INDEX(Create_TC_Web!H$1:H$505,SMALL(IF(Create_TC_Web!$C$1:$C$505&lt;&gt;"",MATCH(ROW(Create_TC_Web!$C$1:$C$505),ROW(Create_TC_Web!$C$1:$C$505)),""),ROW(Create_TC_Web!F43))),"")</f>
        <v/>
      </c>
      <c r="F43" t="str" cm="1">
        <f t="array" ref="F43">IFERROR(INDEX(Create_TC_Web!I$1:I$505,SMALL(IF(Create_TC_Web!$C$1:$C$505&lt;&gt;"",MATCH(ROW(Create_TC_Web!$C$1:$C$505),ROW(Create_TC_Web!$C$1:$C$505)),""),ROW(Create_TC_Web!G43))),"")</f>
        <v/>
      </c>
      <c r="G43" t="str" cm="1">
        <f t="array" ref="G43">IFERROR(INDEX(Create_TC_Web!J$1:J$505,SMALL(IF(Create_TC_Web!$C$1:$C$505&lt;&gt;"",MATCH(ROW(Create_TC_Web!$C$1:$C$505),ROW(Create_TC_Web!$C$1:$C$505)),""),ROW(Create_TC_Web!H43))),"")</f>
        <v/>
      </c>
      <c r="H43" t="str" cm="1">
        <f t="array" ref="H43">IFERROR(INDEX(Create_TC_Web!K$1:K$505,SMALL(IF(Create_TC_Web!$C$1:$C$505&lt;&gt;"",MATCH(ROW(Create_TC_Web!$C$1:$C$505),ROW(Create_TC_Web!$C$1:$C$505)),""),ROW(Create_TC_Web!I43))),"")</f>
        <v/>
      </c>
      <c r="I43" t="str" cm="1">
        <f t="array" ref="I43">IFERROR(INDEX(Create_TC_Web!L$1:L$505,SMALL(IF(Create_TC_Web!$C$1:$C$505&lt;&gt;"",MATCH(ROW(Create_TC_Web!$C$1:$C$505),ROW(Create_TC_Web!$C$1:$C$505)),""),ROW(Create_TC_Web!J43))),"")</f>
        <v/>
      </c>
      <c r="J43" t="str" cm="1">
        <f t="array" ref="J43">IFERROR(INDEX(Create_TC_Web!M$1:M$505,SMALL(IF(Create_TC_Web!$C$1:$C$505&lt;&gt;"",MATCH(ROW(Create_TC_Web!$C$1:$C$505),ROW(Create_TC_Web!$C$1:$C$505)),""),ROW(Create_TC_Web!K43))),"")</f>
        <v/>
      </c>
      <c r="K43" t="str" cm="1">
        <f t="array" ref="K43">IFERROR(INDEX(Create_TC_Web!N$1:N$505,SMALL(IF(Create_TC_Web!$C$1:$C$505&lt;&gt;"",MATCH(ROW(Create_TC_Web!$C$1:$C$505),ROW(Create_TC_Web!$C$1:$C$505)),""),ROW(Create_TC_Web!L43))),"")</f>
        <v/>
      </c>
      <c r="L43" t="str" cm="1">
        <f t="array" ref="L43">IFERROR(INDEX(Create_TC_Web!O$1:O$505,SMALL(IF(Create_TC_Web!$C$1:$C$505&lt;&gt;"",MATCH(ROW(Create_TC_Web!$C$1:$C$505),ROW(Create_TC_Web!$C$1:$C$505)),""),ROW(Create_TC_Web!M43))),"")</f>
        <v/>
      </c>
      <c r="M43" t="str" cm="1">
        <f t="array" ref="M43">IFERROR(INDEX(Create_TC_Web!P$1:P$505,SMALL(IF(Create_TC_Web!$C$1:$C$505&lt;&gt;"",MATCH(ROW(Create_TC_Web!$C$1:$C$505),ROW(Create_TC_Web!$C$1:$C$505)),""),ROW(Create_TC_Web!N43))),"")</f>
        <v/>
      </c>
      <c r="N43">
        <f>Create_TC_Web!CA52</f>
        <v>0</v>
      </c>
      <c r="O43" t="str">
        <f t="shared" si="1"/>
        <v/>
      </c>
      <c r="P43" s="17">
        <f>Create_TC_Web!CI30</f>
        <v>0</v>
      </c>
      <c r="Q43" t="str">
        <f>IF(TestData!CB43&lt;&gt;0,TestData!CB43,"")</f>
        <v/>
      </c>
      <c r="R43" t="str">
        <f t="shared" si="5"/>
        <v/>
      </c>
      <c r="S43" t="str">
        <f t="shared" si="2"/>
        <v/>
      </c>
      <c r="X43" t="str">
        <f t="shared" si="0"/>
        <v/>
      </c>
      <c r="AE43" t="str">
        <f t="shared" si="3"/>
        <v/>
      </c>
    </row>
    <row r="44" spans="1:31">
      <c r="A44" t="str" cm="1">
        <f t="array" ref="A44">IFERROR(INDEX(Create_TC_Web!D$1:D$505,SMALL(IF(Create_TC_Web!$C$1:$C$505&lt;&gt;"",MATCH(ROW(Create_TC_Web!$C$1:$C$505),ROW(Create_TC_Web!$C$1:$C$505)),""),ROW(Create_TC_Web!B44))),"")</f>
        <v/>
      </c>
      <c r="B44" t="str" cm="1">
        <f t="array" ref="B44">SUBSTITUTE(SUBSTITUTE(SUBSTITUTE(IFERROR(INDEX(Create_TC_Web!E$1:E$505,SMALL(IF(Create_TC_Web!$C$1:$C$505&lt;&gt;"",MATCH(ROW(Create_TC_Web!$C$1:$C$505),ROW(Create_TC_Web!$C$1:$C$505)),""),ROW(Create_TC_Web!C44))),"")," ",""),"-",""),"_","")</f>
        <v/>
      </c>
      <c r="C44" t="str" cm="1">
        <f t="array" ref="C44">IFERROR(INDEX(Create_TC_Web!F$1:F$505,SMALL(IF(Create_TC_Web!$C$1:$C$505&lt;&gt;"",MATCH(ROW(Create_TC_Web!$C$1:$C$505),ROW(Create_TC_Web!$C$1:$C$505)),""),ROW(Create_TC_Web!D44))),"")</f>
        <v/>
      </c>
      <c r="D44" t="str" cm="1">
        <f t="array" ref="D44">IFERROR(INDEX(Create_TC_Web!G$1:G$505,SMALL(IF(Create_TC_Web!$C$1:$C$505&lt;&gt;"",MATCH(ROW(Create_TC_Web!$C$1:$C$505),ROW(Create_TC_Web!$C$1:$C$505)),""),ROW(Create_TC_Web!E44))),"")</f>
        <v/>
      </c>
      <c r="E44" t="str" cm="1">
        <f t="array" ref="E44">IFERROR(INDEX(Create_TC_Web!H$1:H$505,SMALL(IF(Create_TC_Web!$C$1:$C$505&lt;&gt;"",MATCH(ROW(Create_TC_Web!$C$1:$C$505),ROW(Create_TC_Web!$C$1:$C$505)),""),ROW(Create_TC_Web!F44))),"")</f>
        <v/>
      </c>
      <c r="F44" t="str" cm="1">
        <f t="array" ref="F44">IFERROR(INDEX(Create_TC_Web!I$1:I$505,SMALL(IF(Create_TC_Web!$C$1:$C$505&lt;&gt;"",MATCH(ROW(Create_TC_Web!$C$1:$C$505),ROW(Create_TC_Web!$C$1:$C$505)),""),ROW(Create_TC_Web!G44))),"")</f>
        <v/>
      </c>
      <c r="G44" t="str" cm="1">
        <f t="array" ref="G44">IFERROR(INDEX(Create_TC_Web!J$1:J$505,SMALL(IF(Create_TC_Web!$C$1:$C$505&lt;&gt;"",MATCH(ROW(Create_TC_Web!$C$1:$C$505),ROW(Create_TC_Web!$C$1:$C$505)),""),ROW(Create_TC_Web!H44))),"")</f>
        <v/>
      </c>
      <c r="H44" t="str" cm="1">
        <f t="array" ref="H44">IFERROR(INDEX(Create_TC_Web!K$1:K$505,SMALL(IF(Create_TC_Web!$C$1:$C$505&lt;&gt;"",MATCH(ROW(Create_TC_Web!$C$1:$C$505),ROW(Create_TC_Web!$C$1:$C$505)),""),ROW(Create_TC_Web!I44))),"")</f>
        <v/>
      </c>
      <c r="I44" t="str" cm="1">
        <f t="array" ref="I44">IFERROR(INDEX(Create_TC_Web!L$1:L$505,SMALL(IF(Create_TC_Web!$C$1:$C$505&lt;&gt;"",MATCH(ROW(Create_TC_Web!$C$1:$C$505),ROW(Create_TC_Web!$C$1:$C$505)),""),ROW(Create_TC_Web!J44))),"")</f>
        <v/>
      </c>
      <c r="J44" t="str" cm="1">
        <f t="array" ref="J44">IFERROR(INDEX(Create_TC_Web!M$1:M$505,SMALL(IF(Create_TC_Web!$C$1:$C$505&lt;&gt;"",MATCH(ROW(Create_TC_Web!$C$1:$C$505),ROW(Create_TC_Web!$C$1:$C$505)),""),ROW(Create_TC_Web!K44))),"")</f>
        <v/>
      </c>
      <c r="K44" t="str" cm="1">
        <f t="array" ref="K44">IFERROR(INDEX(Create_TC_Web!N$1:N$505,SMALL(IF(Create_TC_Web!$C$1:$C$505&lt;&gt;"",MATCH(ROW(Create_TC_Web!$C$1:$C$505),ROW(Create_TC_Web!$C$1:$C$505)),""),ROW(Create_TC_Web!L44))),"")</f>
        <v/>
      </c>
      <c r="L44" t="str" cm="1">
        <f t="array" ref="L44">IFERROR(INDEX(Create_TC_Web!O$1:O$505,SMALL(IF(Create_TC_Web!$C$1:$C$505&lt;&gt;"",MATCH(ROW(Create_TC_Web!$C$1:$C$505),ROW(Create_TC_Web!$C$1:$C$505)),""),ROW(Create_TC_Web!M44))),"")</f>
        <v/>
      </c>
      <c r="M44" t="str" cm="1">
        <f t="array" ref="M44">IFERROR(INDEX(Create_TC_Web!P$1:P$505,SMALL(IF(Create_TC_Web!$C$1:$C$505&lt;&gt;"",MATCH(ROW(Create_TC_Web!$C$1:$C$505),ROW(Create_TC_Web!$C$1:$C$505)),""),ROW(Create_TC_Web!N44))),"")</f>
        <v/>
      </c>
      <c r="N44">
        <f>Create_TC_Web!CA53</f>
        <v>0</v>
      </c>
      <c r="O44" t="str">
        <f t="shared" si="1"/>
        <v/>
      </c>
      <c r="P44" s="17">
        <f>Create_TC_Web!CI31</f>
        <v>0</v>
      </c>
      <c r="Q44" t="str">
        <f>IF(TestData!CB44&lt;&gt;0,TestData!CB44,"")</f>
        <v/>
      </c>
      <c r="R44" t="str">
        <f t="shared" si="5"/>
        <v/>
      </c>
      <c r="S44" t="str">
        <f t="shared" si="2"/>
        <v/>
      </c>
      <c r="X44" t="str">
        <f t="shared" si="0"/>
        <v/>
      </c>
      <c r="AE44" t="str">
        <f t="shared" si="3"/>
        <v/>
      </c>
    </row>
    <row r="45" spans="1:31">
      <c r="A45" t="str" cm="1">
        <f t="array" ref="A45">IFERROR(INDEX(Create_TC_Web!D$1:D$505,SMALL(IF(Create_TC_Web!$C$1:$C$505&lt;&gt;"",MATCH(ROW(Create_TC_Web!$C$1:$C$505),ROW(Create_TC_Web!$C$1:$C$505)),""),ROW(Create_TC_Web!B45))),"")</f>
        <v/>
      </c>
      <c r="B45" t="str" cm="1">
        <f t="array" ref="B45">SUBSTITUTE(SUBSTITUTE(SUBSTITUTE(IFERROR(INDEX(Create_TC_Web!E$1:E$505,SMALL(IF(Create_TC_Web!$C$1:$C$505&lt;&gt;"",MATCH(ROW(Create_TC_Web!$C$1:$C$505),ROW(Create_TC_Web!$C$1:$C$505)),""),ROW(Create_TC_Web!C45))),"")," ",""),"-",""),"_","")</f>
        <v/>
      </c>
      <c r="C45" t="str" cm="1">
        <f t="array" ref="C45">IFERROR(INDEX(Create_TC_Web!F$1:F$505,SMALL(IF(Create_TC_Web!$C$1:$C$505&lt;&gt;"",MATCH(ROW(Create_TC_Web!$C$1:$C$505),ROW(Create_TC_Web!$C$1:$C$505)),""),ROW(Create_TC_Web!D45))),"")</f>
        <v/>
      </c>
      <c r="D45" t="str" cm="1">
        <f t="array" ref="D45">IFERROR(INDEX(Create_TC_Web!G$1:G$505,SMALL(IF(Create_TC_Web!$C$1:$C$505&lt;&gt;"",MATCH(ROW(Create_TC_Web!$C$1:$C$505),ROW(Create_TC_Web!$C$1:$C$505)),""),ROW(Create_TC_Web!E45))),"")</f>
        <v/>
      </c>
      <c r="E45" t="str" cm="1">
        <f t="array" ref="E45">IFERROR(INDEX(Create_TC_Web!H$1:H$505,SMALL(IF(Create_TC_Web!$C$1:$C$505&lt;&gt;"",MATCH(ROW(Create_TC_Web!$C$1:$C$505),ROW(Create_TC_Web!$C$1:$C$505)),""),ROW(Create_TC_Web!F45))),"")</f>
        <v/>
      </c>
      <c r="F45" t="str" cm="1">
        <f t="array" ref="F45">IFERROR(INDEX(Create_TC_Web!I$1:I$505,SMALL(IF(Create_TC_Web!$C$1:$C$505&lt;&gt;"",MATCH(ROW(Create_TC_Web!$C$1:$C$505),ROW(Create_TC_Web!$C$1:$C$505)),""),ROW(Create_TC_Web!G45))),"")</f>
        <v/>
      </c>
      <c r="G45" t="str" cm="1">
        <f t="array" ref="G45">IFERROR(INDEX(Create_TC_Web!J$1:J$505,SMALL(IF(Create_TC_Web!$C$1:$C$505&lt;&gt;"",MATCH(ROW(Create_TC_Web!$C$1:$C$505),ROW(Create_TC_Web!$C$1:$C$505)),""),ROW(Create_TC_Web!H45))),"")</f>
        <v/>
      </c>
      <c r="H45" t="str" cm="1">
        <f t="array" ref="H45">IFERROR(INDEX(Create_TC_Web!K$1:K$505,SMALL(IF(Create_TC_Web!$C$1:$C$505&lt;&gt;"",MATCH(ROW(Create_TC_Web!$C$1:$C$505),ROW(Create_TC_Web!$C$1:$C$505)),""),ROW(Create_TC_Web!I45))),"")</f>
        <v/>
      </c>
      <c r="I45" t="str" cm="1">
        <f t="array" ref="I45">IFERROR(INDEX(Create_TC_Web!L$1:L$505,SMALL(IF(Create_TC_Web!$C$1:$C$505&lt;&gt;"",MATCH(ROW(Create_TC_Web!$C$1:$C$505),ROW(Create_TC_Web!$C$1:$C$505)),""),ROW(Create_TC_Web!J45))),"")</f>
        <v/>
      </c>
      <c r="J45" t="str" cm="1">
        <f t="array" ref="J45">IFERROR(INDEX(Create_TC_Web!M$1:M$505,SMALL(IF(Create_TC_Web!$C$1:$C$505&lt;&gt;"",MATCH(ROW(Create_TC_Web!$C$1:$C$505),ROW(Create_TC_Web!$C$1:$C$505)),""),ROW(Create_TC_Web!K45))),"")</f>
        <v/>
      </c>
      <c r="K45" t="str" cm="1">
        <f t="array" ref="K45">IFERROR(INDEX(Create_TC_Web!N$1:N$505,SMALL(IF(Create_TC_Web!$C$1:$C$505&lt;&gt;"",MATCH(ROW(Create_TC_Web!$C$1:$C$505),ROW(Create_TC_Web!$C$1:$C$505)),""),ROW(Create_TC_Web!L45))),"")</f>
        <v/>
      </c>
      <c r="L45" t="str" cm="1">
        <f t="array" ref="L45">IFERROR(INDEX(Create_TC_Web!O$1:O$505,SMALL(IF(Create_TC_Web!$C$1:$C$505&lt;&gt;"",MATCH(ROW(Create_TC_Web!$C$1:$C$505),ROW(Create_TC_Web!$C$1:$C$505)),""),ROW(Create_TC_Web!M45))),"")</f>
        <v/>
      </c>
      <c r="M45" t="str" cm="1">
        <f t="array" ref="M45">IFERROR(INDEX(Create_TC_Web!P$1:P$505,SMALL(IF(Create_TC_Web!$C$1:$C$505&lt;&gt;"",MATCH(ROW(Create_TC_Web!$C$1:$C$505),ROW(Create_TC_Web!$C$1:$C$505)),""),ROW(Create_TC_Web!N45))),"")</f>
        <v/>
      </c>
      <c r="N45">
        <f>Create_TC_Web!CA54</f>
        <v>0</v>
      </c>
      <c r="O45" t="str">
        <f t="shared" si="1"/>
        <v/>
      </c>
      <c r="P45" s="17">
        <f>Create_TC_Web!CI32</f>
        <v>0</v>
      </c>
      <c r="Q45" t="str">
        <f>IF(TestData!CB45&lt;&gt;0,TestData!CB45,"")</f>
        <v/>
      </c>
      <c r="R45" t="str">
        <f t="shared" si="5"/>
        <v/>
      </c>
      <c r="S45" t="str">
        <f t="shared" si="2"/>
        <v/>
      </c>
      <c r="X45" t="str">
        <f t="shared" si="0"/>
        <v/>
      </c>
      <c r="AE45" t="str">
        <f t="shared" si="3"/>
        <v/>
      </c>
    </row>
    <row r="46" spans="1:31">
      <c r="A46" t="str" cm="1">
        <f t="array" ref="A46">IFERROR(INDEX(Create_TC_Web!D$1:D$505,SMALL(IF(Create_TC_Web!$C$1:$C$505&lt;&gt;"",MATCH(ROW(Create_TC_Web!$C$1:$C$505),ROW(Create_TC_Web!$C$1:$C$505)),""),ROW(Create_TC_Web!B46))),"")</f>
        <v/>
      </c>
      <c r="B46" t="str" cm="1">
        <f t="array" ref="B46">SUBSTITUTE(SUBSTITUTE(SUBSTITUTE(IFERROR(INDEX(Create_TC_Web!E$1:E$505,SMALL(IF(Create_TC_Web!$C$1:$C$505&lt;&gt;"",MATCH(ROW(Create_TC_Web!$C$1:$C$505),ROW(Create_TC_Web!$C$1:$C$505)),""),ROW(Create_TC_Web!C46))),"")," ",""),"-",""),"_","")</f>
        <v/>
      </c>
      <c r="C46" t="str" cm="1">
        <f t="array" ref="C46">IFERROR(INDEX(Create_TC_Web!F$1:F$505,SMALL(IF(Create_TC_Web!$C$1:$C$505&lt;&gt;"",MATCH(ROW(Create_TC_Web!$C$1:$C$505),ROW(Create_TC_Web!$C$1:$C$505)),""),ROW(Create_TC_Web!D46))),"")</f>
        <v/>
      </c>
      <c r="D46" t="str" cm="1">
        <f t="array" ref="D46">IFERROR(INDEX(Create_TC_Web!G$1:G$505,SMALL(IF(Create_TC_Web!$C$1:$C$505&lt;&gt;"",MATCH(ROW(Create_TC_Web!$C$1:$C$505),ROW(Create_TC_Web!$C$1:$C$505)),""),ROW(Create_TC_Web!E46))),"")</f>
        <v/>
      </c>
      <c r="E46" t="str" cm="1">
        <f t="array" ref="E46">IFERROR(INDEX(Create_TC_Web!H$1:H$505,SMALL(IF(Create_TC_Web!$C$1:$C$505&lt;&gt;"",MATCH(ROW(Create_TC_Web!$C$1:$C$505),ROW(Create_TC_Web!$C$1:$C$505)),""),ROW(Create_TC_Web!F46))),"")</f>
        <v/>
      </c>
      <c r="F46" t="str" cm="1">
        <f t="array" ref="F46">IFERROR(INDEX(Create_TC_Web!I$1:I$505,SMALL(IF(Create_TC_Web!$C$1:$C$505&lt;&gt;"",MATCH(ROW(Create_TC_Web!$C$1:$C$505),ROW(Create_TC_Web!$C$1:$C$505)),""),ROW(Create_TC_Web!G46))),"")</f>
        <v/>
      </c>
      <c r="G46" t="str" cm="1">
        <f t="array" ref="G46">IFERROR(INDEX(Create_TC_Web!J$1:J$505,SMALL(IF(Create_TC_Web!$C$1:$C$505&lt;&gt;"",MATCH(ROW(Create_TC_Web!$C$1:$C$505),ROW(Create_TC_Web!$C$1:$C$505)),""),ROW(Create_TC_Web!H46))),"")</f>
        <v/>
      </c>
      <c r="H46" t="str" cm="1">
        <f t="array" ref="H46">IFERROR(INDEX(Create_TC_Web!K$1:K$505,SMALL(IF(Create_TC_Web!$C$1:$C$505&lt;&gt;"",MATCH(ROW(Create_TC_Web!$C$1:$C$505),ROW(Create_TC_Web!$C$1:$C$505)),""),ROW(Create_TC_Web!I46))),"")</f>
        <v/>
      </c>
      <c r="I46" t="str" cm="1">
        <f t="array" ref="I46">IFERROR(INDEX(Create_TC_Web!L$1:L$505,SMALL(IF(Create_TC_Web!$C$1:$C$505&lt;&gt;"",MATCH(ROW(Create_TC_Web!$C$1:$C$505),ROW(Create_TC_Web!$C$1:$C$505)),""),ROW(Create_TC_Web!J46))),"")</f>
        <v/>
      </c>
      <c r="J46" t="str" cm="1">
        <f t="array" ref="J46">IFERROR(INDEX(Create_TC_Web!M$1:M$505,SMALL(IF(Create_TC_Web!$C$1:$C$505&lt;&gt;"",MATCH(ROW(Create_TC_Web!$C$1:$C$505),ROW(Create_TC_Web!$C$1:$C$505)),""),ROW(Create_TC_Web!K46))),"")</f>
        <v/>
      </c>
      <c r="K46" t="str" cm="1">
        <f t="array" ref="K46">IFERROR(INDEX(Create_TC_Web!N$1:N$505,SMALL(IF(Create_TC_Web!$C$1:$C$505&lt;&gt;"",MATCH(ROW(Create_TC_Web!$C$1:$C$505),ROW(Create_TC_Web!$C$1:$C$505)),""),ROW(Create_TC_Web!L46))),"")</f>
        <v/>
      </c>
      <c r="L46" t="str" cm="1">
        <f t="array" ref="L46">IFERROR(INDEX(Create_TC_Web!O$1:O$505,SMALL(IF(Create_TC_Web!$C$1:$C$505&lt;&gt;"",MATCH(ROW(Create_TC_Web!$C$1:$C$505),ROW(Create_TC_Web!$C$1:$C$505)),""),ROW(Create_TC_Web!M46))),"")</f>
        <v/>
      </c>
      <c r="M46" t="str" cm="1">
        <f t="array" ref="M46">IFERROR(INDEX(Create_TC_Web!P$1:P$505,SMALL(IF(Create_TC_Web!$C$1:$C$505&lt;&gt;"",MATCH(ROW(Create_TC_Web!$C$1:$C$505),ROW(Create_TC_Web!$C$1:$C$505)),""),ROW(Create_TC_Web!N46))),"")</f>
        <v/>
      </c>
      <c r="N46">
        <f>Create_TC_Web!CA55</f>
        <v>0</v>
      </c>
      <c r="O46" t="str">
        <f t="shared" si="1"/>
        <v/>
      </c>
      <c r="P46" s="17">
        <f>Create_TC_Web!CI33</f>
        <v>0</v>
      </c>
      <c r="Q46" t="str">
        <f>IF(TestData!CB46&lt;&gt;0,TestData!CB46,"")</f>
        <v/>
      </c>
      <c r="R46" t="str">
        <f t="shared" si="5"/>
        <v/>
      </c>
      <c r="S46" t="str">
        <f t="shared" si="2"/>
        <v/>
      </c>
      <c r="X46" t="str">
        <f t="shared" si="0"/>
        <v/>
      </c>
      <c r="AE46" t="str">
        <f t="shared" si="3"/>
        <v/>
      </c>
    </row>
    <row r="47" spans="1:31">
      <c r="A47" t="str" cm="1">
        <f t="array" ref="A47">IFERROR(INDEX(Create_TC_Web!D$1:D$505,SMALL(IF(Create_TC_Web!$C$1:$C$505&lt;&gt;"",MATCH(ROW(Create_TC_Web!$C$1:$C$505),ROW(Create_TC_Web!$C$1:$C$505)),""),ROW(Create_TC_Web!B47))),"")</f>
        <v/>
      </c>
      <c r="B47" t="str" cm="1">
        <f t="array" ref="B47">SUBSTITUTE(SUBSTITUTE(SUBSTITUTE(IFERROR(INDEX(Create_TC_Web!E$1:E$505,SMALL(IF(Create_TC_Web!$C$1:$C$505&lt;&gt;"",MATCH(ROW(Create_TC_Web!$C$1:$C$505),ROW(Create_TC_Web!$C$1:$C$505)),""),ROW(Create_TC_Web!C47))),"")," ",""),"-",""),"_","")</f>
        <v/>
      </c>
      <c r="C47" t="str" cm="1">
        <f t="array" ref="C47">IFERROR(INDEX(Create_TC_Web!F$1:F$505,SMALL(IF(Create_TC_Web!$C$1:$C$505&lt;&gt;"",MATCH(ROW(Create_TC_Web!$C$1:$C$505),ROW(Create_TC_Web!$C$1:$C$505)),""),ROW(Create_TC_Web!D47))),"")</f>
        <v/>
      </c>
      <c r="D47" t="str" cm="1">
        <f t="array" ref="D47">IFERROR(INDEX(Create_TC_Web!G$1:G$505,SMALL(IF(Create_TC_Web!$C$1:$C$505&lt;&gt;"",MATCH(ROW(Create_TC_Web!$C$1:$C$505),ROW(Create_TC_Web!$C$1:$C$505)),""),ROW(Create_TC_Web!E47))),"")</f>
        <v/>
      </c>
      <c r="E47" t="str" cm="1">
        <f t="array" ref="E47">IFERROR(INDEX(Create_TC_Web!H$1:H$505,SMALL(IF(Create_TC_Web!$C$1:$C$505&lt;&gt;"",MATCH(ROW(Create_TC_Web!$C$1:$C$505),ROW(Create_TC_Web!$C$1:$C$505)),""),ROW(Create_TC_Web!F47))),"")</f>
        <v/>
      </c>
      <c r="F47" t="str" cm="1">
        <f t="array" ref="F47">IFERROR(INDEX(Create_TC_Web!I$1:I$505,SMALL(IF(Create_TC_Web!$C$1:$C$505&lt;&gt;"",MATCH(ROW(Create_TC_Web!$C$1:$C$505),ROW(Create_TC_Web!$C$1:$C$505)),""),ROW(Create_TC_Web!G47))),"")</f>
        <v/>
      </c>
      <c r="G47" t="str" cm="1">
        <f t="array" ref="G47">IFERROR(INDEX(Create_TC_Web!J$1:J$505,SMALL(IF(Create_TC_Web!$C$1:$C$505&lt;&gt;"",MATCH(ROW(Create_TC_Web!$C$1:$C$505),ROW(Create_TC_Web!$C$1:$C$505)),""),ROW(Create_TC_Web!H47))),"")</f>
        <v/>
      </c>
      <c r="H47" t="str" cm="1">
        <f t="array" ref="H47">IFERROR(INDEX(Create_TC_Web!K$1:K$505,SMALL(IF(Create_TC_Web!$C$1:$C$505&lt;&gt;"",MATCH(ROW(Create_TC_Web!$C$1:$C$505),ROW(Create_TC_Web!$C$1:$C$505)),""),ROW(Create_TC_Web!I47))),"")</f>
        <v/>
      </c>
      <c r="I47" t="str" cm="1">
        <f t="array" ref="I47">IFERROR(INDEX(Create_TC_Web!L$1:L$505,SMALL(IF(Create_TC_Web!$C$1:$C$505&lt;&gt;"",MATCH(ROW(Create_TC_Web!$C$1:$C$505),ROW(Create_TC_Web!$C$1:$C$505)),""),ROW(Create_TC_Web!J47))),"")</f>
        <v/>
      </c>
      <c r="J47" t="str" cm="1">
        <f t="array" ref="J47">IFERROR(INDEX(Create_TC_Web!M$1:M$505,SMALL(IF(Create_TC_Web!$C$1:$C$505&lt;&gt;"",MATCH(ROW(Create_TC_Web!$C$1:$C$505),ROW(Create_TC_Web!$C$1:$C$505)),""),ROW(Create_TC_Web!K47))),"")</f>
        <v/>
      </c>
      <c r="K47" t="str" cm="1">
        <f t="array" ref="K47">IFERROR(INDEX(Create_TC_Web!N$1:N$505,SMALL(IF(Create_TC_Web!$C$1:$C$505&lt;&gt;"",MATCH(ROW(Create_TC_Web!$C$1:$C$505),ROW(Create_TC_Web!$C$1:$C$505)),""),ROW(Create_TC_Web!L47))),"")</f>
        <v/>
      </c>
      <c r="L47" t="str" cm="1">
        <f t="array" ref="L47">IFERROR(INDEX(Create_TC_Web!O$1:O$505,SMALL(IF(Create_TC_Web!$C$1:$C$505&lt;&gt;"",MATCH(ROW(Create_TC_Web!$C$1:$C$505),ROW(Create_TC_Web!$C$1:$C$505)),""),ROW(Create_TC_Web!M47))),"")</f>
        <v/>
      </c>
      <c r="M47" t="str" cm="1">
        <f t="array" ref="M47">IFERROR(INDEX(Create_TC_Web!P$1:P$505,SMALL(IF(Create_TC_Web!$C$1:$C$505&lt;&gt;"",MATCH(ROW(Create_TC_Web!$C$1:$C$505),ROW(Create_TC_Web!$C$1:$C$505)),""),ROW(Create_TC_Web!N47))),"")</f>
        <v/>
      </c>
      <c r="N47">
        <f>Create_TC_Web!CA56</f>
        <v>0</v>
      </c>
      <c r="O47" t="str">
        <f t="shared" si="1"/>
        <v/>
      </c>
      <c r="P47" s="17">
        <f>Create_TC_Web!CI34</f>
        <v>0</v>
      </c>
      <c r="Q47" t="str">
        <f>IF(TestData!CB47&lt;&gt;0,TestData!CB47,"")</f>
        <v/>
      </c>
      <c r="R47" t="str">
        <f t="shared" ref="R47:R66" si="6">IF(OR(R48="},",R48="}]"),LEFT(O46,LEN(O46)-1),O46)</f>
        <v/>
      </c>
      <c r="S47" t="str">
        <f t="shared" si="2"/>
        <v/>
      </c>
      <c r="X47" t="str">
        <f t="shared" si="0"/>
        <v/>
      </c>
      <c r="AE47" t="str">
        <f t="shared" si="3"/>
        <v/>
      </c>
    </row>
    <row r="48" spans="1:31">
      <c r="A48" t="str" cm="1">
        <f t="array" ref="A48">IFERROR(INDEX(Create_TC_Web!D$1:D$505,SMALL(IF(Create_TC_Web!$C$1:$C$505&lt;&gt;"",MATCH(ROW(Create_TC_Web!$C$1:$C$505),ROW(Create_TC_Web!$C$1:$C$505)),""),ROW(Create_TC_Web!B48))),"")</f>
        <v/>
      </c>
      <c r="B48" t="str" cm="1">
        <f t="array" ref="B48">SUBSTITUTE(SUBSTITUTE(SUBSTITUTE(IFERROR(INDEX(Create_TC_Web!E$1:E$505,SMALL(IF(Create_TC_Web!$C$1:$C$505&lt;&gt;"",MATCH(ROW(Create_TC_Web!$C$1:$C$505),ROW(Create_TC_Web!$C$1:$C$505)),""),ROW(Create_TC_Web!C48))),"")," ",""),"-",""),"_","")</f>
        <v/>
      </c>
      <c r="C48" t="str" cm="1">
        <f t="array" ref="C48">IFERROR(INDEX(Create_TC_Web!F$1:F$505,SMALL(IF(Create_TC_Web!$C$1:$C$505&lt;&gt;"",MATCH(ROW(Create_TC_Web!$C$1:$C$505),ROW(Create_TC_Web!$C$1:$C$505)),""),ROW(Create_TC_Web!D48))),"")</f>
        <v/>
      </c>
      <c r="D48" t="str" cm="1">
        <f t="array" ref="D48">IFERROR(INDEX(Create_TC_Web!G$1:G$505,SMALL(IF(Create_TC_Web!$C$1:$C$505&lt;&gt;"",MATCH(ROW(Create_TC_Web!$C$1:$C$505),ROW(Create_TC_Web!$C$1:$C$505)),""),ROW(Create_TC_Web!E48))),"")</f>
        <v/>
      </c>
      <c r="E48" t="str" cm="1">
        <f t="array" ref="E48">IFERROR(INDEX(Create_TC_Web!H$1:H$505,SMALL(IF(Create_TC_Web!$C$1:$C$505&lt;&gt;"",MATCH(ROW(Create_TC_Web!$C$1:$C$505),ROW(Create_TC_Web!$C$1:$C$505)),""),ROW(Create_TC_Web!F48))),"")</f>
        <v/>
      </c>
      <c r="F48" t="str" cm="1">
        <f t="array" ref="F48">IFERROR(INDEX(Create_TC_Web!I$1:I$505,SMALL(IF(Create_TC_Web!$C$1:$C$505&lt;&gt;"",MATCH(ROW(Create_TC_Web!$C$1:$C$505),ROW(Create_TC_Web!$C$1:$C$505)),""),ROW(Create_TC_Web!G48))),"")</f>
        <v/>
      </c>
      <c r="G48" t="str" cm="1">
        <f t="array" ref="G48">IFERROR(INDEX(Create_TC_Web!J$1:J$505,SMALL(IF(Create_TC_Web!$C$1:$C$505&lt;&gt;"",MATCH(ROW(Create_TC_Web!$C$1:$C$505),ROW(Create_TC_Web!$C$1:$C$505)),""),ROW(Create_TC_Web!H48))),"")</f>
        <v/>
      </c>
      <c r="H48" t="str" cm="1">
        <f t="array" ref="H48">IFERROR(INDEX(Create_TC_Web!K$1:K$505,SMALL(IF(Create_TC_Web!$C$1:$C$505&lt;&gt;"",MATCH(ROW(Create_TC_Web!$C$1:$C$505),ROW(Create_TC_Web!$C$1:$C$505)),""),ROW(Create_TC_Web!I48))),"")</f>
        <v/>
      </c>
      <c r="I48" t="str" cm="1">
        <f t="array" ref="I48">IFERROR(INDEX(Create_TC_Web!L$1:L$505,SMALL(IF(Create_TC_Web!$C$1:$C$505&lt;&gt;"",MATCH(ROW(Create_TC_Web!$C$1:$C$505),ROW(Create_TC_Web!$C$1:$C$505)),""),ROW(Create_TC_Web!J48))),"")</f>
        <v/>
      </c>
      <c r="J48" t="str" cm="1">
        <f t="array" ref="J48">IFERROR(INDEX(Create_TC_Web!M$1:M$505,SMALL(IF(Create_TC_Web!$C$1:$C$505&lt;&gt;"",MATCH(ROW(Create_TC_Web!$C$1:$C$505),ROW(Create_TC_Web!$C$1:$C$505)),""),ROW(Create_TC_Web!K48))),"")</f>
        <v/>
      </c>
      <c r="K48" t="str" cm="1">
        <f t="array" ref="K48">IFERROR(INDEX(Create_TC_Web!N$1:N$505,SMALL(IF(Create_TC_Web!$C$1:$C$505&lt;&gt;"",MATCH(ROW(Create_TC_Web!$C$1:$C$505),ROW(Create_TC_Web!$C$1:$C$505)),""),ROW(Create_TC_Web!L48))),"")</f>
        <v/>
      </c>
      <c r="L48" t="str" cm="1">
        <f t="array" ref="L48">IFERROR(INDEX(Create_TC_Web!O$1:O$505,SMALL(IF(Create_TC_Web!$C$1:$C$505&lt;&gt;"",MATCH(ROW(Create_TC_Web!$C$1:$C$505),ROW(Create_TC_Web!$C$1:$C$505)),""),ROW(Create_TC_Web!M48))),"")</f>
        <v/>
      </c>
      <c r="M48" t="str" cm="1">
        <f t="array" ref="M48">IFERROR(INDEX(Create_TC_Web!P$1:P$505,SMALL(IF(Create_TC_Web!$C$1:$C$505&lt;&gt;"",MATCH(ROW(Create_TC_Web!$C$1:$C$505),ROW(Create_TC_Web!$C$1:$C$505)),""),ROW(Create_TC_Web!N48))),"")</f>
        <v/>
      </c>
      <c r="N48">
        <f>Create_TC_Web!CA57</f>
        <v>0</v>
      </c>
      <c r="O48" t="str">
        <f t="shared" si="1"/>
        <v/>
      </c>
      <c r="P48" s="17">
        <f>Create_TC_Web!CI35</f>
        <v>0</v>
      </c>
      <c r="Q48" t="str">
        <f>IF(TestData!CB48&lt;&gt;0,TestData!CB48,"")</f>
        <v/>
      </c>
      <c r="R48" t="str">
        <f t="shared" si="6"/>
        <v/>
      </c>
      <c r="S48" t="str">
        <f t="shared" si="2"/>
        <v/>
      </c>
      <c r="X48" t="str">
        <f t="shared" si="0"/>
        <v/>
      </c>
      <c r="AE48" t="str">
        <f t="shared" si="3"/>
        <v/>
      </c>
    </row>
    <row r="49" spans="1:31">
      <c r="A49" t="str" cm="1">
        <f t="array" ref="A49">IFERROR(INDEX(Create_TC_Web!D$1:D$505,SMALL(IF(Create_TC_Web!$C$1:$C$505&lt;&gt;"",MATCH(ROW(Create_TC_Web!$C$1:$C$505),ROW(Create_TC_Web!$C$1:$C$505)),""),ROW(Create_TC_Web!B49))),"")</f>
        <v/>
      </c>
      <c r="B49" t="str" cm="1">
        <f t="array" ref="B49">SUBSTITUTE(SUBSTITUTE(SUBSTITUTE(IFERROR(INDEX(Create_TC_Web!E$1:E$505,SMALL(IF(Create_TC_Web!$C$1:$C$505&lt;&gt;"",MATCH(ROW(Create_TC_Web!$C$1:$C$505),ROW(Create_TC_Web!$C$1:$C$505)),""),ROW(Create_TC_Web!C49))),"")," ",""),"-",""),"_","")</f>
        <v/>
      </c>
      <c r="C49" t="str" cm="1">
        <f t="array" ref="C49">IFERROR(INDEX(Create_TC_Web!F$1:F$505,SMALL(IF(Create_TC_Web!$C$1:$C$505&lt;&gt;"",MATCH(ROW(Create_TC_Web!$C$1:$C$505),ROW(Create_TC_Web!$C$1:$C$505)),""),ROW(Create_TC_Web!D49))),"")</f>
        <v/>
      </c>
      <c r="D49" t="str" cm="1">
        <f t="array" ref="D49">IFERROR(INDEX(Create_TC_Web!G$1:G$505,SMALL(IF(Create_TC_Web!$C$1:$C$505&lt;&gt;"",MATCH(ROW(Create_TC_Web!$C$1:$C$505),ROW(Create_TC_Web!$C$1:$C$505)),""),ROW(Create_TC_Web!E49))),"")</f>
        <v/>
      </c>
      <c r="E49" t="str" cm="1">
        <f t="array" ref="E49">IFERROR(INDEX(Create_TC_Web!H$1:H$505,SMALL(IF(Create_TC_Web!$C$1:$C$505&lt;&gt;"",MATCH(ROW(Create_TC_Web!$C$1:$C$505),ROW(Create_TC_Web!$C$1:$C$505)),""),ROW(Create_TC_Web!F49))),"")</f>
        <v/>
      </c>
      <c r="F49" t="str" cm="1">
        <f t="array" ref="F49">IFERROR(INDEX(Create_TC_Web!I$1:I$505,SMALL(IF(Create_TC_Web!$C$1:$C$505&lt;&gt;"",MATCH(ROW(Create_TC_Web!$C$1:$C$505),ROW(Create_TC_Web!$C$1:$C$505)),""),ROW(Create_TC_Web!G49))),"")</f>
        <v/>
      </c>
      <c r="G49" t="str" cm="1">
        <f t="array" ref="G49">IFERROR(INDEX(Create_TC_Web!J$1:J$505,SMALL(IF(Create_TC_Web!$C$1:$C$505&lt;&gt;"",MATCH(ROW(Create_TC_Web!$C$1:$C$505),ROW(Create_TC_Web!$C$1:$C$505)),""),ROW(Create_TC_Web!H49))),"")</f>
        <v/>
      </c>
      <c r="H49" t="str" cm="1">
        <f t="array" ref="H49">IFERROR(INDEX(Create_TC_Web!K$1:K$505,SMALL(IF(Create_TC_Web!$C$1:$C$505&lt;&gt;"",MATCH(ROW(Create_TC_Web!$C$1:$C$505),ROW(Create_TC_Web!$C$1:$C$505)),""),ROW(Create_TC_Web!I49))),"")</f>
        <v/>
      </c>
      <c r="I49" t="str" cm="1">
        <f t="array" ref="I49">IFERROR(INDEX(Create_TC_Web!L$1:L$505,SMALL(IF(Create_TC_Web!$C$1:$C$505&lt;&gt;"",MATCH(ROW(Create_TC_Web!$C$1:$C$505),ROW(Create_TC_Web!$C$1:$C$505)),""),ROW(Create_TC_Web!J49))),"")</f>
        <v/>
      </c>
      <c r="J49" t="str" cm="1">
        <f t="array" ref="J49">IFERROR(INDEX(Create_TC_Web!M$1:M$505,SMALL(IF(Create_TC_Web!$C$1:$C$505&lt;&gt;"",MATCH(ROW(Create_TC_Web!$C$1:$C$505),ROW(Create_TC_Web!$C$1:$C$505)),""),ROW(Create_TC_Web!K49))),"")</f>
        <v/>
      </c>
      <c r="K49" t="str" cm="1">
        <f t="array" ref="K49">IFERROR(INDEX(Create_TC_Web!N$1:N$505,SMALL(IF(Create_TC_Web!$C$1:$C$505&lt;&gt;"",MATCH(ROW(Create_TC_Web!$C$1:$C$505),ROW(Create_TC_Web!$C$1:$C$505)),""),ROW(Create_TC_Web!L49))),"")</f>
        <v/>
      </c>
      <c r="L49" t="str" cm="1">
        <f t="array" ref="L49">IFERROR(INDEX(Create_TC_Web!O$1:O$505,SMALL(IF(Create_TC_Web!$C$1:$C$505&lt;&gt;"",MATCH(ROW(Create_TC_Web!$C$1:$C$505),ROW(Create_TC_Web!$C$1:$C$505)),""),ROW(Create_TC_Web!M49))),"")</f>
        <v/>
      </c>
      <c r="M49" t="str" cm="1">
        <f t="array" ref="M49">IFERROR(INDEX(Create_TC_Web!P$1:P$505,SMALL(IF(Create_TC_Web!$C$1:$C$505&lt;&gt;"",MATCH(ROW(Create_TC_Web!$C$1:$C$505),ROW(Create_TC_Web!$C$1:$C$505)),""),ROW(Create_TC_Web!N49))),"")</f>
        <v/>
      </c>
      <c r="N49">
        <f>Create_TC_Web!CA58</f>
        <v>0</v>
      </c>
      <c r="O49" t="str">
        <f t="shared" si="1"/>
        <v/>
      </c>
      <c r="P49" s="17">
        <f>Create_TC_Web!CI36</f>
        <v>0</v>
      </c>
      <c r="Q49" t="str">
        <f>IF(TestData!CB49&lt;&gt;0,TestData!CB49,"")</f>
        <v/>
      </c>
      <c r="R49" t="str">
        <f t="shared" si="6"/>
        <v/>
      </c>
      <c r="S49" t="str">
        <f t="shared" si="2"/>
        <v/>
      </c>
      <c r="X49" t="str">
        <f t="shared" si="0"/>
        <v/>
      </c>
      <c r="AE49" t="str">
        <f t="shared" si="3"/>
        <v/>
      </c>
    </row>
    <row r="50" spans="1:31">
      <c r="A50" t="str" cm="1">
        <f t="array" ref="A50">IFERROR(INDEX(Create_TC_Web!D$1:D$505,SMALL(IF(Create_TC_Web!$C$1:$C$505&lt;&gt;"",MATCH(ROW(Create_TC_Web!$C$1:$C$505),ROW(Create_TC_Web!$C$1:$C$505)),""),ROW(Create_TC_Web!B50))),"")</f>
        <v/>
      </c>
      <c r="B50" t="str" cm="1">
        <f t="array" ref="B50">SUBSTITUTE(SUBSTITUTE(SUBSTITUTE(IFERROR(INDEX(Create_TC_Web!E$1:E$505,SMALL(IF(Create_TC_Web!$C$1:$C$505&lt;&gt;"",MATCH(ROW(Create_TC_Web!$C$1:$C$505),ROW(Create_TC_Web!$C$1:$C$505)),""),ROW(Create_TC_Web!C50))),"")," ",""),"-",""),"_","")</f>
        <v/>
      </c>
      <c r="C50" t="str" cm="1">
        <f t="array" ref="C50">IFERROR(INDEX(Create_TC_Web!F$1:F$505,SMALL(IF(Create_TC_Web!$C$1:$C$505&lt;&gt;"",MATCH(ROW(Create_TC_Web!$C$1:$C$505),ROW(Create_TC_Web!$C$1:$C$505)),""),ROW(Create_TC_Web!D50))),"")</f>
        <v/>
      </c>
      <c r="D50" t="str" cm="1">
        <f t="array" ref="D50">IFERROR(INDEX(Create_TC_Web!G$1:G$505,SMALL(IF(Create_TC_Web!$C$1:$C$505&lt;&gt;"",MATCH(ROW(Create_TC_Web!$C$1:$C$505),ROW(Create_TC_Web!$C$1:$C$505)),""),ROW(Create_TC_Web!E50))),"")</f>
        <v/>
      </c>
      <c r="E50" t="str" cm="1">
        <f t="array" ref="E50">IFERROR(INDEX(Create_TC_Web!H$1:H$505,SMALL(IF(Create_TC_Web!$C$1:$C$505&lt;&gt;"",MATCH(ROW(Create_TC_Web!$C$1:$C$505),ROW(Create_TC_Web!$C$1:$C$505)),""),ROW(Create_TC_Web!F50))),"")</f>
        <v/>
      </c>
      <c r="F50" t="str" cm="1">
        <f t="array" ref="F50">IFERROR(INDEX(Create_TC_Web!I$1:I$505,SMALL(IF(Create_TC_Web!$C$1:$C$505&lt;&gt;"",MATCH(ROW(Create_TC_Web!$C$1:$C$505),ROW(Create_TC_Web!$C$1:$C$505)),""),ROW(Create_TC_Web!G50))),"")</f>
        <v/>
      </c>
      <c r="G50" t="str" cm="1">
        <f t="array" ref="G50">IFERROR(INDEX(Create_TC_Web!J$1:J$505,SMALL(IF(Create_TC_Web!$C$1:$C$505&lt;&gt;"",MATCH(ROW(Create_TC_Web!$C$1:$C$505),ROW(Create_TC_Web!$C$1:$C$505)),""),ROW(Create_TC_Web!H50))),"")</f>
        <v/>
      </c>
      <c r="H50" t="str" cm="1">
        <f t="array" ref="H50">IFERROR(INDEX(Create_TC_Web!K$1:K$505,SMALL(IF(Create_TC_Web!$C$1:$C$505&lt;&gt;"",MATCH(ROW(Create_TC_Web!$C$1:$C$505),ROW(Create_TC_Web!$C$1:$C$505)),""),ROW(Create_TC_Web!I50))),"")</f>
        <v/>
      </c>
      <c r="I50" t="str" cm="1">
        <f t="array" ref="I50">IFERROR(INDEX(Create_TC_Web!L$1:L$505,SMALL(IF(Create_TC_Web!$C$1:$C$505&lt;&gt;"",MATCH(ROW(Create_TC_Web!$C$1:$C$505),ROW(Create_TC_Web!$C$1:$C$505)),""),ROW(Create_TC_Web!J50))),"")</f>
        <v/>
      </c>
      <c r="J50" t="str" cm="1">
        <f t="array" ref="J50">IFERROR(INDEX(Create_TC_Web!M$1:M$505,SMALL(IF(Create_TC_Web!$C$1:$C$505&lt;&gt;"",MATCH(ROW(Create_TC_Web!$C$1:$C$505),ROW(Create_TC_Web!$C$1:$C$505)),""),ROW(Create_TC_Web!K50))),"")</f>
        <v/>
      </c>
      <c r="K50" t="str" cm="1">
        <f t="array" ref="K50">IFERROR(INDEX(Create_TC_Web!N$1:N$505,SMALL(IF(Create_TC_Web!$C$1:$C$505&lt;&gt;"",MATCH(ROW(Create_TC_Web!$C$1:$C$505),ROW(Create_TC_Web!$C$1:$C$505)),""),ROW(Create_TC_Web!L50))),"")</f>
        <v/>
      </c>
      <c r="L50" t="str" cm="1">
        <f t="array" ref="L50">IFERROR(INDEX(Create_TC_Web!O$1:O$505,SMALL(IF(Create_TC_Web!$C$1:$C$505&lt;&gt;"",MATCH(ROW(Create_TC_Web!$C$1:$C$505),ROW(Create_TC_Web!$C$1:$C$505)),""),ROW(Create_TC_Web!M50))),"")</f>
        <v/>
      </c>
      <c r="M50" t="str" cm="1">
        <f t="array" ref="M50">IFERROR(INDEX(Create_TC_Web!P$1:P$505,SMALL(IF(Create_TC_Web!$C$1:$C$505&lt;&gt;"",MATCH(ROW(Create_TC_Web!$C$1:$C$505),ROW(Create_TC_Web!$C$1:$C$505)),""),ROW(Create_TC_Web!N50))),"")</f>
        <v/>
      </c>
      <c r="N50">
        <f>Create_TC_Web!CA59</f>
        <v>0</v>
      </c>
      <c r="O50" t="str">
        <f t="shared" si="1"/>
        <v/>
      </c>
      <c r="P50" s="17">
        <f>Create_TC_Web!CI37</f>
        <v>0</v>
      </c>
      <c r="Q50" t="str">
        <f>IF(TestData!CB50&lt;&gt;0,TestData!CB50,"")</f>
        <v/>
      </c>
      <c r="R50" t="str">
        <f t="shared" si="6"/>
        <v/>
      </c>
      <c r="S50" t="str">
        <f t="shared" si="2"/>
        <v/>
      </c>
      <c r="X50" t="str">
        <f t="shared" si="0"/>
        <v/>
      </c>
      <c r="AE50" t="str">
        <f t="shared" si="3"/>
        <v/>
      </c>
    </row>
    <row r="51" spans="1:31">
      <c r="A51" t="str" cm="1">
        <f t="array" ref="A51">IFERROR(INDEX(Create_TC_Web!D$1:D$505,SMALL(IF(Create_TC_Web!$C$1:$C$505&lt;&gt;"",MATCH(ROW(Create_TC_Web!$C$1:$C$505),ROW(Create_TC_Web!$C$1:$C$505)),""),ROW(Create_TC_Web!B51))),"")</f>
        <v/>
      </c>
      <c r="B51" t="str" cm="1">
        <f t="array" ref="B51">SUBSTITUTE(SUBSTITUTE(SUBSTITUTE(IFERROR(INDEX(Create_TC_Web!E$1:E$505,SMALL(IF(Create_TC_Web!$C$1:$C$505&lt;&gt;"",MATCH(ROW(Create_TC_Web!$C$1:$C$505),ROW(Create_TC_Web!$C$1:$C$505)),""),ROW(Create_TC_Web!C51))),"")," ",""),"-",""),"_","")</f>
        <v/>
      </c>
      <c r="C51" t="str" cm="1">
        <f t="array" ref="C51">IFERROR(INDEX(Create_TC_Web!F$1:F$505,SMALL(IF(Create_TC_Web!$C$1:$C$505&lt;&gt;"",MATCH(ROW(Create_TC_Web!$C$1:$C$505),ROW(Create_TC_Web!$C$1:$C$505)),""),ROW(Create_TC_Web!D51))),"")</f>
        <v/>
      </c>
      <c r="D51" t="str" cm="1">
        <f t="array" ref="D51">IFERROR(INDEX(Create_TC_Web!G$1:G$505,SMALL(IF(Create_TC_Web!$C$1:$C$505&lt;&gt;"",MATCH(ROW(Create_TC_Web!$C$1:$C$505),ROW(Create_TC_Web!$C$1:$C$505)),""),ROW(Create_TC_Web!E51))),"")</f>
        <v/>
      </c>
      <c r="E51" t="str" cm="1">
        <f t="array" ref="E51">IFERROR(INDEX(Create_TC_Web!H$1:H$505,SMALL(IF(Create_TC_Web!$C$1:$C$505&lt;&gt;"",MATCH(ROW(Create_TC_Web!$C$1:$C$505),ROW(Create_TC_Web!$C$1:$C$505)),""),ROW(Create_TC_Web!F51))),"")</f>
        <v/>
      </c>
      <c r="F51" t="str" cm="1">
        <f t="array" ref="F51">IFERROR(INDEX(Create_TC_Web!I$1:I$505,SMALL(IF(Create_TC_Web!$C$1:$C$505&lt;&gt;"",MATCH(ROW(Create_TC_Web!$C$1:$C$505),ROW(Create_TC_Web!$C$1:$C$505)),""),ROW(Create_TC_Web!G51))),"")</f>
        <v/>
      </c>
      <c r="G51" t="str" cm="1">
        <f t="array" ref="G51">IFERROR(INDEX(Create_TC_Web!J$1:J$505,SMALL(IF(Create_TC_Web!$C$1:$C$505&lt;&gt;"",MATCH(ROW(Create_TC_Web!$C$1:$C$505),ROW(Create_TC_Web!$C$1:$C$505)),""),ROW(Create_TC_Web!H51))),"")</f>
        <v/>
      </c>
      <c r="H51" t="str" cm="1">
        <f t="array" ref="H51">IFERROR(INDEX(Create_TC_Web!K$1:K$505,SMALL(IF(Create_TC_Web!$C$1:$C$505&lt;&gt;"",MATCH(ROW(Create_TC_Web!$C$1:$C$505),ROW(Create_TC_Web!$C$1:$C$505)),""),ROW(Create_TC_Web!I51))),"")</f>
        <v/>
      </c>
      <c r="I51" t="str" cm="1">
        <f t="array" ref="I51">IFERROR(INDEX(Create_TC_Web!L$1:L$505,SMALL(IF(Create_TC_Web!$C$1:$C$505&lt;&gt;"",MATCH(ROW(Create_TC_Web!$C$1:$C$505),ROW(Create_TC_Web!$C$1:$C$505)),""),ROW(Create_TC_Web!J51))),"")</f>
        <v/>
      </c>
      <c r="J51" t="str" cm="1">
        <f t="array" ref="J51">IFERROR(INDEX(Create_TC_Web!M$1:M$505,SMALL(IF(Create_TC_Web!$C$1:$C$505&lt;&gt;"",MATCH(ROW(Create_TC_Web!$C$1:$C$505),ROW(Create_TC_Web!$C$1:$C$505)),""),ROW(Create_TC_Web!K51))),"")</f>
        <v/>
      </c>
      <c r="K51" t="str" cm="1">
        <f t="array" ref="K51">IFERROR(INDEX(Create_TC_Web!N$1:N$505,SMALL(IF(Create_TC_Web!$C$1:$C$505&lt;&gt;"",MATCH(ROW(Create_TC_Web!$C$1:$C$505),ROW(Create_TC_Web!$C$1:$C$505)),""),ROW(Create_TC_Web!L51))),"")</f>
        <v/>
      </c>
      <c r="L51" t="str" cm="1">
        <f t="array" ref="L51">IFERROR(INDEX(Create_TC_Web!O$1:O$505,SMALL(IF(Create_TC_Web!$C$1:$C$505&lt;&gt;"",MATCH(ROW(Create_TC_Web!$C$1:$C$505),ROW(Create_TC_Web!$C$1:$C$505)),""),ROW(Create_TC_Web!M51))),"")</f>
        <v/>
      </c>
      <c r="M51" t="str" cm="1">
        <f t="array" ref="M51">IFERROR(INDEX(Create_TC_Web!P$1:P$505,SMALL(IF(Create_TC_Web!$C$1:$C$505&lt;&gt;"",MATCH(ROW(Create_TC_Web!$C$1:$C$505),ROW(Create_TC_Web!$C$1:$C$505)),""),ROW(Create_TC_Web!N51))),"")</f>
        <v/>
      </c>
      <c r="N51">
        <f>Create_TC_Web!CA60</f>
        <v>0</v>
      </c>
      <c r="O51" t="str">
        <f t="shared" si="1"/>
        <v/>
      </c>
      <c r="P51" s="17">
        <f>Create_TC_Web!CI38</f>
        <v>0</v>
      </c>
      <c r="Q51" t="str">
        <f>IF(TestData!CB51&lt;&gt;0,TestData!CB51,"")</f>
        <v/>
      </c>
      <c r="R51" t="str">
        <f t="shared" si="6"/>
        <v/>
      </c>
      <c r="S51" t="str">
        <f t="shared" si="2"/>
        <v/>
      </c>
      <c r="X51" t="str">
        <f t="shared" si="0"/>
        <v/>
      </c>
      <c r="AE51" t="str">
        <f t="shared" si="3"/>
        <v/>
      </c>
    </row>
    <row r="52" spans="1:31">
      <c r="A52" t="str" cm="1">
        <f t="array" ref="A52">IFERROR(INDEX(Create_TC_Web!D$1:D$505,SMALL(IF(Create_TC_Web!$C$1:$C$505&lt;&gt;"",MATCH(ROW(Create_TC_Web!$C$1:$C$505),ROW(Create_TC_Web!$C$1:$C$505)),""),ROW(Create_TC_Web!B52))),"")</f>
        <v/>
      </c>
      <c r="B52" t="str" cm="1">
        <f t="array" ref="B52">SUBSTITUTE(SUBSTITUTE(SUBSTITUTE(IFERROR(INDEX(Create_TC_Web!E$1:E$505,SMALL(IF(Create_TC_Web!$C$1:$C$505&lt;&gt;"",MATCH(ROW(Create_TC_Web!$C$1:$C$505),ROW(Create_TC_Web!$C$1:$C$505)),""),ROW(Create_TC_Web!C52))),"")," ",""),"-",""),"_","")</f>
        <v/>
      </c>
      <c r="C52" t="str" cm="1">
        <f t="array" ref="C52">IFERROR(INDEX(Create_TC_Web!F$1:F$505,SMALL(IF(Create_TC_Web!$C$1:$C$505&lt;&gt;"",MATCH(ROW(Create_TC_Web!$C$1:$C$505),ROW(Create_TC_Web!$C$1:$C$505)),""),ROW(Create_TC_Web!D52))),"")</f>
        <v/>
      </c>
      <c r="D52" t="str" cm="1">
        <f t="array" ref="D52">IFERROR(INDEX(Create_TC_Web!G$1:G$505,SMALL(IF(Create_TC_Web!$C$1:$C$505&lt;&gt;"",MATCH(ROW(Create_TC_Web!$C$1:$C$505),ROW(Create_TC_Web!$C$1:$C$505)),""),ROW(Create_TC_Web!E52))),"")</f>
        <v/>
      </c>
      <c r="E52" t="str" cm="1">
        <f t="array" ref="E52">IFERROR(INDEX(Create_TC_Web!H$1:H$505,SMALL(IF(Create_TC_Web!$C$1:$C$505&lt;&gt;"",MATCH(ROW(Create_TC_Web!$C$1:$C$505),ROW(Create_TC_Web!$C$1:$C$505)),""),ROW(Create_TC_Web!F52))),"")</f>
        <v/>
      </c>
      <c r="F52" t="str" cm="1">
        <f t="array" ref="F52">IFERROR(INDEX(Create_TC_Web!I$1:I$505,SMALL(IF(Create_TC_Web!$C$1:$C$505&lt;&gt;"",MATCH(ROW(Create_TC_Web!$C$1:$C$505),ROW(Create_TC_Web!$C$1:$C$505)),""),ROW(Create_TC_Web!G52))),"")</f>
        <v/>
      </c>
      <c r="G52" t="str" cm="1">
        <f t="array" ref="G52">IFERROR(INDEX(Create_TC_Web!J$1:J$505,SMALL(IF(Create_TC_Web!$C$1:$C$505&lt;&gt;"",MATCH(ROW(Create_TC_Web!$C$1:$C$505),ROW(Create_TC_Web!$C$1:$C$505)),""),ROW(Create_TC_Web!H52))),"")</f>
        <v/>
      </c>
      <c r="H52" t="str" cm="1">
        <f t="array" ref="H52">IFERROR(INDEX(Create_TC_Web!K$1:K$505,SMALL(IF(Create_TC_Web!$C$1:$C$505&lt;&gt;"",MATCH(ROW(Create_TC_Web!$C$1:$C$505),ROW(Create_TC_Web!$C$1:$C$505)),""),ROW(Create_TC_Web!I52))),"")</f>
        <v/>
      </c>
      <c r="I52" t="str" cm="1">
        <f t="array" ref="I52">IFERROR(INDEX(Create_TC_Web!L$1:L$505,SMALL(IF(Create_TC_Web!$C$1:$C$505&lt;&gt;"",MATCH(ROW(Create_TC_Web!$C$1:$C$505),ROW(Create_TC_Web!$C$1:$C$505)),""),ROW(Create_TC_Web!J52))),"")</f>
        <v/>
      </c>
      <c r="J52" t="str" cm="1">
        <f t="array" ref="J52">IFERROR(INDEX(Create_TC_Web!M$1:M$505,SMALL(IF(Create_TC_Web!$C$1:$C$505&lt;&gt;"",MATCH(ROW(Create_TC_Web!$C$1:$C$505),ROW(Create_TC_Web!$C$1:$C$505)),""),ROW(Create_TC_Web!K52))),"")</f>
        <v/>
      </c>
      <c r="K52" t="str" cm="1">
        <f t="array" ref="K52">IFERROR(INDEX(Create_TC_Web!N$1:N$505,SMALL(IF(Create_TC_Web!$C$1:$C$505&lt;&gt;"",MATCH(ROW(Create_TC_Web!$C$1:$C$505),ROW(Create_TC_Web!$C$1:$C$505)),""),ROW(Create_TC_Web!L52))),"")</f>
        <v/>
      </c>
      <c r="L52" t="str" cm="1">
        <f t="array" ref="L52">IFERROR(INDEX(Create_TC_Web!O$1:O$505,SMALL(IF(Create_TC_Web!$C$1:$C$505&lt;&gt;"",MATCH(ROW(Create_TC_Web!$C$1:$C$505),ROW(Create_TC_Web!$C$1:$C$505)),""),ROW(Create_TC_Web!M52))),"")</f>
        <v/>
      </c>
      <c r="M52" t="str" cm="1">
        <f t="array" ref="M52">IFERROR(INDEX(Create_TC_Web!P$1:P$505,SMALL(IF(Create_TC_Web!$C$1:$C$505&lt;&gt;"",MATCH(ROW(Create_TC_Web!$C$1:$C$505),ROW(Create_TC_Web!$C$1:$C$505)),""),ROW(Create_TC_Web!N52))),"")</f>
        <v/>
      </c>
      <c r="N52">
        <f>Create_TC_Web!CA61</f>
        <v>0</v>
      </c>
      <c r="O52" t="str">
        <f t="shared" si="1"/>
        <v/>
      </c>
      <c r="P52" s="17">
        <f>Create_TC_Web!CI39</f>
        <v>0</v>
      </c>
      <c r="Q52" t="str">
        <f>IF(TestData!CB52&lt;&gt;0,TestData!CB52,"")</f>
        <v/>
      </c>
      <c r="R52" t="str">
        <f t="shared" si="6"/>
        <v/>
      </c>
      <c r="S52" t="str">
        <f t="shared" si="2"/>
        <v/>
      </c>
      <c r="X52" t="str">
        <f t="shared" si="0"/>
        <v/>
      </c>
      <c r="AE52" t="str">
        <f t="shared" si="3"/>
        <v/>
      </c>
    </row>
    <row r="53" spans="1:31">
      <c r="A53" t="str" cm="1">
        <f t="array" ref="A53">IFERROR(INDEX(Create_TC_Web!D$1:D$505,SMALL(IF(Create_TC_Web!$C$1:$C$505&lt;&gt;"",MATCH(ROW(Create_TC_Web!$C$1:$C$505),ROW(Create_TC_Web!$C$1:$C$505)),""),ROW(Create_TC_Web!B53))),"")</f>
        <v/>
      </c>
      <c r="B53" t="str" cm="1">
        <f t="array" ref="B53">SUBSTITUTE(SUBSTITUTE(SUBSTITUTE(IFERROR(INDEX(Create_TC_Web!E$1:E$505,SMALL(IF(Create_TC_Web!$C$1:$C$505&lt;&gt;"",MATCH(ROW(Create_TC_Web!$C$1:$C$505),ROW(Create_TC_Web!$C$1:$C$505)),""),ROW(Create_TC_Web!C53))),"")," ",""),"-",""),"_","")</f>
        <v/>
      </c>
      <c r="C53" t="str" cm="1">
        <f t="array" ref="C53">IFERROR(INDEX(Create_TC_Web!F$1:F$505,SMALL(IF(Create_TC_Web!$C$1:$C$505&lt;&gt;"",MATCH(ROW(Create_TC_Web!$C$1:$C$505),ROW(Create_TC_Web!$C$1:$C$505)),""),ROW(Create_TC_Web!D53))),"")</f>
        <v/>
      </c>
      <c r="D53" t="str" cm="1">
        <f t="array" ref="D53">IFERROR(INDEX(Create_TC_Web!G$1:G$505,SMALL(IF(Create_TC_Web!$C$1:$C$505&lt;&gt;"",MATCH(ROW(Create_TC_Web!$C$1:$C$505),ROW(Create_TC_Web!$C$1:$C$505)),""),ROW(Create_TC_Web!E53))),"")</f>
        <v/>
      </c>
      <c r="E53" t="str" cm="1">
        <f t="array" ref="E53">IFERROR(INDEX(Create_TC_Web!H$1:H$505,SMALL(IF(Create_TC_Web!$C$1:$C$505&lt;&gt;"",MATCH(ROW(Create_TC_Web!$C$1:$C$505),ROW(Create_TC_Web!$C$1:$C$505)),""),ROW(Create_TC_Web!F53))),"")</f>
        <v/>
      </c>
      <c r="F53" t="str" cm="1">
        <f t="array" ref="F53">IFERROR(INDEX(Create_TC_Web!I$1:I$505,SMALL(IF(Create_TC_Web!$C$1:$C$505&lt;&gt;"",MATCH(ROW(Create_TC_Web!$C$1:$C$505),ROW(Create_TC_Web!$C$1:$C$505)),""),ROW(Create_TC_Web!G53))),"")</f>
        <v/>
      </c>
      <c r="G53" t="str" cm="1">
        <f t="array" ref="G53">IFERROR(INDEX(Create_TC_Web!J$1:J$505,SMALL(IF(Create_TC_Web!$C$1:$C$505&lt;&gt;"",MATCH(ROW(Create_TC_Web!$C$1:$C$505),ROW(Create_TC_Web!$C$1:$C$505)),""),ROW(Create_TC_Web!H53))),"")</f>
        <v/>
      </c>
      <c r="H53" t="str" cm="1">
        <f t="array" ref="H53">IFERROR(INDEX(Create_TC_Web!K$1:K$505,SMALL(IF(Create_TC_Web!$C$1:$C$505&lt;&gt;"",MATCH(ROW(Create_TC_Web!$C$1:$C$505),ROW(Create_TC_Web!$C$1:$C$505)),""),ROW(Create_TC_Web!I53))),"")</f>
        <v/>
      </c>
      <c r="I53" t="str" cm="1">
        <f t="array" ref="I53">IFERROR(INDEX(Create_TC_Web!L$1:L$505,SMALL(IF(Create_TC_Web!$C$1:$C$505&lt;&gt;"",MATCH(ROW(Create_TC_Web!$C$1:$C$505),ROW(Create_TC_Web!$C$1:$C$505)),""),ROW(Create_TC_Web!J53))),"")</f>
        <v/>
      </c>
      <c r="J53" t="str" cm="1">
        <f t="array" ref="J53">IFERROR(INDEX(Create_TC_Web!M$1:M$505,SMALL(IF(Create_TC_Web!$C$1:$C$505&lt;&gt;"",MATCH(ROW(Create_TC_Web!$C$1:$C$505),ROW(Create_TC_Web!$C$1:$C$505)),""),ROW(Create_TC_Web!K53))),"")</f>
        <v/>
      </c>
      <c r="K53" t="str" cm="1">
        <f t="array" ref="K53">IFERROR(INDEX(Create_TC_Web!N$1:N$505,SMALL(IF(Create_TC_Web!$C$1:$C$505&lt;&gt;"",MATCH(ROW(Create_TC_Web!$C$1:$C$505),ROW(Create_TC_Web!$C$1:$C$505)),""),ROW(Create_TC_Web!L53))),"")</f>
        <v/>
      </c>
      <c r="L53" t="str" cm="1">
        <f t="array" ref="L53">IFERROR(INDEX(Create_TC_Web!O$1:O$505,SMALL(IF(Create_TC_Web!$C$1:$C$505&lt;&gt;"",MATCH(ROW(Create_TC_Web!$C$1:$C$505),ROW(Create_TC_Web!$C$1:$C$505)),""),ROW(Create_TC_Web!M53))),"")</f>
        <v/>
      </c>
      <c r="M53" t="str" cm="1">
        <f t="array" ref="M53">IFERROR(INDEX(Create_TC_Web!P$1:P$505,SMALL(IF(Create_TC_Web!$C$1:$C$505&lt;&gt;"",MATCH(ROW(Create_TC_Web!$C$1:$C$505),ROW(Create_TC_Web!$C$1:$C$505)),""),ROW(Create_TC_Web!N53))),"")</f>
        <v/>
      </c>
      <c r="N53">
        <f>Create_TC_Web!CA62</f>
        <v>0</v>
      </c>
      <c r="O53" t="str">
        <f t="shared" si="1"/>
        <v/>
      </c>
      <c r="P53" s="17">
        <f>Create_TC_Web!CI40</f>
        <v>0</v>
      </c>
      <c r="Q53" t="str">
        <f>IF(TestData!CB53&lt;&gt;0,TestData!CB53,"")</f>
        <v/>
      </c>
      <c r="R53" t="str">
        <f t="shared" si="6"/>
        <v/>
      </c>
      <c r="S53" t="str">
        <f t="shared" si="2"/>
        <v/>
      </c>
      <c r="X53" t="str">
        <f t="shared" si="0"/>
        <v/>
      </c>
      <c r="AE53" t="str">
        <f t="shared" si="3"/>
        <v/>
      </c>
    </row>
    <row r="54" spans="1:31">
      <c r="A54" t="str" cm="1">
        <f t="array" ref="A54">IFERROR(INDEX(Create_TC_Web!D$1:D$505,SMALL(IF(Create_TC_Web!$C$1:$C$505&lt;&gt;"",MATCH(ROW(Create_TC_Web!$C$1:$C$505),ROW(Create_TC_Web!$C$1:$C$505)),""),ROW(Create_TC_Web!B54))),"")</f>
        <v/>
      </c>
      <c r="B54" t="str" cm="1">
        <f t="array" ref="B54">SUBSTITUTE(SUBSTITUTE(SUBSTITUTE(IFERROR(INDEX(Create_TC_Web!E$1:E$505,SMALL(IF(Create_TC_Web!$C$1:$C$505&lt;&gt;"",MATCH(ROW(Create_TC_Web!$C$1:$C$505),ROW(Create_TC_Web!$C$1:$C$505)),""),ROW(Create_TC_Web!C54))),"")," ",""),"-",""),"_","")</f>
        <v/>
      </c>
      <c r="C54" t="str" cm="1">
        <f t="array" ref="C54">IFERROR(INDEX(Create_TC_Web!F$1:F$505,SMALL(IF(Create_TC_Web!$C$1:$C$505&lt;&gt;"",MATCH(ROW(Create_TC_Web!$C$1:$C$505),ROW(Create_TC_Web!$C$1:$C$505)),""),ROW(Create_TC_Web!D54))),"")</f>
        <v/>
      </c>
      <c r="D54" t="str" cm="1">
        <f t="array" ref="D54">IFERROR(INDEX(Create_TC_Web!G$1:G$505,SMALL(IF(Create_TC_Web!$C$1:$C$505&lt;&gt;"",MATCH(ROW(Create_TC_Web!$C$1:$C$505),ROW(Create_TC_Web!$C$1:$C$505)),""),ROW(Create_TC_Web!E54))),"")</f>
        <v/>
      </c>
      <c r="E54" t="str" cm="1">
        <f t="array" ref="E54">IFERROR(INDEX(Create_TC_Web!H$1:H$505,SMALL(IF(Create_TC_Web!$C$1:$C$505&lt;&gt;"",MATCH(ROW(Create_TC_Web!$C$1:$C$505),ROW(Create_TC_Web!$C$1:$C$505)),""),ROW(Create_TC_Web!F54))),"")</f>
        <v/>
      </c>
      <c r="F54" t="str" cm="1">
        <f t="array" ref="F54">IFERROR(INDEX(Create_TC_Web!I$1:I$505,SMALL(IF(Create_TC_Web!$C$1:$C$505&lt;&gt;"",MATCH(ROW(Create_TC_Web!$C$1:$C$505),ROW(Create_TC_Web!$C$1:$C$505)),""),ROW(Create_TC_Web!G54))),"")</f>
        <v/>
      </c>
      <c r="G54" t="str" cm="1">
        <f t="array" ref="G54">IFERROR(INDEX(Create_TC_Web!J$1:J$505,SMALL(IF(Create_TC_Web!$C$1:$C$505&lt;&gt;"",MATCH(ROW(Create_TC_Web!$C$1:$C$505),ROW(Create_TC_Web!$C$1:$C$505)),""),ROW(Create_TC_Web!H54))),"")</f>
        <v/>
      </c>
      <c r="H54" t="str" cm="1">
        <f t="array" ref="H54">IFERROR(INDEX(Create_TC_Web!K$1:K$505,SMALL(IF(Create_TC_Web!$C$1:$C$505&lt;&gt;"",MATCH(ROW(Create_TC_Web!$C$1:$C$505),ROW(Create_TC_Web!$C$1:$C$505)),""),ROW(Create_TC_Web!I54))),"")</f>
        <v/>
      </c>
      <c r="I54" t="str" cm="1">
        <f t="array" ref="I54">IFERROR(INDEX(Create_TC_Web!L$1:L$505,SMALL(IF(Create_TC_Web!$C$1:$C$505&lt;&gt;"",MATCH(ROW(Create_TC_Web!$C$1:$C$505),ROW(Create_TC_Web!$C$1:$C$505)),""),ROW(Create_TC_Web!J54))),"")</f>
        <v/>
      </c>
      <c r="J54" t="str" cm="1">
        <f t="array" ref="J54">IFERROR(INDEX(Create_TC_Web!M$1:M$505,SMALL(IF(Create_TC_Web!$C$1:$C$505&lt;&gt;"",MATCH(ROW(Create_TC_Web!$C$1:$C$505),ROW(Create_TC_Web!$C$1:$C$505)),""),ROW(Create_TC_Web!K54))),"")</f>
        <v/>
      </c>
      <c r="K54" t="str" cm="1">
        <f t="array" ref="K54">IFERROR(INDEX(Create_TC_Web!N$1:N$505,SMALL(IF(Create_TC_Web!$C$1:$C$505&lt;&gt;"",MATCH(ROW(Create_TC_Web!$C$1:$C$505),ROW(Create_TC_Web!$C$1:$C$505)),""),ROW(Create_TC_Web!L54))),"")</f>
        <v/>
      </c>
      <c r="L54" t="str" cm="1">
        <f t="array" ref="L54">IFERROR(INDEX(Create_TC_Web!O$1:O$505,SMALL(IF(Create_TC_Web!$C$1:$C$505&lt;&gt;"",MATCH(ROW(Create_TC_Web!$C$1:$C$505),ROW(Create_TC_Web!$C$1:$C$505)),""),ROW(Create_TC_Web!M54))),"")</f>
        <v/>
      </c>
      <c r="M54" t="str" cm="1">
        <f t="array" ref="M54">IFERROR(INDEX(Create_TC_Web!P$1:P$505,SMALL(IF(Create_TC_Web!$C$1:$C$505&lt;&gt;"",MATCH(ROW(Create_TC_Web!$C$1:$C$505),ROW(Create_TC_Web!$C$1:$C$505)),""),ROW(Create_TC_Web!N54))),"")</f>
        <v/>
      </c>
      <c r="N54">
        <f>Create_TC_Web!CA63</f>
        <v>0</v>
      </c>
      <c r="O54" t="str">
        <f t="shared" si="1"/>
        <v/>
      </c>
      <c r="P54" s="17">
        <f>Create_TC_Web!CI41</f>
        <v>0</v>
      </c>
      <c r="Q54" t="str">
        <f>IF(TestData!CB54&lt;&gt;0,TestData!CB54,"")</f>
        <v/>
      </c>
      <c r="R54" t="str">
        <f t="shared" si="6"/>
        <v/>
      </c>
      <c r="S54" t="str">
        <f t="shared" si="2"/>
        <v/>
      </c>
      <c r="X54" t="str">
        <f t="shared" si="0"/>
        <v/>
      </c>
      <c r="AE54" t="str">
        <f t="shared" si="3"/>
        <v/>
      </c>
    </row>
    <row r="55" spans="1:31">
      <c r="A55" t="str" cm="1">
        <f t="array" ref="A55">IFERROR(INDEX(Create_TC_Web!D$1:D$505,SMALL(IF(Create_TC_Web!$C$1:$C$505&lt;&gt;"",MATCH(ROW(Create_TC_Web!$C$1:$C$505),ROW(Create_TC_Web!$C$1:$C$505)),""),ROW(Create_TC_Web!B55))),"")</f>
        <v/>
      </c>
      <c r="B55" t="str" cm="1">
        <f t="array" ref="B55">SUBSTITUTE(SUBSTITUTE(SUBSTITUTE(IFERROR(INDEX(Create_TC_Web!E$1:E$505,SMALL(IF(Create_TC_Web!$C$1:$C$505&lt;&gt;"",MATCH(ROW(Create_TC_Web!$C$1:$C$505),ROW(Create_TC_Web!$C$1:$C$505)),""),ROW(Create_TC_Web!C55))),"")," ",""),"-",""),"_","")</f>
        <v/>
      </c>
      <c r="C55" t="str" cm="1">
        <f t="array" ref="C55">IFERROR(INDEX(Create_TC_Web!F$1:F$505,SMALL(IF(Create_TC_Web!$C$1:$C$505&lt;&gt;"",MATCH(ROW(Create_TC_Web!$C$1:$C$505),ROW(Create_TC_Web!$C$1:$C$505)),""),ROW(Create_TC_Web!D55))),"")</f>
        <v/>
      </c>
      <c r="D55" t="str" cm="1">
        <f t="array" ref="D55">IFERROR(INDEX(Create_TC_Web!G$1:G$505,SMALL(IF(Create_TC_Web!$C$1:$C$505&lt;&gt;"",MATCH(ROW(Create_TC_Web!$C$1:$C$505),ROW(Create_TC_Web!$C$1:$C$505)),""),ROW(Create_TC_Web!E55))),"")</f>
        <v/>
      </c>
      <c r="E55" t="str" cm="1">
        <f t="array" ref="E55">IFERROR(INDEX(Create_TC_Web!H$1:H$505,SMALL(IF(Create_TC_Web!$C$1:$C$505&lt;&gt;"",MATCH(ROW(Create_TC_Web!$C$1:$C$505),ROW(Create_TC_Web!$C$1:$C$505)),""),ROW(Create_TC_Web!F55))),"")</f>
        <v/>
      </c>
      <c r="F55" t="str" cm="1">
        <f t="array" ref="F55">IFERROR(INDEX(Create_TC_Web!I$1:I$505,SMALL(IF(Create_TC_Web!$C$1:$C$505&lt;&gt;"",MATCH(ROW(Create_TC_Web!$C$1:$C$505),ROW(Create_TC_Web!$C$1:$C$505)),""),ROW(Create_TC_Web!G55))),"")</f>
        <v/>
      </c>
      <c r="G55" t="str" cm="1">
        <f t="array" ref="G55">IFERROR(INDEX(Create_TC_Web!J$1:J$505,SMALL(IF(Create_TC_Web!$C$1:$C$505&lt;&gt;"",MATCH(ROW(Create_TC_Web!$C$1:$C$505),ROW(Create_TC_Web!$C$1:$C$505)),""),ROW(Create_TC_Web!H55))),"")</f>
        <v/>
      </c>
      <c r="H55" t="str" cm="1">
        <f t="array" ref="H55">IFERROR(INDEX(Create_TC_Web!K$1:K$505,SMALL(IF(Create_TC_Web!$C$1:$C$505&lt;&gt;"",MATCH(ROW(Create_TC_Web!$C$1:$C$505),ROW(Create_TC_Web!$C$1:$C$505)),""),ROW(Create_TC_Web!I55))),"")</f>
        <v/>
      </c>
      <c r="I55" t="str" cm="1">
        <f t="array" ref="I55">IFERROR(INDEX(Create_TC_Web!L$1:L$505,SMALL(IF(Create_TC_Web!$C$1:$C$505&lt;&gt;"",MATCH(ROW(Create_TC_Web!$C$1:$C$505),ROW(Create_TC_Web!$C$1:$C$505)),""),ROW(Create_TC_Web!J55))),"")</f>
        <v/>
      </c>
      <c r="J55" t="str" cm="1">
        <f t="array" ref="J55">IFERROR(INDEX(Create_TC_Web!M$1:M$505,SMALL(IF(Create_TC_Web!$C$1:$C$505&lt;&gt;"",MATCH(ROW(Create_TC_Web!$C$1:$C$505),ROW(Create_TC_Web!$C$1:$C$505)),""),ROW(Create_TC_Web!K55))),"")</f>
        <v/>
      </c>
      <c r="K55" t="str" cm="1">
        <f t="array" ref="K55">IFERROR(INDEX(Create_TC_Web!N$1:N$505,SMALL(IF(Create_TC_Web!$C$1:$C$505&lt;&gt;"",MATCH(ROW(Create_TC_Web!$C$1:$C$505),ROW(Create_TC_Web!$C$1:$C$505)),""),ROW(Create_TC_Web!L55))),"")</f>
        <v/>
      </c>
      <c r="L55" t="str" cm="1">
        <f t="array" ref="L55">IFERROR(INDEX(Create_TC_Web!O$1:O$505,SMALL(IF(Create_TC_Web!$C$1:$C$505&lt;&gt;"",MATCH(ROW(Create_TC_Web!$C$1:$C$505),ROW(Create_TC_Web!$C$1:$C$505)),""),ROW(Create_TC_Web!M55))),"")</f>
        <v/>
      </c>
      <c r="M55" t="str" cm="1">
        <f t="array" ref="M55">IFERROR(INDEX(Create_TC_Web!P$1:P$505,SMALL(IF(Create_TC_Web!$C$1:$C$505&lt;&gt;"",MATCH(ROW(Create_TC_Web!$C$1:$C$505),ROW(Create_TC_Web!$C$1:$C$505)),""),ROW(Create_TC_Web!N55))),"")</f>
        <v/>
      </c>
      <c r="N55">
        <f>Create_TC_Web!CA64</f>
        <v>0</v>
      </c>
      <c r="O55" t="str">
        <f t="shared" si="1"/>
        <v/>
      </c>
      <c r="P55" s="17">
        <f>Create_TC_Web!CI42</f>
        <v>0</v>
      </c>
      <c r="Q55" t="str">
        <f>IF(TestData!CB55&lt;&gt;0,TestData!CB55,"")</f>
        <v/>
      </c>
      <c r="R55" t="str">
        <f t="shared" si="6"/>
        <v/>
      </c>
      <c r="S55" t="str">
        <f t="shared" si="2"/>
        <v/>
      </c>
      <c r="AE55" t="str">
        <f t="shared" si="3"/>
        <v/>
      </c>
    </row>
    <row r="56" spans="1:31">
      <c r="A56" t="str" cm="1">
        <f t="array" ref="A56">IFERROR(INDEX(Create_TC_Web!D$1:D$505,SMALL(IF(Create_TC_Web!$C$1:$C$505&lt;&gt;"",MATCH(ROW(Create_TC_Web!$C$1:$C$505),ROW(Create_TC_Web!$C$1:$C$505)),""),ROW(Create_TC_Web!B56))),"")</f>
        <v/>
      </c>
      <c r="B56" t="str" cm="1">
        <f t="array" ref="B56">SUBSTITUTE(SUBSTITUTE(SUBSTITUTE(IFERROR(INDEX(Create_TC_Web!E$1:E$505,SMALL(IF(Create_TC_Web!$C$1:$C$505&lt;&gt;"",MATCH(ROW(Create_TC_Web!$C$1:$C$505),ROW(Create_TC_Web!$C$1:$C$505)),""),ROW(Create_TC_Web!C56))),"")," ",""),"-",""),"_","")</f>
        <v/>
      </c>
      <c r="C56" t="str" cm="1">
        <f t="array" ref="C56">IFERROR(INDEX(Create_TC_Web!F$1:F$505,SMALL(IF(Create_TC_Web!$C$1:$C$505&lt;&gt;"",MATCH(ROW(Create_TC_Web!$C$1:$C$505),ROW(Create_TC_Web!$C$1:$C$505)),""),ROW(Create_TC_Web!D56))),"")</f>
        <v/>
      </c>
      <c r="D56" t="str" cm="1">
        <f t="array" ref="D56">IFERROR(INDEX(Create_TC_Web!G$1:G$505,SMALL(IF(Create_TC_Web!$C$1:$C$505&lt;&gt;"",MATCH(ROW(Create_TC_Web!$C$1:$C$505),ROW(Create_TC_Web!$C$1:$C$505)),""),ROW(Create_TC_Web!E56))),"")</f>
        <v/>
      </c>
      <c r="E56" t="str" cm="1">
        <f t="array" ref="E56">IFERROR(INDEX(Create_TC_Web!H$1:H$505,SMALL(IF(Create_TC_Web!$C$1:$C$505&lt;&gt;"",MATCH(ROW(Create_TC_Web!$C$1:$C$505),ROW(Create_TC_Web!$C$1:$C$505)),""),ROW(Create_TC_Web!F56))),"")</f>
        <v/>
      </c>
      <c r="F56" t="str" cm="1">
        <f t="array" ref="F56">IFERROR(INDEX(Create_TC_Web!I$1:I$505,SMALL(IF(Create_TC_Web!$C$1:$C$505&lt;&gt;"",MATCH(ROW(Create_TC_Web!$C$1:$C$505),ROW(Create_TC_Web!$C$1:$C$505)),""),ROW(Create_TC_Web!G56))),"")</f>
        <v/>
      </c>
      <c r="G56" t="str" cm="1">
        <f t="array" ref="G56">IFERROR(INDEX(Create_TC_Web!J$1:J$505,SMALL(IF(Create_TC_Web!$C$1:$C$505&lt;&gt;"",MATCH(ROW(Create_TC_Web!$C$1:$C$505),ROW(Create_TC_Web!$C$1:$C$505)),""),ROW(Create_TC_Web!H56))),"")</f>
        <v/>
      </c>
      <c r="H56" t="str" cm="1">
        <f t="array" ref="H56">IFERROR(INDEX(Create_TC_Web!K$1:K$505,SMALL(IF(Create_TC_Web!$C$1:$C$505&lt;&gt;"",MATCH(ROW(Create_TC_Web!$C$1:$C$505),ROW(Create_TC_Web!$C$1:$C$505)),""),ROW(Create_TC_Web!I56))),"")</f>
        <v/>
      </c>
      <c r="I56" t="str" cm="1">
        <f t="array" ref="I56">IFERROR(INDEX(Create_TC_Web!L$1:L$505,SMALL(IF(Create_TC_Web!$C$1:$C$505&lt;&gt;"",MATCH(ROW(Create_TC_Web!$C$1:$C$505),ROW(Create_TC_Web!$C$1:$C$505)),""),ROW(Create_TC_Web!J56))),"")</f>
        <v/>
      </c>
      <c r="J56" t="str" cm="1">
        <f t="array" ref="J56">IFERROR(INDEX(Create_TC_Web!M$1:M$505,SMALL(IF(Create_TC_Web!$C$1:$C$505&lt;&gt;"",MATCH(ROW(Create_TC_Web!$C$1:$C$505),ROW(Create_TC_Web!$C$1:$C$505)),""),ROW(Create_TC_Web!K56))),"")</f>
        <v/>
      </c>
      <c r="K56" t="str" cm="1">
        <f t="array" ref="K56">IFERROR(INDEX(Create_TC_Web!N$1:N$505,SMALL(IF(Create_TC_Web!$C$1:$C$505&lt;&gt;"",MATCH(ROW(Create_TC_Web!$C$1:$C$505),ROW(Create_TC_Web!$C$1:$C$505)),""),ROW(Create_TC_Web!L56))),"")</f>
        <v/>
      </c>
      <c r="L56" t="str" cm="1">
        <f t="array" ref="L56">IFERROR(INDEX(Create_TC_Web!O$1:O$505,SMALL(IF(Create_TC_Web!$C$1:$C$505&lt;&gt;"",MATCH(ROW(Create_TC_Web!$C$1:$C$505),ROW(Create_TC_Web!$C$1:$C$505)),""),ROW(Create_TC_Web!M56))),"")</f>
        <v/>
      </c>
      <c r="M56" t="str" cm="1">
        <f t="array" ref="M56">IFERROR(INDEX(Create_TC_Web!P$1:P$505,SMALL(IF(Create_TC_Web!$C$1:$C$505&lt;&gt;"",MATCH(ROW(Create_TC_Web!$C$1:$C$505),ROW(Create_TC_Web!$C$1:$C$505)),""),ROW(Create_TC_Web!N56))),"")</f>
        <v/>
      </c>
      <c r="N56">
        <f>Create_TC_Web!CA65</f>
        <v>0</v>
      </c>
      <c r="O56" t="str">
        <f t="shared" si="1"/>
        <v/>
      </c>
      <c r="P56" s="17">
        <f>Create_TC_Web!CI43</f>
        <v>0</v>
      </c>
      <c r="Q56" t="str">
        <f>IF(TestData!CB56&lt;&gt;0,TestData!CB56,"")</f>
        <v/>
      </c>
      <c r="R56" t="str">
        <f t="shared" si="6"/>
        <v/>
      </c>
      <c r="S56" t="str">
        <f t="shared" si="2"/>
        <v/>
      </c>
      <c r="AE56" t="str">
        <f t="shared" si="3"/>
        <v/>
      </c>
    </row>
    <row r="57" spans="1:31">
      <c r="A57" t="str" cm="1">
        <f t="array" ref="A57">IFERROR(INDEX(Create_TC_Web!D$1:D$505,SMALL(IF(Create_TC_Web!$C$1:$C$505&lt;&gt;"",MATCH(ROW(Create_TC_Web!$C$1:$C$505),ROW(Create_TC_Web!$C$1:$C$505)),""),ROW(Create_TC_Web!B57))),"")</f>
        <v/>
      </c>
      <c r="B57" t="str" cm="1">
        <f t="array" ref="B57">SUBSTITUTE(SUBSTITUTE(SUBSTITUTE(IFERROR(INDEX(Create_TC_Web!E$1:E$505,SMALL(IF(Create_TC_Web!$C$1:$C$505&lt;&gt;"",MATCH(ROW(Create_TC_Web!$C$1:$C$505),ROW(Create_TC_Web!$C$1:$C$505)),""),ROW(Create_TC_Web!C57))),"")," ",""),"-",""),"_","")</f>
        <v/>
      </c>
      <c r="C57" t="str" cm="1">
        <f t="array" ref="C57">IFERROR(INDEX(Create_TC_Web!F$1:F$505,SMALL(IF(Create_TC_Web!$C$1:$C$505&lt;&gt;"",MATCH(ROW(Create_TC_Web!$C$1:$C$505),ROW(Create_TC_Web!$C$1:$C$505)),""),ROW(Create_TC_Web!D57))),"")</f>
        <v/>
      </c>
      <c r="D57" t="str" cm="1">
        <f t="array" ref="D57">IFERROR(INDEX(Create_TC_Web!G$1:G$505,SMALL(IF(Create_TC_Web!$C$1:$C$505&lt;&gt;"",MATCH(ROW(Create_TC_Web!$C$1:$C$505),ROW(Create_TC_Web!$C$1:$C$505)),""),ROW(Create_TC_Web!E57))),"")</f>
        <v/>
      </c>
      <c r="E57" t="str" cm="1">
        <f t="array" ref="E57">IFERROR(INDEX(Create_TC_Web!H$1:H$505,SMALL(IF(Create_TC_Web!$C$1:$C$505&lt;&gt;"",MATCH(ROW(Create_TC_Web!$C$1:$C$505),ROW(Create_TC_Web!$C$1:$C$505)),""),ROW(Create_TC_Web!F57))),"")</f>
        <v/>
      </c>
      <c r="F57" t="str" cm="1">
        <f t="array" ref="F57">IFERROR(INDEX(Create_TC_Web!I$1:I$505,SMALL(IF(Create_TC_Web!$C$1:$C$505&lt;&gt;"",MATCH(ROW(Create_TC_Web!$C$1:$C$505),ROW(Create_TC_Web!$C$1:$C$505)),""),ROW(Create_TC_Web!G57))),"")</f>
        <v/>
      </c>
      <c r="G57" t="str" cm="1">
        <f t="array" ref="G57">IFERROR(INDEX(Create_TC_Web!J$1:J$505,SMALL(IF(Create_TC_Web!$C$1:$C$505&lt;&gt;"",MATCH(ROW(Create_TC_Web!$C$1:$C$505),ROW(Create_TC_Web!$C$1:$C$505)),""),ROW(Create_TC_Web!H57))),"")</f>
        <v/>
      </c>
      <c r="H57" t="str" cm="1">
        <f t="array" ref="H57">IFERROR(INDEX(Create_TC_Web!K$1:K$505,SMALL(IF(Create_TC_Web!$C$1:$C$505&lt;&gt;"",MATCH(ROW(Create_TC_Web!$C$1:$C$505),ROW(Create_TC_Web!$C$1:$C$505)),""),ROW(Create_TC_Web!I57))),"")</f>
        <v/>
      </c>
      <c r="I57" t="str" cm="1">
        <f t="array" ref="I57">IFERROR(INDEX(Create_TC_Web!L$1:L$505,SMALL(IF(Create_TC_Web!$C$1:$C$505&lt;&gt;"",MATCH(ROW(Create_TC_Web!$C$1:$C$505),ROW(Create_TC_Web!$C$1:$C$505)),""),ROW(Create_TC_Web!J57))),"")</f>
        <v/>
      </c>
      <c r="J57" t="str" cm="1">
        <f t="array" ref="J57">IFERROR(INDEX(Create_TC_Web!M$1:M$505,SMALL(IF(Create_TC_Web!$C$1:$C$505&lt;&gt;"",MATCH(ROW(Create_TC_Web!$C$1:$C$505),ROW(Create_TC_Web!$C$1:$C$505)),""),ROW(Create_TC_Web!K57))),"")</f>
        <v/>
      </c>
      <c r="K57" t="str" cm="1">
        <f t="array" ref="K57">IFERROR(INDEX(Create_TC_Web!N$1:N$505,SMALL(IF(Create_TC_Web!$C$1:$C$505&lt;&gt;"",MATCH(ROW(Create_TC_Web!$C$1:$C$505),ROW(Create_TC_Web!$C$1:$C$505)),""),ROW(Create_TC_Web!L57))),"")</f>
        <v/>
      </c>
      <c r="L57" t="str" cm="1">
        <f t="array" ref="L57">IFERROR(INDEX(Create_TC_Web!O$1:O$505,SMALL(IF(Create_TC_Web!$C$1:$C$505&lt;&gt;"",MATCH(ROW(Create_TC_Web!$C$1:$C$505),ROW(Create_TC_Web!$C$1:$C$505)),""),ROW(Create_TC_Web!M57))),"")</f>
        <v/>
      </c>
      <c r="M57" t="str" cm="1">
        <f t="array" ref="M57">IFERROR(INDEX(Create_TC_Web!P$1:P$505,SMALL(IF(Create_TC_Web!$C$1:$C$505&lt;&gt;"",MATCH(ROW(Create_TC_Web!$C$1:$C$505),ROW(Create_TC_Web!$C$1:$C$505)),""),ROW(Create_TC_Web!N57))),"")</f>
        <v/>
      </c>
      <c r="N57">
        <f>Create_TC_Web!CA66</f>
        <v>0</v>
      </c>
      <c r="O57" t="str">
        <f t="shared" si="1"/>
        <v/>
      </c>
      <c r="P57" s="17">
        <f>Create_TC_Web!CI44</f>
        <v>0</v>
      </c>
      <c r="Q57" t="str">
        <f>IF(TestData!CB57&lt;&gt;0,TestData!CB57,"")</f>
        <v/>
      </c>
      <c r="R57" t="str">
        <f t="shared" si="6"/>
        <v/>
      </c>
      <c r="S57" t="str">
        <f t="shared" si="2"/>
        <v/>
      </c>
      <c r="AE57" t="str">
        <f t="shared" si="3"/>
        <v/>
      </c>
    </row>
    <row r="58" spans="1:31">
      <c r="A58" t="str" cm="1">
        <f t="array" ref="A58">IFERROR(INDEX(Create_TC_Web!D$1:D$505,SMALL(IF(Create_TC_Web!$C$1:$C$505&lt;&gt;"",MATCH(ROW(Create_TC_Web!$C$1:$C$505),ROW(Create_TC_Web!$C$1:$C$505)),""),ROW(Create_TC_Web!B58))),"")</f>
        <v/>
      </c>
      <c r="B58" t="str" cm="1">
        <f t="array" ref="B58">SUBSTITUTE(SUBSTITUTE(SUBSTITUTE(IFERROR(INDEX(Create_TC_Web!E$1:E$505,SMALL(IF(Create_TC_Web!$C$1:$C$505&lt;&gt;"",MATCH(ROW(Create_TC_Web!$C$1:$C$505),ROW(Create_TC_Web!$C$1:$C$505)),""),ROW(Create_TC_Web!C58))),"")," ",""),"-",""),"_","")</f>
        <v/>
      </c>
      <c r="C58" t="str" cm="1">
        <f t="array" ref="C58">IFERROR(INDEX(Create_TC_Web!F$1:F$505,SMALL(IF(Create_TC_Web!$C$1:$C$505&lt;&gt;"",MATCH(ROW(Create_TC_Web!$C$1:$C$505),ROW(Create_TC_Web!$C$1:$C$505)),""),ROW(Create_TC_Web!D58))),"")</f>
        <v/>
      </c>
      <c r="D58" t="str" cm="1">
        <f t="array" ref="D58">IFERROR(INDEX(Create_TC_Web!G$1:G$505,SMALL(IF(Create_TC_Web!$C$1:$C$505&lt;&gt;"",MATCH(ROW(Create_TC_Web!$C$1:$C$505),ROW(Create_TC_Web!$C$1:$C$505)),""),ROW(Create_TC_Web!E58))),"")</f>
        <v/>
      </c>
      <c r="E58" t="str" cm="1">
        <f t="array" ref="E58">IFERROR(INDEX(Create_TC_Web!H$1:H$505,SMALL(IF(Create_TC_Web!$C$1:$C$505&lt;&gt;"",MATCH(ROW(Create_TC_Web!$C$1:$C$505),ROW(Create_TC_Web!$C$1:$C$505)),""),ROW(Create_TC_Web!F58))),"")</f>
        <v/>
      </c>
      <c r="F58" t="str" cm="1">
        <f t="array" ref="F58">IFERROR(INDEX(Create_TC_Web!I$1:I$505,SMALL(IF(Create_TC_Web!$C$1:$C$505&lt;&gt;"",MATCH(ROW(Create_TC_Web!$C$1:$C$505),ROW(Create_TC_Web!$C$1:$C$505)),""),ROW(Create_TC_Web!G58))),"")</f>
        <v/>
      </c>
      <c r="G58" t="str" cm="1">
        <f t="array" ref="G58">IFERROR(INDEX(Create_TC_Web!J$1:J$505,SMALL(IF(Create_TC_Web!$C$1:$C$505&lt;&gt;"",MATCH(ROW(Create_TC_Web!$C$1:$C$505),ROW(Create_TC_Web!$C$1:$C$505)),""),ROW(Create_TC_Web!H58))),"")</f>
        <v/>
      </c>
      <c r="H58" t="str" cm="1">
        <f t="array" ref="H58">IFERROR(INDEX(Create_TC_Web!K$1:K$505,SMALL(IF(Create_TC_Web!$C$1:$C$505&lt;&gt;"",MATCH(ROW(Create_TC_Web!$C$1:$C$505),ROW(Create_TC_Web!$C$1:$C$505)),""),ROW(Create_TC_Web!I58))),"")</f>
        <v/>
      </c>
      <c r="I58" t="str" cm="1">
        <f t="array" ref="I58">IFERROR(INDEX(Create_TC_Web!L$1:L$505,SMALL(IF(Create_TC_Web!$C$1:$C$505&lt;&gt;"",MATCH(ROW(Create_TC_Web!$C$1:$C$505),ROW(Create_TC_Web!$C$1:$C$505)),""),ROW(Create_TC_Web!J58))),"")</f>
        <v/>
      </c>
      <c r="J58" t="str" cm="1">
        <f t="array" ref="J58">IFERROR(INDEX(Create_TC_Web!M$1:M$505,SMALL(IF(Create_TC_Web!$C$1:$C$505&lt;&gt;"",MATCH(ROW(Create_TC_Web!$C$1:$C$505),ROW(Create_TC_Web!$C$1:$C$505)),""),ROW(Create_TC_Web!K58))),"")</f>
        <v/>
      </c>
      <c r="K58" t="str" cm="1">
        <f t="array" ref="K58">IFERROR(INDEX(Create_TC_Web!N$1:N$505,SMALL(IF(Create_TC_Web!$C$1:$C$505&lt;&gt;"",MATCH(ROW(Create_TC_Web!$C$1:$C$505),ROW(Create_TC_Web!$C$1:$C$505)),""),ROW(Create_TC_Web!L58))),"")</f>
        <v/>
      </c>
      <c r="L58" t="str" cm="1">
        <f t="array" ref="L58">IFERROR(INDEX(Create_TC_Web!O$1:O$505,SMALL(IF(Create_TC_Web!$C$1:$C$505&lt;&gt;"",MATCH(ROW(Create_TC_Web!$C$1:$C$505),ROW(Create_TC_Web!$C$1:$C$505)),""),ROW(Create_TC_Web!M58))),"")</f>
        <v/>
      </c>
      <c r="M58" t="str" cm="1">
        <f t="array" ref="M58">IFERROR(INDEX(Create_TC_Web!P$1:P$505,SMALL(IF(Create_TC_Web!$C$1:$C$505&lt;&gt;"",MATCH(ROW(Create_TC_Web!$C$1:$C$505),ROW(Create_TC_Web!$C$1:$C$505)),""),ROW(Create_TC_Web!N58))),"")</f>
        <v/>
      </c>
      <c r="N58">
        <f>Create_TC_Web!CA67</f>
        <v>0</v>
      </c>
      <c r="O58" t="str">
        <f t="shared" si="1"/>
        <v/>
      </c>
      <c r="P58" s="17">
        <f>Create_TC_Web!CI45</f>
        <v>0</v>
      </c>
      <c r="Q58" t="str">
        <f>IF(TestData!CB58&lt;&gt;0,TestData!CB58,"")</f>
        <v/>
      </c>
      <c r="R58" t="str">
        <f t="shared" si="6"/>
        <v/>
      </c>
      <c r="S58" t="str">
        <f t="shared" si="2"/>
        <v/>
      </c>
      <c r="AE58" t="str">
        <f t="shared" si="3"/>
        <v/>
      </c>
    </row>
    <row r="59" spans="1:31">
      <c r="A59" t="str" cm="1">
        <f t="array" ref="A59">IFERROR(INDEX(Create_TC_Web!D$1:D$505,SMALL(IF(Create_TC_Web!$C$1:$C$505&lt;&gt;"",MATCH(ROW(Create_TC_Web!$C$1:$C$505),ROW(Create_TC_Web!$C$1:$C$505)),""),ROW(Create_TC_Web!B59))),"")</f>
        <v/>
      </c>
      <c r="B59" t="str" cm="1">
        <f t="array" ref="B59">SUBSTITUTE(SUBSTITUTE(SUBSTITUTE(IFERROR(INDEX(Create_TC_Web!E$1:E$505,SMALL(IF(Create_TC_Web!$C$1:$C$505&lt;&gt;"",MATCH(ROW(Create_TC_Web!$C$1:$C$505),ROW(Create_TC_Web!$C$1:$C$505)),""),ROW(Create_TC_Web!C59))),"")," ",""),"-",""),"_","")</f>
        <v/>
      </c>
      <c r="C59" t="str" cm="1">
        <f t="array" ref="C59">IFERROR(INDEX(Create_TC_Web!F$1:F$505,SMALL(IF(Create_TC_Web!$C$1:$C$505&lt;&gt;"",MATCH(ROW(Create_TC_Web!$C$1:$C$505),ROW(Create_TC_Web!$C$1:$C$505)),""),ROW(Create_TC_Web!D59))),"")</f>
        <v/>
      </c>
      <c r="D59" t="str" cm="1">
        <f t="array" ref="D59">IFERROR(INDEX(Create_TC_Web!G$1:G$505,SMALL(IF(Create_TC_Web!$C$1:$C$505&lt;&gt;"",MATCH(ROW(Create_TC_Web!$C$1:$C$505),ROW(Create_TC_Web!$C$1:$C$505)),""),ROW(Create_TC_Web!E59))),"")</f>
        <v/>
      </c>
      <c r="E59" t="str" cm="1">
        <f t="array" ref="E59">IFERROR(INDEX(Create_TC_Web!H$1:H$505,SMALL(IF(Create_TC_Web!$C$1:$C$505&lt;&gt;"",MATCH(ROW(Create_TC_Web!$C$1:$C$505),ROW(Create_TC_Web!$C$1:$C$505)),""),ROW(Create_TC_Web!F59))),"")</f>
        <v/>
      </c>
      <c r="F59" t="str" cm="1">
        <f t="array" ref="F59">IFERROR(INDEX(Create_TC_Web!I$1:I$505,SMALL(IF(Create_TC_Web!$C$1:$C$505&lt;&gt;"",MATCH(ROW(Create_TC_Web!$C$1:$C$505),ROW(Create_TC_Web!$C$1:$C$505)),""),ROW(Create_TC_Web!G59))),"")</f>
        <v/>
      </c>
      <c r="G59" t="str" cm="1">
        <f t="array" ref="G59">IFERROR(INDEX(Create_TC_Web!J$1:J$505,SMALL(IF(Create_TC_Web!$C$1:$C$505&lt;&gt;"",MATCH(ROW(Create_TC_Web!$C$1:$C$505),ROW(Create_TC_Web!$C$1:$C$505)),""),ROW(Create_TC_Web!H59))),"")</f>
        <v/>
      </c>
      <c r="H59" t="str" cm="1">
        <f t="array" ref="H59">IFERROR(INDEX(Create_TC_Web!K$1:K$505,SMALL(IF(Create_TC_Web!$C$1:$C$505&lt;&gt;"",MATCH(ROW(Create_TC_Web!$C$1:$C$505),ROW(Create_TC_Web!$C$1:$C$505)),""),ROW(Create_TC_Web!I59))),"")</f>
        <v/>
      </c>
      <c r="I59" t="str" cm="1">
        <f t="array" ref="I59">IFERROR(INDEX(Create_TC_Web!L$1:L$505,SMALL(IF(Create_TC_Web!$C$1:$C$505&lt;&gt;"",MATCH(ROW(Create_TC_Web!$C$1:$C$505),ROW(Create_TC_Web!$C$1:$C$505)),""),ROW(Create_TC_Web!J59))),"")</f>
        <v/>
      </c>
      <c r="J59" t="str" cm="1">
        <f t="array" ref="J59">IFERROR(INDEX(Create_TC_Web!M$1:M$505,SMALL(IF(Create_TC_Web!$C$1:$C$505&lt;&gt;"",MATCH(ROW(Create_TC_Web!$C$1:$C$505),ROW(Create_TC_Web!$C$1:$C$505)),""),ROW(Create_TC_Web!K59))),"")</f>
        <v/>
      </c>
      <c r="K59" t="str" cm="1">
        <f t="array" ref="K59">IFERROR(INDEX(Create_TC_Web!N$1:N$505,SMALL(IF(Create_TC_Web!$C$1:$C$505&lt;&gt;"",MATCH(ROW(Create_TC_Web!$C$1:$C$505),ROW(Create_TC_Web!$C$1:$C$505)),""),ROW(Create_TC_Web!L59))),"")</f>
        <v/>
      </c>
      <c r="L59" t="str" cm="1">
        <f t="array" ref="L59">IFERROR(INDEX(Create_TC_Web!O$1:O$505,SMALL(IF(Create_TC_Web!$C$1:$C$505&lt;&gt;"",MATCH(ROW(Create_TC_Web!$C$1:$C$505),ROW(Create_TC_Web!$C$1:$C$505)),""),ROW(Create_TC_Web!M59))),"")</f>
        <v/>
      </c>
      <c r="M59" t="str" cm="1">
        <f t="array" ref="M59">IFERROR(INDEX(Create_TC_Web!P$1:P$505,SMALL(IF(Create_TC_Web!$C$1:$C$505&lt;&gt;"",MATCH(ROW(Create_TC_Web!$C$1:$C$505),ROW(Create_TC_Web!$C$1:$C$505)),""),ROW(Create_TC_Web!N59))),"")</f>
        <v/>
      </c>
      <c r="N59">
        <f>Create_TC_Web!CA68</f>
        <v>0</v>
      </c>
      <c r="O59" t="str">
        <f t="shared" si="1"/>
        <v/>
      </c>
      <c r="P59" s="17">
        <f>Create_TC_Web!CI46</f>
        <v>0</v>
      </c>
      <c r="Q59" t="str">
        <f>IF(TestData!CB59&lt;&gt;0,TestData!CB59,"")</f>
        <v/>
      </c>
      <c r="R59" t="str">
        <f t="shared" si="6"/>
        <v/>
      </c>
      <c r="S59" t="str">
        <f t="shared" si="2"/>
        <v/>
      </c>
      <c r="AE59" t="str">
        <f t="shared" si="3"/>
        <v/>
      </c>
    </row>
    <row r="60" spans="1:31">
      <c r="A60" t="str" cm="1">
        <f t="array" ref="A60">IFERROR(INDEX(Create_TC_Web!D$1:D$505,SMALL(IF(Create_TC_Web!$C$1:$C$505&lt;&gt;"",MATCH(ROW(Create_TC_Web!$C$1:$C$505),ROW(Create_TC_Web!$C$1:$C$505)),""),ROW(Create_TC_Web!B60))),"")</f>
        <v/>
      </c>
      <c r="B60" t="str" cm="1">
        <f t="array" ref="B60">SUBSTITUTE(SUBSTITUTE(SUBSTITUTE(IFERROR(INDEX(Create_TC_Web!E$1:E$505,SMALL(IF(Create_TC_Web!$C$1:$C$505&lt;&gt;"",MATCH(ROW(Create_TC_Web!$C$1:$C$505),ROW(Create_TC_Web!$C$1:$C$505)),""),ROW(Create_TC_Web!C60))),"")," ",""),"-",""),"_","")</f>
        <v/>
      </c>
      <c r="C60" t="str" cm="1">
        <f t="array" ref="C60">IFERROR(INDEX(Create_TC_Web!F$1:F$505,SMALL(IF(Create_TC_Web!$C$1:$C$505&lt;&gt;"",MATCH(ROW(Create_TC_Web!$C$1:$C$505),ROW(Create_TC_Web!$C$1:$C$505)),""),ROW(Create_TC_Web!D60))),"")</f>
        <v/>
      </c>
      <c r="D60" t="str" cm="1">
        <f t="array" ref="D60">IFERROR(INDEX(Create_TC_Web!G$1:G$505,SMALL(IF(Create_TC_Web!$C$1:$C$505&lt;&gt;"",MATCH(ROW(Create_TC_Web!$C$1:$C$505),ROW(Create_TC_Web!$C$1:$C$505)),""),ROW(Create_TC_Web!E60))),"")</f>
        <v/>
      </c>
      <c r="E60" t="str" cm="1">
        <f t="array" ref="E60">IFERROR(INDEX(Create_TC_Web!H$1:H$505,SMALL(IF(Create_TC_Web!$C$1:$C$505&lt;&gt;"",MATCH(ROW(Create_TC_Web!$C$1:$C$505),ROW(Create_TC_Web!$C$1:$C$505)),""),ROW(Create_TC_Web!F60))),"")</f>
        <v/>
      </c>
      <c r="F60" t="str" cm="1">
        <f t="array" ref="F60">IFERROR(INDEX(Create_TC_Web!I$1:I$505,SMALL(IF(Create_TC_Web!$C$1:$C$505&lt;&gt;"",MATCH(ROW(Create_TC_Web!$C$1:$C$505),ROW(Create_TC_Web!$C$1:$C$505)),""),ROW(Create_TC_Web!G60))),"")</f>
        <v/>
      </c>
      <c r="G60" t="str" cm="1">
        <f t="array" ref="G60">IFERROR(INDEX(Create_TC_Web!J$1:J$505,SMALL(IF(Create_TC_Web!$C$1:$C$505&lt;&gt;"",MATCH(ROW(Create_TC_Web!$C$1:$C$505),ROW(Create_TC_Web!$C$1:$C$505)),""),ROW(Create_TC_Web!H60))),"")</f>
        <v/>
      </c>
      <c r="H60" t="str" cm="1">
        <f t="array" ref="H60">IFERROR(INDEX(Create_TC_Web!K$1:K$505,SMALL(IF(Create_TC_Web!$C$1:$C$505&lt;&gt;"",MATCH(ROW(Create_TC_Web!$C$1:$C$505),ROW(Create_TC_Web!$C$1:$C$505)),""),ROW(Create_TC_Web!I60))),"")</f>
        <v/>
      </c>
      <c r="I60" t="str" cm="1">
        <f t="array" ref="I60">IFERROR(INDEX(Create_TC_Web!L$1:L$505,SMALL(IF(Create_TC_Web!$C$1:$C$505&lt;&gt;"",MATCH(ROW(Create_TC_Web!$C$1:$C$505),ROW(Create_TC_Web!$C$1:$C$505)),""),ROW(Create_TC_Web!J60))),"")</f>
        <v/>
      </c>
      <c r="J60" t="str" cm="1">
        <f t="array" ref="J60">IFERROR(INDEX(Create_TC_Web!M$1:M$505,SMALL(IF(Create_TC_Web!$C$1:$C$505&lt;&gt;"",MATCH(ROW(Create_TC_Web!$C$1:$C$505),ROW(Create_TC_Web!$C$1:$C$505)),""),ROW(Create_TC_Web!K60))),"")</f>
        <v/>
      </c>
      <c r="K60" t="str" cm="1">
        <f t="array" ref="K60">IFERROR(INDEX(Create_TC_Web!N$1:N$505,SMALL(IF(Create_TC_Web!$C$1:$C$505&lt;&gt;"",MATCH(ROW(Create_TC_Web!$C$1:$C$505),ROW(Create_TC_Web!$C$1:$C$505)),""),ROW(Create_TC_Web!L60))),"")</f>
        <v/>
      </c>
      <c r="L60" t="str" cm="1">
        <f t="array" ref="L60">IFERROR(INDEX(Create_TC_Web!O$1:O$505,SMALL(IF(Create_TC_Web!$C$1:$C$505&lt;&gt;"",MATCH(ROW(Create_TC_Web!$C$1:$C$505),ROW(Create_TC_Web!$C$1:$C$505)),""),ROW(Create_TC_Web!M60))),"")</f>
        <v/>
      </c>
      <c r="M60" t="str" cm="1">
        <f t="array" ref="M60">IFERROR(INDEX(Create_TC_Web!P$1:P$505,SMALL(IF(Create_TC_Web!$C$1:$C$505&lt;&gt;"",MATCH(ROW(Create_TC_Web!$C$1:$C$505),ROW(Create_TC_Web!$C$1:$C$505)),""),ROW(Create_TC_Web!N60))),"")</f>
        <v/>
      </c>
      <c r="N60">
        <f>Create_TC_Web!CA69</f>
        <v>0</v>
      </c>
      <c r="O60" t="str">
        <f t="shared" si="1"/>
        <v/>
      </c>
      <c r="P60" s="17">
        <f>Create_TC_Web!CI47</f>
        <v>0</v>
      </c>
      <c r="Q60" t="str">
        <f>IF(TestData!CB60&lt;&gt;0,TestData!CB60,"")</f>
        <v/>
      </c>
      <c r="R60" t="str">
        <f t="shared" si="6"/>
        <v/>
      </c>
      <c r="S60" t="str">
        <f t="shared" si="2"/>
        <v/>
      </c>
      <c r="AE60" t="str">
        <f t="shared" si="3"/>
        <v/>
      </c>
    </row>
    <row r="61" spans="1:31">
      <c r="A61" t="str" cm="1">
        <f t="array" ref="A61">IFERROR(INDEX(Create_TC_Web!D$1:D$505,SMALL(IF(Create_TC_Web!$C$1:$C$505&lt;&gt;"",MATCH(ROW(Create_TC_Web!$C$1:$C$505),ROW(Create_TC_Web!$C$1:$C$505)),""),ROW(Create_TC_Web!B61))),"")</f>
        <v/>
      </c>
      <c r="B61" t="str" cm="1">
        <f t="array" ref="B61">SUBSTITUTE(SUBSTITUTE(SUBSTITUTE(IFERROR(INDEX(Create_TC_Web!E$1:E$505,SMALL(IF(Create_TC_Web!$C$1:$C$505&lt;&gt;"",MATCH(ROW(Create_TC_Web!$C$1:$C$505),ROW(Create_TC_Web!$C$1:$C$505)),""),ROW(Create_TC_Web!C61))),"")," ",""),"-",""),"_","")</f>
        <v/>
      </c>
      <c r="C61" t="str" cm="1">
        <f t="array" ref="C61">IFERROR(INDEX(Create_TC_Web!F$1:F$505,SMALL(IF(Create_TC_Web!$C$1:$C$505&lt;&gt;"",MATCH(ROW(Create_TC_Web!$C$1:$C$505),ROW(Create_TC_Web!$C$1:$C$505)),""),ROW(Create_TC_Web!D61))),"")</f>
        <v/>
      </c>
      <c r="D61" t="str" cm="1">
        <f t="array" ref="D61">IFERROR(INDEX(Create_TC_Web!G$1:G$505,SMALL(IF(Create_TC_Web!$C$1:$C$505&lt;&gt;"",MATCH(ROW(Create_TC_Web!$C$1:$C$505),ROW(Create_TC_Web!$C$1:$C$505)),""),ROW(Create_TC_Web!E61))),"")</f>
        <v/>
      </c>
      <c r="E61" t="str" cm="1">
        <f t="array" ref="E61">IFERROR(INDEX(Create_TC_Web!H$1:H$505,SMALL(IF(Create_TC_Web!$C$1:$C$505&lt;&gt;"",MATCH(ROW(Create_TC_Web!$C$1:$C$505),ROW(Create_TC_Web!$C$1:$C$505)),""),ROW(Create_TC_Web!F61))),"")</f>
        <v/>
      </c>
      <c r="F61" t="str" cm="1">
        <f t="array" ref="F61">IFERROR(INDEX(Create_TC_Web!I$1:I$505,SMALL(IF(Create_TC_Web!$C$1:$C$505&lt;&gt;"",MATCH(ROW(Create_TC_Web!$C$1:$C$505),ROW(Create_TC_Web!$C$1:$C$505)),""),ROW(Create_TC_Web!G61))),"")</f>
        <v/>
      </c>
      <c r="G61" t="str" cm="1">
        <f t="array" ref="G61">IFERROR(INDEX(Create_TC_Web!J$1:J$505,SMALL(IF(Create_TC_Web!$C$1:$C$505&lt;&gt;"",MATCH(ROW(Create_TC_Web!$C$1:$C$505),ROW(Create_TC_Web!$C$1:$C$505)),""),ROW(Create_TC_Web!H61))),"")</f>
        <v/>
      </c>
      <c r="H61" t="str" cm="1">
        <f t="array" ref="H61">IFERROR(INDEX(Create_TC_Web!K$1:K$505,SMALL(IF(Create_TC_Web!$C$1:$C$505&lt;&gt;"",MATCH(ROW(Create_TC_Web!$C$1:$C$505),ROW(Create_TC_Web!$C$1:$C$505)),""),ROW(Create_TC_Web!I61))),"")</f>
        <v/>
      </c>
      <c r="I61" t="str" cm="1">
        <f t="array" ref="I61">IFERROR(INDEX(Create_TC_Web!L$1:L$505,SMALL(IF(Create_TC_Web!$C$1:$C$505&lt;&gt;"",MATCH(ROW(Create_TC_Web!$C$1:$C$505),ROW(Create_TC_Web!$C$1:$C$505)),""),ROW(Create_TC_Web!J61))),"")</f>
        <v/>
      </c>
      <c r="J61" t="str" cm="1">
        <f t="array" ref="J61">IFERROR(INDEX(Create_TC_Web!M$1:M$505,SMALL(IF(Create_TC_Web!$C$1:$C$505&lt;&gt;"",MATCH(ROW(Create_TC_Web!$C$1:$C$505),ROW(Create_TC_Web!$C$1:$C$505)),""),ROW(Create_TC_Web!K61))),"")</f>
        <v/>
      </c>
      <c r="K61" t="str" cm="1">
        <f t="array" ref="K61">IFERROR(INDEX(Create_TC_Web!N$1:N$505,SMALL(IF(Create_TC_Web!$C$1:$C$505&lt;&gt;"",MATCH(ROW(Create_TC_Web!$C$1:$C$505),ROW(Create_TC_Web!$C$1:$C$505)),""),ROW(Create_TC_Web!L61))),"")</f>
        <v/>
      </c>
      <c r="L61" t="str" cm="1">
        <f t="array" ref="L61">IFERROR(INDEX(Create_TC_Web!O$1:O$505,SMALL(IF(Create_TC_Web!$C$1:$C$505&lt;&gt;"",MATCH(ROW(Create_TC_Web!$C$1:$C$505),ROW(Create_TC_Web!$C$1:$C$505)),""),ROW(Create_TC_Web!M61))),"")</f>
        <v/>
      </c>
      <c r="M61" t="str" cm="1">
        <f t="array" ref="M61">IFERROR(INDEX(Create_TC_Web!P$1:P$505,SMALL(IF(Create_TC_Web!$C$1:$C$505&lt;&gt;"",MATCH(ROW(Create_TC_Web!$C$1:$C$505),ROW(Create_TC_Web!$C$1:$C$505)),""),ROW(Create_TC_Web!N61))),"")</f>
        <v/>
      </c>
      <c r="N61">
        <f>Create_TC_Web!CA70</f>
        <v>0</v>
      </c>
      <c r="O61" t="str">
        <f t="shared" si="1"/>
        <v/>
      </c>
      <c r="P61" s="17">
        <f>Create_TC_Web!CI48</f>
        <v>0</v>
      </c>
      <c r="Q61" t="str">
        <f>IF(TestData!CB61&lt;&gt;0,TestData!CB61,"")</f>
        <v/>
      </c>
      <c r="R61" t="str">
        <f t="shared" si="6"/>
        <v/>
      </c>
      <c r="S61" t="str">
        <f t="shared" si="2"/>
        <v/>
      </c>
      <c r="AE61" t="str">
        <f t="shared" si="3"/>
        <v/>
      </c>
    </row>
    <row r="62" spans="1:31">
      <c r="A62" t="str" cm="1">
        <f t="array" ref="A62">IFERROR(INDEX(Create_TC_Web!D$1:D$505,SMALL(IF(Create_TC_Web!$C$1:$C$505&lt;&gt;"",MATCH(ROW(Create_TC_Web!$C$1:$C$505),ROW(Create_TC_Web!$C$1:$C$505)),""),ROW(Create_TC_Web!B62))),"")</f>
        <v/>
      </c>
      <c r="B62" t="str" cm="1">
        <f t="array" ref="B62">SUBSTITUTE(SUBSTITUTE(SUBSTITUTE(IFERROR(INDEX(Create_TC_Web!E$1:E$505,SMALL(IF(Create_TC_Web!$C$1:$C$505&lt;&gt;"",MATCH(ROW(Create_TC_Web!$C$1:$C$505),ROW(Create_TC_Web!$C$1:$C$505)),""),ROW(Create_TC_Web!C62))),"")," ",""),"-",""),"_","")</f>
        <v/>
      </c>
      <c r="C62" t="str" cm="1">
        <f t="array" ref="C62">IFERROR(INDEX(Create_TC_Web!F$1:F$505,SMALL(IF(Create_TC_Web!$C$1:$C$505&lt;&gt;"",MATCH(ROW(Create_TC_Web!$C$1:$C$505),ROW(Create_TC_Web!$C$1:$C$505)),""),ROW(Create_TC_Web!D62))),"")</f>
        <v/>
      </c>
      <c r="D62" t="str" cm="1">
        <f t="array" ref="D62">IFERROR(INDEX(Create_TC_Web!G$1:G$505,SMALL(IF(Create_TC_Web!$C$1:$C$505&lt;&gt;"",MATCH(ROW(Create_TC_Web!$C$1:$C$505),ROW(Create_TC_Web!$C$1:$C$505)),""),ROW(Create_TC_Web!E62))),"")</f>
        <v/>
      </c>
      <c r="E62" t="str" cm="1">
        <f t="array" ref="E62">IFERROR(INDEX(Create_TC_Web!H$1:H$505,SMALL(IF(Create_TC_Web!$C$1:$C$505&lt;&gt;"",MATCH(ROW(Create_TC_Web!$C$1:$C$505),ROW(Create_TC_Web!$C$1:$C$505)),""),ROW(Create_TC_Web!F62))),"")</f>
        <v/>
      </c>
      <c r="F62" t="str" cm="1">
        <f t="array" ref="F62">IFERROR(INDEX(Create_TC_Web!I$1:I$505,SMALL(IF(Create_TC_Web!$C$1:$C$505&lt;&gt;"",MATCH(ROW(Create_TC_Web!$C$1:$C$505),ROW(Create_TC_Web!$C$1:$C$505)),""),ROW(Create_TC_Web!G62))),"")</f>
        <v/>
      </c>
      <c r="G62" t="str" cm="1">
        <f t="array" ref="G62">IFERROR(INDEX(Create_TC_Web!J$1:J$505,SMALL(IF(Create_TC_Web!$C$1:$C$505&lt;&gt;"",MATCH(ROW(Create_TC_Web!$C$1:$C$505),ROW(Create_TC_Web!$C$1:$C$505)),""),ROW(Create_TC_Web!H62))),"")</f>
        <v/>
      </c>
      <c r="H62" t="str" cm="1">
        <f t="array" ref="H62">IFERROR(INDEX(Create_TC_Web!K$1:K$505,SMALL(IF(Create_TC_Web!$C$1:$C$505&lt;&gt;"",MATCH(ROW(Create_TC_Web!$C$1:$C$505),ROW(Create_TC_Web!$C$1:$C$505)),""),ROW(Create_TC_Web!I62))),"")</f>
        <v/>
      </c>
      <c r="I62" t="str" cm="1">
        <f t="array" ref="I62">IFERROR(INDEX(Create_TC_Web!L$1:L$505,SMALL(IF(Create_TC_Web!$C$1:$C$505&lt;&gt;"",MATCH(ROW(Create_TC_Web!$C$1:$C$505),ROW(Create_TC_Web!$C$1:$C$505)),""),ROW(Create_TC_Web!J62))),"")</f>
        <v/>
      </c>
      <c r="J62" t="str" cm="1">
        <f t="array" ref="J62">IFERROR(INDEX(Create_TC_Web!M$1:M$505,SMALL(IF(Create_TC_Web!$C$1:$C$505&lt;&gt;"",MATCH(ROW(Create_TC_Web!$C$1:$C$505),ROW(Create_TC_Web!$C$1:$C$505)),""),ROW(Create_TC_Web!K62))),"")</f>
        <v/>
      </c>
      <c r="K62" t="str" cm="1">
        <f t="array" ref="K62">IFERROR(INDEX(Create_TC_Web!N$1:N$505,SMALL(IF(Create_TC_Web!$C$1:$C$505&lt;&gt;"",MATCH(ROW(Create_TC_Web!$C$1:$C$505),ROW(Create_TC_Web!$C$1:$C$505)),""),ROW(Create_TC_Web!L62))),"")</f>
        <v/>
      </c>
      <c r="L62" t="str" cm="1">
        <f t="array" ref="L62">IFERROR(INDEX(Create_TC_Web!O$1:O$505,SMALL(IF(Create_TC_Web!$C$1:$C$505&lt;&gt;"",MATCH(ROW(Create_TC_Web!$C$1:$C$505),ROW(Create_TC_Web!$C$1:$C$505)),""),ROW(Create_TC_Web!M62))),"")</f>
        <v/>
      </c>
      <c r="M62" t="str" cm="1">
        <f t="array" ref="M62">IFERROR(INDEX(Create_TC_Web!P$1:P$505,SMALL(IF(Create_TC_Web!$C$1:$C$505&lt;&gt;"",MATCH(ROW(Create_TC_Web!$C$1:$C$505),ROW(Create_TC_Web!$C$1:$C$505)),""),ROW(Create_TC_Web!N62))),"")</f>
        <v/>
      </c>
      <c r="N62">
        <f>Create_TC_Web!CA71</f>
        <v>0</v>
      </c>
      <c r="O62" t="str">
        <f t="shared" si="1"/>
        <v/>
      </c>
      <c r="P62" s="17">
        <f>Create_TC_Web!CI49</f>
        <v>0</v>
      </c>
      <c r="Q62" t="str">
        <f>IF(TestData!CB62&lt;&gt;0,TestData!CB62,"")</f>
        <v/>
      </c>
      <c r="R62" t="str">
        <f t="shared" si="6"/>
        <v/>
      </c>
      <c r="S62" t="str">
        <f t="shared" si="2"/>
        <v/>
      </c>
      <c r="AE62" t="str">
        <f t="shared" si="3"/>
        <v/>
      </c>
    </row>
    <row r="63" spans="1:31">
      <c r="A63" t="str" cm="1">
        <f t="array" ref="A63">IFERROR(INDEX(Create_TC_Web!D$1:D$505,SMALL(IF(Create_TC_Web!$C$1:$C$505&lt;&gt;"",MATCH(ROW(Create_TC_Web!$C$1:$C$505),ROW(Create_TC_Web!$C$1:$C$505)),""),ROW(Create_TC_Web!B63))),"")</f>
        <v/>
      </c>
      <c r="B63" t="str" cm="1">
        <f t="array" ref="B63">SUBSTITUTE(SUBSTITUTE(SUBSTITUTE(IFERROR(INDEX(Create_TC_Web!E$1:E$505,SMALL(IF(Create_TC_Web!$C$1:$C$505&lt;&gt;"",MATCH(ROW(Create_TC_Web!$C$1:$C$505),ROW(Create_TC_Web!$C$1:$C$505)),""),ROW(Create_TC_Web!C63))),"")," ",""),"-",""),"_","")</f>
        <v/>
      </c>
      <c r="C63" t="str" cm="1">
        <f t="array" ref="C63">IFERROR(INDEX(Create_TC_Web!F$1:F$505,SMALL(IF(Create_TC_Web!$C$1:$C$505&lt;&gt;"",MATCH(ROW(Create_TC_Web!$C$1:$C$505),ROW(Create_TC_Web!$C$1:$C$505)),""),ROW(Create_TC_Web!D63))),"")</f>
        <v/>
      </c>
      <c r="D63" t="str" cm="1">
        <f t="array" ref="D63">IFERROR(INDEX(Create_TC_Web!G$1:G$505,SMALL(IF(Create_TC_Web!$C$1:$C$505&lt;&gt;"",MATCH(ROW(Create_TC_Web!$C$1:$C$505),ROW(Create_TC_Web!$C$1:$C$505)),""),ROW(Create_TC_Web!E63))),"")</f>
        <v/>
      </c>
      <c r="E63" t="str" cm="1">
        <f t="array" ref="E63">IFERROR(INDEX(Create_TC_Web!H$1:H$505,SMALL(IF(Create_TC_Web!$C$1:$C$505&lt;&gt;"",MATCH(ROW(Create_TC_Web!$C$1:$C$505),ROW(Create_TC_Web!$C$1:$C$505)),""),ROW(Create_TC_Web!F63))),"")</f>
        <v/>
      </c>
      <c r="F63" t="str" cm="1">
        <f t="array" ref="F63">IFERROR(INDEX(Create_TC_Web!I$1:I$505,SMALL(IF(Create_TC_Web!$C$1:$C$505&lt;&gt;"",MATCH(ROW(Create_TC_Web!$C$1:$C$505),ROW(Create_TC_Web!$C$1:$C$505)),""),ROW(Create_TC_Web!G63))),"")</f>
        <v/>
      </c>
      <c r="G63" t="str" cm="1">
        <f t="array" ref="G63">IFERROR(INDEX(Create_TC_Web!J$1:J$505,SMALL(IF(Create_TC_Web!$C$1:$C$505&lt;&gt;"",MATCH(ROW(Create_TC_Web!$C$1:$C$505),ROW(Create_TC_Web!$C$1:$C$505)),""),ROW(Create_TC_Web!H63))),"")</f>
        <v/>
      </c>
      <c r="H63" t="str" cm="1">
        <f t="array" ref="H63">IFERROR(INDEX(Create_TC_Web!K$1:K$505,SMALL(IF(Create_TC_Web!$C$1:$C$505&lt;&gt;"",MATCH(ROW(Create_TC_Web!$C$1:$C$505),ROW(Create_TC_Web!$C$1:$C$505)),""),ROW(Create_TC_Web!I63))),"")</f>
        <v/>
      </c>
      <c r="I63" t="str" cm="1">
        <f t="array" ref="I63">IFERROR(INDEX(Create_TC_Web!L$1:L$505,SMALL(IF(Create_TC_Web!$C$1:$C$505&lt;&gt;"",MATCH(ROW(Create_TC_Web!$C$1:$C$505),ROW(Create_TC_Web!$C$1:$C$505)),""),ROW(Create_TC_Web!J63))),"")</f>
        <v/>
      </c>
      <c r="J63" t="str" cm="1">
        <f t="array" ref="J63">IFERROR(INDEX(Create_TC_Web!M$1:M$505,SMALL(IF(Create_TC_Web!$C$1:$C$505&lt;&gt;"",MATCH(ROW(Create_TC_Web!$C$1:$C$505),ROW(Create_TC_Web!$C$1:$C$505)),""),ROW(Create_TC_Web!K63))),"")</f>
        <v/>
      </c>
      <c r="K63" t="str" cm="1">
        <f t="array" ref="K63">IFERROR(INDEX(Create_TC_Web!N$1:N$505,SMALL(IF(Create_TC_Web!$C$1:$C$505&lt;&gt;"",MATCH(ROW(Create_TC_Web!$C$1:$C$505),ROW(Create_TC_Web!$C$1:$C$505)),""),ROW(Create_TC_Web!L63))),"")</f>
        <v/>
      </c>
      <c r="L63" t="str" cm="1">
        <f t="array" ref="L63">IFERROR(INDEX(Create_TC_Web!O$1:O$505,SMALL(IF(Create_TC_Web!$C$1:$C$505&lt;&gt;"",MATCH(ROW(Create_TC_Web!$C$1:$C$505),ROW(Create_TC_Web!$C$1:$C$505)),""),ROW(Create_TC_Web!M63))),"")</f>
        <v/>
      </c>
      <c r="M63" t="str" cm="1">
        <f t="array" ref="M63">IFERROR(INDEX(Create_TC_Web!P$1:P$505,SMALL(IF(Create_TC_Web!$C$1:$C$505&lt;&gt;"",MATCH(ROW(Create_TC_Web!$C$1:$C$505),ROW(Create_TC_Web!$C$1:$C$505)),""),ROW(Create_TC_Web!N63))),"")</f>
        <v/>
      </c>
      <c r="N63">
        <f>Create_TC_Web!CA72</f>
        <v>0</v>
      </c>
      <c r="O63" t="str">
        <f t="shared" si="1"/>
        <v/>
      </c>
      <c r="P63" s="17">
        <f>Create_TC_Web!CI50</f>
        <v>0</v>
      </c>
      <c r="Q63" t="str">
        <f>IF(TestData!CB63&lt;&gt;0,TestData!CB63,"")</f>
        <v/>
      </c>
      <c r="R63" t="str">
        <f t="shared" si="6"/>
        <v/>
      </c>
      <c r="S63" t="str">
        <f t="shared" si="2"/>
        <v/>
      </c>
      <c r="AE63" t="str">
        <f t="shared" si="3"/>
        <v/>
      </c>
    </row>
    <row r="64" spans="1:31">
      <c r="A64" t="str" cm="1">
        <f t="array" ref="A64">IFERROR(INDEX(Create_TC_Web!D$1:D$505,SMALL(IF(Create_TC_Web!$C$1:$C$505&lt;&gt;"",MATCH(ROW(Create_TC_Web!$C$1:$C$505),ROW(Create_TC_Web!$C$1:$C$505)),""),ROW(Create_TC_Web!B64))),"")</f>
        <v/>
      </c>
      <c r="B64" t="str" cm="1">
        <f t="array" ref="B64">SUBSTITUTE(SUBSTITUTE(SUBSTITUTE(IFERROR(INDEX(Create_TC_Web!E$1:E$505,SMALL(IF(Create_TC_Web!$C$1:$C$505&lt;&gt;"",MATCH(ROW(Create_TC_Web!$C$1:$C$505),ROW(Create_TC_Web!$C$1:$C$505)),""),ROW(Create_TC_Web!C64))),"")," ",""),"-",""),"_","")</f>
        <v/>
      </c>
      <c r="C64" t="str" cm="1">
        <f t="array" ref="C64">IFERROR(INDEX(Create_TC_Web!F$1:F$505,SMALL(IF(Create_TC_Web!$C$1:$C$505&lt;&gt;"",MATCH(ROW(Create_TC_Web!$C$1:$C$505),ROW(Create_TC_Web!$C$1:$C$505)),""),ROW(Create_TC_Web!D64))),"")</f>
        <v/>
      </c>
      <c r="D64" t="str" cm="1">
        <f t="array" ref="D64">IFERROR(INDEX(Create_TC_Web!G$1:G$505,SMALL(IF(Create_TC_Web!$C$1:$C$505&lt;&gt;"",MATCH(ROW(Create_TC_Web!$C$1:$C$505),ROW(Create_TC_Web!$C$1:$C$505)),""),ROW(Create_TC_Web!E64))),"")</f>
        <v/>
      </c>
      <c r="E64" t="str" cm="1">
        <f t="array" ref="E64">IFERROR(INDEX(Create_TC_Web!H$1:H$505,SMALL(IF(Create_TC_Web!$C$1:$C$505&lt;&gt;"",MATCH(ROW(Create_TC_Web!$C$1:$C$505),ROW(Create_TC_Web!$C$1:$C$505)),""),ROW(Create_TC_Web!F64))),"")</f>
        <v/>
      </c>
      <c r="F64" t="str" cm="1">
        <f t="array" ref="F64">IFERROR(INDEX(Create_TC_Web!I$1:I$505,SMALL(IF(Create_TC_Web!$C$1:$C$505&lt;&gt;"",MATCH(ROW(Create_TC_Web!$C$1:$C$505),ROW(Create_TC_Web!$C$1:$C$505)),""),ROW(Create_TC_Web!G64))),"")</f>
        <v/>
      </c>
      <c r="G64" t="str" cm="1">
        <f t="array" ref="G64">IFERROR(INDEX(Create_TC_Web!J$1:J$505,SMALL(IF(Create_TC_Web!$C$1:$C$505&lt;&gt;"",MATCH(ROW(Create_TC_Web!$C$1:$C$505),ROW(Create_TC_Web!$C$1:$C$505)),""),ROW(Create_TC_Web!H64))),"")</f>
        <v/>
      </c>
      <c r="H64" t="str" cm="1">
        <f t="array" ref="H64">IFERROR(INDEX(Create_TC_Web!K$1:K$505,SMALL(IF(Create_TC_Web!$C$1:$C$505&lt;&gt;"",MATCH(ROW(Create_TC_Web!$C$1:$C$505),ROW(Create_TC_Web!$C$1:$C$505)),""),ROW(Create_TC_Web!I64))),"")</f>
        <v/>
      </c>
      <c r="I64" t="str" cm="1">
        <f t="array" ref="I64">IFERROR(INDEX(Create_TC_Web!L$1:L$505,SMALL(IF(Create_TC_Web!$C$1:$C$505&lt;&gt;"",MATCH(ROW(Create_TC_Web!$C$1:$C$505),ROW(Create_TC_Web!$C$1:$C$505)),""),ROW(Create_TC_Web!J64))),"")</f>
        <v/>
      </c>
      <c r="J64" t="str" cm="1">
        <f t="array" ref="J64">IFERROR(INDEX(Create_TC_Web!M$1:M$505,SMALL(IF(Create_TC_Web!$C$1:$C$505&lt;&gt;"",MATCH(ROW(Create_TC_Web!$C$1:$C$505),ROW(Create_TC_Web!$C$1:$C$505)),""),ROW(Create_TC_Web!K64))),"")</f>
        <v/>
      </c>
      <c r="K64" t="str" cm="1">
        <f t="array" ref="K64">IFERROR(INDEX(Create_TC_Web!N$1:N$505,SMALL(IF(Create_TC_Web!$C$1:$C$505&lt;&gt;"",MATCH(ROW(Create_TC_Web!$C$1:$C$505),ROW(Create_TC_Web!$C$1:$C$505)),""),ROW(Create_TC_Web!L64))),"")</f>
        <v/>
      </c>
      <c r="L64" t="str" cm="1">
        <f t="array" ref="L64">IFERROR(INDEX(Create_TC_Web!O$1:O$505,SMALL(IF(Create_TC_Web!$C$1:$C$505&lt;&gt;"",MATCH(ROW(Create_TC_Web!$C$1:$C$505),ROW(Create_TC_Web!$C$1:$C$505)),""),ROW(Create_TC_Web!M64))),"")</f>
        <v/>
      </c>
      <c r="M64" t="str" cm="1">
        <f t="array" ref="M64">IFERROR(INDEX(Create_TC_Web!P$1:P$505,SMALL(IF(Create_TC_Web!$C$1:$C$505&lt;&gt;"",MATCH(ROW(Create_TC_Web!$C$1:$C$505),ROW(Create_TC_Web!$C$1:$C$505)),""),ROW(Create_TC_Web!N64))),"")</f>
        <v/>
      </c>
      <c r="N64">
        <f>Create_TC_Web!CA73</f>
        <v>0</v>
      </c>
      <c r="O64" t="str">
        <f t="shared" si="1"/>
        <v/>
      </c>
      <c r="P64" s="17">
        <f>Create_TC_Web!CI51</f>
        <v>0</v>
      </c>
      <c r="Q64" t="str">
        <f>IF(TestData!CB64&lt;&gt;0,TestData!CB64,"")</f>
        <v/>
      </c>
      <c r="R64" t="str">
        <f t="shared" si="6"/>
        <v/>
      </c>
      <c r="S64" t="str">
        <f t="shared" si="2"/>
        <v/>
      </c>
      <c r="AE64" t="str">
        <f t="shared" si="3"/>
        <v/>
      </c>
    </row>
    <row r="65" spans="1:31">
      <c r="A65" t="str" cm="1">
        <f t="array" ref="A65">IFERROR(INDEX(Create_TC_Web!D$1:D$505,SMALL(IF(Create_TC_Web!$C$1:$C$505&lt;&gt;"",MATCH(ROW(Create_TC_Web!$C$1:$C$505),ROW(Create_TC_Web!$C$1:$C$505)),""),ROW(Create_TC_Web!B65))),"")</f>
        <v/>
      </c>
      <c r="B65" t="str" cm="1">
        <f t="array" ref="B65">SUBSTITUTE(SUBSTITUTE(SUBSTITUTE(IFERROR(INDEX(Create_TC_Web!E$1:E$505,SMALL(IF(Create_TC_Web!$C$1:$C$505&lt;&gt;"",MATCH(ROW(Create_TC_Web!$C$1:$C$505),ROW(Create_TC_Web!$C$1:$C$505)),""),ROW(Create_TC_Web!C65))),"")," ",""),"-",""),"_","")</f>
        <v/>
      </c>
      <c r="C65" t="str" cm="1">
        <f t="array" ref="C65">IFERROR(INDEX(Create_TC_Web!F$1:F$505,SMALL(IF(Create_TC_Web!$C$1:$C$505&lt;&gt;"",MATCH(ROW(Create_TC_Web!$C$1:$C$505),ROW(Create_TC_Web!$C$1:$C$505)),""),ROW(Create_TC_Web!D65))),"")</f>
        <v/>
      </c>
      <c r="D65" t="str" cm="1">
        <f t="array" ref="D65">IFERROR(INDEX(Create_TC_Web!G$1:G$505,SMALL(IF(Create_TC_Web!$C$1:$C$505&lt;&gt;"",MATCH(ROW(Create_TC_Web!$C$1:$C$505),ROW(Create_TC_Web!$C$1:$C$505)),""),ROW(Create_TC_Web!E65))),"")</f>
        <v/>
      </c>
      <c r="E65" t="str" cm="1">
        <f t="array" ref="E65">IFERROR(INDEX(Create_TC_Web!H$1:H$505,SMALL(IF(Create_TC_Web!$C$1:$C$505&lt;&gt;"",MATCH(ROW(Create_TC_Web!$C$1:$C$505),ROW(Create_TC_Web!$C$1:$C$505)),""),ROW(Create_TC_Web!F65))),"")</f>
        <v/>
      </c>
      <c r="F65" t="str" cm="1">
        <f t="array" ref="F65">IFERROR(INDEX(Create_TC_Web!I$1:I$505,SMALL(IF(Create_TC_Web!$C$1:$C$505&lt;&gt;"",MATCH(ROW(Create_TC_Web!$C$1:$C$505),ROW(Create_TC_Web!$C$1:$C$505)),""),ROW(Create_TC_Web!G65))),"")</f>
        <v/>
      </c>
      <c r="G65" t="str" cm="1">
        <f t="array" ref="G65">IFERROR(INDEX(Create_TC_Web!J$1:J$505,SMALL(IF(Create_TC_Web!$C$1:$C$505&lt;&gt;"",MATCH(ROW(Create_TC_Web!$C$1:$C$505),ROW(Create_TC_Web!$C$1:$C$505)),""),ROW(Create_TC_Web!H65))),"")</f>
        <v/>
      </c>
      <c r="H65" t="str" cm="1">
        <f t="array" ref="H65">IFERROR(INDEX(Create_TC_Web!K$1:K$505,SMALL(IF(Create_TC_Web!$C$1:$C$505&lt;&gt;"",MATCH(ROW(Create_TC_Web!$C$1:$C$505),ROW(Create_TC_Web!$C$1:$C$505)),""),ROW(Create_TC_Web!I65))),"")</f>
        <v/>
      </c>
      <c r="I65" t="str" cm="1">
        <f t="array" ref="I65">IFERROR(INDEX(Create_TC_Web!L$1:L$505,SMALL(IF(Create_TC_Web!$C$1:$C$505&lt;&gt;"",MATCH(ROW(Create_TC_Web!$C$1:$C$505),ROW(Create_TC_Web!$C$1:$C$505)),""),ROW(Create_TC_Web!J65))),"")</f>
        <v/>
      </c>
      <c r="J65" t="str" cm="1">
        <f t="array" ref="J65">IFERROR(INDEX(Create_TC_Web!M$1:M$505,SMALL(IF(Create_TC_Web!$C$1:$C$505&lt;&gt;"",MATCH(ROW(Create_TC_Web!$C$1:$C$505),ROW(Create_TC_Web!$C$1:$C$505)),""),ROW(Create_TC_Web!K65))),"")</f>
        <v/>
      </c>
      <c r="K65" t="str" cm="1">
        <f t="array" ref="K65">IFERROR(INDEX(Create_TC_Web!N$1:N$505,SMALL(IF(Create_TC_Web!$C$1:$C$505&lt;&gt;"",MATCH(ROW(Create_TC_Web!$C$1:$C$505),ROW(Create_TC_Web!$C$1:$C$505)),""),ROW(Create_TC_Web!L65))),"")</f>
        <v/>
      </c>
      <c r="L65" t="str" cm="1">
        <f t="array" ref="L65">IFERROR(INDEX(Create_TC_Web!O$1:O$505,SMALL(IF(Create_TC_Web!$C$1:$C$505&lt;&gt;"",MATCH(ROW(Create_TC_Web!$C$1:$C$505),ROW(Create_TC_Web!$C$1:$C$505)),""),ROW(Create_TC_Web!M65))),"")</f>
        <v/>
      </c>
      <c r="M65" t="str" cm="1">
        <f t="array" ref="M65">IFERROR(INDEX(Create_TC_Web!P$1:P$505,SMALL(IF(Create_TC_Web!$C$1:$C$505&lt;&gt;"",MATCH(ROW(Create_TC_Web!$C$1:$C$505),ROW(Create_TC_Web!$C$1:$C$505)),""),ROW(Create_TC_Web!N65))),"")</f>
        <v/>
      </c>
      <c r="N65">
        <f>Create_TC_Web!CA74</f>
        <v>0</v>
      </c>
      <c r="O65" t="str">
        <f t="shared" si="1"/>
        <v/>
      </c>
      <c r="P65" s="17">
        <f>Create_TC_Web!CI52</f>
        <v>0</v>
      </c>
      <c r="Q65" t="str">
        <f>IF(TestData!CB65&lt;&gt;0,TestData!CB65,"")</f>
        <v/>
      </c>
      <c r="R65" t="str">
        <f t="shared" si="6"/>
        <v/>
      </c>
      <c r="S65" t="str">
        <f t="shared" si="2"/>
        <v/>
      </c>
      <c r="AE65" t="str">
        <f t="shared" si="3"/>
        <v/>
      </c>
    </row>
    <row r="66" spans="1:31">
      <c r="A66" t="str" cm="1">
        <f t="array" ref="A66">IFERROR(INDEX(Create_TC_Web!D$1:D$505,SMALL(IF(Create_TC_Web!$C$1:$C$505&lt;&gt;"",MATCH(ROW(Create_TC_Web!$C$1:$C$505),ROW(Create_TC_Web!$C$1:$C$505)),""),ROW(Create_TC_Web!B66))),"")</f>
        <v/>
      </c>
      <c r="B66" t="str" cm="1">
        <f t="array" ref="B66">SUBSTITUTE(SUBSTITUTE(SUBSTITUTE(IFERROR(INDEX(Create_TC_Web!E$1:E$505,SMALL(IF(Create_TC_Web!$C$1:$C$505&lt;&gt;"",MATCH(ROW(Create_TC_Web!$C$1:$C$505),ROW(Create_TC_Web!$C$1:$C$505)),""),ROW(Create_TC_Web!C66))),"")," ",""),"-",""),"_","")</f>
        <v/>
      </c>
      <c r="C66" t="str" cm="1">
        <f t="array" ref="C66">IFERROR(INDEX(Create_TC_Web!F$1:F$505,SMALL(IF(Create_TC_Web!$C$1:$C$505&lt;&gt;"",MATCH(ROW(Create_TC_Web!$C$1:$C$505),ROW(Create_TC_Web!$C$1:$C$505)),""),ROW(Create_TC_Web!D66))),"")</f>
        <v/>
      </c>
      <c r="D66" t="str" cm="1">
        <f t="array" ref="D66">IFERROR(INDEX(Create_TC_Web!G$1:G$505,SMALL(IF(Create_TC_Web!$C$1:$C$505&lt;&gt;"",MATCH(ROW(Create_TC_Web!$C$1:$C$505),ROW(Create_TC_Web!$C$1:$C$505)),""),ROW(Create_TC_Web!E66))),"")</f>
        <v/>
      </c>
      <c r="E66" t="str" cm="1">
        <f t="array" ref="E66">IFERROR(INDEX(Create_TC_Web!H$1:H$505,SMALL(IF(Create_TC_Web!$C$1:$C$505&lt;&gt;"",MATCH(ROW(Create_TC_Web!$C$1:$C$505),ROW(Create_TC_Web!$C$1:$C$505)),""),ROW(Create_TC_Web!F66))),"")</f>
        <v/>
      </c>
      <c r="F66" t="str" cm="1">
        <f t="array" ref="F66">IFERROR(INDEX(Create_TC_Web!I$1:I$505,SMALL(IF(Create_TC_Web!$C$1:$C$505&lt;&gt;"",MATCH(ROW(Create_TC_Web!$C$1:$C$505),ROW(Create_TC_Web!$C$1:$C$505)),""),ROW(Create_TC_Web!G66))),"")</f>
        <v/>
      </c>
      <c r="G66" t="str" cm="1">
        <f t="array" ref="G66">IFERROR(INDEX(Create_TC_Web!J$1:J$505,SMALL(IF(Create_TC_Web!$C$1:$C$505&lt;&gt;"",MATCH(ROW(Create_TC_Web!$C$1:$C$505),ROW(Create_TC_Web!$C$1:$C$505)),""),ROW(Create_TC_Web!H66))),"")</f>
        <v/>
      </c>
      <c r="H66" t="str" cm="1">
        <f t="array" ref="H66">IFERROR(INDEX(Create_TC_Web!K$1:K$505,SMALL(IF(Create_TC_Web!$C$1:$C$505&lt;&gt;"",MATCH(ROW(Create_TC_Web!$C$1:$C$505),ROW(Create_TC_Web!$C$1:$C$505)),""),ROW(Create_TC_Web!I66))),"")</f>
        <v/>
      </c>
      <c r="I66" t="str" cm="1">
        <f t="array" ref="I66">IFERROR(INDEX(Create_TC_Web!L$1:L$505,SMALL(IF(Create_TC_Web!$C$1:$C$505&lt;&gt;"",MATCH(ROW(Create_TC_Web!$C$1:$C$505),ROW(Create_TC_Web!$C$1:$C$505)),""),ROW(Create_TC_Web!J66))),"")</f>
        <v/>
      </c>
      <c r="J66" t="str" cm="1">
        <f t="array" ref="J66">IFERROR(INDEX(Create_TC_Web!M$1:M$505,SMALL(IF(Create_TC_Web!$C$1:$C$505&lt;&gt;"",MATCH(ROW(Create_TC_Web!$C$1:$C$505),ROW(Create_TC_Web!$C$1:$C$505)),""),ROW(Create_TC_Web!K66))),"")</f>
        <v/>
      </c>
      <c r="K66" t="str" cm="1">
        <f t="array" ref="K66">IFERROR(INDEX(Create_TC_Web!N$1:N$505,SMALL(IF(Create_TC_Web!$C$1:$C$505&lt;&gt;"",MATCH(ROW(Create_TC_Web!$C$1:$C$505),ROW(Create_TC_Web!$C$1:$C$505)),""),ROW(Create_TC_Web!L66))),"")</f>
        <v/>
      </c>
      <c r="L66" t="str" cm="1">
        <f t="array" ref="L66">IFERROR(INDEX(Create_TC_Web!O$1:O$505,SMALL(IF(Create_TC_Web!$C$1:$C$505&lt;&gt;"",MATCH(ROW(Create_TC_Web!$C$1:$C$505),ROW(Create_TC_Web!$C$1:$C$505)),""),ROW(Create_TC_Web!M66))),"")</f>
        <v/>
      </c>
      <c r="M66" t="str" cm="1">
        <f t="array" ref="M66">IFERROR(INDEX(Create_TC_Web!P$1:P$505,SMALL(IF(Create_TC_Web!$C$1:$C$505&lt;&gt;"",MATCH(ROW(Create_TC_Web!$C$1:$C$505),ROW(Create_TC_Web!$C$1:$C$505)),""),ROW(Create_TC_Web!N66))),"")</f>
        <v/>
      </c>
      <c r="N66">
        <f>Create_TC_Web!CA75</f>
        <v>0</v>
      </c>
      <c r="O66" t="str">
        <f t="shared" si="1"/>
        <v/>
      </c>
      <c r="P66" s="17">
        <f>Create_TC_Web!CI53</f>
        <v>0</v>
      </c>
      <c r="Q66" t="str">
        <f>IF(TestData!CB66&lt;&gt;0,TestData!CB66,"")</f>
        <v/>
      </c>
      <c r="R66" t="str">
        <f t="shared" si="6"/>
        <v/>
      </c>
      <c r="S66" t="str">
        <f t="shared" si="2"/>
        <v/>
      </c>
      <c r="AE66" t="str">
        <f t="shared" si="3"/>
        <v/>
      </c>
    </row>
    <row r="67" spans="1:31">
      <c r="A67" t="str" cm="1">
        <f t="array" ref="A67">IFERROR(INDEX(Create_TC_Web!D$1:D$505,SMALL(IF(Create_TC_Web!$C$1:$C$505&lt;&gt;"",MATCH(ROW(Create_TC_Web!$C$1:$C$505),ROW(Create_TC_Web!$C$1:$C$505)),""),ROW(Create_TC_Web!B67))),"")</f>
        <v/>
      </c>
      <c r="B67" t="str" cm="1">
        <f t="array" ref="B67">SUBSTITUTE(SUBSTITUTE(SUBSTITUTE(IFERROR(INDEX(Create_TC_Web!E$1:E$505,SMALL(IF(Create_TC_Web!$C$1:$C$505&lt;&gt;"",MATCH(ROW(Create_TC_Web!$C$1:$C$505),ROW(Create_TC_Web!$C$1:$C$505)),""),ROW(Create_TC_Web!C67))),"")," ",""),"-",""),"_","")</f>
        <v/>
      </c>
      <c r="C67" t="str" cm="1">
        <f t="array" ref="C67">IFERROR(INDEX(Create_TC_Web!F$1:F$505,SMALL(IF(Create_TC_Web!$C$1:$C$505&lt;&gt;"",MATCH(ROW(Create_TC_Web!$C$1:$C$505),ROW(Create_TC_Web!$C$1:$C$505)),""),ROW(Create_TC_Web!D67))),"")</f>
        <v/>
      </c>
      <c r="D67" t="str" cm="1">
        <f t="array" ref="D67">IFERROR(INDEX(Create_TC_Web!G$1:G$505,SMALL(IF(Create_TC_Web!$C$1:$C$505&lt;&gt;"",MATCH(ROW(Create_TC_Web!$C$1:$C$505),ROW(Create_TC_Web!$C$1:$C$505)),""),ROW(Create_TC_Web!E67))),"")</f>
        <v/>
      </c>
      <c r="E67" t="str" cm="1">
        <f t="array" ref="E67">IFERROR(INDEX(Create_TC_Web!H$1:H$505,SMALL(IF(Create_TC_Web!$C$1:$C$505&lt;&gt;"",MATCH(ROW(Create_TC_Web!$C$1:$C$505),ROW(Create_TC_Web!$C$1:$C$505)),""),ROW(Create_TC_Web!F67))),"")</f>
        <v/>
      </c>
      <c r="F67" t="str" cm="1">
        <f t="array" ref="F67">IFERROR(INDEX(Create_TC_Web!I$1:I$505,SMALL(IF(Create_TC_Web!$C$1:$C$505&lt;&gt;"",MATCH(ROW(Create_TC_Web!$C$1:$C$505),ROW(Create_TC_Web!$C$1:$C$505)),""),ROW(Create_TC_Web!G67))),"")</f>
        <v/>
      </c>
      <c r="G67" t="str" cm="1">
        <f t="array" ref="G67">IFERROR(INDEX(Create_TC_Web!J$1:J$505,SMALL(IF(Create_TC_Web!$C$1:$C$505&lt;&gt;"",MATCH(ROW(Create_TC_Web!$C$1:$C$505),ROW(Create_TC_Web!$C$1:$C$505)),""),ROW(Create_TC_Web!H67))),"")</f>
        <v/>
      </c>
      <c r="H67" t="str" cm="1">
        <f t="array" ref="H67">IFERROR(INDEX(Create_TC_Web!K$1:K$505,SMALL(IF(Create_TC_Web!$C$1:$C$505&lt;&gt;"",MATCH(ROW(Create_TC_Web!$C$1:$C$505),ROW(Create_TC_Web!$C$1:$C$505)),""),ROW(Create_TC_Web!I67))),"")</f>
        <v/>
      </c>
      <c r="I67" t="str" cm="1">
        <f t="array" ref="I67">IFERROR(INDEX(Create_TC_Web!L$1:L$505,SMALL(IF(Create_TC_Web!$C$1:$C$505&lt;&gt;"",MATCH(ROW(Create_TC_Web!$C$1:$C$505),ROW(Create_TC_Web!$C$1:$C$505)),""),ROW(Create_TC_Web!J67))),"")</f>
        <v/>
      </c>
      <c r="J67" t="str" cm="1">
        <f t="array" ref="J67">IFERROR(INDEX(Create_TC_Web!M$1:M$505,SMALL(IF(Create_TC_Web!$C$1:$C$505&lt;&gt;"",MATCH(ROW(Create_TC_Web!$C$1:$C$505),ROW(Create_TC_Web!$C$1:$C$505)),""),ROW(Create_TC_Web!K67))),"")</f>
        <v/>
      </c>
      <c r="K67" t="str" cm="1">
        <f t="array" ref="K67">IFERROR(INDEX(Create_TC_Web!N$1:N$505,SMALL(IF(Create_TC_Web!$C$1:$C$505&lt;&gt;"",MATCH(ROW(Create_TC_Web!$C$1:$C$505),ROW(Create_TC_Web!$C$1:$C$505)),""),ROW(Create_TC_Web!L67))),"")</f>
        <v/>
      </c>
      <c r="L67" t="str" cm="1">
        <f t="array" ref="L67">IFERROR(INDEX(Create_TC_Web!O$1:O$505,SMALL(IF(Create_TC_Web!$C$1:$C$505&lt;&gt;"",MATCH(ROW(Create_TC_Web!$C$1:$C$505),ROW(Create_TC_Web!$C$1:$C$505)),""),ROW(Create_TC_Web!M67))),"")</f>
        <v/>
      </c>
      <c r="M67" t="str" cm="1">
        <f t="array" ref="M67">IFERROR(INDEX(Create_TC_Web!P$1:P$505,SMALL(IF(Create_TC_Web!$C$1:$C$505&lt;&gt;"",MATCH(ROW(Create_TC_Web!$C$1:$C$505),ROW(Create_TC_Web!$C$1:$C$505)),""),ROW(Create_TC_Web!N67))),"")</f>
        <v/>
      </c>
      <c r="N67">
        <f>Create_TC_Web!CA76</f>
        <v>0</v>
      </c>
      <c r="O67" t="str">
        <f t="shared" ref="O67:O130" si="7">IF(N67&lt;&gt;0,N67,"")</f>
        <v/>
      </c>
      <c r="P67" s="17">
        <f>Create_TC_Web!CI54</f>
        <v>0</v>
      </c>
      <c r="Q67" t="str">
        <f>IF(TestData!CB67&lt;&gt;0,TestData!CB67,"")</f>
        <v/>
      </c>
      <c r="R67" t="str">
        <f t="shared" ref="R67:R94" si="8">IF(OR(R68="},",R68="}]"),LEFT(O66,LEN(O66)-1),O66)</f>
        <v/>
      </c>
      <c r="S67" t="str">
        <f t="shared" ref="S67:S130" si="9">IF(P67&lt;&gt;0,P67,"")</f>
        <v/>
      </c>
      <c r="AE67" t="str">
        <f t="shared" ref="AE67:AE75" si="10">IF(L67="Fill",B67,"")</f>
        <v/>
      </c>
    </row>
    <row r="68" spans="1:31">
      <c r="A68" t="str" cm="1">
        <f t="array" ref="A68">IFERROR(INDEX(Create_TC_Web!D$1:D$505,SMALL(IF(Create_TC_Web!$C$1:$C$505&lt;&gt;"",MATCH(ROW(Create_TC_Web!$C$1:$C$505),ROW(Create_TC_Web!$C$1:$C$505)),""),ROW(Create_TC_Web!B68))),"")</f>
        <v/>
      </c>
      <c r="B68" t="str" cm="1">
        <f t="array" ref="B68">SUBSTITUTE(SUBSTITUTE(SUBSTITUTE(IFERROR(INDEX(Create_TC_Web!E$1:E$505,SMALL(IF(Create_TC_Web!$C$1:$C$505&lt;&gt;"",MATCH(ROW(Create_TC_Web!$C$1:$C$505),ROW(Create_TC_Web!$C$1:$C$505)),""),ROW(Create_TC_Web!C68))),"")," ",""),"-",""),"_","")</f>
        <v/>
      </c>
      <c r="C68" t="str" cm="1">
        <f t="array" ref="C68">IFERROR(INDEX(Create_TC_Web!F$1:F$505,SMALL(IF(Create_TC_Web!$C$1:$C$505&lt;&gt;"",MATCH(ROW(Create_TC_Web!$C$1:$C$505),ROW(Create_TC_Web!$C$1:$C$505)),""),ROW(Create_TC_Web!D68))),"")</f>
        <v/>
      </c>
      <c r="D68" t="str" cm="1">
        <f t="array" ref="D68">IFERROR(INDEX(Create_TC_Web!G$1:G$505,SMALL(IF(Create_TC_Web!$C$1:$C$505&lt;&gt;"",MATCH(ROW(Create_TC_Web!$C$1:$C$505),ROW(Create_TC_Web!$C$1:$C$505)),""),ROW(Create_TC_Web!E68))),"")</f>
        <v/>
      </c>
      <c r="E68" t="str" cm="1">
        <f t="array" ref="E68">IFERROR(INDEX(Create_TC_Web!H$1:H$505,SMALL(IF(Create_TC_Web!$C$1:$C$505&lt;&gt;"",MATCH(ROW(Create_TC_Web!$C$1:$C$505),ROW(Create_TC_Web!$C$1:$C$505)),""),ROW(Create_TC_Web!F68))),"")</f>
        <v/>
      </c>
      <c r="F68" t="str" cm="1">
        <f t="array" ref="F68">IFERROR(INDEX(Create_TC_Web!I$1:I$505,SMALL(IF(Create_TC_Web!$C$1:$C$505&lt;&gt;"",MATCH(ROW(Create_TC_Web!$C$1:$C$505),ROW(Create_TC_Web!$C$1:$C$505)),""),ROW(Create_TC_Web!G68))),"")</f>
        <v/>
      </c>
      <c r="G68" t="str" cm="1">
        <f t="array" ref="G68">IFERROR(INDEX(Create_TC_Web!J$1:J$505,SMALL(IF(Create_TC_Web!$C$1:$C$505&lt;&gt;"",MATCH(ROW(Create_TC_Web!$C$1:$C$505),ROW(Create_TC_Web!$C$1:$C$505)),""),ROW(Create_TC_Web!H68))),"")</f>
        <v/>
      </c>
      <c r="H68" t="str" cm="1">
        <f t="array" ref="H68">IFERROR(INDEX(Create_TC_Web!K$1:K$505,SMALL(IF(Create_TC_Web!$C$1:$C$505&lt;&gt;"",MATCH(ROW(Create_TC_Web!$C$1:$C$505),ROW(Create_TC_Web!$C$1:$C$505)),""),ROW(Create_TC_Web!I68))),"")</f>
        <v/>
      </c>
      <c r="I68" t="str" cm="1">
        <f t="array" ref="I68">IFERROR(INDEX(Create_TC_Web!L$1:L$505,SMALL(IF(Create_TC_Web!$C$1:$C$505&lt;&gt;"",MATCH(ROW(Create_TC_Web!$C$1:$C$505),ROW(Create_TC_Web!$C$1:$C$505)),""),ROW(Create_TC_Web!J68))),"")</f>
        <v/>
      </c>
      <c r="J68" t="str" cm="1">
        <f t="array" ref="J68">IFERROR(INDEX(Create_TC_Web!M$1:M$505,SMALL(IF(Create_TC_Web!$C$1:$C$505&lt;&gt;"",MATCH(ROW(Create_TC_Web!$C$1:$C$505),ROW(Create_TC_Web!$C$1:$C$505)),""),ROW(Create_TC_Web!K68))),"")</f>
        <v/>
      </c>
      <c r="K68" t="str" cm="1">
        <f t="array" ref="K68">IFERROR(INDEX(Create_TC_Web!N$1:N$505,SMALL(IF(Create_TC_Web!$C$1:$C$505&lt;&gt;"",MATCH(ROW(Create_TC_Web!$C$1:$C$505),ROW(Create_TC_Web!$C$1:$C$505)),""),ROW(Create_TC_Web!L68))),"")</f>
        <v/>
      </c>
      <c r="L68" t="str" cm="1">
        <f t="array" ref="L68">IFERROR(INDEX(Create_TC_Web!O$1:O$505,SMALL(IF(Create_TC_Web!$C$1:$C$505&lt;&gt;"",MATCH(ROW(Create_TC_Web!$C$1:$C$505),ROW(Create_TC_Web!$C$1:$C$505)),""),ROW(Create_TC_Web!M68))),"")</f>
        <v/>
      </c>
      <c r="M68" t="str" cm="1">
        <f t="array" ref="M68">IFERROR(INDEX(Create_TC_Web!P$1:P$505,SMALL(IF(Create_TC_Web!$C$1:$C$505&lt;&gt;"",MATCH(ROW(Create_TC_Web!$C$1:$C$505),ROW(Create_TC_Web!$C$1:$C$505)),""),ROW(Create_TC_Web!N68))),"")</f>
        <v/>
      </c>
      <c r="N68">
        <f>Create_TC_Web!CA77</f>
        <v>0</v>
      </c>
      <c r="O68" t="str">
        <f t="shared" si="7"/>
        <v/>
      </c>
      <c r="P68" s="17">
        <f>Create_TC_Web!CI55</f>
        <v>0</v>
      </c>
      <c r="Q68" t="str">
        <f>IF(TestData!CB68&lt;&gt;0,TestData!CB68,"")</f>
        <v/>
      </c>
      <c r="R68" t="str">
        <f t="shared" si="8"/>
        <v/>
      </c>
      <c r="S68" t="str">
        <f t="shared" si="9"/>
        <v/>
      </c>
      <c r="AE68" t="str">
        <f t="shared" si="10"/>
        <v/>
      </c>
    </row>
    <row r="69" spans="1:31">
      <c r="A69" t="str" cm="1">
        <f t="array" ref="A69">IFERROR(INDEX(Create_TC_Web!D$1:D$505,SMALL(IF(Create_TC_Web!$C$1:$C$505&lt;&gt;"",MATCH(ROW(Create_TC_Web!$C$1:$C$505),ROW(Create_TC_Web!$C$1:$C$505)),""),ROW(Create_TC_Web!B69))),"")</f>
        <v/>
      </c>
      <c r="B69" t="str" cm="1">
        <f t="array" ref="B69">SUBSTITUTE(SUBSTITUTE(SUBSTITUTE(IFERROR(INDEX(Create_TC_Web!E$1:E$505,SMALL(IF(Create_TC_Web!$C$1:$C$505&lt;&gt;"",MATCH(ROW(Create_TC_Web!$C$1:$C$505),ROW(Create_TC_Web!$C$1:$C$505)),""),ROW(Create_TC_Web!C69))),"")," ",""),"-",""),"_","")</f>
        <v/>
      </c>
      <c r="C69" t="str" cm="1">
        <f t="array" ref="C69">IFERROR(INDEX(Create_TC_Web!F$1:F$505,SMALL(IF(Create_TC_Web!$C$1:$C$505&lt;&gt;"",MATCH(ROW(Create_TC_Web!$C$1:$C$505),ROW(Create_TC_Web!$C$1:$C$505)),""),ROW(Create_TC_Web!D69))),"")</f>
        <v/>
      </c>
      <c r="D69" t="str" cm="1">
        <f t="array" ref="D69">IFERROR(INDEX(Create_TC_Web!G$1:G$505,SMALL(IF(Create_TC_Web!$C$1:$C$505&lt;&gt;"",MATCH(ROW(Create_TC_Web!$C$1:$C$505),ROW(Create_TC_Web!$C$1:$C$505)),""),ROW(Create_TC_Web!E69))),"")</f>
        <v/>
      </c>
      <c r="E69" t="str" cm="1">
        <f t="array" ref="E69">IFERROR(INDEX(Create_TC_Web!H$1:H$505,SMALL(IF(Create_TC_Web!$C$1:$C$505&lt;&gt;"",MATCH(ROW(Create_TC_Web!$C$1:$C$505),ROW(Create_TC_Web!$C$1:$C$505)),""),ROW(Create_TC_Web!F69))),"")</f>
        <v/>
      </c>
      <c r="F69" t="str" cm="1">
        <f t="array" ref="F69">IFERROR(INDEX(Create_TC_Web!I$1:I$505,SMALL(IF(Create_TC_Web!$C$1:$C$505&lt;&gt;"",MATCH(ROW(Create_TC_Web!$C$1:$C$505),ROW(Create_TC_Web!$C$1:$C$505)),""),ROW(Create_TC_Web!G69))),"")</f>
        <v/>
      </c>
      <c r="G69" t="str" cm="1">
        <f t="array" ref="G69">IFERROR(INDEX(Create_TC_Web!J$1:J$505,SMALL(IF(Create_TC_Web!$C$1:$C$505&lt;&gt;"",MATCH(ROW(Create_TC_Web!$C$1:$C$505),ROW(Create_TC_Web!$C$1:$C$505)),""),ROW(Create_TC_Web!H69))),"")</f>
        <v/>
      </c>
      <c r="H69" t="str" cm="1">
        <f t="array" ref="H69">IFERROR(INDEX(Create_TC_Web!K$1:K$505,SMALL(IF(Create_TC_Web!$C$1:$C$505&lt;&gt;"",MATCH(ROW(Create_TC_Web!$C$1:$C$505),ROW(Create_TC_Web!$C$1:$C$505)),""),ROW(Create_TC_Web!I69))),"")</f>
        <v/>
      </c>
      <c r="I69" t="str" cm="1">
        <f t="array" ref="I69">IFERROR(INDEX(Create_TC_Web!L$1:L$505,SMALL(IF(Create_TC_Web!$C$1:$C$505&lt;&gt;"",MATCH(ROW(Create_TC_Web!$C$1:$C$505),ROW(Create_TC_Web!$C$1:$C$505)),""),ROW(Create_TC_Web!J69))),"")</f>
        <v/>
      </c>
      <c r="J69" t="str" cm="1">
        <f t="array" ref="J69">IFERROR(INDEX(Create_TC_Web!M$1:M$505,SMALL(IF(Create_TC_Web!$C$1:$C$505&lt;&gt;"",MATCH(ROW(Create_TC_Web!$C$1:$C$505),ROW(Create_TC_Web!$C$1:$C$505)),""),ROW(Create_TC_Web!K69))),"")</f>
        <v/>
      </c>
      <c r="K69" t="str" cm="1">
        <f t="array" ref="K69">IFERROR(INDEX(Create_TC_Web!N$1:N$505,SMALL(IF(Create_TC_Web!$C$1:$C$505&lt;&gt;"",MATCH(ROW(Create_TC_Web!$C$1:$C$505),ROW(Create_TC_Web!$C$1:$C$505)),""),ROW(Create_TC_Web!L69))),"")</f>
        <v/>
      </c>
      <c r="L69" t="str" cm="1">
        <f t="array" ref="L69">IFERROR(INDEX(Create_TC_Web!O$1:O$505,SMALL(IF(Create_TC_Web!$C$1:$C$505&lt;&gt;"",MATCH(ROW(Create_TC_Web!$C$1:$C$505),ROW(Create_TC_Web!$C$1:$C$505)),""),ROW(Create_TC_Web!M69))),"")</f>
        <v/>
      </c>
      <c r="M69" t="str" cm="1">
        <f t="array" ref="M69">IFERROR(INDEX(Create_TC_Web!P$1:P$505,SMALL(IF(Create_TC_Web!$C$1:$C$505&lt;&gt;"",MATCH(ROW(Create_TC_Web!$C$1:$C$505),ROW(Create_TC_Web!$C$1:$C$505)),""),ROW(Create_TC_Web!N69))),"")</f>
        <v/>
      </c>
      <c r="N69">
        <f>Create_TC_Web!CA78</f>
        <v>0</v>
      </c>
      <c r="O69" t="str">
        <f t="shared" si="7"/>
        <v/>
      </c>
      <c r="P69" s="17">
        <f>Create_TC_Web!CI56</f>
        <v>0</v>
      </c>
      <c r="Q69" t="str">
        <f>IF(TestData!CB69&lt;&gt;0,TestData!CB69,"")</f>
        <v/>
      </c>
      <c r="R69" t="str">
        <f t="shared" si="8"/>
        <v/>
      </c>
      <c r="S69" t="str">
        <f t="shared" si="9"/>
        <v/>
      </c>
      <c r="AE69" t="str">
        <f t="shared" si="10"/>
        <v/>
      </c>
    </row>
    <row r="70" spans="1:31">
      <c r="A70" t="str" cm="1">
        <f t="array" ref="A70">IFERROR(INDEX(Create_TC_Web!D$1:D$505,SMALL(IF(Create_TC_Web!$C$1:$C$505&lt;&gt;"",MATCH(ROW(Create_TC_Web!$C$1:$C$505),ROW(Create_TC_Web!$C$1:$C$505)),""),ROW(Create_TC_Web!B70))),"")</f>
        <v/>
      </c>
      <c r="B70" t="str" cm="1">
        <f t="array" ref="B70">SUBSTITUTE(SUBSTITUTE(SUBSTITUTE(IFERROR(INDEX(Create_TC_Web!E$1:E$505,SMALL(IF(Create_TC_Web!$C$1:$C$505&lt;&gt;"",MATCH(ROW(Create_TC_Web!$C$1:$C$505),ROW(Create_TC_Web!$C$1:$C$505)),""),ROW(Create_TC_Web!C70))),"")," ",""),"-",""),"_","")</f>
        <v/>
      </c>
      <c r="C70" t="str" cm="1">
        <f t="array" ref="C70">IFERROR(INDEX(Create_TC_Web!F$1:F$505,SMALL(IF(Create_TC_Web!$C$1:$C$505&lt;&gt;"",MATCH(ROW(Create_TC_Web!$C$1:$C$505),ROW(Create_TC_Web!$C$1:$C$505)),""),ROW(Create_TC_Web!D70))),"")</f>
        <v/>
      </c>
      <c r="D70" t="str" cm="1">
        <f t="array" ref="D70">IFERROR(INDEX(Create_TC_Web!G$1:G$505,SMALL(IF(Create_TC_Web!$C$1:$C$505&lt;&gt;"",MATCH(ROW(Create_TC_Web!$C$1:$C$505),ROW(Create_TC_Web!$C$1:$C$505)),""),ROW(Create_TC_Web!E70))),"")</f>
        <v/>
      </c>
      <c r="E70" t="str" cm="1">
        <f t="array" ref="E70">IFERROR(INDEX(Create_TC_Web!H$1:H$505,SMALL(IF(Create_TC_Web!$C$1:$C$505&lt;&gt;"",MATCH(ROW(Create_TC_Web!$C$1:$C$505),ROW(Create_TC_Web!$C$1:$C$505)),""),ROW(Create_TC_Web!F70))),"")</f>
        <v/>
      </c>
      <c r="F70" t="str" cm="1">
        <f t="array" ref="F70">IFERROR(INDEX(Create_TC_Web!I$1:I$505,SMALL(IF(Create_TC_Web!$C$1:$C$505&lt;&gt;"",MATCH(ROW(Create_TC_Web!$C$1:$C$505),ROW(Create_TC_Web!$C$1:$C$505)),""),ROW(Create_TC_Web!G70))),"")</f>
        <v/>
      </c>
      <c r="G70" t="str" cm="1">
        <f t="array" ref="G70">IFERROR(INDEX(Create_TC_Web!J$1:J$505,SMALL(IF(Create_TC_Web!$C$1:$C$505&lt;&gt;"",MATCH(ROW(Create_TC_Web!$C$1:$C$505),ROW(Create_TC_Web!$C$1:$C$505)),""),ROW(Create_TC_Web!H70))),"")</f>
        <v/>
      </c>
      <c r="H70" t="str" cm="1">
        <f t="array" ref="H70">IFERROR(INDEX(Create_TC_Web!K$1:K$505,SMALL(IF(Create_TC_Web!$C$1:$C$505&lt;&gt;"",MATCH(ROW(Create_TC_Web!$C$1:$C$505),ROW(Create_TC_Web!$C$1:$C$505)),""),ROW(Create_TC_Web!I70))),"")</f>
        <v/>
      </c>
      <c r="I70" t="str" cm="1">
        <f t="array" ref="I70">IFERROR(INDEX(Create_TC_Web!L$1:L$505,SMALL(IF(Create_TC_Web!$C$1:$C$505&lt;&gt;"",MATCH(ROW(Create_TC_Web!$C$1:$C$505),ROW(Create_TC_Web!$C$1:$C$505)),""),ROW(Create_TC_Web!J70))),"")</f>
        <v/>
      </c>
      <c r="J70" t="str" cm="1">
        <f t="array" ref="J70">IFERROR(INDEX(Create_TC_Web!M$1:M$505,SMALL(IF(Create_TC_Web!$C$1:$C$505&lt;&gt;"",MATCH(ROW(Create_TC_Web!$C$1:$C$505),ROW(Create_TC_Web!$C$1:$C$505)),""),ROW(Create_TC_Web!K70))),"")</f>
        <v/>
      </c>
      <c r="K70" t="str" cm="1">
        <f t="array" ref="K70">IFERROR(INDEX(Create_TC_Web!N$1:N$505,SMALL(IF(Create_TC_Web!$C$1:$C$505&lt;&gt;"",MATCH(ROW(Create_TC_Web!$C$1:$C$505),ROW(Create_TC_Web!$C$1:$C$505)),""),ROW(Create_TC_Web!L70))),"")</f>
        <v/>
      </c>
      <c r="L70" t="str" cm="1">
        <f t="array" ref="L70">IFERROR(INDEX(Create_TC_Web!O$1:O$505,SMALL(IF(Create_TC_Web!$C$1:$C$505&lt;&gt;"",MATCH(ROW(Create_TC_Web!$C$1:$C$505),ROW(Create_TC_Web!$C$1:$C$505)),""),ROW(Create_TC_Web!M70))),"")</f>
        <v/>
      </c>
      <c r="M70" t="str" cm="1">
        <f t="array" ref="M70">IFERROR(INDEX(Create_TC_Web!P$1:P$505,SMALL(IF(Create_TC_Web!$C$1:$C$505&lt;&gt;"",MATCH(ROW(Create_TC_Web!$C$1:$C$505),ROW(Create_TC_Web!$C$1:$C$505)),""),ROW(Create_TC_Web!N70))),"")</f>
        <v/>
      </c>
      <c r="N70">
        <f>Create_TC_Web!CA79</f>
        <v>0</v>
      </c>
      <c r="O70" t="str">
        <f t="shared" si="7"/>
        <v/>
      </c>
      <c r="P70" s="17">
        <f>Create_TC_Web!CI57</f>
        <v>0</v>
      </c>
      <c r="Q70" t="str">
        <f>IF(TestData!CB70&lt;&gt;0,TestData!CB70,"")</f>
        <v/>
      </c>
      <c r="R70" t="str">
        <f t="shared" si="8"/>
        <v/>
      </c>
      <c r="S70" t="str">
        <f t="shared" si="9"/>
        <v/>
      </c>
      <c r="AE70" t="str">
        <f t="shared" si="10"/>
        <v/>
      </c>
    </row>
    <row r="71" spans="1:31">
      <c r="A71" t="str" cm="1">
        <f t="array" ref="A71">IFERROR(INDEX(Create_TC_Web!D$1:D$505,SMALL(IF(Create_TC_Web!$C$1:$C$505&lt;&gt;"",MATCH(ROW(Create_TC_Web!$C$1:$C$505),ROW(Create_TC_Web!$C$1:$C$505)),""),ROW(Create_TC_Web!B71))),"")</f>
        <v/>
      </c>
      <c r="B71" t="str" cm="1">
        <f t="array" ref="B71">SUBSTITUTE(SUBSTITUTE(SUBSTITUTE(IFERROR(INDEX(Create_TC_Web!E$1:E$505,SMALL(IF(Create_TC_Web!$C$1:$C$505&lt;&gt;"",MATCH(ROW(Create_TC_Web!$C$1:$C$505),ROW(Create_TC_Web!$C$1:$C$505)),""),ROW(Create_TC_Web!C71))),"")," ",""),"-",""),"_","")</f>
        <v/>
      </c>
      <c r="C71" t="str" cm="1">
        <f t="array" ref="C71">IFERROR(INDEX(Create_TC_Web!F$1:F$505,SMALL(IF(Create_TC_Web!$C$1:$C$505&lt;&gt;"",MATCH(ROW(Create_TC_Web!$C$1:$C$505),ROW(Create_TC_Web!$C$1:$C$505)),""),ROW(Create_TC_Web!D71))),"")</f>
        <v/>
      </c>
      <c r="D71" t="str" cm="1">
        <f t="array" ref="D71">IFERROR(INDEX(Create_TC_Web!G$1:G$505,SMALL(IF(Create_TC_Web!$C$1:$C$505&lt;&gt;"",MATCH(ROW(Create_TC_Web!$C$1:$C$505),ROW(Create_TC_Web!$C$1:$C$505)),""),ROW(Create_TC_Web!E71))),"")</f>
        <v/>
      </c>
      <c r="E71" t="str" cm="1">
        <f t="array" ref="E71">IFERROR(INDEX(Create_TC_Web!H$1:H$505,SMALL(IF(Create_TC_Web!$C$1:$C$505&lt;&gt;"",MATCH(ROW(Create_TC_Web!$C$1:$C$505),ROW(Create_TC_Web!$C$1:$C$505)),""),ROW(Create_TC_Web!F71))),"")</f>
        <v/>
      </c>
      <c r="F71" t="str" cm="1">
        <f t="array" ref="F71">IFERROR(INDEX(Create_TC_Web!I$1:I$505,SMALL(IF(Create_TC_Web!$C$1:$C$505&lt;&gt;"",MATCH(ROW(Create_TC_Web!$C$1:$C$505),ROW(Create_TC_Web!$C$1:$C$505)),""),ROW(Create_TC_Web!G71))),"")</f>
        <v/>
      </c>
      <c r="G71" t="str" cm="1">
        <f t="array" ref="G71">IFERROR(INDEX(Create_TC_Web!J$1:J$505,SMALL(IF(Create_TC_Web!$C$1:$C$505&lt;&gt;"",MATCH(ROW(Create_TC_Web!$C$1:$C$505),ROW(Create_TC_Web!$C$1:$C$505)),""),ROW(Create_TC_Web!H71))),"")</f>
        <v/>
      </c>
      <c r="H71" t="str" cm="1">
        <f t="array" ref="H71">IFERROR(INDEX(Create_TC_Web!K$1:K$505,SMALL(IF(Create_TC_Web!$C$1:$C$505&lt;&gt;"",MATCH(ROW(Create_TC_Web!$C$1:$C$505),ROW(Create_TC_Web!$C$1:$C$505)),""),ROW(Create_TC_Web!I71))),"")</f>
        <v/>
      </c>
      <c r="I71" t="str" cm="1">
        <f t="array" ref="I71">IFERROR(INDEX(Create_TC_Web!L$1:L$505,SMALL(IF(Create_TC_Web!$C$1:$C$505&lt;&gt;"",MATCH(ROW(Create_TC_Web!$C$1:$C$505),ROW(Create_TC_Web!$C$1:$C$505)),""),ROW(Create_TC_Web!J71))),"")</f>
        <v/>
      </c>
      <c r="J71" t="str" cm="1">
        <f t="array" ref="J71">IFERROR(INDEX(Create_TC_Web!M$1:M$505,SMALL(IF(Create_TC_Web!$C$1:$C$505&lt;&gt;"",MATCH(ROW(Create_TC_Web!$C$1:$C$505),ROW(Create_TC_Web!$C$1:$C$505)),""),ROW(Create_TC_Web!K71))),"")</f>
        <v/>
      </c>
      <c r="K71" t="str" cm="1">
        <f t="array" ref="K71">IFERROR(INDEX(Create_TC_Web!N$1:N$505,SMALL(IF(Create_TC_Web!$C$1:$C$505&lt;&gt;"",MATCH(ROW(Create_TC_Web!$C$1:$C$505),ROW(Create_TC_Web!$C$1:$C$505)),""),ROW(Create_TC_Web!L71))),"")</f>
        <v/>
      </c>
      <c r="L71" t="str" cm="1">
        <f t="array" ref="L71">IFERROR(INDEX(Create_TC_Web!O$1:O$505,SMALL(IF(Create_TC_Web!$C$1:$C$505&lt;&gt;"",MATCH(ROW(Create_TC_Web!$C$1:$C$505),ROW(Create_TC_Web!$C$1:$C$505)),""),ROW(Create_TC_Web!M71))),"")</f>
        <v/>
      </c>
      <c r="M71" t="str" cm="1">
        <f t="array" ref="M71">IFERROR(INDEX(Create_TC_Web!P$1:P$505,SMALL(IF(Create_TC_Web!$C$1:$C$505&lt;&gt;"",MATCH(ROW(Create_TC_Web!$C$1:$C$505),ROW(Create_TC_Web!$C$1:$C$505)),""),ROW(Create_TC_Web!N71))),"")</f>
        <v/>
      </c>
      <c r="N71">
        <f>Create_TC_Web!CA80</f>
        <v>0</v>
      </c>
      <c r="O71" t="str">
        <f t="shared" si="7"/>
        <v/>
      </c>
      <c r="P71" s="17">
        <f>Create_TC_Web!CI58</f>
        <v>0</v>
      </c>
      <c r="Q71" t="str">
        <f>IF(TestData!CB71&lt;&gt;0,TestData!CB71,"")</f>
        <v/>
      </c>
      <c r="R71" t="str">
        <f t="shared" si="8"/>
        <v/>
      </c>
      <c r="S71" t="str">
        <f t="shared" si="9"/>
        <v/>
      </c>
      <c r="AE71" t="str">
        <f t="shared" si="10"/>
        <v/>
      </c>
    </row>
    <row r="72" spans="1:31">
      <c r="A72" t="str" cm="1">
        <f t="array" ref="A72">IFERROR(INDEX(Create_TC_Web!D$1:D$505,SMALL(IF(Create_TC_Web!$C$1:$C$505&lt;&gt;"",MATCH(ROW(Create_TC_Web!$C$1:$C$505),ROW(Create_TC_Web!$C$1:$C$505)),""),ROW(Create_TC_Web!B72))),"")</f>
        <v/>
      </c>
      <c r="B72" t="str" cm="1">
        <f t="array" ref="B72">SUBSTITUTE(SUBSTITUTE(SUBSTITUTE(IFERROR(INDEX(Create_TC_Web!E$1:E$505,SMALL(IF(Create_TC_Web!$C$1:$C$505&lt;&gt;"",MATCH(ROW(Create_TC_Web!$C$1:$C$505),ROW(Create_TC_Web!$C$1:$C$505)),""),ROW(Create_TC_Web!C72))),"")," ",""),"-",""),"_","")</f>
        <v/>
      </c>
      <c r="C72" t="str" cm="1">
        <f t="array" ref="C72">IFERROR(INDEX(Create_TC_Web!F$1:F$505,SMALL(IF(Create_TC_Web!$C$1:$C$505&lt;&gt;"",MATCH(ROW(Create_TC_Web!$C$1:$C$505),ROW(Create_TC_Web!$C$1:$C$505)),""),ROW(Create_TC_Web!D72))),"")</f>
        <v/>
      </c>
      <c r="D72" t="str" cm="1">
        <f t="array" ref="D72">IFERROR(INDEX(Create_TC_Web!G$1:G$505,SMALL(IF(Create_TC_Web!$C$1:$C$505&lt;&gt;"",MATCH(ROW(Create_TC_Web!$C$1:$C$505),ROW(Create_TC_Web!$C$1:$C$505)),""),ROW(Create_TC_Web!E72))),"")</f>
        <v/>
      </c>
      <c r="E72" t="str" cm="1">
        <f t="array" ref="E72">IFERROR(INDEX(Create_TC_Web!H$1:H$505,SMALL(IF(Create_TC_Web!$C$1:$C$505&lt;&gt;"",MATCH(ROW(Create_TC_Web!$C$1:$C$505),ROW(Create_TC_Web!$C$1:$C$505)),""),ROW(Create_TC_Web!F72))),"")</f>
        <v/>
      </c>
      <c r="F72" t="str" cm="1">
        <f t="array" ref="F72">IFERROR(INDEX(Create_TC_Web!I$1:I$505,SMALL(IF(Create_TC_Web!$C$1:$C$505&lt;&gt;"",MATCH(ROW(Create_TC_Web!$C$1:$C$505),ROW(Create_TC_Web!$C$1:$C$505)),""),ROW(Create_TC_Web!G72))),"")</f>
        <v/>
      </c>
      <c r="G72" t="str" cm="1">
        <f t="array" ref="G72">IFERROR(INDEX(Create_TC_Web!J$1:J$505,SMALL(IF(Create_TC_Web!$C$1:$C$505&lt;&gt;"",MATCH(ROW(Create_TC_Web!$C$1:$C$505),ROW(Create_TC_Web!$C$1:$C$505)),""),ROW(Create_TC_Web!H72))),"")</f>
        <v/>
      </c>
      <c r="H72" t="str" cm="1">
        <f t="array" ref="H72">IFERROR(INDEX(Create_TC_Web!K$1:K$505,SMALL(IF(Create_TC_Web!$C$1:$C$505&lt;&gt;"",MATCH(ROW(Create_TC_Web!$C$1:$C$505),ROW(Create_TC_Web!$C$1:$C$505)),""),ROW(Create_TC_Web!I72))),"")</f>
        <v/>
      </c>
      <c r="I72" t="str" cm="1">
        <f t="array" ref="I72">IFERROR(INDEX(Create_TC_Web!L$1:L$505,SMALL(IF(Create_TC_Web!$C$1:$C$505&lt;&gt;"",MATCH(ROW(Create_TC_Web!$C$1:$C$505),ROW(Create_TC_Web!$C$1:$C$505)),""),ROW(Create_TC_Web!J72))),"")</f>
        <v/>
      </c>
      <c r="J72" t="str" cm="1">
        <f t="array" ref="J72">IFERROR(INDEX(Create_TC_Web!M$1:M$505,SMALL(IF(Create_TC_Web!$C$1:$C$505&lt;&gt;"",MATCH(ROW(Create_TC_Web!$C$1:$C$505),ROW(Create_TC_Web!$C$1:$C$505)),""),ROW(Create_TC_Web!K72))),"")</f>
        <v/>
      </c>
      <c r="K72" t="str" cm="1">
        <f t="array" ref="K72">IFERROR(INDEX(Create_TC_Web!N$1:N$505,SMALL(IF(Create_TC_Web!$C$1:$C$505&lt;&gt;"",MATCH(ROW(Create_TC_Web!$C$1:$C$505),ROW(Create_TC_Web!$C$1:$C$505)),""),ROW(Create_TC_Web!L72))),"")</f>
        <v/>
      </c>
      <c r="L72" t="str" cm="1">
        <f t="array" ref="L72">IFERROR(INDEX(Create_TC_Web!O$1:O$505,SMALL(IF(Create_TC_Web!$C$1:$C$505&lt;&gt;"",MATCH(ROW(Create_TC_Web!$C$1:$C$505),ROW(Create_TC_Web!$C$1:$C$505)),""),ROW(Create_TC_Web!M72))),"")</f>
        <v/>
      </c>
      <c r="M72" t="str" cm="1">
        <f t="array" ref="M72">IFERROR(INDEX(Create_TC_Web!P$1:P$505,SMALL(IF(Create_TC_Web!$C$1:$C$505&lt;&gt;"",MATCH(ROW(Create_TC_Web!$C$1:$C$505),ROW(Create_TC_Web!$C$1:$C$505)),""),ROW(Create_TC_Web!N72))),"")</f>
        <v/>
      </c>
      <c r="N72">
        <f>Create_TC_Web!CA81</f>
        <v>0</v>
      </c>
      <c r="O72" t="str">
        <f t="shared" si="7"/>
        <v/>
      </c>
      <c r="P72" s="17">
        <f>Create_TC_Web!CI59</f>
        <v>0</v>
      </c>
      <c r="Q72" t="str">
        <f>IF(TestData!CB72&lt;&gt;0,TestData!CB72,"")</f>
        <v/>
      </c>
      <c r="R72" t="str">
        <f t="shared" si="8"/>
        <v/>
      </c>
      <c r="S72" t="str">
        <f t="shared" si="9"/>
        <v/>
      </c>
      <c r="AE72" t="str">
        <f t="shared" si="10"/>
        <v/>
      </c>
    </row>
    <row r="73" spans="1:31">
      <c r="A73" t="str" cm="1">
        <f t="array" ref="A73">IFERROR(INDEX(Create_TC_Web!D$1:D$505,SMALL(IF(Create_TC_Web!$C$1:$C$505&lt;&gt;"",MATCH(ROW(Create_TC_Web!$C$1:$C$505),ROW(Create_TC_Web!$C$1:$C$505)),""),ROW(Create_TC_Web!B73))),"")</f>
        <v/>
      </c>
      <c r="B73" t="str" cm="1">
        <f t="array" ref="B73">SUBSTITUTE(SUBSTITUTE(SUBSTITUTE(IFERROR(INDEX(Create_TC_Web!E$1:E$505,SMALL(IF(Create_TC_Web!$C$1:$C$505&lt;&gt;"",MATCH(ROW(Create_TC_Web!$C$1:$C$505),ROW(Create_TC_Web!$C$1:$C$505)),""),ROW(Create_TC_Web!C73))),"")," ",""),"-",""),"_","")</f>
        <v/>
      </c>
      <c r="C73" t="str" cm="1">
        <f t="array" ref="C73">IFERROR(INDEX(Create_TC_Web!F$1:F$505,SMALL(IF(Create_TC_Web!$C$1:$C$505&lt;&gt;"",MATCH(ROW(Create_TC_Web!$C$1:$C$505),ROW(Create_TC_Web!$C$1:$C$505)),""),ROW(Create_TC_Web!D73))),"")</f>
        <v/>
      </c>
      <c r="D73" t="str" cm="1">
        <f t="array" ref="D73">IFERROR(INDEX(Create_TC_Web!G$1:G$505,SMALL(IF(Create_TC_Web!$C$1:$C$505&lt;&gt;"",MATCH(ROW(Create_TC_Web!$C$1:$C$505),ROW(Create_TC_Web!$C$1:$C$505)),""),ROW(Create_TC_Web!E73))),"")</f>
        <v/>
      </c>
      <c r="E73" t="str" cm="1">
        <f t="array" ref="E73">IFERROR(INDEX(Create_TC_Web!H$1:H$505,SMALL(IF(Create_TC_Web!$C$1:$C$505&lt;&gt;"",MATCH(ROW(Create_TC_Web!$C$1:$C$505),ROW(Create_TC_Web!$C$1:$C$505)),""),ROW(Create_TC_Web!F73))),"")</f>
        <v/>
      </c>
      <c r="F73" t="str" cm="1">
        <f t="array" ref="F73">IFERROR(INDEX(Create_TC_Web!I$1:I$505,SMALL(IF(Create_TC_Web!$C$1:$C$505&lt;&gt;"",MATCH(ROW(Create_TC_Web!$C$1:$C$505),ROW(Create_TC_Web!$C$1:$C$505)),""),ROW(Create_TC_Web!G73))),"")</f>
        <v/>
      </c>
      <c r="G73" t="str" cm="1">
        <f t="array" ref="G73">IFERROR(INDEX(Create_TC_Web!J$1:J$505,SMALL(IF(Create_TC_Web!$C$1:$C$505&lt;&gt;"",MATCH(ROW(Create_TC_Web!$C$1:$C$505),ROW(Create_TC_Web!$C$1:$C$505)),""),ROW(Create_TC_Web!H73))),"")</f>
        <v/>
      </c>
      <c r="H73" t="str" cm="1">
        <f t="array" ref="H73">IFERROR(INDEX(Create_TC_Web!K$1:K$505,SMALL(IF(Create_TC_Web!$C$1:$C$505&lt;&gt;"",MATCH(ROW(Create_TC_Web!$C$1:$C$505),ROW(Create_TC_Web!$C$1:$C$505)),""),ROW(Create_TC_Web!I73))),"")</f>
        <v/>
      </c>
      <c r="I73" t="str" cm="1">
        <f t="array" ref="I73">IFERROR(INDEX(Create_TC_Web!L$1:L$505,SMALL(IF(Create_TC_Web!$C$1:$C$505&lt;&gt;"",MATCH(ROW(Create_TC_Web!$C$1:$C$505),ROW(Create_TC_Web!$C$1:$C$505)),""),ROW(Create_TC_Web!J73))),"")</f>
        <v/>
      </c>
      <c r="J73" t="str" cm="1">
        <f t="array" ref="J73">IFERROR(INDEX(Create_TC_Web!M$1:M$505,SMALL(IF(Create_TC_Web!$C$1:$C$505&lt;&gt;"",MATCH(ROW(Create_TC_Web!$C$1:$C$505),ROW(Create_TC_Web!$C$1:$C$505)),""),ROW(Create_TC_Web!K73))),"")</f>
        <v/>
      </c>
      <c r="K73" t="str" cm="1">
        <f t="array" ref="K73">IFERROR(INDEX(Create_TC_Web!N$1:N$505,SMALL(IF(Create_TC_Web!$C$1:$C$505&lt;&gt;"",MATCH(ROW(Create_TC_Web!$C$1:$C$505),ROW(Create_TC_Web!$C$1:$C$505)),""),ROW(Create_TC_Web!L73))),"")</f>
        <v/>
      </c>
      <c r="L73" t="str" cm="1">
        <f t="array" ref="L73">IFERROR(INDEX(Create_TC_Web!O$1:O$505,SMALL(IF(Create_TC_Web!$C$1:$C$505&lt;&gt;"",MATCH(ROW(Create_TC_Web!$C$1:$C$505),ROW(Create_TC_Web!$C$1:$C$505)),""),ROW(Create_TC_Web!M73))),"")</f>
        <v/>
      </c>
      <c r="M73" t="str" cm="1">
        <f t="array" ref="M73">IFERROR(INDEX(Create_TC_Web!P$1:P$505,SMALL(IF(Create_TC_Web!$C$1:$C$505&lt;&gt;"",MATCH(ROW(Create_TC_Web!$C$1:$C$505),ROW(Create_TC_Web!$C$1:$C$505)),""),ROW(Create_TC_Web!N73))),"")</f>
        <v/>
      </c>
      <c r="N73">
        <f>Create_TC_Web!CA82</f>
        <v>0</v>
      </c>
      <c r="O73" t="str">
        <f t="shared" si="7"/>
        <v/>
      </c>
      <c r="P73" s="17">
        <f>Create_TC_Web!CI60</f>
        <v>0</v>
      </c>
      <c r="Q73" t="str">
        <f>IF(TestData!CB73&lt;&gt;0,TestData!CB73,"")</f>
        <v/>
      </c>
      <c r="R73" t="str">
        <f t="shared" si="8"/>
        <v/>
      </c>
      <c r="S73" t="str">
        <f t="shared" si="9"/>
        <v/>
      </c>
      <c r="AE73" t="str">
        <f t="shared" si="10"/>
        <v/>
      </c>
    </row>
    <row r="74" spans="1:31">
      <c r="A74" t="str" cm="1">
        <f t="array" ref="A74">IFERROR(INDEX(Create_TC_Web!D$1:D$505,SMALL(IF(Create_TC_Web!$C$1:$C$505&lt;&gt;"",MATCH(ROW(Create_TC_Web!$C$1:$C$505),ROW(Create_TC_Web!$C$1:$C$505)),""),ROW(Create_TC_Web!B74))),"")</f>
        <v/>
      </c>
      <c r="B74" t="str" cm="1">
        <f t="array" ref="B74">SUBSTITUTE(SUBSTITUTE(SUBSTITUTE(IFERROR(INDEX(Create_TC_Web!E$1:E$505,SMALL(IF(Create_TC_Web!$C$1:$C$505&lt;&gt;"",MATCH(ROW(Create_TC_Web!$C$1:$C$505),ROW(Create_TC_Web!$C$1:$C$505)),""),ROW(Create_TC_Web!C74))),"")," ",""),"-",""),"_","")</f>
        <v/>
      </c>
      <c r="C74" t="str" cm="1">
        <f t="array" ref="C74">IFERROR(INDEX(Create_TC_Web!F$1:F$505,SMALL(IF(Create_TC_Web!$C$1:$C$505&lt;&gt;"",MATCH(ROW(Create_TC_Web!$C$1:$C$505),ROW(Create_TC_Web!$C$1:$C$505)),""),ROW(Create_TC_Web!D74))),"")</f>
        <v/>
      </c>
      <c r="D74" t="str" cm="1">
        <f t="array" ref="D74">IFERROR(INDEX(Create_TC_Web!G$1:G$505,SMALL(IF(Create_TC_Web!$C$1:$C$505&lt;&gt;"",MATCH(ROW(Create_TC_Web!$C$1:$C$505),ROW(Create_TC_Web!$C$1:$C$505)),""),ROW(Create_TC_Web!E74))),"")</f>
        <v/>
      </c>
      <c r="E74" t="str" cm="1">
        <f t="array" ref="E74">IFERROR(INDEX(Create_TC_Web!H$1:H$505,SMALL(IF(Create_TC_Web!$C$1:$C$505&lt;&gt;"",MATCH(ROW(Create_TC_Web!$C$1:$C$505),ROW(Create_TC_Web!$C$1:$C$505)),""),ROW(Create_TC_Web!F74))),"")</f>
        <v/>
      </c>
      <c r="F74" t="str" cm="1">
        <f t="array" ref="F74">IFERROR(INDEX(Create_TC_Web!I$1:I$505,SMALL(IF(Create_TC_Web!$C$1:$C$505&lt;&gt;"",MATCH(ROW(Create_TC_Web!$C$1:$C$505),ROW(Create_TC_Web!$C$1:$C$505)),""),ROW(Create_TC_Web!G74))),"")</f>
        <v/>
      </c>
      <c r="G74" t="str" cm="1">
        <f t="array" ref="G74">IFERROR(INDEX(Create_TC_Web!J$1:J$505,SMALL(IF(Create_TC_Web!$C$1:$C$505&lt;&gt;"",MATCH(ROW(Create_TC_Web!$C$1:$C$505),ROW(Create_TC_Web!$C$1:$C$505)),""),ROW(Create_TC_Web!H74))),"")</f>
        <v/>
      </c>
      <c r="H74" t="str" cm="1">
        <f t="array" ref="H74">IFERROR(INDEX(Create_TC_Web!K$1:K$505,SMALL(IF(Create_TC_Web!$C$1:$C$505&lt;&gt;"",MATCH(ROW(Create_TC_Web!$C$1:$C$505),ROW(Create_TC_Web!$C$1:$C$505)),""),ROW(Create_TC_Web!I74))),"")</f>
        <v/>
      </c>
      <c r="I74" t="str" cm="1">
        <f t="array" ref="I74">IFERROR(INDEX(Create_TC_Web!L$1:L$505,SMALL(IF(Create_TC_Web!$C$1:$C$505&lt;&gt;"",MATCH(ROW(Create_TC_Web!$C$1:$C$505),ROW(Create_TC_Web!$C$1:$C$505)),""),ROW(Create_TC_Web!J74))),"")</f>
        <v/>
      </c>
      <c r="J74" t="str" cm="1">
        <f t="array" ref="J74">IFERROR(INDEX(Create_TC_Web!M$1:M$505,SMALL(IF(Create_TC_Web!$C$1:$C$505&lt;&gt;"",MATCH(ROW(Create_TC_Web!$C$1:$C$505),ROW(Create_TC_Web!$C$1:$C$505)),""),ROW(Create_TC_Web!K74))),"")</f>
        <v/>
      </c>
      <c r="K74" t="str" cm="1">
        <f t="array" ref="K74">IFERROR(INDEX(Create_TC_Web!N$1:N$505,SMALL(IF(Create_TC_Web!$C$1:$C$505&lt;&gt;"",MATCH(ROW(Create_TC_Web!$C$1:$C$505),ROW(Create_TC_Web!$C$1:$C$505)),""),ROW(Create_TC_Web!L74))),"")</f>
        <v/>
      </c>
      <c r="L74" t="str" cm="1">
        <f t="array" ref="L74">IFERROR(INDEX(Create_TC_Web!O$1:O$505,SMALL(IF(Create_TC_Web!$C$1:$C$505&lt;&gt;"",MATCH(ROW(Create_TC_Web!$C$1:$C$505),ROW(Create_TC_Web!$C$1:$C$505)),""),ROW(Create_TC_Web!M74))),"")</f>
        <v/>
      </c>
      <c r="M74" t="str" cm="1">
        <f t="array" ref="M74">IFERROR(INDEX(Create_TC_Web!P$1:P$505,SMALL(IF(Create_TC_Web!$C$1:$C$505&lt;&gt;"",MATCH(ROW(Create_TC_Web!$C$1:$C$505),ROW(Create_TC_Web!$C$1:$C$505)),""),ROW(Create_TC_Web!N74))),"")</f>
        <v/>
      </c>
      <c r="N74">
        <f>Create_TC_Web!CA83</f>
        <v>0</v>
      </c>
      <c r="O74" t="str">
        <f t="shared" si="7"/>
        <v/>
      </c>
      <c r="P74" s="17">
        <f>Create_TC_Web!CI61</f>
        <v>0</v>
      </c>
      <c r="Q74" t="str">
        <f>IF(TestData!CB74&lt;&gt;0,TestData!CB74,"")</f>
        <v/>
      </c>
      <c r="R74" t="str">
        <f t="shared" si="8"/>
        <v/>
      </c>
      <c r="S74" t="str">
        <f t="shared" si="9"/>
        <v/>
      </c>
      <c r="AE74" t="str">
        <f t="shared" si="10"/>
        <v/>
      </c>
    </row>
    <row r="75" spans="1:31">
      <c r="A75" t="str" cm="1">
        <f t="array" ref="A75">IFERROR(INDEX(Create_TC_Web!D$1:D$505,SMALL(IF(Create_TC_Web!$C$1:$C$505&lt;&gt;"",MATCH(ROW(Create_TC_Web!$C$1:$C$505),ROW(Create_TC_Web!$C$1:$C$505)),""),ROW(Create_TC_Web!B75))),"")</f>
        <v/>
      </c>
      <c r="B75" t="str" cm="1">
        <f t="array" ref="B75">SUBSTITUTE(SUBSTITUTE(SUBSTITUTE(IFERROR(INDEX(Create_TC_Web!E$1:E$505,SMALL(IF(Create_TC_Web!$C$1:$C$505&lt;&gt;"",MATCH(ROW(Create_TC_Web!$C$1:$C$505),ROW(Create_TC_Web!$C$1:$C$505)),""),ROW(Create_TC_Web!C75))),"")," ",""),"-",""),"_","")</f>
        <v/>
      </c>
      <c r="C75" t="str" cm="1">
        <f t="array" ref="C75">IFERROR(INDEX(Create_TC_Web!F$1:F$505,SMALL(IF(Create_TC_Web!$C$1:$C$505&lt;&gt;"",MATCH(ROW(Create_TC_Web!$C$1:$C$505),ROW(Create_TC_Web!$C$1:$C$505)),""),ROW(Create_TC_Web!D75))),"")</f>
        <v/>
      </c>
      <c r="D75" t="str" cm="1">
        <f t="array" ref="D75">IFERROR(INDEX(Create_TC_Web!G$1:G$505,SMALL(IF(Create_TC_Web!$C$1:$C$505&lt;&gt;"",MATCH(ROW(Create_TC_Web!$C$1:$C$505),ROW(Create_TC_Web!$C$1:$C$505)),""),ROW(Create_TC_Web!E75))),"")</f>
        <v/>
      </c>
      <c r="E75" t="str" cm="1">
        <f t="array" ref="E75">IFERROR(INDEX(Create_TC_Web!H$1:H$505,SMALL(IF(Create_TC_Web!$C$1:$C$505&lt;&gt;"",MATCH(ROW(Create_TC_Web!$C$1:$C$505),ROW(Create_TC_Web!$C$1:$C$505)),""),ROW(Create_TC_Web!F75))),"")</f>
        <v/>
      </c>
      <c r="F75" t="str" cm="1">
        <f t="array" ref="F75">IFERROR(INDEX(Create_TC_Web!I$1:I$505,SMALL(IF(Create_TC_Web!$C$1:$C$505&lt;&gt;"",MATCH(ROW(Create_TC_Web!$C$1:$C$505),ROW(Create_TC_Web!$C$1:$C$505)),""),ROW(Create_TC_Web!G75))),"")</f>
        <v/>
      </c>
      <c r="G75" t="str" cm="1">
        <f t="array" ref="G75">IFERROR(INDEX(Create_TC_Web!J$1:J$505,SMALL(IF(Create_TC_Web!$C$1:$C$505&lt;&gt;"",MATCH(ROW(Create_TC_Web!$C$1:$C$505),ROW(Create_TC_Web!$C$1:$C$505)),""),ROW(Create_TC_Web!H75))),"")</f>
        <v/>
      </c>
      <c r="H75" t="str" cm="1">
        <f t="array" ref="H75">IFERROR(INDEX(Create_TC_Web!K$1:K$505,SMALL(IF(Create_TC_Web!$C$1:$C$505&lt;&gt;"",MATCH(ROW(Create_TC_Web!$C$1:$C$505),ROW(Create_TC_Web!$C$1:$C$505)),""),ROW(Create_TC_Web!I75))),"")</f>
        <v/>
      </c>
      <c r="I75" t="str" cm="1">
        <f t="array" ref="I75">IFERROR(INDEX(Create_TC_Web!L$1:L$505,SMALL(IF(Create_TC_Web!$C$1:$C$505&lt;&gt;"",MATCH(ROW(Create_TC_Web!$C$1:$C$505),ROW(Create_TC_Web!$C$1:$C$505)),""),ROW(Create_TC_Web!J75))),"")</f>
        <v/>
      </c>
      <c r="J75" t="str" cm="1">
        <f t="array" ref="J75">IFERROR(INDEX(Create_TC_Web!M$1:M$505,SMALL(IF(Create_TC_Web!$C$1:$C$505&lt;&gt;"",MATCH(ROW(Create_TC_Web!$C$1:$C$505),ROW(Create_TC_Web!$C$1:$C$505)),""),ROW(Create_TC_Web!K75))),"")</f>
        <v/>
      </c>
      <c r="K75" t="str" cm="1">
        <f t="array" ref="K75">IFERROR(INDEX(Create_TC_Web!N$1:N$505,SMALL(IF(Create_TC_Web!$C$1:$C$505&lt;&gt;"",MATCH(ROW(Create_TC_Web!$C$1:$C$505),ROW(Create_TC_Web!$C$1:$C$505)),""),ROW(Create_TC_Web!L75))),"")</f>
        <v/>
      </c>
      <c r="L75" t="str" cm="1">
        <f t="array" ref="L75">IFERROR(INDEX(Create_TC_Web!O$1:O$505,SMALL(IF(Create_TC_Web!$C$1:$C$505&lt;&gt;"",MATCH(ROW(Create_TC_Web!$C$1:$C$505),ROW(Create_TC_Web!$C$1:$C$505)),""),ROW(Create_TC_Web!M75))),"")</f>
        <v/>
      </c>
      <c r="M75" t="str" cm="1">
        <f t="array" ref="M75">IFERROR(INDEX(Create_TC_Web!P$1:P$505,SMALL(IF(Create_TC_Web!$C$1:$C$505&lt;&gt;"",MATCH(ROW(Create_TC_Web!$C$1:$C$505),ROW(Create_TC_Web!$C$1:$C$505)),""),ROW(Create_TC_Web!N75))),"")</f>
        <v/>
      </c>
      <c r="N75">
        <f>Create_TC_Web!CA84</f>
        <v>0</v>
      </c>
      <c r="O75" t="str">
        <f t="shared" si="7"/>
        <v/>
      </c>
      <c r="P75" s="17">
        <f>Create_TC_Web!CI62</f>
        <v>0</v>
      </c>
      <c r="Q75" t="str">
        <f>IF(TestData!CB75&lt;&gt;0,TestData!CB75,"")</f>
        <v/>
      </c>
      <c r="R75" t="str">
        <f t="shared" si="8"/>
        <v/>
      </c>
      <c r="S75" t="str">
        <f t="shared" si="9"/>
        <v/>
      </c>
      <c r="AE75" t="str">
        <f t="shared" si="10"/>
        <v/>
      </c>
    </row>
    <row r="76" spans="1:31">
      <c r="A76" t="str" cm="1">
        <f t="array" ref="A76">IFERROR(INDEX(Create_TC_Web!D$1:D$505,SMALL(IF(Create_TC_Web!$C$1:$C$505&lt;&gt;"",MATCH(ROW(Create_TC_Web!$C$1:$C$505),ROW(Create_TC_Web!$C$1:$C$505)),""),ROW(Create_TC_Web!B76))),"")</f>
        <v/>
      </c>
      <c r="B76" t="str" cm="1">
        <f t="array" ref="B76">SUBSTITUTE(SUBSTITUTE(SUBSTITUTE(IFERROR(INDEX(Create_TC_Web!E$1:E$505,SMALL(IF(Create_TC_Web!$C$1:$C$505&lt;&gt;"",MATCH(ROW(Create_TC_Web!$C$1:$C$505),ROW(Create_TC_Web!$C$1:$C$505)),""),ROW(Create_TC_Web!C76))),"")," ",""),"-",""),"_","")</f>
        <v/>
      </c>
      <c r="C76" t="str" cm="1">
        <f t="array" ref="C76">IFERROR(INDEX(Create_TC_Web!F$1:F$505,SMALL(IF(Create_TC_Web!$C$1:$C$505&lt;&gt;"",MATCH(ROW(Create_TC_Web!$C$1:$C$505),ROW(Create_TC_Web!$C$1:$C$505)),""),ROW(Create_TC_Web!D76))),"")</f>
        <v/>
      </c>
      <c r="D76" t="str" cm="1">
        <f t="array" ref="D76">IFERROR(INDEX(Create_TC_Web!G$1:G$505,SMALL(IF(Create_TC_Web!$C$1:$C$505&lt;&gt;"",MATCH(ROW(Create_TC_Web!$C$1:$C$505),ROW(Create_TC_Web!$C$1:$C$505)),""),ROW(Create_TC_Web!E76))),"")</f>
        <v/>
      </c>
      <c r="E76" t="str" cm="1">
        <f t="array" ref="E76">IFERROR(INDEX(Create_TC_Web!H$1:H$505,SMALL(IF(Create_TC_Web!$C$1:$C$505&lt;&gt;"",MATCH(ROW(Create_TC_Web!$C$1:$C$505),ROW(Create_TC_Web!$C$1:$C$505)),""),ROW(Create_TC_Web!F76))),"")</f>
        <v/>
      </c>
      <c r="F76" t="str" cm="1">
        <f t="array" ref="F76">IFERROR(INDEX(Create_TC_Web!I$1:I$505,SMALL(IF(Create_TC_Web!$C$1:$C$505&lt;&gt;"",MATCH(ROW(Create_TC_Web!$C$1:$C$505),ROW(Create_TC_Web!$C$1:$C$505)),""),ROW(Create_TC_Web!G76))),"")</f>
        <v/>
      </c>
      <c r="G76" t="str" cm="1">
        <f t="array" ref="G76">IFERROR(INDEX(Create_TC_Web!J$1:J$505,SMALL(IF(Create_TC_Web!$C$1:$C$505&lt;&gt;"",MATCH(ROW(Create_TC_Web!$C$1:$C$505),ROW(Create_TC_Web!$C$1:$C$505)),""),ROW(Create_TC_Web!H76))),"")</f>
        <v/>
      </c>
      <c r="H76" t="str" cm="1">
        <f t="array" ref="H76">IFERROR(INDEX(Create_TC_Web!K$1:K$505,SMALL(IF(Create_TC_Web!$C$1:$C$505&lt;&gt;"",MATCH(ROW(Create_TC_Web!$C$1:$C$505),ROW(Create_TC_Web!$C$1:$C$505)),""),ROW(Create_TC_Web!I76))),"")</f>
        <v/>
      </c>
      <c r="I76" t="str" cm="1">
        <f t="array" ref="I76">IFERROR(INDEX(Create_TC_Web!L$1:L$505,SMALL(IF(Create_TC_Web!$C$1:$C$505&lt;&gt;"",MATCH(ROW(Create_TC_Web!$C$1:$C$505),ROW(Create_TC_Web!$C$1:$C$505)),""),ROW(Create_TC_Web!J76))),"")</f>
        <v/>
      </c>
      <c r="J76" t="str" cm="1">
        <f t="array" ref="J76">IFERROR(INDEX(Create_TC_Web!M$1:M$505,SMALL(IF(Create_TC_Web!$C$1:$C$505&lt;&gt;"",MATCH(ROW(Create_TC_Web!$C$1:$C$505),ROW(Create_TC_Web!$C$1:$C$505)),""),ROW(Create_TC_Web!K76))),"")</f>
        <v/>
      </c>
      <c r="K76" t="str" cm="1">
        <f t="array" ref="K76">IFERROR(INDEX(Create_TC_Web!N$1:N$505,SMALL(IF(Create_TC_Web!$C$1:$C$505&lt;&gt;"",MATCH(ROW(Create_TC_Web!$C$1:$C$505),ROW(Create_TC_Web!$C$1:$C$505)),""),ROW(Create_TC_Web!L76))),"")</f>
        <v/>
      </c>
      <c r="L76" t="str" cm="1">
        <f t="array" ref="L76">IFERROR(INDEX(Create_TC_Web!O$1:O$505,SMALL(IF(Create_TC_Web!$C$1:$C$505&lt;&gt;"",MATCH(ROW(Create_TC_Web!$C$1:$C$505),ROW(Create_TC_Web!$C$1:$C$505)),""),ROW(Create_TC_Web!M76))),"")</f>
        <v/>
      </c>
      <c r="M76" t="str" cm="1">
        <f t="array" ref="M76">IFERROR(INDEX(Create_TC_Web!P$1:P$505,SMALL(IF(Create_TC_Web!$C$1:$C$505&lt;&gt;"",MATCH(ROW(Create_TC_Web!$C$1:$C$505),ROW(Create_TC_Web!$C$1:$C$505)),""),ROW(Create_TC_Web!N76))),"")</f>
        <v/>
      </c>
      <c r="N76">
        <f>Create_TC_Web!CA85</f>
        <v>0</v>
      </c>
      <c r="O76" t="str">
        <f t="shared" si="7"/>
        <v/>
      </c>
      <c r="P76" s="17">
        <f>Create_TC_Web!CI63</f>
        <v>0</v>
      </c>
      <c r="Q76" t="str">
        <f>IF(TestData!CB76&lt;&gt;0,TestData!CB76,"")</f>
        <v/>
      </c>
      <c r="R76" t="str">
        <f t="shared" si="8"/>
        <v/>
      </c>
      <c r="S76" t="str">
        <f t="shared" si="9"/>
        <v/>
      </c>
    </row>
    <row r="77" spans="1:31">
      <c r="A77" t="str" cm="1">
        <f t="array" ref="A77">IFERROR(INDEX(Create_TC_Web!D$1:D$505,SMALL(IF(Create_TC_Web!$C$1:$C$505&lt;&gt;"",MATCH(ROW(Create_TC_Web!$C$1:$C$505),ROW(Create_TC_Web!$C$1:$C$505)),""),ROW(Create_TC_Web!B77))),"")</f>
        <v/>
      </c>
      <c r="B77" t="str" cm="1">
        <f t="array" ref="B77">SUBSTITUTE(SUBSTITUTE(SUBSTITUTE(IFERROR(INDEX(Create_TC_Web!E$1:E$505,SMALL(IF(Create_TC_Web!$C$1:$C$505&lt;&gt;"",MATCH(ROW(Create_TC_Web!$C$1:$C$505),ROW(Create_TC_Web!$C$1:$C$505)),""),ROW(Create_TC_Web!C77))),"")," ",""),"-",""),"_","")</f>
        <v/>
      </c>
      <c r="C77" t="str" cm="1">
        <f t="array" ref="C77">IFERROR(INDEX(Create_TC_Web!F$1:F$505,SMALL(IF(Create_TC_Web!$C$1:$C$505&lt;&gt;"",MATCH(ROW(Create_TC_Web!$C$1:$C$505),ROW(Create_TC_Web!$C$1:$C$505)),""),ROW(Create_TC_Web!D77))),"")</f>
        <v/>
      </c>
      <c r="D77" t="str" cm="1">
        <f t="array" ref="D77">IFERROR(INDEX(Create_TC_Web!G$1:G$505,SMALL(IF(Create_TC_Web!$C$1:$C$505&lt;&gt;"",MATCH(ROW(Create_TC_Web!$C$1:$C$505),ROW(Create_TC_Web!$C$1:$C$505)),""),ROW(Create_TC_Web!E77))),"")</f>
        <v/>
      </c>
      <c r="E77" t="str" cm="1">
        <f t="array" ref="E77">IFERROR(INDEX(Create_TC_Web!H$1:H$505,SMALL(IF(Create_TC_Web!$C$1:$C$505&lt;&gt;"",MATCH(ROW(Create_TC_Web!$C$1:$C$505),ROW(Create_TC_Web!$C$1:$C$505)),""),ROW(Create_TC_Web!F77))),"")</f>
        <v/>
      </c>
      <c r="F77" t="str" cm="1">
        <f t="array" ref="F77">IFERROR(INDEX(Create_TC_Web!I$1:I$505,SMALL(IF(Create_TC_Web!$C$1:$C$505&lt;&gt;"",MATCH(ROW(Create_TC_Web!$C$1:$C$505),ROW(Create_TC_Web!$C$1:$C$505)),""),ROW(Create_TC_Web!G77))),"")</f>
        <v/>
      </c>
      <c r="G77" t="str" cm="1">
        <f t="array" ref="G77">IFERROR(INDEX(Create_TC_Web!J$1:J$505,SMALL(IF(Create_TC_Web!$C$1:$C$505&lt;&gt;"",MATCH(ROW(Create_TC_Web!$C$1:$C$505),ROW(Create_TC_Web!$C$1:$C$505)),""),ROW(Create_TC_Web!H77))),"")</f>
        <v/>
      </c>
      <c r="H77" t="str" cm="1">
        <f t="array" ref="H77">IFERROR(INDEX(Create_TC_Web!K$1:K$505,SMALL(IF(Create_TC_Web!$C$1:$C$505&lt;&gt;"",MATCH(ROW(Create_TC_Web!$C$1:$C$505),ROW(Create_TC_Web!$C$1:$C$505)),""),ROW(Create_TC_Web!I77))),"")</f>
        <v/>
      </c>
      <c r="I77" t="str" cm="1">
        <f t="array" ref="I77">IFERROR(INDEX(Create_TC_Web!L$1:L$505,SMALL(IF(Create_TC_Web!$C$1:$C$505&lt;&gt;"",MATCH(ROW(Create_TC_Web!$C$1:$C$505),ROW(Create_TC_Web!$C$1:$C$505)),""),ROW(Create_TC_Web!J77))),"")</f>
        <v/>
      </c>
      <c r="J77" t="str" cm="1">
        <f t="array" ref="J77">IFERROR(INDEX(Create_TC_Web!M$1:M$505,SMALL(IF(Create_TC_Web!$C$1:$C$505&lt;&gt;"",MATCH(ROW(Create_TC_Web!$C$1:$C$505),ROW(Create_TC_Web!$C$1:$C$505)),""),ROW(Create_TC_Web!K77))),"")</f>
        <v/>
      </c>
      <c r="K77" t="str" cm="1">
        <f t="array" ref="K77">IFERROR(INDEX(Create_TC_Web!N$1:N$505,SMALL(IF(Create_TC_Web!$C$1:$C$505&lt;&gt;"",MATCH(ROW(Create_TC_Web!$C$1:$C$505),ROW(Create_TC_Web!$C$1:$C$505)),""),ROW(Create_TC_Web!L77))),"")</f>
        <v/>
      </c>
      <c r="L77" t="str" cm="1">
        <f t="array" ref="L77">IFERROR(INDEX(Create_TC_Web!O$1:O$505,SMALL(IF(Create_TC_Web!$C$1:$C$505&lt;&gt;"",MATCH(ROW(Create_TC_Web!$C$1:$C$505),ROW(Create_TC_Web!$C$1:$C$505)),""),ROW(Create_TC_Web!M77))),"")</f>
        <v/>
      </c>
      <c r="M77" t="str" cm="1">
        <f t="array" ref="M77">IFERROR(INDEX(Create_TC_Web!P$1:P$505,SMALL(IF(Create_TC_Web!$C$1:$C$505&lt;&gt;"",MATCH(ROW(Create_TC_Web!$C$1:$C$505),ROW(Create_TC_Web!$C$1:$C$505)),""),ROW(Create_TC_Web!N77))),"")</f>
        <v/>
      </c>
      <c r="N77">
        <f>Create_TC_Web!CA86</f>
        <v>0</v>
      </c>
      <c r="O77" t="str">
        <f t="shared" si="7"/>
        <v/>
      </c>
      <c r="P77" s="17">
        <f>Create_TC_Web!CI64</f>
        <v>0</v>
      </c>
      <c r="Q77" t="str">
        <f>IF(TestData!CB77&lt;&gt;0,TestData!CB77,"")</f>
        <v/>
      </c>
      <c r="R77" t="str">
        <f t="shared" si="8"/>
        <v/>
      </c>
      <c r="S77" t="str">
        <f t="shared" si="9"/>
        <v/>
      </c>
    </row>
    <row r="78" spans="1:31">
      <c r="A78" t="str" cm="1">
        <f t="array" ref="A78">IFERROR(INDEX(Create_TC_Web!D$1:D$505,SMALL(IF(Create_TC_Web!$C$1:$C$505&lt;&gt;"",MATCH(ROW(Create_TC_Web!$C$1:$C$505),ROW(Create_TC_Web!$C$1:$C$505)),""),ROW(Create_TC_Web!B78))),"")</f>
        <v/>
      </c>
      <c r="B78" t="str" cm="1">
        <f t="array" ref="B78">SUBSTITUTE(SUBSTITUTE(SUBSTITUTE(IFERROR(INDEX(Create_TC_Web!E$1:E$505,SMALL(IF(Create_TC_Web!$C$1:$C$505&lt;&gt;"",MATCH(ROW(Create_TC_Web!$C$1:$C$505),ROW(Create_TC_Web!$C$1:$C$505)),""),ROW(Create_TC_Web!C78))),"")," ",""),"-",""),"_","")</f>
        <v/>
      </c>
      <c r="C78" t="str" cm="1">
        <f t="array" ref="C78">IFERROR(INDEX(Create_TC_Web!F$1:F$505,SMALL(IF(Create_TC_Web!$C$1:$C$505&lt;&gt;"",MATCH(ROW(Create_TC_Web!$C$1:$C$505),ROW(Create_TC_Web!$C$1:$C$505)),""),ROW(Create_TC_Web!D78))),"")</f>
        <v/>
      </c>
      <c r="D78" t="str" cm="1">
        <f t="array" ref="D78">IFERROR(INDEX(Create_TC_Web!G$1:G$505,SMALL(IF(Create_TC_Web!$C$1:$C$505&lt;&gt;"",MATCH(ROW(Create_TC_Web!$C$1:$C$505),ROW(Create_TC_Web!$C$1:$C$505)),""),ROW(Create_TC_Web!E78))),"")</f>
        <v/>
      </c>
      <c r="E78" t="str" cm="1">
        <f t="array" ref="E78">IFERROR(INDEX(Create_TC_Web!H$1:H$505,SMALL(IF(Create_TC_Web!$C$1:$C$505&lt;&gt;"",MATCH(ROW(Create_TC_Web!$C$1:$C$505),ROW(Create_TC_Web!$C$1:$C$505)),""),ROW(Create_TC_Web!F78))),"")</f>
        <v/>
      </c>
      <c r="F78" t="str" cm="1">
        <f t="array" ref="F78">IFERROR(INDEX(Create_TC_Web!I$1:I$505,SMALL(IF(Create_TC_Web!$C$1:$C$505&lt;&gt;"",MATCH(ROW(Create_TC_Web!$C$1:$C$505),ROW(Create_TC_Web!$C$1:$C$505)),""),ROW(Create_TC_Web!G78))),"")</f>
        <v/>
      </c>
      <c r="G78" t="str" cm="1">
        <f t="array" ref="G78">IFERROR(INDEX(Create_TC_Web!J$1:J$505,SMALL(IF(Create_TC_Web!$C$1:$C$505&lt;&gt;"",MATCH(ROW(Create_TC_Web!$C$1:$C$505),ROW(Create_TC_Web!$C$1:$C$505)),""),ROW(Create_TC_Web!H78))),"")</f>
        <v/>
      </c>
      <c r="H78" t="str" cm="1">
        <f t="array" ref="H78">IFERROR(INDEX(Create_TC_Web!K$1:K$505,SMALL(IF(Create_TC_Web!$C$1:$C$505&lt;&gt;"",MATCH(ROW(Create_TC_Web!$C$1:$C$505),ROW(Create_TC_Web!$C$1:$C$505)),""),ROW(Create_TC_Web!I78))),"")</f>
        <v/>
      </c>
      <c r="I78" t="str" cm="1">
        <f t="array" ref="I78">IFERROR(INDEX(Create_TC_Web!L$1:L$505,SMALL(IF(Create_TC_Web!$C$1:$C$505&lt;&gt;"",MATCH(ROW(Create_TC_Web!$C$1:$C$505),ROW(Create_TC_Web!$C$1:$C$505)),""),ROW(Create_TC_Web!J78))),"")</f>
        <v/>
      </c>
      <c r="J78" t="str" cm="1">
        <f t="array" ref="J78">IFERROR(INDEX(Create_TC_Web!M$1:M$505,SMALL(IF(Create_TC_Web!$C$1:$C$505&lt;&gt;"",MATCH(ROW(Create_TC_Web!$C$1:$C$505),ROW(Create_TC_Web!$C$1:$C$505)),""),ROW(Create_TC_Web!K78))),"")</f>
        <v/>
      </c>
      <c r="K78" t="str" cm="1">
        <f t="array" ref="K78">IFERROR(INDEX(Create_TC_Web!N$1:N$505,SMALL(IF(Create_TC_Web!$C$1:$C$505&lt;&gt;"",MATCH(ROW(Create_TC_Web!$C$1:$C$505),ROW(Create_TC_Web!$C$1:$C$505)),""),ROW(Create_TC_Web!L78))),"")</f>
        <v/>
      </c>
      <c r="L78" t="str" cm="1">
        <f t="array" ref="L78">IFERROR(INDEX(Create_TC_Web!O$1:O$505,SMALL(IF(Create_TC_Web!$C$1:$C$505&lt;&gt;"",MATCH(ROW(Create_TC_Web!$C$1:$C$505),ROW(Create_TC_Web!$C$1:$C$505)),""),ROW(Create_TC_Web!M78))),"")</f>
        <v/>
      </c>
      <c r="M78" t="str" cm="1">
        <f t="array" ref="M78">IFERROR(INDEX(Create_TC_Web!P$1:P$505,SMALL(IF(Create_TC_Web!$C$1:$C$505&lt;&gt;"",MATCH(ROW(Create_TC_Web!$C$1:$C$505),ROW(Create_TC_Web!$C$1:$C$505)),""),ROW(Create_TC_Web!N78))),"")</f>
        <v/>
      </c>
      <c r="N78">
        <f>Create_TC_Web!CA87</f>
        <v>0</v>
      </c>
      <c r="O78" t="str">
        <f t="shared" si="7"/>
        <v/>
      </c>
      <c r="P78" s="17">
        <f>Create_TC_Web!CI65</f>
        <v>0</v>
      </c>
      <c r="Q78" t="str">
        <f>IF(TestData!CB78&lt;&gt;0,TestData!CB78,"")</f>
        <v/>
      </c>
      <c r="R78" t="str">
        <f t="shared" si="8"/>
        <v/>
      </c>
      <c r="S78" t="str">
        <f t="shared" si="9"/>
        <v/>
      </c>
    </row>
    <row r="79" spans="1:31">
      <c r="A79" t="str" cm="1">
        <f t="array" ref="A79">IFERROR(INDEX(Create_TC_Web!D$1:D$505,SMALL(IF(Create_TC_Web!$C$1:$C$505&lt;&gt;"",MATCH(ROW(Create_TC_Web!$C$1:$C$505),ROW(Create_TC_Web!$C$1:$C$505)),""),ROW(Create_TC_Web!B79))),"")</f>
        <v/>
      </c>
      <c r="B79" t="str" cm="1">
        <f t="array" ref="B79">SUBSTITUTE(SUBSTITUTE(SUBSTITUTE(IFERROR(INDEX(Create_TC_Web!E$1:E$505,SMALL(IF(Create_TC_Web!$C$1:$C$505&lt;&gt;"",MATCH(ROW(Create_TC_Web!$C$1:$C$505),ROW(Create_TC_Web!$C$1:$C$505)),""),ROW(Create_TC_Web!C79))),"")," ",""),"-",""),"_","")</f>
        <v/>
      </c>
      <c r="C79" t="str" cm="1">
        <f t="array" ref="C79">IFERROR(INDEX(Create_TC_Web!F$1:F$505,SMALL(IF(Create_TC_Web!$C$1:$C$505&lt;&gt;"",MATCH(ROW(Create_TC_Web!$C$1:$C$505),ROW(Create_TC_Web!$C$1:$C$505)),""),ROW(Create_TC_Web!D79))),"")</f>
        <v/>
      </c>
      <c r="D79" t="str" cm="1">
        <f t="array" ref="D79">IFERROR(INDEX(Create_TC_Web!G$1:G$505,SMALL(IF(Create_TC_Web!$C$1:$C$505&lt;&gt;"",MATCH(ROW(Create_TC_Web!$C$1:$C$505),ROW(Create_TC_Web!$C$1:$C$505)),""),ROW(Create_TC_Web!E79))),"")</f>
        <v/>
      </c>
      <c r="E79" t="str" cm="1">
        <f t="array" ref="E79">IFERROR(INDEX(Create_TC_Web!H$1:H$505,SMALL(IF(Create_TC_Web!$C$1:$C$505&lt;&gt;"",MATCH(ROW(Create_TC_Web!$C$1:$C$505),ROW(Create_TC_Web!$C$1:$C$505)),""),ROW(Create_TC_Web!F79))),"")</f>
        <v/>
      </c>
      <c r="F79" t="str" cm="1">
        <f t="array" ref="F79">IFERROR(INDEX(Create_TC_Web!I$1:I$505,SMALL(IF(Create_TC_Web!$C$1:$C$505&lt;&gt;"",MATCH(ROW(Create_TC_Web!$C$1:$C$505),ROW(Create_TC_Web!$C$1:$C$505)),""),ROW(Create_TC_Web!G79))),"")</f>
        <v/>
      </c>
      <c r="G79" t="str" cm="1">
        <f t="array" ref="G79">IFERROR(INDEX(Create_TC_Web!J$1:J$505,SMALL(IF(Create_TC_Web!$C$1:$C$505&lt;&gt;"",MATCH(ROW(Create_TC_Web!$C$1:$C$505),ROW(Create_TC_Web!$C$1:$C$505)),""),ROW(Create_TC_Web!H79))),"")</f>
        <v/>
      </c>
      <c r="H79" t="str" cm="1">
        <f t="array" ref="H79">IFERROR(INDEX(Create_TC_Web!K$1:K$505,SMALL(IF(Create_TC_Web!$C$1:$C$505&lt;&gt;"",MATCH(ROW(Create_TC_Web!$C$1:$C$505),ROW(Create_TC_Web!$C$1:$C$505)),""),ROW(Create_TC_Web!I79))),"")</f>
        <v/>
      </c>
      <c r="I79" t="str" cm="1">
        <f t="array" ref="I79">IFERROR(INDEX(Create_TC_Web!L$1:L$505,SMALL(IF(Create_TC_Web!$C$1:$C$505&lt;&gt;"",MATCH(ROW(Create_TC_Web!$C$1:$C$505),ROW(Create_TC_Web!$C$1:$C$505)),""),ROW(Create_TC_Web!J79))),"")</f>
        <v/>
      </c>
      <c r="J79" t="str" cm="1">
        <f t="array" ref="J79">IFERROR(INDEX(Create_TC_Web!M$1:M$505,SMALL(IF(Create_TC_Web!$C$1:$C$505&lt;&gt;"",MATCH(ROW(Create_TC_Web!$C$1:$C$505),ROW(Create_TC_Web!$C$1:$C$505)),""),ROW(Create_TC_Web!K79))),"")</f>
        <v/>
      </c>
      <c r="K79" t="str" cm="1">
        <f t="array" ref="K79">IFERROR(INDEX(Create_TC_Web!N$1:N$505,SMALL(IF(Create_TC_Web!$C$1:$C$505&lt;&gt;"",MATCH(ROW(Create_TC_Web!$C$1:$C$505),ROW(Create_TC_Web!$C$1:$C$505)),""),ROW(Create_TC_Web!L79))),"")</f>
        <v/>
      </c>
      <c r="L79" t="str" cm="1">
        <f t="array" ref="L79">IFERROR(INDEX(Create_TC_Web!O$1:O$505,SMALL(IF(Create_TC_Web!$C$1:$C$505&lt;&gt;"",MATCH(ROW(Create_TC_Web!$C$1:$C$505),ROW(Create_TC_Web!$C$1:$C$505)),""),ROW(Create_TC_Web!M79))),"")</f>
        <v/>
      </c>
      <c r="M79" t="str" cm="1">
        <f t="array" ref="M79">IFERROR(INDEX(Create_TC_Web!P$1:P$505,SMALL(IF(Create_TC_Web!$C$1:$C$505&lt;&gt;"",MATCH(ROW(Create_TC_Web!$C$1:$C$505),ROW(Create_TC_Web!$C$1:$C$505)),""),ROW(Create_TC_Web!N79))),"")</f>
        <v/>
      </c>
      <c r="N79">
        <f>Create_TC_Web!CA88</f>
        <v>0</v>
      </c>
      <c r="O79" t="str">
        <f t="shared" si="7"/>
        <v/>
      </c>
      <c r="P79" s="17">
        <f>Create_TC_Web!CI66</f>
        <v>0</v>
      </c>
      <c r="Q79" t="str">
        <f>IF(TestData!CB79&lt;&gt;0,TestData!CB79,"")</f>
        <v/>
      </c>
      <c r="R79" t="str">
        <f t="shared" si="8"/>
        <v/>
      </c>
      <c r="S79" t="str">
        <f t="shared" si="9"/>
        <v/>
      </c>
    </row>
    <row r="80" spans="1:31">
      <c r="A80" t="str" cm="1">
        <f t="array" ref="A80">IFERROR(INDEX(Create_TC_Web!D$1:D$500,SMALL(IF(Create_TC_Web!$C$1:$C$500&lt;&gt;"",MATCH(ROW(Create_TC_Web!$C$1:$C$500),ROW(Create_TC_Web!$C$1:$C$500)),""),ROW(Create_TC_Web!B80))),"")</f>
        <v/>
      </c>
      <c r="B80" t="str" cm="1">
        <f t="array" ref="B80">SUBSTITUTE(SUBSTITUTE(SUBSTITUTE(IFERROR(INDEX(Create_TC_Web!E$1:E$505,SMALL(IF(Create_TC_Web!$C$1:$C$505&lt;&gt;"",MATCH(ROW(Create_TC_Web!$C$1:$C$505),ROW(Create_TC_Web!$C$1:$C$505)),""),ROW(Create_TC_Web!C80))),"")," ",""),"-",""),"_","")</f>
        <v/>
      </c>
      <c r="C80" t="str" cm="1">
        <f t="array" ref="C80">IFERROR(INDEX(Create_TC_Web!F$1:F$500,SMALL(IF(Create_TC_Web!$C$1:$C$500&lt;&gt;"",MATCH(ROW(Create_TC_Web!$C$1:$C$500),ROW(Create_TC_Web!$C$1:$C$500)),""),ROW(Create_TC_Web!D80))),"")</f>
        <v/>
      </c>
      <c r="D80" t="str" cm="1">
        <f t="array" ref="D80">IFERROR(INDEX(Create_TC_Web!G$1:G$500,SMALL(IF(Create_TC_Web!$C$1:$C$500&lt;&gt;"",MATCH(ROW(Create_TC_Web!$C$1:$C$500),ROW(Create_TC_Web!$C$1:$C$500)),""),ROW(Create_TC_Web!E80))),"")</f>
        <v/>
      </c>
      <c r="E80" t="str" cm="1">
        <f t="array" ref="E80">IFERROR(INDEX(Create_TC_Web!H$1:H$500,SMALL(IF(Create_TC_Web!$C$1:$C$500&lt;&gt;"",MATCH(ROW(Create_TC_Web!$C$1:$C$500),ROW(Create_TC_Web!$C$1:$C$500)),""),ROW(Create_TC_Web!F80))),"")</f>
        <v/>
      </c>
      <c r="F80" t="str" cm="1">
        <f t="array" ref="F80">IFERROR(INDEX(Create_TC_Web!I$1:I$500,SMALL(IF(Create_TC_Web!$C$1:$C$500&lt;&gt;"",MATCH(ROW(Create_TC_Web!$C$1:$C$500),ROW(Create_TC_Web!$C$1:$C$500)),""),ROW(Create_TC_Web!G80))),"")</f>
        <v/>
      </c>
      <c r="G80" t="str" cm="1">
        <f t="array" ref="G80">IFERROR(INDEX(Create_TC_Web!J$1:J$500,SMALL(IF(Create_TC_Web!$C$1:$C$500&lt;&gt;"",MATCH(ROW(Create_TC_Web!$C$1:$C$500),ROW(Create_TC_Web!$C$1:$C$500)),""),ROW(Create_TC_Web!H80))),"")</f>
        <v/>
      </c>
      <c r="H80" t="str" cm="1">
        <f t="array" ref="H80">IFERROR(INDEX(Create_TC_Web!K$1:K$500,SMALL(IF(Create_TC_Web!$C$1:$C$500&lt;&gt;"",MATCH(ROW(Create_TC_Web!$C$1:$C$500),ROW(Create_TC_Web!$C$1:$C$500)),""),ROW(Create_TC_Web!I80))),"")</f>
        <v/>
      </c>
      <c r="I80" t="str" cm="1">
        <f t="array" ref="I80">IFERROR(INDEX(Create_TC_Web!L$1:L$500,SMALL(IF(Create_TC_Web!$C$1:$C$500&lt;&gt;"",MATCH(ROW(Create_TC_Web!$C$1:$C$500),ROW(Create_TC_Web!$C$1:$C$500)),""),ROW(Create_TC_Web!J80))),"")</f>
        <v/>
      </c>
      <c r="J80" t="str" cm="1">
        <f t="array" ref="J80">IFERROR(INDEX(Create_TC_Web!M$1:M$500,SMALL(IF(Create_TC_Web!$C$1:$C$500&lt;&gt;"",MATCH(ROW(Create_TC_Web!$C$1:$C$500),ROW(Create_TC_Web!$C$1:$C$500)),""),ROW(Create_TC_Web!K80))),"")</f>
        <v/>
      </c>
      <c r="K80" t="str" cm="1">
        <f t="array" ref="K80">IFERROR(INDEX(Create_TC_Web!N$1:N$500,SMALL(IF(Create_TC_Web!$C$1:$C$500&lt;&gt;"",MATCH(ROW(Create_TC_Web!$C$1:$C$500),ROW(Create_TC_Web!$C$1:$C$500)),""),ROW(Create_TC_Web!L80))),"")</f>
        <v/>
      </c>
      <c r="L80" t="str" cm="1">
        <f t="array" ref="L80">IFERROR(INDEX(Create_TC_Web!O$1:O$500,SMALL(IF(Create_TC_Web!$C$1:$C$500&lt;&gt;"",MATCH(ROW(Create_TC_Web!$C$1:$C$500),ROW(Create_TC_Web!$C$1:$C$500)),""),ROW(Create_TC_Web!M80))),"")</f>
        <v/>
      </c>
      <c r="M80" t="str" cm="1">
        <f t="array" ref="M80">IFERROR(INDEX(Create_TC_Web!P$1:P$500,SMALL(IF(Create_TC_Web!$C$1:$C$500&lt;&gt;"",MATCH(ROW(Create_TC_Web!$C$1:$C$500),ROW(Create_TC_Web!$C$1:$C$500)),""),ROW(Create_TC_Web!N80))),"")</f>
        <v/>
      </c>
      <c r="N80">
        <f>Create_TC_Web!CA89</f>
        <v>0</v>
      </c>
      <c r="O80" t="str">
        <f t="shared" si="7"/>
        <v/>
      </c>
      <c r="P80" s="17">
        <f>Create_TC_Web!CI67</f>
        <v>0</v>
      </c>
      <c r="Q80" t="str">
        <f>IF(TestData!CB80&lt;&gt;0,TestData!CB80,"")</f>
        <v/>
      </c>
      <c r="R80" t="str">
        <f t="shared" si="8"/>
        <v/>
      </c>
      <c r="S80" t="str">
        <f t="shared" si="9"/>
        <v/>
      </c>
    </row>
    <row r="81" spans="1:19">
      <c r="A81" t="str" cm="1">
        <f t="array" ref="A81">IFERROR(INDEX(Create_TC_Web!D$1:D$500,SMALL(IF(Create_TC_Web!$C$1:$C$500&lt;&gt;"",MATCH(ROW(Create_TC_Web!$C$1:$C$500),ROW(Create_TC_Web!$C$1:$C$500)),""),ROW(Create_TC_Web!B81))),"")</f>
        <v/>
      </c>
      <c r="B81" t="str" cm="1">
        <f t="array" ref="B81">SUBSTITUTE(SUBSTITUTE(SUBSTITUTE(IFERROR(INDEX(Create_TC_Web!E$1:E$505,SMALL(IF(Create_TC_Web!$C$1:$C$505&lt;&gt;"",MATCH(ROW(Create_TC_Web!$C$1:$C$505),ROW(Create_TC_Web!$C$1:$C$505)),""),ROW(Create_TC_Web!C81))),"")," ",""),"-",""),"_","")</f>
        <v/>
      </c>
      <c r="C81" t="str" cm="1">
        <f t="array" ref="C81">IFERROR(INDEX(Create_TC_Web!F$1:F$500,SMALL(IF(Create_TC_Web!$C$1:$C$500&lt;&gt;"",MATCH(ROW(Create_TC_Web!$C$1:$C$500),ROW(Create_TC_Web!$C$1:$C$500)),""),ROW(Create_TC_Web!D81))),"")</f>
        <v/>
      </c>
      <c r="D81" t="str" cm="1">
        <f t="array" ref="D81">IFERROR(INDEX(Create_TC_Web!G$1:G$500,SMALL(IF(Create_TC_Web!$C$1:$C$500&lt;&gt;"",MATCH(ROW(Create_TC_Web!$C$1:$C$500),ROW(Create_TC_Web!$C$1:$C$500)),""),ROW(Create_TC_Web!E81))),"")</f>
        <v/>
      </c>
      <c r="E81" t="str" cm="1">
        <f t="array" ref="E81">IFERROR(INDEX(Create_TC_Web!H$1:H$500,SMALL(IF(Create_TC_Web!$C$1:$C$500&lt;&gt;"",MATCH(ROW(Create_TC_Web!$C$1:$C$500),ROW(Create_TC_Web!$C$1:$C$500)),""),ROW(Create_TC_Web!F81))),"")</f>
        <v/>
      </c>
      <c r="F81" t="str" cm="1">
        <f t="array" ref="F81">IFERROR(INDEX(Create_TC_Web!I$1:I$500,SMALL(IF(Create_TC_Web!$C$1:$C$500&lt;&gt;"",MATCH(ROW(Create_TC_Web!$C$1:$C$500),ROW(Create_TC_Web!$C$1:$C$500)),""),ROW(Create_TC_Web!G81))),"")</f>
        <v/>
      </c>
      <c r="G81" t="str" cm="1">
        <f t="array" ref="G81">IFERROR(INDEX(Create_TC_Web!J$1:J$500,SMALL(IF(Create_TC_Web!$C$1:$C$500&lt;&gt;"",MATCH(ROW(Create_TC_Web!$C$1:$C$500),ROW(Create_TC_Web!$C$1:$C$500)),""),ROW(Create_TC_Web!H81))),"")</f>
        <v/>
      </c>
      <c r="H81" t="str" cm="1">
        <f t="array" ref="H81">IFERROR(INDEX(Create_TC_Web!K$1:K$500,SMALL(IF(Create_TC_Web!$C$1:$C$500&lt;&gt;"",MATCH(ROW(Create_TC_Web!$C$1:$C$500),ROW(Create_TC_Web!$C$1:$C$500)),""),ROW(Create_TC_Web!I81))),"")</f>
        <v/>
      </c>
      <c r="I81" t="str" cm="1">
        <f t="array" ref="I81">IFERROR(INDEX(Create_TC_Web!L$1:L$500,SMALL(IF(Create_TC_Web!$C$1:$C$500&lt;&gt;"",MATCH(ROW(Create_TC_Web!$C$1:$C$500),ROW(Create_TC_Web!$C$1:$C$500)),""),ROW(Create_TC_Web!J81))),"")</f>
        <v/>
      </c>
      <c r="J81" t="str" cm="1">
        <f t="array" ref="J81">IFERROR(INDEX(Create_TC_Web!M$1:M$500,SMALL(IF(Create_TC_Web!$C$1:$C$500&lt;&gt;"",MATCH(ROW(Create_TC_Web!$C$1:$C$500),ROW(Create_TC_Web!$C$1:$C$500)),""),ROW(Create_TC_Web!K81))),"")</f>
        <v/>
      </c>
      <c r="K81" t="str" cm="1">
        <f t="array" ref="K81">IFERROR(INDEX(Create_TC_Web!N$1:N$500,SMALL(IF(Create_TC_Web!$C$1:$C$500&lt;&gt;"",MATCH(ROW(Create_TC_Web!$C$1:$C$500),ROW(Create_TC_Web!$C$1:$C$500)),""),ROW(Create_TC_Web!L81))),"")</f>
        <v/>
      </c>
      <c r="L81" t="str" cm="1">
        <f t="array" ref="L81">IFERROR(INDEX(Create_TC_Web!O$1:O$500,SMALL(IF(Create_TC_Web!$C$1:$C$500&lt;&gt;"",MATCH(ROW(Create_TC_Web!$C$1:$C$500),ROW(Create_TC_Web!$C$1:$C$500)),""),ROW(Create_TC_Web!M81))),"")</f>
        <v/>
      </c>
      <c r="M81" t="str" cm="1">
        <f t="array" ref="M81">IFERROR(INDEX(Create_TC_Web!P$1:P$500,SMALL(IF(Create_TC_Web!$C$1:$C$500&lt;&gt;"",MATCH(ROW(Create_TC_Web!$C$1:$C$500),ROW(Create_TC_Web!$C$1:$C$500)),""),ROW(Create_TC_Web!N81))),"")</f>
        <v/>
      </c>
      <c r="N81">
        <f>Create_TC_Web!CA90</f>
        <v>0</v>
      </c>
      <c r="O81" t="str">
        <f t="shared" si="7"/>
        <v/>
      </c>
      <c r="P81" s="17">
        <f>Create_TC_Web!CI68</f>
        <v>0</v>
      </c>
      <c r="Q81" t="str">
        <f>IF(TestData!CB81&lt;&gt;0,TestData!CB81,"")</f>
        <v/>
      </c>
      <c r="R81" t="str">
        <f t="shared" si="8"/>
        <v/>
      </c>
      <c r="S81" t="str">
        <f t="shared" si="9"/>
        <v/>
      </c>
    </row>
    <row r="82" spans="1:19">
      <c r="A82" t="str" cm="1">
        <f t="array" ref="A82">IFERROR(INDEX(Create_TC_Web!D$1:D$500,SMALL(IF(Create_TC_Web!$C$1:$C$500&lt;&gt;"",MATCH(ROW(Create_TC_Web!$C$1:$C$500),ROW(Create_TC_Web!$C$1:$C$500)),""),ROW(Create_TC_Web!B82))),"")</f>
        <v/>
      </c>
      <c r="B82" t="str" cm="1">
        <f t="array" ref="B82">SUBSTITUTE(SUBSTITUTE(SUBSTITUTE(IFERROR(INDEX(Create_TC_Web!E$1:E$505,SMALL(IF(Create_TC_Web!$C$1:$C$505&lt;&gt;"",MATCH(ROW(Create_TC_Web!$C$1:$C$505),ROW(Create_TC_Web!$C$1:$C$505)),""),ROW(Create_TC_Web!C82))),"")," ",""),"-",""),"_","")</f>
        <v/>
      </c>
      <c r="C82" t="str" cm="1">
        <f t="array" ref="C82">IFERROR(INDEX(Create_TC_Web!F$1:F$500,SMALL(IF(Create_TC_Web!$C$1:$C$500&lt;&gt;"",MATCH(ROW(Create_TC_Web!$C$1:$C$500),ROW(Create_TC_Web!$C$1:$C$500)),""),ROW(Create_TC_Web!D82))),"")</f>
        <v/>
      </c>
      <c r="D82" t="str" cm="1">
        <f t="array" ref="D82">IFERROR(INDEX(Create_TC_Web!G$1:G$500,SMALL(IF(Create_TC_Web!$C$1:$C$500&lt;&gt;"",MATCH(ROW(Create_TC_Web!$C$1:$C$500),ROW(Create_TC_Web!$C$1:$C$500)),""),ROW(Create_TC_Web!E82))),"")</f>
        <v/>
      </c>
      <c r="E82" t="str" cm="1">
        <f t="array" ref="E82">IFERROR(INDEX(Create_TC_Web!H$1:H$500,SMALL(IF(Create_TC_Web!$C$1:$C$500&lt;&gt;"",MATCH(ROW(Create_TC_Web!$C$1:$C$500),ROW(Create_TC_Web!$C$1:$C$500)),""),ROW(Create_TC_Web!F82))),"")</f>
        <v/>
      </c>
      <c r="F82" t="str" cm="1">
        <f t="array" ref="F82">IFERROR(INDEX(Create_TC_Web!I$1:I$500,SMALL(IF(Create_TC_Web!$C$1:$C$500&lt;&gt;"",MATCH(ROW(Create_TC_Web!$C$1:$C$500),ROW(Create_TC_Web!$C$1:$C$500)),""),ROW(Create_TC_Web!G82))),"")</f>
        <v/>
      </c>
      <c r="G82" t="str" cm="1">
        <f t="array" ref="G82">IFERROR(INDEX(Create_TC_Web!J$1:J$500,SMALL(IF(Create_TC_Web!$C$1:$C$500&lt;&gt;"",MATCH(ROW(Create_TC_Web!$C$1:$C$500),ROW(Create_TC_Web!$C$1:$C$500)),""),ROW(Create_TC_Web!H82))),"")</f>
        <v/>
      </c>
      <c r="H82" t="str" cm="1">
        <f t="array" ref="H82">IFERROR(INDEX(Create_TC_Web!K$1:K$500,SMALL(IF(Create_TC_Web!$C$1:$C$500&lt;&gt;"",MATCH(ROW(Create_TC_Web!$C$1:$C$500),ROW(Create_TC_Web!$C$1:$C$500)),""),ROW(Create_TC_Web!I82))),"")</f>
        <v/>
      </c>
      <c r="I82" t="str" cm="1">
        <f t="array" ref="I82">IFERROR(INDEX(Create_TC_Web!L$1:L$500,SMALL(IF(Create_TC_Web!$C$1:$C$500&lt;&gt;"",MATCH(ROW(Create_TC_Web!$C$1:$C$500),ROW(Create_TC_Web!$C$1:$C$500)),""),ROW(Create_TC_Web!J82))),"")</f>
        <v/>
      </c>
      <c r="J82" t="str" cm="1">
        <f t="array" ref="J82">IFERROR(INDEX(Create_TC_Web!M$1:M$500,SMALL(IF(Create_TC_Web!$C$1:$C$500&lt;&gt;"",MATCH(ROW(Create_TC_Web!$C$1:$C$500),ROW(Create_TC_Web!$C$1:$C$500)),""),ROW(Create_TC_Web!K82))),"")</f>
        <v/>
      </c>
      <c r="K82" t="str" cm="1">
        <f t="array" ref="K82">IFERROR(INDEX(Create_TC_Web!N$1:N$500,SMALL(IF(Create_TC_Web!$C$1:$C$500&lt;&gt;"",MATCH(ROW(Create_TC_Web!$C$1:$C$500),ROW(Create_TC_Web!$C$1:$C$500)),""),ROW(Create_TC_Web!L82))),"")</f>
        <v/>
      </c>
      <c r="L82" t="str" cm="1">
        <f t="array" ref="L82">IFERROR(INDEX(Create_TC_Web!O$1:O$500,SMALL(IF(Create_TC_Web!$C$1:$C$500&lt;&gt;"",MATCH(ROW(Create_TC_Web!$C$1:$C$500),ROW(Create_TC_Web!$C$1:$C$500)),""),ROW(Create_TC_Web!M82))),"")</f>
        <v/>
      </c>
      <c r="M82" t="str" cm="1">
        <f t="array" ref="M82">IFERROR(INDEX(Create_TC_Web!P$1:P$500,SMALL(IF(Create_TC_Web!$C$1:$C$500&lt;&gt;"",MATCH(ROW(Create_TC_Web!$C$1:$C$500),ROW(Create_TC_Web!$C$1:$C$500)),""),ROW(Create_TC_Web!N82))),"")</f>
        <v/>
      </c>
      <c r="N82">
        <f>Create_TC_Web!CA91</f>
        <v>0</v>
      </c>
      <c r="O82" t="str">
        <f t="shared" si="7"/>
        <v/>
      </c>
      <c r="P82" s="17">
        <f>Create_TC_Web!CI69</f>
        <v>0</v>
      </c>
      <c r="Q82" t="str">
        <f>IF(TestData!CB82&lt;&gt;0,TestData!CB82,"")</f>
        <v/>
      </c>
      <c r="R82" t="str">
        <f t="shared" si="8"/>
        <v/>
      </c>
      <c r="S82" t="str">
        <f t="shared" si="9"/>
        <v/>
      </c>
    </row>
    <row r="83" spans="1:19">
      <c r="A83" t="str" cm="1">
        <f t="array" ref="A83">IFERROR(INDEX(Create_TC_Web!D$1:D$500,SMALL(IF(Create_TC_Web!$C$1:$C$500&lt;&gt;"",MATCH(ROW(Create_TC_Web!$C$1:$C$500),ROW(Create_TC_Web!$C$1:$C$500)),""),ROW(Create_TC_Web!B83))),"")</f>
        <v/>
      </c>
      <c r="B83" t="str" cm="1">
        <f t="array" ref="B83">SUBSTITUTE(SUBSTITUTE(SUBSTITUTE(IFERROR(INDEX(Create_TC_Web!E$1:E$505,SMALL(IF(Create_TC_Web!$C$1:$C$505&lt;&gt;"",MATCH(ROW(Create_TC_Web!$C$1:$C$505),ROW(Create_TC_Web!$C$1:$C$505)),""),ROW(Create_TC_Web!C83))),"")," ",""),"-",""),"_","")</f>
        <v/>
      </c>
      <c r="C83" t="str" cm="1">
        <f t="array" ref="C83">IFERROR(INDEX(Create_TC_Web!F$1:F$500,SMALL(IF(Create_TC_Web!$C$1:$C$500&lt;&gt;"",MATCH(ROW(Create_TC_Web!$C$1:$C$500),ROW(Create_TC_Web!$C$1:$C$500)),""),ROW(Create_TC_Web!D83))),"")</f>
        <v/>
      </c>
      <c r="D83" t="str" cm="1">
        <f t="array" ref="D83">IFERROR(INDEX(Create_TC_Web!G$1:G$500,SMALL(IF(Create_TC_Web!$C$1:$C$500&lt;&gt;"",MATCH(ROW(Create_TC_Web!$C$1:$C$500),ROW(Create_TC_Web!$C$1:$C$500)),""),ROW(Create_TC_Web!E83))),"")</f>
        <v/>
      </c>
      <c r="E83" t="str" cm="1">
        <f t="array" ref="E83">IFERROR(INDEX(Create_TC_Web!H$1:H$500,SMALL(IF(Create_TC_Web!$C$1:$C$500&lt;&gt;"",MATCH(ROW(Create_TC_Web!$C$1:$C$500),ROW(Create_TC_Web!$C$1:$C$500)),""),ROW(Create_TC_Web!F83))),"")</f>
        <v/>
      </c>
      <c r="F83" t="str" cm="1">
        <f t="array" ref="F83">IFERROR(INDEX(Create_TC_Web!I$1:I$500,SMALL(IF(Create_TC_Web!$C$1:$C$500&lt;&gt;"",MATCH(ROW(Create_TC_Web!$C$1:$C$500),ROW(Create_TC_Web!$C$1:$C$500)),""),ROW(Create_TC_Web!G83))),"")</f>
        <v/>
      </c>
      <c r="G83" t="str" cm="1">
        <f t="array" ref="G83">IFERROR(INDEX(Create_TC_Web!J$1:J$500,SMALL(IF(Create_TC_Web!$C$1:$C$500&lt;&gt;"",MATCH(ROW(Create_TC_Web!$C$1:$C$500),ROW(Create_TC_Web!$C$1:$C$500)),""),ROW(Create_TC_Web!H83))),"")</f>
        <v/>
      </c>
      <c r="H83" t="str" cm="1">
        <f t="array" ref="H83">IFERROR(INDEX(Create_TC_Web!K$1:K$500,SMALL(IF(Create_TC_Web!$C$1:$C$500&lt;&gt;"",MATCH(ROW(Create_TC_Web!$C$1:$C$500),ROW(Create_TC_Web!$C$1:$C$500)),""),ROW(Create_TC_Web!I83))),"")</f>
        <v/>
      </c>
      <c r="I83" t="str" cm="1">
        <f t="array" ref="I83">IFERROR(INDEX(Create_TC_Web!L$1:L$500,SMALL(IF(Create_TC_Web!$C$1:$C$500&lt;&gt;"",MATCH(ROW(Create_TC_Web!$C$1:$C$500),ROW(Create_TC_Web!$C$1:$C$500)),""),ROW(Create_TC_Web!J83))),"")</f>
        <v/>
      </c>
      <c r="J83" t="str" cm="1">
        <f t="array" ref="J83">IFERROR(INDEX(Create_TC_Web!M$1:M$500,SMALL(IF(Create_TC_Web!$C$1:$C$500&lt;&gt;"",MATCH(ROW(Create_TC_Web!$C$1:$C$500),ROW(Create_TC_Web!$C$1:$C$500)),""),ROW(Create_TC_Web!K83))),"")</f>
        <v/>
      </c>
      <c r="K83" t="str" cm="1">
        <f t="array" ref="K83">IFERROR(INDEX(Create_TC_Web!N$1:N$500,SMALL(IF(Create_TC_Web!$C$1:$C$500&lt;&gt;"",MATCH(ROW(Create_TC_Web!$C$1:$C$500),ROW(Create_TC_Web!$C$1:$C$500)),""),ROW(Create_TC_Web!L83))),"")</f>
        <v/>
      </c>
      <c r="L83" t="str" cm="1">
        <f t="array" ref="L83">IFERROR(INDEX(Create_TC_Web!O$1:O$500,SMALL(IF(Create_TC_Web!$C$1:$C$500&lt;&gt;"",MATCH(ROW(Create_TC_Web!$C$1:$C$500),ROW(Create_TC_Web!$C$1:$C$500)),""),ROW(Create_TC_Web!M83))),"")</f>
        <v/>
      </c>
      <c r="M83" t="str" cm="1">
        <f t="array" ref="M83">IFERROR(INDEX(Create_TC_Web!P$1:P$500,SMALL(IF(Create_TC_Web!$C$1:$C$500&lt;&gt;"",MATCH(ROW(Create_TC_Web!$C$1:$C$500),ROW(Create_TC_Web!$C$1:$C$500)),""),ROW(Create_TC_Web!N83))),"")</f>
        <v/>
      </c>
      <c r="N83">
        <f>Create_TC_Web!CA92</f>
        <v>0</v>
      </c>
      <c r="O83" t="str">
        <f t="shared" si="7"/>
        <v/>
      </c>
      <c r="P83" s="17">
        <f>Create_TC_Web!CI70</f>
        <v>0</v>
      </c>
      <c r="Q83" t="str">
        <f>IF(TestData!CB83&lt;&gt;0,TestData!CB83,"")</f>
        <v/>
      </c>
      <c r="R83" t="str">
        <f t="shared" si="8"/>
        <v/>
      </c>
      <c r="S83" t="str">
        <f t="shared" si="9"/>
        <v/>
      </c>
    </row>
    <row r="84" spans="1:19">
      <c r="A84" t="str" cm="1">
        <f t="array" ref="A84">IFERROR(INDEX(Create_TC_Web!D$1:D$500,SMALL(IF(Create_TC_Web!$C$1:$C$500&lt;&gt;"",MATCH(ROW(Create_TC_Web!$C$1:$C$500),ROW(Create_TC_Web!$C$1:$C$500)),""),ROW(Create_TC_Web!B84))),"")</f>
        <v/>
      </c>
      <c r="B84" t="str" cm="1">
        <f t="array" ref="B84">SUBSTITUTE(SUBSTITUTE(SUBSTITUTE(IFERROR(INDEX(Create_TC_Web!E$1:E$505,SMALL(IF(Create_TC_Web!$C$1:$C$505&lt;&gt;"",MATCH(ROW(Create_TC_Web!$C$1:$C$505),ROW(Create_TC_Web!$C$1:$C$505)),""),ROW(Create_TC_Web!C84))),"")," ",""),"-",""),"_","")</f>
        <v/>
      </c>
      <c r="C84" t="str" cm="1">
        <f t="array" ref="C84">IFERROR(INDEX(Create_TC_Web!F$1:F$500,SMALL(IF(Create_TC_Web!$C$1:$C$500&lt;&gt;"",MATCH(ROW(Create_TC_Web!$C$1:$C$500),ROW(Create_TC_Web!$C$1:$C$500)),""),ROW(Create_TC_Web!D84))),"")</f>
        <v/>
      </c>
      <c r="D84" t="str" cm="1">
        <f t="array" ref="D84">IFERROR(INDEX(Create_TC_Web!G$1:G$500,SMALL(IF(Create_TC_Web!$C$1:$C$500&lt;&gt;"",MATCH(ROW(Create_TC_Web!$C$1:$C$500),ROW(Create_TC_Web!$C$1:$C$500)),""),ROW(Create_TC_Web!E84))),"")</f>
        <v/>
      </c>
      <c r="E84" t="str" cm="1">
        <f t="array" ref="E84">IFERROR(INDEX(Create_TC_Web!H$1:H$500,SMALL(IF(Create_TC_Web!$C$1:$C$500&lt;&gt;"",MATCH(ROW(Create_TC_Web!$C$1:$C$500),ROW(Create_TC_Web!$C$1:$C$500)),""),ROW(Create_TC_Web!F84))),"")</f>
        <v/>
      </c>
      <c r="F84" t="str" cm="1">
        <f t="array" ref="F84">IFERROR(INDEX(Create_TC_Web!I$1:I$500,SMALL(IF(Create_TC_Web!$C$1:$C$500&lt;&gt;"",MATCH(ROW(Create_TC_Web!$C$1:$C$500),ROW(Create_TC_Web!$C$1:$C$500)),""),ROW(Create_TC_Web!G84))),"")</f>
        <v/>
      </c>
      <c r="G84" t="str" cm="1">
        <f t="array" ref="G84">IFERROR(INDEX(Create_TC_Web!J$1:J$500,SMALL(IF(Create_TC_Web!$C$1:$C$500&lt;&gt;"",MATCH(ROW(Create_TC_Web!$C$1:$C$500),ROW(Create_TC_Web!$C$1:$C$500)),""),ROW(Create_TC_Web!H84))),"")</f>
        <v/>
      </c>
      <c r="H84" t="str" cm="1">
        <f t="array" ref="H84">IFERROR(INDEX(Create_TC_Web!K$1:K$500,SMALL(IF(Create_TC_Web!$C$1:$C$500&lt;&gt;"",MATCH(ROW(Create_TC_Web!$C$1:$C$500),ROW(Create_TC_Web!$C$1:$C$500)),""),ROW(Create_TC_Web!I84))),"")</f>
        <v/>
      </c>
      <c r="I84" t="str" cm="1">
        <f t="array" ref="I84">IFERROR(INDEX(Create_TC_Web!L$1:L$500,SMALL(IF(Create_TC_Web!$C$1:$C$500&lt;&gt;"",MATCH(ROW(Create_TC_Web!$C$1:$C$500),ROW(Create_TC_Web!$C$1:$C$500)),""),ROW(Create_TC_Web!J84))),"")</f>
        <v/>
      </c>
      <c r="J84" t="str" cm="1">
        <f t="array" ref="J84">IFERROR(INDEX(Create_TC_Web!M$1:M$500,SMALL(IF(Create_TC_Web!$C$1:$C$500&lt;&gt;"",MATCH(ROW(Create_TC_Web!$C$1:$C$500),ROW(Create_TC_Web!$C$1:$C$500)),""),ROW(Create_TC_Web!K84))),"")</f>
        <v/>
      </c>
      <c r="K84" t="str" cm="1">
        <f t="array" ref="K84">IFERROR(INDEX(Create_TC_Web!N$1:N$500,SMALL(IF(Create_TC_Web!$C$1:$C$500&lt;&gt;"",MATCH(ROW(Create_TC_Web!$C$1:$C$500),ROW(Create_TC_Web!$C$1:$C$500)),""),ROW(Create_TC_Web!L84))),"")</f>
        <v/>
      </c>
      <c r="L84" t="str" cm="1">
        <f t="array" ref="L84">IFERROR(INDEX(Create_TC_Web!O$1:O$500,SMALL(IF(Create_TC_Web!$C$1:$C$500&lt;&gt;"",MATCH(ROW(Create_TC_Web!$C$1:$C$500),ROW(Create_TC_Web!$C$1:$C$500)),""),ROW(Create_TC_Web!M84))),"")</f>
        <v/>
      </c>
      <c r="M84" t="str" cm="1">
        <f t="array" ref="M84">IFERROR(INDEX(Create_TC_Web!P$1:P$500,SMALL(IF(Create_TC_Web!$C$1:$C$500&lt;&gt;"",MATCH(ROW(Create_TC_Web!$C$1:$C$500),ROW(Create_TC_Web!$C$1:$C$500)),""),ROW(Create_TC_Web!N84))),"")</f>
        <v/>
      </c>
      <c r="N84">
        <f>Create_TC_Web!CA93</f>
        <v>0</v>
      </c>
      <c r="O84" t="str">
        <f t="shared" si="7"/>
        <v/>
      </c>
      <c r="P84" s="17">
        <f>Create_TC_Web!CI71</f>
        <v>0</v>
      </c>
      <c r="Q84" t="str">
        <f>IF(TestData!CB84&lt;&gt;0,TestData!CB84,"")</f>
        <v/>
      </c>
      <c r="R84" t="str">
        <f t="shared" si="8"/>
        <v/>
      </c>
      <c r="S84" t="str">
        <f t="shared" si="9"/>
        <v/>
      </c>
    </row>
    <row r="85" spans="1:19">
      <c r="A85" t="str" cm="1">
        <f t="array" ref="A85">IFERROR(INDEX(Create_TC_Web!D$1:D$500,SMALL(IF(Create_TC_Web!$C$1:$C$500&lt;&gt;"",MATCH(ROW(Create_TC_Web!$C$1:$C$500),ROW(Create_TC_Web!$C$1:$C$500)),""),ROW(Create_TC_Web!B85))),"")</f>
        <v/>
      </c>
      <c r="B85" t="str" cm="1">
        <f t="array" ref="B85">SUBSTITUTE(SUBSTITUTE(SUBSTITUTE(IFERROR(INDEX(Create_TC_Web!E$1:E$505,SMALL(IF(Create_TC_Web!$C$1:$C$505&lt;&gt;"",MATCH(ROW(Create_TC_Web!$C$1:$C$505),ROW(Create_TC_Web!$C$1:$C$505)),""),ROW(Create_TC_Web!C85))),"")," ",""),"-",""),"_","")</f>
        <v/>
      </c>
      <c r="C85" t="str" cm="1">
        <f t="array" ref="C85">IFERROR(INDEX(Create_TC_Web!F$1:F$500,SMALL(IF(Create_TC_Web!$C$1:$C$500&lt;&gt;"",MATCH(ROW(Create_TC_Web!$C$1:$C$500),ROW(Create_TC_Web!$C$1:$C$500)),""),ROW(Create_TC_Web!D85))),"")</f>
        <v/>
      </c>
      <c r="D85" t="str" cm="1">
        <f t="array" ref="D85">IFERROR(INDEX(Create_TC_Web!G$1:G$500,SMALL(IF(Create_TC_Web!$C$1:$C$500&lt;&gt;"",MATCH(ROW(Create_TC_Web!$C$1:$C$500),ROW(Create_TC_Web!$C$1:$C$500)),""),ROW(Create_TC_Web!E85))),"")</f>
        <v/>
      </c>
      <c r="E85" t="str" cm="1">
        <f t="array" ref="E85">IFERROR(INDEX(Create_TC_Web!H$1:H$500,SMALL(IF(Create_TC_Web!$C$1:$C$500&lt;&gt;"",MATCH(ROW(Create_TC_Web!$C$1:$C$500),ROW(Create_TC_Web!$C$1:$C$500)),""),ROW(Create_TC_Web!F85))),"")</f>
        <v/>
      </c>
      <c r="F85" t="str" cm="1">
        <f t="array" ref="F85">IFERROR(INDEX(Create_TC_Web!I$1:I$500,SMALL(IF(Create_TC_Web!$C$1:$C$500&lt;&gt;"",MATCH(ROW(Create_TC_Web!$C$1:$C$500),ROW(Create_TC_Web!$C$1:$C$500)),""),ROW(Create_TC_Web!G85))),"")</f>
        <v/>
      </c>
      <c r="G85" t="str" cm="1">
        <f t="array" ref="G85">IFERROR(INDEX(Create_TC_Web!J$1:J$500,SMALL(IF(Create_TC_Web!$C$1:$C$500&lt;&gt;"",MATCH(ROW(Create_TC_Web!$C$1:$C$500),ROW(Create_TC_Web!$C$1:$C$500)),""),ROW(Create_TC_Web!H85))),"")</f>
        <v/>
      </c>
      <c r="H85" t="str" cm="1">
        <f t="array" ref="H85">IFERROR(INDEX(Create_TC_Web!K$1:K$500,SMALL(IF(Create_TC_Web!$C$1:$C$500&lt;&gt;"",MATCH(ROW(Create_TC_Web!$C$1:$C$500),ROW(Create_TC_Web!$C$1:$C$500)),""),ROW(Create_TC_Web!I85))),"")</f>
        <v/>
      </c>
      <c r="I85" t="str" cm="1">
        <f t="array" ref="I85">IFERROR(INDEX(Create_TC_Web!L$1:L$500,SMALL(IF(Create_TC_Web!$C$1:$C$500&lt;&gt;"",MATCH(ROW(Create_TC_Web!$C$1:$C$500),ROW(Create_TC_Web!$C$1:$C$500)),""),ROW(Create_TC_Web!J85))),"")</f>
        <v/>
      </c>
      <c r="J85" t="str" cm="1">
        <f t="array" ref="J85">IFERROR(INDEX(Create_TC_Web!M$1:M$500,SMALL(IF(Create_TC_Web!$C$1:$C$500&lt;&gt;"",MATCH(ROW(Create_TC_Web!$C$1:$C$500),ROW(Create_TC_Web!$C$1:$C$500)),""),ROW(Create_TC_Web!K85))),"")</f>
        <v/>
      </c>
      <c r="K85" t="str" cm="1">
        <f t="array" ref="K85">IFERROR(INDEX(Create_TC_Web!N$1:N$500,SMALL(IF(Create_TC_Web!$C$1:$C$500&lt;&gt;"",MATCH(ROW(Create_TC_Web!$C$1:$C$500),ROW(Create_TC_Web!$C$1:$C$500)),""),ROW(Create_TC_Web!L85))),"")</f>
        <v/>
      </c>
      <c r="L85" t="str" cm="1">
        <f t="array" ref="L85">IFERROR(INDEX(Create_TC_Web!O$1:O$500,SMALL(IF(Create_TC_Web!$C$1:$C$500&lt;&gt;"",MATCH(ROW(Create_TC_Web!$C$1:$C$500),ROW(Create_TC_Web!$C$1:$C$500)),""),ROW(Create_TC_Web!M85))),"")</f>
        <v/>
      </c>
      <c r="M85" t="str" cm="1">
        <f t="array" ref="M85">IFERROR(INDEX(Create_TC_Web!P$1:P$500,SMALL(IF(Create_TC_Web!$C$1:$C$500&lt;&gt;"",MATCH(ROW(Create_TC_Web!$C$1:$C$500),ROW(Create_TC_Web!$C$1:$C$500)),""),ROW(Create_TC_Web!N85))),"")</f>
        <v/>
      </c>
      <c r="N85">
        <f>Create_TC_Web!CA94</f>
        <v>0</v>
      </c>
      <c r="O85" t="str">
        <f t="shared" si="7"/>
        <v/>
      </c>
      <c r="P85" s="17">
        <f>Create_TC_Web!CI72</f>
        <v>0</v>
      </c>
      <c r="Q85" t="str">
        <f>IF(TestData!CB85&lt;&gt;0,TestData!CB85,"")</f>
        <v/>
      </c>
      <c r="R85" t="str">
        <f t="shared" si="8"/>
        <v/>
      </c>
      <c r="S85" t="str">
        <f t="shared" si="9"/>
        <v/>
      </c>
    </row>
    <row r="86" spans="1:19">
      <c r="A86" t="str" cm="1">
        <f t="array" ref="A86">IFERROR(INDEX(Create_TC_Web!D$1:D$500,SMALL(IF(Create_TC_Web!$C$1:$C$500&lt;&gt;"",MATCH(ROW(Create_TC_Web!$C$1:$C$500),ROW(Create_TC_Web!$C$1:$C$500)),""),ROW(Create_TC_Web!B86))),"")</f>
        <v/>
      </c>
      <c r="B86" t="str" cm="1">
        <f t="array" ref="B86">SUBSTITUTE(SUBSTITUTE(SUBSTITUTE(IFERROR(INDEX(Create_TC_Web!E$1:E$505,SMALL(IF(Create_TC_Web!$C$1:$C$505&lt;&gt;"",MATCH(ROW(Create_TC_Web!$C$1:$C$505),ROW(Create_TC_Web!$C$1:$C$505)),""),ROW(Create_TC_Web!C86))),"")," ",""),"-",""),"_","")</f>
        <v/>
      </c>
      <c r="C86" t="str" cm="1">
        <f t="array" ref="C86">IFERROR(INDEX(Create_TC_Web!F$1:F$500,SMALL(IF(Create_TC_Web!$C$1:$C$500&lt;&gt;"",MATCH(ROW(Create_TC_Web!$C$1:$C$500),ROW(Create_TC_Web!$C$1:$C$500)),""),ROW(Create_TC_Web!D86))),"")</f>
        <v/>
      </c>
      <c r="D86" t="str" cm="1">
        <f t="array" ref="D86">IFERROR(INDEX(Create_TC_Web!G$1:G$500,SMALL(IF(Create_TC_Web!$C$1:$C$500&lt;&gt;"",MATCH(ROW(Create_TC_Web!$C$1:$C$500),ROW(Create_TC_Web!$C$1:$C$500)),""),ROW(Create_TC_Web!E86))),"")</f>
        <v/>
      </c>
      <c r="E86" t="str" cm="1">
        <f t="array" ref="E86">IFERROR(INDEX(Create_TC_Web!H$1:H$500,SMALL(IF(Create_TC_Web!$C$1:$C$500&lt;&gt;"",MATCH(ROW(Create_TC_Web!$C$1:$C$500),ROW(Create_TC_Web!$C$1:$C$500)),""),ROW(Create_TC_Web!F86))),"")</f>
        <v/>
      </c>
      <c r="F86" t="str" cm="1">
        <f t="array" ref="F86">IFERROR(INDEX(Create_TC_Web!I$1:I$500,SMALL(IF(Create_TC_Web!$C$1:$C$500&lt;&gt;"",MATCH(ROW(Create_TC_Web!$C$1:$C$500),ROW(Create_TC_Web!$C$1:$C$500)),""),ROW(Create_TC_Web!G86))),"")</f>
        <v/>
      </c>
      <c r="G86" t="str" cm="1">
        <f t="array" ref="G86">IFERROR(INDEX(Create_TC_Web!J$1:J$500,SMALL(IF(Create_TC_Web!$C$1:$C$500&lt;&gt;"",MATCH(ROW(Create_TC_Web!$C$1:$C$500),ROW(Create_TC_Web!$C$1:$C$500)),""),ROW(Create_TC_Web!H86))),"")</f>
        <v/>
      </c>
      <c r="H86" t="str" cm="1">
        <f t="array" ref="H86">IFERROR(INDEX(Create_TC_Web!K$1:K$500,SMALL(IF(Create_TC_Web!$C$1:$C$500&lt;&gt;"",MATCH(ROW(Create_TC_Web!$C$1:$C$500),ROW(Create_TC_Web!$C$1:$C$500)),""),ROW(Create_TC_Web!I86))),"")</f>
        <v/>
      </c>
      <c r="I86" t="str" cm="1">
        <f t="array" ref="I86">IFERROR(INDEX(Create_TC_Web!L$1:L$500,SMALL(IF(Create_TC_Web!$C$1:$C$500&lt;&gt;"",MATCH(ROW(Create_TC_Web!$C$1:$C$500),ROW(Create_TC_Web!$C$1:$C$500)),""),ROW(Create_TC_Web!J86))),"")</f>
        <v/>
      </c>
      <c r="J86" t="str" cm="1">
        <f t="array" ref="J86">IFERROR(INDEX(Create_TC_Web!M$1:M$500,SMALL(IF(Create_TC_Web!$C$1:$C$500&lt;&gt;"",MATCH(ROW(Create_TC_Web!$C$1:$C$500),ROW(Create_TC_Web!$C$1:$C$500)),""),ROW(Create_TC_Web!K86))),"")</f>
        <v/>
      </c>
      <c r="K86" t="str" cm="1">
        <f t="array" ref="K86">IFERROR(INDEX(Create_TC_Web!N$1:N$500,SMALL(IF(Create_TC_Web!$C$1:$C$500&lt;&gt;"",MATCH(ROW(Create_TC_Web!$C$1:$C$500),ROW(Create_TC_Web!$C$1:$C$500)),""),ROW(Create_TC_Web!L86))),"")</f>
        <v/>
      </c>
      <c r="L86" t="str" cm="1">
        <f t="array" ref="L86">IFERROR(INDEX(Create_TC_Web!O$1:O$500,SMALL(IF(Create_TC_Web!$C$1:$C$500&lt;&gt;"",MATCH(ROW(Create_TC_Web!$C$1:$C$500),ROW(Create_TC_Web!$C$1:$C$500)),""),ROW(Create_TC_Web!M86))),"")</f>
        <v/>
      </c>
      <c r="M86" t="str" cm="1">
        <f t="array" ref="M86">IFERROR(INDEX(Create_TC_Web!P$1:P$500,SMALL(IF(Create_TC_Web!$C$1:$C$500&lt;&gt;"",MATCH(ROW(Create_TC_Web!$C$1:$C$500),ROW(Create_TC_Web!$C$1:$C$500)),""),ROW(Create_TC_Web!N86))),"")</f>
        <v/>
      </c>
      <c r="N86">
        <f>Create_TC_Web!CA95</f>
        <v>0</v>
      </c>
      <c r="O86" t="str">
        <f t="shared" si="7"/>
        <v/>
      </c>
      <c r="P86" s="17">
        <f>Create_TC_Web!CI73</f>
        <v>0</v>
      </c>
      <c r="Q86" t="str">
        <f>IF(TestData!CB86&lt;&gt;0,TestData!CB86,"")</f>
        <v/>
      </c>
      <c r="R86" t="str">
        <f t="shared" si="8"/>
        <v/>
      </c>
      <c r="S86" t="str">
        <f t="shared" si="9"/>
        <v/>
      </c>
    </row>
    <row r="87" spans="1:19">
      <c r="A87" t="str" cm="1">
        <f t="array" ref="A87">IFERROR(INDEX(Create_TC_Web!D$1:D$500,SMALL(IF(Create_TC_Web!$C$1:$C$500&lt;&gt;"",MATCH(ROW(Create_TC_Web!$C$1:$C$500),ROW(Create_TC_Web!$C$1:$C$500)),""),ROW(Create_TC_Web!B87))),"")</f>
        <v/>
      </c>
      <c r="B87" t="str" cm="1">
        <f t="array" ref="B87">SUBSTITUTE(SUBSTITUTE(SUBSTITUTE(IFERROR(INDEX(Create_TC_Web!E$1:E$505,SMALL(IF(Create_TC_Web!$C$1:$C$505&lt;&gt;"",MATCH(ROW(Create_TC_Web!$C$1:$C$505),ROW(Create_TC_Web!$C$1:$C$505)),""),ROW(Create_TC_Web!C87))),"")," ",""),"-",""),"_","")</f>
        <v/>
      </c>
      <c r="C87" t="str" cm="1">
        <f t="array" ref="C87">IFERROR(INDEX(Create_TC_Web!F$1:F$500,SMALL(IF(Create_TC_Web!$C$1:$C$500&lt;&gt;"",MATCH(ROW(Create_TC_Web!$C$1:$C$500),ROW(Create_TC_Web!$C$1:$C$500)),""),ROW(Create_TC_Web!D87))),"")</f>
        <v/>
      </c>
      <c r="D87" t="str" cm="1">
        <f t="array" ref="D87">IFERROR(INDEX(Create_TC_Web!G$1:G$500,SMALL(IF(Create_TC_Web!$C$1:$C$500&lt;&gt;"",MATCH(ROW(Create_TC_Web!$C$1:$C$500),ROW(Create_TC_Web!$C$1:$C$500)),""),ROW(Create_TC_Web!E87))),"")</f>
        <v/>
      </c>
      <c r="E87" t="str" cm="1">
        <f t="array" ref="E87">IFERROR(INDEX(Create_TC_Web!H$1:H$500,SMALL(IF(Create_TC_Web!$C$1:$C$500&lt;&gt;"",MATCH(ROW(Create_TC_Web!$C$1:$C$500),ROW(Create_TC_Web!$C$1:$C$500)),""),ROW(Create_TC_Web!F87))),"")</f>
        <v/>
      </c>
      <c r="F87" t="str" cm="1">
        <f t="array" ref="F87">IFERROR(INDEX(Create_TC_Web!I$1:I$500,SMALL(IF(Create_TC_Web!$C$1:$C$500&lt;&gt;"",MATCH(ROW(Create_TC_Web!$C$1:$C$500),ROW(Create_TC_Web!$C$1:$C$500)),""),ROW(Create_TC_Web!G87))),"")</f>
        <v/>
      </c>
      <c r="G87" t="str" cm="1">
        <f t="array" ref="G87">IFERROR(INDEX(Create_TC_Web!J$1:J$500,SMALL(IF(Create_TC_Web!$C$1:$C$500&lt;&gt;"",MATCH(ROW(Create_TC_Web!$C$1:$C$500),ROW(Create_TC_Web!$C$1:$C$500)),""),ROW(Create_TC_Web!H87))),"")</f>
        <v/>
      </c>
      <c r="H87" t="str" cm="1">
        <f t="array" ref="H87">IFERROR(INDEX(Create_TC_Web!K$1:K$500,SMALL(IF(Create_TC_Web!$C$1:$C$500&lt;&gt;"",MATCH(ROW(Create_TC_Web!$C$1:$C$500),ROW(Create_TC_Web!$C$1:$C$500)),""),ROW(Create_TC_Web!I87))),"")</f>
        <v/>
      </c>
      <c r="I87" t="str" cm="1">
        <f t="array" ref="I87">IFERROR(INDEX(Create_TC_Web!L$1:L$500,SMALL(IF(Create_TC_Web!$C$1:$C$500&lt;&gt;"",MATCH(ROW(Create_TC_Web!$C$1:$C$500),ROW(Create_TC_Web!$C$1:$C$500)),""),ROW(Create_TC_Web!J87))),"")</f>
        <v/>
      </c>
      <c r="J87" t="str" cm="1">
        <f t="array" ref="J87">IFERROR(INDEX(Create_TC_Web!M$1:M$500,SMALL(IF(Create_TC_Web!$C$1:$C$500&lt;&gt;"",MATCH(ROW(Create_TC_Web!$C$1:$C$500),ROW(Create_TC_Web!$C$1:$C$500)),""),ROW(Create_TC_Web!K87))),"")</f>
        <v/>
      </c>
      <c r="K87" t="str" cm="1">
        <f t="array" ref="K87">IFERROR(INDEX(Create_TC_Web!N$1:N$500,SMALL(IF(Create_TC_Web!$C$1:$C$500&lt;&gt;"",MATCH(ROW(Create_TC_Web!$C$1:$C$500),ROW(Create_TC_Web!$C$1:$C$500)),""),ROW(Create_TC_Web!L87))),"")</f>
        <v/>
      </c>
      <c r="L87" t="str" cm="1">
        <f t="array" ref="L87">IFERROR(INDEX(Create_TC_Web!O$1:O$500,SMALL(IF(Create_TC_Web!$C$1:$C$500&lt;&gt;"",MATCH(ROW(Create_TC_Web!$C$1:$C$500),ROW(Create_TC_Web!$C$1:$C$500)),""),ROW(Create_TC_Web!M87))),"")</f>
        <v/>
      </c>
      <c r="M87" t="str" cm="1">
        <f t="array" ref="M87">IFERROR(INDEX(Create_TC_Web!P$1:P$500,SMALL(IF(Create_TC_Web!$C$1:$C$500&lt;&gt;"",MATCH(ROW(Create_TC_Web!$C$1:$C$500),ROW(Create_TC_Web!$C$1:$C$500)),""),ROW(Create_TC_Web!N87))),"")</f>
        <v/>
      </c>
      <c r="N87">
        <f>Create_TC_Web!CA96</f>
        <v>0</v>
      </c>
      <c r="O87" t="str">
        <f t="shared" si="7"/>
        <v/>
      </c>
      <c r="P87" s="17">
        <f>Create_TC_Web!CI74</f>
        <v>0</v>
      </c>
      <c r="Q87" t="str">
        <f>IF(TestData!CB87&lt;&gt;0,TestData!CB87,"")</f>
        <v/>
      </c>
      <c r="R87" t="str">
        <f t="shared" si="8"/>
        <v/>
      </c>
      <c r="S87" t="str">
        <f t="shared" si="9"/>
        <v/>
      </c>
    </row>
    <row r="88" spans="1:19">
      <c r="A88" t="str" cm="1">
        <f t="array" ref="A88">IFERROR(INDEX(Create_TC_Web!D$1:D$500,SMALL(IF(Create_TC_Web!$C$1:$C$500&lt;&gt;"",MATCH(ROW(Create_TC_Web!$C$1:$C$500),ROW(Create_TC_Web!$C$1:$C$500)),""),ROW(Create_TC_Web!B88))),"")</f>
        <v/>
      </c>
      <c r="B88" t="str" cm="1">
        <f t="array" ref="B88">SUBSTITUTE(SUBSTITUTE(SUBSTITUTE(IFERROR(INDEX(Create_TC_Web!E$1:E$505,SMALL(IF(Create_TC_Web!$C$1:$C$505&lt;&gt;"",MATCH(ROW(Create_TC_Web!$C$1:$C$505),ROW(Create_TC_Web!$C$1:$C$505)),""),ROW(Create_TC_Web!C88))),"")," ",""),"-",""),"_","")</f>
        <v/>
      </c>
      <c r="C88" t="str" cm="1">
        <f t="array" ref="C88">IFERROR(INDEX(Create_TC_Web!F$1:F$500,SMALL(IF(Create_TC_Web!$C$1:$C$500&lt;&gt;"",MATCH(ROW(Create_TC_Web!$C$1:$C$500),ROW(Create_TC_Web!$C$1:$C$500)),""),ROW(Create_TC_Web!D88))),"")</f>
        <v/>
      </c>
      <c r="D88" t="str" cm="1">
        <f t="array" ref="D88">IFERROR(INDEX(Create_TC_Web!G$1:G$500,SMALL(IF(Create_TC_Web!$C$1:$C$500&lt;&gt;"",MATCH(ROW(Create_TC_Web!$C$1:$C$500),ROW(Create_TC_Web!$C$1:$C$500)),""),ROW(Create_TC_Web!E88))),"")</f>
        <v/>
      </c>
      <c r="E88" t="str" cm="1">
        <f t="array" ref="E88">IFERROR(INDEX(Create_TC_Web!H$1:H$500,SMALL(IF(Create_TC_Web!$C$1:$C$500&lt;&gt;"",MATCH(ROW(Create_TC_Web!$C$1:$C$500),ROW(Create_TC_Web!$C$1:$C$500)),""),ROW(Create_TC_Web!F88))),"")</f>
        <v/>
      </c>
      <c r="F88" t="str" cm="1">
        <f t="array" ref="F88">IFERROR(INDEX(Create_TC_Web!I$1:I$500,SMALL(IF(Create_TC_Web!$C$1:$C$500&lt;&gt;"",MATCH(ROW(Create_TC_Web!$C$1:$C$500),ROW(Create_TC_Web!$C$1:$C$500)),""),ROW(Create_TC_Web!G88))),"")</f>
        <v/>
      </c>
      <c r="G88" t="str" cm="1">
        <f t="array" ref="G88">IFERROR(INDEX(Create_TC_Web!J$1:J$500,SMALL(IF(Create_TC_Web!$C$1:$C$500&lt;&gt;"",MATCH(ROW(Create_TC_Web!$C$1:$C$500),ROW(Create_TC_Web!$C$1:$C$500)),""),ROW(Create_TC_Web!H88))),"")</f>
        <v/>
      </c>
      <c r="H88" t="str" cm="1">
        <f t="array" ref="H88">IFERROR(INDEX(Create_TC_Web!K$1:K$500,SMALL(IF(Create_TC_Web!$C$1:$C$500&lt;&gt;"",MATCH(ROW(Create_TC_Web!$C$1:$C$500),ROW(Create_TC_Web!$C$1:$C$500)),""),ROW(Create_TC_Web!I88))),"")</f>
        <v/>
      </c>
      <c r="I88" t="str" cm="1">
        <f t="array" ref="I88">IFERROR(INDEX(Create_TC_Web!L$1:L$500,SMALL(IF(Create_TC_Web!$C$1:$C$500&lt;&gt;"",MATCH(ROW(Create_TC_Web!$C$1:$C$500),ROW(Create_TC_Web!$C$1:$C$500)),""),ROW(Create_TC_Web!J88))),"")</f>
        <v/>
      </c>
      <c r="J88" t="str" cm="1">
        <f t="array" ref="J88">IFERROR(INDEX(Create_TC_Web!M$1:M$500,SMALL(IF(Create_TC_Web!$C$1:$C$500&lt;&gt;"",MATCH(ROW(Create_TC_Web!$C$1:$C$500),ROW(Create_TC_Web!$C$1:$C$500)),""),ROW(Create_TC_Web!K88))),"")</f>
        <v/>
      </c>
      <c r="K88" t="str" cm="1">
        <f t="array" ref="K88">IFERROR(INDEX(Create_TC_Web!N$1:N$500,SMALL(IF(Create_TC_Web!$C$1:$C$500&lt;&gt;"",MATCH(ROW(Create_TC_Web!$C$1:$C$500),ROW(Create_TC_Web!$C$1:$C$500)),""),ROW(Create_TC_Web!L88))),"")</f>
        <v/>
      </c>
      <c r="L88" t="str" cm="1">
        <f t="array" ref="L88">IFERROR(INDEX(Create_TC_Web!O$1:O$500,SMALL(IF(Create_TC_Web!$C$1:$C$500&lt;&gt;"",MATCH(ROW(Create_TC_Web!$C$1:$C$500),ROW(Create_TC_Web!$C$1:$C$500)),""),ROW(Create_TC_Web!M88))),"")</f>
        <v/>
      </c>
      <c r="M88" t="str" cm="1">
        <f t="array" ref="M88">IFERROR(INDEX(Create_TC_Web!P$1:P$500,SMALL(IF(Create_TC_Web!$C$1:$C$500&lt;&gt;"",MATCH(ROW(Create_TC_Web!$C$1:$C$500),ROW(Create_TC_Web!$C$1:$C$500)),""),ROW(Create_TC_Web!N88))),"")</f>
        <v/>
      </c>
      <c r="N88">
        <f>Create_TC_Web!CA97</f>
        <v>0</v>
      </c>
      <c r="O88" t="str">
        <f t="shared" si="7"/>
        <v/>
      </c>
      <c r="P88" s="17">
        <f>Create_TC_Web!CI75</f>
        <v>0</v>
      </c>
      <c r="Q88" t="str">
        <f>IF(TestData!CB88&lt;&gt;0,TestData!CB88,"")</f>
        <v/>
      </c>
      <c r="R88" t="str">
        <f t="shared" si="8"/>
        <v/>
      </c>
      <c r="S88" t="str">
        <f t="shared" si="9"/>
        <v/>
      </c>
    </row>
    <row r="89" spans="1:19">
      <c r="A89" t="str" cm="1">
        <f t="array" ref="A89">IFERROR(INDEX(Create_TC_Web!D$1:D$500,SMALL(IF(Create_TC_Web!$C$1:$C$500&lt;&gt;"",MATCH(ROW(Create_TC_Web!$C$1:$C$500),ROW(Create_TC_Web!$C$1:$C$500)),""),ROW(Create_TC_Web!B89))),"")</f>
        <v/>
      </c>
      <c r="B89" t="str" cm="1">
        <f t="array" ref="B89">SUBSTITUTE(SUBSTITUTE(SUBSTITUTE(IFERROR(INDEX(Create_TC_Web!E$1:E$505,SMALL(IF(Create_TC_Web!$C$1:$C$505&lt;&gt;"",MATCH(ROW(Create_TC_Web!$C$1:$C$505),ROW(Create_TC_Web!$C$1:$C$505)),""),ROW(Create_TC_Web!C89))),"")," ",""),"-",""),"_","")</f>
        <v/>
      </c>
      <c r="C89" t="str" cm="1">
        <f t="array" ref="C89">IFERROR(INDEX(Create_TC_Web!F$1:F$500,SMALL(IF(Create_TC_Web!$C$1:$C$500&lt;&gt;"",MATCH(ROW(Create_TC_Web!$C$1:$C$500),ROW(Create_TC_Web!$C$1:$C$500)),""),ROW(Create_TC_Web!D89))),"")</f>
        <v/>
      </c>
      <c r="D89" t="str" cm="1">
        <f t="array" ref="D89">IFERROR(INDEX(Create_TC_Web!G$1:G$500,SMALL(IF(Create_TC_Web!$C$1:$C$500&lt;&gt;"",MATCH(ROW(Create_TC_Web!$C$1:$C$500),ROW(Create_TC_Web!$C$1:$C$500)),""),ROW(Create_TC_Web!E89))),"")</f>
        <v/>
      </c>
      <c r="E89" t="str" cm="1">
        <f t="array" ref="E89">IFERROR(INDEX(Create_TC_Web!H$1:H$500,SMALL(IF(Create_TC_Web!$C$1:$C$500&lt;&gt;"",MATCH(ROW(Create_TC_Web!$C$1:$C$500),ROW(Create_TC_Web!$C$1:$C$500)),""),ROW(Create_TC_Web!F89))),"")</f>
        <v/>
      </c>
      <c r="F89" t="str" cm="1">
        <f t="array" ref="F89">IFERROR(INDEX(Create_TC_Web!I$1:I$500,SMALL(IF(Create_TC_Web!$C$1:$C$500&lt;&gt;"",MATCH(ROW(Create_TC_Web!$C$1:$C$500),ROW(Create_TC_Web!$C$1:$C$500)),""),ROW(Create_TC_Web!G89))),"")</f>
        <v/>
      </c>
      <c r="G89" t="str" cm="1">
        <f t="array" ref="G89">IFERROR(INDEX(Create_TC_Web!J$1:J$500,SMALL(IF(Create_TC_Web!$C$1:$C$500&lt;&gt;"",MATCH(ROW(Create_TC_Web!$C$1:$C$500),ROW(Create_TC_Web!$C$1:$C$500)),""),ROW(Create_TC_Web!H89))),"")</f>
        <v/>
      </c>
      <c r="H89" t="str" cm="1">
        <f t="array" ref="H89">IFERROR(INDEX(Create_TC_Web!K$1:K$500,SMALL(IF(Create_TC_Web!$C$1:$C$500&lt;&gt;"",MATCH(ROW(Create_TC_Web!$C$1:$C$500),ROW(Create_TC_Web!$C$1:$C$500)),""),ROW(Create_TC_Web!I89))),"")</f>
        <v/>
      </c>
      <c r="I89" t="str" cm="1">
        <f t="array" ref="I89">IFERROR(INDEX(Create_TC_Web!L$1:L$500,SMALL(IF(Create_TC_Web!$C$1:$C$500&lt;&gt;"",MATCH(ROW(Create_TC_Web!$C$1:$C$500),ROW(Create_TC_Web!$C$1:$C$500)),""),ROW(Create_TC_Web!J89))),"")</f>
        <v/>
      </c>
      <c r="J89" t="str" cm="1">
        <f t="array" ref="J89">IFERROR(INDEX(Create_TC_Web!M$1:M$500,SMALL(IF(Create_TC_Web!$C$1:$C$500&lt;&gt;"",MATCH(ROW(Create_TC_Web!$C$1:$C$500),ROW(Create_TC_Web!$C$1:$C$500)),""),ROW(Create_TC_Web!K89))),"")</f>
        <v/>
      </c>
      <c r="K89" t="str" cm="1">
        <f t="array" ref="K89">IFERROR(INDEX(Create_TC_Web!N$1:N$500,SMALL(IF(Create_TC_Web!$C$1:$C$500&lt;&gt;"",MATCH(ROW(Create_TC_Web!$C$1:$C$500),ROW(Create_TC_Web!$C$1:$C$500)),""),ROW(Create_TC_Web!L89))),"")</f>
        <v/>
      </c>
      <c r="L89" t="str" cm="1">
        <f t="array" ref="L89">IFERROR(INDEX(Create_TC_Web!O$1:O$500,SMALL(IF(Create_TC_Web!$C$1:$C$500&lt;&gt;"",MATCH(ROW(Create_TC_Web!$C$1:$C$500),ROW(Create_TC_Web!$C$1:$C$500)),""),ROW(Create_TC_Web!M89))),"")</f>
        <v/>
      </c>
      <c r="M89" t="str" cm="1">
        <f t="array" ref="M89">IFERROR(INDEX(Create_TC_Web!P$1:P$500,SMALL(IF(Create_TC_Web!$C$1:$C$500&lt;&gt;"",MATCH(ROW(Create_TC_Web!$C$1:$C$500),ROW(Create_TC_Web!$C$1:$C$500)),""),ROW(Create_TC_Web!N89))),"")</f>
        <v/>
      </c>
      <c r="N89">
        <f>Create_TC_Web!CA98</f>
        <v>0</v>
      </c>
      <c r="O89" t="str">
        <f t="shared" si="7"/>
        <v/>
      </c>
      <c r="P89" s="17">
        <f>Create_TC_Web!CI76</f>
        <v>0</v>
      </c>
      <c r="Q89" t="str">
        <f>IF(TestData!CB89&lt;&gt;0,TestData!CB89,"")</f>
        <v/>
      </c>
      <c r="R89" t="str">
        <f t="shared" si="8"/>
        <v/>
      </c>
      <c r="S89" t="str">
        <f t="shared" si="9"/>
        <v/>
      </c>
    </row>
    <row r="90" spans="1:19">
      <c r="A90" t="str" cm="1">
        <f t="array" ref="A90">IFERROR(INDEX(Create_TC_Web!D$1:D$500,SMALL(IF(Create_TC_Web!$C$1:$C$500&lt;&gt;"",MATCH(ROW(Create_TC_Web!$C$1:$C$500),ROW(Create_TC_Web!$C$1:$C$500)),""),ROW(Create_TC_Web!B90))),"")</f>
        <v/>
      </c>
      <c r="B90" t="str" cm="1">
        <f t="array" ref="B90">SUBSTITUTE(SUBSTITUTE(SUBSTITUTE(IFERROR(INDEX(Create_TC_Web!E$1:E$505,SMALL(IF(Create_TC_Web!$C$1:$C$505&lt;&gt;"",MATCH(ROW(Create_TC_Web!$C$1:$C$505),ROW(Create_TC_Web!$C$1:$C$505)),""),ROW(Create_TC_Web!C90))),"")," ",""),"-",""),"_","")</f>
        <v/>
      </c>
      <c r="C90" t="str" cm="1">
        <f t="array" ref="C90">IFERROR(INDEX(Create_TC_Web!F$1:F$500,SMALL(IF(Create_TC_Web!$C$1:$C$500&lt;&gt;"",MATCH(ROW(Create_TC_Web!$C$1:$C$500),ROW(Create_TC_Web!$C$1:$C$500)),""),ROW(Create_TC_Web!D90))),"")</f>
        <v/>
      </c>
      <c r="D90" t="str" cm="1">
        <f t="array" ref="D90">IFERROR(INDEX(Create_TC_Web!G$1:G$500,SMALL(IF(Create_TC_Web!$C$1:$C$500&lt;&gt;"",MATCH(ROW(Create_TC_Web!$C$1:$C$500),ROW(Create_TC_Web!$C$1:$C$500)),""),ROW(Create_TC_Web!E90))),"")</f>
        <v/>
      </c>
      <c r="E90" t="str" cm="1">
        <f t="array" ref="E90">IFERROR(INDEX(Create_TC_Web!H$1:H$500,SMALL(IF(Create_TC_Web!$C$1:$C$500&lt;&gt;"",MATCH(ROW(Create_TC_Web!$C$1:$C$500),ROW(Create_TC_Web!$C$1:$C$500)),""),ROW(Create_TC_Web!F90))),"")</f>
        <v/>
      </c>
      <c r="F90" t="str" cm="1">
        <f t="array" ref="F90">IFERROR(INDEX(Create_TC_Web!I$1:I$500,SMALL(IF(Create_TC_Web!$C$1:$C$500&lt;&gt;"",MATCH(ROW(Create_TC_Web!$C$1:$C$500),ROW(Create_TC_Web!$C$1:$C$500)),""),ROW(Create_TC_Web!G90))),"")</f>
        <v/>
      </c>
      <c r="G90" t="str" cm="1">
        <f t="array" ref="G90">IFERROR(INDEX(Create_TC_Web!J$1:J$500,SMALL(IF(Create_TC_Web!$C$1:$C$500&lt;&gt;"",MATCH(ROW(Create_TC_Web!$C$1:$C$500),ROW(Create_TC_Web!$C$1:$C$500)),""),ROW(Create_TC_Web!H90))),"")</f>
        <v/>
      </c>
      <c r="H90" t="str" cm="1">
        <f t="array" ref="H90">IFERROR(INDEX(Create_TC_Web!K$1:K$500,SMALL(IF(Create_TC_Web!$C$1:$C$500&lt;&gt;"",MATCH(ROW(Create_TC_Web!$C$1:$C$500),ROW(Create_TC_Web!$C$1:$C$500)),""),ROW(Create_TC_Web!I90))),"")</f>
        <v/>
      </c>
      <c r="I90" t="str" cm="1">
        <f t="array" ref="I90">IFERROR(INDEX(Create_TC_Web!L$1:L$500,SMALL(IF(Create_TC_Web!$C$1:$C$500&lt;&gt;"",MATCH(ROW(Create_TC_Web!$C$1:$C$500),ROW(Create_TC_Web!$C$1:$C$500)),""),ROW(Create_TC_Web!J90))),"")</f>
        <v/>
      </c>
      <c r="J90" t="str" cm="1">
        <f t="array" ref="J90">IFERROR(INDEX(Create_TC_Web!M$1:M$500,SMALL(IF(Create_TC_Web!$C$1:$C$500&lt;&gt;"",MATCH(ROW(Create_TC_Web!$C$1:$C$500),ROW(Create_TC_Web!$C$1:$C$500)),""),ROW(Create_TC_Web!K90))),"")</f>
        <v/>
      </c>
      <c r="K90" t="str" cm="1">
        <f t="array" ref="K90">IFERROR(INDEX(Create_TC_Web!N$1:N$500,SMALL(IF(Create_TC_Web!$C$1:$C$500&lt;&gt;"",MATCH(ROW(Create_TC_Web!$C$1:$C$500),ROW(Create_TC_Web!$C$1:$C$500)),""),ROW(Create_TC_Web!L90))),"")</f>
        <v/>
      </c>
      <c r="L90" t="str" cm="1">
        <f t="array" ref="L90">IFERROR(INDEX(Create_TC_Web!O$1:O$500,SMALL(IF(Create_TC_Web!$C$1:$C$500&lt;&gt;"",MATCH(ROW(Create_TC_Web!$C$1:$C$500),ROW(Create_TC_Web!$C$1:$C$500)),""),ROW(Create_TC_Web!M90))),"")</f>
        <v/>
      </c>
      <c r="M90" t="str" cm="1">
        <f t="array" ref="M90">IFERROR(INDEX(Create_TC_Web!P$1:P$500,SMALL(IF(Create_TC_Web!$C$1:$C$500&lt;&gt;"",MATCH(ROW(Create_TC_Web!$C$1:$C$500),ROW(Create_TC_Web!$C$1:$C$500)),""),ROW(Create_TC_Web!N90))),"")</f>
        <v/>
      </c>
      <c r="N90">
        <f>Create_TC_Web!CA99</f>
        <v>0</v>
      </c>
      <c r="O90" t="str">
        <f t="shared" si="7"/>
        <v/>
      </c>
      <c r="P90" s="17">
        <f>Create_TC_Web!CI77</f>
        <v>0</v>
      </c>
      <c r="Q90" t="str">
        <f>IF(TestData!CB90&lt;&gt;0,TestData!CB90,"")</f>
        <v/>
      </c>
      <c r="R90" t="str">
        <f t="shared" si="8"/>
        <v/>
      </c>
      <c r="S90" t="str">
        <f t="shared" si="9"/>
        <v/>
      </c>
    </row>
    <row r="91" spans="1:19">
      <c r="A91" t="str" cm="1">
        <f t="array" ref="A91">IFERROR(INDEX(Create_TC_Web!D$1:D$500,SMALL(IF(Create_TC_Web!$C$1:$C$500&lt;&gt;"",MATCH(ROW(Create_TC_Web!$C$1:$C$500),ROW(Create_TC_Web!$C$1:$C$500)),""),ROW(Create_TC_Web!B91))),"")</f>
        <v/>
      </c>
      <c r="B91" t="str" cm="1">
        <f t="array" ref="B91">SUBSTITUTE(SUBSTITUTE(SUBSTITUTE(IFERROR(INDEX(Create_TC_Web!E$1:E$505,SMALL(IF(Create_TC_Web!$C$1:$C$505&lt;&gt;"",MATCH(ROW(Create_TC_Web!$C$1:$C$505),ROW(Create_TC_Web!$C$1:$C$505)),""),ROW(Create_TC_Web!C91))),"")," ",""),"-",""),"_","")</f>
        <v/>
      </c>
      <c r="C91" t="str" cm="1">
        <f t="array" ref="C91">IFERROR(INDEX(Create_TC_Web!F$1:F$500,SMALL(IF(Create_TC_Web!$C$1:$C$500&lt;&gt;"",MATCH(ROW(Create_TC_Web!$C$1:$C$500),ROW(Create_TC_Web!$C$1:$C$500)),""),ROW(Create_TC_Web!D91))),"")</f>
        <v/>
      </c>
      <c r="D91" t="str" cm="1">
        <f t="array" ref="D91">IFERROR(INDEX(Create_TC_Web!G$1:G$500,SMALL(IF(Create_TC_Web!$C$1:$C$500&lt;&gt;"",MATCH(ROW(Create_TC_Web!$C$1:$C$500),ROW(Create_TC_Web!$C$1:$C$500)),""),ROW(Create_TC_Web!E91))),"")</f>
        <v/>
      </c>
      <c r="E91" t="str" cm="1">
        <f t="array" ref="E91">IFERROR(INDEX(Create_TC_Web!H$1:H$500,SMALL(IF(Create_TC_Web!$C$1:$C$500&lt;&gt;"",MATCH(ROW(Create_TC_Web!$C$1:$C$500),ROW(Create_TC_Web!$C$1:$C$500)),""),ROW(Create_TC_Web!F91))),"")</f>
        <v/>
      </c>
      <c r="F91" t="str" cm="1">
        <f t="array" ref="F91">IFERROR(INDEX(Create_TC_Web!I$1:I$500,SMALL(IF(Create_TC_Web!$C$1:$C$500&lt;&gt;"",MATCH(ROW(Create_TC_Web!$C$1:$C$500),ROW(Create_TC_Web!$C$1:$C$500)),""),ROW(Create_TC_Web!G91))),"")</f>
        <v/>
      </c>
      <c r="G91" t="str" cm="1">
        <f t="array" ref="G91">IFERROR(INDEX(Create_TC_Web!J$1:J$500,SMALL(IF(Create_TC_Web!$C$1:$C$500&lt;&gt;"",MATCH(ROW(Create_TC_Web!$C$1:$C$500),ROW(Create_TC_Web!$C$1:$C$500)),""),ROW(Create_TC_Web!H91))),"")</f>
        <v/>
      </c>
      <c r="H91" t="str" cm="1">
        <f t="array" ref="H91">IFERROR(INDEX(Create_TC_Web!K$1:K$500,SMALL(IF(Create_TC_Web!$C$1:$C$500&lt;&gt;"",MATCH(ROW(Create_TC_Web!$C$1:$C$500),ROW(Create_TC_Web!$C$1:$C$500)),""),ROW(Create_TC_Web!I91))),"")</f>
        <v/>
      </c>
      <c r="I91" t="str" cm="1">
        <f t="array" ref="I91">IFERROR(INDEX(Create_TC_Web!L$1:L$500,SMALL(IF(Create_TC_Web!$C$1:$C$500&lt;&gt;"",MATCH(ROW(Create_TC_Web!$C$1:$C$500),ROW(Create_TC_Web!$C$1:$C$500)),""),ROW(Create_TC_Web!J91))),"")</f>
        <v/>
      </c>
      <c r="J91" t="str" cm="1">
        <f t="array" ref="J91">IFERROR(INDEX(Create_TC_Web!M$1:M$500,SMALL(IF(Create_TC_Web!$C$1:$C$500&lt;&gt;"",MATCH(ROW(Create_TC_Web!$C$1:$C$500),ROW(Create_TC_Web!$C$1:$C$500)),""),ROW(Create_TC_Web!K91))),"")</f>
        <v/>
      </c>
      <c r="K91" t="str" cm="1">
        <f t="array" ref="K91">IFERROR(INDEX(Create_TC_Web!N$1:N$500,SMALL(IF(Create_TC_Web!$C$1:$C$500&lt;&gt;"",MATCH(ROW(Create_TC_Web!$C$1:$C$500),ROW(Create_TC_Web!$C$1:$C$500)),""),ROW(Create_TC_Web!L91))),"")</f>
        <v/>
      </c>
      <c r="L91" t="str" cm="1">
        <f t="array" ref="L91">IFERROR(INDEX(Create_TC_Web!O$1:O$500,SMALL(IF(Create_TC_Web!$C$1:$C$500&lt;&gt;"",MATCH(ROW(Create_TC_Web!$C$1:$C$500),ROW(Create_TC_Web!$C$1:$C$500)),""),ROW(Create_TC_Web!M91))),"")</f>
        <v/>
      </c>
      <c r="M91" t="str" cm="1">
        <f t="array" ref="M91">IFERROR(INDEX(Create_TC_Web!P$1:P$500,SMALL(IF(Create_TC_Web!$C$1:$C$500&lt;&gt;"",MATCH(ROW(Create_TC_Web!$C$1:$C$500),ROW(Create_TC_Web!$C$1:$C$500)),""),ROW(Create_TC_Web!N91))),"")</f>
        <v/>
      </c>
      <c r="N91">
        <f>Create_TC_Web!CA100</f>
        <v>0</v>
      </c>
      <c r="O91" t="str">
        <f t="shared" si="7"/>
        <v/>
      </c>
      <c r="P91" s="17">
        <f>Create_TC_Web!CI78</f>
        <v>0</v>
      </c>
      <c r="Q91" t="str">
        <f>IF(TestData!CB91&lt;&gt;0,TestData!CB91,"")</f>
        <v/>
      </c>
      <c r="R91" t="str">
        <f t="shared" si="8"/>
        <v/>
      </c>
      <c r="S91" t="str">
        <f t="shared" si="9"/>
        <v/>
      </c>
    </row>
    <row r="92" spans="1:19">
      <c r="A92" t="str" cm="1">
        <f t="array" ref="A92">IFERROR(INDEX(Create_TC_Web!D$1:D$500,SMALL(IF(Create_TC_Web!$C$1:$C$500&lt;&gt;"",MATCH(ROW(Create_TC_Web!$C$1:$C$500),ROW(Create_TC_Web!$C$1:$C$500)),""),ROW(Create_TC_Web!B92))),"")</f>
        <v/>
      </c>
      <c r="B92" t="str" cm="1">
        <f t="array" ref="B92">SUBSTITUTE(SUBSTITUTE(SUBSTITUTE(IFERROR(INDEX(Create_TC_Web!E$1:E$505,SMALL(IF(Create_TC_Web!$C$1:$C$505&lt;&gt;"",MATCH(ROW(Create_TC_Web!$C$1:$C$505),ROW(Create_TC_Web!$C$1:$C$505)),""),ROW(Create_TC_Web!C92))),"")," ",""),"-",""),"_","")</f>
        <v/>
      </c>
      <c r="C92" t="str" cm="1">
        <f t="array" ref="C92">IFERROR(INDEX(Create_TC_Web!F$1:F$500,SMALL(IF(Create_TC_Web!$C$1:$C$500&lt;&gt;"",MATCH(ROW(Create_TC_Web!$C$1:$C$500),ROW(Create_TC_Web!$C$1:$C$500)),""),ROW(Create_TC_Web!D92))),"")</f>
        <v/>
      </c>
      <c r="D92" t="str" cm="1">
        <f t="array" ref="D92">IFERROR(INDEX(Create_TC_Web!G$1:G$500,SMALL(IF(Create_TC_Web!$C$1:$C$500&lt;&gt;"",MATCH(ROW(Create_TC_Web!$C$1:$C$500),ROW(Create_TC_Web!$C$1:$C$500)),""),ROW(Create_TC_Web!E92))),"")</f>
        <v/>
      </c>
      <c r="E92" t="str" cm="1">
        <f t="array" ref="E92">IFERROR(INDEX(Create_TC_Web!H$1:H$500,SMALL(IF(Create_TC_Web!$C$1:$C$500&lt;&gt;"",MATCH(ROW(Create_TC_Web!$C$1:$C$500),ROW(Create_TC_Web!$C$1:$C$500)),""),ROW(Create_TC_Web!F92))),"")</f>
        <v/>
      </c>
      <c r="F92" t="str" cm="1">
        <f t="array" ref="F92">IFERROR(INDEX(Create_TC_Web!I$1:I$500,SMALL(IF(Create_TC_Web!$C$1:$C$500&lt;&gt;"",MATCH(ROW(Create_TC_Web!$C$1:$C$500),ROW(Create_TC_Web!$C$1:$C$500)),""),ROW(Create_TC_Web!G92))),"")</f>
        <v/>
      </c>
      <c r="G92" t="str" cm="1">
        <f t="array" ref="G92">IFERROR(INDEX(Create_TC_Web!J$1:J$500,SMALL(IF(Create_TC_Web!$C$1:$C$500&lt;&gt;"",MATCH(ROW(Create_TC_Web!$C$1:$C$500),ROW(Create_TC_Web!$C$1:$C$500)),""),ROW(Create_TC_Web!H92))),"")</f>
        <v/>
      </c>
      <c r="H92" t="str" cm="1">
        <f t="array" ref="H92">IFERROR(INDEX(Create_TC_Web!K$1:K$500,SMALL(IF(Create_TC_Web!$C$1:$C$500&lt;&gt;"",MATCH(ROW(Create_TC_Web!$C$1:$C$500),ROW(Create_TC_Web!$C$1:$C$500)),""),ROW(Create_TC_Web!I92))),"")</f>
        <v/>
      </c>
      <c r="I92" t="str" cm="1">
        <f t="array" ref="I92">IFERROR(INDEX(Create_TC_Web!L$1:L$500,SMALL(IF(Create_TC_Web!$C$1:$C$500&lt;&gt;"",MATCH(ROW(Create_TC_Web!$C$1:$C$500),ROW(Create_TC_Web!$C$1:$C$500)),""),ROW(Create_TC_Web!J92))),"")</f>
        <v/>
      </c>
      <c r="J92" t="str" cm="1">
        <f t="array" ref="J92">IFERROR(INDEX(Create_TC_Web!M$1:M$500,SMALL(IF(Create_TC_Web!$C$1:$C$500&lt;&gt;"",MATCH(ROW(Create_TC_Web!$C$1:$C$500),ROW(Create_TC_Web!$C$1:$C$500)),""),ROW(Create_TC_Web!K92))),"")</f>
        <v/>
      </c>
      <c r="K92" t="str" cm="1">
        <f t="array" ref="K92">IFERROR(INDEX(Create_TC_Web!N$1:N$500,SMALL(IF(Create_TC_Web!$C$1:$C$500&lt;&gt;"",MATCH(ROW(Create_TC_Web!$C$1:$C$500),ROW(Create_TC_Web!$C$1:$C$500)),""),ROW(Create_TC_Web!L92))),"")</f>
        <v/>
      </c>
      <c r="L92" t="str" cm="1">
        <f t="array" ref="L92">IFERROR(INDEX(Create_TC_Web!O$1:O$500,SMALL(IF(Create_TC_Web!$C$1:$C$500&lt;&gt;"",MATCH(ROW(Create_TC_Web!$C$1:$C$500),ROW(Create_TC_Web!$C$1:$C$500)),""),ROW(Create_TC_Web!M92))),"")</f>
        <v/>
      </c>
      <c r="M92" t="str" cm="1">
        <f t="array" ref="M92">IFERROR(INDEX(Create_TC_Web!P$1:P$500,SMALL(IF(Create_TC_Web!$C$1:$C$500&lt;&gt;"",MATCH(ROW(Create_TC_Web!$C$1:$C$500),ROW(Create_TC_Web!$C$1:$C$500)),""),ROW(Create_TC_Web!N92))),"")</f>
        <v/>
      </c>
      <c r="N92">
        <f>Create_TC_Web!CA101</f>
        <v>0</v>
      </c>
      <c r="O92" t="str">
        <f t="shared" si="7"/>
        <v/>
      </c>
      <c r="P92" s="17">
        <f>Create_TC_Web!CI79</f>
        <v>0</v>
      </c>
      <c r="Q92" t="str">
        <f>IF(TestData!CB92&lt;&gt;0,TestData!CB92,"")</f>
        <v/>
      </c>
      <c r="R92" t="str">
        <f t="shared" si="8"/>
        <v/>
      </c>
      <c r="S92" t="str">
        <f t="shared" si="9"/>
        <v/>
      </c>
    </row>
    <row r="93" spans="1:19">
      <c r="A93" t="str" cm="1">
        <f t="array" ref="A93">IFERROR(INDEX(Create_TC_Web!D$1:D$500,SMALL(IF(Create_TC_Web!$C$1:$C$500&lt;&gt;"",MATCH(ROW(Create_TC_Web!$C$1:$C$500),ROW(Create_TC_Web!$C$1:$C$500)),""),ROW(Create_TC_Web!B93))),"")</f>
        <v/>
      </c>
      <c r="B93" t="str" cm="1">
        <f t="array" ref="B93">SUBSTITUTE(SUBSTITUTE(SUBSTITUTE(IFERROR(INDEX(Create_TC_Web!E$1:E$505,SMALL(IF(Create_TC_Web!$C$1:$C$505&lt;&gt;"",MATCH(ROW(Create_TC_Web!$C$1:$C$505),ROW(Create_TC_Web!$C$1:$C$505)),""),ROW(Create_TC_Web!C93))),"")," ",""),"-",""),"_","")</f>
        <v/>
      </c>
      <c r="C93" t="str" cm="1">
        <f t="array" ref="C93">IFERROR(INDEX(Create_TC_Web!F$1:F$500,SMALL(IF(Create_TC_Web!$C$1:$C$500&lt;&gt;"",MATCH(ROW(Create_TC_Web!$C$1:$C$500),ROW(Create_TC_Web!$C$1:$C$500)),""),ROW(Create_TC_Web!D93))),"")</f>
        <v/>
      </c>
      <c r="D93" t="str" cm="1">
        <f t="array" ref="D93">IFERROR(INDEX(Create_TC_Web!G$1:G$500,SMALL(IF(Create_TC_Web!$C$1:$C$500&lt;&gt;"",MATCH(ROW(Create_TC_Web!$C$1:$C$500),ROW(Create_TC_Web!$C$1:$C$500)),""),ROW(Create_TC_Web!E93))),"")</f>
        <v/>
      </c>
      <c r="E93" t="str" cm="1">
        <f t="array" ref="E93">IFERROR(INDEX(Create_TC_Web!H$1:H$500,SMALL(IF(Create_TC_Web!$C$1:$C$500&lt;&gt;"",MATCH(ROW(Create_TC_Web!$C$1:$C$500),ROW(Create_TC_Web!$C$1:$C$500)),""),ROW(Create_TC_Web!F93))),"")</f>
        <v/>
      </c>
      <c r="F93" t="str" cm="1">
        <f t="array" ref="F93">IFERROR(INDEX(Create_TC_Web!I$1:I$500,SMALL(IF(Create_TC_Web!$C$1:$C$500&lt;&gt;"",MATCH(ROW(Create_TC_Web!$C$1:$C$500),ROW(Create_TC_Web!$C$1:$C$500)),""),ROW(Create_TC_Web!G93))),"")</f>
        <v/>
      </c>
      <c r="G93" t="str" cm="1">
        <f t="array" ref="G93">IFERROR(INDEX(Create_TC_Web!J$1:J$500,SMALL(IF(Create_TC_Web!$C$1:$C$500&lt;&gt;"",MATCH(ROW(Create_TC_Web!$C$1:$C$500),ROW(Create_TC_Web!$C$1:$C$500)),""),ROW(Create_TC_Web!H93))),"")</f>
        <v/>
      </c>
      <c r="H93" t="str" cm="1">
        <f t="array" ref="H93">IFERROR(INDEX(Create_TC_Web!K$1:K$500,SMALL(IF(Create_TC_Web!$C$1:$C$500&lt;&gt;"",MATCH(ROW(Create_TC_Web!$C$1:$C$500),ROW(Create_TC_Web!$C$1:$C$500)),""),ROW(Create_TC_Web!I93))),"")</f>
        <v/>
      </c>
      <c r="I93" t="str" cm="1">
        <f t="array" ref="I93">IFERROR(INDEX(Create_TC_Web!L$1:L$500,SMALL(IF(Create_TC_Web!$C$1:$C$500&lt;&gt;"",MATCH(ROW(Create_TC_Web!$C$1:$C$500),ROW(Create_TC_Web!$C$1:$C$500)),""),ROW(Create_TC_Web!J93))),"")</f>
        <v/>
      </c>
      <c r="J93" t="str" cm="1">
        <f t="array" ref="J93">IFERROR(INDEX(Create_TC_Web!M$1:M$500,SMALL(IF(Create_TC_Web!$C$1:$C$500&lt;&gt;"",MATCH(ROW(Create_TC_Web!$C$1:$C$500),ROW(Create_TC_Web!$C$1:$C$500)),""),ROW(Create_TC_Web!K93))),"")</f>
        <v/>
      </c>
      <c r="K93" t="str" cm="1">
        <f t="array" ref="K93">IFERROR(INDEX(Create_TC_Web!N$1:N$500,SMALL(IF(Create_TC_Web!$C$1:$C$500&lt;&gt;"",MATCH(ROW(Create_TC_Web!$C$1:$C$500),ROW(Create_TC_Web!$C$1:$C$500)),""),ROW(Create_TC_Web!L93))),"")</f>
        <v/>
      </c>
      <c r="L93" t="str" cm="1">
        <f t="array" ref="L93">IFERROR(INDEX(Create_TC_Web!O$1:O$500,SMALL(IF(Create_TC_Web!$C$1:$C$500&lt;&gt;"",MATCH(ROW(Create_TC_Web!$C$1:$C$500),ROW(Create_TC_Web!$C$1:$C$500)),""),ROW(Create_TC_Web!M93))),"")</f>
        <v/>
      </c>
      <c r="M93" t="str" cm="1">
        <f t="array" ref="M93">IFERROR(INDEX(Create_TC_Web!P$1:P$500,SMALL(IF(Create_TC_Web!$C$1:$C$500&lt;&gt;"",MATCH(ROW(Create_TC_Web!$C$1:$C$500),ROW(Create_TC_Web!$C$1:$C$500)),""),ROW(Create_TC_Web!N93))),"")</f>
        <v/>
      </c>
      <c r="N93">
        <f>Create_TC_Web!CA102</f>
        <v>0</v>
      </c>
      <c r="O93" t="str">
        <f t="shared" si="7"/>
        <v/>
      </c>
      <c r="P93" s="17">
        <f>Create_TC_Web!CI80</f>
        <v>0</v>
      </c>
      <c r="Q93" t="str">
        <f>IF(TestData!CB93&lt;&gt;0,TestData!CB93,"")</f>
        <v/>
      </c>
      <c r="R93" t="str">
        <f t="shared" si="8"/>
        <v/>
      </c>
      <c r="S93" t="str">
        <f t="shared" si="9"/>
        <v/>
      </c>
    </row>
    <row r="94" spans="1:19">
      <c r="A94" t="str" cm="1">
        <f t="array" ref="A94">IFERROR(INDEX(Create_TC_Web!D$1:D$500,SMALL(IF(Create_TC_Web!$C$1:$C$500&lt;&gt;"",MATCH(ROW(Create_TC_Web!$C$1:$C$500),ROW(Create_TC_Web!$C$1:$C$500)),""),ROW(Create_TC_Web!B94))),"")</f>
        <v/>
      </c>
      <c r="B94" t="str" cm="1">
        <f t="array" ref="B94">SUBSTITUTE(SUBSTITUTE(SUBSTITUTE(IFERROR(INDEX(Create_TC_Web!E$1:E$505,SMALL(IF(Create_TC_Web!$C$1:$C$505&lt;&gt;"",MATCH(ROW(Create_TC_Web!$C$1:$C$505),ROW(Create_TC_Web!$C$1:$C$505)),""),ROW(Create_TC_Web!C94))),"")," ",""),"-",""),"_","")</f>
        <v/>
      </c>
      <c r="C94" t="str" cm="1">
        <f t="array" ref="C94">IFERROR(INDEX(Create_TC_Web!F$1:F$500,SMALL(IF(Create_TC_Web!$C$1:$C$500&lt;&gt;"",MATCH(ROW(Create_TC_Web!$C$1:$C$500),ROW(Create_TC_Web!$C$1:$C$500)),""),ROW(Create_TC_Web!D94))),"")</f>
        <v/>
      </c>
      <c r="D94" t="str" cm="1">
        <f t="array" ref="D94">IFERROR(INDEX(Create_TC_Web!G$1:G$500,SMALL(IF(Create_TC_Web!$C$1:$C$500&lt;&gt;"",MATCH(ROW(Create_TC_Web!$C$1:$C$500),ROW(Create_TC_Web!$C$1:$C$500)),""),ROW(Create_TC_Web!E94))),"")</f>
        <v/>
      </c>
      <c r="E94" t="str" cm="1">
        <f t="array" ref="E94">IFERROR(INDEX(Create_TC_Web!H$1:H$500,SMALL(IF(Create_TC_Web!$C$1:$C$500&lt;&gt;"",MATCH(ROW(Create_TC_Web!$C$1:$C$500),ROW(Create_TC_Web!$C$1:$C$500)),""),ROW(Create_TC_Web!F94))),"")</f>
        <v/>
      </c>
      <c r="F94" t="str" cm="1">
        <f t="array" ref="F94">IFERROR(INDEX(Create_TC_Web!I$1:I$500,SMALL(IF(Create_TC_Web!$C$1:$C$500&lt;&gt;"",MATCH(ROW(Create_TC_Web!$C$1:$C$500),ROW(Create_TC_Web!$C$1:$C$500)),""),ROW(Create_TC_Web!G94))),"")</f>
        <v/>
      </c>
      <c r="G94" t="str" cm="1">
        <f t="array" ref="G94">IFERROR(INDEX(Create_TC_Web!J$1:J$500,SMALL(IF(Create_TC_Web!$C$1:$C$500&lt;&gt;"",MATCH(ROW(Create_TC_Web!$C$1:$C$500),ROW(Create_TC_Web!$C$1:$C$500)),""),ROW(Create_TC_Web!H94))),"")</f>
        <v/>
      </c>
      <c r="H94" t="str" cm="1">
        <f t="array" ref="H94">IFERROR(INDEX(Create_TC_Web!K$1:K$500,SMALL(IF(Create_TC_Web!$C$1:$C$500&lt;&gt;"",MATCH(ROW(Create_TC_Web!$C$1:$C$500),ROW(Create_TC_Web!$C$1:$C$500)),""),ROW(Create_TC_Web!I94))),"")</f>
        <v/>
      </c>
      <c r="I94" t="str" cm="1">
        <f t="array" ref="I94">IFERROR(INDEX(Create_TC_Web!L$1:L$500,SMALL(IF(Create_TC_Web!$C$1:$C$500&lt;&gt;"",MATCH(ROW(Create_TC_Web!$C$1:$C$500),ROW(Create_TC_Web!$C$1:$C$500)),""),ROW(Create_TC_Web!J94))),"")</f>
        <v/>
      </c>
      <c r="J94" t="str" cm="1">
        <f t="array" ref="J94">IFERROR(INDEX(Create_TC_Web!M$1:M$500,SMALL(IF(Create_TC_Web!$C$1:$C$500&lt;&gt;"",MATCH(ROW(Create_TC_Web!$C$1:$C$500),ROW(Create_TC_Web!$C$1:$C$500)),""),ROW(Create_TC_Web!K94))),"")</f>
        <v/>
      </c>
      <c r="K94" t="str" cm="1">
        <f t="array" ref="K94">IFERROR(INDEX(Create_TC_Web!N$1:N$500,SMALL(IF(Create_TC_Web!$C$1:$C$500&lt;&gt;"",MATCH(ROW(Create_TC_Web!$C$1:$C$500),ROW(Create_TC_Web!$C$1:$C$500)),""),ROW(Create_TC_Web!L94))),"")</f>
        <v/>
      </c>
      <c r="L94" t="str" cm="1">
        <f t="array" ref="L94">IFERROR(INDEX(Create_TC_Web!O$1:O$500,SMALL(IF(Create_TC_Web!$C$1:$C$500&lt;&gt;"",MATCH(ROW(Create_TC_Web!$C$1:$C$500),ROW(Create_TC_Web!$C$1:$C$500)),""),ROW(Create_TC_Web!M94))),"")</f>
        <v/>
      </c>
      <c r="M94" t="str" cm="1">
        <f t="array" ref="M94">IFERROR(INDEX(Create_TC_Web!P$1:P$500,SMALL(IF(Create_TC_Web!$C$1:$C$500&lt;&gt;"",MATCH(ROW(Create_TC_Web!$C$1:$C$500),ROW(Create_TC_Web!$C$1:$C$500)),""),ROW(Create_TC_Web!N94))),"")</f>
        <v/>
      </c>
      <c r="N94">
        <f>Create_TC_Web!CA103</f>
        <v>0</v>
      </c>
      <c r="O94" t="str">
        <f t="shared" si="7"/>
        <v/>
      </c>
      <c r="P94" s="17">
        <f>Create_TC_Web!CI81</f>
        <v>0</v>
      </c>
      <c r="Q94" t="str">
        <f>IF(TestData!CB94&lt;&gt;0,TestData!CB94,"")</f>
        <v/>
      </c>
      <c r="R94" t="str">
        <f t="shared" si="8"/>
        <v/>
      </c>
      <c r="S94" t="str">
        <f t="shared" si="9"/>
        <v/>
      </c>
    </row>
    <row r="95" spans="1:19">
      <c r="A95" t="str" cm="1">
        <f t="array" ref="A95">IFERROR(INDEX(Create_TC_Web!D$1:D$500,SMALL(IF(Create_TC_Web!$C$1:$C$500&lt;&gt;"",MATCH(ROW(Create_TC_Web!$C$1:$C$500),ROW(Create_TC_Web!$C$1:$C$500)),""),ROW(Create_TC_Web!B95))),"")</f>
        <v/>
      </c>
      <c r="B95" t="str" cm="1">
        <f t="array" ref="B95">SUBSTITUTE(SUBSTITUTE(SUBSTITUTE(IFERROR(INDEX(Create_TC_Web!E$1:E$505,SMALL(IF(Create_TC_Web!$C$1:$C$505&lt;&gt;"",MATCH(ROW(Create_TC_Web!$C$1:$C$505),ROW(Create_TC_Web!$C$1:$C$505)),""),ROW(Create_TC_Web!C95))),"")," ",""),"-",""),"_","")</f>
        <v/>
      </c>
      <c r="C95" t="str" cm="1">
        <f t="array" ref="C95">IFERROR(INDEX(Create_TC_Web!F$1:F$500,SMALL(IF(Create_TC_Web!$C$1:$C$500&lt;&gt;"",MATCH(ROW(Create_TC_Web!$C$1:$C$500),ROW(Create_TC_Web!$C$1:$C$500)),""),ROW(Create_TC_Web!D95))),"")</f>
        <v/>
      </c>
      <c r="D95" t="str" cm="1">
        <f t="array" ref="D95">IFERROR(INDEX(Create_TC_Web!G$1:G$500,SMALL(IF(Create_TC_Web!$C$1:$C$500&lt;&gt;"",MATCH(ROW(Create_TC_Web!$C$1:$C$500),ROW(Create_TC_Web!$C$1:$C$500)),""),ROW(Create_TC_Web!E95))),"")</f>
        <v/>
      </c>
      <c r="E95" t="str" cm="1">
        <f t="array" ref="E95">IFERROR(INDEX(Create_TC_Web!H$1:H$500,SMALL(IF(Create_TC_Web!$C$1:$C$500&lt;&gt;"",MATCH(ROW(Create_TC_Web!$C$1:$C$500),ROW(Create_TC_Web!$C$1:$C$500)),""),ROW(Create_TC_Web!F95))),"")</f>
        <v/>
      </c>
      <c r="F95" t="str" cm="1">
        <f t="array" ref="F95">IFERROR(INDEX(Create_TC_Web!I$1:I$500,SMALL(IF(Create_TC_Web!$C$1:$C$500&lt;&gt;"",MATCH(ROW(Create_TC_Web!$C$1:$C$500),ROW(Create_TC_Web!$C$1:$C$500)),""),ROW(Create_TC_Web!G95))),"")</f>
        <v/>
      </c>
      <c r="G95" t="str" cm="1">
        <f t="array" ref="G95">IFERROR(INDEX(Create_TC_Web!J$1:J$500,SMALL(IF(Create_TC_Web!$C$1:$C$500&lt;&gt;"",MATCH(ROW(Create_TC_Web!$C$1:$C$500),ROW(Create_TC_Web!$C$1:$C$500)),""),ROW(Create_TC_Web!H95))),"")</f>
        <v/>
      </c>
      <c r="H95" t="str" cm="1">
        <f t="array" ref="H95">IFERROR(INDEX(Create_TC_Web!K$1:K$500,SMALL(IF(Create_TC_Web!$C$1:$C$500&lt;&gt;"",MATCH(ROW(Create_TC_Web!$C$1:$C$500),ROW(Create_TC_Web!$C$1:$C$500)),""),ROW(Create_TC_Web!I95))),"")</f>
        <v/>
      </c>
      <c r="I95" t="str" cm="1">
        <f t="array" ref="I95">IFERROR(INDEX(Create_TC_Web!L$1:L$500,SMALL(IF(Create_TC_Web!$C$1:$C$500&lt;&gt;"",MATCH(ROW(Create_TC_Web!$C$1:$C$500),ROW(Create_TC_Web!$C$1:$C$500)),""),ROW(Create_TC_Web!J95))),"")</f>
        <v/>
      </c>
      <c r="J95" t="str" cm="1">
        <f t="array" ref="J95">IFERROR(INDEX(Create_TC_Web!M$1:M$500,SMALL(IF(Create_TC_Web!$C$1:$C$500&lt;&gt;"",MATCH(ROW(Create_TC_Web!$C$1:$C$500),ROW(Create_TC_Web!$C$1:$C$500)),""),ROW(Create_TC_Web!K95))),"")</f>
        <v/>
      </c>
      <c r="K95" t="str" cm="1">
        <f t="array" ref="K95">IFERROR(INDEX(Create_TC_Web!N$1:N$500,SMALL(IF(Create_TC_Web!$C$1:$C$500&lt;&gt;"",MATCH(ROW(Create_TC_Web!$C$1:$C$500),ROW(Create_TC_Web!$C$1:$C$500)),""),ROW(Create_TC_Web!L95))),"")</f>
        <v/>
      </c>
      <c r="L95" t="str" cm="1">
        <f t="array" ref="L95">IFERROR(INDEX(Create_TC_Web!O$1:O$500,SMALL(IF(Create_TC_Web!$C$1:$C$500&lt;&gt;"",MATCH(ROW(Create_TC_Web!$C$1:$C$500),ROW(Create_TC_Web!$C$1:$C$500)),""),ROW(Create_TC_Web!M95))),"")</f>
        <v/>
      </c>
      <c r="M95" t="str" cm="1">
        <f t="array" ref="M95">IFERROR(INDEX(Create_TC_Web!P$1:P$500,SMALL(IF(Create_TC_Web!$C$1:$C$500&lt;&gt;"",MATCH(ROW(Create_TC_Web!$C$1:$C$500),ROW(Create_TC_Web!$C$1:$C$500)),""),ROW(Create_TC_Web!N95))),"")</f>
        <v/>
      </c>
      <c r="N95">
        <f>Create_TC_Web!CA104</f>
        <v>0</v>
      </c>
      <c r="O95" t="str">
        <f t="shared" si="7"/>
        <v/>
      </c>
      <c r="P95" s="17">
        <f>Create_TC_Web!CI82</f>
        <v>0</v>
      </c>
      <c r="Q95" t="str">
        <f>IF(TestData!CB95&lt;&gt;0,TestData!CB95,"")</f>
        <v/>
      </c>
      <c r="S95" t="str">
        <f t="shared" si="9"/>
        <v/>
      </c>
    </row>
    <row r="96" spans="1:19">
      <c r="A96" t="str" cm="1">
        <f t="array" ref="A96">IFERROR(INDEX(Create_TC_Web!D$1:D$500,SMALL(IF(Create_TC_Web!$C$1:$C$500&lt;&gt;"",MATCH(ROW(Create_TC_Web!$C$1:$C$500),ROW(Create_TC_Web!$C$1:$C$500)),""),ROW(Create_TC_Web!B96))),"")</f>
        <v/>
      </c>
      <c r="B96" t="str" cm="1">
        <f t="array" ref="B96">SUBSTITUTE(SUBSTITUTE(SUBSTITUTE(IFERROR(INDEX(Create_TC_Web!E$1:E$505,SMALL(IF(Create_TC_Web!$C$1:$C$505&lt;&gt;"",MATCH(ROW(Create_TC_Web!$C$1:$C$505),ROW(Create_TC_Web!$C$1:$C$505)),""),ROW(Create_TC_Web!C96))),"")," ",""),"-",""),"_","")</f>
        <v/>
      </c>
      <c r="C96" t="str" cm="1">
        <f t="array" ref="C96">IFERROR(INDEX(Create_TC_Web!F$1:F$500,SMALL(IF(Create_TC_Web!$C$1:$C$500&lt;&gt;"",MATCH(ROW(Create_TC_Web!$C$1:$C$500),ROW(Create_TC_Web!$C$1:$C$500)),""),ROW(Create_TC_Web!D96))),"")</f>
        <v/>
      </c>
      <c r="D96" t="str" cm="1">
        <f t="array" ref="D96">IFERROR(INDEX(Create_TC_Web!G$1:G$500,SMALL(IF(Create_TC_Web!$C$1:$C$500&lt;&gt;"",MATCH(ROW(Create_TC_Web!$C$1:$C$500),ROW(Create_TC_Web!$C$1:$C$500)),""),ROW(Create_TC_Web!E96))),"")</f>
        <v/>
      </c>
      <c r="E96" t="str" cm="1">
        <f t="array" ref="E96">IFERROR(INDEX(Create_TC_Web!H$1:H$500,SMALL(IF(Create_TC_Web!$C$1:$C$500&lt;&gt;"",MATCH(ROW(Create_TC_Web!$C$1:$C$500),ROW(Create_TC_Web!$C$1:$C$500)),""),ROW(Create_TC_Web!F96))),"")</f>
        <v/>
      </c>
      <c r="F96" t="str" cm="1">
        <f t="array" ref="F96">IFERROR(INDEX(Create_TC_Web!I$1:I$500,SMALL(IF(Create_TC_Web!$C$1:$C$500&lt;&gt;"",MATCH(ROW(Create_TC_Web!$C$1:$C$500),ROW(Create_TC_Web!$C$1:$C$500)),""),ROW(Create_TC_Web!G96))),"")</f>
        <v/>
      </c>
      <c r="G96" t="str" cm="1">
        <f t="array" ref="G96">IFERROR(INDEX(Create_TC_Web!J$1:J$500,SMALL(IF(Create_TC_Web!$C$1:$C$500&lt;&gt;"",MATCH(ROW(Create_TC_Web!$C$1:$C$500),ROW(Create_TC_Web!$C$1:$C$500)),""),ROW(Create_TC_Web!H96))),"")</f>
        <v/>
      </c>
      <c r="H96" t="str" cm="1">
        <f t="array" ref="H96">IFERROR(INDEX(Create_TC_Web!K$1:K$500,SMALL(IF(Create_TC_Web!$C$1:$C$500&lt;&gt;"",MATCH(ROW(Create_TC_Web!$C$1:$C$500),ROW(Create_TC_Web!$C$1:$C$500)),""),ROW(Create_TC_Web!I96))),"")</f>
        <v/>
      </c>
      <c r="I96" t="str" cm="1">
        <f t="array" ref="I96">IFERROR(INDEX(Create_TC_Web!L$1:L$500,SMALL(IF(Create_TC_Web!$C$1:$C$500&lt;&gt;"",MATCH(ROW(Create_TC_Web!$C$1:$C$500),ROW(Create_TC_Web!$C$1:$C$500)),""),ROW(Create_TC_Web!J96))),"")</f>
        <v/>
      </c>
      <c r="J96" t="str" cm="1">
        <f t="array" ref="J96">IFERROR(INDEX(Create_TC_Web!M$1:M$500,SMALL(IF(Create_TC_Web!$C$1:$C$500&lt;&gt;"",MATCH(ROW(Create_TC_Web!$C$1:$C$500),ROW(Create_TC_Web!$C$1:$C$500)),""),ROW(Create_TC_Web!K96))),"")</f>
        <v/>
      </c>
      <c r="K96" t="str" cm="1">
        <f t="array" ref="K96">IFERROR(INDEX(Create_TC_Web!N$1:N$500,SMALL(IF(Create_TC_Web!$C$1:$C$500&lt;&gt;"",MATCH(ROW(Create_TC_Web!$C$1:$C$500),ROW(Create_TC_Web!$C$1:$C$500)),""),ROW(Create_TC_Web!L96))),"")</f>
        <v/>
      </c>
      <c r="L96" t="str" cm="1">
        <f t="array" ref="L96">IFERROR(INDEX(Create_TC_Web!O$1:O$500,SMALL(IF(Create_TC_Web!$C$1:$C$500&lt;&gt;"",MATCH(ROW(Create_TC_Web!$C$1:$C$500),ROW(Create_TC_Web!$C$1:$C$500)),""),ROW(Create_TC_Web!M96))),"")</f>
        <v/>
      </c>
      <c r="M96" t="str" cm="1">
        <f t="array" ref="M96">IFERROR(INDEX(Create_TC_Web!P$1:P$500,SMALL(IF(Create_TC_Web!$C$1:$C$500&lt;&gt;"",MATCH(ROW(Create_TC_Web!$C$1:$C$500),ROW(Create_TC_Web!$C$1:$C$500)),""),ROW(Create_TC_Web!N96))),"")</f>
        <v/>
      </c>
      <c r="N96">
        <f>Create_TC_Web!CA105</f>
        <v>0</v>
      </c>
      <c r="O96" t="str">
        <f t="shared" si="7"/>
        <v/>
      </c>
      <c r="P96" s="17">
        <f>Create_TC_Web!CI83</f>
        <v>0</v>
      </c>
      <c r="Q96" t="str">
        <f>IF(TestData!CB96&lt;&gt;0,TestData!CB96,"")</f>
        <v/>
      </c>
      <c r="S96" t="str">
        <f t="shared" si="9"/>
        <v/>
      </c>
    </row>
    <row r="97" spans="1:19">
      <c r="A97" t="str" cm="1">
        <f t="array" ref="A97">IFERROR(INDEX(Create_TC_Web!D$1:D$500,SMALL(IF(Create_TC_Web!$C$1:$C$500&lt;&gt;"",MATCH(ROW(Create_TC_Web!$C$1:$C$500),ROW(Create_TC_Web!$C$1:$C$500)),""),ROW(Create_TC_Web!B97))),"")</f>
        <v/>
      </c>
      <c r="B97" t="str" cm="1">
        <f t="array" ref="B97">SUBSTITUTE(SUBSTITUTE(SUBSTITUTE(IFERROR(INDEX(Create_TC_Web!E$1:E$505,SMALL(IF(Create_TC_Web!$C$1:$C$505&lt;&gt;"",MATCH(ROW(Create_TC_Web!$C$1:$C$505),ROW(Create_TC_Web!$C$1:$C$505)),""),ROW(Create_TC_Web!C97))),"")," ",""),"-",""),"_","")</f>
        <v/>
      </c>
      <c r="C97" t="str" cm="1">
        <f t="array" ref="C97">IFERROR(INDEX(Create_TC_Web!F$1:F$500,SMALL(IF(Create_TC_Web!$C$1:$C$500&lt;&gt;"",MATCH(ROW(Create_TC_Web!$C$1:$C$500),ROW(Create_TC_Web!$C$1:$C$500)),""),ROW(Create_TC_Web!D97))),"")</f>
        <v/>
      </c>
      <c r="D97" t="str" cm="1">
        <f t="array" ref="D97">IFERROR(INDEX(Create_TC_Web!G$1:G$500,SMALL(IF(Create_TC_Web!$C$1:$C$500&lt;&gt;"",MATCH(ROW(Create_TC_Web!$C$1:$C$500),ROW(Create_TC_Web!$C$1:$C$500)),""),ROW(Create_TC_Web!E97))),"")</f>
        <v/>
      </c>
      <c r="E97" t="str" cm="1">
        <f t="array" ref="E97">IFERROR(INDEX(Create_TC_Web!H$1:H$500,SMALL(IF(Create_TC_Web!$C$1:$C$500&lt;&gt;"",MATCH(ROW(Create_TC_Web!$C$1:$C$500),ROW(Create_TC_Web!$C$1:$C$500)),""),ROW(Create_TC_Web!F97))),"")</f>
        <v/>
      </c>
      <c r="F97" t="str" cm="1">
        <f t="array" ref="F97">IFERROR(INDEX(Create_TC_Web!I$1:I$500,SMALL(IF(Create_TC_Web!$C$1:$C$500&lt;&gt;"",MATCH(ROW(Create_TC_Web!$C$1:$C$500),ROW(Create_TC_Web!$C$1:$C$500)),""),ROW(Create_TC_Web!G97))),"")</f>
        <v/>
      </c>
      <c r="G97" t="str" cm="1">
        <f t="array" ref="G97">IFERROR(INDEX(Create_TC_Web!J$1:J$500,SMALL(IF(Create_TC_Web!$C$1:$C$500&lt;&gt;"",MATCH(ROW(Create_TC_Web!$C$1:$C$500),ROW(Create_TC_Web!$C$1:$C$500)),""),ROW(Create_TC_Web!H97))),"")</f>
        <v/>
      </c>
      <c r="H97" t="str" cm="1">
        <f t="array" ref="H97">IFERROR(INDEX(Create_TC_Web!K$1:K$500,SMALL(IF(Create_TC_Web!$C$1:$C$500&lt;&gt;"",MATCH(ROW(Create_TC_Web!$C$1:$C$500),ROW(Create_TC_Web!$C$1:$C$500)),""),ROW(Create_TC_Web!I97))),"")</f>
        <v/>
      </c>
      <c r="I97" t="str" cm="1">
        <f t="array" ref="I97">IFERROR(INDEX(Create_TC_Web!L$1:L$500,SMALL(IF(Create_TC_Web!$C$1:$C$500&lt;&gt;"",MATCH(ROW(Create_TC_Web!$C$1:$C$500),ROW(Create_TC_Web!$C$1:$C$500)),""),ROW(Create_TC_Web!J97))),"")</f>
        <v/>
      </c>
      <c r="J97" t="str" cm="1">
        <f t="array" ref="J97">IFERROR(INDEX(Create_TC_Web!M$1:M$500,SMALL(IF(Create_TC_Web!$C$1:$C$500&lt;&gt;"",MATCH(ROW(Create_TC_Web!$C$1:$C$500),ROW(Create_TC_Web!$C$1:$C$500)),""),ROW(Create_TC_Web!K97))),"")</f>
        <v/>
      </c>
      <c r="K97" t="str" cm="1">
        <f t="array" ref="K97">IFERROR(INDEX(Create_TC_Web!N$1:N$500,SMALL(IF(Create_TC_Web!$C$1:$C$500&lt;&gt;"",MATCH(ROW(Create_TC_Web!$C$1:$C$500),ROW(Create_TC_Web!$C$1:$C$500)),""),ROW(Create_TC_Web!L97))),"")</f>
        <v/>
      </c>
      <c r="L97" t="str" cm="1">
        <f t="array" ref="L97">IFERROR(INDEX(Create_TC_Web!O$1:O$500,SMALL(IF(Create_TC_Web!$C$1:$C$500&lt;&gt;"",MATCH(ROW(Create_TC_Web!$C$1:$C$500),ROW(Create_TC_Web!$C$1:$C$500)),""),ROW(Create_TC_Web!M97))),"")</f>
        <v/>
      </c>
      <c r="M97" t="str" cm="1">
        <f t="array" ref="M97">IFERROR(INDEX(Create_TC_Web!P$1:P$500,SMALL(IF(Create_TC_Web!$C$1:$C$500&lt;&gt;"",MATCH(ROW(Create_TC_Web!$C$1:$C$500),ROW(Create_TC_Web!$C$1:$C$500)),""),ROW(Create_TC_Web!N97))),"")</f>
        <v/>
      </c>
      <c r="N97">
        <f>Create_TC_Web!CA106</f>
        <v>0</v>
      </c>
      <c r="O97" t="str">
        <f t="shared" si="7"/>
        <v/>
      </c>
      <c r="P97" s="17">
        <f>Create_TC_Web!CI84</f>
        <v>0</v>
      </c>
      <c r="Q97" t="str">
        <f>IF(TestData!CB97&lt;&gt;0,TestData!CB97,"")</f>
        <v/>
      </c>
      <c r="S97" t="str">
        <f t="shared" si="9"/>
        <v/>
      </c>
    </row>
    <row r="98" spans="1:19">
      <c r="A98" t="str" cm="1">
        <f t="array" ref="A98">IFERROR(INDEX(Create_TC_Web!D$1:D$500,SMALL(IF(Create_TC_Web!$C$1:$C$500&lt;&gt;"",MATCH(ROW(Create_TC_Web!$C$1:$C$500),ROW(Create_TC_Web!$C$1:$C$500)),""),ROW(Create_TC_Web!B98))),"")</f>
        <v/>
      </c>
      <c r="B98" t="str" cm="1">
        <f t="array" ref="B98">SUBSTITUTE(SUBSTITUTE(SUBSTITUTE(IFERROR(INDEX(Create_TC_Web!E$1:E$505,SMALL(IF(Create_TC_Web!$C$1:$C$505&lt;&gt;"",MATCH(ROW(Create_TC_Web!$C$1:$C$505),ROW(Create_TC_Web!$C$1:$C$505)),""),ROW(Create_TC_Web!C98))),"")," ",""),"-",""),"_","")</f>
        <v/>
      </c>
      <c r="C98" t="str" cm="1">
        <f t="array" ref="C98">IFERROR(INDEX(Create_TC_Web!F$1:F$500,SMALL(IF(Create_TC_Web!$C$1:$C$500&lt;&gt;"",MATCH(ROW(Create_TC_Web!$C$1:$C$500),ROW(Create_TC_Web!$C$1:$C$500)),""),ROW(Create_TC_Web!D98))),"")</f>
        <v/>
      </c>
      <c r="D98" t="str" cm="1">
        <f t="array" ref="D98">IFERROR(INDEX(Create_TC_Web!G$1:G$500,SMALL(IF(Create_TC_Web!$C$1:$C$500&lt;&gt;"",MATCH(ROW(Create_TC_Web!$C$1:$C$500),ROW(Create_TC_Web!$C$1:$C$500)),""),ROW(Create_TC_Web!E98))),"")</f>
        <v/>
      </c>
      <c r="E98" t="str" cm="1">
        <f t="array" ref="E98">IFERROR(INDEX(Create_TC_Web!H$1:H$500,SMALL(IF(Create_TC_Web!$C$1:$C$500&lt;&gt;"",MATCH(ROW(Create_TC_Web!$C$1:$C$500),ROW(Create_TC_Web!$C$1:$C$500)),""),ROW(Create_TC_Web!F98))),"")</f>
        <v/>
      </c>
      <c r="F98" t="str" cm="1">
        <f t="array" ref="F98">IFERROR(INDEX(Create_TC_Web!I$1:I$500,SMALL(IF(Create_TC_Web!$C$1:$C$500&lt;&gt;"",MATCH(ROW(Create_TC_Web!$C$1:$C$500),ROW(Create_TC_Web!$C$1:$C$500)),""),ROW(Create_TC_Web!G98))),"")</f>
        <v/>
      </c>
      <c r="G98" t="str" cm="1">
        <f t="array" ref="G98">IFERROR(INDEX(Create_TC_Web!J$1:J$500,SMALL(IF(Create_TC_Web!$C$1:$C$500&lt;&gt;"",MATCH(ROW(Create_TC_Web!$C$1:$C$500),ROW(Create_TC_Web!$C$1:$C$500)),""),ROW(Create_TC_Web!H98))),"")</f>
        <v/>
      </c>
      <c r="H98" t="str" cm="1">
        <f t="array" ref="H98">IFERROR(INDEX(Create_TC_Web!K$1:K$500,SMALL(IF(Create_TC_Web!$C$1:$C$500&lt;&gt;"",MATCH(ROW(Create_TC_Web!$C$1:$C$500),ROW(Create_TC_Web!$C$1:$C$500)),""),ROW(Create_TC_Web!I98))),"")</f>
        <v/>
      </c>
      <c r="I98" t="str" cm="1">
        <f t="array" ref="I98">IFERROR(INDEX(Create_TC_Web!L$1:L$500,SMALL(IF(Create_TC_Web!$C$1:$C$500&lt;&gt;"",MATCH(ROW(Create_TC_Web!$C$1:$C$500),ROW(Create_TC_Web!$C$1:$C$500)),""),ROW(Create_TC_Web!J98))),"")</f>
        <v/>
      </c>
      <c r="J98" t="str" cm="1">
        <f t="array" ref="J98">IFERROR(INDEX(Create_TC_Web!M$1:M$500,SMALL(IF(Create_TC_Web!$C$1:$C$500&lt;&gt;"",MATCH(ROW(Create_TC_Web!$C$1:$C$500),ROW(Create_TC_Web!$C$1:$C$500)),""),ROW(Create_TC_Web!K98))),"")</f>
        <v/>
      </c>
      <c r="K98" t="str" cm="1">
        <f t="array" ref="K98">IFERROR(INDEX(Create_TC_Web!N$1:N$500,SMALL(IF(Create_TC_Web!$C$1:$C$500&lt;&gt;"",MATCH(ROW(Create_TC_Web!$C$1:$C$500),ROW(Create_TC_Web!$C$1:$C$500)),""),ROW(Create_TC_Web!L98))),"")</f>
        <v/>
      </c>
      <c r="L98" t="str" cm="1">
        <f t="array" ref="L98">IFERROR(INDEX(Create_TC_Web!O$1:O$500,SMALL(IF(Create_TC_Web!$C$1:$C$500&lt;&gt;"",MATCH(ROW(Create_TC_Web!$C$1:$C$500),ROW(Create_TC_Web!$C$1:$C$500)),""),ROW(Create_TC_Web!M98))),"")</f>
        <v/>
      </c>
      <c r="M98" t="str" cm="1">
        <f t="array" ref="M98">IFERROR(INDEX(Create_TC_Web!P$1:P$500,SMALL(IF(Create_TC_Web!$C$1:$C$500&lt;&gt;"",MATCH(ROW(Create_TC_Web!$C$1:$C$500),ROW(Create_TC_Web!$C$1:$C$500)),""),ROW(Create_TC_Web!N98))),"")</f>
        <v/>
      </c>
      <c r="N98">
        <f>Create_TC_Web!CA107</f>
        <v>0</v>
      </c>
      <c r="O98" t="str">
        <f t="shared" si="7"/>
        <v/>
      </c>
      <c r="P98" s="17">
        <f>Create_TC_Web!CI85</f>
        <v>0</v>
      </c>
      <c r="Q98" t="str">
        <f>IF(TestData!CB98&lt;&gt;0,TestData!CB98,"")</f>
        <v/>
      </c>
      <c r="S98" t="str">
        <f t="shared" si="9"/>
        <v/>
      </c>
    </row>
    <row r="99" spans="1:19">
      <c r="A99" t="str" cm="1">
        <f t="array" ref="A99">IFERROR(INDEX(Create_TC_Web!D$1:D$500,SMALL(IF(Create_TC_Web!$C$1:$C$500&lt;&gt;"",MATCH(ROW(Create_TC_Web!$C$1:$C$500),ROW(Create_TC_Web!$C$1:$C$500)),""),ROW(Create_TC_Web!B99))),"")</f>
        <v/>
      </c>
      <c r="B99" t="str" cm="1">
        <f t="array" ref="B99">SUBSTITUTE(SUBSTITUTE(SUBSTITUTE(IFERROR(INDEX(Create_TC_Web!E$1:E$505,SMALL(IF(Create_TC_Web!$C$1:$C$505&lt;&gt;"",MATCH(ROW(Create_TC_Web!$C$1:$C$505),ROW(Create_TC_Web!$C$1:$C$505)),""),ROW(Create_TC_Web!C99))),"")," ",""),"-",""),"_","")</f>
        <v/>
      </c>
      <c r="C99" t="str" cm="1">
        <f t="array" ref="C99">IFERROR(INDEX(Create_TC_Web!F$1:F$500,SMALL(IF(Create_TC_Web!$C$1:$C$500&lt;&gt;"",MATCH(ROW(Create_TC_Web!$C$1:$C$500),ROW(Create_TC_Web!$C$1:$C$500)),""),ROW(Create_TC_Web!D99))),"")</f>
        <v/>
      </c>
      <c r="D99" t="str" cm="1">
        <f t="array" ref="D99">IFERROR(INDEX(Create_TC_Web!G$1:G$500,SMALL(IF(Create_TC_Web!$C$1:$C$500&lt;&gt;"",MATCH(ROW(Create_TC_Web!$C$1:$C$500),ROW(Create_TC_Web!$C$1:$C$500)),""),ROW(Create_TC_Web!E99))),"")</f>
        <v/>
      </c>
      <c r="E99" t="str" cm="1">
        <f t="array" ref="E99">IFERROR(INDEX(Create_TC_Web!H$1:H$500,SMALL(IF(Create_TC_Web!$C$1:$C$500&lt;&gt;"",MATCH(ROW(Create_TC_Web!$C$1:$C$500),ROW(Create_TC_Web!$C$1:$C$500)),""),ROW(Create_TC_Web!F99))),"")</f>
        <v/>
      </c>
      <c r="F99" t="str" cm="1">
        <f t="array" ref="F99">IFERROR(INDEX(Create_TC_Web!I$1:I$500,SMALL(IF(Create_TC_Web!$C$1:$C$500&lt;&gt;"",MATCH(ROW(Create_TC_Web!$C$1:$C$500),ROW(Create_TC_Web!$C$1:$C$500)),""),ROW(Create_TC_Web!G99))),"")</f>
        <v/>
      </c>
      <c r="G99" t="str" cm="1">
        <f t="array" ref="G99">IFERROR(INDEX(Create_TC_Web!J$1:J$500,SMALL(IF(Create_TC_Web!$C$1:$C$500&lt;&gt;"",MATCH(ROW(Create_TC_Web!$C$1:$C$500),ROW(Create_TC_Web!$C$1:$C$500)),""),ROW(Create_TC_Web!H99))),"")</f>
        <v/>
      </c>
      <c r="H99" t="str" cm="1">
        <f t="array" ref="H99">IFERROR(INDEX(Create_TC_Web!K$1:K$500,SMALL(IF(Create_TC_Web!$C$1:$C$500&lt;&gt;"",MATCH(ROW(Create_TC_Web!$C$1:$C$500),ROW(Create_TC_Web!$C$1:$C$500)),""),ROW(Create_TC_Web!I99))),"")</f>
        <v/>
      </c>
      <c r="I99" t="str" cm="1">
        <f t="array" ref="I99">IFERROR(INDEX(Create_TC_Web!L$1:L$500,SMALL(IF(Create_TC_Web!$C$1:$C$500&lt;&gt;"",MATCH(ROW(Create_TC_Web!$C$1:$C$500),ROW(Create_TC_Web!$C$1:$C$500)),""),ROW(Create_TC_Web!J99))),"")</f>
        <v/>
      </c>
      <c r="J99" t="str" cm="1">
        <f t="array" ref="J99">IFERROR(INDEX(Create_TC_Web!M$1:M$500,SMALL(IF(Create_TC_Web!$C$1:$C$500&lt;&gt;"",MATCH(ROW(Create_TC_Web!$C$1:$C$500),ROW(Create_TC_Web!$C$1:$C$500)),""),ROW(Create_TC_Web!K99))),"")</f>
        <v/>
      </c>
      <c r="K99" t="str" cm="1">
        <f t="array" ref="K99">IFERROR(INDEX(Create_TC_Web!N$1:N$500,SMALL(IF(Create_TC_Web!$C$1:$C$500&lt;&gt;"",MATCH(ROW(Create_TC_Web!$C$1:$C$500),ROW(Create_TC_Web!$C$1:$C$500)),""),ROW(Create_TC_Web!L99))),"")</f>
        <v/>
      </c>
      <c r="L99" t="str" cm="1">
        <f t="array" ref="L99">IFERROR(INDEX(Create_TC_Web!O$1:O$500,SMALL(IF(Create_TC_Web!$C$1:$C$500&lt;&gt;"",MATCH(ROW(Create_TC_Web!$C$1:$C$500),ROW(Create_TC_Web!$C$1:$C$500)),""),ROW(Create_TC_Web!M99))),"")</f>
        <v/>
      </c>
      <c r="M99" t="str" cm="1">
        <f t="array" ref="M99">IFERROR(INDEX(Create_TC_Web!P$1:P$500,SMALL(IF(Create_TC_Web!$C$1:$C$500&lt;&gt;"",MATCH(ROW(Create_TC_Web!$C$1:$C$500),ROW(Create_TC_Web!$C$1:$C$500)),""),ROW(Create_TC_Web!N99))),"")</f>
        <v/>
      </c>
      <c r="N99">
        <f>Create_TC_Web!CA108</f>
        <v>0</v>
      </c>
      <c r="O99" t="str">
        <f t="shared" si="7"/>
        <v/>
      </c>
      <c r="P99" s="17">
        <f>Create_TC_Web!CI86</f>
        <v>0</v>
      </c>
      <c r="Q99" t="str">
        <f>IF(TestData!CB99&lt;&gt;0,TestData!CB99,"")</f>
        <v/>
      </c>
      <c r="S99" t="str">
        <f t="shared" si="9"/>
        <v/>
      </c>
    </row>
    <row r="100" spans="1:19">
      <c r="A100" t="str" cm="1">
        <f t="array" ref="A100">IFERROR(INDEX(Create_TC_Web!D$1:D$500,SMALL(IF(Create_TC_Web!$C$1:$C$500&lt;&gt;"",MATCH(ROW(Create_TC_Web!$C$1:$C$500),ROW(Create_TC_Web!$C$1:$C$500)),""),ROW(Create_TC_Web!B100))),"")</f>
        <v/>
      </c>
      <c r="B100" t="str" cm="1">
        <f t="array" ref="B100">SUBSTITUTE(SUBSTITUTE(SUBSTITUTE(IFERROR(INDEX(Create_TC_Web!E$1:E$505,SMALL(IF(Create_TC_Web!$C$1:$C$505&lt;&gt;"",MATCH(ROW(Create_TC_Web!$C$1:$C$505),ROW(Create_TC_Web!$C$1:$C$505)),""),ROW(Create_TC_Web!C100))),"")," ",""),"-",""),"_","")</f>
        <v/>
      </c>
      <c r="C100" t="str" cm="1">
        <f t="array" ref="C100">IFERROR(INDEX(Create_TC_Web!F$1:F$500,SMALL(IF(Create_TC_Web!$C$1:$C$500&lt;&gt;"",MATCH(ROW(Create_TC_Web!$C$1:$C$500),ROW(Create_TC_Web!$C$1:$C$500)),""),ROW(Create_TC_Web!D100))),"")</f>
        <v/>
      </c>
      <c r="D100" t="str" cm="1">
        <f t="array" ref="D100">IFERROR(INDEX(Create_TC_Web!G$1:G$500,SMALL(IF(Create_TC_Web!$C$1:$C$500&lt;&gt;"",MATCH(ROW(Create_TC_Web!$C$1:$C$500),ROW(Create_TC_Web!$C$1:$C$500)),""),ROW(Create_TC_Web!E100))),"")</f>
        <v/>
      </c>
      <c r="E100" t="str" cm="1">
        <f t="array" ref="E100">IFERROR(INDEX(Create_TC_Web!H$1:H$500,SMALL(IF(Create_TC_Web!$C$1:$C$500&lt;&gt;"",MATCH(ROW(Create_TC_Web!$C$1:$C$500),ROW(Create_TC_Web!$C$1:$C$500)),""),ROW(Create_TC_Web!F100))),"")</f>
        <v/>
      </c>
      <c r="F100" t="str" cm="1">
        <f t="array" ref="F100">IFERROR(INDEX(Create_TC_Web!I$1:I$500,SMALL(IF(Create_TC_Web!$C$1:$C$500&lt;&gt;"",MATCH(ROW(Create_TC_Web!$C$1:$C$500),ROW(Create_TC_Web!$C$1:$C$500)),""),ROW(Create_TC_Web!G100))),"")</f>
        <v/>
      </c>
      <c r="G100" t="str" cm="1">
        <f t="array" ref="G100">IFERROR(INDEX(Create_TC_Web!J$1:J$500,SMALL(IF(Create_TC_Web!$C$1:$C$500&lt;&gt;"",MATCH(ROW(Create_TC_Web!$C$1:$C$500),ROW(Create_TC_Web!$C$1:$C$500)),""),ROW(Create_TC_Web!H100))),"")</f>
        <v/>
      </c>
      <c r="H100" t="str" cm="1">
        <f t="array" ref="H100">IFERROR(INDEX(Create_TC_Web!K$1:K$500,SMALL(IF(Create_TC_Web!$C$1:$C$500&lt;&gt;"",MATCH(ROW(Create_TC_Web!$C$1:$C$500),ROW(Create_TC_Web!$C$1:$C$500)),""),ROW(Create_TC_Web!I100))),"")</f>
        <v/>
      </c>
      <c r="I100" t="str" cm="1">
        <f t="array" ref="I100">IFERROR(INDEX(Create_TC_Web!L$1:L$500,SMALL(IF(Create_TC_Web!$C$1:$C$500&lt;&gt;"",MATCH(ROW(Create_TC_Web!$C$1:$C$500),ROW(Create_TC_Web!$C$1:$C$500)),""),ROW(Create_TC_Web!J100))),"")</f>
        <v/>
      </c>
      <c r="J100" t="str" cm="1">
        <f t="array" ref="J100">IFERROR(INDEX(Create_TC_Web!M$1:M$500,SMALL(IF(Create_TC_Web!$C$1:$C$500&lt;&gt;"",MATCH(ROW(Create_TC_Web!$C$1:$C$500),ROW(Create_TC_Web!$C$1:$C$500)),""),ROW(Create_TC_Web!K100))),"")</f>
        <v/>
      </c>
      <c r="K100" t="str" cm="1">
        <f t="array" ref="K100">IFERROR(INDEX(Create_TC_Web!N$1:N$500,SMALL(IF(Create_TC_Web!$C$1:$C$500&lt;&gt;"",MATCH(ROW(Create_TC_Web!$C$1:$C$500),ROW(Create_TC_Web!$C$1:$C$500)),""),ROW(Create_TC_Web!L100))),"")</f>
        <v/>
      </c>
      <c r="L100" t="str" cm="1">
        <f t="array" ref="L100">IFERROR(INDEX(Create_TC_Web!O$1:O$500,SMALL(IF(Create_TC_Web!$C$1:$C$500&lt;&gt;"",MATCH(ROW(Create_TC_Web!$C$1:$C$500),ROW(Create_TC_Web!$C$1:$C$500)),""),ROW(Create_TC_Web!M100))),"")</f>
        <v/>
      </c>
      <c r="M100" t="str" cm="1">
        <f t="array" ref="M100">IFERROR(INDEX(Create_TC_Web!P$1:P$500,SMALL(IF(Create_TC_Web!$C$1:$C$500&lt;&gt;"",MATCH(ROW(Create_TC_Web!$C$1:$C$500),ROW(Create_TC_Web!$C$1:$C$500)),""),ROW(Create_TC_Web!N100))),"")</f>
        <v/>
      </c>
      <c r="N100">
        <f>Create_TC_Web!CA109</f>
        <v>0</v>
      </c>
      <c r="O100" t="str">
        <f t="shared" si="7"/>
        <v/>
      </c>
      <c r="P100" s="17">
        <f>Create_TC_Web!CI87</f>
        <v>0</v>
      </c>
      <c r="Q100" t="str">
        <f>IF(TestData!CB100&lt;&gt;0,TestData!CB100,"")</f>
        <v/>
      </c>
      <c r="S100" t="str">
        <f t="shared" si="9"/>
        <v/>
      </c>
    </row>
    <row r="101" spans="1:19">
      <c r="A101" t="str" cm="1">
        <f t="array" ref="A101">IFERROR(INDEX(Create_TC_Web!D$1:D$500,SMALL(IF(Create_TC_Web!$C$1:$C$500&lt;&gt;"",MATCH(ROW(Create_TC_Web!$C$1:$C$500),ROW(Create_TC_Web!$C$1:$C$500)),""),ROW(Create_TC_Web!B101))),"")</f>
        <v/>
      </c>
      <c r="B101" t="str" cm="1">
        <f t="array" ref="B101">SUBSTITUTE(SUBSTITUTE(SUBSTITUTE(IFERROR(INDEX(Create_TC_Web!E$1:E$505,SMALL(IF(Create_TC_Web!$C$1:$C$505&lt;&gt;"",MATCH(ROW(Create_TC_Web!$C$1:$C$505),ROW(Create_TC_Web!$C$1:$C$505)),""),ROW(Create_TC_Web!C101))),"")," ",""),"-",""),"_","")</f>
        <v/>
      </c>
      <c r="C101" t="str" cm="1">
        <f t="array" ref="C101">IFERROR(INDEX(Create_TC_Web!F$1:F$500,SMALL(IF(Create_TC_Web!$C$1:$C$500&lt;&gt;"",MATCH(ROW(Create_TC_Web!$C$1:$C$500),ROW(Create_TC_Web!$C$1:$C$500)),""),ROW(Create_TC_Web!D101))),"")</f>
        <v/>
      </c>
      <c r="D101" t="str" cm="1">
        <f t="array" ref="D101">IFERROR(INDEX(Create_TC_Web!G$1:G$500,SMALL(IF(Create_TC_Web!$C$1:$C$500&lt;&gt;"",MATCH(ROW(Create_TC_Web!$C$1:$C$500),ROW(Create_TC_Web!$C$1:$C$500)),""),ROW(Create_TC_Web!E101))),"")</f>
        <v/>
      </c>
      <c r="E101" t="str" cm="1">
        <f t="array" ref="E101">IFERROR(INDEX(Create_TC_Web!H$1:H$500,SMALL(IF(Create_TC_Web!$C$1:$C$500&lt;&gt;"",MATCH(ROW(Create_TC_Web!$C$1:$C$500),ROW(Create_TC_Web!$C$1:$C$500)),""),ROW(Create_TC_Web!F101))),"")</f>
        <v/>
      </c>
      <c r="F101" t="str" cm="1">
        <f t="array" ref="F101">IFERROR(INDEX(Create_TC_Web!I$1:I$500,SMALL(IF(Create_TC_Web!$C$1:$C$500&lt;&gt;"",MATCH(ROW(Create_TC_Web!$C$1:$C$500),ROW(Create_TC_Web!$C$1:$C$500)),""),ROW(Create_TC_Web!G101))),"")</f>
        <v/>
      </c>
      <c r="G101" t="str" cm="1">
        <f t="array" ref="G101">IFERROR(INDEX(Create_TC_Web!J$1:J$500,SMALL(IF(Create_TC_Web!$C$1:$C$500&lt;&gt;"",MATCH(ROW(Create_TC_Web!$C$1:$C$500),ROW(Create_TC_Web!$C$1:$C$500)),""),ROW(Create_TC_Web!H101))),"")</f>
        <v/>
      </c>
      <c r="H101" t="str" cm="1">
        <f t="array" ref="H101">IFERROR(INDEX(Create_TC_Web!K$1:K$500,SMALL(IF(Create_TC_Web!$C$1:$C$500&lt;&gt;"",MATCH(ROW(Create_TC_Web!$C$1:$C$500),ROW(Create_TC_Web!$C$1:$C$500)),""),ROW(Create_TC_Web!I101))),"")</f>
        <v/>
      </c>
      <c r="I101" t="str" cm="1">
        <f t="array" ref="I101">IFERROR(INDEX(Create_TC_Web!L$1:L$500,SMALL(IF(Create_TC_Web!$C$1:$C$500&lt;&gt;"",MATCH(ROW(Create_TC_Web!$C$1:$C$500),ROW(Create_TC_Web!$C$1:$C$500)),""),ROW(Create_TC_Web!J101))),"")</f>
        <v/>
      </c>
      <c r="J101" t="str" cm="1">
        <f t="array" ref="J101">IFERROR(INDEX(Create_TC_Web!M$1:M$500,SMALL(IF(Create_TC_Web!$C$1:$C$500&lt;&gt;"",MATCH(ROW(Create_TC_Web!$C$1:$C$500),ROW(Create_TC_Web!$C$1:$C$500)),""),ROW(Create_TC_Web!K101))),"")</f>
        <v/>
      </c>
      <c r="K101" t="str" cm="1">
        <f t="array" ref="K101">IFERROR(INDEX(Create_TC_Web!N$1:N$500,SMALL(IF(Create_TC_Web!$C$1:$C$500&lt;&gt;"",MATCH(ROW(Create_TC_Web!$C$1:$C$500),ROW(Create_TC_Web!$C$1:$C$500)),""),ROW(Create_TC_Web!L101))),"")</f>
        <v/>
      </c>
      <c r="L101" t="str" cm="1">
        <f t="array" ref="L101">IFERROR(INDEX(Create_TC_Web!O$1:O$500,SMALL(IF(Create_TC_Web!$C$1:$C$500&lt;&gt;"",MATCH(ROW(Create_TC_Web!$C$1:$C$500),ROW(Create_TC_Web!$C$1:$C$500)),""),ROW(Create_TC_Web!M101))),"")</f>
        <v/>
      </c>
      <c r="M101" t="str" cm="1">
        <f t="array" ref="M101">IFERROR(INDEX(Create_TC_Web!P$1:P$500,SMALL(IF(Create_TC_Web!$C$1:$C$500&lt;&gt;"",MATCH(ROW(Create_TC_Web!$C$1:$C$500),ROW(Create_TC_Web!$C$1:$C$500)),""),ROW(Create_TC_Web!N101))),"")</f>
        <v/>
      </c>
      <c r="N101">
        <f>Create_TC_Web!CA110</f>
        <v>0</v>
      </c>
      <c r="O101" t="str">
        <f t="shared" si="7"/>
        <v/>
      </c>
      <c r="P101" s="17">
        <f>Create_TC_Web!CI88</f>
        <v>0</v>
      </c>
      <c r="Q101" t="str">
        <f>IF(TestData!CB101&lt;&gt;0,TestData!CB101,"")</f>
        <v/>
      </c>
      <c r="S101" t="str">
        <f t="shared" si="9"/>
        <v/>
      </c>
    </row>
    <row r="102" spans="1:19">
      <c r="A102" t="str" cm="1">
        <f t="array" ref="A102">IFERROR(INDEX(Create_TC_Web!D$1:D$500,SMALL(IF(Create_TC_Web!$C$1:$C$500&lt;&gt;"",MATCH(ROW(Create_TC_Web!$C$1:$C$500),ROW(Create_TC_Web!$C$1:$C$500)),""),ROW(Create_TC_Web!B102))),"")</f>
        <v/>
      </c>
      <c r="B102" t="str" cm="1">
        <f t="array" ref="B102">SUBSTITUTE(SUBSTITUTE(SUBSTITUTE(IFERROR(INDEX(Create_TC_Web!E$1:E$505,SMALL(IF(Create_TC_Web!$C$1:$C$505&lt;&gt;"",MATCH(ROW(Create_TC_Web!$C$1:$C$505),ROW(Create_TC_Web!$C$1:$C$505)),""),ROW(Create_TC_Web!C102))),"")," ",""),"-",""),"_","")</f>
        <v/>
      </c>
      <c r="C102" t="str" cm="1">
        <f t="array" ref="C102">IFERROR(INDEX(Create_TC_Web!F$1:F$500,SMALL(IF(Create_TC_Web!$C$1:$C$500&lt;&gt;"",MATCH(ROW(Create_TC_Web!$C$1:$C$500),ROW(Create_TC_Web!$C$1:$C$500)),""),ROW(Create_TC_Web!D102))),"")</f>
        <v/>
      </c>
      <c r="D102" t="str" cm="1">
        <f t="array" ref="D102">IFERROR(INDEX(Create_TC_Web!G$1:G$500,SMALL(IF(Create_TC_Web!$C$1:$C$500&lt;&gt;"",MATCH(ROW(Create_TC_Web!$C$1:$C$500),ROW(Create_TC_Web!$C$1:$C$500)),""),ROW(Create_TC_Web!E102))),"")</f>
        <v/>
      </c>
      <c r="E102" t="str" cm="1">
        <f t="array" ref="E102">IFERROR(INDEX(Create_TC_Web!H$1:H$500,SMALL(IF(Create_TC_Web!$C$1:$C$500&lt;&gt;"",MATCH(ROW(Create_TC_Web!$C$1:$C$500),ROW(Create_TC_Web!$C$1:$C$500)),""),ROW(Create_TC_Web!F102))),"")</f>
        <v/>
      </c>
      <c r="F102" t="str" cm="1">
        <f t="array" ref="F102">IFERROR(INDEX(Create_TC_Web!I$1:I$500,SMALL(IF(Create_TC_Web!$C$1:$C$500&lt;&gt;"",MATCH(ROW(Create_TC_Web!$C$1:$C$500),ROW(Create_TC_Web!$C$1:$C$500)),""),ROW(Create_TC_Web!G102))),"")</f>
        <v/>
      </c>
      <c r="G102" t="str" cm="1">
        <f t="array" ref="G102">IFERROR(INDEX(Create_TC_Web!J$1:J$500,SMALL(IF(Create_TC_Web!$C$1:$C$500&lt;&gt;"",MATCH(ROW(Create_TC_Web!$C$1:$C$500),ROW(Create_TC_Web!$C$1:$C$500)),""),ROW(Create_TC_Web!H102))),"")</f>
        <v/>
      </c>
      <c r="H102" t="str" cm="1">
        <f t="array" ref="H102">IFERROR(INDEX(Create_TC_Web!K$1:K$500,SMALL(IF(Create_TC_Web!$C$1:$C$500&lt;&gt;"",MATCH(ROW(Create_TC_Web!$C$1:$C$500),ROW(Create_TC_Web!$C$1:$C$500)),""),ROW(Create_TC_Web!I102))),"")</f>
        <v/>
      </c>
      <c r="I102" t="str" cm="1">
        <f t="array" ref="I102">IFERROR(INDEX(Create_TC_Web!L$1:L$500,SMALL(IF(Create_TC_Web!$C$1:$C$500&lt;&gt;"",MATCH(ROW(Create_TC_Web!$C$1:$C$500),ROW(Create_TC_Web!$C$1:$C$500)),""),ROW(Create_TC_Web!J102))),"")</f>
        <v/>
      </c>
      <c r="J102" t="str" cm="1">
        <f t="array" ref="J102">IFERROR(INDEX(Create_TC_Web!M$1:M$500,SMALL(IF(Create_TC_Web!$C$1:$C$500&lt;&gt;"",MATCH(ROW(Create_TC_Web!$C$1:$C$500),ROW(Create_TC_Web!$C$1:$C$500)),""),ROW(Create_TC_Web!K102))),"")</f>
        <v/>
      </c>
      <c r="K102" t="str" cm="1">
        <f t="array" ref="K102">IFERROR(INDEX(Create_TC_Web!N$1:N$500,SMALL(IF(Create_TC_Web!$C$1:$C$500&lt;&gt;"",MATCH(ROW(Create_TC_Web!$C$1:$C$500),ROW(Create_TC_Web!$C$1:$C$500)),""),ROW(Create_TC_Web!L102))),"")</f>
        <v/>
      </c>
      <c r="L102" t="str" cm="1">
        <f t="array" ref="L102">IFERROR(INDEX(Create_TC_Web!O$1:O$500,SMALL(IF(Create_TC_Web!$C$1:$C$500&lt;&gt;"",MATCH(ROW(Create_TC_Web!$C$1:$C$500),ROW(Create_TC_Web!$C$1:$C$500)),""),ROW(Create_TC_Web!M102))),"")</f>
        <v/>
      </c>
      <c r="M102" t="str" cm="1">
        <f t="array" ref="M102">IFERROR(INDEX(Create_TC_Web!P$1:P$500,SMALL(IF(Create_TC_Web!$C$1:$C$500&lt;&gt;"",MATCH(ROW(Create_TC_Web!$C$1:$C$500),ROW(Create_TC_Web!$C$1:$C$500)),""),ROW(Create_TC_Web!N102))),"")</f>
        <v/>
      </c>
      <c r="N102">
        <f>Create_TC_Web!CA111</f>
        <v>0</v>
      </c>
      <c r="O102" t="str">
        <f t="shared" si="7"/>
        <v/>
      </c>
      <c r="P102" s="17">
        <f>Create_TC_Web!CI89</f>
        <v>0</v>
      </c>
      <c r="Q102" t="str">
        <f>IF(TestData!CB102&lt;&gt;0,TestData!CB102,"")</f>
        <v/>
      </c>
      <c r="S102" t="str">
        <f t="shared" si="9"/>
        <v/>
      </c>
    </row>
    <row r="103" spans="1:19">
      <c r="A103" t="str" cm="1">
        <f t="array" ref="A103">IFERROR(INDEX(Create_TC_Web!D$1:D$500,SMALL(IF(Create_TC_Web!$C$1:$C$500&lt;&gt;"",MATCH(ROW(Create_TC_Web!$C$1:$C$500),ROW(Create_TC_Web!$C$1:$C$500)),""),ROW(Create_TC_Web!B103))),"")</f>
        <v/>
      </c>
      <c r="B103" t="str" cm="1">
        <f t="array" ref="B103">SUBSTITUTE(SUBSTITUTE(SUBSTITUTE(IFERROR(INDEX(Create_TC_Web!E$1:E$505,SMALL(IF(Create_TC_Web!$C$1:$C$505&lt;&gt;"",MATCH(ROW(Create_TC_Web!$C$1:$C$505),ROW(Create_TC_Web!$C$1:$C$505)),""),ROW(Create_TC_Web!C103))),"")," ",""),"-",""),"_","")</f>
        <v/>
      </c>
      <c r="C103" t="str" cm="1">
        <f t="array" ref="C103">IFERROR(INDEX(Create_TC_Web!F$1:F$500,SMALL(IF(Create_TC_Web!$C$1:$C$500&lt;&gt;"",MATCH(ROW(Create_TC_Web!$C$1:$C$500),ROW(Create_TC_Web!$C$1:$C$500)),""),ROW(Create_TC_Web!D103))),"")</f>
        <v/>
      </c>
      <c r="D103" t="str" cm="1">
        <f t="array" ref="D103">IFERROR(INDEX(Create_TC_Web!G$1:G$500,SMALL(IF(Create_TC_Web!$C$1:$C$500&lt;&gt;"",MATCH(ROW(Create_TC_Web!$C$1:$C$500),ROW(Create_TC_Web!$C$1:$C$500)),""),ROW(Create_TC_Web!E103))),"")</f>
        <v/>
      </c>
      <c r="E103" t="str" cm="1">
        <f t="array" ref="E103">IFERROR(INDEX(Create_TC_Web!H$1:H$500,SMALL(IF(Create_TC_Web!$C$1:$C$500&lt;&gt;"",MATCH(ROW(Create_TC_Web!$C$1:$C$500),ROW(Create_TC_Web!$C$1:$C$500)),""),ROW(Create_TC_Web!F103))),"")</f>
        <v/>
      </c>
      <c r="F103" t="str" cm="1">
        <f t="array" ref="F103">IFERROR(INDEX(Create_TC_Web!I$1:I$500,SMALL(IF(Create_TC_Web!$C$1:$C$500&lt;&gt;"",MATCH(ROW(Create_TC_Web!$C$1:$C$500),ROW(Create_TC_Web!$C$1:$C$500)),""),ROW(Create_TC_Web!G103))),"")</f>
        <v/>
      </c>
      <c r="G103" t="str" cm="1">
        <f t="array" ref="G103">IFERROR(INDEX(Create_TC_Web!J$1:J$500,SMALL(IF(Create_TC_Web!$C$1:$C$500&lt;&gt;"",MATCH(ROW(Create_TC_Web!$C$1:$C$500),ROW(Create_TC_Web!$C$1:$C$500)),""),ROW(Create_TC_Web!H103))),"")</f>
        <v/>
      </c>
      <c r="H103" t="str" cm="1">
        <f t="array" ref="H103">IFERROR(INDEX(Create_TC_Web!K$1:K$500,SMALL(IF(Create_TC_Web!$C$1:$C$500&lt;&gt;"",MATCH(ROW(Create_TC_Web!$C$1:$C$500),ROW(Create_TC_Web!$C$1:$C$500)),""),ROW(Create_TC_Web!I103))),"")</f>
        <v/>
      </c>
      <c r="I103" t="str" cm="1">
        <f t="array" ref="I103">IFERROR(INDEX(Create_TC_Web!L$1:L$500,SMALL(IF(Create_TC_Web!$C$1:$C$500&lt;&gt;"",MATCH(ROW(Create_TC_Web!$C$1:$C$500),ROW(Create_TC_Web!$C$1:$C$500)),""),ROW(Create_TC_Web!J103))),"")</f>
        <v/>
      </c>
      <c r="J103" t="str" cm="1">
        <f t="array" ref="J103">IFERROR(INDEX(Create_TC_Web!M$1:M$500,SMALL(IF(Create_TC_Web!$C$1:$C$500&lt;&gt;"",MATCH(ROW(Create_TC_Web!$C$1:$C$500),ROW(Create_TC_Web!$C$1:$C$500)),""),ROW(Create_TC_Web!K103))),"")</f>
        <v/>
      </c>
      <c r="K103" t="str" cm="1">
        <f t="array" ref="K103">IFERROR(INDEX(Create_TC_Web!N$1:N$500,SMALL(IF(Create_TC_Web!$C$1:$C$500&lt;&gt;"",MATCH(ROW(Create_TC_Web!$C$1:$C$500),ROW(Create_TC_Web!$C$1:$C$500)),""),ROW(Create_TC_Web!L103))),"")</f>
        <v/>
      </c>
      <c r="L103" t="str" cm="1">
        <f t="array" ref="L103">IFERROR(INDEX(Create_TC_Web!O$1:O$500,SMALL(IF(Create_TC_Web!$C$1:$C$500&lt;&gt;"",MATCH(ROW(Create_TC_Web!$C$1:$C$500),ROW(Create_TC_Web!$C$1:$C$500)),""),ROW(Create_TC_Web!M103))),"")</f>
        <v/>
      </c>
      <c r="M103" t="str" cm="1">
        <f t="array" ref="M103">IFERROR(INDEX(Create_TC_Web!P$1:P$500,SMALL(IF(Create_TC_Web!$C$1:$C$500&lt;&gt;"",MATCH(ROW(Create_TC_Web!$C$1:$C$500),ROW(Create_TC_Web!$C$1:$C$500)),""),ROW(Create_TC_Web!N103))),"")</f>
        <v/>
      </c>
      <c r="N103">
        <f>Create_TC_Web!CA112</f>
        <v>0</v>
      </c>
      <c r="O103" t="str">
        <f t="shared" si="7"/>
        <v/>
      </c>
      <c r="P103" s="17">
        <f>Create_TC_Web!CI90</f>
        <v>0</v>
      </c>
      <c r="Q103" t="str">
        <f>IF(TestData!CB103&lt;&gt;0,TestData!CB103,"")</f>
        <v/>
      </c>
      <c r="S103" t="str">
        <f t="shared" si="9"/>
        <v/>
      </c>
    </row>
    <row r="104" spans="1:19">
      <c r="A104" t="str" cm="1">
        <f t="array" ref="A104">IFERROR(INDEX(Create_TC_Web!D$1:D$500,SMALL(IF(Create_TC_Web!$C$1:$C$500&lt;&gt;"",MATCH(ROW(Create_TC_Web!$C$1:$C$500),ROW(Create_TC_Web!$C$1:$C$500)),""),ROW(Create_TC_Web!B104))),"")</f>
        <v/>
      </c>
      <c r="B104" t="str" cm="1">
        <f t="array" ref="B104">SUBSTITUTE(SUBSTITUTE(SUBSTITUTE(IFERROR(INDEX(Create_TC_Web!E$1:E$505,SMALL(IF(Create_TC_Web!$C$1:$C$505&lt;&gt;"",MATCH(ROW(Create_TC_Web!$C$1:$C$505),ROW(Create_TC_Web!$C$1:$C$505)),""),ROW(Create_TC_Web!C104))),"")," ",""),"-",""),"_","")</f>
        <v/>
      </c>
      <c r="C104" t="str" cm="1">
        <f t="array" ref="C104">IFERROR(INDEX(Create_TC_Web!F$1:F$500,SMALL(IF(Create_TC_Web!$C$1:$C$500&lt;&gt;"",MATCH(ROW(Create_TC_Web!$C$1:$C$500),ROW(Create_TC_Web!$C$1:$C$500)),""),ROW(Create_TC_Web!D104))),"")</f>
        <v/>
      </c>
      <c r="D104" t="str" cm="1">
        <f t="array" ref="D104">IFERROR(INDEX(Create_TC_Web!G$1:G$500,SMALL(IF(Create_TC_Web!$C$1:$C$500&lt;&gt;"",MATCH(ROW(Create_TC_Web!$C$1:$C$500),ROW(Create_TC_Web!$C$1:$C$500)),""),ROW(Create_TC_Web!E104))),"")</f>
        <v/>
      </c>
      <c r="E104" t="str" cm="1">
        <f t="array" ref="E104">IFERROR(INDEX(Create_TC_Web!H$1:H$500,SMALL(IF(Create_TC_Web!$C$1:$C$500&lt;&gt;"",MATCH(ROW(Create_TC_Web!$C$1:$C$500),ROW(Create_TC_Web!$C$1:$C$500)),""),ROW(Create_TC_Web!F104))),"")</f>
        <v/>
      </c>
      <c r="F104" t="str" cm="1">
        <f t="array" ref="F104">IFERROR(INDEX(Create_TC_Web!I$1:I$500,SMALL(IF(Create_TC_Web!$C$1:$C$500&lt;&gt;"",MATCH(ROW(Create_TC_Web!$C$1:$C$500),ROW(Create_TC_Web!$C$1:$C$500)),""),ROW(Create_TC_Web!G104))),"")</f>
        <v/>
      </c>
      <c r="G104" t="str" cm="1">
        <f t="array" ref="G104">IFERROR(INDEX(Create_TC_Web!J$1:J$500,SMALL(IF(Create_TC_Web!$C$1:$C$500&lt;&gt;"",MATCH(ROW(Create_TC_Web!$C$1:$C$500),ROW(Create_TC_Web!$C$1:$C$500)),""),ROW(Create_TC_Web!H104))),"")</f>
        <v/>
      </c>
      <c r="H104" t="str" cm="1">
        <f t="array" ref="H104">IFERROR(INDEX(Create_TC_Web!K$1:K$500,SMALL(IF(Create_TC_Web!$C$1:$C$500&lt;&gt;"",MATCH(ROW(Create_TC_Web!$C$1:$C$500),ROW(Create_TC_Web!$C$1:$C$500)),""),ROW(Create_TC_Web!I104))),"")</f>
        <v/>
      </c>
      <c r="I104" t="str" cm="1">
        <f t="array" ref="I104">IFERROR(INDEX(Create_TC_Web!L$1:L$500,SMALL(IF(Create_TC_Web!$C$1:$C$500&lt;&gt;"",MATCH(ROW(Create_TC_Web!$C$1:$C$500),ROW(Create_TC_Web!$C$1:$C$500)),""),ROW(Create_TC_Web!J104))),"")</f>
        <v/>
      </c>
      <c r="J104" t="str" cm="1">
        <f t="array" ref="J104">IFERROR(INDEX(Create_TC_Web!M$1:M$500,SMALL(IF(Create_TC_Web!$C$1:$C$500&lt;&gt;"",MATCH(ROW(Create_TC_Web!$C$1:$C$500),ROW(Create_TC_Web!$C$1:$C$500)),""),ROW(Create_TC_Web!K104))),"")</f>
        <v/>
      </c>
      <c r="K104" t="str" cm="1">
        <f t="array" ref="K104">IFERROR(INDEX(Create_TC_Web!N$1:N$500,SMALL(IF(Create_TC_Web!$C$1:$C$500&lt;&gt;"",MATCH(ROW(Create_TC_Web!$C$1:$C$500),ROW(Create_TC_Web!$C$1:$C$500)),""),ROW(Create_TC_Web!L104))),"")</f>
        <v/>
      </c>
      <c r="L104" t="str" cm="1">
        <f t="array" ref="L104">IFERROR(INDEX(Create_TC_Web!O$1:O$500,SMALL(IF(Create_TC_Web!$C$1:$C$500&lt;&gt;"",MATCH(ROW(Create_TC_Web!$C$1:$C$500),ROW(Create_TC_Web!$C$1:$C$500)),""),ROW(Create_TC_Web!M104))),"")</f>
        <v/>
      </c>
      <c r="M104" t="str" cm="1">
        <f t="array" ref="M104">IFERROR(INDEX(Create_TC_Web!P$1:P$500,SMALL(IF(Create_TC_Web!$C$1:$C$500&lt;&gt;"",MATCH(ROW(Create_TC_Web!$C$1:$C$500),ROW(Create_TC_Web!$C$1:$C$500)),""),ROW(Create_TC_Web!N104))),"")</f>
        <v/>
      </c>
      <c r="N104">
        <f>Create_TC_Web!CA113</f>
        <v>0</v>
      </c>
      <c r="O104" t="str">
        <f t="shared" si="7"/>
        <v/>
      </c>
      <c r="P104" s="17">
        <f>Create_TC_Web!CI91</f>
        <v>0</v>
      </c>
      <c r="Q104" t="str">
        <f>IF(TestData!CB104&lt;&gt;0,TestData!CB104,"")</f>
        <v/>
      </c>
      <c r="S104" t="str">
        <f t="shared" si="9"/>
        <v/>
      </c>
    </row>
    <row r="105" spans="1:19">
      <c r="A105" t="str" cm="1">
        <f t="array" ref="A105">IFERROR(INDEX(Create_TC_Web!D$1:D$500,SMALL(IF(Create_TC_Web!$C$1:$C$500&lt;&gt;"",MATCH(ROW(Create_TC_Web!$C$1:$C$500),ROW(Create_TC_Web!$C$1:$C$500)),""),ROW(Create_TC_Web!B105))),"")</f>
        <v/>
      </c>
      <c r="B105" t="str" cm="1">
        <f t="array" ref="B105">SUBSTITUTE(SUBSTITUTE(SUBSTITUTE(IFERROR(INDEX(Create_TC_Web!E$1:E$505,SMALL(IF(Create_TC_Web!$C$1:$C$505&lt;&gt;"",MATCH(ROW(Create_TC_Web!$C$1:$C$505),ROW(Create_TC_Web!$C$1:$C$505)),""),ROW(Create_TC_Web!C105))),"")," ",""),"-",""),"_","")</f>
        <v/>
      </c>
      <c r="C105" t="str" cm="1">
        <f t="array" ref="C105">IFERROR(INDEX(Create_TC_Web!F$1:F$500,SMALL(IF(Create_TC_Web!$C$1:$C$500&lt;&gt;"",MATCH(ROW(Create_TC_Web!$C$1:$C$500),ROW(Create_TC_Web!$C$1:$C$500)),""),ROW(Create_TC_Web!D105))),"")</f>
        <v/>
      </c>
      <c r="D105" t="str" cm="1">
        <f t="array" ref="D105">IFERROR(INDEX(Create_TC_Web!G$1:G$500,SMALL(IF(Create_TC_Web!$C$1:$C$500&lt;&gt;"",MATCH(ROW(Create_TC_Web!$C$1:$C$500),ROW(Create_TC_Web!$C$1:$C$500)),""),ROW(Create_TC_Web!E105))),"")</f>
        <v/>
      </c>
      <c r="E105" t="str" cm="1">
        <f t="array" ref="E105">IFERROR(INDEX(Create_TC_Web!H$1:H$500,SMALL(IF(Create_TC_Web!$C$1:$C$500&lt;&gt;"",MATCH(ROW(Create_TC_Web!$C$1:$C$500),ROW(Create_TC_Web!$C$1:$C$500)),""),ROW(Create_TC_Web!F105))),"")</f>
        <v/>
      </c>
      <c r="F105" t="str" cm="1">
        <f t="array" ref="F105">IFERROR(INDEX(Create_TC_Web!I$1:I$500,SMALL(IF(Create_TC_Web!$C$1:$C$500&lt;&gt;"",MATCH(ROW(Create_TC_Web!$C$1:$C$500),ROW(Create_TC_Web!$C$1:$C$500)),""),ROW(Create_TC_Web!G105))),"")</f>
        <v/>
      </c>
      <c r="G105" t="str" cm="1">
        <f t="array" ref="G105">IFERROR(INDEX(Create_TC_Web!J$1:J$500,SMALL(IF(Create_TC_Web!$C$1:$C$500&lt;&gt;"",MATCH(ROW(Create_TC_Web!$C$1:$C$500),ROW(Create_TC_Web!$C$1:$C$500)),""),ROW(Create_TC_Web!H105))),"")</f>
        <v/>
      </c>
      <c r="H105" t="str" cm="1">
        <f t="array" ref="H105">IFERROR(INDEX(Create_TC_Web!K$1:K$500,SMALL(IF(Create_TC_Web!$C$1:$C$500&lt;&gt;"",MATCH(ROW(Create_TC_Web!$C$1:$C$500),ROW(Create_TC_Web!$C$1:$C$500)),""),ROW(Create_TC_Web!I105))),"")</f>
        <v/>
      </c>
      <c r="I105" t="str" cm="1">
        <f t="array" ref="I105">IFERROR(INDEX(Create_TC_Web!L$1:L$500,SMALL(IF(Create_TC_Web!$C$1:$C$500&lt;&gt;"",MATCH(ROW(Create_TC_Web!$C$1:$C$500),ROW(Create_TC_Web!$C$1:$C$500)),""),ROW(Create_TC_Web!J105))),"")</f>
        <v/>
      </c>
      <c r="J105" t="str" cm="1">
        <f t="array" ref="J105">IFERROR(INDEX(Create_TC_Web!M$1:M$500,SMALL(IF(Create_TC_Web!$C$1:$C$500&lt;&gt;"",MATCH(ROW(Create_TC_Web!$C$1:$C$500),ROW(Create_TC_Web!$C$1:$C$500)),""),ROW(Create_TC_Web!K105))),"")</f>
        <v/>
      </c>
      <c r="K105" t="str" cm="1">
        <f t="array" ref="K105">IFERROR(INDEX(Create_TC_Web!N$1:N$500,SMALL(IF(Create_TC_Web!$C$1:$C$500&lt;&gt;"",MATCH(ROW(Create_TC_Web!$C$1:$C$500),ROW(Create_TC_Web!$C$1:$C$500)),""),ROW(Create_TC_Web!L105))),"")</f>
        <v/>
      </c>
      <c r="L105" t="str" cm="1">
        <f t="array" ref="L105">IFERROR(INDEX(Create_TC_Web!O$1:O$500,SMALL(IF(Create_TC_Web!$C$1:$C$500&lt;&gt;"",MATCH(ROW(Create_TC_Web!$C$1:$C$500),ROW(Create_TC_Web!$C$1:$C$500)),""),ROW(Create_TC_Web!M105))),"")</f>
        <v/>
      </c>
      <c r="M105" t="str" cm="1">
        <f t="array" ref="M105">IFERROR(INDEX(Create_TC_Web!P$1:P$500,SMALL(IF(Create_TC_Web!$C$1:$C$500&lt;&gt;"",MATCH(ROW(Create_TC_Web!$C$1:$C$500),ROW(Create_TC_Web!$C$1:$C$500)),""),ROW(Create_TC_Web!N105))),"")</f>
        <v/>
      </c>
      <c r="N105">
        <f>Create_TC_Web!CA114</f>
        <v>0</v>
      </c>
      <c r="O105" t="str">
        <f t="shared" si="7"/>
        <v/>
      </c>
      <c r="P105" s="17">
        <f>Create_TC_Web!CI92</f>
        <v>0</v>
      </c>
      <c r="Q105" t="str">
        <f>IF(TestData!CB105&lt;&gt;0,TestData!CB105,"")</f>
        <v/>
      </c>
      <c r="S105" t="str">
        <f t="shared" si="9"/>
        <v/>
      </c>
    </row>
    <row r="106" spans="1:19">
      <c r="A106" t="str" cm="1">
        <f t="array" ref="A106">IFERROR(INDEX(Create_TC_Web!D$1:D$500,SMALL(IF(Create_TC_Web!$C$1:$C$500&lt;&gt;"",MATCH(ROW(Create_TC_Web!$C$1:$C$500),ROW(Create_TC_Web!$C$1:$C$500)),""),ROW(Create_TC_Web!B106))),"")</f>
        <v/>
      </c>
      <c r="B106" t="str" cm="1">
        <f t="array" ref="B106">SUBSTITUTE(SUBSTITUTE(SUBSTITUTE(IFERROR(INDEX(Create_TC_Web!E$1:E$505,SMALL(IF(Create_TC_Web!$C$1:$C$505&lt;&gt;"",MATCH(ROW(Create_TC_Web!$C$1:$C$505),ROW(Create_TC_Web!$C$1:$C$505)),""),ROW(Create_TC_Web!C106))),"")," ",""),"-",""),"_","")</f>
        <v/>
      </c>
      <c r="C106" t="str" cm="1">
        <f t="array" ref="C106">IFERROR(INDEX(Create_TC_Web!F$1:F$500,SMALL(IF(Create_TC_Web!$C$1:$C$500&lt;&gt;"",MATCH(ROW(Create_TC_Web!$C$1:$C$500),ROW(Create_TC_Web!$C$1:$C$500)),""),ROW(Create_TC_Web!D106))),"")</f>
        <v/>
      </c>
      <c r="D106" t="str" cm="1">
        <f t="array" ref="D106">IFERROR(INDEX(Create_TC_Web!G$1:G$500,SMALL(IF(Create_TC_Web!$C$1:$C$500&lt;&gt;"",MATCH(ROW(Create_TC_Web!$C$1:$C$500),ROW(Create_TC_Web!$C$1:$C$500)),""),ROW(Create_TC_Web!E106))),"")</f>
        <v/>
      </c>
      <c r="E106" t="str" cm="1">
        <f t="array" ref="E106">IFERROR(INDEX(Create_TC_Web!H$1:H$500,SMALL(IF(Create_TC_Web!$C$1:$C$500&lt;&gt;"",MATCH(ROW(Create_TC_Web!$C$1:$C$500),ROW(Create_TC_Web!$C$1:$C$500)),""),ROW(Create_TC_Web!F106))),"")</f>
        <v/>
      </c>
      <c r="F106" t="str" cm="1">
        <f t="array" ref="F106">IFERROR(INDEX(Create_TC_Web!I$1:I$500,SMALL(IF(Create_TC_Web!$C$1:$C$500&lt;&gt;"",MATCH(ROW(Create_TC_Web!$C$1:$C$500),ROW(Create_TC_Web!$C$1:$C$500)),""),ROW(Create_TC_Web!G106))),"")</f>
        <v/>
      </c>
      <c r="G106" t="str" cm="1">
        <f t="array" ref="G106">IFERROR(INDEX(Create_TC_Web!J$1:J$500,SMALL(IF(Create_TC_Web!$C$1:$C$500&lt;&gt;"",MATCH(ROW(Create_TC_Web!$C$1:$C$500),ROW(Create_TC_Web!$C$1:$C$500)),""),ROW(Create_TC_Web!H106))),"")</f>
        <v/>
      </c>
      <c r="H106" t="str" cm="1">
        <f t="array" ref="H106">IFERROR(INDEX(Create_TC_Web!K$1:K$500,SMALL(IF(Create_TC_Web!$C$1:$C$500&lt;&gt;"",MATCH(ROW(Create_TC_Web!$C$1:$C$500),ROW(Create_TC_Web!$C$1:$C$500)),""),ROW(Create_TC_Web!I106))),"")</f>
        <v/>
      </c>
      <c r="I106" t="str" cm="1">
        <f t="array" ref="I106">IFERROR(INDEX(Create_TC_Web!L$1:L$500,SMALL(IF(Create_TC_Web!$C$1:$C$500&lt;&gt;"",MATCH(ROW(Create_TC_Web!$C$1:$C$500),ROW(Create_TC_Web!$C$1:$C$500)),""),ROW(Create_TC_Web!J106))),"")</f>
        <v/>
      </c>
      <c r="J106" t="str" cm="1">
        <f t="array" ref="J106">IFERROR(INDEX(Create_TC_Web!M$1:M$500,SMALL(IF(Create_TC_Web!$C$1:$C$500&lt;&gt;"",MATCH(ROW(Create_TC_Web!$C$1:$C$500),ROW(Create_TC_Web!$C$1:$C$500)),""),ROW(Create_TC_Web!K106))),"")</f>
        <v/>
      </c>
      <c r="K106" t="str" cm="1">
        <f t="array" ref="K106">IFERROR(INDEX(Create_TC_Web!N$1:N$500,SMALL(IF(Create_TC_Web!$C$1:$C$500&lt;&gt;"",MATCH(ROW(Create_TC_Web!$C$1:$C$500),ROW(Create_TC_Web!$C$1:$C$500)),""),ROW(Create_TC_Web!L106))),"")</f>
        <v/>
      </c>
      <c r="L106" t="str" cm="1">
        <f t="array" ref="L106">IFERROR(INDEX(Create_TC_Web!O$1:O$500,SMALL(IF(Create_TC_Web!$C$1:$C$500&lt;&gt;"",MATCH(ROW(Create_TC_Web!$C$1:$C$500),ROW(Create_TC_Web!$C$1:$C$500)),""),ROW(Create_TC_Web!M106))),"")</f>
        <v/>
      </c>
      <c r="M106" t="str" cm="1">
        <f t="array" ref="M106">IFERROR(INDEX(Create_TC_Web!P$1:P$500,SMALL(IF(Create_TC_Web!$C$1:$C$500&lt;&gt;"",MATCH(ROW(Create_TC_Web!$C$1:$C$500),ROW(Create_TC_Web!$C$1:$C$500)),""),ROW(Create_TC_Web!N106))),"")</f>
        <v/>
      </c>
      <c r="N106">
        <f>Create_TC_Web!CA115</f>
        <v>0</v>
      </c>
      <c r="O106" t="str">
        <f t="shared" si="7"/>
        <v/>
      </c>
      <c r="P106" s="17">
        <f>Create_TC_Web!CI93</f>
        <v>0</v>
      </c>
      <c r="Q106" t="str">
        <f>IF(TestData!CB106&lt;&gt;0,TestData!CB106,"")</f>
        <v/>
      </c>
      <c r="S106" t="str">
        <f t="shared" si="9"/>
        <v/>
      </c>
    </row>
    <row r="107" spans="1:19">
      <c r="A107" t="str" cm="1">
        <f t="array" ref="A107">IFERROR(INDEX(Create_TC_Web!D$1:D$500,SMALL(IF(Create_TC_Web!$C$1:$C$500&lt;&gt;"",MATCH(ROW(Create_TC_Web!$C$1:$C$500),ROW(Create_TC_Web!$C$1:$C$500)),""),ROW(Create_TC_Web!B107))),"")</f>
        <v/>
      </c>
      <c r="B107" t="str" cm="1">
        <f t="array" ref="B107">SUBSTITUTE(SUBSTITUTE(SUBSTITUTE(IFERROR(INDEX(Create_TC_Web!E$1:E$505,SMALL(IF(Create_TC_Web!$C$1:$C$505&lt;&gt;"",MATCH(ROW(Create_TC_Web!$C$1:$C$505),ROW(Create_TC_Web!$C$1:$C$505)),""),ROW(Create_TC_Web!C107))),"")," ",""),"-",""),"_","")</f>
        <v/>
      </c>
      <c r="C107" t="str" cm="1">
        <f t="array" ref="C107">IFERROR(INDEX(Create_TC_Web!F$1:F$500,SMALL(IF(Create_TC_Web!$C$1:$C$500&lt;&gt;"",MATCH(ROW(Create_TC_Web!$C$1:$C$500),ROW(Create_TC_Web!$C$1:$C$500)),""),ROW(Create_TC_Web!D107))),"")</f>
        <v/>
      </c>
      <c r="D107" t="str" cm="1">
        <f t="array" ref="D107">IFERROR(INDEX(Create_TC_Web!G$1:G$500,SMALL(IF(Create_TC_Web!$C$1:$C$500&lt;&gt;"",MATCH(ROW(Create_TC_Web!$C$1:$C$500),ROW(Create_TC_Web!$C$1:$C$500)),""),ROW(Create_TC_Web!E107))),"")</f>
        <v/>
      </c>
      <c r="E107" t="str" cm="1">
        <f t="array" ref="E107">IFERROR(INDEX(Create_TC_Web!H$1:H$500,SMALL(IF(Create_TC_Web!$C$1:$C$500&lt;&gt;"",MATCH(ROW(Create_TC_Web!$C$1:$C$500),ROW(Create_TC_Web!$C$1:$C$500)),""),ROW(Create_TC_Web!F107))),"")</f>
        <v/>
      </c>
      <c r="F107" t="str" cm="1">
        <f t="array" ref="F107">IFERROR(INDEX(Create_TC_Web!I$1:I$500,SMALL(IF(Create_TC_Web!$C$1:$C$500&lt;&gt;"",MATCH(ROW(Create_TC_Web!$C$1:$C$500),ROW(Create_TC_Web!$C$1:$C$500)),""),ROW(Create_TC_Web!G107))),"")</f>
        <v/>
      </c>
      <c r="G107" t="str" cm="1">
        <f t="array" ref="G107">IFERROR(INDEX(Create_TC_Web!J$1:J$500,SMALL(IF(Create_TC_Web!$C$1:$C$500&lt;&gt;"",MATCH(ROW(Create_TC_Web!$C$1:$C$500),ROW(Create_TC_Web!$C$1:$C$500)),""),ROW(Create_TC_Web!H107))),"")</f>
        <v/>
      </c>
      <c r="H107" t="str" cm="1">
        <f t="array" ref="H107">IFERROR(INDEX(Create_TC_Web!K$1:K$500,SMALL(IF(Create_TC_Web!$C$1:$C$500&lt;&gt;"",MATCH(ROW(Create_TC_Web!$C$1:$C$500),ROW(Create_TC_Web!$C$1:$C$500)),""),ROW(Create_TC_Web!I107))),"")</f>
        <v/>
      </c>
      <c r="I107" t="str" cm="1">
        <f t="array" ref="I107">IFERROR(INDEX(Create_TC_Web!L$1:L$500,SMALL(IF(Create_TC_Web!$C$1:$C$500&lt;&gt;"",MATCH(ROW(Create_TC_Web!$C$1:$C$500),ROW(Create_TC_Web!$C$1:$C$500)),""),ROW(Create_TC_Web!J107))),"")</f>
        <v/>
      </c>
      <c r="J107" t="str" cm="1">
        <f t="array" ref="J107">IFERROR(INDEX(Create_TC_Web!M$1:M$500,SMALL(IF(Create_TC_Web!$C$1:$C$500&lt;&gt;"",MATCH(ROW(Create_TC_Web!$C$1:$C$500),ROW(Create_TC_Web!$C$1:$C$500)),""),ROW(Create_TC_Web!K107))),"")</f>
        <v/>
      </c>
      <c r="K107" t="str" cm="1">
        <f t="array" ref="K107">IFERROR(INDEX(Create_TC_Web!N$1:N$500,SMALL(IF(Create_TC_Web!$C$1:$C$500&lt;&gt;"",MATCH(ROW(Create_TC_Web!$C$1:$C$500),ROW(Create_TC_Web!$C$1:$C$500)),""),ROW(Create_TC_Web!L107))),"")</f>
        <v/>
      </c>
      <c r="L107" t="str" cm="1">
        <f t="array" ref="L107">IFERROR(INDEX(Create_TC_Web!O$1:O$500,SMALL(IF(Create_TC_Web!$C$1:$C$500&lt;&gt;"",MATCH(ROW(Create_TC_Web!$C$1:$C$500),ROW(Create_TC_Web!$C$1:$C$500)),""),ROW(Create_TC_Web!M107))),"")</f>
        <v/>
      </c>
      <c r="M107" t="str" cm="1">
        <f t="array" ref="M107">IFERROR(INDEX(Create_TC_Web!P$1:P$500,SMALL(IF(Create_TC_Web!$C$1:$C$500&lt;&gt;"",MATCH(ROW(Create_TC_Web!$C$1:$C$500),ROW(Create_TC_Web!$C$1:$C$500)),""),ROW(Create_TC_Web!N107))),"")</f>
        <v/>
      </c>
      <c r="N107">
        <f>Create_TC_Web!CA116</f>
        <v>0</v>
      </c>
      <c r="O107" t="str">
        <f t="shared" si="7"/>
        <v/>
      </c>
      <c r="P107" s="17">
        <f>Create_TC_Web!CI94</f>
        <v>0</v>
      </c>
      <c r="Q107" t="str">
        <f>IF(TestData!CB107&lt;&gt;0,TestData!CB107,"")</f>
        <v/>
      </c>
      <c r="S107" t="str">
        <f t="shared" si="9"/>
        <v/>
      </c>
    </row>
    <row r="108" spans="1:19">
      <c r="A108" t="str" cm="1">
        <f t="array" ref="A108">IFERROR(INDEX(Create_TC_Web!D$1:D$500,SMALL(IF(Create_TC_Web!$C$1:$C$500&lt;&gt;"",MATCH(ROW(Create_TC_Web!$C$1:$C$500),ROW(Create_TC_Web!$C$1:$C$500)),""),ROW(Create_TC_Web!B108))),"")</f>
        <v/>
      </c>
      <c r="B108" t="str" cm="1">
        <f t="array" ref="B108">SUBSTITUTE(SUBSTITUTE(SUBSTITUTE(IFERROR(INDEX(Create_TC_Web!E$1:E$505,SMALL(IF(Create_TC_Web!$C$1:$C$505&lt;&gt;"",MATCH(ROW(Create_TC_Web!$C$1:$C$505),ROW(Create_TC_Web!$C$1:$C$505)),""),ROW(Create_TC_Web!C108))),"")," ",""),"-",""),"_","")</f>
        <v/>
      </c>
      <c r="C108" t="str" cm="1">
        <f t="array" ref="C108">IFERROR(INDEX(Create_TC_Web!F$1:F$500,SMALL(IF(Create_TC_Web!$C$1:$C$500&lt;&gt;"",MATCH(ROW(Create_TC_Web!$C$1:$C$500),ROW(Create_TC_Web!$C$1:$C$500)),""),ROW(Create_TC_Web!D108))),"")</f>
        <v/>
      </c>
      <c r="D108" t="str" cm="1">
        <f t="array" ref="D108">IFERROR(INDEX(Create_TC_Web!G$1:G$500,SMALL(IF(Create_TC_Web!$C$1:$C$500&lt;&gt;"",MATCH(ROW(Create_TC_Web!$C$1:$C$500),ROW(Create_TC_Web!$C$1:$C$500)),""),ROW(Create_TC_Web!E108))),"")</f>
        <v/>
      </c>
      <c r="E108" t="str" cm="1">
        <f t="array" ref="E108">IFERROR(INDEX(Create_TC_Web!H$1:H$500,SMALL(IF(Create_TC_Web!$C$1:$C$500&lt;&gt;"",MATCH(ROW(Create_TC_Web!$C$1:$C$500),ROW(Create_TC_Web!$C$1:$C$500)),""),ROW(Create_TC_Web!F108))),"")</f>
        <v/>
      </c>
      <c r="F108" t="str" cm="1">
        <f t="array" ref="F108">IFERROR(INDEX(Create_TC_Web!I$1:I$500,SMALL(IF(Create_TC_Web!$C$1:$C$500&lt;&gt;"",MATCH(ROW(Create_TC_Web!$C$1:$C$500),ROW(Create_TC_Web!$C$1:$C$500)),""),ROW(Create_TC_Web!G108))),"")</f>
        <v/>
      </c>
      <c r="G108" t="str" cm="1">
        <f t="array" ref="G108">IFERROR(INDEX(Create_TC_Web!J$1:J$500,SMALL(IF(Create_TC_Web!$C$1:$C$500&lt;&gt;"",MATCH(ROW(Create_TC_Web!$C$1:$C$500),ROW(Create_TC_Web!$C$1:$C$500)),""),ROW(Create_TC_Web!H108))),"")</f>
        <v/>
      </c>
      <c r="H108" t="str" cm="1">
        <f t="array" ref="H108">IFERROR(INDEX(Create_TC_Web!K$1:K$500,SMALL(IF(Create_TC_Web!$C$1:$C$500&lt;&gt;"",MATCH(ROW(Create_TC_Web!$C$1:$C$500),ROW(Create_TC_Web!$C$1:$C$500)),""),ROW(Create_TC_Web!I108))),"")</f>
        <v/>
      </c>
      <c r="I108" t="str" cm="1">
        <f t="array" ref="I108">IFERROR(INDEX(Create_TC_Web!L$1:L$500,SMALL(IF(Create_TC_Web!$C$1:$C$500&lt;&gt;"",MATCH(ROW(Create_TC_Web!$C$1:$C$500),ROW(Create_TC_Web!$C$1:$C$500)),""),ROW(Create_TC_Web!J108))),"")</f>
        <v/>
      </c>
      <c r="J108" t="str" cm="1">
        <f t="array" ref="J108">IFERROR(INDEX(Create_TC_Web!M$1:M$500,SMALL(IF(Create_TC_Web!$C$1:$C$500&lt;&gt;"",MATCH(ROW(Create_TC_Web!$C$1:$C$500),ROW(Create_TC_Web!$C$1:$C$500)),""),ROW(Create_TC_Web!K108))),"")</f>
        <v/>
      </c>
      <c r="K108" t="str" cm="1">
        <f t="array" ref="K108">IFERROR(INDEX(Create_TC_Web!N$1:N$500,SMALL(IF(Create_TC_Web!$C$1:$C$500&lt;&gt;"",MATCH(ROW(Create_TC_Web!$C$1:$C$500),ROW(Create_TC_Web!$C$1:$C$500)),""),ROW(Create_TC_Web!L108))),"")</f>
        <v/>
      </c>
      <c r="L108" t="str" cm="1">
        <f t="array" ref="L108">IFERROR(INDEX(Create_TC_Web!O$1:O$500,SMALL(IF(Create_TC_Web!$C$1:$C$500&lt;&gt;"",MATCH(ROW(Create_TC_Web!$C$1:$C$500),ROW(Create_TC_Web!$C$1:$C$500)),""),ROW(Create_TC_Web!M108))),"")</f>
        <v/>
      </c>
      <c r="M108" t="str" cm="1">
        <f t="array" ref="M108">IFERROR(INDEX(Create_TC_Web!P$1:P$500,SMALL(IF(Create_TC_Web!$C$1:$C$500&lt;&gt;"",MATCH(ROW(Create_TC_Web!$C$1:$C$500),ROW(Create_TC_Web!$C$1:$C$500)),""),ROW(Create_TC_Web!N108))),"")</f>
        <v/>
      </c>
      <c r="N108">
        <f>Create_TC_Web!CA117</f>
        <v>0</v>
      </c>
      <c r="O108" t="str">
        <f t="shared" si="7"/>
        <v/>
      </c>
      <c r="P108" s="17">
        <f>Create_TC_Web!CI95</f>
        <v>0</v>
      </c>
      <c r="Q108" t="str">
        <f>IF(TestData!CB108&lt;&gt;0,TestData!CB108,"")</f>
        <v/>
      </c>
      <c r="S108" t="str">
        <f t="shared" si="9"/>
        <v/>
      </c>
    </row>
    <row r="109" spans="1:19">
      <c r="A109" t="str" cm="1">
        <f t="array" ref="A109">IFERROR(INDEX(Create_TC_Web!D$1:D$500,SMALL(IF(Create_TC_Web!$C$1:$C$500&lt;&gt;"",MATCH(ROW(Create_TC_Web!$C$1:$C$500),ROW(Create_TC_Web!$C$1:$C$500)),""),ROW(Create_TC_Web!B109))),"")</f>
        <v/>
      </c>
      <c r="B109" t="str" cm="1">
        <f t="array" ref="B109">SUBSTITUTE(SUBSTITUTE(SUBSTITUTE(IFERROR(INDEX(Create_TC_Web!E$1:E$505,SMALL(IF(Create_TC_Web!$C$1:$C$505&lt;&gt;"",MATCH(ROW(Create_TC_Web!$C$1:$C$505),ROW(Create_TC_Web!$C$1:$C$505)),""),ROW(Create_TC_Web!C109))),"")," ",""),"-",""),"_","")</f>
        <v/>
      </c>
      <c r="C109" t="str" cm="1">
        <f t="array" ref="C109">IFERROR(INDEX(Create_TC_Web!F$1:F$500,SMALL(IF(Create_TC_Web!$C$1:$C$500&lt;&gt;"",MATCH(ROW(Create_TC_Web!$C$1:$C$500),ROW(Create_TC_Web!$C$1:$C$500)),""),ROW(Create_TC_Web!D109))),"")</f>
        <v/>
      </c>
      <c r="D109" t="str" cm="1">
        <f t="array" ref="D109">IFERROR(INDEX(Create_TC_Web!G$1:G$500,SMALL(IF(Create_TC_Web!$C$1:$C$500&lt;&gt;"",MATCH(ROW(Create_TC_Web!$C$1:$C$500),ROW(Create_TC_Web!$C$1:$C$500)),""),ROW(Create_TC_Web!E109))),"")</f>
        <v/>
      </c>
      <c r="E109" t="str" cm="1">
        <f t="array" ref="E109">IFERROR(INDEX(Create_TC_Web!H$1:H$500,SMALL(IF(Create_TC_Web!$C$1:$C$500&lt;&gt;"",MATCH(ROW(Create_TC_Web!$C$1:$C$500),ROW(Create_TC_Web!$C$1:$C$500)),""),ROW(Create_TC_Web!F109))),"")</f>
        <v/>
      </c>
      <c r="F109" t="str" cm="1">
        <f t="array" ref="F109">IFERROR(INDEX(Create_TC_Web!I$1:I$500,SMALL(IF(Create_TC_Web!$C$1:$C$500&lt;&gt;"",MATCH(ROW(Create_TC_Web!$C$1:$C$500),ROW(Create_TC_Web!$C$1:$C$500)),""),ROW(Create_TC_Web!G109))),"")</f>
        <v/>
      </c>
      <c r="G109" t="str" cm="1">
        <f t="array" ref="G109">IFERROR(INDEX(Create_TC_Web!J$1:J$500,SMALL(IF(Create_TC_Web!$C$1:$C$500&lt;&gt;"",MATCH(ROW(Create_TC_Web!$C$1:$C$500),ROW(Create_TC_Web!$C$1:$C$500)),""),ROW(Create_TC_Web!H109))),"")</f>
        <v/>
      </c>
      <c r="H109" t="str" cm="1">
        <f t="array" ref="H109">IFERROR(INDEX(Create_TC_Web!K$1:K$500,SMALL(IF(Create_TC_Web!$C$1:$C$500&lt;&gt;"",MATCH(ROW(Create_TC_Web!$C$1:$C$500),ROW(Create_TC_Web!$C$1:$C$500)),""),ROW(Create_TC_Web!I109))),"")</f>
        <v/>
      </c>
      <c r="I109" t="str" cm="1">
        <f t="array" ref="I109">IFERROR(INDEX(Create_TC_Web!L$1:L$500,SMALL(IF(Create_TC_Web!$C$1:$C$500&lt;&gt;"",MATCH(ROW(Create_TC_Web!$C$1:$C$500),ROW(Create_TC_Web!$C$1:$C$500)),""),ROW(Create_TC_Web!J109))),"")</f>
        <v/>
      </c>
      <c r="J109" t="str" cm="1">
        <f t="array" ref="J109">IFERROR(INDEX(Create_TC_Web!M$1:M$500,SMALL(IF(Create_TC_Web!$C$1:$C$500&lt;&gt;"",MATCH(ROW(Create_TC_Web!$C$1:$C$500),ROW(Create_TC_Web!$C$1:$C$500)),""),ROW(Create_TC_Web!K109))),"")</f>
        <v/>
      </c>
      <c r="K109" t="str" cm="1">
        <f t="array" ref="K109">IFERROR(INDEX(Create_TC_Web!N$1:N$500,SMALL(IF(Create_TC_Web!$C$1:$C$500&lt;&gt;"",MATCH(ROW(Create_TC_Web!$C$1:$C$500),ROW(Create_TC_Web!$C$1:$C$500)),""),ROW(Create_TC_Web!L109))),"")</f>
        <v/>
      </c>
      <c r="L109" t="str" cm="1">
        <f t="array" ref="L109">IFERROR(INDEX(Create_TC_Web!O$1:O$500,SMALL(IF(Create_TC_Web!$C$1:$C$500&lt;&gt;"",MATCH(ROW(Create_TC_Web!$C$1:$C$500),ROW(Create_TC_Web!$C$1:$C$500)),""),ROW(Create_TC_Web!M109))),"")</f>
        <v/>
      </c>
      <c r="M109" t="str" cm="1">
        <f t="array" ref="M109">IFERROR(INDEX(Create_TC_Web!P$1:P$500,SMALL(IF(Create_TC_Web!$C$1:$C$500&lt;&gt;"",MATCH(ROW(Create_TC_Web!$C$1:$C$500),ROW(Create_TC_Web!$C$1:$C$500)),""),ROW(Create_TC_Web!N109))),"")</f>
        <v/>
      </c>
      <c r="N109">
        <f>Create_TC_Web!CA118</f>
        <v>0</v>
      </c>
      <c r="O109" t="str">
        <f t="shared" si="7"/>
        <v/>
      </c>
      <c r="P109" s="17">
        <f>Create_TC_Web!CI96</f>
        <v>0</v>
      </c>
      <c r="Q109" t="str">
        <f>IF(TestData!CB109&lt;&gt;0,TestData!CB109,"")</f>
        <v/>
      </c>
      <c r="S109" t="str">
        <f t="shared" si="9"/>
        <v/>
      </c>
    </row>
    <row r="110" spans="1:19">
      <c r="A110" t="str" cm="1">
        <f t="array" ref="A110">IFERROR(INDEX(Create_TC_Web!D$1:D$500,SMALL(IF(Create_TC_Web!$C$1:$C$500&lt;&gt;"",MATCH(ROW(Create_TC_Web!$C$1:$C$500),ROW(Create_TC_Web!$C$1:$C$500)),""),ROW(Create_TC_Web!B110))),"")</f>
        <v/>
      </c>
      <c r="B110" t="str" cm="1">
        <f t="array" ref="B110">SUBSTITUTE(SUBSTITUTE(SUBSTITUTE(IFERROR(INDEX(Create_TC_Web!E$1:E$505,SMALL(IF(Create_TC_Web!$C$1:$C$505&lt;&gt;"",MATCH(ROW(Create_TC_Web!$C$1:$C$505),ROW(Create_TC_Web!$C$1:$C$505)),""),ROW(Create_TC_Web!C110))),"")," ",""),"-",""),"_","")</f>
        <v/>
      </c>
      <c r="C110" t="str" cm="1">
        <f t="array" ref="C110">IFERROR(INDEX(Create_TC_Web!F$1:F$500,SMALL(IF(Create_TC_Web!$C$1:$C$500&lt;&gt;"",MATCH(ROW(Create_TC_Web!$C$1:$C$500),ROW(Create_TC_Web!$C$1:$C$500)),""),ROW(Create_TC_Web!D110))),"")</f>
        <v/>
      </c>
      <c r="D110" t="str" cm="1">
        <f t="array" ref="D110">IFERROR(INDEX(Create_TC_Web!G$1:G$500,SMALL(IF(Create_TC_Web!$C$1:$C$500&lt;&gt;"",MATCH(ROW(Create_TC_Web!$C$1:$C$500),ROW(Create_TC_Web!$C$1:$C$500)),""),ROW(Create_TC_Web!E110))),"")</f>
        <v/>
      </c>
      <c r="E110" t="str" cm="1">
        <f t="array" ref="E110">IFERROR(INDEX(Create_TC_Web!H$1:H$500,SMALL(IF(Create_TC_Web!$C$1:$C$500&lt;&gt;"",MATCH(ROW(Create_TC_Web!$C$1:$C$500),ROW(Create_TC_Web!$C$1:$C$500)),""),ROW(Create_TC_Web!F110))),"")</f>
        <v/>
      </c>
      <c r="F110" t="str" cm="1">
        <f t="array" ref="F110">IFERROR(INDEX(Create_TC_Web!I$1:I$500,SMALL(IF(Create_TC_Web!$C$1:$C$500&lt;&gt;"",MATCH(ROW(Create_TC_Web!$C$1:$C$500),ROW(Create_TC_Web!$C$1:$C$500)),""),ROW(Create_TC_Web!G110))),"")</f>
        <v/>
      </c>
      <c r="G110" t="str" cm="1">
        <f t="array" ref="G110">IFERROR(INDEX(Create_TC_Web!J$1:J$500,SMALL(IF(Create_TC_Web!$C$1:$C$500&lt;&gt;"",MATCH(ROW(Create_TC_Web!$C$1:$C$500),ROW(Create_TC_Web!$C$1:$C$500)),""),ROW(Create_TC_Web!H110))),"")</f>
        <v/>
      </c>
      <c r="H110" t="str" cm="1">
        <f t="array" ref="H110">IFERROR(INDEX(Create_TC_Web!K$1:K$500,SMALL(IF(Create_TC_Web!$C$1:$C$500&lt;&gt;"",MATCH(ROW(Create_TC_Web!$C$1:$C$500),ROW(Create_TC_Web!$C$1:$C$500)),""),ROW(Create_TC_Web!I110))),"")</f>
        <v/>
      </c>
      <c r="I110" t="str" cm="1">
        <f t="array" ref="I110">IFERROR(INDEX(Create_TC_Web!L$1:L$500,SMALL(IF(Create_TC_Web!$C$1:$C$500&lt;&gt;"",MATCH(ROW(Create_TC_Web!$C$1:$C$500),ROW(Create_TC_Web!$C$1:$C$500)),""),ROW(Create_TC_Web!J110))),"")</f>
        <v/>
      </c>
      <c r="J110" t="str" cm="1">
        <f t="array" ref="J110">IFERROR(INDEX(Create_TC_Web!M$1:M$500,SMALL(IF(Create_TC_Web!$C$1:$C$500&lt;&gt;"",MATCH(ROW(Create_TC_Web!$C$1:$C$500),ROW(Create_TC_Web!$C$1:$C$500)),""),ROW(Create_TC_Web!K110))),"")</f>
        <v/>
      </c>
      <c r="K110" t="str" cm="1">
        <f t="array" ref="K110">IFERROR(INDEX(Create_TC_Web!N$1:N$500,SMALL(IF(Create_TC_Web!$C$1:$C$500&lt;&gt;"",MATCH(ROW(Create_TC_Web!$C$1:$C$500),ROW(Create_TC_Web!$C$1:$C$500)),""),ROW(Create_TC_Web!L110))),"")</f>
        <v/>
      </c>
      <c r="L110" t="str" cm="1">
        <f t="array" ref="L110">IFERROR(INDEX(Create_TC_Web!O$1:O$500,SMALL(IF(Create_TC_Web!$C$1:$C$500&lt;&gt;"",MATCH(ROW(Create_TC_Web!$C$1:$C$500),ROW(Create_TC_Web!$C$1:$C$500)),""),ROW(Create_TC_Web!M110))),"")</f>
        <v/>
      </c>
      <c r="M110" t="str" cm="1">
        <f t="array" ref="M110">IFERROR(INDEX(Create_TC_Web!P$1:P$500,SMALL(IF(Create_TC_Web!$C$1:$C$500&lt;&gt;"",MATCH(ROW(Create_TC_Web!$C$1:$C$500),ROW(Create_TC_Web!$C$1:$C$500)),""),ROW(Create_TC_Web!N110))),"")</f>
        <v/>
      </c>
      <c r="N110">
        <f>Create_TC_Web!CA119</f>
        <v>0</v>
      </c>
      <c r="O110" t="str">
        <f t="shared" si="7"/>
        <v/>
      </c>
      <c r="P110" s="17">
        <f>Create_TC_Web!CI97</f>
        <v>0</v>
      </c>
      <c r="Q110" t="str">
        <f>IF(TestData!CB110&lt;&gt;0,TestData!CB110,"")</f>
        <v/>
      </c>
      <c r="S110" t="str">
        <f t="shared" si="9"/>
        <v/>
      </c>
    </row>
    <row r="111" spans="1:19">
      <c r="A111" t="str" cm="1">
        <f t="array" ref="A111">IFERROR(INDEX(Create_TC_Web!D$1:D$500,SMALL(IF(Create_TC_Web!$C$1:$C$500&lt;&gt;"",MATCH(ROW(Create_TC_Web!$C$1:$C$500),ROW(Create_TC_Web!$C$1:$C$500)),""),ROW(Create_TC_Web!B111))),"")</f>
        <v/>
      </c>
      <c r="B111" t="str" cm="1">
        <f t="array" ref="B111">SUBSTITUTE(SUBSTITUTE(SUBSTITUTE(IFERROR(INDEX(Create_TC_Web!E$1:E$505,SMALL(IF(Create_TC_Web!$C$1:$C$505&lt;&gt;"",MATCH(ROW(Create_TC_Web!$C$1:$C$505),ROW(Create_TC_Web!$C$1:$C$505)),""),ROW(Create_TC_Web!C111))),"")," ",""),"-",""),"_","")</f>
        <v/>
      </c>
      <c r="C111" t="str" cm="1">
        <f t="array" ref="C111">IFERROR(INDEX(Create_TC_Web!F$1:F$500,SMALL(IF(Create_TC_Web!$C$1:$C$500&lt;&gt;"",MATCH(ROW(Create_TC_Web!$C$1:$C$500),ROW(Create_TC_Web!$C$1:$C$500)),""),ROW(Create_TC_Web!D111))),"")</f>
        <v/>
      </c>
      <c r="D111" t="str" cm="1">
        <f t="array" ref="D111">IFERROR(INDEX(Create_TC_Web!G$1:G$500,SMALL(IF(Create_TC_Web!$C$1:$C$500&lt;&gt;"",MATCH(ROW(Create_TC_Web!$C$1:$C$500),ROW(Create_TC_Web!$C$1:$C$500)),""),ROW(Create_TC_Web!E111))),"")</f>
        <v/>
      </c>
      <c r="E111" t="str" cm="1">
        <f t="array" ref="E111">IFERROR(INDEX(Create_TC_Web!H$1:H$500,SMALL(IF(Create_TC_Web!$C$1:$C$500&lt;&gt;"",MATCH(ROW(Create_TC_Web!$C$1:$C$500),ROW(Create_TC_Web!$C$1:$C$500)),""),ROW(Create_TC_Web!F111))),"")</f>
        <v/>
      </c>
      <c r="F111" t="str" cm="1">
        <f t="array" ref="F111">IFERROR(INDEX(Create_TC_Web!I$1:I$500,SMALL(IF(Create_TC_Web!$C$1:$C$500&lt;&gt;"",MATCH(ROW(Create_TC_Web!$C$1:$C$500),ROW(Create_TC_Web!$C$1:$C$500)),""),ROW(Create_TC_Web!G111))),"")</f>
        <v/>
      </c>
      <c r="G111" t="str" cm="1">
        <f t="array" ref="G111">IFERROR(INDEX(Create_TC_Web!J$1:J$500,SMALL(IF(Create_TC_Web!$C$1:$C$500&lt;&gt;"",MATCH(ROW(Create_TC_Web!$C$1:$C$500),ROW(Create_TC_Web!$C$1:$C$500)),""),ROW(Create_TC_Web!H111))),"")</f>
        <v/>
      </c>
      <c r="H111" t="str" cm="1">
        <f t="array" ref="H111">IFERROR(INDEX(Create_TC_Web!K$1:K$500,SMALL(IF(Create_TC_Web!$C$1:$C$500&lt;&gt;"",MATCH(ROW(Create_TC_Web!$C$1:$C$500),ROW(Create_TC_Web!$C$1:$C$500)),""),ROW(Create_TC_Web!I111))),"")</f>
        <v/>
      </c>
      <c r="I111" t="str" cm="1">
        <f t="array" ref="I111">IFERROR(INDEX(Create_TC_Web!L$1:L$500,SMALL(IF(Create_TC_Web!$C$1:$C$500&lt;&gt;"",MATCH(ROW(Create_TC_Web!$C$1:$C$500),ROW(Create_TC_Web!$C$1:$C$500)),""),ROW(Create_TC_Web!J111))),"")</f>
        <v/>
      </c>
      <c r="J111" t="str" cm="1">
        <f t="array" ref="J111">IFERROR(INDEX(Create_TC_Web!M$1:M$500,SMALL(IF(Create_TC_Web!$C$1:$C$500&lt;&gt;"",MATCH(ROW(Create_TC_Web!$C$1:$C$500),ROW(Create_TC_Web!$C$1:$C$500)),""),ROW(Create_TC_Web!K111))),"")</f>
        <v/>
      </c>
      <c r="K111" t="str" cm="1">
        <f t="array" ref="K111">IFERROR(INDEX(Create_TC_Web!N$1:N$500,SMALL(IF(Create_TC_Web!$C$1:$C$500&lt;&gt;"",MATCH(ROW(Create_TC_Web!$C$1:$C$500),ROW(Create_TC_Web!$C$1:$C$500)),""),ROW(Create_TC_Web!L111))),"")</f>
        <v/>
      </c>
      <c r="L111" t="str" cm="1">
        <f t="array" ref="L111">IFERROR(INDEX(Create_TC_Web!O$1:O$500,SMALL(IF(Create_TC_Web!$C$1:$C$500&lt;&gt;"",MATCH(ROW(Create_TC_Web!$C$1:$C$500),ROW(Create_TC_Web!$C$1:$C$500)),""),ROW(Create_TC_Web!M111))),"")</f>
        <v/>
      </c>
      <c r="M111" t="str" cm="1">
        <f t="array" ref="M111">IFERROR(INDEX(Create_TC_Web!P$1:P$500,SMALL(IF(Create_TC_Web!$C$1:$C$500&lt;&gt;"",MATCH(ROW(Create_TC_Web!$C$1:$C$500),ROW(Create_TC_Web!$C$1:$C$500)),""),ROW(Create_TC_Web!N111))),"")</f>
        <v/>
      </c>
      <c r="N111">
        <f>Create_TC_Web!CA120</f>
        <v>0</v>
      </c>
      <c r="O111" t="str">
        <f t="shared" si="7"/>
        <v/>
      </c>
      <c r="P111" s="17">
        <f>Create_TC_Web!CI98</f>
        <v>0</v>
      </c>
      <c r="Q111" t="str">
        <f>IF(TestData!CB111&lt;&gt;0,TestData!CB111,"")</f>
        <v/>
      </c>
      <c r="S111" t="str">
        <f t="shared" si="9"/>
        <v/>
      </c>
    </row>
    <row r="112" spans="1:19">
      <c r="A112" t="str" cm="1">
        <f t="array" ref="A112">IFERROR(INDEX(Create_TC_Web!D$1:D$500,SMALL(IF(Create_TC_Web!$C$1:$C$500&lt;&gt;"",MATCH(ROW(Create_TC_Web!$C$1:$C$500),ROW(Create_TC_Web!$C$1:$C$500)),""),ROW(Create_TC_Web!B112))),"")</f>
        <v/>
      </c>
      <c r="B112" t="str" cm="1">
        <f t="array" ref="B112">SUBSTITUTE(SUBSTITUTE(SUBSTITUTE(IFERROR(INDEX(Create_TC_Web!E$1:E$505,SMALL(IF(Create_TC_Web!$C$1:$C$505&lt;&gt;"",MATCH(ROW(Create_TC_Web!$C$1:$C$505),ROW(Create_TC_Web!$C$1:$C$505)),""),ROW(Create_TC_Web!C112))),"")," ",""),"-",""),"_","")</f>
        <v/>
      </c>
      <c r="C112" t="str" cm="1">
        <f t="array" ref="C112">IFERROR(INDEX(Create_TC_Web!F$1:F$500,SMALL(IF(Create_TC_Web!$C$1:$C$500&lt;&gt;"",MATCH(ROW(Create_TC_Web!$C$1:$C$500),ROW(Create_TC_Web!$C$1:$C$500)),""),ROW(Create_TC_Web!D112))),"")</f>
        <v/>
      </c>
      <c r="D112" t="str" cm="1">
        <f t="array" ref="D112">IFERROR(INDEX(Create_TC_Web!G$1:G$500,SMALL(IF(Create_TC_Web!$C$1:$C$500&lt;&gt;"",MATCH(ROW(Create_TC_Web!$C$1:$C$500),ROW(Create_TC_Web!$C$1:$C$500)),""),ROW(Create_TC_Web!E112))),"")</f>
        <v/>
      </c>
      <c r="E112" t="str" cm="1">
        <f t="array" ref="E112">IFERROR(INDEX(Create_TC_Web!H$1:H$500,SMALL(IF(Create_TC_Web!$C$1:$C$500&lt;&gt;"",MATCH(ROW(Create_TC_Web!$C$1:$C$500),ROW(Create_TC_Web!$C$1:$C$500)),""),ROW(Create_TC_Web!F112))),"")</f>
        <v/>
      </c>
      <c r="F112" t="str" cm="1">
        <f t="array" ref="F112">IFERROR(INDEX(Create_TC_Web!I$1:I$500,SMALL(IF(Create_TC_Web!$C$1:$C$500&lt;&gt;"",MATCH(ROW(Create_TC_Web!$C$1:$C$500),ROW(Create_TC_Web!$C$1:$C$500)),""),ROW(Create_TC_Web!G112))),"")</f>
        <v/>
      </c>
      <c r="G112" t="str" cm="1">
        <f t="array" ref="G112">IFERROR(INDEX(Create_TC_Web!J$1:J$500,SMALL(IF(Create_TC_Web!$C$1:$C$500&lt;&gt;"",MATCH(ROW(Create_TC_Web!$C$1:$C$500),ROW(Create_TC_Web!$C$1:$C$500)),""),ROW(Create_TC_Web!H112))),"")</f>
        <v/>
      </c>
      <c r="H112" t="str" cm="1">
        <f t="array" ref="H112">IFERROR(INDEX(Create_TC_Web!K$1:K$500,SMALL(IF(Create_TC_Web!$C$1:$C$500&lt;&gt;"",MATCH(ROW(Create_TC_Web!$C$1:$C$500),ROW(Create_TC_Web!$C$1:$C$500)),""),ROW(Create_TC_Web!I112))),"")</f>
        <v/>
      </c>
      <c r="I112" t="str" cm="1">
        <f t="array" ref="I112">IFERROR(INDEX(Create_TC_Web!L$1:L$500,SMALL(IF(Create_TC_Web!$C$1:$C$500&lt;&gt;"",MATCH(ROW(Create_TC_Web!$C$1:$C$500),ROW(Create_TC_Web!$C$1:$C$500)),""),ROW(Create_TC_Web!J112))),"")</f>
        <v/>
      </c>
      <c r="J112" t="str" cm="1">
        <f t="array" ref="J112">IFERROR(INDEX(Create_TC_Web!M$1:M$500,SMALL(IF(Create_TC_Web!$C$1:$C$500&lt;&gt;"",MATCH(ROW(Create_TC_Web!$C$1:$C$500),ROW(Create_TC_Web!$C$1:$C$500)),""),ROW(Create_TC_Web!K112))),"")</f>
        <v/>
      </c>
      <c r="K112" t="str" cm="1">
        <f t="array" ref="K112">IFERROR(INDEX(Create_TC_Web!N$1:N$500,SMALL(IF(Create_TC_Web!$C$1:$C$500&lt;&gt;"",MATCH(ROW(Create_TC_Web!$C$1:$C$500),ROW(Create_TC_Web!$C$1:$C$500)),""),ROW(Create_TC_Web!L112))),"")</f>
        <v/>
      </c>
      <c r="L112" t="str" cm="1">
        <f t="array" ref="L112">IFERROR(INDEX(Create_TC_Web!O$1:O$500,SMALL(IF(Create_TC_Web!$C$1:$C$500&lt;&gt;"",MATCH(ROW(Create_TC_Web!$C$1:$C$500),ROW(Create_TC_Web!$C$1:$C$500)),""),ROW(Create_TC_Web!M112))),"")</f>
        <v/>
      </c>
      <c r="M112" t="str" cm="1">
        <f t="array" ref="M112">IFERROR(INDEX(Create_TC_Web!P$1:P$500,SMALL(IF(Create_TC_Web!$C$1:$C$500&lt;&gt;"",MATCH(ROW(Create_TC_Web!$C$1:$C$500),ROW(Create_TC_Web!$C$1:$C$500)),""),ROW(Create_TC_Web!N112))),"")</f>
        <v/>
      </c>
      <c r="N112">
        <f>Create_TC_Web!CA121</f>
        <v>0</v>
      </c>
      <c r="O112" t="str">
        <f t="shared" si="7"/>
        <v/>
      </c>
      <c r="P112" s="17">
        <f>Create_TC_Web!CI99</f>
        <v>0</v>
      </c>
      <c r="Q112" t="str">
        <f>IF(TestData!CB112&lt;&gt;0,TestData!CB112,"")</f>
        <v/>
      </c>
      <c r="S112" t="str">
        <f t="shared" si="9"/>
        <v/>
      </c>
    </row>
    <row r="113" spans="1:19">
      <c r="A113" t="str" cm="1">
        <f t="array" ref="A113">IFERROR(INDEX(Create_TC_Web!D$1:D$500,SMALL(IF(Create_TC_Web!$C$1:$C$500&lt;&gt;"",MATCH(ROW(Create_TC_Web!$C$1:$C$500),ROW(Create_TC_Web!$C$1:$C$500)),""),ROW(Create_TC_Web!B113))),"")</f>
        <v/>
      </c>
      <c r="B113" t="str" cm="1">
        <f t="array" ref="B113">SUBSTITUTE(SUBSTITUTE(SUBSTITUTE(IFERROR(INDEX(Create_TC_Web!E$1:E$505,SMALL(IF(Create_TC_Web!$C$1:$C$505&lt;&gt;"",MATCH(ROW(Create_TC_Web!$C$1:$C$505),ROW(Create_TC_Web!$C$1:$C$505)),""),ROW(Create_TC_Web!C113))),"")," ",""),"-",""),"_","")</f>
        <v/>
      </c>
      <c r="C113" t="str" cm="1">
        <f t="array" ref="C113">IFERROR(INDEX(Create_TC_Web!F$1:F$500,SMALL(IF(Create_TC_Web!$C$1:$C$500&lt;&gt;"",MATCH(ROW(Create_TC_Web!$C$1:$C$500),ROW(Create_TC_Web!$C$1:$C$500)),""),ROW(Create_TC_Web!D113))),"")</f>
        <v/>
      </c>
      <c r="D113" t="str" cm="1">
        <f t="array" ref="D113">IFERROR(INDEX(Create_TC_Web!G$1:G$500,SMALL(IF(Create_TC_Web!$C$1:$C$500&lt;&gt;"",MATCH(ROW(Create_TC_Web!$C$1:$C$500),ROW(Create_TC_Web!$C$1:$C$500)),""),ROW(Create_TC_Web!E113))),"")</f>
        <v/>
      </c>
      <c r="E113" t="str" cm="1">
        <f t="array" ref="E113">IFERROR(INDEX(Create_TC_Web!H$1:H$500,SMALL(IF(Create_TC_Web!$C$1:$C$500&lt;&gt;"",MATCH(ROW(Create_TC_Web!$C$1:$C$500),ROW(Create_TC_Web!$C$1:$C$500)),""),ROW(Create_TC_Web!F113))),"")</f>
        <v/>
      </c>
      <c r="F113" t="str" cm="1">
        <f t="array" ref="F113">IFERROR(INDEX(Create_TC_Web!I$1:I$500,SMALL(IF(Create_TC_Web!$C$1:$C$500&lt;&gt;"",MATCH(ROW(Create_TC_Web!$C$1:$C$500),ROW(Create_TC_Web!$C$1:$C$500)),""),ROW(Create_TC_Web!G113))),"")</f>
        <v/>
      </c>
      <c r="G113" t="str" cm="1">
        <f t="array" ref="G113">IFERROR(INDEX(Create_TC_Web!J$1:J$500,SMALL(IF(Create_TC_Web!$C$1:$C$500&lt;&gt;"",MATCH(ROW(Create_TC_Web!$C$1:$C$500),ROW(Create_TC_Web!$C$1:$C$500)),""),ROW(Create_TC_Web!H113))),"")</f>
        <v/>
      </c>
      <c r="H113" t="str" cm="1">
        <f t="array" ref="H113">IFERROR(INDEX(Create_TC_Web!K$1:K$500,SMALL(IF(Create_TC_Web!$C$1:$C$500&lt;&gt;"",MATCH(ROW(Create_TC_Web!$C$1:$C$500),ROW(Create_TC_Web!$C$1:$C$500)),""),ROW(Create_TC_Web!I113))),"")</f>
        <v/>
      </c>
      <c r="I113" t="str" cm="1">
        <f t="array" ref="I113">IFERROR(INDEX(Create_TC_Web!L$1:L$500,SMALL(IF(Create_TC_Web!$C$1:$C$500&lt;&gt;"",MATCH(ROW(Create_TC_Web!$C$1:$C$500),ROW(Create_TC_Web!$C$1:$C$500)),""),ROW(Create_TC_Web!J113))),"")</f>
        <v/>
      </c>
      <c r="J113" t="str" cm="1">
        <f t="array" ref="J113">IFERROR(INDEX(Create_TC_Web!M$1:M$500,SMALL(IF(Create_TC_Web!$C$1:$C$500&lt;&gt;"",MATCH(ROW(Create_TC_Web!$C$1:$C$500),ROW(Create_TC_Web!$C$1:$C$500)),""),ROW(Create_TC_Web!K113))),"")</f>
        <v/>
      </c>
      <c r="K113" t="str" cm="1">
        <f t="array" ref="K113">IFERROR(INDEX(Create_TC_Web!N$1:N$500,SMALL(IF(Create_TC_Web!$C$1:$C$500&lt;&gt;"",MATCH(ROW(Create_TC_Web!$C$1:$C$500),ROW(Create_TC_Web!$C$1:$C$500)),""),ROW(Create_TC_Web!L113))),"")</f>
        <v/>
      </c>
      <c r="L113" t="str" cm="1">
        <f t="array" ref="L113">IFERROR(INDEX(Create_TC_Web!O$1:O$500,SMALL(IF(Create_TC_Web!$C$1:$C$500&lt;&gt;"",MATCH(ROW(Create_TC_Web!$C$1:$C$500),ROW(Create_TC_Web!$C$1:$C$500)),""),ROW(Create_TC_Web!M113))),"")</f>
        <v/>
      </c>
      <c r="M113" t="str" cm="1">
        <f t="array" ref="M113">IFERROR(INDEX(Create_TC_Web!P$1:P$500,SMALL(IF(Create_TC_Web!$C$1:$C$500&lt;&gt;"",MATCH(ROW(Create_TC_Web!$C$1:$C$500),ROW(Create_TC_Web!$C$1:$C$500)),""),ROW(Create_TC_Web!N113))),"")</f>
        <v/>
      </c>
      <c r="N113">
        <f>Create_TC_Web!CA122</f>
        <v>0</v>
      </c>
      <c r="O113" t="str">
        <f t="shared" si="7"/>
        <v/>
      </c>
      <c r="P113" s="17">
        <f>Create_TC_Web!CI100</f>
        <v>0</v>
      </c>
      <c r="Q113" t="str">
        <f>IF(TestData!CB113&lt;&gt;0,TestData!CB113,"")</f>
        <v/>
      </c>
      <c r="S113" t="str">
        <f t="shared" si="9"/>
        <v/>
      </c>
    </row>
    <row r="114" spans="1:19">
      <c r="A114" t="str" cm="1">
        <f t="array" ref="A114">IFERROR(INDEX(Create_TC_Web!D$1:D$500,SMALL(IF(Create_TC_Web!$C$1:$C$500&lt;&gt;"",MATCH(ROW(Create_TC_Web!$C$1:$C$500),ROW(Create_TC_Web!$C$1:$C$500)),""),ROW(Create_TC_Web!B114))),"")</f>
        <v/>
      </c>
      <c r="B114" t="str" cm="1">
        <f t="array" ref="B114">SUBSTITUTE(SUBSTITUTE(SUBSTITUTE(IFERROR(INDEX(Create_TC_Web!E$1:E$505,SMALL(IF(Create_TC_Web!$C$1:$C$505&lt;&gt;"",MATCH(ROW(Create_TC_Web!$C$1:$C$505),ROW(Create_TC_Web!$C$1:$C$505)),""),ROW(Create_TC_Web!C114))),"")," ",""),"-",""),"_","")</f>
        <v/>
      </c>
      <c r="C114" t="str" cm="1">
        <f t="array" ref="C114">IFERROR(INDEX(Create_TC_Web!F$1:F$500,SMALL(IF(Create_TC_Web!$C$1:$C$500&lt;&gt;"",MATCH(ROW(Create_TC_Web!$C$1:$C$500),ROW(Create_TC_Web!$C$1:$C$500)),""),ROW(Create_TC_Web!D114))),"")</f>
        <v/>
      </c>
      <c r="D114" t="str" cm="1">
        <f t="array" ref="D114">IFERROR(INDEX(Create_TC_Web!G$1:G$500,SMALL(IF(Create_TC_Web!$C$1:$C$500&lt;&gt;"",MATCH(ROW(Create_TC_Web!$C$1:$C$500),ROW(Create_TC_Web!$C$1:$C$500)),""),ROW(Create_TC_Web!E114))),"")</f>
        <v/>
      </c>
      <c r="E114" t="str" cm="1">
        <f t="array" ref="E114">IFERROR(INDEX(Create_TC_Web!H$1:H$500,SMALL(IF(Create_TC_Web!$C$1:$C$500&lt;&gt;"",MATCH(ROW(Create_TC_Web!$C$1:$C$500),ROW(Create_TC_Web!$C$1:$C$500)),""),ROW(Create_TC_Web!F114))),"")</f>
        <v/>
      </c>
      <c r="F114" t="str" cm="1">
        <f t="array" ref="F114">IFERROR(INDEX(Create_TC_Web!I$1:I$500,SMALL(IF(Create_TC_Web!$C$1:$C$500&lt;&gt;"",MATCH(ROW(Create_TC_Web!$C$1:$C$500),ROW(Create_TC_Web!$C$1:$C$500)),""),ROW(Create_TC_Web!G114))),"")</f>
        <v/>
      </c>
      <c r="G114" t="str" cm="1">
        <f t="array" ref="G114">IFERROR(INDEX(Create_TC_Web!J$1:J$500,SMALL(IF(Create_TC_Web!$C$1:$C$500&lt;&gt;"",MATCH(ROW(Create_TC_Web!$C$1:$C$500),ROW(Create_TC_Web!$C$1:$C$500)),""),ROW(Create_TC_Web!H114))),"")</f>
        <v/>
      </c>
      <c r="H114" t="str" cm="1">
        <f t="array" ref="H114">IFERROR(INDEX(Create_TC_Web!K$1:K$500,SMALL(IF(Create_TC_Web!$C$1:$C$500&lt;&gt;"",MATCH(ROW(Create_TC_Web!$C$1:$C$500),ROW(Create_TC_Web!$C$1:$C$500)),""),ROW(Create_TC_Web!I114))),"")</f>
        <v/>
      </c>
      <c r="I114" t="str" cm="1">
        <f t="array" ref="I114">IFERROR(INDEX(Create_TC_Web!L$1:L$500,SMALL(IF(Create_TC_Web!$C$1:$C$500&lt;&gt;"",MATCH(ROW(Create_TC_Web!$C$1:$C$500),ROW(Create_TC_Web!$C$1:$C$500)),""),ROW(Create_TC_Web!J114))),"")</f>
        <v/>
      </c>
      <c r="J114" t="str" cm="1">
        <f t="array" ref="J114">IFERROR(INDEX(Create_TC_Web!M$1:M$500,SMALL(IF(Create_TC_Web!$C$1:$C$500&lt;&gt;"",MATCH(ROW(Create_TC_Web!$C$1:$C$500),ROW(Create_TC_Web!$C$1:$C$500)),""),ROW(Create_TC_Web!K114))),"")</f>
        <v/>
      </c>
      <c r="K114" t="str" cm="1">
        <f t="array" ref="K114">IFERROR(INDEX(Create_TC_Web!N$1:N$500,SMALL(IF(Create_TC_Web!$C$1:$C$500&lt;&gt;"",MATCH(ROW(Create_TC_Web!$C$1:$C$500),ROW(Create_TC_Web!$C$1:$C$500)),""),ROW(Create_TC_Web!L114))),"")</f>
        <v/>
      </c>
      <c r="L114" t="str" cm="1">
        <f t="array" ref="L114">IFERROR(INDEX(Create_TC_Web!O$1:O$500,SMALL(IF(Create_TC_Web!$C$1:$C$500&lt;&gt;"",MATCH(ROW(Create_TC_Web!$C$1:$C$500),ROW(Create_TC_Web!$C$1:$C$500)),""),ROW(Create_TC_Web!M114))),"")</f>
        <v/>
      </c>
      <c r="M114" t="str" cm="1">
        <f t="array" ref="M114">IFERROR(INDEX(Create_TC_Web!P$1:P$500,SMALL(IF(Create_TC_Web!$C$1:$C$500&lt;&gt;"",MATCH(ROW(Create_TC_Web!$C$1:$C$500),ROW(Create_TC_Web!$C$1:$C$500)),""),ROW(Create_TC_Web!N114))),"")</f>
        <v/>
      </c>
      <c r="N114">
        <f>Create_TC_Web!CA123</f>
        <v>0</v>
      </c>
      <c r="O114" t="str">
        <f t="shared" si="7"/>
        <v/>
      </c>
      <c r="P114" s="17">
        <f>Create_TC_Web!CI101</f>
        <v>0</v>
      </c>
      <c r="Q114" t="str">
        <f>IF(TestData!CB114&lt;&gt;0,TestData!CB114,"")</f>
        <v/>
      </c>
      <c r="S114" t="str">
        <f t="shared" si="9"/>
        <v/>
      </c>
    </row>
    <row r="115" spans="1:19">
      <c r="A115" t="str" cm="1">
        <f t="array" ref="A115">IFERROR(INDEX(Create_TC_Web!D$1:D$500,SMALL(IF(Create_TC_Web!$C$1:$C$500&lt;&gt;"",MATCH(ROW(Create_TC_Web!$C$1:$C$500),ROW(Create_TC_Web!$C$1:$C$500)),""),ROW(Create_TC_Web!B115))),"")</f>
        <v/>
      </c>
      <c r="B115" t="str" cm="1">
        <f t="array" ref="B115">SUBSTITUTE(SUBSTITUTE(SUBSTITUTE(IFERROR(INDEX(Create_TC_Web!E$1:E$505,SMALL(IF(Create_TC_Web!$C$1:$C$505&lt;&gt;"",MATCH(ROW(Create_TC_Web!$C$1:$C$505),ROW(Create_TC_Web!$C$1:$C$505)),""),ROW(Create_TC_Web!C115))),"")," ",""),"-",""),"_","")</f>
        <v/>
      </c>
      <c r="C115" t="str" cm="1">
        <f t="array" ref="C115">IFERROR(INDEX(Create_TC_Web!F$1:F$500,SMALL(IF(Create_TC_Web!$C$1:$C$500&lt;&gt;"",MATCH(ROW(Create_TC_Web!$C$1:$C$500),ROW(Create_TC_Web!$C$1:$C$500)),""),ROW(Create_TC_Web!D115))),"")</f>
        <v/>
      </c>
      <c r="D115" t="str" cm="1">
        <f t="array" ref="D115">IFERROR(INDEX(Create_TC_Web!G$1:G$500,SMALL(IF(Create_TC_Web!$C$1:$C$500&lt;&gt;"",MATCH(ROW(Create_TC_Web!$C$1:$C$500),ROW(Create_TC_Web!$C$1:$C$500)),""),ROW(Create_TC_Web!E115))),"")</f>
        <v/>
      </c>
      <c r="E115" t="str" cm="1">
        <f t="array" ref="E115">IFERROR(INDEX(Create_TC_Web!H$1:H$500,SMALL(IF(Create_TC_Web!$C$1:$C$500&lt;&gt;"",MATCH(ROW(Create_TC_Web!$C$1:$C$500),ROW(Create_TC_Web!$C$1:$C$500)),""),ROW(Create_TC_Web!F115))),"")</f>
        <v/>
      </c>
      <c r="F115" t="str" cm="1">
        <f t="array" ref="F115">IFERROR(INDEX(Create_TC_Web!I$1:I$500,SMALL(IF(Create_TC_Web!$C$1:$C$500&lt;&gt;"",MATCH(ROW(Create_TC_Web!$C$1:$C$500),ROW(Create_TC_Web!$C$1:$C$500)),""),ROW(Create_TC_Web!G115))),"")</f>
        <v/>
      </c>
      <c r="G115" t="str" cm="1">
        <f t="array" ref="G115">IFERROR(INDEX(Create_TC_Web!J$1:J$500,SMALL(IF(Create_TC_Web!$C$1:$C$500&lt;&gt;"",MATCH(ROW(Create_TC_Web!$C$1:$C$500),ROW(Create_TC_Web!$C$1:$C$500)),""),ROW(Create_TC_Web!H115))),"")</f>
        <v/>
      </c>
      <c r="H115" t="str" cm="1">
        <f t="array" ref="H115">IFERROR(INDEX(Create_TC_Web!K$1:K$500,SMALL(IF(Create_TC_Web!$C$1:$C$500&lt;&gt;"",MATCH(ROW(Create_TC_Web!$C$1:$C$500),ROW(Create_TC_Web!$C$1:$C$500)),""),ROW(Create_TC_Web!I115))),"")</f>
        <v/>
      </c>
      <c r="I115" t="str" cm="1">
        <f t="array" ref="I115">IFERROR(INDEX(Create_TC_Web!L$1:L$500,SMALL(IF(Create_TC_Web!$C$1:$C$500&lt;&gt;"",MATCH(ROW(Create_TC_Web!$C$1:$C$500),ROW(Create_TC_Web!$C$1:$C$500)),""),ROW(Create_TC_Web!J115))),"")</f>
        <v/>
      </c>
      <c r="J115" t="str" cm="1">
        <f t="array" ref="J115">IFERROR(INDEX(Create_TC_Web!M$1:M$500,SMALL(IF(Create_TC_Web!$C$1:$C$500&lt;&gt;"",MATCH(ROW(Create_TC_Web!$C$1:$C$500),ROW(Create_TC_Web!$C$1:$C$500)),""),ROW(Create_TC_Web!K115))),"")</f>
        <v/>
      </c>
      <c r="K115" t="str" cm="1">
        <f t="array" ref="K115">IFERROR(INDEX(Create_TC_Web!N$1:N$500,SMALL(IF(Create_TC_Web!$C$1:$C$500&lt;&gt;"",MATCH(ROW(Create_TC_Web!$C$1:$C$500),ROW(Create_TC_Web!$C$1:$C$500)),""),ROW(Create_TC_Web!L115))),"")</f>
        <v/>
      </c>
      <c r="L115" t="str" cm="1">
        <f t="array" ref="L115">IFERROR(INDEX(Create_TC_Web!O$1:O$500,SMALL(IF(Create_TC_Web!$C$1:$C$500&lt;&gt;"",MATCH(ROW(Create_TC_Web!$C$1:$C$500),ROW(Create_TC_Web!$C$1:$C$500)),""),ROW(Create_TC_Web!M115))),"")</f>
        <v/>
      </c>
      <c r="M115" t="str" cm="1">
        <f t="array" ref="M115">IFERROR(INDEX(Create_TC_Web!P$1:P$500,SMALL(IF(Create_TC_Web!$C$1:$C$500&lt;&gt;"",MATCH(ROW(Create_TC_Web!$C$1:$C$500),ROW(Create_TC_Web!$C$1:$C$500)),""),ROW(Create_TC_Web!N115))),"")</f>
        <v/>
      </c>
      <c r="N115">
        <f>Create_TC_Web!CA124</f>
        <v>0</v>
      </c>
      <c r="O115" t="str">
        <f t="shared" si="7"/>
        <v/>
      </c>
      <c r="P115" s="17">
        <f>Create_TC_Web!CI102</f>
        <v>0</v>
      </c>
      <c r="Q115" t="str">
        <f>IF(TestData!CB115&lt;&gt;0,TestData!CB115,"")</f>
        <v/>
      </c>
      <c r="S115" t="str">
        <f t="shared" si="9"/>
        <v/>
      </c>
    </row>
    <row r="116" spans="1:19">
      <c r="A116" t="str" cm="1">
        <f t="array" ref="A116">IFERROR(INDEX(Create_TC_Web!D$1:D$500,SMALL(IF(Create_TC_Web!$C$1:$C$500&lt;&gt;"",MATCH(ROW(Create_TC_Web!$C$1:$C$500),ROW(Create_TC_Web!$C$1:$C$500)),""),ROW(Create_TC_Web!B116))),"")</f>
        <v/>
      </c>
      <c r="B116" t="str" cm="1">
        <f t="array" ref="B116">SUBSTITUTE(SUBSTITUTE(SUBSTITUTE(IFERROR(INDEX(Create_TC_Web!E$1:E$505,SMALL(IF(Create_TC_Web!$C$1:$C$505&lt;&gt;"",MATCH(ROW(Create_TC_Web!$C$1:$C$505),ROW(Create_TC_Web!$C$1:$C$505)),""),ROW(Create_TC_Web!C116))),"")," ",""),"-",""),"_","")</f>
        <v/>
      </c>
      <c r="C116" t="str" cm="1">
        <f t="array" ref="C116">IFERROR(INDEX(Create_TC_Web!F$1:F$500,SMALL(IF(Create_TC_Web!$C$1:$C$500&lt;&gt;"",MATCH(ROW(Create_TC_Web!$C$1:$C$500),ROW(Create_TC_Web!$C$1:$C$500)),""),ROW(Create_TC_Web!D116))),"")</f>
        <v/>
      </c>
      <c r="D116" t="str" cm="1">
        <f t="array" ref="D116">IFERROR(INDEX(Create_TC_Web!G$1:G$500,SMALL(IF(Create_TC_Web!$C$1:$C$500&lt;&gt;"",MATCH(ROW(Create_TC_Web!$C$1:$C$500),ROW(Create_TC_Web!$C$1:$C$500)),""),ROW(Create_TC_Web!E116))),"")</f>
        <v/>
      </c>
      <c r="E116" t="str" cm="1">
        <f t="array" ref="E116">IFERROR(INDEX(Create_TC_Web!H$1:H$500,SMALL(IF(Create_TC_Web!$C$1:$C$500&lt;&gt;"",MATCH(ROW(Create_TC_Web!$C$1:$C$500),ROW(Create_TC_Web!$C$1:$C$500)),""),ROW(Create_TC_Web!F116))),"")</f>
        <v/>
      </c>
      <c r="F116" t="str" cm="1">
        <f t="array" ref="F116">IFERROR(INDEX(Create_TC_Web!I$1:I$500,SMALL(IF(Create_TC_Web!$C$1:$C$500&lt;&gt;"",MATCH(ROW(Create_TC_Web!$C$1:$C$500),ROW(Create_TC_Web!$C$1:$C$500)),""),ROW(Create_TC_Web!G116))),"")</f>
        <v/>
      </c>
      <c r="G116" t="str" cm="1">
        <f t="array" ref="G116">IFERROR(INDEX(Create_TC_Web!J$1:J$500,SMALL(IF(Create_TC_Web!$C$1:$C$500&lt;&gt;"",MATCH(ROW(Create_TC_Web!$C$1:$C$500),ROW(Create_TC_Web!$C$1:$C$500)),""),ROW(Create_TC_Web!H116))),"")</f>
        <v/>
      </c>
      <c r="H116" t="str" cm="1">
        <f t="array" ref="H116">IFERROR(INDEX(Create_TC_Web!K$1:K$500,SMALL(IF(Create_TC_Web!$C$1:$C$500&lt;&gt;"",MATCH(ROW(Create_TC_Web!$C$1:$C$500),ROW(Create_TC_Web!$C$1:$C$500)),""),ROW(Create_TC_Web!I116))),"")</f>
        <v/>
      </c>
      <c r="I116" t="str" cm="1">
        <f t="array" ref="I116">IFERROR(INDEX(Create_TC_Web!L$1:L$500,SMALL(IF(Create_TC_Web!$C$1:$C$500&lt;&gt;"",MATCH(ROW(Create_TC_Web!$C$1:$C$500),ROW(Create_TC_Web!$C$1:$C$500)),""),ROW(Create_TC_Web!J116))),"")</f>
        <v/>
      </c>
      <c r="J116" t="str" cm="1">
        <f t="array" ref="J116">IFERROR(INDEX(Create_TC_Web!M$1:M$500,SMALL(IF(Create_TC_Web!$C$1:$C$500&lt;&gt;"",MATCH(ROW(Create_TC_Web!$C$1:$C$500),ROW(Create_TC_Web!$C$1:$C$500)),""),ROW(Create_TC_Web!K116))),"")</f>
        <v/>
      </c>
      <c r="K116" t="str" cm="1">
        <f t="array" ref="K116">IFERROR(INDEX(Create_TC_Web!N$1:N$500,SMALL(IF(Create_TC_Web!$C$1:$C$500&lt;&gt;"",MATCH(ROW(Create_TC_Web!$C$1:$C$500),ROW(Create_TC_Web!$C$1:$C$500)),""),ROW(Create_TC_Web!L116))),"")</f>
        <v/>
      </c>
      <c r="L116" t="str" cm="1">
        <f t="array" ref="L116">IFERROR(INDEX(Create_TC_Web!O$1:O$500,SMALL(IF(Create_TC_Web!$C$1:$C$500&lt;&gt;"",MATCH(ROW(Create_TC_Web!$C$1:$C$500),ROW(Create_TC_Web!$C$1:$C$500)),""),ROW(Create_TC_Web!M116))),"")</f>
        <v/>
      </c>
      <c r="M116" t="str" cm="1">
        <f t="array" ref="M116">IFERROR(INDEX(Create_TC_Web!P$1:P$500,SMALL(IF(Create_TC_Web!$C$1:$C$500&lt;&gt;"",MATCH(ROW(Create_TC_Web!$C$1:$C$500),ROW(Create_TC_Web!$C$1:$C$500)),""),ROW(Create_TC_Web!N116))),"")</f>
        <v/>
      </c>
      <c r="N116">
        <f>Create_TC_Web!CA125</f>
        <v>0</v>
      </c>
      <c r="O116" t="str">
        <f t="shared" si="7"/>
        <v/>
      </c>
      <c r="P116" s="17">
        <f>Create_TC_Web!CI103</f>
        <v>0</v>
      </c>
      <c r="Q116" t="str">
        <f>IF(TestData!CB116&lt;&gt;0,TestData!CB116,"")</f>
        <v/>
      </c>
      <c r="S116" t="str">
        <f t="shared" si="9"/>
        <v/>
      </c>
    </row>
    <row r="117" spans="1:19">
      <c r="A117" t="str" cm="1">
        <f t="array" ref="A117">IFERROR(INDEX(Create_TC_Web!D$1:D$500,SMALL(IF(Create_TC_Web!$C$1:$C$500&lt;&gt;"",MATCH(ROW(Create_TC_Web!$C$1:$C$500),ROW(Create_TC_Web!$C$1:$C$500)),""),ROW(Create_TC_Web!B117))),"")</f>
        <v/>
      </c>
      <c r="B117" t="str" cm="1">
        <f t="array" ref="B117">SUBSTITUTE(SUBSTITUTE(SUBSTITUTE(IFERROR(INDEX(Create_TC_Web!E$1:E$505,SMALL(IF(Create_TC_Web!$C$1:$C$505&lt;&gt;"",MATCH(ROW(Create_TC_Web!$C$1:$C$505),ROW(Create_TC_Web!$C$1:$C$505)),""),ROW(Create_TC_Web!C117))),"")," ",""),"-",""),"_","")</f>
        <v/>
      </c>
      <c r="C117" t="str" cm="1">
        <f t="array" ref="C117">IFERROR(INDEX(Create_TC_Web!F$1:F$500,SMALL(IF(Create_TC_Web!$C$1:$C$500&lt;&gt;"",MATCH(ROW(Create_TC_Web!$C$1:$C$500),ROW(Create_TC_Web!$C$1:$C$500)),""),ROW(Create_TC_Web!D117))),"")</f>
        <v/>
      </c>
      <c r="D117" t="str" cm="1">
        <f t="array" ref="D117">IFERROR(INDEX(Create_TC_Web!G$1:G$500,SMALL(IF(Create_TC_Web!$C$1:$C$500&lt;&gt;"",MATCH(ROW(Create_TC_Web!$C$1:$C$500),ROW(Create_TC_Web!$C$1:$C$500)),""),ROW(Create_TC_Web!E117))),"")</f>
        <v/>
      </c>
      <c r="E117" t="str" cm="1">
        <f t="array" ref="E117">IFERROR(INDEX(Create_TC_Web!H$1:H$500,SMALL(IF(Create_TC_Web!$C$1:$C$500&lt;&gt;"",MATCH(ROW(Create_TC_Web!$C$1:$C$500),ROW(Create_TC_Web!$C$1:$C$500)),""),ROW(Create_TC_Web!F117))),"")</f>
        <v/>
      </c>
      <c r="F117" t="str" cm="1">
        <f t="array" ref="F117">IFERROR(INDEX(Create_TC_Web!I$1:I$500,SMALL(IF(Create_TC_Web!$C$1:$C$500&lt;&gt;"",MATCH(ROW(Create_TC_Web!$C$1:$C$500),ROW(Create_TC_Web!$C$1:$C$500)),""),ROW(Create_TC_Web!G117))),"")</f>
        <v/>
      </c>
      <c r="G117" t="str" cm="1">
        <f t="array" ref="G117">IFERROR(INDEX(Create_TC_Web!J$1:J$500,SMALL(IF(Create_TC_Web!$C$1:$C$500&lt;&gt;"",MATCH(ROW(Create_TC_Web!$C$1:$C$500),ROW(Create_TC_Web!$C$1:$C$500)),""),ROW(Create_TC_Web!H117))),"")</f>
        <v/>
      </c>
      <c r="H117" t="str" cm="1">
        <f t="array" ref="H117">IFERROR(INDEX(Create_TC_Web!K$1:K$500,SMALL(IF(Create_TC_Web!$C$1:$C$500&lt;&gt;"",MATCH(ROW(Create_TC_Web!$C$1:$C$500),ROW(Create_TC_Web!$C$1:$C$500)),""),ROW(Create_TC_Web!I117))),"")</f>
        <v/>
      </c>
      <c r="I117" t="str" cm="1">
        <f t="array" ref="I117">IFERROR(INDEX(Create_TC_Web!L$1:L$500,SMALL(IF(Create_TC_Web!$C$1:$C$500&lt;&gt;"",MATCH(ROW(Create_TC_Web!$C$1:$C$500),ROW(Create_TC_Web!$C$1:$C$500)),""),ROW(Create_TC_Web!J117))),"")</f>
        <v/>
      </c>
      <c r="J117" t="str" cm="1">
        <f t="array" ref="J117">IFERROR(INDEX(Create_TC_Web!M$1:M$500,SMALL(IF(Create_TC_Web!$C$1:$C$500&lt;&gt;"",MATCH(ROW(Create_TC_Web!$C$1:$C$500),ROW(Create_TC_Web!$C$1:$C$500)),""),ROW(Create_TC_Web!K117))),"")</f>
        <v/>
      </c>
      <c r="K117" t="str" cm="1">
        <f t="array" ref="K117">IFERROR(INDEX(Create_TC_Web!N$1:N$500,SMALL(IF(Create_TC_Web!$C$1:$C$500&lt;&gt;"",MATCH(ROW(Create_TC_Web!$C$1:$C$500),ROW(Create_TC_Web!$C$1:$C$500)),""),ROW(Create_TC_Web!L117))),"")</f>
        <v/>
      </c>
      <c r="L117" t="str" cm="1">
        <f t="array" ref="L117">IFERROR(INDEX(Create_TC_Web!O$1:O$500,SMALL(IF(Create_TC_Web!$C$1:$C$500&lt;&gt;"",MATCH(ROW(Create_TC_Web!$C$1:$C$500),ROW(Create_TC_Web!$C$1:$C$500)),""),ROW(Create_TC_Web!M117))),"")</f>
        <v/>
      </c>
      <c r="M117" t="str" cm="1">
        <f t="array" ref="M117">IFERROR(INDEX(Create_TC_Web!P$1:P$500,SMALL(IF(Create_TC_Web!$C$1:$C$500&lt;&gt;"",MATCH(ROW(Create_TC_Web!$C$1:$C$500),ROW(Create_TC_Web!$C$1:$C$500)),""),ROW(Create_TC_Web!N117))),"")</f>
        <v/>
      </c>
      <c r="N117">
        <f>Create_TC_Web!CA126</f>
        <v>0</v>
      </c>
      <c r="O117" t="str">
        <f t="shared" si="7"/>
        <v/>
      </c>
      <c r="P117" s="17">
        <f>Create_TC_Web!CI104</f>
        <v>0</v>
      </c>
      <c r="Q117" t="str">
        <f>IF(TestData!CB117&lt;&gt;0,TestData!CB117,"")</f>
        <v/>
      </c>
      <c r="S117" t="str">
        <f t="shared" si="9"/>
        <v/>
      </c>
    </row>
    <row r="118" spans="1:19">
      <c r="A118" t="str" cm="1">
        <f t="array" ref="A118">IFERROR(INDEX(Create_TC_Web!D$1:D$500,SMALL(IF(Create_TC_Web!$C$1:$C$500&lt;&gt;"",MATCH(ROW(Create_TC_Web!$C$1:$C$500),ROW(Create_TC_Web!$C$1:$C$500)),""),ROW(Create_TC_Web!B118))),"")</f>
        <v/>
      </c>
      <c r="B118" t="str" cm="1">
        <f t="array" ref="B118">SUBSTITUTE(SUBSTITUTE(SUBSTITUTE(IFERROR(INDEX(Create_TC_Web!E$1:E$505,SMALL(IF(Create_TC_Web!$C$1:$C$505&lt;&gt;"",MATCH(ROW(Create_TC_Web!$C$1:$C$505),ROW(Create_TC_Web!$C$1:$C$505)),""),ROW(Create_TC_Web!C118))),"")," ",""),"-",""),"_","")</f>
        <v/>
      </c>
      <c r="C118" t="str" cm="1">
        <f t="array" ref="C118">IFERROR(INDEX(Create_TC_Web!F$1:F$500,SMALL(IF(Create_TC_Web!$C$1:$C$500&lt;&gt;"",MATCH(ROW(Create_TC_Web!$C$1:$C$500),ROW(Create_TC_Web!$C$1:$C$500)),""),ROW(Create_TC_Web!D118))),"")</f>
        <v/>
      </c>
      <c r="D118" t="str" cm="1">
        <f t="array" ref="D118">IFERROR(INDEX(Create_TC_Web!G$1:G$500,SMALL(IF(Create_TC_Web!$C$1:$C$500&lt;&gt;"",MATCH(ROW(Create_TC_Web!$C$1:$C$500),ROW(Create_TC_Web!$C$1:$C$500)),""),ROW(Create_TC_Web!E118))),"")</f>
        <v/>
      </c>
      <c r="E118" t="str" cm="1">
        <f t="array" ref="E118">IFERROR(INDEX(Create_TC_Web!H$1:H$500,SMALL(IF(Create_TC_Web!$C$1:$C$500&lt;&gt;"",MATCH(ROW(Create_TC_Web!$C$1:$C$500),ROW(Create_TC_Web!$C$1:$C$500)),""),ROW(Create_TC_Web!F118))),"")</f>
        <v/>
      </c>
      <c r="F118" t="str" cm="1">
        <f t="array" ref="F118">IFERROR(INDEX(Create_TC_Web!I$1:I$500,SMALL(IF(Create_TC_Web!$C$1:$C$500&lt;&gt;"",MATCH(ROW(Create_TC_Web!$C$1:$C$500),ROW(Create_TC_Web!$C$1:$C$500)),""),ROW(Create_TC_Web!G118))),"")</f>
        <v/>
      </c>
      <c r="G118" t="str" cm="1">
        <f t="array" ref="G118">IFERROR(INDEX(Create_TC_Web!J$1:J$500,SMALL(IF(Create_TC_Web!$C$1:$C$500&lt;&gt;"",MATCH(ROW(Create_TC_Web!$C$1:$C$500),ROW(Create_TC_Web!$C$1:$C$500)),""),ROW(Create_TC_Web!H118))),"")</f>
        <v/>
      </c>
      <c r="H118" t="str" cm="1">
        <f t="array" ref="H118">IFERROR(INDEX(Create_TC_Web!K$1:K$500,SMALL(IF(Create_TC_Web!$C$1:$C$500&lt;&gt;"",MATCH(ROW(Create_TC_Web!$C$1:$C$500),ROW(Create_TC_Web!$C$1:$C$500)),""),ROW(Create_TC_Web!I118))),"")</f>
        <v/>
      </c>
      <c r="I118" t="str" cm="1">
        <f t="array" ref="I118">IFERROR(INDEX(Create_TC_Web!L$1:L$500,SMALL(IF(Create_TC_Web!$C$1:$C$500&lt;&gt;"",MATCH(ROW(Create_TC_Web!$C$1:$C$500),ROW(Create_TC_Web!$C$1:$C$500)),""),ROW(Create_TC_Web!J118))),"")</f>
        <v/>
      </c>
      <c r="J118" t="str" cm="1">
        <f t="array" ref="J118">IFERROR(INDEX(Create_TC_Web!M$1:M$500,SMALL(IF(Create_TC_Web!$C$1:$C$500&lt;&gt;"",MATCH(ROW(Create_TC_Web!$C$1:$C$500),ROW(Create_TC_Web!$C$1:$C$500)),""),ROW(Create_TC_Web!K118))),"")</f>
        <v/>
      </c>
      <c r="K118" t="str" cm="1">
        <f t="array" ref="K118">IFERROR(INDEX(Create_TC_Web!N$1:N$500,SMALL(IF(Create_TC_Web!$C$1:$C$500&lt;&gt;"",MATCH(ROW(Create_TC_Web!$C$1:$C$500),ROW(Create_TC_Web!$C$1:$C$500)),""),ROW(Create_TC_Web!L118))),"")</f>
        <v/>
      </c>
      <c r="L118" t="str" cm="1">
        <f t="array" ref="L118">IFERROR(INDEX(Create_TC_Web!O$1:O$500,SMALL(IF(Create_TC_Web!$C$1:$C$500&lt;&gt;"",MATCH(ROW(Create_TC_Web!$C$1:$C$500),ROW(Create_TC_Web!$C$1:$C$500)),""),ROW(Create_TC_Web!M118))),"")</f>
        <v/>
      </c>
      <c r="M118" t="str" cm="1">
        <f t="array" ref="M118">IFERROR(INDEX(Create_TC_Web!P$1:P$500,SMALL(IF(Create_TC_Web!$C$1:$C$500&lt;&gt;"",MATCH(ROW(Create_TC_Web!$C$1:$C$500),ROW(Create_TC_Web!$C$1:$C$500)),""),ROW(Create_TC_Web!N118))),"")</f>
        <v/>
      </c>
      <c r="N118">
        <f>Create_TC_Web!CA127</f>
        <v>0</v>
      </c>
      <c r="O118" t="str">
        <f t="shared" si="7"/>
        <v/>
      </c>
      <c r="P118" s="17">
        <f>Create_TC_Web!CI105</f>
        <v>0</v>
      </c>
      <c r="Q118" t="str">
        <f>IF(TestData!CB118&lt;&gt;0,TestData!CB118,"")</f>
        <v/>
      </c>
      <c r="S118" t="str">
        <f t="shared" si="9"/>
        <v/>
      </c>
    </row>
    <row r="119" spans="1:19">
      <c r="A119" t="str" cm="1">
        <f t="array" ref="A119">IFERROR(INDEX(Create_TC_Web!D$1:D$500,SMALL(IF(Create_TC_Web!$C$1:$C$500&lt;&gt;"",MATCH(ROW(Create_TC_Web!$C$1:$C$500),ROW(Create_TC_Web!$C$1:$C$500)),""),ROW(Create_TC_Web!B119))),"")</f>
        <v/>
      </c>
      <c r="B119" t="str" cm="1">
        <f t="array" ref="B119">SUBSTITUTE(SUBSTITUTE(SUBSTITUTE(IFERROR(INDEX(Create_TC_Web!E$1:E$505,SMALL(IF(Create_TC_Web!$C$1:$C$505&lt;&gt;"",MATCH(ROW(Create_TC_Web!$C$1:$C$505),ROW(Create_TC_Web!$C$1:$C$505)),""),ROW(Create_TC_Web!C119))),"")," ",""),"-",""),"_","")</f>
        <v/>
      </c>
      <c r="C119" t="str" cm="1">
        <f t="array" ref="C119">IFERROR(INDEX(Create_TC_Web!F$1:F$500,SMALL(IF(Create_TC_Web!$C$1:$C$500&lt;&gt;"",MATCH(ROW(Create_TC_Web!$C$1:$C$500),ROW(Create_TC_Web!$C$1:$C$500)),""),ROW(Create_TC_Web!D119))),"")</f>
        <v/>
      </c>
      <c r="D119" t="str" cm="1">
        <f t="array" ref="D119">IFERROR(INDEX(Create_TC_Web!G$1:G$500,SMALL(IF(Create_TC_Web!$C$1:$C$500&lt;&gt;"",MATCH(ROW(Create_TC_Web!$C$1:$C$500),ROW(Create_TC_Web!$C$1:$C$500)),""),ROW(Create_TC_Web!E119))),"")</f>
        <v/>
      </c>
      <c r="E119" t="str" cm="1">
        <f t="array" ref="E119">IFERROR(INDEX(Create_TC_Web!H$1:H$500,SMALL(IF(Create_TC_Web!$C$1:$C$500&lt;&gt;"",MATCH(ROW(Create_TC_Web!$C$1:$C$500),ROW(Create_TC_Web!$C$1:$C$500)),""),ROW(Create_TC_Web!F119))),"")</f>
        <v/>
      </c>
      <c r="F119" t="str" cm="1">
        <f t="array" ref="F119">IFERROR(INDEX(Create_TC_Web!I$1:I$500,SMALL(IF(Create_TC_Web!$C$1:$C$500&lt;&gt;"",MATCH(ROW(Create_TC_Web!$C$1:$C$500),ROW(Create_TC_Web!$C$1:$C$500)),""),ROW(Create_TC_Web!G119))),"")</f>
        <v/>
      </c>
      <c r="G119" t="str" cm="1">
        <f t="array" ref="G119">IFERROR(INDEX(Create_TC_Web!J$1:J$500,SMALL(IF(Create_TC_Web!$C$1:$C$500&lt;&gt;"",MATCH(ROW(Create_TC_Web!$C$1:$C$500),ROW(Create_TC_Web!$C$1:$C$500)),""),ROW(Create_TC_Web!H119))),"")</f>
        <v/>
      </c>
      <c r="H119" t="str" cm="1">
        <f t="array" ref="H119">IFERROR(INDEX(Create_TC_Web!K$1:K$500,SMALL(IF(Create_TC_Web!$C$1:$C$500&lt;&gt;"",MATCH(ROW(Create_TC_Web!$C$1:$C$500),ROW(Create_TC_Web!$C$1:$C$500)),""),ROW(Create_TC_Web!I119))),"")</f>
        <v/>
      </c>
      <c r="I119" t="str" cm="1">
        <f t="array" ref="I119">IFERROR(INDEX(Create_TC_Web!L$1:L$500,SMALL(IF(Create_TC_Web!$C$1:$C$500&lt;&gt;"",MATCH(ROW(Create_TC_Web!$C$1:$C$500),ROW(Create_TC_Web!$C$1:$C$500)),""),ROW(Create_TC_Web!J119))),"")</f>
        <v/>
      </c>
      <c r="J119" t="str" cm="1">
        <f t="array" ref="J119">IFERROR(INDEX(Create_TC_Web!M$1:M$500,SMALL(IF(Create_TC_Web!$C$1:$C$500&lt;&gt;"",MATCH(ROW(Create_TC_Web!$C$1:$C$500),ROW(Create_TC_Web!$C$1:$C$500)),""),ROW(Create_TC_Web!K119))),"")</f>
        <v/>
      </c>
      <c r="K119" t="str" cm="1">
        <f t="array" ref="K119">IFERROR(INDEX(Create_TC_Web!N$1:N$500,SMALL(IF(Create_TC_Web!$C$1:$C$500&lt;&gt;"",MATCH(ROW(Create_TC_Web!$C$1:$C$500),ROW(Create_TC_Web!$C$1:$C$500)),""),ROW(Create_TC_Web!L119))),"")</f>
        <v/>
      </c>
      <c r="L119" t="str" cm="1">
        <f t="array" ref="L119">IFERROR(INDEX(Create_TC_Web!O$1:O$500,SMALL(IF(Create_TC_Web!$C$1:$C$500&lt;&gt;"",MATCH(ROW(Create_TC_Web!$C$1:$C$500),ROW(Create_TC_Web!$C$1:$C$500)),""),ROW(Create_TC_Web!M119))),"")</f>
        <v/>
      </c>
      <c r="M119" t="str" cm="1">
        <f t="array" ref="M119">IFERROR(INDEX(Create_TC_Web!P$1:P$500,SMALL(IF(Create_TC_Web!$C$1:$C$500&lt;&gt;"",MATCH(ROW(Create_TC_Web!$C$1:$C$500),ROW(Create_TC_Web!$C$1:$C$500)),""),ROW(Create_TC_Web!N119))),"")</f>
        <v/>
      </c>
      <c r="N119">
        <f>Create_TC_Web!CA128</f>
        <v>0</v>
      </c>
      <c r="O119" t="str">
        <f t="shared" si="7"/>
        <v/>
      </c>
      <c r="P119" s="17">
        <f>Create_TC_Web!CI106</f>
        <v>0</v>
      </c>
      <c r="Q119" t="str">
        <f>IF(TestData!CB119&lt;&gt;0,TestData!CB119,"")</f>
        <v/>
      </c>
      <c r="S119" t="str">
        <f t="shared" si="9"/>
        <v/>
      </c>
    </row>
    <row r="120" spans="1:19">
      <c r="A120" t="str" cm="1">
        <f t="array" ref="A120">IFERROR(INDEX(Create_TC_Web!D$1:D$500,SMALL(IF(Create_TC_Web!$C$1:$C$500&lt;&gt;"",MATCH(ROW(Create_TC_Web!$C$1:$C$500),ROW(Create_TC_Web!$C$1:$C$500)),""),ROW(Create_TC_Web!B120))),"")</f>
        <v/>
      </c>
      <c r="B120" t="str" cm="1">
        <f t="array" ref="B120">SUBSTITUTE(SUBSTITUTE(SUBSTITUTE(IFERROR(INDEX(Create_TC_Web!E$1:E$505,SMALL(IF(Create_TC_Web!$C$1:$C$505&lt;&gt;"",MATCH(ROW(Create_TC_Web!$C$1:$C$505),ROW(Create_TC_Web!$C$1:$C$505)),""),ROW(Create_TC_Web!C120))),"")," ",""),"-",""),"_","")</f>
        <v/>
      </c>
      <c r="C120" t="str" cm="1">
        <f t="array" ref="C120">IFERROR(INDEX(Create_TC_Web!F$1:F$500,SMALL(IF(Create_TC_Web!$C$1:$C$500&lt;&gt;"",MATCH(ROW(Create_TC_Web!$C$1:$C$500),ROW(Create_TC_Web!$C$1:$C$500)),""),ROW(Create_TC_Web!D120))),"")</f>
        <v/>
      </c>
      <c r="D120" t="str" cm="1">
        <f t="array" ref="D120">IFERROR(INDEX(Create_TC_Web!G$1:G$500,SMALL(IF(Create_TC_Web!$C$1:$C$500&lt;&gt;"",MATCH(ROW(Create_TC_Web!$C$1:$C$500),ROW(Create_TC_Web!$C$1:$C$500)),""),ROW(Create_TC_Web!E120))),"")</f>
        <v/>
      </c>
      <c r="E120" t="str" cm="1">
        <f t="array" ref="E120">IFERROR(INDEX(Create_TC_Web!H$1:H$500,SMALL(IF(Create_TC_Web!$C$1:$C$500&lt;&gt;"",MATCH(ROW(Create_TC_Web!$C$1:$C$500),ROW(Create_TC_Web!$C$1:$C$500)),""),ROW(Create_TC_Web!F120))),"")</f>
        <v/>
      </c>
      <c r="F120" t="str" cm="1">
        <f t="array" ref="F120">IFERROR(INDEX(Create_TC_Web!I$1:I$500,SMALL(IF(Create_TC_Web!$C$1:$C$500&lt;&gt;"",MATCH(ROW(Create_TC_Web!$C$1:$C$500),ROW(Create_TC_Web!$C$1:$C$500)),""),ROW(Create_TC_Web!G120))),"")</f>
        <v/>
      </c>
      <c r="G120" t="str" cm="1">
        <f t="array" ref="G120">IFERROR(INDEX(Create_TC_Web!J$1:J$500,SMALL(IF(Create_TC_Web!$C$1:$C$500&lt;&gt;"",MATCH(ROW(Create_TC_Web!$C$1:$C$500),ROW(Create_TC_Web!$C$1:$C$500)),""),ROW(Create_TC_Web!H120))),"")</f>
        <v/>
      </c>
      <c r="H120" t="str" cm="1">
        <f t="array" ref="H120">IFERROR(INDEX(Create_TC_Web!K$1:K$500,SMALL(IF(Create_TC_Web!$C$1:$C$500&lt;&gt;"",MATCH(ROW(Create_TC_Web!$C$1:$C$500),ROW(Create_TC_Web!$C$1:$C$500)),""),ROW(Create_TC_Web!I120))),"")</f>
        <v/>
      </c>
      <c r="I120" t="str" cm="1">
        <f t="array" ref="I120">IFERROR(INDEX(Create_TC_Web!L$1:L$500,SMALL(IF(Create_TC_Web!$C$1:$C$500&lt;&gt;"",MATCH(ROW(Create_TC_Web!$C$1:$C$500),ROW(Create_TC_Web!$C$1:$C$500)),""),ROW(Create_TC_Web!J120))),"")</f>
        <v/>
      </c>
      <c r="J120" t="str" cm="1">
        <f t="array" ref="J120">IFERROR(INDEX(Create_TC_Web!M$1:M$500,SMALL(IF(Create_TC_Web!$C$1:$C$500&lt;&gt;"",MATCH(ROW(Create_TC_Web!$C$1:$C$500),ROW(Create_TC_Web!$C$1:$C$500)),""),ROW(Create_TC_Web!K120))),"")</f>
        <v/>
      </c>
      <c r="K120" t="str" cm="1">
        <f t="array" ref="K120">IFERROR(INDEX(Create_TC_Web!N$1:N$500,SMALL(IF(Create_TC_Web!$C$1:$C$500&lt;&gt;"",MATCH(ROW(Create_TC_Web!$C$1:$C$500),ROW(Create_TC_Web!$C$1:$C$500)),""),ROW(Create_TC_Web!L120))),"")</f>
        <v/>
      </c>
      <c r="L120" t="str" cm="1">
        <f t="array" ref="L120">IFERROR(INDEX(Create_TC_Web!O$1:O$500,SMALL(IF(Create_TC_Web!$C$1:$C$500&lt;&gt;"",MATCH(ROW(Create_TC_Web!$C$1:$C$500),ROW(Create_TC_Web!$C$1:$C$500)),""),ROW(Create_TC_Web!M120))),"")</f>
        <v/>
      </c>
      <c r="M120" t="str" cm="1">
        <f t="array" ref="M120">IFERROR(INDEX(Create_TC_Web!P$1:P$500,SMALL(IF(Create_TC_Web!$C$1:$C$500&lt;&gt;"",MATCH(ROW(Create_TC_Web!$C$1:$C$500),ROW(Create_TC_Web!$C$1:$C$500)),""),ROW(Create_TC_Web!N120))),"")</f>
        <v/>
      </c>
      <c r="N120">
        <f>Create_TC_Web!CA129</f>
        <v>0</v>
      </c>
      <c r="O120" t="str">
        <f t="shared" si="7"/>
        <v/>
      </c>
      <c r="P120" s="17">
        <f>Create_TC_Web!CI107</f>
        <v>0</v>
      </c>
      <c r="Q120" t="str">
        <f>IF(TestData!CB120&lt;&gt;0,TestData!CB120,"")</f>
        <v/>
      </c>
      <c r="S120" t="str">
        <f t="shared" si="9"/>
        <v/>
      </c>
    </row>
    <row r="121" spans="1:19">
      <c r="A121" t="str" cm="1">
        <f t="array" ref="A121">IFERROR(INDEX(Create_TC_Web!D$1:D$500,SMALL(IF(Create_TC_Web!$C$1:$C$500&lt;&gt;"",MATCH(ROW(Create_TC_Web!$C$1:$C$500),ROW(Create_TC_Web!$C$1:$C$500)),""),ROW(Create_TC_Web!B121))),"")</f>
        <v/>
      </c>
      <c r="B121" t="str" cm="1">
        <f t="array" ref="B121">SUBSTITUTE(SUBSTITUTE(SUBSTITUTE(IFERROR(INDEX(Create_TC_Web!E$1:E$505,SMALL(IF(Create_TC_Web!$C$1:$C$505&lt;&gt;"",MATCH(ROW(Create_TC_Web!$C$1:$C$505),ROW(Create_TC_Web!$C$1:$C$505)),""),ROW(Create_TC_Web!C121))),"")," ",""),"-",""),"_","")</f>
        <v/>
      </c>
      <c r="C121" t="str" cm="1">
        <f t="array" ref="C121">IFERROR(INDEX(Create_TC_Web!F$1:F$500,SMALL(IF(Create_TC_Web!$C$1:$C$500&lt;&gt;"",MATCH(ROW(Create_TC_Web!$C$1:$C$500),ROW(Create_TC_Web!$C$1:$C$500)),""),ROW(Create_TC_Web!D121))),"")</f>
        <v/>
      </c>
      <c r="D121" t="str" cm="1">
        <f t="array" ref="D121">IFERROR(INDEX(Create_TC_Web!G$1:G$500,SMALL(IF(Create_TC_Web!$C$1:$C$500&lt;&gt;"",MATCH(ROW(Create_TC_Web!$C$1:$C$500),ROW(Create_TC_Web!$C$1:$C$500)),""),ROW(Create_TC_Web!E121))),"")</f>
        <v/>
      </c>
      <c r="E121" t="str" cm="1">
        <f t="array" ref="E121">IFERROR(INDEX(Create_TC_Web!H$1:H$500,SMALL(IF(Create_TC_Web!$C$1:$C$500&lt;&gt;"",MATCH(ROW(Create_TC_Web!$C$1:$C$500),ROW(Create_TC_Web!$C$1:$C$500)),""),ROW(Create_TC_Web!F121))),"")</f>
        <v/>
      </c>
      <c r="F121" t="str" cm="1">
        <f t="array" ref="F121">IFERROR(INDEX(Create_TC_Web!I$1:I$500,SMALL(IF(Create_TC_Web!$C$1:$C$500&lt;&gt;"",MATCH(ROW(Create_TC_Web!$C$1:$C$500),ROW(Create_TC_Web!$C$1:$C$500)),""),ROW(Create_TC_Web!G121))),"")</f>
        <v/>
      </c>
      <c r="G121" t="str" cm="1">
        <f t="array" ref="G121">IFERROR(INDEX(Create_TC_Web!J$1:J$500,SMALL(IF(Create_TC_Web!$C$1:$C$500&lt;&gt;"",MATCH(ROW(Create_TC_Web!$C$1:$C$500),ROW(Create_TC_Web!$C$1:$C$500)),""),ROW(Create_TC_Web!H121))),"")</f>
        <v/>
      </c>
      <c r="H121" t="str" cm="1">
        <f t="array" ref="H121">IFERROR(INDEX(Create_TC_Web!K$1:K$500,SMALL(IF(Create_TC_Web!$C$1:$C$500&lt;&gt;"",MATCH(ROW(Create_TC_Web!$C$1:$C$500),ROW(Create_TC_Web!$C$1:$C$500)),""),ROW(Create_TC_Web!I121))),"")</f>
        <v/>
      </c>
      <c r="I121" t="str" cm="1">
        <f t="array" ref="I121">IFERROR(INDEX(Create_TC_Web!L$1:L$500,SMALL(IF(Create_TC_Web!$C$1:$C$500&lt;&gt;"",MATCH(ROW(Create_TC_Web!$C$1:$C$500),ROW(Create_TC_Web!$C$1:$C$500)),""),ROW(Create_TC_Web!J121))),"")</f>
        <v/>
      </c>
      <c r="J121" t="str" cm="1">
        <f t="array" ref="J121">IFERROR(INDEX(Create_TC_Web!M$1:M$500,SMALL(IF(Create_TC_Web!$C$1:$C$500&lt;&gt;"",MATCH(ROW(Create_TC_Web!$C$1:$C$500),ROW(Create_TC_Web!$C$1:$C$500)),""),ROW(Create_TC_Web!K121))),"")</f>
        <v/>
      </c>
      <c r="K121" t="str" cm="1">
        <f t="array" ref="K121">IFERROR(INDEX(Create_TC_Web!N$1:N$500,SMALL(IF(Create_TC_Web!$C$1:$C$500&lt;&gt;"",MATCH(ROW(Create_TC_Web!$C$1:$C$500),ROW(Create_TC_Web!$C$1:$C$500)),""),ROW(Create_TC_Web!L121))),"")</f>
        <v/>
      </c>
      <c r="L121" t="str" cm="1">
        <f t="array" ref="L121">IFERROR(INDEX(Create_TC_Web!O$1:O$500,SMALL(IF(Create_TC_Web!$C$1:$C$500&lt;&gt;"",MATCH(ROW(Create_TC_Web!$C$1:$C$500),ROW(Create_TC_Web!$C$1:$C$500)),""),ROW(Create_TC_Web!M121))),"")</f>
        <v/>
      </c>
      <c r="M121" t="str" cm="1">
        <f t="array" ref="M121">IFERROR(INDEX(Create_TC_Web!P$1:P$500,SMALL(IF(Create_TC_Web!$C$1:$C$500&lt;&gt;"",MATCH(ROW(Create_TC_Web!$C$1:$C$500),ROW(Create_TC_Web!$C$1:$C$500)),""),ROW(Create_TC_Web!N121))),"")</f>
        <v/>
      </c>
      <c r="N121">
        <f>Create_TC_Web!CA130</f>
        <v>0</v>
      </c>
      <c r="O121" t="str">
        <f t="shared" si="7"/>
        <v/>
      </c>
      <c r="P121" s="17">
        <f>Create_TC_Web!CI108</f>
        <v>0</v>
      </c>
      <c r="Q121" t="str">
        <f>IF(TestData!CB121&lt;&gt;0,TestData!CB121,"")</f>
        <v/>
      </c>
      <c r="S121" t="str">
        <f t="shared" si="9"/>
        <v/>
      </c>
    </row>
    <row r="122" spans="1:19">
      <c r="A122" t="str" cm="1">
        <f t="array" ref="A122">IFERROR(INDEX(Create_TC_Web!D$1:D$500,SMALL(IF(Create_TC_Web!$C$1:$C$500&lt;&gt;"",MATCH(ROW(Create_TC_Web!$C$1:$C$500),ROW(Create_TC_Web!$C$1:$C$500)),""),ROW(Create_TC_Web!B122))),"")</f>
        <v/>
      </c>
      <c r="B122" t="str" cm="1">
        <f t="array" ref="B122">SUBSTITUTE(SUBSTITUTE(SUBSTITUTE(IFERROR(INDEX(Create_TC_Web!E$1:E$505,SMALL(IF(Create_TC_Web!$C$1:$C$505&lt;&gt;"",MATCH(ROW(Create_TC_Web!$C$1:$C$505),ROW(Create_TC_Web!$C$1:$C$505)),""),ROW(Create_TC_Web!C122))),"")," ",""),"-",""),"_","")</f>
        <v/>
      </c>
      <c r="C122" t="str" cm="1">
        <f t="array" ref="C122">IFERROR(INDEX(Create_TC_Web!F$1:F$500,SMALL(IF(Create_TC_Web!$C$1:$C$500&lt;&gt;"",MATCH(ROW(Create_TC_Web!$C$1:$C$500),ROW(Create_TC_Web!$C$1:$C$500)),""),ROW(Create_TC_Web!D122))),"")</f>
        <v/>
      </c>
      <c r="D122" t="str" cm="1">
        <f t="array" ref="D122">IFERROR(INDEX(Create_TC_Web!G$1:G$500,SMALL(IF(Create_TC_Web!$C$1:$C$500&lt;&gt;"",MATCH(ROW(Create_TC_Web!$C$1:$C$500),ROW(Create_TC_Web!$C$1:$C$500)),""),ROW(Create_TC_Web!E122))),"")</f>
        <v/>
      </c>
      <c r="E122" t="str" cm="1">
        <f t="array" ref="E122">IFERROR(INDEX(Create_TC_Web!H$1:H$500,SMALL(IF(Create_TC_Web!$C$1:$C$500&lt;&gt;"",MATCH(ROW(Create_TC_Web!$C$1:$C$500),ROW(Create_TC_Web!$C$1:$C$500)),""),ROW(Create_TC_Web!F122))),"")</f>
        <v/>
      </c>
      <c r="F122" t="str" cm="1">
        <f t="array" ref="F122">IFERROR(INDEX(Create_TC_Web!I$1:I$500,SMALL(IF(Create_TC_Web!$C$1:$C$500&lt;&gt;"",MATCH(ROW(Create_TC_Web!$C$1:$C$500),ROW(Create_TC_Web!$C$1:$C$500)),""),ROW(Create_TC_Web!G122))),"")</f>
        <v/>
      </c>
      <c r="G122" t="str" cm="1">
        <f t="array" ref="G122">IFERROR(INDEX(Create_TC_Web!J$1:J$500,SMALL(IF(Create_TC_Web!$C$1:$C$500&lt;&gt;"",MATCH(ROW(Create_TC_Web!$C$1:$C$500),ROW(Create_TC_Web!$C$1:$C$500)),""),ROW(Create_TC_Web!H122))),"")</f>
        <v/>
      </c>
      <c r="H122" t="str" cm="1">
        <f t="array" ref="H122">IFERROR(INDEX(Create_TC_Web!K$1:K$500,SMALL(IF(Create_TC_Web!$C$1:$C$500&lt;&gt;"",MATCH(ROW(Create_TC_Web!$C$1:$C$500),ROW(Create_TC_Web!$C$1:$C$500)),""),ROW(Create_TC_Web!I122))),"")</f>
        <v/>
      </c>
      <c r="I122" t="str" cm="1">
        <f t="array" ref="I122">IFERROR(INDEX(Create_TC_Web!L$1:L$500,SMALL(IF(Create_TC_Web!$C$1:$C$500&lt;&gt;"",MATCH(ROW(Create_TC_Web!$C$1:$C$500),ROW(Create_TC_Web!$C$1:$C$500)),""),ROW(Create_TC_Web!J122))),"")</f>
        <v/>
      </c>
      <c r="J122" t="str" cm="1">
        <f t="array" ref="J122">IFERROR(INDEX(Create_TC_Web!M$1:M$500,SMALL(IF(Create_TC_Web!$C$1:$C$500&lt;&gt;"",MATCH(ROW(Create_TC_Web!$C$1:$C$500),ROW(Create_TC_Web!$C$1:$C$500)),""),ROW(Create_TC_Web!K122))),"")</f>
        <v/>
      </c>
      <c r="K122" t="str" cm="1">
        <f t="array" ref="K122">IFERROR(INDEX(Create_TC_Web!N$1:N$500,SMALL(IF(Create_TC_Web!$C$1:$C$500&lt;&gt;"",MATCH(ROW(Create_TC_Web!$C$1:$C$500),ROW(Create_TC_Web!$C$1:$C$500)),""),ROW(Create_TC_Web!L122))),"")</f>
        <v/>
      </c>
      <c r="L122" t="str" cm="1">
        <f t="array" ref="L122">IFERROR(INDEX(Create_TC_Web!O$1:O$500,SMALL(IF(Create_TC_Web!$C$1:$C$500&lt;&gt;"",MATCH(ROW(Create_TC_Web!$C$1:$C$500),ROW(Create_TC_Web!$C$1:$C$500)),""),ROW(Create_TC_Web!M122))),"")</f>
        <v/>
      </c>
      <c r="M122" t="str" cm="1">
        <f t="array" ref="M122">IFERROR(INDEX(Create_TC_Web!P$1:P$500,SMALL(IF(Create_TC_Web!$C$1:$C$500&lt;&gt;"",MATCH(ROW(Create_TC_Web!$C$1:$C$500),ROW(Create_TC_Web!$C$1:$C$500)),""),ROW(Create_TC_Web!N122))),"")</f>
        <v/>
      </c>
      <c r="N122">
        <f>Create_TC_Web!CA131</f>
        <v>0</v>
      </c>
      <c r="O122" t="str">
        <f t="shared" si="7"/>
        <v/>
      </c>
      <c r="P122" s="17">
        <f>Create_TC_Web!CI109</f>
        <v>0</v>
      </c>
      <c r="Q122" t="str">
        <f>IF(TestData!CB122&lt;&gt;0,TestData!CB122,"")</f>
        <v/>
      </c>
      <c r="S122" t="str">
        <f t="shared" si="9"/>
        <v/>
      </c>
    </row>
    <row r="123" spans="1:19">
      <c r="A123" t="str" cm="1">
        <f t="array" ref="A123">IFERROR(INDEX(Create_TC_Web!D$1:D$500,SMALL(IF(Create_TC_Web!$C$1:$C$500&lt;&gt;"",MATCH(ROW(Create_TC_Web!$C$1:$C$500),ROW(Create_TC_Web!$C$1:$C$500)),""),ROW(Create_TC_Web!B123))),"")</f>
        <v/>
      </c>
      <c r="B123" t="str" cm="1">
        <f t="array" ref="B123">SUBSTITUTE(SUBSTITUTE(SUBSTITUTE(IFERROR(INDEX(Create_TC_Web!E$1:E$505,SMALL(IF(Create_TC_Web!$C$1:$C$505&lt;&gt;"",MATCH(ROW(Create_TC_Web!$C$1:$C$505),ROW(Create_TC_Web!$C$1:$C$505)),""),ROW(Create_TC_Web!C123))),"")," ",""),"-",""),"_","")</f>
        <v/>
      </c>
      <c r="C123" t="str" cm="1">
        <f t="array" ref="C123">IFERROR(INDEX(Create_TC_Web!F$1:F$500,SMALL(IF(Create_TC_Web!$C$1:$C$500&lt;&gt;"",MATCH(ROW(Create_TC_Web!$C$1:$C$500),ROW(Create_TC_Web!$C$1:$C$500)),""),ROW(Create_TC_Web!D123))),"")</f>
        <v/>
      </c>
      <c r="D123" t="str" cm="1">
        <f t="array" ref="D123">IFERROR(INDEX(Create_TC_Web!G$1:G$500,SMALL(IF(Create_TC_Web!$C$1:$C$500&lt;&gt;"",MATCH(ROW(Create_TC_Web!$C$1:$C$500),ROW(Create_TC_Web!$C$1:$C$500)),""),ROW(Create_TC_Web!E123))),"")</f>
        <v/>
      </c>
      <c r="E123" t="str" cm="1">
        <f t="array" ref="E123">IFERROR(INDEX(Create_TC_Web!H$1:H$500,SMALL(IF(Create_TC_Web!$C$1:$C$500&lt;&gt;"",MATCH(ROW(Create_TC_Web!$C$1:$C$500),ROW(Create_TC_Web!$C$1:$C$500)),""),ROW(Create_TC_Web!F123))),"")</f>
        <v/>
      </c>
      <c r="F123" t="str" cm="1">
        <f t="array" ref="F123">IFERROR(INDEX(Create_TC_Web!I$1:I$500,SMALL(IF(Create_TC_Web!$C$1:$C$500&lt;&gt;"",MATCH(ROW(Create_TC_Web!$C$1:$C$500),ROW(Create_TC_Web!$C$1:$C$500)),""),ROW(Create_TC_Web!G123))),"")</f>
        <v/>
      </c>
      <c r="G123" t="str" cm="1">
        <f t="array" ref="G123">IFERROR(INDEX(Create_TC_Web!J$1:J$500,SMALL(IF(Create_TC_Web!$C$1:$C$500&lt;&gt;"",MATCH(ROW(Create_TC_Web!$C$1:$C$500),ROW(Create_TC_Web!$C$1:$C$500)),""),ROW(Create_TC_Web!H123))),"")</f>
        <v/>
      </c>
      <c r="H123" t="str" cm="1">
        <f t="array" ref="H123">IFERROR(INDEX(Create_TC_Web!K$1:K$500,SMALL(IF(Create_TC_Web!$C$1:$C$500&lt;&gt;"",MATCH(ROW(Create_TC_Web!$C$1:$C$500),ROW(Create_TC_Web!$C$1:$C$500)),""),ROW(Create_TC_Web!I123))),"")</f>
        <v/>
      </c>
      <c r="I123" t="str" cm="1">
        <f t="array" ref="I123">IFERROR(INDEX(Create_TC_Web!L$1:L$500,SMALL(IF(Create_TC_Web!$C$1:$C$500&lt;&gt;"",MATCH(ROW(Create_TC_Web!$C$1:$C$500),ROW(Create_TC_Web!$C$1:$C$500)),""),ROW(Create_TC_Web!J123))),"")</f>
        <v/>
      </c>
      <c r="J123" t="str" cm="1">
        <f t="array" ref="J123">IFERROR(INDEX(Create_TC_Web!M$1:M$500,SMALL(IF(Create_TC_Web!$C$1:$C$500&lt;&gt;"",MATCH(ROW(Create_TC_Web!$C$1:$C$500),ROW(Create_TC_Web!$C$1:$C$500)),""),ROW(Create_TC_Web!K123))),"")</f>
        <v/>
      </c>
      <c r="K123" t="str" cm="1">
        <f t="array" ref="K123">IFERROR(INDEX(Create_TC_Web!N$1:N$500,SMALL(IF(Create_TC_Web!$C$1:$C$500&lt;&gt;"",MATCH(ROW(Create_TC_Web!$C$1:$C$500),ROW(Create_TC_Web!$C$1:$C$500)),""),ROW(Create_TC_Web!L123))),"")</f>
        <v/>
      </c>
      <c r="L123" t="str" cm="1">
        <f t="array" ref="L123">IFERROR(INDEX(Create_TC_Web!O$1:O$500,SMALL(IF(Create_TC_Web!$C$1:$C$500&lt;&gt;"",MATCH(ROW(Create_TC_Web!$C$1:$C$500),ROW(Create_TC_Web!$C$1:$C$500)),""),ROW(Create_TC_Web!M123))),"")</f>
        <v/>
      </c>
      <c r="M123" t="str" cm="1">
        <f t="array" ref="M123">IFERROR(INDEX(Create_TC_Web!P$1:P$500,SMALL(IF(Create_TC_Web!$C$1:$C$500&lt;&gt;"",MATCH(ROW(Create_TC_Web!$C$1:$C$500),ROW(Create_TC_Web!$C$1:$C$500)),""),ROW(Create_TC_Web!N123))),"")</f>
        <v/>
      </c>
      <c r="N123">
        <f>Create_TC_Web!CA132</f>
        <v>0</v>
      </c>
      <c r="O123" t="str">
        <f t="shared" si="7"/>
        <v/>
      </c>
      <c r="P123" s="17">
        <f>Create_TC_Web!CI110</f>
        <v>0</v>
      </c>
      <c r="Q123" t="str">
        <f>IF(TestData!CB123&lt;&gt;0,TestData!CB123,"")</f>
        <v/>
      </c>
      <c r="S123" t="str">
        <f t="shared" si="9"/>
        <v/>
      </c>
    </row>
    <row r="124" spans="1:19">
      <c r="A124" t="str" cm="1">
        <f t="array" ref="A124">IFERROR(INDEX(Create_TC_Web!D$1:D$500,SMALL(IF(Create_TC_Web!$C$1:$C$500&lt;&gt;"",MATCH(ROW(Create_TC_Web!$C$1:$C$500),ROW(Create_TC_Web!$C$1:$C$500)),""),ROW(Create_TC_Web!B124))),"")</f>
        <v/>
      </c>
      <c r="B124" t="str" cm="1">
        <f t="array" ref="B124">SUBSTITUTE(SUBSTITUTE(SUBSTITUTE(IFERROR(INDEX(Create_TC_Web!E$1:E$505,SMALL(IF(Create_TC_Web!$C$1:$C$505&lt;&gt;"",MATCH(ROW(Create_TC_Web!$C$1:$C$505),ROW(Create_TC_Web!$C$1:$C$505)),""),ROW(Create_TC_Web!C124))),"")," ",""),"-",""),"_","")</f>
        <v/>
      </c>
      <c r="C124" t="str" cm="1">
        <f t="array" ref="C124">IFERROR(INDEX(Create_TC_Web!F$1:F$500,SMALL(IF(Create_TC_Web!$C$1:$C$500&lt;&gt;"",MATCH(ROW(Create_TC_Web!$C$1:$C$500),ROW(Create_TC_Web!$C$1:$C$500)),""),ROW(Create_TC_Web!D124))),"")</f>
        <v/>
      </c>
      <c r="D124" t="str" cm="1">
        <f t="array" ref="D124">IFERROR(INDEX(Create_TC_Web!G$1:G$500,SMALL(IF(Create_TC_Web!$C$1:$C$500&lt;&gt;"",MATCH(ROW(Create_TC_Web!$C$1:$C$500),ROW(Create_TC_Web!$C$1:$C$500)),""),ROW(Create_TC_Web!E124))),"")</f>
        <v/>
      </c>
      <c r="E124" t="str" cm="1">
        <f t="array" ref="E124">IFERROR(INDEX(Create_TC_Web!H$1:H$500,SMALL(IF(Create_TC_Web!$C$1:$C$500&lt;&gt;"",MATCH(ROW(Create_TC_Web!$C$1:$C$500),ROW(Create_TC_Web!$C$1:$C$500)),""),ROW(Create_TC_Web!F124))),"")</f>
        <v/>
      </c>
      <c r="F124" t="str" cm="1">
        <f t="array" ref="F124">IFERROR(INDEX(Create_TC_Web!I$1:I$500,SMALL(IF(Create_TC_Web!$C$1:$C$500&lt;&gt;"",MATCH(ROW(Create_TC_Web!$C$1:$C$500),ROW(Create_TC_Web!$C$1:$C$500)),""),ROW(Create_TC_Web!G124))),"")</f>
        <v/>
      </c>
      <c r="G124" t="str" cm="1">
        <f t="array" ref="G124">IFERROR(INDEX(Create_TC_Web!J$1:J$500,SMALL(IF(Create_TC_Web!$C$1:$C$500&lt;&gt;"",MATCH(ROW(Create_TC_Web!$C$1:$C$500),ROW(Create_TC_Web!$C$1:$C$500)),""),ROW(Create_TC_Web!H124))),"")</f>
        <v/>
      </c>
      <c r="H124" t="str" cm="1">
        <f t="array" ref="H124">IFERROR(INDEX(Create_TC_Web!K$1:K$500,SMALL(IF(Create_TC_Web!$C$1:$C$500&lt;&gt;"",MATCH(ROW(Create_TC_Web!$C$1:$C$500),ROW(Create_TC_Web!$C$1:$C$500)),""),ROW(Create_TC_Web!I124))),"")</f>
        <v/>
      </c>
      <c r="I124" t="str" cm="1">
        <f t="array" ref="I124">IFERROR(INDEX(Create_TC_Web!L$1:L$500,SMALL(IF(Create_TC_Web!$C$1:$C$500&lt;&gt;"",MATCH(ROW(Create_TC_Web!$C$1:$C$500),ROW(Create_TC_Web!$C$1:$C$500)),""),ROW(Create_TC_Web!J124))),"")</f>
        <v/>
      </c>
      <c r="J124" t="str" cm="1">
        <f t="array" ref="J124">IFERROR(INDEX(Create_TC_Web!M$1:M$500,SMALL(IF(Create_TC_Web!$C$1:$C$500&lt;&gt;"",MATCH(ROW(Create_TC_Web!$C$1:$C$500),ROW(Create_TC_Web!$C$1:$C$500)),""),ROW(Create_TC_Web!K124))),"")</f>
        <v/>
      </c>
      <c r="K124" t="str" cm="1">
        <f t="array" ref="K124">IFERROR(INDEX(Create_TC_Web!N$1:N$500,SMALL(IF(Create_TC_Web!$C$1:$C$500&lt;&gt;"",MATCH(ROW(Create_TC_Web!$C$1:$C$500),ROW(Create_TC_Web!$C$1:$C$500)),""),ROW(Create_TC_Web!L124))),"")</f>
        <v/>
      </c>
      <c r="L124" t="str" cm="1">
        <f t="array" ref="L124">IFERROR(INDEX(Create_TC_Web!O$1:O$500,SMALL(IF(Create_TC_Web!$C$1:$C$500&lt;&gt;"",MATCH(ROW(Create_TC_Web!$C$1:$C$500),ROW(Create_TC_Web!$C$1:$C$500)),""),ROW(Create_TC_Web!M124))),"")</f>
        <v/>
      </c>
      <c r="M124" t="str" cm="1">
        <f t="array" ref="M124">IFERROR(INDEX(Create_TC_Web!P$1:P$500,SMALL(IF(Create_TC_Web!$C$1:$C$500&lt;&gt;"",MATCH(ROW(Create_TC_Web!$C$1:$C$500),ROW(Create_TC_Web!$C$1:$C$500)),""),ROW(Create_TC_Web!N124))),"")</f>
        <v/>
      </c>
      <c r="N124">
        <f>Create_TC_Web!CA133</f>
        <v>0</v>
      </c>
      <c r="O124" t="str">
        <f t="shared" si="7"/>
        <v/>
      </c>
      <c r="P124" s="17">
        <f>Create_TC_Web!CI111</f>
        <v>0</v>
      </c>
      <c r="Q124" t="str">
        <f>IF(TestData!CB124&lt;&gt;0,TestData!CB124,"")</f>
        <v/>
      </c>
      <c r="S124" t="str">
        <f t="shared" si="9"/>
        <v/>
      </c>
    </row>
    <row r="125" spans="1:19">
      <c r="A125" t="str" cm="1">
        <f t="array" ref="A125">IFERROR(INDEX(Create_TC_Web!D$1:D$500,SMALL(IF(Create_TC_Web!$C$1:$C$500&lt;&gt;"",MATCH(ROW(Create_TC_Web!$C$1:$C$500),ROW(Create_TC_Web!$C$1:$C$500)),""),ROW(Create_TC_Web!B125))),"")</f>
        <v/>
      </c>
      <c r="B125" t="str" cm="1">
        <f t="array" ref="B125">SUBSTITUTE(SUBSTITUTE(SUBSTITUTE(IFERROR(INDEX(Create_TC_Web!E$1:E$505,SMALL(IF(Create_TC_Web!$C$1:$C$505&lt;&gt;"",MATCH(ROW(Create_TC_Web!$C$1:$C$505),ROW(Create_TC_Web!$C$1:$C$505)),""),ROW(Create_TC_Web!C125))),"")," ",""),"-",""),"_","")</f>
        <v/>
      </c>
      <c r="C125" t="str" cm="1">
        <f t="array" ref="C125">IFERROR(INDEX(Create_TC_Web!F$1:F$500,SMALL(IF(Create_TC_Web!$C$1:$C$500&lt;&gt;"",MATCH(ROW(Create_TC_Web!$C$1:$C$500),ROW(Create_TC_Web!$C$1:$C$500)),""),ROW(Create_TC_Web!D125))),"")</f>
        <v/>
      </c>
      <c r="D125" t="str" cm="1">
        <f t="array" ref="D125">IFERROR(INDEX(Create_TC_Web!G$1:G$500,SMALL(IF(Create_TC_Web!$C$1:$C$500&lt;&gt;"",MATCH(ROW(Create_TC_Web!$C$1:$C$500),ROW(Create_TC_Web!$C$1:$C$500)),""),ROW(Create_TC_Web!E125))),"")</f>
        <v/>
      </c>
      <c r="E125" t="str" cm="1">
        <f t="array" ref="E125">IFERROR(INDEX(Create_TC_Web!H$1:H$500,SMALL(IF(Create_TC_Web!$C$1:$C$500&lt;&gt;"",MATCH(ROW(Create_TC_Web!$C$1:$C$500),ROW(Create_TC_Web!$C$1:$C$500)),""),ROW(Create_TC_Web!F125))),"")</f>
        <v/>
      </c>
      <c r="F125" t="str" cm="1">
        <f t="array" ref="F125">IFERROR(INDEX(Create_TC_Web!I$1:I$500,SMALL(IF(Create_TC_Web!$C$1:$C$500&lt;&gt;"",MATCH(ROW(Create_TC_Web!$C$1:$C$500),ROW(Create_TC_Web!$C$1:$C$500)),""),ROW(Create_TC_Web!G125))),"")</f>
        <v/>
      </c>
      <c r="G125" t="str" cm="1">
        <f t="array" ref="G125">IFERROR(INDEX(Create_TC_Web!J$1:J$500,SMALL(IF(Create_TC_Web!$C$1:$C$500&lt;&gt;"",MATCH(ROW(Create_TC_Web!$C$1:$C$500),ROW(Create_TC_Web!$C$1:$C$500)),""),ROW(Create_TC_Web!H125))),"")</f>
        <v/>
      </c>
      <c r="H125" t="str" cm="1">
        <f t="array" ref="H125">IFERROR(INDEX(Create_TC_Web!K$1:K$500,SMALL(IF(Create_TC_Web!$C$1:$C$500&lt;&gt;"",MATCH(ROW(Create_TC_Web!$C$1:$C$500),ROW(Create_TC_Web!$C$1:$C$500)),""),ROW(Create_TC_Web!I125))),"")</f>
        <v/>
      </c>
      <c r="I125" t="str" cm="1">
        <f t="array" ref="I125">IFERROR(INDEX(Create_TC_Web!L$1:L$500,SMALL(IF(Create_TC_Web!$C$1:$C$500&lt;&gt;"",MATCH(ROW(Create_TC_Web!$C$1:$C$500),ROW(Create_TC_Web!$C$1:$C$500)),""),ROW(Create_TC_Web!J125))),"")</f>
        <v/>
      </c>
      <c r="J125" t="str" cm="1">
        <f t="array" ref="J125">IFERROR(INDEX(Create_TC_Web!M$1:M$500,SMALL(IF(Create_TC_Web!$C$1:$C$500&lt;&gt;"",MATCH(ROW(Create_TC_Web!$C$1:$C$500),ROW(Create_TC_Web!$C$1:$C$500)),""),ROW(Create_TC_Web!K125))),"")</f>
        <v/>
      </c>
      <c r="K125" t="str" cm="1">
        <f t="array" ref="K125">IFERROR(INDEX(Create_TC_Web!N$1:N$500,SMALL(IF(Create_TC_Web!$C$1:$C$500&lt;&gt;"",MATCH(ROW(Create_TC_Web!$C$1:$C$500),ROW(Create_TC_Web!$C$1:$C$500)),""),ROW(Create_TC_Web!L125))),"")</f>
        <v/>
      </c>
      <c r="L125" t="str" cm="1">
        <f t="array" ref="L125">IFERROR(INDEX(Create_TC_Web!O$1:O$500,SMALL(IF(Create_TC_Web!$C$1:$C$500&lt;&gt;"",MATCH(ROW(Create_TC_Web!$C$1:$C$500),ROW(Create_TC_Web!$C$1:$C$500)),""),ROW(Create_TC_Web!M125))),"")</f>
        <v/>
      </c>
      <c r="M125" t="str" cm="1">
        <f t="array" ref="M125">IFERROR(INDEX(Create_TC_Web!P$1:P$500,SMALL(IF(Create_TC_Web!$C$1:$C$500&lt;&gt;"",MATCH(ROW(Create_TC_Web!$C$1:$C$500),ROW(Create_TC_Web!$C$1:$C$500)),""),ROW(Create_TC_Web!N125))),"")</f>
        <v/>
      </c>
      <c r="N125">
        <f>Create_TC_Web!CA134</f>
        <v>0</v>
      </c>
      <c r="O125" t="str">
        <f t="shared" si="7"/>
        <v/>
      </c>
      <c r="P125" s="17">
        <f>Create_TC_Web!CI112</f>
        <v>0</v>
      </c>
      <c r="Q125" t="str">
        <f>IF(TestData!CB125&lt;&gt;0,TestData!CB125,"")</f>
        <v/>
      </c>
      <c r="S125" t="str">
        <f t="shared" si="9"/>
        <v/>
      </c>
    </row>
    <row r="126" spans="1:19">
      <c r="A126" t="str" cm="1">
        <f t="array" ref="A126">IFERROR(INDEX(Create_TC_Web!D$1:D$500,SMALL(IF(Create_TC_Web!$C$1:$C$500&lt;&gt;"",MATCH(ROW(Create_TC_Web!$C$1:$C$500),ROW(Create_TC_Web!$C$1:$C$500)),""),ROW(Create_TC_Web!B126))),"")</f>
        <v/>
      </c>
      <c r="B126" t="str" cm="1">
        <f t="array" ref="B126">SUBSTITUTE(SUBSTITUTE(SUBSTITUTE(IFERROR(INDEX(Create_TC_Web!E$1:E$505,SMALL(IF(Create_TC_Web!$C$1:$C$505&lt;&gt;"",MATCH(ROW(Create_TC_Web!$C$1:$C$505),ROW(Create_TC_Web!$C$1:$C$505)),""),ROW(Create_TC_Web!C126))),"")," ",""),"-",""),"_","")</f>
        <v/>
      </c>
      <c r="C126" t="str" cm="1">
        <f t="array" ref="C126">IFERROR(INDEX(Create_TC_Web!F$1:F$500,SMALL(IF(Create_TC_Web!$C$1:$C$500&lt;&gt;"",MATCH(ROW(Create_TC_Web!$C$1:$C$500),ROW(Create_TC_Web!$C$1:$C$500)),""),ROW(Create_TC_Web!D126))),"")</f>
        <v/>
      </c>
      <c r="D126" t="str" cm="1">
        <f t="array" ref="D126">IFERROR(INDEX(Create_TC_Web!G$1:G$500,SMALL(IF(Create_TC_Web!$C$1:$C$500&lt;&gt;"",MATCH(ROW(Create_TC_Web!$C$1:$C$500),ROW(Create_TC_Web!$C$1:$C$500)),""),ROW(Create_TC_Web!E126))),"")</f>
        <v/>
      </c>
      <c r="E126" t="str" cm="1">
        <f t="array" ref="E126">IFERROR(INDEX(Create_TC_Web!H$1:H$500,SMALL(IF(Create_TC_Web!$C$1:$C$500&lt;&gt;"",MATCH(ROW(Create_TC_Web!$C$1:$C$500),ROW(Create_TC_Web!$C$1:$C$500)),""),ROW(Create_TC_Web!F126))),"")</f>
        <v/>
      </c>
      <c r="F126" t="str" cm="1">
        <f t="array" ref="F126">IFERROR(INDEX(Create_TC_Web!I$1:I$500,SMALL(IF(Create_TC_Web!$C$1:$C$500&lt;&gt;"",MATCH(ROW(Create_TC_Web!$C$1:$C$500),ROW(Create_TC_Web!$C$1:$C$500)),""),ROW(Create_TC_Web!G126))),"")</f>
        <v/>
      </c>
      <c r="G126" t="str" cm="1">
        <f t="array" ref="G126">IFERROR(INDEX(Create_TC_Web!J$1:J$500,SMALL(IF(Create_TC_Web!$C$1:$C$500&lt;&gt;"",MATCH(ROW(Create_TC_Web!$C$1:$C$500),ROW(Create_TC_Web!$C$1:$C$500)),""),ROW(Create_TC_Web!H126))),"")</f>
        <v/>
      </c>
      <c r="H126" t="str" cm="1">
        <f t="array" ref="H126">IFERROR(INDEX(Create_TC_Web!K$1:K$500,SMALL(IF(Create_TC_Web!$C$1:$C$500&lt;&gt;"",MATCH(ROW(Create_TC_Web!$C$1:$C$500),ROW(Create_TC_Web!$C$1:$C$500)),""),ROW(Create_TC_Web!I126))),"")</f>
        <v/>
      </c>
      <c r="I126" t="str" cm="1">
        <f t="array" ref="I126">IFERROR(INDEX(Create_TC_Web!L$1:L$500,SMALL(IF(Create_TC_Web!$C$1:$C$500&lt;&gt;"",MATCH(ROW(Create_TC_Web!$C$1:$C$500),ROW(Create_TC_Web!$C$1:$C$500)),""),ROW(Create_TC_Web!J126))),"")</f>
        <v/>
      </c>
      <c r="J126" t="str" cm="1">
        <f t="array" ref="J126">IFERROR(INDEX(Create_TC_Web!M$1:M$500,SMALL(IF(Create_TC_Web!$C$1:$C$500&lt;&gt;"",MATCH(ROW(Create_TC_Web!$C$1:$C$500),ROW(Create_TC_Web!$C$1:$C$500)),""),ROW(Create_TC_Web!K126))),"")</f>
        <v/>
      </c>
      <c r="K126" t="str" cm="1">
        <f t="array" ref="K126">IFERROR(INDEX(Create_TC_Web!N$1:N$500,SMALL(IF(Create_TC_Web!$C$1:$C$500&lt;&gt;"",MATCH(ROW(Create_TC_Web!$C$1:$C$500),ROW(Create_TC_Web!$C$1:$C$500)),""),ROW(Create_TC_Web!L126))),"")</f>
        <v/>
      </c>
      <c r="L126" t="str" cm="1">
        <f t="array" ref="L126">IFERROR(INDEX(Create_TC_Web!O$1:O$500,SMALL(IF(Create_TC_Web!$C$1:$C$500&lt;&gt;"",MATCH(ROW(Create_TC_Web!$C$1:$C$500),ROW(Create_TC_Web!$C$1:$C$500)),""),ROW(Create_TC_Web!M126))),"")</f>
        <v/>
      </c>
      <c r="M126" t="str" cm="1">
        <f t="array" ref="M126">IFERROR(INDEX(Create_TC_Web!P$1:P$500,SMALL(IF(Create_TC_Web!$C$1:$C$500&lt;&gt;"",MATCH(ROW(Create_TC_Web!$C$1:$C$500),ROW(Create_TC_Web!$C$1:$C$500)),""),ROW(Create_TC_Web!N126))),"")</f>
        <v/>
      </c>
      <c r="N126">
        <f>Create_TC_Web!CA135</f>
        <v>0</v>
      </c>
      <c r="O126" t="str">
        <f t="shared" si="7"/>
        <v/>
      </c>
      <c r="P126" s="17">
        <f>Create_TC_Web!CI113</f>
        <v>0</v>
      </c>
      <c r="Q126" t="str">
        <f>IF(TestData!CB126&lt;&gt;0,TestData!CB126,"")</f>
        <v/>
      </c>
      <c r="S126" t="str">
        <f t="shared" si="9"/>
        <v/>
      </c>
    </row>
    <row r="127" spans="1:19">
      <c r="A127" t="str" cm="1">
        <f t="array" ref="A127">IFERROR(INDEX(Create_TC_Web!D$1:D$500,SMALL(IF(Create_TC_Web!$C$1:$C$500&lt;&gt;"",MATCH(ROW(Create_TC_Web!$C$1:$C$500),ROW(Create_TC_Web!$C$1:$C$500)),""),ROW(Create_TC_Web!B127))),"")</f>
        <v/>
      </c>
      <c r="B127" t="str" cm="1">
        <f t="array" ref="B127">SUBSTITUTE(SUBSTITUTE(SUBSTITUTE(IFERROR(INDEX(Create_TC_Web!E$1:E$505,SMALL(IF(Create_TC_Web!$C$1:$C$505&lt;&gt;"",MATCH(ROW(Create_TC_Web!$C$1:$C$505),ROW(Create_TC_Web!$C$1:$C$505)),""),ROW(Create_TC_Web!C127))),"")," ",""),"-",""),"_","")</f>
        <v/>
      </c>
      <c r="C127" t="str" cm="1">
        <f t="array" ref="C127">IFERROR(INDEX(Create_TC_Web!F$1:F$500,SMALL(IF(Create_TC_Web!$C$1:$C$500&lt;&gt;"",MATCH(ROW(Create_TC_Web!$C$1:$C$500),ROW(Create_TC_Web!$C$1:$C$500)),""),ROW(Create_TC_Web!D127))),"")</f>
        <v/>
      </c>
      <c r="D127" t="str" cm="1">
        <f t="array" ref="D127">IFERROR(INDEX(Create_TC_Web!G$1:G$500,SMALL(IF(Create_TC_Web!$C$1:$C$500&lt;&gt;"",MATCH(ROW(Create_TC_Web!$C$1:$C$500),ROW(Create_TC_Web!$C$1:$C$500)),""),ROW(Create_TC_Web!E127))),"")</f>
        <v/>
      </c>
      <c r="E127" t="str" cm="1">
        <f t="array" ref="E127">IFERROR(INDEX(Create_TC_Web!H$1:H$500,SMALL(IF(Create_TC_Web!$C$1:$C$500&lt;&gt;"",MATCH(ROW(Create_TC_Web!$C$1:$C$500),ROW(Create_TC_Web!$C$1:$C$500)),""),ROW(Create_TC_Web!F127))),"")</f>
        <v/>
      </c>
      <c r="F127" t="str" cm="1">
        <f t="array" ref="F127">IFERROR(INDEX(Create_TC_Web!I$1:I$500,SMALL(IF(Create_TC_Web!$C$1:$C$500&lt;&gt;"",MATCH(ROW(Create_TC_Web!$C$1:$C$500),ROW(Create_TC_Web!$C$1:$C$500)),""),ROW(Create_TC_Web!G127))),"")</f>
        <v/>
      </c>
      <c r="G127" t="str" cm="1">
        <f t="array" ref="G127">IFERROR(INDEX(Create_TC_Web!J$1:J$500,SMALL(IF(Create_TC_Web!$C$1:$C$500&lt;&gt;"",MATCH(ROW(Create_TC_Web!$C$1:$C$500),ROW(Create_TC_Web!$C$1:$C$500)),""),ROW(Create_TC_Web!H127))),"")</f>
        <v/>
      </c>
      <c r="H127" t="str" cm="1">
        <f t="array" ref="H127">IFERROR(INDEX(Create_TC_Web!K$1:K$500,SMALL(IF(Create_TC_Web!$C$1:$C$500&lt;&gt;"",MATCH(ROW(Create_TC_Web!$C$1:$C$500),ROW(Create_TC_Web!$C$1:$C$500)),""),ROW(Create_TC_Web!I127))),"")</f>
        <v/>
      </c>
      <c r="I127" t="str" cm="1">
        <f t="array" ref="I127">IFERROR(INDEX(Create_TC_Web!L$1:L$500,SMALL(IF(Create_TC_Web!$C$1:$C$500&lt;&gt;"",MATCH(ROW(Create_TC_Web!$C$1:$C$500),ROW(Create_TC_Web!$C$1:$C$500)),""),ROW(Create_TC_Web!J127))),"")</f>
        <v/>
      </c>
      <c r="J127" t="str" cm="1">
        <f t="array" ref="J127">IFERROR(INDEX(Create_TC_Web!M$1:M$500,SMALL(IF(Create_TC_Web!$C$1:$C$500&lt;&gt;"",MATCH(ROW(Create_TC_Web!$C$1:$C$500),ROW(Create_TC_Web!$C$1:$C$500)),""),ROW(Create_TC_Web!K127))),"")</f>
        <v/>
      </c>
      <c r="K127" t="str" cm="1">
        <f t="array" ref="K127">IFERROR(INDEX(Create_TC_Web!N$1:N$500,SMALL(IF(Create_TC_Web!$C$1:$C$500&lt;&gt;"",MATCH(ROW(Create_TC_Web!$C$1:$C$500),ROW(Create_TC_Web!$C$1:$C$500)),""),ROW(Create_TC_Web!L127))),"")</f>
        <v/>
      </c>
      <c r="L127" t="str" cm="1">
        <f t="array" ref="L127">IFERROR(INDEX(Create_TC_Web!O$1:O$500,SMALL(IF(Create_TC_Web!$C$1:$C$500&lt;&gt;"",MATCH(ROW(Create_TC_Web!$C$1:$C$500),ROW(Create_TC_Web!$C$1:$C$500)),""),ROW(Create_TC_Web!M127))),"")</f>
        <v/>
      </c>
      <c r="M127" t="str" cm="1">
        <f t="array" ref="M127">IFERROR(INDEX(Create_TC_Web!P$1:P$500,SMALL(IF(Create_TC_Web!$C$1:$C$500&lt;&gt;"",MATCH(ROW(Create_TC_Web!$C$1:$C$500),ROW(Create_TC_Web!$C$1:$C$500)),""),ROW(Create_TC_Web!N127))),"")</f>
        <v/>
      </c>
      <c r="N127">
        <f>Create_TC_Web!CA136</f>
        <v>0</v>
      </c>
      <c r="O127" t="str">
        <f t="shared" si="7"/>
        <v/>
      </c>
      <c r="P127" s="17">
        <f>Create_TC_Web!CI114</f>
        <v>0</v>
      </c>
      <c r="Q127" t="str">
        <f>IF(TestData!CB127&lt;&gt;0,TestData!CB127,"")</f>
        <v/>
      </c>
      <c r="S127" t="str">
        <f t="shared" si="9"/>
        <v/>
      </c>
    </row>
    <row r="128" spans="1:19">
      <c r="A128" t="str" cm="1">
        <f t="array" ref="A128">IFERROR(INDEX(Create_TC_Web!D$1:D$500,SMALL(IF(Create_TC_Web!$C$1:$C$500&lt;&gt;"",MATCH(ROW(Create_TC_Web!$C$1:$C$500),ROW(Create_TC_Web!$C$1:$C$500)),""),ROW(Create_TC_Web!B128))),"")</f>
        <v/>
      </c>
      <c r="B128" t="str" cm="1">
        <f t="array" ref="B128">SUBSTITUTE(SUBSTITUTE(SUBSTITUTE(IFERROR(INDEX(Create_TC_Web!E$1:E$505,SMALL(IF(Create_TC_Web!$C$1:$C$505&lt;&gt;"",MATCH(ROW(Create_TC_Web!$C$1:$C$505),ROW(Create_TC_Web!$C$1:$C$505)),""),ROW(Create_TC_Web!C128))),"")," ",""),"-",""),"_","")</f>
        <v/>
      </c>
      <c r="C128" t="str" cm="1">
        <f t="array" ref="C128">IFERROR(INDEX(Create_TC_Web!F$1:F$500,SMALL(IF(Create_TC_Web!$C$1:$C$500&lt;&gt;"",MATCH(ROW(Create_TC_Web!$C$1:$C$500),ROW(Create_TC_Web!$C$1:$C$500)),""),ROW(Create_TC_Web!D128))),"")</f>
        <v/>
      </c>
      <c r="D128" t="str" cm="1">
        <f t="array" ref="D128">IFERROR(INDEX(Create_TC_Web!G$1:G$500,SMALL(IF(Create_TC_Web!$C$1:$C$500&lt;&gt;"",MATCH(ROW(Create_TC_Web!$C$1:$C$500),ROW(Create_TC_Web!$C$1:$C$500)),""),ROW(Create_TC_Web!E128))),"")</f>
        <v/>
      </c>
      <c r="E128" t="str" cm="1">
        <f t="array" ref="E128">IFERROR(INDEX(Create_TC_Web!H$1:H$500,SMALL(IF(Create_TC_Web!$C$1:$C$500&lt;&gt;"",MATCH(ROW(Create_TC_Web!$C$1:$C$500),ROW(Create_TC_Web!$C$1:$C$500)),""),ROW(Create_TC_Web!F128))),"")</f>
        <v/>
      </c>
      <c r="F128" t="str" cm="1">
        <f t="array" ref="F128">IFERROR(INDEX(Create_TC_Web!I$1:I$500,SMALL(IF(Create_TC_Web!$C$1:$C$500&lt;&gt;"",MATCH(ROW(Create_TC_Web!$C$1:$C$500),ROW(Create_TC_Web!$C$1:$C$500)),""),ROW(Create_TC_Web!G128))),"")</f>
        <v/>
      </c>
      <c r="G128" t="str" cm="1">
        <f t="array" ref="G128">IFERROR(INDEX(Create_TC_Web!J$1:J$500,SMALL(IF(Create_TC_Web!$C$1:$C$500&lt;&gt;"",MATCH(ROW(Create_TC_Web!$C$1:$C$500),ROW(Create_TC_Web!$C$1:$C$500)),""),ROW(Create_TC_Web!H128))),"")</f>
        <v/>
      </c>
      <c r="H128" t="str" cm="1">
        <f t="array" ref="H128">IFERROR(INDEX(Create_TC_Web!K$1:K$500,SMALL(IF(Create_TC_Web!$C$1:$C$500&lt;&gt;"",MATCH(ROW(Create_TC_Web!$C$1:$C$500),ROW(Create_TC_Web!$C$1:$C$500)),""),ROW(Create_TC_Web!I128))),"")</f>
        <v/>
      </c>
      <c r="I128" t="str" cm="1">
        <f t="array" ref="I128">IFERROR(INDEX(Create_TC_Web!L$1:L$500,SMALL(IF(Create_TC_Web!$C$1:$C$500&lt;&gt;"",MATCH(ROW(Create_TC_Web!$C$1:$C$500),ROW(Create_TC_Web!$C$1:$C$500)),""),ROW(Create_TC_Web!J128))),"")</f>
        <v/>
      </c>
      <c r="J128" t="str" cm="1">
        <f t="array" ref="J128">IFERROR(INDEX(Create_TC_Web!M$1:M$500,SMALL(IF(Create_TC_Web!$C$1:$C$500&lt;&gt;"",MATCH(ROW(Create_TC_Web!$C$1:$C$500),ROW(Create_TC_Web!$C$1:$C$500)),""),ROW(Create_TC_Web!K128))),"")</f>
        <v/>
      </c>
      <c r="K128" t="str" cm="1">
        <f t="array" ref="K128">IFERROR(INDEX(Create_TC_Web!N$1:N$500,SMALL(IF(Create_TC_Web!$C$1:$C$500&lt;&gt;"",MATCH(ROW(Create_TC_Web!$C$1:$C$500),ROW(Create_TC_Web!$C$1:$C$500)),""),ROW(Create_TC_Web!L128))),"")</f>
        <v/>
      </c>
      <c r="L128" t="str" cm="1">
        <f t="array" ref="L128">IFERROR(INDEX(Create_TC_Web!O$1:O$500,SMALL(IF(Create_TC_Web!$C$1:$C$500&lt;&gt;"",MATCH(ROW(Create_TC_Web!$C$1:$C$500),ROW(Create_TC_Web!$C$1:$C$500)),""),ROW(Create_TC_Web!M128))),"")</f>
        <v/>
      </c>
      <c r="M128" t="str" cm="1">
        <f t="array" ref="M128">IFERROR(INDEX(Create_TC_Web!P$1:P$500,SMALL(IF(Create_TC_Web!$C$1:$C$500&lt;&gt;"",MATCH(ROW(Create_TC_Web!$C$1:$C$500),ROW(Create_TC_Web!$C$1:$C$500)),""),ROW(Create_TC_Web!N128))),"")</f>
        <v/>
      </c>
      <c r="N128">
        <f>Create_TC_Web!CA137</f>
        <v>0</v>
      </c>
      <c r="O128" t="str">
        <f t="shared" si="7"/>
        <v/>
      </c>
      <c r="P128" s="17">
        <f>Create_TC_Web!CI115</f>
        <v>0</v>
      </c>
      <c r="Q128" t="str">
        <f>IF(TestData!CB128&lt;&gt;0,TestData!CB128,"")</f>
        <v/>
      </c>
      <c r="S128" t="str">
        <f t="shared" si="9"/>
        <v/>
      </c>
    </row>
    <row r="129" spans="1:19">
      <c r="A129" t="str" cm="1">
        <f t="array" ref="A129">IFERROR(INDEX(Create_TC_Web!D$1:D$500,SMALL(IF(Create_TC_Web!$C$1:$C$500&lt;&gt;"",MATCH(ROW(Create_TC_Web!$C$1:$C$500),ROW(Create_TC_Web!$C$1:$C$500)),""),ROW(Create_TC_Web!B129))),"")</f>
        <v/>
      </c>
      <c r="B129" t="str" cm="1">
        <f t="array" ref="B129">SUBSTITUTE(SUBSTITUTE(SUBSTITUTE(IFERROR(INDEX(Create_TC_Web!E$1:E$505,SMALL(IF(Create_TC_Web!$C$1:$C$505&lt;&gt;"",MATCH(ROW(Create_TC_Web!$C$1:$C$505),ROW(Create_TC_Web!$C$1:$C$505)),""),ROW(Create_TC_Web!C129))),"")," ",""),"-",""),"_","")</f>
        <v/>
      </c>
      <c r="C129" t="str" cm="1">
        <f t="array" ref="C129">IFERROR(INDEX(Create_TC_Web!F$1:F$500,SMALL(IF(Create_TC_Web!$C$1:$C$500&lt;&gt;"",MATCH(ROW(Create_TC_Web!$C$1:$C$500),ROW(Create_TC_Web!$C$1:$C$500)),""),ROW(Create_TC_Web!D129))),"")</f>
        <v/>
      </c>
      <c r="D129" t="str" cm="1">
        <f t="array" ref="D129">IFERROR(INDEX(Create_TC_Web!G$1:G$500,SMALL(IF(Create_TC_Web!$C$1:$C$500&lt;&gt;"",MATCH(ROW(Create_TC_Web!$C$1:$C$500),ROW(Create_TC_Web!$C$1:$C$500)),""),ROW(Create_TC_Web!E129))),"")</f>
        <v/>
      </c>
      <c r="E129" t="str" cm="1">
        <f t="array" ref="E129">IFERROR(INDEX(Create_TC_Web!H$1:H$500,SMALL(IF(Create_TC_Web!$C$1:$C$500&lt;&gt;"",MATCH(ROW(Create_TC_Web!$C$1:$C$500),ROW(Create_TC_Web!$C$1:$C$500)),""),ROW(Create_TC_Web!F129))),"")</f>
        <v/>
      </c>
      <c r="F129" t="str" cm="1">
        <f t="array" ref="F129">IFERROR(INDEX(Create_TC_Web!I$1:I$500,SMALL(IF(Create_TC_Web!$C$1:$C$500&lt;&gt;"",MATCH(ROW(Create_TC_Web!$C$1:$C$500),ROW(Create_TC_Web!$C$1:$C$500)),""),ROW(Create_TC_Web!G129))),"")</f>
        <v/>
      </c>
      <c r="G129" t="str" cm="1">
        <f t="array" ref="G129">IFERROR(INDEX(Create_TC_Web!J$1:J$500,SMALL(IF(Create_TC_Web!$C$1:$C$500&lt;&gt;"",MATCH(ROW(Create_TC_Web!$C$1:$C$500),ROW(Create_TC_Web!$C$1:$C$500)),""),ROW(Create_TC_Web!H129))),"")</f>
        <v/>
      </c>
      <c r="H129" t="str" cm="1">
        <f t="array" ref="H129">IFERROR(INDEX(Create_TC_Web!K$1:K$500,SMALL(IF(Create_TC_Web!$C$1:$C$500&lt;&gt;"",MATCH(ROW(Create_TC_Web!$C$1:$C$500),ROW(Create_TC_Web!$C$1:$C$500)),""),ROW(Create_TC_Web!I129))),"")</f>
        <v/>
      </c>
      <c r="I129" t="str" cm="1">
        <f t="array" ref="I129">IFERROR(INDEX(Create_TC_Web!L$1:L$500,SMALL(IF(Create_TC_Web!$C$1:$C$500&lt;&gt;"",MATCH(ROW(Create_TC_Web!$C$1:$C$500),ROW(Create_TC_Web!$C$1:$C$500)),""),ROW(Create_TC_Web!J129))),"")</f>
        <v/>
      </c>
      <c r="J129" t="str" cm="1">
        <f t="array" ref="J129">IFERROR(INDEX(Create_TC_Web!M$1:M$500,SMALL(IF(Create_TC_Web!$C$1:$C$500&lt;&gt;"",MATCH(ROW(Create_TC_Web!$C$1:$C$500),ROW(Create_TC_Web!$C$1:$C$500)),""),ROW(Create_TC_Web!K129))),"")</f>
        <v/>
      </c>
      <c r="K129" t="str" cm="1">
        <f t="array" ref="K129">IFERROR(INDEX(Create_TC_Web!N$1:N$500,SMALL(IF(Create_TC_Web!$C$1:$C$500&lt;&gt;"",MATCH(ROW(Create_TC_Web!$C$1:$C$500),ROW(Create_TC_Web!$C$1:$C$500)),""),ROW(Create_TC_Web!L129))),"")</f>
        <v/>
      </c>
      <c r="L129" t="str" cm="1">
        <f t="array" ref="L129">IFERROR(INDEX(Create_TC_Web!O$1:O$500,SMALL(IF(Create_TC_Web!$C$1:$C$500&lt;&gt;"",MATCH(ROW(Create_TC_Web!$C$1:$C$500),ROW(Create_TC_Web!$C$1:$C$500)),""),ROW(Create_TC_Web!M129))),"")</f>
        <v/>
      </c>
      <c r="M129" t="str" cm="1">
        <f t="array" ref="M129">IFERROR(INDEX(Create_TC_Web!P$1:P$500,SMALL(IF(Create_TC_Web!$C$1:$C$500&lt;&gt;"",MATCH(ROW(Create_TC_Web!$C$1:$C$500),ROW(Create_TC_Web!$C$1:$C$500)),""),ROW(Create_TC_Web!N129))),"")</f>
        <v/>
      </c>
      <c r="N129">
        <f>Create_TC_Web!CA138</f>
        <v>0</v>
      </c>
      <c r="O129" t="str">
        <f t="shared" si="7"/>
        <v/>
      </c>
      <c r="P129" s="17">
        <f>Create_TC_Web!CI116</f>
        <v>0</v>
      </c>
      <c r="Q129" t="str">
        <f>IF(TestData!CB129&lt;&gt;0,TestData!CB129,"")</f>
        <v/>
      </c>
      <c r="S129" t="str">
        <f t="shared" si="9"/>
        <v/>
      </c>
    </row>
    <row r="130" spans="1:19">
      <c r="A130" t="str" cm="1">
        <f t="array" ref="A130">IFERROR(INDEX(Create_TC_Web!D$1:D$500,SMALL(IF(Create_TC_Web!$C$1:$C$500&lt;&gt;"",MATCH(ROW(Create_TC_Web!$C$1:$C$500),ROW(Create_TC_Web!$C$1:$C$500)),""),ROW(Create_TC_Web!B130))),"")</f>
        <v/>
      </c>
      <c r="B130" t="str" cm="1">
        <f t="array" ref="B130">SUBSTITUTE(SUBSTITUTE(SUBSTITUTE(IFERROR(INDEX(Create_TC_Web!E$1:E$505,SMALL(IF(Create_TC_Web!$C$1:$C$505&lt;&gt;"",MATCH(ROW(Create_TC_Web!$C$1:$C$505),ROW(Create_TC_Web!$C$1:$C$505)),""),ROW(Create_TC_Web!C130))),"")," ",""),"-",""),"_","")</f>
        <v/>
      </c>
      <c r="C130" t="str" cm="1">
        <f t="array" ref="C130">IFERROR(INDEX(Create_TC_Web!F$1:F$500,SMALL(IF(Create_TC_Web!$C$1:$C$500&lt;&gt;"",MATCH(ROW(Create_TC_Web!$C$1:$C$500),ROW(Create_TC_Web!$C$1:$C$500)),""),ROW(Create_TC_Web!D130))),"")</f>
        <v/>
      </c>
      <c r="D130" t="str" cm="1">
        <f t="array" ref="D130">IFERROR(INDEX(Create_TC_Web!G$1:G$500,SMALL(IF(Create_TC_Web!$C$1:$C$500&lt;&gt;"",MATCH(ROW(Create_TC_Web!$C$1:$C$500),ROW(Create_TC_Web!$C$1:$C$500)),""),ROW(Create_TC_Web!E130))),"")</f>
        <v/>
      </c>
      <c r="E130" t="str" cm="1">
        <f t="array" ref="E130">IFERROR(INDEX(Create_TC_Web!H$1:H$500,SMALL(IF(Create_TC_Web!$C$1:$C$500&lt;&gt;"",MATCH(ROW(Create_TC_Web!$C$1:$C$500),ROW(Create_TC_Web!$C$1:$C$500)),""),ROW(Create_TC_Web!F130))),"")</f>
        <v/>
      </c>
      <c r="F130" t="str" cm="1">
        <f t="array" ref="F130">IFERROR(INDEX(Create_TC_Web!I$1:I$500,SMALL(IF(Create_TC_Web!$C$1:$C$500&lt;&gt;"",MATCH(ROW(Create_TC_Web!$C$1:$C$500),ROW(Create_TC_Web!$C$1:$C$500)),""),ROW(Create_TC_Web!G130))),"")</f>
        <v/>
      </c>
      <c r="G130" t="str" cm="1">
        <f t="array" ref="G130">IFERROR(INDEX(Create_TC_Web!J$1:J$500,SMALL(IF(Create_TC_Web!$C$1:$C$500&lt;&gt;"",MATCH(ROW(Create_TC_Web!$C$1:$C$500),ROW(Create_TC_Web!$C$1:$C$500)),""),ROW(Create_TC_Web!H130))),"")</f>
        <v/>
      </c>
      <c r="H130" t="str" cm="1">
        <f t="array" ref="H130">IFERROR(INDEX(Create_TC_Web!K$1:K$500,SMALL(IF(Create_TC_Web!$C$1:$C$500&lt;&gt;"",MATCH(ROW(Create_TC_Web!$C$1:$C$500),ROW(Create_TC_Web!$C$1:$C$500)),""),ROW(Create_TC_Web!I130))),"")</f>
        <v/>
      </c>
      <c r="I130" t="str" cm="1">
        <f t="array" ref="I130">IFERROR(INDEX(Create_TC_Web!L$1:L$500,SMALL(IF(Create_TC_Web!$C$1:$C$500&lt;&gt;"",MATCH(ROW(Create_TC_Web!$C$1:$C$500),ROW(Create_TC_Web!$C$1:$C$500)),""),ROW(Create_TC_Web!J130))),"")</f>
        <v/>
      </c>
      <c r="J130" t="str" cm="1">
        <f t="array" ref="J130">IFERROR(INDEX(Create_TC_Web!M$1:M$500,SMALL(IF(Create_TC_Web!$C$1:$C$500&lt;&gt;"",MATCH(ROW(Create_TC_Web!$C$1:$C$500),ROW(Create_TC_Web!$C$1:$C$500)),""),ROW(Create_TC_Web!K130))),"")</f>
        <v/>
      </c>
      <c r="K130" t="str" cm="1">
        <f t="array" ref="K130">IFERROR(INDEX(Create_TC_Web!N$1:N$500,SMALL(IF(Create_TC_Web!$C$1:$C$500&lt;&gt;"",MATCH(ROW(Create_TC_Web!$C$1:$C$500),ROW(Create_TC_Web!$C$1:$C$500)),""),ROW(Create_TC_Web!L130))),"")</f>
        <v/>
      </c>
      <c r="L130" t="str" cm="1">
        <f t="array" ref="L130">IFERROR(INDEX(Create_TC_Web!O$1:O$500,SMALL(IF(Create_TC_Web!$C$1:$C$500&lt;&gt;"",MATCH(ROW(Create_TC_Web!$C$1:$C$500),ROW(Create_TC_Web!$C$1:$C$500)),""),ROW(Create_TC_Web!M130))),"")</f>
        <v/>
      </c>
      <c r="M130" t="str" cm="1">
        <f t="array" ref="M130">IFERROR(INDEX(Create_TC_Web!P$1:P$500,SMALL(IF(Create_TC_Web!$C$1:$C$500&lt;&gt;"",MATCH(ROW(Create_TC_Web!$C$1:$C$500),ROW(Create_TC_Web!$C$1:$C$500)),""),ROW(Create_TC_Web!N130))),"")</f>
        <v/>
      </c>
      <c r="N130">
        <f>Create_TC_Web!CA139</f>
        <v>0</v>
      </c>
      <c r="O130" t="str">
        <f t="shared" si="7"/>
        <v/>
      </c>
      <c r="P130" s="17">
        <f>Create_TC_Web!CI117</f>
        <v>0</v>
      </c>
      <c r="S130" t="str">
        <f t="shared" si="9"/>
        <v/>
      </c>
    </row>
    <row r="131" spans="1:19">
      <c r="A131" t="str" cm="1">
        <f t="array" ref="A131">IFERROR(INDEX(Create_TC_Web!D$1:D$500,SMALL(IF(Create_TC_Web!$C$1:$C$500&lt;&gt;"",MATCH(ROW(Create_TC_Web!$C$1:$C$500),ROW(Create_TC_Web!$C$1:$C$500)),""),ROW(Create_TC_Web!B131))),"")</f>
        <v/>
      </c>
      <c r="B131" t="str" cm="1">
        <f t="array" ref="B131">SUBSTITUTE(SUBSTITUTE(SUBSTITUTE(IFERROR(INDEX(Create_TC_Web!E$1:E$505,SMALL(IF(Create_TC_Web!$C$1:$C$505&lt;&gt;"",MATCH(ROW(Create_TC_Web!$C$1:$C$505),ROW(Create_TC_Web!$C$1:$C$505)),""),ROW(Create_TC_Web!C131))),"")," ",""),"-",""),"_","")</f>
        <v/>
      </c>
      <c r="C131" t="str" cm="1">
        <f t="array" ref="C131">IFERROR(INDEX(Create_TC_Web!F$1:F$500,SMALL(IF(Create_TC_Web!$C$1:$C$500&lt;&gt;"",MATCH(ROW(Create_TC_Web!$C$1:$C$500),ROW(Create_TC_Web!$C$1:$C$500)),""),ROW(Create_TC_Web!D131))),"")</f>
        <v/>
      </c>
      <c r="D131" t="str" cm="1">
        <f t="array" ref="D131">IFERROR(INDEX(Create_TC_Web!G$1:G$500,SMALL(IF(Create_TC_Web!$C$1:$C$500&lt;&gt;"",MATCH(ROW(Create_TC_Web!$C$1:$C$500),ROW(Create_TC_Web!$C$1:$C$500)),""),ROW(Create_TC_Web!E131))),"")</f>
        <v/>
      </c>
      <c r="E131" t="str" cm="1">
        <f t="array" ref="E131">IFERROR(INDEX(Create_TC_Web!H$1:H$500,SMALL(IF(Create_TC_Web!$C$1:$C$500&lt;&gt;"",MATCH(ROW(Create_TC_Web!$C$1:$C$500),ROW(Create_TC_Web!$C$1:$C$500)),""),ROW(Create_TC_Web!F131))),"")</f>
        <v/>
      </c>
      <c r="F131" t="str" cm="1">
        <f t="array" ref="F131">IFERROR(INDEX(Create_TC_Web!I$1:I$500,SMALL(IF(Create_TC_Web!$C$1:$C$500&lt;&gt;"",MATCH(ROW(Create_TC_Web!$C$1:$C$500),ROW(Create_TC_Web!$C$1:$C$500)),""),ROW(Create_TC_Web!G131))),"")</f>
        <v/>
      </c>
      <c r="G131" t="str" cm="1">
        <f t="array" ref="G131">IFERROR(INDEX(Create_TC_Web!J$1:J$500,SMALL(IF(Create_TC_Web!$C$1:$C$500&lt;&gt;"",MATCH(ROW(Create_TC_Web!$C$1:$C$500),ROW(Create_TC_Web!$C$1:$C$500)),""),ROW(Create_TC_Web!H131))),"")</f>
        <v/>
      </c>
      <c r="H131" t="str" cm="1">
        <f t="array" ref="H131">IFERROR(INDEX(Create_TC_Web!K$1:K$500,SMALL(IF(Create_TC_Web!$C$1:$C$500&lt;&gt;"",MATCH(ROW(Create_TC_Web!$C$1:$C$500),ROW(Create_TC_Web!$C$1:$C$500)),""),ROW(Create_TC_Web!I131))),"")</f>
        <v/>
      </c>
      <c r="I131" t="str" cm="1">
        <f t="array" ref="I131">IFERROR(INDEX(Create_TC_Web!L$1:L$500,SMALL(IF(Create_TC_Web!$C$1:$C$500&lt;&gt;"",MATCH(ROW(Create_TC_Web!$C$1:$C$500),ROW(Create_TC_Web!$C$1:$C$500)),""),ROW(Create_TC_Web!J131))),"")</f>
        <v/>
      </c>
      <c r="J131" t="str" cm="1">
        <f t="array" ref="J131">IFERROR(INDEX(Create_TC_Web!M$1:M$500,SMALL(IF(Create_TC_Web!$C$1:$C$500&lt;&gt;"",MATCH(ROW(Create_TC_Web!$C$1:$C$500),ROW(Create_TC_Web!$C$1:$C$500)),""),ROW(Create_TC_Web!K131))),"")</f>
        <v/>
      </c>
      <c r="K131" t="str" cm="1">
        <f t="array" ref="K131">IFERROR(INDEX(Create_TC_Web!N$1:N$500,SMALL(IF(Create_TC_Web!$C$1:$C$500&lt;&gt;"",MATCH(ROW(Create_TC_Web!$C$1:$C$500),ROW(Create_TC_Web!$C$1:$C$500)),""),ROW(Create_TC_Web!L131))),"")</f>
        <v/>
      </c>
      <c r="L131" t="str" cm="1">
        <f t="array" ref="L131">IFERROR(INDEX(Create_TC_Web!O$1:O$500,SMALL(IF(Create_TC_Web!$C$1:$C$500&lt;&gt;"",MATCH(ROW(Create_TC_Web!$C$1:$C$500),ROW(Create_TC_Web!$C$1:$C$500)),""),ROW(Create_TC_Web!M131))),"")</f>
        <v/>
      </c>
      <c r="M131" t="str" cm="1">
        <f t="array" ref="M131">IFERROR(INDEX(Create_TC_Web!P$1:P$500,SMALL(IF(Create_TC_Web!$C$1:$C$500&lt;&gt;"",MATCH(ROW(Create_TC_Web!$C$1:$C$500),ROW(Create_TC_Web!$C$1:$C$500)),""),ROW(Create_TC_Web!N131))),"")</f>
        <v/>
      </c>
      <c r="N131">
        <f>Create_TC_Web!CA140</f>
        <v>0</v>
      </c>
      <c r="O131" t="str">
        <f t="shared" ref="O131:O194" si="11">IF(N131&lt;&gt;0,N131,"")</f>
        <v/>
      </c>
      <c r="P131" s="17" t="str" cm="1">
        <f t="array" ref="P131">IFERROR(INDEX(Create_TC_Web!S$1:S$500,SMALL(IF(Create_TC_Web!$C$1:$C$500&lt;&gt;"",MATCH(ROW(Create_TC_Web!$C$1:$C$500),ROW(Create_TC_Web!$C$1:$C$500)),""),ROW(Create_TC_Web!Q109))),"")</f>
        <v/>
      </c>
      <c r="S131" t="str">
        <f t="shared" ref="S131:S194" si="12">IF(P131&lt;&gt;0,P131,"")</f>
        <v/>
      </c>
    </row>
    <row r="132" spans="1:19">
      <c r="A132" t="str" cm="1">
        <f t="array" ref="A132">IFERROR(INDEX(Create_TC_Web!D$1:D$500,SMALL(IF(Create_TC_Web!$C$1:$C$500&lt;&gt;"",MATCH(ROW(Create_TC_Web!$C$1:$C$500),ROW(Create_TC_Web!$C$1:$C$500)),""),ROW(Create_TC_Web!B132))),"")</f>
        <v/>
      </c>
      <c r="B132" t="str" cm="1">
        <f t="array" ref="B132">SUBSTITUTE(SUBSTITUTE(SUBSTITUTE(IFERROR(INDEX(Create_TC_Web!E$1:E$505,SMALL(IF(Create_TC_Web!$C$1:$C$505&lt;&gt;"",MATCH(ROW(Create_TC_Web!$C$1:$C$505),ROW(Create_TC_Web!$C$1:$C$505)),""),ROW(Create_TC_Web!C132))),"")," ",""),"-",""),"_","")</f>
        <v/>
      </c>
      <c r="C132" t="str" cm="1">
        <f t="array" ref="C132">IFERROR(INDEX(Create_TC_Web!F$1:F$500,SMALL(IF(Create_TC_Web!$C$1:$C$500&lt;&gt;"",MATCH(ROW(Create_TC_Web!$C$1:$C$500),ROW(Create_TC_Web!$C$1:$C$500)),""),ROW(Create_TC_Web!D132))),"")</f>
        <v/>
      </c>
      <c r="D132" t="str" cm="1">
        <f t="array" ref="D132">IFERROR(INDEX(Create_TC_Web!G$1:G$500,SMALL(IF(Create_TC_Web!$C$1:$C$500&lt;&gt;"",MATCH(ROW(Create_TC_Web!$C$1:$C$500),ROW(Create_TC_Web!$C$1:$C$500)),""),ROW(Create_TC_Web!E132))),"")</f>
        <v/>
      </c>
      <c r="E132" t="str" cm="1">
        <f t="array" ref="E132">IFERROR(INDEX(Create_TC_Web!H$1:H$500,SMALL(IF(Create_TC_Web!$C$1:$C$500&lt;&gt;"",MATCH(ROW(Create_TC_Web!$C$1:$C$500),ROW(Create_TC_Web!$C$1:$C$500)),""),ROW(Create_TC_Web!F132))),"")</f>
        <v/>
      </c>
      <c r="F132" t="str" cm="1">
        <f t="array" ref="F132">IFERROR(INDEX(Create_TC_Web!I$1:I$500,SMALL(IF(Create_TC_Web!$C$1:$C$500&lt;&gt;"",MATCH(ROW(Create_TC_Web!$C$1:$C$500),ROW(Create_TC_Web!$C$1:$C$500)),""),ROW(Create_TC_Web!G132))),"")</f>
        <v/>
      </c>
      <c r="G132" t="str" cm="1">
        <f t="array" ref="G132">IFERROR(INDEX(Create_TC_Web!J$1:J$500,SMALL(IF(Create_TC_Web!$C$1:$C$500&lt;&gt;"",MATCH(ROW(Create_TC_Web!$C$1:$C$500),ROW(Create_TC_Web!$C$1:$C$500)),""),ROW(Create_TC_Web!H132))),"")</f>
        <v/>
      </c>
      <c r="H132" t="str" cm="1">
        <f t="array" ref="H132">IFERROR(INDEX(Create_TC_Web!K$1:K$500,SMALL(IF(Create_TC_Web!$C$1:$C$500&lt;&gt;"",MATCH(ROW(Create_TC_Web!$C$1:$C$500),ROW(Create_TC_Web!$C$1:$C$500)),""),ROW(Create_TC_Web!I132))),"")</f>
        <v/>
      </c>
      <c r="I132" t="str" cm="1">
        <f t="array" ref="I132">IFERROR(INDEX(Create_TC_Web!L$1:L$500,SMALL(IF(Create_TC_Web!$C$1:$C$500&lt;&gt;"",MATCH(ROW(Create_TC_Web!$C$1:$C$500),ROW(Create_TC_Web!$C$1:$C$500)),""),ROW(Create_TC_Web!J132))),"")</f>
        <v/>
      </c>
      <c r="J132" t="str" cm="1">
        <f t="array" ref="J132">IFERROR(INDEX(Create_TC_Web!M$1:M$500,SMALL(IF(Create_TC_Web!$C$1:$C$500&lt;&gt;"",MATCH(ROW(Create_TC_Web!$C$1:$C$500),ROW(Create_TC_Web!$C$1:$C$500)),""),ROW(Create_TC_Web!K132))),"")</f>
        <v/>
      </c>
      <c r="K132" t="str" cm="1">
        <f t="array" ref="K132">IFERROR(INDEX(Create_TC_Web!N$1:N$500,SMALL(IF(Create_TC_Web!$C$1:$C$500&lt;&gt;"",MATCH(ROW(Create_TC_Web!$C$1:$C$500),ROW(Create_TC_Web!$C$1:$C$500)),""),ROW(Create_TC_Web!L132))),"")</f>
        <v/>
      </c>
      <c r="L132" t="str" cm="1">
        <f t="array" ref="L132">IFERROR(INDEX(Create_TC_Web!O$1:O$500,SMALL(IF(Create_TC_Web!$C$1:$C$500&lt;&gt;"",MATCH(ROW(Create_TC_Web!$C$1:$C$500),ROW(Create_TC_Web!$C$1:$C$500)),""),ROW(Create_TC_Web!M132))),"")</f>
        <v/>
      </c>
      <c r="M132" t="str" cm="1">
        <f t="array" ref="M132">IFERROR(INDEX(Create_TC_Web!P$1:P$500,SMALL(IF(Create_TC_Web!$C$1:$C$500&lt;&gt;"",MATCH(ROW(Create_TC_Web!$C$1:$C$500),ROW(Create_TC_Web!$C$1:$C$500)),""),ROW(Create_TC_Web!N132))),"")</f>
        <v/>
      </c>
      <c r="N132">
        <f>Create_TC_Web!CA141</f>
        <v>0</v>
      </c>
      <c r="O132" t="str">
        <f t="shared" si="11"/>
        <v/>
      </c>
      <c r="P132" s="17" t="str" cm="1">
        <f t="array" ref="P132">IFERROR(INDEX(Create_TC_Web!S$1:S$500,SMALL(IF(Create_TC_Web!$C$1:$C$500&lt;&gt;"",MATCH(ROW(Create_TC_Web!$C$1:$C$500),ROW(Create_TC_Web!$C$1:$C$500)),""),ROW(Create_TC_Web!Q110))),"")</f>
        <v/>
      </c>
      <c r="S132" t="str">
        <f t="shared" si="12"/>
        <v/>
      </c>
    </row>
    <row r="133" spans="1:19">
      <c r="A133" t="str" cm="1">
        <f t="array" ref="A133">IFERROR(INDEX(Create_TC_Web!D$1:D$500,SMALL(IF(Create_TC_Web!$C$1:$C$500&lt;&gt;"",MATCH(ROW(Create_TC_Web!$C$1:$C$500),ROW(Create_TC_Web!$C$1:$C$500)),""),ROW(Create_TC_Web!B133))),"")</f>
        <v/>
      </c>
      <c r="B133" t="str" cm="1">
        <f t="array" ref="B133">SUBSTITUTE(SUBSTITUTE(SUBSTITUTE(IFERROR(INDEX(Create_TC_Web!E$1:E$505,SMALL(IF(Create_TC_Web!$C$1:$C$505&lt;&gt;"",MATCH(ROW(Create_TC_Web!$C$1:$C$505),ROW(Create_TC_Web!$C$1:$C$505)),""),ROW(Create_TC_Web!C133))),"")," ",""),"-",""),"_","")</f>
        <v/>
      </c>
      <c r="C133" t="str" cm="1">
        <f t="array" ref="C133">IFERROR(INDEX(Create_TC_Web!F$1:F$500,SMALL(IF(Create_TC_Web!$C$1:$C$500&lt;&gt;"",MATCH(ROW(Create_TC_Web!$C$1:$C$500),ROW(Create_TC_Web!$C$1:$C$500)),""),ROW(Create_TC_Web!D133))),"")</f>
        <v/>
      </c>
      <c r="D133" t="str" cm="1">
        <f t="array" ref="D133">IFERROR(INDEX(Create_TC_Web!G$1:G$500,SMALL(IF(Create_TC_Web!$C$1:$C$500&lt;&gt;"",MATCH(ROW(Create_TC_Web!$C$1:$C$500),ROW(Create_TC_Web!$C$1:$C$500)),""),ROW(Create_TC_Web!E133))),"")</f>
        <v/>
      </c>
      <c r="E133" t="str" cm="1">
        <f t="array" ref="E133">IFERROR(INDEX(Create_TC_Web!H$1:H$500,SMALL(IF(Create_TC_Web!$C$1:$C$500&lt;&gt;"",MATCH(ROW(Create_TC_Web!$C$1:$C$500),ROW(Create_TC_Web!$C$1:$C$500)),""),ROW(Create_TC_Web!F133))),"")</f>
        <v/>
      </c>
      <c r="F133" t="str" cm="1">
        <f t="array" ref="F133">IFERROR(INDEX(Create_TC_Web!I$1:I$500,SMALL(IF(Create_TC_Web!$C$1:$C$500&lt;&gt;"",MATCH(ROW(Create_TC_Web!$C$1:$C$500),ROW(Create_TC_Web!$C$1:$C$500)),""),ROW(Create_TC_Web!G133))),"")</f>
        <v/>
      </c>
      <c r="G133" t="str" cm="1">
        <f t="array" ref="G133">IFERROR(INDEX(Create_TC_Web!J$1:J$500,SMALL(IF(Create_TC_Web!$C$1:$C$500&lt;&gt;"",MATCH(ROW(Create_TC_Web!$C$1:$C$500),ROW(Create_TC_Web!$C$1:$C$500)),""),ROW(Create_TC_Web!H133))),"")</f>
        <v/>
      </c>
      <c r="H133" t="str" cm="1">
        <f t="array" ref="H133">IFERROR(INDEX(Create_TC_Web!K$1:K$500,SMALL(IF(Create_TC_Web!$C$1:$C$500&lt;&gt;"",MATCH(ROW(Create_TC_Web!$C$1:$C$500),ROW(Create_TC_Web!$C$1:$C$500)),""),ROW(Create_TC_Web!I133))),"")</f>
        <v/>
      </c>
      <c r="I133" t="str" cm="1">
        <f t="array" ref="I133">IFERROR(INDEX(Create_TC_Web!L$1:L$500,SMALL(IF(Create_TC_Web!$C$1:$C$500&lt;&gt;"",MATCH(ROW(Create_TC_Web!$C$1:$C$500),ROW(Create_TC_Web!$C$1:$C$500)),""),ROW(Create_TC_Web!J133))),"")</f>
        <v/>
      </c>
      <c r="J133" t="str" cm="1">
        <f t="array" ref="J133">IFERROR(INDEX(Create_TC_Web!M$1:M$500,SMALL(IF(Create_TC_Web!$C$1:$C$500&lt;&gt;"",MATCH(ROW(Create_TC_Web!$C$1:$C$500),ROW(Create_TC_Web!$C$1:$C$500)),""),ROW(Create_TC_Web!K133))),"")</f>
        <v/>
      </c>
      <c r="K133" t="str" cm="1">
        <f t="array" ref="K133">IFERROR(INDEX(Create_TC_Web!N$1:N$500,SMALL(IF(Create_TC_Web!$C$1:$C$500&lt;&gt;"",MATCH(ROW(Create_TC_Web!$C$1:$C$500),ROW(Create_TC_Web!$C$1:$C$500)),""),ROW(Create_TC_Web!L133))),"")</f>
        <v/>
      </c>
      <c r="L133" t="str" cm="1">
        <f t="array" ref="L133">IFERROR(INDEX(Create_TC_Web!O$1:O$500,SMALL(IF(Create_TC_Web!$C$1:$C$500&lt;&gt;"",MATCH(ROW(Create_TC_Web!$C$1:$C$500),ROW(Create_TC_Web!$C$1:$C$500)),""),ROW(Create_TC_Web!M133))),"")</f>
        <v/>
      </c>
      <c r="M133" t="str" cm="1">
        <f t="array" ref="M133">IFERROR(INDEX(Create_TC_Web!P$1:P$500,SMALL(IF(Create_TC_Web!$C$1:$C$500&lt;&gt;"",MATCH(ROW(Create_TC_Web!$C$1:$C$500),ROW(Create_TC_Web!$C$1:$C$500)),""),ROW(Create_TC_Web!N133))),"")</f>
        <v/>
      </c>
      <c r="N133">
        <f>Create_TC_Web!CA142</f>
        <v>0</v>
      </c>
      <c r="O133" t="str">
        <f t="shared" si="11"/>
        <v/>
      </c>
      <c r="P133" s="17" t="str" cm="1">
        <f t="array" ref="P133">IFERROR(INDEX(Create_TC_Web!S$1:S$500,SMALL(IF(Create_TC_Web!$C$1:$C$500&lt;&gt;"",MATCH(ROW(Create_TC_Web!$C$1:$C$500),ROW(Create_TC_Web!$C$1:$C$500)),""),ROW(Create_TC_Web!Q111))),"")</f>
        <v/>
      </c>
      <c r="S133" t="str">
        <f t="shared" si="12"/>
        <v/>
      </c>
    </row>
    <row r="134" spans="1:19">
      <c r="A134" t="str" cm="1">
        <f t="array" ref="A134">IFERROR(INDEX(Create_TC_Web!D$1:D$500,SMALL(IF(Create_TC_Web!$C$1:$C$500&lt;&gt;"",MATCH(ROW(Create_TC_Web!$C$1:$C$500),ROW(Create_TC_Web!$C$1:$C$500)),""),ROW(Create_TC_Web!B134))),"")</f>
        <v/>
      </c>
      <c r="B134" t="str" cm="1">
        <f t="array" ref="B134">SUBSTITUTE(SUBSTITUTE(SUBSTITUTE(IFERROR(INDEX(Create_TC_Web!E$1:E$505,SMALL(IF(Create_TC_Web!$C$1:$C$505&lt;&gt;"",MATCH(ROW(Create_TC_Web!$C$1:$C$505),ROW(Create_TC_Web!$C$1:$C$505)),""),ROW(Create_TC_Web!C134))),"")," ",""),"-",""),"_","")</f>
        <v/>
      </c>
      <c r="C134" t="str" cm="1">
        <f t="array" ref="C134">IFERROR(INDEX(Create_TC_Web!F$1:F$500,SMALL(IF(Create_TC_Web!$C$1:$C$500&lt;&gt;"",MATCH(ROW(Create_TC_Web!$C$1:$C$500),ROW(Create_TC_Web!$C$1:$C$500)),""),ROW(Create_TC_Web!D134))),"")</f>
        <v/>
      </c>
      <c r="D134" t="str" cm="1">
        <f t="array" ref="D134">IFERROR(INDEX(Create_TC_Web!G$1:G$500,SMALL(IF(Create_TC_Web!$C$1:$C$500&lt;&gt;"",MATCH(ROW(Create_TC_Web!$C$1:$C$500),ROW(Create_TC_Web!$C$1:$C$500)),""),ROW(Create_TC_Web!E134))),"")</f>
        <v/>
      </c>
      <c r="E134" t="str" cm="1">
        <f t="array" ref="E134">IFERROR(INDEX(Create_TC_Web!H$1:H$500,SMALL(IF(Create_TC_Web!$C$1:$C$500&lt;&gt;"",MATCH(ROW(Create_TC_Web!$C$1:$C$500),ROW(Create_TC_Web!$C$1:$C$500)),""),ROW(Create_TC_Web!F134))),"")</f>
        <v/>
      </c>
      <c r="F134" t="str" cm="1">
        <f t="array" ref="F134">IFERROR(INDEX(Create_TC_Web!I$1:I$500,SMALL(IF(Create_TC_Web!$C$1:$C$500&lt;&gt;"",MATCH(ROW(Create_TC_Web!$C$1:$C$500),ROW(Create_TC_Web!$C$1:$C$500)),""),ROW(Create_TC_Web!G134))),"")</f>
        <v/>
      </c>
      <c r="G134" t="str" cm="1">
        <f t="array" ref="G134">IFERROR(INDEX(Create_TC_Web!J$1:J$500,SMALL(IF(Create_TC_Web!$C$1:$C$500&lt;&gt;"",MATCH(ROW(Create_TC_Web!$C$1:$C$500),ROW(Create_TC_Web!$C$1:$C$500)),""),ROW(Create_TC_Web!H134))),"")</f>
        <v/>
      </c>
      <c r="H134" t="str" cm="1">
        <f t="array" ref="H134">IFERROR(INDEX(Create_TC_Web!K$1:K$500,SMALL(IF(Create_TC_Web!$C$1:$C$500&lt;&gt;"",MATCH(ROW(Create_TC_Web!$C$1:$C$500),ROW(Create_TC_Web!$C$1:$C$500)),""),ROW(Create_TC_Web!I134))),"")</f>
        <v/>
      </c>
      <c r="I134" t="str" cm="1">
        <f t="array" ref="I134">IFERROR(INDEX(Create_TC_Web!L$1:L$500,SMALL(IF(Create_TC_Web!$C$1:$C$500&lt;&gt;"",MATCH(ROW(Create_TC_Web!$C$1:$C$500),ROW(Create_TC_Web!$C$1:$C$500)),""),ROW(Create_TC_Web!J134))),"")</f>
        <v/>
      </c>
      <c r="J134" t="str" cm="1">
        <f t="array" ref="J134">IFERROR(INDEX(Create_TC_Web!M$1:M$500,SMALL(IF(Create_TC_Web!$C$1:$C$500&lt;&gt;"",MATCH(ROW(Create_TC_Web!$C$1:$C$500),ROW(Create_TC_Web!$C$1:$C$500)),""),ROW(Create_TC_Web!K134))),"")</f>
        <v/>
      </c>
      <c r="K134" t="str" cm="1">
        <f t="array" ref="K134">IFERROR(INDEX(Create_TC_Web!N$1:N$500,SMALL(IF(Create_TC_Web!$C$1:$C$500&lt;&gt;"",MATCH(ROW(Create_TC_Web!$C$1:$C$500),ROW(Create_TC_Web!$C$1:$C$500)),""),ROW(Create_TC_Web!L134))),"")</f>
        <v/>
      </c>
      <c r="L134" t="str" cm="1">
        <f t="array" ref="L134">IFERROR(INDEX(Create_TC_Web!O$1:O$500,SMALL(IF(Create_TC_Web!$C$1:$C$500&lt;&gt;"",MATCH(ROW(Create_TC_Web!$C$1:$C$500),ROW(Create_TC_Web!$C$1:$C$500)),""),ROW(Create_TC_Web!M134))),"")</f>
        <v/>
      </c>
      <c r="M134" t="str" cm="1">
        <f t="array" ref="M134">IFERROR(INDEX(Create_TC_Web!P$1:P$500,SMALL(IF(Create_TC_Web!$C$1:$C$500&lt;&gt;"",MATCH(ROW(Create_TC_Web!$C$1:$C$500),ROW(Create_TC_Web!$C$1:$C$500)),""),ROW(Create_TC_Web!N134))),"")</f>
        <v/>
      </c>
      <c r="N134">
        <f>Create_TC_Web!CA143</f>
        <v>0</v>
      </c>
      <c r="O134" t="str">
        <f t="shared" si="11"/>
        <v/>
      </c>
      <c r="P134" s="17" t="str" cm="1">
        <f t="array" ref="P134">IFERROR(INDEX(Create_TC_Web!S$1:S$500,SMALL(IF(Create_TC_Web!$C$1:$C$500&lt;&gt;"",MATCH(ROW(Create_TC_Web!$C$1:$C$500),ROW(Create_TC_Web!$C$1:$C$500)),""),ROW(Create_TC_Web!Q112))),"")</f>
        <v/>
      </c>
      <c r="S134" t="str">
        <f t="shared" si="12"/>
        <v/>
      </c>
    </row>
    <row r="135" spans="1:19">
      <c r="A135" t="str" cm="1">
        <f t="array" ref="A135">IFERROR(INDEX(Create_TC_Web!D$1:D$500,SMALL(IF(Create_TC_Web!$C$1:$C$500&lt;&gt;"",MATCH(ROW(Create_TC_Web!$C$1:$C$500),ROW(Create_TC_Web!$C$1:$C$500)),""),ROW(Create_TC_Web!B135))),"")</f>
        <v/>
      </c>
      <c r="B135" t="str" cm="1">
        <f t="array" ref="B135">SUBSTITUTE(SUBSTITUTE(SUBSTITUTE(IFERROR(INDEX(Create_TC_Web!E$1:E$505,SMALL(IF(Create_TC_Web!$C$1:$C$505&lt;&gt;"",MATCH(ROW(Create_TC_Web!$C$1:$C$505),ROW(Create_TC_Web!$C$1:$C$505)),""),ROW(Create_TC_Web!C135))),"")," ",""),"-",""),"_","")</f>
        <v/>
      </c>
      <c r="C135" t="str" cm="1">
        <f t="array" ref="C135">IFERROR(INDEX(Create_TC_Web!F$1:F$500,SMALL(IF(Create_TC_Web!$C$1:$C$500&lt;&gt;"",MATCH(ROW(Create_TC_Web!$C$1:$C$500),ROW(Create_TC_Web!$C$1:$C$500)),""),ROW(Create_TC_Web!D135))),"")</f>
        <v/>
      </c>
      <c r="D135" t="str" cm="1">
        <f t="array" ref="D135">IFERROR(INDEX(Create_TC_Web!G$1:G$500,SMALL(IF(Create_TC_Web!$C$1:$C$500&lt;&gt;"",MATCH(ROW(Create_TC_Web!$C$1:$C$500),ROW(Create_TC_Web!$C$1:$C$500)),""),ROW(Create_TC_Web!E135))),"")</f>
        <v/>
      </c>
      <c r="E135" t="str" cm="1">
        <f t="array" ref="E135">IFERROR(INDEX(Create_TC_Web!H$1:H$500,SMALL(IF(Create_TC_Web!$C$1:$C$500&lt;&gt;"",MATCH(ROW(Create_TC_Web!$C$1:$C$500),ROW(Create_TC_Web!$C$1:$C$500)),""),ROW(Create_TC_Web!F135))),"")</f>
        <v/>
      </c>
      <c r="F135" t="str" cm="1">
        <f t="array" ref="F135">IFERROR(INDEX(Create_TC_Web!I$1:I$500,SMALL(IF(Create_TC_Web!$C$1:$C$500&lt;&gt;"",MATCH(ROW(Create_TC_Web!$C$1:$C$500),ROW(Create_TC_Web!$C$1:$C$500)),""),ROW(Create_TC_Web!G135))),"")</f>
        <v/>
      </c>
      <c r="G135" t="str" cm="1">
        <f t="array" ref="G135">IFERROR(INDEX(Create_TC_Web!J$1:J$500,SMALL(IF(Create_TC_Web!$C$1:$C$500&lt;&gt;"",MATCH(ROW(Create_TC_Web!$C$1:$C$500),ROW(Create_TC_Web!$C$1:$C$500)),""),ROW(Create_TC_Web!H135))),"")</f>
        <v/>
      </c>
      <c r="H135" t="str" cm="1">
        <f t="array" ref="H135">IFERROR(INDEX(Create_TC_Web!K$1:K$500,SMALL(IF(Create_TC_Web!$C$1:$C$500&lt;&gt;"",MATCH(ROW(Create_TC_Web!$C$1:$C$500),ROW(Create_TC_Web!$C$1:$C$500)),""),ROW(Create_TC_Web!I135))),"")</f>
        <v/>
      </c>
      <c r="I135" t="str" cm="1">
        <f t="array" ref="I135">IFERROR(INDEX(Create_TC_Web!L$1:L$500,SMALL(IF(Create_TC_Web!$C$1:$C$500&lt;&gt;"",MATCH(ROW(Create_TC_Web!$C$1:$C$500),ROW(Create_TC_Web!$C$1:$C$500)),""),ROW(Create_TC_Web!J135))),"")</f>
        <v/>
      </c>
      <c r="J135" t="str" cm="1">
        <f t="array" ref="J135">IFERROR(INDEX(Create_TC_Web!M$1:M$500,SMALL(IF(Create_TC_Web!$C$1:$C$500&lt;&gt;"",MATCH(ROW(Create_TC_Web!$C$1:$C$500),ROW(Create_TC_Web!$C$1:$C$500)),""),ROW(Create_TC_Web!K135))),"")</f>
        <v/>
      </c>
      <c r="K135" t="str" cm="1">
        <f t="array" ref="K135">IFERROR(INDEX(Create_TC_Web!N$1:N$500,SMALL(IF(Create_TC_Web!$C$1:$C$500&lt;&gt;"",MATCH(ROW(Create_TC_Web!$C$1:$C$500),ROW(Create_TC_Web!$C$1:$C$500)),""),ROW(Create_TC_Web!L135))),"")</f>
        <v/>
      </c>
      <c r="L135" t="str" cm="1">
        <f t="array" ref="L135">IFERROR(INDEX(Create_TC_Web!O$1:O$500,SMALL(IF(Create_TC_Web!$C$1:$C$500&lt;&gt;"",MATCH(ROW(Create_TC_Web!$C$1:$C$500),ROW(Create_TC_Web!$C$1:$C$500)),""),ROW(Create_TC_Web!M135))),"")</f>
        <v/>
      </c>
      <c r="M135" t="str" cm="1">
        <f t="array" ref="M135">IFERROR(INDEX(Create_TC_Web!P$1:P$500,SMALL(IF(Create_TC_Web!$C$1:$C$500&lt;&gt;"",MATCH(ROW(Create_TC_Web!$C$1:$C$500),ROW(Create_TC_Web!$C$1:$C$500)),""),ROW(Create_TC_Web!N135))),"")</f>
        <v/>
      </c>
      <c r="N135">
        <f>Create_TC_Web!CA144</f>
        <v>0</v>
      </c>
      <c r="O135" t="str">
        <f t="shared" si="11"/>
        <v/>
      </c>
      <c r="P135" s="17" t="str" cm="1">
        <f t="array" ref="P135">IFERROR(INDEX(Create_TC_Web!S$1:S$500,SMALL(IF(Create_TC_Web!$C$1:$C$500&lt;&gt;"",MATCH(ROW(Create_TC_Web!$C$1:$C$500),ROW(Create_TC_Web!$C$1:$C$500)),""),ROW(Create_TC_Web!Q113))),"")</f>
        <v/>
      </c>
      <c r="S135" t="str">
        <f t="shared" si="12"/>
        <v/>
      </c>
    </row>
    <row r="136" spans="1:19">
      <c r="A136" t="str" cm="1">
        <f t="array" ref="A136">IFERROR(INDEX(Create_TC_Web!D$1:D$500,SMALL(IF(Create_TC_Web!$C$1:$C$500&lt;&gt;"",MATCH(ROW(Create_TC_Web!$C$1:$C$500),ROW(Create_TC_Web!$C$1:$C$500)),""),ROW(Create_TC_Web!B136))),"")</f>
        <v/>
      </c>
      <c r="B136" t="str" cm="1">
        <f t="array" ref="B136">SUBSTITUTE(SUBSTITUTE(SUBSTITUTE(IFERROR(INDEX(Create_TC_Web!E$1:E$505,SMALL(IF(Create_TC_Web!$C$1:$C$505&lt;&gt;"",MATCH(ROW(Create_TC_Web!$C$1:$C$505),ROW(Create_TC_Web!$C$1:$C$505)),""),ROW(Create_TC_Web!C136))),"")," ",""),"-",""),"_","")</f>
        <v/>
      </c>
      <c r="C136" t="str" cm="1">
        <f t="array" ref="C136">IFERROR(INDEX(Create_TC_Web!F$1:F$500,SMALL(IF(Create_TC_Web!$C$1:$C$500&lt;&gt;"",MATCH(ROW(Create_TC_Web!$C$1:$C$500),ROW(Create_TC_Web!$C$1:$C$500)),""),ROW(Create_TC_Web!D136))),"")</f>
        <v/>
      </c>
      <c r="D136" t="str" cm="1">
        <f t="array" ref="D136">IFERROR(INDEX(Create_TC_Web!G$1:G$500,SMALL(IF(Create_TC_Web!$C$1:$C$500&lt;&gt;"",MATCH(ROW(Create_TC_Web!$C$1:$C$500),ROW(Create_TC_Web!$C$1:$C$500)),""),ROW(Create_TC_Web!E136))),"")</f>
        <v/>
      </c>
      <c r="E136" t="str" cm="1">
        <f t="array" ref="E136">IFERROR(INDEX(Create_TC_Web!H$1:H$500,SMALL(IF(Create_TC_Web!$C$1:$C$500&lt;&gt;"",MATCH(ROW(Create_TC_Web!$C$1:$C$500),ROW(Create_TC_Web!$C$1:$C$500)),""),ROW(Create_TC_Web!F136))),"")</f>
        <v/>
      </c>
      <c r="F136" t="str" cm="1">
        <f t="array" ref="F136">IFERROR(INDEX(Create_TC_Web!I$1:I$500,SMALL(IF(Create_TC_Web!$C$1:$C$500&lt;&gt;"",MATCH(ROW(Create_TC_Web!$C$1:$C$500),ROW(Create_TC_Web!$C$1:$C$500)),""),ROW(Create_TC_Web!G136))),"")</f>
        <v/>
      </c>
      <c r="G136" t="str" cm="1">
        <f t="array" ref="G136">IFERROR(INDEX(Create_TC_Web!J$1:J$500,SMALL(IF(Create_TC_Web!$C$1:$C$500&lt;&gt;"",MATCH(ROW(Create_TC_Web!$C$1:$C$500),ROW(Create_TC_Web!$C$1:$C$500)),""),ROW(Create_TC_Web!H136))),"")</f>
        <v/>
      </c>
      <c r="H136" t="str" cm="1">
        <f t="array" ref="H136">IFERROR(INDEX(Create_TC_Web!K$1:K$500,SMALL(IF(Create_TC_Web!$C$1:$C$500&lt;&gt;"",MATCH(ROW(Create_TC_Web!$C$1:$C$500),ROW(Create_TC_Web!$C$1:$C$500)),""),ROW(Create_TC_Web!I136))),"")</f>
        <v/>
      </c>
      <c r="I136" t="str" cm="1">
        <f t="array" ref="I136">IFERROR(INDEX(Create_TC_Web!L$1:L$500,SMALL(IF(Create_TC_Web!$C$1:$C$500&lt;&gt;"",MATCH(ROW(Create_TC_Web!$C$1:$C$500),ROW(Create_TC_Web!$C$1:$C$500)),""),ROW(Create_TC_Web!J136))),"")</f>
        <v/>
      </c>
      <c r="J136" t="str" cm="1">
        <f t="array" ref="J136">IFERROR(INDEX(Create_TC_Web!M$1:M$500,SMALL(IF(Create_TC_Web!$C$1:$C$500&lt;&gt;"",MATCH(ROW(Create_TC_Web!$C$1:$C$500),ROW(Create_TC_Web!$C$1:$C$500)),""),ROW(Create_TC_Web!K136))),"")</f>
        <v/>
      </c>
      <c r="K136" t="str" cm="1">
        <f t="array" ref="K136">IFERROR(INDEX(Create_TC_Web!N$1:N$500,SMALL(IF(Create_TC_Web!$C$1:$C$500&lt;&gt;"",MATCH(ROW(Create_TC_Web!$C$1:$C$500),ROW(Create_TC_Web!$C$1:$C$500)),""),ROW(Create_TC_Web!L136))),"")</f>
        <v/>
      </c>
      <c r="L136" t="str" cm="1">
        <f t="array" ref="L136">IFERROR(INDEX(Create_TC_Web!O$1:O$500,SMALL(IF(Create_TC_Web!$C$1:$C$500&lt;&gt;"",MATCH(ROW(Create_TC_Web!$C$1:$C$500),ROW(Create_TC_Web!$C$1:$C$500)),""),ROW(Create_TC_Web!M136))),"")</f>
        <v/>
      </c>
      <c r="M136" t="str" cm="1">
        <f t="array" ref="M136">IFERROR(INDEX(Create_TC_Web!P$1:P$500,SMALL(IF(Create_TC_Web!$C$1:$C$500&lt;&gt;"",MATCH(ROW(Create_TC_Web!$C$1:$C$500),ROW(Create_TC_Web!$C$1:$C$500)),""),ROW(Create_TC_Web!N136))),"")</f>
        <v/>
      </c>
      <c r="N136">
        <f>Create_TC_Web!CA145</f>
        <v>0</v>
      </c>
      <c r="O136" t="str">
        <f t="shared" si="11"/>
        <v/>
      </c>
      <c r="P136" s="17" t="str" cm="1">
        <f t="array" ref="P136">IFERROR(INDEX(Create_TC_Web!S$1:S$500,SMALL(IF(Create_TC_Web!$C$1:$C$500&lt;&gt;"",MATCH(ROW(Create_TC_Web!$C$1:$C$500),ROW(Create_TC_Web!$C$1:$C$500)),""),ROW(Create_TC_Web!Q114))),"")</f>
        <v/>
      </c>
      <c r="S136" t="str">
        <f t="shared" si="12"/>
        <v/>
      </c>
    </row>
    <row r="137" spans="1:19">
      <c r="A137" t="str" cm="1">
        <f t="array" ref="A137">IFERROR(INDEX(Create_TC_Web!D$1:D$500,SMALL(IF(Create_TC_Web!$C$1:$C$500&lt;&gt;"",MATCH(ROW(Create_TC_Web!$C$1:$C$500),ROW(Create_TC_Web!$C$1:$C$500)),""),ROW(Create_TC_Web!B137))),"")</f>
        <v/>
      </c>
      <c r="B137" t="str" cm="1">
        <f t="array" ref="B137">SUBSTITUTE(SUBSTITUTE(SUBSTITUTE(IFERROR(INDEX(Create_TC_Web!E$1:E$505,SMALL(IF(Create_TC_Web!$C$1:$C$505&lt;&gt;"",MATCH(ROW(Create_TC_Web!$C$1:$C$505),ROW(Create_TC_Web!$C$1:$C$505)),""),ROW(Create_TC_Web!C137))),"")," ",""),"-",""),"_","")</f>
        <v/>
      </c>
      <c r="C137" t="str" cm="1">
        <f t="array" ref="C137">IFERROR(INDEX(Create_TC_Web!F$1:F$500,SMALL(IF(Create_TC_Web!$C$1:$C$500&lt;&gt;"",MATCH(ROW(Create_TC_Web!$C$1:$C$500),ROW(Create_TC_Web!$C$1:$C$500)),""),ROW(Create_TC_Web!D137))),"")</f>
        <v/>
      </c>
      <c r="D137" t="str" cm="1">
        <f t="array" ref="D137">IFERROR(INDEX(Create_TC_Web!G$1:G$500,SMALL(IF(Create_TC_Web!$C$1:$C$500&lt;&gt;"",MATCH(ROW(Create_TC_Web!$C$1:$C$500),ROW(Create_TC_Web!$C$1:$C$500)),""),ROW(Create_TC_Web!E137))),"")</f>
        <v/>
      </c>
      <c r="E137" t="str" cm="1">
        <f t="array" ref="E137">IFERROR(INDEX(Create_TC_Web!H$1:H$500,SMALL(IF(Create_TC_Web!$C$1:$C$500&lt;&gt;"",MATCH(ROW(Create_TC_Web!$C$1:$C$500),ROW(Create_TC_Web!$C$1:$C$500)),""),ROW(Create_TC_Web!F137))),"")</f>
        <v/>
      </c>
      <c r="F137" t="str" cm="1">
        <f t="array" ref="F137">IFERROR(INDEX(Create_TC_Web!I$1:I$500,SMALL(IF(Create_TC_Web!$C$1:$C$500&lt;&gt;"",MATCH(ROW(Create_TC_Web!$C$1:$C$500),ROW(Create_TC_Web!$C$1:$C$500)),""),ROW(Create_TC_Web!G137))),"")</f>
        <v/>
      </c>
      <c r="G137" t="str" cm="1">
        <f t="array" ref="G137">IFERROR(INDEX(Create_TC_Web!J$1:J$500,SMALL(IF(Create_TC_Web!$C$1:$C$500&lt;&gt;"",MATCH(ROW(Create_TC_Web!$C$1:$C$500),ROW(Create_TC_Web!$C$1:$C$500)),""),ROW(Create_TC_Web!H137))),"")</f>
        <v/>
      </c>
      <c r="H137" t="str" cm="1">
        <f t="array" ref="H137">IFERROR(INDEX(Create_TC_Web!K$1:K$500,SMALL(IF(Create_TC_Web!$C$1:$C$500&lt;&gt;"",MATCH(ROW(Create_TC_Web!$C$1:$C$500),ROW(Create_TC_Web!$C$1:$C$500)),""),ROW(Create_TC_Web!I137))),"")</f>
        <v/>
      </c>
      <c r="I137" t="str" cm="1">
        <f t="array" ref="I137">IFERROR(INDEX(Create_TC_Web!L$1:L$500,SMALL(IF(Create_TC_Web!$C$1:$C$500&lt;&gt;"",MATCH(ROW(Create_TC_Web!$C$1:$C$500),ROW(Create_TC_Web!$C$1:$C$500)),""),ROW(Create_TC_Web!J137))),"")</f>
        <v/>
      </c>
      <c r="J137" t="str" cm="1">
        <f t="array" ref="J137">IFERROR(INDEX(Create_TC_Web!M$1:M$500,SMALL(IF(Create_TC_Web!$C$1:$C$500&lt;&gt;"",MATCH(ROW(Create_TC_Web!$C$1:$C$500),ROW(Create_TC_Web!$C$1:$C$500)),""),ROW(Create_TC_Web!K137))),"")</f>
        <v/>
      </c>
      <c r="K137" t="str" cm="1">
        <f t="array" ref="K137">IFERROR(INDEX(Create_TC_Web!N$1:N$500,SMALL(IF(Create_TC_Web!$C$1:$C$500&lt;&gt;"",MATCH(ROW(Create_TC_Web!$C$1:$C$500),ROW(Create_TC_Web!$C$1:$C$500)),""),ROW(Create_TC_Web!L137))),"")</f>
        <v/>
      </c>
      <c r="L137" t="str" cm="1">
        <f t="array" ref="L137">IFERROR(INDEX(Create_TC_Web!O$1:O$500,SMALL(IF(Create_TC_Web!$C$1:$C$500&lt;&gt;"",MATCH(ROW(Create_TC_Web!$C$1:$C$500),ROW(Create_TC_Web!$C$1:$C$500)),""),ROW(Create_TC_Web!M137))),"")</f>
        <v/>
      </c>
      <c r="M137" t="str" cm="1">
        <f t="array" ref="M137">IFERROR(INDEX(Create_TC_Web!P$1:P$500,SMALL(IF(Create_TC_Web!$C$1:$C$500&lt;&gt;"",MATCH(ROW(Create_TC_Web!$C$1:$C$500),ROW(Create_TC_Web!$C$1:$C$500)),""),ROW(Create_TC_Web!N137))),"")</f>
        <v/>
      </c>
      <c r="N137">
        <f>Create_TC_Web!CA146</f>
        <v>0</v>
      </c>
      <c r="O137" t="str">
        <f t="shared" si="11"/>
        <v/>
      </c>
      <c r="P137" s="17" t="str" cm="1">
        <f t="array" ref="P137">IFERROR(INDEX(Create_TC_Web!S$1:S$500,SMALL(IF(Create_TC_Web!$C$1:$C$500&lt;&gt;"",MATCH(ROW(Create_TC_Web!$C$1:$C$500),ROW(Create_TC_Web!$C$1:$C$500)),""),ROW(Create_TC_Web!Q115))),"")</f>
        <v/>
      </c>
      <c r="S137" t="str">
        <f t="shared" si="12"/>
        <v/>
      </c>
    </row>
    <row r="138" spans="1:19">
      <c r="A138" t="str" cm="1">
        <f t="array" ref="A138">IFERROR(INDEX(Create_TC_Web!D$1:D$500,SMALL(IF(Create_TC_Web!$C$1:$C$500&lt;&gt;"",MATCH(ROW(Create_TC_Web!$C$1:$C$500),ROW(Create_TC_Web!$C$1:$C$500)),""),ROW(Create_TC_Web!B138))),"")</f>
        <v/>
      </c>
      <c r="B138" t="str" cm="1">
        <f t="array" ref="B138">SUBSTITUTE(SUBSTITUTE(SUBSTITUTE(IFERROR(INDEX(Create_TC_Web!E$1:E$505,SMALL(IF(Create_TC_Web!$C$1:$C$505&lt;&gt;"",MATCH(ROW(Create_TC_Web!$C$1:$C$505),ROW(Create_TC_Web!$C$1:$C$505)),""),ROW(Create_TC_Web!C138))),"")," ",""),"-",""),"_","")</f>
        <v/>
      </c>
      <c r="C138" t="str" cm="1">
        <f t="array" ref="C138">IFERROR(INDEX(Create_TC_Web!F$1:F$500,SMALL(IF(Create_TC_Web!$C$1:$C$500&lt;&gt;"",MATCH(ROW(Create_TC_Web!$C$1:$C$500),ROW(Create_TC_Web!$C$1:$C$500)),""),ROW(Create_TC_Web!D138))),"")</f>
        <v/>
      </c>
      <c r="D138" t="str" cm="1">
        <f t="array" ref="D138">IFERROR(INDEX(Create_TC_Web!G$1:G$500,SMALL(IF(Create_TC_Web!$C$1:$C$500&lt;&gt;"",MATCH(ROW(Create_TC_Web!$C$1:$C$500),ROW(Create_TC_Web!$C$1:$C$500)),""),ROW(Create_TC_Web!E138))),"")</f>
        <v/>
      </c>
      <c r="E138" t="str" cm="1">
        <f t="array" ref="E138">IFERROR(INDEX(Create_TC_Web!H$1:H$500,SMALL(IF(Create_TC_Web!$C$1:$C$500&lt;&gt;"",MATCH(ROW(Create_TC_Web!$C$1:$C$500),ROW(Create_TC_Web!$C$1:$C$500)),""),ROW(Create_TC_Web!F138))),"")</f>
        <v/>
      </c>
      <c r="F138" t="str" cm="1">
        <f t="array" ref="F138">IFERROR(INDEX(Create_TC_Web!I$1:I$500,SMALL(IF(Create_TC_Web!$C$1:$C$500&lt;&gt;"",MATCH(ROW(Create_TC_Web!$C$1:$C$500),ROW(Create_TC_Web!$C$1:$C$500)),""),ROW(Create_TC_Web!G138))),"")</f>
        <v/>
      </c>
      <c r="G138" t="str" cm="1">
        <f t="array" ref="G138">IFERROR(INDEX(Create_TC_Web!J$1:J$500,SMALL(IF(Create_TC_Web!$C$1:$C$500&lt;&gt;"",MATCH(ROW(Create_TC_Web!$C$1:$C$500),ROW(Create_TC_Web!$C$1:$C$500)),""),ROW(Create_TC_Web!H138))),"")</f>
        <v/>
      </c>
      <c r="H138" t="str" cm="1">
        <f t="array" ref="H138">IFERROR(INDEX(Create_TC_Web!K$1:K$500,SMALL(IF(Create_TC_Web!$C$1:$C$500&lt;&gt;"",MATCH(ROW(Create_TC_Web!$C$1:$C$500),ROW(Create_TC_Web!$C$1:$C$500)),""),ROW(Create_TC_Web!I138))),"")</f>
        <v/>
      </c>
      <c r="I138" t="str" cm="1">
        <f t="array" ref="I138">IFERROR(INDEX(Create_TC_Web!L$1:L$500,SMALL(IF(Create_TC_Web!$C$1:$C$500&lt;&gt;"",MATCH(ROW(Create_TC_Web!$C$1:$C$500),ROW(Create_TC_Web!$C$1:$C$500)),""),ROW(Create_TC_Web!J138))),"")</f>
        <v/>
      </c>
      <c r="J138" t="str" cm="1">
        <f t="array" ref="J138">IFERROR(INDEX(Create_TC_Web!M$1:M$500,SMALL(IF(Create_TC_Web!$C$1:$C$500&lt;&gt;"",MATCH(ROW(Create_TC_Web!$C$1:$C$500),ROW(Create_TC_Web!$C$1:$C$500)),""),ROW(Create_TC_Web!K138))),"")</f>
        <v/>
      </c>
      <c r="K138" t="str" cm="1">
        <f t="array" ref="K138">IFERROR(INDEX(Create_TC_Web!N$1:N$500,SMALL(IF(Create_TC_Web!$C$1:$C$500&lt;&gt;"",MATCH(ROW(Create_TC_Web!$C$1:$C$500),ROW(Create_TC_Web!$C$1:$C$500)),""),ROW(Create_TC_Web!L138))),"")</f>
        <v/>
      </c>
      <c r="L138" t="str" cm="1">
        <f t="array" ref="L138">IFERROR(INDEX(Create_TC_Web!O$1:O$500,SMALL(IF(Create_TC_Web!$C$1:$C$500&lt;&gt;"",MATCH(ROW(Create_TC_Web!$C$1:$C$500),ROW(Create_TC_Web!$C$1:$C$500)),""),ROW(Create_TC_Web!M138))),"")</f>
        <v/>
      </c>
      <c r="M138" t="str" cm="1">
        <f t="array" ref="M138">IFERROR(INDEX(Create_TC_Web!P$1:P$500,SMALL(IF(Create_TC_Web!$C$1:$C$500&lt;&gt;"",MATCH(ROW(Create_TC_Web!$C$1:$C$500),ROW(Create_TC_Web!$C$1:$C$500)),""),ROW(Create_TC_Web!N138))),"")</f>
        <v/>
      </c>
      <c r="N138">
        <f>Create_TC_Web!CA147</f>
        <v>0</v>
      </c>
      <c r="O138" t="str">
        <f t="shared" si="11"/>
        <v/>
      </c>
      <c r="P138" s="17" t="str" cm="1">
        <f t="array" ref="P138">IFERROR(INDEX(Create_TC_Web!S$1:S$500,SMALL(IF(Create_TC_Web!$C$1:$C$500&lt;&gt;"",MATCH(ROW(Create_TC_Web!$C$1:$C$500),ROW(Create_TC_Web!$C$1:$C$500)),""),ROW(Create_TC_Web!Q116))),"")</f>
        <v/>
      </c>
      <c r="S138" t="str">
        <f t="shared" si="12"/>
        <v/>
      </c>
    </row>
    <row r="139" spans="1:19">
      <c r="A139" t="str" cm="1">
        <f t="array" ref="A139">IFERROR(INDEX(Create_TC_Web!D$1:D$500,SMALL(IF(Create_TC_Web!$C$1:$C$500&lt;&gt;"",MATCH(ROW(Create_TC_Web!$C$1:$C$500),ROW(Create_TC_Web!$C$1:$C$500)),""),ROW(Create_TC_Web!B139))),"")</f>
        <v/>
      </c>
      <c r="B139" t="str" cm="1">
        <f t="array" ref="B139">SUBSTITUTE(SUBSTITUTE(SUBSTITUTE(IFERROR(INDEX(Create_TC_Web!E$1:E$505,SMALL(IF(Create_TC_Web!$C$1:$C$505&lt;&gt;"",MATCH(ROW(Create_TC_Web!$C$1:$C$505),ROW(Create_TC_Web!$C$1:$C$505)),""),ROW(Create_TC_Web!C139))),"")," ",""),"-",""),"_","")</f>
        <v/>
      </c>
      <c r="C139" t="str" cm="1">
        <f t="array" ref="C139">IFERROR(INDEX(Create_TC_Web!F$1:F$500,SMALL(IF(Create_TC_Web!$C$1:$C$500&lt;&gt;"",MATCH(ROW(Create_TC_Web!$C$1:$C$500),ROW(Create_TC_Web!$C$1:$C$500)),""),ROW(Create_TC_Web!D139))),"")</f>
        <v/>
      </c>
      <c r="D139" t="str" cm="1">
        <f t="array" ref="D139">IFERROR(INDEX(Create_TC_Web!G$1:G$500,SMALL(IF(Create_TC_Web!$C$1:$C$500&lt;&gt;"",MATCH(ROW(Create_TC_Web!$C$1:$C$500),ROW(Create_TC_Web!$C$1:$C$500)),""),ROW(Create_TC_Web!E139))),"")</f>
        <v/>
      </c>
      <c r="E139" t="str" cm="1">
        <f t="array" ref="E139">IFERROR(INDEX(Create_TC_Web!H$1:H$500,SMALL(IF(Create_TC_Web!$C$1:$C$500&lt;&gt;"",MATCH(ROW(Create_TC_Web!$C$1:$C$500),ROW(Create_TC_Web!$C$1:$C$500)),""),ROW(Create_TC_Web!F139))),"")</f>
        <v/>
      </c>
      <c r="F139" t="str" cm="1">
        <f t="array" ref="F139">IFERROR(INDEX(Create_TC_Web!I$1:I$500,SMALL(IF(Create_TC_Web!$C$1:$C$500&lt;&gt;"",MATCH(ROW(Create_TC_Web!$C$1:$C$500),ROW(Create_TC_Web!$C$1:$C$500)),""),ROW(Create_TC_Web!G139))),"")</f>
        <v/>
      </c>
      <c r="G139" t="str" cm="1">
        <f t="array" ref="G139">IFERROR(INDEX(Create_TC_Web!J$1:J$500,SMALL(IF(Create_TC_Web!$C$1:$C$500&lt;&gt;"",MATCH(ROW(Create_TC_Web!$C$1:$C$500),ROW(Create_TC_Web!$C$1:$C$500)),""),ROW(Create_TC_Web!H139))),"")</f>
        <v/>
      </c>
      <c r="H139" t="str" cm="1">
        <f t="array" ref="H139">IFERROR(INDEX(Create_TC_Web!K$1:K$500,SMALL(IF(Create_TC_Web!$C$1:$C$500&lt;&gt;"",MATCH(ROW(Create_TC_Web!$C$1:$C$500),ROW(Create_TC_Web!$C$1:$C$500)),""),ROW(Create_TC_Web!I139))),"")</f>
        <v/>
      </c>
      <c r="I139" t="str" cm="1">
        <f t="array" ref="I139">IFERROR(INDEX(Create_TC_Web!L$1:L$500,SMALL(IF(Create_TC_Web!$C$1:$C$500&lt;&gt;"",MATCH(ROW(Create_TC_Web!$C$1:$C$500),ROW(Create_TC_Web!$C$1:$C$500)),""),ROW(Create_TC_Web!J139))),"")</f>
        <v/>
      </c>
      <c r="J139" t="str" cm="1">
        <f t="array" ref="J139">IFERROR(INDEX(Create_TC_Web!M$1:M$500,SMALL(IF(Create_TC_Web!$C$1:$C$500&lt;&gt;"",MATCH(ROW(Create_TC_Web!$C$1:$C$500),ROW(Create_TC_Web!$C$1:$C$500)),""),ROW(Create_TC_Web!K139))),"")</f>
        <v/>
      </c>
      <c r="K139" t="str" cm="1">
        <f t="array" ref="K139">IFERROR(INDEX(Create_TC_Web!N$1:N$500,SMALL(IF(Create_TC_Web!$C$1:$C$500&lt;&gt;"",MATCH(ROW(Create_TC_Web!$C$1:$C$500),ROW(Create_TC_Web!$C$1:$C$500)),""),ROW(Create_TC_Web!L139))),"")</f>
        <v/>
      </c>
      <c r="L139" t="str" cm="1">
        <f t="array" ref="L139">IFERROR(INDEX(Create_TC_Web!O$1:O$500,SMALL(IF(Create_TC_Web!$C$1:$C$500&lt;&gt;"",MATCH(ROW(Create_TC_Web!$C$1:$C$500),ROW(Create_TC_Web!$C$1:$C$500)),""),ROW(Create_TC_Web!M139))),"")</f>
        <v/>
      </c>
      <c r="M139" t="str" cm="1">
        <f t="array" ref="M139">IFERROR(INDEX(Create_TC_Web!P$1:P$500,SMALL(IF(Create_TC_Web!$C$1:$C$500&lt;&gt;"",MATCH(ROW(Create_TC_Web!$C$1:$C$500),ROW(Create_TC_Web!$C$1:$C$500)),""),ROW(Create_TC_Web!N139))),"")</f>
        <v/>
      </c>
      <c r="N139">
        <f>Create_TC_Web!CA148</f>
        <v>0</v>
      </c>
      <c r="O139" t="str">
        <f t="shared" si="11"/>
        <v/>
      </c>
      <c r="P139" s="17" t="str" cm="1">
        <f t="array" ref="P139">IFERROR(INDEX(Create_TC_Web!S$1:S$500,SMALL(IF(Create_TC_Web!$C$1:$C$500&lt;&gt;"",MATCH(ROW(Create_TC_Web!$C$1:$C$500),ROW(Create_TC_Web!$C$1:$C$500)),""),ROW(Create_TC_Web!Q117))),"")</f>
        <v/>
      </c>
      <c r="S139" t="str">
        <f t="shared" si="12"/>
        <v/>
      </c>
    </row>
    <row r="140" spans="1:19">
      <c r="A140" t="str" cm="1">
        <f t="array" ref="A140">IFERROR(INDEX(Create_TC_Web!D$1:D$500,SMALL(IF(Create_TC_Web!$C$1:$C$500&lt;&gt;"",MATCH(ROW(Create_TC_Web!$C$1:$C$500),ROW(Create_TC_Web!$C$1:$C$500)),""),ROW(Create_TC_Web!B140))),"")</f>
        <v/>
      </c>
      <c r="B140" t="str" cm="1">
        <f t="array" ref="B140">SUBSTITUTE(SUBSTITUTE(SUBSTITUTE(IFERROR(INDEX(Create_TC_Web!E$1:E$505,SMALL(IF(Create_TC_Web!$C$1:$C$505&lt;&gt;"",MATCH(ROW(Create_TC_Web!$C$1:$C$505),ROW(Create_TC_Web!$C$1:$C$505)),""),ROW(Create_TC_Web!C140))),"")," ",""),"-",""),"_","")</f>
        <v/>
      </c>
      <c r="C140" t="str" cm="1">
        <f t="array" ref="C140">IFERROR(INDEX(Create_TC_Web!F$1:F$500,SMALL(IF(Create_TC_Web!$C$1:$C$500&lt;&gt;"",MATCH(ROW(Create_TC_Web!$C$1:$C$500),ROW(Create_TC_Web!$C$1:$C$500)),""),ROW(Create_TC_Web!D140))),"")</f>
        <v/>
      </c>
      <c r="D140" t="str" cm="1">
        <f t="array" ref="D140">IFERROR(INDEX(Create_TC_Web!G$1:G$500,SMALL(IF(Create_TC_Web!$C$1:$C$500&lt;&gt;"",MATCH(ROW(Create_TC_Web!$C$1:$C$500),ROW(Create_TC_Web!$C$1:$C$500)),""),ROW(Create_TC_Web!E140))),"")</f>
        <v/>
      </c>
      <c r="E140" t="str" cm="1">
        <f t="array" ref="E140">IFERROR(INDEX(Create_TC_Web!H$1:H$500,SMALL(IF(Create_TC_Web!$C$1:$C$500&lt;&gt;"",MATCH(ROW(Create_TC_Web!$C$1:$C$500),ROW(Create_TC_Web!$C$1:$C$500)),""),ROW(Create_TC_Web!F140))),"")</f>
        <v/>
      </c>
      <c r="F140" t="str" cm="1">
        <f t="array" ref="F140">IFERROR(INDEX(Create_TC_Web!I$1:I$500,SMALL(IF(Create_TC_Web!$C$1:$C$500&lt;&gt;"",MATCH(ROW(Create_TC_Web!$C$1:$C$500),ROW(Create_TC_Web!$C$1:$C$500)),""),ROW(Create_TC_Web!G140))),"")</f>
        <v/>
      </c>
      <c r="G140" t="str" cm="1">
        <f t="array" ref="G140">IFERROR(INDEX(Create_TC_Web!J$1:J$500,SMALL(IF(Create_TC_Web!$C$1:$C$500&lt;&gt;"",MATCH(ROW(Create_TC_Web!$C$1:$C$500),ROW(Create_TC_Web!$C$1:$C$500)),""),ROW(Create_TC_Web!H140))),"")</f>
        <v/>
      </c>
      <c r="H140" t="str" cm="1">
        <f t="array" ref="H140">IFERROR(INDEX(Create_TC_Web!K$1:K$500,SMALL(IF(Create_TC_Web!$C$1:$C$500&lt;&gt;"",MATCH(ROW(Create_TC_Web!$C$1:$C$500),ROW(Create_TC_Web!$C$1:$C$500)),""),ROW(Create_TC_Web!I140))),"")</f>
        <v/>
      </c>
      <c r="I140" t="str" cm="1">
        <f t="array" ref="I140">IFERROR(INDEX(Create_TC_Web!L$1:L$500,SMALL(IF(Create_TC_Web!$C$1:$C$500&lt;&gt;"",MATCH(ROW(Create_TC_Web!$C$1:$C$500),ROW(Create_TC_Web!$C$1:$C$500)),""),ROW(Create_TC_Web!J140))),"")</f>
        <v/>
      </c>
      <c r="J140" t="str" cm="1">
        <f t="array" ref="J140">IFERROR(INDEX(Create_TC_Web!M$1:M$500,SMALL(IF(Create_TC_Web!$C$1:$C$500&lt;&gt;"",MATCH(ROW(Create_TC_Web!$C$1:$C$500),ROW(Create_TC_Web!$C$1:$C$500)),""),ROW(Create_TC_Web!K140))),"")</f>
        <v/>
      </c>
      <c r="K140" t="str" cm="1">
        <f t="array" ref="K140">IFERROR(INDEX(Create_TC_Web!N$1:N$500,SMALL(IF(Create_TC_Web!$C$1:$C$500&lt;&gt;"",MATCH(ROW(Create_TC_Web!$C$1:$C$500),ROW(Create_TC_Web!$C$1:$C$500)),""),ROW(Create_TC_Web!L140))),"")</f>
        <v/>
      </c>
      <c r="L140" t="str" cm="1">
        <f t="array" ref="L140">IFERROR(INDEX(Create_TC_Web!O$1:O$500,SMALL(IF(Create_TC_Web!$C$1:$C$500&lt;&gt;"",MATCH(ROW(Create_TC_Web!$C$1:$C$500),ROW(Create_TC_Web!$C$1:$C$500)),""),ROW(Create_TC_Web!M140))),"")</f>
        <v/>
      </c>
      <c r="M140" t="str" cm="1">
        <f t="array" ref="M140">IFERROR(INDEX(Create_TC_Web!P$1:P$500,SMALL(IF(Create_TC_Web!$C$1:$C$500&lt;&gt;"",MATCH(ROW(Create_TC_Web!$C$1:$C$500),ROW(Create_TC_Web!$C$1:$C$500)),""),ROW(Create_TC_Web!N140))),"")</f>
        <v/>
      </c>
      <c r="N140">
        <f>Create_TC_Web!CA149</f>
        <v>0</v>
      </c>
      <c r="O140" t="str">
        <f t="shared" si="11"/>
        <v/>
      </c>
      <c r="P140" s="17" t="str" cm="1">
        <f t="array" ref="P140">IFERROR(INDEX(Create_TC_Web!S$1:S$500,SMALL(IF(Create_TC_Web!$C$1:$C$500&lt;&gt;"",MATCH(ROW(Create_TC_Web!$C$1:$C$500),ROW(Create_TC_Web!$C$1:$C$500)),""),ROW(Create_TC_Web!Q118))),"")</f>
        <v/>
      </c>
      <c r="S140" t="str">
        <f t="shared" si="12"/>
        <v/>
      </c>
    </row>
    <row r="141" spans="1:19">
      <c r="A141" t="str" cm="1">
        <f t="array" ref="A141">IFERROR(INDEX(Create_TC_Web!D$1:D$500,SMALL(IF(Create_TC_Web!$C$1:$C$500&lt;&gt;"",MATCH(ROW(Create_TC_Web!$C$1:$C$500),ROW(Create_TC_Web!$C$1:$C$500)),""),ROW(Create_TC_Web!B141))),"")</f>
        <v/>
      </c>
      <c r="B141" t="str" cm="1">
        <f t="array" ref="B141">SUBSTITUTE(SUBSTITUTE(SUBSTITUTE(IFERROR(INDEX(Create_TC_Web!E$1:E$505,SMALL(IF(Create_TC_Web!$C$1:$C$505&lt;&gt;"",MATCH(ROW(Create_TC_Web!$C$1:$C$505),ROW(Create_TC_Web!$C$1:$C$505)),""),ROW(Create_TC_Web!C141))),"")," ",""),"-",""),"_","")</f>
        <v/>
      </c>
      <c r="C141" t="str" cm="1">
        <f t="array" ref="C141">IFERROR(INDEX(Create_TC_Web!F$1:F$500,SMALL(IF(Create_TC_Web!$C$1:$C$500&lt;&gt;"",MATCH(ROW(Create_TC_Web!$C$1:$C$500),ROW(Create_TC_Web!$C$1:$C$500)),""),ROW(Create_TC_Web!D141))),"")</f>
        <v/>
      </c>
      <c r="D141" t="str" cm="1">
        <f t="array" ref="D141">IFERROR(INDEX(Create_TC_Web!G$1:G$500,SMALL(IF(Create_TC_Web!$C$1:$C$500&lt;&gt;"",MATCH(ROW(Create_TC_Web!$C$1:$C$500),ROW(Create_TC_Web!$C$1:$C$500)),""),ROW(Create_TC_Web!E141))),"")</f>
        <v/>
      </c>
      <c r="E141" t="str" cm="1">
        <f t="array" ref="E141">IFERROR(INDEX(Create_TC_Web!H$1:H$500,SMALL(IF(Create_TC_Web!$C$1:$C$500&lt;&gt;"",MATCH(ROW(Create_TC_Web!$C$1:$C$500),ROW(Create_TC_Web!$C$1:$C$500)),""),ROW(Create_TC_Web!F141))),"")</f>
        <v/>
      </c>
      <c r="F141" t="str" cm="1">
        <f t="array" ref="F141">IFERROR(INDEX(Create_TC_Web!I$1:I$500,SMALL(IF(Create_TC_Web!$C$1:$C$500&lt;&gt;"",MATCH(ROW(Create_TC_Web!$C$1:$C$500),ROW(Create_TC_Web!$C$1:$C$500)),""),ROW(Create_TC_Web!G141))),"")</f>
        <v/>
      </c>
      <c r="G141" t="str" cm="1">
        <f t="array" ref="G141">IFERROR(INDEX(Create_TC_Web!J$1:J$500,SMALL(IF(Create_TC_Web!$C$1:$C$500&lt;&gt;"",MATCH(ROW(Create_TC_Web!$C$1:$C$500),ROW(Create_TC_Web!$C$1:$C$500)),""),ROW(Create_TC_Web!H141))),"")</f>
        <v/>
      </c>
      <c r="H141" t="str" cm="1">
        <f t="array" ref="H141">IFERROR(INDEX(Create_TC_Web!K$1:K$500,SMALL(IF(Create_TC_Web!$C$1:$C$500&lt;&gt;"",MATCH(ROW(Create_TC_Web!$C$1:$C$500),ROW(Create_TC_Web!$C$1:$C$500)),""),ROW(Create_TC_Web!I141))),"")</f>
        <v/>
      </c>
      <c r="I141" t="str" cm="1">
        <f t="array" ref="I141">IFERROR(INDEX(Create_TC_Web!L$1:L$500,SMALL(IF(Create_TC_Web!$C$1:$C$500&lt;&gt;"",MATCH(ROW(Create_TC_Web!$C$1:$C$500),ROW(Create_TC_Web!$C$1:$C$500)),""),ROW(Create_TC_Web!J141))),"")</f>
        <v/>
      </c>
      <c r="J141" t="str" cm="1">
        <f t="array" ref="J141">IFERROR(INDEX(Create_TC_Web!M$1:M$500,SMALL(IF(Create_TC_Web!$C$1:$C$500&lt;&gt;"",MATCH(ROW(Create_TC_Web!$C$1:$C$500),ROW(Create_TC_Web!$C$1:$C$500)),""),ROW(Create_TC_Web!K141))),"")</f>
        <v/>
      </c>
      <c r="K141" t="str" cm="1">
        <f t="array" ref="K141">IFERROR(INDEX(Create_TC_Web!N$1:N$500,SMALL(IF(Create_TC_Web!$C$1:$C$500&lt;&gt;"",MATCH(ROW(Create_TC_Web!$C$1:$C$500),ROW(Create_TC_Web!$C$1:$C$500)),""),ROW(Create_TC_Web!L141))),"")</f>
        <v/>
      </c>
      <c r="L141" t="str" cm="1">
        <f t="array" ref="L141">IFERROR(INDEX(Create_TC_Web!O$1:O$500,SMALL(IF(Create_TC_Web!$C$1:$C$500&lt;&gt;"",MATCH(ROW(Create_TC_Web!$C$1:$C$500),ROW(Create_TC_Web!$C$1:$C$500)),""),ROW(Create_TC_Web!M141))),"")</f>
        <v/>
      </c>
      <c r="M141" t="str" cm="1">
        <f t="array" ref="M141">IFERROR(INDEX(Create_TC_Web!P$1:P$500,SMALL(IF(Create_TC_Web!$C$1:$C$500&lt;&gt;"",MATCH(ROW(Create_TC_Web!$C$1:$C$500),ROW(Create_TC_Web!$C$1:$C$500)),""),ROW(Create_TC_Web!N141))),"")</f>
        <v/>
      </c>
      <c r="N141">
        <f>Create_TC_Web!CA150</f>
        <v>0</v>
      </c>
      <c r="O141" t="str">
        <f t="shared" si="11"/>
        <v/>
      </c>
      <c r="P141" s="17" t="str" cm="1">
        <f t="array" ref="P141">IFERROR(INDEX(Create_TC_Web!S$1:S$500,SMALL(IF(Create_TC_Web!$C$1:$C$500&lt;&gt;"",MATCH(ROW(Create_TC_Web!$C$1:$C$500),ROW(Create_TC_Web!$C$1:$C$500)),""),ROW(Create_TC_Web!Q119))),"")</f>
        <v/>
      </c>
      <c r="S141" t="str">
        <f t="shared" si="12"/>
        <v/>
      </c>
    </row>
    <row r="142" spans="1:19">
      <c r="A142" t="str" cm="1">
        <f t="array" ref="A142">IFERROR(INDEX(Create_TC_Web!D$1:D$500,SMALL(IF(Create_TC_Web!$C$1:$C$500&lt;&gt;"",MATCH(ROW(Create_TC_Web!$C$1:$C$500),ROW(Create_TC_Web!$C$1:$C$500)),""),ROW(Create_TC_Web!B142))),"")</f>
        <v/>
      </c>
      <c r="B142" t="str" cm="1">
        <f t="array" ref="B142">SUBSTITUTE(SUBSTITUTE(SUBSTITUTE(IFERROR(INDEX(Create_TC_Web!E$1:E$505,SMALL(IF(Create_TC_Web!$C$1:$C$505&lt;&gt;"",MATCH(ROW(Create_TC_Web!$C$1:$C$505),ROW(Create_TC_Web!$C$1:$C$505)),""),ROW(Create_TC_Web!C142))),"")," ",""),"-",""),"_","")</f>
        <v/>
      </c>
      <c r="C142" t="str" cm="1">
        <f t="array" ref="C142">IFERROR(INDEX(Create_TC_Web!F$1:F$500,SMALL(IF(Create_TC_Web!$C$1:$C$500&lt;&gt;"",MATCH(ROW(Create_TC_Web!$C$1:$C$500),ROW(Create_TC_Web!$C$1:$C$500)),""),ROW(Create_TC_Web!D142))),"")</f>
        <v/>
      </c>
      <c r="D142" t="str" cm="1">
        <f t="array" ref="D142">IFERROR(INDEX(Create_TC_Web!G$1:G$500,SMALL(IF(Create_TC_Web!$C$1:$C$500&lt;&gt;"",MATCH(ROW(Create_TC_Web!$C$1:$C$500),ROW(Create_TC_Web!$C$1:$C$500)),""),ROW(Create_TC_Web!E142))),"")</f>
        <v/>
      </c>
      <c r="E142" t="str" cm="1">
        <f t="array" ref="E142">IFERROR(INDEX(Create_TC_Web!H$1:H$500,SMALL(IF(Create_TC_Web!$C$1:$C$500&lt;&gt;"",MATCH(ROW(Create_TC_Web!$C$1:$C$500),ROW(Create_TC_Web!$C$1:$C$500)),""),ROW(Create_TC_Web!F142))),"")</f>
        <v/>
      </c>
      <c r="F142" t="str" cm="1">
        <f t="array" ref="F142">IFERROR(INDEX(Create_TC_Web!I$1:I$500,SMALL(IF(Create_TC_Web!$C$1:$C$500&lt;&gt;"",MATCH(ROW(Create_TC_Web!$C$1:$C$500),ROW(Create_TC_Web!$C$1:$C$500)),""),ROW(Create_TC_Web!G142))),"")</f>
        <v/>
      </c>
      <c r="G142" t="str" cm="1">
        <f t="array" ref="G142">IFERROR(INDEX(Create_TC_Web!J$1:J$500,SMALL(IF(Create_TC_Web!$C$1:$C$500&lt;&gt;"",MATCH(ROW(Create_TC_Web!$C$1:$C$500),ROW(Create_TC_Web!$C$1:$C$500)),""),ROW(Create_TC_Web!H142))),"")</f>
        <v/>
      </c>
      <c r="H142" t="str" cm="1">
        <f t="array" ref="H142">IFERROR(INDEX(Create_TC_Web!K$1:K$500,SMALL(IF(Create_TC_Web!$C$1:$C$500&lt;&gt;"",MATCH(ROW(Create_TC_Web!$C$1:$C$500),ROW(Create_TC_Web!$C$1:$C$500)),""),ROW(Create_TC_Web!I142))),"")</f>
        <v/>
      </c>
      <c r="I142" t="str" cm="1">
        <f t="array" ref="I142">IFERROR(INDEX(Create_TC_Web!L$1:L$500,SMALL(IF(Create_TC_Web!$C$1:$C$500&lt;&gt;"",MATCH(ROW(Create_TC_Web!$C$1:$C$500),ROW(Create_TC_Web!$C$1:$C$500)),""),ROW(Create_TC_Web!J142))),"")</f>
        <v/>
      </c>
      <c r="J142" t="str" cm="1">
        <f t="array" ref="J142">IFERROR(INDEX(Create_TC_Web!M$1:M$500,SMALL(IF(Create_TC_Web!$C$1:$C$500&lt;&gt;"",MATCH(ROW(Create_TC_Web!$C$1:$C$500),ROW(Create_TC_Web!$C$1:$C$500)),""),ROW(Create_TC_Web!K142))),"")</f>
        <v/>
      </c>
      <c r="K142" t="str" cm="1">
        <f t="array" ref="K142">IFERROR(INDEX(Create_TC_Web!N$1:N$500,SMALL(IF(Create_TC_Web!$C$1:$C$500&lt;&gt;"",MATCH(ROW(Create_TC_Web!$C$1:$C$500),ROW(Create_TC_Web!$C$1:$C$500)),""),ROW(Create_TC_Web!L142))),"")</f>
        <v/>
      </c>
      <c r="L142" t="str" cm="1">
        <f t="array" ref="L142">IFERROR(INDEX(Create_TC_Web!O$1:O$500,SMALL(IF(Create_TC_Web!$C$1:$C$500&lt;&gt;"",MATCH(ROW(Create_TC_Web!$C$1:$C$500),ROW(Create_TC_Web!$C$1:$C$500)),""),ROW(Create_TC_Web!M142))),"")</f>
        <v/>
      </c>
      <c r="M142" t="str" cm="1">
        <f t="array" ref="M142">IFERROR(INDEX(Create_TC_Web!P$1:P$500,SMALL(IF(Create_TC_Web!$C$1:$C$500&lt;&gt;"",MATCH(ROW(Create_TC_Web!$C$1:$C$500),ROW(Create_TC_Web!$C$1:$C$500)),""),ROW(Create_TC_Web!N142))),"")</f>
        <v/>
      </c>
      <c r="N142">
        <f>Create_TC_Web!CA151</f>
        <v>0</v>
      </c>
      <c r="O142" t="str">
        <f t="shared" si="11"/>
        <v/>
      </c>
      <c r="P142" s="17" t="str" cm="1">
        <f t="array" ref="P142">IFERROR(INDEX(Create_TC_Web!S$1:S$500,SMALL(IF(Create_TC_Web!$C$1:$C$500&lt;&gt;"",MATCH(ROW(Create_TC_Web!$C$1:$C$500),ROW(Create_TC_Web!$C$1:$C$500)),""),ROW(Create_TC_Web!Q120))),"")</f>
        <v/>
      </c>
      <c r="S142" t="str">
        <f t="shared" si="12"/>
        <v/>
      </c>
    </row>
    <row r="143" spans="1:19">
      <c r="A143" t="str" cm="1">
        <f t="array" ref="A143">IFERROR(INDEX(Create_TC_Web!D$1:D$500,SMALL(IF(Create_TC_Web!$C$1:$C$500&lt;&gt;"",MATCH(ROW(Create_TC_Web!$C$1:$C$500),ROW(Create_TC_Web!$C$1:$C$500)),""),ROW(Create_TC_Web!B143))),"")</f>
        <v/>
      </c>
      <c r="B143" t="str" cm="1">
        <f t="array" ref="B143">SUBSTITUTE(SUBSTITUTE(SUBSTITUTE(IFERROR(INDEX(Create_TC_Web!E$1:E$505,SMALL(IF(Create_TC_Web!$C$1:$C$505&lt;&gt;"",MATCH(ROW(Create_TC_Web!$C$1:$C$505),ROW(Create_TC_Web!$C$1:$C$505)),""),ROW(Create_TC_Web!C143))),"")," ",""),"-",""),"_","")</f>
        <v/>
      </c>
      <c r="C143" t="str" cm="1">
        <f t="array" ref="C143">IFERROR(INDEX(Create_TC_Web!F$1:F$500,SMALL(IF(Create_TC_Web!$C$1:$C$500&lt;&gt;"",MATCH(ROW(Create_TC_Web!$C$1:$C$500),ROW(Create_TC_Web!$C$1:$C$500)),""),ROW(Create_TC_Web!D143))),"")</f>
        <v/>
      </c>
      <c r="D143" t="str" cm="1">
        <f t="array" ref="D143">IFERROR(INDEX(Create_TC_Web!G$1:G$500,SMALL(IF(Create_TC_Web!$C$1:$C$500&lt;&gt;"",MATCH(ROW(Create_TC_Web!$C$1:$C$500),ROW(Create_TC_Web!$C$1:$C$500)),""),ROW(Create_TC_Web!E143))),"")</f>
        <v/>
      </c>
      <c r="E143" t="str" cm="1">
        <f t="array" ref="E143">IFERROR(INDEX(Create_TC_Web!H$1:H$500,SMALL(IF(Create_TC_Web!$C$1:$C$500&lt;&gt;"",MATCH(ROW(Create_TC_Web!$C$1:$C$500),ROW(Create_TC_Web!$C$1:$C$500)),""),ROW(Create_TC_Web!F143))),"")</f>
        <v/>
      </c>
      <c r="F143" t="str" cm="1">
        <f t="array" ref="F143">IFERROR(INDEX(Create_TC_Web!I$1:I$500,SMALL(IF(Create_TC_Web!$C$1:$C$500&lt;&gt;"",MATCH(ROW(Create_TC_Web!$C$1:$C$500),ROW(Create_TC_Web!$C$1:$C$500)),""),ROW(Create_TC_Web!G143))),"")</f>
        <v/>
      </c>
      <c r="G143" t="str" cm="1">
        <f t="array" ref="G143">IFERROR(INDEX(Create_TC_Web!J$1:J$500,SMALL(IF(Create_TC_Web!$C$1:$C$500&lt;&gt;"",MATCH(ROW(Create_TC_Web!$C$1:$C$500),ROW(Create_TC_Web!$C$1:$C$500)),""),ROW(Create_TC_Web!H143))),"")</f>
        <v/>
      </c>
      <c r="H143" t="str" cm="1">
        <f t="array" ref="H143">IFERROR(INDEX(Create_TC_Web!K$1:K$500,SMALL(IF(Create_TC_Web!$C$1:$C$500&lt;&gt;"",MATCH(ROW(Create_TC_Web!$C$1:$C$500),ROW(Create_TC_Web!$C$1:$C$500)),""),ROW(Create_TC_Web!I143))),"")</f>
        <v/>
      </c>
      <c r="I143" t="str" cm="1">
        <f t="array" ref="I143">IFERROR(INDEX(Create_TC_Web!L$1:L$500,SMALL(IF(Create_TC_Web!$C$1:$C$500&lt;&gt;"",MATCH(ROW(Create_TC_Web!$C$1:$C$500),ROW(Create_TC_Web!$C$1:$C$500)),""),ROW(Create_TC_Web!J143))),"")</f>
        <v/>
      </c>
      <c r="J143" t="str" cm="1">
        <f t="array" ref="J143">IFERROR(INDEX(Create_TC_Web!M$1:M$500,SMALL(IF(Create_TC_Web!$C$1:$C$500&lt;&gt;"",MATCH(ROW(Create_TC_Web!$C$1:$C$500),ROW(Create_TC_Web!$C$1:$C$500)),""),ROW(Create_TC_Web!K143))),"")</f>
        <v/>
      </c>
      <c r="K143" t="str" cm="1">
        <f t="array" ref="K143">IFERROR(INDEX(Create_TC_Web!N$1:N$500,SMALL(IF(Create_TC_Web!$C$1:$C$500&lt;&gt;"",MATCH(ROW(Create_TC_Web!$C$1:$C$500),ROW(Create_TC_Web!$C$1:$C$500)),""),ROW(Create_TC_Web!L143))),"")</f>
        <v/>
      </c>
      <c r="L143" t="str" cm="1">
        <f t="array" ref="L143">IFERROR(INDEX(Create_TC_Web!O$1:O$500,SMALL(IF(Create_TC_Web!$C$1:$C$500&lt;&gt;"",MATCH(ROW(Create_TC_Web!$C$1:$C$500),ROW(Create_TC_Web!$C$1:$C$500)),""),ROW(Create_TC_Web!M143))),"")</f>
        <v/>
      </c>
      <c r="M143" t="str" cm="1">
        <f t="array" ref="M143">IFERROR(INDEX(Create_TC_Web!P$1:P$500,SMALL(IF(Create_TC_Web!$C$1:$C$500&lt;&gt;"",MATCH(ROW(Create_TC_Web!$C$1:$C$500),ROW(Create_TC_Web!$C$1:$C$500)),""),ROW(Create_TC_Web!N143))),"")</f>
        <v/>
      </c>
      <c r="N143">
        <f>Create_TC_Web!CA152</f>
        <v>0</v>
      </c>
      <c r="O143" t="str">
        <f t="shared" si="11"/>
        <v/>
      </c>
      <c r="P143" s="17" t="str" cm="1">
        <f t="array" ref="P143">IFERROR(INDEX(Create_TC_Web!S$1:S$500,SMALL(IF(Create_TC_Web!$C$1:$C$500&lt;&gt;"",MATCH(ROW(Create_TC_Web!$C$1:$C$500),ROW(Create_TC_Web!$C$1:$C$500)),""),ROW(Create_TC_Web!Q121))),"")</f>
        <v/>
      </c>
      <c r="S143" t="str">
        <f t="shared" si="12"/>
        <v/>
      </c>
    </row>
    <row r="144" spans="1:19">
      <c r="A144" t="str" cm="1">
        <f t="array" ref="A144">IFERROR(INDEX(Create_TC_Web!D$1:D$500,SMALL(IF(Create_TC_Web!$C$1:$C$500&lt;&gt;"",MATCH(ROW(Create_TC_Web!$C$1:$C$500),ROW(Create_TC_Web!$C$1:$C$500)),""),ROW(Create_TC_Web!B144))),"")</f>
        <v/>
      </c>
      <c r="B144" t="str" cm="1">
        <f t="array" ref="B144">SUBSTITUTE(SUBSTITUTE(SUBSTITUTE(IFERROR(INDEX(Create_TC_Web!E$1:E$505,SMALL(IF(Create_TC_Web!$C$1:$C$505&lt;&gt;"",MATCH(ROW(Create_TC_Web!$C$1:$C$505),ROW(Create_TC_Web!$C$1:$C$505)),""),ROW(Create_TC_Web!C144))),"")," ",""),"-",""),"_","")</f>
        <v/>
      </c>
      <c r="C144" t="str" cm="1">
        <f t="array" ref="C144">IFERROR(INDEX(Create_TC_Web!F$1:F$500,SMALL(IF(Create_TC_Web!$C$1:$C$500&lt;&gt;"",MATCH(ROW(Create_TC_Web!$C$1:$C$500),ROW(Create_TC_Web!$C$1:$C$500)),""),ROW(Create_TC_Web!D144))),"")</f>
        <v/>
      </c>
      <c r="D144" t="str" cm="1">
        <f t="array" ref="D144">IFERROR(INDEX(Create_TC_Web!G$1:G$500,SMALL(IF(Create_TC_Web!$C$1:$C$500&lt;&gt;"",MATCH(ROW(Create_TC_Web!$C$1:$C$500),ROW(Create_TC_Web!$C$1:$C$500)),""),ROW(Create_TC_Web!E144))),"")</f>
        <v/>
      </c>
      <c r="E144" t="str" cm="1">
        <f t="array" ref="E144">IFERROR(INDEX(Create_TC_Web!H$1:H$500,SMALL(IF(Create_TC_Web!$C$1:$C$500&lt;&gt;"",MATCH(ROW(Create_TC_Web!$C$1:$C$500),ROW(Create_TC_Web!$C$1:$C$500)),""),ROW(Create_TC_Web!F144))),"")</f>
        <v/>
      </c>
      <c r="F144" t="str" cm="1">
        <f t="array" ref="F144">IFERROR(INDEX(Create_TC_Web!I$1:I$500,SMALL(IF(Create_TC_Web!$C$1:$C$500&lt;&gt;"",MATCH(ROW(Create_TC_Web!$C$1:$C$500),ROW(Create_TC_Web!$C$1:$C$500)),""),ROW(Create_TC_Web!G144))),"")</f>
        <v/>
      </c>
      <c r="G144" t="str" cm="1">
        <f t="array" ref="G144">IFERROR(INDEX(Create_TC_Web!J$1:J$500,SMALL(IF(Create_TC_Web!$C$1:$C$500&lt;&gt;"",MATCH(ROW(Create_TC_Web!$C$1:$C$500),ROW(Create_TC_Web!$C$1:$C$500)),""),ROW(Create_TC_Web!H144))),"")</f>
        <v/>
      </c>
      <c r="H144" t="str" cm="1">
        <f t="array" ref="H144">IFERROR(INDEX(Create_TC_Web!K$1:K$500,SMALL(IF(Create_TC_Web!$C$1:$C$500&lt;&gt;"",MATCH(ROW(Create_TC_Web!$C$1:$C$500),ROW(Create_TC_Web!$C$1:$C$500)),""),ROW(Create_TC_Web!I144))),"")</f>
        <v/>
      </c>
      <c r="I144" t="str" cm="1">
        <f t="array" ref="I144">IFERROR(INDEX(Create_TC_Web!L$1:L$500,SMALL(IF(Create_TC_Web!$C$1:$C$500&lt;&gt;"",MATCH(ROW(Create_TC_Web!$C$1:$C$500),ROW(Create_TC_Web!$C$1:$C$500)),""),ROW(Create_TC_Web!J144))),"")</f>
        <v/>
      </c>
      <c r="J144" t="str" cm="1">
        <f t="array" ref="J144">IFERROR(INDEX(Create_TC_Web!M$1:M$500,SMALL(IF(Create_TC_Web!$C$1:$C$500&lt;&gt;"",MATCH(ROW(Create_TC_Web!$C$1:$C$500),ROW(Create_TC_Web!$C$1:$C$500)),""),ROW(Create_TC_Web!K144))),"")</f>
        <v/>
      </c>
      <c r="K144" t="str" cm="1">
        <f t="array" ref="K144">IFERROR(INDEX(Create_TC_Web!N$1:N$500,SMALL(IF(Create_TC_Web!$C$1:$C$500&lt;&gt;"",MATCH(ROW(Create_TC_Web!$C$1:$C$500),ROW(Create_TC_Web!$C$1:$C$500)),""),ROW(Create_TC_Web!L144))),"")</f>
        <v/>
      </c>
      <c r="L144" t="str" cm="1">
        <f t="array" ref="L144">IFERROR(INDEX(Create_TC_Web!O$1:O$500,SMALL(IF(Create_TC_Web!$C$1:$C$500&lt;&gt;"",MATCH(ROW(Create_TC_Web!$C$1:$C$500),ROW(Create_TC_Web!$C$1:$C$500)),""),ROW(Create_TC_Web!M144))),"")</f>
        <v/>
      </c>
      <c r="M144" t="str" cm="1">
        <f t="array" ref="M144">IFERROR(INDEX(Create_TC_Web!P$1:P$500,SMALL(IF(Create_TC_Web!$C$1:$C$500&lt;&gt;"",MATCH(ROW(Create_TC_Web!$C$1:$C$500),ROW(Create_TC_Web!$C$1:$C$500)),""),ROW(Create_TC_Web!N144))),"")</f>
        <v/>
      </c>
      <c r="N144">
        <f>Create_TC_Web!CA153</f>
        <v>0</v>
      </c>
      <c r="O144" t="str">
        <f t="shared" si="11"/>
        <v/>
      </c>
      <c r="P144" s="17" t="str" cm="1">
        <f t="array" ref="P144">IFERROR(INDEX(Create_TC_Web!S$1:S$500,SMALL(IF(Create_TC_Web!$C$1:$C$500&lt;&gt;"",MATCH(ROW(Create_TC_Web!$C$1:$C$500),ROW(Create_TC_Web!$C$1:$C$500)),""),ROW(Create_TC_Web!Q122))),"")</f>
        <v/>
      </c>
      <c r="S144" t="str">
        <f t="shared" si="12"/>
        <v/>
      </c>
    </row>
    <row r="145" spans="1:19">
      <c r="A145" t="str" cm="1">
        <f t="array" ref="A145">IFERROR(INDEX(Create_TC_Web!D$1:D$500,SMALL(IF(Create_TC_Web!$C$1:$C$500&lt;&gt;"",MATCH(ROW(Create_TC_Web!$C$1:$C$500),ROW(Create_TC_Web!$C$1:$C$500)),""),ROW(Create_TC_Web!B145))),"")</f>
        <v/>
      </c>
      <c r="B145" t="str" cm="1">
        <f t="array" ref="B145">SUBSTITUTE(SUBSTITUTE(SUBSTITUTE(IFERROR(INDEX(Create_TC_Web!E$1:E$505,SMALL(IF(Create_TC_Web!$C$1:$C$505&lt;&gt;"",MATCH(ROW(Create_TC_Web!$C$1:$C$505),ROW(Create_TC_Web!$C$1:$C$505)),""),ROW(Create_TC_Web!C145))),"")," ",""),"-",""),"_","")</f>
        <v/>
      </c>
      <c r="C145" t="str" cm="1">
        <f t="array" ref="C145">IFERROR(INDEX(Create_TC_Web!F$1:F$500,SMALL(IF(Create_TC_Web!$C$1:$C$500&lt;&gt;"",MATCH(ROW(Create_TC_Web!$C$1:$C$500),ROW(Create_TC_Web!$C$1:$C$500)),""),ROW(Create_TC_Web!D145))),"")</f>
        <v/>
      </c>
      <c r="D145" t="str" cm="1">
        <f t="array" ref="D145">IFERROR(INDEX(Create_TC_Web!G$1:G$500,SMALL(IF(Create_TC_Web!$C$1:$C$500&lt;&gt;"",MATCH(ROW(Create_TC_Web!$C$1:$C$500),ROW(Create_TC_Web!$C$1:$C$500)),""),ROW(Create_TC_Web!E145))),"")</f>
        <v/>
      </c>
      <c r="E145" t="str" cm="1">
        <f t="array" ref="E145">IFERROR(INDEX(Create_TC_Web!H$1:H$500,SMALL(IF(Create_TC_Web!$C$1:$C$500&lt;&gt;"",MATCH(ROW(Create_TC_Web!$C$1:$C$500),ROW(Create_TC_Web!$C$1:$C$500)),""),ROW(Create_TC_Web!F145))),"")</f>
        <v/>
      </c>
      <c r="F145" t="str" cm="1">
        <f t="array" ref="F145">IFERROR(INDEX(Create_TC_Web!I$1:I$500,SMALL(IF(Create_TC_Web!$C$1:$C$500&lt;&gt;"",MATCH(ROW(Create_TC_Web!$C$1:$C$500),ROW(Create_TC_Web!$C$1:$C$500)),""),ROW(Create_TC_Web!G145))),"")</f>
        <v/>
      </c>
      <c r="G145" t="str" cm="1">
        <f t="array" ref="G145">IFERROR(INDEX(Create_TC_Web!J$1:J$500,SMALL(IF(Create_TC_Web!$C$1:$C$500&lt;&gt;"",MATCH(ROW(Create_TC_Web!$C$1:$C$500),ROW(Create_TC_Web!$C$1:$C$500)),""),ROW(Create_TC_Web!H145))),"")</f>
        <v/>
      </c>
      <c r="H145" t="str" cm="1">
        <f t="array" ref="H145">IFERROR(INDEX(Create_TC_Web!K$1:K$500,SMALL(IF(Create_TC_Web!$C$1:$C$500&lt;&gt;"",MATCH(ROW(Create_TC_Web!$C$1:$C$500),ROW(Create_TC_Web!$C$1:$C$500)),""),ROW(Create_TC_Web!I145))),"")</f>
        <v/>
      </c>
      <c r="I145" t="str" cm="1">
        <f t="array" ref="I145">IFERROR(INDEX(Create_TC_Web!L$1:L$500,SMALL(IF(Create_TC_Web!$C$1:$C$500&lt;&gt;"",MATCH(ROW(Create_TC_Web!$C$1:$C$500),ROW(Create_TC_Web!$C$1:$C$500)),""),ROW(Create_TC_Web!J145))),"")</f>
        <v/>
      </c>
      <c r="J145" t="str" cm="1">
        <f t="array" ref="J145">IFERROR(INDEX(Create_TC_Web!M$1:M$500,SMALL(IF(Create_TC_Web!$C$1:$C$500&lt;&gt;"",MATCH(ROW(Create_TC_Web!$C$1:$C$500),ROW(Create_TC_Web!$C$1:$C$500)),""),ROW(Create_TC_Web!K145))),"")</f>
        <v/>
      </c>
      <c r="K145" t="str" cm="1">
        <f t="array" ref="K145">IFERROR(INDEX(Create_TC_Web!N$1:N$500,SMALL(IF(Create_TC_Web!$C$1:$C$500&lt;&gt;"",MATCH(ROW(Create_TC_Web!$C$1:$C$500),ROW(Create_TC_Web!$C$1:$C$500)),""),ROW(Create_TC_Web!L145))),"")</f>
        <v/>
      </c>
      <c r="L145" t="str" cm="1">
        <f t="array" ref="L145">IFERROR(INDEX(Create_TC_Web!O$1:O$500,SMALL(IF(Create_TC_Web!$C$1:$C$500&lt;&gt;"",MATCH(ROW(Create_TC_Web!$C$1:$C$500),ROW(Create_TC_Web!$C$1:$C$500)),""),ROW(Create_TC_Web!M145))),"")</f>
        <v/>
      </c>
      <c r="M145" t="str" cm="1">
        <f t="array" ref="M145">IFERROR(INDEX(Create_TC_Web!P$1:P$500,SMALL(IF(Create_TC_Web!$C$1:$C$500&lt;&gt;"",MATCH(ROW(Create_TC_Web!$C$1:$C$500),ROW(Create_TC_Web!$C$1:$C$500)),""),ROW(Create_TC_Web!N145))),"")</f>
        <v/>
      </c>
      <c r="N145">
        <f>Create_TC_Web!CA154</f>
        <v>0</v>
      </c>
      <c r="O145" t="str">
        <f t="shared" si="11"/>
        <v/>
      </c>
      <c r="P145" s="17" t="str" cm="1">
        <f t="array" ref="P145">IFERROR(INDEX(Create_TC_Web!S$1:S$500,SMALL(IF(Create_TC_Web!$C$1:$C$500&lt;&gt;"",MATCH(ROW(Create_TC_Web!$C$1:$C$500),ROW(Create_TC_Web!$C$1:$C$500)),""),ROW(Create_TC_Web!Q123))),"")</f>
        <v/>
      </c>
      <c r="S145" t="str">
        <f t="shared" si="12"/>
        <v/>
      </c>
    </row>
    <row r="146" spans="1:19">
      <c r="A146" t="str" cm="1">
        <f t="array" ref="A146">IFERROR(INDEX(Create_TC_Web!D$1:D$500,SMALL(IF(Create_TC_Web!$C$1:$C$500&lt;&gt;"",MATCH(ROW(Create_TC_Web!$C$1:$C$500),ROW(Create_TC_Web!$C$1:$C$500)),""),ROW(Create_TC_Web!B146))),"")</f>
        <v/>
      </c>
      <c r="B146" t="str" cm="1">
        <f t="array" ref="B146">SUBSTITUTE(SUBSTITUTE(SUBSTITUTE(IFERROR(INDEX(Create_TC_Web!E$1:E$505,SMALL(IF(Create_TC_Web!$C$1:$C$505&lt;&gt;"",MATCH(ROW(Create_TC_Web!$C$1:$C$505),ROW(Create_TC_Web!$C$1:$C$505)),""),ROW(Create_TC_Web!C146))),"")," ",""),"-",""),"_","")</f>
        <v/>
      </c>
      <c r="C146" t="str" cm="1">
        <f t="array" ref="C146">IFERROR(INDEX(Create_TC_Web!F$1:F$500,SMALL(IF(Create_TC_Web!$C$1:$C$500&lt;&gt;"",MATCH(ROW(Create_TC_Web!$C$1:$C$500),ROW(Create_TC_Web!$C$1:$C$500)),""),ROW(Create_TC_Web!D146))),"")</f>
        <v/>
      </c>
      <c r="D146" t="str" cm="1">
        <f t="array" ref="D146">IFERROR(INDEX(Create_TC_Web!G$1:G$500,SMALL(IF(Create_TC_Web!$C$1:$C$500&lt;&gt;"",MATCH(ROW(Create_TC_Web!$C$1:$C$500),ROW(Create_TC_Web!$C$1:$C$500)),""),ROW(Create_TC_Web!E146))),"")</f>
        <v/>
      </c>
      <c r="E146" t="str" cm="1">
        <f t="array" ref="E146">IFERROR(INDEX(Create_TC_Web!H$1:H$500,SMALL(IF(Create_TC_Web!$C$1:$C$500&lt;&gt;"",MATCH(ROW(Create_TC_Web!$C$1:$C$500),ROW(Create_TC_Web!$C$1:$C$500)),""),ROW(Create_TC_Web!F146))),"")</f>
        <v/>
      </c>
      <c r="F146" t="str" cm="1">
        <f t="array" ref="F146">IFERROR(INDEX(Create_TC_Web!I$1:I$500,SMALL(IF(Create_TC_Web!$C$1:$C$500&lt;&gt;"",MATCH(ROW(Create_TC_Web!$C$1:$C$500),ROW(Create_TC_Web!$C$1:$C$500)),""),ROW(Create_TC_Web!G146))),"")</f>
        <v/>
      </c>
      <c r="G146" t="str" cm="1">
        <f t="array" ref="G146">IFERROR(INDEX(Create_TC_Web!J$1:J$500,SMALL(IF(Create_TC_Web!$C$1:$C$500&lt;&gt;"",MATCH(ROW(Create_TC_Web!$C$1:$C$500),ROW(Create_TC_Web!$C$1:$C$500)),""),ROW(Create_TC_Web!H146))),"")</f>
        <v/>
      </c>
      <c r="H146" t="str" cm="1">
        <f t="array" ref="H146">IFERROR(INDEX(Create_TC_Web!K$1:K$500,SMALL(IF(Create_TC_Web!$C$1:$C$500&lt;&gt;"",MATCH(ROW(Create_TC_Web!$C$1:$C$500),ROW(Create_TC_Web!$C$1:$C$500)),""),ROW(Create_TC_Web!I146))),"")</f>
        <v/>
      </c>
      <c r="I146" t="str" cm="1">
        <f t="array" ref="I146">IFERROR(INDEX(Create_TC_Web!L$1:L$500,SMALL(IF(Create_TC_Web!$C$1:$C$500&lt;&gt;"",MATCH(ROW(Create_TC_Web!$C$1:$C$500),ROW(Create_TC_Web!$C$1:$C$500)),""),ROW(Create_TC_Web!J146))),"")</f>
        <v/>
      </c>
      <c r="J146" t="str" cm="1">
        <f t="array" ref="J146">IFERROR(INDEX(Create_TC_Web!M$1:M$500,SMALL(IF(Create_TC_Web!$C$1:$C$500&lt;&gt;"",MATCH(ROW(Create_TC_Web!$C$1:$C$500),ROW(Create_TC_Web!$C$1:$C$500)),""),ROW(Create_TC_Web!K146))),"")</f>
        <v/>
      </c>
      <c r="K146" t="str" cm="1">
        <f t="array" ref="K146">IFERROR(INDEX(Create_TC_Web!N$1:N$500,SMALL(IF(Create_TC_Web!$C$1:$C$500&lt;&gt;"",MATCH(ROW(Create_TC_Web!$C$1:$C$500),ROW(Create_TC_Web!$C$1:$C$500)),""),ROW(Create_TC_Web!L146))),"")</f>
        <v/>
      </c>
      <c r="L146" t="str" cm="1">
        <f t="array" ref="L146">IFERROR(INDEX(Create_TC_Web!O$1:O$500,SMALL(IF(Create_TC_Web!$C$1:$C$500&lt;&gt;"",MATCH(ROW(Create_TC_Web!$C$1:$C$500),ROW(Create_TC_Web!$C$1:$C$500)),""),ROW(Create_TC_Web!M146))),"")</f>
        <v/>
      </c>
      <c r="M146" t="str" cm="1">
        <f t="array" ref="M146">IFERROR(INDEX(Create_TC_Web!P$1:P$500,SMALL(IF(Create_TC_Web!$C$1:$C$500&lt;&gt;"",MATCH(ROW(Create_TC_Web!$C$1:$C$500),ROW(Create_TC_Web!$C$1:$C$500)),""),ROW(Create_TC_Web!N146))),"")</f>
        <v/>
      </c>
      <c r="N146">
        <f>Create_TC_Web!CA155</f>
        <v>0</v>
      </c>
      <c r="O146" t="str">
        <f t="shared" si="11"/>
        <v/>
      </c>
      <c r="P146" s="17" t="str" cm="1">
        <f t="array" ref="P146">IFERROR(INDEX(Create_TC_Web!S$1:S$500,SMALL(IF(Create_TC_Web!$C$1:$C$500&lt;&gt;"",MATCH(ROW(Create_TC_Web!$C$1:$C$500),ROW(Create_TC_Web!$C$1:$C$500)),""),ROW(Create_TC_Web!Q124))),"")</f>
        <v/>
      </c>
      <c r="S146" t="str">
        <f t="shared" si="12"/>
        <v/>
      </c>
    </row>
    <row r="147" spans="1:19">
      <c r="A147" t="str" cm="1">
        <f t="array" ref="A147">IFERROR(INDEX(Create_TC_Web!D$1:D$500,SMALL(IF(Create_TC_Web!$C$1:$C$500&lt;&gt;"",MATCH(ROW(Create_TC_Web!$C$1:$C$500),ROW(Create_TC_Web!$C$1:$C$500)),""),ROW(Create_TC_Web!B147))),"")</f>
        <v/>
      </c>
      <c r="B147" t="str" cm="1">
        <f t="array" ref="B147">SUBSTITUTE(SUBSTITUTE(SUBSTITUTE(IFERROR(INDEX(Create_TC_Web!E$1:E$505,SMALL(IF(Create_TC_Web!$C$1:$C$505&lt;&gt;"",MATCH(ROW(Create_TC_Web!$C$1:$C$505),ROW(Create_TC_Web!$C$1:$C$505)),""),ROW(Create_TC_Web!C147))),"")," ",""),"-",""),"_","")</f>
        <v/>
      </c>
      <c r="C147" t="str" cm="1">
        <f t="array" ref="C147">IFERROR(INDEX(Create_TC_Web!F$1:F$500,SMALL(IF(Create_TC_Web!$C$1:$C$500&lt;&gt;"",MATCH(ROW(Create_TC_Web!$C$1:$C$500),ROW(Create_TC_Web!$C$1:$C$500)),""),ROW(Create_TC_Web!D147))),"")</f>
        <v/>
      </c>
      <c r="D147" t="str" cm="1">
        <f t="array" ref="D147">IFERROR(INDEX(Create_TC_Web!G$1:G$500,SMALL(IF(Create_TC_Web!$C$1:$C$500&lt;&gt;"",MATCH(ROW(Create_TC_Web!$C$1:$C$500),ROW(Create_TC_Web!$C$1:$C$500)),""),ROW(Create_TC_Web!E147))),"")</f>
        <v/>
      </c>
      <c r="E147" t="str" cm="1">
        <f t="array" ref="E147">IFERROR(INDEX(Create_TC_Web!H$1:H$500,SMALL(IF(Create_TC_Web!$C$1:$C$500&lt;&gt;"",MATCH(ROW(Create_TC_Web!$C$1:$C$500),ROW(Create_TC_Web!$C$1:$C$500)),""),ROW(Create_TC_Web!F147))),"")</f>
        <v/>
      </c>
      <c r="F147" t="str" cm="1">
        <f t="array" ref="F147">IFERROR(INDEX(Create_TC_Web!I$1:I$500,SMALL(IF(Create_TC_Web!$C$1:$C$500&lt;&gt;"",MATCH(ROW(Create_TC_Web!$C$1:$C$500),ROW(Create_TC_Web!$C$1:$C$500)),""),ROW(Create_TC_Web!G147))),"")</f>
        <v/>
      </c>
      <c r="G147" t="str" cm="1">
        <f t="array" ref="G147">IFERROR(INDEX(Create_TC_Web!J$1:J$500,SMALL(IF(Create_TC_Web!$C$1:$C$500&lt;&gt;"",MATCH(ROW(Create_TC_Web!$C$1:$C$500),ROW(Create_TC_Web!$C$1:$C$500)),""),ROW(Create_TC_Web!H147))),"")</f>
        <v/>
      </c>
      <c r="H147" t="str" cm="1">
        <f t="array" ref="H147">IFERROR(INDEX(Create_TC_Web!K$1:K$500,SMALL(IF(Create_TC_Web!$C$1:$C$500&lt;&gt;"",MATCH(ROW(Create_TC_Web!$C$1:$C$500),ROW(Create_TC_Web!$C$1:$C$500)),""),ROW(Create_TC_Web!I147))),"")</f>
        <v/>
      </c>
      <c r="I147" t="str" cm="1">
        <f t="array" ref="I147">IFERROR(INDEX(Create_TC_Web!L$1:L$500,SMALL(IF(Create_TC_Web!$C$1:$C$500&lt;&gt;"",MATCH(ROW(Create_TC_Web!$C$1:$C$500),ROW(Create_TC_Web!$C$1:$C$500)),""),ROW(Create_TC_Web!J147))),"")</f>
        <v/>
      </c>
      <c r="J147" t="str" cm="1">
        <f t="array" ref="J147">IFERROR(INDEX(Create_TC_Web!M$1:M$500,SMALL(IF(Create_TC_Web!$C$1:$C$500&lt;&gt;"",MATCH(ROW(Create_TC_Web!$C$1:$C$500),ROW(Create_TC_Web!$C$1:$C$500)),""),ROW(Create_TC_Web!K147))),"")</f>
        <v/>
      </c>
      <c r="K147" t="str" cm="1">
        <f t="array" ref="K147">IFERROR(INDEX(Create_TC_Web!N$1:N$500,SMALL(IF(Create_TC_Web!$C$1:$C$500&lt;&gt;"",MATCH(ROW(Create_TC_Web!$C$1:$C$500),ROW(Create_TC_Web!$C$1:$C$500)),""),ROW(Create_TC_Web!L147))),"")</f>
        <v/>
      </c>
      <c r="L147" t="str" cm="1">
        <f t="array" ref="L147">IFERROR(INDEX(Create_TC_Web!O$1:O$500,SMALL(IF(Create_TC_Web!$C$1:$C$500&lt;&gt;"",MATCH(ROW(Create_TC_Web!$C$1:$C$500),ROW(Create_TC_Web!$C$1:$C$500)),""),ROW(Create_TC_Web!M147))),"")</f>
        <v/>
      </c>
      <c r="M147" t="str" cm="1">
        <f t="array" ref="M147">IFERROR(INDEX(Create_TC_Web!P$1:P$500,SMALL(IF(Create_TC_Web!$C$1:$C$500&lt;&gt;"",MATCH(ROW(Create_TC_Web!$C$1:$C$500),ROW(Create_TC_Web!$C$1:$C$500)),""),ROW(Create_TC_Web!N147))),"")</f>
        <v/>
      </c>
      <c r="N147">
        <f>Create_TC_Web!CA156</f>
        <v>0</v>
      </c>
      <c r="O147" t="str">
        <f t="shared" si="11"/>
        <v/>
      </c>
      <c r="P147" s="17" t="str" cm="1">
        <f t="array" ref="P147">IFERROR(INDEX(Create_TC_Web!S$1:S$500,SMALL(IF(Create_TC_Web!$C$1:$C$500&lt;&gt;"",MATCH(ROW(Create_TC_Web!$C$1:$C$500),ROW(Create_TC_Web!$C$1:$C$500)),""),ROW(Create_TC_Web!Q125))),"")</f>
        <v/>
      </c>
      <c r="S147" t="str">
        <f t="shared" si="12"/>
        <v/>
      </c>
    </row>
    <row r="148" spans="1:19">
      <c r="A148" t="str" cm="1">
        <f t="array" ref="A148">IFERROR(INDEX(Create_TC_Web!D$1:D$500,SMALL(IF(Create_TC_Web!$C$1:$C$500&lt;&gt;"",MATCH(ROW(Create_TC_Web!$C$1:$C$500),ROW(Create_TC_Web!$C$1:$C$500)),""),ROW(Create_TC_Web!B148))),"")</f>
        <v/>
      </c>
      <c r="B148" t="str" cm="1">
        <f t="array" ref="B148">SUBSTITUTE(SUBSTITUTE(SUBSTITUTE(IFERROR(INDEX(Create_TC_Web!E$1:E$505,SMALL(IF(Create_TC_Web!$C$1:$C$505&lt;&gt;"",MATCH(ROW(Create_TC_Web!$C$1:$C$505),ROW(Create_TC_Web!$C$1:$C$505)),""),ROW(Create_TC_Web!C148))),"")," ",""),"-",""),"_","")</f>
        <v/>
      </c>
      <c r="C148" t="str" cm="1">
        <f t="array" ref="C148">IFERROR(INDEX(Create_TC_Web!F$1:F$500,SMALL(IF(Create_TC_Web!$C$1:$C$500&lt;&gt;"",MATCH(ROW(Create_TC_Web!$C$1:$C$500),ROW(Create_TC_Web!$C$1:$C$500)),""),ROW(Create_TC_Web!D148))),"")</f>
        <v/>
      </c>
      <c r="D148" t="str" cm="1">
        <f t="array" ref="D148">IFERROR(INDEX(Create_TC_Web!G$1:G$500,SMALL(IF(Create_TC_Web!$C$1:$C$500&lt;&gt;"",MATCH(ROW(Create_TC_Web!$C$1:$C$500),ROW(Create_TC_Web!$C$1:$C$500)),""),ROW(Create_TC_Web!E148))),"")</f>
        <v/>
      </c>
      <c r="E148" t="str" cm="1">
        <f t="array" ref="E148">IFERROR(INDEX(Create_TC_Web!H$1:H$500,SMALL(IF(Create_TC_Web!$C$1:$C$500&lt;&gt;"",MATCH(ROW(Create_TC_Web!$C$1:$C$500),ROW(Create_TC_Web!$C$1:$C$500)),""),ROW(Create_TC_Web!F148))),"")</f>
        <v/>
      </c>
      <c r="F148" t="str" cm="1">
        <f t="array" ref="F148">IFERROR(INDEX(Create_TC_Web!I$1:I$500,SMALL(IF(Create_TC_Web!$C$1:$C$500&lt;&gt;"",MATCH(ROW(Create_TC_Web!$C$1:$C$500),ROW(Create_TC_Web!$C$1:$C$500)),""),ROW(Create_TC_Web!G148))),"")</f>
        <v/>
      </c>
      <c r="G148" t="str" cm="1">
        <f t="array" ref="G148">IFERROR(INDEX(Create_TC_Web!J$1:J$500,SMALL(IF(Create_TC_Web!$C$1:$C$500&lt;&gt;"",MATCH(ROW(Create_TC_Web!$C$1:$C$500),ROW(Create_TC_Web!$C$1:$C$500)),""),ROW(Create_TC_Web!H148))),"")</f>
        <v/>
      </c>
      <c r="H148" t="str" cm="1">
        <f t="array" ref="H148">IFERROR(INDEX(Create_TC_Web!K$1:K$500,SMALL(IF(Create_TC_Web!$C$1:$C$500&lt;&gt;"",MATCH(ROW(Create_TC_Web!$C$1:$C$500),ROW(Create_TC_Web!$C$1:$C$500)),""),ROW(Create_TC_Web!I148))),"")</f>
        <v/>
      </c>
      <c r="I148" t="str" cm="1">
        <f t="array" ref="I148">IFERROR(INDEX(Create_TC_Web!L$1:L$500,SMALL(IF(Create_TC_Web!$C$1:$C$500&lt;&gt;"",MATCH(ROW(Create_TC_Web!$C$1:$C$500),ROW(Create_TC_Web!$C$1:$C$500)),""),ROW(Create_TC_Web!J148))),"")</f>
        <v/>
      </c>
      <c r="J148" t="str" cm="1">
        <f t="array" ref="J148">IFERROR(INDEX(Create_TC_Web!M$1:M$500,SMALL(IF(Create_TC_Web!$C$1:$C$500&lt;&gt;"",MATCH(ROW(Create_TC_Web!$C$1:$C$500),ROW(Create_TC_Web!$C$1:$C$500)),""),ROW(Create_TC_Web!K148))),"")</f>
        <v/>
      </c>
      <c r="K148" t="str" cm="1">
        <f t="array" ref="K148">IFERROR(INDEX(Create_TC_Web!N$1:N$500,SMALL(IF(Create_TC_Web!$C$1:$C$500&lt;&gt;"",MATCH(ROW(Create_TC_Web!$C$1:$C$500),ROW(Create_TC_Web!$C$1:$C$500)),""),ROW(Create_TC_Web!L148))),"")</f>
        <v/>
      </c>
      <c r="L148" t="str" cm="1">
        <f t="array" ref="L148">IFERROR(INDEX(Create_TC_Web!O$1:O$500,SMALL(IF(Create_TC_Web!$C$1:$C$500&lt;&gt;"",MATCH(ROW(Create_TC_Web!$C$1:$C$500),ROW(Create_TC_Web!$C$1:$C$500)),""),ROW(Create_TC_Web!M148))),"")</f>
        <v/>
      </c>
      <c r="M148" t="str" cm="1">
        <f t="array" ref="M148">IFERROR(INDEX(Create_TC_Web!P$1:P$500,SMALL(IF(Create_TC_Web!$C$1:$C$500&lt;&gt;"",MATCH(ROW(Create_TC_Web!$C$1:$C$500),ROW(Create_TC_Web!$C$1:$C$500)),""),ROW(Create_TC_Web!N148))),"")</f>
        <v/>
      </c>
      <c r="N148">
        <f>Create_TC_Web!CA157</f>
        <v>0</v>
      </c>
      <c r="O148" t="str">
        <f t="shared" si="11"/>
        <v/>
      </c>
      <c r="P148" s="17" t="str" cm="1">
        <f t="array" ref="P148">IFERROR(INDEX(Create_TC_Web!S$1:S$500,SMALL(IF(Create_TC_Web!$C$1:$C$500&lt;&gt;"",MATCH(ROW(Create_TC_Web!$C$1:$C$500),ROW(Create_TC_Web!$C$1:$C$500)),""),ROW(Create_TC_Web!Q126))),"")</f>
        <v/>
      </c>
      <c r="S148" t="str">
        <f t="shared" si="12"/>
        <v/>
      </c>
    </row>
    <row r="149" spans="1:19">
      <c r="A149" t="str" cm="1">
        <f t="array" ref="A149">IFERROR(INDEX(Create_TC_Web!D$1:D$500,SMALL(IF(Create_TC_Web!$C$1:$C$500&lt;&gt;"",MATCH(ROW(Create_TC_Web!$C$1:$C$500),ROW(Create_TC_Web!$C$1:$C$500)),""),ROW(Create_TC_Web!B149))),"")</f>
        <v/>
      </c>
      <c r="B149" t="str" cm="1">
        <f t="array" ref="B149">SUBSTITUTE(SUBSTITUTE(SUBSTITUTE(IFERROR(INDEX(Create_TC_Web!E$1:E$505,SMALL(IF(Create_TC_Web!$C$1:$C$505&lt;&gt;"",MATCH(ROW(Create_TC_Web!$C$1:$C$505),ROW(Create_TC_Web!$C$1:$C$505)),""),ROW(Create_TC_Web!C149))),"")," ",""),"-",""),"_","")</f>
        <v/>
      </c>
      <c r="C149" t="str" cm="1">
        <f t="array" ref="C149">IFERROR(INDEX(Create_TC_Web!F$1:F$500,SMALL(IF(Create_TC_Web!$C$1:$C$500&lt;&gt;"",MATCH(ROW(Create_TC_Web!$C$1:$C$500),ROW(Create_TC_Web!$C$1:$C$500)),""),ROW(Create_TC_Web!D149))),"")</f>
        <v/>
      </c>
      <c r="D149" t="str" cm="1">
        <f t="array" ref="D149">IFERROR(INDEX(Create_TC_Web!G$1:G$500,SMALL(IF(Create_TC_Web!$C$1:$C$500&lt;&gt;"",MATCH(ROW(Create_TC_Web!$C$1:$C$500),ROW(Create_TC_Web!$C$1:$C$500)),""),ROW(Create_TC_Web!E149))),"")</f>
        <v/>
      </c>
      <c r="E149" t="str" cm="1">
        <f t="array" ref="E149">IFERROR(INDEX(Create_TC_Web!H$1:H$500,SMALL(IF(Create_TC_Web!$C$1:$C$500&lt;&gt;"",MATCH(ROW(Create_TC_Web!$C$1:$C$500),ROW(Create_TC_Web!$C$1:$C$500)),""),ROW(Create_TC_Web!F149))),"")</f>
        <v/>
      </c>
      <c r="F149" t="str" cm="1">
        <f t="array" ref="F149">IFERROR(INDEX(Create_TC_Web!I$1:I$500,SMALL(IF(Create_TC_Web!$C$1:$C$500&lt;&gt;"",MATCH(ROW(Create_TC_Web!$C$1:$C$500),ROW(Create_TC_Web!$C$1:$C$500)),""),ROW(Create_TC_Web!G149))),"")</f>
        <v/>
      </c>
      <c r="G149" t="str" cm="1">
        <f t="array" ref="G149">IFERROR(INDEX(Create_TC_Web!J$1:J$500,SMALL(IF(Create_TC_Web!$C$1:$C$500&lt;&gt;"",MATCH(ROW(Create_TC_Web!$C$1:$C$500),ROW(Create_TC_Web!$C$1:$C$500)),""),ROW(Create_TC_Web!H149))),"")</f>
        <v/>
      </c>
      <c r="H149" t="str" cm="1">
        <f t="array" ref="H149">IFERROR(INDEX(Create_TC_Web!K$1:K$500,SMALL(IF(Create_TC_Web!$C$1:$C$500&lt;&gt;"",MATCH(ROW(Create_TC_Web!$C$1:$C$500),ROW(Create_TC_Web!$C$1:$C$500)),""),ROW(Create_TC_Web!I149))),"")</f>
        <v/>
      </c>
      <c r="I149" t="str" cm="1">
        <f t="array" ref="I149">IFERROR(INDEX(Create_TC_Web!L$1:L$500,SMALL(IF(Create_TC_Web!$C$1:$C$500&lt;&gt;"",MATCH(ROW(Create_TC_Web!$C$1:$C$500),ROW(Create_TC_Web!$C$1:$C$500)),""),ROW(Create_TC_Web!J149))),"")</f>
        <v/>
      </c>
      <c r="J149" t="str" cm="1">
        <f t="array" ref="J149">IFERROR(INDEX(Create_TC_Web!M$1:M$500,SMALL(IF(Create_TC_Web!$C$1:$C$500&lt;&gt;"",MATCH(ROW(Create_TC_Web!$C$1:$C$500),ROW(Create_TC_Web!$C$1:$C$500)),""),ROW(Create_TC_Web!K149))),"")</f>
        <v/>
      </c>
      <c r="K149" t="str" cm="1">
        <f t="array" ref="K149">IFERROR(INDEX(Create_TC_Web!N$1:N$500,SMALL(IF(Create_TC_Web!$C$1:$C$500&lt;&gt;"",MATCH(ROW(Create_TC_Web!$C$1:$C$500),ROW(Create_TC_Web!$C$1:$C$500)),""),ROW(Create_TC_Web!L149))),"")</f>
        <v/>
      </c>
      <c r="L149" t="str" cm="1">
        <f t="array" ref="L149">IFERROR(INDEX(Create_TC_Web!O$1:O$500,SMALL(IF(Create_TC_Web!$C$1:$C$500&lt;&gt;"",MATCH(ROW(Create_TC_Web!$C$1:$C$500),ROW(Create_TC_Web!$C$1:$C$500)),""),ROW(Create_TC_Web!M149))),"")</f>
        <v/>
      </c>
      <c r="M149" t="str" cm="1">
        <f t="array" ref="M149">IFERROR(INDEX(Create_TC_Web!P$1:P$500,SMALL(IF(Create_TC_Web!$C$1:$C$500&lt;&gt;"",MATCH(ROW(Create_TC_Web!$C$1:$C$500),ROW(Create_TC_Web!$C$1:$C$500)),""),ROW(Create_TC_Web!N149))),"")</f>
        <v/>
      </c>
      <c r="N149">
        <f>Create_TC_Web!CA158</f>
        <v>0</v>
      </c>
      <c r="O149" t="str">
        <f t="shared" si="11"/>
        <v/>
      </c>
      <c r="P149" s="17" t="str" cm="1">
        <f t="array" ref="P149">IFERROR(INDEX(Create_TC_Web!S$1:S$500,SMALL(IF(Create_TC_Web!$C$1:$C$500&lt;&gt;"",MATCH(ROW(Create_TC_Web!$C$1:$C$500),ROW(Create_TC_Web!$C$1:$C$500)),""),ROW(Create_TC_Web!Q127))),"")</f>
        <v/>
      </c>
      <c r="S149" t="str">
        <f t="shared" si="12"/>
        <v/>
      </c>
    </row>
    <row r="150" spans="1:19">
      <c r="A150" t="str" cm="1">
        <f t="array" ref="A150">IFERROR(INDEX(Create_TC_Web!D$1:D$500,SMALL(IF(Create_TC_Web!$C$1:$C$500&lt;&gt;"",MATCH(ROW(Create_TC_Web!$C$1:$C$500),ROW(Create_TC_Web!$C$1:$C$500)),""),ROW(Create_TC_Web!B150))),"")</f>
        <v/>
      </c>
      <c r="B150" t="str" cm="1">
        <f t="array" ref="B150">SUBSTITUTE(SUBSTITUTE(SUBSTITUTE(IFERROR(INDEX(Create_TC_Web!E$1:E$505,SMALL(IF(Create_TC_Web!$C$1:$C$505&lt;&gt;"",MATCH(ROW(Create_TC_Web!$C$1:$C$505),ROW(Create_TC_Web!$C$1:$C$505)),""),ROW(Create_TC_Web!C150))),"")," ",""),"-",""),"_","")</f>
        <v/>
      </c>
      <c r="C150" t="str" cm="1">
        <f t="array" ref="C150">IFERROR(INDEX(Create_TC_Web!F$1:F$500,SMALL(IF(Create_TC_Web!$C$1:$C$500&lt;&gt;"",MATCH(ROW(Create_TC_Web!$C$1:$C$500),ROW(Create_TC_Web!$C$1:$C$500)),""),ROW(Create_TC_Web!D150))),"")</f>
        <v/>
      </c>
      <c r="D150" t="str" cm="1">
        <f t="array" ref="D150">IFERROR(INDEX(Create_TC_Web!G$1:G$500,SMALL(IF(Create_TC_Web!$C$1:$C$500&lt;&gt;"",MATCH(ROW(Create_TC_Web!$C$1:$C$500),ROW(Create_TC_Web!$C$1:$C$500)),""),ROW(Create_TC_Web!E150))),"")</f>
        <v/>
      </c>
      <c r="E150" t="str" cm="1">
        <f t="array" ref="E150">IFERROR(INDEX(Create_TC_Web!H$1:H$500,SMALL(IF(Create_TC_Web!$C$1:$C$500&lt;&gt;"",MATCH(ROW(Create_TC_Web!$C$1:$C$500),ROW(Create_TC_Web!$C$1:$C$500)),""),ROW(Create_TC_Web!F150))),"")</f>
        <v/>
      </c>
      <c r="F150" t="str" cm="1">
        <f t="array" ref="F150">IFERROR(INDEX(Create_TC_Web!I$1:I$500,SMALL(IF(Create_TC_Web!$C$1:$C$500&lt;&gt;"",MATCH(ROW(Create_TC_Web!$C$1:$C$500),ROW(Create_TC_Web!$C$1:$C$500)),""),ROW(Create_TC_Web!G150))),"")</f>
        <v/>
      </c>
      <c r="G150" t="str" cm="1">
        <f t="array" ref="G150">IFERROR(INDEX(Create_TC_Web!J$1:J$500,SMALL(IF(Create_TC_Web!$C$1:$C$500&lt;&gt;"",MATCH(ROW(Create_TC_Web!$C$1:$C$500),ROW(Create_TC_Web!$C$1:$C$500)),""),ROW(Create_TC_Web!H150))),"")</f>
        <v/>
      </c>
      <c r="H150" t="str" cm="1">
        <f t="array" ref="H150">IFERROR(INDEX(Create_TC_Web!K$1:K$500,SMALL(IF(Create_TC_Web!$C$1:$C$500&lt;&gt;"",MATCH(ROW(Create_TC_Web!$C$1:$C$500),ROW(Create_TC_Web!$C$1:$C$500)),""),ROW(Create_TC_Web!I150))),"")</f>
        <v/>
      </c>
      <c r="I150" t="str" cm="1">
        <f t="array" ref="I150">IFERROR(INDEX(Create_TC_Web!L$1:L$500,SMALL(IF(Create_TC_Web!$C$1:$C$500&lt;&gt;"",MATCH(ROW(Create_TC_Web!$C$1:$C$500),ROW(Create_TC_Web!$C$1:$C$500)),""),ROW(Create_TC_Web!J150))),"")</f>
        <v/>
      </c>
      <c r="J150" t="str" cm="1">
        <f t="array" ref="J150">IFERROR(INDEX(Create_TC_Web!M$1:M$500,SMALL(IF(Create_TC_Web!$C$1:$C$500&lt;&gt;"",MATCH(ROW(Create_TC_Web!$C$1:$C$500),ROW(Create_TC_Web!$C$1:$C$500)),""),ROW(Create_TC_Web!K150))),"")</f>
        <v/>
      </c>
      <c r="K150" t="str" cm="1">
        <f t="array" ref="K150">IFERROR(INDEX(Create_TC_Web!N$1:N$500,SMALL(IF(Create_TC_Web!$C$1:$C$500&lt;&gt;"",MATCH(ROW(Create_TC_Web!$C$1:$C$500),ROW(Create_TC_Web!$C$1:$C$500)),""),ROW(Create_TC_Web!L150))),"")</f>
        <v/>
      </c>
      <c r="L150" t="str" cm="1">
        <f t="array" ref="L150">IFERROR(INDEX(Create_TC_Web!O$1:O$500,SMALL(IF(Create_TC_Web!$C$1:$C$500&lt;&gt;"",MATCH(ROW(Create_TC_Web!$C$1:$C$500),ROW(Create_TC_Web!$C$1:$C$500)),""),ROW(Create_TC_Web!M150))),"")</f>
        <v/>
      </c>
      <c r="M150" t="str" cm="1">
        <f t="array" ref="M150">IFERROR(INDEX(Create_TC_Web!P$1:P$500,SMALL(IF(Create_TC_Web!$C$1:$C$500&lt;&gt;"",MATCH(ROW(Create_TC_Web!$C$1:$C$500),ROW(Create_TC_Web!$C$1:$C$500)),""),ROW(Create_TC_Web!N150))),"")</f>
        <v/>
      </c>
      <c r="N150">
        <f>Create_TC_Web!CA159</f>
        <v>0</v>
      </c>
      <c r="O150" t="str">
        <f t="shared" si="11"/>
        <v/>
      </c>
      <c r="P150" s="17" t="str" cm="1">
        <f t="array" ref="P150">IFERROR(INDEX(Create_TC_Web!S$1:S$500,SMALL(IF(Create_TC_Web!$C$1:$C$500&lt;&gt;"",MATCH(ROW(Create_TC_Web!$C$1:$C$500),ROW(Create_TC_Web!$C$1:$C$500)),""),ROW(Create_TC_Web!Q128))),"")</f>
        <v/>
      </c>
      <c r="S150" t="str">
        <f t="shared" si="12"/>
        <v/>
      </c>
    </row>
    <row r="151" spans="1:19">
      <c r="A151" t="str" cm="1">
        <f t="array" ref="A151">IFERROR(INDEX(Create_TC_Web!D$1:D$500,SMALL(IF(Create_TC_Web!$C$1:$C$500&lt;&gt;"",MATCH(ROW(Create_TC_Web!$C$1:$C$500),ROW(Create_TC_Web!$C$1:$C$500)),""),ROW(Create_TC_Web!B151))),"")</f>
        <v/>
      </c>
      <c r="B151" t="str" cm="1">
        <f t="array" ref="B151">SUBSTITUTE(SUBSTITUTE(SUBSTITUTE(IFERROR(INDEX(Create_TC_Web!E$1:E$505,SMALL(IF(Create_TC_Web!$C$1:$C$505&lt;&gt;"",MATCH(ROW(Create_TC_Web!$C$1:$C$505),ROW(Create_TC_Web!$C$1:$C$505)),""),ROW(Create_TC_Web!C151))),"")," ",""),"-",""),"_","")</f>
        <v/>
      </c>
      <c r="C151" t="str" cm="1">
        <f t="array" ref="C151">IFERROR(INDEX(Create_TC_Web!F$1:F$500,SMALL(IF(Create_TC_Web!$C$1:$C$500&lt;&gt;"",MATCH(ROW(Create_TC_Web!$C$1:$C$500),ROW(Create_TC_Web!$C$1:$C$500)),""),ROW(Create_TC_Web!D151))),"")</f>
        <v/>
      </c>
      <c r="D151" t="str" cm="1">
        <f t="array" ref="D151">IFERROR(INDEX(Create_TC_Web!G$1:G$500,SMALL(IF(Create_TC_Web!$C$1:$C$500&lt;&gt;"",MATCH(ROW(Create_TC_Web!$C$1:$C$500),ROW(Create_TC_Web!$C$1:$C$500)),""),ROW(Create_TC_Web!E151))),"")</f>
        <v/>
      </c>
      <c r="E151" t="str" cm="1">
        <f t="array" ref="E151">IFERROR(INDEX(Create_TC_Web!H$1:H$500,SMALL(IF(Create_TC_Web!$C$1:$C$500&lt;&gt;"",MATCH(ROW(Create_TC_Web!$C$1:$C$500),ROW(Create_TC_Web!$C$1:$C$500)),""),ROW(Create_TC_Web!F151))),"")</f>
        <v/>
      </c>
      <c r="F151" t="str" cm="1">
        <f t="array" ref="F151">IFERROR(INDEX(Create_TC_Web!I$1:I$500,SMALL(IF(Create_TC_Web!$C$1:$C$500&lt;&gt;"",MATCH(ROW(Create_TC_Web!$C$1:$C$500),ROW(Create_TC_Web!$C$1:$C$500)),""),ROW(Create_TC_Web!G151))),"")</f>
        <v/>
      </c>
      <c r="G151" t="str" cm="1">
        <f t="array" ref="G151">IFERROR(INDEX(Create_TC_Web!J$1:J$500,SMALL(IF(Create_TC_Web!$C$1:$C$500&lt;&gt;"",MATCH(ROW(Create_TC_Web!$C$1:$C$500),ROW(Create_TC_Web!$C$1:$C$500)),""),ROW(Create_TC_Web!H151))),"")</f>
        <v/>
      </c>
      <c r="H151" t="str" cm="1">
        <f t="array" ref="H151">IFERROR(INDEX(Create_TC_Web!K$1:K$500,SMALL(IF(Create_TC_Web!$C$1:$C$500&lt;&gt;"",MATCH(ROW(Create_TC_Web!$C$1:$C$500),ROW(Create_TC_Web!$C$1:$C$500)),""),ROW(Create_TC_Web!I151))),"")</f>
        <v/>
      </c>
      <c r="I151" t="str" cm="1">
        <f t="array" ref="I151">IFERROR(INDEX(Create_TC_Web!L$1:L$500,SMALL(IF(Create_TC_Web!$C$1:$C$500&lt;&gt;"",MATCH(ROW(Create_TC_Web!$C$1:$C$500),ROW(Create_TC_Web!$C$1:$C$500)),""),ROW(Create_TC_Web!J151))),"")</f>
        <v/>
      </c>
      <c r="J151" t="str" cm="1">
        <f t="array" ref="J151">IFERROR(INDEX(Create_TC_Web!M$1:M$500,SMALL(IF(Create_TC_Web!$C$1:$C$500&lt;&gt;"",MATCH(ROW(Create_TC_Web!$C$1:$C$500),ROW(Create_TC_Web!$C$1:$C$500)),""),ROW(Create_TC_Web!K151))),"")</f>
        <v/>
      </c>
      <c r="K151" t="str" cm="1">
        <f t="array" ref="K151">IFERROR(INDEX(Create_TC_Web!N$1:N$500,SMALL(IF(Create_TC_Web!$C$1:$C$500&lt;&gt;"",MATCH(ROW(Create_TC_Web!$C$1:$C$500),ROW(Create_TC_Web!$C$1:$C$500)),""),ROW(Create_TC_Web!L151))),"")</f>
        <v/>
      </c>
      <c r="L151" t="str" cm="1">
        <f t="array" ref="L151">IFERROR(INDEX(Create_TC_Web!O$1:O$500,SMALL(IF(Create_TC_Web!$C$1:$C$500&lt;&gt;"",MATCH(ROW(Create_TC_Web!$C$1:$C$500),ROW(Create_TC_Web!$C$1:$C$500)),""),ROW(Create_TC_Web!M151))),"")</f>
        <v/>
      </c>
      <c r="M151" t="str" cm="1">
        <f t="array" ref="M151">IFERROR(INDEX(Create_TC_Web!P$1:P$500,SMALL(IF(Create_TC_Web!$C$1:$C$500&lt;&gt;"",MATCH(ROW(Create_TC_Web!$C$1:$C$500),ROW(Create_TC_Web!$C$1:$C$500)),""),ROW(Create_TC_Web!N151))),"")</f>
        <v/>
      </c>
      <c r="N151">
        <f>Create_TC_Web!CA160</f>
        <v>0</v>
      </c>
      <c r="O151" t="str">
        <f t="shared" si="11"/>
        <v/>
      </c>
      <c r="P151" s="17" t="str" cm="1">
        <f t="array" ref="P151">IFERROR(INDEX(Create_TC_Web!S$1:S$500,SMALL(IF(Create_TC_Web!$C$1:$C$500&lt;&gt;"",MATCH(ROW(Create_TC_Web!$C$1:$C$500),ROW(Create_TC_Web!$C$1:$C$500)),""),ROW(Create_TC_Web!Q129))),"")</f>
        <v/>
      </c>
      <c r="S151" t="str">
        <f t="shared" si="12"/>
        <v/>
      </c>
    </row>
    <row r="152" spans="1:19">
      <c r="A152" t="str" cm="1">
        <f t="array" ref="A152">IFERROR(INDEX(Create_TC_Web!D$1:D$500,SMALL(IF(Create_TC_Web!$C$1:$C$500&lt;&gt;"",MATCH(ROW(Create_TC_Web!$C$1:$C$500),ROW(Create_TC_Web!$C$1:$C$500)),""),ROW(Create_TC_Web!B152))),"")</f>
        <v/>
      </c>
      <c r="B152" t="str" cm="1">
        <f t="array" ref="B152">SUBSTITUTE(SUBSTITUTE(SUBSTITUTE(IFERROR(INDEX(Create_TC_Web!E$1:E$505,SMALL(IF(Create_TC_Web!$C$1:$C$505&lt;&gt;"",MATCH(ROW(Create_TC_Web!$C$1:$C$505),ROW(Create_TC_Web!$C$1:$C$505)),""),ROW(Create_TC_Web!C152))),"")," ",""),"-",""),"_","")</f>
        <v/>
      </c>
      <c r="C152" t="str" cm="1">
        <f t="array" ref="C152">IFERROR(INDEX(Create_TC_Web!F$1:F$500,SMALL(IF(Create_TC_Web!$C$1:$C$500&lt;&gt;"",MATCH(ROW(Create_TC_Web!$C$1:$C$500),ROW(Create_TC_Web!$C$1:$C$500)),""),ROW(Create_TC_Web!D152))),"")</f>
        <v/>
      </c>
      <c r="D152" t="str" cm="1">
        <f t="array" ref="D152">IFERROR(INDEX(Create_TC_Web!G$1:G$500,SMALL(IF(Create_TC_Web!$C$1:$C$500&lt;&gt;"",MATCH(ROW(Create_TC_Web!$C$1:$C$500),ROW(Create_TC_Web!$C$1:$C$500)),""),ROW(Create_TC_Web!E152))),"")</f>
        <v/>
      </c>
      <c r="E152" t="str" cm="1">
        <f t="array" ref="E152">IFERROR(INDEX(Create_TC_Web!H$1:H$500,SMALL(IF(Create_TC_Web!$C$1:$C$500&lt;&gt;"",MATCH(ROW(Create_TC_Web!$C$1:$C$500),ROW(Create_TC_Web!$C$1:$C$500)),""),ROW(Create_TC_Web!F152))),"")</f>
        <v/>
      </c>
      <c r="F152" t="str" cm="1">
        <f t="array" ref="F152">IFERROR(INDEX(Create_TC_Web!I$1:I$500,SMALL(IF(Create_TC_Web!$C$1:$C$500&lt;&gt;"",MATCH(ROW(Create_TC_Web!$C$1:$C$500),ROW(Create_TC_Web!$C$1:$C$500)),""),ROW(Create_TC_Web!G152))),"")</f>
        <v/>
      </c>
      <c r="G152" t="str" cm="1">
        <f t="array" ref="G152">IFERROR(INDEX(Create_TC_Web!J$1:J$500,SMALL(IF(Create_TC_Web!$C$1:$C$500&lt;&gt;"",MATCH(ROW(Create_TC_Web!$C$1:$C$500),ROW(Create_TC_Web!$C$1:$C$500)),""),ROW(Create_TC_Web!H152))),"")</f>
        <v/>
      </c>
      <c r="H152" t="str" cm="1">
        <f t="array" ref="H152">IFERROR(INDEX(Create_TC_Web!K$1:K$500,SMALL(IF(Create_TC_Web!$C$1:$C$500&lt;&gt;"",MATCH(ROW(Create_TC_Web!$C$1:$C$500),ROW(Create_TC_Web!$C$1:$C$500)),""),ROW(Create_TC_Web!I152))),"")</f>
        <v/>
      </c>
      <c r="I152" t="str" cm="1">
        <f t="array" ref="I152">IFERROR(INDEX(Create_TC_Web!L$1:L$500,SMALL(IF(Create_TC_Web!$C$1:$C$500&lt;&gt;"",MATCH(ROW(Create_TC_Web!$C$1:$C$500),ROW(Create_TC_Web!$C$1:$C$500)),""),ROW(Create_TC_Web!J152))),"")</f>
        <v/>
      </c>
      <c r="J152" t="str" cm="1">
        <f t="array" ref="J152">IFERROR(INDEX(Create_TC_Web!M$1:M$500,SMALL(IF(Create_TC_Web!$C$1:$C$500&lt;&gt;"",MATCH(ROW(Create_TC_Web!$C$1:$C$500),ROW(Create_TC_Web!$C$1:$C$500)),""),ROW(Create_TC_Web!K152))),"")</f>
        <v/>
      </c>
      <c r="K152" t="str" cm="1">
        <f t="array" ref="K152">IFERROR(INDEX(Create_TC_Web!N$1:N$500,SMALL(IF(Create_TC_Web!$C$1:$C$500&lt;&gt;"",MATCH(ROW(Create_TC_Web!$C$1:$C$500),ROW(Create_TC_Web!$C$1:$C$500)),""),ROW(Create_TC_Web!L152))),"")</f>
        <v/>
      </c>
      <c r="L152" t="str" cm="1">
        <f t="array" ref="L152">IFERROR(INDEX(Create_TC_Web!O$1:O$500,SMALL(IF(Create_TC_Web!$C$1:$C$500&lt;&gt;"",MATCH(ROW(Create_TC_Web!$C$1:$C$500),ROW(Create_TC_Web!$C$1:$C$500)),""),ROW(Create_TC_Web!M152))),"")</f>
        <v/>
      </c>
      <c r="M152" t="str" cm="1">
        <f t="array" ref="M152">IFERROR(INDEX(Create_TC_Web!P$1:P$500,SMALL(IF(Create_TC_Web!$C$1:$C$500&lt;&gt;"",MATCH(ROW(Create_TC_Web!$C$1:$C$500),ROW(Create_TC_Web!$C$1:$C$500)),""),ROW(Create_TC_Web!N152))),"")</f>
        <v/>
      </c>
      <c r="N152">
        <f>Create_TC_Web!CA161</f>
        <v>0</v>
      </c>
      <c r="O152" t="str">
        <f t="shared" si="11"/>
        <v/>
      </c>
      <c r="P152" s="17" t="str" cm="1">
        <f t="array" ref="P152">IFERROR(INDEX(Create_TC_Web!S$1:S$500,SMALL(IF(Create_TC_Web!$C$1:$C$500&lt;&gt;"",MATCH(ROW(Create_TC_Web!$C$1:$C$500),ROW(Create_TC_Web!$C$1:$C$500)),""),ROW(Create_TC_Web!Q130))),"")</f>
        <v/>
      </c>
      <c r="S152" t="str">
        <f t="shared" si="12"/>
        <v/>
      </c>
    </row>
    <row r="153" spans="1:19">
      <c r="A153" t="str" cm="1">
        <f t="array" ref="A153">IFERROR(INDEX(Create_TC_Web!D$1:D$500,SMALL(IF(Create_TC_Web!$C$1:$C$500&lt;&gt;"",MATCH(ROW(Create_TC_Web!$C$1:$C$500),ROW(Create_TC_Web!$C$1:$C$500)),""),ROW(Create_TC_Web!B153))),"")</f>
        <v/>
      </c>
      <c r="B153" t="str" cm="1">
        <f t="array" ref="B153">SUBSTITUTE(SUBSTITUTE(SUBSTITUTE(IFERROR(INDEX(Create_TC_Web!E$1:E$505,SMALL(IF(Create_TC_Web!$C$1:$C$505&lt;&gt;"",MATCH(ROW(Create_TC_Web!$C$1:$C$505),ROW(Create_TC_Web!$C$1:$C$505)),""),ROW(Create_TC_Web!C153))),"")," ",""),"-",""),"_","")</f>
        <v/>
      </c>
      <c r="C153" t="str" cm="1">
        <f t="array" ref="C153">IFERROR(INDEX(Create_TC_Web!F$1:F$500,SMALL(IF(Create_TC_Web!$C$1:$C$500&lt;&gt;"",MATCH(ROW(Create_TC_Web!$C$1:$C$500),ROW(Create_TC_Web!$C$1:$C$500)),""),ROW(Create_TC_Web!D153))),"")</f>
        <v/>
      </c>
      <c r="D153" t="str" cm="1">
        <f t="array" ref="D153">IFERROR(INDEX(Create_TC_Web!G$1:G$500,SMALL(IF(Create_TC_Web!$C$1:$C$500&lt;&gt;"",MATCH(ROW(Create_TC_Web!$C$1:$C$500),ROW(Create_TC_Web!$C$1:$C$500)),""),ROW(Create_TC_Web!E153))),"")</f>
        <v/>
      </c>
      <c r="E153" t="str" cm="1">
        <f t="array" ref="E153">IFERROR(INDEX(Create_TC_Web!H$1:H$500,SMALL(IF(Create_TC_Web!$C$1:$C$500&lt;&gt;"",MATCH(ROW(Create_TC_Web!$C$1:$C$500),ROW(Create_TC_Web!$C$1:$C$500)),""),ROW(Create_TC_Web!F153))),"")</f>
        <v/>
      </c>
      <c r="F153" t="str" cm="1">
        <f t="array" ref="F153">IFERROR(INDEX(Create_TC_Web!I$1:I$500,SMALL(IF(Create_TC_Web!$C$1:$C$500&lt;&gt;"",MATCH(ROW(Create_TC_Web!$C$1:$C$500),ROW(Create_TC_Web!$C$1:$C$500)),""),ROW(Create_TC_Web!G153))),"")</f>
        <v/>
      </c>
      <c r="G153" t="str" cm="1">
        <f t="array" ref="G153">IFERROR(INDEX(Create_TC_Web!J$1:J$500,SMALL(IF(Create_TC_Web!$C$1:$C$500&lt;&gt;"",MATCH(ROW(Create_TC_Web!$C$1:$C$500),ROW(Create_TC_Web!$C$1:$C$500)),""),ROW(Create_TC_Web!H153))),"")</f>
        <v/>
      </c>
      <c r="H153" t="str" cm="1">
        <f t="array" ref="H153">IFERROR(INDEX(Create_TC_Web!K$1:K$500,SMALL(IF(Create_TC_Web!$C$1:$C$500&lt;&gt;"",MATCH(ROW(Create_TC_Web!$C$1:$C$500),ROW(Create_TC_Web!$C$1:$C$500)),""),ROW(Create_TC_Web!I153))),"")</f>
        <v/>
      </c>
      <c r="I153" t="str" cm="1">
        <f t="array" ref="I153">IFERROR(INDEX(Create_TC_Web!L$1:L$500,SMALL(IF(Create_TC_Web!$C$1:$C$500&lt;&gt;"",MATCH(ROW(Create_TC_Web!$C$1:$C$500),ROW(Create_TC_Web!$C$1:$C$500)),""),ROW(Create_TC_Web!J153))),"")</f>
        <v/>
      </c>
      <c r="J153" t="str" cm="1">
        <f t="array" ref="J153">IFERROR(INDEX(Create_TC_Web!M$1:M$500,SMALL(IF(Create_TC_Web!$C$1:$C$500&lt;&gt;"",MATCH(ROW(Create_TC_Web!$C$1:$C$500),ROW(Create_TC_Web!$C$1:$C$500)),""),ROW(Create_TC_Web!K153))),"")</f>
        <v/>
      </c>
      <c r="K153" t="str" cm="1">
        <f t="array" ref="K153">IFERROR(INDEX(Create_TC_Web!N$1:N$500,SMALL(IF(Create_TC_Web!$C$1:$C$500&lt;&gt;"",MATCH(ROW(Create_TC_Web!$C$1:$C$500),ROW(Create_TC_Web!$C$1:$C$500)),""),ROW(Create_TC_Web!L153))),"")</f>
        <v/>
      </c>
      <c r="L153" t="str" cm="1">
        <f t="array" ref="L153">IFERROR(INDEX(Create_TC_Web!O$1:O$500,SMALL(IF(Create_TC_Web!$C$1:$C$500&lt;&gt;"",MATCH(ROW(Create_TC_Web!$C$1:$C$500),ROW(Create_TC_Web!$C$1:$C$500)),""),ROW(Create_TC_Web!M153))),"")</f>
        <v/>
      </c>
      <c r="M153" t="str" cm="1">
        <f t="array" ref="M153">IFERROR(INDEX(Create_TC_Web!P$1:P$500,SMALL(IF(Create_TC_Web!$C$1:$C$500&lt;&gt;"",MATCH(ROW(Create_TC_Web!$C$1:$C$500),ROW(Create_TC_Web!$C$1:$C$500)),""),ROW(Create_TC_Web!N153))),"")</f>
        <v/>
      </c>
      <c r="N153">
        <f>Create_TC_Web!CA162</f>
        <v>0</v>
      </c>
      <c r="O153" t="str">
        <f t="shared" si="11"/>
        <v/>
      </c>
      <c r="P153" s="17" t="str" cm="1">
        <f t="array" ref="P153">IFERROR(INDEX(Create_TC_Web!S$1:S$500,SMALL(IF(Create_TC_Web!$C$1:$C$500&lt;&gt;"",MATCH(ROW(Create_TC_Web!$C$1:$C$500),ROW(Create_TC_Web!$C$1:$C$500)),""),ROW(Create_TC_Web!Q131))),"")</f>
        <v/>
      </c>
      <c r="S153" t="str">
        <f t="shared" si="12"/>
        <v/>
      </c>
    </row>
    <row r="154" spans="1:19">
      <c r="A154" t="str" cm="1">
        <f t="array" ref="A154">IFERROR(INDEX(Create_TC_Web!D$1:D$500,SMALL(IF(Create_TC_Web!$C$1:$C$500&lt;&gt;"",MATCH(ROW(Create_TC_Web!$C$1:$C$500),ROW(Create_TC_Web!$C$1:$C$500)),""),ROW(Create_TC_Web!B154))),"")</f>
        <v/>
      </c>
      <c r="B154" t="str" cm="1">
        <f t="array" ref="B154">SUBSTITUTE(SUBSTITUTE(SUBSTITUTE(IFERROR(INDEX(Create_TC_Web!E$1:E$505,SMALL(IF(Create_TC_Web!$C$1:$C$505&lt;&gt;"",MATCH(ROW(Create_TC_Web!$C$1:$C$505),ROW(Create_TC_Web!$C$1:$C$505)),""),ROW(Create_TC_Web!C154))),"")," ",""),"-",""),"_","")</f>
        <v/>
      </c>
      <c r="C154" t="str" cm="1">
        <f t="array" ref="C154">IFERROR(INDEX(Create_TC_Web!F$1:F$500,SMALL(IF(Create_TC_Web!$C$1:$C$500&lt;&gt;"",MATCH(ROW(Create_TC_Web!$C$1:$C$500),ROW(Create_TC_Web!$C$1:$C$500)),""),ROW(Create_TC_Web!D154))),"")</f>
        <v/>
      </c>
      <c r="D154" t="str" cm="1">
        <f t="array" ref="D154">IFERROR(INDEX(Create_TC_Web!G$1:G$500,SMALL(IF(Create_TC_Web!$C$1:$C$500&lt;&gt;"",MATCH(ROW(Create_TC_Web!$C$1:$C$500),ROW(Create_TC_Web!$C$1:$C$500)),""),ROW(Create_TC_Web!E154))),"")</f>
        <v/>
      </c>
      <c r="E154" t="str" cm="1">
        <f t="array" ref="E154">IFERROR(INDEX(Create_TC_Web!H$1:H$500,SMALL(IF(Create_TC_Web!$C$1:$C$500&lt;&gt;"",MATCH(ROW(Create_TC_Web!$C$1:$C$500),ROW(Create_TC_Web!$C$1:$C$500)),""),ROW(Create_TC_Web!F154))),"")</f>
        <v/>
      </c>
      <c r="F154" t="str" cm="1">
        <f t="array" ref="F154">IFERROR(INDEX(Create_TC_Web!I$1:I$500,SMALL(IF(Create_TC_Web!$C$1:$C$500&lt;&gt;"",MATCH(ROW(Create_TC_Web!$C$1:$C$500),ROW(Create_TC_Web!$C$1:$C$500)),""),ROW(Create_TC_Web!G154))),"")</f>
        <v/>
      </c>
      <c r="G154" t="str" cm="1">
        <f t="array" ref="G154">IFERROR(INDEX(Create_TC_Web!J$1:J$500,SMALL(IF(Create_TC_Web!$C$1:$C$500&lt;&gt;"",MATCH(ROW(Create_TC_Web!$C$1:$C$500),ROW(Create_TC_Web!$C$1:$C$500)),""),ROW(Create_TC_Web!H154))),"")</f>
        <v/>
      </c>
      <c r="H154" t="str" cm="1">
        <f t="array" ref="H154">IFERROR(INDEX(Create_TC_Web!K$1:K$500,SMALL(IF(Create_TC_Web!$C$1:$C$500&lt;&gt;"",MATCH(ROW(Create_TC_Web!$C$1:$C$500),ROW(Create_TC_Web!$C$1:$C$500)),""),ROW(Create_TC_Web!I154))),"")</f>
        <v/>
      </c>
      <c r="I154" t="str" cm="1">
        <f t="array" ref="I154">IFERROR(INDEX(Create_TC_Web!L$1:L$500,SMALL(IF(Create_TC_Web!$C$1:$C$500&lt;&gt;"",MATCH(ROW(Create_TC_Web!$C$1:$C$500),ROW(Create_TC_Web!$C$1:$C$500)),""),ROW(Create_TC_Web!J154))),"")</f>
        <v/>
      </c>
      <c r="J154" t="str" cm="1">
        <f t="array" ref="J154">IFERROR(INDEX(Create_TC_Web!M$1:M$500,SMALL(IF(Create_TC_Web!$C$1:$C$500&lt;&gt;"",MATCH(ROW(Create_TC_Web!$C$1:$C$500),ROW(Create_TC_Web!$C$1:$C$500)),""),ROW(Create_TC_Web!K154))),"")</f>
        <v/>
      </c>
      <c r="K154" t="str" cm="1">
        <f t="array" ref="K154">IFERROR(INDEX(Create_TC_Web!N$1:N$500,SMALL(IF(Create_TC_Web!$C$1:$C$500&lt;&gt;"",MATCH(ROW(Create_TC_Web!$C$1:$C$500),ROW(Create_TC_Web!$C$1:$C$500)),""),ROW(Create_TC_Web!L154))),"")</f>
        <v/>
      </c>
      <c r="L154" t="str" cm="1">
        <f t="array" ref="L154">IFERROR(INDEX(Create_TC_Web!O$1:O$500,SMALL(IF(Create_TC_Web!$C$1:$C$500&lt;&gt;"",MATCH(ROW(Create_TC_Web!$C$1:$C$500),ROW(Create_TC_Web!$C$1:$C$500)),""),ROW(Create_TC_Web!M154))),"")</f>
        <v/>
      </c>
      <c r="M154" t="str" cm="1">
        <f t="array" ref="M154">IFERROR(INDEX(Create_TC_Web!P$1:P$500,SMALL(IF(Create_TC_Web!$C$1:$C$500&lt;&gt;"",MATCH(ROW(Create_TC_Web!$C$1:$C$500),ROW(Create_TC_Web!$C$1:$C$500)),""),ROW(Create_TC_Web!N154))),"")</f>
        <v/>
      </c>
      <c r="N154">
        <f>Create_TC_Web!CA163</f>
        <v>0</v>
      </c>
      <c r="O154" t="str">
        <f t="shared" si="11"/>
        <v/>
      </c>
      <c r="P154" s="17" t="str" cm="1">
        <f t="array" ref="P154">IFERROR(INDEX(Create_TC_Web!S$1:S$500,SMALL(IF(Create_TC_Web!$C$1:$C$500&lt;&gt;"",MATCH(ROW(Create_TC_Web!$C$1:$C$500),ROW(Create_TC_Web!$C$1:$C$500)),""),ROW(Create_TC_Web!Q132))),"")</f>
        <v/>
      </c>
      <c r="S154" t="str">
        <f t="shared" si="12"/>
        <v/>
      </c>
    </row>
    <row r="155" spans="1:19">
      <c r="A155" t="str" cm="1">
        <f t="array" ref="A155">IFERROR(INDEX(Create_TC_Web!D$1:D$998,SMALL(IF(Create_TC_Web!$C$1:$C$998&lt;&gt;"",MATCH(ROW(Create_TC_Web!$C$1:$C$998),ROW(Create_TC_Web!$C$1:$C$998)),""),ROW(Create_TC_Web!B155))),"")</f>
        <v/>
      </c>
      <c r="B155" t="str" cm="1">
        <f t="array" ref="B155">SUBSTITUTE(SUBSTITUTE(SUBSTITUTE(IFERROR(INDEX(Create_TC_Web!E$1:E$505,SMALL(IF(Create_TC_Web!$C$1:$C$505&lt;&gt;"",MATCH(ROW(Create_TC_Web!$C$1:$C$505),ROW(Create_TC_Web!$C$1:$C$505)),""),ROW(Create_TC_Web!C155))),"")," ",""),"-",""),"_","")</f>
        <v/>
      </c>
      <c r="C155" t="str" cm="1">
        <f t="array" ref="C155">IFERROR(INDEX(Create_TC_Web!F$1:F$998,SMALL(IF(Create_TC_Web!$C$1:$C$998&lt;&gt;"",MATCH(ROW(Create_TC_Web!$C$1:$C$998),ROW(Create_TC_Web!$C$1:$C$998)),""),ROW(Create_TC_Web!D155))),"")</f>
        <v/>
      </c>
      <c r="D155" t="str" cm="1">
        <f t="array" ref="D155">IFERROR(INDEX(Create_TC_Web!G$1:G$998,SMALL(IF(Create_TC_Web!$C$1:$C$998&lt;&gt;"",MATCH(ROW(Create_TC_Web!$C$1:$C$998),ROW(Create_TC_Web!$C$1:$C$998)),""),ROW(Create_TC_Web!E155))),"")</f>
        <v/>
      </c>
      <c r="E155" t="str" cm="1">
        <f t="array" ref="E155">IFERROR(INDEX(Create_TC_Web!H$1:H$998,SMALL(IF(Create_TC_Web!$C$1:$C$998&lt;&gt;"",MATCH(ROW(Create_TC_Web!$C$1:$C$998),ROW(Create_TC_Web!$C$1:$C$998)),""),ROW(Create_TC_Web!F155))),"")</f>
        <v/>
      </c>
      <c r="F155" t="str" cm="1">
        <f t="array" ref="F155">IFERROR(INDEX(Create_TC_Web!I$1:I$998,SMALL(IF(Create_TC_Web!$C$1:$C$998&lt;&gt;"",MATCH(ROW(Create_TC_Web!$C$1:$C$998),ROW(Create_TC_Web!$C$1:$C$998)),""),ROW(Create_TC_Web!G155))),"")</f>
        <v/>
      </c>
      <c r="G155" t="str" cm="1">
        <f t="array" ref="G155">IFERROR(INDEX(Create_TC_Web!J$1:J$998,SMALL(IF(Create_TC_Web!$C$1:$C$998&lt;&gt;"",MATCH(ROW(Create_TC_Web!$C$1:$C$998),ROW(Create_TC_Web!$C$1:$C$998)),""),ROW(Create_TC_Web!H155))),"")</f>
        <v/>
      </c>
      <c r="H155" t="str" cm="1">
        <f t="array" ref="H155">IFERROR(INDEX(Create_TC_Web!K$1:K$998,SMALL(IF(Create_TC_Web!$C$1:$C$998&lt;&gt;"",MATCH(ROW(Create_TC_Web!$C$1:$C$998),ROW(Create_TC_Web!$C$1:$C$998)),""),ROW(Create_TC_Web!I155))),"")</f>
        <v/>
      </c>
      <c r="I155" t="str" cm="1">
        <f t="array" ref="I155">IFERROR(INDEX(Create_TC_Web!L$1:L$998,SMALL(IF(Create_TC_Web!$C$1:$C$998&lt;&gt;"",MATCH(ROW(Create_TC_Web!$C$1:$C$998),ROW(Create_TC_Web!$C$1:$C$998)),""),ROW(Create_TC_Web!J155))),"")</f>
        <v/>
      </c>
      <c r="J155" t="str" cm="1">
        <f t="array" ref="J155">IFERROR(INDEX(Create_TC_Web!M$1:M$998,SMALL(IF(Create_TC_Web!$C$1:$C$998&lt;&gt;"",MATCH(ROW(Create_TC_Web!$C$1:$C$998),ROW(Create_TC_Web!$C$1:$C$998)),""),ROW(Create_TC_Web!K155))),"")</f>
        <v/>
      </c>
      <c r="K155" t="str" cm="1">
        <f t="array" ref="K155">IFERROR(INDEX(Create_TC_Web!N$1:N$998,SMALL(IF(Create_TC_Web!$C$1:$C$998&lt;&gt;"",MATCH(ROW(Create_TC_Web!$C$1:$C$998),ROW(Create_TC_Web!$C$1:$C$998)),""),ROW(Create_TC_Web!L155))),"")</f>
        <v/>
      </c>
      <c r="L155" t="str" cm="1">
        <f t="array" ref="L155">IFERROR(INDEX(Create_TC_Web!O$1:O$998,SMALL(IF(Create_TC_Web!$C$1:$C$998&lt;&gt;"",MATCH(ROW(Create_TC_Web!$C$1:$C$998),ROW(Create_TC_Web!$C$1:$C$998)),""),ROW(Create_TC_Web!M155))),"")</f>
        <v/>
      </c>
      <c r="M155" t="str" cm="1">
        <f t="array" ref="M155">IFERROR(INDEX(Create_TC_Web!P$1:P$998,SMALL(IF(Create_TC_Web!$C$1:$C$998&lt;&gt;"",MATCH(ROW(Create_TC_Web!$C$1:$C$998),ROW(Create_TC_Web!$C$1:$C$998)),""),ROW(Create_TC_Web!N155))),"")</f>
        <v/>
      </c>
      <c r="N155">
        <f>Create_TC_Web!CA164</f>
        <v>0</v>
      </c>
      <c r="O155" t="str">
        <f t="shared" si="11"/>
        <v/>
      </c>
      <c r="P155" s="17" t="str" cm="1">
        <f t="array" ref="P155">IFERROR(INDEX(Create_TC_Web!S$1:S$500,SMALL(IF(Create_TC_Web!$C$1:$C$500&lt;&gt;"",MATCH(ROW(Create_TC_Web!$C$1:$C$500),ROW(Create_TC_Web!$C$1:$C$500)),""),ROW(Create_TC_Web!Q133))),"")</f>
        <v/>
      </c>
      <c r="S155" t="str">
        <f t="shared" si="12"/>
        <v/>
      </c>
    </row>
    <row r="156" spans="1:19">
      <c r="A156" t="str" cm="1">
        <f t="array" ref="A156">IFERROR(INDEX(Create_TC_Web!D$1:D$998,SMALL(IF(Create_TC_Web!$C$1:$C$998&lt;&gt;"",MATCH(ROW(Create_TC_Web!$C$1:$C$998),ROW(Create_TC_Web!$C$1:$C$998)),""),ROW(Create_TC_Web!B156))),"")</f>
        <v/>
      </c>
      <c r="B156" t="str" cm="1">
        <f t="array" ref="B156">SUBSTITUTE(SUBSTITUTE(SUBSTITUTE(IFERROR(INDEX(Create_TC_Web!E$1:E$505,SMALL(IF(Create_TC_Web!$C$1:$C$505&lt;&gt;"",MATCH(ROW(Create_TC_Web!$C$1:$C$505),ROW(Create_TC_Web!$C$1:$C$505)),""),ROW(Create_TC_Web!C156))),"")," ",""),"-",""),"_","")</f>
        <v/>
      </c>
      <c r="C156" t="str" cm="1">
        <f t="array" ref="C156">IFERROR(INDEX(Create_TC_Web!F$1:F$998,SMALL(IF(Create_TC_Web!$C$1:$C$998&lt;&gt;"",MATCH(ROW(Create_TC_Web!$C$1:$C$998),ROW(Create_TC_Web!$C$1:$C$998)),""),ROW(Create_TC_Web!D156))),"")</f>
        <v/>
      </c>
      <c r="D156" t="str" cm="1">
        <f t="array" ref="D156">IFERROR(INDEX(Create_TC_Web!G$1:G$998,SMALL(IF(Create_TC_Web!$C$1:$C$998&lt;&gt;"",MATCH(ROW(Create_TC_Web!$C$1:$C$998),ROW(Create_TC_Web!$C$1:$C$998)),""),ROW(Create_TC_Web!E156))),"")</f>
        <v/>
      </c>
      <c r="E156" t="str" cm="1">
        <f t="array" ref="E156">IFERROR(INDEX(Create_TC_Web!H$1:H$998,SMALL(IF(Create_TC_Web!$C$1:$C$998&lt;&gt;"",MATCH(ROW(Create_TC_Web!$C$1:$C$998),ROW(Create_TC_Web!$C$1:$C$998)),""),ROW(Create_TC_Web!F156))),"")</f>
        <v/>
      </c>
      <c r="F156" t="str" cm="1">
        <f t="array" ref="F156">IFERROR(INDEX(Create_TC_Web!I$1:I$998,SMALL(IF(Create_TC_Web!$C$1:$C$998&lt;&gt;"",MATCH(ROW(Create_TC_Web!$C$1:$C$998),ROW(Create_TC_Web!$C$1:$C$998)),""),ROW(Create_TC_Web!G156))),"")</f>
        <v/>
      </c>
      <c r="G156" t="str" cm="1">
        <f t="array" ref="G156">IFERROR(INDEX(Create_TC_Web!J$1:J$998,SMALL(IF(Create_TC_Web!$C$1:$C$998&lt;&gt;"",MATCH(ROW(Create_TC_Web!$C$1:$C$998),ROW(Create_TC_Web!$C$1:$C$998)),""),ROW(Create_TC_Web!H156))),"")</f>
        <v/>
      </c>
      <c r="H156" t="str" cm="1">
        <f t="array" ref="H156">IFERROR(INDEX(Create_TC_Web!K$1:K$998,SMALL(IF(Create_TC_Web!$C$1:$C$998&lt;&gt;"",MATCH(ROW(Create_TC_Web!$C$1:$C$998),ROW(Create_TC_Web!$C$1:$C$998)),""),ROW(Create_TC_Web!I156))),"")</f>
        <v/>
      </c>
      <c r="I156" t="str" cm="1">
        <f t="array" ref="I156">IFERROR(INDEX(Create_TC_Web!L$1:L$998,SMALL(IF(Create_TC_Web!$C$1:$C$998&lt;&gt;"",MATCH(ROW(Create_TC_Web!$C$1:$C$998),ROW(Create_TC_Web!$C$1:$C$998)),""),ROW(Create_TC_Web!J156))),"")</f>
        <v/>
      </c>
      <c r="J156" t="str" cm="1">
        <f t="array" ref="J156">IFERROR(INDEX(Create_TC_Web!M$1:M$998,SMALL(IF(Create_TC_Web!$C$1:$C$998&lt;&gt;"",MATCH(ROW(Create_TC_Web!$C$1:$C$998),ROW(Create_TC_Web!$C$1:$C$998)),""),ROW(Create_TC_Web!K156))),"")</f>
        <v/>
      </c>
      <c r="K156" t="str" cm="1">
        <f t="array" ref="K156">IFERROR(INDEX(Create_TC_Web!N$1:N$998,SMALL(IF(Create_TC_Web!$C$1:$C$998&lt;&gt;"",MATCH(ROW(Create_TC_Web!$C$1:$C$998),ROW(Create_TC_Web!$C$1:$C$998)),""),ROW(Create_TC_Web!L156))),"")</f>
        <v/>
      </c>
      <c r="L156" t="str" cm="1">
        <f t="array" ref="L156">IFERROR(INDEX(Create_TC_Web!O$1:O$998,SMALL(IF(Create_TC_Web!$C$1:$C$998&lt;&gt;"",MATCH(ROW(Create_TC_Web!$C$1:$C$998),ROW(Create_TC_Web!$C$1:$C$998)),""),ROW(Create_TC_Web!M156))),"")</f>
        <v/>
      </c>
      <c r="M156" t="str" cm="1">
        <f t="array" ref="M156">IFERROR(INDEX(Create_TC_Web!P$1:P$998,SMALL(IF(Create_TC_Web!$C$1:$C$998&lt;&gt;"",MATCH(ROW(Create_TC_Web!$C$1:$C$998),ROW(Create_TC_Web!$C$1:$C$998)),""),ROW(Create_TC_Web!N156))),"")</f>
        <v/>
      </c>
      <c r="N156">
        <f>Create_TC_Web!CA165</f>
        <v>0</v>
      </c>
      <c r="O156" t="str">
        <f t="shared" si="11"/>
        <v/>
      </c>
      <c r="P156" s="17" t="str" cm="1">
        <f t="array" ref="P156">IFERROR(INDEX(Create_TC_Web!S$1:S$500,SMALL(IF(Create_TC_Web!$C$1:$C$500&lt;&gt;"",MATCH(ROW(Create_TC_Web!$C$1:$C$500),ROW(Create_TC_Web!$C$1:$C$500)),""),ROW(Create_TC_Web!Q134))),"")</f>
        <v/>
      </c>
      <c r="S156" t="str">
        <f t="shared" si="12"/>
        <v/>
      </c>
    </row>
    <row r="157" spans="1:19">
      <c r="A157" t="str" cm="1">
        <f t="array" ref="A157">IFERROR(INDEX(Create_TC_Web!D$1:D$998,SMALL(IF(Create_TC_Web!$C$1:$C$998&lt;&gt;"",MATCH(ROW(Create_TC_Web!$C$1:$C$998),ROW(Create_TC_Web!$C$1:$C$998)),""),ROW(Create_TC_Web!B157))),"")</f>
        <v/>
      </c>
      <c r="B157" t="str" cm="1">
        <f t="array" ref="B157">SUBSTITUTE(SUBSTITUTE(SUBSTITUTE(IFERROR(INDEX(Create_TC_Web!E$1:E$505,SMALL(IF(Create_TC_Web!$C$1:$C$505&lt;&gt;"",MATCH(ROW(Create_TC_Web!$C$1:$C$505),ROW(Create_TC_Web!$C$1:$C$505)),""),ROW(Create_TC_Web!C157))),"")," ",""),"-",""),"_","")</f>
        <v/>
      </c>
      <c r="C157" t="str" cm="1">
        <f t="array" ref="C157">IFERROR(INDEX(Create_TC_Web!F$1:F$998,SMALL(IF(Create_TC_Web!$C$1:$C$998&lt;&gt;"",MATCH(ROW(Create_TC_Web!$C$1:$C$998),ROW(Create_TC_Web!$C$1:$C$998)),""),ROW(Create_TC_Web!D157))),"")</f>
        <v/>
      </c>
      <c r="D157" t="str" cm="1">
        <f t="array" ref="D157">IFERROR(INDEX(Create_TC_Web!G$1:G$998,SMALL(IF(Create_TC_Web!$C$1:$C$998&lt;&gt;"",MATCH(ROW(Create_TC_Web!$C$1:$C$998),ROW(Create_TC_Web!$C$1:$C$998)),""),ROW(Create_TC_Web!E157))),"")</f>
        <v/>
      </c>
      <c r="E157" t="str" cm="1">
        <f t="array" ref="E157">IFERROR(INDEX(Create_TC_Web!H$1:H$998,SMALL(IF(Create_TC_Web!$C$1:$C$998&lt;&gt;"",MATCH(ROW(Create_TC_Web!$C$1:$C$998),ROW(Create_TC_Web!$C$1:$C$998)),""),ROW(Create_TC_Web!F157))),"")</f>
        <v/>
      </c>
      <c r="F157" t="str" cm="1">
        <f t="array" ref="F157">IFERROR(INDEX(Create_TC_Web!I$1:I$998,SMALL(IF(Create_TC_Web!$C$1:$C$998&lt;&gt;"",MATCH(ROW(Create_TC_Web!$C$1:$C$998),ROW(Create_TC_Web!$C$1:$C$998)),""),ROW(Create_TC_Web!G157))),"")</f>
        <v/>
      </c>
      <c r="G157" t="str" cm="1">
        <f t="array" ref="G157">IFERROR(INDEX(Create_TC_Web!J$1:J$998,SMALL(IF(Create_TC_Web!$C$1:$C$998&lt;&gt;"",MATCH(ROW(Create_TC_Web!$C$1:$C$998),ROW(Create_TC_Web!$C$1:$C$998)),""),ROW(Create_TC_Web!H157))),"")</f>
        <v/>
      </c>
      <c r="H157" t="str" cm="1">
        <f t="array" ref="H157">IFERROR(INDEX(Create_TC_Web!K$1:K$998,SMALL(IF(Create_TC_Web!$C$1:$C$998&lt;&gt;"",MATCH(ROW(Create_TC_Web!$C$1:$C$998),ROW(Create_TC_Web!$C$1:$C$998)),""),ROW(Create_TC_Web!I157))),"")</f>
        <v/>
      </c>
      <c r="I157" t="str" cm="1">
        <f t="array" ref="I157">IFERROR(INDEX(Create_TC_Web!L$1:L$998,SMALL(IF(Create_TC_Web!$C$1:$C$998&lt;&gt;"",MATCH(ROW(Create_TC_Web!$C$1:$C$998),ROW(Create_TC_Web!$C$1:$C$998)),""),ROW(Create_TC_Web!J157))),"")</f>
        <v/>
      </c>
      <c r="J157" t="str" cm="1">
        <f t="array" ref="J157">IFERROR(INDEX(Create_TC_Web!M$1:M$998,SMALL(IF(Create_TC_Web!$C$1:$C$998&lt;&gt;"",MATCH(ROW(Create_TC_Web!$C$1:$C$998),ROW(Create_TC_Web!$C$1:$C$998)),""),ROW(Create_TC_Web!K157))),"")</f>
        <v/>
      </c>
      <c r="K157" t="str" cm="1">
        <f t="array" ref="K157">IFERROR(INDEX(Create_TC_Web!N$1:N$998,SMALL(IF(Create_TC_Web!$C$1:$C$998&lt;&gt;"",MATCH(ROW(Create_TC_Web!$C$1:$C$998),ROW(Create_TC_Web!$C$1:$C$998)),""),ROW(Create_TC_Web!L157))),"")</f>
        <v/>
      </c>
      <c r="L157" t="str" cm="1">
        <f t="array" ref="L157">IFERROR(INDEX(Create_TC_Web!O$1:O$998,SMALL(IF(Create_TC_Web!$C$1:$C$998&lt;&gt;"",MATCH(ROW(Create_TC_Web!$C$1:$C$998),ROW(Create_TC_Web!$C$1:$C$998)),""),ROW(Create_TC_Web!M157))),"")</f>
        <v/>
      </c>
      <c r="M157" t="str" cm="1">
        <f t="array" ref="M157">IFERROR(INDEX(Create_TC_Web!P$1:P$998,SMALL(IF(Create_TC_Web!$C$1:$C$998&lt;&gt;"",MATCH(ROW(Create_TC_Web!$C$1:$C$998),ROW(Create_TC_Web!$C$1:$C$998)),""),ROW(Create_TC_Web!N157))),"")</f>
        <v/>
      </c>
      <c r="N157">
        <f>Create_TC_Web!CA166</f>
        <v>0</v>
      </c>
      <c r="O157" t="str">
        <f t="shared" si="11"/>
        <v/>
      </c>
      <c r="P157" s="17" t="str" cm="1">
        <f t="array" ref="P157">IFERROR(INDEX(Create_TC_Web!S$1:S$500,SMALL(IF(Create_TC_Web!$C$1:$C$500&lt;&gt;"",MATCH(ROW(Create_TC_Web!$C$1:$C$500),ROW(Create_TC_Web!$C$1:$C$500)),""),ROW(Create_TC_Web!Q135))),"")</f>
        <v/>
      </c>
      <c r="S157" t="str">
        <f t="shared" si="12"/>
        <v/>
      </c>
    </row>
    <row r="158" spans="1:19">
      <c r="A158" t="str" cm="1">
        <f t="array" ref="A158">IFERROR(INDEX(Create_TC_Web!D$1:D$998,SMALL(IF(Create_TC_Web!$C$1:$C$998&lt;&gt;"",MATCH(ROW(Create_TC_Web!$C$1:$C$998),ROW(Create_TC_Web!$C$1:$C$998)),""),ROW(Create_TC_Web!B158))),"")</f>
        <v/>
      </c>
      <c r="B158" t="str" cm="1">
        <f t="array" ref="B158">SUBSTITUTE(SUBSTITUTE(SUBSTITUTE(IFERROR(INDEX(Create_TC_Web!E$1:E$505,SMALL(IF(Create_TC_Web!$C$1:$C$505&lt;&gt;"",MATCH(ROW(Create_TC_Web!$C$1:$C$505),ROW(Create_TC_Web!$C$1:$C$505)),""),ROW(Create_TC_Web!C158))),"")," ",""),"-",""),"_","")</f>
        <v/>
      </c>
      <c r="C158" t="str" cm="1">
        <f t="array" ref="C158">IFERROR(INDEX(Create_TC_Web!F$1:F$998,SMALL(IF(Create_TC_Web!$C$1:$C$998&lt;&gt;"",MATCH(ROW(Create_TC_Web!$C$1:$C$998),ROW(Create_TC_Web!$C$1:$C$998)),""),ROW(Create_TC_Web!D158))),"")</f>
        <v/>
      </c>
      <c r="D158" t="str" cm="1">
        <f t="array" ref="D158">IFERROR(INDEX(Create_TC_Web!G$1:G$998,SMALL(IF(Create_TC_Web!$C$1:$C$998&lt;&gt;"",MATCH(ROW(Create_TC_Web!$C$1:$C$998),ROW(Create_TC_Web!$C$1:$C$998)),""),ROW(Create_TC_Web!E158))),"")</f>
        <v/>
      </c>
      <c r="E158" t="str" cm="1">
        <f t="array" ref="E158">IFERROR(INDEX(Create_TC_Web!H$1:H$998,SMALL(IF(Create_TC_Web!$C$1:$C$998&lt;&gt;"",MATCH(ROW(Create_TC_Web!$C$1:$C$998),ROW(Create_TC_Web!$C$1:$C$998)),""),ROW(Create_TC_Web!F158))),"")</f>
        <v/>
      </c>
      <c r="F158" t="str" cm="1">
        <f t="array" ref="F158">IFERROR(INDEX(Create_TC_Web!I$1:I$998,SMALL(IF(Create_TC_Web!$C$1:$C$998&lt;&gt;"",MATCH(ROW(Create_TC_Web!$C$1:$C$998),ROW(Create_TC_Web!$C$1:$C$998)),""),ROW(Create_TC_Web!G158))),"")</f>
        <v/>
      </c>
      <c r="G158" t="str" cm="1">
        <f t="array" ref="G158">IFERROR(INDEX(Create_TC_Web!J$1:J$998,SMALL(IF(Create_TC_Web!$C$1:$C$998&lt;&gt;"",MATCH(ROW(Create_TC_Web!$C$1:$C$998),ROW(Create_TC_Web!$C$1:$C$998)),""),ROW(Create_TC_Web!H158))),"")</f>
        <v/>
      </c>
      <c r="H158" t="str" cm="1">
        <f t="array" ref="H158">IFERROR(INDEX(Create_TC_Web!K$1:K$998,SMALL(IF(Create_TC_Web!$C$1:$C$998&lt;&gt;"",MATCH(ROW(Create_TC_Web!$C$1:$C$998),ROW(Create_TC_Web!$C$1:$C$998)),""),ROW(Create_TC_Web!I158))),"")</f>
        <v/>
      </c>
      <c r="I158" t="str" cm="1">
        <f t="array" ref="I158">IFERROR(INDEX(Create_TC_Web!L$1:L$998,SMALL(IF(Create_TC_Web!$C$1:$C$998&lt;&gt;"",MATCH(ROW(Create_TC_Web!$C$1:$C$998),ROW(Create_TC_Web!$C$1:$C$998)),""),ROW(Create_TC_Web!J158))),"")</f>
        <v/>
      </c>
      <c r="J158" t="str" cm="1">
        <f t="array" ref="J158">IFERROR(INDEX(Create_TC_Web!M$1:M$998,SMALL(IF(Create_TC_Web!$C$1:$C$998&lt;&gt;"",MATCH(ROW(Create_TC_Web!$C$1:$C$998),ROW(Create_TC_Web!$C$1:$C$998)),""),ROW(Create_TC_Web!K158))),"")</f>
        <v/>
      </c>
      <c r="K158" t="str" cm="1">
        <f t="array" ref="K158">IFERROR(INDEX(Create_TC_Web!N$1:N$998,SMALL(IF(Create_TC_Web!$C$1:$C$998&lt;&gt;"",MATCH(ROW(Create_TC_Web!$C$1:$C$998),ROW(Create_TC_Web!$C$1:$C$998)),""),ROW(Create_TC_Web!L158))),"")</f>
        <v/>
      </c>
      <c r="L158" t="str" cm="1">
        <f t="array" ref="L158">IFERROR(INDEX(Create_TC_Web!O$1:O$998,SMALL(IF(Create_TC_Web!$C$1:$C$998&lt;&gt;"",MATCH(ROW(Create_TC_Web!$C$1:$C$998),ROW(Create_TC_Web!$C$1:$C$998)),""),ROW(Create_TC_Web!M158))),"")</f>
        <v/>
      </c>
      <c r="M158" t="str" cm="1">
        <f t="array" ref="M158">IFERROR(INDEX(Create_TC_Web!P$1:P$998,SMALL(IF(Create_TC_Web!$C$1:$C$998&lt;&gt;"",MATCH(ROW(Create_TC_Web!$C$1:$C$998),ROW(Create_TC_Web!$C$1:$C$998)),""),ROW(Create_TC_Web!N158))),"")</f>
        <v/>
      </c>
      <c r="N158">
        <f>Create_TC_Web!CA167</f>
        <v>0</v>
      </c>
      <c r="O158" t="str">
        <f t="shared" si="11"/>
        <v/>
      </c>
      <c r="P158" s="17" t="str" cm="1">
        <f t="array" ref="P158">IFERROR(INDEX(Create_TC_Web!S$1:S$500,SMALL(IF(Create_TC_Web!$C$1:$C$500&lt;&gt;"",MATCH(ROW(Create_TC_Web!$C$1:$C$500),ROW(Create_TC_Web!$C$1:$C$500)),""),ROW(Create_TC_Web!Q136))),"")</f>
        <v/>
      </c>
      <c r="S158" t="str">
        <f t="shared" si="12"/>
        <v/>
      </c>
    </row>
    <row r="159" spans="1:19">
      <c r="A159" t="str" cm="1">
        <f t="array" ref="A159">IFERROR(INDEX(Create_TC_Web!D$1:D$998,SMALL(IF(Create_TC_Web!$C$1:$C$998&lt;&gt;"",MATCH(ROW(Create_TC_Web!$C$1:$C$998),ROW(Create_TC_Web!$C$1:$C$998)),""),ROW(Create_TC_Web!B159))),"")</f>
        <v/>
      </c>
      <c r="B159" t="str" cm="1">
        <f t="array" ref="B159">SUBSTITUTE(SUBSTITUTE(SUBSTITUTE(IFERROR(INDEX(Create_TC_Web!E$1:E$505,SMALL(IF(Create_TC_Web!$C$1:$C$505&lt;&gt;"",MATCH(ROW(Create_TC_Web!$C$1:$C$505),ROW(Create_TC_Web!$C$1:$C$505)),""),ROW(Create_TC_Web!C159))),"")," ",""),"-",""),"_","")</f>
        <v/>
      </c>
      <c r="C159" t="str" cm="1">
        <f t="array" ref="C159">IFERROR(INDEX(Create_TC_Web!F$1:F$998,SMALL(IF(Create_TC_Web!$C$1:$C$998&lt;&gt;"",MATCH(ROW(Create_TC_Web!$C$1:$C$998),ROW(Create_TC_Web!$C$1:$C$998)),""),ROW(Create_TC_Web!D159))),"")</f>
        <v/>
      </c>
      <c r="D159" t="str" cm="1">
        <f t="array" ref="D159">IFERROR(INDEX(Create_TC_Web!G$1:G$998,SMALL(IF(Create_TC_Web!$C$1:$C$998&lt;&gt;"",MATCH(ROW(Create_TC_Web!$C$1:$C$998),ROW(Create_TC_Web!$C$1:$C$998)),""),ROW(Create_TC_Web!E159))),"")</f>
        <v/>
      </c>
      <c r="E159" t="str" cm="1">
        <f t="array" ref="E159">IFERROR(INDEX(Create_TC_Web!H$1:H$998,SMALL(IF(Create_TC_Web!$C$1:$C$998&lt;&gt;"",MATCH(ROW(Create_TC_Web!$C$1:$C$998),ROW(Create_TC_Web!$C$1:$C$998)),""),ROW(Create_TC_Web!F159))),"")</f>
        <v/>
      </c>
      <c r="F159" t="str" cm="1">
        <f t="array" ref="F159">IFERROR(INDEX(Create_TC_Web!I$1:I$998,SMALL(IF(Create_TC_Web!$C$1:$C$998&lt;&gt;"",MATCH(ROW(Create_TC_Web!$C$1:$C$998),ROW(Create_TC_Web!$C$1:$C$998)),""),ROW(Create_TC_Web!G159))),"")</f>
        <v/>
      </c>
      <c r="G159" t="str" cm="1">
        <f t="array" ref="G159">IFERROR(INDEX(Create_TC_Web!J$1:J$998,SMALL(IF(Create_TC_Web!$C$1:$C$998&lt;&gt;"",MATCH(ROW(Create_TC_Web!$C$1:$C$998),ROW(Create_TC_Web!$C$1:$C$998)),""),ROW(Create_TC_Web!H159))),"")</f>
        <v/>
      </c>
      <c r="H159" t="str" cm="1">
        <f t="array" ref="H159">IFERROR(INDEX(Create_TC_Web!K$1:K$998,SMALL(IF(Create_TC_Web!$C$1:$C$998&lt;&gt;"",MATCH(ROW(Create_TC_Web!$C$1:$C$998),ROW(Create_TC_Web!$C$1:$C$998)),""),ROW(Create_TC_Web!I159))),"")</f>
        <v/>
      </c>
      <c r="I159" t="str" cm="1">
        <f t="array" ref="I159">IFERROR(INDEX(Create_TC_Web!L$1:L$998,SMALL(IF(Create_TC_Web!$C$1:$C$998&lt;&gt;"",MATCH(ROW(Create_TC_Web!$C$1:$C$998),ROW(Create_TC_Web!$C$1:$C$998)),""),ROW(Create_TC_Web!J159))),"")</f>
        <v/>
      </c>
      <c r="J159" t="str" cm="1">
        <f t="array" ref="J159">IFERROR(INDEX(Create_TC_Web!M$1:M$998,SMALL(IF(Create_TC_Web!$C$1:$C$998&lt;&gt;"",MATCH(ROW(Create_TC_Web!$C$1:$C$998),ROW(Create_TC_Web!$C$1:$C$998)),""),ROW(Create_TC_Web!K159))),"")</f>
        <v/>
      </c>
      <c r="K159" t="str" cm="1">
        <f t="array" ref="K159">IFERROR(INDEX(Create_TC_Web!N$1:N$998,SMALL(IF(Create_TC_Web!$C$1:$C$998&lt;&gt;"",MATCH(ROW(Create_TC_Web!$C$1:$C$998),ROW(Create_TC_Web!$C$1:$C$998)),""),ROW(Create_TC_Web!L159))),"")</f>
        <v/>
      </c>
      <c r="L159" t="str" cm="1">
        <f t="array" ref="L159">IFERROR(INDEX(Create_TC_Web!O$1:O$998,SMALL(IF(Create_TC_Web!$C$1:$C$998&lt;&gt;"",MATCH(ROW(Create_TC_Web!$C$1:$C$998),ROW(Create_TC_Web!$C$1:$C$998)),""),ROW(Create_TC_Web!M159))),"")</f>
        <v/>
      </c>
      <c r="M159" t="str" cm="1">
        <f t="array" ref="M159">IFERROR(INDEX(Create_TC_Web!P$1:P$998,SMALL(IF(Create_TC_Web!$C$1:$C$998&lt;&gt;"",MATCH(ROW(Create_TC_Web!$C$1:$C$998),ROW(Create_TC_Web!$C$1:$C$998)),""),ROW(Create_TC_Web!N159))),"")</f>
        <v/>
      </c>
      <c r="N159">
        <f>Create_TC_Web!CA168</f>
        <v>0</v>
      </c>
      <c r="O159" t="str">
        <f t="shared" si="11"/>
        <v/>
      </c>
      <c r="P159" s="17" t="str" cm="1">
        <f t="array" ref="P159">IFERROR(INDEX(Create_TC_Web!S$1:S$500,SMALL(IF(Create_TC_Web!$C$1:$C$500&lt;&gt;"",MATCH(ROW(Create_TC_Web!$C$1:$C$500),ROW(Create_TC_Web!$C$1:$C$500)),""),ROW(Create_TC_Web!Q137))),"")</f>
        <v/>
      </c>
      <c r="S159" t="str">
        <f t="shared" si="12"/>
        <v/>
      </c>
    </row>
    <row r="160" spans="1:19">
      <c r="A160" t="str" cm="1">
        <f t="array" ref="A160">IFERROR(INDEX(Create_TC_Web!D$1:D$998,SMALL(IF(Create_TC_Web!$C$1:$C$998&lt;&gt;"",MATCH(ROW(Create_TC_Web!$C$1:$C$998),ROW(Create_TC_Web!$C$1:$C$998)),""),ROW(Create_TC_Web!B160))),"")</f>
        <v/>
      </c>
      <c r="B160" t="str" cm="1">
        <f t="array" ref="B160">SUBSTITUTE(SUBSTITUTE(SUBSTITUTE(IFERROR(INDEX(Create_TC_Web!E$1:E$505,SMALL(IF(Create_TC_Web!$C$1:$C$505&lt;&gt;"",MATCH(ROW(Create_TC_Web!$C$1:$C$505),ROW(Create_TC_Web!$C$1:$C$505)),""),ROW(Create_TC_Web!C160))),"")," ",""),"-",""),"_","")</f>
        <v/>
      </c>
      <c r="C160" t="str" cm="1">
        <f t="array" ref="C160">IFERROR(INDEX(Create_TC_Web!F$1:F$998,SMALL(IF(Create_TC_Web!$C$1:$C$998&lt;&gt;"",MATCH(ROW(Create_TC_Web!$C$1:$C$998),ROW(Create_TC_Web!$C$1:$C$998)),""),ROW(Create_TC_Web!D160))),"")</f>
        <v/>
      </c>
      <c r="D160" t="str" cm="1">
        <f t="array" ref="D160">IFERROR(INDEX(Create_TC_Web!G$1:G$998,SMALL(IF(Create_TC_Web!$C$1:$C$998&lt;&gt;"",MATCH(ROW(Create_TC_Web!$C$1:$C$998),ROW(Create_TC_Web!$C$1:$C$998)),""),ROW(Create_TC_Web!E160))),"")</f>
        <v/>
      </c>
      <c r="E160" t="str" cm="1">
        <f t="array" ref="E160">IFERROR(INDEX(Create_TC_Web!H$1:H$998,SMALL(IF(Create_TC_Web!$C$1:$C$998&lt;&gt;"",MATCH(ROW(Create_TC_Web!$C$1:$C$998),ROW(Create_TC_Web!$C$1:$C$998)),""),ROW(Create_TC_Web!F160))),"")</f>
        <v/>
      </c>
      <c r="F160" t="str" cm="1">
        <f t="array" ref="F160">IFERROR(INDEX(Create_TC_Web!I$1:I$998,SMALL(IF(Create_TC_Web!$C$1:$C$998&lt;&gt;"",MATCH(ROW(Create_TC_Web!$C$1:$C$998),ROW(Create_TC_Web!$C$1:$C$998)),""),ROW(Create_TC_Web!G160))),"")</f>
        <v/>
      </c>
      <c r="G160" t="str" cm="1">
        <f t="array" ref="G160">IFERROR(INDEX(Create_TC_Web!J$1:J$998,SMALL(IF(Create_TC_Web!$C$1:$C$998&lt;&gt;"",MATCH(ROW(Create_TC_Web!$C$1:$C$998),ROW(Create_TC_Web!$C$1:$C$998)),""),ROW(Create_TC_Web!H160))),"")</f>
        <v/>
      </c>
      <c r="H160" t="str" cm="1">
        <f t="array" ref="H160">IFERROR(INDEX(Create_TC_Web!K$1:K$998,SMALL(IF(Create_TC_Web!$C$1:$C$998&lt;&gt;"",MATCH(ROW(Create_TC_Web!$C$1:$C$998),ROW(Create_TC_Web!$C$1:$C$998)),""),ROW(Create_TC_Web!I160))),"")</f>
        <v/>
      </c>
      <c r="I160" t="str" cm="1">
        <f t="array" ref="I160">IFERROR(INDEX(Create_TC_Web!L$1:L$998,SMALL(IF(Create_TC_Web!$C$1:$C$998&lt;&gt;"",MATCH(ROW(Create_TC_Web!$C$1:$C$998),ROW(Create_TC_Web!$C$1:$C$998)),""),ROW(Create_TC_Web!J160))),"")</f>
        <v/>
      </c>
      <c r="J160" t="str" cm="1">
        <f t="array" ref="J160">IFERROR(INDEX(Create_TC_Web!M$1:M$998,SMALL(IF(Create_TC_Web!$C$1:$C$998&lt;&gt;"",MATCH(ROW(Create_TC_Web!$C$1:$C$998),ROW(Create_TC_Web!$C$1:$C$998)),""),ROW(Create_TC_Web!K160))),"")</f>
        <v/>
      </c>
      <c r="K160" t="str" cm="1">
        <f t="array" ref="K160">IFERROR(INDEX(Create_TC_Web!N$1:N$998,SMALL(IF(Create_TC_Web!$C$1:$C$998&lt;&gt;"",MATCH(ROW(Create_TC_Web!$C$1:$C$998),ROW(Create_TC_Web!$C$1:$C$998)),""),ROW(Create_TC_Web!L160))),"")</f>
        <v/>
      </c>
      <c r="L160" t="str" cm="1">
        <f t="array" ref="L160">IFERROR(INDEX(Create_TC_Web!O$1:O$998,SMALL(IF(Create_TC_Web!$C$1:$C$998&lt;&gt;"",MATCH(ROW(Create_TC_Web!$C$1:$C$998),ROW(Create_TC_Web!$C$1:$C$998)),""),ROW(Create_TC_Web!M160))),"")</f>
        <v/>
      </c>
      <c r="M160" t="str" cm="1">
        <f t="array" ref="M160">IFERROR(INDEX(Create_TC_Web!P$1:P$998,SMALL(IF(Create_TC_Web!$C$1:$C$998&lt;&gt;"",MATCH(ROW(Create_TC_Web!$C$1:$C$998),ROW(Create_TC_Web!$C$1:$C$998)),""),ROW(Create_TC_Web!N160))),"")</f>
        <v/>
      </c>
      <c r="N160">
        <f>Create_TC_Web!CA169</f>
        <v>0</v>
      </c>
      <c r="O160" t="str">
        <f t="shared" si="11"/>
        <v/>
      </c>
      <c r="P160" s="17" t="str" cm="1">
        <f t="array" ref="P160">IFERROR(INDEX(Create_TC_Web!S$1:S$500,SMALL(IF(Create_TC_Web!$C$1:$C$500&lt;&gt;"",MATCH(ROW(Create_TC_Web!$C$1:$C$500),ROW(Create_TC_Web!$C$1:$C$500)),""),ROW(Create_TC_Web!Q138))),"")</f>
        <v/>
      </c>
      <c r="S160" t="str">
        <f t="shared" si="12"/>
        <v/>
      </c>
    </row>
    <row r="161" spans="1:19">
      <c r="A161" t="str" cm="1">
        <f t="array" ref="A161">IFERROR(INDEX(Create_TC_Web!D$1:D$998,SMALL(IF(Create_TC_Web!$C$1:$C$998&lt;&gt;"",MATCH(ROW(Create_TC_Web!$C$1:$C$998),ROW(Create_TC_Web!$C$1:$C$998)),""),ROW(Create_TC_Web!B161))),"")</f>
        <v/>
      </c>
      <c r="B161" t="str" cm="1">
        <f t="array" ref="B161">SUBSTITUTE(SUBSTITUTE(SUBSTITUTE(IFERROR(INDEX(Create_TC_Web!E$1:E$505,SMALL(IF(Create_TC_Web!$C$1:$C$505&lt;&gt;"",MATCH(ROW(Create_TC_Web!$C$1:$C$505),ROW(Create_TC_Web!$C$1:$C$505)),""),ROW(Create_TC_Web!C161))),"")," ",""),"-",""),"_","")</f>
        <v/>
      </c>
      <c r="C161" t="str" cm="1">
        <f t="array" ref="C161">IFERROR(INDEX(Create_TC_Web!F$1:F$998,SMALL(IF(Create_TC_Web!$C$1:$C$998&lt;&gt;"",MATCH(ROW(Create_TC_Web!$C$1:$C$998),ROW(Create_TC_Web!$C$1:$C$998)),""),ROW(Create_TC_Web!D161))),"")</f>
        <v/>
      </c>
      <c r="D161" t="str" cm="1">
        <f t="array" ref="D161">IFERROR(INDEX(Create_TC_Web!G$1:G$998,SMALL(IF(Create_TC_Web!$C$1:$C$998&lt;&gt;"",MATCH(ROW(Create_TC_Web!$C$1:$C$998),ROW(Create_TC_Web!$C$1:$C$998)),""),ROW(Create_TC_Web!E161))),"")</f>
        <v/>
      </c>
      <c r="E161" t="str" cm="1">
        <f t="array" ref="E161">IFERROR(INDEX(Create_TC_Web!H$1:H$998,SMALL(IF(Create_TC_Web!$C$1:$C$998&lt;&gt;"",MATCH(ROW(Create_TC_Web!$C$1:$C$998),ROW(Create_TC_Web!$C$1:$C$998)),""),ROW(Create_TC_Web!F161))),"")</f>
        <v/>
      </c>
      <c r="F161" t="str" cm="1">
        <f t="array" ref="F161">IFERROR(INDEX(Create_TC_Web!I$1:I$998,SMALL(IF(Create_TC_Web!$C$1:$C$998&lt;&gt;"",MATCH(ROW(Create_TC_Web!$C$1:$C$998),ROW(Create_TC_Web!$C$1:$C$998)),""),ROW(Create_TC_Web!G161))),"")</f>
        <v/>
      </c>
      <c r="G161" t="str" cm="1">
        <f t="array" ref="G161">IFERROR(INDEX(Create_TC_Web!J$1:J$998,SMALL(IF(Create_TC_Web!$C$1:$C$998&lt;&gt;"",MATCH(ROW(Create_TC_Web!$C$1:$C$998),ROW(Create_TC_Web!$C$1:$C$998)),""),ROW(Create_TC_Web!H161))),"")</f>
        <v/>
      </c>
      <c r="H161" t="str" cm="1">
        <f t="array" ref="H161">IFERROR(INDEX(Create_TC_Web!K$1:K$998,SMALL(IF(Create_TC_Web!$C$1:$C$998&lt;&gt;"",MATCH(ROW(Create_TC_Web!$C$1:$C$998),ROW(Create_TC_Web!$C$1:$C$998)),""),ROW(Create_TC_Web!I161))),"")</f>
        <v/>
      </c>
      <c r="I161" t="str" cm="1">
        <f t="array" ref="I161">IFERROR(INDEX(Create_TC_Web!L$1:L$998,SMALL(IF(Create_TC_Web!$C$1:$C$998&lt;&gt;"",MATCH(ROW(Create_TC_Web!$C$1:$C$998),ROW(Create_TC_Web!$C$1:$C$998)),""),ROW(Create_TC_Web!J161))),"")</f>
        <v/>
      </c>
      <c r="J161" t="str" cm="1">
        <f t="array" ref="J161">IFERROR(INDEX(Create_TC_Web!M$1:M$998,SMALL(IF(Create_TC_Web!$C$1:$C$998&lt;&gt;"",MATCH(ROW(Create_TC_Web!$C$1:$C$998),ROW(Create_TC_Web!$C$1:$C$998)),""),ROW(Create_TC_Web!K161))),"")</f>
        <v/>
      </c>
      <c r="K161" t="str" cm="1">
        <f t="array" ref="K161">IFERROR(INDEX(Create_TC_Web!N$1:N$998,SMALL(IF(Create_TC_Web!$C$1:$C$998&lt;&gt;"",MATCH(ROW(Create_TC_Web!$C$1:$C$998),ROW(Create_TC_Web!$C$1:$C$998)),""),ROW(Create_TC_Web!L161))),"")</f>
        <v/>
      </c>
      <c r="L161" t="str" cm="1">
        <f t="array" ref="L161">IFERROR(INDEX(Create_TC_Web!O$1:O$998,SMALL(IF(Create_TC_Web!$C$1:$C$998&lt;&gt;"",MATCH(ROW(Create_TC_Web!$C$1:$C$998),ROW(Create_TC_Web!$C$1:$C$998)),""),ROW(Create_TC_Web!M161))),"")</f>
        <v/>
      </c>
      <c r="M161" t="str" cm="1">
        <f t="array" ref="M161">IFERROR(INDEX(Create_TC_Web!P$1:P$998,SMALL(IF(Create_TC_Web!$C$1:$C$998&lt;&gt;"",MATCH(ROW(Create_TC_Web!$C$1:$C$998),ROW(Create_TC_Web!$C$1:$C$998)),""),ROW(Create_TC_Web!N161))),"")</f>
        <v/>
      </c>
      <c r="N161">
        <f>Create_TC_Web!CA170</f>
        <v>0</v>
      </c>
      <c r="O161" t="str">
        <f t="shared" si="11"/>
        <v/>
      </c>
      <c r="P161" s="17" t="str" cm="1">
        <f t="array" ref="P161">IFERROR(INDEX(Create_TC_Web!S$1:S$500,SMALL(IF(Create_TC_Web!$C$1:$C$500&lt;&gt;"",MATCH(ROW(Create_TC_Web!$C$1:$C$500),ROW(Create_TC_Web!$C$1:$C$500)),""),ROW(Create_TC_Web!Q139))),"")</f>
        <v/>
      </c>
      <c r="S161" t="str">
        <f t="shared" si="12"/>
        <v/>
      </c>
    </row>
    <row r="162" spans="1:19">
      <c r="A162" t="str" cm="1">
        <f t="array" ref="A162">IFERROR(INDEX(Create_TC_Web!D$1:D$998,SMALL(IF(Create_TC_Web!$C$1:$C$998&lt;&gt;"",MATCH(ROW(Create_TC_Web!$C$1:$C$998),ROW(Create_TC_Web!$C$1:$C$998)),""),ROW(Create_TC_Web!B162))),"")</f>
        <v/>
      </c>
      <c r="B162" t="str" cm="1">
        <f t="array" ref="B162">SUBSTITUTE(SUBSTITUTE(SUBSTITUTE(IFERROR(INDEX(Create_TC_Web!E$1:E$505,SMALL(IF(Create_TC_Web!$C$1:$C$505&lt;&gt;"",MATCH(ROW(Create_TC_Web!$C$1:$C$505),ROW(Create_TC_Web!$C$1:$C$505)),""),ROW(Create_TC_Web!C162))),"")," ",""),"-",""),"_","")</f>
        <v/>
      </c>
      <c r="C162" t="str" cm="1">
        <f t="array" ref="C162">IFERROR(INDEX(Create_TC_Web!F$1:F$998,SMALL(IF(Create_TC_Web!$C$1:$C$998&lt;&gt;"",MATCH(ROW(Create_TC_Web!$C$1:$C$998),ROW(Create_TC_Web!$C$1:$C$998)),""),ROW(Create_TC_Web!D162))),"")</f>
        <v/>
      </c>
      <c r="D162" t="str" cm="1">
        <f t="array" ref="D162">IFERROR(INDEX(Create_TC_Web!G$1:G$998,SMALL(IF(Create_TC_Web!$C$1:$C$998&lt;&gt;"",MATCH(ROW(Create_TC_Web!$C$1:$C$998),ROW(Create_TC_Web!$C$1:$C$998)),""),ROW(Create_TC_Web!E162))),"")</f>
        <v/>
      </c>
      <c r="E162" t="str" cm="1">
        <f t="array" ref="E162">IFERROR(INDEX(Create_TC_Web!H$1:H$998,SMALL(IF(Create_TC_Web!$C$1:$C$998&lt;&gt;"",MATCH(ROW(Create_TC_Web!$C$1:$C$998),ROW(Create_TC_Web!$C$1:$C$998)),""),ROW(Create_TC_Web!F162))),"")</f>
        <v/>
      </c>
      <c r="F162" t="str" cm="1">
        <f t="array" ref="F162">IFERROR(INDEX(Create_TC_Web!I$1:I$998,SMALL(IF(Create_TC_Web!$C$1:$C$998&lt;&gt;"",MATCH(ROW(Create_TC_Web!$C$1:$C$998),ROW(Create_TC_Web!$C$1:$C$998)),""),ROW(Create_TC_Web!G162))),"")</f>
        <v/>
      </c>
      <c r="G162" t="str" cm="1">
        <f t="array" ref="G162">IFERROR(INDEX(Create_TC_Web!J$1:J$998,SMALL(IF(Create_TC_Web!$C$1:$C$998&lt;&gt;"",MATCH(ROW(Create_TC_Web!$C$1:$C$998),ROW(Create_TC_Web!$C$1:$C$998)),""),ROW(Create_TC_Web!H162))),"")</f>
        <v/>
      </c>
      <c r="H162" t="str" cm="1">
        <f t="array" ref="H162">IFERROR(INDEX(Create_TC_Web!K$1:K$998,SMALL(IF(Create_TC_Web!$C$1:$C$998&lt;&gt;"",MATCH(ROW(Create_TC_Web!$C$1:$C$998),ROW(Create_TC_Web!$C$1:$C$998)),""),ROW(Create_TC_Web!I162))),"")</f>
        <v/>
      </c>
      <c r="I162" t="str" cm="1">
        <f t="array" ref="I162">IFERROR(INDEX(Create_TC_Web!L$1:L$998,SMALL(IF(Create_TC_Web!$C$1:$C$998&lt;&gt;"",MATCH(ROW(Create_TC_Web!$C$1:$C$998),ROW(Create_TC_Web!$C$1:$C$998)),""),ROW(Create_TC_Web!J162))),"")</f>
        <v/>
      </c>
      <c r="J162" t="str" cm="1">
        <f t="array" ref="J162">IFERROR(INDEX(Create_TC_Web!M$1:M$998,SMALL(IF(Create_TC_Web!$C$1:$C$998&lt;&gt;"",MATCH(ROW(Create_TC_Web!$C$1:$C$998),ROW(Create_TC_Web!$C$1:$C$998)),""),ROW(Create_TC_Web!K162))),"")</f>
        <v/>
      </c>
      <c r="K162" t="str" cm="1">
        <f t="array" ref="K162">IFERROR(INDEX(Create_TC_Web!N$1:N$998,SMALL(IF(Create_TC_Web!$C$1:$C$998&lt;&gt;"",MATCH(ROW(Create_TC_Web!$C$1:$C$998),ROW(Create_TC_Web!$C$1:$C$998)),""),ROW(Create_TC_Web!L162))),"")</f>
        <v/>
      </c>
      <c r="L162" t="str" cm="1">
        <f t="array" ref="L162">IFERROR(INDEX(Create_TC_Web!O$1:O$998,SMALL(IF(Create_TC_Web!$C$1:$C$998&lt;&gt;"",MATCH(ROW(Create_TC_Web!$C$1:$C$998),ROW(Create_TC_Web!$C$1:$C$998)),""),ROW(Create_TC_Web!M162))),"")</f>
        <v/>
      </c>
      <c r="M162" t="str" cm="1">
        <f t="array" ref="M162">IFERROR(INDEX(Create_TC_Web!P$1:P$998,SMALL(IF(Create_TC_Web!$C$1:$C$998&lt;&gt;"",MATCH(ROW(Create_TC_Web!$C$1:$C$998),ROW(Create_TC_Web!$C$1:$C$998)),""),ROW(Create_TC_Web!N162))),"")</f>
        <v/>
      </c>
      <c r="N162">
        <f>Create_TC_Web!CA171</f>
        <v>0</v>
      </c>
      <c r="O162" t="str">
        <f t="shared" si="11"/>
        <v/>
      </c>
      <c r="P162" s="17" t="str" cm="1">
        <f t="array" ref="P162">IFERROR(INDEX(Create_TC_Web!S$1:S$500,SMALL(IF(Create_TC_Web!$C$1:$C$500&lt;&gt;"",MATCH(ROW(Create_TC_Web!$C$1:$C$500),ROW(Create_TC_Web!$C$1:$C$500)),""),ROW(Create_TC_Web!Q140))),"")</f>
        <v/>
      </c>
      <c r="S162" t="str">
        <f t="shared" si="12"/>
        <v/>
      </c>
    </row>
    <row r="163" spans="1:19">
      <c r="A163" t="str" cm="1">
        <f t="array" ref="A163">IFERROR(INDEX(Create_TC_Web!D$1:D$998,SMALL(IF(Create_TC_Web!$C$1:$C$998&lt;&gt;"",MATCH(ROW(Create_TC_Web!$C$1:$C$998),ROW(Create_TC_Web!$C$1:$C$998)),""),ROW(Create_TC_Web!B163))),"")</f>
        <v/>
      </c>
      <c r="B163" t="str" cm="1">
        <f t="array" ref="B163">SUBSTITUTE(SUBSTITUTE(SUBSTITUTE(IFERROR(INDEX(Create_TC_Web!E$1:E$505,SMALL(IF(Create_TC_Web!$C$1:$C$505&lt;&gt;"",MATCH(ROW(Create_TC_Web!$C$1:$C$505),ROW(Create_TC_Web!$C$1:$C$505)),""),ROW(Create_TC_Web!C163))),"")," ",""),"-",""),"_","")</f>
        <v/>
      </c>
      <c r="C163" t="str" cm="1">
        <f t="array" ref="C163">IFERROR(INDEX(Create_TC_Web!F$1:F$998,SMALL(IF(Create_TC_Web!$C$1:$C$998&lt;&gt;"",MATCH(ROW(Create_TC_Web!$C$1:$C$998),ROW(Create_TC_Web!$C$1:$C$998)),""),ROW(Create_TC_Web!D163))),"")</f>
        <v/>
      </c>
      <c r="D163" t="str" cm="1">
        <f t="array" ref="D163">IFERROR(INDEX(Create_TC_Web!G$1:G$998,SMALL(IF(Create_TC_Web!$C$1:$C$998&lt;&gt;"",MATCH(ROW(Create_TC_Web!$C$1:$C$998),ROW(Create_TC_Web!$C$1:$C$998)),""),ROW(Create_TC_Web!E163))),"")</f>
        <v/>
      </c>
      <c r="E163" t="str" cm="1">
        <f t="array" ref="E163">IFERROR(INDEX(Create_TC_Web!H$1:H$998,SMALL(IF(Create_TC_Web!$C$1:$C$998&lt;&gt;"",MATCH(ROW(Create_TC_Web!$C$1:$C$998),ROW(Create_TC_Web!$C$1:$C$998)),""),ROW(Create_TC_Web!F163))),"")</f>
        <v/>
      </c>
      <c r="F163" t="str" cm="1">
        <f t="array" ref="F163">IFERROR(INDEX(Create_TC_Web!I$1:I$998,SMALL(IF(Create_TC_Web!$C$1:$C$998&lt;&gt;"",MATCH(ROW(Create_TC_Web!$C$1:$C$998),ROW(Create_TC_Web!$C$1:$C$998)),""),ROW(Create_TC_Web!G163))),"")</f>
        <v/>
      </c>
      <c r="G163" t="str" cm="1">
        <f t="array" ref="G163">IFERROR(INDEX(Create_TC_Web!J$1:J$998,SMALL(IF(Create_TC_Web!$C$1:$C$998&lt;&gt;"",MATCH(ROW(Create_TC_Web!$C$1:$C$998),ROW(Create_TC_Web!$C$1:$C$998)),""),ROW(Create_TC_Web!H163))),"")</f>
        <v/>
      </c>
      <c r="H163" t="str" cm="1">
        <f t="array" ref="H163">IFERROR(INDEX(Create_TC_Web!K$1:K$998,SMALL(IF(Create_TC_Web!$C$1:$C$998&lt;&gt;"",MATCH(ROW(Create_TC_Web!$C$1:$C$998),ROW(Create_TC_Web!$C$1:$C$998)),""),ROW(Create_TC_Web!I163))),"")</f>
        <v/>
      </c>
      <c r="I163" t="str" cm="1">
        <f t="array" ref="I163">IFERROR(INDEX(Create_TC_Web!L$1:L$998,SMALL(IF(Create_TC_Web!$C$1:$C$998&lt;&gt;"",MATCH(ROW(Create_TC_Web!$C$1:$C$998),ROW(Create_TC_Web!$C$1:$C$998)),""),ROW(Create_TC_Web!J163))),"")</f>
        <v/>
      </c>
      <c r="J163" t="str" cm="1">
        <f t="array" ref="J163">IFERROR(INDEX(Create_TC_Web!M$1:M$998,SMALL(IF(Create_TC_Web!$C$1:$C$998&lt;&gt;"",MATCH(ROW(Create_TC_Web!$C$1:$C$998),ROW(Create_TC_Web!$C$1:$C$998)),""),ROW(Create_TC_Web!K163))),"")</f>
        <v/>
      </c>
      <c r="K163" t="str" cm="1">
        <f t="array" ref="K163">IFERROR(INDEX(Create_TC_Web!N$1:N$998,SMALL(IF(Create_TC_Web!$C$1:$C$998&lt;&gt;"",MATCH(ROW(Create_TC_Web!$C$1:$C$998),ROW(Create_TC_Web!$C$1:$C$998)),""),ROW(Create_TC_Web!L163))),"")</f>
        <v/>
      </c>
      <c r="L163" t="str" cm="1">
        <f t="array" ref="L163">IFERROR(INDEX(Create_TC_Web!O$1:O$998,SMALL(IF(Create_TC_Web!$C$1:$C$998&lt;&gt;"",MATCH(ROW(Create_TC_Web!$C$1:$C$998),ROW(Create_TC_Web!$C$1:$C$998)),""),ROW(Create_TC_Web!M163))),"")</f>
        <v/>
      </c>
      <c r="M163" t="str" cm="1">
        <f t="array" ref="M163">IFERROR(INDEX(Create_TC_Web!P$1:P$998,SMALL(IF(Create_TC_Web!$C$1:$C$998&lt;&gt;"",MATCH(ROW(Create_TC_Web!$C$1:$C$998),ROW(Create_TC_Web!$C$1:$C$998)),""),ROW(Create_TC_Web!N163))),"")</f>
        <v/>
      </c>
      <c r="N163">
        <f>Create_TC_Web!CA172</f>
        <v>0</v>
      </c>
      <c r="O163" t="str">
        <f t="shared" si="11"/>
        <v/>
      </c>
      <c r="P163" s="17" t="str" cm="1">
        <f t="array" ref="P163">IFERROR(INDEX(Create_TC_Web!S$1:S$500,SMALL(IF(Create_TC_Web!$C$1:$C$500&lt;&gt;"",MATCH(ROW(Create_TC_Web!$C$1:$C$500),ROW(Create_TC_Web!$C$1:$C$500)),""),ROW(Create_TC_Web!Q141))),"")</f>
        <v/>
      </c>
      <c r="S163" t="str">
        <f t="shared" si="12"/>
        <v/>
      </c>
    </row>
    <row r="164" spans="1:19">
      <c r="A164" t="str" cm="1">
        <f t="array" ref="A164">IFERROR(INDEX(Create_TC_Web!D$1:D$998,SMALL(IF(Create_TC_Web!$C$1:$C$998&lt;&gt;"",MATCH(ROW(Create_TC_Web!$C$1:$C$998),ROW(Create_TC_Web!$C$1:$C$998)),""),ROW(Create_TC_Web!B164))),"")</f>
        <v/>
      </c>
      <c r="B164" t="str" cm="1">
        <f t="array" ref="B164">SUBSTITUTE(SUBSTITUTE(SUBSTITUTE(IFERROR(INDEX(Create_TC_Web!E$1:E$505,SMALL(IF(Create_TC_Web!$C$1:$C$505&lt;&gt;"",MATCH(ROW(Create_TC_Web!$C$1:$C$505),ROW(Create_TC_Web!$C$1:$C$505)),""),ROW(Create_TC_Web!C164))),"")," ",""),"-",""),"_","")</f>
        <v/>
      </c>
      <c r="C164" t="str" cm="1">
        <f t="array" ref="C164">IFERROR(INDEX(Create_TC_Web!F$1:F$998,SMALL(IF(Create_TC_Web!$C$1:$C$998&lt;&gt;"",MATCH(ROW(Create_TC_Web!$C$1:$C$998),ROW(Create_TC_Web!$C$1:$C$998)),""),ROW(Create_TC_Web!D164))),"")</f>
        <v/>
      </c>
      <c r="D164" t="str" cm="1">
        <f t="array" ref="D164">IFERROR(INDEX(Create_TC_Web!G$1:G$998,SMALL(IF(Create_TC_Web!$C$1:$C$998&lt;&gt;"",MATCH(ROW(Create_TC_Web!$C$1:$C$998),ROW(Create_TC_Web!$C$1:$C$998)),""),ROW(Create_TC_Web!E164))),"")</f>
        <v/>
      </c>
      <c r="E164" t="str" cm="1">
        <f t="array" ref="E164">IFERROR(INDEX(Create_TC_Web!H$1:H$998,SMALL(IF(Create_TC_Web!$C$1:$C$998&lt;&gt;"",MATCH(ROW(Create_TC_Web!$C$1:$C$998),ROW(Create_TC_Web!$C$1:$C$998)),""),ROW(Create_TC_Web!F164))),"")</f>
        <v/>
      </c>
      <c r="F164" t="str" cm="1">
        <f t="array" ref="F164">IFERROR(INDEX(Create_TC_Web!I$1:I$998,SMALL(IF(Create_TC_Web!$C$1:$C$998&lt;&gt;"",MATCH(ROW(Create_TC_Web!$C$1:$C$998),ROW(Create_TC_Web!$C$1:$C$998)),""),ROW(Create_TC_Web!G164))),"")</f>
        <v/>
      </c>
      <c r="G164" t="str" cm="1">
        <f t="array" ref="G164">IFERROR(INDEX(Create_TC_Web!J$1:J$998,SMALL(IF(Create_TC_Web!$C$1:$C$998&lt;&gt;"",MATCH(ROW(Create_TC_Web!$C$1:$C$998),ROW(Create_TC_Web!$C$1:$C$998)),""),ROW(Create_TC_Web!H164))),"")</f>
        <v/>
      </c>
      <c r="H164" t="str" cm="1">
        <f t="array" ref="H164">IFERROR(INDEX(Create_TC_Web!K$1:K$998,SMALL(IF(Create_TC_Web!$C$1:$C$998&lt;&gt;"",MATCH(ROW(Create_TC_Web!$C$1:$C$998),ROW(Create_TC_Web!$C$1:$C$998)),""),ROW(Create_TC_Web!I164))),"")</f>
        <v/>
      </c>
      <c r="I164" t="str" cm="1">
        <f t="array" ref="I164">IFERROR(INDEX(Create_TC_Web!L$1:L$998,SMALL(IF(Create_TC_Web!$C$1:$C$998&lt;&gt;"",MATCH(ROW(Create_TC_Web!$C$1:$C$998),ROW(Create_TC_Web!$C$1:$C$998)),""),ROW(Create_TC_Web!J164))),"")</f>
        <v/>
      </c>
      <c r="J164" t="str" cm="1">
        <f t="array" ref="J164">IFERROR(INDEX(Create_TC_Web!M$1:M$998,SMALL(IF(Create_TC_Web!$C$1:$C$998&lt;&gt;"",MATCH(ROW(Create_TC_Web!$C$1:$C$998),ROW(Create_TC_Web!$C$1:$C$998)),""),ROW(Create_TC_Web!K164))),"")</f>
        <v/>
      </c>
      <c r="K164" t="str" cm="1">
        <f t="array" ref="K164">IFERROR(INDEX(Create_TC_Web!N$1:N$998,SMALL(IF(Create_TC_Web!$C$1:$C$998&lt;&gt;"",MATCH(ROW(Create_TC_Web!$C$1:$C$998),ROW(Create_TC_Web!$C$1:$C$998)),""),ROW(Create_TC_Web!L164))),"")</f>
        <v/>
      </c>
      <c r="L164" t="str" cm="1">
        <f t="array" ref="L164">IFERROR(INDEX(Create_TC_Web!O$1:O$998,SMALL(IF(Create_TC_Web!$C$1:$C$998&lt;&gt;"",MATCH(ROW(Create_TC_Web!$C$1:$C$998),ROW(Create_TC_Web!$C$1:$C$998)),""),ROW(Create_TC_Web!M164))),"")</f>
        <v/>
      </c>
      <c r="M164" t="str" cm="1">
        <f t="array" ref="M164">IFERROR(INDEX(Create_TC_Web!P$1:P$998,SMALL(IF(Create_TC_Web!$C$1:$C$998&lt;&gt;"",MATCH(ROW(Create_TC_Web!$C$1:$C$998),ROW(Create_TC_Web!$C$1:$C$998)),""),ROW(Create_TC_Web!N164))),"")</f>
        <v/>
      </c>
      <c r="N164">
        <f>Create_TC_Web!CA173</f>
        <v>0</v>
      </c>
      <c r="O164" t="str">
        <f t="shared" si="11"/>
        <v/>
      </c>
      <c r="P164" s="17" t="str" cm="1">
        <f t="array" ref="P164">IFERROR(INDEX(Create_TC_Web!S$1:S$500,SMALL(IF(Create_TC_Web!$C$1:$C$500&lt;&gt;"",MATCH(ROW(Create_TC_Web!$C$1:$C$500),ROW(Create_TC_Web!$C$1:$C$500)),""),ROW(Create_TC_Web!Q142))),"")</f>
        <v/>
      </c>
      <c r="S164" t="str">
        <f t="shared" si="12"/>
        <v/>
      </c>
    </row>
    <row r="165" spans="1:19">
      <c r="A165" t="str" cm="1">
        <f t="array" ref="A165">IFERROR(INDEX(Create_TC_Web!D$1:D$998,SMALL(IF(Create_TC_Web!$C$1:$C$998&lt;&gt;"",MATCH(ROW(Create_TC_Web!$C$1:$C$998),ROW(Create_TC_Web!$C$1:$C$998)),""),ROW(Create_TC_Web!B165))),"")</f>
        <v/>
      </c>
      <c r="B165" t="str" cm="1">
        <f t="array" ref="B165">SUBSTITUTE(SUBSTITUTE(SUBSTITUTE(IFERROR(INDEX(Create_TC_Web!E$1:E$505,SMALL(IF(Create_TC_Web!$C$1:$C$505&lt;&gt;"",MATCH(ROW(Create_TC_Web!$C$1:$C$505),ROW(Create_TC_Web!$C$1:$C$505)),""),ROW(Create_TC_Web!C165))),"")," ",""),"-",""),"_","")</f>
        <v/>
      </c>
      <c r="C165" t="str" cm="1">
        <f t="array" ref="C165">IFERROR(INDEX(Create_TC_Web!F$1:F$998,SMALL(IF(Create_TC_Web!$C$1:$C$998&lt;&gt;"",MATCH(ROW(Create_TC_Web!$C$1:$C$998),ROW(Create_TC_Web!$C$1:$C$998)),""),ROW(Create_TC_Web!D165))),"")</f>
        <v/>
      </c>
      <c r="D165" t="str" cm="1">
        <f t="array" ref="D165">IFERROR(INDEX(Create_TC_Web!G$1:G$998,SMALL(IF(Create_TC_Web!$C$1:$C$998&lt;&gt;"",MATCH(ROW(Create_TC_Web!$C$1:$C$998),ROW(Create_TC_Web!$C$1:$C$998)),""),ROW(Create_TC_Web!E165))),"")</f>
        <v/>
      </c>
      <c r="E165" t="str" cm="1">
        <f t="array" ref="E165">IFERROR(INDEX(Create_TC_Web!H$1:H$998,SMALL(IF(Create_TC_Web!$C$1:$C$998&lt;&gt;"",MATCH(ROW(Create_TC_Web!$C$1:$C$998),ROW(Create_TC_Web!$C$1:$C$998)),""),ROW(Create_TC_Web!F165))),"")</f>
        <v/>
      </c>
      <c r="F165" t="str" cm="1">
        <f t="array" ref="F165">IFERROR(INDEX(Create_TC_Web!I$1:I$998,SMALL(IF(Create_TC_Web!$C$1:$C$998&lt;&gt;"",MATCH(ROW(Create_TC_Web!$C$1:$C$998),ROW(Create_TC_Web!$C$1:$C$998)),""),ROW(Create_TC_Web!G165))),"")</f>
        <v/>
      </c>
      <c r="G165" t="str" cm="1">
        <f t="array" ref="G165">IFERROR(INDEX(Create_TC_Web!J$1:J$998,SMALL(IF(Create_TC_Web!$C$1:$C$998&lt;&gt;"",MATCH(ROW(Create_TC_Web!$C$1:$C$998),ROW(Create_TC_Web!$C$1:$C$998)),""),ROW(Create_TC_Web!H165))),"")</f>
        <v/>
      </c>
      <c r="H165" t="str" cm="1">
        <f t="array" ref="H165">IFERROR(INDEX(Create_TC_Web!K$1:K$998,SMALL(IF(Create_TC_Web!$C$1:$C$998&lt;&gt;"",MATCH(ROW(Create_TC_Web!$C$1:$C$998),ROW(Create_TC_Web!$C$1:$C$998)),""),ROW(Create_TC_Web!I165))),"")</f>
        <v/>
      </c>
      <c r="I165" t="str" cm="1">
        <f t="array" ref="I165">IFERROR(INDEX(Create_TC_Web!L$1:L$998,SMALL(IF(Create_TC_Web!$C$1:$C$998&lt;&gt;"",MATCH(ROW(Create_TC_Web!$C$1:$C$998),ROW(Create_TC_Web!$C$1:$C$998)),""),ROW(Create_TC_Web!J165))),"")</f>
        <v/>
      </c>
      <c r="J165" t="str" cm="1">
        <f t="array" ref="J165">IFERROR(INDEX(Create_TC_Web!M$1:M$998,SMALL(IF(Create_TC_Web!$C$1:$C$998&lt;&gt;"",MATCH(ROW(Create_TC_Web!$C$1:$C$998),ROW(Create_TC_Web!$C$1:$C$998)),""),ROW(Create_TC_Web!K165))),"")</f>
        <v/>
      </c>
      <c r="K165" t="str" cm="1">
        <f t="array" ref="K165">IFERROR(INDEX(Create_TC_Web!N$1:N$998,SMALL(IF(Create_TC_Web!$C$1:$C$998&lt;&gt;"",MATCH(ROW(Create_TC_Web!$C$1:$C$998),ROW(Create_TC_Web!$C$1:$C$998)),""),ROW(Create_TC_Web!L165))),"")</f>
        <v/>
      </c>
      <c r="L165" t="str" cm="1">
        <f t="array" ref="L165">IFERROR(INDEX(Create_TC_Web!O$1:O$998,SMALL(IF(Create_TC_Web!$C$1:$C$998&lt;&gt;"",MATCH(ROW(Create_TC_Web!$C$1:$C$998),ROW(Create_TC_Web!$C$1:$C$998)),""),ROW(Create_TC_Web!M165))),"")</f>
        <v/>
      </c>
      <c r="M165" t="str" cm="1">
        <f t="array" ref="M165">IFERROR(INDEX(Create_TC_Web!P$1:P$998,SMALL(IF(Create_TC_Web!$C$1:$C$998&lt;&gt;"",MATCH(ROW(Create_TC_Web!$C$1:$C$998),ROW(Create_TC_Web!$C$1:$C$998)),""),ROW(Create_TC_Web!N165))),"")</f>
        <v/>
      </c>
      <c r="N165">
        <f>Create_TC_Web!CA174</f>
        <v>0</v>
      </c>
      <c r="O165" t="str">
        <f t="shared" si="11"/>
        <v/>
      </c>
      <c r="P165" s="17" t="str" cm="1">
        <f t="array" ref="P165">IFERROR(INDEX(Create_TC_Web!S$1:S$500,SMALL(IF(Create_TC_Web!$C$1:$C$500&lt;&gt;"",MATCH(ROW(Create_TC_Web!$C$1:$C$500),ROW(Create_TC_Web!$C$1:$C$500)),""),ROW(Create_TC_Web!Q143))),"")</f>
        <v/>
      </c>
      <c r="S165" t="str">
        <f t="shared" si="12"/>
        <v/>
      </c>
    </row>
    <row r="166" spans="1:19">
      <c r="A166" t="str" cm="1">
        <f t="array" ref="A166">IFERROR(INDEX(Create_TC_Web!D$1:D$998,SMALL(IF(Create_TC_Web!$C$1:$C$998&lt;&gt;"",MATCH(ROW(Create_TC_Web!$C$1:$C$998),ROW(Create_TC_Web!$C$1:$C$998)),""),ROW(Create_TC_Web!B166))),"")</f>
        <v/>
      </c>
      <c r="B166" t="str" cm="1">
        <f t="array" ref="B166">SUBSTITUTE(SUBSTITUTE(SUBSTITUTE(IFERROR(INDEX(Create_TC_Web!E$1:E$505,SMALL(IF(Create_TC_Web!$C$1:$C$505&lt;&gt;"",MATCH(ROW(Create_TC_Web!$C$1:$C$505),ROW(Create_TC_Web!$C$1:$C$505)),""),ROW(Create_TC_Web!C166))),"")," ",""),"-",""),"_","")</f>
        <v/>
      </c>
      <c r="C166" t="str" cm="1">
        <f t="array" ref="C166">IFERROR(INDEX(Create_TC_Web!F$1:F$998,SMALL(IF(Create_TC_Web!$C$1:$C$998&lt;&gt;"",MATCH(ROW(Create_TC_Web!$C$1:$C$998),ROW(Create_TC_Web!$C$1:$C$998)),""),ROW(Create_TC_Web!D166))),"")</f>
        <v/>
      </c>
      <c r="D166" t="str" cm="1">
        <f t="array" ref="D166">IFERROR(INDEX(Create_TC_Web!G$1:G$998,SMALL(IF(Create_TC_Web!$C$1:$C$998&lt;&gt;"",MATCH(ROW(Create_TC_Web!$C$1:$C$998),ROW(Create_TC_Web!$C$1:$C$998)),""),ROW(Create_TC_Web!E166))),"")</f>
        <v/>
      </c>
      <c r="E166" t="str" cm="1">
        <f t="array" ref="E166">IFERROR(INDEX(Create_TC_Web!H$1:H$998,SMALL(IF(Create_TC_Web!$C$1:$C$998&lt;&gt;"",MATCH(ROW(Create_TC_Web!$C$1:$C$998),ROW(Create_TC_Web!$C$1:$C$998)),""),ROW(Create_TC_Web!F166))),"")</f>
        <v/>
      </c>
      <c r="F166" t="str" cm="1">
        <f t="array" ref="F166">IFERROR(INDEX(Create_TC_Web!I$1:I$998,SMALL(IF(Create_TC_Web!$C$1:$C$998&lt;&gt;"",MATCH(ROW(Create_TC_Web!$C$1:$C$998),ROW(Create_TC_Web!$C$1:$C$998)),""),ROW(Create_TC_Web!G166))),"")</f>
        <v/>
      </c>
      <c r="G166" t="str" cm="1">
        <f t="array" ref="G166">IFERROR(INDEX(Create_TC_Web!J$1:J$998,SMALL(IF(Create_TC_Web!$C$1:$C$998&lt;&gt;"",MATCH(ROW(Create_TC_Web!$C$1:$C$998),ROW(Create_TC_Web!$C$1:$C$998)),""),ROW(Create_TC_Web!H166))),"")</f>
        <v/>
      </c>
      <c r="H166" t="str" cm="1">
        <f t="array" ref="H166">IFERROR(INDEX(Create_TC_Web!K$1:K$998,SMALL(IF(Create_TC_Web!$C$1:$C$998&lt;&gt;"",MATCH(ROW(Create_TC_Web!$C$1:$C$998),ROW(Create_TC_Web!$C$1:$C$998)),""),ROW(Create_TC_Web!I166))),"")</f>
        <v/>
      </c>
      <c r="I166" t="str" cm="1">
        <f t="array" ref="I166">IFERROR(INDEX(Create_TC_Web!L$1:L$998,SMALL(IF(Create_TC_Web!$C$1:$C$998&lt;&gt;"",MATCH(ROW(Create_TC_Web!$C$1:$C$998),ROW(Create_TC_Web!$C$1:$C$998)),""),ROW(Create_TC_Web!J166))),"")</f>
        <v/>
      </c>
      <c r="J166" t="str" cm="1">
        <f t="array" ref="J166">IFERROR(INDEX(Create_TC_Web!M$1:M$998,SMALL(IF(Create_TC_Web!$C$1:$C$998&lt;&gt;"",MATCH(ROW(Create_TC_Web!$C$1:$C$998),ROW(Create_TC_Web!$C$1:$C$998)),""),ROW(Create_TC_Web!K166))),"")</f>
        <v/>
      </c>
      <c r="K166" t="str" cm="1">
        <f t="array" ref="K166">IFERROR(INDEX(Create_TC_Web!N$1:N$998,SMALL(IF(Create_TC_Web!$C$1:$C$998&lt;&gt;"",MATCH(ROW(Create_TC_Web!$C$1:$C$998),ROW(Create_TC_Web!$C$1:$C$998)),""),ROW(Create_TC_Web!L166))),"")</f>
        <v/>
      </c>
      <c r="L166" t="str" cm="1">
        <f t="array" ref="L166">IFERROR(INDEX(Create_TC_Web!O$1:O$998,SMALL(IF(Create_TC_Web!$C$1:$C$998&lt;&gt;"",MATCH(ROW(Create_TC_Web!$C$1:$C$998),ROW(Create_TC_Web!$C$1:$C$998)),""),ROW(Create_TC_Web!M166))),"")</f>
        <v/>
      </c>
      <c r="M166" t="str" cm="1">
        <f t="array" ref="M166">IFERROR(INDEX(Create_TC_Web!P$1:P$998,SMALL(IF(Create_TC_Web!$C$1:$C$998&lt;&gt;"",MATCH(ROW(Create_TC_Web!$C$1:$C$998),ROW(Create_TC_Web!$C$1:$C$998)),""),ROW(Create_TC_Web!N166))),"")</f>
        <v/>
      </c>
      <c r="N166">
        <f>Create_TC_Web!CA175</f>
        <v>0</v>
      </c>
      <c r="O166" t="str">
        <f t="shared" si="11"/>
        <v/>
      </c>
      <c r="P166" s="17" t="str" cm="1">
        <f t="array" ref="P166">IFERROR(INDEX(Create_TC_Web!S$1:S$500,SMALL(IF(Create_TC_Web!$C$1:$C$500&lt;&gt;"",MATCH(ROW(Create_TC_Web!$C$1:$C$500),ROW(Create_TC_Web!$C$1:$C$500)),""),ROW(Create_TC_Web!Q144))),"")</f>
        <v/>
      </c>
      <c r="S166" t="str">
        <f t="shared" si="12"/>
        <v/>
      </c>
    </row>
    <row r="167" spans="1:19">
      <c r="A167" t="str" cm="1">
        <f t="array" ref="A167">IFERROR(INDEX(Create_TC_Web!D$1:D$998,SMALL(IF(Create_TC_Web!$C$1:$C$998&lt;&gt;"",MATCH(ROW(Create_TC_Web!$C$1:$C$998),ROW(Create_TC_Web!$C$1:$C$998)),""),ROW(Create_TC_Web!B167))),"")</f>
        <v/>
      </c>
      <c r="B167" t="str" cm="1">
        <f t="array" ref="B167">SUBSTITUTE(SUBSTITUTE(SUBSTITUTE(IFERROR(INDEX(Create_TC_Web!E$1:E$505,SMALL(IF(Create_TC_Web!$C$1:$C$505&lt;&gt;"",MATCH(ROW(Create_TC_Web!$C$1:$C$505),ROW(Create_TC_Web!$C$1:$C$505)),""),ROW(Create_TC_Web!C167))),"")," ",""),"-",""),"_","")</f>
        <v/>
      </c>
      <c r="C167" t="str" cm="1">
        <f t="array" ref="C167">IFERROR(INDEX(Create_TC_Web!F$1:F$998,SMALL(IF(Create_TC_Web!$C$1:$C$998&lt;&gt;"",MATCH(ROW(Create_TC_Web!$C$1:$C$998),ROW(Create_TC_Web!$C$1:$C$998)),""),ROW(Create_TC_Web!D167))),"")</f>
        <v/>
      </c>
      <c r="D167" t="str" cm="1">
        <f t="array" ref="D167">IFERROR(INDEX(Create_TC_Web!G$1:G$998,SMALL(IF(Create_TC_Web!$C$1:$C$998&lt;&gt;"",MATCH(ROW(Create_TC_Web!$C$1:$C$998),ROW(Create_TC_Web!$C$1:$C$998)),""),ROW(Create_TC_Web!E167))),"")</f>
        <v/>
      </c>
      <c r="E167" t="str" cm="1">
        <f t="array" ref="E167">IFERROR(INDEX(Create_TC_Web!H$1:H$998,SMALL(IF(Create_TC_Web!$C$1:$C$998&lt;&gt;"",MATCH(ROW(Create_TC_Web!$C$1:$C$998),ROW(Create_TC_Web!$C$1:$C$998)),""),ROW(Create_TC_Web!F167))),"")</f>
        <v/>
      </c>
      <c r="F167" t="str" cm="1">
        <f t="array" ref="F167">IFERROR(INDEX(Create_TC_Web!I$1:I$998,SMALL(IF(Create_TC_Web!$C$1:$C$998&lt;&gt;"",MATCH(ROW(Create_TC_Web!$C$1:$C$998),ROW(Create_TC_Web!$C$1:$C$998)),""),ROW(Create_TC_Web!G167))),"")</f>
        <v/>
      </c>
      <c r="G167" t="str" cm="1">
        <f t="array" ref="G167">IFERROR(INDEX(Create_TC_Web!J$1:J$998,SMALL(IF(Create_TC_Web!$C$1:$C$998&lt;&gt;"",MATCH(ROW(Create_TC_Web!$C$1:$C$998),ROW(Create_TC_Web!$C$1:$C$998)),""),ROW(Create_TC_Web!H167))),"")</f>
        <v/>
      </c>
      <c r="H167" t="str" cm="1">
        <f t="array" ref="H167">IFERROR(INDEX(Create_TC_Web!K$1:K$998,SMALL(IF(Create_TC_Web!$C$1:$C$998&lt;&gt;"",MATCH(ROW(Create_TC_Web!$C$1:$C$998),ROW(Create_TC_Web!$C$1:$C$998)),""),ROW(Create_TC_Web!I167))),"")</f>
        <v/>
      </c>
      <c r="I167" t="str" cm="1">
        <f t="array" ref="I167">IFERROR(INDEX(Create_TC_Web!L$1:L$998,SMALL(IF(Create_TC_Web!$C$1:$C$998&lt;&gt;"",MATCH(ROW(Create_TC_Web!$C$1:$C$998),ROW(Create_TC_Web!$C$1:$C$998)),""),ROW(Create_TC_Web!J167))),"")</f>
        <v/>
      </c>
      <c r="J167" t="str" cm="1">
        <f t="array" ref="J167">IFERROR(INDEX(Create_TC_Web!M$1:M$998,SMALL(IF(Create_TC_Web!$C$1:$C$998&lt;&gt;"",MATCH(ROW(Create_TC_Web!$C$1:$C$998),ROW(Create_TC_Web!$C$1:$C$998)),""),ROW(Create_TC_Web!K167))),"")</f>
        <v/>
      </c>
      <c r="K167" t="str" cm="1">
        <f t="array" ref="K167">IFERROR(INDEX(Create_TC_Web!N$1:N$998,SMALL(IF(Create_TC_Web!$C$1:$C$998&lt;&gt;"",MATCH(ROW(Create_TC_Web!$C$1:$C$998),ROW(Create_TC_Web!$C$1:$C$998)),""),ROW(Create_TC_Web!L167))),"")</f>
        <v/>
      </c>
      <c r="L167" t="str" cm="1">
        <f t="array" ref="L167">IFERROR(INDEX(Create_TC_Web!O$1:O$998,SMALL(IF(Create_TC_Web!$C$1:$C$998&lt;&gt;"",MATCH(ROW(Create_TC_Web!$C$1:$C$998),ROW(Create_TC_Web!$C$1:$C$998)),""),ROW(Create_TC_Web!M167))),"")</f>
        <v/>
      </c>
      <c r="M167" t="str" cm="1">
        <f t="array" ref="M167">IFERROR(INDEX(Create_TC_Web!P$1:P$998,SMALL(IF(Create_TC_Web!$C$1:$C$998&lt;&gt;"",MATCH(ROW(Create_TC_Web!$C$1:$C$998),ROW(Create_TC_Web!$C$1:$C$998)),""),ROW(Create_TC_Web!N167))),"")</f>
        <v/>
      </c>
      <c r="N167">
        <f>Create_TC_Web!CA176</f>
        <v>0</v>
      </c>
      <c r="O167" t="str">
        <f t="shared" si="11"/>
        <v/>
      </c>
      <c r="P167" s="17" t="str" cm="1">
        <f t="array" ref="P167">IFERROR(INDEX(Create_TC_Web!S$1:S$500,SMALL(IF(Create_TC_Web!$C$1:$C$500&lt;&gt;"",MATCH(ROW(Create_TC_Web!$C$1:$C$500),ROW(Create_TC_Web!$C$1:$C$500)),""),ROW(Create_TC_Web!Q145))),"")</f>
        <v/>
      </c>
      <c r="S167" t="str">
        <f t="shared" si="12"/>
        <v/>
      </c>
    </row>
    <row r="168" spans="1:19">
      <c r="A168" t="str" cm="1">
        <f t="array" ref="A168">IFERROR(INDEX(Create_TC_Web!D$1:D$998,SMALL(IF(Create_TC_Web!$C$1:$C$998&lt;&gt;"",MATCH(ROW(Create_TC_Web!$C$1:$C$998),ROW(Create_TC_Web!$C$1:$C$998)),""),ROW(Create_TC_Web!B168))),"")</f>
        <v/>
      </c>
      <c r="B168" t="str" cm="1">
        <f t="array" ref="B168">SUBSTITUTE(SUBSTITUTE(SUBSTITUTE(IFERROR(INDEX(Create_TC_Web!E$1:E$505,SMALL(IF(Create_TC_Web!$C$1:$C$505&lt;&gt;"",MATCH(ROW(Create_TC_Web!$C$1:$C$505),ROW(Create_TC_Web!$C$1:$C$505)),""),ROW(Create_TC_Web!C168))),"")," ",""),"-",""),"_","")</f>
        <v/>
      </c>
      <c r="C168" t="str" cm="1">
        <f t="array" ref="C168">IFERROR(INDEX(Create_TC_Web!F$1:F$998,SMALL(IF(Create_TC_Web!$C$1:$C$998&lt;&gt;"",MATCH(ROW(Create_TC_Web!$C$1:$C$998),ROW(Create_TC_Web!$C$1:$C$998)),""),ROW(Create_TC_Web!D168))),"")</f>
        <v/>
      </c>
      <c r="D168" t="str" cm="1">
        <f t="array" ref="D168">IFERROR(INDEX(Create_TC_Web!G$1:G$998,SMALL(IF(Create_TC_Web!$C$1:$C$998&lt;&gt;"",MATCH(ROW(Create_TC_Web!$C$1:$C$998),ROW(Create_TC_Web!$C$1:$C$998)),""),ROW(Create_TC_Web!E168))),"")</f>
        <v/>
      </c>
      <c r="E168" t="str" cm="1">
        <f t="array" ref="E168">IFERROR(INDEX(Create_TC_Web!H$1:H$998,SMALL(IF(Create_TC_Web!$C$1:$C$998&lt;&gt;"",MATCH(ROW(Create_TC_Web!$C$1:$C$998),ROW(Create_TC_Web!$C$1:$C$998)),""),ROW(Create_TC_Web!F168))),"")</f>
        <v/>
      </c>
      <c r="F168" t="str" cm="1">
        <f t="array" ref="F168">IFERROR(INDEX(Create_TC_Web!I$1:I$998,SMALL(IF(Create_TC_Web!$C$1:$C$998&lt;&gt;"",MATCH(ROW(Create_TC_Web!$C$1:$C$998),ROW(Create_TC_Web!$C$1:$C$998)),""),ROW(Create_TC_Web!G168))),"")</f>
        <v/>
      </c>
      <c r="G168" t="str" cm="1">
        <f t="array" ref="G168">IFERROR(INDEX(Create_TC_Web!J$1:J$998,SMALL(IF(Create_TC_Web!$C$1:$C$998&lt;&gt;"",MATCH(ROW(Create_TC_Web!$C$1:$C$998),ROW(Create_TC_Web!$C$1:$C$998)),""),ROW(Create_TC_Web!H168))),"")</f>
        <v/>
      </c>
      <c r="H168" t="str" cm="1">
        <f t="array" ref="H168">IFERROR(INDEX(Create_TC_Web!K$1:K$998,SMALL(IF(Create_TC_Web!$C$1:$C$998&lt;&gt;"",MATCH(ROW(Create_TC_Web!$C$1:$C$998),ROW(Create_TC_Web!$C$1:$C$998)),""),ROW(Create_TC_Web!I168))),"")</f>
        <v/>
      </c>
      <c r="I168" t="str" cm="1">
        <f t="array" ref="I168">IFERROR(INDEX(Create_TC_Web!L$1:L$998,SMALL(IF(Create_TC_Web!$C$1:$C$998&lt;&gt;"",MATCH(ROW(Create_TC_Web!$C$1:$C$998),ROW(Create_TC_Web!$C$1:$C$998)),""),ROW(Create_TC_Web!J168))),"")</f>
        <v/>
      </c>
      <c r="J168" t="str" cm="1">
        <f t="array" ref="J168">IFERROR(INDEX(Create_TC_Web!M$1:M$998,SMALL(IF(Create_TC_Web!$C$1:$C$998&lt;&gt;"",MATCH(ROW(Create_TC_Web!$C$1:$C$998),ROW(Create_TC_Web!$C$1:$C$998)),""),ROW(Create_TC_Web!K168))),"")</f>
        <v/>
      </c>
      <c r="K168" t="str" cm="1">
        <f t="array" ref="K168">IFERROR(INDEX(Create_TC_Web!N$1:N$998,SMALL(IF(Create_TC_Web!$C$1:$C$998&lt;&gt;"",MATCH(ROW(Create_TC_Web!$C$1:$C$998),ROW(Create_TC_Web!$C$1:$C$998)),""),ROW(Create_TC_Web!L168))),"")</f>
        <v/>
      </c>
      <c r="L168" t="str" cm="1">
        <f t="array" ref="L168">IFERROR(INDEX(Create_TC_Web!O$1:O$998,SMALL(IF(Create_TC_Web!$C$1:$C$998&lt;&gt;"",MATCH(ROW(Create_TC_Web!$C$1:$C$998),ROW(Create_TC_Web!$C$1:$C$998)),""),ROW(Create_TC_Web!M168))),"")</f>
        <v/>
      </c>
      <c r="M168" t="str" cm="1">
        <f t="array" ref="M168">IFERROR(INDEX(Create_TC_Web!P$1:P$998,SMALL(IF(Create_TC_Web!$C$1:$C$998&lt;&gt;"",MATCH(ROW(Create_TC_Web!$C$1:$C$998),ROW(Create_TC_Web!$C$1:$C$998)),""),ROW(Create_TC_Web!N168))),"")</f>
        <v/>
      </c>
      <c r="N168">
        <f>Create_TC_Web!CA177</f>
        <v>0</v>
      </c>
      <c r="O168" t="str">
        <f t="shared" si="11"/>
        <v/>
      </c>
      <c r="P168" s="17" t="str" cm="1">
        <f t="array" ref="P168">IFERROR(INDEX(Create_TC_Web!S$1:S$500,SMALL(IF(Create_TC_Web!$C$1:$C$500&lt;&gt;"",MATCH(ROW(Create_TC_Web!$C$1:$C$500),ROW(Create_TC_Web!$C$1:$C$500)),""),ROW(Create_TC_Web!Q146))),"")</f>
        <v/>
      </c>
      <c r="S168" t="str">
        <f t="shared" si="12"/>
        <v/>
      </c>
    </row>
    <row r="169" spans="1:19">
      <c r="A169" t="str" cm="1">
        <f t="array" ref="A169">IFERROR(INDEX(Create_TC_Web!D$1:D$998,SMALL(IF(Create_TC_Web!$C$1:$C$998&lt;&gt;"",MATCH(ROW(Create_TC_Web!$C$1:$C$998),ROW(Create_TC_Web!$C$1:$C$998)),""),ROW(Create_TC_Web!B169))),"")</f>
        <v/>
      </c>
      <c r="B169" t="str" cm="1">
        <f t="array" ref="B169">SUBSTITUTE(SUBSTITUTE(SUBSTITUTE(IFERROR(INDEX(Create_TC_Web!E$1:E$505,SMALL(IF(Create_TC_Web!$C$1:$C$505&lt;&gt;"",MATCH(ROW(Create_TC_Web!$C$1:$C$505),ROW(Create_TC_Web!$C$1:$C$505)),""),ROW(Create_TC_Web!C169))),"")," ",""),"-",""),"_","")</f>
        <v/>
      </c>
      <c r="C169" t="str" cm="1">
        <f t="array" ref="C169">IFERROR(INDEX(Create_TC_Web!F$1:F$998,SMALL(IF(Create_TC_Web!$C$1:$C$998&lt;&gt;"",MATCH(ROW(Create_TC_Web!$C$1:$C$998),ROW(Create_TC_Web!$C$1:$C$998)),""),ROW(Create_TC_Web!D169))),"")</f>
        <v/>
      </c>
      <c r="D169" t="str" cm="1">
        <f t="array" ref="D169">IFERROR(INDEX(Create_TC_Web!G$1:G$998,SMALL(IF(Create_TC_Web!$C$1:$C$998&lt;&gt;"",MATCH(ROW(Create_TC_Web!$C$1:$C$998),ROW(Create_TC_Web!$C$1:$C$998)),""),ROW(Create_TC_Web!E169))),"")</f>
        <v/>
      </c>
      <c r="E169" t="str" cm="1">
        <f t="array" ref="E169">IFERROR(INDEX(Create_TC_Web!H$1:H$998,SMALL(IF(Create_TC_Web!$C$1:$C$998&lt;&gt;"",MATCH(ROW(Create_TC_Web!$C$1:$C$998),ROW(Create_TC_Web!$C$1:$C$998)),""),ROW(Create_TC_Web!F169))),"")</f>
        <v/>
      </c>
      <c r="F169" t="str" cm="1">
        <f t="array" ref="F169">IFERROR(INDEX(Create_TC_Web!I$1:I$998,SMALL(IF(Create_TC_Web!$C$1:$C$998&lt;&gt;"",MATCH(ROW(Create_TC_Web!$C$1:$C$998),ROW(Create_TC_Web!$C$1:$C$998)),""),ROW(Create_TC_Web!G169))),"")</f>
        <v/>
      </c>
      <c r="G169" t="str" cm="1">
        <f t="array" ref="G169">IFERROR(INDEX(Create_TC_Web!J$1:J$998,SMALL(IF(Create_TC_Web!$C$1:$C$998&lt;&gt;"",MATCH(ROW(Create_TC_Web!$C$1:$C$998),ROW(Create_TC_Web!$C$1:$C$998)),""),ROW(Create_TC_Web!H169))),"")</f>
        <v/>
      </c>
      <c r="H169" t="str" cm="1">
        <f t="array" ref="H169">IFERROR(INDEX(Create_TC_Web!K$1:K$998,SMALL(IF(Create_TC_Web!$C$1:$C$998&lt;&gt;"",MATCH(ROW(Create_TC_Web!$C$1:$C$998),ROW(Create_TC_Web!$C$1:$C$998)),""),ROW(Create_TC_Web!I169))),"")</f>
        <v/>
      </c>
      <c r="I169" t="str" cm="1">
        <f t="array" ref="I169">IFERROR(INDEX(Create_TC_Web!L$1:L$998,SMALL(IF(Create_TC_Web!$C$1:$C$998&lt;&gt;"",MATCH(ROW(Create_TC_Web!$C$1:$C$998),ROW(Create_TC_Web!$C$1:$C$998)),""),ROW(Create_TC_Web!J169))),"")</f>
        <v/>
      </c>
      <c r="J169" t="str" cm="1">
        <f t="array" ref="J169">IFERROR(INDEX(Create_TC_Web!M$1:M$998,SMALL(IF(Create_TC_Web!$C$1:$C$998&lt;&gt;"",MATCH(ROW(Create_TC_Web!$C$1:$C$998),ROW(Create_TC_Web!$C$1:$C$998)),""),ROW(Create_TC_Web!K169))),"")</f>
        <v/>
      </c>
      <c r="K169" t="str" cm="1">
        <f t="array" ref="K169">IFERROR(INDEX(Create_TC_Web!N$1:N$998,SMALL(IF(Create_TC_Web!$C$1:$C$998&lt;&gt;"",MATCH(ROW(Create_TC_Web!$C$1:$C$998),ROW(Create_TC_Web!$C$1:$C$998)),""),ROW(Create_TC_Web!L169))),"")</f>
        <v/>
      </c>
      <c r="L169" t="str" cm="1">
        <f t="array" ref="L169">IFERROR(INDEX(Create_TC_Web!O$1:O$998,SMALL(IF(Create_TC_Web!$C$1:$C$998&lt;&gt;"",MATCH(ROW(Create_TC_Web!$C$1:$C$998),ROW(Create_TC_Web!$C$1:$C$998)),""),ROW(Create_TC_Web!M169))),"")</f>
        <v/>
      </c>
      <c r="M169" t="str" cm="1">
        <f t="array" ref="M169">IFERROR(INDEX(Create_TC_Web!P$1:P$998,SMALL(IF(Create_TC_Web!$C$1:$C$998&lt;&gt;"",MATCH(ROW(Create_TC_Web!$C$1:$C$998),ROW(Create_TC_Web!$C$1:$C$998)),""),ROW(Create_TC_Web!N169))),"")</f>
        <v/>
      </c>
      <c r="N169">
        <f>Create_TC_Web!CA178</f>
        <v>0</v>
      </c>
      <c r="O169" t="str">
        <f t="shared" si="11"/>
        <v/>
      </c>
      <c r="P169" s="17" t="str" cm="1">
        <f t="array" ref="P169">IFERROR(INDEX(Create_TC_Web!S$1:S$500,SMALL(IF(Create_TC_Web!$C$1:$C$500&lt;&gt;"",MATCH(ROW(Create_TC_Web!$C$1:$C$500),ROW(Create_TC_Web!$C$1:$C$500)),""),ROW(Create_TC_Web!Q147))),"")</f>
        <v/>
      </c>
      <c r="S169" t="str">
        <f t="shared" si="12"/>
        <v/>
      </c>
    </row>
    <row r="170" spans="1:19">
      <c r="A170" t="str" cm="1">
        <f t="array" ref="A170">IFERROR(INDEX(Create_TC_Web!D$1:D$998,SMALL(IF(Create_TC_Web!$C$1:$C$998&lt;&gt;"",MATCH(ROW(Create_TC_Web!$C$1:$C$998),ROW(Create_TC_Web!$C$1:$C$998)),""),ROW(Create_TC_Web!B170))),"")</f>
        <v/>
      </c>
      <c r="B170" t="str" cm="1">
        <f t="array" ref="B170">SUBSTITUTE(SUBSTITUTE(SUBSTITUTE(IFERROR(INDEX(Create_TC_Web!E$1:E$505,SMALL(IF(Create_TC_Web!$C$1:$C$505&lt;&gt;"",MATCH(ROW(Create_TC_Web!$C$1:$C$505),ROW(Create_TC_Web!$C$1:$C$505)),""),ROW(Create_TC_Web!C170))),"")," ",""),"-",""),"_","")</f>
        <v/>
      </c>
      <c r="C170" t="str" cm="1">
        <f t="array" ref="C170">IFERROR(INDEX(Create_TC_Web!F$1:F$998,SMALL(IF(Create_TC_Web!$C$1:$C$998&lt;&gt;"",MATCH(ROW(Create_TC_Web!$C$1:$C$998),ROW(Create_TC_Web!$C$1:$C$998)),""),ROW(Create_TC_Web!D170))),"")</f>
        <v/>
      </c>
      <c r="D170" t="str" cm="1">
        <f t="array" ref="D170">IFERROR(INDEX(Create_TC_Web!G$1:G$998,SMALL(IF(Create_TC_Web!$C$1:$C$998&lt;&gt;"",MATCH(ROW(Create_TC_Web!$C$1:$C$998),ROW(Create_TC_Web!$C$1:$C$998)),""),ROW(Create_TC_Web!E170))),"")</f>
        <v/>
      </c>
      <c r="E170" t="str" cm="1">
        <f t="array" ref="E170">IFERROR(INDEX(Create_TC_Web!H$1:H$998,SMALL(IF(Create_TC_Web!$C$1:$C$998&lt;&gt;"",MATCH(ROW(Create_TC_Web!$C$1:$C$998),ROW(Create_TC_Web!$C$1:$C$998)),""),ROW(Create_TC_Web!F170))),"")</f>
        <v/>
      </c>
      <c r="F170" t="str" cm="1">
        <f t="array" ref="F170">IFERROR(INDEX(Create_TC_Web!I$1:I$998,SMALL(IF(Create_TC_Web!$C$1:$C$998&lt;&gt;"",MATCH(ROW(Create_TC_Web!$C$1:$C$998),ROW(Create_TC_Web!$C$1:$C$998)),""),ROW(Create_TC_Web!G170))),"")</f>
        <v/>
      </c>
      <c r="G170" t="str" cm="1">
        <f t="array" ref="G170">IFERROR(INDEX(Create_TC_Web!J$1:J$998,SMALL(IF(Create_TC_Web!$C$1:$C$998&lt;&gt;"",MATCH(ROW(Create_TC_Web!$C$1:$C$998),ROW(Create_TC_Web!$C$1:$C$998)),""),ROW(Create_TC_Web!H170))),"")</f>
        <v/>
      </c>
      <c r="H170" t="str" cm="1">
        <f t="array" ref="H170">IFERROR(INDEX(Create_TC_Web!K$1:K$998,SMALL(IF(Create_TC_Web!$C$1:$C$998&lt;&gt;"",MATCH(ROW(Create_TC_Web!$C$1:$C$998),ROW(Create_TC_Web!$C$1:$C$998)),""),ROW(Create_TC_Web!I170))),"")</f>
        <v/>
      </c>
      <c r="I170" t="str" cm="1">
        <f t="array" ref="I170">IFERROR(INDEX(Create_TC_Web!L$1:L$998,SMALL(IF(Create_TC_Web!$C$1:$C$998&lt;&gt;"",MATCH(ROW(Create_TC_Web!$C$1:$C$998),ROW(Create_TC_Web!$C$1:$C$998)),""),ROW(Create_TC_Web!J170))),"")</f>
        <v/>
      </c>
      <c r="J170" t="str" cm="1">
        <f t="array" ref="J170">IFERROR(INDEX(Create_TC_Web!M$1:M$998,SMALL(IF(Create_TC_Web!$C$1:$C$998&lt;&gt;"",MATCH(ROW(Create_TC_Web!$C$1:$C$998),ROW(Create_TC_Web!$C$1:$C$998)),""),ROW(Create_TC_Web!K170))),"")</f>
        <v/>
      </c>
      <c r="K170" t="str" cm="1">
        <f t="array" ref="K170">IFERROR(INDEX(Create_TC_Web!N$1:N$998,SMALL(IF(Create_TC_Web!$C$1:$C$998&lt;&gt;"",MATCH(ROW(Create_TC_Web!$C$1:$C$998),ROW(Create_TC_Web!$C$1:$C$998)),""),ROW(Create_TC_Web!L170))),"")</f>
        <v/>
      </c>
      <c r="L170" t="str" cm="1">
        <f t="array" ref="L170">IFERROR(INDEX(Create_TC_Web!O$1:O$998,SMALL(IF(Create_TC_Web!$C$1:$C$998&lt;&gt;"",MATCH(ROW(Create_TC_Web!$C$1:$C$998),ROW(Create_TC_Web!$C$1:$C$998)),""),ROW(Create_TC_Web!M170))),"")</f>
        <v/>
      </c>
      <c r="M170" t="str" cm="1">
        <f t="array" ref="M170">IFERROR(INDEX(Create_TC_Web!P$1:P$998,SMALL(IF(Create_TC_Web!$C$1:$C$998&lt;&gt;"",MATCH(ROW(Create_TC_Web!$C$1:$C$998),ROW(Create_TC_Web!$C$1:$C$998)),""),ROW(Create_TC_Web!N170))),"")</f>
        <v/>
      </c>
      <c r="N170">
        <f>Create_TC_Web!CA179</f>
        <v>0</v>
      </c>
      <c r="O170" t="str">
        <f t="shared" si="11"/>
        <v/>
      </c>
      <c r="P170" s="17" t="str" cm="1">
        <f t="array" ref="P170">IFERROR(INDEX(Create_TC_Web!S$1:S$500,SMALL(IF(Create_TC_Web!$C$1:$C$500&lt;&gt;"",MATCH(ROW(Create_TC_Web!$C$1:$C$500),ROW(Create_TC_Web!$C$1:$C$500)),""),ROW(Create_TC_Web!Q148))),"")</f>
        <v/>
      </c>
      <c r="S170" t="str">
        <f t="shared" si="12"/>
        <v/>
      </c>
    </row>
    <row r="171" spans="1:19">
      <c r="A171" t="str" cm="1">
        <f t="array" ref="A171">IFERROR(INDEX(Create_TC_Web!D$1:D$998,SMALL(IF(Create_TC_Web!$C$1:$C$998&lt;&gt;"",MATCH(ROW(Create_TC_Web!$C$1:$C$998),ROW(Create_TC_Web!$C$1:$C$998)),""),ROW(Create_TC_Web!B171))),"")</f>
        <v/>
      </c>
      <c r="B171" t="str" cm="1">
        <f t="array" ref="B171">SUBSTITUTE(SUBSTITUTE(SUBSTITUTE(IFERROR(INDEX(Create_TC_Web!E$1:E$505,SMALL(IF(Create_TC_Web!$C$1:$C$505&lt;&gt;"",MATCH(ROW(Create_TC_Web!$C$1:$C$505),ROW(Create_TC_Web!$C$1:$C$505)),""),ROW(Create_TC_Web!C171))),"")," ",""),"-",""),"_","")</f>
        <v/>
      </c>
      <c r="C171" t="str" cm="1">
        <f t="array" ref="C171">IFERROR(INDEX(Create_TC_Web!F$1:F$998,SMALL(IF(Create_TC_Web!$C$1:$C$998&lt;&gt;"",MATCH(ROW(Create_TC_Web!$C$1:$C$998),ROW(Create_TC_Web!$C$1:$C$998)),""),ROW(Create_TC_Web!D171))),"")</f>
        <v/>
      </c>
      <c r="D171" t="str" cm="1">
        <f t="array" ref="D171">IFERROR(INDEX(Create_TC_Web!G$1:G$998,SMALL(IF(Create_TC_Web!$C$1:$C$998&lt;&gt;"",MATCH(ROW(Create_TC_Web!$C$1:$C$998),ROW(Create_TC_Web!$C$1:$C$998)),""),ROW(Create_TC_Web!E171))),"")</f>
        <v/>
      </c>
      <c r="E171" t="str" cm="1">
        <f t="array" ref="E171">IFERROR(INDEX(Create_TC_Web!H$1:H$998,SMALL(IF(Create_TC_Web!$C$1:$C$998&lt;&gt;"",MATCH(ROW(Create_TC_Web!$C$1:$C$998),ROW(Create_TC_Web!$C$1:$C$998)),""),ROW(Create_TC_Web!F171))),"")</f>
        <v/>
      </c>
      <c r="F171" t="str" cm="1">
        <f t="array" ref="F171">IFERROR(INDEX(Create_TC_Web!I$1:I$998,SMALL(IF(Create_TC_Web!$C$1:$C$998&lt;&gt;"",MATCH(ROW(Create_TC_Web!$C$1:$C$998),ROW(Create_TC_Web!$C$1:$C$998)),""),ROW(Create_TC_Web!G171))),"")</f>
        <v/>
      </c>
      <c r="G171" t="str" cm="1">
        <f t="array" ref="G171">IFERROR(INDEX(Create_TC_Web!J$1:J$998,SMALL(IF(Create_TC_Web!$C$1:$C$998&lt;&gt;"",MATCH(ROW(Create_TC_Web!$C$1:$C$998),ROW(Create_TC_Web!$C$1:$C$998)),""),ROW(Create_TC_Web!H171))),"")</f>
        <v/>
      </c>
      <c r="H171" t="str" cm="1">
        <f t="array" ref="H171">IFERROR(INDEX(Create_TC_Web!K$1:K$998,SMALL(IF(Create_TC_Web!$C$1:$C$998&lt;&gt;"",MATCH(ROW(Create_TC_Web!$C$1:$C$998),ROW(Create_TC_Web!$C$1:$C$998)),""),ROW(Create_TC_Web!I171))),"")</f>
        <v/>
      </c>
      <c r="I171" t="str" cm="1">
        <f t="array" ref="I171">IFERROR(INDEX(Create_TC_Web!L$1:L$998,SMALL(IF(Create_TC_Web!$C$1:$C$998&lt;&gt;"",MATCH(ROW(Create_TC_Web!$C$1:$C$998),ROW(Create_TC_Web!$C$1:$C$998)),""),ROW(Create_TC_Web!J171))),"")</f>
        <v/>
      </c>
      <c r="J171" t="str" cm="1">
        <f t="array" ref="J171">IFERROR(INDEX(Create_TC_Web!M$1:M$998,SMALL(IF(Create_TC_Web!$C$1:$C$998&lt;&gt;"",MATCH(ROW(Create_TC_Web!$C$1:$C$998),ROW(Create_TC_Web!$C$1:$C$998)),""),ROW(Create_TC_Web!K171))),"")</f>
        <v/>
      </c>
      <c r="K171" t="str" cm="1">
        <f t="array" ref="K171">IFERROR(INDEX(Create_TC_Web!N$1:N$998,SMALL(IF(Create_TC_Web!$C$1:$C$998&lt;&gt;"",MATCH(ROW(Create_TC_Web!$C$1:$C$998),ROW(Create_TC_Web!$C$1:$C$998)),""),ROW(Create_TC_Web!L171))),"")</f>
        <v/>
      </c>
      <c r="L171" t="str" cm="1">
        <f t="array" ref="L171">IFERROR(INDEX(Create_TC_Web!O$1:O$998,SMALL(IF(Create_TC_Web!$C$1:$C$998&lt;&gt;"",MATCH(ROW(Create_TC_Web!$C$1:$C$998),ROW(Create_TC_Web!$C$1:$C$998)),""),ROW(Create_TC_Web!M171))),"")</f>
        <v/>
      </c>
      <c r="M171" t="str" cm="1">
        <f t="array" ref="M171">IFERROR(INDEX(Create_TC_Web!P$1:P$998,SMALL(IF(Create_TC_Web!$C$1:$C$998&lt;&gt;"",MATCH(ROW(Create_TC_Web!$C$1:$C$998),ROW(Create_TC_Web!$C$1:$C$998)),""),ROW(Create_TC_Web!N171))),"")</f>
        <v/>
      </c>
      <c r="N171">
        <f>Create_TC_Web!CA180</f>
        <v>0</v>
      </c>
      <c r="O171" t="str">
        <f t="shared" si="11"/>
        <v/>
      </c>
      <c r="P171" s="17" t="str" cm="1">
        <f t="array" ref="P171">IFERROR(INDEX(Create_TC_Web!S$1:S$500,SMALL(IF(Create_TC_Web!$C$1:$C$500&lt;&gt;"",MATCH(ROW(Create_TC_Web!$C$1:$C$500),ROW(Create_TC_Web!$C$1:$C$500)),""),ROW(Create_TC_Web!Q149))),"")</f>
        <v/>
      </c>
      <c r="S171" t="str">
        <f t="shared" si="12"/>
        <v/>
      </c>
    </row>
    <row r="172" spans="1:19">
      <c r="A172" t="str" cm="1">
        <f t="array" ref="A172">IFERROR(INDEX(Create_TC_Web!D$1:D$998,SMALL(IF(Create_TC_Web!$C$1:$C$998&lt;&gt;"",MATCH(ROW(Create_TC_Web!$C$1:$C$998),ROW(Create_TC_Web!$C$1:$C$998)),""),ROW(Create_TC_Web!B172))),"")</f>
        <v/>
      </c>
      <c r="B172" t="str" cm="1">
        <f t="array" ref="B172">SUBSTITUTE(SUBSTITUTE(SUBSTITUTE(IFERROR(INDEX(Create_TC_Web!E$1:E$505,SMALL(IF(Create_TC_Web!$C$1:$C$505&lt;&gt;"",MATCH(ROW(Create_TC_Web!$C$1:$C$505),ROW(Create_TC_Web!$C$1:$C$505)),""),ROW(Create_TC_Web!C172))),"")," ",""),"-",""),"_","")</f>
        <v/>
      </c>
      <c r="C172" t="str" cm="1">
        <f t="array" ref="C172">IFERROR(INDEX(Create_TC_Web!F$1:F$998,SMALL(IF(Create_TC_Web!$C$1:$C$998&lt;&gt;"",MATCH(ROW(Create_TC_Web!$C$1:$C$998),ROW(Create_TC_Web!$C$1:$C$998)),""),ROW(Create_TC_Web!D172))),"")</f>
        <v/>
      </c>
      <c r="D172" t="str" cm="1">
        <f t="array" ref="D172">IFERROR(INDEX(Create_TC_Web!G$1:G$998,SMALL(IF(Create_TC_Web!$C$1:$C$998&lt;&gt;"",MATCH(ROW(Create_TC_Web!$C$1:$C$998),ROW(Create_TC_Web!$C$1:$C$998)),""),ROW(Create_TC_Web!E172))),"")</f>
        <v/>
      </c>
      <c r="E172" t="str" cm="1">
        <f t="array" ref="E172">IFERROR(INDEX(Create_TC_Web!H$1:H$998,SMALL(IF(Create_TC_Web!$C$1:$C$998&lt;&gt;"",MATCH(ROW(Create_TC_Web!$C$1:$C$998),ROW(Create_TC_Web!$C$1:$C$998)),""),ROW(Create_TC_Web!F172))),"")</f>
        <v/>
      </c>
      <c r="F172" t="str" cm="1">
        <f t="array" ref="F172">IFERROR(INDEX(Create_TC_Web!I$1:I$998,SMALL(IF(Create_TC_Web!$C$1:$C$998&lt;&gt;"",MATCH(ROW(Create_TC_Web!$C$1:$C$998),ROW(Create_TC_Web!$C$1:$C$998)),""),ROW(Create_TC_Web!G172))),"")</f>
        <v/>
      </c>
      <c r="G172" t="str" cm="1">
        <f t="array" ref="G172">IFERROR(INDEX(Create_TC_Web!J$1:J$998,SMALL(IF(Create_TC_Web!$C$1:$C$998&lt;&gt;"",MATCH(ROW(Create_TC_Web!$C$1:$C$998),ROW(Create_TC_Web!$C$1:$C$998)),""),ROW(Create_TC_Web!H172))),"")</f>
        <v/>
      </c>
      <c r="H172" t="str" cm="1">
        <f t="array" ref="H172">IFERROR(INDEX(Create_TC_Web!K$1:K$998,SMALL(IF(Create_TC_Web!$C$1:$C$998&lt;&gt;"",MATCH(ROW(Create_TC_Web!$C$1:$C$998),ROW(Create_TC_Web!$C$1:$C$998)),""),ROW(Create_TC_Web!I172))),"")</f>
        <v/>
      </c>
      <c r="I172" t="str" cm="1">
        <f t="array" ref="I172">IFERROR(INDEX(Create_TC_Web!L$1:L$998,SMALL(IF(Create_TC_Web!$C$1:$C$998&lt;&gt;"",MATCH(ROW(Create_TC_Web!$C$1:$C$998),ROW(Create_TC_Web!$C$1:$C$998)),""),ROW(Create_TC_Web!J172))),"")</f>
        <v/>
      </c>
      <c r="J172" t="str" cm="1">
        <f t="array" ref="J172">IFERROR(INDEX(Create_TC_Web!M$1:M$998,SMALL(IF(Create_TC_Web!$C$1:$C$998&lt;&gt;"",MATCH(ROW(Create_TC_Web!$C$1:$C$998),ROW(Create_TC_Web!$C$1:$C$998)),""),ROW(Create_TC_Web!K172))),"")</f>
        <v/>
      </c>
      <c r="K172" t="str" cm="1">
        <f t="array" ref="K172">IFERROR(INDEX(Create_TC_Web!N$1:N$998,SMALL(IF(Create_TC_Web!$C$1:$C$998&lt;&gt;"",MATCH(ROW(Create_TC_Web!$C$1:$C$998),ROW(Create_TC_Web!$C$1:$C$998)),""),ROW(Create_TC_Web!L172))),"")</f>
        <v/>
      </c>
      <c r="L172" t="str" cm="1">
        <f t="array" ref="L172">IFERROR(INDEX(Create_TC_Web!O$1:O$998,SMALL(IF(Create_TC_Web!$C$1:$C$998&lt;&gt;"",MATCH(ROW(Create_TC_Web!$C$1:$C$998),ROW(Create_TC_Web!$C$1:$C$998)),""),ROW(Create_TC_Web!M172))),"")</f>
        <v/>
      </c>
      <c r="M172" t="str" cm="1">
        <f t="array" ref="M172">IFERROR(INDEX(Create_TC_Web!P$1:P$998,SMALL(IF(Create_TC_Web!$C$1:$C$998&lt;&gt;"",MATCH(ROW(Create_TC_Web!$C$1:$C$998),ROW(Create_TC_Web!$C$1:$C$998)),""),ROW(Create_TC_Web!N172))),"")</f>
        <v/>
      </c>
      <c r="N172">
        <f>Create_TC_Web!CA181</f>
        <v>0</v>
      </c>
      <c r="O172" t="str">
        <f t="shared" si="11"/>
        <v/>
      </c>
      <c r="P172" s="17" t="str" cm="1">
        <f t="array" ref="P172">IFERROR(INDEX(Create_TC_Web!S$1:S$500,SMALL(IF(Create_TC_Web!$C$1:$C$500&lt;&gt;"",MATCH(ROW(Create_TC_Web!$C$1:$C$500),ROW(Create_TC_Web!$C$1:$C$500)),""),ROW(Create_TC_Web!Q150))),"")</f>
        <v/>
      </c>
      <c r="S172" t="str">
        <f t="shared" si="12"/>
        <v/>
      </c>
    </row>
    <row r="173" spans="1:19">
      <c r="A173" t="str" cm="1">
        <f t="array" ref="A173">IFERROR(INDEX(Create_TC_Web!D$1:D$998,SMALL(IF(Create_TC_Web!$C$1:$C$998&lt;&gt;"",MATCH(ROW(Create_TC_Web!$C$1:$C$998),ROW(Create_TC_Web!$C$1:$C$998)),""),ROW(Create_TC_Web!B173))),"")</f>
        <v/>
      </c>
      <c r="B173" t="str" cm="1">
        <f t="array" ref="B173">SUBSTITUTE(SUBSTITUTE(SUBSTITUTE(IFERROR(INDEX(Create_TC_Web!E$1:E$505,SMALL(IF(Create_TC_Web!$C$1:$C$505&lt;&gt;"",MATCH(ROW(Create_TC_Web!$C$1:$C$505),ROW(Create_TC_Web!$C$1:$C$505)),""),ROW(Create_TC_Web!C173))),"")," ",""),"-",""),"_","")</f>
        <v/>
      </c>
      <c r="C173" t="str" cm="1">
        <f t="array" ref="C173">IFERROR(INDEX(Create_TC_Web!F$1:F$998,SMALL(IF(Create_TC_Web!$C$1:$C$998&lt;&gt;"",MATCH(ROW(Create_TC_Web!$C$1:$C$998),ROW(Create_TC_Web!$C$1:$C$998)),""),ROW(Create_TC_Web!D173))),"")</f>
        <v/>
      </c>
      <c r="D173" t="str" cm="1">
        <f t="array" ref="D173">IFERROR(INDEX(Create_TC_Web!G$1:G$998,SMALL(IF(Create_TC_Web!$C$1:$C$998&lt;&gt;"",MATCH(ROW(Create_TC_Web!$C$1:$C$998),ROW(Create_TC_Web!$C$1:$C$998)),""),ROW(Create_TC_Web!E173))),"")</f>
        <v/>
      </c>
      <c r="E173" t="str" cm="1">
        <f t="array" ref="E173">IFERROR(INDEX(Create_TC_Web!H$1:H$998,SMALL(IF(Create_TC_Web!$C$1:$C$998&lt;&gt;"",MATCH(ROW(Create_TC_Web!$C$1:$C$998),ROW(Create_TC_Web!$C$1:$C$998)),""),ROW(Create_TC_Web!F173))),"")</f>
        <v/>
      </c>
      <c r="F173" t="str" cm="1">
        <f t="array" ref="F173">IFERROR(INDEX(Create_TC_Web!I$1:I$998,SMALL(IF(Create_TC_Web!$C$1:$C$998&lt;&gt;"",MATCH(ROW(Create_TC_Web!$C$1:$C$998),ROW(Create_TC_Web!$C$1:$C$998)),""),ROW(Create_TC_Web!G173))),"")</f>
        <v/>
      </c>
      <c r="G173" t="str" cm="1">
        <f t="array" ref="G173">IFERROR(INDEX(Create_TC_Web!J$1:J$998,SMALL(IF(Create_TC_Web!$C$1:$C$998&lt;&gt;"",MATCH(ROW(Create_TC_Web!$C$1:$C$998),ROW(Create_TC_Web!$C$1:$C$998)),""),ROW(Create_TC_Web!H173))),"")</f>
        <v/>
      </c>
      <c r="H173" t="str" cm="1">
        <f t="array" ref="H173">IFERROR(INDEX(Create_TC_Web!K$1:K$998,SMALL(IF(Create_TC_Web!$C$1:$C$998&lt;&gt;"",MATCH(ROW(Create_TC_Web!$C$1:$C$998),ROW(Create_TC_Web!$C$1:$C$998)),""),ROW(Create_TC_Web!I173))),"")</f>
        <v/>
      </c>
      <c r="I173" t="str" cm="1">
        <f t="array" ref="I173">IFERROR(INDEX(Create_TC_Web!L$1:L$998,SMALL(IF(Create_TC_Web!$C$1:$C$998&lt;&gt;"",MATCH(ROW(Create_TC_Web!$C$1:$C$998),ROW(Create_TC_Web!$C$1:$C$998)),""),ROW(Create_TC_Web!J173))),"")</f>
        <v/>
      </c>
      <c r="J173" t="str" cm="1">
        <f t="array" ref="J173">IFERROR(INDEX(Create_TC_Web!M$1:M$998,SMALL(IF(Create_TC_Web!$C$1:$C$998&lt;&gt;"",MATCH(ROW(Create_TC_Web!$C$1:$C$998),ROW(Create_TC_Web!$C$1:$C$998)),""),ROW(Create_TC_Web!K173))),"")</f>
        <v/>
      </c>
      <c r="K173" t="str" cm="1">
        <f t="array" ref="K173">IFERROR(INDEX(Create_TC_Web!N$1:N$998,SMALL(IF(Create_TC_Web!$C$1:$C$998&lt;&gt;"",MATCH(ROW(Create_TC_Web!$C$1:$C$998),ROW(Create_TC_Web!$C$1:$C$998)),""),ROW(Create_TC_Web!L173))),"")</f>
        <v/>
      </c>
      <c r="L173" t="str" cm="1">
        <f t="array" ref="L173">IFERROR(INDEX(Create_TC_Web!O$1:O$998,SMALL(IF(Create_TC_Web!$C$1:$C$998&lt;&gt;"",MATCH(ROW(Create_TC_Web!$C$1:$C$998),ROW(Create_TC_Web!$C$1:$C$998)),""),ROW(Create_TC_Web!M173))),"")</f>
        <v/>
      </c>
      <c r="M173" t="str" cm="1">
        <f t="array" ref="M173">IFERROR(INDEX(Create_TC_Web!P$1:P$998,SMALL(IF(Create_TC_Web!$C$1:$C$998&lt;&gt;"",MATCH(ROW(Create_TC_Web!$C$1:$C$998),ROW(Create_TC_Web!$C$1:$C$998)),""),ROW(Create_TC_Web!N173))),"")</f>
        <v/>
      </c>
      <c r="N173">
        <f>Create_TC_Web!CA182</f>
        <v>0</v>
      </c>
      <c r="O173" t="str">
        <f t="shared" si="11"/>
        <v/>
      </c>
      <c r="P173" s="17" t="str" cm="1">
        <f t="array" ref="P173">IFERROR(INDEX(Create_TC_Web!S$1:S$500,SMALL(IF(Create_TC_Web!$C$1:$C$500&lt;&gt;"",MATCH(ROW(Create_TC_Web!$C$1:$C$500),ROW(Create_TC_Web!$C$1:$C$500)),""),ROW(Create_TC_Web!Q151))),"")</f>
        <v/>
      </c>
      <c r="S173" t="str">
        <f t="shared" si="12"/>
        <v/>
      </c>
    </row>
    <row r="174" spans="1:19">
      <c r="A174" t="str" cm="1">
        <f t="array" ref="A174">IFERROR(INDEX(Create_TC_Web!D$1:D$998,SMALL(IF(Create_TC_Web!$C$1:$C$998&lt;&gt;"",MATCH(ROW(Create_TC_Web!$C$1:$C$998),ROW(Create_TC_Web!$C$1:$C$998)),""),ROW(Create_TC_Web!B174))),"")</f>
        <v/>
      </c>
      <c r="B174" t="str" cm="1">
        <f t="array" ref="B174">SUBSTITUTE(SUBSTITUTE(SUBSTITUTE(IFERROR(INDEX(Create_TC_Web!E$1:E$505,SMALL(IF(Create_TC_Web!$C$1:$C$505&lt;&gt;"",MATCH(ROW(Create_TC_Web!$C$1:$C$505),ROW(Create_TC_Web!$C$1:$C$505)),""),ROW(Create_TC_Web!C174))),"")," ",""),"-",""),"_","")</f>
        <v/>
      </c>
      <c r="C174" t="str" cm="1">
        <f t="array" ref="C174">IFERROR(INDEX(Create_TC_Web!F$1:F$998,SMALL(IF(Create_TC_Web!$C$1:$C$998&lt;&gt;"",MATCH(ROW(Create_TC_Web!$C$1:$C$998),ROW(Create_TC_Web!$C$1:$C$998)),""),ROW(Create_TC_Web!D174))),"")</f>
        <v/>
      </c>
      <c r="D174" t="str" cm="1">
        <f t="array" ref="D174">IFERROR(INDEX(Create_TC_Web!G$1:G$998,SMALL(IF(Create_TC_Web!$C$1:$C$998&lt;&gt;"",MATCH(ROW(Create_TC_Web!$C$1:$C$998),ROW(Create_TC_Web!$C$1:$C$998)),""),ROW(Create_TC_Web!E174))),"")</f>
        <v/>
      </c>
      <c r="E174" t="str" cm="1">
        <f t="array" ref="E174">IFERROR(INDEX(Create_TC_Web!H$1:H$998,SMALL(IF(Create_TC_Web!$C$1:$C$998&lt;&gt;"",MATCH(ROW(Create_TC_Web!$C$1:$C$998),ROW(Create_TC_Web!$C$1:$C$998)),""),ROW(Create_TC_Web!F174))),"")</f>
        <v/>
      </c>
      <c r="F174" t="str" cm="1">
        <f t="array" ref="F174">IFERROR(INDEX(Create_TC_Web!I$1:I$998,SMALL(IF(Create_TC_Web!$C$1:$C$998&lt;&gt;"",MATCH(ROW(Create_TC_Web!$C$1:$C$998),ROW(Create_TC_Web!$C$1:$C$998)),""),ROW(Create_TC_Web!G174))),"")</f>
        <v/>
      </c>
      <c r="G174" t="str" cm="1">
        <f t="array" ref="G174">IFERROR(INDEX(Create_TC_Web!J$1:J$998,SMALL(IF(Create_TC_Web!$C$1:$C$998&lt;&gt;"",MATCH(ROW(Create_TC_Web!$C$1:$C$998),ROW(Create_TC_Web!$C$1:$C$998)),""),ROW(Create_TC_Web!H174))),"")</f>
        <v/>
      </c>
      <c r="H174" t="str" cm="1">
        <f t="array" ref="H174">IFERROR(INDEX(Create_TC_Web!K$1:K$998,SMALL(IF(Create_TC_Web!$C$1:$C$998&lt;&gt;"",MATCH(ROW(Create_TC_Web!$C$1:$C$998),ROW(Create_TC_Web!$C$1:$C$998)),""),ROW(Create_TC_Web!I174))),"")</f>
        <v/>
      </c>
      <c r="I174" t="str" cm="1">
        <f t="array" ref="I174">IFERROR(INDEX(Create_TC_Web!L$1:L$998,SMALL(IF(Create_TC_Web!$C$1:$C$998&lt;&gt;"",MATCH(ROW(Create_TC_Web!$C$1:$C$998),ROW(Create_TC_Web!$C$1:$C$998)),""),ROW(Create_TC_Web!J174))),"")</f>
        <v/>
      </c>
      <c r="J174" t="str" cm="1">
        <f t="array" ref="J174">IFERROR(INDEX(Create_TC_Web!M$1:M$998,SMALL(IF(Create_TC_Web!$C$1:$C$998&lt;&gt;"",MATCH(ROW(Create_TC_Web!$C$1:$C$998),ROW(Create_TC_Web!$C$1:$C$998)),""),ROW(Create_TC_Web!K174))),"")</f>
        <v/>
      </c>
      <c r="K174" t="str" cm="1">
        <f t="array" ref="K174">IFERROR(INDEX(Create_TC_Web!N$1:N$998,SMALL(IF(Create_TC_Web!$C$1:$C$998&lt;&gt;"",MATCH(ROW(Create_TC_Web!$C$1:$C$998),ROW(Create_TC_Web!$C$1:$C$998)),""),ROW(Create_TC_Web!L174))),"")</f>
        <v/>
      </c>
      <c r="L174" t="str" cm="1">
        <f t="array" ref="L174">IFERROR(INDEX(Create_TC_Web!O$1:O$998,SMALL(IF(Create_TC_Web!$C$1:$C$998&lt;&gt;"",MATCH(ROW(Create_TC_Web!$C$1:$C$998),ROW(Create_TC_Web!$C$1:$C$998)),""),ROW(Create_TC_Web!M174))),"")</f>
        <v/>
      </c>
      <c r="M174" t="str" cm="1">
        <f t="array" ref="M174">IFERROR(INDEX(Create_TC_Web!P$1:P$998,SMALL(IF(Create_TC_Web!$C$1:$C$998&lt;&gt;"",MATCH(ROW(Create_TC_Web!$C$1:$C$998),ROW(Create_TC_Web!$C$1:$C$998)),""),ROW(Create_TC_Web!N174))),"")</f>
        <v/>
      </c>
      <c r="N174">
        <f>Create_TC_Web!CA183</f>
        <v>0</v>
      </c>
      <c r="O174" t="str">
        <f t="shared" si="11"/>
        <v/>
      </c>
      <c r="P174" s="17" t="str" cm="1">
        <f t="array" ref="P174">IFERROR(INDEX(Create_TC_Web!S$1:S$500,SMALL(IF(Create_TC_Web!$C$1:$C$500&lt;&gt;"",MATCH(ROW(Create_TC_Web!$C$1:$C$500),ROW(Create_TC_Web!$C$1:$C$500)),""),ROW(Create_TC_Web!Q152))),"")</f>
        <v/>
      </c>
      <c r="S174" t="str">
        <f t="shared" si="12"/>
        <v/>
      </c>
    </row>
    <row r="175" spans="1:19">
      <c r="A175" t="str" cm="1">
        <f t="array" ref="A175">IFERROR(INDEX(Create_TC_Web!D$1:D$998,SMALL(IF(Create_TC_Web!$C$1:$C$998&lt;&gt;"",MATCH(ROW(Create_TC_Web!$C$1:$C$998),ROW(Create_TC_Web!$C$1:$C$998)),""),ROW(Create_TC_Web!B175))),"")</f>
        <v/>
      </c>
      <c r="B175" t="str" cm="1">
        <f t="array" ref="B175">SUBSTITUTE(SUBSTITUTE(SUBSTITUTE(IFERROR(INDEX(Create_TC_Web!E$1:E$505,SMALL(IF(Create_TC_Web!$C$1:$C$505&lt;&gt;"",MATCH(ROW(Create_TC_Web!$C$1:$C$505),ROW(Create_TC_Web!$C$1:$C$505)),""),ROW(Create_TC_Web!C175))),"")," ",""),"-",""),"_","")</f>
        <v/>
      </c>
      <c r="C175" t="str" cm="1">
        <f t="array" ref="C175">IFERROR(INDEX(Create_TC_Web!F$1:F$998,SMALL(IF(Create_TC_Web!$C$1:$C$998&lt;&gt;"",MATCH(ROW(Create_TC_Web!$C$1:$C$998),ROW(Create_TC_Web!$C$1:$C$998)),""),ROW(Create_TC_Web!D175))),"")</f>
        <v/>
      </c>
      <c r="D175" t="str" cm="1">
        <f t="array" ref="D175">IFERROR(INDEX(Create_TC_Web!G$1:G$998,SMALL(IF(Create_TC_Web!$C$1:$C$998&lt;&gt;"",MATCH(ROW(Create_TC_Web!$C$1:$C$998),ROW(Create_TC_Web!$C$1:$C$998)),""),ROW(Create_TC_Web!E175))),"")</f>
        <v/>
      </c>
      <c r="E175" t="str" cm="1">
        <f t="array" ref="E175">IFERROR(INDEX(Create_TC_Web!H$1:H$998,SMALL(IF(Create_TC_Web!$C$1:$C$998&lt;&gt;"",MATCH(ROW(Create_TC_Web!$C$1:$C$998),ROW(Create_TC_Web!$C$1:$C$998)),""),ROW(Create_TC_Web!F175))),"")</f>
        <v/>
      </c>
      <c r="F175" t="str" cm="1">
        <f t="array" ref="F175">IFERROR(INDEX(Create_TC_Web!I$1:I$998,SMALL(IF(Create_TC_Web!$C$1:$C$998&lt;&gt;"",MATCH(ROW(Create_TC_Web!$C$1:$C$998),ROW(Create_TC_Web!$C$1:$C$998)),""),ROW(Create_TC_Web!G175))),"")</f>
        <v/>
      </c>
      <c r="G175" t="str" cm="1">
        <f t="array" ref="G175">IFERROR(INDEX(Create_TC_Web!J$1:J$998,SMALL(IF(Create_TC_Web!$C$1:$C$998&lt;&gt;"",MATCH(ROW(Create_TC_Web!$C$1:$C$998),ROW(Create_TC_Web!$C$1:$C$998)),""),ROW(Create_TC_Web!H175))),"")</f>
        <v/>
      </c>
      <c r="H175" t="str" cm="1">
        <f t="array" ref="H175">IFERROR(INDEX(Create_TC_Web!K$1:K$998,SMALL(IF(Create_TC_Web!$C$1:$C$998&lt;&gt;"",MATCH(ROW(Create_TC_Web!$C$1:$C$998),ROW(Create_TC_Web!$C$1:$C$998)),""),ROW(Create_TC_Web!I175))),"")</f>
        <v/>
      </c>
      <c r="I175" t="str" cm="1">
        <f t="array" ref="I175">IFERROR(INDEX(Create_TC_Web!L$1:L$998,SMALL(IF(Create_TC_Web!$C$1:$C$998&lt;&gt;"",MATCH(ROW(Create_TC_Web!$C$1:$C$998),ROW(Create_TC_Web!$C$1:$C$998)),""),ROW(Create_TC_Web!J175))),"")</f>
        <v/>
      </c>
      <c r="J175" t="str" cm="1">
        <f t="array" ref="J175">IFERROR(INDEX(Create_TC_Web!M$1:M$998,SMALL(IF(Create_TC_Web!$C$1:$C$998&lt;&gt;"",MATCH(ROW(Create_TC_Web!$C$1:$C$998),ROW(Create_TC_Web!$C$1:$C$998)),""),ROW(Create_TC_Web!K175))),"")</f>
        <v/>
      </c>
      <c r="K175" t="str" cm="1">
        <f t="array" ref="K175">IFERROR(INDEX(Create_TC_Web!N$1:N$998,SMALL(IF(Create_TC_Web!$C$1:$C$998&lt;&gt;"",MATCH(ROW(Create_TC_Web!$C$1:$C$998),ROW(Create_TC_Web!$C$1:$C$998)),""),ROW(Create_TC_Web!L175))),"")</f>
        <v/>
      </c>
      <c r="L175" t="str" cm="1">
        <f t="array" ref="L175">IFERROR(INDEX(Create_TC_Web!O$1:O$998,SMALL(IF(Create_TC_Web!$C$1:$C$998&lt;&gt;"",MATCH(ROW(Create_TC_Web!$C$1:$C$998),ROW(Create_TC_Web!$C$1:$C$998)),""),ROW(Create_TC_Web!M175))),"")</f>
        <v/>
      </c>
      <c r="M175" t="str" cm="1">
        <f t="array" ref="M175">IFERROR(INDEX(Create_TC_Web!P$1:P$998,SMALL(IF(Create_TC_Web!$C$1:$C$998&lt;&gt;"",MATCH(ROW(Create_TC_Web!$C$1:$C$998),ROW(Create_TC_Web!$C$1:$C$998)),""),ROW(Create_TC_Web!N175))),"")</f>
        <v/>
      </c>
      <c r="N175">
        <f>Create_TC_Web!CA184</f>
        <v>0</v>
      </c>
      <c r="O175" t="str">
        <f t="shared" si="11"/>
        <v/>
      </c>
      <c r="P175" s="17" t="str" cm="1">
        <f t="array" ref="P175">IFERROR(INDEX(Create_TC_Web!S$1:S$500,SMALL(IF(Create_TC_Web!$C$1:$C$500&lt;&gt;"",MATCH(ROW(Create_TC_Web!$C$1:$C$500),ROW(Create_TC_Web!$C$1:$C$500)),""),ROW(Create_TC_Web!Q153))),"")</f>
        <v/>
      </c>
      <c r="S175" t="str">
        <f t="shared" si="12"/>
        <v/>
      </c>
    </row>
    <row r="176" spans="1:19">
      <c r="A176" t="str" cm="1">
        <f t="array" ref="A176">IFERROR(INDEX(Create_TC_Web!D$1:D$998,SMALL(IF(Create_TC_Web!$C$1:$C$998&lt;&gt;"",MATCH(ROW(Create_TC_Web!$C$1:$C$998),ROW(Create_TC_Web!$C$1:$C$998)),""),ROW(Create_TC_Web!B176))),"")</f>
        <v/>
      </c>
      <c r="B176" t="str" cm="1">
        <f t="array" ref="B176">SUBSTITUTE(SUBSTITUTE(SUBSTITUTE(IFERROR(INDEX(Create_TC_Web!E$1:E$505,SMALL(IF(Create_TC_Web!$C$1:$C$505&lt;&gt;"",MATCH(ROW(Create_TC_Web!$C$1:$C$505),ROW(Create_TC_Web!$C$1:$C$505)),""),ROW(Create_TC_Web!C176))),"")," ",""),"-",""),"_","")</f>
        <v/>
      </c>
      <c r="C176" t="str" cm="1">
        <f t="array" ref="C176">IFERROR(INDEX(Create_TC_Web!F$1:F$998,SMALL(IF(Create_TC_Web!$C$1:$C$998&lt;&gt;"",MATCH(ROW(Create_TC_Web!$C$1:$C$998),ROW(Create_TC_Web!$C$1:$C$998)),""),ROW(Create_TC_Web!D176))),"")</f>
        <v/>
      </c>
      <c r="D176" t="str" cm="1">
        <f t="array" ref="D176">IFERROR(INDEX(Create_TC_Web!G$1:G$998,SMALL(IF(Create_TC_Web!$C$1:$C$998&lt;&gt;"",MATCH(ROW(Create_TC_Web!$C$1:$C$998),ROW(Create_TC_Web!$C$1:$C$998)),""),ROW(Create_TC_Web!E176))),"")</f>
        <v/>
      </c>
      <c r="E176" t="str" cm="1">
        <f t="array" ref="E176">IFERROR(INDEX(Create_TC_Web!H$1:H$998,SMALL(IF(Create_TC_Web!$C$1:$C$998&lt;&gt;"",MATCH(ROW(Create_TC_Web!$C$1:$C$998),ROW(Create_TC_Web!$C$1:$C$998)),""),ROW(Create_TC_Web!F176))),"")</f>
        <v/>
      </c>
      <c r="F176" t="str" cm="1">
        <f t="array" ref="F176">IFERROR(INDEX(Create_TC_Web!I$1:I$998,SMALL(IF(Create_TC_Web!$C$1:$C$998&lt;&gt;"",MATCH(ROW(Create_TC_Web!$C$1:$C$998),ROW(Create_TC_Web!$C$1:$C$998)),""),ROW(Create_TC_Web!G176))),"")</f>
        <v/>
      </c>
      <c r="G176" t="str" cm="1">
        <f t="array" ref="G176">IFERROR(INDEX(Create_TC_Web!J$1:J$998,SMALL(IF(Create_TC_Web!$C$1:$C$998&lt;&gt;"",MATCH(ROW(Create_TC_Web!$C$1:$C$998),ROW(Create_TC_Web!$C$1:$C$998)),""),ROW(Create_TC_Web!H176))),"")</f>
        <v/>
      </c>
      <c r="H176" t="str" cm="1">
        <f t="array" ref="H176">IFERROR(INDEX(Create_TC_Web!K$1:K$998,SMALL(IF(Create_TC_Web!$C$1:$C$998&lt;&gt;"",MATCH(ROW(Create_TC_Web!$C$1:$C$998),ROW(Create_TC_Web!$C$1:$C$998)),""),ROW(Create_TC_Web!I176))),"")</f>
        <v/>
      </c>
      <c r="I176" t="str" cm="1">
        <f t="array" ref="I176">IFERROR(INDEX(Create_TC_Web!L$1:L$998,SMALL(IF(Create_TC_Web!$C$1:$C$998&lt;&gt;"",MATCH(ROW(Create_TC_Web!$C$1:$C$998),ROW(Create_TC_Web!$C$1:$C$998)),""),ROW(Create_TC_Web!J176))),"")</f>
        <v/>
      </c>
      <c r="J176" t="str" cm="1">
        <f t="array" ref="J176">IFERROR(INDEX(Create_TC_Web!M$1:M$998,SMALL(IF(Create_TC_Web!$C$1:$C$998&lt;&gt;"",MATCH(ROW(Create_TC_Web!$C$1:$C$998),ROW(Create_TC_Web!$C$1:$C$998)),""),ROW(Create_TC_Web!K176))),"")</f>
        <v/>
      </c>
      <c r="K176" t="str" cm="1">
        <f t="array" ref="K176">IFERROR(INDEX(Create_TC_Web!N$1:N$998,SMALL(IF(Create_TC_Web!$C$1:$C$998&lt;&gt;"",MATCH(ROW(Create_TC_Web!$C$1:$C$998),ROW(Create_TC_Web!$C$1:$C$998)),""),ROW(Create_TC_Web!L176))),"")</f>
        <v/>
      </c>
      <c r="L176" t="str" cm="1">
        <f t="array" ref="L176">IFERROR(INDEX(Create_TC_Web!O$1:O$998,SMALL(IF(Create_TC_Web!$C$1:$C$998&lt;&gt;"",MATCH(ROW(Create_TC_Web!$C$1:$C$998),ROW(Create_TC_Web!$C$1:$C$998)),""),ROW(Create_TC_Web!M176))),"")</f>
        <v/>
      </c>
      <c r="M176" t="str" cm="1">
        <f t="array" ref="M176">IFERROR(INDEX(Create_TC_Web!P$1:P$998,SMALL(IF(Create_TC_Web!$C$1:$C$998&lt;&gt;"",MATCH(ROW(Create_TC_Web!$C$1:$C$998),ROW(Create_TC_Web!$C$1:$C$998)),""),ROW(Create_TC_Web!N176))),"")</f>
        <v/>
      </c>
      <c r="N176">
        <f>Create_TC_Web!CA185</f>
        <v>0</v>
      </c>
      <c r="O176" t="str">
        <f t="shared" si="11"/>
        <v/>
      </c>
      <c r="P176" s="17" t="str" cm="1">
        <f t="array" ref="P176">IFERROR(INDEX(Create_TC_Web!S$1:S$500,SMALL(IF(Create_TC_Web!$C$1:$C$500&lt;&gt;"",MATCH(ROW(Create_TC_Web!$C$1:$C$500),ROW(Create_TC_Web!$C$1:$C$500)),""),ROW(Create_TC_Web!Q154))),"")</f>
        <v/>
      </c>
      <c r="S176" t="str">
        <f t="shared" si="12"/>
        <v/>
      </c>
    </row>
    <row r="177" spans="1:19">
      <c r="A177" t="str" cm="1">
        <f t="array" ref="A177">IFERROR(INDEX(Create_TC_Web!D$1:D$998,SMALL(IF(Create_TC_Web!$C$1:$C$998&lt;&gt;"",MATCH(ROW(Create_TC_Web!$C$1:$C$998),ROW(Create_TC_Web!$C$1:$C$998)),""),ROW(Create_TC_Web!B177))),"")</f>
        <v/>
      </c>
      <c r="B177" t="str" cm="1">
        <f t="array" ref="B177">SUBSTITUTE(SUBSTITUTE(SUBSTITUTE(IFERROR(INDEX(Create_TC_Web!E$1:E$505,SMALL(IF(Create_TC_Web!$C$1:$C$505&lt;&gt;"",MATCH(ROW(Create_TC_Web!$C$1:$C$505),ROW(Create_TC_Web!$C$1:$C$505)),""),ROW(Create_TC_Web!C177))),"")," ",""),"-",""),"_","")</f>
        <v/>
      </c>
      <c r="C177" t="str" cm="1">
        <f t="array" ref="C177">IFERROR(INDEX(Create_TC_Web!F$1:F$998,SMALL(IF(Create_TC_Web!$C$1:$C$998&lt;&gt;"",MATCH(ROW(Create_TC_Web!$C$1:$C$998),ROW(Create_TC_Web!$C$1:$C$998)),""),ROW(Create_TC_Web!D177))),"")</f>
        <v/>
      </c>
      <c r="D177" t="str" cm="1">
        <f t="array" ref="D177">IFERROR(INDEX(Create_TC_Web!G$1:G$998,SMALL(IF(Create_TC_Web!$C$1:$C$998&lt;&gt;"",MATCH(ROW(Create_TC_Web!$C$1:$C$998),ROW(Create_TC_Web!$C$1:$C$998)),""),ROW(Create_TC_Web!E177))),"")</f>
        <v/>
      </c>
      <c r="E177" t="str" cm="1">
        <f t="array" ref="E177">IFERROR(INDEX(Create_TC_Web!H$1:H$998,SMALL(IF(Create_TC_Web!$C$1:$C$998&lt;&gt;"",MATCH(ROW(Create_TC_Web!$C$1:$C$998),ROW(Create_TC_Web!$C$1:$C$998)),""),ROW(Create_TC_Web!F177))),"")</f>
        <v/>
      </c>
      <c r="F177" t="str" cm="1">
        <f t="array" ref="F177">IFERROR(INDEX(Create_TC_Web!I$1:I$998,SMALL(IF(Create_TC_Web!$C$1:$C$998&lt;&gt;"",MATCH(ROW(Create_TC_Web!$C$1:$C$998),ROW(Create_TC_Web!$C$1:$C$998)),""),ROW(Create_TC_Web!G177))),"")</f>
        <v/>
      </c>
      <c r="G177" t="str" cm="1">
        <f t="array" ref="G177">IFERROR(INDEX(Create_TC_Web!J$1:J$998,SMALL(IF(Create_TC_Web!$C$1:$C$998&lt;&gt;"",MATCH(ROW(Create_TC_Web!$C$1:$C$998),ROW(Create_TC_Web!$C$1:$C$998)),""),ROW(Create_TC_Web!H177))),"")</f>
        <v/>
      </c>
      <c r="H177" t="str" cm="1">
        <f t="array" ref="H177">IFERROR(INDEX(Create_TC_Web!K$1:K$998,SMALL(IF(Create_TC_Web!$C$1:$C$998&lt;&gt;"",MATCH(ROW(Create_TC_Web!$C$1:$C$998),ROW(Create_TC_Web!$C$1:$C$998)),""),ROW(Create_TC_Web!I177))),"")</f>
        <v/>
      </c>
      <c r="I177" t="str" cm="1">
        <f t="array" ref="I177">IFERROR(INDEX(Create_TC_Web!L$1:L$998,SMALL(IF(Create_TC_Web!$C$1:$C$998&lt;&gt;"",MATCH(ROW(Create_TC_Web!$C$1:$C$998),ROW(Create_TC_Web!$C$1:$C$998)),""),ROW(Create_TC_Web!J177))),"")</f>
        <v/>
      </c>
      <c r="J177" t="str" cm="1">
        <f t="array" ref="J177">IFERROR(INDEX(Create_TC_Web!M$1:M$998,SMALL(IF(Create_TC_Web!$C$1:$C$998&lt;&gt;"",MATCH(ROW(Create_TC_Web!$C$1:$C$998),ROW(Create_TC_Web!$C$1:$C$998)),""),ROW(Create_TC_Web!K177))),"")</f>
        <v/>
      </c>
      <c r="K177" t="str" cm="1">
        <f t="array" ref="K177">IFERROR(INDEX(Create_TC_Web!N$1:N$998,SMALL(IF(Create_TC_Web!$C$1:$C$998&lt;&gt;"",MATCH(ROW(Create_TC_Web!$C$1:$C$998),ROW(Create_TC_Web!$C$1:$C$998)),""),ROW(Create_TC_Web!L177))),"")</f>
        <v/>
      </c>
      <c r="L177" t="str" cm="1">
        <f t="array" ref="L177">IFERROR(INDEX(Create_TC_Web!O$1:O$998,SMALL(IF(Create_TC_Web!$C$1:$C$998&lt;&gt;"",MATCH(ROW(Create_TC_Web!$C$1:$C$998),ROW(Create_TC_Web!$C$1:$C$998)),""),ROW(Create_TC_Web!M177))),"")</f>
        <v/>
      </c>
      <c r="M177" t="str" cm="1">
        <f t="array" ref="M177">IFERROR(INDEX(Create_TC_Web!P$1:P$998,SMALL(IF(Create_TC_Web!$C$1:$C$998&lt;&gt;"",MATCH(ROW(Create_TC_Web!$C$1:$C$998),ROW(Create_TC_Web!$C$1:$C$998)),""),ROW(Create_TC_Web!N177))),"")</f>
        <v/>
      </c>
      <c r="N177">
        <f>Create_TC_Web!CA186</f>
        <v>0</v>
      </c>
      <c r="O177" t="str">
        <f t="shared" si="11"/>
        <v/>
      </c>
      <c r="P177" s="17" t="str" cm="1">
        <f t="array" ref="P177">IFERROR(INDEX(Create_TC_Web!S$1:S$500,SMALL(IF(Create_TC_Web!$C$1:$C$500&lt;&gt;"",MATCH(ROW(Create_TC_Web!$C$1:$C$500),ROW(Create_TC_Web!$C$1:$C$500)),""),ROW(Create_TC_Web!Q155))),"")</f>
        <v/>
      </c>
      <c r="S177" t="str">
        <f t="shared" si="12"/>
        <v/>
      </c>
    </row>
    <row r="178" spans="1:19">
      <c r="A178" t="str" cm="1">
        <f t="array" ref="A178">IFERROR(INDEX(Create_TC_Web!D$1:D$998,SMALL(IF(Create_TC_Web!$C$1:$C$998&lt;&gt;"",MATCH(ROW(Create_TC_Web!$C$1:$C$998),ROW(Create_TC_Web!$C$1:$C$998)),""),ROW(Create_TC_Web!B178))),"")</f>
        <v/>
      </c>
      <c r="B178" t="str" cm="1">
        <f t="array" ref="B178">SUBSTITUTE(SUBSTITUTE(SUBSTITUTE(IFERROR(INDEX(Create_TC_Web!E$1:E$505,SMALL(IF(Create_TC_Web!$C$1:$C$505&lt;&gt;"",MATCH(ROW(Create_TC_Web!$C$1:$C$505),ROW(Create_TC_Web!$C$1:$C$505)),""),ROW(Create_TC_Web!C178))),"")," ",""),"-",""),"_","")</f>
        <v/>
      </c>
      <c r="C178" t="str" cm="1">
        <f t="array" ref="C178">IFERROR(INDEX(Create_TC_Web!F$1:F$998,SMALL(IF(Create_TC_Web!$C$1:$C$998&lt;&gt;"",MATCH(ROW(Create_TC_Web!$C$1:$C$998),ROW(Create_TC_Web!$C$1:$C$998)),""),ROW(Create_TC_Web!D178))),"")</f>
        <v/>
      </c>
      <c r="D178" t="str" cm="1">
        <f t="array" ref="D178">IFERROR(INDEX(Create_TC_Web!G$1:G$998,SMALL(IF(Create_TC_Web!$C$1:$C$998&lt;&gt;"",MATCH(ROW(Create_TC_Web!$C$1:$C$998),ROW(Create_TC_Web!$C$1:$C$998)),""),ROW(Create_TC_Web!E178))),"")</f>
        <v/>
      </c>
      <c r="E178" t="str" cm="1">
        <f t="array" ref="E178">IFERROR(INDEX(Create_TC_Web!H$1:H$998,SMALL(IF(Create_TC_Web!$C$1:$C$998&lt;&gt;"",MATCH(ROW(Create_TC_Web!$C$1:$C$998),ROW(Create_TC_Web!$C$1:$C$998)),""),ROW(Create_TC_Web!F178))),"")</f>
        <v/>
      </c>
      <c r="F178" t="str" cm="1">
        <f t="array" ref="F178">IFERROR(INDEX(Create_TC_Web!I$1:I$998,SMALL(IF(Create_TC_Web!$C$1:$C$998&lt;&gt;"",MATCH(ROW(Create_TC_Web!$C$1:$C$998),ROW(Create_TC_Web!$C$1:$C$998)),""),ROW(Create_TC_Web!G178))),"")</f>
        <v/>
      </c>
      <c r="G178" t="str" cm="1">
        <f t="array" ref="G178">IFERROR(INDEX(Create_TC_Web!J$1:J$998,SMALL(IF(Create_TC_Web!$C$1:$C$998&lt;&gt;"",MATCH(ROW(Create_TC_Web!$C$1:$C$998),ROW(Create_TC_Web!$C$1:$C$998)),""),ROW(Create_TC_Web!H178))),"")</f>
        <v/>
      </c>
      <c r="H178" t="str" cm="1">
        <f t="array" ref="H178">IFERROR(INDEX(Create_TC_Web!K$1:K$998,SMALL(IF(Create_TC_Web!$C$1:$C$998&lt;&gt;"",MATCH(ROW(Create_TC_Web!$C$1:$C$998),ROW(Create_TC_Web!$C$1:$C$998)),""),ROW(Create_TC_Web!I178))),"")</f>
        <v/>
      </c>
      <c r="I178" t="str" cm="1">
        <f t="array" ref="I178">IFERROR(INDEX(Create_TC_Web!L$1:L$998,SMALL(IF(Create_TC_Web!$C$1:$C$998&lt;&gt;"",MATCH(ROW(Create_TC_Web!$C$1:$C$998),ROW(Create_TC_Web!$C$1:$C$998)),""),ROW(Create_TC_Web!J178))),"")</f>
        <v/>
      </c>
      <c r="J178" t="str" cm="1">
        <f t="array" ref="J178">IFERROR(INDEX(Create_TC_Web!M$1:M$998,SMALL(IF(Create_TC_Web!$C$1:$C$998&lt;&gt;"",MATCH(ROW(Create_TC_Web!$C$1:$C$998),ROW(Create_TC_Web!$C$1:$C$998)),""),ROW(Create_TC_Web!K178))),"")</f>
        <v/>
      </c>
      <c r="K178" t="str" cm="1">
        <f t="array" ref="K178">IFERROR(INDEX(Create_TC_Web!N$1:N$998,SMALL(IF(Create_TC_Web!$C$1:$C$998&lt;&gt;"",MATCH(ROW(Create_TC_Web!$C$1:$C$998),ROW(Create_TC_Web!$C$1:$C$998)),""),ROW(Create_TC_Web!L178))),"")</f>
        <v/>
      </c>
      <c r="L178" t="str" cm="1">
        <f t="array" ref="L178">IFERROR(INDEX(Create_TC_Web!O$1:O$998,SMALL(IF(Create_TC_Web!$C$1:$C$998&lt;&gt;"",MATCH(ROW(Create_TC_Web!$C$1:$C$998),ROW(Create_TC_Web!$C$1:$C$998)),""),ROW(Create_TC_Web!M178))),"")</f>
        <v/>
      </c>
      <c r="M178" t="str" cm="1">
        <f t="array" ref="M178">IFERROR(INDEX(Create_TC_Web!P$1:P$998,SMALL(IF(Create_TC_Web!$C$1:$C$998&lt;&gt;"",MATCH(ROW(Create_TC_Web!$C$1:$C$998),ROW(Create_TC_Web!$C$1:$C$998)),""),ROW(Create_TC_Web!N178))),"")</f>
        <v/>
      </c>
      <c r="N178">
        <f>Create_TC_Web!CA187</f>
        <v>0</v>
      </c>
      <c r="O178" t="str">
        <f t="shared" si="11"/>
        <v/>
      </c>
      <c r="P178" s="17" t="str" cm="1">
        <f t="array" ref="P178">IFERROR(INDEX(Create_TC_Web!S$1:S$500,SMALL(IF(Create_TC_Web!$C$1:$C$500&lt;&gt;"",MATCH(ROW(Create_TC_Web!$C$1:$C$500),ROW(Create_TC_Web!$C$1:$C$500)),""),ROW(Create_TC_Web!Q156))),"")</f>
        <v/>
      </c>
      <c r="S178" t="str">
        <f t="shared" si="12"/>
        <v/>
      </c>
    </row>
    <row r="179" spans="1:19">
      <c r="A179" t="str" cm="1">
        <f t="array" ref="A179">IFERROR(INDEX(Create_TC_Web!D$1:D$998,SMALL(IF(Create_TC_Web!$C$1:$C$998&lt;&gt;"",MATCH(ROW(Create_TC_Web!$C$1:$C$998),ROW(Create_TC_Web!$C$1:$C$998)),""),ROW(Create_TC_Web!B179))),"")</f>
        <v/>
      </c>
      <c r="B179" t="str" cm="1">
        <f t="array" ref="B179">SUBSTITUTE(SUBSTITUTE(SUBSTITUTE(IFERROR(INDEX(Create_TC_Web!E$1:E$505,SMALL(IF(Create_TC_Web!$C$1:$C$505&lt;&gt;"",MATCH(ROW(Create_TC_Web!$C$1:$C$505),ROW(Create_TC_Web!$C$1:$C$505)),""),ROW(Create_TC_Web!C179))),"")," ",""),"-",""),"_","")</f>
        <v/>
      </c>
      <c r="C179" t="str" cm="1">
        <f t="array" ref="C179">IFERROR(INDEX(Create_TC_Web!F$1:F$998,SMALL(IF(Create_TC_Web!$C$1:$C$998&lt;&gt;"",MATCH(ROW(Create_TC_Web!$C$1:$C$998),ROW(Create_TC_Web!$C$1:$C$998)),""),ROW(Create_TC_Web!D179))),"")</f>
        <v/>
      </c>
      <c r="D179" t="str" cm="1">
        <f t="array" ref="D179">IFERROR(INDEX(Create_TC_Web!G$1:G$998,SMALL(IF(Create_TC_Web!$C$1:$C$998&lt;&gt;"",MATCH(ROW(Create_TC_Web!$C$1:$C$998),ROW(Create_TC_Web!$C$1:$C$998)),""),ROW(Create_TC_Web!E179))),"")</f>
        <v/>
      </c>
      <c r="E179" t="str" cm="1">
        <f t="array" ref="E179">IFERROR(INDEX(Create_TC_Web!H$1:H$998,SMALL(IF(Create_TC_Web!$C$1:$C$998&lt;&gt;"",MATCH(ROW(Create_TC_Web!$C$1:$C$998),ROW(Create_TC_Web!$C$1:$C$998)),""),ROW(Create_TC_Web!F179))),"")</f>
        <v/>
      </c>
      <c r="F179" t="str" cm="1">
        <f t="array" ref="F179">IFERROR(INDEX(Create_TC_Web!I$1:I$998,SMALL(IF(Create_TC_Web!$C$1:$C$998&lt;&gt;"",MATCH(ROW(Create_TC_Web!$C$1:$C$998),ROW(Create_TC_Web!$C$1:$C$998)),""),ROW(Create_TC_Web!G179))),"")</f>
        <v/>
      </c>
      <c r="G179" t="str" cm="1">
        <f t="array" ref="G179">IFERROR(INDEX(Create_TC_Web!J$1:J$998,SMALL(IF(Create_TC_Web!$C$1:$C$998&lt;&gt;"",MATCH(ROW(Create_TC_Web!$C$1:$C$998),ROW(Create_TC_Web!$C$1:$C$998)),""),ROW(Create_TC_Web!H179))),"")</f>
        <v/>
      </c>
      <c r="H179" t="str" cm="1">
        <f t="array" ref="H179">IFERROR(INDEX(Create_TC_Web!K$1:K$998,SMALL(IF(Create_TC_Web!$C$1:$C$998&lt;&gt;"",MATCH(ROW(Create_TC_Web!$C$1:$C$998),ROW(Create_TC_Web!$C$1:$C$998)),""),ROW(Create_TC_Web!I179))),"")</f>
        <v/>
      </c>
      <c r="I179" t="str" cm="1">
        <f t="array" ref="I179">IFERROR(INDEX(Create_TC_Web!L$1:L$998,SMALL(IF(Create_TC_Web!$C$1:$C$998&lt;&gt;"",MATCH(ROW(Create_TC_Web!$C$1:$C$998),ROW(Create_TC_Web!$C$1:$C$998)),""),ROW(Create_TC_Web!J179))),"")</f>
        <v/>
      </c>
      <c r="J179" t="str" cm="1">
        <f t="array" ref="J179">IFERROR(INDEX(Create_TC_Web!M$1:M$998,SMALL(IF(Create_TC_Web!$C$1:$C$998&lt;&gt;"",MATCH(ROW(Create_TC_Web!$C$1:$C$998),ROW(Create_TC_Web!$C$1:$C$998)),""),ROW(Create_TC_Web!K179))),"")</f>
        <v/>
      </c>
      <c r="K179" t="str" cm="1">
        <f t="array" ref="K179">IFERROR(INDEX(Create_TC_Web!N$1:N$998,SMALL(IF(Create_TC_Web!$C$1:$C$998&lt;&gt;"",MATCH(ROW(Create_TC_Web!$C$1:$C$998),ROW(Create_TC_Web!$C$1:$C$998)),""),ROW(Create_TC_Web!L179))),"")</f>
        <v/>
      </c>
      <c r="L179" t="str" cm="1">
        <f t="array" ref="L179">IFERROR(INDEX(Create_TC_Web!O$1:O$998,SMALL(IF(Create_TC_Web!$C$1:$C$998&lt;&gt;"",MATCH(ROW(Create_TC_Web!$C$1:$C$998),ROW(Create_TC_Web!$C$1:$C$998)),""),ROW(Create_TC_Web!M179))),"")</f>
        <v/>
      </c>
      <c r="M179" t="str" cm="1">
        <f t="array" ref="M179">IFERROR(INDEX(Create_TC_Web!P$1:P$998,SMALL(IF(Create_TC_Web!$C$1:$C$998&lt;&gt;"",MATCH(ROW(Create_TC_Web!$C$1:$C$998),ROW(Create_TC_Web!$C$1:$C$998)),""),ROW(Create_TC_Web!N179))),"")</f>
        <v/>
      </c>
      <c r="N179">
        <f>Create_TC_Web!CA188</f>
        <v>0</v>
      </c>
      <c r="O179" t="str">
        <f t="shared" si="11"/>
        <v/>
      </c>
      <c r="P179" s="17" t="str" cm="1">
        <f t="array" ref="P179">IFERROR(INDEX(Create_TC_Web!S$1:S$500,SMALL(IF(Create_TC_Web!$C$1:$C$500&lt;&gt;"",MATCH(ROW(Create_TC_Web!$C$1:$C$500),ROW(Create_TC_Web!$C$1:$C$500)),""),ROW(Create_TC_Web!Q157))),"")</f>
        <v/>
      </c>
      <c r="S179" t="str">
        <f t="shared" si="12"/>
        <v/>
      </c>
    </row>
    <row r="180" spans="1:19">
      <c r="A180" t="str" cm="1">
        <f t="array" ref="A180">IFERROR(INDEX(Create_TC_Web!D$1:D$998,SMALL(IF(Create_TC_Web!$C$1:$C$998&lt;&gt;"",MATCH(ROW(Create_TC_Web!$C$1:$C$998),ROW(Create_TC_Web!$C$1:$C$998)),""),ROW(Create_TC_Web!B180))),"")</f>
        <v/>
      </c>
      <c r="B180" t="str" cm="1">
        <f t="array" ref="B180">SUBSTITUTE(SUBSTITUTE(SUBSTITUTE(IFERROR(INDEX(Create_TC_Web!E$1:E$505,SMALL(IF(Create_TC_Web!$C$1:$C$505&lt;&gt;"",MATCH(ROW(Create_TC_Web!$C$1:$C$505),ROW(Create_TC_Web!$C$1:$C$505)),""),ROW(Create_TC_Web!C180))),"")," ",""),"-",""),"_","")</f>
        <v/>
      </c>
      <c r="C180" t="str" cm="1">
        <f t="array" ref="C180">IFERROR(INDEX(Create_TC_Web!F$1:F$998,SMALL(IF(Create_TC_Web!$C$1:$C$998&lt;&gt;"",MATCH(ROW(Create_TC_Web!$C$1:$C$998),ROW(Create_TC_Web!$C$1:$C$998)),""),ROW(Create_TC_Web!D180))),"")</f>
        <v/>
      </c>
      <c r="D180" t="str" cm="1">
        <f t="array" ref="D180">IFERROR(INDEX(Create_TC_Web!G$1:G$998,SMALL(IF(Create_TC_Web!$C$1:$C$998&lt;&gt;"",MATCH(ROW(Create_TC_Web!$C$1:$C$998),ROW(Create_TC_Web!$C$1:$C$998)),""),ROW(Create_TC_Web!E180))),"")</f>
        <v/>
      </c>
      <c r="E180" t="str" cm="1">
        <f t="array" ref="E180">IFERROR(INDEX(Create_TC_Web!H$1:H$998,SMALL(IF(Create_TC_Web!$C$1:$C$998&lt;&gt;"",MATCH(ROW(Create_TC_Web!$C$1:$C$998),ROW(Create_TC_Web!$C$1:$C$998)),""),ROW(Create_TC_Web!F180))),"")</f>
        <v/>
      </c>
      <c r="F180" t="str" cm="1">
        <f t="array" ref="F180">IFERROR(INDEX(Create_TC_Web!I$1:I$998,SMALL(IF(Create_TC_Web!$C$1:$C$998&lt;&gt;"",MATCH(ROW(Create_TC_Web!$C$1:$C$998),ROW(Create_TC_Web!$C$1:$C$998)),""),ROW(Create_TC_Web!G180))),"")</f>
        <v/>
      </c>
      <c r="G180" t="str" cm="1">
        <f t="array" ref="G180">IFERROR(INDEX(Create_TC_Web!J$1:J$998,SMALL(IF(Create_TC_Web!$C$1:$C$998&lt;&gt;"",MATCH(ROW(Create_TC_Web!$C$1:$C$998),ROW(Create_TC_Web!$C$1:$C$998)),""),ROW(Create_TC_Web!H180))),"")</f>
        <v/>
      </c>
      <c r="H180" t="str" cm="1">
        <f t="array" ref="H180">IFERROR(INDEX(Create_TC_Web!K$1:K$998,SMALL(IF(Create_TC_Web!$C$1:$C$998&lt;&gt;"",MATCH(ROW(Create_TC_Web!$C$1:$C$998),ROW(Create_TC_Web!$C$1:$C$998)),""),ROW(Create_TC_Web!I180))),"")</f>
        <v/>
      </c>
      <c r="I180" t="str" cm="1">
        <f t="array" ref="I180">IFERROR(INDEX(Create_TC_Web!L$1:L$998,SMALL(IF(Create_TC_Web!$C$1:$C$998&lt;&gt;"",MATCH(ROW(Create_TC_Web!$C$1:$C$998),ROW(Create_TC_Web!$C$1:$C$998)),""),ROW(Create_TC_Web!J180))),"")</f>
        <v/>
      </c>
      <c r="J180" t="str" cm="1">
        <f t="array" ref="J180">IFERROR(INDEX(Create_TC_Web!M$1:M$998,SMALL(IF(Create_TC_Web!$C$1:$C$998&lt;&gt;"",MATCH(ROW(Create_TC_Web!$C$1:$C$998),ROW(Create_TC_Web!$C$1:$C$998)),""),ROW(Create_TC_Web!K180))),"")</f>
        <v/>
      </c>
      <c r="K180" t="str" cm="1">
        <f t="array" ref="K180">IFERROR(INDEX(Create_TC_Web!N$1:N$998,SMALL(IF(Create_TC_Web!$C$1:$C$998&lt;&gt;"",MATCH(ROW(Create_TC_Web!$C$1:$C$998),ROW(Create_TC_Web!$C$1:$C$998)),""),ROW(Create_TC_Web!L180))),"")</f>
        <v/>
      </c>
      <c r="L180" t="str" cm="1">
        <f t="array" ref="L180">IFERROR(INDEX(Create_TC_Web!O$1:O$998,SMALL(IF(Create_TC_Web!$C$1:$C$998&lt;&gt;"",MATCH(ROW(Create_TC_Web!$C$1:$C$998),ROW(Create_TC_Web!$C$1:$C$998)),""),ROW(Create_TC_Web!M180))),"")</f>
        <v/>
      </c>
      <c r="M180" t="str" cm="1">
        <f t="array" ref="M180">IFERROR(INDEX(Create_TC_Web!P$1:P$998,SMALL(IF(Create_TC_Web!$C$1:$C$998&lt;&gt;"",MATCH(ROW(Create_TC_Web!$C$1:$C$998),ROW(Create_TC_Web!$C$1:$C$998)),""),ROW(Create_TC_Web!N180))),"")</f>
        <v/>
      </c>
      <c r="N180">
        <f>Create_TC_Web!CA189</f>
        <v>0</v>
      </c>
      <c r="O180" t="str">
        <f t="shared" si="11"/>
        <v/>
      </c>
      <c r="P180" s="17" t="str" cm="1">
        <f t="array" ref="P180">IFERROR(INDEX(Create_TC_Web!S$1:S$500,SMALL(IF(Create_TC_Web!$C$1:$C$500&lt;&gt;"",MATCH(ROW(Create_TC_Web!$C$1:$C$500),ROW(Create_TC_Web!$C$1:$C$500)),""),ROW(Create_TC_Web!Q158))),"")</f>
        <v/>
      </c>
      <c r="S180" t="str">
        <f t="shared" si="12"/>
        <v/>
      </c>
    </row>
    <row r="181" spans="1:19">
      <c r="A181" t="str" cm="1">
        <f t="array" ref="A181">IFERROR(INDEX(Create_TC_Web!D$1:D$998,SMALL(IF(Create_TC_Web!$C$1:$C$998&lt;&gt;"",MATCH(ROW(Create_TC_Web!$C$1:$C$998),ROW(Create_TC_Web!$C$1:$C$998)),""),ROW(Create_TC_Web!B181))),"")</f>
        <v/>
      </c>
      <c r="B181" t="str" cm="1">
        <f t="array" ref="B181">SUBSTITUTE(SUBSTITUTE(SUBSTITUTE(IFERROR(INDEX(Create_TC_Web!E$1:E$505,SMALL(IF(Create_TC_Web!$C$1:$C$505&lt;&gt;"",MATCH(ROW(Create_TC_Web!$C$1:$C$505),ROW(Create_TC_Web!$C$1:$C$505)),""),ROW(Create_TC_Web!C181))),"")," ",""),"-",""),"_","")</f>
        <v/>
      </c>
      <c r="C181" t="str" cm="1">
        <f t="array" ref="C181">IFERROR(INDEX(Create_TC_Web!F$1:F$998,SMALL(IF(Create_TC_Web!$C$1:$C$998&lt;&gt;"",MATCH(ROW(Create_TC_Web!$C$1:$C$998),ROW(Create_TC_Web!$C$1:$C$998)),""),ROW(Create_TC_Web!D181))),"")</f>
        <v/>
      </c>
      <c r="D181" t="str" cm="1">
        <f t="array" ref="D181">IFERROR(INDEX(Create_TC_Web!G$1:G$998,SMALL(IF(Create_TC_Web!$C$1:$C$998&lt;&gt;"",MATCH(ROW(Create_TC_Web!$C$1:$C$998),ROW(Create_TC_Web!$C$1:$C$998)),""),ROW(Create_TC_Web!E181))),"")</f>
        <v/>
      </c>
      <c r="E181" t="str" cm="1">
        <f t="array" ref="E181">IFERROR(INDEX(Create_TC_Web!H$1:H$998,SMALL(IF(Create_TC_Web!$C$1:$C$998&lt;&gt;"",MATCH(ROW(Create_TC_Web!$C$1:$C$998),ROW(Create_TC_Web!$C$1:$C$998)),""),ROW(Create_TC_Web!F181))),"")</f>
        <v/>
      </c>
      <c r="F181" t="str" cm="1">
        <f t="array" ref="F181">IFERROR(INDEX(Create_TC_Web!I$1:I$998,SMALL(IF(Create_TC_Web!$C$1:$C$998&lt;&gt;"",MATCH(ROW(Create_TC_Web!$C$1:$C$998),ROW(Create_TC_Web!$C$1:$C$998)),""),ROW(Create_TC_Web!G181))),"")</f>
        <v/>
      </c>
      <c r="G181" t="str" cm="1">
        <f t="array" ref="G181">IFERROR(INDEX(Create_TC_Web!J$1:J$998,SMALL(IF(Create_TC_Web!$C$1:$C$998&lt;&gt;"",MATCH(ROW(Create_TC_Web!$C$1:$C$998),ROW(Create_TC_Web!$C$1:$C$998)),""),ROW(Create_TC_Web!H181))),"")</f>
        <v/>
      </c>
      <c r="H181" t="str" cm="1">
        <f t="array" ref="H181">IFERROR(INDEX(Create_TC_Web!K$1:K$998,SMALL(IF(Create_TC_Web!$C$1:$C$998&lt;&gt;"",MATCH(ROW(Create_TC_Web!$C$1:$C$998),ROW(Create_TC_Web!$C$1:$C$998)),""),ROW(Create_TC_Web!I181))),"")</f>
        <v/>
      </c>
      <c r="I181" t="str" cm="1">
        <f t="array" ref="I181">IFERROR(INDEX(Create_TC_Web!L$1:L$998,SMALL(IF(Create_TC_Web!$C$1:$C$998&lt;&gt;"",MATCH(ROW(Create_TC_Web!$C$1:$C$998),ROW(Create_TC_Web!$C$1:$C$998)),""),ROW(Create_TC_Web!J181))),"")</f>
        <v/>
      </c>
      <c r="J181" t="str" cm="1">
        <f t="array" ref="J181">IFERROR(INDEX(Create_TC_Web!M$1:M$998,SMALL(IF(Create_TC_Web!$C$1:$C$998&lt;&gt;"",MATCH(ROW(Create_TC_Web!$C$1:$C$998),ROW(Create_TC_Web!$C$1:$C$998)),""),ROW(Create_TC_Web!K181))),"")</f>
        <v/>
      </c>
      <c r="K181" t="str" cm="1">
        <f t="array" ref="K181">IFERROR(INDEX(Create_TC_Web!N$1:N$998,SMALL(IF(Create_TC_Web!$C$1:$C$998&lt;&gt;"",MATCH(ROW(Create_TC_Web!$C$1:$C$998),ROW(Create_TC_Web!$C$1:$C$998)),""),ROW(Create_TC_Web!L181))),"")</f>
        <v/>
      </c>
      <c r="L181" t="str" cm="1">
        <f t="array" ref="L181">IFERROR(INDEX(Create_TC_Web!O$1:O$998,SMALL(IF(Create_TC_Web!$C$1:$C$998&lt;&gt;"",MATCH(ROW(Create_TC_Web!$C$1:$C$998),ROW(Create_TC_Web!$C$1:$C$998)),""),ROW(Create_TC_Web!M181))),"")</f>
        <v/>
      </c>
      <c r="M181" t="str" cm="1">
        <f t="array" ref="M181">IFERROR(INDEX(Create_TC_Web!P$1:P$998,SMALL(IF(Create_TC_Web!$C$1:$C$998&lt;&gt;"",MATCH(ROW(Create_TC_Web!$C$1:$C$998),ROW(Create_TC_Web!$C$1:$C$998)),""),ROW(Create_TC_Web!N181))),"")</f>
        <v/>
      </c>
      <c r="N181">
        <f>Create_TC_Web!CA190</f>
        <v>0</v>
      </c>
      <c r="O181" t="str">
        <f t="shared" si="11"/>
        <v/>
      </c>
      <c r="P181" s="17" t="str" cm="1">
        <f t="array" ref="P181">IFERROR(INDEX(Create_TC_Web!S$1:S$500,SMALL(IF(Create_TC_Web!$C$1:$C$500&lt;&gt;"",MATCH(ROW(Create_TC_Web!$C$1:$C$500),ROW(Create_TC_Web!$C$1:$C$500)),""),ROW(Create_TC_Web!Q159))),"")</f>
        <v/>
      </c>
      <c r="S181" t="str">
        <f t="shared" si="12"/>
        <v/>
      </c>
    </row>
    <row r="182" spans="1:19">
      <c r="A182" t="str" cm="1">
        <f t="array" ref="A182">IFERROR(INDEX(Create_TC_Web!D$1:D$998,SMALL(IF(Create_TC_Web!$C$1:$C$998&lt;&gt;"",MATCH(ROW(Create_TC_Web!$C$1:$C$998),ROW(Create_TC_Web!$C$1:$C$998)),""),ROW(Create_TC_Web!B182))),"")</f>
        <v/>
      </c>
      <c r="B182" t="str" cm="1">
        <f t="array" ref="B182">SUBSTITUTE(SUBSTITUTE(SUBSTITUTE(IFERROR(INDEX(Create_TC_Web!E$1:E$505,SMALL(IF(Create_TC_Web!$C$1:$C$505&lt;&gt;"",MATCH(ROW(Create_TC_Web!$C$1:$C$505),ROW(Create_TC_Web!$C$1:$C$505)),""),ROW(Create_TC_Web!C182))),"")," ",""),"-",""),"_","")</f>
        <v/>
      </c>
      <c r="C182" t="str" cm="1">
        <f t="array" ref="C182">IFERROR(INDEX(Create_TC_Web!F$1:F$998,SMALL(IF(Create_TC_Web!$C$1:$C$998&lt;&gt;"",MATCH(ROW(Create_TC_Web!$C$1:$C$998),ROW(Create_TC_Web!$C$1:$C$998)),""),ROW(Create_TC_Web!D182))),"")</f>
        <v/>
      </c>
      <c r="D182" t="str" cm="1">
        <f t="array" ref="D182">IFERROR(INDEX(Create_TC_Web!G$1:G$998,SMALL(IF(Create_TC_Web!$C$1:$C$998&lt;&gt;"",MATCH(ROW(Create_TC_Web!$C$1:$C$998),ROW(Create_TC_Web!$C$1:$C$998)),""),ROW(Create_TC_Web!E182))),"")</f>
        <v/>
      </c>
      <c r="E182" t="str" cm="1">
        <f t="array" ref="E182">IFERROR(INDEX(Create_TC_Web!H$1:H$998,SMALL(IF(Create_TC_Web!$C$1:$C$998&lt;&gt;"",MATCH(ROW(Create_TC_Web!$C$1:$C$998),ROW(Create_TC_Web!$C$1:$C$998)),""),ROW(Create_TC_Web!F182))),"")</f>
        <v/>
      </c>
      <c r="F182" t="str" cm="1">
        <f t="array" ref="F182">IFERROR(INDEX(Create_TC_Web!I$1:I$998,SMALL(IF(Create_TC_Web!$C$1:$C$998&lt;&gt;"",MATCH(ROW(Create_TC_Web!$C$1:$C$998),ROW(Create_TC_Web!$C$1:$C$998)),""),ROW(Create_TC_Web!G182))),"")</f>
        <v/>
      </c>
      <c r="G182" t="str" cm="1">
        <f t="array" ref="G182">IFERROR(INDEX(Create_TC_Web!J$1:J$998,SMALL(IF(Create_TC_Web!$C$1:$C$998&lt;&gt;"",MATCH(ROW(Create_TC_Web!$C$1:$C$998),ROW(Create_TC_Web!$C$1:$C$998)),""),ROW(Create_TC_Web!H182))),"")</f>
        <v/>
      </c>
      <c r="H182" t="str" cm="1">
        <f t="array" ref="H182">IFERROR(INDEX(Create_TC_Web!K$1:K$998,SMALL(IF(Create_TC_Web!$C$1:$C$998&lt;&gt;"",MATCH(ROW(Create_TC_Web!$C$1:$C$998),ROW(Create_TC_Web!$C$1:$C$998)),""),ROW(Create_TC_Web!I182))),"")</f>
        <v/>
      </c>
      <c r="I182" t="str" cm="1">
        <f t="array" ref="I182">IFERROR(INDEX(Create_TC_Web!L$1:L$998,SMALL(IF(Create_TC_Web!$C$1:$C$998&lt;&gt;"",MATCH(ROW(Create_TC_Web!$C$1:$C$998),ROW(Create_TC_Web!$C$1:$C$998)),""),ROW(Create_TC_Web!J182))),"")</f>
        <v/>
      </c>
      <c r="J182" t="str" cm="1">
        <f t="array" ref="J182">IFERROR(INDEX(Create_TC_Web!M$1:M$998,SMALL(IF(Create_TC_Web!$C$1:$C$998&lt;&gt;"",MATCH(ROW(Create_TC_Web!$C$1:$C$998),ROW(Create_TC_Web!$C$1:$C$998)),""),ROW(Create_TC_Web!K182))),"")</f>
        <v/>
      </c>
      <c r="K182" t="str" cm="1">
        <f t="array" ref="K182">IFERROR(INDEX(Create_TC_Web!N$1:N$998,SMALL(IF(Create_TC_Web!$C$1:$C$998&lt;&gt;"",MATCH(ROW(Create_TC_Web!$C$1:$C$998),ROW(Create_TC_Web!$C$1:$C$998)),""),ROW(Create_TC_Web!L182))),"")</f>
        <v/>
      </c>
      <c r="L182" t="str" cm="1">
        <f t="array" ref="L182">IFERROR(INDEX(Create_TC_Web!O$1:O$998,SMALL(IF(Create_TC_Web!$C$1:$C$998&lt;&gt;"",MATCH(ROW(Create_TC_Web!$C$1:$C$998),ROW(Create_TC_Web!$C$1:$C$998)),""),ROW(Create_TC_Web!M182))),"")</f>
        <v/>
      </c>
      <c r="M182" t="str" cm="1">
        <f t="array" ref="M182">IFERROR(INDEX(Create_TC_Web!P$1:P$998,SMALL(IF(Create_TC_Web!$C$1:$C$998&lt;&gt;"",MATCH(ROW(Create_TC_Web!$C$1:$C$998),ROW(Create_TC_Web!$C$1:$C$998)),""),ROW(Create_TC_Web!N182))),"")</f>
        <v/>
      </c>
      <c r="N182">
        <f>Create_TC_Web!CA191</f>
        <v>0</v>
      </c>
      <c r="O182" t="str">
        <f t="shared" si="11"/>
        <v/>
      </c>
      <c r="P182" s="17" t="str" cm="1">
        <f t="array" ref="P182">IFERROR(INDEX(Create_TC_Web!S$1:S$500,SMALL(IF(Create_TC_Web!$C$1:$C$500&lt;&gt;"",MATCH(ROW(Create_TC_Web!$C$1:$C$500),ROW(Create_TC_Web!$C$1:$C$500)),""),ROW(Create_TC_Web!Q160))),"")</f>
        <v/>
      </c>
      <c r="S182" t="str">
        <f t="shared" si="12"/>
        <v/>
      </c>
    </row>
    <row r="183" spans="1:19">
      <c r="A183" t="str" cm="1">
        <f t="array" ref="A183">IFERROR(INDEX(Create_TC_Web!D$1:D$998,SMALL(IF(Create_TC_Web!$C$1:$C$998&lt;&gt;"",MATCH(ROW(Create_TC_Web!$C$1:$C$998),ROW(Create_TC_Web!$C$1:$C$998)),""),ROW(Create_TC_Web!B183))),"")</f>
        <v/>
      </c>
      <c r="B183" t="str" cm="1">
        <f t="array" ref="B183">SUBSTITUTE(SUBSTITUTE(SUBSTITUTE(IFERROR(INDEX(Create_TC_Web!E$1:E$505,SMALL(IF(Create_TC_Web!$C$1:$C$505&lt;&gt;"",MATCH(ROW(Create_TC_Web!$C$1:$C$505),ROW(Create_TC_Web!$C$1:$C$505)),""),ROW(Create_TC_Web!C183))),"")," ",""),"-",""),"_","")</f>
        <v/>
      </c>
      <c r="C183" t="str" cm="1">
        <f t="array" ref="C183">IFERROR(INDEX(Create_TC_Web!F$1:F$998,SMALL(IF(Create_TC_Web!$C$1:$C$998&lt;&gt;"",MATCH(ROW(Create_TC_Web!$C$1:$C$998),ROW(Create_TC_Web!$C$1:$C$998)),""),ROW(Create_TC_Web!D183))),"")</f>
        <v/>
      </c>
      <c r="D183" t="str" cm="1">
        <f t="array" ref="D183">IFERROR(INDEX(Create_TC_Web!G$1:G$998,SMALL(IF(Create_TC_Web!$C$1:$C$998&lt;&gt;"",MATCH(ROW(Create_TC_Web!$C$1:$C$998),ROW(Create_TC_Web!$C$1:$C$998)),""),ROW(Create_TC_Web!E183))),"")</f>
        <v/>
      </c>
      <c r="E183" t="str" cm="1">
        <f t="array" ref="E183">IFERROR(INDEX(Create_TC_Web!H$1:H$998,SMALL(IF(Create_TC_Web!$C$1:$C$998&lt;&gt;"",MATCH(ROW(Create_TC_Web!$C$1:$C$998),ROW(Create_TC_Web!$C$1:$C$998)),""),ROW(Create_TC_Web!F183))),"")</f>
        <v/>
      </c>
      <c r="F183" t="str" cm="1">
        <f t="array" ref="F183">IFERROR(INDEX(Create_TC_Web!I$1:I$998,SMALL(IF(Create_TC_Web!$C$1:$C$998&lt;&gt;"",MATCH(ROW(Create_TC_Web!$C$1:$C$998),ROW(Create_TC_Web!$C$1:$C$998)),""),ROW(Create_TC_Web!G183))),"")</f>
        <v/>
      </c>
      <c r="G183" t="str" cm="1">
        <f t="array" ref="G183">IFERROR(INDEX(Create_TC_Web!J$1:J$998,SMALL(IF(Create_TC_Web!$C$1:$C$998&lt;&gt;"",MATCH(ROW(Create_TC_Web!$C$1:$C$998),ROW(Create_TC_Web!$C$1:$C$998)),""),ROW(Create_TC_Web!H183))),"")</f>
        <v/>
      </c>
      <c r="H183" t="str" cm="1">
        <f t="array" ref="H183">IFERROR(INDEX(Create_TC_Web!K$1:K$998,SMALL(IF(Create_TC_Web!$C$1:$C$998&lt;&gt;"",MATCH(ROW(Create_TC_Web!$C$1:$C$998),ROW(Create_TC_Web!$C$1:$C$998)),""),ROW(Create_TC_Web!I183))),"")</f>
        <v/>
      </c>
      <c r="I183" t="str" cm="1">
        <f t="array" ref="I183">IFERROR(INDEX(Create_TC_Web!L$1:L$998,SMALL(IF(Create_TC_Web!$C$1:$C$998&lt;&gt;"",MATCH(ROW(Create_TC_Web!$C$1:$C$998),ROW(Create_TC_Web!$C$1:$C$998)),""),ROW(Create_TC_Web!J183))),"")</f>
        <v/>
      </c>
      <c r="J183" t="str" cm="1">
        <f t="array" ref="J183">IFERROR(INDEX(Create_TC_Web!M$1:M$998,SMALL(IF(Create_TC_Web!$C$1:$C$998&lt;&gt;"",MATCH(ROW(Create_TC_Web!$C$1:$C$998),ROW(Create_TC_Web!$C$1:$C$998)),""),ROW(Create_TC_Web!K183))),"")</f>
        <v/>
      </c>
      <c r="K183" t="str" cm="1">
        <f t="array" ref="K183">IFERROR(INDEX(Create_TC_Web!N$1:N$998,SMALL(IF(Create_TC_Web!$C$1:$C$998&lt;&gt;"",MATCH(ROW(Create_TC_Web!$C$1:$C$998),ROW(Create_TC_Web!$C$1:$C$998)),""),ROW(Create_TC_Web!L183))),"")</f>
        <v/>
      </c>
      <c r="L183" t="str" cm="1">
        <f t="array" ref="L183">IFERROR(INDEX(Create_TC_Web!O$1:O$998,SMALL(IF(Create_TC_Web!$C$1:$C$998&lt;&gt;"",MATCH(ROW(Create_TC_Web!$C$1:$C$998),ROW(Create_TC_Web!$C$1:$C$998)),""),ROW(Create_TC_Web!M183))),"")</f>
        <v/>
      </c>
      <c r="M183" t="str" cm="1">
        <f t="array" ref="M183">IFERROR(INDEX(Create_TC_Web!P$1:P$998,SMALL(IF(Create_TC_Web!$C$1:$C$998&lt;&gt;"",MATCH(ROW(Create_TC_Web!$C$1:$C$998),ROW(Create_TC_Web!$C$1:$C$998)),""),ROW(Create_TC_Web!N183))),"")</f>
        <v/>
      </c>
      <c r="N183">
        <f>Create_TC_Web!CA192</f>
        <v>0</v>
      </c>
      <c r="O183" t="str">
        <f t="shared" si="11"/>
        <v/>
      </c>
      <c r="P183" s="17" t="str" cm="1">
        <f t="array" ref="P183">IFERROR(INDEX(Create_TC_Web!S$1:S$500,SMALL(IF(Create_TC_Web!$C$1:$C$500&lt;&gt;"",MATCH(ROW(Create_TC_Web!$C$1:$C$500),ROW(Create_TC_Web!$C$1:$C$500)),""),ROW(Create_TC_Web!Q161))),"")</f>
        <v/>
      </c>
      <c r="S183" t="str">
        <f t="shared" si="12"/>
        <v/>
      </c>
    </row>
    <row r="184" spans="1:19">
      <c r="A184" t="str" cm="1">
        <f t="array" ref="A184">IFERROR(INDEX(Create_TC_Web!D$1:D$998,SMALL(IF(Create_TC_Web!$C$1:$C$998&lt;&gt;"",MATCH(ROW(Create_TC_Web!$C$1:$C$998),ROW(Create_TC_Web!$C$1:$C$998)),""),ROW(Create_TC_Web!B184))),"")</f>
        <v/>
      </c>
      <c r="B184" t="str" cm="1">
        <f t="array" ref="B184">SUBSTITUTE(SUBSTITUTE(SUBSTITUTE(IFERROR(INDEX(Create_TC_Web!E$1:E$505,SMALL(IF(Create_TC_Web!$C$1:$C$505&lt;&gt;"",MATCH(ROW(Create_TC_Web!$C$1:$C$505),ROW(Create_TC_Web!$C$1:$C$505)),""),ROW(Create_TC_Web!C184))),"")," ",""),"-",""),"_","")</f>
        <v/>
      </c>
      <c r="C184" t="str" cm="1">
        <f t="array" ref="C184">IFERROR(INDEX(Create_TC_Web!F$1:F$998,SMALL(IF(Create_TC_Web!$C$1:$C$998&lt;&gt;"",MATCH(ROW(Create_TC_Web!$C$1:$C$998),ROW(Create_TC_Web!$C$1:$C$998)),""),ROW(Create_TC_Web!D184))),"")</f>
        <v/>
      </c>
      <c r="D184" t="str" cm="1">
        <f t="array" ref="D184">IFERROR(INDEX(Create_TC_Web!G$1:G$998,SMALL(IF(Create_TC_Web!$C$1:$C$998&lt;&gt;"",MATCH(ROW(Create_TC_Web!$C$1:$C$998),ROW(Create_TC_Web!$C$1:$C$998)),""),ROW(Create_TC_Web!E184))),"")</f>
        <v/>
      </c>
      <c r="E184" t="str" cm="1">
        <f t="array" ref="E184">IFERROR(INDEX(Create_TC_Web!H$1:H$998,SMALL(IF(Create_TC_Web!$C$1:$C$998&lt;&gt;"",MATCH(ROW(Create_TC_Web!$C$1:$C$998),ROW(Create_TC_Web!$C$1:$C$998)),""),ROW(Create_TC_Web!F184))),"")</f>
        <v/>
      </c>
      <c r="F184" t="str" cm="1">
        <f t="array" ref="F184">IFERROR(INDEX(Create_TC_Web!I$1:I$998,SMALL(IF(Create_TC_Web!$C$1:$C$998&lt;&gt;"",MATCH(ROW(Create_TC_Web!$C$1:$C$998),ROW(Create_TC_Web!$C$1:$C$998)),""),ROW(Create_TC_Web!G184))),"")</f>
        <v/>
      </c>
      <c r="G184" t="str" cm="1">
        <f t="array" ref="G184">IFERROR(INDEX(Create_TC_Web!J$1:J$998,SMALL(IF(Create_TC_Web!$C$1:$C$998&lt;&gt;"",MATCH(ROW(Create_TC_Web!$C$1:$C$998),ROW(Create_TC_Web!$C$1:$C$998)),""),ROW(Create_TC_Web!H184))),"")</f>
        <v/>
      </c>
      <c r="H184" t="str" cm="1">
        <f t="array" ref="H184">IFERROR(INDEX(Create_TC_Web!K$1:K$998,SMALL(IF(Create_TC_Web!$C$1:$C$998&lt;&gt;"",MATCH(ROW(Create_TC_Web!$C$1:$C$998),ROW(Create_TC_Web!$C$1:$C$998)),""),ROW(Create_TC_Web!I184))),"")</f>
        <v/>
      </c>
      <c r="I184" t="str" cm="1">
        <f t="array" ref="I184">IFERROR(INDEX(Create_TC_Web!L$1:L$998,SMALL(IF(Create_TC_Web!$C$1:$C$998&lt;&gt;"",MATCH(ROW(Create_TC_Web!$C$1:$C$998),ROW(Create_TC_Web!$C$1:$C$998)),""),ROW(Create_TC_Web!J184))),"")</f>
        <v/>
      </c>
      <c r="J184" t="str" cm="1">
        <f t="array" ref="J184">IFERROR(INDEX(Create_TC_Web!M$1:M$998,SMALL(IF(Create_TC_Web!$C$1:$C$998&lt;&gt;"",MATCH(ROW(Create_TC_Web!$C$1:$C$998),ROW(Create_TC_Web!$C$1:$C$998)),""),ROW(Create_TC_Web!K184))),"")</f>
        <v/>
      </c>
      <c r="K184" t="str" cm="1">
        <f t="array" ref="K184">IFERROR(INDEX(Create_TC_Web!N$1:N$998,SMALL(IF(Create_TC_Web!$C$1:$C$998&lt;&gt;"",MATCH(ROW(Create_TC_Web!$C$1:$C$998),ROW(Create_TC_Web!$C$1:$C$998)),""),ROW(Create_TC_Web!L184))),"")</f>
        <v/>
      </c>
      <c r="L184" t="str" cm="1">
        <f t="array" ref="L184">IFERROR(INDEX(Create_TC_Web!O$1:O$998,SMALL(IF(Create_TC_Web!$C$1:$C$998&lt;&gt;"",MATCH(ROW(Create_TC_Web!$C$1:$C$998),ROW(Create_TC_Web!$C$1:$C$998)),""),ROW(Create_TC_Web!M184))),"")</f>
        <v/>
      </c>
      <c r="M184" t="str" cm="1">
        <f t="array" ref="M184">IFERROR(INDEX(Create_TC_Web!P$1:P$998,SMALL(IF(Create_TC_Web!$C$1:$C$998&lt;&gt;"",MATCH(ROW(Create_TC_Web!$C$1:$C$998),ROW(Create_TC_Web!$C$1:$C$998)),""),ROW(Create_TC_Web!N184))),"")</f>
        <v/>
      </c>
      <c r="N184">
        <f>Create_TC_Web!CA193</f>
        <v>0</v>
      </c>
      <c r="O184" t="str">
        <f t="shared" si="11"/>
        <v/>
      </c>
      <c r="P184" s="17" t="str" cm="1">
        <f t="array" ref="P184">IFERROR(INDEX(Create_TC_Web!S$1:S$500,SMALL(IF(Create_TC_Web!$C$1:$C$500&lt;&gt;"",MATCH(ROW(Create_TC_Web!$C$1:$C$500),ROW(Create_TC_Web!$C$1:$C$500)),""),ROW(Create_TC_Web!Q162))),"")</f>
        <v/>
      </c>
      <c r="S184" t="str">
        <f t="shared" si="12"/>
        <v/>
      </c>
    </row>
    <row r="185" spans="1:19">
      <c r="A185" t="str" cm="1">
        <f t="array" ref="A185">IFERROR(INDEX(Create_TC_Web!D$1:D$998,SMALL(IF(Create_TC_Web!$C$1:$C$998&lt;&gt;"",MATCH(ROW(Create_TC_Web!$C$1:$C$998),ROW(Create_TC_Web!$C$1:$C$998)),""),ROW(Create_TC_Web!B185))),"")</f>
        <v/>
      </c>
      <c r="B185" t="str" cm="1">
        <f t="array" ref="B185">SUBSTITUTE(SUBSTITUTE(SUBSTITUTE(IFERROR(INDEX(Create_TC_Web!E$1:E$505,SMALL(IF(Create_TC_Web!$C$1:$C$505&lt;&gt;"",MATCH(ROW(Create_TC_Web!$C$1:$C$505),ROW(Create_TC_Web!$C$1:$C$505)),""),ROW(Create_TC_Web!C185))),"")," ",""),"-",""),"_","")</f>
        <v/>
      </c>
      <c r="C185" t="str" cm="1">
        <f t="array" ref="C185">IFERROR(INDEX(Create_TC_Web!F$1:F$998,SMALL(IF(Create_TC_Web!$C$1:$C$998&lt;&gt;"",MATCH(ROW(Create_TC_Web!$C$1:$C$998),ROW(Create_TC_Web!$C$1:$C$998)),""),ROW(Create_TC_Web!D185))),"")</f>
        <v/>
      </c>
      <c r="D185" t="str" cm="1">
        <f t="array" ref="D185">IFERROR(INDEX(Create_TC_Web!G$1:G$998,SMALL(IF(Create_TC_Web!$C$1:$C$998&lt;&gt;"",MATCH(ROW(Create_TC_Web!$C$1:$C$998),ROW(Create_TC_Web!$C$1:$C$998)),""),ROW(Create_TC_Web!E185))),"")</f>
        <v/>
      </c>
      <c r="E185" t="str" cm="1">
        <f t="array" ref="E185">IFERROR(INDEX(Create_TC_Web!H$1:H$998,SMALL(IF(Create_TC_Web!$C$1:$C$998&lt;&gt;"",MATCH(ROW(Create_TC_Web!$C$1:$C$998),ROW(Create_TC_Web!$C$1:$C$998)),""),ROW(Create_TC_Web!F185))),"")</f>
        <v/>
      </c>
      <c r="F185" t="str" cm="1">
        <f t="array" ref="F185">IFERROR(INDEX(Create_TC_Web!I$1:I$998,SMALL(IF(Create_TC_Web!$C$1:$C$998&lt;&gt;"",MATCH(ROW(Create_TC_Web!$C$1:$C$998),ROW(Create_TC_Web!$C$1:$C$998)),""),ROW(Create_TC_Web!G185))),"")</f>
        <v/>
      </c>
      <c r="G185" t="str" cm="1">
        <f t="array" ref="G185">IFERROR(INDEX(Create_TC_Web!J$1:J$998,SMALL(IF(Create_TC_Web!$C$1:$C$998&lt;&gt;"",MATCH(ROW(Create_TC_Web!$C$1:$C$998),ROW(Create_TC_Web!$C$1:$C$998)),""),ROW(Create_TC_Web!H185))),"")</f>
        <v/>
      </c>
      <c r="H185" t="str" cm="1">
        <f t="array" ref="H185">IFERROR(INDEX(Create_TC_Web!K$1:K$998,SMALL(IF(Create_TC_Web!$C$1:$C$998&lt;&gt;"",MATCH(ROW(Create_TC_Web!$C$1:$C$998),ROW(Create_TC_Web!$C$1:$C$998)),""),ROW(Create_TC_Web!I185))),"")</f>
        <v/>
      </c>
      <c r="I185" t="str" cm="1">
        <f t="array" ref="I185">IFERROR(INDEX(Create_TC_Web!L$1:L$998,SMALL(IF(Create_TC_Web!$C$1:$C$998&lt;&gt;"",MATCH(ROW(Create_TC_Web!$C$1:$C$998),ROW(Create_TC_Web!$C$1:$C$998)),""),ROW(Create_TC_Web!J185))),"")</f>
        <v/>
      </c>
      <c r="J185" t="str" cm="1">
        <f t="array" ref="J185">IFERROR(INDEX(Create_TC_Web!M$1:M$998,SMALL(IF(Create_TC_Web!$C$1:$C$998&lt;&gt;"",MATCH(ROW(Create_TC_Web!$C$1:$C$998),ROW(Create_TC_Web!$C$1:$C$998)),""),ROW(Create_TC_Web!K185))),"")</f>
        <v/>
      </c>
      <c r="K185" t="str" cm="1">
        <f t="array" ref="K185">IFERROR(INDEX(Create_TC_Web!N$1:N$998,SMALL(IF(Create_TC_Web!$C$1:$C$998&lt;&gt;"",MATCH(ROW(Create_TC_Web!$C$1:$C$998),ROW(Create_TC_Web!$C$1:$C$998)),""),ROW(Create_TC_Web!L185))),"")</f>
        <v/>
      </c>
      <c r="L185" t="str" cm="1">
        <f t="array" ref="L185">IFERROR(INDEX(Create_TC_Web!O$1:O$998,SMALL(IF(Create_TC_Web!$C$1:$C$998&lt;&gt;"",MATCH(ROW(Create_TC_Web!$C$1:$C$998),ROW(Create_TC_Web!$C$1:$C$998)),""),ROW(Create_TC_Web!M185))),"")</f>
        <v/>
      </c>
      <c r="M185" t="str" cm="1">
        <f t="array" ref="M185">IFERROR(INDEX(Create_TC_Web!P$1:P$998,SMALL(IF(Create_TC_Web!$C$1:$C$998&lt;&gt;"",MATCH(ROW(Create_TC_Web!$C$1:$C$998),ROW(Create_TC_Web!$C$1:$C$998)),""),ROW(Create_TC_Web!N185))),"")</f>
        <v/>
      </c>
      <c r="N185">
        <f>Create_TC_Web!CA194</f>
        <v>0</v>
      </c>
      <c r="O185" t="str">
        <f t="shared" si="11"/>
        <v/>
      </c>
      <c r="P185" s="17" t="str" cm="1">
        <f t="array" ref="P185">IFERROR(INDEX(Create_TC_Web!S$1:S$500,SMALL(IF(Create_TC_Web!$C$1:$C$500&lt;&gt;"",MATCH(ROW(Create_TC_Web!$C$1:$C$500),ROW(Create_TC_Web!$C$1:$C$500)),""),ROW(Create_TC_Web!Q163))),"")</f>
        <v/>
      </c>
      <c r="S185" t="str">
        <f t="shared" si="12"/>
        <v/>
      </c>
    </row>
    <row r="186" spans="1:19">
      <c r="A186" t="str" cm="1">
        <f t="array" ref="A186">IFERROR(INDEX(Create_TC_Web!D$1:D$998,SMALL(IF(Create_TC_Web!$C$1:$C$998&lt;&gt;"",MATCH(ROW(Create_TC_Web!$C$1:$C$998),ROW(Create_TC_Web!$C$1:$C$998)),""),ROW(Create_TC_Web!B186))),"")</f>
        <v/>
      </c>
      <c r="B186" t="str" cm="1">
        <f t="array" ref="B186">SUBSTITUTE(SUBSTITUTE(SUBSTITUTE(IFERROR(INDEX(Create_TC_Web!E$1:E$505,SMALL(IF(Create_TC_Web!$C$1:$C$505&lt;&gt;"",MATCH(ROW(Create_TC_Web!$C$1:$C$505),ROW(Create_TC_Web!$C$1:$C$505)),""),ROW(Create_TC_Web!C186))),"")," ",""),"-",""),"_","")</f>
        <v/>
      </c>
      <c r="C186" t="str" cm="1">
        <f t="array" ref="C186">IFERROR(INDEX(Create_TC_Web!F$1:F$998,SMALL(IF(Create_TC_Web!$C$1:$C$998&lt;&gt;"",MATCH(ROW(Create_TC_Web!$C$1:$C$998),ROW(Create_TC_Web!$C$1:$C$998)),""),ROW(Create_TC_Web!D186))),"")</f>
        <v/>
      </c>
      <c r="D186" t="str" cm="1">
        <f t="array" ref="D186">IFERROR(INDEX(Create_TC_Web!G$1:G$998,SMALL(IF(Create_TC_Web!$C$1:$C$998&lt;&gt;"",MATCH(ROW(Create_TC_Web!$C$1:$C$998),ROW(Create_TC_Web!$C$1:$C$998)),""),ROW(Create_TC_Web!E186))),"")</f>
        <v/>
      </c>
      <c r="E186" t="str" cm="1">
        <f t="array" ref="E186">IFERROR(INDEX(Create_TC_Web!H$1:H$998,SMALL(IF(Create_TC_Web!$C$1:$C$998&lt;&gt;"",MATCH(ROW(Create_TC_Web!$C$1:$C$998),ROW(Create_TC_Web!$C$1:$C$998)),""),ROW(Create_TC_Web!F186))),"")</f>
        <v/>
      </c>
      <c r="F186" t="str" cm="1">
        <f t="array" ref="F186">IFERROR(INDEX(Create_TC_Web!I$1:I$998,SMALL(IF(Create_TC_Web!$C$1:$C$998&lt;&gt;"",MATCH(ROW(Create_TC_Web!$C$1:$C$998),ROW(Create_TC_Web!$C$1:$C$998)),""),ROW(Create_TC_Web!G186))),"")</f>
        <v/>
      </c>
      <c r="G186" t="str" cm="1">
        <f t="array" ref="G186">IFERROR(INDEX(Create_TC_Web!J$1:J$998,SMALL(IF(Create_TC_Web!$C$1:$C$998&lt;&gt;"",MATCH(ROW(Create_TC_Web!$C$1:$C$998),ROW(Create_TC_Web!$C$1:$C$998)),""),ROW(Create_TC_Web!H186))),"")</f>
        <v/>
      </c>
      <c r="H186" t="str" cm="1">
        <f t="array" ref="H186">IFERROR(INDEX(Create_TC_Web!K$1:K$998,SMALL(IF(Create_TC_Web!$C$1:$C$998&lt;&gt;"",MATCH(ROW(Create_TC_Web!$C$1:$C$998),ROW(Create_TC_Web!$C$1:$C$998)),""),ROW(Create_TC_Web!I186))),"")</f>
        <v/>
      </c>
      <c r="I186" t="str" cm="1">
        <f t="array" ref="I186">IFERROR(INDEX(Create_TC_Web!L$1:L$998,SMALL(IF(Create_TC_Web!$C$1:$C$998&lt;&gt;"",MATCH(ROW(Create_TC_Web!$C$1:$C$998),ROW(Create_TC_Web!$C$1:$C$998)),""),ROW(Create_TC_Web!J186))),"")</f>
        <v/>
      </c>
      <c r="J186" t="str" cm="1">
        <f t="array" ref="J186">IFERROR(INDEX(Create_TC_Web!M$1:M$998,SMALL(IF(Create_TC_Web!$C$1:$C$998&lt;&gt;"",MATCH(ROW(Create_TC_Web!$C$1:$C$998),ROW(Create_TC_Web!$C$1:$C$998)),""),ROW(Create_TC_Web!K186))),"")</f>
        <v/>
      </c>
      <c r="K186" t="str" cm="1">
        <f t="array" ref="K186">IFERROR(INDEX(Create_TC_Web!N$1:N$998,SMALL(IF(Create_TC_Web!$C$1:$C$998&lt;&gt;"",MATCH(ROW(Create_TC_Web!$C$1:$C$998),ROW(Create_TC_Web!$C$1:$C$998)),""),ROW(Create_TC_Web!L186))),"")</f>
        <v/>
      </c>
      <c r="L186" t="str" cm="1">
        <f t="array" ref="L186">IFERROR(INDEX(Create_TC_Web!O$1:O$998,SMALL(IF(Create_TC_Web!$C$1:$C$998&lt;&gt;"",MATCH(ROW(Create_TC_Web!$C$1:$C$998),ROW(Create_TC_Web!$C$1:$C$998)),""),ROW(Create_TC_Web!M186))),"")</f>
        <v/>
      </c>
      <c r="M186" t="str" cm="1">
        <f t="array" ref="M186">IFERROR(INDEX(Create_TC_Web!P$1:P$998,SMALL(IF(Create_TC_Web!$C$1:$C$998&lt;&gt;"",MATCH(ROW(Create_TC_Web!$C$1:$C$998),ROW(Create_TC_Web!$C$1:$C$998)),""),ROW(Create_TC_Web!N186))),"")</f>
        <v/>
      </c>
      <c r="N186">
        <f>Create_TC_Web!CA195</f>
        <v>0</v>
      </c>
      <c r="O186" t="str">
        <f t="shared" si="11"/>
        <v/>
      </c>
      <c r="P186" s="17" t="str" cm="1">
        <f t="array" ref="P186">IFERROR(INDEX(Create_TC_Web!S$1:S$500,SMALL(IF(Create_TC_Web!$C$1:$C$500&lt;&gt;"",MATCH(ROW(Create_TC_Web!$C$1:$C$500),ROW(Create_TC_Web!$C$1:$C$500)),""),ROW(Create_TC_Web!Q164))),"")</f>
        <v/>
      </c>
      <c r="S186" t="str">
        <f t="shared" si="12"/>
        <v/>
      </c>
    </row>
    <row r="187" spans="1:19">
      <c r="A187" t="str" cm="1">
        <f t="array" ref="A187">IFERROR(INDEX(Create_TC_Web!D$1:D$998,SMALL(IF(Create_TC_Web!$C$1:$C$998&lt;&gt;"",MATCH(ROW(Create_TC_Web!$C$1:$C$998),ROW(Create_TC_Web!$C$1:$C$998)),""),ROW(Create_TC_Web!B187))),"")</f>
        <v/>
      </c>
      <c r="B187" t="str" cm="1">
        <f t="array" ref="B187">SUBSTITUTE(SUBSTITUTE(SUBSTITUTE(IFERROR(INDEX(Create_TC_Web!E$1:E$505,SMALL(IF(Create_TC_Web!$C$1:$C$505&lt;&gt;"",MATCH(ROW(Create_TC_Web!$C$1:$C$505),ROW(Create_TC_Web!$C$1:$C$505)),""),ROW(Create_TC_Web!C187))),"")," ",""),"-",""),"_","")</f>
        <v/>
      </c>
      <c r="C187" t="str" cm="1">
        <f t="array" ref="C187">IFERROR(INDEX(Create_TC_Web!F$1:F$998,SMALL(IF(Create_TC_Web!$C$1:$C$998&lt;&gt;"",MATCH(ROW(Create_TC_Web!$C$1:$C$998),ROW(Create_TC_Web!$C$1:$C$998)),""),ROW(Create_TC_Web!D187))),"")</f>
        <v/>
      </c>
      <c r="D187" t="str" cm="1">
        <f t="array" ref="D187">IFERROR(INDEX(Create_TC_Web!G$1:G$998,SMALL(IF(Create_TC_Web!$C$1:$C$998&lt;&gt;"",MATCH(ROW(Create_TC_Web!$C$1:$C$998),ROW(Create_TC_Web!$C$1:$C$998)),""),ROW(Create_TC_Web!E187))),"")</f>
        <v/>
      </c>
      <c r="E187" t="str" cm="1">
        <f t="array" ref="E187">IFERROR(INDEX(Create_TC_Web!H$1:H$998,SMALL(IF(Create_TC_Web!$C$1:$C$998&lt;&gt;"",MATCH(ROW(Create_TC_Web!$C$1:$C$998),ROW(Create_TC_Web!$C$1:$C$998)),""),ROW(Create_TC_Web!F187))),"")</f>
        <v/>
      </c>
      <c r="F187" t="str" cm="1">
        <f t="array" ref="F187">IFERROR(INDEX(Create_TC_Web!I$1:I$998,SMALL(IF(Create_TC_Web!$C$1:$C$998&lt;&gt;"",MATCH(ROW(Create_TC_Web!$C$1:$C$998),ROW(Create_TC_Web!$C$1:$C$998)),""),ROW(Create_TC_Web!G187))),"")</f>
        <v/>
      </c>
      <c r="G187" t="str" cm="1">
        <f t="array" ref="G187">IFERROR(INDEX(Create_TC_Web!J$1:J$998,SMALL(IF(Create_TC_Web!$C$1:$C$998&lt;&gt;"",MATCH(ROW(Create_TC_Web!$C$1:$C$998),ROW(Create_TC_Web!$C$1:$C$998)),""),ROW(Create_TC_Web!H187))),"")</f>
        <v/>
      </c>
      <c r="H187" t="str" cm="1">
        <f t="array" ref="H187">IFERROR(INDEX(Create_TC_Web!K$1:K$998,SMALL(IF(Create_TC_Web!$C$1:$C$998&lt;&gt;"",MATCH(ROW(Create_TC_Web!$C$1:$C$998),ROW(Create_TC_Web!$C$1:$C$998)),""),ROW(Create_TC_Web!I187))),"")</f>
        <v/>
      </c>
      <c r="I187" t="str" cm="1">
        <f t="array" ref="I187">IFERROR(INDEX(Create_TC_Web!L$1:L$998,SMALL(IF(Create_TC_Web!$C$1:$C$998&lt;&gt;"",MATCH(ROW(Create_TC_Web!$C$1:$C$998),ROW(Create_TC_Web!$C$1:$C$998)),""),ROW(Create_TC_Web!J187))),"")</f>
        <v/>
      </c>
      <c r="J187" t="str" cm="1">
        <f t="array" ref="J187">IFERROR(INDEX(Create_TC_Web!M$1:M$998,SMALL(IF(Create_TC_Web!$C$1:$C$998&lt;&gt;"",MATCH(ROW(Create_TC_Web!$C$1:$C$998),ROW(Create_TC_Web!$C$1:$C$998)),""),ROW(Create_TC_Web!K187))),"")</f>
        <v/>
      </c>
      <c r="K187" t="str" cm="1">
        <f t="array" ref="K187">IFERROR(INDEX(Create_TC_Web!N$1:N$998,SMALL(IF(Create_TC_Web!$C$1:$C$998&lt;&gt;"",MATCH(ROW(Create_TC_Web!$C$1:$C$998),ROW(Create_TC_Web!$C$1:$C$998)),""),ROW(Create_TC_Web!L187))),"")</f>
        <v/>
      </c>
      <c r="L187" t="str" cm="1">
        <f t="array" ref="L187">IFERROR(INDEX(Create_TC_Web!O$1:O$998,SMALL(IF(Create_TC_Web!$C$1:$C$998&lt;&gt;"",MATCH(ROW(Create_TC_Web!$C$1:$C$998),ROW(Create_TC_Web!$C$1:$C$998)),""),ROW(Create_TC_Web!M187))),"")</f>
        <v/>
      </c>
      <c r="M187" t="str" cm="1">
        <f t="array" ref="M187">IFERROR(INDEX(Create_TC_Web!P$1:P$998,SMALL(IF(Create_TC_Web!$C$1:$C$998&lt;&gt;"",MATCH(ROW(Create_TC_Web!$C$1:$C$998),ROW(Create_TC_Web!$C$1:$C$998)),""),ROW(Create_TC_Web!N187))),"")</f>
        <v/>
      </c>
      <c r="N187">
        <f>Create_TC_Web!CA196</f>
        <v>0</v>
      </c>
      <c r="O187" t="str">
        <f t="shared" si="11"/>
        <v/>
      </c>
      <c r="P187" s="17" t="str" cm="1">
        <f t="array" ref="P187">IFERROR(INDEX(Create_TC_Web!S$1:S$500,SMALL(IF(Create_TC_Web!$C$1:$C$500&lt;&gt;"",MATCH(ROW(Create_TC_Web!$C$1:$C$500),ROW(Create_TC_Web!$C$1:$C$500)),""),ROW(Create_TC_Web!Q165))),"")</f>
        <v/>
      </c>
      <c r="S187" t="str">
        <f t="shared" si="12"/>
        <v/>
      </c>
    </row>
    <row r="188" spans="1:19">
      <c r="A188" t="str" cm="1">
        <f t="array" ref="A188">IFERROR(INDEX(Create_TC_Web!D$1:D$998,SMALL(IF(Create_TC_Web!$C$1:$C$998&lt;&gt;"",MATCH(ROW(Create_TC_Web!$C$1:$C$998),ROW(Create_TC_Web!$C$1:$C$998)),""),ROW(Create_TC_Web!B188))),"")</f>
        <v/>
      </c>
      <c r="B188" t="str" cm="1">
        <f t="array" ref="B188">SUBSTITUTE(SUBSTITUTE(SUBSTITUTE(IFERROR(INDEX(Create_TC_Web!E$1:E$505,SMALL(IF(Create_TC_Web!$C$1:$C$505&lt;&gt;"",MATCH(ROW(Create_TC_Web!$C$1:$C$505),ROW(Create_TC_Web!$C$1:$C$505)),""),ROW(Create_TC_Web!C188))),"")," ",""),"-",""),"_","")</f>
        <v/>
      </c>
      <c r="C188" t="str" cm="1">
        <f t="array" ref="C188">IFERROR(INDEX(Create_TC_Web!F$1:F$998,SMALL(IF(Create_TC_Web!$C$1:$C$998&lt;&gt;"",MATCH(ROW(Create_TC_Web!$C$1:$C$998),ROW(Create_TC_Web!$C$1:$C$998)),""),ROW(Create_TC_Web!D188))),"")</f>
        <v/>
      </c>
      <c r="D188" t="str" cm="1">
        <f t="array" ref="D188">IFERROR(INDEX(Create_TC_Web!G$1:G$998,SMALL(IF(Create_TC_Web!$C$1:$C$998&lt;&gt;"",MATCH(ROW(Create_TC_Web!$C$1:$C$998),ROW(Create_TC_Web!$C$1:$C$998)),""),ROW(Create_TC_Web!E188))),"")</f>
        <v/>
      </c>
      <c r="E188" t="str" cm="1">
        <f t="array" ref="E188">IFERROR(INDEX(Create_TC_Web!H$1:H$998,SMALL(IF(Create_TC_Web!$C$1:$C$998&lt;&gt;"",MATCH(ROW(Create_TC_Web!$C$1:$C$998),ROW(Create_TC_Web!$C$1:$C$998)),""),ROW(Create_TC_Web!F188))),"")</f>
        <v/>
      </c>
      <c r="F188" t="str" cm="1">
        <f t="array" ref="F188">IFERROR(INDEX(Create_TC_Web!I$1:I$998,SMALL(IF(Create_TC_Web!$C$1:$C$998&lt;&gt;"",MATCH(ROW(Create_TC_Web!$C$1:$C$998),ROW(Create_TC_Web!$C$1:$C$998)),""),ROW(Create_TC_Web!G188))),"")</f>
        <v/>
      </c>
      <c r="G188" t="str" cm="1">
        <f t="array" ref="G188">IFERROR(INDEX(Create_TC_Web!J$1:J$998,SMALL(IF(Create_TC_Web!$C$1:$C$998&lt;&gt;"",MATCH(ROW(Create_TC_Web!$C$1:$C$998),ROW(Create_TC_Web!$C$1:$C$998)),""),ROW(Create_TC_Web!H188))),"")</f>
        <v/>
      </c>
      <c r="H188" t="str" cm="1">
        <f t="array" ref="H188">IFERROR(INDEX(Create_TC_Web!K$1:K$998,SMALL(IF(Create_TC_Web!$C$1:$C$998&lt;&gt;"",MATCH(ROW(Create_TC_Web!$C$1:$C$998),ROW(Create_TC_Web!$C$1:$C$998)),""),ROW(Create_TC_Web!I188))),"")</f>
        <v/>
      </c>
      <c r="I188" t="str" cm="1">
        <f t="array" ref="I188">IFERROR(INDEX(Create_TC_Web!L$1:L$998,SMALL(IF(Create_TC_Web!$C$1:$C$998&lt;&gt;"",MATCH(ROW(Create_TC_Web!$C$1:$C$998),ROW(Create_TC_Web!$C$1:$C$998)),""),ROW(Create_TC_Web!J188))),"")</f>
        <v/>
      </c>
      <c r="J188" t="str" cm="1">
        <f t="array" ref="J188">IFERROR(INDEX(Create_TC_Web!M$1:M$998,SMALL(IF(Create_TC_Web!$C$1:$C$998&lt;&gt;"",MATCH(ROW(Create_TC_Web!$C$1:$C$998),ROW(Create_TC_Web!$C$1:$C$998)),""),ROW(Create_TC_Web!K188))),"")</f>
        <v/>
      </c>
      <c r="K188" t="str" cm="1">
        <f t="array" ref="K188">IFERROR(INDEX(Create_TC_Web!N$1:N$998,SMALL(IF(Create_TC_Web!$C$1:$C$998&lt;&gt;"",MATCH(ROW(Create_TC_Web!$C$1:$C$998),ROW(Create_TC_Web!$C$1:$C$998)),""),ROW(Create_TC_Web!L188))),"")</f>
        <v/>
      </c>
      <c r="L188" t="str" cm="1">
        <f t="array" ref="L188">IFERROR(INDEX(Create_TC_Web!O$1:O$998,SMALL(IF(Create_TC_Web!$C$1:$C$998&lt;&gt;"",MATCH(ROW(Create_TC_Web!$C$1:$C$998),ROW(Create_TC_Web!$C$1:$C$998)),""),ROW(Create_TC_Web!M188))),"")</f>
        <v/>
      </c>
      <c r="M188" t="str" cm="1">
        <f t="array" ref="M188">IFERROR(INDEX(Create_TC_Web!P$1:P$998,SMALL(IF(Create_TC_Web!$C$1:$C$998&lt;&gt;"",MATCH(ROW(Create_TC_Web!$C$1:$C$998),ROW(Create_TC_Web!$C$1:$C$998)),""),ROW(Create_TC_Web!N188))),"")</f>
        <v/>
      </c>
      <c r="N188">
        <f>Create_TC_Web!CA197</f>
        <v>0</v>
      </c>
      <c r="O188" t="str">
        <f t="shared" si="11"/>
        <v/>
      </c>
      <c r="P188" s="17" t="str" cm="1">
        <f t="array" ref="P188">IFERROR(INDEX(Create_TC_Web!S$1:S$500,SMALL(IF(Create_TC_Web!$C$1:$C$500&lt;&gt;"",MATCH(ROW(Create_TC_Web!$C$1:$C$500),ROW(Create_TC_Web!$C$1:$C$500)),""),ROW(Create_TC_Web!Q166))),"")</f>
        <v/>
      </c>
      <c r="S188" t="str">
        <f t="shared" si="12"/>
        <v/>
      </c>
    </row>
    <row r="189" spans="1:19">
      <c r="A189" t="str" cm="1">
        <f t="array" ref="A189">IFERROR(INDEX(Create_TC_Web!D$1:D$998,SMALL(IF(Create_TC_Web!$C$1:$C$998&lt;&gt;"",MATCH(ROW(Create_TC_Web!$C$1:$C$998),ROW(Create_TC_Web!$C$1:$C$998)),""),ROW(Create_TC_Web!B189))),"")</f>
        <v/>
      </c>
      <c r="B189" t="str" cm="1">
        <f t="array" ref="B189">SUBSTITUTE(SUBSTITUTE(SUBSTITUTE(IFERROR(INDEX(Create_TC_Web!E$1:E$505,SMALL(IF(Create_TC_Web!$C$1:$C$505&lt;&gt;"",MATCH(ROW(Create_TC_Web!$C$1:$C$505),ROW(Create_TC_Web!$C$1:$C$505)),""),ROW(Create_TC_Web!C189))),"")," ",""),"-",""),"_","")</f>
        <v/>
      </c>
      <c r="C189" t="str" cm="1">
        <f t="array" ref="C189">IFERROR(INDEX(Create_TC_Web!F$1:F$998,SMALL(IF(Create_TC_Web!$C$1:$C$998&lt;&gt;"",MATCH(ROW(Create_TC_Web!$C$1:$C$998),ROW(Create_TC_Web!$C$1:$C$998)),""),ROW(Create_TC_Web!D189))),"")</f>
        <v/>
      </c>
      <c r="D189" t="str" cm="1">
        <f t="array" ref="D189">IFERROR(INDEX(Create_TC_Web!G$1:G$998,SMALL(IF(Create_TC_Web!$C$1:$C$998&lt;&gt;"",MATCH(ROW(Create_TC_Web!$C$1:$C$998),ROW(Create_TC_Web!$C$1:$C$998)),""),ROW(Create_TC_Web!E189))),"")</f>
        <v/>
      </c>
      <c r="E189" t="str" cm="1">
        <f t="array" ref="E189">IFERROR(INDEX(Create_TC_Web!H$1:H$998,SMALL(IF(Create_TC_Web!$C$1:$C$998&lt;&gt;"",MATCH(ROW(Create_TC_Web!$C$1:$C$998),ROW(Create_TC_Web!$C$1:$C$998)),""),ROW(Create_TC_Web!F189))),"")</f>
        <v/>
      </c>
      <c r="F189" t="str" cm="1">
        <f t="array" ref="F189">IFERROR(INDEX(Create_TC_Web!I$1:I$998,SMALL(IF(Create_TC_Web!$C$1:$C$998&lt;&gt;"",MATCH(ROW(Create_TC_Web!$C$1:$C$998),ROW(Create_TC_Web!$C$1:$C$998)),""),ROW(Create_TC_Web!G189))),"")</f>
        <v/>
      </c>
      <c r="G189" t="str" cm="1">
        <f t="array" ref="G189">IFERROR(INDEX(Create_TC_Web!J$1:J$998,SMALL(IF(Create_TC_Web!$C$1:$C$998&lt;&gt;"",MATCH(ROW(Create_TC_Web!$C$1:$C$998),ROW(Create_TC_Web!$C$1:$C$998)),""),ROW(Create_TC_Web!H189))),"")</f>
        <v/>
      </c>
      <c r="H189" t="str" cm="1">
        <f t="array" ref="H189">IFERROR(INDEX(Create_TC_Web!K$1:K$998,SMALL(IF(Create_TC_Web!$C$1:$C$998&lt;&gt;"",MATCH(ROW(Create_TC_Web!$C$1:$C$998),ROW(Create_TC_Web!$C$1:$C$998)),""),ROW(Create_TC_Web!I189))),"")</f>
        <v/>
      </c>
      <c r="I189" t="str" cm="1">
        <f t="array" ref="I189">IFERROR(INDEX(Create_TC_Web!L$1:L$998,SMALL(IF(Create_TC_Web!$C$1:$C$998&lt;&gt;"",MATCH(ROW(Create_TC_Web!$C$1:$C$998),ROW(Create_TC_Web!$C$1:$C$998)),""),ROW(Create_TC_Web!J189))),"")</f>
        <v/>
      </c>
      <c r="J189" t="str" cm="1">
        <f t="array" ref="J189">IFERROR(INDEX(Create_TC_Web!M$1:M$998,SMALL(IF(Create_TC_Web!$C$1:$C$998&lt;&gt;"",MATCH(ROW(Create_TC_Web!$C$1:$C$998),ROW(Create_TC_Web!$C$1:$C$998)),""),ROW(Create_TC_Web!K189))),"")</f>
        <v/>
      </c>
      <c r="K189" t="str" cm="1">
        <f t="array" ref="K189">IFERROR(INDEX(Create_TC_Web!N$1:N$998,SMALL(IF(Create_TC_Web!$C$1:$C$998&lt;&gt;"",MATCH(ROW(Create_TC_Web!$C$1:$C$998),ROW(Create_TC_Web!$C$1:$C$998)),""),ROW(Create_TC_Web!L189))),"")</f>
        <v/>
      </c>
      <c r="L189" t="str" cm="1">
        <f t="array" ref="L189">IFERROR(INDEX(Create_TC_Web!O$1:O$998,SMALL(IF(Create_TC_Web!$C$1:$C$998&lt;&gt;"",MATCH(ROW(Create_TC_Web!$C$1:$C$998),ROW(Create_TC_Web!$C$1:$C$998)),""),ROW(Create_TC_Web!M189))),"")</f>
        <v/>
      </c>
      <c r="M189" t="str" cm="1">
        <f t="array" ref="M189">IFERROR(INDEX(Create_TC_Web!P$1:P$998,SMALL(IF(Create_TC_Web!$C$1:$C$998&lt;&gt;"",MATCH(ROW(Create_TC_Web!$C$1:$C$998),ROW(Create_TC_Web!$C$1:$C$998)),""),ROW(Create_TC_Web!N189))),"")</f>
        <v/>
      </c>
      <c r="N189">
        <f>Create_TC_Web!CA198</f>
        <v>0</v>
      </c>
      <c r="O189" t="str">
        <f t="shared" si="11"/>
        <v/>
      </c>
      <c r="P189" s="17" t="str" cm="1">
        <f t="array" ref="P189">IFERROR(INDEX(Create_TC_Web!S$1:S$500,SMALL(IF(Create_TC_Web!$C$1:$C$500&lt;&gt;"",MATCH(ROW(Create_TC_Web!$C$1:$C$500),ROW(Create_TC_Web!$C$1:$C$500)),""),ROW(Create_TC_Web!Q167))),"")</f>
        <v/>
      </c>
      <c r="S189" t="str">
        <f t="shared" si="12"/>
        <v/>
      </c>
    </row>
    <row r="190" spans="1:19">
      <c r="A190" t="str" cm="1">
        <f t="array" ref="A190">IFERROR(INDEX(Create_TC_Web!D$1:D$998,SMALL(IF(Create_TC_Web!$C$1:$C$998&lt;&gt;"",MATCH(ROW(Create_TC_Web!$C$1:$C$998),ROW(Create_TC_Web!$C$1:$C$998)),""),ROW(Create_TC_Web!B190))),"")</f>
        <v/>
      </c>
      <c r="B190" t="str" cm="1">
        <f t="array" ref="B190">SUBSTITUTE(SUBSTITUTE(SUBSTITUTE(IFERROR(INDEX(Create_TC_Web!E$1:E$505,SMALL(IF(Create_TC_Web!$C$1:$C$505&lt;&gt;"",MATCH(ROW(Create_TC_Web!$C$1:$C$505),ROW(Create_TC_Web!$C$1:$C$505)),""),ROW(Create_TC_Web!C190))),"")," ",""),"-",""),"_","")</f>
        <v/>
      </c>
      <c r="C190" t="str" cm="1">
        <f t="array" ref="C190">IFERROR(INDEX(Create_TC_Web!F$1:F$998,SMALL(IF(Create_TC_Web!$C$1:$C$998&lt;&gt;"",MATCH(ROW(Create_TC_Web!$C$1:$C$998),ROW(Create_TC_Web!$C$1:$C$998)),""),ROW(Create_TC_Web!D190))),"")</f>
        <v/>
      </c>
      <c r="D190" t="str" cm="1">
        <f t="array" ref="D190">IFERROR(INDEX(Create_TC_Web!G$1:G$998,SMALL(IF(Create_TC_Web!$C$1:$C$998&lt;&gt;"",MATCH(ROW(Create_TC_Web!$C$1:$C$998),ROW(Create_TC_Web!$C$1:$C$998)),""),ROW(Create_TC_Web!E190))),"")</f>
        <v/>
      </c>
      <c r="E190" t="str" cm="1">
        <f t="array" ref="E190">IFERROR(INDEX(Create_TC_Web!H$1:H$998,SMALL(IF(Create_TC_Web!$C$1:$C$998&lt;&gt;"",MATCH(ROW(Create_TC_Web!$C$1:$C$998),ROW(Create_TC_Web!$C$1:$C$998)),""),ROW(Create_TC_Web!F190))),"")</f>
        <v/>
      </c>
      <c r="F190" t="str" cm="1">
        <f t="array" ref="F190">IFERROR(INDEX(Create_TC_Web!I$1:I$998,SMALL(IF(Create_TC_Web!$C$1:$C$998&lt;&gt;"",MATCH(ROW(Create_TC_Web!$C$1:$C$998),ROW(Create_TC_Web!$C$1:$C$998)),""),ROW(Create_TC_Web!G190))),"")</f>
        <v/>
      </c>
      <c r="G190" t="str" cm="1">
        <f t="array" ref="G190">IFERROR(INDEX(Create_TC_Web!J$1:J$998,SMALL(IF(Create_TC_Web!$C$1:$C$998&lt;&gt;"",MATCH(ROW(Create_TC_Web!$C$1:$C$998),ROW(Create_TC_Web!$C$1:$C$998)),""),ROW(Create_TC_Web!H190))),"")</f>
        <v/>
      </c>
      <c r="H190" t="str" cm="1">
        <f t="array" ref="H190">IFERROR(INDEX(Create_TC_Web!K$1:K$998,SMALL(IF(Create_TC_Web!$C$1:$C$998&lt;&gt;"",MATCH(ROW(Create_TC_Web!$C$1:$C$998),ROW(Create_TC_Web!$C$1:$C$998)),""),ROW(Create_TC_Web!I190))),"")</f>
        <v/>
      </c>
      <c r="I190" t="str" cm="1">
        <f t="array" ref="I190">IFERROR(INDEX(Create_TC_Web!L$1:L$998,SMALL(IF(Create_TC_Web!$C$1:$C$998&lt;&gt;"",MATCH(ROW(Create_TC_Web!$C$1:$C$998),ROW(Create_TC_Web!$C$1:$C$998)),""),ROW(Create_TC_Web!J190))),"")</f>
        <v/>
      </c>
      <c r="J190" t="str" cm="1">
        <f t="array" ref="J190">IFERROR(INDEX(Create_TC_Web!M$1:M$998,SMALL(IF(Create_TC_Web!$C$1:$C$998&lt;&gt;"",MATCH(ROW(Create_TC_Web!$C$1:$C$998),ROW(Create_TC_Web!$C$1:$C$998)),""),ROW(Create_TC_Web!K190))),"")</f>
        <v/>
      </c>
      <c r="K190" t="str" cm="1">
        <f t="array" ref="K190">IFERROR(INDEX(Create_TC_Web!N$1:N$998,SMALL(IF(Create_TC_Web!$C$1:$C$998&lt;&gt;"",MATCH(ROW(Create_TC_Web!$C$1:$C$998),ROW(Create_TC_Web!$C$1:$C$998)),""),ROW(Create_TC_Web!L190))),"")</f>
        <v/>
      </c>
      <c r="L190" t="str" cm="1">
        <f t="array" ref="L190">IFERROR(INDEX(Create_TC_Web!O$1:O$998,SMALL(IF(Create_TC_Web!$C$1:$C$998&lt;&gt;"",MATCH(ROW(Create_TC_Web!$C$1:$C$998),ROW(Create_TC_Web!$C$1:$C$998)),""),ROW(Create_TC_Web!M190))),"")</f>
        <v/>
      </c>
      <c r="M190" t="str" cm="1">
        <f t="array" ref="M190">IFERROR(INDEX(Create_TC_Web!P$1:P$998,SMALL(IF(Create_TC_Web!$C$1:$C$998&lt;&gt;"",MATCH(ROW(Create_TC_Web!$C$1:$C$998),ROW(Create_TC_Web!$C$1:$C$998)),""),ROW(Create_TC_Web!N190))),"")</f>
        <v/>
      </c>
      <c r="N190">
        <f>Create_TC_Web!CA199</f>
        <v>0</v>
      </c>
      <c r="O190" t="str">
        <f t="shared" si="11"/>
        <v/>
      </c>
      <c r="P190" s="17" t="str" cm="1">
        <f t="array" ref="P190">IFERROR(INDEX(Create_TC_Web!S$1:S$500,SMALL(IF(Create_TC_Web!$C$1:$C$500&lt;&gt;"",MATCH(ROW(Create_TC_Web!$C$1:$C$500),ROW(Create_TC_Web!$C$1:$C$500)),""),ROW(Create_TC_Web!Q168))),"")</f>
        <v/>
      </c>
      <c r="S190" t="str">
        <f t="shared" si="12"/>
        <v/>
      </c>
    </row>
    <row r="191" spans="1:19">
      <c r="A191" t="str" cm="1">
        <f t="array" ref="A191">IFERROR(INDEX(Create_TC_Web!D$1:D$998,SMALL(IF(Create_TC_Web!$C$1:$C$998&lt;&gt;"",MATCH(ROW(Create_TC_Web!$C$1:$C$998),ROW(Create_TC_Web!$C$1:$C$998)),""),ROW(Create_TC_Web!B191))),"")</f>
        <v/>
      </c>
      <c r="B191" t="str" cm="1">
        <f t="array" ref="B191">SUBSTITUTE(SUBSTITUTE(SUBSTITUTE(IFERROR(INDEX(Create_TC_Web!E$1:E$505,SMALL(IF(Create_TC_Web!$C$1:$C$505&lt;&gt;"",MATCH(ROW(Create_TC_Web!$C$1:$C$505),ROW(Create_TC_Web!$C$1:$C$505)),""),ROW(Create_TC_Web!C191))),"")," ",""),"-",""),"_","")</f>
        <v/>
      </c>
      <c r="C191" t="str" cm="1">
        <f t="array" ref="C191">IFERROR(INDEX(Create_TC_Web!F$1:F$998,SMALL(IF(Create_TC_Web!$C$1:$C$998&lt;&gt;"",MATCH(ROW(Create_TC_Web!$C$1:$C$998),ROW(Create_TC_Web!$C$1:$C$998)),""),ROW(Create_TC_Web!D191))),"")</f>
        <v/>
      </c>
      <c r="D191" t="str" cm="1">
        <f t="array" ref="D191">IFERROR(INDEX(Create_TC_Web!G$1:G$998,SMALL(IF(Create_TC_Web!$C$1:$C$998&lt;&gt;"",MATCH(ROW(Create_TC_Web!$C$1:$C$998),ROW(Create_TC_Web!$C$1:$C$998)),""),ROW(Create_TC_Web!E191))),"")</f>
        <v/>
      </c>
      <c r="E191" t="str" cm="1">
        <f t="array" ref="E191">IFERROR(INDEX(Create_TC_Web!H$1:H$998,SMALL(IF(Create_TC_Web!$C$1:$C$998&lt;&gt;"",MATCH(ROW(Create_TC_Web!$C$1:$C$998),ROW(Create_TC_Web!$C$1:$C$998)),""),ROW(Create_TC_Web!F191))),"")</f>
        <v/>
      </c>
      <c r="F191" t="str" cm="1">
        <f t="array" ref="F191">IFERROR(INDEX(Create_TC_Web!I$1:I$998,SMALL(IF(Create_TC_Web!$C$1:$C$998&lt;&gt;"",MATCH(ROW(Create_TC_Web!$C$1:$C$998),ROW(Create_TC_Web!$C$1:$C$998)),""),ROW(Create_TC_Web!G191))),"")</f>
        <v/>
      </c>
      <c r="G191" t="str" cm="1">
        <f t="array" ref="G191">IFERROR(INDEX(Create_TC_Web!J$1:J$998,SMALL(IF(Create_TC_Web!$C$1:$C$998&lt;&gt;"",MATCH(ROW(Create_TC_Web!$C$1:$C$998),ROW(Create_TC_Web!$C$1:$C$998)),""),ROW(Create_TC_Web!H191))),"")</f>
        <v/>
      </c>
      <c r="H191" t="str" cm="1">
        <f t="array" ref="H191">IFERROR(INDEX(Create_TC_Web!K$1:K$998,SMALL(IF(Create_TC_Web!$C$1:$C$998&lt;&gt;"",MATCH(ROW(Create_TC_Web!$C$1:$C$998),ROW(Create_TC_Web!$C$1:$C$998)),""),ROW(Create_TC_Web!I191))),"")</f>
        <v/>
      </c>
      <c r="I191" t="str" cm="1">
        <f t="array" ref="I191">IFERROR(INDEX(Create_TC_Web!L$1:L$998,SMALL(IF(Create_TC_Web!$C$1:$C$998&lt;&gt;"",MATCH(ROW(Create_TC_Web!$C$1:$C$998),ROW(Create_TC_Web!$C$1:$C$998)),""),ROW(Create_TC_Web!J191))),"")</f>
        <v/>
      </c>
      <c r="J191" t="str" cm="1">
        <f t="array" ref="J191">IFERROR(INDEX(Create_TC_Web!M$1:M$998,SMALL(IF(Create_TC_Web!$C$1:$C$998&lt;&gt;"",MATCH(ROW(Create_TC_Web!$C$1:$C$998),ROW(Create_TC_Web!$C$1:$C$998)),""),ROW(Create_TC_Web!K191))),"")</f>
        <v/>
      </c>
      <c r="K191" t="str" cm="1">
        <f t="array" ref="K191">IFERROR(INDEX(Create_TC_Web!N$1:N$998,SMALL(IF(Create_TC_Web!$C$1:$C$998&lt;&gt;"",MATCH(ROW(Create_TC_Web!$C$1:$C$998),ROW(Create_TC_Web!$C$1:$C$998)),""),ROW(Create_TC_Web!L191))),"")</f>
        <v/>
      </c>
      <c r="L191" t="str" cm="1">
        <f t="array" ref="L191">IFERROR(INDEX(Create_TC_Web!O$1:O$998,SMALL(IF(Create_TC_Web!$C$1:$C$998&lt;&gt;"",MATCH(ROW(Create_TC_Web!$C$1:$C$998),ROW(Create_TC_Web!$C$1:$C$998)),""),ROW(Create_TC_Web!M191))),"")</f>
        <v/>
      </c>
      <c r="M191" t="str" cm="1">
        <f t="array" ref="M191">IFERROR(INDEX(Create_TC_Web!P$1:P$998,SMALL(IF(Create_TC_Web!$C$1:$C$998&lt;&gt;"",MATCH(ROW(Create_TC_Web!$C$1:$C$998),ROW(Create_TC_Web!$C$1:$C$998)),""),ROW(Create_TC_Web!N191))),"")</f>
        <v/>
      </c>
      <c r="N191">
        <f>Create_TC_Web!CA200</f>
        <v>0</v>
      </c>
      <c r="O191" t="str">
        <f t="shared" si="11"/>
        <v/>
      </c>
      <c r="P191" s="17" t="str" cm="1">
        <f t="array" ref="P191">IFERROR(INDEX(Create_TC_Web!S$1:S$500,SMALL(IF(Create_TC_Web!$C$1:$C$500&lt;&gt;"",MATCH(ROW(Create_TC_Web!$C$1:$C$500),ROW(Create_TC_Web!$C$1:$C$500)),""),ROW(Create_TC_Web!Q169))),"")</f>
        <v/>
      </c>
      <c r="S191" t="str">
        <f t="shared" si="12"/>
        <v/>
      </c>
    </row>
    <row r="192" spans="1:19">
      <c r="A192" t="str" cm="1">
        <f t="array" ref="A192">IFERROR(INDEX(Create_TC_Web!D$1:D$998,SMALL(IF(Create_TC_Web!$C$1:$C$998&lt;&gt;"",MATCH(ROW(Create_TC_Web!$C$1:$C$998),ROW(Create_TC_Web!$C$1:$C$998)),""),ROW(Create_TC_Web!B192))),"")</f>
        <v/>
      </c>
      <c r="B192" t="str" cm="1">
        <f t="array" ref="B192">SUBSTITUTE(SUBSTITUTE(SUBSTITUTE(IFERROR(INDEX(Create_TC_Web!E$1:E$505,SMALL(IF(Create_TC_Web!$C$1:$C$505&lt;&gt;"",MATCH(ROW(Create_TC_Web!$C$1:$C$505),ROW(Create_TC_Web!$C$1:$C$505)),""),ROW(Create_TC_Web!C192))),"")," ",""),"-",""),"_","")</f>
        <v/>
      </c>
      <c r="C192" t="str" cm="1">
        <f t="array" ref="C192">IFERROR(INDEX(Create_TC_Web!F$1:F$998,SMALL(IF(Create_TC_Web!$C$1:$C$998&lt;&gt;"",MATCH(ROW(Create_TC_Web!$C$1:$C$998),ROW(Create_TC_Web!$C$1:$C$998)),""),ROW(Create_TC_Web!D192))),"")</f>
        <v/>
      </c>
      <c r="D192" t="str" cm="1">
        <f t="array" ref="D192">IFERROR(INDEX(Create_TC_Web!G$1:G$998,SMALL(IF(Create_TC_Web!$C$1:$C$998&lt;&gt;"",MATCH(ROW(Create_TC_Web!$C$1:$C$998),ROW(Create_TC_Web!$C$1:$C$998)),""),ROW(Create_TC_Web!E192))),"")</f>
        <v/>
      </c>
      <c r="E192" t="str" cm="1">
        <f t="array" ref="E192">IFERROR(INDEX(Create_TC_Web!H$1:H$998,SMALL(IF(Create_TC_Web!$C$1:$C$998&lt;&gt;"",MATCH(ROW(Create_TC_Web!$C$1:$C$998),ROW(Create_TC_Web!$C$1:$C$998)),""),ROW(Create_TC_Web!F192))),"")</f>
        <v/>
      </c>
      <c r="F192" t="str" cm="1">
        <f t="array" ref="F192">IFERROR(INDEX(Create_TC_Web!I$1:I$998,SMALL(IF(Create_TC_Web!$C$1:$C$998&lt;&gt;"",MATCH(ROW(Create_TC_Web!$C$1:$C$998),ROW(Create_TC_Web!$C$1:$C$998)),""),ROW(Create_TC_Web!G192))),"")</f>
        <v/>
      </c>
      <c r="G192" t="str" cm="1">
        <f t="array" ref="G192">IFERROR(INDEX(Create_TC_Web!J$1:J$998,SMALL(IF(Create_TC_Web!$C$1:$C$998&lt;&gt;"",MATCH(ROW(Create_TC_Web!$C$1:$C$998),ROW(Create_TC_Web!$C$1:$C$998)),""),ROW(Create_TC_Web!H192))),"")</f>
        <v/>
      </c>
      <c r="H192" t="str" cm="1">
        <f t="array" ref="H192">IFERROR(INDEX(Create_TC_Web!K$1:K$998,SMALL(IF(Create_TC_Web!$C$1:$C$998&lt;&gt;"",MATCH(ROW(Create_TC_Web!$C$1:$C$998),ROW(Create_TC_Web!$C$1:$C$998)),""),ROW(Create_TC_Web!I192))),"")</f>
        <v/>
      </c>
      <c r="I192" t="str" cm="1">
        <f t="array" ref="I192">IFERROR(INDEX(Create_TC_Web!L$1:L$998,SMALL(IF(Create_TC_Web!$C$1:$C$998&lt;&gt;"",MATCH(ROW(Create_TC_Web!$C$1:$C$998),ROW(Create_TC_Web!$C$1:$C$998)),""),ROW(Create_TC_Web!J192))),"")</f>
        <v/>
      </c>
      <c r="J192" t="str" cm="1">
        <f t="array" ref="J192">IFERROR(INDEX(Create_TC_Web!M$1:M$998,SMALL(IF(Create_TC_Web!$C$1:$C$998&lt;&gt;"",MATCH(ROW(Create_TC_Web!$C$1:$C$998),ROW(Create_TC_Web!$C$1:$C$998)),""),ROW(Create_TC_Web!K192))),"")</f>
        <v/>
      </c>
      <c r="K192" t="str" cm="1">
        <f t="array" ref="K192">IFERROR(INDEX(Create_TC_Web!N$1:N$998,SMALL(IF(Create_TC_Web!$C$1:$C$998&lt;&gt;"",MATCH(ROW(Create_TC_Web!$C$1:$C$998),ROW(Create_TC_Web!$C$1:$C$998)),""),ROW(Create_TC_Web!L192))),"")</f>
        <v/>
      </c>
      <c r="L192" t="str" cm="1">
        <f t="array" ref="L192">IFERROR(INDEX(Create_TC_Web!O$1:O$998,SMALL(IF(Create_TC_Web!$C$1:$C$998&lt;&gt;"",MATCH(ROW(Create_TC_Web!$C$1:$C$998),ROW(Create_TC_Web!$C$1:$C$998)),""),ROW(Create_TC_Web!M192))),"")</f>
        <v/>
      </c>
      <c r="M192" t="str" cm="1">
        <f t="array" ref="M192">IFERROR(INDEX(Create_TC_Web!P$1:P$998,SMALL(IF(Create_TC_Web!$C$1:$C$998&lt;&gt;"",MATCH(ROW(Create_TC_Web!$C$1:$C$998),ROW(Create_TC_Web!$C$1:$C$998)),""),ROW(Create_TC_Web!N192))),"")</f>
        <v/>
      </c>
      <c r="N192">
        <f>Create_TC_Web!CA201</f>
        <v>0</v>
      </c>
      <c r="O192" t="str">
        <f t="shared" si="11"/>
        <v/>
      </c>
      <c r="P192" s="17" t="str" cm="1">
        <f t="array" ref="P192">IFERROR(INDEX(Create_TC_Web!S$1:S$500,SMALL(IF(Create_TC_Web!$C$1:$C$500&lt;&gt;"",MATCH(ROW(Create_TC_Web!$C$1:$C$500),ROW(Create_TC_Web!$C$1:$C$500)),""),ROW(Create_TC_Web!Q170))),"")</f>
        <v/>
      </c>
      <c r="S192" t="str">
        <f t="shared" si="12"/>
        <v/>
      </c>
    </row>
    <row r="193" spans="1:19">
      <c r="A193" t="str" cm="1">
        <f t="array" ref="A193">IFERROR(INDEX(Create_TC_Web!D$1:D$998,SMALL(IF(Create_TC_Web!$C$1:$C$998&lt;&gt;"",MATCH(ROW(Create_TC_Web!$C$1:$C$998),ROW(Create_TC_Web!$C$1:$C$998)),""),ROW(Create_TC_Web!B193))),"")</f>
        <v/>
      </c>
      <c r="B193" t="str" cm="1">
        <f t="array" ref="B193">SUBSTITUTE(SUBSTITUTE(SUBSTITUTE(IFERROR(INDEX(Create_TC_Web!E$1:E$505,SMALL(IF(Create_TC_Web!$C$1:$C$505&lt;&gt;"",MATCH(ROW(Create_TC_Web!$C$1:$C$505),ROW(Create_TC_Web!$C$1:$C$505)),""),ROW(Create_TC_Web!C193))),"")," ",""),"-",""),"_","")</f>
        <v/>
      </c>
      <c r="C193" t="str" cm="1">
        <f t="array" ref="C193">IFERROR(INDEX(Create_TC_Web!F$1:F$998,SMALL(IF(Create_TC_Web!$C$1:$C$998&lt;&gt;"",MATCH(ROW(Create_TC_Web!$C$1:$C$998),ROW(Create_TC_Web!$C$1:$C$998)),""),ROW(Create_TC_Web!D193))),"")</f>
        <v/>
      </c>
      <c r="D193" t="str" cm="1">
        <f t="array" ref="D193">IFERROR(INDEX(Create_TC_Web!G$1:G$998,SMALL(IF(Create_TC_Web!$C$1:$C$998&lt;&gt;"",MATCH(ROW(Create_TC_Web!$C$1:$C$998),ROW(Create_TC_Web!$C$1:$C$998)),""),ROW(Create_TC_Web!E193))),"")</f>
        <v/>
      </c>
      <c r="E193" t="str" cm="1">
        <f t="array" ref="E193">IFERROR(INDEX(Create_TC_Web!H$1:H$998,SMALL(IF(Create_TC_Web!$C$1:$C$998&lt;&gt;"",MATCH(ROW(Create_TC_Web!$C$1:$C$998),ROW(Create_TC_Web!$C$1:$C$998)),""),ROW(Create_TC_Web!F193))),"")</f>
        <v/>
      </c>
      <c r="F193" t="str" cm="1">
        <f t="array" ref="F193">IFERROR(INDEX(Create_TC_Web!I$1:I$998,SMALL(IF(Create_TC_Web!$C$1:$C$998&lt;&gt;"",MATCH(ROW(Create_TC_Web!$C$1:$C$998),ROW(Create_TC_Web!$C$1:$C$998)),""),ROW(Create_TC_Web!G193))),"")</f>
        <v/>
      </c>
      <c r="G193" t="str" cm="1">
        <f t="array" ref="G193">IFERROR(INDEX(Create_TC_Web!J$1:J$998,SMALL(IF(Create_TC_Web!$C$1:$C$998&lt;&gt;"",MATCH(ROW(Create_TC_Web!$C$1:$C$998),ROW(Create_TC_Web!$C$1:$C$998)),""),ROW(Create_TC_Web!H193))),"")</f>
        <v/>
      </c>
      <c r="H193" t="str" cm="1">
        <f t="array" ref="H193">IFERROR(INDEX(Create_TC_Web!K$1:K$998,SMALL(IF(Create_TC_Web!$C$1:$C$998&lt;&gt;"",MATCH(ROW(Create_TC_Web!$C$1:$C$998),ROW(Create_TC_Web!$C$1:$C$998)),""),ROW(Create_TC_Web!I193))),"")</f>
        <v/>
      </c>
      <c r="I193" t="str" cm="1">
        <f t="array" ref="I193">IFERROR(INDEX(Create_TC_Web!L$1:L$998,SMALL(IF(Create_TC_Web!$C$1:$C$998&lt;&gt;"",MATCH(ROW(Create_TC_Web!$C$1:$C$998),ROW(Create_TC_Web!$C$1:$C$998)),""),ROW(Create_TC_Web!J193))),"")</f>
        <v/>
      </c>
      <c r="J193" t="str" cm="1">
        <f t="array" ref="J193">IFERROR(INDEX(Create_TC_Web!M$1:M$998,SMALL(IF(Create_TC_Web!$C$1:$C$998&lt;&gt;"",MATCH(ROW(Create_TC_Web!$C$1:$C$998),ROW(Create_TC_Web!$C$1:$C$998)),""),ROW(Create_TC_Web!K193))),"")</f>
        <v/>
      </c>
      <c r="K193" t="str" cm="1">
        <f t="array" ref="K193">IFERROR(INDEX(Create_TC_Web!N$1:N$998,SMALL(IF(Create_TC_Web!$C$1:$C$998&lt;&gt;"",MATCH(ROW(Create_TC_Web!$C$1:$C$998),ROW(Create_TC_Web!$C$1:$C$998)),""),ROW(Create_TC_Web!L193))),"")</f>
        <v/>
      </c>
      <c r="L193" t="str" cm="1">
        <f t="array" ref="L193">IFERROR(INDEX(Create_TC_Web!O$1:O$998,SMALL(IF(Create_TC_Web!$C$1:$C$998&lt;&gt;"",MATCH(ROW(Create_TC_Web!$C$1:$C$998),ROW(Create_TC_Web!$C$1:$C$998)),""),ROW(Create_TC_Web!M193))),"")</f>
        <v/>
      </c>
      <c r="M193" t="str" cm="1">
        <f t="array" ref="M193">IFERROR(INDEX(Create_TC_Web!P$1:P$998,SMALL(IF(Create_TC_Web!$C$1:$C$998&lt;&gt;"",MATCH(ROW(Create_TC_Web!$C$1:$C$998),ROW(Create_TC_Web!$C$1:$C$998)),""),ROW(Create_TC_Web!N193))),"")</f>
        <v/>
      </c>
      <c r="N193">
        <f>Create_TC_Web!CA202</f>
        <v>0</v>
      </c>
      <c r="O193" t="str">
        <f t="shared" si="11"/>
        <v/>
      </c>
      <c r="P193" s="17" t="str" cm="1">
        <f t="array" ref="P193">IFERROR(INDEX(Create_TC_Web!S$1:S$500,SMALL(IF(Create_TC_Web!$C$1:$C$500&lt;&gt;"",MATCH(ROW(Create_TC_Web!$C$1:$C$500),ROW(Create_TC_Web!$C$1:$C$500)),""),ROW(Create_TC_Web!Q171))),"")</f>
        <v/>
      </c>
      <c r="S193" t="str">
        <f t="shared" si="12"/>
        <v/>
      </c>
    </row>
    <row r="194" spans="1:19">
      <c r="A194" t="str" cm="1">
        <f t="array" ref="A194">IFERROR(INDEX(Create_TC_Web!D$1:D$998,SMALL(IF(Create_TC_Web!$C$1:$C$998&lt;&gt;"",MATCH(ROW(Create_TC_Web!$C$1:$C$998),ROW(Create_TC_Web!$C$1:$C$998)),""),ROW(Create_TC_Web!B194))),"")</f>
        <v/>
      </c>
      <c r="B194" t="str" cm="1">
        <f t="array" ref="B194">SUBSTITUTE(SUBSTITUTE(SUBSTITUTE(IFERROR(INDEX(Create_TC_Web!E$1:E$505,SMALL(IF(Create_TC_Web!$C$1:$C$505&lt;&gt;"",MATCH(ROW(Create_TC_Web!$C$1:$C$505),ROW(Create_TC_Web!$C$1:$C$505)),""),ROW(Create_TC_Web!C194))),"")," ",""),"-",""),"_","")</f>
        <v/>
      </c>
      <c r="C194" t="str" cm="1">
        <f t="array" ref="C194">IFERROR(INDEX(Create_TC_Web!F$1:F$998,SMALL(IF(Create_TC_Web!$C$1:$C$998&lt;&gt;"",MATCH(ROW(Create_TC_Web!$C$1:$C$998),ROW(Create_TC_Web!$C$1:$C$998)),""),ROW(Create_TC_Web!D194))),"")</f>
        <v/>
      </c>
      <c r="D194" t="str" cm="1">
        <f t="array" ref="D194">IFERROR(INDEX(Create_TC_Web!G$1:G$998,SMALL(IF(Create_TC_Web!$C$1:$C$998&lt;&gt;"",MATCH(ROW(Create_TC_Web!$C$1:$C$998),ROW(Create_TC_Web!$C$1:$C$998)),""),ROW(Create_TC_Web!E194))),"")</f>
        <v/>
      </c>
      <c r="E194" t="str" cm="1">
        <f t="array" ref="E194">IFERROR(INDEX(Create_TC_Web!H$1:H$998,SMALL(IF(Create_TC_Web!$C$1:$C$998&lt;&gt;"",MATCH(ROW(Create_TC_Web!$C$1:$C$998),ROW(Create_TC_Web!$C$1:$C$998)),""),ROW(Create_TC_Web!F194))),"")</f>
        <v/>
      </c>
      <c r="F194" t="str" cm="1">
        <f t="array" ref="F194">IFERROR(INDEX(Create_TC_Web!I$1:I$998,SMALL(IF(Create_TC_Web!$C$1:$C$998&lt;&gt;"",MATCH(ROW(Create_TC_Web!$C$1:$C$998),ROW(Create_TC_Web!$C$1:$C$998)),""),ROW(Create_TC_Web!G194))),"")</f>
        <v/>
      </c>
      <c r="G194" t="str" cm="1">
        <f t="array" ref="G194">IFERROR(INDEX(Create_TC_Web!J$1:J$998,SMALL(IF(Create_TC_Web!$C$1:$C$998&lt;&gt;"",MATCH(ROW(Create_TC_Web!$C$1:$C$998),ROW(Create_TC_Web!$C$1:$C$998)),""),ROW(Create_TC_Web!H194))),"")</f>
        <v/>
      </c>
      <c r="H194" t="str" cm="1">
        <f t="array" ref="H194">IFERROR(INDEX(Create_TC_Web!K$1:K$998,SMALL(IF(Create_TC_Web!$C$1:$C$998&lt;&gt;"",MATCH(ROW(Create_TC_Web!$C$1:$C$998),ROW(Create_TC_Web!$C$1:$C$998)),""),ROW(Create_TC_Web!I194))),"")</f>
        <v/>
      </c>
      <c r="I194" t="str" cm="1">
        <f t="array" ref="I194">IFERROR(INDEX(Create_TC_Web!L$1:L$998,SMALL(IF(Create_TC_Web!$C$1:$C$998&lt;&gt;"",MATCH(ROW(Create_TC_Web!$C$1:$C$998),ROW(Create_TC_Web!$C$1:$C$998)),""),ROW(Create_TC_Web!J194))),"")</f>
        <v/>
      </c>
      <c r="J194" t="str" cm="1">
        <f t="array" ref="J194">IFERROR(INDEX(Create_TC_Web!M$1:M$998,SMALL(IF(Create_TC_Web!$C$1:$C$998&lt;&gt;"",MATCH(ROW(Create_TC_Web!$C$1:$C$998),ROW(Create_TC_Web!$C$1:$C$998)),""),ROW(Create_TC_Web!K194))),"")</f>
        <v/>
      </c>
      <c r="K194" t="str" cm="1">
        <f t="array" ref="K194">IFERROR(INDEX(Create_TC_Web!N$1:N$998,SMALL(IF(Create_TC_Web!$C$1:$C$998&lt;&gt;"",MATCH(ROW(Create_TC_Web!$C$1:$C$998),ROW(Create_TC_Web!$C$1:$C$998)),""),ROW(Create_TC_Web!L194))),"")</f>
        <v/>
      </c>
      <c r="L194" t="str" cm="1">
        <f t="array" ref="L194">IFERROR(INDEX(Create_TC_Web!O$1:O$998,SMALL(IF(Create_TC_Web!$C$1:$C$998&lt;&gt;"",MATCH(ROW(Create_TC_Web!$C$1:$C$998),ROW(Create_TC_Web!$C$1:$C$998)),""),ROW(Create_TC_Web!M194))),"")</f>
        <v/>
      </c>
      <c r="M194" t="str" cm="1">
        <f t="array" ref="M194">IFERROR(INDEX(Create_TC_Web!P$1:P$998,SMALL(IF(Create_TC_Web!$C$1:$C$998&lt;&gt;"",MATCH(ROW(Create_TC_Web!$C$1:$C$998),ROW(Create_TC_Web!$C$1:$C$998)),""),ROW(Create_TC_Web!N194))),"")</f>
        <v/>
      </c>
      <c r="N194">
        <f>Create_TC_Web!CA203</f>
        <v>0</v>
      </c>
      <c r="O194" t="str">
        <f t="shared" si="11"/>
        <v/>
      </c>
      <c r="P194" s="17" t="str" cm="1">
        <f t="array" ref="P194">IFERROR(INDEX(Create_TC_Web!S$1:S$500,SMALL(IF(Create_TC_Web!$C$1:$C$500&lt;&gt;"",MATCH(ROW(Create_TC_Web!$C$1:$C$500),ROW(Create_TC_Web!$C$1:$C$500)),""),ROW(Create_TC_Web!Q172))),"")</f>
        <v/>
      </c>
      <c r="S194" t="str">
        <f t="shared" si="12"/>
        <v/>
      </c>
    </row>
    <row r="195" spans="1:19">
      <c r="A195" t="str" cm="1">
        <f t="array" ref="A195">IFERROR(INDEX(Create_TC_Web!D$1:D$998,SMALL(IF(Create_TC_Web!$C$1:$C$998&lt;&gt;"",MATCH(ROW(Create_TC_Web!$C$1:$C$998),ROW(Create_TC_Web!$C$1:$C$998)),""),ROW(Create_TC_Web!B195))),"")</f>
        <v/>
      </c>
      <c r="B195" t="str" cm="1">
        <f t="array" ref="B195">SUBSTITUTE(SUBSTITUTE(SUBSTITUTE(IFERROR(INDEX(Create_TC_Web!E$1:E$505,SMALL(IF(Create_TC_Web!$C$1:$C$505&lt;&gt;"",MATCH(ROW(Create_TC_Web!$C$1:$C$505),ROW(Create_TC_Web!$C$1:$C$505)),""),ROW(Create_TC_Web!C195))),"")," ",""),"-",""),"_","")</f>
        <v/>
      </c>
      <c r="C195" t="str" cm="1">
        <f t="array" ref="C195">IFERROR(INDEX(Create_TC_Web!F$1:F$998,SMALL(IF(Create_TC_Web!$C$1:$C$998&lt;&gt;"",MATCH(ROW(Create_TC_Web!$C$1:$C$998),ROW(Create_TC_Web!$C$1:$C$998)),""),ROW(Create_TC_Web!D195))),"")</f>
        <v/>
      </c>
      <c r="D195" t="str" cm="1">
        <f t="array" ref="D195">IFERROR(INDEX(Create_TC_Web!G$1:G$998,SMALL(IF(Create_TC_Web!$C$1:$C$998&lt;&gt;"",MATCH(ROW(Create_TC_Web!$C$1:$C$998),ROW(Create_TC_Web!$C$1:$C$998)),""),ROW(Create_TC_Web!E195))),"")</f>
        <v/>
      </c>
      <c r="E195" t="str" cm="1">
        <f t="array" ref="E195">IFERROR(INDEX(Create_TC_Web!H$1:H$998,SMALL(IF(Create_TC_Web!$C$1:$C$998&lt;&gt;"",MATCH(ROW(Create_TC_Web!$C$1:$C$998),ROW(Create_TC_Web!$C$1:$C$998)),""),ROW(Create_TC_Web!F195))),"")</f>
        <v/>
      </c>
      <c r="F195" t="str" cm="1">
        <f t="array" ref="F195">IFERROR(INDEX(Create_TC_Web!I$1:I$998,SMALL(IF(Create_TC_Web!$C$1:$C$998&lt;&gt;"",MATCH(ROW(Create_TC_Web!$C$1:$C$998),ROW(Create_TC_Web!$C$1:$C$998)),""),ROW(Create_TC_Web!G195))),"")</f>
        <v/>
      </c>
      <c r="G195" t="str" cm="1">
        <f t="array" ref="G195">IFERROR(INDEX(Create_TC_Web!J$1:J$998,SMALL(IF(Create_TC_Web!$C$1:$C$998&lt;&gt;"",MATCH(ROW(Create_TC_Web!$C$1:$C$998),ROW(Create_TC_Web!$C$1:$C$998)),""),ROW(Create_TC_Web!H195))),"")</f>
        <v/>
      </c>
      <c r="H195" t="str" cm="1">
        <f t="array" ref="H195">IFERROR(INDEX(Create_TC_Web!K$1:K$998,SMALL(IF(Create_TC_Web!$C$1:$C$998&lt;&gt;"",MATCH(ROW(Create_TC_Web!$C$1:$C$998),ROW(Create_TC_Web!$C$1:$C$998)),""),ROW(Create_TC_Web!I195))),"")</f>
        <v/>
      </c>
      <c r="I195" t="str" cm="1">
        <f t="array" ref="I195">IFERROR(INDEX(Create_TC_Web!L$1:L$998,SMALL(IF(Create_TC_Web!$C$1:$C$998&lt;&gt;"",MATCH(ROW(Create_TC_Web!$C$1:$C$998),ROW(Create_TC_Web!$C$1:$C$998)),""),ROW(Create_TC_Web!J195))),"")</f>
        <v/>
      </c>
      <c r="J195" t="str" cm="1">
        <f t="array" ref="J195">IFERROR(INDEX(Create_TC_Web!M$1:M$998,SMALL(IF(Create_TC_Web!$C$1:$C$998&lt;&gt;"",MATCH(ROW(Create_TC_Web!$C$1:$C$998),ROW(Create_TC_Web!$C$1:$C$998)),""),ROW(Create_TC_Web!K195))),"")</f>
        <v/>
      </c>
      <c r="K195" t="str" cm="1">
        <f t="array" ref="K195">IFERROR(INDEX(Create_TC_Web!N$1:N$998,SMALL(IF(Create_TC_Web!$C$1:$C$998&lt;&gt;"",MATCH(ROW(Create_TC_Web!$C$1:$C$998),ROW(Create_TC_Web!$C$1:$C$998)),""),ROW(Create_TC_Web!L195))),"")</f>
        <v/>
      </c>
      <c r="L195" t="str" cm="1">
        <f t="array" ref="L195">IFERROR(INDEX(Create_TC_Web!O$1:O$998,SMALL(IF(Create_TC_Web!$C$1:$C$998&lt;&gt;"",MATCH(ROW(Create_TC_Web!$C$1:$C$998),ROW(Create_TC_Web!$C$1:$C$998)),""),ROW(Create_TC_Web!M195))),"")</f>
        <v/>
      </c>
      <c r="M195" t="str" cm="1">
        <f t="array" ref="M195">IFERROR(INDEX(Create_TC_Web!P$1:P$998,SMALL(IF(Create_TC_Web!$C$1:$C$998&lt;&gt;"",MATCH(ROW(Create_TC_Web!$C$1:$C$998),ROW(Create_TC_Web!$C$1:$C$998)),""),ROW(Create_TC_Web!N195))),"")</f>
        <v/>
      </c>
      <c r="N195">
        <f>Create_TC_Web!CA204</f>
        <v>0</v>
      </c>
      <c r="O195" t="str">
        <f t="shared" ref="O195:O258" si="13">IF(N195&lt;&gt;0,N195,"")</f>
        <v/>
      </c>
      <c r="P195" s="17" t="str" cm="1">
        <f t="array" ref="P195">IFERROR(INDEX(Create_TC_Web!S$1:S$500,SMALL(IF(Create_TC_Web!$C$1:$C$500&lt;&gt;"",MATCH(ROW(Create_TC_Web!$C$1:$C$500),ROW(Create_TC_Web!$C$1:$C$500)),""),ROW(Create_TC_Web!Q173))),"")</f>
        <v/>
      </c>
      <c r="S195" t="str">
        <f t="shared" ref="S195:S258" si="14">IF(P195&lt;&gt;0,P195,"")</f>
        <v/>
      </c>
    </row>
    <row r="196" spans="1:19">
      <c r="A196" t="str" cm="1">
        <f t="array" ref="A196">IFERROR(INDEX(Create_TC_Web!D$1:D$998,SMALL(IF(Create_TC_Web!$C$1:$C$998&lt;&gt;"",MATCH(ROW(Create_TC_Web!$C$1:$C$998),ROW(Create_TC_Web!$C$1:$C$998)),""),ROW(Create_TC_Web!B196))),"")</f>
        <v/>
      </c>
      <c r="B196" t="str" cm="1">
        <f t="array" ref="B196">SUBSTITUTE(SUBSTITUTE(SUBSTITUTE(IFERROR(INDEX(Create_TC_Web!E$1:E$505,SMALL(IF(Create_TC_Web!$C$1:$C$505&lt;&gt;"",MATCH(ROW(Create_TC_Web!$C$1:$C$505),ROW(Create_TC_Web!$C$1:$C$505)),""),ROW(Create_TC_Web!C196))),"")," ",""),"-",""),"_","")</f>
        <v/>
      </c>
      <c r="C196" t="str" cm="1">
        <f t="array" ref="C196">IFERROR(INDEX(Create_TC_Web!F$1:F$998,SMALL(IF(Create_TC_Web!$C$1:$C$998&lt;&gt;"",MATCH(ROW(Create_TC_Web!$C$1:$C$998),ROW(Create_TC_Web!$C$1:$C$998)),""),ROW(Create_TC_Web!D196))),"")</f>
        <v/>
      </c>
      <c r="D196" t="str" cm="1">
        <f t="array" ref="D196">IFERROR(INDEX(Create_TC_Web!G$1:G$998,SMALL(IF(Create_TC_Web!$C$1:$C$998&lt;&gt;"",MATCH(ROW(Create_TC_Web!$C$1:$C$998),ROW(Create_TC_Web!$C$1:$C$998)),""),ROW(Create_TC_Web!E196))),"")</f>
        <v/>
      </c>
      <c r="E196" t="str" cm="1">
        <f t="array" ref="E196">IFERROR(INDEX(Create_TC_Web!H$1:H$998,SMALL(IF(Create_TC_Web!$C$1:$C$998&lt;&gt;"",MATCH(ROW(Create_TC_Web!$C$1:$C$998),ROW(Create_TC_Web!$C$1:$C$998)),""),ROW(Create_TC_Web!F196))),"")</f>
        <v/>
      </c>
      <c r="F196" t="str" cm="1">
        <f t="array" ref="F196">IFERROR(INDEX(Create_TC_Web!I$1:I$998,SMALL(IF(Create_TC_Web!$C$1:$C$998&lt;&gt;"",MATCH(ROW(Create_TC_Web!$C$1:$C$998),ROW(Create_TC_Web!$C$1:$C$998)),""),ROW(Create_TC_Web!G196))),"")</f>
        <v/>
      </c>
      <c r="G196" t="str" cm="1">
        <f t="array" ref="G196">IFERROR(INDEX(Create_TC_Web!J$1:J$998,SMALL(IF(Create_TC_Web!$C$1:$C$998&lt;&gt;"",MATCH(ROW(Create_TC_Web!$C$1:$C$998),ROW(Create_TC_Web!$C$1:$C$998)),""),ROW(Create_TC_Web!H196))),"")</f>
        <v/>
      </c>
      <c r="H196" t="str" cm="1">
        <f t="array" ref="H196">IFERROR(INDEX(Create_TC_Web!K$1:K$998,SMALL(IF(Create_TC_Web!$C$1:$C$998&lt;&gt;"",MATCH(ROW(Create_TC_Web!$C$1:$C$998),ROW(Create_TC_Web!$C$1:$C$998)),""),ROW(Create_TC_Web!I196))),"")</f>
        <v/>
      </c>
      <c r="I196" t="str" cm="1">
        <f t="array" ref="I196">IFERROR(INDEX(Create_TC_Web!L$1:L$998,SMALL(IF(Create_TC_Web!$C$1:$C$998&lt;&gt;"",MATCH(ROW(Create_TC_Web!$C$1:$C$998),ROW(Create_TC_Web!$C$1:$C$998)),""),ROW(Create_TC_Web!J196))),"")</f>
        <v/>
      </c>
      <c r="J196" t="str" cm="1">
        <f t="array" ref="J196">IFERROR(INDEX(Create_TC_Web!M$1:M$998,SMALL(IF(Create_TC_Web!$C$1:$C$998&lt;&gt;"",MATCH(ROW(Create_TC_Web!$C$1:$C$998),ROW(Create_TC_Web!$C$1:$C$998)),""),ROW(Create_TC_Web!K196))),"")</f>
        <v/>
      </c>
      <c r="K196" t="str" cm="1">
        <f t="array" ref="K196">IFERROR(INDEX(Create_TC_Web!N$1:N$998,SMALL(IF(Create_TC_Web!$C$1:$C$998&lt;&gt;"",MATCH(ROW(Create_TC_Web!$C$1:$C$998),ROW(Create_TC_Web!$C$1:$C$998)),""),ROW(Create_TC_Web!L196))),"")</f>
        <v/>
      </c>
      <c r="L196" t="str" cm="1">
        <f t="array" ref="L196">IFERROR(INDEX(Create_TC_Web!O$1:O$998,SMALL(IF(Create_TC_Web!$C$1:$C$998&lt;&gt;"",MATCH(ROW(Create_TC_Web!$C$1:$C$998),ROW(Create_TC_Web!$C$1:$C$998)),""),ROW(Create_TC_Web!M196))),"")</f>
        <v/>
      </c>
      <c r="M196" t="str" cm="1">
        <f t="array" ref="M196">IFERROR(INDEX(Create_TC_Web!P$1:P$998,SMALL(IF(Create_TC_Web!$C$1:$C$998&lt;&gt;"",MATCH(ROW(Create_TC_Web!$C$1:$C$998),ROW(Create_TC_Web!$C$1:$C$998)),""),ROW(Create_TC_Web!N196))),"")</f>
        <v/>
      </c>
      <c r="N196">
        <f>Create_TC_Web!CA205</f>
        <v>0</v>
      </c>
      <c r="O196" t="str">
        <f t="shared" si="13"/>
        <v/>
      </c>
      <c r="P196" s="17" t="str" cm="1">
        <f t="array" ref="P196">IFERROR(INDEX(Create_TC_Web!S$1:S$500,SMALL(IF(Create_TC_Web!$C$1:$C$500&lt;&gt;"",MATCH(ROW(Create_TC_Web!$C$1:$C$500),ROW(Create_TC_Web!$C$1:$C$500)),""),ROW(Create_TC_Web!Q174))),"")</f>
        <v/>
      </c>
      <c r="S196" t="str">
        <f t="shared" si="14"/>
        <v/>
      </c>
    </row>
    <row r="197" spans="1:19">
      <c r="A197" t="str" cm="1">
        <f t="array" ref="A197">IFERROR(INDEX(Create_TC_Web!D$1:D$998,SMALL(IF(Create_TC_Web!$C$1:$C$998&lt;&gt;"",MATCH(ROW(Create_TC_Web!$C$1:$C$998),ROW(Create_TC_Web!$C$1:$C$998)),""),ROW(Create_TC_Web!B197))),"")</f>
        <v/>
      </c>
      <c r="B197" t="str" cm="1">
        <f t="array" ref="B197">SUBSTITUTE(SUBSTITUTE(SUBSTITUTE(IFERROR(INDEX(Create_TC_Web!E$1:E$505,SMALL(IF(Create_TC_Web!$C$1:$C$505&lt;&gt;"",MATCH(ROW(Create_TC_Web!$C$1:$C$505),ROW(Create_TC_Web!$C$1:$C$505)),""),ROW(Create_TC_Web!C197))),"")," ",""),"-",""),"_","")</f>
        <v/>
      </c>
      <c r="C197" t="str" cm="1">
        <f t="array" ref="C197">IFERROR(INDEX(Create_TC_Web!F$1:F$998,SMALL(IF(Create_TC_Web!$C$1:$C$998&lt;&gt;"",MATCH(ROW(Create_TC_Web!$C$1:$C$998),ROW(Create_TC_Web!$C$1:$C$998)),""),ROW(Create_TC_Web!D197))),"")</f>
        <v/>
      </c>
      <c r="D197" t="str" cm="1">
        <f t="array" ref="D197">IFERROR(INDEX(Create_TC_Web!G$1:G$998,SMALL(IF(Create_TC_Web!$C$1:$C$998&lt;&gt;"",MATCH(ROW(Create_TC_Web!$C$1:$C$998),ROW(Create_TC_Web!$C$1:$C$998)),""),ROW(Create_TC_Web!E197))),"")</f>
        <v/>
      </c>
      <c r="E197" t="str" cm="1">
        <f t="array" ref="E197">IFERROR(INDEX(Create_TC_Web!H$1:H$998,SMALL(IF(Create_TC_Web!$C$1:$C$998&lt;&gt;"",MATCH(ROW(Create_TC_Web!$C$1:$C$998),ROW(Create_TC_Web!$C$1:$C$998)),""),ROW(Create_TC_Web!F197))),"")</f>
        <v/>
      </c>
      <c r="F197" t="str" cm="1">
        <f t="array" ref="F197">IFERROR(INDEX(Create_TC_Web!I$1:I$998,SMALL(IF(Create_TC_Web!$C$1:$C$998&lt;&gt;"",MATCH(ROW(Create_TC_Web!$C$1:$C$998),ROW(Create_TC_Web!$C$1:$C$998)),""),ROW(Create_TC_Web!G197))),"")</f>
        <v/>
      </c>
      <c r="G197" t="str" cm="1">
        <f t="array" ref="G197">IFERROR(INDEX(Create_TC_Web!J$1:J$998,SMALL(IF(Create_TC_Web!$C$1:$C$998&lt;&gt;"",MATCH(ROW(Create_TC_Web!$C$1:$C$998),ROW(Create_TC_Web!$C$1:$C$998)),""),ROW(Create_TC_Web!H197))),"")</f>
        <v/>
      </c>
      <c r="H197" t="str" cm="1">
        <f t="array" ref="H197">IFERROR(INDEX(Create_TC_Web!K$1:K$998,SMALL(IF(Create_TC_Web!$C$1:$C$998&lt;&gt;"",MATCH(ROW(Create_TC_Web!$C$1:$C$998),ROW(Create_TC_Web!$C$1:$C$998)),""),ROW(Create_TC_Web!I197))),"")</f>
        <v/>
      </c>
      <c r="I197" t="str" cm="1">
        <f t="array" ref="I197">IFERROR(INDEX(Create_TC_Web!L$1:L$998,SMALL(IF(Create_TC_Web!$C$1:$C$998&lt;&gt;"",MATCH(ROW(Create_TC_Web!$C$1:$C$998),ROW(Create_TC_Web!$C$1:$C$998)),""),ROW(Create_TC_Web!J197))),"")</f>
        <v/>
      </c>
      <c r="J197" t="str" cm="1">
        <f t="array" ref="J197">IFERROR(INDEX(Create_TC_Web!M$1:M$998,SMALL(IF(Create_TC_Web!$C$1:$C$998&lt;&gt;"",MATCH(ROW(Create_TC_Web!$C$1:$C$998),ROW(Create_TC_Web!$C$1:$C$998)),""),ROW(Create_TC_Web!K197))),"")</f>
        <v/>
      </c>
      <c r="K197" t="str" cm="1">
        <f t="array" ref="K197">IFERROR(INDEX(Create_TC_Web!N$1:N$998,SMALL(IF(Create_TC_Web!$C$1:$C$998&lt;&gt;"",MATCH(ROW(Create_TC_Web!$C$1:$C$998),ROW(Create_TC_Web!$C$1:$C$998)),""),ROW(Create_TC_Web!L197))),"")</f>
        <v/>
      </c>
      <c r="L197" t="str" cm="1">
        <f t="array" ref="L197">IFERROR(INDEX(Create_TC_Web!O$1:O$998,SMALL(IF(Create_TC_Web!$C$1:$C$998&lt;&gt;"",MATCH(ROW(Create_TC_Web!$C$1:$C$998),ROW(Create_TC_Web!$C$1:$C$998)),""),ROW(Create_TC_Web!M197))),"")</f>
        <v/>
      </c>
      <c r="M197" t="str" cm="1">
        <f t="array" ref="M197">IFERROR(INDEX(Create_TC_Web!P$1:P$998,SMALL(IF(Create_TC_Web!$C$1:$C$998&lt;&gt;"",MATCH(ROW(Create_TC_Web!$C$1:$C$998),ROW(Create_TC_Web!$C$1:$C$998)),""),ROW(Create_TC_Web!N197))),"")</f>
        <v/>
      </c>
      <c r="N197">
        <f>Create_TC_Web!CA206</f>
        <v>0</v>
      </c>
      <c r="O197" t="str">
        <f t="shared" si="13"/>
        <v/>
      </c>
      <c r="P197" s="17" t="str" cm="1">
        <f t="array" ref="P197">IFERROR(INDEX(Create_TC_Web!S$1:S$500,SMALL(IF(Create_TC_Web!$C$1:$C$500&lt;&gt;"",MATCH(ROW(Create_TC_Web!$C$1:$C$500),ROW(Create_TC_Web!$C$1:$C$500)),""),ROW(Create_TC_Web!Q175))),"")</f>
        <v/>
      </c>
      <c r="S197" t="str">
        <f t="shared" si="14"/>
        <v/>
      </c>
    </row>
    <row r="198" spans="1:19">
      <c r="A198" t="str" cm="1">
        <f t="array" ref="A198">IFERROR(INDEX(Create_TC_Web!D$1:D$998,SMALL(IF(Create_TC_Web!$C$1:$C$998&lt;&gt;"",MATCH(ROW(Create_TC_Web!$C$1:$C$998),ROW(Create_TC_Web!$C$1:$C$998)),""),ROW(Create_TC_Web!B198))),"")</f>
        <v/>
      </c>
      <c r="B198" t="str" cm="1">
        <f t="array" ref="B198">SUBSTITUTE(SUBSTITUTE(SUBSTITUTE(IFERROR(INDEX(Create_TC_Web!E$1:E$505,SMALL(IF(Create_TC_Web!$C$1:$C$505&lt;&gt;"",MATCH(ROW(Create_TC_Web!$C$1:$C$505),ROW(Create_TC_Web!$C$1:$C$505)),""),ROW(Create_TC_Web!C198))),"")," ",""),"-",""),"_","")</f>
        <v/>
      </c>
      <c r="C198" t="str" cm="1">
        <f t="array" ref="C198">IFERROR(INDEX(Create_TC_Web!F$1:F$998,SMALL(IF(Create_TC_Web!$C$1:$C$998&lt;&gt;"",MATCH(ROW(Create_TC_Web!$C$1:$C$998),ROW(Create_TC_Web!$C$1:$C$998)),""),ROW(Create_TC_Web!D198))),"")</f>
        <v/>
      </c>
      <c r="D198" t="str" cm="1">
        <f t="array" ref="D198">IFERROR(INDEX(Create_TC_Web!G$1:G$998,SMALL(IF(Create_TC_Web!$C$1:$C$998&lt;&gt;"",MATCH(ROW(Create_TC_Web!$C$1:$C$998),ROW(Create_TC_Web!$C$1:$C$998)),""),ROW(Create_TC_Web!E198))),"")</f>
        <v/>
      </c>
      <c r="E198" t="str" cm="1">
        <f t="array" ref="E198">IFERROR(INDEX(Create_TC_Web!H$1:H$998,SMALL(IF(Create_TC_Web!$C$1:$C$998&lt;&gt;"",MATCH(ROW(Create_TC_Web!$C$1:$C$998),ROW(Create_TC_Web!$C$1:$C$998)),""),ROW(Create_TC_Web!F198))),"")</f>
        <v/>
      </c>
      <c r="F198" t="str" cm="1">
        <f t="array" ref="F198">IFERROR(INDEX(Create_TC_Web!I$1:I$998,SMALL(IF(Create_TC_Web!$C$1:$C$998&lt;&gt;"",MATCH(ROW(Create_TC_Web!$C$1:$C$998),ROW(Create_TC_Web!$C$1:$C$998)),""),ROW(Create_TC_Web!G198))),"")</f>
        <v/>
      </c>
      <c r="G198" t="str" cm="1">
        <f t="array" ref="G198">IFERROR(INDEX(Create_TC_Web!J$1:J$998,SMALL(IF(Create_TC_Web!$C$1:$C$998&lt;&gt;"",MATCH(ROW(Create_TC_Web!$C$1:$C$998),ROW(Create_TC_Web!$C$1:$C$998)),""),ROW(Create_TC_Web!H198))),"")</f>
        <v/>
      </c>
      <c r="H198" t="str" cm="1">
        <f t="array" ref="H198">IFERROR(INDEX(Create_TC_Web!K$1:K$998,SMALL(IF(Create_TC_Web!$C$1:$C$998&lt;&gt;"",MATCH(ROW(Create_TC_Web!$C$1:$C$998),ROW(Create_TC_Web!$C$1:$C$998)),""),ROW(Create_TC_Web!I198))),"")</f>
        <v/>
      </c>
      <c r="I198" t="str" cm="1">
        <f t="array" ref="I198">IFERROR(INDEX(Create_TC_Web!L$1:L$998,SMALL(IF(Create_TC_Web!$C$1:$C$998&lt;&gt;"",MATCH(ROW(Create_TC_Web!$C$1:$C$998),ROW(Create_TC_Web!$C$1:$C$998)),""),ROW(Create_TC_Web!J198))),"")</f>
        <v/>
      </c>
      <c r="J198" t="str" cm="1">
        <f t="array" ref="J198">IFERROR(INDEX(Create_TC_Web!M$1:M$998,SMALL(IF(Create_TC_Web!$C$1:$C$998&lt;&gt;"",MATCH(ROW(Create_TC_Web!$C$1:$C$998),ROW(Create_TC_Web!$C$1:$C$998)),""),ROW(Create_TC_Web!K198))),"")</f>
        <v/>
      </c>
      <c r="K198" t="str" cm="1">
        <f t="array" ref="K198">IFERROR(INDEX(Create_TC_Web!N$1:N$998,SMALL(IF(Create_TC_Web!$C$1:$C$998&lt;&gt;"",MATCH(ROW(Create_TC_Web!$C$1:$C$998),ROW(Create_TC_Web!$C$1:$C$998)),""),ROW(Create_TC_Web!L198))),"")</f>
        <v/>
      </c>
      <c r="L198" t="str" cm="1">
        <f t="array" ref="L198">IFERROR(INDEX(Create_TC_Web!O$1:O$998,SMALL(IF(Create_TC_Web!$C$1:$C$998&lt;&gt;"",MATCH(ROW(Create_TC_Web!$C$1:$C$998),ROW(Create_TC_Web!$C$1:$C$998)),""),ROW(Create_TC_Web!M198))),"")</f>
        <v/>
      </c>
      <c r="M198" t="str" cm="1">
        <f t="array" ref="M198">IFERROR(INDEX(Create_TC_Web!P$1:P$998,SMALL(IF(Create_TC_Web!$C$1:$C$998&lt;&gt;"",MATCH(ROW(Create_TC_Web!$C$1:$C$998),ROW(Create_TC_Web!$C$1:$C$998)),""),ROW(Create_TC_Web!N198))),"")</f>
        <v/>
      </c>
      <c r="N198">
        <f>Create_TC_Web!CA207</f>
        <v>0</v>
      </c>
      <c r="O198" t="str">
        <f t="shared" si="13"/>
        <v/>
      </c>
      <c r="P198" s="17" t="str" cm="1">
        <f t="array" ref="P198">IFERROR(INDEX(Create_TC_Web!S$1:S$500,SMALL(IF(Create_TC_Web!$C$1:$C$500&lt;&gt;"",MATCH(ROW(Create_TC_Web!$C$1:$C$500),ROW(Create_TC_Web!$C$1:$C$500)),""),ROW(Create_TC_Web!Q176))),"")</f>
        <v/>
      </c>
      <c r="S198" t="str">
        <f t="shared" si="14"/>
        <v/>
      </c>
    </row>
    <row r="199" spans="1:19">
      <c r="A199" t="str" cm="1">
        <f t="array" ref="A199">IFERROR(INDEX(Create_TC_Web!D$1:D$998,SMALL(IF(Create_TC_Web!$C$1:$C$998&lt;&gt;"",MATCH(ROW(Create_TC_Web!$C$1:$C$998),ROW(Create_TC_Web!$C$1:$C$998)),""),ROW(Create_TC_Web!B199))),"")</f>
        <v/>
      </c>
      <c r="B199" t="str" cm="1">
        <f t="array" ref="B199">SUBSTITUTE(SUBSTITUTE(SUBSTITUTE(IFERROR(INDEX(Create_TC_Web!E$1:E$505,SMALL(IF(Create_TC_Web!$C$1:$C$505&lt;&gt;"",MATCH(ROW(Create_TC_Web!$C$1:$C$505),ROW(Create_TC_Web!$C$1:$C$505)),""),ROW(Create_TC_Web!C199))),"")," ",""),"-",""),"_","")</f>
        <v/>
      </c>
      <c r="C199" t="str" cm="1">
        <f t="array" ref="C199">IFERROR(INDEX(Create_TC_Web!F$1:F$998,SMALL(IF(Create_TC_Web!$C$1:$C$998&lt;&gt;"",MATCH(ROW(Create_TC_Web!$C$1:$C$998),ROW(Create_TC_Web!$C$1:$C$998)),""),ROW(Create_TC_Web!D199))),"")</f>
        <v/>
      </c>
      <c r="D199" t="str" cm="1">
        <f t="array" ref="D199">IFERROR(INDEX(Create_TC_Web!G$1:G$998,SMALL(IF(Create_TC_Web!$C$1:$C$998&lt;&gt;"",MATCH(ROW(Create_TC_Web!$C$1:$C$998),ROW(Create_TC_Web!$C$1:$C$998)),""),ROW(Create_TC_Web!E199))),"")</f>
        <v/>
      </c>
      <c r="E199" t="str" cm="1">
        <f t="array" ref="E199">IFERROR(INDEX(Create_TC_Web!H$1:H$998,SMALL(IF(Create_TC_Web!$C$1:$C$998&lt;&gt;"",MATCH(ROW(Create_TC_Web!$C$1:$C$998),ROW(Create_TC_Web!$C$1:$C$998)),""),ROW(Create_TC_Web!F199))),"")</f>
        <v/>
      </c>
      <c r="F199" t="str" cm="1">
        <f t="array" ref="F199">IFERROR(INDEX(Create_TC_Web!I$1:I$998,SMALL(IF(Create_TC_Web!$C$1:$C$998&lt;&gt;"",MATCH(ROW(Create_TC_Web!$C$1:$C$998),ROW(Create_TC_Web!$C$1:$C$998)),""),ROW(Create_TC_Web!G199))),"")</f>
        <v/>
      </c>
      <c r="G199" t="str" cm="1">
        <f t="array" ref="G199">IFERROR(INDEX(Create_TC_Web!J$1:J$998,SMALL(IF(Create_TC_Web!$C$1:$C$998&lt;&gt;"",MATCH(ROW(Create_TC_Web!$C$1:$C$998),ROW(Create_TC_Web!$C$1:$C$998)),""),ROW(Create_TC_Web!H199))),"")</f>
        <v/>
      </c>
      <c r="H199" t="str" cm="1">
        <f t="array" ref="H199">IFERROR(INDEX(Create_TC_Web!K$1:K$998,SMALL(IF(Create_TC_Web!$C$1:$C$998&lt;&gt;"",MATCH(ROW(Create_TC_Web!$C$1:$C$998),ROW(Create_TC_Web!$C$1:$C$998)),""),ROW(Create_TC_Web!I199))),"")</f>
        <v/>
      </c>
      <c r="I199" t="str" cm="1">
        <f t="array" ref="I199">IFERROR(INDEX(Create_TC_Web!L$1:L$998,SMALL(IF(Create_TC_Web!$C$1:$C$998&lt;&gt;"",MATCH(ROW(Create_TC_Web!$C$1:$C$998),ROW(Create_TC_Web!$C$1:$C$998)),""),ROW(Create_TC_Web!J199))),"")</f>
        <v/>
      </c>
      <c r="J199" t="str" cm="1">
        <f t="array" ref="J199">IFERROR(INDEX(Create_TC_Web!M$1:M$998,SMALL(IF(Create_TC_Web!$C$1:$C$998&lt;&gt;"",MATCH(ROW(Create_TC_Web!$C$1:$C$998),ROW(Create_TC_Web!$C$1:$C$998)),""),ROW(Create_TC_Web!K199))),"")</f>
        <v/>
      </c>
      <c r="K199" t="str" cm="1">
        <f t="array" ref="K199">IFERROR(INDEX(Create_TC_Web!N$1:N$998,SMALL(IF(Create_TC_Web!$C$1:$C$998&lt;&gt;"",MATCH(ROW(Create_TC_Web!$C$1:$C$998),ROW(Create_TC_Web!$C$1:$C$998)),""),ROW(Create_TC_Web!L199))),"")</f>
        <v/>
      </c>
      <c r="L199" t="str" cm="1">
        <f t="array" ref="L199">IFERROR(INDEX(Create_TC_Web!O$1:O$998,SMALL(IF(Create_TC_Web!$C$1:$C$998&lt;&gt;"",MATCH(ROW(Create_TC_Web!$C$1:$C$998),ROW(Create_TC_Web!$C$1:$C$998)),""),ROW(Create_TC_Web!M199))),"")</f>
        <v/>
      </c>
      <c r="M199" t="str" cm="1">
        <f t="array" ref="M199">IFERROR(INDEX(Create_TC_Web!P$1:P$998,SMALL(IF(Create_TC_Web!$C$1:$C$998&lt;&gt;"",MATCH(ROW(Create_TC_Web!$C$1:$C$998),ROW(Create_TC_Web!$C$1:$C$998)),""),ROW(Create_TC_Web!N199))),"")</f>
        <v/>
      </c>
      <c r="N199">
        <f>Create_TC_Web!CA208</f>
        <v>0</v>
      </c>
      <c r="O199" t="str">
        <f t="shared" si="13"/>
        <v/>
      </c>
      <c r="P199" s="17" t="str" cm="1">
        <f t="array" ref="P199">IFERROR(INDEX(Create_TC_Web!S$1:S$500,SMALL(IF(Create_TC_Web!$C$1:$C$500&lt;&gt;"",MATCH(ROW(Create_TC_Web!$C$1:$C$500),ROW(Create_TC_Web!$C$1:$C$500)),""),ROW(Create_TC_Web!Q177))),"")</f>
        <v/>
      </c>
      <c r="S199" t="str">
        <f t="shared" si="14"/>
        <v/>
      </c>
    </row>
    <row r="200" spans="1:19">
      <c r="A200" t="str" cm="1">
        <f t="array" ref="A200">IFERROR(INDEX(Create_TC_Web!D$1:D$998,SMALL(IF(Create_TC_Web!$C$1:$C$998&lt;&gt;"",MATCH(ROW(Create_TC_Web!$C$1:$C$998),ROW(Create_TC_Web!$C$1:$C$998)),""),ROW(Create_TC_Web!B200))),"")</f>
        <v/>
      </c>
      <c r="B200" t="str" cm="1">
        <f t="array" ref="B200">SUBSTITUTE(SUBSTITUTE(SUBSTITUTE(IFERROR(INDEX(Create_TC_Web!E$1:E$505,SMALL(IF(Create_TC_Web!$C$1:$C$505&lt;&gt;"",MATCH(ROW(Create_TC_Web!$C$1:$C$505),ROW(Create_TC_Web!$C$1:$C$505)),""),ROW(Create_TC_Web!C200))),"")," ",""),"-",""),"_","")</f>
        <v/>
      </c>
      <c r="C200" t="str" cm="1">
        <f t="array" ref="C200">IFERROR(INDEX(Create_TC_Web!F$1:F$998,SMALL(IF(Create_TC_Web!$C$1:$C$998&lt;&gt;"",MATCH(ROW(Create_TC_Web!$C$1:$C$998),ROW(Create_TC_Web!$C$1:$C$998)),""),ROW(Create_TC_Web!D200))),"")</f>
        <v/>
      </c>
      <c r="D200" t="str" cm="1">
        <f t="array" ref="D200">IFERROR(INDEX(Create_TC_Web!G$1:G$998,SMALL(IF(Create_TC_Web!$C$1:$C$998&lt;&gt;"",MATCH(ROW(Create_TC_Web!$C$1:$C$998),ROW(Create_TC_Web!$C$1:$C$998)),""),ROW(Create_TC_Web!E200))),"")</f>
        <v/>
      </c>
      <c r="E200" t="str" cm="1">
        <f t="array" ref="E200">IFERROR(INDEX(Create_TC_Web!H$1:H$998,SMALL(IF(Create_TC_Web!$C$1:$C$998&lt;&gt;"",MATCH(ROW(Create_TC_Web!$C$1:$C$998),ROW(Create_TC_Web!$C$1:$C$998)),""),ROW(Create_TC_Web!F200))),"")</f>
        <v/>
      </c>
      <c r="F200" t="str" cm="1">
        <f t="array" ref="F200">IFERROR(INDEX(Create_TC_Web!I$1:I$998,SMALL(IF(Create_TC_Web!$C$1:$C$998&lt;&gt;"",MATCH(ROW(Create_TC_Web!$C$1:$C$998),ROW(Create_TC_Web!$C$1:$C$998)),""),ROW(Create_TC_Web!G200))),"")</f>
        <v/>
      </c>
      <c r="G200" t="str" cm="1">
        <f t="array" ref="G200">IFERROR(INDEX(Create_TC_Web!J$1:J$998,SMALL(IF(Create_TC_Web!$C$1:$C$998&lt;&gt;"",MATCH(ROW(Create_TC_Web!$C$1:$C$998),ROW(Create_TC_Web!$C$1:$C$998)),""),ROW(Create_TC_Web!H200))),"")</f>
        <v/>
      </c>
      <c r="H200" t="str" cm="1">
        <f t="array" ref="H200">IFERROR(INDEX(Create_TC_Web!K$1:K$998,SMALL(IF(Create_TC_Web!$C$1:$C$998&lt;&gt;"",MATCH(ROW(Create_TC_Web!$C$1:$C$998),ROW(Create_TC_Web!$C$1:$C$998)),""),ROW(Create_TC_Web!I200))),"")</f>
        <v/>
      </c>
      <c r="I200" t="str" cm="1">
        <f t="array" ref="I200">IFERROR(INDEX(Create_TC_Web!L$1:L$998,SMALL(IF(Create_TC_Web!$C$1:$C$998&lt;&gt;"",MATCH(ROW(Create_TC_Web!$C$1:$C$998),ROW(Create_TC_Web!$C$1:$C$998)),""),ROW(Create_TC_Web!J200))),"")</f>
        <v/>
      </c>
      <c r="J200" t="str" cm="1">
        <f t="array" ref="J200">IFERROR(INDEX(Create_TC_Web!M$1:M$998,SMALL(IF(Create_TC_Web!$C$1:$C$998&lt;&gt;"",MATCH(ROW(Create_TC_Web!$C$1:$C$998),ROW(Create_TC_Web!$C$1:$C$998)),""),ROW(Create_TC_Web!K200))),"")</f>
        <v/>
      </c>
      <c r="K200" t="str" cm="1">
        <f t="array" ref="K200">IFERROR(INDEX(Create_TC_Web!N$1:N$998,SMALL(IF(Create_TC_Web!$C$1:$C$998&lt;&gt;"",MATCH(ROW(Create_TC_Web!$C$1:$C$998),ROW(Create_TC_Web!$C$1:$C$998)),""),ROW(Create_TC_Web!L200))),"")</f>
        <v/>
      </c>
      <c r="L200" t="str" cm="1">
        <f t="array" ref="L200">IFERROR(INDEX(Create_TC_Web!O$1:O$998,SMALL(IF(Create_TC_Web!$C$1:$C$998&lt;&gt;"",MATCH(ROW(Create_TC_Web!$C$1:$C$998),ROW(Create_TC_Web!$C$1:$C$998)),""),ROW(Create_TC_Web!M200))),"")</f>
        <v/>
      </c>
      <c r="M200" t="str" cm="1">
        <f t="array" ref="M200">IFERROR(INDEX(Create_TC_Web!P$1:P$998,SMALL(IF(Create_TC_Web!$C$1:$C$998&lt;&gt;"",MATCH(ROW(Create_TC_Web!$C$1:$C$998),ROW(Create_TC_Web!$C$1:$C$998)),""),ROW(Create_TC_Web!N200))),"")</f>
        <v/>
      </c>
      <c r="N200">
        <f>Create_TC_Web!CA209</f>
        <v>0</v>
      </c>
      <c r="O200" t="str">
        <f t="shared" si="13"/>
        <v/>
      </c>
      <c r="P200" s="17" t="str" cm="1">
        <f t="array" ref="P200">IFERROR(INDEX(Create_TC_Web!S$1:S$500,SMALL(IF(Create_TC_Web!$C$1:$C$500&lt;&gt;"",MATCH(ROW(Create_TC_Web!$C$1:$C$500),ROW(Create_TC_Web!$C$1:$C$500)),""),ROW(Create_TC_Web!Q178))),"")</f>
        <v/>
      </c>
      <c r="S200" t="str">
        <f t="shared" si="14"/>
        <v/>
      </c>
    </row>
    <row r="201" spans="1:19">
      <c r="A201" t="str" cm="1">
        <f t="array" ref="A201">IFERROR(INDEX(Create_TC_Web!D$1:D$998,SMALL(IF(Create_TC_Web!$C$1:$C$998&lt;&gt;"",MATCH(ROW(Create_TC_Web!$C$1:$C$998),ROW(Create_TC_Web!$C$1:$C$998)),""),ROW(Create_TC_Web!B201))),"")</f>
        <v/>
      </c>
      <c r="B201" t="str" cm="1">
        <f t="array" ref="B201">SUBSTITUTE(SUBSTITUTE(SUBSTITUTE(IFERROR(INDEX(Create_TC_Web!E$1:E$505,SMALL(IF(Create_TC_Web!$C$1:$C$505&lt;&gt;"",MATCH(ROW(Create_TC_Web!$C$1:$C$505),ROW(Create_TC_Web!$C$1:$C$505)),""),ROW(Create_TC_Web!C201))),"")," ",""),"-",""),"_","")</f>
        <v/>
      </c>
      <c r="C201" t="str" cm="1">
        <f t="array" ref="C201">IFERROR(INDEX(Create_TC_Web!F$1:F$998,SMALL(IF(Create_TC_Web!$C$1:$C$998&lt;&gt;"",MATCH(ROW(Create_TC_Web!$C$1:$C$998),ROW(Create_TC_Web!$C$1:$C$998)),""),ROW(Create_TC_Web!D201))),"")</f>
        <v/>
      </c>
      <c r="D201" t="str" cm="1">
        <f t="array" ref="D201">IFERROR(INDEX(Create_TC_Web!G$1:G$998,SMALL(IF(Create_TC_Web!$C$1:$C$998&lt;&gt;"",MATCH(ROW(Create_TC_Web!$C$1:$C$998),ROW(Create_TC_Web!$C$1:$C$998)),""),ROW(Create_TC_Web!E201))),"")</f>
        <v/>
      </c>
      <c r="E201" t="str" cm="1">
        <f t="array" ref="E201">IFERROR(INDEX(Create_TC_Web!H$1:H$998,SMALL(IF(Create_TC_Web!$C$1:$C$998&lt;&gt;"",MATCH(ROW(Create_TC_Web!$C$1:$C$998),ROW(Create_TC_Web!$C$1:$C$998)),""),ROW(Create_TC_Web!F201))),"")</f>
        <v/>
      </c>
      <c r="F201" t="str" cm="1">
        <f t="array" ref="F201">IFERROR(INDEX(Create_TC_Web!I$1:I$998,SMALL(IF(Create_TC_Web!$C$1:$C$998&lt;&gt;"",MATCH(ROW(Create_TC_Web!$C$1:$C$998),ROW(Create_TC_Web!$C$1:$C$998)),""),ROW(Create_TC_Web!G201))),"")</f>
        <v/>
      </c>
      <c r="G201" t="str" cm="1">
        <f t="array" ref="G201">IFERROR(INDEX(Create_TC_Web!J$1:J$998,SMALL(IF(Create_TC_Web!$C$1:$C$998&lt;&gt;"",MATCH(ROW(Create_TC_Web!$C$1:$C$998),ROW(Create_TC_Web!$C$1:$C$998)),""),ROW(Create_TC_Web!H201))),"")</f>
        <v/>
      </c>
      <c r="H201" t="str" cm="1">
        <f t="array" ref="H201">IFERROR(INDEX(Create_TC_Web!K$1:K$998,SMALL(IF(Create_TC_Web!$C$1:$C$998&lt;&gt;"",MATCH(ROW(Create_TC_Web!$C$1:$C$998),ROW(Create_TC_Web!$C$1:$C$998)),""),ROW(Create_TC_Web!I201))),"")</f>
        <v/>
      </c>
      <c r="I201" t="str" cm="1">
        <f t="array" ref="I201">IFERROR(INDEX(Create_TC_Web!L$1:L$998,SMALL(IF(Create_TC_Web!$C$1:$C$998&lt;&gt;"",MATCH(ROW(Create_TC_Web!$C$1:$C$998),ROW(Create_TC_Web!$C$1:$C$998)),""),ROW(Create_TC_Web!J201))),"")</f>
        <v/>
      </c>
      <c r="J201" t="str" cm="1">
        <f t="array" ref="J201">IFERROR(INDEX(Create_TC_Web!M$1:M$998,SMALL(IF(Create_TC_Web!$C$1:$C$998&lt;&gt;"",MATCH(ROW(Create_TC_Web!$C$1:$C$998),ROW(Create_TC_Web!$C$1:$C$998)),""),ROW(Create_TC_Web!K201))),"")</f>
        <v/>
      </c>
      <c r="K201" t="str" cm="1">
        <f t="array" ref="K201">IFERROR(INDEX(Create_TC_Web!N$1:N$998,SMALL(IF(Create_TC_Web!$C$1:$C$998&lt;&gt;"",MATCH(ROW(Create_TC_Web!$C$1:$C$998),ROW(Create_TC_Web!$C$1:$C$998)),""),ROW(Create_TC_Web!L201))),"")</f>
        <v/>
      </c>
      <c r="L201" t="str" cm="1">
        <f t="array" ref="L201">IFERROR(INDEX(Create_TC_Web!O$1:O$998,SMALL(IF(Create_TC_Web!$C$1:$C$998&lt;&gt;"",MATCH(ROW(Create_TC_Web!$C$1:$C$998),ROW(Create_TC_Web!$C$1:$C$998)),""),ROW(Create_TC_Web!M201))),"")</f>
        <v/>
      </c>
      <c r="M201" t="str" cm="1">
        <f t="array" ref="M201">IFERROR(INDEX(Create_TC_Web!P$1:P$998,SMALL(IF(Create_TC_Web!$C$1:$C$998&lt;&gt;"",MATCH(ROW(Create_TC_Web!$C$1:$C$998),ROW(Create_TC_Web!$C$1:$C$998)),""),ROW(Create_TC_Web!N201))),"")</f>
        <v/>
      </c>
      <c r="N201">
        <f>Create_TC_Web!CA210</f>
        <v>0</v>
      </c>
      <c r="O201" t="str">
        <f t="shared" si="13"/>
        <v/>
      </c>
      <c r="P201" s="17" t="str" cm="1">
        <f t="array" ref="P201">IFERROR(INDEX(Create_TC_Web!S$1:S$500,SMALL(IF(Create_TC_Web!$C$1:$C$500&lt;&gt;"",MATCH(ROW(Create_TC_Web!$C$1:$C$500),ROW(Create_TC_Web!$C$1:$C$500)),""),ROW(Create_TC_Web!Q179))),"")</f>
        <v/>
      </c>
      <c r="S201" t="str">
        <f t="shared" si="14"/>
        <v/>
      </c>
    </row>
    <row r="202" spans="1:19">
      <c r="A202" t="str" cm="1">
        <f t="array" ref="A202">IFERROR(INDEX(Create_TC_Web!D$1:D$998,SMALL(IF(Create_TC_Web!$C$1:$C$998&lt;&gt;"",MATCH(ROW(Create_TC_Web!$C$1:$C$998),ROW(Create_TC_Web!$C$1:$C$998)),""),ROW(Create_TC_Web!B202))),"")</f>
        <v/>
      </c>
      <c r="B202" t="str" cm="1">
        <f t="array" ref="B202">SUBSTITUTE(SUBSTITUTE(SUBSTITUTE(IFERROR(INDEX(Create_TC_Web!E$1:E$505,SMALL(IF(Create_TC_Web!$C$1:$C$505&lt;&gt;"",MATCH(ROW(Create_TC_Web!$C$1:$C$505),ROW(Create_TC_Web!$C$1:$C$505)),""),ROW(Create_TC_Web!C202))),"")," ",""),"-",""),"_","")</f>
        <v/>
      </c>
      <c r="C202" t="str" cm="1">
        <f t="array" ref="C202">IFERROR(INDEX(Create_TC_Web!F$1:F$998,SMALL(IF(Create_TC_Web!$C$1:$C$998&lt;&gt;"",MATCH(ROW(Create_TC_Web!$C$1:$C$998),ROW(Create_TC_Web!$C$1:$C$998)),""),ROW(Create_TC_Web!D202))),"")</f>
        <v/>
      </c>
      <c r="D202" t="str" cm="1">
        <f t="array" ref="D202">IFERROR(INDEX(Create_TC_Web!G$1:G$998,SMALL(IF(Create_TC_Web!$C$1:$C$998&lt;&gt;"",MATCH(ROW(Create_TC_Web!$C$1:$C$998),ROW(Create_TC_Web!$C$1:$C$998)),""),ROW(Create_TC_Web!E202))),"")</f>
        <v/>
      </c>
      <c r="E202" t="str" cm="1">
        <f t="array" ref="E202">IFERROR(INDEX(Create_TC_Web!H$1:H$998,SMALL(IF(Create_TC_Web!$C$1:$C$998&lt;&gt;"",MATCH(ROW(Create_TC_Web!$C$1:$C$998),ROW(Create_TC_Web!$C$1:$C$998)),""),ROW(Create_TC_Web!F202))),"")</f>
        <v/>
      </c>
      <c r="F202" t="str" cm="1">
        <f t="array" ref="F202">IFERROR(INDEX(Create_TC_Web!I$1:I$998,SMALL(IF(Create_TC_Web!$C$1:$C$998&lt;&gt;"",MATCH(ROW(Create_TC_Web!$C$1:$C$998),ROW(Create_TC_Web!$C$1:$C$998)),""),ROW(Create_TC_Web!G202))),"")</f>
        <v/>
      </c>
      <c r="G202" t="str" cm="1">
        <f t="array" ref="G202">IFERROR(INDEX(Create_TC_Web!J$1:J$998,SMALL(IF(Create_TC_Web!$C$1:$C$998&lt;&gt;"",MATCH(ROW(Create_TC_Web!$C$1:$C$998),ROW(Create_TC_Web!$C$1:$C$998)),""),ROW(Create_TC_Web!H202))),"")</f>
        <v/>
      </c>
      <c r="H202" t="str" cm="1">
        <f t="array" ref="H202">IFERROR(INDEX(Create_TC_Web!K$1:K$998,SMALL(IF(Create_TC_Web!$C$1:$C$998&lt;&gt;"",MATCH(ROW(Create_TC_Web!$C$1:$C$998),ROW(Create_TC_Web!$C$1:$C$998)),""),ROW(Create_TC_Web!I202))),"")</f>
        <v/>
      </c>
      <c r="I202" t="str" cm="1">
        <f t="array" ref="I202">IFERROR(INDEX(Create_TC_Web!L$1:L$998,SMALL(IF(Create_TC_Web!$C$1:$C$998&lt;&gt;"",MATCH(ROW(Create_TC_Web!$C$1:$C$998),ROW(Create_TC_Web!$C$1:$C$998)),""),ROW(Create_TC_Web!J202))),"")</f>
        <v/>
      </c>
      <c r="J202" t="str" cm="1">
        <f t="array" ref="J202">IFERROR(INDEX(Create_TC_Web!M$1:M$998,SMALL(IF(Create_TC_Web!$C$1:$C$998&lt;&gt;"",MATCH(ROW(Create_TC_Web!$C$1:$C$998),ROW(Create_TC_Web!$C$1:$C$998)),""),ROW(Create_TC_Web!K202))),"")</f>
        <v/>
      </c>
      <c r="K202" t="str" cm="1">
        <f t="array" ref="K202">IFERROR(INDEX(Create_TC_Web!N$1:N$998,SMALL(IF(Create_TC_Web!$C$1:$C$998&lt;&gt;"",MATCH(ROW(Create_TC_Web!$C$1:$C$998),ROW(Create_TC_Web!$C$1:$C$998)),""),ROW(Create_TC_Web!L202))),"")</f>
        <v/>
      </c>
      <c r="L202" t="str" cm="1">
        <f t="array" ref="L202">IFERROR(INDEX(Create_TC_Web!O$1:O$998,SMALL(IF(Create_TC_Web!$C$1:$C$998&lt;&gt;"",MATCH(ROW(Create_TC_Web!$C$1:$C$998),ROW(Create_TC_Web!$C$1:$C$998)),""),ROW(Create_TC_Web!M202))),"")</f>
        <v/>
      </c>
      <c r="M202" t="str" cm="1">
        <f t="array" ref="M202">IFERROR(INDEX(Create_TC_Web!P$1:P$998,SMALL(IF(Create_TC_Web!$C$1:$C$998&lt;&gt;"",MATCH(ROW(Create_TC_Web!$C$1:$C$998),ROW(Create_TC_Web!$C$1:$C$998)),""),ROW(Create_TC_Web!N202))),"")</f>
        <v/>
      </c>
      <c r="N202">
        <f>Create_TC_Web!CA211</f>
        <v>0</v>
      </c>
      <c r="O202" t="str">
        <f t="shared" si="13"/>
        <v/>
      </c>
      <c r="P202" s="17" t="str" cm="1">
        <f t="array" ref="P202">IFERROR(INDEX(Create_TC_Web!S$1:S$500,SMALL(IF(Create_TC_Web!$C$1:$C$500&lt;&gt;"",MATCH(ROW(Create_TC_Web!$C$1:$C$500),ROW(Create_TC_Web!$C$1:$C$500)),""),ROW(Create_TC_Web!Q180))),"")</f>
        <v/>
      </c>
      <c r="S202" t="str">
        <f t="shared" si="14"/>
        <v/>
      </c>
    </row>
    <row r="203" spans="1:19">
      <c r="A203" t="str" cm="1">
        <f t="array" ref="A203">IFERROR(INDEX(Create_TC_Web!D$1:D$998,SMALL(IF(Create_TC_Web!$C$1:$C$998&lt;&gt;"",MATCH(ROW(Create_TC_Web!$C$1:$C$998),ROW(Create_TC_Web!$C$1:$C$998)),""),ROW(Create_TC_Web!B203))),"")</f>
        <v/>
      </c>
      <c r="B203" t="str" cm="1">
        <f t="array" ref="B203">SUBSTITUTE(SUBSTITUTE(SUBSTITUTE(IFERROR(INDEX(Create_TC_Web!E$1:E$505,SMALL(IF(Create_TC_Web!$C$1:$C$505&lt;&gt;"",MATCH(ROW(Create_TC_Web!$C$1:$C$505),ROW(Create_TC_Web!$C$1:$C$505)),""),ROW(Create_TC_Web!C203))),"")," ",""),"-",""),"_","")</f>
        <v/>
      </c>
      <c r="C203" t="str" cm="1">
        <f t="array" ref="C203">IFERROR(INDEX(Create_TC_Web!F$1:F$998,SMALL(IF(Create_TC_Web!$C$1:$C$998&lt;&gt;"",MATCH(ROW(Create_TC_Web!$C$1:$C$998),ROW(Create_TC_Web!$C$1:$C$998)),""),ROW(Create_TC_Web!D203))),"")</f>
        <v/>
      </c>
      <c r="D203" t="str" cm="1">
        <f t="array" ref="D203">IFERROR(INDEX(Create_TC_Web!G$1:G$998,SMALL(IF(Create_TC_Web!$C$1:$C$998&lt;&gt;"",MATCH(ROW(Create_TC_Web!$C$1:$C$998),ROW(Create_TC_Web!$C$1:$C$998)),""),ROW(Create_TC_Web!E203))),"")</f>
        <v/>
      </c>
      <c r="E203" t="str" cm="1">
        <f t="array" ref="E203">IFERROR(INDEX(Create_TC_Web!H$1:H$998,SMALL(IF(Create_TC_Web!$C$1:$C$998&lt;&gt;"",MATCH(ROW(Create_TC_Web!$C$1:$C$998),ROW(Create_TC_Web!$C$1:$C$998)),""),ROW(Create_TC_Web!F203))),"")</f>
        <v/>
      </c>
      <c r="F203" t="str" cm="1">
        <f t="array" ref="F203">IFERROR(INDEX(Create_TC_Web!I$1:I$998,SMALL(IF(Create_TC_Web!$C$1:$C$998&lt;&gt;"",MATCH(ROW(Create_TC_Web!$C$1:$C$998),ROW(Create_TC_Web!$C$1:$C$998)),""),ROW(Create_TC_Web!G203))),"")</f>
        <v/>
      </c>
      <c r="G203" t="str" cm="1">
        <f t="array" ref="G203">IFERROR(INDEX(Create_TC_Web!J$1:J$998,SMALL(IF(Create_TC_Web!$C$1:$C$998&lt;&gt;"",MATCH(ROW(Create_TC_Web!$C$1:$C$998),ROW(Create_TC_Web!$C$1:$C$998)),""),ROW(Create_TC_Web!H203))),"")</f>
        <v/>
      </c>
      <c r="H203" t="str" cm="1">
        <f t="array" ref="H203">IFERROR(INDEX(Create_TC_Web!K$1:K$998,SMALL(IF(Create_TC_Web!$C$1:$C$998&lt;&gt;"",MATCH(ROW(Create_TC_Web!$C$1:$C$998),ROW(Create_TC_Web!$C$1:$C$998)),""),ROW(Create_TC_Web!I203))),"")</f>
        <v/>
      </c>
      <c r="I203" t="str" cm="1">
        <f t="array" ref="I203">IFERROR(INDEX(Create_TC_Web!L$1:L$998,SMALL(IF(Create_TC_Web!$C$1:$C$998&lt;&gt;"",MATCH(ROW(Create_TC_Web!$C$1:$C$998),ROW(Create_TC_Web!$C$1:$C$998)),""),ROW(Create_TC_Web!J203))),"")</f>
        <v/>
      </c>
      <c r="J203" t="str" cm="1">
        <f t="array" ref="J203">IFERROR(INDEX(Create_TC_Web!M$1:M$998,SMALL(IF(Create_TC_Web!$C$1:$C$998&lt;&gt;"",MATCH(ROW(Create_TC_Web!$C$1:$C$998),ROW(Create_TC_Web!$C$1:$C$998)),""),ROW(Create_TC_Web!K203))),"")</f>
        <v/>
      </c>
      <c r="K203" t="str" cm="1">
        <f t="array" ref="K203">IFERROR(INDEX(Create_TC_Web!N$1:N$998,SMALL(IF(Create_TC_Web!$C$1:$C$998&lt;&gt;"",MATCH(ROW(Create_TC_Web!$C$1:$C$998),ROW(Create_TC_Web!$C$1:$C$998)),""),ROW(Create_TC_Web!L203))),"")</f>
        <v/>
      </c>
      <c r="L203" t="str" cm="1">
        <f t="array" ref="L203">IFERROR(INDEX(Create_TC_Web!O$1:O$998,SMALL(IF(Create_TC_Web!$C$1:$C$998&lt;&gt;"",MATCH(ROW(Create_TC_Web!$C$1:$C$998),ROW(Create_TC_Web!$C$1:$C$998)),""),ROW(Create_TC_Web!M203))),"")</f>
        <v/>
      </c>
      <c r="M203" t="str" cm="1">
        <f t="array" ref="M203">IFERROR(INDEX(Create_TC_Web!P$1:P$998,SMALL(IF(Create_TC_Web!$C$1:$C$998&lt;&gt;"",MATCH(ROW(Create_TC_Web!$C$1:$C$998),ROW(Create_TC_Web!$C$1:$C$998)),""),ROW(Create_TC_Web!N203))),"")</f>
        <v/>
      </c>
      <c r="N203">
        <f>Create_TC_Web!CA212</f>
        <v>0</v>
      </c>
      <c r="O203" t="str">
        <f t="shared" si="13"/>
        <v/>
      </c>
      <c r="P203" s="17" t="str" cm="1">
        <f t="array" ref="P203">IFERROR(INDEX(Create_TC_Web!S$1:S$500,SMALL(IF(Create_TC_Web!$C$1:$C$500&lt;&gt;"",MATCH(ROW(Create_TC_Web!$C$1:$C$500),ROW(Create_TC_Web!$C$1:$C$500)),""),ROW(Create_TC_Web!Q181))),"")</f>
        <v/>
      </c>
      <c r="S203" t="str">
        <f t="shared" si="14"/>
        <v/>
      </c>
    </row>
    <row r="204" spans="1:19">
      <c r="A204" t="str" cm="1">
        <f t="array" ref="A204">IFERROR(INDEX(Create_TC_Web!D$1:D$998,SMALL(IF(Create_TC_Web!$C$1:$C$998&lt;&gt;"",MATCH(ROW(Create_TC_Web!$C$1:$C$998),ROW(Create_TC_Web!$C$1:$C$998)),""),ROW(Create_TC_Web!B204))),"")</f>
        <v/>
      </c>
      <c r="B204" t="str" cm="1">
        <f t="array" ref="B204">SUBSTITUTE(SUBSTITUTE(SUBSTITUTE(IFERROR(INDEX(Create_TC_Web!E$1:E$505,SMALL(IF(Create_TC_Web!$C$1:$C$505&lt;&gt;"",MATCH(ROW(Create_TC_Web!$C$1:$C$505),ROW(Create_TC_Web!$C$1:$C$505)),""),ROW(Create_TC_Web!C204))),"")," ",""),"-",""),"_","")</f>
        <v/>
      </c>
      <c r="C204" t="str" cm="1">
        <f t="array" ref="C204">IFERROR(INDEX(Create_TC_Web!F$1:F$998,SMALL(IF(Create_TC_Web!$C$1:$C$998&lt;&gt;"",MATCH(ROW(Create_TC_Web!$C$1:$C$998),ROW(Create_TC_Web!$C$1:$C$998)),""),ROW(Create_TC_Web!D204))),"")</f>
        <v/>
      </c>
      <c r="D204" t="str" cm="1">
        <f t="array" ref="D204">IFERROR(INDEX(Create_TC_Web!G$1:G$998,SMALL(IF(Create_TC_Web!$C$1:$C$998&lt;&gt;"",MATCH(ROW(Create_TC_Web!$C$1:$C$998),ROW(Create_TC_Web!$C$1:$C$998)),""),ROW(Create_TC_Web!E204))),"")</f>
        <v/>
      </c>
      <c r="E204" t="str" cm="1">
        <f t="array" ref="E204">IFERROR(INDEX(Create_TC_Web!H$1:H$998,SMALL(IF(Create_TC_Web!$C$1:$C$998&lt;&gt;"",MATCH(ROW(Create_TC_Web!$C$1:$C$998),ROW(Create_TC_Web!$C$1:$C$998)),""),ROW(Create_TC_Web!F204))),"")</f>
        <v/>
      </c>
      <c r="F204" t="str" cm="1">
        <f t="array" ref="F204">IFERROR(INDEX(Create_TC_Web!I$1:I$998,SMALL(IF(Create_TC_Web!$C$1:$C$998&lt;&gt;"",MATCH(ROW(Create_TC_Web!$C$1:$C$998),ROW(Create_TC_Web!$C$1:$C$998)),""),ROW(Create_TC_Web!G204))),"")</f>
        <v/>
      </c>
      <c r="G204" t="str" cm="1">
        <f t="array" ref="G204">IFERROR(INDEX(Create_TC_Web!J$1:J$998,SMALL(IF(Create_TC_Web!$C$1:$C$998&lt;&gt;"",MATCH(ROW(Create_TC_Web!$C$1:$C$998),ROW(Create_TC_Web!$C$1:$C$998)),""),ROW(Create_TC_Web!H204))),"")</f>
        <v/>
      </c>
      <c r="H204" t="str" cm="1">
        <f t="array" ref="H204">IFERROR(INDEX(Create_TC_Web!K$1:K$998,SMALL(IF(Create_TC_Web!$C$1:$C$998&lt;&gt;"",MATCH(ROW(Create_TC_Web!$C$1:$C$998),ROW(Create_TC_Web!$C$1:$C$998)),""),ROW(Create_TC_Web!I204))),"")</f>
        <v/>
      </c>
      <c r="I204" t="str" cm="1">
        <f t="array" ref="I204">IFERROR(INDEX(Create_TC_Web!L$1:L$998,SMALL(IF(Create_TC_Web!$C$1:$C$998&lt;&gt;"",MATCH(ROW(Create_TC_Web!$C$1:$C$998),ROW(Create_TC_Web!$C$1:$C$998)),""),ROW(Create_TC_Web!J204))),"")</f>
        <v/>
      </c>
      <c r="J204" t="str" cm="1">
        <f t="array" ref="J204">IFERROR(INDEX(Create_TC_Web!M$1:M$998,SMALL(IF(Create_TC_Web!$C$1:$C$998&lt;&gt;"",MATCH(ROW(Create_TC_Web!$C$1:$C$998),ROW(Create_TC_Web!$C$1:$C$998)),""),ROW(Create_TC_Web!K204))),"")</f>
        <v/>
      </c>
      <c r="K204" t="str" cm="1">
        <f t="array" ref="K204">IFERROR(INDEX(Create_TC_Web!N$1:N$998,SMALL(IF(Create_TC_Web!$C$1:$C$998&lt;&gt;"",MATCH(ROW(Create_TC_Web!$C$1:$C$998),ROW(Create_TC_Web!$C$1:$C$998)),""),ROW(Create_TC_Web!L204))),"")</f>
        <v/>
      </c>
      <c r="L204" t="str" cm="1">
        <f t="array" ref="L204">IFERROR(INDEX(Create_TC_Web!O$1:O$998,SMALL(IF(Create_TC_Web!$C$1:$C$998&lt;&gt;"",MATCH(ROW(Create_TC_Web!$C$1:$C$998),ROW(Create_TC_Web!$C$1:$C$998)),""),ROW(Create_TC_Web!M204))),"")</f>
        <v/>
      </c>
      <c r="M204" t="str" cm="1">
        <f t="array" ref="M204">IFERROR(INDEX(Create_TC_Web!P$1:P$998,SMALL(IF(Create_TC_Web!$C$1:$C$998&lt;&gt;"",MATCH(ROW(Create_TC_Web!$C$1:$C$998),ROW(Create_TC_Web!$C$1:$C$998)),""),ROW(Create_TC_Web!N204))),"")</f>
        <v/>
      </c>
      <c r="N204">
        <f>Create_TC_Web!CA213</f>
        <v>0</v>
      </c>
      <c r="O204" t="str">
        <f t="shared" si="13"/>
        <v/>
      </c>
      <c r="P204" s="17" t="str" cm="1">
        <f t="array" ref="P204">IFERROR(INDEX(Create_TC_Web!S$1:S$500,SMALL(IF(Create_TC_Web!$C$1:$C$500&lt;&gt;"",MATCH(ROW(Create_TC_Web!$C$1:$C$500),ROW(Create_TC_Web!$C$1:$C$500)),""),ROW(Create_TC_Web!Q182))),"")</f>
        <v/>
      </c>
      <c r="S204" t="str">
        <f t="shared" si="14"/>
        <v/>
      </c>
    </row>
    <row r="205" spans="1:19">
      <c r="A205" t="str" cm="1">
        <f t="array" ref="A205">IFERROR(INDEX(Create_TC_Web!D$1:D$998,SMALL(IF(Create_TC_Web!$C$1:$C$998&lt;&gt;"",MATCH(ROW(Create_TC_Web!$C$1:$C$998),ROW(Create_TC_Web!$C$1:$C$998)),""),ROW(Create_TC_Web!B205))),"")</f>
        <v/>
      </c>
      <c r="B205" t="str" cm="1">
        <f t="array" ref="B205">SUBSTITUTE(SUBSTITUTE(SUBSTITUTE(IFERROR(INDEX(Create_TC_Web!E$1:E$505,SMALL(IF(Create_TC_Web!$C$1:$C$505&lt;&gt;"",MATCH(ROW(Create_TC_Web!$C$1:$C$505),ROW(Create_TC_Web!$C$1:$C$505)),""),ROW(Create_TC_Web!C205))),"")," ",""),"-",""),"_","")</f>
        <v/>
      </c>
      <c r="C205" t="str" cm="1">
        <f t="array" ref="C205">IFERROR(INDEX(Create_TC_Web!F$1:F$998,SMALL(IF(Create_TC_Web!$C$1:$C$998&lt;&gt;"",MATCH(ROW(Create_TC_Web!$C$1:$C$998),ROW(Create_TC_Web!$C$1:$C$998)),""),ROW(Create_TC_Web!D205))),"")</f>
        <v/>
      </c>
      <c r="D205" t="str" cm="1">
        <f t="array" ref="D205">IFERROR(INDEX(Create_TC_Web!G$1:G$998,SMALL(IF(Create_TC_Web!$C$1:$C$998&lt;&gt;"",MATCH(ROW(Create_TC_Web!$C$1:$C$998),ROW(Create_TC_Web!$C$1:$C$998)),""),ROW(Create_TC_Web!E205))),"")</f>
        <v/>
      </c>
      <c r="E205" t="str" cm="1">
        <f t="array" ref="E205">IFERROR(INDEX(Create_TC_Web!H$1:H$998,SMALL(IF(Create_TC_Web!$C$1:$C$998&lt;&gt;"",MATCH(ROW(Create_TC_Web!$C$1:$C$998),ROW(Create_TC_Web!$C$1:$C$998)),""),ROW(Create_TC_Web!F205))),"")</f>
        <v/>
      </c>
      <c r="F205" t="str" cm="1">
        <f t="array" ref="F205">IFERROR(INDEX(Create_TC_Web!I$1:I$998,SMALL(IF(Create_TC_Web!$C$1:$C$998&lt;&gt;"",MATCH(ROW(Create_TC_Web!$C$1:$C$998),ROW(Create_TC_Web!$C$1:$C$998)),""),ROW(Create_TC_Web!G205))),"")</f>
        <v/>
      </c>
      <c r="G205" t="str" cm="1">
        <f t="array" ref="G205">IFERROR(INDEX(Create_TC_Web!J$1:J$998,SMALL(IF(Create_TC_Web!$C$1:$C$998&lt;&gt;"",MATCH(ROW(Create_TC_Web!$C$1:$C$998),ROW(Create_TC_Web!$C$1:$C$998)),""),ROW(Create_TC_Web!H205))),"")</f>
        <v/>
      </c>
      <c r="H205" t="str" cm="1">
        <f t="array" ref="H205">IFERROR(INDEX(Create_TC_Web!K$1:K$998,SMALL(IF(Create_TC_Web!$C$1:$C$998&lt;&gt;"",MATCH(ROW(Create_TC_Web!$C$1:$C$998),ROW(Create_TC_Web!$C$1:$C$998)),""),ROW(Create_TC_Web!I205))),"")</f>
        <v/>
      </c>
      <c r="I205" t="str" cm="1">
        <f t="array" ref="I205">IFERROR(INDEX(Create_TC_Web!L$1:L$998,SMALL(IF(Create_TC_Web!$C$1:$C$998&lt;&gt;"",MATCH(ROW(Create_TC_Web!$C$1:$C$998),ROW(Create_TC_Web!$C$1:$C$998)),""),ROW(Create_TC_Web!J205))),"")</f>
        <v/>
      </c>
      <c r="J205" t="str" cm="1">
        <f t="array" ref="J205">IFERROR(INDEX(Create_TC_Web!M$1:M$998,SMALL(IF(Create_TC_Web!$C$1:$C$998&lt;&gt;"",MATCH(ROW(Create_TC_Web!$C$1:$C$998),ROW(Create_TC_Web!$C$1:$C$998)),""),ROW(Create_TC_Web!K205))),"")</f>
        <v/>
      </c>
      <c r="K205" t="str" cm="1">
        <f t="array" ref="K205">IFERROR(INDEX(Create_TC_Web!N$1:N$998,SMALL(IF(Create_TC_Web!$C$1:$C$998&lt;&gt;"",MATCH(ROW(Create_TC_Web!$C$1:$C$998),ROW(Create_TC_Web!$C$1:$C$998)),""),ROW(Create_TC_Web!L205))),"")</f>
        <v/>
      </c>
      <c r="L205" t="str" cm="1">
        <f t="array" ref="L205">IFERROR(INDEX(Create_TC_Web!O$1:O$998,SMALL(IF(Create_TC_Web!$C$1:$C$998&lt;&gt;"",MATCH(ROW(Create_TC_Web!$C$1:$C$998),ROW(Create_TC_Web!$C$1:$C$998)),""),ROW(Create_TC_Web!M205))),"")</f>
        <v/>
      </c>
      <c r="M205" t="str" cm="1">
        <f t="array" ref="M205">IFERROR(INDEX(Create_TC_Web!P$1:P$998,SMALL(IF(Create_TC_Web!$C$1:$C$998&lt;&gt;"",MATCH(ROW(Create_TC_Web!$C$1:$C$998),ROW(Create_TC_Web!$C$1:$C$998)),""),ROW(Create_TC_Web!N205))),"")</f>
        <v/>
      </c>
      <c r="N205">
        <f>Create_TC_Web!CA214</f>
        <v>0</v>
      </c>
      <c r="O205" t="str">
        <f t="shared" si="13"/>
        <v/>
      </c>
      <c r="P205" s="17" t="str" cm="1">
        <f t="array" ref="P205">IFERROR(INDEX(Create_TC_Web!S$1:S$500,SMALL(IF(Create_TC_Web!$C$1:$C$500&lt;&gt;"",MATCH(ROW(Create_TC_Web!$C$1:$C$500),ROW(Create_TC_Web!$C$1:$C$500)),""),ROW(Create_TC_Web!Q183))),"")</f>
        <v/>
      </c>
      <c r="S205" t="str">
        <f t="shared" si="14"/>
        <v/>
      </c>
    </row>
    <row r="206" spans="1:19">
      <c r="A206" t="str" cm="1">
        <f t="array" ref="A206">IFERROR(INDEX(Create_TC_Web!D$1:D$500,SMALL(IF(Create_TC_Web!$C$1:$C$500&lt;&gt;"",MATCH(ROW(Create_TC_Web!$C$1:$C$500),ROW(Create_TC_Web!$C$1:$C$500)),""),ROW(Create_TC_Web!B206))),"")</f>
        <v/>
      </c>
      <c r="B206" t="str" cm="1">
        <f t="array" ref="B206">SUBSTITUTE(SUBSTITUTE(SUBSTITUTE(IFERROR(INDEX(Create_TC_Web!E$1:E$505,SMALL(IF(Create_TC_Web!$C$1:$C$505&lt;&gt;"",MATCH(ROW(Create_TC_Web!$C$1:$C$505),ROW(Create_TC_Web!$C$1:$C$505)),""),ROW(Create_TC_Web!C206))),"")," ",""),"-",""),"_","")</f>
        <v/>
      </c>
      <c r="C206" t="str" cm="1">
        <f t="array" ref="C206">IFERROR(INDEX(Create_TC_Web!F$1:F$500,SMALL(IF(Create_TC_Web!$C$1:$C$500&lt;&gt;"",MATCH(ROW(Create_TC_Web!$C$1:$C$500),ROW(Create_TC_Web!$C$1:$C$500)),""),ROW(Create_TC_Web!D206))),"")</f>
        <v/>
      </c>
      <c r="D206" t="str" cm="1">
        <f t="array" ref="D206">IFERROR(INDEX(Create_TC_Web!G$1:G$500,SMALL(IF(Create_TC_Web!$C$1:$C$500&lt;&gt;"",MATCH(ROW(Create_TC_Web!$C$1:$C$500),ROW(Create_TC_Web!$C$1:$C$500)),""),ROW(Create_TC_Web!E206))),"")</f>
        <v/>
      </c>
      <c r="E206" t="str" cm="1">
        <f t="array" ref="E206">IFERROR(INDEX(Create_TC_Web!H$1:H$500,SMALL(IF(Create_TC_Web!$C$1:$C$500&lt;&gt;"",MATCH(ROW(Create_TC_Web!$C$1:$C$500),ROW(Create_TC_Web!$C$1:$C$500)),""),ROW(Create_TC_Web!F206))),"")</f>
        <v/>
      </c>
      <c r="F206" t="str" cm="1">
        <f t="array" ref="F206">IFERROR(INDEX(Create_TC_Web!I$1:I$500,SMALL(IF(Create_TC_Web!$C$1:$C$500&lt;&gt;"",MATCH(ROW(Create_TC_Web!$C$1:$C$500),ROW(Create_TC_Web!$C$1:$C$500)),""),ROW(Create_TC_Web!G206))),"")</f>
        <v/>
      </c>
      <c r="G206" t="str" cm="1">
        <f t="array" ref="G206">IFERROR(INDEX(Create_TC_Web!J$1:J$500,SMALL(IF(Create_TC_Web!$C$1:$C$500&lt;&gt;"",MATCH(ROW(Create_TC_Web!$C$1:$C$500),ROW(Create_TC_Web!$C$1:$C$500)),""),ROW(Create_TC_Web!H206))),"")</f>
        <v/>
      </c>
      <c r="H206" t="str" cm="1">
        <f t="array" ref="H206">IFERROR(INDEX(Create_TC_Web!K$1:K$500,SMALL(IF(Create_TC_Web!$C$1:$C$500&lt;&gt;"",MATCH(ROW(Create_TC_Web!$C$1:$C$500),ROW(Create_TC_Web!$C$1:$C$500)),""),ROW(Create_TC_Web!I206))),"")</f>
        <v/>
      </c>
      <c r="I206" t="str" cm="1">
        <f t="array" ref="I206">IFERROR(INDEX(Create_TC_Web!L$1:L$500,SMALL(IF(Create_TC_Web!$C$1:$C$500&lt;&gt;"",MATCH(ROW(Create_TC_Web!$C$1:$C$500),ROW(Create_TC_Web!$C$1:$C$500)),""),ROW(Create_TC_Web!J206))),"")</f>
        <v/>
      </c>
      <c r="J206" t="str" cm="1">
        <f t="array" ref="J206">IFERROR(INDEX(Create_TC_Web!M$1:M$500,SMALL(IF(Create_TC_Web!$C$1:$C$500&lt;&gt;"",MATCH(ROW(Create_TC_Web!$C$1:$C$500),ROW(Create_TC_Web!$C$1:$C$500)),""),ROW(Create_TC_Web!K206))),"")</f>
        <v/>
      </c>
      <c r="K206" t="str" cm="1">
        <f t="array" ref="K206">IFERROR(INDEX(Create_TC_Web!N$1:N$500,SMALL(IF(Create_TC_Web!$C$1:$C$500&lt;&gt;"",MATCH(ROW(Create_TC_Web!$C$1:$C$500),ROW(Create_TC_Web!$C$1:$C$500)),""),ROW(Create_TC_Web!L206))),"")</f>
        <v/>
      </c>
      <c r="L206" t="str" cm="1">
        <f t="array" ref="L206">IFERROR(INDEX(Create_TC_Web!O$1:O$500,SMALL(IF(Create_TC_Web!$C$1:$C$500&lt;&gt;"",MATCH(ROW(Create_TC_Web!$C$1:$C$500),ROW(Create_TC_Web!$C$1:$C$500)),""),ROW(Create_TC_Web!M206))),"")</f>
        <v/>
      </c>
      <c r="M206" t="str" cm="1">
        <f t="array" ref="M206">IFERROR(INDEX(Create_TC_Web!P$1:P$500,SMALL(IF(Create_TC_Web!$C$1:$C$500&lt;&gt;"",MATCH(ROW(Create_TC_Web!$C$1:$C$500),ROW(Create_TC_Web!$C$1:$C$500)),""),ROW(Create_TC_Web!N206))),"")</f>
        <v/>
      </c>
      <c r="N206">
        <f>Create_TC_Web!CA215</f>
        <v>0</v>
      </c>
      <c r="O206" t="str">
        <f t="shared" si="13"/>
        <v/>
      </c>
      <c r="P206" s="17" t="str" cm="1">
        <f t="array" ref="P206">IFERROR(INDEX(Create_TC_Web!S$1:S$500,SMALL(IF(Create_TC_Web!$C$1:$C$500&lt;&gt;"",MATCH(ROW(Create_TC_Web!$C$1:$C$500),ROW(Create_TC_Web!$C$1:$C$500)),""),ROW(Create_TC_Web!Q184))),"")</f>
        <v/>
      </c>
      <c r="S206" t="str">
        <f t="shared" si="14"/>
        <v/>
      </c>
    </row>
    <row r="207" spans="1:19">
      <c r="A207" t="str" cm="1">
        <f t="array" ref="A207">IFERROR(INDEX(Create_TC_Web!D$1:D$500,SMALL(IF(Create_TC_Web!$C$1:$C$500&lt;&gt;"",MATCH(ROW(Create_TC_Web!$C$1:$C$500),ROW(Create_TC_Web!$C$1:$C$500)),""),ROW(Create_TC_Web!B207))),"")</f>
        <v/>
      </c>
      <c r="B207" t="str" cm="1">
        <f t="array" ref="B207">SUBSTITUTE(SUBSTITUTE(SUBSTITUTE(IFERROR(INDEX(Create_TC_Web!E$1:E$505,SMALL(IF(Create_TC_Web!$C$1:$C$505&lt;&gt;"",MATCH(ROW(Create_TC_Web!$C$1:$C$505),ROW(Create_TC_Web!$C$1:$C$505)),""),ROW(Create_TC_Web!C207))),"")," ",""),"-",""),"_","")</f>
        <v/>
      </c>
      <c r="C207" t="str" cm="1">
        <f t="array" ref="C207">IFERROR(INDEX(Create_TC_Web!F$1:F$500,SMALL(IF(Create_TC_Web!$C$1:$C$500&lt;&gt;"",MATCH(ROW(Create_TC_Web!$C$1:$C$500),ROW(Create_TC_Web!$C$1:$C$500)),""),ROW(Create_TC_Web!D207))),"")</f>
        <v/>
      </c>
      <c r="D207" t="str" cm="1">
        <f t="array" ref="D207">IFERROR(INDEX(Create_TC_Web!G$1:G$500,SMALL(IF(Create_TC_Web!$C$1:$C$500&lt;&gt;"",MATCH(ROW(Create_TC_Web!$C$1:$C$500),ROW(Create_TC_Web!$C$1:$C$500)),""),ROW(Create_TC_Web!E207))),"")</f>
        <v/>
      </c>
      <c r="E207" t="str" cm="1">
        <f t="array" ref="E207">IFERROR(INDEX(Create_TC_Web!H$1:H$500,SMALL(IF(Create_TC_Web!$C$1:$C$500&lt;&gt;"",MATCH(ROW(Create_TC_Web!$C$1:$C$500),ROW(Create_TC_Web!$C$1:$C$500)),""),ROW(Create_TC_Web!F207))),"")</f>
        <v/>
      </c>
      <c r="F207" t="str" cm="1">
        <f t="array" ref="F207">IFERROR(INDEX(Create_TC_Web!I$1:I$500,SMALL(IF(Create_TC_Web!$C$1:$C$500&lt;&gt;"",MATCH(ROW(Create_TC_Web!$C$1:$C$500),ROW(Create_TC_Web!$C$1:$C$500)),""),ROW(Create_TC_Web!G207))),"")</f>
        <v/>
      </c>
      <c r="G207" t="str" cm="1">
        <f t="array" ref="G207">IFERROR(INDEX(Create_TC_Web!J$1:J$500,SMALL(IF(Create_TC_Web!$C$1:$C$500&lt;&gt;"",MATCH(ROW(Create_TC_Web!$C$1:$C$500),ROW(Create_TC_Web!$C$1:$C$500)),""),ROW(Create_TC_Web!H207))),"")</f>
        <v/>
      </c>
      <c r="H207" t="str" cm="1">
        <f t="array" ref="H207">IFERROR(INDEX(Create_TC_Web!K$1:K$500,SMALL(IF(Create_TC_Web!$C$1:$C$500&lt;&gt;"",MATCH(ROW(Create_TC_Web!$C$1:$C$500),ROW(Create_TC_Web!$C$1:$C$500)),""),ROW(Create_TC_Web!I207))),"")</f>
        <v/>
      </c>
      <c r="I207" t="str" cm="1">
        <f t="array" ref="I207">IFERROR(INDEX(Create_TC_Web!L$1:L$500,SMALL(IF(Create_TC_Web!$C$1:$C$500&lt;&gt;"",MATCH(ROW(Create_TC_Web!$C$1:$C$500),ROW(Create_TC_Web!$C$1:$C$500)),""),ROW(Create_TC_Web!J207))),"")</f>
        <v/>
      </c>
      <c r="J207" t="str" cm="1">
        <f t="array" ref="J207">IFERROR(INDEX(Create_TC_Web!M$1:M$500,SMALL(IF(Create_TC_Web!$C$1:$C$500&lt;&gt;"",MATCH(ROW(Create_TC_Web!$C$1:$C$500),ROW(Create_TC_Web!$C$1:$C$500)),""),ROW(Create_TC_Web!K207))),"")</f>
        <v/>
      </c>
      <c r="K207" t="str" cm="1">
        <f t="array" ref="K207">IFERROR(INDEX(Create_TC_Web!N$1:N$500,SMALL(IF(Create_TC_Web!$C$1:$C$500&lt;&gt;"",MATCH(ROW(Create_TC_Web!$C$1:$C$500),ROW(Create_TC_Web!$C$1:$C$500)),""),ROW(Create_TC_Web!L207))),"")</f>
        <v/>
      </c>
      <c r="L207" t="str" cm="1">
        <f t="array" ref="L207">IFERROR(INDEX(Create_TC_Web!O$1:O$500,SMALL(IF(Create_TC_Web!$C$1:$C$500&lt;&gt;"",MATCH(ROW(Create_TC_Web!$C$1:$C$500),ROW(Create_TC_Web!$C$1:$C$500)),""),ROW(Create_TC_Web!M207))),"")</f>
        <v/>
      </c>
      <c r="M207" t="str" cm="1">
        <f t="array" ref="M207">IFERROR(INDEX(Create_TC_Web!P$1:P$500,SMALL(IF(Create_TC_Web!$C$1:$C$500&lt;&gt;"",MATCH(ROW(Create_TC_Web!$C$1:$C$500),ROW(Create_TC_Web!$C$1:$C$500)),""),ROW(Create_TC_Web!N207))),"")</f>
        <v/>
      </c>
      <c r="N207">
        <f>Create_TC_Web!CA216</f>
        <v>0</v>
      </c>
      <c r="O207" t="str">
        <f t="shared" si="13"/>
        <v/>
      </c>
      <c r="P207" s="17" t="str" cm="1">
        <f t="array" ref="P207">IFERROR(INDEX(Create_TC_Web!S$1:S$500,SMALL(IF(Create_TC_Web!$C$1:$C$500&lt;&gt;"",MATCH(ROW(Create_TC_Web!$C$1:$C$500),ROW(Create_TC_Web!$C$1:$C$500)),""),ROW(Create_TC_Web!Q185))),"")</f>
        <v/>
      </c>
      <c r="S207" t="str">
        <f t="shared" si="14"/>
        <v/>
      </c>
    </row>
    <row r="208" spans="1:19">
      <c r="A208" t="str" cm="1">
        <f t="array" ref="A208">IFERROR(INDEX(Create_TC_Web!D$1:D$500,SMALL(IF(Create_TC_Web!$C$1:$C$500&lt;&gt;"",MATCH(ROW(Create_TC_Web!$C$1:$C$500),ROW(Create_TC_Web!$C$1:$C$500)),""),ROW(Create_TC_Web!B208))),"")</f>
        <v/>
      </c>
      <c r="B208" t="str" cm="1">
        <f t="array" ref="B208">SUBSTITUTE(SUBSTITUTE(SUBSTITUTE(IFERROR(INDEX(Create_TC_Web!E$1:E$505,SMALL(IF(Create_TC_Web!$C$1:$C$505&lt;&gt;"",MATCH(ROW(Create_TC_Web!$C$1:$C$505),ROW(Create_TC_Web!$C$1:$C$505)),""),ROW(Create_TC_Web!C208))),"")," ",""),"-",""),"_","")</f>
        <v/>
      </c>
      <c r="C208" t="str" cm="1">
        <f t="array" ref="C208">IFERROR(INDEX(Create_TC_Web!F$1:F$500,SMALL(IF(Create_TC_Web!$C$1:$C$500&lt;&gt;"",MATCH(ROW(Create_TC_Web!$C$1:$C$500),ROW(Create_TC_Web!$C$1:$C$500)),""),ROW(Create_TC_Web!D208))),"")</f>
        <v/>
      </c>
      <c r="D208" t="str" cm="1">
        <f t="array" ref="D208">IFERROR(INDEX(Create_TC_Web!G$1:G$500,SMALL(IF(Create_TC_Web!$C$1:$C$500&lt;&gt;"",MATCH(ROW(Create_TC_Web!$C$1:$C$500),ROW(Create_TC_Web!$C$1:$C$500)),""),ROW(Create_TC_Web!E208))),"")</f>
        <v/>
      </c>
      <c r="E208" t="str" cm="1">
        <f t="array" ref="E208">IFERROR(INDEX(Create_TC_Web!H$1:H$500,SMALL(IF(Create_TC_Web!$C$1:$C$500&lt;&gt;"",MATCH(ROW(Create_TC_Web!$C$1:$C$500),ROW(Create_TC_Web!$C$1:$C$500)),""),ROW(Create_TC_Web!F208))),"")</f>
        <v/>
      </c>
      <c r="F208" t="str" cm="1">
        <f t="array" ref="F208">IFERROR(INDEX(Create_TC_Web!I$1:I$500,SMALL(IF(Create_TC_Web!$C$1:$C$500&lt;&gt;"",MATCH(ROW(Create_TC_Web!$C$1:$C$500),ROW(Create_TC_Web!$C$1:$C$500)),""),ROW(Create_TC_Web!G208))),"")</f>
        <v/>
      </c>
      <c r="G208" t="str" cm="1">
        <f t="array" ref="G208">IFERROR(INDEX(Create_TC_Web!J$1:J$500,SMALL(IF(Create_TC_Web!$C$1:$C$500&lt;&gt;"",MATCH(ROW(Create_TC_Web!$C$1:$C$500),ROW(Create_TC_Web!$C$1:$C$500)),""),ROW(Create_TC_Web!H208))),"")</f>
        <v/>
      </c>
      <c r="H208" t="str" cm="1">
        <f t="array" ref="H208">IFERROR(INDEX(Create_TC_Web!K$1:K$500,SMALL(IF(Create_TC_Web!$C$1:$C$500&lt;&gt;"",MATCH(ROW(Create_TC_Web!$C$1:$C$500),ROW(Create_TC_Web!$C$1:$C$500)),""),ROW(Create_TC_Web!I208))),"")</f>
        <v/>
      </c>
      <c r="I208" t="str" cm="1">
        <f t="array" ref="I208">IFERROR(INDEX(Create_TC_Web!L$1:L$500,SMALL(IF(Create_TC_Web!$C$1:$C$500&lt;&gt;"",MATCH(ROW(Create_TC_Web!$C$1:$C$500),ROW(Create_TC_Web!$C$1:$C$500)),""),ROW(Create_TC_Web!J208))),"")</f>
        <v/>
      </c>
      <c r="J208" t="str" cm="1">
        <f t="array" ref="J208">IFERROR(INDEX(Create_TC_Web!M$1:M$500,SMALL(IF(Create_TC_Web!$C$1:$C$500&lt;&gt;"",MATCH(ROW(Create_TC_Web!$C$1:$C$500),ROW(Create_TC_Web!$C$1:$C$500)),""),ROW(Create_TC_Web!K208))),"")</f>
        <v/>
      </c>
      <c r="K208" t="str" cm="1">
        <f t="array" ref="K208">IFERROR(INDEX(Create_TC_Web!N$1:N$500,SMALL(IF(Create_TC_Web!$C$1:$C$500&lt;&gt;"",MATCH(ROW(Create_TC_Web!$C$1:$C$500),ROW(Create_TC_Web!$C$1:$C$500)),""),ROW(Create_TC_Web!L208))),"")</f>
        <v/>
      </c>
      <c r="L208" t="str" cm="1">
        <f t="array" ref="L208">IFERROR(INDEX(Create_TC_Web!O$1:O$500,SMALL(IF(Create_TC_Web!$C$1:$C$500&lt;&gt;"",MATCH(ROW(Create_TC_Web!$C$1:$C$500),ROW(Create_TC_Web!$C$1:$C$500)),""),ROW(Create_TC_Web!M208))),"")</f>
        <v/>
      </c>
      <c r="M208" t="str" cm="1">
        <f t="array" ref="M208">IFERROR(INDEX(Create_TC_Web!P$1:P$500,SMALL(IF(Create_TC_Web!$C$1:$C$500&lt;&gt;"",MATCH(ROW(Create_TC_Web!$C$1:$C$500),ROW(Create_TC_Web!$C$1:$C$500)),""),ROW(Create_TC_Web!N208))),"")</f>
        <v/>
      </c>
      <c r="N208">
        <f>Create_TC_Web!CA217</f>
        <v>0</v>
      </c>
      <c r="O208" t="str">
        <f t="shared" si="13"/>
        <v/>
      </c>
      <c r="P208" s="17" t="str" cm="1">
        <f t="array" ref="P208">IFERROR(INDEX(Create_TC_Web!S$1:S$500,SMALL(IF(Create_TC_Web!$C$1:$C$500&lt;&gt;"",MATCH(ROW(Create_TC_Web!$C$1:$C$500),ROW(Create_TC_Web!$C$1:$C$500)),""),ROW(Create_TC_Web!Q186))),"")</f>
        <v/>
      </c>
      <c r="S208" t="str">
        <f t="shared" si="14"/>
        <v/>
      </c>
    </row>
    <row r="209" spans="1:19">
      <c r="A209" t="str" cm="1">
        <f t="array" ref="A209">IFERROR(INDEX(Create_TC_Web!D$1:D$500,SMALL(IF(Create_TC_Web!$C$1:$C$500&lt;&gt;"",MATCH(ROW(Create_TC_Web!$C$1:$C$500),ROW(Create_TC_Web!$C$1:$C$500)),""),ROW(Create_TC_Web!B209))),"")</f>
        <v/>
      </c>
      <c r="B209" t="str" cm="1">
        <f t="array" ref="B209">SUBSTITUTE(SUBSTITUTE(SUBSTITUTE(IFERROR(INDEX(Create_TC_Web!E$1:E$505,SMALL(IF(Create_TC_Web!$C$1:$C$505&lt;&gt;"",MATCH(ROW(Create_TC_Web!$C$1:$C$505),ROW(Create_TC_Web!$C$1:$C$505)),""),ROW(Create_TC_Web!C209))),"")," ",""),"-",""),"_","")</f>
        <v/>
      </c>
      <c r="C209" t="str" cm="1">
        <f t="array" ref="C209">IFERROR(INDEX(Create_TC_Web!F$1:F$500,SMALL(IF(Create_TC_Web!$C$1:$C$500&lt;&gt;"",MATCH(ROW(Create_TC_Web!$C$1:$C$500),ROW(Create_TC_Web!$C$1:$C$500)),""),ROW(Create_TC_Web!D209))),"")</f>
        <v/>
      </c>
      <c r="D209" t="str" cm="1">
        <f t="array" ref="D209">IFERROR(INDEX(Create_TC_Web!G$1:G$500,SMALL(IF(Create_TC_Web!$C$1:$C$500&lt;&gt;"",MATCH(ROW(Create_TC_Web!$C$1:$C$500),ROW(Create_TC_Web!$C$1:$C$500)),""),ROW(Create_TC_Web!E209))),"")</f>
        <v/>
      </c>
      <c r="E209" t="str" cm="1">
        <f t="array" ref="E209">IFERROR(INDEX(Create_TC_Web!H$1:H$500,SMALL(IF(Create_TC_Web!$C$1:$C$500&lt;&gt;"",MATCH(ROW(Create_TC_Web!$C$1:$C$500),ROW(Create_TC_Web!$C$1:$C$500)),""),ROW(Create_TC_Web!F209))),"")</f>
        <v/>
      </c>
      <c r="F209" t="str" cm="1">
        <f t="array" ref="F209">IFERROR(INDEX(Create_TC_Web!I$1:I$500,SMALL(IF(Create_TC_Web!$C$1:$C$500&lt;&gt;"",MATCH(ROW(Create_TC_Web!$C$1:$C$500),ROW(Create_TC_Web!$C$1:$C$500)),""),ROW(Create_TC_Web!G209))),"")</f>
        <v/>
      </c>
      <c r="G209" t="str" cm="1">
        <f t="array" ref="G209">IFERROR(INDEX(Create_TC_Web!J$1:J$500,SMALL(IF(Create_TC_Web!$C$1:$C$500&lt;&gt;"",MATCH(ROW(Create_TC_Web!$C$1:$C$500),ROW(Create_TC_Web!$C$1:$C$500)),""),ROW(Create_TC_Web!H209))),"")</f>
        <v/>
      </c>
      <c r="H209" t="str" cm="1">
        <f t="array" ref="H209">IFERROR(INDEX(Create_TC_Web!K$1:K$500,SMALL(IF(Create_TC_Web!$C$1:$C$500&lt;&gt;"",MATCH(ROW(Create_TC_Web!$C$1:$C$500),ROW(Create_TC_Web!$C$1:$C$500)),""),ROW(Create_TC_Web!I209))),"")</f>
        <v/>
      </c>
      <c r="I209" t="str" cm="1">
        <f t="array" ref="I209">IFERROR(INDEX(Create_TC_Web!L$1:L$500,SMALL(IF(Create_TC_Web!$C$1:$C$500&lt;&gt;"",MATCH(ROW(Create_TC_Web!$C$1:$C$500),ROW(Create_TC_Web!$C$1:$C$500)),""),ROW(Create_TC_Web!J209))),"")</f>
        <v/>
      </c>
      <c r="J209" t="str" cm="1">
        <f t="array" ref="J209">IFERROR(INDEX(Create_TC_Web!M$1:M$500,SMALL(IF(Create_TC_Web!$C$1:$C$500&lt;&gt;"",MATCH(ROW(Create_TC_Web!$C$1:$C$500),ROW(Create_TC_Web!$C$1:$C$500)),""),ROW(Create_TC_Web!K209))),"")</f>
        <v/>
      </c>
      <c r="K209" t="str" cm="1">
        <f t="array" ref="K209">IFERROR(INDEX(Create_TC_Web!N$1:N$500,SMALL(IF(Create_TC_Web!$C$1:$C$500&lt;&gt;"",MATCH(ROW(Create_TC_Web!$C$1:$C$500),ROW(Create_TC_Web!$C$1:$C$500)),""),ROW(Create_TC_Web!L209))),"")</f>
        <v/>
      </c>
      <c r="L209" t="str" cm="1">
        <f t="array" ref="L209">IFERROR(INDEX(Create_TC_Web!O$1:O$500,SMALL(IF(Create_TC_Web!$C$1:$C$500&lt;&gt;"",MATCH(ROW(Create_TC_Web!$C$1:$C$500),ROW(Create_TC_Web!$C$1:$C$500)),""),ROW(Create_TC_Web!M209))),"")</f>
        <v/>
      </c>
      <c r="M209" t="str" cm="1">
        <f t="array" ref="M209">IFERROR(INDEX(Create_TC_Web!P$1:P$500,SMALL(IF(Create_TC_Web!$C$1:$C$500&lt;&gt;"",MATCH(ROW(Create_TC_Web!$C$1:$C$500),ROW(Create_TC_Web!$C$1:$C$500)),""),ROW(Create_TC_Web!N209))),"")</f>
        <v/>
      </c>
      <c r="N209">
        <f>Create_TC_Web!CA218</f>
        <v>0</v>
      </c>
      <c r="O209" t="str">
        <f t="shared" si="13"/>
        <v/>
      </c>
      <c r="P209" s="17" t="str" cm="1">
        <f t="array" ref="P209">IFERROR(INDEX(Create_TC_Web!S$1:S$500,SMALL(IF(Create_TC_Web!$C$1:$C$500&lt;&gt;"",MATCH(ROW(Create_TC_Web!$C$1:$C$500),ROW(Create_TC_Web!$C$1:$C$500)),""),ROW(Create_TC_Web!Q187))),"")</f>
        <v/>
      </c>
      <c r="S209" t="str">
        <f t="shared" si="14"/>
        <v/>
      </c>
    </row>
    <row r="210" spans="1:19">
      <c r="A210" t="str" cm="1">
        <f t="array" ref="A210">IFERROR(INDEX(Create_TC_Web!D$1:D$500,SMALL(IF(Create_TC_Web!$C$1:$C$500&lt;&gt;"",MATCH(ROW(Create_TC_Web!$C$1:$C$500),ROW(Create_TC_Web!$C$1:$C$500)),""),ROW(Create_TC_Web!B210))),"")</f>
        <v/>
      </c>
      <c r="B210" t="str" cm="1">
        <f t="array" ref="B210">SUBSTITUTE(SUBSTITUTE(SUBSTITUTE(IFERROR(INDEX(Create_TC_Web!E$1:E$505,SMALL(IF(Create_TC_Web!$C$1:$C$505&lt;&gt;"",MATCH(ROW(Create_TC_Web!$C$1:$C$505),ROW(Create_TC_Web!$C$1:$C$505)),""),ROW(Create_TC_Web!C210))),"")," ",""),"-",""),"_","")</f>
        <v/>
      </c>
      <c r="C210" t="str" cm="1">
        <f t="array" ref="C210">IFERROR(INDEX(Create_TC_Web!F$1:F$500,SMALL(IF(Create_TC_Web!$C$1:$C$500&lt;&gt;"",MATCH(ROW(Create_TC_Web!$C$1:$C$500),ROW(Create_TC_Web!$C$1:$C$500)),""),ROW(Create_TC_Web!D210))),"")</f>
        <v/>
      </c>
      <c r="D210" t="str" cm="1">
        <f t="array" ref="D210">IFERROR(INDEX(Create_TC_Web!G$1:G$500,SMALL(IF(Create_TC_Web!$C$1:$C$500&lt;&gt;"",MATCH(ROW(Create_TC_Web!$C$1:$C$500),ROW(Create_TC_Web!$C$1:$C$500)),""),ROW(Create_TC_Web!E210))),"")</f>
        <v/>
      </c>
      <c r="E210" t="str" cm="1">
        <f t="array" ref="E210">IFERROR(INDEX(Create_TC_Web!H$1:H$500,SMALL(IF(Create_TC_Web!$C$1:$C$500&lt;&gt;"",MATCH(ROW(Create_TC_Web!$C$1:$C$500),ROW(Create_TC_Web!$C$1:$C$500)),""),ROW(Create_TC_Web!F210))),"")</f>
        <v/>
      </c>
      <c r="F210" t="str" cm="1">
        <f t="array" ref="F210">IFERROR(INDEX(Create_TC_Web!I$1:I$500,SMALL(IF(Create_TC_Web!$C$1:$C$500&lt;&gt;"",MATCH(ROW(Create_TC_Web!$C$1:$C$500),ROW(Create_TC_Web!$C$1:$C$500)),""),ROW(Create_TC_Web!G210))),"")</f>
        <v/>
      </c>
      <c r="G210" t="str" cm="1">
        <f t="array" ref="G210">IFERROR(INDEX(Create_TC_Web!J$1:J$500,SMALL(IF(Create_TC_Web!$C$1:$C$500&lt;&gt;"",MATCH(ROW(Create_TC_Web!$C$1:$C$500),ROW(Create_TC_Web!$C$1:$C$500)),""),ROW(Create_TC_Web!H210))),"")</f>
        <v/>
      </c>
      <c r="H210" t="str" cm="1">
        <f t="array" ref="H210">IFERROR(INDEX(Create_TC_Web!K$1:K$500,SMALL(IF(Create_TC_Web!$C$1:$C$500&lt;&gt;"",MATCH(ROW(Create_TC_Web!$C$1:$C$500),ROW(Create_TC_Web!$C$1:$C$500)),""),ROW(Create_TC_Web!I210))),"")</f>
        <v/>
      </c>
      <c r="I210" t="str" cm="1">
        <f t="array" ref="I210">IFERROR(INDEX(Create_TC_Web!L$1:L$500,SMALL(IF(Create_TC_Web!$C$1:$C$500&lt;&gt;"",MATCH(ROW(Create_TC_Web!$C$1:$C$500),ROW(Create_TC_Web!$C$1:$C$500)),""),ROW(Create_TC_Web!J210))),"")</f>
        <v/>
      </c>
      <c r="J210" t="str" cm="1">
        <f t="array" ref="J210">IFERROR(INDEX(Create_TC_Web!M$1:M$500,SMALL(IF(Create_TC_Web!$C$1:$C$500&lt;&gt;"",MATCH(ROW(Create_TC_Web!$C$1:$C$500),ROW(Create_TC_Web!$C$1:$C$500)),""),ROW(Create_TC_Web!K210))),"")</f>
        <v/>
      </c>
      <c r="K210" t="str" cm="1">
        <f t="array" ref="K210">IFERROR(INDEX(Create_TC_Web!N$1:N$500,SMALL(IF(Create_TC_Web!$C$1:$C$500&lt;&gt;"",MATCH(ROW(Create_TC_Web!$C$1:$C$500),ROW(Create_TC_Web!$C$1:$C$500)),""),ROW(Create_TC_Web!L210))),"")</f>
        <v/>
      </c>
      <c r="L210" t="str" cm="1">
        <f t="array" ref="L210">IFERROR(INDEX(Create_TC_Web!O$1:O$500,SMALL(IF(Create_TC_Web!$C$1:$C$500&lt;&gt;"",MATCH(ROW(Create_TC_Web!$C$1:$C$500),ROW(Create_TC_Web!$C$1:$C$500)),""),ROW(Create_TC_Web!M210))),"")</f>
        <v/>
      </c>
      <c r="M210" t="str" cm="1">
        <f t="array" ref="M210">IFERROR(INDEX(Create_TC_Web!P$1:P$500,SMALL(IF(Create_TC_Web!$C$1:$C$500&lt;&gt;"",MATCH(ROW(Create_TC_Web!$C$1:$C$500),ROW(Create_TC_Web!$C$1:$C$500)),""),ROW(Create_TC_Web!N210))),"")</f>
        <v/>
      </c>
      <c r="N210">
        <f>Create_TC_Web!CA219</f>
        <v>0</v>
      </c>
      <c r="O210" t="str">
        <f t="shared" si="13"/>
        <v/>
      </c>
      <c r="P210" s="17" t="str" cm="1">
        <f t="array" ref="P210">IFERROR(INDEX(Create_TC_Web!S$1:S$500,SMALL(IF(Create_TC_Web!$C$1:$C$500&lt;&gt;"",MATCH(ROW(Create_TC_Web!$C$1:$C$500),ROW(Create_TC_Web!$C$1:$C$500)),""),ROW(Create_TC_Web!Q188))),"")</f>
        <v/>
      </c>
      <c r="S210" t="str">
        <f t="shared" si="14"/>
        <v/>
      </c>
    </row>
    <row r="211" spans="1:19">
      <c r="A211" t="str" cm="1">
        <f t="array" ref="A211">IFERROR(INDEX(Create_TC_Web!D$1:D$500,SMALL(IF(Create_TC_Web!$C$1:$C$500&lt;&gt;"",MATCH(ROW(Create_TC_Web!$C$1:$C$500),ROW(Create_TC_Web!$C$1:$C$500)),""),ROW(Create_TC_Web!B211))),"")</f>
        <v/>
      </c>
      <c r="B211" t="str" cm="1">
        <f t="array" ref="B211">SUBSTITUTE(SUBSTITUTE(SUBSTITUTE(IFERROR(INDEX(Create_TC_Web!E$1:E$505,SMALL(IF(Create_TC_Web!$C$1:$C$505&lt;&gt;"",MATCH(ROW(Create_TC_Web!$C$1:$C$505),ROW(Create_TC_Web!$C$1:$C$505)),""),ROW(Create_TC_Web!C211))),"")," ",""),"-",""),"_","")</f>
        <v/>
      </c>
      <c r="C211" t="str" cm="1">
        <f t="array" ref="C211">IFERROR(INDEX(Create_TC_Web!F$1:F$500,SMALL(IF(Create_TC_Web!$C$1:$C$500&lt;&gt;"",MATCH(ROW(Create_TC_Web!$C$1:$C$500),ROW(Create_TC_Web!$C$1:$C$500)),""),ROW(Create_TC_Web!D211))),"")</f>
        <v/>
      </c>
      <c r="D211" t="str" cm="1">
        <f t="array" ref="D211">IFERROR(INDEX(Create_TC_Web!G$1:G$500,SMALL(IF(Create_TC_Web!$C$1:$C$500&lt;&gt;"",MATCH(ROW(Create_TC_Web!$C$1:$C$500),ROW(Create_TC_Web!$C$1:$C$500)),""),ROW(Create_TC_Web!E211))),"")</f>
        <v/>
      </c>
      <c r="E211" t="str" cm="1">
        <f t="array" ref="E211">IFERROR(INDEX(Create_TC_Web!H$1:H$500,SMALL(IF(Create_TC_Web!$C$1:$C$500&lt;&gt;"",MATCH(ROW(Create_TC_Web!$C$1:$C$500),ROW(Create_TC_Web!$C$1:$C$500)),""),ROW(Create_TC_Web!F211))),"")</f>
        <v/>
      </c>
      <c r="F211" t="str" cm="1">
        <f t="array" ref="F211">IFERROR(INDEX(Create_TC_Web!I$1:I$500,SMALL(IF(Create_TC_Web!$C$1:$C$500&lt;&gt;"",MATCH(ROW(Create_TC_Web!$C$1:$C$500),ROW(Create_TC_Web!$C$1:$C$500)),""),ROW(Create_TC_Web!G211))),"")</f>
        <v/>
      </c>
      <c r="G211" t="str" cm="1">
        <f t="array" ref="G211">IFERROR(INDEX(Create_TC_Web!J$1:J$500,SMALL(IF(Create_TC_Web!$C$1:$C$500&lt;&gt;"",MATCH(ROW(Create_TC_Web!$C$1:$C$500),ROW(Create_TC_Web!$C$1:$C$500)),""),ROW(Create_TC_Web!H211))),"")</f>
        <v/>
      </c>
      <c r="H211" t="str" cm="1">
        <f t="array" ref="H211">IFERROR(INDEX(Create_TC_Web!K$1:K$500,SMALL(IF(Create_TC_Web!$C$1:$C$500&lt;&gt;"",MATCH(ROW(Create_TC_Web!$C$1:$C$500),ROW(Create_TC_Web!$C$1:$C$500)),""),ROW(Create_TC_Web!I211))),"")</f>
        <v/>
      </c>
      <c r="I211" t="str" cm="1">
        <f t="array" ref="I211">IFERROR(INDEX(Create_TC_Web!L$1:L$500,SMALL(IF(Create_TC_Web!$C$1:$C$500&lt;&gt;"",MATCH(ROW(Create_TC_Web!$C$1:$C$500),ROW(Create_TC_Web!$C$1:$C$500)),""),ROW(Create_TC_Web!J211))),"")</f>
        <v/>
      </c>
      <c r="J211" t="str" cm="1">
        <f t="array" ref="J211">IFERROR(INDEX(Create_TC_Web!M$1:M$500,SMALL(IF(Create_TC_Web!$C$1:$C$500&lt;&gt;"",MATCH(ROW(Create_TC_Web!$C$1:$C$500),ROW(Create_TC_Web!$C$1:$C$500)),""),ROW(Create_TC_Web!K211))),"")</f>
        <v/>
      </c>
      <c r="K211" t="str" cm="1">
        <f t="array" ref="K211">IFERROR(INDEX(Create_TC_Web!N$1:N$500,SMALL(IF(Create_TC_Web!$C$1:$C$500&lt;&gt;"",MATCH(ROW(Create_TC_Web!$C$1:$C$500),ROW(Create_TC_Web!$C$1:$C$500)),""),ROW(Create_TC_Web!L211))),"")</f>
        <v/>
      </c>
      <c r="L211" t="str" cm="1">
        <f t="array" ref="L211">IFERROR(INDEX(Create_TC_Web!O$1:O$500,SMALL(IF(Create_TC_Web!$C$1:$C$500&lt;&gt;"",MATCH(ROW(Create_TC_Web!$C$1:$C$500),ROW(Create_TC_Web!$C$1:$C$500)),""),ROW(Create_TC_Web!M211))),"")</f>
        <v/>
      </c>
      <c r="M211" t="str" cm="1">
        <f t="array" ref="M211">IFERROR(INDEX(Create_TC_Web!P$1:P$500,SMALL(IF(Create_TC_Web!$C$1:$C$500&lt;&gt;"",MATCH(ROW(Create_TC_Web!$C$1:$C$500),ROW(Create_TC_Web!$C$1:$C$500)),""),ROW(Create_TC_Web!N211))),"")</f>
        <v/>
      </c>
      <c r="N211">
        <f>Create_TC_Web!CA220</f>
        <v>0</v>
      </c>
      <c r="O211" t="str">
        <f t="shared" si="13"/>
        <v/>
      </c>
      <c r="P211" s="17" t="str" cm="1">
        <f t="array" ref="P211">IFERROR(INDEX(Create_TC_Web!S$1:S$500,SMALL(IF(Create_TC_Web!$C$1:$C$500&lt;&gt;"",MATCH(ROW(Create_TC_Web!$C$1:$C$500),ROW(Create_TC_Web!$C$1:$C$500)),""),ROW(Create_TC_Web!Q189))),"")</f>
        <v/>
      </c>
      <c r="S211" t="str">
        <f t="shared" si="14"/>
        <v/>
      </c>
    </row>
    <row r="212" spans="1:19">
      <c r="A212" t="str" cm="1">
        <f t="array" ref="A212">IFERROR(INDEX(Create_TC_Web!D$1:D$500,SMALL(IF(Create_TC_Web!$C$1:$C$500&lt;&gt;"",MATCH(ROW(Create_TC_Web!$C$1:$C$500),ROW(Create_TC_Web!$C$1:$C$500)),""),ROW(Create_TC_Web!B212))),"")</f>
        <v/>
      </c>
      <c r="B212" t="str" cm="1">
        <f t="array" ref="B212">SUBSTITUTE(SUBSTITUTE(SUBSTITUTE(IFERROR(INDEX(Create_TC_Web!E$1:E$505,SMALL(IF(Create_TC_Web!$C$1:$C$505&lt;&gt;"",MATCH(ROW(Create_TC_Web!$C$1:$C$505),ROW(Create_TC_Web!$C$1:$C$505)),""),ROW(Create_TC_Web!C212))),"")," ",""),"-",""),"_","")</f>
        <v/>
      </c>
      <c r="C212" t="str" cm="1">
        <f t="array" ref="C212">IFERROR(INDEX(Create_TC_Web!F$1:F$500,SMALL(IF(Create_TC_Web!$C$1:$C$500&lt;&gt;"",MATCH(ROW(Create_TC_Web!$C$1:$C$500),ROW(Create_TC_Web!$C$1:$C$500)),""),ROW(Create_TC_Web!D212))),"")</f>
        <v/>
      </c>
      <c r="D212" t="str" cm="1">
        <f t="array" ref="D212">IFERROR(INDEX(Create_TC_Web!G$1:G$500,SMALL(IF(Create_TC_Web!$C$1:$C$500&lt;&gt;"",MATCH(ROW(Create_TC_Web!$C$1:$C$500),ROW(Create_TC_Web!$C$1:$C$500)),""),ROW(Create_TC_Web!E212))),"")</f>
        <v/>
      </c>
      <c r="E212" t="str" cm="1">
        <f t="array" ref="E212">IFERROR(INDEX(Create_TC_Web!H$1:H$500,SMALL(IF(Create_TC_Web!$C$1:$C$500&lt;&gt;"",MATCH(ROW(Create_TC_Web!$C$1:$C$500),ROW(Create_TC_Web!$C$1:$C$500)),""),ROW(Create_TC_Web!F212))),"")</f>
        <v/>
      </c>
      <c r="F212" t="str" cm="1">
        <f t="array" ref="F212">IFERROR(INDEX(Create_TC_Web!I$1:I$500,SMALL(IF(Create_TC_Web!$C$1:$C$500&lt;&gt;"",MATCH(ROW(Create_TC_Web!$C$1:$C$500),ROW(Create_TC_Web!$C$1:$C$500)),""),ROW(Create_TC_Web!G212))),"")</f>
        <v/>
      </c>
      <c r="G212" t="str" cm="1">
        <f t="array" ref="G212">IFERROR(INDEX(Create_TC_Web!J$1:J$500,SMALL(IF(Create_TC_Web!$C$1:$C$500&lt;&gt;"",MATCH(ROW(Create_TC_Web!$C$1:$C$500),ROW(Create_TC_Web!$C$1:$C$500)),""),ROW(Create_TC_Web!H212))),"")</f>
        <v/>
      </c>
      <c r="H212" t="str" cm="1">
        <f t="array" ref="H212">IFERROR(INDEX(Create_TC_Web!K$1:K$500,SMALL(IF(Create_TC_Web!$C$1:$C$500&lt;&gt;"",MATCH(ROW(Create_TC_Web!$C$1:$C$500),ROW(Create_TC_Web!$C$1:$C$500)),""),ROW(Create_TC_Web!I212))),"")</f>
        <v/>
      </c>
      <c r="I212" t="str" cm="1">
        <f t="array" ref="I212">IFERROR(INDEX(Create_TC_Web!L$1:L$500,SMALL(IF(Create_TC_Web!$C$1:$C$500&lt;&gt;"",MATCH(ROW(Create_TC_Web!$C$1:$C$500),ROW(Create_TC_Web!$C$1:$C$500)),""),ROW(Create_TC_Web!J212))),"")</f>
        <v/>
      </c>
      <c r="J212" t="str" cm="1">
        <f t="array" ref="J212">IFERROR(INDEX(Create_TC_Web!M$1:M$500,SMALL(IF(Create_TC_Web!$C$1:$C$500&lt;&gt;"",MATCH(ROW(Create_TC_Web!$C$1:$C$500),ROW(Create_TC_Web!$C$1:$C$500)),""),ROW(Create_TC_Web!K212))),"")</f>
        <v/>
      </c>
      <c r="K212" t="str" cm="1">
        <f t="array" ref="K212">IFERROR(INDEX(Create_TC_Web!N$1:N$500,SMALL(IF(Create_TC_Web!$C$1:$C$500&lt;&gt;"",MATCH(ROW(Create_TC_Web!$C$1:$C$500),ROW(Create_TC_Web!$C$1:$C$500)),""),ROW(Create_TC_Web!L212))),"")</f>
        <v/>
      </c>
      <c r="L212" t="str" cm="1">
        <f t="array" ref="L212">IFERROR(INDEX(Create_TC_Web!O$1:O$500,SMALL(IF(Create_TC_Web!$C$1:$C$500&lt;&gt;"",MATCH(ROW(Create_TC_Web!$C$1:$C$500),ROW(Create_TC_Web!$C$1:$C$500)),""),ROW(Create_TC_Web!M212))),"")</f>
        <v/>
      </c>
      <c r="M212" t="str" cm="1">
        <f t="array" ref="M212">IFERROR(INDEX(Create_TC_Web!P$1:P$500,SMALL(IF(Create_TC_Web!$C$1:$C$500&lt;&gt;"",MATCH(ROW(Create_TC_Web!$C$1:$C$500),ROW(Create_TC_Web!$C$1:$C$500)),""),ROW(Create_TC_Web!N212))),"")</f>
        <v/>
      </c>
      <c r="N212">
        <f>Create_TC_Web!CA221</f>
        <v>0</v>
      </c>
      <c r="O212" t="str">
        <f t="shared" si="13"/>
        <v/>
      </c>
      <c r="P212" s="17" t="str" cm="1">
        <f t="array" ref="P212">IFERROR(INDEX(Create_TC_Web!S$1:S$500,SMALL(IF(Create_TC_Web!$C$1:$C$500&lt;&gt;"",MATCH(ROW(Create_TC_Web!$C$1:$C$500),ROW(Create_TC_Web!$C$1:$C$500)),""),ROW(Create_TC_Web!Q190))),"")</f>
        <v/>
      </c>
      <c r="S212" t="str">
        <f t="shared" si="14"/>
        <v/>
      </c>
    </row>
    <row r="213" spans="1:19">
      <c r="A213" t="str" cm="1">
        <f t="array" ref="A213">IFERROR(INDEX(Create_TC_Web!D$1:D$500,SMALL(IF(Create_TC_Web!$C$1:$C$500&lt;&gt;"",MATCH(ROW(Create_TC_Web!$C$1:$C$500),ROW(Create_TC_Web!$C$1:$C$500)),""),ROW(Create_TC_Web!B213))),"")</f>
        <v/>
      </c>
      <c r="B213" t="str" cm="1">
        <f t="array" ref="B213">SUBSTITUTE(SUBSTITUTE(SUBSTITUTE(IFERROR(INDEX(Create_TC_Web!E$1:E$505,SMALL(IF(Create_TC_Web!$C$1:$C$505&lt;&gt;"",MATCH(ROW(Create_TC_Web!$C$1:$C$505),ROW(Create_TC_Web!$C$1:$C$505)),""),ROW(Create_TC_Web!C213))),"")," ",""),"-",""),"_","")</f>
        <v/>
      </c>
      <c r="C213" t="str" cm="1">
        <f t="array" ref="C213">IFERROR(INDEX(Create_TC_Web!F$1:F$500,SMALL(IF(Create_TC_Web!$C$1:$C$500&lt;&gt;"",MATCH(ROW(Create_TC_Web!$C$1:$C$500),ROW(Create_TC_Web!$C$1:$C$500)),""),ROW(Create_TC_Web!D213))),"")</f>
        <v/>
      </c>
      <c r="D213" t="str" cm="1">
        <f t="array" ref="D213">IFERROR(INDEX(Create_TC_Web!G$1:G$500,SMALL(IF(Create_TC_Web!$C$1:$C$500&lt;&gt;"",MATCH(ROW(Create_TC_Web!$C$1:$C$500),ROW(Create_TC_Web!$C$1:$C$500)),""),ROW(Create_TC_Web!E213))),"")</f>
        <v/>
      </c>
      <c r="E213" t="str" cm="1">
        <f t="array" ref="E213">IFERROR(INDEX(Create_TC_Web!H$1:H$500,SMALL(IF(Create_TC_Web!$C$1:$C$500&lt;&gt;"",MATCH(ROW(Create_TC_Web!$C$1:$C$500),ROW(Create_TC_Web!$C$1:$C$500)),""),ROW(Create_TC_Web!F213))),"")</f>
        <v/>
      </c>
      <c r="F213" t="str" cm="1">
        <f t="array" ref="F213">IFERROR(INDEX(Create_TC_Web!I$1:I$500,SMALL(IF(Create_TC_Web!$C$1:$C$500&lt;&gt;"",MATCH(ROW(Create_TC_Web!$C$1:$C$500),ROW(Create_TC_Web!$C$1:$C$500)),""),ROW(Create_TC_Web!G213))),"")</f>
        <v/>
      </c>
      <c r="G213" t="str" cm="1">
        <f t="array" ref="G213">IFERROR(INDEX(Create_TC_Web!J$1:J$500,SMALL(IF(Create_TC_Web!$C$1:$C$500&lt;&gt;"",MATCH(ROW(Create_TC_Web!$C$1:$C$500),ROW(Create_TC_Web!$C$1:$C$500)),""),ROW(Create_TC_Web!H213))),"")</f>
        <v/>
      </c>
      <c r="H213" t="str" cm="1">
        <f t="array" ref="H213">IFERROR(INDEX(Create_TC_Web!K$1:K$500,SMALL(IF(Create_TC_Web!$C$1:$C$500&lt;&gt;"",MATCH(ROW(Create_TC_Web!$C$1:$C$500),ROW(Create_TC_Web!$C$1:$C$500)),""),ROW(Create_TC_Web!I213))),"")</f>
        <v/>
      </c>
      <c r="I213" t="str" cm="1">
        <f t="array" ref="I213">IFERROR(INDEX(Create_TC_Web!L$1:L$500,SMALL(IF(Create_TC_Web!$C$1:$C$500&lt;&gt;"",MATCH(ROW(Create_TC_Web!$C$1:$C$500),ROW(Create_TC_Web!$C$1:$C$500)),""),ROW(Create_TC_Web!J213))),"")</f>
        <v/>
      </c>
      <c r="J213" t="str" cm="1">
        <f t="array" ref="J213">IFERROR(INDEX(Create_TC_Web!M$1:M$500,SMALL(IF(Create_TC_Web!$C$1:$C$500&lt;&gt;"",MATCH(ROW(Create_TC_Web!$C$1:$C$500),ROW(Create_TC_Web!$C$1:$C$500)),""),ROW(Create_TC_Web!K213))),"")</f>
        <v/>
      </c>
      <c r="K213" t="str" cm="1">
        <f t="array" ref="K213">IFERROR(INDEX(Create_TC_Web!N$1:N$500,SMALL(IF(Create_TC_Web!$C$1:$C$500&lt;&gt;"",MATCH(ROW(Create_TC_Web!$C$1:$C$500),ROW(Create_TC_Web!$C$1:$C$500)),""),ROW(Create_TC_Web!L213))),"")</f>
        <v/>
      </c>
      <c r="L213" t="str" cm="1">
        <f t="array" ref="L213">IFERROR(INDEX(Create_TC_Web!O$1:O$500,SMALL(IF(Create_TC_Web!$C$1:$C$500&lt;&gt;"",MATCH(ROW(Create_TC_Web!$C$1:$C$500),ROW(Create_TC_Web!$C$1:$C$500)),""),ROW(Create_TC_Web!M213))),"")</f>
        <v/>
      </c>
      <c r="M213" t="str" cm="1">
        <f t="array" ref="M213">IFERROR(INDEX(Create_TC_Web!P$1:P$500,SMALL(IF(Create_TC_Web!$C$1:$C$500&lt;&gt;"",MATCH(ROW(Create_TC_Web!$C$1:$C$500),ROW(Create_TC_Web!$C$1:$C$500)),""),ROW(Create_TC_Web!N213))),"")</f>
        <v/>
      </c>
      <c r="N213">
        <f>Create_TC_Web!CA222</f>
        <v>0</v>
      </c>
      <c r="O213" t="str">
        <f t="shared" si="13"/>
        <v/>
      </c>
      <c r="P213" s="17" t="str" cm="1">
        <f t="array" ref="P213">IFERROR(INDEX(Create_TC_Web!S$1:S$500,SMALL(IF(Create_TC_Web!$C$1:$C$500&lt;&gt;"",MATCH(ROW(Create_TC_Web!$C$1:$C$500),ROW(Create_TC_Web!$C$1:$C$500)),""),ROW(Create_TC_Web!Q191))),"")</f>
        <v/>
      </c>
      <c r="S213" t="str">
        <f t="shared" si="14"/>
        <v/>
      </c>
    </row>
    <row r="214" spans="1:19">
      <c r="A214" t="str" cm="1">
        <f t="array" ref="A214">IFERROR(INDEX(Create_TC_Web!D$1:D$500,SMALL(IF(Create_TC_Web!$C$1:$C$500&lt;&gt;"",MATCH(ROW(Create_TC_Web!$C$1:$C$500),ROW(Create_TC_Web!$C$1:$C$500)),""),ROW(Create_TC_Web!B214))),"")</f>
        <v/>
      </c>
      <c r="B214" t="str" cm="1">
        <f t="array" ref="B214">SUBSTITUTE(SUBSTITUTE(SUBSTITUTE(IFERROR(INDEX(Create_TC_Web!E$1:E$505,SMALL(IF(Create_TC_Web!$C$1:$C$505&lt;&gt;"",MATCH(ROW(Create_TC_Web!$C$1:$C$505),ROW(Create_TC_Web!$C$1:$C$505)),""),ROW(Create_TC_Web!C214))),"")," ",""),"-",""),"_","")</f>
        <v/>
      </c>
      <c r="C214" t="str" cm="1">
        <f t="array" ref="C214">IFERROR(INDEX(Create_TC_Web!F$1:F$500,SMALL(IF(Create_TC_Web!$C$1:$C$500&lt;&gt;"",MATCH(ROW(Create_TC_Web!$C$1:$C$500),ROW(Create_TC_Web!$C$1:$C$500)),""),ROW(Create_TC_Web!D214))),"")</f>
        <v/>
      </c>
      <c r="D214" t="str" cm="1">
        <f t="array" ref="D214">IFERROR(INDEX(Create_TC_Web!G$1:G$500,SMALL(IF(Create_TC_Web!$C$1:$C$500&lt;&gt;"",MATCH(ROW(Create_TC_Web!$C$1:$C$500),ROW(Create_TC_Web!$C$1:$C$500)),""),ROW(Create_TC_Web!E214))),"")</f>
        <v/>
      </c>
      <c r="E214" t="str" cm="1">
        <f t="array" ref="E214">IFERROR(INDEX(Create_TC_Web!H$1:H$500,SMALL(IF(Create_TC_Web!$C$1:$C$500&lt;&gt;"",MATCH(ROW(Create_TC_Web!$C$1:$C$500),ROW(Create_TC_Web!$C$1:$C$500)),""),ROW(Create_TC_Web!F214))),"")</f>
        <v/>
      </c>
      <c r="F214" t="str" cm="1">
        <f t="array" ref="F214">IFERROR(INDEX(Create_TC_Web!I$1:I$500,SMALL(IF(Create_TC_Web!$C$1:$C$500&lt;&gt;"",MATCH(ROW(Create_TC_Web!$C$1:$C$500),ROW(Create_TC_Web!$C$1:$C$500)),""),ROW(Create_TC_Web!G214))),"")</f>
        <v/>
      </c>
      <c r="G214" t="str" cm="1">
        <f t="array" ref="G214">IFERROR(INDEX(Create_TC_Web!J$1:J$500,SMALL(IF(Create_TC_Web!$C$1:$C$500&lt;&gt;"",MATCH(ROW(Create_TC_Web!$C$1:$C$500),ROW(Create_TC_Web!$C$1:$C$500)),""),ROW(Create_TC_Web!H214))),"")</f>
        <v/>
      </c>
      <c r="H214" t="str" cm="1">
        <f t="array" ref="H214">IFERROR(INDEX(Create_TC_Web!K$1:K$500,SMALL(IF(Create_TC_Web!$C$1:$C$500&lt;&gt;"",MATCH(ROW(Create_TC_Web!$C$1:$C$500),ROW(Create_TC_Web!$C$1:$C$500)),""),ROW(Create_TC_Web!I214))),"")</f>
        <v/>
      </c>
      <c r="I214" t="str" cm="1">
        <f t="array" ref="I214">IFERROR(INDEX(Create_TC_Web!L$1:L$500,SMALL(IF(Create_TC_Web!$C$1:$C$500&lt;&gt;"",MATCH(ROW(Create_TC_Web!$C$1:$C$500),ROW(Create_TC_Web!$C$1:$C$500)),""),ROW(Create_TC_Web!J214))),"")</f>
        <v/>
      </c>
      <c r="J214" t="str" cm="1">
        <f t="array" ref="J214">IFERROR(INDEX(Create_TC_Web!M$1:M$500,SMALL(IF(Create_TC_Web!$C$1:$C$500&lt;&gt;"",MATCH(ROW(Create_TC_Web!$C$1:$C$500),ROW(Create_TC_Web!$C$1:$C$500)),""),ROW(Create_TC_Web!K214))),"")</f>
        <v/>
      </c>
      <c r="K214" t="str" cm="1">
        <f t="array" ref="K214">IFERROR(INDEX(Create_TC_Web!N$1:N$500,SMALL(IF(Create_TC_Web!$C$1:$C$500&lt;&gt;"",MATCH(ROW(Create_TC_Web!$C$1:$C$500),ROW(Create_TC_Web!$C$1:$C$500)),""),ROW(Create_TC_Web!L214))),"")</f>
        <v/>
      </c>
      <c r="L214" t="str" cm="1">
        <f t="array" ref="L214">IFERROR(INDEX(Create_TC_Web!O$1:O$500,SMALL(IF(Create_TC_Web!$C$1:$C$500&lt;&gt;"",MATCH(ROW(Create_TC_Web!$C$1:$C$500),ROW(Create_TC_Web!$C$1:$C$500)),""),ROW(Create_TC_Web!M214))),"")</f>
        <v/>
      </c>
      <c r="M214" t="str" cm="1">
        <f t="array" ref="M214">IFERROR(INDEX(Create_TC_Web!P$1:P$500,SMALL(IF(Create_TC_Web!$C$1:$C$500&lt;&gt;"",MATCH(ROW(Create_TC_Web!$C$1:$C$500),ROW(Create_TC_Web!$C$1:$C$500)),""),ROW(Create_TC_Web!N214))),"")</f>
        <v/>
      </c>
      <c r="N214">
        <f>Create_TC_Web!CA223</f>
        <v>0</v>
      </c>
      <c r="O214" t="str">
        <f t="shared" si="13"/>
        <v/>
      </c>
      <c r="P214" s="17" t="str" cm="1">
        <f t="array" ref="P214">IFERROR(INDEX(Create_TC_Web!S$1:S$500,SMALL(IF(Create_TC_Web!$C$1:$C$500&lt;&gt;"",MATCH(ROW(Create_TC_Web!$C$1:$C$500),ROW(Create_TC_Web!$C$1:$C$500)),""),ROW(Create_TC_Web!Q192))),"")</f>
        <v/>
      </c>
      <c r="S214" t="str">
        <f t="shared" si="14"/>
        <v/>
      </c>
    </row>
    <row r="215" spans="1:19">
      <c r="A215" t="str" cm="1">
        <f t="array" ref="A215">IFERROR(INDEX(Create_TC_Web!D$1:D$500,SMALL(IF(Create_TC_Web!$C$1:$C$500&lt;&gt;"",MATCH(ROW(Create_TC_Web!$C$1:$C$500),ROW(Create_TC_Web!$C$1:$C$500)),""),ROW(Create_TC_Web!B215))),"")</f>
        <v/>
      </c>
      <c r="B215" t="str" cm="1">
        <f t="array" ref="B215">SUBSTITUTE(SUBSTITUTE(SUBSTITUTE(IFERROR(INDEX(Create_TC_Web!E$1:E$505,SMALL(IF(Create_TC_Web!$C$1:$C$505&lt;&gt;"",MATCH(ROW(Create_TC_Web!$C$1:$C$505),ROW(Create_TC_Web!$C$1:$C$505)),""),ROW(Create_TC_Web!C215))),"")," ",""),"-",""),"_","")</f>
        <v/>
      </c>
      <c r="C215" t="str" cm="1">
        <f t="array" ref="C215">IFERROR(INDEX(Create_TC_Web!F$1:F$500,SMALL(IF(Create_TC_Web!$C$1:$C$500&lt;&gt;"",MATCH(ROW(Create_TC_Web!$C$1:$C$500),ROW(Create_TC_Web!$C$1:$C$500)),""),ROW(Create_TC_Web!D215))),"")</f>
        <v/>
      </c>
      <c r="D215" t="str" cm="1">
        <f t="array" ref="D215">IFERROR(INDEX(Create_TC_Web!G$1:G$500,SMALL(IF(Create_TC_Web!$C$1:$C$500&lt;&gt;"",MATCH(ROW(Create_TC_Web!$C$1:$C$500),ROW(Create_TC_Web!$C$1:$C$500)),""),ROW(Create_TC_Web!E215))),"")</f>
        <v/>
      </c>
      <c r="E215" t="str" cm="1">
        <f t="array" ref="E215">IFERROR(INDEX(Create_TC_Web!H$1:H$500,SMALL(IF(Create_TC_Web!$C$1:$C$500&lt;&gt;"",MATCH(ROW(Create_TC_Web!$C$1:$C$500),ROW(Create_TC_Web!$C$1:$C$500)),""),ROW(Create_TC_Web!F215))),"")</f>
        <v/>
      </c>
      <c r="F215" t="str" cm="1">
        <f t="array" ref="F215">IFERROR(INDEX(Create_TC_Web!I$1:I$500,SMALL(IF(Create_TC_Web!$C$1:$C$500&lt;&gt;"",MATCH(ROW(Create_TC_Web!$C$1:$C$500),ROW(Create_TC_Web!$C$1:$C$500)),""),ROW(Create_TC_Web!G215))),"")</f>
        <v/>
      </c>
      <c r="G215" t="str" cm="1">
        <f t="array" ref="G215">IFERROR(INDEX(Create_TC_Web!J$1:J$500,SMALL(IF(Create_TC_Web!$C$1:$C$500&lt;&gt;"",MATCH(ROW(Create_TC_Web!$C$1:$C$500),ROW(Create_TC_Web!$C$1:$C$500)),""),ROW(Create_TC_Web!H215))),"")</f>
        <v/>
      </c>
      <c r="H215" t="str" cm="1">
        <f t="array" ref="H215">IFERROR(INDEX(Create_TC_Web!K$1:K$500,SMALL(IF(Create_TC_Web!$C$1:$C$500&lt;&gt;"",MATCH(ROW(Create_TC_Web!$C$1:$C$500),ROW(Create_TC_Web!$C$1:$C$500)),""),ROW(Create_TC_Web!I215))),"")</f>
        <v/>
      </c>
      <c r="I215" t="str" cm="1">
        <f t="array" ref="I215">IFERROR(INDEX(Create_TC_Web!L$1:L$500,SMALL(IF(Create_TC_Web!$C$1:$C$500&lt;&gt;"",MATCH(ROW(Create_TC_Web!$C$1:$C$500),ROW(Create_TC_Web!$C$1:$C$500)),""),ROW(Create_TC_Web!J215))),"")</f>
        <v/>
      </c>
      <c r="J215" t="str" cm="1">
        <f t="array" ref="J215">IFERROR(INDEX(Create_TC_Web!M$1:M$500,SMALL(IF(Create_TC_Web!$C$1:$C$500&lt;&gt;"",MATCH(ROW(Create_TC_Web!$C$1:$C$500),ROW(Create_TC_Web!$C$1:$C$500)),""),ROW(Create_TC_Web!K215))),"")</f>
        <v/>
      </c>
      <c r="K215" t="str" cm="1">
        <f t="array" ref="K215">IFERROR(INDEX(Create_TC_Web!N$1:N$500,SMALL(IF(Create_TC_Web!$C$1:$C$500&lt;&gt;"",MATCH(ROW(Create_TC_Web!$C$1:$C$500),ROW(Create_TC_Web!$C$1:$C$500)),""),ROW(Create_TC_Web!L215))),"")</f>
        <v/>
      </c>
      <c r="L215" t="str" cm="1">
        <f t="array" ref="L215">IFERROR(INDEX(Create_TC_Web!O$1:O$500,SMALL(IF(Create_TC_Web!$C$1:$C$500&lt;&gt;"",MATCH(ROW(Create_TC_Web!$C$1:$C$500),ROW(Create_TC_Web!$C$1:$C$500)),""),ROW(Create_TC_Web!M215))),"")</f>
        <v/>
      </c>
      <c r="M215" t="str" cm="1">
        <f t="array" ref="M215">IFERROR(INDEX(Create_TC_Web!P$1:P$500,SMALL(IF(Create_TC_Web!$C$1:$C$500&lt;&gt;"",MATCH(ROW(Create_TC_Web!$C$1:$C$500),ROW(Create_TC_Web!$C$1:$C$500)),""),ROW(Create_TC_Web!N215))),"")</f>
        <v/>
      </c>
      <c r="N215">
        <f>Create_TC_Web!CA224</f>
        <v>0</v>
      </c>
      <c r="O215" t="str">
        <f t="shared" si="13"/>
        <v/>
      </c>
      <c r="P215" s="17" t="str" cm="1">
        <f t="array" ref="P215">IFERROR(INDEX(Create_TC_Web!S$1:S$500,SMALL(IF(Create_TC_Web!$C$1:$C$500&lt;&gt;"",MATCH(ROW(Create_TC_Web!$C$1:$C$500),ROW(Create_TC_Web!$C$1:$C$500)),""),ROW(Create_TC_Web!Q193))),"")</f>
        <v/>
      </c>
      <c r="S215" t="str">
        <f t="shared" si="14"/>
        <v/>
      </c>
    </row>
    <row r="216" spans="1:19">
      <c r="A216" t="str" cm="1">
        <f t="array" ref="A216">IFERROR(INDEX(Create_TC_Web!D$1:D$500,SMALL(IF(Create_TC_Web!$C$1:$C$500&lt;&gt;"",MATCH(ROW(Create_TC_Web!$C$1:$C$500),ROW(Create_TC_Web!$C$1:$C$500)),""),ROW(Create_TC_Web!B216))),"")</f>
        <v/>
      </c>
      <c r="B216" t="str" cm="1">
        <f t="array" ref="B216">SUBSTITUTE(SUBSTITUTE(SUBSTITUTE(IFERROR(INDEX(Create_TC_Web!E$1:E$505,SMALL(IF(Create_TC_Web!$C$1:$C$505&lt;&gt;"",MATCH(ROW(Create_TC_Web!$C$1:$C$505),ROW(Create_TC_Web!$C$1:$C$505)),""),ROW(Create_TC_Web!C216))),"")," ",""),"-",""),"_","")</f>
        <v/>
      </c>
      <c r="C216" t="str" cm="1">
        <f t="array" ref="C216">IFERROR(INDEX(Create_TC_Web!F$1:F$500,SMALL(IF(Create_TC_Web!$C$1:$C$500&lt;&gt;"",MATCH(ROW(Create_TC_Web!$C$1:$C$500),ROW(Create_TC_Web!$C$1:$C$500)),""),ROW(Create_TC_Web!D216))),"")</f>
        <v/>
      </c>
      <c r="D216" t="str" cm="1">
        <f t="array" ref="D216">IFERROR(INDEX(Create_TC_Web!G$1:G$500,SMALL(IF(Create_TC_Web!$C$1:$C$500&lt;&gt;"",MATCH(ROW(Create_TC_Web!$C$1:$C$500),ROW(Create_TC_Web!$C$1:$C$500)),""),ROW(Create_TC_Web!E216))),"")</f>
        <v/>
      </c>
      <c r="E216" t="str" cm="1">
        <f t="array" ref="E216">IFERROR(INDEX(Create_TC_Web!H$1:H$500,SMALL(IF(Create_TC_Web!$C$1:$C$500&lt;&gt;"",MATCH(ROW(Create_TC_Web!$C$1:$C$500),ROW(Create_TC_Web!$C$1:$C$500)),""),ROW(Create_TC_Web!F216))),"")</f>
        <v/>
      </c>
      <c r="F216" t="str" cm="1">
        <f t="array" ref="F216">IFERROR(INDEX(Create_TC_Web!I$1:I$500,SMALL(IF(Create_TC_Web!$C$1:$C$500&lt;&gt;"",MATCH(ROW(Create_TC_Web!$C$1:$C$500),ROW(Create_TC_Web!$C$1:$C$500)),""),ROW(Create_TC_Web!G216))),"")</f>
        <v/>
      </c>
      <c r="G216" t="str" cm="1">
        <f t="array" ref="G216">IFERROR(INDEX(Create_TC_Web!J$1:J$500,SMALL(IF(Create_TC_Web!$C$1:$C$500&lt;&gt;"",MATCH(ROW(Create_TC_Web!$C$1:$C$500),ROW(Create_TC_Web!$C$1:$C$500)),""),ROW(Create_TC_Web!H216))),"")</f>
        <v/>
      </c>
      <c r="H216" t="str" cm="1">
        <f t="array" ref="H216">IFERROR(INDEX(Create_TC_Web!K$1:K$500,SMALL(IF(Create_TC_Web!$C$1:$C$500&lt;&gt;"",MATCH(ROW(Create_TC_Web!$C$1:$C$500),ROW(Create_TC_Web!$C$1:$C$500)),""),ROW(Create_TC_Web!I216))),"")</f>
        <v/>
      </c>
      <c r="I216" t="str" cm="1">
        <f t="array" ref="I216">IFERROR(INDEX(Create_TC_Web!L$1:L$500,SMALL(IF(Create_TC_Web!$C$1:$C$500&lt;&gt;"",MATCH(ROW(Create_TC_Web!$C$1:$C$500),ROW(Create_TC_Web!$C$1:$C$500)),""),ROW(Create_TC_Web!J216))),"")</f>
        <v/>
      </c>
      <c r="J216" t="str" cm="1">
        <f t="array" ref="J216">IFERROR(INDEX(Create_TC_Web!M$1:M$500,SMALL(IF(Create_TC_Web!$C$1:$C$500&lt;&gt;"",MATCH(ROW(Create_TC_Web!$C$1:$C$500),ROW(Create_TC_Web!$C$1:$C$500)),""),ROW(Create_TC_Web!K216))),"")</f>
        <v/>
      </c>
      <c r="K216" t="str" cm="1">
        <f t="array" ref="K216">IFERROR(INDEX(Create_TC_Web!N$1:N$500,SMALL(IF(Create_TC_Web!$C$1:$C$500&lt;&gt;"",MATCH(ROW(Create_TC_Web!$C$1:$C$500),ROW(Create_TC_Web!$C$1:$C$500)),""),ROW(Create_TC_Web!L216))),"")</f>
        <v/>
      </c>
      <c r="L216" t="str" cm="1">
        <f t="array" ref="L216">IFERROR(INDEX(Create_TC_Web!O$1:O$500,SMALL(IF(Create_TC_Web!$C$1:$C$500&lt;&gt;"",MATCH(ROW(Create_TC_Web!$C$1:$C$500),ROW(Create_TC_Web!$C$1:$C$500)),""),ROW(Create_TC_Web!M216))),"")</f>
        <v/>
      </c>
      <c r="M216" t="str" cm="1">
        <f t="array" ref="M216">IFERROR(INDEX(Create_TC_Web!P$1:P$500,SMALL(IF(Create_TC_Web!$C$1:$C$500&lt;&gt;"",MATCH(ROW(Create_TC_Web!$C$1:$C$500),ROW(Create_TC_Web!$C$1:$C$500)),""),ROW(Create_TC_Web!N216))),"")</f>
        <v/>
      </c>
      <c r="N216">
        <f>Create_TC_Web!CA225</f>
        <v>0</v>
      </c>
      <c r="O216" t="str">
        <f t="shared" si="13"/>
        <v/>
      </c>
      <c r="P216" s="17" t="str" cm="1">
        <f t="array" ref="P216">IFERROR(INDEX(Create_TC_Web!S$1:S$500,SMALL(IF(Create_TC_Web!$C$1:$C$500&lt;&gt;"",MATCH(ROW(Create_TC_Web!$C$1:$C$500),ROW(Create_TC_Web!$C$1:$C$500)),""),ROW(Create_TC_Web!Q194))),"")</f>
        <v/>
      </c>
      <c r="S216" t="str">
        <f t="shared" si="14"/>
        <v/>
      </c>
    </row>
    <row r="217" spans="1:19">
      <c r="A217" t="str" cm="1">
        <f t="array" ref="A217">IFERROR(INDEX(Create_TC_Web!D$1:D$500,SMALL(IF(Create_TC_Web!$C$1:$C$500&lt;&gt;"",MATCH(ROW(Create_TC_Web!$C$1:$C$500),ROW(Create_TC_Web!$C$1:$C$500)),""),ROW(Create_TC_Web!B217))),"")</f>
        <v/>
      </c>
      <c r="B217" t="str" cm="1">
        <f t="array" ref="B217">SUBSTITUTE(SUBSTITUTE(SUBSTITUTE(IFERROR(INDEX(Create_TC_Web!E$1:E$505,SMALL(IF(Create_TC_Web!$C$1:$C$505&lt;&gt;"",MATCH(ROW(Create_TC_Web!$C$1:$C$505),ROW(Create_TC_Web!$C$1:$C$505)),""),ROW(Create_TC_Web!C217))),"")," ",""),"-",""),"_","")</f>
        <v/>
      </c>
      <c r="C217" t="str" cm="1">
        <f t="array" ref="C217">IFERROR(INDEX(Create_TC_Web!F$1:F$500,SMALL(IF(Create_TC_Web!$C$1:$C$500&lt;&gt;"",MATCH(ROW(Create_TC_Web!$C$1:$C$500),ROW(Create_TC_Web!$C$1:$C$500)),""),ROW(Create_TC_Web!D217))),"")</f>
        <v/>
      </c>
      <c r="D217" t="str" cm="1">
        <f t="array" ref="D217">IFERROR(INDEX(Create_TC_Web!G$1:G$500,SMALL(IF(Create_TC_Web!$C$1:$C$500&lt;&gt;"",MATCH(ROW(Create_TC_Web!$C$1:$C$500),ROW(Create_TC_Web!$C$1:$C$500)),""),ROW(Create_TC_Web!E217))),"")</f>
        <v/>
      </c>
      <c r="E217" t="str" cm="1">
        <f t="array" ref="E217">IFERROR(INDEX(Create_TC_Web!H$1:H$500,SMALL(IF(Create_TC_Web!$C$1:$C$500&lt;&gt;"",MATCH(ROW(Create_TC_Web!$C$1:$C$500),ROW(Create_TC_Web!$C$1:$C$500)),""),ROW(Create_TC_Web!F217))),"")</f>
        <v/>
      </c>
      <c r="F217" t="str" cm="1">
        <f t="array" ref="F217">IFERROR(INDEX(Create_TC_Web!I$1:I$500,SMALL(IF(Create_TC_Web!$C$1:$C$500&lt;&gt;"",MATCH(ROW(Create_TC_Web!$C$1:$C$500),ROW(Create_TC_Web!$C$1:$C$500)),""),ROW(Create_TC_Web!G217))),"")</f>
        <v/>
      </c>
      <c r="G217" t="str" cm="1">
        <f t="array" ref="G217">IFERROR(INDEX(Create_TC_Web!J$1:J$500,SMALL(IF(Create_TC_Web!$C$1:$C$500&lt;&gt;"",MATCH(ROW(Create_TC_Web!$C$1:$C$500),ROW(Create_TC_Web!$C$1:$C$500)),""),ROW(Create_TC_Web!H217))),"")</f>
        <v/>
      </c>
      <c r="H217" t="str" cm="1">
        <f t="array" ref="H217">IFERROR(INDEX(Create_TC_Web!K$1:K$500,SMALL(IF(Create_TC_Web!$C$1:$C$500&lt;&gt;"",MATCH(ROW(Create_TC_Web!$C$1:$C$500),ROW(Create_TC_Web!$C$1:$C$500)),""),ROW(Create_TC_Web!I217))),"")</f>
        <v/>
      </c>
      <c r="I217" t="str" cm="1">
        <f t="array" ref="I217">IFERROR(INDEX(Create_TC_Web!L$1:L$500,SMALL(IF(Create_TC_Web!$C$1:$C$500&lt;&gt;"",MATCH(ROW(Create_TC_Web!$C$1:$C$500),ROW(Create_TC_Web!$C$1:$C$500)),""),ROW(Create_TC_Web!J217))),"")</f>
        <v/>
      </c>
      <c r="J217" t="str" cm="1">
        <f t="array" ref="J217">IFERROR(INDEX(Create_TC_Web!M$1:M$500,SMALL(IF(Create_TC_Web!$C$1:$C$500&lt;&gt;"",MATCH(ROW(Create_TC_Web!$C$1:$C$500),ROW(Create_TC_Web!$C$1:$C$500)),""),ROW(Create_TC_Web!K217))),"")</f>
        <v/>
      </c>
      <c r="K217" t="str" cm="1">
        <f t="array" ref="K217">IFERROR(INDEX(Create_TC_Web!N$1:N$500,SMALL(IF(Create_TC_Web!$C$1:$C$500&lt;&gt;"",MATCH(ROW(Create_TC_Web!$C$1:$C$500),ROW(Create_TC_Web!$C$1:$C$500)),""),ROW(Create_TC_Web!L217))),"")</f>
        <v/>
      </c>
      <c r="L217" t="str" cm="1">
        <f t="array" ref="L217">IFERROR(INDEX(Create_TC_Web!O$1:O$500,SMALL(IF(Create_TC_Web!$C$1:$C$500&lt;&gt;"",MATCH(ROW(Create_TC_Web!$C$1:$C$500),ROW(Create_TC_Web!$C$1:$C$500)),""),ROW(Create_TC_Web!M217))),"")</f>
        <v/>
      </c>
      <c r="M217" t="str" cm="1">
        <f t="array" ref="M217">IFERROR(INDEX(Create_TC_Web!P$1:P$500,SMALL(IF(Create_TC_Web!$C$1:$C$500&lt;&gt;"",MATCH(ROW(Create_TC_Web!$C$1:$C$500),ROW(Create_TC_Web!$C$1:$C$500)),""),ROW(Create_TC_Web!N217))),"")</f>
        <v/>
      </c>
      <c r="N217">
        <f>Create_TC_Web!CA226</f>
        <v>0</v>
      </c>
      <c r="O217" t="str">
        <f t="shared" si="13"/>
        <v/>
      </c>
      <c r="P217" s="17" t="str" cm="1">
        <f t="array" ref="P217">IFERROR(INDEX(Create_TC_Web!S$1:S$500,SMALL(IF(Create_TC_Web!$C$1:$C$500&lt;&gt;"",MATCH(ROW(Create_TC_Web!$C$1:$C$500),ROW(Create_TC_Web!$C$1:$C$500)),""),ROW(Create_TC_Web!Q195))),"")</f>
        <v/>
      </c>
      <c r="S217" t="str">
        <f t="shared" si="14"/>
        <v/>
      </c>
    </row>
    <row r="218" spans="1:19">
      <c r="A218" t="str" cm="1">
        <f t="array" ref="A218">IFERROR(INDEX(Create_TC_Web!D$1:D$500,SMALL(IF(Create_TC_Web!$C$1:$C$500&lt;&gt;"",MATCH(ROW(Create_TC_Web!$C$1:$C$500),ROW(Create_TC_Web!$C$1:$C$500)),""),ROW(Create_TC_Web!B218))),"")</f>
        <v/>
      </c>
      <c r="B218" t="str" cm="1">
        <f t="array" ref="B218">SUBSTITUTE(SUBSTITUTE(SUBSTITUTE(IFERROR(INDEX(Create_TC_Web!E$1:E$505,SMALL(IF(Create_TC_Web!$C$1:$C$505&lt;&gt;"",MATCH(ROW(Create_TC_Web!$C$1:$C$505),ROW(Create_TC_Web!$C$1:$C$505)),""),ROW(Create_TC_Web!C218))),"")," ",""),"-",""),"_","")</f>
        <v/>
      </c>
      <c r="C218" t="str" cm="1">
        <f t="array" ref="C218">IFERROR(INDEX(Create_TC_Web!F$1:F$500,SMALL(IF(Create_TC_Web!$C$1:$C$500&lt;&gt;"",MATCH(ROW(Create_TC_Web!$C$1:$C$500),ROW(Create_TC_Web!$C$1:$C$500)),""),ROW(Create_TC_Web!D218))),"")</f>
        <v/>
      </c>
      <c r="D218" t="str" cm="1">
        <f t="array" ref="D218">IFERROR(INDEX(Create_TC_Web!G$1:G$500,SMALL(IF(Create_TC_Web!$C$1:$C$500&lt;&gt;"",MATCH(ROW(Create_TC_Web!$C$1:$C$500),ROW(Create_TC_Web!$C$1:$C$500)),""),ROW(Create_TC_Web!E218))),"")</f>
        <v/>
      </c>
      <c r="E218" t="str" cm="1">
        <f t="array" ref="E218">IFERROR(INDEX(Create_TC_Web!H$1:H$500,SMALL(IF(Create_TC_Web!$C$1:$C$500&lt;&gt;"",MATCH(ROW(Create_TC_Web!$C$1:$C$500),ROW(Create_TC_Web!$C$1:$C$500)),""),ROW(Create_TC_Web!F218))),"")</f>
        <v/>
      </c>
      <c r="F218" t="str" cm="1">
        <f t="array" ref="F218">IFERROR(INDEX(Create_TC_Web!I$1:I$500,SMALL(IF(Create_TC_Web!$C$1:$C$500&lt;&gt;"",MATCH(ROW(Create_TC_Web!$C$1:$C$500),ROW(Create_TC_Web!$C$1:$C$500)),""),ROW(Create_TC_Web!G218))),"")</f>
        <v/>
      </c>
      <c r="G218" t="str" cm="1">
        <f t="array" ref="G218">IFERROR(INDEX(Create_TC_Web!J$1:J$500,SMALL(IF(Create_TC_Web!$C$1:$C$500&lt;&gt;"",MATCH(ROW(Create_TC_Web!$C$1:$C$500),ROW(Create_TC_Web!$C$1:$C$500)),""),ROW(Create_TC_Web!H218))),"")</f>
        <v/>
      </c>
      <c r="H218" t="str" cm="1">
        <f t="array" ref="H218">IFERROR(INDEX(Create_TC_Web!K$1:K$500,SMALL(IF(Create_TC_Web!$C$1:$C$500&lt;&gt;"",MATCH(ROW(Create_TC_Web!$C$1:$C$500),ROW(Create_TC_Web!$C$1:$C$500)),""),ROW(Create_TC_Web!I218))),"")</f>
        <v/>
      </c>
      <c r="I218" t="str" cm="1">
        <f t="array" ref="I218">IFERROR(INDEX(Create_TC_Web!L$1:L$500,SMALL(IF(Create_TC_Web!$C$1:$C$500&lt;&gt;"",MATCH(ROW(Create_TC_Web!$C$1:$C$500),ROW(Create_TC_Web!$C$1:$C$500)),""),ROW(Create_TC_Web!J218))),"")</f>
        <v/>
      </c>
      <c r="J218" t="str" cm="1">
        <f t="array" ref="J218">IFERROR(INDEX(Create_TC_Web!M$1:M$500,SMALL(IF(Create_TC_Web!$C$1:$C$500&lt;&gt;"",MATCH(ROW(Create_TC_Web!$C$1:$C$500),ROW(Create_TC_Web!$C$1:$C$500)),""),ROW(Create_TC_Web!K218))),"")</f>
        <v/>
      </c>
      <c r="K218" t="str" cm="1">
        <f t="array" ref="K218">IFERROR(INDEX(Create_TC_Web!N$1:N$500,SMALL(IF(Create_TC_Web!$C$1:$C$500&lt;&gt;"",MATCH(ROW(Create_TC_Web!$C$1:$C$500),ROW(Create_TC_Web!$C$1:$C$500)),""),ROW(Create_TC_Web!L218))),"")</f>
        <v/>
      </c>
      <c r="L218" t="str" cm="1">
        <f t="array" ref="L218">IFERROR(INDEX(Create_TC_Web!O$1:O$500,SMALL(IF(Create_TC_Web!$C$1:$C$500&lt;&gt;"",MATCH(ROW(Create_TC_Web!$C$1:$C$500),ROW(Create_TC_Web!$C$1:$C$500)),""),ROW(Create_TC_Web!M218))),"")</f>
        <v/>
      </c>
      <c r="M218" t="str" cm="1">
        <f t="array" ref="M218">IFERROR(INDEX(Create_TC_Web!P$1:P$500,SMALL(IF(Create_TC_Web!$C$1:$C$500&lt;&gt;"",MATCH(ROW(Create_TC_Web!$C$1:$C$500),ROW(Create_TC_Web!$C$1:$C$500)),""),ROW(Create_TC_Web!N218))),"")</f>
        <v/>
      </c>
      <c r="N218">
        <f>Create_TC_Web!CA227</f>
        <v>0</v>
      </c>
      <c r="O218" t="str">
        <f t="shared" si="13"/>
        <v/>
      </c>
      <c r="P218" s="17" t="str" cm="1">
        <f t="array" ref="P218">IFERROR(INDEX(Create_TC_Web!S$1:S$500,SMALL(IF(Create_TC_Web!$C$1:$C$500&lt;&gt;"",MATCH(ROW(Create_TC_Web!$C$1:$C$500),ROW(Create_TC_Web!$C$1:$C$500)),""),ROW(Create_TC_Web!Q196))),"")</f>
        <v/>
      </c>
      <c r="S218" t="str">
        <f t="shared" si="14"/>
        <v/>
      </c>
    </row>
    <row r="219" spans="1:19">
      <c r="A219" t="str" cm="1">
        <f t="array" ref="A219">IFERROR(INDEX(Create_TC_Web!D$1:D$500,SMALL(IF(Create_TC_Web!$C$1:$C$500&lt;&gt;"",MATCH(ROW(Create_TC_Web!$C$1:$C$500),ROW(Create_TC_Web!$C$1:$C$500)),""),ROW(Create_TC_Web!B219))),"")</f>
        <v/>
      </c>
      <c r="B219" t="str" cm="1">
        <f t="array" ref="B219">SUBSTITUTE(SUBSTITUTE(SUBSTITUTE(IFERROR(INDEX(Create_TC_Web!E$1:E$505,SMALL(IF(Create_TC_Web!$C$1:$C$505&lt;&gt;"",MATCH(ROW(Create_TC_Web!$C$1:$C$505),ROW(Create_TC_Web!$C$1:$C$505)),""),ROW(Create_TC_Web!C219))),"")," ",""),"-",""),"_","")</f>
        <v/>
      </c>
      <c r="C219" t="str" cm="1">
        <f t="array" ref="C219">IFERROR(INDEX(Create_TC_Web!F$1:F$500,SMALL(IF(Create_TC_Web!$C$1:$C$500&lt;&gt;"",MATCH(ROW(Create_TC_Web!$C$1:$C$500),ROW(Create_TC_Web!$C$1:$C$500)),""),ROW(Create_TC_Web!D219))),"")</f>
        <v/>
      </c>
      <c r="D219" t="str" cm="1">
        <f t="array" ref="D219">IFERROR(INDEX(Create_TC_Web!G$1:G$500,SMALL(IF(Create_TC_Web!$C$1:$C$500&lt;&gt;"",MATCH(ROW(Create_TC_Web!$C$1:$C$500),ROW(Create_TC_Web!$C$1:$C$500)),""),ROW(Create_TC_Web!E219))),"")</f>
        <v/>
      </c>
      <c r="E219" t="str" cm="1">
        <f t="array" ref="E219">IFERROR(INDEX(Create_TC_Web!H$1:H$500,SMALL(IF(Create_TC_Web!$C$1:$C$500&lt;&gt;"",MATCH(ROW(Create_TC_Web!$C$1:$C$500),ROW(Create_TC_Web!$C$1:$C$500)),""),ROW(Create_TC_Web!F219))),"")</f>
        <v/>
      </c>
      <c r="F219" t="str" cm="1">
        <f t="array" ref="F219">IFERROR(INDEX(Create_TC_Web!I$1:I$500,SMALL(IF(Create_TC_Web!$C$1:$C$500&lt;&gt;"",MATCH(ROW(Create_TC_Web!$C$1:$C$500),ROW(Create_TC_Web!$C$1:$C$500)),""),ROW(Create_TC_Web!G219))),"")</f>
        <v/>
      </c>
      <c r="G219" t="str" cm="1">
        <f t="array" ref="G219">IFERROR(INDEX(Create_TC_Web!J$1:J$500,SMALL(IF(Create_TC_Web!$C$1:$C$500&lt;&gt;"",MATCH(ROW(Create_TC_Web!$C$1:$C$500),ROW(Create_TC_Web!$C$1:$C$500)),""),ROW(Create_TC_Web!H219))),"")</f>
        <v/>
      </c>
      <c r="H219" t="str" cm="1">
        <f t="array" ref="H219">IFERROR(INDEX(Create_TC_Web!K$1:K$500,SMALL(IF(Create_TC_Web!$C$1:$C$500&lt;&gt;"",MATCH(ROW(Create_TC_Web!$C$1:$C$500),ROW(Create_TC_Web!$C$1:$C$500)),""),ROW(Create_TC_Web!I219))),"")</f>
        <v/>
      </c>
      <c r="I219" t="str" cm="1">
        <f t="array" ref="I219">IFERROR(INDEX(Create_TC_Web!L$1:L$500,SMALL(IF(Create_TC_Web!$C$1:$C$500&lt;&gt;"",MATCH(ROW(Create_TC_Web!$C$1:$C$500),ROW(Create_TC_Web!$C$1:$C$500)),""),ROW(Create_TC_Web!J219))),"")</f>
        <v/>
      </c>
      <c r="J219" t="str" cm="1">
        <f t="array" ref="J219">IFERROR(INDEX(Create_TC_Web!M$1:M$500,SMALL(IF(Create_TC_Web!$C$1:$C$500&lt;&gt;"",MATCH(ROW(Create_TC_Web!$C$1:$C$500),ROW(Create_TC_Web!$C$1:$C$500)),""),ROW(Create_TC_Web!K219))),"")</f>
        <v/>
      </c>
      <c r="K219" t="str" cm="1">
        <f t="array" ref="K219">IFERROR(INDEX(Create_TC_Web!N$1:N$500,SMALL(IF(Create_TC_Web!$C$1:$C$500&lt;&gt;"",MATCH(ROW(Create_TC_Web!$C$1:$C$500),ROW(Create_TC_Web!$C$1:$C$500)),""),ROW(Create_TC_Web!L219))),"")</f>
        <v/>
      </c>
      <c r="L219" t="str" cm="1">
        <f t="array" ref="L219">IFERROR(INDEX(Create_TC_Web!O$1:O$500,SMALL(IF(Create_TC_Web!$C$1:$C$500&lt;&gt;"",MATCH(ROW(Create_TC_Web!$C$1:$C$500),ROW(Create_TC_Web!$C$1:$C$500)),""),ROW(Create_TC_Web!M219))),"")</f>
        <v/>
      </c>
      <c r="M219" t="str" cm="1">
        <f t="array" ref="M219">IFERROR(INDEX(Create_TC_Web!P$1:P$500,SMALL(IF(Create_TC_Web!$C$1:$C$500&lt;&gt;"",MATCH(ROW(Create_TC_Web!$C$1:$C$500),ROW(Create_TC_Web!$C$1:$C$500)),""),ROW(Create_TC_Web!N219))),"")</f>
        <v/>
      </c>
      <c r="N219">
        <f>Create_TC_Web!CA228</f>
        <v>0</v>
      </c>
      <c r="O219" t="str">
        <f t="shared" si="13"/>
        <v/>
      </c>
      <c r="P219" s="17" t="str" cm="1">
        <f t="array" ref="P219">IFERROR(INDEX(Create_TC_Web!S$1:S$500,SMALL(IF(Create_TC_Web!$C$1:$C$500&lt;&gt;"",MATCH(ROW(Create_TC_Web!$C$1:$C$500),ROW(Create_TC_Web!$C$1:$C$500)),""),ROW(Create_TC_Web!Q197))),"")</f>
        <v/>
      </c>
      <c r="S219" t="str">
        <f t="shared" si="14"/>
        <v/>
      </c>
    </row>
    <row r="220" spans="1:19">
      <c r="A220" t="str" cm="1">
        <f t="array" ref="A220">IFERROR(INDEX(Create_TC_Web!D$1:D$500,SMALL(IF(Create_TC_Web!$C$1:$C$500&lt;&gt;"",MATCH(ROW(Create_TC_Web!$C$1:$C$500),ROW(Create_TC_Web!$C$1:$C$500)),""),ROW(Create_TC_Web!B220))),"")</f>
        <v/>
      </c>
      <c r="B220" t="str" cm="1">
        <f t="array" ref="B220">SUBSTITUTE(SUBSTITUTE(SUBSTITUTE(IFERROR(INDEX(Create_TC_Web!E$1:E$505,SMALL(IF(Create_TC_Web!$C$1:$C$505&lt;&gt;"",MATCH(ROW(Create_TC_Web!$C$1:$C$505),ROW(Create_TC_Web!$C$1:$C$505)),""),ROW(Create_TC_Web!C220))),"")," ",""),"-",""),"_","")</f>
        <v/>
      </c>
      <c r="C220" t="str" cm="1">
        <f t="array" ref="C220">IFERROR(INDEX(Create_TC_Web!F$1:F$500,SMALL(IF(Create_TC_Web!$C$1:$C$500&lt;&gt;"",MATCH(ROW(Create_TC_Web!$C$1:$C$500),ROW(Create_TC_Web!$C$1:$C$500)),""),ROW(Create_TC_Web!D220))),"")</f>
        <v/>
      </c>
      <c r="D220" t="str" cm="1">
        <f t="array" ref="D220">IFERROR(INDEX(Create_TC_Web!G$1:G$500,SMALL(IF(Create_TC_Web!$C$1:$C$500&lt;&gt;"",MATCH(ROW(Create_TC_Web!$C$1:$C$500),ROW(Create_TC_Web!$C$1:$C$500)),""),ROW(Create_TC_Web!E220))),"")</f>
        <v/>
      </c>
      <c r="E220" t="str" cm="1">
        <f t="array" ref="E220">IFERROR(INDEX(Create_TC_Web!H$1:H$500,SMALL(IF(Create_TC_Web!$C$1:$C$500&lt;&gt;"",MATCH(ROW(Create_TC_Web!$C$1:$C$500),ROW(Create_TC_Web!$C$1:$C$500)),""),ROW(Create_TC_Web!F220))),"")</f>
        <v/>
      </c>
      <c r="F220" t="str" cm="1">
        <f t="array" ref="F220">IFERROR(INDEX(Create_TC_Web!I$1:I$500,SMALL(IF(Create_TC_Web!$C$1:$C$500&lt;&gt;"",MATCH(ROW(Create_TC_Web!$C$1:$C$500),ROW(Create_TC_Web!$C$1:$C$500)),""),ROW(Create_TC_Web!G220))),"")</f>
        <v/>
      </c>
      <c r="G220" t="str" cm="1">
        <f t="array" ref="G220">IFERROR(INDEX(Create_TC_Web!J$1:J$500,SMALL(IF(Create_TC_Web!$C$1:$C$500&lt;&gt;"",MATCH(ROW(Create_TC_Web!$C$1:$C$500),ROW(Create_TC_Web!$C$1:$C$500)),""),ROW(Create_TC_Web!H220))),"")</f>
        <v/>
      </c>
      <c r="H220" t="str" cm="1">
        <f t="array" ref="H220">IFERROR(INDEX(Create_TC_Web!K$1:K$500,SMALL(IF(Create_TC_Web!$C$1:$C$500&lt;&gt;"",MATCH(ROW(Create_TC_Web!$C$1:$C$500),ROW(Create_TC_Web!$C$1:$C$500)),""),ROW(Create_TC_Web!I220))),"")</f>
        <v/>
      </c>
      <c r="I220" t="str" cm="1">
        <f t="array" ref="I220">IFERROR(INDEX(Create_TC_Web!L$1:L$500,SMALL(IF(Create_TC_Web!$C$1:$C$500&lt;&gt;"",MATCH(ROW(Create_TC_Web!$C$1:$C$500),ROW(Create_TC_Web!$C$1:$C$500)),""),ROW(Create_TC_Web!J220))),"")</f>
        <v/>
      </c>
      <c r="J220" t="str" cm="1">
        <f t="array" ref="J220">IFERROR(INDEX(Create_TC_Web!M$1:M$500,SMALL(IF(Create_TC_Web!$C$1:$C$500&lt;&gt;"",MATCH(ROW(Create_TC_Web!$C$1:$C$500),ROW(Create_TC_Web!$C$1:$C$500)),""),ROW(Create_TC_Web!K220))),"")</f>
        <v/>
      </c>
      <c r="K220" t="str" cm="1">
        <f t="array" ref="K220">IFERROR(INDEX(Create_TC_Web!N$1:N$500,SMALL(IF(Create_TC_Web!$C$1:$C$500&lt;&gt;"",MATCH(ROW(Create_TC_Web!$C$1:$C$500),ROW(Create_TC_Web!$C$1:$C$500)),""),ROW(Create_TC_Web!L220))),"")</f>
        <v/>
      </c>
      <c r="L220" t="str" cm="1">
        <f t="array" ref="L220">IFERROR(INDEX(Create_TC_Web!O$1:O$500,SMALL(IF(Create_TC_Web!$C$1:$C$500&lt;&gt;"",MATCH(ROW(Create_TC_Web!$C$1:$C$500),ROW(Create_TC_Web!$C$1:$C$500)),""),ROW(Create_TC_Web!M220))),"")</f>
        <v/>
      </c>
      <c r="M220" t="str" cm="1">
        <f t="array" ref="M220">IFERROR(INDEX(Create_TC_Web!P$1:P$500,SMALL(IF(Create_TC_Web!$C$1:$C$500&lt;&gt;"",MATCH(ROW(Create_TC_Web!$C$1:$C$500),ROW(Create_TC_Web!$C$1:$C$500)),""),ROW(Create_TC_Web!N220))),"")</f>
        <v/>
      </c>
      <c r="N220">
        <f>Create_TC_Web!CA229</f>
        <v>0</v>
      </c>
      <c r="O220" t="str">
        <f t="shared" si="13"/>
        <v/>
      </c>
      <c r="P220" s="17" t="str" cm="1">
        <f t="array" ref="P220">IFERROR(INDEX(Create_TC_Web!S$1:S$500,SMALL(IF(Create_TC_Web!$C$1:$C$500&lt;&gt;"",MATCH(ROW(Create_TC_Web!$C$1:$C$500),ROW(Create_TC_Web!$C$1:$C$500)),""),ROW(Create_TC_Web!Q198))),"")</f>
        <v/>
      </c>
      <c r="S220" t="str">
        <f t="shared" si="14"/>
        <v/>
      </c>
    </row>
    <row r="221" spans="1:19">
      <c r="A221" t="str" cm="1">
        <f t="array" ref="A221">IFERROR(INDEX(Create_TC_Web!D$1:D$500,SMALL(IF(Create_TC_Web!$C$1:$C$500&lt;&gt;"",MATCH(ROW(Create_TC_Web!$C$1:$C$500),ROW(Create_TC_Web!$C$1:$C$500)),""),ROW(Create_TC_Web!B221))),"")</f>
        <v/>
      </c>
      <c r="B221" t="str" cm="1">
        <f t="array" ref="B221">SUBSTITUTE(SUBSTITUTE(SUBSTITUTE(IFERROR(INDEX(Create_TC_Web!E$1:E$505,SMALL(IF(Create_TC_Web!$C$1:$C$505&lt;&gt;"",MATCH(ROW(Create_TC_Web!$C$1:$C$505),ROW(Create_TC_Web!$C$1:$C$505)),""),ROW(Create_TC_Web!C221))),"")," ",""),"-",""),"_","")</f>
        <v/>
      </c>
      <c r="C221" t="str" cm="1">
        <f t="array" ref="C221">IFERROR(INDEX(Create_TC_Web!F$1:F$500,SMALL(IF(Create_TC_Web!$C$1:$C$500&lt;&gt;"",MATCH(ROW(Create_TC_Web!$C$1:$C$500),ROW(Create_TC_Web!$C$1:$C$500)),""),ROW(Create_TC_Web!D221))),"")</f>
        <v/>
      </c>
      <c r="D221" t="str" cm="1">
        <f t="array" ref="D221">IFERROR(INDEX(Create_TC_Web!G$1:G$500,SMALL(IF(Create_TC_Web!$C$1:$C$500&lt;&gt;"",MATCH(ROW(Create_TC_Web!$C$1:$C$500),ROW(Create_TC_Web!$C$1:$C$500)),""),ROW(Create_TC_Web!E221))),"")</f>
        <v/>
      </c>
      <c r="E221" t="str" cm="1">
        <f t="array" ref="E221">IFERROR(INDEX(Create_TC_Web!H$1:H$500,SMALL(IF(Create_TC_Web!$C$1:$C$500&lt;&gt;"",MATCH(ROW(Create_TC_Web!$C$1:$C$500),ROW(Create_TC_Web!$C$1:$C$500)),""),ROW(Create_TC_Web!F221))),"")</f>
        <v/>
      </c>
      <c r="F221" t="str" cm="1">
        <f t="array" ref="F221">IFERROR(INDEX(Create_TC_Web!I$1:I$500,SMALL(IF(Create_TC_Web!$C$1:$C$500&lt;&gt;"",MATCH(ROW(Create_TC_Web!$C$1:$C$500),ROW(Create_TC_Web!$C$1:$C$500)),""),ROW(Create_TC_Web!G221))),"")</f>
        <v/>
      </c>
      <c r="G221" t="str" cm="1">
        <f t="array" ref="G221">IFERROR(INDEX(Create_TC_Web!J$1:J$500,SMALL(IF(Create_TC_Web!$C$1:$C$500&lt;&gt;"",MATCH(ROW(Create_TC_Web!$C$1:$C$500),ROW(Create_TC_Web!$C$1:$C$500)),""),ROW(Create_TC_Web!H221))),"")</f>
        <v/>
      </c>
      <c r="H221" t="str" cm="1">
        <f t="array" ref="H221">IFERROR(INDEX(Create_TC_Web!K$1:K$500,SMALL(IF(Create_TC_Web!$C$1:$C$500&lt;&gt;"",MATCH(ROW(Create_TC_Web!$C$1:$C$500),ROW(Create_TC_Web!$C$1:$C$500)),""),ROW(Create_TC_Web!I221))),"")</f>
        <v/>
      </c>
      <c r="I221" t="str" cm="1">
        <f t="array" ref="I221">IFERROR(INDEX(Create_TC_Web!L$1:L$500,SMALL(IF(Create_TC_Web!$C$1:$C$500&lt;&gt;"",MATCH(ROW(Create_TC_Web!$C$1:$C$500),ROW(Create_TC_Web!$C$1:$C$500)),""),ROW(Create_TC_Web!J221))),"")</f>
        <v/>
      </c>
      <c r="J221" t="str" cm="1">
        <f t="array" ref="J221">IFERROR(INDEX(Create_TC_Web!M$1:M$500,SMALL(IF(Create_TC_Web!$C$1:$C$500&lt;&gt;"",MATCH(ROW(Create_TC_Web!$C$1:$C$500),ROW(Create_TC_Web!$C$1:$C$500)),""),ROW(Create_TC_Web!K221))),"")</f>
        <v/>
      </c>
      <c r="K221" t="str" cm="1">
        <f t="array" ref="K221">IFERROR(INDEX(Create_TC_Web!N$1:N$500,SMALL(IF(Create_TC_Web!$C$1:$C$500&lt;&gt;"",MATCH(ROW(Create_TC_Web!$C$1:$C$500),ROW(Create_TC_Web!$C$1:$C$500)),""),ROW(Create_TC_Web!L221))),"")</f>
        <v/>
      </c>
      <c r="L221" t="str" cm="1">
        <f t="array" ref="L221">IFERROR(INDEX(Create_TC_Web!O$1:O$500,SMALL(IF(Create_TC_Web!$C$1:$C$500&lt;&gt;"",MATCH(ROW(Create_TC_Web!$C$1:$C$500),ROW(Create_TC_Web!$C$1:$C$500)),""),ROW(Create_TC_Web!M221))),"")</f>
        <v/>
      </c>
      <c r="M221" t="str" cm="1">
        <f t="array" ref="M221">IFERROR(INDEX(Create_TC_Web!P$1:P$500,SMALL(IF(Create_TC_Web!$C$1:$C$500&lt;&gt;"",MATCH(ROW(Create_TC_Web!$C$1:$C$500),ROW(Create_TC_Web!$C$1:$C$500)),""),ROW(Create_TC_Web!N221))),"")</f>
        <v/>
      </c>
      <c r="N221">
        <f>Create_TC_Web!CA230</f>
        <v>0</v>
      </c>
      <c r="O221" t="str">
        <f t="shared" si="13"/>
        <v/>
      </c>
      <c r="P221" s="17" t="str" cm="1">
        <f t="array" ref="P221">IFERROR(INDEX(Create_TC_Web!S$1:S$500,SMALL(IF(Create_TC_Web!$C$1:$C$500&lt;&gt;"",MATCH(ROW(Create_TC_Web!$C$1:$C$500),ROW(Create_TC_Web!$C$1:$C$500)),""),ROW(Create_TC_Web!Q199))),"")</f>
        <v/>
      </c>
      <c r="S221" t="str">
        <f t="shared" si="14"/>
        <v/>
      </c>
    </row>
    <row r="222" spans="1:19">
      <c r="A222" t="str" cm="1">
        <f t="array" ref="A222">IFERROR(INDEX(Create_TC_Web!D$1:D$500,SMALL(IF(Create_TC_Web!$C$1:$C$500&lt;&gt;"",MATCH(ROW(Create_TC_Web!$C$1:$C$500),ROW(Create_TC_Web!$C$1:$C$500)),""),ROW(Create_TC_Web!B222))),"")</f>
        <v/>
      </c>
      <c r="B222" t="str" cm="1">
        <f t="array" ref="B222">SUBSTITUTE(SUBSTITUTE(SUBSTITUTE(IFERROR(INDEX(Create_TC_Web!E$1:E$505,SMALL(IF(Create_TC_Web!$C$1:$C$505&lt;&gt;"",MATCH(ROW(Create_TC_Web!$C$1:$C$505),ROW(Create_TC_Web!$C$1:$C$505)),""),ROW(Create_TC_Web!C222))),"")," ",""),"-",""),"_","")</f>
        <v/>
      </c>
      <c r="C222" t="str" cm="1">
        <f t="array" ref="C222">IFERROR(INDEX(Create_TC_Web!F$1:F$500,SMALL(IF(Create_TC_Web!$C$1:$C$500&lt;&gt;"",MATCH(ROW(Create_TC_Web!$C$1:$C$500),ROW(Create_TC_Web!$C$1:$C$500)),""),ROW(Create_TC_Web!D222))),"")</f>
        <v/>
      </c>
      <c r="D222" t="str" cm="1">
        <f t="array" ref="D222">IFERROR(INDEX(Create_TC_Web!G$1:G$500,SMALL(IF(Create_TC_Web!$C$1:$C$500&lt;&gt;"",MATCH(ROW(Create_TC_Web!$C$1:$C$500),ROW(Create_TC_Web!$C$1:$C$500)),""),ROW(Create_TC_Web!E222))),"")</f>
        <v/>
      </c>
      <c r="E222" t="str" cm="1">
        <f t="array" ref="E222">IFERROR(INDEX(Create_TC_Web!H$1:H$500,SMALL(IF(Create_TC_Web!$C$1:$C$500&lt;&gt;"",MATCH(ROW(Create_TC_Web!$C$1:$C$500),ROW(Create_TC_Web!$C$1:$C$500)),""),ROW(Create_TC_Web!F222))),"")</f>
        <v/>
      </c>
      <c r="F222" t="str" cm="1">
        <f t="array" ref="F222">IFERROR(INDEX(Create_TC_Web!I$1:I$500,SMALL(IF(Create_TC_Web!$C$1:$C$500&lt;&gt;"",MATCH(ROW(Create_TC_Web!$C$1:$C$500),ROW(Create_TC_Web!$C$1:$C$500)),""),ROW(Create_TC_Web!G222))),"")</f>
        <v/>
      </c>
      <c r="G222" t="str" cm="1">
        <f t="array" ref="G222">IFERROR(INDEX(Create_TC_Web!J$1:J$500,SMALL(IF(Create_TC_Web!$C$1:$C$500&lt;&gt;"",MATCH(ROW(Create_TC_Web!$C$1:$C$500),ROW(Create_TC_Web!$C$1:$C$500)),""),ROW(Create_TC_Web!H222))),"")</f>
        <v/>
      </c>
      <c r="H222" t="str" cm="1">
        <f t="array" ref="H222">IFERROR(INDEX(Create_TC_Web!K$1:K$500,SMALL(IF(Create_TC_Web!$C$1:$C$500&lt;&gt;"",MATCH(ROW(Create_TC_Web!$C$1:$C$500),ROW(Create_TC_Web!$C$1:$C$500)),""),ROW(Create_TC_Web!I222))),"")</f>
        <v/>
      </c>
      <c r="I222" t="str" cm="1">
        <f t="array" ref="I222">IFERROR(INDEX(Create_TC_Web!L$1:L$500,SMALL(IF(Create_TC_Web!$C$1:$C$500&lt;&gt;"",MATCH(ROW(Create_TC_Web!$C$1:$C$500),ROW(Create_TC_Web!$C$1:$C$500)),""),ROW(Create_TC_Web!J222))),"")</f>
        <v/>
      </c>
      <c r="J222" t="str" cm="1">
        <f t="array" ref="J222">IFERROR(INDEX(Create_TC_Web!M$1:M$500,SMALL(IF(Create_TC_Web!$C$1:$C$500&lt;&gt;"",MATCH(ROW(Create_TC_Web!$C$1:$C$500),ROW(Create_TC_Web!$C$1:$C$500)),""),ROW(Create_TC_Web!K222))),"")</f>
        <v/>
      </c>
      <c r="K222" t="str" cm="1">
        <f t="array" ref="K222">IFERROR(INDEX(Create_TC_Web!N$1:N$500,SMALL(IF(Create_TC_Web!$C$1:$C$500&lt;&gt;"",MATCH(ROW(Create_TC_Web!$C$1:$C$500),ROW(Create_TC_Web!$C$1:$C$500)),""),ROW(Create_TC_Web!L222))),"")</f>
        <v/>
      </c>
      <c r="L222" t="str" cm="1">
        <f t="array" ref="L222">IFERROR(INDEX(Create_TC_Web!O$1:O$500,SMALL(IF(Create_TC_Web!$C$1:$C$500&lt;&gt;"",MATCH(ROW(Create_TC_Web!$C$1:$C$500),ROW(Create_TC_Web!$C$1:$C$500)),""),ROW(Create_TC_Web!M222))),"")</f>
        <v/>
      </c>
      <c r="M222" t="str" cm="1">
        <f t="array" ref="M222">IFERROR(INDEX(Create_TC_Web!P$1:P$500,SMALL(IF(Create_TC_Web!$C$1:$C$500&lt;&gt;"",MATCH(ROW(Create_TC_Web!$C$1:$C$500),ROW(Create_TC_Web!$C$1:$C$500)),""),ROW(Create_TC_Web!N222))),"")</f>
        <v/>
      </c>
      <c r="N222">
        <f>Create_TC_Web!CA231</f>
        <v>0</v>
      </c>
      <c r="O222" t="str">
        <f t="shared" si="13"/>
        <v/>
      </c>
      <c r="P222" s="17" t="str" cm="1">
        <f t="array" ref="P222">IFERROR(INDEX(Create_TC_Web!S$1:S$500,SMALL(IF(Create_TC_Web!$C$1:$C$500&lt;&gt;"",MATCH(ROW(Create_TC_Web!$C$1:$C$500),ROW(Create_TC_Web!$C$1:$C$500)),""),ROW(Create_TC_Web!Q200))),"")</f>
        <v/>
      </c>
      <c r="S222" t="str">
        <f t="shared" si="14"/>
        <v/>
      </c>
    </row>
    <row r="223" spans="1:19">
      <c r="A223" t="str" cm="1">
        <f t="array" ref="A223">IFERROR(INDEX(Create_TC_Web!D$1:D$500,SMALL(IF(Create_TC_Web!$C$1:$C$500&lt;&gt;"",MATCH(ROW(Create_TC_Web!$C$1:$C$500),ROW(Create_TC_Web!$C$1:$C$500)),""),ROW(Create_TC_Web!B223))),"")</f>
        <v/>
      </c>
      <c r="B223" t="str" cm="1">
        <f t="array" ref="B223">SUBSTITUTE(SUBSTITUTE(SUBSTITUTE(IFERROR(INDEX(Create_TC_Web!E$1:E$505,SMALL(IF(Create_TC_Web!$C$1:$C$505&lt;&gt;"",MATCH(ROW(Create_TC_Web!$C$1:$C$505),ROW(Create_TC_Web!$C$1:$C$505)),""),ROW(Create_TC_Web!C223))),"")," ",""),"-",""),"_","")</f>
        <v/>
      </c>
      <c r="C223" t="str" cm="1">
        <f t="array" ref="C223">IFERROR(INDEX(Create_TC_Web!F$1:F$500,SMALL(IF(Create_TC_Web!$C$1:$C$500&lt;&gt;"",MATCH(ROW(Create_TC_Web!$C$1:$C$500),ROW(Create_TC_Web!$C$1:$C$500)),""),ROW(Create_TC_Web!D223))),"")</f>
        <v/>
      </c>
      <c r="D223" t="str" cm="1">
        <f t="array" ref="D223">IFERROR(INDEX(Create_TC_Web!G$1:G$500,SMALL(IF(Create_TC_Web!$C$1:$C$500&lt;&gt;"",MATCH(ROW(Create_TC_Web!$C$1:$C$500),ROW(Create_TC_Web!$C$1:$C$500)),""),ROW(Create_TC_Web!E223))),"")</f>
        <v/>
      </c>
      <c r="E223" t="str" cm="1">
        <f t="array" ref="E223">IFERROR(INDEX(Create_TC_Web!H$1:H$500,SMALL(IF(Create_TC_Web!$C$1:$C$500&lt;&gt;"",MATCH(ROW(Create_TC_Web!$C$1:$C$500),ROW(Create_TC_Web!$C$1:$C$500)),""),ROW(Create_TC_Web!F223))),"")</f>
        <v/>
      </c>
      <c r="F223" t="str" cm="1">
        <f t="array" ref="F223">IFERROR(INDEX(Create_TC_Web!I$1:I$500,SMALL(IF(Create_TC_Web!$C$1:$C$500&lt;&gt;"",MATCH(ROW(Create_TC_Web!$C$1:$C$500),ROW(Create_TC_Web!$C$1:$C$500)),""),ROW(Create_TC_Web!G223))),"")</f>
        <v/>
      </c>
      <c r="G223" t="str" cm="1">
        <f t="array" ref="G223">IFERROR(INDEX(Create_TC_Web!J$1:J$500,SMALL(IF(Create_TC_Web!$C$1:$C$500&lt;&gt;"",MATCH(ROW(Create_TC_Web!$C$1:$C$500),ROW(Create_TC_Web!$C$1:$C$500)),""),ROW(Create_TC_Web!H223))),"")</f>
        <v/>
      </c>
      <c r="H223" t="str" cm="1">
        <f t="array" ref="H223">IFERROR(INDEX(Create_TC_Web!K$1:K$500,SMALL(IF(Create_TC_Web!$C$1:$C$500&lt;&gt;"",MATCH(ROW(Create_TC_Web!$C$1:$C$500),ROW(Create_TC_Web!$C$1:$C$500)),""),ROW(Create_TC_Web!I223))),"")</f>
        <v/>
      </c>
      <c r="I223" t="str" cm="1">
        <f t="array" ref="I223">IFERROR(INDEX(Create_TC_Web!L$1:L$500,SMALL(IF(Create_TC_Web!$C$1:$C$500&lt;&gt;"",MATCH(ROW(Create_TC_Web!$C$1:$C$500),ROW(Create_TC_Web!$C$1:$C$500)),""),ROW(Create_TC_Web!J223))),"")</f>
        <v/>
      </c>
      <c r="J223" t="str" cm="1">
        <f t="array" ref="J223">IFERROR(INDEX(Create_TC_Web!M$1:M$500,SMALL(IF(Create_TC_Web!$C$1:$C$500&lt;&gt;"",MATCH(ROW(Create_TC_Web!$C$1:$C$500),ROW(Create_TC_Web!$C$1:$C$500)),""),ROW(Create_TC_Web!K223))),"")</f>
        <v/>
      </c>
      <c r="K223" t="str" cm="1">
        <f t="array" ref="K223">IFERROR(INDEX(Create_TC_Web!N$1:N$500,SMALL(IF(Create_TC_Web!$C$1:$C$500&lt;&gt;"",MATCH(ROW(Create_TC_Web!$C$1:$C$500),ROW(Create_TC_Web!$C$1:$C$500)),""),ROW(Create_TC_Web!L223))),"")</f>
        <v/>
      </c>
      <c r="L223" t="str" cm="1">
        <f t="array" ref="L223">IFERROR(INDEX(Create_TC_Web!O$1:O$500,SMALL(IF(Create_TC_Web!$C$1:$C$500&lt;&gt;"",MATCH(ROW(Create_TC_Web!$C$1:$C$500),ROW(Create_TC_Web!$C$1:$C$500)),""),ROW(Create_TC_Web!M223))),"")</f>
        <v/>
      </c>
      <c r="M223" t="str" cm="1">
        <f t="array" ref="M223">IFERROR(INDEX(Create_TC_Web!P$1:P$500,SMALL(IF(Create_TC_Web!$C$1:$C$500&lt;&gt;"",MATCH(ROW(Create_TC_Web!$C$1:$C$500),ROW(Create_TC_Web!$C$1:$C$500)),""),ROW(Create_TC_Web!N223))),"")</f>
        <v/>
      </c>
      <c r="N223">
        <f>Create_TC_Web!CA232</f>
        <v>0</v>
      </c>
      <c r="O223" t="str">
        <f t="shared" si="13"/>
        <v/>
      </c>
      <c r="P223" s="17" t="str" cm="1">
        <f t="array" ref="P223">IFERROR(INDEX(Create_TC_Web!S$1:S$500,SMALL(IF(Create_TC_Web!$C$1:$C$500&lt;&gt;"",MATCH(ROW(Create_TC_Web!$C$1:$C$500),ROW(Create_TC_Web!$C$1:$C$500)),""),ROW(Create_TC_Web!Q201))),"")</f>
        <v/>
      </c>
      <c r="S223" t="str">
        <f t="shared" si="14"/>
        <v/>
      </c>
    </row>
    <row r="224" spans="1:19">
      <c r="A224" t="str" cm="1">
        <f t="array" ref="A224">IFERROR(INDEX(Create_TC_Web!D$1:D$500,SMALL(IF(Create_TC_Web!$C$1:$C$500&lt;&gt;"",MATCH(ROW(Create_TC_Web!$C$1:$C$500),ROW(Create_TC_Web!$C$1:$C$500)),""),ROW(Create_TC_Web!B224))),"")</f>
        <v/>
      </c>
      <c r="B224" t="str" cm="1">
        <f t="array" ref="B224">SUBSTITUTE(SUBSTITUTE(SUBSTITUTE(IFERROR(INDEX(Create_TC_Web!E$1:E$505,SMALL(IF(Create_TC_Web!$C$1:$C$505&lt;&gt;"",MATCH(ROW(Create_TC_Web!$C$1:$C$505),ROW(Create_TC_Web!$C$1:$C$505)),""),ROW(Create_TC_Web!C224))),"")," ",""),"-",""),"_","")</f>
        <v/>
      </c>
      <c r="C224" t="str" cm="1">
        <f t="array" ref="C224">IFERROR(INDEX(Create_TC_Web!F$1:F$500,SMALL(IF(Create_TC_Web!$C$1:$C$500&lt;&gt;"",MATCH(ROW(Create_TC_Web!$C$1:$C$500),ROW(Create_TC_Web!$C$1:$C$500)),""),ROW(Create_TC_Web!D224))),"")</f>
        <v/>
      </c>
      <c r="D224" t="str" cm="1">
        <f t="array" ref="D224">IFERROR(INDEX(Create_TC_Web!G$1:G$500,SMALL(IF(Create_TC_Web!$C$1:$C$500&lt;&gt;"",MATCH(ROW(Create_TC_Web!$C$1:$C$500),ROW(Create_TC_Web!$C$1:$C$500)),""),ROW(Create_TC_Web!E224))),"")</f>
        <v/>
      </c>
      <c r="E224" t="str" cm="1">
        <f t="array" ref="E224">IFERROR(INDEX(Create_TC_Web!H$1:H$500,SMALL(IF(Create_TC_Web!$C$1:$C$500&lt;&gt;"",MATCH(ROW(Create_TC_Web!$C$1:$C$500),ROW(Create_TC_Web!$C$1:$C$500)),""),ROW(Create_TC_Web!F224))),"")</f>
        <v/>
      </c>
      <c r="F224" t="str" cm="1">
        <f t="array" ref="F224">IFERROR(INDEX(Create_TC_Web!I$1:I$500,SMALL(IF(Create_TC_Web!$C$1:$C$500&lt;&gt;"",MATCH(ROW(Create_TC_Web!$C$1:$C$500),ROW(Create_TC_Web!$C$1:$C$500)),""),ROW(Create_TC_Web!G224))),"")</f>
        <v/>
      </c>
      <c r="G224" t="str" cm="1">
        <f t="array" ref="G224">IFERROR(INDEX(Create_TC_Web!J$1:J$500,SMALL(IF(Create_TC_Web!$C$1:$C$500&lt;&gt;"",MATCH(ROW(Create_TC_Web!$C$1:$C$500),ROW(Create_TC_Web!$C$1:$C$500)),""),ROW(Create_TC_Web!H224))),"")</f>
        <v/>
      </c>
      <c r="H224" t="str" cm="1">
        <f t="array" ref="H224">IFERROR(INDEX(Create_TC_Web!K$1:K$500,SMALL(IF(Create_TC_Web!$C$1:$C$500&lt;&gt;"",MATCH(ROW(Create_TC_Web!$C$1:$C$500),ROW(Create_TC_Web!$C$1:$C$500)),""),ROW(Create_TC_Web!I224))),"")</f>
        <v/>
      </c>
      <c r="I224" t="str" cm="1">
        <f t="array" ref="I224">IFERROR(INDEX(Create_TC_Web!L$1:L$500,SMALL(IF(Create_TC_Web!$C$1:$C$500&lt;&gt;"",MATCH(ROW(Create_TC_Web!$C$1:$C$500),ROW(Create_TC_Web!$C$1:$C$500)),""),ROW(Create_TC_Web!J224))),"")</f>
        <v/>
      </c>
      <c r="J224" t="str" cm="1">
        <f t="array" ref="J224">IFERROR(INDEX(Create_TC_Web!M$1:M$500,SMALL(IF(Create_TC_Web!$C$1:$C$500&lt;&gt;"",MATCH(ROW(Create_TC_Web!$C$1:$C$500),ROW(Create_TC_Web!$C$1:$C$500)),""),ROW(Create_TC_Web!K224))),"")</f>
        <v/>
      </c>
      <c r="K224" t="str" cm="1">
        <f t="array" ref="K224">IFERROR(INDEX(Create_TC_Web!N$1:N$500,SMALL(IF(Create_TC_Web!$C$1:$C$500&lt;&gt;"",MATCH(ROW(Create_TC_Web!$C$1:$C$500),ROW(Create_TC_Web!$C$1:$C$500)),""),ROW(Create_TC_Web!L224))),"")</f>
        <v/>
      </c>
      <c r="L224" t="str" cm="1">
        <f t="array" ref="L224">IFERROR(INDEX(Create_TC_Web!O$1:O$500,SMALL(IF(Create_TC_Web!$C$1:$C$500&lt;&gt;"",MATCH(ROW(Create_TC_Web!$C$1:$C$500),ROW(Create_TC_Web!$C$1:$C$500)),""),ROW(Create_TC_Web!M224))),"")</f>
        <v/>
      </c>
      <c r="M224" t="str" cm="1">
        <f t="array" ref="M224">IFERROR(INDEX(Create_TC_Web!P$1:P$500,SMALL(IF(Create_TC_Web!$C$1:$C$500&lt;&gt;"",MATCH(ROW(Create_TC_Web!$C$1:$C$500),ROW(Create_TC_Web!$C$1:$C$500)),""),ROW(Create_TC_Web!N224))),"")</f>
        <v/>
      </c>
      <c r="N224">
        <f>Create_TC_Web!CA233</f>
        <v>0</v>
      </c>
      <c r="O224" t="str">
        <f t="shared" si="13"/>
        <v/>
      </c>
      <c r="P224" s="17" t="str" cm="1">
        <f t="array" ref="P224">IFERROR(INDEX(Create_TC_Web!S$1:S$500,SMALL(IF(Create_TC_Web!$C$1:$C$500&lt;&gt;"",MATCH(ROW(Create_TC_Web!$C$1:$C$500),ROW(Create_TC_Web!$C$1:$C$500)),""),ROW(Create_TC_Web!Q202))),"")</f>
        <v/>
      </c>
      <c r="S224" t="str">
        <f t="shared" si="14"/>
        <v/>
      </c>
    </row>
    <row r="225" spans="1:19">
      <c r="A225" t="str" cm="1">
        <f t="array" ref="A225">IFERROR(INDEX(Create_TC_Web!D$1:D$500,SMALL(IF(Create_TC_Web!$C$1:$C$500&lt;&gt;"",MATCH(ROW(Create_TC_Web!$C$1:$C$500),ROW(Create_TC_Web!$C$1:$C$500)),""),ROW(Create_TC_Web!B225))),"")</f>
        <v/>
      </c>
      <c r="B225" t="str" cm="1">
        <f t="array" ref="B225">SUBSTITUTE(SUBSTITUTE(SUBSTITUTE(IFERROR(INDEX(Create_TC_Web!E$1:E$505,SMALL(IF(Create_TC_Web!$C$1:$C$505&lt;&gt;"",MATCH(ROW(Create_TC_Web!$C$1:$C$505),ROW(Create_TC_Web!$C$1:$C$505)),""),ROW(Create_TC_Web!C225))),"")," ",""),"-",""),"_","")</f>
        <v/>
      </c>
      <c r="C225" t="str" cm="1">
        <f t="array" ref="C225">IFERROR(INDEX(Create_TC_Web!F$1:F$500,SMALL(IF(Create_TC_Web!$C$1:$C$500&lt;&gt;"",MATCH(ROW(Create_TC_Web!$C$1:$C$500),ROW(Create_TC_Web!$C$1:$C$500)),""),ROW(Create_TC_Web!D225))),"")</f>
        <v/>
      </c>
      <c r="D225" t="str" cm="1">
        <f t="array" ref="D225">IFERROR(INDEX(Create_TC_Web!G$1:G$500,SMALL(IF(Create_TC_Web!$C$1:$C$500&lt;&gt;"",MATCH(ROW(Create_TC_Web!$C$1:$C$500),ROW(Create_TC_Web!$C$1:$C$500)),""),ROW(Create_TC_Web!E225))),"")</f>
        <v/>
      </c>
      <c r="E225" t="str" cm="1">
        <f t="array" ref="E225">IFERROR(INDEX(Create_TC_Web!H$1:H$500,SMALL(IF(Create_TC_Web!$C$1:$C$500&lt;&gt;"",MATCH(ROW(Create_TC_Web!$C$1:$C$500),ROW(Create_TC_Web!$C$1:$C$500)),""),ROW(Create_TC_Web!F225))),"")</f>
        <v/>
      </c>
      <c r="F225" t="str" cm="1">
        <f t="array" ref="F225">IFERROR(INDEX(Create_TC_Web!I$1:I$500,SMALL(IF(Create_TC_Web!$C$1:$C$500&lt;&gt;"",MATCH(ROW(Create_TC_Web!$C$1:$C$500),ROW(Create_TC_Web!$C$1:$C$500)),""),ROW(Create_TC_Web!G225))),"")</f>
        <v/>
      </c>
      <c r="G225" t="str" cm="1">
        <f t="array" ref="G225">IFERROR(INDEX(Create_TC_Web!J$1:J$500,SMALL(IF(Create_TC_Web!$C$1:$C$500&lt;&gt;"",MATCH(ROW(Create_TC_Web!$C$1:$C$500),ROW(Create_TC_Web!$C$1:$C$500)),""),ROW(Create_TC_Web!H225))),"")</f>
        <v/>
      </c>
      <c r="H225" t="str" cm="1">
        <f t="array" ref="H225">IFERROR(INDEX(Create_TC_Web!K$1:K$500,SMALL(IF(Create_TC_Web!$C$1:$C$500&lt;&gt;"",MATCH(ROW(Create_TC_Web!$C$1:$C$500),ROW(Create_TC_Web!$C$1:$C$500)),""),ROW(Create_TC_Web!I225))),"")</f>
        <v/>
      </c>
      <c r="I225" t="str" cm="1">
        <f t="array" ref="I225">IFERROR(INDEX(Create_TC_Web!L$1:L$500,SMALL(IF(Create_TC_Web!$C$1:$C$500&lt;&gt;"",MATCH(ROW(Create_TC_Web!$C$1:$C$500),ROW(Create_TC_Web!$C$1:$C$500)),""),ROW(Create_TC_Web!J225))),"")</f>
        <v/>
      </c>
      <c r="J225" t="str" cm="1">
        <f t="array" ref="J225">IFERROR(INDEX(Create_TC_Web!M$1:M$500,SMALL(IF(Create_TC_Web!$C$1:$C$500&lt;&gt;"",MATCH(ROW(Create_TC_Web!$C$1:$C$500),ROW(Create_TC_Web!$C$1:$C$500)),""),ROW(Create_TC_Web!K225))),"")</f>
        <v/>
      </c>
      <c r="K225" t="str" cm="1">
        <f t="array" ref="K225">IFERROR(INDEX(Create_TC_Web!N$1:N$500,SMALL(IF(Create_TC_Web!$C$1:$C$500&lt;&gt;"",MATCH(ROW(Create_TC_Web!$C$1:$C$500),ROW(Create_TC_Web!$C$1:$C$500)),""),ROW(Create_TC_Web!L225))),"")</f>
        <v/>
      </c>
      <c r="L225" t="str" cm="1">
        <f t="array" ref="L225">IFERROR(INDEX(Create_TC_Web!O$1:O$500,SMALL(IF(Create_TC_Web!$C$1:$C$500&lt;&gt;"",MATCH(ROW(Create_TC_Web!$C$1:$C$500),ROW(Create_TC_Web!$C$1:$C$500)),""),ROW(Create_TC_Web!M225))),"")</f>
        <v/>
      </c>
      <c r="M225" t="str" cm="1">
        <f t="array" ref="M225">IFERROR(INDEX(Create_TC_Web!P$1:P$500,SMALL(IF(Create_TC_Web!$C$1:$C$500&lt;&gt;"",MATCH(ROW(Create_TC_Web!$C$1:$C$500),ROW(Create_TC_Web!$C$1:$C$500)),""),ROW(Create_TC_Web!N225))),"")</f>
        <v/>
      </c>
      <c r="N225">
        <f>Create_TC_Web!CA234</f>
        <v>0</v>
      </c>
      <c r="O225" t="str">
        <f t="shared" si="13"/>
        <v/>
      </c>
      <c r="P225" s="17" t="str" cm="1">
        <f t="array" ref="P225">IFERROR(INDEX(Create_TC_Web!S$1:S$500,SMALL(IF(Create_TC_Web!$C$1:$C$500&lt;&gt;"",MATCH(ROW(Create_TC_Web!$C$1:$C$500),ROW(Create_TC_Web!$C$1:$C$500)),""),ROW(Create_TC_Web!Q203))),"")</f>
        <v/>
      </c>
      <c r="S225" t="str">
        <f t="shared" si="14"/>
        <v/>
      </c>
    </row>
    <row r="226" spans="1:19">
      <c r="A226" t="str" cm="1">
        <f t="array" ref="A226">IFERROR(INDEX(Create_TC_Web!D$1:D$500,SMALL(IF(Create_TC_Web!$C$1:$C$500&lt;&gt;"",MATCH(ROW(Create_TC_Web!$C$1:$C$500),ROW(Create_TC_Web!$C$1:$C$500)),""),ROW(Create_TC_Web!B226))),"")</f>
        <v/>
      </c>
      <c r="B226" t="str" cm="1">
        <f t="array" ref="B226">SUBSTITUTE(SUBSTITUTE(SUBSTITUTE(IFERROR(INDEX(Create_TC_Web!E$1:E$505,SMALL(IF(Create_TC_Web!$C$1:$C$505&lt;&gt;"",MATCH(ROW(Create_TC_Web!$C$1:$C$505),ROW(Create_TC_Web!$C$1:$C$505)),""),ROW(Create_TC_Web!C226))),"")," ",""),"-",""),"_","")</f>
        <v/>
      </c>
      <c r="C226" t="str" cm="1">
        <f t="array" ref="C226">IFERROR(INDEX(Create_TC_Web!F$1:F$500,SMALL(IF(Create_TC_Web!$C$1:$C$500&lt;&gt;"",MATCH(ROW(Create_TC_Web!$C$1:$C$500),ROW(Create_TC_Web!$C$1:$C$500)),""),ROW(Create_TC_Web!D226))),"")</f>
        <v/>
      </c>
      <c r="D226" t="str" cm="1">
        <f t="array" ref="D226">IFERROR(INDEX(Create_TC_Web!G$1:G$500,SMALL(IF(Create_TC_Web!$C$1:$C$500&lt;&gt;"",MATCH(ROW(Create_TC_Web!$C$1:$C$500),ROW(Create_TC_Web!$C$1:$C$500)),""),ROW(Create_TC_Web!E226))),"")</f>
        <v/>
      </c>
      <c r="E226" t="str" cm="1">
        <f t="array" ref="E226">IFERROR(INDEX(Create_TC_Web!H$1:H$500,SMALL(IF(Create_TC_Web!$C$1:$C$500&lt;&gt;"",MATCH(ROW(Create_TC_Web!$C$1:$C$500),ROW(Create_TC_Web!$C$1:$C$500)),""),ROW(Create_TC_Web!F226))),"")</f>
        <v/>
      </c>
      <c r="F226" t="str" cm="1">
        <f t="array" ref="F226">IFERROR(INDEX(Create_TC_Web!I$1:I$500,SMALL(IF(Create_TC_Web!$C$1:$C$500&lt;&gt;"",MATCH(ROW(Create_TC_Web!$C$1:$C$500),ROW(Create_TC_Web!$C$1:$C$500)),""),ROW(Create_TC_Web!G226))),"")</f>
        <v/>
      </c>
      <c r="G226" t="str" cm="1">
        <f t="array" ref="G226">IFERROR(INDEX(Create_TC_Web!J$1:J$500,SMALL(IF(Create_TC_Web!$C$1:$C$500&lt;&gt;"",MATCH(ROW(Create_TC_Web!$C$1:$C$500),ROW(Create_TC_Web!$C$1:$C$500)),""),ROW(Create_TC_Web!H226))),"")</f>
        <v/>
      </c>
      <c r="H226" t="str" cm="1">
        <f t="array" ref="H226">IFERROR(INDEX(Create_TC_Web!K$1:K$500,SMALL(IF(Create_TC_Web!$C$1:$C$500&lt;&gt;"",MATCH(ROW(Create_TC_Web!$C$1:$C$500),ROW(Create_TC_Web!$C$1:$C$500)),""),ROW(Create_TC_Web!I226))),"")</f>
        <v/>
      </c>
      <c r="I226" t="str" cm="1">
        <f t="array" ref="I226">IFERROR(INDEX(Create_TC_Web!L$1:L$500,SMALL(IF(Create_TC_Web!$C$1:$C$500&lt;&gt;"",MATCH(ROW(Create_TC_Web!$C$1:$C$500),ROW(Create_TC_Web!$C$1:$C$500)),""),ROW(Create_TC_Web!J226))),"")</f>
        <v/>
      </c>
      <c r="J226" t="str" cm="1">
        <f t="array" ref="J226">IFERROR(INDEX(Create_TC_Web!M$1:M$500,SMALL(IF(Create_TC_Web!$C$1:$C$500&lt;&gt;"",MATCH(ROW(Create_TC_Web!$C$1:$C$500),ROW(Create_TC_Web!$C$1:$C$500)),""),ROW(Create_TC_Web!K226))),"")</f>
        <v/>
      </c>
      <c r="K226" t="str" cm="1">
        <f t="array" ref="K226">IFERROR(INDEX(Create_TC_Web!N$1:N$500,SMALL(IF(Create_TC_Web!$C$1:$C$500&lt;&gt;"",MATCH(ROW(Create_TC_Web!$C$1:$C$500),ROW(Create_TC_Web!$C$1:$C$500)),""),ROW(Create_TC_Web!L226))),"")</f>
        <v/>
      </c>
      <c r="L226" t="str" cm="1">
        <f t="array" ref="L226">IFERROR(INDEX(Create_TC_Web!O$1:O$500,SMALL(IF(Create_TC_Web!$C$1:$C$500&lt;&gt;"",MATCH(ROW(Create_TC_Web!$C$1:$C$500),ROW(Create_TC_Web!$C$1:$C$500)),""),ROW(Create_TC_Web!M226))),"")</f>
        <v/>
      </c>
      <c r="M226" t="str" cm="1">
        <f t="array" ref="M226">IFERROR(INDEX(Create_TC_Web!P$1:P$500,SMALL(IF(Create_TC_Web!$C$1:$C$500&lt;&gt;"",MATCH(ROW(Create_TC_Web!$C$1:$C$500),ROW(Create_TC_Web!$C$1:$C$500)),""),ROW(Create_TC_Web!N226))),"")</f>
        <v/>
      </c>
      <c r="N226">
        <f>Create_TC_Web!CA235</f>
        <v>0</v>
      </c>
      <c r="O226" t="str">
        <f t="shared" si="13"/>
        <v/>
      </c>
      <c r="P226" s="17" t="str" cm="1">
        <f t="array" ref="P226">IFERROR(INDEX(Create_TC_Web!S$1:S$500,SMALL(IF(Create_TC_Web!$C$1:$C$500&lt;&gt;"",MATCH(ROW(Create_TC_Web!$C$1:$C$500),ROW(Create_TC_Web!$C$1:$C$500)),""),ROW(Create_TC_Web!Q204))),"")</f>
        <v/>
      </c>
      <c r="S226" t="str">
        <f t="shared" si="14"/>
        <v/>
      </c>
    </row>
    <row r="227" spans="1:19">
      <c r="A227" t="str" cm="1">
        <f t="array" ref="A227">IFERROR(INDEX(Create_TC_Web!D$1:D$500,SMALL(IF(Create_TC_Web!$C$1:$C$500&lt;&gt;"",MATCH(ROW(Create_TC_Web!$C$1:$C$500),ROW(Create_TC_Web!$C$1:$C$500)),""),ROW(Create_TC_Web!B227))),"")</f>
        <v/>
      </c>
      <c r="B227" t="str" cm="1">
        <f t="array" ref="B227">SUBSTITUTE(SUBSTITUTE(SUBSTITUTE(IFERROR(INDEX(Create_TC_Web!E$1:E$505,SMALL(IF(Create_TC_Web!$C$1:$C$505&lt;&gt;"",MATCH(ROW(Create_TC_Web!$C$1:$C$505),ROW(Create_TC_Web!$C$1:$C$505)),""),ROW(Create_TC_Web!C227))),"")," ",""),"-",""),"_","")</f>
        <v/>
      </c>
      <c r="C227" t="str" cm="1">
        <f t="array" ref="C227">IFERROR(INDEX(Create_TC_Web!F$1:F$500,SMALL(IF(Create_TC_Web!$C$1:$C$500&lt;&gt;"",MATCH(ROW(Create_TC_Web!$C$1:$C$500),ROW(Create_TC_Web!$C$1:$C$500)),""),ROW(Create_TC_Web!D227))),"")</f>
        <v/>
      </c>
      <c r="D227" t="str" cm="1">
        <f t="array" ref="D227">IFERROR(INDEX(Create_TC_Web!G$1:G$500,SMALL(IF(Create_TC_Web!$C$1:$C$500&lt;&gt;"",MATCH(ROW(Create_TC_Web!$C$1:$C$500),ROW(Create_TC_Web!$C$1:$C$500)),""),ROW(Create_TC_Web!E227))),"")</f>
        <v/>
      </c>
      <c r="E227" t="str" cm="1">
        <f t="array" ref="E227">IFERROR(INDEX(Create_TC_Web!H$1:H$500,SMALL(IF(Create_TC_Web!$C$1:$C$500&lt;&gt;"",MATCH(ROW(Create_TC_Web!$C$1:$C$500),ROW(Create_TC_Web!$C$1:$C$500)),""),ROW(Create_TC_Web!F227))),"")</f>
        <v/>
      </c>
      <c r="F227" t="str" cm="1">
        <f t="array" ref="F227">IFERROR(INDEX(Create_TC_Web!I$1:I$500,SMALL(IF(Create_TC_Web!$C$1:$C$500&lt;&gt;"",MATCH(ROW(Create_TC_Web!$C$1:$C$500),ROW(Create_TC_Web!$C$1:$C$500)),""),ROW(Create_TC_Web!G227))),"")</f>
        <v/>
      </c>
      <c r="G227" t="str" cm="1">
        <f t="array" ref="G227">IFERROR(INDEX(Create_TC_Web!J$1:J$500,SMALL(IF(Create_TC_Web!$C$1:$C$500&lt;&gt;"",MATCH(ROW(Create_TC_Web!$C$1:$C$500),ROW(Create_TC_Web!$C$1:$C$500)),""),ROW(Create_TC_Web!H227))),"")</f>
        <v/>
      </c>
      <c r="H227" t="str" cm="1">
        <f t="array" ref="H227">IFERROR(INDEX(Create_TC_Web!K$1:K$500,SMALL(IF(Create_TC_Web!$C$1:$C$500&lt;&gt;"",MATCH(ROW(Create_TC_Web!$C$1:$C$500),ROW(Create_TC_Web!$C$1:$C$500)),""),ROW(Create_TC_Web!I227))),"")</f>
        <v/>
      </c>
      <c r="I227" t="str" cm="1">
        <f t="array" ref="I227">IFERROR(INDEX(Create_TC_Web!L$1:L$500,SMALL(IF(Create_TC_Web!$C$1:$C$500&lt;&gt;"",MATCH(ROW(Create_TC_Web!$C$1:$C$500),ROW(Create_TC_Web!$C$1:$C$500)),""),ROW(Create_TC_Web!J227))),"")</f>
        <v/>
      </c>
      <c r="J227" t="str" cm="1">
        <f t="array" ref="J227">IFERROR(INDEX(Create_TC_Web!M$1:M$500,SMALL(IF(Create_TC_Web!$C$1:$C$500&lt;&gt;"",MATCH(ROW(Create_TC_Web!$C$1:$C$500),ROW(Create_TC_Web!$C$1:$C$500)),""),ROW(Create_TC_Web!K227))),"")</f>
        <v/>
      </c>
      <c r="K227" t="str" cm="1">
        <f t="array" ref="K227">IFERROR(INDEX(Create_TC_Web!N$1:N$500,SMALL(IF(Create_TC_Web!$C$1:$C$500&lt;&gt;"",MATCH(ROW(Create_TC_Web!$C$1:$C$500),ROW(Create_TC_Web!$C$1:$C$500)),""),ROW(Create_TC_Web!L227))),"")</f>
        <v/>
      </c>
      <c r="L227" t="str" cm="1">
        <f t="array" ref="L227">IFERROR(INDEX(Create_TC_Web!O$1:O$500,SMALL(IF(Create_TC_Web!$C$1:$C$500&lt;&gt;"",MATCH(ROW(Create_TC_Web!$C$1:$C$500),ROW(Create_TC_Web!$C$1:$C$500)),""),ROW(Create_TC_Web!M227))),"")</f>
        <v/>
      </c>
      <c r="M227" t="str" cm="1">
        <f t="array" ref="M227">IFERROR(INDEX(Create_TC_Web!P$1:P$500,SMALL(IF(Create_TC_Web!$C$1:$C$500&lt;&gt;"",MATCH(ROW(Create_TC_Web!$C$1:$C$500),ROW(Create_TC_Web!$C$1:$C$500)),""),ROW(Create_TC_Web!N227))),"")</f>
        <v/>
      </c>
      <c r="N227">
        <f>Create_TC_Web!CA236</f>
        <v>0</v>
      </c>
      <c r="O227" t="str">
        <f t="shared" si="13"/>
        <v/>
      </c>
      <c r="P227" s="17" t="str" cm="1">
        <f t="array" ref="P227">IFERROR(INDEX(Create_TC_Web!S$1:S$500,SMALL(IF(Create_TC_Web!$C$1:$C$500&lt;&gt;"",MATCH(ROW(Create_TC_Web!$C$1:$C$500),ROW(Create_TC_Web!$C$1:$C$500)),""),ROW(Create_TC_Web!Q205))),"")</f>
        <v/>
      </c>
      <c r="S227" t="str">
        <f t="shared" si="14"/>
        <v/>
      </c>
    </row>
    <row r="228" spans="1:19">
      <c r="A228" t="str" cm="1">
        <f t="array" ref="A228">IFERROR(INDEX(Create_TC_Web!D$1:D$500,SMALL(IF(Create_TC_Web!$C$1:$C$500&lt;&gt;"",MATCH(ROW(Create_TC_Web!$C$1:$C$500),ROW(Create_TC_Web!$C$1:$C$500)),""),ROW(Create_TC_Web!B228))),"")</f>
        <v/>
      </c>
      <c r="B228" t="str" cm="1">
        <f t="array" ref="B228">SUBSTITUTE(SUBSTITUTE(SUBSTITUTE(IFERROR(INDEX(Create_TC_Web!E$1:E$505,SMALL(IF(Create_TC_Web!$C$1:$C$505&lt;&gt;"",MATCH(ROW(Create_TC_Web!$C$1:$C$505),ROW(Create_TC_Web!$C$1:$C$505)),""),ROW(Create_TC_Web!C228))),"")," ",""),"-",""),"_","")</f>
        <v/>
      </c>
      <c r="C228" t="str" cm="1">
        <f t="array" ref="C228">IFERROR(INDEX(Create_TC_Web!F$1:F$500,SMALL(IF(Create_TC_Web!$C$1:$C$500&lt;&gt;"",MATCH(ROW(Create_TC_Web!$C$1:$C$500),ROW(Create_TC_Web!$C$1:$C$500)),""),ROW(Create_TC_Web!D228))),"")</f>
        <v/>
      </c>
      <c r="D228" t="str" cm="1">
        <f t="array" ref="D228">IFERROR(INDEX(Create_TC_Web!G$1:G$500,SMALL(IF(Create_TC_Web!$C$1:$C$500&lt;&gt;"",MATCH(ROW(Create_TC_Web!$C$1:$C$500),ROW(Create_TC_Web!$C$1:$C$500)),""),ROW(Create_TC_Web!E228))),"")</f>
        <v/>
      </c>
      <c r="E228" t="str" cm="1">
        <f t="array" ref="E228">IFERROR(INDEX(Create_TC_Web!H$1:H$500,SMALL(IF(Create_TC_Web!$C$1:$C$500&lt;&gt;"",MATCH(ROW(Create_TC_Web!$C$1:$C$500),ROW(Create_TC_Web!$C$1:$C$500)),""),ROW(Create_TC_Web!F228))),"")</f>
        <v/>
      </c>
      <c r="F228" t="str" cm="1">
        <f t="array" ref="F228">IFERROR(INDEX(Create_TC_Web!I$1:I$500,SMALL(IF(Create_TC_Web!$C$1:$C$500&lt;&gt;"",MATCH(ROW(Create_TC_Web!$C$1:$C$500),ROW(Create_TC_Web!$C$1:$C$500)),""),ROW(Create_TC_Web!G228))),"")</f>
        <v/>
      </c>
      <c r="G228" t="str" cm="1">
        <f t="array" ref="G228">IFERROR(INDEX(Create_TC_Web!J$1:J$500,SMALL(IF(Create_TC_Web!$C$1:$C$500&lt;&gt;"",MATCH(ROW(Create_TC_Web!$C$1:$C$500),ROW(Create_TC_Web!$C$1:$C$500)),""),ROW(Create_TC_Web!H228))),"")</f>
        <v/>
      </c>
      <c r="H228" t="str" cm="1">
        <f t="array" ref="H228">IFERROR(INDEX(Create_TC_Web!K$1:K$500,SMALL(IF(Create_TC_Web!$C$1:$C$500&lt;&gt;"",MATCH(ROW(Create_TC_Web!$C$1:$C$500),ROW(Create_TC_Web!$C$1:$C$500)),""),ROW(Create_TC_Web!I228))),"")</f>
        <v/>
      </c>
      <c r="I228" t="str" cm="1">
        <f t="array" ref="I228">IFERROR(INDEX(Create_TC_Web!L$1:L$500,SMALL(IF(Create_TC_Web!$C$1:$C$500&lt;&gt;"",MATCH(ROW(Create_TC_Web!$C$1:$C$500),ROW(Create_TC_Web!$C$1:$C$500)),""),ROW(Create_TC_Web!J228))),"")</f>
        <v/>
      </c>
      <c r="J228" t="str" cm="1">
        <f t="array" ref="J228">IFERROR(INDEX(Create_TC_Web!M$1:M$500,SMALL(IF(Create_TC_Web!$C$1:$C$500&lt;&gt;"",MATCH(ROW(Create_TC_Web!$C$1:$C$500),ROW(Create_TC_Web!$C$1:$C$500)),""),ROW(Create_TC_Web!K228))),"")</f>
        <v/>
      </c>
      <c r="K228" t="str" cm="1">
        <f t="array" ref="K228">IFERROR(INDEX(Create_TC_Web!N$1:N$500,SMALL(IF(Create_TC_Web!$C$1:$C$500&lt;&gt;"",MATCH(ROW(Create_TC_Web!$C$1:$C$500),ROW(Create_TC_Web!$C$1:$C$500)),""),ROW(Create_TC_Web!L228))),"")</f>
        <v/>
      </c>
      <c r="L228" t="str" cm="1">
        <f t="array" ref="L228">IFERROR(INDEX(Create_TC_Web!O$1:O$500,SMALL(IF(Create_TC_Web!$C$1:$C$500&lt;&gt;"",MATCH(ROW(Create_TC_Web!$C$1:$C$500),ROW(Create_TC_Web!$C$1:$C$500)),""),ROW(Create_TC_Web!M228))),"")</f>
        <v/>
      </c>
      <c r="M228" t="str" cm="1">
        <f t="array" ref="M228">IFERROR(INDEX(Create_TC_Web!P$1:P$500,SMALL(IF(Create_TC_Web!$C$1:$C$500&lt;&gt;"",MATCH(ROW(Create_TC_Web!$C$1:$C$500),ROW(Create_TC_Web!$C$1:$C$500)),""),ROW(Create_TC_Web!N228))),"")</f>
        <v/>
      </c>
      <c r="N228">
        <f>Create_TC_Web!CA237</f>
        <v>0</v>
      </c>
      <c r="O228" t="str">
        <f t="shared" si="13"/>
        <v/>
      </c>
      <c r="P228" s="17" t="str" cm="1">
        <f t="array" ref="P228">IFERROR(INDEX(Create_TC_Web!S$1:S$500,SMALL(IF(Create_TC_Web!$C$1:$C$500&lt;&gt;"",MATCH(ROW(Create_TC_Web!$C$1:$C$500),ROW(Create_TC_Web!$C$1:$C$500)),""),ROW(Create_TC_Web!Q206))),"")</f>
        <v/>
      </c>
      <c r="S228" t="str">
        <f t="shared" si="14"/>
        <v/>
      </c>
    </row>
    <row r="229" spans="1:19">
      <c r="A229" t="str" cm="1">
        <f t="array" ref="A229">IFERROR(INDEX(Create_TC_Web!D$1:D$500,SMALL(IF(Create_TC_Web!$C$1:$C$500&lt;&gt;"",MATCH(ROW(Create_TC_Web!$C$1:$C$500),ROW(Create_TC_Web!$C$1:$C$500)),""),ROW(Create_TC_Web!B229))),"")</f>
        <v/>
      </c>
      <c r="B229" t="str" cm="1">
        <f t="array" ref="B229">SUBSTITUTE(SUBSTITUTE(SUBSTITUTE(IFERROR(INDEX(Create_TC_Web!E$1:E$505,SMALL(IF(Create_TC_Web!$C$1:$C$505&lt;&gt;"",MATCH(ROW(Create_TC_Web!$C$1:$C$505),ROW(Create_TC_Web!$C$1:$C$505)),""),ROW(Create_TC_Web!C229))),"")," ",""),"-",""),"_","")</f>
        <v/>
      </c>
      <c r="C229" t="str" cm="1">
        <f t="array" ref="C229">IFERROR(INDEX(Create_TC_Web!F$1:F$500,SMALL(IF(Create_TC_Web!$C$1:$C$500&lt;&gt;"",MATCH(ROW(Create_TC_Web!$C$1:$C$500),ROW(Create_TC_Web!$C$1:$C$500)),""),ROW(Create_TC_Web!D229))),"")</f>
        <v/>
      </c>
      <c r="D229" t="str" cm="1">
        <f t="array" ref="D229">IFERROR(INDEX(Create_TC_Web!G$1:G$500,SMALL(IF(Create_TC_Web!$C$1:$C$500&lt;&gt;"",MATCH(ROW(Create_TC_Web!$C$1:$C$500),ROW(Create_TC_Web!$C$1:$C$500)),""),ROW(Create_TC_Web!E229))),"")</f>
        <v/>
      </c>
      <c r="E229" t="str" cm="1">
        <f t="array" ref="E229">IFERROR(INDEX(Create_TC_Web!H$1:H$500,SMALL(IF(Create_TC_Web!$C$1:$C$500&lt;&gt;"",MATCH(ROW(Create_TC_Web!$C$1:$C$500),ROW(Create_TC_Web!$C$1:$C$500)),""),ROW(Create_TC_Web!F229))),"")</f>
        <v/>
      </c>
      <c r="F229" t="str" cm="1">
        <f t="array" ref="F229">IFERROR(INDEX(Create_TC_Web!I$1:I$500,SMALL(IF(Create_TC_Web!$C$1:$C$500&lt;&gt;"",MATCH(ROW(Create_TC_Web!$C$1:$C$500),ROW(Create_TC_Web!$C$1:$C$500)),""),ROW(Create_TC_Web!G229))),"")</f>
        <v/>
      </c>
      <c r="G229" t="str" cm="1">
        <f t="array" ref="G229">IFERROR(INDEX(Create_TC_Web!J$1:J$500,SMALL(IF(Create_TC_Web!$C$1:$C$500&lt;&gt;"",MATCH(ROW(Create_TC_Web!$C$1:$C$500),ROW(Create_TC_Web!$C$1:$C$500)),""),ROW(Create_TC_Web!H229))),"")</f>
        <v/>
      </c>
      <c r="H229" t="str" cm="1">
        <f t="array" ref="H229">IFERROR(INDEX(Create_TC_Web!K$1:K$500,SMALL(IF(Create_TC_Web!$C$1:$C$500&lt;&gt;"",MATCH(ROW(Create_TC_Web!$C$1:$C$500),ROW(Create_TC_Web!$C$1:$C$500)),""),ROW(Create_TC_Web!I229))),"")</f>
        <v/>
      </c>
      <c r="I229" t="str" cm="1">
        <f t="array" ref="I229">IFERROR(INDEX(Create_TC_Web!L$1:L$500,SMALL(IF(Create_TC_Web!$C$1:$C$500&lt;&gt;"",MATCH(ROW(Create_TC_Web!$C$1:$C$500),ROW(Create_TC_Web!$C$1:$C$500)),""),ROW(Create_TC_Web!J229))),"")</f>
        <v/>
      </c>
      <c r="J229" t="str" cm="1">
        <f t="array" ref="J229">IFERROR(INDEX(Create_TC_Web!M$1:M$500,SMALL(IF(Create_TC_Web!$C$1:$C$500&lt;&gt;"",MATCH(ROW(Create_TC_Web!$C$1:$C$500),ROW(Create_TC_Web!$C$1:$C$500)),""),ROW(Create_TC_Web!K229))),"")</f>
        <v/>
      </c>
      <c r="K229" t="str" cm="1">
        <f t="array" ref="K229">IFERROR(INDEX(Create_TC_Web!N$1:N$500,SMALL(IF(Create_TC_Web!$C$1:$C$500&lt;&gt;"",MATCH(ROW(Create_TC_Web!$C$1:$C$500),ROW(Create_TC_Web!$C$1:$C$500)),""),ROW(Create_TC_Web!L229))),"")</f>
        <v/>
      </c>
      <c r="L229" t="str" cm="1">
        <f t="array" ref="L229">IFERROR(INDEX(Create_TC_Web!O$1:O$500,SMALL(IF(Create_TC_Web!$C$1:$C$500&lt;&gt;"",MATCH(ROW(Create_TC_Web!$C$1:$C$500),ROW(Create_TC_Web!$C$1:$C$500)),""),ROW(Create_TC_Web!M229))),"")</f>
        <v/>
      </c>
      <c r="M229" t="str" cm="1">
        <f t="array" ref="M229">IFERROR(INDEX(Create_TC_Web!P$1:P$500,SMALL(IF(Create_TC_Web!$C$1:$C$500&lt;&gt;"",MATCH(ROW(Create_TC_Web!$C$1:$C$500),ROW(Create_TC_Web!$C$1:$C$500)),""),ROW(Create_TC_Web!N229))),"")</f>
        <v/>
      </c>
      <c r="N229">
        <f>Create_TC_Web!CA238</f>
        <v>0</v>
      </c>
      <c r="O229" t="str">
        <f t="shared" si="13"/>
        <v/>
      </c>
      <c r="P229" s="17" t="str" cm="1">
        <f t="array" ref="P229">IFERROR(INDEX(Create_TC_Web!S$1:S$500,SMALL(IF(Create_TC_Web!$C$1:$C$500&lt;&gt;"",MATCH(ROW(Create_TC_Web!$C$1:$C$500),ROW(Create_TC_Web!$C$1:$C$500)),""),ROW(Create_TC_Web!Q207))),"")</f>
        <v/>
      </c>
      <c r="S229" t="str">
        <f t="shared" si="14"/>
        <v/>
      </c>
    </row>
    <row r="230" spans="1:19">
      <c r="A230" t="str" cm="1">
        <f t="array" ref="A230">IFERROR(INDEX(Create_TC_Web!D$1:D$500,SMALL(IF(Create_TC_Web!$C$1:$C$500&lt;&gt;"",MATCH(ROW(Create_TC_Web!$C$1:$C$500),ROW(Create_TC_Web!$C$1:$C$500)),""),ROW(Create_TC_Web!B230))),"")</f>
        <v/>
      </c>
      <c r="B230" t="str" cm="1">
        <f t="array" ref="B230">SUBSTITUTE(SUBSTITUTE(SUBSTITUTE(IFERROR(INDEX(Create_TC_Web!E$1:E$505,SMALL(IF(Create_TC_Web!$C$1:$C$505&lt;&gt;"",MATCH(ROW(Create_TC_Web!$C$1:$C$505),ROW(Create_TC_Web!$C$1:$C$505)),""),ROW(Create_TC_Web!C230))),"")," ",""),"-",""),"_","")</f>
        <v/>
      </c>
      <c r="C230" t="str" cm="1">
        <f t="array" ref="C230">IFERROR(INDEX(Create_TC_Web!F$1:F$500,SMALL(IF(Create_TC_Web!$C$1:$C$500&lt;&gt;"",MATCH(ROW(Create_TC_Web!$C$1:$C$500),ROW(Create_TC_Web!$C$1:$C$500)),""),ROW(Create_TC_Web!D230))),"")</f>
        <v/>
      </c>
      <c r="D230" t="str" cm="1">
        <f t="array" ref="D230">IFERROR(INDEX(Create_TC_Web!G$1:G$500,SMALL(IF(Create_TC_Web!$C$1:$C$500&lt;&gt;"",MATCH(ROW(Create_TC_Web!$C$1:$C$500),ROW(Create_TC_Web!$C$1:$C$500)),""),ROW(Create_TC_Web!E230))),"")</f>
        <v/>
      </c>
      <c r="E230" t="str" cm="1">
        <f t="array" ref="E230">IFERROR(INDEX(Create_TC_Web!H$1:H$500,SMALL(IF(Create_TC_Web!$C$1:$C$500&lt;&gt;"",MATCH(ROW(Create_TC_Web!$C$1:$C$500),ROW(Create_TC_Web!$C$1:$C$500)),""),ROW(Create_TC_Web!F230))),"")</f>
        <v/>
      </c>
      <c r="F230" t="str" cm="1">
        <f t="array" ref="F230">IFERROR(INDEX(Create_TC_Web!I$1:I$500,SMALL(IF(Create_TC_Web!$C$1:$C$500&lt;&gt;"",MATCH(ROW(Create_TC_Web!$C$1:$C$500),ROW(Create_TC_Web!$C$1:$C$500)),""),ROW(Create_TC_Web!G230))),"")</f>
        <v/>
      </c>
      <c r="G230" t="str" cm="1">
        <f t="array" ref="G230">IFERROR(INDEX(Create_TC_Web!J$1:J$500,SMALL(IF(Create_TC_Web!$C$1:$C$500&lt;&gt;"",MATCH(ROW(Create_TC_Web!$C$1:$C$500),ROW(Create_TC_Web!$C$1:$C$500)),""),ROW(Create_TC_Web!H230))),"")</f>
        <v/>
      </c>
      <c r="H230" t="str" cm="1">
        <f t="array" ref="H230">IFERROR(INDEX(Create_TC_Web!K$1:K$500,SMALL(IF(Create_TC_Web!$C$1:$C$500&lt;&gt;"",MATCH(ROW(Create_TC_Web!$C$1:$C$500),ROW(Create_TC_Web!$C$1:$C$500)),""),ROW(Create_TC_Web!I230))),"")</f>
        <v/>
      </c>
      <c r="I230" t="str" cm="1">
        <f t="array" ref="I230">IFERROR(INDEX(Create_TC_Web!L$1:L$500,SMALL(IF(Create_TC_Web!$C$1:$C$500&lt;&gt;"",MATCH(ROW(Create_TC_Web!$C$1:$C$500),ROW(Create_TC_Web!$C$1:$C$500)),""),ROW(Create_TC_Web!J230))),"")</f>
        <v/>
      </c>
      <c r="J230" t="str" cm="1">
        <f t="array" ref="J230">IFERROR(INDEX(Create_TC_Web!M$1:M$500,SMALL(IF(Create_TC_Web!$C$1:$C$500&lt;&gt;"",MATCH(ROW(Create_TC_Web!$C$1:$C$500),ROW(Create_TC_Web!$C$1:$C$500)),""),ROW(Create_TC_Web!K230))),"")</f>
        <v/>
      </c>
      <c r="K230" t="str" cm="1">
        <f t="array" ref="K230">IFERROR(INDEX(Create_TC_Web!N$1:N$500,SMALL(IF(Create_TC_Web!$C$1:$C$500&lt;&gt;"",MATCH(ROW(Create_TC_Web!$C$1:$C$500),ROW(Create_TC_Web!$C$1:$C$500)),""),ROW(Create_TC_Web!L230))),"")</f>
        <v/>
      </c>
      <c r="L230" t="str" cm="1">
        <f t="array" ref="L230">IFERROR(INDEX(Create_TC_Web!O$1:O$500,SMALL(IF(Create_TC_Web!$C$1:$C$500&lt;&gt;"",MATCH(ROW(Create_TC_Web!$C$1:$C$500),ROW(Create_TC_Web!$C$1:$C$500)),""),ROW(Create_TC_Web!M230))),"")</f>
        <v/>
      </c>
      <c r="M230" t="str" cm="1">
        <f t="array" ref="M230">IFERROR(INDEX(Create_TC_Web!P$1:P$500,SMALL(IF(Create_TC_Web!$C$1:$C$500&lt;&gt;"",MATCH(ROW(Create_TC_Web!$C$1:$C$500),ROW(Create_TC_Web!$C$1:$C$500)),""),ROW(Create_TC_Web!N230))),"")</f>
        <v/>
      </c>
      <c r="N230">
        <f>Create_TC_Web!CA239</f>
        <v>0</v>
      </c>
      <c r="O230" t="str">
        <f t="shared" si="13"/>
        <v/>
      </c>
      <c r="P230" s="17" t="str" cm="1">
        <f t="array" ref="P230">IFERROR(INDEX(Create_TC_Web!S$1:S$500,SMALL(IF(Create_TC_Web!$C$1:$C$500&lt;&gt;"",MATCH(ROW(Create_TC_Web!$C$1:$C$500),ROW(Create_TC_Web!$C$1:$C$500)),""),ROW(Create_TC_Web!Q208))),"")</f>
        <v/>
      </c>
      <c r="S230" t="str">
        <f t="shared" si="14"/>
        <v/>
      </c>
    </row>
    <row r="231" spans="1:19">
      <c r="A231" t="str" cm="1">
        <f t="array" ref="A231">IFERROR(INDEX(Create_TC_Web!D$1:D$500,SMALL(IF(Create_TC_Web!$C$1:$C$500&lt;&gt;"",MATCH(ROW(Create_TC_Web!$C$1:$C$500),ROW(Create_TC_Web!$C$1:$C$500)),""),ROW(Create_TC_Web!B231))),"")</f>
        <v/>
      </c>
      <c r="B231" t="str" cm="1">
        <f t="array" ref="B231">SUBSTITUTE(SUBSTITUTE(SUBSTITUTE(IFERROR(INDEX(Create_TC_Web!E$1:E$505,SMALL(IF(Create_TC_Web!$C$1:$C$505&lt;&gt;"",MATCH(ROW(Create_TC_Web!$C$1:$C$505),ROW(Create_TC_Web!$C$1:$C$505)),""),ROW(Create_TC_Web!C231))),"")," ",""),"-",""),"_","")</f>
        <v/>
      </c>
      <c r="C231" t="str" cm="1">
        <f t="array" ref="C231">IFERROR(INDEX(Create_TC_Web!F$1:F$500,SMALL(IF(Create_TC_Web!$C$1:$C$500&lt;&gt;"",MATCH(ROW(Create_TC_Web!$C$1:$C$500),ROW(Create_TC_Web!$C$1:$C$500)),""),ROW(Create_TC_Web!D231))),"")</f>
        <v/>
      </c>
      <c r="D231" t="str" cm="1">
        <f t="array" ref="D231">IFERROR(INDEX(Create_TC_Web!G$1:G$500,SMALL(IF(Create_TC_Web!$C$1:$C$500&lt;&gt;"",MATCH(ROW(Create_TC_Web!$C$1:$C$500),ROW(Create_TC_Web!$C$1:$C$500)),""),ROW(Create_TC_Web!E231))),"")</f>
        <v/>
      </c>
      <c r="E231" t="str" cm="1">
        <f t="array" ref="E231">IFERROR(INDEX(Create_TC_Web!H$1:H$500,SMALL(IF(Create_TC_Web!$C$1:$C$500&lt;&gt;"",MATCH(ROW(Create_TC_Web!$C$1:$C$500),ROW(Create_TC_Web!$C$1:$C$500)),""),ROW(Create_TC_Web!F231))),"")</f>
        <v/>
      </c>
      <c r="F231" t="str" cm="1">
        <f t="array" ref="F231">IFERROR(INDEX(Create_TC_Web!I$1:I$500,SMALL(IF(Create_TC_Web!$C$1:$C$500&lt;&gt;"",MATCH(ROW(Create_TC_Web!$C$1:$C$500),ROW(Create_TC_Web!$C$1:$C$500)),""),ROW(Create_TC_Web!G231))),"")</f>
        <v/>
      </c>
      <c r="G231" t="str" cm="1">
        <f t="array" ref="G231">IFERROR(INDEX(Create_TC_Web!J$1:J$500,SMALL(IF(Create_TC_Web!$C$1:$C$500&lt;&gt;"",MATCH(ROW(Create_TC_Web!$C$1:$C$500),ROW(Create_TC_Web!$C$1:$C$500)),""),ROW(Create_TC_Web!H231))),"")</f>
        <v/>
      </c>
      <c r="H231" t="str" cm="1">
        <f t="array" ref="H231">IFERROR(INDEX(Create_TC_Web!K$1:K$500,SMALL(IF(Create_TC_Web!$C$1:$C$500&lt;&gt;"",MATCH(ROW(Create_TC_Web!$C$1:$C$500),ROW(Create_TC_Web!$C$1:$C$500)),""),ROW(Create_TC_Web!I231))),"")</f>
        <v/>
      </c>
      <c r="I231" t="str" cm="1">
        <f t="array" ref="I231">IFERROR(INDEX(Create_TC_Web!L$1:L$500,SMALL(IF(Create_TC_Web!$C$1:$C$500&lt;&gt;"",MATCH(ROW(Create_TC_Web!$C$1:$C$500),ROW(Create_TC_Web!$C$1:$C$500)),""),ROW(Create_TC_Web!J231))),"")</f>
        <v/>
      </c>
      <c r="J231" t="str" cm="1">
        <f t="array" ref="J231">IFERROR(INDEX(Create_TC_Web!M$1:M$500,SMALL(IF(Create_TC_Web!$C$1:$C$500&lt;&gt;"",MATCH(ROW(Create_TC_Web!$C$1:$C$500),ROW(Create_TC_Web!$C$1:$C$500)),""),ROW(Create_TC_Web!K231))),"")</f>
        <v/>
      </c>
      <c r="K231" t="str" cm="1">
        <f t="array" ref="K231">IFERROR(INDEX(Create_TC_Web!N$1:N$500,SMALL(IF(Create_TC_Web!$C$1:$C$500&lt;&gt;"",MATCH(ROW(Create_TC_Web!$C$1:$C$500),ROW(Create_TC_Web!$C$1:$C$500)),""),ROW(Create_TC_Web!L231))),"")</f>
        <v/>
      </c>
      <c r="L231" t="str" cm="1">
        <f t="array" ref="L231">IFERROR(INDEX(Create_TC_Web!O$1:O$500,SMALL(IF(Create_TC_Web!$C$1:$C$500&lt;&gt;"",MATCH(ROW(Create_TC_Web!$C$1:$C$500),ROW(Create_TC_Web!$C$1:$C$500)),""),ROW(Create_TC_Web!M231))),"")</f>
        <v/>
      </c>
      <c r="M231" t="str" cm="1">
        <f t="array" ref="M231">IFERROR(INDEX(Create_TC_Web!P$1:P$500,SMALL(IF(Create_TC_Web!$C$1:$C$500&lt;&gt;"",MATCH(ROW(Create_TC_Web!$C$1:$C$500),ROW(Create_TC_Web!$C$1:$C$500)),""),ROW(Create_TC_Web!N231))),"")</f>
        <v/>
      </c>
      <c r="N231">
        <f>Create_TC_Web!CA240</f>
        <v>0</v>
      </c>
      <c r="O231" t="str">
        <f t="shared" si="13"/>
        <v/>
      </c>
      <c r="P231" s="17" t="str" cm="1">
        <f t="array" ref="P231">IFERROR(INDEX(Create_TC_Web!S$1:S$500,SMALL(IF(Create_TC_Web!$C$1:$C$500&lt;&gt;"",MATCH(ROW(Create_TC_Web!$C$1:$C$500),ROW(Create_TC_Web!$C$1:$C$500)),""),ROW(Create_TC_Web!Q209))),"")</f>
        <v/>
      </c>
      <c r="S231" t="str">
        <f t="shared" si="14"/>
        <v/>
      </c>
    </row>
    <row r="232" spans="1:19">
      <c r="A232" t="str" cm="1">
        <f t="array" ref="A232">IFERROR(INDEX(Create_TC_Web!D$1:D$500,SMALL(IF(Create_TC_Web!$C$1:$C$500&lt;&gt;"",MATCH(ROW(Create_TC_Web!$C$1:$C$500),ROW(Create_TC_Web!$C$1:$C$500)),""),ROW(Create_TC_Web!B232))),"")</f>
        <v/>
      </c>
      <c r="B232" t="str" cm="1">
        <f t="array" ref="B232">SUBSTITUTE(SUBSTITUTE(SUBSTITUTE(IFERROR(INDEX(Create_TC_Web!E$1:E$505,SMALL(IF(Create_TC_Web!$C$1:$C$505&lt;&gt;"",MATCH(ROW(Create_TC_Web!$C$1:$C$505),ROW(Create_TC_Web!$C$1:$C$505)),""),ROW(Create_TC_Web!C232))),"")," ",""),"-",""),"_","")</f>
        <v/>
      </c>
      <c r="C232" t="str" cm="1">
        <f t="array" ref="C232">IFERROR(INDEX(Create_TC_Web!F$1:F$500,SMALL(IF(Create_TC_Web!$C$1:$C$500&lt;&gt;"",MATCH(ROW(Create_TC_Web!$C$1:$C$500),ROW(Create_TC_Web!$C$1:$C$500)),""),ROW(Create_TC_Web!D232))),"")</f>
        <v/>
      </c>
      <c r="D232" t="str" cm="1">
        <f t="array" ref="D232">IFERROR(INDEX(Create_TC_Web!G$1:G$500,SMALL(IF(Create_TC_Web!$C$1:$C$500&lt;&gt;"",MATCH(ROW(Create_TC_Web!$C$1:$C$500),ROW(Create_TC_Web!$C$1:$C$500)),""),ROW(Create_TC_Web!E232))),"")</f>
        <v/>
      </c>
      <c r="E232" t="str" cm="1">
        <f t="array" ref="E232">IFERROR(INDEX(Create_TC_Web!H$1:H$500,SMALL(IF(Create_TC_Web!$C$1:$C$500&lt;&gt;"",MATCH(ROW(Create_TC_Web!$C$1:$C$500),ROW(Create_TC_Web!$C$1:$C$500)),""),ROW(Create_TC_Web!F232))),"")</f>
        <v/>
      </c>
      <c r="F232" t="str" cm="1">
        <f t="array" ref="F232">IFERROR(INDEX(Create_TC_Web!I$1:I$500,SMALL(IF(Create_TC_Web!$C$1:$C$500&lt;&gt;"",MATCH(ROW(Create_TC_Web!$C$1:$C$500),ROW(Create_TC_Web!$C$1:$C$500)),""),ROW(Create_TC_Web!G232))),"")</f>
        <v/>
      </c>
      <c r="G232" t="str" cm="1">
        <f t="array" ref="G232">IFERROR(INDEX(Create_TC_Web!J$1:J$500,SMALL(IF(Create_TC_Web!$C$1:$C$500&lt;&gt;"",MATCH(ROW(Create_TC_Web!$C$1:$C$500),ROW(Create_TC_Web!$C$1:$C$500)),""),ROW(Create_TC_Web!H232))),"")</f>
        <v/>
      </c>
      <c r="H232" t="str" cm="1">
        <f t="array" ref="H232">IFERROR(INDEX(Create_TC_Web!K$1:K$500,SMALL(IF(Create_TC_Web!$C$1:$C$500&lt;&gt;"",MATCH(ROW(Create_TC_Web!$C$1:$C$500),ROW(Create_TC_Web!$C$1:$C$500)),""),ROW(Create_TC_Web!I232))),"")</f>
        <v/>
      </c>
      <c r="I232" t="str" cm="1">
        <f t="array" ref="I232">IFERROR(INDEX(Create_TC_Web!L$1:L$500,SMALL(IF(Create_TC_Web!$C$1:$C$500&lt;&gt;"",MATCH(ROW(Create_TC_Web!$C$1:$C$500),ROW(Create_TC_Web!$C$1:$C$500)),""),ROW(Create_TC_Web!J232))),"")</f>
        <v/>
      </c>
      <c r="J232" t="str" cm="1">
        <f t="array" ref="J232">IFERROR(INDEX(Create_TC_Web!M$1:M$500,SMALL(IF(Create_TC_Web!$C$1:$C$500&lt;&gt;"",MATCH(ROW(Create_TC_Web!$C$1:$C$500),ROW(Create_TC_Web!$C$1:$C$500)),""),ROW(Create_TC_Web!K232))),"")</f>
        <v/>
      </c>
      <c r="K232" t="str" cm="1">
        <f t="array" ref="K232">IFERROR(INDEX(Create_TC_Web!N$1:N$500,SMALL(IF(Create_TC_Web!$C$1:$C$500&lt;&gt;"",MATCH(ROW(Create_TC_Web!$C$1:$C$500),ROW(Create_TC_Web!$C$1:$C$500)),""),ROW(Create_TC_Web!L232))),"")</f>
        <v/>
      </c>
      <c r="L232" t="str" cm="1">
        <f t="array" ref="L232">IFERROR(INDEX(Create_TC_Web!O$1:O$500,SMALL(IF(Create_TC_Web!$C$1:$C$500&lt;&gt;"",MATCH(ROW(Create_TC_Web!$C$1:$C$500),ROW(Create_TC_Web!$C$1:$C$500)),""),ROW(Create_TC_Web!M232))),"")</f>
        <v/>
      </c>
      <c r="M232" t="str" cm="1">
        <f t="array" ref="M232">IFERROR(INDEX(Create_TC_Web!P$1:P$500,SMALL(IF(Create_TC_Web!$C$1:$C$500&lt;&gt;"",MATCH(ROW(Create_TC_Web!$C$1:$C$500),ROW(Create_TC_Web!$C$1:$C$500)),""),ROW(Create_TC_Web!N232))),"")</f>
        <v/>
      </c>
      <c r="N232">
        <f>Create_TC_Web!CA241</f>
        <v>0</v>
      </c>
      <c r="O232" t="str">
        <f t="shared" si="13"/>
        <v/>
      </c>
      <c r="P232" s="17" t="str" cm="1">
        <f t="array" ref="P232">IFERROR(INDEX(Create_TC_Web!S$1:S$500,SMALL(IF(Create_TC_Web!$C$1:$C$500&lt;&gt;"",MATCH(ROW(Create_TC_Web!$C$1:$C$500),ROW(Create_TC_Web!$C$1:$C$500)),""),ROW(Create_TC_Web!Q210))),"")</f>
        <v/>
      </c>
      <c r="S232" t="str">
        <f t="shared" si="14"/>
        <v/>
      </c>
    </row>
    <row r="233" spans="1:19">
      <c r="A233" t="str" cm="1">
        <f t="array" ref="A233">IFERROR(INDEX(Create_TC_Web!D$1:D$500,SMALL(IF(Create_TC_Web!$C$1:$C$500&lt;&gt;"",MATCH(ROW(Create_TC_Web!$C$1:$C$500),ROW(Create_TC_Web!$C$1:$C$500)),""),ROW(Create_TC_Web!B233))),"")</f>
        <v/>
      </c>
      <c r="B233" t="str" cm="1">
        <f t="array" ref="B233">SUBSTITUTE(SUBSTITUTE(SUBSTITUTE(IFERROR(INDEX(Create_TC_Web!E$1:E$505,SMALL(IF(Create_TC_Web!$C$1:$C$505&lt;&gt;"",MATCH(ROW(Create_TC_Web!$C$1:$C$505),ROW(Create_TC_Web!$C$1:$C$505)),""),ROW(Create_TC_Web!C233))),"")," ",""),"-",""),"_","")</f>
        <v/>
      </c>
      <c r="C233" t="str" cm="1">
        <f t="array" ref="C233">IFERROR(INDEX(Create_TC_Web!F$1:F$500,SMALL(IF(Create_TC_Web!$C$1:$C$500&lt;&gt;"",MATCH(ROW(Create_TC_Web!$C$1:$C$500),ROW(Create_TC_Web!$C$1:$C$500)),""),ROW(Create_TC_Web!D233))),"")</f>
        <v/>
      </c>
      <c r="D233" t="str" cm="1">
        <f t="array" ref="D233">IFERROR(INDEX(Create_TC_Web!G$1:G$500,SMALL(IF(Create_TC_Web!$C$1:$C$500&lt;&gt;"",MATCH(ROW(Create_TC_Web!$C$1:$C$500),ROW(Create_TC_Web!$C$1:$C$500)),""),ROW(Create_TC_Web!E233))),"")</f>
        <v/>
      </c>
      <c r="E233" t="str" cm="1">
        <f t="array" ref="E233">IFERROR(INDEX(Create_TC_Web!H$1:H$500,SMALL(IF(Create_TC_Web!$C$1:$C$500&lt;&gt;"",MATCH(ROW(Create_TC_Web!$C$1:$C$500),ROW(Create_TC_Web!$C$1:$C$500)),""),ROW(Create_TC_Web!F233))),"")</f>
        <v/>
      </c>
      <c r="F233" t="str" cm="1">
        <f t="array" ref="F233">IFERROR(INDEX(Create_TC_Web!I$1:I$500,SMALL(IF(Create_TC_Web!$C$1:$C$500&lt;&gt;"",MATCH(ROW(Create_TC_Web!$C$1:$C$500),ROW(Create_TC_Web!$C$1:$C$500)),""),ROW(Create_TC_Web!G233))),"")</f>
        <v/>
      </c>
      <c r="G233" t="str" cm="1">
        <f t="array" ref="G233">IFERROR(INDEX(Create_TC_Web!J$1:J$500,SMALL(IF(Create_TC_Web!$C$1:$C$500&lt;&gt;"",MATCH(ROW(Create_TC_Web!$C$1:$C$500),ROW(Create_TC_Web!$C$1:$C$500)),""),ROW(Create_TC_Web!H233))),"")</f>
        <v/>
      </c>
      <c r="H233" t="str" cm="1">
        <f t="array" ref="H233">IFERROR(INDEX(Create_TC_Web!K$1:K$500,SMALL(IF(Create_TC_Web!$C$1:$C$500&lt;&gt;"",MATCH(ROW(Create_TC_Web!$C$1:$C$500),ROW(Create_TC_Web!$C$1:$C$500)),""),ROW(Create_TC_Web!I233))),"")</f>
        <v/>
      </c>
      <c r="I233" t="str" cm="1">
        <f t="array" ref="I233">IFERROR(INDEX(Create_TC_Web!L$1:L$500,SMALL(IF(Create_TC_Web!$C$1:$C$500&lt;&gt;"",MATCH(ROW(Create_TC_Web!$C$1:$C$500),ROW(Create_TC_Web!$C$1:$C$500)),""),ROW(Create_TC_Web!J233))),"")</f>
        <v/>
      </c>
      <c r="J233" t="str" cm="1">
        <f t="array" ref="J233">IFERROR(INDEX(Create_TC_Web!M$1:M$500,SMALL(IF(Create_TC_Web!$C$1:$C$500&lt;&gt;"",MATCH(ROW(Create_TC_Web!$C$1:$C$500),ROW(Create_TC_Web!$C$1:$C$500)),""),ROW(Create_TC_Web!K233))),"")</f>
        <v/>
      </c>
      <c r="K233" t="str" cm="1">
        <f t="array" ref="K233">IFERROR(INDEX(Create_TC_Web!N$1:N$500,SMALL(IF(Create_TC_Web!$C$1:$C$500&lt;&gt;"",MATCH(ROW(Create_TC_Web!$C$1:$C$500),ROW(Create_TC_Web!$C$1:$C$500)),""),ROW(Create_TC_Web!L233))),"")</f>
        <v/>
      </c>
      <c r="L233" t="str" cm="1">
        <f t="array" ref="L233">IFERROR(INDEX(Create_TC_Web!O$1:O$500,SMALL(IF(Create_TC_Web!$C$1:$C$500&lt;&gt;"",MATCH(ROW(Create_TC_Web!$C$1:$C$500),ROW(Create_TC_Web!$C$1:$C$500)),""),ROW(Create_TC_Web!M233))),"")</f>
        <v/>
      </c>
      <c r="M233" t="str" cm="1">
        <f t="array" ref="M233">IFERROR(INDEX(Create_TC_Web!P$1:P$500,SMALL(IF(Create_TC_Web!$C$1:$C$500&lt;&gt;"",MATCH(ROW(Create_TC_Web!$C$1:$C$500),ROW(Create_TC_Web!$C$1:$C$500)),""),ROW(Create_TC_Web!N233))),"")</f>
        <v/>
      </c>
      <c r="N233">
        <f>Create_TC_Web!CA242</f>
        <v>0</v>
      </c>
      <c r="O233" t="str">
        <f t="shared" si="13"/>
        <v/>
      </c>
      <c r="P233" s="17" t="str" cm="1">
        <f t="array" ref="P233">IFERROR(INDEX(Create_TC_Web!S$1:S$500,SMALL(IF(Create_TC_Web!$C$1:$C$500&lt;&gt;"",MATCH(ROW(Create_TC_Web!$C$1:$C$500),ROW(Create_TC_Web!$C$1:$C$500)),""),ROW(Create_TC_Web!Q211))),"")</f>
        <v/>
      </c>
      <c r="S233" t="str">
        <f t="shared" si="14"/>
        <v/>
      </c>
    </row>
    <row r="234" spans="1:19">
      <c r="A234" t="str" cm="1">
        <f t="array" ref="A234">IFERROR(INDEX(Create_TC_Web!D$1:D$500,SMALL(IF(Create_TC_Web!$C$1:$C$500&lt;&gt;"",MATCH(ROW(Create_TC_Web!$C$1:$C$500),ROW(Create_TC_Web!$C$1:$C$500)),""),ROW(Create_TC_Web!B234))),"")</f>
        <v/>
      </c>
      <c r="B234" t="str" cm="1">
        <f t="array" ref="B234">SUBSTITUTE(SUBSTITUTE(SUBSTITUTE(IFERROR(INDEX(Create_TC_Web!E$1:E$505,SMALL(IF(Create_TC_Web!$C$1:$C$505&lt;&gt;"",MATCH(ROW(Create_TC_Web!$C$1:$C$505),ROW(Create_TC_Web!$C$1:$C$505)),""),ROW(Create_TC_Web!C234))),"")," ",""),"-",""),"_","")</f>
        <v/>
      </c>
      <c r="C234" t="str" cm="1">
        <f t="array" ref="C234">IFERROR(INDEX(Create_TC_Web!F$1:F$500,SMALL(IF(Create_TC_Web!$C$1:$C$500&lt;&gt;"",MATCH(ROW(Create_TC_Web!$C$1:$C$500),ROW(Create_TC_Web!$C$1:$C$500)),""),ROW(Create_TC_Web!D234))),"")</f>
        <v/>
      </c>
      <c r="D234" t="str" cm="1">
        <f t="array" ref="D234">IFERROR(INDEX(Create_TC_Web!G$1:G$500,SMALL(IF(Create_TC_Web!$C$1:$C$500&lt;&gt;"",MATCH(ROW(Create_TC_Web!$C$1:$C$500),ROW(Create_TC_Web!$C$1:$C$500)),""),ROW(Create_TC_Web!E234))),"")</f>
        <v/>
      </c>
      <c r="E234" t="str" cm="1">
        <f t="array" ref="E234">IFERROR(INDEX(Create_TC_Web!H$1:H$500,SMALL(IF(Create_TC_Web!$C$1:$C$500&lt;&gt;"",MATCH(ROW(Create_TC_Web!$C$1:$C$500),ROW(Create_TC_Web!$C$1:$C$500)),""),ROW(Create_TC_Web!F234))),"")</f>
        <v/>
      </c>
      <c r="F234" t="str" cm="1">
        <f t="array" ref="F234">IFERROR(INDEX(Create_TC_Web!I$1:I$500,SMALL(IF(Create_TC_Web!$C$1:$C$500&lt;&gt;"",MATCH(ROW(Create_TC_Web!$C$1:$C$500),ROW(Create_TC_Web!$C$1:$C$500)),""),ROW(Create_TC_Web!G234))),"")</f>
        <v/>
      </c>
      <c r="G234" t="str" cm="1">
        <f t="array" ref="G234">IFERROR(INDEX(Create_TC_Web!J$1:J$500,SMALL(IF(Create_TC_Web!$C$1:$C$500&lt;&gt;"",MATCH(ROW(Create_TC_Web!$C$1:$C$500),ROW(Create_TC_Web!$C$1:$C$500)),""),ROW(Create_TC_Web!H234))),"")</f>
        <v/>
      </c>
      <c r="H234" t="str" cm="1">
        <f t="array" ref="H234">IFERROR(INDEX(Create_TC_Web!K$1:K$500,SMALL(IF(Create_TC_Web!$C$1:$C$500&lt;&gt;"",MATCH(ROW(Create_TC_Web!$C$1:$C$500),ROW(Create_TC_Web!$C$1:$C$500)),""),ROW(Create_TC_Web!I234))),"")</f>
        <v/>
      </c>
      <c r="I234" t="str" cm="1">
        <f t="array" ref="I234">IFERROR(INDEX(Create_TC_Web!L$1:L$500,SMALL(IF(Create_TC_Web!$C$1:$C$500&lt;&gt;"",MATCH(ROW(Create_TC_Web!$C$1:$C$500),ROW(Create_TC_Web!$C$1:$C$500)),""),ROW(Create_TC_Web!J234))),"")</f>
        <v/>
      </c>
      <c r="J234" t="str" cm="1">
        <f t="array" ref="J234">IFERROR(INDEX(Create_TC_Web!M$1:M$500,SMALL(IF(Create_TC_Web!$C$1:$C$500&lt;&gt;"",MATCH(ROW(Create_TC_Web!$C$1:$C$500),ROW(Create_TC_Web!$C$1:$C$500)),""),ROW(Create_TC_Web!K234))),"")</f>
        <v/>
      </c>
      <c r="K234" t="str" cm="1">
        <f t="array" ref="K234">IFERROR(INDEX(Create_TC_Web!N$1:N$500,SMALL(IF(Create_TC_Web!$C$1:$C$500&lt;&gt;"",MATCH(ROW(Create_TC_Web!$C$1:$C$500),ROW(Create_TC_Web!$C$1:$C$500)),""),ROW(Create_TC_Web!L234))),"")</f>
        <v/>
      </c>
      <c r="L234" t="str" cm="1">
        <f t="array" ref="L234">IFERROR(INDEX(Create_TC_Web!O$1:O$500,SMALL(IF(Create_TC_Web!$C$1:$C$500&lt;&gt;"",MATCH(ROW(Create_TC_Web!$C$1:$C$500),ROW(Create_TC_Web!$C$1:$C$500)),""),ROW(Create_TC_Web!M234))),"")</f>
        <v/>
      </c>
      <c r="M234" t="str" cm="1">
        <f t="array" ref="M234">IFERROR(INDEX(Create_TC_Web!P$1:P$500,SMALL(IF(Create_TC_Web!$C$1:$C$500&lt;&gt;"",MATCH(ROW(Create_TC_Web!$C$1:$C$500),ROW(Create_TC_Web!$C$1:$C$500)),""),ROW(Create_TC_Web!N234))),"")</f>
        <v/>
      </c>
      <c r="N234">
        <f>Create_TC_Web!CA243</f>
        <v>0</v>
      </c>
      <c r="O234" t="str">
        <f t="shared" si="13"/>
        <v/>
      </c>
      <c r="P234" s="17" t="str" cm="1">
        <f t="array" ref="P234">IFERROR(INDEX(Create_TC_Web!S$1:S$500,SMALL(IF(Create_TC_Web!$C$1:$C$500&lt;&gt;"",MATCH(ROW(Create_TC_Web!$C$1:$C$500),ROW(Create_TC_Web!$C$1:$C$500)),""),ROW(Create_TC_Web!Q212))),"")</f>
        <v/>
      </c>
      <c r="S234" t="str">
        <f t="shared" si="14"/>
        <v/>
      </c>
    </row>
    <row r="235" spans="1:19">
      <c r="A235" t="str" cm="1">
        <f t="array" ref="A235">IFERROR(INDEX(Create_TC_Web!D$1:D$500,SMALL(IF(Create_TC_Web!$C$1:$C$500&lt;&gt;"",MATCH(ROW(Create_TC_Web!$C$1:$C$500),ROW(Create_TC_Web!$C$1:$C$500)),""),ROW(Create_TC_Web!B235))),"")</f>
        <v/>
      </c>
      <c r="B235" t="str" cm="1">
        <f t="array" ref="B235">SUBSTITUTE(SUBSTITUTE(SUBSTITUTE(IFERROR(INDEX(Create_TC_Web!E$1:E$505,SMALL(IF(Create_TC_Web!$C$1:$C$505&lt;&gt;"",MATCH(ROW(Create_TC_Web!$C$1:$C$505),ROW(Create_TC_Web!$C$1:$C$505)),""),ROW(Create_TC_Web!C235))),"")," ",""),"-",""),"_","")</f>
        <v/>
      </c>
      <c r="C235" t="str" cm="1">
        <f t="array" ref="C235">IFERROR(INDEX(Create_TC_Web!F$1:F$500,SMALL(IF(Create_TC_Web!$C$1:$C$500&lt;&gt;"",MATCH(ROW(Create_TC_Web!$C$1:$C$500),ROW(Create_TC_Web!$C$1:$C$500)),""),ROW(Create_TC_Web!D235))),"")</f>
        <v/>
      </c>
      <c r="D235" t="str" cm="1">
        <f t="array" ref="D235">IFERROR(INDEX(Create_TC_Web!G$1:G$500,SMALL(IF(Create_TC_Web!$C$1:$C$500&lt;&gt;"",MATCH(ROW(Create_TC_Web!$C$1:$C$500),ROW(Create_TC_Web!$C$1:$C$500)),""),ROW(Create_TC_Web!E235))),"")</f>
        <v/>
      </c>
      <c r="E235" t="str" cm="1">
        <f t="array" ref="E235">IFERROR(INDEX(Create_TC_Web!H$1:H$500,SMALL(IF(Create_TC_Web!$C$1:$C$500&lt;&gt;"",MATCH(ROW(Create_TC_Web!$C$1:$C$500),ROW(Create_TC_Web!$C$1:$C$500)),""),ROW(Create_TC_Web!F235))),"")</f>
        <v/>
      </c>
      <c r="F235" t="str" cm="1">
        <f t="array" ref="F235">IFERROR(INDEX(Create_TC_Web!I$1:I$500,SMALL(IF(Create_TC_Web!$C$1:$C$500&lt;&gt;"",MATCH(ROW(Create_TC_Web!$C$1:$C$500),ROW(Create_TC_Web!$C$1:$C$500)),""),ROW(Create_TC_Web!G235))),"")</f>
        <v/>
      </c>
      <c r="G235" t="str" cm="1">
        <f t="array" ref="G235">IFERROR(INDEX(Create_TC_Web!J$1:J$500,SMALL(IF(Create_TC_Web!$C$1:$C$500&lt;&gt;"",MATCH(ROW(Create_TC_Web!$C$1:$C$500),ROW(Create_TC_Web!$C$1:$C$500)),""),ROW(Create_TC_Web!H235))),"")</f>
        <v/>
      </c>
      <c r="H235" t="str" cm="1">
        <f t="array" ref="H235">IFERROR(INDEX(Create_TC_Web!K$1:K$500,SMALL(IF(Create_TC_Web!$C$1:$C$500&lt;&gt;"",MATCH(ROW(Create_TC_Web!$C$1:$C$500),ROW(Create_TC_Web!$C$1:$C$500)),""),ROW(Create_TC_Web!I235))),"")</f>
        <v/>
      </c>
      <c r="I235" t="str" cm="1">
        <f t="array" ref="I235">IFERROR(INDEX(Create_TC_Web!L$1:L$500,SMALL(IF(Create_TC_Web!$C$1:$C$500&lt;&gt;"",MATCH(ROW(Create_TC_Web!$C$1:$C$500),ROW(Create_TC_Web!$C$1:$C$500)),""),ROW(Create_TC_Web!J235))),"")</f>
        <v/>
      </c>
      <c r="J235" t="str" cm="1">
        <f t="array" ref="J235">IFERROR(INDEX(Create_TC_Web!M$1:M$500,SMALL(IF(Create_TC_Web!$C$1:$C$500&lt;&gt;"",MATCH(ROW(Create_TC_Web!$C$1:$C$500),ROW(Create_TC_Web!$C$1:$C$500)),""),ROW(Create_TC_Web!K235))),"")</f>
        <v/>
      </c>
      <c r="K235" t="str" cm="1">
        <f t="array" ref="K235">IFERROR(INDEX(Create_TC_Web!N$1:N$500,SMALL(IF(Create_TC_Web!$C$1:$C$500&lt;&gt;"",MATCH(ROW(Create_TC_Web!$C$1:$C$500),ROW(Create_TC_Web!$C$1:$C$500)),""),ROW(Create_TC_Web!L235))),"")</f>
        <v/>
      </c>
      <c r="L235" t="str" cm="1">
        <f t="array" ref="L235">IFERROR(INDEX(Create_TC_Web!O$1:O$500,SMALL(IF(Create_TC_Web!$C$1:$C$500&lt;&gt;"",MATCH(ROW(Create_TC_Web!$C$1:$C$500),ROW(Create_TC_Web!$C$1:$C$500)),""),ROW(Create_TC_Web!M235))),"")</f>
        <v/>
      </c>
      <c r="M235" t="str" cm="1">
        <f t="array" ref="M235">IFERROR(INDEX(Create_TC_Web!P$1:P$500,SMALL(IF(Create_TC_Web!$C$1:$C$500&lt;&gt;"",MATCH(ROW(Create_TC_Web!$C$1:$C$500),ROW(Create_TC_Web!$C$1:$C$500)),""),ROW(Create_TC_Web!N235))),"")</f>
        <v/>
      </c>
      <c r="N235">
        <f>Create_TC_Web!CA244</f>
        <v>0</v>
      </c>
      <c r="O235" t="str">
        <f t="shared" si="13"/>
        <v/>
      </c>
      <c r="P235" s="17" t="str" cm="1">
        <f t="array" ref="P235">IFERROR(INDEX(Create_TC_Web!S$1:S$500,SMALL(IF(Create_TC_Web!$C$1:$C$500&lt;&gt;"",MATCH(ROW(Create_TC_Web!$C$1:$C$500),ROW(Create_TC_Web!$C$1:$C$500)),""),ROW(Create_TC_Web!Q213))),"")</f>
        <v/>
      </c>
      <c r="S235" t="str">
        <f t="shared" si="14"/>
        <v/>
      </c>
    </row>
    <row r="236" spans="1:19">
      <c r="A236" t="str" cm="1">
        <f t="array" ref="A236">IFERROR(INDEX(Create_TC_Web!D$1:D$500,SMALL(IF(Create_TC_Web!$C$1:$C$500&lt;&gt;"",MATCH(ROW(Create_TC_Web!$C$1:$C$500),ROW(Create_TC_Web!$C$1:$C$500)),""),ROW(Create_TC_Web!B236))),"")</f>
        <v/>
      </c>
      <c r="B236" t="str" cm="1">
        <f t="array" ref="B236">SUBSTITUTE(SUBSTITUTE(SUBSTITUTE(IFERROR(INDEX(Create_TC_Web!E$1:E$505,SMALL(IF(Create_TC_Web!$C$1:$C$505&lt;&gt;"",MATCH(ROW(Create_TC_Web!$C$1:$C$505),ROW(Create_TC_Web!$C$1:$C$505)),""),ROW(Create_TC_Web!C236))),"")," ",""),"-",""),"_","")</f>
        <v/>
      </c>
      <c r="C236" t="str" cm="1">
        <f t="array" ref="C236">IFERROR(INDEX(Create_TC_Web!F$1:F$500,SMALL(IF(Create_TC_Web!$C$1:$C$500&lt;&gt;"",MATCH(ROW(Create_TC_Web!$C$1:$C$500),ROW(Create_TC_Web!$C$1:$C$500)),""),ROW(Create_TC_Web!D236))),"")</f>
        <v/>
      </c>
      <c r="D236" t="str" cm="1">
        <f t="array" ref="D236">IFERROR(INDEX(Create_TC_Web!G$1:G$500,SMALL(IF(Create_TC_Web!$C$1:$C$500&lt;&gt;"",MATCH(ROW(Create_TC_Web!$C$1:$C$500),ROW(Create_TC_Web!$C$1:$C$500)),""),ROW(Create_TC_Web!E236))),"")</f>
        <v/>
      </c>
      <c r="E236" t="str" cm="1">
        <f t="array" ref="E236">IFERROR(INDEX(Create_TC_Web!H$1:H$500,SMALL(IF(Create_TC_Web!$C$1:$C$500&lt;&gt;"",MATCH(ROW(Create_TC_Web!$C$1:$C$500),ROW(Create_TC_Web!$C$1:$C$500)),""),ROW(Create_TC_Web!F236))),"")</f>
        <v/>
      </c>
      <c r="F236" t="str" cm="1">
        <f t="array" ref="F236">IFERROR(INDEX(Create_TC_Web!I$1:I$500,SMALL(IF(Create_TC_Web!$C$1:$C$500&lt;&gt;"",MATCH(ROW(Create_TC_Web!$C$1:$C$500),ROW(Create_TC_Web!$C$1:$C$500)),""),ROW(Create_TC_Web!G236))),"")</f>
        <v/>
      </c>
      <c r="G236" t="str" cm="1">
        <f t="array" ref="G236">IFERROR(INDEX(Create_TC_Web!J$1:J$500,SMALL(IF(Create_TC_Web!$C$1:$C$500&lt;&gt;"",MATCH(ROW(Create_TC_Web!$C$1:$C$500),ROW(Create_TC_Web!$C$1:$C$500)),""),ROW(Create_TC_Web!H236))),"")</f>
        <v/>
      </c>
      <c r="H236" t="str" cm="1">
        <f t="array" ref="H236">IFERROR(INDEX(Create_TC_Web!K$1:K$500,SMALL(IF(Create_TC_Web!$C$1:$C$500&lt;&gt;"",MATCH(ROW(Create_TC_Web!$C$1:$C$500),ROW(Create_TC_Web!$C$1:$C$500)),""),ROW(Create_TC_Web!I236))),"")</f>
        <v/>
      </c>
      <c r="I236" t="str" cm="1">
        <f t="array" ref="I236">IFERROR(INDEX(Create_TC_Web!L$1:L$500,SMALL(IF(Create_TC_Web!$C$1:$C$500&lt;&gt;"",MATCH(ROW(Create_TC_Web!$C$1:$C$500),ROW(Create_TC_Web!$C$1:$C$500)),""),ROW(Create_TC_Web!J236))),"")</f>
        <v/>
      </c>
      <c r="J236" t="str" cm="1">
        <f t="array" ref="J236">IFERROR(INDEX(Create_TC_Web!M$1:M$500,SMALL(IF(Create_TC_Web!$C$1:$C$500&lt;&gt;"",MATCH(ROW(Create_TC_Web!$C$1:$C$500),ROW(Create_TC_Web!$C$1:$C$500)),""),ROW(Create_TC_Web!K236))),"")</f>
        <v/>
      </c>
      <c r="K236" t="str" cm="1">
        <f t="array" ref="K236">IFERROR(INDEX(Create_TC_Web!N$1:N$500,SMALL(IF(Create_TC_Web!$C$1:$C$500&lt;&gt;"",MATCH(ROW(Create_TC_Web!$C$1:$C$500),ROW(Create_TC_Web!$C$1:$C$500)),""),ROW(Create_TC_Web!L236))),"")</f>
        <v/>
      </c>
      <c r="L236" t="str" cm="1">
        <f t="array" ref="L236">IFERROR(INDEX(Create_TC_Web!O$1:O$500,SMALL(IF(Create_TC_Web!$C$1:$C$500&lt;&gt;"",MATCH(ROW(Create_TC_Web!$C$1:$C$500),ROW(Create_TC_Web!$C$1:$C$500)),""),ROW(Create_TC_Web!M236))),"")</f>
        <v/>
      </c>
      <c r="M236" t="str" cm="1">
        <f t="array" ref="M236">IFERROR(INDEX(Create_TC_Web!P$1:P$500,SMALL(IF(Create_TC_Web!$C$1:$C$500&lt;&gt;"",MATCH(ROW(Create_TC_Web!$C$1:$C$500),ROW(Create_TC_Web!$C$1:$C$500)),""),ROW(Create_TC_Web!N236))),"")</f>
        <v/>
      </c>
      <c r="N236">
        <f>Create_TC_Web!CA245</f>
        <v>0</v>
      </c>
      <c r="O236" t="str">
        <f t="shared" si="13"/>
        <v/>
      </c>
      <c r="P236" s="17" t="str" cm="1">
        <f t="array" ref="P236">IFERROR(INDEX(Create_TC_Web!S$1:S$500,SMALL(IF(Create_TC_Web!$C$1:$C$500&lt;&gt;"",MATCH(ROW(Create_TC_Web!$C$1:$C$500),ROW(Create_TC_Web!$C$1:$C$500)),""),ROW(Create_TC_Web!Q214))),"")</f>
        <v/>
      </c>
      <c r="S236" t="str">
        <f t="shared" si="14"/>
        <v/>
      </c>
    </row>
    <row r="237" spans="1:19">
      <c r="A237" t="str" cm="1">
        <f t="array" ref="A237">IFERROR(INDEX(Create_TC_Web!D$1:D$500,SMALL(IF(Create_TC_Web!$C$1:$C$500&lt;&gt;"",MATCH(ROW(Create_TC_Web!$C$1:$C$500),ROW(Create_TC_Web!$C$1:$C$500)),""),ROW(Create_TC_Web!B237))),"")</f>
        <v/>
      </c>
      <c r="B237" t="str" cm="1">
        <f t="array" ref="B237">SUBSTITUTE(SUBSTITUTE(SUBSTITUTE(IFERROR(INDEX(Create_TC_Web!E$1:E$505,SMALL(IF(Create_TC_Web!$C$1:$C$505&lt;&gt;"",MATCH(ROW(Create_TC_Web!$C$1:$C$505),ROW(Create_TC_Web!$C$1:$C$505)),""),ROW(Create_TC_Web!C237))),"")," ",""),"-",""),"_","")</f>
        <v/>
      </c>
      <c r="C237" t="str" cm="1">
        <f t="array" ref="C237">IFERROR(INDEX(Create_TC_Web!F$1:F$500,SMALL(IF(Create_TC_Web!$C$1:$C$500&lt;&gt;"",MATCH(ROW(Create_TC_Web!$C$1:$C$500),ROW(Create_TC_Web!$C$1:$C$500)),""),ROW(Create_TC_Web!D237))),"")</f>
        <v/>
      </c>
      <c r="D237" t="str" cm="1">
        <f t="array" ref="D237">IFERROR(INDEX(Create_TC_Web!G$1:G$500,SMALL(IF(Create_TC_Web!$C$1:$C$500&lt;&gt;"",MATCH(ROW(Create_TC_Web!$C$1:$C$500),ROW(Create_TC_Web!$C$1:$C$500)),""),ROW(Create_TC_Web!E237))),"")</f>
        <v/>
      </c>
      <c r="E237" t="str" cm="1">
        <f t="array" ref="E237">IFERROR(INDEX(Create_TC_Web!H$1:H$500,SMALL(IF(Create_TC_Web!$C$1:$C$500&lt;&gt;"",MATCH(ROW(Create_TC_Web!$C$1:$C$500),ROW(Create_TC_Web!$C$1:$C$500)),""),ROW(Create_TC_Web!F237))),"")</f>
        <v/>
      </c>
      <c r="F237" t="str" cm="1">
        <f t="array" ref="F237">IFERROR(INDEX(Create_TC_Web!I$1:I$500,SMALL(IF(Create_TC_Web!$C$1:$C$500&lt;&gt;"",MATCH(ROW(Create_TC_Web!$C$1:$C$500),ROW(Create_TC_Web!$C$1:$C$500)),""),ROW(Create_TC_Web!G237))),"")</f>
        <v/>
      </c>
      <c r="G237" t="str" cm="1">
        <f t="array" ref="G237">IFERROR(INDEX(Create_TC_Web!J$1:J$500,SMALL(IF(Create_TC_Web!$C$1:$C$500&lt;&gt;"",MATCH(ROW(Create_TC_Web!$C$1:$C$500),ROW(Create_TC_Web!$C$1:$C$500)),""),ROW(Create_TC_Web!H237))),"")</f>
        <v/>
      </c>
      <c r="H237" t="str" cm="1">
        <f t="array" ref="H237">IFERROR(INDEX(Create_TC_Web!K$1:K$500,SMALL(IF(Create_TC_Web!$C$1:$C$500&lt;&gt;"",MATCH(ROW(Create_TC_Web!$C$1:$C$500),ROW(Create_TC_Web!$C$1:$C$500)),""),ROW(Create_TC_Web!I237))),"")</f>
        <v/>
      </c>
      <c r="I237" t="str" cm="1">
        <f t="array" ref="I237">IFERROR(INDEX(Create_TC_Web!L$1:L$500,SMALL(IF(Create_TC_Web!$C$1:$C$500&lt;&gt;"",MATCH(ROW(Create_TC_Web!$C$1:$C$500),ROW(Create_TC_Web!$C$1:$C$500)),""),ROW(Create_TC_Web!J237))),"")</f>
        <v/>
      </c>
      <c r="J237" t="str" cm="1">
        <f t="array" ref="J237">IFERROR(INDEX(Create_TC_Web!M$1:M$500,SMALL(IF(Create_TC_Web!$C$1:$C$500&lt;&gt;"",MATCH(ROW(Create_TC_Web!$C$1:$C$500),ROW(Create_TC_Web!$C$1:$C$500)),""),ROW(Create_TC_Web!K237))),"")</f>
        <v/>
      </c>
      <c r="K237" t="str" cm="1">
        <f t="array" ref="K237">IFERROR(INDEX(Create_TC_Web!N$1:N$500,SMALL(IF(Create_TC_Web!$C$1:$C$500&lt;&gt;"",MATCH(ROW(Create_TC_Web!$C$1:$C$500),ROW(Create_TC_Web!$C$1:$C$500)),""),ROW(Create_TC_Web!L237))),"")</f>
        <v/>
      </c>
      <c r="L237" t="str" cm="1">
        <f t="array" ref="L237">IFERROR(INDEX(Create_TC_Web!O$1:O$500,SMALL(IF(Create_TC_Web!$C$1:$C$500&lt;&gt;"",MATCH(ROW(Create_TC_Web!$C$1:$C$500),ROW(Create_TC_Web!$C$1:$C$500)),""),ROW(Create_TC_Web!M237))),"")</f>
        <v/>
      </c>
      <c r="M237" t="str" cm="1">
        <f t="array" ref="M237">IFERROR(INDEX(Create_TC_Web!P$1:P$500,SMALL(IF(Create_TC_Web!$C$1:$C$500&lt;&gt;"",MATCH(ROW(Create_TC_Web!$C$1:$C$500),ROW(Create_TC_Web!$C$1:$C$500)),""),ROW(Create_TC_Web!N237))),"")</f>
        <v/>
      </c>
      <c r="N237">
        <f>Create_TC_Web!CA246</f>
        <v>0</v>
      </c>
      <c r="O237" t="str">
        <f t="shared" si="13"/>
        <v/>
      </c>
      <c r="P237" s="17" t="str" cm="1">
        <f t="array" ref="P237">IFERROR(INDEX(Create_TC_Web!S$1:S$500,SMALL(IF(Create_TC_Web!$C$1:$C$500&lt;&gt;"",MATCH(ROW(Create_TC_Web!$C$1:$C$500),ROW(Create_TC_Web!$C$1:$C$500)),""),ROW(Create_TC_Web!Q215))),"")</f>
        <v/>
      </c>
      <c r="S237" t="str">
        <f t="shared" si="14"/>
        <v/>
      </c>
    </row>
    <row r="238" spans="1:19">
      <c r="A238" t="str" cm="1">
        <f t="array" ref="A238">IFERROR(INDEX(Create_TC_Web!D$1:D$500,SMALL(IF(Create_TC_Web!$C$1:$C$500&lt;&gt;"",MATCH(ROW(Create_TC_Web!$C$1:$C$500),ROW(Create_TC_Web!$C$1:$C$500)),""),ROW(Create_TC_Web!B238))),"")</f>
        <v/>
      </c>
      <c r="B238" t="str" cm="1">
        <f t="array" ref="B238">SUBSTITUTE(SUBSTITUTE(SUBSTITUTE(IFERROR(INDEX(Create_TC_Web!E$1:E$505,SMALL(IF(Create_TC_Web!$C$1:$C$505&lt;&gt;"",MATCH(ROW(Create_TC_Web!$C$1:$C$505),ROW(Create_TC_Web!$C$1:$C$505)),""),ROW(Create_TC_Web!C238))),"")," ",""),"-",""),"_","")</f>
        <v/>
      </c>
      <c r="C238" t="str" cm="1">
        <f t="array" ref="C238">IFERROR(INDEX(Create_TC_Web!F$1:F$500,SMALL(IF(Create_TC_Web!$C$1:$C$500&lt;&gt;"",MATCH(ROW(Create_TC_Web!$C$1:$C$500),ROW(Create_TC_Web!$C$1:$C$500)),""),ROW(Create_TC_Web!D238))),"")</f>
        <v/>
      </c>
      <c r="D238" t="str" cm="1">
        <f t="array" ref="D238">IFERROR(INDEX(Create_TC_Web!G$1:G$500,SMALL(IF(Create_TC_Web!$C$1:$C$500&lt;&gt;"",MATCH(ROW(Create_TC_Web!$C$1:$C$500),ROW(Create_TC_Web!$C$1:$C$500)),""),ROW(Create_TC_Web!E238))),"")</f>
        <v/>
      </c>
      <c r="E238" t="str" cm="1">
        <f t="array" ref="E238">IFERROR(INDEX(Create_TC_Web!H$1:H$500,SMALL(IF(Create_TC_Web!$C$1:$C$500&lt;&gt;"",MATCH(ROW(Create_TC_Web!$C$1:$C$500),ROW(Create_TC_Web!$C$1:$C$500)),""),ROW(Create_TC_Web!F238))),"")</f>
        <v/>
      </c>
      <c r="F238" t="str" cm="1">
        <f t="array" ref="F238">IFERROR(INDEX(Create_TC_Web!I$1:I$500,SMALL(IF(Create_TC_Web!$C$1:$C$500&lt;&gt;"",MATCH(ROW(Create_TC_Web!$C$1:$C$500),ROW(Create_TC_Web!$C$1:$C$500)),""),ROW(Create_TC_Web!G238))),"")</f>
        <v/>
      </c>
      <c r="G238" t="str" cm="1">
        <f t="array" ref="G238">IFERROR(INDEX(Create_TC_Web!J$1:J$500,SMALL(IF(Create_TC_Web!$C$1:$C$500&lt;&gt;"",MATCH(ROW(Create_TC_Web!$C$1:$C$500),ROW(Create_TC_Web!$C$1:$C$500)),""),ROW(Create_TC_Web!H238))),"")</f>
        <v/>
      </c>
      <c r="H238" t="str" cm="1">
        <f t="array" ref="H238">IFERROR(INDEX(Create_TC_Web!K$1:K$500,SMALL(IF(Create_TC_Web!$C$1:$C$500&lt;&gt;"",MATCH(ROW(Create_TC_Web!$C$1:$C$500),ROW(Create_TC_Web!$C$1:$C$500)),""),ROW(Create_TC_Web!I238))),"")</f>
        <v/>
      </c>
      <c r="I238" t="str" cm="1">
        <f t="array" ref="I238">IFERROR(INDEX(Create_TC_Web!L$1:L$500,SMALL(IF(Create_TC_Web!$C$1:$C$500&lt;&gt;"",MATCH(ROW(Create_TC_Web!$C$1:$C$500),ROW(Create_TC_Web!$C$1:$C$500)),""),ROW(Create_TC_Web!J238))),"")</f>
        <v/>
      </c>
      <c r="J238" t="str" cm="1">
        <f t="array" ref="J238">IFERROR(INDEX(Create_TC_Web!M$1:M$500,SMALL(IF(Create_TC_Web!$C$1:$C$500&lt;&gt;"",MATCH(ROW(Create_TC_Web!$C$1:$C$500),ROW(Create_TC_Web!$C$1:$C$500)),""),ROW(Create_TC_Web!K238))),"")</f>
        <v/>
      </c>
      <c r="K238" t="str" cm="1">
        <f t="array" ref="K238">IFERROR(INDEX(Create_TC_Web!N$1:N$500,SMALL(IF(Create_TC_Web!$C$1:$C$500&lt;&gt;"",MATCH(ROW(Create_TC_Web!$C$1:$C$500),ROW(Create_TC_Web!$C$1:$C$500)),""),ROW(Create_TC_Web!L238))),"")</f>
        <v/>
      </c>
      <c r="L238" t="str" cm="1">
        <f t="array" ref="L238">IFERROR(INDEX(Create_TC_Web!O$1:O$500,SMALL(IF(Create_TC_Web!$C$1:$C$500&lt;&gt;"",MATCH(ROW(Create_TC_Web!$C$1:$C$500),ROW(Create_TC_Web!$C$1:$C$500)),""),ROW(Create_TC_Web!M238))),"")</f>
        <v/>
      </c>
      <c r="M238" t="str" cm="1">
        <f t="array" ref="M238">IFERROR(INDEX(Create_TC_Web!P$1:P$500,SMALL(IF(Create_TC_Web!$C$1:$C$500&lt;&gt;"",MATCH(ROW(Create_TC_Web!$C$1:$C$500),ROW(Create_TC_Web!$C$1:$C$500)),""),ROW(Create_TC_Web!N238))),"")</f>
        <v/>
      </c>
      <c r="N238">
        <f>Create_TC_Web!CA247</f>
        <v>0</v>
      </c>
      <c r="O238" t="str">
        <f t="shared" si="13"/>
        <v/>
      </c>
      <c r="P238" s="17" t="str" cm="1">
        <f t="array" ref="P238">IFERROR(INDEX(Create_TC_Web!S$1:S$500,SMALL(IF(Create_TC_Web!$C$1:$C$500&lt;&gt;"",MATCH(ROW(Create_TC_Web!$C$1:$C$500),ROW(Create_TC_Web!$C$1:$C$500)),""),ROW(Create_TC_Web!Q216))),"")</f>
        <v/>
      </c>
      <c r="S238" t="str">
        <f t="shared" si="14"/>
        <v/>
      </c>
    </row>
    <row r="239" spans="1:19">
      <c r="A239" t="str" cm="1">
        <f t="array" ref="A239">IFERROR(INDEX(Create_TC_Web!D$1:D$500,SMALL(IF(Create_TC_Web!$C$1:$C$500&lt;&gt;"",MATCH(ROW(Create_TC_Web!$C$1:$C$500),ROW(Create_TC_Web!$C$1:$C$500)),""),ROW(Create_TC_Web!B239))),"")</f>
        <v/>
      </c>
      <c r="B239" t="str" cm="1">
        <f t="array" ref="B239">SUBSTITUTE(SUBSTITUTE(SUBSTITUTE(IFERROR(INDEX(Create_TC_Web!E$1:E$505,SMALL(IF(Create_TC_Web!$C$1:$C$505&lt;&gt;"",MATCH(ROW(Create_TC_Web!$C$1:$C$505),ROW(Create_TC_Web!$C$1:$C$505)),""),ROW(Create_TC_Web!C239))),"")," ",""),"-",""),"_","")</f>
        <v/>
      </c>
      <c r="C239" t="str" cm="1">
        <f t="array" ref="C239">IFERROR(INDEX(Create_TC_Web!F$1:F$500,SMALL(IF(Create_TC_Web!$C$1:$C$500&lt;&gt;"",MATCH(ROW(Create_TC_Web!$C$1:$C$500),ROW(Create_TC_Web!$C$1:$C$500)),""),ROW(Create_TC_Web!D239))),"")</f>
        <v/>
      </c>
      <c r="D239" t="str" cm="1">
        <f t="array" ref="D239">IFERROR(INDEX(Create_TC_Web!G$1:G$500,SMALL(IF(Create_TC_Web!$C$1:$C$500&lt;&gt;"",MATCH(ROW(Create_TC_Web!$C$1:$C$500),ROW(Create_TC_Web!$C$1:$C$500)),""),ROW(Create_TC_Web!E239))),"")</f>
        <v/>
      </c>
      <c r="E239" t="str" cm="1">
        <f t="array" ref="E239">IFERROR(INDEX(Create_TC_Web!H$1:H$500,SMALL(IF(Create_TC_Web!$C$1:$C$500&lt;&gt;"",MATCH(ROW(Create_TC_Web!$C$1:$C$500),ROW(Create_TC_Web!$C$1:$C$500)),""),ROW(Create_TC_Web!F239))),"")</f>
        <v/>
      </c>
      <c r="F239" t="str" cm="1">
        <f t="array" ref="F239">IFERROR(INDEX(Create_TC_Web!I$1:I$500,SMALL(IF(Create_TC_Web!$C$1:$C$500&lt;&gt;"",MATCH(ROW(Create_TC_Web!$C$1:$C$500),ROW(Create_TC_Web!$C$1:$C$500)),""),ROW(Create_TC_Web!G239))),"")</f>
        <v/>
      </c>
      <c r="G239" t="str" cm="1">
        <f t="array" ref="G239">IFERROR(INDEX(Create_TC_Web!J$1:J$500,SMALL(IF(Create_TC_Web!$C$1:$C$500&lt;&gt;"",MATCH(ROW(Create_TC_Web!$C$1:$C$500),ROW(Create_TC_Web!$C$1:$C$500)),""),ROW(Create_TC_Web!H239))),"")</f>
        <v/>
      </c>
      <c r="H239" t="str" cm="1">
        <f t="array" ref="H239">IFERROR(INDEX(Create_TC_Web!K$1:K$500,SMALL(IF(Create_TC_Web!$C$1:$C$500&lt;&gt;"",MATCH(ROW(Create_TC_Web!$C$1:$C$500),ROW(Create_TC_Web!$C$1:$C$500)),""),ROW(Create_TC_Web!I239))),"")</f>
        <v/>
      </c>
      <c r="I239" t="str" cm="1">
        <f t="array" ref="I239">IFERROR(INDEX(Create_TC_Web!L$1:L$500,SMALL(IF(Create_TC_Web!$C$1:$C$500&lt;&gt;"",MATCH(ROW(Create_TC_Web!$C$1:$C$500),ROW(Create_TC_Web!$C$1:$C$500)),""),ROW(Create_TC_Web!J239))),"")</f>
        <v/>
      </c>
      <c r="J239" t="str" cm="1">
        <f t="array" ref="J239">IFERROR(INDEX(Create_TC_Web!M$1:M$500,SMALL(IF(Create_TC_Web!$C$1:$C$500&lt;&gt;"",MATCH(ROW(Create_TC_Web!$C$1:$C$500),ROW(Create_TC_Web!$C$1:$C$500)),""),ROW(Create_TC_Web!K239))),"")</f>
        <v/>
      </c>
      <c r="K239" t="str" cm="1">
        <f t="array" ref="K239">IFERROR(INDEX(Create_TC_Web!N$1:N$500,SMALL(IF(Create_TC_Web!$C$1:$C$500&lt;&gt;"",MATCH(ROW(Create_TC_Web!$C$1:$C$500),ROW(Create_TC_Web!$C$1:$C$500)),""),ROW(Create_TC_Web!L239))),"")</f>
        <v/>
      </c>
      <c r="L239" t="str" cm="1">
        <f t="array" ref="L239">IFERROR(INDEX(Create_TC_Web!O$1:O$500,SMALL(IF(Create_TC_Web!$C$1:$C$500&lt;&gt;"",MATCH(ROW(Create_TC_Web!$C$1:$C$500),ROW(Create_TC_Web!$C$1:$C$500)),""),ROW(Create_TC_Web!M239))),"")</f>
        <v/>
      </c>
      <c r="M239" t="str" cm="1">
        <f t="array" ref="M239">IFERROR(INDEX(Create_TC_Web!P$1:P$500,SMALL(IF(Create_TC_Web!$C$1:$C$500&lt;&gt;"",MATCH(ROW(Create_TC_Web!$C$1:$C$500),ROW(Create_TC_Web!$C$1:$C$500)),""),ROW(Create_TC_Web!N239))),"")</f>
        <v/>
      </c>
      <c r="N239">
        <f>Create_TC_Web!CA248</f>
        <v>0</v>
      </c>
      <c r="O239" t="str">
        <f t="shared" si="13"/>
        <v/>
      </c>
      <c r="P239" s="17" t="str" cm="1">
        <f t="array" ref="P239">IFERROR(INDEX(Create_TC_Web!S$1:S$500,SMALL(IF(Create_TC_Web!$C$1:$C$500&lt;&gt;"",MATCH(ROW(Create_TC_Web!$C$1:$C$500),ROW(Create_TC_Web!$C$1:$C$500)),""),ROW(Create_TC_Web!Q217))),"")</f>
        <v/>
      </c>
      <c r="S239" t="str">
        <f t="shared" si="14"/>
        <v/>
      </c>
    </row>
    <row r="240" spans="1:19">
      <c r="A240" t="str" cm="1">
        <f t="array" ref="A240">IFERROR(INDEX(Create_TC_Web!D$1:D$500,SMALL(IF(Create_TC_Web!$C$1:$C$500&lt;&gt;"",MATCH(ROW(Create_TC_Web!$C$1:$C$500),ROW(Create_TC_Web!$C$1:$C$500)),""),ROW(Create_TC_Web!B240))),"")</f>
        <v/>
      </c>
      <c r="B240" t="str" cm="1">
        <f t="array" ref="B240">SUBSTITUTE(SUBSTITUTE(SUBSTITUTE(IFERROR(INDEX(Create_TC_Web!E$1:E$505,SMALL(IF(Create_TC_Web!$C$1:$C$505&lt;&gt;"",MATCH(ROW(Create_TC_Web!$C$1:$C$505),ROW(Create_TC_Web!$C$1:$C$505)),""),ROW(Create_TC_Web!C240))),"")," ",""),"-",""),"_","")</f>
        <v/>
      </c>
      <c r="C240" t="str" cm="1">
        <f t="array" ref="C240">IFERROR(INDEX(Create_TC_Web!F$1:F$500,SMALL(IF(Create_TC_Web!$C$1:$C$500&lt;&gt;"",MATCH(ROW(Create_TC_Web!$C$1:$C$500),ROW(Create_TC_Web!$C$1:$C$500)),""),ROW(Create_TC_Web!D240))),"")</f>
        <v/>
      </c>
      <c r="D240" t="str" cm="1">
        <f t="array" ref="D240">IFERROR(INDEX(Create_TC_Web!G$1:G$500,SMALL(IF(Create_TC_Web!$C$1:$C$500&lt;&gt;"",MATCH(ROW(Create_TC_Web!$C$1:$C$500),ROW(Create_TC_Web!$C$1:$C$500)),""),ROW(Create_TC_Web!E240))),"")</f>
        <v/>
      </c>
      <c r="E240" t="str" cm="1">
        <f t="array" ref="E240">IFERROR(INDEX(Create_TC_Web!H$1:H$500,SMALL(IF(Create_TC_Web!$C$1:$C$500&lt;&gt;"",MATCH(ROW(Create_TC_Web!$C$1:$C$500),ROW(Create_TC_Web!$C$1:$C$500)),""),ROW(Create_TC_Web!F240))),"")</f>
        <v/>
      </c>
      <c r="F240" t="str" cm="1">
        <f t="array" ref="F240">IFERROR(INDEX(Create_TC_Web!I$1:I$500,SMALL(IF(Create_TC_Web!$C$1:$C$500&lt;&gt;"",MATCH(ROW(Create_TC_Web!$C$1:$C$500),ROW(Create_TC_Web!$C$1:$C$500)),""),ROW(Create_TC_Web!G240))),"")</f>
        <v/>
      </c>
      <c r="G240" t="str" cm="1">
        <f t="array" ref="G240">IFERROR(INDEX(Create_TC_Web!J$1:J$500,SMALL(IF(Create_TC_Web!$C$1:$C$500&lt;&gt;"",MATCH(ROW(Create_TC_Web!$C$1:$C$500),ROW(Create_TC_Web!$C$1:$C$500)),""),ROW(Create_TC_Web!H240))),"")</f>
        <v/>
      </c>
      <c r="H240" t="str" cm="1">
        <f t="array" ref="H240">IFERROR(INDEX(Create_TC_Web!K$1:K$500,SMALL(IF(Create_TC_Web!$C$1:$C$500&lt;&gt;"",MATCH(ROW(Create_TC_Web!$C$1:$C$500),ROW(Create_TC_Web!$C$1:$C$500)),""),ROW(Create_TC_Web!I240))),"")</f>
        <v/>
      </c>
      <c r="I240" t="str" cm="1">
        <f t="array" ref="I240">IFERROR(INDEX(Create_TC_Web!L$1:L$500,SMALL(IF(Create_TC_Web!$C$1:$C$500&lt;&gt;"",MATCH(ROW(Create_TC_Web!$C$1:$C$500),ROW(Create_TC_Web!$C$1:$C$500)),""),ROW(Create_TC_Web!J240))),"")</f>
        <v/>
      </c>
      <c r="J240" t="str" cm="1">
        <f t="array" ref="J240">IFERROR(INDEX(Create_TC_Web!M$1:M$500,SMALL(IF(Create_TC_Web!$C$1:$C$500&lt;&gt;"",MATCH(ROW(Create_TC_Web!$C$1:$C$500),ROW(Create_TC_Web!$C$1:$C$500)),""),ROW(Create_TC_Web!K240))),"")</f>
        <v/>
      </c>
      <c r="K240" t="str" cm="1">
        <f t="array" ref="K240">IFERROR(INDEX(Create_TC_Web!N$1:N$500,SMALL(IF(Create_TC_Web!$C$1:$C$500&lt;&gt;"",MATCH(ROW(Create_TC_Web!$C$1:$C$500),ROW(Create_TC_Web!$C$1:$C$500)),""),ROW(Create_TC_Web!L240))),"")</f>
        <v/>
      </c>
      <c r="L240" t="str" cm="1">
        <f t="array" ref="L240">IFERROR(INDEX(Create_TC_Web!O$1:O$500,SMALL(IF(Create_TC_Web!$C$1:$C$500&lt;&gt;"",MATCH(ROW(Create_TC_Web!$C$1:$C$500),ROW(Create_TC_Web!$C$1:$C$500)),""),ROW(Create_TC_Web!M240))),"")</f>
        <v/>
      </c>
      <c r="M240" t="str" cm="1">
        <f t="array" ref="M240">IFERROR(INDEX(Create_TC_Web!P$1:P$500,SMALL(IF(Create_TC_Web!$C$1:$C$500&lt;&gt;"",MATCH(ROW(Create_TC_Web!$C$1:$C$500),ROW(Create_TC_Web!$C$1:$C$500)),""),ROW(Create_TC_Web!N240))),"")</f>
        <v/>
      </c>
      <c r="N240">
        <f>Create_TC_Web!CA249</f>
        <v>0</v>
      </c>
      <c r="O240" t="str">
        <f t="shared" si="13"/>
        <v/>
      </c>
      <c r="P240" s="17" t="str" cm="1">
        <f t="array" ref="P240">IFERROR(INDEX(Create_TC_Web!S$1:S$500,SMALL(IF(Create_TC_Web!$C$1:$C$500&lt;&gt;"",MATCH(ROW(Create_TC_Web!$C$1:$C$500),ROW(Create_TC_Web!$C$1:$C$500)),""),ROW(Create_TC_Web!Q218))),"")</f>
        <v/>
      </c>
      <c r="S240" t="str">
        <f t="shared" si="14"/>
        <v/>
      </c>
    </row>
    <row r="241" spans="1:19">
      <c r="A241" t="str" cm="1">
        <f t="array" ref="A241">IFERROR(INDEX(Create_TC_Web!D$1:D$500,SMALL(IF(Create_TC_Web!$C$1:$C$500&lt;&gt;"",MATCH(ROW(Create_TC_Web!$C$1:$C$500),ROW(Create_TC_Web!$C$1:$C$500)),""),ROW(Create_TC_Web!B241))),"")</f>
        <v/>
      </c>
      <c r="B241" t="str" cm="1">
        <f t="array" ref="B241">SUBSTITUTE(SUBSTITUTE(SUBSTITUTE(IFERROR(INDEX(Create_TC_Web!E$1:E$505,SMALL(IF(Create_TC_Web!$C$1:$C$505&lt;&gt;"",MATCH(ROW(Create_TC_Web!$C$1:$C$505),ROW(Create_TC_Web!$C$1:$C$505)),""),ROW(Create_TC_Web!C241))),"")," ",""),"-",""),"_","")</f>
        <v/>
      </c>
      <c r="C241" t="str" cm="1">
        <f t="array" ref="C241">IFERROR(INDEX(Create_TC_Web!F$1:F$500,SMALL(IF(Create_TC_Web!$C$1:$C$500&lt;&gt;"",MATCH(ROW(Create_TC_Web!$C$1:$C$500),ROW(Create_TC_Web!$C$1:$C$500)),""),ROW(Create_TC_Web!D241))),"")</f>
        <v/>
      </c>
      <c r="D241" t="str" cm="1">
        <f t="array" ref="D241">IFERROR(INDEX(Create_TC_Web!G$1:G$500,SMALL(IF(Create_TC_Web!$C$1:$C$500&lt;&gt;"",MATCH(ROW(Create_TC_Web!$C$1:$C$500),ROW(Create_TC_Web!$C$1:$C$500)),""),ROW(Create_TC_Web!E241))),"")</f>
        <v/>
      </c>
      <c r="E241" t="str" cm="1">
        <f t="array" ref="E241">IFERROR(INDEX(Create_TC_Web!H$1:H$500,SMALL(IF(Create_TC_Web!$C$1:$C$500&lt;&gt;"",MATCH(ROW(Create_TC_Web!$C$1:$C$500),ROW(Create_TC_Web!$C$1:$C$500)),""),ROW(Create_TC_Web!F241))),"")</f>
        <v/>
      </c>
      <c r="F241" t="str" cm="1">
        <f t="array" ref="F241">IFERROR(INDEX(Create_TC_Web!I$1:I$500,SMALL(IF(Create_TC_Web!$C$1:$C$500&lt;&gt;"",MATCH(ROW(Create_TC_Web!$C$1:$C$500),ROW(Create_TC_Web!$C$1:$C$500)),""),ROW(Create_TC_Web!G241))),"")</f>
        <v/>
      </c>
      <c r="G241" t="str" cm="1">
        <f t="array" ref="G241">IFERROR(INDEX(Create_TC_Web!J$1:J$500,SMALL(IF(Create_TC_Web!$C$1:$C$500&lt;&gt;"",MATCH(ROW(Create_TC_Web!$C$1:$C$500),ROW(Create_TC_Web!$C$1:$C$500)),""),ROW(Create_TC_Web!H241))),"")</f>
        <v/>
      </c>
      <c r="H241" t="str" cm="1">
        <f t="array" ref="H241">IFERROR(INDEX(Create_TC_Web!K$1:K$500,SMALL(IF(Create_TC_Web!$C$1:$C$500&lt;&gt;"",MATCH(ROW(Create_TC_Web!$C$1:$C$500),ROW(Create_TC_Web!$C$1:$C$500)),""),ROW(Create_TC_Web!I241))),"")</f>
        <v/>
      </c>
      <c r="I241" t="str" cm="1">
        <f t="array" ref="I241">IFERROR(INDEX(Create_TC_Web!L$1:L$500,SMALL(IF(Create_TC_Web!$C$1:$C$500&lt;&gt;"",MATCH(ROW(Create_TC_Web!$C$1:$C$500),ROW(Create_TC_Web!$C$1:$C$500)),""),ROW(Create_TC_Web!J241))),"")</f>
        <v/>
      </c>
      <c r="J241" t="str" cm="1">
        <f t="array" ref="J241">IFERROR(INDEX(Create_TC_Web!M$1:M$500,SMALL(IF(Create_TC_Web!$C$1:$C$500&lt;&gt;"",MATCH(ROW(Create_TC_Web!$C$1:$C$500),ROW(Create_TC_Web!$C$1:$C$500)),""),ROW(Create_TC_Web!K241))),"")</f>
        <v/>
      </c>
      <c r="K241" t="str" cm="1">
        <f t="array" ref="K241">IFERROR(INDEX(Create_TC_Web!N$1:N$500,SMALL(IF(Create_TC_Web!$C$1:$C$500&lt;&gt;"",MATCH(ROW(Create_TC_Web!$C$1:$C$500),ROW(Create_TC_Web!$C$1:$C$500)),""),ROW(Create_TC_Web!L241))),"")</f>
        <v/>
      </c>
      <c r="L241" t="str" cm="1">
        <f t="array" ref="L241">IFERROR(INDEX(Create_TC_Web!O$1:O$500,SMALL(IF(Create_TC_Web!$C$1:$C$500&lt;&gt;"",MATCH(ROW(Create_TC_Web!$C$1:$C$500),ROW(Create_TC_Web!$C$1:$C$500)),""),ROW(Create_TC_Web!M241))),"")</f>
        <v/>
      </c>
      <c r="M241" t="str" cm="1">
        <f t="array" ref="M241">IFERROR(INDEX(Create_TC_Web!P$1:P$500,SMALL(IF(Create_TC_Web!$C$1:$C$500&lt;&gt;"",MATCH(ROW(Create_TC_Web!$C$1:$C$500),ROW(Create_TC_Web!$C$1:$C$500)),""),ROW(Create_TC_Web!N241))),"")</f>
        <v/>
      </c>
      <c r="N241">
        <f>Create_TC_Web!CA250</f>
        <v>0</v>
      </c>
      <c r="O241" t="str">
        <f t="shared" si="13"/>
        <v/>
      </c>
      <c r="P241" s="17" t="str" cm="1">
        <f t="array" ref="P241">IFERROR(INDEX(Create_TC_Web!S$1:S$500,SMALL(IF(Create_TC_Web!$C$1:$C$500&lt;&gt;"",MATCH(ROW(Create_TC_Web!$C$1:$C$500),ROW(Create_TC_Web!$C$1:$C$500)),""),ROW(Create_TC_Web!Q219))),"")</f>
        <v/>
      </c>
      <c r="S241" t="str">
        <f t="shared" si="14"/>
        <v/>
      </c>
    </row>
    <row r="242" spans="1:19">
      <c r="A242" t="str" cm="1">
        <f t="array" ref="A242">IFERROR(INDEX(Create_TC_Web!D$1:D$500,SMALL(IF(Create_TC_Web!$C$1:$C$500&lt;&gt;"",MATCH(ROW(Create_TC_Web!$C$1:$C$500),ROW(Create_TC_Web!$C$1:$C$500)),""),ROW(Create_TC_Web!B242))),"")</f>
        <v/>
      </c>
      <c r="B242" t="str" cm="1">
        <f t="array" ref="B242">SUBSTITUTE(SUBSTITUTE(SUBSTITUTE(IFERROR(INDEX(Create_TC_Web!E$1:E$505,SMALL(IF(Create_TC_Web!$C$1:$C$505&lt;&gt;"",MATCH(ROW(Create_TC_Web!$C$1:$C$505),ROW(Create_TC_Web!$C$1:$C$505)),""),ROW(Create_TC_Web!C242))),"")," ",""),"-",""),"_","")</f>
        <v/>
      </c>
      <c r="C242" t="str" cm="1">
        <f t="array" ref="C242">IFERROR(INDEX(Create_TC_Web!F$1:F$500,SMALL(IF(Create_TC_Web!$C$1:$C$500&lt;&gt;"",MATCH(ROW(Create_TC_Web!$C$1:$C$500),ROW(Create_TC_Web!$C$1:$C$500)),""),ROW(Create_TC_Web!D242))),"")</f>
        <v/>
      </c>
      <c r="D242" t="str" cm="1">
        <f t="array" ref="D242">IFERROR(INDEX(Create_TC_Web!G$1:G$500,SMALL(IF(Create_TC_Web!$C$1:$C$500&lt;&gt;"",MATCH(ROW(Create_TC_Web!$C$1:$C$500),ROW(Create_TC_Web!$C$1:$C$500)),""),ROW(Create_TC_Web!E242))),"")</f>
        <v/>
      </c>
      <c r="E242" t="str" cm="1">
        <f t="array" ref="E242">IFERROR(INDEX(Create_TC_Web!H$1:H$500,SMALL(IF(Create_TC_Web!$C$1:$C$500&lt;&gt;"",MATCH(ROW(Create_TC_Web!$C$1:$C$500),ROW(Create_TC_Web!$C$1:$C$500)),""),ROW(Create_TC_Web!F242))),"")</f>
        <v/>
      </c>
      <c r="F242" t="str" cm="1">
        <f t="array" ref="F242">IFERROR(INDEX(Create_TC_Web!I$1:I$500,SMALL(IF(Create_TC_Web!$C$1:$C$500&lt;&gt;"",MATCH(ROW(Create_TC_Web!$C$1:$C$500),ROW(Create_TC_Web!$C$1:$C$500)),""),ROW(Create_TC_Web!G242))),"")</f>
        <v/>
      </c>
      <c r="G242" t="str" cm="1">
        <f t="array" ref="G242">IFERROR(INDEX(Create_TC_Web!J$1:J$500,SMALL(IF(Create_TC_Web!$C$1:$C$500&lt;&gt;"",MATCH(ROW(Create_TC_Web!$C$1:$C$500),ROW(Create_TC_Web!$C$1:$C$500)),""),ROW(Create_TC_Web!H242))),"")</f>
        <v/>
      </c>
      <c r="H242" t="str" cm="1">
        <f t="array" ref="H242">IFERROR(INDEX(Create_TC_Web!K$1:K$500,SMALL(IF(Create_TC_Web!$C$1:$C$500&lt;&gt;"",MATCH(ROW(Create_TC_Web!$C$1:$C$500),ROW(Create_TC_Web!$C$1:$C$500)),""),ROW(Create_TC_Web!I242))),"")</f>
        <v/>
      </c>
      <c r="I242" t="str" cm="1">
        <f t="array" ref="I242">IFERROR(INDEX(Create_TC_Web!L$1:L$500,SMALL(IF(Create_TC_Web!$C$1:$C$500&lt;&gt;"",MATCH(ROW(Create_TC_Web!$C$1:$C$500),ROW(Create_TC_Web!$C$1:$C$500)),""),ROW(Create_TC_Web!J242))),"")</f>
        <v/>
      </c>
      <c r="J242" t="str" cm="1">
        <f t="array" ref="J242">IFERROR(INDEX(Create_TC_Web!M$1:M$500,SMALL(IF(Create_TC_Web!$C$1:$C$500&lt;&gt;"",MATCH(ROW(Create_TC_Web!$C$1:$C$500),ROW(Create_TC_Web!$C$1:$C$500)),""),ROW(Create_TC_Web!K242))),"")</f>
        <v/>
      </c>
      <c r="K242" t="str" cm="1">
        <f t="array" ref="K242">IFERROR(INDEX(Create_TC_Web!N$1:N$500,SMALL(IF(Create_TC_Web!$C$1:$C$500&lt;&gt;"",MATCH(ROW(Create_TC_Web!$C$1:$C$500),ROW(Create_TC_Web!$C$1:$C$500)),""),ROW(Create_TC_Web!L242))),"")</f>
        <v/>
      </c>
      <c r="L242" t="str" cm="1">
        <f t="array" ref="L242">IFERROR(INDEX(Create_TC_Web!O$1:O$500,SMALL(IF(Create_TC_Web!$C$1:$C$500&lt;&gt;"",MATCH(ROW(Create_TC_Web!$C$1:$C$500),ROW(Create_TC_Web!$C$1:$C$500)),""),ROW(Create_TC_Web!M242))),"")</f>
        <v/>
      </c>
      <c r="M242" t="str" cm="1">
        <f t="array" ref="M242">IFERROR(INDEX(Create_TC_Web!P$1:P$500,SMALL(IF(Create_TC_Web!$C$1:$C$500&lt;&gt;"",MATCH(ROW(Create_TC_Web!$C$1:$C$500),ROW(Create_TC_Web!$C$1:$C$500)),""),ROW(Create_TC_Web!N242))),"")</f>
        <v/>
      </c>
      <c r="N242">
        <f>Create_TC_Web!CA251</f>
        <v>0</v>
      </c>
      <c r="O242" t="str">
        <f t="shared" si="13"/>
        <v/>
      </c>
      <c r="P242" s="17" t="str" cm="1">
        <f t="array" ref="P242">IFERROR(INDEX(Create_TC_Web!S$1:S$500,SMALL(IF(Create_TC_Web!$C$1:$C$500&lt;&gt;"",MATCH(ROW(Create_TC_Web!$C$1:$C$500),ROW(Create_TC_Web!$C$1:$C$500)),""),ROW(Create_TC_Web!Q220))),"")</f>
        <v/>
      </c>
      <c r="S242" t="str">
        <f t="shared" si="14"/>
        <v/>
      </c>
    </row>
    <row r="243" spans="1:19">
      <c r="A243" t="str" cm="1">
        <f t="array" ref="A243">IFERROR(INDEX(Create_TC_Web!D$1:D$500,SMALL(IF(Create_TC_Web!$C$1:$C$500&lt;&gt;"",MATCH(ROW(Create_TC_Web!$C$1:$C$500),ROW(Create_TC_Web!$C$1:$C$500)),""),ROW(Create_TC_Web!B243))),"")</f>
        <v/>
      </c>
      <c r="B243" t="str" cm="1">
        <f t="array" ref="B243">SUBSTITUTE(SUBSTITUTE(SUBSTITUTE(IFERROR(INDEX(Create_TC_Web!E$1:E$505,SMALL(IF(Create_TC_Web!$C$1:$C$505&lt;&gt;"",MATCH(ROW(Create_TC_Web!$C$1:$C$505),ROW(Create_TC_Web!$C$1:$C$505)),""),ROW(Create_TC_Web!C243))),"")," ",""),"-",""),"_","")</f>
        <v/>
      </c>
      <c r="C243" t="str" cm="1">
        <f t="array" ref="C243">IFERROR(INDEX(Create_TC_Web!F$1:F$500,SMALL(IF(Create_TC_Web!$C$1:$C$500&lt;&gt;"",MATCH(ROW(Create_TC_Web!$C$1:$C$500),ROW(Create_TC_Web!$C$1:$C$500)),""),ROW(Create_TC_Web!D243))),"")</f>
        <v/>
      </c>
      <c r="D243" t="str" cm="1">
        <f t="array" ref="D243">IFERROR(INDEX(Create_TC_Web!G$1:G$500,SMALL(IF(Create_TC_Web!$C$1:$C$500&lt;&gt;"",MATCH(ROW(Create_TC_Web!$C$1:$C$500),ROW(Create_TC_Web!$C$1:$C$500)),""),ROW(Create_TC_Web!E243))),"")</f>
        <v/>
      </c>
      <c r="E243" t="str" cm="1">
        <f t="array" ref="E243">IFERROR(INDEX(Create_TC_Web!H$1:H$500,SMALL(IF(Create_TC_Web!$C$1:$C$500&lt;&gt;"",MATCH(ROW(Create_TC_Web!$C$1:$C$500),ROW(Create_TC_Web!$C$1:$C$500)),""),ROW(Create_TC_Web!F243))),"")</f>
        <v/>
      </c>
      <c r="F243" t="str" cm="1">
        <f t="array" ref="F243">IFERROR(INDEX(Create_TC_Web!I$1:I$500,SMALL(IF(Create_TC_Web!$C$1:$C$500&lt;&gt;"",MATCH(ROW(Create_TC_Web!$C$1:$C$500),ROW(Create_TC_Web!$C$1:$C$500)),""),ROW(Create_TC_Web!G243))),"")</f>
        <v/>
      </c>
      <c r="G243" t="str" cm="1">
        <f t="array" ref="G243">IFERROR(INDEX(Create_TC_Web!J$1:J$500,SMALL(IF(Create_TC_Web!$C$1:$C$500&lt;&gt;"",MATCH(ROW(Create_TC_Web!$C$1:$C$500),ROW(Create_TC_Web!$C$1:$C$500)),""),ROW(Create_TC_Web!H243))),"")</f>
        <v/>
      </c>
      <c r="H243" t="str" cm="1">
        <f t="array" ref="H243">IFERROR(INDEX(Create_TC_Web!K$1:K$500,SMALL(IF(Create_TC_Web!$C$1:$C$500&lt;&gt;"",MATCH(ROW(Create_TC_Web!$C$1:$C$500),ROW(Create_TC_Web!$C$1:$C$500)),""),ROW(Create_TC_Web!I243))),"")</f>
        <v/>
      </c>
      <c r="I243" t="str" cm="1">
        <f t="array" ref="I243">IFERROR(INDEX(Create_TC_Web!L$1:L$500,SMALL(IF(Create_TC_Web!$C$1:$C$500&lt;&gt;"",MATCH(ROW(Create_TC_Web!$C$1:$C$500),ROW(Create_TC_Web!$C$1:$C$500)),""),ROW(Create_TC_Web!J243))),"")</f>
        <v/>
      </c>
      <c r="J243" t="str" cm="1">
        <f t="array" ref="J243">IFERROR(INDEX(Create_TC_Web!M$1:M$500,SMALL(IF(Create_TC_Web!$C$1:$C$500&lt;&gt;"",MATCH(ROW(Create_TC_Web!$C$1:$C$500),ROW(Create_TC_Web!$C$1:$C$500)),""),ROW(Create_TC_Web!K243))),"")</f>
        <v/>
      </c>
      <c r="K243" t="str" cm="1">
        <f t="array" ref="K243">IFERROR(INDEX(Create_TC_Web!N$1:N$500,SMALL(IF(Create_TC_Web!$C$1:$C$500&lt;&gt;"",MATCH(ROW(Create_TC_Web!$C$1:$C$500),ROW(Create_TC_Web!$C$1:$C$500)),""),ROW(Create_TC_Web!L243))),"")</f>
        <v/>
      </c>
      <c r="L243" t="str" cm="1">
        <f t="array" ref="L243">IFERROR(INDEX(Create_TC_Web!O$1:O$500,SMALL(IF(Create_TC_Web!$C$1:$C$500&lt;&gt;"",MATCH(ROW(Create_TC_Web!$C$1:$C$500),ROW(Create_TC_Web!$C$1:$C$500)),""),ROW(Create_TC_Web!M243))),"")</f>
        <v/>
      </c>
      <c r="M243" t="str" cm="1">
        <f t="array" ref="M243">IFERROR(INDEX(Create_TC_Web!P$1:P$500,SMALL(IF(Create_TC_Web!$C$1:$C$500&lt;&gt;"",MATCH(ROW(Create_TC_Web!$C$1:$C$500),ROW(Create_TC_Web!$C$1:$C$500)),""),ROW(Create_TC_Web!N243))),"")</f>
        <v/>
      </c>
      <c r="N243">
        <f>Create_TC_Web!CA252</f>
        <v>0</v>
      </c>
      <c r="O243" t="str">
        <f t="shared" si="13"/>
        <v/>
      </c>
      <c r="P243" s="17" t="str" cm="1">
        <f t="array" ref="P243">IFERROR(INDEX(Create_TC_Web!S$1:S$500,SMALL(IF(Create_TC_Web!$C$1:$C$500&lt;&gt;"",MATCH(ROW(Create_TC_Web!$C$1:$C$500),ROW(Create_TC_Web!$C$1:$C$500)),""),ROW(Create_TC_Web!Q221))),"")</f>
        <v/>
      </c>
      <c r="S243" t="str">
        <f t="shared" si="14"/>
        <v/>
      </c>
    </row>
    <row r="244" spans="1:19">
      <c r="A244" t="str" cm="1">
        <f t="array" ref="A244">IFERROR(INDEX(Create_TC_Web!D$1:D$500,SMALL(IF(Create_TC_Web!$C$1:$C$500&lt;&gt;"",MATCH(ROW(Create_TC_Web!$C$1:$C$500),ROW(Create_TC_Web!$C$1:$C$500)),""),ROW(Create_TC_Web!B244))),"")</f>
        <v/>
      </c>
      <c r="B244" t="str" cm="1">
        <f t="array" ref="B244">SUBSTITUTE(SUBSTITUTE(SUBSTITUTE(IFERROR(INDEX(Create_TC_Web!E$1:E$505,SMALL(IF(Create_TC_Web!$C$1:$C$505&lt;&gt;"",MATCH(ROW(Create_TC_Web!$C$1:$C$505),ROW(Create_TC_Web!$C$1:$C$505)),""),ROW(Create_TC_Web!C244))),"")," ",""),"-",""),"_","")</f>
        <v/>
      </c>
      <c r="C244" t="str" cm="1">
        <f t="array" ref="C244">IFERROR(INDEX(Create_TC_Web!F$1:F$500,SMALL(IF(Create_TC_Web!$C$1:$C$500&lt;&gt;"",MATCH(ROW(Create_TC_Web!$C$1:$C$500),ROW(Create_TC_Web!$C$1:$C$500)),""),ROW(Create_TC_Web!D244))),"")</f>
        <v/>
      </c>
      <c r="D244" t="str" cm="1">
        <f t="array" ref="D244">IFERROR(INDEX(Create_TC_Web!G$1:G$500,SMALL(IF(Create_TC_Web!$C$1:$C$500&lt;&gt;"",MATCH(ROW(Create_TC_Web!$C$1:$C$500),ROW(Create_TC_Web!$C$1:$C$500)),""),ROW(Create_TC_Web!E244))),"")</f>
        <v/>
      </c>
      <c r="E244" t="str" cm="1">
        <f t="array" ref="E244">IFERROR(INDEX(Create_TC_Web!H$1:H$500,SMALL(IF(Create_TC_Web!$C$1:$C$500&lt;&gt;"",MATCH(ROW(Create_TC_Web!$C$1:$C$500),ROW(Create_TC_Web!$C$1:$C$500)),""),ROW(Create_TC_Web!F244))),"")</f>
        <v/>
      </c>
      <c r="F244" t="str" cm="1">
        <f t="array" ref="F244">IFERROR(INDEX(Create_TC_Web!I$1:I$500,SMALL(IF(Create_TC_Web!$C$1:$C$500&lt;&gt;"",MATCH(ROW(Create_TC_Web!$C$1:$C$500),ROW(Create_TC_Web!$C$1:$C$500)),""),ROW(Create_TC_Web!G244))),"")</f>
        <v/>
      </c>
      <c r="G244" t="str" cm="1">
        <f t="array" ref="G244">IFERROR(INDEX(Create_TC_Web!J$1:J$500,SMALL(IF(Create_TC_Web!$C$1:$C$500&lt;&gt;"",MATCH(ROW(Create_TC_Web!$C$1:$C$500),ROW(Create_TC_Web!$C$1:$C$500)),""),ROW(Create_TC_Web!H244))),"")</f>
        <v/>
      </c>
      <c r="H244" t="str" cm="1">
        <f t="array" ref="H244">IFERROR(INDEX(Create_TC_Web!K$1:K$500,SMALL(IF(Create_TC_Web!$C$1:$C$500&lt;&gt;"",MATCH(ROW(Create_TC_Web!$C$1:$C$500),ROW(Create_TC_Web!$C$1:$C$500)),""),ROW(Create_TC_Web!I244))),"")</f>
        <v/>
      </c>
      <c r="I244" t="str" cm="1">
        <f t="array" ref="I244">IFERROR(INDEX(Create_TC_Web!L$1:L$500,SMALL(IF(Create_TC_Web!$C$1:$C$500&lt;&gt;"",MATCH(ROW(Create_TC_Web!$C$1:$C$500),ROW(Create_TC_Web!$C$1:$C$500)),""),ROW(Create_TC_Web!J244))),"")</f>
        <v/>
      </c>
      <c r="J244" t="str" cm="1">
        <f t="array" ref="J244">IFERROR(INDEX(Create_TC_Web!M$1:M$500,SMALL(IF(Create_TC_Web!$C$1:$C$500&lt;&gt;"",MATCH(ROW(Create_TC_Web!$C$1:$C$500),ROW(Create_TC_Web!$C$1:$C$500)),""),ROW(Create_TC_Web!K244))),"")</f>
        <v/>
      </c>
      <c r="K244" t="str" cm="1">
        <f t="array" ref="K244">IFERROR(INDEX(Create_TC_Web!N$1:N$500,SMALL(IF(Create_TC_Web!$C$1:$C$500&lt;&gt;"",MATCH(ROW(Create_TC_Web!$C$1:$C$500),ROW(Create_TC_Web!$C$1:$C$500)),""),ROW(Create_TC_Web!L244))),"")</f>
        <v/>
      </c>
      <c r="L244" t="str" cm="1">
        <f t="array" ref="L244">IFERROR(INDEX(Create_TC_Web!O$1:O$500,SMALL(IF(Create_TC_Web!$C$1:$C$500&lt;&gt;"",MATCH(ROW(Create_TC_Web!$C$1:$C$500),ROW(Create_TC_Web!$C$1:$C$500)),""),ROW(Create_TC_Web!M244))),"")</f>
        <v/>
      </c>
      <c r="M244" t="str" cm="1">
        <f t="array" ref="M244">IFERROR(INDEX(Create_TC_Web!P$1:P$500,SMALL(IF(Create_TC_Web!$C$1:$C$500&lt;&gt;"",MATCH(ROW(Create_TC_Web!$C$1:$C$500),ROW(Create_TC_Web!$C$1:$C$500)),""),ROW(Create_TC_Web!N244))),"")</f>
        <v/>
      </c>
      <c r="N244">
        <f>Create_TC_Web!CA253</f>
        <v>0</v>
      </c>
      <c r="O244" t="str">
        <f t="shared" si="13"/>
        <v/>
      </c>
      <c r="P244" s="17" t="str" cm="1">
        <f t="array" ref="P244">IFERROR(INDEX(Create_TC_Web!S$1:S$500,SMALL(IF(Create_TC_Web!$C$1:$C$500&lt;&gt;"",MATCH(ROW(Create_TC_Web!$C$1:$C$500),ROW(Create_TC_Web!$C$1:$C$500)),""),ROW(Create_TC_Web!Q222))),"")</f>
        <v/>
      </c>
      <c r="S244" t="str">
        <f t="shared" si="14"/>
        <v/>
      </c>
    </row>
    <row r="245" spans="1:19">
      <c r="A245" t="str" cm="1">
        <f t="array" ref="A245">IFERROR(INDEX(Create_TC_Web!D$1:D$500,SMALL(IF(Create_TC_Web!$C$1:$C$500&lt;&gt;"",MATCH(ROW(Create_TC_Web!$C$1:$C$500),ROW(Create_TC_Web!$C$1:$C$500)),""),ROW(Create_TC_Web!B245))),"")</f>
        <v/>
      </c>
      <c r="B245" t="str" cm="1">
        <f t="array" ref="B245">SUBSTITUTE(SUBSTITUTE(SUBSTITUTE(IFERROR(INDEX(Create_TC_Web!E$1:E$505,SMALL(IF(Create_TC_Web!$C$1:$C$505&lt;&gt;"",MATCH(ROW(Create_TC_Web!$C$1:$C$505),ROW(Create_TC_Web!$C$1:$C$505)),""),ROW(Create_TC_Web!C245))),"")," ",""),"-",""),"_","")</f>
        <v/>
      </c>
      <c r="C245" t="str" cm="1">
        <f t="array" ref="C245">IFERROR(INDEX(Create_TC_Web!F$1:F$500,SMALL(IF(Create_TC_Web!$C$1:$C$500&lt;&gt;"",MATCH(ROW(Create_TC_Web!$C$1:$C$500),ROW(Create_TC_Web!$C$1:$C$500)),""),ROW(Create_TC_Web!D245))),"")</f>
        <v/>
      </c>
      <c r="D245" t="str" cm="1">
        <f t="array" ref="D245">IFERROR(INDEX(Create_TC_Web!G$1:G$500,SMALL(IF(Create_TC_Web!$C$1:$C$500&lt;&gt;"",MATCH(ROW(Create_TC_Web!$C$1:$C$500),ROW(Create_TC_Web!$C$1:$C$500)),""),ROW(Create_TC_Web!E245))),"")</f>
        <v/>
      </c>
      <c r="E245" t="str" cm="1">
        <f t="array" ref="E245">IFERROR(INDEX(Create_TC_Web!H$1:H$500,SMALL(IF(Create_TC_Web!$C$1:$C$500&lt;&gt;"",MATCH(ROW(Create_TC_Web!$C$1:$C$500),ROW(Create_TC_Web!$C$1:$C$500)),""),ROW(Create_TC_Web!F245))),"")</f>
        <v/>
      </c>
      <c r="F245" t="str" cm="1">
        <f t="array" ref="F245">IFERROR(INDEX(Create_TC_Web!I$1:I$500,SMALL(IF(Create_TC_Web!$C$1:$C$500&lt;&gt;"",MATCH(ROW(Create_TC_Web!$C$1:$C$500),ROW(Create_TC_Web!$C$1:$C$500)),""),ROW(Create_TC_Web!G245))),"")</f>
        <v/>
      </c>
      <c r="G245" t="str" cm="1">
        <f t="array" ref="G245">IFERROR(INDEX(Create_TC_Web!J$1:J$500,SMALL(IF(Create_TC_Web!$C$1:$C$500&lt;&gt;"",MATCH(ROW(Create_TC_Web!$C$1:$C$500),ROW(Create_TC_Web!$C$1:$C$500)),""),ROW(Create_TC_Web!H245))),"")</f>
        <v/>
      </c>
      <c r="H245" t="str" cm="1">
        <f t="array" ref="H245">IFERROR(INDEX(Create_TC_Web!K$1:K$500,SMALL(IF(Create_TC_Web!$C$1:$C$500&lt;&gt;"",MATCH(ROW(Create_TC_Web!$C$1:$C$500),ROW(Create_TC_Web!$C$1:$C$500)),""),ROW(Create_TC_Web!I245))),"")</f>
        <v/>
      </c>
      <c r="I245" t="str" cm="1">
        <f t="array" ref="I245">IFERROR(INDEX(Create_TC_Web!L$1:L$500,SMALL(IF(Create_TC_Web!$C$1:$C$500&lt;&gt;"",MATCH(ROW(Create_TC_Web!$C$1:$C$500),ROW(Create_TC_Web!$C$1:$C$500)),""),ROW(Create_TC_Web!J245))),"")</f>
        <v/>
      </c>
      <c r="J245" t="str" cm="1">
        <f t="array" ref="J245">IFERROR(INDEX(Create_TC_Web!M$1:M$500,SMALL(IF(Create_TC_Web!$C$1:$C$500&lt;&gt;"",MATCH(ROW(Create_TC_Web!$C$1:$C$500),ROW(Create_TC_Web!$C$1:$C$500)),""),ROW(Create_TC_Web!K245))),"")</f>
        <v/>
      </c>
      <c r="K245" t="str" cm="1">
        <f t="array" ref="K245">IFERROR(INDEX(Create_TC_Web!N$1:N$500,SMALL(IF(Create_TC_Web!$C$1:$C$500&lt;&gt;"",MATCH(ROW(Create_TC_Web!$C$1:$C$500),ROW(Create_TC_Web!$C$1:$C$500)),""),ROW(Create_TC_Web!L245))),"")</f>
        <v/>
      </c>
      <c r="L245" t="str" cm="1">
        <f t="array" ref="L245">IFERROR(INDEX(Create_TC_Web!O$1:O$500,SMALL(IF(Create_TC_Web!$C$1:$C$500&lt;&gt;"",MATCH(ROW(Create_TC_Web!$C$1:$C$500),ROW(Create_TC_Web!$C$1:$C$500)),""),ROW(Create_TC_Web!M245))),"")</f>
        <v/>
      </c>
      <c r="M245" t="str" cm="1">
        <f t="array" ref="M245">IFERROR(INDEX(Create_TC_Web!P$1:P$500,SMALL(IF(Create_TC_Web!$C$1:$C$500&lt;&gt;"",MATCH(ROW(Create_TC_Web!$C$1:$C$500),ROW(Create_TC_Web!$C$1:$C$500)),""),ROW(Create_TC_Web!N245))),"")</f>
        <v/>
      </c>
      <c r="N245">
        <f>Create_TC_Web!CA254</f>
        <v>0</v>
      </c>
      <c r="O245" t="str">
        <f t="shared" si="13"/>
        <v/>
      </c>
      <c r="P245" s="17" t="str" cm="1">
        <f t="array" ref="P245">IFERROR(INDEX(Create_TC_Web!S$1:S$500,SMALL(IF(Create_TC_Web!$C$1:$C$500&lt;&gt;"",MATCH(ROW(Create_TC_Web!$C$1:$C$500),ROW(Create_TC_Web!$C$1:$C$500)),""),ROW(Create_TC_Web!Q223))),"")</f>
        <v/>
      </c>
      <c r="S245" t="str">
        <f t="shared" si="14"/>
        <v/>
      </c>
    </row>
    <row r="246" spans="1:19">
      <c r="A246" t="str" cm="1">
        <f t="array" ref="A246">IFERROR(INDEX(Create_TC_Web!D$1:D$500,SMALL(IF(Create_TC_Web!$C$1:$C$500&lt;&gt;"",MATCH(ROW(Create_TC_Web!$C$1:$C$500),ROW(Create_TC_Web!$C$1:$C$500)),""),ROW(Create_TC_Web!B246))),"")</f>
        <v/>
      </c>
      <c r="B246" t="str" cm="1">
        <f t="array" ref="B246">SUBSTITUTE(SUBSTITUTE(SUBSTITUTE(IFERROR(INDEX(Create_TC_Web!E$1:E$505,SMALL(IF(Create_TC_Web!$C$1:$C$505&lt;&gt;"",MATCH(ROW(Create_TC_Web!$C$1:$C$505),ROW(Create_TC_Web!$C$1:$C$505)),""),ROW(Create_TC_Web!C246))),"")," ",""),"-",""),"_","")</f>
        <v/>
      </c>
      <c r="C246" t="str" cm="1">
        <f t="array" ref="C246">IFERROR(INDEX(Create_TC_Web!F$1:F$500,SMALL(IF(Create_TC_Web!$C$1:$C$500&lt;&gt;"",MATCH(ROW(Create_TC_Web!$C$1:$C$500),ROW(Create_TC_Web!$C$1:$C$500)),""),ROW(Create_TC_Web!D246))),"")</f>
        <v/>
      </c>
      <c r="D246" t="str" cm="1">
        <f t="array" ref="D246">IFERROR(INDEX(Create_TC_Web!G$1:G$500,SMALL(IF(Create_TC_Web!$C$1:$C$500&lt;&gt;"",MATCH(ROW(Create_TC_Web!$C$1:$C$500),ROW(Create_TC_Web!$C$1:$C$500)),""),ROW(Create_TC_Web!E246))),"")</f>
        <v/>
      </c>
      <c r="E246" t="str" cm="1">
        <f t="array" ref="E246">IFERROR(INDEX(Create_TC_Web!H$1:H$500,SMALL(IF(Create_TC_Web!$C$1:$C$500&lt;&gt;"",MATCH(ROW(Create_TC_Web!$C$1:$C$500),ROW(Create_TC_Web!$C$1:$C$500)),""),ROW(Create_TC_Web!F246))),"")</f>
        <v/>
      </c>
      <c r="F246" t="str" cm="1">
        <f t="array" ref="F246">IFERROR(INDEX(Create_TC_Web!I$1:I$500,SMALL(IF(Create_TC_Web!$C$1:$C$500&lt;&gt;"",MATCH(ROW(Create_TC_Web!$C$1:$C$500),ROW(Create_TC_Web!$C$1:$C$500)),""),ROW(Create_TC_Web!G246))),"")</f>
        <v/>
      </c>
      <c r="G246" t="str" cm="1">
        <f t="array" ref="G246">IFERROR(INDEX(Create_TC_Web!J$1:J$500,SMALL(IF(Create_TC_Web!$C$1:$C$500&lt;&gt;"",MATCH(ROW(Create_TC_Web!$C$1:$C$500),ROW(Create_TC_Web!$C$1:$C$500)),""),ROW(Create_TC_Web!H246))),"")</f>
        <v/>
      </c>
      <c r="H246" t="str" cm="1">
        <f t="array" ref="H246">IFERROR(INDEX(Create_TC_Web!K$1:K$500,SMALL(IF(Create_TC_Web!$C$1:$C$500&lt;&gt;"",MATCH(ROW(Create_TC_Web!$C$1:$C$500),ROW(Create_TC_Web!$C$1:$C$500)),""),ROW(Create_TC_Web!I246))),"")</f>
        <v/>
      </c>
      <c r="I246" t="str" cm="1">
        <f t="array" ref="I246">IFERROR(INDEX(Create_TC_Web!L$1:L$500,SMALL(IF(Create_TC_Web!$C$1:$C$500&lt;&gt;"",MATCH(ROW(Create_TC_Web!$C$1:$C$500),ROW(Create_TC_Web!$C$1:$C$500)),""),ROW(Create_TC_Web!J246))),"")</f>
        <v/>
      </c>
      <c r="J246" t="str" cm="1">
        <f t="array" ref="J246">IFERROR(INDEX(Create_TC_Web!M$1:M$500,SMALL(IF(Create_TC_Web!$C$1:$C$500&lt;&gt;"",MATCH(ROW(Create_TC_Web!$C$1:$C$500),ROW(Create_TC_Web!$C$1:$C$500)),""),ROW(Create_TC_Web!K246))),"")</f>
        <v/>
      </c>
      <c r="K246" t="str" cm="1">
        <f t="array" ref="K246">IFERROR(INDEX(Create_TC_Web!N$1:N$500,SMALL(IF(Create_TC_Web!$C$1:$C$500&lt;&gt;"",MATCH(ROW(Create_TC_Web!$C$1:$C$500),ROW(Create_TC_Web!$C$1:$C$500)),""),ROW(Create_TC_Web!L246))),"")</f>
        <v/>
      </c>
      <c r="L246" t="str" cm="1">
        <f t="array" ref="L246">IFERROR(INDEX(Create_TC_Web!O$1:O$500,SMALL(IF(Create_TC_Web!$C$1:$C$500&lt;&gt;"",MATCH(ROW(Create_TC_Web!$C$1:$C$500),ROW(Create_TC_Web!$C$1:$C$500)),""),ROW(Create_TC_Web!M246))),"")</f>
        <v/>
      </c>
      <c r="M246" t="str" cm="1">
        <f t="array" ref="M246">IFERROR(INDEX(Create_TC_Web!P$1:P$500,SMALL(IF(Create_TC_Web!$C$1:$C$500&lt;&gt;"",MATCH(ROW(Create_TC_Web!$C$1:$C$500),ROW(Create_TC_Web!$C$1:$C$500)),""),ROW(Create_TC_Web!N246))),"")</f>
        <v/>
      </c>
      <c r="N246">
        <f>Create_TC_Web!CA255</f>
        <v>0</v>
      </c>
      <c r="O246" t="str">
        <f t="shared" si="13"/>
        <v/>
      </c>
      <c r="P246" s="17" t="str" cm="1">
        <f t="array" ref="P246">IFERROR(INDEX(Create_TC_Web!S$1:S$500,SMALL(IF(Create_TC_Web!$C$1:$C$500&lt;&gt;"",MATCH(ROW(Create_TC_Web!$C$1:$C$500),ROW(Create_TC_Web!$C$1:$C$500)),""),ROW(Create_TC_Web!Q224))),"")</f>
        <v/>
      </c>
      <c r="S246" t="str">
        <f t="shared" si="14"/>
        <v/>
      </c>
    </row>
    <row r="247" spans="1:19">
      <c r="A247" t="str" cm="1">
        <f t="array" ref="A247">IFERROR(INDEX(Create_TC_Web!D$1:D$500,SMALL(IF(Create_TC_Web!$C$1:$C$500&lt;&gt;"",MATCH(ROW(Create_TC_Web!$C$1:$C$500),ROW(Create_TC_Web!$C$1:$C$500)),""),ROW(Create_TC_Web!B247))),"")</f>
        <v/>
      </c>
      <c r="B247" t="str" cm="1">
        <f t="array" ref="B247">SUBSTITUTE(SUBSTITUTE(SUBSTITUTE(IFERROR(INDEX(Create_TC_Web!E$1:E$505,SMALL(IF(Create_TC_Web!$C$1:$C$505&lt;&gt;"",MATCH(ROW(Create_TC_Web!$C$1:$C$505),ROW(Create_TC_Web!$C$1:$C$505)),""),ROW(Create_TC_Web!C247))),"")," ",""),"-",""),"_","")</f>
        <v/>
      </c>
      <c r="C247" t="str" cm="1">
        <f t="array" ref="C247">IFERROR(INDEX(Create_TC_Web!F$1:F$500,SMALL(IF(Create_TC_Web!$C$1:$C$500&lt;&gt;"",MATCH(ROW(Create_TC_Web!$C$1:$C$500),ROW(Create_TC_Web!$C$1:$C$500)),""),ROW(Create_TC_Web!D247))),"")</f>
        <v/>
      </c>
      <c r="D247" t="str" cm="1">
        <f t="array" ref="D247">IFERROR(INDEX(Create_TC_Web!G$1:G$500,SMALL(IF(Create_TC_Web!$C$1:$C$500&lt;&gt;"",MATCH(ROW(Create_TC_Web!$C$1:$C$500),ROW(Create_TC_Web!$C$1:$C$500)),""),ROW(Create_TC_Web!E247))),"")</f>
        <v/>
      </c>
      <c r="E247" t="str" cm="1">
        <f t="array" ref="E247">IFERROR(INDEX(Create_TC_Web!H$1:H$500,SMALL(IF(Create_TC_Web!$C$1:$C$500&lt;&gt;"",MATCH(ROW(Create_TC_Web!$C$1:$C$500),ROW(Create_TC_Web!$C$1:$C$500)),""),ROW(Create_TC_Web!F247))),"")</f>
        <v/>
      </c>
      <c r="F247" t="str" cm="1">
        <f t="array" ref="F247">IFERROR(INDEX(Create_TC_Web!I$1:I$500,SMALL(IF(Create_TC_Web!$C$1:$C$500&lt;&gt;"",MATCH(ROW(Create_TC_Web!$C$1:$C$500),ROW(Create_TC_Web!$C$1:$C$500)),""),ROW(Create_TC_Web!G247))),"")</f>
        <v/>
      </c>
      <c r="G247" t="str" cm="1">
        <f t="array" ref="G247">IFERROR(INDEX(Create_TC_Web!J$1:J$500,SMALL(IF(Create_TC_Web!$C$1:$C$500&lt;&gt;"",MATCH(ROW(Create_TC_Web!$C$1:$C$500),ROW(Create_TC_Web!$C$1:$C$500)),""),ROW(Create_TC_Web!H247))),"")</f>
        <v/>
      </c>
      <c r="H247" t="str" cm="1">
        <f t="array" ref="H247">IFERROR(INDEX(Create_TC_Web!K$1:K$500,SMALL(IF(Create_TC_Web!$C$1:$C$500&lt;&gt;"",MATCH(ROW(Create_TC_Web!$C$1:$C$500),ROW(Create_TC_Web!$C$1:$C$500)),""),ROW(Create_TC_Web!I247))),"")</f>
        <v/>
      </c>
      <c r="I247" t="str" cm="1">
        <f t="array" ref="I247">IFERROR(INDEX(Create_TC_Web!L$1:L$500,SMALL(IF(Create_TC_Web!$C$1:$C$500&lt;&gt;"",MATCH(ROW(Create_TC_Web!$C$1:$C$500),ROW(Create_TC_Web!$C$1:$C$500)),""),ROW(Create_TC_Web!J247))),"")</f>
        <v/>
      </c>
      <c r="J247" t="str" cm="1">
        <f t="array" ref="J247">IFERROR(INDEX(Create_TC_Web!M$1:M$500,SMALL(IF(Create_TC_Web!$C$1:$C$500&lt;&gt;"",MATCH(ROW(Create_TC_Web!$C$1:$C$500),ROW(Create_TC_Web!$C$1:$C$500)),""),ROW(Create_TC_Web!K247))),"")</f>
        <v/>
      </c>
      <c r="K247" t="str" cm="1">
        <f t="array" ref="K247">IFERROR(INDEX(Create_TC_Web!N$1:N$500,SMALL(IF(Create_TC_Web!$C$1:$C$500&lt;&gt;"",MATCH(ROW(Create_TC_Web!$C$1:$C$500),ROW(Create_TC_Web!$C$1:$C$500)),""),ROW(Create_TC_Web!L247))),"")</f>
        <v/>
      </c>
      <c r="L247" t="str" cm="1">
        <f t="array" ref="L247">IFERROR(INDEX(Create_TC_Web!O$1:O$500,SMALL(IF(Create_TC_Web!$C$1:$C$500&lt;&gt;"",MATCH(ROW(Create_TC_Web!$C$1:$C$500),ROW(Create_TC_Web!$C$1:$C$500)),""),ROW(Create_TC_Web!M247))),"")</f>
        <v/>
      </c>
      <c r="M247" t="str" cm="1">
        <f t="array" ref="M247">IFERROR(INDEX(Create_TC_Web!P$1:P$500,SMALL(IF(Create_TC_Web!$C$1:$C$500&lt;&gt;"",MATCH(ROW(Create_TC_Web!$C$1:$C$500),ROW(Create_TC_Web!$C$1:$C$500)),""),ROW(Create_TC_Web!N247))),"")</f>
        <v/>
      </c>
      <c r="N247">
        <f>Create_TC_Web!CA256</f>
        <v>0</v>
      </c>
      <c r="O247" t="str">
        <f t="shared" si="13"/>
        <v/>
      </c>
      <c r="P247" s="17" t="str" cm="1">
        <f t="array" ref="P247">IFERROR(INDEX(Create_TC_Web!S$1:S$500,SMALL(IF(Create_TC_Web!$C$1:$C$500&lt;&gt;"",MATCH(ROW(Create_TC_Web!$C$1:$C$500),ROW(Create_TC_Web!$C$1:$C$500)),""),ROW(Create_TC_Web!Q225))),"")</f>
        <v/>
      </c>
      <c r="S247" t="str">
        <f t="shared" si="14"/>
        <v/>
      </c>
    </row>
    <row r="248" spans="1:19">
      <c r="A248" t="str" cm="1">
        <f t="array" ref="A248">IFERROR(INDEX(Create_TC_Web!D$1:D$500,SMALL(IF(Create_TC_Web!$C$1:$C$500&lt;&gt;"",MATCH(ROW(Create_TC_Web!$C$1:$C$500),ROW(Create_TC_Web!$C$1:$C$500)),""),ROW(Create_TC_Web!B248))),"")</f>
        <v/>
      </c>
      <c r="B248" t="str" cm="1">
        <f t="array" ref="B248">SUBSTITUTE(SUBSTITUTE(SUBSTITUTE(IFERROR(INDEX(Create_TC_Web!E$1:E$505,SMALL(IF(Create_TC_Web!$C$1:$C$505&lt;&gt;"",MATCH(ROW(Create_TC_Web!$C$1:$C$505),ROW(Create_TC_Web!$C$1:$C$505)),""),ROW(Create_TC_Web!C248))),"")," ",""),"-",""),"_","")</f>
        <v/>
      </c>
      <c r="C248" t="str" cm="1">
        <f t="array" ref="C248">IFERROR(INDEX(Create_TC_Web!F$1:F$500,SMALL(IF(Create_TC_Web!$C$1:$C$500&lt;&gt;"",MATCH(ROW(Create_TC_Web!$C$1:$C$500),ROW(Create_TC_Web!$C$1:$C$500)),""),ROW(Create_TC_Web!D248))),"")</f>
        <v/>
      </c>
      <c r="D248" t="str" cm="1">
        <f t="array" ref="D248">IFERROR(INDEX(Create_TC_Web!G$1:G$500,SMALL(IF(Create_TC_Web!$C$1:$C$500&lt;&gt;"",MATCH(ROW(Create_TC_Web!$C$1:$C$500),ROW(Create_TC_Web!$C$1:$C$500)),""),ROW(Create_TC_Web!E248))),"")</f>
        <v/>
      </c>
      <c r="E248" t="str" cm="1">
        <f t="array" ref="E248">IFERROR(INDEX(Create_TC_Web!H$1:H$500,SMALL(IF(Create_TC_Web!$C$1:$C$500&lt;&gt;"",MATCH(ROW(Create_TC_Web!$C$1:$C$500),ROW(Create_TC_Web!$C$1:$C$500)),""),ROW(Create_TC_Web!F248))),"")</f>
        <v/>
      </c>
      <c r="F248" t="str" cm="1">
        <f t="array" ref="F248">IFERROR(INDEX(Create_TC_Web!I$1:I$500,SMALL(IF(Create_TC_Web!$C$1:$C$500&lt;&gt;"",MATCH(ROW(Create_TC_Web!$C$1:$C$500),ROW(Create_TC_Web!$C$1:$C$500)),""),ROW(Create_TC_Web!G248))),"")</f>
        <v/>
      </c>
      <c r="G248" t="str" cm="1">
        <f t="array" ref="G248">IFERROR(INDEX(Create_TC_Web!J$1:J$500,SMALL(IF(Create_TC_Web!$C$1:$C$500&lt;&gt;"",MATCH(ROW(Create_TC_Web!$C$1:$C$500),ROW(Create_TC_Web!$C$1:$C$500)),""),ROW(Create_TC_Web!H248))),"")</f>
        <v/>
      </c>
      <c r="H248" t="str" cm="1">
        <f t="array" ref="H248">IFERROR(INDEX(Create_TC_Web!K$1:K$500,SMALL(IF(Create_TC_Web!$C$1:$C$500&lt;&gt;"",MATCH(ROW(Create_TC_Web!$C$1:$C$500),ROW(Create_TC_Web!$C$1:$C$500)),""),ROW(Create_TC_Web!I248))),"")</f>
        <v/>
      </c>
      <c r="I248" t="str" cm="1">
        <f t="array" ref="I248">IFERROR(INDEX(Create_TC_Web!L$1:L$500,SMALL(IF(Create_TC_Web!$C$1:$C$500&lt;&gt;"",MATCH(ROW(Create_TC_Web!$C$1:$C$500),ROW(Create_TC_Web!$C$1:$C$500)),""),ROW(Create_TC_Web!J248))),"")</f>
        <v/>
      </c>
      <c r="J248" t="str" cm="1">
        <f t="array" ref="J248">IFERROR(INDEX(Create_TC_Web!M$1:M$500,SMALL(IF(Create_TC_Web!$C$1:$C$500&lt;&gt;"",MATCH(ROW(Create_TC_Web!$C$1:$C$500),ROW(Create_TC_Web!$C$1:$C$500)),""),ROW(Create_TC_Web!K248))),"")</f>
        <v/>
      </c>
      <c r="K248" t="str" cm="1">
        <f t="array" ref="K248">IFERROR(INDEX(Create_TC_Web!N$1:N$500,SMALL(IF(Create_TC_Web!$C$1:$C$500&lt;&gt;"",MATCH(ROW(Create_TC_Web!$C$1:$C$500),ROW(Create_TC_Web!$C$1:$C$500)),""),ROW(Create_TC_Web!L248))),"")</f>
        <v/>
      </c>
      <c r="L248" t="str" cm="1">
        <f t="array" ref="L248">IFERROR(INDEX(Create_TC_Web!O$1:O$500,SMALL(IF(Create_TC_Web!$C$1:$C$500&lt;&gt;"",MATCH(ROW(Create_TC_Web!$C$1:$C$500),ROW(Create_TC_Web!$C$1:$C$500)),""),ROW(Create_TC_Web!M248))),"")</f>
        <v/>
      </c>
      <c r="M248" t="str" cm="1">
        <f t="array" ref="M248">IFERROR(INDEX(Create_TC_Web!P$1:P$500,SMALL(IF(Create_TC_Web!$C$1:$C$500&lt;&gt;"",MATCH(ROW(Create_TC_Web!$C$1:$C$500),ROW(Create_TC_Web!$C$1:$C$500)),""),ROW(Create_TC_Web!N248))),"")</f>
        <v/>
      </c>
      <c r="N248">
        <f>Create_TC_Web!CA257</f>
        <v>0</v>
      </c>
      <c r="O248" t="str">
        <f t="shared" si="13"/>
        <v/>
      </c>
      <c r="P248" s="17" t="str" cm="1">
        <f t="array" ref="P248">IFERROR(INDEX(Create_TC_Web!S$1:S$500,SMALL(IF(Create_TC_Web!$C$1:$C$500&lt;&gt;"",MATCH(ROW(Create_TC_Web!$C$1:$C$500),ROW(Create_TC_Web!$C$1:$C$500)),""),ROW(Create_TC_Web!Q226))),"")</f>
        <v/>
      </c>
      <c r="S248" t="str">
        <f t="shared" si="14"/>
        <v/>
      </c>
    </row>
    <row r="249" spans="1:19">
      <c r="A249" t="str" cm="1">
        <f t="array" ref="A249">IFERROR(INDEX(Create_TC_Web!D$1:D$500,SMALL(IF(Create_TC_Web!$C$1:$C$500&lt;&gt;"",MATCH(ROW(Create_TC_Web!$C$1:$C$500),ROW(Create_TC_Web!$C$1:$C$500)),""),ROW(Create_TC_Web!B249))),"")</f>
        <v/>
      </c>
      <c r="B249" t="str" cm="1">
        <f t="array" ref="B249">SUBSTITUTE(SUBSTITUTE(SUBSTITUTE(IFERROR(INDEX(Create_TC_Web!E$1:E$505,SMALL(IF(Create_TC_Web!$C$1:$C$505&lt;&gt;"",MATCH(ROW(Create_TC_Web!$C$1:$C$505),ROW(Create_TC_Web!$C$1:$C$505)),""),ROW(Create_TC_Web!C249))),"")," ",""),"-",""),"_","")</f>
        <v/>
      </c>
      <c r="C249" t="str" cm="1">
        <f t="array" ref="C249">IFERROR(INDEX(Create_TC_Web!F$1:F$500,SMALL(IF(Create_TC_Web!$C$1:$C$500&lt;&gt;"",MATCH(ROW(Create_TC_Web!$C$1:$C$500),ROW(Create_TC_Web!$C$1:$C$500)),""),ROW(Create_TC_Web!D249))),"")</f>
        <v/>
      </c>
      <c r="D249" t="str" cm="1">
        <f t="array" ref="D249">IFERROR(INDEX(Create_TC_Web!G$1:G$500,SMALL(IF(Create_TC_Web!$C$1:$C$500&lt;&gt;"",MATCH(ROW(Create_TC_Web!$C$1:$C$500),ROW(Create_TC_Web!$C$1:$C$500)),""),ROW(Create_TC_Web!E249))),"")</f>
        <v/>
      </c>
      <c r="E249" t="str" cm="1">
        <f t="array" ref="E249">IFERROR(INDEX(Create_TC_Web!H$1:H$500,SMALL(IF(Create_TC_Web!$C$1:$C$500&lt;&gt;"",MATCH(ROW(Create_TC_Web!$C$1:$C$500),ROW(Create_TC_Web!$C$1:$C$500)),""),ROW(Create_TC_Web!F249))),"")</f>
        <v/>
      </c>
      <c r="F249" t="str" cm="1">
        <f t="array" ref="F249">IFERROR(INDEX(Create_TC_Web!I$1:I$500,SMALL(IF(Create_TC_Web!$C$1:$C$500&lt;&gt;"",MATCH(ROW(Create_TC_Web!$C$1:$C$500),ROW(Create_TC_Web!$C$1:$C$500)),""),ROW(Create_TC_Web!G249))),"")</f>
        <v/>
      </c>
      <c r="G249" t="str" cm="1">
        <f t="array" ref="G249">IFERROR(INDEX(Create_TC_Web!J$1:J$500,SMALL(IF(Create_TC_Web!$C$1:$C$500&lt;&gt;"",MATCH(ROW(Create_TC_Web!$C$1:$C$500),ROW(Create_TC_Web!$C$1:$C$500)),""),ROW(Create_TC_Web!H249))),"")</f>
        <v/>
      </c>
      <c r="H249" t="str" cm="1">
        <f t="array" ref="H249">IFERROR(INDEX(Create_TC_Web!K$1:K$500,SMALL(IF(Create_TC_Web!$C$1:$C$500&lt;&gt;"",MATCH(ROW(Create_TC_Web!$C$1:$C$500),ROW(Create_TC_Web!$C$1:$C$500)),""),ROW(Create_TC_Web!I249))),"")</f>
        <v/>
      </c>
      <c r="I249" t="str" cm="1">
        <f t="array" ref="I249">IFERROR(INDEX(Create_TC_Web!L$1:L$500,SMALL(IF(Create_TC_Web!$C$1:$C$500&lt;&gt;"",MATCH(ROW(Create_TC_Web!$C$1:$C$500),ROW(Create_TC_Web!$C$1:$C$500)),""),ROW(Create_TC_Web!J249))),"")</f>
        <v/>
      </c>
      <c r="J249" t="str" cm="1">
        <f t="array" ref="J249">IFERROR(INDEX(Create_TC_Web!M$1:M$500,SMALL(IF(Create_TC_Web!$C$1:$C$500&lt;&gt;"",MATCH(ROW(Create_TC_Web!$C$1:$C$500),ROW(Create_TC_Web!$C$1:$C$500)),""),ROW(Create_TC_Web!K249))),"")</f>
        <v/>
      </c>
      <c r="K249" t="str" cm="1">
        <f t="array" ref="K249">IFERROR(INDEX(Create_TC_Web!N$1:N$500,SMALL(IF(Create_TC_Web!$C$1:$C$500&lt;&gt;"",MATCH(ROW(Create_TC_Web!$C$1:$C$500),ROW(Create_TC_Web!$C$1:$C$500)),""),ROW(Create_TC_Web!L249))),"")</f>
        <v/>
      </c>
      <c r="L249" t="str" cm="1">
        <f t="array" ref="L249">IFERROR(INDEX(Create_TC_Web!O$1:O$500,SMALL(IF(Create_TC_Web!$C$1:$C$500&lt;&gt;"",MATCH(ROW(Create_TC_Web!$C$1:$C$500),ROW(Create_TC_Web!$C$1:$C$500)),""),ROW(Create_TC_Web!M249))),"")</f>
        <v/>
      </c>
      <c r="M249" t="str" cm="1">
        <f t="array" ref="M249">IFERROR(INDEX(Create_TC_Web!P$1:P$500,SMALL(IF(Create_TC_Web!$C$1:$C$500&lt;&gt;"",MATCH(ROW(Create_TC_Web!$C$1:$C$500),ROW(Create_TC_Web!$C$1:$C$500)),""),ROW(Create_TC_Web!N249))),"")</f>
        <v/>
      </c>
      <c r="N249">
        <f>Create_TC_Web!CA258</f>
        <v>0</v>
      </c>
      <c r="O249" t="str">
        <f t="shared" si="13"/>
        <v/>
      </c>
      <c r="P249" s="17" t="str" cm="1">
        <f t="array" ref="P249">IFERROR(INDEX(Create_TC_Web!S$1:S$500,SMALL(IF(Create_TC_Web!$C$1:$C$500&lt;&gt;"",MATCH(ROW(Create_TC_Web!$C$1:$C$500),ROW(Create_TC_Web!$C$1:$C$500)),""),ROW(Create_TC_Web!Q227))),"")</f>
        <v/>
      </c>
      <c r="S249" t="str">
        <f t="shared" si="14"/>
        <v/>
      </c>
    </row>
    <row r="250" spans="1:19">
      <c r="A250" t="str" cm="1">
        <f t="array" ref="A250">IFERROR(INDEX(Create_TC_Web!D$1:D$500,SMALL(IF(Create_TC_Web!$C$1:$C$500&lt;&gt;"",MATCH(ROW(Create_TC_Web!$C$1:$C$500),ROW(Create_TC_Web!$C$1:$C$500)),""),ROW(Create_TC_Web!B250))),"")</f>
        <v/>
      </c>
      <c r="B250" t="str" cm="1">
        <f t="array" ref="B250">SUBSTITUTE(SUBSTITUTE(SUBSTITUTE(IFERROR(INDEX(Create_TC_Web!E$1:E$505,SMALL(IF(Create_TC_Web!$C$1:$C$505&lt;&gt;"",MATCH(ROW(Create_TC_Web!$C$1:$C$505),ROW(Create_TC_Web!$C$1:$C$505)),""),ROW(Create_TC_Web!C250))),"")," ",""),"-",""),"_","")</f>
        <v/>
      </c>
      <c r="C250" t="str" cm="1">
        <f t="array" ref="C250">IFERROR(INDEX(Create_TC_Web!F$1:F$500,SMALL(IF(Create_TC_Web!$C$1:$C$500&lt;&gt;"",MATCH(ROW(Create_TC_Web!$C$1:$C$500),ROW(Create_TC_Web!$C$1:$C$500)),""),ROW(Create_TC_Web!D250))),"")</f>
        <v/>
      </c>
      <c r="D250" t="str" cm="1">
        <f t="array" ref="D250">IFERROR(INDEX(Create_TC_Web!G$1:G$500,SMALL(IF(Create_TC_Web!$C$1:$C$500&lt;&gt;"",MATCH(ROW(Create_TC_Web!$C$1:$C$500),ROW(Create_TC_Web!$C$1:$C$500)),""),ROW(Create_TC_Web!E250))),"")</f>
        <v/>
      </c>
      <c r="E250" t="str" cm="1">
        <f t="array" ref="E250">IFERROR(INDEX(Create_TC_Web!H$1:H$500,SMALL(IF(Create_TC_Web!$C$1:$C$500&lt;&gt;"",MATCH(ROW(Create_TC_Web!$C$1:$C$500),ROW(Create_TC_Web!$C$1:$C$500)),""),ROW(Create_TC_Web!F250))),"")</f>
        <v/>
      </c>
      <c r="F250" t="str" cm="1">
        <f t="array" ref="F250">IFERROR(INDEX(Create_TC_Web!I$1:I$500,SMALL(IF(Create_TC_Web!$C$1:$C$500&lt;&gt;"",MATCH(ROW(Create_TC_Web!$C$1:$C$500),ROW(Create_TC_Web!$C$1:$C$500)),""),ROW(Create_TC_Web!G250))),"")</f>
        <v/>
      </c>
      <c r="G250" t="str" cm="1">
        <f t="array" ref="G250">IFERROR(INDEX(Create_TC_Web!J$1:J$500,SMALL(IF(Create_TC_Web!$C$1:$C$500&lt;&gt;"",MATCH(ROW(Create_TC_Web!$C$1:$C$500),ROW(Create_TC_Web!$C$1:$C$500)),""),ROW(Create_TC_Web!H250))),"")</f>
        <v/>
      </c>
      <c r="H250" t="str" cm="1">
        <f t="array" ref="H250">IFERROR(INDEX(Create_TC_Web!K$1:K$500,SMALL(IF(Create_TC_Web!$C$1:$C$500&lt;&gt;"",MATCH(ROW(Create_TC_Web!$C$1:$C$500),ROW(Create_TC_Web!$C$1:$C$500)),""),ROW(Create_TC_Web!I250))),"")</f>
        <v/>
      </c>
      <c r="I250" t="str" cm="1">
        <f t="array" ref="I250">IFERROR(INDEX(Create_TC_Web!L$1:L$500,SMALL(IF(Create_TC_Web!$C$1:$C$500&lt;&gt;"",MATCH(ROW(Create_TC_Web!$C$1:$C$500),ROW(Create_TC_Web!$C$1:$C$500)),""),ROW(Create_TC_Web!J250))),"")</f>
        <v/>
      </c>
      <c r="J250" t="str" cm="1">
        <f t="array" ref="J250">IFERROR(INDEX(Create_TC_Web!M$1:M$500,SMALL(IF(Create_TC_Web!$C$1:$C$500&lt;&gt;"",MATCH(ROW(Create_TC_Web!$C$1:$C$500),ROW(Create_TC_Web!$C$1:$C$500)),""),ROW(Create_TC_Web!K250))),"")</f>
        <v/>
      </c>
      <c r="K250" t="str" cm="1">
        <f t="array" ref="K250">IFERROR(INDEX(Create_TC_Web!N$1:N$500,SMALL(IF(Create_TC_Web!$C$1:$C$500&lt;&gt;"",MATCH(ROW(Create_TC_Web!$C$1:$C$500),ROW(Create_TC_Web!$C$1:$C$500)),""),ROW(Create_TC_Web!L250))),"")</f>
        <v/>
      </c>
      <c r="L250" t="str" cm="1">
        <f t="array" ref="L250">IFERROR(INDEX(Create_TC_Web!O$1:O$500,SMALL(IF(Create_TC_Web!$C$1:$C$500&lt;&gt;"",MATCH(ROW(Create_TC_Web!$C$1:$C$500),ROW(Create_TC_Web!$C$1:$C$500)),""),ROW(Create_TC_Web!M250))),"")</f>
        <v/>
      </c>
      <c r="M250" t="str" cm="1">
        <f t="array" ref="M250">IFERROR(INDEX(Create_TC_Web!P$1:P$500,SMALL(IF(Create_TC_Web!$C$1:$C$500&lt;&gt;"",MATCH(ROW(Create_TC_Web!$C$1:$C$500),ROW(Create_TC_Web!$C$1:$C$500)),""),ROW(Create_TC_Web!N250))),"")</f>
        <v/>
      </c>
      <c r="N250">
        <f>Create_TC_Web!CA259</f>
        <v>0</v>
      </c>
      <c r="O250" t="str">
        <f t="shared" si="13"/>
        <v/>
      </c>
      <c r="P250" s="17" t="str" cm="1">
        <f t="array" ref="P250">IFERROR(INDEX(Create_TC_Web!S$1:S$500,SMALL(IF(Create_TC_Web!$C$1:$C$500&lt;&gt;"",MATCH(ROW(Create_TC_Web!$C$1:$C$500),ROW(Create_TC_Web!$C$1:$C$500)),""),ROW(Create_TC_Web!Q228))),"")</f>
        <v/>
      </c>
      <c r="S250" t="str">
        <f t="shared" si="14"/>
        <v/>
      </c>
    </row>
    <row r="251" spans="1:19">
      <c r="A251" t="str" cm="1">
        <f t="array" ref="A251">IFERROR(INDEX(Create_TC_Web!D$1:D$500,SMALL(IF(Create_TC_Web!$C$1:$C$500&lt;&gt;"",MATCH(ROW(Create_TC_Web!$C$1:$C$500),ROW(Create_TC_Web!$C$1:$C$500)),""),ROW(Create_TC_Web!B251))),"")</f>
        <v/>
      </c>
      <c r="B251" t="str" cm="1">
        <f t="array" ref="B251">SUBSTITUTE(SUBSTITUTE(SUBSTITUTE(IFERROR(INDEX(Create_TC_Web!E$1:E$505,SMALL(IF(Create_TC_Web!$C$1:$C$505&lt;&gt;"",MATCH(ROW(Create_TC_Web!$C$1:$C$505),ROW(Create_TC_Web!$C$1:$C$505)),""),ROW(Create_TC_Web!C251))),"")," ",""),"-",""),"_","")</f>
        <v/>
      </c>
      <c r="C251" t="str" cm="1">
        <f t="array" ref="C251">IFERROR(INDEX(Create_TC_Web!F$1:F$500,SMALL(IF(Create_TC_Web!$C$1:$C$500&lt;&gt;"",MATCH(ROW(Create_TC_Web!$C$1:$C$500),ROW(Create_TC_Web!$C$1:$C$500)),""),ROW(Create_TC_Web!D251))),"")</f>
        <v/>
      </c>
      <c r="D251" t="str" cm="1">
        <f t="array" ref="D251">IFERROR(INDEX(Create_TC_Web!G$1:G$500,SMALL(IF(Create_TC_Web!$C$1:$C$500&lt;&gt;"",MATCH(ROW(Create_TC_Web!$C$1:$C$500),ROW(Create_TC_Web!$C$1:$C$500)),""),ROW(Create_TC_Web!E251))),"")</f>
        <v/>
      </c>
      <c r="E251" t="str" cm="1">
        <f t="array" ref="E251">IFERROR(INDEX(Create_TC_Web!H$1:H$500,SMALL(IF(Create_TC_Web!$C$1:$C$500&lt;&gt;"",MATCH(ROW(Create_TC_Web!$C$1:$C$500),ROW(Create_TC_Web!$C$1:$C$500)),""),ROW(Create_TC_Web!F251))),"")</f>
        <v/>
      </c>
      <c r="F251" t="str" cm="1">
        <f t="array" ref="F251">IFERROR(INDEX(Create_TC_Web!I$1:I$500,SMALL(IF(Create_TC_Web!$C$1:$C$500&lt;&gt;"",MATCH(ROW(Create_TC_Web!$C$1:$C$500),ROW(Create_TC_Web!$C$1:$C$500)),""),ROW(Create_TC_Web!G251))),"")</f>
        <v/>
      </c>
      <c r="G251" t="str" cm="1">
        <f t="array" ref="G251">IFERROR(INDEX(Create_TC_Web!J$1:J$500,SMALL(IF(Create_TC_Web!$C$1:$C$500&lt;&gt;"",MATCH(ROW(Create_TC_Web!$C$1:$C$500),ROW(Create_TC_Web!$C$1:$C$500)),""),ROW(Create_TC_Web!H251))),"")</f>
        <v/>
      </c>
      <c r="H251" t="str" cm="1">
        <f t="array" ref="H251">IFERROR(INDEX(Create_TC_Web!K$1:K$500,SMALL(IF(Create_TC_Web!$C$1:$C$500&lt;&gt;"",MATCH(ROW(Create_TC_Web!$C$1:$C$500),ROW(Create_TC_Web!$C$1:$C$500)),""),ROW(Create_TC_Web!I251))),"")</f>
        <v/>
      </c>
      <c r="I251" t="str" cm="1">
        <f t="array" ref="I251">IFERROR(INDEX(Create_TC_Web!L$1:L$500,SMALL(IF(Create_TC_Web!$C$1:$C$500&lt;&gt;"",MATCH(ROW(Create_TC_Web!$C$1:$C$500),ROW(Create_TC_Web!$C$1:$C$500)),""),ROW(Create_TC_Web!J251))),"")</f>
        <v/>
      </c>
      <c r="J251" t="str" cm="1">
        <f t="array" ref="J251">IFERROR(INDEX(Create_TC_Web!M$1:M$500,SMALL(IF(Create_TC_Web!$C$1:$C$500&lt;&gt;"",MATCH(ROW(Create_TC_Web!$C$1:$C$500),ROW(Create_TC_Web!$C$1:$C$500)),""),ROW(Create_TC_Web!K251))),"")</f>
        <v/>
      </c>
      <c r="K251" t="str" cm="1">
        <f t="array" ref="K251">IFERROR(INDEX(Create_TC_Web!N$1:N$500,SMALL(IF(Create_TC_Web!$C$1:$C$500&lt;&gt;"",MATCH(ROW(Create_TC_Web!$C$1:$C$500),ROW(Create_TC_Web!$C$1:$C$500)),""),ROW(Create_TC_Web!L251))),"")</f>
        <v/>
      </c>
      <c r="L251" t="str" cm="1">
        <f t="array" ref="L251">IFERROR(INDEX(Create_TC_Web!O$1:O$500,SMALL(IF(Create_TC_Web!$C$1:$C$500&lt;&gt;"",MATCH(ROW(Create_TC_Web!$C$1:$C$500),ROW(Create_TC_Web!$C$1:$C$500)),""),ROW(Create_TC_Web!M251))),"")</f>
        <v/>
      </c>
      <c r="M251" t="str" cm="1">
        <f t="array" ref="M251">IFERROR(INDEX(Create_TC_Web!P$1:P$500,SMALL(IF(Create_TC_Web!$C$1:$C$500&lt;&gt;"",MATCH(ROW(Create_TC_Web!$C$1:$C$500),ROW(Create_TC_Web!$C$1:$C$500)),""),ROW(Create_TC_Web!N251))),"")</f>
        <v/>
      </c>
      <c r="N251">
        <f>Create_TC_Web!CA260</f>
        <v>0</v>
      </c>
      <c r="O251" t="str">
        <f t="shared" si="13"/>
        <v/>
      </c>
      <c r="P251" s="17" t="str" cm="1">
        <f t="array" ref="P251">IFERROR(INDEX(Create_TC_Web!S$1:S$500,SMALL(IF(Create_TC_Web!$C$1:$C$500&lt;&gt;"",MATCH(ROW(Create_TC_Web!$C$1:$C$500),ROW(Create_TC_Web!$C$1:$C$500)),""),ROW(Create_TC_Web!Q229))),"")</f>
        <v/>
      </c>
      <c r="S251" t="str">
        <f t="shared" si="14"/>
        <v/>
      </c>
    </row>
    <row r="252" spans="1:19">
      <c r="A252" t="str" cm="1">
        <f t="array" ref="A252">IFERROR(INDEX(Create_TC_Web!D$1:D$500,SMALL(IF(Create_TC_Web!$C$1:$C$500&lt;&gt;"",MATCH(ROW(Create_TC_Web!$C$1:$C$500),ROW(Create_TC_Web!$C$1:$C$500)),""),ROW(Create_TC_Web!B252))),"")</f>
        <v/>
      </c>
      <c r="B252" t="str" cm="1">
        <f t="array" ref="B252">SUBSTITUTE(SUBSTITUTE(SUBSTITUTE(IFERROR(INDEX(Create_TC_Web!E$1:E$505,SMALL(IF(Create_TC_Web!$C$1:$C$505&lt;&gt;"",MATCH(ROW(Create_TC_Web!$C$1:$C$505),ROW(Create_TC_Web!$C$1:$C$505)),""),ROW(Create_TC_Web!C252))),"")," ",""),"-",""),"_","")</f>
        <v/>
      </c>
      <c r="C252" t="str" cm="1">
        <f t="array" ref="C252">IFERROR(INDEX(Create_TC_Web!F$1:F$500,SMALL(IF(Create_TC_Web!$C$1:$C$500&lt;&gt;"",MATCH(ROW(Create_TC_Web!$C$1:$C$500),ROW(Create_TC_Web!$C$1:$C$500)),""),ROW(Create_TC_Web!D252))),"")</f>
        <v/>
      </c>
      <c r="D252" t="str" cm="1">
        <f t="array" ref="D252">IFERROR(INDEX(Create_TC_Web!G$1:G$500,SMALL(IF(Create_TC_Web!$C$1:$C$500&lt;&gt;"",MATCH(ROW(Create_TC_Web!$C$1:$C$500),ROW(Create_TC_Web!$C$1:$C$500)),""),ROW(Create_TC_Web!E252))),"")</f>
        <v/>
      </c>
      <c r="E252" t="str" cm="1">
        <f t="array" ref="E252">IFERROR(INDEX(Create_TC_Web!H$1:H$500,SMALL(IF(Create_TC_Web!$C$1:$C$500&lt;&gt;"",MATCH(ROW(Create_TC_Web!$C$1:$C$500),ROW(Create_TC_Web!$C$1:$C$500)),""),ROW(Create_TC_Web!F252))),"")</f>
        <v/>
      </c>
      <c r="F252" t="str" cm="1">
        <f t="array" ref="F252">IFERROR(INDEX(Create_TC_Web!I$1:I$500,SMALL(IF(Create_TC_Web!$C$1:$C$500&lt;&gt;"",MATCH(ROW(Create_TC_Web!$C$1:$C$500),ROW(Create_TC_Web!$C$1:$C$500)),""),ROW(Create_TC_Web!G252))),"")</f>
        <v/>
      </c>
      <c r="G252" t="str" cm="1">
        <f t="array" ref="G252">IFERROR(INDEX(Create_TC_Web!J$1:J$500,SMALL(IF(Create_TC_Web!$C$1:$C$500&lt;&gt;"",MATCH(ROW(Create_TC_Web!$C$1:$C$500),ROW(Create_TC_Web!$C$1:$C$500)),""),ROW(Create_TC_Web!H252))),"")</f>
        <v/>
      </c>
      <c r="H252" t="str" cm="1">
        <f t="array" ref="H252">IFERROR(INDEX(Create_TC_Web!K$1:K$500,SMALL(IF(Create_TC_Web!$C$1:$C$500&lt;&gt;"",MATCH(ROW(Create_TC_Web!$C$1:$C$500),ROW(Create_TC_Web!$C$1:$C$500)),""),ROW(Create_TC_Web!I252))),"")</f>
        <v/>
      </c>
      <c r="I252" t="str" cm="1">
        <f t="array" ref="I252">IFERROR(INDEX(Create_TC_Web!L$1:L$500,SMALL(IF(Create_TC_Web!$C$1:$C$500&lt;&gt;"",MATCH(ROW(Create_TC_Web!$C$1:$C$500),ROW(Create_TC_Web!$C$1:$C$500)),""),ROW(Create_TC_Web!J252))),"")</f>
        <v/>
      </c>
      <c r="J252" t="str" cm="1">
        <f t="array" ref="J252">IFERROR(INDEX(Create_TC_Web!M$1:M$500,SMALL(IF(Create_TC_Web!$C$1:$C$500&lt;&gt;"",MATCH(ROW(Create_TC_Web!$C$1:$C$500),ROW(Create_TC_Web!$C$1:$C$500)),""),ROW(Create_TC_Web!K252))),"")</f>
        <v/>
      </c>
      <c r="K252" t="str" cm="1">
        <f t="array" ref="K252">IFERROR(INDEX(Create_TC_Web!N$1:N$500,SMALL(IF(Create_TC_Web!$C$1:$C$500&lt;&gt;"",MATCH(ROW(Create_TC_Web!$C$1:$C$500),ROW(Create_TC_Web!$C$1:$C$500)),""),ROW(Create_TC_Web!L252))),"")</f>
        <v/>
      </c>
      <c r="L252" t="str" cm="1">
        <f t="array" ref="L252">IFERROR(INDEX(Create_TC_Web!O$1:O$500,SMALL(IF(Create_TC_Web!$C$1:$C$500&lt;&gt;"",MATCH(ROW(Create_TC_Web!$C$1:$C$500),ROW(Create_TC_Web!$C$1:$C$500)),""),ROW(Create_TC_Web!M252))),"")</f>
        <v/>
      </c>
      <c r="M252" t="str" cm="1">
        <f t="array" ref="M252">IFERROR(INDEX(Create_TC_Web!P$1:P$500,SMALL(IF(Create_TC_Web!$C$1:$C$500&lt;&gt;"",MATCH(ROW(Create_TC_Web!$C$1:$C$500),ROW(Create_TC_Web!$C$1:$C$500)),""),ROW(Create_TC_Web!N252))),"")</f>
        <v/>
      </c>
      <c r="N252">
        <f>Create_TC_Web!CA261</f>
        <v>0</v>
      </c>
      <c r="O252" t="str">
        <f t="shared" si="13"/>
        <v/>
      </c>
      <c r="P252" s="17" t="str" cm="1">
        <f t="array" ref="P252">IFERROR(INDEX(Create_TC_Web!S$1:S$500,SMALL(IF(Create_TC_Web!$C$1:$C$500&lt;&gt;"",MATCH(ROW(Create_TC_Web!$C$1:$C$500),ROW(Create_TC_Web!$C$1:$C$500)),""),ROW(Create_TC_Web!Q230))),"")</f>
        <v/>
      </c>
      <c r="S252" t="str">
        <f t="shared" si="14"/>
        <v/>
      </c>
    </row>
    <row r="253" spans="1:19">
      <c r="A253" t="str" cm="1">
        <f t="array" ref="A253">IFERROR(INDEX(Create_TC_Web!D$1:D$500,SMALL(IF(Create_TC_Web!$C$1:$C$500&lt;&gt;"",MATCH(ROW(Create_TC_Web!$C$1:$C$500),ROW(Create_TC_Web!$C$1:$C$500)),""),ROW(Create_TC_Web!B253))),"")</f>
        <v/>
      </c>
      <c r="B253" t="str" cm="1">
        <f t="array" ref="B253">SUBSTITUTE(SUBSTITUTE(SUBSTITUTE(IFERROR(INDEX(Create_TC_Web!E$1:E$505,SMALL(IF(Create_TC_Web!$C$1:$C$505&lt;&gt;"",MATCH(ROW(Create_TC_Web!$C$1:$C$505),ROW(Create_TC_Web!$C$1:$C$505)),""),ROW(Create_TC_Web!C253))),"")," ",""),"-",""),"_","")</f>
        <v/>
      </c>
      <c r="C253" t="str" cm="1">
        <f t="array" ref="C253">IFERROR(INDEX(Create_TC_Web!F$1:F$500,SMALL(IF(Create_TC_Web!$C$1:$C$500&lt;&gt;"",MATCH(ROW(Create_TC_Web!$C$1:$C$500),ROW(Create_TC_Web!$C$1:$C$500)),""),ROW(Create_TC_Web!D253))),"")</f>
        <v/>
      </c>
      <c r="D253" t="str" cm="1">
        <f t="array" ref="D253">IFERROR(INDEX(Create_TC_Web!G$1:G$500,SMALL(IF(Create_TC_Web!$C$1:$C$500&lt;&gt;"",MATCH(ROW(Create_TC_Web!$C$1:$C$500),ROW(Create_TC_Web!$C$1:$C$500)),""),ROW(Create_TC_Web!E253))),"")</f>
        <v/>
      </c>
      <c r="E253" t="str" cm="1">
        <f t="array" ref="E253">IFERROR(INDEX(Create_TC_Web!H$1:H$500,SMALL(IF(Create_TC_Web!$C$1:$C$500&lt;&gt;"",MATCH(ROW(Create_TC_Web!$C$1:$C$500),ROW(Create_TC_Web!$C$1:$C$500)),""),ROW(Create_TC_Web!F253))),"")</f>
        <v/>
      </c>
      <c r="F253" t="str" cm="1">
        <f t="array" ref="F253">IFERROR(INDEX(Create_TC_Web!I$1:I$500,SMALL(IF(Create_TC_Web!$C$1:$C$500&lt;&gt;"",MATCH(ROW(Create_TC_Web!$C$1:$C$500),ROW(Create_TC_Web!$C$1:$C$500)),""),ROW(Create_TC_Web!G253))),"")</f>
        <v/>
      </c>
      <c r="G253" t="str" cm="1">
        <f t="array" ref="G253">IFERROR(INDEX(Create_TC_Web!J$1:J$500,SMALL(IF(Create_TC_Web!$C$1:$C$500&lt;&gt;"",MATCH(ROW(Create_TC_Web!$C$1:$C$500),ROW(Create_TC_Web!$C$1:$C$500)),""),ROW(Create_TC_Web!H253))),"")</f>
        <v/>
      </c>
      <c r="H253" t="str" cm="1">
        <f t="array" ref="H253">IFERROR(INDEX(Create_TC_Web!K$1:K$500,SMALL(IF(Create_TC_Web!$C$1:$C$500&lt;&gt;"",MATCH(ROW(Create_TC_Web!$C$1:$C$500),ROW(Create_TC_Web!$C$1:$C$500)),""),ROW(Create_TC_Web!I253))),"")</f>
        <v/>
      </c>
      <c r="I253" t="str" cm="1">
        <f t="array" ref="I253">IFERROR(INDEX(Create_TC_Web!L$1:L$500,SMALL(IF(Create_TC_Web!$C$1:$C$500&lt;&gt;"",MATCH(ROW(Create_TC_Web!$C$1:$C$500),ROW(Create_TC_Web!$C$1:$C$500)),""),ROW(Create_TC_Web!J253))),"")</f>
        <v/>
      </c>
      <c r="J253" t="str" cm="1">
        <f t="array" ref="J253">IFERROR(INDEX(Create_TC_Web!M$1:M$500,SMALL(IF(Create_TC_Web!$C$1:$C$500&lt;&gt;"",MATCH(ROW(Create_TC_Web!$C$1:$C$500),ROW(Create_TC_Web!$C$1:$C$500)),""),ROW(Create_TC_Web!K253))),"")</f>
        <v/>
      </c>
      <c r="K253" t="str" cm="1">
        <f t="array" ref="K253">IFERROR(INDEX(Create_TC_Web!N$1:N$500,SMALL(IF(Create_TC_Web!$C$1:$C$500&lt;&gt;"",MATCH(ROW(Create_TC_Web!$C$1:$C$500),ROW(Create_TC_Web!$C$1:$C$500)),""),ROW(Create_TC_Web!L253))),"")</f>
        <v/>
      </c>
      <c r="L253" t="str" cm="1">
        <f t="array" ref="L253">IFERROR(INDEX(Create_TC_Web!O$1:O$500,SMALL(IF(Create_TC_Web!$C$1:$C$500&lt;&gt;"",MATCH(ROW(Create_TC_Web!$C$1:$C$500),ROW(Create_TC_Web!$C$1:$C$500)),""),ROW(Create_TC_Web!M253))),"")</f>
        <v/>
      </c>
      <c r="M253" t="str" cm="1">
        <f t="array" ref="M253">IFERROR(INDEX(Create_TC_Web!P$1:P$500,SMALL(IF(Create_TC_Web!$C$1:$C$500&lt;&gt;"",MATCH(ROW(Create_TC_Web!$C$1:$C$500),ROW(Create_TC_Web!$C$1:$C$500)),""),ROW(Create_TC_Web!N253))),"")</f>
        <v/>
      </c>
      <c r="N253">
        <f>Create_TC_Web!CA262</f>
        <v>0</v>
      </c>
      <c r="O253" t="str">
        <f t="shared" si="13"/>
        <v/>
      </c>
      <c r="P253" s="17" t="str" cm="1">
        <f t="array" ref="P253">IFERROR(INDEX(Create_TC_Web!S$1:S$500,SMALL(IF(Create_TC_Web!$C$1:$C$500&lt;&gt;"",MATCH(ROW(Create_TC_Web!$C$1:$C$500),ROW(Create_TC_Web!$C$1:$C$500)),""),ROW(Create_TC_Web!Q231))),"")</f>
        <v/>
      </c>
      <c r="S253" t="str">
        <f t="shared" si="14"/>
        <v/>
      </c>
    </row>
    <row r="254" spans="1:19">
      <c r="A254" t="str" cm="1">
        <f t="array" ref="A254">IFERROR(INDEX(Create_TC_Web!D$1:D$500,SMALL(IF(Create_TC_Web!$C$1:$C$500&lt;&gt;"",MATCH(ROW(Create_TC_Web!$C$1:$C$500),ROW(Create_TC_Web!$C$1:$C$500)),""),ROW(Create_TC_Web!B254))),"")</f>
        <v/>
      </c>
      <c r="B254" t="str" cm="1">
        <f t="array" ref="B254">SUBSTITUTE(SUBSTITUTE(SUBSTITUTE(IFERROR(INDEX(Create_TC_Web!E$1:E$505,SMALL(IF(Create_TC_Web!$C$1:$C$505&lt;&gt;"",MATCH(ROW(Create_TC_Web!$C$1:$C$505),ROW(Create_TC_Web!$C$1:$C$505)),""),ROW(Create_TC_Web!C254))),"")," ",""),"-",""),"_","")</f>
        <v/>
      </c>
      <c r="C254" t="str" cm="1">
        <f t="array" ref="C254">IFERROR(INDEX(Create_TC_Web!F$1:F$500,SMALL(IF(Create_TC_Web!$C$1:$C$500&lt;&gt;"",MATCH(ROW(Create_TC_Web!$C$1:$C$500),ROW(Create_TC_Web!$C$1:$C$500)),""),ROW(Create_TC_Web!D254))),"")</f>
        <v/>
      </c>
      <c r="D254" t="str" cm="1">
        <f t="array" ref="D254">IFERROR(INDEX(Create_TC_Web!G$1:G$500,SMALL(IF(Create_TC_Web!$C$1:$C$500&lt;&gt;"",MATCH(ROW(Create_TC_Web!$C$1:$C$500),ROW(Create_TC_Web!$C$1:$C$500)),""),ROW(Create_TC_Web!E254))),"")</f>
        <v/>
      </c>
      <c r="E254" t="str" cm="1">
        <f t="array" ref="E254">IFERROR(INDEX(Create_TC_Web!H$1:H$500,SMALL(IF(Create_TC_Web!$C$1:$C$500&lt;&gt;"",MATCH(ROW(Create_TC_Web!$C$1:$C$500),ROW(Create_TC_Web!$C$1:$C$500)),""),ROW(Create_TC_Web!F254))),"")</f>
        <v/>
      </c>
      <c r="F254" t="str" cm="1">
        <f t="array" ref="F254">IFERROR(INDEX(Create_TC_Web!I$1:I$500,SMALL(IF(Create_TC_Web!$C$1:$C$500&lt;&gt;"",MATCH(ROW(Create_TC_Web!$C$1:$C$500),ROW(Create_TC_Web!$C$1:$C$500)),""),ROW(Create_TC_Web!G254))),"")</f>
        <v/>
      </c>
      <c r="G254" t="str" cm="1">
        <f t="array" ref="G254">IFERROR(INDEX(Create_TC_Web!J$1:J$500,SMALL(IF(Create_TC_Web!$C$1:$C$500&lt;&gt;"",MATCH(ROW(Create_TC_Web!$C$1:$C$500),ROW(Create_TC_Web!$C$1:$C$500)),""),ROW(Create_TC_Web!H254))),"")</f>
        <v/>
      </c>
      <c r="H254" t="str" cm="1">
        <f t="array" ref="H254">IFERROR(INDEX(Create_TC_Web!K$1:K$500,SMALL(IF(Create_TC_Web!$C$1:$C$500&lt;&gt;"",MATCH(ROW(Create_TC_Web!$C$1:$C$500),ROW(Create_TC_Web!$C$1:$C$500)),""),ROW(Create_TC_Web!I254))),"")</f>
        <v/>
      </c>
      <c r="I254" t="str" cm="1">
        <f t="array" ref="I254">IFERROR(INDEX(Create_TC_Web!L$1:L$500,SMALL(IF(Create_TC_Web!$C$1:$C$500&lt;&gt;"",MATCH(ROW(Create_TC_Web!$C$1:$C$500),ROW(Create_TC_Web!$C$1:$C$500)),""),ROW(Create_TC_Web!J254))),"")</f>
        <v/>
      </c>
      <c r="J254" t="str" cm="1">
        <f t="array" ref="J254">IFERROR(INDEX(Create_TC_Web!M$1:M$500,SMALL(IF(Create_TC_Web!$C$1:$C$500&lt;&gt;"",MATCH(ROW(Create_TC_Web!$C$1:$C$500),ROW(Create_TC_Web!$C$1:$C$500)),""),ROW(Create_TC_Web!K254))),"")</f>
        <v/>
      </c>
      <c r="K254" t="str" cm="1">
        <f t="array" ref="K254">IFERROR(INDEX(Create_TC_Web!N$1:N$500,SMALL(IF(Create_TC_Web!$C$1:$C$500&lt;&gt;"",MATCH(ROW(Create_TC_Web!$C$1:$C$500),ROW(Create_TC_Web!$C$1:$C$500)),""),ROW(Create_TC_Web!L254))),"")</f>
        <v/>
      </c>
      <c r="L254" t="str" cm="1">
        <f t="array" ref="L254">IFERROR(INDEX(Create_TC_Web!O$1:O$500,SMALL(IF(Create_TC_Web!$C$1:$C$500&lt;&gt;"",MATCH(ROW(Create_TC_Web!$C$1:$C$500),ROW(Create_TC_Web!$C$1:$C$500)),""),ROW(Create_TC_Web!M254))),"")</f>
        <v/>
      </c>
      <c r="M254" t="str" cm="1">
        <f t="array" ref="M254">IFERROR(INDEX(Create_TC_Web!P$1:P$500,SMALL(IF(Create_TC_Web!$C$1:$C$500&lt;&gt;"",MATCH(ROW(Create_TC_Web!$C$1:$C$500),ROW(Create_TC_Web!$C$1:$C$500)),""),ROW(Create_TC_Web!N254))),"")</f>
        <v/>
      </c>
      <c r="N254">
        <f>Create_TC_Web!CA263</f>
        <v>0</v>
      </c>
      <c r="O254" t="str">
        <f t="shared" si="13"/>
        <v/>
      </c>
      <c r="P254" s="17" t="str" cm="1">
        <f t="array" ref="P254">IFERROR(INDEX(Create_TC_Web!S$1:S$500,SMALL(IF(Create_TC_Web!$C$1:$C$500&lt;&gt;"",MATCH(ROW(Create_TC_Web!$C$1:$C$500),ROW(Create_TC_Web!$C$1:$C$500)),""),ROW(Create_TC_Web!Q232))),"")</f>
        <v/>
      </c>
      <c r="S254" t="str">
        <f t="shared" si="14"/>
        <v/>
      </c>
    </row>
    <row r="255" spans="1:19">
      <c r="A255" t="str" cm="1">
        <f t="array" ref="A255">IFERROR(INDEX(Create_TC_Web!D$1:D$500,SMALL(IF(Create_TC_Web!$C$1:$C$500&lt;&gt;"",MATCH(ROW(Create_TC_Web!$C$1:$C$500),ROW(Create_TC_Web!$C$1:$C$500)),""),ROW(Create_TC_Web!B255))),"")</f>
        <v/>
      </c>
      <c r="B255" t="str" cm="1">
        <f t="array" ref="B255">SUBSTITUTE(SUBSTITUTE(SUBSTITUTE(IFERROR(INDEX(Create_TC_Web!E$1:E$505,SMALL(IF(Create_TC_Web!$C$1:$C$505&lt;&gt;"",MATCH(ROW(Create_TC_Web!$C$1:$C$505),ROW(Create_TC_Web!$C$1:$C$505)),""),ROW(Create_TC_Web!C255))),"")," ",""),"-",""),"_","")</f>
        <v/>
      </c>
      <c r="C255" t="str" cm="1">
        <f t="array" ref="C255">IFERROR(INDEX(Create_TC_Web!F$1:F$500,SMALL(IF(Create_TC_Web!$C$1:$C$500&lt;&gt;"",MATCH(ROW(Create_TC_Web!$C$1:$C$500),ROW(Create_TC_Web!$C$1:$C$500)),""),ROW(Create_TC_Web!D255))),"")</f>
        <v/>
      </c>
      <c r="D255" t="str" cm="1">
        <f t="array" ref="D255">IFERROR(INDEX(Create_TC_Web!G$1:G$500,SMALL(IF(Create_TC_Web!$C$1:$C$500&lt;&gt;"",MATCH(ROW(Create_TC_Web!$C$1:$C$500),ROW(Create_TC_Web!$C$1:$C$500)),""),ROW(Create_TC_Web!E255))),"")</f>
        <v/>
      </c>
      <c r="E255" t="str" cm="1">
        <f t="array" ref="E255">IFERROR(INDEX(Create_TC_Web!H$1:H$500,SMALL(IF(Create_TC_Web!$C$1:$C$500&lt;&gt;"",MATCH(ROW(Create_TC_Web!$C$1:$C$500),ROW(Create_TC_Web!$C$1:$C$500)),""),ROW(Create_TC_Web!F255))),"")</f>
        <v/>
      </c>
      <c r="F255" t="str" cm="1">
        <f t="array" ref="F255">IFERROR(INDEX(Create_TC_Web!I$1:I$500,SMALL(IF(Create_TC_Web!$C$1:$C$500&lt;&gt;"",MATCH(ROW(Create_TC_Web!$C$1:$C$500),ROW(Create_TC_Web!$C$1:$C$500)),""),ROW(Create_TC_Web!G255))),"")</f>
        <v/>
      </c>
      <c r="G255" t="str" cm="1">
        <f t="array" ref="G255">IFERROR(INDEX(Create_TC_Web!J$1:J$500,SMALL(IF(Create_TC_Web!$C$1:$C$500&lt;&gt;"",MATCH(ROW(Create_TC_Web!$C$1:$C$500),ROW(Create_TC_Web!$C$1:$C$500)),""),ROW(Create_TC_Web!H255))),"")</f>
        <v/>
      </c>
      <c r="H255" t="str" cm="1">
        <f t="array" ref="H255">IFERROR(INDEX(Create_TC_Web!K$1:K$500,SMALL(IF(Create_TC_Web!$C$1:$C$500&lt;&gt;"",MATCH(ROW(Create_TC_Web!$C$1:$C$500),ROW(Create_TC_Web!$C$1:$C$500)),""),ROW(Create_TC_Web!I255))),"")</f>
        <v/>
      </c>
      <c r="I255" t="str" cm="1">
        <f t="array" ref="I255">IFERROR(INDEX(Create_TC_Web!L$1:L$500,SMALL(IF(Create_TC_Web!$C$1:$C$500&lt;&gt;"",MATCH(ROW(Create_TC_Web!$C$1:$C$500),ROW(Create_TC_Web!$C$1:$C$500)),""),ROW(Create_TC_Web!J255))),"")</f>
        <v/>
      </c>
      <c r="J255" t="str" cm="1">
        <f t="array" ref="J255">IFERROR(INDEX(Create_TC_Web!M$1:M$500,SMALL(IF(Create_TC_Web!$C$1:$C$500&lt;&gt;"",MATCH(ROW(Create_TC_Web!$C$1:$C$500),ROW(Create_TC_Web!$C$1:$C$500)),""),ROW(Create_TC_Web!K255))),"")</f>
        <v/>
      </c>
      <c r="K255" t="str" cm="1">
        <f t="array" ref="K255">IFERROR(INDEX(Create_TC_Web!N$1:N$500,SMALL(IF(Create_TC_Web!$C$1:$C$500&lt;&gt;"",MATCH(ROW(Create_TC_Web!$C$1:$C$500),ROW(Create_TC_Web!$C$1:$C$500)),""),ROW(Create_TC_Web!L255))),"")</f>
        <v/>
      </c>
      <c r="L255" t="str" cm="1">
        <f t="array" ref="L255">IFERROR(INDEX(Create_TC_Web!O$1:O$500,SMALL(IF(Create_TC_Web!$C$1:$C$500&lt;&gt;"",MATCH(ROW(Create_TC_Web!$C$1:$C$500),ROW(Create_TC_Web!$C$1:$C$500)),""),ROW(Create_TC_Web!M255))),"")</f>
        <v/>
      </c>
      <c r="M255" t="str" cm="1">
        <f t="array" ref="M255">IFERROR(INDEX(Create_TC_Web!P$1:P$500,SMALL(IF(Create_TC_Web!$C$1:$C$500&lt;&gt;"",MATCH(ROW(Create_TC_Web!$C$1:$C$500),ROW(Create_TC_Web!$C$1:$C$500)),""),ROW(Create_TC_Web!N255))),"")</f>
        <v/>
      </c>
      <c r="N255">
        <f>Create_TC_Web!CA264</f>
        <v>0</v>
      </c>
      <c r="O255" t="str">
        <f t="shared" si="13"/>
        <v/>
      </c>
      <c r="P255" s="17" t="str" cm="1">
        <f t="array" ref="P255">IFERROR(INDEX(Create_TC_Web!S$1:S$500,SMALL(IF(Create_TC_Web!$C$1:$C$500&lt;&gt;"",MATCH(ROW(Create_TC_Web!$C$1:$C$500),ROW(Create_TC_Web!$C$1:$C$500)),""),ROW(Create_TC_Web!Q233))),"")</f>
        <v/>
      </c>
      <c r="S255" t="str">
        <f t="shared" si="14"/>
        <v/>
      </c>
    </row>
    <row r="256" spans="1:19">
      <c r="A256" t="str" cm="1">
        <f t="array" ref="A256">IFERROR(INDEX(Create_TC_Web!D$1:D$500,SMALL(IF(Create_TC_Web!$C$1:$C$500&lt;&gt;"",MATCH(ROW(Create_TC_Web!$C$1:$C$500),ROW(Create_TC_Web!$C$1:$C$500)),""),ROW(Create_TC_Web!B256))),"")</f>
        <v/>
      </c>
      <c r="B256" t="str" cm="1">
        <f t="array" ref="B256">SUBSTITUTE(SUBSTITUTE(SUBSTITUTE(IFERROR(INDEX(Create_TC_Web!E$1:E$505,SMALL(IF(Create_TC_Web!$C$1:$C$505&lt;&gt;"",MATCH(ROW(Create_TC_Web!$C$1:$C$505),ROW(Create_TC_Web!$C$1:$C$505)),""),ROW(Create_TC_Web!C256))),"")," ",""),"-",""),"_","")</f>
        <v/>
      </c>
      <c r="C256" t="str" cm="1">
        <f t="array" ref="C256">IFERROR(INDEX(Create_TC_Web!F$1:F$500,SMALL(IF(Create_TC_Web!$C$1:$C$500&lt;&gt;"",MATCH(ROW(Create_TC_Web!$C$1:$C$500),ROW(Create_TC_Web!$C$1:$C$500)),""),ROW(Create_TC_Web!D256))),"")</f>
        <v/>
      </c>
      <c r="D256" t="str" cm="1">
        <f t="array" ref="D256">IFERROR(INDEX(Create_TC_Web!G$1:G$500,SMALL(IF(Create_TC_Web!$C$1:$C$500&lt;&gt;"",MATCH(ROW(Create_TC_Web!$C$1:$C$500),ROW(Create_TC_Web!$C$1:$C$500)),""),ROW(Create_TC_Web!E256))),"")</f>
        <v/>
      </c>
      <c r="E256" t="str" cm="1">
        <f t="array" ref="E256">IFERROR(INDEX(Create_TC_Web!H$1:H$500,SMALL(IF(Create_TC_Web!$C$1:$C$500&lt;&gt;"",MATCH(ROW(Create_TC_Web!$C$1:$C$500),ROW(Create_TC_Web!$C$1:$C$500)),""),ROW(Create_TC_Web!F256))),"")</f>
        <v/>
      </c>
      <c r="F256" t="str" cm="1">
        <f t="array" ref="F256">IFERROR(INDEX(Create_TC_Web!I$1:I$500,SMALL(IF(Create_TC_Web!$C$1:$C$500&lt;&gt;"",MATCH(ROW(Create_TC_Web!$C$1:$C$500),ROW(Create_TC_Web!$C$1:$C$500)),""),ROW(Create_TC_Web!G256))),"")</f>
        <v/>
      </c>
      <c r="G256" t="str" cm="1">
        <f t="array" ref="G256">IFERROR(INDEX(Create_TC_Web!J$1:J$500,SMALL(IF(Create_TC_Web!$C$1:$C$500&lt;&gt;"",MATCH(ROW(Create_TC_Web!$C$1:$C$500),ROW(Create_TC_Web!$C$1:$C$500)),""),ROW(Create_TC_Web!H256))),"")</f>
        <v/>
      </c>
      <c r="H256" t="str" cm="1">
        <f t="array" ref="H256">IFERROR(INDEX(Create_TC_Web!K$1:K$500,SMALL(IF(Create_TC_Web!$C$1:$C$500&lt;&gt;"",MATCH(ROW(Create_TC_Web!$C$1:$C$500),ROW(Create_TC_Web!$C$1:$C$500)),""),ROW(Create_TC_Web!I256))),"")</f>
        <v/>
      </c>
      <c r="I256" t="str" cm="1">
        <f t="array" ref="I256">IFERROR(INDEX(Create_TC_Web!L$1:L$500,SMALL(IF(Create_TC_Web!$C$1:$C$500&lt;&gt;"",MATCH(ROW(Create_TC_Web!$C$1:$C$500),ROW(Create_TC_Web!$C$1:$C$500)),""),ROW(Create_TC_Web!J256))),"")</f>
        <v/>
      </c>
      <c r="J256" t="str" cm="1">
        <f t="array" ref="J256">IFERROR(INDEX(Create_TC_Web!M$1:M$500,SMALL(IF(Create_TC_Web!$C$1:$C$500&lt;&gt;"",MATCH(ROW(Create_TC_Web!$C$1:$C$500),ROW(Create_TC_Web!$C$1:$C$500)),""),ROW(Create_TC_Web!K256))),"")</f>
        <v/>
      </c>
      <c r="K256" t="str" cm="1">
        <f t="array" ref="K256">IFERROR(INDEX(Create_TC_Web!N$1:N$500,SMALL(IF(Create_TC_Web!$C$1:$C$500&lt;&gt;"",MATCH(ROW(Create_TC_Web!$C$1:$C$500),ROW(Create_TC_Web!$C$1:$C$500)),""),ROW(Create_TC_Web!L256))),"")</f>
        <v/>
      </c>
      <c r="L256" t="str" cm="1">
        <f t="array" ref="L256">IFERROR(INDEX(Create_TC_Web!O$1:O$500,SMALL(IF(Create_TC_Web!$C$1:$C$500&lt;&gt;"",MATCH(ROW(Create_TC_Web!$C$1:$C$500),ROW(Create_TC_Web!$C$1:$C$500)),""),ROW(Create_TC_Web!M256))),"")</f>
        <v/>
      </c>
      <c r="M256" t="str" cm="1">
        <f t="array" ref="M256">IFERROR(INDEX(Create_TC_Web!P$1:P$500,SMALL(IF(Create_TC_Web!$C$1:$C$500&lt;&gt;"",MATCH(ROW(Create_TC_Web!$C$1:$C$500),ROW(Create_TC_Web!$C$1:$C$500)),""),ROW(Create_TC_Web!N256))),"")</f>
        <v/>
      </c>
      <c r="N256">
        <f>Create_TC_Web!CA265</f>
        <v>0</v>
      </c>
      <c r="O256" t="str">
        <f t="shared" si="13"/>
        <v/>
      </c>
      <c r="P256" s="17" t="str" cm="1">
        <f t="array" ref="P256">IFERROR(INDEX(Create_TC_Web!S$1:S$500,SMALL(IF(Create_TC_Web!$C$1:$C$500&lt;&gt;"",MATCH(ROW(Create_TC_Web!$C$1:$C$500),ROW(Create_TC_Web!$C$1:$C$500)),""),ROW(Create_TC_Web!Q234))),"")</f>
        <v/>
      </c>
      <c r="S256" t="str">
        <f t="shared" si="14"/>
        <v/>
      </c>
    </row>
    <row r="257" spans="1:19">
      <c r="A257" t="str" cm="1">
        <f t="array" ref="A257">IFERROR(INDEX(Create_TC_Web!D$1:D$500,SMALL(IF(Create_TC_Web!$C$1:$C$500&lt;&gt;"",MATCH(ROW(Create_TC_Web!$C$1:$C$500),ROW(Create_TC_Web!$C$1:$C$500)),""),ROW(Create_TC_Web!B257))),"")</f>
        <v/>
      </c>
      <c r="B257" t="str" cm="1">
        <f t="array" ref="B257">SUBSTITUTE(SUBSTITUTE(SUBSTITUTE(IFERROR(INDEX(Create_TC_Web!E$1:E$505,SMALL(IF(Create_TC_Web!$C$1:$C$505&lt;&gt;"",MATCH(ROW(Create_TC_Web!$C$1:$C$505),ROW(Create_TC_Web!$C$1:$C$505)),""),ROW(Create_TC_Web!C257))),"")," ",""),"-",""),"_","")</f>
        <v/>
      </c>
      <c r="C257" t="str" cm="1">
        <f t="array" ref="C257">IFERROR(INDEX(Create_TC_Web!F$1:F$500,SMALL(IF(Create_TC_Web!$C$1:$C$500&lt;&gt;"",MATCH(ROW(Create_TC_Web!$C$1:$C$500),ROW(Create_TC_Web!$C$1:$C$500)),""),ROW(Create_TC_Web!D257))),"")</f>
        <v/>
      </c>
      <c r="D257" t="str" cm="1">
        <f t="array" ref="D257">IFERROR(INDEX(Create_TC_Web!G$1:G$500,SMALL(IF(Create_TC_Web!$C$1:$C$500&lt;&gt;"",MATCH(ROW(Create_TC_Web!$C$1:$C$500),ROW(Create_TC_Web!$C$1:$C$500)),""),ROW(Create_TC_Web!E257))),"")</f>
        <v/>
      </c>
      <c r="E257" t="str" cm="1">
        <f t="array" ref="E257">IFERROR(INDEX(Create_TC_Web!H$1:H$500,SMALL(IF(Create_TC_Web!$C$1:$C$500&lt;&gt;"",MATCH(ROW(Create_TC_Web!$C$1:$C$500),ROW(Create_TC_Web!$C$1:$C$500)),""),ROW(Create_TC_Web!F257))),"")</f>
        <v/>
      </c>
      <c r="F257" t="str" cm="1">
        <f t="array" ref="F257">IFERROR(INDEX(Create_TC_Web!I$1:I$500,SMALL(IF(Create_TC_Web!$C$1:$C$500&lt;&gt;"",MATCH(ROW(Create_TC_Web!$C$1:$C$500),ROW(Create_TC_Web!$C$1:$C$500)),""),ROW(Create_TC_Web!G257))),"")</f>
        <v/>
      </c>
      <c r="G257" t="str" cm="1">
        <f t="array" ref="G257">IFERROR(INDEX(Create_TC_Web!J$1:J$500,SMALL(IF(Create_TC_Web!$C$1:$C$500&lt;&gt;"",MATCH(ROW(Create_TC_Web!$C$1:$C$500),ROW(Create_TC_Web!$C$1:$C$500)),""),ROW(Create_TC_Web!H257))),"")</f>
        <v/>
      </c>
      <c r="H257" t="str" cm="1">
        <f t="array" ref="H257">IFERROR(INDEX(Create_TC_Web!K$1:K$500,SMALL(IF(Create_TC_Web!$C$1:$C$500&lt;&gt;"",MATCH(ROW(Create_TC_Web!$C$1:$C$500),ROW(Create_TC_Web!$C$1:$C$500)),""),ROW(Create_TC_Web!I257))),"")</f>
        <v/>
      </c>
      <c r="I257" t="str" cm="1">
        <f t="array" ref="I257">IFERROR(INDEX(Create_TC_Web!L$1:L$500,SMALL(IF(Create_TC_Web!$C$1:$C$500&lt;&gt;"",MATCH(ROW(Create_TC_Web!$C$1:$C$500),ROW(Create_TC_Web!$C$1:$C$500)),""),ROW(Create_TC_Web!J257))),"")</f>
        <v/>
      </c>
      <c r="J257" t="str" cm="1">
        <f t="array" ref="J257">IFERROR(INDEX(Create_TC_Web!M$1:M$500,SMALL(IF(Create_TC_Web!$C$1:$C$500&lt;&gt;"",MATCH(ROW(Create_TC_Web!$C$1:$C$500),ROW(Create_TC_Web!$C$1:$C$500)),""),ROW(Create_TC_Web!K257))),"")</f>
        <v/>
      </c>
      <c r="K257" t="str" cm="1">
        <f t="array" ref="K257">IFERROR(INDEX(Create_TC_Web!N$1:N$500,SMALL(IF(Create_TC_Web!$C$1:$C$500&lt;&gt;"",MATCH(ROW(Create_TC_Web!$C$1:$C$500),ROW(Create_TC_Web!$C$1:$C$500)),""),ROW(Create_TC_Web!L257))),"")</f>
        <v/>
      </c>
      <c r="L257" t="str" cm="1">
        <f t="array" ref="L257">IFERROR(INDEX(Create_TC_Web!O$1:O$500,SMALL(IF(Create_TC_Web!$C$1:$C$500&lt;&gt;"",MATCH(ROW(Create_TC_Web!$C$1:$C$500),ROW(Create_TC_Web!$C$1:$C$500)),""),ROW(Create_TC_Web!M257))),"")</f>
        <v/>
      </c>
      <c r="M257" t="str" cm="1">
        <f t="array" ref="M257">IFERROR(INDEX(Create_TC_Web!P$1:P$500,SMALL(IF(Create_TC_Web!$C$1:$C$500&lt;&gt;"",MATCH(ROW(Create_TC_Web!$C$1:$C$500),ROW(Create_TC_Web!$C$1:$C$500)),""),ROW(Create_TC_Web!N257))),"")</f>
        <v/>
      </c>
      <c r="N257">
        <f>Create_TC_Web!CA266</f>
        <v>0</v>
      </c>
      <c r="O257" t="str">
        <f t="shared" si="13"/>
        <v/>
      </c>
      <c r="P257" s="17" t="str" cm="1">
        <f t="array" ref="P257">IFERROR(INDEX(Create_TC_Web!S$1:S$500,SMALL(IF(Create_TC_Web!$C$1:$C$500&lt;&gt;"",MATCH(ROW(Create_TC_Web!$C$1:$C$500),ROW(Create_TC_Web!$C$1:$C$500)),""),ROW(Create_TC_Web!Q235))),"")</f>
        <v/>
      </c>
      <c r="S257" t="str">
        <f t="shared" si="14"/>
        <v/>
      </c>
    </row>
    <row r="258" spans="1:19">
      <c r="A258" t="str" cm="1">
        <f t="array" ref="A258">IFERROR(INDEX(Create_TC_Web!D$1:D$500,SMALL(IF(Create_TC_Web!$C$1:$C$500&lt;&gt;"",MATCH(ROW(Create_TC_Web!$C$1:$C$500),ROW(Create_TC_Web!$C$1:$C$500)),""),ROW(Create_TC_Web!B258))),"")</f>
        <v/>
      </c>
      <c r="B258" t="str" cm="1">
        <f t="array" ref="B258">SUBSTITUTE(SUBSTITUTE(SUBSTITUTE(IFERROR(INDEX(Create_TC_Web!E$1:E$505,SMALL(IF(Create_TC_Web!$C$1:$C$505&lt;&gt;"",MATCH(ROW(Create_TC_Web!$C$1:$C$505),ROW(Create_TC_Web!$C$1:$C$505)),""),ROW(Create_TC_Web!C258))),"")," ",""),"-",""),"_","")</f>
        <v/>
      </c>
      <c r="C258" t="str" cm="1">
        <f t="array" ref="C258">IFERROR(INDEX(Create_TC_Web!F$1:F$500,SMALL(IF(Create_TC_Web!$C$1:$C$500&lt;&gt;"",MATCH(ROW(Create_TC_Web!$C$1:$C$500),ROW(Create_TC_Web!$C$1:$C$500)),""),ROW(Create_TC_Web!D258))),"")</f>
        <v/>
      </c>
      <c r="D258" t="str" cm="1">
        <f t="array" ref="D258">IFERROR(INDEX(Create_TC_Web!G$1:G$500,SMALL(IF(Create_TC_Web!$C$1:$C$500&lt;&gt;"",MATCH(ROW(Create_TC_Web!$C$1:$C$500),ROW(Create_TC_Web!$C$1:$C$500)),""),ROW(Create_TC_Web!E258))),"")</f>
        <v/>
      </c>
      <c r="E258" t="str" cm="1">
        <f t="array" ref="E258">IFERROR(INDEX(Create_TC_Web!H$1:H$500,SMALL(IF(Create_TC_Web!$C$1:$C$500&lt;&gt;"",MATCH(ROW(Create_TC_Web!$C$1:$C$500),ROW(Create_TC_Web!$C$1:$C$500)),""),ROW(Create_TC_Web!F258))),"")</f>
        <v/>
      </c>
      <c r="F258" t="str" cm="1">
        <f t="array" ref="F258">IFERROR(INDEX(Create_TC_Web!I$1:I$500,SMALL(IF(Create_TC_Web!$C$1:$C$500&lt;&gt;"",MATCH(ROW(Create_TC_Web!$C$1:$C$500),ROW(Create_TC_Web!$C$1:$C$500)),""),ROW(Create_TC_Web!G258))),"")</f>
        <v/>
      </c>
      <c r="G258" t="str" cm="1">
        <f t="array" ref="G258">IFERROR(INDEX(Create_TC_Web!J$1:J$500,SMALL(IF(Create_TC_Web!$C$1:$C$500&lt;&gt;"",MATCH(ROW(Create_TC_Web!$C$1:$C$500),ROW(Create_TC_Web!$C$1:$C$500)),""),ROW(Create_TC_Web!H258))),"")</f>
        <v/>
      </c>
      <c r="H258" t="str" cm="1">
        <f t="array" ref="H258">IFERROR(INDEX(Create_TC_Web!K$1:K$500,SMALL(IF(Create_TC_Web!$C$1:$C$500&lt;&gt;"",MATCH(ROW(Create_TC_Web!$C$1:$C$500),ROW(Create_TC_Web!$C$1:$C$500)),""),ROW(Create_TC_Web!I258))),"")</f>
        <v/>
      </c>
      <c r="I258" t="str" cm="1">
        <f t="array" ref="I258">IFERROR(INDEX(Create_TC_Web!L$1:L$500,SMALL(IF(Create_TC_Web!$C$1:$C$500&lt;&gt;"",MATCH(ROW(Create_TC_Web!$C$1:$C$500),ROW(Create_TC_Web!$C$1:$C$500)),""),ROW(Create_TC_Web!J258))),"")</f>
        <v/>
      </c>
      <c r="J258" t="str" cm="1">
        <f t="array" ref="J258">IFERROR(INDEX(Create_TC_Web!M$1:M$500,SMALL(IF(Create_TC_Web!$C$1:$C$500&lt;&gt;"",MATCH(ROW(Create_TC_Web!$C$1:$C$500),ROW(Create_TC_Web!$C$1:$C$500)),""),ROW(Create_TC_Web!K258))),"")</f>
        <v/>
      </c>
      <c r="K258" t="str" cm="1">
        <f t="array" ref="K258">IFERROR(INDEX(Create_TC_Web!N$1:N$500,SMALL(IF(Create_TC_Web!$C$1:$C$500&lt;&gt;"",MATCH(ROW(Create_TC_Web!$C$1:$C$500),ROW(Create_TC_Web!$C$1:$C$500)),""),ROW(Create_TC_Web!L258))),"")</f>
        <v/>
      </c>
      <c r="L258" t="str" cm="1">
        <f t="array" ref="L258">IFERROR(INDEX(Create_TC_Web!O$1:O$500,SMALL(IF(Create_TC_Web!$C$1:$C$500&lt;&gt;"",MATCH(ROW(Create_TC_Web!$C$1:$C$500),ROW(Create_TC_Web!$C$1:$C$500)),""),ROW(Create_TC_Web!M258))),"")</f>
        <v/>
      </c>
      <c r="M258" t="str" cm="1">
        <f t="array" ref="M258">IFERROR(INDEX(Create_TC_Web!P$1:P$500,SMALL(IF(Create_TC_Web!$C$1:$C$500&lt;&gt;"",MATCH(ROW(Create_TC_Web!$C$1:$C$500),ROW(Create_TC_Web!$C$1:$C$500)),""),ROW(Create_TC_Web!N258))),"")</f>
        <v/>
      </c>
      <c r="N258">
        <f>Create_TC_Web!CA267</f>
        <v>0</v>
      </c>
      <c r="O258" t="str">
        <f t="shared" si="13"/>
        <v/>
      </c>
      <c r="P258" s="17" t="str" cm="1">
        <f t="array" ref="P258">IFERROR(INDEX(Create_TC_Web!S$1:S$500,SMALL(IF(Create_TC_Web!$C$1:$C$500&lt;&gt;"",MATCH(ROW(Create_TC_Web!$C$1:$C$500),ROW(Create_TC_Web!$C$1:$C$500)),""),ROW(Create_TC_Web!Q236))),"")</f>
        <v/>
      </c>
      <c r="S258" t="str">
        <f t="shared" si="14"/>
        <v/>
      </c>
    </row>
    <row r="259" spans="1:19">
      <c r="A259" t="str" cm="1">
        <f t="array" ref="A259">IFERROR(INDEX(Create_TC_Web!D$1:D$500,SMALL(IF(Create_TC_Web!$C$1:$C$500&lt;&gt;"",MATCH(ROW(Create_TC_Web!$C$1:$C$500),ROW(Create_TC_Web!$C$1:$C$500)),""),ROW(Create_TC_Web!B259))),"")</f>
        <v/>
      </c>
      <c r="B259" t="str" cm="1">
        <f t="array" ref="B259">SUBSTITUTE(SUBSTITUTE(SUBSTITUTE(IFERROR(INDEX(Create_TC_Web!E$1:E$505,SMALL(IF(Create_TC_Web!$C$1:$C$505&lt;&gt;"",MATCH(ROW(Create_TC_Web!$C$1:$C$505),ROW(Create_TC_Web!$C$1:$C$505)),""),ROW(Create_TC_Web!C259))),"")," ",""),"-",""),"_","")</f>
        <v/>
      </c>
      <c r="C259" t="str" cm="1">
        <f t="array" ref="C259">IFERROR(INDEX(Create_TC_Web!F$1:F$500,SMALL(IF(Create_TC_Web!$C$1:$C$500&lt;&gt;"",MATCH(ROW(Create_TC_Web!$C$1:$C$500),ROW(Create_TC_Web!$C$1:$C$500)),""),ROW(Create_TC_Web!D259))),"")</f>
        <v/>
      </c>
      <c r="D259" t="str" cm="1">
        <f t="array" ref="D259">IFERROR(INDEX(Create_TC_Web!G$1:G$500,SMALL(IF(Create_TC_Web!$C$1:$C$500&lt;&gt;"",MATCH(ROW(Create_TC_Web!$C$1:$C$500),ROW(Create_TC_Web!$C$1:$C$500)),""),ROW(Create_TC_Web!E259))),"")</f>
        <v/>
      </c>
      <c r="E259" t="str" cm="1">
        <f t="array" ref="E259">IFERROR(INDEX(Create_TC_Web!H$1:H$500,SMALL(IF(Create_TC_Web!$C$1:$C$500&lt;&gt;"",MATCH(ROW(Create_TC_Web!$C$1:$C$500),ROW(Create_TC_Web!$C$1:$C$500)),""),ROW(Create_TC_Web!F259))),"")</f>
        <v/>
      </c>
      <c r="F259" t="str" cm="1">
        <f t="array" ref="F259">IFERROR(INDEX(Create_TC_Web!I$1:I$500,SMALL(IF(Create_TC_Web!$C$1:$C$500&lt;&gt;"",MATCH(ROW(Create_TC_Web!$C$1:$C$500),ROW(Create_TC_Web!$C$1:$C$500)),""),ROW(Create_TC_Web!G259))),"")</f>
        <v/>
      </c>
      <c r="G259" t="str" cm="1">
        <f t="array" ref="G259">IFERROR(INDEX(Create_TC_Web!J$1:J$500,SMALL(IF(Create_TC_Web!$C$1:$C$500&lt;&gt;"",MATCH(ROW(Create_TC_Web!$C$1:$C$500),ROW(Create_TC_Web!$C$1:$C$500)),""),ROW(Create_TC_Web!H259))),"")</f>
        <v/>
      </c>
      <c r="H259" t="str" cm="1">
        <f t="array" ref="H259">IFERROR(INDEX(Create_TC_Web!K$1:K$500,SMALL(IF(Create_TC_Web!$C$1:$C$500&lt;&gt;"",MATCH(ROW(Create_TC_Web!$C$1:$C$500),ROW(Create_TC_Web!$C$1:$C$500)),""),ROW(Create_TC_Web!I259))),"")</f>
        <v/>
      </c>
      <c r="I259" t="str" cm="1">
        <f t="array" ref="I259">IFERROR(INDEX(Create_TC_Web!L$1:L$500,SMALL(IF(Create_TC_Web!$C$1:$C$500&lt;&gt;"",MATCH(ROW(Create_TC_Web!$C$1:$C$500),ROW(Create_TC_Web!$C$1:$C$500)),""),ROW(Create_TC_Web!J259))),"")</f>
        <v/>
      </c>
      <c r="J259" t="str" cm="1">
        <f t="array" ref="J259">IFERROR(INDEX(Create_TC_Web!M$1:M$500,SMALL(IF(Create_TC_Web!$C$1:$C$500&lt;&gt;"",MATCH(ROW(Create_TC_Web!$C$1:$C$500),ROW(Create_TC_Web!$C$1:$C$500)),""),ROW(Create_TC_Web!K259))),"")</f>
        <v/>
      </c>
      <c r="K259" t="str" cm="1">
        <f t="array" ref="K259">IFERROR(INDEX(Create_TC_Web!N$1:N$500,SMALL(IF(Create_TC_Web!$C$1:$C$500&lt;&gt;"",MATCH(ROW(Create_TC_Web!$C$1:$C$500),ROW(Create_TC_Web!$C$1:$C$500)),""),ROW(Create_TC_Web!L259))),"")</f>
        <v/>
      </c>
      <c r="L259" t="str" cm="1">
        <f t="array" ref="L259">IFERROR(INDEX(Create_TC_Web!O$1:O$500,SMALL(IF(Create_TC_Web!$C$1:$C$500&lt;&gt;"",MATCH(ROW(Create_TC_Web!$C$1:$C$500),ROW(Create_TC_Web!$C$1:$C$500)),""),ROW(Create_TC_Web!M259))),"")</f>
        <v/>
      </c>
      <c r="M259" t="str" cm="1">
        <f t="array" ref="M259">IFERROR(INDEX(Create_TC_Web!P$1:P$500,SMALL(IF(Create_TC_Web!$C$1:$C$500&lt;&gt;"",MATCH(ROW(Create_TC_Web!$C$1:$C$500),ROW(Create_TC_Web!$C$1:$C$500)),""),ROW(Create_TC_Web!N259))),"")</f>
        <v/>
      </c>
      <c r="N259">
        <f>Create_TC_Web!CA268</f>
        <v>0</v>
      </c>
      <c r="O259" t="str">
        <f t="shared" ref="O259:O322" si="15">IF(N259&lt;&gt;0,N259,"")</f>
        <v/>
      </c>
      <c r="P259" s="17" t="str" cm="1">
        <f t="array" ref="P259">IFERROR(INDEX(Create_TC_Web!S$1:S$500,SMALL(IF(Create_TC_Web!$C$1:$C$500&lt;&gt;"",MATCH(ROW(Create_TC_Web!$C$1:$C$500),ROW(Create_TC_Web!$C$1:$C$500)),""),ROW(Create_TC_Web!Q237))),"")</f>
        <v/>
      </c>
      <c r="S259" t="str">
        <f t="shared" ref="S259:S322" si="16">IF(P259&lt;&gt;0,P259,"")</f>
        <v/>
      </c>
    </row>
    <row r="260" spans="1:19">
      <c r="A260" t="str" cm="1">
        <f t="array" ref="A260">IFERROR(INDEX(Create_TC_Web!D$1:D$500,SMALL(IF(Create_TC_Web!$C$1:$C$500&lt;&gt;"",MATCH(ROW(Create_TC_Web!$C$1:$C$500),ROW(Create_TC_Web!$C$1:$C$500)),""),ROW(Create_TC_Web!B260))),"")</f>
        <v/>
      </c>
      <c r="B260" t="str" cm="1">
        <f t="array" ref="B260">SUBSTITUTE(SUBSTITUTE(SUBSTITUTE(IFERROR(INDEX(Create_TC_Web!E$1:E$505,SMALL(IF(Create_TC_Web!$C$1:$C$505&lt;&gt;"",MATCH(ROW(Create_TC_Web!$C$1:$C$505),ROW(Create_TC_Web!$C$1:$C$505)),""),ROW(Create_TC_Web!C260))),"")," ",""),"-",""),"_","")</f>
        <v/>
      </c>
      <c r="C260" t="str" cm="1">
        <f t="array" ref="C260">IFERROR(INDEX(Create_TC_Web!F$1:F$500,SMALL(IF(Create_TC_Web!$C$1:$C$500&lt;&gt;"",MATCH(ROW(Create_TC_Web!$C$1:$C$500),ROW(Create_TC_Web!$C$1:$C$500)),""),ROW(Create_TC_Web!D260))),"")</f>
        <v/>
      </c>
      <c r="D260" t="str" cm="1">
        <f t="array" ref="D260">IFERROR(INDEX(Create_TC_Web!G$1:G$500,SMALL(IF(Create_TC_Web!$C$1:$C$500&lt;&gt;"",MATCH(ROW(Create_TC_Web!$C$1:$C$500),ROW(Create_TC_Web!$C$1:$C$500)),""),ROW(Create_TC_Web!E260))),"")</f>
        <v/>
      </c>
      <c r="E260" t="str" cm="1">
        <f t="array" ref="E260">IFERROR(INDEX(Create_TC_Web!H$1:H$500,SMALL(IF(Create_TC_Web!$C$1:$C$500&lt;&gt;"",MATCH(ROW(Create_TC_Web!$C$1:$C$500),ROW(Create_TC_Web!$C$1:$C$500)),""),ROW(Create_TC_Web!F260))),"")</f>
        <v/>
      </c>
      <c r="F260" t="str" cm="1">
        <f t="array" ref="F260">IFERROR(INDEX(Create_TC_Web!I$1:I$500,SMALL(IF(Create_TC_Web!$C$1:$C$500&lt;&gt;"",MATCH(ROW(Create_TC_Web!$C$1:$C$500),ROW(Create_TC_Web!$C$1:$C$500)),""),ROW(Create_TC_Web!G260))),"")</f>
        <v/>
      </c>
      <c r="G260" t="str" cm="1">
        <f t="array" ref="G260">IFERROR(INDEX(Create_TC_Web!J$1:J$500,SMALL(IF(Create_TC_Web!$C$1:$C$500&lt;&gt;"",MATCH(ROW(Create_TC_Web!$C$1:$C$500),ROW(Create_TC_Web!$C$1:$C$500)),""),ROW(Create_TC_Web!H260))),"")</f>
        <v/>
      </c>
      <c r="H260" t="str" cm="1">
        <f t="array" ref="H260">IFERROR(INDEX(Create_TC_Web!K$1:K$500,SMALL(IF(Create_TC_Web!$C$1:$C$500&lt;&gt;"",MATCH(ROW(Create_TC_Web!$C$1:$C$500),ROW(Create_TC_Web!$C$1:$C$500)),""),ROW(Create_TC_Web!I260))),"")</f>
        <v/>
      </c>
      <c r="I260" t="str" cm="1">
        <f t="array" ref="I260">IFERROR(INDEX(Create_TC_Web!L$1:L$500,SMALL(IF(Create_TC_Web!$C$1:$C$500&lt;&gt;"",MATCH(ROW(Create_TC_Web!$C$1:$C$500),ROW(Create_TC_Web!$C$1:$C$500)),""),ROW(Create_TC_Web!J260))),"")</f>
        <v/>
      </c>
      <c r="J260" t="str" cm="1">
        <f t="array" ref="J260">IFERROR(INDEX(Create_TC_Web!M$1:M$500,SMALL(IF(Create_TC_Web!$C$1:$C$500&lt;&gt;"",MATCH(ROW(Create_TC_Web!$C$1:$C$500),ROW(Create_TC_Web!$C$1:$C$500)),""),ROW(Create_TC_Web!K260))),"")</f>
        <v/>
      </c>
      <c r="K260" t="str" cm="1">
        <f t="array" ref="K260">IFERROR(INDEX(Create_TC_Web!N$1:N$500,SMALL(IF(Create_TC_Web!$C$1:$C$500&lt;&gt;"",MATCH(ROW(Create_TC_Web!$C$1:$C$500),ROW(Create_TC_Web!$C$1:$C$500)),""),ROW(Create_TC_Web!L260))),"")</f>
        <v/>
      </c>
      <c r="L260" t="str" cm="1">
        <f t="array" ref="L260">IFERROR(INDEX(Create_TC_Web!O$1:O$500,SMALL(IF(Create_TC_Web!$C$1:$C$500&lt;&gt;"",MATCH(ROW(Create_TC_Web!$C$1:$C$500),ROW(Create_TC_Web!$C$1:$C$500)),""),ROW(Create_TC_Web!M260))),"")</f>
        <v/>
      </c>
      <c r="M260" t="str" cm="1">
        <f t="array" ref="M260">IFERROR(INDEX(Create_TC_Web!P$1:P$500,SMALL(IF(Create_TC_Web!$C$1:$C$500&lt;&gt;"",MATCH(ROW(Create_TC_Web!$C$1:$C$500),ROW(Create_TC_Web!$C$1:$C$500)),""),ROW(Create_TC_Web!N260))),"")</f>
        <v/>
      </c>
      <c r="N260">
        <f>Create_TC_Web!CA269</f>
        <v>0</v>
      </c>
      <c r="O260" t="str">
        <f t="shared" si="15"/>
        <v/>
      </c>
      <c r="P260" s="17" t="str" cm="1">
        <f t="array" ref="P260">IFERROR(INDEX(Create_TC_Web!S$1:S$500,SMALL(IF(Create_TC_Web!$C$1:$C$500&lt;&gt;"",MATCH(ROW(Create_TC_Web!$C$1:$C$500),ROW(Create_TC_Web!$C$1:$C$500)),""),ROW(Create_TC_Web!Q238))),"")</f>
        <v/>
      </c>
      <c r="S260" t="str">
        <f t="shared" si="16"/>
        <v/>
      </c>
    </row>
    <row r="261" spans="1:19">
      <c r="A261" t="str" cm="1">
        <f t="array" ref="A261">IFERROR(INDEX(Create_TC_Web!D$1:D$500,SMALL(IF(Create_TC_Web!$C$1:$C$500&lt;&gt;"",MATCH(ROW(Create_TC_Web!$C$1:$C$500),ROW(Create_TC_Web!$C$1:$C$500)),""),ROW(Create_TC_Web!B261))),"")</f>
        <v/>
      </c>
      <c r="B261" t="str" cm="1">
        <f t="array" ref="B261">SUBSTITUTE(SUBSTITUTE(SUBSTITUTE(IFERROR(INDEX(Create_TC_Web!E$1:E$505,SMALL(IF(Create_TC_Web!$C$1:$C$505&lt;&gt;"",MATCH(ROW(Create_TC_Web!$C$1:$C$505),ROW(Create_TC_Web!$C$1:$C$505)),""),ROW(Create_TC_Web!C261))),"")," ",""),"-",""),"_","")</f>
        <v/>
      </c>
      <c r="C261" t="str" cm="1">
        <f t="array" ref="C261">IFERROR(INDEX(Create_TC_Web!F$1:F$500,SMALL(IF(Create_TC_Web!$C$1:$C$500&lt;&gt;"",MATCH(ROW(Create_TC_Web!$C$1:$C$500),ROW(Create_TC_Web!$C$1:$C$500)),""),ROW(Create_TC_Web!D261))),"")</f>
        <v/>
      </c>
      <c r="D261" t="str" cm="1">
        <f t="array" ref="D261">IFERROR(INDEX(Create_TC_Web!G$1:G$500,SMALL(IF(Create_TC_Web!$C$1:$C$500&lt;&gt;"",MATCH(ROW(Create_TC_Web!$C$1:$C$500),ROW(Create_TC_Web!$C$1:$C$500)),""),ROW(Create_TC_Web!E261))),"")</f>
        <v/>
      </c>
      <c r="E261" t="str" cm="1">
        <f t="array" ref="E261">IFERROR(INDEX(Create_TC_Web!H$1:H$500,SMALL(IF(Create_TC_Web!$C$1:$C$500&lt;&gt;"",MATCH(ROW(Create_TC_Web!$C$1:$C$500),ROW(Create_TC_Web!$C$1:$C$500)),""),ROW(Create_TC_Web!F261))),"")</f>
        <v/>
      </c>
      <c r="F261" t="str" cm="1">
        <f t="array" ref="F261">IFERROR(INDEX(Create_TC_Web!I$1:I$500,SMALL(IF(Create_TC_Web!$C$1:$C$500&lt;&gt;"",MATCH(ROW(Create_TC_Web!$C$1:$C$500),ROW(Create_TC_Web!$C$1:$C$500)),""),ROW(Create_TC_Web!G261))),"")</f>
        <v/>
      </c>
      <c r="G261" t="str" cm="1">
        <f t="array" ref="G261">IFERROR(INDEX(Create_TC_Web!J$1:J$500,SMALL(IF(Create_TC_Web!$C$1:$C$500&lt;&gt;"",MATCH(ROW(Create_TC_Web!$C$1:$C$500),ROW(Create_TC_Web!$C$1:$C$500)),""),ROW(Create_TC_Web!H261))),"")</f>
        <v/>
      </c>
      <c r="H261" t="str" cm="1">
        <f t="array" ref="H261">IFERROR(INDEX(Create_TC_Web!K$1:K$500,SMALL(IF(Create_TC_Web!$C$1:$C$500&lt;&gt;"",MATCH(ROW(Create_TC_Web!$C$1:$C$500),ROW(Create_TC_Web!$C$1:$C$500)),""),ROW(Create_TC_Web!I261))),"")</f>
        <v/>
      </c>
      <c r="I261" t="str" cm="1">
        <f t="array" ref="I261">IFERROR(INDEX(Create_TC_Web!L$1:L$500,SMALL(IF(Create_TC_Web!$C$1:$C$500&lt;&gt;"",MATCH(ROW(Create_TC_Web!$C$1:$C$500),ROW(Create_TC_Web!$C$1:$C$500)),""),ROW(Create_TC_Web!J261))),"")</f>
        <v/>
      </c>
      <c r="J261" t="str" cm="1">
        <f t="array" ref="J261">IFERROR(INDEX(Create_TC_Web!M$1:M$500,SMALL(IF(Create_TC_Web!$C$1:$C$500&lt;&gt;"",MATCH(ROW(Create_TC_Web!$C$1:$C$500),ROW(Create_TC_Web!$C$1:$C$500)),""),ROW(Create_TC_Web!K261))),"")</f>
        <v/>
      </c>
      <c r="K261" t="str" cm="1">
        <f t="array" ref="K261">IFERROR(INDEX(Create_TC_Web!N$1:N$500,SMALL(IF(Create_TC_Web!$C$1:$C$500&lt;&gt;"",MATCH(ROW(Create_TC_Web!$C$1:$C$500),ROW(Create_TC_Web!$C$1:$C$500)),""),ROW(Create_TC_Web!L261))),"")</f>
        <v/>
      </c>
      <c r="L261" t="str" cm="1">
        <f t="array" ref="L261">IFERROR(INDEX(Create_TC_Web!O$1:O$500,SMALL(IF(Create_TC_Web!$C$1:$C$500&lt;&gt;"",MATCH(ROW(Create_TC_Web!$C$1:$C$500),ROW(Create_TC_Web!$C$1:$C$500)),""),ROW(Create_TC_Web!M261))),"")</f>
        <v/>
      </c>
      <c r="M261" t="str" cm="1">
        <f t="array" ref="M261">IFERROR(INDEX(Create_TC_Web!P$1:P$500,SMALL(IF(Create_TC_Web!$C$1:$C$500&lt;&gt;"",MATCH(ROW(Create_TC_Web!$C$1:$C$500),ROW(Create_TC_Web!$C$1:$C$500)),""),ROW(Create_TC_Web!N261))),"")</f>
        <v/>
      </c>
      <c r="N261">
        <f>Create_TC_Web!CA270</f>
        <v>0</v>
      </c>
      <c r="O261" t="str">
        <f t="shared" si="15"/>
        <v/>
      </c>
      <c r="P261" s="17" t="str" cm="1">
        <f t="array" ref="P261">IFERROR(INDEX(Create_TC_Web!S$1:S$500,SMALL(IF(Create_TC_Web!$C$1:$C$500&lt;&gt;"",MATCH(ROW(Create_TC_Web!$C$1:$C$500),ROW(Create_TC_Web!$C$1:$C$500)),""),ROW(Create_TC_Web!Q239))),"")</f>
        <v/>
      </c>
      <c r="S261" t="str">
        <f t="shared" si="16"/>
        <v/>
      </c>
    </row>
    <row r="262" spans="1:19">
      <c r="A262" t="str" cm="1">
        <f t="array" ref="A262">IFERROR(INDEX(Create_TC_Web!D$1:D$500,SMALL(IF(Create_TC_Web!$C$1:$C$500&lt;&gt;"",MATCH(ROW(Create_TC_Web!$C$1:$C$500),ROW(Create_TC_Web!$C$1:$C$500)),""),ROW(Create_TC_Web!B262))),"")</f>
        <v/>
      </c>
      <c r="B262" t="str" cm="1">
        <f t="array" ref="B262">SUBSTITUTE(SUBSTITUTE(SUBSTITUTE(IFERROR(INDEX(Create_TC_Web!E$1:E$505,SMALL(IF(Create_TC_Web!$C$1:$C$505&lt;&gt;"",MATCH(ROW(Create_TC_Web!$C$1:$C$505),ROW(Create_TC_Web!$C$1:$C$505)),""),ROW(Create_TC_Web!C262))),"")," ",""),"-",""),"_","")</f>
        <v/>
      </c>
      <c r="C262" t="str" cm="1">
        <f t="array" ref="C262">IFERROR(INDEX(Create_TC_Web!F$1:F$500,SMALL(IF(Create_TC_Web!$C$1:$C$500&lt;&gt;"",MATCH(ROW(Create_TC_Web!$C$1:$C$500),ROW(Create_TC_Web!$C$1:$C$500)),""),ROW(Create_TC_Web!D262))),"")</f>
        <v/>
      </c>
      <c r="D262" t="str" cm="1">
        <f t="array" ref="D262">IFERROR(INDEX(Create_TC_Web!G$1:G$500,SMALL(IF(Create_TC_Web!$C$1:$C$500&lt;&gt;"",MATCH(ROW(Create_TC_Web!$C$1:$C$500),ROW(Create_TC_Web!$C$1:$C$500)),""),ROW(Create_TC_Web!E262))),"")</f>
        <v/>
      </c>
      <c r="E262" t="str" cm="1">
        <f t="array" ref="E262">IFERROR(INDEX(Create_TC_Web!H$1:H$500,SMALL(IF(Create_TC_Web!$C$1:$C$500&lt;&gt;"",MATCH(ROW(Create_TC_Web!$C$1:$C$500),ROW(Create_TC_Web!$C$1:$C$500)),""),ROW(Create_TC_Web!F262))),"")</f>
        <v/>
      </c>
      <c r="F262" t="str" cm="1">
        <f t="array" ref="F262">IFERROR(INDEX(Create_TC_Web!I$1:I$500,SMALL(IF(Create_TC_Web!$C$1:$C$500&lt;&gt;"",MATCH(ROW(Create_TC_Web!$C$1:$C$500),ROW(Create_TC_Web!$C$1:$C$500)),""),ROW(Create_TC_Web!G262))),"")</f>
        <v/>
      </c>
      <c r="G262" t="str" cm="1">
        <f t="array" ref="G262">IFERROR(INDEX(Create_TC_Web!J$1:J$500,SMALL(IF(Create_TC_Web!$C$1:$C$500&lt;&gt;"",MATCH(ROW(Create_TC_Web!$C$1:$C$500),ROW(Create_TC_Web!$C$1:$C$500)),""),ROW(Create_TC_Web!H262))),"")</f>
        <v/>
      </c>
      <c r="H262" t="str" cm="1">
        <f t="array" ref="H262">IFERROR(INDEX(Create_TC_Web!K$1:K$500,SMALL(IF(Create_TC_Web!$C$1:$C$500&lt;&gt;"",MATCH(ROW(Create_TC_Web!$C$1:$C$500),ROW(Create_TC_Web!$C$1:$C$500)),""),ROW(Create_TC_Web!I262))),"")</f>
        <v/>
      </c>
      <c r="I262" t="str" cm="1">
        <f t="array" ref="I262">IFERROR(INDEX(Create_TC_Web!L$1:L$500,SMALL(IF(Create_TC_Web!$C$1:$C$500&lt;&gt;"",MATCH(ROW(Create_TC_Web!$C$1:$C$500),ROW(Create_TC_Web!$C$1:$C$500)),""),ROW(Create_TC_Web!J262))),"")</f>
        <v/>
      </c>
      <c r="J262" t="str" cm="1">
        <f t="array" ref="J262">IFERROR(INDEX(Create_TC_Web!M$1:M$500,SMALL(IF(Create_TC_Web!$C$1:$C$500&lt;&gt;"",MATCH(ROW(Create_TC_Web!$C$1:$C$500),ROW(Create_TC_Web!$C$1:$C$500)),""),ROW(Create_TC_Web!K262))),"")</f>
        <v/>
      </c>
      <c r="K262" t="str" cm="1">
        <f t="array" ref="K262">IFERROR(INDEX(Create_TC_Web!N$1:N$500,SMALL(IF(Create_TC_Web!$C$1:$C$500&lt;&gt;"",MATCH(ROW(Create_TC_Web!$C$1:$C$500),ROW(Create_TC_Web!$C$1:$C$500)),""),ROW(Create_TC_Web!L262))),"")</f>
        <v/>
      </c>
      <c r="L262" t="str" cm="1">
        <f t="array" ref="L262">IFERROR(INDEX(Create_TC_Web!O$1:O$500,SMALL(IF(Create_TC_Web!$C$1:$C$500&lt;&gt;"",MATCH(ROW(Create_TC_Web!$C$1:$C$500),ROW(Create_TC_Web!$C$1:$C$500)),""),ROW(Create_TC_Web!M262))),"")</f>
        <v/>
      </c>
      <c r="M262" t="str" cm="1">
        <f t="array" ref="M262">IFERROR(INDEX(Create_TC_Web!P$1:P$500,SMALL(IF(Create_TC_Web!$C$1:$C$500&lt;&gt;"",MATCH(ROW(Create_TC_Web!$C$1:$C$500),ROW(Create_TC_Web!$C$1:$C$500)),""),ROW(Create_TC_Web!N262))),"")</f>
        <v/>
      </c>
      <c r="N262">
        <f>Create_TC_Web!CA271</f>
        <v>0</v>
      </c>
      <c r="O262" t="str">
        <f t="shared" si="15"/>
        <v/>
      </c>
      <c r="P262" s="17" t="str" cm="1">
        <f t="array" ref="P262">IFERROR(INDEX(Create_TC_Web!S$1:S$500,SMALL(IF(Create_TC_Web!$C$1:$C$500&lt;&gt;"",MATCH(ROW(Create_TC_Web!$C$1:$C$500),ROW(Create_TC_Web!$C$1:$C$500)),""),ROW(Create_TC_Web!Q240))),"")</f>
        <v/>
      </c>
      <c r="S262" t="str">
        <f t="shared" si="16"/>
        <v/>
      </c>
    </row>
    <row r="263" spans="1:19">
      <c r="A263" t="str" cm="1">
        <f t="array" ref="A263">IFERROR(INDEX(Create_TC_Web!D$1:D$500,SMALL(IF(Create_TC_Web!$C$1:$C$500&lt;&gt;"",MATCH(ROW(Create_TC_Web!$C$1:$C$500),ROW(Create_TC_Web!$C$1:$C$500)),""),ROW(Create_TC_Web!B263))),"")</f>
        <v/>
      </c>
      <c r="B263" t="str" cm="1">
        <f t="array" ref="B263">SUBSTITUTE(SUBSTITUTE(SUBSTITUTE(IFERROR(INDEX(Create_TC_Web!E$1:E$505,SMALL(IF(Create_TC_Web!$C$1:$C$505&lt;&gt;"",MATCH(ROW(Create_TC_Web!$C$1:$C$505),ROW(Create_TC_Web!$C$1:$C$505)),""),ROW(Create_TC_Web!C263))),"")," ",""),"-",""),"_","")</f>
        <v/>
      </c>
      <c r="C263" t="str" cm="1">
        <f t="array" ref="C263">IFERROR(INDEX(Create_TC_Web!F$1:F$500,SMALL(IF(Create_TC_Web!$C$1:$C$500&lt;&gt;"",MATCH(ROW(Create_TC_Web!$C$1:$C$500),ROW(Create_TC_Web!$C$1:$C$500)),""),ROW(Create_TC_Web!D263))),"")</f>
        <v/>
      </c>
      <c r="D263" t="str" cm="1">
        <f t="array" ref="D263">IFERROR(INDEX(Create_TC_Web!G$1:G$500,SMALL(IF(Create_TC_Web!$C$1:$C$500&lt;&gt;"",MATCH(ROW(Create_TC_Web!$C$1:$C$500),ROW(Create_TC_Web!$C$1:$C$500)),""),ROW(Create_TC_Web!E263))),"")</f>
        <v/>
      </c>
      <c r="E263" t="str" cm="1">
        <f t="array" ref="E263">IFERROR(INDEX(Create_TC_Web!H$1:H$500,SMALL(IF(Create_TC_Web!$C$1:$C$500&lt;&gt;"",MATCH(ROW(Create_TC_Web!$C$1:$C$500),ROW(Create_TC_Web!$C$1:$C$500)),""),ROW(Create_TC_Web!F263))),"")</f>
        <v/>
      </c>
      <c r="F263" t="str" cm="1">
        <f t="array" ref="F263">IFERROR(INDEX(Create_TC_Web!I$1:I$500,SMALL(IF(Create_TC_Web!$C$1:$C$500&lt;&gt;"",MATCH(ROW(Create_TC_Web!$C$1:$C$500),ROW(Create_TC_Web!$C$1:$C$500)),""),ROW(Create_TC_Web!G263))),"")</f>
        <v/>
      </c>
      <c r="G263" t="str" cm="1">
        <f t="array" ref="G263">IFERROR(INDEX(Create_TC_Web!J$1:J$500,SMALL(IF(Create_TC_Web!$C$1:$C$500&lt;&gt;"",MATCH(ROW(Create_TC_Web!$C$1:$C$500),ROW(Create_TC_Web!$C$1:$C$500)),""),ROW(Create_TC_Web!H263))),"")</f>
        <v/>
      </c>
      <c r="H263" t="str" cm="1">
        <f t="array" ref="H263">IFERROR(INDEX(Create_TC_Web!K$1:K$500,SMALL(IF(Create_TC_Web!$C$1:$C$500&lt;&gt;"",MATCH(ROW(Create_TC_Web!$C$1:$C$500),ROW(Create_TC_Web!$C$1:$C$500)),""),ROW(Create_TC_Web!I263))),"")</f>
        <v/>
      </c>
      <c r="I263" t="str" cm="1">
        <f t="array" ref="I263">IFERROR(INDEX(Create_TC_Web!L$1:L$500,SMALL(IF(Create_TC_Web!$C$1:$C$500&lt;&gt;"",MATCH(ROW(Create_TC_Web!$C$1:$C$500),ROW(Create_TC_Web!$C$1:$C$500)),""),ROW(Create_TC_Web!J263))),"")</f>
        <v/>
      </c>
      <c r="J263" t="str" cm="1">
        <f t="array" ref="J263">IFERROR(INDEX(Create_TC_Web!M$1:M$500,SMALL(IF(Create_TC_Web!$C$1:$C$500&lt;&gt;"",MATCH(ROW(Create_TC_Web!$C$1:$C$500),ROW(Create_TC_Web!$C$1:$C$500)),""),ROW(Create_TC_Web!K263))),"")</f>
        <v/>
      </c>
      <c r="K263" t="str" cm="1">
        <f t="array" ref="K263">IFERROR(INDEX(Create_TC_Web!N$1:N$500,SMALL(IF(Create_TC_Web!$C$1:$C$500&lt;&gt;"",MATCH(ROW(Create_TC_Web!$C$1:$C$500),ROW(Create_TC_Web!$C$1:$C$500)),""),ROW(Create_TC_Web!L263))),"")</f>
        <v/>
      </c>
      <c r="L263" t="str" cm="1">
        <f t="array" ref="L263">IFERROR(INDEX(Create_TC_Web!O$1:O$500,SMALL(IF(Create_TC_Web!$C$1:$C$500&lt;&gt;"",MATCH(ROW(Create_TC_Web!$C$1:$C$500),ROW(Create_TC_Web!$C$1:$C$500)),""),ROW(Create_TC_Web!M263))),"")</f>
        <v/>
      </c>
      <c r="M263" t="str" cm="1">
        <f t="array" ref="M263">IFERROR(INDEX(Create_TC_Web!P$1:P$500,SMALL(IF(Create_TC_Web!$C$1:$C$500&lt;&gt;"",MATCH(ROW(Create_TC_Web!$C$1:$C$500),ROW(Create_TC_Web!$C$1:$C$500)),""),ROW(Create_TC_Web!N263))),"")</f>
        <v/>
      </c>
      <c r="N263">
        <f>Create_TC_Web!CA272</f>
        <v>0</v>
      </c>
      <c r="O263" t="str">
        <f t="shared" si="15"/>
        <v/>
      </c>
      <c r="P263" s="17" t="str" cm="1">
        <f t="array" ref="P263">IFERROR(INDEX(Create_TC_Web!S$1:S$500,SMALL(IF(Create_TC_Web!$C$1:$C$500&lt;&gt;"",MATCH(ROW(Create_TC_Web!$C$1:$C$500),ROW(Create_TC_Web!$C$1:$C$500)),""),ROW(Create_TC_Web!Q241))),"")</f>
        <v/>
      </c>
      <c r="S263" t="str">
        <f t="shared" si="16"/>
        <v/>
      </c>
    </row>
    <row r="264" spans="1:19">
      <c r="A264" t="str" cm="1">
        <f t="array" ref="A264">IFERROR(INDEX(Create_TC_Web!D$1:D$500,SMALL(IF(Create_TC_Web!$C$1:$C$500&lt;&gt;"",MATCH(ROW(Create_TC_Web!$C$1:$C$500),ROW(Create_TC_Web!$C$1:$C$500)),""),ROW(Create_TC_Web!B264))),"")</f>
        <v/>
      </c>
      <c r="B264" t="str" cm="1">
        <f t="array" ref="B264">SUBSTITUTE(SUBSTITUTE(SUBSTITUTE(IFERROR(INDEX(Create_TC_Web!E$1:E$505,SMALL(IF(Create_TC_Web!$C$1:$C$505&lt;&gt;"",MATCH(ROW(Create_TC_Web!$C$1:$C$505),ROW(Create_TC_Web!$C$1:$C$505)),""),ROW(Create_TC_Web!C264))),"")," ",""),"-",""),"_","")</f>
        <v/>
      </c>
      <c r="C264" t="str" cm="1">
        <f t="array" ref="C264">IFERROR(INDEX(Create_TC_Web!F$1:F$500,SMALL(IF(Create_TC_Web!$C$1:$C$500&lt;&gt;"",MATCH(ROW(Create_TC_Web!$C$1:$C$500),ROW(Create_TC_Web!$C$1:$C$500)),""),ROW(Create_TC_Web!D264))),"")</f>
        <v/>
      </c>
      <c r="D264" t="str" cm="1">
        <f t="array" ref="D264">IFERROR(INDEX(Create_TC_Web!G$1:G$500,SMALL(IF(Create_TC_Web!$C$1:$C$500&lt;&gt;"",MATCH(ROW(Create_TC_Web!$C$1:$C$500),ROW(Create_TC_Web!$C$1:$C$500)),""),ROW(Create_TC_Web!E264))),"")</f>
        <v/>
      </c>
      <c r="E264" t="str" cm="1">
        <f t="array" ref="E264">IFERROR(INDEX(Create_TC_Web!H$1:H$500,SMALL(IF(Create_TC_Web!$C$1:$C$500&lt;&gt;"",MATCH(ROW(Create_TC_Web!$C$1:$C$500),ROW(Create_TC_Web!$C$1:$C$500)),""),ROW(Create_TC_Web!F264))),"")</f>
        <v/>
      </c>
      <c r="F264" t="str" cm="1">
        <f t="array" ref="F264">IFERROR(INDEX(Create_TC_Web!I$1:I$500,SMALL(IF(Create_TC_Web!$C$1:$C$500&lt;&gt;"",MATCH(ROW(Create_TC_Web!$C$1:$C$500),ROW(Create_TC_Web!$C$1:$C$500)),""),ROW(Create_TC_Web!G264))),"")</f>
        <v/>
      </c>
      <c r="G264" t="str" cm="1">
        <f t="array" ref="G264">IFERROR(INDEX(Create_TC_Web!J$1:J$500,SMALL(IF(Create_TC_Web!$C$1:$C$500&lt;&gt;"",MATCH(ROW(Create_TC_Web!$C$1:$C$500),ROW(Create_TC_Web!$C$1:$C$500)),""),ROW(Create_TC_Web!H264))),"")</f>
        <v/>
      </c>
      <c r="H264" t="str" cm="1">
        <f t="array" ref="H264">IFERROR(INDEX(Create_TC_Web!K$1:K$500,SMALL(IF(Create_TC_Web!$C$1:$C$500&lt;&gt;"",MATCH(ROW(Create_TC_Web!$C$1:$C$500),ROW(Create_TC_Web!$C$1:$C$500)),""),ROW(Create_TC_Web!I264))),"")</f>
        <v/>
      </c>
      <c r="I264" t="str" cm="1">
        <f t="array" ref="I264">IFERROR(INDEX(Create_TC_Web!L$1:L$500,SMALL(IF(Create_TC_Web!$C$1:$C$500&lt;&gt;"",MATCH(ROW(Create_TC_Web!$C$1:$C$500),ROW(Create_TC_Web!$C$1:$C$500)),""),ROW(Create_TC_Web!J264))),"")</f>
        <v/>
      </c>
      <c r="J264" t="str" cm="1">
        <f t="array" ref="J264">IFERROR(INDEX(Create_TC_Web!M$1:M$500,SMALL(IF(Create_TC_Web!$C$1:$C$500&lt;&gt;"",MATCH(ROW(Create_TC_Web!$C$1:$C$500),ROW(Create_TC_Web!$C$1:$C$500)),""),ROW(Create_TC_Web!K264))),"")</f>
        <v/>
      </c>
      <c r="K264" t="str" cm="1">
        <f t="array" ref="K264">IFERROR(INDEX(Create_TC_Web!N$1:N$500,SMALL(IF(Create_TC_Web!$C$1:$C$500&lt;&gt;"",MATCH(ROW(Create_TC_Web!$C$1:$C$500),ROW(Create_TC_Web!$C$1:$C$500)),""),ROW(Create_TC_Web!L264))),"")</f>
        <v/>
      </c>
      <c r="L264" t="str" cm="1">
        <f t="array" ref="L264">IFERROR(INDEX(Create_TC_Web!O$1:O$500,SMALL(IF(Create_TC_Web!$C$1:$C$500&lt;&gt;"",MATCH(ROW(Create_TC_Web!$C$1:$C$500),ROW(Create_TC_Web!$C$1:$C$500)),""),ROW(Create_TC_Web!M264))),"")</f>
        <v/>
      </c>
      <c r="M264" t="str" cm="1">
        <f t="array" ref="M264">IFERROR(INDEX(Create_TC_Web!P$1:P$500,SMALL(IF(Create_TC_Web!$C$1:$C$500&lt;&gt;"",MATCH(ROW(Create_TC_Web!$C$1:$C$500),ROW(Create_TC_Web!$C$1:$C$500)),""),ROW(Create_TC_Web!N264))),"")</f>
        <v/>
      </c>
      <c r="N264">
        <f>Create_TC_Web!CA273</f>
        <v>0</v>
      </c>
      <c r="O264" t="str">
        <f t="shared" si="15"/>
        <v/>
      </c>
      <c r="P264" s="17" t="str" cm="1">
        <f t="array" ref="P264">IFERROR(INDEX(Create_TC_Web!S$1:S$500,SMALL(IF(Create_TC_Web!$C$1:$C$500&lt;&gt;"",MATCH(ROW(Create_TC_Web!$C$1:$C$500),ROW(Create_TC_Web!$C$1:$C$500)),""),ROW(Create_TC_Web!Q242))),"")</f>
        <v/>
      </c>
      <c r="S264" t="str">
        <f t="shared" si="16"/>
        <v/>
      </c>
    </row>
    <row r="265" spans="1:19">
      <c r="A265" t="str" cm="1">
        <f t="array" ref="A265">IFERROR(INDEX(Create_TC_Web!D$1:D$500,SMALL(IF(Create_TC_Web!$C$1:$C$500&lt;&gt;"",MATCH(ROW(Create_TC_Web!$C$1:$C$500),ROW(Create_TC_Web!$C$1:$C$500)),""),ROW(Create_TC_Web!B265))),"")</f>
        <v/>
      </c>
      <c r="B265" t="str" cm="1">
        <f t="array" ref="B265">SUBSTITUTE(SUBSTITUTE(SUBSTITUTE(IFERROR(INDEX(Create_TC_Web!E$1:E$505,SMALL(IF(Create_TC_Web!$C$1:$C$505&lt;&gt;"",MATCH(ROW(Create_TC_Web!$C$1:$C$505),ROW(Create_TC_Web!$C$1:$C$505)),""),ROW(Create_TC_Web!C265))),"")," ",""),"-",""),"_","")</f>
        <v/>
      </c>
      <c r="C265" t="str" cm="1">
        <f t="array" ref="C265">IFERROR(INDEX(Create_TC_Web!F$1:F$500,SMALL(IF(Create_TC_Web!$C$1:$C$500&lt;&gt;"",MATCH(ROW(Create_TC_Web!$C$1:$C$500),ROW(Create_TC_Web!$C$1:$C$500)),""),ROW(Create_TC_Web!D265))),"")</f>
        <v/>
      </c>
      <c r="D265" t="str" cm="1">
        <f t="array" ref="D265">IFERROR(INDEX(Create_TC_Web!G$1:G$500,SMALL(IF(Create_TC_Web!$C$1:$C$500&lt;&gt;"",MATCH(ROW(Create_TC_Web!$C$1:$C$500),ROW(Create_TC_Web!$C$1:$C$500)),""),ROW(Create_TC_Web!E265))),"")</f>
        <v/>
      </c>
      <c r="E265" t="str" cm="1">
        <f t="array" ref="E265">IFERROR(INDEX(Create_TC_Web!H$1:H$500,SMALL(IF(Create_TC_Web!$C$1:$C$500&lt;&gt;"",MATCH(ROW(Create_TC_Web!$C$1:$C$500),ROW(Create_TC_Web!$C$1:$C$500)),""),ROW(Create_TC_Web!F265))),"")</f>
        <v/>
      </c>
      <c r="F265" t="str" cm="1">
        <f t="array" ref="F265">IFERROR(INDEX(Create_TC_Web!I$1:I$500,SMALL(IF(Create_TC_Web!$C$1:$C$500&lt;&gt;"",MATCH(ROW(Create_TC_Web!$C$1:$C$500),ROW(Create_TC_Web!$C$1:$C$500)),""),ROW(Create_TC_Web!G265))),"")</f>
        <v/>
      </c>
      <c r="G265" t="str" cm="1">
        <f t="array" ref="G265">IFERROR(INDEX(Create_TC_Web!J$1:J$500,SMALL(IF(Create_TC_Web!$C$1:$C$500&lt;&gt;"",MATCH(ROW(Create_TC_Web!$C$1:$C$500),ROW(Create_TC_Web!$C$1:$C$500)),""),ROW(Create_TC_Web!H265))),"")</f>
        <v/>
      </c>
      <c r="H265" t="str" cm="1">
        <f t="array" ref="H265">IFERROR(INDEX(Create_TC_Web!K$1:K$500,SMALL(IF(Create_TC_Web!$C$1:$C$500&lt;&gt;"",MATCH(ROW(Create_TC_Web!$C$1:$C$500),ROW(Create_TC_Web!$C$1:$C$500)),""),ROW(Create_TC_Web!I265))),"")</f>
        <v/>
      </c>
      <c r="I265" t="str" cm="1">
        <f t="array" ref="I265">IFERROR(INDEX(Create_TC_Web!L$1:L$500,SMALL(IF(Create_TC_Web!$C$1:$C$500&lt;&gt;"",MATCH(ROW(Create_TC_Web!$C$1:$C$500),ROW(Create_TC_Web!$C$1:$C$500)),""),ROW(Create_TC_Web!J265))),"")</f>
        <v/>
      </c>
      <c r="J265" t="str" cm="1">
        <f t="array" ref="J265">IFERROR(INDEX(Create_TC_Web!M$1:M$500,SMALL(IF(Create_TC_Web!$C$1:$C$500&lt;&gt;"",MATCH(ROW(Create_TC_Web!$C$1:$C$500),ROW(Create_TC_Web!$C$1:$C$500)),""),ROW(Create_TC_Web!K265))),"")</f>
        <v/>
      </c>
      <c r="K265" t="str" cm="1">
        <f t="array" ref="K265">IFERROR(INDEX(Create_TC_Web!N$1:N$500,SMALL(IF(Create_TC_Web!$C$1:$C$500&lt;&gt;"",MATCH(ROW(Create_TC_Web!$C$1:$C$500),ROW(Create_TC_Web!$C$1:$C$500)),""),ROW(Create_TC_Web!L265))),"")</f>
        <v/>
      </c>
      <c r="L265" t="str" cm="1">
        <f t="array" ref="L265">IFERROR(INDEX(Create_TC_Web!O$1:O$500,SMALL(IF(Create_TC_Web!$C$1:$C$500&lt;&gt;"",MATCH(ROW(Create_TC_Web!$C$1:$C$500),ROW(Create_TC_Web!$C$1:$C$500)),""),ROW(Create_TC_Web!M265))),"")</f>
        <v/>
      </c>
      <c r="M265" t="str" cm="1">
        <f t="array" ref="M265">IFERROR(INDEX(Create_TC_Web!P$1:P$500,SMALL(IF(Create_TC_Web!$C$1:$C$500&lt;&gt;"",MATCH(ROW(Create_TC_Web!$C$1:$C$500),ROW(Create_TC_Web!$C$1:$C$500)),""),ROW(Create_TC_Web!N265))),"")</f>
        <v/>
      </c>
      <c r="N265">
        <f>Create_TC_Web!CA274</f>
        <v>0</v>
      </c>
      <c r="O265" t="str">
        <f t="shared" si="15"/>
        <v/>
      </c>
      <c r="P265" s="17" t="str" cm="1">
        <f t="array" ref="P265">IFERROR(INDEX(Create_TC_Web!S$1:S$500,SMALL(IF(Create_TC_Web!$C$1:$C$500&lt;&gt;"",MATCH(ROW(Create_TC_Web!$C$1:$C$500),ROW(Create_TC_Web!$C$1:$C$500)),""),ROW(Create_TC_Web!Q243))),"")</f>
        <v/>
      </c>
      <c r="S265" t="str">
        <f t="shared" si="16"/>
        <v/>
      </c>
    </row>
    <row r="266" spans="1:19">
      <c r="A266" t="str" cm="1">
        <f t="array" ref="A266">IFERROR(INDEX(Create_TC_Web!D$1:D$500,SMALL(IF(Create_TC_Web!$C$1:$C$500&lt;&gt;"",MATCH(ROW(Create_TC_Web!$C$1:$C$500),ROW(Create_TC_Web!$C$1:$C$500)),""),ROW(Create_TC_Web!B266))),"")</f>
        <v/>
      </c>
      <c r="B266" t="str" cm="1">
        <f t="array" ref="B266">SUBSTITUTE(SUBSTITUTE(SUBSTITUTE(IFERROR(INDEX(Create_TC_Web!E$1:E$505,SMALL(IF(Create_TC_Web!$C$1:$C$505&lt;&gt;"",MATCH(ROW(Create_TC_Web!$C$1:$C$505),ROW(Create_TC_Web!$C$1:$C$505)),""),ROW(Create_TC_Web!C266))),"")," ",""),"-",""),"_","")</f>
        <v/>
      </c>
      <c r="C266" t="str" cm="1">
        <f t="array" ref="C266">IFERROR(INDEX(Create_TC_Web!F$1:F$500,SMALL(IF(Create_TC_Web!$C$1:$C$500&lt;&gt;"",MATCH(ROW(Create_TC_Web!$C$1:$C$500),ROW(Create_TC_Web!$C$1:$C$500)),""),ROW(Create_TC_Web!D266))),"")</f>
        <v/>
      </c>
      <c r="D266" t="str" cm="1">
        <f t="array" ref="D266">IFERROR(INDEX(Create_TC_Web!G$1:G$500,SMALL(IF(Create_TC_Web!$C$1:$C$500&lt;&gt;"",MATCH(ROW(Create_TC_Web!$C$1:$C$500),ROW(Create_TC_Web!$C$1:$C$500)),""),ROW(Create_TC_Web!E266))),"")</f>
        <v/>
      </c>
      <c r="E266" t="str" cm="1">
        <f t="array" ref="E266">IFERROR(INDEX(Create_TC_Web!H$1:H$500,SMALL(IF(Create_TC_Web!$C$1:$C$500&lt;&gt;"",MATCH(ROW(Create_TC_Web!$C$1:$C$500),ROW(Create_TC_Web!$C$1:$C$500)),""),ROW(Create_TC_Web!F266))),"")</f>
        <v/>
      </c>
      <c r="F266" t="str" cm="1">
        <f t="array" ref="F266">IFERROR(INDEX(Create_TC_Web!I$1:I$500,SMALL(IF(Create_TC_Web!$C$1:$C$500&lt;&gt;"",MATCH(ROW(Create_TC_Web!$C$1:$C$500),ROW(Create_TC_Web!$C$1:$C$500)),""),ROW(Create_TC_Web!G266))),"")</f>
        <v/>
      </c>
      <c r="G266" t="str" cm="1">
        <f t="array" ref="G266">IFERROR(INDEX(Create_TC_Web!J$1:J$500,SMALL(IF(Create_TC_Web!$C$1:$C$500&lt;&gt;"",MATCH(ROW(Create_TC_Web!$C$1:$C$500),ROW(Create_TC_Web!$C$1:$C$500)),""),ROW(Create_TC_Web!H266))),"")</f>
        <v/>
      </c>
      <c r="H266" t="str" cm="1">
        <f t="array" ref="H266">IFERROR(INDEX(Create_TC_Web!K$1:K$500,SMALL(IF(Create_TC_Web!$C$1:$C$500&lt;&gt;"",MATCH(ROW(Create_TC_Web!$C$1:$C$500),ROW(Create_TC_Web!$C$1:$C$500)),""),ROW(Create_TC_Web!I266))),"")</f>
        <v/>
      </c>
      <c r="I266" t="str" cm="1">
        <f t="array" ref="I266">IFERROR(INDEX(Create_TC_Web!L$1:L$500,SMALL(IF(Create_TC_Web!$C$1:$C$500&lt;&gt;"",MATCH(ROW(Create_TC_Web!$C$1:$C$500),ROW(Create_TC_Web!$C$1:$C$500)),""),ROW(Create_TC_Web!J266))),"")</f>
        <v/>
      </c>
      <c r="J266" t="str" cm="1">
        <f t="array" ref="J266">IFERROR(INDEX(Create_TC_Web!M$1:M$500,SMALL(IF(Create_TC_Web!$C$1:$C$500&lt;&gt;"",MATCH(ROW(Create_TC_Web!$C$1:$C$500),ROW(Create_TC_Web!$C$1:$C$500)),""),ROW(Create_TC_Web!K266))),"")</f>
        <v/>
      </c>
      <c r="K266" t="str" cm="1">
        <f t="array" ref="K266">IFERROR(INDEX(Create_TC_Web!N$1:N$500,SMALL(IF(Create_TC_Web!$C$1:$C$500&lt;&gt;"",MATCH(ROW(Create_TC_Web!$C$1:$C$500),ROW(Create_TC_Web!$C$1:$C$500)),""),ROW(Create_TC_Web!L266))),"")</f>
        <v/>
      </c>
      <c r="L266" t="str" cm="1">
        <f t="array" ref="L266">IFERROR(INDEX(Create_TC_Web!O$1:O$500,SMALL(IF(Create_TC_Web!$C$1:$C$500&lt;&gt;"",MATCH(ROW(Create_TC_Web!$C$1:$C$500),ROW(Create_TC_Web!$C$1:$C$500)),""),ROW(Create_TC_Web!M266))),"")</f>
        <v/>
      </c>
      <c r="M266" t="str" cm="1">
        <f t="array" ref="M266">IFERROR(INDEX(Create_TC_Web!P$1:P$500,SMALL(IF(Create_TC_Web!$C$1:$C$500&lt;&gt;"",MATCH(ROW(Create_TC_Web!$C$1:$C$500),ROW(Create_TC_Web!$C$1:$C$500)),""),ROW(Create_TC_Web!N266))),"")</f>
        <v/>
      </c>
      <c r="N266">
        <f>Create_TC_Web!CA275</f>
        <v>0</v>
      </c>
      <c r="O266" t="str">
        <f t="shared" si="15"/>
        <v/>
      </c>
      <c r="P266" s="17" t="str" cm="1">
        <f t="array" ref="P266">IFERROR(INDEX(Create_TC_Web!S$1:S$500,SMALL(IF(Create_TC_Web!$C$1:$C$500&lt;&gt;"",MATCH(ROW(Create_TC_Web!$C$1:$C$500),ROW(Create_TC_Web!$C$1:$C$500)),""),ROW(Create_TC_Web!Q244))),"")</f>
        <v/>
      </c>
      <c r="S266" t="str">
        <f t="shared" si="16"/>
        <v/>
      </c>
    </row>
    <row r="267" spans="1:19">
      <c r="A267" t="str" cm="1">
        <f t="array" ref="A267">IFERROR(INDEX(Create_TC_Web!D$1:D$500,SMALL(IF(Create_TC_Web!$C$1:$C$500&lt;&gt;"",MATCH(ROW(Create_TC_Web!$C$1:$C$500),ROW(Create_TC_Web!$C$1:$C$500)),""),ROW(Create_TC_Web!B267))),"")</f>
        <v/>
      </c>
      <c r="B267" t="str" cm="1">
        <f t="array" ref="B267">SUBSTITUTE(SUBSTITUTE(SUBSTITUTE(IFERROR(INDEX(Create_TC_Web!E$1:E$505,SMALL(IF(Create_TC_Web!$C$1:$C$505&lt;&gt;"",MATCH(ROW(Create_TC_Web!$C$1:$C$505),ROW(Create_TC_Web!$C$1:$C$505)),""),ROW(Create_TC_Web!C267))),"")," ",""),"-",""),"_","")</f>
        <v/>
      </c>
      <c r="C267" t="str" cm="1">
        <f t="array" ref="C267">IFERROR(INDEX(Create_TC_Web!F$1:F$500,SMALL(IF(Create_TC_Web!$C$1:$C$500&lt;&gt;"",MATCH(ROW(Create_TC_Web!$C$1:$C$500),ROW(Create_TC_Web!$C$1:$C$500)),""),ROW(Create_TC_Web!D267))),"")</f>
        <v/>
      </c>
      <c r="D267" t="str" cm="1">
        <f t="array" ref="D267">IFERROR(INDEX(Create_TC_Web!G$1:G$500,SMALL(IF(Create_TC_Web!$C$1:$C$500&lt;&gt;"",MATCH(ROW(Create_TC_Web!$C$1:$C$500),ROW(Create_TC_Web!$C$1:$C$500)),""),ROW(Create_TC_Web!E267))),"")</f>
        <v/>
      </c>
      <c r="E267" t="str" cm="1">
        <f t="array" ref="E267">IFERROR(INDEX(Create_TC_Web!H$1:H$500,SMALL(IF(Create_TC_Web!$C$1:$C$500&lt;&gt;"",MATCH(ROW(Create_TC_Web!$C$1:$C$500),ROW(Create_TC_Web!$C$1:$C$500)),""),ROW(Create_TC_Web!F267))),"")</f>
        <v/>
      </c>
      <c r="F267" t="str" cm="1">
        <f t="array" ref="F267">IFERROR(INDEX(Create_TC_Web!I$1:I$500,SMALL(IF(Create_TC_Web!$C$1:$C$500&lt;&gt;"",MATCH(ROW(Create_TC_Web!$C$1:$C$500),ROW(Create_TC_Web!$C$1:$C$500)),""),ROW(Create_TC_Web!G267))),"")</f>
        <v/>
      </c>
      <c r="G267" t="str" cm="1">
        <f t="array" ref="G267">IFERROR(INDEX(Create_TC_Web!J$1:J$500,SMALL(IF(Create_TC_Web!$C$1:$C$500&lt;&gt;"",MATCH(ROW(Create_TC_Web!$C$1:$C$500),ROW(Create_TC_Web!$C$1:$C$500)),""),ROW(Create_TC_Web!H267))),"")</f>
        <v/>
      </c>
      <c r="H267" t="str" cm="1">
        <f t="array" ref="H267">IFERROR(INDEX(Create_TC_Web!K$1:K$500,SMALL(IF(Create_TC_Web!$C$1:$C$500&lt;&gt;"",MATCH(ROW(Create_TC_Web!$C$1:$C$500),ROW(Create_TC_Web!$C$1:$C$500)),""),ROW(Create_TC_Web!I267))),"")</f>
        <v/>
      </c>
      <c r="I267" t="str" cm="1">
        <f t="array" ref="I267">IFERROR(INDEX(Create_TC_Web!L$1:L$500,SMALL(IF(Create_TC_Web!$C$1:$C$500&lt;&gt;"",MATCH(ROW(Create_TC_Web!$C$1:$C$500),ROW(Create_TC_Web!$C$1:$C$500)),""),ROW(Create_TC_Web!J267))),"")</f>
        <v/>
      </c>
      <c r="J267" t="str" cm="1">
        <f t="array" ref="J267">IFERROR(INDEX(Create_TC_Web!M$1:M$500,SMALL(IF(Create_TC_Web!$C$1:$C$500&lt;&gt;"",MATCH(ROW(Create_TC_Web!$C$1:$C$500),ROW(Create_TC_Web!$C$1:$C$500)),""),ROW(Create_TC_Web!K267))),"")</f>
        <v/>
      </c>
      <c r="K267" t="str" cm="1">
        <f t="array" ref="K267">IFERROR(INDEX(Create_TC_Web!N$1:N$500,SMALL(IF(Create_TC_Web!$C$1:$C$500&lt;&gt;"",MATCH(ROW(Create_TC_Web!$C$1:$C$500),ROW(Create_TC_Web!$C$1:$C$500)),""),ROW(Create_TC_Web!L267))),"")</f>
        <v/>
      </c>
      <c r="L267" t="str" cm="1">
        <f t="array" ref="L267">IFERROR(INDEX(Create_TC_Web!O$1:O$500,SMALL(IF(Create_TC_Web!$C$1:$C$500&lt;&gt;"",MATCH(ROW(Create_TC_Web!$C$1:$C$500),ROW(Create_TC_Web!$C$1:$C$500)),""),ROW(Create_TC_Web!M267))),"")</f>
        <v/>
      </c>
      <c r="M267" t="str" cm="1">
        <f t="array" ref="M267">IFERROR(INDEX(Create_TC_Web!P$1:P$500,SMALL(IF(Create_TC_Web!$C$1:$C$500&lt;&gt;"",MATCH(ROW(Create_TC_Web!$C$1:$C$500),ROW(Create_TC_Web!$C$1:$C$500)),""),ROW(Create_TC_Web!N267))),"")</f>
        <v/>
      </c>
      <c r="N267">
        <f>Create_TC_Web!CA276</f>
        <v>0</v>
      </c>
      <c r="O267" t="str">
        <f t="shared" si="15"/>
        <v/>
      </c>
      <c r="P267" s="17" t="str" cm="1">
        <f t="array" ref="P267">IFERROR(INDEX(Create_TC_Web!S$1:S$500,SMALL(IF(Create_TC_Web!$C$1:$C$500&lt;&gt;"",MATCH(ROW(Create_TC_Web!$C$1:$C$500),ROW(Create_TC_Web!$C$1:$C$500)),""),ROW(Create_TC_Web!Q245))),"")</f>
        <v/>
      </c>
      <c r="S267" t="str">
        <f t="shared" si="16"/>
        <v/>
      </c>
    </row>
    <row r="268" spans="1:19">
      <c r="A268" t="str" cm="1">
        <f t="array" ref="A268">IFERROR(INDEX(Create_TC_Web!D$1:D$500,SMALL(IF(Create_TC_Web!$C$1:$C$500&lt;&gt;"",MATCH(ROW(Create_TC_Web!$C$1:$C$500),ROW(Create_TC_Web!$C$1:$C$500)),""),ROW(Create_TC_Web!B268))),"")</f>
        <v/>
      </c>
      <c r="B268" t="str" cm="1">
        <f t="array" ref="B268">SUBSTITUTE(SUBSTITUTE(SUBSTITUTE(IFERROR(INDEX(Create_TC_Web!E$1:E$505,SMALL(IF(Create_TC_Web!$C$1:$C$505&lt;&gt;"",MATCH(ROW(Create_TC_Web!$C$1:$C$505),ROW(Create_TC_Web!$C$1:$C$505)),""),ROW(Create_TC_Web!C268))),"")," ",""),"-",""),"_","")</f>
        <v/>
      </c>
      <c r="C268" t="str" cm="1">
        <f t="array" ref="C268">IFERROR(INDEX(Create_TC_Web!F$1:F$500,SMALL(IF(Create_TC_Web!$C$1:$C$500&lt;&gt;"",MATCH(ROW(Create_TC_Web!$C$1:$C$500),ROW(Create_TC_Web!$C$1:$C$500)),""),ROW(Create_TC_Web!D268))),"")</f>
        <v/>
      </c>
      <c r="D268" t="str" cm="1">
        <f t="array" ref="D268">IFERROR(INDEX(Create_TC_Web!G$1:G$500,SMALL(IF(Create_TC_Web!$C$1:$C$500&lt;&gt;"",MATCH(ROW(Create_TC_Web!$C$1:$C$500),ROW(Create_TC_Web!$C$1:$C$500)),""),ROW(Create_TC_Web!E268))),"")</f>
        <v/>
      </c>
      <c r="E268" t="str" cm="1">
        <f t="array" ref="E268">IFERROR(INDEX(Create_TC_Web!H$1:H$500,SMALL(IF(Create_TC_Web!$C$1:$C$500&lt;&gt;"",MATCH(ROW(Create_TC_Web!$C$1:$C$500),ROW(Create_TC_Web!$C$1:$C$500)),""),ROW(Create_TC_Web!F268))),"")</f>
        <v/>
      </c>
      <c r="F268" t="str" cm="1">
        <f t="array" ref="F268">IFERROR(INDEX(Create_TC_Web!I$1:I$500,SMALL(IF(Create_TC_Web!$C$1:$C$500&lt;&gt;"",MATCH(ROW(Create_TC_Web!$C$1:$C$500),ROW(Create_TC_Web!$C$1:$C$500)),""),ROW(Create_TC_Web!G268))),"")</f>
        <v/>
      </c>
      <c r="G268" t="str" cm="1">
        <f t="array" ref="G268">IFERROR(INDEX(Create_TC_Web!J$1:J$500,SMALL(IF(Create_TC_Web!$C$1:$C$500&lt;&gt;"",MATCH(ROW(Create_TC_Web!$C$1:$C$500),ROW(Create_TC_Web!$C$1:$C$500)),""),ROW(Create_TC_Web!H268))),"")</f>
        <v/>
      </c>
      <c r="H268" t="str" cm="1">
        <f t="array" ref="H268">IFERROR(INDEX(Create_TC_Web!K$1:K$500,SMALL(IF(Create_TC_Web!$C$1:$C$500&lt;&gt;"",MATCH(ROW(Create_TC_Web!$C$1:$C$500),ROW(Create_TC_Web!$C$1:$C$500)),""),ROW(Create_TC_Web!I268))),"")</f>
        <v/>
      </c>
      <c r="I268" t="str" cm="1">
        <f t="array" ref="I268">IFERROR(INDEX(Create_TC_Web!L$1:L$500,SMALL(IF(Create_TC_Web!$C$1:$C$500&lt;&gt;"",MATCH(ROW(Create_TC_Web!$C$1:$C$500),ROW(Create_TC_Web!$C$1:$C$500)),""),ROW(Create_TC_Web!J268))),"")</f>
        <v/>
      </c>
      <c r="J268" t="str" cm="1">
        <f t="array" ref="J268">IFERROR(INDEX(Create_TC_Web!M$1:M$500,SMALL(IF(Create_TC_Web!$C$1:$C$500&lt;&gt;"",MATCH(ROW(Create_TC_Web!$C$1:$C$500),ROW(Create_TC_Web!$C$1:$C$500)),""),ROW(Create_TC_Web!K268))),"")</f>
        <v/>
      </c>
      <c r="K268" t="str" cm="1">
        <f t="array" ref="K268">IFERROR(INDEX(Create_TC_Web!N$1:N$500,SMALL(IF(Create_TC_Web!$C$1:$C$500&lt;&gt;"",MATCH(ROW(Create_TC_Web!$C$1:$C$500),ROW(Create_TC_Web!$C$1:$C$500)),""),ROW(Create_TC_Web!L268))),"")</f>
        <v/>
      </c>
      <c r="L268" t="str" cm="1">
        <f t="array" ref="L268">IFERROR(INDEX(Create_TC_Web!O$1:O$500,SMALL(IF(Create_TC_Web!$C$1:$C$500&lt;&gt;"",MATCH(ROW(Create_TC_Web!$C$1:$C$500),ROW(Create_TC_Web!$C$1:$C$500)),""),ROW(Create_TC_Web!M268))),"")</f>
        <v/>
      </c>
      <c r="M268" t="str" cm="1">
        <f t="array" ref="M268">IFERROR(INDEX(Create_TC_Web!P$1:P$500,SMALL(IF(Create_TC_Web!$C$1:$C$500&lt;&gt;"",MATCH(ROW(Create_TC_Web!$C$1:$C$500),ROW(Create_TC_Web!$C$1:$C$500)),""),ROW(Create_TC_Web!N268))),"")</f>
        <v/>
      </c>
      <c r="N268">
        <f>Create_TC_Web!CA277</f>
        <v>0</v>
      </c>
      <c r="O268" t="str">
        <f t="shared" si="15"/>
        <v/>
      </c>
      <c r="P268" s="17" t="str" cm="1">
        <f t="array" ref="P268">IFERROR(INDEX(Create_TC_Web!S$1:S$500,SMALL(IF(Create_TC_Web!$C$1:$C$500&lt;&gt;"",MATCH(ROW(Create_TC_Web!$C$1:$C$500),ROW(Create_TC_Web!$C$1:$C$500)),""),ROW(Create_TC_Web!Q246))),"")</f>
        <v/>
      </c>
      <c r="S268" t="str">
        <f t="shared" si="16"/>
        <v/>
      </c>
    </row>
    <row r="269" spans="1:19">
      <c r="A269" t="str" cm="1">
        <f t="array" ref="A269">IFERROR(INDEX(Create_TC_Web!D$1:D$500,SMALL(IF(Create_TC_Web!$C$1:$C$500&lt;&gt;"",MATCH(ROW(Create_TC_Web!$C$1:$C$500),ROW(Create_TC_Web!$C$1:$C$500)),""),ROW(Create_TC_Web!B269))),"")</f>
        <v/>
      </c>
      <c r="B269" t="str" cm="1">
        <f t="array" ref="B269">SUBSTITUTE(SUBSTITUTE(SUBSTITUTE(IFERROR(INDEX(Create_TC_Web!E$1:E$505,SMALL(IF(Create_TC_Web!$C$1:$C$505&lt;&gt;"",MATCH(ROW(Create_TC_Web!$C$1:$C$505),ROW(Create_TC_Web!$C$1:$C$505)),""),ROW(Create_TC_Web!C269))),"")," ",""),"-",""),"_","")</f>
        <v/>
      </c>
      <c r="C269" t="str" cm="1">
        <f t="array" ref="C269">IFERROR(INDEX(Create_TC_Web!F$1:F$500,SMALL(IF(Create_TC_Web!$C$1:$C$500&lt;&gt;"",MATCH(ROW(Create_TC_Web!$C$1:$C$500),ROW(Create_TC_Web!$C$1:$C$500)),""),ROW(Create_TC_Web!D269))),"")</f>
        <v/>
      </c>
      <c r="D269" t="str" cm="1">
        <f t="array" ref="D269">IFERROR(INDEX(Create_TC_Web!G$1:G$500,SMALL(IF(Create_TC_Web!$C$1:$C$500&lt;&gt;"",MATCH(ROW(Create_TC_Web!$C$1:$C$500),ROW(Create_TC_Web!$C$1:$C$500)),""),ROW(Create_TC_Web!E269))),"")</f>
        <v/>
      </c>
      <c r="E269" t="str" cm="1">
        <f t="array" ref="E269">IFERROR(INDEX(Create_TC_Web!H$1:H$500,SMALL(IF(Create_TC_Web!$C$1:$C$500&lt;&gt;"",MATCH(ROW(Create_TC_Web!$C$1:$C$500),ROW(Create_TC_Web!$C$1:$C$500)),""),ROW(Create_TC_Web!F269))),"")</f>
        <v/>
      </c>
      <c r="F269" t="str" cm="1">
        <f t="array" ref="F269">IFERROR(INDEX(Create_TC_Web!I$1:I$500,SMALL(IF(Create_TC_Web!$C$1:$C$500&lt;&gt;"",MATCH(ROW(Create_TC_Web!$C$1:$C$500),ROW(Create_TC_Web!$C$1:$C$500)),""),ROW(Create_TC_Web!G269))),"")</f>
        <v/>
      </c>
      <c r="G269" t="str" cm="1">
        <f t="array" ref="G269">IFERROR(INDEX(Create_TC_Web!J$1:J$500,SMALL(IF(Create_TC_Web!$C$1:$C$500&lt;&gt;"",MATCH(ROW(Create_TC_Web!$C$1:$C$500),ROW(Create_TC_Web!$C$1:$C$500)),""),ROW(Create_TC_Web!H269))),"")</f>
        <v/>
      </c>
      <c r="H269" t="str" cm="1">
        <f t="array" ref="H269">IFERROR(INDEX(Create_TC_Web!K$1:K$500,SMALL(IF(Create_TC_Web!$C$1:$C$500&lt;&gt;"",MATCH(ROW(Create_TC_Web!$C$1:$C$500),ROW(Create_TC_Web!$C$1:$C$500)),""),ROW(Create_TC_Web!I269))),"")</f>
        <v/>
      </c>
      <c r="I269" t="str" cm="1">
        <f t="array" ref="I269">IFERROR(INDEX(Create_TC_Web!L$1:L$500,SMALL(IF(Create_TC_Web!$C$1:$C$500&lt;&gt;"",MATCH(ROW(Create_TC_Web!$C$1:$C$500),ROW(Create_TC_Web!$C$1:$C$500)),""),ROW(Create_TC_Web!J269))),"")</f>
        <v/>
      </c>
      <c r="J269" t="str" cm="1">
        <f t="array" ref="J269">IFERROR(INDEX(Create_TC_Web!M$1:M$500,SMALL(IF(Create_TC_Web!$C$1:$C$500&lt;&gt;"",MATCH(ROW(Create_TC_Web!$C$1:$C$500),ROW(Create_TC_Web!$C$1:$C$500)),""),ROW(Create_TC_Web!K269))),"")</f>
        <v/>
      </c>
      <c r="K269" t="str" cm="1">
        <f t="array" ref="K269">IFERROR(INDEX(Create_TC_Web!N$1:N$500,SMALL(IF(Create_TC_Web!$C$1:$C$500&lt;&gt;"",MATCH(ROW(Create_TC_Web!$C$1:$C$500),ROW(Create_TC_Web!$C$1:$C$500)),""),ROW(Create_TC_Web!L269))),"")</f>
        <v/>
      </c>
      <c r="L269" t="str" cm="1">
        <f t="array" ref="L269">IFERROR(INDEX(Create_TC_Web!O$1:O$500,SMALL(IF(Create_TC_Web!$C$1:$C$500&lt;&gt;"",MATCH(ROW(Create_TC_Web!$C$1:$C$500),ROW(Create_TC_Web!$C$1:$C$500)),""),ROW(Create_TC_Web!M269))),"")</f>
        <v/>
      </c>
      <c r="M269" t="str" cm="1">
        <f t="array" ref="M269">IFERROR(INDEX(Create_TC_Web!P$1:P$500,SMALL(IF(Create_TC_Web!$C$1:$C$500&lt;&gt;"",MATCH(ROW(Create_TC_Web!$C$1:$C$500),ROW(Create_TC_Web!$C$1:$C$500)),""),ROW(Create_TC_Web!N269))),"")</f>
        <v/>
      </c>
      <c r="N269">
        <f>Create_TC_Web!CA278</f>
        <v>0</v>
      </c>
      <c r="O269" t="str">
        <f t="shared" si="15"/>
        <v/>
      </c>
      <c r="P269" s="17" t="str" cm="1">
        <f t="array" ref="P269">IFERROR(INDEX(Create_TC_Web!S$1:S$500,SMALL(IF(Create_TC_Web!$C$1:$C$500&lt;&gt;"",MATCH(ROW(Create_TC_Web!$C$1:$C$500),ROW(Create_TC_Web!$C$1:$C$500)),""),ROW(Create_TC_Web!Q247))),"")</f>
        <v/>
      </c>
      <c r="S269" t="str">
        <f t="shared" si="16"/>
        <v/>
      </c>
    </row>
    <row r="270" spans="1:19">
      <c r="A270" t="str" cm="1">
        <f t="array" ref="A270">IFERROR(INDEX(Create_TC_Web!D$1:D$500,SMALL(IF(Create_TC_Web!$C$1:$C$500&lt;&gt;"",MATCH(ROW(Create_TC_Web!$C$1:$C$500),ROW(Create_TC_Web!$C$1:$C$500)),""),ROW(Create_TC_Web!B270))),"")</f>
        <v/>
      </c>
      <c r="B270" t="str" cm="1">
        <f t="array" ref="B270">SUBSTITUTE(SUBSTITUTE(SUBSTITUTE(IFERROR(INDEX(Create_TC_Web!E$1:E$505,SMALL(IF(Create_TC_Web!$C$1:$C$505&lt;&gt;"",MATCH(ROW(Create_TC_Web!$C$1:$C$505),ROW(Create_TC_Web!$C$1:$C$505)),""),ROW(Create_TC_Web!C270))),"")," ",""),"-",""),"_","")</f>
        <v/>
      </c>
      <c r="C270" t="str" cm="1">
        <f t="array" ref="C270">IFERROR(INDEX(Create_TC_Web!F$1:F$500,SMALL(IF(Create_TC_Web!$C$1:$C$500&lt;&gt;"",MATCH(ROW(Create_TC_Web!$C$1:$C$500),ROW(Create_TC_Web!$C$1:$C$500)),""),ROW(Create_TC_Web!D270))),"")</f>
        <v/>
      </c>
      <c r="D270" t="str" cm="1">
        <f t="array" ref="D270">IFERROR(INDEX(Create_TC_Web!G$1:G$500,SMALL(IF(Create_TC_Web!$C$1:$C$500&lt;&gt;"",MATCH(ROW(Create_TC_Web!$C$1:$C$500),ROW(Create_TC_Web!$C$1:$C$500)),""),ROW(Create_TC_Web!E270))),"")</f>
        <v/>
      </c>
      <c r="E270" t="str" cm="1">
        <f t="array" ref="E270">IFERROR(INDEX(Create_TC_Web!H$1:H$500,SMALL(IF(Create_TC_Web!$C$1:$C$500&lt;&gt;"",MATCH(ROW(Create_TC_Web!$C$1:$C$500),ROW(Create_TC_Web!$C$1:$C$500)),""),ROW(Create_TC_Web!F270))),"")</f>
        <v/>
      </c>
      <c r="F270" t="str" cm="1">
        <f t="array" ref="F270">IFERROR(INDEX(Create_TC_Web!I$1:I$500,SMALL(IF(Create_TC_Web!$C$1:$C$500&lt;&gt;"",MATCH(ROW(Create_TC_Web!$C$1:$C$500),ROW(Create_TC_Web!$C$1:$C$500)),""),ROW(Create_TC_Web!G270))),"")</f>
        <v/>
      </c>
      <c r="G270" t="str" cm="1">
        <f t="array" ref="G270">IFERROR(INDEX(Create_TC_Web!J$1:J$500,SMALL(IF(Create_TC_Web!$C$1:$C$500&lt;&gt;"",MATCH(ROW(Create_TC_Web!$C$1:$C$500),ROW(Create_TC_Web!$C$1:$C$500)),""),ROW(Create_TC_Web!H270))),"")</f>
        <v/>
      </c>
      <c r="H270" t="str" cm="1">
        <f t="array" ref="H270">IFERROR(INDEX(Create_TC_Web!K$1:K$500,SMALL(IF(Create_TC_Web!$C$1:$C$500&lt;&gt;"",MATCH(ROW(Create_TC_Web!$C$1:$C$500),ROW(Create_TC_Web!$C$1:$C$500)),""),ROW(Create_TC_Web!I270))),"")</f>
        <v/>
      </c>
      <c r="I270" t="str" cm="1">
        <f t="array" ref="I270">IFERROR(INDEX(Create_TC_Web!L$1:L$500,SMALL(IF(Create_TC_Web!$C$1:$C$500&lt;&gt;"",MATCH(ROW(Create_TC_Web!$C$1:$C$500),ROW(Create_TC_Web!$C$1:$C$500)),""),ROW(Create_TC_Web!J270))),"")</f>
        <v/>
      </c>
      <c r="J270" t="str" cm="1">
        <f t="array" ref="J270">IFERROR(INDEX(Create_TC_Web!M$1:M$500,SMALL(IF(Create_TC_Web!$C$1:$C$500&lt;&gt;"",MATCH(ROW(Create_TC_Web!$C$1:$C$500),ROW(Create_TC_Web!$C$1:$C$500)),""),ROW(Create_TC_Web!K270))),"")</f>
        <v/>
      </c>
      <c r="K270" t="str" cm="1">
        <f t="array" ref="K270">IFERROR(INDEX(Create_TC_Web!N$1:N$500,SMALL(IF(Create_TC_Web!$C$1:$C$500&lt;&gt;"",MATCH(ROW(Create_TC_Web!$C$1:$C$500),ROW(Create_TC_Web!$C$1:$C$500)),""),ROW(Create_TC_Web!L270))),"")</f>
        <v/>
      </c>
      <c r="L270" t="str" cm="1">
        <f t="array" ref="L270">IFERROR(INDEX(Create_TC_Web!O$1:O$500,SMALL(IF(Create_TC_Web!$C$1:$C$500&lt;&gt;"",MATCH(ROW(Create_TC_Web!$C$1:$C$500),ROW(Create_TC_Web!$C$1:$C$500)),""),ROW(Create_TC_Web!M270))),"")</f>
        <v/>
      </c>
      <c r="M270" t="str" cm="1">
        <f t="array" ref="M270">IFERROR(INDEX(Create_TC_Web!P$1:P$500,SMALL(IF(Create_TC_Web!$C$1:$C$500&lt;&gt;"",MATCH(ROW(Create_TC_Web!$C$1:$C$500),ROW(Create_TC_Web!$C$1:$C$500)),""),ROW(Create_TC_Web!N270))),"")</f>
        <v/>
      </c>
      <c r="N270">
        <f>Create_TC_Web!CA279</f>
        <v>0</v>
      </c>
      <c r="O270" t="str">
        <f t="shared" si="15"/>
        <v/>
      </c>
      <c r="P270" s="17" t="str" cm="1">
        <f t="array" ref="P270">IFERROR(INDEX(Create_TC_Web!S$1:S$500,SMALL(IF(Create_TC_Web!$C$1:$C$500&lt;&gt;"",MATCH(ROW(Create_TC_Web!$C$1:$C$500),ROW(Create_TC_Web!$C$1:$C$500)),""),ROW(Create_TC_Web!Q248))),"")</f>
        <v/>
      </c>
      <c r="S270" t="str">
        <f t="shared" si="16"/>
        <v/>
      </c>
    </row>
    <row r="271" spans="1:19">
      <c r="A271" t="str" cm="1">
        <f t="array" ref="A271">IFERROR(INDEX(Create_TC_Web!D$1:D$500,SMALL(IF(Create_TC_Web!$C$1:$C$500&lt;&gt;"",MATCH(ROW(Create_TC_Web!$C$1:$C$500),ROW(Create_TC_Web!$C$1:$C$500)),""),ROW(Create_TC_Web!B271))),"")</f>
        <v/>
      </c>
      <c r="B271" t="str" cm="1">
        <f t="array" ref="B271">SUBSTITUTE(SUBSTITUTE(SUBSTITUTE(IFERROR(INDEX(Create_TC_Web!E$1:E$505,SMALL(IF(Create_TC_Web!$C$1:$C$505&lt;&gt;"",MATCH(ROW(Create_TC_Web!$C$1:$C$505),ROW(Create_TC_Web!$C$1:$C$505)),""),ROW(Create_TC_Web!C271))),"")," ",""),"-",""),"_","")</f>
        <v/>
      </c>
      <c r="C271" t="str" cm="1">
        <f t="array" ref="C271">IFERROR(INDEX(Create_TC_Web!F$1:F$500,SMALL(IF(Create_TC_Web!$C$1:$C$500&lt;&gt;"",MATCH(ROW(Create_TC_Web!$C$1:$C$500),ROW(Create_TC_Web!$C$1:$C$500)),""),ROW(Create_TC_Web!D271))),"")</f>
        <v/>
      </c>
      <c r="D271" t="str" cm="1">
        <f t="array" ref="D271">IFERROR(INDEX(Create_TC_Web!G$1:G$500,SMALL(IF(Create_TC_Web!$C$1:$C$500&lt;&gt;"",MATCH(ROW(Create_TC_Web!$C$1:$C$500),ROW(Create_TC_Web!$C$1:$C$500)),""),ROW(Create_TC_Web!E271))),"")</f>
        <v/>
      </c>
      <c r="E271" t="str" cm="1">
        <f t="array" ref="E271">IFERROR(INDEX(Create_TC_Web!H$1:H$500,SMALL(IF(Create_TC_Web!$C$1:$C$500&lt;&gt;"",MATCH(ROW(Create_TC_Web!$C$1:$C$500),ROW(Create_TC_Web!$C$1:$C$500)),""),ROW(Create_TC_Web!F271))),"")</f>
        <v/>
      </c>
      <c r="F271" t="str" cm="1">
        <f t="array" ref="F271">IFERROR(INDEX(Create_TC_Web!I$1:I$500,SMALL(IF(Create_TC_Web!$C$1:$C$500&lt;&gt;"",MATCH(ROW(Create_TC_Web!$C$1:$C$500),ROW(Create_TC_Web!$C$1:$C$500)),""),ROW(Create_TC_Web!G271))),"")</f>
        <v/>
      </c>
      <c r="G271" t="str" cm="1">
        <f t="array" ref="G271">IFERROR(INDEX(Create_TC_Web!J$1:J$500,SMALL(IF(Create_TC_Web!$C$1:$C$500&lt;&gt;"",MATCH(ROW(Create_TC_Web!$C$1:$C$500),ROW(Create_TC_Web!$C$1:$C$500)),""),ROW(Create_TC_Web!H271))),"")</f>
        <v/>
      </c>
      <c r="H271" t="str" cm="1">
        <f t="array" ref="H271">IFERROR(INDEX(Create_TC_Web!K$1:K$500,SMALL(IF(Create_TC_Web!$C$1:$C$500&lt;&gt;"",MATCH(ROW(Create_TC_Web!$C$1:$C$500),ROW(Create_TC_Web!$C$1:$C$500)),""),ROW(Create_TC_Web!I271))),"")</f>
        <v/>
      </c>
      <c r="I271" t="str" cm="1">
        <f t="array" ref="I271">IFERROR(INDEX(Create_TC_Web!L$1:L$500,SMALL(IF(Create_TC_Web!$C$1:$C$500&lt;&gt;"",MATCH(ROW(Create_TC_Web!$C$1:$C$500),ROW(Create_TC_Web!$C$1:$C$500)),""),ROW(Create_TC_Web!J271))),"")</f>
        <v/>
      </c>
      <c r="J271" t="str" cm="1">
        <f t="array" ref="J271">IFERROR(INDEX(Create_TC_Web!M$1:M$500,SMALL(IF(Create_TC_Web!$C$1:$C$500&lt;&gt;"",MATCH(ROW(Create_TC_Web!$C$1:$C$500),ROW(Create_TC_Web!$C$1:$C$500)),""),ROW(Create_TC_Web!K271))),"")</f>
        <v/>
      </c>
      <c r="K271" t="str" cm="1">
        <f t="array" ref="K271">IFERROR(INDEX(Create_TC_Web!N$1:N$500,SMALL(IF(Create_TC_Web!$C$1:$C$500&lt;&gt;"",MATCH(ROW(Create_TC_Web!$C$1:$C$500),ROW(Create_TC_Web!$C$1:$C$500)),""),ROW(Create_TC_Web!L271))),"")</f>
        <v/>
      </c>
      <c r="L271" t="str" cm="1">
        <f t="array" ref="L271">IFERROR(INDEX(Create_TC_Web!O$1:O$500,SMALL(IF(Create_TC_Web!$C$1:$C$500&lt;&gt;"",MATCH(ROW(Create_TC_Web!$C$1:$C$500),ROW(Create_TC_Web!$C$1:$C$500)),""),ROW(Create_TC_Web!M271))),"")</f>
        <v/>
      </c>
      <c r="M271" t="str" cm="1">
        <f t="array" ref="M271">IFERROR(INDEX(Create_TC_Web!P$1:P$500,SMALL(IF(Create_TC_Web!$C$1:$C$500&lt;&gt;"",MATCH(ROW(Create_TC_Web!$C$1:$C$500),ROW(Create_TC_Web!$C$1:$C$500)),""),ROW(Create_TC_Web!N271))),"")</f>
        <v/>
      </c>
      <c r="N271">
        <f>Create_TC_Web!CA280</f>
        <v>0</v>
      </c>
      <c r="O271" t="str">
        <f t="shared" si="15"/>
        <v/>
      </c>
      <c r="P271" s="17" t="str" cm="1">
        <f t="array" ref="P271">IFERROR(INDEX(Create_TC_Web!S$1:S$500,SMALL(IF(Create_TC_Web!$C$1:$C$500&lt;&gt;"",MATCH(ROW(Create_TC_Web!$C$1:$C$500),ROW(Create_TC_Web!$C$1:$C$500)),""),ROW(Create_TC_Web!Q249))),"")</f>
        <v/>
      </c>
      <c r="S271" t="str">
        <f t="shared" si="16"/>
        <v/>
      </c>
    </row>
    <row r="272" spans="1:19">
      <c r="A272" t="str" cm="1">
        <f t="array" ref="A272">IFERROR(INDEX(Create_TC_Web!D$1:D$500,SMALL(IF(Create_TC_Web!$C$1:$C$500&lt;&gt;"",MATCH(ROW(Create_TC_Web!$C$1:$C$500),ROW(Create_TC_Web!$C$1:$C$500)),""),ROW(Create_TC_Web!B272))),"")</f>
        <v/>
      </c>
      <c r="B272" t="str" cm="1">
        <f t="array" ref="B272">SUBSTITUTE(SUBSTITUTE(SUBSTITUTE(IFERROR(INDEX(Create_TC_Web!E$1:E$505,SMALL(IF(Create_TC_Web!$C$1:$C$505&lt;&gt;"",MATCH(ROW(Create_TC_Web!$C$1:$C$505),ROW(Create_TC_Web!$C$1:$C$505)),""),ROW(Create_TC_Web!C272))),"")," ",""),"-",""),"_","")</f>
        <v/>
      </c>
      <c r="C272" t="str" cm="1">
        <f t="array" ref="C272">IFERROR(INDEX(Create_TC_Web!F$1:F$500,SMALL(IF(Create_TC_Web!$C$1:$C$500&lt;&gt;"",MATCH(ROW(Create_TC_Web!$C$1:$C$500),ROW(Create_TC_Web!$C$1:$C$500)),""),ROW(Create_TC_Web!D272))),"")</f>
        <v/>
      </c>
      <c r="D272" t="str" cm="1">
        <f t="array" ref="D272">IFERROR(INDEX(Create_TC_Web!G$1:G$500,SMALL(IF(Create_TC_Web!$C$1:$C$500&lt;&gt;"",MATCH(ROW(Create_TC_Web!$C$1:$C$500),ROW(Create_TC_Web!$C$1:$C$500)),""),ROW(Create_TC_Web!E272))),"")</f>
        <v/>
      </c>
      <c r="E272" t="str" cm="1">
        <f t="array" ref="E272">IFERROR(INDEX(Create_TC_Web!H$1:H$500,SMALL(IF(Create_TC_Web!$C$1:$C$500&lt;&gt;"",MATCH(ROW(Create_TC_Web!$C$1:$C$500),ROW(Create_TC_Web!$C$1:$C$500)),""),ROW(Create_TC_Web!F272))),"")</f>
        <v/>
      </c>
      <c r="F272" t="str" cm="1">
        <f t="array" ref="F272">IFERROR(INDEX(Create_TC_Web!I$1:I$500,SMALL(IF(Create_TC_Web!$C$1:$C$500&lt;&gt;"",MATCH(ROW(Create_TC_Web!$C$1:$C$500),ROW(Create_TC_Web!$C$1:$C$500)),""),ROW(Create_TC_Web!G272))),"")</f>
        <v/>
      </c>
      <c r="G272" t="str" cm="1">
        <f t="array" ref="G272">IFERROR(INDEX(Create_TC_Web!J$1:J$500,SMALL(IF(Create_TC_Web!$C$1:$C$500&lt;&gt;"",MATCH(ROW(Create_TC_Web!$C$1:$C$500),ROW(Create_TC_Web!$C$1:$C$500)),""),ROW(Create_TC_Web!H272))),"")</f>
        <v/>
      </c>
      <c r="H272" t="str" cm="1">
        <f t="array" ref="H272">IFERROR(INDEX(Create_TC_Web!K$1:K$500,SMALL(IF(Create_TC_Web!$C$1:$C$500&lt;&gt;"",MATCH(ROW(Create_TC_Web!$C$1:$C$500),ROW(Create_TC_Web!$C$1:$C$500)),""),ROW(Create_TC_Web!I272))),"")</f>
        <v/>
      </c>
      <c r="I272" t="str" cm="1">
        <f t="array" ref="I272">IFERROR(INDEX(Create_TC_Web!L$1:L$500,SMALL(IF(Create_TC_Web!$C$1:$C$500&lt;&gt;"",MATCH(ROW(Create_TC_Web!$C$1:$C$500),ROW(Create_TC_Web!$C$1:$C$500)),""),ROW(Create_TC_Web!J272))),"")</f>
        <v/>
      </c>
      <c r="J272" t="str" cm="1">
        <f t="array" ref="J272">IFERROR(INDEX(Create_TC_Web!M$1:M$500,SMALL(IF(Create_TC_Web!$C$1:$C$500&lt;&gt;"",MATCH(ROW(Create_TC_Web!$C$1:$C$500),ROW(Create_TC_Web!$C$1:$C$500)),""),ROW(Create_TC_Web!K272))),"")</f>
        <v/>
      </c>
      <c r="K272" t="str" cm="1">
        <f t="array" ref="K272">IFERROR(INDEX(Create_TC_Web!N$1:N$500,SMALL(IF(Create_TC_Web!$C$1:$C$500&lt;&gt;"",MATCH(ROW(Create_TC_Web!$C$1:$C$500),ROW(Create_TC_Web!$C$1:$C$500)),""),ROW(Create_TC_Web!L272))),"")</f>
        <v/>
      </c>
      <c r="L272" t="str" cm="1">
        <f t="array" ref="L272">IFERROR(INDEX(Create_TC_Web!O$1:O$500,SMALL(IF(Create_TC_Web!$C$1:$C$500&lt;&gt;"",MATCH(ROW(Create_TC_Web!$C$1:$C$500),ROW(Create_TC_Web!$C$1:$C$500)),""),ROW(Create_TC_Web!M272))),"")</f>
        <v/>
      </c>
      <c r="M272" t="str" cm="1">
        <f t="array" ref="M272">IFERROR(INDEX(Create_TC_Web!P$1:P$500,SMALL(IF(Create_TC_Web!$C$1:$C$500&lt;&gt;"",MATCH(ROW(Create_TC_Web!$C$1:$C$500),ROW(Create_TC_Web!$C$1:$C$500)),""),ROW(Create_TC_Web!N272))),"")</f>
        <v/>
      </c>
      <c r="N272">
        <f>Create_TC_Web!CA281</f>
        <v>0</v>
      </c>
      <c r="O272" t="str">
        <f t="shared" si="15"/>
        <v/>
      </c>
      <c r="P272" s="17" t="str" cm="1">
        <f t="array" ref="P272">IFERROR(INDEX(Create_TC_Web!S$1:S$500,SMALL(IF(Create_TC_Web!$C$1:$C$500&lt;&gt;"",MATCH(ROW(Create_TC_Web!$C$1:$C$500),ROW(Create_TC_Web!$C$1:$C$500)),""),ROW(Create_TC_Web!Q250))),"")</f>
        <v/>
      </c>
      <c r="S272" t="str">
        <f t="shared" si="16"/>
        <v/>
      </c>
    </row>
    <row r="273" spans="1:19">
      <c r="A273" t="str" cm="1">
        <f t="array" ref="A273">IFERROR(INDEX(Create_TC_Web!D$1:D$500,SMALL(IF(Create_TC_Web!$C$1:$C$500&lt;&gt;"",MATCH(ROW(Create_TC_Web!$C$1:$C$500),ROW(Create_TC_Web!$C$1:$C$500)),""),ROW(Create_TC_Web!B273))),"")</f>
        <v/>
      </c>
      <c r="B273" t="str" cm="1">
        <f t="array" ref="B273">SUBSTITUTE(SUBSTITUTE(SUBSTITUTE(IFERROR(INDEX(Create_TC_Web!E$1:E$505,SMALL(IF(Create_TC_Web!$C$1:$C$505&lt;&gt;"",MATCH(ROW(Create_TC_Web!$C$1:$C$505),ROW(Create_TC_Web!$C$1:$C$505)),""),ROW(Create_TC_Web!C273))),"")," ",""),"-",""),"_","")</f>
        <v/>
      </c>
      <c r="C273" t="str" cm="1">
        <f t="array" ref="C273">IFERROR(INDEX(Create_TC_Web!F$1:F$500,SMALL(IF(Create_TC_Web!$C$1:$C$500&lt;&gt;"",MATCH(ROW(Create_TC_Web!$C$1:$C$500),ROW(Create_TC_Web!$C$1:$C$500)),""),ROW(Create_TC_Web!D273))),"")</f>
        <v/>
      </c>
      <c r="D273" t="str" cm="1">
        <f t="array" ref="D273">IFERROR(INDEX(Create_TC_Web!G$1:G$500,SMALL(IF(Create_TC_Web!$C$1:$C$500&lt;&gt;"",MATCH(ROW(Create_TC_Web!$C$1:$C$500),ROW(Create_TC_Web!$C$1:$C$500)),""),ROW(Create_TC_Web!E273))),"")</f>
        <v/>
      </c>
      <c r="E273" t="str" cm="1">
        <f t="array" ref="E273">IFERROR(INDEX(Create_TC_Web!H$1:H$500,SMALL(IF(Create_TC_Web!$C$1:$C$500&lt;&gt;"",MATCH(ROW(Create_TC_Web!$C$1:$C$500),ROW(Create_TC_Web!$C$1:$C$500)),""),ROW(Create_TC_Web!F273))),"")</f>
        <v/>
      </c>
      <c r="F273" t="str" cm="1">
        <f t="array" ref="F273">IFERROR(INDEX(Create_TC_Web!I$1:I$500,SMALL(IF(Create_TC_Web!$C$1:$C$500&lt;&gt;"",MATCH(ROW(Create_TC_Web!$C$1:$C$500),ROW(Create_TC_Web!$C$1:$C$500)),""),ROW(Create_TC_Web!G273))),"")</f>
        <v/>
      </c>
      <c r="G273" t="str" cm="1">
        <f t="array" ref="G273">IFERROR(INDEX(Create_TC_Web!J$1:J$500,SMALL(IF(Create_TC_Web!$C$1:$C$500&lt;&gt;"",MATCH(ROW(Create_TC_Web!$C$1:$C$500),ROW(Create_TC_Web!$C$1:$C$500)),""),ROW(Create_TC_Web!H273))),"")</f>
        <v/>
      </c>
      <c r="H273" t="str" cm="1">
        <f t="array" ref="H273">IFERROR(INDEX(Create_TC_Web!K$1:K$500,SMALL(IF(Create_TC_Web!$C$1:$C$500&lt;&gt;"",MATCH(ROW(Create_TC_Web!$C$1:$C$500),ROW(Create_TC_Web!$C$1:$C$500)),""),ROW(Create_TC_Web!I273))),"")</f>
        <v/>
      </c>
      <c r="I273" t="str" cm="1">
        <f t="array" ref="I273">IFERROR(INDEX(Create_TC_Web!L$1:L$500,SMALL(IF(Create_TC_Web!$C$1:$C$500&lt;&gt;"",MATCH(ROW(Create_TC_Web!$C$1:$C$500),ROW(Create_TC_Web!$C$1:$C$500)),""),ROW(Create_TC_Web!J273))),"")</f>
        <v/>
      </c>
      <c r="J273" t="str" cm="1">
        <f t="array" ref="J273">IFERROR(INDEX(Create_TC_Web!M$1:M$500,SMALL(IF(Create_TC_Web!$C$1:$C$500&lt;&gt;"",MATCH(ROW(Create_TC_Web!$C$1:$C$500),ROW(Create_TC_Web!$C$1:$C$500)),""),ROW(Create_TC_Web!K273))),"")</f>
        <v/>
      </c>
      <c r="K273" t="str" cm="1">
        <f t="array" ref="K273">IFERROR(INDEX(Create_TC_Web!N$1:N$500,SMALL(IF(Create_TC_Web!$C$1:$C$500&lt;&gt;"",MATCH(ROW(Create_TC_Web!$C$1:$C$500),ROW(Create_TC_Web!$C$1:$C$500)),""),ROW(Create_TC_Web!L273))),"")</f>
        <v/>
      </c>
      <c r="L273" t="str" cm="1">
        <f t="array" ref="L273">IFERROR(INDEX(Create_TC_Web!O$1:O$500,SMALL(IF(Create_TC_Web!$C$1:$C$500&lt;&gt;"",MATCH(ROW(Create_TC_Web!$C$1:$C$500),ROW(Create_TC_Web!$C$1:$C$500)),""),ROW(Create_TC_Web!M273))),"")</f>
        <v/>
      </c>
      <c r="M273" t="str" cm="1">
        <f t="array" ref="M273">IFERROR(INDEX(Create_TC_Web!P$1:P$500,SMALL(IF(Create_TC_Web!$C$1:$C$500&lt;&gt;"",MATCH(ROW(Create_TC_Web!$C$1:$C$500),ROW(Create_TC_Web!$C$1:$C$500)),""),ROW(Create_TC_Web!N273))),"")</f>
        <v/>
      </c>
      <c r="N273">
        <f>Create_TC_Web!CA282</f>
        <v>0</v>
      </c>
      <c r="O273" t="str">
        <f t="shared" si="15"/>
        <v/>
      </c>
      <c r="P273" s="17" t="str" cm="1">
        <f t="array" ref="P273">IFERROR(INDEX(Create_TC_Web!S$1:S$500,SMALL(IF(Create_TC_Web!$C$1:$C$500&lt;&gt;"",MATCH(ROW(Create_TC_Web!$C$1:$C$500),ROW(Create_TC_Web!$C$1:$C$500)),""),ROW(Create_TC_Web!Q251))),"")</f>
        <v/>
      </c>
      <c r="S273" t="str">
        <f t="shared" si="16"/>
        <v/>
      </c>
    </row>
    <row r="274" spans="1:19">
      <c r="A274" t="str" cm="1">
        <f t="array" ref="A274">IFERROR(INDEX(Create_TC_Web!D$1:D$500,SMALL(IF(Create_TC_Web!$C$1:$C$500&lt;&gt;"",MATCH(ROW(Create_TC_Web!$C$1:$C$500),ROW(Create_TC_Web!$C$1:$C$500)),""),ROW(Create_TC_Web!B274))),"")</f>
        <v/>
      </c>
      <c r="B274" t="str" cm="1">
        <f t="array" ref="B274">SUBSTITUTE(SUBSTITUTE(SUBSTITUTE(IFERROR(INDEX(Create_TC_Web!E$1:E$505,SMALL(IF(Create_TC_Web!$C$1:$C$505&lt;&gt;"",MATCH(ROW(Create_TC_Web!$C$1:$C$505),ROW(Create_TC_Web!$C$1:$C$505)),""),ROW(Create_TC_Web!C274))),"")," ",""),"-",""),"_","")</f>
        <v/>
      </c>
      <c r="C274" t="str" cm="1">
        <f t="array" ref="C274">IFERROR(INDEX(Create_TC_Web!F$1:F$500,SMALL(IF(Create_TC_Web!$C$1:$C$500&lt;&gt;"",MATCH(ROW(Create_TC_Web!$C$1:$C$500),ROW(Create_TC_Web!$C$1:$C$500)),""),ROW(Create_TC_Web!D274))),"")</f>
        <v/>
      </c>
      <c r="D274" t="str" cm="1">
        <f t="array" ref="D274">IFERROR(INDEX(Create_TC_Web!G$1:G$500,SMALL(IF(Create_TC_Web!$C$1:$C$500&lt;&gt;"",MATCH(ROW(Create_TC_Web!$C$1:$C$500),ROW(Create_TC_Web!$C$1:$C$500)),""),ROW(Create_TC_Web!E274))),"")</f>
        <v/>
      </c>
      <c r="E274" t="str" cm="1">
        <f t="array" ref="E274">IFERROR(INDEX(Create_TC_Web!H$1:H$500,SMALL(IF(Create_TC_Web!$C$1:$C$500&lt;&gt;"",MATCH(ROW(Create_TC_Web!$C$1:$C$500),ROW(Create_TC_Web!$C$1:$C$500)),""),ROW(Create_TC_Web!F274))),"")</f>
        <v/>
      </c>
      <c r="F274" t="str" cm="1">
        <f t="array" ref="F274">IFERROR(INDEX(Create_TC_Web!I$1:I$500,SMALL(IF(Create_TC_Web!$C$1:$C$500&lt;&gt;"",MATCH(ROW(Create_TC_Web!$C$1:$C$500),ROW(Create_TC_Web!$C$1:$C$500)),""),ROW(Create_TC_Web!G274))),"")</f>
        <v/>
      </c>
      <c r="G274" t="str" cm="1">
        <f t="array" ref="G274">IFERROR(INDEX(Create_TC_Web!J$1:J$500,SMALL(IF(Create_TC_Web!$C$1:$C$500&lt;&gt;"",MATCH(ROW(Create_TC_Web!$C$1:$C$500),ROW(Create_TC_Web!$C$1:$C$500)),""),ROW(Create_TC_Web!H274))),"")</f>
        <v/>
      </c>
      <c r="H274" t="str" cm="1">
        <f t="array" ref="H274">IFERROR(INDEX(Create_TC_Web!K$1:K$500,SMALL(IF(Create_TC_Web!$C$1:$C$500&lt;&gt;"",MATCH(ROW(Create_TC_Web!$C$1:$C$500),ROW(Create_TC_Web!$C$1:$C$500)),""),ROW(Create_TC_Web!I274))),"")</f>
        <v/>
      </c>
      <c r="I274" t="str" cm="1">
        <f t="array" ref="I274">IFERROR(INDEX(Create_TC_Web!L$1:L$500,SMALL(IF(Create_TC_Web!$C$1:$C$500&lt;&gt;"",MATCH(ROW(Create_TC_Web!$C$1:$C$500),ROW(Create_TC_Web!$C$1:$C$500)),""),ROW(Create_TC_Web!J274))),"")</f>
        <v/>
      </c>
      <c r="J274" t="str" cm="1">
        <f t="array" ref="J274">IFERROR(INDEX(Create_TC_Web!M$1:M$500,SMALL(IF(Create_TC_Web!$C$1:$C$500&lt;&gt;"",MATCH(ROW(Create_TC_Web!$C$1:$C$500),ROW(Create_TC_Web!$C$1:$C$500)),""),ROW(Create_TC_Web!K274))),"")</f>
        <v/>
      </c>
      <c r="K274" t="str" cm="1">
        <f t="array" ref="K274">IFERROR(INDEX(Create_TC_Web!N$1:N$500,SMALL(IF(Create_TC_Web!$C$1:$C$500&lt;&gt;"",MATCH(ROW(Create_TC_Web!$C$1:$C$500),ROW(Create_TC_Web!$C$1:$C$500)),""),ROW(Create_TC_Web!L274))),"")</f>
        <v/>
      </c>
      <c r="L274" t="str" cm="1">
        <f t="array" ref="L274">IFERROR(INDEX(Create_TC_Web!O$1:O$500,SMALL(IF(Create_TC_Web!$C$1:$C$500&lt;&gt;"",MATCH(ROW(Create_TC_Web!$C$1:$C$500),ROW(Create_TC_Web!$C$1:$C$500)),""),ROW(Create_TC_Web!M274))),"")</f>
        <v/>
      </c>
      <c r="M274" t="str" cm="1">
        <f t="array" ref="M274">IFERROR(INDEX(Create_TC_Web!P$1:P$500,SMALL(IF(Create_TC_Web!$C$1:$C$500&lt;&gt;"",MATCH(ROW(Create_TC_Web!$C$1:$C$500),ROW(Create_TC_Web!$C$1:$C$500)),""),ROW(Create_TC_Web!N274))),"")</f>
        <v/>
      </c>
      <c r="N274">
        <f>Create_TC_Web!CA283</f>
        <v>0</v>
      </c>
      <c r="O274" t="str">
        <f t="shared" si="15"/>
        <v/>
      </c>
      <c r="P274" s="17" t="str" cm="1">
        <f t="array" ref="P274">IFERROR(INDEX(Create_TC_Web!S$1:S$500,SMALL(IF(Create_TC_Web!$C$1:$C$500&lt;&gt;"",MATCH(ROW(Create_TC_Web!$C$1:$C$500),ROW(Create_TC_Web!$C$1:$C$500)),""),ROW(Create_TC_Web!Q252))),"")</f>
        <v/>
      </c>
      <c r="S274" t="str">
        <f t="shared" si="16"/>
        <v/>
      </c>
    </row>
    <row r="275" spans="1:19">
      <c r="A275" t="str" cm="1">
        <f t="array" ref="A275">IFERROR(INDEX(Create_TC_Web!D$1:D$500,SMALL(IF(Create_TC_Web!$C$1:$C$500&lt;&gt;"",MATCH(ROW(Create_TC_Web!$C$1:$C$500),ROW(Create_TC_Web!$C$1:$C$500)),""),ROW(Create_TC_Web!B275))),"")</f>
        <v/>
      </c>
      <c r="B275" t="str" cm="1">
        <f t="array" ref="B275">SUBSTITUTE(SUBSTITUTE(SUBSTITUTE(IFERROR(INDEX(Create_TC_Web!E$1:E$505,SMALL(IF(Create_TC_Web!$C$1:$C$505&lt;&gt;"",MATCH(ROW(Create_TC_Web!$C$1:$C$505),ROW(Create_TC_Web!$C$1:$C$505)),""),ROW(Create_TC_Web!C275))),"")," ",""),"-",""),"_","")</f>
        <v/>
      </c>
      <c r="C275" t="str" cm="1">
        <f t="array" ref="C275">IFERROR(INDEX(Create_TC_Web!F$1:F$500,SMALL(IF(Create_TC_Web!$C$1:$C$500&lt;&gt;"",MATCH(ROW(Create_TC_Web!$C$1:$C$500),ROW(Create_TC_Web!$C$1:$C$500)),""),ROW(Create_TC_Web!D275))),"")</f>
        <v/>
      </c>
      <c r="D275" t="str" cm="1">
        <f t="array" ref="D275">IFERROR(INDEX(Create_TC_Web!G$1:G$500,SMALL(IF(Create_TC_Web!$C$1:$C$500&lt;&gt;"",MATCH(ROW(Create_TC_Web!$C$1:$C$500),ROW(Create_TC_Web!$C$1:$C$500)),""),ROW(Create_TC_Web!E275))),"")</f>
        <v/>
      </c>
      <c r="E275" t="str" cm="1">
        <f t="array" ref="E275">IFERROR(INDEX(Create_TC_Web!H$1:H$500,SMALL(IF(Create_TC_Web!$C$1:$C$500&lt;&gt;"",MATCH(ROW(Create_TC_Web!$C$1:$C$500),ROW(Create_TC_Web!$C$1:$C$500)),""),ROW(Create_TC_Web!F275))),"")</f>
        <v/>
      </c>
      <c r="F275" t="str" cm="1">
        <f t="array" ref="F275">IFERROR(INDEX(Create_TC_Web!I$1:I$500,SMALL(IF(Create_TC_Web!$C$1:$C$500&lt;&gt;"",MATCH(ROW(Create_TC_Web!$C$1:$C$500),ROW(Create_TC_Web!$C$1:$C$500)),""),ROW(Create_TC_Web!G275))),"")</f>
        <v/>
      </c>
      <c r="G275" t="str" cm="1">
        <f t="array" ref="G275">IFERROR(INDEX(Create_TC_Web!J$1:J$500,SMALL(IF(Create_TC_Web!$C$1:$C$500&lt;&gt;"",MATCH(ROW(Create_TC_Web!$C$1:$C$500),ROW(Create_TC_Web!$C$1:$C$500)),""),ROW(Create_TC_Web!H275))),"")</f>
        <v/>
      </c>
      <c r="H275" t="str" cm="1">
        <f t="array" ref="H275">IFERROR(INDEX(Create_TC_Web!K$1:K$500,SMALL(IF(Create_TC_Web!$C$1:$C$500&lt;&gt;"",MATCH(ROW(Create_TC_Web!$C$1:$C$500),ROW(Create_TC_Web!$C$1:$C$500)),""),ROW(Create_TC_Web!I275))),"")</f>
        <v/>
      </c>
      <c r="I275" t="str" cm="1">
        <f t="array" ref="I275">IFERROR(INDEX(Create_TC_Web!L$1:L$500,SMALL(IF(Create_TC_Web!$C$1:$C$500&lt;&gt;"",MATCH(ROW(Create_TC_Web!$C$1:$C$500),ROW(Create_TC_Web!$C$1:$C$500)),""),ROW(Create_TC_Web!J275))),"")</f>
        <v/>
      </c>
      <c r="J275" t="str" cm="1">
        <f t="array" ref="J275">IFERROR(INDEX(Create_TC_Web!M$1:M$500,SMALL(IF(Create_TC_Web!$C$1:$C$500&lt;&gt;"",MATCH(ROW(Create_TC_Web!$C$1:$C$500),ROW(Create_TC_Web!$C$1:$C$500)),""),ROW(Create_TC_Web!K275))),"")</f>
        <v/>
      </c>
      <c r="K275" t="str" cm="1">
        <f t="array" ref="K275">IFERROR(INDEX(Create_TC_Web!N$1:N$500,SMALL(IF(Create_TC_Web!$C$1:$C$500&lt;&gt;"",MATCH(ROW(Create_TC_Web!$C$1:$C$500),ROW(Create_TC_Web!$C$1:$C$500)),""),ROW(Create_TC_Web!L275))),"")</f>
        <v/>
      </c>
      <c r="L275" t="str" cm="1">
        <f t="array" ref="L275">IFERROR(INDEX(Create_TC_Web!O$1:O$500,SMALL(IF(Create_TC_Web!$C$1:$C$500&lt;&gt;"",MATCH(ROW(Create_TC_Web!$C$1:$C$500),ROW(Create_TC_Web!$C$1:$C$500)),""),ROW(Create_TC_Web!M275))),"")</f>
        <v/>
      </c>
      <c r="M275" t="str" cm="1">
        <f t="array" ref="M275">IFERROR(INDEX(Create_TC_Web!P$1:P$500,SMALL(IF(Create_TC_Web!$C$1:$C$500&lt;&gt;"",MATCH(ROW(Create_TC_Web!$C$1:$C$500),ROW(Create_TC_Web!$C$1:$C$500)),""),ROW(Create_TC_Web!N275))),"")</f>
        <v/>
      </c>
      <c r="N275">
        <f>Create_TC_Web!CA284</f>
        <v>0</v>
      </c>
      <c r="O275" t="str">
        <f t="shared" si="15"/>
        <v/>
      </c>
      <c r="P275" s="17" t="str" cm="1">
        <f t="array" ref="P275">IFERROR(INDEX(Create_TC_Web!S$1:S$500,SMALL(IF(Create_TC_Web!$C$1:$C$500&lt;&gt;"",MATCH(ROW(Create_TC_Web!$C$1:$C$500),ROW(Create_TC_Web!$C$1:$C$500)),""),ROW(Create_TC_Web!Q253))),"")</f>
        <v/>
      </c>
      <c r="S275" t="str">
        <f t="shared" si="16"/>
        <v/>
      </c>
    </row>
    <row r="276" spans="1:19">
      <c r="A276" t="str" cm="1">
        <f t="array" ref="A276">IFERROR(INDEX(Create_TC_Web!D$1:D$500,SMALL(IF(Create_TC_Web!$C$1:$C$500&lt;&gt;"",MATCH(ROW(Create_TC_Web!$C$1:$C$500),ROW(Create_TC_Web!$C$1:$C$500)),""),ROW(Create_TC_Web!B276))),"")</f>
        <v/>
      </c>
      <c r="B276" t="str" cm="1">
        <f t="array" ref="B276">SUBSTITUTE(SUBSTITUTE(SUBSTITUTE(IFERROR(INDEX(Create_TC_Web!E$1:E$505,SMALL(IF(Create_TC_Web!$C$1:$C$505&lt;&gt;"",MATCH(ROW(Create_TC_Web!$C$1:$C$505),ROW(Create_TC_Web!$C$1:$C$505)),""),ROW(Create_TC_Web!C276))),"")," ",""),"-",""),"_","")</f>
        <v/>
      </c>
      <c r="C276" t="str" cm="1">
        <f t="array" ref="C276">IFERROR(INDEX(Create_TC_Web!F$1:F$500,SMALL(IF(Create_TC_Web!$C$1:$C$500&lt;&gt;"",MATCH(ROW(Create_TC_Web!$C$1:$C$500),ROW(Create_TC_Web!$C$1:$C$500)),""),ROW(Create_TC_Web!D276))),"")</f>
        <v/>
      </c>
      <c r="D276" t="str" cm="1">
        <f t="array" ref="D276">IFERROR(INDEX(Create_TC_Web!G$1:G$500,SMALL(IF(Create_TC_Web!$C$1:$C$500&lt;&gt;"",MATCH(ROW(Create_TC_Web!$C$1:$C$500),ROW(Create_TC_Web!$C$1:$C$500)),""),ROW(Create_TC_Web!E276))),"")</f>
        <v/>
      </c>
      <c r="E276" t="str" cm="1">
        <f t="array" ref="E276">IFERROR(INDEX(Create_TC_Web!H$1:H$500,SMALL(IF(Create_TC_Web!$C$1:$C$500&lt;&gt;"",MATCH(ROW(Create_TC_Web!$C$1:$C$500),ROW(Create_TC_Web!$C$1:$C$500)),""),ROW(Create_TC_Web!F276))),"")</f>
        <v/>
      </c>
      <c r="F276" t="str" cm="1">
        <f t="array" ref="F276">IFERROR(INDEX(Create_TC_Web!I$1:I$500,SMALL(IF(Create_TC_Web!$C$1:$C$500&lt;&gt;"",MATCH(ROW(Create_TC_Web!$C$1:$C$500),ROW(Create_TC_Web!$C$1:$C$500)),""),ROW(Create_TC_Web!G276))),"")</f>
        <v/>
      </c>
      <c r="G276" t="str" cm="1">
        <f t="array" ref="G276">IFERROR(INDEX(Create_TC_Web!J$1:J$500,SMALL(IF(Create_TC_Web!$C$1:$C$500&lt;&gt;"",MATCH(ROW(Create_TC_Web!$C$1:$C$500),ROW(Create_TC_Web!$C$1:$C$500)),""),ROW(Create_TC_Web!H276))),"")</f>
        <v/>
      </c>
      <c r="H276" t="str" cm="1">
        <f t="array" ref="H276">IFERROR(INDEX(Create_TC_Web!K$1:K$500,SMALL(IF(Create_TC_Web!$C$1:$C$500&lt;&gt;"",MATCH(ROW(Create_TC_Web!$C$1:$C$500),ROW(Create_TC_Web!$C$1:$C$500)),""),ROW(Create_TC_Web!I276))),"")</f>
        <v/>
      </c>
      <c r="I276" t="str" cm="1">
        <f t="array" ref="I276">IFERROR(INDEX(Create_TC_Web!L$1:L$500,SMALL(IF(Create_TC_Web!$C$1:$C$500&lt;&gt;"",MATCH(ROW(Create_TC_Web!$C$1:$C$500),ROW(Create_TC_Web!$C$1:$C$500)),""),ROW(Create_TC_Web!J276))),"")</f>
        <v/>
      </c>
      <c r="J276" t="str" cm="1">
        <f t="array" ref="J276">IFERROR(INDEX(Create_TC_Web!M$1:M$500,SMALL(IF(Create_TC_Web!$C$1:$C$500&lt;&gt;"",MATCH(ROW(Create_TC_Web!$C$1:$C$500),ROW(Create_TC_Web!$C$1:$C$500)),""),ROW(Create_TC_Web!K276))),"")</f>
        <v/>
      </c>
      <c r="K276" t="str" cm="1">
        <f t="array" ref="K276">IFERROR(INDEX(Create_TC_Web!N$1:N$500,SMALL(IF(Create_TC_Web!$C$1:$C$500&lt;&gt;"",MATCH(ROW(Create_TC_Web!$C$1:$C$500),ROW(Create_TC_Web!$C$1:$C$500)),""),ROW(Create_TC_Web!L276))),"")</f>
        <v/>
      </c>
      <c r="L276" t="str" cm="1">
        <f t="array" ref="L276">IFERROR(INDEX(Create_TC_Web!O$1:O$500,SMALL(IF(Create_TC_Web!$C$1:$C$500&lt;&gt;"",MATCH(ROW(Create_TC_Web!$C$1:$C$500),ROW(Create_TC_Web!$C$1:$C$500)),""),ROW(Create_TC_Web!M276))),"")</f>
        <v/>
      </c>
      <c r="M276" t="str" cm="1">
        <f t="array" ref="M276">IFERROR(INDEX(Create_TC_Web!P$1:P$500,SMALL(IF(Create_TC_Web!$C$1:$C$500&lt;&gt;"",MATCH(ROW(Create_TC_Web!$C$1:$C$500),ROW(Create_TC_Web!$C$1:$C$500)),""),ROW(Create_TC_Web!N276))),"")</f>
        <v/>
      </c>
      <c r="N276" t="str" cm="1">
        <f t="array" ref="N276">IFERROR(INDEX(Create_TC_Web!Q$1:Q$500,SMALL(IF(Create_TC_Web!$C$1:$C$500&lt;&gt;"",MATCH(ROW(Create_TC_Web!$C$1:$C$500),ROW(Create_TC_Web!$C$1:$C$500)),""),ROW(Create_TC_Web!O276))),"")</f>
        <v/>
      </c>
      <c r="O276" t="str">
        <f t="shared" si="15"/>
        <v/>
      </c>
      <c r="P276" s="17" t="str" cm="1">
        <f t="array" ref="P276">IFERROR(INDEX(Create_TC_Web!S$1:S$500,SMALL(IF(Create_TC_Web!$C$1:$C$500&lt;&gt;"",MATCH(ROW(Create_TC_Web!$C$1:$C$500),ROW(Create_TC_Web!$C$1:$C$500)),""),ROW(Create_TC_Web!Q254))),"")</f>
        <v/>
      </c>
      <c r="S276" t="str">
        <f t="shared" si="16"/>
        <v/>
      </c>
    </row>
    <row r="277" spans="1:19">
      <c r="A277" t="str" cm="1">
        <f t="array" ref="A277">IFERROR(INDEX(Create_TC_Web!D$1:D$500,SMALL(IF(Create_TC_Web!$C$1:$C$500&lt;&gt;"",MATCH(ROW(Create_TC_Web!$C$1:$C$500),ROW(Create_TC_Web!$C$1:$C$500)),""),ROW(Create_TC_Web!B277))),"")</f>
        <v/>
      </c>
      <c r="B277" t="str" cm="1">
        <f t="array" ref="B277">SUBSTITUTE(SUBSTITUTE(SUBSTITUTE(IFERROR(INDEX(Create_TC_Web!E$1:E$505,SMALL(IF(Create_TC_Web!$C$1:$C$505&lt;&gt;"",MATCH(ROW(Create_TC_Web!$C$1:$C$505),ROW(Create_TC_Web!$C$1:$C$505)),""),ROW(Create_TC_Web!C277))),"")," ",""),"-",""),"_","")</f>
        <v/>
      </c>
      <c r="C277" t="str" cm="1">
        <f t="array" ref="C277">IFERROR(INDEX(Create_TC_Web!F$1:F$500,SMALL(IF(Create_TC_Web!$C$1:$C$500&lt;&gt;"",MATCH(ROW(Create_TC_Web!$C$1:$C$500),ROW(Create_TC_Web!$C$1:$C$500)),""),ROW(Create_TC_Web!D277))),"")</f>
        <v/>
      </c>
      <c r="D277" t="str" cm="1">
        <f t="array" ref="D277">IFERROR(INDEX(Create_TC_Web!G$1:G$500,SMALL(IF(Create_TC_Web!$C$1:$C$500&lt;&gt;"",MATCH(ROW(Create_TC_Web!$C$1:$C$500),ROW(Create_TC_Web!$C$1:$C$500)),""),ROW(Create_TC_Web!E277))),"")</f>
        <v/>
      </c>
      <c r="E277" t="str" cm="1">
        <f t="array" ref="E277">IFERROR(INDEX(Create_TC_Web!H$1:H$500,SMALL(IF(Create_TC_Web!$C$1:$C$500&lt;&gt;"",MATCH(ROW(Create_TC_Web!$C$1:$C$500),ROW(Create_TC_Web!$C$1:$C$500)),""),ROW(Create_TC_Web!F277))),"")</f>
        <v/>
      </c>
      <c r="F277" t="str" cm="1">
        <f t="array" ref="F277">IFERROR(INDEX(Create_TC_Web!I$1:I$500,SMALL(IF(Create_TC_Web!$C$1:$C$500&lt;&gt;"",MATCH(ROW(Create_TC_Web!$C$1:$C$500),ROW(Create_TC_Web!$C$1:$C$500)),""),ROW(Create_TC_Web!G277))),"")</f>
        <v/>
      </c>
      <c r="G277" t="str" cm="1">
        <f t="array" ref="G277">IFERROR(INDEX(Create_TC_Web!J$1:J$500,SMALL(IF(Create_TC_Web!$C$1:$C$500&lt;&gt;"",MATCH(ROW(Create_TC_Web!$C$1:$C$500),ROW(Create_TC_Web!$C$1:$C$500)),""),ROW(Create_TC_Web!H277))),"")</f>
        <v/>
      </c>
      <c r="H277" t="str" cm="1">
        <f t="array" ref="H277">IFERROR(INDEX(Create_TC_Web!K$1:K$500,SMALL(IF(Create_TC_Web!$C$1:$C$500&lt;&gt;"",MATCH(ROW(Create_TC_Web!$C$1:$C$500),ROW(Create_TC_Web!$C$1:$C$500)),""),ROW(Create_TC_Web!I277))),"")</f>
        <v/>
      </c>
      <c r="I277" t="str" cm="1">
        <f t="array" ref="I277">IFERROR(INDEX(Create_TC_Web!L$1:L$500,SMALL(IF(Create_TC_Web!$C$1:$C$500&lt;&gt;"",MATCH(ROW(Create_TC_Web!$C$1:$C$500),ROW(Create_TC_Web!$C$1:$C$500)),""),ROW(Create_TC_Web!J277))),"")</f>
        <v/>
      </c>
      <c r="J277" t="str" cm="1">
        <f t="array" ref="J277">IFERROR(INDEX(Create_TC_Web!M$1:M$500,SMALL(IF(Create_TC_Web!$C$1:$C$500&lt;&gt;"",MATCH(ROW(Create_TC_Web!$C$1:$C$500),ROW(Create_TC_Web!$C$1:$C$500)),""),ROW(Create_TC_Web!K277))),"")</f>
        <v/>
      </c>
      <c r="K277" t="str" cm="1">
        <f t="array" ref="K277">IFERROR(INDEX(Create_TC_Web!N$1:N$500,SMALL(IF(Create_TC_Web!$C$1:$C$500&lt;&gt;"",MATCH(ROW(Create_TC_Web!$C$1:$C$500),ROW(Create_TC_Web!$C$1:$C$500)),""),ROW(Create_TC_Web!L277))),"")</f>
        <v/>
      </c>
      <c r="L277" t="str" cm="1">
        <f t="array" ref="L277">IFERROR(INDEX(Create_TC_Web!O$1:O$500,SMALL(IF(Create_TC_Web!$C$1:$C$500&lt;&gt;"",MATCH(ROW(Create_TC_Web!$C$1:$C$500),ROW(Create_TC_Web!$C$1:$C$500)),""),ROW(Create_TC_Web!M277))),"")</f>
        <v/>
      </c>
      <c r="M277" t="str" cm="1">
        <f t="array" ref="M277">IFERROR(INDEX(Create_TC_Web!P$1:P$500,SMALL(IF(Create_TC_Web!$C$1:$C$500&lt;&gt;"",MATCH(ROW(Create_TC_Web!$C$1:$C$500),ROW(Create_TC_Web!$C$1:$C$500)),""),ROW(Create_TC_Web!N277))),"")</f>
        <v/>
      </c>
      <c r="N277" t="str" cm="1">
        <f t="array" ref="N277">IFERROR(INDEX(Create_TC_Web!Q$1:Q$500,SMALL(IF(Create_TC_Web!$C$1:$C$500&lt;&gt;"",MATCH(ROW(Create_TC_Web!$C$1:$C$500),ROW(Create_TC_Web!$C$1:$C$500)),""),ROW(Create_TC_Web!O277))),"")</f>
        <v/>
      </c>
      <c r="O277" t="str">
        <f t="shared" si="15"/>
        <v/>
      </c>
      <c r="P277" s="17" t="str" cm="1">
        <f t="array" ref="P277">IFERROR(INDEX(Create_TC_Web!S$1:S$500,SMALL(IF(Create_TC_Web!$C$1:$C$500&lt;&gt;"",MATCH(ROW(Create_TC_Web!$C$1:$C$500),ROW(Create_TC_Web!$C$1:$C$500)),""),ROW(Create_TC_Web!Q255))),"")</f>
        <v/>
      </c>
      <c r="S277" t="str">
        <f t="shared" si="16"/>
        <v/>
      </c>
    </row>
    <row r="278" spans="1:19">
      <c r="A278" t="str" cm="1">
        <f t="array" ref="A278">IFERROR(INDEX(Create_TC_Web!D$1:D$500,SMALL(IF(Create_TC_Web!$C$1:$C$500&lt;&gt;"",MATCH(ROW(Create_TC_Web!$C$1:$C$500),ROW(Create_TC_Web!$C$1:$C$500)),""),ROW(Create_TC_Web!B278))),"")</f>
        <v/>
      </c>
      <c r="B278" t="str" cm="1">
        <f t="array" ref="B278">SUBSTITUTE(SUBSTITUTE(SUBSTITUTE(IFERROR(INDEX(Create_TC_Web!E$1:E$505,SMALL(IF(Create_TC_Web!$C$1:$C$505&lt;&gt;"",MATCH(ROW(Create_TC_Web!$C$1:$C$505),ROW(Create_TC_Web!$C$1:$C$505)),""),ROW(Create_TC_Web!C278))),"")," ",""),"-",""),"_","")</f>
        <v/>
      </c>
      <c r="C278" t="str" cm="1">
        <f t="array" ref="C278">IFERROR(INDEX(Create_TC_Web!F$1:F$500,SMALL(IF(Create_TC_Web!$C$1:$C$500&lt;&gt;"",MATCH(ROW(Create_TC_Web!$C$1:$C$500),ROW(Create_TC_Web!$C$1:$C$500)),""),ROW(Create_TC_Web!D278))),"")</f>
        <v/>
      </c>
      <c r="D278" t="str" cm="1">
        <f t="array" ref="D278">IFERROR(INDEX(Create_TC_Web!G$1:G$500,SMALL(IF(Create_TC_Web!$C$1:$C$500&lt;&gt;"",MATCH(ROW(Create_TC_Web!$C$1:$C$500),ROW(Create_TC_Web!$C$1:$C$500)),""),ROW(Create_TC_Web!E278))),"")</f>
        <v/>
      </c>
      <c r="E278" t="str" cm="1">
        <f t="array" ref="E278">IFERROR(INDEX(Create_TC_Web!H$1:H$500,SMALL(IF(Create_TC_Web!$C$1:$C$500&lt;&gt;"",MATCH(ROW(Create_TC_Web!$C$1:$C$500),ROW(Create_TC_Web!$C$1:$C$500)),""),ROW(Create_TC_Web!F278))),"")</f>
        <v/>
      </c>
      <c r="F278" t="str" cm="1">
        <f t="array" ref="F278">IFERROR(INDEX(Create_TC_Web!I$1:I$500,SMALL(IF(Create_TC_Web!$C$1:$C$500&lt;&gt;"",MATCH(ROW(Create_TC_Web!$C$1:$C$500),ROW(Create_TC_Web!$C$1:$C$500)),""),ROW(Create_TC_Web!G278))),"")</f>
        <v/>
      </c>
      <c r="G278" t="str" cm="1">
        <f t="array" ref="G278">IFERROR(INDEX(Create_TC_Web!J$1:J$500,SMALL(IF(Create_TC_Web!$C$1:$C$500&lt;&gt;"",MATCH(ROW(Create_TC_Web!$C$1:$C$500),ROW(Create_TC_Web!$C$1:$C$500)),""),ROW(Create_TC_Web!H278))),"")</f>
        <v/>
      </c>
      <c r="H278" t="str" cm="1">
        <f t="array" ref="H278">IFERROR(INDEX(Create_TC_Web!K$1:K$500,SMALL(IF(Create_TC_Web!$C$1:$C$500&lt;&gt;"",MATCH(ROW(Create_TC_Web!$C$1:$C$500),ROW(Create_TC_Web!$C$1:$C$500)),""),ROW(Create_TC_Web!I278))),"")</f>
        <v/>
      </c>
      <c r="I278" t="str" cm="1">
        <f t="array" ref="I278">IFERROR(INDEX(Create_TC_Web!L$1:L$500,SMALL(IF(Create_TC_Web!$C$1:$C$500&lt;&gt;"",MATCH(ROW(Create_TC_Web!$C$1:$C$500),ROW(Create_TC_Web!$C$1:$C$500)),""),ROW(Create_TC_Web!J278))),"")</f>
        <v/>
      </c>
      <c r="J278" t="str" cm="1">
        <f t="array" ref="J278">IFERROR(INDEX(Create_TC_Web!M$1:M$500,SMALL(IF(Create_TC_Web!$C$1:$C$500&lt;&gt;"",MATCH(ROW(Create_TC_Web!$C$1:$C$500),ROW(Create_TC_Web!$C$1:$C$500)),""),ROW(Create_TC_Web!K278))),"")</f>
        <v/>
      </c>
      <c r="K278" t="str" cm="1">
        <f t="array" ref="K278">IFERROR(INDEX(Create_TC_Web!N$1:N$500,SMALL(IF(Create_TC_Web!$C$1:$C$500&lt;&gt;"",MATCH(ROW(Create_TC_Web!$C$1:$C$500),ROW(Create_TC_Web!$C$1:$C$500)),""),ROW(Create_TC_Web!L278))),"")</f>
        <v/>
      </c>
      <c r="L278" t="str" cm="1">
        <f t="array" ref="L278">IFERROR(INDEX(Create_TC_Web!O$1:O$500,SMALL(IF(Create_TC_Web!$C$1:$C$500&lt;&gt;"",MATCH(ROW(Create_TC_Web!$C$1:$C$500),ROW(Create_TC_Web!$C$1:$C$500)),""),ROW(Create_TC_Web!M278))),"")</f>
        <v/>
      </c>
      <c r="M278" t="str" cm="1">
        <f t="array" ref="M278">IFERROR(INDEX(Create_TC_Web!P$1:P$500,SMALL(IF(Create_TC_Web!$C$1:$C$500&lt;&gt;"",MATCH(ROW(Create_TC_Web!$C$1:$C$500),ROW(Create_TC_Web!$C$1:$C$500)),""),ROW(Create_TC_Web!N278))),"")</f>
        <v/>
      </c>
      <c r="N278" t="str" cm="1">
        <f t="array" ref="N278">IFERROR(INDEX(Create_TC_Web!Q$1:Q$500,SMALL(IF(Create_TC_Web!$C$1:$C$500&lt;&gt;"",MATCH(ROW(Create_TC_Web!$C$1:$C$500),ROW(Create_TC_Web!$C$1:$C$500)),""),ROW(Create_TC_Web!O278))),"")</f>
        <v/>
      </c>
      <c r="O278" t="str">
        <f t="shared" si="15"/>
        <v/>
      </c>
      <c r="P278" s="17" t="str" cm="1">
        <f t="array" ref="P278">IFERROR(INDEX(Create_TC_Web!S$1:S$500,SMALL(IF(Create_TC_Web!$C$1:$C$500&lt;&gt;"",MATCH(ROW(Create_TC_Web!$C$1:$C$500),ROW(Create_TC_Web!$C$1:$C$500)),""),ROW(Create_TC_Web!Q256))),"")</f>
        <v/>
      </c>
      <c r="S278" t="str">
        <f t="shared" si="16"/>
        <v/>
      </c>
    </row>
    <row r="279" spans="1:19">
      <c r="A279" t="str" cm="1">
        <f t="array" ref="A279">IFERROR(INDEX(Create_TC_Web!D$1:D$500,SMALL(IF(Create_TC_Web!$C$1:$C$500&lt;&gt;"",MATCH(ROW(Create_TC_Web!$C$1:$C$500),ROW(Create_TC_Web!$C$1:$C$500)),""),ROW(Create_TC_Web!B279))),"")</f>
        <v/>
      </c>
      <c r="B279" t="str" cm="1">
        <f t="array" ref="B279">SUBSTITUTE(SUBSTITUTE(SUBSTITUTE(IFERROR(INDEX(Create_TC_Web!E$1:E$505,SMALL(IF(Create_TC_Web!$C$1:$C$505&lt;&gt;"",MATCH(ROW(Create_TC_Web!$C$1:$C$505),ROW(Create_TC_Web!$C$1:$C$505)),""),ROW(Create_TC_Web!C279))),"")," ",""),"-",""),"_","")</f>
        <v/>
      </c>
      <c r="C279" t="str" cm="1">
        <f t="array" ref="C279">IFERROR(INDEX(Create_TC_Web!F$1:F$500,SMALL(IF(Create_TC_Web!$C$1:$C$500&lt;&gt;"",MATCH(ROW(Create_TC_Web!$C$1:$C$500),ROW(Create_TC_Web!$C$1:$C$500)),""),ROW(Create_TC_Web!D279))),"")</f>
        <v/>
      </c>
      <c r="D279" t="str" cm="1">
        <f t="array" ref="D279">IFERROR(INDEX(Create_TC_Web!G$1:G$500,SMALL(IF(Create_TC_Web!$C$1:$C$500&lt;&gt;"",MATCH(ROW(Create_TC_Web!$C$1:$C$500),ROW(Create_TC_Web!$C$1:$C$500)),""),ROW(Create_TC_Web!E279))),"")</f>
        <v/>
      </c>
      <c r="E279" t="str" cm="1">
        <f t="array" ref="E279">IFERROR(INDEX(Create_TC_Web!H$1:H$500,SMALL(IF(Create_TC_Web!$C$1:$C$500&lt;&gt;"",MATCH(ROW(Create_TC_Web!$C$1:$C$500),ROW(Create_TC_Web!$C$1:$C$500)),""),ROW(Create_TC_Web!F279))),"")</f>
        <v/>
      </c>
      <c r="F279" t="str" cm="1">
        <f t="array" ref="F279">IFERROR(INDEX(Create_TC_Web!I$1:I$500,SMALL(IF(Create_TC_Web!$C$1:$C$500&lt;&gt;"",MATCH(ROW(Create_TC_Web!$C$1:$C$500),ROW(Create_TC_Web!$C$1:$C$500)),""),ROW(Create_TC_Web!G279))),"")</f>
        <v/>
      </c>
      <c r="G279" t="str" cm="1">
        <f t="array" ref="G279">IFERROR(INDEX(Create_TC_Web!J$1:J$500,SMALL(IF(Create_TC_Web!$C$1:$C$500&lt;&gt;"",MATCH(ROW(Create_TC_Web!$C$1:$C$500),ROW(Create_TC_Web!$C$1:$C$500)),""),ROW(Create_TC_Web!H279))),"")</f>
        <v/>
      </c>
      <c r="H279" t="str" cm="1">
        <f t="array" ref="H279">IFERROR(INDEX(Create_TC_Web!K$1:K$500,SMALL(IF(Create_TC_Web!$C$1:$C$500&lt;&gt;"",MATCH(ROW(Create_TC_Web!$C$1:$C$500),ROW(Create_TC_Web!$C$1:$C$500)),""),ROW(Create_TC_Web!I279))),"")</f>
        <v/>
      </c>
      <c r="I279" t="str" cm="1">
        <f t="array" ref="I279">IFERROR(INDEX(Create_TC_Web!L$1:L$500,SMALL(IF(Create_TC_Web!$C$1:$C$500&lt;&gt;"",MATCH(ROW(Create_TC_Web!$C$1:$C$500),ROW(Create_TC_Web!$C$1:$C$500)),""),ROW(Create_TC_Web!J279))),"")</f>
        <v/>
      </c>
      <c r="J279" t="str" cm="1">
        <f t="array" ref="J279">IFERROR(INDEX(Create_TC_Web!M$1:M$500,SMALL(IF(Create_TC_Web!$C$1:$C$500&lt;&gt;"",MATCH(ROW(Create_TC_Web!$C$1:$C$500),ROW(Create_TC_Web!$C$1:$C$500)),""),ROW(Create_TC_Web!K279))),"")</f>
        <v/>
      </c>
      <c r="K279" t="str" cm="1">
        <f t="array" ref="K279">IFERROR(INDEX(Create_TC_Web!N$1:N$500,SMALL(IF(Create_TC_Web!$C$1:$C$500&lt;&gt;"",MATCH(ROW(Create_TC_Web!$C$1:$C$500),ROW(Create_TC_Web!$C$1:$C$500)),""),ROW(Create_TC_Web!L279))),"")</f>
        <v/>
      </c>
      <c r="L279" t="str" cm="1">
        <f t="array" ref="L279">IFERROR(INDEX(Create_TC_Web!O$1:O$500,SMALL(IF(Create_TC_Web!$C$1:$C$500&lt;&gt;"",MATCH(ROW(Create_TC_Web!$C$1:$C$500),ROW(Create_TC_Web!$C$1:$C$500)),""),ROW(Create_TC_Web!M279))),"")</f>
        <v/>
      </c>
      <c r="M279" t="str" cm="1">
        <f t="array" ref="M279">IFERROR(INDEX(Create_TC_Web!P$1:P$500,SMALL(IF(Create_TC_Web!$C$1:$C$500&lt;&gt;"",MATCH(ROW(Create_TC_Web!$C$1:$C$500),ROW(Create_TC_Web!$C$1:$C$500)),""),ROW(Create_TC_Web!N279))),"")</f>
        <v/>
      </c>
      <c r="N279" t="str" cm="1">
        <f t="array" ref="N279">IFERROR(INDEX(Create_TC_Web!Q$1:Q$500,SMALL(IF(Create_TC_Web!$C$1:$C$500&lt;&gt;"",MATCH(ROW(Create_TC_Web!$C$1:$C$500),ROW(Create_TC_Web!$C$1:$C$500)),""),ROW(Create_TC_Web!O279))),"")</f>
        <v/>
      </c>
      <c r="O279" t="str">
        <f t="shared" si="15"/>
        <v/>
      </c>
      <c r="P279" s="17" t="str" cm="1">
        <f t="array" ref="P279">IFERROR(INDEX(Create_TC_Web!S$1:S$500,SMALL(IF(Create_TC_Web!$C$1:$C$500&lt;&gt;"",MATCH(ROW(Create_TC_Web!$C$1:$C$500),ROW(Create_TC_Web!$C$1:$C$500)),""),ROW(Create_TC_Web!Q257))),"")</f>
        <v/>
      </c>
      <c r="S279" t="str">
        <f t="shared" si="16"/>
        <v/>
      </c>
    </row>
    <row r="280" spans="1:19">
      <c r="A280" t="str" cm="1">
        <f t="array" ref="A280">IFERROR(INDEX(Create_TC_Web!D$1:D$500,SMALL(IF(Create_TC_Web!$C$1:$C$500&lt;&gt;"",MATCH(ROW(Create_TC_Web!$C$1:$C$500),ROW(Create_TC_Web!$C$1:$C$500)),""),ROW(Create_TC_Web!B280))),"")</f>
        <v/>
      </c>
      <c r="B280" t="str" cm="1">
        <f t="array" ref="B280">SUBSTITUTE(SUBSTITUTE(SUBSTITUTE(IFERROR(INDEX(Create_TC_Web!E$1:E$505,SMALL(IF(Create_TC_Web!$C$1:$C$505&lt;&gt;"",MATCH(ROW(Create_TC_Web!$C$1:$C$505),ROW(Create_TC_Web!$C$1:$C$505)),""),ROW(Create_TC_Web!C280))),"")," ",""),"-",""),"_","")</f>
        <v/>
      </c>
      <c r="C280" t="str" cm="1">
        <f t="array" ref="C280">IFERROR(INDEX(Create_TC_Web!F$1:F$500,SMALL(IF(Create_TC_Web!$C$1:$C$500&lt;&gt;"",MATCH(ROW(Create_TC_Web!$C$1:$C$500),ROW(Create_TC_Web!$C$1:$C$500)),""),ROW(Create_TC_Web!D280))),"")</f>
        <v/>
      </c>
      <c r="D280" t="str" cm="1">
        <f t="array" ref="D280">IFERROR(INDEX(Create_TC_Web!G$1:G$500,SMALL(IF(Create_TC_Web!$C$1:$C$500&lt;&gt;"",MATCH(ROW(Create_TC_Web!$C$1:$C$500),ROW(Create_TC_Web!$C$1:$C$500)),""),ROW(Create_TC_Web!E280))),"")</f>
        <v/>
      </c>
      <c r="E280" t="str" cm="1">
        <f t="array" ref="E280">IFERROR(INDEX(Create_TC_Web!H$1:H$500,SMALL(IF(Create_TC_Web!$C$1:$C$500&lt;&gt;"",MATCH(ROW(Create_TC_Web!$C$1:$C$500),ROW(Create_TC_Web!$C$1:$C$500)),""),ROW(Create_TC_Web!F280))),"")</f>
        <v/>
      </c>
      <c r="F280" t="str" cm="1">
        <f t="array" ref="F280">IFERROR(INDEX(Create_TC_Web!I$1:I$500,SMALL(IF(Create_TC_Web!$C$1:$C$500&lt;&gt;"",MATCH(ROW(Create_TC_Web!$C$1:$C$500),ROW(Create_TC_Web!$C$1:$C$500)),""),ROW(Create_TC_Web!G280))),"")</f>
        <v/>
      </c>
      <c r="G280" t="str" cm="1">
        <f t="array" ref="G280">IFERROR(INDEX(Create_TC_Web!J$1:J$500,SMALL(IF(Create_TC_Web!$C$1:$C$500&lt;&gt;"",MATCH(ROW(Create_TC_Web!$C$1:$C$500),ROW(Create_TC_Web!$C$1:$C$500)),""),ROW(Create_TC_Web!H280))),"")</f>
        <v/>
      </c>
      <c r="H280" t="str" cm="1">
        <f t="array" ref="H280">IFERROR(INDEX(Create_TC_Web!K$1:K$500,SMALL(IF(Create_TC_Web!$C$1:$C$500&lt;&gt;"",MATCH(ROW(Create_TC_Web!$C$1:$C$500),ROW(Create_TC_Web!$C$1:$C$500)),""),ROW(Create_TC_Web!I280))),"")</f>
        <v/>
      </c>
      <c r="I280" t="str" cm="1">
        <f t="array" ref="I280">IFERROR(INDEX(Create_TC_Web!L$1:L$500,SMALL(IF(Create_TC_Web!$C$1:$C$500&lt;&gt;"",MATCH(ROW(Create_TC_Web!$C$1:$C$500),ROW(Create_TC_Web!$C$1:$C$500)),""),ROW(Create_TC_Web!J280))),"")</f>
        <v/>
      </c>
      <c r="J280" t="str" cm="1">
        <f t="array" ref="J280">IFERROR(INDEX(Create_TC_Web!M$1:M$500,SMALL(IF(Create_TC_Web!$C$1:$C$500&lt;&gt;"",MATCH(ROW(Create_TC_Web!$C$1:$C$500),ROW(Create_TC_Web!$C$1:$C$500)),""),ROW(Create_TC_Web!K280))),"")</f>
        <v/>
      </c>
      <c r="K280" t="str" cm="1">
        <f t="array" ref="K280">IFERROR(INDEX(Create_TC_Web!N$1:N$500,SMALL(IF(Create_TC_Web!$C$1:$C$500&lt;&gt;"",MATCH(ROW(Create_TC_Web!$C$1:$C$500),ROW(Create_TC_Web!$C$1:$C$500)),""),ROW(Create_TC_Web!L280))),"")</f>
        <v/>
      </c>
      <c r="L280" t="str" cm="1">
        <f t="array" ref="L280">IFERROR(INDEX(Create_TC_Web!O$1:O$500,SMALL(IF(Create_TC_Web!$C$1:$C$500&lt;&gt;"",MATCH(ROW(Create_TC_Web!$C$1:$C$500),ROW(Create_TC_Web!$C$1:$C$500)),""),ROW(Create_TC_Web!M280))),"")</f>
        <v/>
      </c>
      <c r="M280" t="str" cm="1">
        <f t="array" ref="M280">IFERROR(INDEX(Create_TC_Web!P$1:P$500,SMALL(IF(Create_TC_Web!$C$1:$C$500&lt;&gt;"",MATCH(ROW(Create_TC_Web!$C$1:$C$500),ROW(Create_TC_Web!$C$1:$C$500)),""),ROW(Create_TC_Web!N280))),"")</f>
        <v/>
      </c>
      <c r="N280" t="str" cm="1">
        <f t="array" ref="N280">IFERROR(INDEX(Create_TC_Web!Q$1:Q$500,SMALL(IF(Create_TC_Web!$C$1:$C$500&lt;&gt;"",MATCH(ROW(Create_TC_Web!$C$1:$C$500),ROW(Create_TC_Web!$C$1:$C$500)),""),ROW(Create_TC_Web!O280))),"")</f>
        <v/>
      </c>
      <c r="O280" t="str">
        <f t="shared" si="15"/>
        <v/>
      </c>
      <c r="P280" s="17" t="str" cm="1">
        <f t="array" ref="P280">IFERROR(INDEX(Create_TC_Web!S$1:S$500,SMALL(IF(Create_TC_Web!$C$1:$C$500&lt;&gt;"",MATCH(ROW(Create_TC_Web!$C$1:$C$500),ROW(Create_TC_Web!$C$1:$C$500)),""),ROW(Create_TC_Web!Q258))),"")</f>
        <v/>
      </c>
      <c r="S280" t="str">
        <f t="shared" si="16"/>
        <v/>
      </c>
    </row>
    <row r="281" spans="1:19">
      <c r="A281" t="str" cm="1">
        <f t="array" ref="A281">IFERROR(INDEX(Create_TC_Web!D$1:D$500,SMALL(IF(Create_TC_Web!$C$1:$C$500&lt;&gt;"",MATCH(ROW(Create_TC_Web!$C$1:$C$500),ROW(Create_TC_Web!$C$1:$C$500)),""),ROW(Create_TC_Web!B281))),"")</f>
        <v/>
      </c>
      <c r="B281" t="str" cm="1">
        <f t="array" ref="B281">SUBSTITUTE(SUBSTITUTE(SUBSTITUTE(IFERROR(INDEX(Create_TC_Web!E$1:E$505,SMALL(IF(Create_TC_Web!$C$1:$C$505&lt;&gt;"",MATCH(ROW(Create_TC_Web!$C$1:$C$505),ROW(Create_TC_Web!$C$1:$C$505)),""),ROW(Create_TC_Web!C281))),"")," ",""),"-",""),"_","")</f>
        <v/>
      </c>
      <c r="C281" t="str" cm="1">
        <f t="array" ref="C281">IFERROR(INDEX(Create_TC_Web!F$1:F$500,SMALL(IF(Create_TC_Web!$C$1:$C$500&lt;&gt;"",MATCH(ROW(Create_TC_Web!$C$1:$C$500),ROW(Create_TC_Web!$C$1:$C$500)),""),ROW(Create_TC_Web!D281))),"")</f>
        <v/>
      </c>
      <c r="D281" t="str" cm="1">
        <f t="array" ref="D281">IFERROR(INDEX(Create_TC_Web!G$1:G$500,SMALL(IF(Create_TC_Web!$C$1:$C$500&lt;&gt;"",MATCH(ROW(Create_TC_Web!$C$1:$C$500),ROW(Create_TC_Web!$C$1:$C$500)),""),ROW(Create_TC_Web!E281))),"")</f>
        <v/>
      </c>
      <c r="E281" t="str" cm="1">
        <f t="array" ref="E281">IFERROR(INDEX(Create_TC_Web!H$1:H$500,SMALL(IF(Create_TC_Web!$C$1:$C$500&lt;&gt;"",MATCH(ROW(Create_TC_Web!$C$1:$C$500),ROW(Create_TC_Web!$C$1:$C$500)),""),ROW(Create_TC_Web!F281))),"")</f>
        <v/>
      </c>
      <c r="F281" t="str" cm="1">
        <f t="array" ref="F281">IFERROR(INDEX(Create_TC_Web!I$1:I$500,SMALL(IF(Create_TC_Web!$C$1:$C$500&lt;&gt;"",MATCH(ROW(Create_TC_Web!$C$1:$C$500),ROW(Create_TC_Web!$C$1:$C$500)),""),ROW(Create_TC_Web!G281))),"")</f>
        <v/>
      </c>
      <c r="G281" t="str" cm="1">
        <f t="array" ref="G281">IFERROR(INDEX(Create_TC_Web!J$1:J$500,SMALL(IF(Create_TC_Web!$C$1:$C$500&lt;&gt;"",MATCH(ROW(Create_TC_Web!$C$1:$C$500),ROW(Create_TC_Web!$C$1:$C$500)),""),ROW(Create_TC_Web!H281))),"")</f>
        <v/>
      </c>
      <c r="H281" t="str" cm="1">
        <f t="array" ref="H281">IFERROR(INDEX(Create_TC_Web!K$1:K$500,SMALL(IF(Create_TC_Web!$C$1:$C$500&lt;&gt;"",MATCH(ROW(Create_TC_Web!$C$1:$C$500),ROW(Create_TC_Web!$C$1:$C$500)),""),ROW(Create_TC_Web!I281))),"")</f>
        <v/>
      </c>
      <c r="I281" t="str" cm="1">
        <f t="array" ref="I281">IFERROR(INDEX(Create_TC_Web!L$1:L$500,SMALL(IF(Create_TC_Web!$C$1:$C$500&lt;&gt;"",MATCH(ROW(Create_TC_Web!$C$1:$C$500),ROW(Create_TC_Web!$C$1:$C$500)),""),ROW(Create_TC_Web!J281))),"")</f>
        <v/>
      </c>
      <c r="J281" t="str" cm="1">
        <f t="array" ref="J281">IFERROR(INDEX(Create_TC_Web!M$1:M$500,SMALL(IF(Create_TC_Web!$C$1:$C$500&lt;&gt;"",MATCH(ROW(Create_TC_Web!$C$1:$C$500),ROW(Create_TC_Web!$C$1:$C$500)),""),ROW(Create_TC_Web!K281))),"")</f>
        <v/>
      </c>
      <c r="K281" t="str" cm="1">
        <f t="array" ref="K281">IFERROR(INDEX(Create_TC_Web!N$1:N$500,SMALL(IF(Create_TC_Web!$C$1:$C$500&lt;&gt;"",MATCH(ROW(Create_TC_Web!$C$1:$C$500),ROW(Create_TC_Web!$C$1:$C$500)),""),ROW(Create_TC_Web!L281))),"")</f>
        <v/>
      </c>
      <c r="L281" t="str" cm="1">
        <f t="array" ref="L281">IFERROR(INDEX(Create_TC_Web!O$1:O$500,SMALL(IF(Create_TC_Web!$C$1:$C$500&lt;&gt;"",MATCH(ROW(Create_TC_Web!$C$1:$C$500),ROW(Create_TC_Web!$C$1:$C$500)),""),ROW(Create_TC_Web!M281))),"")</f>
        <v/>
      </c>
      <c r="M281" t="str" cm="1">
        <f t="array" ref="M281">IFERROR(INDEX(Create_TC_Web!P$1:P$500,SMALL(IF(Create_TC_Web!$C$1:$C$500&lt;&gt;"",MATCH(ROW(Create_TC_Web!$C$1:$C$500),ROW(Create_TC_Web!$C$1:$C$500)),""),ROW(Create_TC_Web!N281))),"")</f>
        <v/>
      </c>
      <c r="N281" t="str" cm="1">
        <f t="array" ref="N281">IFERROR(INDEX(Create_TC_Web!Q$1:Q$500,SMALL(IF(Create_TC_Web!$C$1:$C$500&lt;&gt;"",MATCH(ROW(Create_TC_Web!$C$1:$C$500),ROW(Create_TC_Web!$C$1:$C$500)),""),ROW(Create_TC_Web!O281))),"")</f>
        <v/>
      </c>
      <c r="O281" t="str">
        <f t="shared" si="15"/>
        <v/>
      </c>
      <c r="P281" s="17" t="str" cm="1">
        <f t="array" ref="P281">IFERROR(INDEX(Create_TC_Web!S$1:S$500,SMALL(IF(Create_TC_Web!$C$1:$C$500&lt;&gt;"",MATCH(ROW(Create_TC_Web!$C$1:$C$500),ROW(Create_TC_Web!$C$1:$C$500)),""),ROW(Create_TC_Web!Q259))),"")</f>
        <v/>
      </c>
      <c r="S281" t="str">
        <f t="shared" si="16"/>
        <v/>
      </c>
    </row>
    <row r="282" spans="1:19">
      <c r="A282" t="str" cm="1">
        <f t="array" ref="A282">IFERROR(INDEX(Create_TC_Web!D$1:D$500,SMALL(IF(Create_TC_Web!$C$1:$C$500&lt;&gt;"",MATCH(ROW(Create_TC_Web!$C$1:$C$500),ROW(Create_TC_Web!$C$1:$C$500)),""),ROW(Create_TC_Web!B282))),"")</f>
        <v/>
      </c>
      <c r="B282" t="str" cm="1">
        <f t="array" ref="B282">SUBSTITUTE(SUBSTITUTE(SUBSTITUTE(IFERROR(INDEX(Create_TC_Web!E$1:E$505,SMALL(IF(Create_TC_Web!$C$1:$C$505&lt;&gt;"",MATCH(ROW(Create_TC_Web!$C$1:$C$505),ROW(Create_TC_Web!$C$1:$C$505)),""),ROW(Create_TC_Web!C282))),"")," ",""),"-",""),"_","")</f>
        <v/>
      </c>
      <c r="C282" t="str" cm="1">
        <f t="array" ref="C282">IFERROR(INDEX(Create_TC_Web!F$1:F$500,SMALL(IF(Create_TC_Web!$C$1:$C$500&lt;&gt;"",MATCH(ROW(Create_TC_Web!$C$1:$C$500),ROW(Create_TC_Web!$C$1:$C$500)),""),ROW(Create_TC_Web!D282))),"")</f>
        <v/>
      </c>
      <c r="D282" t="str" cm="1">
        <f t="array" ref="D282">IFERROR(INDEX(Create_TC_Web!G$1:G$500,SMALL(IF(Create_TC_Web!$C$1:$C$500&lt;&gt;"",MATCH(ROW(Create_TC_Web!$C$1:$C$500),ROW(Create_TC_Web!$C$1:$C$500)),""),ROW(Create_TC_Web!E282))),"")</f>
        <v/>
      </c>
      <c r="E282" t="str" cm="1">
        <f t="array" ref="E282">IFERROR(INDEX(Create_TC_Web!H$1:H$500,SMALL(IF(Create_TC_Web!$C$1:$C$500&lt;&gt;"",MATCH(ROW(Create_TC_Web!$C$1:$C$500),ROW(Create_TC_Web!$C$1:$C$500)),""),ROW(Create_TC_Web!F282))),"")</f>
        <v/>
      </c>
      <c r="F282" t="str" cm="1">
        <f t="array" ref="F282">IFERROR(INDEX(Create_TC_Web!I$1:I$500,SMALL(IF(Create_TC_Web!$C$1:$C$500&lt;&gt;"",MATCH(ROW(Create_TC_Web!$C$1:$C$500),ROW(Create_TC_Web!$C$1:$C$500)),""),ROW(Create_TC_Web!G282))),"")</f>
        <v/>
      </c>
      <c r="G282" t="str" cm="1">
        <f t="array" ref="G282">IFERROR(INDEX(Create_TC_Web!J$1:J$500,SMALL(IF(Create_TC_Web!$C$1:$C$500&lt;&gt;"",MATCH(ROW(Create_TC_Web!$C$1:$C$500),ROW(Create_TC_Web!$C$1:$C$500)),""),ROW(Create_TC_Web!H282))),"")</f>
        <v/>
      </c>
      <c r="H282" t="str" cm="1">
        <f t="array" ref="H282">IFERROR(INDEX(Create_TC_Web!K$1:K$500,SMALL(IF(Create_TC_Web!$C$1:$C$500&lt;&gt;"",MATCH(ROW(Create_TC_Web!$C$1:$C$500),ROW(Create_TC_Web!$C$1:$C$500)),""),ROW(Create_TC_Web!I282))),"")</f>
        <v/>
      </c>
      <c r="I282" t="str" cm="1">
        <f t="array" ref="I282">IFERROR(INDEX(Create_TC_Web!L$1:L$500,SMALL(IF(Create_TC_Web!$C$1:$C$500&lt;&gt;"",MATCH(ROW(Create_TC_Web!$C$1:$C$500),ROW(Create_TC_Web!$C$1:$C$500)),""),ROW(Create_TC_Web!J282))),"")</f>
        <v/>
      </c>
      <c r="J282" t="str" cm="1">
        <f t="array" ref="J282">IFERROR(INDEX(Create_TC_Web!M$1:M$500,SMALL(IF(Create_TC_Web!$C$1:$C$500&lt;&gt;"",MATCH(ROW(Create_TC_Web!$C$1:$C$500),ROW(Create_TC_Web!$C$1:$C$500)),""),ROW(Create_TC_Web!K282))),"")</f>
        <v/>
      </c>
      <c r="K282" t="str" cm="1">
        <f t="array" ref="K282">IFERROR(INDEX(Create_TC_Web!N$1:N$500,SMALL(IF(Create_TC_Web!$C$1:$C$500&lt;&gt;"",MATCH(ROW(Create_TC_Web!$C$1:$C$500),ROW(Create_TC_Web!$C$1:$C$500)),""),ROW(Create_TC_Web!L282))),"")</f>
        <v/>
      </c>
      <c r="L282" t="str" cm="1">
        <f t="array" ref="L282">IFERROR(INDEX(Create_TC_Web!O$1:O$500,SMALL(IF(Create_TC_Web!$C$1:$C$500&lt;&gt;"",MATCH(ROW(Create_TC_Web!$C$1:$C$500),ROW(Create_TC_Web!$C$1:$C$500)),""),ROW(Create_TC_Web!M282))),"")</f>
        <v/>
      </c>
      <c r="M282" t="str" cm="1">
        <f t="array" ref="M282">IFERROR(INDEX(Create_TC_Web!P$1:P$500,SMALL(IF(Create_TC_Web!$C$1:$C$500&lt;&gt;"",MATCH(ROW(Create_TC_Web!$C$1:$C$500),ROW(Create_TC_Web!$C$1:$C$500)),""),ROW(Create_TC_Web!N282))),"")</f>
        <v/>
      </c>
      <c r="N282" t="str" cm="1">
        <f t="array" ref="N282">IFERROR(INDEX(Create_TC_Web!Q$1:Q$500,SMALL(IF(Create_TC_Web!$C$1:$C$500&lt;&gt;"",MATCH(ROW(Create_TC_Web!$C$1:$C$500),ROW(Create_TC_Web!$C$1:$C$500)),""),ROW(Create_TC_Web!O282))),"")</f>
        <v/>
      </c>
      <c r="O282" t="str">
        <f t="shared" si="15"/>
        <v/>
      </c>
      <c r="P282" s="17" t="str" cm="1">
        <f t="array" ref="P282">IFERROR(INDEX(Create_TC_Web!S$1:S$500,SMALL(IF(Create_TC_Web!$C$1:$C$500&lt;&gt;"",MATCH(ROW(Create_TC_Web!$C$1:$C$500),ROW(Create_TC_Web!$C$1:$C$500)),""),ROW(Create_TC_Web!Q260))),"")</f>
        <v/>
      </c>
      <c r="S282" t="str">
        <f t="shared" si="16"/>
        <v/>
      </c>
    </row>
    <row r="283" spans="1:19">
      <c r="A283" t="str" cm="1">
        <f t="array" ref="A283">IFERROR(INDEX(Create_TC_Web!D$1:D$500,SMALL(IF(Create_TC_Web!$C$1:$C$500&lt;&gt;"",MATCH(ROW(Create_TC_Web!$C$1:$C$500),ROW(Create_TC_Web!$C$1:$C$500)),""),ROW(Create_TC_Web!B283))),"")</f>
        <v/>
      </c>
      <c r="B283" t="str" cm="1">
        <f t="array" ref="B283">SUBSTITUTE(SUBSTITUTE(SUBSTITUTE(IFERROR(INDEX(Create_TC_Web!E$1:E$505,SMALL(IF(Create_TC_Web!$C$1:$C$505&lt;&gt;"",MATCH(ROW(Create_TC_Web!$C$1:$C$505),ROW(Create_TC_Web!$C$1:$C$505)),""),ROW(Create_TC_Web!C283))),"")," ",""),"-",""),"_","")</f>
        <v/>
      </c>
      <c r="C283" t="str" cm="1">
        <f t="array" ref="C283">IFERROR(INDEX(Create_TC_Web!F$1:F$500,SMALL(IF(Create_TC_Web!$C$1:$C$500&lt;&gt;"",MATCH(ROW(Create_TC_Web!$C$1:$C$500),ROW(Create_TC_Web!$C$1:$C$500)),""),ROW(Create_TC_Web!D283))),"")</f>
        <v/>
      </c>
      <c r="D283" t="str" cm="1">
        <f t="array" ref="D283">IFERROR(INDEX(Create_TC_Web!G$1:G$500,SMALL(IF(Create_TC_Web!$C$1:$C$500&lt;&gt;"",MATCH(ROW(Create_TC_Web!$C$1:$C$500),ROW(Create_TC_Web!$C$1:$C$500)),""),ROW(Create_TC_Web!E283))),"")</f>
        <v/>
      </c>
      <c r="E283" t="str" cm="1">
        <f t="array" ref="E283">IFERROR(INDEX(Create_TC_Web!H$1:H$500,SMALL(IF(Create_TC_Web!$C$1:$C$500&lt;&gt;"",MATCH(ROW(Create_TC_Web!$C$1:$C$500),ROW(Create_TC_Web!$C$1:$C$500)),""),ROW(Create_TC_Web!F283))),"")</f>
        <v/>
      </c>
      <c r="F283" t="str" cm="1">
        <f t="array" ref="F283">IFERROR(INDEX(Create_TC_Web!I$1:I$500,SMALL(IF(Create_TC_Web!$C$1:$C$500&lt;&gt;"",MATCH(ROW(Create_TC_Web!$C$1:$C$500),ROW(Create_TC_Web!$C$1:$C$500)),""),ROW(Create_TC_Web!G283))),"")</f>
        <v/>
      </c>
      <c r="G283" t="str" cm="1">
        <f t="array" ref="G283">IFERROR(INDEX(Create_TC_Web!J$1:J$500,SMALL(IF(Create_TC_Web!$C$1:$C$500&lt;&gt;"",MATCH(ROW(Create_TC_Web!$C$1:$C$500),ROW(Create_TC_Web!$C$1:$C$500)),""),ROW(Create_TC_Web!H283))),"")</f>
        <v/>
      </c>
      <c r="H283" t="str" cm="1">
        <f t="array" ref="H283">IFERROR(INDEX(Create_TC_Web!K$1:K$500,SMALL(IF(Create_TC_Web!$C$1:$C$500&lt;&gt;"",MATCH(ROW(Create_TC_Web!$C$1:$C$500),ROW(Create_TC_Web!$C$1:$C$500)),""),ROW(Create_TC_Web!I283))),"")</f>
        <v/>
      </c>
      <c r="I283" t="str" cm="1">
        <f t="array" ref="I283">IFERROR(INDEX(Create_TC_Web!L$1:L$500,SMALL(IF(Create_TC_Web!$C$1:$C$500&lt;&gt;"",MATCH(ROW(Create_TC_Web!$C$1:$C$500),ROW(Create_TC_Web!$C$1:$C$500)),""),ROW(Create_TC_Web!J283))),"")</f>
        <v/>
      </c>
      <c r="J283" t="str" cm="1">
        <f t="array" ref="J283">IFERROR(INDEX(Create_TC_Web!M$1:M$500,SMALL(IF(Create_TC_Web!$C$1:$C$500&lt;&gt;"",MATCH(ROW(Create_TC_Web!$C$1:$C$500),ROW(Create_TC_Web!$C$1:$C$500)),""),ROW(Create_TC_Web!K283))),"")</f>
        <v/>
      </c>
      <c r="K283" t="str" cm="1">
        <f t="array" ref="K283">IFERROR(INDEX(Create_TC_Web!N$1:N$500,SMALL(IF(Create_TC_Web!$C$1:$C$500&lt;&gt;"",MATCH(ROW(Create_TC_Web!$C$1:$C$500),ROW(Create_TC_Web!$C$1:$C$500)),""),ROW(Create_TC_Web!L283))),"")</f>
        <v/>
      </c>
      <c r="L283" t="str" cm="1">
        <f t="array" ref="L283">IFERROR(INDEX(Create_TC_Web!O$1:O$500,SMALL(IF(Create_TC_Web!$C$1:$C$500&lt;&gt;"",MATCH(ROW(Create_TC_Web!$C$1:$C$500),ROW(Create_TC_Web!$C$1:$C$500)),""),ROW(Create_TC_Web!M283))),"")</f>
        <v/>
      </c>
      <c r="M283" t="str" cm="1">
        <f t="array" ref="M283">IFERROR(INDEX(Create_TC_Web!P$1:P$500,SMALL(IF(Create_TC_Web!$C$1:$C$500&lt;&gt;"",MATCH(ROW(Create_TC_Web!$C$1:$C$500),ROW(Create_TC_Web!$C$1:$C$500)),""),ROW(Create_TC_Web!N283))),"")</f>
        <v/>
      </c>
      <c r="N283" t="str" cm="1">
        <f t="array" ref="N283">IFERROR(INDEX(Create_TC_Web!Q$1:Q$500,SMALL(IF(Create_TC_Web!$C$1:$C$500&lt;&gt;"",MATCH(ROW(Create_TC_Web!$C$1:$C$500),ROW(Create_TC_Web!$C$1:$C$500)),""),ROW(Create_TC_Web!O283))),"")</f>
        <v/>
      </c>
      <c r="O283" t="str">
        <f t="shared" si="15"/>
        <v/>
      </c>
      <c r="P283" s="17" t="str" cm="1">
        <f t="array" ref="P283">IFERROR(INDEX(Create_TC_Web!S$1:S$500,SMALL(IF(Create_TC_Web!$C$1:$C$500&lt;&gt;"",MATCH(ROW(Create_TC_Web!$C$1:$C$500),ROW(Create_TC_Web!$C$1:$C$500)),""),ROW(Create_TC_Web!Q261))),"")</f>
        <v/>
      </c>
      <c r="S283" t="str">
        <f t="shared" si="16"/>
        <v/>
      </c>
    </row>
    <row r="284" spans="1:19">
      <c r="A284" t="str" cm="1">
        <f t="array" ref="A284">IFERROR(INDEX(Create_TC_Web!D$1:D$500,SMALL(IF(Create_TC_Web!$C$1:$C$500&lt;&gt;"",MATCH(ROW(Create_TC_Web!$C$1:$C$500),ROW(Create_TC_Web!$C$1:$C$500)),""),ROW(Create_TC_Web!B284))),"")</f>
        <v/>
      </c>
      <c r="B284" t="str" cm="1">
        <f t="array" ref="B284">SUBSTITUTE(SUBSTITUTE(SUBSTITUTE(IFERROR(INDEX(Create_TC_Web!E$1:E$505,SMALL(IF(Create_TC_Web!$C$1:$C$505&lt;&gt;"",MATCH(ROW(Create_TC_Web!$C$1:$C$505),ROW(Create_TC_Web!$C$1:$C$505)),""),ROW(Create_TC_Web!C284))),"")," ",""),"-",""),"_","")</f>
        <v/>
      </c>
      <c r="C284" t="str" cm="1">
        <f t="array" ref="C284">IFERROR(INDEX(Create_TC_Web!F$1:F$500,SMALL(IF(Create_TC_Web!$C$1:$C$500&lt;&gt;"",MATCH(ROW(Create_TC_Web!$C$1:$C$500),ROW(Create_TC_Web!$C$1:$C$500)),""),ROW(Create_TC_Web!D284))),"")</f>
        <v/>
      </c>
      <c r="D284" t="str" cm="1">
        <f t="array" ref="D284">IFERROR(INDEX(Create_TC_Web!G$1:G$500,SMALL(IF(Create_TC_Web!$C$1:$C$500&lt;&gt;"",MATCH(ROW(Create_TC_Web!$C$1:$C$500),ROW(Create_TC_Web!$C$1:$C$500)),""),ROW(Create_TC_Web!E284))),"")</f>
        <v/>
      </c>
      <c r="E284" t="str" cm="1">
        <f t="array" ref="E284">IFERROR(INDEX(Create_TC_Web!H$1:H$500,SMALL(IF(Create_TC_Web!$C$1:$C$500&lt;&gt;"",MATCH(ROW(Create_TC_Web!$C$1:$C$500),ROW(Create_TC_Web!$C$1:$C$500)),""),ROW(Create_TC_Web!F284))),"")</f>
        <v/>
      </c>
      <c r="F284" t="str" cm="1">
        <f t="array" ref="F284">IFERROR(INDEX(Create_TC_Web!I$1:I$500,SMALL(IF(Create_TC_Web!$C$1:$C$500&lt;&gt;"",MATCH(ROW(Create_TC_Web!$C$1:$C$500),ROW(Create_TC_Web!$C$1:$C$500)),""),ROW(Create_TC_Web!G284))),"")</f>
        <v/>
      </c>
      <c r="G284" t="str" cm="1">
        <f t="array" ref="G284">IFERROR(INDEX(Create_TC_Web!J$1:J$500,SMALL(IF(Create_TC_Web!$C$1:$C$500&lt;&gt;"",MATCH(ROW(Create_TC_Web!$C$1:$C$500),ROW(Create_TC_Web!$C$1:$C$500)),""),ROW(Create_TC_Web!H284))),"")</f>
        <v/>
      </c>
      <c r="H284" t="str" cm="1">
        <f t="array" ref="H284">IFERROR(INDEX(Create_TC_Web!K$1:K$500,SMALL(IF(Create_TC_Web!$C$1:$C$500&lt;&gt;"",MATCH(ROW(Create_TC_Web!$C$1:$C$500),ROW(Create_TC_Web!$C$1:$C$500)),""),ROW(Create_TC_Web!I284))),"")</f>
        <v/>
      </c>
      <c r="I284" t="str" cm="1">
        <f t="array" ref="I284">IFERROR(INDEX(Create_TC_Web!L$1:L$500,SMALL(IF(Create_TC_Web!$C$1:$C$500&lt;&gt;"",MATCH(ROW(Create_TC_Web!$C$1:$C$500),ROW(Create_TC_Web!$C$1:$C$500)),""),ROW(Create_TC_Web!J284))),"")</f>
        <v/>
      </c>
      <c r="J284" t="str" cm="1">
        <f t="array" ref="J284">IFERROR(INDEX(Create_TC_Web!M$1:M$500,SMALL(IF(Create_TC_Web!$C$1:$C$500&lt;&gt;"",MATCH(ROW(Create_TC_Web!$C$1:$C$500),ROW(Create_TC_Web!$C$1:$C$500)),""),ROW(Create_TC_Web!K284))),"")</f>
        <v/>
      </c>
      <c r="K284" t="str" cm="1">
        <f t="array" ref="K284">IFERROR(INDEX(Create_TC_Web!N$1:N$500,SMALL(IF(Create_TC_Web!$C$1:$C$500&lt;&gt;"",MATCH(ROW(Create_TC_Web!$C$1:$C$500),ROW(Create_TC_Web!$C$1:$C$500)),""),ROW(Create_TC_Web!L284))),"")</f>
        <v/>
      </c>
      <c r="L284" t="str" cm="1">
        <f t="array" ref="L284">IFERROR(INDEX(Create_TC_Web!O$1:O$500,SMALL(IF(Create_TC_Web!$C$1:$C$500&lt;&gt;"",MATCH(ROW(Create_TC_Web!$C$1:$C$500),ROW(Create_TC_Web!$C$1:$C$500)),""),ROW(Create_TC_Web!M284))),"")</f>
        <v/>
      </c>
      <c r="M284" t="str" cm="1">
        <f t="array" ref="M284">IFERROR(INDEX(Create_TC_Web!P$1:P$500,SMALL(IF(Create_TC_Web!$C$1:$C$500&lt;&gt;"",MATCH(ROW(Create_TC_Web!$C$1:$C$500),ROW(Create_TC_Web!$C$1:$C$500)),""),ROW(Create_TC_Web!N284))),"")</f>
        <v/>
      </c>
      <c r="N284" t="str" cm="1">
        <f t="array" ref="N284">IFERROR(INDEX(Create_TC_Web!Q$1:Q$500,SMALL(IF(Create_TC_Web!$C$1:$C$500&lt;&gt;"",MATCH(ROW(Create_TC_Web!$C$1:$C$500),ROW(Create_TC_Web!$C$1:$C$500)),""),ROW(Create_TC_Web!O284))),"")</f>
        <v/>
      </c>
      <c r="O284" t="str">
        <f t="shared" si="15"/>
        <v/>
      </c>
      <c r="P284" s="17" t="str" cm="1">
        <f t="array" ref="P284">IFERROR(INDEX(Create_TC_Web!S$1:S$500,SMALL(IF(Create_TC_Web!$C$1:$C$500&lt;&gt;"",MATCH(ROW(Create_TC_Web!$C$1:$C$500),ROW(Create_TC_Web!$C$1:$C$500)),""),ROW(Create_TC_Web!Q262))),"")</f>
        <v/>
      </c>
      <c r="S284" t="str">
        <f t="shared" si="16"/>
        <v/>
      </c>
    </row>
    <row r="285" spans="1:19">
      <c r="A285" t="str" cm="1">
        <f t="array" ref="A285">IFERROR(INDEX(Create_TC_Web!D$1:D$500,SMALL(IF(Create_TC_Web!$C$1:$C$500&lt;&gt;"",MATCH(ROW(Create_TC_Web!$C$1:$C$500),ROW(Create_TC_Web!$C$1:$C$500)),""),ROW(Create_TC_Web!B285))),"")</f>
        <v/>
      </c>
      <c r="B285" t="str" cm="1">
        <f t="array" ref="B285">SUBSTITUTE(SUBSTITUTE(SUBSTITUTE(IFERROR(INDEX(Create_TC_Web!E$1:E$505,SMALL(IF(Create_TC_Web!$C$1:$C$505&lt;&gt;"",MATCH(ROW(Create_TC_Web!$C$1:$C$505),ROW(Create_TC_Web!$C$1:$C$505)),""),ROW(Create_TC_Web!C285))),"")," ",""),"-",""),"_","")</f>
        <v/>
      </c>
      <c r="C285" t="str" cm="1">
        <f t="array" ref="C285">IFERROR(INDEX(Create_TC_Web!F$1:F$500,SMALL(IF(Create_TC_Web!$C$1:$C$500&lt;&gt;"",MATCH(ROW(Create_TC_Web!$C$1:$C$500),ROW(Create_TC_Web!$C$1:$C$500)),""),ROW(Create_TC_Web!D285))),"")</f>
        <v/>
      </c>
      <c r="D285" t="str" cm="1">
        <f t="array" ref="D285">IFERROR(INDEX(Create_TC_Web!G$1:G$500,SMALL(IF(Create_TC_Web!$C$1:$C$500&lt;&gt;"",MATCH(ROW(Create_TC_Web!$C$1:$C$500),ROW(Create_TC_Web!$C$1:$C$500)),""),ROW(Create_TC_Web!E285))),"")</f>
        <v/>
      </c>
      <c r="E285" t="str" cm="1">
        <f t="array" ref="E285">IFERROR(INDEX(Create_TC_Web!H$1:H$500,SMALL(IF(Create_TC_Web!$C$1:$C$500&lt;&gt;"",MATCH(ROW(Create_TC_Web!$C$1:$C$500),ROW(Create_TC_Web!$C$1:$C$500)),""),ROW(Create_TC_Web!F285))),"")</f>
        <v/>
      </c>
      <c r="F285" t="str" cm="1">
        <f t="array" ref="F285">IFERROR(INDEX(Create_TC_Web!I$1:I$500,SMALL(IF(Create_TC_Web!$C$1:$C$500&lt;&gt;"",MATCH(ROW(Create_TC_Web!$C$1:$C$500),ROW(Create_TC_Web!$C$1:$C$500)),""),ROW(Create_TC_Web!G285))),"")</f>
        <v/>
      </c>
      <c r="G285" t="str" cm="1">
        <f t="array" ref="G285">IFERROR(INDEX(Create_TC_Web!J$1:J$500,SMALL(IF(Create_TC_Web!$C$1:$C$500&lt;&gt;"",MATCH(ROW(Create_TC_Web!$C$1:$C$500),ROW(Create_TC_Web!$C$1:$C$500)),""),ROW(Create_TC_Web!H285))),"")</f>
        <v/>
      </c>
      <c r="H285" t="str" cm="1">
        <f t="array" ref="H285">IFERROR(INDEX(Create_TC_Web!K$1:K$500,SMALL(IF(Create_TC_Web!$C$1:$C$500&lt;&gt;"",MATCH(ROW(Create_TC_Web!$C$1:$C$500),ROW(Create_TC_Web!$C$1:$C$500)),""),ROW(Create_TC_Web!I285))),"")</f>
        <v/>
      </c>
      <c r="I285" t="str" cm="1">
        <f t="array" ref="I285">IFERROR(INDEX(Create_TC_Web!L$1:L$500,SMALL(IF(Create_TC_Web!$C$1:$C$500&lt;&gt;"",MATCH(ROW(Create_TC_Web!$C$1:$C$500),ROW(Create_TC_Web!$C$1:$C$500)),""),ROW(Create_TC_Web!J285))),"")</f>
        <v/>
      </c>
      <c r="J285" t="str" cm="1">
        <f t="array" ref="J285">IFERROR(INDEX(Create_TC_Web!M$1:M$500,SMALL(IF(Create_TC_Web!$C$1:$C$500&lt;&gt;"",MATCH(ROW(Create_TC_Web!$C$1:$C$500),ROW(Create_TC_Web!$C$1:$C$500)),""),ROW(Create_TC_Web!K285))),"")</f>
        <v/>
      </c>
      <c r="K285" t="str" cm="1">
        <f t="array" ref="K285">IFERROR(INDEX(Create_TC_Web!N$1:N$500,SMALL(IF(Create_TC_Web!$C$1:$C$500&lt;&gt;"",MATCH(ROW(Create_TC_Web!$C$1:$C$500),ROW(Create_TC_Web!$C$1:$C$500)),""),ROW(Create_TC_Web!L285))),"")</f>
        <v/>
      </c>
      <c r="L285" t="str" cm="1">
        <f t="array" ref="L285">IFERROR(INDEX(Create_TC_Web!O$1:O$500,SMALL(IF(Create_TC_Web!$C$1:$C$500&lt;&gt;"",MATCH(ROW(Create_TC_Web!$C$1:$C$500),ROW(Create_TC_Web!$C$1:$C$500)),""),ROW(Create_TC_Web!M285))),"")</f>
        <v/>
      </c>
      <c r="M285" t="str" cm="1">
        <f t="array" ref="M285">IFERROR(INDEX(Create_TC_Web!P$1:P$500,SMALL(IF(Create_TC_Web!$C$1:$C$500&lt;&gt;"",MATCH(ROW(Create_TC_Web!$C$1:$C$500),ROW(Create_TC_Web!$C$1:$C$500)),""),ROW(Create_TC_Web!N285))),"")</f>
        <v/>
      </c>
      <c r="N285" t="str" cm="1">
        <f t="array" ref="N285">IFERROR(INDEX(Create_TC_Web!Q$1:Q$500,SMALL(IF(Create_TC_Web!$C$1:$C$500&lt;&gt;"",MATCH(ROW(Create_TC_Web!$C$1:$C$500),ROW(Create_TC_Web!$C$1:$C$500)),""),ROW(Create_TC_Web!O285))),"")</f>
        <v/>
      </c>
      <c r="O285" t="str">
        <f t="shared" si="15"/>
        <v/>
      </c>
      <c r="P285" s="17" t="str" cm="1">
        <f t="array" ref="P285">IFERROR(INDEX(Create_TC_Web!S$1:S$500,SMALL(IF(Create_TC_Web!$C$1:$C$500&lt;&gt;"",MATCH(ROW(Create_TC_Web!$C$1:$C$500),ROW(Create_TC_Web!$C$1:$C$500)),""),ROW(Create_TC_Web!Q263))),"")</f>
        <v/>
      </c>
      <c r="S285" t="str">
        <f t="shared" si="16"/>
        <v/>
      </c>
    </row>
    <row r="286" spans="1:19">
      <c r="A286" t="str" cm="1">
        <f t="array" ref="A286">IFERROR(INDEX(Create_TC_Web!D$1:D$500,SMALL(IF(Create_TC_Web!$C$1:$C$500&lt;&gt;"",MATCH(ROW(Create_TC_Web!$C$1:$C$500),ROW(Create_TC_Web!$C$1:$C$500)),""),ROW(Create_TC_Web!B286))),"")</f>
        <v/>
      </c>
      <c r="B286" t="str" cm="1">
        <f t="array" ref="B286">SUBSTITUTE(SUBSTITUTE(SUBSTITUTE(IFERROR(INDEX(Create_TC_Web!E$1:E$505,SMALL(IF(Create_TC_Web!$C$1:$C$505&lt;&gt;"",MATCH(ROW(Create_TC_Web!$C$1:$C$505),ROW(Create_TC_Web!$C$1:$C$505)),""),ROW(Create_TC_Web!C286))),"")," ",""),"-",""),"_","")</f>
        <v/>
      </c>
      <c r="C286" t="str" cm="1">
        <f t="array" ref="C286">IFERROR(INDEX(Create_TC_Web!F$1:F$500,SMALL(IF(Create_TC_Web!$C$1:$C$500&lt;&gt;"",MATCH(ROW(Create_TC_Web!$C$1:$C$500),ROW(Create_TC_Web!$C$1:$C$500)),""),ROW(Create_TC_Web!D286))),"")</f>
        <v/>
      </c>
      <c r="D286" t="str" cm="1">
        <f t="array" ref="D286">IFERROR(INDEX(Create_TC_Web!G$1:G$500,SMALL(IF(Create_TC_Web!$C$1:$C$500&lt;&gt;"",MATCH(ROW(Create_TC_Web!$C$1:$C$500),ROW(Create_TC_Web!$C$1:$C$500)),""),ROW(Create_TC_Web!E286))),"")</f>
        <v/>
      </c>
      <c r="E286" t="str" cm="1">
        <f t="array" ref="E286">IFERROR(INDEX(Create_TC_Web!H$1:H$500,SMALL(IF(Create_TC_Web!$C$1:$C$500&lt;&gt;"",MATCH(ROW(Create_TC_Web!$C$1:$C$500),ROW(Create_TC_Web!$C$1:$C$500)),""),ROW(Create_TC_Web!F286))),"")</f>
        <v/>
      </c>
      <c r="F286" t="str" cm="1">
        <f t="array" ref="F286">IFERROR(INDEX(Create_TC_Web!I$1:I$500,SMALL(IF(Create_TC_Web!$C$1:$C$500&lt;&gt;"",MATCH(ROW(Create_TC_Web!$C$1:$C$500),ROW(Create_TC_Web!$C$1:$C$500)),""),ROW(Create_TC_Web!G286))),"")</f>
        <v/>
      </c>
      <c r="G286" t="str" cm="1">
        <f t="array" ref="G286">IFERROR(INDEX(Create_TC_Web!J$1:J$500,SMALL(IF(Create_TC_Web!$C$1:$C$500&lt;&gt;"",MATCH(ROW(Create_TC_Web!$C$1:$C$500),ROW(Create_TC_Web!$C$1:$C$500)),""),ROW(Create_TC_Web!H286))),"")</f>
        <v/>
      </c>
      <c r="H286" t="str" cm="1">
        <f t="array" ref="H286">IFERROR(INDEX(Create_TC_Web!K$1:K$500,SMALL(IF(Create_TC_Web!$C$1:$C$500&lt;&gt;"",MATCH(ROW(Create_TC_Web!$C$1:$C$500),ROW(Create_TC_Web!$C$1:$C$500)),""),ROW(Create_TC_Web!I286))),"")</f>
        <v/>
      </c>
      <c r="I286" t="str" cm="1">
        <f t="array" ref="I286">IFERROR(INDEX(Create_TC_Web!L$1:L$500,SMALL(IF(Create_TC_Web!$C$1:$C$500&lt;&gt;"",MATCH(ROW(Create_TC_Web!$C$1:$C$500),ROW(Create_TC_Web!$C$1:$C$500)),""),ROW(Create_TC_Web!J286))),"")</f>
        <v/>
      </c>
      <c r="J286" t="str" cm="1">
        <f t="array" ref="J286">IFERROR(INDEX(Create_TC_Web!M$1:M$500,SMALL(IF(Create_TC_Web!$C$1:$C$500&lt;&gt;"",MATCH(ROW(Create_TC_Web!$C$1:$C$500),ROW(Create_TC_Web!$C$1:$C$500)),""),ROW(Create_TC_Web!K286))),"")</f>
        <v/>
      </c>
      <c r="K286" t="str" cm="1">
        <f t="array" ref="K286">IFERROR(INDEX(Create_TC_Web!N$1:N$500,SMALL(IF(Create_TC_Web!$C$1:$C$500&lt;&gt;"",MATCH(ROW(Create_TC_Web!$C$1:$C$500),ROW(Create_TC_Web!$C$1:$C$500)),""),ROW(Create_TC_Web!L286))),"")</f>
        <v/>
      </c>
      <c r="L286" t="str" cm="1">
        <f t="array" ref="L286">IFERROR(INDEX(Create_TC_Web!O$1:O$500,SMALL(IF(Create_TC_Web!$C$1:$C$500&lt;&gt;"",MATCH(ROW(Create_TC_Web!$C$1:$C$500),ROW(Create_TC_Web!$C$1:$C$500)),""),ROW(Create_TC_Web!M286))),"")</f>
        <v/>
      </c>
      <c r="M286" t="str" cm="1">
        <f t="array" ref="M286">IFERROR(INDEX(Create_TC_Web!P$1:P$500,SMALL(IF(Create_TC_Web!$C$1:$C$500&lt;&gt;"",MATCH(ROW(Create_TC_Web!$C$1:$C$500),ROW(Create_TC_Web!$C$1:$C$500)),""),ROW(Create_TC_Web!N286))),"")</f>
        <v/>
      </c>
      <c r="N286" t="str" cm="1">
        <f t="array" ref="N286">IFERROR(INDEX(Create_TC_Web!Q$1:Q$500,SMALL(IF(Create_TC_Web!$C$1:$C$500&lt;&gt;"",MATCH(ROW(Create_TC_Web!$C$1:$C$500),ROW(Create_TC_Web!$C$1:$C$500)),""),ROW(Create_TC_Web!O286))),"")</f>
        <v/>
      </c>
      <c r="O286" t="str">
        <f t="shared" si="15"/>
        <v/>
      </c>
      <c r="P286" s="17" t="str" cm="1">
        <f t="array" ref="P286">IFERROR(INDEX(Create_TC_Web!S$1:S$500,SMALL(IF(Create_TC_Web!$C$1:$C$500&lt;&gt;"",MATCH(ROW(Create_TC_Web!$C$1:$C$500),ROW(Create_TC_Web!$C$1:$C$500)),""),ROW(Create_TC_Web!Q264))),"")</f>
        <v/>
      </c>
      <c r="S286" t="str">
        <f t="shared" si="16"/>
        <v/>
      </c>
    </row>
    <row r="287" spans="1:19">
      <c r="A287" t="str" cm="1">
        <f t="array" ref="A287">IFERROR(INDEX(Create_TC_Web!D$1:D$500,SMALL(IF(Create_TC_Web!$C$1:$C$500&lt;&gt;"",MATCH(ROW(Create_TC_Web!$C$1:$C$500),ROW(Create_TC_Web!$C$1:$C$500)),""),ROW(Create_TC_Web!B287))),"")</f>
        <v/>
      </c>
      <c r="B287" t="str" cm="1">
        <f t="array" ref="B287">SUBSTITUTE(SUBSTITUTE(SUBSTITUTE(IFERROR(INDEX(Create_TC_Web!E$1:E$505,SMALL(IF(Create_TC_Web!$C$1:$C$505&lt;&gt;"",MATCH(ROW(Create_TC_Web!$C$1:$C$505),ROW(Create_TC_Web!$C$1:$C$505)),""),ROW(Create_TC_Web!C287))),"")," ",""),"-",""),"_","")</f>
        <v/>
      </c>
      <c r="C287" t="str" cm="1">
        <f t="array" ref="C287">IFERROR(INDEX(Create_TC_Web!F$1:F$500,SMALL(IF(Create_TC_Web!$C$1:$C$500&lt;&gt;"",MATCH(ROW(Create_TC_Web!$C$1:$C$500),ROW(Create_TC_Web!$C$1:$C$500)),""),ROW(Create_TC_Web!D287))),"")</f>
        <v/>
      </c>
      <c r="D287" t="str" cm="1">
        <f t="array" ref="D287">IFERROR(INDEX(Create_TC_Web!G$1:G$500,SMALL(IF(Create_TC_Web!$C$1:$C$500&lt;&gt;"",MATCH(ROW(Create_TC_Web!$C$1:$C$500),ROW(Create_TC_Web!$C$1:$C$500)),""),ROW(Create_TC_Web!E287))),"")</f>
        <v/>
      </c>
      <c r="E287" t="str" cm="1">
        <f t="array" ref="E287">IFERROR(INDEX(Create_TC_Web!H$1:H$500,SMALL(IF(Create_TC_Web!$C$1:$C$500&lt;&gt;"",MATCH(ROW(Create_TC_Web!$C$1:$C$500),ROW(Create_TC_Web!$C$1:$C$500)),""),ROW(Create_TC_Web!F287))),"")</f>
        <v/>
      </c>
      <c r="F287" t="str" cm="1">
        <f t="array" ref="F287">IFERROR(INDEX(Create_TC_Web!I$1:I$500,SMALL(IF(Create_TC_Web!$C$1:$C$500&lt;&gt;"",MATCH(ROW(Create_TC_Web!$C$1:$C$500),ROW(Create_TC_Web!$C$1:$C$500)),""),ROW(Create_TC_Web!G287))),"")</f>
        <v/>
      </c>
      <c r="G287" t="str" cm="1">
        <f t="array" ref="G287">IFERROR(INDEX(Create_TC_Web!J$1:J$500,SMALL(IF(Create_TC_Web!$C$1:$C$500&lt;&gt;"",MATCH(ROW(Create_TC_Web!$C$1:$C$500),ROW(Create_TC_Web!$C$1:$C$500)),""),ROW(Create_TC_Web!H287))),"")</f>
        <v/>
      </c>
      <c r="H287" t="str" cm="1">
        <f t="array" ref="H287">IFERROR(INDEX(Create_TC_Web!K$1:K$500,SMALL(IF(Create_TC_Web!$C$1:$C$500&lt;&gt;"",MATCH(ROW(Create_TC_Web!$C$1:$C$500),ROW(Create_TC_Web!$C$1:$C$500)),""),ROW(Create_TC_Web!I287))),"")</f>
        <v/>
      </c>
      <c r="I287" t="str" cm="1">
        <f t="array" ref="I287">IFERROR(INDEX(Create_TC_Web!L$1:L$500,SMALL(IF(Create_TC_Web!$C$1:$C$500&lt;&gt;"",MATCH(ROW(Create_TC_Web!$C$1:$C$500),ROW(Create_TC_Web!$C$1:$C$500)),""),ROW(Create_TC_Web!J287))),"")</f>
        <v/>
      </c>
      <c r="J287" t="str" cm="1">
        <f t="array" ref="J287">IFERROR(INDEX(Create_TC_Web!M$1:M$500,SMALL(IF(Create_TC_Web!$C$1:$C$500&lt;&gt;"",MATCH(ROW(Create_TC_Web!$C$1:$C$500),ROW(Create_TC_Web!$C$1:$C$500)),""),ROW(Create_TC_Web!K287))),"")</f>
        <v/>
      </c>
      <c r="K287" t="str" cm="1">
        <f t="array" ref="K287">IFERROR(INDEX(Create_TC_Web!N$1:N$500,SMALL(IF(Create_TC_Web!$C$1:$C$500&lt;&gt;"",MATCH(ROW(Create_TC_Web!$C$1:$C$500),ROW(Create_TC_Web!$C$1:$C$500)),""),ROW(Create_TC_Web!L287))),"")</f>
        <v/>
      </c>
      <c r="L287" t="str" cm="1">
        <f t="array" ref="L287">IFERROR(INDEX(Create_TC_Web!O$1:O$500,SMALL(IF(Create_TC_Web!$C$1:$C$500&lt;&gt;"",MATCH(ROW(Create_TC_Web!$C$1:$C$500),ROW(Create_TC_Web!$C$1:$C$500)),""),ROW(Create_TC_Web!M287))),"")</f>
        <v/>
      </c>
      <c r="M287" t="str" cm="1">
        <f t="array" ref="M287">IFERROR(INDEX(Create_TC_Web!P$1:P$500,SMALL(IF(Create_TC_Web!$C$1:$C$500&lt;&gt;"",MATCH(ROW(Create_TC_Web!$C$1:$C$500),ROW(Create_TC_Web!$C$1:$C$500)),""),ROW(Create_TC_Web!N287))),"")</f>
        <v/>
      </c>
      <c r="N287" t="str" cm="1">
        <f t="array" ref="N287">IFERROR(INDEX(Create_TC_Web!Q$1:Q$500,SMALL(IF(Create_TC_Web!$C$1:$C$500&lt;&gt;"",MATCH(ROW(Create_TC_Web!$C$1:$C$500),ROW(Create_TC_Web!$C$1:$C$500)),""),ROW(Create_TC_Web!O287))),"")</f>
        <v/>
      </c>
      <c r="O287" t="str">
        <f t="shared" si="15"/>
        <v/>
      </c>
      <c r="P287" s="17" t="str" cm="1">
        <f t="array" ref="P287">IFERROR(INDEX(Create_TC_Web!S$1:S$500,SMALL(IF(Create_TC_Web!$C$1:$C$500&lt;&gt;"",MATCH(ROW(Create_TC_Web!$C$1:$C$500),ROW(Create_TC_Web!$C$1:$C$500)),""),ROW(Create_TC_Web!Q265))),"")</f>
        <v/>
      </c>
      <c r="S287" t="str">
        <f t="shared" si="16"/>
        <v/>
      </c>
    </row>
    <row r="288" spans="1:19">
      <c r="A288" t="str" cm="1">
        <f t="array" ref="A288">IFERROR(INDEX(Create_TC_Web!D$1:D$500,SMALL(IF(Create_TC_Web!$C$1:$C$500&lt;&gt;"",MATCH(ROW(Create_TC_Web!$C$1:$C$500),ROW(Create_TC_Web!$C$1:$C$500)),""),ROW(Create_TC_Web!B288))),"")</f>
        <v/>
      </c>
      <c r="B288" t="str" cm="1">
        <f t="array" ref="B288">SUBSTITUTE(SUBSTITUTE(SUBSTITUTE(IFERROR(INDEX(Create_TC_Web!E$1:E$505,SMALL(IF(Create_TC_Web!$C$1:$C$505&lt;&gt;"",MATCH(ROW(Create_TC_Web!$C$1:$C$505),ROW(Create_TC_Web!$C$1:$C$505)),""),ROW(Create_TC_Web!C288))),"")," ",""),"-",""),"_","")</f>
        <v/>
      </c>
      <c r="C288" t="str" cm="1">
        <f t="array" ref="C288">IFERROR(INDEX(Create_TC_Web!F$1:F$500,SMALL(IF(Create_TC_Web!$C$1:$C$500&lt;&gt;"",MATCH(ROW(Create_TC_Web!$C$1:$C$500),ROW(Create_TC_Web!$C$1:$C$500)),""),ROW(Create_TC_Web!D288))),"")</f>
        <v/>
      </c>
      <c r="D288" t="str" cm="1">
        <f t="array" ref="D288">IFERROR(INDEX(Create_TC_Web!G$1:G$500,SMALL(IF(Create_TC_Web!$C$1:$C$500&lt;&gt;"",MATCH(ROW(Create_TC_Web!$C$1:$C$500),ROW(Create_TC_Web!$C$1:$C$500)),""),ROW(Create_TC_Web!E288))),"")</f>
        <v/>
      </c>
      <c r="E288" t="str" cm="1">
        <f t="array" ref="E288">IFERROR(INDEX(Create_TC_Web!H$1:H$500,SMALL(IF(Create_TC_Web!$C$1:$C$500&lt;&gt;"",MATCH(ROW(Create_TC_Web!$C$1:$C$500),ROW(Create_TC_Web!$C$1:$C$500)),""),ROW(Create_TC_Web!F288))),"")</f>
        <v/>
      </c>
      <c r="F288" t="str" cm="1">
        <f t="array" ref="F288">IFERROR(INDEX(Create_TC_Web!I$1:I$500,SMALL(IF(Create_TC_Web!$C$1:$C$500&lt;&gt;"",MATCH(ROW(Create_TC_Web!$C$1:$C$500),ROW(Create_TC_Web!$C$1:$C$500)),""),ROW(Create_TC_Web!G288))),"")</f>
        <v/>
      </c>
      <c r="G288" t="str" cm="1">
        <f t="array" ref="G288">IFERROR(INDEX(Create_TC_Web!J$1:J$500,SMALL(IF(Create_TC_Web!$C$1:$C$500&lt;&gt;"",MATCH(ROW(Create_TC_Web!$C$1:$C$500),ROW(Create_TC_Web!$C$1:$C$500)),""),ROW(Create_TC_Web!H288))),"")</f>
        <v/>
      </c>
      <c r="H288" t="str" cm="1">
        <f t="array" ref="H288">IFERROR(INDEX(Create_TC_Web!K$1:K$500,SMALL(IF(Create_TC_Web!$C$1:$C$500&lt;&gt;"",MATCH(ROW(Create_TC_Web!$C$1:$C$500),ROW(Create_TC_Web!$C$1:$C$500)),""),ROW(Create_TC_Web!I288))),"")</f>
        <v/>
      </c>
      <c r="I288" t="str" cm="1">
        <f t="array" ref="I288">IFERROR(INDEX(Create_TC_Web!L$1:L$500,SMALL(IF(Create_TC_Web!$C$1:$C$500&lt;&gt;"",MATCH(ROW(Create_TC_Web!$C$1:$C$500),ROW(Create_TC_Web!$C$1:$C$500)),""),ROW(Create_TC_Web!J288))),"")</f>
        <v/>
      </c>
      <c r="J288" t="str" cm="1">
        <f t="array" ref="J288">IFERROR(INDEX(Create_TC_Web!M$1:M$500,SMALL(IF(Create_TC_Web!$C$1:$C$500&lt;&gt;"",MATCH(ROW(Create_TC_Web!$C$1:$C$500),ROW(Create_TC_Web!$C$1:$C$500)),""),ROW(Create_TC_Web!K288))),"")</f>
        <v/>
      </c>
      <c r="K288" t="str" cm="1">
        <f t="array" ref="K288">IFERROR(INDEX(Create_TC_Web!N$1:N$500,SMALL(IF(Create_TC_Web!$C$1:$C$500&lt;&gt;"",MATCH(ROW(Create_TC_Web!$C$1:$C$500),ROW(Create_TC_Web!$C$1:$C$500)),""),ROW(Create_TC_Web!L288))),"")</f>
        <v/>
      </c>
      <c r="L288" t="str" cm="1">
        <f t="array" ref="L288">IFERROR(INDEX(Create_TC_Web!O$1:O$500,SMALL(IF(Create_TC_Web!$C$1:$C$500&lt;&gt;"",MATCH(ROW(Create_TC_Web!$C$1:$C$500),ROW(Create_TC_Web!$C$1:$C$500)),""),ROW(Create_TC_Web!M288))),"")</f>
        <v/>
      </c>
      <c r="M288" t="str" cm="1">
        <f t="array" ref="M288">IFERROR(INDEX(Create_TC_Web!P$1:P$500,SMALL(IF(Create_TC_Web!$C$1:$C$500&lt;&gt;"",MATCH(ROW(Create_TC_Web!$C$1:$C$500),ROW(Create_TC_Web!$C$1:$C$500)),""),ROW(Create_TC_Web!N288))),"")</f>
        <v/>
      </c>
      <c r="N288" t="str" cm="1">
        <f t="array" ref="N288">IFERROR(INDEX(Create_TC_Web!Q$1:Q$500,SMALL(IF(Create_TC_Web!$C$1:$C$500&lt;&gt;"",MATCH(ROW(Create_TC_Web!$C$1:$C$500),ROW(Create_TC_Web!$C$1:$C$500)),""),ROW(Create_TC_Web!O288))),"")</f>
        <v/>
      </c>
      <c r="O288" t="str">
        <f t="shared" si="15"/>
        <v/>
      </c>
      <c r="P288" s="17" t="str" cm="1">
        <f t="array" ref="P288">IFERROR(INDEX(Create_TC_Web!S$1:S$500,SMALL(IF(Create_TC_Web!$C$1:$C$500&lt;&gt;"",MATCH(ROW(Create_TC_Web!$C$1:$C$500),ROW(Create_TC_Web!$C$1:$C$500)),""),ROW(Create_TC_Web!Q266))),"")</f>
        <v/>
      </c>
      <c r="S288" t="str">
        <f t="shared" si="16"/>
        <v/>
      </c>
    </row>
    <row r="289" spans="1:19">
      <c r="A289" t="str" cm="1">
        <f t="array" ref="A289">IFERROR(INDEX(Create_TC_Web!D$1:D$500,SMALL(IF(Create_TC_Web!$C$1:$C$500&lt;&gt;"",MATCH(ROW(Create_TC_Web!$C$1:$C$500),ROW(Create_TC_Web!$C$1:$C$500)),""),ROW(Create_TC_Web!B289))),"")</f>
        <v/>
      </c>
      <c r="B289" t="str" cm="1">
        <f t="array" ref="B289">SUBSTITUTE(SUBSTITUTE(SUBSTITUTE(IFERROR(INDEX(Create_TC_Web!E$1:E$505,SMALL(IF(Create_TC_Web!$C$1:$C$505&lt;&gt;"",MATCH(ROW(Create_TC_Web!$C$1:$C$505),ROW(Create_TC_Web!$C$1:$C$505)),""),ROW(Create_TC_Web!C289))),"")," ",""),"-",""),"_","")</f>
        <v/>
      </c>
      <c r="C289" t="str" cm="1">
        <f t="array" ref="C289">IFERROR(INDEX(Create_TC_Web!F$1:F$500,SMALL(IF(Create_TC_Web!$C$1:$C$500&lt;&gt;"",MATCH(ROW(Create_TC_Web!$C$1:$C$500),ROW(Create_TC_Web!$C$1:$C$500)),""),ROW(Create_TC_Web!D289))),"")</f>
        <v/>
      </c>
      <c r="D289" t="str" cm="1">
        <f t="array" ref="D289">IFERROR(INDEX(Create_TC_Web!G$1:G$500,SMALL(IF(Create_TC_Web!$C$1:$C$500&lt;&gt;"",MATCH(ROW(Create_TC_Web!$C$1:$C$500),ROW(Create_TC_Web!$C$1:$C$500)),""),ROW(Create_TC_Web!E289))),"")</f>
        <v/>
      </c>
      <c r="E289" t="str" cm="1">
        <f t="array" ref="E289">IFERROR(INDEX(Create_TC_Web!H$1:H$500,SMALL(IF(Create_TC_Web!$C$1:$C$500&lt;&gt;"",MATCH(ROW(Create_TC_Web!$C$1:$C$500),ROW(Create_TC_Web!$C$1:$C$500)),""),ROW(Create_TC_Web!F289))),"")</f>
        <v/>
      </c>
      <c r="F289" t="str" cm="1">
        <f t="array" ref="F289">IFERROR(INDEX(Create_TC_Web!I$1:I$500,SMALL(IF(Create_TC_Web!$C$1:$C$500&lt;&gt;"",MATCH(ROW(Create_TC_Web!$C$1:$C$500),ROW(Create_TC_Web!$C$1:$C$500)),""),ROW(Create_TC_Web!G289))),"")</f>
        <v/>
      </c>
      <c r="G289" t="str" cm="1">
        <f t="array" ref="G289">IFERROR(INDEX(Create_TC_Web!J$1:J$500,SMALL(IF(Create_TC_Web!$C$1:$C$500&lt;&gt;"",MATCH(ROW(Create_TC_Web!$C$1:$C$500),ROW(Create_TC_Web!$C$1:$C$500)),""),ROW(Create_TC_Web!H289))),"")</f>
        <v/>
      </c>
      <c r="H289" t="str" cm="1">
        <f t="array" ref="H289">IFERROR(INDEX(Create_TC_Web!K$1:K$500,SMALL(IF(Create_TC_Web!$C$1:$C$500&lt;&gt;"",MATCH(ROW(Create_TC_Web!$C$1:$C$500),ROW(Create_TC_Web!$C$1:$C$500)),""),ROW(Create_TC_Web!I289))),"")</f>
        <v/>
      </c>
      <c r="I289" t="str" cm="1">
        <f t="array" ref="I289">IFERROR(INDEX(Create_TC_Web!L$1:L$500,SMALL(IF(Create_TC_Web!$C$1:$C$500&lt;&gt;"",MATCH(ROW(Create_TC_Web!$C$1:$C$500),ROW(Create_TC_Web!$C$1:$C$500)),""),ROW(Create_TC_Web!J289))),"")</f>
        <v/>
      </c>
      <c r="J289" t="str" cm="1">
        <f t="array" ref="J289">IFERROR(INDEX(Create_TC_Web!M$1:M$500,SMALL(IF(Create_TC_Web!$C$1:$C$500&lt;&gt;"",MATCH(ROW(Create_TC_Web!$C$1:$C$500),ROW(Create_TC_Web!$C$1:$C$500)),""),ROW(Create_TC_Web!K289))),"")</f>
        <v/>
      </c>
      <c r="K289" t="str" cm="1">
        <f t="array" ref="K289">IFERROR(INDEX(Create_TC_Web!N$1:N$500,SMALL(IF(Create_TC_Web!$C$1:$C$500&lt;&gt;"",MATCH(ROW(Create_TC_Web!$C$1:$C$500),ROW(Create_TC_Web!$C$1:$C$500)),""),ROW(Create_TC_Web!L289))),"")</f>
        <v/>
      </c>
      <c r="L289" t="str" cm="1">
        <f t="array" ref="L289">IFERROR(INDEX(Create_TC_Web!O$1:O$500,SMALL(IF(Create_TC_Web!$C$1:$C$500&lt;&gt;"",MATCH(ROW(Create_TC_Web!$C$1:$C$500),ROW(Create_TC_Web!$C$1:$C$500)),""),ROW(Create_TC_Web!M289))),"")</f>
        <v/>
      </c>
      <c r="M289" t="str" cm="1">
        <f t="array" ref="M289">IFERROR(INDEX(Create_TC_Web!P$1:P$500,SMALL(IF(Create_TC_Web!$C$1:$C$500&lt;&gt;"",MATCH(ROW(Create_TC_Web!$C$1:$C$500),ROW(Create_TC_Web!$C$1:$C$500)),""),ROW(Create_TC_Web!N289))),"")</f>
        <v/>
      </c>
      <c r="N289" t="str" cm="1">
        <f t="array" ref="N289">IFERROR(INDEX(Create_TC_Web!Q$1:Q$500,SMALL(IF(Create_TC_Web!$C$1:$C$500&lt;&gt;"",MATCH(ROW(Create_TC_Web!$C$1:$C$500),ROW(Create_TC_Web!$C$1:$C$500)),""),ROW(Create_TC_Web!O289))),"")</f>
        <v/>
      </c>
      <c r="O289" t="str">
        <f t="shared" si="15"/>
        <v/>
      </c>
      <c r="P289" s="17" t="str" cm="1">
        <f t="array" ref="P289">IFERROR(INDEX(Create_TC_Web!S$1:S$500,SMALL(IF(Create_TC_Web!$C$1:$C$500&lt;&gt;"",MATCH(ROW(Create_TC_Web!$C$1:$C$500),ROW(Create_TC_Web!$C$1:$C$500)),""),ROW(Create_TC_Web!Q267))),"")</f>
        <v/>
      </c>
      <c r="S289" t="str">
        <f t="shared" si="16"/>
        <v/>
      </c>
    </row>
    <row r="290" spans="1:19">
      <c r="A290" t="str" cm="1">
        <f t="array" ref="A290">IFERROR(INDEX(Create_TC_Web!D$1:D$500,SMALL(IF(Create_TC_Web!$C$1:$C$500&lt;&gt;"",MATCH(ROW(Create_TC_Web!$C$1:$C$500),ROW(Create_TC_Web!$C$1:$C$500)),""),ROW(Create_TC_Web!B290))),"")</f>
        <v/>
      </c>
      <c r="B290" t="str" cm="1">
        <f t="array" ref="B290">SUBSTITUTE(SUBSTITUTE(SUBSTITUTE(IFERROR(INDEX(Create_TC_Web!E$1:E$505,SMALL(IF(Create_TC_Web!$C$1:$C$505&lt;&gt;"",MATCH(ROW(Create_TC_Web!$C$1:$C$505),ROW(Create_TC_Web!$C$1:$C$505)),""),ROW(Create_TC_Web!C290))),"")," ",""),"-",""),"_","")</f>
        <v/>
      </c>
      <c r="C290" t="str" cm="1">
        <f t="array" ref="C290">IFERROR(INDEX(Create_TC_Web!F$1:F$500,SMALL(IF(Create_TC_Web!$C$1:$C$500&lt;&gt;"",MATCH(ROW(Create_TC_Web!$C$1:$C$500),ROW(Create_TC_Web!$C$1:$C$500)),""),ROW(Create_TC_Web!D290))),"")</f>
        <v/>
      </c>
      <c r="D290" t="str" cm="1">
        <f t="array" ref="D290">IFERROR(INDEX(Create_TC_Web!G$1:G$500,SMALL(IF(Create_TC_Web!$C$1:$C$500&lt;&gt;"",MATCH(ROW(Create_TC_Web!$C$1:$C$500),ROW(Create_TC_Web!$C$1:$C$500)),""),ROW(Create_TC_Web!E290))),"")</f>
        <v/>
      </c>
      <c r="E290" t="str" cm="1">
        <f t="array" ref="E290">IFERROR(INDEX(Create_TC_Web!H$1:H$500,SMALL(IF(Create_TC_Web!$C$1:$C$500&lt;&gt;"",MATCH(ROW(Create_TC_Web!$C$1:$C$500),ROW(Create_TC_Web!$C$1:$C$500)),""),ROW(Create_TC_Web!F290))),"")</f>
        <v/>
      </c>
      <c r="F290" t="str" cm="1">
        <f t="array" ref="F290">IFERROR(INDEX(Create_TC_Web!I$1:I$500,SMALL(IF(Create_TC_Web!$C$1:$C$500&lt;&gt;"",MATCH(ROW(Create_TC_Web!$C$1:$C$500),ROW(Create_TC_Web!$C$1:$C$500)),""),ROW(Create_TC_Web!G290))),"")</f>
        <v/>
      </c>
      <c r="G290" t="str" cm="1">
        <f t="array" ref="G290">IFERROR(INDEX(Create_TC_Web!J$1:J$500,SMALL(IF(Create_TC_Web!$C$1:$C$500&lt;&gt;"",MATCH(ROW(Create_TC_Web!$C$1:$C$500),ROW(Create_TC_Web!$C$1:$C$500)),""),ROW(Create_TC_Web!H290))),"")</f>
        <v/>
      </c>
      <c r="H290" t="str" cm="1">
        <f t="array" ref="H290">IFERROR(INDEX(Create_TC_Web!K$1:K$500,SMALL(IF(Create_TC_Web!$C$1:$C$500&lt;&gt;"",MATCH(ROW(Create_TC_Web!$C$1:$C$500),ROW(Create_TC_Web!$C$1:$C$500)),""),ROW(Create_TC_Web!I290))),"")</f>
        <v/>
      </c>
      <c r="I290" t="str" cm="1">
        <f t="array" ref="I290">IFERROR(INDEX(Create_TC_Web!L$1:L$500,SMALL(IF(Create_TC_Web!$C$1:$C$500&lt;&gt;"",MATCH(ROW(Create_TC_Web!$C$1:$C$500),ROW(Create_TC_Web!$C$1:$C$500)),""),ROW(Create_TC_Web!J290))),"")</f>
        <v/>
      </c>
      <c r="J290" t="str" cm="1">
        <f t="array" ref="J290">IFERROR(INDEX(Create_TC_Web!M$1:M$500,SMALL(IF(Create_TC_Web!$C$1:$C$500&lt;&gt;"",MATCH(ROW(Create_TC_Web!$C$1:$C$500),ROW(Create_TC_Web!$C$1:$C$500)),""),ROW(Create_TC_Web!K290))),"")</f>
        <v/>
      </c>
      <c r="K290" t="str" cm="1">
        <f t="array" ref="K290">IFERROR(INDEX(Create_TC_Web!N$1:N$500,SMALL(IF(Create_TC_Web!$C$1:$C$500&lt;&gt;"",MATCH(ROW(Create_TC_Web!$C$1:$C$500),ROW(Create_TC_Web!$C$1:$C$500)),""),ROW(Create_TC_Web!L290))),"")</f>
        <v/>
      </c>
      <c r="L290" t="str" cm="1">
        <f t="array" ref="L290">IFERROR(INDEX(Create_TC_Web!O$1:O$500,SMALL(IF(Create_TC_Web!$C$1:$C$500&lt;&gt;"",MATCH(ROW(Create_TC_Web!$C$1:$C$500),ROW(Create_TC_Web!$C$1:$C$500)),""),ROW(Create_TC_Web!M290))),"")</f>
        <v/>
      </c>
      <c r="M290" t="str" cm="1">
        <f t="array" ref="M290">IFERROR(INDEX(Create_TC_Web!P$1:P$500,SMALL(IF(Create_TC_Web!$C$1:$C$500&lt;&gt;"",MATCH(ROW(Create_TC_Web!$C$1:$C$500),ROW(Create_TC_Web!$C$1:$C$500)),""),ROW(Create_TC_Web!N290))),"")</f>
        <v/>
      </c>
      <c r="N290" t="str" cm="1">
        <f t="array" ref="N290">IFERROR(INDEX(Create_TC_Web!Q$1:Q$500,SMALL(IF(Create_TC_Web!$C$1:$C$500&lt;&gt;"",MATCH(ROW(Create_TC_Web!$C$1:$C$500),ROW(Create_TC_Web!$C$1:$C$500)),""),ROW(Create_TC_Web!O290))),"")</f>
        <v/>
      </c>
      <c r="O290" t="str">
        <f t="shared" si="15"/>
        <v/>
      </c>
      <c r="P290" s="17" t="str" cm="1">
        <f t="array" ref="P290">IFERROR(INDEX(Create_TC_Web!S$1:S$500,SMALL(IF(Create_TC_Web!$C$1:$C$500&lt;&gt;"",MATCH(ROW(Create_TC_Web!$C$1:$C$500),ROW(Create_TC_Web!$C$1:$C$500)),""),ROW(Create_TC_Web!Q268))),"")</f>
        <v/>
      </c>
      <c r="S290" t="str">
        <f t="shared" si="16"/>
        <v/>
      </c>
    </row>
    <row r="291" spans="1:19">
      <c r="A291" t="str" cm="1">
        <f t="array" ref="A291">IFERROR(INDEX(Create_TC_Web!D$1:D$500,SMALL(IF(Create_TC_Web!$C$1:$C$500&lt;&gt;"",MATCH(ROW(Create_TC_Web!$C$1:$C$500),ROW(Create_TC_Web!$C$1:$C$500)),""),ROW(Create_TC_Web!B291))),"")</f>
        <v/>
      </c>
      <c r="B291" t="str" cm="1">
        <f t="array" ref="B291">SUBSTITUTE(SUBSTITUTE(SUBSTITUTE(IFERROR(INDEX(Create_TC_Web!E$1:E$505,SMALL(IF(Create_TC_Web!$C$1:$C$505&lt;&gt;"",MATCH(ROW(Create_TC_Web!$C$1:$C$505),ROW(Create_TC_Web!$C$1:$C$505)),""),ROW(Create_TC_Web!C291))),"")," ",""),"-",""),"_","")</f>
        <v/>
      </c>
      <c r="C291" t="str" cm="1">
        <f t="array" ref="C291">IFERROR(INDEX(Create_TC_Web!F$1:F$500,SMALL(IF(Create_TC_Web!$C$1:$C$500&lt;&gt;"",MATCH(ROW(Create_TC_Web!$C$1:$C$500),ROW(Create_TC_Web!$C$1:$C$500)),""),ROW(Create_TC_Web!D291))),"")</f>
        <v/>
      </c>
      <c r="D291" t="str" cm="1">
        <f t="array" ref="D291">IFERROR(INDEX(Create_TC_Web!G$1:G$500,SMALL(IF(Create_TC_Web!$C$1:$C$500&lt;&gt;"",MATCH(ROW(Create_TC_Web!$C$1:$C$500),ROW(Create_TC_Web!$C$1:$C$500)),""),ROW(Create_TC_Web!E291))),"")</f>
        <v/>
      </c>
      <c r="E291" t="str" cm="1">
        <f t="array" ref="E291">IFERROR(INDEX(Create_TC_Web!H$1:H$500,SMALL(IF(Create_TC_Web!$C$1:$C$500&lt;&gt;"",MATCH(ROW(Create_TC_Web!$C$1:$C$500),ROW(Create_TC_Web!$C$1:$C$500)),""),ROW(Create_TC_Web!F291))),"")</f>
        <v/>
      </c>
      <c r="F291" t="str" cm="1">
        <f t="array" ref="F291">IFERROR(INDEX(Create_TC_Web!I$1:I$500,SMALL(IF(Create_TC_Web!$C$1:$C$500&lt;&gt;"",MATCH(ROW(Create_TC_Web!$C$1:$C$500),ROW(Create_TC_Web!$C$1:$C$500)),""),ROW(Create_TC_Web!G291))),"")</f>
        <v/>
      </c>
      <c r="G291" t="str" cm="1">
        <f t="array" ref="G291">IFERROR(INDEX(Create_TC_Web!J$1:J$500,SMALL(IF(Create_TC_Web!$C$1:$C$500&lt;&gt;"",MATCH(ROW(Create_TC_Web!$C$1:$C$500),ROW(Create_TC_Web!$C$1:$C$500)),""),ROW(Create_TC_Web!H291))),"")</f>
        <v/>
      </c>
      <c r="H291" t="str" cm="1">
        <f t="array" ref="H291">IFERROR(INDEX(Create_TC_Web!K$1:K$500,SMALL(IF(Create_TC_Web!$C$1:$C$500&lt;&gt;"",MATCH(ROW(Create_TC_Web!$C$1:$C$500),ROW(Create_TC_Web!$C$1:$C$500)),""),ROW(Create_TC_Web!I291))),"")</f>
        <v/>
      </c>
      <c r="I291" t="str" cm="1">
        <f t="array" ref="I291">IFERROR(INDEX(Create_TC_Web!L$1:L$500,SMALL(IF(Create_TC_Web!$C$1:$C$500&lt;&gt;"",MATCH(ROW(Create_TC_Web!$C$1:$C$500),ROW(Create_TC_Web!$C$1:$C$500)),""),ROW(Create_TC_Web!J291))),"")</f>
        <v/>
      </c>
      <c r="J291" t="str" cm="1">
        <f t="array" ref="J291">IFERROR(INDEX(Create_TC_Web!M$1:M$500,SMALL(IF(Create_TC_Web!$C$1:$C$500&lt;&gt;"",MATCH(ROW(Create_TC_Web!$C$1:$C$500),ROW(Create_TC_Web!$C$1:$C$500)),""),ROW(Create_TC_Web!K291))),"")</f>
        <v/>
      </c>
      <c r="K291" t="str" cm="1">
        <f t="array" ref="K291">IFERROR(INDEX(Create_TC_Web!N$1:N$500,SMALL(IF(Create_TC_Web!$C$1:$C$500&lt;&gt;"",MATCH(ROW(Create_TC_Web!$C$1:$C$500),ROW(Create_TC_Web!$C$1:$C$500)),""),ROW(Create_TC_Web!L291))),"")</f>
        <v/>
      </c>
      <c r="L291" t="str" cm="1">
        <f t="array" ref="L291">IFERROR(INDEX(Create_TC_Web!O$1:O$500,SMALL(IF(Create_TC_Web!$C$1:$C$500&lt;&gt;"",MATCH(ROW(Create_TC_Web!$C$1:$C$500),ROW(Create_TC_Web!$C$1:$C$500)),""),ROW(Create_TC_Web!M291))),"")</f>
        <v/>
      </c>
      <c r="M291" t="str" cm="1">
        <f t="array" ref="M291">IFERROR(INDEX(Create_TC_Web!P$1:P$500,SMALL(IF(Create_TC_Web!$C$1:$C$500&lt;&gt;"",MATCH(ROW(Create_TC_Web!$C$1:$C$500),ROW(Create_TC_Web!$C$1:$C$500)),""),ROW(Create_TC_Web!N291))),"")</f>
        <v/>
      </c>
      <c r="N291" t="str" cm="1">
        <f t="array" ref="N291">IFERROR(INDEX(Create_TC_Web!Q$1:Q$500,SMALL(IF(Create_TC_Web!$C$1:$C$500&lt;&gt;"",MATCH(ROW(Create_TC_Web!$C$1:$C$500),ROW(Create_TC_Web!$C$1:$C$500)),""),ROW(Create_TC_Web!O291))),"")</f>
        <v/>
      </c>
      <c r="O291" t="str">
        <f t="shared" si="15"/>
        <v/>
      </c>
      <c r="P291" s="17" t="str" cm="1">
        <f t="array" ref="P291">IFERROR(INDEX(Create_TC_Web!S$1:S$500,SMALL(IF(Create_TC_Web!$C$1:$C$500&lt;&gt;"",MATCH(ROW(Create_TC_Web!$C$1:$C$500),ROW(Create_TC_Web!$C$1:$C$500)),""),ROW(Create_TC_Web!Q269))),"")</f>
        <v/>
      </c>
      <c r="S291" t="str">
        <f t="shared" si="16"/>
        <v/>
      </c>
    </row>
    <row r="292" spans="1:19">
      <c r="A292" t="str" cm="1">
        <f t="array" ref="A292">IFERROR(INDEX(Create_TC_Web!D$1:D$500,SMALL(IF(Create_TC_Web!$C$1:$C$500&lt;&gt;"",MATCH(ROW(Create_TC_Web!$C$1:$C$500),ROW(Create_TC_Web!$C$1:$C$500)),""),ROW(Create_TC_Web!B292))),"")</f>
        <v/>
      </c>
      <c r="B292" t="str" cm="1">
        <f t="array" ref="B292">SUBSTITUTE(SUBSTITUTE(SUBSTITUTE(IFERROR(INDEX(Create_TC_Web!E$1:E$505,SMALL(IF(Create_TC_Web!$C$1:$C$505&lt;&gt;"",MATCH(ROW(Create_TC_Web!$C$1:$C$505),ROW(Create_TC_Web!$C$1:$C$505)),""),ROW(Create_TC_Web!C292))),"")," ",""),"-",""),"_","")</f>
        <v/>
      </c>
      <c r="C292" t="str" cm="1">
        <f t="array" ref="C292">IFERROR(INDEX(Create_TC_Web!F$1:F$500,SMALL(IF(Create_TC_Web!$C$1:$C$500&lt;&gt;"",MATCH(ROW(Create_TC_Web!$C$1:$C$500),ROW(Create_TC_Web!$C$1:$C$500)),""),ROW(Create_TC_Web!D292))),"")</f>
        <v/>
      </c>
      <c r="D292" t="str" cm="1">
        <f t="array" ref="D292">IFERROR(INDEX(Create_TC_Web!G$1:G$500,SMALL(IF(Create_TC_Web!$C$1:$C$500&lt;&gt;"",MATCH(ROW(Create_TC_Web!$C$1:$C$500),ROW(Create_TC_Web!$C$1:$C$500)),""),ROW(Create_TC_Web!E292))),"")</f>
        <v/>
      </c>
      <c r="E292" t="str" cm="1">
        <f t="array" ref="E292">IFERROR(INDEX(Create_TC_Web!H$1:H$500,SMALL(IF(Create_TC_Web!$C$1:$C$500&lt;&gt;"",MATCH(ROW(Create_TC_Web!$C$1:$C$500),ROW(Create_TC_Web!$C$1:$C$500)),""),ROW(Create_TC_Web!F292))),"")</f>
        <v/>
      </c>
      <c r="F292" t="str" cm="1">
        <f t="array" ref="F292">IFERROR(INDEX(Create_TC_Web!I$1:I$500,SMALL(IF(Create_TC_Web!$C$1:$C$500&lt;&gt;"",MATCH(ROW(Create_TC_Web!$C$1:$C$500),ROW(Create_TC_Web!$C$1:$C$500)),""),ROW(Create_TC_Web!G292))),"")</f>
        <v/>
      </c>
      <c r="G292" t="str" cm="1">
        <f t="array" ref="G292">IFERROR(INDEX(Create_TC_Web!J$1:J$500,SMALL(IF(Create_TC_Web!$C$1:$C$500&lt;&gt;"",MATCH(ROW(Create_TC_Web!$C$1:$C$500),ROW(Create_TC_Web!$C$1:$C$500)),""),ROW(Create_TC_Web!H292))),"")</f>
        <v/>
      </c>
      <c r="H292" t="str" cm="1">
        <f t="array" ref="H292">IFERROR(INDEX(Create_TC_Web!K$1:K$500,SMALL(IF(Create_TC_Web!$C$1:$C$500&lt;&gt;"",MATCH(ROW(Create_TC_Web!$C$1:$C$500),ROW(Create_TC_Web!$C$1:$C$500)),""),ROW(Create_TC_Web!I292))),"")</f>
        <v/>
      </c>
      <c r="I292" t="str" cm="1">
        <f t="array" ref="I292">IFERROR(INDEX(Create_TC_Web!L$1:L$500,SMALL(IF(Create_TC_Web!$C$1:$C$500&lt;&gt;"",MATCH(ROW(Create_TC_Web!$C$1:$C$500),ROW(Create_TC_Web!$C$1:$C$500)),""),ROW(Create_TC_Web!J292))),"")</f>
        <v/>
      </c>
      <c r="J292" t="str" cm="1">
        <f t="array" ref="J292">IFERROR(INDEX(Create_TC_Web!M$1:M$500,SMALL(IF(Create_TC_Web!$C$1:$C$500&lt;&gt;"",MATCH(ROW(Create_TC_Web!$C$1:$C$500),ROW(Create_TC_Web!$C$1:$C$500)),""),ROW(Create_TC_Web!K292))),"")</f>
        <v/>
      </c>
      <c r="K292" t="str" cm="1">
        <f t="array" ref="K292">IFERROR(INDEX(Create_TC_Web!N$1:N$500,SMALL(IF(Create_TC_Web!$C$1:$C$500&lt;&gt;"",MATCH(ROW(Create_TC_Web!$C$1:$C$500),ROW(Create_TC_Web!$C$1:$C$500)),""),ROW(Create_TC_Web!L292))),"")</f>
        <v/>
      </c>
      <c r="L292" t="str" cm="1">
        <f t="array" ref="L292">IFERROR(INDEX(Create_TC_Web!O$1:O$500,SMALL(IF(Create_TC_Web!$C$1:$C$500&lt;&gt;"",MATCH(ROW(Create_TC_Web!$C$1:$C$500),ROW(Create_TC_Web!$C$1:$C$500)),""),ROW(Create_TC_Web!M292))),"")</f>
        <v/>
      </c>
      <c r="M292" t="str" cm="1">
        <f t="array" ref="M292">IFERROR(INDEX(Create_TC_Web!P$1:P$500,SMALL(IF(Create_TC_Web!$C$1:$C$500&lt;&gt;"",MATCH(ROW(Create_TC_Web!$C$1:$C$500),ROW(Create_TC_Web!$C$1:$C$500)),""),ROW(Create_TC_Web!N292))),"")</f>
        <v/>
      </c>
      <c r="N292" t="str" cm="1">
        <f t="array" ref="N292">IFERROR(INDEX(Create_TC_Web!Q$1:Q$500,SMALL(IF(Create_TC_Web!$C$1:$C$500&lt;&gt;"",MATCH(ROW(Create_TC_Web!$C$1:$C$500),ROW(Create_TC_Web!$C$1:$C$500)),""),ROW(Create_TC_Web!O292))),"")</f>
        <v/>
      </c>
      <c r="O292" t="str">
        <f t="shared" si="15"/>
        <v/>
      </c>
      <c r="P292" s="17" t="str" cm="1">
        <f t="array" ref="P292">IFERROR(INDEX(Create_TC_Web!S$1:S$500,SMALL(IF(Create_TC_Web!$C$1:$C$500&lt;&gt;"",MATCH(ROW(Create_TC_Web!$C$1:$C$500),ROW(Create_TC_Web!$C$1:$C$500)),""),ROW(Create_TC_Web!Q270))),"")</f>
        <v/>
      </c>
      <c r="S292" t="str">
        <f t="shared" si="16"/>
        <v/>
      </c>
    </row>
    <row r="293" spans="1:19">
      <c r="A293" t="str" cm="1">
        <f t="array" ref="A293">IFERROR(INDEX(Create_TC_Web!D$1:D$500,SMALL(IF(Create_TC_Web!$C$1:$C$500&lt;&gt;"",MATCH(ROW(Create_TC_Web!$C$1:$C$500),ROW(Create_TC_Web!$C$1:$C$500)),""),ROW(Create_TC_Web!B293))),"")</f>
        <v/>
      </c>
      <c r="B293" t="str" cm="1">
        <f t="array" ref="B293">SUBSTITUTE(SUBSTITUTE(SUBSTITUTE(IFERROR(INDEX(Create_TC_Web!E$1:E$505,SMALL(IF(Create_TC_Web!$C$1:$C$505&lt;&gt;"",MATCH(ROW(Create_TC_Web!$C$1:$C$505),ROW(Create_TC_Web!$C$1:$C$505)),""),ROW(Create_TC_Web!C293))),"")," ",""),"-",""),"_","")</f>
        <v/>
      </c>
      <c r="C293" t="str" cm="1">
        <f t="array" ref="C293">IFERROR(INDEX(Create_TC_Web!F$1:F$500,SMALL(IF(Create_TC_Web!$C$1:$C$500&lt;&gt;"",MATCH(ROW(Create_TC_Web!$C$1:$C$500),ROW(Create_TC_Web!$C$1:$C$500)),""),ROW(Create_TC_Web!D293))),"")</f>
        <v/>
      </c>
      <c r="D293" t="str" cm="1">
        <f t="array" ref="D293">IFERROR(INDEX(Create_TC_Web!G$1:G$500,SMALL(IF(Create_TC_Web!$C$1:$C$500&lt;&gt;"",MATCH(ROW(Create_TC_Web!$C$1:$C$500),ROW(Create_TC_Web!$C$1:$C$500)),""),ROW(Create_TC_Web!E293))),"")</f>
        <v/>
      </c>
      <c r="E293" t="str" cm="1">
        <f t="array" ref="E293">IFERROR(INDEX(Create_TC_Web!H$1:H$500,SMALL(IF(Create_TC_Web!$C$1:$C$500&lt;&gt;"",MATCH(ROW(Create_TC_Web!$C$1:$C$500),ROW(Create_TC_Web!$C$1:$C$500)),""),ROW(Create_TC_Web!F293))),"")</f>
        <v/>
      </c>
      <c r="F293" t="str" cm="1">
        <f t="array" ref="F293">IFERROR(INDEX(Create_TC_Web!I$1:I$500,SMALL(IF(Create_TC_Web!$C$1:$C$500&lt;&gt;"",MATCH(ROW(Create_TC_Web!$C$1:$C$500),ROW(Create_TC_Web!$C$1:$C$500)),""),ROW(Create_TC_Web!G293))),"")</f>
        <v/>
      </c>
      <c r="G293" t="str" cm="1">
        <f t="array" ref="G293">IFERROR(INDEX(Create_TC_Web!J$1:J$500,SMALL(IF(Create_TC_Web!$C$1:$C$500&lt;&gt;"",MATCH(ROW(Create_TC_Web!$C$1:$C$500),ROW(Create_TC_Web!$C$1:$C$500)),""),ROW(Create_TC_Web!H293))),"")</f>
        <v/>
      </c>
      <c r="H293" t="str" cm="1">
        <f t="array" ref="H293">IFERROR(INDEX(Create_TC_Web!K$1:K$500,SMALL(IF(Create_TC_Web!$C$1:$C$500&lt;&gt;"",MATCH(ROW(Create_TC_Web!$C$1:$C$500),ROW(Create_TC_Web!$C$1:$C$500)),""),ROW(Create_TC_Web!I293))),"")</f>
        <v/>
      </c>
      <c r="I293" t="str" cm="1">
        <f t="array" ref="I293">IFERROR(INDEX(Create_TC_Web!L$1:L$500,SMALL(IF(Create_TC_Web!$C$1:$C$500&lt;&gt;"",MATCH(ROW(Create_TC_Web!$C$1:$C$500),ROW(Create_TC_Web!$C$1:$C$500)),""),ROW(Create_TC_Web!J293))),"")</f>
        <v/>
      </c>
      <c r="J293" t="str" cm="1">
        <f t="array" ref="J293">IFERROR(INDEX(Create_TC_Web!M$1:M$500,SMALL(IF(Create_TC_Web!$C$1:$C$500&lt;&gt;"",MATCH(ROW(Create_TC_Web!$C$1:$C$500),ROW(Create_TC_Web!$C$1:$C$500)),""),ROW(Create_TC_Web!K293))),"")</f>
        <v/>
      </c>
      <c r="K293" t="str" cm="1">
        <f t="array" ref="K293">IFERROR(INDEX(Create_TC_Web!N$1:N$500,SMALL(IF(Create_TC_Web!$C$1:$C$500&lt;&gt;"",MATCH(ROW(Create_TC_Web!$C$1:$C$500),ROW(Create_TC_Web!$C$1:$C$500)),""),ROW(Create_TC_Web!L293))),"")</f>
        <v/>
      </c>
      <c r="L293" t="str" cm="1">
        <f t="array" ref="L293">IFERROR(INDEX(Create_TC_Web!O$1:O$500,SMALL(IF(Create_TC_Web!$C$1:$C$500&lt;&gt;"",MATCH(ROW(Create_TC_Web!$C$1:$C$500),ROW(Create_TC_Web!$C$1:$C$500)),""),ROW(Create_TC_Web!M293))),"")</f>
        <v/>
      </c>
      <c r="M293" t="str" cm="1">
        <f t="array" ref="M293">IFERROR(INDEX(Create_TC_Web!P$1:P$500,SMALL(IF(Create_TC_Web!$C$1:$C$500&lt;&gt;"",MATCH(ROW(Create_TC_Web!$C$1:$C$500),ROW(Create_TC_Web!$C$1:$C$500)),""),ROW(Create_TC_Web!N293))),"")</f>
        <v/>
      </c>
      <c r="N293" t="str" cm="1">
        <f t="array" ref="N293">IFERROR(INDEX(Create_TC_Web!Q$1:Q$500,SMALL(IF(Create_TC_Web!$C$1:$C$500&lt;&gt;"",MATCH(ROW(Create_TC_Web!$C$1:$C$500),ROW(Create_TC_Web!$C$1:$C$500)),""),ROW(Create_TC_Web!O293))),"")</f>
        <v/>
      </c>
      <c r="O293" t="str">
        <f t="shared" si="15"/>
        <v/>
      </c>
      <c r="P293" s="17" t="str" cm="1">
        <f t="array" ref="P293">IFERROR(INDEX(Create_TC_Web!S$1:S$500,SMALL(IF(Create_TC_Web!$C$1:$C$500&lt;&gt;"",MATCH(ROW(Create_TC_Web!$C$1:$C$500),ROW(Create_TC_Web!$C$1:$C$500)),""),ROW(Create_TC_Web!Q271))),"")</f>
        <v/>
      </c>
      <c r="S293" t="str">
        <f t="shared" si="16"/>
        <v/>
      </c>
    </row>
    <row r="294" spans="1:19">
      <c r="A294" t="str" cm="1">
        <f t="array" ref="A294">IFERROR(INDEX(Create_TC_Web!D$1:D$500,SMALL(IF(Create_TC_Web!$C$1:$C$500&lt;&gt;"",MATCH(ROW(Create_TC_Web!$C$1:$C$500),ROW(Create_TC_Web!$C$1:$C$500)),""),ROW(Create_TC_Web!B294))),"")</f>
        <v/>
      </c>
      <c r="B294" t="str" cm="1">
        <f t="array" ref="B294">SUBSTITUTE(SUBSTITUTE(SUBSTITUTE(IFERROR(INDEX(Create_TC_Web!E$1:E$505,SMALL(IF(Create_TC_Web!$C$1:$C$505&lt;&gt;"",MATCH(ROW(Create_TC_Web!$C$1:$C$505),ROW(Create_TC_Web!$C$1:$C$505)),""),ROW(Create_TC_Web!C294))),"")," ",""),"-",""),"_","")</f>
        <v/>
      </c>
      <c r="C294" t="str" cm="1">
        <f t="array" ref="C294">IFERROR(INDEX(Create_TC_Web!F$1:F$500,SMALL(IF(Create_TC_Web!$C$1:$C$500&lt;&gt;"",MATCH(ROW(Create_TC_Web!$C$1:$C$500),ROW(Create_TC_Web!$C$1:$C$500)),""),ROW(Create_TC_Web!D294))),"")</f>
        <v/>
      </c>
      <c r="D294" t="str" cm="1">
        <f t="array" ref="D294">IFERROR(INDEX(Create_TC_Web!G$1:G$500,SMALL(IF(Create_TC_Web!$C$1:$C$500&lt;&gt;"",MATCH(ROW(Create_TC_Web!$C$1:$C$500),ROW(Create_TC_Web!$C$1:$C$500)),""),ROW(Create_TC_Web!E294))),"")</f>
        <v/>
      </c>
      <c r="E294" t="str" cm="1">
        <f t="array" ref="E294">IFERROR(INDEX(Create_TC_Web!H$1:H$500,SMALL(IF(Create_TC_Web!$C$1:$C$500&lt;&gt;"",MATCH(ROW(Create_TC_Web!$C$1:$C$500),ROW(Create_TC_Web!$C$1:$C$500)),""),ROW(Create_TC_Web!F294))),"")</f>
        <v/>
      </c>
      <c r="F294" t="str" cm="1">
        <f t="array" ref="F294">IFERROR(INDEX(Create_TC_Web!I$1:I$500,SMALL(IF(Create_TC_Web!$C$1:$C$500&lt;&gt;"",MATCH(ROW(Create_TC_Web!$C$1:$C$500),ROW(Create_TC_Web!$C$1:$C$500)),""),ROW(Create_TC_Web!G294))),"")</f>
        <v/>
      </c>
      <c r="G294" t="str" cm="1">
        <f t="array" ref="G294">IFERROR(INDEX(Create_TC_Web!J$1:J$500,SMALL(IF(Create_TC_Web!$C$1:$C$500&lt;&gt;"",MATCH(ROW(Create_TC_Web!$C$1:$C$500),ROW(Create_TC_Web!$C$1:$C$500)),""),ROW(Create_TC_Web!H294))),"")</f>
        <v/>
      </c>
      <c r="H294" t="str" cm="1">
        <f t="array" ref="H294">IFERROR(INDEX(Create_TC_Web!K$1:K$500,SMALL(IF(Create_TC_Web!$C$1:$C$500&lt;&gt;"",MATCH(ROW(Create_TC_Web!$C$1:$C$500),ROW(Create_TC_Web!$C$1:$C$500)),""),ROW(Create_TC_Web!I294))),"")</f>
        <v/>
      </c>
      <c r="I294" t="str" cm="1">
        <f t="array" ref="I294">IFERROR(INDEX(Create_TC_Web!L$1:L$500,SMALL(IF(Create_TC_Web!$C$1:$C$500&lt;&gt;"",MATCH(ROW(Create_TC_Web!$C$1:$C$500),ROW(Create_TC_Web!$C$1:$C$500)),""),ROW(Create_TC_Web!J294))),"")</f>
        <v/>
      </c>
      <c r="J294" t="str" cm="1">
        <f t="array" ref="J294">IFERROR(INDEX(Create_TC_Web!M$1:M$500,SMALL(IF(Create_TC_Web!$C$1:$C$500&lt;&gt;"",MATCH(ROW(Create_TC_Web!$C$1:$C$500),ROW(Create_TC_Web!$C$1:$C$500)),""),ROW(Create_TC_Web!K294))),"")</f>
        <v/>
      </c>
      <c r="K294" t="str" cm="1">
        <f t="array" ref="K294">IFERROR(INDEX(Create_TC_Web!N$1:N$500,SMALL(IF(Create_TC_Web!$C$1:$C$500&lt;&gt;"",MATCH(ROW(Create_TC_Web!$C$1:$C$500),ROW(Create_TC_Web!$C$1:$C$500)),""),ROW(Create_TC_Web!L294))),"")</f>
        <v/>
      </c>
      <c r="L294" t="str" cm="1">
        <f t="array" ref="L294">IFERROR(INDEX(Create_TC_Web!O$1:O$500,SMALL(IF(Create_TC_Web!$C$1:$C$500&lt;&gt;"",MATCH(ROW(Create_TC_Web!$C$1:$C$500),ROW(Create_TC_Web!$C$1:$C$500)),""),ROW(Create_TC_Web!M294))),"")</f>
        <v/>
      </c>
      <c r="M294" t="str" cm="1">
        <f t="array" ref="M294">IFERROR(INDEX(Create_TC_Web!P$1:P$500,SMALL(IF(Create_TC_Web!$C$1:$C$500&lt;&gt;"",MATCH(ROW(Create_TC_Web!$C$1:$C$500),ROW(Create_TC_Web!$C$1:$C$500)),""),ROW(Create_TC_Web!N294))),"")</f>
        <v/>
      </c>
      <c r="N294" t="str" cm="1">
        <f t="array" ref="N294">IFERROR(INDEX(Create_TC_Web!Q$1:Q$500,SMALL(IF(Create_TC_Web!$C$1:$C$500&lt;&gt;"",MATCH(ROW(Create_TC_Web!$C$1:$C$500),ROW(Create_TC_Web!$C$1:$C$500)),""),ROW(Create_TC_Web!O294))),"")</f>
        <v/>
      </c>
      <c r="O294" t="str">
        <f t="shared" si="15"/>
        <v/>
      </c>
      <c r="P294" s="17" t="str" cm="1">
        <f t="array" ref="P294">IFERROR(INDEX(Create_TC_Web!S$1:S$500,SMALL(IF(Create_TC_Web!$C$1:$C$500&lt;&gt;"",MATCH(ROW(Create_TC_Web!$C$1:$C$500),ROW(Create_TC_Web!$C$1:$C$500)),""),ROW(Create_TC_Web!Q272))),"")</f>
        <v/>
      </c>
      <c r="S294" t="str">
        <f t="shared" si="16"/>
        <v/>
      </c>
    </row>
    <row r="295" spans="1:19">
      <c r="A295" t="str" cm="1">
        <f t="array" ref="A295">IFERROR(INDEX(Create_TC_Web!D$1:D$500,SMALL(IF(Create_TC_Web!$C$1:$C$500&lt;&gt;"",MATCH(ROW(Create_TC_Web!$C$1:$C$500),ROW(Create_TC_Web!$C$1:$C$500)),""),ROW(Create_TC_Web!B295))),"")</f>
        <v/>
      </c>
      <c r="B295" t="str" cm="1">
        <f t="array" ref="B295">SUBSTITUTE(SUBSTITUTE(SUBSTITUTE(IFERROR(INDEX(Create_TC_Web!E$1:E$505,SMALL(IF(Create_TC_Web!$C$1:$C$505&lt;&gt;"",MATCH(ROW(Create_TC_Web!$C$1:$C$505),ROW(Create_TC_Web!$C$1:$C$505)),""),ROW(Create_TC_Web!C295))),"")," ",""),"-",""),"_","")</f>
        <v/>
      </c>
      <c r="C295" t="str" cm="1">
        <f t="array" ref="C295">IFERROR(INDEX(Create_TC_Web!F$1:F$500,SMALL(IF(Create_TC_Web!$C$1:$C$500&lt;&gt;"",MATCH(ROW(Create_TC_Web!$C$1:$C$500),ROW(Create_TC_Web!$C$1:$C$500)),""),ROW(Create_TC_Web!D295))),"")</f>
        <v/>
      </c>
      <c r="D295" t="str" cm="1">
        <f t="array" ref="D295">IFERROR(INDEX(Create_TC_Web!G$1:G$500,SMALL(IF(Create_TC_Web!$C$1:$C$500&lt;&gt;"",MATCH(ROW(Create_TC_Web!$C$1:$C$500),ROW(Create_TC_Web!$C$1:$C$500)),""),ROW(Create_TC_Web!E295))),"")</f>
        <v/>
      </c>
      <c r="E295" t="str" cm="1">
        <f t="array" ref="E295">IFERROR(INDEX(Create_TC_Web!H$1:H$500,SMALL(IF(Create_TC_Web!$C$1:$C$500&lt;&gt;"",MATCH(ROW(Create_TC_Web!$C$1:$C$500),ROW(Create_TC_Web!$C$1:$C$500)),""),ROW(Create_TC_Web!F295))),"")</f>
        <v/>
      </c>
      <c r="F295" t="str" cm="1">
        <f t="array" ref="F295">IFERROR(INDEX(Create_TC_Web!I$1:I$500,SMALL(IF(Create_TC_Web!$C$1:$C$500&lt;&gt;"",MATCH(ROW(Create_TC_Web!$C$1:$C$500),ROW(Create_TC_Web!$C$1:$C$500)),""),ROW(Create_TC_Web!G295))),"")</f>
        <v/>
      </c>
      <c r="G295" t="str" cm="1">
        <f t="array" ref="G295">IFERROR(INDEX(Create_TC_Web!J$1:J$500,SMALL(IF(Create_TC_Web!$C$1:$C$500&lt;&gt;"",MATCH(ROW(Create_TC_Web!$C$1:$C$500),ROW(Create_TC_Web!$C$1:$C$500)),""),ROW(Create_TC_Web!H295))),"")</f>
        <v/>
      </c>
      <c r="H295" t="str" cm="1">
        <f t="array" ref="H295">IFERROR(INDEX(Create_TC_Web!K$1:K$500,SMALL(IF(Create_TC_Web!$C$1:$C$500&lt;&gt;"",MATCH(ROW(Create_TC_Web!$C$1:$C$500),ROW(Create_TC_Web!$C$1:$C$500)),""),ROW(Create_TC_Web!I295))),"")</f>
        <v/>
      </c>
      <c r="I295" t="str" cm="1">
        <f t="array" ref="I295">IFERROR(INDEX(Create_TC_Web!L$1:L$500,SMALL(IF(Create_TC_Web!$C$1:$C$500&lt;&gt;"",MATCH(ROW(Create_TC_Web!$C$1:$C$500),ROW(Create_TC_Web!$C$1:$C$500)),""),ROW(Create_TC_Web!J295))),"")</f>
        <v/>
      </c>
      <c r="J295" t="str" cm="1">
        <f t="array" ref="J295">IFERROR(INDEX(Create_TC_Web!M$1:M$500,SMALL(IF(Create_TC_Web!$C$1:$C$500&lt;&gt;"",MATCH(ROW(Create_TC_Web!$C$1:$C$500),ROW(Create_TC_Web!$C$1:$C$500)),""),ROW(Create_TC_Web!K295))),"")</f>
        <v/>
      </c>
      <c r="K295" t="str" cm="1">
        <f t="array" ref="K295">IFERROR(INDEX(Create_TC_Web!N$1:N$500,SMALL(IF(Create_TC_Web!$C$1:$C$500&lt;&gt;"",MATCH(ROW(Create_TC_Web!$C$1:$C$500),ROW(Create_TC_Web!$C$1:$C$500)),""),ROW(Create_TC_Web!L295))),"")</f>
        <v/>
      </c>
      <c r="L295" t="str" cm="1">
        <f t="array" ref="L295">IFERROR(INDEX(Create_TC_Web!O$1:O$500,SMALL(IF(Create_TC_Web!$C$1:$C$500&lt;&gt;"",MATCH(ROW(Create_TC_Web!$C$1:$C$500),ROW(Create_TC_Web!$C$1:$C$500)),""),ROW(Create_TC_Web!M295))),"")</f>
        <v/>
      </c>
      <c r="M295" t="str" cm="1">
        <f t="array" ref="M295">IFERROR(INDEX(Create_TC_Web!P$1:P$500,SMALL(IF(Create_TC_Web!$C$1:$C$500&lt;&gt;"",MATCH(ROW(Create_TC_Web!$C$1:$C$500),ROW(Create_TC_Web!$C$1:$C$500)),""),ROW(Create_TC_Web!N295))),"")</f>
        <v/>
      </c>
      <c r="N295" t="str" cm="1">
        <f t="array" ref="N295">IFERROR(INDEX(Create_TC_Web!Q$1:Q$500,SMALL(IF(Create_TC_Web!$C$1:$C$500&lt;&gt;"",MATCH(ROW(Create_TC_Web!$C$1:$C$500),ROW(Create_TC_Web!$C$1:$C$500)),""),ROW(Create_TC_Web!O295))),"")</f>
        <v/>
      </c>
      <c r="O295" t="str">
        <f t="shared" si="15"/>
        <v/>
      </c>
      <c r="P295" s="17" t="str" cm="1">
        <f t="array" ref="P295">IFERROR(INDEX(Create_TC_Web!S$1:S$500,SMALL(IF(Create_TC_Web!$C$1:$C$500&lt;&gt;"",MATCH(ROW(Create_TC_Web!$C$1:$C$500),ROW(Create_TC_Web!$C$1:$C$500)),""),ROW(Create_TC_Web!Q273))),"")</f>
        <v/>
      </c>
      <c r="S295" t="str">
        <f t="shared" si="16"/>
        <v/>
      </c>
    </row>
    <row r="296" spans="1:19">
      <c r="A296" t="str" cm="1">
        <f t="array" ref="A296">IFERROR(INDEX(Create_TC_Web!D$1:D$500,SMALL(IF(Create_TC_Web!$C$1:$C$500&lt;&gt;"",MATCH(ROW(Create_TC_Web!$C$1:$C$500),ROW(Create_TC_Web!$C$1:$C$500)),""),ROW(Create_TC_Web!B296))),"")</f>
        <v/>
      </c>
      <c r="B296" t="str" cm="1">
        <f t="array" ref="B296">SUBSTITUTE(SUBSTITUTE(SUBSTITUTE(IFERROR(INDEX(Create_TC_Web!E$1:E$505,SMALL(IF(Create_TC_Web!$C$1:$C$505&lt;&gt;"",MATCH(ROW(Create_TC_Web!$C$1:$C$505),ROW(Create_TC_Web!$C$1:$C$505)),""),ROW(Create_TC_Web!C296))),"")," ",""),"-",""),"_","")</f>
        <v/>
      </c>
      <c r="C296" t="str" cm="1">
        <f t="array" ref="C296">IFERROR(INDEX(Create_TC_Web!F$1:F$500,SMALL(IF(Create_TC_Web!$C$1:$C$500&lt;&gt;"",MATCH(ROW(Create_TC_Web!$C$1:$C$500),ROW(Create_TC_Web!$C$1:$C$500)),""),ROW(Create_TC_Web!D296))),"")</f>
        <v/>
      </c>
      <c r="D296" t="str" cm="1">
        <f t="array" ref="D296">IFERROR(INDEX(Create_TC_Web!G$1:G$500,SMALL(IF(Create_TC_Web!$C$1:$C$500&lt;&gt;"",MATCH(ROW(Create_TC_Web!$C$1:$C$500),ROW(Create_TC_Web!$C$1:$C$500)),""),ROW(Create_TC_Web!E296))),"")</f>
        <v/>
      </c>
      <c r="E296" t="str" cm="1">
        <f t="array" ref="E296">IFERROR(INDEX(Create_TC_Web!H$1:H$500,SMALL(IF(Create_TC_Web!$C$1:$C$500&lt;&gt;"",MATCH(ROW(Create_TC_Web!$C$1:$C$500),ROW(Create_TC_Web!$C$1:$C$500)),""),ROW(Create_TC_Web!F296))),"")</f>
        <v/>
      </c>
      <c r="F296" t="str" cm="1">
        <f t="array" ref="F296">IFERROR(INDEX(Create_TC_Web!I$1:I$500,SMALL(IF(Create_TC_Web!$C$1:$C$500&lt;&gt;"",MATCH(ROW(Create_TC_Web!$C$1:$C$500),ROW(Create_TC_Web!$C$1:$C$500)),""),ROW(Create_TC_Web!G296))),"")</f>
        <v/>
      </c>
      <c r="G296" t="str" cm="1">
        <f t="array" ref="G296">IFERROR(INDEX(Create_TC_Web!J$1:J$500,SMALL(IF(Create_TC_Web!$C$1:$C$500&lt;&gt;"",MATCH(ROW(Create_TC_Web!$C$1:$C$500),ROW(Create_TC_Web!$C$1:$C$500)),""),ROW(Create_TC_Web!H296))),"")</f>
        <v/>
      </c>
      <c r="H296" t="str" cm="1">
        <f t="array" ref="H296">IFERROR(INDEX(Create_TC_Web!K$1:K$500,SMALL(IF(Create_TC_Web!$C$1:$C$500&lt;&gt;"",MATCH(ROW(Create_TC_Web!$C$1:$C$500),ROW(Create_TC_Web!$C$1:$C$500)),""),ROW(Create_TC_Web!I296))),"")</f>
        <v/>
      </c>
      <c r="I296" t="str" cm="1">
        <f t="array" ref="I296">IFERROR(INDEX(Create_TC_Web!L$1:L$500,SMALL(IF(Create_TC_Web!$C$1:$C$500&lt;&gt;"",MATCH(ROW(Create_TC_Web!$C$1:$C$500),ROW(Create_TC_Web!$C$1:$C$500)),""),ROW(Create_TC_Web!J296))),"")</f>
        <v/>
      </c>
      <c r="J296" t="str" cm="1">
        <f t="array" ref="J296">IFERROR(INDEX(Create_TC_Web!M$1:M$500,SMALL(IF(Create_TC_Web!$C$1:$C$500&lt;&gt;"",MATCH(ROW(Create_TC_Web!$C$1:$C$500),ROW(Create_TC_Web!$C$1:$C$500)),""),ROW(Create_TC_Web!K296))),"")</f>
        <v/>
      </c>
      <c r="K296" t="str" cm="1">
        <f t="array" ref="K296">IFERROR(INDEX(Create_TC_Web!N$1:N$500,SMALL(IF(Create_TC_Web!$C$1:$C$500&lt;&gt;"",MATCH(ROW(Create_TC_Web!$C$1:$C$500),ROW(Create_TC_Web!$C$1:$C$500)),""),ROW(Create_TC_Web!L296))),"")</f>
        <v/>
      </c>
      <c r="L296" t="str" cm="1">
        <f t="array" ref="L296">IFERROR(INDEX(Create_TC_Web!O$1:O$500,SMALL(IF(Create_TC_Web!$C$1:$C$500&lt;&gt;"",MATCH(ROW(Create_TC_Web!$C$1:$C$500),ROW(Create_TC_Web!$C$1:$C$500)),""),ROW(Create_TC_Web!M296))),"")</f>
        <v/>
      </c>
      <c r="M296" t="str" cm="1">
        <f t="array" ref="M296">IFERROR(INDEX(Create_TC_Web!P$1:P$500,SMALL(IF(Create_TC_Web!$C$1:$C$500&lt;&gt;"",MATCH(ROW(Create_TC_Web!$C$1:$C$500),ROW(Create_TC_Web!$C$1:$C$500)),""),ROW(Create_TC_Web!N296))),"")</f>
        <v/>
      </c>
      <c r="N296" t="str" cm="1">
        <f t="array" ref="N296">IFERROR(INDEX(Create_TC_Web!Q$1:Q$500,SMALL(IF(Create_TC_Web!$C$1:$C$500&lt;&gt;"",MATCH(ROW(Create_TC_Web!$C$1:$C$500),ROW(Create_TC_Web!$C$1:$C$500)),""),ROW(Create_TC_Web!O296))),"")</f>
        <v/>
      </c>
      <c r="O296" t="str">
        <f t="shared" si="15"/>
        <v/>
      </c>
      <c r="P296" s="17" t="str" cm="1">
        <f t="array" ref="P296">IFERROR(INDEX(Create_TC_Web!S$1:S$500,SMALL(IF(Create_TC_Web!$C$1:$C$500&lt;&gt;"",MATCH(ROW(Create_TC_Web!$C$1:$C$500),ROW(Create_TC_Web!$C$1:$C$500)),""),ROW(Create_TC_Web!Q274))),"")</f>
        <v/>
      </c>
      <c r="S296" t="str">
        <f t="shared" si="16"/>
        <v/>
      </c>
    </row>
    <row r="297" spans="1:19">
      <c r="A297" t="str" cm="1">
        <f t="array" ref="A297">IFERROR(INDEX(Create_TC_Web!D$1:D$500,SMALL(IF(Create_TC_Web!$C$1:$C$500&lt;&gt;"",MATCH(ROW(Create_TC_Web!$C$1:$C$500),ROW(Create_TC_Web!$C$1:$C$500)),""),ROW(Create_TC_Web!B297))),"")</f>
        <v/>
      </c>
      <c r="B297" t="str" cm="1">
        <f t="array" ref="B297">SUBSTITUTE(SUBSTITUTE(SUBSTITUTE(IFERROR(INDEX(Create_TC_Web!E$1:E$505,SMALL(IF(Create_TC_Web!$C$1:$C$505&lt;&gt;"",MATCH(ROW(Create_TC_Web!$C$1:$C$505),ROW(Create_TC_Web!$C$1:$C$505)),""),ROW(Create_TC_Web!C297))),"")," ",""),"-",""),"_","")</f>
        <v/>
      </c>
      <c r="C297" t="str" cm="1">
        <f t="array" ref="C297">IFERROR(INDEX(Create_TC_Web!F$1:F$500,SMALL(IF(Create_TC_Web!$C$1:$C$500&lt;&gt;"",MATCH(ROW(Create_TC_Web!$C$1:$C$500),ROW(Create_TC_Web!$C$1:$C$500)),""),ROW(Create_TC_Web!D297))),"")</f>
        <v/>
      </c>
      <c r="D297" t="str" cm="1">
        <f t="array" ref="D297">IFERROR(INDEX(Create_TC_Web!G$1:G$500,SMALL(IF(Create_TC_Web!$C$1:$C$500&lt;&gt;"",MATCH(ROW(Create_TC_Web!$C$1:$C$500),ROW(Create_TC_Web!$C$1:$C$500)),""),ROW(Create_TC_Web!E297))),"")</f>
        <v/>
      </c>
      <c r="E297" t="str" cm="1">
        <f t="array" ref="E297">IFERROR(INDEX(Create_TC_Web!H$1:H$500,SMALL(IF(Create_TC_Web!$C$1:$C$500&lt;&gt;"",MATCH(ROW(Create_TC_Web!$C$1:$C$500),ROW(Create_TC_Web!$C$1:$C$500)),""),ROW(Create_TC_Web!F297))),"")</f>
        <v/>
      </c>
      <c r="F297" t="str" cm="1">
        <f t="array" ref="F297">IFERROR(INDEX(Create_TC_Web!I$1:I$500,SMALL(IF(Create_TC_Web!$C$1:$C$500&lt;&gt;"",MATCH(ROW(Create_TC_Web!$C$1:$C$500),ROW(Create_TC_Web!$C$1:$C$500)),""),ROW(Create_TC_Web!G297))),"")</f>
        <v/>
      </c>
      <c r="G297" t="str" cm="1">
        <f t="array" ref="G297">IFERROR(INDEX(Create_TC_Web!J$1:J$500,SMALL(IF(Create_TC_Web!$C$1:$C$500&lt;&gt;"",MATCH(ROW(Create_TC_Web!$C$1:$C$500),ROW(Create_TC_Web!$C$1:$C$500)),""),ROW(Create_TC_Web!H297))),"")</f>
        <v/>
      </c>
      <c r="H297" t="str" cm="1">
        <f t="array" ref="H297">IFERROR(INDEX(Create_TC_Web!K$1:K$500,SMALL(IF(Create_TC_Web!$C$1:$C$500&lt;&gt;"",MATCH(ROW(Create_TC_Web!$C$1:$C$500),ROW(Create_TC_Web!$C$1:$C$500)),""),ROW(Create_TC_Web!I297))),"")</f>
        <v/>
      </c>
      <c r="I297" t="str" cm="1">
        <f t="array" ref="I297">IFERROR(INDEX(Create_TC_Web!L$1:L$500,SMALL(IF(Create_TC_Web!$C$1:$C$500&lt;&gt;"",MATCH(ROW(Create_TC_Web!$C$1:$C$500),ROW(Create_TC_Web!$C$1:$C$500)),""),ROW(Create_TC_Web!J297))),"")</f>
        <v/>
      </c>
      <c r="J297" t="str" cm="1">
        <f t="array" ref="J297">IFERROR(INDEX(Create_TC_Web!M$1:M$500,SMALL(IF(Create_TC_Web!$C$1:$C$500&lt;&gt;"",MATCH(ROW(Create_TC_Web!$C$1:$C$500),ROW(Create_TC_Web!$C$1:$C$500)),""),ROW(Create_TC_Web!K297))),"")</f>
        <v/>
      </c>
      <c r="K297" t="str" cm="1">
        <f t="array" ref="K297">IFERROR(INDEX(Create_TC_Web!N$1:N$500,SMALL(IF(Create_TC_Web!$C$1:$C$500&lt;&gt;"",MATCH(ROW(Create_TC_Web!$C$1:$C$500),ROW(Create_TC_Web!$C$1:$C$500)),""),ROW(Create_TC_Web!L297))),"")</f>
        <v/>
      </c>
      <c r="L297" t="str" cm="1">
        <f t="array" ref="L297">IFERROR(INDEX(Create_TC_Web!O$1:O$500,SMALL(IF(Create_TC_Web!$C$1:$C$500&lt;&gt;"",MATCH(ROW(Create_TC_Web!$C$1:$C$500),ROW(Create_TC_Web!$C$1:$C$500)),""),ROW(Create_TC_Web!M297))),"")</f>
        <v/>
      </c>
      <c r="M297" t="str" cm="1">
        <f t="array" ref="M297">IFERROR(INDEX(Create_TC_Web!P$1:P$500,SMALL(IF(Create_TC_Web!$C$1:$C$500&lt;&gt;"",MATCH(ROW(Create_TC_Web!$C$1:$C$500),ROW(Create_TC_Web!$C$1:$C$500)),""),ROW(Create_TC_Web!N297))),"")</f>
        <v/>
      </c>
      <c r="N297" t="str" cm="1">
        <f t="array" ref="N297">IFERROR(INDEX(Create_TC_Web!Q$1:Q$500,SMALL(IF(Create_TC_Web!$C$1:$C$500&lt;&gt;"",MATCH(ROW(Create_TC_Web!$C$1:$C$500),ROW(Create_TC_Web!$C$1:$C$500)),""),ROW(Create_TC_Web!O297))),"")</f>
        <v/>
      </c>
      <c r="O297" t="str">
        <f t="shared" si="15"/>
        <v/>
      </c>
      <c r="P297" s="17" t="str" cm="1">
        <f t="array" ref="P297">IFERROR(INDEX(Create_TC_Web!S$1:S$500,SMALL(IF(Create_TC_Web!$C$1:$C$500&lt;&gt;"",MATCH(ROW(Create_TC_Web!$C$1:$C$500),ROW(Create_TC_Web!$C$1:$C$500)),""),ROW(Create_TC_Web!Q275))),"")</f>
        <v/>
      </c>
      <c r="S297" t="str">
        <f t="shared" si="16"/>
        <v/>
      </c>
    </row>
    <row r="298" spans="1:19">
      <c r="A298" t="str" cm="1">
        <f t="array" ref="A298">IFERROR(INDEX(Create_TC_Web!D$1:D$500,SMALL(IF(Create_TC_Web!$C$1:$C$500&lt;&gt;"",MATCH(ROW(Create_TC_Web!$C$1:$C$500),ROW(Create_TC_Web!$C$1:$C$500)),""),ROW(Create_TC_Web!B298))),"")</f>
        <v/>
      </c>
      <c r="B298" t="str" cm="1">
        <f t="array" ref="B298">SUBSTITUTE(SUBSTITUTE(SUBSTITUTE(IFERROR(INDEX(Create_TC_Web!E$1:E$505,SMALL(IF(Create_TC_Web!$C$1:$C$505&lt;&gt;"",MATCH(ROW(Create_TC_Web!$C$1:$C$505),ROW(Create_TC_Web!$C$1:$C$505)),""),ROW(Create_TC_Web!C298))),"")," ",""),"-",""),"_","")</f>
        <v/>
      </c>
      <c r="C298" t="str" cm="1">
        <f t="array" ref="C298">IFERROR(INDEX(Create_TC_Web!F$1:F$500,SMALL(IF(Create_TC_Web!$C$1:$C$500&lt;&gt;"",MATCH(ROW(Create_TC_Web!$C$1:$C$500),ROW(Create_TC_Web!$C$1:$C$500)),""),ROW(Create_TC_Web!D298))),"")</f>
        <v/>
      </c>
      <c r="D298" t="str" cm="1">
        <f t="array" ref="D298">IFERROR(INDEX(Create_TC_Web!G$1:G$500,SMALL(IF(Create_TC_Web!$C$1:$C$500&lt;&gt;"",MATCH(ROW(Create_TC_Web!$C$1:$C$500),ROW(Create_TC_Web!$C$1:$C$500)),""),ROW(Create_TC_Web!E298))),"")</f>
        <v/>
      </c>
      <c r="E298" t="str" cm="1">
        <f t="array" ref="E298">IFERROR(INDEX(Create_TC_Web!H$1:H$500,SMALL(IF(Create_TC_Web!$C$1:$C$500&lt;&gt;"",MATCH(ROW(Create_TC_Web!$C$1:$C$500),ROW(Create_TC_Web!$C$1:$C$500)),""),ROW(Create_TC_Web!F298))),"")</f>
        <v/>
      </c>
      <c r="F298" t="str" cm="1">
        <f t="array" ref="F298">IFERROR(INDEX(Create_TC_Web!I$1:I$500,SMALL(IF(Create_TC_Web!$C$1:$C$500&lt;&gt;"",MATCH(ROW(Create_TC_Web!$C$1:$C$500),ROW(Create_TC_Web!$C$1:$C$500)),""),ROW(Create_TC_Web!G298))),"")</f>
        <v/>
      </c>
      <c r="G298" t="str" cm="1">
        <f t="array" ref="G298">IFERROR(INDEX(Create_TC_Web!J$1:J$500,SMALL(IF(Create_TC_Web!$C$1:$C$500&lt;&gt;"",MATCH(ROW(Create_TC_Web!$C$1:$C$500),ROW(Create_TC_Web!$C$1:$C$500)),""),ROW(Create_TC_Web!H298))),"")</f>
        <v/>
      </c>
      <c r="H298" t="str" cm="1">
        <f t="array" ref="H298">IFERROR(INDEX(Create_TC_Web!K$1:K$500,SMALL(IF(Create_TC_Web!$C$1:$C$500&lt;&gt;"",MATCH(ROW(Create_TC_Web!$C$1:$C$500),ROW(Create_TC_Web!$C$1:$C$500)),""),ROW(Create_TC_Web!I298))),"")</f>
        <v/>
      </c>
      <c r="I298" t="str" cm="1">
        <f t="array" ref="I298">IFERROR(INDEX(Create_TC_Web!L$1:L$500,SMALL(IF(Create_TC_Web!$C$1:$C$500&lt;&gt;"",MATCH(ROW(Create_TC_Web!$C$1:$C$500),ROW(Create_TC_Web!$C$1:$C$500)),""),ROW(Create_TC_Web!J298))),"")</f>
        <v/>
      </c>
      <c r="J298" t="str" cm="1">
        <f t="array" ref="J298">IFERROR(INDEX(Create_TC_Web!M$1:M$500,SMALL(IF(Create_TC_Web!$C$1:$C$500&lt;&gt;"",MATCH(ROW(Create_TC_Web!$C$1:$C$500),ROW(Create_TC_Web!$C$1:$C$500)),""),ROW(Create_TC_Web!K298))),"")</f>
        <v/>
      </c>
      <c r="K298" t="str" cm="1">
        <f t="array" ref="K298">IFERROR(INDEX(Create_TC_Web!N$1:N$500,SMALL(IF(Create_TC_Web!$C$1:$C$500&lt;&gt;"",MATCH(ROW(Create_TC_Web!$C$1:$C$500),ROW(Create_TC_Web!$C$1:$C$500)),""),ROW(Create_TC_Web!L298))),"")</f>
        <v/>
      </c>
      <c r="L298" t="str" cm="1">
        <f t="array" ref="L298">IFERROR(INDEX(Create_TC_Web!O$1:O$500,SMALL(IF(Create_TC_Web!$C$1:$C$500&lt;&gt;"",MATCH(ROW(Create_TC_Web!$C$1:$C$500),ROW(Create_TC_Web!$C$1:$C$500)),""),ROW(Create_TC_Web!M298))),"")</f>
        <v/>
      </c>
      <c r="M298" t="str" cm="1">
        <f t="array" ref="M298">IFERROR(INDEX(Create_TC_Web!P$1:P$500,SMALL(IF(Create_TC_Web!$C$1:$C$500&lt;&gt;"",MATCH(ROW(Create_TC_Web!$C$1:$C$500),ROW(Create_TC_Web!$C$1:$C$500)),""),ROW(Create_TC_Web!N298))),"")</f>
        <v/>
      </c>
      <c r="N298" t="str" cm="1">
        <f t="array" ref="N298">IFERROR(INDEX(Create_TC_Web!Q$1:Q$500,SMALL(IF(Create_TC_Web!$C$1:$C$500&lt;&gt;"",MATCH(ROW(Create_TC_Web!$C$1:$C$500),ROW(Create_TC_Web!$C$1:$C$500)),""),ROW(Create_TC_Web!O298))),"")</f>
        <v/>
      </c>
      <c r="O298" t="str">
        <f t="shared" si="15"/>
        <v/>
      </c>
      <c r="P298" s="17" t="str" cm="1">
        <f t="array" ref="P298">IFERROR(INDEX(Create_TC_Web!S$1:S$500,SMALL(IF(Create_TC_Web!$C$1:$C$500&lt;&gt;"",MATCH(ROW(Create_TC_Web!$C$1:$C$500),ROW(Create_TC_Web!$C$1:$C$500)),""),ROW(Create_TC_Web!Q276))),"")</f>
        <v/>
      </c>
      <c r="S298" t="str">
        <f t="shared" si="16"/>
        <v/>
      </c>
    </row>
    <row r="299" spans="1:19">
      <c r="A299" t="str" cm="1">
        <f t="array" ref="A299">IFERROR(INDEX(Create_TC_Web!D$1:D$500,SMALL(IF(Create_TC_Web!$C$1:$C$500&lt;&gt;"",MATCH(ROW(Create_TC_Web!$C$1:$C$500),ROW(Create_TC_Web!$C$1:$C$500)),""),ROW(Create_TC_Web!B299))),"")</f>
        <v/>
      </c>
      <c r="B299" t="str" cm="1">
        <f t="array" ref="B299">SUBSTITUTE(SUBSTITUTE(SUBSTITUTE(IFERROR(INDEX(Create_TC_Web!E$1:E$505,SMALL(IF(Create_TC_Web!$C$1:$C$505&lt;&gt;"",MATCH(ROW(Create_TC_Web!$C$1:$C$505),ROW(Create_TC_Web!$C$1:$C$505)),""),ROW(Create_TC_Web!C299))),"")," ",""),"-",""),"_","")</f>
        <v/>
      </c>
      <c r="C299" t="str" cm="1">
        <f t="array" ref="C299">IFERROR(INDEX(Create_TC_Web!F$1:F$500,SMALL(IF(Create_TC_Web!$C$1:$C$500&lt;&gt;"",MATCH(ROW(Create_TC_Web!$C$1:$C$500),ROW(Create_TC_Web!$C$1:$C$500)),""),ROW(Create_TC_Web!D299))),"")</f>
        <v/>
      </c>
      <c r="D299" t="str" cm="1">
        <f t="array" ref="D299">IFERROR(INDEX(Create_TC_Web!G$1:G$500,SMALL(IF(Create_TC_Web!$C$1:$C$500&lt;&gt;"",MATCH(ROW(Create_TC_Web!$C$1:$C$500),ROW(Create_TC_Web!$C$1:$C$500)),""),ROW(Create_TC_Web!E299))),"")</f>
        <v/>
      </c>
      <c r="E299" t="str" cm="1">
        <f t="array" ref="E299">IFERROR(INDEX(Create_TC_Web!H$1:H$500,SMALL(IF(Create_TC_Web!$C$1:$C$500&lt;&gt;"",MATCH(ROW(Create_TC_Web!$C$1:$C$500),ROW(Create_TC_Web!$C$1:$C$500)),""),ROW(Create_TC_Web!F299))),"")</f>
        <v/>
      </c>
      <c r="F299" t="str" cm="1">
        <f t="array" ref="F299">IFERROR(INDEX(Create_TC_Web!I$1:I$500,SMALL(IF(Create_TC_Web!$C$1:$C$500&lt;&gt;"",MATCH(ROW(Create_TC_Web!$C$1:$C$500),ROW(Create_TC_Web!$C$1:$C$500)),""),ROW(Create_TC_Web!G299))),"")</f>
        <v/>
      </c>
      <c r="G299" t="str" cm="1">
        <f t="array" ref="G299">IFERROR(INDEX(Create_TC_Web!J$1:J$500,SMALL(IF(Create_TC_Web!$C$1:$C$500&lt;&gt;"",MATCH(ROW(Create_TC_Web!$C$1:$C$500),ROW(Create_TC_Web!$C$1:$C$500)),""),ROW(Create_TC_Web!H299))),"")</f>
        <v/>
      </c>
      <c r="H299" t="str" cm="1">
        <f t="array" ref="H299">IFERROR(INDEX(Create_TC_Web!K$1:K$500,SMALL(IF(Create_TC_Web!$C$1:$C$500&lt;&gt;"",MATCH(ROW(Create_TC_Web!$C$1:$C$500),ROW(Create_TC_Web!$C$1:$C$500)),""),ROW(Create_TC_Web!I299))),"")</f>
        <v/>
      </c>
      <c r="I299" t="str" cm="1">
        <f t="array" ref="I299">IFERROR(INDEX(Create_TC_Web!L$1:L$500,SMALL(IF(Create_TC_Web!$C$1:$C$500&lt;&gt;"",MATCH(ROW(Create_TC_Web!$C$1:$C$500),ROW(Create_TC_Web!$C$1:$C$500)),""),ROW(Create_TC_Web!J299))),"")</f>
        <v/>
      </c>
      <c r="J299" t="str" cm="1">
        <f t="array" ref="J299">IFERROR(INDEX(Create_TC_Web!M$1:M$500,SMALL(IF(Create_TC_Web!$C$1:$C$500&lt;&gt;"",MATCH(ROW(Create_TC_Web!$C$1:$C$500),ROW(Create_TC_Web!$C$1:$C$500)),""),ROW(Create_TC_Web!K299))),"")</f>
        <v/>
      </c>
      <c r="K299" t="str" cm="1">
        <f t="array" ref="K299">IFERROR(INDEX(Create_TC_Web!N$1:N$500,SMALL(IF(Create_TC_Web!$C$1:$C$500&lt;&gt;"",MATCH(ROW(Create_TC_Web!$C$1:$C$500),ROW(Create_TC_Web!$C$1:$C$500)),""),ROW(Create_TC_Web!L299))),"")</f>
        <v/>
      </c>
      <c r="L299" t="str" cm="1">
        <f t="array" ref="L299">IFERROR(INDEX(Create_TC_Web!O$1:O$500,SMALL(IF(Create_TC_Web!$C$1:$C$500&lt;&gt;"",MATCH(ROW(Create_TC_Web!$C$1:$C$500),ROW(Create_TC_Web!$C$1:$C$500)),""),ROW(Create_TC_Web!M299))),"")</f>
        <v/>
      </c>
      <c r="M299" t="str" cm="1">
        <f t="array" ref="M299">IFERROR(INDEX(Create_TC_Web!P$1:P$500,SMALL(IF(Create_TC_Web!$C$1:$C$500&lt;&gt;"",MATCH(ROW(Create_TC_Web!$C$1:$C$500),ROW(Create_TC_Web!$C$1:$C$500)),""),ROW(Create_TC_Web!N299))),"")</f>
        <v/>
      </c>
      <c r="N299" t="str" cm="1">
        <f t="array" ref="N299">IFERROR(INDEX(Create_TC_Web!Q$1:Q$500,SMALL(IF(Create_TC_Web!$C$1:$C$500&lt;&gt;"",MATCH(ROW(Create_TC_Web!$C$1:$C$500),ROW(Create_TC_Web!$C$1:$C$500)),""),ROW(Create_TC_Web!O299))),"")</f>
        <v/>
      </c>
      <c r="O299" t="str">
        <f t="shared" si="15"/>
        <v/>
      </c>
      <c r="P299" s="17" t="str" cm="1">
        <f t="array" ref="P299">IFERROR(INDEX(Create_TC_Web!S$1:S$500,SMALL(IF(Create_TC_Web!$C$1:$C$500&lt;&gt;"",MATCH(ROW(Create_TC_Web!$C$1:$C$500),ROW(Create_TC_Web!$C$1:$C$500)),""),ROW(Create_TC_Web!Q277))),"")</f>
        <v/>
      </c>
      <c r="S299" t="str">
        <f t="shared" si="16"/>
        <v/>
      </c>
    </row>
    <row r="300" spans="1:19">
      <c r="A300" t="str" cm="1">
        <f t="array" ref="A300">IFERROR(INDEX(Create_TC_Web!D$1:D$500,SMALL(IF(Create_TC_Web!$C$1:$C$500&lt;&gt;"",MATCH(ROW(Create_TC_Web!$C$1:$C$500),ROW(Create_TC_Web!$C$1:$C$500)),""),ROW(Create_TC_Web!B300))),"")</f>
        <v/>
      </c>
      <c r="B300" t="str" cm="1">
        <f t="array" ref="B300">SUBSTITUTE(SUBSTITUTE(SUBSTITUTE(IFERROR(INDEX(Create_TC_Web!E$1:E$505,SMALL(IF(Create_TC_Web!$C$1:$C$505&lt;&gt;"",MATCH(ROW(Create_TC_Web!$C$1:$C$505),ROW(Create_TC_Web!$C$1:$C$505)),""),ROW(Create_TC_Web!C300))),"")," ",""),"-",""),"_","")</f>
        <v/>
      </c>
      <c r="C300" t="str" cm="1">
        <f t="array" ref="C300">IFERROR(INDEX(Create_TC_Web!F$1:F$500,SMALL(IF(Create_TC_Web!$C$1:$C$500&lt;&gt;"",MATCH(ROW(Create_TC_Web!$C$1:$C$500),ROW(Create_TC_Web!$C$1:$C$500)),""),ROW(Create_TC_Web!D300))),"")</f>
        <v/>
      </c>
      <c r="D300" t="str" cm="1">
        <f t="array" ref="D300">IFERROR(INDEX(Create_TC_Web!G$1:G$500,SMALL(IF(Create_TC_Web!$C$1:$C$500&lt;&gt;"",MATCH(ROW(Create_TC_Web!$C$1:$C$500),ROW(Create_TC_Web!$C$1:$C$500)),""),ROW(Create_TC_Web!E300))),"")</f>
        <v/>
      </c>
      <c r="E300" t="str" cm="1">
        <f t="array" ref="E300">IFERROR(INDEX(Create_TC_Web!H$1:H$500,SMALL(IF(Create_TC_Web!$C$1:$C$500&lt;&gt;"",MATCH(ROW(Create_TC_Web!$C$1:$C$500),ROW(Create_TC_Web!$C$1:$C$500)),""),ROW(Create_TC_Web!F300))),"")</f>
        <v/>
      </c>
      <c r="F300" t="str" cm="1">
        <f t="array" ref="F300">IFERROR(INDEX(Create_TC_Web!I$1:I$500,SMALL(IF(Create_TC_Web!$C$1:$C$500&lt;&gt;"",MATCH(ROW(Create_TC_Web!$C$1:$C$500),ROW(Create_TC_Web!$C$1:$C$500)),""),ROW(Create_TC_Web!G300))),"")</f>
        <v/>
      </c>
      <c r="G300" t="str" cm="1">
        <f t="array" ref="G300">IFERROR(INDEX(Create_TC_Web!J$1:J$500,SMALL(IF(Create_TC_Web!$C$1:$C$500&lt;&gt;"",MATCH(ROW(Create_TC_Web!$C$1:$C$500),ROW(Create_TC_Web!$C$1:$C$500)),""),ROW(Create_TC_Web!H300))),"")</f>
        <v/>
      </c>
      <c r="H300" t="str" cm="1">
        <f t="array" ref="H300">IFERROR(INDEX(Create_TC_Web!K$1:K$500,SMALL(IF(Create_TC_Web!$C$1:$C$500&lt;&gt;"",MATCH(ROW(Create_TC_Web!$C$1:$C$500),ROW(Create_TC_Web!$C$1:$C$500)),""),ROW(Create_TC_Web!I300))),"")</f>
        <v/>
      </c>
      <c r="I300" t="str" cm="1">
        <f t="array" ref="I300">IFERROR(INDEX(Create_TC_Web!L$1:L$500,SMALL(IF(Create_TC_Web!$C$1:$C$500&lt;&gt;"",MATCH(ROW(Create_TC_Web!$C$1:$C$500),ROW(Create_TC_Web!$C$1:$C$500)),""),ROW(Create_TC_Web!J300))),"")</f>
        <v/>
      </c>
      <c r="J300" t="str" cm="1">
        <f t="array" ref="J300">IFERROR(INDEX(Create_TC_Web!M$1:M$500,SMALL(IF(Create_TC_Web!$C$1:$C$500&lt;&gt;"",MATCH(ROW(Create_TC_Web!$C$1:$C$500),ROW(Create_TC_Web!$C$1:$C$500)),""),ROW(Create_TC_Web!K300))),"")</f>
        <v/>
      </c>
      <c r="K300" t="str" cm="1">
        <f t="array" ref="K300">IFERROR(INDEX(Create_TC_Web!N$1:N$500,SMALL(IF(Create_TC_Web!$C$1:$C$500&lt;&gt;"",MATCH(ROW(Create_TC_Web!$C$1:$C$500),ROW(Create_TC_Web!$C$1:$C$500)),""),ROW(Create_TC_Web!L300))),"")</f>
        <v/>
      </c>
      <c r="L300" t="str" cm="1">
        <f t="array" ref="L300">IFERROR(INDEX(Create_TC_Web!O$1:O$500,SMALL(IF(Create_TC_Web!$C$1:$C$500&lt;&gt;"",MATCH(ROW(Create_TC_Web!$C$1:$C$500),ROW(Create_TC_Web!$C$1:$C$500)),""),ROW(Create_TC_Web!M300))),"")</f>
        <v/>
      </c>
      <c r="M300" t="str" cm="1">
        <f t="array" ref="M300">IFERROR(INDEX(Create_TC_Web!P$1:P$500,SMALL(IF(Create_TC_Web!$C$1:$C$500&lt;&gt;"",MATCH(ROW(Create_TC_Web!$C$1:$C$500),ROW(Create_TC_Web!$C$1:$C$500)),""),ROW(Create_TC_Web!N300))),"")</f>
        <v/>
      </c>
      <c r="N300" t="str" cm="1">
        <f t="array" ref="N300">IFERROR(INDEX(Create_TC_Web!Q$1:Q$500,SMALL(IF(Create_TC_Web!$C$1:$C$500&lt;&gt;"",MATCH(ROW(Create_TC_Web!$C$1:$C$500),ROW(Create_TC_Web!$C$1:$C$500)),""),ROW(Create_TC_Web!O300))),"")</f>
        <v/>
      </c>
      <c r="O300" t="str">
        <f t="shared" si="15"/>
        <v/>
      </c>
      <c r="P300" s="17" t="str" cm="1">
        <f t="array" ref="P300">IFERROR(INDEX(Create_TC_Web!S$1:S$500,SMALL(IF(Create_TC_Web!$C$1:$C$500&lt;&gt;"",MATCH(ROW(Create_TC_Web!$C$1:$C$500),ROW(Create_TC_Web!$C$1:$C$500)),""),ROW(Create_TC_Web!Q278))),"")</f>
        <v/>
      </c>
      <c r="S300" t="str">
        <f t="shared" si="16"/>
        <v/>
      </c>
    </row>
    <row r="301" spans="1:19">
      <c r="A301" t="str" cm="1">
        <f t="array" ref="A301">IFERROR(INDEX(Create_TC_Web!D$1:D$500,SMALL(IF(Create_TC_Web!$C$1:$C$500&lt;&gt;"",MATCH(ROW(Create_TC_Web!$C$1:$C$500),ROW(Create_TC_Web!$C$1:$C$500)),""),ROW(Create_TC_Web!B301))),"")</f>
        <v/>
      </c>
      <c r="B301" t="str" cm="1">
        <f t="array" ref="B301">SUBSTITUTE(SUBSTITUTE(SUBSTITUTE(IFERROR(INDEX(Create_TC_Web!E$1:E$505,SMALL(IF(Create_TC_Web!$C$1:$C$505&lt;&gt;"",MATCH(ROW(Create_TC_Web!$C$1:$C$505),ROW(Create_TC_Web!$C$1:$C$505)),""),ROW(Create_TC_Web!C301))),"")," ",""),"-",""),"_","")</f>
        <v/>
      </c>
      <c r="C301" t="str" cm="1">
        <f t="array" ref="C301">IFERROR(INDEX(Create_TC_Web!F$1:F$500,SMALL(IF(Create_TC_Web!$C$1:$C$500&lt;&gt;"",MATCH(ROW(Create_TC_Web!$C$1:$C$500),ROW(Create_TC_Web!$C$1:$C$500)),""),ROW(Create_TC_Web!D301))),"")</f>
        <v/>
      </c>
      <c r="D301" t="str" cm="1">
        <f t="array" ref="D301">IFERROR(INDEX(Create_TC_Web!G$1:G$500,SMALL(IF(Create_TC_Web!$C$1:$C$500&lt;&gt;"",MATCH(ROW(Create_TC_Web!$C$1:$C$500),ROW(Create_TC_Web!$C$1:$C$500)),""),ROW(Create_TC_Web!E301))),"")</f>
        <v/>
      </c>
      <c r="E301" t="str" cm="1">
        <f t="array" ref="E301">IFERROR(INDEX(Create_TC_Web!H$1:H$500,SMALL(IF(Create_TC_Web!$C$1:$C$500&lt;&gt;"",MATCH(ROW(Create_TC_Web!$C$1:$C$500),ROW(Create_TC_Web!$C$1:$C$500)),""),ROW(Create_TC_Web!F301))),"")</f>
        <v/>
      </c>
      <c r="F301" t="str" cm="1">
        <f t="array" ref="F301">IFERROR(INDEX(Create_TC_Web!I$1:I$500,SMALL(IF(Create_TC_Web!$C$1:$C$500&lt;&gt;"",MATCH(ROW(Create_TC_Web!$C$1:$C$500),ROW(Create_TC_Web!$C$1:$C$500)),""),ROW(Create_TC_Web!G301))),"")</f>
        <v/>
      </c>
      <c r="G301" t="str" cm="1">
        <f t="array" ref="G301">IFERROR(INDEX(Create_TC_Web!J$1:J$500,SMALL(IF(Create_TC_Web!$C$1:$C$500&lt;&gt;"",MATCH(ROW(Create_TC_Web!$C$1:$C$500),ROW(Create_TC_Web!$C$1:$C$500)),""),ROW(Create_TC_Web!H301))),"")</f>
        <v/>
      </c>
      <c r="H301" t="str" cm="1">
        <f t="array" ref="H301">IFERROR(INDEX(Create_TC_Web!K$1:K$500,SMALL(IF(Create_TC_Web!$C$1:$C$500&lt;&gt;"",MATCH(ROW(Create_TC_Web!$C$1:$C$500),ROW(Create_TC_Web!$C$1:$C$500)),""),ROW(Create_TC_Web!I301))),"")</f>
        <v/>
      </c>
      <c r="I301" t="str" cm="1">
        <f t="array" ref="I301">IFERROR(INDEX(Create_TC_Web!L$1:L$500,SMALL(IF(Create_TC_Web!$C$1:$C$500&lt;&gt;"",MATCH(ROW(Create_TC_Web!$C$1:$C$500),ROW(Create_TC_Web!$C$1:$C$500)),""),ROW(Create_TC_Web!J301))),"")</f>
        <v/>
      </c>
      <c r="J301" t="str" cm="1">
        <f t="array" ref="J301">IFERROR(INDEX(Create_TC_Web!M$1:M$500,SMALL(IF(Create_TC_Web!$C$1:$C$500&lt;&gt;"",MATCH(ROW(Create_TC_Web!$C$1:$C$500),ROW(Create_TC_Web!$C$1:$C$500)),""),ROW(Create_TC_Web!K301))),"")</f>
        <v/>
      </c>
      <c r="K301" t="str" cm="1">
        <f t="array" ref="K301">IFERROR(INDEX(Create_TC_Web!N$1:N$500,SMALL(IF(Create_TC_Web!$C$1:$C$500&lt;&gt;"",MATCH(ROW(Create_TC_Web!$C$1:$C$500),ROW(Create_TC_Web!$C$1:$C$500)),""),ROW(Create_TC_Web!L301))),"")</f>
        <v/>
      </c>
      <c r="L301" t="str" cm="1">
        <f t="array" ref="L301">IFERROR(INDEX(Create_TC_Web!O$1:O$500,SMALL(IF(Create_TC_Web!$C$1:$C$500&lt;&gt;"",MATCH(ROW(Create_TC_Web!$C$1:$C$500),ROW(Create_TC_Web!$C$1:$C$500)),""),ROW(Create_TC_Web!M301))),"")</f>
        <v/>
      </c>
      <c r="M301" t="str" cm="1">
        <f t="array" ref="M301">IFERROR(INDEX(Create_TC_Web!P$1:P$500,SMALL(IF(Create_TC_Web!$C$1:$C$500&lt;&gt;"",MATCH(ROW(Create_TC_Web!$C$1:$C$500),ROW(Create_TC_Web!$C$1:$C$500)),""),ROW(Create_TC_Web!N301))),"")</f>
        <v/>
      </c>
      <c r="N301" t="str" cm="1">
        <f t="array" ref="N301">IFERROR(INDEX(Create_TC_Web!Q$1:Q$500,SMALL(IF(Create_TC_Web!$C$1:$C$500&lt;&gt;"",MATCH(ROW(Create_TC_Web!$C$1:$C$500),ROW(Create_TC_Web!$C$1:$C$500)),""),ROW(Create_TC_Web!O301))),"")</f>
        <v/>
      </c>
      <c r="O301" t="str">
        <f t="shared" si="15"/>
        <v/>
      </c>
      <c r="P301" s="17" t="str" cm="1">
        <f t="array" ref="P301">IFERROR(INDEX(Create_TC_Web!S$1:S$500,SMALL(IF(Create_TC_Web!$C$1:$C$500&lt;&gt;"",MATCH(ROW(Create_TC_Web!$C$1:$C$500),ROW(Create_TC_Web!$C$1:$C$500)),""),ROW(Create_TC_Web!Q279))),"")</f>
        <v/>
      </c>
      <c r="S301" t="str">
        <f t="shared" si="16"/>
        <v/>
      </c>
    </row>
    <row r="302" spans="1:19">
      <c r="A302" t="str" cm="1">
        <f t="array" ref="A302">IFERROR(INDEX(Create_TC_Web!D$1:D$500,SMALL(IF(Create_TC_Web!$C$1:$C$500&lt;&gt;"",MATCH(ROW(Create_TC_Web!$C$1:$C$500),ROW(Create_TC_Web!$C$1:$C$500)),""),ROW(Create_TC_Web!B302))),"")</f>
        <v/>
      </c>
      <c r="B302" t="str" cm="1">
        <f t="array" ref="B302">SUBSTITUTE(SUBSTITUTE(SUBSTITUTE(IFERROR(INDEX(Create_TC_Web!E$1:E$505,SMALL(IF(Create_TC_Web!$C$1:$C$505&lt;&gt;"",MATCH(ROW(Create_TC_Web!$C$1:$C$505),ROW(Create_TC_Web!$C$1:$C$505)),""),ROW(Create_TC_Web!C302))),"")," ",""),"-",""),"_","")</f>
        <v/>
      </c>
      <c r="C302" t="str" cm="1">
        <f t="array" ref="C302">IFERROR(INDEX(Create_TC_Web!F$1:F$500,SMALL(IF(Create_TC_Web!$C$1:$C$500&lt;&gt;"",MATCH(ROW(Create_TC_Web!$C$1:$C$500),ROW(Create_TC_Web!$C$1:$C$500)),""),ROW(Create_TC_Web!D302))),"")</f>
        <v/>
      </c>
      <c r="D302" t="str" cm="1">
        <f t="array" ref="D302">IFERROR(INDEX(Create_TC_Web!G$1:G$500,SMALL(IF(Create_TC_Web!$C$1:$C$500&lt;&gt;"",MATCH(ROW(Create_TC_Web!$C$1:$C$500),ROW(Create_TC_Web!$C$1:$C$500)),""),ROW(Create_TC_Web!E302))),"")</f>
        <v/>
      </c>
      <c r="E302" t="str" cm="1">
        <f t="array" ref="E302">IFERROR(INDEX(Create_TC_Web!H$1:H$500,SMALL(IF(Create_TC_Web!$C$1:$C$500&lt;&gt;"",MATCH(ROW(Create_TC_Web!$C$1:$C$500),ROW(Create_TC_Web!$C$1:$C$500)),""),ROW(Create_TC_Web!F302))),"")</f>
        <v/>
      </c>
      <c r="F302" t="str" cm="1">
        <f t="array" ref="F302">IFERROR(INDEX(Create_TC_Web!I$1:I$500,SMALL(IF(Create_TC_Web!$C$1:$C$500&lt;&gt;"",MATCH(ROW(Create_TC_Web!$C$1:$C$500),ROW(Create_TC_Web!$C$1:$C$500)),""),ROW(Create_TC_Web!G302))),"")</f>
        <v/>
      </c>
      <c r="G302" t="str" cm="1">
        <f t="array" ref="G302">IFERROR(INDEX(Create_TC_Web!J$1:J$500,SMALL(IF(Create_TC_Web!$C$1:$C$500&lt;&gt;"",MATCH(ROW(Create_TC_Web!$C$1:$C$500),ROW(Create_TC_Web!$C$1:$C$500)),""),ROW(Create_TC_Web!H302))),"")</f>
        <v/>
      </c>
      <c r="H302" t="str" cm="1">
        <f t="array" ref="H302">IFERROR(INDEX(Create_TC_Web!K$1:K$500,SMALL(IF(Create_TC_Web!$C$1:$C$500&lt;&gt;"",MATCH(ROW(Create_TC_Web!$C$1:$C$500),ROW(Create_TC_Web!$C$1:$C$500)),""),ROW(Create_TC_Web!I302))),"")</f>
        <v/>
      </c>
      <c r="I302" t="str" cm="1">
        <f t="array" ref="I302">IFERROR(INDEX(Create_TC_Web!L$1:L$500,SMALL(IF(Create_TC_Web!$C$1:$C$500&lt;&gt;"",MATCH(ROW(Create_TC_Web!$C$1:$C$500),ROW(Create_TC_Web!$C$1:$C$500)),""),ROW(Create_TC_Web!J302))),"")</f>
        <v/>
      </c>
      <c r="J302" t="str" cm="1">
        <f t="array" ref="J302">IFERROR(INDEX(Create_TC_Web!M$1:M$500,SMALL(IF(Create_TC_Web!$C$1:$C$500&lt;&gt;"",MATCH(ROW(Create_TC_Web!$C$1:$C$500),ROW(Create_TC_Web!$C$1:$C$500)),""),ROW(Create_TC_Web!K302))),"")</f>
        <v/>
      </c>
      <c r="K302" t="str" cm="1">
        <f t="array" ref="K302">IFERROR(INDEX(Create_TC_Web!N$1:N$500,SMALL(IF(Create_TC_Web!$C$1:$C$500&lt;&gt;"",MATCH(ROW(Create_TC_Web!$C$1:$C$500),ROW(Create_TC_Web!$C$1:$C$500)),""),ROW(Create_TC_Web!L302))),"")</f>
        <v/>
      </c>
      <c r="L302" t="str" cm="1">
        <f t="array" ref="L302">IFERROR(INDEX(Create_TC_Web!O$1:O$500,SMALL(IF(Create_TC_Web!$C$1:$C$500&lt;&gt;"",MATCH(ROW(Create_TC_Web!$C$1:$C$500),ROW(Create_TC_Web!$C$1:$C$500)),""),ROW(Create_TC_Web!M302))),"")</f>
        <v/>
      </c>
      <c r="M302" t="str" cm="1">
        <f t="array" ref="M302">IFERROR(INDEX(Create_TC_Web!P$1:P$500,SMALL(IF(Create_TC_Web!$C$1:$C$500&lt;&gt;"",MATCH(ROW(Create_TC_Web!$C$1:$C$500),ROW(Create_TC_Web!$C$1:$C$500)),""),ROW(Create_TC_Web!N302))),"")</f>
        <v/>
      </c>
      <c r="N302" t="str" cm="1">
        <f t="array" ref="N302">IFERROR(INDEX(Create_TC_Web!Q$1:Q$500,SMALL(IF(Create_TC_Web!$C$1:$C$500&lt;&gt;"",MATCH(ROW(Create_TC_Web!$C$1:$C$500),ROW(Create_TC_Web!$C$1:$C$500)),""),ROW(Create_TC_Web!O302))),"")</f>
        <v/>
      </c>
      <c r="O302" t="str">
        <f t="shared" si="15"/>
        <v/>
      </c>
      <c r="P302" s="17" t="str" cm="1">
        <f t="array" ref="P302">IFERROR(INDEX(Create_TC_Web!S$1:S$500,SMALL(IF(Create_TC_Web!$C$1:$C$500&lt;&gt;"",MATCH(ROW(Create_TC_Web!$C$1:$C$500),ROW(Create_TC_Web!$C$1:$C$500)),""),ROW(Create_TC_Web!Q280))),"")</f>
        <v/>
      </c>
      <c r="S302" t="str">
        <f t="shared" si="16"/>
        <v/>
      </c>
    </row>
    <row r="303" spans="1:19">
      <c r="A303" t="str" cm="1">
        <f t="array" ref="A303">IFERROR(INDEX(Create_TC_Web!D$1:D$500,SMALL(IF(Create_TC_Web!$C$1:$C$500&lt;&gt;"",MATCH(ROW(Create_TC_Web!$C$1:$C$500),ROW(Create_TC_Web!$C$1:$C$500)),""),ROW(Create_TC_Web!B303))),"")</f>
        <v/>
      </c>
      <c r="B303" t="str" cm="1">
        <f t="array" ref="B303">SUBSTITUTE(SUBSTITUTE(SUBSTITUTE(IFERROR(INDEX(Create_TC_Web!E$1:E$505,SMALL(IF(Create_TC_Web!$C$1:$C$505&lt;&gt;"",MATCH(ROW(Create_TC_Web!$C$1:$C$505),ROW(Create_TC_Web!$C$1:$C$505)),""),ROW(Create_TC_Web!C303))),"")," ",""),"-",""),"_","")</f>
        <v/>
      </c>
      <c r="C303" t="str" cm="1">
        <f t="array" ref="C303">IFERROR(INDEX(Create_TC_Web!F$1:F$500,SMALL(IF(Create_TC_Web!$C$1:$C$500&lt;&gt;"",MATCH(ROW(Create_TC_Web!$C$1:$C$500),ROW(Create_TC_Web!$C$1:$C$500)),""),ROW(Create_TC_Web!D303))),"")</f>
        <v/>
      </c>
      <c r="D303" t="str" cm="1">
        <f t="array" ref="D303">IFERROR(INDEX(Create_TC_Web!G$1:G$500,SMALL(IF(Create_TC_Web!$C$1:$C$500&lt;&gt;"",MATCH(ROW(Create_TC_Web!$C$1:$C$500),ROW(Create_TC_Web!$C$1:$C$500)),""),ROW(Create_TC_Web!E303))),"")</f>
        <v/>
      </c>
      <c r="E303" t="str" cm="1">
        <f t="array" ref="E303">IFERROR(INDEX(Create_TC_Web!H$1:H$500,SMALL(IF(Create_TC_Web!$C$1:$C$500&lt;&gt;"",MATCH(ROW(Create_TC_Web!$C$1:$C$500),ROW(Create_TC_Web!$C$1:$C$500)),""),ROW(Create_TC_Web!F303))),"")</f>
        <v/>
      </c>
      <c r="F303" t="str" cm="1">
        <f t="array" ref="F303">IFERROR(INDEX(Create_TC_Web!I$1:I$500,SMALL(IF(Create_TC_Web!$C$1:$C$500&lt;&gt;"",MATCH(ROW(Create_TC_Web!$C$1:$C$500),ROW(Create_TC_Web!$C$1:$C$500)),""),ROW(Create_TC_Web!G303))),"")</f>
        <v/>
      </c>
      <c r="G303" t="str" cm="1">
        <f t="array" ref="G303">IFERROR(INDEX(Create_TC_Web!J$1:J$500,SMALL(IF(Create_TC_Web!$C$1:$C$500&lt;&gt;"",MATCH(ROW(Create_TC_Web!$C$1:$C$500),ROW(Create_TC_Web!$C$1:$C$500)),""),ROW(Create_TC_Web!H303))),"")</f>
        <v/>
      </c>
      <c r="H303" t="str" cm="1">
        <f t="array" ref="H303">IFERROR(INDEX(Create_TC_Web!K$1:K$500,SMALL(IF(Create_TC_Web!$C$1:$C$500&lt;&gt;"",MATCH(ROW(Create_TC_Web!$C$1:$C$500),ROW(Create_TC_Web!$C$1:$C$500)),""),ROW(Create_TC_Web!I303))),"")</f>
        <v/>
      </c>
      <c r="I303" t="str" cm="1">
        <f t="array" ref="I303">IFERROR(INDEX(Create_TC_Web!L$1:L$500,SMALL(IF(Create_TC_Web!$C$1:$C$500&lt;&gt;"",MATCH(ROW(Create_TC_Web!$C$1:$C$500),ROW(Create_TC_Web!$C$1:$C$500)),""),ROW(Create_TC_Web!J303))),"")</f>
        <v/>
      </c>
      <c r="J303" t="str" cm="1">
        <f t="array" ref="J303">IFERROR(INDEX(Create_TC_Web!M$1:M$500,SMALL(IF(Create_TC_Web!$C$1:$C$500&lt;&gt;"",MATCH(ROW(Create_TC_Web!$C$1:$C$500),ROW(Create_TC_Web!$C$1:$C$500)),""),ROW(Create_TC_Web!K303))),"")</f>
        <v/>
      </c>
      <c r="K303" t="str" cm="1">
        <f t="array" ref="K303">IFERROR(INDEX(Create_TC_Web!N$1:N$500,SMALL(IF(Create_TC_Web!$C$1:$C$500&lt;&gt;"",MATCH(ROW(Create_TC_Web!$C$1:$C$500),ROW(Create_TC_Web!$C$1:$C$500)),""),ROW(Create_TC_Web!L303))),"")</f>
        <v/>
      </c>
      <c r="L303" t="str" cm="1">
        <f t="array" ref="L303">IFERROR(INDEX(Create_TC_Web!O$1:O$500,SMALL(IF(Create_TC_Web!$C$1:$C$500&lt;&gt;"",MATCH(ROW(Create_TC_Web!$C$1:$C$500),ROW(Create_TC_Web!$C$1:$C$500)),""),ROW(Create_TC_Web!M303))),"")</f>
        <v/>
      </c>
      <c r="M303" t="str" cm="1">
        <f t="array" ref="M303">IFERROR(INDEX(Create_TC_Web!P$1:P$500,SMALL(IF(Create_TC_Web!$C$1:$C$500&lt;&gt;"",MATCH(ROW(Create_TC_Web!$C$1:$C$500),ROW(Create_TC_Web!$C$1:$C$500)),""),ROW(Create_TC_Web!N303))),"")</f>
        <v/>
      </c>
      <c r="N303" t="str" cm="1">
        <f t="array" ref="N303">IFERROR(INDEX(Create_TC_Web!Q$1:Q$500,SMALL(IF(Create_TC_Web!$C$1:$C$500&lt;&gt;"",MATCH(ROW(Create_TC_Web!$C$1:$C$500),ROW(Create_TC_Web!$C$1:$C$500)),""),ROW(Create_TC_Web!O303))),"")</f>
        <v/>
      </c>
      <c r="O303" t="str">
        <f t="shared" si="15"/>
        <v/>
      </c>
      <c r="P303" s="17" t="str" cm="1">
        <f t="array" ref="P303">IFERROR(INDEX(Create_TC_Web!S$1:S$500,SMALL(IF(Create_TC_Web!$C$1:$C$500&lt;&gt;"",MATCH(ROW(Create_TC_Web!$C$1:$C$500),ROW(Create_TC_Web!$C$1:$C$500)),""),ROW(Create_TC_Web!Q281))),"")</f>
        <v/>
      </c>
      <c r="S303" t="str">
        <f t="shared" si="16"/>
        <v/>
      </c>
    </row>
    <row r="304" spans="1:19">
      <c r="A304" t="str" cm="1">
        <f t="array" ref="A304">IFERROR(INDEX(Create_TC_Web!D$1:D$500,SMALL(IF(Create_TC_Web!$C$1:$C$500&lt;&gt;"",MATCH(ROW(Create_TC_Web!$C$1:$C$500),ROW(Create_TC_Web!$C$1:$C$500)),""),ROW(Create_TC_Web!B304))),"")</f>
        <v/>
      </c>
      <c r="B304" t="str" cm="1">
        <f t="array" ref="B304">SUBSTITUTE(SUBSTITUTE(SUBSTITUTE(IFERROR(INDEX(Create_TC_Web!E$1:E$505,SMALL(IF(Create_TC_Web!$C$1:$C$505&lt;&gt;"",MATCH(ROW(Create_TC_Web!$C$1:$C$505),ROW(Create_TC_Web!$C$1:$C$505)),""),ROW(Create_TC_Web!C304))),"")," ",""),"-",""),"_","")</f>
        <v/>
      </c>
      <c r="C304" t="str" cm="1">
        <f t="array" ref="C304">IFERROR(INDEX(Create_TC_Web!F$1:F$500,SMALL(IF(Create_TC_Web!$C$1:$C$500&lt;&gt;"",MATCH(ROW(Create_TC_Web!$C$1:$C$500),ROW(Create_TC_Web!$C$1:$C$500)),""),ROW(Create_TC_Web!D304))),"")</f>
        <v/>
      </c>
      <c r="D304" t="str" cm="1">
        <f t="array" ref="D304">IFERROR(INDEX(Create_TC_Web!G$1:G$500,SMALL(IF(Create_TC_Web!$C$1:$C$500&lt;&gt;"",MATCH(ROW(Create_TC_Web!$C$1:$C$500),ROW(Create_TC_Web!$C$1:$C$500)),""),ROW(Create_TC_Web!E304))),"")</f>
        <v/>
      </c>
      <c r="E304" t="str" cm="1">
        <f t="array" ref="E304">IFERROR(INDEX(Create_TC_Web!H$1:H$500,SMALL(IF(Create_TC_Web!$C$1:$C$500&lt;&gt;"",MATCH(ROW(Create_TC_Web!$C$1:$C$500),ROW(Create_TC_Web!$C$1:$C$500)),""),ROW(Create_TC_Web!F304))),"")</f>
        <v/>
      </c>
      <c r="F304" t="str" cm="1">
        <f t="array" ref="F304">IFERROR(INDEX(Create_TC_Web!I$1:I$500,SMALL(IF(Create_TC_Web!$C$1:$C$500&lt;&gt;"",MATCH(ROW(Create_TC_Web!$C$1:$C$500),ROW(Create_TC_Web!$C$1:$C$500)),""),ROW(Create_TC_Web!G304))),"")</f>
        <v/>
      </c>
      <c r="G304" t="str" cm="1">
        <f t="array" ref="G304">IFERROR(INDEX(Create_TC_Web!J$1:J$500,SMALL(IF(Create_TC_Web!$C$1:$C$500&lt;&gt;"",MATCH(ROW(Create_TC_Web!$C$1:$C$500),ROW(Create_TC_Web!$C$1:$C$500)),""),ROW(Create_TC_Web!H304))),"")</f>
        <v/>
      </c>
      <c r="H304" t="str" cm="1">
        <f t="array" ref="H304">IFERROR(INDEX(Create_TC_Web!K$1:K$500,SMALL(IF(Create_TC_Web!$C$1:$C$500&lt;&gt;"",MATCH(ROW(Create_TC_Web!$C$1:$C$500),ROW(Create_TC_Web!$C$1:$C$500)),""),ROW(Create_TC_Web!I304))),"")</f>
        <v/>
      </c>
      <c r="I304" t="str" cm="1">
        <f t="array" ref="I304">IFERROR(INDEX(Create_TC_Web!L$1:L$500,SMALL(IF(Create_TC_Web!$C$1:$C$500&lt;&gt;"",MATCH(ROW(Create_TC_Web!$C$1:$C$500),ROW(Create_TC_Web!$C$1:$C$500)),""),ROW(Create_TC_Web!J304))),"")</f>
        <v/>
      </c>
      <c r="J304" t="str" cm="1">
        <f t="array" ref="J304">IFERROR(INDEX(Create_TC_Web!M$1:M$500,SMALL(IF(Create_TC_Web!$C$1:$C$500&lt;&gt;"",MATCH(ROW(Create_TC_Web!$C$1:$C$500),ROW(Create_TC_Web!$C$1:$C$500)),""),ROW(Create_TC_Web!K304))),"")</f>
        <v/>
      </c>
      <c r="K304" t="str" cm="1">
        <f t="array" ref="K304">IFERROR(INDEX(Create_TC_Web!N$1:N$500,SMALL(IF(Create_TC_Web!$C$1:$C$500&lt;&gt;"",MATCH(ROW(Create_TC_Web!$C$1:$C$500),ROW(Create_TC_Web!$C$1:$C$500)),""),ROW(Create_TC_Web!L304))),"")</f>
        <v/>
      </c>
      <c r="L304" t="str" cm="1">
        <f t="array" ref="L304">IFERROR(INDEX(Create_TC_Web!O$1:O$500,SMALL(IF(Create_TC_Web!$C$1:$C$500&lt;&gt;"",MATCH(ROW(Create_TC_Web!$C$1:$C$500),ROW(Create_TC_Web!$C$1:$C$500)),""),ROW(Create_TC_Web!M304))),"")</f>
        <v/>
      </c>
      <c r="M304" t="str" cm="1">
        <f t="array" ref="M304">IFERROR(INDEX(Create_TC_Web!P$1:P$500,SMALL(IF(Create_TC_Web!$C$1:$C$500&lt;&gt;"",MATCH(ROW(Create_TC_Web!$C$1:$C$500),ROW(Create_TC_Web!$C$1:$C$500)),""),ROW(Create_TC_Web!N304))),"")</f>
        <v/>
      </c>
      <c r="N304" t="str" cm="1">
        <f t="array" ref="N304">IFERROR(INDEX(Create_TC_Web!Q$1:Q$500,SMALL(IF(Create_TC_Web!$C$1:$C$500&lt;&gt;"",MATCH(ROW(Create_TC_Web!$C$1:$C$500),ROW(Create_TC_Web!$C$1:$C$500)),""),ROW(Create_TC_Web!O304))),"")</f>
        <v/>
      </c>
      <c r="O304" t="str">
        <f t="shared" si="15"/>
        <v/>
      </c>
      <c r="P304" s="17" t="str" cm="1">
        <f t="array" ref="P304">IFERROR(INDEX(Create_TC_Web!S$1:S$500,SMALL(IF(Create_TC_Web!$C$1:$C$500&lt;&gt;"",MATCH(ROW(Create_TC_Web!$C$1:$C$500),ROW(Create_TC_Web!$C$1:$C$500)),""),ROW(Create_TC_Web!Q282))),"")</f>
        <v/>
      </c>
      <c r="S304" t="str">
        <f t="shared" si="16"/>
        <v/>
      </c>
    </row>
    <row r="305" spans="1:19">
      <c r="A305" t="str" cm="1">
        <f t="array" ref="A305">IFERROR(INDEX(Create_TC_Web!D$1:D$500,SMALL(IF(Create_TC_Web!$C$1:$C$500&lt;&gt;"",MATCH(ROW(Create_TC_Web!$C$1:$C$500),ROW(Create_TC_Web!$C$1:$C$500)),""),ROW(Create_TC_Web!B305))),"")</f>
        <v/>
      </c>
      <c r="B305" t="str" cm="1">
        <f t="array" ref="B305">SUBSTITUTE(SUBSTITUTE(SUBSTITUTE(IFERROR(INDEX(Create_TC_Web!E$1:E$505,SMALL(IF(Create_TC_Web!$C$1:$C$505&lt;&gt;"",MATCH(ROW(Create_TC_Web!$C$1:$C$505),ROW(Create_TC_Web!$C$1:$C$505)),""),ROW(Create_TC_Web!C305))),"")," ",""),"-",""),"_","")</f>
        <v/>
      </c>
      <c r="C305" t="str" cm="1">
        <f t="array" ref="C305">IFERROR(INDEX(Create_TC_Web!F$1:F$500,SMALL(IF(Create_TC_Web!$C$1:$C$500&lt;&gt;"",MATCH(ROW(Create_TC_Web!$C$1:$C$500),ROW(Create_TC_Web!$C$1:$C$500)),""),ROW(Create_TC_Web!D305))),"")</f>
        <v/>
      </c>
      <c r="D305" t="str" cm="1">
        <f t="array" ref="D305">IFERROR(INDEX(Create_TC_Web!G$1:G$500,SMALL(IF(Create_TC_Web!$C$1:$C$500&lt;&gt;"",MATCH(ROW(Create_TC_Web!$C$1:$C$500),ROW(Create_TC_Web!$C$1:$C$500)),""),ROW(Create_TC_Web!E305))),"")</f>
        <v/>
      </c>
      <c r="E305" t="str" cm="1">
        <f t="array" ref="E305">IFERROR(INDEX(Create_TC_Web!H$1:H$500,SMALL(IF(Create_TC_Web!$C$1:$C$500&lt;&gt;"",MATCH(ROW(Create_TC_Web!$C$1:$C$500),ROW(Create_TC_Web!$C$1:$C$500)),""),ROW(Create_TC_Web!F305))),"")</f>
        <v/>
      </c>
      <c r="F305" t="str" cm="1">
        <f t="array" ref="F305">IFERROR(INDEX(Create_TC_Web!I$1:I$500,SMALL(IF(Create_TC_Web!$C$1:$C$500&lt;&gt;"",MATCH(ROW(Create_TC_Web!$C$1:$C$500),ROW(Create_TC_Web!$C$1:$C$500)),""),ROW(Create_TC_Web!G305))),"")</f>
        <v/>
      </c>
      <c r="G305" t="str" cm="1">
        <f t="array" ref="G305">IFERROR(INDEX(Create_TC_Web!J$1:J$500,SMALL(IF(Create_TC_Web!$C$1:$C$500&lt;&gt;"",MATCH(ROW(Create_TC_Web!$C$1:$C$500),ROW(Create_TC_Web!$C$1:$C$500)),""),ROW(Create_TC_Web!H305))),"")</f>
        <v/>
      </c>
      <c r="H305" t="str" cm="1">
        <f t="array" ref="H305">IFERROR(INDEX(Create_TC_Web!K$1:K$500,SMALL(IF(Create_TC_Web!$C$1:$C$500&lt;&gt;"",MATCH(ROW(Create_TC_Web!$C$1:$C$500),ROW(Create_TC_Web!$C$1:$C$500)),""),ROW(Create_TC_Web!I305))),"")</f>
        <v/>
      </c>
      <c r="I305" t="str" cm="1">
        <f t="array" ref="I305">IFERROR(INDEX(Create_TC_Web!L$1:L$500,SMALL(IF(Create_TC_Web!$C$1:$C$500&lt;&gt;"",MATCH(ROW(Create_TC_Web!$C$1:$C$500),ROW(Create_TC_Web!$C$1:$C$500)),""),ROW(Create_TC_Web!J305))),"")</f>
        <v/>
      </c>
      <c r="J305" t="str" cm="1">
        <f t="array" ref="J305">IFERROR(INDEX(Create_TC_Web!M$1:M$500,SMALL(IF(Create_TC_Web!$C$1:$C$500&lt;&gt;"",MATCH(ROW(Create_TC_Web!$C$1:$C$500),ROW(Create_TC_Web!$C$1:$C$500)),""),ROW(Create_TC_Web!K305))),"")</f>
        <v/>
      </c>
      <c r="K305" t="str" cm="1">
        <f t="array" ref="K305">IFERROR(INDEX(Create_TC_Web!N$1:N$500,SMALL(IF(Create_TC_Web!$C$1:$C$500&lt;&gt;"",MATCH(ROW(Create_TC_Web!$C$1:$C$500),ROW(Create_TC_Web!$C$1:$C$500)),""),ROW(Create_TC_Web!L305))),"")</f>
        <v/>
      </c>
      <c r="L305" t="str" cm="1">
        <f t="array" ref="L305">IFERROR(INDEX(Create_TC_Web!O$1:O$500,SMALL(IF(Create_TC_Web!$C$1:$C$500&lt;&gt;"",MATCH(ROW(Create_TC_Web!$C$1:$C$500),ROW(Create_TC_Web!$C$1:$C$500)),""),ROW(Create_TC_Web!M305))),"")</f>
        <v/>
      </c>
      <c r="M305" t="str" cm="1">
        <f t="array" ref="M305">IFERROR(INDEX(Create_TC_Web!P$1:P$500,SMALL(IF(Create_TC_Web!$C$1:$C$500&lt;&gt;"",MATCH(ROW(Create_TC_Web!$C$1:$C$500),ROW(Create_TC_Web!$C$1:$C$500)),""),ROW(Create_TC_Web!N305))),"")</f>
        <v/>
      </c>
      <c r="N305" t="str" cm="1">
        <f t="array" ref="N305">IFERROR(INDEX(Create_TC_Web!Q$1:Q$500,SMALL(IF(Create_TC_Web!$C$1:$C$500&lt;&gt;"",MATCH(ROW(Create_TC_Web!$C$1:$C$500),ROW(Create_TC_Web!$C$1:$C$500)),""),ROW(Create_TC_Web!O305))),"")</f>
        <v/>
      </c>
      <c r="O305" t="str">
        <f t="shared" si="15"/>
        <v/>
      </c>
      <c r="P305" s="17" t="str" cm="1">
        <f t="array" ref="P305">IFERROR(INDEX(Create_TC_Web!S$1:S$500,SMALL(IF(Create_TC_Web!$C$1:$C$500&lt;&gt;"",MATCH(ROW(Create_TC_Web!$C$1:$C$500),ROW(Create_TC_Web!$C$1:$C$500)),""),ROW(Create_TC_Web!Q283))),"")</f>
        <v/>
      </c>
      <c r="S305" t="str">
        <f t="shared" si="16"/>
        <v/>
      </c>
    </row>
    <row r="306" spans="1:19">
      <c r="A306" t="str" cm="1">
        <f t="array" ref="A306">IFERROR(INDEX(Create_TC_Web!D$1:D$500,SMALL(IF(Create_TC_Web!$C$1:$C$500&lt;&gt;"",MATCH(ROW(Create_TC_Web!$C$1:$C$500),ROW(Create_TC_Web!$C$1:$C$500)),""),ROW(Create_TC_Web!B306))),"")</f>
        <v/>
      </c>
      <c r="B306" t="str" cm="1">
        <f t="array" ref="B306">SUBSTITUTE(SUBSTITUTE(SUBSTITUTE(IFERROR(INDEX(Create_TC_Web!E$1:E$505,SMALL(IF(Create_TC_Web!$C$1:$C$505&lt;&gt;"",MATCH(ROW(Create_TC_Web!$C$1:$C$505),ROW(Create_TC_Web!$C$1:$C$505)),""),ROW(Create_TC_Web!C306))),"")," ",""),"-",""),"_","")</f>
        <v/>
      </c>
      <c r="C306" t="str" cm="1">
        <f t="array" ref="C306">IFERROR(INDEX(Create_TC_Web!F$1:F$500,SMALL(IF(Create_TC_Web!$C$1:$C$500&lt;&gt;"",MATCH(ROW(Create_TC_Web!$C$1:$C$500),ROW(Create_TC_Web!$C$1:$C$500)),""),ROW(Create_TC_Web!D306))),"")</f>
        <v/>
      </c>
      <c r="D306" t="str" cm="1">
        <f t="array" ref="D306">IFERROR(INDEX(Create_TC_Web!G$1:G$500,SMALL(IF(Create_TC_Web!$C$1:$C$500&lt;&gt;"",MATCH(ROW(Create_TC_Web!$C$1:$C$500),ROW(Create_TC_Web!$C$1:$C$500)),""),ROW(Create_TC_Web!E306))),"")</f>
        <v/>
      </c>
      <c r="E306" t="str" cm="1">
        <f t="array" ref="E306">IFERROR(INDEX(Create_TC_Web!H$1:H$500,SMALL(IF(Create_TC_Web!$C$1:$C$500&lt;&gt;"",MATCH(ROW(Create_TC_Web!$C$1:$C$500),ROW(Create_TC_Web!$C$1:$C$500)),""),ROW(Create_TC_Web!F306))),"")</f>
        <v/>
      </c>
      <c r="F306" t="str" cm="1">
        <f t="array" ref="F306">IFERROR(INDEX(Create_TC_Web!I$1:I$500,SMALL(IF(Create_TC_Web!$C$1:$C$500&lt;&gt;"",MATCH(ROW(Create_TC_Web!$C$1:$C$500),ROW(Create_TC_Web!$C$1:$C$500)),""),ROW(Create_TC_Web!G306))),"")</f>
        <v/>
      </c>
      <c r="G306" t="str" cm="1">
        <f t="array" ref="G306">IFERROR(INDEX(Create_TC_Web!J$1:J$500,SMALL(IF(Create_TC_Web!$C$1:$C$500&lt;&gt;"",MATCH(ROW(Create_TC_Web!$C$1:$C$500),ROW(Create_TC_Web!$C$1:$C$500)),""),ROW(Create_TC_Web!H306))),"")</f>
        <v/>
      </c>
      <c r="H306" t="str" cm="1">
        <f t="array" ref="H306">IFERROR(INDEX(Create_TC_Web!K$1:K$500,SMALL(IF(Create_TC_Web!$C$1:$C$500&lt;&gt;"",MATCH(ROW(Create_TC_Web!$C$1:$C$500),ROW(Create_TC_Web!$C$1:$C$500)),""),ROW(Create_TC_Web!I306))),"")</f>
        <v/>
      </c>
      <c r="I306" t="str" cm="1">
        <f t="array" ref="I306">IFERROR(INDEX(Create_TC_Web!L$1:L$500,SMALL(IF(Create_TC_Web!$C$1:$C$500&lt;&gt;"",MATCH(ROW(Create_TC_Web!$C$1:$C$500),ROW(Create_TC_Web!$C$1:$C$500)),""),ROW(Create_TC_Web!J306))),"")</f>
        <v/>
      </c>
      <c r="J306" t="str" cm="1">
        <f t="array" ref="J306">IFERROR(INDEX(Create_TC_Web!M$1:M$500,SMALL(IF(Create_TC_Web!$C$1:$C$500&lt;&gt;"",MATCH(ROW(Create_TC_Web!$C$1:$C$500),ROW(Create_TC_Web!$C$1:$C$500)),""),ROW(Create_TC_Web!K306))),"")</f>
        <v/>
      </c>
      <c r="K306" t="str" cm="1">
        <f t="array" ref="K306">IFERROR(INDEX(Create_TC_Web!N$1:N$500,SMALL(IF(Create_TC_Web!$C$1:$C$500&lt;&gt;"",MATCH(ROW(Create_TC_Web!$C$1:$C$500),ROW(Create_TC_Web!$C$1:$C$500)),""),ROW(Create_TC_Web!L306))),"")</f>
        <v/>
      </c>
      <c r="L306" t="str" cm="1">
        <f t="array" ref="L306">IFERROR(INDEX(Create_TC_Web!O$1:O$500,SMALL(IF(Create_TC_Web!$C$1:$C$500&lt;&gt;"",MATCH(ROW(Create_TC_Web!$C$1:$C$500),ROW(Create_TC_Web!$C$1:$C$500)),""),ROW(Create_TC_Web!M306))),"")</f>
        <v/>
      </c>
      <c r="M306" t="str" cm="1">
        <f t="array" ref="M306">IFERROR(INDEX(Create_TC_Web!P$1:P$500,SMALL(IF(Create_TC_Web!$C$1:$C$500&lt;&gt;"",MATCH(ROW(Create_TC_Web!$C$1:$C$500),ROW(Create_TC_Web!$C$1:$C$500)),""),ROW(Create_TC_Web!N306))),"")</f>
        <v/>
      </c>
      <c r="N306" t="str" cm="1">
        <f t="array" ref="N306">IFERROR(INDEX(Create_TC_Web!Q$1:Q$500,SMALL(IF(Create_TC_Web!$C$1:$C$500&lt;&gt;"",MATCH(ROW(Create_TC_Web!$C$1:$C$500),ROW(Create_TC_Web!$C$1:$C$500)),""),ROW(Create_TC_Web!O306))),"")</f>
        <v/>
      </c>
      <c r="O306" t="str">
        <f t="shared" si="15"/>
        <v/>
      </c>
      <c r="P306" s="17" t="str" cm="1">
        <f t="array" ref="P306">IFERROR(INDEX(Create_TC_Web!S$1:S$500,SMALL(IF(Create_TC_Web!$C$1:$C$500&lt;&gt;"",MATCH(ROW(Create_TC_Web!$C$1:$C$500),ROW(Create_TC_Web!$C$1:$C$500)),""),ROW(Create_TC_Web!Q284))),"")</f>
        <v/>
      </c>
      <c r="S306" t="str">
        <f t="shared" si="16"/>
        <v/>
      </c>
    </row>
    <row r="307" spans="1:19">
      <c r="A307" t="str" cm="1">
        <f t="array" ref="A307">IFERROR(INDEX(Create_TC_Web!D$1:D$500,SMALL(IF(Create_TC_Web!$C$1:$C$500&lt;&gt;"",MATCH(ROW(Create_TC_Web!$C$1:$C$500),ROW(Create_TC_Web!$C$1:$C$500)),""),ROW(Create_TC_Web!B307))),"")</f>
        <v/>
      </c>
      <c r="B307" t="str" cm="1">
        <f t="array" ref="B307">SUBSTITUTE(SUBSTITUTE(SUBSTITUTE(IFERROR(INDEX(Create_TC_Web!E$1:E$505,SMALL(IF(Create_TC_Web!$C$1:$C$505&lt;&gt;"",MATCH(ROW(Create_TC_Web!$C$1:$C$505),ROW(Create_TC_Web!$C$1:$C$505)),""),ROW(Create_TC_Web!C307))),"")," ",""),"-",""),"_","")</f>
        <v/>
      </c>
      <c r="C307" t="str" cm="1">
        <f t="array" ref="C307">IFERROR(INDEX(Create_TC_Web!F$1:F$500,SMALL(IF(Create_TC_Web!$C$1:$C$500&lt;&gt;"",MATCH(ROW(Create_TC_Web!$C$1:$C$500),ROW(Create_TC_Web!$C$1:$C$500)),""),ROW(Create_TC_Web!D307))),"")</f>
        <v/>
      </c>
      <c r="D307" t="str" cm="1">
        <f t="array" ref="D307">IFERROR(INDEX(Create_TC_Web!G$1:G$500,SMALL(IF(Create_TC_Web!$C$1:$C$500&lt;&gt;"",MATCH(ROW(Create_TC_Web!$C$1:$C$500),ROW(Create_TC_Web!$C$1:$C$500)),""),ROW(Create_TC_Web!E307))),"")</f>
        <v/>
      </c>
      <c r="E307" t="str" cm="1">
        <f t="array" ref="E307">IFERROR(INDEX(Create_TC_Web!H$1:H$500,SMALL(IF(Create_TC_Web!$C$1:$C$500&lt;&gt;"",MATCH(ROW(Create_TC_Web!$C$1:$C$500),ROW(Create_TC_Web!$C$1:$C$500)),""),ROW(Create_TC_Web!F307))),"")</f>
        <v/>
      </c>
      <c r="F307" t="str" cm="1">
        <f t="array" ref="F307">IFERROR(INDEX(Create_TC_Web!I$1:I$500,SMALL(IF(Create_TC_Web!$C$1:$C$500&lt;&gt;"",MATCH(ROW(Create_TC_Web!$C$1:$C$500),ROW(Create_TC_Web!$C$1:$C$500)),""),ROW(Create_TC_Web!G307))),"")</f>
        <v/>
      </c>
      <c r="G307" t="str" cm="1">
        <f t="array" ref="G307">IFERROR(INDEX(Create_TC_Web!J$1:J$500,SMALL(IF(Create_TC_Web!$C$1:$C$500&lt;&gt;"",MATCH(ROW(Create_TC_Web!$C$1:$C$500),ROW(Create_TC_Web!$C$1:$C$500)),""),ROW(Create_TC_Web!H307))),"")</f>
        <v/>
      </c>
      <c r="H307" t="str" cm="1">
        <f t="array" ref="H307">IFERROR(INDEX(Create_TC_Web!K$1:K$500,SMALL(IF(Create_TC_Web!$C$1:$C$500&lt;&gt;"",MATCH(ROW(Create_TC_Web!$C$1:$C$500),ROW(Create_TC_Web!$C$1:$C$500)),""),ROW(Create_TC_Web!I307))),"")</f>
        <v/>
      </c>
      <c r="I307" t="str" cm="1">
        <f t="array" ref="I307">IFERROR(INDEX(Create_TC_Web!L$1:L$500,SMALL(IF(Create_TC_Web!$C$1:$C$500&lt;&gt;"",MATCH(ROW(Create_TC_Web!$C$1:$C$500),ROW(Create_TC_Web!$C$1:$C$500)),""),ROW(Create_TC_Web!J307))),"")</f>
        <v/>
      </c>
      <c r="J307" t="str" cm="1">
        <f t="array" ref="J307">IFERROR(INDEX(Create_TC_Web!M$1:M$500,SMALL(IF(Create_TC_Web!$C$1:$C$500&lt;&gt;"",MATCH(ROW(Create_TC_Web!$C$1:$C$500),ROW(Create_TC_Web!$C$1:$C$500)),""),ROW(Create_TC_Web!K307))),"")</f>
        <v/>
      </c>
      <c r="K307" t="str" cm="1">
        <f t="array" ref="K307">IFERROR(INDEX(Create_TC_Web!N$1:N$500,SMALL(IF(Create_TC_Web!$C$1:$C$500&lt;&gt;"",MATCH(ROW(Create_TC_Web!$C$1:$C$500),ROW(Create_TC_Web!$C$1:$C$500)),""),ROW(Create_TC_Web!L307))),"")</f>
        <v/>
      </c>
      <c r="L307" t="str" cm="1">
        <f t="array" ref="L307">IFERROR(INDEX(Create_TC_Web!O$1:O$500,SMALL(IF(Create_TC_Web!$C$1:$C$500&lt;&gt;"",MATCH(ROW(Create_TC_Web!$C$1:$C$500),ROW(Create_TC_Web!$C$1:$C$500)),""),ROW(Create_TC_Web!M307))),"")</f>
        <v/>
      </c>
      <c r="M307" t="str" cm="1">
        <f t="array" ref="M307">IFERROR(INDEX(Create_TC_Web!P$1:P$500,SMALL(IF(Create_TC_Web!$C$1:$C$500&lt;&gt;"",MATCH(ROW(Create_TC_Web!$C$1:$C$500),ROW(Create_TC_Web!$C$1:$C$500)),""),ROW(Create_TC_Web!N307))),"")</f>
        <v/>
      </c>
      <c r="N307" t="str" cm="1">
        <f t="array" ref="N307">IFERROR(INDEX(Create_TC_Web!Q$1:Q$500,SMALL(IF(Create_TC_Web!$C$1:$C$500&lt;&gt;"",MATCH(ROW(Create_TC_Web!$C$1:$C$500),ROW(Create_TC_Web!$C$1:$C$500)),""),ROW(Create_TC_Web!O307))),"")</f>
        <v/>
      </c>
      <c r="O307" t="str">
        <f t="shared" si="15"/>
        <v/>
      </c>
      <c r="P307" s="17" t="str" cm="1">
        <f t="array" ref="P307">IFERROR(INDEX(Create_TC_Web!S$1:S$500,SMALL(IF(Create_TC_Web!$C$1:$C$500&lt;&gt;"",MATCH(ROW(Create_TC_Web!$C$1:$C$500),ROW(Create_TC_Web!$C$1:$C$500)),""),ROW(Create_TC_Web!Q285))),"")</f>
        <v/>
      </c>
      <c r="S307" t="str">
        <f t="shared" si="16"/>
        <v/>
      </c>
    </row>
    <row r="308" spans="1:19">
      <c r="A308" t="str" cm="1">
        <f t="array" ref="A308">IFERROR(INDEX(Create_TC_Web!D$1:D$500,SMALL(IF(Create_TC_Web!$C$1:$C$500&lt;&gt;"",MATCH(ROW(Create_TC_Web!$C$1:$C$500),ROW(Create_TC_Web!$C$1:$C$500)),""),ROW(Create_TC_Web!B308))),"")</f>
        <v/>
      </c>
      <c r="B308" t="str" cm="1">
        <f t="array" ref="B308">SUBSTITUTE(SUBSTITUTE(SUBSTITUTE(IFERROR(INDEX(Create_TC_Web!E$1:E$505,SMALL(IF(Create_TC_Web!$C$1:$C$505&lt;&gt;"",MATCH(ROW(Create_TC_Web!$C$1:$C$505),ROW(Create_TC_Web!$C$1:$C$505)),""),ROW(Create_TC_Web!C308))),"")," ",""),"-",""),"_","")</f>
        <v/>
      </c>
      <c r="C308" t="str" cm="1">
        <f t="array" ref="C308">IFERROR(INDEX(Create_TC_Web!F$1:F$500,SMALL(IF(Create_TC_Web!$C$1:$C$500&lt;&gt;"",MATCH(ROW(Create_TC_Web!$C$1:$C$500),ROW(Create_TC_Web!$C$1:$C$500)),""),ROW(Create_TC_Web!D308))),"")</f>
        <v/>
      </c>
      <c r="D308" t="str" cm="1">
        <f t="array" ref="D308">IFERROR(INDEX(Create_TC_Web!G$1:G$500,SMALL(IF(Create_TC_Web!$C$1:$C$500&lt;&gt;"",MATCH(ROW(Create_TC_Web!$C$1:$C$500),ROW(Create_TC_Web!$C$1:$C$500)),""),ROW(Create_TC_Web!E308))),"")</f>
        <v/>
      </c>
      <c r="E308" t="str" cm="1">
        <f t="array" ref="E308">IFERROR(INDEX(Create_TC_Web!H$1:H$500,SMALL(IF(Create_TC_Web!$C$1:$C$500&lt;&gt;"",MATCH(ROW(Create_TC_Web!$C$1:$C$500),ROW(Create_TC_Web!$C$1:$C$500)),""),ROW(Create_TC_Web!F308))),"")</f>
        <v/>
      </c>
      <c r="F308" t="str" cm="1">
        <f t="array" ref="F308">IFERROR(INDEX(Create_TC_Web!I$1:I$500,SMALL(IF(Create_TC_Web!$C$1:$C$500&lt;&gt;"",MATCH(ROW(Create_TC_Web!$C$1:$C$500),ROW(Create_TC_Web!$C$1:$C$500)),""),ROW(Create_TC_Web!G308))),"")</f>
        <v/>
      </c>
      <c r="G308" t="str" cm="1">
        <f t="array" ref="G308">IFERROR(INDEX(Create_TC_Web!J$1:J$500,SMALL(IF(Create_TC_Web!$C$1:$C$500&lt;&gt;"",MATCH(ROW(Create_TC_Web!$C$1:$C$500),ROW(Create_TC_Web!$C$1:$C$500)),""),ROW(Create_TC_Web!H308))),"")</f>
        <v/>
      </c>
      <c r="H308" t="str" cm="1">
        <f t="array" ref="H308">IFERROR(INDEX(Create_TC_Web!K$1:K$500,SMALL(IF(Create_TC_Web!$C$1:$C$500&lt;&gt;"",MATCH(ROW(Create_TC_Web!$C$1:$C$500),ROW(Create_TC_Web!$C$1:$C$500)),""),ROW(Create_TC_Web!I308))),"")</f>
        <v/>
      </c>
      <c r="I308" t="str" cm="1">
        <f t="array" ref="I308">IFERROR(INDEX(Create_TC_Web!L$1:L$500,SMALL(IF(Create_TC_Web!$C$1:$C$500&lt;&gt;"",MATCH(ROW(Create_TC_Web!$C$1:$C$500),ROW(Create_TC_Web!$C$1:$C$500)),""),ROW(Create_TC_Web!J308))),"")</f>
        <v/>
      </c>
      <c r="J308" t="str" cm="1">
        <f t="array" ref="J308">IFERROR(INDEX(Create_TC_Web!M$1:M$500,SMALL(IF(Create_TC_Web!$C$1:$C$500&lt;&gt;"",MATCH(ROW(Create_TC_Web!$C$1:$C$500),ROW(Create_TC_Web!$C$1:$C$500)),""),ROW(Create_TC_Web!K308))),"")</f>
        <v/>
      </c>
      <c r="K308" t="str" cm="1">
        <f t="array" ref="K308">IFERROR(INDEX(Create_TC_Web!N$1:N$500,SMALL(IF(Create_TC_Web!$C$1:$C$500&lt;&gt;"",MATCH(ROW(Create_TC_Web!$C$1:$C$500),ROW(Create_TC_Web!$C$1:$C$500)),""),ROW(Create_TC_Web!L308))),"")</f>
        <v/>
      </c>
      <c r="L308" t="str" cm="1">
        <f t="array" ref="L308">IFERROR(INDEX(Create_TC_Web!O$1:O$500,SMALL(IF(Create_TC_Web!$C$1:$C$500&lt;&gt;"",MATCH(ROW(Create_TC_Web!$C$1:$C$500),ROW(Create_TC_Web!$C$1:$C$500)),""),ROW(Create_TC_Web!M308))),"")</f>
        <v/>
      </c>
      <c r="M308" t="str" cm="1">
        <f t="array" ref="M308">IFERROR(INDEX(Create_TC_Web!P$1:P$500,SMALL(IF(Create_TC_Web!$C$1:$C$500&lt;&gt;"",MATCH(ROW(Create_TC_Web!$C$1:$C$500),ROW(Create_TC_Web!$C$1:$C$500)),""),ROW(Create_TC_Web!N308))),"")</f>
        <v/>
      </c>
      <c r="N308" t="str" cm="1">
        <f t="array" ref="N308">IFERROR(INDEX(Create_TC_Web!Q$1:Q$500,SMALL(IF(Create_TC_Web!$C$1:$C$500&lt;&gt;"",MATCH(ROW(Create_TC_Web!$C$1:$C$500),ROW(Create_TC_Web!$C$1:$C$500)),""),ROW(Create_TC_Web!O308))),"")</f>
        <v/>
      </c>
      <c r="O308" t="str">
        <f t="shared" si="15"/>
        <v/>
      </c>
      <c r="P308" s="17" t="str" cm="1">
        <f t="array" ref="P308">IFERROR(INDEX(Create_TC_Web!S$1:S$500,SMALL(IF(Create_TC_Web!$C$1:$C$500&lt;&gt;"",MATCH(ROW(Create_TC_Web!$C$1:$C$500),ROW(Create_TC_Web!$C$1:$C$500)),""),ROW(Create_TC_Web!Q286))),"")</f>
        <v/>
      </c>
      <c r="S308" t="str">
        <f t="shared" si="16"/>
        <v/>
      </c>
    </row>
    <row r="309" spans="1:19">
      <c r="A309" t="str" cm="1">
        <f t="array" ref="A309">IFERROR(INDEX(Create_TC_Web!D$1:D$500,SMALL(IF(Create_TC_Web!$C$1:$C$500&lt;&gt;"",MATCH(ROW(Create_TC_Web!$C$1:$C$500),ROW(Create_TC_Web!$C$1:$C$500)),""),ROW(Create_TC_Web!B309))),"")</f>
        <v/>
      </c>
      <c r="B309" t="str" cm="1">
        <f t="array" ref="B309">SUBSTITUTE(SUBSTITUTE(SUBSTITUTE(IFERROR(INDEX(Create_TC_Web!E$1:E$505,SMALL(IF(Create_TC_Web!$C$1:$C$505&lt;&gt;"",MATCH(ROW(Create_TC_Web!$C$1:$C$505),ROW(Create_TC_Web!$C$1:$C$505)),""),ROW(Create_TC_Web!C309))),"")," ",""),"-",""),"_","")</f>
        <v/>
      </c>
      <c r="C309" t="str" cm="1">
        <f t="array" ref="C309">IFERROR(INDEX(Create_TC_Web!F$1:F$500,SMALL(IF(Create_TC_Web!$C$1:$C$500&lt;&gt;"",MATCH(ROW(Create_TC_Web!$C$1:$C$500),ROW(Create_TC_Web!$C$1:$C$500)),""),ROW(Create_TC_Web!D309))),"")</f>
        <v/>
      </c>
      <c r="D309" t="str" cm="1">
        <f t="array" ref="D309">IFERROR(INDEX(Create_TC_Web!G$1:G$500,SMALL(IF(Create_TC_Web!$C$1:$C$500&lt;&gt;"",MATCH(ROW(Create_TC_Web!$C$1:$C$500),ROW(Create_TC_Web!$C$1:$C$500)),""),ROW(Create_TC_Web!E309))),"")</f>
        <v/>
      </c>
      <c r="E309" t="str" cm="1">
        <f t="array" ref="E309">IFERROR(INDEX(Create_TC_Web!H$1:H$500,SMALL(IF(Create_TC_Web!$C$1:$C$500&lt;&gt;"",MATCH(ROW(Create_TC_Web!$C$1:$C$500),ROW(Create_TC_Web!$C$1:$C$500)),""),ROW(Create_TC_Web!F309))),"")</f>
        <v/>
      </c>
      <c r="F309" t="str" cm="1">
        <f t="array" ref="F309">IFERROR(INDEX(Create_TC_Web!I$1:I$500,SMALL(IF(Create_TC_Web!$C$1:$C$500&lt;&gt;"",MATCH(ROW(Create_TC_Web!$C$1:$C$500),ROW(Create_TC_Web!$C$1:$C$500)),""),ROW(Create_TC_Web!G309))),"")</f>
        <v/>
      </c>
      <c r="G309" t="str" cm="1">
        <f t="array" ref="G309">IFERROR(INDEX(Create_TC_Web!J$1:J$500,SMALL(IF(Create_TC_Web!$C$1:$C$500&lt;&gt;"",MATCH(ROW(Create_TC_Web!$C$1:$C$500),ROW(Create_TC_Web!$C$1:$C$500)),""),ROW(Create_TC_Web!H309))),"")</f>
        <v/>
      </c>
      <c r="H309" t="str" cm="1">
        <f t="array" ref="H309">IFERROR(INDEX(Create_TC_Web!K$1:K$500,SMALL(IF(Create_TC_Web!$C$1:$C$500&lt;&gt;"",MATCH(ROW(Create_TC_Web!$C$1:$C$500),ROW(Create_TC_Web!$C$1:$C$500)),""),ROW(Create_TC_Web!I309))),"")</f>
        <v/>
      </c>
      <c r="I309" t="str" cm="1">
        <f t="array" ref="I309">IFERROR(INDEX(Create_TC_Web!L$1:L$500,SMALL(IF(Create_TC_Web!$C$1:$C$500&lt;&gt;"",MATCH(ROW(Create_TC_Web!$C$1:$C$500),ROW(Create_TC_Web!$C$1:$C$500)),""),ROW(Create_TC_Web!J309))),"")</f>
        <v/>
      </c>
      <c r="J309" t="str" cm="1">
        <f t="array" ref="J309">IFERROR(INDEX(Create_TC_Web!M$1:M$500,SMALL(IF(Create_TC_Web!$C$1:$C$500&lt;&gt;"",MATCH(ROW(Create_TC_Web!$C$1:$C$500),ROW(Create_TC_Web!$C$1:$C$500)),""),ROW(Create_TC_Web!K309))),"")</f>
        <v/>
      </c>
      <c r="K309" t="str" cm="1">
        <f t="array" ref="K309">IFERROR(INDEX(Create_TC_Web!N$1:N$500,SMALL(IF(Create_TC_Web!$C$1:$C$500&lt;&gt;"",MATCH(ROW(Create_TC_Web!$C$1:$C$500),ROW(Create_TC_Web!$C$1:$C$500)),""),ROW(Create_TC_Web!L309))),"")</f>
        <v/>
      </c>
      <c r="L309" t="str" cm="1">
        <f t="array" ref="L309">IFERROR(INDEX(Create_TC_Web!O$1:O$500,SMALL(IF(Create_TC_Web!$C$1:$C$500&lt;&gt;"",MATCH(ROW(Create_TC_Web!$C$1:$C$500),ROW(Create_TC_Web!$C$1:$C$500)),""),ROW(Create_TC_Web!M309))),"")</f>
        <v/>
      </c>
      <c r="M309" t="str" cm="1">
        <f t="array" ref="M309">IFERROR(INDEX(Create_TC_Web!P$1:P$500,SMALL(IF(Create_TC_Web!$C$1:$C$500&lt;&gt;"",MATCH(ROW(Create_TC_Web!$C$1:$C$500),ROW(Create_TC_Web!$C$1:$C$500)),""),ROW(Create_TC_Web!N309))),"")</f>
        <v/>
      </c>
      <c r="N309" t="str" cm="1">
        <f t="array" ref="N309">IFERROR(INDEX(Create_TC_Web!Q$1:Q$500,SMALL(IF(Create_TC_Web!$C$1:$C$500&lt;&gt;"",MATCH(ROW(Create_TC_Web!$C$1:$C$500),ROW(Create_TC_Web!$C$1:$C$500)),""),ROW(Create_TC_Web!O309))),"")</f>
        <v/>
      </c>
      <c r="O309" t="str">
        <f t="shared" si="15"/>
        <v/>
      </c>
      <c r="P309" s="17" t="str" cm="1">
        <f t="array" ref="P309">IFERROR(INDEX(Create_TC_Web!S$1:S$500,SMALL(IF(Create_TC_Web!$C$1:$C$500&lt;&gt;"",MATCH(ROW(Create_TC_Web!$C$1:$C$500),ROW(Create_TC_Web!$C$1:$C$500)),""),ROW(Create_TC_Web!Q287))),"")</f>
        <v/>
      </c>
      <c r="S309" t="str">
        <f t="shared" si="16"/>
        <v/>
      </c>
    </row>
    <row r="310" spans="1:19">
      <c r="A310" t="str" cm="1">
        <f t="array" ref="A310">IFERROR(INDEX(Create_TC_Web!D$1:D$500,SMALL(IF(Create_TC_Web!$C$1:$C$500&lt;&gt;"",MATCH(ROW(Create_TC_Web!$C$1:$C$500),ROW(Create_TC_Web!$C$1:$C$500)),""),ROW(Create_TC_Web!B310))),"")</f>
        <v/>
      </c>
      <c r="B310" t="str" cm="1">
        <f t="array" ref="B310">SUBSTITUTE(SUBSTITUTE(SUBSTITUTE(IFERROR(INDEX(Create_TC_Web!E$1:E$505,SMALL(IF(Create_TC_Web!$C$1:$C$505&lt;&gt;"",MATCH(ROW(Create_TC_Web!$C$1:$C$505),ROW(Create_TC_Web!$C$1:$C$505)),""),ROW(Create_TC_Web!C310))),"")," ",""),"-",""),"_","")</f>
        <v/>
      </c>
      <c r="C310" t="str" cm="1">
        <f t="array" ref="C310">IFERROR(INDEX(Create_TC_Web!F$1:F$500,SMALL(IF(Create_TC_Web!$C$1:$C$500&lt;&gt;"",MATCH(ROW(Create_TC_Web!$C$1:$C$500),ROW(Create_TC_Web!$C$1:$C$500)),""),ROW(Create_TC_Web!D310))),"")</f>
        <v/>
      </c>
      <c r="D310" t="str" cm="1">
        <f t="array" ref="D310">IFERROR(INDEX(Create_TC_Web!G$1:G$500,SMALL(IF(Create_TC_Web!$C$1:$C$500&lt;&gt;"",MATCH(ROW(Create_TC_Web!$C$1:$C$500),ROW(Create_TC_Web!$C$1:$C$500)),""),ROW(Create_TC_Web!E310))),"")</f>
        <v/>
      </c>
      <c r="E310" t="str" cm="1">
        <f t="array" ref="E310">IFERROR(INDEX(Create_TC_Web!H$1:H$500,SMALL(IF(Create_TC_Web!$C$1:$C$500&lt;&gt;"",MATCH(ROW(Create_TC_Web!$C$1:$C$500),ROW(Create_TC_Web!$C$1:$C$500)),""),ROW(Create_TC_Web!F310))),"")</f>
        <v/>
      </c>
      <c r="F310" t="str" cm="1">
        <f t="array" ref="F310">IFERROR(INDEX(Create_TC_Web!I$1:I$500,SMALL(IF(Create_TC_Web!$C$1:$C$500&lt;&gt;"",MATCH(ROW(Create_TC_Web!$C$1:$C$500),ROW(Create_TC_Web!$C$1:$C$500)),""),ROW(Create_TC_Web!G310))),"")</f>
        <v/>
      </c>
      <c r="G310" t="str" cm="1">
        <f t="array" ref="G310">IFERROR(INDEX(Create_TC_Web!J$1:J$500,SMALL(IF(Create_TC_Web!$C$1:$C$500&lt;&gt;"",MATCH(ROW(Create_TC_Web!$C$1:$C$500),ROW(Create_TC_Web!$C$1:$C$500)),""),ROW(Create_TC_Web!H310))),"")</f>
        <v/>
      </c>
      <c r="H310" t="str" cm="1">
        <f t="array" ref="H310">IFERROR(INDEX(Create_TC_Web!K$1:K$500,SMALL(IF(Create_TC_Web!$C$1:$C$500&lt;&gt;"",MATCH(ROW(Create_TC_Web!$C$1:$C$500),ROW(Create_TC_Web!$C$1:$C$500)),""),ROW(Create_TC_Web!I310))),"")</f>
        <v/>
      </c>
      <c r="I310" t="str" cm="1">
        <f t="array" ref="I310">IFERROR(INDEX(Create_TC_Web!L$1:L$500,SMALL(IF(Create_TC_Web!$C$1:$C$500&lt;&gt;"",MATCH(ROW(Create_TC_Web!$C$1:$C$500),ROW(Create_TC_Web!$C$1:$C$500)),""),ROW(Create_TC_Web!J310))),"")</f>
        <v/>
      </c>
      <c r="J310" t="str" cm="1">
        <f t="array" ref="J310">IFERROR(INDEX(Create_TC_Web!M$1:M$500,SMALL(IF(Create_TC_Web!$C$1:$C$500&lt;&gt;"",MATCH(ROW(Create_TC_Web!$C$1:$C$500),ROW(Create_TC_Web!$C$1:$C$500)),""),ROW(Create_TC_Web!K310))),"")</f>
        <v/>
      </c>
      <c r="K310" t="str" cm="1">
        <f t="array" ref="K310">IFERROR(INDEX(Create_TC_Web!N$1:N$500,SMALL(IF(Create_TC_Web!$C$1:$C$500&lt;&gt;"",MATCH(ROW(Create_TC_Web!$C$1:$C$500),ROW(Create_TC_Web!$C$1:$C$500)),""),ROW(Create_TC_Web!L310))),"")</f>
        <v/>
      </c>
      <c r="L310" t="str" cm="1">
        <f t="array" ref="L310">IFERROR(INDEX(Create_TC_Web!O$1:O$500,SMALL(IF(Create_TC_Web!$C$1:$C$500&lt;&gt;"",MATCH(ROW(Create_TC_Web!$C$1:$C$500),ROW(Create_TC_Web!$C$1:$C$500)),""),ROW(Create_TC_Web!M310))),"")</f>
        <v/>
      </c>
      <c r="M310" t="str" cm="1">
        <f t="array" ref="M310">IFERROR(INDEX(Create_TC_Web!P$1:P$500,SMALL(IF(Create_TC_Web!$C$1:$C$500&lt;&gt;"",MATCH(ROW(Create_TC_Web!$C$1:$C$500),ROW(Create_TC_Web!$C$1:$C$500)),""),ROW(Create_TC_Web!N310))),"")</f>
        <v/>
      </c>
      <c r="N310" t="str" cm="1">
        <f t="array" ref="N310">IFERROR(INDEX(Create_TC_Web!Q$1:Q$500,SMALL(IF(Create_TC_Web!$C$1:$C$500&lt;&gt;"",MATCH(ROW(Create_TC_Web!$C$1:$C$500),ROW(Create_TC_Web!$C$1:$C$500)),""),ROW(Create_TC_Web!O310))),"")</f>
        <v/>
      </c>
      <c r="O310" t="str">
        <f t="shared" si="15"/>
        <v/>
      </c>
      <c r="P310" s="17" t="str" cm="1">
        <f t="array" ref="P310">IFERROR(INDEX(Create_TC_Web!S$1:S$500,SMALL(IF(Create_TC_Web!$C$1:$C$500&lt;&gt;"",MATCH(ROW(Create_TC_Web!$C$1:$C$500),ROW(Create_TC_Web!$C$1:$C$500)),""),ROW(Create_TC_Web!Q288))),"")</f>
        <v/>
      </c>
      <c r="S310" t="str">
        <f t="shared" si="16"/>
        <v/>
      </c>
    </row>
    <row r="311" spans="1:19">
      <c r="A311" t="str" cm="1">
        <f t="array" ref="A311">IFERROR(INDEX(Create_TC_Web!D$1:D$500,SMALL(IF(Create_TC_Web!$C$1:$C$500&lt;&gt;"",MATCH(ROW(Create_TC_Web!$C$1:$C$500),ROW(Create_TC_Web!$C$1:$C$500)),""),ROW(Create_TC_Web!B311))),"")</f>
        <v/>
      </c>
      <c r="B311" t="str" cm="1">
        <f t="array" ref="B311">SUBSTITUTE(SUBSTITUTE(SUBSTITUTE(IFERROR(INDEX(Create_TC_Web!E$1:E$505,SMALL(IF(Create_TC_Web!$C$1:$C$505&lt;&gt;"",MATCH(ROW(Create_TC_Web!$C$1:$C$505),ROW(Create_TC_Web!$C$1:$C$505)),""),ROW(Create_TC_Web!C311))),"")," ",""),"-",""),"_","")</f>
        <v/>
      </c>
      <c r="C311" t="str" cm="1">
        <f t="array" ref="C311">IFERROR(INDEX(Create_TC_Web!F$1:F$500,SMALL(IF(Create_TC_Web!$C$1:$C$500&lt;&gt;"",MATCH(ROW(Create_TC_Web!$C$1:$C$500),ROW(Create_TC_Web!$C$1:$C$500)),""),ROW(Create_TC_Web!D311))),"")</f>
        <v/>
      </c>
      <c r="D311" t="str" cm="1">
        <f t="array" ref="D311">IFERROR(INDEX(Create_TC_Web!G$1:G$500,SMALL(IF(Create_TC_Web!$C$1:$C$500&lt;&gt;"",MATCH(ROW(Create_TC_Web!$C$1:$C$500),ROW(Create_TC_Web!$C$1:$C$500)),""),ROW(Create_TC_Web!E311))),"")</f>
        <v/>
      </c>
      <c r="E311" t="str" cm="1">
        <f t="array" ref="E311">IFERROR(INDEX(Create_TC_Web!H$1:H$500,SMALL(IF(Create_TC_Web!$C$1:$C$500&lt;&gt;"",MATCH(ROW(Create_TC_Web!$C$1:$C$500),ROW(Create_TC_Web!$C$1:$C$500)),""),ROW(Create_TC_Web!F311))),"")</f>
        <v/>
      </c>
      <c r="F311" t="str" cm="1">
        <f t="array" ref="F311">IFERROR(INDEX(Create_TC_Web!I$1:I$500,SMALL(IF(Create_TC_Web!$C$1:$C$500&lt;&gt;"",MATCH(ROW(Create_TC_Web!$C$1:$C$500),ROW(Create_TC_Web!$C$1:$C$500)),""),ROW(Create_TC_Web!G311))),"")</f>
        <v/>
      </c>
      <c r="G311" t="str" cm="1">
        <f t="array" ref="G311">IFERROR(INDEX(Create_TC_Web!J$1:J$500,SMALL(IF(Create_TC_Web!$C$1:$C$500&lt;&gt;"",MATCH(ROW(Create_TC_Web!$C$1:$C$500),ROW(Create_TC_Web!$C$1:$C$500)),""),ROW(Create_TC_Web!H311))),"")</f>
        <v/>
      </c>
      <c r="H311" t="str" cm="1">
        <f t="array" ref="H311">IFERROR(INDEX(Create_TC_Web!K$1:K$500,SMALL(IF(Create_TC_Web!$C$1:$C$500&lt;&gt;"",MATCH(ROW(Create_TC_Web!$C$1:$C$500),ROW(Create_TC_Web!$C$1:$C$500)),""),ROW(Create_TC_Web!I311))),"")</f>
        <v/>
      </c>
      <c r="I311" t="str" cm="1">
        <f t="array" ref="I311">IFERROR(INDEX(Create_TC_Web!L$1:L$500,SMALL(IF(Create_TC_Web!$C$1:$C$500&lt;&gt;"",MATCH(ROW(Create_TC_Web!$C$1:$C$500),ROW(Create_TC_Web!$C$1:$C$500)),""),ROW(Create_TC_Web!J311))),"")</f>
        <v/>
      </c>
      <c r="J311" t="str" cm="1">
        <f t="array" ref="J311">IFERROR(INDEX(Create_TC_Web!M$1:M$500,SMALL(IF(Create_TC_Web!$C$1:$C$500&lt;&gt;"",MATCH(ROW(Create_TC_Web!$C$1:$C$500),ROW(Create_TC_Web!$C$1:$C$500)),""),ROW(Create_TC_Web!K311))),"")</f>
        <v/>
      </c>
      <c r="K311" t="str" cm="1">
        <f t="array" ref="K311">IFERROR(INDEX(Create_TC_Web!N$1:N$500,SMALL(IF(Create_TC_Web!$C$1:$C$500&lt;&gt;"",MATCH(ROW(Create_TC_Web!$C$1:$C$500),ROW(Create_TC_Web!$C$1:$C$500)),""),ROW(Create_TC_Web!L311))),"")</f>
        <v/>
      </c>
      <c r="L311" t="str" cm="1">
        <f t="array" ref="L311">IFERROR(INDEX(Create_TC_Web!O$1:O$500,SMALL(IF(Create_TC_Web!$C$1:$C$500&lt;&gt;"",MATCH(ROW(Create_TC_Web!$C$1:$C$500),ROW(Create_TC_Web!$C$1:$C$500)),""),ROW(Create_TC_Web!M311))),"")</f>
        <v/>
      </c>
      <c r="M311" t="str" cm="1">
        <f t="array" ref="M311">IFERROR(INDEX(Create_TC_Web!P$1:P$500,SMALL(IF(Create_TC_Web!$C$1:$C$500&lt;&gt;"",MATCH(ROW(Create_TC_Web!$C$1:$C$500),ROW(Create_TC_Web!$C$1:$C$500)),""),ROW(Create_TC_Web!N311))),"")</f>
        <v/>
      </c>
      <c r="N311" t="str" cm="1">
        <f t="array" ref="N311">IFERROR(INDEX(Create_TC_Web!Q$1:Q$500,SMALL(IF(Create_TC_Web!$C$1:$C$500&lt;&gt;"",MATCH(ROW(Create_TC_Web!$C$1:$C$500),ROW(Create_TC_Web!$C$1:$C$500)),""),ROW(Create_TC_Web!O311))),"")</f>
        <v/>
      </c>
      <c r="O311" t="str">
        <f t="shared" si="15"/>
        <v/>
      </c>
      <c r="P311" s="17" t="str" cm="1">
        <f t="array" ref="P311">IFERROR(INDEX(Create_TC_Web!S$1:S$500,SMALL(IF(Create_TC_Web!$C$1:$C$500&lt;&gt;"",MATCH(ROW(Create_TC_Web!$C$1:$C$500),ROW(Create_TC_Web!$C$1:$C$500)),""),ROW(Create_TC_Web!Q289))),"")</f>
        <v/>
      </c>
      <c r="S311" t="str">
        <f t="shared" si="16"/>
        <v/>
      </c>
    </row>
    <row r="312" spans="1:19">
      <c r="A312" t="str" cm="1">
        <f t="array" ref="A312">IFERROR(INDEX(Create_TC_Web!D$1:D$500,SMALL(IF(Create_TC_Web!$C$1:$C$500&lt;&gt;"",MATCH(ROW(Create_TC_Web!$C$1:$C$500),ROW(Create_TC_Web!$C$1:$C$500)),""),ROW(Create_TC_Web!B312))),"")</f>
        <v/>
      </c>
      <c r="B312" t="str" cm="1">
        <f t="array" ref="B312">SUBSTITUTE(SUBSTITUTE(SUBSTITUTE(IFERROR(INDEX(Create_TC_Web!E$1:E$505,SMALL(IF(Create_TC_Web!$C$1:$C$505&lt;&gt;"",MATCH(ROW(Create_TC_Web!$C$1:$C$505),ROW(Create_TC_Web!$C$1:$C$505)),""),ROW(Create_TC_Web!C312))),"")," ",""),"-",""),"_","")</f>
        <v/>
      </c>
      <c r="C312" t="str" cm="1">
        <f t="array" ref="C312">IFERROR(INDEX(Create_TC_Web!F$1:F$500,SMALL(IF(Create_TC_Web!$C$1:$C$500&lt;&gt;"",MATCH(ROW(Create_TC_Web!$C$1:$C$500),ROW(Create_TC_Web!$C$1:$C$500)),""),ROW(Create_TC_Web!D312))),"")</f>
        <v/>
      </c>
      <c r="D312" t="str" cm="1">
        <f t="array" ref="D312">IFERROR(INDEX(Create_TC_Web!G$1:G$500,SMALL(IF(Create_TC_Web!$C$1:$C$500&lt;&gt;"",MATCH(ROW(Create_TC_Web!$C$1:$C$500),ROW(Create_TC_Web!$C$1:$C$500)),""),ROW(Create_TC_Web!E312))),"")</f>
        <v/>
      </c>
      <c r="E312" t="str" cm="1">
        <f t="array" ref="E312">IFERROR(INDEX(Create_TC_Web!H$1:H$500,SMALL(IF(Create_TC_Web!$C$1:$C$500&lt;&gt;"",MATCH(ROW(Create_TC_Web!$C$1:$C$500),ROW(Create_TC_Web!$C$1:$C$500)),""),ROW(Create_TC_Web!F312))),"")</f>
        <v/>
      </c>
      <c r="F312" t="str" cm="1">
        <f t="array" ref="F312">IFERROR(INDEX(Create_TC_Web!I$1:I$500,SMALL(IF(Create_TC_Web!$C$1:$C$500&lt;&gt;"",MATCH(ROW(Create_TC_Web!$C$1:$C$500),ROW(Create_TC_Web!$C$1:$C$500)),""),ROW(Create_TC_Web!G312))),"")</f>
        <v/>
      </c>
      <c r="G312" t="str" cm="1">
        <f t="array" ref="G312">IFERROR(INDEX(Create_TC_Web!J$1:J$500,SMALL(IF(Create_TC_Web!$C$1:$C$500&lt;&gt;"",MATCH(ROW(Create_TC_Web!$C$1:$C$500),ROW(Create_TC_Web!$C$1:$C$500)),""),ROW(Create_TC_Web!H312))),"")</f>
        <v/>
      </c>
      <c r="H312" t="str" cm="1">
        <f t="array" ref="H312">IFERROR(INDEX(Create_TC_Web!K$1:K$500,SMALL(IF(Create_TC_Web!$C$1:$C$500&lt;&gt;"",MATCH(ROW(Create_TC_Web!$C$1:$C$500),ROW(Create_TC_Web!$C$1:$C$500)),""),ROW(Create_TC_Web!I312))),"")</f>
        <v/>
      </c>
      <c r="I312" t="str" cm="1">
        <f t="array" ref="I312">IFERROR(INDEX(Create_TC_Web!L$1:L$500,SMALL(IF(Create_TC_Web!$C$1:$C$500&lt;&gt;"",MATCH(ROW(Create_TC_Web!$C$1:$C$500),ROW(Create_TC_Web!$C$1:$C$500)),""),ROW(Create_TC_Web!J312))),"")</f>
        <v/>
      </c>
      <c r="J312" t="str" cm="1">
        <f t="array" ref="J312">IFERROR(INDEX(Create_TC_Web!M$1:M$500,SMALL(IF(Create_TC_Web!$C$1:$C$500&lt;&gt;"",MATCH(ROW(Create_TC_Web!$C$1:$C$500),ROW(Create_TC_Web!$C$1:$C$500)),""),ROW(Create_TC_Web!K312))),"")</f>
        <v/>
      </c>
      <c r="K312" t="str" cm="1">
        <f t="array" ref="K312">IFERROR(INDEX(Create_TC_Web!N$1:N$500,SMALL(IF(Create_TC_Web!$C$1:$C$500&lt;&gt;"",MATCH(ROW(Create_TC_Web!$C$1:$C$500),ROW(Create_TC_Web!$C$1:$C$500)),""),ROW(Create_TC_Web!L312))),"")</f>
        <v/>
      </c>
      <c r="L312" t="str" cm="1">
        <f t="array" ref="L312">IFERROR(INDEX(Create_TC_Web!O$1:O$500,SMALL(IF(Create_TC_Web!$C$1:$C$500&lt;&gt;"",MATCH(ROW(Create_TC_Web!$C$1:$C$500),ROW(Create_TC_Web!$C$1:$C$500)),""),ROW(Create_TC_Web!M312))),"")</f>
        <v/>
      </c>
      <c r="M312" t="str" cm="1">
        <f t="array" ref="M312">IFERROR(INDEX(Create_TC_Web!P$1:P$500,SMALL(IF(Create_TC_Web!$C$1:$C$500&lt;&gt;"",MATCH(ROW(Create_TC_Web!$C$1:$C$500),ROW(Create_TC_Web!$C$1:$C$500)),""),ROW(Create_TC_Web!N312))),"")</f>
        <v/>
      </c>
      <c r="N312" t="str" cm="1">
        <f t="array" ref="N312">IFERROR(INDEX(Create_TC_Web!Q$1:Q$500,SMALL(IF(Create_TC_Web!$C$1:$C$500&lt;&gt;"",MATCH(ROW(Create_TC_Web!$C$1:$C$500),ROW(Create_TC_Web!$C$1:$C$500)),""),ROW(Create_TC_Web!O312))),"")</f>
        <v/>
      </c>
      <c r="O312" t="str">
        <f t="shared" si="15"/>
        <v/>
      </c>
      <c r="P312" s="17" t="str" cm="1">
        <f t="array" ref="P312">IFERROR(INDEX(Create_TC_Web!S$1:S$500,SMALL(IF(Create_TC_Web!$C$1:$C$500&lt;&gt;"",MATCH(ROW(Create_TC_Web!$C$1:$C$500),ROW(Create_TC_Web!$C$1:$C$500)),""),ROW(Create_TC_Web!Q290))),"")</f>
        <v/>
      </c>
      <c r="S312" t="str">
        <f t="shared" si="16"/>
        <v/>
      </c>
    </row>
    <row r="313" spans="1:19">
      <c r="A313" t="str" cm="1">
        <f t="array" ref="A313">IFERROR(INDEX(Create_TC_Web!D$1:D$500,SMALL(IF(Create_TC_Web!$C$1:$C$500&lt;&gt;"",MATCH(ROW(Create_TC_Web!$C$1:$C$500),ROW(Create_TC_Web!$C$1:$C$500)),""),ROW(Create_TC_Web!B313))),"")</f>
        <v/>
      </c>
      <c r="B313" t="str" cm="1">
        <f t="array" ref="B313">SUBSTITUTE(SUBSTITUTE(SUBSTITUTE(IFERROR(INDEX(Create_TC_Web!E$1:E$505,SMALL(IF(Create_TC_Web!$C$1:$C$505&lt;&gt;"",MATCH(ROW(Create_TC_Web!$C$1:$C$505),ROW(Create_TC_Web!$C$1:$C$505)),""),ROW(Create_TC_Web!C313))),"")," ",""),"-",""),"_","")</f>
        <v/>
      </c>
      <c r="C313" t="str" cm="1">
        <f t="array" ref="C313">IFERROR(INDEX(Create_TC_Web!F$1:F$500,SMALL(IF(Create_TC_Web!$C$1:$C$500&lt;&gt;"",MATCH(ROW(Create_TC_Web!$C$1:$C$500),ROW(Create_TC_Web!$C$1:$C$500)),""),ROW(Create_TC_Web!D313))),"")</f>
        <v/>
      </c>
      <c r="D313" t="str" cm="1">
        <f t="array" ref="D313">IFERROR(INDEX(Create_TC_Web!G$1:G$500,SMALL(IF(Create_TC_Web!$C$1:$C$500&lt;&gt;"",MATCH(ROW(Create_TC_Web!$C$1:$C$500),ROW(Create_TC_Web!$C$1:$C$500)),""),ROW(Create_TC_Web!E313))),"")</f>
        <v/>
      </c>
      <c r="E313" t="str" cm="1">
        <f t="array" ref="E313">IFERROR(INDEX(Create_TC_Web!H$1:H$500,SMALL(IF(Create_TC_Web!$C$1:$C$500&lt;&gt;"",MATCH(ROW(Create_TC_Web!$C$1:$C$500),ROW(Create_TC_Web!$C$1:$C$500)),""),ROW(Create_TC_Web!F313))),"")</f>
        <v/>
      </c>
      <c r="F313" t="str" cm="1">
        <f t="array" ref="F313">IFERROR(INDEX(Create_TC_Web!I$1:I$500,SMALL(IF(Create_TC_Web!$C$1:$C$500&lt;&gt;"",MATCH(ROW(Create_TC_Web!$C$1:$C$500),ROW(Create_TC_Web!$C$1:$C$500)),""),ROW(Create_TC_Web!G313))),"")</f>
        <v/>
      </c>
      <c r="G313" t="str" cm="1">
        <f t="array" ref="G313">IFERROR(INDEX(Create_TC_Web!J$1:J$500,SMALL(IF(Create_TC_Web!$C$1:$C$500&lt;&gt;"",MATCH(ROW(Create_TC_Web!$C$1:$C$500),ROW(Create_TC_Web!$C$1:$C$500)),""),ROW(Create_TC_Web!H313))),"")</f>
        <v/>
      </c>
      <c r="H313" t="str" cm="1">
        <f t="array" ref="H313">IFERROR(INDEX(Create_TC_Web!K$1:K$500,SMALL(IF(Create_TC_Web!$C$1:$C$500&lt;&gt;"",MATCH(ROW(Create_TC_Web!$C$1:$C$500),ROW(Create_TC_Web!$C$1:$C$500)),""),ROW(Create_TC_Web!I313))),"")</f>
        <v/>
      </c>
      <c r="I313" t="str" cm="1">
        <f t="array" ref="I313">IFERROR(INDEX(Create_TC_Web!L$1:L$500,SMALL(IF(Create_TC_Web!$C$1:$C$500&lt;&gt;"",MATCH(ROW(Create_TC_Web!$C$1:$C$500),ROW(Create_TC_Web!$C$1:$C$500)),""),ROW(Create_TC_Web!J313))),"")</f>
        <v/>
      </c>
      <c r="J313" t="str" cm="1">
        <f t="array" ref="J313">IFERROR(INDEX(Create_TC_Web!M$1:M$500,SMALL(IF(Create_TC_Web!$C$1:$C$500&lt;&gt;"",MATCH(ROW(Create_TC_Web!$C$1:$C$500),ROW(Create_TC_Web!$C$1:$C$500)),""),ROW(Create_TC_Web!K313))),"")</f>
        <v/>
      </c>
      <c r="K313" t="str" cm="1">
        <f t="array" ref="K313">IFERROR(INDEX(Create_TC_Web!N$1:N$500,SMALL(IF(Create_TC_Web!$C$1:$C$500&lt;&gt;"",MATCH(ROW(Create_TC_Web!$C$1:$C$500),ROW(Create_TC_Web!$C$1:$C$500)),""),ROW(Create_TC_Web!L313))),"")</f>
        <v/>
      </c>
      <c r="L313" t="str" cm="1">
        <f t="array" ref="L313">IFERROR(INDEX(Create_TC_Web!O$1:O$500,SMALL(IF(Create_TC_Web!$C$1:$C$500&lt;&gt;"",MATCH(ROW(Create_TC_Web!$C$1:$C$500),ROW(Create_TC_Web!$C$1:$C$500)),""),ROW(Create_TC_Web!M313))),"")</f>
        <v/>
      </c>
      <c r="M313" t="str" cm="1">
        <f t="array" ref="M313">IFERROR(INDEX(Create_TC_Web!P$1:P$500,SMALL(IF(Create_TC_Web!$C$1:$C$500&lt;&gt;"",MATCH(ROW(Create_TC_Web!$C$1:$C$500),ROW(Create_TC_Web!$C$1:$C$500)),""),ROW(Create_TC_Web!N313))),"")</f>
        <v/>
      </c>
      <c r="N313" t="str" cm="1">
        <f t="array" ref="N313">IFERROR(INDEX(Create_TC_Web!Q$1:Q$500,SMALL(IF(Create_TC_Web!$C$1:$C$500&lt;&gt;"",MATCH(ROW(Create_TC_Web!$C$1:$C$500),ROW(Create_TC_Web!$C$1:$C$500)),""),ROW(Create_TC_Web!O313))),"")</f>
        <v/>
      </c>
      <c r="O313" t="str">
        <f t="shared" si="15"/>
        <v/>
      </c>
      <c r="P313" s="17" t="str" cm="1">
        <f t="array" ref="P313">IFERROR(INDEX(Create_TC_Web!S$1:S$500,SMALL(IF(Create_TC_Web!$C$1:$C$500&lt;&gt;"",MATCH(ROW(Create_TC_Web!$C$1:$C$500),ROW(Create_TC_Web!$C$1:$C$500)),""),ROW(Create_TC_Web!Q291))),"")</f>
        <v/>
      </c>
      <c r="S313" t="str">
        <f t="shared" si="16"/>
        <v/>
      </c>
    </row>
    <row r="314" spans="1:19">
      <c r="A314" t="str" cm="1">
        <f t="array" ref="A314">IFERROR(INDEX(Create_TC_Web!D$1:D$500,SMALL(IF(Create_TC_Web!$C$1:$C$500&lt;&gt;"",MATCH(ROW(Create_TC_Web!$C$1:$C$500),ROW(Create_TC_Web!$C$1:$C$500)),""),ROW(Create_TC_Web!B314))),"")</f>
        <v/>
      </c>
      <c r="B314" t="str" cm="1">
        <f t="array" ref="B314">SUBSTITUTE(SUBSTITUTE(SUBSTITUTE(IFERROR(INDEX(Create_TC_Web!E$1:E$505,SMALL(IF(Create_TC_Web!$C$1:$C$505&lt;&gt;"",MATCH(ROW(Create_TC_Web!$C$1:$C$505),ROW(Create_TC_Web!$C$1:$C$505)),""),ROW(Create_TC_Web!C314))),"")," ",""),"-",""),"_","")</f>
        <v/>
      </c>
      <c r="C314" t="str" cm="1">
        <f t="array" ref="C314">IFERROR(INDEX(Create_TC_Web!F$1:F$500,SMALL(IF(Create_TC_Web!$C$1:$C$500&lt;&gt;"",MATCH(ROW(Create_TC_Web!$C$1:$C$500),ROW(Create_TC_Web!$C$1:$C$500)),""),ROW(Create_TC_Web!D314))),"")</f>
        <v/>
      </c>
      <c r="D314" t="str" cm="1">
        <f t="array" ref="D314">IFERROR(INDEX(Create_TC_Web!G$1:G$500,SMALL(IF(Create_TC_Web!$C$1:$C$500&lt;&gt;"",MATCH(ROW(Create_TC_Web!$C$1:$C$500),ROW(Create_TC_Web!$C$1:$C$500)),""),ROW(Create_TC_Web!E314))),"")</f>
        <v/>
      </c>
      <c r="E314" t="str" cm="1">
        <f t="array" ref="E314">IFERROR(INDEX(Create_TC_Web!H$1:H$500,SMALL(IF(Create_TC_Web!$C$1:$C$500&lt;&gt;"",MATCH(ROW(Create_TC_Web!$C$1:$C$500),ROW(Create_TC_Web!$C$1:$C$500)),""),ROW(Create_TC_Web!F314))),"")</f>
        <v/>
      </c>
      <c r="F314" t="str" cm="1">
        <f t="array" ref="F314">IFERROR(INDEX(Create_TC_Web!I$1:I$500,SMALL(IF(Create_TC_Web!$C$1:$C$500&lt;&gt;"",MATCH(ROW(Create_TC_Web!$C$1:$C$500),ROW(Create_TC_Web!$C$1:$C$500)),""),ROW(Create_TC_Web!G314))),"")</f>
        <v/>
      </c>
      <c r="G314" t="str" cm="1">
        <f t="array" ref="G314">IFERROR(INDEX(Create_TC_Web!J$1:J$500,SMALL(IF(Create_TC_Web!$C$1:$C$500&lt;&gt;"",MATCH(ROW(Create_TC_Web!$C$1:$C$500),ROW(Create_TC_Web!$C$1:$C$500)),""),ROW(Create_TC_Web!H314))),"")</f>
        <v/>
      </c>
      <c r="H314" t="str" cm="1">
        <f t="array" ref="H314">IFERROR(INDEX(Create_TC_Web!K$1:K$500,SMALL(IF(Create_TC_Web!$C$1:$C$500&lt;&gt;"",MATCH(ROW(Create_TC_Web!$C$1:$C$500),ROW(Create_TC_Web!$C$1:$C$500)),""),ROW(Create_TC_Web!I314))),"")</f>
        <v/>
      </c>
      <c r="I314" t="str" cm="1">
        <f t="array" ref="I314">IFERROR(INDEX(Create_TC_Web!L$1:L$500,SMALL(IF(Create_TC_Web!$C$1:$C$500&lt;&gt;"",MATCH(ROW(Create_TC_Web!$C$1:$C$500),ROW(Create_TC_Web!$C$1:$C$500)),""),ROW(Create_TC_Web!J314))),"")</f>
        <v/>
      </c>
      <c r="J314" t="str" cm="1">
        <f t="array" ref="J314">IFERROR(INDEX(Create_TC_Web!M$1:M$500,SMALL(IF(Create_TC_Web!$C$1:$C$500&lt;&gt;"",MATCH(ROW(Create_TC_Web!$C$1:$C$500),ROW(Create_TC_Web!$C$1:$C$500)),""),ROW(Create_TC_Web!K314))),"")</f>
        <v/>
      </c>
      <c r="K314" t="str" cm="1">
        <f t="array" ref="K314">IFERROR(INDEX(Create_TC_Web!N$1:N$500,SMALL(IF(Create_TC_Web!$C$1:$C$500&lt;&gt;"",MATCH(ROW(Create_TC_Web!$C$1:$C$500),ROW(Create_TC_Web!$C$1:$C$500)),""),ROW(Create_TC_Web!L314))),"")</f>
        <v/>
      </c>
      <c r="L314" t="str" cm="1">
        <f t="array" ref="L314">IFERROR(INDEX(Create_TC_Web!O$1:O$500,SMALL(IF(Create_TC_Web!$C$1:$C$500&lt;&gt;"",MATCH(ROW(Create_TC_Web!$C$1:$C$500),ROW(Create_TC_Web!$C$1:$C$500)),""),ROW(Create_TC_Web!M314))),"")</f>
        <v/>
      </c>
      <c r="M314" t="str" cm="1">
        <f t="array" ref="M314">IFERROR(INDEX(Create_TC_Web!P$1:P$500,SMALL(IF(Create_TC_Web!$C$1:$C$500&lt;&gt;"",MATCH(ROW(Create_TC_Web!$C$1:$C$500),ROW(Create_TC_Web!$C$1:$C$500)),""),ROW(Create_TC_Web!N314))),"")</f>
        <v/>
      </c>
      <c r="N314" t="str" cm="1">
        <f t="array" ref="N314">IFERROR(INDEX(Create_TC_Web!Q$1:Q$500,SMALL(IF(Create_TC_Web!$C$1:$C$500&lt;&gt;"",MATCH(ROW(Create_TC_Web!$C$1:$C$500),ROW(Create_TC_Web!$C$1:$C$500)),""),ROW(Create_TC_Web!O314))),"")</f>
        <v/>
      </c>
      <c r="O314" t="str">
        <f t="shared" si="15"/>
        <v/>
      </c>
      <c r="P314" s="17" t="str" cm="1">
        <f t="array" ref="P314">IFERROR(INDEX(Create_TC_Web!S$1:S$500,SMALL(IF(Create_TC_Web!$C$1:$C$500&lt;&gt;"",MATCH(ROW(Create_TC_Web!$C$1:$C$500),ROW(Create_TC_Web!$C$1:$C$500)),""),ROW(Create_TC_Web!Q292))),"")</f>
        <v/>
      </c>
      <c r="S314" t="str">
        <f t="shared" si="16"/>
        <v/>
      </c>
    </row>
    <row r="315" spans="1:19">
      <c r="A315" t="str" cm="1">
        <f t="array" ref="A315">IFERROR(INDEX(Create_TC_Web!D$1:D$500,SMALL(IF(Create_TC_Web!$C$1:$C$500&lt;&gt;"",MATCH(ROW(Create_TC_Web!$C$1:$C$500),ROW(Create_TC_Web!$C$1:$C$500)),""),ROW(Create_TC_Web!B315))),"")</f>
        <v/>
      </c>
      <c r="B315" t="str" cm="1">
        <f t="array" ref="B315">SUBSTITUTE(SUBSTITUTE(SUBSTITUTE(IFERROR(INDEX(Create_TC_Web!E$1:E$505,SMALL(IF(Create_TC_Web!$C$1:$C$505&lt;&gt;"",MATCH(ROW(Create_TC_Web!$C$1:$C$505),ROW(Create_TC_Web!$C$1:$C$505)),""),ROW(Create_TC_Web!C315))),"")," ",""),"-",""),"_","")</f>
        <v/>
      </c>
      <c r="C315" t="str" cm="1">
        <f t="array" ref="C315">IFERROR(INDEX(Create_TC_Web!F$1:F$500,SMALL(IF(Create_TC_Web!$C$1:$C$500&lt;&gt;"",MATCH(ROW(Create_TC_Web!$C$1:$C$500),ROW(Create_TC_Web!$C$1:$C$500)),""),ROW(Create_TC_Web!D315))),"")</f>
        <v/>
      </c>
      <c r="D315" t="str" cm="1">
        <f t="array" ref="D315">IFERROR(INDEX(Create_TC_Web!G$1:G$500,SMALL(IF(Create_TC_Web!$C$1:$C$500&lt;&gt;"",MATCH(ROW(Create_TC_Web!$C$1:$C$500),ROW(Create_TC_Web!$C$1:$C$500)),""),ROW(Create_TC_Web!E315))),"")</f>
        <v/>
      </c>
      <c r="E315" t="str" cm="1">
        <f t="array" ref="E315">IFERROR(INDEX(Create_TC_Web!H$1:H$500,SMALL(IF(Create_TC_Web!$C$1:$C$500&lt;&gt;"",MATCH(ROW(Create_TC_Web!$C$1:$C$500),ROW(Create_TC_Web!$C$1:$C$500)),""),ROW(Create_TC_Web!F315))),"")</f>
        <v/>
      </c>
      <c r="F315" t="str" cm="1">
        <f t="array" ref="F315">IFERROR(INDEX(Create_TC_Web!I$1:I$500,SMALL(IF(Create_TC_Web!$C$1:$C$500&lt;&gt;"",MATCH(ROW(Create_TC_Web!$C$1:$C$500),ROW(Create_TC_Web!$C$1:$C$500)),""),ROW(Create_TC_Web!G315))),"")</f>
        <v/>
      </c>
      <c r="G315" t="str" cm="1">
        <f t="array" ref="G315">IFERROR(INDEX(Create_TC_Web!J$1:J$500,SMALL(IF(Create_TC_Web!$C$1:$C$500&lt;&gt;"",MATCH(ROW(Create_TC_Web!$C$1:$C$500),ROW(Create_TC_Web!$C$1:$C$500)),""),ROW(Create_TC_Web!H315))),"")</f>
        <v/>
      </c>
      <c r="H315" t="str" cm="1">
        <f t="array" ref="H315">IFERROR(INDEX(Create_TC_Web!K$1:K$500,SMALL(IF(Create_TC_Web!$C$1:$C$500&lt;&gt;"",MATCH(ROW(Create_TC_Web!$C$1:$C$500),ROW(Create_TC_Web!$C$1:$C$500)),""),ROW(Create_TC_Web!I315))),"")</f>
        <v/>
      </c>
      <c r="I315" t="str" cm="1">
        <f t="array" ref="I315">IFERROR(INDEX(Create_TC_Web!L$1:L$500,SMALL(IF(Create_TC_Web!$C$1:$C$500&lt;&gt;"",MATCH(ROW(Create_TC_Web!$C$1:$C$500),ROW(Create_TC_Web!$C$1:$C$500)),""),ROW(Create_TC_Web!J315))),"")</f>
        <v/>
      </c>
      <c r="J315" t="str" cm="1">
        <f t="array" ref="J315">IFERROR(INDEX(Create_TC_Web!M$1:M$500,SMALL(IF(Create_TC_Web!$C$1:$C$500&lt;&gt;"",MATCH(ROW(Create_TC_Web!$C$1:$C$500),ROW(Create_TC_Web!$C$1:$C$500)),""),ROW(Create_TC_Web!K315))),"")</f>
        <v/>
      </c>
      <c r="K315" t="str" cm="1">
        <f t="array" ref="K315">IFERROR(INDEX(Create_TC_Web!N$1:N$500,SMALL(IF(Create_TC_Web!$C$1:$C$500&lt;&gt;"",MATCH(ROW(Create_TC_Web!$C$1:$C$500),ROW(Create_TC_Web!$C$1:$C$500)),""),ROW(Create_TC_Web!L315))),"")</f>
        <v/>
      </c>
      <c r="L315" t="str" cm="1">
        <f t="array" ref="L315">IFERROR(INDEX(Create_TC_Web!O$1:O$500,SMALL(IF(Create_TC_Web!$C$1:$C$500&lt;&gt;"",MATCH(ROW(Create_TC_Web!$C$1:$C$500),ROW(Create_TC_Web!$C$1:$C$500)),""),ROW(Create_TC_Web!M315))),"")</f>
        <v/>
      </c>
      <c r="M315" t="str" cm="1">
        <f t="array" ref="M315">IFERROR(INDEX(Create_TC_Web!P$1:P$500,SMALL(IF(Create_TC_Web!$C$1:$C$500&lt;&gt;"",MATCH(ROW(Create_TC_Web!$C$1:$C$500),ROW(Create_TC_Web!$C$1:$C$500)),""),ROW(Create_TC_Web!N315))),"")</f>
        <v/>
      </c>
      <c r="N315" t="str" cm="1">
        <f t="array" ref="N315">IFERROR(INDEX(Create_TC_Web!Q$1:Q$500,SMALL(IF(Create_TC_Web!$C$1:$C$500&lt;&gt;"",MATCH(ROW(Create_TC_Web!$C$1:$C$500),ROW(Create_TC_Web!$C$1:$C$500)),""),ROW(Create_TC_Web!O315))),"")</f>
        <v/>
      </c>
      <c r="O315" t="str">
        <f t="shared" si="15"/>
        <v/>
      </c>
      <c r="P315" s="17" t="str" cm="1">
        <f t="array" ref="P315">IFERROR(INDEX(Create_TC_Web!S$1:S$500,SMALL(IF(Create_TC_Web!$C$1:$C$500&lt;&gt;"",MATCH(ROW(Create_TC_Web!$C$1:$C$500),ROW(Create_TC_Web!$C$1:$C$500)),""),ROW(Create_TC_Web!Q293))),"")</f>
        <v/>
      </c>
      <c r="S315" t="str">
        <f t="shared" si="16"/>
        <v/>
      </c>
    </row>
    <row r="316" spans="1:19">
      <c r="A316" t="str" cm="1">
        <f t="array" ref="A316">IFERROR(INDEX(Create_TC_Web!D$1:D$500,SMALL(IF(Create_TC_Web!$C$1:$C$500&lt;&gt;"",MATCH(ROW(Create_TC_Web!$C$1:$C$500),ROW(Create_TC_Web!$C$1:$C$500)),""),ROW(Create_TC_Web!B316))),"")</f>
        <v/>
      </c>
      <c r="B316" t="str" cm="1">
        <f t="array" ref="B316">SUBSTITUTE(SUBSTITUTE(SUBSTITUTE(IFERROR(INDEX(Create_TC_Web!E$1:E$505,SMALL(IF(Create_TC_Web!$C$1:$C$505&lt;&gt;"",MATCH(ROW(Create_TC_Web!$C$1:$C$505),ROW(Create_TC_Web!$C$1:$C$505)),""),ROW(Create_TC_Web!C316))),"")," ",""),"-",""),"_","")</f>
        <v/>
      </c>
      <c r="C316" t="str" cm="1">
        <f t="array" ref="C316">IFERROR(INDEX(Create_TC_Web!F$1:F$500,SMALL(IF(Create_TC_Web!$C$1:$C$500&lt;&gt;"",MATCH(ROW(Create_TC_Web!$C$1:$C$500),ROW(Create_TC_Web!$C$1:$C$500)),""),ROW(Create_TC_Web!D316))),"")</f>
        <v/>
      </c>
      <c r="D316" t="str" cm="1">
        <f t="array" ref="D316">IFERROR(INDEX(Create_TC_Web!G$1:G$500,SMALL(IF(Create_TC_Web!$C$1:$C$500&lt;&gt;"",MATCH(ROW(Create_TC_Web!$C$1:$C$500),ROW(Create_TC_Web!$C$1:$C$500)),""),ROW(Create_TC_Web!E316))),"")</f>
        <v/>
      </c>
      <c r="E316" t="str" cm="1">
        <f t="array" ref="E316">IFERROR(INDEX(Create_TC_Web!H$1:H$500,SMALL(IF(Create_TC_Web!$C$1:$C$500&lt;&gt;"",MATCH(ROW(Create_TC_Web!$C$1:$C$500),ROW(Create_TC_Web!$C$1:$C$500)),""),ROW(Create_TC_Web!F316))),"")</f>
        <v/>
      </c>
      <c r="F316" t="str" cm="1">
        <f t="array" ref="F316">IFERROR(INDEX(Create_TC_Web!I$1:I$500,SMALL(IF(Create_TC_Web!$C$1:$C$500&lt;&gt;"",MATCH(ROW(Create_TC_Web!$C$1:$C$500),ROW(Create_TC_Web!$C$1:$C$500)),""),ROW(Create_TC_Web!G316))),"")</f>
        <v/>
      </c>
      <c r="G316" t="str" cm="1">
        <f t="array" ref="G316">IFERROR(INDEX(Create_TC_Web!J$1:J$500,SMALL(IF(Create_TC_Web!$C$1:$C$500&lt;&gt;"",MATCH(ROW(Create_TC_Web!$C$1:$C$500),ROW(Create_TC_Web!$C$1:$C$500)),""),ROW(Create_TC_Web!H316))),"")</f>
        <v/>
      </c>
      <c r="H316" t="str" cm="1">
        <f t="array" ref="H316">IFERROR(INDEX(Create_TC_Web!K$1:K$500,SMALL(IF(Create_TC_Web!$C$1:$C$500&lt;&gt;"",MATCH(ROW(Create_TC_Web!$C$1:$C$500),ROW(Create_TC_Web!$C$1:$C$500)),""),ROW(Create_TC_Web!I316))),"")</f>
        <v/>
      </c>
      <c r="I316" t="str" cm="1">
        <f t="array" ref="I316">IFERROR(INDEX(Create_TC_Web!L$1:L$500,SMALL(IF(Create_TC_Web!$C$1:$C$500&lt;&gt;"",MATCH(ROW(Create_TC_Web!$C$1:$C$500),ROW(Create_TC_Web!$C$1:$C$500)),""),ROW(Create_TC_Web!J316))),"")</f>
        <v/>
      </c>
      <c r="J316" t="str" cm="1">
        <f t="array" ref="J316">IFERROR(INDEX(Create_TC_Web!M$1:M$500,SMALL(IF(Create_TC_Web!$C$1:$C$500&lt;&gt;"",MATCH(ROW(Create_TC_Web!$C$1:$C$500),ROW(Create_TC_Web!$C$1:$C$500)),""),ROW(Create_TC_Web!K316))),"")</f>
        <v/>
      </c>
      <c r="K316" t="str" cm="1">
        <f t="array" ref="K316">IFERROR(INDEX(Create_TC_Web!N$1:N$500,SMALL(IF(Create_TC_Web!$C$1:$C$500&lt;&gt;"",MATCH(ROW(Create_TC_Web!$C$1:$C$500),ROW(Create_TC_Web!$C$1:$C$500)),""),ROW(Create_TC_Web!L316))),"")</f>
        <v/>
      </c>
      <c r="L316" t="str" cm="1">
        <f t="array" ref="L316">IFERROR(INDEX(Create_TC_Web!O$1:O$500,SMALL(IF(Create_TC_Web!$C$1:$C$500&lt;&gt;"",MATCH(ROW(Create_TC_Web!$C$1:$C$500),ROW(Create_TC_Web!$C$1:$C$500)),""),ROW(Create_TC_Web!M316))),"")</f>
        <v/>
      </c>
      <c r="M316" t="str" cm="1">
        <f t="array" ref="M316">IFERROR(INDEX(Create_TC_Web!P$1:P$500,SMALL(IF(Create_TC_Web!$C$1:$C$500&lt;&gt;"",MATCH(ROW(Create_TC_Web!$C$1:$C$500),ROW(Create_TC_Web!$C$1:$C$500)),""),ROW(Create_TC_Web!N316))),"")</f>
        <v/>
      </c>
      <c r="N316" t="str" cm="1">
        <f t="array" ref="N316">IFERROR(INDEX(Create_TC_Web!Q$1:Q$500,SMALL(IF(Create_TC_Web!$C$1:$C$500&lt;&gt;"",MATCH(ROW(Create_TC_Web!$C$1:$C$500),ROW(Create_TC_Web!$C$1:$C$500)),""),ROW(Create_TC_Web!O316))),"")</f>
        <v/>
      </c>
      <c r="O316" t="str">
        <f t="shared" si="15"/>
        <v/>
      </c>
      <c r="P316" s="17" t="str" cm="1">
        <f t="array" ref="P316">IFERROR(INDEX(Create_TC_Web!S$1:S$500,SMALL(IF(Create_TC_Web!$C$1:$C$500&lt;&gt;"",MATCH(ROW(Create_TC_Web!$C$1:$C$500),ROW(Create_TC_Web!$C$1:$C$500)),""),ROW(Create_TC_Web!Q294))),"")</f>
        <v/>
      </c>
      <c r="S316" t="str">
        <f t="shared" si="16"/>
        <v/>
      </c>
    </row>
    <row r="317" spans="1:19">
      <c r="A317" t="str" cm="1">
        <f t="array" ref="A317">IFERROR(INDEX(Create_TC_Web!D$1:D$500,SMALL(IF(Create_TC_Web!$C$1:$C$500&lt;&gt;"",MATCH(ROW(Create_TC_Web!$C$1:$C$500),ROW(Create_TC_Web!$C$1:$C$500)),""),ROW(Create_TC_Web!B317))),"")</f>
        <v/>
      </c>
      <c r="B317" t="str" cm="1">
        <f t="array" ref="B317">SUBSTITUTE(SUBSTITUTE(SUBSTITUTE(IFERROR(INDEX(Create_TC_Web!E$1:E$505,SMALL(IF(Create_TC_Web!$C$1:$C$505&lt;&gt;"",MATCH(ROW(Create_TC_Web!$C$1:$C$505),ROW(Create_TC_Web!$C$1:$C$505)),""),ROW(Create_TC_Web!C317))),"")," ",""),"-",""),"_","")</f>
        <v/>
      </c>
      <c r="C317" t="str" cm="1">
        <f t="array" ref="C317">IFERROR(INDEX(Create_TC_Web!F$1:F$500,SMALL(IF(Create_TC_Web!$C$1:$C$500&lt;&gt;"",MATCH(ROW(Create_TC_Web!$C$1:$C$500),ROW(Create_TC_Web!$C$1:$C$500)),""),ROW(Create_TC_Web!D317))),"")</f>
        <v/>
      </c>
      <c r="D317" t="str" cm="1">
        <f t="array" ref="D317">IFERROR(INDEX(Create_TC_Web!G$1:G$500,SMALL(IF(Create_TC_Web!$C$1:$C$500&lt;&gt;"",MATCH(ROW(Create_TC_Web!$C$1:$C$500),ROW(Create_TC_Web!$C$1:$C$500)),""),ROW(Create_TC_Web!E317))),"")</f>
        <v/>
      </c>
      <c r="E317" t="str" cm="1">
        <f t="array" ref="E317">IFERROR(INDEX(Create_TC_Web!H$1:H$500,SMALL(IF(Create_TC_Web!$C$1:$C$500&lt;&gt;"",MATCH(ROW(Create_TC_Web!$C$1:$C$500),ROW(Create_TC_Web!$C$1:$C$500)),""),ROW(Create_TC_Web!F317))),"")</f>
        <v/>
      </c>
      <c r="F317" t="str" cm="1">
        <f t="array" ref="F317">IFERROR(INDEX(Create_TC_Web!I$1:I$500,SMALL(IF(Create_TC_Web!$C$1:$C$500&lt;&gt;"",MATCH(ROW(Create_TC_Web!$C$1:$C$500),ROW(Create_TC_Web!$C$1:$C$500)),""),ROW(Create_TC_Web!G317))),"")</f>
        <v/>
      </c>
      <c r="G317" t="str" cm="1">
        <f t="array" ref="G317">IFERROR(INDEX(Create_TC_Web!J$1:J$500,SMALL(IF(Create_TC_Web!$C$1:$C$500&lt;&gt;"",MATCH(ROW(Create_TC_Web!$C$1:$C$500),ROW(Create_TC_Web!$C$1:$C$500)),""),ROW(Create_TC_Web!H317))),"")</f>
        <v/>
      </c>
      <c r="H317" t="str" cm="1">
        <f t="array" ref="H317">IFERROR(INDEX(Create_TC_Web!K$1:K$500,SMALL(IF(Create_TC_Web!$C$1:$C$500&lt;&gt;"",MATCH(ROW(Create_TC_Web!$C$1:$C$500),ROW(Create_TC_Web!$C$1:$C$500)),""),ROW(Create_TC_Web!I317))),"")</f>
        <v/>
      </c>
      <c r="I317" t="str" cm="1">
        <f t="array" ref="I317">IFERROR(INDEX(Create_TC_Web!L$1:L$500,SMALL(IF(Create_TC_Web!$C$1:$C$500&lt;&gt;"",MATCH(ROW(Create_TC_Web!$C$1:$C$500),ROW(Create_TC_Web!$C$1:$C$500)),""),ROW(Create_TC_Web!J317))),"")</f>
        <v/>
      </c>
      <c r="J317" t="str" cm="1">
        <f t="array" ref="J317">IFERROR(INDEX(Create_TC_Web!M$1:M$500,SMALL(IF(Create_TC_Web!$C$1:$C$500&lt;&gt;"",MATCH(ROW(Create_TC_Web!$C$1:$C$500),ROW(Create_TC_Web!$C$1:$C$500)),""),ROW(Create_TC_Web!K317))),"")</f>
        <v/>
      </c>
      <c r="K317" t="str" cm="1">
        <f t="array" ref="K317">IFERROR(INDEX(Create_TC_Web!N$1:N$500,SMALL(IF(Create_TC_Web!$C$1:$C$500&lt;&gt;"",MATCH(ROW(Create_TC_Web!$C$1:$C$500),ROW(Create_TC_Web!$C$1:$C$500)),""),ROW(Create_TC_Web!L317))),"")</f>
        <v/>
      </c>
      <c r="L317" t="str" cm="1">
        <f t="array" ref="L317">IFERROR(INDEX(Create_TC_Web!O$1:O$500,SMALL(IF(Create_TC_Web!$C$1:$C$500&lt;&gt;"",MATCH(ROW(Create_TC_Web!$C$1:$C$500),ROW(Create_TC_Web!$C$1:$C$500)),""),ROW(Create_TC_Web!M317))),"")</f>
        <v/>
      </c>
      <c r="M317" t="str" cm="1">
        <f t="array" ref="M317">IFERROR(INDEX(Create_TC_Web!P$1:P$500,SMALL(IF(Create_TC_Web!$C$1:$C$500&lt;&gt;"",MATCH(ROW(Create_TC_Web!$C$1:$C$500),ROW(Create_TC_Web!$C$1:$C$500)),""),ROW(Create_TC_Web!N317))),"")</f>
        <v/>
      </c>
      <c r="N317" t="str" cm="1">
        <f t="array" ref="N317">IFERROR(INDEX(Create_TC_Web!Q$1:Q$500,SMALL(IF(Create_TC_Web!$C$1:$C$500&lt;&gt;"",MATCH(ROW(Create_TC_Web!$C$1:$C$500),ROW(Create_TC_Web!$C$1:$C$500)),""),ROW(Create_TC_Web!O317))),"")</f>
        <v/>
      </c>
      <c r="O317" t="str">
        <f t="shared" si="15"/>
        <v/>
      </c>
      <c r="P317" s="17" t="str" cm="1">
        <f t="array" ref="P317">IFERROR(INDEX(Create_TC_Web!S$1:S$500,SMALL(IF(Create_TC_Web!$C$1:$C$500&lt;&gt;"",MATCH(ROW(Create_TC_Web!$C$1:$C$500),ROW(Create_TC_Web!$C$1:$C$500)),""),ROW(Create_TC_Web!Q295))),"")</f>
        <v/>
      </c>
      <c r="S317" t="str">
        <f t="shared" si="16"/>
        <v/>
      </c>
    </row>
    <row r="318" spans="1:19">
      <c r="A318" t="str" cm="1">
        <f t="array" ref="A318">IFERROR(INDEX(Create_TC_Web!D$1:D$500,SMALL(IF(Create_TC_Web!$C$1:$C$500&lt;&gt;"",MATCH(ROW(Create_TC_Web!$C$1:$C$500),ROW(Create_TC_Web!$C$1:$C$500)),""),ROW(Create_TC_Web!B318))),"")</f>
        <v/>
      </c>
      <c r="B318" t="str" cm="1">
        <f t="array" ref="B318">SUBSTITUTE(SUBSTITUTE(SUBSTITUTE(IFERROR(INDEX(Create_TC_Web!E$1:E$505,SMALL(IF(Create_TC_Web!$C$1:$C$505&lt;&gt;"",MATCH(ROW(Create_TC_Web!$C$1:$C$505),ROW(Create_TC_Web!$C$1:$C$505)),""),ROW(Create_TC_Web!C318))),"")," ",""),"-",""),"_","")</f>
        <v/>
      </c>
      <c r="C318" t="str" cm="1">
        <f t="array" ref="C318">IFERROR(INDEX(Create_TC_Web!F$1:F$500,SMALL(IF(Create_TC_Web!$C$1:$C$500&lt;&gt;"",MATCH(ROW(Create_TC_Web!$C$1:$C$500),ROW(Create_TC_Web!$C$1:$C$500)),""),ROW(Create_TC_Web!D318))),"")</f>
        <v/>
      </c>
      <c r="D318" t="str" cm="1">
        <f t="array" ref="D318">IFERROR(INDEX(Create_TC_Web!G$1:G$500,SMALL(IF(Create_TC_Web!$C$1:$C$500&lt;&gt;"",MATCH(ROW(Create_TC_Web!$C$1:$C$500),ROW(Create_TC_Web!$C$1:$C$500)),""),ROW(Create_TC_Web!E318))),"")</f>
        <v/>
      </c>
      <c r="E318" t="str" cm="1">
        <f t="array" ref="E318">IFERROR(INDEX(Create_TC_Web!H$1:H$500,SMALL(IF(Create_TC_Web!$C$1:$C$500&lt;&gt;"",MATCH(ROW(Create_TC_Web!$C$1:$C$500),ROW(Create_TC_Web!$C$1:$C$500)),""),ROW(Create_TC_Web!F318))),"")</f>
        <v/>
      </c>
      <c r="F318" t="str" cm="1">
        <f t="array" ref="F318">IFERROR(INDEX(Create_TC_Web!I$1:I$500,SMALL(IF(Create_TC_Web!$C$1:$C$500&lt;&gt;"",MATCH(ROW(Create_TC_Web!$C$1:$C$500),ROW(Create_TC_Web!$C$1:$C$500)),""),ROW(Create_TC_Web!G318))),"")</f>
        <v/>
      </c>
      <c r="G318" t="str" cm="1">
        <f t="array" ref="G318">IFERROR(INDEX(Create_TC_Web!J$1:J$500,SMALL(IF(Create_TC_Web!$C$1:$C$500&lt;&gt;"",MATCH(ROW(Create_TC_Web!$C$1:$C$500),ROW(Create_TC_Web!$C$1:$C$500)),""),ROW(Create_TC_Web!H318))),"")</f>
        <v/>
      </c>
      <c r="H318" t="str" cm="1">
        <f t="array" ref="H318">IFERROR(INDEX(Create_TC_Web!K$1:K$500,SMALL(IF(Create_TC_Web!$C$1:$C$500&lt;&gt;"",MATCH(ROW(Create_TC_Web!$C$1:$C$500),ROW(Create_TC_Web!$C$1:$C$500)),""),ROW(Create_TC_Web!I318))),"")</f>
        <v/>
      </c>
      <c r="I318" t="str" cm="1">
        <f t="array" ref="I318">IFERROR(INDEX(Create_TC_Web!L$1:L$500,SMALL(IF(Create_TC_Web!$C$1:$C$500&lt;&gt;"",MATCH(ROW(Create_TC_Web!$C$1:$C$500),ROW(Create_TC_Web!$C$1:$C$500)),""),ROW(Create_TC_Web!J318))),"")</f>
        <v/>
      </c>
      <c r="J318" t="str" cm="1">
        <f t="array" ref="J318">IFERROR(INDEX(Create_TC_Web!M$1:M$500,SMALL(IF(Create_TC_Web!$C$1:$C$500&lt;&gt;"",MATCH(ROW(Create_TC_Web!$C$1:$C$500),ROW(Create_TC_Web!$C$1:$C$500)),""),ROW(Create_TC_Web!K318))),"")</f>
        <v/>
      </c>
      <c r="K318" t="str" cm="1">
        <f t="array" ref="K318">IFERROR(INDEX(Create_TC_Web!N$1:N$500,SMALL(IF(Create_TC_Web!$C$1:$C$500&lt;&gt;"",MATCH(ROW(Create_TC_Web!$C$1:$C$500),ROW(Create_TC_Web!$C$1:$C$500)),""),ROW(Create_TC_Web!L318))),"")</f>
        <v/>
      </c>
      <c r="L318" t="str" cm="1">
        <f t="array" ref="L318">IFERROR(INDEX(Create_TC_Web!O$1:O$500,SMALL(IF(Create_TC_Web!$C$1:$C$500&lt;&gt;"",MATCH(ROW(Create_TC_Web!$C$1:$C$500),ROW(Create_TC_Web!$C$1:$C$500)),""),ROW(Create_TC_Web!M318))),"")</f>
        <v/>
      </c>
      <c r="M318" t="str" cm="1">
        <f t="array" ref="M318">IFERROR(INDEX(Create_TC_Web!P$1:P$500,SMALL(IF(Create_TC_Web!$C$1:$C$500&lt;&gt;"",MATCH(ROW(Create_TC_Web!$C$1:$C$500),ROW(Create_TC_Web!$C$1:$C$500)),""),ROW(Create_TC_Web!N318))),"")</f>
        <v/>
      </c>
      <c r="N318" t="str" cm="1">
        <f t="array" ref="N318">IFERROR(INDEX(Create_TC_Web!Q$1:Q$500,SMALL(IF(Create_TC_Web!$C$1:$C$500&lt;&gt;"",MATCH(ROW(Create_TC_Web!$C$1:$C$500),ROW(Create_TC_Web!$C$1:$C$500)),""),ROW(Create_TC_Web!O318))),"")</f>
        <v/>
      </c>
      <c r="O318" t="str">
        <f t="shared" si="15"/>
        <v/>
      </c>
      <c r="P318" s="17" t="str" cm="1">
        <f t="array" ref="P318">IFERROR(INDEX(Create_TC_Web!S$1:S$500,SMALL(IF(Create_TC_Web!$C$1:$C$500&lt;&gt;"",MATCH(ROW(Create_TC_Web!$C$1:$C$500),ROW(Create_TC_Web!$C$1:$C$500)),""),ROW(Create_TC_Web!Q296))),"")</f>
        <v/>
      </c>
      <c r="S318" t="str">
        <f t="shared" si="16"/>
        <v/>
      </c>
    </row>
    <row r="319" spans="1:19">
      <c r="A319" t="str" cm="1">
        <f t="array" ref="A319">IFERROR(INDEX(Create_TC_Web!D$1:D$500,SMALL(IF(Create_TC_Web!$C$1:$C$500&lt;&gt;"",MATCH(ROW(Create_TC_Web!$C$1:$C$500),ROW(Create_TC_Web!$C$1:$C$500)),""),ROW(Create_TC_Web!B319))),"")</f>
        <v/>
      </c>
      <c r="B319" t="str" cm="1">
        <f t="array" ref="B319">SUBSTITUTE(SUBSTITUTE(SUBSTITUTE(IFERROR(INDEX(Create_TC_Web!E$1:E$505,SMALL(IF(Create_TC_Web!$C$1:$C$505&lt;&gt;"",MATCH(ROW(Create_TC_Web!$C$1:$C$505),ROW(Create_TC_Web!$C$1:$C$505)),""),ROW(Create_TC_Web!C319))),"")," ",""),"-",""),"_","")</f>
        <v/>
      </c>
      <c r="C319" t="str" cm="1">
        <f t="array" ref="C319">IFERROR(INDEX(Create_TC_Web!F$1:F$500,SMALL(IF(Create_TC_Web!$C$1:$C$500&lt;&gt;"",MATCH(ROW(Create_TC_Web!$C$1:$C$500),ROW(Create_TC_Web!$C$1:$C$500)),""),ROW(Create_TC_Web!D319))),"")</f>
        <v/>
      </c>
      <c r="D319" t="str" cm="1">
        <f t="array" ref="D319">IFERROR(INDEX(Create_TC_Web!G$1:G$500,SMALL(IF(Create_TC_Web!$C$1:$C$500&lt;&gt;"",MATCH(ROW(Create_TC_Web!$C$1:$C$500),ROW(Create_TC_Web!$C$1:$C$500)),""),ROW(Create_TC_Web!E319))),"")</f>
        <v/>
      </c>
      <c r="E319" t="str" cm="1">
        <f t="array" ref="E319">IFERROR(INDEX(Create_TC_Web!H$1:H$500,SMALL(IF(Create_TC_Web!$C$1:$C$500&lt;&gt;"",MATCH(ROW(Create_TC_Web!$C$1:$C$500),ROW(Create_TC_Web!$C$1:$C$500)),""),ROW(Create_TC_Web!F319))),"")</f>
        <v/>
      </c>
      <c r="F319" t="str" cm="1">
        <f t="array" ref="F319">IFERROR(INDEX(Create_TC_Web!I$1:I$500,SMALL(IF(Create_TC_Web!$C$1:$C$500&lt;&gt;"",MATCH(ROW(Create_TC_Web!$C$1:$C$500),ROW(Create_TC_Web!$C$1:$C$500)),""),ROW(Create_TC_Web!G319))),"")</f>
        <v/>
      </c>
      <c r="G319" t="str" cm="1">
        <f t="array" ref="G319">IFERROR(INDEX(Create_TC_Web!J$1:J$500,SMALL(IF(Create_TC_Web!$C$1:$C$500&lt;&gt;"",MATCH(ROW(Create_TC_Web!$C$1:$C$500),ROW(Create_TC_Web!$C$1:$C$500)),""),ROW(Create_TC_Web!H319))),"")</f>
        <v/>
      </c>
      <c r="H319" t="str" cm="1">
        <f t="array" ref="H319">IFERROR(INDEX(Create_TC_Web!K$1:K$500,SMALL(IF(Create_TC_Web!$C$1:$C$500&lt;&gt;"",MATCH(ROW(Create_TC_Web!$C$1:$C$500),ROW(Create_TC_Web!$C$1:$C$500)),""),ROW(Create_TC_Web!I319))),"")</f>
        <v/>
      </c>
      <c r="I319" t="str" cm="1">
        <f t="array" ref="I319">IFERROR(INDEX(Create_TC_Web!L$1:L$500,SMALL(IF(Create_TC_Web!$C$1:$C$500&lt;&gt;"",MATCH(ROW(Create_TC_Web!$C$1:$C$500),ROW(Create_TC_Web!$C$1:$C$500)),""),ROW(Create_TC_Web!J319))),"")</f>
        <v/>
      </c>
      <c r="J319" t="str" cm="1">
        <f t="array" ref="J319">IFERROR(INDEX(Create_TC_Web!M$1:M$500,SMALL(IF(Create_TC_Web!$C$1:$C$500&lt;&gt;"",MATCH(ROW(Create_TC_Web!$C$1:$C$500),ROW(Create_TC_Web!$C$1:$C$500)),""),ROW(Create_TC_Web!K319))),"")</f>
        <v/>
      </c>
      <c r="K319" t="str" cm="1">
        <f t="array" ref="K319">IFERROR(INDEX(Create_TC_Web!N$1:N$500,SMALL(IF(Create_TC_Web!$C$1:$C$500&lt;&gt;"",MATCH(ROW(Create_TC_Web!$C$1:$C$500),ROW(Create_TC_Web!$C$1:$C$500)),""),ROW(Create_TC_Web!L319))),"")</f>
        <v/>
      </c>
      <c r="L319" t="str" cm="1">
        <f t="array" ref="L319">IFERROR(INDEX(Create_TC_Web!O$1:O$500,SMALL(IF(Create_TC_Web!$C$1:$C$500&lt;&gt;"",MATCH(ROW(Create_TC_Web!$C$1:$C$500),ROW(Create_TC_Web!$C$1:$C$500)),""),ROW(Create_TC_Web!M319))),"")</f>
        <v/>
      </c>
      <c r="M319" t="str" cm="1">
        <f t="array" ref="M319">IFERROR(INDEX(Create_TC_Web!P$1:P$500,SMALL(IF(Create_TC_Web!$C$1:$C$500&lt;&gt;"",MATCH(ROW(Create_TC_Web!$C$1:$C$500),ROW(Create_TC_Web!$C$1:$C$500)),""),ROW(Create_TC_Web!N319))),"")</f>
        <v/>
      </c>
      <c r="N319" t="str" cm="1">
        <f t="array" ref="N319">IFERROR(INDEX(Create_TC_Web!Q$1:Q$500,SMALL(IF(Create_TC_Web!$C$1:$C$500&lt;&gt;"",MATCH(ROW(Create_TC_Web!$C$1:$C$500),ROW(Create_TC_Web!$C$1:$C$500)),""),ROW(Create_TC_Web!O319))),"")</f>
        <v/>
      </c>
      <c r="O319" t="str">
        <f t="shared" si="15"/>
        <v/>
      </c>
      <c r="P319" s="17" t="str" cm="1">
        <f t="array" ref="P319">IFERROR(INDEX(Create_TC_Web!S$1:S$500,SMALL(IF(Create_TC_Web!$C$1:$C$500&lt;&gt;"",MATCH(ROW(Create_TC_Web!$C$1:$C$500),ROW(Create_TC_Web!$C$1:$C$500)),""),ROW(Create_TC_Web!Q297))),"")</f>
        <v/>
      </c>
      <c r="S319" t="str">
        <f t="shared" si="16"/>
        <v/>
      </c>
    </row>
    <row r="320" spans="1:19">
      <c r="A320" t="str" cm="1">
        <f t="array" ref="A320">IFERROR(INDEX(Create_TC_Web!D$1:D$500,SMALL(IF(Create_TC_Web!$C$1:$C$500&lt;&gt;"",MATCH(ROW(Create_TC_Web!$C$1:$C$500),ROW(Create_TC_Web!$C$1:$C$500)),""),ROW(Create_TC_Web!B320))),"")</f>
        <v/>
      </c>
      <c r="B320" t="str" cm="1">
        <f t="array" ref="B320">SUBSTITUTE(SUBSTITUTE(SUBSTITUTE(IFERROR(INDEX(Create_TC_Web!E$1:E$505,SMALL(IF(Create_TC_Web!$C$1:$C$505&lt;&gt;"",MATCH(ROW(Create_TC_Web!$C$1:$C$505),ROW(Create_TC_Web!$C$1:$C$505)),""),ROW(Create_TC_Web!C320))),"")," ",""),"-",""),"_","")</f>
        <v/>
      </c>
      <c r="C320" t="str" cm="1">
        <f t="array" ref="C320">IFERROR(INDEX(Create_TC_Web!F$1:F$500,SMALL(IF(Create_TC_Web!$C$1:$C$500&lt;&gt;"",MATCH(ROW(Create_TC_Web!$C$1:$C$500),ROW(Create_TC_Web!$C$1:$C$500)),""),ROW(Create_TC_Web!D320))),"")</f>
        <v/>
      </c>
      <c r="D320" t="str" cm="1">
        <f t="array" ref="D320">IFERROR(INDEX(Create_TC_Web!G$1:G$500,SMALL(IF(Create_TC_Web!$C$1:$C$500&lt;&gt;"",MATCH(ROW(Create_TC_Web!$C$1:$C$500),ROW(Create_TC_Web!$C$1:$C$500)),""),ROW(Create_TC_Web!E320))),"")</f>
        <v/>
      </c>
      <c r="E320" t="str" cm="1">
        <f t="array" ref="E320">IFERROR(INDEX(Create_TC_Web!H$1:H$500,SMALL(IF(Create_TC_Web!$C$1:$C$500&lt;&gt;"",MATCH(ROW(Create_TC_Web!$C$1:$C$500),ROW(Create_TC_Web!$C$1:$C$500)),""),ROW(Create_TC_Web!F320))),"")</f>
        <v/>
      </c>
      <c r="F320" t="str" cm="1">
        <f t="array" ref="F320">IFERROR(INDEX(Create_TC_Web!I$1:I$500,SMALL(IF(Create_TC_Web!$C$1:$C$500&lt;&gt;"",MATCH(ROW(Create_TC_Web!$C$1:$C$500),ROW(Create_TC_Web!$C$1:$C$500)),""),ROW(Create_TC_Web!G320))),"")</f>
        <v/>
      </c>
      <c r="G320" t="str" cm="1">
        <f t="array" ref="G320">IFERROR(INDEX(Create_TC_Web!J$1:J$500,SMALL(IF(Create_TC_Web!$C$1:$C$500&lt;&gt;"",MATCH(ROW(Create_TC_Web!$C$1:$C$500),ROW(Create_TC_Web!$C$1:$C$500)),""),ROW(Create_TC_Web!H320))),"")</f>
        <v/>
      </c>
      <c r="H320" t="str" cm="1">
        <f t="array" ref="H320">IFERROR(INDEX(Create_TC_Web!K$1:K$500,SMALL(IF(Create_TC_Web!$C$1:$C$500&lt;&gt;"",MATCH(ROW(Create_TC_Web!$C$1:$C$500),ROW(Create_TC_Web!$C$1:$C$500)),""),ROW(Create_TC_Web!I320))),"")</f>
        <v/>
      </c>
      <c r="I320" t="str" cm="1">
        <f t="array" ref="I320">IFERROR(INDEX(Create_TC_Web!L$1:L$500,SMALL(IF(Create_TC_Web!$C$1:$C$500&lt;&gt;"",MATCH(ROW(Create_TC_Web!$C$1:$C$500),ROW(Create_TC_Web!$C$1:$C$500)),""),ROW(Create_TC_Web!J320))),"")</f>
        <v/>
      </c>
      <c r="J320" t="str" cm="1">
        <f t="array" ref="J320">IFERROR(INDEX(Create_TC_Web!M$1:M$500,SMALL(IF(Create_TC_Web!$C$1:$C$500&lt;&gt;"",MATCH(ROW(Create_TC_Web!$C$1:$C$500),ROW(Create_TC_Web!$C$1:$C$500)),""),ROW(Create_TC_Web!K320))),"")</f>
        <v/>
      </c>
      <c r="K320" t="str" cm="1">
        <f t="array" ref="K320">IFERROR(INDEX(Create_TC_Web!N$1:N$500,SMALL(IF(Create_TC_Web!$C$1:$C$500&lt;&gt;"",MATCH(ROW(Create_TC_Web!$C$1:$C$500),ROW(Create_TC_Web!$C$1:$C$500)),""),ROW(Create_TC_Web!L320))),"")</f>
        <v/>
      </c>
      <c r="L320" t="str" cm="1">
        <f t="array" ref="L320">IFERROR(INDEX(Create_TC_Web!O$1:O$500,SMALL(IF(Create_TC_Web!$C$1:$C$500&lt;&gt;"",MATCH(ROW(Create_TC_Web!$C$1:$C$500),ROW(Create_TC_Web!$C$1:$C$500)),""),ROW(Create_TC_Web!M320))),"")</f>
        <v/>
      </c>
      <c r="M320" t="str" cm="1">
        <f t="array" ref="M320">IFERROR(INDEX(Create_TC_Web!P$1:P$500,SMALL(IF(Create_TC_Web!$C$1:$C$500&lt;&gt;"",MATCH(ROW(Create_TC_Web!$C$1:$C$500),ROW(Create_TC_Web!$C$1:$C$500)),""),ROW(Create_TC_Web!N320))),"")</f>
        <v/>
      </c>
      <c r="N320" t="str" cm="1">
        <f t="array" ref="N320">IFERROR(INDEX(Create_TC_Web!Q$1:Q$500,SMALL(IF(Create_TC_Web!$C$1:$C$500&lt;&gt;"",MATCH(ROW(Create_TC_Web!$C$1:$C$500),ROW(Create_TC_Web!$C$1:$C$500)),""),ROW(Create_TC_Web!O320))),"")</f>
        <v/>
      </c>
      <c r="O320" t="str">
        <f t="shared" si="15"/>
        <v/>
      </c>
      <c r="P320" s="17" t="str" cm="1">
        <f t="array" ref="P320">IFERROR(INDEX(Create_TC_Web!S$1:S$500,SMALL(IF(Create_TC_Web!$C$1:$C$500&lt;&gt;"",MATCH(ROW(Create_TC_Web!$C$1:$C$500),ROW(Create_TC_Web!$C$1:$C$500)),""),ROW(Create_TC_Web!Q298))),"")</f>
        <v/>
      </c>
      <c r="S320" t="str">
        <f t="shared" si="16"/>
        <v/>
      </c>
    </row>
    <row r="321" spans="1:19">
      <c r="A321" t="str" cm="1">
        <f t="array" ref="A321">IFERROR(INDEX(Create_TC_Web!D$1:D$500,SMALL(IF(Create_TC_Web!$C$1:$C$500&lt;&gt;"",MATCH(ROW(Create_TC_Web!$C$1:$C$500),ROW(Create_TC_Web!$C$1:$C$500)),""),ROW(Create_TC_Web!B321))),"")</f>
        <v/>
      </c>
      <c r="B321" t="str" cm="1">
        <f t="array" ref="B321">SUBSTITUTE(SUBSTITUTE(SUBSTITUTE(IFERROR(INDEX(Create_TC_Web!E$1:E$505,SMALL(IF(Create_TC_Web!$C$1:$C$505&lt;&gt;"",MATCH(ROW(Create_TC_Web!$C$1:$C$505),ROW(Create_TC_Web!$C$1:$C$505)),""),ROW(Create_TC_Web!C321))),"")," ",""),"-",""),"_","")</f>
        <v/>
      </c>
      <c r="C321" t="str" cm="1">
        <f t="array" ref="C321">IFERROR(INDEX(Create_TC_Web!F$1:F$500,SMALL(IF(Create_TC_Web!$C$1:$C$500&lt;&gt;"",MATCH(ROW(Create_TC_Web!$C$1:$C$500),ROW(Create_TC_Web!$C$1:$C$500)),""),ROW(Create_TC_Web!D321))),"")</f>
        <v/>
      </c>
      <c r="D321" t="str" cm="1">
        <f t="array" ref="D321">IFERROR(INDEX(Create_TC_Web!G$1:G$500,SMALL(IF(Create_TC_Web!$C$1:$C$500&lt;&gt;"",MATCH(ROW(Create_TC_Web!$C$1:$C$500),ROW(Create_TC_Web!$C$1:$C$500)),""),ROW(Create_TC_Web!E321))),"")</f>
        <v/>
      </c>
      <c r="E321" t="str" cm="1">
        <f t="array" ref="E321">IFERROR(INDEX(Create_TC_Web!H$1:H$500,SMALL(IF(Create_TC_Web!$C$1:$C$500&lt;&gt;"",MATCH(ROW(Create_TC_Web!$C$1:$C$500),ROW(Create_TC_Web!$C$1:$C$500)),""),ROW(Create_TC_Web!F321))),"")</f>
        <v/>
      </c>
      <c r="F321" t="str" cm="1">
        <f t="array" ref="F321">IFERROR(INDEX(Create_TC_Web!I$1:I$500,SMALL(IF(Create_TC_Web!$C$1:$C$500&lt;&gt;"",MATCH(ROW(Create_TC_Web!$C$1:$C$500),ROW(Create_TC_Web!$C$1:$C$500)),""),ROW(Create_TC_Web!G321))),"")</f>
        <v/>
      </c>
      <c r="G321" t="str" cm="1">
        <f t="array" ref="G321">IFERROR(INDEX(Create_TC_Web!J$1:J$500,SMALL(IF(Create_TC_Web!$C$1:$C$500&lt;&gt;"",MATCH(ROW(Create_TC_Web!$C$1:$C$500),ROW(Create_TC_Web!$C$1:$C$500)),""),ROW(Create_TC_Web!H321))),"")</f>
        <v/>
      </c>
      <c r="H321" t="str" cm="1">
        <f t="array" ref="H321">IFERROR(INDEX(Create_TC_Web!K$1:K$500,SMALL(IF(Create_TC_Web!$C$1:$C$500&lt;&gt;"",MATCH(ROW(Create_TC_Web!$C$1:$C$500),ROW(Create_TC_Web!$C$1:$C$500)),""),ROW(Create_TC_Web!I321))),"")</f>
        <v/>
      </c>
      <c r="I321" t="str" cm="1">
        <f t="array" ref="I321">IFERROR(INDEX(Create_TC_Web!L$1:L$500,SMALL(IF(Create_TC_Web!$C$1:$C$500&lt;&gt;"",MATCH(ROW(Create_TC_Web!$C$1:$C$500),ROW(Create_TC_Web!$C$1:$C$500)),""),ROW(Create_TC_Web!J321))),"")</f>
        <v/>
      </c>
      <c r="J321" t="str" cm="1">
        <f t="array" ref="J321">IFERROR(INDEX(Create_TC_Web!M$1:M$500,SMALL(IF(Create_TC_Web!$C$1:$C$500&lt;&gt;"",MATCH(ROW(Create_TC_Web!$C$1:$C$500),ROW(Create_TC_Web!$C$1:$C$500)),""),ROW(Create_TC_Web!K321))),"")</f>
        <v/>
      </c>
      <c r="K321" t="str" cm="1">
        <f t="array" ref="K321">IFERROR(INDEX(Create_TC_Web!N$1:N$500,SMALL(IF(Create_TC_Web!$C$1:$C$500&lt;&gt;"",MATCH(ROW(Create_TC_Web!$C$1:$C$500),ROW(Create_TC_Web!$C$1:$C$500)),""),ROW(Create_TC_Web!L321))),"")</f>
        <v/>
      </c>
      <c r="L321" t="str" cm="1">
        <f t="array" ref="L321">IFERROR(INDEX(Create_TC_Web!O$1:O$500,SMALL(IF(Create_TC_Web!$C$1:$C$500&lt;&gt;"",MATCH(ROW(Create_TC_Web!$C$1:$C$500),ROW(Create_TC_Web!$C$1:$C$500)),""),ROW(Create_TC_Web!M321))),"")</f>
        <v/>
      </c>
      <c r="M321" t="str" cm="1">
        <f t="array" ref="M321">IFERROR(INDEX(Create_TC_Web!P$1:P$500,SMALL(IF(Create_TC_Web!$C$1:$C$500&lt;&gt;"",MATCH(ROW(Create_TC_Web!$C$1:$C$500),ROW(Create_TC_Web!$C$1:$C$500)),""),ROW(Create_TC_Web!N321))),"")</f>
        <v/>
      </c>
      <c r="N321" t="str" cm="1">
        <f t="array" ref="N321">IFERROR(INDEX(Create_TC_Web!Q$1:Q$500,SMALL(IF(Create_TC_Web!$C$1:$C$500&lt;&gt;"",MATCH(ROW(Create_TC_Web!$C$1:$C$500),ROW(Create_TC_Web!$C$1:$C$500)),""),ROW(Create_TC_Web!O321))),"")</f>
        <v/>
      </c>
      <c r="O321" t="str">
        <f t="shared" si="15"/>
        <v/>
      </c>
      <c r="P321" s="17" t="str" cm="1">
        <f t="array" ref="P321">IFERROR(INDEX(Create_TC_Web!S$1:S$500,SMALL(IF(Create_TC_Web!$C$1:$C$500&lt;&gt;"",MATCH(ROW(Create_TC_Web!$C$1:$C$500),ROW(Create_TC_Web!$C$1:$C$500)),""),ROW(Create_TC_Web!Q299))),"")</f>
        <v/>
      </c>
      <c r="S321" t="str">
        <f t="shared" si="16"/>
        <v/>
      </c>
    </row>
    <row r="322" spans="1:19">
      <c r="A322" t="str" cm="1">
        <f t="array" ref="A322">IFERROR(INDEX(Create_TC_Web!D$1:D$500,SMALL(IF(Create_TC_Web!$C$1:$C$500&lt;&gt;"",MATCH(ROW(Create_TC_Web!$C$1:$C$500),ROW(Create_TC_Web!$C$1:$C$500)),""),ROW(Create_TC_Web!B322))),"")</f>
        <v/>
      </c>
      <c r="B322" t="str" cm="1">
        <f t="array" ref="B322">SUBSTITUTE(SUBSTITUTE(SUBSTITUTE(IFERROR(INDEX(Create_TC_Web!E$1:E$505,SMALL(IF(Create_TC_Web!$C$1:$C$505&lt;&gt;"",MATCH(ROW(Create_TC_Web!$C$1:$C$505),ROW(Create_TC_Web!$C$1:$C$505)),""),ROW(Create_TC_Web!C322))),"")," ",""),"-",""),"_","")</f>
        <v/>
      </c>
      <c r="C322" t="str" cm="1">
        <f t="array" ref="C322">IFERROR(INDEX(Create_TC_Web!F$1:F$500,SMALL(IF(Create_TC_Web!$C$1:$C$500&lt;&gt;"",MATCH(ROW(Create_TC_Web!$C$1:$C$500),ROW(Create_TC_Web!$C$1:$C$500)),""),ROW(Create_TC_Web!D322))),"")</f>
        <v/>
      </c>
      <c r="D322" t="str" cm="1">
        <f t="array" ref="D322">IFERROR(INDEX(Create_TC_Web!G$1:G$500,SMALL(IF(Create_TC_Web!$C$1:$C$500&lt;&gt;"",MATCH(ROW(Create_TC_Web!$C$1:$C$500),ROW(Create_TC_Web!$C$1:$C$500)),""),ROW(Create_TC_Web!E322))),"")</f>
        <v/>
      </c>
      <c r="E322" t="str" cm="1">
        <f t="array" ref="E322">IFERROR(INDEX(Create_TC_Web!H$1:H$500,SMALL(IF(Create_TC_Web!$C$1:$C$500&lt;&gt;"",MATCH(ROW(Create_TC_Web!$C$1:$C$500),ROW(Create_TC_Web!$C$1:$C$500)),""),ROW(Create_TC_Web!F322))),"")</f>
        <v/>
      </c>
      <c r="F322" t="str" cm="1">
        <f t="array" ref="F322">IFERROR(INDEX(Create_TC_Web!I$1:I$500,SMALL(IF(Create_TC_Web!$C$1:$C$500&lt;&gt;"",MATCH(ROW(Create_TC_Web!$C$1:$C$500),ROW(Create_TC_Web!$C$1:$C$500)),""),ROW(Create_TC_Web!G322))),"")</f>
        <v/>
      </c>
      <c r="G322" t="str" cm="1">
        <f t="array" ref="G322">IFERROR(INDEX(Create_TC_Web!J$1:J$500,SMALL(IF(Create_TC_Web!$C$1:$C$500&lt;&gt;"",MATCH(ROW(Create_TC_Web!$C$1:$C$500),ROW(Create_TC_Web!$C$1:$C$500)),""),ROW(Create_TC_Web!H322))),"")</f>
        <v/>
      </c>
      <c r="H322" t="str" cm="1">
        <f t="array" ref="H322">IFERROR(INDEX(Create_TC_Web!K$1:K$500,SMALL(IF(Create_TC_Web!$C$1:$C$500&lt;&gt;"",MATCH(ROW(Create_TC_Web!$C$1:$C$500),ROW(Create_TC_Web!$C$1:$C$500)),""),ROW(Create_TC_Web!I322))),"")</f>
        <v/>
      </c>
      <c r="I322" t="str" cm="1">
        <f t="array" ref="I322">IFERROR(INDEX(Create_TC_Web!L$1:L$500,SMALL(IF(Create_TC_Web!$C$1:$C$500&lt;&gt;"",MATCH(ROW(Create_TC_Web!$C$1:$C$500),ROW(Create_TC_Web!$C$1:$C$500)),""),ROW(Create_TC_Web!J322))),"")</f>
        <v/>
      </c>
      <c r="J322" t="str" cm="1">
        <f t="array" ref="J322">IFERROR(INDEX(Create_TC_Web!M$1:M$500,SMALL(IF(Create_TC_Web!$C$1:$C$500&lt;&gt;"",MATCH(ROW(Create_TC_Web!$C$1:$C$500),ROW(Create_TC_Web!$C$1:$C$500)),""),ROW(Create_TC_Web!K322))),"")</f>
        <v/>
      </c>
      <c r="K322" t="str" cm="1">
        <f t="array" ref="K322">IFERROR(INDEX(Create_TC_Web!N$1:N$500,SMALL(IF(Create_TC_Web!$C$1:$C$500&lt;&gt;"",MATCH(ROW(Create_TC_Web!$C$1:$C$500),ROW(Create_TC_Web!$C$1:$C$500)),""),ROW(Create_TC_Web!L322))),"")</f>
        <v/>
      </c>
      <c r="L322" t="str" cm="1">
        <f t="array" ref="L322">IFERROR(INDEX(Create_TC_Web!O$1:O$500,SMALL(IF(Create_TC_Web!$C$1:$C$500&lt;&gt;"",MATCH(ROW(Create_TC_Web!$C$1:$C$500),ROW(Create_TC_Web!$C$1:$C$500)),""),ROW(Create_TC_Web!M322))),"")</f>
        <v/>
      </c>
      <c r="M322" t="str" cm="1">
        <f t="array" ref="M322">IFERROR(INDEX(Create_TC_Web!P$1:P$500,SMALL(IF(Create_TC_Web!$C$1:$C$500&lt;&gt;"",MATCH(ROW(Create_TC_Web!$C$1:$C$500),ROW(Create_TC_Web!$C$1:$C$500)),""),ROW(Create_TC_Web!N322))),"")</f>
        <v/>
      </c>
      <c r="N322" t="str" cm="1">
        <f t="array" ref="N322">IFERROR(INDEX(Create_TC_Web!Q$1:Q$500,SMALL(IF(Create_TC_Web!$C$1:$C$500&lt;&gt;"",MATCH(ROW(Create_TC_Web!$C$1:$C$500),ROW(Create_TC_Web!$C$1:$C$500)),""),ROW(Create_TC_Web!O322))),"")</f>
        <v/>
      </c>
      <c r="O322" t="str">
        <f t="shared" si="15"/>
        <v/>
      </c>
      <c r="P322" s="17" t="str" cm="1">
        <f t="array" ref="P322">IFERROR(INDEX(Create_TC_Web!S$1:S$500,SMALL(IF(Create_TC_Web!$C$1:$C$500&lt;&gt;"",MATCH(ROW(Create_TC_Web!$C$1:$C$500),ROW(Create_TC_Web!$C$1:$C$500)),""),ROW(Create_TC_Web!Q300))),"")</f>
        <v/>
      </c>
      <c r="S322" t="str">
        <f t="shared" si="16"/>
        <v/>
      </c>
    </row>
    <row r="323" spans="1:19">
      <c r="A323" t="str" cm="1">
        <f t="array" ref="A323">IFERROR(INDEX(Create_TC_Web!D$1:D$500,SMALL(IF(Create_TC_Web!$C$1:$C$500&lt;&gt;"",MATCH(ROW(Create_TC_Web!$C$1:$C$500),ROW(Create_TC_Web!$C$1:$C$500)),""),ROW(Create_TC_Web!B323))),"")</f>
        <v/>
      </c>
      <c r="B323" t="str" cm="1">
        <f t="array" ref="B323">SUBSTITUTE(SUBSTITUTE(SUBSTITUTE(IFERROR(INDEX(Create_TC_Web!E$1:E$505,SMALL(IF(Create_TC_Web!$C$1:$C$505&lt;&gt;"",MATCH(ROW(Create_TC_Web!$C$1:$C$505),ROW(Create_TC_Web!$C$1:$C$505)),""),ROW(Create_TC_Web!C323))),"")," ",""),"-",""),"_","")</f>
        <v/>
      </c>
      <c r="C323" t="str" cm="1">
        <f t="array" ref="C323">IFERROR(INDEX(Create_TC_Web!F$1:F$500,SMALL(IF(Create_TC_Web!$C$1:$C$500&lt;&gt;"",MATCH(ROW(Create_TC_Web!$C$1:$C$500),ROW(Create_TC_Web!$C$1:$C$500)),""),ROW(Create_TC_Web!D323))),"")</f>
        <v/>
      </c>
      <c r="D323" t="str" cm="1">
        <f t="array" ref="D323">IFERROR(INDEX(Create_TC_Web!G$1:G$500,SMALL(IF(Create_TC_Web!$C$1:$C$500&lt;&gt;"",MATCH(ROW(Create_TC_Web!$C$1:$C$500),ROW(Create_TC_Web!$C$1:$C$500)),""),ROW(Create_TC_Web!E323))),"")</f>
        <v/>
      </c>
      <c r="E323" t="str" cm="1">
        <f t="array" ref="E323">IFERROR(INDEX(Create_TC_Web!H$1:H$500,SMALL(IF(Create_TC_Web!$C$1:$C$500&lt;&gt;"",MATCH(ROW(Create_TC_Web!$C$1:$C$500),ROW(Create_TC_Web!$C$1:$C$500)),""),ROW(Create_TC_Web!F323))),"")</f>
        <v/>
      </c>
      <c r="F323" t="str" cm="1">
        <f t="array" ref="F323">IFERROR(INDEX(Create_TC_Web!I$1:I$500,SMALL(IF(Create_TC_Web!$C$1:$C$500&lt;&gt;"",MATCH(ROW(Create_TC_Web!$C$1:$C$500),ROW(Create_TC_Web!$C$1:$C$500)),""),ROW(Create_TC_Web!G323))),"")</f>
        <v/>
      </c>
      <c r="G323" t="str" cm="1">
        <f t="array" ref="G323">IFERROR(INDEX(Create_TC_Web!J$1:J$500,SMALL(IF(Create_TC_Web!$C$1:$C$500&lt;&gt;"",MATCH(ROW(Create_TC_Web!$C$1:$C$500),ROW(Create_TC_Web!$C$1:$C$500)),""),ROW(Create_TC_Web!H323))),"")</f>
        <v/>
      </c>
      <c r="H323" t="str" cm="1">
        <f t="array" ref="H323">IFERROR(INDEX(Create_TC_Web!K$1:K$500,SMALL(IF(Create_TC_Web!$C$1:$C$500&lt;&gt;"",MATCH(ROW(Create_TC_Web!$C$1:$C$500),ROW(Create_TC_Web!$C$1:$C$500)),""),ROW(Create_TC_Web!I323))),"")</f>
        <v/>
      </c>
      <c r="I323" t="str" cm="1">
        <f t="array" ref="I323">IFERROR(INDEX(Create_TC_Web!L$1:L$500,SMALL(IF(Create_TC_Web!$C$1:$C$500&lt;&gt;"",MATCH(ROW(Create_TC_Web!$C$1:$C$500),ROW(Create_TC_Web!$C$1:$C$500)),""),ROW(Create_TC_Web!J323))),"")</f>
        <v/>
      </c>
      <c r="J323" t="str" cm="1">
        <f t="array" ref="J323">IFERROR(INDEX(Create_TC_Web!M$1:M$500,SMALL(IF(Create_TC_Web!$C$1:$C$500&lt;&gt;"",MATCH(ROW(Create_TC_Web!$C$1:$C$500),ROW(Create_TC_Web!$C$1:$C$500)),""),ROW(Create_TC_Web!K323))),"")</f>
        <v/>
      </c>
      <c r="K323" t="str" cm="1">
        <f t="array" ref="K323">IFERROR(INDEX(Create_TC_Web!N$1:N$500,SMALL(IF(Create_TC_Web!$C$1:$C$500&lt;&gt;"",MATCH(ROW(Create_TC_Web!$C$1:$C$500),ROW(Create_TC_Web!$C$1:$C$500)),""),ROW(Create_TC_Web!L323))),"")</f>
        <v/>
      </c>
      <c r="L323" t="str" cm="1">
        <f t="array" ref="L323">IFERROR(INDEX(Create_TC_Web!O$1:O$500,SMALL(IF(Create_TC_Web!$C$1:$C$500&lt;&gt;"",MATCH(ROW(Create_TC_Web!$C$1:$C$500),ROW(Create_TC_Web!$C$1:$C$500)),""),ROW(Create_TC_Web!M323))),"")</f>
        <v/>
      </c>
      <c r="M323" t="str" cm="1">
        <f t="array" ref="M323">IFERROR(INDEX(Create_TC_Web!P$1:P$500,SMALL(IF(Create_TC_Web!$C$1:$C$500&lt;&gt;"",MATCH(ROW(Create_TC_Web!$C$1:$C$500),ROW(Create_TC_Web!$C$1:$C$500)),""),ROW(Create_TC_Web!N323))),"")</f>
        <v/>
      </c>
      <c r="N323" t="str" cm="1">
        <f t="array" ref="N323">IFERROR(INDEX(Create_TC_Web!Q$1:Q$500,SMALL(IF(Create_TC_Web!$C$1:$C$500&lt;&gt;"",MATCH(ROW(Create_TC_Web!$C$1:$C$500),ROW(Create_TC_Web!$C$1:$C$500)),""),ROW(Create_TC_Web!O323))),"")</f>
        <v/>
      </c>
      <c r="O323" t="str">
        <f t="shared" ref="O323:O386" si="17">IF(N323&lt;&gt;0,N323,"")</f>
        <v/>
      </c>
      <c r="P323" s="17" t="str" cm="1">
        <f t="array" ref="P323">IFERROR(INDEX(Create_TC_Web!S$1:S$500,SMALL(IF(Create_TC_Web!$C$1:$C$500&lt;&gt;"",MATCH(ROW(Create_TC_Web!$C$1:$C$500),ROW(Create_TC_Web!$C$1:$C$500)),""),ROW(Create_TC_Web!Q301))),"")</f>
        <v/>
      </c>
      <c r="S323" t="str">
        <f t="shared" ref="S323:S386" si="18">IF(P323&lt;&gt;0,P323,"")</f>
        <v/>
      </c>
    </row>
    <row r="324" spans="1:19">
      <c r="A324" t="str" cm="1">
        <f t="array" ref="A324">IFERROR(INDEX(Create_TC_Web!D$1:D$500,SMALL(IF(Create_TC_Web!$C$1:$C$500&lt;&gt;"",MATCH(ROW(Create_TC_Web!$C$1:$C$500),ROW(Create_TC_Web!$C$1:$C$500)),""),ROW(Create_TC_Web!B324))),"")</f>
        <v/>
      </c>
      <c r="B324" t="str" cm="1">
        <f t="array" ref="B324">SUBSTITUTE(SUBSTITUTE(SUBSTITUTE(IFERROR(INDEX(Create_TC_Web!E$1:E$505,SMALL(IF(Create_TC_Web!$C$1:$C$505&lt;&gt;"",MATCH(ROW(Create_TC_Web!$C$1:$C$505),ROW(Create_TC_Web!$C$1:$C$505)),""),ROW(Create_TC_Web!C324))),"")," ",""),"-",""),"_","")</f>
        <v/>
      </c>
      <c r="C324" t="str" cm="1">
        <f t="array" ref="C324">IFERROR(INDEX(Create_TC_Web!F$1:F$500,SMALL(IF(Create_TC_Web!$C$1:$C$500&lt;&gt;"",MATCH(ROW(Create_TC_Web!$C$1:$C$500),ROW(Create_TC_Web!$C$1:$C$500)),""),ROW(Create_TC_Web!D324))),"")</f>
        <v/>
      </c>
      <c r="D324" t="str" cm="1">
        <f t="array" ref="D324">IFERROR(INDEX(Create_TC_Web!G$1:G$500,SMALL(IF(Create_TC_Web!$C$1:$C$500&lt;&gt;"",MATCH(ROW(Create_TC_Web!$C$1:$C$500),ROW(Create_TC_Web!$C$1:$C$500)),""),ROW(Create_TC_Web!E324))),"")</f>
        <v/>
      </c>
      <c r="E324" t="str" cm="1">
        <f t="array" ref="E324">IFERROR(INDEX(Create_TC_Web!H$1:H$500,SMALL(IF(Create_TC_Web!$C$1:$C$500&lt;&gt;"",MATCH(ROW(Create_TC_Web!$C$1:$C$500),ROW(Create_TC_Web!$C$1:$C$500)),""),ROW(Create_TC_Web!F324))),"")</f>
        <v/>
      </c>
      <c r="F324" t="str" cm="1">
        <f t="array" ref="F324">IFERROR(INDEX(Create_TC_Web!I$1:I$500,SMALL(IF(Create_TC_Web!$C$1:$C$500&lt;&gt;"",MATCH(ROW(Create_TC_Web!$C$1:$C$500),ROW(Create_TC_Web!$C$1:$C$500)),""),ROW(Create_TC_Web!G324))),"")</f>
        <v/>
      </c>
      <c r="G324" t="str" cm="1">
        <f t="array" ref="G324">IFERROR(INDEX(Create_TC_Web!J$1:J$500,SMALL(IF(Create_TC_Web!$C$1:$C$500&lt;&gt;"",MATCH(ROW(Create_TC_Web!$C$1:$C$500),ROW(Create_TC_Web!$C$1:$C$500)),""),ROW(Create_TC_Web!H324))),"")</f>
        <v/>
      </c>
      <c r="H324" t="str" cm="1">
        <f t="array" ref="H324">IFERROR(INDEX(Create_TC_Web!K$1:K$500,SMALL(IF(Create_TC_Web!$C$1:$C$500&lt;&gt;"",MATCH(ROW(Create_TC_Web!$C$1:$C$500),ROW(Create_TC_Web!$C$1:$C$500)),""),ROW(Create_TC_Web!I324))),"")</f>
        <v/>
      </c>
      <c r="I324" t="str" cm="1">
        <f t="array" ref="I324">IFERROR(INDEX(Create_TC_Web!L$1:L$500,SMALL(IF(Create_TC_Web!$C$1:$C$500&lt;&gt;"",MATCH(ROW(Create_TC_Web!$C$1:$C$500),ROW(Create_TC_Web!$C$1:$C$500)),""),ROW(Create_TC_Web!J324))),"")</f>
        <v/>
      </c>
      <c r="J324" t="str" cm="1">
        <f t="array" ref="J324">IFERROR(INDEX(Create_TC_Web!M$1:M$500,SMALL(IF(Create_TC_Web!$C$1:$C$500&lt;&gt;"",MATCH(ROW(Create_TC_Web!$C$1:$C$500),ROW(Create_TC_Web!$C$1:$C$500)),""),ROW(Create_TC_Web!K324))),"")</f>
        <v/>
      </c>
      <c r="K324" t="str" cm="1">
        <f t="array" ref="K324">IFERROR(INDEX(Create_TC_Web!N$1:N$500,SMALL(IF(Create_TC_Web!$C$1:$C$500&lt;&gt;"",MATCH(ROW(Create_TC_Web!$C$1:$C$500),ROW(Create_TC_Web!$C$1:$C$500)),""),ROW(Create_TC_Web!L324))),"")</f>
        <v/>
      </c>
      <c r="L324" t="str" cm="1">
        <f t="array" ref="L324">IFERROR(INDEX(Create_TC_Web!O$1:O$500,SMALL(IF(Create_TC_Web!$C$1:$C$500&lt;&gt;"",MATCH(ROW(Create_TC_Web!$C$1:$C$500),ROW(Create_TC_Web!$C$1:$C$500)),""),ROW(Create_TC_Web!M324))),"")</f>
        <v/>
      </c>
      <c r="M324" t="str" cm="1">
        <f t="array" ref="M324">IFERROR(INDEX(Create_TC_Web!P$1:P$500,SMALL(IF(Create_TC_Web!$C$1:$C$500&lt;&gt;"",MATCH(ROW(Create_TC_Web!$C$1:$C$500),ROW(Create_TC_Web!$C$1:$C$500)),""),ROW(Create_TC_Web!N324))),"")</f>
        <v/>
      </c>
      <c r="N324" t="str" cm="1">
        <f t="array" ref="N324">IFERROR(INDEX(Create_TC_Web!Q$1:Q$500,SMALL(IF(Create_TC_Web!$C$1:$C$500&lt;&gt;"",MATCH(ROW(Create_TC_Web!$C$1:$C$500),ROW(Create_TC_Web!$C$1:$C$500)),""),ROW(Create_TC_Web!O324))),"")</f>
        <v/>
      </c>
      <c r="O324" t="str">
        <f t="shared" si="17"/>
        <v/>
      </c>
      <c r="P324" s="17" t="str" cm="1">
        <f t="array" ref="P324">IFERROR(INDEX(Create_TC_Web!S$1:S$500,SMALL(IF(Create_TC_Web!$C$1:$C$500&lt;&gt;"",MATCH(ROW(Create_TC_Web!$C$1:$C$500),ROW(Create_TC_Web!$C$1:$C$500)),""),ROW(Create_TC_Web!Q302))),"")</f>
        <v/>
      </c>
      <c r="S324" t="str">
        <f t="shared" si="18"/>
        <v/>
      </c>
    </row>
    <row r="325" spans="1:19">
      <c r="A325" t="str" cm="1">
        <f t="array" ref="A325">IFERROR(INDEX(Create_TC_Web!D$1:D$500,SMALL(IF(Create_TC_Web!$C$1:$C$500&lt;&gt;"",MATCH(ROW(Create_TC_Web!$C$1:$C$500),ROW(Create_TC_Web!$C$1:$C$500)),""),ROW(Create_TC_Web!B325))),"")</f>
        <v/>
      </c>
      <c r="B325" t="str" cm="1">
        <f t="array" ref="B325">SUBSTITUTE(SUBSTITUTE(SUBSTITUTE(IFERROR(INDEX(Create_TC_Web!E$1:E$505,SMALL(IF(Create_TC_Web!$C$1:$C$505&lt;&gt;"",MATCH(ROW(Create_TC_Web!$C$1:$C$505),ROW(Create_TC_Web!$C$1:$C$505)),""),ROW(Create_TC_Web!C325))),"")," ",""),"-",""),"_","")</f>
        <v/>
      </c>
      <c r="C325" t="str" cm="1">
        <f t="array" ref="C325">IFERROR(INDEX(Create_TC_Web!F$1:F$500,SMALL(IF(Create_TC_Web!$C$1:$C$500&lt;&gt;"",MATCH(ROW(Create_TC_Web!$C$1:$C$500),ROW(Create_TC_Web!$C$1:$C$500)),""),ROW(Create_TC_Web!D325))),"")</f>
        <v/>
      </c>
      <c r="D325" t="str" cm="1">
        <f t="array" ref="D325">IFERROR(INDEX(Create_TC_Web!G$1:G$500,SMALL(IF(Create_TC_Web!$C$1:$C$500&lt;&gt;"",MATCH(ROW(Create_TC_Web!$C$1:$C$500),ROW(Create_TC_Web!$C$1:$C$500)),""),ROW(Create_TC_Web!E325))),"")</f>
        <v/>
      </c>
      <c r="E325" t="str" cm="1">
        <f t="array" ref="E325">IFERROR(INDEX(Create_TC_Web!H$1:H$500,SMALL(IF(Create_TC_Web!$C$1:$C$500&lt;&gt;"",MATCH(ROW(Create_TC_Web!$C$1:$C$500),ROW(Create_TC_Web!$C$1:$C$500)),""),ROW(Create_TC_Web!F325))),"")</f>
        <v/>
      </c>
      <c r="F325" t="str" cm="1">
        <f t="array" ref="F325">IFERROR(INDEX(Create_TC_Web!I$1:I$500,SMALL(IF(Create_TC_Web!$C$1:$C$500&lt;&gt;"",MATCH(ROW(Create_TC_Web!$C$1:$C$500),ROW(Create_TC_Web!$C$1:$C$500)),""),ROW(Create_TC_Web!G325))),"")</f>
        <v/>
      </c>
      <c r="G325" t="str" cm="1">
        <f t="array" ref="G325">IFERROR(INDEX(Create_TC_Web!J$1:J$500,SMALL(IF(Create_TC_Web!$C$1:$C$500&lt;&gt;"",MATCH(ROW(Create_TC_Web!$C$1:$C$500),ROW(Create_TC_Web!$C$1:$C$500)),""),ROW(Create_TC_Web!H325))),"")</f>
        <v/>
      </c>
      <c r="H325" t="str" cm="1">
        <f t="array" ref="H325">IFERROR(INDEX(Create_TC_Web!K$1:K$500,SMALL(IF(Create_TC_Web!$C$1:$C$500&lt;&gt;"",MATCH(ROW(Create_TC_Web!$C$1:$C$500),ROW(Create_TC_Web!$C$1:$C$500)),""),ROW(Create_TC_Web!I325))),"")</f>
        <v/>
      </c>
      <c r="I325" t="str" cm="1">
        <f t="array" ref="I325">IFERROR(INDEX(Create_TC_Web!L$1:L$500,SMALL(IF(Create_TC_Web!$C$1:$C$500&lt;&gt;"",MATCH(ROW(Create_TC_Web!$C$1:$C$500),ROW(Create_TC_Web!$C$1:$C$500)),""),ROW(Create_TC_Web!J325))),"")</f>
        <v/>
      </c>
      <c r="J325" t="str" cm="1">
        <f t="array" ref="J325">IFERROR(INDEX(Create_TC_Web!M$1:M$500,SMALL(IF(Create_TC_Web!$C$1:$C$500&lt;&gt;"",MATCH(ROW(Create_TC_Web!$C$1:$C$500),ROW(Create_TC_Web!$C$1:$C$500)),""),ROW(Create_TC_Web!K325))),"")</f>
        <v/>
      </c>
      <c r="K325" t="str" cm="1">
        <f t="array" ref="K325">IFERROR(INDEX(Create_TC_Web!N$1:N$500,SMALL(IF(Create_TC_Web!$C$1:$C$500&lt;&gt;"",MATCH(ROW(Create_TC_Web!$C$1:$C$500),ROW(Create_TC_Web!$C$1:$C$500)),""),ROW(Create_TC_Web!L325))),"")</f>
        <v/>
      </c>
      <c r="L325" t="str" cm="1">
        <f t="array" ref="L325">IFERROR(INDEX(Create_TC_Web!O$1:O$500,SMALL(IF(Create_TC_Web!$C$1:$C$500&lt;&gt;"",MATCH(ROW(Create_TC_Web!$C$1:$C$500),ROW(Create_TC_Web!$C$1:$C$500)),""),ROW(Create_TC_Web!M325))),"")</f>
        <v/>
      </c>
      <c r="M325" t="str" cm="1">
        <f t="array" ref="M325">IFERROR(INDEX(Create_TC_Web!P$1:P$500,SMALL(IF(Create_TC_Web!$C$1:$C$500&lt;&gt;"",MATCH(ROW(Create_TC_Web!$C$1:$C$500),ROW(Create_TC_Web!$C$1:$C$500)),""),ROW(Create_TC_Web!N325))),"")</f>
        <v/>
      </c>
      <c r="N325" t="str" cm="1">
        <f t="array" ref="N325">IFERROR(INDEX(Create_TC_Web!Q$1:Q$500,SMALL(IF(Create_TC_Web!$C$1:$C$500&lt;&gt;"",MATCH(ROW(Create_TC_Web!$C$1:$C$500),ROW(Create_TC_Web!$C$1:$C$500)),""),ROW(Create_TC_Web!O325))),"")</f>
        <v/>
      </c>
      <c r="O325" t="str">
        <f t="shared" si="17"/>
        <v/>
      </c>
      <c r="P325" s="17" t="str" cm="1">
        <f t="array" ref="P325">IFERROR(INDEX(Create_TC_Web!S$1:S$500,SMALL(IF(Create_TC_Web!$C$1:$C$500&lt;&gt;"",MATCH(ROW(Create_TC_Web!$C$1:$C$500),ROW(Create_TC_Web!$C$1:$C$500)),""),ROW(Create_TC_Web!Q303))),"")</f>
        <v/>
      </c>
      <c r="S325" t="str">
        <f t="shared" si="18"/>
        <v/>
      </c>
    </row>
    <row r="326" spans="1:19">
      <c r="A326" t="str" cm="1">
        <f t="array" ref="A326">IFERROR(INDEX(Create_TC_Web!D$1:D$500,SMALL(IF(Create_TC_Web!$C$1:$C$500&lt;&gt;"",MATCH(ROW(Create_TC_Web!$C$1:$C$500),ROW(Create_TC_Web!$C$1:$C$500)),""),ROW(Create_TC_Web!B326))),"")</f>
        <v/>
      </c>
      <c r="B326" t="str" cm="1">
        <f t="array" ref="B326">SUBSTITUTE(SUBSTITUTE(SUBSTITUTE(IFERROR(INDEX(Create_TC_Web!E$1:E$505,SMALL(IF(Create_TC_Web!$C$1:$C$505&lt;&gt;"",MATCH(ROW(Create_TC_Web!$C$1:$C$505),ROW(Create_TC_Web!$C$1:$C$505)),""),ROW(Create_TC_Web!C326))),"")," ",""),"-",""),"_","")</f>
        <v/>
      </c>
      <c r="C326" t="str" cm="1">
        <f t="array" ref="C326">IFERROR(INDEX(Create_TC_Web!F$1:F$500,SMALL(IF(Create_TC_Web!$C$1:$C$500&lt;&gt;"",MATCH(ROW(Create_TC_Web!$C$1:$C$500),ROW(Create_TC_Web!$C$1:$C$500)),""),ROW(Create_TC_Web!D326))),"")</f>
        <v/>
      </c>
      <c r="D326" t="str" cm="1">
        <f t="array" ref="D326">IFERROR(INDEX(Create_TC_Web!G$1:G$500,SMALL(IF(Create_TC_Web!$C$1:$C$500&lt;&gt;"",MATCH(ROW(Create_TC_Web!$C$1:$C$500),ROW(Create_TC_Web!$C$1:$C$500)),""),ROW(Create_TC_Web!E326))),"")</f>
        <v/>
      </c>
      <c r="E326" t="str" cm="1">
        <f t="array" ref="E326">IFERROR(INDEX(Create_TC_Web!H$1:H$500,SMALL(IF(Create_TC_Web!$C$1:$C$500&lt;&gt;"",MATCH(ROW(Create_TC_Web!$C$1:$C$500),ROW(Create_TC_Web!$C$1:$C$500)),""),ROW(Create_TC_Web!F326))),"")</f>
        <v/>
      </c>
      <c r="F326" t="str" cm="1">
        <f t="array" ref="F326">IFERROR(INDEX(Create_TC_Web!I$1:I$500,SMALL(IF(Create_TC_Web!$C$1:$C$500&lt;&gt;"",MATCH(ROW(Create_TC_Web!$C$1:$C$500),ROW(Create_TC_Web!$C$1:$C$500)),""),ROW(Create_TC_Web!G326))),"")</f>
        <v/>
      </c>
      <c r="G326" t="str" cm="1">
        <f t="array" ref="G326">IFERROR(INDEX(Create_TC_Web!J$1:J$500,SMALL(IF(Create_TC_Web!$C$1:$C$500&lt;&gt;"",MATCH(ROW(Create_TC_Web!$C$1:$C$500),ROW(Create_TC_Web!$C$1:$C$500)),""),ROW(Create_TC_Web!H326))),"")</f>
        <v/>
      </c>
      <c r="H326" t="str" cm="1">
        <f t="array" ref="H326">IFERROR(INDEX(Create_TC_Web!K$1:K$500,SMALL(IF(Create_TC_Web!$C$1:$C$500&lt;&gt;"",MATCH(ROW(Create_TC_Web!$C$1:$C$500),ROW(Create_TC_Web!$C$1:$C$500)),""),ROW(Create_TC_Web!I326))),"")</f>
        <v/>
      </c>
      <c r="I326" t="str" cm="1">
        <f t="array" ref="I326">IFERROR(INDEX(Create_TC_Web!L$1:L$500,SMALL(IF(Create_TC_Web!$C$1:$C$500&lt;&gt;"",MATCH(ROW(Create_TC_Web!$C$1:$C$500),ROW(Create_TC_Web!$C$1:$C$500)),""),ROW(Create_TC_Web!J326))),"")</f>
        <v/>
      </c>
      <c r="J326" t="str" cm="1">
        <f t="array" ref="J326">IFERROR(INDEX(Create_TC_Web!M$1:M$500,SMALL(IF(Create_TC_Web!$C$1:$C$500&lt;&gt;"",MATCH(ROW(Create_TC_Web!$C$1:$C$500),ROW(Create_TC_Web!$C$1:$C$500)),""),ROW(Create_TC_Web!K326))),"")</f>
        <v/>
      </c>
      <c r="K326" t="str" cm="1">
        <f t="array" ref="K326">IFERROR(INDEX(Create_TC_Web!N$1:N$500,SMALL(IF(Create_TC_Web!$C$1:$C$500&lt;&gt;"",MATCH(ROW(Create_TC_Web!$C$1:$C$500),ROW(Create_TC_Web!$C$1:$C$500)),""),ROW(Create_TC_Web!L326))),"")</f>
        <v/>
      </c>
      <c r="L326" t="str" cm="1">
        <f t="array" ref="L326">IFERROR(INDEX(Create_TC_Web!O$1:O$500,SMALL(IF(Create_TC_Web!$C$1:$C$500&lt;&gt;"",MATCH(ROW(Create_TC_Web!$C$1:$C$500),ROW(Create_TC_Web!$C$1:$C$500)),""),ROW(Create_TC_Web!M326))),"")</f>
        <v/>
      </c>
      <c r="M326" t="str" cm="1">
        <f t="array" ref="M326">IFERROR(INDEX(Create_TC_Web!P$1:P$500,SMALL(IF(Create_TC_Web!$C$1:$C$500&lt;&gt;"",MATCH(ROW(Create_TC_Web!$C$1:$C$500),ROW(Create_TC_Web!$C$1:$C$500)),""),ROW(Create_TC_Web!N326))),"")</f>
        <v/>
      </c>
      <c r="N326" t="str" cm="1">
        <f t="array" ref="N326">IFERROR(INDEX(Create_TC_Web!Q$1:Q$500,SMALL(IF(Create_TC_Web!$C$1:$C$500&lt;&gt;"",MATCH(ROW(Create_TC_Web!$C$1:$C$500),ROW(Create_TC_Web!$C$1:$C$500)),""),ROW(Create_TC_Web!O326))),"")</f>
        <v/>
      </c>
      <c r="O326" t="str">
        <f t="shared" si="17"/>
        <v/>
      </c>
      <c r="P326" s="17" t="str" cm="1">
        <f t="array" ref="P326">IFERROR(INDEX(Create_TC_Web!S$1:S$500,SMALL(IF(Create_TC_Web!$C$1:$C$500&lt;&gt;"",MATCH(ROW(Create_TC_Web!$C$1:$C$500),ROW(Create_TC_Web!$C$1:$C$500)),""),ROW(Create_TC_Web!Q304))),"")</f>
        <v/>
      </c>
      <c r="S326" t="str">
        <f t="shared" si="18"/>
        <v/>
      </c>
    </row>
    <row r="327" spans="1:19">
      <c r="A327" t="str" cm="1">
        <f t="array" ref="A327">IFERROR(INDEX(Create_TC_Web!D$1:D$500,SMALL(IF(Create_TC_Web!$C$1:$C$500&lt;&gt;"",MATCH(ROW(Create_TC_Web!$C$1:$C$500),ROW(Create_TC_Web!$C$1:$C$500)),""),ROW(Create_TC_Web!B327))),"")</f>
        <v/>
      </c>
      <c r="B327" t="str" cm="1">
        <f t="array" ref="B327">SUBSTITUTE(SUBSTITUTE(SUBSTITUTE(IFERROR(INDEX(Create_TC_Web!E$1:E$505,SMALL(IF(Create_TC_Web!$C$1:$C$505&lt;&gt;"",MATCH(ROW(Create_TC_Web!$C$1:$C$505),ROW(Create_TC_Web!$C$1:$C$505)),""),ROW(Create_TC_Web!C327))),"")," ",""),"-",""),"_","")</f>
        <v/>
      </c>
      <c r="C327" t="str" cm="1">
        <f t="array" ref="C327">IFERROR(INDEX(Create_TC_Web!F$1:F$500,SMALL(IF(Create_TC_Web!$C$1:$C$500&lt;&gt;"",MATCH(ROW(Create_TC_Web!$C$1:$C$500),ROW(Create_TC_Web!$C$1:$C$500)),""),ROW(Create_TC_Web!D327))),"")</f>
        <v/>
      </c>
      <c r="D327" t="str" cm="1">
        <f t="array" ref="D327">IFERROR(INDEX(Create_TC_Web!G$1:G$500,SMALL(IF(Create_TC_Web!$C$1:$C$500&lt;&gt;"",MATCH(ROW(Create_TC_Web!$C$1:$C$500),ROW(Create_TC_Web!$C$1:$C$500)),""),ROW(Create_TC_Web!E327))),"")</f>
        <v/>
      </c>
      <c r="E327" t="str" cm="1">
        <f t="array" ref="E327">IFERROR(INDEX(Create_TC_Web!H$1:H$500,SMALL(IF(Create_TC_Web!$C$1:$C$500&lt;&gt;"",MATCH(ROW(Create_TC_Web!$C$1:$C$500),ROW(Create_TC_Web!$C$1:$C$500)),""),ROW(Create_TC_Web!F327))),"")</f>
        <v/>
      </c>
      <c r="F327" t="str" cm="1">
        <f t="array" ref="F327">IFERROR(INDEX(Create_TC_Web!I$1:I$500,SMALL(IF(Create_TC_Web!$C$1:$C$500&lt;&gt;"",MATCH(ROW(Create_TC_Web!$C$1:$C$500),ROW(Create_TC_Web!$C$1:$C$500)),""),ROW(Create_TC_Web!G327))),"")</f>
        <v/>
      </c>
      <c r="G327" t="str" cm="1">
        <f t="array" ref="G327">IFERROR(INDEX(Create_TC_Web!J$1:J$500,SMALL(IF(Create_TC_Web!$C$1:$C$500&lt;&gt;"",MATCH(ROW(Create_TC_Web!$C$1:$C$500),ROW(Create_TC_Web!$C$1:$C$500)),""),ROW(Create_TC_Web!H327))),"")</f>
        <v/>
      </c>
      <c r="H327" t="str" cm="1">
        <f t="array" ref="H327">IFERROR(INDEX(Create_TC_Web!K$1:K$500,SMALL(IF(Create_TC_Web!$C$1:$C$500&lt;&gt;"",MATCH(ROW(Create_TC_Web!$C$1:$C$500),ROW(Create_TC_Web!$C$1:$C$500)),""),ROW(Create_TC_Web!I327))),"")</f>
        <v/>
      </c>
      <c r="I327" t="str" cm="1">
        <f t="array" ref="I327">IFERROR(INDEX(Create_TC_Web!L$1:L$500,SMALL(IF(Create_TC_Web!$C$1:$C$500&lt;&gt;"",MATCH(ROW(Create_TC_Web!$C$1:$C$500),ROW(Create_TC_Web!$C$1:$C$500)),""),ROW(Create_TC_Web!J327))),"")</f>
        <v/>
      </c>
      <c r="J327" t="str" cm="1">
        <f t="array" ref="J327">IFERROR(INDEX(Create_TC_Web!M$1:M$500,SMALL(IF(Create_TC_Web!$C$1:$C$500&lt;&gt;"",MATCH(ROW(Create_TC_Web!$C$1:$C$500),ROW(Create_TC_Web!$C$1:$C$500)),""),ROW(Create_TC_Web!K327))),"")</f>
        <v/>
      </c>
      <c r="K327" t="str" cm="1">
        <f t="array" ref="K327">IFERROR(INDEX(Create_TC_Web!N$1:N$500,SMALL(IF(Create_TC_Web!$C$1:$C$500&lt;&gt;"",MATCH(ROW(Create_TC_Web!$C$1:$C$500),ROW(Create_TC_Web!$C$1:$C$500)),""),ROW(Create_TC_Web!L327))),"")</f>
        <v/>
      </c>
      <c r="L327" t="str" cm="1">
        <f t="array" ref="L327">IFERROR(INDEX(Create_TC_Web!O$1:O$500,SMALL(IF(Create_TC_Web!$C$1:$C$500&lt;&gt;"",MATCH(ROW(Create_TC_Web!$C$1:$C$500),ROW(Create_TC_Web!$C$1:$C$500)),""),ROW(Create_TC_Web!M327))),"")</f>
        <v/>
      </c>
      <c r="M327" t="str" cm="1">
        <f t="array" ref="M327">IFERROR(INDEX(Create_TC_Web!P$1:P$500,SMALL(IF(Create_TC_Web!$C$1:$C$500&lt;&gt;"",MATCH(ROW(Create_TC_Web!$C$1:$C$500),ROW(Create_TC_Web!$C$1:$C$500)),""),ROW(Create_TC_Web!N327))),"")</f>
        <v/>
      </c>
      <c r="N327" t="str" cm="1">
        <f t="array" ref="N327">IFERROR(INDEX(Create_TC_Web!Q$1:Q$500,SMALL(IF(Create_TC_Web!$C$1:$C$500&lt;&gt;"",MATCH(ROW(Create_TC_Web!$C$1:$C$500),ROW(Create_TC_Web!$C$1:$C$500)),""),ROW(Create_TC_Web!O327))),"")</f>
        <v/>
      </c>
      <c r="O327" t="str">
        <f t="shared" si="17"/>
        <v/>
      </c>
      <c r="P327" s="17" t="str" cm="1">
        <f t="array" ref="P327">IFERROR(INDEX(Create_TC_Web!S$1:S$500,SMALL(IF(Create_TC_Web!$C$1:$C$500&lt;&gt;"",MATCH(ROW(Create_TC_Web!$C$1:$C$500),ROW(Create_TC_Web!$C$1:$C$500)),""),ROW(Create_TC_Web!Q305))),"")</f>
        <v/>
      </c>
      <c r="S327" t="str">
        <f t="shared" si="18"/>
        <v/>
      </c>
    </row>
    <row r="328" spans="1:19">
      <c r="A328" t="str" cm="1">
        <f t="array" ref="A328">IFERROR(INDEX(Create_TC_Web!D$1:D$500,SMALL(IF(Create_TC_Web!$C$1:$C$500&lt;&gt;"",MATCH(ROW(Create_TC_Web!$C$1:$C$500),ROW(Create_TC_Web!$C$1:$C$500)),""),ROW(Create_TC_Web!B328))),"")</f>
        <v/>
      </c>
      <c r="B328" t="str" cm="1">
        <f t="array" ref="B328">SUBSTITUTE(SUBSTITUTE(SUBSTITUTE(IFERROR(INDEX(Create_TC_Web!E$1:E$505,SMALL(IF(Create_TC_Web!$C$1:$C$505&lt;&gt;"",MATCH(ROW(Create_TC_Web!$C$1:$C$505),ROW(Create_TC_Web!$C$1:$C$505)),""),ROW(Create_TC_Web!C328))),"")," ",""),"-",""),"_","")</f>
        <v/>
      </c>
      <c r="C328" t="str" cm="1">
        <f t="array" ref="C328">IFERROR(INDEX(Create_TC_Web!F$1:F$500,SMALL(IF(Create_TC_Web!$C$1:$C$500&lt;&gt;"",MATCH(ROW(Create_TC_Web!$C$1:$C$500),ROW(Create_TC_Web!$C$1:$C$500)),""),ROW(Create_TC_Web!D328))),"")</f>
        <v/>
      </c>
      <c r="D328" t="str" cm="1">
        <f t="array" ref="D328">IFERROR(INDEX(Create_TC_Web!G$1:G$500,SMALL(IF(Create_TC_Web!$C$1:$C$500&lt;&gt;"",MATCH(ROW(Create_TC_Web!$C$1:$C$500),ROW(Create_TC_Web!$C$1:$C$500)),""),ROW(Create_TC_Web!E328))),"")</f>
        <v/>
      </c>
      <c r="E328" t="str" cm="1">
        <f t="array" ref="E328">IFERROR(INDEX(Create_TC_Web!H$1:H$500,SMALL(IF(Create_TC_Web!$C$1:$C$500&lt;&gt;"",MATCH(ROW(Create_TC_Web!$C$1:$C$500),ROW(Create_TC_Web!$C$1:$C$500)),""),ROW(Create_TC_Web!F328))),"")</f>
        <v/>
      </c>
      <c r="F328" t="str" cm="1">
        <f t="array" ref="F328">IFERROR(INDEX(Create_TC_Web!I$1:I$500,SMALL(IF(Create_TC_Web!$C$1:$C$500&lt;&gt;"",MATCH(ROW(Create_TC_Web!$C$1:$C$500),ROW(Create_TC_Web!$C$1:$C$500)),""),ROW(Create_TC_Web!G328))),"")</f>
        <v/>
      </c>
      <c r="G328" t="str" cm="1">
        <f t="array" ref="G328">IFERROR(INDEX(Create_TC_Web!J$1:J$500,SMALL(IF(Create_TC_Web!$C$1:$C$500&lt;&gt;"",MATCH(ROW(Create_TC_Web!$C$1:$C$500),ROW(Create_TC_Web!$C$1:$C$500)),""),ROW(Create_TC_Web!H328))),"")</f>
        <v/>
      </c>
      <c r="H328" t="str" cm="1">
        <f t="array" ref="H328">IFERROR(INDEX(Create_TC_Web!K$1:K$500,SMALL(IF(Create_TC_Web!$C$1:$C$500&lt;&gt;"",MATCH(ROW(Create_TC_Web!$C$1:$C$500),ROW(Create_TC_Web!$C$1:$C$500)),""),ROW(Create_TC_Web!I328))),"")</f>
        <v/>
      </c>
      <c r="I328" t="str" cm="1">
        <f t="array" ref="I328">IFERROR(INDEX(Create_TC_Web!L$1:L$500,SMALL(IF(Create_TC_Web!$C$1:$C$500&lt;&gt;"",MATCH(ROW(Create_TC_Web!$C$1:$C$500),ROW(Create_TC_Web!$C$1:$C$500)),""),ROW(Create_TC_Web!J328))),"")</f>
        <v/>
      </c>
      <c r="J328" t="str" cm="1">
        <f t="array" ref="J328">IFERROR(INDEX(Create_TC_Web!M$1:M$500,SMALL(IF(Create_TC_Web!$C$1:$C$500&lt;&gt;"",MATCH(ROW(Create_TC_Web!$C$1:$C$500),ROW(Create_TC_Web!$C$1:$C$500)),""),ROW(Create_TC_Web!K328))),"")</f>
        <v/>
      </c>
      <c r="K328" t="str" cm="1">
        <f t="array" ref="K328">IFERROR(INDEX(Create_TC_Web!N$1:N$500,SMALL(IF(Create_TC_Web!$C$1:$C$500&lt;&gt;"",MATCH(ROW(Create_TC_Web!$C$1:$C$500),ROW(Create_TC_Web!$C$1:$C$500)),""),ROW(Create_TC_Web!L328))),"")</f>
        <v/>
      </c>
      <c r="L328" t="str" cm="1">
        <f t="array" ref="L328">IFERROR(INDEX(Create_TC_Web!O$1:O$500,SMALL(IF(Create_TC_Web!$C$1:$C$500&lt;&gt;"",MATCH(ROW(Create_TC_Web!$C$1:$C$500),ROW(Create_TC_Web!$C$1:$C$500)),""),ROW(Create_TC_Web!M328))),"")</f>
        <v/>
      </c>
      <c r="M328" t="str" cm="1">
        <f t="array" ref="M328">IFERROR(INDEX(Create_TC_Web!P$1:P$500,SMALL(IF(Create_TC_Web!$C$1:$C$500&lt;&gt;"",MATCH(ROW(Create_TC_Web!$C$1:$C$500),ROW(Create_TC_Web!$C$1:$C$500)),""),ROW(Create_TC_Web!N328))),"")</f>
        <v/>
      </c>
      <c r="N328" t="str" cm="1">
        <f t="array" ref="N328">IFERROR(INDEX(Create_TC_Web!Q$1:Q$500,SMALL(IF(Create_TC_Web!$C$1:$C$500&lt;&gt;"",MATCH(ROW(Create_TC_Web!$C$1:$C$500),ROW(Create_TC_Web!$C$1:$C$500)),""),ROW(Create_TC_Web!O328))),"")</f>
        <v/>
      </c>
      <c r="O328" t="str">
        <f t="shared" si="17"/>
        <v/>
      </c>
      <c r="P328" s="17" t="str" cm="1">
        <f t="array" ref="P328">IFERROR(INDEX(Create_TC_Web!S$1:S$500,SMALL(IF(Create_TC_Web!$C$1:$C$500&lt;&gt;"",MATCH(ROW(Create_TC_Web!$C$1:$C$500),ROW(Create_TC_Web!$C$1:$C$500)),""),ROW(Create_TC_Web!Q306))),"")</f>
        <v/>
      </c>
      <c r="S328" t="str">
        <f t="shared" si="18"/>
        <v/>
      </c>
    </row>
    <row r="329" spans="1:19">
      <c r="A329" t="str" cm="1">
        <f t="array" ref="A329">IFERROR(INDEX(Create_TC_Web!D$1:D$500,SMALL(IF(Create_TC_Web!$C$1:$C$500&lt;&gt;"",MATCH(ROW(Create_TC_Web!$C$1:$C$500),ROW(Create_TC_Web!$C$1:$C$500)),""),ROW(Create_TC_Web!B329))),"")</f>
        <v/>
      </c>
      <c r="B329" t="str" cm="1">
        <f t="array" ref="B329">SUBSTITUTE(SUBSTITUTE(SUBSTITUTE(IFERROR(INDEX(Create_TC_Web!E$1:E$505,SMALL(IF(Create_TC_Web!$C$1:$C$505&lt;&gt;"",MATCH(ROW(Create_TC_Web!$C$1:$C$505),ROW(Create_TC_Web!$C$1:$C$505)),""),ROW(Create_TC_Web!C329))),"")," ",""),"-",""),"_","")</f>
        <v/>
      </c>
      <c r="C329" t="str" cm="1">
        <f t="array" ref="C329">IFERROR(INDEX(Create_TC_Web!F$1:F$500,SMALL(IF(Create_TC_Web!$C$1:$C$500&lt;&gt;"",MATCH(ROW(Create_TC_Web!$C$1:$C$500),ROW(Create_TC_Web!$C$1:$C$500)),""),ROW(Create_TC_Web!D329))),"")</f>
        <v/>
      </c>
      <c r="D329" t="str" cm="1">
        <f t="array" ref="D329">IFERROR(INDEX(Create_TC_Web!G$1:G$500,SMALL(IF(Create_TC_Web!$C$1:$C$500&lt;&gt;"",MATCH(ROW(Create_TC_Web!$C$1:$C$500),ROW(Create_TC_Web!$C$1:$C$500)),""),ROW(Create_TC_Web!E329))),"")</f>
        <v/>
      </c>
      <c r="E329" t="str" cm="1">
        <f t="array" ref="E329">IFERROR(INDEX(Create_TC_Web!H$1:H$500,SMALL(IF(Create_TC_Web!$C$1:$C$500&lt;&gt;"",MATCH(ROW(Create_TC_Web!$C$1:$C$500),ROW(Create_TC_Web!$C$1:$C$500)),""),ROW(Create_TC_Web!F329))),"")</f>
        <v/>
      </c>
      <c r="F329" t="str" cm="1">
        <f t="array" ref="F329">IFERROR(INDEX(Create_TC_Web!I$1:I$500,SMALL(IF(Create_TC_Web!$C$1:$C$500&lt;&gt;"",MATCH(ROW(Create_TC_Web!$C$1:$C$500),ROW(Create_TC_Web!$C$1:$C$500)),""),ROW(Create_TC_Web!G329))),"")</f>
        <v/>
      </c>
      <c r="G329" t="str" cm="1">
        <f t="array" ref="G329">IFERROR(INDEX(Create_TC_Web!J$1:J$500,SMALL(IF(Create_TC_Web!$C$1:$C$500&lt;&gt;"",MATCH(ROW(Create_TC_Web!$C$1:$C$500),ROW(Create_TC_Web!$C$1:$C$500)),""),ROW(Create_TC_Web!H329))),"")</f>
        <v/>
      </c>
      <c r="H329" t="str" cm="1">
        <f t="array" ref="H329">IFERROR(INDEX(Create_TC_Web!K$1:K$500,SMALL(IF(Create_TC_Web!$C$1:$C$500&lt;&gt;"",MATCH(ROW(Create_TC_Web!$C$1:$C$500),ROW(Create_TC_Web!$C$1:$C$500)),""),ROW(Create_TC_Web!I329))),"")</f>
        <v/>
      </c>
      <c r="I329" t="str" cm="1">
        <f t="array" ref="I329">IFERROR(INDEX(Create_TC_Web!L$1:L$500,SMALL(IF(Create_TC_Web!$C$1:$C$500&lt;&gt;"",MATCH(ROW(Create_TC_Web!$C$1:$C$500),ROW(Create_TC_Web!$C$1:$C$500)),""),ROW(Create_TC_Web!J329))),"")</f>
        <v/>
      </c>
      <c r="J329" t="str" cm="1">
        <f t="array" ref="J329">IFERROR(INDEX(Create_TC_Web!M$1:M$500,SMALL(IF(Create_TC_Web!$C$1:$C$500&lt;&gt;"",MATCH(ROW(Create_TC_Web!$C$1:$C$500),ROW(Create_TC_Web!$C$1:$C$500)),""),ROW(Create_TC_Web!K329))),"")</f>
        <v/>
      </c>
      <c r="K329" t="str" cm="1">
        <f t="array" ref="K329">IFERROR(INDEX(Create_TC_Web!N$1:N$500,SMALL(IF(Create_TC_Web!$C$1:$C$500&lt;&gt;"",MATCH(ROW(Create_TC_Web!$C$1:$C$500),ROW(Create_TC_Web!$C$1:$C$500)),""),ROW(Create_TC_Web!L329))),"")</f>
        <v/>
      </c>
      <c r="L329" t="str" cm="1">
        <f t="array" ref="L329">IFERROR(INDEX(Create_TC_Web!O$1:O$500,SMALL(IF(Create_TC_Web!$C$1:$C$500&lt;&gt;"",MATCH(ROW(Create_TC_Web!$C$1:$C$500),ROW(Create_TC_Web!$C$1:$C$500)),""),ROW(Create_TC_Web!M329))),"")</f>
        <v/>
      </c>
      <c r="M329" t="str" cm="1">
        <f t="array" ref="M329">IFERROR(INDEX(Create_TC_Web!P$1:P$500,SMALL(IF(Create_TC_Web!$C$1:$C$500&lt;&gt;"",MATCH(ROW(Create_TC_Web!$C$1:$C$500),ROW(Create_TC_Web!$C$1:$C$500)),""),ROW(Create_TC_Web!N329))),"")</f>
        <v/>
      </c>
      <c r="N329" t="str" cm="1">
        <f t="array" ref="N329">IFERROR(INDEX(Create_TC_Web!Q$1:Q$500,SMALL(IF(Create_TC_Web!$C$1:$C$500&lt;&gt;"",MATCH(ROW(Create_TC_Web!$C$1:$C$500),ROW(Create_TC_Web!$C$1:$C$500)),""),ROW(Create_TC_Web!O329))),"")</f>
        <v/>
      </c>
      <c r="O329" t="str">
        <f t="shared" si="17"/>
        <v/>
      </c>
      <c r="P329" s="17" t="str" cm="1">
        <f t="array" ref="P329">IFERROR(INDEX(Create_TC_Web!S$1:S$500,SMALL(IF(Create_TC_Web!$C$1:$C$500&lt;&gt;"",MATCH(ROW(Create_TC_Web!$C$1:$C$500),ROW(Create_TC_Web!$C$1:$C$500)),""),ROW(Create_TC_Web!Q307))),"")</f>
        <v/>
      </c>
      <c r="S329" t="str">
        <f t="shared" si="18"/>
        <v/>
      </c>
    </row>
    <row r="330" spans="1:19">
      <c r="A330" t="str" cm="1">
        <f t="array" ref="A330">IFERROR(INDEX(Create_TC_Web!D$1:D$500,SMALL(IF(Create_TC_Web!$C$1:$C$500&lt;&gt;"",MATCH(ROW(Create_TC_Web!$C$1:$C$500),ROW(Create_TC_Web!$C$1:$C$500)),""),ROW(Create_TC_Web!B330))),"")</f>
        <v/>
      </c>
      <c r="B330" t="str" cm="1">
        <f t="array" ref="B330">SUBSTITUTE(SUBSTITUTE(SUBSTITUTE(IFERROR(INDEX(Create_TC_Web!E$1:E$505,SMALL(IF(Create_TC_Web!$C$1:$C$505&lt;&gt;"",MATCH(ROW(Create_TC_Web!$C$1:$C$505),ROW(Create_TC_Web!$C$1:$C$505)),""),ROW(Create_TC_Web!C330))),"")," ",""),"-",""),"_","")</f>
        <v/>
      </c>
      <c r="C330" t="str" cm="1">
        <f t="array" ref="C330">IFERROR(INDEX(Create_TC_Web!F$1:F$500,SMALL(IF(Create_TC_Web!$C$1:$C$500&lt;&gt;"",MATCH(ROW(Create_TC_Web!$C$1:$C$500),ROW(Create_TC_Web!$C$1:$C$500)),""),ROW(Create_TC_Web!D330))),"")</f>
        <v/>
      </c>
      <c r="D330" t="str" cm="1">
        <f t="array" ref="D330">IFERROR(INDEX(Create_TC_Web!G$1:G$500,SMALL(IF(Create_TC_Web!$C$1:$C$500&lt;&gt;"",MATCH(ROW(Create_TC_Web!$C$1:$C$500),ROW(Create_TC_Web!$C$1:$C$500)),""),ROW(Create_TC_Web!E330))),"")</f>
        <v/>
      </c>
      <c r="E330" t="str" cm="1">
        <f t="array" ref="E330">IFERROR(INDEX(Create_TC_Web!H$1:H$500,SMALL(IF(Create_TC_Web!$C$1:$C$500&lt;&gt;"",MATCH(ROW(Create_TC_Web!$C$1:$C$500),ROW(Create_TC_Web!$C$1:$C$500)),""),ROW(Create_TC_Web!F330))),"")</f>
        <v/>
      </c>
      <c r="F330" t="str" cm="1">
        <f t="array" ref="F330">IFERROR(INDEX(Create_TC_Web!I$1:I$500,SMALL(IF(Create_TC_Web!$C$1:$C$500&lt;&gt;"",MATCH(ROW(Create_TC_Web!$C$1:$C$500),ROW(Create_TC_Web!$C$1:$C$500)),""),ROW(Create_TC_Web!G330))),"")</f>
        <v/>
      </c>
      <c r="G330" t="str" cm="1">
        <f t="array" ref="G330">IFERROR(INDEX(Create_TC_Web!J$1:J$500,SMALL(IF(Create_TC_Web!$C$1:$C$500&lt;&gt;"",MATCH(ROW(Create_TC_Web!$C$1:$C$500),ROW(Create_TC_Web!$C$1:$C$500)),""),ROW(Create_TC_Web!H330))),"")</f>
        <v/>
      </c>
      <c r="H330" t="str" cm="1">
        <f t="array" ref="H330">IFERROR(INDEX(Create_TC_Web!K$1:K$500,SMALL(IF(Create_TC_Web!$C$1:$C$500&lt;&gt;"",MATCH(ROW(Create_TC_Web!$C$1:$C$500),ROW(Create_TC_Web!$C$1:$C$500)),""),ROW(Create_TC_Web!I330))),"")</f>
        <v/>
      </c>
      <c r="I330" t="str" cm="1">
        <f t="array" ref="I330">IFERROR(INDEX(Create_TC_Web!L$1:L$500,SMALL(IF(Create_TC_Web!$C$1:$C$500&lt;&gt;"",MATCH(ROW(Create_TC_Web!$C$1:$C$500),ROW(Create_TC_Web!$C$1:$C$500)),""),ROW(Create_TC_Web!J330))),"")</f>
        <v/>
      </c>
      <c r="J330" t="str" cm="1">
        <f t="array" ref="J330">IFERROR(INDEX(Create_TC_Web!M$1:M$500,SMALL(IF(Create_TC_Web!$C$1:$C$500&lt;&gt;"",MATCH(ROW(Create_TC_Web!$C$1:$C$500),ROW(Create_TC_Web!$C$1:$C$500)),""),ROW(Create_TC_Web!K330))),"")</f>
        <v/>
      </c>
      <c r="K330" t="str" cm="1">
        <f t="array" ref="K330">IFERROR(INDEX(Create_TC_Web!N$1:N$500,SMALL(IF(Create_TC_Web!$C$1:$C$500&lt;&gt;"",MATCH(ROW(Create_TC_Web!$C$1:$C$500),ROW(Create_TC_Web!$C$1:$C$500)),""),ROW(Create_TC_Web!L330))),"")</f>
        <v/>
      </c>
      <c r="L330" t="str" cm="1">
        <f t="array" ref="L330">IFERROR(INDEX(Create_TC_Web!O$1:O$500,SMALL(IF(Create_TC_Web!$C$1:$C$500&lt;&gt;"",MATCH(ROW(Create_TC_Web!$C$1:$C$500),ROW(Create_TC_Web!$C$1:$C$500)),""),ROW(Create_TC_Web!M330))),"")</f>
        <v/>
      </c>
      <c r="M330" t="str" cm="1">
        <f t="array" ref="M330">IFERROR(INDEX(Create_TC_Web!P$1:P$500,SMALL(IF(Create_TC_Web!$C$1:$C$500&lt;&gt;"",MATCH(ROW(Create_TC_Web!$C$1:$C$500),ROW(Create_TC_Web!$C$1:$C$500)),""),ROW(Create_TC_Web!N330))),"")</f>
        <v/>
      </c>
      <c r="N330" t="str" cm="1">
        <f t="array" ref="N330">IFERROR(INDEX(Create_TC_Web!Q$1:Q$500,SMALL(IF(Create_TC_Web!$C$1:$C$500&lt;&gt;"",MATCH(ROW(Create_TC_Web!$C$1:$C$500),ROW(Create_TC_Web!$C$1:$C$500)),""),ROW(Create_TC_Web!O330))),"")</f>
        <v/>
      </c>
      <c r="O330" t="str">
        <f t="shared" si="17"/>
        <v/>
      </c>
      <c r="P330" s="17" t="str" cm="1">
        <f t="array" ref="P330">IFERROR(INDEX(Create_TC_Web!S$1:S$500,SMALL(IF(Create_TC_Web!$C$1:$C$500&lt;&gt;"",MATCH(ROW(Create_TC_Web!$C$1:$C$500),ROW(Create_TC_Web!$C$1:$C$500)),""),ROW(Create_TC_Web!Q308))),"")</f>
        <v/>
      </c>
      <c r="S330" t="str">
        <f t="shared" si="18"/>
        <v/>
      </c>
    </row>
    <row r="331" spans="1:19">
      <c r="A331" t="str" cm="1">
        <f t="array" ref="A331">IFERROR(INDEX(Create_TC_Web!D$1:D$500,SMALL(IF(Create_TC_Web!$C$1:$C$500&lt;&gt;"",MATCH(ROW(Create_TC_Web!$C$1:$C$500),ROW(Create_TC_Web!$C$1:$C$500)),""),ROW(Create_TC_Web!B331))),"")</f>
        <v/>
      </c>
      <c r="B331" t="str" cm="1">
        <f t="array" ref="B331">SUBSTITUTE(SUBSTITUTE(SUBSTITUTE(IFERROR(INDEX(Create_TC_Web!E$1:E$505,SMALL(IF(Create_TC_Web!$C$1:$C$505&lt;&gt;"",MATCH(ROW(Create_TC_Web!$C$1:$C$505),ROW(Create_TC_Web!$C$1:$C$505)),""),ROW(Create_TC_Web!C331))),"")," ",""),"-",""),"_","")</f>
        <v/>
      </c>
      <c r="C331" t="str" cm="1">
        <f t="array" ref="C331">IFERROR(INDEX(Create_TC_Web!F$1:F$500,SMALL(IF(Create_TC_Web!$C$1:$C$500&lt;&gt;"",MATCH(ROW(Create_TC_Web!$C$1:$C$500),ROW(Create_TC_Web!$C$1:$C$500)),""),ROW(Create_TC_Web!D331))),"")</f>
        <v/>
      </c>
      <c r="D331" t="str" cm="1">
        <f t="array" ref="D331">IFERROR(INDEX(Create_TC_Web!G$1:G$500,SMALL(IF(Create_TC_Web!$C$1:$C$500&lt;&gt;"",MATCH(ROW(Create_TC_Web!$C$1:$C$500),ROW(Create_TC_Web!$C$1:$C$500)),""),ROW(Create_TC_Web!E331))),"")</f>
        <v/>
      </c>
      <c r="E331" t="str" cm="1">
        <f t="array" ref="E331">IFERROR(INDEX(Create_TC_Web!H$1:H$500,SMALL(IF(Create_TC_Web!$C$1:$C$500&lt;&gt;"",MATCH(ROW(Create_TC_Web!$C$1:$C$500),ROW(Create_TC_Web!$C$1:$C$500)),""),ROW(Create_TC_Web!F331))),"")</f>
        <v/>
      </c>
      <c r="F331" t="str" cm="1">
        <f t="array" ref="F331">IFERROR(INDEX(Create_TC_Web!I$1:I$500,SMALL(IF(Create_TC_Web!$C$1:$C$500&lt;&gt;"",MATCH(ROW(Create_TC_Web!$C$1:$C$500),ROW(Create_TC_Web!$C$1:$C$500)),""),ROW(Create_TC_Web!G331))),"")</f>
        <v/>
      </c>
      <c r="G331" t="str" cm="1">
        <f t="array" ref="G331">IFERROR(INDEX(Create_TC_Web!J$1:J$500,SMALL(IF(Create_TC_Web!$C$1:$C$500&lt;&gt;"",MATCH(ROW(Create_TC_Web!$C$1:$C$500),ROW(Create_TC_Web!$C$1:$C$500)),""),ROW(Create_TC_Web!H331))),"")</f>
        <v/>
      </c>
      <c r="H331" t="str" cm="1">
        <f t="array" ref="H331">IFERROR(INDEX(Create_TC_Web!K$1:K$500,SMALL(IF(Create_TC_Web!$C$1:$C$500&lt;&gt;"",MATCH(ROW(Create_TC_Web!$C$1:$C$500),ROW(Create_TC_Web!$C$1:$C$500)),""),ROW(Create_TC_Web!I331))),"")</f>
        <v/>
      </c>
      <c r="I331" t="str" cm="1">
        <f t="array" ref="I331">IFERROR(INDEX(Create_TC_Web!L$1:L$500,SMALL(IF(Create_TC_Web!$C$1:$C$500&lt;&gt;"",MATCH(ROW(Create_TC_Web!$C$1:$C$500),ROW(Create_TC_Web!$C$1:$C$500)),""),ROW(Create_TC_Web!J331))),"")</f>
        <v/>
      </c>
      <c r="J331" t="str" cm="1">
        <f t="array" ref="J331">IFERROR(INDEX(Create_TC_Web!M$1:M$500,SMALL(IF(Create_TC_Web!$C$1:$C$500&lt;&gt;"",MATCH(ROW(Create_TC_Web!$C$1:$C$500),ROW(Create_TC_Web!$C$1:$C$500)),""),ROW(Create_TC_Web!K331))),"")</f>
        <v/>
      </c>
      <c r="K331" t="str" cm="1">
        <f t="array" ref="K331">IFERROR(INDEX(Create_TC_Web!N$1:N$500,SMALL(IF(Create_TC_Web!$C$1:$C$500&lt;&gt;"",MATCH(ROW(Create_TC_Web!$C$1:$C$500),ROW(Create_TC_Web!$C$1:$C$500)),""),ROW(Create_TC_Web!L331))),"")</f>
        <v/>
      </c>
      <c r="L331" t="str" cm="1">
        <f t="array" ref="L331">IFERROR(INDEX(Create_TC_Web!O$1:O$500,SMALL(IF(Create_TC_Web!$C$1:$C$500&lt;&gt;"",MATCH(ROW(Create_TC_Web!$C$1:$C$500),ROW(Create_TC_Web!$C$1:$C$500)),""),ROW(Create_TC_Web!M331))),"")</f>
        <v/>
      </c>
      <c r="M331" t="str" cm="1">
        <f t="array" ref="M331">IFERROR(INDEX(Create_TC_Web!P$1:P$500,SMALL(IF(Create_TC_Web!$C$1:$C$500&lt;&gt;"",MATCH(ROW(Create_TC_Web!$C$1:$C$500),ROW(Create_TC_Web!$C$1:$C$500)),""),ROW(Create_TC_Web!N331))),"")</f>
        <v/>
      </c>
      <c r="N331" t="str" cm="1">
        <f t="array" ref="N331">IFERROR(INDEX(Create_TC_Web!Q$1:Q$500,SMALL(IF(Create_TC_Web!$C$1:$C$500&lt;&gt;"",MATCH(ROW(Create_TC_Web!$C$1:$C$500),ROW(Create_TC_Web!$C$1:$C$500)),""),ROW(Create_TC_Web!O331))),"")</f>
        <v/>
      </c>
      <c r="O331" t="str">
        <f t="shared" si="17"/>
        <v/>
      </c>
      <c r="P331" s="17" t="str" cm="1">
        <f t="array" ref="P331">IFERROR(INDEX(Create_TC_Web!S$1:S$500,SMALL(IF(Create_TC_Web!$C$1:$C$500&lt;&gt;"",MATCH(ROW(Create_TC_Web!$C$1:$C$500),ROW(Create_TC_Web!$C$1:$C$500)),""),ROW(Create_TC_Web!Q309))),"")</f>
        <v/>
      </c>
      <c r="S331" t="str">
        <f t="shared" si="18"/>
        <v/>
      </c>
    </row>
    <row r="332" spans="1:19">
      <c r="A332" t="str" cm="1">
        <f t="array" ref="A332">IFERROR(INDEX(Create_TC_Web!D$1:D$500,SMALL(IF(Create_TC_Web!$C$1:$C$500&lt;&gt;"",MATCH(ROW(Create_TC_Web!$C$1:$C$500),ROW(Create_TC_Web!$C$1:$C$500)),""),ROW(Create_TC_Web!B332))),"")</f>
        <v/>
      </c>
      <c r="B332" t="str" cm="1">
        <f t="array" ref="B332">SUBSTITUTE(SUBSTITUTE(SUBSTITUTE(IFERROR(INDEX(Create_TC_Web!E$1:E$505,SMALL(IF(Create_TC_Web!$C$1:$C$505&lt;&gt;"",MATCH(ROW(Create_TC_Web!$C$1:$C$505),ROW(Create_TC_Web!$C$1:$C$505)),""),ROW(Create_TC_Web!C332))),"")," ",""),"-",""),"_","")</f>
        <v/>
      </c>
      <c r="C332" t="str" cm="1">
        <f t="array" ref="C332">IFERROR(INDEX(Create_TC_Web!F$1:F$500,SMALL(IF(Create_TC_Web!$C$1:$C$500&lt;&gt;"",MATCH(ROW(Create_TC_Web!$C$1:$C$500),ROW(Create_TC_Web!$C$1:$C$500)),""),ROW(Create_TC_Web!D332))),"")</f>
        <v/>
      </c>
      <c r="D332" t="str" cm="1">
        <f t="array" ref="D332">IFERROR(INDEX(Create_TC_Web!G$1:G$500,SMALL(IF(Create_TC_Web!$C$1:$C$500&lt;&gt;"",MATCH(ROW(Create_TC_Web!$C$1:$C$500),ROW(Create_TC_Web!$C$1:$C$500)),""),ROW(Create_TC_Web!E332))),"")</f>
        <v/>
      </c>
      <c r="E332" t="str" cm="1">
        <f t="array" ref="E332">IFERROR(INDEX(Create_TC_Web!H$1:H$500,SMALL(IF(Create_TC_Web!$C$1:$C$500&lt;&gt;"",MATCH(ROW(Create_TC_Web!$C$1:$C$500),ROW(Create_TC_Web!$C$1:$C$500)),""),ROW(Create_TC_Web!F332))),"")</f>
        <v/>
      </c>
      <c r="F332" t="str" cm="1">
        <f t="array" ref="F332">IFERROR(INDEX(Create_TC_Web!I$1:I$500,SMALL(IF(Create_TC_Web!$C$1:$C$500&lt;&gt;"",MATCH(ROW(Create_TC_Web!$C$1:$C$500),ROW(Create_TC_Web!$C$1:$C$500)),""),ROW(Create_TC_Web!G332))),"")</f>
        <v/>
      </c>
      <c r="G332" t="str" cm="1">
        <f t="array" ref="G332">IFERROR(INDEX(Create_TC_Web!J$1:J$500,SMALL(IF(Create_TC_Web!$C$1:$C$500&lt;&gt;"",MATCH(ROW(Create_TC_Web!$C$1:$C$500),ROW(Create_TC_Web!$C$1:$C$500)),""),ROW(Create_TC_Web!H332))),"")</f>
        <v/>
      </c>
      <c r="H332" t="str" cm="1">
        <f t="array" ref="H332">IFERROR(INDEX(Create_TC_Web!K$1:K$500,SMALL(IF(Create_TC_Web!$C$1:$C$500&lt;&gt;"",MATCH(ROW(Create_TC_Web!$C$1:$C$500),ROW(Create_TC_Web!$C$1:$C$500)),""),ROW(Create_TC_Web!I332))),"")</f>
        <v/>
      </c>
      <c r="I332" t="str" cm="1">
        <f t="array" ref="I332">IFERROR(INDEX(Create_TC_Web!L$1:L$500,SMALL(IF(Create_TC_Web!$C$1:$C$500&lt;&gt;"",MATCH(ROW(Create_TC_Web!$C$1:$C$500),ROW(Create_TC_Web!$C$1:$C$500)),""),ROW(Create_TC_Web!J332))),"")</f>
        <v/>
      </c>
      <c r="J332" t="str" cm="1">
        <f t="array" ref="J332">IFERROR(INDEX(Create_TC_Web!M$1:M$500,SMALL(IF(Create_TC_Web!$C$1:$C$500&lt;&gt;"",MATCH(ROW(Create_TC_Web!$C$1:$C$500),ROW(Create_TC_Web!$C$1:$C$500)),""),ROW(Create_TC_Web!K332))),"")</f>
        <v/>
      </c>
      <c r="K332" t="str" cm="1">
        <f t="array" ref="K332">IFERROR(INDEX(Create_TC_Web!N$1:N$500,SMALL(IF(Create_TC_Web!$C$1:$C$500&lt;&gt;"",MATCH(ROW(Create_TC_Web!$C$1:$C$500),ROW(Create_TC_Web!$C$1:$C$500)),""),ROW(Create_TC_Web!L332))),"")</f>
        <v/>
      </c>
      <c r="L332" t="str" cm="1">
        <f t="array" ref="L332">IFERROR(INDEX(Create_TC_Web!O$1:O$500,SMALL(IF(Create_TC_Web!$C$1:$C$500&lt;&gt;"",MATCH(ROW(Create_TC_Web!$C$1:$C$500),ROW(Create_TC_Web!$C$1:$C$500)),""),ROW(Create_TC_Web!M332))),"")</f>
        <v/>
      </c>
      <c r="M332" t="str" cm="1">
        <f t="array" ref="M332">IFERROR(INDEX(Create_TC_Web!P$1:P$500,SMALL(IF(Create_TC_Web!$C$1:$C$500&lt;&gt;"",MATCH(ROW(Create_TC_Web!$C$1:$C$500),ROW(Create_TC_Web!$C$1:$C$500)),""),ROW(Create_TC_Web!N332))),"")</f>
        <v/>
      </c>
      <c r="N332" t="str" cm="1">
        <f t="array" ref="N332">IFERROR(INDEX(Create_TC_Web!Q$1:Q$500,SMALL(IF(Create_TC_Web!$C$1:$C$500&lt;&gt;"",MATCH(ROW(Create_TC_Web!$C$1:$C$500),ROW(Create_TC_Web!$C$1:$C$500)),""),ROW(Create_TC_Web!O332))),"")</f>
        <v/>
      </c>
      <c r="O332" t="str">
        <f t="shared" si="17"/>
        <v/>
      </c>
      <c r="P332" s="17" t="str" cm="1">
        <f t="array" ref="P332">IFERROR(INDEX(Create_TC_Web!S$1:S$500,SMALL(IF(Create_TC_Web!$C$1:$C$500&lt;&gt;"",MATCH(ROW(Create_TC_Web!$C$1:$C$500),ROW(Create_TC_Web!$C$1:$C$500)),""),ROW(Create_TC_Web!Q310))),"")</f>
        <v/>
      </c>
      <c r="S332" t="str">
        <f t="shared" si="18"/>
        <v/>
      </c>
    </row>
    <row r="333" spans="1:19">
      <c r="A333" t="str" cm="1">
        <f t="array" ref="A333">IFERROR(INDEX(Create_TC_Web!D$1:D$500,SMALL(IF(Create_TC_Web!$C$1:$C$500&lt;&gt;"",MATCH(ROW(Create_TC_Web!$C$1:$C$500),ROW(Create_TC_Web!$C$1:$C$500)),""),ROW(Create_TC_Web!B333))),"")</f>
        <v/>
      </c>
      <c r="B333" t="str" cm="1">
        <f t="array" ref="B333">SUBSTITUTE(SUBSTITUTE(SUBSTITUTE(IFERROR(INDEX(Create_TC_Web!E$1:E$505,SMALL(IF(Create_TC_Web!$C$1:$C$505&lt;&gt;"",MATCH(ROW(Create_TC_Web!$C$1:$C$505),ROW(Create_TC_Web!$C$1:$C$505)),""),ROW(Create_TC_Web!C333))),"")," ",""),"-",""),"_","")</f>
        <v/>
      </c>
      <c r="C333" t="str" cm="1">
        <f t="array" ref="C333">IFERROR(INDEX(Create_TC_Web!F$1:F$500,SMALL(IF(Create_TC_Web!$C$1:$C$500&lt;&gt;"",MATCH(ROW(Create_TC_Web!$C$1:$C$500),ROW(Create_TC_Web!$C$1:$C$500)),""),ROW(Create_TC_Web!D333))),"")</f>
        <v/>
      </c>
      <c r="D333" t="str" cm="1">
        <f t="array" ref="D333">IFERROR(INDEX(Create_TC_Web!G$1:G$500,SMALL(IF(Create_TC_Web!$C$1:$C$500&lt;&gt;"",MATCH(ROW(Create_TC_Web!$C$1:$C$500),ROW(Create_TC_Web!$C$1:$C$500)),""),ROW(Create_TC_Web!E333))),"")</f>
        <v/>
      </c>
      <c r="E333" t="str" cm="1">
        <f t="array" ref="E333">IFERROR(INDEX(Create_TC_Web!H$1:H$500,SMALL(IF(Create_TC_Web!$C$1:$C$500&lt;&gt;"",MATCH(ROW(Create_TC_Web!$C$1:$C$500),ROW(Create_TC_Web!$C$1:$C$500)),""),ROW(Create_TC_Web!F333))),"")</f>
        <v/>
      </c>
      <c r="F333" t="str" cm="1">
        <f t="array" ref="F333">IFERROR(INDEX(Create_TC_Web!I$1:I$500,SMALL(IF(Create_TC_Web!$C$1:$C$500&lt;&gt;"",MATCH(ROW(Create_TC_Web!$C$1:$C$500),ROW(Create_TC_Web!$C$1:$C$500)),""),ROW(Create_TC_Web!G333))),"")</f>
        <v/>
      </c>
      <c r="G333" t="str" cm="1">
        <f t="array" ref="G333">IFERROR(INDEX(Create_TC_Web!J$1:J$500,SMALL(IF(Create_TC_Web!$C$1:$C$500&lt;&gt;"",MATCH(ROW(Create_TC_Web!$C$1:$C$500),ROW(Create_TC_Web!$C$1:$C$500)),""),ROW(Create_TC_Web!H333))),"")</f>
        <v/>
      </c>
      <c r="H333" t="str" cm="1">
        <f t="array" ref="H333">IFERROR(INDEX(Create_TC_Web!K$1:K$500,SMALL(IF(Create_TC_Web!$C$1:$C$500&lt;&gt;"",MATCH(ROW(Create_TC_Web!$C$1:$C$500),ROW(Create_TC_Web!$C$1:$C$500)),""),ROW(Create_TC_Web!I333))),"")</f>
        <v/>
      </c>
      <c r="I333" t="str" cm="1">
        <f t="array" ref="I333">IFERROR(INDEX(Create_TC_Web!L$1:L$500,SMALL(IF(Create_TC_Web!$C$1:$C$500&lt;&gt;"",MATCH(ROW(Create_TC_Web!$C$1:$C$500),ROW(Create_TC_Web!$C$1:$C$500)),""),ROW(Create_TC_Web!J333))),"")</f>
        <v/>
      </c>
      <c r="J333" t="str" cm="1">
        <f t="array" ref="J333">IFERROR(INDEX(Create_TC_Web!M$1:M$500,SMALL(IF(Create_TC_Web!$C$1:$C$500&lt;&gt;"",MATCH(ROW(Create_TC_Web!$C$1:$C$500),ROW(Create_TC_Web!$C$1:$C$500)),""),ROW(Create_TC_Web!K333))),"")</f>
        <v/>
      </c>
      <c r="K333" t="str" cm="1">
        <f t="array" ref="K333">IFERROR(INDEX(Create_TC_Web!N$1:N$500,SMALL(IF(Create_TC_Web!$C$1:$C$500&lt;&gt;"",MATCH(ROW(Create_TC_Web!$C$1:$C$500),ROW(Create_TC_Web!$C$1:$C$500)),""),ROW(Create_TC_Web!L333))),"")</f>
        <v/>
      </c>
      <c r="L333" t="str" cm="1">
        <f t="array" ref="L333">IFERROR(INDEX(Create_TC_Web!O$1:O$500,SMALL(IF(Create_TC_Web!$C$1:$C$500&lt;&gt;"",MATCH(ROW(Create_TC_Web!$C$1:$C$500),ROW(Create_TC_Web!$C$1:$C$500)),""),ROW(Create_TC_Web!M333))),"")</f>
        <v/>
      </c>
      <c r="M333" t="str" cm="1">
        <f t="array" ref="M333">IFERROR(INDEX(Create_TC_Web!P$1:P$500,SMALL(IF(Create_TC_Web!$C$1:$C$500&lt;&gt;"",MATCH(ROW(Create_TC_Web!$C$1:$C$500),ROW(Create_TC_Web!$C$1:$C$500)),""),ROW(Create_TC_Web!N333))),"")</f>
        <v/>
      </c>
      <c r="N333" t="str" cm="1">
        <f t="array" ref="N333">IFERROR(INDEX(Create_TC_Web!Q$1:Q$500,SMALL(IF(Create_TC_Web!$C$1:$C$500&lt;&gt;"",MATCH(ROW(Create_TC_Web!$C$1:$C$500),ROW(Create_TC_Web!$C$1:$C$500)),""),ROW(Create_TC_Web!O333))),"")</f>
        <v/>
      </c>
      <c r="O333" t="str">
        <f t="shared" si="17"/>
        <v/>
      </c>
      <c r="P333" s="17" t="str" cm="1">
        <f t="array" ref="P333">IFERROR(INDEX(Create_TC_Web!S$1:S$500,SMALL(IF(Create_TC_Web!$C$1:$C$500&lt;&gt;"",MATCH(ROW(Create_TC_Web!$C$1:$C$500),ROW(Create_TC_Web!$C$1:$C$500)),""),ROW(Create_TC_Web!Q311))),"")</f>
        <v/>
      </c>
      <c r="S333" t="str">
        <f t="shared" si="18"/>
        <v/>
      </c>
    </row>
    <row r="334" spans="1:19">
      <c r="A334" t="str" cm="1">
        <f t="array" ref="A334">IFERROR(INDEX(Create_TC_Web!D$1:D$500,SMALL(IF(Create_TC_Web!$C$1:$C$500&lt;&gt;"",MATCH(ROW(Create_TC_Web!$C$1:$C$500),ROW(Create_TC_Web!$C$1:$C$500)),""),ROW(Create_TC_Web!B334))),"")</f>
        <v/>
      </c>
      <c r="B334" t="str" cm="1">
        <f t="array" ref="B334">SUBSTITUTE(SUBSTITUTE(SUBSTITUTE(IFERROR(INDEX(Create_TC_Web!E$1:E$505,SMALL(IF(Create_TC_Web!$C$1:$C$505&lt;&gt;"",MATCH(ROW(Create_TC_Web!$C$1:$C$505),ROW(Create_TC_Web!$C$1:$C$505)),""),ROW(Create_TC_Web!C334))),"")," ",""),"-",""),"_","")</f>
        <v/>
      </c>
      <c r="C334" t="str" cm="1">
        <f t="array" ref="C334">IFERROR(INDEX(Create_TC_Web!F$1:F$500,SMALL(IF(Create_TC_Web!$C$1:$C$500&lt;&gt;"",MATCH(ROW(Create_TC_Web!$C$1:$C$500),ROW(Create_TC_Web!$C$1:$C$500)),""),ROW(Create_TC_Web!D334))),"")</f>
        <v/>
      </c>
      <c r="D334" t="str" cm="1">
        <f t="array" ref="D334">IFERROR(INDEX(Create_TC_Web!G$1:G$500,SMALL(IF(Create_TC_Web!$C$1:$C$500&lt;&gt;"",MATCH(ROW(Create_TC_Web!$C$1:$C$500),ROW(Create_TC_Web!$C$1:$C$500)),""),ROW(Create_TC_Web!E334))),"")</f>
        <v/>
      </c>
      <c r="E334" t="str" cm="1">
        <f t="array" ref="E334">IFERROR(INDEX(Create_TC_Web!H$1:H$500,SMALL(IF(Create_TC_Web!$C$1:$C$500&lt;&gt;"",MATCH(ROW(Create_TC_Web!$C$1:$C$500),ROW(Create_TC_Web!$C$1:$C$500)),""),ROW(Create_TC_Web!F334))),"")</f>
        <v/>
      </c>
      <c r="F334" t="str" cm="1">
        <f t="array" ref="F334">IFERROR(INDEX(Create_TC_Web!I$1:I$500,SMALL(IF(Create_TC_Web!$C$1:$C$500&lt;&gt;"",MATCH(ROW(Create_TC_Web!$C$1:$C$500),ROW(Create_TC_Web!$C$1:$C$500)),""),ROW(Create_TC_Web!G334))),"")</f>
        <v/>
      </c>
      <c r="G334" t="str" cm="1">
        <f t="array" ref="G334">IFERROR(INDEX(Create_TC_Web!J$1:J$500,SMALL(IF(Create_TC_Web!$C$1:$C$500&lt;&gt;"",MATCH(ROW(Create_TC_Web!$C$1:$C$500),ROW(Create_TC_Web!$C$1:$C$500)),""),ROW(Create_TC_Web!H334))),"")</f>
        <v/>
      </c>
      <c r="H334" t="str" cm="1">
        <f t="array" ref="H334">IFERROR(INDEX(Create_TC_Web!K$1:K$500,SMALL(IF(Create_TC_Web!$C$1:$C$500&lt;&gt;"",MATCH(ROW(Create_TC_Web!$C$1:$C$500),ROW(Create_TC_Web!$C$1:$C$500)),""),ROW(Create_TC_Web!I334))),"")</f>
        <v/>
      </c>
      <c r="I334" t="str" cm="1">
        <f t="array" ref="I334">IFERROR(INDEX(Create_TC_Web!L$1:L$500,SMALL(IF(Create_TC_Web!$C$1:$C$500&lt;&gt;"",MATCH(ROW(Create_TC_Web!$C$1:$C$500),ROW(Create_TC_Web!$C$1:$C$500)),""),ROW(Create_TC_Web!J334))),"")</f>
        <v/>
      </c>
      <c r="J334" t="str" cm="1">
        <f t="array" ref="J334">IFERROR(INDEX(Create_TC_Web!M$1:M$500,SMALL(IF(Create_TC_Web!$C$1:$C$500&lt;&gt;"",MATCH(ROW(Create_TC_Web!$C$1:$C$500),ROW(Create_TC_Web!$C$1:$C$500)),""),ROW(Create_TC_Web!K334))),"")</f>
        <v/>
      </c>
      <c r="K334" t="str" cm="1">
        <f t="array" ref="K334">IFERROR(INDEX(Create_TC_Web!N$1:N$500,SMALL(IF(Create_TC_Web!$C$1:$C$500&lt;&gt;"",MATCH(ROW(Create_TC_Web!$C$1:$C$500),ROW(Create_TC_Web!$C$1:$C$500)),""),ROW(Create_TC_Web!L334))),"")</f>
        <v/>
      </c>
      <c r="L334" t="str" cm="1">
        <f t="array" ref="L334">IFERROR(INDEX(Create_TC_Web!O$1:O$500,SMALL(IF(Create_TC_Web!$C$1:$C$500&lt;&gt;"",MATCH(ROW(Create_TC_Web!$C$1:$C$500),ROW(Create_TC_Web!$C$1:$C$500)),""),ROW(Create_TC_Web!M334))),"")</f>
        <v/>
      </c>
      <c r="M334" t="str" cm="1">
        <f t="array" ref="M334">IFERROR(INDEX(Create_TC_Web!P$1:P$500,SMALL(IF(Create_TC_Web!$C$1:$C$500&lt;&gt;"",MATCH(ROW(Create_TC_Web!$C$1:$C$500),ROW(Create_TC_Web!$C$1:$C$500)),""),ROW(Create_TC_Web!N334))),"")</f>
        <v/>
      </c>
      <c r="N334" t="str" cm="1">
        <f t="array" ref="N334">IFERROR(INDEX(Create_TC_Web!Q$1:Q$500,SMALL(IF(Create_TC_Web!$C$1:$C$500&lt;&gt;"",MATCH(ROW(Create_TC_Web!$C$1:$C$500),ROW(Create_TC_Web!$C$1:$C$500)),""),ROW(Create_TC_Web!O334))),"")</f>
        <v/>
      </c>
      <c r="O334" t="str">
        <f t="shared" si="17"/>
        <v/>
      </c>
      <c r="P334" s="17" t="str" cm="1">
        <f t="array" ref="P334">IFERROR(INDEX(Create_TC_Web!S$1:S$500,SMALL(IF(Create_TC_Web!$C$1:$C$500&lt;&gt;"",MATCH(ROW(Create_TC_Web!$C$1:$C$500),ROW(Create_TC_Web!$C$1:$C$500)),""),ROW(Create_TC_Web!Q312))),"")</f>
        <v/>
      </c>
      <c r="S334" t="str">
        <f t="shared" si="18"/>
        <v/>
      </c>
    </row>
    <row r="335" spans="1:19">
      <c r="A335" t="str" cm="1">
        <f t="array" ref="A335">IFERROR(INDEX(Create_TC_Web!D$1:D$500,SMALL(IF(Create_TC_Web!$C$1:$C$500&lt;&gt;"",MATCH(ROW(Create_TC_Web!$C$1:$C$500),ROW(Create_TC_Web!$C$1:$C$500)),""),ROW(Create_TC_Web!B335))),"")</f>
        <v/>
      </c>
      <c r="B335" t="str" cm="1">
        <f t="array" ref="B335">SUBSTITUTE(SUBSTITUTE(SUBSTITUTE(IFERROR(INDEX(Create_TC_Web!E$1:E$505,SMALL(IF(Create_TC_Web!$C$1:$C$505&lt;&gt;"",MATCH(ROW(Create_TC_Web!$C$1:$C$505),ROW(Create_TC_Web!$C$1:$C$505)),""),ROW(Create_TC_Web!C335))),"")," ",""),"-",""),"_","")</f>
        <v/>
      </c>
      <c r="C335" t="str" cm="1">
        <f t="array" ref="C335">IFERROR(INDEX(Create_TC_Web!F$1:F$500,SMALL(IF(Create_TC_Web!$C$1:$C$500&lt;&gt;"",MATCH(ROW(Create_TC_Web!$C$1:$C$500),ROW(Create_TC_Web!$C$1:$C$500)),""),ROW(Create_TC_Web!D335))),"")</f>
        <v/>
      </c>
      <c r="D335" t="str" cm="1">
        <f t="array" ref="D335">IFERROR(INDEX(Create_TC_Web!G$1:G$500,SMALL(IF(Create_TC_Web!$C$1:$C$500&lt;&gt;"",MATCH(ROW(Create_TC_Web!$C$1:$C$500),ROW(Create_TC_Web!$C$1:$C$500)),""),ROW(Create_TC_Web!E335))),"")</f>
        <v/>
      </c>
      <c r="E335" t="str" cm="1">
        <f t="array" ref="E335">IFERROR(INDEX(Create_TC_Web!H$1:H$500,SMALL(IF(Create_TC_Web!$C$1:$C$500&lt;&gt;"",MATCH(ROW(Create_TC_Web!$C$1:$C$500),ROW(Create_TC_Web!$C$1:$C$500)),""),ROW(Create_TC_Web!F335))),"")</f>
        <v/>
      </c>
      <c r="F335" t="str" cm="1">
        <f t="array" ref="F335">IFERROR(INDEX(Create_TC_Web!I$1:I$500,SMALL(IF(Create_TC_Web!$C$1:$C$500&lt;&gt;"",MATCH(ROW(Create_TC_Web!$C$1:$C$500),ROW(Create_TC_Web!$C$1:$C$500)),""),ROW(Create_TC_Web!G335))),"")</f>
        <v/>
      </c>
      <c r="G335" t="str" cm="1">
        <f t="array" ref="G335">IFERROR(INDEX(Create_TC_Web!J$1:J$500,SMALL(IF(Create_TC_Web!$C$1:$C$500&lt;&gt;"",MATCH(ROW(Create_TC_Web!$C$1:$C$500),ROW(Create_TC_Web!$C$1:$C$500)),""),ROW(Create_TC_Web!H335))),"")</f>
        <v/>
      </c>
      <c r="H335" t="str" cm="1">
        <f t="array" ref="H335">IFERROR(INDEX(Create_TC_Web!K$1:K$500,SMALL(IF(Create_TC_Web!$C$1:$C$500&lt;&gt;"",MATCH(ROW(Create_TC_Web!$C$1:$C$500),ROW(Create_TC_Web!$C$1:$C$500)),""),ROW(Create_TC_Web!I335))),"")</f>
        <v/>
      </c>
      <c r="I335" t="str" cm="1">
        <f t="array" ref="I335">IFERROR(INDEX(Create_TC_Web!L$1:L$500,SMALL(IF(Create_TC_Web!$C$1:$C$500&lt;&gt;"",MATCH(ROW(Create_TC_Web!$C$1:$C$500),ROW(Create_TC_Web!$C$1:$C$500)),""),ROW(Create_TC_Web!J335))),"")</f>
        <v/>
      </c>
      <c r="J335" t="str" cm="1">
        <f t="array" ref="J335">IFERROR(INDEX(Create_TC_Web!M$1:M$500,SMALL(IF(Create_TC_Web!$C$1:$C$500&lt;&gt;"",MATCH(ROW(Create_TC_Web!$C$1:$C$500),ROW(Create_TC_Web!$C$1:$C$500)),""),ROW(Create_TC_Web!K335))),"")</f>
        <v/>
      </c>
      <c r="K335" t="str" cm="1">
        <f t="array" ref="K335">IFERROR(INDEX(Create_TC_Web!N$1:N$500,SMALL(IF(Create_TC_Web!$C$1:$C$500&lt;&gt;"",MATCH(ROW(Create_TC_Web!$C$1:$C$500),ROW(Create_TC_Web!$C$1:$C$500)),""),ROW(Create_TC_Web!L335))),"")</f>
        <v/>
      </c>
      <c r="L335" t="str" cm="1">
        <f t="array" ref="L335">IFERROR(INDEX(Create_TC_Web!O$1:O$500,SMALL(IF(Create_TC_Web!$C$1:$C$500&lt;&gt;"",MATCH(ROW(Create_TC_Web!$C$1:$C$500),ROW(Create_TC_Web!$C$1:$C$500)),""),ROW(Create_TC_Web!M335))),"")</f>
        <v/>
      </c>
      <c r="M335" t="str" cm="1">
        <f t="array" ref="M335">IFERROR(INDEX(Create_TC_Web!P$1:P$500,SMALL(IF(Create_TC_Web!$C$1:$C$500&lt;&gt;"",MATCH(ROW(Create_TC_Web!$C$1:$C$500),ROW(Create_TC_Web!$C$1:$C$500)),""),ROW(Create_TC_Web!N335))),"")</f>
        <v/>
      </c>
      <c r="N335" t="str" cm="1">
        <f t="array" ref="N335">IFERROR(INDEX(Create_TC_Web!Q$1:Q$500,SMALL(IF(Create_TC_Web!$C$1:$C$500&lt;&gt;"",MATCH(ROW(Create_TC_Web!$C$1:$C$500),ROW(Create_TC_Web!$C$1:$C$500)),""),ROW(Create_TC_Web!O335))),"")</f>
        <v/>
      </c>
      <c r="O335" t="str">
        <f t="shared" si="17"/>
        <v/>
      </c>
      <c r="P335" s="17" t="str" cm="1">
        <f t="array" ref="P335">IFERROR(INDEX(Create_TC_Web!S$1:S$500,SMALL(IF(Create_TC_Web!$C$1:$C$500&lt;&gt;"",MATCH(ROW(Create_TC_Web!$C$1:$C$500),ROW(Create_TC_Web!$C$1:$C$500)),""),ROW(Create_TC_Web!Q313))),"")</f>
        <v/>
      </c>
      <c r="S335" t="str">
        <f t="shared" si="18"/>
        <v/>
      </c>
    </row>
    <row r="336" spans="1:19">
      <c r="A336" t="str" cm="1">
        <f t="array" ref="A336">IFERROR(INDEX(Create_TC_Web!D$1:D$500,SMALL(IF(Create_TC_Web!$C$1:$C$500&lt;&gt;"",MATCH(ROW(Create_TC_Web!$C$1:$C$500),ROW(Create_TC_Web!$C$1:$C$500)),""),ROW(Create_TC_Web!B336))),"")</f>
        <v/>
      </c>
      <c r="B336" t="str" cm="1">
        <f t="array" ref="B336">SUBSTITUTE(SUBSTITUTE(SUBSTITUTE(IFERROR(INDEX(Create_TC_Web!E$1:E$505,SMALL(IF(Create_TC_Web!$C$1:$C$505&lt;&gt;"",MATCH(ROW(Create_TC_Web!$C$1:$C$505),ROW(Create_TC_Web!$C$1:$C$505)),""),ROW(Create_TC_Web!C336))),"")," ",""),"-",""),"_","")</f>
        <v/>
      </c>
      <c r="C336" t="str" cm="1">
        <f t="array" ref="C336">IFERROR(INDEX(Create_TC_Web!F$1:F$500,SMALL(IF(Create_TC_Web!$C$1:$C$500&lt;&gt;"",MATCH(ROW(Create_TC_Web!$C$1:$C$500),ROW(Create_TC_Web!$C$1:$C$500)),""),ROW(Create_TC_Web!D336))),"")</f>
        <v/>
      </c>
      <c r="D336" t="str" cm="1">
        <f t="array" ref="D336">IFERROR(INDEX(Create_TC_Web!G$1:G$500,SMALL(IF(Create_TC_Web!$C$1:$C$500&lt;&gt;"",MATCH(ROW(Create_TC_Web!$C$1:$C$500),ROW(Create_TC_Web!$C$1:$C$500)),""),ROW(Create_TC_Web!E336))),"")</f>
        <v/>
      </c>
      <c r="E336" t="str" cm="1">
        <f t="array" ref="E336">IFERROR(INDEX(Create_TC_Web!H$1:H$500,SMALL(IF(Create_TC_Web!$C$1:$C$500&lt;&gt;"",MATCH(ROW(Create_TC_Web!$C$1:$C$500),ROW(Create_TC_Web!$C$1:$C$500)),""),ROW(Create_TC_Web!F336))),"")</f>
        <v/>
      </c>
      <c r="F336" t="str" cm="1">
        <f t="array" ref="F336">IFERROR(INDEX(Create_TC_Web!I$1:I$500,SMALL(IF(Create_TC_Web!$C$1:$C$500&lt;&gt;"",MATCH(ROW(Create_TC_Web!$C$1:$C$500),ROW(Create_TC_Web!$C$1:$C$500)),""),ROW(Create_TC_Web!G336))),"")</f>
        <v/>
      </c>
      <c r="G336" t="str" cm="1">
        <f t="array" ref="G336">IFERROR(INDEX(Create_TC_Web!J$1:J$500,SMALL(IF(Create_TC_Web!$C$1:$C$500&lt;&gt;"",MATCH(ROW(Create_TC_Web!$C$1:$C$500),ROW(Create_TC_Web!$C$1:$C$500)),""),ROW(Create_TC_Web!H336))),"")</f>
        <v/>
      </c>
      <c r="H336" t="str" cm="1">
        <f t="array" ref="H336">IFERROR(INDEX(Create_TC_Web!K$1:K$500,SMALL(IF(Create_TC_Web!$C$1:$C$500&lt;&gt;"",MATCH(ROW(Create_TC_Web!$C$1:$C$500),ROW(Create_TC_Web!$C$1:$C$500)),""),ROW(Create_TC_Web!I336))),"")</f>
        <v/>
      </c>
      <c r="I336" t="str" cm="1">
        <f t="array" ref="I336">IFERROR(INDEX(Create_TC_Web!L$1:L$500,SMALL(IF(Create_TC_Web!$C$1:$C$500&lt;&gt;"",MATCH(ROW(Create_TC_Web!$C$1:$C$500),ROW(Create_TC_Web!$C$1:$C$500)),""),ROW(Create_TC_Web!J336))),"")</f>
        <v/>
      </c>
      <c r="J336" t="str" cm="1">
        <f t="array" ref="J336">IFERROR(INDEX(Create_TC_Web!M$1:M$500,SMALL(IF(Create_TC_Web!$C$1:$C$500&lt;&gt;"",MATCH(ROW(Create_TC_Web!$C$1:$C$500),ROW(Create_TC_Web!$C$1:$C$500)),""),ROW(Create_TC_Web!K336))),"")</f>
        <v/>
      </c>
      <c r="K336" t="str" cm="1">
        <f t="array" ref="K336">IFERROR(INDEX(Create_TC_Web!N$1:N$500,SMALL(IF(Create_TC_Web!$C$1:$C$500&lt;&gt;"",MATCH(ROW(Create_TC_Web!$C$1:$C$500),ROW(Create_TC_Web!$C$1:$C$500)),""),ROW(Create_TC_Web!L336))),"")</f>
        <v/>
      </c>
      <c r="L336" t="str" cm="1">
        <f t="array" ref="L336">IFERROR(INDEX(Create_TC_Web!O$1:O$500,SMALL(IF(Create_TC_Web!$C$1:$C$500&lt;&gt;"",MATCH(ROW(Create_TC_Web!$C$1:$C$500),ROW(Create_TC_Web!$C$1:$C$500)),""),ROW(Create_TC_Web!M336))),"")</f>
        <v/>
      </c>
      <c r="M336" t="str" cm="1">
        <f t="array" ref="M336">IFERROR(INDEX(Create_TC_Web!P$1:P$500,SMALL(IF(Create_TC_Web!$C$1:$C$500&lt;&gt;"",MATCH(ROW(Create_TC_Web!$C$1:$C$500),ROW(Create_TC_Web!$C$1:$C$500)),""),ROW(Create_TC_Web!N336))),"")</f>
        <v/>
      </c>
      <c r="N336" t="str" cm="1">
        <f t="array" ref="N336">IFERROR(INDEX(Create_TC_Web!Q$1:Q$500,SMALL(IF(Create_TC_Web!$C$1:$C$500&lt;&gt;"",MATCH(ROW(Create_TC_Web!$C$1:$C$500),ROW(Create_TC_Web!$C$1:$C$500)),""),ROW(Create_TC_Web!O336))),"")</f>
        <v/>
      </c>
      <c r="O336" t="str">
        <f t="shared" si="17"/>
        <v/>
      </c>
      <c r="P336" s="17" t="str" cm="1">
        <f t="array" ref="P336">IFERROR(INDEX(Create_TC_Web!S$1:S$500,SMALL(IF(Create_TC_Web!$C$1:$C$500&lt;&gt;"",MATCH(ROW(Create_TC_Web!$C$1:$C$500),ROW(Create_TC_Web!$C$1:$C$500)),""),ROW(Create_TC_Web!Q314))),"")</f>
        <v/>
      </c>
      <c r="S336" t="str">
        <f t="shared" si="18"/>
        <v/>
      </c>
    </row>
    <row r="337" spans="1:19">
      <c r="A337" t="str" cm="1">
        <f t="array" ref="A337">IFERROR(INDEX(Create_TC_Web!D$1:D$500,SMALL(IF(Create_TC_Web!$C$1:$C$500&lt;&gt;"",MATCH(ROW(Create_TC_Web!$C$1:$C$500),ROW(Create_TC_Web!$C$1:$C$500)),""),ROW(Create_TC_Web!B337))),"")</f>
        <v/>
      </c>
      <c r="B337" t="str" cm="1">
        <f t="array" ref="B337">SUBSTITUTE(SUBSTITUTE(SUBSTITUTE(IFERROR(INDEX(Create_TC_Web!E$1:E$505,SMALL(IF(Create_TC_Web!$C$1:$C$505&lt;&gt;"",MATCH(ROW(Create_TC_Web!$C$1:$C$505),ROW(Create_TC_Web!$C$1:$C$505)),""),ROW(Create_TC_Web!C337))),"")," ",""),"-",""),"_","")</f>
        <v/>
      </c>
      <c r="C337" t="str" cm="1">
        <f t="array" ref="C337">IFERROR(INDEX(Create_TC_Web!F$1:F$500,SMALL(IF(Create_TC_Web!$C$1:$C$500&lt;&gt;"",MATCH(ROW(Create_TC_Web!$C$1:$C$500),ROW(Create_TC_Web!$C$1:$C$500)),""),ROW(Create_TC_Web!D337))),"")</f>
        <v/>
      </c>
      <c r="D337" t="str" cm="1">
        <f t="array" ref="D337">IFERROR(INDEX(Create_TC_Web!G$1:G$500,SMALL(IF(Create_TC_Web!$C$1:$C$500&lt;&gt;"",MATCH(ROW(Create_TC_Web!$C$1:$C$500),ROW(Create_TC_Web!$C$1:$C$500)),""),ROW(Create_TC_Web!E337))),"")</f>
        <v/>
      </c>
      <c r="E337" t="str" cm="1">
        <f t="array" ref="E337">IFERROR(INDEX(Create_TC_Web!H$1:H$500,SMALL(IF(Create_TC_Web!$C$1:$C$500&lt;&gt;"",MATCH(ROW(Create_TC_Web!$C$1:$C$500),ROW(Create_TC_Web!$C$1:$C$500)),""),ROW(Create_TC_Web!F337))),"")</f>
        <v/>
      </c>
      <c r="F337" t="str" cm="1">
        <f t="array" ref="F337">IFERROR(INDEX(Create_TC_Web!I$1:I$500,SMALL(IF(Create_TC_Web!$C$1:$C$500&lt;&gt;"",MATCH(ROW(Create_TC_Web!$C$1:$C$500),ROW(Create_TC_Web!$C$1:$C$500)),""),ROW(Create_TC_Web!G337))),"")</f>
        <v/>
      </c>
      <c r="G337" t="str" cm="1">
        <f t="array" ref="G337">IFERROR(INDEX(Create_TC_Web!J$1:J$500,SMALL(IF(Create_TC_Web!$C$1:$C$500&lt;&gt;"",MATCH(ROW(Create_TC_Web!$C$1:$C$500),ROW(Create_TC_Web!$C$1:$C$500)),""),ROW(Create_TC_Web!H337))),"")</f>
        <v/>
      </c>
      <c r="H337" t="str" cm="1">
        <f t="array" ref="H337">IFERROR(INDEX(Create_TC_Web!K$1:K$500,SMALL(IF(Create_TC_Web!$C$1:$C$500&lt;&gt;"",MATCH(ROW(Create_TC_Web!$C$1:$C$500),ROW(Create_TC_Web!$C$1:$C$500)),""),ROW(Create_TC_Web!I337))),"")</f>
        <v/>
      </c>
      <c r="I337" t="str" cm="1">
        <f t="array" ref="I337">IFERROR(INDEX(Create_TC_Web!L$1:L$500,SMALL(IF(Create_TC_Web!$C$1:$C$500&lt;&gt;"",MATCH(ROW(Create_TC_Web!$C$1:$C$500),ROW(Create_TC_Web!$C$1:$C$500)),""),ROW(Create_TC_Web!J337))),"")</f>
        <v/>
      </c>
      <c r="J337" t="str" cm="1">
        <f t="array" ref="J337">IFERROR(INDEX(Create_TC_Web!M$1:M$500,SMALL(IF(Create_TC_Web!$C$1:$C$500&lt;&gt;"",MATCH(ROW(Create_TC_Web!$C$1:$C$500),ROW(Create_TC_Web!$C$1:$C$500)),""),ROW(Create_TC_Web!K337))),"")</f>
        <v/>
      </c>
      <c r="K337" t="str" cm="1">
        <f t="array" ref="K337">IFERROR(INDEX(Create_TC_Web!N$1:N$500,SMALL(IF(Create_TC_Web!$C$1:$C$500&lt;&gt;"",MATCH(ROW(Create_TC_Web!$C$1:$C$500),ROW(Create_TC_Web!$C$1:$C$500)),""),ROW(Create_TC_Web!L337))),"")</f>
        <v/>
      </c>
      <c r="L337" t="str" cm="1">
        <f t="array" ref="L337">IFERROR(INDEX(Create_TC_Web!O$1:O$500,SMALL(IF(Create_TC_Web!$C$1:$C$500&lt;&gt;"",MATCH(ROW(Create_TC_Web!$C$1:$C$500),ROW(Create_TC_Web!$C$1:$C$500)),""),ROW(Create_TC_Web!M337))),"")</f>
        <v/>
      </c>
      <c r="M337" t="str" cm="1">
        <f t="array" ref="M337">IFERROR(INDEX(Create_TC_Web!P$1:P$500,SMALL(IF(Create_TC_Web!$C$1:$C$500&lt;&gt;"",MATCH(ROW(Create_TC_Web!$C$1:$C$500),ROW(Create_TC_Web!$C$1:$C$500)),""),ROW(Create_TC_Web!N337))),"")</f>
        <v/>
      </c>
      <c r="N337" t="str" cm="1">
        <f t="array" ref="N337">IFERROR(INDEX(Create_TC_Web!Q$1:Q$500,SMALL(IF(Create_TC_Web!$C$1:$C$500&lt;&gt;"",MATCH(ROW(Create_TC_Web!$C$1:$C$500),ROW(Create_TC_Web!$C$1:$C$500)),""),ROW(Create_TC_Web!O337))),"")</f>
        <v/>
      </c>
      <c r="O337" t="str">
        <f t="shared" si="17"/>
        <v/>
      </c>
      <c r="P337" s="17" t="str" cm="1">
        <f t="array" ref="P337">IFERROR(INDEX(Create_TC_Web!S$1:S$500,SMALL(IF(Create_TC_Web!$C$1:$C$500&lt;&gt;"",MATCH(ROW(Create_TC_Web!$C$1:$C$500),ROW(Create_TC_Web!$C$1:$C$500)),""),ROW(Create_TC_Web!Q315))),"")</f>
        <v/>
      </c>
      <c r="S337" t="str">
        <f t="shared" si="18"/>
        <v/>
      </c>
    </row>
    <row r="338" spans="1:19">
      <c r="A338" t="str" cm="1">
        <f t="array" ref="A338">IFERROR(INDEX(Create_TC_Web!D$1:D$500,SMALL(IF(Create_TC_Web!$C$1:$C$500&lt;&gt;"",MATCH(ROW(Create_TC_Web!$C$1:$C$500),ROW(Create_TC_Web!$C$1:$C$500)),""),ROW(Create_TC_Web!B338))),"")</f>
        <v/>
      </c>
      <c r="B338" t="str" cm="1">
        <f t="array" ref="B338">SUBSTITUTE(SUBSTITUTE(SUBSTITUTE(IFERROR(INDEX(Create_TC_Web!E$1:E$505,SMALL(IF(Create_TC_Web!$C$1:$C$505&lt;&gt;"",MATCH(ROW(Create_TC_Web!$C$1:$C$505),ROW(Create_TC_Web!$C$1:$C$505)),""),ROW(Create_TC_Web!C338))),"")," ",""),"-",""),"_","")</f>
        <v/>
      </c>
      <c r="C338" t="str" cm="1">
        <f t="array" ref="C338">IFERROR(INDEX(Create_TC_Web!F$1:F$500,SMALL(IF(Create_TC_Web!$C$1:$C$500&lt;&gt;"",MATCH(ROW(Create_TC_Web!$C$1:$C$500),ROW(Create_TC_Web!$C$1:$C$500)),""),ROW(Create_TC_Web!D338))),"")</f>
        <v/>
      </c>
      <c r="D338" t="str" cm="1">
        <f t="array" ref="D338">IFERROR(INDEX(Create_TC_Web!G$1:G$500,SMALL(IF(Create_TC_Web!$C$1:$C$500&lt;&gt;"",MATCH(ROW(Create_TC_Web!$C$1:$C$500),ROW(Create_TC_Web!$C$1:$C$500)),""),ROW(Create_TC_Web!E338))),"")</f>
        <v/>
      </c>
      <c r="E338" t="str" cm="1">
        <f t="array" ref="E338">IFERROR(INDEX(Create_TC_Web!H$1:H$500,SMALL(IF(Create_TC_Web!$C$1:$C$500&lt;&gt;"",MATCH(ROW(Create_TC_Web!$C$1:$C$500),ROW(Create_TC_Web!$C$1:$C$500)),""),ROW(Create_TC_Web!F338))),"")</f>
        <v/>
      </c>
      <c r="F338" t="str" cm="1">
        <f t="array" ref="F338">IFERROR(INDEX(Create_TC_Web!I$1:I$500,SMALL(IF(Create_TC_Web!$C$1:$C$500&lt;&gt;"",MATCH(ROW(Create_TC_Web!$C$1:$C$500),ROW(Create_TC_Web!$C$1:$C$500)),""),ROW(Create_TC_Web!G338))),"")</f>
        <v/>
      </c>
      <c r="G338" t="str" cm="1">
        <f t="array" ref="G338">IFERROR(INDEX(Create_TC_Web!J$1:J$500,SMALL(IF(Create_TC_Web!$C$1:$C$500&lt;&gt;"",MATCH(ROW(Create_TC_Web!$C$1:$C$500),ROW(Create_TC_Web!$C$1:$C$500)),""),ROW(Create_TC_Web!H338))),"")</f>
        <v/>
      </c>
      <c r="H338" t="str" cm="1">
        <f t="array" ref="H338">IFERROR(INDEX(Create_TC_Web!K$1:K$500,SMALL(IF(Create_TC_Web!$C$1:$C$500&lt;&gt;"",MATCH(ROW(Create_TC_Web!$C$1:$C$500),ROW(Create_TC_Web!$C$1:$C$500)),""),ROW(Create_TC_Web!I338))),"")</f>
        <v/>
      </c>
      <c r="I338" t="str" cm="1">
        <f t="array" ref="I338">IFERROR(INDEX(Create_TC_Web!L$1:L$500,SMALL(IF(Create_TC_Web!$C$1:$C$500&lt;&gt;"",MATCH(ROW(Create_TC_Web!$C$1:$C$500),ROW(Create_TC_Web!$C$1:$C$500)),""),ROW(Create_TC_Web!J338))),"")</f>
        <v/>
      </c>
      <c r="J338" t="str" cm="1">
        <f t="array" ref="J338">IFERROR(INDEX(Create_TC_Web!M$1:M$500,SMALL(IF(Create_TC_Web!$C$1:$C$500&lt;&gt;"",MATCH(ROW(Create_TC_Web!$C$1:$C$500),ROW(Create_TC_Web!$C$1:$C$500)),""),ROW(Create_TC_Web!K338))),"")</f>
        <v/>
      </c>
      <c r="K338" t="str" cm="1">
        <f t="array" ref="K338">IFERROR(INDEX(Create_TC_Web!N$1:N$500,SMALL(IF(Create_TC_Web!$C$1:$C$500&lt;&gt;"",MATCH(ROW(Create_TC_Web!$C$1:$C$500),ROW(Create_TC_Web!$C$1:$C$500)),""),ROW(Create_TC_Web!L338))),"")</f>
        <v/>
      </c>
      <c r="L338" t="str" cm="1">
        <f t="array" ref="L338">IFERROR(INDEX(Create_TC_Web!O$1:O$500,SMALL(IF(Create_TC_Web!$C$1:$C$500&lt;&gt;"",MATCH(ROW(Create_TC_Web!$C$1:$C$500),ROW(Create_TC_Web!$C$1:$C$500)),""),ROW(Create_TC_Web!M338))),"")</f>
        <v/>
      </c>
      <c r="M338" t="str" cm="1">
        <f t="array" ref="M338">IFERROR(INDEX(Create_TC_Web!P$1:P$500,SMALL(IF(Create_TC_Web!$C$1:$C$500&lt;&gt;"",MATCH(ROW(Create_TC_Web!$C$1:$C$500),ROW(Create_TC_Web!$C$1:$C$500)),""),ROW(Create_TC_Web!N338))),"")</f>
        <v/>
      </c>
      <c r="N338" t="str" cm="1">
        <f t="array" ref="N338">IFERROR(INDEX(Create_TC_Web!Q$1:Q$500,SMALL(IF(Create_TC_Web!$C$1:$C$500&lt;&gt;"",MATCH(ROW(Create_TC_Web!$C$1:$C$500),ROW(Create_TC_Web!$C$1:$C$500)),""),ROW(Create_TC_Web!O338))),"")</f>
        <v/>
      </c>
      <c r="O338" t="str">
        <f t="shared" si="17"/>
        <v/>
      </c>
      <c r="P338" s="17" t="str" cm="1">
        <f t="array" ref="P338">IFERROR(INDEX(Create_TC_Web!S$1:S$500,SMALL(IF(Create_TC_Web!$C$1:$C$500&lt;&gt;"",MATCH(ROW(Create_TC_Web!$C$1:$C$500),ROW(Create_TC_Web!$C$1:$C$500)),""),ROW(Create_TC_Web!Q316))),"")</f>
        <v/>
      </c>
      <c r="S338" t="str">
        <f t="shared" si="18"/>
        <v/>
      </c>
    </row>
    <row r="339" spans="1:19">
      <c r="A339" t="str" cm="1">
        <f t="array" ref="A339">IFERROR(INDEX(Create_TC_Web!D$1:D$500,SMALL(IF(Create_TC_Web!$C$1:$C$500&lt;&gt;"",MATCH(ROW(Create_TC_Web!$C$1:$C$500),ROW(Create_TC_Web!$C$1:$C$500)),""),ROW(Create_TC_Web!B339))),"")</f>
        <v/>
      </c>
      <c r="B339" t="str" cm="1">
        <f t="array" ref="B339">SUBSTITUTE(SUBSTITUTE(SUBSTITUTE(IFERROR(INDEX(Create_TC_Web!E$1:E$505,SMALL(IF(Create_TC_Web!$C$1:$C$505&lt;&gt;"",MATCH(ROW(Create_TC_Web!$C$1:$C$505),ROW(Create_TC_Web!$C$1:$C$505)),""),ROW(Create_TC_Web!C339))),"")," ",""),"-",""),"_","")</f>
        <v/>
      </c>
      <c r="C339" t="str" cm="1">
        <f t="array" ref="C339">IFERROR(INDEX(Create_TC_Web!F$1:F$500,SMALL(IF(Create_TC_Web!$C$1:$C$500&lt;&gt;"",MATCH(ROW(Create_TC_Web!$C$1:$C$500),ROW(Create_TC_Web!$C$1:$C$500)),""),ROW(Create_TC_Web!D339))),"")</f>
        <v/>
      </c>
      <c r="D339" t="str" cm="1">
        <f t="array" ref="D339">IFERROR(INDEX(Create_TC_Web!G$1:G$500,SMALL(IF(Create_TC_Web!$C$1:$C$500&lt;&gt;"",MATCH(ROW(Create_TC_Web!$C$1:$C$500),ROW(Create_TC_Web!$C$1:$C$500)),""),ROW(Create_TC_Web!E339))),"")</f>
        <v/>
      </c>
      <c r="E339" t="str" cm="1">
        <f t="array" ref="E339">IFERROR(INDEX(Create_TC_Web!H$1:H$500,SMALL(IF(Create_TC_Web!$C$1:$C$500&lt;&gt;"",MATCH(ROW(Create_TC_Web!$C$1:$C$500),ROW(Create_TC_Web!$C$1:$C$500)),""),ROW(Create_TC_Web!F339))),"")</f>
        <v/>
      </c>
      <c r="F339" t="str" cm="1">
        <f t="array" ref="F339">IFERROR(INDEX(Create_TC_Web!I$1:I$500,SMALL(IF(Create_TC_Web!$C$1:$C$500&lt;&gt;"",MATCH(ROW(Create_TC_Web!$C$1:$C$500),ROW(Create_TC_Web!$C$1:$C$500)),""),ROW(Create_TC_Web!G339))),"")</f>
        <v/>
      </c>
      <c r="G339" t="str" cm="1">
        <f t="array" ref="G339">IFERROR(INDEX(Create_TC_Web!J$1:J$500,SMALL(IF(Create_TC_Web!$C$1:$C$500&lt;&gt;"",MATCH(ROW(Create_TC_Web!$C$1:$C$500),ROW(Create_TC_Web!$C$1:$C$500)),""),ROW(Create_TC_Web!H339))),"")</f>
        <v/>
      </c>
      <c r="H339" t="str" cm="1">
        <f t="array" ref="H339">IFERROR(INDEX(Create_TC_Web!K$1:K$500,SMALL(IF(Create_TC_Web!$C$1:$C$500&lt;&gt;"",MATCH(ROW(Create_TC_Web!$C$1:$C$500),ROW(Create_TC_Web!$C$1:$C$500)),""),ROW(Create_TC_Web!I339))),"")</f>
        <v/>
      </c>
      <c r="I339" t="str" cm="1">
        <f t="array" ref="I339">IFERROR(INDEX(Create_TC_Web!L$1:L$500,SMALL(IF(Create_TC_Web!$C$1:$C$500&lt;&gt;"",MATCH(ROW(Create_TC_Web!$C$1:$C$500),ROW(Create_TC_Web!$C$1:$C$500)),""),ROW(Create_TC_Web!J339))),"")</f>
        <v/>
      </c>
      <c r="J339" t="str" cm="1">
        <f t="array" ref="J339">IFERROR(INDEX(Create_TC_Web!M$1:M$500,SMALL(IF(Create_TC_Web!$C$1:$C$500&lt;&gt;"",MATCH(ROW(Create_TC_Web!$C$1:$C$500),ROW(Create_TC_Web!$C$1:$C$500)),""),ROW(Create_TC_Web!K339))),"")</f>
        <v/>
      </c>
      <c r="K339" t="str" cm="1">
        <f t="array" ref="K339">IFERROR(INDEX(Create_TC_Web!N$1:N$500,SMALL(IF(Create_TC_Web!$C$1:$C$500&lt;&gt;"",MATCH(ROW(Create_TC_Web!$C$1:$C$500),ROW(Create_TC_Web!$C$1:$C$500)),""),ROW(Create_TC_Web!L339))),"")</f>
        <v/>
      </c>
      <c r="L339" t="str" cm="1">
        <f t="array" ref="L339">IFERROR(INDEX(Create_TC_Web!O$1:O$500,SMALL(IF(Create_TC_Web!$C$1:$C$500&lt;&gt;"",MATCH(ROW(Create_TC_Web!$C$1:$C$500),ROW(Create_TC_Web!$C$1:$C$500)),""),ROW(Create_TC_Web!M339))),"")</f>
        <v/>
      </c>
      <c r="M339" t="str" cm="1">
        <f t="array" ref="M339">IFERROR(INDEX(Create_TC_Web!P$1:P$500,SMALL(IF(Create_TC_Web!$C$1:$C$500&lt;&gt;"",MATCH(ROW(Create_TC_Web!$C$1:$C$500),ROW(Create_TC_Web!$C$1:$C$500)),""),ROW(Create_TC_Web!N339))),"")</f>
        <v/>
      </c>
      <c r="N339" t="str" cm="1">
        <f t="array" ref="N339">IFERROR(INDEX(Create_TC_Web!Q$1:Q$500,SMALL(IF(Create_TC_Web!$C$1:$C$500&lt;&gt;"",MATCH(ROW(Create_TC_Web!$C$1:$C$500),ROW(Create_TC_Web!$C$1:$C$500)),""),ROW(Create_TC_Web!O339))),"")</f>
        <v/>
      </c>
      <c r="O339" t="str">
        <f t="shared" si="17"/>
        <v/>
      </c>
      <c r="P339" s="17" t="str" cm="1">
        <f t="array" ref="P339">IFERROR(INDEX(Create_TC_Web!S$1:S$500,SMALL(IF(Create_TC_Web!$C$1:$C$500&lt;&gt;"",MATCH(ROW(Create_TC_Web!$C$1:$C$500),ROW(Create_TC_Web!$C$1:$C$500)),""),ROW(Create_TC_Web!Q317))),"")</f>
        <v/>
      </c>
      <c r="S339" t="str">
        <f t="shared" si="18"/>
        <v/>
      </c>
    </row>
    <row r="340" spans="1:19">
      <c r="A340" t="str" cm="1">
        <f t="array" ref="A340">IFERROR(INDEX(Create_TC_Web!D$1:D$500,SMALL(IF(Create_TC_Web!$C$1:$C$500&lt;&gt;"",MATCH(ROW(Create_TC_Web!$C$1:$C$500),ROW(Create_TC_Web!$C$1:$C$500)),""),ROW(Create_TC_Web!B340))),"")</f>
        <v/>
      </c>
      <c r="B340" t="str" cm="1">
        <f t="array" ref="B340">SUBSTITUTE(SUBSTITUTE(SUBSTITUTE(IFERROR(INDEX(Create_TC_Web!E$1:E$505,SMALL(IF(Create_TC_Web!$C$1:$C$505&lt;&gt;"",MATCH(ROW(Create_TC_Web!$C$1:$C$505),ROW(Create_TC_Web!$C$1:$C$505)),""),ROW(Create_TC_Web!C340))),"")," ",""),"-",""),"_","")</f>
        <v/>
      </c>
      <c r="C340" t="str" cm="1">
        <f t="array" ref="C340">IFERROR(INDEX(Create_TC_Web!F$1:F$500,SMALL(IF(Create_TC_Web!$C$1:$C$500&lt;&gt;"",MATCH(ROW(Create_TC_Web!$C$1:$C$500),ROW(Create_TC_Web!$C$1:$C$500)),""),ROW(Create_TC_Web!D340))),"")</f>
        <v/>
      </c>
      <c r="D340" t="str" cm="1">
        <f t="array" ref="D340">IFERROR(INDEX(Create_TC_Web!G$1:G$500,SMALL(IF(Create_TC_Web!$C$1:$C$500&lt;&gt;"",MATCH(ROW(Create_TC_Web!$C$1:$C$500),ROW(Create_TC_Web!$C$1:$C$500)),""),ROW(Create_TC_Web!E340))),"")</f>
        <v/>
      </c>
      <c r="E340" t="str" cm="1">
        <f t="array" ref="E340">IFERROR(INDEX(Create_TC_Web!H$1:H$500,SMALL(IF(Create_TC_Web!$C$1:$C$500&lt;&gt;"",MATCH(ROW(Create_TC_Web!$C$1:$C$500),ROW(Create_TC_Web!$C$1:$C$500)),""),ROW(Create_TC_Web!F340))),"")</f>
        <v/>
      </c>
      <c r="F340" t="str" cm="1">
        <f t="array" ref="F340">IFERROR(INDEX(Create_TC_Web!I$1:I$500,SMALL(IF(Create_TC_Web!$C$1:$C$500&lt;&gt;"",MATCH(ROW(Create_TC_Web!$C$1:$C$500),ROW(Create_TC_Web!$C$1:$C$500)),""),ROW(Create_TC_Web!G340))),"")</f>
        <v/>
      </c>
      <c r="G340" t="str" cm="1">
        <f t="array" ref="G340">IFERROR(INDEX(Create_TC_Web!J$1:J$500,SMALL(IF(Create_TC_Web!$C$1:$C$500&lt;&gt;"",MATCH(ROW(Create_TC_Web!$C$1:$C$500),ROW(Create_TC_Web!$C$1:$C$500)),""),ROW(Create_TC_Web!H340))),"")</f>
        <v/>
      </c>
      <c r="H340" t="str" cm="1">
        <f t="array" ref="H340">IFERROR(INDEX(Create_TC_Web!K$1:K$500,SMALL(IF(Create_TC_Web!$C$1:$C$500&lt;&gt;"",MATCH(ROW(Create_TC_Web!$C$1:$C$500),ROW(Create_TC_Web!$C$1:$C$500)),""),ROW(Create_TC_Web!I340))),"")</f>
        <v/>
      </c>
      <c r="I340" t="str" cm="1">
        <f t="array" ref="I340">IFERROR(INDEX(Create_TC_Web!L$1:L$500,SMALL(IF(Create_TC_Web!$C$1:$C$500&lt;&gt;"",MATCH(ROW(Create_TC_Web!$C$1:$C$500),ROW(Create_TC_Web!$C$1:$C$500)),""),ROW(Create_TC_Web!J340))),"")</f>
        <v/>
      </c>
      <c r="J340" t="str" cm="1">
        <f t="array" ref="J340">IFERROR(INDEX(Create_TC_Web!M$1:M$500,SMALL(IF(Create_TC_Web!$C$1:$C$500&lt;&gt;"",MATCH(ROW(Create_TC_Web!$C$1:$C$500),ROW(Create_TC_Web!$C$1:$C$500)),""),ROW(Create_TC_Web!K340))),"")</f>
        <v/>
      </c>
      <c r="K340" t="str" cm="1">
        <f t="array" ref="K340">IFERROR(INDEX(Create_TC_Web!N$1:N$500,SMALL(IF(Create_TC_Web!$C$1:$C$500&lt;&gt;"",MATCH(ROW(Create_TC_Web!$C$1:$C$500),ROW(Create_TC_Web!$C$1:$C$500)),""),ROW(Create_TC_Web!L340))),"")</f>
        <v/>
      </c>
      <c r="L340" t="str" cm="1">
        <f t="array" ref="L340">IFERROR(INDEX(Create_TC_Web!O$1:O$500,SMALL(IF(Create_TC_Web!$C$1:$C$500&lt;&gt;"",MATCH(ROW(Create_TC_Web!$C$1:$C$500),ROW(Create_TC_Web!$C$1:$C$500)),""),ROW(Create_TC_Web!M340))),"")</f>
        <v/>
      </c>
      <c r="M340" t="str" cm="1">
        <f t="array" ref="M340">IFERROR(INDEX(Create_TC_Web!P$1:P$500,SMALL(IF(Create_TC_Web!$C$1:$C$500&lt;&gt;"",MATCH(ROW(Create_TC_Web!$C$1:$C$500),ROW(Create_TC_Web!$C$1:$C$500)),""),ROW(Create_TC_Web!N340))),"")</f>
        <v/>
      </c>
      <c r="N340" t="str" cm="1">
        <f t="array" ref="N340">IFERROR(INDEX(Create_TC_Web!Q$1:Q$500,SMALL(IF(Create_TC_Web!$C$1:$C$500&lt;&gt;"",MATCH(ROW(Create_TC_Web!$C$1:$C$500),ROW(Create_TC_Web!$C$1:$C$500)),""),ROW(Create_TC_Web!O340))),"")</f>
        <v/>
      </c>
      <c r="O340" t="str">
        <f t="shared" si="17"/>
        <v/>
      </c>
      <c r="P340" s="17" t="str" cm="1">
        <f t="array" ref="P340">IFERROR(INDEX(Create_TC_Web!S$1:S$500,SMALL(IF(Create_TC_Web!$C$1:$C$500&lt;&gt;"",MATCH(ROW(Create_TC_Web!$C$1:$C$500),ROW(Create_TC_Web!$C$1:$C$500)),""),ROW(Create_TC_Web!Q318))),"")</f>
        <v/>
      </c>
      <c r="S340" t="str">
        <f t="shared" si="18"/>
        <v/>
      </c>
    </row>
    <row r="341" spans="1:19">
      <c r="A341" t="str" cm="1">
        <f t="array" ref="A341">IFERROR(INDEX(Create_TC_Web!D$1:D$500,SMALL(IF(Create_TC_Web!$C$1:$C$500&lt;&gt;"",MATCH(ROW(Create_TC_Web!$C$1:$C$500),ROW(Create_TC_Web!$C$1:$C$500)),""),ROW(Create_TC_Web!B341))),"")</f>
        <v/>
      </c>
      <c r="B341" t="str" cm="1">
        <f t="array" ref="B341">SUBSTITUTE(SUBSTITUTE(SUBSTITUTE(IFERROR(INDEX(Create_TC_Web!E$1:E$505,SMALL(IF(Create_TC_Web!$C$1:$C$505&lt;&gt;"",MATCH(ROW(Create_TC_Web!$C$1:$C$505),ROW(Create_TC_Web!$C$1:$C$505)),""),ROW(Create_TC_Web!C341))),"")," ",""),"-",""),"_","")</f>
        <v/>
      </c>
      <c r="C341" t="str" cm="1">
        <f t="array" ref="C341">IFERROR(INDEX(Create_TC_Web!F$1:F$500,SMALL(IF(Create_TC_Web!$C$1:$C$500&lt;&gt;"",MATCH(ROW(Create_TC_Web!$C$1:$C$500),ROW(Create_TC_Web!$C$1:$C$500)),""),ROW(Create_TC_Web!D341))),"")</f>
        <v/>
      </c>
      <c r="D341" t="str" cm="1">
        <f t="array" ref="D341">IFERROR(INDEX(Create_TC_Web!G$1:G$500,SMALL(IF(Create_TC_Web!$C$1:$C$500&lt;&gt;"",MATCH(ROW(Create_TC_Web!$C$1:$C$500),ROW(Create_TC_Web!$C$1:$C$500)),""),ROW(Create_TC_Web!E341))),"")</f>
        <v/>
      </c>
      <c r="E341" t="str" cm="1">
        <f t="array" ref="E341">IFERROR(INDEX(Create_TC_Web!H$1:H$500,SMALL(IF(Create_TC_Web!$C$1:$C$500&lt;&gt;"",MATCH(ROW(Create_TC_Web!$C$1:$C$500),ROW(Create_TC_Web!$C$1:$C$500)),""),ROW(Create_TC_Web!F341))),"")</f>
        <v/>
      </c>
      <c r="F341" t="str" cm="1">
        <f t="array" ref="F341">IFERROR(INDEX(Create_TC_Web!I$1:I$500,SMALL(IF(Create_TC_Web!$C$1:$C$500&lt;&gt;"",MATCH(ROW(Create_TC_Web!$C$1:$C$500),ROW(Create_TC_Web!$C$1:$C$500)),""),ROW(Create_TC_Web!G341))),"")</f>
        <v/>
      </c>
      <c r="G341" t="str" cm="1">
        <f t="array" ref="G341">IFERROR(INDEX(Create_TC_Web!J$1:J$500,SMALL(IF(Create_TC_Web!$C$1:$C$500&lt;&gt;"",MATCH(ROW(Create_TC_Web!$C$1:$C$500),ROW(Create_TC_Web!$C$1:$C$500)),""),ROW(Create_TC_Web!H341))),"")</f>
        <v/>
      </c>
      <c r="H341" t="str" cm="1">
        <f t="array" ref="H341">IFERROR(INDEX(Create_TC_Web!K$1:K$500,SMALL(IF(Create_TC_Web!$C$1:$C$500&lt;&gt;"",MATCH(ROW(Create_TC_Web!$C$1:$C$500),ROW(Create_TC_Web!$C$1:$C$500)),""),ROW(Create_TC_Web!I341))),"")</f>
        <v/>
      </c>
      <c r="I341" t="str" cm="1">
        <f t="array" ref="I341">IFERROR(INDEX(Create_TC_Web!L$1:L$500,SMALL(IF(Create_TC_Web!$C$1:$C$500&lt;&gt;"",MATCH(ROW(Create_TC_Web!$C$1:$C$500),ROW(Create_TC_Web!$C$1:$C$500)),""),ROW(Create_TC_Web!J341))),"")</f>
        <v/>
      </c>
      <c r="J341" t="str" cm="1">
        <f t="array" ref="J341">IFERROR(INDEX(Create_TC_Web!M$1:M$500,SMALL(IF(Create_TC_Web!$C$1:$C$500&lt;&gt;"",MATCH(ROW(Create_TC_Web!$C$1:$C$500),ROW(Create_TC_Web!$C$1:$C$500)),""),ROW(Create_TC_Web!K341))),"")</f>
        <v/>
      </c>
      <c r="K341" t="str" cm="1">
        <f t="array" ref="K341">IFERROR(INDEX(Create_TC_Web!N$1:N$500,SMALL(IF(Create_TC_Web!$C$1:$C$500&lt;&gt;"",MATCH(ROW(Create_TC_Web!$C$1:$C$500),ROW(Create_TC_Web!$C$1:$C$500)),""),ROW(Create_TC_Web!L341))),"")</f>
        <v/>
      </c>
      <c r="L341" t="str" cm="1">
        <f t="array" ref="L341">IFERROR(INDEX(Create_TC_Web!O$1:O$500,SMALL(IF(Create_TC_Web!$C$1:$C$500&lt;&gt;"",MATCH(ROW(Create_TC_Web!$C$1:$C$500),ROW(Create_TC_Web!$C$1:$C$500)),""),ROW(Create_TC_Web!M341))),"")</f>
        <v/>
      </c>
      <c r="M341" t="str" cm="1">
        <f t="array" ref="M341">IFERROR(INDEX(Create_TC_Web!P$1:P$500,SMALL(IF(Create_TC_Web!$C$1:$C$500&lt;&gt;"",MATCH(ROW(Create_TC_Web!$C$1:$C$500),ROW(Create_TC_Web!$C$1:$C$500)),""),ROW(Create_TC_Web!N341))),"")</f>
        <v/>
      </c>
      <c r="N341" t="str" cm="1">
        <f t="array" ref="N341">IFERROR(INDEX(Create_TC_Web!Q$1:Q$500,SMALL(IF(Create_TC_Web!$C$1:$C$500&lt;&gt;"",MATCH(ROW(Create_TC_Web!$C$1:$C$500),ROW(Create_TC_Web!$C$1:$C$500)),""),ROW(Create_TC_Web!O341))),"")</f>
        <v/>
      </c>
      <c r="O341" t="str">
        <f t="shared" si="17"/>
        <v/>
      </c>
      <c r="P341" s="17" t="str" cm="1">
        <f t="array" ref="P341">IFERROR(INDEX(Create_TC_Web!S$1:S$500,SMALL(IF(Create_TC_Web!$C$1:$C$500&lt;&gt;"",MATCH(ROW(Create_TC_Web!$C$1:$C$500),ROW(Create_TC_Web!$C$1:$C$500)),""),ROW(Create_TC_Web!Q319))),"")</f>
        <v/>
      </c>
      <c r="S341" t="str">
        <f t="shared" si="18"/>
        <v/>
      </c>
    </row>
    <row r="342" spans="1:19">
      <c r="A342" t="str" cm="1">
        <f t="array" ref="A342">IFERROR(INDEX(Create_TC_Web!D$1:D$500,SMALL(IF(Create_TC_Web!$C$1:$C$500&lt;&gt;"",MATCH(ROW(Create_TC_Web!$C$1:$C$500),ROW(Create_TC_Web!$C$1:$C$500)),""),ROW(Create_TC_Web!B342))),"")</f>
        <v/>
      </c>
      <c r="B342" t="str" cm="1">
        <f t="array" ref="B342">SUBSTITUTE(SUBSTITUTE(SUBSTITUTE(IFERROR(INDEX(Create_TC_Web!E$1:E$505,SMALL(IF(Create_TC_Web!$C$1:$C$505&lt;&gt;"",MATCH(ROW(Create_TC_Web!$C$1:$C$505),ROW(Create_TC_Web!$C$1:$C$505)),""),ROW(Create_TC_Web!C342))),"")," ",""),"-",""),"_","")</f>
        <v/>
      </c>
      <c r="C342" t="str" cm="1">
        <f t="array" ref="C342">IFERROR(INDEX(Create_TC_Web!F$1:F$500,SMALL(IF(Create_TC_Web!$C$1:$C$500&lt;&gt;"",MATCH(ROW(Create_TC_Web!$C$1:$C$500),ROW(Create_TC_Web!$C$1:$C$500)),""),ROW(Create_TC_Web!D342))),"")</f>
        <v/>
      </c>
      <c r="D342" t="str" cm="1">
        <f t="array" ref="D342">IFERROR(INDEX(Create_TC_Web!G$1:G$500,SMALL(IF(Create_TC_Web!$C$1:$C$500&lt;&gt;"",MATCH(ROW(Create_TC_Web!$C$1:$C$500),ROW(Create_TC_Web!$C$1:$C$500)),""),ROW(Create_TC_Web!E342))),"")</f>
        <v/>
      </c>
      <c r="E342" t="str" cm="1">
        <f t="array" ref="E342">IFERROR(INDEX(Create_TC_Web!H$1:H$500,SMALL(IF(Create_TC_Web!$C$1:$C$500&lt;&gt;"",MATCH(ROW(Create_TC_Web!$C$1:$C$500),ROW(Create_TC_Web!$C$1:$C$500)),""),ROW(Create_TC_Web!F342))),"")</f>
        <v/>
      </c>
      <c r="F342" t="str" cm="1">
        <f t="array" ref="F342">IFERROR(INDEX(Create_TC_Web!I$1:I$500,SMALL(IF(Create_TC_Web!$C$1:$C$500&lt;&gt;"",MATCH(ROW(Create_TC_Web!$C$1:$C$500),ROW(Create_TC_Web!$C$1:$C$500)),""),ROW(Create_TC_Web!G342))),"")</f>
        <v/>
      </c>
      <c r="G342" t="str" cm="1">
        <f t="array" ref="G342">IFERROR(INDEX(Create_TC_Web!J$1:J$500,SMALL(IF(Create_TC_Web!$C$1:$C$500&lt;&gt;"",MATCH(ROW(Create_TC_Web!$C$1:$C$500),ROW(Create_TC_Web!$C$1:$C$500)),""),ROW(Create_TC_Web!H342))),"")</f>
        <v/>
      </c>
      <c r="H342" t="str" cm="1">
        <f t="array" ref="H342">IFERROR(INDEX(Create_TC_Web!K$1:K$500,SMALL(IF(Create_TC_Web!$C$1:$C$500&lt;&gt;"",MATCH(ROW(Create_TC_Web!$C$1:$C$500),ROW(Create_TC_Web!$C$1:$C$500)),""),ROW(Create_TC_Web!I342))),"")</f>
        <v/>
      </c>
      <c r="I342" t="str" cm="1">
        <f t="array" ref="I342">IFERROR(INDEX(Create_TC_Web!L$1:L$500,SMALL(IF(Create_TC_Web!$C$1:$C$500&lt;&gt;"",MATCH(ROW(Create_TC_Web!$C$1:$C$500),ROW(Create_TC_Web!$C$1:$C$500)),""),ROW(Create_TC_Web!J342))),"")</f>
        <v/>
      </c>
      <c r="J342" t="str" cm="1">
        <f t="array" ref="J342">IFERROR(INDEX(Create_TC_Web!M$1:M$500,SMALL(IF(Create_TC_Web!$C$1:$C$500&lt;&gt;"",MATCH(ROW(Create_TC_Web!$C$1:$C$500),ROW(Create_TC_Web!$C$1:$C$500)),""),ROW(Create_TC_Web!K342))),"")</f>
        <v/>
      </c>
      <c r="K342" t="str" cm="1">
        <f t="array" ref="K342">IFERROR(INDEX(Create_TC_Web!N$1:N$500,SMALL(IF(Create_TC_Web!$C$1:$C$500&lt;&gt;"",MATCH(ROW(Create_TC_Web!$C$1:$C$500),ROW(Create_TC_Web!$C$1:$C$500)),""),ROW(Create_TC_Web!L342))),"")</f>
        <v/>
      </c>
      <c r="L342" t="str" cm="1">
        <f t="array" ref="L342">IFERROR(INDEX(Create_TC_Web!O$1:O$500,SMALL(IF(Create_TC_Web!$C$1:$C$500&lt;&gt;"",MATCH(ROW(Create_TC_Web!$C$1:$C$500),ROW(Create_TC_Web!$C$1:$C$500)),""),ROW(Create_TC_Web!M342))),"")</f>
        <v/>
      </c>
      <c r="M342" t="str" cm="1">
        <f t="array" ref="M342">IFERROR(INDEX(Create_TC_Web!P$1:P$500,SMALL(IF(Create_TC_Web!$C$1:$C$500&lt;&gt;"",MATCH(ROW(Create_TC_Web!$C$1:$C$500),ROW(Create_TC_Web!$C$1:$C$500)),""),ROW(Create_TC_Web!N342))),"")</f>
        <v/>
      </c>
      <c r="N342" t="str" cm="1">
        <f t="array" ref="N342">IFERROR(INDEX(Create_TC_Web!Q$1:Q$500,SMALL(IF(Create_TC_Web!$C$1:$C$500&lt;&gt;"",MATCH(ROW(Create_TC_Web!$C$1:$C$500),ROW(Create_TC_Web!$C$1:$C$500)),""),ROW(Create_TC_Web!O342))),"")</f>
        <v/>
      </c>
      <c r="O342" t="str">
        <f t="shared" si="17"/>
        <v/>
      </c>
      <c r="P342" s="17" t="str" cm="1">
        <f t="array" ref="P342">IFERROR(INDEX(Create_TC_Web!S$1:S$500,SMALL(IF(Create_TC_Web!$C$1:$C$500&lt;&gt;"",MATCH(ROW(Create_TC_Web!$C$1:$C$500),ROW(Create_TC_Web!$C$1:$C$500)),""),ROW(Create_TC_Web!Q320))),"")</f>
        <v/>
      </c>
      <c r="S342" t="str">
        <f t="shared" si="18"/>
        <v/>
      </c>
    </row>
    <row r="343" spans="1:19">
      <c r="A343" t="str" cm="1">
        <f t="array" ref="A343">IFERROR(INDEX(Create_TC_Web!D$1:D$500,SMALL(IF(Create_TC_Web!$C$1:$C$500&lt;&gt;"",MATCH(ROW(Create_TC_Web!$C$1:$C$500),ROW(Create_TC_Web!$C$1:$C$500)),""),ROW(Create_TC_Web!B343))),"")</f>
        <v/>
      </c>
      <c r="B343" t="str" cm="1">
        <f t="array" ref="B343">SUBSTITUTE(SUBSTITUTE(SUBSTITUTE(IFERROR(INDEX(Create_TC_Web!E$1:E$505,SMALL(IF(Create_TC_Web!$C$1:$C$505&lt;&gt;"",MATCH(ROW(Create_TC_Web!$C$1:$C$505),ROW(Create_TC_Web!$C$1:$C$505)),""),ROW(Create_TC_Web!C343))),"")," ",""),"-",""),"_","")</f>
        <v/>
      </c>
      <c r="C343" t="str" cm="1">
        <f t="array" ref="C343">IFERROR(INDEX(Create_TC_Web!F$1:F$500,SMALL(IF(Create_TC_Web!$C$1:$C$500&lt;&gt;"",MATCH(ROW(Create_TC_Web!$C$1:$C$500),ROW(Create_TC_Web!$C$1:$C$500)),""),ROW(Create_TC_Web!D343))),"")</f>
        <v/>
      </c>
      <c r="D343" t="str" cm="1">
        <f t="array" ref="D343">IFERROR(INDEX(Create_TC_Web!G$1:G$500,SMALL(IF(Create_TC_Web!$C$1:$C$500&lt;&gt;"",MATCH(ROW(Create_TC_Web!$C$1:$C$500),ROW(Create_TC_Web!$C$1:$C$500)),""),ROW(Create_TC_Web!E343))),"")</f>
        <v/>
      </c>
      <c r="E343" t="str" cm="1">
        <f t="array" ref="E343">IFERROR(INDEX(Create_TC_Web!H$1:H$500,SMALL(IF(Create_TC_Web!$C$1:$C$500&lt;&gt;"",MATCH(ROW(Create_TC_Web!$C$1:$C$500),ROW(Create_TC_Web!$C$1:$C$500)),""),ROW(Create_TC_Web!F343))),"")</f>
        <v/>
      </c>
      <c r="F343" t="str" cm="1">
        <f t="array" ref="F343">IFERROR(INDEX(Create_TC_Web!I$1:I$500,SMALL(IF(Create_TC_Web!$C$1:$C$500&lt;&gt;"",MATCH(ROW(Create_TC_Web!$C$1:$C$500),ROW(Create_TC_Web!$C$1:$C$500)),""),ROW(Create_TC_Web!G343))),"")</f>
        <v/>
      </c>
      <c r="G343" t="str" cm="1">
        <f t="array" ref="G343">IFERROR(INDEX(Create_TC_Web!J$1:J$500,SMALL(IF(Create_TC_Web!$C$1:$C$500&lt;&gt;"",MATCH(ROW(Create_TC_Web!$C$1:$C$500),ROW(Create_TC_Web!$C$1:$C$500)),""),ROW(Create_TC_Web!H343))),"")</f>
        <v/>
      </c>
      <c r="H343" t="str" cm="1">
        <f t="array" ref="H343">IFERROR(INDEX(Create_TC_Web!K$1:K$500,SMALL(IF(Create_TC_Web!$C$1:$C$500&lt;&gt;"",MATCH(ROW(Create_TC_Web!$C$1:$C$500),ROW(Create_TC_Web!$C$1:$C$500)),""),ROW(Create_TC_Web!I343))),"")</f>
        <v/>
      </c>
      <c r="I343" t="str" cm="1">
        <f t="array" ref="I343">IFERROR(INDEX(Create_TC_Web!L$1:L$500,SMALL(IF(Create_TC_Web!$C$1:$C$500&lt;&gt;"",MATCH(ROW(Create_TC_Web!$C$1:$C$500),ROW(Create_TC_Web!$C$1:$C$500)),""),ROW(Create_TC_Web!J343))),"")</f>
        <v/>
      </c>
      <c r="J343" t="str" cm="1">
        <f t="array" ref="J343">IFERROR(INDEX(Create_TC_Web!M$1:M$500,SMALL(IF(Create_TC_Web!$C$1:$C$500&lt;&gt;"",MATCH(ROW(Create_TC_Web!$C$1:$C$500),ROW(Create_TC_Web!$C$1:$C$500)),""),ROW(Create_TC_Web!K343))),"")</f>
        <v/>
      </c>
      <c r="K343" t="str" cm="1">
        <f t="array" ref="K343">IFERROR(INDEX(Create_TC_Web!N$1:N$500,SMALL(IF(Create_TC_Web!$C$1:$C$500&lt;&gt;"",MATCH(ROW(Create_TC_Web!$C$1:$C$500),ROW(Create_TC_Web!$C$1:$C$500)),""),ROW(Create_TC_Web!L343))),"")</f>
        <v/>
      </c>
      <c r="L343" t="str" cm="1">
        <f t="array" ref="L343">IFERROR(INDEX(Create_TC_Web!O$1:O$500,SMALL(IF(Create_TC_Web!$C$1:$C$500&lt;&gt;"",MATCH(ROW(Create_TC_Web!$C$1:$C$500),ROW(Create_TC_Web!$C$1:$C$500)),""),ROW(Create_TC_Web!M343))),"")</f>
        <v/>
      </c>
      <c r="M343" t="str" cm="1">
        <f t="array" ref="M343">IFERROR(INDEX(Create_TC_Web!P$1:P$500,SMALL(IF(Create_TC_Web!$C$1:$C$500&lt;&gt;"",MATCH(ROW(Create_TC_Web!$C$1:$C$500),ROW(Create_TC_Web!$C$1:$C$500)),""),ROW(Create_TC_Web!N343))),"")</f>
        <v/>
      </c>
      <c r="N343" t="str" cm="1">
        <f t="array" ref="N343">IFERROR(INDEX(Create_TC_Web!Q$1:Q$500,SMALL(IF(Create_TC_Web!$C$1:$C$500&lt;&gt;"",MATCH(ROW(Create_TC_Web!$C$1:$C$500),ROW(Create_TC_Web!$C$1:$C$500)),""),ROW(Create_TC_Web!O343))),"")</f>
        <v/>
      </c>
      <c r="O343" t="str">
        <f t="shared" si="17"/>
        <v/>
      </c>
      <c r="P343" s="17" t="str" cm="1">
        <f t="array" ref="P343">IFERROR(INDEX(Create_TC_Web!S$1:S$500,SMALL(IF(Create_TC_Web!$C$1:$C$500&lt;&gt;"",MATCH(ROW(Create_TC_Web!$C$1:$C$500),ROW(Create_TC_Web!$C$1:$C$500)),""),ROW(Create_TC_Web!Q321))),"")</f>
        <v/>
      </c>
      <c r="S343" t="str">
        <f t="shared" si="18"/>
        <v/>
      </c>
    </row>
    <row r="344" spans="1:19">
      <c r="A344" t="str" cm="1">
        <f t="array" ref="A344">IFERROR(INDEX(Create_TC_Web!D$1:D$500,SMALL(IF(Create_TC_Web!$C$1:$C$500&lt;&gt;"",MATCH(ROW(Create_TC_Web!$C$1:$C$500),ROW(Create_TC_Web!$C$1:$C$500)),""),ROW(Create_TC_Web!B344))),"")</f>
        <v/>
      </c>
      <c r="B344" t="str" cm="1">
        <f t="array" ref="B344">SUBSTITUTE(SUBSTITUTE(SUBSTITUTE(IFERROR(INDEX(Create_TC_Web!E$1:E$505,SMALL(IF(Create_TC_Web!$C$1:$C$505&lt;&gt;"",MATCH(ROW(Create_TC_Web!$C$1:$C$505),ROW(Create_TC_Web!$C$1:$C$505)),""),ROW(Create_TC_Web!C344))),"")," ",""),"-",""),"_","")</f>
        <v/>
      </c>
      <c r="C344" t="str" cm="1">
        <f t="array" ref="C344">IFERROR(INDEX(Create_TC_Web!F$1:F$500,SMALL(IF(Create_TC_Web!$C$1:$C$500&lt;&gt;"",MATCH(ROW(Create_TC_Web!$C$1:$C$500),ROW(Create_TC_Web!$C$1:$C$500)),""),ROW(Create_TC_Web!D344))),"")</f>
        <v/>
      </c>
      <c r="D344" t="str" cm="1">
        <f t="array" ref="D344">IFERROR(INDEX(Create_TC_Web!G$1:G$500,SMALL(IF(Create_TC_Web!$C$1:$C$500&lt;&gt;"",MATCH(ROW(Create_TC_Web!$C$1:$C$500),ROW(Create_TC_Web!$C$1:$C$500)),""),ROW(Create_TC_Web!E344))),"")</f>
        <v/>
      </c>
      <c r="E344" t="str" cm="1">
        <f t="array" ref="E344">IFERROR(INDEX(Create_TC_Web!H$1:H$500,SMALL(IF(Create_TC_Web!$C$1:$C$500&lt;&gt;"",MATCH(ROW(Create_TC_Web!$C$1:$C$500),ROW(Create_TC_Web!$C$1:$C$500)),""),ROW(Create_TC_Web!F344))),"")</f>
        <v/>
      </c>
      <c r="F344" t="str" cm="1">
        <f t="array" ref="F344">IFERROR(INDEX(Create_TC_Web!I$1:I$500,SMALL(IF(Create_TC_Web!$C$1:$C$500&lt;&gt;"",MATCH(ROW(Create_TC_Web!$C$1:$C$500),ROW(Create_TC_Web!$C$1:$C$500)),""),ROW(Create_TC_Web!G344))),"")</f>
        <v/>
      </c>
      <c r="G344" t="str" cm="1">
        <f t="array" ref="G344">IFERROR(INDEX(Create_TC_Web!J$1:J$500,SMALL(IF(Create_TC_Web!$C$1:$C$500&lt;&gt;"",MATCH(ROW(Create_TC_Web!$C$1:$C$500),ROW(Create_TC_Web!$C$1:$C$500)),""),ROW(Create_TC_Web!H344))),"")</f>
        <v/>
      </c>
      <c r="H344" t="str" cm="1">
        <f t="array" ref="H344">IFERROR(INDEX(Create_TC_Web!K$1:K$500,SMALL(IF(Create_TC_Web!$C$1:$C$500&lt;&gt;"",MATCH(ROW(Create_TC_Web!$C$1:$C$500),ROW(Create_TC_Web!$C$1:$C$500)),""),ROW(Create_TC_Web!I344))),"")</f>
        <v/>
      </c>
      <c r="I344" t="str" cm="1">
        <f t="array" ref="I344">IFERROR(INDEX(Create_TC_Web!L$1:L$500,SMALL(IF(Create_TC_Web!$C$1:$C$500&lt;&gt;"",MATCH(ROW(Create_TC_Web!$C$1:$C$500),ROW(Create_TC_Web!$C$1:$C$500)),""),ROW(Create_TC_Web!J344))),"")</f>
        <v/>
      </c>
      <c r="J344" t="str" cm="1">
        <f t="array" ref="J344">IFERROR(INDEX(Create_TC_Web!M$1:M$500,SMALL(IF(Create_TC_Web!$C$1:$C$500&lt;&gt;"",MATCH(ROW(Create_TC_Web!$C$1:$C$500),ROW(Create_TC_Web!$C$1:$C$500)),""),ROW(Create_TC_Web!K344))),"")</f>
        <v/>
      </c>
      <c r="K344" t="str" cm="1">
        <f t="array" ref="K344">IFERROR(INDEX(Create_TC_Web!N$1:N$500,SMALL(IF(Create_TC_Web!$C$1:$C$500&lt;&gt;"",MATCH(ROW(Create_TC_Web!$C$1:$C$500),ROW(Create_TC_Web!$C$1:$C$500)),""),ROW(Create_TC_Web!L344))),"")</f>
        <v/>
      </c>
      <c r="L344" t="str" cm="1">
        <f t="array" ref="L344">IFERROR(INDEX(Create_TC_Web!O$1:O$500,SMALL(IF(Create_TC_Web!$C$1:$C$500&lt;&gt;"",MATCH(ROW(Create_TC_Web!$C$1:$C$500),ROW(Create_TC_Web!$C$1:$C$500)),""),ROW(Create_TC_Web!M344))),"")</f>
        <v/>
      </c>
      <c r="M344" t="str" cm="1">
        <f t="array" ref="M344">IFERROR(INDEX(Create_TC_Web!P$1:P$500,SMALL(IF(Create_TC_Web!$C$1:$C$500&lt;&gt;"",MATCH(ROW(Create_TC_Web!$C$1:$C$500),ROW(Create_TC_Web!$C$1:$C$500)),""),ROW(Create_TC_Web!N344))),"")</f>
        <v/>
      </c>
      <c r="N344" t="str" cm="1">
        <f t="array" ref="N344">IFERROR(INDEX(Create_TC_Web!Q$1:Q$500,SMALL(IF(Create_TC_Web!$C$1:$C$500&lt;&gt;"",MATCH(ROW(Create_TC_Web!$C$1:$C$500),ROW(Create_TC_Web!$C$1:$C$500)),""),ROW(Create_TC_Web!O344))),"")</f>
        <v/>
      </c>
      <c r="O344" t="str">
        <f t="shared" si="17"/>
        <v/>
      </c>
      <c r="P344" s="17" t="str" cm="1">
        <f t="array" ref="P344">IFERROR(INDEX(Create_TC_Web!S$1:S$500,SMALL(IF(Create_TC_Web!$C$1:$C$500&lt;&gt;"",MATCH(ROW(Create_TC_Web!$C$1:$C$500),ROW(Create_TC_Web!$C$1:$C$500)),""),ROW(Create_TC_Web!Q322))),"")</f>
        <v/>
      </c>
      <c r="S344" t="str">
        <f t="shared" si="18"/>
        <v/>
      </c>
    </row>
    <row r="345" spans="1:19">
      <c r="A345" t="str" cm="1">
        <f t="array" ref="A345">IFERROR(INDEX(Create_TC_Web!D$1:D$500,SMALL(IF(Create_TC_Web!$C$1:$C$500&lt;&gt;"",MATCH(ROW(Create_TC_Web!$C$1:$C$500),ROW(Create_TC_Web!$C$1:$C$500)),""),ROW(Create_TC_Web!B345))),"")</f>
        <v/>
      </c>
      <c r="B345" t="str" cm="1">
        <f t="array" ref="B345">SUBSTITUTE(SUBSTITUTE(SUBSTITUTE(IFERROR(INDEX(Create_TC_Web!E$1:E$505,SMALL(IF(Create_TC_Web!$C$1:$C$505&lt;&gt;"",MATCH(ROW(Create_TC_Web!$C$1:$C$505),ROW(Create_TC_Web!$C$1:$C$505)),""),ROW(Create_TC_Web!C345))),"")," ",""),"-",""),"_","")</f>
        <v/>
      </c>
      <c r="C345" t="str" cm="1">
        <f t="array" ref="C345">IFERROR(INDEX(Create_TC_Web!F$1:F$500,SMALL(IF(Create_TC_Web!$C$1:$C$500&lt;&gt;"",MATCH(ROW(Create_TC_Web!$C$1:$C$500),ROW(Create_TC_Web!$C$1:$C$500)),""),ROW(Create_TC_Web!D345))),"")</f>
        <v/>
      </c>
      <c r="D345" t="str" cm="1">
        <f t="array" ref="D345">IFERROR(INDEX(Create_TC_Web!G$1:G$500,SMALL(IF(Create_TC_Web!$C$1:$C$500&lt;&gt;"",MATCH(ROW(Create_TC_Web!$C$1:$C$500),ROW(Create_TC_Web!$C$1:$C$500)),""),ROW(Create_TC_Web!E345))),"")</f>
        <v/>
      </c>
      <c r="E345" t="str" cm="1">
        <f t="array" ref="E345">IFERROR(INDEX(Create_TC_Web!H$1:H$500,SMALL(IF(Create_TC_Web!$C$1:$C$500&lt;&gt;"",MATCH(ROW(Create_TC_Web!$C$1:$C$500),ROW(Create_TC_Web!$C$1:$C$500)),""),ROW(Create_TC_Web!F345))),"")</f>
        <v/>
      </c>
      <c r="F345" t="str" cm="1">
        <f t="array" ref="F345">IFERROR(INDEX(Create_TC_Web!I$1:I$500,SMALL(IF(Create_TC_Web!$C$1:$C$500&lt;&gt;"",MATCH(ROW(Create_TC_Web!$C$1:$C$500),ROW(Create_TC_Web!$C$1:$C$500)),""),ROW(Create_TC_Web!G345))),"")</f>
        <v/>
      </c>
      <c r="G345" t="str" cm="1">
        <f t="array" ref="G345">IFERROR(INDEX(Create_TC_Web!J$1:J$500,SMALL(IF(Create_TC_Web!$C$1:$C$500&lt;&gt;"",MATCH(ROW(Create_TC_Web!$C$1:$C$500),ROW(Create_TC_Web!$C$1:$C$500)),""),ROW(Create_TC_Web!H345))),"")</f>
        <v/>
      </c>
      <c r="H345" t="str" cm="1">
        <f t="array" ref="H345">IFERROR(INDEX(Create_TC_Web!K$1:K$500,SMALL(IF(Create_TC_Web!$C$1:$C$500&lt;&gt;"",MATCH(ROW(Create_TC_Web!$C$1:$C$500),ROW(Create_TC_Web!$C$1:$C$500)),""),ROW(Create_TC_Web!I345))),"")</f>
        <v/>
      </c>
      <c r="I345" t="str" cm="1">
        <f t="array" ref="I345">IFERROR(INDEX(Create_TC_Web!L$1:L$500,SMALL(IF(Create_TC_Web!$C$1:$C$500&lt;&gt;"",MATCH(ROW(Create_TC_Web!$C$1:$C$500),ROW(Create_TC_Web!$C$1:$C$500)),""),ROW(Create_TC_Web!J345))),"")</f>
        <v/>
      </c>
      <c r="J345" t="str" cm="1">
        <f t="array" ref="J345">IFERROR(INDEX(Create_TC_Web!M$1:M$500,SMALL(IF(Create_TC_Web!$C$1:$C$500&lt;&gt;"",MATCH(ROW(Create_TC_Web!$C$1:$C$500),ROW(Create_TC_Web!$C$1:$C$500)),""),ROW(Create_TC_Web!K345))),"")</f>
        <v/>
      </c>
      <c r="K345" t="str" cm="1">
        <f t="array" ref="K345">IFERROR(INDEX(Create_TC_Web!N$1:N$500,SMALL(IF(Create_TC_Web!$C$1:$C$500&lt;&gt;"",MATCH(ROW(Create_TC_Web!$C$1:$C$500),ROW(Create_TC_Web!$C$1:$C$500)),""),ROW(Create_TC_Web!L345))),"")</f>
        <v/>
      </c>
      <c r="L345" t="str" cm="1">
        <f t="array" ref="L345">IFERROR(INDEX(Create_TC_Web!O$1:O$500,SMALL(IF(Create_TC_Web!$C$1:$C$500&lt;&gt;"",MATCH(ROW(Create_TC_Web!$C$1:$C$500),ROW(Create_TC_Web!$C$1:$C$500)),""),ROW(Create_TC_Web!M345))),"")</f>
        <v/>
      </c>
      <c r="M345" t="str" cm="1">
        <f t="array" ref="M345">IFERROR(INDEX(Create_TC_Web!P$1:P$500,SMALL(IF(Create_TC_Web!$C$1:$C$500&lt;&gt;"",MATCH(ROW(Create_TC_Web!$C$1:$C$500),ROW(Create_TC_Web!$C$1:$C$500)),""),ROW(Create_TC_Web!N345))),"")</f>
        <v/>
      </c>
      <c r="N345" t="str" cm="1">
        <f t="array" ref="N345">IFERROR(INDEX(Create_TC_Web!Q$1:Q$500,SMALL(IF(Create_TC_Web!$C$1:$C$500&lt;&gt;"",MATCH(ROW(Create_TC_Web!$C$1:$C$500),ROW(Create_TC_Web!$C$1:$C$500)),""),ROW(Create_TC_Web!O345))),"")</f>
        <v/>
      </c>
      <c r="O345" t="str">
        <f t="shared" si="17"/>
        <v/>
      </c>
      <c r="P345" s="17" t="str" cm="1">
        <f t="array" ref="P345">IFERROR(INDEX(Create_TC_Web!S$1:S$500,SMALL(IF(Create_TC_Web!$C$1:$C$500&lt;&gt;"",MATCH(ROW(Create_TC_Web!$C$1:$C$500),ROW(Create_TC_Web!$C$1:$C$500)),""),ROW(Create_TC_Web!Q323))),"")</f>
        <v/>
      </c>
      <c r="S345" t="str">
        <f t="shared" si="18"/>
        <v/>
      </c>
    </row>
    <row r="346" spans="1:19">
      <c r="A346" t="str" cm="1">
        <f t="array" ref="A346">IFERROR(INDEX(Create_TC_Web!D$1:D$500,SMALL(IF(Create_TC_Web!$C$1:$C$500&lt;&gt;"",MATCH(ROW(Create_TC_Web!$C$1:$C$500),ROW(Create_TC_Web!$C$1:$C$500)),""),ROW(Create_TC_Web!B346))),"")</f>
        <v/>
      </c>
      <c r="B346" t="str" cm="1">
        <f t="array" ref="B346">SUBSTITUTE(SUBSTITUTE(SUBSTITUTE(IFERROR(INDEX(Create_TC_Web!E$1:E$505,SMALL(IF(Create_TC_Web!$C$1:$C$505&lt;&gt;"",MATCH(ROW(Create_TC_Web!$C$1:$C$505),ROW(Create_TC_Web!$C$1:$C$505)),""),ROW(Create_TC_Web!C346))),"")," ",""),"-",""),"_","")</f>
        <v/>
      </c>
      <c r="C346" t="str" cm="1">
        <f t="array" ref="C346">IFERROR(INDEX(Create_TC_Web!F$1:F$500,SMALL(IF(Create_TC_Web!$C$1:$C$500&lt;&gt;"",MATCH(ROW(Create_TC_Web!$C$1:$C$500),ROW(Create_TC_Web!$C$1:$C$500)),""),ROW(Create_TC_Web!D346))),"")</f>
        <v/>
      </c>
      <c r="D346" t="str" cm="1">
        <f t="array" ref="D346">IFERROR(INDEX(Create_TC_Web!G$1:G$500,SMALL(IF(Create_TC_Web!$C$1:$C$500&lt;&gt;"",MATCH(ROW(Create_TC_Web!$C$1:$C$500),ROW(Create_TC_Web!$C$1:$C$500)),""),ROW(Create_TC_Web!E346))),"")</f>
        <v/>
      </c>
      <c r="E346" t="str" cm="1">
        <f t="array" ref="E346">IFERROR(INDEX(Create_TC_Web!H$1:H$500,SMALL(IF(Create_TC_Web!$C$1:$C$500&lt;&gt;"",MATCH(ROW(Create_TC_Web!$C$1:$C$500),ROW(Create_TC_Web!$C$1:$C$500)),""),ROW(Create_TC_Web!F346))),"")</f>
        <v/>
      </c>
      <c r="F346" t="str" cm="1">
        <f t="array" ref="F346">IFERROR(INDEX(Create_TC_Web!I$1:I$500,SMALL(IF(Create_TC_Web!$C$1:$C$500&lt;&gt;"",MATCH(ROW(Create_TC_Web!$C$1:$C$500),ROW(Create_TC_Web!$C$1:$C$500)),""),ROW(Create_TC_Web!G346))),"")</f>
        <v/>
      </c>
      <c r="G346" t="str" cm="1">
        <f t="array" ref="G346">IFERROR(INDEX(Create_TC_Web!J$1:J$500,SMALL(IF(Create_TC_Web!$C$1:$C$500&lt;&gt;"",MATCH(ROW(Create_TC_Web!$C$1:$C$500),ROW(Create_TC_Web!$C$1:$C$500)),""),ROW(Create_TC_Web!H346))),"")</f>
        <v/>
      </c>
      <c r="H346" t="str" cm="1">
        <f t="array" ref="H346">IFERROR(INDEX(Create_TC_Web!K$1:K$500,SMALL(IF(Create_TC_Web!$C$1:$C$500&lt;&gt;"",MATCH(ROW(Create_TC_Web!$C$1:$C$500),ROW(Create_TC_Web!$C$1:$C$500)),""),ROW(Create_TC_Web!I346))),"")</f>
        <v/>
      </c>
      <c r="I346" t="str" cm="1">
        <f t="array" ref="I346">IFERROR(INDEX(Create_TC_Web!L$1:L$500,SMALL(IF(Create_TC_Web!$C$1:$C$500&lt;&gt;"",MATCH(ROW(Create_TC_Web!$C$1:$C$500),ROW(Create_TC_Web!$C$1:$C$500)),""),ROW(Create_TC_Web!J346))),"")</f>
        <v/>
      </c>
      <c r="J346" t="str" cm="1">
        <f t="array" ref="J346">IFERROR(INDEX(Create_TC_Web!M$1:M$500,SMALL(IF(Create_TC_Web!$C$1:$C$500&lt;&gt;"",MATCH(ROW(Create_TC_Web!$C$1:$C$500),ROW(Create_TC_Web!$C$1:$C$500)),""),ROW(Create_TC_Web!K346))),"")</f>
        <v/>
      </c>
      <c r="K346" t="str" cm="1">
        <f t="array" ref="K346">IFERROR(INDEX(Create_TC_Web!N$1:N$500,SMALL(IF(Create_TC_Web!$C$1:$C$500&lt;&gt;"",MATCH(ROW(Create_TC_Web!$C$1:$C$500),ROW(Create_TC_Web!$C$1:$C$500)),""),ROW(Create_TC_Web!L346))),"")</f>
        <v/>
      </c>
      <c r="L346" t="str" cm="1">
        <f t="array" ref="L346">IFERROR(INDEX(Create_TC_Web!O$1:O$500,SMALL(IF(Create_TC_Web!$C$1:$C$500&lt;&gt;"",MATCH(ROW(Create_TC_Web!$C$1:$C$500),ROW(Create_TC_Web!$C$1:$C$500)),""),ROW(Create_TC_Web!M346))),"")</f>
        <v/>
      </c>
      <c r="M346" t="str" cm="1">
        <f t="array" ref="M346">IFERROR(INDEX(Create_TC_Web!P$1:P$500,SMALL(IF(Create_TC_Web!$C$1:$C$500&lt;&gt;"",MATCH(ROW(Create_TC_Web!$C$1:$C$500),ROW(Create_TC_Web!$C$1:$C$500)),""),ROW(Create_TC_Web!N346))),"")</f>
        <v/>
      </c>
      <c r="N346" t="str" cm="1">
        <f t="array" ref="N346">IFERROR(INDEX(Create_TC_Web!Q$1:Q$500,SMALL(IF(Create_TC_Web!$C$1:$C$500&lt;&gt;"",MATCH(ROW(Create_TC_Web!$C$1:$C$500),ROW(Create_TC_Web!$C$1:$C$500)),""),ROW(Create_TC_Web!O346))),"")</f>
        <v/>
      </c>
      <c r="O346" t="str">
        <f t="shared" si="17"/>
        <v/>
      </c>
      <c r="P346" s="17" t="str" cm="1">
        <f t="array" ref="P346">IFERROR(INDEX(Create_TC_Web!S$1:S$500,SMALL(IF(Create_TC_Web!$C$1:$C$500&lt;&gt;"",MATCH(ROW(Create_TC_Web!$C$1:$C$500),ROW(Create_TC_Web!$C$1:$C$500)),""),ROW(Create_TC_Web!Q324))),"")</f>
        <v/>
      </c>
      <c r="S346" t="str">
        <f t="shared" si="18"/>
        <v/>
      </c>
    </row>
    <row r="347" spans="1:19">
      <c r="A347" t="str" cm="1">
        <f t="array" ref="A347">IFERROR(INDEX(Create_TC_Web!D$1:D$500,SMALL(IF(Create_TC_Web!$C$1:$C$500&lt;&gt;"",MATCH(ROW(Create_TC_Web!$C$1:$C$500),ROW(Create_TC_Web!$C$1:$C$500)),""),ROW(Create_TC_Web!B347))),"")</f>
        <v/>
      </c>
      <c r="B347" t="str" cm="1">
        <f t="array" ref="B347">SUBSTITUTE(SUBSTITUTE(SUBSTITUTE(IFERROR(INDEX(Create_TC_Web!E$1:E$505,SMALL(IF(Create_TC_Web!$C$1:$C$505&lt;&gt;"",MATCH(ROW(Create_TC_Web!$C$1:$C$505),ROW(Create_TC_Web!$C$1:$C$505)),""),ROW(Create_TC_Web!C347))),"")," ",""),"-",""),"_","")</f>
        <v/>
      </c>
      <c r="C347" t="str" cm="1">
        <f t="array" ref="C347">IFERROR(INDEX(Create_TC_Web!F$1:F$500,SMALL(IF(Create_TC_Web!$C$1:$C$500&lt;&gt;"",MATCH(ROW(Create_TC_Web!$C$1:$C$500),ROW(Create_TC_Web!$C$1:$C$500)),""),ROW(Create_TC_Web!D347))),"")</f>
        <v/>
      </c>
      <c r="D347" t="str" cm="1">
        <f t="array" ref="D347">IFERROR(INDEX(Create_TC_Web!G$1:G$500,SMALL(IF(Create_TC_Web!$C$1:$C$500&lt;&gt;"",MATCH(ROW(Create_TC_Web!$C$1:$C$500),ROW(Create_TC_Web!$C$1:$C$500)),""),ROW(Create_TC_Web!E347))),"")</f>
        <v/>
      </c>
      <c r="E347" t="str" cm="1">
        <f t="array" ref="E347">IFERROR(INDEX(Create_TC_Web!H$1:H$500,SMALL(IF(Create_TC_Web!$C$1:$C$500&lt;&gt;"",MATCH(ROW(Create_TC_Web!$C$1:$C$500),ROW(Create_TC_Web!$C$1:$C$500)),""),ROW(Create_TC_Web!F347))),"")</f>
        <v/>
      </c>
      <c r="F347" t="str" cm="1">
        <f t="array" ref="F347">IFERROR(INDEX(Create_TC_Web!I$1:I$500,SMALL(IF(Create_TC_Web!$C$1:$C$500&lt;&gt;"",MATCH(ROW(Create_TC_Web!$C$1:$C$500),ROW(Create_TC_Web!$C$1:$C$500)),""),ROW(Create_TC_Web!G347))),"")</f>
        <v/>
      </c>
      <c r="G347" t="str" cm="1">
        <f t="array" ref="G347">IFERROR(INDEX(Create_TC_Web!J$1:J$500,SMALL(IF(Create_TC_Web!$C$1:$C$500&lt;&gt;"",MATCH(ROW(Create_TC_Web!$C$1:$C$500),ROW(Create_TC_Web!$C$1:$C$500)),""),ROW(Create_TC_Web!H347))),"")</f>
        <v/>
      </c>
      <c r="H347" t="str" cm="1">
        <f t="array" ref="H347">IFERROR(INDEX(Create_TC_Web!K$1:K$500,SMALL(IF(Create_TC_Web!$C$1:$C$500&lt;&gt;"",MATCH(ROW(Create_TC_Web!$C$1:$C$500),ROW(Create_TC_Web!$C$1:$C$500)),""),ROW(Create_TC_Web!I347))),"")</f>
        <v/>
      </c>
      <c r="I347" t="str" cm="1">
        <f t="array" ref="I347">IFERROR(INDEX(Create_TC_Web!L$1:L$500,SMALL(IF(Create_TC_Web!$C$1:$C$500&lt;&gt;"",MATCH(ROW(Create_TC_Web!$C$1:$C$500),ROW(Create_TC_Web!$C$1:$C$500)),""),ROW(Create_TC_Web!J347))),"")</f>
        <v/>
      </c>
      <c r="J347" t="str" cm="1">
        <f t="array" ref="J347">IFERROR(INDEX(Create_TC_Web!M$1:M$500,SMALL(IF(Create_TC_Web!$C$1:$C$500&lt;&gt;"",MATCH(ROW(Create_TC_Web!$C$1:$C$500),ROW(Create_TC_Web!$C$1:$C$500)),""),ROW(Create_TC_Web!K347))),"")</f>
        <v/>
      </c>
      <c r="K347" t="str" cm="1">
        <f t="array" ref="K347">IFERROR(INDEX(Create_TC_Web!N$1:N$500,SMALL(IF(Create_TC_Web!$C$1:$C$500&lt;&gt;"",MATCH(ROW(Create_TC_Web!$C$1:$C$500),ROW(Create_TC_Web!$C$1:$C$500)),""),ROW(Create_TC_Web!L347))),"")</f>
        <v/>
      </c>
      <c r="L347" t="str" cm="1">
        <f t="array" ref="L347">IFERROR(INDEX(Create_TC_Web!O$1:O$500,SMALL(IF(Create_TC_Web!$C$1:$C$500&lt;&gt;"",MATCH(ROW(Create_TC_Web!$C$1:$C$500),ROW(Create_TC_Web!$C$1:$C$500)),""),ROW(Create_TC_Web!M347))),"")</f>
        <v/>
      </c>
      <c r="M347" t="str" cm="1">
        <f t="array" ref="M347">IFERROR(INDEX(Create_TC_Web!P$1:P$500,SMALL(IF(Create_TC_Web!$C$1:$C$500&lt;&gt;"",MATCH(ROW(Create_TC_Web!$C$1:$C$500),ROW(Create_TC_Web!$C$1:$C$500)),""),ROW(Create_TC_Web!N347))),"")</f>
        <v/>
      </c>
      <c r="N347" t="str" cm="1">
        <f t="array" ref="N347">IFERROR(INDEX(Create_TC_Web!Q$1:Q$500,SMALL(IF(Create_TC_Web!$C$1:$C$500&lt;&gt;"",MATCH(ROW(Create_TC_Web!$C$1:$C$500),ROW(Create_TC_Web!$C$1:$C$500)),""),ROW(Create_TC_Web!O347))),"")</f>
        <v/>
      </c>
      <c r="O347" t="str">
        <f t="shared" si="17"/>
        <v/>
      </c>
      <c r="P347" s="17" t="str" cm="1">
        <f t="array" ref="P347">IFERROR(INDEX(Create_TC_Web!S$1:S$500,SMALL(IF(Create_TC_Web!$C$1:$C$500&lt;&gt;"",MATCH(ROW(Create_TC_Web!$C$1:$C$500),ROW(Create_TC_Web!$C$1:$C$500)),""),ROW(Create_TC_Web!Q325))),"")</f>
        <v/>
      </c>
      <c r="S347" t="str">
        <f t="shared" si="18"/>
        <v/>
      </c>
    </row>
    <row r="348" spans="1:19">
      <c r="A348" t="str" cm="1">
        <f t="array" ref="A348">IFERROR(INDEX(Create_TC_Web!D$1:D$500,SMALL(IF(Create_TC_Web!$C$1:$C$500&lt;&gt;"",MATCH(ROW(Create_TC_Web!$C$1:$C$500),ROW(Create_TC_Web!$C$1:$C$500)),""),ROW(Create_TC_Web!B348))),"")</f>
        <v/>
      </c>
      <c r="B348" t="str" cm="1">
        <f t="array" ref="B348">SUBSTITUTE(SUBSTITUTE(SUBSTITUTE(IFERROR(INDEX(Create_TC_Web!E$1:E$505,SMALL(IF(Create_TC_Web!$C$1:$C$505&lt;&gt;"",MATCH(ROW(Create_TC_Web!$C$1:$C$505),ROW(Create_TC_Web!$C$1:$C$505)),""),ROW(Create_TC_Web!C348))),"")," ",""),"-",""),"_","")</f>
        <v/>
      </c>
      <c r="C348" t="str" cm="1">
        <f t="array" ref="C348">IFERROR(INDEX(Create_TC_Web!F$1:F$500,SMALL(IF(Create_TC_Web!$C$1:$C$500&lt;&gt;"",MATCH(ROW(Create_TC_Web!$C$1:$C$500),ROW(Create_TC_Web!$C$1:$C$500)),""),ROW(Create_TC_Web!D348))),"")</f>
        <v/>
      </c>
      <c r="D348" t="str" cm="1">
        <f t="array" ref="D348">IFERROR(INDEX(Create_TC_Web!G$1:G$500,SMALL(IF(Create_TC_Web!$C$1:$C$500&lt;&gt;"",MATCH(ROW(Create_TC_Web!$C$1:$C$500),ROW(Create_TC_Web!$C$1:$C$500)),""),ROW(Create_TC_Web!E348))),"")</f>
        <v/>
      </c>
      <c r="E348" t="str" cm="1">
        <f t="array" ref="E348">IFERROR(INDEX(Create_TC_Web!H$1:H$500,SMALL(IF(Create_TC_Web!$C$1:$C$500&lt;&gt;"",MATCH(ROW(Create_TC_Web!$C$1:$C$500),ROW(Create_TC_Web!$C$1:$C$500)),""),ROW(Create_TC_Web!F348))),"")</f>
        <v/>
      </c>
      <c r="F348" t="str" cm="1">
        <f t="array" ref="F348">IFERROR(INDEX(Create_TC_Web!I$1:I$500,SMALL(IF(Create_TC_Web!$C$1:$C$500&lt;&gt;"",MATCH(ROW(Create_TC_Web!$C$1:$C$500),ROW(Create_TC_Web!$C$1:$C$500)),""),ROW(Create_TC_Web!G348))),"")</f>
        <v/>
      </c>
      <c r="G348" t="str" cm="1">
        <f t="array" ref="G348">IFERROR(INDEX(Create_TC_Web!J$1:J$500,SMALL(IF(Create_TC_Web!$C$1:$C$500&lt;&gt;"",MATCH(ROW(Create_TC_Web!$C$1:$C$500),ROW(Create_TC_Web!$C$1:$C$500)),""),ROW(Create_TC_Web!H348))),"")</f>
        <v/>
      </c>
      <c r="H348" t="str" cm="1">
        <f t="array" ref="H348">IFERROR(INDEX(Create_TC_Web!K$1:K$500,SMALL(IF(Create_TC_Web!$C$1:$C$500&lt;&gt;"",MATCH(ROW(Create_TC_Web!$C$1:$C$500),ROW(Create_TC_Web!$C$1:$C$500)),""),ROW(Create_TC_Web!I348))),"")</f>
        <v/>
      </c>
      <c r="I348" t="str" cm="1">
        <f t="array" ref="I348">IFERROR(INDEX(Create_TC_Web!L$1:L$500,SMALL(IF(Create_TC_Web!$C$1:$C$500&lt;&gt;"",MATCH(ROW(Create_TC_Web!$C$1:$C$500),ROW(Create_TC_Web!$C$1:$C$500)),""),ROW(Create_TC_Web!J348))),"")</f>
        <v/>
      </c>
      <c r="J348" t="str" cm="1">
        <f t="array" ref="J348">IFERROR(INDEX(Create_TC_Web!M$1:M$500,SMALL(IF(Create_TC_Web!$C$1:$C$500&lt;&gt;"",MATCH(ROW(Create_TC_Web!$C$1:$C$500),ROW(Create_TC_Web!$C$1:$C$500)),""),ROW(Create_TC_Web!K348))),"")</f>
        <v/>
      </c>
      <c r="K348" t="str" cm="1">
        <f t="array" ref="K348">IFERROR(INDEX(Create_TC_Web!N$1:N$500,SMALL(IF(Create_TC_Web!$C$1:$C$500&lt;&gt;"",MATCH(ROW(Create_TC_Web!$C$1:$C$500),ROW(Create_TC_Web!$C$1:$C$500)),""),ROW(Create_TC_Web!L348))),"")</f>
        <v/>
      </c>
      <c r="L348" t="str" cm="1">
        <f t="array" ref="L348">IFERROR(INDEX(Create_TC_Web!O$1:O$500,SMALL(IF(Create_TC_Web!$C$1:$C$500&lt;&gt;"",MATCH(ROW(Create_TC_Web!$C$1:$C$500),ROW(Create_TC_Web!$C$1:$C$500)),""),ROW(Create_TC_Web!M348))),"")</f>
        <v/>
      </c>
      <c r="M348" t="str" cm="1">
        <f t="array" ref="M348">IFERROR(INDEX(Create_TC_Web!P$1:P$500,SMALL(IF(Create_TC_Web!$C$1:$C$500&lt;&gt;"",MATCH(ROW(Create_TC_Web!$C$1:$C$500),ROW(Create_TC_Web!$C$1:$C$500)),""),ROW(Create_TC_Web!N348))),"")</f>
        <v/>
      </c>
      <c r="N348" t="str" cm="1">
        <f t="array" ref="N348">IFERROR(INDEX(Create_TC_Web!Q$1:Q$500,SMALL(IF(Create_TC_Web!$C$1:$C$500&lt;&gt;"",MATCH(ROW(Create_TC_Web!$C$1:$C$500),ROW(Create_TC_Web!$C$1:$C$500)),""),ROW(Create_TC_Web!O348))),"")</f>
        <v/>
      </c>
      <c r="O348" t="str">
        <f t="shared" si="17"/>
        <v/>
      </c>
      <c r="P348" s="17" t="str" cm="1">
        <f t="array" ref="P348">IFERROR(INDEX(Create_TC_Web!S$1:S$500,SMALL(IF(Create_TC_Web!$C$1:$C$500&lt;&gt;"",MATCH(ROW(Create_TC_Web!$C$1:$C$500),ROW(Create_TC_Web!$C$1:$C$500)),""),ROW(Create_TC_Web!Q326))),"")</f>
        <v/>
      </c>
      <c r="S348" t="str">
        <f t="shared" si="18"/>
        <v/>
      </c>
    </row>
    <row r="349" spans="1:19">
      <c r="A349" t="str" cm="1">
        <f t="array" ref="A349">IFERROR(INDEX(Create_TC_Web!D$1:D$500,SMALL(IF(Create_TC_Web!$C$1:$C$500&lt;&gt;"",MATCH(ROW(Create_TC_Web!$C$1:$C$500),ROW(Create_TC_Web!$C$1:$C$500)),""),ROW(Create_TC_Web!B349))),"")</f>
        <v/>
      </c>
      <c r="B349" t="str" cm="1">
        <f t="array" ref="B349">SUBSTITUTE(SUBSTITUTE(SUBSTITUTE(IFERROR(INDEX(Create_TC_Web!E$1:E$505,SMALL(IF(Create_TC_Web!$C$1:$C$505&lt;&gt;"",MATCH(ROW(Create_TC_Web!$C$1:$C$505),ROW(Create_TC_Web!$C$1:$C$505)),""),ROW(Create_TC_Web!C349))),"")," ",""),"-",""),"_","")</f>
        <v/>
      </c>
      <c r="C349" t="str" cm="1">
        <f t="array" ref="C349">IFERROR(INDEX(Create_TC_Web!F$1:F$500,SMALL(IF(Create_TC_Web!$C$1:$C$500&lt;&gt;"",MATCH(ROW(Create_TC_Web!$C$1:$C$500),ROW(Create_TC_Web!$C$1:$C$500)),""),ROW(Create_TC_Web!D349))),"")</f>
        <v/>
      </c>
      <c r="D349" t="str" cm="1">
        <f t="array" ref="D349">IFERROR(INDEX(Create_TC_Web!G$1:G$500,SMALL(IF(Create_TC_Web!$C$1:$C$500&lt;&gt;"",MATCH(ROW(Create_TC_Web!$C$1:$C$500),ROW(Create_TC_Web!$C$1:$C$500)),""),ROW(Create_TC_Web!E349))),"")</f>
        <v/>
      </c>
      <c r="E349" t="str" cm="1">
        <f t="array" ref="E349">IFERROR(INDEX(Create_TC_Web!H$1:H$500,SMALL(IF(Create_TC_Web!$C$1:$C$500&lt;&gt;"",MATCH(ROW(Create_TC_Web!$C$1:$C$500),ROW(Create_TC_Web!$C$1:$C$500)),""),ROW(Create_TC_Web!F349))),"")</f>
        <v/>
      </c>
      <c r="F349" t="str" cm="1">
        <f t="array" ref="F349">IFERROR(INDEX(Create_TC_Web!I$1:I$500,SMALL(IF(Create_TC_Web!$C$1:$C$500&lt;&gt;"",MATCH(ROW(Create_TC_Web!$C$1:$C$500),ROW(Create_TC_Web!$C$1:$C$500)),""),ROW(Create_TC_Web!G349))),"")</f>
        <v/>
      </c>
      <c r="G349" t="str" cm="1">
        <f t="array" ref="G349">IFERROR(INDEX(Create_TC_Web!J$1:J$500,SMALL(IF(Create_TC_Web!$C$1:$C$500&lt;&gt;"",MATCH(ROW(Create_TC_Web!$C$1:$C$500),ROW(Create_TC_Web!$C$1:$C$500)),""),ROW(Create_TC_Web!H349))),"")</f>
        <v/>
      </c>
      <c r="H349" t="str" cm="1">
        <f t="array" ref="H349">IFERROR(INDEX(Create_TC_Web!K$1:K$500,SMALL(IF(Create_TC_Web!$C$1:$C$500&lt;&gt;"",MATCH(ROW(Create_TC_Web!$C$1:$C$500),ROW(Create_TC_Web!$C$1:$C$500)),""),ROW(Create_TC_Web!I349))),"")</f>
        <v/>
      </c>
      <c r="I349" t="str" cm="1">
        <f t="array" ref="I349">IFERROR(INDEX(Create_TC_Web!L$1:L$500,SMALL(IF(Create_TC_Web!$C$1:$C$500&lt;&gt;"",MATCH(ROW(Create_TC_Web!$C$1:$C$500),ROW(Create_TC_Web!$C$1:$C$500)),""),ROW(Create_TC_Web!J349))),"")</f>
        <v/>
      </c>
      <c r="J349" t="str" cm="1">
        <f t="array" ref="J349">IFERROR(INDEX(Create_TC_Web!M$1:M$500,SMALL(IF(Create_TC_Web!$C$1:$C$500&lt;&gt;"",MATCH(ROW(Create_TC_Web!$C$1:$C$500),ROW(Create_TC_Web!$C$1:$C$500)),""),ROW(Create_TC_Web!K349))),"")</f>
        <v/>
      </c>
      <c r="K349" t="str" cm="1">
        <f t="array" ref="K349">IFERROR(INDEX(Create_TC_Web!N$1:N$500,SMALL(IF(Create_TC_Web!$C$1:$C$500&lt;&gt;"",MATCH(ROW(Create_TC_Web!$C$1:$C$500),ROW(Create_TC_Web!$C$1:$C$500)),""),ROW(Create_TC_Web!L349))),"")</f>
        <v/>
      </c>
      <c r="L349" t="str" cm="1">
        <f t="array" ref="L349">IFERROR(INDEX(Create_TC_Web!O$1:O$500,SMALL(IF(Create_TC_Web!$C$1:$C$500&lt;&gt;"",MATCH(ROW(Create_TC_Web!$C$1:$C$500),ROW(Create_TC_Web!$C$1:$C$500)),""),ROW(Create_TC_Web!M349))),"")</f>
        <v/>
      </c>
      <c r="M349" t="str" cm="1">
        <f t="array" ref="M349">IFERROR(INDEX(Create_TC_Web!P$1:P$500,SMALL(IF(Create_TC_Web!$C$1:$C$500&lt;&gt;"",MATCH(ROW(Create_TC_Web!$C$1:$C$500),ROW(Create_TC_Web!$C$1:$C$500)),""),ROW(Create_TC_Web!N349))),"")</f>
        <v/>
      </c>
      <c r="N349" t="str" cm="1">
        <f t="array" ref="N349">IFERROR(INDEX(Create_TC_Web!Q$1:Q$500,SMALL(IF(Create_TC_Web!$C$1:$C$500&lt;&gt;"",MATCH(ROW(Create_TC_Web!$C$1:$C$500),ROW(Create_TC_Web!$C$1:$C$500)),""),ROW(Create_TC_Web!O349))),"")</f>
        <v/>
      </c>
      <c r="O349" t="str">
        <f t="shared" si="17"/>
        <v/>
      </c>
      <c r="P349" s="17" t="str" cm="1">
        <f t="array" ref="P349">IFERROR(INDEX(Create_TC_Web!S$1:S$500,SMALL(IF(Create_TC_Web!$C$1:$C$500&lt;&gt;"",MATCH(ROW(Create_TC_Web!$C$1:$C$500),ROW(Create_TC_Web!$C$1:$C$500)),""),ROW(Create_TC_Web!Q327))),"")</f>
        <v/>
      </c>
      <c r="S349" t="str">
        <f t="shared" si="18"/>
        <v/>
      </c>
    </row>
    <row r="350" spans="1:19">
      <c r="A350" t="str" cm="1">
        <f t="array" ref="A350">IFERROR(INDEX(Create_TC_Web!D$1:D$500,SMALL(IF(Create_TC_Web!$C$1:$C$500&lt;&gt;"",MATCH(ROW(Create_TC_Web!$C$1:$C$500),ROW(Create_TC_Web!$C$1:$C$500)),""),ROW(Create_TC_Web!B350))),"")</f>
        <v/>
      </c>
      <c r="B350" t="str" cm="1">
        <f t="array" ref="B350">SUBSTITUTE(SUBSTITUTE(SUBSTITUTE(IFERROR(INDEX(Create_TC_Web!E$1:E$505,SMALL(IF(Create_TC_Web!$C$1:$C$505&lt;&gt;"",MATCH(ROW(Create_TC_Web!$C$1:$C$505),ROW(Create_TC_Web!$C$1:$C$505)),""),ROW(Create_TC_Web!C350))),"")," ",""),"-",""),"_","")</f>
        <v/>
      </c>
      <c r="C350" t="str" cm="1">
        <f t="array" ref="C350">IFERROR(INDEX(Create_TC_Web!F$1:F$500,SMALL(IF(Create_TC_Web!$C$1:$C$500&lt;&gt;"",MATCH(ROW(Create_TC_Web!$C$1:$C$500),ROW(Create_TC_Web!$C$1:$C$500)),""),ROW(Create_TC_Web!D350))),"")</f>
        <v/>
      </c>
      <c r="D350" t="str" cm="1">
        <f t="array" ref="D350">IFERROR(INDEX(Create_TC_Web!G$1:G$500,SMALL(IF(Create_TC_Web!$C$1:$C$500&lt;&gt;"",MATCH(ROW(Create_TC_Web!$C$1:$C$500),ROW(Create_TC_Web!$C$1:$C$500)),""),ROW(Create_TC_Web!E350))),"")</f>
        <v/>
      </c>
      <c r="E350" t="str" cm="1">
        <f t="array" ref="E350">IFERROR(INDEX(Create_TC_Web!H$1:H$500,SMALL(IF(Create_TC_Web!$C$1:$C$500&lt;&gt;"",MATCH(ROW(Create_TC_Web!$C$1:$C$500),ROW(Create_TC_Web!$C$1:$C$500)),""),ROW(Create_TC_Web!F350))),"")</f>
        <v/>
      </c>
      <c r="F350" t="str" cm="1">
        <f t="array" ref="F350">IFERROR(INDEX(Create_TC_Web!I$1:I$500,SMALL(IF(Create_TC_Web!$C$1:$C$500&lt;&gt;"",MATCH(ROW(Create_TC_Web!$C$1:$C$500),ROW(Create_TC_Web!$C$1:$C$500)),""),ROW(Create_TC_Web!G350))),"")</f>
        <v/>
      </c>
      <c r="G350" t="str" cm="1">
        <f t="array" ref="G350">IFERROR(INDEX(Create_TC_Web!J$1:J$500,SMALL(IF(Create_TC_Web!$C$1:$C$500&lt;&gt;"",MATCH(ROW(Create_TC_Web!$C$1:$C$500),ROW(Create_TC_Web!$C$1:$C$500)),""),ROW(Create_TC_Web!H350))),"")</f>
        <v/>
      </c>
      <c r="H350" t="str" cm="1">
        <f t="array" ref="H350">IFERROR(INDEX(Create_TC_Web!K$1:K$500,SMALL(IF(Create_TC_Web!$C$1:$C$500&lt;&gt;"",MATCH(ROW(Create_TC_Web!$C$1:$C$500),ROW(Create_TC_Web!$C$1:$C$500)),""),ROW(Create_TC_Web!I350))),"")</f>
        <v/>
      </c>
      <c r="I350" t="str" cm="1">
        <f t="array" ref="I350">IFERROR(INDEX(Create_TC_Web!L$1:L$500,SMALL(IF(Create_TC_Web!$C$1:$C$500&lt;&gt;"",MATCH(ROW(Create_TC_Web!$C$1:$C$500),ROW(Create_TC_Web!$C$1:$C$500)),""),ROW(Create_TC_Web!J350))),"")</f>
        <v/>
      </c>
      <c r="J350" t="str" cm="1">
        <f t="array" ref="J350">IFERROR(INDEX(Create_TC_Web!M$1:M$500,SMALL(IF(Create_TC_Web!$C$1:$C$500&lt;&gt;"",MATCH(ROW(Create_TC_Web!$C$1:$C$500),ROW(Create_TC_Web!$C$1:$C$500)),""),ROW(Create_TC_Web!K350))),"")</f>
        <v/>
      </c>
      <c r="K350" t="str" cm="1">
        <f t="array" ref="K350">IFERROR(INDEX(Create_TC_Web!N$1:N$500,SMALL(IF(Create_TC_Web!$C$1:$C$500&lt;&gt;"",MATCH(ROW(Create_TC_Web!$C$1:$C$500),ROW(Create_TC_Web!$C$1:$C$500)),""),ROW(Create_TC_Web!L350))),"")</f>
        <v/>
      </c>
      <c r="L350" t="str" cm="1">
        <f t="array" ref="L350">IFERROR(INDEX(Create_TC_Web!O$1:O$500,SMALL(IF(Create_TC_Web!$C$1:$C$500&lt;&gt;"",MATCH(ROW(Create_TC_Web!$C$1:$C$500),ROW(Create_TC_Web!$C$1:$C$500)),""),ROW(Create_TC_Web!M350))),"")</f>
        <v/>
      </c>
      <c r="M350" t="str" cm="1">
        <f t="array" ref="M350">IFERROR(INDEX(Create_TC_Web!P$1:P$500,SMALL(IF(Create_TC_Web!$C$1:$C$500&lt;&gt;"",MATCH(ROW(Create_TC_Web!$C$1:$C$500),ROW(Create_TC_Web!$C$1:$C$500)),""),ROW(Create_TC_Web!N350))),"")</f>
        <v/>
      </c>
      <c r="N350" t="str" cm="1">
        <f t="array" ref="N350">IFERROR(INDEX(Create_TC_Web!Q$1:Q$500,SMALL(IF(Create_TC_Web!$C$1:$C$500&lt;&gt;"",MATCH(ROW(Create_TC_Web!$C$1:$C$500),ROW(Create_TC_Web!$C$1:$C$500)),""),ROW(Create_TC_Web!O350))),"")</f>
        <v/>
      </c>
      <c r="O350" t="str">
        <f t="shared" si="17"/>
        <v/>
      </c>
      <c r="P350" s="17" t="str" cm="1">
        <f t="array" ref="P350">IFERROR(INDEX(Create_TC_Web!S$1:S$500,SMALL(IF(Create_TC_Web!$C$1:$C$500&lt;&gt;"",MATCH(ROW(Create_TC_Web!$C$1:$C$500),ROW(Create_TC_Web!$C$1:$C$500)),""),ROW(Create_TC_Web!Q328))),"")</f>
        <v/>
      </c>
      <c r="S350" t="str">
        <f t="shared" si="18"/>
        <v/>
      </c>
    </row>
    <row r="351" spans="1:19">
      <c r="A351" t="str" cm="1">
        <f t="array" ref="A351">IFERROR(INDEX(Create_TC_Web!D$1:D$500,SMALL(IF(Create_TC_Web!$C$1:$C$500&lt;&gt;"",MATCH(ROW(Create_TC_Web!$C$1:$C$500),ROW(Create_TC_Web!$C$1:$C$500)),""),ROW(Create_TC_Web!B351))),"")</f>
        <v/>
      </c>
      <c r="B351" t="str" cm="1">
        <f t="array" ref="B351">SUBSTITUTE(SUBSTITUTE(SUBSTITUTE(IFERROR(INDEX(Create_TC_Web!E$1:E$505,SMALL(IF(Create_TC_Web!$C$1:$C$505&lt;&gt;"",MATCH(ROW(Create_TC_Web!$C$1:$C$505),ROW(Create_TC_Web!$C$1:$C$505)),""),ROW(Create_TC_Web!C351))),"")," ",""),"-",""),"_","")</f>
        <v/>
      </c>
      <c r="C351" t="str" cm="1">
        <f t="array" ref="C351">IFERROR(INDEX(Create_TC_Web!F$1:F$500,SMALL(IF(Create_TC_Web!$C$1:$C$500&lt;&gt;"",MATCH(ROW(Create_TC_Web!$C$1:$C$500),ROW(Create_TC_Web!$C$1:$C$500)),""),ROW(Create_TC_Web!D351))),"")</f>
        <v/>
      </c>
      <c r="D351" t="str" cm="1">
        <f t="array" ref="D351">IFERROR(INDEX(Create_TC_Web!G$1:G$500,SMALL(IF(Create_TC_Web!$C$1:$C$500&lt;&gt;"",MATCH(ROW(Create_TC_Web!$C$1:$C$500),ROW(Create_TC_Web!$C$1:$C$500)),""),ROW(Create_TC_Web!E351))),"")</f>
        <v/>
      </c>
      <c r="E351" t="str" cm="1">
        <f t="array" ref="E351">IFERROR(INDEX(Create_TC_Web!H$1:H$500,SMALL(IF(Create_TC_Web!$C$1:$C$500&lt;&gt;"",MATCH(ROW(Create_TC_Web!$C$1:$C$500),ROW(Create_TC_Web!$C$1:$C$500)),""),ROW(Create_TC_Web!F351))),"")</f>
        <v/>
      </c>
      <c r="F351" t="str" cm="1">
        <f t="array" ref="F351">IFERROR(INDEX(Create_TC_Web!I$1:I$500,SMALL(IF(Create_TC_Web!$C$1:$C$500&lt;&gt;"",MATCH(ROW(Create_TC_Web!$C$1:$C$500),ROW(Create_TC_Web!$C$1:$C$500)),""),ROW(Create_TC_Web!G351))),"")</f>
        <v/>
      </c>
      <c r="G351" t="str" cm="1">
        <f t="array" ref="G351">IFERROR(INDEX(Create_TC_Web!J$1:J$500,SMALL(IF(Create_TC_Web!$C$1:$C$500&lt;&gt;"",MATCH(ROW(Create_TC_Web!$C$1:$C$500),ROW(Create_TC_Web!$C$1:$C$500)),""),ROW(Create_TC_Web!H351))),"")</f>
        <v/>
      </c>
      <c r="H351" t="str" cm="1">
        <f t="array" ref="H351">IFERROR(INDEX(Create_TC_Web!K$1:K$500,SMALL(IF(Create_TC_Web!$C$1:$C$500&lt;&gt;"",MATCH(ROW(Create_TC_Web!$C$1:$C$500),ROW(Create_TC_Web!$C$1:$C$500)),""),ROW(Create_TC_Web!I351))),"")</f>
        <v/>
      </c>
      <c r="I351" t="str" cm="1">
        <f t="array" ref="I351">IFERROR(INDEX(Create_TC_Web!L$1:L$500,SMALL(IF(Create_TC_Web!$C$1:$C$500&lt;&gt;"",MATCH(ROW(Create_TC_Web!$C$1:$C$500),ROW(Create_TC_Web!$C$1:$C$500)),""),ROW(Create_TC_Web!J351))),"")</f>
        <v/>
      </c>
      <c r="J351" t="str" cm="1">
        <f t="array" ref="J351">IFERROR(INDEX(Create_TC_Web!M$1:M$500,SMALL(IF(Create_TC_Web!$C$1:$C$500&lt;&gt;"",MATCH(ROW(Create_TC_Web!$C$1:$C$500),ROW(Create_TC_Web!$C$1:$C$500)),""),ROW(Create_TC_Web!K351))),"")</f>
        <v/>
      </c>
      <c r="K351" t="str" cm="1">
        <f t="array" ref="K351">IFERROR(INDEX(Create_TC_Web!N$1:N$500,SMALL(IF(Create_TC_Web!$C$1:$C$500&lt;&gt;"",MATCH(ROW(Create_TC_Web!$C$1:$C$500),ROW(Create_TC_Web!$C$1:$C$500)),""),ROW(Create_TC_Web!L351))),"")</f>
        <v/>
      </c>
      <c r="L351" t="str" cm="1">
        <f t="array" ref="L351">IFERROR(INDEX(Create_TC_Web!O$1:O$500,SMALL(IF(Create_TC_Web!$C$1:$C$500&lt;&gt;"",MATCH(ROW(Create_TC_Web!$C$1:$C$500),ROW(Create_TC_Web!$C$1:$C$500)),""),ROW(Create_TC_Web!M351))),"")</f>
        <v/>
      </c>
      <c r="M351" t="str" cm="1">
        <f t="array" ref="M351">IFERROR(INDEX(Create_TC_Web!P$1:P$500,SMALL(IF(Create_TC_Web!$C$1:$C$500&lt;&gt;"",MATCH(ROW(Create_TC_Web!$C$1:$C$500),ROW(Create_TC_Web!$C$1:$C$500)),""),ROW(Create_TC_Web!N351))),"")</f>
        <v/>
      </c>
      <c r="N351" t="str" cm="1">
        <f t="array" ref="N351">IFERROR(INDEX(Create_TC_Web!Q$1:Q$500,SMALL(IF(Create_TC_Web!$C$1:$C$500&lt;&gt;"",MATCH(ROW(Create_TC_Web!$C$1:$C$500),ROW(Create_TC_Web!$C$1:$C$500)),""),ROW(Create_TC_Web!O351))),"")</f>
        <v/>
      </c>
      <c r="O351" t="str">
        <f t="shared" si="17"/>
        <v/>
      </c>
      <c r="P351" s="17" t="str" cm="1">
        <f t="array" ref="P351">IFERROR(INDEX(Create_TC_Web!S$1:S$500,SMALL(IF(Create_TC_Web!$C$1:$C$500&lt;&gt;"",MATCH(ROW(Create_TC_Web!$C$1:$C$500),ROW(Create_TC_Web!$C$1:$C$500)),""),ROW(Create_TC_Web!Q329))),"")</f>
        <v/>
      </c>
      <c r="S351" t="str">
        <f t="shared" si="18"/>
        <v/>
      </c>
    </row>
    <row r="352" spans="1:19">
      <c r="A352" t="str" cm="1">
        <f t="array" ref="A352">IFERROR(INDEX(Create_TC_Web!D$1:D$500,SMALL(IF(Create_TC_Web!$C$1:$C$500&lt;&gt;"",MATCH(ROW(Create_TC_Web!$C$1:$C$500),ROW(Create_TC_Web!$C$1:$C$500)),""),ROW(Create_TC_Web!B352))),"")</f>
        <v/>
      </c>
      <c r="B352" t="str" cm="1">
        <f t="array" ref="B352">SUBSTITUTE(SUBSTITUTE(SUBSTITUTE(IFERROR(INDEX(Create_TC_Web!E$1:E$505,SMALL(IF(Create_TC_Web!$C$1:$C$505&lt;&gt;"",MATCH(ROW(Create_TC_Web!$C$1:$C$505),ROW(Create_TC_Web!$C$1:$C$505)),""),ROW(Create_TC_Web!C352))),"")," ",""),"-",""),"_","")</f>
        <v/>
      </c>
      <c r="C352" t="str" cm="1">
        <f t="array" ref="C352">IFERROR(INDEX(Create_TC_Web!F$1:F$500,SMALL(IF(Create_TC_Web!$C$1:$C$500&lt;&gt;"",MATCH(ROW(Create_TC_Web!$C$1:$C$500),ROW(Create_TC_Web!$C$1:$C$500)),""),ROW(Create_TC_Web!D352))),"")</f>
        <v/>
      </c>
      <c r="D352" t="str" cm="1">
        <f t="array" ref="D352">IFERROR(INDEX(Create_TC_Web!G$1:G$500,SMALL(IF(Create_TC_Web!$C$1:$C$500&lt;&gt;"",MATCH(ROW(Create_TC_Web!$C$1:$C$500),ROW(Create_TC_Web!$C$1:$C$500)),""),ROW(Create_TC_Web!E352))),"")</f>
        <v/>
      </c>
      <c r="E352" t="str" cm="1">
        <f t="array" ref="E352">IFERROR(INDEX(Create_TC_Web!H$1:H$500,SMALL(IF(Create_TC_Web!$C$1:$C$500&lt;&gt;"",MATCH(ROW(Create_TC_Web!$C$1:$C$500),ROW(Create_TC_Web!$C$1:$C$500)),""),ROW(Create_TC_Web!F352))),"")</f>
        <v/>
      </c>
      <c r="F352" t="str" cm="1">
        <f t="array" ref="F352">IFERROR(INDEX(Create_TC_Web!I$1:I$500,SMALL(IF(Create_TC_Web!$C$1:$C$500&lt;&gt;"",MATCH(ROW(Create_TC_Web!$C$1:$C$500),ROW(Create_TC_Web!$C$1:$C$500)),""),ROW(Create_TC_Web!G352))),"")</f>
        <v/>
      </c>
      <c r="G352" t="str" cm="1">
        <f t="array" ref="G352">IFERROR(INDEX(Create_TC_Web!J$1:J$500,SMALL(IF(Create_TC_Web!$C$1:$C$500&lt;&gt;"",MATCH(ROW(Create_TC_Web!$C$1:$C$500),ROW(Create_TC_Web!$C$1:$C$500)),""),ROW(Create_TC_Web!H352))),"")</f>
        <v/>
      </c>
      <c r="H352" t="str" cm="1">
        <f t="array" ref="H352">IFERROR(INDEX(Create_TC_Web!K$1:K$500,SMALL(IF(Create_TC_Web!$C$1:$C$500&lt;&gt;"",MATCH(ROW(Create_TC_Web!$C$1:$C$500),ROW(Create_TC_Web!$C$1:$C$500)),""),ROW(Create_TC_Web!I352))),"")</f>
        <v/>
      </c>
      <c r="I352" t="str" cm="1">
        <f t="array" ref="I352">IFERROR(INDEX(Create_TC_Web!L$1:L$500,SMALL(IF(Create_TC_Web!$C$1:$C$500&lt;&gt;"",MATCH(ROW(Create_TC_Web!$C$1:$C$500),ROW(Create_TC_Web!$C$1:$C$500)),""),ROW(Create_TC_Web!J352))),"")</f>
        <v/>
      </c>
      <c r="J352" t="str" cm="1">
        <f t="array" ref="J352">IFERROR(INDEX(Create_TC_Web!M$1:M$500,SMALL(IF(Create_TC_Web!$C$1:$C$500&lt;&gt;"",MATCH(ROW(Create_TC_Web!$C$1:$C$500),ROW(Create_TC_Web!$C$1:$C$500)),""),ROW(Create_TC_Web!K352))),"")</f>
        <v/>
      </c>
      <c r="K352" t="str" cm="1">
        <f t="array" ref="K352">IFERROR(INDEX(Create_TC_Web!N$1:N$500,SMALL(IF(Create_TC_Web!$C$1:$C$500&lt;&gt;"",MATCH(ROW(Create_TC_Web!$C$1:$C$500),ROW(Create_TC_Web!$C$1:$C$500)),""),ROW(Create_TC_Web!L352))),"")</f>
        <v/>
      </c>
      <c r="L352" t="str" cm="1">
        <f t="array" ref="L352">IFERROR(INDEX(Create_TC_Web!O$1:O$500,SMALL(IF(Create_TC_Web!$C$1:$C$500&lt;&gt;"",MATCH(ROW(Create_TC_Web!$C$1:$C$500),ROW(Create_TC_Web!$C$1:$C$500)),""),ROW(Create_TC_Web!M352))),"")</f>
        <v/>
      </c>
      <c r="M352" t="str" cm="1">
        <f t="array" ref="M352">IFERROR(INDEX(Create_TC_Web!P$1:P$500,SMALL(IF(Create_TC_Web!$C$1:$C$500&lt;&gt;"",MATCH(ROW(Create_TC_Web!$C$1:$C$500),ROW(Create_TC_Web!$C$1:$C$500)),""),ROW(Create_TC_Web!N352))),"")</f>
        <v/>
      </c>
      <c r="N352" t="str" cm="1">
        <f t="array" ref="N352">IFERROR(INDEX(Create_TC_Web!Q$1:Q$500,SMALL(IF(Create_TC_Web!$C$1:$C$500&lt;&gt;"",MATCH(ROW(Create_TC_Web!$C$1:$C$500),ROW(Create_TC_Web!$C$1:$C$500)),""),ROW(Create_TC_Web!O352))),"")</f>
        <v/>
      </c>
      <c r="O352" t="str">
        <f t="shared" si="17"/>
        <v/>
      </c>
      <c r="P352" s="17" t="str" cm="1">
        <f t="array" ref="P352">IFERROR(INDEX(Create_TC_Web!S$1:S$500,SMALL(IF(Create_TC_Web!$C$1:$C$500&lt;&gt;"",MATCH(ROW(Create_TC_Web!$C$1:$C$500),ROW(Create_TC_Web!$C$1:$C$500)),""),ROW(Create_TC_Web!Q330))),"")</f>
        <v/>
      </c>
      <c r="S352" t="str">
        <f t="shared" si="18"/>
        <v/>
      </c>
    </row>
    <row r="353" spans="1:19">
      <c r="A353" t="str" cm="1">
        <f t="array" ref="A353">IFERROR(INDEX(Create_TC_Web!D$1:D$500,SMALL(IF(Create_TC_Web!$C$1:$C$500&lt;&gt;"",MATCH(ROW(Create_TC_Web!$C$1:$C$500),ROW(Create_TC_Web!$C$1:$C$500)),""),ROW(Create_TC_Web!B353))),"")</f>
        <v/>
      </c>
      <c r="B353" t="str" cm="1">
        <f t="array" ref="B353">SUBSTITUTE(SUBSTITUTE(SUBSTITUTE(IFERROR(INDEX(Create_TC_Web!E$1:E$505,SMALL(IF(Create_TC_Web!$C$1:$C$505&lt;&gt;"",MATCH(ROW(Create_TC_Web!$C$1:$C$505),ROW(Create_TC_Web!$C$1:$C$505)),""),ROW(Create_TC_Web!C353))),"")," ",""),"-",""),"_","")</f>
        <v/>
      </c>
      <c r="C353" t="str" cm="1">
        <f t="array" ref="C353">IFERROR(INDEX(Create_TC_Web!F$1:F$500,SMALL(IF(Create_TC_Web!$C$1:$C$500&lt;&gt;"",MATCH(ROW(Create_TC_Web!$C$1:$C$500),ROW(Create_TC_Web!$C$1:$C$500)),""),ROW(Create_TC_Web!D353))),"")</f>
        <v/>
      </c>
      <c r="D353" t="str" cm="1">
        <f t="array" ref="D353">IFERROR(INDEX(Create_TC_Web!G$1:G$500,SMALL(IF(Create_TC_Web!$C$1:$C$500&lt;&gt;"",MATCH(ROW(Create_TC_Web!$C$1:$C$500),ROW(Create_TC_Web!$C$1:$C$500)),""),ROW(Create_TC_Web!E353))),"")</f>
        <v/>
      </c>
      <c r="E353" t="str" cm="1">
        <f t="array" ref="E353">IFERROR(INDEX(Create_TC_Web!H$1:H$500,SMALL(IF(Create_TC_Web!$C$1:$C$500&lt;&gt;"",MATCH(ROW(Create_TC_Web!$C$1:$C$500),ROW(Create_TC_Web!$C$1:$C$500)),""),ROW(Create_TC_Web!F353))),"")</f>
        <v/>
      </c>
      <c r="F353" t="str" cm="1">
        <f t="array" ref="F353">IFERROR(INDEX(Create_TC_Web!I$1:I$500,SMALL(IF(Create_TC_Web!$C$1:$C$500&lt;&gt;"",MATCH(ROW(Create_TC_Web!$C$1:$C$500),ROW(Create_TC_Web!$C$1:$C$500)),""),ROW(Create_TC_Web!G353))),"")</f>
        <v/>
      </c>
      <c r="G353" t="str" cm="1">
        <f t="array" ref="G353">IFERROR(INDEX(Create_TC_Web!J$1:J$500,SMALL(IF(Create_TC_Web!$C$1:$C$500&lt;&gt;"",MATCH(ROW(Create_TC_Web!$C$1:$C$500),ROW(Create_TC_Web!$C$1:$C$500)),""),ROW(Create_TC_Web!H353))),"")</f>
        <v/>
      </c>
      <c r="H353" t="str" cm="1">
        <f t="array" ref="H353">IFERROR(INDEX(Create_TC_Web!K$1:K$500,SMALL(IF(Create_TC_Web!$C$1:$C$500&lt;&gt;"",MATCH(ROW(Create_TC_Web!$C$1:$C$500),ROW(Create_TC_Web!$C$1:$C$500)),""),ROW(Create_TC_Web!I353))),"")</f>
        <v/>
      </c>
      <c r="I353" t="str" cm="1">
        <f t="array" ref="I353">IFERROR(INDEX(Create_TC_Web!L$1:L$500,SMALL(IF(Create_TC_Web!$C$1:$C$500&lt;&gt;"",MATCH(ROW(Create_TC_Web!$C$1:$C$500),ROW(Create_TC_Web!$C$1:$C$500)),""),ROW(Create_TC_Web!J353))),"")</f>
        <v/>
      </c>
      <c r="J353" t="str" cm="1">
        <f t="array" ref="J353">IFERROR(INDEX(Create_TC_Web!M$1:M$500,SMALL(IF(Create_TC_Web!$C$1:$C$500&lt;&gt;"",MATCH(ROW(Create_TC_Web!$C$1:$C$500),ROW(Create_TC_Web!$C$1:$C$500)),""),ROW(Create_TC_Web!K353))),"")</f>
        <v/>
      </c>
      <c r="K353" t="str" cm="1">
        <f t="array" ref="K353">IFERROR(INDEX(Create_TC_Web!N$1:N$500,SMALL(IF(Create_TC_Web!$C$1:$C$500&lt;&gt;"",MATCH(ROW(Create_TC_Web!$C$1:$C$500),ROW(Create_TC_Web!$C$1:$C$500)),""),ROW(Create_TC_Web!L353))),"")</f>
        <v/>
      </c>
      <c r="L353" t="str" cm="1">
        <f t="array" ref="L353">IFERROR(INDEX(Create_TC_Web!O$1:O$500,SMALL(IF(Create_TC_Web!$C$1:$C$500&lt;&gt;"",MATCH(ROW(Create_TC_Web!$C$1:$C$500),ROW(Create_TC_Web!$C$1:$C$500)),""),ROW(Create_TC_Web!M353))),"")</f>
        <v/>
      </c>
      <c r="M353" t="str" cm="1">
        <f t="array" ref="M353">IFERROR(INDEX(Create_TC_Web!P$1:P$500,SMALL(IF(Create_TC_Web!$C$1:$C$500&lt;&gt;"",MATCH(ROW(Create_TC_Web!$C$1:$C$500),ROW(Create_TC_Web!$C$1:$C$500)),""),ROW(Create_TC_Web!N353))),"")</f>
        <v/>
      </c>
      <c r="N353" t="str" cm="1">
        <f t="array" ref="N353">IFERROR(INDEX(Create_TC_Web!Q$1:Q$500,SMALL(IF(Create_TC_Web!$C$1:$C$500&lt;&gt;"",MATCH(ROW(Create_TC_Web!$C$1:$C$500),ROW(Create_TC_Web!$C$1:$C$500)),""),ROW(Create_TC_Web!O353))),"")</f>
        <v/>
      </c>
      <c r="O353" t="str">
        <f t="shared" si="17"/>
        <v/>
      </c>
      <c r="P353" s="17" t="str" cm="1">
        <f t="array" ref="P353">IFERROR(INDEX(Create_TC_Web!S$1:S$500,SMALL(IF(Create_TC_Web!$C$1:$C$500&lt;&gt;"",MATCH(ROW(Create_TC_Web!$C$1:$C$500),ROW(Create_TC_Web!$C$1:$C$500)),""),ROW(Create_TC_Web!Q331))),"")</f>
        <v/>
      </c>
      <c r="S353" t="str">
        <f t="shared" si="18"/>
        <v/>
      </c>
    </row>
    <row r="354" spans="1:19">
      <c r="A354" t="str" cm="1">
        <f t="array" ref="A354">IFERROR(INDEX(Create_TC_Web!D$1:D$500,SMALL(IF(Create_TC_Web!$C$1:$C$500&lt;&gt;"",MATCH(ROW(Create_TC_Web!$C$1:$C$500),ROW(Create_TC_Web!$C$1:$C$500)),""),ROW(Create_TC_Web!B354))),"")</f>
        <v/>
      </c>
      <c r="B354" t="str" cm="1">
        <f t="array" ref="B354">SUBSTITUTE(SUBSTITUTE(SUBSTITUTE(IFERROR(INDEX(Create_TC_Web!E$1:E$505,SMALL(IF(Create_TC_Web!$C$1:$C$505&lt;&gt;"",MATCH(ROW(Create_TC_Web!$C$1:$C$505),ROW(Create_TC_Web!$C$1:$C$505)),""),ROW(Create_TC_Web!C354))),"")," ",""),"-",""),"_","")</f>
        <v/>
      </c>
      <c r="C354" t="str" cm="1">
        <f t="array" ref="C354">IFERROR(INDEX(Create_TC_Web!F$1:F$500,SMALL(IF(Create_TC_Web!$C$1:$C$500&lt;&gt;"",MATCH(ROW(Create_TC_Web!$C$1:$C$500),ROW(Create_TC_Web!$C$1:$C$500)),""),ROW(Create_TC_Web!D354))),"")</f>
        <v/>
      </c>
      <c r="D354" t="str" cm="1">
        <f t="array" ref="D354">IFERROR(INDEX(Create_TC_Web!G$1:G$500,SMALL(IF(Create_TC_Web!$C$1:$C$500&lt;&gt;"",MATCH(ROW(Create_TC_Web!$C$1:$C$500),ROW(Create_TC_Web!$C$1:$C$500)),""),ROW(Create_TC_Web!E354))),"")</f>
        <v/>
      </c>
      <c r="E354" t="str" cm="1">
        <f t="array" ref="E354">IFERROR(INDEX(Create_TC_Web!H$1:H$500,SMALL(IF(Create_TC_Web!$C$1:$C$500&lt;&gt;"",MATCH(ROW(Create_TC_Web!$C$1:$C$500),ROW(Create_TC_Web!$C$1:$C$500)),""),ROW(Create_TC_Web!F354))),"")</f>
        <v/>
      </c>
      <c r="F354" t="str" cm="1">
        <f t="array" ref="F354">IFERROR(INDEX(Create_TC_Web!I$1:I$500,SMALL(IF(Create_TC_Web!$C$1:$C$500&lt;&gt;"",MATCH(ROW(Create_TC_Web!$C$1:$C$500),ROW(Create_TC_Web!$C$1:$C$500)),""),ROW(Create_TC_Web!G354))),"")</f>
        <v/>
      </c>
      <c r="G354" t="str" cm="1">
        <f t="array" ref="G354">IFERROR(INDEX(Create_TC_Web!J$1:J$500,SMALL(IF(Create_TC_Web!$C$1:$C$500&lt;&gt;"",MATCH(ROW(Create_TC_Web!$C$1:$C$500),ROW(Create_TC_Web!$C$1:$C$500)),""),ROW(Create_TC_Web!H354))),"")</f>
        <v/>
      </c>
      <c r="H354" t="str" cm="1">
        <f t="array" ref="H354">IFERROR(INDEX(Create_TC_Web!K$1:K$500,SMALL(IF(Create_TC_Web!$C$1:$C$500&lt;&gt;"",MATCH(ROW(Create_TC_Web!$C$1:$C$500),ROW(Create_TC_Web!$C$1:$C$500)),""),ROW(Create_TC_Web!I354))),"")</f>
        <v/>
      </c>
      <c r="I354" t="str" cm="1">
        <f t="array" ref="I354">IFERROR(INDEX(Create_TC_Web!L$1:L$500,SMALL(IF(Create_TC_Web!$C$1:$C$500&lt;&gt;"",MATCH(ROW(Create_TC_Web!$C$1:$C$500),ROW(Create_TC_Web!$C$1:$C$500)),""),ROW(Create_TC_Web!J354))),"")</f>
        <v/>
      </c>
      <c r="J354" t="str" cm="1">
        <f t="array" ref="J354">IFERROR(INDEX(Create_TC_Web!M$1:M$500,SMALL(IF(Create_TC_Web!$C$1:$C$500&lt;&gt;"",MATCH(ROW(Create_TC_Web!$C$1:$C$500),ROW(Create_TC_Web!$C$1:$C$500)),""),ROW(Create_TC_Web!K354))),"")</f>
        <v/>
      </c>
      <c r="K354" t="str" cm="1">
        <f t="array" ref="K354">IFERROR(INDEX(Create_TC_Web!N$1:N$500,SMALL(IF(Create_TC_Web!$C$1:$C$500&lt;&gt;"",MATCH(ROW(Create_TC_Web!$C$1:$C$500),ROW(Create_TC_Web!$C$1:$C$500)),""),ROW(Create_TC_Web!L354))),"")</f>
        <v/>
      </c>
      <c r="L354" t="str" cm="1">
        <f t="array" ref="L354">IFERROR(INDEX(Create_TC_Web!O$1:O$500,SMALL(IF(Create_TC_Web!$C$1:$C$500&lt;&gt;"",MATCH(ROW(Create_TC_Web!$C$1:$C$500),ROW(Create_TC_Web!$C$1:$C$500)),""),ROW(Create_TC_Web!M354))),"")</f>
        <v/>
      </c>
      <c r="M354" t="str" cm="1">
        <f t="array" ref="M354">IFERROR(INDEX(Create_TC_Web!P$1:P$500,SMALL(IF(Create_TC_Web!$C$1:$C$500&lt;&gt;"",MATCH(ROW(Create_TC_Web!$C$1:$C$500),ROW(Create_TC_Web!$C$1:$C$500)),""),ROW(Create_TC_Web!N354))),"")</f>
        <v/>
      </c>
      <c r="N354" t="str" cm="1">
        <f t="array" ref="N354">IFERROR(INDEX(Create_TC_Web!Q$1:Q$500,SMALL(IF(Create_TC_Web!$C$1:$C$500&lt;&gt;"",MATCH(ROW(Create_TC_Web!$C$1:$C$500),ROW(Create_TC_Web!$C$1:$C$500)),""),ROW(Create_TC_Web!O354))),"")</f>
        <v/>
      </c>
      <c r="O354" t="str">
        <f t="shared" si="17"/>
        <v/>
      </c>
      <c r="P354" s="17" t="str" cm="1">
        <f t="array" ref="P354">IFERROR(INDEX(Create_TC_Web!S$1:S$500,SMALL(IF(Create_TC_Web!$C$1:$C$500&lt;&gt;"",MATCH(ROW(Create_TC_Web!$C$1:$C$500),ROW(Create_TC_Web!$C$1:$C$500)),""),ROW(Create_TC_Web!Q332))),"")</f>
        <v/>
      </c>
      <c r="S354" t="str">
        <f t="shared" si="18"/>
        <v/>
      </c>
    </row>
    <row r="355" spans="1:19">
      <c r="A355" t="str" cm="1">
        <f t="array" ref="A355">IFERROR(INDEX(Create_TC_Web!D$1:D$500,SMALL(IF(Create_TC_Web!$C$1:$C$500&lt;&gt;"",MATCH(ROW(Create_TC_Web!$C$1:$C$500),ROW(Create_TC_Web!$C$1:$C$500)),""),ROW(Create_TC_Web!B355))),"")</f>
        <v/>
      </c>
      <c r="B355" t="str" cm="1">
        <f t="array" ref="B355">SUBSTITUTE(SUBSTITUTE(SUBSTITUTE(IFERROR(INDEX(Create_TC_Web!E$1:E$505,SMALL(IF(Create_TC_Web!$C$1:$C$505&lt;&gt;"",MATCH(ROW(Create_TC_Web!$C$1:$C$505),ROW(Create_TC_Web!$C$1:$C$505)),""),ROW(Create_TC_Web!C355))),"")," ",""),"-",""),"_","")</f>
        <v/>
      </c>
      <c r="C355" t="str" cm="1">
        <f t="array" ref="C355">IFERROR(INDEX(Create_TC_Web!F$1:F$500,SMALL(IF(Create_TC_Web!$C$1:$C$500&lt;&gt;"",MATCH(ROW(Create_TC_Web!$C$1:$C$500),ROW(Create_TC_Web!$C$1:$C$500)),""),ROW(Create_TC_Web!D355))),"")</f>
        <v/>
      </c>
      <c r="D355" t="str" cm="1">
        <f t="array" ref="D355">IFERROR(INDEX(Create_TC_Web!G$1:G$500,SMALL(IF(Create_TC_Web!$C$1:$C$500&lt;&gt;"",MATCH(ROW(Create_TC_Web!$C$1:$C$500),ROW(Create_TC_Web!$C$1:$C$500)),""),ROW(Create_TC_Web!E355))),"")</f>
        <v/>
      </c>
      <c r="E355" t="str" cm="1">
        <f t="array" ref="E355">IFERROR(INDEX(Create_TC_Web!H$1:H$500,SMALL(IF(Create_TC_Web!$C$1:$C$500&lt;&gt;"",MATCH(ROW(Create_TC_Web!$C$1:$C$500),ROW(Create_TC_Web!$C$1:$C$500)),""),ROW(Create_TC_Web!F355))),"")</f>
        <v/>
      </c>
      <c r="F355" t="str" cm="1">
        <f t="array" ref="F355">IFERROR(INDEX(Create_TC_Web!I$1:I$500,SMALL(IF(Create_TC_Web!$C$1:$C$500&lt;&gt;"",MATCH(ROW(Create_TC_Web!$C$1:$C$500),ROW(Create_TC_Web!$C$1:$C$500)),""),ROW(Create_TC_Web!G355))),"")</f>
        <v/>
      </c>
      <c r="G355" t="str" cm="1">
        <f t="array" ref="G355">IFERROR(INDEX(Create_TC_Web!J$1:J$500,SMALL(IF(Create_TC_Web!$C$1:$C$500&lt;&gt;"",MATCH(ROW(Create_TC_Web!$C$1:$C$500),ROW(Create_TC_Web!$C$1:$C$500)),""),ROW(Create_TC_Web!H355))),"")</f>
        <v/>
      </c>
      <c r="H355" t="str" cm="1">
        <f t="array" ref="H355">IFERROR(INDEX(Create_TC_Web!K$1:K$500,SMALL(IF(Create_TC_Web!$C$1:$C$500&lt;&gt;"",MATCH(ROW(Create_TC_Web!$C$1:$C$500),ROW(Create_TC_Web!$C$1:$C$500)),""),ROW(Create_TC_Web!I355))),"")</f>
        <v/>
      </c>
      <c r="I355" t="str" cm="1">
        <f t="array" ref="I355">IFERROR(INDEX(Create_TC_Web!L$1:L$500,SMALL(IF(Create_TC_Web!$C$1:$C$500&lt;&gt;"",MATCH(ROW(Create_TC_Web!$C$1:$C$500),ROW(Create_TC_Web!$C$1:$C$500)),""),ROW(Create_TC_Web!J355))),"")</f>
        <v/>
      </c>
      <c r="J355" t="str" cm="1">
        <f t="array" ref="J355">IFERROR(INDEX(Create_TC_Web!M$1:M$500,SMALL(IF(Create_TC_Web!$C$1:$C$500&lt;&gt;"",MATCH(ROW(Create_TC_Web!$C$1:$C$500),ROW(Create_TC_Web!$C$1:$C$500)),""),ROW(Create_TC_Web!K355))),"")</f>
        <v/>
      </c>
      <c r="K355" t="str" cm="1">
        <f t="array" ref="K355">IFERROR(INDEX(Create_TC_Web!N$1:N$500,SMALL(IF(Create_TC_Web!$C$1:$C$500&lt;&gt;"",MATCH(ROW(Create_TC_Web!$C$1:$C$500),ROW(Create_TC_Web!$C$1:$C$500)),""),ROW(Create_TC_Web!L355))),"")</f>
        <v/>
      </c>
      <c r="L355" t="str" cm="1">
        <f t="array" ref="L355">IFERROR(INDEX(Create_TC_Web!O$1:O$500,SMALL(IF(Create_TC_Web!$C$1:$C$500&lt;&gt;"",MATCH(ROW(Create_TC_Web!$C$1:$C$500),ROW(Create_TC_Web!$C$1:$C$500)),""),ROW(Create_TC_Web!M355))),"")</f>
        <v/>
      </c>
      <c r="M355" t="str" cm="1">
        <f t="array" ref="M355">IFERROR(INDEX(Create_TC_Web!P$1:P$500,SMALL(IF(Create_TC_Web!$C$1:$C$500&lt;&gt;"",MATCH(ROW(Create_TC_Web!$C$1:$C$500),ROW(Create_TC_Web!$C$1:$C$500)),""),ROW(Create_TC_Web!N355))),"")</f>
        <v/>
      </c>
      <c r="N355" t="str" cm="1">
        <f t="array" ref="N355">IFERROR(INDEX(Create_TC_Web!Q$1:Q$500,SMALL(IF(Create_TC_Web!$C$1:$C$500&lt;&gt;"",MATCH(ROW(Create_TC_Web!$C$1:$C$500),ROW(Create_TC_Web!$C$1:$C$500)),""),ROW(Create_TC_Web!O355))),"")</f>
        <v/>
      </c>
      <c r="O355" t="str">
        <f t="shared" si="17"/>
        <v/>
      </c>
      <c r="P355" s="17" t="str" cm="1">
        <f t="array" ref="P355">IFERROR(INDEX(Create_TC_Web!S$1:S$500,SMALL(IF(Create_TC_Web!$C$1:$C$500&lt;&gt;"",MATCH(ROW(Create_TC_Web!$C$1:$C$500),ROW(Create_TC_Web!$C$1:$C$500)),""),ROW(Create_TC_Web!Q333))),"")</f>
        <v/>
      </c>
      <c r="S355" t="str">
        <f t="shared" si="18"/>
        <v/>
      </c>
    </row>
    <row r="356" spans="1:19">
      <c r="A356" t="str" cm="1">
        <f t="array" ref="A356">IFERROR(INDEX(Create_TC_Web!D$1:D$500,SMALL(IF(Create_TC_Web!$C$1:$C$500&lt;&gt;"",MATCH(ROW(Create_TC_Web!$C$1:$C$500),ROW(Create_TC_Web!$C$1:$C$500)),""),ROW(Create_TC_Web!B356))),"")</f>
        <v/>
      </c>
      <c r="B356" t="str" cm="1">
        <f t="array" ref="B356">SUBSTITUTE(SUBSTITUTE(SUBSTITUTE(IFERROR(INDEX(Create_TC_Web!E$1:E$505,SMALL(IF(Create_TC_Web!$C$1:$C$505&lt;&gt;"",MATCH(ROW(Create_TC_Web!$C$1:$C$505),ROW(Create_TC_Web!$C$1:$C$505)),""),ROW(Create_TC_Web!C356))),"")," ",""),"-",""),"_","")</f>
        <v/>
      </c>
      <c r="C356" t="str" cm="1">
        <f t="array" ref="C356">IFERROR(INDEX(Create_TC_Web!F$1:F$500,SMALL(IF(Create_TC_Web!$C$1:$C$500&lt;&gt;"",MATCH(ROW(Create_TC_Web!$C$1:$C$500),ROW(Create_TC_Web!$C$1:$C$500)),""),ROW(Create_TC_Web!D356))),"")</f>
        <v/>
      </c>
      <c r="D356" t="str" cm="1">
        <f t="array" ref="D356">IFERROR(INDEX(Create_TC_Web!G$1:G$500,SMALL(IF(Create_TC_Web!$C$1:$C$500&lt;&gt;"",MATCH(ROW(Create_TC_Web!$C$1:$C$500),ROW(Create_TC_Web!$C$1:$C$500)),""),ROW(Create_TC_Web!E356))),"")</f>
        <v/>
      </c>
      <c r="E356" t="str" cm="1">
        <f t="array" ref="E356">IFERROR(INDEX(Create_TC_Web!H$1:H$500,SMALL(IF(Create_TC_Web!$C$1:$C$500&lt;&gt;"",MATCH(ROW(Create_TC_Web!$C$1:$C$500),ROW(Create_TC_Web!$C$1:$C$500)),""),ROW(Create_TC_Web!F356))),"")</f>
        <v/>
      </c>
      <c r="F356" t="str" cm="1">
        <f t="array" ref="F356">IFERROR(INDEX(Create_TC_Web!I$1:I$500,SMALL(IF(Create_TC_Web!$C$1:$C$500&lt;&gt;"",MATCH(ROW(Create_TC_Web!$C$1:$C$500),ROW(Create_TC_Web!$C$1:$C$500)),""),ROW(Create_TC_Web!G356))),"")</f>
        <v/>
      </c>
      <c r="G356" t="str" cm="1">
        <f t="array" ref="G356">IFERROR(INDEX(Create_TC_Web!J$1:J$500,SMALL(IF(Create_TC_Web!$C$1:$C$500&lt;&gt;"",MATCH(ROW(Create_TC_Web!$C$1:$C$500),ROW(Create_TC_Web!$C$1:$C$500)),""),ROW(Create_TC_Web!H356))),"")</f>
        <v/>
      </c>
      <c r="H356" t="str" cm="1">
        <f t="array" ref="H356">IFERROR(INDEX(Create_TC_Web!K$1:K$500,SMALL(IF(Create_TC_Web!$C$1:$C$500&lt;&gt;"",MATCH(ROW(Create_TC_Web!$C$1:$C$500),ROW(Create_TC_Web!$C$1:$C$500)),""),ROW(Create_TC_Web!I356))),"")</f>
        <v/>
      </c>
      <c r="I356" t="str" cm="1">
        <f t="array" ref="I356">IFERROR(INDEX(Create_TC_Web!L$1:L$500,SMALL(IF(Create_TC_Web!$C$1:$C$500&lt;&gt;"",MATCH(ROW(Create_TC_Web!$C$1:$C$500),ROW(Create_TC_Web!$C$1:$C$500)),""),ROW(Create_TC_Web!J356))),"")</f>
        <v/>
      </c>
      <c r="J356" t="str" cm="1">
        <f t="array" ref="J356">IFERROR(INDEX(Create_TC_Web!M$1:M$500,SMALL(IF(Create_TC_Web!$C$1:$C$500&lt;&gt;"",MATCH(ROW(Create_TC_Web!$C$1:$C$500),ROW(Create_TC_Web!$C$1:$C$500)),""),ROW(Create_TC_Web!K356))),"")</f>
        <v/>
      </c>
      <c r="K356" t="str" cm="1">
        <f t="array" ref="K356">IFERROR(INDEX(Create_TC_Web!N$1:N$500,SMALL(IF(Create_TC_Web!$C$1:$C$500&lt;&gt;"",MATCH(ROW(Create_TC_Web!$C$1:$C$500),ROW(Create_TC_Web!$C$1:$C$500)),""),ROW(Create_TC_Web!L356))),"")</f>
        <v/>
      </c>
      <c r="L356" t="str" cm="1">
        <f t="array" ref="L356">IFERROR(INDEX(Create_TC_Web!O$1:O$500,SMALL(IF(Create_TC_Web!$C$1:$C$500&lt;&gt;"",MATCH(ROW(Create_TC_Web!$C$1:$C$500),ROW(Create_TC_Web!$C$1:$C$500)),""),ROW(Create_TC_Web!M356))),"")</f>
        <v/>
      </c>
      <c r="M356" t="str" cm="1">
        <f t="array" ref="M356">IFERROR(INDEX(Create_TC_Web!P$1:P$500,SMALL(IF(Create_TC_Web!$C$1:$C$500&lt;&gt;"",MATCH(ROW(Create_TC_Web!$C$1:$C$500),ROW(Create_TC_Web!$C$1:$C$500)),""),ROW(Create_TC_Web!N356))),"")</f>
        <v/>
      </c>
      <c r="N356" t="str" cm="1">
        <f t="array" ref="N356">IFERROR(INDEX(Create_TC_Web!Q$1:Q$500,SMALL(IF(Create_TC_Web!$C$1:$C$500&lt;&gt;"",MATCH(ROW(Create_TC_Web!$C$1:$C$500),ROW(Create_TC_Web!$C$1:$C$500)),""),ROW(Create_TC_Web!O356))),"")</f>
        <v/>
      </c>
      <c r="O356" t="str">
        <f t="shared" si="17"/>
        <v/>
      </c>
      <c r="P356" s="17" t="str" cm="1">
        <f t="array" ref="P356">IFERROR(INDEX(Create_TC_Web!S$1:S$500,SMALL(IF(Create_TC_Web!$C$1:$C$500&lt;&gt;"",MATCH(ROW(Create_TC_Web!$C$1:$C$500),ROW(Create_TC_Web!$C$1:$C$500)),""),ROW(Create_TC_Web!Q334))),"")</f>
        <v/>
      </c>
      <c r="S356" t="str">
        <f t="shared" si="18"/>
        <v/>
      </c>
    </row>
    <row r="357" spans="1:19">
      <c r="A357" t="str" cm="1">
        <f t="array" ref="A357">IFERROR(INDEX(Create_TC_Web!D$1:D$500,SMALL(IF(Create_TC_Web!$C$1:$C$500&lt;&gt;"",MATCH(ROW(Create_TC_Web!$C$1:$C$500),ROW(Create_TC_Web!$C$1:$C$500)),""),ROW(Create_TC_Web!B357))),"")</f>
        <v/>
      </c>
      <c r="B357" t="str" cm="1">
        <f t="array" ref="B357">SUBSTITUTE(SUBSTITUTE(SUBSTITUTE(IFERROR(INDEX(Create_TC_Web!E$1:E$505,SMALL(IF(Create_TC_Web!$C$1:$C$505&lt;&gt;"",MATCH(ROW(Create_TC_Web!$C$1:$C$505),ROW(Create_TC_Web!$C$1:$C$505)),""),ROW(Create_TC_Web!C357))),"")," ",""),"-",""),"_","")</f>
        <v/>
      </c>
      <c r="C357" t="str" cm="1">
        <f t="array" ref="C357">IFERROR(INDEX(Create_TC_Web!F$1:F$500,SMALL(IF(Create_TC_Web!$C$1:$C$500&lt;&gt;"",MATCH(ROW(Create_TC_Web!$C$1:$C$500),ROW(Create_TC_Web!$C$1:$C$500)),""),ROW(Create_TC_Web!D357))),"")</f>
        <v/>
      </c>
      <c r="D357" t="str" cm="1">
        <f t="array" ref="D357">IFERROR(INDEX(Create_TC_Web!G$1:G$500,SMALL(IF(Create_TC_Web!$C$1:$C$500&lt;&gt;"",MATCH(ROW(Create_TC_Web!$C$1:$C$500),ROW(Create_TC_Web!$C$1:$C$500)),""),ROW(Create_TC_Web!E357))),"")</f>
        <v/>
      </c>
      <c r="E357" t="str" cm="1">
        <f t="array" ref="E357">IFERROR(INDEX(Create_TC_Web!H$1:H$500,SMALL(IF(Create_TC_Web!$C$1:$C$500&lt;&gt;"",MATCH(ROW(Create_TC_Web!$C$1:$C$500),ROW(Create_TC_Web!$C$1:$C$500)),""),ROW(Create_TC_Web!F357))),"")</f>
        <v/>
      </c>
      <c r="F357" t="str" cm="1">
        <f t="array" ref="F357">IFERROR(INDEX(Create_TC_Web!I$1:I$500,SMALL(IF(Create_TC_Web!$C$1:$C$500&lt;&gt;"",MATCH(ROW(Create_TC_Web!$C$1:$C$500),ROW(Create_TC_Web!$C$1:$C$500)),""),ROW(Create_TC_Web!G357))),"")</f>
        <v/>
      </c>
      <c r="G357" t="str" cm="1">
        <f t="array" ref="G357">IFERROR(INDEX(Create_TC_Web!J$1:J$500,SMALL(IF(Create_TC_Web!$C$1:$C$500&lt;&gt;"",MATCH(ROW(Create_TC_Web!$C$1:$C$500),ROW(Create_TC_Web!$C$1:$C$500)),""),ROW(Create_TC_Web!H357))),"")</f>
        <v/>
      </c>
      <c r="H357" t="str" cm="1">
        <f t="array" ref="H357">IFERROR(INDEX(Create_TC_Web!K$1:K$500,SMALL(IF(Create_TC_Web!$C$1:$C$500&lt;&gt;"",MATCH(ROW(Create_TC_Web!$C$1:$C$500),ROW(Create_TC_Web!$C$1:$C$500)),""),ROW(Create_TC_Web!I357))),"")</f>
        <v/>
      </c>
      <c r="I357" t="str" cm="1">
        <f t="array" ref="I357">IFERROR(INDEX(Create_TC_Web!L$1:L$500,SMALL(IF(Create_TC_Web!$C$1:$C$500&lt;&gt;"",MATCH(ROW(Create_TC_Web!$C$1:$C$500),ROW(Create_TC_Web!$C$1:$C$500)),""),ROW(Create_TC_Web!J357))),"")</f>
        <v/>
      </c>
      <c r="J357" t="str" cm="1">
        <f t="array" ref="J357">IFERROR(INDEX(Create_TC_Web!M$1:M$500,SMALL(IF(Create_TC_Web!$C$1:$C$500&lt;&gt;"",MATCH(ROW(Create_TC_Web!$C$1:$C$500),ROW(Create_TC_Web!$C$1:$C$500)),""),ROW(Create_TC_Web!K357))),"")</f>
        <v/>
      </c>
      <c r="K357" t="str" cm="1">
        <f t="array" ref="K357">IFERROR(INDEX(Create_TC_Web!N$1:N$500,SMALL(IF(Create_TC_Web!$C$1:$C$500&lt;&gt;"",MATCH(ROW(Create_TC_Web!$C$1:$C$500),ROW(Create_TC_Web!$C$1:$C$500)),""),ROW(Create_TC_Web!L357))),"")</f>
        <v/>
      </c>
      <c r="L357" t="str" cm="1">
        <f t="array" ref="L357">IFERROR(INDEX(Create_TC_Web!O$1:O$500,SMALL(IF(Create_TC_Web!$C$1:$C$500&lt;&gt;"",MATCH(ROW(Create_TC_Web!$C$1:$C$500),ROW(Create_TC_Web!$C$1:$C$500)),""),ROW(Create_TC_Web!M357))),"")</f>
        <v/>
      </c>
      <c r="M357" t="str" cm="1">
        <f t="array" ref="M357">IFERROR(INDEX(Create_TC_Web!P$1:P$500,SMALL(IF(Create_TC_Web!$C$1:$C$500&lt;&gt;"",MATCH(ROW(Create_TC_Web!$C$1:$C$500),ROW(Create_TC_Web!$C$1:$C$500)),""),ROW(Create_TC_Web!N357))),"")</f>
        <v/>
      </c>
      <c r="N357" t="str" cm="1">
        <f t="array" ref="N357">IFERROR(INDEX(Create_TC_Web!Q$1:Q$500,SMALL(IF(Create_TC_Web!$C$1:$C$500&lt;&gt;"",MATCH(ROW(Create_TC_Web!$C$1:$C$500),ROW(Create_TC_Web!$C$1:$C$500)),""),ROW(Create_TC_Web!O357))),"")</f>
        <v/>
      </c>
      <c r="O357" t="str">
        <f t="shared" si="17"/>
        <v/>
      </c>
      <c r="P357" s="17" t="str" cm="1">
        <f t="array" ref="P357">IFERROR(INDEX(Create_TC_Web!S$1:S$500,SMALL(IF(Create_TC_Web!$C$1:$C$500&lt;&gt;"",MATCH(ROW(Create_TC_Web!$C$1:$C$500),ROW(Create_TC_Web!$C$1:$C$500)),""),ROW(Create_TC_Web!Q335))),"")</f>
        <v/>
      </c>
      <c r="S357" t="str">
        <f t="shared" si="18"/>
        <v/>
      </c>
    </row>
    <row r="358" spans="1:19">
      <c r="A358" t="str" cm="1">
        <f t="array" ref="A358">IFERROR(INDEX(Create_TC_Web!D$1:D$500,SMALL(IF(Create_TC_Web!$C$1:$C$500&lt;&gt;"",MATCH(ROW(Create_TC_Web!$C$1:$C$500),ROW(Create_TC_Web!$C$1:$C$500)),""),ROW(Create_TC_Web!B358))),"")</f>
        <v/>
      </c>
      <c r="B358" t="str" cm="1">
        <f t="array" ref="B358">SUBSTITUTE(SUBSTITUTE(SUBSTITUTE(IFERROR(INDEX(Create_TC_Web!E$1:E$505,SMALL(IF(Create_TC_Web!$C$1:$C$505&lt;&gt;"",MATCH(ROW(Create_TC_Web!$C$1:$C$505),ROW(Create_TC_Web!$C$1:$C$505)),""),ROW(Create_TC_Web!C358))),"")," ",""),"-",""),"_","")</f>
        <v/>
      </c>
      <c r="C358" t="str" cm="1">
        <f t="array" ref="C358">IFERROR(INDEX(Create_TC_Web!F$1:F$500,SMALL(IF(Create_TC_Web!$C$1:$C$500&lt;&gt;"",MATCH(ROW(Create_TC_Web!$C$1:$C$500),ROW(Create_TC_Web!$C$1:$C$500)),""),ROW(Create_TC_Web!D358))),"")</f>
        <v/>
      </c>
      <c r="D358" t="str" cm="1">
        <f t="array" ref="D358">IFERROR(INDEX(Create_TC_Web!G$1:G$500,SMALL(IF(Create_TC_Web!$C$1:$C$500&lt;&gt;"",MATCH(ROW(Create_TC_Web!$C$1:$C$500),ROW(Create_TC_Web!$C$1:$C$500)),""),ROW(Create_TC_Web!E358))),"")</f>
        <v/>
      </c>
      <c r="E358" t="str" cm="1">
        <f t="array" ref="E358">IFERROR(INDEX(Create_TC_Web!H$1:H$500,SMALL(IF(Create_TC_Web!$C$1:$C$500&lt;&gt;"",MATCH(ROW(Create_TC_Web!$C$1:$C$500),ROW(Create_TC_Web!$C$1:$C$500)),""),ROW(Create_TC_Web!F358))),"")</f>
        <v/>
      </c>
      <c r="F358" t="str" cm="1">
        <f t="array" ref="F358">IFERROR(INDEX(Create_TC_Web!I$1:I$500,SMALL(IF(Create_TC_Web!$C$1:$C$500&lt;&gt;"",MATCH(ROW(Create_TC_Web!$C$1:$C$500),ROW(Create_TC_Web!$C$1:$C$500)),""),ROW(Create_TC_Web!G358))),"")</f>
        <v/>
      </c>
      <c r="G358" t="str" cm="1">
        <f t="array" ref="G358">IFERROR(INDEX(Create_TC_Web!J$1:J$500,SMALL(IF(Create_TC_Web!$C$1:$C$500&lt;&gt;"",MATCH(ROW(Create_TC_Web!$C$1:$C$500),ROW(Create_TC_Web!$C$1:$C$500)),""),ROW(Create_TC_Web!H358))),"")</f>
        <v/>
      </c>
      <c r="H358" t="str" cm="1">
        <f t="array" ref="H358">IFERROR(INDEX(Create_TC_Web!K$1:K$500,SMALL(IF(Create_TC_Web!$C$1:$C$500&lt;&gt;"",MATCH(ROW(Create_TC_Web!$C$1:$C$500),ROW(Create_TC_Web!$C$1:$C$500)),""),ROW(Create_TC_Web!I358))),"")</f>
        <v/>
      </c>
      <c r="I358" t="str" cm="1">
        <f t="array" ref="I358">IFERROR(INDEX(Create_TC_Web!L$1:L$500,SMALL(IF(Create_TC_Web!$C$1:$C$500&lt;&gt;"",MATCH(ROW(Create_TC_Web!$C$1:$C$500),ROW(Create_TC_Web!$C$1:$C$500)),""),ROW(Create_TC_Web!J358))),"")</f>
        <v/>
      </c>
      <c r="J358" t="str" cm="1">
        <f t="array" ref="J358">IFERROR(INDEX(Create_TC_Web!M$1:M$500,SMALL(IF(Create_TC_Web!$C$1:$C$500&lt;&gt;"",MATCH(ROW(Create_TC_Web!$C$1:$C$500),ROW(Create_TC_Web!$C$1:$C$500)),""),ROW(Create_TC_Web!K358))),"")</f>
        <v/>
      </c>
      <c r="K358" t="str" cm="1">
        <f t="array" ref="K358">IFERROR(INDEX(Create_TC_Web!N$1:N$500,SMALL(IF(Create_TC_Web!$C$1:$C$500&lt;&gt;"",MATCH(ROW(Create_TC_Web!$C$1:$C$500),ROW(Create_TC_Web!$C$1:$C$500)),""),ROW(Create_TC_Web!L358))),"")</f>
        <v/>
      </c>
      <c r="L358" t="str" cm="1">
        <f t="array" ref="L358">IFERROR(INDEX(Create_TC_Web!O$1:O$500,SMALL(IF(Create_TC_Web!$C$1:$C$500&lt;&gt;"",MATCH(ROW(Create_TC_Web!$C$1:$C$500),ROW(Create_TC_Web!$C$1:$C$500)),""),ROW(Create_TC_Web!M358))),"")</f>
        <v/>
      </c>
      <c r="M358" t="str" cm="1">
        <f t="array" ref="M358">IFERROR(INDEX(Create_TC_Web!P$1:P$500,SMALL(IF(Create_TC_Web!$C$1:$C$500&lt;&gt;"",MATCH(ROW(Create_TC_Web!$C$1:$C$500),ROW(Create_TC_Web!$C$1:$C$500)),""),ROW(Create_TC_Web!N358))),"")</f>
        <v/>
      </c>
      <c r="N358" t="str" cm="1">
        <f t="array" ref="N358">IFERROR(INDEX(Create_TC_Web!Q$1:Q$500,SMALL(IF(Create_TC_Web!$C$1:$C$500&lt;&gt;"",MATCH(ROW(Create_TC_Web!$C$1:$C$500),ROW(Create_TC_Web!$C$1:$C$500)),""),ROW(Create_TC_Web!O358))),"")</f>
        <v/>
      </c>
      <c r="O358" t="str">
        <f t="shared" si="17"/>
        <v/>
      </c>
      <c r="P358" s="17" t="str" cm="1">
        <f t="array" ref="P358">IFERROR(INDEX(Create_TC_Web!S$1:S$500,SMALL(IF(Create_TC_Web!$C$1:$C$500&lt;&gt;"",MATCH(ROW(Create_TC_Web!$C$1:$C$500),ROW(Create_TC_Web!$C$1:$C$500)),""),ROW(Create_TC_Web!Q336))),"")</f>
        <v/>
      </c>
      <c r="S358" t="str">
        <f t="shared" si="18"/>
        <v/>
      </c>
    </row>
    <row r="359" spans="1:19">
      <c r="A359" t="str" cm="1">
        <f t="array" ref="A359">IFERROR(INDEX(Create_TC_Web!D$1:D$500,SMALL(IF(Create_TC_Web!$C$1:$C$500&lt;&gt;"",MATCH(ROW(Create_TC_Web!$C$1:$C$500),ROW(Create_TC_Web!$C$1:$C$500)),""),ROW(Create_TC_Web!B359))),"")</f>
        <v/>
      </c>
      <c r="B359" t="str" cm="1">
        <f t="array" ref="B359">SUBSTITUTE(SUBSTITUTE(SUBSTITUTE(IFERROR(INDEX(Create_TC_Web!E$1:E$505,SMALL(IF(Create_TC_Web!$C$1:$C$505&lt;&gt;"",MATCH(ROW(Create_TC_Web!$C$1:$C$505),ROW(Create_TC_Web!$C$1:$C$505)),""),ROW(Create_TC_Web!C359))),"")," ",""),"-",""),"_","")</f>
        <v/>
      </c>
      <c r="C359" t="str" cm="1">
        <f t="array" ref="C359">IFERROR(INDEX(Create_TC_Web!F$1:F$500,SMALL(IF(Create_TC_Web!$C$1:$C$500&lt;&gt;"",MATCH(ROW(Create_TC_Web!$C$1:$C$500),ROW(Create_TC_Web!$C$1:$C$500)),""),ROW(Create_TC_Web!D359))),"")</f>
        <v/>
      </c>
      <c r="D359" t="str" cm="1">
        <f t="array" ref="D359">IFERROR(INDEX(Create_TC_Web!G$1:G$500,SMALL(IF(Create_TC_Web!$C$1:$C$500&lt;&gt;"",MATCH(ROW(Create_TC_Web!$C$1:$C$500),ROW(Create_TC_Web!$C$1:$C$500)),""),ROW(Create_TC_Web!E359))),"")</f>
        <v/>
      </c>
      <c r="E359" t="str" cm="1">
        <f t="array" ref="E359">IFERROR(INDEX(Create_TC_Web!H$1:H$500,SMALL(IF(Create_TC_Web!$C$1:$C$500&lt;&gt;"",MATCH(ROW(Create_TC_Web!$C$1:$C$500),ROW(Create_TC_Web!$C$1:$C$500)),""),ROW(Create_TC_Web!F359))),"")</f>
        <v/>
      </c>
      <c r="F359" t="str" cm="1">
        <f t="array" ref="F359">IFERROR(INDEX(Create_TC_Web!I$1:I$500,SMALL(IF(Create_TC_Web!$C$1:$C$500&lt;&gt;"",MATCH(ROW(Create_TC_Web!$C$1:$C$500),ROW(Create_TC_Web!$C$1:$C$500)),""),ROW(Create_TC_Web!G359))),"")</f>
        <v/>
      </c>
      <c r="G359" t="str" cm="1">
        <f t="array" ref="G359">IFERROR(INDEX(Create_TC_Web!J$1:J$500,SMALL(IF(Create_TC_Web!$C$1:$C$500&lt;&gt;"",MATCH(ROW(Create_TC_Web!$C$1:$C$500),ROW(Create_TC_Web!$C$1:$C$500)),""),ROW(Create_TC_Web!H359))),"")</f>
        <v/>
      </c>
      <c r="H359" t="str" cm="1">
        <f t="array" ref="H359">IFERROR(INDEX(Create_TC_Web!K$1:K$500,SMALL(IF(Create_TC_Web!$C$1:$C$500&lt;&gt;"",MATCH(ROW(Create_TC_Web!$C$1:$C$500),ROW(Create_TC_Web!$C$1:$C$500)),""),ROW(Create_TC_Web!I359))),"")</f>
        <v/>
      </c>
      <c r="I359" t="str" cm="1">
        <f t="array" ref="I359">IFERROR(INDEX(Create_TC_Web!L$1:L$500,SMALL(IF(Create_TC_Web!$C$1:$C$500&lt;&gt;"",MATCH(ROW(Create_TC_Web!$C$1:$C$500),ROW(Create_TC_Web!$C$1:$C$500)),""),ROW(Create_TC_Web!J359))),"")</f>
        <v/>
      </c>
      <c r="J359" t="str" cm="1">
        <f t="array" ref="J359">IFERROR(INDEX(Create_TC_Web!M$1:M$500,SMALL(IF(Create_TC_Web!$C$1:$C$500&lt;&gt;"",MATCH(ROW(Create_TC_Web!$C$1:$C$500),ROW(Create_TC_Web!$C$1:$C$500)),""),ROW(Create_TC_Web!K359))),"")</f>
        <v/>
      </c>
      <c r="K359" t="str" cm="1">
        <f t="array" ref="K359">IFERROR(INDEX(Create_TC_Web!N$1:N$500,SMALL(IF(Create_TC_Web!$C$1:$C$500&lt;&gt;"",MATCH(ROW(Create_TC_Web!$C$1:$C$500),ROW(Create_TC_Web!$C$1:$C$500)),""),ROW(Create_TC_Web!L359))),"")</f>
        <v/>
      </c>
      <c r="L359" t="str" cm="1">
        <f t="array" ref="L359">IFERROR(INDEX(Create_TC_Web!O$1:O$500,SMALL(IF(Create_TC_Web!$C$1:$C$500&lt;&gt;"",MATCH(ROW(Create_TC_Web!$C$1:$C$500),ROW(Create_TC_Web!$C$1:$C$500)),""),ROW(Create_TC_Web!M359))),"")</f>
        <v/>
      </c>
      <c r="M359" t="str" cm="1">
        <f t="array" ref="M359">IFERROR(INDEX(Create_TC_Web!P$1:P$500,SMALL(IF(Create_TC_Web!$C$1:$C$500&lt;&gt;"",MATCH(ROW(Create_TC_Web!$C$1:$C$500),ROW(Create_TC_Web!$C$1:$C$500)),""),ROW(Create_TC_Web!N359))),"")</f>
        <v/>
      </c>
      <c r="N359" t="str" cm="1">
        <f t="array" ref="N359">IFERROR(INDEX(Create_TC_Web!Q$1:Q$500,SMALL(IF(Create_TC_Web!$C$1:$C$500&lt;&gt;"",MATCH(ROW(Create_TC_Web!$C$1:$C$500),ROW(Create_TC_Web!$C$1:$C$500)),""),ROW(Create_TC_Web!O359))),"")</f>
        <v/>
      </c>
      <c r="O359" t="str">
        <f t="shared" si="17"/>
        <v/>
      </c>
      <c r="P359" s="17" t="str" cm="1">
        <f t="array" ref="P359">IFERROR(INDEX(Create_TC_Web!S$1:S$500,SMALL(IF(Create_TC_Web!$C$1:$C$500&lt;&gt;"",MATCH(ROW(Create_TC_Web!$C$1:$C$500),ROW(Create_TC_Web!$C$1:$C$500)),""),ROW(Create_TC_Web!Q337))),"")</f>
        <v/>
      </c>
      <c r="S359" t="str">
        <f t="shared" si="18"/>
        <v/>
      </c>
    </row>
    <row r="360" spans="1:19">
      <c r="A360" t="str" cm="1">
        <f t="array" ref="A360">IFERROR(INDEX(Create_TC_Web!D$1:D$500,SMALL(IF(Create_TC_Web!$C$1:$C$500&lt;&gt;"",MATCH(ROW(Create_TC_Web!$C$1:$C$500),ROW(Create_TC_Web!$C$1:$C$500)),""),ROW(Create_TC_Web!B360))),"")</f>
        <v/>
      </c>
      <c r="B360" t="str" cm="1">
        <f t="array" ref="B360">SUBSTITUTE(SUBSTITUTE(SUBSTITUTE(IFERROR(INDEX(Create_TC_Web!E$1:E$505,SMALL(IF(Create_TC_Web!$C$1:$C$505&lt;&gt;"",MATCH(ROW(Create_TC_Web!$C$1:$C$505),ROW(Create_TC_Web!$C$1:$C$505)),""),ROW(Create_TC_Web!C360))),"")," ",""),"-",""),"_","")</f>
        <v/>
      </c>
      <c r="C360" t="str" cm="1">
        <f t="array" ref="C360">IFERROR(INDEX(Create_TC_Web!F$1:F$500,SMALL(IF(Create_TC_Web!$C$1:$C$500&lt;&gt;"",MATCH(ROW(Create_TC_Web!$C$1:$C$500),ROW(Create_TC_Web!$C$1:$C$500)),""),ROW(Create_TC_Web!D360))),"")</f>
        <v/>
      </c>
      <c r="D360" t="str" cm="1">
        <f t="array" ref="D360">IFERROR(INDEX(Create_TC_Web!G$1:G$500,SMALL(IF(Create_TC_Web!$C$1:$C$500&lt;&gt;"",MATCH(ROW(Create_TC_Web!$C$1:$C$500),ROW(Create_TC_Web!$C$1:$C$500)),""),ROW(Create_TC_Web!E360))),"")</f>
        <v/>
      </c>
      <c r="E360" t="str" cm="1">
        <f t="array" ref="E360">IFERROR(INDEX(Create_TC_Web!H$1:H$500,SMALL(IF(Create_TC_Web!$C$1:$C$500&lt;&gt;"",MATCH(ROW(Create_TC_Web!$C$1:$C$500),ROW(Create_TC_Web!$C$1:$C$500)),""),ROW(Create_TC_Web!F360))),"")</f>
        <v/>
      </c>
      <c r="F360" t="str" cm="1">
        <f t="array" ref="F360">IFERROR(INDEX(Create_TC_Web!I$1:I$500,SMALL(IF(Create_TC_Web!$C$1:$C$500&lt;&gt;"",MATCH(ROW(Create_TC_Web!$C$1:$C$500),ROW(Create_TC_Web!$C$1:$C$500)),""),ROW(Create_TC_Web!G360))),"")</f>
        <v/>
      </c>
      <c r="G360" t="str" cm="1">
        <f t="array" ref="G360">IFERROR(INDEX(Create_TC_Web!J$1:J$500,SMALL(IF(Create_TC_Web!$C$1:$C$500&lt;&gt;"",MATCH(ROW(Create_TC_Web!$C$1:$C$500),ROW(Create_TC_Web!$C$1:$C$500)),""),ROW(Create_TC_Web!H360))),"")</f>
        <v/>
      </c>
      <c r="H360" t="str" cm="1">
        <f t="array" ref="H360">IFERROR(INDEX(Create_TC_Web!K$1:K$500,SMALL(IF(Create_TC_Web!$C$1:$C$500&lt;&gt;"",MATCH(ROW(Create_TC_Web!$C$1:$C$500),ROW(Create_TC_Web!$C$1:$C$500)),""),ROW(Create_TC_Web!I360))),"")</f>
        <v/>
      </c>
      <c r="I360" t="str" cm="1">
        <f t="array" ref="I360">IFERROR(INDEX(Create_TC_Web!L$1:L$500,SMALL(IF(Create_TC_Web!$C$1:$C$500&lt;&gt;"",MATCH(ROW(Create_TC_Web!$C$1:$C$500),ROW(Create_TC_Web!$C$1:$C$500)),""),ROW(Create_TC_Web!J360))),"")</f>
        <v/>
      </c>
      <c r="J360" t="str" cm="1">
        <f t="array" ref="J360">IFERROR(INDEX(Create_TC_Web!M$1:M$500,SMALL(IF(Create_TC_Web!$C$1:$C$500&lt;&gt;"",MATCH(ROW(Create_TC_Web!$C$1:$C$500),ROW(Create_TC_Web!$C$1:$C$500)),""),ROW(Create_TC_Web!K360))),"")</f>
        <v/>
      </c>
      <c r="K360" t="str" cm="1">
        <f t="array" ref="K360">IFERROR(INDEX(Create_TC_Web!N$1:N$500,SMALL(IF(Create_TC_Web!$C$1:$C$500&lt;&gt;"",MATCH(ROW(Create_TC_Web!$C$1:$C$500),ROW(Create_TC_Web!$C$1:$C$500)),""),ROW(Create_TC_Web!L360))),"")</f>
        <v/>
      </c>
      <c r="L360" t="str" cm="1">
        <f t="array" ref="L360">IFERROR(INDEX(Create_TC_Web!O$1:O$500,SMALL(IF(Create_TC_Web!$C$1:$C$500&lt;&gt;"",MATCH(ROW(Create_TC_Web!$C$1:$C$500),ROW(Create_TC_Web!$C$1:$C$500)),""),ROW(Create_TC_Web!M360))),"")</f>
        <v/>
      </c>
      <c r="M360" t="str" cm="1">
        <f t="array" ref="M360">IFERROR(INDEX(Create_TC_Web!P$1:P$500,SMALL(IF(Create_TC_Web!$C$1:$C$500&lt;&gt;"",MATCH(ROW(Create_TC_Web!$C$1:$C$500),ROW(Create_TC_Web!$C$1:$C$500)),""),ROW(Create_TC_Web!N360))),"")</f>
        <v/>
      </c>
      <c r="N360" t="str" cm="1">
        <f t="array" ref="N360">IFERROR(INDEX(Create_TC_Web!Q$1:Q$500,SMALL(IF(Create_TC_Web!$C$1:$C$500&lt;&gt;"",MATCH(ROW(Create_TC_Web!$C$1:$C$500),ROW(Create_TC_Web!$C$1:$C$500)),""),ROW(Create_TC_Web!O360))),"")</f>
        <v/>
      </c>
      <c r="O360" t="str">
        <f t="shared" si="17"/>
        <v/>
      </c>
      <c r="P360" s="17" t="str" cm="1">
        <f t="array" ref="P360">IFERROR(INDEX(Create_TC_Web!S$1:S$500,SMALL(IF(Create_TC_Web!$C$1:$C$500&lt;&gt;"",MATCH(ROW(Create_TC_Web!$C$1:$C$500),ROW(Create_TC_Web!$C$1:$C$500)),""),ROW(Create_TC_Web!Q338))),"")</f>
        <v/>
      </c>
      <c r="S360" t="str">
        <f t="shared" si="18"/>
        <v/>
      </c>
    </row>
    <row r="361" spans="1:19">
      <c r="A361" t="str" cm="1">
        <f t="array" ref="A361">IFERROR(INDEX(Create_TC_Web!D$1:D$500,SMALL(IF(Create_TC_Web!$C$1:$C$500&lt;&gt;"",MATCH(ROW(Create_TC_Web!$C$1:$C$500),ROW(Create_TC_Web!$C$1:$C$500)),""),ROW(Create_TC_Web!B361))),"")</f>
        <v/>
      </c>
      <c r="B361" t="str" cm="1">
        <f t="array" ref="B361">SUBSTITUTE(SUBSTITUTE(SUBSTITUTE(IFERROR(INDEX(Create_TC_Web!E$1:E$505,SMALL(IF(Create_TC_Web!$C$1:$C$505&lt;&gt;"",MATCH(ROW(Create_TC_Web!$C$1:$C$505),ROW(Create_TC_Web!$C$1:$C$505)),""),ROW(Create_TC_Web!C361))),"")," ",""),"-",""),"_","")</f>
        <v/>
      </c>
      <c r="C361" t="str" cm="1">
        <f t="array" ref="C361">IFERROR(INDEX(Create_TC_Web!F$1:F$500,SMALL(IF(Create_TC_Web!$C$1:$C$500&lt;&gt;"",MATCH(ROW(Create_TC_Web!$C$1:$C$500),ROW(Create_TC_Web!$C$1:$C$500)),""),ROW(Create_TC_Web!D361))),"")</f>
        <v/>
      </c>
      <c r="D361" t="str" cm="1">
        <f t="array" ref="D361">IFERROR(INDEX(Create_TC_Web!G$1:G$500,SMALL(IF(Create_TC_Web!$C$1:$C$500&lt;&gt;"",MATCH(ROW(Create_TC_Web!$C$1:$C$500),ROW(Create_TC_Web!$C$1:$C$500)),""),ROW(Create_TC_Web!E361))),"")</f>
        <v/>
      </c>
      <c r="E361" t="str" cm="1">
        <f t="array" ref="E361">IFERROR(INDEX(Create_TC_Web!H$1:H$500,SMALL(IF(Create_TC_Web!$C$1:$C$500&lt;&gt;"",MATCH(ROW(Create_TC_Web!$C$1:$C$500),ROW(Create_TC_Web!$C$1:$C$500)),""),ROW(Create_TC_Web!F361))),"")</f>
        <v/>
      </c>
      <c r="F361" t="str" cm="1">
        <f t="array" ref="F361">IFERROR(INDEX(Create_TC_Web!I$1:I$500,SMALL(IF(Create_TC_Web!$C$1:$C$500&lt;&gt;"",MATCH(ROW(Create_TC_Web!$C$1:$C$500),ROW(Create_TC_Web!$C$1:$C$500)),""),ROW(Create_TC_Web!G361))),"")</f>
        <v/>
      </c>
      <c r="G361" t="str" cm="1">
        <f t="array" ref="G361">IFERROR(INDEX(Create_TC_Web!J$1:J$500,SMALL(IF(Create_TC_Web!$C$1:$C$500&lt;&gt;"",MATCH(ROW(Create_TC_Web!$C$1:$C$500),ROW(Create_TC_Web!$C$1:$C$500)),""),ROW(Create_TC_Web!H361))),"")</f>
        <v/>
      </c>
      <c r="H361" t="str" cm="1">
        <f t="array" ref="H361">IFERROR(INDEX(Create_TC_Web!K$1:K$500,SMALL(IF(Create_TC_Web!$C$1:$C$500&lt;&gt;"",MATCH(ROW(Create_TC_Web!$C$1:$C$500),ROW(Create_TC_Web!$C$1:$C$500)),""),ROW(Create_TC_Web!I361))),"")</f>
        <v/>
      </c>
      <c r="I361" t="str" cm="1">
        <f t="array" ref="I361">IFERROR(INDEX(Create_TC_Web!L$1:L$500,SMALL(IF(Create_TC_Web!$C$1:$C$500&lt;&gt;"",MATCH(ROW(Create_TC_Web!$C$1:$C$500),ROW(Create_TC_Web!$C$1:$C$500)),""),ROW(Create_TC_Web!J361))),"")</f>
        <v/>
      </c>
      <c r="J361" t="str" cm="1">
        <f t="array" ref="J361">IFERROR(INDEX(Create_TC_Web!M$1:M$500,SMALL(IF(Create_TC_Web!$C$1:$C$500&lt;&gt;"",MATCH(ROW(Create_TC_Web!$C$1:$C$500),ROW(Create_TC_Web!$C$1:$C$500)),""),ROW(Create_TC_Web!K361))),"")</f>
        <v/>
      </c>
      <c r="K361" t="str" cm="1">
        <f t="array" ref="K361">IFERROR(INDEX(Create_TC_Web!N$1:N$500,SMALL(IF(Create_TC_Web!$C$1:$C$500&lt;&gt;"",MATCH(ROW(Create_TC_Web!$C$1:$C$500),ROW(Create_TC_Web!$C$1:$C$500)),""),ROW(Create_TC_Web!L361))),"")</f>
        <v/>
      </c>
      <c r="L361" t="str" cm="1">
        <f t="array" ref="L361">IFERROR(INDEX(Create_TC_Web!O$1:O$500,SMALL(IF(Create_TC_Web!$C$1:$C$500&lt;&gt;"",MATCH(ROW(Create_TC_Web!$C$1:$C$500),ROW(Create_TC_Web!$C$1:$C$500)),""),ROW(Create_TC_Web!M361))),"")</f>
        <v/>
      </c>
      <c r="M361" t="str" cm="1">
        <f t="array" ref="M361">IFERROR(INDEX(Create_TC_Web!P$1:P$500,SMALL(IF(Create_TC_Web!$C$1:$C$500&lt;&gt;"",MATCH(ROW(Create_TC_Web!$C$1:$C$500),ROW(Create_TC_Web!$C$1:$C$500)),""),ROW(Create_TC_Web!N361))),"")</f>
        <v/>
      </c>
      <c r="N361" t="str" cm="1">
        <f t="array" ref="N361">IFERROR(INDEX(Create_TC_Web!Q$1:Q$500,SMALL(IF(Create_TC_Web!$C$1:$C$500&lt;&gt;"",MATCH(ROW(Create_TC_Web!$C$1:$C$500),ROW(Create_TC_Web!$C$1:$C$500)),""),ROW(Create_TC_Web!O361))),"")</f>
        <v/>
      </c>
      <c r="O361" t="str">
        <f t="shared" si="17"/>
        <v/>
      </c>
      <c r="P361" s="17" t="str" cm="1">
        <f t="array" ref="P361">IFERROR(INDEX(Create_TC_Web!S$1:S$500,SMALL(IF(Create_TC_Web!$C$1:$C$500&lt;&gt;"",MATCH(ROW(Create_TC_Web!$C$1:$C$500),ROW(Create_TC_Web!$C$1:$C$500)),""),ROW(Create_TC_Web!Q339))),"")</f>
        <v/>
      </c>
      <c r="S361" t="str">
        <f t="shared" si="18"/>
        <v/>
      </c>
    </row>
    <row r="362" spans="1:19">
      <c r="A362" t="str" cm="1">
        <f t="array" ref="A362">IFERROR(INDEX(Create_TC_Web!D$1:D$500,SMALL(IF(Create_TC_Web!$C$1:$C$500&lt;&gt;"",MATCH(ROW(Create_TC_Web!$C$1:$C$500),ROW(Create_TC_Web!$C$1:$C$500)),""),ROW(Create_TC_Web!B362))),"")</f>
        <v/>
      </c>
      <c r="B362" t="str" cm="1">
        <f t="array" ref="B362">SUBSTITUTE(SUBSTITUTE(SUBSTITUTE(IFERROR(INDEX(Create_TC_Web!E$1:E$505,SMALL(IF(Create_TC_Web!$C$1:$C$505&lt;&gt;"",MATCH(ROW(Create_TC_Web!$C$1:$C$505),ROW(Create_TC_Web!$C$1:$C$505)),""),ROW(Create_TC_Web!C362))),"")," ",""),"-",""),"_","")</f>
        <v/>
      </c>
      <c r="C362" t="str" cm="1">
        <f t="array" ref="C362">IFERROR(INDEX(Create_TC_Web!F$1:F$500,SMALL(IF(Create_TC_Web!$C$1:$C$500&lt;&gt;"",MATCH(ROW(Create_TC_Web!$C$1:$C$500),ROW(Create_TC_Web!$C$1:$C$500)),""),ROW(Create_TC_Web!D362))),"")</f>
        <v/>
      </c>
      <c r="D362" t="str" cm="1">
        <f t="array" ref="D362">IFERROR(INDEX(Create_TC_Web!G$1:G$500,SMALL(IF(Create_TC_Web!$C$1:$C$500&lt;&gt;"",MATCH(ROW(Create_TC_Web!$C$1:$C$500),ROW(Create_TC_Web!$C$1:$C$500)),""),ROW(Create_TC_Web!E362))),"")</f>
        <v/>
      </c>
      <c r="E362" t="str" cm="1">
        <f t="array" ref="E362">IFERROR(INDEX(Create_TC_Web!H$1:H$500,SMALL(IF(Create_TC_Web!$C$1:$C$500&lt;&gt;"",MATCH(ROW(Create_TC_Web!$C$1:$C$500),ROW(Create_TC_Web!$C$1:$C$500)),""),ROW(Create_TC_Web!F362))),"")</f>
        <v/>
      </c>
      <c r="F362" t="str" cm="1">
        <f t="array" ref="F362">IFERROR(INDEX(Create_TC_Web!I$1:I$500,SMALL(IF(Create_TC_Web!$C$1:$C$500&lt;&gt;"",MATCH(ROW(Create_TC_Web!$C$1:$C$500),ROW(Create_TC_Web!$C$1:$C$500)),""),ROW(Create_TC_Web!G362))),"")</f>
        <v/>
      </c>
      <c r="G362" t="str" cm="1">
        <f t="array" ref="G362">IFERROR(INDEX(Create_TC_Web!J$1:J$500,SMALL(IF(Create_TC_Web!$C$1:$C$500&lt;&gt;"",MATCH(ROW(Create_TC_Web!$C$1:$C$500),ROW(Create_TC_Web!$C$1:$C$500)),""),ROW(Create_TC_Web!H362))),"")</f>
        <v/>
      </c>
      <c r="H362" t="str" cm="1">
        <f t="array" ref="H362">IFERROR(INDEX(Create_TC_Web!K$1:K$500,SMALL(IF(Create_TC_Web!$C$1:$C$500&lt;&gt;"",MATCH(ROW(Create_TC_Web!$C$1:$C$500),ROW(Create_TC_Web!$C$1:$C$500)),""),ROW(Create_TC_Web!I362))),"")</f>
        <v/>
      </c>
      <c r="I362" t="str" cm="1">
        <f t="array" ref="I362">IFERROR(INDEX(Create_TC_Web!L$1:L$500,SMALL(IF(Create_TC_Web!$C$1:$C$500&lt;&gt;"",MATCH(ROW(Create_TC_Web!$C$1:$C$500),ROW(Create_TC_Web!$C$1:$C$500)),""),ROW(Create_TC_Web!J362))),"")</f>
        <v/>
      </c>
      <c r="J362" t="str" cm="1">
        <f t="array" ref="J362">IFERROR(INDEX(Create_TC_Web!M$1:M$500,SMALL(IF(Create_TC_Web!$C$1:$C$500&lt;&gt;"",MATCH(ROW(Create_TC_Web!$C$1:$C$500),ROW(Create_TC_Web!$C$1:$C$500)),""),ROW(Create_TC_Web!K362))),"")</f>
        <v/>
      </c>
      <c r="K362" t="str" cm="1">
        <f t="array" ref="K362">IFERROR(INDEX(Create_TC_Web!N$1:N$500,SMALL(IF(Create_TC_Web!$C$1:$C$500&lt;&gt;"",MATCH(ROW(Create_TC_Web!$C$1:$C$500),ROW(Create_TC_Web!$C$1:$C$500)),""),ROW(Create_TC_Web!L362))),"")</f>
        <v/>
      </c>
      <c r="L362" t="str" cm="1">
        <f t="array" ref="L362">IFERROR(INDEX(Create_TC_Web!O$1:O$500,SMALL(IF(Create_TC_Web!$C$1:$C$500&lt;&gt;"",MATCH(ROW(Create_TC_Web!$C$1:$C$500),ROW(Create_TC_Web!$C$1:$C$500)),""),ROW(Create_TC_Web!M362))),"")</f>
        <v/>
      </c>
      <c r="M362" t="str" cm="1">
        <f t="array" ref="M362">IFERROR(INDEX(Create_TC_Web!P$1:P$500,SMALL(IF(Create_TC_Web!$C$1:$C$500&lt;&gt;"",MATCH(ROW(Create_TC_Web!$C$1:$C$500),ROW(Create_TC_Web!$C$1:$C$500)),""),ROW(Create_TC_Web!N362))),"")</f>
        <v/>
      </c>
      <c r="N362" t="str" cm="1">
        <f t="array" ref="N362">IFERROR(INDEX(Create_TC_Web!Q$1:Q$500,SMALL(IF(Create_TC_Web!$C$1:$C$500&lt;&gt;"",MATCH(ROW(Create_TC_Web!$C$1:$C$500),ROW(Create_TC_Web!$C$1:$C$500)),""),ROW(Create_TC_Web!O362))),"")</f>
        <v/>
      </c>
      <c r="O362" t="str">
        <f t="shared" si="17"/>
        <v/>
      </c>
      <c r="P362" s="17" t="str" cm="1">
        <f t="array" ref="P362">IFERROR(INDEX(Create_TC_Web!S$1:S$500,SMALL(IF(Create_TC_Web!$C$1:$C$500&lt;&gt;"",MATCH(ROW(Create_TC_Web!$C$1:$C$500),ROW(Create_TC_Web!$C$1:$C$500)),""),ROW(Create_TC_Web!Q340))),"")</f>
        <v/>
      </c>
      <c r="S362" t="str">
        <f t="shared" si="18"/>
        <v/>
      </c>
    </row>
    <row r="363" spans="1:19">
      <c r="A363" t="str" cm="1">
        <f t="array" ref="A363">IFERROR(INDEX(Create_TC_Web!D$1:D$500,SMALL(IF(Create_TC_Web!$C$1:$C$500&lt;&gt;"",MATCH(ROW(Create_TC_Web!$C$1:$C$500),ROW(Create_TC_Web!$C$1:$C$500)),""),ROW(Create_TC_Web!B363))),"")</f>
        <v/>
      </c>
      <c r="B363" t="str" cm="1">
        <f t="array" ref="B363">SUBSTITUTE(SUBSTITUTE(SUBSTITUTE(IFERROR(INDEX(Create_TC_Web!E$1:E$505,SMALL(IF(Create_TC_Web!$C$1:$C$505&lt;&gt;"",MATCH(ROW(Create_TC_Web!$C$1:$C$505),ROW(Create_TC_Web!$C$1:$C$505)),""),ROW(Create_TC_Web!C363))),"")," ",""),"-",""),"_","")</f>
        <v/>
      </c>
      <c r="C363" t="str" cm="1">
        <f t="array" ref="C363">IFERROR(INDEX(Create_TC_Web!F$1:F$500,SMALL(IF(Create_TC_Web!$C$1:$C$500&lt;&gt;"",MATCH(ROW(Create_TC_Web!$C$1:$C$500),ROW(Create_TC_Web!$C$1:$C$500)),""),ROW(Create_TC_Web!D363))),"")</f>
        <v/>
      </c>
      <c r="D363" t="str" cm="1">
        <f t="array" ref="D363">IFERROR(INDEX(Create_TC_Web!G$1:G$500,SMALL(IF(Create_TC_Web!$C$1:$C$500&lt;&gt;"",MATCH(ROW(Create_TC_Web!$C$1:$C$500),ROW(Create_TC_Web!$C$1:$C$500)),""),ROW(Create_TC_Web!E363))),"")</f>
        <v/>
      </c>
      <c r="E363" t="str" cm="1">
        <f t="array" ref="E363">IFERROR(INDEX(Create_TC_Web!H$1:H$500,SMALL(IF(Create_TC_Web!$C$1:$C$500&lt;&gt;"",MATCH(ROW(Create_TC_Web!$C$1:$C$500),ROW(Create_TC_Web!$C$1:$C$500)),""),ROW(Create_TC_Web!F363))),"")</f>
        <v/>
      </c>
      <c r="F363" t="str" cm="1">
        <f t="array" ref="F363">IFERROR(INDEX(Create_TC_Web!I$1:I$500,SMALL(IF(Create_TC_Web!$C$1:$C$500&lt;&gt;"",MATCH(ROW(Create_TC_Web!$C$1:$C$500),ROW(Create_TC_Web!$C$1:$C$500)),""),ROW(Create_TC_Web!G363))),"")</f>
        <v/>
      </c>
      <c r="G363" t="str" cm="1">
        <f t="array" ref="G363">IFERROR(INDEX(Create_TC_Web!J$1:J$500,SMALL(IF(Create_TC_Web!$C$1:$C$500&lt;&gt;"",MATCH(ROW(Create_TC_Web!$C$1:$C$500),ROW(Create_TC_Web!$C$1:$C$500)),""),ROW(Create_TC_Web!H363))),"")</f>
        <v/>
      </c>
      <c r="H363" t="str" cm="1">
        <f t="array" ref="H363">IFERROR(INDEX(Create_TC_Web!K$1:K$500,SMALL(IF(Create_TC_Web!$C$1:$C$500&lt;&gt;"",MATCH(ROW(Create_TC_Web!$C$1:$C$500),ROW(Create_TC_Web!$C$1:$C$500)),""),ROW(Create_TC_Web!I363))),"")</f>
        <v/>
      </c>
      <c r="I363" t="str" cm="1">
        <f t="array" ref="I363">IFERROR(INDEX(Create_TC_Web!L$1:L$500,SMALL(IF(Create_TC_Web!$C$1:$C$500&lt;&gt;"",MATCH(ROW(Create_TC_Web!$C$1:$C$500),ROW(Create_TC_Web!$C$1:$C$500)),""),ROW(Create_TC_Web!J363))),"")</f>
        <v/>
      </c>
      <c r="J363" t="str" cm="1">
        <f t="array" ref="J363">IFERROR(INDEX(Create_TC_Web!M$1:M$500,SMALL(IF(Create_TC_Web!$C$1:$C$500&lt;&gt;"",MATCH(ROW(Create_TC_Web!$C$1:$C$500),ROW(Create_TC_Web!$C$1:$C$500)),""),ROW(Create_TC_Web!K363))),"")</f>
        <v/>
      </c>
      <c r="K363" t="str" cm="1">
        <f t="array" ref="K363">IFERROR(INDEX(Create_TC_Web!N$1:N$500,SMALL(IF(Create_TC_Web!$C$1:$C$500&lt;&gt;"",MATCH(ROW(Create_TC_Web!$C$1:$C$500),ROW(Create_TC_Web!$C$1:$C$500)),""),ROW(Create_TC_Web!L363))),"")</f>
        <v/>
      </c>
      <c r="L363" t="str" cm="1">
        <f t="array" ref="L363">IFERROR(INDEX(Create_TC_Web!O$1:O$500,SMALL(IF(Create_TC_Web!$C$1:$C$500&lt;&gt;"",MATCH(ROW(Create_TC_Web!$C$1:$C$500),ROW(Create_TC_Web!$C$1:$C$500)),""),ROW(Create_TC_Web!M363))),"")</f>
        <v/>
      </c>
      <c r="M363" t="str" cm="1">
        <f t="array" ref="M363">IFERROR(INDEX(Create_TC_Web!P$1:P$500,SMALL(IF(Create_TC_Web!$C$1:$C$500&lt;&gt;"",MATCH(ROW(Create_TC_Web!$C$1:$C$500),ROW(Create_TC_Web!$C$1:$C$500)),""),ROW(Create_TC_Web!N363))),"")</f>
        <v/>
      </c>
      <c r="N363" t="str" cm="1">
        <f t="array" ref="N363">IFERROR(INDEX(Create_TC_Web!Q$1:Q$500,SMALL(IF(Create_TC_Web!$C$1:$C$500&lt;&gt;"",MATCH(ROW(Create_TC_Web!$C$1:$C$500),ROW(Create_TC_Web!$C$1:$C$500)),""),ROW(Create_TC_Web!O363))),"")</f>
        <v/>
      </c>
      <c r="O363" t="str">
        <f t="shared" si="17"/>
        <v/>
      </c>
      <c r="P363" s="17" t="str" cm="1">
        <f t="array" ref="P363">IFERROR(INDEX(Create_TC_Web!S$1:S$500,SMALL(IF(Create_TC_Web!$C$1:$C$500&lt;&gt;"",MATCH(ROW(Create_TC_Web!$C$1:$C$500),ROW(Create_TC_Web!$C$1:$C$500)),""),ROW(Create_TC_Web!Q341))),"")</f>
        <v/>
      </c>
      <c r="S363" t="str">
        <f t="shared" si="18"/>
        <v/>
      </c>
    </row>
    <row r="364" spans="1:19">
      <c r="A364" t="str" cm="1">
        <f t="array" ref="A364">IFERROR(INDEX(Create_TC_Web!D$1:D$500,SMALL(IF(Create_TC_Web!$C$1:$C$500&lt;&gt;"",MATCH(ROW(Create_TC_Web!$C$1:$C$500),ROW(Create_TC_Web!$C$1:$C$500)),""),ROW(Create_TC_Web!B364))),"")</f>
        <v/>
      </c>
      <c r="B364" t="str" cm="1">
        <f t="array" ref="B364">SUBSTITUTE(SUBSTITUTE(SUBSTITUTE(IFERROR(INDEX(Create_TC_Web!E$1:E$505,SMALL(IF(Create_TC_Web!$C$1:$C$505&lt;&gt;"",MATCH(ROW(Create_TC_Web!$C$1:$C$505),ROW(Create_TC_Web!$C$1:$C$505)),""),ROW(Create_TC_Web!C364))),"")," ",""),"-",""),"_","")</f>
        <v/>
      </c>
      <c r="C364" t="str" cm="1">
        <f t="array" ref="C364">IFERROR(INDEX(Create_TC_Web!F$1:F$500,SMALL(IF(Create_TC_Web!$C$1:$C$500&lt;&gt;"",MATCH(ROW(Create_TC_Web!$C$1:$C$500),ROW(Create_TC_Web!$C$1:$C$500)),""),ROW(Create_TC_Web!D364))),"")</f>
        <v/>
      </c>
      <c r="D364" t="str" cm="1">
        <f t="array" ref="D364">IFERROR(INDEX(Create_TC_Web!G$1:G$500,SMALL(IF(Create_TC_Web!$C$1:$C$500&lt;&gt;"",MATCH(ROW(Create_TC_Web!$C$1:$C$500),ROW(Create_TC_Web!$C$1:$C$500)),""),ROW(Create_TC_Web!E364))),"")</f>
        <v/>
      </c>
      <c r="E364" t="str" cm="1">
        <f t="array" ref="E364">IFERROR(INDEX(Create_TC_Web!H$1:H$500,SMALL(IF(Create_TC_Web!$C$1:$C$500&lt;&gt;"",MATCH(ROW(Create_TC_Web!$C$1:$C$500),ROW(Create_TC_Web!$C$1:$C$500)),""),ROW(Create_TC_Web!F364))),"")</f>
        <v/>
      </c>
      <c r="F364" t="str" cm="1">
        <f t="array" ref="F364">IFERROR(INDEX(Create_TC_Web!I$1:I$500,SMALL(IF(Create_TC_Web!$C$1:$C$500&lt;&gt;"",MATCH(ROW(Create_TC_Web!$C$1:$C$500),ROW(Create_TC_Web!$C$1:$C$500)),""),ROW(Create_TC_Web!G364))),"")</f>
        <v/>
      </c>
      <c r="G364" t="str" cm="1">
        <f t="array" ref="G364">IFERROR(INDEX(Create_TC_Web!J$1:J$500,SMALL(IF(Create_TC_Web!$C$1:$C$500&lt;&gt;"",MATCH(ROW(Create_TC_Web!$C$1:$C$500),ROW(Create_TC_Web!$C$1:$C$500)),""),ROW(Create_TC_Web!H364))),"")</f>
        <v/>
      </c>
      <c r="H364" t="str" cm="1">
        <f t="array" ref="H364">IFERROR(INDEX(Create_TC_Web!K$1:K$500,SMALL(IF(Create_TC_Web!$C$1:$C$500&lt;&gt;"",MATCH(ROW(Create_TC_Web!$C$1:$C$500),ROW(Create_TC_Web!$C$1:$C$500)),""),ROW(Create_TC_Web!I364))),"")</f>
        <v/>
      </c>
      <c r="I364" t="str" cm="1">
        <f t="array" ref="I364">IFERROR(INDEX(Create_TC_Web!L$1:L$500,SMALL(IF(Create_TC_Web!$C$1:$C$500&lt;&gt;"",MATCH(ROW(Create_TC_Web!$C$1:$C$500),ROW(Create_TC_Web!$C$1:$C$500)),""),ROW(Create_TC_Web!J364))),"")</f>
        <v/>
      </c>
      <c r="J364" t="str" cm="1">
        <f t="array" ref="J364">IFERROR(INDEX(Create_TC_Web!M$1:M$500,SMALL(IF(Create_TC_Web!$C$1:$C$500&lt;&gt;"",MATCH(ROW(Create_TC_Web!$C$1:$C$500),ROW(Create_TC_Web!$C$1:$C$500)),""),ROW(Create_TC_Web!K364))),"")</f>
        <v/>
      </c>
      <c r="K364" t="str" cm="1">
        <f t="array" ref="K364">IFERROR(INDEX(Create_TC_Web!N$1:N$500,SMALL(IF(Create_TC_Web!$C$1:$C$500&lt;&gt;"",MATCH(ROW(Create_TC_Web!$C$1:$C$500),ROW(Create_TC_Web!$C$1:$C$500)),""),ROW(Create_TC_Web!L364))),"")</f>
        <v/>
      </c>
      <c r="L364" t="str" cm="1">
        <f t="array" ref="L364">IFERROR(INDEX(Create_TC_Web!O$1:O$500,SMALL(IF(Create_TC_Web!$C$1:$C$500&lt;&gt;"",MATCH(ROW(Create_TC_Web!$C$1:$C$500),ROW(Create_TC_Web!$C$1:$C$500)),""),ROW(Create_TC_Web!M364))),"")</f>
        <v/>
      </c>
      <c r="M364" t="str" cm="1">
        <f t="array" ref="M364">IFERROR(INDEX(Create_TC_Web!P$1:P$500,SMALL(IF(Create_TC_Web!$C$1:$C$500&lt;&gt;"",MATCH(ROW(Create_TC_Web!$C$1:$C$500),ROW(Create_TC_Web!$C$1:$C$500)),""),ROW(Create_TC_Web!N364))),"")</f>
        <v/>
      </c>
      <c r="N364" t="str" cm="1">
        <f t="array" ref="N364">IFERROR(INDEX(Create_TC_Web!Q$1:Q$500,SMALL(IF(Create_TC_Web!$C$1:$C$500&lt;&gt;"",MATCH(ROW(Create_TC_Web!$C$1:$C$500),ROW(Create_TC_Web!$C$1:$C$500)),""),ROW(Create_TC_Web!O364))),"")</f>
        <v/>
      </c>
      <c r="O364" t="str">
        <f t="shared" si="17"/>
        <v/>
      </c>
      <c r="P364" s="17" t="str" cm="1">
        <f t="array" ref="P364">IFERROR(INDEX(Create_TC_Web!S$1:S$500,SMALL(IF(Create_TC_Web!$C$1:$C$500&lt;&gt;"",MATCH(ROW(Create_TC_Web!$C$1:$C$500),ROW(Create_TC_Web!$C$1:$C$500)),""),ROW(Create_TC_Web!Q342))),"")</f>
        <v/>
      </c>
      <c r="S364" t="str">
        <f t="shared" si="18"/>
        <v/>
      </c>
    </row>
    <row r="365" spans="1:19">
      <c r="A365" t="str" cm="1">
        <f t="array" ref="A365">IFERROR(INDEX(Create_TC_Web!D$1:D$500,SMALL(IF(Create_TC_Web!$C$1:$C$500&lt;&gt;"",MATCH(ROW(Create_TC_Web!$C$1:$C$500),ROW(Create_TC_Web!$C$1:$C$500)),""),ROW(Create_TC_Web!B365))),"")</f>
        <v/>
      </c>
      <c r="B365" t="str" cm="1">
        <f t="array" ref="B365">SUBSTITUTE(SUBSTITUTE(SUBSTITUTE(IFERROR(INDEX(Create_TC_Web!E$1:E$505,SMALL(IF(Create_TC_Web!$C$1:$C$505&lt;&gt;"",MATCH(ROW(Create_TC_Web!$C$1:$C$505),ROW(Create_TC_Web!$C$1:$C$505)),""),ROW(Create_TC_Web!C365))),"")," ",""),"-",""),"_","")</f>
        <v/>
      </c>
      <c r="C365" t="str" cm="1">
        <f t="array" ref="C365">IFERROR(INDEX(Create_TC_Web!F$1:F$500,SMALL(IF(Create_TC_Web!$C$1:$C$500&lt;&gt;"",MATCH(ROW(Create_TC_Web!$C$1:$C$500),ROW(Create_TC_Web!$C$1:$C$500)),""),ROW(Create_TC_Web!D365))),"")</f>
        <v/>
      </c>
      <c r="D365" t="str" cm="1">
        <f t="array" ref="D365">IFERROR(INDEX(Create_TC_Web!G$1:G$500,SMALL(IF(Create_TC_Web!$C$1:$C$500&lt;&gt;"",MATCH(ROW(Create_TC_Web!$C$1:$C$500),ROW(Create_TC_Web!$C$1:$C$500)),""),ROW(Create_TC_Web!E365))),"")</f>
        <v/>
      </c>
      <c r="E365" t="str" cm="1">
        <f t="array" ref="E365">IFERROR(INDEX(Create_TC_Web!H$1:H$500,SMALL(IF(Create_TC_Web!$C$1:$C$500&lt;&gt;"",MATCH(ROW(Create_TC_Web!$C$1:$C$500),ROW(Create_TC_Web!$C$1:$C$500)),""),ROW(Create_TC_Web!F365))),"")</f>
        <v/>
      </c>
      <c r="F365" t="str" cm="1">
        <f t="array" ref="F365">IFERROR(INDEX(Create_TC_Web!I$1:I$500,SMALL(IF(Create_TC_Web!$C$1:$C$500&lt;&gt;"",MATCH(ROW(Create_TC_Web!$C$1:$C$500),ROW(Create_TC_Web!$C$1:$C$500)),""),ROW(Create_TC_Web!G365))),"")</f>
        <v/>
      </c>
      <c r="G365" t="str" cm="1">
        <f t="array" ref="G365">IFERROR(INDEX(Create_TC_Web!J$1:J$500,SMALL(IF(Create_TC_Web!$C$1:$C$500&lt;&gt;"",MATCH(ROW(Create_TC_Web!$C$1:$C$500),ROW(Create_TC_Web!$C$1:$C$500)),""),ROW(Create_TC_Web!H365))),"")</f>
        <v/>
      </c>
      <c r="H365" t="str" cm="1">
        <f t="array" ref="H365">IFERROR(INDEX(Create_TC_Web!K$1:K$500,SMALL(IF(Create_TC_Web!$C$1:$C$500&lt;&gt;"",MATCH(ROW(Create_TC_Web!$C$1:$C$500),ROW(Create_TC_Web!$C$1:$C$500)),""),ROW(Create_TC_Web!I365))),"")</f>
        <v/>
      </c>
      <c r="I365" t="str" cm="1">
        <f t="array" ref="I365">IFERROR(INDEX(Create_TC_Web!L$1:L$500,SMALL(IF(Create_TC_Web!$C$1:$C$500&lt;&gt;"",MATCH(ROW(Create_TC_Web!$C$1:$C$500),ROW(Create_TC_Web!$C$1:$C$500)),""),ROW(Create_TC_Web!J365))),"")</f>
        <v/>
      </c>
      <c r="J365" t="str" cm="1">
        <f t="array" ref="J365">IFERROR(INDEX(Create_TC_Web!M$1:M$500,SMALL(IF(Create_TC_Web!$C$1:$C$500&lt;&gt;"",MATCH(ROW(Create_TC_Web!$C$1:$C$500),ROW(Create_TC_Web!$C$1:$C$500)),""),ROW(Create_TC_Web!K365))),"")</f>
        <v/>
      </c>
      <c r="K365" t="str" cm="1">
        <f t="array" ref="K365">IFERROR(INDEX(Create_TC_Web!N$1:N$500,SMALL(IF(Create_TC_Web!$C$1:$C$500&lt;&gt;"",MATCH(ROW(Create_TC_Web!$C$1:$C$500),ROW(Create_TC_Web!$C$1:$C$500)),""),ROW(Create_TC_Web!L365))),"")</f>
        <v/>
      </c>
      <c r="L365" t="str" cm="1">
        <f t="array" ref="L365">IFERROR(INDEX(Create_TC_Web!O$1:O$500,SMALL(IF(Create_TC_Web!$C$1:$C$500&lt;&gt;"",MATCH(ROW(Create_TC_Web!$C$1:$C$500),ROW(Create_TC_Web!$C$1:$C$500)),""),ROW(Create_TC_Web!M365))),"")</f>
        <v/>
      </c>
      <c r="M365" t="str" cm="1">
        <f t="array" ref="M365">IFERROR(INDEX(Create_TC_Web!P$1:P$500,SMALL(IF(Create_TC_Web!$C$1:$C$500&lt;&gt;"",MATCH(ROW(Create_TC_Web!$C$1:$C$500),ROW(Create_TC_Web!$C$1:$C$500)),""),ROW(Create_TC_Web!N365))),"")</f>
        <v/>
      </c>
      <c r="N365" t="str" cm="1">
        <f t="array" ref="N365">IFERROR(INDEX(Create_TC_Web!Q$1:Q$500,SMALL(IF(Create_TC_Web!$C$1:$C$500&lt;&gt;"",MATCH(ROW(Create_TC_Web!$C$1:$C$500),ROW(Create_TC_Web!$C$1:$C$500)),""),ROW(Create_TC_Web!O365))),"")</f>
        <v/>
      </c>
      <c r="O365" t="str">
        <f t="shared" si="17"/>
        <v/>
      </c>
      <c r="P365" s="17" t="str" cm="1">
        <f t="array" ref="P365">IFERROR(INDEX(Create_TC_Web!S$1:S$500,SMALL(IF(Create_TC_Web!$C$1:$C$500&lt;&gt;"",MATCH(ROW(Create_TC_Web!$C$1:$C$500),ROW(Create_TC_Web!$C$1:$C$500)),""),ROW(Create_TC_Web!Q343))),"")</f>
        <v/>
      </c>
      <c r="S365" t="str">
        <f t="shared" si="18"/>
        <v/>
      </c>
    </row>
    <row r="366" spans="1:19">
      <c r="A366" t="str" cm="1">
        <f t="array" ref="A366">IFERROR(INDEX(Create_TC_Web!D$1:D$500,SMALL(IF(Create_TC_Web!$C$1:$C$500&lt;&gt;"",MATCH(ROW(Create_TC_Web!$C$1:$C$500),ROW(Create_TC_Web!$C$1:$C$500)),""),ROW(Create_TC_Web!B366))),"")</f>
        <v/>
      </c>
      <c r="B366" t="str" cm="1">
        <f t="array" ref="B366">SUBSTITUTE(SUBSTITUTE(SUBSTITUTE(IFERROR(INDEX(Create_TC_Web!E$1:E$505,SMALL(IF(Create_TC_Web!$C$1:$C$505&lt;&gt;"",MATCH(ROW(Create_TC_Web!$C$1:$C$505),ROW(Create_TC_Web!$C$1:$C$505)),""),ROW(Create_TC_Web!C366))),"")," ",""),"-",""),"_","")</f>
        <v/>
      </c>
      <c r="C366" t="str" cm="1">
        <f t="array" ref="C366">IFERROR(INDEX(Create_TC_Web!F$1:F$500,SMALL(IF(Create_TC_Web!$C$1:$C$500&lt;&gt;"",MATCH(ROW(Create_TC_Web!$C$1:$C$500),ROW(Create_TC_Web!$C$1:$C$500)),""),ROW(Create_TC_Web!D366))),"")</f>
        <v/>
      </c>
      <c r="D366" t="str" cm="1">
        <f t="array" ref="D366">IFERROR(INDEX(Create_TC_Web!G$1:G$500,SMALL(IF(Create_TC_Web!$C$1:$C$500&lt;&gt;"",MATCH(ROW(Create_TC_Web!$C$1:$C$500),ROW(Create_TC_Web!$C$1:$C$500)),""),ROW(Create_TC_Web!E366))),"")</f>
        <v/>
      </c>
      <c r="E366" t="str" cm="1">
        <f t="array" ref="E366">IFERROR(INDEX(Create_TC_Web!H$1:H$500,SMALL(IF(Create_TC_Web!$C$1:$C$500&lt;&gt;"",MATCH(ROW(Create_TC_Web!$C$1:$C$500),ROW(Create_TC_Web!$C$1:$C$500)),""),ROW(Create_TC_Web!F366))),"")</f>
        <v/>
      </c>
      <c r="F366" t="str" cm="1">
        <f t="array" ref="F366">IFERROR(INDEX(Create_TC_Web!I$1:I$500,SMALL(IF(Create_TC_Web!$C$1:$C$500&lt;&gt;"",MATCH(ROW(Create_TC_Web!$C$1:$C$500),ROW(Create_TC_Web!$C$1:$C$500)),""),ROW(Create_TC_Web!G366))),"")</f>
        <v/>
      </c>
      <c r="G366" t="str" cm="1">
        <f t="array" ref="G366">IFERROR(INDEX(Create_TC_Web!J$1:J$500,SMALL(IF(Create_TC_Web!$C$1:$C$500&lt;&gt;"",MATCH(ROW(Create_TC_Web!$C$1:$C$500),ROW(Create_TC_Web!$C$1:$C$500)),""),ROW(Create_TC_Web!H366))),"")</f>
        <v/>
      </c>
      <c r="H366" t="str" cm="1">
        <f t="array" ref="H366">IFERROR(INDEX(Create_TC_Web!K$1:K$500,SMALL(IF(Create_TC_Web!$C$1:$C$500&lt;&gt;"",MATCH(ROW(Create_TC_Web!$C$1:$C$500),ROW(Create_TC_Web!$C$1:$C$500)),""),ROW(Create_TC_Web!I366))),"")</f>
        <v/>
      </c>
      <c r="I366" t="str" cm="1">
        <f t="array" ref="I366">IFERROR(INDEX(Create_TC_Web!L$1:L$500,SMALL(IF(Create_TC_Web!$C$1:$C$500&lt;&gt;"",MATCH(ROW(Create_TC_Web!$C$1:$C$500),ROW(Create_TC_Web!$C$1:$C$500)),""),ROW(Create_TC_Web!J366))),"")</f>
        <v/>
      </c>
      <c r="J366" t="str" cm="1">
        <f t="array" ref="J366">IFERROR(INDEX(Create_TC_Web!M$1:M$500,SMALL(IF(Create_TC_Web!$C$1:$C$500&lt;&gt;"",MATCH(ROW(Create_TC_Web!$C$1:$C$500),ROW(Create_TC_Web!$C$1:$C$500)),""),ROW(Create_TC_Web!K366))),"")</f>
        <v/>
      </c>
      <c r="K366" t="str" cm="1">
        <f t="array" ref="K366">IFERROR(INDEX(Create_TC_Web!N$1:N$500,SMALL(IF(Create_TC_Web!$C$1:$C$500&lt;&gt;"",MATCH(ROW(Create_TC_Web!$C$1:$C$500),ROW(Create_TC_Web!$C$1:$C$500)),""),ROW(Create_TC_Web!L366))),"")</f>
        <v/>
      </c>
      <c r="L366" t="str" cm="1">
        <f t="array" ref="L366">IFERROR(INDEX(Create_TC_Web!O$1:O$500,SMALL(IF(Create_TC_Web!$C$1:$C$500&lt;&gt;"",MATCH(ROW(Create_TC_Web!$C$1:$C$500),ROW(Create_TC_Web!$C$1:$C$500)),""),ROW(Create_TC_Web!M366))),"")</f>
        <v/>
      </c>
      <c r="M366" t="str" cm="1">
        <f t="array" ref="M366">IFERROR(INDEX(Create_TC_Web!P$1:P$500,SMALL(IF(Create_TC_Web!$C$1:$C$500&lt;&gt;"",MATCH(ROW(Create_TC_Web!$C$1:$C$500),ROW(Create_TC_Web!$C$1:$C$500)),""),ROW(Create_TC_Web!N366))),"")</f>
        <v/>
      </c>
      <c r="N366" t="str" cm="1">
        <f t="array" ref="N366">IFERROR(INDEX(Create_TC_Web!Q$1:Q$500,SMALL(IF(Create_TC_Web!$C$1:$C$500&lt;&gt;"",MATCH(ROW(Create_TC_Web!$C$1:$C$500),ROW(Create_TC_Web!$C$1:$C$500)),""),ROW(Create_TC_Web!O366))),"")</f>
        <v/>
      </c>
      <c r="O366" t="str">
        <f t="shared" si="17"/>
        <v/>
      </c>
      <c r="P366" s="17" t="str" cm="1">
        <f t="array" ref="P366">IFERROR(INDEX(Create_TC_Web!S$1:S$500,SMALL(IF(Create_TC_Web!$C$1:$C$500&lt;&gt;"",MATCH(ROW(Create_TC_Web!$C$1:$C$500),ROW(Create_TC_Web!$C$1:$C$500)),""),ROW(Create_TC_Web!Q344))),"")</f>
        <v/>
      </c>
      <c r="S366" t="str">
        <f t="shared" si="18"/>
        <v/>
      </c>
    </row>
    <row r="367" spans="1:19">
      <c r="A367" t="str" cm="1">
        <f t="array" ref="A367">IFERROR(INDEX(Create_TC_Web!D$1:D$500,SMALL(IF(Create_TC_Web!$C$1:$C$500&lt;&gt;"",MATCH(ROW(Create_TC_Web!$C$1:$C$500),ROW(Create_TC_Web!$C$1:$C$500)),""),ROW(Create_TC_Web!B367))),"")</f>
        <v/>
      </c>
      <c r="B367" t="str" cm="1">
        <f t="array" ref="B367">SUBSTITUTE(SUBSTITUTE(SUBSTITUTE(IFERROR(INDEX(Create_TC_Web!E$1:E$505,SMALL(IF(Create_TC_Web!$C$1:$C$505&lt;&gt;"",MATCH(ROW(Create_TC_Web!$C$1:$C$505),ROW(Create_TC_Web!$C$1:$C$505)),""),ROW(Create_TC_Web!C367))),"")," ",""),"-",""),"_","")</f>
        <v/>
      </c>
      <c r="C367" t="str" cm="1">
        <f t="array" ref="C367">IFERROR(INDEX(Create_TC_Web!F$1:F$500,SMALL(IF(Create_TC_Web!$C$1:$C$500&lt;&gt;"",MATCH(ROW(Create_TC_Web!$C$1:$C$500),ROW(Create_TC_Web!$C$1:$C$500)),""),ROW(Create_TC_Web!D367))),"")</f>
        <v/>
      </c>
      <c r="D367" t="str" cm="1">
        <f t="array" ref="D367">IFERROR(INDEX(Create_TC_Web!G$1:G$500,SMALL(IF(Create_TC_Web!$C$1:$C$500&lt;&gt;"",MATCH(ROW(Create_TC_Web!$C$1:$C$500),ROW(Create_TC_Web!$C$1:$C$500)),""),ROW(Create_TC_Web!E367))),"")</f>
        <v/>
      </c>
      <c r="E367" t="str" cm="1">
        <f t="array" ref="E367">IFERROR(INDEX(Create_TC_Web!H$1:H$500,SMALL(IF(Create_TC_Web!$C$1:$C$500&lt;&gt;"",MATCH(ROW(Create_TC_Web!$C$1:$C$500),ROW(Create_TC_Web!$C$1:$C$500)),""),ROW(Create_TC_Web!F367))),"")</f>
        <v/>
      </c>
      <c r="F367" t="str" cm="1">
        <f t="array" ref="F367">IFERROR(INDEX(Create_TC_Web!I$1:I$500,SMALL(IF(Create_TC_Web!$C$1:$C$500&lt;&gt;"",MATCH(ROW(Create_TC_Web!$C$1:$C$500),ROW(Create_TC_Web!$C$1:$C$500)),""),ROW(Create_TC_Web!G367))),"")</f>
        <v/>
      </c>
      <c r="G367" t="str" cm="1">
        <f t="array" ref="G367">IFERROR(INDEX(Create_TC_Web!J$1:J$500,SMALL(IF(Create_TC_Web!$C$1:$C$500&lt;&gt;"",MATCH(ROW(Create_TC_Web!$C$1:$C$500),ROW(Create_TC_Web!$C$1:$C$500)),""),ROW(Create_TC_Web!H367))),"")</f>
        <v/>
      </c>
      <c r="H367" t="str" cm="1">
        <f t="array" ref="H367">IFERROR(INDEX(Create_TC_Web!K$1:K$500,SMALL(IF(Create_TC_Web!$C$1:$C$500&lt;&gt;"",MATCH(ROW(Create_TC_Web!$C$1:$C$500),ROW(Create_TC_Web!$C$1:$C$500)),""),ROW(Create_TC_Web!I367))),"")</f>
        <v/>
      </c>
      <c r="I367" t="str" cm="1">
        <f t="array" ref="I367">IFERROR(INDEX(Create_TC_Web!L$1:L$500,SMALL(IF(Create_TC_Web!$C$1:$C$500&lt;&gt;"",MATCH(ROW(Create_TC_Web!$C$1:$C$500),ROW(Create_TC_Web!$C$1:$C$500)),""),ROW(Create_TC_Web!J367))),"")</f>
        <v/>
      </c>
      <c r="J367" t="str" cm="1">
        <f t="array" ref="J367">IFERROR(INDEX(Create_TC_Web!M$1:M$500,SMALL(IF(Create_TC_Web!$C$1:$C$500&lt;&gt;"",MATCH(ROW(Create_TC_Web!$C$1:$C$500),ROW(Create_TC_Web!$C$1:$C$500)),""),ROW(Create_TC_Web!K367))),"")</f>
        <v/>
      </c>
      <c r="K367" t="str" cm="1">
        <f t="array" ref="K367">IFERROR(INDEX(Create_TC_Web!N$1:N$500,SMALL(IF(Create_TC_Web!$C$1:$C$500&lt;&gt;"",MATCH(ROW(Create_TC_Web!$C$1:$C$500),ROW(Create_TC_Web!$C$1:$C$500)),""),ROW(Create_TC_Web!L367))),"")</f>
        <v/>
      </c>
      <c r="L367" t="str" cm="1">
        <f t="array" ref="L367">IFERROR(INDEX(Create_TC_Web!O$1:O$500,SMALL(IF(Create_TC_Web!$C$1:$C$500&lt;&gt;"",MATCH(ROW(Create_TC_Web!$C$1:$C$500),ROW(Create_TC_Web!$C$1:$C$500)),""),ROW(Create_TC_Web!M367))),"")</f>
        <v/>
      </c>
      <c r="M367" t="str" cm="1">
        <f t="array" ref="M367">IFERROR(INDEX(Create_TC_Web!P$1:P$500,SMALL(IF(Create_TC_Web!$C$1:$C$500&lt;&gt;"",MATCH(ROW(Create_TC_Web!$C$1:$C$500),ROW(Create_TC_Web!$C$1:$C$500)),""),ROW(Create_TC_Web!N367))),"")</f>
        <v/>
      </c>
      <c r="N367" t="str" cm="1">
        <f t="array" ref="N367">IFERROR(INDEX(Create_TC_Web!Q$1:Q$500,SMALL(IF(Create_TC_Web!$C$1:$C$500&lt;&gt;"",MATCH(ROW(Create_TC_Web!$C$1:$C$500),ROW(Create_TC_Web!$C$1:$C$500)),""),ROW(Create_TC_Web!O367))),"")</f>
        <v/>
      </c>
      <c r="O367" t="str">
        <f t="shared" si="17"/>
        <v/>
      </c>
      <c r="P367" s="17" t="str" cm="1">
        <f t="array" ref="P367">IFERROR(INDEX(Create_TC_Web!S$1:S$500,SMALL(IF(Create_TC_Web!$C$1:$C$500&lt;&gt;"",MATCH(ROW(Create_TC_Web!$C$1:$C$500),ROW(Create_TC_Web!$C$1:$C$500)),""),ROW(Create_TC_Web!Q345))),"")</f>
        <v/>
      </c>
      <c r="S367" t="str">
        <f t="shared" si="18"/>
        <v/>
      </c>
    </row>
    <row r="368" spans="1:19">
      <c r="A368" t="str" cm="1">
        <f t="array" ref="A368">IFERROR(INDEX(Create_TC_Web!D$1:D$500,SMALL(IF(Create_TC_Web!$C$1:$C$500&lt;&gt;"",MATCH(ROW(Create_TC_Web!$C$1:$C$500),ROW(Create_TC_Web!$C$1:$C$500)),""),ROW(Create_TC_Web!B368))),"")</f>
        <v/>
      </c>
      <c r="B368" t="str" cm="1">
        <f t="array" ref="B368">SUBSTITUTE(SUBSTITUTE(SUBSTITUTE(IFERROR(INDEX(Create_TC_Web!E$1:E$505,SMALL(IF(Create_TC_Web!$C$1:$C$505&lt;&gt;"",MATCH(ROW(Create_TC_Web!$C$1:$C$505),ROW(Create_TC_Web!$C$1:$C$505)),""),ROW(Create_TC_Web!C368))),"")," ",""),"-",""),"_","")</f>
        <v/>
      </c>
      <c r="C368" t="str" cm="1">
        <f t="array" ref="C368">IFERROR(INDEX(Create_TC_Web!F$1:F$500,SMALL(IF(Create_TC_Web!$C$1:$C$500&lt;&gt;"",MATCH(ROW(Create_TC_Web!$C$1:$C$500),ROW(Create_TC_Web!$C$1:$C$500)),""),ROW(Create_TC_Web!D368))),"")</f>
        <v/>
      </c>
      <c r="D368" t="str" cm="1">
        <f t="array" ref="D368">IFERROR(INDEX(Create_TC_Web!G$1:G$500,SMALL(IF(Create_TC_Web!$C$1:$C$500&lt;&gt;"",MATCH(ROW(Create_TC_Web!$C$1:$C$500),ROW(Create_TC_Web!$C$1:$C$500)),""),ROW(Create_TC_Web!E368))),"")</f>
        <v/>
      </c>
      <c r="E368" t="str" cm="1">
        <f t="array" ref="E368">IFERROR(INDEX(Create_TC_Web!H$1:H$500,SMALL(IF(Create_TC_Web!$C$1:$C$500&lt;&gt;"",MATCH(ROW(Create_TC_Web!$C$1:$C$500),ROW(Create_TC_Web!$C$1:$C$500)),""),ROW(Create_TC_Web!F368))),"")</f>
        <v/>
      </c>
      <c r="F368" t="str" cm="1">
        <f t="array" ref="F368">IFERROR(INDEX(Create_TC_Web!I$1:I$500,SMALL(IF(Create_TC_Web!$C$1:$C$500&lt;&gt;"",MATCH(ROW(Create_TC_Web!$C$1:$C$500),ROW(Create_TC_Web!$C$1:$C$500)),""),ROW(Create_TC_Web!G368))),"")</f>
        <v/>
      </c>
      <c r="G368" t="str" cm="1">
        <f t="array" ref="G368">IFERROR(INDEX(Create_TC_Web!J$1:J$500,SMALL(IF(Create_TC_Web!$C$1:$C$500&lt;&gt;"",MATCH(ROW(Create_TC_Web!$C$1:$C$500),ROW(Create_TC_Web!$C$1:$C$500)),""),ROW(Create_TC_Web!H368))),"")</f>
        <v/>
      </c>
      <c r="H368" t="str" cm="1">
        <f t="array" ref="H368">IFERROR(INDEX(Create_TC_Web!K$1:K$500,SMALL(IF(Create_TC_Web!$C$1:$C$500&lt;&gt;"",MATCH(ROW(Create_TC_Web!$C$1:$C$500),ROW(Create_TC_Web!$C$1:$C$500)),""),ROW(Create_TC_Web!I368))),"")</f>
        <v/>
      </c>
      <c r="I368" t="str" cm="1">
        <f t="array" ref="I368">IFERROR(INDEX(Create_TC_Web!L$1:L$500,SMALL(IF(Create_TC_Web!$C$1:$C$500&lt;&gt;"",MATCH(ROW(Create_TC_Web!$C$1:$C$500),ROW(Create_TC_Web!$C$1:$C$500)),""),ROW(Create_TC_Web!J368))),"")</f>
        <v/>
      </c>
      <c r="J368" t="str" cm="1">
        <f t="array" ref="J368">IFERROR(INDEX(Create_TC_Web!M$1:M$500,SMALL(IF(Create_TC_Web!$C$1:$C$500&lt;&gt;"",MATCH(ROW(Create_TC_Web!$C$1:$C$500),ROW(Create_TC_Web!$C$1:$C$500)),""),ROW(Create_TC_Web!K368))),"")</f>
        <v/>
      </c>
      <c r="K368" t="str" cm="1">
        <f t="array" ref="K368">IFERROR(INDEX(Create_TC_Web!N$1:N$500,SMALL(IF(Create_TC_Web!$C$1:$C$500&lt;&gt;"",MATCH(ROW(Create_TC_Web!$C$1:$C$500),ROW(Create_TC_Web!$C$1:$C$500)),""),ROW(Create_TC_Web!L368))),"")</f>
        <v/>
      </c>
      <c r="L368" t="str" cm="1">
        <f t="array" ref="L368">IFERROR(INDEX(Create_TC_Web!O$1:O$500,SMALL(IF(Create_TC_Web!$C$1:$C$500&lt;&gt;"",MATCH(ROW(Create_TC_Web!$C$1:$C$500),ROW(Create_TC_Web!$C$1:$C$500)),""),ROW(Create_TC_Web!M368))),"")</f>
        <v/>
      </c>
      <c r="M368" t="str" cm="1">
        <f t="array" ref="M368">IFERROR(INDEX(Create_TC_Web!P$1:P$500,SMALL(IF(Create_TC_Web!$C$1:$C$500&lt;&gt;"",MATCH(ROW(Create_TC_Web!$C$1:$C$500),ROW(Create_TC_Web!$C$1:$C$500)),""),ROW(Create_TC_Web!N368))),"")</f>
        <v/>
      </c>
      <c r="N368" t="str" cm="1">
        <f t="array" ref="N368">IFERROR(INDEX(Create_TC_Web!Q$1:Q$500,SMALL(IF(Create_TC_Web!$C$1:$C$500&lt;&gt;"",MATCH(ROW(Create_TC_Web!$C$1:$C$500),ROW(Create_TC_Web!$C$1:$C$500)),""),ROW(Create_TC_Web!O368))),"")</f>
        <v/>
      </c>
      <c r="O368" t="str">
        <f t="shared" si="17"/>
        <v/>
      </c>
      <c r="P368" s="17" t="str" cm="1">
        <f t="array" ref="P368">IFERROR(INDEX(Create_TC_Web!S$1:S$500,SMALL(IF(Create_TC_Web!$C$1:$C$500&lt;&gt;"",MATCH(ROW(Create_TC_Web!$C$1:$C$500),ROW(Create_TC_Web!$C$1:$C$500)),""),ROW(Create_TC_Web!Q346))),"")</f>
        <v/>
      </c>
      <c r="S368" t="str">
        <f t="shared" si="18"/>
        <v/>
      </c>
    </row>
    <row r="369" spans="1:19">
      <c r="A369" t="str" cm="1">
        <f t="array" ref="A369">IFERROR(INDEX(Create_TC_Web!D$1:D$500,SMALL(IF(Create_TC_Web!$C$1:$C$500&lt;&gt;"",MATCH(ROW(Create_TC_Web!$C$1:$C$500),ROW(Create_TC_Web!$C$1:$C$500)),""),ROW(Create_TC_Web!B369))),"")</f>
        <v/>
      </c>
      <c r="B369" t="str" cm="1">
        <f t="array" ref="B369">SUBSTITUTE(SUBSTITUTE(SUBSTITUTE(IFERROR(INDEX(Create_TC_Web!E$1:E$505,SMALL(IF(Create_TC_Web!$C$1:$C$505&lt;&gt;"",MATCH(ROW(Create_TC_Web!$C$1:$C$505),ROW(Create_TC_Web!$C$1:$C$505)),""),ROW(Create_TC_Web!C369))),"")," ",""),"-",""),"_","")</f>
        <v/>
      </c>
      <c r="C369" t="str" cm="1">
        <f t="array" ref="C369">IFERROR(INDEX(Create_TC_Web!F$1:F$500,SMALL(IF(Create_TC_Web!$C$1:$C$500&lt;&gt;"",MATCH(ROW(Create_TC_Web!$C$1:$C$500),ROW(Create_TC_Web!$C$1:$C$500)),""),ROW(Create_TC_Web!D369))),"")</f>
        <v/>
      </c>
      <c r="D369" t="str" cm="1">
        <f t="array" ref="D369">IFERROR(INDEX(Create_TC_Web!G$1:G$500,SMALL(IF(Create_TC_Web!$C$1:$C$500&lt;&gt;"",MATCH(ROW(Create_TC_Web!$C$1:$C$500),ROW(Create_TC_Web!$C$1:$C$500)),""),ROW(Create_TC_Web!E369))),"")</f>
        <v/>
      </c>
      <c r="E369" t="str" cm="1">
        <f t="array" ref="E369">IFERROR(INDEX(Create_TC_Web!H$1:H$500,SMALL(IF(Create_TC_Web!$C$1:$C$500&lt;&gt;"",MATCH(ROW(Create_TC_Web!$C$1:$C$500),ROW(Create_TC_Web!$C$1:$C$500)),""),ROW(Create_TC_Web!F369))),"")</f>
        <v/>
      </c>
      <c r="F369" t="str" cm="1">
        <f t="array" ref="F369">IFERROR(INDEX(Create_TC_Web!I$1:I$500,SMALL(IF(Create_TC_Web!$C$1:$C$500&lt;&gt;"",MATCH(ROW(Create_TC_Web!$C$1:$C$500),ROW(Create_TC_Web!$C$1:$C$500)),""),ROW(Create_TC_Web!G369))),"")</f>
        <v/>
      </c>
      <c r="G369" t="str" cm="1">
        <f t="array" ref="G369">IFERROR(INDEX(Create_TC_Web!J$1:J$500,SMALL(IF(Create_TC_Web!$C$1:$C$500&lt;&gt;"",MATCH(ROW(Create_TC_Web!$C$1:$C$500),ROW(Create_TC_Web!$C$1:$C$500)),""),ROW(Create_TC_Web!H369))),"")</f>
        <v/>
      </c>
      <c r="H369" t="str" cm="1">
        <f t="array" ref="H369">IFERROR(INDEX(Create_TC_Web!K$1:K$500,SMALL(IF(Create_TC_Web!$C$1:$C$500&lt;&gt;"",MATCH(ROW(Create_TC_Web!$C$1:$C$500),ROW(Create_TC_Web!$C$1:$C$500)),""),ROW(Create_TC_Web!I369))),"")</f>
        <v/>
      </c>
      <c r="I369" t="str" cm="1">
        <f t="array" ref="I369">IFERROR(INDEX(Create_TC_Web!L$1:L$500,SMALL(IF(Create_TC_Web!$C$1:$C$500&lt;&gt;"",MATCH(ROW(Create_TC_Web!$C$1:$C$500),ROW(Create_TC_Web!$C$1:$C$500)),""),ROW(Create_TC_Web!J369))),"")</f>
        <v/>
      </c>
      <c r="J369" t="str" cm="1">
        <f t="array" ref="J369">IFERROR(INDEX(Create_TC_Web!M$1:M$500,SMALL(IF(Create_TC_Web!$C$1:$C$500&lt;&gt;"",MATCH(ROW(Create_TC_Web!$C$1:$C$500),ROW(Create_TC_Web!$C$1:$C$500)),""),ROW(Create_TC_Web!K369))),"")</f>
        <v/>
      </c>
      <c r="K369" t="str" cm="1">
        <f t="array" ref="K369">IFERROR(INDEX(Create_TC_Web!N$1:N$500,SMALL(IF(Create_TC_Web!$C$1:$C$500&lt;&gt;"",MATCH(ROW(Create_TC_Web!$C$1:$C$500),ROW(Create_TC_Web!$C$1:$C$500)),""),ROW(Create_TC_Web!L369))),"")</f>
        <v/>
      </c>
      <c r="L369" t="str" cm="1">
        <f t="array" ref="L369">IFERROR(INDEX(Create_TC_Web!O$1:O$500,SMALL(IF(Create_TC_Web!$C$1:$C$500&lt;&gt;"",MATCH(ROW(Create_TC_Web!$C$1:$C$500),ROW(Create_TC_Web!$C$1:$C$500)),""),ROW(Create_TC_Web!M369))),"")</f>
        <v/>
      </c>
      <c r="M369" t="str" cm="1">
        <f t="array" ref="M369">IFERROR(INDEX(Create_TC_Web!P$1:P$500,SMALL(IF(Create_TC_Web!$C$1:$C$500&lt;&gt;"",MATCH(ROW(Create_TC_Web!$C$1:$C$500),ROW(Create_TC_Web!$C$1:$C$500)),""),ROW(Create_TC_Web!N369))),"")</f>
        <v/>
      </c>
      <c r="N369" t="str" cm="1">
        <f t="array" ref="N369">IFERROR(INDEX(Create_TC_Web!Q$1:Q$500,SMALL(IF(Create_TC_Web!$C$1:$C$500&lt;&gt;"",MATCH(ROW(Create_TC_Web!$C$1:$C$500),ROW(Create_TC_Web!$C$1:$C$500)),""),ROW(Create_TC_Web!O369))),"")</f>
        <v/>
      </c>
      <c r="O369" t="str">
        <f t="shared" si="17"/>
        <v/>
      </c>
      <c r="P369" s="17" t="str" cm="1">
        <f t="array" ref="P369">IFERROR(INDEX(Create_TC_Web!S$1:S$500,SMALL(IF(Create_TC_Web!$C$1:$C$500&lt;&gt;"",MATCH(ROW(Create_TC_Web!$C$1:$C$500),ROW(Create_TC_Web!$C$1:$C$500)),""),ROW(Create_TC_Web!Q347))),"")</f>
        <v/>
      </c>
      <c r="S369" t="str">
        <f t="shared" si="18"/>
        <v/>
      </c>
    </row>
    <row r="370" spans="1:19">
      <c r="A370" t="str" cm="1">
        <f t="array" ref="A370">IFERROR(INDEX(Create_TC_Web!D$1:D$500,SMALL(IF(Create_TC_Web!$C$1:$C$500&lt;&gt;"",MATCH(ROW(Create_TC_Web!$C$1:$C$500),ROW(Create_TC_Web!$C$1:$C$500)),""),ROW(Create_TC_Web!B370))),"")</f>
        <v/>
      </c>
      <c r="B370" t="str" cm="1">
        <f t="array" ref="B370">SUBSTITUTE(SUBSTITUTE(SUBSTITUTE(IFERROR(INDEX(Create_TC_Web!E$1:E$505,SMALL(IF(Create_TC_Web!$C$1:$C$505&lt;&gt;"",MATCH(ROW(Create_TC_Web!$C$1:$C$505),ROW(Create_TC_Web!$C$1:$C$505)),""),ROW(Create_TC_Web!C370))),"")," ",""),"-",""),"_","")</f>
        <v/>
      </c>
      <c r="C370" t="str" cm="1">
        <f t="array" ref="C370">IFERROR(INDEX(Create_TC_Web!F$1:F$500,SMALL(IF(Create_TC_Web!$C$1:$C$500&lt;&gt;"",MATCH(ROW(Create_TC_Web!$C$1:$C$500),ROW(Create_TC_Web!$C$1:$C$500)),""),ROW(Create_TC_Web!D370))),"")</f>
        <v/>
      </c>
      <c r="D370" t="str" cm="1">
        <f t="array" ref="D370">IFERROR(INDEX(Create_TC_Web!G$1:G$500,SMALL(IF(Create_TC_Web!$C$1:$C$500&lt;&gt;"",MATCH(ROW(Create_TC_Web!$C$1:$C$500),ROW(Create_TC_Web!$C$1:$C$500)),""),ROW(Create_TC_Web!E370))),"")</f>
        <v/>
      </c>
      <c r="E370" t="str" cm="1">
        <f t="array" ref="E370">IFERROR(INDEX(Create_TC_Web!H$1:H$500,SMALL(IF(Create_TC_Web!$C$1:$C$500&lt;&gt;"",MATCH(ROW(Create_TC_Web!$C$1:$C$500),ROW(Create_TC_Web!$C$1:$C$500)),""),ROW(Create_TC_Web!F370))),"")</f>
        <v/>
      </c>
      <c r="F370" t="str" cm="1">
        <f t="array" ref="F370">IFERROR(INDEX(Create_TC_Web!I$1:I$500,SMALL(IF(Create_TC_Web!$C$1:$C$500&lt;&gt;"",MATCH(ROW(Create_TC_Web!$C$1:$C$500),ROW(Create_TC_Web!$C$1:$C$500)),""),ROW(Create_TC_Web!G370))),"")</f>
        <v/>
      </c>
      <c r="G370" t="str" cm="1">
        <f t="array" ref="G370">IFERROR(INDEX(Create_TC_Web!J$1:J$500,SMALL(IF(Create_TC_Web!$C$1:$C$500&lt;&gt;"",MATCH(ROW(Create_TC_Web!$C$1:$C$500),ROW(Create_TC_Web!$C$1:$C$500)),""),ROW(Create_TC_Web!H370))),"")</f>
        <v/>
      </c>
      <c r="H370" t="str" cm="1">
        <f t="array" ref="H370">IFERROR(INDEX(Create_TC_Web!K$1:K$500,SMALL(IF(Create_TC_Web!$C$1:$C$500&lt;&gt;"",MATCH(ROW(Create_TC_Web!$C$1:$C$500),ROW(Create_TC_Web!$C$1:$C$500)),""),ROW(Create_TC_Web!I370))),"")</f>
        <v/>
      </c>
      <c r="I370" t="str" cm="1">
        <f t="array" ref="I370">IFERROR(INDEX(Create_TC_Web!L$1:L$500,SMALL(IF(Create_TC_Web!$C$1:$C$500&lt;&gt;"",MATCH(ROW(Create_TC_Web!$C$1:$C$500),ROW(Create_TC_Web!$C$1:$C$500)),""),ROW(Create_TC_Web!J370))),"")</f>
        <v/>
      </c>
      <c r="J370" t="str" cm="1">
        <f t="array" ref="J370">IFERROR(INDEX(Create_TC_Web!M$1:M$500,SMALL(IF(Create_TC_Web!$C$1:$C$500&lt;&gt;"",MATCH(ROW(Create_TC_Web!$C$1:$C$500),ROW(Create_TC_Web!$C$1:$C$500)),""),ROW(Create_TC_Web!K370))),"")</f>
        <v/>
      </c>
      <c r="K370" t="str" cm="1">
        <f t="array" ref="K370">IFERROR(INDEX(Create_TC_Web!N$1:N$500,SMALL(IF(Create_TC_Web!$C$1:$C$500&lt;&gt;"",MATCH(ROW(Create_TC_Web!$C$1:$C$500),ROW(Create_TC_Web!$C$1:$C$500)),""),ROW(Create_TC_Web!L370))),"")</f>
        <v/>
      </c>
      <c r="L370" t="str" cm="1">
        <f t="array" ref="L370">IFERROR(INDEX(Create_TC_Web!O$1:O$500,SMALL(IF(Create_TC_Web!$C$1:$C$500&lt;&gt;"",MATCH(ROW(Create_TC_Web!$C$1:$C$500),ROW(Create_TC_Web!$C$1:$C$500)),""),ROW(Create_TC_Web!M370))),"")</f>
        <v/>
      </c>
      <c r="M370" t="str" cm="1">
        <f t="array" ref="M370">IFERROR(INDEX(Create_TC_Web!P$1:P$500,SMALL(IF(Create_TC_Web!$C$1:$C$500&lt;&gt;"",MATCH(ROW(Create_TC_Web!$C$1:$C$500),ROW(Create_TC_Web!$C$1:$C$500)),""),ROW(Create_TC_Web!N370))),"")</f>
        <v/>
      </c>
      <c r="N370" t="str" cm="1">
        <f t="array" ref="N370">IFERROR(INDEX(Create_TC_Web!Q$1:Q$500,SMALL(IF(Create_TC_Web!$C$1:$C$500&lt;&gt;"",MATCH(ROW(Create_TC_Web!$C$1:$C$500),ROW(Create_TC_Web!$C$1:$C$500)),""),ROW(Create_TC_Web!O370))),"")</f>
        <v/>
      </c>
      <c r="O370" t="str">
        <f t="shared" si="17"/>
        <v/>
      </c>
      <c r="P370" s="17" t="str" cm="1">
        <f t="array" ref="P370">IFERROR(INDEX(Create_TC_Web!S$1:S$500,SMALL(IF(Create_TC_Web!$C$1:$C$500&lt;&gt;"",MATCH(ROW(Create_TC_Web!$C$1:$C$500),ROW(Create_TC_Web!$C$1:$C$500)),""),ROW(Create_TC_Web!Q348))),"")</f>
        <v/>
      </c>
      <c r="S370" t="str">
        <f t="shared" si="18"/>
        <v/>
      </c>
    </row>
    <row r="371" spans="1:19">
      <c r="A371" t="str" cm="1">
        <f t="array" ref="A371">IFERROR(INDEX(Create_TC_Web!D$1:D$500,SMALL(IF(Create_TC_Web!$C$1:$C$500&lt;&gt;"",MATCH(ROW(Create_TC_Web!$C$1:$C$500),ROW(Create_TC_Web!$C$1:$C$500)),""),ROW(Create_TC_Web!B371))),"")</f>
        <v/>
      </c>
      <c r="B371" t="str" cm="1">
        <f t="array" ref="B371">SUBSTITUTE(SUBSTITUTE(SUBSTITUTE(IFERROR(INDEX(Create_TC_Web!E$1:E$505,SMALL(IF(Create_TC_Web!$C$1:$C$505&lt;&gt;"",MATCH(ROW(Create_TC_Web!$C$1:$C$505),ROW(Create_TC_Web!$C$1:$C$505)),""),ROW(Create_TC_Web!C371))),"")," ",""),"-",""),"_","")</f>
        <v/>
      </c>
      <c r="C371" t="str" cm="1">
        <f t="array" ref="C371">IFERROR(INDEX(Create_TC_Web!F$1:F$500,SMALL(IF(Create_TC_Web!$C$1:$C$500&lt;&gt;"",MATCH(ROW(Create_TC_Web!$C$1:$C$500),ROW(Create_TC_Web!$C$1:$C$500)),""),ROW(Create_TC_Web!D371))),"")</f>
        <v/>
      </c>
      <c r="D371" t="str" cm="1">
        <f t="array" ref="D371">IFERROR(INDEX(Create_TC_Web!G$1:G$500,SMALL(IF(Create_TC_Web!$C$1:$C$500&lt;&gt;"",MATCH(ROW(Create_TC_Web!$C$1:$C$500),ROW(Create_TC_Web!$C$1:$C$500)),""),ROW(Create_TC_Web!E371))),"")</f>
        <v/>
      </c>
      <c r="E371" t="str" cm="1">
        <f t="array" ref="E371">IFERROR(INDEX(Create_TC_Web!H$1:H$500,SMALL(IF(Create_TC_Web!$C$1:$C$500&lt;&gt;"",MATCH(ROW(Create_TC_Web!$C$1:$C$500),ROW(Create_TC_Web!$C$1:$C$500)),""),ROW(Create_TC_Web!F371))),"")</f>
        <v/>
      </c>
      <c r="F371" t="str" cm="1">
        <f t="array" ref="F371">IFERROR(INDEX(Create_TC_Web!I$1:I$500,SMALL(IF(Create_TC_Web!$C$1:$C$500&lt;&gt;"",MATCH(ROW(Create_TC_Web!$C$1:$C$500),ROW(Create_TC_Web!$C$1:$C$500)),""),ROW(Create_TC_Web!G371))),"")</f>
        <v/>
      </c>
      <c r="G371" t="str" cm="1">
        <f t="array" ref="G371">IFERROR(INDEX(Create_TC_Web!J$1:J$500,SMALL(IF(Create_TC_Web!$C$1:$C$500&lt;&gt;"",MATCH(ROW(Create_TC_Web!$C$1:$C$500),ROW(Create_TC_Web!$C$1:$C$500)),""),ROW(Create_TC_Web!H371))),"")</f>
        <v/>
      </c>
      <c r="H371" t="str" cm="1">
        <f t="array" ref="H371">IFERROR(INDEX(Create_TC_Web!K$1:K$500,SMALL(IF(Create_TC_Web!$C$1:$C$500&lt;&gt;"",MATCH(ROW(Create_TC_Web!$C$1:$C$500),ROW(Create_TC_Web!$C$1:$C$500)),""),ROW(Create_TC_Web!I371))),"")</f>
        <v/>
      </c>
      <c r="I371" t="str" cm="1">
        <f t="array" ref="I371">IFERROR(INDEX(Create_TC_Web!L$1:L$500,SMALL(IF(Create_TC_Web!$C$1:$C$500&lt;&gt;"",MATCH(ROW(Create_TC_Web!$C$1:$C$500),ROW(Create_TC_Web!$C$1:$C$500)),""),ROW(Create_TC_Web!J371))),"")</f>
        <v/>
      </c>
      <c r="J371" t="str" cm="1">
        <f t="array" ref="J371">IFERROR(INDEX(Create_TC_Web!M$1:M$500,SMALL(IF(Create_TC_Web!$C$1:$C$500&lt;&gt;"",MATCH(ROW(Create_TC_Web!$C$1:$C$500),ROW(Create_TC_Web!$C$1:$C$500)),""),ROW(Create_TC_Web!K371))),"")</f>
        <v/>
      </c>
      <c r="K371" t="str" cm="1">
        <f t="array" ref="K371">IFERROR(INDEX(Create_TC_Web!N$1:N$500,SMALL(IF(Create_TC_Web!$C$1:$C$500&lt;&gt;"",MATCH(ROW(Create_TC_Web!$C$1:$C$500),ROW(Create_TC_Web!$C$1:$C$500)),""),ROW(Create_TC_Web!L371))),"")</f>
        <v/>
      </c>
      <c r="L371" t="str" cm="1">
        <f t="array" ref="L371">IFERROR(INDEX(Create_TC_Web!O$1:O$500,SMALL(IF(Create_TC_Web!$C$1:$C$500&lt;&gt;"",MATCH(ROW(Create_TC_Web!$C$1:$C$500),ROW(Create_TC_Web!$C$1:$C$500)),""),ROW(Create_TC_Web!M371))),"")</f>
        <v/>
      </c>
      <c r="M371" t="str" cm="1">
        <f t="array" ref="M371">IFERROR(INDEX(Create_TC_Web!P$1:P$500,SMALL(IF(Create_TC_Web!$C$1:$C$500&lt;&gt;"",MATCH(ROW(Create_TC_Web!$C$1:$C$500),ROW(Create_TC_Web!$C$1:$C$500)),""),ROW(Create_TC_Web!N371))),"")</f>
        <v/>
      </c>
      <c r="N371" t="str" cm="1">
        <f t="array" ref="N371">IFERROR(INDEX(Create_TC_Web!Q$1:Q$500,SMALL(IF(Create_TC_Web!$C$1:$C$500&lt;&gt;"",MATCH(ROW(Create_TC_Web!$C$1:$C$500),ROW(Create_TC_Web!$C$1:$C$500)),""),ROW(Create_TC_Web!O371))),"")</f>
        <v/>
      </c>
      <c r="O371" t="str">
        <f t="shared" si="17"/>
        <v/>
      </c>
      <c r="P371" s="17" t="str" cm="1">
        <f t="array" ref="P371">IFERROR(INDEX(Create_TC_Web!S$1:S$500,SMALL(IF(Create_TC_Web!$C$1:$C$500&lt;&gt;"",MATCH(ROW(Create_TC_Web!$C$1:$C$500),ROW(Create_TC_Web!$C$1:$C$500)),""),ROW(Create_TC_Web!Q349))),"")</f>
        <v/>
      </c>
      <c r="S371" t="str">
        <f t="shared" si="18"/>
        <v/>
      </c>
    </row>
    <row r="372" spans="1:19">
      <c r="A372" t="str" cm="1">
        <f t="array" ref="A372">IFERROR(INDEX(Create_TC_Web!D$1:D$500,SMALL(IF(Create_TC_Web!$C$1:$C$500&lt;&gt;"",MATCH(ROW(Create_TC_Web!$C$1:$C$500),ROW(Create_TC_Web!$C$1:$C$500)),""),ROW(Create_TC_Web!B372))),"")</f>
        <v/>
      </c>
      <c r="B372" t="str" cm="1">
        <f t="array" ref="B372">SUBSTITUTE(SUBSTITUTE(SUBSTITUTE(IFERROR(INDEX(Create_TC_Web!E$1:E$505,SMALL(IF(Create_TC_Web!$C$1:$C$505&lt;&gt;"",MATCH(ROW(Create_TC_Web!$C$1:$C$505),ROW(Create_TC_Web!$C$1:$C$505)),""),ROW(Create_TC_Web!C372))),"")," ",""),"-",""),"_","")</f>
        <v/>
      </c>
      <c r="C372" t="str" cm="1">
        <f t="array" ref="C372">IFERROR(INDEX(Create_TC_Web!F$1:F$500,SMALL(IF(Create_TC_Web!$C$1:$C$500&lt;&gt;"",MATCH(ROW(Create_TC_Web!$C$1:$C$500),ROW(Create_TC_Web!$C$1:$C$500)),""),ROW(Create_TC_Web!D372))),"")</f>
        <v/>
      </c>
      <c r="D372" t="str" cm="1">
        <f t="array" ref="D372">IFERROR(INDEX(Create_TC_Web!G$1:G$500,SMALL(IF(Create_TC_Web!$C$1:$C$500&lt;&gt;"",MATCH(ROW(Create_TC_Web!$C$1:$C$500),ROW(Create_TC_Web!$C$1:$C$500)),""),ROW(Create_TC_Web!E372))),"")</f>
        <v/>
      </c>
      <c r="E372" t="str" cm="1">
        <f t="array" ref="E372">IFERROR(INDEX(Create_TC_Web!H$1:H$500,SMALL(IF(Create_TC_Web!$C$1:$C$500&lt;&gt;"",MATCH(ROW(Create_TC_Web!$C$1:$C$500),ROW(Create_TC_Web!$C$1:$C$500)),""),ROW(Create_TC_Web!F372))),"")</f>
        <v/>
      </c>
      <c r="F372" t="str" cm="1">
        <f t="array" ref="F372">IFERROR(INDEX(Create_TC_Web!I$1:I$500,SMALL(IF(Create_TC_Web!$C$1:$C$500&lt;&gt;"",MATCH(ROW(Create_TC_Web!$C$1:$C$500),ROW(Create_TC_Web!$C$1:$C$500)),""),ROW(Create_TC_Web!G372))),"")</f>
        <v/>
      </c>
      <c r="G372" t="str" cm="1">
        <f t="array" ref="G372">IFERROR(INDEX(Create_TC_Web!J$1:J$500,SMALL(IF(Create_TC_Web!$C$1:$C$500&lt;&gt;"",MATCH(ROW(Create_TC_Web!$C$1:$C$500),ROW(Create_TC_Web!$C$1:$C$500)),""),ROW(Create_TC_Web!H372))),"")</f>
        <v/>
      </c>
      <c r="H372" t="str" cm="1">
        <f t="array" ref="H372">IFERROR(INDEX(Create_TC_Web!K$1:K$500,SMALL(IF(Create_TC_Web!$C$1:$C$500&lt;&gt;"",MATCH(ROW(Create_TC_Web!$C$1:$C$500),ROW(Create_TC_Web!$C$1:$C$500)),""),ROW(Create_TC_Web!I372))),"")</f>
        <v/>
      </c>
      <c r="I372" t="str" cm="1">
        <f t="array" ref="I372">IFERROR(INDEX(Create_TC_Web!L$1:L$500,SMALL(IF(Create_TC_Web!$C$1:$C$500&lt;&gt;"",MATCH(ROW(Create_TC_Web!$C$1:$C$500),ROW(Create_TC_Web!$C$1:$C$500)),""),ROW(Create_TC_Web!J372))),"")</f>
        <v/>
      </c>
      <c r="J372" t="str" cm="1">
        <f t="array" ref="J372">IFERROR(INDEX(Create_TC_Web!M$1:M$500,SMALL(IF(Create_TC_Web!$C$1:$C$500&lt;&gt;"",MATCH(ROW(Create_TC_Web!$C$1:$C$500),ROW(Create_TC_Web!$C$1:$C$500)),""),ROW(Create_TC_Web!K372))),"")</f>
        <v/>
      </c>
      <c r="K372" t="str" cm="1">
        <f t="array" ref="K372">IFERROR(INDEX(Create_TC_Web!N$1:N$500,SMALL(IF(Create_TC_Web!$C$1:$C$500&lt;&gt;"",MATCH(ROW(Create_TC_Web!$C$1:$C$500),ROW(Create_TC_Web!$C$1:$C$500)),""),ROW(Create_TC_Web!L372))),"")</f>
        <v/>
      </c>
      <c r="L372" t="str" cm="1">
        <f t="array" ref="L372">IFERROR(INDEX(Create_TC_Web!O$1:O$500,SMALL(IF(Create_TC_Web!$C$1:$C$500&lt;&gt;"",MATCH(ROW(Create_TC_Web!$C$1:$C$500),ROW(Create_TC_Web!$C$1:$C$500)),""),ROW(Create_TC_Web!M372))),"")</f>
        <v/>
      </c>
      <c r="M372" t="str" cm="1">
        <f t="array" ref="M372">IFERROR(INDEX(Create_TC_Web!P$1:P$500,SMALL(IF(Create_TC_Web!$C$1:$C$500&lt;&gt;"",MATCH(ROW(Create_TC_Web!$C$1:$C$500),ROW(Create_TC_Web!$C$1:$C$500)),""),ROW(Create_TC_Web!N372))),"")</f>
        <v/>
      </c>
      <c r="N372" t="str" cm="1">
        <f t="array" ref="N372">IFERROR(INDEX(Create_TC_Web!Q$1:Q$500,SMALL(IF(Create_TC_Web!$C$1:$C$500&lt;&gt;"",MATCH(ROW(Create_TC_Web!$C$1:$C$500),ROW(Create_TC_Web!$C$1:$C$500)),""),ROW(Create_TC_Web!O372))),"")</f>
        <v/>
      </c>
      <c r="O372" t="str">
        <f t="shared" si="17"/>
        <v/>
      </c>
      <c r="P372" s="17" t="str" cm="1">
        <f t="array" ref="P372">IFERROR(INDEX(Create_TC_Web!S$1:S$500,SMALL(IF(Create_TC_Web!$C$1:$C$500&lt;&gt;"",MATCH(ROW(Create_TC_Web!$C$1:$C$500),ROW(Create_TC_Web!$C$1:$C$500)),""),ROW(Create_TC_Web!Q350))),"")</f>
        <v/>
      </c>
      <c r="S372" t="str">
        <f t="shared" si="18"/>
        <v/>
      </c>
    </row>
    <row r="373" spans="1:19">
      <c r="A373" t="str" cm="1">
        <f t="array" ref="A373">IFERROR(INDEX(Create_TC_Web!D$1:D$500,SMALL(IF(Create_TC_Web!$C$1:$C$500&lt;&gt;"",MATCH(ROW(Create_TC_Web!$C$1:$C$500),ROW(Create_TC_Web!$C$1:$C$500)),""),ROW(Create_TC_Web!B373))),"")</f>
        <v/>
      </c>
      <c r="B373" t="str" cm="1">
        <f t="array" ref="B373">SUBSTITUTE(SUBSTITUTE(SUBSTITUTE(IFERROR(INDEX(Create_TC_Web!E$1:E$505,SMALL(IF(Create_TC_Web!$C$1:$C$505&lt;&gt;"",MATCH(ROW(Create_TC_Web!$C$1:$C$505),ROW(Create_TC_Web!$C$1:$C$505)),""),ROW(Create_TC_Web!C373))),"")," ",""),"-",""),"_","")</f>
        <v/>
      </c>
      <c r="C373" t="str" cm="1">
        <f t="array" ref="C373">IFERROR(INDEX(Create_TC_Web!F$1:F$500,SMALL(IF(Create_TC_Web!$C$1:$C$500&lt;&gt;"",MATCH(ROW(Create_TC_Web!$C$1:$C$500),ROW(Create_TC_Web!$C$1:$C$500)),""),ROW(Create_TC_Web!D373))),"")</f>
        <v/>
      </c>
      <c r="D373" t="str" cm="1">
        <f t="array" ref="D373">IFERROR(INDEX(Create_TC_Web!G$1:G$500,SMALL(IF(Create_TC_Web!$C$1:$C$500&lt;&gt;"",MATCH(ROW(Create_TC_Web!$C$1:$C$500),ROW(Create_TC_Web!$C$1:$C$500)),""),ROW(Create_TC_Web!E373))),"")</f>
        <v/>
      </c>
      <c r="E373" t="str" cm="1">
        <f t="array" ref="E373">IFERROR(INDEX(Create_TC_Web!H$1:H$500,SMALL(IF(Create_TC_Web!$C$1:$C$500&lt;&gt;"",MATCH(ROW(Create_TC_Web!$C$1:$C$500),ROW(Create_TC_Web!$C$1:$C$500)),""),ROW(Create_TC_Web!F373))),"")</f>
        <v/>
      </c>
      <c r="F373" t="str" cm="1">
        <f t="array" ref="F373">IFERROR(INDEX(Create_TC_Web!I$1:I$500,SMALL(IF(Create_TC_Web!$C$1:$C$500&lt;&gt;"",MATCH(ROW(Create_TC_Web!$C$1:$C$500),ROW(Create_TC_Web!$C$1:$C$500)),""),ROW(Create_TC_Web!G373))),"")</f>
        <v/>
      </c>
      <c r="G373" t="str" cm="1">
        <f t="array" ref="G373">IFERROR(INDEX(Create_TC_Web!J$1:J$500,SMALL(IF(Create_TC_Web!$C$1:$C$500&lt;&gt;"",MATCH(ROW(Create_TC_Web!$C$1:$C$500),ROW(Create_TC_Web!$C$1:$C$500)),""),ROW(Create_TC_Web!H373))),"")</f>
        <v/>
      </c>
      <c r="H373" t="str" cm="1">
        <f t="array" ref="H373">IFERROR(INDEX(Create_TC_Web!K$1:K$500,SMALL(IF(Create_TC_Web!$C$1:$C$500&lt;&gt;"",MATCH(ROW(Create_TC_Web!$C$1:$C$500),ROW(Create_TC_Web!$C$1:$C$500)),""),ROW(Create_TC_Web!I373))),"")</f>
        <v/>
      </c>
      <c r="I373" t="str" cm="1">
        <f t="array" ref="I373">IFERROR(INDEX(Create_TC_Web!L$1:L$500,SMALL(IF(Create_TC_Web!$C$1:$C$500&lt;&gt;"",MATCH(ROW(Create_TC_Web!$C$1:$C$500),ROW(Create_TC_Web!$C$1:$C$500)),""),ROW(Create_TC_Web!J373))),"")</f>
        <v/>
      </c>
      <c r="J373" t="str" cm="1">
        <f t="array" ref="J373">IFERROR(INDEX(Create_TC_Web!M$1:M$500,SMALL(IF(Create_TC_Web!$C$1:$C$500&lt;&gt;"",MATCH(ROW(Create_TC_Web!$C$1:$C$500),ROW(Create_TC_Web!$C$1:$C$500)),""),ROW(Create_TC_Web!K373))),"")</f>
        <v/>
      </c>
      <c r="K373" t="str" cm="1">
        <f t="array" ref="K373">IFERROR(INDEX(Create_TC_Web!N$1:N$500,SMALL(IF(Create_TC_Web!$C$1:$C$500&lt;&gt;"",MATCH(ROW(Create_TC_Web!$C$1:$C$500),ROW(Create_TC_Web!$C$1:$C$500)),""),ROW(Create_TC_Web!L373))),"")</f>
        <v/>
      </c>
      <c r="L373" t="str" cm="1">
        <f t="array" ref="L373">IFERROR(INDEX(Create_TC_Web!O$1:O$500,SMALL(IF(Create_TC_Web!$C$1:$C$500&lt;&gt;"",MATCH(ROW(Create_TC_Web!$C$1:$C$500),ROW(Create_TC_Web!$C$1:$C$500)),""),ROW(Create_TC_Web!M373))),"")</f>
        <v/>
      </c>
      <c r="M373" t="str" cm="1">
        <f t="array" ref="M373">IFERROR(INDEX(Create_TC_Web!P$1:P$500,SMALL(IF(Create_TC_Web!$C$1:$C$500&lt;&gt;"",MATCH(ROW(Create_TC_Web!$C$1:$C$500),ROW(Create_TC_Web!$C$1:$C$500)),""),ROW(Create_TC_Web!N373))),"")</f>
        <v/>
      </c>
      <c r="N373" t="str" cm="1">
        <f t="array" ref="N373">IFERROR(INDEX(Create_TC_Web!Q$1:Q$500,SMALL(IF(Create_TC_Web!$C$1:$C$500&lt;&gt;"",MATCH(ROW(Create_TC_Web!$C$1:$C$500),ROW(Create_TC_Web!$C$1:$C$500)),""),ROW(Create_TC_Web!O373))),"")</f>
        <v/>
      </c>
      <c r="O373" t="str">
        <f t="shared" si="17"/>
        <v/>
      </c>
      <c r="P373" s="17" t="str" cm="1">
        <f t="array" ref="P373">IFERROR(INDEX(Create_TC_Web!S$1:S$500,SMALL(IF(Create_TC_Web!$C$1:$C$500&lt;&gt;"",MATCH(ROW(Create_TC_Web!$C$1:$C$500),ROW(Create_TC_Web!$C$1:$C$500)),""),ROW(Create_TC_Web!Q351))),"")</f>
        <v/>
      </c>
      <c r="S373" t="str">
        <f t="shared" si="18"/>
        <v/>
      </c>
    </row>
    <row r="374" spans="1:19">
      <c r="A374" t="str" cm="1">
        <f t="array" ref="A374">IFERROR(INDEX(Create_TC_Web!D$1:D$500,SMALL(IF(Create_TC_Web!$C$1:$C$500&lt;&gt;"",MATCH(ROW(Create_TC_Web!$C$1:$C$500),ROW(Create_TC_Web!$C$1:$C$500)),""),ROW(Create_TC_Web!B374))),"")</f>
        <v/>
      </c>
      <c r="B374" t="str" cm="1">
        <f t="array" ref="B374">SUBSTITUTE(SUBSTITUTE(SUBSTITUTE(IFERROR(INDEX(Create_TC_Web!E$1:E$505,SMALL(IF(Create_TC_Web!$C$1:$C$505&lt;&gt;"",MATCH(ROW(Create_TC_Web!$C$1:$C$505),ROW(Create_TC_Web!$C$1:$C$505)),""),ROW(Create_TC_Web!C374))),"")," ",""),"-",""),"_","")</f>
        <v/>
      </c>
      <c r="C374" t="str" cm="1">
        <f t="array" ref="C374">IFERROR(INDEX(Create_TC_Web!F$1:F$500,SMALL(IF(Create_TC_Web!$C$1:$C$500&lt;&gt;"",MATCH(ROW(Create_TC_Web!$C$1:$C$500),ROW(Create_TC_Web!$C$1:$C$500)),""),ROW(Create_TC_Web!D374))),"")</f>
        <v/>
      </c>
      <c r="D374" t="str" cm="1">
        <f t="array" ref="D374">IFERROR(INDEX(Create_TC_Web!G$1:G$500,SMALL(IF(Create_TC_Web!$C$1:$C$500&lt;&gt;"",MATCH(ROW(Create_TC_Web!$C$1:$C$500),ROW(Create_TC_Web!$C$1:$C$500)),""),ROW(Create_TC_Web!E374))),"")</f>
        <v/>
      </c>
      <c r="E374" t="str" cm="1">
        <f t="array" ref="E374">IFERROR(INDEX(Create_TC_Web!H$1:H$500,SMALL(IF(Create_TC_Web!$C$1:$C$500&lt;&gt;"",MATCH(ROW(Create_TC_Web!$C$1:$C$500),ROW(Create_TC_Web!$C$1:$C$500)),""),ROW(Create_TC_Web!F374))),"")</f>
        <v/>
      </c>
      <c r="F374" t="str" cm="1">
        <f t="array" ref="F374">IFERROR(INDEX(Create_TC_Web!I$1:I$500,SMALL(IF(Create_TC_Web!$C$1:$C$500&lt;&gt;"",MATCH(ROW(Create_TC_Web!$C$1:$C$500),ROW(Create_TC_Web!$C$1:$C$500)),""),ROW(Create_TC_Web!G374))),"")</f>
        <v/>
      </c>
      <c r="G374" t="str" cm="1">
        <f t="array" ref="G374">IFERROR(INDEX(Create_TC_Web!J$1:J$500,SMALL(IF(Create_TC_Web!$C$1:$C$500&lt;&gt;"",MATCH(ROW(Create_TC_Web!$C$1:$C$500),ROW(Create_TC_Web!$C$1:$C$500)),""),ROW(Create_TC_Web!H374))),"")</f>
        <v/>
      </c>
      <c r="H374" t="str" cm="1">
        <f t="array" ref="H374">IFERROR(INDEX(Create_TC_Web!K$1:K$500,SMALL(IF(Create_TC_Web!$C$1:$C$500&lt;&gt;"",MATCH(ROW(Create_TC_Web!$C$1:$C$500),ROW(Create_TC_Web!$C$1:$C$500)),""),ROW(Create_TC_Web!I374))),"")</f>
        <v/>
      </c>
      <c r="I374" t="str" cm="1">
        <f t="array" ref="I374">IFERROR(INDEX(Create_TC_Web!L$1:L$500,SMALL(IF(Create_TC_Web!$C$1:$C$500&lt;&gt;"",MATCH(ROW(Create_TC_Web!$C$1:$C$500),ROW(Create_TC_Web!$C$1:$C$500)),""),ROW(Create_TC_Web!J374))),"")</f>
        <v/>
      </c>
      <c r="J374" t="str" cm="1">
        <f t="array" ref="J374">IFERROR(INDEX(Create_TC_Web!M$1:M$500,SMALL(IF(Create_TC_Web!$C$1:$C$500&lt;&gt;"",MATCH(ROW(Create_TC_Web!$C$1:$C$500),ROW(Create_TC_Web!$C$1:$C$500)),""),ROW(Create_TC_Web!K374))),"")</f>
        <v/>
      </c>
      <c r="K374" t="str" cm="1">
        <f t="array" ref="K374">IFERROR(INDEX(Create_TC_Web!N$1:N$500,SMALL(IF(Create_TC_Web!$C$1:$C$500&lt;&gt;"",MATCH(ROW(Create_TC_Web!$C$1:$C$500),ROW(Create_TC_Web!$C$1:$C$500)),""),ROW(Create_TC_Web!L374))),"")</f>
        <v/>
      </c>
      <c r="L374" t="str" cm="1">
        <f t="array" ref="L374">IFERROR(INDEX(Create_TC_Web!O$1:O$500,SMALL(IF(Create_TC_Web!$C$1:$C$500&lt;&gt;"",MATCH(ROW(Create_TC_Web!$C$1:$C$500),ROW(Create_TC_Web!$C$1:$C$500)),""),ROW(Create_TC_Web!M374))),"")</f>
        <v/>
      </c>
      <c r="M374" t="str" cm="1">
        <f t="array" ref="M374">IFERROR(INDEX(Create_TC_Web!P$1:P$500,SMALL(IF(Create_TC_Web!$C$1:$C$500&lt;&gt;"",MATCH(ROW(Create_TC_Web!$C$1:$C$500),ROW(Create_TC_Web!$C$1:$C$500)),""),ROW(Create_TC_Web!N374))),"")</f>
        <v/>
      </c>
      <c r="N374" t="str" cm="1">
        <f t="array" ref="N374">IFERROR(INDEX(Create_TC_Web!Q$1:Q$500,SMALL(IF(Create_TC_Web!$C$1:$C$500&lt;&gt;"",MATCH(ROW(Create_TC_Web!$C$1:$C$500),ROW(Create_TC_Web!$C$1:$C$500)),""),ROW(Create_TC_Web!O374))),"")</f>
        <v/>
      </c>
      <c r="O374" t="str">
        <f t="shared" si="17"/>
        <v/>
      </c>
      <c r="P374" s="17" t="str" cm="1">
        <f t="array" ref="P374">IFERROR(INDEX(Create_TC_Web!S$1:S$500,SMALL(IF(Create_TC_Web!$C$1:$C$500&lt;&gt;"",MATCH(ROW(Create_TC_Web!$C$1:$C$500),ROW(Create_TC_Web!$C$1:$C$500)),""),ROW(Create_TC_Web!Q352))),"")</f>
        <v/>
      </c>
      <c r="S374" t="str">
        <f t="shared" si="18"/>
        <v/>
      </c>
    </row>
    <row r="375" spans="1:19">
      <c r="A375" t="str" cm="1">
        <f t="array" ref="A375">IFERROR(INDEX(Create_TC_Web!D$1:D$500,SMALL(IF(Create_TC_Web!$C$1:$C$500&lt;&gt;"",MATCH(ROW(Create_TC_Web!$C$1:$C$500),ROW(Create_TC_Web!$C$1:$C$500)),""),ROW(Create_TC_Web!B375))),"")</f>
        <v/>
      </c>
      <c r="B375" t="str" cm="1">
        <f t="array" ref="B375">SUBSTITUTE(SUBSTITUTE(SUBSTITUTE(IFERROR(INDEX(Create_TC_Web!E$1:E$505,SMALL(IF(Create_TC_Web!$C$1:$C$505&lt;&gt;"",MATCH(ROW(Create_TC_Web!$C$1:$C$505),ROW(Create_TC_Web!$C$1:$C$505)),""),ROW(Create_TC_Web!C375))),"")," ",""),"-",""),"_","")</f>
        <v/>
      </c>
      <c r="C375" t="str" cm="1">
        <f t="array" ref="C375">IFERROR(INDEX(Create_TC_Web!F$1:F$500,SMALL(IF(Create_TC_Web!$C$1:$C$500&lt;&gt;"",MATCH(ROW(Create_TC_Web!$C$1:$C$500),ROW(Create_TC_Web!$C$1:$C$500)),""),ROW(Create_TC_Web!D375))),"")</f>
        <v/>
      </c>
      <c r="D375" t="str" cm="1">
        <f t="array" ref="D375">IFERROR(INDEX(Create_TC_Web!G$1:G$500,SMALL(IF(Create_TC_Web!$C$1:$C$500&lt;&gt;"",MATCH(ROW(Create_TC_Web!$C$1:$C$500),ROW(Create_TC_Web!$C$1:$C$500)),""),ROW(Create_TC_Web!E375))),"")</f>
        <v/>
      </c>
      <c r="E375" t="str" cm="1">
        <f t="array" ref="E375">IFERROR(INDEX(Create_TC_Web!H$1:H$500,SMALL(IF(Create_TC_Web!$C$1:$C$500&lt;&gt;"",MATCH(ROW(Create_TC_Web!$C$1:$C$500),ROW(Create_TC_Web!$C$1:$C$500)),""),ROW(Create_TC_Web!F375))),"")</f>
        <v/>
      </c>
      <c r="F375" t="str" cm="1">
        <f t="array" ref="F375">IFERROR(INDEX(Create_TC_Web!I$1:I$500,SMALL(IF(Create_TC_Web!$C$1:$C$500&lt;&gt;"",MATCH(ROW(Create_TC_Web!$C$1:$C$500),ROW(Create_TC_Web!$C$1:$C$500)),""),ROW(Create_TC_Web!G375))),"")</f>
        <v/>
      </c>
      <c r="G375" t="str" cm="1">
        <f t="array" ref="G375">IFERROR(INDEX(Create_TC_Web!J$1:J$500,SMALL(IF(Create_TC_Web!$C$1:$C$500&lt;&gt;"",MATCH(ROW(Create_TC_Web!$C$1:$C$500),ROW(Create_TC_Web!$C$1:$C$500)),""),ROW(Create_TC_Web!H375))),"")</f>
        <v/>
      </c>
      <c r="H375" t="str" cm="1">
        <f t="array" ref="H375">IFERROR(INDEX(Create_TC_Web!K$1:K$500,SMALL(IF(Create_TC_Web!$C$1:$C$500&lt;&gt;"",MATCH(ROW(Create_TC_Web!$C$1:$C$500),ROW(Create_TC_Web!$C$1:$C$500)),""),ROW(Create_TC_Web!I375))),"")</f>
        <v/>
      </c>
      <c r="I375" t="str" cm="1">
        <f t="array" ref="I375">IFERROR(INDEX(Create_TC_Web!L$1:L$500,SMALL(IF(Create_TC_Web!$C$1:$C$500&lt;&gt;"",MATCH(ROW(Create_TC_Web!$C$1:$C$500),ROW(Create_TC_Web!$C$1:$C$500)),""),ROW(Create_TC_Web!J375))),"")</f>
        <v/>
      </c>
      <c r="J375" t="str" cm="1">
        <f t="array" ref="J375">IFERROR(INDEX(Create_TC_Web!M$1:M$500,SMALL(IF(Create_TC_Web!$C$1:$C$500&lt;&gt;"",MATCH(ROW(Create_TC_Web!$C$1:$C$500),ROW(Create_TC_Web!$C$1:$C$500)),""),ROW(Create_TC_Web!K375))),"")</f>
        <v/>
      </c>
      <c r="K375" t="str" cm="1">
        <f t="array" ref="K375">IFERROR(INDEX(Create_TC_Web!N$1:N$500,SMALL(IF(Create_TC_Web!$C$1:$C$500&lt;&gt;"",MATCH(ROW(Create_TC_Web!$C$1:$C$500),ROW(Create_TC_Web!$C$1:$C$500)),""),ROW(Create_TC_Web!L375))),"")</f>
        <v/>
      </c>
      <c r="L375" t="str" cm="1">
        <f t="array" ref="L375">IFERROR(INDEX(Create_TC_Web!O$1:O$500,SMALL(IF(Create_TC_Web!$C$1:$C$500&lt;&gt;"",MATCH(ROW(Create_TC_Web!$C$1:$C$500),ROW(Create_TC_Web!$C$1:$C$500)),""),ROW(Create_TC_Web!M375))),"")</f>
        <v/>
      </c>
      <c r="M375" t="str" cm="1">
        <f t="array" ref="M375">IFERROR(INDEX(Create_TC_Web!P$1:P$500,SMALL(IF(Create_TC_Web!$C$1:$C$500&lt;&gt;"",MATCH(ROW(Create_TC_Web!$C$1:$C$500),ROW(Create_TC_Web!$C$1:$C$500)),""),ROW(Create_TC_Web!N375))),"")</f>
        <v/>
      </c>
      <c r="N375" t="str" cm="1">
        <f t="array" ref="N375">IFERROR(INDEX(Create_TC_Web!Q$1:Q$500,SMALL(IF(Create_TC_Web!$C$1:$C$500&lt;&gt;"",MATCH(ROW(Create_TC_Web!$C$1:$C$500),ROW(Create_TC_Web!$C$1:$C$500)),""),ROW(Create_TC_Web!O375))),"")</f>
        <v/>
      </c>
      <c r="O375" t="str">
        <f t="shared" si="17"/>
        <v/>
      </c>
      <c r="P375" s="17" t="str" cm="1">
        <f t="array" ref="P375">IFERROR(INDEX(Create_TC_Web!S$1:S$500,SMALL(IF(Create_TC_Web!$C$1:$C$500&lt;&gt;"",MATCH(ROW(Create_TC_Web!$C$1:$C$500),ROW(Create_TC_Web!$C$1:$C$500)),""),ROW(Create_TC_Web!Q353))),"")</f>
        <v/>
      </c>
      <c r="S375" t="str">
        <f t="shared" si="18"/>
        <v/>
      </c>
    </row>
    <row r="376" spans="1:19">
      <c r="A376" t="str" cm="1">
        <f t="array" ref="A376">IFERROR(INDEX(Create_TC_Web!D$1:D$500,SMALL(IF(Create_TC_Web!$C$1:$C$500&lt;&gt;"",MATCH(ROW(Create_TC_Web!$C$1:$C$500),ROW(Create_TC_Web!$C$1:$C$500)),""),ROW(Create_TC_Web!B376))),"")</f>
        <v/>
      </c>
      <c r="B376" t="str" cm="1">
        <f t="array" ref="B376">SUBSTITUTE(SUBSTITUTE(SUBSTITUTE(IFERROR(INDEX(Create_TC_Web!E$1:E$505,SMALL(IF(Create_TC_Web!$C$1:$C$505&lt;&gt;"",MATCH(ROW(Create_TC_Web!$C$1:$C$505),ROW(Create_TC_Web!$C$1:$C$505)),""),ROW(Create_TC_Web!C376))),"")," ",""),"-",""),"_","")</f>
        <v/>
      </c>
      <c r="C376" t="str" cm="1">
        <f t="array" ref="C376">IFERROR(INDEX(Create_TC_Web!F$1:F$500,SMALL(IF(Create_TC_Web!$C$1:$C$500&lt;&gt;"",MATCH(ROW(Create_TC_Web!$C$1:$C$500),ROW(Create_TC_Web!$C$1:$C$500)),""),ROW(Create_TC_Web!D376))),"")</f>
        <v/>
      </c>
      <c r="D376" t="str" cm="1">
        <f t="array" ref="D376">IFERROR(INDEX(Create_TC_Web!G$1:G$500,SMALL(IF(Create_TC_Web!$C$1:$C$500&lt;&gt;"",MATCH(ROW(Create_TC_Web!$C$1:$C$500),ROW(Create_TC_Web!$C$1:$C$500)),""),ROW(Create_TC_Web!E376))),"")</f>
        <v/>
      </c>
      <c r="E376" t="str" cm="1">
        <f t="array" ref="E376">IFERROR(INDEX(Create_TC_Web!H$1:H$500,SMALL(IF(Create_TC_Web!$C$1:$C$500&lt;&gt;"",MATCH(ROW(Create_TC_Web!$C$1:$C$500),ROW(Create_TC_Web!$C$1:$C$500)),""),ROW(Create_TC_Web!F376))),"")</f>
        <v/>
      </c>
      <c r="F376" t="str" cm="1">
        <f t="array" ref="F376">IFERROR(INDEX(Create_TC_Web!I$1:I$500,SMALL(IF(Create_TC_Web!$C$1:$C$500&lt;&gt;"",MATCH(ROW(Create_TC_Web!$C$1:$C$500),ROW(Create_TC_Web!$C$1:$C$500)),""),ROW(Create_TC_Web!G376))),"")</f>
        <v/>
      </c>
      <c r="G376" t="str" cm="1">
        <f t="array" ref="G376">IFERROR(INDEX(Create_TC_Web!J$1:J$500,SMALL(IF(Create_TC_Web!$C$1:$C$500&lt;&gt;"",MATCH(ROW(Create_TC_Web!$C$1:$C$500),ROW(Create_TC_Web!$C$1:$C$500)),""),ROW(Create_TC_Web!H376))),"")</f>
        <v/>
      </c>
      <c r="H376" t="str" cm="1">
        <f t="array" ref="H376">IFERROR(INDEX(Create_TC_Web!K$1:K$500,SMALL(IF(Create_TC_Web!$C$1:$C$500&lt;&gt;"",MATCH(ROW(Create_TC_Web!$C$1:$C$500),ROW(Create_TC_Web!$C$1:$C$500)),""),ROW(Create_TC_Web!I376))),"")</f>
        <v/>
      </c>
      <c r="I376" t="str" cm="1">
        <f t="array" ref="I376">IFERROR(INDEX(Create_TC_Web!L$1:L$500,SMALL(IF(Create_TC_Web!$C$1:$C$500&lt;&gt;"",MATCH(ROW(Create_TC_Web!$C$1:$C$500),ROW(Create_TC_Web!$C$1:$C$500)),""),ROW(Create_TC_Web!J376))),"")</f>
        <v/>
      </c>
      <c r="J376" t="str" cm="1">
        <f t="array" ref="J376">IFERROR(INDEX(Create_TC_Web!M$1:M$500,SMALL(IF(Create_TC_Web!$C$1:$C$500&lt;&gt;"",MATCH(ROW(Create_TC_Web!$C$1:$C$500),ROW(Create_TC_Web!$C$1:$C$500)),""),ROW(Create_TC_Web!K376))),"")</f>
        <v/>
      </c>
      <c r="K376" t="str" cm="1">
        <f t="array" ref="K376">IFERROR(INDEX(Create_TC_Web!N$1:N$500,SMALL(IF(Create_TC_Web!$C$1:$C$500&lt;&gt;"",MATCH(ROW(Create_TC_Web!$C$1:$C$500),ROW(Create_TC_Web!$C$1:$C$500)),""),ROW(Create_TC_Web!L376))),"")</f>
        <v/>
      </c>
      <c r="L376" t="str" cm="1">
        <f t="array" ref="L376">IFERROR(INDEX(Create_TC_Web!O$1:O$500,SMALL(IF(Create_TC_Web!$C$1:$C$500&lt;&gt;"",MATCH(ROW(Create_TC_Web!$C$1:$C$500),ROW(Create_TC_Web!$C$1:$C$500)),""),ROW(Create_TC_Web!M376))),"")</f>
        <v/>
      </c>
      <c r="M376" t="str" cm="1">
        <f t="array" ref="M376">IFERROR(INDEX(Create_TC_Web!P$1:P$500,SMALL(IF(Create_TC_Web!$C$1:$C$500&lt;&gt;"",MATCH(ROW(Create_TC_Web!$C$1:$C$500),ROW(Create_TC_Web!$C$1:$C$500)),""),ROW(Create_TC_Web!N376))),"")</f>
        <v/>
      </c>
      <c r="N376" t="str" cm="1">
        <f t="array" ref="N376">IFERROR(INDEX(Create_TC_Web!Q$1:Q$500,SMALL(IF(Create_TC_Web!$C$1:$C$500&lt;&gt;"",MATCH(ROW(Create_TC_Web!$C$1:$C$500),ROW(Create_TC_Web!$C$1:$C$500)),""),ROW(Create_TC_Web!O376))),"")</f>
        <v/>
      </c>
      <c r="O376" t="str">
        <f t="shared" si="17"/>
        <v/>
      </c>
      <c r="P376" s="17" t="str" cm="1">
        <f t="array" ref="P376">IFERROR(INDEX(Create_TC_Web!S$1:S$500,SMALL(IF(Create_TC_Web!$C$1:$C$500&lt;&gt;"",MATCH(ROW(Create_TC_Web!$C$1:$C$500),ROW(Create_TC_Web!$C$1:$C$500)),""),ROW(Create_TC_Web!Q354))),"")</f>
        <v/>
      </c>
      <c r="S376" t="str">
        <f t="shared" si="18"/>
        <v/>
      </c>
    </row>
    <row r="377" spans="1:19">
      <c r="A377" t="str" cm="1">
        <f t="array" ref="A377">IFERROR(INDEX(Create_TC_Web!D$1:D$500,SMALL(IF(Create_TC_Web!$C$1:$C$500&lt;&gt;"",MATCH(ROW(Create_TC_Web!$C$1:$C$500),ROW(Create_TC_Web!$C$1:$C$500)),""),ROW(Create_TC_Web!B377))),"")</f>
        <v/>
      </c>
      <c r="B377" t="str" cm="1">
        <f t="array" ref="B377">SUBSTITUTE(SUBSTITUTE(SUBSTITUTE(IFERROR(INDEX(Create_TC_Web!E$1:E$505,SMALL(IF(Create_TC_Web!$C$1:$C$505&lt;&gt;"",MATCH(ROW(Create_TC_Web!$C$1:$C$505),ROW(Create_TC_Web!$C$1:$C$505)),""),ROW(Create_TC_Web!C377))),"")," ",""),"-",""),"_","")</f>
        <v/>
      </c>
      <c r="C377" t="str" cm="1">
        <f t="array" ref="C377">IFERROR(INDEX(Create_TC_Web!F$1:F$500,SMALL(IF(Create_TC_Web!$C$1:$C$500&lt;&gt;"",MATCH(ROW(Create_TC_Web!$C$1:$C$500),ROW(Create_TC_Web!$C$1:$C$500)),""),ROW(Create_TC_Web!D377))),"")</f>
        <v/>
      </c>
      <c r="D377" t="str" cm="1">
        <f t="array" ref="D377">IFERROR(INDEX(Create_TC_Web!G$1:G$500,SMALL(IF(Create_TC_Web!$C$1:$C$500&lt;&gt;"",MATCH(ROW(Create_TC_Web!$C$1:$C$500),ROW(Create_TC_Web!$C$1:$C$500)),""),ROW(Create_TC_Web!E377))),"")</f>
        <v/>
      </c>
      <c r="E377" t="str" cm="1">
        <f t="array" ref="E377">IFERROR(INDEX(Create_TC_Web!H$1:H$500,SMALL(IF(Create_TC_Web!$C$1:$C$500&lt;&gt;"",MATCH(ROW(Create_TC_Web!$C$1:$C$500),ROW(Create_TC_Web!$C$1:$C$500)),""),ROW(Create_TC_Web!F377))),"")</f>
        <v/>
      </c>
      <c r="F377" t="str" cm="1">
        <f t="array" ref="F377">IFERROR(INDEX(Create_TC_Web!I$1:I$500,SMALL(IF(Create_TC_Web!$C$1:$C$500&lt;&gt;"",MATCH(ROW(Create_TC_Web!$C$1:$C$500),ROW(Create_TC_Web!$C$1:$C$500)),""),ROW(Create_TC_Web!G377))),"")</f>
        <v/>
      </c>
      <c r="G377" t="str" cm="1">
        <f t="array" ref="G377">IFERROR(INDEX(Create_TC_Web!J$1:J$500,SMALL(IF(Create_TC_Web!$C$1:$C$500&lt;&gt;"",MATCH(ROW(Create_TC_Web!$C$1:$C$500),ROW(Create_TC_Web!$C$1:$C$500)),""),ROW(Create_TC_Web!H377))),"")</f>
        <v/>
      </c>
      <c r="H377" t="str" cm="1">
        <f t="array" ref="H377">IFERROR(INDEX(Create_TC_Web!K$1:K$500,SMALL(IF(Create_TC_Web!$C$1:$C$500&lt;&gt;"",MATCH(ROW(Create_TC_Web!$C$1:$C$500),ROW(Create_TC_Web!$C$1:$C$500)),""),ROW(Create_TC_Web!I377))),"")</f>
        <v/>
      </c>
      <c r="I377" t="str" cm="1">
        <f t="array" ref="I377">IFERROR(INDEX(Create_TC_Web!L$1:L$500,SMALL(IF(Create_TC_Web!$C$1:$C$500&lt;&gt;"",MATCH(ROW(Create_TC_Web!$C$1:$C$500),ROW(Create_TC_Web!$C$1:$C$500)),""),ROW(Create_TC_Web!J377))),"")</f>
        <v/>
      </c>
      <c r="J377" t="str" cm="1">
        <f t="array" ref="J377">IFERROR(INDEX(Create_TC_Web!M$1:M$500,SMALL(IF(Create_TC_Web!$C$1:$C$500&lt;&gt;"",MATCH(ROW(Create_TC_Web!$C$1:$C$500),ROW(Create_TC_Web!$C$1:$C$500)),""),ROW(Create_TC_Web!K377))),"")</f>
        <v/>
      </c>
      <c r="K377" t="str" cm="1">
        <f t="array" ref="K377">IFERROR(INDEX(Create_TC_Web!N$1:N$500,SMALL(IF(Create_TC_Web!$C$1:$C$500&lt;&gt;"",MATCH(ROW(Create_TC_Web!$C$1:$C$500),ROW(Create_TC_Web!$C$1:$C$500)),""),ROW(Create_TC_Web!L377))),"")</f>
        <v/>
      </c>
      <c r="L377" t="str" cm="1">
        <f t="array" ref="L377">IFERROR(INDEX(Create_TC_Web!O$1:O$500,SMALL(IF(Create_TC_Web!$C$1:$C$500&lt;&gt;"",MATCH(ROW(Create_TC_Web!$C$1:$C$500),ROW(Create_TC_Web!$C$1:$C$500)),""),ROW(Create_TC_Web!M377))),"")</f>
        <v/>
      </c>
      <c r="M377" t="str" cm="1">
        <f t="array" ref="M377">IFERROR(INDEX(Create_TC_Web!P$1:P$500,SMALL(IF(Create_TC_Web!$C$1:$C$500&lt;&gt;"",MATCH(ROW(Create_TC_Web!$C$1:$C$500),ROW(Create_TC_Web!$C$1:$C$500)),""),ROW(Create_TC_Web!N377))),"")</f>
        <v/>
      </c>
      <c r="N377" t="str" cm="1">
        <f t="array" ref="N377">IFERROR(INDEX(Create_TC_Web!Q$1:Q$500,SMALL(IF(Create_TC_Web!$C$1:$C$500&lt;&gt;"",MATCH(ROW(Create_TC_Web!$C$1:$C$500),ROW(Create_TC_Web!$C$1:$C$500)),""),ROW(Create_TC_Web!O377))),"")</f>
        <v/>
      </c>
      <c r="O377" t="str">
        <f t="shared" si="17"/>
        <v/>
      </c>
      <c r="P377" s="17" t="str" cm="1">
        <f t="array" ref="P377">IFERROR(INDEX(Create_TC_Web!S$1:S$500,SMALL(IF(Create_TC_Web!$C$1:$C$500&lt;&gt;"",MATCH(ROW(Create_TC_Web!$C$1:$C$500),ROW(Create_TC_Web!$C$1:$C$500)),""),ROW(Create_TC_Web!Q355))),"")</f>
        <v/>
      </c>
      <c r="S377" t="str">
        <f t="shared" si="18"/>
        <v/>
      </c>
    </row>
    <row r="378" spans="1:19">
      <c r="A378" t="str" cm="1">
        <f t="array" ref="A378">IFERROR(INDEX(Create_TC_Web!D$1:D$500,SMALL(IF(Create_TC_Web!$C$1:$C$500&lt;&gt;"",MATCH(ROW(Create_TC_Web!$C$1:$C$500),ROW(Create_TC_Web!$C$1:$C$500)),""),ROW(Create_TC_Web!B378))),"")</f>
        <v/>
      </c>
      <c r="B378" t="str" cm="1">
        <f t="array" ref="B378">SUBSTITUTE(SUBSTITUTE(SUBSTITUTE(IFERROR(INDEX(Create_TC_Web!E$1:E$505,SMALL(IF(Create_TC_Web!$C$1:$C$505&lt;&gt;"",MATCH(ROW(Create_TC_Web!$C$1:$C$505),ROW(Create_TC_Web!$C$1:$C$505)),""),ROW(Create_TC_Web!C378))),"")," ",""),"-",""),"_","")</f>
        <v/>
      </c>
      <c r="C378" t="str" cm="1">
        <f t="array" ref="C378">IFERROR(INDEX(Create_TC_Web!F$1:F$500,SMALL(IF(Create_TC_Web!$C$1:$C$500&lt;&gt;"",MATCH(ROW(Create_TC_Web!$C$1:$C$500),ROW(Create_TC_Web!$C$1:$C$500)),""),ROW(Create_TC_Web!D378))),"")</f>
        <v/>
      </c>
      <c r="D378" t="str" cm="1">
        <f t="array" ref="D378">IFERROR(INDEX(Create_TC_Web!G$1:G$500,SMALL(IF(Create_TC_Web!$C$1:$C$500&lt;&gt;"",MATCH(ROW(Create_TC_Web!$C$1:$C$500),ROW(Create_TC_Web!$C$1:$C$500)),""),ROW(Create_TC_Web!E378))),"")</f>
        <v/>
      </c>
      <c r="E378" t="str" cm="1">
        <f t="array" ref="E378">IFERROR(INDEX(Create_TC_Web!H$1:H$500,SMALL(IF(Create_TC_Web!$C$1:$C$500&lt;&gt;"",MATCH(ROW(Create_TC_Web!$C$1:$C$500),ROW(Create_TC_Web!$C$1:$C$500)),""),ROW(Create_TC_Web!F378))),"")</f>
        <v/>
      </c>
      <c r="F378" t="str" cm="1">
        <f t="array" ref="F378">IFERROR(INDEX(Create_TC_Web!I$1:I$500,SMALL(IF(Create_TC_Web!$C$1:$C$500&lt;&gt;"",MATCH(ROW(Create_TC_Web!$C$1:$C$500),ROW(Create_TC_Web!$C$1:$C$500)),""),ROW(Create_TC_Web!G378))),"")</f>
        <v/>
      </c>
      <c r="G378" t="str" cm="1">
        <f t="array" ref="G378">IFERROR(INDEX(Create_TC_Web!J$1:J$500,SMALL(IF(Create_TC_Web!$C$1:$C$500&lt;&gt;"",MATCH(ROW(Create_TC_Web!$C$1:$C$500),ROW(Create_TC_Web!$C$1:$C$500)),""),ROW(Create_TC_Web!H378))),"")</f>
        <v/>
      </c>
      <c r="H378" t="str" cm="1">
        <f t="array" ref="H378">IFERROR(INDEX(Create_TC_Web!K$1:K$500,SMALL(IF(Create_TC_Web!$C$1:$C$500&lt;&gt;"",MATCH(ROW(Create_TC_Web!$C$1:$C$500),ROW(Create_TC_Web!$C$1:$C$500)),""),ROW(Create_TC_Web!I378))),"")</f>
        <v/>
      </c>
      <c r="I378" t="str" cm="1">
        <f t="array" ref="I378">IFERROR(INDEX(Create_TC_Web!L$1:L$500,SMALL(IF(Create_TC_Web!$C$1:$C$500&lt;&gt;"",MATCH(ROW(Create_TC_Web!$C$1:$C$500),ROW(Create_TC_Web!$C$1:$C$500)),""),ROW(Create_TC_Web!J378))),"")</f>
        <v/>
      </c>
      <c r="J378" t="str" cm="1">
        <f t="array" ref="J378">IFERROR(INDEX(Create_TC_Web!M$1:M$500,SMALL(IF(Create_TC_Web!$C$1:$C$500&lt;&gt;"",MATCH(ROW(Create_TC_Web!$C$1:$C$500),ROW(Create_TC_Web!$C$1:$C$500)),""),ROW(Create_TC_Web!K378))),"")</f>
        <v/>
      </c>
      <c r="K378" t="str" cm="1">
        <f t="array" ref="K378">IFERROR(INDEX(Create_TC_Web!N$1:N$500,SMALL(IF(Create_TC_Web!$C$1:$C$500&lt;&gt;"",MATCH(ROW(Create_TC_Web!$C$1:$C$500),ROW(Create_TC_Web!$C$1:$C$500)),""),ROW(Create_TC_Web!L378))),"")</f>
        <v/>
      </c>
      <c r="L378" t="str" cm="1">
        <f t="array" ref="L378">IFERROR(INDEX(Create_TC_Web!O$1:O$500,SMALL(IF(Create_TC_Web!$C$1:$C$500&lt;&gt;"",MATCH(ROW(Create_TC_Web!$C$1:$C$500),ROW(Create_TC_Web!$C$1:$C$500)),""),ROW(Create_TC_Web!M378))),"")</f>
        <v/>
      </c>
      <c r="M378" t="str" cm="1">
        <f t="array" ref="M378">IFERROR(INDEX(Create_TC_Web!P$1:P$500,SMALL(IF(Create_TC_Web!$C$1:$C$500&lt;&gt;"",MATCH(ROW(Create_TC_Web!$C$1:$C$500),ROW(Create_TC_Web!$C$1:$C$500)),""),ROW(Create_TC_Web!N378))),"")</f>
        <v/>
      </c>
      <c r="N378" t="str" cm="1">
        <f t="array" ref="N378">IFERROR(INDEX(Create_TC_Web!Q$1:Q$500,SMALL(IF(Create_TC_Web!$C$1:$C$500&lt;&gt;"",MATCH(ROW(Create_TC_Web!$C$1:$C$500),ROW(Create_TC_Web!$C$1:$C$500)),""),ROW(Create_TC_Web!O378))),"")</f>
        <v/>
      </c>
      <c r="O378" t="str">
        <f t="shared" si="17"/>
        <v/>
      </c>
      <c r="P378" s="17" t="str" cm="1">
        <f t="array" ref="P378">IFERROR(INDEX(Create_TC_Web!S$1:S$500,SMALL(IF(Create_TC_Web!$C$1:$C$500&lt;&gt;"",MATCH(ROW(Create_TC_Web!$C$1:$C$500),ROW(Create_TC_Web!$C$1:$C$500)),""),ROW(Create_TC_Web!Q356))),"")</f>
        <v/>
      </c>
      <c r="S378" t="str">
        <f t="shared" si="18"/>
        <v/>
      </c>
    </row>
    <row r="379" spans="1:19">
      <c r="A379" t="str" cm="1">
        <f t="array" ref="A379">IFERROR(INDEX(Create_TC_Web!D$1:D$500,SMALL(IF(Create_TC_Web!$C$1:$C$500&lt;&gt;"",MATCH(ROW(Create_TC_Web!$C$1:$C$500),ROW(Create_TC_Web!$C$1:$C$500)),""),ROW(Create_TC_Web!B379))),"")</f>
        <v/>
      </c>
      <c r="B379" t="str" cm="1">
        <f t="array" ref="B379">SUBSTITUTE(SUBSTITUTE(SUBSTITUTE(IFERROR(INDEX(Create_TC_Web!E$1:E$505,SMALL(IF(Create_TC_Web!$C$1:$C$505&lt;&gt;"",MATCH(ROW(Create_TC_Web!$C$1:$C$505),ROW(Create_TC_Web!$C$1:$C$505)),""),ROW(Create_TC_Web!C379))),"")," ",""),"-",""),"_","")</f>
        <v/>
      </c>
      <c r="C379" t="str" cm="1">
        <f t="array" ref="C379">IFERROR(INDEX(Create_TC_Web!F$1:F$500,SMALL(IF(Create_TC_Web!$C$1:$C$500&lt;&gt;"",MATCH(ROW(Create_TC_Web!$C$1:$C$500),ROW(Create_TC_Web!$C$1:$C$500)),""),ROW(Create_TC_Web!D379))),"")</f>
        <v/>
      </c>
      <c r="D379" t="str" cm="1">
        <f t="array" ref="D379">IFERROR(INDEX(Create_TC_Web!G$1:G$500,SMALL(IF(Create_TC_Web!$C$1:$C$500&lt;&gt;"",MATCH(ROW(Create_TC_Web!$C$1:$C$500),ROW(Create_TC_Web!$C$1:$C$500)),""),ROW(Create_TC_Web!E379))),"")</f>
        <v/>
      </c>
      <c r="E379" t="str" cm="1">
        <f t="array" ref="E379">IFERROR(INDEX(Create_TC_Web!H$1:H$500,SMALL(IF(Create_TC_Web!$C$1:$C$500&lt;&gt;"",MATCH(ROW(Create_TC_Web!$C$1:$C$500),ROW(Create_TC_Web!$C$1:$C$500)),""),ROW(Create_TC_Web!F379))),"")</f>
        <v/>
      </c>
      <c r="F379" t="str" cm="1">
        <f t="array" ref="F379">IFERROR(INDEX(Create_TC_Web!I$1:I$500,SMALL(IF(Create_TC_Web!$C$1:$C$500&lt;&gt;"",MATCH(ROW(Create_TC_Web!$C$1:$C$500),ROW(Create_TC_Web!$C$1:$C$500)),""),ROW(Create_TC_Web!G379))),"")</f>
        <v/>
      </c>
      <c r="G379" t="str" cm="1">
        <f t="array" ref="G379">IFERROR(INDEX(Create_TC_Web!J$1:J$500,SMALL(IF(Create_TC_Web!$C$1:$C$500&lt;&gt;"",MATCH(ROW(Create_TC_Web!$C$1:$C$500),ROW(Create_TC_Web!$C$1:$C$500)),""),ROW(Create_TC_Web!H379))),"")</f>
        <v/>
      </c>
      <c r="H379" t="str" cm="1">
        <f t="array" ref="H379">IFERROR(INDEX(Create_TC_Web!K$1:K$500,SMALL(IF(Create_TC_Web!$C$1:$C$500&lt;&gt;"",MATCH(ROW(Create_TC_Web!$C$1:$C$500),ROW(Create_TC_Web!$C$1:$C$500)),""),ROW(Create_TC_Web!I379))),"")</f>
        <v/>
      </c>
      <c r="I379" t="str" cm="1">
        <f t="array" ref="I379">IFERROR(INDEX(Create_TC_Web!L$1:L$500,SMALL(IF(Create_TC_Web!$C$1:$C$500&lt;&gt;"",MATCH(ROW(Create_TC_Web!$C$1:$C$500),ROW(Create_TC_Web!$C$1:$C$500)),""),ROW(Create_TC_Web!J379))),"")</f>
        <v/>
      </c>
      <c r="J379" t="str" cm="1">
        <f t="array" ref="J379">IFERROR(INDEX(Create_TC_Web!M$1:M$500,SMALL(IF(Create_TC_Web!$C$1:$C$500&lt;&gt;"",MATCH(ROW(Create_TC_Web!$C$1:$C$500),ROW(Create_TC_Web!$C$1:$C$500)),""),ROW(Create_TC_Web!K379))),"")</f>
        <v/>
      </c>
      <c r="K379" t="str" cm="1">
        <f t="array" ref="K379">IFERROR(INDEX(Create_TC_Web!N$1:N$500,SMALL(IF(Create_TC_Web!$C$1:$C$500&lt;&gt;"",MATCH(ROW(Create_TC_Web!$C$1:$C$500),ROW(Create_TC_Web!$C$1:$C$500)),""),ROW(Create_TC_Web!L379))),"")</f>
        <v/>
      </c>
      <c r="L379" t="str" cm="1">
        <f t="array" ref="L379">IFERROR(INDEX(Create_TC_Web!O$1:O$500,SMALL(IF(Create_TC_Web!$C$1:$C$500&lt;&gt;"",MATCH(ROW(Create_TC_Web!$C$1:$C$500),ROW(Create_TC_Web!$C$1:$C$500)),""),ROW(Create_TC_Web!M379))),"")</f>
        <v/>
      </c>
      <c r="M379" t="str" cm="1">
        <f t="array" ref="M379">IFERROR(INDEX(Create_TC_Web!P$1:P$500,SMALL(IF(Create_TC_Web!$C$1:$C$500&lt;&gt;"",MATCH(ROW(Create_TC_Web!$C$1:$C$500),ROW(Create_TC_Web!$C$1:$C$500)),""),ROW(Create_TC_Web!N379))),"")</f>
        <v/>
      </c>
      <c r="N379" t="str" cm="1">
        <f t="array" ref="N379">IFERROR(INDEX(Create_TC_Web!Q$1:Q$500,SMALL(IF(Create_TC_Web!$C$1:$C$500&lt;&gt;"",MATCH(ROW(Create_TC_Web!$C$1:$C$500),ROW(Create_TC_Web!$C$1:$C$500)),""),ROW(Create_TC_Web!O379))),"")</f>
        <v/>
      </c>
      <c r="O379" t="str">
        <f t="shared" si="17"/>
        <v/>
      </c>
      <c r="P379" s="17" t="str" cm="1">
        <f t="array" ref="P379">IFERROR(INDEX(Create_TC_Web!S$1:S$500,SMALL(IF(Create_TC_Web!$C$1:$C$500&lt;&gt;"",MATCH(ROW(Create_TC_Web!$C$1:$C$500),ROW(Create_TC_Web!$C$1:$C$500)),""),ROW(Create_TC_Web!Q357))),"")</f>
        <v/>
      </c>
      <c r="S379" t="str">
        <f t="shared" si="18"/>
        <v/>
      </c>
    </row>
    <row r="380" spans="1:19">
      <c r="A380" t="str" cm="1">
        <f t="array" ref="A380">IFERROR(INDEX(Create_TC_Web!D$1:D$500,SMALL(IF(Create_TC_Web!$C$1:$C$500&lt;&gt;"",MATCH(ROW(Create_TC_Web!$C$1:$C$500),ROW(Create_TC_Web!$C$1:$C$500)),""),ROW(Create_TC_Web!B380))),"")</f>
        <v/>
      </c>
      <c r="B380" t="str" cm="1">
        <f t="array" ref="B380">SUBSTITUTE(SUBSTITUTE(SUBSTITUTE(IFERROR(INDEX(Create_TC_Web!E$1:E$505,SMALL(IF(Create_TC_Web!$C$1:$C$505&lt;&gt;"",MATCH(ROW(Create_TC_Web!$C$1:$C$505),ROW(Create_TC_Web!$C$1:$C$505)),""),ROW(Create_TC_Web!C380))),"")," ",""),"-",""),"_","")</f>
        <v/>
      </c>
      <c r="C380" t="str" cm="1">
        <f t="array" ref="C380">IFERROR(INDEX(Create_TC_Web!F$1:F$500,SMALL(IF(Create_TC_Web!$C$1:$C$500&lt;&gt;"",MATCH(ROW(Create_TC_Web!$C$1:$C$500),ROW(Create_TC_Web!$C$1:$C$500)),""),ROW(Create_TC_Web!D380))),"")</f>
        <v/>
      </c>
      <c r="D380" t="str" cm="1">
        <f t="array" ref="D380">IFERROR(INDEX(Create_TC_Web!G$1:G$500,SMALL(IF(Create_TC_Web!$C$1:$C$500&lt;&gt;"",MATCH(ROW(Create_TC_Web!$C$1:$C$500),ROW(Create_TC_Web!$C$1:$C$500)),""),ROW(Create_TC_Web!E380))),"")</f>
        <v/>
      </c>
      <c r="E380" t="str" cm="1">
        <f t="array" ref="E380">IFERROR(INDEX(Create_TC_Web!H$1:H$500,SMALL(IF(Create_TC_Web!$C$1:$C$500&lt;&gt;"",MATCH(ROW(Create_TC_Web!$C$1:$C$500),ROW(Create_TC_Web!$C$1:$C$500)),""),ROW(Create_TC_Web!F380))),"")</f>
        <v/>
      </c>
      <c r="F380" t="str" cm="1">
        <f t="array" ref="F380">IFERROR(INDEX(Create_TC_Web!I$1:I$500,SMALL(IF(Create_TC_Web!$C$1:$C$500&lt;&gt;"",MATCH(ROW(Create_TC_Web!$C$1:$C$500),ROW(Create_TC_Web!$C$1:$C$500)),""),ROW(Create_TC_Web!G380))),"")</f>
        <v/>
      </c>
      <c r="G380" t="str" cm="1">
        <f t="array" ref="G380">IFERROR(INDEX(Create_TC_Web!J$1:J$500,SMALL(IF(Create_TC_Web!$C$1:$C$500&lt;&gt;"",MATCH(ROW(Create_TC_Web!$C$1:$C$500),ROW(Create_TC_Web!$C$1:$C$500)),""),ROW(Create_TC_Web!H380))),"")</f>
        <v/>
      </c>
      <c r="H380" t="str" cm="1">
        <f t="array" ref="H380">IFERROR(INDEX(Create_TC_Web!K$1:K$500,SMALL(IF(Create_TC_Web!$C$1:$C$500&lt;&gt;"",MATCH(ROW(Create_TC_Web!$C$1:$C$500),ROW(Create_TC_Web!$C$1:$C$500)),""),ROW(Create_TC_Web!I380))),"")</f>
        <v/>
      </c>
      <c r="I380" t="str" cm="1">
        <f t="array" ref="I380">IFERROR(INDEX(Create_TC_Web!L$1:L$500,SMALL(IF(Create_TC_Web!$C$1:$C$500&lt;&gt;"",MATCH(ROW(Create_TC_Web!$C$1:$C$500),ROW(Create_TC_Web!$C$1:$C$500)),""),ROW(Create_TC_Web!J380))),"")</f>
        <v/>
      </c>
      <c r="J380" t="str" cm="1">
        <f t="array" ref="J380">IFERROR(INDEX(Create_TC_Web!M$1:M$500,SMALL(IF(Create_TC_Web!$C$1:$C$500&lt;&gt;"",MATCH(ROW(Create_TC_Web!$C$1:$C$500),ROW(Create_TC_Web!$C$1:$C$500)),""),ROW(Create_TC_Web!K380))),"")</f>
        <v/>
      </c>
      <c r="K380" t="str" cm="1">
        <f t="array" ref="K380">IFERROR(INDEX(Create_TC_Web!N$1:N$500,SMALL(IF(Create_TC_Web!$C$1:$C$500&lt;&gt;"",MATCH(ROW(Create_TC_Web!$C$1:$C$500),ROW(Create_TC_Web!$C$1:$C$500)),""),ROW(Create_TC_Web!L380))),"")</f>
        <v/>
      </c>
      <c r="L380" t="str" cm="1">
        <f t="array" ref="L380">IFERROR(INDEX(Create_TC_Web!O$1:O$500,SMALL(IF(Create_TC_Web!$C$1:$C$500&lt;&gt;"",MATCH(ROW(Create_TC_Web!$C$1:$C$500),ROW(Create_TC_Web!$C$1:$C$500)),""),ROW(Create_TC_Web!M380))),"")</f>
        <v/>
      </c>
      <c r="M380" t="str" cm="1">
        <f t="array" ref="M380">IFERROR(INDEX(Create_TC_Web!P$1:P$500,SMALL(IF(Create_TC_Web!$C$1:$C$500&lt;&gt;"",MATCH(ROW(Create_TC_Web!$C$1:$C$500),ROW(Create_TC_Web!$C$1:$C$500)),""),ROW(Create_TC_Web!N380))),"")</f>
        <v/>
      </c>
      <c r="N380" t="str" cm="1">
        <f t="array" ref="N380">IFERROR(INDEX(Create_TC_Web!Q$1:Q$500,SMALL(IF(Create_TC_Web!$C$1:$C$500&lt;&gt;"",MATCH(ROW(Create_TC_Web!$C$1:$C$500),ROW(Create_TC_Web!$C$1:$C$500)),""),ROW(Create_TC_Web!O380))),"")</f>
        <v/>
      </c>
      <c r="O380" t="str">
        <f t="shared" si="17"/>
        <v/>
      </c>
      <c r="P380" s="17" t="str" cm="1">
        <f t="array" ref="P380">IFERROR(INDEX(Create_TC_Web!S$1:S$500,SMALL(IF(Create_TC_Web!$C$1:$C$500&lt;&gt;"",MATCH(ROW(Create_TC_Web!$C$1:$C$500),ROW(Create_TC_Web!$C$1:$C$500)),""),ROW(Create_TC_Web!Q358))),"")</f>
        <v/>
      </c>
      <c r="S380" t="str">
        <f t="shared" si="18"/>
        <v/>
      </c>
    </row>
    <row r="381" spans="1:19">
      <c r="A381" t="str" cm="1">
        <f t="array" ref="A381">IFERROR(INDEX(Create_TC_Web!D$1:D$500,SMALL(IF(Create_TC_Web!$C$1:$C$500&lt;&gt;"",MATCH(ROW(Create_TC_Web!$C$1:$C$500),ROW(Create_TC_Web!$C$1:$C$500)),""),ROW(Create_TC_Web!B381))),"")</f>
        <v/>
      </c>
      <c r="B381" t="str" cm="1">
        <f t="array" ref="B381">SUBSTITUTE(SUBSTITUTE(SUBSTITUTE(IFERROR(INDEX(Create_TC_Web!E$1:E$505,SMALL(IF(Create_TC_Web!$C$1:$C$505&lt;&gt;"",MATCH(ROW(Create_TC_Web!$C$1:$C$505),ROW(Create_TC_Web!$C$1:$C$505)),""),ROW(Create_TC_Web!C381))),"")," ",""),"-",""),"_","")</f>
        <v/>
      </c>
      <c r="C381" t="str" cm="1">
        <f t="array" ref="C381">IFERROR(INDEX(Create_TC_Web!F$1:F$500,SMALL(IF(Create_TC_Web!$C$1:$C$500&lt;&gt;"",MATCH(ROW(Create_TC_Web!$C$1:$C$500),ROW(Create_TC_Web!$C$1:$C$500)),""),ROW(Create_TC_Web!D381))),"")</f>
        <v/>
      </c>
      <c r="D381" t="str" cm="1">
        <f t="array" ref="D381">IFERROR(INDEX(Create_TC_Web!G$1:G$500,SMALL(IF(Create_TC_Web!$C$1:$C$500&lt;&gt;"",MATCH(ROW(Create_TC_Web!$C$1:$C$500),ROW(Create_TC_Web!$C$1:$C$500)),""),ROW(Create_TC_Web!E381))),"")</f>
        <v/>
      </c>
      <c r="E381" t="str" cm="1">
        <f t="array" ref="E381">IFERROR(INDEX(Create_TC_Web!H$1:H$500,SMALL(IF(Create_TC_Web!$C$1:$C$500&lt;&gt;"",MATCH(ROW(Create_TC_Web!$C$1:$C$500),ROW(Create_TC_Web!$C$1:$C$500)),""),ROW(Create_TC_Web!F381))),"")</f>
        <v/>
      </c>
      <c r="F381" t="str" cm="1">
        <f t="array" ref="F381">IFERROR(INDEX(Create_TC_Web!I$1:I$500,SMALL(IF(Create_TC_Web!$C$1:$C$500&lt;&gt;"",MATCH(ROW(Create_TC_Web!$C$1:$C$500),ROW(Create_TC_Web!$C$1:$C$500)),""),ROW(Create_TC_Web!G381))),"")</f>
        <v/>
      </c>
      <c r="G381" t="str" cm="1">
        <f t="array" ref="G381">IFERROR(INDEX(Create_TC_Web!J$1:J$500,SMALL(IF(Create_TC_Web!$C$1:$C$500&lt;&gt;"",MATCH(ROW(Create_TC_Web!$C$1:$C$500),ROW(Create_TC_Web!$C$1:$C$500)),""),ROW(Create_TC_Web!H381))),"")</f>
        <v/>
      </c>
      <c r="H381" t="str" cm="1">
        <f t="array" ref="H381">IFERROR(INDEX(Create_TC_Web!K$1:K$500,SMALL(IF(Create_TC_Web!$C$1:$C$500&lt;&gt;"",MATCH(ROW(Create_TC_Web!$C$1:$C$500),ROW(Create_TC_Web!$C$1:$C$500)),""),ROW(Create_TC_Web!I381))),"")</f>
        <v/>
      </c>
      <c r="I381" t="str" cm="1">
        <f t="array" ref="I381">IFERROR(INDEX(Create_TC_Web!L$1:L$500,SMALL(IF(Create_TC_Web!$C$1:$C$500&lt;&gt;"",MATCH(ROW(Create_TC_Web!$C$1:$C$500),ROW(Create_TC_Web!$C$1:$C$500)),""),ROW(Create_TC_Web!J381))),"")</f>
        <v/>
      </c>
      <c r="J381" t="str" cm="1">
        <f t="array" ref="J381">IFERROR(INDEX(Create_TC_Web!M$1:M$500,SMALL(IF(Create_TC_Web!$C$1:$C$500&lt;&gt;"",MATCH(ROW(Create_TC_Web!$C$1:$C$500),ROW(Create_TC_Web!$C$1:$C$500)),""),ROW(Create_TC_Web!K381))),"")</f>
        <v/>
      </c>
      <c r="K381" t="str" cm="1">
        <f t="array" ref="K381">IFERROR(INDEX(Create_TC_Web!N$1:N$500,SMALL(IF(Create_TC_Web!$C$1:$C$500&lt;&gt;"",MATCH(ROW(Create_TC_Web!$C$1:$C$500),ROW(Create_TC_Web!$C$1:$C$500)),""),ROW(Create_TC_Web!L381))),"")</f>
        <v/>
      </c>
      <c r="L381" t="str" cm="1">
        <f t="array" ref="L381">IFERROR(INDEX(Create_TC_Web!O$1:O$500,SMALL(IF(Create_TC_Web!$C$1:$C$500&lt;&gt;"",MATCH(ROW(Create_TC_Web!$C$1:$C$500),ROW(Create_TC_Web!$C$1:$C$500)),""),ROW(Create_TC_Web!M381))),"")</f>
        <v/>
      </c>
      <c r="M381" t="str" cm="1">
        <f t="array" ref="M381">IFERROR(INDEX(Create_TC_Web!P$1:P$500,SMALL(IF(Create_TC_Web!$C$1:$C$500&lt;&gt;"",MATCH(ROW(Create_TC_Web!$C$1:$C$500),ROW(Create_TC_Web!$C$1:$C$500)),""),ROW(Create_TC_Web!N381))),"")</f>
        <v/>
      </c>
      <c r="N381" t="str" cm="1">
        <f t="array" ref="N381">IFERROR(INDEX(Create_TC_Web!Q$1:Q$500,SMALL(IF(Create_TC_Web!$C$1:$C$500&lt;&gt;"",MATCH(ROW(Create_TC_Web!$C$1:$C$500),ROW(Create_TC_Web!$C$1:$C$500)),""),ROW(Create_TC_Web!O381))),"")</f>
        <v/>
      </c>
      <c r="O381" t="str">
        <f t="shared" si="17"/>
        <v/>
      </c>
      <c r="P381" s="17" t="str" cm="1">
        <f t="array" ref="P381">IFERROR(INDEX(Create_TC_Web!S$1:S$500,SMALL(IF(Create_TC_Web!$C$1:$C$500&lt;&gt;"",MATCH(ROW(Create_TC_Web!$C$1:$C$500),ROW(Create_TC_Web!$C$1:$C$500)),""),ROW(Create_TC_Web!Q359))),"")</f>
        <v/>
      </c>
      <c r="S381" t="str">
        <f t="shared" si="18"/>
        <v/>
      </c>
    </row>
    <row r="382" spans="1:19">
      <c r="A382" t="str" cm="1">
        <f t="array" ref="A382">IFERROR(INDEX(Create_TC_Web!D$1:D$500,SMALL(IF(Create_TC_Web!$C$1:$C$500&lt;&gt;"",MATCH(ROW(Create_TC_Web!$C$1:$C$500),ROW(Create_TC_Web!$C$1:$C$500)),""),ROW(Create_TC_Web!B382))),"")</f>
        <v/>
      </c>
      <c r="B382" t="str" cm="1">
        <f t="array" ref="B382">SUBSTITUTE(SUBSTITUTE(SUBSTITUTE(IFERROR(INDEX(Create_TC_Web!E$1:E$505,SMALL(IF(Create_TC_Web!$C$1:$C$505&lt;&gt;"",MATCH(ROW(Create_TC_Web!$C$1:$C$505),ROW(Create_TC_Web!$C$1:$C$505)),""),ROW(Create_TC_Web!C382))),"")," ",""),"-",""),"_","")</f>
        <v/>
      </c>
      <c r="C382" t="str" cm="1">
        <f t="array" ref="C382">IFERROR(INDEX(Create_TC_Web!F$1:F$500,SMALL(IF(Create_TC_Web!$C$1:$C$500&lt;&gt;"",MATCH(ROW(Create_TC_Web!$C$1:$C$500),ROW(Create_TC_Web!$C$1:$C$500)),""),ROW(Create_TC_Web!D382))),"")</f>
        <v/>
      </c>
      <c r="D382" t="str" cm="1">
        <f t="array" ref="D382">IFERROR(INDEX(Create_TC_Web!G$1:G$500,SMALL(IF(Create_TC_Web!$C$1:$C$500&lt;&gt;"",MATCH(ROW(Create_TC_Web!$C$1:$C$500),ROW(Create_TC_Web!$C$1:$C$500)),""),ROW(Create_TC_Web!E382))),"")</f>
        <v/>
      </c>
      <c r="E382" t="str" cm="1">
        <f t="array" ref="E382">IFERROR(INDEX(Create_TC_Web!H$1:H$500,SMALL(IF(Create_TC_Web!$C$1:$C$500&lt;&gt;"",MATCH(ROW(Create_TC_Web!$C$1:$C$500),ROW(Create_TC_Web!$C$1:$C$500)),""),ROW(Create_TC_Web!F382))),"")</f>
        <v/>
      </c>
      <c r="F382" t="str" cm="1">
        <f t="array" ref="F382">IFERROR(INDEX(Create_TC_Web!I$1:I$500,SMALL(IF(Create_TC_Web!$C$1:$C$500&lt;&gt;"",MATCH(ROW(Create_TC_Web!$C$1:$C$500),ROW(Create_TC_Web!$C$1:$C$500)),""),ROW(Create_TC_Web!G382))),"")</f>
        <v/>
      </c>
      <c r="G382" t="str" cm="1">
        <f t="array" ref="G382">IFERROR(INDEX(Create_TC_Web!J$1:J$500,SMALL(IF(Create_TC_Web!$C$1:$C$500&lt;&gt;"",MATCH(ROW(Create_TC_Web!$C$1:$C$500),ROW(Create_TC_Web!$C$1:$C$500)),""),ROW(Create_TC_Web!H382))),"")</f>
        <v/>
      </c>
      <c r="H382" t="str" cm="1">
        <f t="array" ref="H382">IFERROR(INDEX(Create_TC_Web!K$1:K$500,SMALL(IF(Create_TC_Web!$C$1:$C$500&lt;&gt;"",MATCH(ROW(Create_TC_Web!$C$1:$C$500),ROW(Create_TC_Web!$C$1:$C$500)),""),ROW(Create_TC_Web!I382))),"")</f>
        <v/>
      </c>
      <c r="I382" t="str" cm="1">
        <f t="array" ref="I382">IFERROR(INDEX(Create_TC_Web!L$1:L$500,SMALL(IF(Create_TC_Web!$C$1:$C$500&lt;&gt;"",MATCH(ROW(Create_TC_Web!$C$1:$C$500),ROW(Create_TC_Web!$C$1:$C$500)),""),ROW(Create_TC_Web!J382))),"")</f>
        <v/>
      </c>
      <c r="J382" t="str" cm="1">
        <f t="array" ref="J382">IFERROR(INDEX(Create_TC_Web!M$1:M$500,SMALL(IF(Create_TC_Web!$C$1:$C$500&lt;&gt;"",MATCH(ROW(Create_TC_Web!$C$1:$C$500),ROW(Create_TC_Web!$C$1:$C$500)),""),ROW(Create_TC_Web!K382))),"")</f>
        <v/>
      </c>
      <c r="K382" t="str" cm="1">
        <f t="array" ref="K382">IFERROR(INDEX(Create_TC_Web!N$1:N$500,SMALL(IF(Create_TC_Web!$C$1:$C$500&lt;&gt;"",MATCH(ROW(Create_TC_Web!$C$1:$C$500),ROW(Create_TC_Web!$C$1:$C$500)),""),ROW(Create_TC_Web!L382))),"")</f>
        <v/>
      </c>
      <c r="L382" t="str" cm="1">
        <f t="array" ref="L382">IFERROR(INDEX(Create_TC_Web!O$1:O$500,SMALL(IF(Create_TC_Web!$C$1:$C$500&lt;&gt;"",MATCH(ROW(Create_TC_Web!$C$1:$C$500),ROW(Create_TC_Web!$C$1:$C$500)),""),ROW(Create_TC_Web!M382))),"")</f>
        <v/>
      </c>
      <c r="M382" t="str" cm="1">
        <f t="array" ref="M382">IFERROR(INDEX(Create_TC_Web!P$1:P$500,SMALL(IF(Create_TC_Web!$C$1:$C$500&lt;&gt;"",MATCH(ROW(Create_TC_Web!$C$1:$C$500),ROW(Create_TC_Web!$C$1:$C$500)),""),ROW(Create_TC_Web!N382))),"")</f>
        <v/>
      </c>
      <c r="N382" t="str" cm="1">
        <f t="array" ref="N382">IFERROR(INDEX(Create_TC_Web!Q$1:Q$500,SMALL(IF(Create_TC_Web!$C$1:$C$500&lt;&gt;"",MATCH(ROW(Create_TC_Web!$C$1:$C$500),ROW(Create_TC_Web!$C$1:$C$500)),""),ROW(Create_TC_Web!O382))),"")</f>
        <v/>
      </c>
      <c r="O382" t="str">
        <f t="shared" si="17"/>
        <v/>
      </c>
      <c r="P382" s="17" t="str" cm="1">
        <f t="array" ref="P382">IFERROR(INDEX(Create_TC_Web!S$1:S$500,SMALL(IF(Create_TC_Web!$C$1:$C$500&lt;&gt;"",MATCH(ROW(Create_TC_Web!$C$1:$C$500),ROW(Create_TC_Web!$C$1:$C$500)),""),ROW(Create_TC_Web!Q360))),"")</f>
        <v/>
      </c>
      <c r="S382" t="str">
        <f t="shared" si="18"/>
        <v/>
      </c>
    </row>
    <row r="383" spans="1:19">
      <c r="A383" t="str" cm="1">
        <f t="array" ref="A383">IFERROR(INDEX(Create_TC_Web!D$1:D$500,SMALL(IF(Create_TC_Web!$C$1:$C$500&lt;&gt;"",MATCH(ROW(Create_TC_Web!$C$1:$C$500),ROW(Create_TC_Web!$C$1:$C$500)),""),ROW(Create_TC_Web!B383))),"")</f>
        <v/>
      </c>
      <c r="B383" t="str" cm="1">
        <f t="array" ref="B383">SUBSTITUTE(SUBSTITUTE(SUBSTITUTE(IFERROR(INDEX(Create_TC_Web!E$1:E$505,SMALL(IF(Create_TC_Web!$C$1:$C$505&lt;&gt;"",MATCH(ROW(Create_TC_Web!$C$1:$C$505),ROW(Create_TC_Web!$C$1:$C$505)),""),ROW(Create_TC_Web!C383))),"")," ",""),"-",""),"_","")</f>
        <v/>
      </c>
      <c r="C383" t="str" cm="1">
        <f t="array" ref="C383">IFERROR(INDEX(Create_TC_Web!F$1:F$500,SMALL(IF(Create_TC_Web!$C$1:$C$500&lt;&gt;"",MATCH(ROW(Create_TC_Web!$C$1:$C$500),ROW(Create_TC_Web!$C$1:$C$500)),""),ROW(Create_TC_Web!D383))),"")</f>
        <v/>
      </c>
      <c r="D383" t="str" cm="1">
        <f t="array" ref="D383">IFERROR(INDEX(Create_TC_Web!G$1:G$500,SMALL(IF(Create_TC_Web!$C$1:$C$500&lt;&gt;"",MATCH(ROW(Create_TC_Web!$C$1:$C$500),ROW(Create_TC_Web!$C$1:$C$500)),""),ROW(Create_TC_Web!E383))),"")</f>
        <v/>
      </c>
      <c r="E383" t="str" cm="1">
        <f t="array" ref="E383">IFERROR(INDEX(Create_TC_Web!H$1:H$500,SMALL(IF(Create_TC_Web!$C$1:$C$500&lt;&gt;"",MATCH(ROW(Create_TC_Web!$C$1:$C$500),ROW(Create_TC_Web!$C$1:$C$500)),""),ROW(Create_TC_Web!F383))),"")</f>
        <v/>
      </c>
      <c r="F383" t="str" cm="1">
        <f t="array" ref="F383">IFERROR(INDEX(Create_TC_Web!I$1:I$500,SMALL(IF(Create_TC_Web!$C$1:$C$500&lt;&gt;"",MATCH(ROW(Create_TC_Web!$C$1:$C$500),ROW(Create_TC_Web!$C$1:$C$500)),""),ROW(Create_TC_Web!G383))),"")</f>
        <v/>
      </c>
      <c r="G383" t="str" cm="1">
        <f t="array" ref="G383">IFERROR(INDEX(Create_TC_Web!J$1:J$500,SMALL(IF(Create_TC_Web!$C$1:$C$500&lt;&gt;"",MATCH(ROW(Create_TC_Web!$C$1:$C$500),ROW(Create_TC_Web!$C$1:$C$500)),""),ROW(Create_TC_Web!H383))),"")</f>
        <v/>
      </c>
      <c r="H383" t="str" cm="1">
        <f t="array" ref="H383">IFERROR(INDEX(Create_TC_Web!K$1:K$500,SMALL(IF(Create_TC_Web!$C$1:$C$500&lt;&gt;"",MATCH(ROW(Create_TC_Web!$C$1:$C$500),ROW(Create_TC_Web!$C$1:$C$500)),""),ROW(Create_TC_Web!I383))),"")</f>
        <v/>
      </c>
      <c r="I383" t="str" cm="1">
        <f t="array" ref="I383">IFERROR(INDEX(Create_TC_Web!L$1:L$500,SMALL(IF(Create_TC_Web!$C$1:$C$500&lt;&gt;"",MATCH(ROW(Create_TC_Web!$C$1:$C$500),ROW(Create_TC_Web!$C$1:$C$500)),""),ROW(Create_TC_Web!J383))),"")</f>
        <v/>
      </c>
      <c r="J383" t="str" cm="1">
        <f t="array" ref="J383">IFERROR(INDEX(Create_TC_Web!M$1:M$500,SMALL(IF(Create_TC_Web!$C$1:$C$500&lt;&gt;"",MATCH(ROW(Create_TC_Web!$C$1:$C$500),ROW(Create_TC_Web!$C$1:$C$500)),""),ROW(Create_TC_Web!K383))),"")</f>
        <v/>
      </c>
      <c r="K383" t="str" cm="1">
        <f t="array" ref="K383">IFERROR(INDEX(Create_TC_Web!N$1:N$500,SMALL(IF(Create_TC_Web!$C$1:$C$500&lt;&gt;"",MATCH(ROW(Create_TC_Web!$C$1:$C$500),ROW(Create_TC_Web!$C$1:$C$500)),""),ROW(Create_TC_Web!L383))),"")</f>
        <v/>
      </c>
      <c r="L383" t="str" cm="1">
        <f t="array" ref="L383">IFERROR(INDEX(Create_TC_Web!O$1:O$500,SMALL(IF(Create_TC_Web!$C$1:$C$500&lt;&gt;"",MATCH(ROW(Create_TC_Web!$C$1:$C$500),ROW(Create_TC_Web!$C$1:$C$500)),""),ROW(Create_TC_Web!M383))),"")</f>
        <v/>
      </c>
      <c r="M383" t="str" cm="1">
        <f t="array" ref="M383">IFERROR(INDEX(Create_TC_Web!P$1:P$500,SMALL(IF(Create_TC_Web!$C$1:$C$500&lt;&gt;"",MATCH(ROW(Create_TC_Web!$C$1:$C$500),ROW(Create_TC_Web!$C$1:$C$500)),""),ROW(Create_TC_Web!N383))),"")</f>
        <v/>
      </c>
      <c r="N383" t="str" cm="1">
        <f t="array" ref="N383">IFERROR(INDEX(Create_TC_Web!Q$1:Q$500,SMALL(IF(Create_TC_Web!$C$1:$C$500&lt;&gt;"",MATCH(ROW(Create_TC_Web!$C$1:$C$500),ROW(Create_TC_Web!$C$1:$C$500)),""),ROW(Create_TC_Web!O383))),"")</f>
        <v/>
      </c>
      <c r="O383" t="str">
        <f t="shared" si="17"/>
        <v/>
      </c>
      <c r="P383" s="17" t="str" cm="1">
        <f t="array" ref="P383">IFERROR(INDEX(Create_TC_Web!S$1:S$500,SMALL(IF(Create_TC_Web!$C$1:$C$500&lt;&gt;"",MATCH(ROW(Create_TC_Web!$C$1:$C$500),ROW(Create_TC_Web!$C$1:$C$500)),""),ROW(Create_TC_Web!Q361))),"")</f>
        <v/>
      </c>
      <c r="S383" t="str">
        <f t="shared" si="18"/>
        <v/>
      </c>
    </row>
    <row r="384" spans="1:19">
      <c r="A384" t="str" cm="1">
        <f t="array" ref="A384">IFERROR(INDEX(Create_TC_Web!D$1:D$500,SMALL(IF(Create_TC_Web!$C$1:$C$500&lt;&gt;"",MATCH(ROW(Create_TC_Web!$C$1:$C$500),ROW(Create_TC_Web!$C$1:$C$500)),""),ROW(Create_TC_Web!B384))),"")</f>
        <v/>
      </c>
      <c r="B384" t="str" cm="1">
        <f t="array" ref="B384">SUBSTITUTE(SUBSTITUTE(SUBSTITUTE(IFERROR(INDEX(Create_TC_Web!E$1:E$505,SMALL(IF(Create_TC_Web!$C$1:$C$505&lt;&gt;"",MATCH(ROW(Create_TC_Web!$C$1:$C$505),ROW(Create_TC_Web!$C$1:$C$505)),""),ROW(Create_TC_Web!C384))),"")," ",""),"-",""),"_","")</f>
        <v/>
      </c>
      <c r="C384" t="str" cm="1">
        <f t="array" ref="C384">IFERROR(INDEX(Create_TC_Web!F$1:F$500,SMALL(IF(Create_TC_Web!$C$1:$C$500&lt;&gt;"",MATCH(ROW(Create_TC_Web!$C$1:$C$500),ROW(Create_TC_Web!$C$1:$C$500)),""),ROW(Create_TC_Web!D384))),"")</f>
        <v/>
      </c>
      <c r="D384" t="str" cm="1">
        <f t="array" ref="D384">IFERROR(INDEX(Create_TC_Web!G$1:G$500,SMALL(IF(Create_TC_Web!$C$1:$C$500&lt;&gt;"",MATCH(ROW(Create_TC_Web!$C$1:$C$500),ROW(Create_TC_Web!$C$1:$C$500)),""),ROW(Create_TC_Web!E384))),"")</f>
        <v/>
      </c>
      <c r="E384" t="str" cm="1">
        <f t="array" ref="E384">IFERROR(INDEX(Create_TC_Web!H$1:H$500,SMALL(IF(Create_TC_Web!$C$1:$C$500&lt;&gt;"",MATCH(ROW(Create_TC_Web!$C$1:$C$500),ROW(Create_TC_Web!$C$1:$C$500)),""),ROW(Create_TC_Web!F384))),"")</f>
        <v/>
      </c>
      <c r="F384" t="str" cm="1">
        <f t="array" ref="F384">IFERROR(INDEX(Create_TC_Web!I$1:I$500,SMALL(IF(Create_TC_Web!$C$1:$C$500&lt;&gt;"",MATCH(ROW(Create_TC_Web!$C$1:$C$500),ROW(Create_TC_Web!$C$1:$C$500)),""),ROW(Create_TC_Web!G384))),"")</f>
        <v/>
      </c>
      <c r="G384" t="str" cm="1">
        <f t="array" ref="G384">IFERROR(INDEX(Create_TC_Web!J$1:J$500,SMALL(IF(Create_TC_Web!$C$1:$C$500&lt;&gt;"",MATCH(ROW(Create_TC_Web!$C$1:$C$500),ROW(Create_TC_Web!$C$1:$C$500)),""),ROW(Create_TC_Web!H384))),"")</f>
        <v/>
      </c>
      <c r="H384" t="str" cm="1">
        <f t="array" ref="H384">IFERROR(INDEX(Create_TC_Web!K$1:K$500,SMALL(IF(Create_TC_Web!$C$1:$C$500&lt;&gt;"",MATCH(ROW(Create_TC_Web!$C$1:$C$500),ROW(Create_TC_Web!$C$1:$C$500)),""),ROW(Create_TC_Web!I384))),"")</f>
        <v/>
      </c>
      <c r="I384" t="str" cm="1">
        <f t="array" ref="I384">IFERROR(INDEX(Create_TC_Web!L$1:L$500,SMALL(IF(Create_TC_Web!$C$1:$C$500&lt;&gt;"",MATCH(ROW(Create_TC_Web!$C$1:$C$500),ROW(Create_TC_Web!$C$1:$C$500)),""),ROW(Create_TC_Web!J384))),"")</f>
        <v/>
      </c>
      <c r="J384" t="str" cm="1">
        <f t="array" ref="J384">IFERROR(INDEX(Create_TC_Web!M$1:M$500,SMALL(IF(Create_TC_Web!$C$1:$C$500&lt;&gt;"",MATCH(ROW(Create_TC_Web!$C$1:$C$500),ROW(Create_TC_Web!$C$1:$C$500)),""),ROW(Create_TC_Web!K384))),"")</f>
        <v/>
      </c>
      <c r="K384" t="str" cm="1">
        <f t="array" ref="K384">IFERROR(INDEX(Create_TC_Web!N$1:N$500,SMALL(IF(Create_TC_Web!$C$1:$C$500&lt;&gt;"",MATCH(ROW(Create_TC_Web!$C$1:$C$500),ROW(Create_TC_Web!$C$1:$C$500)),""),ROW(Create_TC_Web!L384))),"")</f>
        <v/>
      </c>
      <c r="L384" t="str" cm="1">
        <f t="array" ref="L384">IFERROR(INDEX(Create_TC_Web!O$1:O$500,SMALL(IF(Create_TC_Web!$C$1:$C$500&lt;&gt;"",MATCH(ROW(Create_TC_Web!$C$1:$C$500),ROW(Create_TC_Web!$C$1:$C$500)),""),ROW(Create_TC_Web!M384))),"")</f>
        <v/>
      </c>
      <c r="M384" t="str" cm="1">
        <f t="array" ref="M384">IFERROR(INDEX(Create_TC_Web!P$1:P$500,SMALL(IF(Create_TC_Web!$C$1:$C$500&lt;&gt;"",MATCH(ROW(Create_TC_Web!$C$1:$C$500),ROW(Create_TC_Web!$C$1:$C$500)),""),ROW(Create_TC_Web!N384))),"")</f>
        <v/>
      </c>
      <c r="N384" t="str" cm="1">
        <f t="array" ref="N384">IFERROR(INDEX(Create_TC_Web!Q$1:Q$500,SMALL(IF(Create_TC_Web!$C$1:$C$500&lt;&gt;"",MATCH(ROW(Create_TC_Web!$C$1:$C$500),ROW(Create_TC_Web!$C$1:$C$500)),""),ROW(Create_TC_Web!O384))),"")</f>
        <v/>
      </c>
      <c r="O384" t="str">
        <f t="shared" si="17"/>
        <v/>
      </c>
      <c r="P384" s="17" t="str" cm="1">
        <f t="array" ref="P384">IFERROR(INDEX(Create_TC_Web!S$1:S$500,SMALL(IF(Create_TC_Web!$C$1:$C$500&lt;&gt;"",MATCH(ROW(Create_TC_Web!$C$1:$C$500),ROW(Create_TC_Web!$C$1:$C$500)),""),ROW(Create_TC_Web!Q362))),"")</f>
        <v/>
      </c>
      <c r="S384" t="str">
        <f t="shared" si="18"/>
        <v/>
      </c>
    </row>
    <row r="385" spans="1:19">
      <c r="A385" t="str" cm="1">
        <f t="array" ref="A385">IFERROR(INDEX(Create_TC_Web!D$1:D$500,SMALL(IF(Create_TC_Web!$C$1:$C$500&lt;&gt;"",MATCH(ROW(Create_TC_Web!$C$1:$C$500),ROW(Create_TC_Web!$C$1:$C$500)),""),ROW(Create_TC_Web!B385))),"")</f>
        <v/>
      </c>
      <c r="B385" t="str" cm="1">
        <f t="array" ref="B385">SUBSTITUTE(SUBSTITUTE(SUBSTITUTE(IFERROR(INDEX(Create_TC_Web!E$1:E$505,SMALL(IF(Create_TC_Web!$C$1:$C$505&lt;&gt;"",MATCH(ROW(Create_TC_Web!$C$1:$C$505),ROW(Create_TC_Web!$C$1:$C$505)),""),ROW(Create_TC_Web!C385))),"")," ",""),"-",""),"_","")</f>
        <v/>
      </c>
      <c r="C385" t="str" cm="1">
        <f t="array" ref="C385">IFERROR(INDEX(Create_TC_Web!F$1:F$500,SMALL(IF(Create_TC_Web!$C$1:$C$500&lt;&gt;"",MATCH(ROW(Create_TC_Web!$C$1:$C$500),ROW(Create_TC_Web!$C$1:$C$500)),""),ROW(Create_TC_Web!D385))),"")</f>
        <v/>
      </c>
      <c r="D385" t="str" cm="1">
        <f t="array" ref="D385">IFERROR(INDEX(Create_TC_Web!G$1:G$500,SMALL(IF(Create_TC_Web!$C$1:$C$500&lt;&gt;"",MATCH(ROW(Create_TC_Web!$C$1:$C$500),ROW(Create_TC_Web!$C$1:$C$500)),""),ROW(Create_TC_Web!E385))),"")</f>
        <v/>
      </c>
      <c r="E385" t="str" cm="1">
        <f t="array" ref="E385">IFERROR(INDEX(Create_TC_Web!H$1:H$500,SMALL(IF(Create_TC_Web!$C$1:$C$500&lt;&gt;"",MATCH(ROW(Create_TC_Web!$C$1:$C$500),ROW(Create_TC_Web!$C$1:$C$500)),""),ROW(Create_TC_Web!F385))),"")</f>
        <v/>
      </c>
      <c r="F385" t="str" cm="1">
        <f t="array" ref="F385">IFERROR(INDEX(Create_TC_Web!I$1:I$500,SMALL(IF(Create_TC_Web!$C$1:$C$500&lt;&gt;"",MATCH(ROW(Create_TC_Web!$C$1:$C$500),ROW(Create_TC_Web!$C$1:$C$500)),""),ROW(Create_TC_Web!G385))),"")</f>
        <v/>
      </c>
      <c r="G385" t="str" cm="1">
        <f t="array" ref="G385">IFERROR(INDEX(Create_TC_Web!J$1:J$500,SMALL(IF(Create_TC_Web!$C$1:$C$500&lt;&gt;"",MATCH(ROW(Create_TC_Web!$C$1:$C$500),ROW(Create_TC_Web!$C$1:$C$500)),""),ROW(Create_TC_Web!H385))),"")</f>
        <v/>
      </c>
      <c r="H385" t="str" cm="1">
        <f t="array" ref="H385">IFERROR(INDEX(Create_TC_Web!K$1:K$500,SMALL(IF(Create_TC_Web!$C$1:$C$500&lt;&gt;"",MATCH(ROW(Create_TC_Web!$C$1:$C$500),ROW(Create_TC_Web!$C$1:$C$500)),""),ROW(Create_TC_Web!I385))),"")</f>
        <v/>
      </c>
      <c r="I385" t="str" cm="1">
        <f t="array" ref="I385">IFERROR(INDEX(Create_TC_Web!L$1:L$500,SMALL(IF(Create_TC_Web!$C$1:$C$500&lt;&gt;"",MATCH(ROW(Create_TC_Web!$C$1:$C$500),ROW(Create_TC_Web!$C$1:$C$500)),""),ROW(Create_TC_Web!J385))),"")</f>
        <v/>
      </c>
      <c r="J385" t="str" cm="1">
        <f t="array" ref="J385">IFERROR(INDEX(Create_TC_Web!M$1:M$500,SMALL(IF(Create_TC_Web!$C$1:$C$500&lt;&gt;"",MATCH(ROW(Create_TC_Web!$C$1:$C$500),ROW(Create_TC_Web!$C$1:$C$500)),""),ROW(Create_TC_Web!K385))),"")</f>
        <v/>
      </c>
      <c r="K385" t="str" cm="1">
        <f t="array" ref="K385">IFERROR(INDEX(Create_TC_Web!N$1:N$500,SMALL(IF(Create_TC_Web!$C$1:$C$500&lt;&gt;"",MATCH(ROW(Create_TC_Web!$C$1:$C$500),ROW(Create_TC_Web!$C$1:$C$500)),""),ROW(Create_TC_Web!L385))),"")</f>
        <v/>
      </c>
      <c r="L385" t="str" cm="1">
        <f t="array" ref="L385">IFERROR(INDEX(Create_TC_Web!O$1:O$500,SMALL(IF(Create_TC_Web!$C$1:$C$500&lt;&gt;"",MATCH(ROW(Create_TC_Web!$C$1:$C$500),ROW(Create_TC_Web!$C$1:$C$500)),""),ROW(Create_TC_Web!M385))),"")</f>
        <v/>
      </c>
      <c r="M385" t="str" cm="1">
        <f t="array" ref="M385">IFERROR(INDEX(Create_TC_Web!P$1:P$500,SMALL(IF(Create_TC_Web!$C$1:$C$500&lt;&gt;"",MATCH(ROW(Create_TC_Web!$C$1:$C$500),ROW(Create_TC_Web!$C$1:$C$500)),""),ROW(Create_TC_Web!N385))),"")</f>
        <v/>
      </c>
      <c r="N385" t="str" cm="1">
        <f t="array" ref="N385">IFERROR(INDEX(Create_TC_Web!Q$1:Q$500,SMALL(IF(Create_TC_Web!$C$1:$C$500&lt;&gt;"",MATCH(ROW(Create_TC_Web!$C$1:$C$500),ROW(Create_TC_Web!$C$1:$C$500)),""),ROW(Create_TC_Web!O385))),"")</f>
        <v/>
      </c>
      <c r="O385" t="str">
        <f t="shared" si="17"/>
        <v/>
      </c>
      <c r="P385" s="17" t="str" cm="1">
        <f t="array" ref="P385">IFERROR(INDEX(Create_TC_Web!S$1:S$500,SMALL(IF(Create_TC_Web!$C$1:$C$500&lt;&gt;"",MATCH(ROW(Create_TC_Web!$C$1:$C$500),ROW(Create_TC_Web!$C$1:$C$500)),""),ROW(Create_TC_Web!Q363))),"")</f>
        <v/>
      </c>
      <c r="S385" t="str">
        <f t="shared" si="18"/>
        <v/>
      </c>
    </row>
    <row r="386" spans="1:19">
      <c r="A386" t="str" cm="1">
        <f t="array" ref="A386">IFERROR(INDEX(Create_TC_Web!D$1:D$500,SMALL(IF(Create_TC_Web!$C$1:$C$500&lt;&gt;"",MATCH(ROW(Create_TC_Web!$C$1:$C$500),ROW(Create_TC_Web!$C$1:$C$500)),""),ROW(Create_TC_Web!B386))),"")</f>
        <v/>
      </c>
      <c r="B386" t="str" cm="1">
        <f t="array" ref="B386">SUBSTITUTE(SUBSTITUTE(SUBSTITUTE(IFERROR(INDEX(Create_TC_Web!E$1:E$505,SMALL(IF(Create_TC_Web!$C$1:$C$505&lt;&gt;"",MATCH(ROW(Create_TC_Web!$C$1:$C$505),ROW(Create_TC_Web!$C$1:$C$505)),""),ROW(Create_TC_Web!C386))),"")," ",""),"-",""),"_","")</f>
        <v/>
      </c>
      <c r="C386" t="str" cm="1">
        <f t="array" ref="C386">IFERROR(INDEX(Create_TC_Web!F$1:F$500,SMALL(IF(Create_TC_Web!$C$1:$C$500&lt;&gt;"",MATCH(ROW(Create_TC_Web!$C$1:$C$500),ROW(Create_TC_Web!$C$1:$C$500)),""),ROW(Create_TC_Web!D386))),"")</f>
        <v/>
      </c>
      <c r="D386" t="str" cm="1">
        <f t="array" ref="D386">IFERROR(INDEX(Create_TC_Web!G$1:G$500,SMALL(IF(Create_TC_Web!$C$1:$C$500&lt;&gt;"",MATCH(ROW(Create_TC_Web!$C$1:$C$500),ROW(Create_TC_Web!$C$1:$C$500)),""),ROW(Create_TC_Web!E386))),"")</f>
        <v/>
      </c>
      <c r="E386" t="str" cm="1">
        <f t="array" ref="E386">IFERROR(INDEX(Create_TC_Web!H$1:H$500,SMALL(IF(Create_TC_Web!$C$1:$C$500&lt;&gt;"",MATCH(ROW(Create_TC_Web!$C$1:$C$500),ROW(Create_TC_Web!$C$1:$C$500)),""),ROW(Create_TC_Web!F386))),"")</f>
        <v/>
      </c>
      <c r="F386" t="str" cm="1">
        <f t="array" ref="F386">IFERROR(INDEX(Create_TC_Web!I$1:I$500,SMALL(IF(Create_TC_Web!$C$1:$C$500&lt;&gt;"",MATCH(ROW(Create_TC_Web!$C$1:$C$500),ROW(Create_TC_Web!$C$1:$C$500)),""),ROW(Create_TC_Web!G386))),"")</f>
        <v/>
      </c>
      <c r="G386" t="str" cm="1">
        <f t="array" ref="G386">IFERROR(INDEX(Create_TC_Web!J$1:J$500,SMALL(IF(Create_TC_Web!$C$1:$C$500&lt;&gt;"",MATCH(ROW(Create_TC_Web!$C$1:$C$500),ROW(Create_TC_Web!$C$1:$C$500)),""),ROW(Create_TC_Web!H386))),"")</f>
        <v/>
      </c>
      <c r="H386" t="str" cm="1">
        <f t="array" ref="H386">IFERROR(INDEX(Create_TC_Web!K$1:K$500,SMALL(IF(Create_TC_Web!$C$1:$C$500&lt;&gt;"",MATCH(ROW(Create_TC_Web!$C$1:$C$500),ROW(Create_TC_Web!$C$1:$C$500)),""),ROW(Create_TC_Web!I386))),"")</f>
        <v/>
      </c>
      <c r="I386" t="str" cm="1">
        <f t="array" ref="I386">IFERROR(INDEX(Create_TC_Web!L$1:L$500,SMALL(IF(Create_TC_Web!$C$1:$C$500&lt;&gt;"",MATCH(ROW(Create_TC_Web!$C$1:$C$500),ROW(Create_TC_Web!$C$1:$C$500)),""),ROW(Create_TC_Web!J386))),"")</f>
        <v/>
      </c>
      <c r="J386" t="str" cm="1">
        <f t="array" ref="J386">IFERROR(INDEX(Create_TC_Web!M$1:M$500,SMALL(IF(Create_TC_Web!$C$1:$C$500&lt;&gt;"",MATCH(ROW(Create_TC_Web!$C$1:$C$500),ROW(Create_TC_Web!$C$1:$C$500)),""),ROW(Create_TC_Web!K386))),"")</f>
        <v/>
      </c>
      <c r="K386" t="str" cm="1">
        <f t="array" ref="K386">IFERROR(INDEX(Create_TC_Web!N$1:N$500,SMALL(IF(Create_TC_Web!$C$1:$C$500&lt;&gt;"",MATCH(ROW(Create_TC_Web!$C$1:$C$500),ROW(Create_TC_Web!$C$1:$C$500)),""),ROW(Create_TC_Web!L386))),"")</f>
        <v/>
      </c>
      <c r="L386" t="str" cm="1">
        <f t="array" ref="L386">IFERROR(INDEX(Create_TC_Web!O$1:O$500,SMALL(IF(Create_TC_Web!$C$1:$C$500&lt;&gt;"",MATCH(ROW(Create_TC_Web!$C$1:$C$500),ROW(Create_TC_Web!$C$1:$C$500)),""),ROW(Create_TC_Web!M386))),"")</f>
        <v/>
      </c>
      <c r="M386" t="str" cm="1">
        <f t="array" ref="M386">IFERROR(INDEX(Create_TC_Web!P$1:P$500,SMALL(IF(Create_TC_Web!$C$1:$C$500&lt;&gt;"",MATCH(ROW(Create_TC_Web!$C$1:$C$500),ROW(Create_TC_Web!$C$1:$C$500)),""),ROW(Create_TC_Web!N386))),"")</f>
        <v/>
      </c>
      <c r="N386" t="str" cm="1">
        <f t="array" ref="N386">IFERROR(INDEX(Create_TC_Web!Q$1:Q$500,SMALL(IF(Create_TC_Web!$C$1:$C$500&lt;&gt;"",MATCH(ROW(Create_TC_Web!$C$1:$C$500),ROW(Create_TC_Web!$C$1:$C$500)),""),ROW(Create_TC_Web!O386))),"")</f>
        <v/>
      </c>
      <c r="O386" t="str">
        <f t="shared" si="17"/>
        <v/>
      </c>
      <c r="P386" s="17" t="str" cm="1">
        <f t="array" ref="P386">IFERROR(INDEX(Create_TC_Web!S$1:S$500,SMALL(IF(Create_TC_Web!$C$1:$C$500&lt;&gt;"",MATCH(ROW(Create_TC_Web!$C$1:$C$500),ROW(Create_TC_Web!$C$1:$C$500)),""),ROW(Create_TC_Web!Q364))),"")</f>
        <v/>
      </c>
      <c r="S386" t="str">
        <f t="shared" si="18"/>
        <v/>
      </c>
    </row>
    <row r="387" spans="1:19">
      <c r="A387" t="str" cm="1">
        <f t="array" ref="A387">IFERROR(INDEX(Create_TC_Web!D$1:D$500,SMALL(IF(Create_TC_Web!$C$1:$C$500&lt;&gt;"",MATCH(ROW(Create_TC_Web!$C$1:$C$500),ROW(Create_TC_Web!$C$1:$C$500)),""),ROW(Create_TC_Web!B387))),"")</f>
        <v/>
      </c>
      <c r="B387" t="str" cm="1">
        <f t="array" ref="B387">SUBSTITUTE(SUBSTITUTE(SUBSTITUTE(IFERROR(INDEX(Create_TC_Web!E$1:E$505,SMALL(IF(Create_TC_Web!$C$1:$C$505&lt;&gt;"",MATCH(ROW(Create_TC_Web!$C$1:$C$505),ROW(Create_TC_Web!$C$1:$C$505)),""),ROW(Create_TC_Web!C387))),"")," ",""),"-",""),"_","")</f>
        <v/>
      </c>
      <c r="C387" t="str" cm="1">
        <f t="array" ref="C387">IFERROR(INDEX(Create_TC_Web!F$1:F$500,SMALL(IF(Create_TC_Web!$C$1:$C$500&lt;&gt;"",MATCH(ROW(Create_TC_Web!$C$1:$C$500),ROW(Create_TC_Web!$C$1:$C$500)),""),ROW(Create_TC_Web!D387))),"")</f>
        <v/>
      </c>
      <c r="D387" t="str" cm="1">
        <f t="array" ref="D387">IFERROR(INDEX(Create_TC_Web!G$1:G$500,SMALL(IF(Create_TC_Web!$C$1:$C$500&lt;&gt;"",MATCH(ROW(Create_TC_Web!$C$1:$C$500),ROW(Create_TC_Web!$C$1:$C$500)),""),ROW(Create_TC_Web!E387))),"")</f>
        <v/>
      </c>
      <c r="E387" t="str" cm="1">
        <f t="array" ref="E387">IFERROR(INDEX(Create_TC_Web!H$1:H$500,SMALL(IF(Create_TC_Web!$C$1:$C$500&lt;&gt;"",MATCH(ROW(Create_TC_Web!$C$1:$C$500),ROW(Create_TC_Web!$C$1:$C$500)),""),ROW(Create_TC_Web!F387))),"")</f>
        <v/>
      </c>
      <c r="F387" t="str" cm="1">
        <f t="array" ref="F387">IFERROR(INDEX(Create_TC_Web!I$1:I$500,SMALL(IF(Create_TC_Web!$C$1:$C$500&lt;&gt;"",MATCH(ROW(Create_TC_Web!$C$1:$C$500),ROW(Create_TC_Web!$C$1:$C$500)),""),ROW(Create_TC_Web!G387))),"")</f>
        <v/>
      </c>
      <c r="G387" t="str" cm="1">
        <f t="array" ref="G387">IFERROR(INDEX(Create_TC_Web!J$1:J$500,SMALL(IF(Create_TC_Web!$C$1:$C$500&lt;&gt;"",MATCH(ROW(Create_TC_Web!$C$1:$C$500),ROW(Create_TC_Web!$C$1:$C$500)),""),ROW(Create_TC_Web!H387))),"")</f>
        <v/>
      </c>
      <c r="H387" t="str" cm="1">
        <f t="array" ref="H387">IFERROR(INDEX(Create_TC_Web!K$1:K$500,SMALL(IF(Create_TC_Web!$C$1:$C$500&lt;&gt;"",MATCH(ROW(Create_TC_Web!$C$1:$C$500),ROW(Create_TC_Web!$C$1:$C$500)),""),ROW(Create_TC_Web!I387))),"")</f>
        <v/>
      </c>
      <c r="I387" t="str" cm="1">
        <f t="array" ref="I387">IFERROR(INDEX(Create_TC_Web!L$1:L$500,SMALL(IF(Create_TC_Web!$C$1:$C$500&lt;&gt;"",MATCH(ROW(Create_TC_Web!$C$1:$C$500),ROW(Create_TC_Web!$C$1:$C$500)),""),ROW(Create_TC_Web!J387))),"")</f>
        <v/>
      </c>
      <c r="J387" t="str" cm="1">
        <f t="array" ref="J387">IFERROR(INDEX(Create_TC_Web!M$1:M$500,SMALL(IF(Create_TC_Web!$C$1:$C$500&lt;&gt;"",MATCH(ROW(Create_TC_Web!$C$1:$C$500),ROW(Create_TC_Web!$C$1:$C$500)),""),ROW(Create_TC_Web!K387))),"")</f>
        <v/>
      </c>
      <c r="K387" t="str" cm="1">
        <f t="array" ref="K387">IFERROR(INDEX(Create_TC_Web!N$1:N$500,SMALL(IF(Create_TC_Web!$C$1:$C$500&lt;&gt;"",MATCH(ROW(Create_TC_Web!$C$1:$C$500),ROW(Create_TC_Web!$C$1:$C$500)),""),ROW(Create_TC_Web!L387))),"")</f>
        <v/>
      </c>
      <c r="L387" t="str" cm="1">
        <f t="array" ref="L387">IFERROR(INDEX(Create_TC_Web!O$1:O$500,SMALL(IF(Create_TC_Web!$C$1:$C$500&lt;&gt;"",MATCH(ROW(Create_TC_Web!$C$1:$C$500),ROW(Create_TC_Web!$C$1:$C$500)),""),ROW(Create_TC_Web!M387))),"")</f>
        <v/>
      </c>
      <c r="M387" t="str" cm="1">
        <f t="array" ref="M387">IFERROR(INDEX(Create_TC_Web!P$1:P$500,SMALL(IF(Create_TC_Web!$C$1:$C$500&lt;&gt;"",MATCH(ROW(Create_TC_Web!$C$1:$C$500),ROW(Create_TC_Web!$C$1:$C$500)),""),ROW(Create_TC_Web!N387))),"")</f>
        <v/>
      </c>
      <c r="N387" t="str" cm="1">
        <f t="array" ref="N387">IFERROR(INDEX(Create_TC_Web!Q$1:Q$500,SMALL(IF(Create_TC_Web!$C$1:$C$500&lt;&gt;"",MATCH(ROW(Create_TC_Web!$C$1:$C$500),ROW(Create_TC_Web!$C$1:$C$500)),""),ROW(Create_TC_Web!O387))),"")</f>
        <v/>
      </c>
      <c r="O387" t="str">
        <f t="shared" ref="O387:O448" si="19">IF(N387&lt;&gt;0,N387,"")</f>
        <v/>
      </c>
      <c r="P387" s="17" t="str" cm="1">
        <f t="array" ref="P387">IFERROR(INDEX(Create_TC_Web!S$1:S$500,SMALL(IF(Create_TC_Web!$C$1:$C$500&lt;&gt;"",MATCH(ROW(Create_TC_Web!$C$1:$C$500),ROW(Create_TC_Web!$C$1:$C$500)),""),ROW(Create_TC_Web!Q365))),"")</f>
        <v/>
      </c>
      <c r="S387" t="str">
        <f t="shared" ref="S387:S450" si="20">IF(P387&lt;&gt;0,P387,"")</f>
        <v/>
      </c>
    </row>
    <row r="388" spans="1:19">
      <c r="A388" t="str" cm="1">
        <f t="array" ref="A388">IFERROR(INDEX(Create_TC_Web!D$1:D$500,SMALL(IF(Create_TC_Web!$C$1:$C$500&lt;&gt;"",MATCH(ROW(Create_TC_Web!$C$1:$C$500),ROW(Create_TC_Web!$C$1:$C$500)),""),ROW(Create_TC_Web!B388))),"")</f>
        <v/>
      </c>
      <c r="B388" t="str" cm="1">
        <f t="array" ref="B388">SUBSTITUTE(SUBSTITUTE(SUBSTITUTE(IFERROR(INDEX(Create_TC_Web!E$1:E$505,SMALL(IF(Create_TC_Web!$C$1:$C$505&lt;&gt;"",MATCH(ROW(Create_TC_Web!$C$1:$C$505),ROW(Create_TC_Web!$C$1:$C$505)),""),ROW(Create_TC_Web!C388))),"")," ",""),"-",""),"_","")</f>
        <v/>
      </c>
      <c r="C388" t="str" cm="1">
        <f t="array" ref="C388">IFERROR(INDEX(Create_TC_Web!F$1:F$500,SMALL(IF(Create_TC_Web!$C$1:$C$500&lt;&gt;"",MATCH(ROW(Create_TC_Web!$C$1:$C$500),ROW(Create_TC_Web!$C$1:$C$500)),""),ROW(Create_TC_Web!D388))),"")</f>
        <v/>
      </c>
      <c r="D388" t="str" cm="1">
        <f t="array" ref="D388">IFERROR(INDEX(Create_TC_Web!G$1:G$500,SMALL(IF(Create_TC_Web!$C$1:$C$500&lt;&gt;"",MATCH(ROW(Create_TC_Web!$C$1:$C$500),ROW(Create_TC_Web!$C$1:$C$500)),""),ROW(Create_TC_Web!E388))),"")</f>
        <v/>
      </c>
      <c r="E388" t="str" cm="1">
        <f t="array" ref="E388">IFERROR(INDEX(Create_TC_Web!H$1:H$500,SMALL(IF(Create_TC_Web!$C$1:$C$500&lt;&gt;"",MATCH(ROW(Create_TC_Web!$C$1:$C$500),ROW(Create_TC_Web!$C$1:$C$500)),""),ROW(Create_TC_Web!F388))),"")</f>
        <v/>
      </c>
      <c r="F388" t="str" cm="1">
        <f t="array" ref="F388">IFERROR(INDEX(Create_TC_Web!I$1:I$500,SMALL(IF(Create_TC_Web!$C$1:$C$500&lt;&gt;"",MATCH(ROW(Create_TC_Web!$C$1:$C$500),ROW(Create_TC_Web!$C$1:$C$500)),""),ROW(Create_TC_Web!G388))),"")</f>
        <v/>
      </c>
      <c r="G388" t="str" cm="1">
        <f t="array" ref="G388">IFERROR(INDEX(Create_TC_Web!J$1:J$500,SMALL(IF(Create_TC_Web!$C$1:$C$500&lt;&gt;"",MATCH(ROW(Create_TC_Web!$C$1:$C$500),ROW(Create_TC_Web!$C$1:$C$500)),""),ROW(Create_TC_Web!H388))),"")</f>
        <v/>
      </c>
      <c r="H388" t="str" cm="1">
        <f t="array" ref="H388">IFERROR(INDEX(Create_TC_Web!K$1:K$500,SMALL(IF(Create_TC_Web!$C$1:$C$500&lt;&gt;"",MATCH(ROW(Create_TC_Web!$C$1:$C$500),ROW(Create_TC_Web!$C$1:$C$500)),""),ROW(Create_TC_Web!I388))),"")</f>
        <v/>
      </c>
      <c r="I388" t="str" cm="1">
        <f t="array" ref="I388">IFERROR(INDEX(Create_TC_Web!L$1:L$500,SMALL(IF(Create_TC_Web!$C$1:$C$500&lt;&gt;"",MATCH(ROW(Create_TC_Web!$C$1:$C$500),ROW(Create_TC_Web!$C$1:$C$500)),""),ROW(Create_TC_Web!J388))),"")</f>
        <v/>
      </c>
      <c r="J388" t="str" cm="1">
        <f t="array" ref="J388">IFERROR(INDEX(Create_TC_Web!M$1:M$500,SMALL(IF(Create_TC_Web!$C$1:$C$500&lt;&gt;"",MATCH(ROW(Create_TC_Web!$C$1:$C$500),ROW(Create_TC_Web!$C$1:$C$500)),""),ROW(Create_TC_Web!K388))),"")</f>
        <v/>
      </c>
      <c r="K388" t="str" cm="1">
        <f t="array" ref="K388">IFERROR(INDEX(Create_TC_Web!N$1:N$500,SMALL(IF(Create_TC_Web!$C$1:$C$500&lt;&gt;"",MATCH(ROW(Create_TC_Web!$C$1:$C$500),ROW(Create_TC_Web!$C$1:$C$500)),""),ROW(Create_TC_Web!L388))),"")</f>
        <v/>
      </c>
      <c r="L388" t="str" cm="1">
        <f t="array" ref="L388">IFERROR(INDEX(Create_TC_Web!O$1:O$500,SMALL(IF(Create_TC_Web!$C$1:$C$500&lt;&gt;"",MATCH(ROW(Create_TC_Web!$C$1:$C$500),ROW(Create_TC_Web!$C$1:$C$500)),""),ROW(Create_TC_Web!M388))),"")</f>
        <v/>
      </c>
      <c r="M388" t="str" cm="1">
        <f t="array" ref="M388">IFERROR(INDEX(Create_TC_Web!P$1:P$500,SMALL(IF(Create_TC_Web!$C$1:$C$500&lt;&gt;"",MATCH(ROW(Create_TC_Web!$C$1:$C$500),ROW(Create_TC_Web!$C$1:$C$500)),""),ROW(Create_TC_Web!N388))),"")</f>
        <v/>
      </c>
      <c r="N388" t="str" cm="1">
        <f t="array" ref="N388">IFERROR(INDEX(Create_TC_Web!Q$1:Q$500,SMALL(IF(Create_TC_Web!$C$1:$C$500&lt;&gt;"",MATCH(ROW(Create_TC_Web!$C$1:$C$500),ROW(Create_TC_Web!$C$1:$C$500)),""),ROW(Create_TC_Web!O388))),"")</f>
        <v/>
      </c>
      <c r="O388" t="str">
        <f t="shared" si="19"/>
        <v/>
      </c>
      <c r="P388" s="17" t="str" cm="1">
        <f t="array" ref="P388">IFERROR(INDEX(Create_TC_Web!S$1:S$500,SMALL(IF(Create_TC_Web!$C$1:$C$500&lt;&gt;"",MATCH(ROW(Create_TC_Web!$C$1:$C$500),ROW(Create_TC_Web!$C$1:$C$500)),""),ROW(Create_TC_Web!Q366))),"")</f>
        <v/>
      </c>
      <c r="S388" t="str">
        <f t="shared" si="20"/>
        <v/>
      </c>
    </row>
    <row r="389" spans="1:19">
      <c r="A389" t="str" cm="1">
        <f t="array" ref="A389">IFERROR(INDEX(Create_TC_Web!D$1:D$500,SMALL(IF(Create_TC_Web!$C$1:$C$500&lt;&gt;"",MATCH(ROW(Create_TC_Web!$C$1:$C$500),ROW(Create_TC_Web!$C$1:$C$500)),""),ROW(Create_TC_Web!B389))),"")</f>
        <v/>
      </c>
      <c r="B389" t="str" cm="1">
        <f t="array" ref="B389">SUBSTITUTE(SUBSTITUTE(SUBSTITUTE(IFERROR(INDEX(Create_TC_Web!E$1:E$505,SMALL(IF(Create_TC_Web!$C$1:$C$505&lt;&gt;"",MATCH(ROW(Create_TC_Web!$C$1:$C$505),ROW(Create_TC_Web!$C$1:$C$505)),""),ROW(Create_TC_Web!C389))),"")," ",""),"-",""),"_","")</f>
        <v/>
      </c>
      <c r="C389" t="str" cm="1">
        <f t="array" ref="C389">IFERROR(INDEX(Create_TC_Web!F$1:F$500,SMALL(IF(Create_TC_Web!$C$1:$C$500&lt;&gt;"",MATCH(ROW(Create_TC_Web!$C$1:$C$500),ROW(Create_TC_Web!$C$1:$C$500)),""),ROW(Create_TC_Web!D389))),"")</f>
        <v/>
      </c>
      <c r="D389" t="str" cm="1">
        <f t="array" ref="D389">IFERROR(INDEX(Create_TC_Web!G$1:G$500,SMALL(IF(Create_TC_Web!$C$1:$C$500&lt;&gt;"",MATCH(ROW(Create_TC_Web!$C$1:$C$500),ROW(Create_TC_Web!$C$1:$C$500)),""),ROW(Create_TC_Web!E389))),"")</f>
        <v/>
      </c>
      <c r="E389" t="str" cm="1">
        <f t="array" ref="E389">IFERROR(INDEX(Create_TC_Web!H$1:H$500,SMALL(IF(Create_TC_Web!$C$1:$C$500&lt;&gt;"",MATCH(ROW(Create_TC_Web!$C$1:$C$500),ROW(Create_TC_Web!$C$1:$C$500)),""),ROW(Create_TC_Web!F389))),"")</f>
        <v/>
      </c>
      <c r="F389" t="str" cm="1">
        <f t="array" ref="F389">IFERROR(INDEX(Create_TC_Web!I$1:I$500,SMALL(IF(Create_TC_Web!$C$1:$C$500&lt;&gt;"",MATCH(ROW(Create_TC_Web!$C$1:$C$500),ROW(Create_TC_Web!$C$1:$C$500)),""),ROW(Create_TC_Web!G389))),"")</f>
        <v/>
      </c>
      <c r="G389" t="str" cm="1">
        <f t="array" ref="G389">IFERROR(INDEX(Create_TC_Web!J$1:J$500,SMALL(IF(Create_TC_Web!$C$1:$C$500&lt;&gt;"",MATCH(ROW(Create_TC_Web!$C$1:$C$500),ROW(Create_TC_Web!$C$1:$C$500)),""),ROW(Create_TC_Web!H389))),"")</f>
        <v/>
      </c>
      <c r="H389" t="str" cm="1">
        <f t="array" ref="H389">IFERROR(INDEX(Create_TC_Web!K$1:K$500,SMALL(IF(Create_TC_Web!$C$1:$C$500&lt;&gt;"",MATCH(ROW(Create_TC_Web!$C$1:$C$500),ROW(Create_TC_Web!$C$1:$C$500)),""),ROW(Create_TC_Web!I389))),"")</f>
        <v/>
      </c>
      <c r="I389" t="str" cm="1">
        <f t="array" ref="I389">IFERROR(INDEX(Create_TC_Web!L$1:L$500,SMALL(IF(Create_TC_Web!$C$1:$C$500&lt;&gt;"",MATCH(ROW(Create_TC_Web!$C$1:$C$500),ROW(Create_TC_Web!$C$1:$C$500)),""),ROW(Create_TC_Web!J389))),"")</f>
        <v/>
      </c>
      <c r="J389" t="str" cm="1">
        <f t="array" ref="J389">IFERROR(INDEX(Create_TC_Web!M$1:M$500,SMALL(IF(Create_TC_Web!$C$1:$C$500&lt;&gt;"",MATCH(ROW(Create_TC_Web!$C$1:$C$500),ROW(Create_TC_Web!$C$1:$C$500)),""),ROW(Create_TC_Web!K389))),"")</f>
        <v/>
      </c>
      <c r="K389" t="str" cm="1">
        <f t="array" ref="K389">IFERROR(INDEX(Create_TC_Web!N$1:N$500,SMALL(IF(Create_TC_Web!$C$1:$C$500&lt;&gt;"",MATCH(ROW(Create_TC_Web!$C$1:$C$500),ROW(Create_TC_Web!$C$1:$C$500)),""),ROW(Create_TC_Web!L389))),"")</f>
        <v/>
      </c>
      <c r="L389" t="str" cm="1">
        <f t="array" ref="L389">IFERROR(INDEX(Create_TC_Web!O$1:O$500,SMALL(IF(Create_TC_Web!$C$1:$C$500&lt;&gt;"",MATCH(ROW(Create_TC_Web!$C$1:$C$500),ROW(Create_TC_Web!$C$1:$C$500)),""),ROW(Create_TC_Web!M389))),"")</f>
        <v/>
      </c>
      <c r="M389" t="str" cm="1">
        <f t="array" ref="M389">IFERROR(INDEX(Create_TC_Web!P$1:P$500,SMALL(IF(Create_TC_Web!$C$1:$C$500&lt;&gt;"",MATCH(ROW(Create_TC_Web!$C$1:$C$500),ROW(Create_TC_Web!$C$1:$C$500)),""),ROW(Create_TC_Web!N389))),"")</f>
        <v/>
      </c>
      <c r="N389" t="str" cm="1">
        <f t="array" ref="N389">IFERROR(INDEX(Create_TC_Web!Q$1:Q$500,SMALL(IF(Create_TC_Web!$C$1:$C$500&lt;&gt;"",MATCH(ROW(Create_TC_Web!$C$1:$C$500),ROW(Create_TC_Web!$C$1:$C$500)),""),ROW(Create_TC_Web!O389))),"")</f>
        <v/>
      </c>
      <c r="O389" t="str">
        <f t="shared" si="19"/>
        <v/>
      </c>
      <c r="P389" s="17" t="str" cm="1">
        <f t="array" ref="P389">IFERROR(INDEX(Create_TC_Web!S$1:S$500,SMALL(IF(Create_TC_Web!$C$1:$C$500&lt;&gt;"",MATCH(ROW(Create_TC_Web!$C$1:$C$500),ROW(Create_TC_Web!$C$1:$C$500)),""),ROW(Create_TC_Web!Q367))),"")</f>
        <v/>
      </c>
      <c r="S389" t="str">
        <f t="shared" si="20"/>
        <v/>
      </c>
    </row>
    <row r="390" spans="1:19">
      <c r="A390" t="str" cm="1">
        <f t="array" ref="A390">IFERROR(INDEX(Create_TC_Web!D$1:D$500,SMALL(IF(Create_TC_Web!$C$1:$C$500&lt;&gt;"",MATCH(ROW(Create_TC_Web!$C$1:$C$500),ROW(Create_TC_Web!$C$1:$C$500)),""),ROW(Create_TC_Web!B390))),"")</f>
        <v/>
      </c>
      <c r="B390" t="str" cm="1">
        <f t="array" ref="B390">SUBSTITUTE(SUBSTITUTE(SUBSTITUTE(IFERROR(INDEX(Create_TC_Web!E$1:E$505,SMALL(IF(Create_TC_Web!$C$1:$C$505&lt;&gt;"",MATCH(ROW(Create_TC_Web!$C$1:$C$505),ROW(Create_TC_Web!$C$1:$C$505)),""),ROW(Create_TC_Web!C390))),"")," ",""),"-",""),"_","")</f>
        <v/>
      </c>
      <c r="C390" t="str" cm="1">
        <f t="array" ref="C390">IFERROR(INDEX(Create_TC_Web!F$1:F$500,SMALL(IF(Create_TC_Web!$C$1:$C$500&lt;&gt;"",MATCH(ROW(Create_TC_Web!$C$1:$C$500),ROW(Create_TC_Web!$C$1:$C$500)),""),ROW(Create_TC_Web!D390))),"")</f>
        <v/>
      </c>
      <c r="D390" t="str" cm="1">
        <f t="array" ref="D390">IFERROR(INDEX(Create_TC_Web!G$1:G$500,SMALL(IF(Create_TC_Web!$C$1:$C$500&lt;&gt;"",MATCH(ROW(Create_TC_Web!$C$1:$C$500),ROW(Create_TC_Web!$C$1:$C$500)),""),ROW(Create_TC_Web!E390))),"")</f>
        <v/>
      </c>
      <c r="E390" t="str" cm="1">
        <f t="array" ref="E390">IFERROR(INDEX(Create_TC_Web!H$1:H$500,SMALL(IF(Create_TC_Web!$C$1:$C$500&lt;&gt;"",MATCH(ROW(Create_TC_Web!$C$1:$C$500),ROW(Create_TC_Web!$C$1:$C$500)),""),ROW(Create_TC_Web!F390))),"")</f>
        <v/>
      </c>
      <c r="F390" t="str" cm="1">
        <f t="array" ref="F390">IFERROR(INDEX(Create_TC_Web!I$1:I$500,SMALL(IF(Create_TC_Web!$C$1:$C$500&lt;&gt;"",MATCH(ROW(Create_TC_Web!$C$1:$C$500),ROW(Create_TC_Web!$C$1:$C$500)),""),ROW(Create_TC_Web!G390))),"")</f>
        <v/>
      </c>
      <c r="G390" t="str" cm="1">
        <f t="array" ref="G390">IFERROR(INDEX(Create_TC_Web!J$1:J$500,SMALL(IF(Create_TC_Web!$C$1:$C$500&lt;&gt;"",MATCH(ROW(Create_TC_Web!$C$1:$C$500),ROW(Create_TC_Web!$C$1:$C$500)),""),ROW(Create_TC_Web!H390))),"")</f>
        <v/>
      </c>
      <c r="H390" t="str" cm="1">
        <f t="array" ref="H390">IFERROR(INDEX(Create_TC_Web!K$1:K$500,SMALL(IF(Create_TC_Web!$C$1:$C$500&lt;&gt;"",MATCH(ROW(Create_TC_Web!$C$1:$C$500),ROW(Create_TC_Web!$C$1:$C$500)),""),ROW(Create_TC_Web!I390))),"")</f>
        <v/>
      </c>
      <c r="I390" t="str" cm="1">
        <f t="array" ref="I390">IFERROR(INDEX(Create_TC_Web!L$1:L$500,SMALL(IF(Create_TC_Web!$C$1:$C$500&lt;&gt;"",MATCH(ROW(Create_TC_Web!$C$1:$C$500),ROW(Create_TC_Web!$C$1:$C$500)),""),ROW(Create_TC_Web!J390))),"")</f>
        <v/>
      </c>
      <c r="J390" t="str" cm="1">
        <f t="array" ref="J390">IFERROR(INDEX(Create_TC_Web!M$1:M$500,SMALL(IF(Create_TC_Web!$C$1:$C$500&lt;&gt;"",MATCH(ROW(Create_TC_Web!$C$1:$C$500),ROW(Create_TC_Web!$C$1:$C$500)),""),ROW(Create_TC_Web!K390))),"")</f>
        <v/>
      </c>
      <c r="K390" t="str" cm="1">
        <f t="array" ref="K390">IFERROR(INDEX(Create_TC_Web!N$1:N$500,SMALL(IF(Create_TC_Web!$C$1:$C$500&lt;&gt;"",MATCH(ROW(Create_TC_Web!$C$1:$C$500),ROW(Create_TC_Web!$C$1:$C$500)),""),ROW(Create_TC_Web!L390))),"")</f>
        <v/>
      </c>
      <c r="L390" t="str" cm="1">
        <f t="array" ref="L390">IFERROR(INDEX(Create_TC_Web!O$1:O$500,SMALL(IF(Create_TC_Web!$C$1:$C$500&lt;&gt;"",MATCH(ROW(Create_TC_Web!$C$1:$C$500),ROW(Create_TC_Web!$C$1:$C$500)),""),ROW(Create_TC_Web!M390))),"")</f>
        <v/>
      </c>
      <c r="M390" t="str" cm="1">
        <f t="array" ref="M390">IFERROR(INDEX(Create_TC_Web!P$1:P$500,SMALL(IF(Create_TC_Web!$C$1:$C$500&lt;&gt;"",MATCH(ROW(Create_TC_Web!$C$1:$C$500),ROW(Create_TC_Web!$C$1:$C$500)),""),ROW(Create_TC_Web!N390))),"")</f>
        <v/>
      </c>
      <c r="N390" t="str" cm="1">
        <f t="array" ref="N390">IFERROR(INDEX(Create_TC_Web!Q$1:Q$500,SMALL(IF(Create_TC_Web!$C$1:$C$500&lt;&gt;"",MATCH(ROW(Create_TC_Web!$C$1:$C$500),ROW(Create_TC_Web!$C$1:$C$500)),""),ROW(Create_TC_Web!O390))),"")</f>
        <v/>
      </c>
      <c r="O390" t="str">
        <f t="shared" si="19"/>
        <v/>
      </c>
      <c r="P390" s="17" t="str" cm="1">
        <f t="array" ref="P390">IFERROR(INDEX(Create_TC_Web!S$1:S$500,SMALL(IF(Create_TC_Web!$C$1:$C$500&lt;&gt;"",MATCH(ROW(Create_TC_Web!$C$1:$C$500),ROW(Create_TC_Web!$C$1:$C$500)),""),ROW(Create_TC_Web!Q368))),"")</f>
        <v/>
      </c>
      <c r="S390" t="str">
        <f t="shared" si="20"/>
        <v/>
      </c>
    </row>
    <row r="391" spans="1:19">
      <c r="A391" t="str" cm="1">
        <f t="array" ref="A391">IFERROR(INDEX(Create_TC_Web!D$1:D$500,SMALL(IF(Create_TC_Web!$C$1:$C$500&lt;&gt;"",MATCH(ROW(Create_TC_Web!$C$1:$C$500),ROW(Create_TC_Web!$C$1:$C$500)),""),ROW(Create_TC_Web!B391))),"")</f>
        <v/>
      </c>
      <c r="B391" t="str" cm="1">
        <f t="array" ref="B391">SUBSTITUTE(SUBSTITUTE(SUBSTITUTE(IFERROR(INDEX(Create_TC_Web!E$1:E$505,SMALL(IF(Create_TC_Web!$C$1:$C$505&lt;&gt;"",MATCH(ROW(Create_TC_Web!$C$1:$C$505),ROW(Create_TC_Web!$C$1:$C$505)),""),ROW(Create_TC_Web!C391))),"")," ",""),"-",""),"_","")</f>
        <v/>
      </c>
      <c r="C391" t="str" cm="1">
        <f t="array" ref="C391">IFERROR(INDEX(Create_TC_Web!F$1:F$500,SMALL(IF(Create_TC_Web!$C$1:$C$500&lt;&gt;"",MATCH(ROW(Create_TC_Web!$C$1:$C$500),ROW(Create_TC_Web!$C$1:$C$500)),""),ROW(Create_TC_Web!D391))),"")</f>
        <v/>
      </c>
      <c r="D391" t="str" cm="1">
        <f t="array" ref="D391">IFERROR(INDEX(Create_TC_Web!G$1:G$500,SMALL(IF(Create_TC_Web!$C$1:$C$500&lt;&gt;"",MATCH(ROW(Create_TC_Web!$C$1:$C$500),ROW(Create_TC_Web!$C$1:$C$500)),""),ROW(Create_TC_Web!E391))),"")</f>
        <v/>
      </c>
      <c r="E391" t="str" cm="1">
        <f t="array" ref="E391">IFERROR(INDEX(Create_TC_Web!H$1:H$500,SMALL(IF(Create_TC_Web!$C$1:$C$500&lt;&gt;"",MATCH(ROW(Create_TC_Web!$C$1:$C$500),ROW(Create_TC_Web!$C$1:$C$500)),""),ROW(Create_TC_Web!F391))),"")</f>
        <v/>
      </c>
      <c r="F391" t="str" cm="1">
        <f t="array" ref="F391">IFERROR(INDEX(Create_TC_Web!I$1:I$500,SMALL(IF(Create_TC_Web!$C$1:$C$500&lt;&gt;"",MATCH(ROW(Create_TC_Web!$C$1:$C$500),ROW(Create_TC_Web!$C$1:$C$500)),""),ROW(Create_TC_Web!G391))),"")</f>
        <v/>
      </c>
      <c r="G391" t="str" cm="1">
        <f t="array" ref="G391">IFERROR(INDEX(Create_TC_Web!J$1:J$500,SMALL(IF(Create_TC_Web!$C$1:$C$500&lt;&gt;"",MATCH(ROW(Create_TC_Web!$C$1:$C$500),ROW(Create_TC_Web!$C$1:$C$500)),""),ROW(Create_TC_Web!H391))),"")</f>
        <v/>
      </c>
      <c r="H391" t="str" cm="1">
        <f t="array" ref="H391">IFERROR(INDEX(Create_TC_Web!K$1:K$500,SMALL(IF(Create_TC_Web!$C$1:$C$500&lt;&gt;"",MATCH(ROW(Create_TC_Web!$C$1:$C$500),ROW(Create_TC_Web!$C$1:$C$500)),""),ROW(Create_TC_Web!I391))),"")</f>
        <v/>
      </c>
      <c r="I391" t="str" cm="1">
        <f t="array" ref="I391">IFERROR(INDEX(Create_TC_Web!L$1:L$500,SMALL(IF(Create_TC_Web!$C$1:$C$500&lt;&gt;"",MATCH(ROW(Create_TC_Web!$C$1:$C$500),ROW(Create_TC_Web!$C$1:$C$500)),""),ROW(Create_TC_Web!J391))),"")</f>
        <v/>
      </c>
      <c r="J391" t="str" cm="1">
        <f t="array" ref="J391">IFERROR(INDEX(Create_TC_Web!M$1:M$500,SMALL(IF(Create_TC_Web!$C$1:$C$500&lt;&gt;"",MATCH(ROW(Create_TC_Web!$C$1:$C$500),ROW(Create_TC_Web!$C$1:$C$500)),""),ROW(Create_TC_Web!K391))),"")</f>
        <v/>
      </c>
      <c r="K391" t="str" cm="1">
        <f t="array" ref="K391">IFERROR(INDEX(Create_TC_Web!N$1:N$500,SMALL(IF(Create_TC_Web!$C$1:$C$500&lt;&gt;"",MATCH(ROW(Create_TC_Web!$C$1:$C$500),ROW(Create_TC_Web!$C$1:$C$500)),""),ROW(Create_TC_Web!L391))),"")</f>
        <v/>
      </c>
      <c r="L391" t="str" cm="1">
        <f t="array" ref="L391">IFERROR(INDEX(Create_TC_Web!O$1:O$500,SMALL(IF(Create_TC_Web!$C$1:$C$500&lt;&gt;"",MATCH(ROW(Create_TC_Web!$C$1:$C$500),ROW(Create_TC_Web!$C$1:$C$500)),""),ROW(Create_TC_Web!M391))),"")</f>
        <v/>
      </c>
      <c r="M391" t="str" cm="1">
        <f t="array" ref="M391">IFERROR(INDEX(Create_TC_Web!P$1:P$500,SMALL(IF(Create_TC_Web!$C$1:$C$500&lt;&gt;"",MATCH(ROW(Create_TC_Web!$C$1:$C$500),ROW(Create_TC_Web!$C$1:$C$500)),""),ROW(Create_TC_Web!N391))),"")</f>
        <v/>
      </c>
      <c r="N391" t="str" cm="1">
        <f t="array" ref="N391">IFERROR(INDEX(Create_TC_Web!Q$1:Q$500,SMALL(IF(Create_TC_Web!$C$1:$C$500&lt;&gt;"",MATCH(ROW(Create_TC_Web!$C$1:$C$500),ROW(Create_TC_Web!$C$1:$C$500)),""),ROW(Create_TC_Web!O391))),"")</f>
        <v/>
      </c>
      <c r="O391" t="str">
        <f t="shared" si="19"/>
        <v/>
      </c>
      <c r="P391" s="17" t="str" cm="1">
        <f t="array" ref="P391">IFERROR(INDEX(Create_TC_Web!S$1:S$500,SMALL(IF(Create_TC_Web!$C$1:$C$500&lt;&gt;"",MATCH(ROW(Create_TC_Web!$C$1:$C$500),ROW(Create_TC_Web!$C$1:$C$500)),""),ROW(Create_TC_Web!Q369))),"")</f>
        <v/>
      </c>
      <c r="S391" t="str">
        <f t="shared" si="20"/>
        <v/>
      </c>
    </row>
    <row r="392" spans="1:19">
      <c r="A392" t="str" cm="1">
        <f t="array" ref="A392">IFERROR(INDEX(Create_TC_Web!D$1:D$500,SMALL(IF(Create_TC_Web!$C$1:$C$500&lt;&gt;"",MATCH(ROW(Create_TC_Web!$C$1:$C$500),ROW(Create_TC_Web!$C$1:$C$500)),""),ROW(Create_TC_Web!B392))),"")</f>
        <v/>
      </c>
      <c r="B392" t="str" cm="1">
        <f t="array" ref="B392">SUBSTITUTE(SUBSTITUTE(SUBSTITUTE(IFERROR(INDEX(Create_TC_Web!E$1:E$505,SMALL(IF(Create_TC_Web!$C$1:$C$505&lt;&gt;"",MATCH(ROW(Create_TC_Web!$C$1:$C$505),ROW(Create_TC_Web!$C$1:$C$505)),""),ROW(Create_TC_Web!C392))),"")," ",""),"-",""),"_","")</f>
        <v/>
      </c>
      <c r="C392" t="str" cm="1">
        <f t="array" ref="C392">IFERROR(INDEX(Create_TC_Web!F$1:F$500,SMALL(IF(Create_TC_Web!$C$1:$C$500&lt;&gt;"",MATCH(ROW(Create_TC_Web!$C$1:$C$500),ROW(Create_TC_Web!$C$1:$C$500)),""),ROW(Create_TC_Web!D392))),"")</f>
        <v/>
      </c>
      <c r="D392" t="str" cm="1">
        <f t="array" ref="D392">IFERROR(INDEX(Create_TC_Web!G$1:G$500,SMALL(IF(Create_TC_Web!$C$1:$C$500&lt;&gt;"",MATCH(ROW(Create_TC_Web!$C$1:$C$500),ROW(Create_TC_Web!$C$1:$C$500)),""),ROW(Create_TC_Web!E392))),"")</f>
        <v/>
      </c>
      <c r="E392" t="str" cm="1">
        <f t="array" ref="E392">IFERROR(INDEX(Create_TC_Web!H$1:H$500,SMALL(IF(Create_TC_Web!$C$1:$C$500&lt;&gt;"",MATCH(ROW(Create_TC_Web!$C$1:$C$500),ROW(Create_TC_Web!$C$1:$C$500)),""),ROW(Create_TC_Web!F392))),"")</f>
        <v/>
      </c>
      <c r="F392" t="str" cm="1">
        <f t="array" ref="F392">IFERROR(INDEX(Create_TC_Web!I$1:I$500,SMALL(IF(Create_TC_Web!$C$1:$C$500&lt;&gt;"",MATCH(ROW(Create_TC_Web!$C$1:$C$500),ROW(Create_TC_Web!$C$1:$C$500)),""),ROW(Create_TC_Web!G392))),"")</f>
        <v/>
      </c>
      <c r="G392" t="str" cm="1">
        <f t="array" ref="G392">IFERROR(INDEX(Create_TC_Web!J$1:J$500,SMALL(IF(Create_TC_Web!$C$1:$C$500&lt;&gt;"",MATCH(ROW(Create_TC_Web!$C$1:$C$500),ROW(Create_TC_Web!$C$1:$C$500)),""),ROW(Create_TC_Web!H392))),"")</f>
        <v/>
      </c>
      <c r="H392" t="str" cm="1">
        <f t="array" ref="H392">IFERROR(INDEX(Create_TC_Web!K$1:K$500,SMALL(IF(Create_TC_Web!$C$1:$C$500&lt;&gt;"",MATCH(ROW(Create_TC_Web!$C$1:$C$500),ROW(Create_TC_Web!$C$1:$C$500)),""),ROW(Create_TC_Web!I392))),"")</f>
        <v/>
      </c>
      <c r="I392" t="str" cm="1">
        <f t="array" ref="I392">IFERROR(INDEX(Create_TC_Web!L$1:L$500,SMALL(IF(Create_TC_Web!$C$1:$C$500&lt;&gt;"",MATCH(ROW(Create_TC_Web!$C$1:$C$500),ROW(Create_TC_Web!$C$1:$C$500)),""),ROW(Create_TC_Web!J392))),"")</f>
        <v/>
      </c>
      <c r="J392" t="str" cm="1">
        <f t="array" ref="J392">IFERROR(INDEX(Create_TC_Web!M$1:M$500,SMALL(IF(Create_TC_Web!$C$1:$C$500&lt;&gt;"",MATCH(ROW(Create_TC_Web!$C$1:$C$500),ROW(Create_TC_Web!$C$1:$C$500)),""),ROW(Create_TC_Web!K392))),"")</f>
        <v/>
      </c>
      <c r="K392" t="str" cm="1">
        <f t="array" ref="K392">IFERROR(INDEX(Create_TC_Web!N$1:N$500,SMALL(IF(Create_TC_Web!$C$1:$C$500&lt;&gt;"",MATCH(ROW(Create_TC_Web!$C$1:$C$500),ROW(Create_TC_Web!$C$1:$C$500)),""),ROW(Create_TC_Web!L392))),"")</f>
        <v/>
      </c>
      <c r="L392" t="str" cm="1">
        <f t="array" ref="L392">IFERROR(INDEX(Create_TC_Web!O$1:O$500,SMALL(IF(Create_TC_Web!$C$1:$C$500&lt;&gt;"",MATCH(ROW(Create_TC_Web!$C$1:$C$500),ROW(Create_TC_Web!$C$1:$C$500)),""),ROW(Create_TC_Web!M392))),"")</f>
        <v/>
      </c>
      <c r="M392" t="str" cm="1">
        <f t="array" ref="M392">IFERROR(INDEX(Create_TC_Web!P$1:P$500,SMALL(IF(Create_TC_Web!$C$1:$C$500&lt;&gt;"",MATCH(ROW(Create_TC_Web!$C$1:$C$500),ROW(Create_TC_Web!$C$1:$C$500)),""),ROW(Create_TC_Web!N392))),"")</f>
        <v/>
      </c>
      <c r="N392" t="str" cm="1">
        <f t="array" ref="N392">IFERROR(INDEX(Create_TC_Web!Q$1:Q$500,SMALL(IF(Create_TC_Web!$C$1:$C$500&lt;&gt;"",MATCH(ROW(Create_TC_Web!$C$1:$C$500),ROW(Create_TC_Web!$C$1:$C$500)),""),ROW(Create_TC_Web!O392))),"")</f>
        <v/>
      </c>
      <c r="O392" t="str">
        <f t="shared" si="19"/>
        <v/>
      </c>
      <c r="P392" s="17" t="str" cm="1">
        <f t="array" ref="P392">IFERROR(INDEX(Create_TC_Web!S$1:S$500,SMALL(IF(Create_TC_Web!$C$1:$C$500&lt;&gt;"",MATCH(ROW(Create_TC_Web!$C$1:$C$500),ROW(Create_TC_Web!$C$1:$C$500)),""),ROW(Create_TC_Web!Q370))),"")</f>
        <v/>
      </c>
      <c r="S392" t="str">
        <f t="shared" si="20"/>
        <v/>
      </c>
    </row>
    <row r="393" spans="1:19">
      <c r="A393" t="str" cm="1">
        <f t="array" ref="A393">IFERROR(INDEX(Create_TC_Web!D$1:D$500,SMALL(IF(Create_TC_Web!$C$1:$C$500&lt;&gt;"",MATCH(ROW(Create_TC_Web!$C$1:$C$500),ROW(Create_TC_Web!$C$1:$C$500)),""),ROW(Create_TC_Web!B393))),"")</f>
        <v/>
      </c>
      <c r="B393" t="str" cm="1">
        <f t="array" ref="B393">SUBSTITUTE(SUBSTITUTE(SUBSTITUTE(IFERROR(INDEX(Create_TC_Web!E$1:E$505,SMALL(IF(Create_TC_Web!$C$1:$C$505&lt;&gt;"",MATCH(ROW(Create_TC_Web!$C$1:$C$505),ROW(Create_TC_Web!$C$1:$C$505)),""),ROW(Create_TC_Web!C393))),"")," ",""),"-",""),"_","")</f>
        <v/>
      </c>
      <c r="C393" t="str" cm="1">
        <f t="array" ref="C393">IFERROR(INDEX(Create_TC_Web!F$1:F$500,SMALL(IF(Create_TC_Web!$C$1:$C$500&lt;&gt;"",MATCH(ROW(Create_TC_Web!$C$1:$C$500),ROW(Create_TC_Web!$C$1:$C$500)),""),ROW(Create_TC_Web!D393))),"")</f>
        <v/>
      </c>
      <c r="D393" t="str" cm="1">
        <f t="array" ref="D393">IFERROR(INDEX(Create_TC_Web!G$1:G$500,SMALL(IF(Create_TC_Web!$C$1:$C$500&lt;&gt;"",MATCH(ROW(Create_TC_Web!$C$1:$C$500),ROW(Create_TC_Web!$C$1:$C$500)),""),ROW(Create_TC_Web!E393))),"")</f>
        <v/>
      </c>
      <c r="E393" t="str" cm="1">
        <f t="array" ref="E393">IFERROR(INDEX(Create_TC_Web!H$1:H$500,SMALL(IF(Create_TC_Web!$C$1:$C$500&lt;&gt;"",MATCH(ROW(Create_TC_Web!$C$1:$C$500),ROW(Create_TC_Web!$C$1:$C$500)),""),ROW(Create_TC_Web!F393))),"")</f>
        <v/>
      </c>
      <c r="F393" t="str" cm="1">
        <f t="array" ref="F393">IFERROR(INDEX(Create_TC_Web!I$1:I$500,SMALL(IF(Create_TC_Web!$C$1:$C$500&lt;&gt;"",MATCH(ROW(Create_TC_Web!$C$1:$C$500),ROW(Create_TC_Web!$C$1:$C$500)),""),ROW(Create_TC_Web!G393))),"")</f>
        <v/>
      </c>
      <c r="G393" t="str" cm="1">
        <f t="array" ref="G393">IFERROR(INDEX(Create_TC_Web!J$1:J$500,SMALL(IF(Create_TC_Web!$C$1:$C$500&lt;&gt;"",MATCH(ROW(Create_TC_Web!$C$1:$C$500),ROW(Create_TC_Web!$C$1:$C$500)),""),ROW(Create_TC_Web!H393))),"")</f>
        <v/>
      </c>
      <c r="H393" t="str" cm="1">
        <f t="array" ref="H393">IFERROR(INDEX(Create_TC_Web!K$1:K$500,SMALL(IF(Create_TC_Web!$C$1:$C$500&lt;&gt;"",MATCH(ROW(Create_TC_Web!$C$1:$C$500),ROW(Create_TC_Web!$C$1:$C$500)),""),ROW(Create_TC_Web!I393))),"")</f>
        <v/>
      </c>
      <c r="I393" t="str" cm="1">
        <f t="array" ref="I393">IFERROR(INDEX(Create_TC_Web!L$1:L$500,SMALL(IF(Create_TC_Web!$C$1:$C$500&lt;&gt;"",MATCH(ROW(Create_TC_Web!$C$1:$C$500),ROW(Create_TC_Web!$C$1:$C$500)),""),ROW(Create_TC_Web!J393))),"")</f>
        <v/>
      </c>
      <c r="J393" t="str" cm="1">
        <f t="array" ref="J393">IFERROR(INDEX(Create_TC_Web!M$1:M$500,SMALL(IF(Create_TC_Web!$C$1:$C$500&lt;&gt;"",MATCH(ROW(Create_TC_Web!$C$1:$C$500),ROW(Create_TC_Web!$C$1:$C$500)),""),ROW(Create_TC_Web!K393))),"")</f>
        <v/>
      </c>
      <c r="K393" t="str" cm="1">
        <f t="array" ref="K393">IFERROR(INDEX(Create_TC_Web!N$1:N$500,SMALL(IF(Create_TC_Web!$C$1:$C$500&lt;&gt;"",MATCH(ROW(Create_TC_Web!$C$1:$C$500),ROW(Create_TC_Web!$C$1:$C$500)),""),ROW(Create_TC_Web!L393))),"")</f>
        <v/>
      </c>
      <c r="L393" t="str" cm="1">
        <f t="array" ref="L393">IFERROR(INDEX(Create_TC_Web!O$1:O$500,SMALL(IF(Create_TC_Web!$C$1:$C$500&lt;&gt;"",MATCH(ROW(Create_TC_Web!$C$1:$C$500),ROW(Create_TC_Web!$C$1:$C$500)),""),ROW(Create_TC_Web!M393))),"")</f>
        <v/>
      </c>
      <c r="M393" t="str" cm="1">
        <f t="array" ref="M393">IFERROR(INDEX(Create_TC_Web!P$1:P$500,SMALL(IF(Create_TC_Web!$C$1:$C$500&lt;&gt;"",MATCH(ROW(Create_TC_Web!$C$1:$C$500),ROW(Create_TC_Web!$C$1:$C$500)),""),ROW(Create_TC_Web!N393))),"")</f>
        <v/>
      </c>
      <c r="N393" t="str" cm="1">
        <f t="array" ref="N393">IFERROR(INDEX(Create_TC_Web!Q$1:Q$500,SMALL(IF(Create_TC_Web!$C$1:$C$500&lt;&gt;"",MATCH(ROW(Create_TC_Web!$C$1:$C$500),ROW(Create_TC_Web!$C$1:$C$500)),""),ROW(Create_TC_Web!O393))),"")</f>
        <v/>
      </c>
      <c r="O393" t="str">
        <f t="shared" si="19"/>
        <v/>
      </c>
      <c r="P393" s="17" t="str" cm="1">
        <f t="array" ref="P393">IFERROR(INDEX(Create_TC_Web!S$1:S$500,SMALL(IF(Create_TC_Web!$C$1:$C$500&lt;&gt;"",MATCH(ROW(Create_TC_Web!$C$1:$C$500),ROW(Create_TC_Web!$C$1:$C$500)),""),ROW(Create_TC_Web!Q371))),"")</f>
        <v/>
      </c>
      <c r="S393" t="str">
        <f t="shared" si="20"/>
        <v/>
      </c>
    </row>
    <row r="394" spans="1:19">
      <c r="A394" t="str" cm="1">
        <f t="array" ref="A394">IFERROR(INDEX(Create_TC_Web!D$1:D$500,SMALL(IF(Create_TC_Web!$C$1:$C$500&lt;&gt;"",MATCH(ROW(Create_TC_Web!$C$1:$C$500),ROW(Create_TC_Web!$C$1:$C$500)),""),ROW(Create_TC_Web!B394))),"")</f>
        <v/>
      </c>
      <c r="B394" t="str" cm="1">
        <f t="array" ref="B394">SUBSTITUTE(SUBSTITUTE(SUBSTITUTE(IFERROR(INDEX(Create_TC_Web!E$1:E$505,SMALL(IF(Create_TC_Web!$C$1:$C$505&lt;&gt;"",MATCH(ROW(Create_TC_Web!$C$1:$C$505),ROW(Create_TC_Web!$C$1:$C$505)),""),ROW(Create_TC_Web!C394))),"")," ",""),"-",""),"_","")</f>
        <v/>
      </c>
      <c r="C394" t="str" cm="1">
        <f t="array" ref="C394">IFERROR(INDEX(Create_TC_Web!F$1:F$500,SMALL(IF(Create_TC_Web!$C$1:$C$500&lt;&gt;"",MATCH(ROW(Create_TC_Web!$C$1:$C$500),ROW(Create_TC_Web!$C$1:$C$500)),""),ROW(Create_TC_Web!D394))),"")</f>
        <v/>
      </c>
      <c r="D394" t="str" cm="1">
        <f t="array" ref="D394">IFERROR(INDEX(Create_TC_Web!G$1:G$500,SMALL(IF(Create_TC_Web!$C$1:$C$500&lt;&gt;"",MATCH(ROW(Create_TC_Web!$C$1:$C$500),ROW(Create_TC_Web!$C$1:$C$500)),""),ROW(Create_TC_Web!E394))),"")</f>
        <v/>
      </c>
      <c r="E394" t="str" cm="1">
        <f t="array" ref="E394">IFERROR(INDEX(Create_TC_Web!H$1:H$500,SMALL(IF(Create_TC_Web!$C$1:$C$500&lt;&gt;"",MATCH(ROW(Create_TC_Web!$C$1:$C$500),ROW(Create_TC_Web!$C$1:$C$500)),""),ROW(Create_TC_Web!F394))),"")</f>
        <v/>
      </c>
      <c r="F394" t="str" cm="1">
        <f t="array" ref="F394">IFERROR(INDEX(Create_TC_Web!I$1:I$500,SMALL(IF(Create_TC_Web!$C$1:$C$500&lt;&gt;"",MATCH(ROW(Create_TC_Web!$C$1:$C$500),ROW(Create_TC_Web!$C$1:$C$500)),""),ROW(Create_TC_Web!G394))),"")</f>
        <v/>
      </c>
      <c r="G394" t="str" cm="1">
        <f t="array" ref="G394">IFERROR(INDEX(Create_TC_Web!J$1:J$500,SMALL(IF(Create_TC_Web!$C$1:$C$500&lt;&gt;"",MATCH(ROW(Create_TC_Web!$C$1:$C$500),ROW(Create_TC_Web!$C$1:$C$500)),""),ROW(Create_TC_Web!H394))),"")</f>
        <v/>
      </c>
      <c r="H394" t="str" cm="1">
        <f t="array" ref="H394">IFERROR(INDEX(Create_TC_Web!K$1:K$500,SMALL(IF(Create_TC_Web!$C$1:$C$500&lt;&gt;"",MATCH(ROW(Create_TC_Web!$C$1:$C$500),ROW(Create_TC_Web!$C$1:$C$500)),""),ROW(Create_TC_Web!I394))),"")</f>
        <v/>
      </c>
      <c r="I394" t="str" cm="1">
        <f t="array" ref="I394">IFERROR(INDEX(Create_TC_Web!L$1:L$500,SMALL(IF(Create_TC_Web!$C$1:$C$500&lt;&gt;"",MATCH(ROW(Create_TC_Web!$C$1:$C$500),ROW(Create_TC_Web!$C$1:$C$500)),""),ROW(Create_TC_Web!J394))),"")</f>
        <v/>
      </c>
      <c r="J394" t="str" cm="1">
        <f t="array" ref="J394">IFERROR(INDEX(Create_TC_Web!M$1:M$500,SMALL(IF(Create_TC_Web!$C$1:$C$500&lt;&gt;"",MATCH(ROW(Create_TC_Web!$C$1:$C$500),ROW(Create_TC_Web!$C$1:$C$500)),""),ROW(Create_TC_Web!K394))),"")</f>
        <v/>
      </c>
      <c r="K394" t="str" cm="1">
        <f t="array" ref="K394">IFERROR(INDEX(Create_TC_Web!N$1:N$500,SMALL(IF(Create_TC_Web!$C$1:$C$500&lt;&gt;"",MATCH(ROW(Create_TC_Web!$C$1:$C$500),ROW(Create_TC_Web!$C$1:$C$500)),""),ROW(Create_TC_Web!L394))),"")</f>
        <v/>
      </c>
      <c r="L394" t="str" cm="1">
        <f t="array" ref="L394">IFERROR(INDEX(Create_TC_Web!O$1:O$500,SMALL(IF(Create_TC_Web!$C$1:$C$500&lt;&gt;"",MATCH(ROW(Create_TC_Web!$C$1:$C$500),ROW(Create_TC_Web!$C$1:$C$500)),""),ROW(Create_TC_Web!M394))),"")</f>
        <v/>
      </c>
      <c r="M394" t="str" cm="1">
        <f t="array" ref="M394">IFERROR(INDEX(Create_TC_Web!P$1:P$500,SMALL(IF(Create_TC_Web!$C$1:$C$500&lt;&gt;"",MATCH(ROW(Create_TC_Web!$C$1:$C$500),ROW(Create_TC_Web!$C$1:$C$500)),""),ROW(Create_TC_Web!N394))),"")</f>
        <v/>
      </c>
      <c r="N394" t="str" cm="1">
        <f t="array" ref="N394">IFERROR(INDEX(Create_TC_Web!Q$1:Q$500,SMALL(IF(Create_TC_Web!$C$1:$C$500&lt;&gt;"",MATCH(ROW(Create_TC_Web!$C$1:$C$500),ROW(Create_TC_Web!$C$1:$C$500)),""),ROW(Create_TC_Web!O394))),"")</f>
        <v/>
      </c>
      <c r="O394" t="str">
        <f t="shared" si="19"/>
        <v/>
      </c>
      <c r="P394" s="17" t="str" cm="1">
        <f t="array" ref="P394">IFERROR(INDEX(Create_TC_Web!S$1:S$500,SMALL(IF(Create_TC_Web!$C$1:$C$500&lt;&gt;"",MATCH(ROW(Create_TC_Web!$C$1:$C$500),ROW(Create_TC_Web!$C$1:$C$500)),""),ROW(Create_TC_Web!Q372))),"")</f>
        <v/>
      </c>
      <c r="S394" t="str">
        <f t="shared" si="20"/>
        <v/>
      </c>
    </row>
    <row r="395" spans="1:19">
      <c r="A395" t="str" cm="1">
        <f t="array" ref="A395">IFERROR(INDEX(Create_TC_Web!D$1:D$500,SMALL(IF(Create_TC_Web!$C$1:$C$500&lt;&gt;"",MATCH(ROW(Create_TC_Web!$C$1:$C$500),ROW(Create_TC_Web!$C$1:$C$500)),""),ROW(Create_TC_Web!B395))),"")</f>
        <v/>
      </c>
      <c r="B395" t="str" cm="1">
        <f t="array" ref="B395">SUBSTITUTE(SUBSTITUTE(SUBSTITUTE(IFERROR(INDEX(Create_TC_Web!E$1:E$505,SMALL(IF(Create_TC_Web!$C$1:$C$505&lt;&gt;"",MATCH(ROW(Create_TC_Web!$C$1:$C$505),ROW(Create_TC_Web!$C$1:$C$505)),""),ROW(Create_TC_Web!C395))),"")," ",""),"-",""),"_","")</f>
        <v/>
      </c>
      <c r="C395" t="str" cm="1">
        <f t="array" ref="C395">IFERROR(INDEX(Create_TC_Web!F$1:F$500,SMALL(IF(Create_TC_Web!$C$1:$C$500&lt;&gt;"",MATCH(ROW(Create_TC_Web!$C$1:$C$500),ROW(Create_TC_Web!$C$1:$C$500)),""),ROW(Create_TC_Web!D395))),"")</f>
        <v/>
      </c>
      <c r="D395" t="str" cm="1">
        <f t="array" ref="D395">IFERROR(INDEX(Create_TC_Web!G$1:G$500,SMALL(IF(Create_TC_Web!$C$1:$C$500&lt;&gt;"",MATCH(ROW(Create_TC_Web!$C$1:$C$500),ROW(Create_TC_Web!$C$1:$C$500)),""),ROW(Create_TC_Web!E395))),"")</f>
        <v/>
      </c>
      <c r="E395" t="str" cm="1">
        <f t="array" ref="E395">IFERROR(INDEX(Create_TC_Web!H$1:H$500,SMALL(IF(Create_TC_Web!$C$1:$C$500&lt;&gt;"",MATCH(ROW(Create_TC_Web!$C$1:$C$500),ROW(Create_TC_Web!$C$1:$C$500)),""),ROW(Create_TC_Web!F395))),"")</f>
        <v/>
      </c>
      <c r="F395" t="str" cm="1">
        <f t="array" ref="F395">IFERROR(INDEX(Create_TC_Web!I$1:I$500,SMALL(IF(Create_TC_Web!$C$1:$C$500&lt;&gt;"",MATCH(ROW(Create_TC_Web!$C$1:$C$500),ROW(Create_TC_Web!$C$1:$C$500)),""),ROW(Create_TC_Web!G395))),"")</f>
        <v/>
      </c>
      <c r="G395" t="str" cm="1">
        <f t="array" ref="G395">IFERROR(INDEX(Create_TC_Web!J$1:J$500,SMALL(IF(Create_TC_Web!$C$1:$C$500&lt;&gt;"",MATCH(ROW(Create_TC_Web!$C$1:$C$500),ROW(Create_TC_Web!$C$1:$C$500)),""),ROW(Create_TC_Web!H395))),"")</f>
        <v/>
      </c>
      <c r="H395" t="str" cm="1">
        <f t="array" ref="H395">IFERROR(INDEX(Create_TC_Web!K$1:K$500,SMALL(IF(Create_TC_Web!$C$1:$C$500&lt;&gt;"",MATCH(ROW(Create_TC_Web!$C$1:$C$500),ROW(Create_TC_Web!$C$1:$C$500)),""),ROW(Create_TC_Web!I395))),"")</f>
        <v/>
      </c>
      <c r="I395" t="str" cm="1">
        <f t="array" ref="I395">IFERROR(INDEX(Create_TC_Web!L$1:L$500,SMALL(IF(Create_TC_Web!$C$1:$C$500&lt;&gt;"",MATCH(ROW(Create_TC_Web!$C$1:$C$500),ROW(Create_TC_Web!$C$1:$C$500)),""),ROW(Create_TC_Web!J395))),"")</f>
        <v/>
      </c>
      <c r="J395" t="str" cm="1">
        <f t="array" ref="J395">IFERROR(INDEX(Create_TC_Web!M$1:M$500,SMALL(IF(Create_TC_Web!$C$1:$C$500&lt;&gt;"",MATCH(ROW(Create_TC_Web!$C$1:$C$500),ROW(Create_TC_Web!$C$1:$C$500)),""),ROW(Create_TC_Web!K395))),"")</f>
        <v/>
      </c>
      <c r="K395" t="str" cm="1">
        <f t="array" ref="K395">IFERROR(INDEX(Create_TC_Web!N$1:N$500,SMALL(IF(Create_TC_Web!$C$1:$C$500&lt;&gt;"",MATCH(ROW(Create_TC_Web!$C$1:$C$500),ROW(Create_TC_Web!$C$1:$C$500)),""),ROW(Create_TC_Web!L395))),"")</f>
        <v/>
      </c>
      <c r="L395" t="str" cm="1">
        <f t="array" ref="L395">IFERROR(INDEX(Create_TC_Web!O$1:O$500,SMALL(IF(Create_TC_Web!$C$1:$C$500&lt;&gt;"",MATCH(ROW(Create_TC_Web!$C$1:$C$500),ROW(Create_TC_Web!$C$1:$C$500)),""),ROW(Create_TC_Web!M395))),"")</f>
        <v/>
      </c>
      <c r="M395" t="str" cm="1">
        <f t="array" ref="M395">IFERROR(INDEX(Create_TC_Web!P$1:P$500,SMALL(IF(Create_TC_Web!$C$1:$C$500&lt;&gt;"",MATCH(ROW(Create_TC_Web!$C$1:$C$500),ROW(Create_TC_Web!$C$1:$C$500)),""),ROW(Create_TC_Web!N395))),"")</f>
        <v/>
      </c>
      <c r="N395" t="str" cm="1">
        <f t="array" ref="N395">IFERROR(INDEX(Create_TC_Web!Q$1:Q$500,SMALL(IF(Create_TC_Web!$C$1:$C$500&lt;&gt;"",MATCH(ROW(Create_TC_Web!$C$1:$C$500),ROW(Create_TC_Web!$C$1:$C$500)),""),ROW(Create_TC_Web!O395))),"")</f>
        <v/>
      </c>
      <c r="O395" t="str">
        <f t="shared" si="19"/>
        <v/>
      </c>
      <c r="P395" s="17" t="str" cm="1">
        <f t="array" ref="P395">IFERROR(INDEX(Create_TC_Web!S$1:S$500,SMALL(IF(Create_TC_Web!$C$1:$C$500&lt;&gt;"",MATCH(ROW(Create_TC_Web!$C$1:$C$500),ROW(Create_TC_Web!$C$1:$C$500)),""),ROW(Create_TC_Web!Q373))),"")</f>
        <v/>
      </c>
      <c r="S395" t="str">
        <f t="shared" si="20"/>
        <v/>
      </c>
    </row>
    <row r="396" spans="1:19">
      <c r="A396" t="str" cm="1">
        <f t="array" ref="A396">IFERROR(INDEX(Create_TC_Web!D$1:D$500,SMALL(IF(Create_TC_Web!$C$1:$C$500&lt;&gt;"",MATCH(ROW(Create_TC_Web!$C$1:$C$500),ROW(Create_TC_Web!$C$1:$C$500)),""),ROW(Create_TC_Web!B396))),"")</f>
        <v/>
      </c>
      <c r="B396" t="str" cm="1">
        <f t="array" ref="B396">SUBSTITUTE(SUBSTITUTE(SUBSTITUTE(IFERROR(INDEX(Create_TC_Web!E$1:E$505,SMALL(IF(Create_TC_Web!$C$1:$C$505&lt;&gt;"",MATCH(ROW(Create_TC_Web!$C$1:$C$505),ROW(Create_TC_Web!$C$1:$C$505)),""),ROW(Create_TC_Web!C396))),"")," ",""),"-",""),"_","")</f>
        <v/>
      </c>
      <c r="C396" t="str" cm="1">
        <f t="array" ref="C396">IFERROR(INDEX(Create_TC_Web!F$1:F$500,SMALL(IF(Create_TC_Web!$C$1:$C$500&lt;&gt;"",MATCH(ROW(Create_TC_Web!$C$1:$C$500),ROW(Create_TC_Web!$C$1:$C$500)),""),ROW(Create_TC_Web!D396))),"")</f>
        <v/>
      </c>
      <c r="D396" t="str" cm="1">
        <f t="array" ref="D396">IFERROR(INDEX(Create_TC_Web!G$1:G$500,SMALL(IF(Create_TC_Web!$C$1:$C$500&lt;&gt;"",MATCH(ROW(Create_TC_Web!$C$1:$C$500),ROW(Create_TC_Web!$C$1:$C$500)),""),ROW(Create_TC_Web!E396))),"")</f>
        <v/>
      </c>
      <c r="E396" t="str" cm="1">
        <f t="array" ref="E396">IFERROR(INDEX(Create_TC_Web!H$1:H$500,SMALL(IF(Create_TC_Web!$C$1:$C$500&lt;&gt;"",MATCH(ROW(Create_TC_Web!$C$1:$C$500),ROW(Create_TC_Web!$C$1:$C$500)),""),ROW(Create_TC_Web!F396))),"")</f>
        <v/>
      </c>
      <c r="F396" t="str" cm="1">
        <f t="array" ref="F396">IFERROR(INDEX(Create_TC_Web!I$1:I$500,SMALL(IF(Create_TC_Web!$C$1:$C$500&lt;&gt;"",MATCH(ROW(Create_TC_Web!$C$1:$C$500),ROW(Create_TC_Web!$C$1:$C$500)),""),ROW(Create_TC_Web!G396))),"")</f>
        <v/>
      </c>
      <c r="G396" t="str" cm="1">
        <f t="array" ref="G396">IFERROR(INDEX(Create_TC_Web!J$1:J$500,SMALL(IF(Create_TC_Web!$C$1:$C$500&lt;&gt;"",MATCH(ROW(Create_TC_Web!$C$1:$C$500),ROW(Create_TC_Web!$C$1:$C$500)),""),ROW(Create_TC_Web!H396))),"")</f>
        <v/>
      </c>
      <c r="H396" t="str" cm="1">
        <f t="array" ref="H396">IFERROR(INDEX(Create_TC_Web!K$1:K$500,SMALL(IF(Create_TC_Web!$C$1:$C$500&lt;&gt;"",MATCH(ROW(Create_TC_Web!$C$1:$C$500),ROW(Create_TC_Web!$C$1:$C$500)),""),ROW(Create_TC_Web!I396))),"")</f>
        <v/>
      </c>
      <c r="I396" t="str" cm="1">
        <f t="array" ref="I396">IFERROR(INDEX(Create_TC_Web!L$1:L$500,SMALL(IF(Create_TC_Web!$C$1:$C$500&lt;&gt;"",MATCH(ROW(Create_TC_Web!$C$1:$C$500),ROW(Create_TC_Web!$C$1:$C$500)),""),ROW(Create_TC_Web!J396))),"")</f>
        <v/>
      </c>
      <c r="J396" t="str" cm="1">
        <f t="array" ref="J396">IFERROR(INDEX(Create_TC_Web!M$1:M$500,SMALL(IF(Create_TC_Web!$C$1:$C$500&lt;&gt;"",MATCH(ROW(Create_TC_Web!$C$1:$C$500),ROW(Create_TC_Web!$C$1:$C$500)),""),ROW(Create_TC_Web!K396))),"")</f>
        <v/>
      </c>
      <c r="K396" t="str" cm="1">
        <f t="array" ref="K396">IFERROR(INDEX(Create_TC_Web!N$1:N$500,SMALL(IF(Create_TC_Web!$C$1:$C$500&lt;&gt;"",MATCH(ROW(Create_TC_Web!$C$1:$C$500),ROW(Create_TC_Web!$C$1:$C$500)),""),ROW(Create_TC_Web!L396))),"")</f>
        <v/>
      </c>
      <c r="L396" t="str" cm="1">
        <f t="array" ref="L396">IFERROR(INDEX(Create_TC_Web!O$1:O$500,SMALL(IF(Create_TC_Web!$C$1:$C$500&lt;&gt;"",MATCH(ROW(Create_TC_Web!$C$1:$C$500),ROW(Create_TC_Web!$C$1:$C$500)),""),ROW(Create_TC_Web!M396))),"")</f>
        <v/>
      </c>
      <c r="M396" t="str" cm="1">
        <f t="array" ref="M396">IFERROR(INDEX(Create_TC_Web!P$1:P$500,SMALL(IF(Create_TC_Web!$C$1:$C$500&lt;&gt;"",MATCH(ROW(Create_TC_Web!$C$1:$C$500),ROW(Create_TC_Web!$C$1:$C$500)),""),ROW(Create_TC_Web!N396))),"")</f>
        <v/>
      </c>
      <c r="N396" t="str" cm="1">
        <f t="array" ref="N396">IFERROR(INDEX(Create_TC_Web!Q$1:Q$500,SMALL(IF(Create_TC_Web!$C$1:$C$500&lt;&gt;"",MATCH(ROW(Create_TC_Web!$C$1:$C$500),ROW(Create_TC_Web!$C$1:$C$500)),""),ROW(Create_TC_Web!O396))),"")</f>
        <v/>
      </c>
      <c r="O396" t="str">
        <f t="shared" si="19"/>
        <v/>
      </c>
      <c r="P396" s="17" t="str" cm="1">
        <f t="array" ref="P396">IFERROR(INDEX(Create_TC_Web!S$1:S$500,SMALL(IF(Create_TC_Web!$C$1:$C$500&lt;&gt;"",MATCH(ROW(Create_TC_Web!$C$1:$C$500),ROW(Create_TC_Web!$C$1:$C$500)),""),ROW(Create_TC_Web!Q374))),"")</f>
        <v/>
      </c>
      <c r="S396" t="str">
        <f t="shared" si="20"/>
        <v/>
      </c>
    </row>
    <row r="397" spans="1:19">
      <c r="A397" t="str" cm="1">
        <f t="array" ref="A397">IFERROR(INDEX(Create_TC_Web!D$1:D$500,SMALL(IF(Create_TC_Web!$C$1:$C$500&lt;&gt;"",MATCH(ROW(Create_TC_Web!$C$1:$C$500),ROW(Create_TC_Web!$C$1:$C$500)),""),ROW(Create_TC_Web!B397))),"")</f>
        <v/>
      </c>
      <c r="B397" t="str" cm="1">
        <f t="array" ref="B397">SUBSTITUTE(SUBSTITUTE(SUBSTITUTE(IFERROR(INDEX(Create_TC_Web!E$1:E$505,SMALL(IF(Create_TC_Web!$C$1:$C$505&lt;&gt;"",MATCH(ROW(Create_TC_Web!$C$1:$C$505),ROW(Create_TC_Web!$C$1:$C$505)),""),ROW(Create_TC_Web!C397))),"")," ",""),"-",""),"_","")</f>
        <v/>
      </c>
      <c r="C397" t="str" cm="1">
        <f t="array" ref="C397">IFERROR(INDEX(Create_TC_Web!F$1:F$500,SMALL(IF(Create_TC_Web!$C$1:$C$500&lt;&gt;"",MATCH(ROW(Create_TC_Web!$C$1:$C$500),ROW(Create_TC_Web!$C$1:$C$500)),""),ROW(Create_TC_Web!D397))),"")</f>
        <v/>
      </c>
      <c r="D397" t="str" cm="1">
        <f t="array" ref="D397">IFERROR(INDEX(Create_TC_Web!G$1:G$500,SMALL(IF(Create_TC_Web!$C$1:$C$500&lt;&gt;"",MATCH(ROW(Create_TC_Web!$C$1:$C$500),ROW(Create_TC_Web!$C$1:$C$500)),""),ROW(Create_TC_Web!E397))),"")</f>
        <v/>
      </c>
      <c r="E397" t="str" cm="1">
        <f t="array" ref="E397">IFERROR(INDEX(Create_TC_Web!H$1:H$500,SMALL(IF(Create_TC_Web!$C$1:$C$500&lt;&gt;"",MATCH(ROW(Create_TC_Web!$C$1:$C$500),ROW(Create_TC_Web!$C$1:$C$500)),""),ROW(Create_TC_Web!F397))),"")</f>
        <v/>
      </c>
      <c r="F397" t="str" cm="1">
        <f t="array" ref="F397">IFERROR(INDEX(Create_TC_Web!I$1:I$500,SMALL(IF(Create_TC_Web!$C$1:$C$500&lt;&gt;"",MATCH(ROW(Create_TC_Web!$C$1:$C$500),ROW(Create_TC_Web!$C$1:$C$500)),""),ROW(Create_TC_Web!G397))),"")</f>
        <v/>
      </c>
      <c r="G397" t="str" cm="1">
        <f t="array" ref="G397">IFERROR(INDEX(Create_TC_Web!J$1:J$500,SMALL(IF(Create_TC_Web!$C$1:$C$500&lt;&gt;"",MATCH(ROW(Create_TC_Web!$C$1:$C$500),ROW(Create_TC_Web!$C$1:$C$500)),""),ROW(Create_TC_Web!H397))),"")</f>
        <v/>
      </c>
      <c r="H397" t="str" cm="1">
        <f t="array" ref="H397">IFERROR(INDEX(Create_TC_Web!K$1:K$500,SMALL(IF(Create_TC_Web!$C$1:$C$500&lt;&gt;"",MATCH(ROW(Create_TC_Web!$C$1:$C$500),ROW(Create_TC_Web!$C$1:$C$500)),""),ROW(Create_TC_Web!I397))),"")</f>
        <v/>
      </c>
      <c r="I397" t="str" cm="1">
        <f t="array" ref="I397">IFERROR(INDEX(Create_TC_Web!L$1:L$500,SMALL(IF(Create_TC_Web!$C$1:$C$500&lt;&gt;"",MATCH(ROW(Create_TC_Web!$C$1:$C$500),ROW(Create_TC_Web!$C$1:$C$500)),""),ROW(Create_TC_Web!J397))),"")</f>
        <v/>
      </c>
      <c r="J397" t="str" cm="1">
        <f t="array" ref="J397">IFERROR(INDEX(Create_TC_Web!M$1:M$500,SMALL(IF(Create_TC_Web!$C$1:$C$500&lt;&gt;"",MATCH(ROW(Create_TC_Web!$C$1:$C$500),ROW(Create_TC_Web!$C$1:$C$500)),""),ROW(Create_TC_Web!K397))),"")</f>
        <v/>
      </c>
      <c r="K397" t="str" cm="1">
        <f t="array" ref="K397">IFERROR(INDEX(Create_TC_Web!N$1:N$500,SMALL(IF(Create_TC_Web!$C$1:$C$500&lt;&gt;"",MATCH(ROW(Create_TC_Web!$C$1:$C$500),ROW(Create_TC_Web!$C$1:$C$500)),""),ROW(Create_TC_Web!L397))),"")</f>
        <v/>
      </c>
      <c r="L397" t="str" cm="1">
        <f t="array" ref="L397">IFERROR(INDEX(Create_TC_Web!O$1:O$500,SMALL(IF(Create_TC_Web!$C$1:$C$500&lt;&gt;"",MATCH(ROW(Create_TC_Web!$C$1:$C$500),ROW(Create_TC_Web!$C$1:$C$500)),""),ROW(Create_TC_Web!M397))),"")</f>
        <v/>
      </c>
      <c r="M397" t="str" cm="1">
        <f t="array" ref="M397">IFERROR(INDEX(Create_TC_Web!P$1:P$500,SMALL(IF(Create_TC_Web!$C$1:$C$500&lt;&gt;"",MATCH(ROW(Create_TC_Web!$C$1:$C$500),ROW(Create_TC_Web!$C$1:$C$500)),""),ROW(Create_TC_Web!N397))),"")</f>
        <v/>
      </c>
      <c r="N397" t="str" cm="1">
        <f t="array" ref="N397">IFERROR(INDEX(Create_TC_Web!Q$1:Q$500,SMALL(IF(Create_TC_Web!$C$1:$C$500&lt;&gt;"",MATCH(ROW(Create_TC_Web!$C$1:$C$500),ROW(Create_TC_Web!$C$1:$C$500)),""),ROW(Create_TC_Web!O397))),"")</f>
        <v/>
      </c>
      <c r="O397" t="str">
        <f t="shared" si="19"/>
        <v/>
      </c>
      <c r="P397" s="17" t="str" cm="1">
        <f t="array" ref="P397">IFERROR(INDEX(Create_TC_Web!S$1:S$500,SMALL(IF(Create_TC_Web!$C$1:$C$500&lt;&gt;"",MATCH(ROW(Create_TC_Web!$C$1:$C$500),ROW(Create_TC_Web!$C$1:$C$500)),""),ROW(Create_TC_Web!Q375))),"")</f>
        <v/>
      </c>
      <c r="S397" t="str">
        <f t="shared" si="20"/>
        <v/>
      </c>
    </row>
    <row r="398" spans="1:19">
      <c r="A398" t="str" cm="1">
        <f t="array" ref="A398">IFERROR(INDEX(Create_TC_Web!D$1:D$500,SMALL(IF(Create_TC_Web!$C$1:$C$500&lt;&gt;"",MATCH(ROW(Create_TC_Web!$C$1:$C$500),ROW(Create_TC_Web!$C$1:$C$500)),""),ROW(Create_TC_Web!B398))),"")</f>
        <v/>
      </c>
      <c r="B398" t="str" cm="1">
        <f t="array" ref="B398">SUBSTITUTE(SUBSTITUTE(SUBSTITUTE(IFERROR(INDEX(Create_TC_Web!E$1:E$505,SMALL(IF(Create_TC_Web!$C$1:$C$505&lt;&gt;"",MATCH(ROW(Create_TC_Web!$C$1:$C$505),ROW(Create_TC_Web!$C$1:$C$505)),""),ROW(Create_TC_Web!C398))),"")," ",""),"-",""),"_","")</f>
        <v/>
      </c>
      <c r="C398" t="str" cm="1">
        <f t="array" ref="C398">IFERROR(INDEX(Create_TC_Web!F$1:F$500,SMALL(IF(Create_TC_Web!$C$1:$C$500&lt;&gt;"",MATCH(ROW(Create_TC_Web!$C$1:$C$500),ROW(Create_TC_Web!$C$1:$C$500)),""),ROW(Create_TC_Web!D398))),"")</f>
        <v/>
      </c>
      <c r="D398" t="str" cm="1">
        <f t="array" ref="D398">IFERROR(INDEX(Create_TC_Web!G$1:G$500,SMALL(IF(Create_TC_Web!$C$1:$C$500&lt;&gt;"",MATCH(ROW(Create_TC_Web!$C$1:$C$500),ROW(Create_TC_Web!$C$1:$C$500)),""),ROW(Create_TC_Web!E398))),"")</f>
        <v/>
      </c>
      <c r="E398" t="str" cm="1">
        <f t="array" ref="E398">IFERROR(INDEX(Create_TC_Web!H$1:H$500,SMALL(IF(Create_TC_Web!$C$1:$C$500&lt;&gt;"",MATCH(ROW(Create_TC_Web!$C$1:$C$500),ROW(Create_TC_Web!$C$1:$C$500)),""),ROW(Create_TC_Web!F398))),"")</f>
        <v/>
      </c>
      <c r="F398" t="str" cm="1">
        <f t="array" ref="F398">IFERROR(INDEX(Create_TC_Web!I$1:I$500,SMALL(IF(Create_TC_Web!$C$1:$C$500&lt;&gt;"",MATCH(ROW(Create_TC_Web!$C$1:$C$500),ROW(Create_TC_Web!$C$1:$C$500)),""),ROW(Create_TC_Web!G398))),"")</f>
        <v/>
      </c>
      <c r="G398" t="str" cm="1">
        <f t="array" ref="G398">IFERROR(INDEX(Create_TC_Web!J$1:J$500,SMALL(IF(Create_TC_Web!$C$1:$C$500&lt;&gt;"",MATCH(ROW(Create_TC_Web!$C$1:$C$500),ROW(Create_TC_Web!$C$1:$C$500)),""),ROW(Create_TC_Web!H398))),"")</f>
        <v/>
      </c>
      <c r="H398" t="str" cm="1">
        <f t="array" ref="H398">IFERROR(INDEX(Create_TC_Web!K$1:K$500,SMALL(IF(Create_TC_Web!$C$1:$C$500&lt;&gt;"",MATCH(ROW(Create_TC_Web!$C$1:$C$500),ROW(Create_TC_Web!$C$1:$C$500)),""),ROW(Create_TC_Web!I398))),"")</f>
        <v/>
      </c>
      <c r="I398" t="str" cm="1">
        <f t="array" ref="I398">IFERROR(INDEX(Create_TC_Web!L$1:L$500,SMALL(IF(Create_TC_Web!$C$1:$C$500&lt;&gt;"",MATCH(ROW(Create_TC_Web!$C$1:$C$500),ROW(Create_TC_Web!$C$1:$C$500)),""),ROW(Create_TC_Web!J398))),"")</f>
        <v/>
      </c>
      <c r="J398" t="str" cm="1">
        <f t="array" ref="J398">IFERROR(INDEX(Create_TC_Web!M$1:M$500,SMALL(IF(Create_TC_Web!$C$1:$C$500&lt;&gt;"",MATCH(ROW(Create_TC_Web!$C$1:$C$500),ROW(Create_TC_Web!$C$1:$C$500)),""),ROW(Create_TC_Web!K398))),"")</f>
        <v/>
      </c>
      <c r="K398" t="str" cm="1">
        <f t="array" ref="K398">IFERROR(INDEX(Create_TC_Web!N$1:N$500,SMALL(IF(Create_TC_Web!$C$1:$C$500&lt;&gt;"",MATCH(ROW(Create_TC_Web!$C$1:$C$500),ROW(Create_TC_Web!$C$1:$C$500)),""),ROW(Create_TC_Web!L398))),"")</f>
        <v/>
      </c>
      <c r="L398" t="str" cm="1">
        <f t="array" ref="L398">IFERROR(INDEX(Create_TC_Web!O$1:O$500,SMALL(IF(Create_TC_Web!$C$1:$C$500&lt;&gt;"",MATCH(ROW(Create_TC_Web!$C$1:$C$500),ROW(Create_TC_Web!$C$1:$C$500)),""),ROW(Create_TC_Web!M398))),"")</f>
        <v/>
      </c>
      <c r="M398" t="str" cm="1">
        <f t="array" ref="M398">IFERROR(INDEX(Create_TC_Web!P$1:P$500,SMALL(IF(Create_TC_Web!$C$1:$C$500&lt;&gt;"",MATCH(ROW(Create_TC_Web!$C$1:$C$500),ROW(Create_TC_Web!$C$1:$C$500)),""),ROW(Create_TC_Web!N398))),"")</f>
        <v/>
      </c>
      <c r="N398" t="str" cm="1">
        <f t="array" ref="N398">IFERROR(INDEX(Create_TC_Web!Q$1:Q$500,SMALL(IF(Create_TC_Web!$C$1:$C$500&lt;&gt;"",MATCH(ROW(Create_TC_Web!$C$1:$C$500),ROW(Create_TC_Web!$C$1:$C$500)),""),ROW(Create_TC_Web!O398))),"")</f>
        <v/>
      </c>
      <c r="O398" t="str">
        <f t="shared" si="19"/>
        <v/>
      </c>
      <c r="P398" s="17" t="str" cm="1">
        <f t="array" ref="P398">IFERROR(INDEX(Create_TC_Web!S$1:S$500,SMALL(IF(Create_TC_Web!$C$1:$C$500&lt;&gt;"",MATCH(ROW(Create_TC_Web!$C$1:$C$500),ROW(Create_TC_Web!$C$1:$C$500)),""),ROW(Create_TC_Web!Q376))),"")</f>
        <v/>
      </c>
      <c r="S398" t="str">
        <f t="shared" si="20"/>
        <v/>
      </c>
    </row>
    <row r="399" spans="1:19">
      <c r="A399" t="str" cm="1">
        <f t="array" ref="A399">IFERROR(INDEX(Create_TC_Web!D$1:D$500,SMALL(IF(Create_TC_Web!$C$1:$C$500&lt;&gt;"",MATCH(ROW(Create_TC_Web!$C$1:$C$500),ROW(Create_TC_Web!$C$1:$C$500)),""),ROW(Create_TC_Web!B399))),"")</f>
        <v/>
      </c>
      <c r="B399" t="str" cm="1">
        <f t="array" ref="B399">SUBSTITUTE(SUBSTITUTE(SUBSTITUTE(IFERROR(INDEX(Create_TC_Web!E$1:E$505,SMALL(IF(Create_TC_Web!$C$1:$C$505&lt;&gt;"",MATCH(ROW(Create_TC_Web!$C$1:$C$505),ROW(Create_TC_Web!$C$1:$C$505)),""),ROW(Create_TC_Web!C399))),"")," ",""),"-",""),"_","")</f>
        <v/>
      </c>
      <c r="C399" t="str" cm="1">
        <f t="array" ref="C399">IFERROR(INDEX(Create_TC_Web!F$1:F$500,SMALL(IF(Create_TC_Web!$C$1:$C$500&lt;&gt;"",MATCH(ROW(Create_TC_Web!$C$1:$C$500),ROW(Create_TC_Web!$C$1:$C$500)),""),ROW(Create_TC_Web!D399))),"")</f>
        <v/>
      </c>
      <c r="D399" t="str" cm="1">
        <f t="array" ref="D399">IFERROR(INDEX(Create_TC_Web!G$1:G$500,SMALL(IF(Create_TC_Web!$C$1:$C$500&lt;&gt;"",MATCH(ROW(Create_TC_Web!$C$1:$C$500),ROW(Create_TC_Web!$C$1:$C$500)),""),ROW(Create_TC_Web!E399))),"")</f>
        <v/>
      </c>
      <c r="E399" t="str" cm="1">
        <f t="array" ref="E399">IFERROR(INDEX(Create_TC_Web!H$1:H$500,SMALL(IF(Create_TC_Web!$C$1:$C$500&lt;&gt;"",MATCH(ROW(Create_TC_Web!$C$1:$C$500),ROW(Create_TC_Web!$C$1:$C$500)),""),ROW(Create_TC_Web!F399))),"")</f>
        <v/>
      </c>
      <c r="F399" t="str" cm="1">
        <f t="array" ref="F399">IFERROR(INDEX(Create_TC_Web!I$1:I$500,SMALL(IF(Create_TC_Web!$C$1:$C$500&lt;&gt;"",MATCH(ROW(Create_TC_Web!$C$1:$C$500),ROW(Create_TC_Web!$C$1:$C$500)),""),ROW(Create_TC_Web!G399))),"")</f>
        <v/>
      </c>
      <c r="G399" t="str" cm="1">
        <f t="array" ref="G399">IFERROR(INDEX(Create_TC_Web!J$1:J$500,SMALL(IF(Create_TC_Web!$C$1:$C$500&lt;&gt;"",MATCH(ROW(Create_TC_Web!$C$1:$C$500),ROW(Create_TC_Web!$C$1:$C$500)),""),ROW(Create_TC_Web!H399))),"")</f>
        <v/>
      </c>
      <c r="H399" t="str" cm="1">
        <f t="array" ref="H399">IFERROR(INDEX(Create_TC_Web!K$1:K$500,SMALL(IF(Create_TC_Web!$C$1:$C$500&lt;&gt;"",MATCH(ROW(Create_TC_Web!$C$1:$C$500),ROW(Create_TC_Web!$C$1:$C$500)),""),ROW(Create_TC_Web!I399))),"")</f>
        <v/>
      </c>
      <c r="I399" t="str" cm="1">
        <f t="array" ref="I399">IFERROR(INDEX(Create_TC_Web!L$1:L$500,SMALL(IF(Create_TC_Web!$C$1:$C$500&lt;&gt;"",MATCH(ROW(Create_TC_Web!$C$1:$C$500),ROW(Create_TC_Web!$C$1:$C$500)),""),ROW(Create_TC_Web!J399))),"")</f>
        <v/>
      </c>
      <c r="J399" t="str" cm="1">
        <f t="array" ref="J399">IFERROR(INDEX(Create_TC_Web!M$1:M$500,SMALL(IF(Create_TC_Web!$C$1:$C$500&lt;&gt;"",MATCH(ROW(Create_TC_Web!$C$1:$C$500),ROW(Create_TC_Web!$C$1:$C$500)),""),ROW(Create_TC_Web!K399))),"")</f>
        <v/>
      </c>
      <c r="K399" t="str" cm="1">
        <f t="array" ref="K399">IFERROR(INDEX(Create_TC_Web!N$1:N$500,SMALL(IF(Create_TC_Web!$C$1:$C$500&lt;&gt;"",MATCH(ROW(Create_TC_Web!$C$1:$C$500),ROW(Create_TC_Web!$C$1:$C$500)),""),ROW(Create_TC_Web!L399))),"")</f>
        <v/>
      </c>
      <c r="L399" t="str" cm="1">
        <f t="array" ref="L399">IFERROR(INDEX(Create_TC_Web!O$1:O$500,SMALL(IF(Create_TC_Web!$C$1:$C$500&lt;&gt;"",MATCH(ROW(Create_TC_Web!$C$1:$C$500),ROW(Create_TC_Web!$C$1:$C$500)),""),ROW(Create_TC_Web!M399))),"")</f>
        <v/>
      </c>
      <c r="M399" t="str" cm="1">
        <f t="array" ref="M399">IFERROR(INDEX(Create_TC_Web!P$1:P$500,SMALL(IF(Create_TC_Web!$C$1:$C$500&lt;&gt;"",MATCH(ROW(Create_TC_Web!$C$1:$C$500),ROW(Create_TC_Web!$C$1:$C$500)),""),ROW(Create_TC_Web!N399))),"")</f>
        <v/>
      </c>
      <c r="N399" t="str" cm="1">
        <f t="array" ref="N399">IFERROR(INDEX(Create_TC_Web!Q$1:Q$500,SMALL(IF(Create_TC_Web!$C$1:$C$500&lt;&gt;"",MATCH(ROW(Create_TC_Web!$C$1:$C$500),ROW(Create_TC_Web!$C$1:$C$500)),""),ROW(Create_TC_Web!O399))),"")</f>
        <v/>
      </c>
      <c r="O399" t="str">
        <f t="shared" si="19"/>
        <v/>
      </c>
      <c r="P399" s="17" t="str" cm="1">
        <f t="array" ref="P399">IFERROR(INDEX(Create_TC_Web!S$1:S$500,SMALL(IF(Create_TC_Web!$C$1:$C$500&lt;&gt;"",MATCH(ROW(Create_TC_Web!$C$1:$C$500),ROW(Create_TC_Web!$C$1:$C$500)),""),ROW(Create_TC_Web!Q377))),"")</f>
        <v/>
      </c>
      <c r="S399" t="str">
        <f t="shared" si="20"/>
        <v/>
      </c>
    </row>
    <row r="400" spans="1:19">
      <c r="A400" t="str" cm="1">
        <f t="array" ref="A400">IFERROR(INDEX(Create_TC_Web!D$1:D$500,SMALL(IF(Create_TC_Web!$C$1:$C$500&lt;&gt;"",MATCH(ROW(Create_TC_Web!$C$1:$C$500),ROW(Create_TC_Web!$C$1:$C$500)),""),ROW(Create_TC_Web!B400))),"")</f>
        <v/>
      </c>
      <c r="B400" t="str" cm="1">
        <f t="array" ref="B400">SUBSTITUTE(SUBSTITUTE(SUBSTITUTE(IFERROR(INDEX(Create_TC_Web!E$1:E$505,SMALL(IF(Create_TC_Web!$C$1:$C$505&lt;&gt;"",MATCH(ROW(Create_TC_Web!$C$1:$C$505),ROW(Create_TC_Web!$C$1:$C$505)),""),ROW(Create_TC_Web!C400))),"")," ",""),"-",""),"_","")</f>
        <v/>
      </c>
      <c r="C400" t="str" cm="1">
        <f t="array" ref="C400">IFERROR(INDEX(Create_TC_Web!F$1:F$500,SMALL(IF(Create_TC_Web!$C$1:$C$500&lt;&gt;"",MATCH(ROW(Create_TC_Web!$C$1:$C$500),ROW(Create_TC_Web!$C$1:$C$500)),""),ROW(Create_TC_Web!D400))),"")</f>
        <v/>
      </c>
      <c r="D400" t="str" cm="1">
        <f t="array" ref="D400">IFERROR(INDEX(Create_TC_Web!G$1:G$500,SMALL(IF(Create_TC_Web!$C$1:$C$500&lt;&gt;"",MATCH(ROW(Create_TC_Web!$C$1:$C$500),ROW(Create_TC_Web!$C$1:$C$500)),""),ROW(Create_TC_Web!E400))),"")</f>
        <v/>
      </c>
      <c r="E400" t="str" cm="1">
        <f t="array" ref="E400">IFERROR(INDEX(Create_TC_Web!H$1:H$500,SMALL(IF(Create_TC_Web!$C$1:$C$500&lt;&gt;"",MATCH(ROW(Create_TC_Web!$C$1:$C$500),ROW(Create_TC_Web!$C$1:$C$500)),""),ROW(Create_TC_Web!F400))),"")</f>
        <v/>
      </c>
      <c r="F400" t="str" cm="1">
        <f t="array" ref="F400">IFERROR(INDEX(Create_TC_Web!I$1:I$500,SMALL(IF(Create_TC_Web!$C$1:$C$500&lt;&gt;"",MATCH(ROW(Create_TC_Web!$C$1:$C$500),ROW(Create_TC_Web!$C$1:$C$500)),""),ROW(Create_TC_Web!G400))),"")</f>
        <v/>
      </c>
      <c r="G400" t="str" cm="1">
        <f t="array" ref="G400">IFERROR(INDEX(Create_TC_Web!J$1:J$500,SMALL(IF(Create_TC_Web!$C$1:$C$500&lt;&gt;"",MATCH(ROW(Create_TC_Web!$C$1:$C$500),ROW(Create_TC_Web!$C$1:$C$500)),""),ROW(Create_TC_Web!H400))),"")</f>
        <v/>
      </c>
      <c r="H400" t="str" cm="1">
        <f t="array" ref="H400">IFERROR(INDEX(Create_TC_Web!K$1:K$500,SMALL(IF(Create_TC_Web!$C$1:$C$500&lt;&gt;"",MATCH(ROW(Create_TC_Web!$C$1:$C$500),ROW(Create_TC_Web!$C$1:$C$500)),""),ROW(Create_TC_Web!I400))),"")</f>
        <v/>
      </c>
      <c r="I400" t="str" cm="1">
        <f t="array" ref="I400">IFERROR(INDEX(Create_TC_Web!L$1:L$500,SMALL(IF(Create_TC_Web!$C$1:$C$500&lt;&gt;"",MATCH(ROW(Create_TC_Web!$C$1:$C$500),ROW(Create_TC_Web!$C$1:$C$500)),""),ROW(Create_TC_Web!J400))),"")</f>
        <v/>
      </c>
      <c r="J400" t="str" cm="1">
        <f t="array" ref="J400">IFERROR(INDEX(Create_TC_Web!M$1:M$500,SMALL(IF(Create_TC_Web!$C$1:$C$500&lt;&gt;"",MATCH(ROW(Create_TC_Web!$C$1:$C$500),ROW(Create_TC_Web!$C$1:$C$500)),""),ROW(Create_TC_Web!K400))),"")</f>
        <v/>
      </c>
      <c r="K400" t="str" cm="1">
        <f t="array" ref="K400">IFERROR(INDEX(Create_TC_Web!N$1:N$500,SMALL(IF(Create_TC_Web!$C$1:$C$500&lt;&gt;"",MATCH(ROW(Create_TC_Web!$C$1:$C$500),ROW(Create_TC_Web!$C$1:$C$500)),""),ROW(Create_TC_Web!L400))),"")</f>
        <v/>
      </c>
      <c r="L400" t="str" cm="1">
        <f t="array" ref="L400">IFERROR(INDEX(Create_TC_Web!O$1:O$500,SMALL(IF(Create_TC_Web!$C$1:$C$500&lt;&gt;"",MATCH(ROW(Create_TC_Web!$C$1:$C$500),ROW(Create_TC_Web!$C$1:$C$500)),""),ROW(Create_TC_Web!M400))),"")</f>
        <v/>
      </c>
      <c r="M400" t="str" cm="1">
        <f t="array" ref="M400">IFERROR(INDEX(Create_TC_Web!P$1:P$500,SMALL(IF(Create_TC_Web!$C$1:$C$500&lt;&gt;"",MATCH(ROW(Create_TC_Web!$C$1:$C$500),ROW(Create_TC_Web!$C$1:$C$500)),""),ROW(Create_TC_Web!N400))),"")</f>
        <v/>
      </c>
      <c r="N400" t="str" cm="1">
        <f t="array" ref="N400">IFERROR(INDEX(Create_TC_Web!Q$1:Q$500,SMALL(IF(Create_TC_Web!$C$1:$C$500&lt;&gt;"",MATCH(ROW(Create_TC_Web!$C$1:$C$500),ROW(Create_TC_Web!$C$1:$C$500)),""),ROW(Create_TC_Web!O400))),"")</f>
        <v/>
      </c>
      <c r="O400" t="str">
        <f t="shared" si="19"/>
        <v/>
      </c>
      <c r="P400" s="17" t="str" cm="1">
        <f t="array" ref="P400">IFERROR(INDEX(Create_TC_Web!S$1:S$500,SMALL(IF(Create_TC_Web!$C$1:$C$500&lt;&gt;"",MATCH(ROW(Create_TC_Web!$C$1:$C$500),ROW(Create_TC_Web!$C$1:$C$500)),""),ROW(Create_TC_Web!Q378))),"")</f>
        <v/>
      </c>
      <c r="S400" t="str">
        <f t="shared" si="20"/>
        <v/>
      </c>
    </row>
    <row r="401" spans="1:19">
      <c r="A401" t="str" cm="1">
        <f t="array" ref="A401">IFERROR(INDEX(Create_TC_Web!D$1:D$500,SMALL(IF(Create_TC_Web!$C$1:$C$500&lt;&gt;"",MATCH(ROW(Create_TC_Web!$C$1:$C$500),ROW(Create_TC_Web!$C$1:$C$500)),""),ROW(Create_TC_Web!B401))),"")</f>
        <v/>
      </c>
      <c r="B401" t="str" cm="1">
        <f t="array" ref="B401">SUBSTITUTE(SUBSTITUTE(SUBSTITUTE(IFERROR(INDEX(Create_TC_Web!E$1:E$505,SMALL(IF(Create_TC_Web!$C$1:$C$505&lt;&gt;"",MATCH(ROW(Create_TC_Web!$C$1:$C$505),ROW(Create_TC_Web!$C$1:$C$505)),""),ROW(Create_TC_Web!C401))),"")," ",""),"-",""),"_","")</f>
        <v/>
      </c>
      <c r="C401" t="str" cm="1">
        <f t="array" ref="C401">IFERROR(INDEX(Create_TC_Web!F$1:F$500,SMALL(IF(Create_TC_Web!$C$1:$C$500&lt;&gt;"",MATCH(ROW(Create_TC_Web!$C$1:$C$500),ROW(Create_TC_Web!$C$1:$C$500)),""),ROW(Create_TC_Web!D401))),"")</f>
        <v/>
      </c>
      <c r="D401" t="str" cm="1">
        <f t="array" ref="D401">IFERROR(INDEX(Create_TC_Web!G$1:G$500,SMALL(IF(Create_TC_Web!$C$1:$C$500&lt;&gt;"",MATCH(ROW(Create_TC_Web!$C$1:$C$500),ROW(Create_TC_Web!$C$1:$C$500)),""),ROW(Create_TC_Web!E401))),"")</f>
        <v/>
      </c>
      <c r="E401" t="str" cm="1">
        <f t="array" ref="E401">IFERROR(INDEX(Create_TC_Web!H$1:H$500,SMALL(IF(Create_TC_Web!$C$1:$C$500&lt;&gt;"",MATCH(ROW(Create_TC_Web!$C$1:$C$500),ROW(Create_TC_Web!$C$1:$C$500)),""),ROW(Create_TC_Web!F401))),"")</f>
        <v/>
      </c>
      <c r="F401" t="str" cm="1">
        <f t="array" ref="F401">IFERROR(INDEX(Create_TC_Web!I$1:I$500,SMALL(IF(Create_TC_Web!$C$1:$C$500&lt;&gt;"",MATCH(ROW(Create_TC_Web!$C$1:$C$500),ROW(Create_TC_Web!$C$1:$C$500)),""),ROW(Create_TC_Web!G401))),"")</f>
        <v/>
      </c>
      <c r="G401" t="str" cm="1">
        <f t="array" ref="G401">IFERROR(INDEX(Create_TC_Web!J$1:J$500,SMALL(IF(Create_TC_Web!$C$1:$C$500&lt;&gt;"",MATCH(ROW(Create_TC_Web!$C$1:$C$500),ROW(Create_TC_Web!$C$1:$C$500)),""),ROW(Create_TC_Web!H401))),"")</f>
        <v/>
      </c>
      <c r="H401" t="str" cm="1">
        <f t="array" ref="H401">IFERROR(INDEX(Create_TC_Web!K$1:K$500,SMALL(IF(Create_TC_Web!$C$1:$C$500&lt;&gt;"",MATCH(ROW(Create_TC_Web!$C$1:$C$500),ROW(Create_TC_Web!$C$1:$C$500)),""),ROW(Create_TC_Web!I401))),"")</f>
        <v/>
      </c>
      <c r="I401" t="str" cm="1">
        <f t="array" ref="I401">IFERROR(INDEX(Create_TC_Web!L$1:L$500,SMALL(IF(Create_TC_Web!$C$1:$C$500&lt;&gt;"",MATCH(ROW(Create_TC_Web!$C$1:$C$500),ROW(Create_TC_Web!$C$1:$C$500)),""),ROW(Create_TC_Web!J401))),"")</f>
        <v/>
      </c>
      <c r="J401" t="str" cm="1">
        <f t="array" ref="J401">IFERROR(INDEX(Create_TC_Web!M$1:M$500,SMALL(IF(Create_TC_Web!$C$1:$C$500&lt;&gt;"",MATCH(ROW(Create_TC_Web!$C$1:$C$500),ROW(Create_TC_Web!$C$1:$C$500)),""),ROW(Create_TC_Web!K401))),"")</f>
        <v/>
      </c>
      <c r="K401" t="str" cm="1">
        <f t="array" ref="K401">IFERROR(INDEX(Create_TC_Web!N$1:N$500,SMALL(IF(Create_TC_Web!$C$1:$C$500&lt;&gt;"",MATCH(ROW(Create_TC_Web!$C$1:$C$500),ROW(Create_TC_Web!$C$1:$C$500)),""),ROW(Create_TC_Web!L401))),"")</f>
        <v/>
      </c>
      <c r="L401" t="str" cm="1">
        <f t="array" ref="L401">IFERROR(INDEX(Create_TC_Web!O$1:O$500,SMALL(IF(Create_TC_Web!$C$1:$C$500&lt;&gt;"",MATCH(ROW(Create_TC_Web!$C$1:$C$500),ROW(Create_TC_Web!$C$1:$C$500)),""),ROW(Create_TC_Web!M401))),"")</f>
        <v/>
      </c>
      <c r="M401" t="str" cm="1">
        <f t="array" ref="M401">IFERROR(INDEX(Create_TC_Web!P$1:P$500,SMALL(IF(Create_TC_Web!$C$1:$C$500&lt;&gt;"",MATCH(ROW(Create_TC_Web!$C$1:$C$500),ROW(Create_TC_Web!$C$1:$C$500)),""),ROW(Create_TC_Web!N401))),"")</f>
        <v/>
      </c>
      <c r="N401" t="str" cm="1">
        <f t="array" ref="N401">IFERROR(INDEX(Create_TC_Web!Q$1:Q$500,SMALL(IF(Create_TC_Web!$C$1:$C$500&lt;&gt;"",MATCH(ROW(Create_TC_Web!$C$1:$C$500),ROW(Create_TC_Web!$C$1:$C$500)),""),ROW(Create_TC_Web!O401))),"")</f>
        <v/>
      </c>
      <c r="O401" t="str">
        <f t="shared" si="19"/>
        <v/>
      </c>
      <c r="P401" s="17" t="str" cm="1">
        <f t="array" ref="P401">IFERROR(INDEX(Create_TC_Web!S$1:S$500,SMALL(IF(Create_TC_Web!$C$1:$C$500&lt;&gt;"",MATCH(ROW(Create_TC_Web!$C$1:$C$500),ROW(Create_TC_Web!$C$1:$C$500)),""),ROW(Create_TC_Web!Q379))),"")</f>
        <v/>
      </c>
      <c r="S401" t="str">
        <f t="shared" si="20"/>
        <v/>
      </c>
    </row>
    <row r="402" spans="1:19">
      <c r="A402" t="str" cm="1">
        <f t="array" ref="A402">IFERROR(INDEX(Create_TC_Web!D$1:D$500,SMALL(IF(Create_TC_Web!$C$1:$C$500&lt;&gt;"",MATCH(ROW(Create_TC_Web!$C$1:$C$500),ROW(Create_TC_Web!$C$1:$C$500)),""),ROW(Create_TC_Web!B402))),"")</f>
        <v/>
      </c>
      <c r="B402" t="str" cm="1">
        <f t="array" ref="B402">SUBSTITUTE(SUBSTITUTE(SUBSTITUTE(IFERROR(INDEX(Create_TC_Web!E$1:E$505,SMALL(IF(Create_TC_Web!$C$1:$C$505&lt;&gt;"",MATCH(ROW(Create_TC_Web!$C$1:$C$505),ROW(Create_TC_Web!$C$1:$C$505)),""),ROW(Create_TC_Web!C402))),"")," ",""),"-",""),"_","")</f>
        <v/>
      </c>
      <c r="C402" t="str" cm="1">
        <f t="array" ref="C402">IFERROR(INDEX(Create_TC_Web!F$1:F$500,SMALL(IF(Create_TC_Web!$C$1:$C$500&lt;&gt;"",MATCH(ROW(Create_TC_Web!$C$1:$C$500),ROW(Create_TC_Web!$C$1:$C$500)),""),ROW(Create_TC_Web!D402))),"")</f>
        <v/>
      </c>
      <c r="D402" t="str" cm="1">
        <f t="array" ref="D402">IFERROR(INDEX(Create_TC_Web!G$1:G$500,SMALL(IF(Create_TC_Web!$C$1:$C$500&lt;&gt;"",MATCH(ROW(Create_TC_Web!$C$1:$C$500),ROW(Create_TC_Web!$C$1:$C$500)),""),ROW(Create_TC_Web!E402))),"")</f>
        <v/>
      </c>
      <c r="E402" t="str" cm="1">
        <f t="array" ref="E402">IFERROR(INDEX(Create_TC_Web!H$1:H$500,SMALL(IF(Create_TC_Web!$C$1:$C$500&lt;&gt;"",MATCH(ROW(Create_TC_Web!$C$1:$C$500),ROW(Create_TC_Web!$C$1:$C$500)),""),ROW(Create_TC_Web!F402))),"")</f>
        <v/>
      </c>
      <c r="F402" t="str" cm="1">
        <f t="array" ref="F402">IFERROR(INDEX(Create_TC_Web!I$1:I$500,SMALL(IF(Create_TC_Web!$C$1:$C$500&lt;&gt;"",MATCH(ROW(Create_TC_Web!$C$1:$C$500),ROW(Create_TC_Web!$C$1:$C$500)),""),ROW(Create_TC_Web!G402))),"")</f>
        <v/>
      </c>
      <c r="G402" t="str" cm="1">
        <f t="array" ref="G402">IFERROR(INDEX(Create_TC_Web!J$1:J$500,SMALL(IF(Create_TC_Web!$C$1:$C$500&lt;&gt;"",MATCH(ROW(Create_TC_Web!$C$1:$C$500),ROW(Create_TC_Web!$C$1:$C$500)),""),ROW(Create_TC_Web!H402))),"")</f>
        <v/>
      </c>
      <c r="H402" t="str" cm="1">
        <f t="array" ref="H402">IFERROR(INDEX(Create_TC_Web!K$1:K$500,SMALL(IF(Create_TC_Web!$C$1:$C$500&lt;&gt;"",MATCH(ROW(Create_TC_Web!$C$1:$C$500),ROW(Create_TC_Web!$C$1:$C$500)),""),ROW(Create_TC_Web!I402))),"")</f>
        <v/>
      </c>
      <c r="I402" t="str" cm="1">
        <f t="array" ref="I402">IFERROR(INDEX(Create_TC_Web!L$1:L$500,SMALL(IF(Create_TC_Web!$C$1:$C$500&lt;&gt;"",MATCH(ROW(Create_TC_Web!$C$1:$C$500),ROW(Create_TC_Web!$C$1:$C$500)),""),ROW(Create_TC_Web!J402))),"")</f>
        <v/>
      </c>
      <c r="J402" t="str" cm="1">
        <f t="array" ref="J402">IFERROR(INDEX(Create_TC_Web!M$1:M$500,SMALL(IF(Create_TC_Web!$C$1:$C$500&lt;&gt;"",MATCH(ROW(Create_TC_Web!$C$1:$C$500),ROW(Create_TC_Web!$C$1:$C$500)),""),ROW(Create_TC_Web!K402))),"")</f>
        <v/>
      </c>
      <c r="K402" t="str" cm="1">
        <f t="array" ref="K402">IFERROR(INDEX(Create_TC_Web!N$1:N$500,SMALL(IF(Create_TC_Web!$C$1:$C$500&lt;&gt;"",MATCH(ROW(Create_TC_Web!$C$1:$C$500),ROW(Create_TC_Web!$C$1:$C$500)),""),ROW(Create_TC_Web!L402))),"")</f>
        <v/>
      </c>
      <c r="L402" t="str" cm="1">
        <f t="array" ref="L402">IFERROR(INDEX(Create_TC_Web!O$1:O$500,SMALL(IF(Create_TC_Web!$C$1:$C$500&lt;&gt;"",MATCH(ROW(Create_TC_Web!$C$1:$C$500),ROW(Create_TC_Web!$C$1:$C$500)),""),ROW(Create_TC_Web!M402))),"")</f>
        <v/>
      </c>
      <c r="M402" t="str" cm="1">
        <f t="array" ref="M402">IFERROR(INDEX(Create_TC_Web!P$1:P$500,SMALL(IF(Create_TC_Web!$C$1:$C$500&lt;&gt;"",MATCH(ROW(Create_TC_Web!$C$1:$C$500),ROW(Create_TC_Web!$C$1:$C$500)),""),ROW(Create_TC_Web!N402))),"")</f>
        <v/>
      </c>
      <c r="N402" t="str" cm="1">
        <f t="array" ref="N402">IFERROR(INDEX(Create_TC_Web!Q$1:Q$500,SMALL(IF(Create_TC_Web!$C$1:$C$500&lt;&gt;"",MATCH(ROW(Create_TC_Web!$C$1:$C$500),ROW(Create_TC_Web!$C$1:$C$500)),""),ROW(Create_TC_Web!O402))),"")</f>
        <v/>
      </c>
      <c r="O402" t="str">
        <f t="shared" si="19"/>
        <v/>
      </c>
      <c r="P402" s="17" t="str" cm="1">
        <f t="array" ref="P402">IFERROR(INDEX(Create_TC_Web!S$1:S$500,SMALL(IF(Create_TC_Web!$C$1:$C$500&lt;&gt;"",MATCH(ROW(Create_TC_Web!$C$1:$C$500),ROW(Create_TC_Web!$C$1:$C$500)),""),ROW(Create_TC_Web!Q380))),"")</f>
        <v/>
      </c>
      <c r="S402" t="str">
        <f t="shared" si="20"/>
        <v/>
      </c>
    </row>
    <row r="403" spans="1:19">
      <c r="A403" t="str" cm="1">
        <f t="array" ref="A403">IFERROR(INDEX(Create_TC_Web!D$1:D$500,SMALL(IF(Create_TC_Web!$C$1:$C$500&lt;&gt;"",MATCH(ROW(Create_TC_Web!$C$1:$C$500),ROW(Create_TC_Web!$C$1:$C$500)),""),ROW(Create_TC_Web!B403))),"")</f>
        <v/>
      </c>
      <c r="B403" t="str" cm="1">
        <f t="array" ref="B403">SUBSTITUTE(SUBSTITUTE(SUBSTITUTE(IFERROR(INDEX(Create_TC_Web!E$1:E$505,SMALL(IF(Create_TC_Web!$C$1:$C$505&lt;&gt;"",MATCH(ROW(Create_TC_Web!$C$1:$C$505),ROW(Create_TC_Web!$C$1:$C$505)),""),ROW(Create_TC_Web!C403))),"")," ",""),"-",""),"_","")</f>
        <v/>
      </c>
      <c r="C403" t="str" cm="1">
        <f t="array" ref="C403">IFERROR(INDEX(Create_TC_Web!F$1:F$500,SMALL(IF(Create_TC_Web!$C$1:$C$500&lt;&gt;"",MATCH(ROW(Create_TC_Web!$C$1:$C$500),ROW(Create_TC_Web!$C$1:$C$500)),""),ROW(Create_TC_Web!D403))),"")</f>
        <v/>
      </c>
      <c r="D403" t="str" cm="1">
        <f t="array" ref="D403">IFERROR(INDEX(Create_TC_Web!G$1:G$500,SMALL(IF(Create_TC_Web!$C$1:$C$500&lt;&gt;"",MATCH(ROW(Create_TC_Web!$C$1:$C$500),ROW(Create_TC_Web!$C$1:$C$500)),""),ROW(Create_TC_Web!E403))),"")</f>
        <v/>
      </c>
      <c r="E403" t="str" cm="1">
        <f t="array" ref="E403">IFERROR(INDEX(Create_TC_Web!H$1:H$500,SMALL(IF(Create_TC_Web!$C$1:$C$500&lt;&gt;"",MATCH(ROW(Create_TC_Web!$C$1:$C$500),ROW(Create_TC_Web!$C$1:$C$500)),""),ROW(Create_TC_Web!F403))),"")</f>
        <v/>
      </c>
      <c r="F403" t="str" cm="1">
        <f t="array" ref="F403">IFERROR(INDEX(Create_TC_Web!I$1:I$500,SMALL(IF(Create_TC_Web!$C$1:$C$500&lt;&gt;"",MATCH(ROW(Create_TC_Web!$C$1:$C$500),ROW(Create_TC_Web!$C$1:$C$500)),""),ROW(Create_TC_Web!G403))),"")</f>
        <v/>
      </c>
      <c r="G403" t="str" cm="1">
        <f t="array" ref="G403">IFERROR(INDEX(Create_TC_Web!J$1:J$500,SMALL(IF(Create_TC_Web!$C$1:$C$500&lt;&gt;"",MATCH(ROW(Create_TC_Web!$C$1:$C$500),ROW(Create_TC_Web!$C$1:$C$500)),""),ROW(Create_TC_Web!H403))),"")</f>
        <v/>
      </c>
      <c r="H403" t="str" cm="1">
        <f t="array" ref="H403">IFERROR(INDEX(Create_TC_Web!K$1:K$500,SMALL(IF(Create_TC_Web!$C$1:$C$500&lt;&gt;"",MATCH(ROW(Create_TC_Web!$C$1:$C$500),ROW(Create_TC_Web!$C$1:$C$500)),""),ROW(Create_TC_Web!I403))),"")</f>
        <v/>
      </c>
      <c r="I403" t="str" cm="1">
        <f t="array" ref="I403">IFERROR(INDEX(Create_TC_Web!L$1:L$500,SMALL(IF(Create_TC_Web!$C$1:$C$500&lt;&gt;"",MATCH(ROW(Create_TC_Web!$C$1:$C$500),ROW(Create_TC_Web!$C$1:$C$500)),""),ROW(Create_TC_Web!J403))),"")</f>
        <v/>
      </c>
      <c r="J403" t="str" cm="1">
        <f t="array" ref="J403">IFERROR(INDEX(Create_TC_Web!M$1:M$500,SMALL(IF(Create_TC_Web!$C$1:$C$500&lt;&gt;"",MATCH(ROW(Create_TC_Web!$C$1:$C$500),ROW(Create_TC_Web!$C$1:$C$500)),""),ROW(Create_TC_Web!K403))),"")</f>
        <v/>
      </c>
      <c r="K403" t="str" cm="1">
        <f t="array" ref="K403">IFERROR(INDEX(Create_TC_Web!N$1:N$500,SMALL(IF(Create_TC_Web!$C$1:$C$500&lt;&gt;"",MATCH(ROW(Create_TC_Web!$C$1:$C$500),ROW(Create_TC_Web!$C$1:$C$500)),""),ROW(Create_TC_Web!L403))),"")</f>
        <v/>
      </c>
      <c r="L403" t="str" cm="1">
        <f t="array" ref="L403">IFERROR(INDEX(Create_TC_Web!O$1:O$500,SMALL(IF(Create_TC_Web!$C$1:$C$500&lt;&gt;"",MATCH(ROW(Create_TC_Web!$C$1:$C$500),ROW(Create_TC_Web!$C$1:$C$500)),""),ROW(Create_TC_Web!M403))),"")</f>
        <v/>
      </c>
      <c r="M403" t="str" cm="1">
        <f t="array" ref="M403">IFERROR(INDEX(Create_TC_Web!P$1:P$500,SMALL(IF(Create_TC_Web!$C$1:$C$500&lt;&gt;"",MATCH(ROW(Create_TC_Web!$C$1:$C$500),ROW(Create_TC_Web!$C$1:$C$500)),""),ROW(Create_TC_Web!N403))),"")</f>
        <v/>
      </c>
      <c r="N403" t="str" cm="1">
        <f t="array" ref="N403">IFERROR(INDEX(Create_TC_Web!Q$1:Q$500,SMALL(IF(Create_TC_Web!$C$1:$C$500&lt;&gt;"",MATCH(ROW(Create_TC_Web!$C$1:$C$500),ROW(Create_TC_Web!$C$1:$C$500)),""),ROW(Create_TC_Web!O403))),"")</f>
        <v/>
      </c>
      <c r="O403" t="str">
        <f t="shared" si="19"/>
        <v/>
      </c>
      <c r="P403" s="17" t="str" cm="1">
        <f t="array" ref="P403">IFERROR(INDEX(Create_TC_Web!S$1:S$500,SMALL(IF(Create_TC_Web!$C$1:$C$500&lt;&gt;"",MATCH(ROW(Create_TC_Web!$C$1:$C$500),ROW(Create_TC_Web!$C$1:$C$500)),""),ROW(Create_TC_Web!Q381))),"")</f>
        <v/>
      </c>
      <c r="S403" t="str">
        <f t="shared" si="20"/>
        <v/>
      </c>
    </row>
    <row r="404" spans="1:19">
      <c r="A404" t="str" cm="1">
        <f t="array" ref="A404">IFERROR(INDEX(Create_TC_Web!D$1:D$500,SMALL(IF(Create_TC_Web!$C$1:$C$500&lt;&gt;"",MATCH(ROW(Create_TC_Web!$C$1:$C$500),ROW(Create_TC_Web!$C$1:$C$500)),""),ROW(Create_TC_Web!B404))),"")</f>
        <v/>
      </c>
      <c r="B404" t="str" cm="1">
        <f t="array" ref="B404">SUBSTITUTE(SUBSTITUTE(SUBSTITUTE(IFERROR(INDEX(Create_TC_Web!E$1:E$505,SMALL(IF(Create_TC_Web!$C$1:$C$505&lt;&gt;"",MATCH(ROW(Create_TC_Web!$C$1:$C$505),ROW(Create_TC_Web!$C$1:$C$505)),""),ROW(Create_TC_Web!C404))),"")," ",""),"-",""),"_","")</f>
        <v/>
      </c>
      <c r="C404" t="str" cm="1">
        <f t="array" ref="C404">IFERROR(INDEX(Create_TC_Web!F$1:F$500,SMALL(IF(Create_TC_Web!$C$1:$C$500&lt;&gt;"",MATCH(ROW(Create_TC_Web!$C$1:$C$500),ROW(Create_TC_Web!$C$1:$C$500)),""),ROW(Create_TC_Web!D404))),"")</f>
        <v/>
      </c>
      <c r="D404" t="str" cm="1">
        <f t="array" ref="D404">IFERROR(INDEX(Create_TC_Web!G$1:G$500,SMALL(IF(Create_TC_Web!$C$1:$C$500&lt;&gt;"",MATCH(ROW(Create_TC_Web!$C$1:$C$500),ROW(Create_TC_Web!$C$1:$C$500)),""),ROW(Create_TC_Web!E404))),"")</f>
        <v/>
      </c>
      <c r="E404" t="str" cm="1">
        <f t="array" ref="E404">IFERROR(INDEX(Create_TC_Web!H$1:H$500,SMALL(IF(Create_TC_Web!$C$1:$C$500&lt;&gt;"",MATCH(ROW(Create_TC_Web!$C$1:$C$500),ROW(Create_TC_Web!$C$1:$C$500)),""),ROW(Create_TC_Web!F404))),"")</f>
        <v/>
      </c>
      <c r="F404" t="str" cm="1">
        <f t="array" ref="F404">IFERROR(INDEX(Create_TC_Web!I$1:I$500,SMALL(IF(Create_TC_Web!$C$1:$C$500&lt;&gt;"",MATCH(ROW(Create_TC_Web!$C$1:$C$500),ROW(Create_TC_Web!$C$1:$C$500)),""),ROW(Create_TC_Web!G404))),"")</f>
        <v/>
      </c>
      <c r="G404" t="str" cm="1">
        <f t="array" ref="G404">IFERROR(INDEX(Create_TC_Web!J$1:J$500,SMALL(IF(Create_TC_Web!$C$1:$C$500&lt;&gt;"",MATCH(ROW(Create_TC_Web!$C$1:$C$500),ROW(Create_TC_Web!$C$1:$C$500)),""),ROW(Create_TC_Web!H404))),"")</f>
        <v/>
      </c>
      <c r="H404" t="str" cm="1">
        <f t="array" ref="H404">IFERROR(INDEX(Create_TC_Web!K$1:K$500,SMALL(IF(Create_TC_Web!$C$1:$C$500&lt;&gt;"",MATCH(ROW(Create_TC_Web!$C$1:$C$500),ROW(Create_TC_Web!$C$1:$C$500)),""),ROW(Create_TC_Web!I404))),"")</f>
        <v/>
      </c>
      <c r="I404" t="str" cm="1">
        <f t="array" ref="I404">IFERROR(INDEX(Create_TC_Web!L$1:L$500,SMALL(IF(Create_TC_Web!$C$1:$C$500&lt;&gt;"",MATCH(ROW(Create_TC_Web!$C$1:$C$500),ROW(Create_TC_Web!$C$1:$C$500)),""),ROW(Create_TC_Web!J404))),"")</f>
        <v/>
      </c>
      <c r="J404" t="str" cm="1">
        <f t="array" ref="J404">IFERROR(INDEX(Create_TC_Web!M$1:M$500,SMALL(IF(Create_TC_Web!$C$1:$C$500&lt;&gt;"",MATCH(ROW(Create_TC_Web!$C$1:$C$500),ROW(Create_TC_Web!$C$1:$C$500)),""),ROW(Create_TC_Web!K404))),"")</f>
        <v/>
      </c>
      <c r="K404" t="str" cm="1">
        <f t="array" ref="K404">IFERROR(INDEX(Create_TC_Web!N$1:N$500,SMALL(IF(Create_TC_Web!$C$1:$C$500&lt;&gt;"",MATCH(ROW(Create_TC_Web!$C$1:$C$500),ROW(Create_TC_Web!$C$1:$C$500)),""),ROW(Create_TC_Web!L404))),"")</f>
        <v/>
      </c>
      <c r="L404" t="str" cm="1">
        <f t="array" ref="L404">IFERROR(INDEX(Create_TC_Web!O$1:O$500,SMALL(IF(Create_TC_Web!$C$1:$C$500&lt;&gt;"",MATCH(ROW(Create_TC_Web!$C$1:$C$500),ROW(Create_TC_Web!$C$1:$C$500)),""),ROW(Create_TC_Web!M404))),"")</f>
        <v/>
      </c>
      <c r="M404" t="str" cm="1">
        <f t="array" ref="M404">IFERROR(INDEX(Create_TC_Web!P$1:P$500,SMALL(IF(Create_TC_Web!$C$1:$C$500&lt;&gt;"",MATCH(ROW(Create_TC_Web!$C$1:$C$500),ROW(Create_TC_Web!$C$1:$C$500)),""),ROW(Create_TC_Web!N404))),"")</f>
        <v/>
      </c>
      <c r="N404" t="str" cm="1">
        <f t="array" ref="N404">IFERROR(INDEX(Create_TC_Web!Q$1:Q$500,SMALL(IF(Create_TC_Web!$C$1:$C$500&lt;&gt;"",MATCH(ROW(Create_TC_Web!$C$1:$C$500),ROW(Create_TC_Web!$C$1:$C$500)),""),ROW(Create_TC_Web!O404))),"")</f>
        <v/>
      </c>
      <c r="O404" t="str">
        <f t="shared" si="19"/>
        <v/>
      </c>
      <c r="P404" s="17" t="str" cm="1">
        <f t="array" ref="P404">IFERROR(INDEX(Create_TC_Web!S$1:S$500,SMALL(IF(Create_TC_Web!$C$1:$C$500&lt;&gt;"",MATCH(ROW(Create_TC_Web!$C$1:$C$500),ROW(Create_TC_Web!$C$1:$C$500)),""),ROW(Create_TC_Web!Q382))),"")</f>
        <v/>
      </c>
      <c r="S404" t="str">
        <f t="shared" si="20"/>
        <v/>
      </c>
    </row>
    <row r="405" spans="1:19">
      <c r="A405" t="str" cm="1">
        <f t="array" ref="A405">IFERROR(INDEX(Create_TC_Web!D$1:D$500,SMALL(IF(Create_TC_Web!$C$1:$C$500&lt;&gt;"",MATCH(ROW(Create_TC_Web!$C$1:$C$500),ROW(Create_TC_Web!$C$1:$C$500)),""),ROW(Create_TC_Web!B405))),"")</f>
        <v/>
      </c>
      <c r="B405" t="str" cm="1">
        <f t="array" ref="B405">SUBSTITUTE(SUBSTITUTE(SUBSTITUTE(IFERROR(INDEX(Create_TC_Web!E$1:E$505,SMALL(IF(Create_TC_Web!$C$1:$C$505&lt;&gt;"",MATCH(ROW(Create_TC_Web!$C$1:$C$505),ROW(Create_TC_Web!$C$1:$C$505)),""),ROW(Create_TC_Web!C405))),"")," ",""),"-",""),"_","")</f>
        <v/>
      </c>
      <c r="C405" t="str" cm="1">
        <f t="array" ref="C405">IFERROR(INDEX(Create_TC_Web!F$1:F$500,SMALL(IF(Create_TC_Web!$C$1:$C$500&lt;&gt;"",MATCH(ROW(Create_TC_Web!$C$1:$C$500),ROW(Create_TC_Web!$C$1:$C$500)),""),ROW(Create_TC_Web!D405))),"")</f>
        <v/>
      </c>
      <c r="D405" t="str" cm="1">
        <f t="array" ref="D405">IFERROR(INDEX(Create_TC_Web!G$1:G$500,SMALL(IF(Create_TC_Web!$C$1:$C$500&lt;&gt;"",MATCH(ROW(Create_TC_Web!$C$1:$C$500),ROW(Create_TC_Web!$C$1:$C$500)),""),ROW(Create_TC_Web!E405))),"")</f>
        <v/>
      </c>
      <c r="E405" t="str" cm="1">
        <f t="array" ref="E405">IFERROR(INDEX(Create_TC_Web!H$1:H$500,SMALL(IF(Create_TC_Web!$C$1:$C$500&lt;&gt;"",MATCH(ROW(Create_TC_Web!$C$1:$C$500),ROW(Create_TC_Web!$C$1:$C$500)),""),ROW(Create_TC_Web!F405))),"")</f>
        <v/>
      </c>
      <c r="F405" t="str" cm="1">
        <f t="array" ref="F405">IFERROR(INDEX(Create_TC_Web!I$1:I$500,SMALL(IF(Create_TC_Web!$C$1:$C$500&lt;&gt;"",MATCH(ROW(Create_TC_Web!$C$1:$C$500),ROW(Create_TC_Web!$C$1:$C$500)),""),ROW(Create_TC_Web!G405))),"")</f>
        <v/>
      </c>
      <c r="G405" t="str" cm="1">
        <f t="array" ref="G405">IFERROR(INDEX(Create_TC_Web!J$1:J$500,SMALL(IF(Create_TC_Web!$C$1:$C$500&lt;&gt;"",MATCH(ROW(Create_TC_Web!$C$1:$C$500),ROW(Create_TC_Web!$C$1:$C$500)),""),ROW(Create_TC_Web!H405))),"")</f>
        <v/>
      </c>
      <c r="H405" t="str" cm="1">
        <f t="array" ref="H405">IFERROR(INDEX(Create_TC_Web!K$1:K$500,SMALL(IF(Create_TC_Web!$C$1:$C$500&lt;&gt;"",MATCH(ROW(Create_TC_Web!$C$1:$C$500),ROW(Create_TC_Web!$C$1:$C$500)),""),ROW(Create_TC_Web!I405))),"")</f>
        <v/>
      </c>
      <c r="I405" t="str" cm="1">
        <f t="array" ref="I405">IFERROR(INDEX(Create_TC_Web!L$1:L$500,SMALL(IF(Create_TC_Web!$C$1:$C$500&lt;&gt;"",MATCH(ROW(Create_TC_Web!$C$1:$C$500),ROW(Create_TC_Web!$C$1:$C$500)),""),ROW(Create_TC_Web!J405))),"")</f>
        <v/>
      </c>
      <c r="J405" t="str" cm="1">
        <f t="array" ref="J405">IFERROR(INDEX(Create_TC_Web!M$1:M$500,SMALL(IF(Create_TC_Web!$C$1:$C$500&lt;&gt;"",MATCH(ROW(Create_TC_Web!$C$1:$C$500),ROW(Create_TC_Web!$C$1:$C$500)),""),ROW(Create_TC_Web!K405))),"")</f>
        <v/>
      </c>
      <c r="K405" t="str" cm="1">
        <f t="array" ref="K405">IFERROR(INDEX(Create_TC_Web!N$1:N$500,SMALL(IF(Create_TC_Web!$C$1:$C$500&lt;&gt;"",MATCH(ROW(Create_TC_Web!$C$1:$C$500),ROW(Create_TC_Web!$C$1:$C$500)),""),ROW(Create_TC_Web!L405))),"")</f>
        <v/>
      </c>
      <c r="L405" t="str" cm="1">
        <f t="array" ref="L405">IFERROR(INDEX(Create_TC_Web!O$1:O$500,SMALL(IF(Create_TC_Web!$C$1:$C$500&lt;&gt;"",MATCH(ROW(Create_TC_Web!$C$1:$C$500),ROW(Create_TC_Web!$C$1:$C$500)),""),ROW(Create_TC_Web!M405))),"")</f>
        <v/>
      </c>
      <c r="M405" t="str" cm="1">
        <f t="array" ref="M405">IFERROR(INDEX(Create_TC_Web!P$1:P$500,SMALL(IF(Create_TC_Web!$C$1:$C$500&lt;&gt;"",MATCH(ROW(Create_TC_Web!$C$1:$C$500),ROW(Create_TC_Web!$C$1:$C$500)),""),ROW(Create_TC_Web!N405))),"")</f>
        <v/>
      </c>
      <c r="N405" t="str" cm="1">
        <f t="array" ref="N405">IFERROR(INDEX(Create_TC_Web!Q$1:Q$500,SMALL(IF(Create_TC_Web!$C$1:$C$500&lt;&gt;"",MATCH(ROW(Create_TC_Web!$C$1:$C$500),ROW(Create_TC_Web!$C$1:$C$500)),""),ROW(Create_TC_Web!O405))),"")</f>
        <v/>
      </c>
      <c r="O405" t="str">
        <f t="shared" si="19"/>
        <v/>
      </c>
      <c r="P405" s="17" t="str" cm="1">
        <f t="array" ref="P405">IFERROR(INDEX(Create_TC_Web!S$1:S$500,SMALL(IF(Create_TC_Web!$C$1:$C$500&lt;&gt;"",MATCH(ROW(Create_TC_Web!$C$1:$C$500),ROW(Create_TC_Web!$C$1:$C$500)),""),ROW(Create_TC_Web!Q383))),"")</f>
        <v/>
      </c>
      <c r="S405" t="str">
        <f t="shared" si="20"/>
        <v/>
      </c>
    </row>
    <row r="406" spans="1:19">
      <c r="A406" t="str" cm="1">
        <f t="array" ref="A406">IFERROR(INDEX(Create_TC_Web!D$1:D$500,SMALL(IF(Create_TC_Web!$C$1:$C$500&lt;&gt;"",MATCH(ROW(Create_TC_Web!$C$1:$C$500),ROW(Create_TC_Web!$C$1:$C$500)),""),ROW(Create_TC_Web!B406))),"")</f>
        <v/>
      </c>
      <c r="B406" t="str" cm="1">
        <f t="array" ref="B406">SUBSTITUTE(SUBSTITUTE(SUBSTITUTE(IFERROR(INDEX(Create_TC_Web!E$1:E$505,SMALL(IF(Create_TC_Web!$C$1:$C$505&lt;&gt;"",MATCH(ROW(Create_TC_Web!$C$1:$C$505),ROW(Create_TC_Web!$C$1:$C$505)),""),ROW(Create_TC_Web!C406))),"")," ",""),"-",""),"_","")</f>
        <v/>
      </c>
      <c r="C406" t="str" cm="1">
        <f t="array" ref="C406">IFERROR(INDEX(Create_TC_Web!F$1:F$500,SMALL(IF(Create_TC_Web!$C$1:$C$500&lt;&gt;"",MATCH(ROW(Create_TC_Web!$C$1:$C$500),ROW(Create_TC_Web!$C$1:$C$500)),""),ROW(Create_TC_Web!D406))),"")</f>
        <v/>
      </c>
      <c r="D406" t="str" cm="1">
        <f t="array" ref="D406">IFERROR(INDEX(Create_TC_Web!G$1:G$500,SMALL(IF(Create_TC_Web!$C$1:$C$500&lt;&gt;"",MATCH(ROW(Create_TC_Web!$C$1:$C$500),ROW(Create_TC_Web!$C$1:$C$500)),""),ROW(Create_TC_Web!E406))),"")</f>
        <v/>
      </c>
      <c r="E406" t="str" cm="1">
        <f t="array" ref="E406">IFERROR(INDEX(Create_TC_Web!H$1:H$500,SMALL(IF(Create_TC_Web!$C$1:$C$500&lt;&gt;"",MATCH(ROW(Create_TC_Web!$C$1:$C$500),ROW(Create_TC_Web!$C$1:$C$500)),""),ROW(Create_TC_Web!F406))),"")</f>
        <v/>
      </c>
      <c r="F406" t="str" cm="1">
        <f t="array" ref="F406">IFERROR(INDEX(Create_TC_Web!I$1:I$500,SMALL(IF(Create_TC_Web!$C$1:$C$500&lt;&gt;"",MATCH(ROW(Create_TC_Web!$C$1:$C$500),ROW(Create_TC_Web!$C$1:$C$500)),""),ROW(Create_TC_Web!G406))),"")</f>
        <v/>
      </c>
      <c r="G406" t="str" cm="1">
        <f t="array" ref="G406">IFERROR(INDEX(Create_TC_Web!J$1:J$500,SMALL(IF(Create_TC_Web!$C$1:$C$500&lt;&gt;"",MATCH(ROW(Create_TC_Web!$C$1:$C$500),ROW(Create_TC_Web!$C$1:$C$500)),""),ROW(Create_TC_Web!H406))),"")</f>
        <v/>
      </c>
      <c r="H406" t="str" cm="1">
        <f t="array" ref="H406">IFERROR(INDEX(Create_TC_Web!K$1:K$500,SMALL(IF(Create_TC_Web!$C$1:$C$500&lt;&gt;"",MATCH(ROW(Create_TC_Web!$C$1:$C$500),ROW(Create_TC_Web!$C$1:$C$500)),""),ROW(Create_TC_Web!I406))),"")</f>
        <v/>
      </c>
      <c r="I406" t="str" cm="1">
        <f t="array" ref="I406">IFERROR(INDEX(Create_TC_Web!L$1:L$500,SMALL(IF(Create_TC_Web!$C$1:$C$500&lt;&gt;"",MATCH(ROW(Create_TC_Web!$C$1:$C$500),ROW(Create_TC_Web!$C$1:$C$500)),""),ROW(Create_TC_Web!J406))),"")</f>
        <v/>
      </c>
      <c r="J406" t="str" cm="1">
        <f t="array" ref="J406">IFERROR(INDEX(Create_TC_Web!M$1:M$500,SMALL(IF(Create_TC_Web!$C$1:$C$500&lt;&gt;"",MATCH(ROW(Create_TC_Web!$C$1:$C$500),ROW(Create_TC_Web!$C$1:$C$500)),""),ROW(Create_TC_Web!K406))),"")</f>
        <v/>
      </c>
      <c r="K406" t="str" cm="1">
        <f t="array" ref="K406">IFERROR(INDEX(Create_TC_Web!N$1:N$500,SMALL(IF(Create_TC_Web!$C$1:$C$500&lt;&gt;"",MATCH(ROW(Create_TC_Web!$C$1:$C$500),ROW(Create_TC_Web!$C$1:$C$500)),""),ROW(Create_TC_Web!L406))),"")</f>
        <v/>
      </c>
      <c r="L406" t="str" cm="1">
        <f t="array" ref="L406">IFERROR(INDEX(Create_TC_Web!O$1:O$500,SMALL(IF(Create_TC_Web!$C$1:$C$500&lt;&gt;"",MATCH(ROW(Create_TC_Web!$C$1:$C$500),ROW(Create_TC_Web!$C$1:$C$500)),""),ROW(Create_TC_Web!M406))),"")</f>
        <v/>
      </c>
      <c r="M406" t="str" cm="1">
        <f t="array" ref="M406">IFERROR(INDEX(Create_TC_Web!P$1:P$500,SMALL(IF(Create_TC_Web!$C$1:$C$500&lt;&gt;"",MATCH(ROW(Create_TC_Web!$C$1:$C$500),ROW(Create_TC_Web!$C$1:$C$500)),""),ROW(Create_TC_Web!N406))),"")</f>
        <v/>
      </c>
      <c r="N406" t="str" cm="1">
        <f t="array" ref="N406">IFERROR(INDEX(Create_TC_Web!Q$1:Q$500,SMALL(IF(Create_TC_Web!$C$1:$C$500&lt;&gt;"",MATCH(ROW(Create_TC_Web!$C$1:$C$500),ROW(Create_TC_Web!$C$1:$C$500)),""),ROW(Create_TC_Web!O406))),"")</f>
        <v/>
      </c>
      <c r="O406" t="str">
        <f t="shared" si="19"/>
        <v/>
      </c>
      <c r="P406" s="17" t="str" cm="1">
        <f t="array" ref="P406">IFERROR(INDEX(Create_TC_Web!S$1:S$500,SMALL(IF(Create_TC_Web!$C$1:$C$500&lt;&gt;"",MATCH(ROW(Create_TC_Web!$C$1:$C$500),ROW(Create_TC_Web!$C$1:$C$500)),""),ROW(Create_TC_Web!Q384))),"")</f>
        <v/>
      </c>
      <c r="S406" t="str">
        <f t="shared" si="20"/>
        <v/>
      </c>
    </row>
    <row r="407" spans="1:19">
      <c r="A407" t="str" cm="1">
        <f t="array" ref="A407">IFERROR(INDEX(Create_TC_Web!D$1:D$500,SMALL(IF(Create_TC_Web!$C$1:$C$500&lt;&gt;"",MATCH(ROW(Create_TC_Web!$C$1:$C$500),ROW(Create_TC_Web!$C$1:$C$500)),""),ROW(Create_TC_Web!B407))),"")</f>
        <v/>
      </c>
      <c r="B407" t="str" cm="1">
        <f t="array" ref="B407">SUBSTITUTE(SUBSTITUTE(SUBSTITUTE(IFERROR(INDEX(Create_TC_Web!E$1:E$505,SMALL(IF(Create_TC_Web!$C$1:$C$505&lt;&gt;"",MATCH(ROW(Create_TC_Web!$C$1:$C$505),ROW(Create_TC_Web!$C$1:$C$505)),""),ROW(Create_TC_Web!C407))),"")," ",""),"-",""),"_","")</f>
        <v/>
      </c>
      <c r="C407" t="str" cm="1">
        <f t="array" ref="C407">IFERROR(INDEX(Create_TC_Web!F$1:F$500,SMALL(IF(Create_TC_Web!$C$1:$C$500&lt;&gt;"",MATCH(ROW(Create_TC_Web!$C$1:$C$500),ROW(Create_TC_Web!$C$1:$C$500)),""),ROW(Create_TC_Web!D407))),"")</f>
        <v/>
      </c>
      <c r="D407" t="str" cm="1">
        <f t="array" ref="D407">IFERROR(INDEX(Create_TC_Web!G$1:G$500,SMALL(IF(Create_TC_Web!$C$1:$C$500&lt;&gt;"",MATCH(ROW(Create_TC_Web!$C$1:$C$500),ROW(Create_TC_Web!$C$1:$C$500)),""),ROW(Create_TC_Web!E407))),"")</f>
        <v/>
      </c>
      <c r="E407" t="str" cm="1">
        <f t="array" ref="E407">IFERROR(INDEX(Create_TC_Web!H$1:H$500,SMALL(IF(Create_TC_Web!$C$1:$C$500&lt;&gt;"",MATCH(ROW(Create_TC_Web!$C$1:$C$500),ROW(Create_TC_Web!$C$1:$C$500)),""),ROW(Create_TC_Web!F407))),"")</f>
        <v/>
      </c>
      <c r="F407" t="str" cm="1">
        <f t="array" ref="F407">IFERROR(INDEX(Create_TC_Web!I$1:I$500,SMALL(IF(Create_TC_Web!$C$1:$C$500&lt;&gt;"",MATCH(ROW(Create_TC_Web!$C$1:$C$500),ROW(Create_TC_Web!$C$1:$C$500)),""),ROW(Create_TC_Web!G407))),"")</f>
        <v/>
      </c>
      <c r="G407" t="str" cm="1">
        <f t="array" ref="G407">IFERROR(INDEX(Create_TC_Web!J$1:J$500,SMALL(IF(Create_TC_Web!$C$1:$C$500&lt;&gt;"",MATCH(ROW(Create_TC_Web!$C$1:$C$500),ROW(Create_TC_Web!$C$1:$C$500)),""),ROW(Create_TC_Web!H407))),"")</f>
        <v/>
      </c>
      <c r="H407" t="str" cm="1">
        <f t="array" ref="H407">IFERROR(INDEX(Create_TC_Web!K$1:K$500,SMALL(IF(Create_TC_Web!$C$1:$C$500&lt;&gt;"",MATCH(ROW(Create_TC_Web!$C$1:$C$500),ROW(Create_TC_Web!$C$1:$C$500)),""),ROW(Create_TC_Web!I407))),"")</f>
        <v/>
      </c>
      <c r="I407" t="str" cm="1">
        <f t="array" ref="I407">IFERROR(INDEX(Create_TC_Web!L$1:L$500,SMALL(IF(Create_TC_Web!$C$1:$C$500&lt;&gt;"",MATCH(ROW(Create_TC_Web!$C$1:$C$500),ROW(Create_TC_Web!$C$1:$C$500)),""),ROW(Create_TC_Web!J407))),"")</f>
        <v/>
      </c>
      <c r="J407" t="str" cm="1">
        <f t="array" ref="J407">IFERROR(INDEX(Create_TC_Web!M$1:M$500,SMALL(IF(Create_TC_Web!$C$1:$C$500&lt;&gt;"",MATCH(ROW(Create_TC_Web!$C$1:$C$500),ROW(Create_TC_Web!$C$1:$C$500)),""),ROW(Create_TC_Web!K407))),"")</f>
        <v/>
      </c>
      <c r="K407" t="str" cm="1">
        <f t="array" ref="K407">IFERROR(INDEX(Create_TC_Web!N$1:N$500,SMALL(IF(Create_TC_Web!$C$1:$C$500&lt;&gt;"",MATCH(ROW(Create_TC_Web!$C$1:$C$500),ROW(Create_TC_Web!$C$1:$C$500)),""),ROW(Create_TC_Web!L407))),"")</f>
        <v/>
      </c>
      <c r="L407" t="str" cm="1">
        <f t="array" ref="L407">IFERROR(INDEX(Create_TC_Web!O$1:O$500,SMALL(IF(Create_TC_Web!$C$1:$C$500&lt;&gt;"",MATCH(ROW(Create_TC_Web!$C$1:$C$500),ROW(Create_TC_Web!$C$1:$C$500)),""),ROW(Create_TC_Web!M407))),"")</f>
        <v/>
      </c>
      <c r="M407" t="str" cm="1">
        <f t="array" ref="M407">IFERROR(INDEX(Create_TC_Web!P$1:P$500,SMALL(IF(Create_TC_Web!$C$1:$C$500&lt;&gt;"",MATCH(ROW(Create_TC_Web!$C$1:$C$500),ROW(Create_TC_Web!$C$1:$C$500)),""),ROW(Create_TC_Web!N407))),"")</f>
        <v/>
      </c>
      <c r="N407" t="str" cm="1">
        <f t="array" ref="N407">IFERROR(INDEX(Create_TC_Web!Q$1:Q$500,SMALL(IF(Create_TC_Web!$C$1:$C$500&lt;&gt;"",MATCH(ROW(Create_TC_Web!$C$1:$C$500),ROW(Create_TC_Web!$C$1:$C$500)),""),ROW(Create_TC_Web!O407))),"")</f>
        <v/>
      </c>
      <c r="O407" t="str">
        <f t="shared" si="19"/>
        <v/>
      </c>
      <c r="P407" s="17" t="str" cm="1">
        <f t="array" ref="P407">IFERROR(INDEX(Create_TC_Web!S$1:S$500,SMALL(IF(Create_TC_Web!$C$1:$C$500&lt;&gt;"",MATCH(ROW(Create_TC_Web!$C$1:$C$500),ROW(Create_TC_Web!$C$1:$C$500)),""),ROW(Create_TC_Web!Q385))),"")</f>
        <v/>
      </c>
      <c r="S407" t="str">
        <f t="shared" si="20"/>
        <v/>
      </c>
    </row>
    <row r="408" spans="1:19">
      <c r="A408" t="str" cm="1">
        <f t="array" ref="A408">IFERROR(INDEX(Create_TC_Web!D$1:D$500,SMALL(IF(Create_TC_Web!$C$1:$C$500&lt;&gt;"",MATCH(ROW(Create_TC_Web!$C$1:$C$500),ROW(Create_TC_Web!$C$1:$C$500)),""),ROW(Create_TC_Web!B408))),"")</f>
        <v/>
      </c>
      <c r="B408" t="str" cm="1">
        <f t="array" ref="B408">SUBSTITUTE(SUBSTITUTE(SUBSTITUTE(IFERROR(INDEX(Create_TC_Web!E$1:E$505,SMALL(IF(Create_TC_Web!$C$1:$C$505&lt;&gt;"",MATCH(ROW(Create_TC_Web!$C$1:$C$505),ROW(Create_TC_Web!$C$1:$C$505)),""),ROW(Create_TC_Web!C408))),"")," ",""),"-",""),"_","")</f>
        <v/>
      </c>
      <c r="C408" t="str" cm="1">
        <f t="array" ref="C408">IFERROR(INDEX(Create_TC_Web!F$1:F$500,SMALL(IF(Create_TC_Web!$C$1:$C$500&lt;&gt;"",MATCH(ROW(Create_TC_Web!$C$1:$C$500),ROW(Create_TC_Web!$C$1:$C$500)),""),ROW(Create_TC_Web!D408))),"")</f>
        <v/>
      </c>
      <c r="D408" t="str" cm="1">
        <f t="array" ref="D408">IFERROR(INDEX(Create_TC_Web!G$1:G$500,SMALL(IF(Create_TC_Web!$C$1:$C$500&lt;&gt;"",MATCH(ROW(Create_TC_Web!$C$1:$C$500),ROW(Create_TC_Web!$C$1:$C$500)),""),ROW(Create_TC_Web!E408))),"")</f>
        <v/>
      </c>
      <c r="E408" t="str" cm="1">
        <f t="array" ref="E408">IFERROR(INDEX(Create_TC_Web!H$1:H$500,SMALL(IF(Create_TC_Web!$C$1:$C$500&lt;&gt;"",MATCH(ROW(Create_TC_Web!$C$1:$C$500),ROW(Create_TC_Web!$C$1:$C$500)),""),ROW(Create_TC_Web!F408))),"")</f>
        <v/>
      </c>
      <c r="F408" t="str" cm="1">
        <f t="array" ref="F408">IFERROR(INDEX(Create_TC_Web!I$1:I$500,SMALL(IF(Create_TC_Web!$C$1:$C$500&lt;&gt;"",MATCH(ROW(Create_TC_Web!$C$1:$C$500),ROW(Create_TC_Web!$C$1:$C$500)),""),ROW(Create_TC_Web!G408))),"")</f>
        <v/>
      </c>
      <c r="G408" t="str" cm="1">
        <f t="array" ref="G408">IFERROR(INDEX(Create_TC_Web!J$1:J$500,SMALL(IF(Create_TC_Web!$C$1:$C$500&lt;&gt;"",MATCH(ROW(Create_TC_Web!$C$1:$C$500),ROW(Create_TC_Web!$C$1:$C$500)),""),ROW(Create_TC_Web!H408))),"")</f>
        <v/>
      </c>
      <c r="H408" t="str" cm="1">
        <f t="array" ref="H408">IFERROR(INDEX(Create_TC_Web!K$1:K$500,SMALL(IF(Create_TC_Web!$C$1:$C$500&lt;&gt;"",MATCH(ROW(Create_TC_Web!$C$1:$C$500),ROW(Create_TC_Web!$C$1:$C$500)),""),ROW(Create_TC_Web!I408))),"")</f>
        <v/>
      </c>
      <c r="I408" t="str" cm="1">
        <f t="array" ref="I408">IFERROR(INDEX(Create_TC_Web!L$1:L$500,SMALL(IF(Create_TC_Web!$C$1:$C$500&lt;&gt;"",MATCH(ROW(Create_TC_Web!$C$1:$C$500),ROW(Create_TC_Web!$C$1:$C$500)),""),ROW(Create_TC_Web!J408))),"")</f>
        <v/>
      </c>
      <c r="J408" t="str" cm="1">
        <f t="array" ref="J408">IFERROR(INDEX(Create_TC_Web!M$1:M$500,SMALL(IF(Create_TC_Web!$C$1:$C$500&lt;&gt;"",MATCH(ROW(Create_TC_Web!$C$1:$C$500),ROW(Create_TC_Web!$C$1:$C$500)),""),ROW(Create_TC_Web!K408))),"")</f>
        <v/>
      </c>
      <c r="K408" t="str" cm="1">
        <f t="array" ref="K408">IFERROR(INDEX(Create_TC_Web!N$1:N$500,SMALL(IF(Create_TC_Web!$C$1:$C$500&lt;&gt;"",MATCH(ROW(Create_TC_Web!$C$1:$C$500),ROW(Create_TC_Web!$C$1:$C$500)),""),ROW(Create_TC_Web!L408))),"")</f>
        <v/>
      </c>
      <c r="L408" t="str" cm="1">
        <f t="array" ref="L408">IFERROR(INDEX(Create_TC_Web!O$1:O$500,SMALL(IF(Create_TC_Web!$C$1:$C$500&lt;&gt;"",MATCH(ROW(Create_TC_Web!$C$1:$C$500),ROW(Create_TC_Web!$C$1:$C$500)),""),ROW(Create_TC_Web!M408))),"")</f>
        <v/>
      </c>
      <c r="M408" t="str" cm="1">
        <f t="array" ref="M408">IFERROR(INDEX(Create_TC_Web!P$1:P$500,SMALL(IF(Create_TC_Web!$C$1:$C$500&lt;&gt;"",MATCH(ROW(Create_TC_Web!$C$1:$C$500),ROW(Create_TC_Web!$C$1:$C$500)),""),ROW(Create_TC_Web!N408))),"")</f>
        <v/>
      </c>
      <c r="N408" t="str" cm="1">
        <f t="array" ref="N408">IFERROR(INDEX(Create_TC_Web!Q$1:Q$500,SMALL(IF(Create_TC_Web!$C$1:$C$500&lt;&gt;"",MATCH(ROW(Create_TC_Web!$C$1:$C$500),ROW(Create_TC_Web!$C$1:$C$500)),""),ROW(Create_TC_Web!O408))),"")</f>
        <v/>
      </c>
      <c r="O408" t="str">
        <f t="shared" si="19"/>
        <v/>
      </c>
      <c r="P408" s="17" t="str" cm="1">
        <f t="array" ref="P408">IFERROR(INDEX(Create_TC_Web!S$1:S$500,SMALL(IF(Create_TC_Web!$C$1:$C$500&lt;&gt;"",MATCH(ROW(Create_TC_Web!$C$1:$C$500),ROW(Create_TC_Web!$C$1:$C$500)),""),ROW(Create_TC_Web!Q386))),"")</f>
        <v/>
      </c>
      <c r="S408" t="str">
        <f t="shared" si="20"/>
        <v/>
      </c>
    </row>
    <row r="409" spans="1:19">
      <c r="A409" t="str" cm="1">
        <f t="array" ref="A409">IFERROR(INDEX(Create_TC_Web!D$1:D$500,SMALL(IF(Create_TC_Web!$C$1:$C$500&lt;&gt;"",MATCH(ROW(Create_TC_Web!$C$1:$C$500),ROW(Create_TC_Web!$C$1:$C$500)),""),ROW(Create_TC_Web!B409))),"")</f>
        <v/>
      </c>
      <c r="B409" t="str" cm="1">
        <f t="array" ref="B409">SUBSTITUTE(SUBSTITUTE(SUBSTITUTE(IFERROR(INDEX(Create_TC_Web!E$1:E$505,SMALL(IF(Create_TC_Web!$C$1:$C$505&lt;&gt;"",MATCH(ROW(Create_TC_Web!$C$1:$C$505),ROW(Create_TC_Web!$C$1:$C$505)),""),ROW(Create_TC_Web!C409))),"")," ",""),"-",""),"_","")</f>
        <v/>
      </c>
      <c r="C409" t="str" cm="1">
        <f t="array" ref="C409">IFERROR(INDEX(Create_TC_Web!F$1:F$500,SMALL(IF(Create_TC_Web!$C$1:$C$500&lt;&gt;"",MATCH(ROW(Create_TC_Web!$C$1:$C$500),ROW(Create_TC_Web!$C$1:$C$500)),""),ROW(Create_TC_Web!D409))),"")</f>
        <v/>
      </c>
      <c r="D409" t="str" cm="1">
        <f t="array" ref="D409">IFERROR(INDEX(Create_TC_Web!G$1:G$500,SMALL(IF(Create_TC_Web!$C$1:$C$500&lt;&gt;"",MATCH(ROW(Create_TC_Web!$C$1:$C$500),ROW(Create_TC_Web!$C$1:$C$500)),""),ROW(Create_TC_Web!E409))),"")</f>
        <v/>
      </c>
      <c r="E409" t="str" cm="1">
        <f t="array" ref="E409">IFERROR(INDEX(Create_TC_Web!H$1:H$500,SMALL(IF(Create_TC_Web!$C$1:$C$500&lt;&gt;"",MATCH(ROW(Create_TC_Web!$C$1:$C$500),ROW(Create_TC_Web!$C$1:$C$500)),""),ROW(Create_TC_Web!F409))),"")</f>
        <v/>
      </c>
      <c r="F409" t="str" cm="1">
        <f t="array" ref="F409">IFERROR(INDEX(Create_TC_Web!I$1:I$500,SMALL(IF(Create_TC_Web!$C$1:$C$500&lt;&gt;"",MATCH(ROW(Create_TC_Web!$C$1:$C$500),ROW(Create_TC_Web!$C$1:$C$500)),""),ROW(Create_TC_Web!G409))),"")</f>
        <v/>
      </c>
      <c r="G409" t="str" cm="1">
        <f t="array" ref="G409">IFERROR(INDEX(Create_TC_Web!J$1:J$500,SMALL(IF(Create_TC_Web!$C$1:$C$500&lt;&gt;"",MATCH(ROW(Create_TC_Web!$C$1:$C$500),ROW(Create_TC_Web!$C$1:$C$500)),""),ROW(Create_TC_Web!H409))),"")</f>
        <v/>
      </c>
      <c r="H409" t="str" cm="1">
        <f t="array" ref="H409">IFERROR(INDEX(Create_TC_Web!K$1:K$500,SMALL(IF(Create_TC_Web!$C$1:$C$500&lt;&gt;"",MATCH(ROW(Create_TC_Web!$C$1:$C$500),ROW(Create_TC_Web!$C$1:$C$500)),""),ROW(Create_TC_Web!I409))),"")</f>
        <v/>
      </c>
      <c r="I409" t="str" cm="1">
        <f t="array" ref="I409">IFERROR(INDEX(Create_TC_Web!L$1:L$500,SMALL(IF(Create_TC_Web!$C$1:$C$500&lt;&gt;"",MATCH(ROW(Create_TC_Web!$C$1:$C$500),ROW(Create_TC_Web!$C$1:$C$500)),""),ROW(Create_TC_Web!J409))),"")</f>
        <v/>
      </c>
      <c r="J409" t="str" cm="1">
        <f t="array" ref="J409">IFERROR(INDEX(Create_TC_Web!M$1:M$500,SMALL(IF(Create_TC_Web!$C$1:$C$500&lt;&gt;"",MATCH(ROW(Create_TC_Web!$C$1:$C$500),ROW(Create_TC_Web!$C$1:$C$500)),""),ROW(Create_TC_Web!K409))),"")</f>
        <v/>
      </c>
      <c r="K409" t="str" cm="1">
        <f t="array" ref="K409">IFERROR(INDEX(Create_TC_Web!N$1:N$500,SMALL(IF(Create_TC_Web!$C$1:$C$500&lt;&gt;"",MATCH(ROW(Create_TC_Web!$C$1:$C$500),ROW(Create_TC_Web!$C$1:$C$500)),""),ROW(Create_TC_Web!L409))),"")</f>
        <v/>
      </c>
      <c r="L409" t="str" cm="1">
        <f t="array" ref="L409">IFERROR(INDEX(Create_TC_Web!O$1:O$500,SMALL(IF(Create_TC_Web!$C$1:$C$500&lt;&gt;"",MATCH(ROW(Create_TC_Web!$C$1:$C$500),ROW(Create_TC_Web!$C$1:$C$500)),""),ROW(Create_TC_Web!M409))),"")</f>
        <v/>
      </c>
      <c r="M409" t="str" cm="1">
        <f t="array" ref="M409">IFERROR(INDEX(Create_TC_Web!P$1:P$500,SMALL(IF(Create_TC_Web!$C$1:$C$500&lt;&gt;"",MATCH(ROW(Create_TC_Web!$C$1:$C$500),ROW(Create_TC_Web!$C$1:$C$500)),""),ROW(Create_TC_Web!N409))),"")</f>
        <v/>
      </c>
      <c r="N409" t="str" cm="1">
        <f t="array" ref="N409">IFERROR(INDEX(Create_TC_Web!Q$1:Q$500,SMALL(IF(Create_TC_Web!$C$1:$C$500&lt;&gt;"",MATCH(ROW(Create_TC_Web!$C$1:$C$500),ROW(Create_TC_Web!$C$1:$C$500)),""),ROW(Create_TC_Web!O409))),"")</f>
        <v/>
      </c>
      <c r="O409" t="str">
        <f t="shared" si="19"/>
        <v/>
      </c>
      <c r="P409" s="17" t="str" cm="1">
        <f t="array" ref="P409">IFERROR(INDEX(Create_TC_Web!S$1:S$500,SMALL(IF(Create_TC_Web!$C$1:$C$500&lt;&gt;"",MATCH(ROW(Create_TC_Web!$C$1:$C$500),ROW(Create_TC_Web!$C$1:$C$500)),""),ROW(Create_TC_Web!Q387))),"")</f>
        <v/>
      </c>
      <c r="S409" t="str">
        <f t="shared" si="20"/>
        <v/>
      </c>
    </row>
    <row r="410" spans="1:19">
      <c r="A410" t="str" cm="1">
        <f t="array" ref="A410">IFERROR(INDEX(Create_TC_Web!D$1:D$500,SMALL(IF(Create_TC_Web!$C$1:$C$500&lt;&gt;"",MATCH(ROW(Create_TC_Web!$C$1:$C$500),ROW(Create_TC_Web!$C$1:$C$500)),""),ROW(Create_TC_Web!B410))),"")</f>
        <v/>
      </c>
      <c r="B410" t="str" cm="1">
        <f t="array" ref="B410">SUBSTITUTE(SUBSTITUTE(SUBSTITUTE(IFERROR(INDEX(Create_TC_Web!E$1:E$505,SMALL(IF(Create_TC_Web!$C$1:$C$505&lt;&gt;"",MATCH(ROW(Create_TC_Web!$C$1:$C$505),ROW(Create_TC_Web!$C$1:$C$505)),""),ROW(Create_TC_Web!C410))),"")," ",""),"-",""),"_","")</f>
        <v/>
      </c>
      <c r="C410" t="str" cm="1">
        <f t="array" ref="C410">IFERROR(INDEX(Create_TC_Web!F$1:F$500,SMALL(IF(Create_TC_Web!$C$1:$C$500&lt;&gt;"",MATCH(ROW(Create_TC_Web!$C$1:$C$500),ROW(Create_TC_Web!$C$1:$C$500)),""),ROW(Create_TC_Web!D410))),"")</f>
        <v/>
      </c>
      <c r="D410" t="str" cm="1">
        <f t="array" ref="D410">IFERROR(INDEX(Create_TC_Web!G$1:G$500,SMALL(IF(Create_TC_Web!$C$1:$C$500&lt;&gt;"",MATCH(ROW(Create_TC_Web!$C$1:$C$500),ROW(Create_TC_Web!$C$1:$C$500)),""),ROW(Create_TC_Web!E410))),"")</f>
        <v/>
      </c>
      <c r="E410" t="str" cm="1">
        <f t="array" ref="E410">IFERROR(INDEX(Create_TC_Web!H$1:H$500,SMALL(IF(Create_TC_Web!$C$1:$C$500&lt;&gt;"",MATCH(ROW(Create_TC_Web!$C$1:$C$500),ROW(Create_TC_Web!$C$1:$C$500)),""),ROW(Create_TC_Web!F410))),"")</f>
        <v/>
      </c>
      <c r="F410" t="str" cm="1">
        <f t="array" ref="F410">IFERROR(INDEX(Create_TC_Web!I$1:I$500,SMALL(IF(Create_TC_Web!$C$1:$C$500&lt;&gt;"",MATCH(ROW(Create_TC_Web!$C$1:$C$500),ROW(Create_TC_Web!$C$1:$C$500)),""),ROW(Create_TC_Web!G410))),"")</f>
        <v/>
      </c>
      <c r="G410" t="str" cm="1">
        <f t="array" ref="G410">IFERROR(INDEX(Create_TC_Web!J$1:J$500,SMALL(IF(Create_TC_Web!$C$1:$C$500&lt;&gt;"",MATCH(ROW(Create_TC_Web!$C$1:$C$500),ROW(Create_TC_Web!$C$1:$C$500)),""),ROW(Create_TC_Web!H410))),"")</f>
        <v/>
      </c>
      <c r="H410" t="str" cm="1">
        <f t="array" ref="H410">IFERROR(INDEX(Create_TC_Web!K$1:K$500,SMALL(IF(Create_TC_Web!$C$1:$C$500&lt;&gt;"",MATCH(ROW(Create_TC_Web!$C$1:$C$500),ROW(Create_TC_Web!$C$1:$C$500)),""),ROW(Create_TC_Web!I410))),"")</f>
        <v/>
      </c>
      <c r="I410" t="str" cm="1">
        <f t="array" ref="I410">IFERROR(INDEX(Create_TC_Web!L$1:L$500,SMALL(IF(Create_TC_Web!$C$1:$C$500&lt;&gt;"",MATCH(ROW(Create_TC_Web!$C$1:$C$500),ROW(Create_TC_Web!$C$1:$C$500)),""),ROW(Create_TC_Web!J410))),"")</f>
        <v/>
      </c>
      <c r="J410" t="str" cm="1">
        <f t="array" ref="J410">IFERROR(INDEX(Create_TC_Web!M$1:M$500,SMALL(IF(Create_TC_Web!$C$1:$C$500&lt;&gt;"",MATCH(ROW(Create_TC_Web!$C$1:$C$500),ROW(Create_TC_Web!$C$1:$C$500)),""),ROW(Create_TC_Web!K410))),"")</f>
        <v/>
      </c>
      <c r="K410" t="str" cm="1">
        <f t="array" ref="K410">IFERROR(INDEX(Create_TC_Web!N$1:N$500,SMALL(IF(Create_TC_Web!$C$1:$C$500&lt;&gt;"",MATCH(ROW(Create_TC_Web!$C$1:$C$500),ROW(Create_TC_Web!$C$1:$C$500)),""),ROW(Create_TC_Web!L410))),"")</f>
        <v/>
      </c>
      <c r="L410" t="str" cm="1">
        <f t="array" ref="L410">IFERROR(INDEX(Create_TC_Web!O$1:O$500,SMALL(IF(Create_TC_Web!$C$1:$C$500&lt;&gt;"",MATCH(ROW(Create_TC_Web!$C$1:$C$500),ROW(Create_TC_Web!$C$1:$C$500)),""),ROW(Create_TC_Web!M410))),"")</f>
        <v/>
      </c>
      <c r="M410" t="str" cm="1">
        <f t="array" ref="M410">IFERROR(INDEX(Create_TC_Web!P$1:P$500,SMALL(IF(Create_TC_Web!$C$1:$C$500&lt;&gt;"",MATCH(ROW(Create_TC_Web!$C$1:$C$500),ROW(Create_TC_Web!$C$1:$C$500)),""),ROW(Create_TC_Web!N410))),"")</f>
        <v/>
      </c>
      <c r="N410" t="str" cm="1">
        <f t="array" ref="N410">IFERROR(INDEX(Create_TC_Web!Q$1:Q$500,SMALL(IF(Create_TC_Web!$C$1:$C$500&lt;&gt;"",MATCH(ROW(Create_TC_Web!$C$1:$C$500),ROW(Create_TC_Web!$C$1:$C$500)),""),ROW(Create_TC_Web!O410))),"")</f>
        <v/>
      </c>
      <c r="O410" t="str">
        <f t="shared" si="19"/>
        <v/>
      </c>
      <c r="P410" s="17" t="str" cm="1">
        <f t="array" ref="P410">IFERROR(INDEX(Create_TC_Web!S$1:S$500,SMALL(IF(Create_TC_Web!$C$1:$C$500&lt;&gt;"",MATCH(ROW(Create_TC_Web!$C$1:$C$500),ROW(Create_TC_Web!$C$1:$C$500)),""),ROW(Create_TC_Web!Q388))),"")</f>
        <v/>
      </c>
      <c r="S410" t="str">
        <f t="shared" si="20"/>
        <v/>
      </c>
    </row>
    <row r="411" spans="1:19">
      <c r="A411" t="str" cm="1">
        <f t="array" ref="A411">IFERROR(INDEX(Create_TC_Web!D$1:D$500,SMALL(IF(Create_TC_Web!$C$1:$C$500&lt;&gt;"",MATCH(ROW(Create_TC_Web!$C$1:$C$500),ROW(Create_TC_Web!$C$1:$C$500)),""),ROW(Create_TC_Web!B411))),"")</f>
        <v/>
      </c>
      <c r="B411" t="str" cm="1">
        <f t="array" ref="B411">SUBSTITUTE(SUBSTITUTE(SUBSTITUTE(IFERROR(INDEX(Create_TC_Web!E$1:E$505,SMALL(IF(Create_TC_Web!$C$1:$C$505&lt;&gt;"",MATCH(ROW(Create_TC_Web!$C$1:$C$505),ROW(Create_TC_Web!$C$1:$C$505)),""),ROW(Create_TC_Web!C411))),"")," ",""),"-",""),"_","")</f>
        <v/>
      </c>
      <c r="C411" t="str" cm="1">
        <f t="array" ref="C411">IFERROR(INDEX(Create_TC_Web!F$1:F$500,SMALL(IF(Create_TC_Web!$C$1:$C$500&lt;&gt;"",MATCH(ROW(Create_TC_Web!$C$1:$C$500),ROW(Create_TC_Web!$C$1:$C$500)),""),ROW(Create_TC_Web!D411))),"")</f>
        <v/>
      </c>
      <c r="D411" t="str" cm="1">
        <f t="array" ref="D411">IFERROR(INDEX(Create_TC_Web!G$1:G$500,SMALL(IF(Create_TC_Web!$C$1:$C$500&lt;&gt;"",MATCH(ROW(Create_TC_Web!$C$1:$C$500),ROW(Create_TC_Web!$C$1:$C$500)),""),ROW(Create_TC_Web!E411))),"")</f>
        <v/>
      </c>
      <c r="E411" t="str" cm="1">
        <f t="array" ref="E411">IFERROR(INDEX(Create_TC_Web!H$1:H$500,SMALL(IF(Create_TC_Web!$C$1:$C$500&lt;&gt;"",MATCH(ROW(Create_TC_Web!$C$1:$C$500),ROW(Create_TC_Web!$C$1:$C$500)),""),ROW(Create_TC_Web!F411))),"")</f>
        <v/>
      </c>
      <c r="F411" t="str" cm="1">
        <f t="array" ref="F411">IFERROR(INDEX(Create_TC_Web!I$1:I$500,SMALL(IF(Create_TC_Web!$C$1:$C$500&lt;&gt;"",MATCH(ROW(Create_TC_Web!$C$1:$C$500),ROW(Create_TC_Web!$C$1:$C$500)),""),ROW(Create_TC_Web!G411))),"")</f>
        <v/>
      </c>
      <c r="G411" t="str" cm="1">
        <f t="array" ref="G411">IFERROR(INDEX(Create_TC_Web!J$1:J$500,SMALL(IF(Create_TC_Web!$C$1:$C$500&lt;&gt;"",MATCH(ROW(Create_TC_Web!$C$1:$C$500),ROW(Create_TC_Web!$C$1:$C$500)),""),ROW(Create_TC_Web!H411))),"")</f>
        <v/>
      </c>
      <c r="H411" t="str" cm="1">
        <f t="array" ref="H411">IFERROR(INDEX(Create_TC_Web!K$1:K$500,SMALL(IF(Create_TC_Web!$C$1:$C$500&lt;&gt;"",MATCH(ROW(Create_TC_Web!$C$1:$C$500),ROW(Create_TC_Web!$C$1:$C$500)),""),ROW(Create_TC_Web!I411))),"")</f>
        <v/>
      </c>
      <c r="I411" t="str" cm="1">
        <f t="array" ref="I411">IFERROR(INDEX(Create_TC_Web!L$1:L$500,SMALL(IF(Create_TC_Web!$C$1:$C$500&lt;&gt;"",MATCH(ROW(Create_TC_Web!$C$1:$C$500),ROW(Create_TC_Web!$C$1:$C$500)),""),ROW(Create_TC_Web!J411))),"")</f>
        <v/>
      </c>
      <c r="J411" t="str" cm="1">
        <f t="array" ref="J411">IFERROR(INDEX(Create_TC_Web!M$1:M$500,SMALL(IF(Create_TC_Web!$C$1:$C$500&lt;&gt;"",MATCH(ROW(Create_TC_Web!$C$1:$C$500),ROW(Create_TC_Web!$C$1:$C$500)),""),ROW(Create_TC_Web!K411))),"")</f>
        <v/>
      </c>
      <c r="K411" t="str" cm="1">
        <f t="array" ref="K411">IFERROR(INDEX(Create_TC_Web!N$1:N$500,SMALL(IF(Create_TC_Web!$C$1:$C$500&lt;&gt;"",MATCH(ROW(Create_TC_Web!$C$1:$C$500),ROW(Create_TC_Web!$C$1:$C$500)),""),ROW(Create_TC_Web!L411))),"")</f>
        <v/>
      </c>
      <c r="L411" t="str" cm="1">
        <f t="array" ref="L411">IFERROR(INDEX(Create_TC_Web!O$1:O$500,SMALL(IF(Create_TC_Web!$C$1:$C$500&lt;&gt;"",MATCH(ROW(Create_TC_Web!$C$1:$C$500),ROW(Create_TC_Web!$C$1:$C$500)),""),ROW(Create_TC_Web!M411))),"")</f>
        <v/>
      </c>
      <c r="M411" t="str" cm="1">
        <f t="array" ref="M411">IFERROR(INDEX(Create_TC_Web!P$1:P$500,SMALL(IF(Create_TC_Web!$C$1:$C$500&lt;&gt;"",MATCH(ROW(Create_TC_Web!$C$1:$C$500),ROW(Create_TC_Web!$C$1:$C$500)),""),ROW(Create_TC_Web!N411))),"")</f>
        <v/>
      </c>
      <c r="N411" t="str" cm="1">
        <f t="array" ref="N411">IFERROR(INDEX(Create_TC_Web!Q$1:Q$500,SMALL(IF(Create_TC_Web!$C$1:$C$500&lt;&gt;"",MATCH(ROW(Create_TC_Web!$C$1:$C$500),ROW(Create_TC_Web!$C$1:$C$500)),""),ROW(Create_TC_Web!O411))),"")</f>
        <v/>
      </c>
      <c r="O411" t="str">
        <f t="shared" si="19"/>
        <v/>
      </c>
      <c r="P411" s="17" t="str" cm="1">
        <f t="array" ref="P411">IFERROR(INDEX(Create_TC_Web!S$1:S$500,SMALL(IF(Create_TC_Web!$C$1:$C$500&lt;&gt;"",MATCH(ROW(Create_TC_Web!$C$1:$C$500),ROW(Create_TC_Web!$C$1:$C$500)),""),ROW(Create_TC_Web!Q389))),"")</f>
        <v/>
      </c>
      <c r="S411" t="str">
        <f t="shared" si="20"/>
        <v/>
      </c>
    </row>
    <row r="412" spans="1:19">
      <c r="A412" t="str" cm="1">
        <f t="array" ref="A412">IFERROR(INDEX(Create_TC_Web!D$1:D$500,SMALL(IF(Create_TC_Web!$C$1:$C$500&lt;&gt;"",MATCH(ROW(Create_TC_Web!$C$1:$C$500),ROW(Create_TC_Web!$C$1:$C$500)),""),ROW(Create_TC_Web!B412))),"")</f>
        <v/>
      </c>
      <c r="B412" t="str" cm="1">
        <f t="array" ref="B412">SUBSTITUTE(SUBSTITUTE(SUBSTITUTE(IFERROR(INDEX(Create_TC_Web!E$1:E$505,SMALL(IF(Create_TC_Web!$C$1:$C$505&lt;&gt;"",MATCH(ROW(Create_TC_Web!$C$1:$C$505),ROW(Create_TC_Web!$C$1:$C$505)),""),ROW(Create_TC_Web!C412))),"")," ",""),"-",""),"_","")</f>
        <v/>
      </c>
      <c r="C412" t="str" cm="1">
        <f t="array" ref="C412">IFERROR(INDEX(Create_TC_Web!F$1:F$500,SMALL(IF(Create_TC_Web!$C$1:$C$500&lt;&gt;"",MATCH(ROW(Create_TC_Web!$C$1:$C$500),ROW(Create_TC_Web!$C$1:$C$500)),""),ROW(Create_TC_Web!D412))),"")</f>
        <v/>
      </c>
      <c r="D412" t="str" cm="1">
        <f t="array" ref="D412">IFERROR(INDEX(Create_TC_Web!G$1:G$500,SMALL(IF(Create_TC_Web!$C$1:$C$500&lt;&gt;"",MATCH(ROW(Create_TC_Web!$C$1:$C$500),ROW(Create_TC_Web!$C$1:$C$500)),""),ROW(Create_TC_Web!E412))),"")</f>
        <v/>
      </c>
      <c r="E412" t="str" cm="1">
        <f t="array" ref="E412">IFERROR(INDEX(Create_TC_Web!H$1:H$500,SMALL(IF(Create_TC_Web!$C$1:$C$500&lt;&gt;"",MATCH(ROW(Create_TC_Web!$C$1:$C$500),ROW(Create_TC_Web!$C$1:$C$500)),""),ROW(Create_TC_Web!F412))),"")</f>
        <v/>
      </c>
      <c r="F412" t="str" cm="1">
        <f t="array" ref="F412">IFERROR(INDEX(Create_TC_Web!I$1:I$500,SMALL(IF(Create_TC_Web!$C$1:$C$500&lt;&gt;"",MATCH(ROW(Create_TC_Web!$C$1:$C$500),ROW(Create_TC_Web!$C$1:$C$500)),""),ROW(Create_TC_Web!G412))),"")</f>
        <v/>
      </c>
      <c r="G412" t="str" cm="1">
        <f t="array" ref="G412">IFERROR(INDEX(Create_TC_Web!J$1:J$500,SMALL(IF(Create_TC_Web!$C$1:$C$500&lt;&gt;"",MATCH(ROW(Create_TC_Web!$C$1:$C$500),ROW(Create_TC_Web!$C$1:$C$500)),""),ROW(Create_TC_Web!H412))),"")</f>
        <v/>
      </c>
      <c r="H412" t="str" cm="1">
        <f t="array" ref="H412">IFERROR(INDEX(Create_TC_Web!K$1:K$500,SMALL(IF(Create_TC_Web!$C$1:$C$500&lt;&gt;"",MATCH(ROW(Create_TC_Web!$C$1:$C$500),ROW(Create_TC_Web!$C$1:$C$500)),""),ROW(Create_TC_Web!I412))),"")</f>
        <v/>
      </c>
      <c r="I412" t="str" cm="1">
        <f t="array" ref="I412">IFERROR(INDEX(Create_TC_Web!L$1:L$500,SMALL(IF(Create_TC_Web!$C$1:$C$500&lt;&gt;"",MATCH(ROW(Create_TC_Web!$C$1:$C$500),ROW(Create_TC_Web!$C$1:$C$500)),""),ROW(Create_TC_Web!J412))),"")</f>
        <v/>
      </c>
      <c r="J412" t="str" cm="1">
        <f t="array" ref="J412">IFERROR(INDEX(Create_TC_Web!M$1:M$500,SMALL(IF(Create_TC_Web!$C$1:$C$500&lt;&gt;"",MATCH(ROW(Create_TC_Web!$C$1:$C$500),ROW(Create_TC_Web!$C$1:$C$500)),""),ROW(Create_TC_Web!K412))),"")</f>
        <v/>
      </c>
      <c r="K412" t="str" cm="1">
        <f t="array" ref="K412">IFERROR(INDEX(Create_TC_Web!N$1:N$500,SMALL(IF(Create_TC_Web!$C$1:$C$500&lt;&gt;"",MATCH(ROW(Create_TC_Web!$C$1:$C$500),ROW(Create_TC_Web!$C$1:$C$500)),""),ROW(Create_TC_Web!L412))),"")</f>
        <v/>
      </c>
      <c r="L412" t="str" cm="1">
        <f t="array" ref="L412">IFERROR(INDEX(Create_TC_Web!O$1:O$500,SMALL(IF(Create_TC_Web!$C$1:$C$500&lt;&gt;"",MATCH(ROW(Create_TC_Web!$C$1:$C$500),ROW(Create_TC_Web!$C$1:$C$500)),""),ROW(Create_TC_Web!M412))),"")</f>
        <v/>
      </c>
      <c r="M412" t="str" cm="1">
        <f t="array" ref="M412">IFERROR(INDEX(Create_TC_Web!P$1:P$500,SMALL(IF(Create_TC_Web!$C$1:$C$500&lt;&gt;"",MATCH(ROW(Create_TC_Web!$C$1:$C$500),ROW(Create_TC_Web!$C$1:$C$500)),""),ROW(Create_TC_Web!N412))),"")</f>
        <v/>
      </c>
      <c r="N412" t="str" cm="1">
        <f t="array" ref="N412">IFERROR(INDEX(Create_TC_Web!Q$1:Q$500,SMALL(IF(Create_TC_Web!$C$1:$C$500&lt;&gt;"",MATCH(ROW(Create_TC_Web!$C$1:$C$500),ROW(Create_TC_Web!$C$1:$C$500)),""),ROW(Create_TC_Web!O412))),"")</f>
        <v/>
      </c>
      <c r="O412" t="str">
        <f t="shared" si="19"/>
        <v/>
      </c>
      <c r="P412" s="17" t="str" cm="1">
        <f t="array" ref="P412">IFERROR(INDEX(Create_TC_Web!S$1:S$500,SMALL(IF(Create_TC_Web!$C$1:$C$500&lt;&gt;"",MATCH(ROW(Create_TC_Web!$C$1:$C$500),ROW(Create_TC_Web!$C$1:$C$500)),""),ROW(Create_TC_Web!Q390))),"")</f>
        <v/>
      </c>
      <c r="S412" t="str">
        <f t="shared" si="20"/>
        <v/>
      </c>
    </row>
    <row r="413" spans="1:19">
      <c r="A413" t="str" cm="1">
        <f t="array" ref="A413">IFERROR(INDEX(Create_TC_Web!D$1:D$500,SMALL(IF(Create_TC_Web!$C$1:$C$500&lt;&gt;"",MATCH(ROW(Create_TC_Web!$C$1:$C$500),ROW(Create_TC_Web!$C$1:$C$500)),""),ROW(Create_TC_Web!B413))),"")</f>
        <v/>
      </c>
      <c r="B413" t="str" cm="1">
        <f t="array" ref="B413">SUBSTITUTE(SUBSTITUTE(SUBSTITUTE(IFERROR(INDEX(Create_TC_Web!E$1:E$505,SMALL(IF(Create_TC_Web!$C$1:$C$505&lt;&gt;"",MATCH(ROW(Create_TC_Web!$C$1:$C$505),ROW(Create_TC_Web!$C$1:$C$505)),""),ROW(Create_TC_Web!C413))),"")," ",""),"-",""),"_","")</f>
        <v/>
      </c>
      <c r="C413" t="str" cm="1">
        <f t="array" ref="C413">IFERROR(INDEX(Create_TC_Web!F$1:F$500,SMALL(IF(Create_TC_Web!$C$1:$C$500&lt;&gt;"",MATCH(ROW(Create_TC_Web!$C$1:$C$500),ROW(Create_TC_Web!$C$1:$C$500)),""),ROW(Create_TC_Web!D413))),"")</f>
        <v/>
      </c>
      <c r="D413" t="str" cm="1">
        <f t="array" ref="D413">IFERROR(INDEX(Create_TC_Web!G$1:G$500,SMALL(IF(Create_TC_Web!$C$1:$C$500&lt;&gt;"",MATCH(ROW(Create_TC_Web!$C$1:$C$500),ROW(Create_TC_Web!$C$1:$C$500)),""),ROW(Create_TC_Web!E413))),"")</f>
        <v/>
      </c>
      <c r="E413" t="str" cm="1">
        <f t="array" ref="E413">IFERROR(INDEX(Create_TC_Web!H$1:H$500,SMALL(IF(Create_TC_Web!$C$1:$C$500&lt;&gt;"",MATCH(ROW(Create_TC_Web!$C$1:$C$500),ROW(Create_TC_Web!$C$1:$C$500)),""),ROW(Create_TC_Web!F413))),"")</f>
        <v/>
      </c>
      <c r="F413" t="str" cm="1">
        <f t="array" ref="F413">IFERROR(INDEX(Create_TC_Web!I$1:I$500,SMALL(IF(Create_TC_Web!$C$1:$C$500&lt;&gt;"",MATCH(ROW(Create_TC_Web!$C$1:$C$500),ROW(Create_TC_Web!$C$1:$C$500)),""),ROW(Create_TC_Web!G413))),"")</f>
        <v/>
      </c>
      <c r="G413" t="str" cm="1">
        <f t="array" ref="G413">IFERROR(INDEX(Create_TC_Web!J$1:J$500,SMALL(IF(Create_TC_Web!$C$1:$C$500&lt;&gt;"",MATCH(ROW(Create_TC_Web!$C$1:$C$500),ROW(Create_TC_Web!$C$1:$C$500)),""),ROW(Create_TC_Web!H413))),"")</f>
        <v/>
      </c>
      <c r="H413" t="str" cm="1">
        <f t="array" ref="H413">IFERROR(INDEX(Create_TC_Web!K$1:K$500,SMALL(IF(Create_TC_Web!$C$1:$C$500&lt;&gt;"",MATCH(ROW(Create_TC_Web!$C$1:$C$500),ROW(Create_TC_Web!$C$1:$C$500)),""),ROW(Create_TC_Web!I413))),"")</f>
        <v/>
      </c>
      <c r="I413" t="str" cm="1">
        <f t="array" ref="I413">IFERROR(INDEX(Create_TC_Web!L$1:L$500,SMALL(IF(Create_TC_Web!$C$1:$C$500&lt;&gt;"",MATCH(ROW(Create_TC_Web!$C$1:$C$500),ROW(Create_TC_Web!$C$1:$C$500)),""),ROW(Create_TC_Web!J413))),"")</f>
        <v/>
      </c>
      <c r="J413" t="str" cm="1">
        <f t="array" ref="J413">IFERROR(INDEX(Create_TC_Web!M$1:M$500,SMALL(IF(Create_TC_Web!$C$1:$C$500&lt;&gt;"",MATCH(ROW(Create_TC_Web!$C$1:$C$500),ROW(Create_TC_Web!$C$1:$C$500)),""),ROW(Create_TC_Web!K413))),"")</f>
        <v/>
      </c>
      <c r="K413" t="str" cm="1">
        <f t="array" ref="K413">IFERROR(INDEX(Create_TC_Web!N$1:N$500,SMALL(IF(Create_TC_Web!$C$1:$C$500&lt;&gt;"",MATCH(ROW(Create_TC_Web!$C$1:$C$500),ROW(Create_TC_Web!$C$1:$C$500)),""),ROW(Create_TC_Web!L413))),"")</f>
        <v/>
      </c>
      <c r="L413" t="str" cm="1">
        <f t="array" ref="L413">IFERROR(INDEX(Create_TC_Web!O$1:O$500,SMALL(IF(Create_TC_Web!$C$1:$C$500&lt;&gt;"",MATCH(ROW(Create_TC_Web!$C$1:$C$500),ROW(Create_TC_Web!$C$1:$C$500)),""),ROW(Create_TC_Web!M413))),"")</f>
        <v/>
      </c>
      <c r="M413" t="str" cm="1">
        <f t="array" ref="M413">IFERROR(INDEX(Create_TC_Web!P$1:P$500,SMALL(IF(Create_TC_Web!$C$1:$C$500&lt;&gt;"",MATCH(ROW(Create_TC_Web!$C$1:$C$500),ROW(Create_TC_Web!$C$1:$C$500)),""),ROW(Create_TC_Web!N413))),"")</f>
        <v/>
      </c>
      <c r="N413" t="str" cm="1">
        <f t="array" ref="N413">IFERROR(INDEX(Create_TC_Web!Q$1:Q$500,SMALL(IF(Create_TC_Web!$C$1:$C$500&lt;&gt;"",MATCH(ROW(Create_TC_Web!$C$1:$C$500),ROW(Create_TC_Web!$C$1:$C$500)),""),ROW(Create_TC_Web!O413))),"")</f>
        <v/>
      </c>
      <c r="O413" t="str">
        <f t="shared" si="19"/>
        <v/>
      </c>
      <c r="P413" s="17" t="str" cm="1">
        <f t="array" ref="P413">IFERROR(INDEX(Create_TC_Web!S$1:S$500,SMALL(IF(Create_TC_Web!$C$1:$C$500&lt;&gt;"",MATCH(ROW(Create_TC_Web!$C$1:$C$500),ROW(Create_TC_Web!$C$1:$C$500)),""),ROW(Create_TC_Web!Q391))),"")</f>
        <v/>
      </c>
      <c r="S413" t="str">
        <f t="shared" si="20"/>
        <v/>
      </c>
    </row>
    <row r="414" spans="1:19">
      <c r="A414" t="str" cm="1">
        <f t="array" ref="A414">IFERROR(INDEX(Create_TC_Web!D$1:D$500,SMALL(IF(Create_TC_Web!$C$1:$C$500&lt;&gt;"",MATCH(ROW(Create_TC_Web!$C$1:$C$500),ROW(Create_TC_Web!$C$1:$C$500)),""),ROW(Create_TC_Web!B414))),"")</f>
        <v/>
      </c>
      <c r="B414" t="str" cm="1">
        <f t="array" ref="B414">SUBSTITUTE(SUBSTITUTE(SUBSTITUTE(IFERROR(INDEX(Create_TC_Web!E$1:E$505,SMALL(IF(Create_TC_Web!$C$1:$C$505&lt;&gt;"",MATCH(ROW(Create_TC_Web!$C$1:$C$505),ROW(Create_TC_Web!$C$1:$C$505)),""),ROW(Create_TC_Web!C414))),"")," ",""),"-",""),"_","")</f>
        <v/>
      </c>
      <c r="C414" t="str" cm="1">
        <f t="array" ref="C414">IFERROR(INDEX(Create_TC_Web!F$1:F$500,SMALL(IF(Create_TC_Web!$C$1:$C$500&lt;&gt;"",MATCH(ROW(Create_TC_Web!$C$1:$C$500),ROW(Create_TC_Web!$C$1:$C$500)),""),ROW(Create_TC_Web!D414))),"")</f>
        <v/>
      </c>
      <c r="D414" t="str" cm="1">
        <f t="array" ref="D414">IFERROR(INDEX(Create_TC_Web!G$1:G$500,SMALL(IF(Create_TC_Web!$C$1:$C$500&lt;&gt;"",MATCH(ROW(Create_TC_Web!$C$1:$C$500),ROW(Create_TC_Web!$C$1:$C$500)),""),ROW(Create_TC_Web!E414))),"")</f>
        <v/>
      </c>
      <c r="E414" t="str" cm="1">
        <f t="array" ref="E414">IFERROR(INDEX(Create_TC_Web!H$1:H$500,SMALL(IF(Create_TC_Web!$C$1:$C$500&lt;&gt;"",MATCH(ROW(Create_TC_Web!$C$1:$C$500),ROW(Create_TC_Web!$C$1:$C$500)),""),ROW(Create_TC_Web!F414))),"")</f>
        <v/>
      </c>
      <c r="F414" t="str" cm="1">
        <f t="array" ref="F414">IFERROR(INDEX(Create_TC_Web!I$1:I$500,SMALL(IF(Create_TC_Web!$C$1:$C$500&lt;&gt;"",MATCH(ROW(Create_TC_Web!$C$1:$C$500),ROW(Create_TC_Web!$C$1:$C$500)),""),ROW(Create_TC_Web!G414))),"")</f>
        <v/>
      </c>
      <c r="G414" t="str" cm="1">
        <f t="array" ref="G414">IFERROR(INDEX(Create_TC_Web!J$1:J$500,SMALL(IF(Create_TC_Web!$C$1:$C$500&lt;&gt;"",MATCH(ROW(Create_TC_Web!$C$1:$C$500),ROW(Create_TC_Web!$C$1:$C$500)),""),ROW(Create_TC_Web!H414))),"")</f>
        <v/>
      </c>
      <c r="H414" t="str" cm="1">
        <f t="array" ref="H414">IFERROR(INDEX(Create_TC_Web!K$1:K$500,SMALL(IF(Create_TC_Web!$C$1:$C$500&lt;&gt;"",MATCH(ROW(Create_TC_Web!$C$1:$C$500),ROW(Create_TC_Web!$C$1:$C$500)),""),ROW(Create_TC_Web!I414))),"")</f>
        <v/>
      </c>
      <c r="I414" t="str" cm="1">
        <f t="array" ref="I414">IFERROR(INDEX(Create_TC_Web!L$1:L$500,SMALL(IF(Create_TC_Web!$C$1:$C$500&lt;&gt;"",MATCH(ROW(Create_TC_Web!$C$1:$C$500),ROW(Create_TC_Web!$C$1:$C$500)),""),ROW(Create_TC_Web!J414))),"")</f>
        <v/>
      </c>
      <c r="J414" t="str" cm="1">
        <f t="array" ref="J414">IFERROR(INDEX(Create_TC_Web!M$1:M$500,SMALL(IF(Create_TC_Web!$C$1:$C$500&lt;&gt;"",MATCH(ROW(Create_TC_Web!$C$1:$C$500),ROW(Create_TC_Web!$C$1:$C$500)),""),ROW(Create_TC_Web!K414))),"")</f>
        <v/>
      </c>
      <c r="K414" t="str" cm="1">
        <f t="array" ref="K414">IFERROR(INDEX(Create_TC_Web!N$1:N$500,SMALL(IF(Create_TC_Web!$C$1:$C$500&lt;&gt;"",MATCH(ROW(Create_TC_Web!$C$1:$C$500),ROW(Create_TC_Web!$C$1:$C$500)),""),ROW(Create_TC_Web!L414))),"")</f>
        <v/>
      </c>
      <c r="L414" t="str" cm="1">
        <f t="array" ref="L414">IFERROR(INDEX(Create_TC_Web!O$1:O$500,SMALL(IF(Create_TC_Web!$C$1:$C$500&lt;&gt;"",MATCH(ROW(Create_TC_Web!$C$1:$C$500),ROW(Create_TC_Web!$C$1:$C$500)),""),ROW(Create_TC_Web!M414))),"")</f>
        <v/>
      </c>
      <c r="M414" t="str" cm="1">
        <f t="array" ref="M414">IFERROR(INDEX(Create_TC_Web!P$1:P$500,SMALL(IF(Create_TC_Web!$C$1:$C$500&lt;&gt;"",MATCH(ROW(Create_TC_Web!$C$1:$C$500),ROW(Create_TC_Web!$C$1:$C$500)),""),ROW(Create_TC_Web!N414))),"")</f>
        <v/>
      </c>
      <c r="N414" t="str" cm="1">
        <f t="array" ref="N414">IFERROR(INDEX(Create_TC_Web!Q$1:Q$500,SMALL(IF(Create_TC_Web!$C$1:$C$500&lt;&gt;"",MATCH(ROW(Create_TC_Web!$C$1:$C$500),ROW(Create_TC_Web!$C$1:$C$500)),""),ROW(Create_TC_Web!O414))),"")</f>
        <v/>
      </c>
      <c r="O414" t="str">
        <f t="shared" si="19"/>
        <v/>
      </c>
      <c r="P414" s="17" t="str" cm="1">
        <f t="array" ref="P414">IFERROR(INDEX(Create_TC_Web!S$1:S$500,SMALL(IF(Create_TC_Web!$C$1:$C$500&lt;&gt;"",MATCH(ROW(Create_TC_Web!$C$1:$C$500),ROW(Create_TC_Web!$C$1:$C$500)),""),ROW(Create_TC_Web!Q392))),"")</f>
        <v/>
      </c>
      <c r="S414" t="str">
        <f t="shared" si="20"/>
        <v/>
      </c>
    </row>
    <row r="415" spans="1:19">
      <c r="A415" t="str" cm="1">
        <f t="array" ref="A415">IFERROR(INDEX(Create_TC_Web!D$1:D$500,SMALL(IF(Create_TC_Web!$C$1:$C$500&lt;&gt;"",MATCH(ROW(Create_TC_Web!$C$1:$C$500),ROW(Create_TC_Web!$C$1:$C$500)),""),ROW(Create_TC_Web!B415))),"")</f>
        <v/>
      </c>
      <c r="B415" t="str" cm="1">
        <f t="array" ref="B415">SUBSTITUTE(SUBSTITUTE(SUBSTITUTE(IFERROR(INDEX(Create_TC_Web!E$1:E$505,SMALL(IF(Create_TC_Web!$C$1:$C$505&lt;&gt;"",MATCH(ROW(Create_TC_Web!$C$1:$C$505),ROW(Create_TC_Web!$C$1:$C$505)),""),ROW(Create_TC_Web!C415))),"")," ",""),"-",""),"_","")</f>
        <v/>
      </c>
      <c r="C415" t="str" cm="1">
        <f t="array" ref="C415">IFERROR(INDEX(Create_TC_Web!F$1:F$500,SMALL(IF(Create_TC_Web!$C$1:$C$500&lt;&gt;"",MATCH(ROW(Create_TC_Web!$C$1:$C$500),ROW(Create_TC_Web!$C$1:$C$500)),""),ROW(Create_TC_Web!D415))),"")</f>
        <v/>
      </c>
      <c r="D415" t="str" cm="1">
        <f t="array" ref="D415">IFERROR(INDEX(Create_TC_Web!G$1:G$500,SMALL(IF(Create_TC_Web!$C$1:$C$500&lt;&gt;"",MATCH(ROW(Create_TC_Web!$C$1:$C$500),ROW(Create_TC_Web!$C$1:$C$500)),""),ROW(Create_TC_Web!E415))),"")</f>
        <v/>
      </c>
      <c r="E415" t="str" cm="1">
        <f t="array" ref="E415">IFERROR(INDEX(Create_TC_Web!H$1:H$500,SMALL(IF(Create_TC_Web!$C$1:$C$500&lt;&gt;"",MATCH(ROW(Create_TC_Web!$C$1:$C$500),ROW(Create_TC_Web!$C$1:$C$500)),""),ROW(Create_TC_Web!F415))),"")</f>
        <v/>
      </c>
      <c r="F415" t="str" cm="1">
        <f t="array" ref="F415">IFERROR(INDEX(Create_TC_Web!I$1:I$500,SMALL(IF(Create_TC_Web!$C$1:$C$500&lt;&gt;"",MATCH(ROW(Create_TC_Web!$C$1:$C$500),ROW(Create_TC_Web!$C$1:$C$500)),""),ROW(Create_TC_Web!G415))),"")</f>
        <v/>
      </c>
      <c r="G415" t="str" cm="1">
        <f t="array" ref="G415">IFERROR(INDEX(Create_TC_Web!J$1:J$500,SMALL(IF(Create_TC_Web!$C$1:$C$500&lt;&gt;"",MATCH(ROW(Create_TC_Web!$C$1:$C$500),ROW(Create_TC_Web!$C$1:$C$500)),""),ROW(Create_TC_Web!H415))),"")</f>
        <v/>
      </c>
      <c r="H415" t="str" cm="1">
        <f t="array" ref="H415">IFERROR(INDEX(Create_TC_Web!K$1:K$500,SMALL(IF(Create_TC_Web!$C$1:$C$500&lt;&gt;"",MATCH(ROW(Create_TC_Web!$C$1:$C$500),ROW(Create_TC_Web!$C$1:$C$500)),""),ROW(Create_TC_Web!I415))),"")</f>
        <v/>
      </c>
      <c r="I415" t="str" cm="1">
        <f t="array" ref="I415">IFERROR(INDEX(Create_TC_Web!L$1:L$500,SMALL(IF(Create_TC_Web!$C$1:$C$500&lt;&gt;"",MATCH(ROW(Create_TC_Web!$C$1:$C$500),ROW(Create_TC_Web!$C$1:$C$500)),""),ROW(Create_TC_Web!J415))),"")</f>
        <v/>
      </c>
      <c r="J415" t="str" cm="1">
        <f t="array" ref="J415">IFERROR(INDEX(Create_TC_Web!M$1:M$500,SMALL(IF(Create_TC_Web!$C$1:$C$500&lt;&gt;"",MATCH(ROW(Create_TC_Web!$C$1:$C$500),ROW(Create_TC_Web!$C$1:$C$500)),""),ROW(Create_TC_Web!K415))),"")</f>
        <v/>
      </c>
      <c r="K415" t="str" cm="1">
        <f t="array" ref="K415">IFERROR(INDEX(Create_TC_Web!N$1:N$500,SMALL(IF(Create_TC_Web!$C$1:$C$500&lt;&gt;"",MATCH(ROW(Create_TC_Web!$C$1:$C$500),ROW(Create_TC_Web!$C$1:$C$500)),""),ROW(Create_TC_Web!L415))),"")</f>
        <v/>
      </c>
      <c r="L415" t="str" cm="1">
        <f t="array" ref="L415">IFERROR(INDEX(Create_TC_Web!O$1:O$500,SMALL(IF(Create_TC_Web!$C$1:$C$500&lt;&gt;"",MATCH(ROW(Create_TC_Web!$C$1:$C$500),ROW(Create_TC_Web!$C$1:$C$500)),""),ROW(Create_TC_Web!M415))),"")</f>
        <v/>
      </c>
      <c r="M415" t="str" cm="1">
        <f t="array" ref="M415">IFERROR(INDEX(Create_TC_Web!P$1:P$500,SMALL(IF(Create_TC_Web!$C$1:$C$500&lt;&gt;"",MATCH(ROW(Create_TC_Web!$C$1:$C$500),ROW(Create_TC_Web!$C$1:$C$500)),""),ROW(Create_TC_Web!N415))),"")</f>
        <v/>
      </c>
      <c r="N415" t="str" cm="1">
        <f t="array" ref="N415">IFERROR(INDEX(Create_TC_Web!Q$1:Q$500,SMALL(IF(Create_TC_Web!$C$1:$C$500&lt;&gt;"",MATCH(ROW(Create_TC_Web!$C$1:$C$500),ROW(Create_TC_Web!$C$1:$C$500)),""),ROW(Create_TC_Web!O415))),"")</f>
        <v/>
      </c>
      <c r="O415" t="str">
        <f t="shared" si="19"/>
        <v/>
      </c>
      <c r="P415" s="17" t="str" cm="1">
        <f t="array" ref="P415">IFERROR(INDEX(Create_TC_Web!S$1:S$500,SMALL(IF(Create_TC_Web!$C$1:$C$500&lt;&gt;"",MATCH(ROW(Create_TC_Web!$C$1:$C$500),ROW(Create_TC_Web!$C$1:$C$500)),""),ROW(Create_TC_Web!Q393))),"")</f>
        <v/>
      </c>
      <c r="S415" t="str">
        <f t="shared" si="20"/>
        <v/>
      </c>
    </row>
    <row r="416" spans="1:19">
      <c r="A416" t="str" cm="1">
        <f t="array" ref="A416">IFERROR(INDEX(Create_TC_Web!D$1:D$500,SMALL(IF(Create_TC_Web!$C$1:$C$500&lt;&gt;"",MATCH(ROW(Create_TC_Web!$C$1:$C$500),ROW(Create_TC_Web!$C$1:$C$500)),""),ROW(Create_TC_Web!B416))),"")</f>
        <v/>
      </c>
      <c r="B416" t="str" cm="1">
        <f t="array" ref="B416">SUBSTITUTE(SUBSTITUTE(SUBSTITUTE(IFERROR(INDEX(Create_TC_Web!E$1:E$505,SMALL(IF(Create_TC_Web!$C$1:$C$505&lt;&gt;"",MATCH(ROW(Create_TC_Web!$C$1:$C$505),ROW(Create_TC_Web!$C$1:$C$505)),""),ROW(Create_TC_Web!C416))),"")," ",""),"-",""),"_","")</f>
        <v/>
      </c>
      <c r="C416" t="str" cm="1">
        <f t="array" ref="C416">IFERROR(INDEX(Create_TC_Web!F$1:F$500,SMALL(IF(Create_TC_Web!$C$1:$C$500&lt;&gt;"",MATCH(ROW(Create_TC_Web!$C$1:$C$500),ROW(Create_TC_Web!$C$1:$C$500)),""),ROW(Create_TC_Web!D416))),"")</f>
        <v/>
      </c>
      <c r="D416" t="str" cm="1">
        <f t="array" ref="D416">IFERROR(INDEX(Create_TC_Web!G$1:G$500,SMALL(IF(Create_TC_Web!$C$1:$C$500&lt;&gt;"",MATCH(ROW(Create_TC_Web!$C$1:$C$500),ROW(Create_TC_Web!$C$1:$C$500)),""),ROW(Create_TC_Web!E416))),"")</f>
        <v/>
      </c>
      <c r="E416" t="str" cm="1">
        <f t="array" ref="E416">IFERROR(INDEX(Create_TC_Web!H$1:H$500,SMALL(IF(Create_TC_Web!$C$1:$C$500&lt;&gt;"",MATCH(ROW(Create_TC_Web!$C$1:$C$500),ROW(Create_TC_Web!$C$1:$C$500)),""),ROW(Create_TC_Web!F416))),"")</f>
        <v/>
      </c>
      <c r="F416" t="str" cm="1">
        <f t="array" ref="F416">IFERROR(INDEX(Create_TC_Web!I$1:I$500,SMALL(IF(Create_TC_Web!$C$1:$C$500&lt;&gt;"",MATCH(ROW(Create_TC_Web!$C$1:$C$500),ROW(Create_TC_Web!$C$1:$C$500)),""),ROW(Create_TC_Web!G416))),"")</f>
        <v/>
      </c>
      <c r="G416" t="str" cm="1">
        <f t="array" ref="G416">IFERROR(INDEX(Create_TC_Web!J$1:J$500,SMALL(IF(Create_TC_Web!$C$1:$C$500&lt;&gt;"",MATCH(ROW(Create_TC_Web!$C$1:$C$500),ROW(Create_TC_Web!$C$1:$C$500)),""),ROW(Create_TC_Web!H416))),"")</f>
        <v/>
      </c>
      <c r="H416" t="str" cm="1">
        <f t="array" ref="H416">IFERROR(INDEX(Create_TC_Web!K$1:K$500,SMALL(IF(Create_TC_Web!$C$1:$C$500&lt;&gt;"",MATCH(ROW(Create_TC_Web!$C$1:$C$500),ROW(Create_TC_Web!$C$1:$C$500)),""),ROW(Create_TC_Web!I416))),"")</f>
        <v/>
      </c>
      <c r="I416" t="str" cm="1">
        <f t="array" ref="I416">IFERROR(INDEX(Create_TC_Web!L$1:L$500,SMALL(IF(Create_TC_Web!$C$1:$C$500&lt;&gt;"",MATCH(ROW(Create_TC_Web!$C$1:$C$500),ROW(Create_TC_Web!$C$1:$C$500)),""),ROW(Create_TC_Web!J416))),"")</f>
        <v/>
      </c>
      <c r="J416" t="str" cm="1">
        <f t="array" ref="J416">IFERROR(INDEX(Create_TC_Web!M$1:M$500,SMALL(IF(Create_TC_Web!$C$1:$C$500&lt;&gt;"",MATCH(ROW(Create_TC_Web!$C$1:$C$500),ROW(Create_TC_Web!$C$1:$C$500)),""),ROW(Create_TC_Web!K416))),"")</f>
        <v/>
      </c>
      <c r="K416" t="str" cm="1">
        <f t="array" ref="K416">IFERROR(INDEX(Create_TC_Web!N$1:N$500,SMALL(IF(Create_TC_Web!$C$1:$C$500&lt;&gt;"",MATCH(ROW(Create_TC_Web!$C$1:$C$500),ROW(Create_TC_Web!$C$1:$C$500)),""),ROW(Create_TC_Web!L416))),"")</f>
        <v/>
      </c>
      <c r="L416" t="str" cm="1">
        <f t="array" ref="L416">IFERROR(INDEX(Create_TC_Web!O$1:O$500,SMALL(IF(Create_TC_Web!$C$1:$C$500&lt;&gt;"",MATCH(ROW(Create_TC_Web!$C$1:$C$500),ROW(Create_TC_Web!$C$1:$C$500)),""),ROW(Create_TC_Web!M416))),"")</f>
        <v/>
      </c>
      <c r="M416" t="str" cm="1">
        <f t="array" ref="M416">IFERROR(INDEX(Create_TC_Web!P$1:P$500,SMALL(IF(Create_TC_Web!$C$1:$C$500&lt;&gt;"",MATCH(ROW(Create_TC_Web!$C$1:$C$500),ROW(Create_TC_Web!$C$1:$C$500)),""),ROW(Create_TC_Web!N416))),"")</f>
        <v/>
      </c>
      <c r="N416" t="str" cm="1">
        <f t="array" ref="N416">IFERROR(INDEX(Create_TC_Web!Q$1:Q$500,SMALL(IF(Create_TC_Web!$C$1:$C$500&lt;&gt;"",MATCH(ROW(Create_TC_Web!$C$1:$C$500),ROW(Create_TC_Web!$C$1:$C$500)),""),ROW(Create_TC_Web!O416))),"")</f>
        <v/>
      </c>
      <c r="O416" t="str">
        <f t="shared" si="19"/>
        <v/>
      </c>
      <c r="P416" s="17" t="str" cm="1">
        <f t="array" ref="P416">IFERROR(INDEX(Create_TC_Web!S$1:S$500,SMALL(IF(Create_TC_Web!$C$1:$C$500&lt;&gt;"",MATCH(ROW(Create_TC_Web!$C$1:$C$500),ROW(Create_TC_Web!$C$1:$C$500)),""),ROW(Create_TC_Web!Q394))),"")</f>
        <v/>
      </c>
      <c r="S416" t="str">
        <f t="shared" si="20"/>
        <v/>
      </c>
    </row>
    <row r="417" spans="1:19">
      <c r="A417" t="str" cm="1">
        <f t="array" ref="A417">IFERROR(INDEX(Create_TC_Web!D$1:D$500,SMALL(IF(Create_TC_Web!$C$1:$C$500&lt;&gt;"",MATCH(ROW(Create_TC_Web!$C$1:$C$500),ROW(Create_TC_Web!$C$1:$C$500)),""),ROW(Create_TC_Web!B417))),"")</f>
        <v/>
      </c>
      <c r="B417" t="str" cm="1">
        <f t="array" ref="B417">SUBSTITUTE(SUBSTITUTE(SUBSTITUTE(IFERROR(INDEX(Create_TC_Web!E$1:E$505,SMALL(IF(Create_TC_Web!$C$1:$C$505&lt;&gt;"",MATCH(ROW(Create_TC_Web!$C$1:$C$505),ROW(Create_TC_Web!$C$1:$C$505)),""),ROW(Create_TC_Web!C417))),"")," ",""),"-",""),"_","")</f>
        <v/>
      </c>
      <c r="C417" t="str" cm="1">
        <f t="array" ref="C417">IFERROR(INDEX(Create_TC_Web!F$1:F$500,SMALL(IF(Create_TC_Web!$C$1:$C$500&lt;&gt;"",MATCH(ROW(Create_TC_Web!$C$1:$C$500),ROW(Create_TC_Web!$C$1:$C$500)),""),ROW(Create_TC_Web!D417))),"")</f>
        <v/>
      </c>
      <c r="D417" t="str" cm="1">
        <f t="array" ref="D417">IFERROR(INDEX(Create_TC_Web!G$1:G$500,SMALL(IF(Create_TC_Web!$C$1:$C$500&lt;&gt;"",MATCH(ROW(Create_TC_Web!$C$1:$C$500),ROW(Create_TC_Web!$C$1:$C$500)),""),ROW(Create_TC_Web!E417))),"")</f>
        <v/>
      </c>
      <c r="E417" t="str" cm="1">
        <f t="array" ref="E417">IFERROR(INDEX(Create_TC_Web!H$1:H$500,SMALL(IF(Create_TC_Web!$C$1:$C$500&lt;&gt;"",MATCH(ROW(Create_TC_Web!$C$1:$C$500),ROW(Create_TC_Web!$C$1:$C$500)),""),ROW(Create_TC_Web!F417))),"")</f>
        <v/>
      </c>
      <c r="F417" t="str" cm="1">
        <f t="array" ref="F417">IFERROR(INDEX(Create_TC_Web!I$1:I$500,SMALL(IF(Create_TC_Web!$C$1:$C$500&lt;&gt;"",MATCH(ROW(Create_TC_Web!$C$1:$C$500),ROW(Create_TC_Web!$C$1:$C$500)),""),ROW(Create_TC_Web!G417))),"")</f>
        <v/>
      </c>
      <c r="G417" t="str" cm="1">
        <f t="array" ref="G417">IFERROR(INDEX(Create_TC_Web!J$1:J$500,SMALL(IF(Create_TC_Web!$C$1:$C$500&lt;&gt;"",MATCH(ROW(Create_TC_Web!$C$1:$C$500),ROW(Create_TC_Web!$C$1:$C$500)),""),ROW(Create_TC_Web!H417))),"")</f>
        <v/>
      </c>
      <c r="H417" t="str" cm="1">
        <f t="array" ref="H417">IFERROR(INDEX(Create_TC_Web!K$1:K$500,SMALL(IF(Create_TC_Web!$C$1:$C$500&lt;&gt;"",MATCH(ROW(Create_TC_Web!$C$1:$C$500),ROW(Create_TC_Web!$C$1:$C$500)),""),ROW(Create_TC_Web!I417))),"")</f>
        <v/>
      </c>
      <c r="I417" t="str" cm="1">
        <f t="array" ref="I417">IFERROR(INDEX(Create_TC_Web!L$1:L$500,SMALL(IF(Create_TC_Web!$C$1:$C$500&lt;&gt;"",MATCH(ROW(Create_TC_Web!$C$1:$C$500),ROW(Create_TC_Web!$C$1:$C$500)),""),ROW(Create_TC_Web!J417))),"")</f>
        <v/>
      </c>
      <c r="J417" t="str" cm="1">
        <f t="array" ref="J417">IFERROR(INDEX(Create_TC_Web!M$1:M$500,SMALL(IF(Create_TC_Web!$C$1:$C$500&lt;&gt;"",MATCH(ROW(Create_TC_Web!$C$1:$C$500),ROW(Create_TC_Web!$C$1:$C$500)),""),ROW(Create_TC_Web!K417))),"")</f>
        <v/>
      </c>
      <c r="K417" t="str" cm="1">
        <f t="array" ref="K417">IFERROR(INDEX(Create_TC_Web!N$1:N$500,SMALL(IF(Create_TC_Web!$C$1:$C$500&lt;&gt;"",MATCH(ROW(Create_TC_Web!$C$1:$C$500),ROW(Create_TC_Web!$C$1:$C$500)),""),ROW(Create_TC_Web!L417))),"")</f>
        <v/>
      </c>
      <c r="L417" t="str" cm="1">
        <f t="array" ref="L417">IFERROR(INDEX(Create_TC_Web!O$1:O$500,SMALL(IF(Create_TC_Web!$C$1:$C$500&lt;&gt;"",MATCH(ROW(Create_TC_Web!$C$1:$C$500),ROW(Create_TC_Web!$C$1:$C$500)),""),ROW(Create_TC_Web!M417))),"")</f>
        <v/>
      </c>
      <c r="M417" t="str" cm="1">
        <f t="array" ref="M417">IFERROR(INDEX(Create_TC_Web!P$1:P$500,SMALL(IF(Create_TC_Web!$C$1:$C$500&lt;&gt;"",MATCH(ROW(Create_TC_Web!$C$1:$C$500),ROW(Create_TC_Web!$C$1:$C$500)),""),ROW(Create_TC_Web!N417))),"")</f>
        <v/>
      </c>
      <c r="N417" t="str" cm="1">
        <f t="array" ref="N417">IFERROR(INDEX(Create_TC_Web!Q$1:Q$500,SMALL(IF(Create_TC_Web!$C$1:$C$500&lt;&gt;"",MATCH(ROW(Create_TC_Web!$C$1:$C$500),ROW(Create_TC_Web!$C$1:$C$500)),""),ROW(Create_TC_Web!O417))),"")</f>
        <v/>
      </c>
      <c r="O417" t="str">
        <f t="shared" si="19"/>
        <v/>
      </c>
      <c r="P417" s="17" t="str" cm="1">
        <f t="array" ref="P417">IFERROR(INDEX(Create_TC_Web!S$1:S$500,SMALL(IF(Create_TC_Web!$C$1:$C$500&lt;&gt;"",MATCH(ROW(Create_TC_Web!$C$1:$C$500),ROW(Create_TC_Web!$C$1:$C$500)),""),ROW(Create_TC_Web!Q395))),"")</f>
        <v/>
      </c>
      <c r="S417" t="str">
        <f t="shared" si="20"/>
        <v/>
      </c>
    </row>
    <row r="418" spans="1:19">
      <c r="A418" t="str" cm="1">
        <f t="array" ref="A418">IFERROR(INDEX(Create_TC_Web!D$1:D$500,SMALL(IF(Create_TC_Web!$C$1:$C$500&lt;&gt;"",MATCH(ROW(Create_TC_Web!$C$1:$C$500),ROW(Create_TC_Web!$C$1:$C$500)),""),ROW(Create_TC_Web!B418))),"")</f>
        <v/>
      </c>
      <c r="B418" t="str" cm="1">
        <f t="array" ref="B418">SUBSTITUTE(SUBSTITUTE(SUBSTITUTE(IFERROR(INDEX(Create_TC_Web!E$1:E$505,SMALL(IF(Create_TC_Web!$C$1:$C$505&lt;&gt;"",MATCH(ROW(Create_TC_Web!$C$1:$C$505),ROW(Create_TC_Web!$C$1:$C$505)),""),ROW(Create_TC_Web!C418))),"")," ",""),"-",""),"_","")</f>
        <v/>
      </c>
      <c r="C418" t="str" cm="1">
        <f t="array" ref="C418">IFERROR(INDEX(Create_TC_Web!F$1:F$500,SMALL(IF(Create_TC_Web!$C$1:$C$500&lt;&gt;"",MATCH(ROW(Create_TC_Web!$C$1:$C$500),ROW(Create_TC_Web!$C$1:$C$500)),""),ROW(Create_TC_Web!D418))),"")</f>
        <v/>
      </c>
      <c r="D418" t="str" cm="1">
        <f t="array" ref="D418">IFERROR(INDEX(Create_TC_Web!G$1:G$500,SMALL(IF(Create_TC_Web!$C$1:$C$500&lt;&gt;"",MATCH(ROW(Create_TC_Web!$C$1:$C$500),ROW(Create_TC_Web!$C$1:$C$500)),""),ROW(Create_TC_Web!E418))),"")</f>
        <v/>
      </c>
      <c r="E418" t="str" cm="1">
        <f t="array" ref="E418">IFERROR(INDEX(Create_TC_Web!H$1:H$500,SMALL(IF(Create_TC_Web!$C$1:$C$500&lt;&gt;"",MATCH(ROW(Create_TC_Web!$C$1:$C$500),ROW(Create_TC_Web!$C$1:$C$500)),""),ROW(Create_TC_Web!F418))),"")</f>
        <v/>
      </c>
      <c r="F418" t="str" cm="1">
        <f t="array" ref="F418">IFERROR(INDEX(Create_TC_Web!I$1:I$500,SMALL(IF(Create_TC_Web!$C$1:$C$500&lt;&gt;"",MATCH(ROW(Create_TC_Web!$C$1:$C$500),ROW(Create_TC_Web!$C$1:$C$500)),""),ROW(Create_TC_Web!G418))),"")</f>
        <v/>
      </c>
      <c r="G418" t="str" cm="1">
        <f t="array" ref="G418">IFERROR(INDEX(Create_TC_Web!J$1:J$500,SMALL(IF(Create_TC_Web!$C$1:$C$500&lt;&gt;"",MATCH(ROW(Create_TC_Web!$C$1:$C$500),ROW(Create_TC_Web!$C$1:$C$500)),""),ROW(Create_TC_Web!H418))),"")</f>
        <v/>
      </c>
      <c r="H418" t="str" cm="1">
        <f t="array" ref="H418">IFERROR(INDEX(Create_TC_Web!K$1:K$500,SMALL(IF(Create_TC_Web!$C$1:$C$500&lt;&gt;"",MATCH(ROW(Create_TC_Web!$C$1:$C$500),ROW(Create_TC_Web!$C$1:$C$500)),""),ROW(Create_TC_Web!I418))),"")</f>
        <v/>
      </c>
      <c r="I418" t="str" cm="1">
        <f t="array" ref="I418">IFERROR(INDEX(Create_TC_Web!L$1:L$500,SMALL(IF(Create_TC_Web!$C$1:$C$500&lt;&gt;"",MATCH(ROW(Create_TC_Web!$C$1:$C$500),ROW(Create_TC_Web!$C$1:$C$500)),""),ROW(Create_TC_Web!J418))),"")</f>
        <v/>
      </c>
      <c r="J418" t="str" cm="1">
        <f t="array" ref="J418">IFERROR(INDEX(Create_TC_Web!M$1:M$500,SMALL(IF(Create_TC_Web!$C$1:$C$500&lt;&gt;"",MATCH(ROW(Create_TC_Web!$C$1:$C$500),ROW(Create_TC_Web!$C$1:$C$500)),""),ROW(Create_TC_Web!K418))),"")</f>
        <v/>
      </c>
      <c r="K418" t="str" cm="1">
        <f t="array" ref="K418">IFERROR(INDEX(Create_TC_Web!N$1:N$500,SMALL(IF(Create_TC_Web!$C$1:$C$500&lt;&gt;"",MATCH(ROW(Create_TC_Web!$C$1:$C$500),ROW(Create_TC_Web!$C$1:$C$500)),""),ROW(Create_TC_Web!L418))),"")</f>
        <v/>
      </c>
      <c r="L418" t="str" cm="1">
        <f t="array" ref="L418">IFERROR(INDEX(Create_TC_Web!O$1:O$500,SMALL(IF(Create_TC_Web!$C$1:$C$500&lt;&gt;"",MATCH(ROW(Create_TC_Web!$C$1:$C$500),ROW(Create_TC_Web!$C$1:$C$500)),""),ROW(Create_TC_Web!M418))),"")</f>
        <v/>
      </c>
      <c r="M418" t="str" cm="1">
        <f t="array" ref="M418">IFERROR(INDEX(Create_TC_Web!P$1:P$500,SMALL(IF(Create_TC_Web!$C$1:$C$500&lt;&gt;"",MATCH(ROW(Create_TC_Web!$C$1:$C$500),ROW(Create_TC_Web!$C$1:$C$500)),""),ROW(Create_TC_Web!N418))),"")</f>
        <v/>
      </c>
      <c r="N418" t="str" cm="1">
        <f t="array" ref="N418">IFERROR(INDEX(Create_TC_Web!Q$1:Q$500,SMALL(IF(Create_TC_Web!$C$1:$C$500&lt;&gt;"",MATCH(ROW(Create_TC_Web!$C$1:$C$500),ROW(Create_TC_Web!$C$1:$C$500)),""),ROW(Create_TC_Web!O418))),"")</f>
        <v/>
      </c>
      <c r="O418" t="str">
        <f t="shared" si="19"/>
        <v/>
      </c>
      <c r="P418" s="17" t="str" cm="1">
        <f t="array" ref="P418">IFERROR(INDEX(Create_TC_Web!S$1:S$500,SMALL(IF(Create_TC_Web!$C$1:$C$500&lt;&gt;"",MATCH(ROW(Create_TC_Web!$C$1:$C$500),ROW(Create_TC_Web!$C$1:$C$500)),""),ROW(Create_TC_Web!Q396))),"")</f>
        <v/>
      </c>
      <c r="S418" t="str">
        <f t="shared" si="20"/>
        <v/>
      </c>
    </row>
    <row r="419" spans="1:19">
      <c r="A419" t="str" cm="1">
        <f t="array" ref="A419">IFERROR(INDEX(Create_TC_Web!D$1:D$500,SMALL(IF(Create_TC_Web!$C$1:$C$500&lt;&gt;"",MATCH(ROW(Create_TC_Web!$C$1:$C$500),ROW(Create_TC_Web!$C$1:$C$500)),""),ROW(Create_TC_Web!B419))),"")</f>
        <v/>
      </c>
      <c r="B419" t="str" cm="1">
        <f t="array" ref="B419">SUBSTITUTE(SUBSTITUTE(SUBSTITUTE(IFERROR(INDEX(Create_TC_Web!E$1:E$505,SMALL(IF(Create_TC_Web!$C$1:$C$505&lt;&gt;"",MATCH(ROW(Create_TC_Web!$C$1:$C$505),ROW(Create_TC_Web!$C$1:$C$505)),""),ROW(Create_TC_Web!C419))),"")," ",""),"-",""),"_","")</f>
        <v/>
      </c>
      <c r="C419" t="str" cm="1">
        <f t="array" ref="C419">IFERROR(INDEX(Create_TC_Web!F$1:F$500,SMALL(IF(Create_TC_Web!$C$1:$C$500&lt;&gt;"",MATCH(ROW(Create_TC_Web!$C$1:$C$500),ROW(Create_TC_Web!$C$1:$C$500)),""),ROW(Create_TC_Web!D419))),"")</f>
        <v/>
      </c>
      <c r="D419" t="str" cm="1">
        <f t="array" ref="D419">IFERROR(INDEX(Create_TC_Web!G$1:G$500,SMALL(IF(Create_TC_Web!$C$1:$C$500&lt;&gt;"",MATCH(ROW(Create_TC_Web!$C$1:$C$500),ROW(Create_TC_Web!$C$1:$C$500)),""),ROW(Create_TC_Web!E419))),"")</f>
        <v/>
      </c>
      <c r="E419" t="str" cm="1">
        <f t="array" ref="E419">IFERROR(INDEX(Create_TC_Web!H$1:H$500,SMALL(IF(Create_TC_Web!$C$1:$C$500&lt;&gt;"",MATCH(ROW(Create_TC_Web!$C$1:$C$500),ROW(Create_TC_Web!$C$1:$C$500)),""),ROW(Create_TC_Web!F419))),"")</f>
        <v/>
      </c>
      <c r="F419" t="str" cm="1">
        <f t="array" ref="F419">IFERROR(INDEX(Create_TC_Web!I$1:I$500,SMALL(IF(Create_TC_Web!$C$1:$C$500&lt;&gt;"",MATCH(ROW(Create_TC_Web!$C$1:$C$500),ROW(Create_TC_Web!$C$1:$C$500)),""),ROW(Create_TC_Web!G419))),"")</f>
        <v/>
      </c>
      <c r="G419" t="str" cm="1">
        <f t="array" ref="G419">IFERROR(INDEX(Create_TC_Web!J$1:J$500,SMALL(IF(Create_TC_Web!$C$1:$C$500&lt;&gt;"",MATCH(ROW(Create_TC_Web!$C$1:$C$500),ROW(Create_TC_Web!$C$1:$C$500)),""),ROW(Create_TC_Web!H419))),"")</f>
        <v/>
      </c>
      <c r="H419" t="str" cm="1">
        <f t="array" ref="H419">IFERROR(INDEX(Create_TC_Web!K$1:K$500,SMALL(IF(Create_TC_Web!$C$1:$C$500&lt;&gt;"",MATCH(ROW(Create_TC_Web!$C$1:$C$500),ROW(Create_TC_Web!$C$1:$C$500)),""),ROW(Create_TC_Web!I419))),"")</f>
        <v/>
      </c>
      <c r="I419" t="str" cm="1">
        <f t="array" ref="I419">IFERROR(INDEX(Create_TC_Web!L$1:L$500,SMALL(IF(Create_TC_Web!$C$1:$C$500&lt;&gt;"",MATCH(ROW(Create_TC_Web!$C$1:$C$500),ROW(Create_TC_Web!$C$1:$C$500)),""),ROW(Create_TC_Web!J419))),"")</f>
        <v/>
      </c>
      <c r="J419" t="str" cm="1">
        <f t="array" ref="J419">IFERROR(INDEX(Create_TC_Web!M$1:M$500,SMALL(IF(Create_TC_Web!$C$1:$C$500&lt;&gt;"",MATCH(ROW(Create_TC_Web!$C$1:$C$500),ROW(Create_TC_Web!$C$1:$C$500)),""),ROW(Create_TC_Web!K419))),"")</f>
        <v/>
      </c>
      <c r="K419" t="str" cm="1">
        <f t="array" ref="K419">IFERROR(INDEX(Create_TC_Web!N$1:N$500,SMALL(IF(Create_TC_Web!$C$1:$C$500&lt;&gt;"",MATCH(ROW(Create_TC_Web!$C$1:$C$500),ROW(Create_TC_Web!$C$1:$C$500)),""),ROW(Create_TC_Web!L419))),"")</f>
        <v/>
      </c>
      <c r="L419" t="str" cm="1">
        <f t="array" ref="L419">IFERROR(INDEX(Create_TC_Web!O$1:O$500,SMALL(IF(Create_TC_Web!$C$1:$C$500&lt;&gt;"",MATCH(ROW(Create_TC_Web!$C$1:$C$500),ROW(Create_TC_Web!$C$1:$C$500)),""),ROW(Create_TC_Web!M419))),"")</f>
        <v/>
      </c>
      <c r="M419" t="str" cm="1">
        <f t="array" ref="M419">IFERROR(INDEX(Create_TC_Web!P$1:P$500,SMALL(IF(Create_TC_Web!$C$1:$C$500&lt;&gt;"",MATCH(ROW(Create_TC_Web!$C$1:$C$500),ROW(Create_TC_Web!$C$1:$C$500)),""),ROW(Create_TC_Web!N419))),"")</f>
        <v/>
      </c>
      <c r="N419" t="str" cm="1">
        <f t="array" ref="N419">IFERROR(INDEX(Create_TC_Web!Q$1:Q$500,SMALL(IF(Create_TC_Web!$C$1:$C$500&lt;&gt;"",MATCH(ROW(Create_TC_Web!$C$1:$C$500),ROW(Create_TC_Web!$C$1:$C$500)),""),ROW(Create_TC_Web!O419))),"")</f>
        <v/>
      </c>
      <c r="O419" t="str">
        <f t="shared" si="19"/>
        <v/>
      </c>
      <c r="P419" s="17" t="str" cm="1">
        <f t="array" ref="P419">IFERROR(INDEX(Create_TC_Web!S$1:S$500,SMALL(IF(Create_TC_Web!$C$1:$C$500&lt;&gt;"",MATCH(ROW(Create_TC_Web!$C$1:$C$500),ROW(Create_TC_Web!$C$1:$C$500)),""),ROW(Create_TC_Web!Q397))),"")</f>
        <v/>
      </c>
      <c r="S419" t="str">
        <f t="shared" si="20"/>
        <v/>
      </c>
    </row>
    <row r="420" spans="1:19">
      <c r="A420" t="str" cm="1">
        <f t="array" ref="A420">IFERROR(INDEX(Create_TC_Web!D$1:D$500,SMALL(IF(Create_TC_Web!$C$1:$C$500&lt;&gt;"",MATCH(ROW(Create_TC_Web!$C$1:$C$500),ROW(Create_TC_Web!$C$1:$C$500)),""),ROW(Create_TC_Web!B420))),"")</f>
        <v/>
      </c>
      <c r="B420" t="str" cm="1">
        <f t="array" ref="B420">SUBSTITUTE(SUBSTITUTE(SUBSTITUTE(IFERROR(INDEX(Create_TC_Web!E$1:E$505,SMALL(IF(Create_TC_Web!$C$1:$C$505&lt;&gt;"",MATCH(ROW(Create_TC_Web!$C$1:$C$505),ROW(Create_TC_Web!$C$1:$C$505)),""),ROW(Create_TC_Web!C420))),"")," ",""),"-",""),"_","")</f>
        <v/>
      </c>
      <c r="C420" t="str" cm="1">
        <f t="array" ref="C420">IFERROR(INDEX(Create_TC_Web!F$1:F$500,SMALL(IF(Create_TC_Web!$C$1:$C$500&lt;&gt;"",MATCH(ROW(Create_TC_Web!$C$1:$C$500),ROW(Create_TC_Web!$C$1:$C$500)),""),ROW(Create_TC_Web!D420))),"")</f>
        <v/>
      </c>
      <c r="D420" t="str" cm="1">
        <f t="array" ref="D420">IFERROR(INDEX(Create_TC_Web!G$1:G$500,SMALL(IF(Create_TC_Web!$C$1:$C$500&lt;&gt;"",MATCH(ROW(Create_TC_Web!$C$1:$C$500),ROW(Create_TC_Web!$C$1:$C$500)),""),ROW(Create_TC_Web!E420))),"")</f>
        <v/>
      </c>
      <c r="E420" t="str" cm="1">
        <f t="array" ref="E420">IFERROR(INDEX(Create_TC_Web!H$1:H$500,SMALL(IF(Create_TC_Web!$C$1:$C$500&lt;&gt;"",MATCH(ROW(Create_TC_Web!$C$1:$C$500),ROW(Create_TC_Web!$C$1:$C$500)),""),ROW(Create_TC_Web!F420))),"")</f>
        <v/>
      </c>
      <c r="F420" t="str" cm="1">
        <f t="array" ref="F420">IFERROR(INDEX(Create_TC_Web!I$1:I$500,SMALL(IF(Create_TC_Web!$C$1:$C$500&lt;&gt;"",MATCH(ROW(Create_TC_Web!$C$1:$C$500),ROW(Create_TC_Web!$C$1:$C$500)),""),ROW(Create_TC_Web!G420))),"")</f>
        <v/>
      </c>
      <c r="G420" t="str" cm="1">
        <f t="array" ref="G420">IFERROR(INDEX(Create_TC_Web!J$1:J$500,SMALL(IF(Create_TC_Web!$C$1:$C$500&lt;&gt;"",MATCH(ROW(Create_TC_Web!$C$1:$C$500),ROW(Create_TC_Web!$C$1:$C$500)),""),ROW(Create_TC_Web!H420))),"")</f>
        <v/>
      </c>
      <c r="H420" t="str" cm="1">
        <f t="array" ref="H420">IFERROR(INDEX(Create_TC_Web!K$1:K$500,SMALL(IF(Create_TC_Web!$C$1:$C$500&lt;&gt;"",MATCH(ROW(Create_TC_Web!$C$1:$C$500),ROW(Create_TC_Web!$C$1:$C$500)),""),ROW(Create_TC_Web!I420))),"")</f>
        <v/>
      </c>
      <c r="I420" t="str" cm="1">
        <f t="array" ref="I420">IFERROR(INDEX(Create_TC_Web!L$1:L$500,SMALL(IF(Create_TC_Web!$C$1:$C$500&lt;&gt;"",MATCH(ROW(Create_TC_Web!$C$1:$C$500),ROW(Create_TC_Web!$C$1:$C$500)),""),ROW(Create_TC_Web!J420))),"")</f>
        <v/>
      </c>
      <c r="J420" t="str" cm="1">
        <f t="array" ref="J420">IFERROR(INDEX(Create_TC_Web!M$1:M$500,SMALL(IF(Create_TC_Web!$C$1:$C$500&lt;&gt;"",MATCH(ROW(Create_TC_Web!$C$1:$C$500),ROW(Create_TC_Web!$C$1:$C$500)),""),ROW(Create_TC_Web!K420))),"")</f>
        <v/>
      </c>
      <c r="K420" t="str" cm="1">
        <f t="array" ref="K420">IFERROR(INDEX(Create_TC_Web!N$1:N$500,SMALL(IF(Create_TC_Web!$C$1:$C$500&lt;&gt;"",MATCH(ROW(Create_TC_Web!$C$1:$C$500),ROW(Create_TC_Web!$C$1:$C$500)),""),ROW(Create_TC_Web!L420))),"")</f>
        <v/>
      </c>
      <c r="L420" t="str" cm="1">
        <f t="array" ref="L420">IFERROR(INDEX(Create_TC_Web!O$1:O$500,SMALL(IF(Create_TC_Web!$C$1:$C$500&lt;&gt;"",MATCH(ROW(Create_TC_Web!$C$1:$C$500),ROW(Create_TC_Web!$C$1:$C$500)),""),ROW(Create_TC_Web!M420))),"")</f>
        <v/>
      </c>
      <c r="M420" t="str" cm="1">
        <f t="array" ref="M420">IFERROR(INDEX(Create_TC_Web!P$1:P$500,SMALL(IF(Create_TC_Web!$C$1:$C$500&lt;&gt;"",MATCH(ROW(Create_TC_Web!$C$1:$C$500),ROW(Create_TC_Web!$C$1:$C$500)),""),ROW(Create_TC_Web!N420))),"")</f>
        <v/>
      </c>
      <c r="N420" t="str" cm="1">
        <f t="array" ref="N420">IFERROR(INDEX(Create_TC_Web!Q$1:Q$500,SMALL(IF(Create_TC_Web!$C$1:$C$500&lt;&gt;"",MATCH(ROW(Create_TC_Web!$C$1:$C$500),ROW(Create_TC_Web!$C$1:$C$500)),""),ROW(Create_TC_Web!O420))),"")</f>
        <v/>
      </c>
      <c r="O420" t="str">
        <f t="shared" si="19"/>
        <v/>
      </c>
      <c r="P420" s="17" t="str" cm="1">
        <f t="array" ref="P420">IFERROR(INDEX(Create_TC_Web!S$1:S$500,SMALL(IF(Create_TC_Web!$C$1:$C$500&lt;&gt;"",MATCH(ROW(Create_TC_Web!$C$1:$C$500),ROW(Create_TC_Web!$C$1:$C$500)),""),ROW(Create_TC_Web!Q398))),"")</f>
        <v/>
      </c>
      <c r="S420" t="str">
        <f t="shared" si="20"/>
        <v/>
      </c>
    </row>
    <row r="421" spans="1:19">
      <c r="A421" t="str" cm="1">
        <f t="array" ref="A421">IFERROR(INDEX(Create_TC_Web!D$1:D$500,SMALL(IF(Create_TC_Web!$C$1:$C$500&lt;&gt;"",MATCH(ROW(Create_TC_Web!$C$1:$C$500),ROW(Create_TC_Web!$C$1:$C$500)),""),ROW(Create_TC_Web!B421))),"")</f>
        <v/>
      </c>
      <c r="B421" t="str" cm="1">
        <f t="array" ref="B421">SUBSTITUTE(SUBSTITUTE(SUBSTITUTE(IFERROR(INDEX(Create_TC_Web!E$1:E$505,SMALL(IF(Create_TC_Web!$C$1:$C$505&lt;&gt;"",MATCH(ROW(Create_TC_Web!$C$1:$C$505),ROW(Create_TC_Web!$C$1:$C$505)),""),ROW(Create_TC_Web!C421))),"")," ",""),"-",""),"_","")</f>
        <v/>
      </c>
      <c r="C421" t="str" cm="1">
        <f t="array" ref="C421">IFERROR(INDEX(Create_TC_Web!F$1:F$500,SMALL(IF(Create_TC_Web!$C$1:$C$500&lt;&gt;"",MATCH(ROW(Create_TC_Web!$C$1:$C$500),ROW(Create_TC_Web!$C$1:$C$500)),""),ROW(Create_TC_Web!D421))),"")</f>
        <v/>
      </c>
      <c r="D421" t="str" cm="1">
        <f t="array" ref="D421">IFERROR(INDEX(Create_TC_Web!G$1:G$500,SMALL(IF(Create_TC_Web!$C$1:$C$500&lt;&gt;"",MATCH(ROW(Create_TC_Web!$C$1:$C$500),ROW(Create_TC_Web!$C$1:$C$500)),""),ROW(Create_TC_Web!E421))),"")</f>
        <v/>
      </c>
      <c r="E421" t="str" cm="1">
        <f t="array" ref="E421">IFERROR(INDEX(Create_TC_Web!H$1:H$500,SMALL(IF(Create_TC_Web!$C$1:$C$500&lt;&gt;"",MATCH(ROW(Create_TC_Web!$C$1:$C$500),ROW(Create_TC_Web!$C$1:$C$500)),""),ROW(Create_TC_Web!F421))),"")</f>
        <v/>
      </c>
      <c r="F421" t="str" cm="1">
        <f t="array" ref="F421">IFERROR(INDEX(Create_TC_Web!I$1:I$500,SMALL(IF(Create_TC_Web!$C$1:$C$500&lt;&gt;"",MATCH(ROW(Create_TC_Web!$C$1:$C$500),ROW(Create_TC_Web!$C$1:$C$500)),""),ROW(Create_TC_Web!G421))),"")</f>
        <v/>
      </c>
      <c r="G421" t="str" cm="1">
        <f t="array" ref="G421">IFERROR(INDEX(Create_TC_Web!J$1:J$500,SMALL(IF(Create_TC_Web!$C$1:$C$500&lt;&gt;"",MATCH(ROW(Create_TC_Web!$C$1:$C$500),ROW(Create_TC_Web!$C$1:$C$500)),""),ROW(Create_TC_Web!H421))),"")</f>
        <v/>
      </c>
      <c r="H421" t="str" cm="1">
        <f t="array" ref="H421">IFERROR(INDEX(Create_TC_Web!K$1:K$500,SMALL(IF(Create_TC_Web!$C$1:$C$500&lt;&gt;"",MATCH(ROW(Create_TC_Web!$C$1:$C$500),ROW(Create_TC_Web!$C$1:$C$500)),""),ROW(Create_TC_Web!I421))),"")</f>
        <v/>
      </c>
      <c r="I421" t="str" cm="1">
        <f t="array" ref="I421">IFERROR(INDEX(Create_TC_Web!L$1:L$500,SMALL(IF(Create_TC_Web!$C$1:$C$500&lt;&gt;"",MATCH(ROW(Create_TC_Web!$C$1:$C$500),ROW(Create_TC_Web!$C$1:$C$500)),""),ROW(Create_TC_Web!J421))),"")</f>
        <v/>
      </c>
      <c r="J421" t="str" cm="1">
        <f t="array" ref="J421">IFERROR(INDEX(Create_TC_Web!M$1:M$500,SMALL(IF(Create_TC_Web!$C$1:$C$500&lt;&gt;"",MATCH(ROW(Create_TC_Web!$C$1:$C$500),ROW(Create_TC_Web!$C$1:$C$500)),""),ROW(Create_TC_Web!K421))),"")</f>
        <v/>
      </c>
      <c r="K421" t="str" cm="1">
        <f t="array" ref="K421">IFERROR(INDEX(Create_TC_Web!N$1:N$500,SMALL(IF(Create_TC_Web!$C$1:$C$500&lt;&gt;"",MATCH(ROW(Create_TC_Web!$C$1:$C$500),ROW(Create_TC_Web!$C$1:$C$500)),""),ROW(Create_TC_Web!L421))),"")</f>
        <v/>
      </c>
      <c r="L421" t="str" cm="1">
        <f t="array" ref="L421">IFERROR(INDEX(Create_TC_Web!O$1:O$500,SMALL(IF(Create_TC_Web!$C$1:$C$500&lt;&gt;"",MATCH(ROW(Create_TC_Web!$C$1:$C$500),ROW(Create_TC_Web!$C$1:$C$500)),""),ROW(Create_TC_Web!M421))),"")</f>
        <v/>
      </c>
      <c r="M421" t="str" cm="1">
        <f t="array" ref="M421">IFERROR(INDEX(Create_TC_Web!P$1:P$500,SMALL(IF(Create_TC_Web!$C$1:$C$500&lt;&gt;"",MATCH(ROW(Create_TC_Web!$C$1:$C$500),ROW(Create_TC_Web!$C$1:$C$500)),""),ROW(Create_TC_Web!N421))),"")</f>
        <v/>
      </c>
      <c r="N421" t="str" cm="1">
        <f t="array" ref="N421">IFERROR(INDEX(Create_TC_Web!Q$1:Q$500,SMALL(IF(Create_TC_Web!$C$1:$C$500&lt;&gt;"",MATCH(ROW(Create_TC_Web!$C$1:$C$500),ROW(Create_TC_Web!$C$1:$C$500)),""),ROW(Create_TC_Web!O421))),"")</f>
        <v/>
      </c>
      <c r="O421" t="str">
        <f t="shared" si="19"/>
        <v/>
      </c>
      <c r="P421" s="17" t="str" cm="1">
        <f t="array" ref="P421">IFERROR(INDEX(Create_TC_Web!S$1:S$500,SMALL(IF(Create_TC_Web!$C$1:$C$500&lt;&gt;"",MATCH(ROW(Create_TC_Web!$C$1:$C$500),ROW(Create_TC_Web!$C$1:$C$500)),""),ROW(Create_TC_Web!Q399))),"")</f>
        <v/>
      </c>
      <c r="S421" t="str">
        <f t="shared" si="20"/>
        <v/>
      </c>
    </row>
    <row r="422" spans="1:19">
      <c r="A422" t="str" cm="1">
        <f t="array" ref="A422">IFERROR(INDEX(Create_TC_Web!D$1:D$500,SMALL(IF(Create_TC_Web!$C$1:$C$500&lt;&gt;"",MATCH(ROW(Create_TC_Web!$C$1:$C$500),ROW(Create_TC_Web!$C$1:$C$500)),""),ROW(Create_TC_Web!B422))),"")</f>
        <v/>
      </c>
      <c r="B422" t="str" cm="1">
        <f t="array" ref="B422">SUBSTITUTE(SUBSTITUTE(SUBSTITUTE(IFERROR(INDEX(Create_TC_Web!E$1:E$505,SMALL(IF(Create_TC_Web!$C$1:$C$505&lt;&gt;"",MATCH(ROW(Create_TC_Web!$C$1:$C$505),ROW(Create_TC_Web!$C$1:$C$505)),""),ROW(Create_TC_Web!C422))),"")," ",""),"-",""),"_","")</f>
        <v/>
      </c>
      <c r="C422" t="str" cm="1">
        <f t="array" ref="C422">IFERROR(INDEX(Create_TC_Web!F$1:F$500,SMALL(IF(Create_TC_Web!$C$1:$C$500&lt;&gt;"",MATCH(ROW(Create_TC_Web!$C$1:$C$500),ROW(Create_TC_Web!$C$1:$C$500)),""),ROW(Create_TC_Web!D422))),"")</f>
        <v/>
      </c>
      <c r="D422" t="str" cm="1">
        <f t="array" ref="D422">IFERROR(INDEX(Create_TC_Web!G$1:G$500,SMALL(IF(Create_TC_Web!$C$1:$C$500&lt;&gt;"",MATCH(ROW(Create_TC_Web!$C$1:$C$500),ROW(Create_TC_Web!$C$1:$C$500)),""),ROW(Create_TC_Web!E422))),"")</f>
        <v/>
      </c>
      <c r="E422" t="str" cm="1">
        <f t="array" ref="E422">IFERROR(INDEX(Create_TC_Web!H$1:H$500,SMALL(IF(Create_TC_Web!$C$1:$C$500&lt;&gt;"",MATCH(ROW(Create_TC_Web!$C$1:$C$500),ROW(Create_TC_Web!$C$1:$C$500)),""),ROW(Create_TC_Web!F422))),"")</f>
        <v/>
      </c>
      <c r="F422" t="str" cm="1">
        <f t="array" ref="F422">IFERROR(INDEX(Create_TC_Web!I$1:I$500,SMALL(IF(Create_TC_Web!$C$1:$C$500&lt;&gt;"",MATCH(ROW(Create_TC_Web!$C$1:$C$500),ROW(Create_TC_Web!$C$1:$C$500)),""),ROW(Create_TC_Web!G422))),"")</f>
        <v/>
      </c>
      <c r="G422" t="str" cm="1">
        <f t="array" ref="G422">IFERROR(INDEX(Create_TC_Web!J$1:J$500,SMALL(IF(Create_TC_Web!$C$1:$C$500&lt;&gt;"",MATCH(ROW(Create_TC_Web!$C$1:$C$500),ROW(Create_TC_Web!$C$1:$C$500)),""),ROW(Create_TC_Web!H422))),"")</f>
        <v/>
      </c>
      <c r="H422" t="str" cm="1">
        <f t="array" ref="H422">IFERROR(INDEX(Create_TC_Web!K$1:K$500,SMALL(IF(Create_TC_Web!$C$1:$C$500&lt;&gt;"",MATCH(ROW(Create_TC_Web!$C$1:$C$500),ROW(Create_TC_Web!$C$1:$C$500)),""),ROW(Create_TC_Web!I422))),"")</f>
        <v/>
      </c>
      <c r="I422" t="str" cm="1">
        <f t="array" ref="I422">IFERROR(INDEX(Create_TC_Web!L$1:L$500,SMALL(IF(Create_TC_Web!$C$1:$C$500&lt;&gt;"",MATCH(ROW(Create_TC_Web!$C$1:$C$500),ROW(Create_TC_Web!$C$1:$C$500)),""),ROW(Create_TC_Web!J422))),"")</f>
        <v/>
      </c>
      <c r="J422" t="str" cm="1">
        <f t="array" ref="J422">IFERROR(INDEX(Create_TC_Web!M$1:M$500,SMALL(IF(Create_TC_Web!$C$1:$C$500&lt;&gt;"",MATCH(ROW(Create_TC_Web!$C$1:$C$500),ROW(Create_TC_Web!$C$1:$C$500)),""),ROW(Create_TC_Web!K422))),"")</f>
        <v/>
      </c>
      <c r="K422" t="str" cm="1">
        <f t="array" ref="K422">IFERROR(INDEX(Create_TC_Web!N$1:N$500,SMALL(IF(Create_TC_Web!$C$1:$C$500&lt;&gt;"",MATCH(ROW(Create_TC_Web!$C$1:$C$500),ROW(Create_TC_Web!$C$1:$C$500)),""),ROW(Create_TC_Web!L422))),"")</f>
        <v/>
      </c>
      <c r="L422" t="str" cm="1">
        <f t="array" ref="L422">IFERROR(INDEX(Create_TC_Web!O$1:O$500,SMALL(IF(Create_TC_Web!$C$1:$C$500&lt;&gt;"",MATCH(ROW(Create_TC_Web!$C$1:$C$500),ROW(Create_TC_Web!$C$1:$C$500)),""),ROW(Create_TC_Web!M422))),"")</f>
        <v/>
      </c>
      <c r="M422" t="str" cm="1">
        <f t="array" ref="M422">IFERROR(INDEX(Create_TC_Web!P$1:P$500,SMALL(IF(Create_TC_Web!$C$1:$C$500&lt;&gt;"",MATCH(ROW(Create_TC_Web!$C$1:$C$500),ROW(Create_TC_Web!$C$1:$C$500)),""),ROW(Create_TC_Web!N422))),"")</f>
        <v/>
      </c>
      <c r="N422" t="str" cm="1">
        <f t="array" ref="N422">IFERROR(INDEX(Create_TC_Web!Q$1:Q$500,SMALL(IF(Create_TC_Web!$C$1:$C$500&lt;&gt;"",MATCH(ROW(Create_TC_Web!$C$1:$C$500),ROW(Create_TC_Web!$C$1:$C$500)),""),ROW(Create_TC_Web!O422))),"")</f>
        <v/>
      </c>
      <c r="O422" t="str">
        <f t="shared" si="19"/>
        <v/>
      </c>
      <c r="P422" s="17" t="str" cm="1">
        <f t="array" ref="P422">IFERROR(INDEX(Create_TC_Web!S$1:S$500,SMALL(IF(Create_TC_Web!$C$1:$C$500&lt;&gt;"",MATCH(ROW(Create_TC_Web!$C$1:$C$500),ROW(Create_TC_Web!$C$1:$C$500)),""),ROW(Create_TC_Web!Q400))),"")</f>
        <v/>
      </c>
      <c r="S422" t="str">
        <f t="shared" si="20"/>
        <v/>
      </c>
    </row>
    <row r="423" spans="1:19">
      <c r="A423" t="str" cm="1">
        <f t="array" ref="A423">IFERROR(INDEX(Create_TC_Web!D$1:D$500,SMALL(IF(Create_TC_Web!$C$1:$C$500&lt;&gt;"",MATCH(ROW(Create_TC_Web!$C$1:$C$500),ROW(Create_TC_Web!$C$1:$C$500)),""),ROW(Create_TC_Web!B423))),"")</f>
        <v/>
      </c>
      <c r="B423" t="str" cm="1">
        <f t="array" ref="B423">SUBSTITUTE(SUBSTITUTE(SUBSTITUTE(IFERROR(INDEX(Create_TC_Web!E$1:E$505,SMALL(IF(Create_TC_Web!$C$1:$C$505&lt;&gt;"",MATCH(ROW(Create_TC_Web!$C$1:$C$505),ROW(Create_TC_Web!$C$1:$C$505)),""),ROW(Create_TC_Web!C423))),"")," ",""),"-",""),"_","")</f>
        <v/>
      </c>
      <c r="C423" t="str" cm="1">
        <f t="array" ref="C423">IFERROR(INDEX(Create_TC_Web!F$1:F$500,SMALL(IF(Create_TC_Web!$C$1:$C$500&lt;&gt;"",MATCH(ROW(Create_TC_Web!$C$1:$C$500),ROW(Create_TC_Web!$C$1:$C$500)),""),ROW(Create_TC_Web!D423))),"")</f>
        <v/>
      </c>
      <c r="D423" t="str" cm="1">
        <f t="array" ref="D423">IFERROR(INDEX(Create_TC_Web!G$1:G$500,SMALL(IF(Create_TC_Web!$C$1:$C$500&lt;&gt;"",MATCH(ROW(Create_TC_Web!$C$1:$C$500),ROW(Create_TC_Web!$C$1:$C$500)),""),ROW(Create_TC_Web!E423))),"")</f>
        <v/>
      </c>
      <c r="E423" t="str" cm="1">
        <f t="array" ref="E423">IFERROR(INDEX(Create_TC_Web!H$1:H$500,SMALL(IF(Create_TC_Web!$C$1:$C$500&lt;&gt;"",MATCH(ROW(Create_TC_Web!$C$1:$C$500),ROW(Create_TC_Web!$C$1:$C$500)),""),ROW(Create_TC_Web!F423))),"")</f>
        <v/>
      </c>
      <c r="F423" t="str" cm="1">
        <f t="array" ref="F423">IFERROR(INDEX(Create_TC_Web!I$1:I$500,SMALL(IF(Create_TC_Web!$C$1:$C$500&lt;&gt;"",MATCH(ROW(Create_TC_Web!$C$1:$C$500),ROW(Create_TC_Web!$C$1:$C$500)),""),ROW(Create_TC_Web!G423))),"")</f>
        <v/>
      </c>
      <c r="G423" t="str" cm="1">
        <f t="array" ref="G423">IFERROR(INDEX(Create_TC_Web!J$1:J$500,SMALL(IF(Create_TC_Web!$C$1:$C$500&lt;&gt;"",MATCH(ROW(Create_TC_Web!$C$1:$C$500),ROW(Create_TC_Web!$C$1:$C$500)),""),ROW(Create_TC_Web!H423))),"")</f>
        <v/>
      </c>
      <c r="H423" t="str" cm="1">
        <f t="array" ref="H423">IFERROR(INDEX(Create_TC_Web!K$1:K$500,SMALL(IF(Create_TC_Web!$C$1:$C$500&lt;&gt;"",MATCH(ROW(Create_TC_Web!$C$1:$C$500),ROW(Create_TC_Web!$C$1:$C$500)),""),ROW(Create_TC_Web!I423))),"")</f>
        <v/>
      </c>
      <c r="I423" t="str" cm="1">
        <f t="array" ref="I423">IFERROR(INDEX(Create_TC_Web!L$1:L$500,SMALL(IF(Create_TC_Web!$C$1:$C$500&lt;&gt;"",MATCH(ROW(Create_TC_Web!$C$1:$C$500),ROW(Create_TC_Web!$C$1:$C$500)),""),ROW(Create_TC_Web!J423))),"")</f>
        <v/>
      </c>
      <c r="J423" t="str" cm="1">
        <f t="array" ref="J423">IFERROR(INDEX(Create_TC_Web!M$1:M$500,SMALL(IF(Create_TC_Web!$C$1:$C$500&lt;&gt;"",MATCH(ROW(Create_TC_Web!$C$1:$C$500),ROW(Create_TC_Web!$C$1:$C$500)),""),ROW(Create_TC_Web!K423))),"")</f>
        <v/>
      </c>
      <c r="K423" t="str" cm="1">
        <f t="array" ref="K423">IFERROR(INDEX(Create_TC_Web!N$1:N$500,SMALL(IF(Create_TC_Web!$C$1:$C$500&lt;&gt;"",MATCH(ROW(Create_TC_Web!$C$1:$C$500),ROW(Create_TC_Web!$C$1:$C$500)),""),ROW(Create_TC_Web!L423))),"")</f>
        <v/>
      </c>
      <c r="L423" t="str" cm="1">
        <f t="array" ref="L423">IFERROR(INDEX(Create_TC_Web!O$1:O$500,SMALL(IF(Create_TC_Web!$C$1:$C$500&lt;&gt;"",MATCH(ROW(Create_TC_Web!$C$1:$C$500),ROW(Create_TC_Web!$C$1:$C$500)),""),ROW(Create_TC_Web!M423))),"")</f>
        <v/>
      </c>
      <c r="M423" t="str" cm="1">
        <f t="array" ref="M423">IFERROR(INDEX(Create_TC_Web!P$1:P$500,SMALL(IF(Create_TC_Web!$C$1:$C$500&lt;&gt;"",MATCH(ROW(Create_TC_Web!$C$1:$C$500),ROW(Create_TC_Web!$C$1:$C$500)),""),ROW(Create_TC_Web!N423))),"")</f>
        <v/>
      </c>
      <c r="N423" t="str" cm="1">
        <f t="array" ref="N423">IFERROR(INDEX(Create_TC_Web!Q$1:Q$500,SMALL(IF(Create_TC_Web!$C$1:$C$500&lt;&gt;"",MATCH(ROW(Create_TC_Web!$C$1:$C$500),ROW(Create_TC_Web!$C$1:$C$500)),""),ROW(Create_TC_Web!O423))),"")</f>
        <v/>
      </c>
      <c r="O423" t="str">
        <f t="shared" si="19"/>
        <v/>
      </c>
      <c r="P423" s="17" t="str" cm="1">
        <f t="array" ref="P423">IFERROR(INDEX(Create_TC_Web!S$1:S$500,SMALL(IF(Create_TC_Web!$C$1:$C$500&lt;&gt;"",MATCH(ROW(Create_TC_Web!$C$1:$C$500),ROW(Create_TC_Web!$C$1:$C$500)),""),ROW(Create_TC_Web!Q401))),"")</f>
        <v/>
      </c>
      <c r="S423" t="str">
        <f t="shared" si="20"/>
        <v/>
      </c>
    </row>
    <row r="424" spans="1:19">
      <c r="A424" t="str" cm="1">
        <f t="array" ref="A424">IFERROR(INDEX(Create_TC_Web!D$1:D$500,SMALL(IF(Create_TC_Web!$C$1:$C$500&lt;&gt;"",MATCH(ROW(Create_TC_Web!$C$1:$C$500),ROW(Create_TC_Web!$C$1:$C$500)),""),ROW(Create_TC_Web!B424))),"")</f>
        <v/>
      </c>
      <c r="B424" t="str" cm="1">
        <f t="array" ref="B424">SUBSTITUTE(SUBSTITUTE(SUBSTITUTE(IFERROR(INDEX(Create_TC_Web!E$1:E$505,SMALL(IF(Create_TC_Web!$C$1:$C$505&lt;&gt;"",MATCH(ROW(Create_TC_Web!$C$1:$C$505),ROW(Create_TC_Web!$C$1:$C$505)),""),ROW(Create_TC_Web!C424))),"")," ",""),"-",""),"_","")</f>
        <v/>
      </c>
      <c r="C424" t="str" cm="1">
        <f t="array" ref="C424">IFERROR(INDEX(Create_TC_Web!F$1:F$500,SMALL(IF(Create_TC_Web!$C$1:$C$500&lt;&gt;"",MATCH(ROW(Create_TC_Web!$C$1:$C$500),ROW(Create_TC_Web!$C$1:$C$500)),""),ROW(Create_TC_Web!D424))),"")</f>
        <v/>
      </c>
      <c r="D424" t="str" cm="1">
        <f t="array" ref="D424">IFERROR(INDEX(Create_TC_Web!G$1:G$500,SMALL(IF(Create_TC_Web!$C$1:$C$500&lt;&gt;"",MATCH(ROW(Create_TC_Web!$C$1:$C$500),ROW(Create_TC_Web!$C$1:$C$500)),""),ROW(Create_TC_Web!E424))),"")</f>
        <v/>
      </c>
      <c r="E424" t="str" cm="1">
        <f t="array" ref="E424">IFERROR(INDEX(Create_TC_Web!H$1:H$500,SMALL(IF(Create_TC_Web!$C$1:$C$500&lt;&gt;"",MATCH(ROW(Create_TC_Web!$C$1:$C$500),ROW(Create_TC_Web!$C$1:$C$500)),""),ROW(Create_TC_Web!F424))),"")</f>
        <v/>
      </c>
      <c r="F424" t="str" cm="1">
        <f t="array" ref="F424">IFERROR(INDEX(Create_TC_Web!I$1:I$500,SMALL(IF(Create_TC_Web!$C$1:$C$500&lt;&gt;"",MATCH(ROW(Create_TC_Web!$C$1:$C$500),ROW(Create_TC_Web!$C$1:$C$500)),""),ROW(Create_TC_Web!G424))),"")</f>
        <v/>
      </c>
      <c r="G424" t="str" cm="1">
        <f t="array" ref="G424">IFERROR(INDEX(Create_TC_Web!J$1:J$500,SMALL(IF(Create_TC_Web!$C$1:$C$500&lt;&gt;"",MATCH(ROW(Create_TC_Web!$C$1:$C$500),ROW(Create_TC_Web!$C$1:$C$500)),""),ROW(Create_TC_Web!H424))),"")</f>
        <v/>
      </c>
      <c r="H424" t="str" cm="1">
        <f t="array" ref="H424">IFERROR(INDEX(Create_TC_Web!K$1:K$500,SMALL(IF(Create_TC_Web!$C$1:$C$500&lt;&gt;"",MATCH(ROW(Create_TC_Web!$C$1:$C$500),ROW(Create_TC_Web!$C$1:$C$500)),""),ROW(Create_TC_Web!I424))),"")</f>
        <v/>
      </c>
      <c r="I424" t="str" cm="1">
        <f t="array" ref="I424">IFERROR(INDEX(Create_TC_Web!L$1:L$500,SMALL(IF(Create_TC_Web!$C$1:$C$500&lt;&gt;"",MATCH(ROW(Create_TC_Web!$C$1:$C$500),ROW(Create_TC_Web!$C$1:$C$500)),""),ROW(Create_TC_Web!J424))),"")</f>
        <v/>
      </c>
      <c r="J424" t="str" cm="1">
        <f t="array" ref="J424">IFERROR(INDEX(Create_TC_Web!M$1:M$500,SMALL(IF(Create_TC_Web!$C$1:$C$500&lt;&gt;"",MATCH(ROW(Create_TC_Web!$C$1:$C$500),ROW(Create_TC_Web!$C$1:$C$500)),""),ROW(Create_TC_Web!K424))),"")</f>
        <v/>
      </c>
      <c r="K424" t="str" cm="1">
        <f t="array" ref="K424">IFERROR(INDEX(Create_TC_Web!N$1:N$500,SMALL(IF(Create_TC_Web!$C$1:$C$500&lt;&gt;"",MATCH(ROW(Create_TC_Web!$C$1:$C$500),ROW(Create_TC_Web!$C$1:$C$500)),""),ROW(Create_TC_Web!L424))),"")</f>
        <v/>
      </c>
      <c r="L424" t="str" cm="1">
        <f t="array" ref="L424">IFERROR(INDEX(Create_TC_Web!O$1:O$500,SMALL(IF(Create_TC_Web!$C$1:$C$500&lt;&gt;"",MATCH(ROW(Create_TC_Web!$C$1:$C$500),ROW(Create_TC_Web!$C$1:$C$500)),""),ROW(Create_TC_Web!M424))),"")</f>
        <v/>
      </c>
      <c r="M424" t="str" cm="1">
        <f t="array" ref="M424">IFERROR(INDEX(Create_TC_Web!P$1:P$500,SMALL(IF(Create_TC_Web!$C$1:$C$500&lt;&gt;"",MATCH(ROW(Create_TC_Web!$C$1:$C$500),ROW(Create_TC_Web!$C$1:$C$500)),""),ROW(Create_TC_Web!N424))),"")</f>
        <v/>
      </c>
      <c r="N424" t="str" cm="1">
        <f t="array" ref="N424">IFERROR(INDEX(Create_TC_Web!Q$1:Q$500,SMALL(IF(Create_TC_Web!$C$1:$C$500&lt;&gt;"",MATCH(ROW(Create_TC_Web!$C$1:$C$500),ROW(Create_TC_Web!$C$1:$C$500)),""),ROW(Create_TC_Web!O424))),"")</f>
        <v/>
      </c>
      <c r="O424" t="str">
        <f t="shared" si="19"/>
        <v/>
      </c>
      <c r="P424" s="17" t="str" cm="1">
        <f t="array" ref="P424">IFERROR(INDEX(Create_TC_Web!S$1:S$500,SMALL(IF(Create_TC_Web!$C$1:$C$500&lt;&gt;"",MATCH(ROW(Create_TC_Web!$C$1:$C$500),ROW(Create_TC_Web!$C$1:$C$500)),""),ROW(Create_TC_Web!Q402))),"")</f>
        <v/>
      </c>
      <c r="S424" t="str">
        <f t="shared" si="20"/>
        <v/>
      </c>
    </row>
    <row r="425" spans="1:19">
      <c r="A425" t="str" cm="1">
        <f t="array" ref="A425">IFERROR(INDEX(Create_TC_Web!D$1:D$500,SMALL(IF(Create_TC_Web!$C$1:$C$500&lt;&gt;"",MATCH(ROW(Create_TC_Web!$C$1:$C$500),ROW(Create_TC_Web!$C$1:$C$500)),""),ROW(Create_TC_Web!B425))),"")</f>
        <v/>
      </c>
      <c r="B425" t="str" cm="1">
        <f t="array" ref="B425">SUBSTITUTE(SUBSTITUTE(SUBSTITUTE(IFERROR(INDEX(Create_TC_Web!E$1:E$505,SMALL(IF(Create_TC_Web!$C$1:$C$505&lt;&gt;"",MATCH(ROW(Create_TC_Web!$C$1:$C$505),ROW(Create_TC_Web!$C$1:$C$505)),""),ROW(Create_TC_Web!C425))),"")," ",""),"-",""),"_","")</f>
        <v/>
      </c>
      <c r="C425" t="str" cm="1">
        <f t="array" ref="C425">IFERROR(INDEX(Create_TC_Web!F$1:F$500,SMALL(IF(Create_TC_Web!$C$1:$C$500&lt;&gt;"",MATCH(ROW(Create_TC_Web!$C$1:$C$500),ROW(Create_TC_Web!$C$1:$C$500)),""),ROW(Create_TC_Web!D425))),"")</f>
        <v/>
      </c>
      <c r="D425" t="str" cm="1">
        <f t="array" ref="D425">IFERROR(INDEX(Create_TC_Web!G$1:G$500,SMALL(IF(Create_TC_Web!$C$1:$C$500&lt;&gt;"",MATCH(ROW(Create_TC_Web!$C$1:$C$500),ROW(Create_TC_Web!$C$1:$C$500)),""),ROW(Create_TC_Web!E425))),"")</f>
        <v/>
      </c>
      <c r="E425" t="str" cm="1">
        <f t="array" ref="E425">IFERROR(INDEX(Create_TC_Web!H$1:H$500,SMALL(IF(Create_TC_Web!$C$1:$C$500&lt;&gt;"",MATCH(ROW(Create_TC_Web!$C$1:$C$500),ROW(Create_TC_Web!$C$1:$C$500)),""),ROW(Create_TC_Web!F425))),"")</f>
        <v/>
      </c>
      <c r="F425" t="str" cm="1">
        <f t="array" ref="F425">IFERROR(INDEX(Create_TC_Web!I$1:I$500,SMALL(IF(Create_TC_Web!$C$1:$C$500&lt;&gt;"",MATCH(ROW(Create_TC_Web!$C$1:$C$500),ROW(Create_TC_Web!$C$1:$C$500)),""),ROW(Create_TC_Web!G425))),"")</f>
        <v/>
      </c>
      <c r="G425" t="str" cm="1">
        <f t="array" ref="G425">IFERROR(INDEX(Create_TC_Web!J$1:J$500,SMALL(IF(Create_TC_Web!$C$1:$C$500&lt;&gt;"",MATCH(ROW(Create_TC_Web!$C$1:$C$500),ROW(Create_TC_Web!$C$1:$C$500)),""),ROW(Create_TC_Web!H425))),"")</f>
        <v/>
      </c>
      <c r="H425" t="str" cm="1">
        <f t="array" ref="H425">IFERROR(INDEX(Create_TC_Web!K$1:K$500,SMALL(IF(Create_TC_Web!$C$1:$C$500&lt;&gt;"",MATCH(ROW(Create_TC_Web!$C$1:$C$500),ROW(Create_TC_Web!$C$1:$C$500)),""),ROW(Create_TC_Web!I425))),"")</f>
        <v/>
      </c>
      <c r="I425" t="str" cm="1">
        <f t="array" ref="I425">IFERROR(INDEX(Create_TC_Web!L$1:L$500,SMALL(IF(Create_TC_Web!$C$1:$C$500&lt;&gt;"",MATCH(ROW(Create_TC_Web!$C$1:$C$500),ROW(Create_TC_Web!$C$1:$C$500)),""),ROW(Create_TC_Web!J425))),"")</f>
        <v/>
      </c>
      <c r="J425" t="str" cm="1">
        <f t="array" ref="J425">IFERROR(INDEX(Create_TC_Web!M$1:M$500,SMALL(IF(Create_TC_Web!$C$1:$C$500&lt;&gt;"",MATCH(ROW(Create_TC_Web!$C$1:$C$500),ROW(Create_TC_Web!$C$1:$C$500)),""),ROW(Create_TC_Web!K425))),"")</f>
        <v/>
      </c>
      <c r="K425" t="str" cm="1">
        <f t="array" ref="K425">IFERROR(INDEX(Create_TC_Web!N$1:N$500,SMALL(IF(Create_TC_Web!$C$1:$C$500&lt;&gt;"",MATCH(ROW(Create_TC_Web!$C$1:$C$500),ROW(Create_TC_Web!$C$1:$C$500)),""),ROW(Create_TC_Web!L425))),"")</f>
        <v/>
      </c>
      <c r="L425" t="str" cm="1">
        <f t="array" ref="L425">IFERROR(INDEX(Create_TC_Web!O$1:O$500,SMALL(IF(Create_TC_Web!$C$1:$C$500&lt;&gt;"",MATCH(ROW(Create_TC_Web!$C$1:$C$500),ROW(Create_TC_Web!$C$1:$C$500)),""),ROW(Create_TC_Web!M425))),"")</f>
        <v/>
      </c>
      <c r="M425" t="str" cm="1">
        <f t="array" ref="M425">IFERROR(INDEX(Create_TC_Web!P$1:P$500,SMALL(IF(Create_TC_Web!$C$1:$C$500&lt;&gt;"",MATCH(ROW(Create_TC_Web!$C$1:$C$500),ROW(Create_TC_Web!$C$1:$C$500)),""),ROW(Create_TC_Web!N425))),"")</f>
        <v/>
      </c>
      <c r="N425" t="str" cm="1">
        <f t="array" ref="N425">IFERROR(INDEX(Create_TC_Web!Q$1:Q$500,SMALL(IF(Create_TC_Web!$C$1:$C$500&lt;&gt;"",MATCH(ROW(Create_TC_Web!$C$1:$C$500),ROW(Create_TC_Web!$C$1:$C$500)),""),ROW(Create_TC_Web!O425))),"")</f>
        <v/>
      </c>
      <c r="O425" t="str">
        <f t="shared" si="19"/>
        <v/>
      </c>
      <c r="P425" s="17" t="str" cm="1">
        <f t="array" ref="P425">IFERROR(INDEX(Create_TC_Web!S$1:S$500,SMALL(IF(Create_TC_Web!$C$1:$C$500&lt;&gt;"",MATCH(ROW(Create_TC_Web!$C$1:$C$500),ROW(Create_TC_Web!$C$1:$C$500)),""),ROW(Create_TC_Web!Q403))),"")</f>
        <v/>
      </c>
      <c r="S425" t="str">
        <f t="shared" si="20"/>
        <v/>
      </c>
    </row>
    <row r="426" spans="1:19">
      <c r="A426" t="str" cm="1">
        <f t="array" ref="A426">IFERROR(INDEX(Create_TC_Web!D$1:D$500,SMALL(IF(Create_TC_Web!$C$1:$C$500&lt;&gt;"",MATCH(ROW(Create_TC_Web!$C$1:$C$500),ROW(Create_TC_Web!$C$1:$C$500)),""),ROW(Create_TC_Web!B426))),"")</f>
        <v/>
      </c>
      <c r="B426" t="str" cm="1">
        <f t="array" ref="B426">SUBSTITUTE(SUBSTITUTE(SUBSTITUTE(IFERROR(INDEX(Create_TC_Web!E$1:E$505,SMALL(IF(Create_TC_Web!$C$1:$C$505&lt;&gt;"",MATCH(ROW(Create_TC_Web!$C$1:$C$505),ROW(Create_TC_Web!$C$1:$C$505)),""),ROW(Create_TC_Web!C426))),"")," ",""),"-",""),"_","")</f>
        <v/>
      </c>
      <c r="C426" t="str" cm="1">
        <f t="array" ref="C426">IFERROR(INDEX(Create_TC_Web!F$1:F$500,SMALL(IF(Create_TC_Web!$C$1:$C$500&lt;&gt;"",MATCH(ROW(Create_TC_Web!$C$1:$C$500),ROW(Create_TC_Web!$C$1:$C$500)),""),ROW(Create_TC_Web!D426))),"")</f>
        <v/>
      </c>
      <c r="D426" t="str" cm="1">
        <f t="array" ref="D426">IFERROR(INDEX(Create_TC_Web!G$1:G$500,SMALL(IF(Create_TC_Web!$C$1:$C$500&lt;&gt;"",MATCH(ROW(Create_TC_Web!$C$1:$C$500),ROW(Create_TC_Web!$C$1:$C$500)),""),ROW(Create_TC_Web!E426))),"")</f>
        <v/>
      </c>
      <c r="E426" t="str" cm="1">
        <f t="array" ref="E426">IFERROR(INDEX(Create_TC_Web!H$1:H$500,SMALL(IF(Create_TC_Web!$C$1:$C$500&lt;&gt;"",MATCH(ROW(Create_TC_Web!$C$1:$C$500),ROW(Create_TC_Web!$C$1:$C$500)),""),ROW(Create_TC_Web!F426))),"")</f>
        <v/>
      </c>
      <c r="F426" t="str" cm="1">
        <f t="array" ref="F426">IFERROR(INDEX(Create_TC_Web!I$1:I$500,SMALL(IF(Create_TC_Web!$C$1:$C$500&lt;&gt;"",MATCH(ROW(Create_TC_Web!$C$1:$C$500),ROW(Create_TC_Web!$C$1:$C$500)),""),ROW(Create_TC_Web!G426))),"")</f>
        <v/>
      </c>
      <c r="G426" t="str" cm="1">
        <f t="array" ref="G426">IFERROR(INDEX(Create_TC_Web!J$1:J$500,SMALL(IF(Create_TC_Web!$C$1:$C$500&lt;&gt;"",MATCH(ROW(Create_TC_Web!$C$1:$C$500),ROW(Create_TC_Web!$C$1:$C$500)),""),ROW(Create_TC_Web!H426))),"")</f>
        <v/>
      </c>
      <c r="H426" t="str" cm="1">
        <f t="array" ref="H426">IFERROR(INDEX(Create_TC_Web!K$1:K$500,SMALL(IF(Create_TC_Web!$C$1:$C$500&lt;&gt;"",MATCH(ROW(Create_TC_Web!$C$1:$C$500),ROW(Create_TC_Web!$C$1:$C$500)),""),ROW(Create_TC_Web!I426))),"")</f>
        <v/>
      </c>
      <c r="I426" t="str" cm="1">
        <f t="array" ref="I426">IFERROR(INDEX(Create_TC_Web!L$1:L$500,SMALL(IF(Create_TC_Web!$C$1:$C$500&lt;&gt;"",MATCH(ROW(Create_TC_Web!$C$1:$C$500),ROW(Create_TC_Web!$C$1:$C$500)),""),ROW(Create_TC_Web!J426))),"")</f>
        <v/>
      </c>
      <c r="J426" t="str" cm="1">
        <f t="array" ref="J426">IFERROR(INDEX(Create_TC_Web!M$1:M$500,SMALL(IF(Create_TC_Web!$C$1:$C$500&lt;&gt;"",MATCH(ROW(Create_TC_Web!$C$1:$C$500),ROW(Create_TC_Web!$C$1:$C$500)),""),ROW(Create_TC_Web!K426))),"")</f>
        <v/>
      </c>
      <c r="K426" t="str" cm="1">
        <f t="array" ref="K426">IFERROR(INDEX(Create_TC_Web!N$1:N$500,SMALL(IF(Create_TC_Web!$C$1:$C$500&lt;&gt;"",MATCH(ROW(Create_TC_Web!$C$1:$C$500),ROW(Create_TC_Web!$C$1:$C$500)),""),ROW(Create_TC_Web!L426))),"")</f>
        <v/>
      </c>
      <c r="L426" t="str" cm="1">
        <f t="array" ref="L426">IFERROR(INDEX(Create_TC_Web!O$1:O$500,SMALL(IF(Create_TC_Web!$C$1:$C$500&lt;&gt;"",MATCH(ROW(Create_TC_Web!$C$1:$C$500),ROW(Create_TC_Web!$C$1:$C$500)),""),ROW(Create_TC_Web!M426))),"")</f>
        <v/>
      </c>
      <c r="M426" t="str" cm="1">
        <f t="array" ref="M426">IFERROR(INDEX(Create_TC_Web!P$1:P$500,SMALL(IF(Create_TC_Web!$C$1:$C$500&lt;&gt;"",MATCH(ROW(Create_TC_Web!$C$1:$C$500),ROW(Create_TC_Web!$C$1:$C$500)),""),ROW(Create_TC_Web!N426))),"")</f>
        <v/>
      </c>
      <c r="N426" t="str" cm="1">
        <f t="array" ref="N426">IFERROR(INDEX(Create_TC_Web!Q$1:Q$500,SMALL(IF(Create_TC_Web!$C$1:$C$500&lt;&gt;"",MATCH(ROW(Create_TC_Web!$C$1:$C$500),ROW(Create_TC_Web!$C$1:$C$500)),""),ROW(Create_TC_Web!O426))),"")</f>
        <v/>
      </c>
      <c r="O426" t="str">
        <f t="shared" si="19"/>
        <v/>
      </c>
      <c r="P426" s="17" t="str" cm="1">
        <f t="array" ref="P426">IFERROR(INDEX(Create_TC_Web!S$1:S$500,SMALL(IF(Create_TC_Web!$C$1:$C$500&lt;&gt;"",MATCH(ROW(Create_TC_Web!$C$1:$C$500),ROW(Create_TC_Web!$C$1:$C$500)),""),ROW(Create_TC_Web!Q404))),"")</f>
        <v/>
      </c>
      <c r="S426" t="str">
        <f t="shared" si="20"/>
        <v/>
      </c>
    </row>
    <row r="427" spans="1:19">
      <c r="A427" t="str" cm="1">
        <f t="array" ref="A427">IFERROR(INDEX(Create_TC_Web!D$1:D$500,SMALL(IF(Create_TC_Web!$C$1:$C$500&lt;&gt;"",MATCH(ROW(Create_TC_Web!$C$1:$C$500),ROW(Create_TC_Web!$C$1:$C$500)),""),ROW(Create_TC_Web!B427))),"")</f>
        <v/>
      </c>
      <c r="B427" t="str" cm="1">
        <f t="array" ref="B427">SUBSTITUTE(SUBSTITUTE(SUBSTITUTE(IFERROR(INDEX(Create_TC_Web!E$1:E$505,SMALL(IF(Create_TC_Web!$C$1:$C$505&lt;&gt;"",MATCH(ROW(Create_TC_Web!$C$1:$C$505),ROW(Create_TC_Web!$C$1:$C$505)),""),ROW(Create_TC_Web!C427))),"")," ",""),"-",""),"_","")</f>
        <v/>
      </c>
      <c r="C427" t="str" cm="1">
        <f t="array" ref="C427">IFERROR(INDEX(Create_TC_Web!F$1:F$500,SMALL(IF(Create_TC_Web!$C$1:$C$500&lt;&gt;"",MATCH(ROW(Create_TC_Web!$C$1:$C$500),ROW(Create_TC_Web!$C$1:$C$500)),""),ROW(Create_TC_Web!D427))),"")</f>
        <v/>
      </c>
      <c r="D427" t="str" cm="1">
        <f t="array" ref="D427">IFERROR(INDEX(Create_TC_Web!G$1:G$500,SMALL(IF(Create_TC_Web!$C$1:$C$500&lt;&gt;"",MATCH(ROW(Create_TC_Web!$C$1:$C$500),ROW(Create_TC_Web!$C$1:$C$500)),""),ROW(Create_TC_Web!E427))),"")</f>
        <v/>
      </c>
      <c r="E427" t="str" cm="1">
        <f t="array" ref="E427">IFERROR(INDEX(Create_TC_Web!H$1:H$500,SMALL(IF(Create_TC_Web!$C$1:$C$500&lt;&gt;"",MATCH(ROW(Create_TC_Web!$C$1:$C$500),ROW(Create_TC_Web!$C$1:$C$500)),""),ROW(Create_TC_Web!F427))),"")</f>
        <v/>
      </c>
      <c r="F427" t="str" cm="1">
        <f t="array" ref="F427">IFERROR(INDEX(Create_TC_Web!I$1:I$500,SMALL(IF(Create_TC_Web!$C$1:$C$500&lt;&gt;"",MATCH(ROW(Create_TC_Web!$C$1:$C$500),ROW(Create_TC_Web!$C$1:$C$500)),""),ROW(Create_TC_Web!G427))),"")</f>
        <v/>
      </c>
      <c r="G427" t="str" cm="1">
        <f t="array" ref="G427">IFERROR(INDEX(Create_TC_Web!J$1:J$500,SMALL(IF(Create_TC_Web!$C$1:$C$500&lt;&gt;"",MATCH(ROW(Create_TC_Web!$C$1:$C$500),ROW(Create_TC_Web!$C$1:$C$500)),""),ROW(Create_TC_Web!H427))),"")</f>
        <v/>
      </c>
      <c r="H427" t="str" cm="1">
        <f t="array" ref="H427">IFERROR(INDEX(Create_TC_Web!K$1:K$500,SMALL(IF(Create_TC_Web!$C$1:$C$500&lt;&gt;"",MATCH(ROW(Create_TC_Web!$C$1:$C$500),ROW(Create_TC_Web!$C$1:$C$500)),""),ROW(Create_TC_Web!I427))),"")</f>
        <v/>
      </c>
      <c r="I427" t="str" cm="1">
        <f t="array" ref="I427">IFERROR(INDEX(Create_TC_Web!L$1:L$500,SMALL(IF(Create_TC_Web!$C$1:$C$500&lt;&gt;"",MATCH(ROW(Create_TC_Web!$C$1:$C$500),ROW(Create_TC_Web!$C$1:$C$500)),""),ROW(Create_TC_Web!J427))),"")</f>
        <v/>
      </c>
      <c r="J427" t="str" cm="1">
        <f t="array" ref="J427">IFERROR(INDEX(Create_TC_Web!M$1:M$500,SMALL(IF(Create_TC_Web!$C$1:$C$500&lt;&gt;"",MATCH(ROW(Create_TC_Web!$C$1:$C$500),ROW(Create_TC_Web!$C$1:$C$500)),""),ROW(Create_TC_Web!K427))),"")</f>
        <v/>
      </c>
      <c r="K427" t="str" cm="1">
        <f t="array" ref="K427">IFERROR(INDEX(Create_TC_Web!N$1:N$500,SMALL(IF(Create_TC_Web!$C$1:$C$500&lt;&gt;"",MATCH(ROW(Create_TC_Web!$C$1:$C$500),ROW(Create_TC_Web!$C$1:$C$500)),""),ROW(Create_TC_Web!L427))),"")</f>
        <v/>
      </c>
      <c r="L427" t="str" cm="1">
        <f t="array" ref="L427">IFERROR(INDEX(Create_TC_Web!O$1:O$500,SMALL(IF(Create_TC_Web!$C$1:$C$500&lt;&gt;"",MATCH(ROW(Create_TC_Web!$C$1:$C$500),ROW(Create_TC_Web!$C$1:$C$500)),""),ROW(Create_TC_Web!M427))),"")</f>
        <v/>
      </c>
      <c r="M427" t="str" cm="1">
        <f t="array" ref="M427">IFERROR(INDEX(Create_TC_Web!P$1:P$500,SMALL(IF(Create_TC_Web!$C$1:$C$500&lt;&gt;"",MATCH(ROW(Create_TC_Web!$C$1:$C$500),ROW(Create_TC_Web!$C$1:$C$500)),""),ROW(Create_TC_Web!N427))),"")</f>
        <v/>
      </c>
      <c r="N427" t="str" cm="1">
        <f t="array" ref="N427">IFERROR(INDEX(Create_TC_Web!Q$1:Q$500,SMALL(IF(Create_TC_Web!$C$1:$C$500&lt;&gt;"",MATCH(ROW(Create_TC_Web!$C$1:$C$500),ROW(Create_TC_Web!$C$1:$C$500)),""),ROW(Create_TC_Web!O427))),"")</f>
        <v/>
      </c>
      <c r="O427" t="str">
        <f t="shared" si="19"/>
        <v/>
      </c>
      <c r="P427" s="17" t="str" cm="1">
        <f t="array" ref="P427">IFERROR(INDEX(Create_TC_Web!S$1:S$500,SMALL(IF(Create_TC_Web!$C$1:$C$500&lt;&gt;"",MATCH(ROW(Create_TC_Web!$C$1:$C$500),ROW(Create_TC_Web!$C$1:$C$500)),""),ROW(Create_TC_Web!Q405))),"")</f>
        <v/>
      </c>
      <c r="S427" t="str">
        <f t="shared" si="20"/>
        <v/>
      </c>
    </row>
    <row r="428" spans="1:19">
      <c r="A428" t="str" cm="1">
        <f t="array" ref="A428">IFERROR(INDEX(Create_TC_Web!D$1:D$500,SMALL(IF(Create_TC_Web!$C$1:$C$500&lt;&gt;"",MATCH(ROW(Create_TC_Web!$C$1:$C$500),ROW(Create_TC_Web!$C$1:$C$500)),""),ROW(Create_TC_Web!B428))),"")</f>
        <v/>
      </c>
      <c r="B428" t="str" cm="1">
        <f t="array" ref="B428">SUBSTITUTE(SUBSTITUTE(SUBSTITUTE(IFERROR(INDEX(Create_TC_Web!E$1:E$505,SMALL(IF(Create_TC_Web!$C$1:$C$505&lt;&gt;"",MATCH(ROW(Create_TC_Web!$C$1:$C$505),ROW(Create_TC_Web!$C$1:$C$505)),""),ROW(Create_TC_Web!C428))),"")," ",""),"-",""),"_","")</f>
        <v/>
      </c>
      <c r="C428" t="str" cm="1">
        <f t="array" ref="C428">IFERROR(INDEX(Create_TC_Web!F$1:F$500,SMALL(IF(Create_TC_Web!$C$1:$C$500&lt;&gt;"",MATCH(ROW(Create_TC_Web!$C$1:$C$500),ROW(Create_TC_Web!$C$1:$C$500)),""),ROW(Create_TC_Web!D428))),"")</f>
        <v/>
      </c>
      <c r="D428" t="str" cm="1">
        <f t="array" ref="D428">IFERROR(INDEX(Create_TC_Web!G$1:G$500,SMALL(IF(Create_TC_Web!$C$1:$C$500&lt;&gt;"",MATCH(ROW(Create_TC_Web!$C$1:$C$500),ROW(Create_TC_Web!$C$1:$C$500)),""),ROW(Create_TC_Web!E428))),"")</f>
        <v/>
      </c>
      <c r="E428" t="str" cm="1">
        <f t="array" ref="E428">IFERROR(INDEX(Create_TC_Web!H$1:H$500,SMALL(IF(Create_TC_Web!$C$1:$C$500&lt;&gt;"",MATCH(ROW(Create_TC_Web!$C$1:$C$500),ROW(Create_TC_Web!$C$1:$C$500)),""),ROW(Create_TC_Web!F428))),"")</f>
        <v/>
      </c>
      <c r="F428" t="str" cm="1">
        <f t="array" ref="F428">IFERROR(INDEX(Create_TC_Web!I$1:I$500,SMALL(IF(Create_TC_Web!$C$1:$C$500&lt;&gt;"",MATCH(ROW(Create_TC_Web!$C$1:$C$500),ROW(Create_TC_Web!$C$1:$C$500)),""),ROW(Create_TC_Web!G428))),"")</f>
        <v/>
      </c>
      <c r="G428" t="str" cm="1">
        <f t="array" ref="G428">IFERROR(INDEX(Create_TC_Web!J$1:J$500,SMALL(IF(Create_TC_Web!$C$1:$C$500&lt;&gt;"",MATCH(ROW(Create_TC_Web!$C$1:$C$500),ROW(Create_TC_Web!$C$1:$C$500)),""),ROW(Create_TC_Web!H428))),"")</f>
        <v/>
      </c>
      <c r="H428" t="str" cm="1">
        <f t="array" ref="H428">IFERROR(INDEX(Create_TC_Web!K$1:K$500,SMALL(IF(Create_TC_Web!$C$1:$C$500&lt;&gt;"",MATCH(ROW(Create_TC_Web!$C$1:$C$500),ROW(Create_TC_Web!$C$1:$C$500)),""),ROW(Create_TC_Web!I428))),"")</f>
        <v/>
      </c>
      <c r="I428" t="str" cm="1">
        <f t="array" ref="I428">IFERROR(INDEX(Create_TC_Web!L$1:L$500,SMALL(IF(Create_TC_Web!$C$1:$C$500&lt;&gt;"",MATCH(ROW(Create_TC_Web!$C$1:$C$500),ROW(Create_TC_Web!$C$1:$C$500)),""),ROW(Create_TC_Web!J428))),"")</f>
        <v/>
      </c>
      <c r="J428" t="str" cm="1">
        <f t="array" ref="J428">IFERROR(INDEX(Create_TC_Web!M$1:M$500,SMALL(IF(Create_TC_Web!$C$1:$C$500&lt;&gt;"",MATCH(ROW(Create_TC_Web!$C$1:$C$500),ROW(Create_TC_Web!$C$1:$C$500)),""),ROW(Create_TC_Web!K428))),"")</f>
        <v/>
      </c>
      <c r="K428" t="str" cm="1">
        <f t="array" ref="K428">IFERROR(INDEX(Create_TC_Web!N$1:N$500,SMALL(IF(Create_TC_Web!$C$1:$C$500&lt;&gt;"",MATCH(ROW(Create_TC_Web!$C$1:$C$500),ROW(Create_TC_Web!$C$1:$C$500)),""),ROW(Create_TC_Web!L428))),"")</f>
        <v/>
      </c>
      <c r="L428" t="str" cm="1">
        <f t="array" ref="L428">IFERROR(INDEX(Create_TC_Web!O$1:O$500,SMALL(IF(Create_TC_Web!$C$1:$C$500&lt;&gt;"",MATCH(ROW(Create_TC_Web!$C$1:$C$500),ROW(Create_TC_Web!$C$1:$C$500)),""),ROW(Create_TC_Web!M428))),"")</f>
        <v/>
      </c>
      <c r="M428" t="str" cm="1">
        <f t="array" ref="M428">IFERROR(INDEX(Create_TC_Web!P$1:P$500,SMALL(IF(Create_TC_Web!$C$1:$C$500&lt;&gt;"",MATCH(ROW(Create_TC_Web!$C$1:$C$500),ROW(Create_TC_Web!$C$1:$C$500)),""),ROW(Create_TC_Web!N428))),"")</f>
        <v/>
      </c>
      <c r="N428" t="str" cm="1">
        <f t="array" ref="N428">IFERROR(INDEX(Create_TC_Web!Q$1:Q$500,SMALL(IF(Create_TC_Web!$C$1:$C$500&lt;&gt;"",MATCH(ROW(Create_TC_Web!$C$1:$C$500),ROW(Create_TC_Web!$C$1:$C$500)),""),ROW(Create_TC_Web!O428))),"")</f>
        <v/>
      </c>
      <c r="O428" t="str">
        <f t="shared" si="19"/>
        <v/>
      </c>
      <c r="P428" s="17" t="str" cm="1">
        <f t="array" ref="P428">IFERROR(INDEX(Create_TC_Web!S$1:S$500,SMALL(IF(Create_TC_Web!$C$1:$C$500&lt;&gt;"",MATCH(ROW(Create_TC_Web!$C$1:$C$500),ROW(Create_TC_Web!$C$1:$C$500)),""),ROW(Create_TC_Web!Q406))),"")</f>
        <v/>
      </c>
      <c r="S428" t="str">
        <f t="shared" si="20"/>
        <v/>
      </c>
    </row>
    <row r="429" spans="1:19">
      <c r="A429" t="str" cm="1">
        <f t="array" ref="A429">IFERROR(INDEX(Create_TC_Web!D$1:D$500,SMALL(IF(Create_TC_Web!$C$1:$C$500&lt;&gt;"",MATCH(ROW(Create_TC_Web!$C$1:$C$500),ROW(Create_TC_Web!$C$1:$C$500)),""),ROW(Create_TC_Web!B429))),"")</f>
        <v/>
      </c>
      <c r="B429" t="str" cm="1">
        <f t="array" ref="B429">SUBSTITUTE(SUBSTITUTE(SUBSTITUTE(IFERROR(INDEX(Create_TC_Web!E$1:E$505,SMALL(IF(Create_TC_Web!$C$1:$C$505&lt;&gt;"",MATCH(ROW(Create_TC_Web!$C$1:$C$505),ROW(Create_TC_Web!$C$1:$C$505)),""),ROW(Create_TC_Web!C429))),"")," ",""),"-",""),"_","")</f>
        <v/>
      </c>
      <c r="C429" t="str" cm="1">
        <f t="array" ref="C429">IFERROR(INDEX(Create_TC_Web!F$1:F$500,SMALL(IF(Create_TC_Web!$C$1:$C$500&lt;&gt;"",MATCH(ROW(Create_TC_Web!$C$1:$C$500),ROW(Create_TC_Web!$C$1:$C$500)),""),ROW(Create_TC_Web!D429))),"")</f>
        <v/>
      </c>
      <c r="D429" t="str" cm="1">
        <f t="array" ref="D429">IFERROR(INDEX(Create_TC_Web!G$1:G$500,SMALL(IF(Create_TC_Web!$C$1:$C$500&lt;&gt;"",MATCH(ROW(Create_TC_Web!$C$1:$C$500),ROW(Create_TC_Web!$C$1:$C$500)),""),ROW(Create_TC_Web!E429))),"")</f>
        <v/>
      </c>
      <c r="E429" t="str" cm="1">
        <f t="array" ref="E429">IFERROR(INDEX(Create_TC_Web!H$1:H$500,SMALL(IF(Create_TC_Web!$C$1:$C$500&lt;&gt;"",MATCH(ROW(Create_TC_Web!$C$1:$C$500),ROW(Create_TC_Web!$C$1:$C$500)),""),ROW(Create_TC_Web!F429))),"")</f>
        <v/>
      </c>
      <c r="F429" t="str" cm="1">
        <f t="array" ref="F429">IFERROR(INDEX(Create_TC_Web!I$1:I$500,SMALL(IF(Create_TC_Web!$C$1:$C$500&lt;&gt;"",MATCH(ROW(Create_TC_Web!$C$1:$C$500),ROW(Create_TC_Web!$C$1:$C$500)),""),ROW(Create_TC_Web!G429))),"")</f>
        <v/>
      </c>
      <c r="G429" t="str" cm="1">
        <f t="array" ref="G429">IFERROR(INDEX(Create_TC_Web!J$1:J$500,SMALL(IF(Create_TC_Web!$C$1:$C$500&lt;&gt;"",MATCH(ROW(Create_TC_Web!$C$1:$C$500),ROW(Create_TC_Web!$C$1:$C$500)),""),ROW(Create_TC_Web!H429))),"")</f>
        <v/>
      </c>
      <c r="H429" t="str" cm="1">
        <f t="array" ref="H429">IFERROR(INDEX(Create_TC_Web!K$1:K$500,SMALL(IF(Create_TC_Web!$C$1:$C$500&lt;&gt;"",MATCH(ROW(Create_TC_Web!$C$1:$C$500),ROW(Create_TC_Web!$C$1:$C$500)),""),ROW(Create_TC_Web!I429))),"")</f>
        <v/>
      </c>
      <c r="I429" t="str" cm="1">
        <f t="array" ref="I429">IFERROR(INDEX(Create_TC_Web!L$1:L$500,SMALL(IF(Create_TC_Web!$C$1:$C$500&lt;&gt;"",MATCH(ROW(Create_TC_Web!$C$1:$C$500),ROW(Create_TC_Web!$C$1:$C$500)),""),ROW(Create_TC_Web!J429))),"")</f>
        <v/>
      </c>
      <c r="J429" t="str" cm="1">
        <f t="array" ref="J429">IFERROR(INDEX(Create_TC_Web!M$1:M$500,SMALL(IF(Create_TC_Web!$C$1:$C$500&lt;&gt;"",MATCH(ROW(Create_TC_Web!$C$1:$C$500),ROW(Create_TC_Web!$C$1:$C$500)),""),ROW(Create_TC_Web!K429))),"")</f>
        <v/>
      </c>
      <c r="K429" t="str" cm="1">
        <f t="array" ref="K429">IFERROR(INDEX(Create_TC_Web!N$1:N$500,SMALL(IF(Create_TC_Web!$C$1:$C$500&lt;&gt;"",MATCH(ROW(Create_TC_Web!$C$1:$C$500),ROW(Create_TC_Web!$C$1:$C$500)),""),ROW(Create_TC_Web!L429))),"")</f>
        <v/>
      </c>
      <c r="L429" t="str" cm="1">
        <f t="array" ref="L429">IFERROR(INDEX(Create_TC_Web!O$1:O$500,SMALL(IF(Create_TC_Web!$C$1:$C$500&lt;&gt;"",MATCH(ROW(Create_TC_Web!$C$1:$C$500),ROW(Create_TC_Web!$C$1:$C$500)),""),ROW(Create_TC_Web!M429))),"")</f>
        <v/>
      </c>
      <c r="M429" t="str" cm="1">
        <f t="array" ref="M429">IFERROR(INDEX(Create_TC_Web!P$1:P$500,SMALL(IF(Create_TC_Web!$C$1:$C$500&lt;&gt;"",MATCH(ROW(Create_TC_Web!$C$1:$C$500),ROW(Create_TC_Web!$C$1:$C$500)),""),ROW(Create_TC_Web!N429))),"")</f>
        <v/>
      </c>
      <c r="N429" t="str" cm="1">
        <f t="array" ref="N429">IFERROR(INDEX(Create_TC_Web!Q$1:Q$500,SMALL(IF(Create_TC_Web!$C$1:$C$500&lt;&gt;"",MATCH(ROW(Create_TC_Web!$C$1:$C$500),ROW(Create_TC_Web!$C$1:$C$500)),""),ROW(Create_TC_Web!O429))),"")</f>
        <v/>
      </c>
      <c r="O429" t="str">
        <f t="shared" si="19"/>
        <v/>
      </c>
      <c r="P429" s="17" t="str" cm="1">
        <f t="array" ref="P429">IFERROR(INDEX(Create_TC_Web!S$1:S$500,SMALL(IF(Create_TC_Web!$C$1:$C$500&lt;&gt;"",MATCH(ROW(Create_TC_Web!$C$1:$C$500),ROW(Create_TC_Web!$C$1:$C$500)),""),ROW(Create_TC_Web!Q407))),"")</f>
        <v/>
      </c>
      <c r="S429" t="str">
        <f t="shared" si="20"/>
        <v/>
      </c>
    </row>
    <row r="430" spans="1:19">
      <c r="A430" t="str" cm="1">
        <f t="array" ref="A430">IFERROR(INDEX(Create_TC_Web!D$1:D$500,SMALL(IF(Create_TC_Web!$C$1:$C$500&lt;&gt;"",MATCH(ROW(Create_TC_Web!$C$1:$C$500),ROW(Create_TC_Web!$C$1:$C$500)),""),ROW(Create_TC_Web!B430))),"")</f>
        <v/>
      </c>
      <c r="B430" t="str" cm="1">
        <f t="array" ref="B430">SUBSTITUTE(SUBSTITUTE(SUBSTITUTE(IFERROR(INDEX(Create_TC_Web!E$1:E$505,SMALL(IF(Create_TC_Web!$C$1:$C$505&lt;&gt;"",MATCH(ROW(Create_TC_Web!$C$1:$C$505),ROW(Create_TC_Web!$C$1:$C$505)),""),ROW(Create_TC_Web!C430))),"")," ",""),"-",""),"_","")</f>
        <v/>
      </c>
      <c r="C430" t="str" cm="1">
        <f t="array" ref="C430">IFERROR(INDEX(Create_TC_Web!F$1:F$500,SMALL(IF(Create_TC_Web!$C$1:$C$500&lt;&gt;"",MATCH(ROW(Create_TC_Web!$C$1:$C$500),ROW(Create_TC_Web!$C$1:$C$500)),""),ROW(Create_TC_Web!D430))),"")</f>
        <v/>
      </c>
      <c r="D430" t="str" cm="1">
        <f t="array" ref="D430">IFERROR(INDEX(Create_TC_Web!G$1:G$500,SMALL(IF(Create_TC_Web!$C$1:$C$500&lt;&gt;"",MATCH(ROW(Create_TC_Web!$C$1:$C$500),ROW(Create_TC_Web!$C$1:$C$500)),""),ROW(Create_TC_Web!E430))),"")</f>
        <v/>
      </c>
      <c r="E430" t="str" cm="1">
        <f t="array" ref="E430">IFERROR(INDEX(Create_TC_Web!H$1:H$500,SMALL(IF(Create_TC_Web!$C$1:$C$500&lt;&gt;"",MATCH(ROW(Create_TC_Web!$C$1:$C$500),ROW(Create_TC_Web!$C$1:$C$500)),""),ROW(Create_TC_Web!F430))),"")</f>
        <v/>
      </c>
      <c r="F430" t="str" cm="1">
        <f t="array" ref="F430">IFERROR(INDEX(Create_TC_Web!I$1:I$500,SMALL(IF(Create_TC_Web!$C$1:$C$500&lt;&gt;"",MATCH(ROW(Create_TC_Web!$C$1:$C$500),ROW(Create_TC_Web!$C$1:$C$500)),""),ROW(Create_TC_Web!G430))),"")</f>
        <v/>
      </c>
      <c r="G430" t="str" cm="1">
        <f t="array" ref="G430">IFERROR(INDEX(Create_TC_Web!J$1:J$500,SMALL(IF(Create_TC_Web!$C$1:$C$500&lt;&gt;"",MATCH(ROW(Create_TC_Web!$C$1:$C$500),ROW(Create_TC_Web!$C$1:$C$500)),""),ROW(Create_TC_Web!H430))),"")</f>
        <v/>
      </c>
      <c r="H430" t="str" cm="1">
        <f t="array" ref="H430">IFERROR(INDEX(Create_TC_Web!K$1:K$500,SMALL(IF(Create_TC_Web!$C$1:$C$500&lt;&gt;"",MATCH(ROW(Create_TC_Web!$C$1:$C$500),ROW(Create_TC_Web!$C$1:$C$500)),""),ROW(Create_TC_Web!I430))),"")</f>
        <v/>
      </c>
      <c r="I430" t="str" cm="1">
        <f t="array" ref="I430">IFERROR(INDEX(Create_TC_Web!L$1:L$500,SMALL(IF(Create_TC_Web!$C$1:$C$500&lt;&gt;"",MATCH(ROW(Create_TC_Web!$C$1:$C$500),ROW(Create_TC_Web!$C$1:$C$500)),""),ROW(Create_TC_Web!J430))),"")</f>
        <v/>
      </c>
      <c r="J430" t="str" cm="1">
        <f t="array" ref="J430">IFERROR(INDEX(Create_TC_Web!M$1:M$500,SMALL(IF(Create_TC_Web!$C$1:$C$500&lt;&gt;"",MATCH(ROW(Create_TC_Web!$C$1:$C$500),ROW(Create_TC_Web!$C$1:$C$500)),""),ROW(Create_TC_Web!K430))),"")</f>
        <v/>
      </c>
      <c r="K430" t="str" cm="1">
        <f t="array" ref="K430">IFERROR(INDEX(Create_TC_Web!N$1:N$500,SMALL(IF(Create_TC_Web!$C$1:$C$500&lt;&gt;"",MATCH(ROW(Create_TC_Web!$C$1:$C$500),ROW(Create_TC_Web!$C$1:$C$500)),""),ROW(Create_TC_Web!L430))),"")</f>
        <v/>
      </c>
      <c r="L430" t="str" cm="1">
        <f t="array" ref="L430">IFERROR(INDEX(Create_TC_Web!O$1:O$500,SMALL(IF(Create_TC_Web!$C$1:$C$500&lt;&gt;"",MATCH(ROW(Create_TC_Web!$C$1:$C$500),ROW(Create_TC_Web!$C$1:$C$500)),""),ROW(Create_TC_Web!M430))),"")</f>
        <v/>
      </c>
      <c r="M430" t="str" cm="1">
        <f t="array" ref="M430">IFERROR(INDEX(Create_TC_Web!P$1:P$500,SMALL(IF(Create_TC_Web!$C$1:$C$500&lt;&gt;"",MATCH(ROW(Create_TC_Web!$C$1:$C$500),ROW(Create_TC_Web!$C$1:$C$500)),""),ROW(Create_TC_Web!N430))),"")</f>
        <v/>
      </c>
      <c r="N430" t="str" cm="1">
        <f t="array" ref="N430">IFERROR(INDEX(Create_TC_Web!Q$1:Q$500,SMALL(IF(Create_TC_Web!$C$1:$C$500&lt;&gt;"",MATCH(ROW(Create_TC_Web!$C$1:$C$500),ROW(Create_TC_Web!$C$1:$C$500)),""),ROW(Create_TC_Web!O430))),"")</f>
        <v/>
      </c>
      <c r="O430" t="str">
        <f t="shared" si="19"/>
        <v/>
      </c>
      <c r="P430" s="17" t="str" cm="1">
        <f t="array" ref="P430">IFERROR(INDEX(Create_TC_Web!S$1:S$500,SMALL(IF(Create_TC_Web!$C$1:$C$500&lt;&gt;"",MATCH(ROW(Create_TC_Web!$C$1:$C$500),ROW(Create_TC_Web!$C$1:$C$500)),""),ROW(Create_TC_Web!Q408))),"")</f>
        <v/>
      </c>
      <c r="S430" t="str">
        <f t="shared" si="20"/>
        <v/>
      </c>
    </row>
    <row r="431" spans="1:19">
      <c r="A431" t="str" cm="1">
        <f t="array" ref="A431">IFERROR(INDEX(Create_TC_Web!D$1:D$500,SMALL(IF(Create_TC_Web!$C$1:$C$500&lt;&gt;"",MATCH(ROW(Create_TC_Web!$C$1:$C$500),ROW(Create_TC_Web!$C$1:$C$500)),""),ROW(Create_TC_Web!B431))),"")</f>
        <v/>
      </c>
      <c r="B431" t="str" cm="1">
        <f t="array" ref="B431">SUBSTITUTE(SUBSTITUTE(SUBSTITUTE(IFERROR(INDEX(Create_TC_Web!E$1:E$505,SMALL(IF(Create_TC_Web!$C$1:$C$505&lt;&gt;"",MATCH(ROW(Create_TC_Web!$C$1:$C$505),ROW(Create_TC_Web!$C$1:$C$505)),""),ROW(Create_TC_Web!C431))),"")," ",""),"-",""),"_","")</f>
        <v/>
      </c>
      <c r="C431" t="str" cm="1">
        <f t="array" ref="C431">IFERROR(INDEX(Create_TC_Web!F$1:F$500,SMALL(IF(Create_TC_Web!$C$1:$C$500&lt;&gt;"",MATCH(ROW(Create_TC_Web!$C$1:$C$500),ROW(Create_TC_Web!$C$1:$C$500)),""),ROW(Create_TC_Web!D431))),"")</f>
        <v/>
      </c>
      <c r="D431" t="str" cm="1">
        <f t="array" ref="D431">IFERROR(INDEX(Create_TC_Web!G$1:G$500,SMALL(IF(Create_TC_Web!$C$1:$C$500&lt;&gt;"",MATCH(ROW(Create_TC_Web!$C$1:$C$500),ROW(Create_TC_Web!$C$1:$C$500)),""),ROW(Create_TC_Web!E431))),"")</f>
        <v/>
      </c>
      <c r="E431" t="str" cm="1">
        <f t="array" ref="E431">IFERROR(INDEX(Create_TC_Web!H$1:H$500,SMALL(IF(Create_TC_Web!$C$1:$C$500&lt;&gt;"",MATCH(ROW(Create_TC_Web!$C$1:$C$500),ROW(Create_TC_Web!$C$1:$C$500)),""),ROW(Create_TC_Web!F431))),"")</f>
        <v/>
      </c>
      <c r="F431" t="str" cm="1">
        <f t="array" ref="F431">IFERROR(INDEX(Create_TC_Web!I$1:I$500,SMALL(IF(Create_TC_Web!$C$1:$C$500&lt;&gt;"",MATCH(ROW(Create_TC_Web!$C$1:$C$500),ROW(Create_TC_Web!$C$1:$C$500)),""),ROW(Create_TC_Web!G431))),"")</f>
        <v/>
      </c>
      <c r="G431" t="str" cm="1">
        <f t="array" ref="G431">IFERROR(INDEX(Create_TC_Web!J$1:J$500,SMALL(IF(Create_TC_Web!$C$1:$C$500&lt;&gt;"",MATCH(ROW(Create_TC_Web!$C$1:$C$500),ROW(Create_TC_Web!$C$1:$C$500)),""),ROW(Create_TC_Web!H431))),"")</f>
        <v/>
      </c>
      <c r="H431" t="str" cm="1">
        <f t="array" ref="H431">IFERROR(INDEX(Create_TC_Web!K$1:K$500,SMALL(IF(Create_TC_Web!$C$1:$C$500&lt;&gt;"",MATCH(ROW(Create_TC_Web!$C$1:$C$500),ROW(Create_TC_Web!$C$1:$C$500)),""),ROW(Create_TC_Web!I431))),"")</f>
        <v/>
      </c>
      <c r="I431" t="str" cm="1">
        <f t="array" ref="I431">IFERROR(INDEX(Create_TC_Web!L$1:L$500,SMALL(IF(Create_TC_Web!$C$1:$C$500&lt;&gt;"",MATCH(ROW(Create_TC_Web!$C$1:$C$500),ROW(Create_TC_Web!$C$1:$C$500)),""),ROW(Create_TC_Web!J431))),"")</f>
        <v/>
      </c>
      <c r="J431" t="str" cm="1">
        <f t="array" ref="J431">IFERROR(INDEX(Create_TC_Web!M$1:M$500,SMALL(IF(Create_TC_Web!$C$1:$C$500&lt;&gt;"",MATCH(ROW(Create_TC_Web!$C$1:$C$500),ROW(Create_TC_Web!$C$1:$C$500)),""),ROW(Create_TC_Web!K431))),"")</f>
        <v/>
      </c>
      <c r="K431" t="str" cm="1">
        <f t="array" ref="K431">IFERROR(INDEX(Create_TC_Web!N$1:N$500,SMALL(IF(Create_TC_Web!$C$1:$C$500&lt;&gt;"",MATCH(ROW(Create_TC_Web!$C$1:$C$500),ROW(Create_TC_Web!$C$1:$C$500)),""),ROW(Create_TC_Web!L431))),"")</f>
        <v/>
      </c>
      <c r="L431" t="str" cm="1">
        <f t="array" ref="L431">IFERROR(INDEX(Create_TC_Web!O$1:O$500,SMALL(IF(Create_TC_Web!$C$1:$C$500&lt;&gt;"",MATCH(ROW(Create_TC_Web!$C$1:$C$500),ROW(Create_TC_Web!$C$1:$C$500)),""),ROW(Create_TC_Web!M431))),"")</f>
        <v/>
      </c>
      <c r="M431" t="str" cm="1">
        <f t="array" ref="M431">IFERROR(INDEX(Create_TC_Web!P$1:P$500,SMALL(IF(Create_TC_Web!$C$1:$C$500&lt;&gt;"",MATCH(ROW(Create_TC_Web!$C$1:$C$500),ROW(Create_TC_Web!$C$1:$C$500)),""),ROW(Create_TC_Web!N431))),"")</f>
        <v/>
      </c>
      <c r="N431" t="str" cm="1">
        <f t="array" ref="N431">IFERROR(INDEX(Create_TC_Web!Q$1:Q$500,SMALL(IF(Create_TC_Web!$C$1:$C$500&lt;&gt;"",MATCH(ROW(Create_TC_Web!$C$1:$C$500),ROW(Create_TC_Web!$C$1:$C$500)),""),ROW(Create_TC_Web!O431))),"")</f>
        <v/>
      </c>
      <c r="O431" t="str">
        <f t="shared" si="19"/>
        <v/>
      </c>
      <c r="P431" s="17" t="str" cm="1">
        <f t="array" ref="P431">IFERROR(INDEX(Create_TC_Web!S$1:S$500,SMALL(IF(Create_TC_Web!$C$1:$C$500&lt;&gt;"",MATCH(ROW(Create_TC_Web!$C$1:$C$500),ROW(Create_TC_Web!$C$1:$C$500)),""),ROW(Create_TC_Web!Q409))),"")</f>
        <v/>
      </c>
      <c r="S431" t="str">
        <f t="shared" si="20"/>
        <v/>
      </c>
    </row>
    <row r="432" spans="1:19">
      <c r="A432" t="str" cm="1">
        <f t="array" ref="A432">IFERROR(INDEX(Create_TC_Web!D$1:D$500,SMALL(IF(Create_TC_Web!$C$1:$C$500&lt;&gt;"",MATCH(ROW(Create_TC_Web!$C$1:$C$500),ROW(Create_TC_Web!$C$1:$C$500)),""),ROW(Create_TC_Web!B432))),"")</f>
        <v/>
      </c>
      <c r="B432" t="str" cm="1">
        <f t="array" ref="B432">SUBSTITUTE(SUBSTITUTE(SUBSTITUTE(IFERROR(INDEX(Create_TC_Web!E$1:E$505,SMALL(IF(Create_TC_Web!$C$1:$C$505&lt;&gt;"",MATCH(ROW(Create_TC_Web!$C$1:$C$505),ROW(Create_TC_Web!$C$1:$C$505)),""),ROW(Create_TC_Web!C432))),"")," ",""),"-",""),"_","")</f>
        <v/>
      </c>
      <c r="C432" t="str" cm="1">
        <f t="array" ref="C432">IFERROR(INDEX(Create_TC_Web!F$1:F$500,SMALL(IF(Create_TC_Web!$C$1:$C$500&lt;&gt;"",MATCH(ROW(Create_TC_Web!$C$1:$C$500),ROW(Create_TC_Web!$C$1:$C$500)),""),ROW(Create_TC_Web!D432))),"")</f>
        <v/>
      </c>
      <c r="D432" t="str" cm="1">
        <f t="array" ref="D432">IFERROR(INDEX(Create_TC_Web!G$1:G$500,SMALL(IF(Create_TC_Web!$C$1:$C$500&lt;&gt;"",MATCH(ROW(Create_TC_Web!$C$1:$C$500),ROW(Create_TC_Web!$C$1:$C$500)),""),ROW(Create_TC_Web!E432))),"")</f>
        <v/>
      </c>
      <c r="E432" t="str" cm="1">
        <f t="array" ref="E432">IFERROR(INDEX(Create_TC_Web!H$1:H$500,SMALL(IF(Create_TC_Web!$C$1:$C$500&lt;&gt;"",MATCH(ROW(Create_TC_Web!$C$1:$C$500),ROW(Create_TC_Web!$C$1:$C$500)),""),ROW(Create_TC_Web!F432))),"")</f>
        <v/>
      </c>
      <c r="F432" t="str" cm="1">
        <f t="array" ref="F432">IFERROR(INDEX(Create_TC_Web!I$1:I$500,SMALL(IF(Create_TC_Web!$C$1:$C$500&lt;&gt;"",MATCH(ROW(Create_TC_Web!$C$1:$C$500),ROW(Create_TC_Web!$C$1:$C$500)),""),ROW(Create_TC_Web!G432))),"")</f>
        <v/>
      </c>
      <c r="G432" t="str" cm="1">
        <f t="array" ref="G432">IFERROR(INDEX(Create_TC_Web!J$1:J$500,SMALL(IF(Create_TC_Web!$C$1:$C$500&lt;&gt;"",MATCH(ROW(Create_TC_Web!$C$1:$C$500),ROW(Create_TC_Web!$C$1:$C$500)),""),ROW(Create_TC_Web!H432))),"")</f>
        <v/>
      </c>
      <c r="H432" t="str" cm="1">
        <f t="array" ref="H432">IFERROR(INDEX(Create_TC_Web!K$1:K$500,SMALL(IF(Create_TC_Web!$C$1:$C$500&lt;&gt;"",MATCH(ROW(Create_TC_Web!$C$1:$C$500),ROW(Create_TC_Web!$C$1:$C$500)),""),ROW(Create_TC_Web!I432))),"")</f>
        <v/>
      </c>
      <c r="I432" t="str" cm="1">
        <f t="array" ref="I432">IFERROR(INDEX(Create_TC_Web!L$1:L$500,SMALL(IF(Create_TC_Web!$C$1:$C$500&lt;&gt;"",MATCH(ROW(Create_TC_Web!$C$1:$C$500),ROW(Create_TC_Web!$C$1:$C$500)),""),ROW(Create_TC_Web!J432))),"")</f>
        <v/>
      </c>
      <c r="J432" t="str" cm="1">
        <f t="array" ref="J432">IFERROR(INDEX(Create_TC_Web!M$1:M$500,SMALL(IF(Create_TC_Web!$C$1:$C$500&lt;&gt;"",MATCH(ROW(Create_TC_Web!$C$1:$C$500),ROW(Create_TC_Web!$C$1:$C$500)),""),ROW(Create_TC_Web!K432))),"")</f>
        <v/>
      </c>
      <c r="K432" t="str" cm="1">
        <f t="array" ref="K432">IFERROR(INDEX(Create_TC_Web!N$1:N$500,SMALL(IF(Create_TC_Web!$C$1:$C$500&lt;&gt;"",MATCH(ROW(Create_TC_Web!$C$1:$C$500),ROW(Create_TC_Web!$C$1:$C$500)),""),ROW(Create_TC_Web!L432))),"")</f>
        <v/>
      </c>
      <c r="L432" t="str" cm="1">
        <f t="array" ref="L432">IFERROR(INDEX(Create_TC_Web!O$1:O$500,SMALL(IF(Create_TC_Web!$C$1:$C$500&lt;&gt;"",MATCH(ROW(Create_TC_Web!$C$1:$C$500),ROW(Create_TC_Web!$C$1:$C$500)),""),ROW(Create_TC_Web!M432))),"")</f>
        <v/>
      </c>
      <c r="M432" t="str" cm="1">
        <f t="array" ref="M432">IFERROR(INDEX(Create_TC_Web!P$1:P$500,SMALL(IF(Create_TC_Web!$C$1:$C$500&lt;&gt;"",MATCH(ROW(Create_TC_Web!$C$1:$C$500),ROW(Create_TC_Web!$C$1:$C$500)),""),ROW(Create_TC_Web!N432))),"")</f>
        <v/>
      </c>
      <c r="N432" t="str" cm="1">
        <f t="array" ref="N432">IFERROR(INDEX(Create_TC_Web!Q$1:Q$500,SMALL(IF(Create_TC_Web!$C$1:$C$500&lt;&gt;"",MATCH(ROW(Create_TC_Web!$C$1:$C$500),ROW(Create_TC_Web!$C$1:$C$500)),""),ROW(Create_TC_Web!O432))),"")</f>
        <v/>
      </c>
      <c r="O432" t="str">
        <f t="shared" si="19"/>
        <v/>
      </c>
      <c r="P432" s="17" t="str" cm="1">
        <f t="array" ref="P432">IFERROR(INDEX(Create_TC_Web!S$1:S$500,SMALL(IF(Create_TC_Web!$C$1:$C$500&lt;&gt;"",MATCH(ROW(Create_TC_Web!$C$1:$C$500),ROW(Create_TC_Web!$C$1:$C$500)),""),ROW(Create_TC_Web!Q410))),"")</f>
        <v/>
      </c>
      <c r="S432" t="str">
        <f t="shared" si="20"/>
        <v/>
      </c>
    </row>
    <row r="433" spans="1:19">
      <c r="A433" t="str" cm="1">
        <f t="array" ref="A433">IFERROR(INDEX(Create_TC_Web!D$1:D$500,SMALL(IF(Create_TC_Web!$C$1:$C$500&lt;&gt;"",MATCH(ROW(Create_TC_Web!$C$1:$C$500),ROW(Create_TC_Web!$C$1:$C$500)),""),ROW(Create_TC_Web!B433))),"")</f>
        <v/>
      </c>
      <c r="B433" t="str" cm="1">
        <f t="array" ref="B433">SUBSTITUTE(SUBSTITUTE(SUBSTITUTE(IFERROR(INDEX(Create_TC_Web!E$1:E$505,SMALL(IF(Create_TC_Web!$C$1:$C$505&lt;&gt;"",MATCH(ROW(Create_TC_Web!$C$1:$C$505),ROW(Create_TC_Web!$C$1:$C$505)),""),ROW(Create_TC_Web!C433))),"")," ",""),"-",""),"_","")</f>
        <v/>
      </c>
      <c r="C433" t="str" cm="1">
        <f t="array" ref="C433">IFERROR(INDEX(Create_TC_Web!F$1:F$500,SMALL(IF(Create_TC_Web!$C$1:$C$500&lt;&gt;"",MATCH(ROW(Create_TC_Web!$C$1:$C$500),ROW(Create_TC_Web!$C$1:$C$500)),""),ROW(Create_TC_Web!D433))),"")</f>
        <v/>
      </c>
      <c r="D433" t="str" cm="1">
        <f t="array" ref="D433">IFERROR(INDEX(Create_TC_Web!G$1:G$500,SMALL(IF(Create_TC_Web!$C$1:$C$500&lt;&gt;"",MATCH(ROW(Create_TC_Web!$C$1:$C$500),ROW(Create_TC_Web!$C$1:$C$500)),""),ROW(Create_TC_Web!E433))),"")</f>
        <v/>
      </c>
      <c r="E433" t="str" cm="1">
        <f t="array" ref="E433">IFERROR(INDEX(Create_TC_Web!H$1:H$500,SMALL(IF(Create_TC_Web!$C$1:$C$500&lt;&gt;"",MATCH(ROW(Create_TC_Web!$C$1:$C$500),ROW(Create_TC_Web!$C$1:$C$500)),""),ROW(Create_TC_Web!F433))),"")</f>
        <v/>
      </c>
      <c r="F433" t="str" cm="1">
        <f t="array" ref="F433">IFERROR(INDEX(Create_TC_Web!I$1:I$500,SMALL(IF(Create_TC_Web!$C$1:$C$500&lt;&gt;"",MATCH(ROW(Create_TC_Web!$C$1:$C$500),ROW(Create_TC_Web!$C$1:$C$500)),""),ROW(Create_TC_Web!G433))),"")</f>
        <v/>
      </c>
      <c r="G433" t="str" cm="1">
        <f t="array" ref="G433">IFERROR(INDEX(Create_TC_Web!J$1:J$500,SMALL(IF(Create_TC_Web!$C$1:$C$500&lt;&gt;"",MATCH(ROW(Create_TC_Web!$C$1:$C$500),ROW(Create_TC_Web!$C$1:$C$500)),""),ROW(Create_TC_Web!H433))),"")</f>
        <v/>
      </c>
      <c r="H433" t="str" cm="1">
        <f t="array" ref="H433">IFERROR(INDEX(Create_TC_Web!K$1:K$500,SMALL(IF(Create_TC_Web!$C$1:$C$500&lt;&gt;"",MATCH(ROW(Create_TC_Web!$C$1:$C$500),ROW(Create_TC_Web!$C$1:$C$500)),""),ROW(Create_TC_Web!I433))),"")</f>
        <v/>
      </c>
      <c r="I433" t="str" cm="1">
        <f t="array" ref="I433">IFERROR(INDEX(Create_TC_Web!L$1:L$500,SMALL(IF(Create_TC_Web!$C$1:$C$500&lt;&gt;"",MATCH(ROW(Create_TC_Web!$C$1:$C$500),ROW(Create_TC_Web!$C$1:$C$500)),""),ROW(Create_TC_Web!J433))),"")</f>
        <v/>
      </c>
      <c r="J433" t="str" cm="1">
        <f t="array" ref="J433">IFERROR(INDEX(Create_TC_Web!M$1:M$500,SMALL(IF(Create_TC_Web!$C$1:$C$500&lt;&gt;"",MATCH(ROW(Create_TC_Web!$C$1:$C$500),ROW(Create_TC_Web!$C$1:$C$500)),""),ROW(Create_TC_Web!K433))),"")</f>
        <v/>
      </c>
      <c r="K433" t="str" cm="1">
        <f t="array" ref="K433">IFERROR(INDEX(Create_TC_Web!N$1:N$500,SMALL(IF(Create_TC_Web!$C$1:$C$500&lt;&gt;"",MATCH(ROW(Create_TC_Web!$C$1:$C$500),ROW(Create_TC_Web!$C$1:$C$500)),""),ROW(Create_TC_Web!L433))),"")</f>
        <v/>
      </c>
      <c r="L433" t="str" cm="1">
        <f t="array" ref="L433">IFERROR(INDEX(Create_TC_Web!O$1:O$500,SMALL(IF(Create_TC_Web!$C$1:$C$500&lt;&gt;"",MATCH(ROW(Create_TC_Web!$C$1:$C$500),ROW(Create_TC_Web!$C$1:$C$500)),""),ROW(Create_TC_Web!M433))),"")</f>
        <v/>
      </c>
      <c r="M433" t="str" cm="1">
        <f t="array" ref="M433">IFERROR(INDEX(Create_TC_Web!P$1:P$500,SMALL(IF(Create_TC_Web!$C$1:$C$500&lt;&gt;"",MATCH(ROW(Create_TC_Web!$C$1:$C$500),ROW(Create_TC_Web!$C$1:$C$500)),""),ROW(Create_TC_Web!N433))),"")</f>
        <v/>
      </c>
      <c r="N433" t="str" cm="1">
        <f t="array" ref="N433">IFERROR(INDEX(Create_TC_Web!Q$1:Q$500,SMALL(IF(Create_TC_Web!$C$1:$C$500&lt;&gt;"",MATCH(ROW(Create_TC_Web!$C$1:$C$500),ROW(Create_TC_Web!$C$1:$C$500)),""),ROW(Create_TC_Web!O433))),"")</f>
        <v/>
      </c>
      <c r="O433" t="str">
        <f t="shared" si="19"/>
        <v/>
      </c>
      <c r="P433" s="17" t="str" cm="1">
        <f t="array" ref="P433">IFERROR(INDEX(Create_TC_Web!S$1:S$500,SMALL(IF(Create_TC_Web!$C$1:$C$500&lt;&gt;"",MATCH(ROW(Create_TC_Web!$C$1:$C$500),ROW(Create_TC_Web!$C$1:$C$500)),""),ROW(Create_TC_Web!Q411))),"")</f>
        <v/>
      </c>
      <c r="S433" t="str">
        <f t="shared" si="20"/>
        <v/>
      </c>
    </row>
    <row r="434" spans="1:19">
      <c r="A434" t="str" cm="1">
        <f t="array" ref="A434">IFERROR(INDEX(Create_TC_Web!D$1:D$500,SMALL(IF(Create_TC_Web!$C$1:$C$500&lt;&gt;"",MATCH(ROW(Create_TC_Web!$C$1:$C$500),ROW(Create_TC_Web!$C$1:$C$500)),""),ROW(Create_TC_Web!B434))),"")</f>
        <v/>
      </c>
      <c r="B434" t="str" cm="1">
        <f t="array" ref="B434">SUBSTITUTE(SUBSTITUTE(SUBSTITUTE(IFERROR(INDEX(Create_TC_Web!E$1:E$505,SMALL(IF(Create_TC_Web!$C$1:$C$505&lt;&gt;"",MATCH(ROW(Create_TC_Web!$C$1:$C$505),ROW(Create_TC_Web!$C$1:$C$505)),""),ROW(Create_TC_Web!C434))),"")," ",""),"-",""),"_","")</f>
        <v/>
      </c>
      <c r="C434" t="str" cm="1">
        <f t="array" ref="C434">IFERROR(INDEX(Create_TC_Web!F$1:F$500,SMALL(IF(Create_TC_Web!$C$1:$C$500&lt;&gt;"",MATCH(ROW(Create_TC_Web!$C$1:$C$500),ROW(Create_TC_Web!$C$1:$C$500)),""),ROW(Create_TC_Web!D434))),"")</f>
        <v/>
      </c>
      <c r="D434" t="str" cm="1">
        <f t="array" ref="D434">IFERROR(INDEX(Create_TC_Web!G$1:G$500,SMALL(IF(Create_TC_Web!$C$1:$C$500&lt;&gt;"",MATCH(ROW(Create_TC_Web!$C$1:$C$500),ROW(Create_TC_Web!$C$1:$C$500)),""),ROW(Create_TC_Web!E434))),"")</f>
        <v/>
      </c>
      <c r="E434" t="str" cm="1">
        <f t="array" ref="E434">IFERROR(INDEX(Create_TC_Web!H$1:H$500,SMALL(IF(Create_TC_Web!$C$1:$C$500&lt;&gt;"",MATCH(ROW(Create_TC_Web!$C$1:$C$500),ROW(Create_TC_Web!$C$1:$C$500)),""),ROW(Create_TC_Web!F434))),"")</f>
        <v/>
      </c>
      <c r="F434" t="str" cm="1">
        <f t="array" ref="F434">IFERROR(INDEX(Create_TC_Web!I$1:I$500,SMALL(IF(Create_TC_Web!$C$1:$C$500&lt;&gt;"",MATCH(ROW(Create_TC_Web!$C$1:$C$500),ROW(Create_TC_Web!$C$1:$C$500)),""),ROW(Create_TC_Web!G434))),"")</f>
        <v/>
      </c>
      <c r="G434" t="str" cm="1">
        <f t="array" ref="G434">IFERROR(INDEX(Create_TC_Web!J$1:J$500,SMALL(IF(Create_TC_Web!$C$1:$C$500&lt;&gt;"",MATCH(ROW(Create_TC_Web!$C$1:$C$500),ROW(Create_TC_Web!$C$1:$C$500)),""),ROW(Create_TC_Web!H434))),"")</f>
        <v/>
      </c>
      <c r="H434" t="str" cm="1">
        <f t="array" ref="H434">IFERROR(INDEX(Create_TC_Web!K$1:K$500,SMALL(IF(Create_TC_Web!$C$1:$C$500&lt;&gt;"",MATCH(ROW(Create_TC_Web!$C$1:$C$500),ROW(Create_TC_Web!$C$1:$C$500)),""),ROW(Create_TC_Web!I434))),"")</f>
        <v/>
      </c>
      <c r="I434" t="str" cm="1">
        <f t="array" ref="I434">IFERROR(INDEX(Create_TC_Web!L$1:L$500,SMALL(IF(Create_TC_Web!$C$1:$C$500&lt;&gt;"",MATCH(ROW(Create_TC_Web!$C$1:$C$500),ROW(Create_TC_Web!$C$1:$C$500)),""),ROW(Create_TC_Web!J434))),"")</f>
        <v/>
      </c>
      <c r="J434" t="str" cm="1">
        <f t="array" ref="J434">IFERROR(INDEX(Create_TC_Web!M$1:M$500,SMALL(IF(Create_TC_Web!$C$1:$C$500&lt;&gt;"",MATCH(ROW(Create_TC_Web!$C$1:$C$500),ROW(Create_TC_Web!$C$1:$C$500)),""),ROW(Create_TC_Web!K434))),"")</f>
        <v/>
      </c>
      <c r="K434" t="str" cm="1">
        <f t="array" ref="K434">IFERROR(INDEX(Create_TC_Web!N$1:N$500,SMALL(IF(Create_TC_Web!$C$1:$C$500&lt;&gt;"",MATCH(ROW(Create_TC_Web!$C$1:$C$500),ROW(Create_TC_Web!$C$1:$C$500)),""),ROW(Create_TC_Web!L434))),"")</f>
        <v/>
      </c>
      <c r="L434" t="str" cm="1">
        <f t="array" ref="L434">IFERROR(INDEX(Create_TC_Web!O$1:O$500,SMALL(IF(Create_TC_Web!$C$1:$C$500&lt;&gt;"",MATCH(ROW(Create_TC_Web!$C$1:$C$500),ROW(Create_TC_Web!$C$1:$C$500)),""),ROW(Create_TC_Web!M434))),"")</f>
        <v/>
      </c>
      <c r="M434" t="str" cm="1">
        <f t="array" ref="M434">IFERROR(INDEX(Create_TC_Web!P$1:P$500,SMALL(IF(Create_TC_Web!$C$1:$C$500&lt;&gt;"",MATCH(ROW(Create_TC_Web!$C$1:$C$500),ROW(Create_TC_Web!$C$1:$C$500)),""),ROW(Create_TC_Web!N434))),"")</f>
        <v/>
      </c>
      <c r="N434" t="str" cm="1">
        <f t="array" ref="N434">IFERROR(INDEX(Create_TC_Web!Q$1:Q$500,SMALL(IF(Create_TC_Web!$C$1:$C$500&lt;&gt;"",MATCH(ROW(Create_TC_Web!$C$1:$C$500),ROW(Create_TC_Web!$C$1:$C$500)),""),ROW(Create_TC_Web!O434))),"")</f>
        <v/>
      </c>
      <c r="O434" t="str">
        <f t="shared" si="19"/>
        <v/>
      </c>
      <c r="P434" s="17" t="str" cm="1">
        <f t="array" ref="P434">IFERROR(INDEX(Create_TC_Web!S$1:S$500,SMALL(IF(Create_TC_Web!$C$1:$C$500&lt;&gt;"",MATCH(ROW(Create_TC_Web!$C$1:$C$500),ROW(Create_TC_Web!$C$1:$C$500)),""),ROW(Create_TC_Web!Q412))),"")</f>
        <v/>
      </c>
      <c r="S434" t="str">
        <f t="shared" si="20"/>
        <v/>
      </c>
    </row>
    <row r="435" spans="1:19">
      <c r="A435" t="str" cm="1">
        <f t="array" ref="A435">IFERROR(INDEX(Create_TC_Web!D$1:D$500,SMALL(IF(Create_TC_Web!$C$1:$C$500&lt;&gt;"",MATCH(ROW(Create_TC_Web!$C$1:$C$500),ROW(Create_TC_Web!$C$1:$C$500)),""),ROW(Create_TC_Web!B435))),"")</f>
        <v/>
      </c>
      <c r="B435" t="str" cm="1">
        <f t="array" ref="B435">SUBSTITUTE(SUBSTITUTE(SUBSTITUTE(IFERROR(INDEX(Create_TC_Web!E$1:E$505,SMALL(IF(Create_TC_Web!$C$1:$C$505&lt;&gt;"",MATCH(ROW(Create_TC_Web!$C$1:$C$505),ROW(Create_TC_Web!$C$1:$C$505)),""),ROW(Create_TC_Web!C435))),"")," ",""),"-",""),"_","")</f>
        <v/>
      </c>
      <c r="C435" t="str" cm="1">
        <f t="array" ref="C435">IFERROR(INDEX(Create_TC_Web!F$1:F$500,SMALL(IF(Create_TC_Web!$C$1:$C$500&lt;&gt;"",MATCH(ROW(Create_TC_Web!$C$1:$C$500),ROW(Create_TC_Web!$C$1:$C$500)),""),ROW(Create_TC_Web!D435))),"")</f>
        <v/>
      </c>
      <c r="D435" t="str" cm="1">
        <f t="array" ref="D435">IFERROR(INDEX(Create_TC_Web!G$1:G$500,SMALL(IF(Create_TC_Web!$C$1:$C$500&lt;&gt;"",MATCH(ROW(Create_TC_Web!$C$1:$C$500),ROW(Create_TC_Web!$C$1:$C$500)),""),ROW(Create_TC_Web!E435))),"")</f>
        <v/>
      </c>
      <c r="E435" t="str" cm="1">
        <f t="array" ref="E435">IFERROR(INDEX(Create_TC_Web!H$1:H$500,SMALL(IF(Create_TC_Web!$C$1:$C$500&lt;&gt;"",MATCH(ROW(Create_TC_Web!$C$1:$C$500),ROW(Create_TC_Web!$C$1:$C$500)),""),ROW(Create_TC_Web!F435))),"")</f>
        <v/>
      </c>
      <c r="F435" t="str" cm="1">
        <f t="array" ref="F435">IFERROR(INDEX(Create_TC_Web!I$1:I$500,SMALL(IF(Create_TC_Web!$C$1:$C$500&lt;&gt;"",MATCH(ROW(Create_TC_Web!$C$1:$C$500),ROW(Create_TC_Web!$C$1:$C$500)),""),ROW(Create_TC_Web!G435))),"")</f>
        <v/>
      </c>
      <c r="G435" t="str" cm="1">
        <f t="array" ref="G435">IFERROR(INDEX(Create_TC_Web!J$1:J$500,SMALL(IF(Create_TC_Web!$C$1:$C$500&lt;&gt;"",MATCH(ROW(Create_TC_Web!$C$1:$C$500),ROW(Create_TC_Web!$C$1:$C$500)),""),ROW(Create_TC_Web!H435))),"")</f>
        <v/>
      </c>
      <c r="H435" t="str" cm="1">
        <f t="array" ref="H435">IFERROR(INDEX(Create_TC_Web!K$1:K$500,SMALL(IF(Create_TC_Web!$C$1:$C$500&lt;&gt;"",MATCH(ROW(Create_TC_Web!$C$1:$C$500),ROW(Create_TC_Web!$C$1:$C$500)),""),ROW(Create_TC_Web!I435))),"")</f>
        <v/>
      </c>
      <c r="I435" t="str" cm="1">
        <f t="array" ref="I435">IFERROR(INDEX(Create_TC_Web!L$1:L$500,SMALL(IF(Create_TC_Web!$C$1:$C$500&lt;&gt;"",MATCH(ROW(Create_TC_Web!$C$1:$C$500),ROW(Create_TC_Web!$C$1:$C$500)),""),ROW(Create_TC_Web!J435))),"")</f>
        <v/>
      </c>
      <c r="J435" t="str" cm="1">
        <f t="array" ref="J435">IFERROR(INDEX(Create_TC_Web!M$1:M$500,SMALL(IF(Create_TC_Web!$C$1:$C$500&lt;&gt;"",MATCH(ROW(Create_TC_Web!$C$1:$C$500),ROW(Create_TC_Web!$C$1:$C$500)),""),ROW(Create_TC_Web!K435))),"")</f>
        <v/>
      </c>
      <c r="K435" t="str" cm="1">
        <f t="array" ref="K435">IFERROR(INDEX(Create_TC_Web!N$1:N$500,SMALL(IF(Create_TC_Web!$C$1:$C$500&lt;&gt;"",MATCH(ROW(Create_TC_Web!$C$1:$C$500),ROW(Create_TC_Web!$C$1:$C$500)),""),ROW(Create_TC_Web!L435))),"")</f>
        <v/>
      </c>
      <c r="L435" t="str" cm="1">
        <f t="array" ref="L435">IFERROR(INDEX(Create_TC_Web!O$1:O$500,SMALL(IF(Create_TC_Web!$C$1:$C$500&lt;&gt;"",MATCH(ROW(Create_TC_Web!$C$1:$C$500),ROW(Create_TC_Web!$C$1:$C$500)),""),ROW(Create_TC_Web!M435))),"")</f>
        <v/>
      </c>
      <c r="M435" t="str" cm="1">
        <f t="array" ref="M435">IFERROR(INDEX(Create_TC_Web!P$1:P$500,SMALL(IF(Create_TC_Web!$C$1:$C$500&lt;&gt;"",MATCH(ROW(Create_TC_Web!$C$1:$C$500),ROW(Create_TC_Web!$C$1:$C$500)),""),ROW(Create_TC_Web!N435))),"")</f>
        <v/>
      </c>
      <c r="N435" t="str" cm="1">
        <f t="array" ref="N435">IFERROR(INDEX(Create_TC_Web!Q$1:Q$500,SMALL(IF(Create_TC_Web!$C$1:$C$500&lt;&gt;"",MATCH(ROW(Create_TC_Web!$C$1:$C$500),ROW(Create_TC_Web!$C$1:$C$500)),""),ROW(Create_TC_Web!O435))),"")</f>
        <v/>
      </c>
      <c r="O435" t="str">
        <f t="shared" si="19"/>
        <v/>
      </c>
      <c r="P435" s="17" t="str" cm="1">
        <f t="array" ref="P435">IFERROR(INDEX(Create_TC_Web!S$1:S$500,SMALL(IF(Create_TC_Web!$C$1:$C$500&lt;&gt;"",MATCH(ROW(Create_TC_Web!$C$1:$C$500),ROW(Create_TC_Web!$C$1:$C$500)),""),ROW(Create_TC_Web!Q413))),"")</f>
        <v/>
      </c>
      <c r="S435" t="str">
        <f t="shared" si="20"/>
        <v/>
      </c>
    </row>
    <row r="436" spans="1:19">
      <c r="A436" t="str" cm="1">
        <f t="array" ref="A436">IFERROR(INDEX(Create_TC_Web!D$1:D$500,SMALL(IF(Create_TC_Web!$C$1:$C$500&lt;&gt;"",MATCH(ROW(Create_TC_Web!$C$1:$C$500),ROW(Create_TC_Web!$C$1:$C$500)),""),ROW(Create_TC_Web!B436))),"")</f>
        <v/>
      </c>
      <c r="B436" t="str" cm="1">
        <f t="array" ref="B436">SUBSTITUTE(SUBSTITUTE(SUBSTITUTE(IFERROR(INDEX(Create_TC_Web!E$1:E$505,SMALL(IF(Create_TC_Web!$C$1:$C$505&lt;&gt;"",MATCH(ROW(Create_TC_Web!$C$1:$C$505),ROW(Create_TC_Web!$C$1:$C$505)),""),ROW(Create_TC_Web!C436))),"")," ",""),"-",""),"_","")</f>
        <v/>
      </c>
      <c r="C436" t="str" cm="1">
        <f t="array" ref="C436">IFERROR(INDEX(Create_TC_Web!F$1:F$500,SMALL(IF(Create_TC_Web!$C$1:$C$500&lt;&gt;"",MATCH(ROW(Create_TC_Web!$C$1:$C$500),ROW(Create_TC_Web!$C$1:$C$500)),""),ROW(Create_TC_Web!D436))),"")</f>
        <v/>
      </c>
      <c r="D436" t="str" cm="1">
        <f t="array" ref="D436">IFERROR(INDEX(Create_TC_Web!G$1:G$500,SMALL(IF(Create_TC_Web!$C$1:$C$500&lt;&gt;"",MATCH(ROW(Create_TC_Web!$C$1:$C$500),ROW(Create_TC_Web!$C$1:$C$500)),""),ROW(Create_TC_Web!E436))),"")</f>
        <v/>
      </c>
      <c r="E436" t="str" cm="1">
        <f t="array" ref="E436">IFERROR(INDEX(Create_TC_Web!H$1:H$500,SMALL(IF(Create_TC_Web!$C$1:$C$500&lt;&gt;"",MATCH(ROW(Create_TC_Web!$C$1:$C$500),ROW(Create_TC_Web!$C$1:$C$500)),""),ROW(Create_TC_Web!F436))),"")</f>
        <v/>
      </c>
      <c r="F436" t="str" cm="1">
        <f t="array" ref="F436">IFERROR(INDEX(Create_TC_Web!I$1:I$500,SMALL(IF(Create_TC_Web!$C$1:$C$500&lt;&gt;"",MATCH(ROW(Create_TC_Web!$C$1:$C$500),ROW(Create_TC_Web!$C$1:$C$500)),""),ROW(Create_TC_Web!G436))),"")</f>
        <v/>
      </c>
      <c r="G436" t="str" cm="1">
        <f t="array" ref="G436">IFERROR(INDEX(Create_TC_Web!J$1:J$500,SMALL(IF(Create_TC_Web!$C$1:$C$500&lt;&gt;"",MATCH(ROW(Create_TC_Web!$C$1:$C$500),ROW(Create_TC_Web!$C$1:$C$500)),""),ROW(Create_TC_Web!H436))),"")</f>
        <v/>
      </c>
      <c r="H436" t="str" cm="1">
        <f t="array" ref="H436">IFERROR(INDEX(Create_TC_Web!K$1:K$500,SMALL(IF(Create_TC_Web!$C$1:$C$500&lt;&gt;"",MATCH(ROW(Create_TC_Web!$C$1:$C$500),ROW(Create_TC_Web!$C$1:$C$500)),""),ROW(Create_TC_Web!I436))),"")</f>
        <v/>
      </c>
      <c r="I436" t="str" cm="1">
        <f t="array" ref="I436">IFERROR(INDEX(Create_TC_Web!L$1:L$500,SMALL(IF(Create_TC_Web!$C$1:$C$500&lt;&gt;"",MATCH(ROW(Create_TC_Web!$C$1:$C$500),ROW(Create_TC_Web!$C$1:$C$500)),""),ROW(Create_TC_Web!J436))),"")</f>
        <v/>
      </c>
      <c r="J436" t="str" cm="1">
        <f t="array" ref="J436">IFERROR(INDEX(Create_TC_Web!M$1:M$500,SMALL(IF(Create_TC_Web!$C$1:$C$500&lt;&gt;"",MATCH(ROW(Create_TC_Web!$C$1:$C$500),ROW(Create_TC_Web!$C$1:$C$500)),""),ROW(Create_TC_Web!K436))),"")</f>
        <v/>
      </c>
      <c r="K436" t="str" cm="1">
        <f t="array" ref="K436">IFERROR(INDEX(Create_TC_Web!N$1:N$500,SMALL(IF(Create_TC_Web!$C$1:$C$500&lt;&gt;"",MATCH(ROW(Create_TC_Web!$C$1:$C$500),ROW(Create_TC_Web!$C$1:$C$500)),""),ROW(Create_TC_Web!L436))),"")</f>
        <v/>
      </c>
      <c r="L436" t="str" cm="1">
        <f t="array" ref="L436">IFERROR(INDEX(Create_TC_Web!O$1:O$500,SMALL(IF(Create_TC_Web!$C$1:$C$500&lt;&gt;"",MATCH(ROW(Create_TC_Web!$C$1:$C$500),ROW(Create_TC_Web!$C$1:$C$500)),""),ROW(Create_TC_Web!M436))),"")</f>
        <v/>
      </c>
      <c r="M436" t="str" cm="1">
        <f t="array" ref="M436">IFERROR(INDEX(Create_TC_Web!P$1:P$500,SMALL(IF(Create_TC_Web!$C$1:$C$500&lt;&gt;"",MATCH(ROW(Create_TC_Web!$C$1:$C$500),ROW(Create_TC_Web!$C$1:$C$500)),""),ROW(Create_TC_Web!N436))),"")</f>
        <v/>
      </c>
      <c r="N436" t="str" cm="1">
        <f t="array" ref="N436">IFERROR(INDEX(Create_TC_Web!Q$1:Q$500,SMALL(IF(Create_TC_Web!$C$1:$C$500&lt;&gt;"",MATCH(ROW(Create_TC_Web!$C$1:$C$500),ROW(Create_TC_Web!$C$1:$C$500)),""),ROW(Create_TC_Web!O436))),"")</f>
        <v/>
      </c>
      <c r="O436" t="str">
        <f t="shared" si="19"/>
        <v/>
      </c>
      <c r="P436" s="17" t="str" cm="1">
        <f t="array" ref="P436">IFERROR(INDEX(Create_TC_Web!S$1:S$500,SMALL(IF(Create_TC_Web!$C$1:$C$500&lt;&gt;"",MATCH(ROW(Create_TC_Web!$C$1:$C$500),ROW(Create_TC_Web!$C$1:$C$500)),""),ROW(Create_TC_Web!Q414))),"")</f>
        <v/>
      </c>
      <c r="S436" t="str">
        <f t="shared" si="20"/>
        <v/>
      </c>
    </row>
    <row r="437" spans="1:19">
      <c r="A437" t="str" cm="1">
        <f t="array" ref="A437">IFERROR(INDEX(Create_TC_Web!D$1:D$500,SMALL(IF(Create_TC_Web!$C$1:$C$500&lt;&gt;"",MATCH(ROW(Create_TC_Web!$C$1:$C$500),ROW(Create_TC_Web!$C$1:$C$500)),""),ROW(Create_TC_Web!B437))),"")</f>
        <v/>
      </c>
      <c r="B437" t="str" cm="1">
        <f t="array" ref="B437">SUBSTITUTE(SUBSTITUTE(SUBSTITUTE(IFERROR(INDEX(Create_TC_Web!E$1:E$505,SMALL(IF(Create_TC_Web!$C$1:$C$505&lt;&gt;"",MATCH(ROW(Create_TC_Web!$C$1:$C$505),ROW(Create_TC_Web!$C$1:$C$505)),""),ROW(Create_TC_Web!C437))),"")," ",""),"-",""),"_","")</f>
        <v/>
      </c>
      <c r="C437" t="str" cm="1">
        <f t="array" ref="C437">IFERROR(INDEX(Create_TC_Web!F$1:F$500,SMALL(IF(Create_TC_Web!$C$1:$C$500&lt;&gt;"",MATCH(ROW(Create_TC_Web!$C$1:$C$500),ROW(Create_TC_Web!$C$1:$C$500)),""),ROW(Create_TC_Web!D437))),"")</f>
        <v/>
      </c>
      <c r="D437" t="str" cm="1">
        <f t="array" ref="D437">IFERROR(INDEX(Create_TC_Web!G$1:G$500,SMALL(IF(Create_TC_Web!$C$1:$C$500&lt;&gt;"",MATCH(ROW(Create_TC_Web!$C$1:$C$500),ROW(Create_TC_Web!$C$1:$C$500)),""),ROW(Create_TC_Web!E437))),"")</f>
        <v/>
      </c>
      <c r="E437" t="str" cm="1">
        <f t="array" ref="E437">IFERROR(INDEX(Create_TC_Web!H$1:H$500,SMALL(IF(Create_TC_Web!$C$1:$C$500&lt;&gt;"",MATCH(ROW(Create_TC_Web!$C$1:$C$500),ROW(Create_TC_Web!$C$1:$C$500)),""),ROW(Create_TC_Web!F437))),"")</f>
        <v/>
      </c>
      <c r="F437" t="str" cm="1">
        <f t="array" ref="F437">IFERROR(INDEX(Create_TC_Web!I$1:I$500,SMALL(IF(Create_TC_Web!$C$1:$C$500&lt;&gt;"",MATCH(ROW(Create_TC_Web!$C$1:$C$500),ROW(Create_TC_Web!$C$1:$C$500)),""),ROW(Create_TC_Web!G437))),"")</f>
        <v/>
      </c>
      <c r="G437" t="str" cm="1">
        <f t="array" ref="G437">IFERROR(INDEX(Create_TC_Web!J$1:J$500,SMALL(IF(Create_TC_Web!$C$1:$C$500&lt;&gt;"",MATCH(ROW(Create_TC_Web!$C$1:$C$500),ROW(Create_TC_Web!$C$1:$C$500)),""),ROW(Create_TC_Web!H437))),"")</f>
        <v/>
      </c>
      <c r="H437" t="str" cm="1">
        <f t="array" ref="H437">IFERROR(INDEX(Create_TC_Web!K$1:K$500,SMALL(IF(Create_TC_Web!$C$1:$C$500&lt;&gt;"",MATCH(ROW(Create_TC_Web!$C$1:$C$500),ROW(Create_TC_Web!$C$1:$C$500)),""),ROW(Create_TC_Web!I437))),"")</f>
        <v/>
      </c>
      <c r="I437" t="str" cm="1">
        <f t="array" ref="I437">IFERROR(INDEX(Create_TC_Web!L$1:L$500,SMALL(IF(Create_TC_Web!$C$1:$C$500&lt;&gt;"",MATCH(ROW(Create_TC_Web!$C$1:$C$500),ROW(Create_TC_Web!$C$1:$C$500)),""),ROW(Create_TC_Web!J437))),"")</f>
        <v/>
      </c>
      <c r="J437" t="str" cm="1">
        <f t="array" ref="J437">IFERROR(INDEX(Create_TC_Web!M$1:M$500,SMALL(IF(Create_TC_Web!$C$1:$C$500&lt;&gt;"",MATCH(ROW(Create_TC_Web!$C$1:$C$500),ROW(Create_TC_Web!$C$1:$C$500)),""),ROW(Create_TC_Web!K437))),"")</f>
        <v/>
      </c>
      <c r="K437" t="str" cm="1">
        <f t="array" ref="K437">IFERROR(INDEX(Create_TC_Web!N$1:N$500,SMALL(IF(Create_TC_Web!$C$1:$C$500&lt;&gt;"",MATCH(ROW(Create_TC_Web!$C$1:$C$500),ROW(Create_TC_Web!$C$1:$C$500)),""),ROW(Create_TC_Web!L437))),"")</f>
        <v/>
      </c>
      <c r="L437" t="str" cm="1">
        <f t="array" ref="L437">IFERROR(INDEX(Create_TC_Web!O$1:O$500,SMALL(IF(Create_TC_Web!$C$1:$C$500&lt;&gt;"",MATCH(ROW(Create_TC_Web!$C$1:$C$500),ROW(Create_TC_Web!$C$1:$C$500)),""),ROW(Create_TC_Web!M437))),"")</f>
        <v/>
      </c>
      <c r="M437" t="str" cm="1">
        <f t="array" ref="M437">IFERROR(INDEX(Create_TC_Web!P$1:P$500,SMALL(IF(Create_TC_Web!$C$1:$C$500&lt;&gt;"",MATCH(ROW(Create_TC_Web!$C$1:$C$500),ROW(Create_TC_Web!$C$1:$C$500)),""),ROW(Create_TC_Web!N437))),"")</f>
        <v/>
      </c>
      <c r="N437" t="str" cm="1">
        <f t="array" ref="N437">IFERROR(INDEX(Create_TC_Web!Q$1:Q$500,SMALL(IF(Create_TC_Web!$C$1:$C$500&lt;&gt;"",MATCH(ROW(Create_TC_Web!$C$1:$C$500),ROW(Create_TC_Web!$C$1:$C$500)),""),ROW(Create_TC_Web!O437))),"")</f>
        <v/>
      </c>
      <c r="O437" t="str">
        <f t="shared" si="19"/>
        <v/>
      </c>
      <c r="P437" s="17" t="str" cm="1">
        <f t="array" ref="P437">IFERROR(INDEX(Create_TC_Web!S$1:S$500,SMALL(IF(Create_TC_Web!$C$1:$C$500&lt;&gt;"",MATCH(ROW(Create_TC_Web!$C$1:$C$500),ROW(Create_TC_Web!$C$1:$C$500)),""),ROW(Create_TC_Web!Q415))),"")</f>
        <v/>
      </c>
      <c r="S437" t="str">
        <f t="shared" si="20"/>
        <v/>
      </c>
    </row>
    <row r="438" spans="1:19">
      <c r="A438" t="str" cm="1">
        <f t="array" ref="A438">IFERROR(INDEX(Create_TC_Web!D$1:D$500,SMALL(IF(Create_TC_Web!$C$1:$C$500&lt;&gt;"",MATCH(ROW(Create_TC_Web!$C$1:$C$500),ROW(Create_TC_Web!$C$1:$C$500)),""),ROW(Create_TC_Web!B438))),"")</f>
        <v/>
      </c>
      <c r="B438" t="str" cm="1">
        <f t="array" ref="B438">SUBSTITUTE(SUBSTITUTE(SUBSTITUTE(IFERROR(INDEX(Create_TC_Web!E$1:E$505,SMALL(IF(Create_TC_Web!$C$1:$C$505&lt;&gt;"",MATCH(ROW(Create_TC_Web!$C$1:$C$505),ROW(Create_TC_Web!$C$1:$C$505)),""),ROW(Create_TC_Web!C438))),"")," ",""),"-",""),"_","")</f>
        <v/>
      </c>
      <c r="C438" t="str" cm="1">
        <f t="array" ref="C438">IFERROR(INDEX(Create_TC_Web!F$1:F$500,SMALL(IF(Create_TC_Web!$C$1:$C$500&lt;&gt;"",MATCH(ROW(Create_TC_Web!$C$1:$C$500),ROW(Create_TC_Web!$C$1:$C$500)),""),ROW(Create_TC_Web!D438))),"")</f>
        <v/>
      </c>
      <c r="D438" t="str" cm="1">
        <f t="array" ref="D438">IFERROR(INDEX(Create_TC_Web!G$1:G$500,SMALL(IF(Create_TC_Web!$C$1:$C$500&lt;&gt;"",MATCH(ROW(Create_TC_Web!$C$1:$C$500),ROW(Create_TC_Web!$C$1:$C$500)),""),ROW(Create_TC_Web!E438))),"")</f>
        <v/>
      </c>
      <c r="E438" t="str" cm="1">
        <f t="array" ref="E438">IFERROR(INDEX(Create_TC_Web!H$1:H$500,SMALL(IF(Create_TC_Web!$C$1:$C$500&lt;&gt;"",MATCH(ROW(Create_TC_Web!$C$1:$C$500),ROW(Create_TC_Web!$C$1:$C$500)),""),ROW(Create_TC_Web!F438))),"")</f>
        <v/>
      </c>
      <c r="F438" t="str" cm="1">
        <f t="array" ref="F438">IFERROR(INDEX(Create_TC_Web!I$1:I$500,SMALL(IF(Create_TC_Web!$C$1:$C$500&lt;&gt;"",MATCH(ROW(Create_TC_Web!$C$1:$C$500),ROW(Create_TC_Web!$C$1:$C$500)),""),ROW(Create_TC_Web!G438))),"")</f>
        <v/>
      </c>
      <c r="G438" t="str" cm="1">
        <f t="array" ref="G438">IFERROR(INDEX(Create_TC_Web!J$1:J$500,SMALL(IF(Create_TC_Web!$C$1:$C$500&lt;&gt;"",MATCH(ROW(Create_TC_Web!$C$1:$C$500),ROW(Create_TC_Web!$C$1:$C$500)),""),ROW(Create_TC_Web!H438))),"")</f>
        <v/>
      </c>
      <c r="H438" t="str" cm="1">
        <f t="array" ref="H438">IFERROR(INDEX(Create_TC_Web!K$1:K$500,SMALL(IF(Create_TC_Web!$C$1:$C$500&lt;&gt;"",MATCH(ROW(Create_TC_Web!$C$1:$C$500),ROW(Create_TC_Web!$C$1:$C$500)),""),ROW(Create_TC_Web!I438))),"")</f>
        <v/>
      </c>
      <c r="I438" t="str" cm="1">
        <f t="array" ref="I438">IFERROR(INDEX(Create_TC_Web!L$1:L$500,SMALL(IF(Create_TC_Web!$C$1:$C$500&lt;&gt;"",MATCH(ROW(Create_TC_Web!$C$1:$C$500),ROW(Create_TC_Web!$C$1:$C$500)),""),ROW(Create_TC_Web!J438))),"")</f>
        <v/>
      </c>
      <c r="J438" t="str" cm="1">
        <f t="array" ref="J438">IFERROR(INDEX(Create_TC_Web!M$1:M$500,SMALL(IF(Create_TC_Web!$C$1:$C$500&lt;&gt;"",MATCH(ROW(Create_TC_Web!$C$1:$C$500),ROW(Create_TC_Web!$C$1:$C$500)),""),ROW(Create_TC_Web!K438))),"")</f>
        <v/>
      </c>
      <c r="K438" t="str" cm="1">
        <f t="array" ref="K438">IFERROR(INDEX(Create_TC_Web!N$1:N$500,SMALL(IF(Create_TC_Web!$C$1:$C$500&lt;&gt;"",MATCH(ROW(Create_TC_Web!$C$1:$C$500),ROW(Create_TC_Web!$C$1:$C$500)),""),ROW(Create_TC_Web!L438))),"")</f>
        <v/>
      </c>
      <c r="L438" t="str" cm="1">
        <f t="array" ref="L438">IFERROR(INDEX(Create_TC_Web!O$1:O$500,SMALL(IF(Create_TC_Web!$C$1:$C$500&lt;&gt;"",MATCH(ROW(Create_TC_Web!$C$1:$C$500),ROW(Create_TC_Web!$C$1:$C$500)),""),ROW(Create_TC_Web!M438))),"")</f>
        <v/>
      </c>
      <c r="M438" t="str" cm="1">
        <f t="array" ref="M438">IFERROR(INDEX(Create_TC_Web!P$1:P$500,SMALL(IF(Create_TC_Web!$C$1:$C$500&lt;&gt;"",MATCH(ROW(Create_TC_Web!$C$1:$C$500),ROW(Create_TC_Web!$C$1:$C$500)),""),ROW(Create_TC_Web!N438))),"")</f>
        <v/>
      </c>
      <c r="N438" t="str" cm="1">
        <f t="array" ref="N438">IFERROR(INDEX(Create_TC_Web!Q$1:Q$500,SMALL(IF(Create_TC_Web!$C$1:$C$500&lt;&gt;"",MATCH(ROW(Create_TC_Web!$C$1:$C$500),ROW(Create_TC_Web!$C$1:$C$500)),""),ROW(Create_TC_Web!O438))),"")</f>
        <v/>
      </c>
      <c r="O438" t="str">
        <f t="shared" si="19"/>
        <v/>
      </c>
      <c r="P438" s="17" t="str" cm="1">
        <f t="array" ref="P438">IFERROR(INDEX(Create_TC_Web!S$1:S$500,SMALL(IF(Create_TC_Web!$C$1:$C$500&lt;&gt;"",MATCH(ROW(Create_TC_Web!$C$1:$C$500),ROW(Create_TC_Web!$C$1:$C$500)),""),ROW(Create_TC_Web!Q416))),"")</f>
        <v/>
      </c>
      <c r="S438" t="str">
        <f t="shared" si="20"/>
        <v/>
      </c>
    </row>
    <row r="439" spans="1:19">
      <c r="A439" t="str" cm="1">
        <f t="array" ref="A439">IFERROR(INDEX(Create_TC_Web!D$1:D$500,SMALL(IF(Create_TC_Web!$C$1:$C$500&lt;&gt;"",MATCH(ROW(Create_TC_Web!$C$1:$C$500),ROW(Create_TC_Web!$C$1:$C$500)),""),ROW(Create_TC_Web!B439))),"")</f>
        <v/>
      </c>
      <c r="B439" t="str" cm="1">
        <f t="array" ref="B439">SUBSTITUTE(SUBSTITUTE(SUBSTITUTE(IFERROR(INDEX(Create_TC_Web!E$1:E$505,SMALL(IF(Create_TC_Web!$C$1:$C$505&lt;&gt;"",MATCH(ROW(Create_TC_Web!$C$1:$C$505),ROW(Create_TC_Web!$C$1:$C$505)),""),ROW(Create_TC_Web!C439))),"")," ",""),"-",""),"_","")</f>
        <v/>
      </c>
      <c r="C439" t="str" cm="1">
        <f t="array" ref="C439">IFERROR(INDEX(Create_TC_Web!F$1:F$500,SMALL(IF(Create_TC_Web!$C$1:$C$500&lt;&gt;"",MATCH(ROW(Create_TC_Web!$C$1:$C$500),ROW(Create_TC_Web!$C$1:$C$500)),""),ROW(Create_TC_Web!D439))),"")</f>
        <v/>
      </c>
      <c r="D439" t="str" cm="1">
        <f t="array" ref="D439">IFERROR(INDEX(Create_TC_Web!G$1:G$500,SMALL(IF(Create_TC_Web!$C$1:$C$500&lt;&gt;"",MATCH(ROW(Create_TC_Web!$C$1:$C$500),ROW(Create_TC_Web!$C$1:$C$500)),""),ROW(Create_TC_Web!E439))),"")</f>
        <v/>
      </c>
      <c r="E439" t="str" cm="1">
        <f t="array" ref="E439">IFERROR(INDEX(Create_TC_Web!H$1:H$500,SMALL(IF(Create_TC_Web!$C$1:$C$500&lt;&gt;"",MATCH(ROW(Create_TC_Web!$C$1:$C$500),ROW(Create_TC_Web!$C$1:$C$500)),""),ROW(Create_TC_Web!F439))),"")</f>
        <v/>
      </c>
      <c r="F439" t="str" cm="1">
        <f t="array" ref="F439">IFERROR(INDEX(Create_TC_Web!I$1:I$500,SMALL(IF(Create_TC_Web!$C$1:$C$500&lt;&gt;"",MATCH(ROW(Create_TC_Web!$C$1:$C$500),ROW(Create_TC_Web!$C$1:$C$500)),""),ROW(Create_TC_Web!G439))),"")</f>
        <v/>
      </c>
      <c r="G439" t="str" cm="1">
        <f t="array" ref="G439">IFERROR(INDEX(Create_TC_Web!J$1:J$500,SMALL(IF(Create_TC_Web!$C$1:$C$500&lt;&gt;"",MATCH(ROW(Create_TC_Web!$C$1:$C$500),ROW(Create_TC_Web!$C$1:$C$500)),""),ROW(Create_TC_Web!H439))),"")</f>
        <v/>
      </c>
      <c r="H439" t="str" cm="1">
        <f t="array" ref="H439">IFERROR(INDEX(Create_TC_Web!K$1:K$500,SMALL(IF(Create_TC_Web!$C$1:$C$500&lt;&gt;"",MATCH(ROW(Create_TC_Web!$C$1:$C$500),ROW(Create_TC_Web!$C$1:$C$500)),""),ROW(Create_TC_Web!I439))),"")</f>
        <v/>
      </c>
      <c r="I439" t="str" cm="1">
        <f t="array" ref="I439">IFERROR(INDEX(Create_TC_Web!L$1:L$500,SMALL(IF(Create_TC_Web!$C$1:$C$500&lt;&gt;"",MATCH(ROW(Create_TC_Web!$C$1:$C$500),ROW(Create_TC_Web!$C$1:$C$500)),""),ROW(Create_TC_Web!J439))),"")</f>
        <v/>
      </c>
      <c r="J439" t="str" cm="1">
        <f t="array" ref="J439">IFERROR(INDEX(Create_TC_Web!M$1:M$500,SMALL(IF(Create_TC_Web!$C$1:$C$500&lt;&gt;"",MATCH(ROW(Create_TC_Web!$C$1:$C$500),ROW(Create_TC_Web!$C$1:$C$500)),""),ROW(Create_TC_Web!K439))),"")</f>
        <v/>
      </c>
      <c r="K439" t="str" cm="1">
        <f t="array" ref="K439">IFERROR(INDEX(Create_TC_Web!N$1:N$500,SMALL(IF(Create_TC_Web!$C$1:$C$500&lt;&gt;"",MATCH(ROW(Create_TC_Web!$C$1:$C$500),ROW(Create_TC_Web!$C$1:$C$500)),""),ROW(Create_TC_Web!L439))),"")</f>
        <v/>
      </c>
      <c r="L439" t="str" cm="1">
        <f t="array" ref="L439">IFERROR(INDEX(Create_TC_Web!O$1:O$500,SMALL(IF(Create_TC_Web!$C$1:$C$500&lt;&gt;"",MATCH(ROW(Create_TC_Web!$C$1:$C$500),ROW(Create_TC_Web!$C$1:$C$500)),""),ROW(Create_TC_Web!M439))),"")</f>
        <v/>
      </c>
      <c r="M439" t="str" cm="1">
        <f t="array" ref="M439">IFERROR(INDEX(Create_TC_Web!P$1:P$500,SMALL(IF(Create_TC_Web!$C$1:$C$500&lt;&gt;"",MATCH(ROW(Create_TC_Web!$C$1:$C$500),ROW(Create_TC_Web!$C$1:$C$500)),""),ROW(Create_TC_Web!N439))),"")</f>
        <v/>
      </c>
      <c r="N439" t="str" cm="1">
        <f t="array" ref="N439">IFERROR(INDEX(Create_TC_Web!Q$1:Q$500,SMALL(IF(Create_TC_Web!$C$1:$C$500&lt;&gt;"",MATCH(ROW(Create_TC_Web!$C$1:$C$500),ROW(Create_TC_Web!$C$1:$C$500)),""),ROW(Create_TC_Web!O439))),"")</f>
        <v/>
      </c>
      <c r="O439" t="str">
        <f t="shared" si="19"/>
        <v/>
      </c>
      <c r="P439" s="17" t="str" cm="1">
        <f t="array" ref="P439">IFERROR(INDEX(Create_TC_Web!S$1:S$500,SMALL(IF(Create_TC_Web!$C$1:$C$500&lt;&gt;"",MATCH(ROW(Create_TC_Web!$C$1:$C$500),ROW(Create_TC_Web!$C$1:$C$500)),""),ROW(Create_TC_Web!Q417))),"")</f>
        <v/>
      </c>
      <c r="S439" t="str">
        <f t="shared" si="20"/>
        <v/>
      </c>
    </row>
    <row r="440" spans="1:19">
      <c r="A440" t="str" cm="1">
        <f t="array" ref="A440">IFERROR(INDEX(Create_TC_Web!D$1:D$500,SMALL(IF(Create_TC_Web!$C$1:$C$500&lt;&gt;"",MATCH(ROW(Create_TC_Web!$C$1:$C$500),ROW(Create_TC_Web!$C$1:$C$500)),""),ROW(Create_TC_Web!B440))),"")</f>
        <v/>
      </c>
      <c r="B440" t="str" cm="1">
        <f t="array" ref="B440">SUBSTITUTE(SUBSTITUTE(SUBSTITUTE(IFERROR(INDEX(Create_TC_Web!E$1:E$505,SMALL(IF(Create_TC_Web!$C$1:$C$505&lt;&gt;"",MATCH(ROW(Create_TC_Web!$C$1:$C$505),ROW(Create_TC_Web!$C$1:$C$505)),""),ROW(Create_TC_Web!C440))),"")," ",""),"-",""),"_","")</f>
        <v/>
      </c>
      <c r="C440" t="str" cm="1">
        <f t="array" ref="C440">IFERROR(INDEX(Create_TC_Web!F$1:F$500,SMALL(IF(Create_TC_Web!$C$1:$C$500&lt;&gt;"",MATCH(ROW(Create_TC_Web!$C$1:$C$500),ROW(Create_TC_Web!$C$1:$C$500)),""),ROW(Create_TC_Web!D440))),"")</f>
        <v/>
      </c>
      <c r="D440" t="str" cm="1">
        <f t="array" ref="D440">IFERROR(INDEX(Create_TC_Web!G$1:G$500,SMALL(IF(Create_TC_Web!$C$1:$C$500&lt;&gt;"",MATCH(ROW(Create_TC_Web!$C$1:$C$500),ROW(Create_TC_Web!$C$1:$C$500)),""),ROW(Create_TC_Web!E440))),"")</f>
        <v/>
      </c>
      <c r="E440" t="str" cm="1">
        <f t="array" ref="E440">IFERROR(INDEX(Create_TC_Web!H$1:H$500,SMALL(IF(Create_TC_Web!$C$1:$C$500&lt;&gt;"",MATCH(ROW(Create_TC_Web!$C$1:$C$500),ROW(Create_TC_Web!$C$1:$C$500)),""),ROW(Create_TC_Web!F440))),"")</f>
        <v/>
      </c>
      <c r="F440" t="str" cm="1">
        <f t="array" ref="F440">IFERROR(INDEX(Create_TC_Web!I$1:I$500,SMALL(IF(Create_TC_Web!$C$1:$C$500&lt;&gt;"",MATCH(ROW(Create_TC_Web!$C$1:$C$500),ROW(Create_TC_Web!$C$1:$C$500)),""),ROW(Create_TC_Web!G440))),"")</f>
        <v/>
      </c>
      <c r="G440" t="str" cm="1">
        <f t="array" ref="G440">IFERROR(INDEX(Create_TC_Web!J$1:J$500,SMALL(IF(Create_TC_Web!$C$1:$C$500&lt;&gt;"",MATCH(ROW(Create_TC_Web!$C$1:$C$500),ROW(Create_TC_Web!$C$1:$C$500)),""),ROW(Create_TC_Web!H440))),"")</f>
        <v/>
      </c>
      <c r="H440" t="str" cm="1">
        <f t="array" ref="H440">IFERROR(INDEX(Create_TC_Web!K$1:K$500,SMALL(IF(Create_TC_Web!$C$1:$C$500&lt;&gt;"",MATCH(ROW(Create_TC_Web!$C$1:$C$500),ROW(Create_TC_Web!$C$1:$C$500)),""),ROW(Create_TC_Web!I440))),"")</f>
        <v/>
      </c>
      <c r="I440" t="str" cm="1">
        <f t="array" ref="I440">IFERROR(INDEX(Create_TC_Web!L$1:L$500,SMALL(IF(Create_TC_Web!$C$1:$C$500&lt;&gt;"",MATCH(ROW(Create_TC_Web!$C$1:$C$500),ROW(Create_TC_Web!$C$1:$C$500)),""),ROW(Create_TC_Web!J440))),"")</f>
        <v/>
      </c>
      <c r="J440" t="str" cm="1">
        <f t="array" ref="J440">IFERROR(INDEX(Create_TC_Web!M$1:M$500,SMALL(IF(Create_TC_Web!$C$1:$C$500&lt;&gt;"",MATCH(ROW(Create_TC_Web!$C$1:$C$500),ROW(Create_TC_Web!$C$1:$C$500)),""),ROW(Create_TC_Web!K440))),"")</f>
        <v/>
      </c>
      <c r="K440" t="str" cm="1">
        <f t="array" ref="K440">IFERROR(INDEX(Create_TC_Web!N$1:N$500,SMALL(IF(Create_TC_Web!$C$1:$C$500&lt;&gt;"",MATCH(ROW(Create_TC_Web!$C$1:$C$500),ROW(Create_TC_Web!$C$1:$C$500)),""),ROW(Create_TC_Web!L440))),"")</f>
        <v/>
      </c>
      <c r="L440" t="str" cm="1">
        <f t="array" ref="L440">IFERROR(INDEX(Create_TC_Web!O$1:O$500,SMALL(IF(Create_TC_Web!$C$1:$C$500&lt;&gt;"",MATCH(ROW(Create_TC_Web!$C$1:$C$500),ROW(Create_TC_Web!$C$1:$C$500)),""),ROW(Create_TC_Web!M440))),"")</f>
        <v/>
      </c>
      <c r="M440" t="str" cm="1">
        <f t="array" ref="M440">IFERROR(INDEX(Create_TC_Web!P$1:P$500,SMALL(IF(Create_TC_Web!$C$1:$C$500&lt;&gt;"",MATCH(ROW(Create_TC_Web!$C$1:$C$500),ROW(Create_TC_Web!$C$1:$C$500)),""),ROW(Create_TC_Web!N440))),"")</f>
        <v/>
      </c>
      <c r="N440" t="str" cm="1">
        <f t="array" ref="N440">IFERROR(INDEX(Create_TC_Web!Q$1:Q$500,SMALL(IF(Create_TC_Web!$C$1:$C$500&lt;&gt;"",MATCH(ROW(Create_TC_Web!$C$1:$C$500),ROW(Create_TC_Web!$C$1:$C$500)),""),ROW(Create_TC_Web!O440))),"")</f>
        <v/>
      </c>
      <c r="O440" t="str">
        <f t="shared" si="19"/>
        <v/>
      </c>
      <c r="P440" s="17" t="str" cm="1">
        <f t="array" ref="P440">IFERROR(INDEX(Create_TC_Web!S$1:S$500,SMALL(IF(Create_TC_Web!$C$1:$C$500&lt;&gt;"",MATCH(ROW(Create_TC_Web!$C$1:$C$500),ROW(Create_TC_Web!$C$1:$C$500)),""),ROW(Create_TC_Web!Q418))),"")</f>
        <v/>
      </c>
      <c r="S440" t="str">
        <f t="shared" si="20"/>
        <v/>
      </c>
    </row>
    <row r="441" spans="1:19">
      <c r="A441" t="str" cm="1">
        <f t="array" ref="A441">IFERROR(INDEX(Create_TC_Web!D$1:D$500,SMALL(IF(Create_TC_Web!$C$1:$C$500&lt;&gt;"",MATCH(ROW(Create_TC_Web!$C$1:$C$500),ROW(Create_TC_Web!$C$1:$C$500)),""),ROW(Create_TC_Web!B441))),"")</f>
        <v/>
      </c>
      <c r="B441" t="str" cm="1">
        <f t="array" ref="B441">SUBSTITUTE(SUBSTITUTE(SUBSTITUTE(IFERROR(INDEX(Create_TC_Web!E$1:E$505,SMALL(IF(Create_TC_Web!$C$1:$C$505&lt;&gt;"",MATCH(ROW(Create_TC_Web!$C$1:$C$505),ROW(Create_TC_Web!$C$1:$C$505)),""),ROW(Create_TC_Web!C441))),"")," ",""),"-",""),"_","")</f>
        <v/>
      </c>
      <c r="C441" t="str" cm="1">
        <f t="array" ref="C441">IFERROR(INDEX(Create_TC_Web!F$1:F$500,SMALL(IF(Create_TC_Web!$C$1:$C$500&lt;&gt;"",MATCH(ROW(Create_TC_Web!$C$1:$C$500),ROW(Create_TC_Web!$C$1:$C$500)),""),ROW(Create_TC_Web!D441))),"")</f>
        <v/>
      </c>
      <c r="D441" t="str" cm="1">
        <f t="array" ref="D441">IFERROR(INDEX(Create_TC_Web!G$1:G$500,SMALL(IF(Create_TC_Web!$C$1:$C$500&lt;&gt;"",MATCH(ROW(Create_TC_Web!$C$1:$C$500),ROW(Create_TC_Web!$C$1:$C$500)),""),ROW(Create_TC_Web!E441))),"")</f>
        <v/>
      </c>
      <c r="E441" t="str" cm="1">
        <f t="array" ref="E441">IFERROR(INDEX(Create_TC_Web!H$1:H$500,SMALL(IF(Create_TC_Web!$C$1:$C$500&lt;&gt;"",MATCH(ROW(Create_TC_Web!$C$1:$C$500),ROW(Create_TC_Web!$C$1:$C$500)),""),ROW(Create_TC_Web!F441))),"")</f>
        <v/>
      </c>
      <c r="F441" t="str" cm="1">
        <f t="array" ref="F441">IFERROR(INDEX(Create_TC_Web!I$1:I$500,SMALL(IF(Create_TC_Web!$C$1:$C$500&lt;&gt;"",MATCH(ROW(Create_TC_Web!$C$1:$C$500),ROW(Create_TC_Web!$C$1:$C$500)),""),ROW(Create_TC_Web!G441))),"")</f>
        <v/>
      </c>
      <c r="G441" t="str" cm="1">
        <f t="array" ref="G441">IFERROR(INDEX(Create_TC_Web!J$1:J$500,SMALL(IF(Create_TC_Web!$C$1:$C$500&lt;&gt;"",MATCH(ROW(Create_TC_Web!$C$1:$C$500),ROW(Create_TC_Web!$C$1:$C$500)),""),ROW(Create_TC_Web!H441))),"")</f>
        <v/>
      </c>
      <c r="H441" t="str" cm="1">
        <f t="array" ref="H441">IFERROR(INDEX(Create_TC_Web!K$1:K$500,SMALL(IF(Create_TC_Web!$C$1:$C$500&lt;&gt;"",MATCH(ROW(Create_TC_Web!$C$1:$C$500),ROW(Create_TC_Web!$C$1:$C$500)),""),ROW(Create_TC_Web!I441))),"")</f>
        <v/>
      </c>
      <c r="I441" t="str" cm="1">
        <f t="array" ref="I441">IFERROR(INDEX(Create_TC_Web!L$1:L$500,SMALL(IF(Create_TC_Web!$C$1:$C$500&lt;&gt;"",MATCH(ROW(Create_TC_Web!$C$1:$C$500),ROW(Create_TC_Web!$C$1:$C$500)),""),ROW(Create_TC_Web!J441))),"")</f>
        <v/>
      </c>
      <c r="J441" t="str" cm="1">
        <f t="array" ref="J441">IFERROR(INDEX(Create_TC_Web!M$1:M$500,SMALL(IF(Create_TC_Web!$C$1:$C$500&lt;&gt;"",MATCH(ROW(Create_TC_Web!$C$1:$C$500),ROW(Create_TC_Web!$C$1:$C$500)),""),ROW(Create_TC_Web!K441))),"")</f>
        <v/>
      </c>
      <c r="K441" t="str" cm="1">
        <f t="array" ref="K441">IFERROR(INDEX(Create_TC_Web!N$1:N$500,SMALL(IF(Create_TC_Web!$C$1:$C$500&lt;&gt;"",MATCH(ROW(Create_TC_Web!$C$1:$C$500),ROW(Create_TC_Web!$C$1:$C$500)),""),ROW(Create_TC_Web!L441))),"")</f>
        <v/>
      </c>
      <c r="L441" t="str" cm="1">
        <f t="array" ref="L441">IFERROR(INDEX(Create_TC_Web!O$1:O$500,SMALL(IF(Create_TC_Web!$C$1:$C$500&lt;&gt;"",MATCH(ROW(Create_TC_Web!$C$1:$C$500),ROW(Create_TC_Web!$C$1:$C$500)),""),ROW(Create_TC_Web!M441))),"")</f>
        <v/>
      </c>
      <c r="M441" t="str" cm="1">
        <f t="array" ref="M441">IFERROR(INDEX(Create_TC_Web!P$1:P$500,SMALL(IF(Create_TC_Web!$C$1:$C$500&lt;&gt;"",MATCH(ROW(Create_TC_Web!$C$1:$C$500),ROW(Create_TC_Web!$C$1:$C$500)),""),ROW(Create_TC_Web!N441))),"")</f>
        <v/>
      </c>
      <c r="N441" t="str" cm="1">
        <f t="array" ref="N441">IFERROR(INDEX(Create_TC_Web!Q$1:Q$500,SMALL(IF(Create_TC_Web!$C$1:$C$500&lt;&gt;"",MATCH(ROW(Create_TC_Web!$C$1:$C$500),ROW(Create_TC_Web!$C$1:$C$500)),""),ROW(Create_TC_Web!O441))),"")</f>
        <v/>
      </c>
      <c r="O441" t="str">
        <f t="shared" si="19"/>
        <v/>
      </c>
      <c r="P441" s="17" t="str" cm="1">
        <f t="array" ref="P441">IFERROR(INDEX(Create_TC_Web!S$1:S$500,SMALL(IF(Create_TC_Web!$C$1:$C$500&lt;&gt;"",MATCH(ROW(Create_TC_Web!$C$1:$C$500),ROW(Create_TC_Web!$C$1:$C$500)),""),ROW(Create_TC_Web!Q419))),"")</f>
        <v/>
      </c>
      <c r="S441" t="str">
        <f t="shared" si="20"/>
        <v/>
      </c>
    </row>
    <row r="442" spans="1:19">
      <c r="A442" t="str" cm="1">
        <f t="array" ref="A442">IFERROR(INDEX(Create_TC_Web!D$1:D$500,SMALL(IF(Create_TC_Web!$C$1:$C$500&lt;&gt;"",MATCH(ROW(Create_TC_Web!$C$1:$C$500),ROW(Create_TC_Web!$C$1:$C$500)),""),ROW(Create_TC_Web!B442))),"")</f>
        <v/>
      </c>
      <c r="B442" t="str" cm="1">
        <f t="array" ref="B442">SUBSTITUTE(SUBSTITUTE(SUBSTITUTE(IFERROR(INDEX(Create_TC_Web!E$1:E$505,SMALL(IF(Create_TC_Web!$C$1:$C$505&lt;&gt;"",MATCH(ROW(Create_TC_Web!$C$1:$C$505),ROW(Create_TC_Web!$C$1:$C$505)),""),ROW(Create_TC_Web!C442))),"")," ",""),"-",""),"_","")</f>
        <v/>
      </c>
      <c r="C442" t="str" cm="1">
        <f t="array" ref="C442">IFERROR(INDEX(Create_TC_Web!F$1:F$500,SMALL(IF(Create_TC_Web!$C$1:$C$500&lt;&gt;"",MATCH(ROW(Create_TC_Web!$C$1:$C$500),ROW(Create_TC_Web!$C$1:$C$500)),""),ROW(Create_TC_Web!D442))),"")</f>
        <v/>
      </c>
      <c r="D442" t="str" cm="1">
        <f t="array" ref="D442">IFERROR(INDEX(Create_TC_Web!G$1:G$500,SMALL(IF(Create_TC_Web!$C$1:$C$500&lt;&gt;"",MATCH(ROW(Create_TC_Web!$C$1:$C$500),ROW(Create_TC_Web!$C$1:$C$500)),""),ROW(Create_TC_Web!E442))),"")</f>
        <v/>
      </c>
      <c r="E442" t="str" cm="1">
        <f t="array" ref="E442">IFERROR(INDEX(Create_TC_Web!H$1:H$500,SMALL(IF(Create_TC_Web!$C$1:$C$500&lt;&gt;"",MATCH(ROW(Create_TC_Web!$C$1:$C$500),ROW(Create_TC_Web!$C$1:$C$500)),""),ROW(Create_TC_Web!F442))),"")</f>
        <v/>
      </c>
      <c r="F442" t="str" cm="1">
        <f t="array" ref="F442">IFERROR(INDEX(Create_TC_Web!I$1:I$500,SMALL(IF(Create_TC_Web!$C$1:$C$500&lt;&gt;"",MATCH(ROW(Create_TC_Web!$C$1:$C$500),ROW(Create_TC_Web!$C$1:$C$500)),""),ROW(Create_TC_Web!G442))),"")</f>
        <v/>
      </c>
      <c r="G442" t="str" cm="1">
        <f t="array" ref="G442">IFERROR(INDEX(Create_TC_Web!J$1:J$500,SMALL(IF(Create_TC_Web!$C$1:$C$500&lt;&gt;"",MATCH(ROW(Create_TC_Web!$C$1:$C$500),ROW(Create_TC_Web!$C$1:$C$500)),""),ROW(Create_TC_Web!H442))),"")</f>
        <v/>
      </c>
      <c r="H442" t="str" cm="1">
        <f t="array" ref="H442">IFERROR(INDEX(Create_TC_Web!K$1:K$500,SMALL(IF(Create_TC_Web!$C$1:$C$500&lt;&gt;"",MATCH(ROW(Create_TC_Web!$C$1:$C$500),ROW(Create_TC_Web!$C$1:$C$500)),""),ROW(Create_TC_Web!I442))),"")</f>
        <v/>
      </c>
      <c r="I442" t="str" cm="1">
        <f t="array" ref="I442">IFERROR(INDEX(Create_TC_Web!L$1:L$500,SMALL(IF(Create_TC_Web!$C$1:$C$500&lt;&gt;"",MATCH(ROW(Create_TC_Web!$C$1:$C$500),ROW(Create_TC_Web!$C$1:$C$500)),""),ROW(Create_TC_Web!J442))),"")</f>
        <v/>
      </c>
      <c r="J442" t="str" cm="1">
        <f t="array" ref="J442">IFERROR(INDEX(Create_TC_Web!M$1:M$500,SMALL(IF(Create_TC_Web!$C$1:$C$500&lt;&gt;"",MATCH(ROW(Create_TC_Web!$C$1:$C$500),ROW(Create_TC_Web!$C$1:$C$500)),""),ROW(Create_TC_Web!K442))),"")</f>
        <v/>
      </c>
      <c r="K442" t="str" cm="1">
        <f t="array" ref="K442">IFERROR(INDEX(Create_TC_Web!N$1:N$500,SMALL(IF(Create_TC_Web!$C$1:$C$500&lt;&gt;"",MATCH(ROW(Create_TC_Web!$C$1:$C$500),ROW(Create_TC_Web!$C$1:$C$500)),""),ROW(Create_TC_Web!L442))),"")</f>
        <v/>
      </c>
      <c r="L442" t="str" cm="1">
        <f t="array" ref="L442">IFERROR(INDEX(Create_TC_Web!O$1:O$500,SMALL(IF(Create_TC_Web!$C$1:$C$500&lt;&gt;"",MATCH(ROW(Create_TC_Web!$C$1:$C$500),ROW(Create_TC_Web!$C$1:$C$500)),""),ROW(Create_TC_Web!M442))),"")</f>
        <v/>
      </c>
      <c r="M442" t="str" cm="1">
        <f t="array" ref="M442">IFERROR(INDEX(Create_TC_Web!P$1:P$500,SMALL(IF(Create_TC_Web!$C$1:$C$500&lt;&gt;"",MATCH(ROW(Create_TC_Web!$C$1:$C$500),ROW(Create_TC_Web!$C$1:$C$500)),""),ROW(Create_TC_Web!N442))),"")</f>
        <v/>
      </c>
      <c r="N442" t="str" cm="1">
        <f t="array" ref="N442">IFERROR(INDEX(Create_TC_Web!Q$1:Q$500,SMALL(IF(Create_TC_Web!$C$1:$C$500&lt;&gt;"",MATCH(ROW(Create_TC_Web!$C$1:$C$500),ROW(Create_TC_Web!$C$1:$C$500)),""),ROW(Create_TC_Web!O442))),"")</f>
        <v/>
      </c>
      <c r="O442" t="str">
        <f t="shared" si="19"/>
        <v/>
      </c>
      <c r="P442" s="17" t="str" cm="1">
        <f t="array" ref="P442">IFERROR(INDEX(Create_TC_Web!S$1:S$500,SMALL(IF(Create_TC_Web!$C$1:$C$500&lt;&gt;"",MATCH(ROW(Create_TC_Web!$C$1:$C$500),ROW(Create_TC_Web!$C$1:$C$500)),""),ROW(Create_TC_Web!Q420))),"")</f>
        <v/>
      </c>
      <c r="S442" t="str">
        <f t="shared" si="20"/>
        <v/>
      </c>
    </row>
    <row r="443" spans="1:19">
      <c r="A443" t="str" cm="1">
        <f t="array" ref="A443">IFERROR(INDEX(Create_TC_Web!D$1:D$500,SMALL(IF(Create_TC_Web!$C$1:$C$500&lt;&gt;"",MATCH(ROW(Create_TC_Web!$C$1:$C$500),ROW(Create_TC_Web!$C$1:$C$500)),""),ROW(Create_TC_Web!B443))),"")</f>
        <v/>
      </c>
      <c r="B443" t="str" cm="1">
        <f t="array" ref="B443">SUBSTITUTE(SUBSTITUTE(SUBSTITUTE(IFERROR(INDEX(Create_TC_Web!E$1:E$505,SMALL(IF(Create_TC_Web!$C$1:$C$505&lt;&gt;"",MATCH(ROW(Create_TC_Web!$C$1:$C$505),ROW(Create_TC_Web!$C$1:$C$505)),""),ROW(Create_TC_Web!C443))),"")," ",""),"-",""),"_","")</f>
        <v/>
      </c>
      <c r="C443" t="str" cm="1">
        <f t="array" ref="C443">IFERROR(INDEX(Create_TC_Web!F$1:F$500,SMALL(IF(Create_TC_Web!$C$1:$C$500&lt;&gt;"",MATCH(ROW(Create_TC_Web!$C$1:$C$500),ROW(Create_TC_Web!$C$1:$C$500)),""),ROW(Create_TC_Web!D443))),"")</f>
        <v/>
      </c>
      <c r="D443" t="str" cm="1">
        <f t="array" ref="D443">IFERROR(INDEX(Create_TC_Web!G$1:G$500,SMALL(IF(Create_TC_Web!$C$1:$C$500&lt;&gt;"",MATCH(ROW(Create_TC_Web!$C$1:$C$500),ROW(Create_TC_Web!$C$1:$C$500)),""),ROW(Create_TC_Web!E443))),"")</f>
        <v/>
      </c>
      <c r="E443" t="str" cm="1">
        <f t="array" ref="E443">IFERROR(INDEX(Create_TC_Web!H$1:H$500,SMALL(IF(Create_TC_Web!$C$1:$C$500&lt;&gt;"",MATCH(ROW(Create_TC_Web!$C$1:$C$500),ROW(Create_TC_Web!$C$1:$C$500)),""),ROW(Create_TC_Web!F443))),"")</f>
        <v/>
      </c>
      <c r="F443" t="str" cm="1">
        <f t="array" ref="F443">IFERROR(INDEX(Create_TC_Web!I$1:I$500,SMALL(IF(Create_TC_Web!$C$1:$C$500&lt;&gt;"",MATCH(ROW(Create_TC_Web!$C$1:$C$500),ROW(Create_TC_Web!$C$1:$C$500)),""),ROW(Create_TC_Web!G443))),"")</f>
        <v/>
      </c>
      <c r="G443" t="str" cm="1">
        <f t="array" ref="G443">IFERROR(INDEX(Create_TC_Web!J$1:J$500,SMALL(IF(Create_TC_Web!$C$1:$C$500&lt;&gt;"",MATCH(ROW(Create_TC_Web!$C$1:$C$500),ROW(Create_TC_Web!$C$1:$C$500)),""),ROW(Create_TC_Web!H443))),"")</f>
        <v/>
      </c>
      <c r="H443" t="str" cm="1">
        <f t="array" ref="H443">IFERROR(INDEX(Create_TC_Web!K$1:K$500,SMALL(IF(Create_TC_Web!$C$1:$C$500&lt;&gt;"",MATCH(ROW(Create_TC_Web!$C$1:$C$500),ROW(Create_TC_Web!$C$1:$C$500)),""),ROW(Create_TC_Web!I443))),"")</f>
        <v/>
      </c>
      <c r="I443" t="str" cm="1">
        <f t="array" ref="I443">IFERROR(INDEX(Create_TC_Web!L$1:L$500,SMALL(IF(Create_TC_Web!$C$1:$C$500&lt;&gt;"",MATCH(ROW(Create_TC_Web!$C$1:$C$500),ROW(Create_TC_Web!$C$1:$C$500)),""),ROW(Create_TC_Web!J443))),"")</f>
        <v/>
      </c>
      <c r="J443" t="str" cm="1">
        <f t="array" ref="J443">IFERROR(INDEX(Create_TC_Web!M$1:M$500,SMALL(IF(Create_TC_Web!$C$1:$C$500&lt;&gt;"",MATCH(ROW(Create_TC_Web!$C$1:$C$500),ROW(Create_TC_Web!$C$1:$C$500)),""),ROW(Create_TC_Web!K443))),"")</f>
        <v/>
      </c>
      <c r="K443" t="str" cm="1">
        <f t="array" ref="K443">IFERROR(INDEX(Create_TC_Web!N$1:N$500,SMALL(IF(Create_TC_Web!$C$1:$C$500&lt;&gt;"",MATCH(ROW(Create_TC_Web!$C$1:$C$500),ROW(Create_TC_Web!$C$1:$C$500)),""),ROW(Create_TC_Web!L443))),"")</f>
        <v/>
      </c>
      <c r="L443" t="str" cm="1">
        <f t="array" ref="L443">IFERROR(INDEX(Create_TC_Web!O$1:O$500,SMALL(IF(Create_TC_Web!$C$1:$C$500&lt;&gt;"",MATCH(ROW(Create_TC_Web!$C$1:$C$500),ROW(Create_TC_Web!$C$1:$C$500)),""),ROW(Create_TC_Web!M443))),"")</f>
        <v/>
      </c>
      <c r="M443" t="str" cm="1">
        <f t="array" ref="M443">IFERROR(INDEX(Create_TC_Web!P$1:P$500,SMALL(IF(Create_TC_Web!$C$1:$C$500&lt;&gt;"",MATCH(ROW(Create_TC_Web!$C$1:$C$500),ROW(Create_TC_Web!$C$1:$C$500)),""),ROW(Create_TC_Web!N443))),"")</f>
        <v/>
      </c>
      <c r="N443" t="str" cm="1">
        <f t="array" ref="N443">IFERROR(INDEX(Create_TC_Web!Q$1:Q$500,SMALL(IF(Create_TC_Web!$C$1:$C$500&lt;&gt;"",MATCH(ROW(Create_TC_Web!$C$1:$C$500),ROW(Create_TC_Web!$C$1:$C$500)),""),ROW(Create_TC_Web!O443))),"")</f>
        <v/>
      </c>
      <c r="O443" t="str">
        <f t="shared" si="19"/>
        <v/>
      </c>
      <c r="P443" s="17" t="str" cm="1">
        <f t="array" ref="P443">IFERROR(INDEX(Create_TC_Web!S$1:S$500,SMALL(IF(Create_TC_Web!$C$1:$C$500&lt;&gt;"",MATCH(ROW(Create_TC_Web!$C$1:$C$500),ROW(Create_TC_Web!$C$1:$C$500)),""),ROW(Create_TC_Web!Q421))),"")</f>
        <v/>
      </c>
      <c r="S443" t="str">
        <f t="shared" si="20"/>
        <v/>
      </c>
    </row>
    <row r="444" spans="1:19">
      <c r="A444" t="str" cm="1">
        <f t="array" ref="A444">IFERROR(INDEX(Create_TC_Web!D$1:D$500,SMALL(IF(Create_TC_Web!$C$1:$C$500&lt;&gt;"",MATCH(ROW(Create_TC_Web!$C$1:$C$500),ROW(Create_TC_Web!$C$1:$C$500)),""),ROW(Create_TC_Web!B444))),"")</f>
        <v/>
      </c>
      <c r="B444" t="str" cm="1">
        <f t="array" ref="B444">SUBSTITUTE(SUBSTITUTE(SUBSTITUTE(IFERROR(INDEX(Create_TC_Web!E$1:E$505,SMALL(IF(Create_TC_Web!$C$1:$C$505&lt;&gt;"",MATCH(ROW(Create_TC_Web!$C$1:$C$505),ROW(Create_TC_Web!$C$1:$C$505)),""),ROW(Create_TC_Web!C444))),"")," ",""),"-",""),"_","")</f>
        <v/>
      </c>
      <c r="C444" t="str" cm="1">
        <f t="array" ref="C444">IFERROR(INDEX(Create_TC_Web!F$1:F$500,SMALL(IF(Create_TC_Web!$C$1:$C$500&lt;&gt;"",MATCH(ROW(Create_TC_Web!$C$1:$C$500),ROW(Create_TC_Web!$C$1:$C$500)),""),ROW(Create_TC_Web!D444))),"")</f>
        <v/>
      </c>
      <c r="D444" t="str" cm="1">
        <f t="array" ref="D444">IFERROR(INDEX(Create_TC_Web!G$1:G$500,SMALL(IF(Create_TC_Web!$C$1:$C$500&lt;&gt;"",MATCH(ROW(Create_TC_Web!$C$1:$C$500),ROW(Create_TC_Web!$C$1:$C$500)),""),ROW(Create_TC_Web!E444))),"")</f>
        <v/>
      </c>
      <c r="E444" t="str" cm="1">
        <f t="array" ref="E444">IFERROR(INDEX(Create_TC_Web!H$1:H$500,SMALL(IF(Create_TC_Web!$C$1:$C$500&lt;&gt;"",MATCH(ROW(Create_TC_Web!$C$1:$C$500),ROW(Create_TC_Web!$C$1:$C$500)),""),ROW(Create_TC_Web!F444))),"")</f>
        <v/>
      </c>
      <c r="F444" t="str" cm="1">
        <f t="array" ref="F444">IFERROR(INDEX(Create_TC_Web!I$1:I$500,SMALL(IF(Create_TC_Web!$C$1:$C$500&lt;&gt;"",MATCH(ROW(Create_TC_Web!$C$1:$C$500),ROW(Create_TC_Web!$C$1:$C$500)),""),ROW(Create_TC_Web!G444))),"")</f>
        <v/>
      </c>
      <c r="G444" t="str" cm="1">
        <f t="array" ref="G444">IFERROR(INDEX(Create_TC_Web!J$1:J$500,SMALL(IF(Create_TC_Web!$C$1:$C$500&lt;&gt;"",MATCH(ROW(Create_TC_Web!$C$1:$C$500),ROW(Create_TC_Web!$C$1:$C$500)),""),ROW(Create_TC_Web!H444))),"")</f>
        <v/>
      </c>
      <c r="H444" t="str" cm="1">
        <f t="array" ref="H444">IFERROR(INDEX(Create_TC_Web!K$1:K$500,SMALL(IF(Create_TC_Web!$C$1:$C$500&lt;&gt;"",MATCH(ROW(Create_TC_Web!$C$1:$C$500),ROW(Create_TC_Web!$C$1:$C$500)),""),ROW(Create_TC_Web!I444))),"")</f>
        <v/>
      </c>
      <c r="I444" t="str" cm="1">
        <f t="array" ref="I444">IFERROR(INDEX(Create_TC_Web!L$1:L$500,SMALL(IF(Create_TC_Web!$C$1:$C$500&lt;&gt;"",MATCH(ROW(Create_TC_Web!$C$1:$C$500),ROW(Create_TC_Web!$C$1:$C$500)),""),ROW(Create_TC_Web!J444))),"")</f>
        <v/>
      </c>
      <c r="J444" t="str" cm="1">
        <f t="array" ref="J444">IFERROR(INDEX(Create_TC_Web!M$1:M$500,SMALL(IF(Create_TC_Web!$C$1:$C$500&lt;&gt;"",MATCH(ROW(Create_TC_Web!$C$1:$C$500),ROW(Create_TC_Web!$C$1:$C$500)),""),ROW(Create_TC_Web!K444))),"")</f>
        <v/>
      </c>
      <c r="K444" t="str" cm="1">
        <f t="array" ref="K444">IFERROR(INDEX(Create_TC_Web!N$1:N$500,SMALL(IF(Create_TC_Web!$C$1:$C$500&lt;&gt;"",MATCH(ROW(Create_TC_Web!$C$1:$C$500),ROW(Create_TC_Web!$C$1:$C$500)),""),ROW(Create_TC_Web!L444))),"")</f>
        <v/>
      </c>
      <c r="L444" t="str" cm="1">
        <f t="array" ref="L444">IFERROR(INDEX(Create_TC_Web!O$1:O$500,SMALL(IF(Create_TC_Web!$C$1:$C$500&lt;&gt;"",MATCH(ROW(Create_TC_Web!$C$1:$C$500),ROW(Create_TC_Web!$C$1:$C$500)),""),ROW(Create_TC_Web!M444))),"")</f>
        <v/>
      </c>
      <c r="M444" t="str" cm="1">
        <f t="array" ref="M444">IFERROR(INDEX(Create_TC_Web!P$1:P$500,SMALL(IF(Create_TC_Web!$C$1:$C$500&lt;&gt;"",MATCH(ROW(Create_TC_Web!$C$1:$C$500),ROW(Create_TC_Web!$C$1:$C$500)),""),ROW(Create_TC_Web!N444))),"")</f>
        <v/>
      </c>
      <c r="N444" t="str" cm="1">
        <f t="array" ref="N444">IFERROR(INDEX(Create_TC_Web!Q$1:Q$500,SMALL(IF(Create_TC_Web!$C$1:$C$500&lt;&gt;"",MATCH(ROW(Create_TC_Web!$C$1:$C$500),ROW(Create_TC_Web!$C$1:$C$500)),""),ROW(Create_TC_Web!O444))),"")</f>
        <v/>
      </c>
      <c r="O444" t="str">
        <f t="shared" si="19"/>
        <v/>
      </c>
      <c r="P444" s="17" t="str" cm="1">
        <f t="array" ref="P444">IFERROR(INDEX(Create_TC_Web!S$1:S$500,SMALL(IF(Create_TC_Web!$C$1:$C$500&lt;&gt;"",MATCH(ROW(Create_TC_Web!$C$1:$C$500),ROW(Create_TC_Web!$C$1:$C$500)),""),ROW(Create_TC_Web!Q422))),"")</f>
        <v/>
      </c>
      <c r="S444" t="str">
        <f t="shared" si="20"/>
        <v/>
      </c>
    </row>
    <row r="445" spans="1:19">
      <c r="A445" t="str" cm="1">
        <f t="array" ref="A445">IFERROR(INDEX(Create_TC_Web!D$1:D$500,SMALL(IF(Create_TC_Web!$C$1:$C$500&lt;&gt;"",MATCH(ROW(Create_TC_Web!$C$1:$C$500),ROW(Create_TC_Web!$C$1:$C$500)),""),ROW(Create_TC_Web!B445))),"")</f>
        <v/>
      </c>
      <c r="B445" t="str" cm="1">
        <f t="array" ref="B445">SUBSTITUTE(SUBSTITUTE(SUBSTITUTE(IFERROR(INDEX(Create_TC_Web!E$1:E$505,SMALL(IF(Create_TC_Web!$C$1:$C$505&lt;&gt;"",MATCH(ROW(Create_TC_Web!$C$1:$C$505),ROW(Create_TC_Web!$C$1:$C$505)),""),ROW(Create_TC_Web!C445))),"")," ",""),"-",""),"_","")</f>
        <v/>
      </c>
      <c r="C445" t="str" cm="1">
        <f t="array" ref="C445">IFERROR(INDEX(Create_TC_Web!F$1:F$500,SMALL(IF(Create_TC_Web!$C$1:$C$500&lt;&gt;"",MATCH(ROW(Create_TC_Web!$C$1:$C$500),ROW(Create_TC_Web!$C$1:$C$500)),""),ROW(Create_TC_Web!D445))),"")</f>
        <v/>
      </c>
      <c r="D445" t="str" cm="1">
        <f t="array" ref="D445">IFERROR(INDEX(Create_TC_Web!G$1:G$500,SMALL(IF(Create_TC_Web!$C$1:$C$500&lt;&gt;"",MATCH(ROW(Create_TC_Web!$C$1:$C$500),ROW(Create_TC_Web!$C$1:$C$500)),""),ROW(Create_TC_Web!E445))),"")</f>
        <v/>
      </c>
      <c r="E445" t="str" cm="1">
        <f t="array" ref="E445">IFERROR(INDEX(Create_TC_Web!H$1:H$500,SMALL(IF(Create_TC_Web!$C$1:$C$500&lt;&gt;"",MATCH(ROW(Create_TC_Web!$C$1:$C$500),ROW(Create_TC_Web!$C$1:$C$500)),""),ROW(Create_TC_Web!F445))),"")</f>
        <v/>
      </c>
      <c r="F445" t="str" cm="1">
        <f t="array" ref="F445">IFERROR(INDEX(Create_TC_Web!I$1:I$500,SMALL(IF(Create_TC_Web!$C$1:$C$500&lt;&gt;"",MATCH(ROW(Create_TC_Web!$C$1:$C$500),ROW(Create_TC_Web!$C$1:$C$500)),""),ROW(Create_TC_Web!G445))),"")</f>
        <v/>
      </c>
      <c r="G445" t="str" cm="1">
        <f t="array" ref="G445">IFERROR(INDEX(Create_TC_Web!J$1:J$500,SMALL(IF(Create_TC_Web!$C$1:$C$500&lt;&gt;"",MATCH(ROW(Create_TC_Web!$C$1:$C$500),ROW(Create_TC_Web!$C$1:$C$500)),""),ROW(Create_TC_Web!H445))),"")</f>
        <v/>
      </c>
      <c r="H445" t="str" cm="1">
        <f t="array" ref="H445">IFERROR(INDEX(Create_TC_Web!K$1:K$500,SMALL(IF(Create_TC_Web!$C$1:$C$500&lt;&gt;"",MATCH(ROW(Create_TC_Web!$C$1:$C$500),ROW(Create_TC_Web!$C$1:$C$500)),""),ROW(Create_TC_Web!I445))),"")</f>
        <v/>
      </c>
      <c r="I445" t="str" cm="1">
        <f t="array" ref="I445">IFERROR(INDEX(Create_TC_Web!L$1:L$500,SMALL(IF(Create_TC_Web!$C$1:$C$500&lt;&gt;"",MATCH(ROW(Create_TC_Web!$C$1:$C$500),ROW(Create_TC_Web!$C$1:$C$500)),""),ROW(Create_TC_Web!J445))),"")</f>
        <v/>
      </c>
      <c r="J445" t="str" cm="1">
        <f t="array" ref="J445">IFERROR(INDEX(Create_TC_Web!M$1:M$500,SMALL(IF(Create_TC_Web!$C$1:$C$500&lt;&gt;"",MATCH(ROW(Create_TC_Web!$C$1:$C$500),ROW(Create_TC_Web!$C$1:$C$500)),""),ROW(Create_TC_Web!K445))),"")</f>
        <v/>
      </c>
      <c r="K445" t="str" cm="1">
        <f t="array" ref="K445">IFERROR(INDEX(Create_TC_Web!N$1:N$500,SMALL(IF(Create_TC_Web!$C$1:$C$500&lt;&gt;"",MATCH(ROW(Create_TC_Web!$C$1:$C$500),ROW(Create_TC_Web!$C$1:$C$500)),""),ROW(Create_TC_Web!L445))),"")</f>
        <v/>
      </c>
      <c r="L445" t="str" cm="1">
        <f t="array" ref="L445">IFERROR(INDEX(Create_TC_Web!O$1:O$500,SMALL(IF(Create_TC_Web!$C$1:$C$500&lt;&gt;"",MATCH(ROW(Create_TC_Web!$C$1:$C$500),ROW(Create_TC_Web!$C$1:$C$500)),""),ROW(Create_TC_Web!M445))),"")</f>
        <v/>
      </c>
      <c r="M445" t="str" cm="1">
        <f t="array" ref="M445">IFERROR(INDEX(Create_TC_Web!P$1:P$500,SMALL(IF(Create_TC_Web!$C$1:$C$500&lt;&gt;"",MATCH(ROW(Create_TC_Web!$C$1:$C$500),ROW(Create_TC_Web!$C$1:$C$500)),""),ROW(Create_TC_Web!N445))),"")</f>
        <v/>
      </c>
      <c r="N445" t="str" cm="1">
        <f t="array" ref="N445">IFERROR(INDEX(Create_TC_Web!Q$1:Q$500,SMALL(IF(Create_TC_Web!$C$1:$C$500&lt;&gt;"",MATCH(ROW(Create_TC_Web!$C$1:$C$500),ROW(Create_TC_Web!$C$1:$C$500)),""),ROW(Create_TC_Web!O445))),"")</f>
        <v/>
      </c>
      <c r="O445" t="str">
        <f t="shared" si="19"/>
        <v/>
      </c>
      <c r="P445" s="17" t="str" cm="1">
        <f t="array" ref="P445">IFERROR(INDEX(Create_TC_Web!S$1:S$500,SMALL(IF(Create_TC_Web!$C$1:$C$500&lt;&gt;"",MATCH(ROW(Create_TC_Web!$C$1:$C$500),ROW(Create_TC_Web!$C$1:$C$500)),""),ROW(Create_TC_Web!Q423))),"")</f>
        <v/>
      </c>
      <c r="S445" t="str">
        <f t="shared" si="20"/>
        <v/>
      </c>
    </row>
    <row r="446" spans="1:19">
      <c r="A446" t="str" cm="1">
        <f t="array" ref="A446">IFERROR(INDEX(Create_TC_Web!D$1:D$500,SMALL(IF(Create_TC_Web!$C$1:$C$500&lt;&gt;"",MATCH(ROW(Create_TC_Web!$C$1:$C$500),ROW(Create_TC_Web!$C$1:$C$500)),""),ROW(Create_TC_Web!B446))),"")</f>
        <v/>
      </c>
      <c r="B446" t="str" cm="1">
        <f t="array" ref="B446">SUBSTITUTE(SUBSTITUTE(SUBSTITUTE(IFERROR(INDEX(Create_TC_Web!E$1:E$505,SMALL(IF(Create_TC_Web!$C$1:$C$505&lt;&gt;"",MATCH(ROW(Create_TC_Web!$C$1:$C$505),ROW(Create_TC_Web!$C$1:$C$505)),""),ROW(Create_TC_Web!C446))),"")," ",""),"-",""),"_","")</f>
        <v/>
      </c>
      <c r="C446" t="str" cm="1">
        <f t="array" ref="C446">IFERROR(INDEX(Create_TC_Web!F$1:F$500,SMALL(IF(Create_TC_Web!$C$1:$C$500&lt;&gt;"",MATCH(ROW(Create_TC_Web!$C$1:$C$500),ROW(Create_TC_Web!$C$1:$C$500)),""),ROW(Create_TC_Web!D446))),"")</f>
        <v/>
      </c>
      <c r="D446" t="str" cm="1">
        <f t="array" ref="D446">IFERROR(INDEX(Create_TC_Web!G$1:G$500,SMALL(IF(Create_TC_Web!$C$1:$C$500&lt;&gt;"",MATCH(ROW(Create_TC_Web!$C$1:$C$500),ROW(Create_TC_Web!$C$1:$C$500)),""),ROW(Create_TC_Web!E446))),"")</f>
        <v/>
      </c>
      <c r="E446" t="str" cm="1">
        <f t="array" ref="E446">IFERROR(INDEX(Create_TC_Web!H$1:H$500,SMALL(IF(Create_TC_Web!$C$1:$C$500&lt;&gt;"",MATCH(ROW(Create_TC_Web!$C$1:$C$500),ROW(Create_TC_Web!$C$1:$C$500)),""),ROW(Create_TC_Web!F446))),"")</f>
        <v/>
      </c>
      <c r="F446" t="str" cm="1">
        <f t="array" ref="F446">IFERROR(INDEX(Create_TC_Web!I$1:I$500,SMALL(IF(Create_TC_Web!$C$1:$C$500&lt;&gt;"",MATCH(ROW(Create_TC_Web!$C$1:$C$500),ROW(Create_TC_Web!$C$1:$C$500)),""),ROW(Create_TC_Web!G446))),"")</f>
        <v/>
      </c>
      <c r="G446" t="str" cm="1">
        <f t="array" ref="G446">IFERROR(INDEX(Create_TC_Web!J$1:J$500,SMALL(IF(Create_TC_Web!$C$1:$C$500&lt;&gt;"",MATCH(ROW(Create_TC_Web!$C$1:$C$500),ROW(Create_TC_Web!$C$1:$C$500)),""),ROW(Create_TC_Web!H446))),"")</f>
        <v/>
      </c>
      <c r="H446" t="str" cm="1">
        <f t="array" ref="H446">IFERROR(INDEX(Create_TC_Web!K$1:K$500,SMALL(IF(Create_TC_Web!$C$1:$C$500&lt;&gt;"",MATCH(ROW(Create_TC_Web!$C$1:$C$500),ROW(Create_TC_Web!$C$1:$C$500)),""),ROW(Create_TC_Web!I446))),"")</f>
        <v/>
      </c>
      <c r="I446" t="str" cm="1">
        <f t="array" ref="I446">IFERROR(INDEX(Create_TC_Web!L$1:L$500,SMALL(IF(Create_TC_Web!$C$1:$C$500&lt;&gt;"",MATCH(ROW(Create_TC_Web!$C$1:$C$500),ROW(Create_TC_Web!$C$1:$C$500)),""),ROW(Create_TC_Web!J446))),"")</f>
        <v/>
      </c>
      <c r="J446" t="str" cm="1">
        <f t="array" ref="J446">IFERROR(INDEX(Create_TC_Web!M$1:M$500,SMALL(IF(Create_TC_Web!$C$1:$C$500&lt;&gt;"",MATCH(ROW(Create_TC_Web!$C$1:$C$500),ROW(Create_TC_Web!$C$1:$C$500)),""),ROW(Create_TC_Web!K446))),"")</f>
        <v/>
      </c>
      <c r="K446" t="str" cm="1">
        <f t="array" ref="K446">IFERROR(INDEX(Create_TC_Web!N$1:N$500,SMALL(IF(Create_TC_Web!$C$1:$C$500&lt;&gt;"",MATCH(ROW(Create_TC_Web!$C$1:$C$500),ROW(Create_TC_Web!$C$1:$C$500)),""),ROW(Create_TC_Web!L446))),"")</f>
        <v/>
      </c>
      <c r="L446" t="str" cm="1">
        <f t="array" ref="L446">IFERROR(INDEX(Create_TC_Web!O$1:O$500,SMALL(IF(Create_TC_Web!$C$1:$C$500&lt;&gt;"",MATCH(ROW(Create_TC_Web!$C$1:$C$500),ROW(Create_TC_Web!$C$1:$C$500)),""),ROW(Create_TC_Web!M446))),"")</f>
        <v/>
      </c>
      <c r="M446" t="str" cm="1">
        <f t="array" ref="M446">IFERROR(INDEX(Create_TC_Web!P$1:P$500,SMALL(IF(Create_TC_Web!$C$1:$C$500&lt;&gt;"",MATCH(ROW(Create_TC_Web!$C$1:$C$500),ROW(Create_TC_Web!$C$1:$C$500)),""),ROW(Create_TC_Web!N446))),"")</f>
        <v/>
      </c>
      <c r="N446" t="str" cm="1">
        <f t="array" ref="N446">IFERROR(INDEX(Create_TC_Web!Q$1:Q$500,SMALL(IF(Create_TC_Web!$C$1:$C$500&lt;&gt;"",MATCH(ROW(Create_TC_Web!$C$1:$C$500),ROW(Create_TC_Web!$C$1:$C$500)),""),ROW(Create_TC_Web!O446))),"")</f>
        <v/>
      </c>
      <c r="O446" t="str">
        <f t="shared" si="19"/>
        <v/>
      </c>
      <c r="P446" s="17" t="str" cm="1">
        <f t="array" ref="P446">IFERROR(INDEX(Create_TC_Web!S$1:S$500,SMALL(IF(Create_TC_Web!$C$1:$C$500&lt;&gt;"",MATCH(ROW(Create_TC_Web!$C$1:$C$500),ROW(Create_TC_Web!$C$1:$C$500)),""),ROW(Create_TC_Web!Q424))),"")</f>
        <v/>
      </c>
      <c r="S446" t="str">
        <f t="shared" si="20"/>
        <v/>
      </c>
    </row>
    <row r="447" spans="1:19">
      <c r="A447" t="str" cm="1">
        <f t="array" ref="A447">IFERROR(INDEX(Create_TC_Web!D$1:D$500,SMALL(IF(Create_TC_Web!$C$1:$C$500&lt;&gt;"",MATCH(ROW(Create_TC_Web!$C$1:$C$500),ROW(Create_TC_Web!$C$1:$C$500)),""),ROW(Create_TC_Web!B447))),"")</f>
        <v/>
      </c>
      <c r="B447" t="str" cm="1">
        <f t="array" ref="B447">SUBSTITUTE(SUBSTITUTE(SUBSTITUTE(IFERROR(INDEX(Create_TC_Web!E$1:E$505,SMALL(IF(Create_TC_Web!$C$1:$C$505&lt;&gt;"",MATCH(ROW(Create_TC_Web!$C$1:$C$505),ROW(Create_TC_Web!$C$1:$C$505)),""),ROW(Create_TC_Web!C447))),"")," ",""),"-",""),"_","")</f>
        <v/>
      </c>
      <c r="C447" t="str" cm="1">
        <f t="array" ref="C447">IFERROR(INDEX(Create_TC_Web!F$1:F$500,SMALL(IF(Create_TC_Web!$C$1:$C$500&lt;&gt;"",MATCH(ROW(Create_TC_Web!$C$1:$C$500),ROW(Create_TC_Web!$C$1:$C$500)),""),ROW(Create_TC_Web!D447))),"")</f>
        <v/>
      </c>
      <c r="D447" t="str" cm="1">
        <f t="array" ref="D447">IFERROR(INDEX(Create_TC_Web!G$1:G$500,SMALL(IF(Create_TC_Web!$C$1:$C$500&lt;&gt;"",MATCH(ROW(Create_TC_Web!$C$1:$C$500),ROW(Create_TC_Web!$C$1:$C$500)),""),ROW(Create_TC_Web!E447))),"")</f>
        <v/>
      </c>
      <c r="E447" t="str" cm="1">
        <f t="array" ref="E447">IFERROR(INDEX(Create_TC_Web!H$1:H$500,SMALL(IF(Create_TC_Web!$C$1:$C$500&lt;&gt;"",MATCH(ROW(Create_TC_Web!$C$1:$C$500),ROW(Create_TC_Web!$C$1:$C$500)),""),ROW(Create_TC_Web!F447))),"")</f>
        <v/>
      </c>
      <c r="F447" t="str" cm="1">
        <f t="array" ref="F447">IFERROR(INDEX(Create_TC_Web!I$1:I$500,SMALL(IF(Create_TC_Web!$C$1:$C$500&lt;&gt;"",MATCH(ROW(Create_TC_Web!$C$1:$C$500),ROW(Create_TC_Web!$C$1:$C$500)),""),ROW(Create_TC_Web!G447))),"")</f>
        <v/>
      </c>
      <c r="G447" t="str" cm="1">
        <f t="array" ref="G447">IFERROR(INDEX(Create_TC_Web!J$1:J$500,SMALL(IF(Create_TC_Web!$C$1:$C$500&lt;&gt;"",MATCH(ROW(Create_TC_Web!$C$1:$C$500),ROW(Create_TC_Web!$C$1:$C$500)),""),ROW(Create_TC_Web!H447))),"")</f>
        <v/>
      </c>
      <c r="H447" t="str" cm="1">
        <f t="array" ref="H447">IFERROR(INDEX(Create_TC_Web!K$1:K$500,SMALL(IF(Create_TC_Web!$C$1:$C$500&lt;&gt;"",MATCH(ROW(Create_TC_Web!$C$1:$C$500),ROW(Create_TC_Web!$C$1:$C$500)),""),ROW(Create_TC_Web!I447))),"")</f>
        <v/>
      </c>
      <c r="I447" t="str" cm="1">
        <f t="array" ref="I447">IFERROR(INDEX(Create_TC_Web!L$1:L$500,SMALL(IF(Create_TC_Web!$C$1:$C$500&lt;&gt;"",MATCH(ROW(Create_TC_Web!$C$1:$C$500),ROW(Create_TC_Web!$C$1:$C$500)),""),ROW(Create_TC_Web!J447))),"")</f>
        <v/>
      </c>
      <c r="J447" t="str" cm="1">
        <f t="array" ref="J447">IFERROR(INDEX(Create_TC_Web!M$1:M$500,SMALL(IF(Create_TC_Web!$C$1:$C$500&lt;&gt;"",MATCH(ROW(Create_TC_Web!$C$1:$C$500),ROW(Create_TC_Web!$C$1:$C$500)),""),ROW(Create_TC_Web!K447))),"")</f>
        <v/>
      </c>
      <c r="K447" t="str" cm="1">
        <f t="array" ref="K447">IFERROR(INDEX(Create_TC_Web!N$1:N$500,SMALL(IF(Create_TC_Web!$C$1:$C$500&lt;&gt;"",MATCH(ROW(Create_TC_Web!$C$1:$C$500),ROW(Create_TC_Web!$C$1:$C$500)),""),ROW(Create_TC_Web!L447))),"")</f>
        <v/>
      </c>
      <c r="L447" t="str" cm="1">
        <f t="array" ref="L447">IFERROR(INDEX(Create_TC_Web!O$1:O$500,SMALL(IF(Create_TC_Web!$C$1:$C$500&lt;&gt;"",MATCH(ROW(Create_TC_Web!$C$1:$C$500),ROW(Create_TC_Web!$C$1:$C$500)),""),ROW(Create_TC_Web!M447))),"")</f>
        <v/>
      </c>
      <c r="M447" t="str" cm="1">
        <f t="array" ref="M447">IFERROR(INDEX(Create_TC_Web!P$1:P$500,SMALL(IF(Create_TC_Web!$C$1:$C$500&lt;&gt;"",MATCH(ROW(Create_TC_Web!$C$1:$C$500),ROW(Create_TC_Web!$C$1:$C$500)),""),ROW(Create_TC_Web!N447))),"")</f>
        <v/>
      </c>
      <c r="N447" t="str" cm="1">
        <f t="array" ref="N447">IFERROR(INDEX(Create_TC_Web!Q$1:Q$500,SMALL(IF(Create_TC_Web!$C$1:$C$500&lt;&gt;"",MATCH(ROW(Create_TC_Web!$C$1:$C$500),ROW(Create_TC_Web!$C$1:$C$500)),""),ROW(Create_TC_Web!O447))),"")</f>
        <v/>
      </c>
      <c r="O447" t="str">
        <f t="shared" si="19"/>
        <v/>
      </c>
      <c r="P447" s="17" t="str" cm="1">
        <f t="array" ref="P447">IFERROR(INDEX(Create_TC_Web!S$1:S$500,SMALL(IF(Create_TC_Web!$C$1:$C$500&lt;&gt;"",MATCH(ROW(Create_TC_Web!$C$1:$C$500),ROW(Create_TC_Web!$C$1:$C$500)),""),ROW(Create_TC_Web!Q425))),"")</f>
        <v/>
      </c>
      <c r="S447" t="str">
        <f t="shared" si="20"/>
        <v/>
      </c>
    </row>
    <row r="448" spans="1:19">
      <c r="A448" t="str" cm="1">
        <f t="array" ref="A448">IFERROR(INDEX(Create_TC_Web!D$1:D$500,SMALL(IF(Create_TC_Web!$C$1:$C$500&lt;&gt;"",MATCH(ROW(Create_TC_Web!$C$1:$C$500),ROW(Create_TC_Web!$C$1:$C$500)),""),ROW(Create_TC_Web!B448))),"")</f>
        <v/>
      </c>
      <c r="B448" t="str" cm="1">
        <f t="array" ref="B448">SUBSTITUTE(SUBSTITUTE(SUBSTITUTE(IFERROR(INDEX(Create_TC_Web!E$1:E$505,SMALL(IF(Create_TC_Web!$C$1:$C$505&lt;&gt;"",MATCH(ROW(Create_TC_Web!$C$1:$C$505),ROW(Create_TC_Web!$C$1:$C$505)),""),ROW(Create_TC_Web!C448))),"")," ",""),"-",""),"_","")</f>
        <v/>
      </c>
      <c r="C448" t="str" cm="1">
        <f t="array" ref="C448">IFERROR(INDEX(Create_TC_Web!F$1:F$500,SMALL(IF(Create_TC_Web!$C$1:$C$500&lt;&gt;"",MATCH(ROW(Create_TC_Web!$C$1:$C$500),ROW(Create_TC_Web!$C$1:$C$500)),""),ROW(Create_TC_Web!D448))),"")</f>
        <v/>
      </c>
      <c r="D448" t="str" cm="1">
        <f t="array" ref="D448">IFERROR(INDEX(Create_TC_Web!G$1:G$500,SMALL(IF(Create_TC_Web!$C$1:$C$500&lt;&gt;"",MATCH(ROW(Create_TC_Web!$C$1:$C$500),ROW(Create_TC_Web!$C$1:$C$500)),""),ROW(Create_TC_Web!E448))),"")</f>
        <v/>
      </c>
      <c r="E448" t="str" cm="1">
        <f t="array" ref="E448">IFERROR(INDEX(Create_TC_Web!H$1:H$500,SMALL(IF(Create_TC_Web!$C$1:$C$500&lt;&gt;"",MATCH(ROW(Create_TC_Web!$C$1:$C$500),ROW(Create_TC_Web!$C$1:$C$500)),""),ROW(Create_TC_Web!F448))),"")</f>
        <v/>
      </c>
      <c r="F448" t="str" cm="1">
        <f t="array" ref="F448">IFERROR(INDEX(Create_TC_Web!I$1:I$500,SMALL(IF(Create_TC_Web!$C$1:$C$500&lt;&gt;"",MATCH(ROW(Create_TC_Web!$C$1:$C$500),ROW(Create_TC_Web!$C$1:$C$500)),""),ROW(Create_TC_Web!G448))),"")</f>
        <v/>
      </c>
      <c r="G448" t="str" cm="1">
        <f t="array" ref="G448">IFERROR(INDEX(Create_TC_Web!J$1:J$500,SMALL(IF(Create_TC_Web!$C$1:$C$500&lt;&gt;"",MATCH(ROW(Create_TC_Web!$C$1:$C$500),ROW(Create_TC_Web!$C$1:$C$500)),""),ROW(Create_TC_Web!H448))),"")</f>
        <v/>
      </c>
      <c r="H448" t="str" cm="1">
        <f t="array" ref="H448">IFERROR(INDEX(Create_TC_Web!K$1:K$500,SMALL(IF(Create_TC_Web!$C$1:$C$500&lt;&gt;"",MATCH(ROW(Create_TC_Web!$C$1:$C$500),ROW(Create_TC_Web!$C$1:$C$500)),""),ROW(Create_TC_Web!I448))),"")</f>
        <v/>
      </c>
      <c r="I448" t="str" cm="1">
        <f t="array" ref="I448">IFERROR(INDEX(Create_TC_Web!L$1:L$500,SMALL(IF(Create_TC_Web!$C$1:$C$500&lt;&gt;"",MATCH(ROW(Create_TC_Web!$C$1:$C$500),ROW(Create_TC_Web!$C$1:$C$500)),""),ROW(Create_TC_Web!J448))),"")</f>
        <v/>
      </c>
      <c r="J448" t="str" cm="1">
        <f t="array" ref="J448">IFERROR(INDEX(Create_TC_Web!M$1:M$500,SMALL(IF(Create_TC_Web!$C$1:$C$500&lt;&gt;"",MATCH(ROW(Create_TC_Web!$C$1:$C$500),ROW(Create_TC_Web!$C$1:$C$500)),""),ROW(Create_TC_Web!K448))),"")</f>
        <v/>
      </c>
      <c r="K448" t="str" cm="1">
        <f t="array" ref="K448">IFERROR(INDEX(Create_TC_Web!N$1:N$500,SMALL(IF(Create_TC_Web!$C$1:$C$500&lt;&gt;"",MATCH(ROW(Create_TC_Web!$C$1:$C$500),ROW(Create_TC_Web!$C$1:$C$500)),""),ROW(Create_TC_Web!L448))),"")</f>
        <v/>
      </c>
      <c r="L448" t="str" cm="1">
        <f t="array" ref="L448">IFERROR(INDEX(Create_TC_Web!O$1:O$500,SMALL(IF(Create_TC_Web!$C$1:$C$500&lt;&gt;"",MATCH(ROW(Create_TC_Web!$C$1:$C$500),ROW(Create_TC_Web!$C$1:$C$500)),""),ROW(Create_TC_Web!M448))),"")</f>
        <v/>
      </c>
      <c r="M448" t="str" cm="1">
        <f t="array" ref="M448">IFERROR(INDEX(Create_TC_Web!P$1:P$500,SMALL(IF(Create_TC_Web!$C$1:$C$500&lt;&gt;"",MATCH(ROW(Create_TC_Web!$C$1:$C$500),ROW(Create_TC_Web!$C$1:$C$500)),""),ROW(Create_TC_Web!N448))),"")</f>
        <v/>
      </c>
      <c r="N448" t="str" cm="1">
        <f t="array" ref="N448">IFERROR(INDEX(Create_TC_Web!Q$1:Q$500,SMALL(IF(Create_TC_Web!$C$1:$C$500&lt;&gt;"",MATCH(ROW(Create_TC_Web!$C$1:$C$500),ROW(Create_TC_Web!$C$1:$C$500)),""),ROW(Create_TC_Web!O448))),"")</f>
        <v/>
      </c>
      <c r="O448" t="str">
        <f t="shared" si="19"/>
        <v/>
      </c>
      <c r="P448" s="17" t="str" cm="1">
        <f t="array" ref="P448">IFERROR(INDEX(Create_TC_Web!S$1:S$500,SMALL(IF(Create_TC_Web!$C$1:$C$500&lt;&gt;"",MATCH(ROW(Create_TC_Web!$C$1:$C$500),ROW(Create_TC_Web!$C$1:$C$500)),""),ROW(Create_TC_Web!Q426))),"")</f>
        <v/>
      </c>
      <c r="S448" t="str">
        <f t="shared" si="20"/>
        <v/>
      </c>
    </row>
    <row r="449" spans="1:19">
      <c r="A449" t="str" cm="1">
        <f t="array" ref="A449">IFERROR(INDEX(Create_TC_Web!D$1:D$500,SMALL(IF(Create_TC_Web!$C$1:$C$500&lt;&gt;"",MATCH(ROW(Create_TC_Web!$C$1:$C$500),ROW(Create_TC_Web!$C$1:$C$500)),""),ROW(Create_TC_Web!B449))),"")</f>
        <v/>
      </c>
      <c r="B449" t="str" cm="1">
        <f t="array" ref="B449">SUBSTITUTE(SUBSTITUTE(SUBSTITUTE(IFERROR(INDEX(Create_TC_Web!E$1:E$505,SMALL(IF(Create_TC_Web!$C$1:$C$505&lt;&gt;"",MATCH(ROW(Create_TC_Web!$C$1:$C$505),ROW(Create_TC_Web!$C$1:$C$505)),""),ROW(Create_TC_Web!C449))),"")," ",""),"-",""),"_","")</f>
        <v/>
      </c>
      <c r="C449" t="str" cm="1">
        <f t="array" ref="C449">IFERROR(INDEX(Create_TC_Web!F$1:F$500,SMALL(IF(Create_TC_Web!$C$1:$C$500&lt;&gt;"",MATCH(ROW(Create_TC_Web!$C$1:$C$500),ROW(Create_TC_Web!$C$1:$C$500)),""),ROW(Create_TC_Web!D449))),"")</f>
        <v/>
      </c>
      <c r="D449" t="str" cm="1">
        <f t="array" ref="D449">IFERROR(INDEX(Create_TC_Web!G$1:G$500,SMALL(IF(Create_TC_Web!$C$1:$C$500&lt;&gt;"",MATCH(ROW(Create_TC_Web!$C$1:$C$500),ROW(Create_TC_Web!$C$1:$C$500)),""),ROW(Create_TC_Web!E449))),"")</f>
        <v/>
      </c>
      <c r="E449" t="str" cm="1">
        <f t="array" ref="E449">IFERROR(INDEX(Create_TC_Web!H$1:H$500,SMALL(IF(Create_TC_Web!$C$1:$C$500&lt;&gt;"",MATCH(ROW(Create_TC_Web!$C$1:$C$500),ROW(Create_TC_Web!$C$1:$C$500)),""),ROW(Create_TC_Web!F449))),"")</f>
        <v/>
      </c>
      <c r="F449" t="str" cm="1">
        <f t="array" ref="F449">IFERROR(INDEX(Create_TC_Web!I$1:I$500,SMALL(IF(Create_TC_Web!$C$1:$C$500&lt;&gt;"",MATCH(ROW(Create_TC_Web!$C$1:$C$500),ROW(Create_TC_Web!$C$1:$C$500)),""),ROW(Create_TC_Web!G449))),"")</f>
        <v/>
      </c>
      <c r="G449" t="str" cm="1">
        <f t="array" ref="G449">IFERROR(INDEX(Create_TC_Web!J$1:J$500,SMALL(IF(Create_TC_Web!$C$1:$C$500&lt;&gt;"",MATCH(ROW(Create_TC_Web!$C$1:$C$500),ROW(Create_TC_Web!$C$1:$C$500)),""),ROW(Create_TC_Web!H449))),"")</f>
        <v/>
      </c>
      <c r="H449" t="str" cm="1">
        <f t="array" ref="H449">IFERROR(INDEX(Create_TC_Web!K$1:K$500,SMALL(IF(Create_TC_Web!$C$1:$C$500&lt;&gt;"",MATCH(ROW(Create_TC_Web!$C$1:$C$500),ROW(Create_TC_Web!$C$1:$C$500)),""),ROW(Create_TC_Web!I449))),"")</f>
        <v/>
      </c>
      <c r="I449" t="str" cm="1">
        <f t="array" ref="I449">IFERROR(INDEX(Create_TC_Web!L$1:L$500,SMALL(IF(Create_TC_Web!$C$1:$C$500&lt;&gt;"",MATCH(ROW(Create_TC_Web!$C$1:$C$500),ROW(Create_TC_Web!$C$1:$C$500)),""),ROW(Create_TC_Web!J449))),"")</f>
        <v/>
      </c>
      <c r="J449" t="str" cm="1">
        <f t="array" ref="J449">IFERROR(INDEX(Create_TC_Web!M$1:M$500,SMALL(IF(Create_TC_Web!$C$1:$C$500&lt;&gt;"",MATCH(ROW(Create_TC_Web!$C$1:$C$500),ROW(Create_TC_Web!$C$1:$C$500)),""),ROW(Create_TC_Web!K449))),"")</f>
        <v/>
      </c>
      <c r="K449" t="str" cm="1">
        <f t="array" ref="K449">IFERROR(INDEX(Create_TC_Web!N$1:N$500,SMALL(IF(Create_TC_Web!$C$1:$C$500&lt;&gt;"",MATCH(ROW(Create_TC_Web!$C$1:$C$500),ROW(Create_TC_Web!$C$1:$C$500)),""),ROW(Create_TC_Web!L449))),"")</f>
        <v/>
      </c>
      <c r="L449" t="str" cm="1">
        <f t="array" ref="L449">IFERROR(INDEX(Create_TC_Web!O$1:O$500,SMALL(IF(Create_TC_Web!$C$1:$C$500&lt;&gt;"",MATCH(ROW(Create_TC_Web!$C$1:$C$500),ROW(Create_TC_Web!$C$1:$C$500)),""),ROW(Create_TC_Web!M449))),"")</f>
        <v/>
      </c>
      <c r="M449" t="str" cm="1">
        <f t="array" ref="M449">IFERROR(INDEX(Create_TC_Web!P$1:P$500,SMALL(IF(Create_TC_Web!$C$1:$C$500&lt;&gt;"",MATCH(ROW(Create_TC_Web!$C$1:$C$500),ROW(Create_TC_Web!$C$1:$C$500)),""),ROW(Create_TC_Web!N449))),"")</f>
        <v/>
      </c>
      <c r="N449" t="str" cm="1">
        <f t="array" ref="N449">IFERROR(INDEX(Create_TC_Web!Q$1:Q$500,SMALL(IF(Create_TC_Web!$C$1:$C$500&lt;&gt;"",MATCH(ROW(Create_TC_Web!$C$1:$C$500),ROW(Create_TC_Web!$C$1:$C$500)),""),ROW(Create_TC_Web!O449))),"")</f>
        <v/>
      </c>
      <c r="O449" t="str">
        <f t="shared" ref="O449:O454" si="21">IF(N449&lt;&gt;0,N449,"")</f>
        <v/>
      </c>
      <c r="P449" s="17" t="str" cm="1">
        <f t="array" ref="P449">IFERROR(INDEX(Create_TC_Web!S$1:S$500,SMALL(IF(Create_TC_Web!$C$1:$C$500&lt;&gt;"",MATCH(ROW(Create_TC_Web!$C$1:$C$500),ROW(Create_TC_Web!$C$1:$C$500)),""),ROW(Create_TC_Web!Q427))),"")</f>
        <v/>
      </c>
      <c r="S449" t="str">
        <f t="shared" si="20"/>
        <v/>
      </c>
    </row>
    <row r="450" spans="1:19">
      <c r="A450" t="str" cm="1">
        <f t="array" ref="A450">IFERROR(INDEX(Create_TC_Web!D$1:D$500,SMALL(IF(Create_TC_Web!$C$1:$C$500&lt;&gt;"",MATCH(ROW(Create_TC_Web!$C$1:$C$500),ROW(Create_TC_Web!$C$1:$C$500)),""),ROW(Create_TC_Web!B450))),"")</f>
        <v/>
      </c>
      <c r="B450" t="str" cm="1">
        <f t="array" ref="B450">SUBSTITUTE(SUBSTITUTE(SUBSTITUTE(IFERROR(INDEX(Create_TC_Web!E$1:E$505,SMALL(IF(Create_TC_Web!$C$1:$C$505&lt;&gt;"",MATCH(ROW(Create_TC_Web!$C$1:$C$505),ROW(Create_TC_Web!$C$1:$C$505)),""),ROW(Create_TC_Web!C450))),"")," ",""),"-",""),"_","")</f>
        <v/>
      </c>
      <c r="C450" t="str" cm="1">
        <f t="array" ref="C450">IFERROR(INDEX(Create_TC_Web!F$1:F$500,SMALL(IF(Create_TC_Web!$C$1:$C$500&lt;&gt;"",MATCH(ROW(Create_TC_Web!$C$1:$C$500),ROW(Create_TC_Web!$C$1:$C$500)),""),ROW(Create_TC_Web!D450))),"")</f>
        <v/>
      </c>
      <c r="D450" t="str" cm="1">
        <f t="array" ref="D450">IFERROR(INDEX(Create_TC_Web!G$1:G$500,SMALL(IF(Create_TC_Web!$C$1:$C$500&lt;&gt;"",MATCH(ROW(Create_TC_Web!$C$1:$C$500),ROW(Create_TC_Web!$C$1:$C$500)),""),ROW(Create_TC_Web!E450))),"")</f>
        <v/>
      </c>
      <c r="E450" t="str" cm="1">
        <f t="array" ref="E450">IFERROR(INDEX(Create_TC_Web!H$1:H$500,SMALL(IF(Create_TC_Web!$C$1:$C$500&lt;&gt;"",MATCH(ROW(Create_TC_Web!$C$1:$C$500),ROW(Create_TC_Web!$C$1:$C$500)),""),ROW(Create_TC_Web!F450))),"")</f>
        <v/>
      </c>
      <c r="F450" t="str" cm="1">
        <f t="array" ref="F450">IFERROR(INDEX(Create_TC_Web!I$1:I$500,SMALL(IF(Create_TC_Web!$C$1:$C$500&lt;&gt;"",MATCH(ROW(Create_TC_Web!$C$1:$C$500),ROW(Create_TC_Web!$C$1:$C$500)),""),ROW(Create_TC_Web!G450))),"")</f>
        <v/>
      </c>
      <c r="G450" t="str" cm="1">
        <f t="array" ref="G450">IFERROR(INDEX(Create_TC_Web!J$1:J$500,SMALL(IF(Create_TC_Web!$C$1:$C$500&lt;&gt;"",MATCH(ROW(Create_TC_Web!$C$1:$C$500),ROW(Create_TC_Web!$C$1:$C$500)),""),ROW(Create_TC_Web!H450))),"")</f>
        <v/>
      </c>
      <c r="H450" t="str" cm="1">
        <f t="array" ref="H450">IFERROR(INDEX(Create_TC_Web!K$1:K$500,SMALL(IF(Create_TC_Web!$C$1:$C$500&lt;&gt;"",MATCH(ROW(Create_TC_Web!$C$1:$C$500),ROW(Create_TC_Web!$C$1:$C$500)),""),ROW(Create_TC_Web!I450))),"")</f>
        <v/>
      </c>
      <c r="I450" t="str" cm="1">
        <f t="array" ref="I450">IFERROR(INDEX(Create_TC_Web!L$1:L$500,SMALL(IF(Create_TC_Web!$C$1:$C$500&lt;&gt;"",MATCH(ROW(Create_TC_Web!$C$1:$C$500),ROW(Create_TC_Web!$C$1:$C$500)),""),ROW(Create_TC_Web!J450))),"")</f>
        <v/>
      </c>
      <c r="J450" t="str" cm="1">
        <f t="array" ref="J450">IFERROR(INDEX(Create_TC_Web!M$1:M$500,SMALL(IF(Create_TC_Web!$C$1:$C$500&lt;&gt;"",MATCH(ROW(Create_TC_Web!$C$1:$C$500),ROW(Create_TC_Web!$C$1:$C$500)),""),ROW(Create_TC_Web!K450))),"")</f>
        <v/>
      </c>
      <c r="K450" t="str" cm="1">
        <f t="array" ref="K450">IFERROR(INDEX(Create_TC_Web!N$1:N$500,SMALL(IF(Create_TC_Web!$C$1:$C$500&lt;&gt;"",MATCH(ROW(Create_TC_Web!$C$1:$C$500),ROW(Create_TC_Web!$C$1:$C$500)),""),ROW(Create_TC_Web!L450))),"")</f>
        <v/>
      </c>
      <c r="L450" t="str" cm="1">
        <f t="array" ref="L450">IFERROR(INDEX(Create_TC_Web!O$1:O$500,SMALL(IF(Create_TC_Web!$C$1:$C$500&lt;&gt;"",MATCH(ROW(Create_TC_Web!$C$1:$C$500),ROW(Create_TC_Web!$C$1:$C$500)),""),ROW(Create_TC_Web!M450))),"")</f>
        <v/>
      </c>
      <c r="M450" t="str" cm="1">
        <f t="array" ref="M450">IFERROR(INDEX(Create_TC_Web!P$1:P$500,SMALL(IF(Create_TC_Web!$C$1:$C$500&lt;&gt;"",MATCH(ROW(Create_TC_Web!$C$1:$C$500),ROW(Create_TC_Web!$C$1:$C$500)),""),ROW(Create_TC_Web!N450))),"")</f>
        <v/>
      </c>
      <c r="N450" t="str" cm="1">
        <f t="array" ref="N450">IFERROR(INDEX(Create_TC_Web!Q$1:Q$500,SMALL(IF(Create_TC_Web!$C$1:$C$500&lt;&gt;"",MATCH(ROW(Create_TC_Web!$C$1:$C$500),ROW(Create_TC_Web!$C$1:$C$500)),""),ROW(Create_TC_Web!O450))),"")</f>
        <v/>
      </c>
      <c r="O450" t="str">
        <f t="shared" si="21"/>
        <v/>
      </c>
      <c r="P450" s="17" t="str" cm="1">
        <f t="array" ref="P450">IFERROR(INDEX(Create_TC_Web!S$1:S$500,SMALL(IF(Create_TC_Web!$C$1:$C$500&lt;&gt;"",MATCH(ROW(Create_TC_Web!$C$1:$C$500),ROW(Create_TC_Web!$C$1:$C$500)),""),ROW(Create_TC_Web!Q428))),"")</f>
        <v/>
      </c>
      <c r="S450" t="str">
        <f t="shared" si="20"/>
        <v/>
      </c>
    </row>
    <row r="451" spans="1:19">
      <c r="A451" t="str" cm="1">
        <f t="array" ref="A451">IFERROR(INDEX(Create_TC_Web!D$1:D$500,SMALL(IF(Create_TC_Web!$C$1:$C$500&lt;&gt;"",MATCH(ROW(Create_TC_Web!$C$1:$C$500),ROW(Create_TC_Web!$C$1:$C$500)),""),ROW(Create_TC_Web!B451))),"")</f>
        <v/>
      </c>
      <c r="B451" t="str" cm="1">
        <f t="array" ref="B451">SUBSTITUTE(SUBSTITUTE(SUBSTITUTE(IFERROR(INDEX(Create_TC_Web!E$1:E$505,SMALL(IF(Create_TC_Web!$C$1:$C$505&lt;&gt;"",MATCH(ROW(Create_TC_Web!$C$1:$C$505),ROW(Create_TC_Web!$C$1:$C$505)),""),ROW(Create_TC_Web!C451))),"")," ",""),"-",""),"_","")</f>
        <v/>
      </c>
      <c r="C451" t="str" cm="1">
        <f t="array" ref="C451">IFERROR(INDEX(Create_TC_Web!F$1:F$500,SMALL(IF(Create_TC_Web!$C$1:$C$500&lt;&gt;"",MATCH(ROW(Create_TC_Web!$C$1:$C$500),ROW(Create_TC_Web!$C$1:$C$500)),""),ROW(Create_TC_Web!D451))),"")</f>
        <v/>
      </c>
      <c r="D451" t="str" cm="1">
        <f t="array" ref="D451">IFERROR(INDEX(Create_TC_Web!G$1:G$500,SMALL(IF(Create_TC_Web!$C$1:$C$500&lt;&gt;"",MATCH(ROW(Create_TC_Web!$C$1:$C$500),ROW(Create_TC_Web!$C$1:$C$500)),""),ROW(Create_TC_Web!E451))),"")</f>
        <v/>
      </c>
      <c r="E451" t="str" cm="1">
        <f t="array" ref="E451">IFERROR(INDEX(Create_TC_Web!H$1:H$500,SMALL(IF(Create_TC_Web!$C$1:$C$500&lt;&gt;"",MATCH(ROW(Create_TC_Web!$C$1:$C$500),ROW(Create_TC_Web!$C$1:$C$500)),""),ROW(Create_TC_Web!F451))),"")</f>
        <v/>
      </c>
      <c r="F451" t="str" cm="1">
        <f t="array" ref="F451">IFERROR(INDEX(Create_TC_Web!I$1:I$500,SMALL(IF(Create_TC_Web!$C$1:$C$500&lt;&gt;"",MATCH(ROW(Create_TC_Web!$C$1:$C$500),ROW(Create_TC_Web!$C$1:$C$500)),""),ROW(Create_TC_Web!G451))),"")</f>
        <v/>
      </c>
      <c r="G451" t="str" cm="1">
        <f t="array" ref="G451">IFERROR(INDEX(Create_TC_Web!J$1:J$500,SMALL(IF(Create_TC_Web!$C$1:$C$500&lt;&gt;"",MATCH(ROW(Create_TC_Web!$C$1:$C$500),ROW(Create_TC_Web!$C$1:$C$500)),""),ROW(Create_TC_Web!H451))),"")</f>
        <v/>
      </c>
      <c r="H451" t="str" cm="1">
        <f t="array" ref="H451">IFERROR(INDEX(Create_TC_Web!K$1:K$500,SMALL(IF(Create_TC_Web!$C$1:$C$500&lt;&gt;"",MATCH(ROW(Create_TC_Web!$C$1:$C$500),ROW(Create_TC_Web!$C$1:$C$500)),""),ROW(Create_TC_Web!I451))),"")</f>
        <v/>
      </c>
      <c r="I451" t="str" cm="1">
        <f t="array" ref="I451">IFERROR(INDEX(Create_TC_Web!L$1:L$500,SMALL(IF(Create_TC_Web!$C$1:$C$500&lt;&gt;"",MATCH(ROW(Create_TC_Web!$C$1:$C$500),ROW(Create_TC_Web!$C$1:$C$500)),""),ROW(Create_TC_Web!J451))),"")</f>
        <v/>
      </c>
      <c r="J451" t="str" cm="1">
        <f t="array" ref="J451">IFERROR(INDEX(Create_TC_Web!M$1:M$500,SMALL(IF(Create_TC_Web!$C$1:$C$500&lt;&gt;"",MATCH(ROW(Create_TC_Web!$C$1:$C$500),ROW(Create_TC_Web!$C$1:$C$500)),""),ROW(Create_TC_Web!K451))),"")</f>
        <v/>
      </c>
      <c r="K451" t="str" cm="1">
        <f t="array" ref="K451">IFERROR(INDEX(Create_TC_Web!N$1:N$500,SMALL(IF(Create_TC_Web!$C$1:$C$500&lt;&gt;"",MATCH(ROW(Create_TC_Web!$C$1:$C$500),ROW(Create_TC_Web!$C$1:$C$500)),""),ROW(Create_TC_Web!L451))),"")</f>
        <v/>
      </c>
      <c r="L451" t="str" cm="1">
        <f t="array" ref="L451">IFERROR(INDEX(Create_TC_Web!O$1:O$500,SMALL(IF(Create_TC_Web!$C$1:$C$500&lt;&gt;"",MATCH(ROW(Create_TC_Web!$C$1:$C$500),ROW(Create_TC_Web!$C$1:$C$500)),""),ROW(Create_TC_Web!M451))),"")</f>
        <v/>
      </c>
      <c r="M451" t="str" cm="1">
        <f t="array" ref="M451">IFERROR(INDEX(Create_TC_Web!P$1:P$500,SMALL(IF(Create_TC_Web!$C$1:$C$500&lt;&gt;"",MATCH(ROW(Create_TC_Web!$C$1:$C$500),ROW(Create_TC_Web!$C$1:$C$500)),""),ROW(Create_TC_Web!N451))),"")</f>
        <v/>
      </c>
      <c r="N451" t="str" cm="1">
        <f t="array" ref="N451">IFERROR(INDEX(Create_TC_Web!Q$1:Q$500,SMALL(IF(Create_TC_Web!$C$1:$C$500&lt;&gt;"",MATCH(ROW(Create_TC_Web!$C$1:$C$500),ROW(Create_TC_Web!$C$1:$C$500)),""),ROW(Create_TC_Web!O451))),"")</f>
        <v/>
      </c>
      <c r="O451" t="str">
        <f t="shared" si="21"/>
        <v/>
      </c>
      <c r="P451" s="17" t="str" cm="1">
        <f t="array" ref="P451">IFERROR(INDEX(Create_TC_Web!S$1:S$500,SMALL(IF(Create_TC_Web!$C$1:$C$500&lt;&gt;"",MATCH(ROW(Create_TC_Web!$C$1:$C$500),ROW(Create_TC_Web!$C$1:$C$500)),""),ROW(Create_TC_Web!Q429))),"")</f>
        <v/>
      </c>
      <c r="S451" t="str">
        <f t="shared" ref="S451:S514" si="22">IF(P451&lt;&gt;0,P451,"")</f>
        <v/>
      </c>
    </row>
    <row r="452" spans="1:19">
      <c r="A452" t="str" cm="1">
        <f t="array" ref="A452">IFERROR(INDEX(Create_TC_Web!D$1:D$500,SMALL(IF(Create_TC_Web!$C$1:$C$500&lt;&gt;"",MATCH(ROW(Create_TC_Web!$C$1:$C$500),ROW(Create_TC_Web!$C$1:$C$500)),""),ROW(Create_TC_Web!B452))),"")</f>
        <v/>
      </c>
      <c r="B452" t="str" cm="1">
        <f t="array" ref="B452">SUBSTITUTE(SUBSTITUTE(SUBSTITUTE(IFERROR(INDEX(Create_TC_Web!E$1:E$505,SMALL(IF(Create_TC_Web!$C$1:$C$505&lt;&gt;"",MATCH(ROW(Create_TC_Web!$C$1:$C$505),ROW(Create_TC_Web!$C$1:$C$505)),""),ROW(Create_TC_Web!C452))),"")," ",""),"-",""),"_","")</f>
        <v/>
      </c>
      <c r="C452" t="str" cm="1">
        <f t="array" ref="C452">IFERROR(INDEX(Create_TC_Web!F$1:F$500,SMALL(IF(Create_TC_Web!$C$1:$C$500&lt;&gt;"",MATCH(ROW(Create_TC_Web!$C$1:$C$500),ROW(Create_TC_Web!$C$1:$C$500)),""),ROW(Create_TC_Web!D452))),"")</f>
        <v/>
      </c>
      <c r="D452" t="str" cm="1">
        <f t="array" ref="D452">IFERROR(INDEX(Create_TC_Web!G$1:G$500,SMALL(IF(Create_TC_Web!$C$1:$C$500&lt;&gt;"",MATCH(ROW(Create_TC_Web!$C$1:$C$500),ROW(Create_TC_Web!$C$1:$C$500)),""),ROW(Create_TC_Web!E452))),"")</f>
        <v/>
      </c>
      <c r="E452" t="str" cm="1">
        <f t="array" ref="E452">IFERROR(INDEX(Create_TC_Web!H$1:H$500,SMALL(IF(Create_TC_Web!$C$1:$C$500&lt;&gt;"",MATCH(ROW(Create_TC_Web!$C$1:$C$500),ROW(Create_TC_Web!$C$1:$C$500)),""),ROW(Create_TC_Web!F452))),"")</f>
        <v/>
      </c>
      <c r="F452" t="str" cm="1">
        <f t="array" ref="F452">IFERROR(INDEX(Create_TC_Web!I$1:I$500,SMALL(IF(Create_TC_Web!$C$1:$C$500&lt;&gt;"",MATCH(ROW(Create_TC_Web!$C$1:$C$500),ROW(Create_TC_Web!$C$1:$C$500)),""),ROW(Create_TC_Web!G452))),"")</f>
        <v/>
      </c>
      <c r="G452" t="str" cm="1">
        <f t="array" ref="G452">IFERROR(INDEX(Create_TC_Web!J$1:J$500,SMALL(IF(Create_TC_Web!$C$1:$C$500&lt;&gt;"",MATCH(ROW(Create_TC_Web!$C$1:$C$500),ROW(Create_TC_Web!$C$1:$C$500)),""),ROW(Create_TC_Web!H452))),"")</f>
        <v/>
      </c>
      <c r="H452" t="str" cm="1">
        <f t="array" ref="H452">IFERROR(INDEX(Create_TC_Web!K$1:K$500,SMALL(IF(Create_TC_Web!$C$1:$C$500&lt;&gt;"",MATCH(ROW(Create_TC_Web!$C$1:$C$500),ROW(Create_TC_Web!$C$1:$C$500)),""),ROW(Create_TC_Web!I452))),"")</f>
        <v/>
      </c>
      <c r="I452" t="str" cm="1">
        <f t="array" ref="I452">IFERROR(INDEX(Create_TC_Web!L$1:L$500,SMALL(IF(Create_TC_Web!$C$1:$C$500&lt;&gt;"",MATCH(ROW(Create_TC_Web!$C$1:$C$500),ROW(Create_TC_Web!$C$1:$C$500)),""),ROW(Create_TC_Web!J452))),"")</f>
        <v/>
      </c>
      <c r="J452" t="str" cm="1">
        <f t="array" ref="J452">IFERROR(INDEX(Create_TC_Web!M$1:M$500,SMALL(IF(Create_TC_Web!$C$1:$C$500&lt;&gt;"",MATCH(ROW(Create_TC_Web!$C$1:$C$500),ROW(Create_TC_Web!$C$1:$C$500)),""),ROW(Create_TC_Web!K452))),"")</f>
        <v/>
      </c>
      <c r="K452" t="str" cm="1">
        <f t="array" ref="K452">IFERROR(INDEX(Create_TC_Web!N$1:N$500,SMALL(IF(Create_TC_Web!$C$1:$C$500&lt;&gt;"",MATCH(ROW(Create_TC_Web!$C$1:$C$500),ROW(Create_TC_Web!$C$1:$C$500)),""),ROW(Create_TC_Web!L452))),"")</f>
        <v/>
      </c>
      <c r="L452" t="str" cm="1">
        <f t="array" ref="L452">IFERROR(INDEX(Create_TC_Web!O$1:O$500,SMALL(IF(Create_TC_Web!$C$1:$C$500&lt;&gt;"",MATCH(ROW(Create_TC_Web!$C$1:$C$500),ROW(Create_TC_Web!$C$1:$C$500)),""),ROW(Create_TC_Web!M452))),"")</f>
        <v/>
      </c>
      <c r="M452" t="str" cm="1">
        <f t="array" ref="M452">IFERROR(INDEX(Create_TC_Web!P$1:P$500,SMALL(IF(Create_TC_Web!$C$1:$C$500&lt;&gt;"",MATCH(ROW(Create_TC_Web!$C$1:$C$500),ROW(Create_TC_Web!$C$1:$C$500)),""),ROW(Create_TC_Web!N452))),"")</f>
        <v/>
      </c>
      <c r="N452" t="str" cm="1">
        <f t="array" ref="N452">IFERROR(INDEX(Create_TC_Web!Q$1:Q$500,SMALL(IF(Create_TC_Web!$C$1:$C$500&lt;&gt;"",MATCH(ROW(Create_TC_Web!$C$1:$C$500),ROW(Create_TC_Web!$C$1:$C$500)),""),ROW(Create_TC_Web!O452))),"")</f>
        <v/>
      </c>
      <c r="O452" t="str">
        <f t="shared" si="21"/>
        <v/>
      </c>
      <c r="P452" s="17" t="str" cm="1">
        <f t="array" ref="P452">IFERROR(INDEX(Create_TC_Web!S$1:S$500,SMALL(IF(Create_TC_Web!$C$1:$C$500&lt;&gt;"",MATCH(ROW(Create_TC_Web!$C$1:$C$500),ROW(Create_TC_Web!$C$1:$C$500)),""),ROW(Create_TC_Web!Q430))),"")</f>
        <v/>
      </c>
      <c r="S452" t="str">
        <f t="shared" si="22"/>
        <v/>
      </c>
    </row>
    <row r="453" spans="1:19">
      <c r="A453" t="str" cm="1">
        <f t="array" ref="A453">IFERROR(INDEX(Create_TC_Web!D$1:D$500,SMALL(IF(Create_TC_Web!$C$1:$C$500&lt;&gt;"",MATCH(ROW(Create_TC_Web!$C$1:$C$500),ROW(Create_TC_Web!$C$1:$C$500)),""),ROW(Create_TC_Web!B453))),"")</f>
        <v/>
      </c>
      <c r="B453" t="str" cm="1">
        <f t="array" ref="B453">SUBSTITUTE(SUBSTITUTE(SUBSTITUTE(IFERROR(INDEX(Create_TC_Web!E$1:E$505,SMALL(IF(Create_TC_Web!$C$1:$C$505&lt;&gt;"",MATCH(ROW(Create_TC_Web!$C$1:$C$505),ROW(Create_TC_Web!$C$1:$C$505)),""),ROW(Create_TC_Web!C453))),"")," ",""),"-",""),"_","")</f>
        <v/>
      </c>
      <c r="C453" t="str" cm="1">
        <f t="array" ref="C453">IFERROR(INDEX(Create_TC_Web!F$1:F$500,SMALL(IF(Create_TC_Web!$C$1:$C$500&lt;&gt;"",MATCH(ROW(Create_TC_Web!$C$1:$C$500),ROW(Create_TC_Web!$C$1:$C$500)),""),ROW(Create_TC_Web!D453))),"")</f>
        <v/>
      </c>
      <c r="D453" t="str" cm="1">
        <f t="array" ref="D453">IFERROR(INDEX(Create_TC_Web!G$1:G$500,SMALL(IF(Create_TC_Web!$C$1:$C$500&lt;&gt;"",MATCH(ROW(Create_TC_Web!$C$1:$C$500),ROW(Create_TC_Web!$C$1:$C$500)),""),ROW(Create_TC_Web!E453))),"")</f>
        <v/>
      </c>
      <c r="E453" t="str" cm="1">
        <f t="array" ref="E453">IFERROR(INDEX(Create_TC_Web!H$1:H$500,SMALL(IF(Create_TC_Web!$C$1:$C$500&lt;&gt;"",MATCH(ROW(Create_TC_Web!$C$1:$C$500),ROW(Create_TC_Web!$C$1:$C$500)),""),ROW(Create_TC_Web!F453))),"")</f>
        <v/>
      </c>
      <c r="F453" t="str" cm="1">
        <f t="array" ref="F453">IFERROR(INDEX(Create_TC_Web!I$1:I$500,SMALL(IF(Create_TC_Web!$C$1:$C$500&lt;&gt;"",MATCH(ROW(Create_TC_Web!$C$1:$C$500),ROW(Create_TC_Web!$C$1:$C$500)),""),ROW(Create_TC_Web!G453))),"")</f>
        <v/>
      </c>
      <c r="G453" t="str" cm="1">
        <f t="array" ref="G453">IFERROR(INDEX(Create_TC_Web!J$1:J$500,SMALL(IF(Create_TC_Web!$C$1:$C$500&lt;&gt;"",MATCH(ROW(Create_TC_Web!$C$1:$C$500),ROW(Create_TC_Web!$C$1:$C$500)),""),ROW(Create_TC_Web!H453))),"")</f>
        <v/>
      </c>
      <c r="H453" t="str" cm="1">
        <f t="array" ref="H453">IFERROR(INDEX(Create_TC_Web!K$1:K$500,SMALL(IF(Create_TC_Web!$C$1:$C$500&lt;&gt;"",MATCH(ROW(Create_TC_Web!$C$1:$C$500),ROW(Create_TC_Web!$C$1:$C$500)),""),ROW(Create_TC_Web!I453))),"")</f>
        <v/>
      </c>
      <c r="I453" t="str" cm="1">
        <f t="array" ref="I453">IFERROR(INDEX(Create_TC_Web!L$1:L$500,SMALL(IF(Create_TC_Web!$C$1:$C$500&lt;&gt;"",MATCH(ROW(Create_TC_Web!$C$1:$C$500),ROW(Create_TC_Web!$C$1:$C$500)),""),ROW(Create_TC_Web!J453))),"")</f>
        <v/>
      </c>
      <c r="J453" t="str" cm="1">
        <f t="array" ref="J453">IFERROR(INDEX(Create_TC_Web!M$1:M$500,SMALL(IF(Create_TC_Web!$C$1:$C$500&lt;&gt;"",MATCH(ROW(Create_TC_Web!$C$1:$C$500),ROW(Create_TC_Web!$C$1:$C$500)),""),ROW(Create_TC_Web!K453))),"")</f>
        <v/>
      </c>
      <c r="K453" t="str" cm="1">
        <f t="array" ref="K453">IFERROR(INDEX(Create_TC_Web!N$1:N$500,SMALL(IF(Create_TC_Web!$C$1:$C$500&lt;&gt;"",MATCH(ROW(Create_TC_Web!$C$1:$C$500),ROW(Create_TC_Web!$C$1:$C$500)),""),ROW(Create_TC_Web!L453))),"")</f>
        <v/>
      </c>
      <c r="L453" t="str" cm="1">
        <f t="array" ref="L453">IFERROR(INDEX(Create_TC_Web!O$1:O$500,SMALL(IF(Create_TC_Web!$C$1:$C$500&lt;&gt;"",MATCH(ROW(Create_TC_Web!$C$1:$C$500),ROW(Create_TC_Web!$C$1:$C$500)),""),ROW(Create_TC_Web!M453))),"")</f>
        <v/>
      </c>
      <c r="M453" t="str" cm="1">
        <f t="array" ref="M453">IFERROR(INDEX(Create_TC_Web!P$1:P$500,SMALL(IF(Create_TC_Web!$C$1:$C$500&lt;&gt;"",MATCH(ROW(Create_TC_Web!$C$1:$C$500),ROW(Create_TC_Web!$C$1:$C$500)),""),ROW(Create_TC_Web!N453))),"")</f>
        <v/>
      </c>
      <c r="N453" t="str" cm="1">
        <f t="array" ref="N453">IFERROR(INDEX(Create_TC_Web!Q$1:Q$500,SMALL(IF(Create_TC_Web!$C$1:$C$500&lt;&gt;"",MATCH(ROW(Create_TC_Web!$C$1:$C$500),ROW(Create_TC_Web!$C$1:$C$500)),""),ROW(Create_TC_Web!O453))),"")</f>
        <v/>
      </c>
      <c r="O453" t="str">
        <f t="shared" si="21"/>
        <v/>
      </c>
      <c r="P453" s="17" t="str" cm="1">
        <f t="array" ref="P453">IFERROR(INDEX(Create_TC_Web!S$1:S$500,SMALL(IF(Create_TC_Web!$C$1:$C$500&lt;&gt;"",MATCH(ROW(Create_TC_Web!$C$1:$C$500),ROW(Create_TC_Web!$C$1:$C$500)),""),ROW(Create_TC_Web!Q431))),"")</f>
        <v/>
      </c>
      <c r="S453" t="str">
        <f t="shared" si="22"/>
        <v/>
      </c>
    </row>
    <row r="454" spans="1:19">
      <c r="A454" t="str" cm="1">
        <f t="array" ref="A454">IFERROR(INDEX(Create_TC_Web!D$1:D$500,SMALL(IF(Create_TC_Web!$C$1:$C$500&lt;&gt;"",MATCH(ROW(Create_TC_Web!$C$1:$C$500),ROW(Create_TC_Web!$C$1:$C$500)),""),ROW(Create_TC_Web!B454))),"")</f>
        <v/>
      </c>
      <c r="B454" t="str" cm="1">
        <f t="array" ref="B454">SUBSTITUTE(SUBSTITUTE(SUBSTITUTE(IFERROR(INDEX(Create_TC_Web!E$1:E$505,SMALL(IF(Create_TC_Web!$C$1:$C$505&lt;&gt;"",MATCH(ROW(Create_TC_Web!$C$1:$C$505),ROW(Create_TC_Web!$C$1:$C$505)),""),ROW(Create_TC_Web!C454))),"")," ",""),"-",""),"_","")</f>
        <v/>
      </c>
      <c r="C454" t="str" cm="1">
        <f t="array" ref="C454">IFERROR(INDEX(Create_TC_Web!F$1:F$500,SMALL(IF(Create_TC_Web!$C$1:$C$500&lt;&gt;"",MATCH(ROW(Create_TC_Web!$C$1:$C$500),ROW(Create_TC_Web!$C$1:$C$500)),""),ROW(Create_TC_Web!D454))),"")</f>
        <v/>
      </c>
      <c r="D454" t="str" cm="1">
        <f t="array" ref="D454">IFERROR(INDEX(Create_TC_Web!G$1:G$500,SMALL(IF(Create_TC_Web!$C$1:$C$500&lt;&gt;"",MATCH(ROW(Create_TC_Web!$C$1:$C$500),ROW(Create_TC_Web!$C$1:$C$500)),""),ROW(Create_TC_Web!E454))),"")</f>
        <v/>
      </c>
      <c r="E454" t="str" cm="1">
        <f t="array" ref="E454">IFERROR(INDEX(Create_TC_Web!H$1:H$500,SMALL(IF(Create_TC_Web!$C$1:$C$500&lt;&gt;"",MATCH(ROW(Create_TC_Web!$C$1:$C$500),ROW(Create_TC_Web!$C$1:$C$500)),""),ROW(Create_TC_Web!F454))),"")</f>
        <v/>
      </c>
      <c r="F454" t="str" cm="1">
        <f t="array" ref="F454">IFERROR(INDEX(Create_TC_Web!I$1:I$500,SMALL(IF(Create_TC_Web!$C$1:$C$500&lt;&gt;"",MATCH(ROW(Create_TC_Web!$C$1:$C$500),ROW(Create_TC_Web!$C$1:$C$500)),""),ROW(Create_TC_Web!G454))),"")</f>
        <v/>
      </c>
      <c r="G454" t="str" cm="1">
        <f t="array" ref="G454">IFERROR(INDEX(Create_TC_Web!J$1:J$500,SMALL(IF(Create_TC_Web!$C$1:$C$500&lt;&gt;"",MATCH(ROW(Create_TC_Web!$C$1:$C$500),ROW(Create_TC_Web!$C$1:$C$500)),""),ROW(Create_TC_Web!H454))),"")</f>
        <v/>
      </c>
      <c r="H454" t="str" cm="1">
        <f t="array" ref="H454">IFERROR(INDEX(Create_TC_Web!K$1:K$500,SMALL(IF(Create_TC_Web!$C$1:$C$500&lt;&gt;"",MATCH(ROW(Create_TC_Web!$C$1:$C$500),ROW(Create_TC_Web!$C$1:$C$500)),""),ROW(Create_TC_Web!I454))),"")</f>
        <v/>
      </c>
      <c r="I454" t="str" cm="1">
        <f t="array" ref="I454">IFERROR(INDEX(Create_TC_Web!L$1:L$500,SMALL(IF(Create_TC_Web!$C$1:$C$500&lt;&gt;"",MATCH(ROW(Create_TC_Web!$C$1:$C$500),ROW(Create_TC_Web!$C$1:$C$500)),""),ROW(Create_TC_Web!J454))),"")</f>
        <v/>
      </c>
      <c r="J454" t="str" cm="1">
        <f t="array" ref="J454">IFERROR(INDEX(Create_TC_Web!M$1:M$500,SMALL(IF(Create_TC_Web!$C$1:$C$500&lt;&gt;"",MATCH(ROW(Create_TC_Web!$C$1:$C$500),ROW(Create_TC_Web!$C$1:$C$500)),""),ROW(Create_TC_Web!K454))),"")</f>
        <v/>
      </c>
      <c r="K454" t="str" cm="1">
        <f t="array" ref="K454">IFERROR(INDEX(Create_TC_Web!N$1:N$500,SMALL(IF(Create_TC_Web!$C$1:$C$500&lt;&gt;"",MATCH(ROW(Create_TC_Web!$C$1:$C$500),ROW(Create_TC_Web!$C$1:$C$500)),""),ROW(Create_TC_Web!L454))),"")</f>
        <v/>
      </c>
      <c r="L454" t="str" cm="1">
        <f t="array" ref="L454">IFERROR(INDEX(Create_TC_Web!O$1:O$500,SMALL(IF(Create_TC_Web!$C$1:$C$500&lt;&gt;"",MATCH(ROW(Create_TC_Web!$C$1:$C$500),ROW(Create_TC_Web!$C$1:$C$500)),""),ROW(Create_TC_Web!M454))),"")</f>
        <v/>
      </c>
      <c r="M454" t="str" cm="1">
        <f t="array" ref="M454">IFERROR(INDEX(Create_TC_Web!P$1:P$500,SMALL(IF(Create_TC_Web!$C$1:$C$500&lt;&gt;"",MATCH(ROW(Create_TC_Web!$C$1:$C$500),ROW(Create_TC_Web!$C$1:$C$500)),""),ROW(Create_TC_Web!N454))),"")</f>
        <v/>
      </c>
      <c r="N454" t="str" cm="1">
        <f t="array" ref="N454">IFERROR(INDEX(Create_TC_Web!Q$1:Q$500,SMALL(IF(Create_TC_Web!$C$1:$C$500&lt;&gt;"",MATCH(ROW(Create_TC_Web!$C$1:$C$500),ROW(Create_TC_Web!$C$1:$C$500)),""),ROW(Create_TC_Web!O454))),"")</f>
        <v/>
      </c>
      <c r="O454" t="str">
        <f t="shared" si="21"/>
        <v/>
      </c>
      <c r="P454" s="17" t="str" cm="1">
        <f t="array" ref="P454">IFERROR(INDEX(Create_TC_Web!S$1:S$500,SMALL(IF(Create_TC_Web!$C$1:$C$500&lt;&gt;"",MATCH(ROW(Create_TC_Web!$C$1:$C$500),ROW(Create_TC_Web!$C$1:$C$500)),""),ROW(Create_TC_Web!Q432))),"")</f>
        <v/>
      </c>
      <c r="S454" t="str">
        <f t="shared" si="22"/>
        <v/>
      </c>
    </row>
    <row r="455" spans="1:19">
      <c r="A455" t="str" cm="1">
        <f t="array" ref="A455">IFERROR(INDEX(Create_TC_Web!D$1:D$500,SMALL(IF(Create_TC_Web!$C$1:$C$500&lt;&gt;"",MATCH(ROW(Create_TC_Web!$C$1:$C$500),ROW(Create_TC_Web!$C$1:$C$500)),""),ROW(Create_TC_Web!B455))),"")</f>
        <v/>
      </c>
      <c r="B455" t="str" cm="1">
        <f t="array" ref="B455">SUBSTITUTE(SUBSTITUTE(SUBSTITUTE(IFERROR(INDEX(Create_TC_Web!E$1:E$505,SMALL(IF(Create_TC_Web!$C$1:$C$505&lt;&gt;"",MATCH(ROW(Create_TC_Web!$C$1:$C$505),ROW(Create_TC_Web!$C$1:$C$505)),""),ROW(Create_TC_Web!C455))),"")," ",""),"-",""),"_","")</f>
        <v/>
      </c>
      <c r="C455" t="str" cm="1">
        <f t="array" ref="C455">IFERROR(INDEX(Create_TC_Web!F$1:F$500,SMALL(IF(Create_TC_Web!$C$1:$C$500&lt;&gt;"",MATCH(ROW(Create_TC_Web!$C$1:$C$500),ROW(Create_TC_Web!$C$1:$C$500)),""),ROW(Create_TC_Web!D455))),"")</f>
        <v/>
      </c>
      <c r="D455" t="str" cm="1">
        <f t="array" ref="D455">IFERROR(INDEX(Create_TC_Web!G$1:G$500,SMALL(IF(Create_TC_Web!$C$1:$C$500&lt;&gt;"",MATCH(ROW(Create_TC_Web!$C$1:$C$500),ROW(Create_TC_Web!$C$1:$C$500)),""),ROW(Create_TC_Web!E455))),"")</f>
        <v/>
      </c>
      <c r="E455" t="str" cm="1">
        <f t="array" ref="E455">IFERROR(INDEX(Create_TC_Web!H$1:H$500,SMALL(IF(Create_TC_Web!$C$1:$C$500&lt;&gt;"",MATCH(ROW(Create_TC_Web!$C$1:$C$500),ROW(Create_TC_Web!$C$1:$C$500)),""),ROW(Create_TC_Web!F455))),"")</f>
        <v/>
      </c>
      <c r="F455" t="str" cm="1">
        <f t="array" ref="F455">IFERROR(INDEX(Create_TC_Web!I$1:I$500,SMALL(IF(Create_TC_Web!$C$1:$C$500&lt;&gt;"",MATCH(ROW(Create_TC_Web!$C$1:$C$500),ROW(Create_TC_Web!$C$1:$C$500)),""),ROW(Create_TC_Web!G455))),"")</f>
        <v/>
      </c>
      <c r="G455" t="str" cm="1">
        <f t="array" ref="G455">IFERROR(INDEX(Create_TC_Web!J$1:J$500,SMALL(IF(Create_TC_Web!$C$1:$C$500&lt;&gt;"",MATCH(ROW(Create_TC_Web!$C$1:$C$500),ROW(Create_TC_Web!$C$1:$C$500)),""),ROW(Create_TC_Web!H455))),"")</f>
        <v/>
      </c>
      <c r="H455" t="str" cm="1">
        <f t="array" ref="H455">IFERROR(INDEX(Create_TC_Web!K$1:K$500,SMALL(IF(Create_TC_Web!$C$1:$C$500&lt;&gt;"",MATCH(ROW(Create_TC_Web!$C$1:$C$500),ROW(Create_TC_Web!$C$1:$C$500)),""),ROW(Create_TC_Web!I455))),"")</f>
        <v/>
      </c>
      <c r="I455" t="str" cm="1">
        <f t="array" ref="I455">IFERROR(INDEX(Create_TC_Web!L$1:L$500,SMALL(IF(Create_TC_Web!$C$1:$C$500&lt;&gt;"",MATCH(ROW(Create_TC_Web!$C$1:$C$500),ROW(Create_TC_Web!$C$1:$C$500)),""),ROW(Create_TC_Web!J455))),"")</f>
        <v/>
      </c>
      <c r="J455" t="str" cm="1">
        <f t="array" ref="J455">IFERROR(INDEX(Create_TC_Web!M$1:M$500,SMALL(IF(Create_TC_Web!$C$1:$C$500&lt;&gt;"",MATCH(ROW(Create_TC_Web!$C$1:$C$500),ROW(Create_TC_Web!$C$1:$C$500)),""),ROW(Create_TC_Web!K455))),"")</f>
        <v/>
      </c>
      <c r="K455" t="str" cm="1">
        <f t="array" ref="K455">IFERROR(INDEX(Create_TC_Web!N$1:N$500,SMALL(IF(Create_TC_Web!$C$1:$C$500&lt;&gt;"",MATCH(ROW(Create_TC_Web!$C$1:$C$500),ROW(Create_TC_Web!$C$1:$C$500)),""),ROW(Create_TC_Web!L455))),"")</f>
        <v/>
      </c>
      <c r="L455" t="str" cm="1">
        <f t="array" ref="L455">IFERROR(INDEX(Create_TC_Web!O$1:O$500,SMALL(IF(Create_TC_Web!$C$1:$C$500&lt;&gt;"",MATCH(ROW(Create_TC_Web!$C$1:$C$500),ROW(Create_TC_Web!$C$1:$C$500)),""),ROW(Create_TC_Web!M455))),"")</f>
        <v/>
      </c>
      <c r="M455" t="str" cm="1">
        <f t="array" ref="M455">IFERROR(INDEX(Create_TC_Web!P$1:P$500,SMALL(IF(Create_TC_Web!$C$1:$C$500&lt;&gt;"",MATCH(ROW(Create_TC_Web!$C$1:$C$500),ROW(Create_TC_Web!$C$1:$C$500)),""),ROW(Create_TC_Web!N455))),"")</f>
        <v/>
      </c>
      <c r="N455" t="str" cm="1">
        <f t="array" ref="N455">IFERROR(INDEX(Create_TC_Web!Q$1:Q$500,SMALL(IF(Create_TC_Web!$C$1:$C$500&lt;&gt;"",MATCH(ROW(Create_TC_Web!$C$1:$C$500),ROW(Create_TC_Web!$C$1:$C$500)),""),ROW(Create_TC_Web!O455))),"")</f>
        <v/>
      </c>
      <c r="O455" t="str">
        <f t="shared" ref="O455:O518" si="23">IF(N455&lt;&gt;0,N455,"")</f>
        <v/>
      </c>
      <c r="P455" s="17" t="str" cm="1">
        <f t="array" ref="P455">IFERROR(INDEX(Create_TC_Web!S$1:S$500,SMALL(IF(Create_TC_Web!$C$1:$C$500&lt;&gt;"",MATCH(ROW(Create_TC_Web!$C$1:$C$500),ROW(Create_TC_Web!$C$1:$C$500)),""),ROW(Create_TC_Web!Q433))),"")</f>
        <v/>
      </c>
      <c r="S455" t="str">
        <f t="shared" si="22"/>
        <v/>
      </c>
    </row>
    <row r="456" spans="1:19">
      <c r="A456" t="str" cm="1">
        <f t="array" ref="A456">IFERROR(INDEX(Create_TC_Web!D$1:D$500,SMALL(IF(Create_TC_Web!$C$1:$C$500&lt;&gt;"",MATCH(ROW(Create_TC_Web!$C$1:$C$500),ROW(Create_TC_Web!$C$1:$C$500)),""),ROW(Create_TC_Web!B456))),"")</f>
        <v/>
      </c>
      <c r="B456" t="str" cm="1">
        <f t="array" ref="B456">SUBSTITUTE(SUBSTITUTE(SUBSTITUTE(IFERROR(INDEX(Create_TC_Web!E$1:E$505,SMALL(IF(Create_TC_Web!$C$1:$C$505&lt;&gt;"",MATCH(ROW(Create_TC_Web!$C$1:$C$505),ROW(Create_TC_Web!$C$1:$C$505)),""),ROW(Create_TC_Web!C456))),"")," ",""),"-",""),"_","")</f>
        <v/>
      </c>
      <c r="C456" t="str" cm="1">
        <f t="array" ref="C456">IFERROR(INDEX(Create_TC_Web!F$1:F$500,SMALL(IF(Create_TC_Web!$C$1:$C$500&lt;&gt;"",MATCH(ROW(Create_TC_Web!$C$1:$C$500),ROW(Create_TC_Web!$C$1:$C$500)),""),ROW(Create_TC_Web!D456))),"")</f>
        <v/>
      </c>
      <c r="D456" t="str" cm="1">
        <f t="array" ref="D456">IFERROR(INDEX(Create_TC_Web!G$1:G$500,SMALL(IF(Create_TC_Web!$C$1:$C$500&lt;&gt;"",MATCH(ROW(Create_TC_Web!$C$1:$C$500),ROW(Create_TC_Web!$C$1:$C$500)),""),ROW(Create_TC_Web!E456))),"")</f>
        <v/>
      </c>
      <c r="E456" t="str" cm="1">
        <f t="array" ref="E456">IFERROR(INDEX(Create_TC_Web!H$1:H$500,SMALL(IF(Create_TC_Web!$C$1:$C$500&lt;&gt;"",MATCH(ROW(Create_TC_Web!$C$1:$C$500),ROW(Create_TC_Web!$C$1:$C$500)),""),ROW(Create_TC_Web!F456))),"")</f>
        <v/>
      </c>
      <c r="F456" t="str" cm="1">
        <f t="array" ref="F456">IFERROR(INDEX(Create_TC_Web!I$1:I$500,SMALL(IF(Create_TC_Web!$C$1:$C$500&lt;&gt;"",MATCH(ROW(Create_TC_Web!$C$1:$C$500),ROW(Create_TC_Web!$C$1:$C$500)),""),ROW(Create_TC_Web!G456))),"")</f>
        <v/>
      </c>
      <c r="G456" t="str" cm="1">
        <f t="array" ref="G456">IFERROR(INDEX(Create_TC_Web!J$1:J$500,SMALL(IF(Create_TC_Web!$C$1:$C$500&lt;&gt;"",MATCH(ROW(Create_TC_Web!$C$1:$C$500),ROW(Create_TC_Web!$C$1:$C$500)),""),ROW(Create_TC_Web!H456))),"")</f>
        <v/>
      </c>
      <c r="H456" t="str" cm="1">
        <f t="array" ref="H456">IFERROR(INDEX(Create_TC_Web!K$1:K$500,SMALL(IF(Create_TC_Web!$C$1:$C$500&lt;&gt;"",MATCH(ROW(Create_TC_Web!$C$1:$C$500),ROW(Create_TC_Web!$C$1:$C$500)),""),ROW(Create_TC_Web!I456))),"")</f>
        <v/>
      </c>
      <c r="I456" t="str" cm="1">
        <f t="array" ref="I456">IFERROR(INDEX(Create_TC_Web!L$1:L$500,SMALL(IF(Create_TC_Web!$C$1:$C$500&lt;&gt;"",MATCH(ROW(Create_TC_Web!$C$1:$C$500),ROW(Create_TC_Web!$C$1:$C$500)),""),ROW(Create_TC_Web!J456))),"")</f>
        <v/>
      </c>
      <c r="J456" t="str" cm="1">
        <f t="array" ref="J456">IFERROR(INDEX(Create_TC_Web!M$1:M$500,SMALL(IF(Create_TC_Web!$C$1:$C$500&lt;&gt;"",MATCH(ROW(Create_TC_Web!$C$1:$C$500),ROW(Create_TC_Web!$C$1:$C$500)),""),ROW(Create_TC_Web!K456))),"")</f>
        <v/>
      </c>
      <c r="K456" t="str" cm="1">
        <f t="array" ref="K456">IFERROR(INDEX(Create_TC_Web!N$1:N$500,SMALL(IF(Create_TC_Web!$C$1:$C$500&lt;&gt;"",MATCH(ROW(Create_TC_Web!$C$1:$C$500),ROW(Create_TC_Web!$C$1:$C$500)),""),ROW(Create_TC_Web!L456))),"")</f>
        <v/>
      </c>
      <c r="L456" t="str" cm="1">
        <f t="array" ref="L456">IFERROR(INDEX(Create_TC_Web!O$1:O$500,SMALL(IF(Create_TC_Web!$C$1:$C$500&lt;&gt;"",MATCH(ROW(Create_TC_Web!$C$1:$C$500),ROW(Create_TC_Web!$C$1:$C$500)),""),ROW(Create_TC_Web!M456))),"")</f>
        <v/>
      </c>
      <c r="M456" t="str" cm="1">
        <f t="array" ref="M456">IFERROR(INDEX(Create_TC_Web!P$1:P$500,SMALL(IF(Create_TC_Web!$C$1:$C$500&lt;&gt;"",MATCH(ROW(Create_TC_Web!$C$1:$C$500),ROW(Create_TC_Web!$C$1:$C$500)),""),ROW(Create_TC_Web!N456))),"")</f>
        <v/>
      </c>
      <c r="N456" t="str" cm="1">
        <f t="array" ref="N456">IFERROR(INDEX(Create_TC_Web!Q$1:Q$500,SMALL(IF(Create_TC_Web!$C$1:$C$500&lt;&gt;"",MATCH(ROW(Create_TC_Web!$C$1:$C$500),ROW(Create_TC_Web!$C$1:$C$500)),""),ROW(Create_TC_Web!O456))),"")</f>
        <v/>
      </c>
      <c r="O456" t="str">
        <f t="shared" si="23"/>
        <v/>
      </c>
      <c r="P456" s="17" t="str" cm="1">
        <f t="array" ref="P456">IFERROR(INDEX(Create_TC_Web!S$1:S$500,SMALL(IF(Create_TC_Web!$C$1:$C$500&lt;&gt;"",MATCH(ROW(Create_TC_Web!$C$1:$C$500),ROW(Create_TC_Web!$C$1:$C$500)),""),ROW(Create_TC_Web!Q434))),"")</f>
        <v/>
      </c>
      <c r="S456" t="str">
        <f t="shared" si="22"/>
        <v/>
      </c>
    </row>
    <row r="457" spans="1:19">
      <c r="A457" t="str" cm="1">
        <f t="array" ref="A457">IFERROR(INDEX(Create_TC_Web!D$1:D$500,SMALL(IF(Create_TC_Web!$C$1:$C$500&lt;&gt;"",MATCH(ROW(Create_TC_Web!$C$1:$C$500),ROW(Create_TC_Web!$C$1:$C$500)),""),ROW(Create_TC_Web!B457))),"")</f>
        <v/>
      </c>
      <c r="B457" t="str" cm="1">
        <f t="array" ref="B457">SUBSTITUTE(SUBSTITUTE(SUBSTITUTE(IFERROR(INDEX(Create_TC_Web!E$1:E$505,SMALL(IF(Create_TC_Web!$C$1:$C$505&lt;&gt;"",MATCH(ROW(Create_TC_Web!$C$1:$C$505),ROW(Create_TC_Web!$C$1:$C$505)),""),ROW(Create_TC_Web!C457))),"")," ",""),"-",""),"_","")</f>
        <v/>
      </c>
      <c r="C457" t="str" cm="1">
        <f t="array" ref="C457">IFERROR(INDEX(Create_TC_Web!F$1:F$500,SMALL(IF(Create_TC_Web!$C$1:$C$500&lt;&gt;"",MATCH(ROW(Create_TC_Web!$C$1:$C$500),ROW(Create_TC_Web!$C$1:$C$500)),""),ROW(Create_TC_Web!D457))),"")</f>
        <v/>
      </c>
      <c r="D457" t="str" cm="1">
        <f t="array" ref="D457">IFERROR(INDEX(Create_TC_Web!G$1:G$500,SMALL(IF(Create_TC_Web!$C$1:$C$500&lt;&gt;"",MATCH(ROW(Create_TC_Web!$C$1:$C$500),ROW(Create_TC_Web!$C$1:$C$500)),""),ROW(Create_TC_Web!E457))),"")</f>
        <v/>
      </c>
      <c r="E457" t="str" cm="1">
        <f t="array" ref="E457">IFERROR(INDEX(Create_TC_Web!H$1:H$500,SMALL(IF(Create_TC_Web!$C$1:$C$500&lt;&gt;"",MATCH(ROW(Create_TC_Web!$C$1:$C$500),ROW(Create_TC_Web!$C$1:$C$500)),""),ROW(Create_TC_Web!F457))),"")</f>
        <v/>
      </c>
      <c r="F457" t="str" cm="1">
        <f t="array" ref="F457">IFERROR(INDEX(Create_TC_Web!I$1:I$500,SMALL(IF(Create_TC_Web!$C$1:$C$500&lt;&gt;"",MATCH(ROW(Create_TC_Web!$C$1:$C$500),ROW(Create_TC_Web!$C$1:$C$500)),""),ROW(Create_TC_Web!G457))),"")</f>
        <v/>
      </c>
      <c r="G457" t="str" cm="1">
        <f t="array" ref="G457">IFERROR(INDEX(Create_TC_Web!J$1:J$500,SMALL(IF(Create_TC_Web!$C$1:$C$500&lt;&gt;"",MATCH(ROW(Create_TC_Web!$C$1:$C$500),ROW(Create_TC_Web!$C$1:$C$500)),""),ROW(Create_TC_Web!H457))),"")</f>
        <v/>
      </c>
      <c r="H457" t="str" cm="1">
        <f t="array" ref="H457">IFERROR(INDEX(Create_TC_Web!K$1:K$500,SMALL(IF(Create_TC_Web!$C$1:$C$500&lt;&gt;"",MATCH(ROW(Create_TC_Web!$C$1:$C$500),ROW(Create_TC_Web!$C$1:$C$500)),""),ROW(Create_TC_Web!I457))),"")</f>
        <v/>
      </c>
      <c r="I457" t="str" cm="1">
        <f t="array" ref="I457">IFERROR(INDEX(Create_TC_Web!L$1:L$500,SMALL(IF(Create_TC_Web!$C$1:$C$500&lt;&gt;"",MATCH(ROW(Create_TC_Web!$C$1:$C$500),ROW(Create_TC_Web!$C$1:$C$500)),""),ROW(Create_TC_Web!J457))),"")</f>
        <v/>
      </c>
      <c r="J457" t="str" cm="1">
        <f t="array" ref="J457">IFERROR(INDEX(Create_TC_Web!M$1:M$500,SMALL(IF(Create_TC_Web!$C$1:$C$500&lt;&gt;"",MATCH(ROW(Create_TC_Web!$C$1:$C$500),ROW(Create_TC_Web!$C$1:$C$500)),""),ROW(Create_TC_Web!K457))),"")</f>
        <v/>
      </c>
      <c r="K457" t="str" cm="1">
        <f t="array" ref="K457">IFERROR(INDEX(Create_TC_Web!N$1:N$500,SMALL(IF(Create_TC_Web!$C$1:$C$500&lt;&gt;"",MATCH(ROW(Create_TC_Web!$C$1:$C$500),ROW(Create_TC_Web!$C$1:$C$500)),""),ROW(Create_TC_Web!L457))),"")</f>
        <v/>
      </c>
      <c r="L457" t="str" cm="1">
        <f t="array" ref="L457">IFERROR(INDEX(Create_TC_Web!O$1:O$500,SMALL(IF(Create_TC_Web!$C$1:$C$500&lt;&gt;"",MATCH(ROW(Create_TC_Web!$C$1:$C$500),ROW(Create_TC_Web!$C$1:$C$500)),""),ROW(Create_TC_Web!M457))),"")</f>
        <v/>
      </c>
      <c r="M457" t="str" cm="1">
        <f t="array" ref="M457">IFERROR(INDEX(Create_TC_Web!P$1:P$500,SMALL(IF(Create_TC_Web!$C$1:$C$500&lt;&gt;"",MATCH(ROW(Create_TC_Web!$C$1:$C$500),ROW(Create_TC_Web!$C$1:$C$500)),""),ROW(Create_TC_Web!N457))),"")</f>
        <v/>
      </c>
      <c r="N457" t="str" cm="1">
        <f t="array" ref="N457">IFERROR(INDEX(Create_TC_Web!Q$1:Q$500,SMALL(IF(Create_TC_Web!$C$1:$C$500&lt;&gt;"",MATCH(ROW(Create_TC_Web!$C$1:$C$500),ROW(Create_TC_Web!$C$1:$C$500)),""),ROW(Create_TC_Web!O457))),"")</f>
        <v/>
      </c>
      <c r="O457" t="str">
        <f t="shared" si="23"/>
        <v/>
      </c>
      <c r="P457" s="17" t="str" cm="1">
        <f t="array" ref="P457">IFERROR(INDEX(Create_TC_Web!S$1:S$500,SMALL(IF(Create_TC_Web!$C$1:$C$500&lt;&gt;"",MATCH(ROW(Create_TC_Web!$C$1:$C$500),ROW(Create_TC_Web!$C$1:$C$500)),""),ROW(Create_TC_Web!Q435))),"")</f>
        <v/>
      </c>
      <c r="S457" t="str">
        <f t="shared" si="22"/>
        <v/>
      </c>
    </row>
    <row r="458" spans="1:19">
      <c r="A458" t="str" cm="1">
        <f t="array" ref="A458">IFERROR(INDEX(Create_TC_Web!D$1:D$500,SMALL(IF(Create_TC_Web!$C$1:$C$500&lt;&gt;"",MATCH(ROW(Create_TC_Web!$C$1:$C$500),ROW(Create_TC_Web!$C$1:$C$500)),""),ROW(Create_TC_Web!B458))),"")</f>
        <v/>
      </c>
      <c r="B458" t="str" cm="1">
        <f t="array" ref="B458">SUBSTITUTE(SUBSTITUTE(SUBSTITUTE(IFERROR(INDEX(Create_TC_Web!E$1:E$505,SMALL(IF(Create_TC_Web!$C$1:$C$505&lt;&gt;"",MATCH(ROW(Create_TC_Web!$C$1:$C$505),ROW(Create_TC_Web!$C$1:$C$505)),""),ROW(Create_TC_Web!C458))),"")," ",""),"-",""),"_","")</f>
        <v/>
      </c>
      <c r="C458" t="str" cm="1">
        <f t="array" ref="C458">IFERROR(INDEX(Create_TC_Web!F$1:F$500,SMALL(IF(Create_TC_Web!$C$1:$C$500&lt;&gt;"",MATCH(ROW(Create_TC_Web!$C$1:$C$500),ROW(Create_TC_Web!$C$1:$C$500)),""),ROW(Create_TC_Web!D458))),"")</f>
        <v/>
      </c>
      <c r="D458" t="str" cm="1">
        <f t="array" ref="D458">IFERROR(INDEX(Create_TC_Web!G$1:G$500,SMALL(IF(Create_TC_Web!$C$1:$C$500&lt;&gt;"",MATCH(ROW(Create_TC_Web!$C$1:$C$500),ROW(Create_TC_Web!$C$1:$C$500)),""),ROW(Create_TC_Web!E458))),"")</f>
        <v/>
      </c>
      <c r="E458" t="str" cm="1">
        <f t="array" ref="E458">IFERROR(INDEX(Create_TC_Web!H$1:H$500,SMALL(IF(Create_TC_Web!$C$1:$C$500&lt;&gt;"",MATCH(ROW(Create_TC_Web!$C$1:$C$500),ROW(Create_TC_Web!$C$1:$C$500)),""),ROW(Create_TC_Web!F458))),"")</f>
        <v/>
      </c>
      <c r="F458" t="str" cm="1">
        <f t="array" ref="F458">IFERROR(INDEX(Create_TC_Web!I$1:I$500,SMALL(IF(Create_TC_Web!$C$1:$C$500&lt;&gt;"",MATCH(ROW(Create_TC_Web!$C$1:$C$500),ROW(Create_TC_Web!$C$1:$C$500)),""),ROW(Create_TC_Web!G458))),"")</f>
        <v/>
      </c>
      <c r="G458" t="str" cm="1">
        <f t="array" ref="G458">IFERROR(INDEX(Create_TC_Web!J$1:J$500,SMALL(IF(Create_TC_Web!$C$1:$C$500&lt;&gt;"",MATCH(ROW(Create_TC_Web!$C$1:$C$500),ROW(Create_TC_Web!$C$1:$C$500)),""),ROW(Create_TC_Web!H458))),"")</f>
        <v/>
      </c>
      <c r="H458" t="str" cm="1">
        <f t="array" ref="H458">IFERROR(INDEX(Create_TC_Web!K$1:K$500,SMALL(IF(Create_TC_Web!$C$1:$C$500&lt;&gt;"",MATCH(ROW(Create_TC_Web!$C$1:$C$500),ROW(Create_TC_Web!$C$1:$C$500)),""),ROW(Create_TC_Web!I458))),"")</f>
        <v/>
      </c>
      <c r="I458" t="str" cm="1">
        <f t="array" ref="I458">IFERROR(INDEX(Create_TC_Web!L$1:L$500,SMALL(IF(Create_TC_Web!$C$1:$C$500&lt;&gt;"",MATCH(ROW(Create_TC_Web!$C$1:$C$500),ROW(Create_TC_Web!$C$1:$C$500)),""),ROW(Create_TC_Web!J458))),"")</f>
        <v/>
      </c>
      <c r="J458" t="str" cm="1">
        <f t="array" ref="J458">IFERROR(INDEX(Create_TC_Web!M$1:M$500,SMALL(IF(Create_TC_Web!$C$1:$C$500&lt;&gt;"",MATCH(ROW(Create_TC_Web!$C$1:$C$500),ROW(Create_TC_Web!$C$1:$C$500)),""),ROW(Create_TC_Web!K458))),"")</f>
        <v/>
      </c>
      <c r="K458" t="str" cm="1">
        <f t="array" ref="K458">IFERROR(INDEX(Create_TC_Web!N$1:N$500,SMALL(IF(Create_TC_Web!$C$1:$C$500&lt;&gt;"",MATCH(ROW(Create_TC_Web!$C$1:$C$500),ROW(Create_TC_Web!$C$1:$C$500)),""),ROW(Create_TC_Web!L458))),"")</f>
        <v/>
      </c>
      <c r="L458" t="str" cm="1">
        <f t="array" ref="L458">IFERROR(INDEX(Create_TC_Web!O$1:O$500,SMALL(IF(Create_TC_Web!$C$1:$C$500&lt;&gt;"",MATCH(ROW(Create_TC_Web!$C$1:$C$500),ROW(Create_TC_Web!$C$1:$C$500)),""),ROW(Create_TC_Web!M458))),"")</f>
        <v/>
      </c>
      <c r="M458" t="str" cm="1">
        <f t="array" ref="M458">IFERROR(INDEX(Create_TC_Web!P$1:P$500,SMALL(IF(Create_TC_Web!$C$1:$C$500&lt;&gt;"",MATCH(ROW(Create_TC_Web!$C$1:$C$500),ROW(Create_TC_Web!$C$1:$C$500)),""),ROW(Create_TC_Web!N458))),"")</f>
        <v/>
      </c>
      <c r="N458" t="str" cm="1">
        <f t="array" ref="N458">IFERROR(INDEX(Create_TC_Web!Q$1:Q$500,SMALL(IF(Create_TC_Web!$C$1:$C$500&lt;&gt;"",MATCH(ROW(Create_TC_Web!$C$1:$C$500),ROW(Create_TC_Web!$C$1:$C$500)),""),ROW(Create_TC_Web!O458))),"")</f>
        <v/>
      </c>
      <c r="O458" t="str">
        <f t="shared" si="23"/>
        <v/>
      </c>
      <c r="P458" s="17" t="str" cm="1">
        <f t="array" ref="P458">IFERROR(INDEX(Create_TC_Web!S$1:S$500,SMALL(IF(Create_TC_Web!$C$1:$C$500&lt;&gt;"",MATCH(ROW(Create_TC_Web!$C$1:$C$500),ROW(Create_TC_Web!$C$1:$C$500)),""),ROW(Create_TC_Web!Q436))),"")</f>
        <v/>
      </c>
      <c r="S458" t="str">
        <f t="shared" si="22"/>
        <v/>
      </c>
    </row>
    <row r="459" spans="1:19">
      <c r="A459" t="str" cm="1">
        <f t="array" ref="A459">IFERROR(INDEX(Create_TC_Web!D$1:D$500,SMALL(IF(Create_TC_Web!$C$1:$C$500&lt;&gt;"",MATCH(ROW(Create_TC_Web!$C$1:$C$500),ROW(Create_TC_Web!$C$1:$C$500)),""),ROW(Create_TC_Web!B459))),"")</f>
        <v/>
      </c>
      <c r="B459" t="str" cm="1">
        <f t="array" ref="B459">SUBSTITUTE(SUBSTITUTE(SUBSTITUTE(IFERROR(INDEX(Create_TC_Web!E$1:E$505,SMALL(IF(Create_TC_Web!$C$1:$C$505&lt;&gt;"",MATCH(ROW(Create_TC_Web!$C$1:$C$505),ROW(Create_TC_Web!$C$1:$C$505)),""),ROW(Create_TC_Web!C459))),"")," ",""),"-",""),"_","")</f>
        <v/>
      </c>
      <c r="C459" t="str" cm="1">
        <f t="array" ref="C459">IFERROR(INDEX(Create_TC_Web!F$1:F$500,SMALL(IF(Create_TC_Web!$C$1:$C$500&lt;&gt;"",MATCH(ROW(Create_TC_Web!$C$1:$C$500),ROW(Create_TC_Web!$C$1:$C$500)),""),ROW(Create_TC_Web!D459))),"")</f>
        <v/>
      </c>
      <c r="D459" t="str" cm="1">
        <f t="array" ref="D459">IFERROR(INDEX(Create_TC_Web!G$1:G$500,SMALL(IF(Create_TC_Web!$C$1:$C$500&lt;&gt;"",MATCH(ROW(Create_TC_Web!$C$1:$C$500),ROW(Create_TC_Web!$C$1:$C$500)),""),ROW(Create_TC_Web!E459))),"")</f>
        <v/>
      </c>
      <c r="E459" t="str" cm="1">
        <f t="array" ref="E459">IFERROR(INDEX(Create_TC_Web!H$1:H$500,SMALL(IF(Create_TC_Web!$C$1:$C$500&lt;&gt;"",MATCH(ROW(Create_TC_Web!$C$1:$C$500),ROW(Create_TC_Web!$C$1:$C$500)),""),ROW(Create_TC_Web!F459))),"")</f>
        <v/>
      </c>
      <c r="F459" t="str" cm="1">
        <f t="array" ref="F459">IFERROR(INDEX(Create_TC_Web!I$1:I$500,SMALL(IF(Create_TC_Web!$C$1:$C$500&lt;&gt;"",MATCH(ROW(Create_TC_Web!$C$1:$C$500),ROW(Create_TC_Web!$C$1:$C$500)),""),ROW(Create_TC_Web!G459))),"")</f>
        <v/>
      </c>
      <c r="G459" t="str" cm="1">
        <f t="array" ref="G459">IFERROR(INDEX(Create_TC_Web!J$1:J$500,SMALL(IF(Create_TC_Web!$C$1:$C$500&lt;&gt;"",MATCH(ROW(Create_TC_Web!$C$1:$C$500),ROW(Create_TC_Web!$C$1:$C$500)),""),ROW(Create_TC_Web!H459))),"")</f>
        <v/>
      </c>
      <c r="H459" t="str" cm="1">
        <f t="array" ref="H459">IFERROR(INDEX(Create_TC_Web!K$1:K$500,SMALL(IF(Create_TC_Web!$C$1:$C$500&lt;&gt;"",MATCH(ROW(Create_TC_Web!$C$1:$C$500),ROW(Create_TC_Web!$C$1:$C$500)),""),ROW(Create_TC_Web!I459))),"")</f>
        <v/>
      </c>
      <c r="I459" t="str" cm="1">
        <f t="array" ref="I459">IFERROR(INDEX(Create_TC_Web!L$1:L$500,SMALL(IF(Create_TC_Web!$C$1:$C$500&lt;&gt;"",MATCH(ROW(Create_TC_Web!$C$1:$C$500),ROW(Create_TC_Web!$C$1:$C$500)),""),ROW(Create_TC_Web!J459))),"")</f>
        <v/>
      </c>
      <c r="J459" t="str" cm="1">
        <f t="array" ref="J459">IFERROR(INDEX(Create_TC_Web!M$1:M$500,SMALL(IF(Create_TC_Web!$C$1:$C$500&lt;&gt;"",MATCH(ROW(Create_TC_Web!$C$1:$C$500),ROW(Create_TC_Web!$C$1:$C$500)),""),ROW(Create_TC_Web!K459))),"")</f>
        <v/>
      </c>
      <c r="K459" t="str" cm="1">
        <f t="array" ref="K459">IFERROR(INDEX(Create_TC_Web!N$1:N$500,SMALL(IF(Create_TC_Web!$C$1:$C$500&lt;&gt;"",MATCH(ROW(Create_TC_Web!$C$1:$C$500),ROW(Create_TC_Web!$C$1:$C$500)),""),ROW(Create_TC_Web!L459))),"")</f>
        <v/>
      </c>
      <c r="L459" t="str" cm="1">
        <f t="array" ref="L459">IFERROR(INDEX(Create_TC_Web!O$1:O$500,SMALL(IF(Create_TC_Web!$C$1:$C$500&lt;&gt;"",MATCH(ROW(Create_TC_Web!$C$1:$C$500),ROW(Create_TC_Web!$C$1:$C$500)),""),ROW(Create_TC_Web!M459))),"")</f>
        <v/>
      </c>
      <c r="M459" t="str" cm="1">
        <f t="array" ref="M459">IFERROR(INDEX(Create_TC_Web!P$1:P$500,SMALL(IF(Create_TC_Web!$C$1:$C$500&lt;&gt;"",MATCH(ROW(Create_TC_Web!$C$1:$C$500),ROW(Create_TC_Web!$C$1:$C$500)),""),ROW(Create_TC_Web!N459))),"")</f>
        <v/>
      </c>
      <c r="N459" t="str" cm="1">
        <f t="array" ref="N459">IFERROR(INDEX(Create_TC_Web!Q$1:Q$500,SMALL(IF(Create_TC_Web!$C$1:$C$500&lt;&gt;"",MATCH(ROW(Create_TC_Web!$C$1:$C$500),ROW(Create_TC_Web!$C$1:$C$500)),""),ROW(Create_TC_Web!O459))),"")</f>
        <v/>
      </c>
      <c r="O459" t="str">
        <f t="shared" si="23"/>
        <v/>
      </c>
      <c r="P459" s="17" t="str" cm="1">
        <f t="array" ref="P459">IFERROR(INDEX(Create_TC_Web!S$1:S$500,SMALL(IF(Create_TC_Web!$C$1:$C$500&lt;&gt;"",MATCH(ROW(Create_TC_Web!$C$1:$C$500),ROW(Create_TC_Web!$C$1:$C$500)),""),ROW(Create_TC_Web!Q437))),"")</f>
        <v/>
      </c>
      <c r="S459" t="str">
        <f t="shared" si="22"/>
        <v/>
      </c>
    </row>
    <row r="460" spans="1:19">
      <c r="A460" t="str" cm="1">
        <f t="array" ref="A460">IFERROR(INDEX(Create_TC_Web!D$1:D$500,SMALL(IF(Create_TC_Web!$C$1:$C$500&lt;&gt;"",MATCH(ROW(Create_TC_Web!$C$1:$C$500),ROW(Create_TC_Web!$C$1:$C$500)),""),ROW(Create_TC_Web!B460))),"")</f>
        <v/>
      </c>
      <c r="B460" t="str" cm="1">
        <f t="array" ref="B460">SUBSTITUTE(SUBSTITUTE(SUBSTITUTE(IFERROR(INDEX(Create_TC_Web!E$1:E$505,SMALL(IF(Create_TC_Web!$C$1:$C$505&lt;&gt;"",MATCH(ROW(Create_TC_Web!$C$1:$C$505),ROW(Create_TC_Web!$C$1:$C$505)),""),ROW(Create_TC_Web!C460))),"")," ",""),"-",""),"_","")</f>
        <v/>
      </c>
      <c r="C460" t="str" cm="1">
        <f t="array" ref="C460">IFERROR(INDEX(Create_TC_Web!F$1:F$500,SMALL(IF(Create_TC_Web!$C$1:$C$500&lt;&gt;"",MATCH(ROW(Create_TC_Web!$C$1:$C$500),ROW(Create_TC_Web!$C$1:$C$500)),""),ROW(Create_TC_Web!D460))),"")</f>
        <v/>
      </c>
      <c r="D460" t="str" cm="1">
        <f t="array" ref="D460">IFERROR(INDEX(Create_TC_Web!G$1:G$500,SMALL(IF(Create_TC_Web!$C$1:$C$500&lt;&gt;"",MATCH(ROW(Create_TC_Web!$C$1:$C$500),ROW(Create_TC_Web!$C$1:$C$500)),""),ROW(Create_TC_Web!E460))),"")</f>
        <v/>
      </c>
      <c r="E460" t="str" cm="1">
        <f t="array" ref="E460">IFERROR(INDEX(Create_TC_Web!H$1:H$500,SMALL(IF(Create_TC_Web!$C$1:$C$500&lt;&gt;"",MATCH(ROW(Create_TC_Web!$C$1:$C$500),ROW(Create_TC_Web!$C$1:$C$500)),""),ROW(Create_TC_Web!F460))),"")</f>
        <v/>
      </c>
      <c r="F460" t="str" cm="1">
        <f t="array" ref="F460">IFERROR(INDEX(Create_TC_Web!I$1:I$500,SMALL(IF(Create_TC_Web!$C$1:$C$500&lt;&gt;"",MATCH(ROW(Create_TC_Web!$C$1:$C$500),ROW(Create_TC_Web!$C$1:$C$500)),""),ROW(Create_TC_Web!G460))),"")</f>
        <v/>
      </c>
      <c r="G460" t="str" cm="1">
        <f t="array" ref="G460">IFERROR(INDEX(Create_TC_Web!J$1:J$500,SMALL(IF(Create_TC_Web!$C$1:$C$500&lt;&gt;"",MATCH(ROW(Create_TC_Web!$C$1:$C$500),ROW(Create_TC_Web!$C$1:$C$500)),""),ROW(Create_TC_Web!H460))),"")</f>
        <v/>
      </c>
      <c r="H460" t="str" cm="1">
        <f t="array" ref="H460">IFERROR(INDEX(Create_TC_Web!K$1:K$500,SMALL(IF(Create_TC_Web!$C$1:$C$500&lt;&gt;"",MATCH(ROW(Create_TC_Web!$C$1:$C$500),ROW(Create_TC_Web!$C$1:$C$500)),""),ROW(Create_TC_Web!I460))),"")</f>
        <v/>
      </c>
      <c r="I460" t="str" cm="1">
        <f t="array" ref="I460">IFERROR(INDEX(Create_TC_Web!L$1:L$500,SMALL(IF(Create_TC_Web!$C$1:$C$500&lt;&gt;"",MATCH(ROW(Create_TC_Web!$C$1:$C$500),ROW(Create_TC_Web!$C$1:$C$500)),""),ROW(Create_TC_Web!J460))),"")</f>
        <v/>
      </c>
      <c r="J460" t="str" cm="1">
        <f t="array" ref="J460">IFERROR(INDEX(Create_TC_Web!M$1:M$500,SMALL(IF(Create_TC_Web!$C$1:$C$500&lt;&gt;"",MATCH(ROW(Create_TC_Web!$C$1:$C$500),ROW(Create_TC_Web!$C$1:$C$500)),""),ROW(Create_TC_Web!K460))),"")</f>
        <v/>
      </c>
      <c r="K460" t="str" cm="1">
        <f t="array" ref="K460">IFERROR(INDEX(Create_TC_Web!N$1:N$500,SMALL(IF(Create_TC_Web!$C$1:$C$500&lt;&gt;"",MATCH(ROW(Create_TC_Web!$C$1:$C$500),ROW(Create_TC_Web!$C$1:$C$500)),""),ROW(Create_TC_Web!L460))),"")</f>
        <v/>
      </c>
      <c r="L460" t="str" cm="1">
        <f t="array" ref="L460">IFERROR(INDEX(Create_TC_Web!O$1:O$500,SMALL(IF(Create_TC_Web!$C$1:$C$500&lt;&gt;"",MATCH(ROW(Create_TC_Web!$C$1:$C$500),ROW(Create_TC_Web!$C$1:$C$500)),""),ROW(Create_TC_Web!M460))),"")</f>
        <v/>
      </c>
      <c r="M460" t="str" cm="1">
        <f t="array" ref="M460">IFERROR(INDEX(Create_TC_Web!P$1:P$500,SMALL(IF(Create_TC_Web!$C$1:$C$500&lt;&gt;"",MATCH(ROW(Create_TC_Web!$C$1:$C$500),ROW(Create_TC_Web!$C$1:$C$500)),""),ROW(Create_TC_Web!N460))),"")</f>
        <v/>
      </c>
      <c r="N460" t="str" cm="1">
        <f t="array" ref="N460">IFERROR(INDEX(Create_TC_Web!Q$1:Q$500,SMALL(IF(Create_TC_Web!$C$1:$C$500&lt;&gt;"",MATCH(ROW(Create_TC_Web!$C$1:$C$500),ROW(Create_TC_Web!$C$1:$C$500)),""),ROW(Create_TC_Web!O460))),"")</f>
        <v/>
      </c>
      <c r="O460" t="str">
        <f t="shared" si="23"/>
        <v/>
      </c>
      <c r="P460" s="17" t="str" cm="1">
        <f t="array" ref="P460">IFERROR(INDEX(Create_TC_Web!S$1:S$500,SMALL(IF(Create_TC_Web!$C$1:$C$500&lt;&gt;"",MATCH(ROW(Create_TC_Web!$C$1:$C$500),ROW(Create_TC_Web!$C$1:$C$500)),""),ROW(Create_TC_Web!Q438))),"")</f>
        <v/>
      </c>
      <c r="S460" t="str">
        <f t="shared" si="22"/>
        <v/>
      </c>
    </row>
    <row r="461" spans="1:19">
      <c r="A461" t="str" cm="1">
        <f t="array" ref="A461">IFERROR(INDEX(Create_TC_Web!D$1:D$500,SMALL(IF(Create_TC_Web!$C$1:$C$500&lt;&gt;"",MATCH(ROW(Create_TC_Web!$C$1:$C$500),ROW(Create_TC_Web!$C$1:$C$500)),""),ROW(Create_TC_Web!B461))),"")</f>
        <v/>
      </c>
      <c r="B461" t="str" cm="1">
        <f t="array" ref="B461">SUBSTITUTE(SUBSTITUTE(SUBSTITUTE(IFERROR(INDEX(Create_TC_Web!E$1:E$505,SMALL(IF(Create_TC_Web!$C$1:$C$505&lt;&gt;"",MATCH(ROW(Create_TC_Web!$C$1:$C$505),ROW(Create_TC_Web!$C$1:$C$505)),""),ROW(Create_TC_Web!C461))),"")," ",""),"-",""),"_","")</f>
        <v/>
      </c>
      <c r="C461" t="str" cm="1">
        <f t="array" ref="C461">IFERROR(INDEX(Create_TC_Web!F$1:F$500,SMALL(IF(Create_TC_Web!$C$1:$C$500&lt;&gt;"",MATCH(ROW(Create_TC_Web!$C$1:$C$500),ROW(Create_TC_Web!$C$1:$C$500)),""),ROW(Create_TC_Web!D461))),"")</f>
        <v/>
      </c>
      <c r="D461" t="str" cm="1">
        <f t="array" ref="D461">IFERROR(INDEX(Create_TC_Web!G$1:G$500,SMALL(IF(Create_TC_Web!$C$1:$C$500&lt;&gt;"",MATCH(ROW(Create_TC_Web!$C$1:$C$500),ROW(Create_TC_Web!$C$1:$C$500)),""),ROW(Create_TC_Web!E461))),"")</f>
        <v/>
      </c>
      <c r="E461" t="str" cm="1">
        <f t="array" ref="E461">IFERROR(INDEX(Create_TC_Web!H$1:H$500,SMALL(IF(Create_TC_Web!$C$1:$C$500&lt;&gt;"",MATCH(ROW(Create_TC_Web!$C$1:$C$500),ROW(Create_TC_Web!$C$1:$C$500)),""),ROW(Create_TC_Web!F461))),"")</f>
        <v/>
      </c>
      <c r="F461" t="str" cm="1">
        <f t="array" ref="F461">IFERROR(INDEX(Create_TC_Web!I$1:I$500,SMALL(IF(Create_TC_Web!$C$1:$C$500&lt;&gt;"",MATCH(ROW(Create_TC_Web!$C$1:$C$500),ROW(Create_TC_Web!$C$1:$C$500)),""),ROW(Create_TC_Web!G461))),"")</f>
        <v/>
      </c>
      <c r="G461" t="str" cm="1">
        <f t="array" ref="G461">IFERROR(INDEX(Create_TC_Web!J$1:J$500,SMALL(IF(Create_TC_Web!$C$1:$C$500&lt;&gt;"",MATCH(ROW(Create_TC_Web!$C$1:$C$500),ROW(Create_TC_Web!$C$1:$C$500)),""),ROW(Create_TC_Web!H461))),"")</f>
        <v/>
      </c>
      <c r="H461" t="str" cm="1">
        <f t="array" ref="H461">IFERROR(INDEX(Create_TC_Web!K$1:K$500,SMALL(IF(Create_TC_Web!$C$1:$C$500&lt;&gt;"",MATCH(ROW(Create_TC_Web!$C$1:$C$500),ROW(Create_TC_Web!$C$1:$C$500)),""),ROW(Create_TC_Web!I461))),"")</f>
        <v/>
      </c>
      <c r="I461" t="str" cm="1">
        <f t="array" ref="I461">IFERROR(INDEX(Create_TC_Web!L$1:L$500,SMALL(IF(Create_TC_Web!$C$1:$C$500&lt;&gt;"",MATCH(ROW(Create_TC_Web!$C$1:$C$500),ROW(Create_TC_Web!$C$1:$C$500)),""),ROW(Create_TC_Web!J461))),"")</f>
        <v/>
      </c>
      <c r="J461" t="str" cm="1">
        <f t="array" ref="J461">IFERROR(INDEX(Create_TC_Web!M$1:M$500,SMALL(IF(Create_TC_Web!$C$1:$C$500&lt;&gt;"",MATCH(ROW(Create_TC_Web!$C$1:$C$500),ROW(Create_TC_Web!$C$1:$C$500)),""),ROW(Create_TC_Web!K461))),"")</f>
        <v/>
      </c>
      <c r="K461" t="str" cm="1">
        <f t="array" ref="K461">IFERROR(INDEX(Create_TC_Web!N$1:N$500,SMALL(IF(Create_TC_Web!$C$1:$C$500&lt;&gt;"",MATCH(ROW(Create_TC_Web!$C$1:$C$500),ROW(Create_TC_Web!$C$1:$C$500)),""),ROW(Create_TC_Web!L461))),"")</f>
        <v/>
      </c>
      <c r="L461" t="str" cm="1">
        <f t="array" ref="L461">IFERROR(INDEX(Create_TC_Web!O$1:O$500,SMALL(IF(Create_TC_Web!$C$1:$C$500&lt;&gt;"",MATCH(ROW(Create_TC_Web!$C$1:$C$500),ROW(Create_TC_Web!$C$1:$C$500)),""),ROW(Create_TC_Web!M461))),"")</f>
        <v/>
      </c>
      <c r="M461" t="str" cm="1">
        <f t="array" ref="M461">IFERROR(INDEX(Create_TC_Web!P$1:P$500,SMALL(IF(Create_TC_Web!$C$1:$C$500&lt;&gt;"",MATCH(ROW(Create_TC_Web!$C$1:$C$500),ROW(Create_TC_Web!$C$1:$C$500)),""),ROW(Create_TC_Web!N461))),"")</f>
        <v/>
      </c>
      <c r="N461" t="str" cm="1">
        <f t="array" ref="N461">IFERROR(INDEX(Create_TC_Web!Q$1:Q$500,SMALL(IF(Create_TC_Web!$C$1:$C$500&lt;&gt;"",MATCH(ROW(Create_TC_Web!$C$1:$C$500),ROW(Create_TC_Web!$C$1:$C$500)),""),ROW(Create_TC_Web!O461))),"")</f>
        <v/>
      </c>
      <c r="O461" t="str">
        <f t="shared" si="23"/>
        <v/>
      </c>
      <c r="P461" s="17" t="str" cm="1">
        <f t="array" ref="P461">IFERROR(INDEX(Create_TC_Web!S$1:S$500,SMALL(IF(Create_TC_Web!$C$1:$C$500&lt;&gt;"",MATCH(ROW(Create_TC_Web!$C$1:$C$500),ROW(Create_TC_Web!$C$1:$C$500)),""),ROW(Create_TC_Web!Q439))),"")</f>
        <v/>
      </c>
      <c r="S461" t="str">
        <f t="shared" si="22"/>
        <v/>
      </c>
    </row>
    <row r="462" spans="1:19">
      <c r="A462" t="str" cm="1">
        <f t="array" ref="A462">IFERROR(INDEX(Create_TC_Web!D$1:D$500,SMALL(IF(Create_TC_Web!$C$1:$C$500&lt;&gt;"",MATCH(ROW(Create_TC_Web!$C$1:$C$500),ROW(Create_TC_Web!$C$1:$C$500)),""),ROW(Create_TC_Web!B462))),"")</f>
        <v/>
      </c>
      <c r="B462" t="str" cm="1">
        <f t="array" ref="B462">SUBSTITUTE(SUBSTITUTE(SUBSTITUTE(IFERROR(INDEX(Create_TC_Web!E$1:E$505,SMALL(IF(Create_TC_Web!$C$1:$C$505&lt;&gt;"",MATCH(ROW(Create_TC_Web!$C$1:$C$505),ROW(Create_TC_Web!$C$1:$C$505)),""),ROW(Create_TC_Web!C462))),"")," ",""),"-",""),"_","")</f>
        <v/>
      </c>
      <c r="C462" t="str" cm="1">
        <f t="array" ref="C462">IFERROR(INDEX(Create_TC_Web!F$1:F$500,SMALL(IF(Create_TC_Web!$C$1:$C$500&lt;&gt;"",MATCH(ROW(Create_TC_Web!$C$1:$C$500),ROW(Create_TC_Web!$C$1:$C$500)),""),ROW(Create_TC_Web!D462))),"")</f>
        <v/>
      </c>
      <c r="D462" t="str" cm="1">
        <f t="array" ref="D462">IFERROR(INDEX(Create_TC_Web!G$1:G$500,SMALL(IF(Create_TC_Web!$C$1:$C$500&lt;&gt;"",MATCH(ROW(Create_TC_Web!$C$1:$C$500),ROW(Create_TC_Web!$C$1:$C$500)),""),ROW(Create_TC_Web!E462))),"")</f>
        <v/>
      </c>
      <c r="E462" t="str" cm="1">
        <f t="array" ref="E462">IFERROR(INDEX(Create_TC_Web!H$1:H$500,SMALL(IF(Create_TC_Web!$C$1:$C$500&lt;&gt;"",MATCH(ROW(Create_TC_Web!$C$1:$C$500),ROW(Create_TC_Web!$C$1:$C$500)),""),ROW(Create_TC_Web!F462))),"")</f>
        <v/>
      </c>
      <c r="F462" t="str" cm="1">
        <f t="array" ref="F462">IFERROR(INDEX(Create_TC_Web!I$1:I$500,SMALL(IF(Create_TC_Web!$C$1:$C$500&lt;&gt;"",MATCH(ROW(Create_TC_Web!$C$1:$C$500),ROW(Create_TC_Web!$C$1:$C$500)),""),ROW(Create_TC_Web!G462))),"")</f>
        <v/>
      </c>
      <c r="G462" t="str" cm="1">
        <f t="array" ref="G462">IFERROR(INDEX(Create_TC_Web!J$1:J$500,SMALL(IF(Create_TC_Web!$C$1:$C$500&lt;&gt;"",MATCH(ROW(Create_TC_Web!$C$1:$C$500),ROW(Create_TC_Web!$C$1:$C$500)),""),ROW(Create_TC_Web!H462))),"")</f>
        <v/>
      </c>
      <c r="H462" t="str" cm="1">
        <f t="array" ref="H462">IFERROR(INDEX(Create_TC_Web!K$1:K$500,SMALL(IF(Create_TC_Web!$C$1:$C$500&lt;&gt;"",MATCH(ROW(Create_TC_Web!$C$1:$C$500),ROW(Create_TC_Web!$C$1:$C$500)),""),ROW(Create_TC_Web!I462))),"")</f>
        <v/>
      </c>
      <c r="I462" t="str" cm="1">
        <f t="array" ref="I462">IFERROR(INDEX(Create_TC_Web!L$1:L$500,SMALL(IF(Create_TC_Web!$C$1:$C$500&lt;&gt;"",MATCH(ROW(Create_TC_Web!$C$1:$C$500),ROW(Create_TC_Web!$C$1:$C$500)),""),ROW(Create_TC_Web!J462))),"")</f>
        <v/>
      </c>
      <c r="J462" t="str" cm="1">
        <f t="array" ref="J462">IFERROR(INDEX(Create_TC_Web!M$1:M$500,SMALL(IF(Create_TC_Web!$C$1:$C$500&lt;&gt;"",MATCH(ROW(Create_TC_Web!$C$1:$C$500),ROW(Create_TC_Web!$C$1:$C$500)),""),ROW(Create_TC_Web!K462))),"")</f>
        <v/>
      </c>
      <c r="K462" t="str" cm="1">
        <f t="array" ref="K462">IFERROR(INDEX(Create_TC_Web!N$1:N$500,SMALL(IF(Create_TC_Web!$C$1:$C$500&lt;&gt;"",MATCH(ROW(Create_TC_Web!$C$1:$C$500),ROW(Create_TC_Web!$C$1:$C$500)),""),ROW(Create_TC_Web!L462))),"")</f>
        <v/>
      </c>
      <c r="L462" t="str" cm="1">
        <f t="array" ref="L462">IFERROR(INDEX(Create_TC_Web!O$1:O$500,SMALL(IF(Create_TC_Web!$C$1:$C$500&lt;&gt;"",MATCH(ROW(Create_TC_Web!$C$1:$C$500),ROW(Create_TC_Web!$C$1:$C$500)),""),ROW(Create_TC_Web!M462))),"")</f>
        <v/>
      </c>
      <c r="M462" t="str" cm="1">
        <f t="array" ref="M462">IFERROR(INDEX(Create_TC_Web!P$1:P$500,SMALL(IF(Create_TC_Web!$C$1:$C$500&lt;&gt;"",MATCH(ROW(Create_TC_Web!$C$1:$C$500),ROW(Create_TC_Web!$C$1:$C$500)),""),ROW(Create_TC_Web!N462))),"")</f>
        <v/>
      </c>
      <c r="N462" t="str" cm="1">
        <f t="array" ref="N462">IFERROR(INDEX(Create_TC_Web!Q$1:Q$500,SMALL(IF(Create_TC_Web!$C$1:$C$500&lt;&gt;"",MATCH(ROW(Create_TC_Web!$C$1:$C$500),ROW(Create_TC_Web!$C$1:$C$500)),""),ROW(Create_TC_Web!O462))),"")</f>
        <v/>
      </c>
      <c r="O462" t="str">
        <f t="shared" si="23"/>
        <v/>
      </c>
      <c r="P462" s="17" t="str" cm="1">
        <f t="array" ref="P462">IFERROR(INDEX(Create_TC_Web!S$1:S$500,SMALL(IF(Create_TC_Web!$C$1:$C$500&lt;&gt;"",MATCH(ROW(Create_TC_Web!$C$1:$C$500),ROW(Create_TC_Web!$C$1:$C$500)),""),ROW(Create_TC_Web!Q440))),"")</f>
        <v/>
      </c>
      <c r="S462" t="str">
        <f t="shared" si="22"/>
        <v/>
      </c>
    </row>
    <row r="463" spans="1:19">
      <c r="A463" t="str" cm="1">
        <f t="array" ref="A463">IFERROR(INDEX(Create_TC_Web!D$1:D$500,SMALL(IF(Create_TC_Web!$C$1:$C$500&lt;&gt;"",MATCH(ROW(Create_TC_Web!$C$1:$C$500),ROW(Create_TC_Web!$C$1:$C$500)),""),ROW(Create_TC_Web!B463))),"")</f>
        <v/>
      </c>
      <c r="B463" t="str" cm="1">
        <f t="array" ref="B463">SUBSTITUTE(SUBSTITUTE(SUBSTITUTE(IFERROR(INDEX(Create_TC_Web!E$1:E$505,SMALL(IF(Create_TC_Web!$C$1:$C$505&lt;&gt;"",MATCH(ROW(Create_TC_Web!$C$1:$C$505),ROW(Create_TC_Web!$C$1:$C$505)),""),ROW(Create_TC_Web!C463))),"")," ",""),"-",""),"_","")</f>
        <v/>
      </c>
      <c r="C463" t="str" cm="1">
        <f t="array" ref="C463">IFERROR(INDEX(Create_TC_Web!F$1:F$500,SMALL(IF(Create_TC_Web!$C$1:$C$500&lt;&gt;"",MATCH(ROW(Create_TC_Web!$C$1:$C$500),ROW(Create_TC_Web!$C$1:$C$500)),""),ROW(Create_TC_Web!D463))),"")</f>
        <v/>
      </c>
      <c r="D463" t="str" cm="1">
        <f t="array" ref="D463">IFERROR(INDEX(Create_TC_Web!G$1:G$500,SMALL(IF(Create_TC_Web!$C$1:$C$500&lt;&gt;"",MATCH(ROW(Create_TC_Web!$C$1:$C$500),ROW(Create_TC_Web!$C$1:$C$500)),""),ROW(Create_TC_Web!E463))),"")</f>
        <v/>
      </c>
      <c r="E463" t="str" cm="1">
        <f t="array" ref="E463">IFERROR(INDEX(Create_TC_Web!H$1:H$500,SMALL(IF(Create_TC_Web!$C$1:$C$500&lt;&gt;"",MATCH(ROW(Create_TC_Web!$C$1:$C$500),ROW(Create_TC_Web!$C$1:$C$500)),""),ROW(Create_TC_Web!F463))),"")</f>
        <v/>
      </c>
      <c r="F463" t="str" cm="1">
        <f t="array" ref="F463">IFERROR(INDEX(Create_TC_Web!I$1:I$500,SMALL(IF(Create_TC_Web!$C$1:$C$500&lt;&gt;"",MATCH(ROW(Create_TC_Web!$C$1:$C$500),ROW(Create_TC_Web!$C$1:$C$500)),""),ROW(Create_TC_Web!G463))),"")</f>
        <v/>
      </c>
      <c r="G463" t="str" cm="1">
        <f t="array" ref="G463">IFERROR(INDEX(Create_TC_Web!J$1:J$500,SMALL(IF(Create_TC_Web!$C$1:$C$500&lt;&gt;"",MATCH(ROW(Create_TC_Web!$C$1:$C$500),ROW(Create_TC_Web!$C$1:$C$500)),""),ROW(Create_TC_Web!H463))),"")</f>
        <v/>
      </c>
      <c r="H463" t="str" cm="1">
        <f t="array" ref="H463">IFERROR(INDEX(Create_TC_Web!K$1:K$500,SMALL(IF(Create_TC_Web!$C$1:$C$500&lt;&gt;"",MATCH(ROW(Create_TC_Web!$C$1:$C$500),ROW(Create_TC_Web!$C$1:$C$500)),""),ROW(Create_TC_Web!I463))),"")</f>
        <v/>
      </c>
      <c r="I463" t="str" cm="1">
        <f t="array" ref="I463">IFERROR(INDEX(Create_TC_Web!L$1:L$500,SMALL(IF(Create_TC_Web!$C$1:$C$500&lt;&gt;"",MATCH(ROW(Create_TC_Web!$C$1:$C$500),ROW(Create_TC_Web!$C$1:$C$500)),""),ROW(Create_TC_Web!J463))),"")</f>
        <v/>
      </c>
      <c r="J463" t="str" cm="1">
        <f t="array" ref="J463">IFERROR(INDEX(Create_TC_Web!M$1:M$500,SMALL(IF(Create_TC_Web!$C$1:$C$500&lt;&gt;"",MATCH(ROW(Create_TC_Web!$C$1:$C$500),ROW(Create_TC_Web!$C$1:$C$500)),""),ROW(Create_TC_Web!K463))),"")</f>
        <v/>
      </c>
      <c r="K463" t="str" cm="1">
        <f t="array" ref="K463">IFERROR(INDEX(Create_TC_Web!N$1:N$500,SMALL(IF(Create_TC_Web!$C$1:$C$500&lt;&gt;"",MATCH(ROW(Create_TC_Web!$C$1:$C$500),ROW(Create_TC_Web!$C$1:$C$500)),""),ROW(Create_TC_Web!L463))),"")</f>
        <v/>
      </c>
      <c r="L463" t="str" cm="1">
        <f t="array" ref="L463">IFERROR(INDEX(Create_TC_Web!O$1:O$500,SMALL(IF(Create_TC_Web!$C$1:$C$500&lt;&gt;"",MATCH(ROW(Create_TC_Web!$C$1:$C$500),ROW(Create_TC_Web!$C$1:$C$500)),""),ROW(Create_TC_Web!M463))),"")</f>
        <v/>
      </c>
      <c r="M463" t="str" cm="1">
        <f t="array" ref="M463">IFERROR(INDEX(Create_TC_Web!P$1:P$500,SMALL(IF(Create_TC_Web!$C$1:$C$500&lt;&gt;"",MATCH(ROW(Create_TC_Web!$C$1:$C$500),ROW(Create_TC_Web!$C$1:$C$500)),""),ROW(Create_TC_Web!N463))),"")</f>
        <v/>
      </c>
      <c r="N463" t="str" cm="1">
        <f t="array" ref="N463">IFERROR(INDEX(Create_TC_Web!Q$1:Q$500,SMALL(IF(Create_TC_Web!$C$1:$C$500&lt;&gt;"",MATCH(ROW(Create_TC_Web!$C$1:$C$500),ROW(Create_TC_Web!$C$1:$C$500)),""),ROW(Create_TC_Web!O463))),"")</f>
        <v/>
      </c>
      <c r="O463" t="str">
        <f t="shared" si="23"/>
        <v/>
      </c>
      <c r="P463" s="17" t="str" cm="1">
        <f t="array" ref="P463">IFERROR(INDEX(Create_TC_Web!S$1:S$500,SMALL(IF(Create_TC_Web!$C$1:$C$500&lt;&gt;"",MATCH(ROW(Create_TC_Web!$C$1:$C$500),ROW(Create_TC_Web!$C$1:$C$500)),""),ROW(Create_TC_Web!Q441))),"")</f>
        <v/>
      </c>
      <c r="S463" t="str">
        <f t="shared" si="22"/>
        <v/>
      </c>
    </row>
    <row r="464" spans="1:19">
      <c r="A464" t="str" cm="1">
        <f t="array" ref="A464">IFERROR(INDEX(Create_TC_Web!D$1:D$500,SMALL(IF(Create_TC_Web!$C$1:$C$500&lt;&gt;"",MATCH(ROW(Create_TC_Web!$C$1:$C$500),ROW(Create_TC_Web!$C$1:$C$500)),""),ROW(Create_TC_Web!B464))),"")</f>
        <v/>
      </c>
      <c r="B464" t="str" cm="1">
        <f t="array" ref="B464">SUBSTITUTE(SUBSTITUTE(SUBSTITUTE(IFERROR(INDEX(Create_TC_Web!E$1:E$505,SMALL(IF(Create_TC_Web!$C$1:$C$505&lt;&gt;"",MATCH(ROW(Create_TC_Web!$C$1:$C$505),ROW(Create_TC_Web!$C$1:$C$505)),""),ROW(Create_TC_Web!C464))),"")," ",""),"-",""),"_","")</f>
        <v/>
      </c>
      <c r="C464" t="str" cm="1">
        <f t="array" ref="C464">IFERROR(INDEX(Create_TC_Web!F$1:F$500,SMALL(IF(Create_TC_Web!$C$1:$C$500&lt;&gt;"",MATCH(ROW(Create_TC_Web!$C$1:$C$500),ROW(Create_TC_Web!$C$1:$C$500)),""),ROW(Create_TC_Web!D464))),"")</f>
        <v/>
      </c>
      <c r="D464" t="str" cm="1">
        <f t="array" ref="D464">IFERROR(INDEX(Create_TC_Web!G$1:G$500,SMALL(IF(Create_TC_Web!$C$1:$C$500&lt;&gt;"",MATCH(ROW(Create_TC_Web!$C$1:$C$500),ROW(Create_TC_Web!$C$1:$C$500)),""),ROW(Create_TC_Web!E464))),"")</f>
        <v/>
      </c>
      <c r="E464" t="str" cm="1">
        <f t="array" ref="E464">IFERROR(INDEX(Create_TC_Web!H$1:H$500,SMALL(IF(Create_TC_Web!$C$1:$C$500&lt;&gt;"",MATCH(ROW(Create_TC_Web!$C$1:$C$500),ROW(Create_TC_Web!$C$1:$C$500)),""),ROW(Create_TC_Web!F464))),"")</f>
        <v/>
      </c>
      <c r="F464" t="str" cm="1">
        <f t="array" ref="F464">IFERROR(INDEX(Create_TC_Web!I$1:I$500,SMALL(IF(Create_TC_Web!$C$1:$C$500&lt;&gt;"",MATCH(ROW(Create_TC_Web!$C$1:$C$500),ROW(Create_TC_Web!$C$1:$C$500)),""),ROW(Create_TC_Web!G464))),"")</f>
        <v/>
      </c>
      <c r="G464" t="str" cm="1">
        <f t="array" ref="G464">IFERROR(INDEX(Create_TC_Web!J$1:J$500,SMALL(IF(Create_TC_Web!$C$1:$C$500&lt;&gt;"",MATCH(ROW(Create_TC_Web!$C$1:$C$500),ROW(Create_TC_Web!$C$1:$C$500)),""),ROW(Create_TC_Web!H464))),"")</f>
        <v/>
      </c>
      <c r="H464" t="str" cm="1">
        <f t="array" ref="H464">IFERROR(INDEX(Create_TC_Web!K$1:K$500,SMALL(IF(Create_TC_Web!$C$1:$C$500&lt;&gt;"",MATCH(ROW(Create_TC_Web!$C$1:$C$500),ROW(Create_TC_Web!$C$1:$C$500)),""),ROW(Create_TC_Web!I464))),"")</f>
        <v/>
      </c>
      <c r="I464" t="str" cm="1">
        <f t="array" ref="I464">IFERROR(INDEX(Create_TC_Web!L$1:L$500,SMALL(IF(Create_TC_Web!$C$1:$C$500&lt;&gt;"",MATCH(ROW(Create_TC_Web!$C$1:$C$500),ROW(Create_TC_Web!$C$1:$C$500)),""),ROW(Create_TC_Web!J464))),"")</f>
        <v/>
      </c>
      <c r="J464" t="str" cm="1">
        <f t="array" ref="J464">IFERROR(INDEX(Create_TC_Web!M$1:M$500,SMALL(IF(Create_TC_Web!$C$1:$C$500&lt;&gt;"",MATCH(ROW(Create_TC_Web!$C$1:$C$500),ROW(Create_TC_Web!$C$1:$C$500)),""),ROW(Create_TC_Web!K464))),"")</f>
        <v/>
      </c>
      <c r="K464" t="str" cm="1">
        <f t="array" ref="K464">IFERROR(INDEX(Create_TC_Web!N$1:N$500,SMALL(IF(Create_TC_Web!$C$1:$C$500&lt;&gt;"",MATCH(ROW(Create_TC_Web!$C$1:$C$500),ROW(Create_TC_Web!$C$1:$C$500)),""),ROW(Create_TC_Web!L464))),"")</f>
        <v/>
      </c>
      <c r="L464" t="str" cm="1">
        <f t="array" ref="L464">IFERROR(INDEX(Create_TC_Web!O$1:O$500,SMALL(IF(Create_TC_Web!$C$1:$C$500&lt;&gt;"",MATCH(ROW(Create_TC_Web!$C$1:$C$500),ROW(Create_TC_Web!$C$1:$C$500)),""),ROW(Create_TC_Web!M464))),"")</f>
        <v/>
      </c>
      <c r="M464" t="str" cm="1">
        <f t="array" ref="M464">IFERROR(INDEX(Create_TC_Web!P$1:P$500,SMALL(IF(Create_TC_Web!$C$1:$C$500&lt;&gt;"",MATCH(ROW(Create_TC_Web!$C$1:$C$500),ROW(Create_TC_Web!$C$1:$C$500)),""),ROW(Create_TC_Web!N464))),"")</f>
        <v/>
      </c>
      <c r="N464" t="str" cm="1">
        <f t="array" ref="N464">IFERROR(INDEX(Create_TC_Web!Q$1:Q$500,SMALL(IF(Create_TC_Web!$C$1:$C$500&lt;&gt;"",MATCH(ROW(Create_TC_Web!$C$1:$C$500),ROW(Create_TC_Web!$C$1:$C$500)),""),ROW(Create_TC_Web!O464))),"")</f>
        <v/>
      </c>
      <c r="O464" t="str">
        <f t="shared" si="23"/>
        <v/>
      </c>
      <c r="P464" s="17" t="str" cm="1">
        <f t="array" ref="P464">IFERROR(INDEX(Create_TC_Web!S$1:S$500,SMALL(IF(Create_TC_Web!$C$1:$C$500&lt;&gt;"",MATCH(ROW(Create_TC_Web!$C$1:$C$500),ROW(Create_TC_Web!$C$1:$C$500)),""),ROW(Create_TC_Web!Q442))),"")</f>
        <v/>
      </c>
      <c r="S464" t="str">
        <f t="shared" si="22"/>
        <v/>
      </c>
    </row>
    <row r="465" spans="1:19">
      <c r="A465" t="str" cm="1">
        <f t="array" ref="A465">IFERROR(INDEX(Create_TC_Web!D$1:D$500,SMALL(IF(Create_TC_Web!$C$1:$C$500&lt;&gt;"",MATCH(ROW(Create_TC_Web!$C$1:$C$500),ROW(Create_TC_Web!$C$1:$C$500)),""),ROW(Create_TC_Web!B465))),"")</f>
        <v/>
      </c>
      <c r="B465" t="str" cm="1">
        <f t="array" ref="B465">SUBSTITUTE(SUBSTITUTE(SUBSTITUTE(IFERROR(INDEX(Create_TC_Web!E$1:E$505,SMALL(IF(Create_TC_Web!$C$1:$C$505&lt;&gt;"",MATCH(ROW(Create_TC_Web!$C$1:$C$505),ROW(Create_TC_Web!$C$1:$C$505)),""),ROW(Create_TC_Web!C465))),"")," ",""),"-",""),"_","")</f>
        <v/>
      </c>
      <c r="C465" t="str" cm="1">
        <f t="array" ref="C465">IFERROR(INDEX(Create_TC_Web!F$1:F$500,SMALL(IF(Create_TC_Web!$C$1:$C$500&lt;&gt;"",MATCH(ROW(Create_TC_Web!$C$1:$C$500),ROW(Create_TC_Web!$C$1:$C$500)),""),ROW(Create_TC_Web!D465))),"")</f>
        <v/>
      </c>
      <c r="D465" t="str" cm="1">
        <f t="array" ref="D465">IFERROR(INDEX(Create_TC_Web!G$1:G$500,SMALL(IF(Create_TC_Web!$C$1:$C$500&lt;&gt;"",MATCH(ROW(Create_TC_Web!$C$1:$C$500),ROW(Create_TC_Web!$C$1:$C$500)),""),ROW(Create_TC_Web!E465))),"")</f>
        <v/>
      </c>
      <c r="E465" t="str" cm="1">
        <f t="array" ref="E465">IFERROR(INDEX(Create_TC_Web!H$1:H$500,SMALL(IF(Create_TC_Web!$C$1:$C$500&lt;&gt;"",MATCH(ROW(Create_TC_Web!$C$1:$C$500),ROW(Create_TC_Web!$C$1:$C$500)),""),ROW(Create_TC_Web!F465))),"")</f>
        <v/>
      </c>
      <c r="F465" t="str" cm="1">
        <f t="array" ref="F465">IFERROR(INDEX(Create_TC_Web!I$1:I$500,SMALL(IF(Create_TC_Web!$C$1:$C$500&lt;&gt;"",MATCH(ROW(Create_TC_Web!$C$1:$C$500),ROW(Create_TC_Web!$C$1:$C$500)),""),ROW(Create_TC_Web!G465))),"")</f>
        <v/>
      </c>
      <c r="G465" t="str" cm="1">
        <f t="array" ref="G465">IFERROR(INDEX(Create_TC_Web!J$1:J$500,SMALL(IF(Create_TC_Web!$C$1:$C$500&lt;&gt;"",MATCH(ROW(Create_TC_Web!$C$1:$C$500),ROW(Create_TC_Web!$C$1:$C$500)),""),ROW(Create_TC_Web!H465))),"")</f>
        <v/>
      </c>
      <c r="H465" t="str" cm="1">
        <f t="array" ref="H465">IFERROR(INDEX(Create_TC_Web!K$1:K$500,SMALL(IF(Create_TC_Web!$C$1:$C$500&lt;&gt;"",MATCH(ROW(Create_TC_Web!$C$1:$C$500),ROW(Create_TC_Web!$C$1:$C$500)),""),ROW(Create_TC_Web!I465))),"")</f>
        <v/>
      </c>
      <c r="I465" t="str" cm="1">
        <f t="array" ref="I465">IFERROR(INDEX(Create_TC_Web!L$1:L$500,SMALL(IF(Create_TC_Web!$C$1:$C$500&lt;&gt;"",MATCH(ROW(Create_TC_Web!$C$1:$C$500),ROW(Create_TC_Web!$C$1:$C$500)),""),ROW(Create_TC_Web!J465))),"")</f>
        <v/>
      </c>
      <c r="J465" t="str" cm="1">
        <f t="array" ref="J465">IFERROR(INDEX(Create_TC_Web!M$1:M$500,SMALL(IF(Create_TC_Web!$C$1:$C$500&lt;&gt;"",MATCH(ROW(Create_TC_Web!$C$1:$C$500),ROW(Create_TC_Web!$C$1:$C$500)),""),ROW(Create_TC_Web!K465))),"")</f>
        <v/>
      </c>
      <c r="K465" t="str" cm="1">
        <f t="array" ref="K465">IFERROR(INDEX(Create_TC_Web!N$1:N$500,SMALL(IF(Create_TC_Web!$C$1:$C$500&lt;&gt;"",MATCH(ROW(Create_TC_Web!$C$1:$C$500),ROW(Create_TC_Web!$C$1:$C$500)),""),ROW(Create_TC_Web!L465))),"")</f>
        <v/>
      </c>
      <c r="L465" t="str" cm="1">
        <f t="array" ref="L465">IFERROR(INDEX(Create_TC_Web!O$1:O$500,SMALL(IF(Create_TC_Web!$C$1:$C$500&lt;&gt;"",MATCH(ROW(Create_TC_Web!$C$1:$C$500),ROW(Create_TC_Web!$C$1:$C$500)),""),ROW(Create_TC_Web!M465))),"")</f>
        <v/>
      </c>
      <c r="M465" t="str" cm="1">
        <f t="array" ref="M465">IFERROR(INDEX(Create_TC_Web!P$1:P$500,SMALL(IF(Create_TC_Web!$C$1:$C$500&lt;&gt;"",MATCH(ROW(Create_TC_Web!$C$1:$C$500),ROW(Create_TC_Web!$C$1:$C$500)),""),ROW(Create_TC_Web!N465))),"")</f>
        <v/>
      </c>
      <c r="N465" t="str" cm="1">
        <f t="array" ref="N465">IFERROR(INDEX(Create_TC_Web!Q$1:Q$500,SMALL(IF(Create_TC_Web!$C$1:$C$500&lt;&gt;"",MATCH(ROW(Create_TC_Web!$C$1:$C$500),ROW(Create_TC_Web!$C$1:$C$500)),""),ROW(Create_TC_Web!O465))),"")</f>
        <v/>
      </c>
      <c r="O465" t="str">
        <f t="shared" si="23"/>
        <v/>
      </c>
      <c r="P465" s="17" t="str" cm="1">
        <f t="array" ref="P465">IFERROR(INDEX(Create_TC_Web!S$1:S$500,SMALL(IF(Create_TC_Web!$C$1:$C$500&lt;&gt;"",MATCH(ROW(Create_TC_Web!$C$1:$C$500),ROW(Create_TC_Web!$C$1:$C$500)),""),ROW(Create_TC_Web!Q443))),"")</f>
        <v/>
      </c>
      <c r="S465" t="str">
        <f t="shared" si="22"/>
        <v/>
      </c>
    </row>
    <row r="466" spans="1:19">
      <c r="A466" t="str" cm="1">
        <f t="array" ref="A466">IFERROR(INDEX(Create_TC_Web!D$1:D$500,SMALL(IF(Create_TC_Web!$C$1:$C$500&lt;&gt;"",MATCH(ROW(Create_TC_Web!$C$1:$C$500),ROW(Create_TC_Web!$C$1:$C$500)),""),ROW(Create_TC_Web!B466))),"")</f>
        <v/>
      </c>
      <c r="B466" t="str" cm="1">
        <f t="array" ref="B466">SUBSTITUTE(SUBSTITUTE(SUBSTITUTE(IFERROR(INDEX(Create_TC_Web!E$1:E$505,SMALL(IF(Create_TC_Web!$C$1:$C$505&lt;&gt;"",MATCH(ROW(Create_TC_Web!$C$1:$C$505),ROW(Create_TC_Web!$C$1:$C$505)),""),ROW(Create_TC_Web!C466))),"")," ",""),"-",""),"_","")</f>
        <v/>
      </c>
      <c r="C466" t="str" cm="1">
        <f t="array" ref="C466">IFERROR(INDEX(Create_TC_Web!F$1:F$500,SMALL(IF(Create_TC_Web!$C$1:$C$500&lt;&gt;"",MATCH(ROW(Create_TC_Web!$C$1:$C$500),ROW(Create_TC_Web!$C$1:$C$500)),""),ROW(Create_TC_Web!D466))),"")</f>
        <v/>
      </c>
      <c r="D466" t="str" cm="1">
        <f t="array" ref="D466">IFERROR(INDEX(Create_TC_Web!G$1:G$500,SMALL(IF(Create_TC_Web!$C$1:$C$500&lt;&gt;"",MATCH(ROW(Create_TC_Web!$C$1:$C$500),ROW(Create_TC_Web!$C$1:$C$500)),""),ROW(Create_TC_Web!E466))),"")</f>
        <v/>
      </c>
      <c r="E466" t="str" cm="1">
        <f t="array" ref="E466">IFERROR(INDEX(Create_TC_Web!H$1:H$500,SMALL(IF(Create_TC_Web!$C$1:$C$500&lt;&gt;"",MATCH(ROW(Create_TC_Web!$C$1:$C$500),ROW(Create_TC_Web!$C$1:$C$500)),""),ROW(Create_TC_Web!F466))),"")</f>
        <v/>
      </c>
      <c r="F466" t="str" cm="1">
        <f t="array" ref="F466">IFERROR(INDEX(Create_TC_Web!I$1:I$500,SMALL(IF(Create_TC_Web!$C$1:$C$500&lt;&gt;"",MATCH(ROW(Create_TC_Web!$C$1:$C$500),ROW(Create_TC_Web!$C$1:$C$500)),""),ROW(Create_TC_Web!G466))),"")</f>
        <v/>
      </c>
      <c r="G466" t="str" cm="1">
        <f t="array" ref="G466">IFERROR(INDEX(Create_TC_Web!J$1:J$500,SMALL(IF(Create_TC_Web!$C$1:$C$500&lt;&gt;"",MATCH(ROW(Create_TC_Web!$C$1:$C$500),ROW(Create_TC_Web!$C$1:$C$500)),""),ROW(Create_TC_Web!H466))),"")</f>
        <v/>
      </c>
      <c r="H466" t="str" cm="1">
        <f t="array" ref="H466">IFERROR(INDEX(Create_TC_Web!K$1:K$500,SMALL(IF(Create_TC_Web!$C$1:$C$500&lt;&gt;"",MATCH(ROW(Create_TC_Web!$C$1:$C$500),ROW(Create_TC_Web!$C$1:$C$500)),""),ROW(Create_TC_Web!I466))),"")</f>
        <v/>
      </c>
      <c r="I466" t="str" cm="1">
        <f t="array" ref="I466">IFERROR(INDEX(Create_TC_Web!L$1:L$500,SMALL(IF(Create_TC_Web!$C$1:$C$500&lt;&gt;"",MATCH(ROW(Create_TC_Web!$C$1:$C$500),ROW(Create_TC_Web!$C$1:$C$500)),""),ROW(Create_TC_Web!J466))),"")</f>
        <v/>
      </c>
      <c r="J466" t="str" cm="1">
        <f t="array" ref="J466">IFERROR(INDEX(Create_TC_Web!M$1:M$500,SMALL(IF(Create_TC_Web!$C$1:$C$500&lt;&gt;"",MATCH(ROW(Create_TC_Web!$C$1:$C$500),ROW(Create_TC_Web!$C$1:$C$500)),""),ROW(Create_TC_Web!K466))),"")</f>
        <v/>
      </c>
      <c r="K466" t="str" cm="1">
        <f t="array" ref="K466">IFERROR(INDEX(Create_TC_Web!N$1:N$500,SMALL(IF(Create_TC_Web!$C$1:$C$500&lt;&gt;"",MATCH(ROW(Create_TC_Web!$C$1:$C$500),ROW(Create_TC_Web!$C$1:$C$500)),""),ROW(Create_TC_Web!L466))),"")</f>
        <v/>
      </c>
      <c r="L466" t="str" cm="1">
        <f t="array" ref="L466">IFERROR(INDEX(Create_TC_Web!O$1:O$500,SMALL(IF(Create_TC_Web!$C$1:$C$500&lt;&gt;"",MATCH(ROW(Create_TC_Web!$C$1:$C$500),ROW(Create_TC_Web!$C$1:$C$500)),""),ROW(Create_TC_Web!M466))),"")</f>
        <v/>
      </c>
      <c r="M466" t="str" cm="1">
        <f t="array" ref="M466">IFERROR(INDEX(Create_TC_Web!P$1:P$500,SMALL(IF(Create_TC_Web!$C$1:$C$500&lt;&gt;"",MATCH(ROW(Create_TC_Web!$C$1:$C$500),ROW(Create_TC_Web!$C$1:$C$500)),""),ROW(Create_TC_Web!N466))),"")</f>
        <v/>
      </c>
      <c r="N466" t="str" cm="1">
        <f t="array" ref="N466">IFERROR(INDEX(Create_TC_Web!Q$1:Q$500,SMALL(IF(Create_TC_Web!$C$1:$C$500&lt;&gt;"",MATCH(ROW(Create_TC_Web!$C$1:$C$500),ROW(Create_TC_Web!$C$1:$C$500)),""),ROW(Create_TC_Web!O466))),"")</f>
        <v/>
      </c>
      <c r="O466" t="str">
        <f t="shared" si="23"/>
        <v/>
      </c>
      <c r="P466" s="17" t="str" cm="1">
        <f t="array" ref="P466">IFERROR(INDEX(Create_TC_Web!S$1:S$500,SMALL(IF(Create_TC_Web!$C$1:$C$500&lt;&gt;"",MATCH(ROW(Create_TC_Web!$C$1:$C$500),ROW(Create_TC_Web!$C$1:$C$500)),""),ROW(Create_TC_Web!Q444))),"")</f>
        <v/>
      </c>
      <c r="S466" t="str">
        <f t="shared" si="22"/>
        <v/>
      </c>
    </row>
    <row r="467" spans="1:19">
      <c r="A467" t="str" cm="1">
        <f t="array" ref="A467">IFERROR(INDEX(Create_TC_Web!D$1:D$500,SMALL(IF(Create_TC_Web!$C$1:$C$500&lt;&gt;"",MATCH(ROW(Create_TC_Web!$C$1:$C$500),ROW(Create_TC_Web!$C$1:$C$500)),""),ROW(Create_TC_Web!B467))),"")</f>
        <v/>
      </c>
      <c r="B467" t="str" cm="1">
        <f t="array" ref="B467">SUBSTITUTE(SUBSTITUTE(SUBSTITUTE(IFERROR(INDEX(Create_TC_Web!E$1:E$505,SMALL(IF(Create_TC_Web!$C$1:$C$505&lt;&gt;"",MATCH(ROW(Create_TC_Web!$C$1:$C$505),ROW(Create_TC_Web!$C$1:$C$505)),""),ROW(Create_TC_Web!C467))),"")," ",""),"-",""),"_","")</f>
        <v/>
      </c>
      <c r="C467" t="str" cm="1">
        <f t="array" ref="C467">IFERROR(INDEX(Create_TC_Web!F$1:F$500,SMALL(IF(Create_TC_Web!$C$1:$C$500&lt;&gt;"",MATCH(ROW(Create_TC_Web!$C$1:$C$500),ROW(Create_TC_Web!$C$1:$C$500)),""),ROW(Create_TC_Web!D467))),"")</f>
        <v/>
      </c>
      <c r="D467" t="str" cm="1">
        <f t="array" ref="D467">IFERROR(INDEX(Create_TC_Web!G$1:G$500,SMALL(IF(Create_TC_Web!$C$1:$C$500&lt;&gt;"",MATCH(ROW(Create_TC_Web!$C$1:$C$500),ROW(Create_TC_Web!$C$1:$C$500)),""),ROW(Create_TC_Web!E467))),"")</f>
        <v/>
      </c>
      <c r="E467" t="str" cm="1">
        <f t="array" ref="E467">IFERROR(INDEX(Create_TC_Web!H$1:H$500,SMALL(IF(Create_TC_Web!$C$1:$C$500&lt;&gt;"",MATCH(ROW(Create_TC_Web!$C$1:$C$500),ROW(Create_TC_Web!$C$1:$C$500)),""),ROW(Create_TC_Web!F467))),"")</f>
        <v/>
      </c>
      <c r="F467" t="str" cm="1">
        <f t="array" ref="F467">IFERROR(INDEX(Create_TC_Web!I$1:I$500,SMALL(IF(Create_TC_Web!$C$1:$C$500&lt;&gt;"",MATCH(ROW(Create_TC_Web!$C$1:$C$500),ROW(Create_TC_Web!$C$1:$C$500)),""),ROW(Create_TC_Web!G467))),"")</f>
        <v/>
      </c>
      <c r="G467" t="str" cm="1">
        <f t="array" ref="G467">IFERROR(INDEX(Create_TC_Web!J$1:J$500,SMALL(IF(Create_TC_Web!$C$1:$C$500&lt;&gt;"",MATCH(ROW(Create_TC_Web!$C$1:$C$500),ROW(Create_TC_Web!$C$1:$C$500)),""),ROW(Create_TC_Web!H467))),"")</f>
        <v/>
      </c>
      <c r="H467" t="str" cm="1">
        <f t="array" ref="H467">IFERROR(INDEX(Create_TC_Web!K$1:K$500,SMALL(IF(Create_TC_Web!$C$1:$C$500&lt;&gt;"",MATCH(ROW(Create_TC_Web!$C$1:$C$500),ROW(Create_TC_Web!$C$1:$C$500)),""),ROW(Create_TC_Web!I467))),"")</f>
        <v/>
      </c>
      <c r="I467" t="str" cm="1">
        <f t="array" ref="I467">IFERROR(INDEX(Create_TC_Web!L$1:L$500,SMALL(IF(Create_TC_Web!$C$1:$C$500&lt;&gt;"",MATCH(ROW(Create_TC_Web!$C$1:$C$500),ROW(Create_TC_Web!$C$1:$C$500)),""),ROW(Create_TC_Web!J467))),"")</f>
        <v/>
      </c>
      <c r="J467" t="str" cm="1">
        <f t="array" ref="J467">IFERROR(INDEX(Create_TC_Web!M$1:M$500,SMALL(IF(Create_TC_Web!$C$1:$C$500&lt;&gt;"",MATCH(ROW(Create_TC_Web!$C$1:$C$500),ROW(Create_TC_Web!$C$1:$C$500)),""),ROW(Create_TC_Web!K467))),"")</f>
        <v/>
      </c>
      <c r="K467" t="str" cm="1">
        <f t="array" ref="K467">IFERROR(INDEX(Create_TC_Web!N$1:N$500,SMALL(IF(Create_TC_Web!$C$1:$C$500&lt;&gt;"",MATCH(ROW(Create_TC_Web!$C$1:$C$500),ROW(Create_TC_Web!$C$1:$C$500)),""),ROW(Create_TC_Web!L467))),"")</f>
        <v/>
      </c>
      <c r="L467" t="str" cm="1">
        <f t="array" ref="L467">IFERROR(INDEX(Create_TC_Web!O$1:O$500,SMALL(IF(Create_TC_Web!$C$1:$C$500&lt;&gt;"",MATCH(ROW(Create_TC_Web!$C$1:$C$500),ROW(Create_TC_Web!$C$1:$C$500)),""),ROW(Create_TC_Web!M467))),"")</f>
        <v/>
      </c>
      <c r="M467" t="str" cm="1">
        <f t="array" ref="M467">IFERROR(INDEX(Create_TC_Web!P$1:P$500,SMALL(IF(Create_TC_Web!$C$1:$C$500&lt;&gt;"",MATCH(ROW(Create_TC_Web!$C$1:$C$500),ROW(Create_TC_Web!$C$1:$C$500)),""),ROW(Create_TC_Web!N467))),"")</f>
        <v/>
      </c>
      <c r="N467" t="str" cm="1">
        <f t="array" ref="N467">IFERROR(INDEX(Create_TC_Web!Q$1:Q$500,SMALL(IF(Create_TC_Web!$C$1:$C$500&lt;&gt;"",MATCH(ROW(Create_TC_Web!$C$1:$C$500),ROW(Create_TC_Web!$C$1:$C$500)),""),ROW(Create_TC_Web!O467))),"")</f>
        <v/>
      </c>
      <c r="O467" t="str">
        <f t="shared" si="23"/>
        <v/>
      </c>
      <c r="P467" s="17" t="str" cm="1">
        <f t="array" ref="P467">IFERROR(INDEX(Create_TC_Web!S$1:S$500,SMALL(IF(Create_TC_Web!$C$1:$C$500&lt;&gt;"",MATCH(ROW(Create_TC_Web!$C$1:$C$500),ROW(Create_TC_Web!$C$1:$C$500)),""),ROW(Create_TC_Web!Q445))),"")</f>
        <v/>
      </c>
      <c r="S467" t="str">
        <f t="shared" si="22"/>
        <v/>
      </c>
    </row>
    <row r="468" spans="1:19">
      <c r="A468" t="str" cm="1">
        <f t="array" ref="A468">IFERROR(INDEX(Create_TC_Web!D$1:D$500,SMALL(IF(Create_TC_Web!$C$1:$C$500&lt;&gt;"",MATCH(ROW(Create_TC_Web!$C$1:$C$500),ROW(Create_TC_Web!$C$1:$C$500)),""),ROW(Create_TC_Web!B468))),"")</f>
        <v/>
      </c>
      <c r="B468" t="str" cm="1">
        <f t="array" ref="B468">SUBSTITUTE(SUBSTITUTE(SUBSTITUTE(IFERROR(INDEX(Create_TC_Web!E$1:E$505,SMALL(IF(Create_TC_Web!$C$1:$C$505&lt;&gt;"",MATCH(ROW(Create_TC_Web!$C$1:$C$505),ROW(Create_TC_Web!$C$1:$C$505)),""),ROW(Create_TC_Web!C468))),"")," ",""),"-",""),"_","")</f>
        <v/>
      </c>
      <c r="C468" t="str" cm="1">
        <f t="array" ref="C468">IFERROR(INDEX(Create_TC_Web!F$1:F$500,SMALL(IF(Create_TC_Web!$C$1:$C$500&lt;&gt;"",MATCH(ROW(Create_TC_Web!$C$1:$C$500),ROW(Create_TC_Web!$C$1:$C$500)),""),ROW(Create_TC_Web!D468))),"")</f>
        <v/>
      </c>
      <c r="D468" t="str" cm="1">
        <f t="array" ref="D468">IFERROR(INDEX(Create_TC_Web!G$1:G$500,SMALL(IF(Create_TC_Web!$C$1:$C$500&lt;&gt;"",MATCH(ROW(Create_TC_Web!$C$1:$C$500),ROW(Create_TC_Web!$C$1:$C$500)),""),ROW(Create_TC_Web!E468))),"")</f>
        <v/>
      </c>
      <c r="E468" t="str" cm="1">
        <f t="array" ref="E468">IFERROR(INDEX(Create_TC_Web!H$1:H$500,SMALL(IF(Create_TC_Web!$C$1:$C$500&lt;&gt;"",MATCH(ROW(Create_TC_Web!$C$1:$C$500),ROW(Create_TC_Web!$C$1:$C$500)),""),ROW(Create_TC_Web!F468))),"")</f>
        <v/>
      </c>
      <c r="F468" t="str" cm="1">
        <f t="array" ref="F468">IFERROR(INDEX(Create_TC_Web!I$1:I$500,SMALL(IF(Create_TC_Web!$C$1:$C$500&lt;&gt;"",MATCH(ROW(Create_TC_Web!$C$1:$C$500),ROW(Create_TC_Web!$C$1:$C$500)),""),ROW(Create_TC_Web!G468))),"")</f>
        <v/>
      </c>
      <c r="G468" t="str" cm="1">
        <f t="array" ref="G468">IFERROR(INDEX(Create_TC_Web!J$1:J$500,SMALL(IF(Create_TC_Web!$C$1:$C$500&lt;&gt;"",MATCH(ROW(Create_TC_Web!$C$1:$C$500),ROW(Create_TC_Web!$C$1:$C$500)),""),ROW(Create_TC_Web!H468))),"")</f>
        <v/>
      </c>
      <c r="H468" t="str" cm="1">
        <f t="array" ref="H468">IFERROR(INDEX(Create_TC_Web!K$1:K$500,SMALL(IF(Create_TC_Web!$C$1:$C$500&lt;&gt;"",MATCH(ROW(Create_TC_Web!$C$1:$C$500),ROW(Create_TC_Web!$C$1:$C$500)),""),ROW(Create_TC_Web!I468))),"")</f>
        <v/>
      </c>
      <c r="I468" t="str" cm="1">
        <f t="array" ref="I468">IFERROR(INDEX(Create_TC_Web!L$1:L$500,SMALL(IF(Create_TC_Web!$C$1:$C$500&lt;&gt;"",MATCH(ROW(Create_TC_Web!$C$1:$C$500),ROW(Create_TC_Web!$C$1:$C$500)),""),ROW(Create_TC_Web!J468))),"")</f>
        <v/>
      </c>
      <c r="J468" t="str" cm="1">
        <f t="array" ref="J468">IFERROR(INDEX(Create_TC_Web!M$1:M$500,SMALL(IF(Create_TC_Web!$C$1:$C$500&lt;&gt;"",MATCH(ROW(Create_TC_Web!$C$1:$C$500),ROW(Create_TC_Web!$C$1:$C$500)),""),ROW(Create_TC_Web!K468))),"")</f>
        <v/>
      </c>
      <c r="K468" t="str" cm="1">
        <f t="array" ref="K468">IFERROR(INDEX(Create_TC_Web!N$1:N$500,SMALL(IF(Create_TC_Web!$C$1:$C$500&lt;&gt;"",MATCH(ROW(Create_TC_Web!$C$1:$C$500),ROW(Create_TC_Web!$C$1:$C$500)),""),ROW(Create_TC_Web!L468))),"")</f>
        <v/>
      </c>
      <c r="L468" t="str" cm="1">
        <f t="array" ref="L468">IFERROR(INDEX(Create_TC_Web!O$1:O$500,SMALL(IF(Create_TC_Web!$C$1:$C$500&lt;&gt;"",MATCH(ROW(Create_TC_Web!$C$1:$C$500),ROW(Create_TC_Web!$C$1:$C$500)),""),ROW(Create_TC_Web!M468))),"")</f>
        <v/>
      </c>
      <c r="M468" t="str" cm="1">
        <f t="array" ref="M468">IFERROR(INDEX(Create_TC_Web!P$1:P$500,SMALL(IF(Create_TC_Web!$C$1:$C$500&lt;&gt;"",MATCH(ROW(Create_TC_Web!$C$1:$C$500),ROW(Create_TC_Web!$C$1:$C$500)),""),ROW(Create_TC_Web!N468))),"")</f>
        <v/>
      </c>
      <c r="N468" t="str" cm="1">
        <f t="array" ref="N468">IFERROR(INDEX(Create_TC_Web!Q$1:Q$500,SMALL(IF(Create_TC_Web!$C$1:$C$500&lt;&gt;"",MATCH(ROW(Create_TC_Web!$C$1:$C$500),ROW(Create_TC_Web!$C$1:$C$500)),""),ROW(Create_TC_Web!O468))),"")</f>
        <v/>
      </c>
      <c r="O468" t="str">
        <f t="shared" si="23"/>
        <v/>
      </c>
      <c r="P468" s="17" t="str" cm="1">
        <f t="array" ref="P468">IFERROR(INDEX(Create_TC_Web!S$1:S$500,SMALL(IF(Create_TC_Web!$C$1:$C$500&lt;&gt;"",MATCH(ROW(Create_TC_Web!$C$1:$C$500),ROW(Create_TC_Web!$C$1:$C$500)),""),ROW(Create_TC_Web!Q446))),"")</f>
        <v/>
      </c>
      <c r="S468" t="str">
        <f t="shared" si="22"/>
        <v/>
      </c>
    </row>
    <row r="469" spans="1:19">
      <c r="A469" t="str" cm="1">
        <f t="array" ref="A469">IFERROR(INDEX(Create_TC_Web!D$1:D$500,SMALL(IF(Create_TC_Web!$C$1:$C$500&lt;&gt;"",MATCH(ROW(Create_TC_Web!$C$1:$C$500),ROW(Create_TC_Web!$C$1:$C$500)),""),ROW(Create_TC_Web!B469))),"")</f>
        <v/>
      </c>
      <c r="B469" t="str" cm="1">
        <f t="array" ref="B469">SUBSTITUTE(SUBSTITUTE(SUBSTITUTE(IFERROR(INDEX(Create_TC_Web!E$1:E$505,SMALL(IF(Create_TC_Web!$C$1:$C$505&lt;&gt;"",MATCH(ROW(Create_TC_Web!$C$1:$C$505),ROW(Create_TC_Web!$C$1:$C$505)),""),ROW(Create_TC_Web!C469))),"")," ",""),"-",""),"_","")</f>
        <v/>
      </c>
      <c r="C469" t="str" cm="1">
        <f t="array" ref="C469">IFERROR(INDEX(Create_TC_Web!F$1:F$500,SMALL(IF(Create_TC_Web!$C$1:$C$500&lt;&gt;"",MATCH(ROW(Create_TC_Web!$C$1:$C$500),ROW(Create_TC_Web!$C$1:$C$500)),""),ROW(Create_TC_Web!D469))),"")</f>
        <v/>
      </c>
      <c r="D469" t="str" cm="1">
        <f t="array" ref="D469">IFERROR(INDEX(Create_TC_Web!G$1:G$500,SMALL(IF(Create_TC_Web!$C$1:$C$500&lt;&gt;"",MATCH(ROW(Create_TC_Web!$C$1:$C$500),ROW(Create_TC_Web!$C$1:$C$500)),""),ROW(Create_TC_Web!E469))),"")</f>
        <v/>
      </c>
      <c r="E469" t="str" cm="1">
        <f t="array" ref="E469">IFERROR(INDEX(Create_TC_Web!H$1:H$500,SMALL(IF(Create_TC_Web!$C$1:$C$500&lt;&gt;"",MATCH(ROW(Create_TC_Web!$C$1:$C$500),ROW(Create_TC_Web!$C$1:$C$500)),""),ROW(Create_TC_Web!F469))),"")</f>
        <v/>
      </c>
      <c r="F469" t="str" cm="1">
        <f t="array" ref="F469">IFERROR(INDEX(Create_TC_Web!I$1:I$500,SMALL(IF(Create_TC_Web!$C$1:$C$500&lt;&gt;"",MATCH(ROW(Create_TC_Web!$C$1:$C$500),ROW(Create_TC_Web!$C$1:$C$500)),""),ROW(Create_TC_Web!G469))),"")</f>
        <v/>
      </c>
      <c r="G469" t="str" cm="1">
        <f t="array" ref="G469">IFERROR(INDEX(Create_TC_Web!J$1:J$500,SMALL(IF(Create_TC_Web!$C$1:$C$500&lt;&gt;"",MATCH(ROW(Create_TC_Web!$C$1:$C$500),ROW(Create_TC_Web!$C$1:$C$500)),""),ROW(Create_TC_Web!H469))),"")</f>
        <v/>
      </c>
      <c r="H469" t="str" cm="1">
        <f t="array" ref="H469">IFERROR(INDEX(Create_TC_Web!K$1:K$500,SMALL(IF(Create_TC_Web!$C$1:$C$500&lt;&gt;"",MATCH(ROW(Create_TC_Web!$C$1:$C$500),ROW(Create_TC_Web!$C$1:$C$500)),""),ROW(Create_TC_Web!I469))),"")</f>
        <v/>
      </c>
      <c r="I469" t="str" cm="1">
        <f t="array" ref="I469">IFERROR(INDEX(Create_TC_Web!L$1:L$500,SMALL(IF(Create_TC_Web!$C$1:$C$500&lt;&gt;"",MATCH(ROW(Create_TC_Web!$C$1:$C$500),ROW(Create_TC_Web!$C$1:$C$500)),""),ROW(Create_TC_Web!J469))),"")</f>
        <v/>
      </c>
      <c r="J469" t="str" cm="1">
        <f t="array" ref="J469">IFERROR(INDEX(Create_TC_Web!M$1:M$500,SMALL(IF(Create_TC_Web!$C$1:$C$500&lt;&gt;"",MATCH(ROW(Create_TC_Web!$C$1:$C$500),ROW(Create_TC_Web!$C$1:$C$500)),""),ROW(Create_TC_Web!K469))),"")</f>
        <v/>
      </c>
      <c r="K469" t="str" cm="1">
        <f t="array" ref="K469">IFERROR(INDEX(Create_TC_Web!N$1:N$500,SMALL(IF(Create_TC_Web!$C$1:$C$500&lt;&gt;"",MATCH(ROW(Create_TC_Web!$C$1:$C$500),ROW(Create_TC_Web!$C$1:$C$500)),""),ROW(Create_TC_Web!L469))),"")</f>
        <v/>
      </c>
      <c r="L469" t="str" cm="1">
        <f t="array" ref="L469">IFERROR(INDEX(Create_TC_Web!O$1:O$500,SMALL(IF(Create_TC_Web!$C$1:$C$500&lt;&gt;"",MATCH(ROW(Create_TC_Web!$C$1:$C$500),ROW(Create_TC_Web!$C$1:$C$500)),""),ROW(Create_TC_Web!M469))),"")</f>
        <v/>
      </c>
      <c r="M469" t="str" cm="1">
        <f t="array" ref="M469">IFERROR(INDEX(Create_TC_Web!P$1:P$500,SMALL(IF(Create_TC_Web!$C$1:$C$500&lt;&gt;"",MATCH(ROW(Create_TC_Web!$C$1:$C$500),ROW(Create_TC_Web!$C$1:$C$500)),""),ROW(Create_TC_Web!N469))),"")</f>
        <v/>
      </c>
      <c r="N469" t="str" cm="1">
        <f t="array" ref="N469">IFERROR(INDEX(Create_TC_Web!Q$1:Q$500,SMALL(IF(Create_TC_Web!$C$1:$C$500&lt;&gt;"",MATCH(ROW(Create_TC_Web!$C$1:$C$500),ROW(Create_TC_Web!$C$1:$C$500)),""),ROW(Create_TC_Web!O469))),"")</f>
        <v/>
      </c>
      <c r="O469" t="str">
        <f t="shared" si="23"/>
        <v/>
      </c>
      <c r="P469" s="17" t="str" cm="1">
        <f t="array" ref="P469">IFERROR(INDEX(Create_TC_Web!S$1:S$500,SMALL(IF(Create_TC_Web!$C$1:$C$500&lt;&gt;"",MATCH(ROW(Create_TC_Web!$C$1:$C$500),ROW(Create_TC_Web!$C$1:$C$500)),""),ROW(Create_TC_Web!Q447))),"")</f>
        <v/>
      </c>
      <c r="S469" t="str">
        <f t="shared" si="22"/>
        <v/>
      </c>
    </row>
    <row r="470" spans="1:19">
      <c r="A470" t="str" cm="1">
        <f t="array" ref="A470">IFERROR(INDEX(Create_TC_Web!D$1:D$500,SMALL(IF(Create_TC_Web!$C$1:$C$500&lt;&gt;"",MATCH(ROW(Create_TC_Web!$C$1:$C$500),ROW(Create_TC_Web!$C$1:$C$500)),""),ROW(Create_TC_Web!B470))),"")</f>
        <v/>
      </c>
      <c r="B470" t="str" cm="1">
        <f t="array" ref="B470">SUBSTITUTE(SUBSTITUTE(SUBSTITUTE(IFERROR(INDEX(Create_TC_Web!E$1:E$505,SMALL(IF(Create_TC_Web!$C$1:$C$505&lt;&gt;"",MATCH(ROW(Create_TC_Web!$C$1:$C$505),ROW(Create_TC_Web!$C$1:$C$505)),""),ROW(Create_TC_Web!C470))),"")," ",""),"-",""),"_","")</f>
        <v/>
      </c>
      <c r="C470" t="str" cm="1">
        <f t="array" ref="C470">IFERROR(INDEX(Create_TC_Web!F$1:F$500,SMALL(IF(Create_TC_Web!$C$1:$C$500&lt;&gt;"",MATCH(ROW(Create_TC_Web!$C$1:$C$500),ROW(Create_TC_Web!$C$1:$C$500)),""),ROW(Create_TC_Web!D470))),"")</f>
        <v/>
      </c>
      <c r="D470" t="str" cm="1">
        <f t="array" ref="D470">IFERROR(INDEX(Create_TC_Web!G$1:G$500,SMALL(IF(Create_TC_Web!$C$1:$C$500&lt;&gt;"",MATCH(ROW(Create_TC_Web!$C$1:$C$500),ROW(Create_TC_Web!$C$1:$C$500)),""),ROW(Create_TC_Web!E470))),"")</f>
        <v/>
      </c>
      <c r="E470" t="str" cm="1">
        <f t="array" ref="E470">IFERROR(INDEX(Create_TC_Web!H$1:H$500,SMALL(IF(Create_TC_Web!$C$1:$C$500&lt;&gt;"",MATCH(ROW(Create_TC_Web!$C$1:$C$500),ROW(Create_TC_Web!$C$1:$C$500)),""),ROW(Create_TC_Web!F470))),"")</f>
        <v/>
      </c>
      <c r="F470" t="str" cm="1">
        <f t="array" ref="F470">IFERROR(INDEX(Create_TC_Web!I$1:I$500,SMALL(IF(Create_TC_Web!$C$1:$C$500&lt;&gt;"",MATCH(ROW(Create_TC_Web!$C$1:$C$500),ROW(Create_TC_Web!$C$1:$C$500)),""),ROW(Create_TC_Web!G470))),"")</f>
        <v/>
      </c>
      <c r="G470" t="str" cm="1">
        <f t="array" ref="G470">IFERROR(INDEX(Create_TC_Web!J$1:J$500,SMALL(IF(Create_TC_Web!$C$1:$C$500&lt;&gt;"",MATCH(ROW(Create_TC_Web!$C$1:$C$500),ROW(Create_TC_Web!$C$1:$C$500)),""),ROW(Create_TC_Web!H470))),"")</f>
        <v/>
      </c>
      <c r="H470" t="str" cm="1">
        <f t="array" ref="H470">IFERROR(INDEX(Create_TC_Web!K$1:K$500,SMALL(IF(Create_TC_Web!$C$1:$C$500&lt;&gt;"",MATCH(ROW(Create_TC_Web!$C$1:$C$500),ROW(Create_TC_Web!$C$1:$C$500)),""),ROW(Create_TC_Web!I470))),"")</f>
        <v/>
      </c>
      <c r="I470" t="str" cm="1">
        <f t="array" ref="I470">IFERROR(INDEX(Create_TC_Web!L$1:L$500,SMALL(IF(Create_TC_Web!$C$1:$C$500&lt;&gt;"",MATCH(ROW(Create_TC_Web!$C$1:$C$500),ROW(Create_TC_Web!$C$1:$C$500)),""),ROW(Create_TC_Web!J470))),"")</f>
        <v/>
      </c>
      <c r="J470" t="str" cm="1">
        <f t="array" ref="J470">IFERROR(INDEX(Create_TC_Web!M$1:M$500,SMALL(IF(Create_TC_Web!$C$1:$C$500&lt;&gt;"",MATCH(ROW(Create_TC_Web!$C$1:$C$500),ROW(Create_TC_Web!$C$1:$C$500)),""),ROW(Create_TC_Web!K470))),"")</f>
        <v/>
      </c>
      <c r="K470" t="str" cm="1">
        <f t="array" ref="K470">IFERROR(INDEX(Create_TC_Web!N$1:N$500,SMALL(IF(Create_TC_Web!$C$1:$C$500&lt;&gt;"",MATCH(ROW(Create_TC_Web!$C$1:$C$500),ROW(Create_TC_Web!$C$1:$C$500)),""),ROW(Create_TC_Web!L470))),"")</f>
        <v/>
      </c>
      <c r="L470" t="str" cm="1">
        <f t="array" ref="L470">IFERROR(INDEX(Create_TC_Web!O$1:O$500,SMALL(IF(Create_TC_Web!$C$1:$C$500&lt;&gt;"",MATCH(ROW(Create_TC_Web!$C$1:$C$500),ROW(Create_TC_Web!$C$1:$C$500)),""),ROW(Create_TC_Web!M470))),"")</f>
        <v/>
      </c>
      <c r="M470" t="str" cm="1">
        <f t="array" ref="M470">IFERROR(INDEX(Create_TC_Web!P$1:P$500,SMALL(IF(Create_TC_Web!$C$1:$C$500&lt;&gt;"",MATCH(ROW(Create_TC_Web!$C$1:$C$500),ROW(Create_TC_Web!$C$1:$C$500)),""),ROW(Create_TC_Web!N470))),"")</f>
        <v/>
      </c>
      <c r="N470" t="str" cm="1">
        <f t="array" ref="N470">IFERROR(INDEX(Create_TC_Web!Q$1:Q$500,SMALL(IF(Create_TC_Web!$C$1:$C$500&lt;&gt;"",MATCH(ROW(Create_TC_Web!$C$1:$C$500),ROW(Create_TC_Web!$C$1:$C$500)),""),ROW(Create_TC_Web!O470))),"")</f>
        <v/>
      </c>
      <c r="O470" t="str">
        <f t="shared" si="23"/>
        <v/>
      </c>
      <c r="P470" s="17" t="str" cm="1">
        <f t="array" ref="P470">IFERROR(INDEX(Create_TC_Web!S$1:S$500,SMALL(IF(Create_TC_Web!$C$1:$C$500&lt;&gt;"",MATCH(ROW(Create_TC_Web!$C$1:$C$500),ROW(Create_TC_Web!$C$1:$C$500)),""),ROW(Create_TC_Web!Q448))),"")</f>
        <v/>
      </c>
      <c r="S470" t="str">
        <f t="shared" si="22"/>
        <v/>
      </c>
    </row>
    <row r="471" spans="1:19">
      <c r="A471" t="str" cm="1">
        <f t="array" ref="A471">IFERROR(INDEX(Create_TC_Web!D$1:D$500,SMALL(IF(Create_TC_Web!$C$1:$C$500&lt;&gt;"",MATCH(ROW(Create_TC_Web!$C$1:$C$500),ROW(Create_TC_Web!$C$1:$C$500)),""),ROW(Create_TC_Web!B471))),"")</f>
        <v/>
      </c>
      <c r="B471" t="str" cm="1">
        <f t="array" ref="B471">SUBSTITUTE(SUBSTITUTE(SUBSTITUTE(IFERROR(INDEX(Create_TC_Web!E$1:E$505,SMALL(IF(Create_TC_Web!$C$1:$C$505&lt;&gt;"",MATCH(ROW(Create_TC_Web!$C$1:$C$505),ROW(Create_TC_Web!$C$1:$C$505)),""),ROW(Create_TC_Web!C471))),"")," ",""),"-",""),"_","")</f>
        <v/>
      </c>
      <c r="C471" t="str" cm="1">
        <f t="array" ref="C471">IFERROR(INDEX(Create_TC_Web!F$1:F$500,SMALL(IF(Create_TC_Web!$C$1:$C$500&lt;&gt;"",MATCH(ROW(Create_TC_Web!$C$1:$C$500),ROW(Create_TC_Web!$C$1:$C$500)),""),ROW(Create_TC_Web!D471))),"")</f>
        <v/>
      </c>
      <c r="D471" t="str" cm="1">
        <f t="array" ref="D471">IFERROR(INDEX(Create_TC_Web!G$1:G$500,SMALL(IF(Create_TC_Web!$C$1:$C$500&lt;&gt;"",MATCH(ROW(Create_TC_Web!$C$1:$C$500),ROW(Create_TC_Web!$C$1:$C$500)),""),ROW(Create_TC_Web!E471))),"")</f>
        <v/>
      </c>
      <c r="E471" t="str" cm="1">
        <f t="array" ref="E471">IFERROR(INDEX(Create_TC_Web!H$1:H$500,SMALL(IF(Create_TC_Web!$C$1:$C$500&lt;&gt;"",MATCH(ROW(Create_TC_Web!$C$1:$C$500),ROW(Create_TC_Web!$C$1:$C$500)),""),ROW(Create_TC_Web!F471))),"")</f>
        <v/>
      </c>
      <c r="F471" t="str" cm="1">
        <f t="array" ref="F471">IFERROR(INDEX(Create_TC_Web!I$1:I$500,SMALL(IF(Create_TC_Web!$C$1:$C$500&lt;&gt;"",MATCH(ROW(Create_TC_Web!$C$1:$C$500),ROW(Create_TC_Web!$C$1:$C$500)),""),ROW(Create_TC_Web!G471))),"")</f>
        <v/>
      </c>
      <c r="G471" t="str" cm="1">
        <f t="array" ref="G471">IFERROR(INDEX(Create_TC_Web!J$1:J$500,SMALL(IF(Create_TC_Web!$C$1:$C$500&lt;&gt;"",MATCH(ROW(Create_TC_Web!$C$1:$C$500),ROW(Create_TC_Web!$C$1:$C$500)),""),ROW(Create_TC_Web!H471))),"")</f>
        <v/>
      </c>
      <c r="H471" t="str" cm="1">
        <f t="array" ref="H471">IFERROR(INDEX(Create_TC_Web!K$1:K$500,SMALL(IF(Create_TC_Web!$C$1:$C$500&lt;&gt;"",MATCH(ROW(Create_TC_Web!$C$1:$C$500),ROW(Create_TC_Web!$C$1:$C$500)),""),ROW(Create_TC_Web!I471))),"")</f>
        <v/>
      </c>
      <c r="I471" t="str" cm="1">
        <f t="array" ref="I471">IFERROR(INDEX(Create_TC_Web!L$1:L$500,SMALL(IF(Create_TC_Web!$C$1:$C$500&lt;&gt;"",MATCH(ROW(Create_TC_Web!$C$1:$C$500),ROW(Create_TC_Web!$C$1:$C$500)),""),ROW(Create_TC_Web!J471))),"")</f>
        <v/>
      </c>
      <c r="J471" t="str" cm="1">
        <f t="array" ref="J471">IFERROR(INDEX(Create_TC_Web!M$1:M$500,SMALL(IF(Create_TC_Web!$C$1:$C$500&lt;&gt;"",MATCH(ROW(Create_TC_Web!$C$1:$C$500),ROW(Create_TC_Web!$C$1:$C$500)),""),ROW(Create_TC_Web!K471))),"")</f>
        <v/>
      </c>
      <c r="K471" t="str" cm="1">
        <f t="array" ref="K471">IFERROR(INDEX(Create_TC_Web!N$1:N$500,SMALL(IF(Create_TC_Web!$C$1:$C$500&lt;&gt;"",MATCH(ROW(Create_TC_Web!$C$1:$C$500),ROW(Create_TC_Web!$C$1:$C$500)),""),ROW(Create_TC_Web!L471))),"")</f>
        <v/>
      </c>
      <c r="L471" t="str" cm="1">
        <f t="array" ref="L471">IFERROR(INDEX(Create_TC_Web!O$1:O$500,SMALL(IF(Create_TC_Web!$C$1:$C$500&lt;&gt;"",MATCH(ROW(Create_TC_Web!$C$1:$C$500),ROW(Create_TC_Web!$C$1:$C$500)),""),ROW(Create_TC_Web!M471))),"")</f>
        <v/>
      </c>
      <c r="M471" t="str" cm="1">
        <f t="array" ref="M471">IFERROR(INDEX(Create_TC_Web!P$1:P$500,SMALL(IF(Create_TC_Web!$C$1:$C$500&lt;&gt;"",MATCH(ROW(Create_TC_Web!$C$1:$C$500),ROW(Create_TC_Web!$C$1:$C$500)),""),ROW(Create_TC_Web!N471))),"")</f>
        <v/>
      </c>
      <c r="N471" t="str" cm="1">
        <f t="array" ref="N471">IFERROR(INDEX(Create_TC_Web!Q$1:Q$500,SMALL(IF(Create_TC_Web!$C$1:$C$500&lt;&gt;"",MATCH(ROW(Create_TC_Web!$C$1:$C$500),ROW(Create_TC_Web!$C$1:$C$500)),""),ROW(Create_TC_Web!O471))),"")</f>
        <v/>
      </c>
      <c r="O471" t="str">
        <f t="shared" si="23"/>
        <v/>
      </c>
      <c r="P471" s="17" t="str" cm="1">
        <f t="array" ref="P471">IFERROR(INDEX(Create_TC_Web!S$1:S$500,SMALL(IF(Create_TC_Web!$C$1:$C$500&lt;&gt;"",MATCH(ROW(Create_TC_Web!$C$1:$C$500),ROW(Create_TC_Web!$C$1:$C$500)),""),ROW(Create_TC_Web!Q449))),"")</f>
        <v/>
      </c>
      <c r="S471" t="str">
        <f t="shared" si="22"/>
        <v/>
      </c>
    </row>
    <row r="472" spans="1:19">
      <c r="A472" t="str" cm="1">
        <f t="array" ref="A472">IFERROR(INDEX(Create_TC_Web!D$1:D$500,SMALL(IF(Create_TC_Web!$C$1:$C$500&lt;&gt;"",MATCH(ROW(Create_TC_Web!$C$1:$C$500),ROW(Create_TC_Web!$C$1:$C$500)),""),ROW(Create_TC_Web!B472))),"")</f>
        <v/>
      </c>
      <c r="B472" t="str" cm="1">
        <f t="array" ref="B472">SUBSTITUTE(SUBSTITUTE(SUBSTITUTE(IFERROR(INDEX(Create_TC_Web!E$1:E$505,SMALL(IF(Create_TC_Web!$C$1:$C$505&lt;&gt;"",MATCH(ROW(Create_TC_Web!$C$1:$C$505),ROW(Create_TC_Web!$C$1:$C$505)),""),ROW(Create_TC_Web!C472))),"")," ",""),"-",""),"_","")</f>
        <v/>
      </c>
      <c r="C472" t="str" cm="1">
        <f t="array" ref="C472">IFERROR(INDEX(Create_TC_Web!F$1:F$500,SMALL(IF(Create_TC_Web!$C$1:$C$500&lt;&gt;"",MATCH(ROW(Create_TC_Web!$C$1:$C$500),ROW(Create_TC_Web!$C$1:$C$500)),""),ROW(Create_TC_Web!D472))),"")</f>
        <v/>
      </c>
      <c r="D472" t="str" cm="1">
        <f t="array" ref="D472">IFERROR(INDEX(Create_TC_Web!G$1:G$500,SMALL(IF(Create_TC_Web!$C$1:$C$500&lt;&gt;"",MATCH(ROW(Create_TC_Web!$C$1:$C$500),ROW(Create_TC_Web!$C$1:$C$500)),""),ROW(Create_TC_Web!E472))),"")</f>
        <v/>
      </c>
      <c r="E472" t="str" cm="1">
        <f t="array" ref="E472">IFERROR(INDEX(Create_TC_Web!H$1:H$500,SMALL(IF(Create_TC_Web!$C$1:$C$500&lt;&gt;"",MATCH(ROW(Create_TC_Web!$C$1:$C$500),ROW(Create_TC_Web!$C$1:$C$500)),""),ROW(Create_TC_Web!F472))),"")</f>
        <v/>
      </c>
      <c r="F472" t="str" cm="1">
        <f t="array" ref="F472">IFERROR(INDEX(Create_TC_Web!I$1:I$500,SMALL(IF(Create_TC_Web!$C$1:$C$500&lt;&gt;"",MATCH(ROW(Create_TC_Web!$C$1:$C$500),ROW(Create_TC_Web!$C$1:$C$500)),""),ROW(Create_TC_Web!G472))),"")</f>
        <v/>
      </c>
      <c r="G472" t="str" cm="1">
        <f t="array" ref="G472">IFERROR(INDEX(Create_TC_Web!J$1:J$500,SMALL(IF(Create_TC_Web!$C$1:$C$500&lt;&gt;"",MATCH(ROW(Create_TC_Web!$C$1:$C$500),ROW(Create_TC_Web!$C$1:$C$500)),""),ROW(Create_TC_Web!H472))),"")</f>
        <v/>
      </c>
      <c r="H472" t="str" cm="1">
        <f t="array" ref="H472">IFERROR(INDEX(Create_TC_Web!K$1:K$500,SMALL(IF(Create_TC_Web!$C$1:$C$500&lt;&gt;"",MATCH(ROW(Create_TC_Web!$C$1:$C$500),ROW(Create_TC_Web!$C$1:$C$500)),""),ROW(Create_TC_Web!I472))),"")</f>
        <v/>
      </c>
      <c r="I472" t="str" cm="1">
        <f t="array" ref="I472">IFERROR(INDEX(Create_TC_Web!L$1:L$500,SMALL(IF(Create_TC_Web!$C$1:$C$500&lt;&gt;"",MATCH(ROW(Create_TC_Web!$C$1:$C$500),ROW(Create_TC_Web!$C$1:$C$500)),""),ROW(Create_TC_Web!J472))),"")</f>
        <v/>
      </c>
      <c r="J472" t="str" cm="1">
        <f t="array" ref="J472">IFERROR(INDEX(Create_TC_Web!M$1:M$500,SMALL(IF(Create_TC_Web!$C$1:$C$500&lt;&gt;"",MATCH(ROW(Create_TC_Web!$C$1:$C$500),ROW(Create_TC_Web!$C$1:$C$500)),""),ROW(Create_TC_Web!K472))),"")</f>
        <v/>
      </c>
      <c r="K472" t="str" cm="1">
        <f t="array" ref="K472">IFERROR(INDEX(Create_TC_Web!N$1:N$500,SMALL(IF(Create_TC_Web!$C$1:$C$500&lt;&gt;"",MATCH(ROW(Create_TC_Web!$C$1:$C$500),ROW(Create_TC_Web!$C$1:$C$500)),""),ROW(Create_TC_Web!L472))),"")</f>
        <v/>
      </c>
      <c r="L472" t="str" cm="1">
        <f t="array" ref="L472">IFERROR(INDEX(Create_TC_Web!O$1:O$500,SMALL(IF(Create_TC_Web!$C$1:$C$500&lt;&gt;"",MATCH(ROW(Create_TC_Web!$C$1:$C$500),ROW(Create_TC_Web!$C$1:$C$500)),""),ROW(Create_TC_Web!M472))),"")</f>
        <v/>
      </c>
      <c r="M472" t="str" cm="1">
        <f t="array" ref="M472">IFERROR(INDEX(Create_TC_Web!P$1:P$500,SMALL(IF(Create_TC_Web!$C$1:$C$500&lt;&gt;"",MATCH(ROW(Create_TC_Web!$C$1:$C$500),ROW(Create_TC_Web!$C$1:$C$500)),""),ROW(Create_TC_Web!N472))),"")</f>
        <v/>
      </c>
      <c r="N472" t="str" cm="1">
        <f t="array" ref="N472">IFERROR(INDEX(Create_TC_Web!Q$1:Q$500,SMALL(IF(Create_TC_Web!$C$1:$C$500&lt;&gt;"",MATCH(ROW(Create_TC_Web!$C$1:$C$500),ROW(Create_TC_Web!$C$1:$C$500)),""),ROW(Create_TC_Web!O472))),"")</f>
        <v/>
      </c>
      <c r="O472" t="str">
        <f t="shared" si="23"/>
        <v/>
      </c>
      <c r="P472" s="17" t="str" cm="1">
        <f t="array" ref="P472">IFERROR(INDEX(Create_TC_Web!S$1:S$500,SMALL(IF(Create_TC_Web!$C$1:$C$500&lt;&gt;"",MATCH(ROW(Create_TC_Web!$C$1:$C$500),ROW(Create_TC_Web!$C$1:$C$500)),""),ROW(Create_TC_Web!Q450))),"")</f>
        <v/>
      </c>
      <c r="S472" t="str">
        <f t="shared" si="22"/>
        <v/>
      </c>
    </row>
    <row r="473" spans="1:19">
      <c r="A473" t="str" cm="1">
        <f t="array" ref="A473">IFERROR(INDEX(Create_TC_Web!D$1:D$500,SMALL(IF(Create_TC_Web!$C$1:$C$500&lt;&gt;"",MATCH(ROW(Create_TC_Web!$C$1:$C$500),ROW(Create_TC_Web!$C$1:$C$500)),""),ROW(Create_TC_Web!B473))),"")</f>
        <v/>
      </c>
      <c r="B473" t="str" cm="1">
        <f t="array" ref="B473">SUBSTITUTE(SUBSTITUTE(SUBSTITUTE(IFERROR(INDEX(Create_TC_Web!E$1:E$505,SMALL(IF(Create_TC_Web!$C$1:$C$505&lt;&gt;"",MATCH(ROW(Create_TC_Web!$C$1:$C$505),ROW(Create_TC_Web!$C$1:$C$505)),""),ROW(Create_TC_Web!C473))),"")," ",""),"-",""),"_","")</f>
        <v/>
      </c>
      <c r="C473" t="str" cm="1">
        <f t="array" ref="C473">IFERROR(INDEX(Create_TC_Web!F$1:F$500,SMALL(IF(Create_TC_Web!$C$1:$C$500&lt;&gt;"",MATCH(ROW(Create_TC_Web!$C$1:$C$500),ROW(Create_TC_Web!$C$1:$C$500)),""),ROW(Create_TC_Web!D473))),"")</f>
        <v/>
      </c>
      <c r="D473" t="str" cm="1">
        <f t="array" ref="D473">IFERROR(INDEX(Create_TC_Web!G$1:G$500,SMALL(IF(Create_TC_Web!$C$1:$C$500&lt;&gt;"",MATCH(ROW(Create_TC_Web!$C$1:$C$500),ROW(Create_TC_Web!$C$1:$C$500)),""),ROW(Create_TC_Web!E473))),"")</f>
        <v/>
      </c>
      <c r="E473" t="str" cm="1">
        <f t="array" ref="E473">IFERROR(INDEX(Create_TC_Web!H$1:H$500,SMALL(IF(Create_TC_Web!$C$1:$C$500&lt;&gt;"",MATCH(ROW(Create_TC_Web!$C$1:$C$500),ROW(Create_TC_Web!$C$1:$C$500)),""),ROW(Create_TC_Web!F473))),"")</f>
        <v/>
      </c>
      <c r="F473" t="str" cm="1">
        <f t="array" ref="F473">IFERROR(INDEX(Create_TC_Web!I$1:I$500,SMALL(IF(Create_TC_Web!$C$1:$C$500&lt;&gt;"",MATCH(ROW(Create_TC_Web!$C$1:$C$500),ROW(Create_TC_Web!$C$1:$C$500)),""),ROW(Create_TC_Web!G473))),"")</f>
        <v/>
      </c>
      <c r="G473" t="str" cm="1">
        <f t="array" ref="G473">IFERROR(INDEX(Create_TC_Web!J$1:J$500,SMALL(IF(Create_TC_Web!$C$1:$C$500&lt;&gt;"",MATCH(ROW(Create_TC_Web!$C$1:$C$500),ROW(Create_TC_Web!$C$1:$C$500)),""),ROW(Create_TC_Web!H473))),"")</f>
        <v/>
      </c>
      <c r="H473" t="str" cm="1">
        <f t="array" ref="H473">IFERROR(INDEX(Create_TC_Web!K$1:K$500,SMALL(IF(Create_TC_Web!$C$1:$C$500&lt;&gt;"",MATCH(ROW(Create_TC_Web!$C$1:$C$500),ROW(Create_TC_Web!$C$1:$C$500)),""),ROW(Create_TC_Web!I473))),"")</f>
        <v/>
      </c>
      <c r="I473" t="str" cm="1">
        <f t="array" ref="I473">IFERROR(INDEX(Create_TC_Web!L$1:L$500,SMALL(IF(Create_TC_Web!$C$1:$C$500&lt;&gt;"",MATCH(ROW(Create_TC_Web!$C$1:$C$500),ROW(Create_TC_Web!$C$1:$C$500)),""),ROW(Create_TC_Web!J473))),"")</f>
        <v/>
      </c>
      <c r="J473" t="str" cm="1">
        <f t="array" ref="J473">IFERROR(INDEX(Create_TC_Web!M$1:M$500,SMALL(IF(Create_TC_Web!$C$1:$C$500&lt;&gt;"",MATCH(ROW(Create_TC_Web!$C$1:$C$500),ROW(Create_TC_Web!$C$1:$C$500)),""),ROW(Create_TC_Web!K473))),"")</f>
        <v/>
      </c>
      <c r="K473" t="str" cm="1">
        <f t="array" ref="K473">IFERROR(INDEX(Create_TC_Web!N$1:N$500,SMALL(IF(Create_TC_Web!$C$1:$C$500&lt;&gt;"",MATCH(ROW(Create_TC_Web!$C$1:$C$500),ROW(Create_TC_Web!$C$1:$C$500)),""),ROW(Create_TC_Web!L473))),"")</f>
        <v/>
      </c>
      <c r="L473" t="str" cm="1">
        <f t="array" ref="L473">IFERROR(INDEX(Create_TC_Web!O$1:O$500,SMALL(IF(Create_TC_Web!$C$1:$C$500&lt;&gt;"",MATCH(ROW(Create_TC_Web!$C$1:$C$500),ROW(Create_TC_Web!$C$1:$C$500)),""),ROW(Create_TC_Web!M473))),"")</f>
        <v/>
      </c>
      <c r="M473" t="str" cm="1">
        <f t="array" ref="M473">IFERROR(INDEX(Create_TC_Web!P$1:P$500,SMALL(IF(Create_TC_Web!$C$1:$C$500&lt;&gt;"",MATCH(ROW(Create_TC_Web!$C$1:$C$500),ROW(Create_TC_Web!$C$1:$C$500)),""),ROW(Create_TC_Web!N473))),"")</f>
        <v/>
      </c>
      <c r="N473" t="str" cm="1">
        <f t="array" ref="N473">IFERROR(INDEX(Create_TC_Web!Q$1:Q$500,SMALL(IF(Create_TC_Web!$C$1:$C$500&lt;&gt;"",MATCH(ROW(Create_TC_Web!$C$1:$C$500),ROW(Create_TC_Web!$C$1:$C$500)),""),ROW(Create_TC_Web!O473))),"")</f>
        <v/>
      </c>
      <c r="O473" t="str">
        <f t="shared" si="23"/>
        <v/>
      </c>
      <c r="P473" s="17" t="str" cm="1">
        <f t="array" ref="P473">IFERROR(INDEX(Create_TC_Web!S$1:S$500,SMALL(IF(Create_TC_Web!$C$1:$C$500&lt;&gt;"",MATCH(ROW(Create_TC_Web!$C$1:$C$500),ROW(Create_TC_Web!$C$1:$C$500)),""),ROW(Create_TC_Web!Q451))),"")</f>
        <v/>
      </c>
      <c r="S473" t="str">
        <f t="shared" si="22"/>
        <v/>
      </c>
    </row>
    <row r="474" spans="1:19">
      <c r="A474" t="str" cm="1">
        <f t="array" ref="A474">IFERROR(INDEX(Create_TC_Web!D$1:D$500,SMALL(IF(Create_TC_Web!$C$1:$C$500&lt;&gt;"",MATCH(ROW(Create_TC_Web!$C$1:$C$500),ROW(Create_TC_Web!$C$1:$C$500)),""),ROW(Create_TC_Web!B474))),"")</f>
        <v/>
      </c>
      <c r="B474" t="str" cm="1">
        <f t="array" ref="B474">SUBSTITUTE(SUBSTITUTE(SUBSTITUTE(IFERROR(INDEX(Create_TC_Web!E$1:E$505,SMALL(IF(Create_TC_Web!$C$1:$C$505&lt;&gt;"",MATCH(ROW(Create_TC_Web!$C$1:$C$505),ROW(Create_TC_Web!$C$1:$C$505)),""),ROW(Create_TC_Web!C474))),"")," ",""),"-",""),"_","")</f>
        <v/>
      </c>
      <c r="C474" t="str" cm="1">
        <f t="array" ref="C474">IFERROR(INDEX(Create_TC_Web!F$1:F$500,SMALL(IF(Create_TC_Web!$C$1:$C$500&lt;&gt;"",MATCH(ROW(Create_TC_Web!$C$1:$C$500),ROW(Create_TC_Web!$C$1:$C$500)),""),ROW(Create_TC_Web!D474))),"")</f>
        <v/>
      </c>
      <c r="D474" t="str" cm="1">
        <f t="array" ref="D474">IFERROR(INDEX(Create_TC_Web!G$1:G$500,SMALL(IF(Create_TC_Web!$C$1:$C$500&lt;&gt;"",MATCH(ROW(Create_TC_Web!$C$1:$C$500),ROW(Create_TC_Web!$C$1:$C$500)),""),ROW(Create_TC_Web!E474))),"")</f>
        <v/>
      </c>
      <c r="E474" t="str" cm="1">
        <f t="array" ref="E474">IFERROR(INDEX(Create_TC_Web!H$1:H$500,SMALL(IF(Create_TC_Web!$C$1:$C$500&lt;&gt;"",MATCH(ROW(Create_TC_Web!$C$1:$C$500),ROW(Create_TC_Web!$C$1:$C$500)),""),ROW(Create_TC_Web!F474))),"")</f>
        <v/>
      </c>
      <c r="F474" t="str" cm="1">
        <f t="array" ref="F474">IFERROR(INDEX(Create_TC_Web!I$1:I$500,SMALL(IF(Create_TC_Web!$C$1:$C$500&lt;&gt;"",MATCH(ROW(Create_TC_Web!$C$1:$C$500),ROW(Create_TC_Web!$C$1:$C$500)),""),ROW(Create_TC_Web!G474))),"")</f>
        <v/>
      </c>
      <c r="G474" t="str" cm="1">
        <f t="array" ref="G474">IFERROR(INDEX(Create_TC_Web!J$1:J$500,SMALL(IF(Create_TC_Web!$C$1:$C$500&lt;&gt;"",MATCH(ROW(Create_TC_Web!$C$1:$C$500),ROW(Create_TC_Web!$C$1:$C$500)),""),ROW(Create_TC_Web!H474))),"")</f>
        <v/>
      </c>
      <c r="H474" t="str" cm="1">
        <f t="array" ref="H474">IFERROR(INDEX(Create_TC_Web!K$1:K$500,SMALL(IF(Create_TC_Web!$C$1:$C$500&lt;&gt;"",MATCH(ROW(Create_TC_Web!$C$1:$C$500),ROW(Create_TC_Web!$C$1:$C$500)),""),ROW(Create_TC_Web!I474))),"")</f>
        <v/>
      </c>
      <c r="I474" t="str" cm="1">
        <f t="array" ref="I474">IFERROR(INDEX(Create_TC_Web!L$1:L$500,SMALL(IF(Create_TC_Web!$C$1:$C$500&lt;&gt;"",MATCH(ROW(Create_TC_Web!$C$1:$C$500),ROW(Create_TC_Web!$C$1:$C$500)),""),ROW(Create_TC_Web!J474))),"")</f>
        <v/>
      </c>
      <c r="J474" t="str" cm="1">
        <f t="array" ref="J474">IFERROR(INDEX(Create_TC_Web!M$1:M$500,SMALL(IF(Create_TC_Web!$C$1:$C$500&lt;&gt;"",MATCH(ROW(Create_TC_Web!$C$1:$C$500),ROW(Create_TC_Web!$C$1:$C$500)),""),ROW(Create_TC_Web!K474))),"")</f>
        <v/>
      </c>
      <c r="K474" t="str" cm="1">
        <f t="array" ref="K474">IFERROR(INDEX(Create_TC_Web!N$1:N$500,SMALL(IF(Create_TC_Web!$C$1:$C$500&lt;&gt;"",MATCH(ROW(Create_TC_Web!$C$1:$C$500),ROW(Create_TC_Web!$C$1:$C$500)),""),ROW(Create_TC_Web!L474))),"")</f>
        <v/>
      </c>
      <c r="L474" t="str" cm="1">
        <f t="array" ref="L474">IFERROR(INDEX(Create_TC_Web!O$1:O$500,SMALL(IF(Create_TC_Web!$C$1:$C$500&lt;&gt;"",MATCH(ROW(Create_TC_Web!$C$1:$C$500),ROW(Create_TC_Web!$C$1:$C$500)),""),ROW(Create_TC_Web!M474))),"")</f>
        <v/>
      </c>
      <c r="M474" t="str" cm="1">
        <f t="array" ref="M474">IFERROR(INDEX(Create_TC_Web!P$1:P$500,SMALL(IF(Create_TC_Web!$C$1:$C$500&lt;&gt;"",MATCH(ROW(Create_TC_Web!$C$1:$C$500),ROW(Create_TC_Web!$C$1:$C$500)),""),ROW(Create_TC_Web!N474))),"")</f>
        <v/>
      </c>
      <c r="N474" t="str" cm="1">
        <f t="array" ref="N474">IFERROR(INDEX(Create_TC_Web!Q$1:Q$500,SMALL(IF(Create_TC_Web!$C$1:$C$500&lt;&gt;"",MATCH(ROW(Create_TC_Web!$C$1:$C$500),ROW(Create_TC_Web!$C$1:$C$500)),""),ROW(Create_TC_Web!O474))),"")</f>
        <v/>
      </c>
      <c r="O474" t="str">
        <f t="shared" si="23"/>
        <v/>
      </c>
      <c r="P474" s="17" t="str" cm="1">
        <f t="array" ref="P474">IFERROR(INDEX(Create_TC_Web!S$1:S$500,SMALL(IF(Create_TC_Web!$C$1:$C$500&lt;&gt;"",MATCH(ROW(Create_TC_Web!$C$1:$C$500),ROW(Create_TC_Web!$C$1:$C$500)),""),ROW(Create_TC_Web!Q452))),"")</f>
        <v/>
      </c>
      <c r="S474" t="str">
        <f t="shared" si="22"/>
        <v/>
      </c>
    </row>
    <row r="475" spans="1:19">
      <c r="A475" t="str" cm="1">
        <f t="array" ref="A475">IFERROR(INDEX(Create_TC_Web!D$1:D$500,SMALL(IF(Create_TC_Web!$C$1:$C$500&lt;&gt;"",MATCH(ROW(Create_TC_Web!$C$1:$C$500),ROW(Create_TC_Web!$C$1:$C$500)),""),ROW(Create_TC_Web!B475))),"")</f>
        <v/>
      </c>
      <c r="B475" t="str" cm="1">
        <f t="array" ref="B475">SUBSTITUTE(SUBSTITUTE(SUBSTITUTE(IFERROR(INDEX(Create_TC_Web!E$1:E$505,SMALL(IF(Create_TC_Web!$C$1:$C$505&lt;&gt;"",MATCH(ROW(Create_TC_Web!$C$1:$C$505),ROW(Create_TC_Web!$C$1:$C$505)),""),ROW(Create_TC_Web!C475))),"")," ",""),"-",""),"_","")</f>
        <v/>
      </c>
      <c r="C475" t="str" cm="1">
        <f t="array" ref="C475">IFERROR(INDEX(Create_TC_Web!F$1:F$500,SMALL(IF(Create_TC_Web!$C$1:$C$500&lt;&gt;"",MATCH(ROW(Create_TC_Web!$C$1:$C$500),ROW(Create_TC_Web!$C$1:$C$500)),""),ROW(Create_TC_Web!D475))),"")</f>
        <v/>
      </c>
      <c r="D475" t="str" cm="1">
        <f t="array" ref="D475">IFERROR(INDEX(Create_TC_Web!G$1:G$500,SMALL(IF(Create_TC_Web!$C$1:$C$500&lt;&gt;"",MATCH(ROW(Create_TC_Web!$C$1:$C$500),ROW(Create_TC_Web!$C$1:$C$500)),""),ROW(Create_TC_Web!E475))),"")</f>
        <v/>
      </c>
      <c r="E475" t="str" cm="1">
        <f t="array" ref="E475">IFERROR(INDEX(Create_TC_Web!H$1:H$500,SMALL(IF(Create_TC_Web!$C$1:$C$500&lt;&gt;"",MATCH(ROW(Create_TC_Web!$C$1:$C$500),ROW(Create_TC_Web!$C$1:$C$500)),""),ROW(Create_TC_Web!F475))),"")</f>
        <v/>
      </c>
      <c r="F475" t="str" cm="1">
        <f t="array" ref="F475">IFERROR(INDEX(Create_TC_Web!I$1:I$500,SMALL(IF(Create_TC_Web!$C$1:$C$500&lt;&gt;"",MATCH(ROW(Create_TC_Web!$C$1:$C$500),ROW(Create_TC_Web!$C$1:$C$500)),""),ROW(Create_TC_Web!G475))),"")</f>
        <v/>
      </c>
      <c r="G475" t="str" cm="1">
        <f t="array" ref="G475">IFERROR(INDEX(Create_TC_Web!J$1:J$500,SMALL(IF(Create_TC_Web!$C$1:$C$500&lt;&gt;"",MATCH(ROW(Create_TC_Web!$C$1:$C$500),ROW(Create_TC_Web!$C$1:$C$500)),""),ROW(Create_TC_Web!H475))),"")</f>
        <v/>
      </c>
      <c r="H475" t="str" cm="1">
        <f t="array" ref="H475">IFERROR(INDEX(Create_TC_Web!K$1:K$500,SMALL(IF(Create_TC_Web!$C$1:$C$500&lt;&gt;"",MATCH(ROW(Create_TC_Web!$C$1:$C$500),ROW(Create_TC_Web!$C$1:$C$500)),""),ROW(Create_TC_Web!I475))),"")</f>
        <v/>
      </c>
      <c r="I475" t="str" cm="1">
        <f t="array" ref="I475">IFERROR(INDEX(Create_TC_Web!L$1:L$500,SMALL(IF(Create_TC_Web!$C$1:$C$500&lt;&gt;"",MATCH(ROW(Create_TC_Web!$C$1:$C$500),ROW(Create_TC_Web!$C$1:$C$500)),""),ROW(Create_TC_Web!J475))),"")</f>
        <v/>
      </c>
      <c r="J475" t="str" cm="1">
        <f t="array" ref="J475">IFERROR(INDEX(Create_TC_Web!M$1:M$500,SMALL(IF(Create_TC_Web!$C$1:$C$500&lt;&gt;"",MATCH(ROW(Create_TC_Web!$C$1:$C$500),ROW(Create_TC_Web!$C$1:$C$500)),""),ROW(Create_TC_Web!K475))),"")</f>
        <v/>
      </c>
      <c r="K475" t="str" cm="1">
        <f t="array" ref="K475">IFERROR(INDEX(Create_TC_Web!N$1:N$500,SMALL(IF(Create_TC_Web!$C$1:$C$500&lt;&gt;"",MATCH(ROW(Create_TC_Web!$C$1:$C$500),ROW(Create_TC_Web!$C$1:$C$500)),""),ROW(Create_TC_Web!L475))),"")</f>
        <v/>
      </c>
      <c r="L475" t="str" cm="1">
        <f t="array" ref="L475">IFERROR(INDEX(Create_TC_Web!O$1:O$500,SMALL(IF(Create_TC_Web!$C$1:$C$500&lt;&gt;"",MATCH(ROW(Create_TC_Web!$C$1:$C$500),ROW(Create_TC_Web!$C$1:$C$500)),""),ROW(Create_TC_Web!M475))),"")</f>
        <v/>
      </c>
      <c r="M475" t="str" cm="1">
        <f t="array" ref="M475">IFERROR(INDEX(Create_TC_Web!P$1:P$500,SMALL(IF(Create_TC_Web!$C$1:$C$500&lt;&gt;"",MATCH(ROW(Create_TC_Web!$C$1:$C$500),ROW(Create_TC_Web!$C$1:$C$500)),""),ROW(Create_TC_Web!N475))),"")</f>
        <v/>
      </c>
      <c r="N475" t="str" cm="1">
        <f t="array" ref="N475">IFERROR(INDEX(Create_TC_Web!Q$1:Q$500,SMALL(IF(Create_TC_Web!$C$1:$C$500&lt;&gt;"",MATCH(ROW(Create_TC_Web!$C$1:$C$500),ROW(Create_TC_Web!$C$1:$C$500)),""),ROW(Create_TC_Web!O475))),"")</f>
        <v/>
      </c>
      <c r="O475" t="str">
        <f t="shared" si="23"/>
        <v/>
      </c>
      <c r="P475" s="17" t="str" cm="1">
        <f t="array" ref="P475">IFERROR(INDEX(Create_TC_Web!S$1:S$500,SMALL(IF(Create_TC_Web!$C$1:$C$500&lt;&gt;"",MATCH(ROW(Create_TC_Web!$C$1:$C$500),ROW(Create_TC_Web!$C$1:$C$500)),""),ROW(Create_TC_Web!Q453))),"")</f>
        <v/>
      </c>
      <c r="S475" t="str">
        <f t="shared" si="22"/>
        <v/>
      </c>
    </row>
    <row r="476" spans="1:19">
      <c r="A476" t="str" cm="1">
        <f t="array" ref="A476">IFERROR(INDEX(Create_TC_Web!D$1:D$500,SMALL(IF(Create_TC_Web!$C$1:$C$500&lt;&gt;"",MATCH(ROW(Create_TC_Web!$C$1:$C$500),ROW(Create_TC_Web!$C$1:$C$500)),""),ROW(Create_TC_Web!B476))),"")</f>
        <v/>
      </c>
      <c r="B476" t="str" cm="1">
        <f t="array" ref="B476">SUBSTITUTE(SUBSTITUTE(SUBSTITUTE(IFERROR(INDEX(Create_TC_Web!E$1:E$505,SMALL(IF(Create_TC_Web!$C$1:$C$505&lt;&gt;"",MATCH(ROW(Create_TC_Web!$C$1:$C$505),ROW(Create_TC_Web!$C$1:$C$505)),""),ROW(Create_TC_Web!C476))),"")," ",""),"-",""),"_","")</f>
        <v/>
      </c>
      <c r="C476" t="str" cm="1">
        <f t="array" ref="C476">IFERROR(INDEX(Create_TC_Web!F$1:F$500,SMALL(IF(Create_TC_Web!$C$1:$C$500&lt;&gt;"",MATCH(ROW(Create_TC_Web!$C$1:$C$500),ROW(Create_TC_Web!$C$1:$C$500)),""),ROW(Create_TC_Web!D476))),"")</f>
        <v/>
      </c>
      <c r="D476" t="str" cm="1">
        <f t="array" ref="D476">IFERROR(INDEX(Create_TC_Web!G$1:G$500,SMALL(IF(Create_TC_Web!$C$1:$C$500&lt;&gt;"",MATCH(ROW(Create_TC_Web!$C$1:$C$500),ROW(Create_TC_Web!$C$1:$C$500)),""),ROW(Create_TC_Web!E476))),"")</f>
        <v/>
      </c>
      <c r="E476" t="str" cm="1">
        <f t="array" ref="E476">IFERROR(INDEX(Create_TC_Web!H$1:H$500,SMALL(IF(Create_TC_Web!$C$1:$C$500&lt;&gt;"",MATCH(ROW(Create_TC_Web!$C$1:$C$500),ROW(Create_TC_Web!$C$1:$C$500)),""),ROW(Create_TC_Web!F476))),"")</f>
        <v/>
      </c>
      <c r="F476" t="str" cm="1">
        <f t="array" ref="F476">IFERROR(INDEX(Create_TC_Web!I$1:I$500,SMALL(IF(Create_TC_Web!$C$1:$C$500&lt;&gt;"",MATCH(ROW(Create_TC_Web!$C$1:$C$500),ROW(Create_TC_Web!$C$1:$C$500)),""),ROW(Create_TC_Web!G476))),"")</f>
        <v/>
      </c>
      <c r="G476" t="str" cm="1">
        <f t="array" ref="G476">IFERROR(INDEX(Create_TC_Web!J$1:J$500,SMALL(IF(Create_TC_Web!$C$1:$C$500&lt;&gt;"",MATCH(ROW(Create_TC_Web!$C$1:$C$500),ROW(Create_TC_Web!$C$1:$C$500)),""),ROW(Create_TC_Web!H476))),"")</f>
        <v/>
      </c>
      <c r="H476" t="str" cm="1">
        <f t="array" ref="H476">IFERROR(INDEX(Create_TC_Web!K$1:K$500,SMALL(IF(Create_TC_Web!$C$1:$C$500&lt;&gt;"",MATCH(ROW(Create_TC_Web!$C$1:$C$500),ROW(Create_TC_Web!$C$1:$C$500)),""),ROW(Create_TC_Web!I476))),"")</f>
        <v/>
      </c>
      <c r="I476" t="str" cm="1">
        <f t="array" ref="I476">IFERROR(INDEX(Create_TC_Web!L$1:L$500,SMALL(IF(Create_TC_Web!$C$1:$C$500&lt;&gt;"",MATCH(ROW(Create_TC_Web!$C$1:$C$500),ROW(Create_TC_Web!$C$1:$C$500)),""),ROW(Create_TC_Web!J476))),"")</f>
        <v/>
      </c>
      <c r="J476" t="str" cm="1">
        <f t="array" ref="J476">IFERROR(INDEX(Create_TC_Web!M$1:M$500,SMALL(IF(Create_TC_Web!$C$1:$C$500&lt;&gt;"",MATCH(ROW(Create_TC_Web!$C$1:$C$500),ROW(Create_TC_Web!$C$1:$C$500)),""),ROW(Create_TC_Web!K476))),"")</f>
        <v/>
      </c>
      <c r="K476" t="str" cm="1">
        <f t="array" ref="K476">IFERROR(INDEX(Create_TC_Web!N$1:N$500,SMALL(IF(Create_TC_Web!$C$1:$C$500&lt;&gt;"",MATCH(ROW(Create_TC_Web!$C$1:$C$500),ROW(Create_TC_Web!$C$1:$C$500)),""),ROW(Create_TC_Web!L476))),"")</f>
        <v/>
      </c>
      <c r="L476" t="str" cm="1">
        <f t="array" ref="L476">IFERROR(INDEX(Create_TC_Web!O$1:O$500,SMALL(IF(Create_TC_Web!$C$1:$C$500&lt;&gt;"",MATCH(ROW(Create_TC_Web!$C$1:$C$500),ROW(Create_TC_Web!$C$1:$C$500)),""),ROW(Create_TC_Web!M476))),"")</f>
        <v/>
      </c>
      <c r="M476" t="str" cm="1">
        <f t="array" ref="M476">IFERROR(INDEX(Create_TC_Web!P$1:P$500,SMALL(IF(Create_TC_Web!$C$1:$C$500&lt;&gt;"",MATCH(ROW(Create_TC_Web!$C$1:$C$500),ROW(Create_TC_Web!$C$1:$C$500)),""),ROW(Create_TC_Web!N476))),"")</f>
        <v/>
      </c>
      <c r="N476" t="str" cm="1">
        <f t="array" ref="N476">IFERROR(INDEX(Create_TC_Web!Q$1:Q$500,SMALL(IF(Create_TC_Web!$C$1:$C$500&lt;&gt;"",MATCH(ROW(Create_TC_Web!$C$1:$C$500),ROW(Create_TC_Web!$C$1:$C$500)),""),ROW(Create_TC_Web!O476))),"")</f>
        <v/>
      </c>
      <c r="O476" t="str">
        <f t="shared" si="23"/>
        <v/>
      </c>
      <c r="P476" s="17" t="str" cm="1">
        <f t="array" ref="P476">IFERROR(INDEX(Create_TC_Web!S$1:S$500,SMALL(IF(Create_TC_Web!$C$1:$C$500&lt;&gt;"",MATCH(ROW(Create_TC_Web!$C$1:$C$500),ROW(Create_TC_Web!$C$1:$C$500)),""),ROW(Create_TC_Web!Q454))),"")</f>
        <v/>
      </c>
      <c r="S476" t="str">
        <f t="shared" si="22"/>
        <v/>
      </c>
    </row>
    <row r="477" spans="1:19">
      <c r="A477" t="str" cm="1">
        <f t="array" ref="A477">IFERROR(INDEX(Create_TC_Web!D$1:D$500,SMALL(IF(Create_TC_Web!$C$1:$C$500&lt;&gt;"",MATCH(ROW(Create_TC_Web!$C$1:$C$500),ROW(Create_TC_Web!$C$1:$C$500)),""),ROW(Create_TC_Web!B477))),"")</f>
        <v/>
      </c>
      <c r="B477" t="str" cm="1">
        <f t="array" ref="B477">SUBSTITUTE(SUBSTITUTE(SUBSTITUTE(IFERROR(INDEX(Create_TC_Web!E$1:E$505,SMALL(IF(Create_TC_Web!$C$1:$C$505&lt;&gt;"",MATCH(ROW(Create_TC_Web!$C$1:$C$505),ROW(Create_TC_Web!$C$1:$C$505)),""),ROW(Create_TC_Web!C477))),"")," ",""),"-",""),"_","")</f>
        <v/>
      </c>
      <c r="C477" t="str" cm="1">
        <f t="array" ref="C477">IFERROR(INDEX(Create_TC_Web!F$1:F$500,SMALL(IF(Create_TC_Web!$C$1:$C$500&lt;&gt;"",MATCH(ROW(Create_TC_Web!$C$1:$C$500),ROW(Create_TC_Web!$C$1:$C$500)),""),ROW(Create_TC_Web!D477))),"")</f>
        <v/>
      </c>
      <c r="D477" t="str" cm="1">
        <f t="array" ref="D477">IFERROR(INDEX(Create_TC_Web!G$1:G$500,SMALL(IF(Create_TC_Web!$C$1:$C$500&lt;&gt;"",MATCH(ROW(Create_TC_Web!$C$1:$C$500),ROW(Create_TC_Web!$C$1:$C$500)),""),ROW(Create_TC_Web!E477))),"")</f>
        <v/>
      </c>
      <c r="E477" t="str" cm="1">
        <f t="array" ref="E477">IFERROR(INDEX(Create_TC_Web!H$1:H$500,SMALL(IF(Create_TC_Web!$C$1:$C$500&lt;&gt;"",MATCH(ROW(Create_TC_Web!$C$1:$C$500),ROW(Create_TC_Web!$C$1:$C$500)),""),ROW(Create_TC_Web!F477))),"")</f>
        <v/>
      </c>
      <c r="F477" t="str" cm="1">
        <f t="array" ref="F477">IFERROR(INDEX(Create_TC_Web!I$1:I$500,SMALL(IF(Create_TC_Web!$C$1:$C$500&lt;&gt;"",MATCH(ROW(Create_TC_Web!$C$1:$C$500),ROW(Create_TC_Web!$C$1:$C$500)),""),ROW(Create_TC_Web!G477))),"")</f>
        <v/>
      </c>
      <c r="G477" t="str" cm="1">
        <f t="array" ref="G477">IFERROR(INDEX(Create_TC_Web!J$1:J$500,SMALL(IF(Create_TC_Web!$C$1:$C$500&lt;&gt;"",MATCH(ROW(Create_TC_Web!$C$1:$C$500),ROW(Create_TC_Web!$C$1:$C$500)),""),ROW(Create_TC_Web!H477))),"")</f>
        <v/>
      </c>
      <c r="H477" t="str" cm="1">
        <f t="array" ref="H477">IFERROR(INDEX(Create_TC_Web!K$1:K$500,SMALL(IF(Create_TC_Web!$C$1:$C$500&lt;&gt;"",MATCH(ROW(Create_TC_Web!$C$1:$C$500),ROW(Create_TC_Web!$C$1:$C$500)),""),ROW(Create_TC_Web!I477))),"")</f>
        <v/>
      </c>
      <c r="I477" t="str" cm="1">
        <f t="array" ref="I477">IFERROR(INDEX(Create_TC_Web!L$1:L$500,SMALL(IF(Create_TC_Web!$C$1:$C$500&lt;&gt;"",MATCH(ROW(Create_TC_Web!$C$1:$C$500),ROW(Create_TC_Web!$C$1:$C$500)),""),ROW(Create_TC_Web!J477))),"")</f>
        <v/>
      </c>
      <c r="J477" t="str" cm="1">
        <f t="array" ref="J477">IFERROR(INDEX(Create_TC_Web!M$1:M$500,SMALL(IF(Create_TC_Web!$C$1:$C$500&lt;&gt;"",MATCH(ROW(Create_TC_Web!$C$1:$C$500),ROW(Create_TC_Web!$C$1:$C$500)),""),ROW(Create_TC_Web!K477))),"")</f>
        <v/>
      </c>
      <c r="K477" t="str" cm="1">
        <f t="array" ref="K477">IFERROR(INDEX(Create_TC_Web!N$1:N$500,SMALL(IF(Create_TC_Web!$C$1:$C$500&lt;&gt;"",MATCH(ROW(Create_TC_Web!$C$1:$C$500),ROW(Create_TC_Web!$C$1:$C$500)),""),ROW(Create_TC_Web!L477))),"")</f>
        <v/>
      </c>
      <c r="L477" t="str" cm="1">
        <f t="array" ref="L477">IFERROR(INDEX(Create_TC_Web!O$1:O$500,SMALL(IF(Create_TC_Web!$C$1:$C$500&lt;&gt;"",MATCH(ROW(Create_TC_Web!$C$1:$C$500),ROW(Create_TC_Web!$C$1:$C$500)),""),ROW(Create_TC_Web!M477))),"")</f>
        <v/>
      </c>
      <c r="M477" t="str" cm="1">
        <f t="array" ref="M477">IFERROR(INDEX(Create_TC_Web!P$1:P$500,SMALL(IF(Create_TC_Web!$C$1:$C$500&lt;&gt;"",MATCH(ROW(Create_TC_Web!$C$1:$C$500),ROW(Create_TC_Web!$C$1:$C$500)),""),ROW(Create_TC_Web!N477))),"")</f>
        <v/>
      </c>
      <c r="N477" t="str" cm="1">
        <f t="array" ref="N477">IFERROR(INDEX(Create_TC_Web!Q$1:Q$500,SMALL(IF(Create_TC_Web!$C$1:$C$500&lt;&gt;"",MATCH(ROW(Create_TC_Web!$C$1:$C$500),ROW(Create_TC_Web!$C$1:$C$500)),""),ROW(Create_TC_Web!O477))),"")</f>
        <v/>
      </c>
      <c r="O477" t="str">
        <f t="shared" si="23"/>
        <v/>
      </c>
      <c r="P477" s="17" t="str" cm="1">
        <f t="array" ref="P477">IFERROR(INDEX(Create_TC_Web!S$1:S$500,SMALL(IF(Create_TC_Web!$C$1:$C$500&lt;&gt;"",MATCH(ROW(Create_TC_Web!$C$1:$C$500),ROW(Create_TC_Web!$C$1:$C$500)),""),ROW(Create_TC_Web!Q455))),"")</f>
        <v/>
      </c>
      <c r="S477" t="str">
        <f t="shared" si="22"/>
        <v/>
      </c>
    </row>
    <row r="478" spans="1:19">
      <c r="A478" t="str" cm="1">
        <f t="array" ref="A478">IFERROR(INDEX(Create_TC_Web!D$1:D$500,SMALL(IF(Create_TC_Web!$C$1:$C$500&lt;&gt;"",MATCH(ROW(Create_TC_Web!$C$1:$C$500),ROW(Create_TC_Web!$C$1:$C$500)),""),ROW(Create_TC_Web!B478))),"")</f>
        <v/>
      </c>
      <c r="B478" t="str" cm="1">
        <f t="array" ref="B478">SUBSTITUTE(SUBSTITUTE(SUBSTITUTE(IFERROR(INDEX(Create_TC_Web!E$1:E$505,SMALL(IF(Create_TC_Web!$C$1:$C$505&lt;&gt;"",MATCH(ROW(Create_TC_Web!$C$1:$C$505),ROW(Create_TC_Web!$C$1:$C$505)),""),ROW(Create_TC_Web!C478))),"")," ",""),"-",""),"_","")</f>
        <v/>
      </c>
      <c r="C478" t="str" cm="1">
        <f t="array" ref="C478">IFERROR(INDEX(Create_TC_Web!F$1:F$500,SMALL(IF(Create_TC_Web!$C$1:$C$500&lt;&gt;"",MATCH(ROW(Create_TC_Web!$C$1:$C$500),ROW(Create_TC_Web!$C$1:$C$500)),""),ROW(Create_TC_Web!D478))),"")</f>
        <v/>
      </c>
      <c r="D478" t="str" cm="1">
        <f t="array" ref="D478">IFERROR(INDEX(Create_TC_Web!G$1:G$500,SMALL(IF(Create_TC_Web!$C$1:$C$500&lt;&gt;"",MATCH(ROW(Create_TC_Web!$C$1:$C$500),ROW(Create_TC_Web!$C$1:$C$500)),""),ROW(Create_TC_Web!E478))),"")</f>
        <v/>
      </c>
      <c r="E478" t="str" cm="1">
        <f t="array" ref="E478">IFERROR(INDEX(Create_TC_Web!H$1:H$500,SMALL(IF(Create_TC_Web!$C$1:$C$500&lt;&gt;"",MATCH(ROW(Create_TC_Web!$C$1:$C$500),ROW(Create_TC_Web!$C$1:$C$500)),""),ROW(Create_TC_Web!F478))),"")</f>
        <v/>
      </c>
      <c r="F478" t="str" cm="1">
        <f t="array" ref="F478">IFERROR(INDEX(Create_TC_Web!I$1:I$500,SMALL(IF(Create_TC_Web!$C$1:$C$500&lt;&gt;"",MATCH(ROW(Create_TC_Web!$C$1:$C$500),ROW(Create_TC_Web!$C$1:$C$500)),""),ROW(Create_TC_Web!G478))),"")</f>
        <v/>
      </c>
      <c r="G478" t="str" cm="1">
        <f t="array" ref="G478">IFERROR(INDEX(Create_TC_Web!J$1:J$500,SMALL(IF(Create_TC_Web!$C$1:$C$500&lt;&gt;"",MATCH(ROW(Create_TC_Web!$C$1:$C$500),ROW(Create_TC_Web!$C$1:$C$500)),""),ROW(Create_TC_Web!H478))),"")</f>
        <v/>
      </c>
      <c r="H478" t="str" cm="1">
        <f t="array" ref="H478">IFERROR(INDEX(Create_TC_Web!K$1:K$500,SMALL(IF(Create_TC_Web!$C$1:$C$500&lt;&gt;"",MATCH(ROW(Create_TC_Web!$C$1:$C$500),ROW(Create_TC_Web!$C$1:$C$500)),""),ROW(Create_TC_Web!I478))),"")</f>
        <v/>
      </c>
      <c r="I478" t="str" cm="1">
        <f t="array" ref="I478">IFERROR(INDEX(Create_TC_Web!L$1:L$500,SMALL(IF(Create_TC_Web!$C$1:$C$500&lt;&gt;"",MATCH(ROW(Create_TC_Web!$C$1:$C$500),ROW(Create_TC_Web!$C$1:$C$500)),""),ROW(Create_TC_Web!J478))),"")</f>
        <v/>
      </c>
      <c r="J478" t="str" cm="1">
        <f t="array" ref="J478">IFERROR(INDEX(Create_TC_Web!M$1:M$500,SMALL(IF(Create_TC_Web!$C$1:$C$500&lt;&gt;"",MATCH(ROW(Create_TC_Web!$C$1:$C$500),ROW(Create_TC_Web!$C$1:$C$500)),""),ROW(Create_TC_Web!K478))),"")</f>
        <v/>
      </c>
      <c r="K478" t="str" cm="1">
        <f t="array" ref="K478">IFERROR(INDEX(Create_TC_Web!N$1:N$500,SMALL(IF(Create_TC_Web!$C$1:$C$500&lt;&gt;"",MATCH(ROW(Create_TC_Web!$C$1:$C$500),ROW(Create_TC_Web!$C$1:$C$500)),""),ROW(Create_TC_Web!L478))),"")</f>
        <v/>
      </c>
      <c r="L478" t="str" cm="1">
        <f t="array" ref="L478">IFERROR(INDEX(Create_TC_Web!O$1:O$500,SMALL(IF(Create_TC_Web!$C$1:$C$500&lt;&gt;"",MATCH(ROW(Create_TC_Web!$C$1:$C$500),ROW(Create_TC_Web!$C$1:$C$500)),""),ROW(Create_TC_Web!M478))),"")</f>
        <v/>
      </c>
      <c r="M478" t="str" cm="1">
        <f t="array" ref="M478">IFERROR(INDEX(Create_TC_Web!P$1:P$500,SMALL(IF(Create_TC_Web!$C$1:$C$500&lt;&gt;"",MATCH(ROW(Create_TC_Web!$C$1:$C$500),ROW(Create_TC_Web!$C$1:$C$500)),""),ROW(Create_TC_Web!N478))),"")</f>
        <v/>
      </c>
      <c r="N478" t="str" cm="1">
        <f t="array" ref="N478">IFERROR(INDEX(Create_TC_Web!Q$1:Q$500,SMALL(IF(Create_TC_Web!$C$1:$C$500&lt;&gt;"",MATCH(ROW(Create_TC_Web!$C$1:$C$500),ROW(Create_TC_Web!$C$1:$C$500)),""),ROW(Create_TC_Web!O478))),"")</f>
        <v/>
      </c>
      <c r="O478" t="str">
        <f t="shared" si="23"/>
        <v/>
      </c>
      <c r="P478" s="17" t="str" cm="1">
        <f t="array" ref="P478">IFERROR(INDEX(Create_TC_Web!S$1:S$500,SMALL(IF(Create_TC_Web!$C$1:$C$500&lt;&gt;"",MATCH(ROW(Create_TC_Web!$C$1:$C$500),ROW(Create_TC_Web!$C$1:$C$500)),""),ROW(Create_TC_Web!Q456))),"")</f>
        <v/>
      </c>
      <c r="S478" t="str">
        <f t="shared" si="22"/>
        <v/>
      </c>
    </row>
    <row r="479" spans="1:19">
      <c r="A479" t="str" cm="1">
        <f t="array" ref="A479">IFERROR(INDEX(Create_TC_Web!D$1:D$500,SMALL(IF(Create_TC_Web!$C$1:$C$500&lt;&gt;"",MATCH(ROW(Create_TC_Web!$C$1:$C$500),ROW(Create_TC_Web!$C$1:$C$500)),""),ROW(Create_TC_Web!B479))),"")</f>
        <v/>
      </c>
      <c r="B479" t="str" cm="1">
        <f t="array" ref="B479">SUBSTITUTE(SUBSTITUTE(SUBSTITUTE(IFERROR(INDEX(Create_TC_Web!E$1:E$505,SMALL(IF(Create_TC_Web!$C$1:$C$505&lt;&gt;"",MATCH(ROW(Create_TC_Web!$C$1:$C$505),ROW(Create_TC_Web!$C$1:$C$505)),""),ROW(Create_TC_Web!C479))),"")," ",""),"-",""),"_","")</f>
        <v/>
      </c>
      <c r="C479" t="str" cm="1">
        <f t="array" ref="C479">IFERROR(INDEX(Create_TC_Web!F$1:F$500,SMALL(IF(Create_TC_Web!$C$1:$C$500&lt;&gt;"",MATCH(ROW(Create_TC_Web!$C$1:$C$500),ROW(Create_TC_Web!$C$1:$C$500)),""),ROW(Create_TC_Web!D479))),"")</f>
        <v/>
      </c>
      <c r="D479" t="str" cm="1">
        <f t="array" ref="D479">IFERROR(INDEX(Create_TC_Web!G$1:G$500,SMALL(IF(Create_TC_Web!$C$1:$C$500&lt;&gt;"",MATCH(ROW(Create_TC_Web!$C$1:$C$500),ROW(Create_TC_Web!$C$1:$C$500)),""),ROW(Create_TC_Web!E479))),"")</f>
        <v/>
      </c>
      <c r="E479" t="str" cm="1">
        <f t="array" ref="E479">IFERROR(INDEX(Create_TC_Web!H$1:H$500,SMALL(IF(Create_TC_Web!$C$1:$C$500&lt;&gt;"",MATCH(ROW(Create_TC_Web!$C$1:$C$500),ROW(Create_TC_Web!$C$1:$C$500)),""),ROW(Create_TC_Web!F479))),"")</f>
        <v/>
      </c>
      <c r="F479" t="str" cm="1">
        <f t="array" ref="F479">IFERROR(INDEX(Create_TC_Web!I$1:I$500,SMALL(IF(Create_TC_Web!$C$1:$C$500&lt;&gt;"",MATCH(ROW(Create_TC_Web!$C$1:$C$500),ROW(Create_TC_Web!$C$1:$C$500)),""),ROW(Create_TC_Web!G479))),"")</f>
        <v/>
      </c>
      <c r="G479" t="str" cm="1">
        <f t="array" ref="G479">IFERROR(INDEX(Create_TC_Web!J$1:J$500,SMALL(IF(Create_TC_Web!$C$1:$C$500&lt;&gt;"",MATCH(ROW(Create_TC_Web!$C$1:$C$500),ROW(Create_TC_Web!$C$1:$C$500)),""),ROW(Create_TC_Web!H479))),"")</f>
        <v/>
      </c>
      <c r="H479" t="str" cm="1">
        <f t="array" ref="H479">IFERROR(INDEX(Create_TC_Web!K$1:K$500,SMALL(IF(Create_TC_Web!$C$1:$C$500&lt;&gt;"",MATCH(ROW(Create_TC_Web!$C$1:$C$500),ROW(Create_TC_Web!$C$1:$C$500)),""),ROW(Create_TC_Web!I479))),"")</f>
        <v/>
      </c>
      <c r="I479" t="str" cm="1">
        <f t="array" ref="I479">IFERROR(INDEX(Create_TC_Web!L$1:L$500,SMALL(IF(Create_TC_Web!$C$1:$C$500&lt;&gt;"",MATCH(ROW(Create_TC_Web!$C$1:$C$500),ROW(Create_TC_Web!$C$1:$C$500)),""),ROW(Create_TC_Web!J479))),"")</f>
        <v/>
      </c>
      <c r="J479" t="str" cm="1">
        <f t="array" ref="J479">IFERROR(INDEX(Create_TC_Web!M$1:M$500,SMALL(IF(Create_TC_Web!$C$1:$C$500&lt;&gt;"",MATCH(ROW(Create_TC_Web!$C$1:$C$500),ROW(Create_TC_Web!$C$1:$C$500)),""),ROW(Create_TC_Web!K479))),"")</f>
        <v/>
      </c>
      <c r="K479" t="str" cm="1">
        <f t="array" ref="K479">IFERROR(INDEX(Create_TC_Web!N$1:N$500,SMALL(IF(Create_TC_Web!$C$1:$C$500&lt;&gt;"",MATCH(ROW(Create_TC_Web!$C$1:$C$500),ROW(Create_TC_Web!$C$1:$C$500)),""),ROW(Create_TC_Web!L479))),"")</f>
        <v/>
      </c>
      <c r="L479" t="str" cm="1">
        <f t="array" ref="L479">IFERROR(INDEX(Create_TC_Web!O$1:O$500,SMALL(IF(Create_TC_Web!$C$1:$C$500&lt;&gt;"",MATCH(ROW(Create_TC_Web!$C$1:$C$500),ROW(Create_TC_Web!$C$1:$C$500)),""),ROW(Create_TC_Web!M479))),"")</f>
        <v/>
      </c>
      <c r="M479" t="str" cm="1">
        <f t="array" ref="M479">IFERROR(INDEX(Create_TC_Web!P$1:P$500,SMALL(IF(Create_TC_Web!$C$1:$C$500&lt;&gt;"",MATCH(ROW(Create_TC_Web!$C$1:$C$500),ROW(Create_TC_Web!$C$1:$C$500)),""),ROW(Create_TC_Web!N479))),"")</f>
        <v/>
      </c>
      <c r="N479" t="str" cm="1">
        <f t="array" ref="N479">IFERROR(INDEX(Create_TC_Web!Q$1:Q$500,SMALL(IF(Create_TC_Web!$C$1:$C$500&lt;&gt;"",MATCH(ROW(Create_TC_Web!$C$1:$C$500),ROW(Create_TC_Web!$C$1:$C$500)),""),ROW(Create_TC_Web!O479))),"")</f>
        <v/>
      </c>
      <c r="O479" t="str">
        <f t="shared" si="23"/>
        <v/>
      </c>
      <c r="P479" s="17" t="str" cm="1">
        <f t="array" ref="P479">IFERROR(INDEX(Create_TC_Web!S$1:S$500,SMALL(IF(Create_TC_Web!$C$1:$C$500&lt;&gt;"",MATCH(ROW(Create_TC_Web!$C$1:$C$500),ROW(Create_TC_Web!$C$1:$C$500)),""),ROW(Create_TC_Web!Q457))),"")</f>
        <v/>
      </c>
      <c r="S479" t="str">
        <f t="shared" si="22"/>
        <v/>
      </c>
    </row>
    <row r="480" spans="1:19">
      <c r="A480" t="str" cm="1">
        <f t="array" ref="A480">IFERROR(INDEX(Create_TC_Web!D$1:D$500,SMALL(IF(Create_TC_Web!$C$1:$C$500&lt;&gt;"",MATCH(ROW(Create_TC_Web!$C$1:$C$500),ROW(Create_TC_Web!$C$1:$C$500)),""),ROW(Create_TC_Web!B480))),"")</f>
        <v/>
      </c>
      <c r="B480" t="str" cm="1">
        <f t="array" ref="B480">SUBSTITUTE(SUBSTITUTE(SUBSTITUTE(IFERROR(INDEX(Create_TC_Web!E$1:E$505,SMALL(IF(Create_TC_Web!$C$1:$C$505&lt;&gt;"",MATCH(ROW(Create_TC_Web!$C$1:$C$505),ROW(Create_TC_Web!$C$1:$C$505)),""),ROW(Create_TC_Web!C480))),"")," ",""),"-",""),"_","")</f>
        <v/>
      </c>
      <c r="C480" t="str" cm="1">
        <f t="array" ref="C480">IFERROR(INDEX(Create_TC_Web!F$1:F$500,SMALL(IF(Create_TC_Web!$C$1:$C$500&lt;&gt;"",MATCH(ROW(Create_TC_Web!$C$1:$C$500),ROW(Create_TC_Web!$C$1:$C$500)),""),ROW(Create_TC_Web!D480))),"")</f>
        <v/>
      </c>
      <c r="D480" t="str" cm="1">
        <f t="array" ref="D480">IFERROR(INDEX(Create_TC_Web!G$1:G$500,SMALL(IF(Create_TC_Web!$C$1:$C$500&lt;&gt;"",MATCH(ROW(Create_TC_Web!$C$1:$C$500),ROW(Create_TC_Web!$C$1:$C$500)),""),ROW(Create_TC_Web!E480))),"")</f>
        <v/>
      </c>
      <c r="E480" t="str" cm="1">
        <f t="array" ref="E480">IFERROR(INDEX(Create_TC_Web!H$1:H$500,SMALL(IF(Create_TC_Web!$C$1:$C$500&lt;&gt;"",MATCH(ROW(Create_TC_Web!$C$1:$C$500),ROW(Create_TC_Web!$C$1:$C$500)),""),ROW(Create_TC_Web!F480))),"")</f>
        <v/>
      </c>
      <c r="F480" t="str" cm="1">
        <f t="array" ref="F480">IFERROR(INDEX(Create_TC_Web!I$1:I$500,SMALL(IF(Create_TC_Web!$C$1:$C$500&lt;&gt;"",MATCH(ROW(Create_TC_Web!$C$1:$C$500),ROW(Create_TC_Web!$C$1:$C$500)),""),ROW(Create_TC_Web!G480))),"")</f>
        <v/>
      </c>
      <c r="G480" t="str" cm="1">
        <f t="array" ref="G480">IFERROR(INDEX(Create_TC_Web!J$1:J$500,SMALL(IF(Create_TC_Web!$C$1:$C$500&lt;&gt;"",MATCH(ROW(Create_TC_Web!$C$1:$C$500),ROW(Create_TC_Web!$C$1:$C$500)),""),ROW(Create_TC_Web!H480))),"")</f>
        <v/>
      </c>
      <c r="H480" t="str" cm="1">
        <f t="array" ref="H480">IFERROR(INDEX(Create_TC_Web!K$1:K$500,SMALL(IF(Create_TC_Web!$C$1:$C$500&lt;&gt;"",MATCH(ROW(Create_TC_Web!$C$1:$C$500),ROW(Create_TC_Web!$C$1:$C$500)),""),ROW(Create_TC_Web!I480))),"")</f>
        <v/>
      </c>
      <c r="I480" t="str" cm="1">
        <f t="array" ref="I480">IFERROR(INDEX(Create_TC_Web!L$1:L$500,SMALL(IF(Create_TC_Web!$C$1:$C$500&lt;&gt;"",MATCH(ROW(Create_TC_Web!$C$1:$C$500),ROW(Create_TC_Web!$C$1:$C$500)),""),ROW(Create_TC_Web!J480))),"")</f>
        <v/>
      </c>
      <c r="J480" t="str" cm="1">
        <f t="array" ref="J480">IFERROR(INDEX(Create_TC_Web!M$1:M$500,SMALL(IF(Create_TC_Web!$C$1:$C$500&lt;&gt;"",MATCH(ROW(Create_TC_Web!$C$1:$C$500),ROW(Create_TC_Web!$C$1:$C$500)),""),ROW(Create_TC_Web!K480))),"")</f>
        <v/>
      </c>
      <c r="K480" t="str" cm="1">
        <f t="array" ref="K480">IFERROR(INDEX(Create_TC_Web!N$1:N$500,SMALL(IF(Create_TC_Web!$C$1:$C$500&lt;&gt;"",MATCH(ROW(Create_TC_Web!$C$1:$C$500),ROW(Create_TC_Web!$C$1:$C$500)),""),ROW(Create_TC_Web!L480))),"")</f>
        <v/>
      </c>
      <c r="L480" t="str" cm="1">
        <f t="array" ref="L480">IFERROR(INDEX(Create_TC_Web!O$1:O$500,SMALL(IF(Create_TC_Web!$C$1:$C$500&lt;&gt;"",MATCH(ROW(Create_TC_Web!$C$1:$C$500),ROW(Create_TC_Web!$C$1:$C$500)),""),ROW(Create_TC_Web!M480))),"")</f>
        <v/>
      </c>
      <c r="M480" t="str" cm="1">
        <f t="array" ref="M480">IFERROR(INDEX(Create_TC_Web!P$1:P$500,SMALL(IF(Create_TC_Web!$C$1:$C$500&lt;&gt;"",MATCH(ROW(Create_TC_Web!$C$1:$C$500),ROW(Create_TC_Web!$C$1:$C$500)),""),ROW(Create_TC_Web!N480))),"")</f>
        <v/>
      </c>
      <c r="N480" t="str" cm="1">
        <f t="array" ref="N480">IFERROR(INDEX(Create_TC_Web!Q$1:Q$500,SMALL(IF(Create_TC_Web!$C$1:$C$500&lt;&gt;"",MATCH(ROW(Create_TC_Web!$C$1:$C$500),ROW(Create_TC_Web!$C$1:$C$500)),""),ROW(Create_TC_Web!O480))),"")</f>
        <v/>
      </c>
      <c r="O480" t="str">
        <f t="shared" si="23"/>
        <v/>
      </c>
      <c r="P480" s="17" t="str" cm="1">
        <f t="array" ref="P480">IFERROR(INDEX(Create_TC_Web!S$1:S$500,SMALL(IF(Create_TC_Web!$C$1:$C$500&lt;&gt;"",MATCH(ROW(Create_TC_Web!$C$1:$C$500),ROW(Create_TC_Web!$C$1:$C$500)),""),ROW(Create_TC_Web!Q458))),"")</f>
        <v/>
      </c>
      <c r="S480" t="str">
        <f t="shared" si="22"/>
        <v/>
      </c>
    </row>
    <row r="481" spans="1:19">
      <c r="A481" t="str" cm="1">
        <f t="array" ref="A481">IFERROR(INDEX(Create_TC_Web!D$1:D$500,SMALL(IF(Create_TC_Web!$C$1:$C$500&lt;&gt;"",MATCH(ROW(Create_TC_Web!$C$1:$C$500),ROW(Create_TC_Web!$C$1:$C$500)),""),ROW(Create_TC_Web!B481))),"")</f>
        <v/>
      </c>
      <c r="B481" t="str" cm="1">
        <f t="array" ref="B481">SUBSTITUTE(SUBSTITUTE(SUBSTITUTE(IFERROR(INDEX(Create_TC_Web!E$1:E$505,SMALL(IF(Create_TC_Web!$C$1:$C$505&lt;&gt;"",MATCH(ROW(Create_TC_Web!$C$1:$C$505),ROW(Create_TC_Web!$C$1:$C$505)),""),ROW(Create_TC_Web!C481))),"")," ",""),"-",""),"_","")</f>
        <v/>
      </c>
      <c r="C481" t="str" cm="1">
        <f t="array" ref="C481">IFERROR(INDEX(Create_TC_Web!F$1:F$500,SMALL(IF(Create_TC_Web!$C$1:$C$500&lt;&gt;"",MATCH(ROW(Create_TC_Web!$C$1:$C$500),ROW(Create_TC_Web!$C$1:$C$500)),""),ROW(Create_TC_Web!D481))),"")</f>
        <v/>
      </c>
      <c r="D481" t="str" cm="1">
        <f t="array" ref="D481">IFERROR(INDEX(Create_TC_Web!G$1:G$500,SMALL(IF(Create_TC_Web!$C$1:$C$500&lt;&gt;"",MATCH(ROW(Create_TC_Web!$C$1:$C$500),ROW(Create_TC_Web!$C$1:$C$500)),""),ROW(Create_TC_Web!E481))),"")</f>
        <v/>
      </c>
      <c r="E481" t="str" cm="1">
        <f t="array" ref="E481">IFERROR(INDEX(Create_TC_Web!H$1:H$500,SMALL(IF(Create_TC_Web!$C$1:$C$500&lt;&gt;"",MATCH(ROW(Create_TC_Web!$C$1:$C$500),ROW(Create_TC_Web!$C$1:$C$500)),""),ROW(Create_TC_Web!F481))),"")</f>
        <v/>
      </c>
      <c r="F481" t="str" cm="1">
        <f t="array" ref="F481">IFERROR(INDEX(Create_TC_Web!I$1:I$500,SMALL(IF(Create_TC_Web!$C$1:$C$500&lt;&gt;"",MATCH(ROW(Create_TC_Web!$C$1:$C$500),ROW(Create_TC_Web!$C$1:$C$500)),""),ROW(Create_TC_Web!G481))),"")</f>
        <v/>
      </c>
      <c r="G481" t="str" cm="1">
        <f t="array" ref="G481">IFERROR(INDEX(Create_TC_Web!J$1:J$500,SMALL(IF(Create_TC_Web!$C$1:$C$500&lt;&gt;"",MATCH(ROW(Create_TC_Web!$C$1:$C$500),ROW(Create_TC_Web!$C$1:$C$500)),""),ROW(Create_TC_Web!H481))),"")</f>
        <v/>
      </c>
      <c r="H481" t="str" cm="1">
        <f t="array" ref="H481">IFERROR(INDEX(Create_TC_Web!K$1:K$500,SMALL(IF(Create_TC_Web!$C$1:$C$500&lt;&gt;"",MATCH(ROW(Create_TC_Web!$C$1:$C$500),ROW(Create_TC_Web!$C$1:$C$500)),""),ROW(Create_TC_Web!I481))),"")</f>
        <v/>
      </c>
      <c r="I481" t="str" cm="1">
        <f t="array" ref="I481">IFERROR(INDEX(Create_TC_Web!L$1:L$500,SMALL(IF(Create_TC_Web!$C$1:$C$500&lt;&gt;"",MATCH(ROW(Create_TC_Web!$C$1:$C$500),ROW(Create_TC_Web!$C$1:$C$500)),""),ROW(Create_TC_Web!J481))),"")</f>
        <v/>
      </c>
      <c r="J481" t="str" cm="1">
        <f t="array" ref="J481">IFERROR(INDEX(Create_TC_Web!M$1:M$500,SMALL(IF(Create_TC_Web!$C$1:$C$500&lt;&gt;"",MATCH(ROW(Create_TC_Web!$C$1:$C$500),ROW(Create_TC_Web!$C$1:$C$500)),""),ROW(Create_TC_Web!K481))),"")</f>
        <v/>
      </c>
      <c r="K481" t="str" cm="1">
        <f t="array" ref="K481">IFERROR(INDEX(Create_TC_Web!N$1:N$500,SMALL(IF(Create_TC_Web!$C$1:$C$500&lt;&gt;"",MATCH(ROW(Create_TC_Web!$C$1:$C$500),ROW(Create_TC_Web!$C$1:$C$500)),""),ROW(Create_TC_Web!L481))),"")</f>
        <v/>
      </c>
      <c r="L481" t="str" cm="1">
        <f t="array" ref="L481">IFERROR(INDEX(Create_TC_Web!O$1:O$500,SMALL(IF(Create_TC_Web!$C$1:$C$500&lt;&gt;"",MATCH(ROW(Create_TC_Web!$C$1:$C$500),ROW(Create_TC_Web!$C$1:$C$500)),""),ROW(Create_TC_Web!M481))),"")</f>
        <v/>
      </c>
      <c r="M481" t="str" cm="1">
        <f t="array" ref="M481">IFERROR(INDEX(Create_TC_Web!P$1:P$500,SMALL(IF(Create_TC_Web!$C$1:$C$500&lt;&gt;"",MATCH(ROW(Create_TC_Web!$C$1:$C$500),ROW(Create_TC_Web!$C$1:$C$500)),""),ROW(Create_TC_Web!N481))),"")</f>
        <v/>
      </c>
      <c r="N481" t="str" cm="1">
        <f t="array" ref="N481">IFERROR(INDEX(Create_TC_Web!Q$1:Q$500,SMALL(IF(Create_TC_Web!$C$1:$C$500&lt;&gt;"",MATCH(ROW(Create_TC_Web!$C$1:$C$500),ROW(Create_TC_Web!$C$1:$C$500)),""),ROW(Create_TC_Web!O481))),"")</f>
        <v/>
      </c>
      <c r="O481" t="str">
        <f t="shared" si="23"/>
        <v/>
      </c>
      <c r="P481" s="17" t="str" cm="1">
        <f t="array" ref="P481">IFERROR(INDEX(Create_TC_Web!S$1:S$500,SMALL(IF(Create_TC_Web!$C$1:$C$500&lt;&gt;"",MATCH(ROW(Create_TC_Web!$C$1:$C$500),ROW(Create_TC_Web!$C$1:$C$500)),""),ROW(Create_TC_Web!Q459))),"")</f>
        <v/>
      </c>
      <c r="S481" t="str">
        <f t="shared" si="22"/>
        <v/>
      </c>
    </row>
    <row r="482" spans="1:19">
      <c r="A482" t="str" cm="1">
        <f t="array" ref="A482">IFERROR(INDEX(Create_TC_Web!D$1:D$500,SMALL(IF(Create_TC_Web!$C$1:$C$500&lt;&gt;"",MATCH(ROW(Create_TC_Web!$C$1:$C$500),ROW(Create_TC_Web!$C$1:$C$500)),""),ROW(Create_TC_Web!B482))),"")</f>
        <v/>
      </c>
      <c r="B482" t="str" cm="1">
        <f t="array" ref="B482">SUBSTITUTE(SUBSTITUTE(SUBSTITUTE(IFERROR(INDEX(Create_TC_Web!E$1:E$505,SMALL(IF(Create_TC_Web!$C$1:$C$505&lt;&gt;"",MATCH(ROW(Create_TC_Web!$C$1:$C$505),ROW(Create_TC_Web!$C$1:$C$505)),""),ROW(Create_TC_Web!C482))),"")," ",""),"-",""),"_","")</f>
        <v/>
      </c>
      <c r="C482" t="str" cm="1">
        <f t="array" ref="C482">IFERROR(INDEX(Create_TC_Web!F$1:F$500,SMALL(IF(Create_TC_Web!$C$1:$C$500&lt;&gt;"",MATCH(ROW(Create_TC_Web!$C$1:$C$500),ROW(Create_TC_Web!$C$1:$C$500)),""),ROW(Create_TC_Web!D482))),"")</f>
        <v/>
      </c>
      <c r="D482" t="str" cm="1">
        <f t="array" ref="D482">IFERROR(INDEX(Create_TC_Web!G$1:G$500,SMALL(IF(Create_TC_Web!$C$1:$C$500&lt;&gt;"",MATCH(ROW(Create_TC_Web!$C$1:$C$500),ROW(Create_TC_Web!$C$1:$C$500)),""),ROW(Create_TC_Web!E482))),"")</f>
        <v/>
      </c>
      <c r="E482" t="str" cm="1">
        <f t="array" ref="E482">IFERROR(INDEX(Create_TC_Web!H$1:H$500,SMALL(IF(Create_TC_Web!$C$1:$C$500&lt;&gt;"",MATCH(ROW(Create_TC_Web!$C$1:$C$500),ROW(Create_TC_Web!$C$1:$C$500)),""),ROW(Create_TC_Web!F482))),"")</f>
        <v/>
      </c>
      <c r="F482" t="str" cm="1">
        <f t="array" ref="F482">IFERROR(INDEX(Create_TC_Web!I$1:I$500,SMALL(IF(Create_TC_Web!$C$1:$C$500&lt;&gt;"",MATCH(ROW(Create_TC_Web!$C$1:$C$500),ROW(Create_TC_Web!$C$1:$C$500)),""),ROW(Create_TC_Web!G482))),"")</f>
        <v/>
      </c>
      <c r="G482" t="str" cm="1">
        <f t="array" ref="G482">IFERROR(INDEX(Create_TC_Web!J$1:J$500,SMALL(IF(Create_TC_Web!$C$1:$C$500&lt;&gt;"",MATCH(ROW(Create_TC_Web!$C$1:$C$500),ROW(Create_TC_Web!$C$1:$C$500)),""),ROW(Create_TC_Web!H482))),"")</f>
        <v/>
      </c>
      <c r="H482" t="str" cm="1">
        <f t="array" ref="H482">IFERROR(INDEX(Create_TC_Web!K$1:K$500,SMALL(IF(Create_TC_Web!$C$1:$C$500&lt;&gt;"",MATCH(ROW(Create_TC_Web!$C$1:$C$500),ROW(Create_TC_Web!$C$1:$C$500)),""),ROW(Create_TC_Web!I482))),"")</f>
        <v/>
      </c>
      <c r="I482" t="str" cm="1">
        <f t="array" ref="I482">IFERROR(INDEX(Create_TC_Web!L$1:L$500,SMALL(IF(Create_TC_Web!$C$1:$C$500&lt;&gt;"",MATCH(ROW(Create_TC_Web!$C$1:$C$500),ROW(Create_TC_Web!$C$1:$C$500)),""),ROW(Create_TC_Web!J482))),"")</f>
        <v/>
      </c>
      <c r="J482" t="str" cm="1">
        <f t="array" ref="J482">IFERROR(INDEX(Create_TC_Web!M$1:M$500,SMALL(IF(Create_TC_Web!$C$1:$C$500&lt;&gt;"",MATCH(ROW(Create_TC_Web!$C$1:$C$500),ROW(Create_TC_Web!$C$1:$C$500)),""),ROW(Create_TC_Web!K482))),"")</f>
        <v/>
      </c>
      <c r="K482" t="str" cm="1">
        <f t="array" ref="K482">IFERROR(INDEX(Create_TC_Web!N$1:N$500,SMALL(IF(Create_TC_Web!$C$1:$C$500&lt;&gt;"",MATCH(ROW(Create_TC_Web!$C$1:$C$500),ROW(Create_TC_Web!$C$1:$C$500)),""),ROW(Create_TC_Web!L482))),"")</f>
        <v/>
      </c>
      <c r="L482" t="str" cm="1">
        <f t="array" ref="L482">IFERROR(INDEX(Create_TC_Web!O$1:O$500,SMALL(IF(Create_TC_Web!$C$1:$C$500&lt;&gt;"",MATCH(ROW(Create_TC_Web!$C$1:$C$500),ROW(Create_TC_Web!$C$1:$C$500)),""),ROW(Create_TC_Web!M482))),"")</f>
        <v/>
      </c>
      <c r="M482" t="str" cm="1">
        <f t="array" ref="M482">IFERROR(INDEX(Create_TC_Web!P$1:P$500,SMALL(IF(Create_TC_Web!$C$1:$C$500&lt;&gt;"",MATCH(ROW(Create_TC_Web!$C$1:$C$500),ROW(Create_TC_Web!$C$1:$C$500)),""),ROW(Create_TC_Web!N482))),"")</f>
        <v/>
      </c>
      <c r="N482" t="str" cm="1">
        <f t="array" ref="N482">IFERROR(INDEX(Create_TC_Web!Q$1:Q$500,SMALL(IF(Create_TC_Web!$C$1:$C$500&lt;&gt;"",MATCH(ROW(Create_TC_Web!$C$1:$C$500),ROW(Create_TC_Web!$C$1:$C$500)),""),ROW(Create_TC_Web!O482))),"")</f>
        <v/>
      </c>
      <c r="O482" t="str">
        <f t="shared" si="23"/>
        <v/>
      </c>
      <c r="P482" s="17" t="str" cm="1">
        <f t="array" ref="P482">IFERROR(INDEX(Create_TC_Web!S$1:S$500,SMALL(IF(Create_TC_Web!$C$1:$C$500&lt;&gt;"",MATCH(ROW(Create_TC_Web!$C$1:$C$500),ROW(Create_TC_Web!$C$1:$C$500)),""),ROW(Create_TC_Web!Q460))),"")</f>
        <v/>
      </c>
      <c r="S482" t="str">
        <f t="shared" si="22"/>
        <v/>
      </c>
    </row>
    <row r="483" spans="1:19">
      <c r="A483" t="str" cm="1">
        <f t="array" ref="A483">IFERROR(INDEX(Create_TC_Web!D$1:D$500,SMALL(IF(Create_TC_Web!$C$1:$C$500&lt;&gt;"",MATCH(ROW(Create_TC_Web!$C$1:$C$500),ROW(Create_TC_Web!$C$1:$C$500)),""),ROW(Create_TC_Web!B483))),"")</f>
        <v/>
      </c>
      <c r="B483" t="str" cm="1">
        <f t="array" ref="B483">SUBSTITUTE(SUBSTITUTE(SUBSTITUTE(IFERROR(INDEX(Create_TC_Web!E$1:E$505,SMALL(IF(Create_TC_Web!$C$1:$C$505&lt;&gt;"",MATCH(ROW(Create_TC_Web!$C$1:$C$505),ROW(Create_TC_Web!$C$1:$C$505)),""),ROW(Create_TC_Web!C483))),"")," ",""),"-",""),"_","")</f>
        <v/>
      </c>
      <c r="C483" t="str" cm="1">
        <f t="array" ref="C483">IFERROR(INDEX(Create_TC_Web!F$1:F$500,SMALL(IF(Create_TC_Web!$C$1:$C$500&lt;&gt;"",MATCH(ROW(Create_TC_Web!$C$1:$C$500),ROW(Create_TC_Web!$C$1:$C$500)),""),ROW(Create_TC_Web!D483))),"")</f>
        <v/>
      </c>
      <c r="D483" t="str" cm="1">
        <f t="array" ref="D483">IFERROR(INDEX(Create_TC_Web!G$1:G$500,SMALL(IF(Create_TC_Web!$C$1:$C$500&lt;&gt;"",MATCH(ROW(Create_TC_Web!$C$1:$C$500),ROW(Create_TC_Web!$C$1:$C$500)),""),ROW(Create_TC_Web!E483))),"")</f>
        <v/>
      </c>
      <c r="E483" t="str" cm="1">
        <f t="array" ref="E483">IFERROR(INDEX(Create_TC_Web!H$1:H$500,SMALL(IF(Create_TC_Web!$C$1:$C$500&lt;&gt;"",MATCH(ROW(Create_TC_Web!$C$1:$C$500),ROW(Create_TC_Web!$C$1:$C$500)),""),ROW(Create_TC_Web!F483))),"")</f>
        <v/>
      </c>
      <c r="F483" t="str" cm="1">
        <f t="array" ref="F483">IFERROR(INDEX(Create_TC_Web!I$1:I$500,SMALL(IF(Create_TC_Web!$C$1:$C$500&lt;&gt;"",MATCH(ROW(Create_TC_Web!$C$1:$C$500),ROW(Create_TC_Web!$C$1:$C$500)),""),ROW(Create_TC_Web!G483))),"")</f>
        <v/>
      </c>
      <c r="G483" t="str" cm="1">
        <f t="array" ref="G483">IFERROR(INDEX(Create_TC_Web!J$1:J$500,SMALL(IF(Create_TC_Web!$C$1:$C$500&lt;&gt;"",MATCH(ROW(Create_TC_Web!$C$1:$C$500),ROW(Create_TC_Web!$C$1:$C$500)),""),ROW(Create_TC_Web!H483))),"")</f>
        <v/>
      </c>
      <c r="H483" t="str" cm="1">
        <f t="array" ref="H483">IFERROR(INDEX(Create_TC_Web!K$1:K$500,SMALL(IF(Create_TC_Web!$C$1:$C$500&lt;&gt;"",MATCH(ROW(Create_TC_Web!$C$1:$C$500),ROW(Create_TC_Web!$C$1:$C$500)),""),ROW(Create_TC_Web!I483))),"")</f>
        <v/>
      </c>
      <c r="I483" t="str" cm="1">
        <f t="array" ref="I483">IFERROR(INDEX(Create_TC_Web!L$1:L$500,SMALL(IF(Create_TC_Web!$C$1:$C$500&lt;&gt;"",MATCH(ROW(Create_TC_Web!$C$1:$C$500),ROW(Create_TC_Web!$C$1:$C$500)),""),ROW(Create_TC_Web!J483))),"")</f>
        <v/>
      </c>
      <c r="J483" t="str" cm="1">
        <f t="array" ref="J483">IFERROR(INDEX(Create_TC_Web!M$1:M$500,SMALL(IF(Create_TC_Web!$C$1:$C$500&lt;&gt;"",MATCH(ROW(Create_TC_Web!$C$1:$C$500),ROW(Create_TC_Web!$C$1:$C$500)),""),ROW(Create_TC_Web!K483))),"")</f>
        <v/>
      </c>
      <c r="K483" t="str" cm="1">
        <f t="array" ref="K483">IFERROR(INDEX(Create_TC_Web!N$1:N$500,SMALL(IF(Create_TC_Web!$C$1:$C$500&lt;&gt;"",MATCH(ROW(Create_TC_Web!$C$1:$C$500),ROW(Create_TC_Web!$C$1:$C$500)),""),ROW(Create_TC_Web!L483))),"")</f>
        <v/>
      </c>
      <c r="L483" t="str" cm="1">
        <f t="array" ref="L483">IFERROR(INDEX(Create_TC_Web!O$1:O$500,SMALL(IF(Create_TC_Web!$C$1:$C$500&lt;&gt;"",MATCH(ROW(Create_TC_Web!$C$1:$C$500),ROW(Create_TC_Web!$C$1:$C$500)),""),ROW(Create_TC_Web!M483))),"")</f>
        <v/>
      </c>
      <c r="M483" t="str" cm="1">
        <f t="array" ref="M483">IFERROR(INDEX(Create_TC_Web!P$1:P$500,SMALL(IF(Create_TC_Web!$C$1:$C$500&lt;&gt;"",MATCH(ROW(Create_TC_Web!$C$1:$C$500),ROW(Create_TC_Web!$C$1:$C$500)),""),ROW(Create_TC_Web!N483))),"")</f>
        <v/>
      </c>
      <c r="N483" t="str" cm="1">
        <f t="array" ref="N483">IFERROR(INDEX(Create_TC_Web!Q$1:Q$500,SMALL(IF(Create_TC_Web!$C$1:$C$500&lt;&gt;"",MATCH(ROW(Create_TC_Web!$C$1:$C$500),ROW(Create_TC_Web!$C$1:$C$500)),""),ROW(Create_TC_Web!O483))),"")</f>
        <v/>
      </c>
      <c r="O483" t="str">
        <f t="shared" si="23"/>
        <v/>
      </c>
      <c r="P483" s="17" t="str" cm="1">
        <f t="array" ref="P483">IFERROR(INDEX(Create_TC_Web!S$1:S$500,SMALL(IF(Create_TC_Web!$C$1:$C$500&lt;&gt;"",MATCH(ROW(Create_TC_Web!$C$1:$C$500),ROW(Create_TC_Web!$C$1:$C$500)),""),ROW(Create_TC_Web!Q461))),"")</f>
        <v/>
      </c>
      <c r="S483" t="str">
        <f t="shared" si="22"/>
        <v/>
      </c>
    </row>
    <row r="484" spans="1:19">
      <c r="A484" t="str" cm="1">
        <f t="array" ref="A484">IFERROR(INDEX(Create_TC_Web!D$1:D$500,SMALL(IF(Create_TC_Web!$C$1:$C$500&lt;&gt;"",MATCH(ROW(Create_TC_Web!$C$1:$C$500),ROW(Create_TC_Web!$C$1:$C$500)),""),ROW(Create_TC_Web!B484))),"")</f>
        <v/>
      </c>
      <c r="B484" t="str" cm="1">
        <f t="array" ref="B484">SUBSTITUTE(SUBSTITUTE(SUBSTITUTE(IFERROR(INDEX(Create_TC_Web!E$1:E$505,SMALL(IF(Create_TC_Web!$C$1:$C$505&lt;&gt;"",MATCH(ROW(Create_TC_Web!$C$1:$C$505),ROW(Create_TC_Web!$C$1:$C$505)),""),ROW(Create_TC_Web!C484))),"")," ",""),"-",""),"_","")</f>
        <v/>
      </c>
      <c r="C484" t="str" cm="1">
        <f t="array" ref="C484">IFERROR(INDEX(Create_TC_Web!F$1:F$500,SMALL(IF(Create_TC_Web!$C$1:$C$500&lt;&gt;"",MATCH(ROW(Create_TC_Web!$C$1:$C$500),ROW(Create_TC_Web!$C$1:$C$500)),""),ROW(Create_TC_Web!D484))),"")</f>
        <v/>
      </c>
      <c r="D484" t="str" cm="1">
        <f t="array" ref="D484">IFERROR(INDEX(Create_TC_Web!G$1:G$500,SMALL(IF(Create_TC_Web!$C$1:$C$500&lt;&gt;"",MATCH(ROW(Create_TC_Web!$C$1:$C$500),ROW(Create_TC_Web!$C$1:$C$500)),""),ROW(Create_TC_Web!E484))),"")</f>
        <v/>
      </c>
      <c r="E484" t="str" cm="1">
        <f t="array" ref="E484">IFERROR(INDEX(Create_TC_Web!H$1:H$500,SMALL(IF(Create_TC_Web!$C$1:$C$500&lt;&gt;"",MATCH(ROW(Create_TC_Web!$C$1:$C$500),ROW(Create_TC_Web!$C$1:$C$500)),""),ROW(Create_TC_Web!F484))),"")</f>
        <v/>
      </c>
      <c r="F484" t="str" cm="1">
        <f t="array" ref="F484">IFERROR(INDEX(Create_TC_Web!I$1:I$500,SMALL(IF(Create_TC_Web!$C$1:$C$500&lt;&gt;"",MATCH(ROW(Create_TC_Web!$C$1:$C$500),ROW(Create_TC_Web!$C$1:$C$500)),""),ROW(Create_TC_Web!G484))),"")</f>
        <v/>
      </c>
      <c r="G484" t="str" cm="1">
        <f t="array" ref="G484">IFERROR(INDEX(Create_TC_Web!J$1:J$500,SMALL(IF(Create_TC_Web!$C$1:$C$500&lt;&gt;"",MATCH(ROW(Create_TC_Web!$C$1:$C$500),ROW(Create_TC_Web!$C$1:$C$500)),""),ROW(Create_TC_Web!H484))),"")</f>
        <v/>
      </c>
      <c r="H484" t="str" cm="1">
        <f t="array" ref="H484">IFERROR(INDEX(Create_TC_Web!K$1:K$500,SMALL(IF(Create_TC_Web!$C$1:$C$500&lt;&gt;"",MATCH(ROW(Create_TC_Web!$C$1:$C$500),ROW(Create_TC_Web!$C$1:$C$500)),""),ROW(Create_TC_Web!I484))),"")</f>
        <v/>
      </c>
      <c r="I484" t="str" cm="1">
        <f t="array" ref="I484">IFERROR(INDEX(Create_TC_Web!L$1:L$500,SMALL(IF(Create_TC_Web!$C$1:$C$500&lt;&gt;"",MATCH(ROW(Create_TC_Web!$C$1:$C$500),ROW(Create_TC_Web!$C$1:$C$500)),""),ROW(Create_TC_Web!J484))),"")</f>
        <v/>
      </c>
      <c r="J484" t="str" cm="1">
        <f t="array" ref="J484">IFERROR(INDEX(Create_TC_Web!M$1:M$500,SMALL(IF(Create_TC_Web!$C$1:$C$500&lt;&gt;"",MATCH(ROW(Create_TC_Web!$C$1:$C$500),ROW(Create_TC_Web!$C$1:$C$500)),""),ROW(Create_TC_Web!K484))),"")</f>
        <v/>
      </c>
      <c r="K484" t="str" cm="1">
        <f t="array" ref="K484">IFERROR(INDEX(Create_TC_Web!N$1:N$500,SMALL(IF(Create_TC_Web!$C$1:$C$500&lt;&gt;"",MATCH(ROW(Create_TC_Web!$C$1:$C$500),ROW(Create_TC_Web!$C$1:$C$500)),""),ROW(Create_TC_Web!L484))),"")</f>
        <v/>
      </c>
      <c r="L484" t="str" cm="1">
        <f t="array" ref="L484">IFERROR(INDEX(Create_TC_Web!O$1:O$500,SMALL(IF(Create_TC_Web!$C$1:$C$500&lt;&gt;"",MATCH(ROW(Create_TC_Web!$C$1:$C$500),ROW(Create_TC_Web!$C$1:$C$500)),""),ROW(Create_TC_Web!M484))),"")</f>
        <v/>
      </c>
      <c r="M484" t="str" cm="1">
        <f t="array" ref="M484">IFERROR(INDEX(Create_TC_Web!P$1:P$500,SMALL(IF(Create_TC_Web!$C$1:$C$500&lt;&gt;"",MATCH(ROW(Create_TC_Web!$C$1:$C$500),ROW(Create_TC_Web!$C$1:$C$500)),""),ROW(Create_TC_Web!N484))),"")</f>
        <v/>
      </c>
      <c r="N484" t="str" cm="1">
        <f t="array" ref="N484">IFERROR(INDEX(Create_TC_Web!Q$1:Q$500,SMALL(IF(Create_TC_Web!$C$1:$C$500&lt;&gt;"",MATCH(ROW(Create_TC_Web!$C$1:$C$500),ROW(Create_TC_Web!$C$1:$C$500)),""),ROW(Create_TC_Web!O484))),"")</f>
        <v/>
      </c>
      <c r="O484" t="str">
        <f t="shared" si="23"/>
        <v/>
      </c>
      <c r="P484" s="17" t="str" cm="1">
        <f t="array" ref="P484">IFERROR(INDEX(Create_TC_Web!S$1:S$500,SMALL(IF(Create_TC_Web!$C$1:$C$500&lt;&gt;"",MATCH(ROW(Create_TC_Web!$C$1:$C$500),ROW(Create_TC_Web!$C$1:$C$500)),""),ROW(Create_TC_Web!Q462))),"")</f>
        <v/>
      </c>
      <c r="S484" t="str">
        <f t="shared" si="22"/>
        <v/>
      </c>
    </row>
    <row r="485" spans="1:19">
      <c r="A485" t="str" cm="1">
        <f t="array" ref="A485">IFERROR(INDEX(Create_TC_Web!D$1:D$500,SMALL(IF(Create_TC_Web!$C$1:$C$500&lt;&gt;"",MATCH(ROW(Create_TC_Web!$C$1:$C$500),ROW(Create_TC_Web!$C$1:$C$500)),""),ROW(Create_TC_Web!B485))),"")</f>
        <v/>
      </c>
      <c r="B485" t="str" cm="1">
        <f t="array" ref="B485">SUBSTITUTE(SUBSTITUTE(SUBSTITUTE(IFERROR(INDEX(Create_TC_Web!E$1:E$505,SMALL(IF(Create_TC_Web!$C$1:$C$505&lt;&gt;"",MATCH(ROW(Create_TC_Web!$C$1:$C$505),ROW(Create_TC_Web!$C$1:$C$505)),""),ROW(Create_TC_Web!C485))),"")," ",""),"-",""),"_","")</f>
        <v/>
      </c>
      <c r="C485" t="str" cm="1">
        <f t="array" ref="C485">IFERROR(INDEX(Create_TC_Web!F$1:F$500,SMALL(IF(Create_TC_Web!$C$1:$C$500&lt;&gt;"",MATCH(ROW(Create_TC_Web!$C$1:$C$500),ROW(Create_TC_Web!$C$1:$C$500)),""),ROW(Create_TC_Web!D485))),"")</f>
        <v/>
      </c>
      <c r="D485" t="str" cm="1">
        <f t="array" ref="D485">IFERROR(INDEX(Create_TC_Web!G$1:G$500,SMALL(IF(Create_TC_Web!$C$1:$C$500&lt;&gt;"",MATCH(ROW(Create_TC_Web!$C$1:$C$500),ROW(Create_TC_Web!$C$1:$C$500)),""),ROW(Create_TC_Web!E485))),"")</f>
        <v/>
      </c>
      <c r="E485" t="str" cm="1">
        <f t="array" ref="E485">IFERROR(INDEX(Create_TC_Web!H$1:H$500,SMALL(IF(Create_TC_Web!$C$1:$C$500&lt;&gt;"",MATCH(ROW(Create_TC_Web!$C$1:$C$500),ROW(Create_TC_Web!$C$1:$C$500)),""),ROW(Create_TC_Web!F485))),"")</f>
        <v/>
      </c>
      <c r="F485" t="str" cm="1">
        <f t="array" ref="F485">IFERROR(INDEX(Create_TC_Web!I$1:I$500,SMALL(IF(Create_TC_Web!$C$1:$C$500&lt;&gt;"",MATCH(ROW(Create_TC_Web!$C$1:$C$500),ROW(Create_TC_Web!$C$1:$C$500)),""),ROW(Create_TC_Web!G485))),"")</f>
        <v/>
      </c>
      <c r="G485" t="str" cm="1">
        <f t="array" ref="G485">IFERROR(INDEX(Create_TC_Web!J$1:J$500,SMALL(IF(Create_TC_Web!$C$1:$C$500&lt;&gt;"",MATCH(ROW(Create_TC_Web!$C$1:$C$500),ROW(Create_TC_Web!$C$1:$C$500)),""),ROW(Create_TC_Web!H485))),"")</f>
        <v/>
      </c>
      <c r="H485" t="str" cm="1">
        <f t="array" ref="H485">IFERROR(INDEX(Create_TC_Web!K$1:K$500,SMALL(IF(Create_TC_Web!$C$1:$C$500&lt;&gt;"",MATCH(ROW(Create_TC_Web!$C$1:$C$500),ROW(Create_TC_Web!$C$1:$C$500)),""),ROW(Create_TC_Web!I485))),"")</f>
        <v/>
      </c>
      <c r="I485" t="str" cm="1">
        <f t="array" ref="I485">IFERROR(INDEX(Create_TC_Web!L$1:L$500,SMALL(IF(Create_TC_Web!$C$1:$C$500&lt;&gt;"",MATCH(ROW(Create_TC_Web!$C$1:$C$500),ROW(Create_TC_Web!$C$1:$C$500)),""),ROW(Create_TC_Web!J485))),"")</f>
        <v/>
      </c>
      <c r="J485" t="str" cm="1">
        <f t="array" ref="J485">IFERROR(INDEX(Create_TC_Web!M$1:M$500,SMALL(IF(Create_TC_Web!$C$1:$C$500&lt;&gt;"",MATCH(ROW(Create_TC_Web!$C$1:$C$500),ROW(Create_TC_Web!$C$1:$C$500)),""),ROW(Create_TC_Web!K485))),"")</f>
        <v/>
      </c>
      <c r="K485" t="str" cm="1">
        <f t="array" ref="K485">IFERROR(INDEX(Create_TC_Web!N$1:N$500,SMALL(IF(Create_TC_Web!$C$1:$C$500&lt;&gt;"",MATCH(ROW(Create_TC_Web!$C$1:$C$500),ROW(Create_TC_Web!$C$1:$C$500)),""),ROW(Create_TC_Web!L485))),"")</f>
        <v/>
      </c>
      <c r="L485" t="str" cm="1">
        <f t="array" ref="L485">IFERROR(INDEX(Create_TC_Web!O$1:O$500,SMALL(IF(Create_TC_Web!$C$1:$C$500&lt;&gt;"",MATCH(ROW(Create_TC_Web!$C$1:$C$500),ROW(Create_TC_Web!$C$1:$C$500)),""),ROW(Create_TC_Web!M485))),"")</f>
        <v/>
      </c>
      <c r="M485" t="str" cm="1">
        <f t="array" ref="M485">IFERROR(INDEX(Create_TC_Web!P$1:P$500,SMALL(IF(Create_TC_Web!$C$1:$C$500&lt;&gt;"",MATCH(ROW(Create_TC_Web!$C$1:$C$500),ROW(Create_TC_Web!$C$1:$C$500)),""),ROW(Create_TC_Web!N485))),"")</f>
        <v/>
      </c>
      <c r="N485" t="str" cm="1">
        <f t="array" ref="N485">IFERROR(INDEX(Create_TC_Web!Q$1:Q$500,SMALL(IF(Create_TC_Web!$C$1:$C$500&lt;&gt;"",MATCH(ROW(Create_TC_Web!$C$1:$C$500),ROW(Create_TC_Web!$C$1:$C$500)),""),ROW(Create_TC_Web!O485))),"")</f>
        <v/>
      </c>
      <c r="O485" t="str">
        <f t="shared" si="23"/>
        <v/>
      </c>
      <c r="P485" s="17" t="str" cm="1">
        <f t="array" ref="P485">IFERROR(INDEX(Create_TC_Web!S$1:S$500,SMALL(IF(Create_TC_Web!$C$1:$C$500&lt;&gt;"",MATCH(ROW(Create_TC_Web!$C$1:$C$500),ROW(Create_TC_Web!$C$1:$C$500)),""),ROW(Create_TC_Web!Q463))),"")</f>
        <v/>
      </c>
      <c r="S485" t="str">
        <f t="shared" si="22"/>
        <v/>
      </c>
    </row>
    <row r="486" spans="1:19">
      <c r="A486" t="str" cm="1">
        <f t="array" ref="A486">IFERROR(INDEX(Create_TC_Web!D$1:D$500,SMALL(IF(Create_TC_Web!$C$1:$C$500&lt;&gt;"",MATCH(ROW(Create_TC_Web!$C$1:$C$500),ROW(Create_TC_Web!$C$1:$C$500)),""),ROW(Create_TC_Web!B486))),"")</f>
        <v/>
      </c>
      <c r="B486" t="str" cm="1">
        <f t="array" ref="B486">SUBSTITUTE(SUBSTITUTE(SUBSTITUTE(IFERROR(INDEX(Create_TC_Web!E$1:E$505,SMALL(IF(Create_TC_Web!$C$1:$C$505&lt;&gt;"",MATCH(ROW(Create_TC_Web!$C$1:$C$505),ROW(Create_TC_Web!$C$1:$C$505)),""),ROW(Create_TC_Web!C486))),"")," ",""),"-",""),"_","")</f>
        <v/>
      </c>
      <c r="C486" t="str" cm="1">
        <f t="array" ref="C486">IFERROR(INDEX(Create_TC_Web!F$1:F$500,SMALL(IF(Create_TC_Web!$C$1:$C$500&lt;&gt;"",MATCH(ROW(Create_TC_Web!$C$1:$C$500),ROW(Create_TC_Web!$C$1:$C$500)),""),ROW(Create_TC_Web!D486))),"")</f>
        <v/>
      </c>
      <c r="D486" t="str" cm="1">
        <f t="array" ref="D486">IFERROR(INDEX(Create_TC_Web!G$1:G$500,SMALL(IF(Create_TC_Web!$C$1:$C$500&lt;&gt;"",MATCH(ROW(Create_TC_Web!$C$1:$C$500),ROW(Create_TC_Web!$C$1:$C$500)),""),ROW(Create_TC_Web!E486))),"")</f>
        <v/>
      </c>
      <c r="E486" t="str" cm="1">
        <f t="array" ref="E486">IFERROR(INDEX(Create_TC_Web!H$1:H$500,SMALL(IF(Create_TC_Web!$C$1:$C$500&lt;&gt;"",MATCH(ROW(Create_TC_Web!$C$1:$C$500),ROW(Create_TC_Web!$C$1:$C$500)),""),ROW(Create_TC_Web!F486))),"")</f>
        <v/>
      </c>
      <c r="F486" t="str" cm="1">
        <f t="array" ref="F486">IFERROR(INDEX(Create_TC_Web!I$1:I$500,SMALL(IF(Create_TC_Web!$C$1:$C$500&lt;&gt;"",MATCH(ROW(Create_TC_Web!$C$1:$C$500),ROW(Create_TC_Web!$C$1:$C$500)),""),ROW(Create_TC_Web!G486))),"")</f>
        <v/>
      </c>
      <c r="G486" t="str" cm="1">
        <f t="array" ref="G486">IFERROR(INDEX(Create_TC_Web!J$1:J$500,SMALL(IF(Create_TC_Web!$C$1:$C$500&lt;&gt;"",MATCH(ROW(Create_TC_Web!$C$1:$C$500),ROW(Create_TC_Web!$C$1:$C$500)),""),ROW(Create_TC_Web!H486))),"")</f>
        <v/>
      </c>
      <c r="H486" t="str" cm="1">
        <f t="array" ref="H486">IFERROR(INDEX(Create_TC_Web!K$1:K$500,SMALL(IF(Create_TC_Web!$C$1:$C$500&lt;&gt;"",MATCH(ROW(Create_TC_Web!$C$1:$C$500),ROW(Create_TC_Web!$C$1:$C$500)),""),ROW(Create_TC_Web!I486))),"")</f>
        <v/>
      </c>
      <c r="I486" t="str" cm="1">
        <f t="array" ref="I486">IFERROR(INDEX(Create_TC_Web!L$1:L$500,SMALL(IF(Create_TC_Web!$C$1:$C$500&lt;&gt;"",MATCH(ROW(Create_TC_Web!$C$1:$C$500),ROW(Create_TC_Web!$C$1:$C$500)),""),ROW(Create_TC_Web!J486))),"")</f>
        <v/>
      </c>
      <c r="J486" t="str" cm="1">
        <f t="array" ref="J486">IFERROR(INDEX(Create_TC_Web!M$1:M$500,SMALL(IF(Create_TC_Web!$C$1:$C$500&lt;&gt;"",MATCH(ROW(Create_TC_Web!$C$1:$C$500),ROW(Create_TC_Web!$C$1:$C$500)),""),ROW(Create_TC_Web!K486))),"")</f>
        <v/>
      </c>
      <c r="K486" t="str" cm="1">
        <f t="array" ref="K486">IFERROR(INDEX(Create_TC_Web!N$1:N$500,SMALL(IF(Create_TC_Web!$C$1:$C$500&lt;&gt;"",MATCH(ROW(Create_TC_Web!$C$1:$C$500),ROW(Create_TC_Web!$C$1:$C$500)),""),ROW(Create_TC_Web!L486))),"")</f>
        <v/>
      </c>
      <c r="L486" t="str" cm="1">
        <f t="array" ref="L486">IFERROR(INDEX(Create_TC_Web!O$1:O$500,SMALL(IF(Create_TC_Web!$C$1:$C$500&lt;&gt;"",MATCH(ROW(Create_TC_Web!$C$1:$C$500),ROW(Create_TC_Web!$C$1:$C$500)),""),ROW(Create_TC_Web!M486))),"")</f>
        <v/>
      </c>
      <c r="M486" t="str" cm="1">
        <f t="array" ref="M486">IFERROR(INDEX(Create_TC_Web!P$1:P$500,SMALL(IF(Create_TC_Web!$C$1:$C$500&lt;&gt;"",MATCH(ROW(Create_TC_Web!$C$1:$C$500),ROW(Create_TC_Web!$C$1:$C$500)),""),ROW(Create_TC_Web!N486))),"")</f>
        <v/>
      </c>
      <c r="N486" t="str" cm="1">
        <f t="array" ref="N486">IFERROR(INDEX(Create_TC_Web!Q$1:Q$500,SMALL(IF(Create_TC_Web!$C$1:$C$500&lt;&gt;"",MATCH(ROW(Create_TC_Web!$C$1:$C$500),ROW(Create_TC_Web!$C$1:$C$500)),""),ROW(Create_TC_Web!O486))),"")</f>
        <v/>
      </c>
      <c r="O486" t="str">
        <f t="shared" si="23"/>
        <v/>
      </c>
      <c r="P486" s="17" t="str" cm="1">
        <f t="array" ref="P486">IFERROR(INDEX(Create_TC_Web!S$1:S$500,SMALL(IF(Create_TC_Web!$C$1:$C$500&lt;&gt;"",MATCH(ROW(Create_TC_Web!$C$1:$C$500),ROW(Create_TC_Web!$C$1:$C$500)),""),ROW(Create_TC_Web!Q464))),"")</f>
        <v/>
      </c>
      <c r="S486" t="str">
        <f t="shared" si="22"/>
        <v/>
      </c>
    </row>
    <row r="487" spans="1:19">
      <c r="A487" t="str" cm="1">
        <f t="array" ref="A487">IFERROR(INDEX(Create_TC_Web!D$1:D$500,SMALL(IF(Create_TC_Web!$C$1:$C$500&lt;&gt;"",MATCH(ROW(Create_TC_Web!$C$1:$C$500),ROW(Create_TC_Web!$C$1:$C$500)),""),ROW(Create_TC_Web!B487))),"")</f>
        <v/>
      </c>
      <c r="B487" t="str" cm="1">
        <f t="array" ref="B487">SUBSTITUTE(SUBSTITUTE(SUBSTITUTE(IFERROR(INDEX(Create_TC_Web!E$1:E$505,SMALL(IF(Create_TC_Web!$C$1:$C$505&lt;&gt;"",MATCH(ROW(Create_TC_Web!$C$1:$C$505),ROW(Create_TC_Web!$C$1:$C$505)),""),ROW(Create_TC_Web!C487))),"")," ",""),"-",""),"_","")</f>
        <v/>
      </c>
      <c r="C487" t="str" cm="1">
        <f t="array" ref="C487">IFERROR(INDEX(Create_TC_Web!F$1:F$500,SMALL(IF(Create_TC_Web!$C$1:$C$500&lt;&gt;"",MATCH(ROW(Create_TC_Web!$C$1:$C$500),ROW(Create_TC_Web!$C$1:$C$500)),""),ROW(Create_TC_Web!D487))),"")</f>
        <v/>
      </c>
      <c r="D487" t="str" cm="1">
        <f t="array" ref="D487">IFERROR(INDEX(Create_TC_Web!G$1:G$500,SMALL(IF(Create_TC_Web!$C$1:$C$500&lt;&gt;"",MATCH(ROW(Create_TC_Web!$C$1:$C$500),ROW(Create_TC_Web!$C$1:$C$500)),""),ROW(Create_TC_Web!E487))),"")</f>
        <v/>
      </c>
      <c r="E487" t="str" cm="1">
        <f t="array" ref="E487">IFERROR(INDEX(Create_TC_Web!H$1:H$500,SMALL(IF(Create_TC_Web!$C$1:$C$500&lt;&gt;"",MATCH(ROW(Create_TC_Web!$C$1:$C$500),ROW(Create_TC_Web!$C$1:$C$500)),""),ROW(Create_TC_Web!F487))),"")</f>
        <v/>
      </c>
      <c r="F487" t="str" cm="1">
        <f t="array" ref="F487">IFERROR(INDEX(Create_TC_Web!I$1:I$500,SMALL(IF(Create_TC_Web!$C$1:$C$500&lt;&gt;"",MATCH(ROW(Create_TC_Web!$C$1:$C$500),ROW(Create_TC_Web!$C$1:$C$500)),""),ROW(Create_TC_Web!G487))),"")</f>
        <v/>
      </c>
      <c r="G487" t="str" cm="1">
        <f t="array" ref="G487">IFERROR(INDEX(Create_TC_Web!J$1:J$500,SMALL(IF(Create_TC_Web!$C$1:$C$500&lt;&gt;"",MATCH(ROW(Create_TC_Web!$C$1:$C$500),ROW(Create_TC_Web!$C$1:$C$500)),""),ROW(Create_TC_Web!H487))),"")</f>
        <v/>
      </c>
      <c r="H487" t="str" cm="1">
        <f t="array" ref="H487">IFERROR(INDEX(Create_TC_Web!K$1:K$500,SMALL(IF(Create_TC_Web!$C$1:$C$500&lt;&gt;"",MATCH(ROW(Create_TC_Web!$C$1:$C$500),ROW(Create_TC_Web!$C$1:$C$500)),""),ROW(Create_TC_Web!I487))),"")</f>
        <v/>
      </c>
      <c r="I487" t="str" cm="1">
        <f t="array" ref="I487">IFERROR(INDEX(Create_TC_Web!L$1:L$500,SMALL(IF(Create_TC_Web!$C$1:$C$500&lt;&gt;"",MATCH(ROW(Create_TC_Web!$C$1:$C$500),ROW(Create_TC_Web!$C$1:$C$500)),""),ROW(Create_TC_Web!J487))),"")</f>
        <v/>
      </c>
      <c r="J487" t="str" cm="1">
        <f t="array" ref="J487">IFERROR(INDEX(Create_TC_Web!M$1:M$500,SMALL(IF(Create_TC_Web!$C$1:$C$500&lt;&gt;"",MATCH(ROW(Create_TC_Web!$C$1:$C$500),ROW(Create_TC_Web!$C$1:$C$500)),""),ROW(Create_TC_Web!K487))),"")</f>
        <v/>
      </c>
      <c r="K487" t="str" cm="1">
        <f t="array" ref="K487">IFERROR(INDEX(Create_TC_Web!N$1:N$500,SMALL(IF(Create_TC_Web!$C$1:$C$500&lt;&gt;"",MATCH(ROW(Create_TC_Web!$C$1:$C$500),ROW(Create_TC_Web!$C$1:$C$500)),""),ROW(Create_TC_Web!L487))),"")</f>
        <v/>
      </c>
      <c r="L487" t="str" cm="1">
        <f t="array" ref="L487">IFERROR(INDEX(Create_TC_Web!O$1:O$500,SMALL(IF(Create_TC_Web!$C$1:$C$500&lt;&gt;"",MATCH(ROW(Create_TC_Web!$C$1:$C$500),ROW(Create_TC_Web!$C$1:$C$500)),""),ROW(Create_TC_Web!M487))),"")</f>
        <v/>
      </c>
      <c r="M487" t="str" cm="1">
        <f t="array" ref="M487">IFERROR(INDEX(Create_TC_Web!P$1:P$500,SMALL(IF(Create_TC_Web!$C$1:$C$500&lt;&gt;"",MATCH(ROW(Create_TC_Web!$C$1:$C$500),ROW(Create_TC_Web!$C$1:$C$500)),""),ROW(Create_TC_Web!N487))),"")</f>
        <v/>
      </c>
      <c r="N487" t="str" cm="1">
        <f t="array" ref="N487">IFERROR(INDEX(Create_TC_Web!Q$1:Q$500,SMALL(IF(Create_TC_Web!$C$1:$C$500&lt;&gt;"",MATCH(ROW(Create_TC_Web!$C$1:$C$500),ROW(Create_TC_Web!$C$1:$C$500)),""),ROW(Create_TC_Web!O487))),"")</f>
        <v/>
      </c>
      <c r="O487" t="str">
        <f t="shared" si="23"/>
        <v/>
      </c>
      <c r="P487" s="17" t="str" cm="1">
        <f t="array" ref="P487">IFERROR(INDEX(Create_TC_Web!S$1:S$500,SMALL(IF(Create_TC_Web!$C$1:$C$500&lt;&gt;"",MATCH(ROW(Create_TC_Web!$C$1:$C$500),ROW(Create_TC_Web!$C$1:$C$500)),""),ROW(Create_TC_Web!Q465))),"")</f>
        <v/>
      </c>
      <c r="S487" t="str">
        <f t="shared" si="22"/>
        <v/>
      </c>
    </row>
    <row r="488" spans="1:19">
      <c r="A488" t="str" cm="1">
        <f t="array" ref="A488">IFERROR(INDEX(Create_TC_Web!D$1:D$500,SMALL(IF(Create_TC_Web!$C$1:$C$500&lt;&gt;"",MATCH(ROW(Create_TC_Web!$C$1:$C$500),ROW(Create_TC_Web!$C$1:$C$500)),""),ROW(Create_TC_Web!B488))),"")</f>
        <v/>
      </c>
      <c r="B488" t="str" cm="1">
        <f t="array" ref="B488">SUBSTITUTE(SUBSTITUTE(SUBSTITUTE(IFERROR(INDEX(Create_TC_Web!E$1:E$505,SMALL(IF(Create_TC_Web!$C$1:$C$505&lt;&gt;"",MATCH(ROW(Create_TC_Web!$C$1:$C$505),ROW(Create_TC_Web!$C$1:$C$505)),""),ROW(Create_TC_Web!C488))),"")," ",""),"-",""),"_","")</f>
        <v/>
      </c>
      <c r="C488" t="str" cm="1">
        <f t="array" ref="C488">IFERROR(INDEX(Create_TC_Web!F$1:F$500,SMALL(IF(Create_TC_Web!$C$1:$C$500&lt;&gt;"",MATCH(ROW(Create_TC_Web!$C$1:$C$500),ROW(Create_TC_Web!$C$1:$C$500)),""),ROW(Create_TC_Web!D488))),"")</f>
        <v/>
      </c>
      <c r="D488" t="str" cm="1">
        <f t="array" ref="D488">IFERROR(INDEX(Create_TC_Web!G$1:G$500,SMALL(IF(Create_TC_Web!$C$1:$C$500&lt;&gt;"",MATCH(ROW(Create_TC_Web!$C$1:$C$500),ROW(Create_TC_Web!$C$1:$C$500)),""),ROW(Create_TC_Web!E488))),"")</f>
        <v/>
      </c>
      <c r="E488" t="str" cm="1">
        <f t="array" ref="E488">IFERROR(INDEX(Create_TC_Web!H$1:H$500,SMALL(IF(Create_TC_Web!$C$1:$C$500&lt;&gt;"",MATCH(ROW(Create_TC_Web!$C$1:$C$500),ROW(Create_TC_Web!$C$1:$C$500)),""),ROW(Create_TC_Web!F488))),"")</f>
        <v/>
      </c>
      <c r="F488" t="str" cm="1">
        <f t="array" ref="F488">IFERROR(INDEX(Create_TC_Web!I$1:I$500,SMALL(IF(Create_TC_Web!$C$1:$C$500&lt;&gt;"",MATCH(ROW(Create_TC_Web!$C$1:$C$500),ROW(Create_TC_Web!$C$1:$C$500)),""),ROW(Create_TC_Web!G488))),"")</f>
        <v/>
      </c>
      <c r="G488" t="str" cm="1">
        <f t="array" ref="G488">IFERROR(INDEX(Create_TC_Web!J$1:J$500,SMALL(IF(Create_TC_Web!$C$1:$C$500&lt;&gt;"",MATCH(ROW(Create_TC_Web!$C$1:$C$500),ROW(Create_TC_Web!$C$1:$C$500)),""),ROW(Create_TC_Web!H488))),"")</f>
        <v/>
      </c>
      <c r="H488" t="str" cm="1">
        <f t="array" ref="H488">IFERROR(INDEX(Create_TC_Web!K$1:K$500,SMALL(IF(Create_TC_Web!$C$1:$C$500&lt;&gt;"",MATCH(ROW(Create_TC_Web!$C$1:$C$500),ROW(Create_TC_Web!$C$1:$C$500)),""),ROW(Create_TC_Web!I488))),"")</f>
        <v/>
      </c>
      <c r="I488" t="str" cm="1">
        <f t="array" ref="I488">IFERROR(INDEX(Create_TC_Web!L$1:L$500,SMALL(IF(Create_TC_Web!$C$1:$C$500&lt;&gt;"",MATCH(ROW(Create_TC_Web!$C$1:$C$500),ROW(Create_TC_Web!$C$1:$C$500)),""),ROW(Create_TC_Web!J488))),"")</f>
        <v/>
      </c>
      <c r="J488" t="str" cm="1">
        <f t="array" ref="J488">IFERROR(INDEX(Create_TC_Web!M$1:M$500,SMALL(IF(Create_TC_Web!$C$1:$C$500&lt;&gt;"",MATCH(ROW(Create_TC_Web!$C$1:$C$500),ROW(Create_TC_Web!$C$1:$C$500)),""),ROW(Create_TC_Web!K488))),"")</f>
        <v/>
      </c>
      <c r="K488" t="str" cm="1">
        <f t="array" ref="K488">IFERROR(INDEX(Create_TC_Web!N$1:N$500,SMALL(IF(Create_TC_Web!$C$1:$C$500&lt;&gt;"",MATCH(ROW(Create_TC_Web!$C$1:$C$500),ROW(Create_TC_Web!$C$1:$C$500)),""),ROW(Create_TC_Web!L488))),"")</f>
        <v/>
      </c>
      <c r="L488" t="str" cm="1">
        <f t="array" ref="L488">IFERROR(INDEX(Create_TC_Web!O$1:O$500,SMALL(IF(Create_TC_Web!$C$1:$C$500&lt;&gt;"",MATCH(ROW(Create_TC_Web!$C$1:$C$500),ROW(Create_TC_Web!$C$1:$C$500)),""),ROW(Create_TC_Web!M488))),"")</f>
        <v/>
      </c>
      <c r="M488" t="str" cm="1">
        <f t="array" ref="M488">IFERROR(INDEX(Create_TC_Web!P$1:P$500,SMALL(IF(Create_TC_Web!$C$1:$C$500&lt;&gt;"",MATCH(ROW(Create_TC_Web!$C$1:$C$500),ROW(Create_TC_Web!$C$1:$C$500)),""),ROW(Create_TC_Web!N488))),"")</f>
        <v/>
      </c>
      <c r="N488" t="str" cm="1">
        <f t="array" ref="N488">IFERROR(INDEX(Create_TC_Web!Q$1:Q$500,SMALL(IF(Create_TC_Web!$C$1:$C$500&lt;&gt;"",MATCH(ROW(Create_TC_Web!$C$1:$C$500),ROW(Create_TC_Web!$C$1:$C$500)),""),ROW(Create_TC_Web!O488))),"")</f>
        <v/>
      </c>
      <c r="O488" t="str">
        <f t="shared" si="23"/>
        <v/>
      </c>
      <c r="P488" s="17" t="str" cm="1">
        <f t="array" ref="P488">IFERROR(INDEX(Create_TC_Web!S$1:S$500,SMALL(IF(Create_TC_Web!$C$1:$C$500&lt;&gt;"",MATCH(ROW(Create_TC_Web!$C$1:$C$500),ROW(Create_TC_Web!$C$1:$C$500)),""),ROW(Create_TC_Web!Q466))),"")</f>
        <v/>
      </c>
      <c r="S488" t="str">
        <f t="shared" si="22"/>
        <v/>
      </c>
    </row>
    <row r="489" spans="1:19">
      <c r="A489" t="str" cm="1">
        <f t="array" ref="A489">IFERROR(INDEX(Create_TC_Web!D$1:D$500,SMALL(IF(Create_TC_Web!$C$1:$C$500&lt;&gt;"",MATCH(ROW(Create_TC_Web!$C$1:$C$500),ROW(Create_TC_Web!$C$1:$C$500)),""),ROW(Create_TC_Web!B489))),"")</f>
        <v/>
      </c>
      <c r="B489" t="str" cm="1">
        <f t="array" ref="B489">SUBSTITUTE(SUBSTITUTE(SUBSTITUTE(IFERROR(INDEX(Create_TC_Web!E$1:E$505,SMALL(IF(Create_TC_Web!$C$1:$C$505&lt;&gt;"",MATCH(ROW(Create_TC_Web!$C$1:$C$505),ROW(Create_TC_Web!$C$1:$C$505)),""),ROW(Create_TC_Web!C489))),"")," ",""),"-",""),"_","")</f>
        <v/>
      </c>
      <c r="C489" t="str" cm="1">
        <f t="array" ref="C489">IFERROR(INDEX(Create_TC_Web!F$1:F$500,SMALL(IF(Create_TC_Web!$C$1:$C$500&lt;&gt;"",MATCH(ROW(Create_TC_Web!$C$1:$C$500),ROW(Create_TC_Web!$C$1:$C$500)),""),ROW(Create_TC_Web!D489))),"")</f>
        <v/>
      </c>
      <c r="D489" t="str" cm="1">
        <f t="array" ref="D489">IFERROR(INDEX(Create_TC_Web!G$1:G$500,SMALL(IF(Create_TC_Web!$C$1:$C$500&lt;&gt;"",MATCH(ROW(Create_TC_Web!$C$1:$C$500),ROW(Create_TC_Web!$C$1:$C$500)),""),ROW(Create_TC_Web!E489))),"")</f>
        <v/>
      </c>
      <c r="E489" t="str" cm="1">
        <f t="array" ref="E489">IFERROR(INDEX(Create_TC_Web!H$1:H$500,SMALL(IF(Create_TC_Web!$C$1:$C$500&lt;&gt;"",MATCH(ROW(Create_TC_Web!$C$1:$C$500),ROW(Create_TC_Web!$C$1:$C$500)),""),ROW(Create_TC_Web!F489))),"")</f>
        <v/>
      </c>
      <c r="F489" t="str" cm="1">
        <f t="array" ref="F489">IFERROR(INDEX(Create_TC_Web!I$1:I$500,SMALL(IF(Create_TC_Web!$C$1:$C$500&lt;&gt;"",MATCH(ROW(Create_TC_Web!$C$1:$C$500),ROW(Create_TC_Web!$C$1:$C$500)),""),ROW(Create_TC_Web!G489))),"")</f>
        <v/>
      </c>
      <c r="G489" t="str" cm="1">
        <f t="array" ref="G489">IFERROR(INDEX(Create_TC_Web!J$1:J$500,SMALL(IF(Create_TC_Web!$C$1:$C$500&lt;&gt;"",MATCH(ROW(Create_TC_Web!$C$1:$C$500),ROW(Create_TC_Web!$C$1:$C$500)),""),ROW(Create_TC_Web!H489))),"")</f>
        <v/>
      </c>
      <c r="H489" t="str" cm="1">
        <f t="array" ref="H489">IFERROR(INDEX(Create_TC_Web!K$1:K$500,SMALL(IF(Create_TC_Web!$C$1:$C$500&lt;&gt;"",MATCH(ROW(Create_TC_Web!$C$1:$C$500),ROW(Create_TC_Web!$C$1:$C$500)),""),ROW(Create_TC_Web!I489))),"")</f>
        <v/>
      </c>
      <c r="I489" t="str" cm="1">
        <f t="array" ref="I489">IFERROR(INDEX(Create_TC_Web!L$1:L$500,SMALL(IF(Create_TC_Web!$C$1:$C$500&lt;&gt;"",MATCH(ROW(Create_TC_Web!$C$1:$C$500),ROW(Create_TC_Web!$C$1:$C$500)),""),ROW(Create_TC_Web!J489))),"")</f>
        <v/>
      </c>
      <c r="J489" t="str" cm="1">
        <f t="array" ref="J489">IFERROR(INDEX(Create_TC_Web!M$1:M$500,SMALL(IF(Create_TC_Web!$C$1:$C$500&lt;&gt;"",MATCH(ROW(Create_TC_Web!$C$1:$C$500),ROW(Create_TC_Web!$C$1:$C$500)),""),ROW(Create_TC_Web!K489))),"")</f>
        <v/>
      </c>
      <c r="K489" t="str" cm="1">
        <f t="array" ref="K489">IFERROR(INDEX(Create_TC_Web!N$1:N$500,SMALL(IF(Create_TC_Web!$C$1:$C$500&lt;&gt;"",MATCH(ROW(Create_TC_Web!$C$1:$C$500),ROW(Create_TC_Web!$C$1:$C$500)),""),ROW(Create_TC_Web!L489))),"")</f>
        <v/>
      </c>
      <c r="L489" t="str" cm="1">
        <f t="array" ref="L489">IFERROR(INDEX(Create_TC_Web!O$1:O$500,SMALL(IF(Create_TC_Web!$C$1:$C$500&lt;&gt;"",MATCH(ROW(Create_TC_Web!$C$1:$C$500),ROW(Create_TC_Web!$C$1:$C$500)),""),ROW(Create_TC_Web!M489))),"")</f>
        <v/>
      </c>
      <c r="M489" t="str" cm="1">
        <f t="array" ref="M489">IFERROR(INDEX(Create_TC_Web!P$1:P$500,SMALL(IF(Create_TC_Web!$C$1:$C$500&lt;&gt;"",MATCH(ROW(Create_TC_Web!$C$1:$C$500),ROW(Create_TC_Web!$C$1:$C$500)),""),ROW(Create_TC_Web!N489))),"")</f>
        <v/>
      </c>
      <c r="N489" t="str" cm="1">
        <f t="array" ref="N489">IFERROR(INDEX(Create_TC_Web!Q$1:Q$500,SMALL(IF(Create_TC_Web!$C$1:$C$500&lt;&gt;"",MATCH(ROW(Create_TC_Web!$C$1:$C$500),ROW(Create_TC_Web!$C$1:$C$500)),""),ROW(Create_TC_Web!O489))),"")</f>
        <v/>
      </c>
      <c r="O489" t="str">
        <f t="shared" si="23"/>
        <v/>
      </c>
      <c r="P489" s="17" t="str" cm="1">
        <f t="array" ref="P489">IFERROR(INDEX(Create_TC_Web!S$1:S$500,SMALL(IF(Create_TC_Web!$C$1:$C$500&lt;&gt;"",MATCH(ROW(Create_TC_Web!$C$1:$C$500),ROW(Create_TC_Web!$C$1:$C$500)),""),ROW(Create_TC_Web!Q467))),"")</f>
        <v/>
      </c>
      <c r="S489" t="str">
        <f t="shared" si="22"/>
        <v/>
      </c>
    </row>
    <row r="490" spans="1:19">
      <c r="A490" t="str" cm="1">
        <f t="array" ref="A490">IFERROR(INDEX(Create_TC_Web!D$1:D$500,SMALL(IF(Create_TC_Web!$C$1:$C$500&lt;&gt;"",MATCH(ROW(Create_TC_Web!$C$1:$C$500),ROW(Create_TC_Web!$C$1:$C$500)),""),ROW(Create_TC_Web!B490))),"")</f>
        <v/>
      </c>
      <c r="B490" t="str" cm="1">
        <f t="array" ref="B490">SUBSTITUTE(SUBSTITUTE(SUBSTITUTE(IFERROR(INDEX(Create_TC_Web!E$1:E$505,SMALL(IF(Create_TC_Web!$C$1:$C$505&lt;&gt;"",MATCH(ROW(Create_TC_Web!$C$1:$C$505),ROW(Create_TC_Web!$C$1:$C$505)),""),ROW(Create_TC_Web!C490))),"")," ",""),"-",""),"_","")</f>
        <v/>
      </c>
      <c r="C490" t="str" cm="1">
        <f t="array" ref="C490">IFERROR(INDEX(Create_TC_Web!F$1:F$500,SMALL(IF(Create_TC_Web!$C$1:$C$500&lt;&gt;"",MATCH(ROW(Create_TC_Web!$C$1:$C$500),ROW(Create_TC_Web!$C$1:$C$500)),""),ROW(Create_TC_Web!D490))),"")</f>
        <v/>
      </c>
      <c r="D490" t="str" cm="1">
        <f t="array" ref="D490">IFERROR(INDEX(Create_TC_Web!G$1:G$500,SMALL(IF(Create_TC_Web!$C$1:$C$500&lt;&gt;"",MATCH(ROW(Create_TC_Web!$C$1:$C$500),ROW(Create_TC_Web!$C$1:$C$500)),""),ROW(Create_TC_Web!E490))),"")</f>
        <v/>
      </c>
      <c r="E490" t="str" cm="1">
        <f t="array" ref="E490">IFERROR(INDEX(Create_TC_Web!H$1:H$500,SMALL(IF(Create_TC_Web!$C$1:$C$500&lt;&gt;"",MATCH(ROW(Create_TC_Web!$C$1:$C$500),ROW(Create_TC_Web!$C$1:$C$500)),""),ROW(Create_TC_Web!F490))),"")</f>
        <v/>
      </c>
      <c r="F490" t="str" cm="1">
        <f t="array" ref="F490">IFERROR(INDEX(Create_TC_Web!I$1:I$500,SMALL(IF(Create_TC_Web!$C$1:$C$500&lt;&gt;"",MATCH(ROW(Create_TC_Web!$C$1:$C$500),ROW(Create_TC_Web!$C$1:$C$500)),""),ROW(Create_TC_Web!G490))),"")</f>
        <v/>
      </c>
      <c r="G490" t="str" cm="1">
        <f t="array" ref="G490">IFERROR(INDEX(Create_TC_Web!J$1:J$500,SMALL(IF(Create_TC_Web!$C$1:$C$500&lt;&gt;"",MATCH(ROW(Create_TC_Web!$C$1:$C$500),ROW(Create_TC_Web!$C$1:$C$500)),""),ROW(Create_TC_Web!H490))),"")</f>
        <v/>
      </c>
      <c r="H490" t="str" cm="1">
        <f t="array" ref="H490">IFERROR(INDEX(Create_TC_Web!K$1:K$500,SMALL(IF(Create_TC_Web!$C$1:$C$500&lt;&gt;"",MATCH(ROW(Create_TC_Web!$C$1:$C$500),ROW(Create_TC_Web!$C$1:$C$500)),""),ROW(Create_TC_Web!I490))),"")</f>
        <v/>
      </c>
      <c r="I490" t="str" cm="1">
        <f t="array" ref="I490">IFERROR(INDEX(Create_TC_Web!L$1:L$500,SMALL(IF(Create_TC_Web!$C$1:$C$500&lt;&gt;"",MATCH(ROW(Create_TC_Web!$C$1:$C$500),ROW(Create_TC_Web!$C$1:$C$500)),""),ROW(Create_TC_Web!J490))),"")</f>
        <v/>
      </c>
      <c r="J490" t="str" cm="1">
        <f t="array" ref="J490">IFERROR(INDEX(Create_TC_Web!M$1:M$500,SMALL(IF(Create_TC_Web!$C$1:$C$500&lt;&gt;"",MATCH(ROW(Create_TC_Web!$C$1:$C$500),ROW(Create_TC_Web!$C$1:$C$500)),""),ROW(Create_TC_Web!K490))),"")</f>
        <v/>
      </c>
      <c r="K490" t="str" cm="1">
        <f t="array" ref="K490">IFERROR(INDEX(Create_TC_Web!N$1:N$500,SMALL(IF(Create_TC_Web!$C$1:$C$500&lt;&gt;"",MATCH(ROW(Create_TC_Web!$C$1:$C$500),ROW(Create_TC_Web!$C$1:$C$500)),""),ROW(Create_TC_Web!L490))),"")</f>
        <v/>
      </c>
      <c r="L490" t="str" cm="1">
        <f t="array" ref="L490">IFERROR(INDEX(Create_TC_Web!O$1:O$500,SMALL(IF(Create_TC_Web!$C$1:$C$500&lt;&gt;"",MATCH(ROW(Create_TC_Web!$C$1:$C$500),ROW(Create_TC_Web!$C$1:$C$500)),""),ROW(Create_TC_Web!M490))),"")</f>
        <v/>
      </c>
      <c r="M490" t="str" cm="1">
        <f t="array" ref="M490">IFERROR(INDEX(Create_TC_Web!P$1:P$500,SMALL(IF(Create_TC_Web!$C$1:$C$500&lt;&gt;"",MATCH(ROW(Create_TC_Web!$C$1:$C$500),ROW(Create_TC_Web!$C$1:$C$500)),""),ROW(Create_TC_Web!N490))),"")</f>
        <v/>
      </c>
      <c r="N490" t="str" cm="1">
        <f t="array" ref="N490">IFERROR(INDEX(Create_TC_Web!Q$1:Q$500,SMALL(IF(Create_TC_Web!$C$1:$C$500&lt;&gt;"",MATCH(ROW(Create_TC_Web!$C$1:$C$500),ROW(Create_TC_Web!$C$1:$C$500)),""),ROW(Create_TC_Web!O490))),"")</f>
        <v/>
      </c>
      <c r="O490" t="str">
        <f t="shared" si="23"/>
        <v/>
      </c>
      <c r="P490" s="17" t="str" cm="1">
        <f t="array" ref="P490">IFERROR(INDEX(Create_TC_Web!S$1:S$500,SMALL(IF(Create_TC_Web!$C$1:$C$500&lt;&gt;"",MATCH(ROW(Create_TC_Web!$C$1:$C$500),ROW(Create_TC_Web!$C$1:$C$500)),""),ROW(Create_TC_Web!Q468))),"")</f>
        <v/>
      </c>
      <c r="S490" t="str">
        <f t="shared" si="22"/>
        <v/>
      </c>
    </row>
    <row r="491" spans="1:19">
      <c r="A491" t="str" cm="1">
        <f t="array" ref="A491">IFERROR(INDEX(Create_TC_Web!D$1:D$500,SMALL(IF(Create_TC_Web!$C$1:$C$500&lt;&gt;"",MATCH(ROW(Create_TC_Web!$C$1:$C$500),ROW(Create_TC_Web!$C$1:$C$500)),""),ROW(Create_TC_Web!B491))),"")</f>
        <v/>
      </c>
      <c r="B491" t="str" cm="1">
        <f t="array" ref="B491">SUBSTITUTE(SUBSTITUTE(SUBSTITUTE(IFERROR(INDEX(Create_TC_Web!E$1:E$505,SMALL(IF(Create_TC_Web!$C$1:$C$505&lt;&gt;"",MATCH(ROW(Create_TC_Web!$C$1:$C$505),ROW(Create_TC_Web!$C$1:$C$505)),""),ROW(Create_TC_Web!C491))),"")," ",""),"-",""),"_","")</f>
        <v/>
      </c>
      <c r="C491" t="str" cm="1">
        <f t="array" ref="C491">IFERROR(INDEX(Create_TC_Web!F$1:F$500,SMALL(IF(Create_TC_Web!$C$1:$C$500&lt;&gt;"",MATCH(ROW(Create_TC_Web!$C$1:$C$500),ROW(Create_TC_Web!$C$1:$C$500)),""),ROW(Create_TC_Web!D491))),"")</f>
        <v/>
      </c>
      <c r="D491" t="str" cm="1">
        <f t="array" ref="D491">IFERROR(INDEX(Create_TC_Web!G$1:G$500,SMALL(IF(Create_TC_Web!$C$1:$C$500&lt;&gt;"",MATCH(ROW(Create_TC_Web!$C$1:$C$500),ROW(Create_TC_Web!$C$1:$C$500)),""),ROW(Create_TC_Web!E491))),"")</f>
        <v/>
      </c>
      <c r="E491" t="str" cm="1">
        <f t="array" ref="E491">IFERROR(INDEX(Create_TC_Web!H$1:H$500,SMALL(IF(Create_TC_Web!$C$1:$C$500&lt;&gt;"",MATCH(ROW(Create_TC_Web!$C$1:$C$500),ROW(Create_TC_Web!$C$1:$C$500)),""),ROW(Create_TC_Web!F491))),"")</f>
        <v/>
      </c>
      <c r="F491" t="str" cm="1">
        <f t="array" ref="F491">IFERROR(INDEX(Create_TC_Web!I$1:I$500,SMALL(IF(Create_TC_Web!$C$1:$C$500&lt;&gt;"",MATCH(ROW(Create_TC_Web!$C$1:$C$500),ROW(Create_TC_Web!$C$1:$C$500)),""),ROW(Create_TC_Web!G491))),"")</f>
        <v/>
      </c>
      <c r="G491" t="str" cm="1">
        <f t="array" ref="G491">IFERROR(INDEX(Create_TC_Web!J$1:J$500,SMALL(IF(Create_TC_Web!$C$1:$C$500&lt;&gt;"",MATCH(ROW(Create_TC_Web!$C$1:$C$500),ROW(Create_TC_Web!$C$1:$C$500)),""),ROW(Create_TC_Web!H491))),"")</f>
        <v/>
      </c>
      <c r="H491" t="str" cm="1">
        <f t="array" ref="H491">IFERROR(INDEX(Create_TC_Web!K$1:K$500,SMALL(IF(Create_TC_Web!$C$1:$C$500&lt;&gt;"",MATCH(ROW(Create_TC_Web!$C$1:$C$500),ROW(Create_TC_Web!$C$1:$C$500)),""),ROW(Create_TC_Web!I491))),"")</f>
        <v/>
      </c>
      <c r="I491" t="str" cm="1">
        <f t="array" ref="I491">IFERROR(INDEX(Create_TC_Web!L$1:L$500,SMALL(IF(Create_TC_Web!$C$1:$C$500&lt;&gt;"",MATCH(ROW(Create_TC_Web!$C$1:$C$500),ROW(Create_TC_Web!$C$1:$C$500)),""),ROW(Create_TC_Web!J491))),"")</f>
        <v/>
      </c>
      <c r="J491" t="str" cm="1">
        <f t="array" ref="J491">IFERROR(INDEX(Create_TC_Web!M$1:M$500,SMALL(IF(Create_TC_Web!$C$1:$C$500&lt;&gt;"",MATCH(ROW(Create_TC_Web!$C$1:$C$500),ROW(Create_TC_Web!$C$1:$C$500)),""),ROW(Create_TC_Web!K491))),"")</f>
        <v/>
      </c>
      <c r="K491" t="str" cm="1">
        <f t="array" ref="K491">IFERROR(INDEX(Create_TC_Web!N$1:N$500,SMALL(IF(Create_TC_Web!$C$1:$C$500&lt;&gt;"",MATCH(ROW(Create_TC_Web!$C$1:$C$500),ROW(Create_TC_Web!$C$1:$C$500)),""),ROW(Create_TC_Web!L491))),"")</f>
        <v/>
      </c>
      <c r="L491" t="str" cm="1">
        <f t="array" ref="L491">IFERROR(INDEX(Create_TC_Web!O$1:O$500,SMALL(IF(Create_TC_Web!$C$1:$C$500&lt;&gt;"",MATCH(ROW(Create_TC_Web!$C$1:$C$500),ROW(Create_TC_Web!$C$1:$C$500)),""),ROW(Create_TC_Web!M491))),"")</f>
        <v/>
      </c>
      <c r="M491" t="str" cm="1">
        <f t="array" ref="M491">IFERROR(INDEX(Create_TC_Web!P$1:P$500,SMALL(IF(Create_TC_Web!$C$1:$C$500&lt;&gt;"",MATCH(ROW(Create_TC_Web!$C$1:$C$500),ROW(Create_TC_Web!$C$1:$C$500)),""),ROW(Create_TC_Web!N491))),"")</f>
        <v/>
      </c>
      <c r="N491" t="str" cm="1">
        <f t="array" ref="N491">IFERROR(INDEX(Create_TC_Web!Q$1:Q$500,SMALL(IF(Create_TC_Web!$C$1:$C$500&lt;&gt;"",MATCH(ROW(Create_TC_Web!$C$1:$C$500),ROW(Create_TC_Web!$C$1:$C$500)),""),ROW(Create_TC_Web!O491))),"")</f>
        <v/>
      </c>
      <c r="O491" t="str">
        <f t="shared" si="23"/>
        <v/>
      </c>
      <c r="P491" s="17" t="str" cm="1">
        <f t="array" ref="P491">IFERROR(INDEX(Create_TC_Web!S$1:S$500,SMALL(IF(Create_TC_Web!$C$1:$C$500&lt;&gt;"",MATCH(ROW(Create_TC_Web!$C$1:$C$500),ROW(Create_TC_Web!$C$1:$C$500)),""),ROW(Create_TC_Web!Q469))),"")</f>
        <v/>
      </c>
      <c r="S491" t="str">
        <f t="shared" si="22"/>
        <v/>
      </c>
    </row>
    <row r="492" spans="1:19">
      <c r="A492" t="str" cm="1">
        <f t="array" ref="A492">IFERROR(INDEX(Create_TC_Web!D$1:D$500,SMALL(IF(Create_TC_Web!$C$1:$C$500&lt;&gt;"",MATCH(ROW(Create_TC_Web!$C$1:$C$500),ROW(Create_TC_Web!$C$1:$C$500)),""),ROW(Create_TC_Web!B492))),"")</f>
        <v/>
      </c>
      <c r="B492" t="str" cm="1">
        <f t="array" ref="B492">SUBSTITUTE(SUBSTITUTE(SUBSTITUTE(IFERROR(INDEX(Create_TC_Web!E$1:E$505,SMALL(IF(Create_TC_Web!$C$1:$C$505&lt;&gt;"",MATCH(ROW(Create_TC_Web!$C$1:$C$505),ROW(Create_TC_Web!$C$1:$C$505)),""),ROW(Create_TC_Web!C492))),"")," ",""),"-",""),"_","")</f>
        <v/>
      </c>
      <c r="C492" t="str" cm="1">
        <f t="array" ref="C492">IFERROR(INDEX(Create_TC_Web!F$1:F$500,SMALL(IF(Create_TC_Web!$C$1:$C$500&lt;&gt;"",MATCH(ROW(Create_TC_Web!$C$1:$C$500),ROW(Create_TC_Web!$C$1:$C$500)),""),ROW(Create_TC_Web!D492))),"")</f>
        <v/>
      </c>
      <c r="D492" t="str" cm="1">
        <f t="array" ref="D492">IFERROR(INDEX(Create_TC_Web!G$1:G$500,SMALL(IF(Create_TC_Web!$C$1:$C$500&lt;&gt;"",MATCH(ROW(Create_TC_Web!$C$1:$C$500),ROW(Create_TC_Web!$C$1:$C$500)),""),ROW(Create_TC_Web!E492))),"")</f>
        <v/>
      </c>
      <c r="E492" t="str" cm="1">
        <f t="array" ref="E492">IFERROR(INDEX(Create_TC_Web!H$1:H$500,SMALL(IF(Create_TC_Web!$C$1:$C$500&lt;&gt;"",MATCH(ROW(Create_TC_Web!$C$1:$C$500),ROW(Create_TC_Web!$C$1:$C$500)),""),ROW(Create_TC_Web!F492))),"")</f>
        <v/>
      </c>
      <c r="F492" t="str" cm="1">
        <f t="array" ref="F492">IFERROR(INDEX(Create_TC_Web!I$1:I$500,SMALL(IF(Create_TC_Web!$C$1:$C$500&lt;&gt;"",MATCH(ROW(Create_TC_Web!$C$1:$C$500),ROW(Create_TC_Web!$C$1:$C$500)),""),ROW(Create_TC_Web!G492))),"")</f>
        <v/>
      </c>
      <c r="G492" t="str" cm="1">
        <f t="array" ref="G492">IFERROR(INDEX(Create_TC_Web!J$1:J$500,SMALL(IF(Create_TC_Web!$C$1:$C$500&lt;&gt;"",MATCH(ROW(Create_TC_Web!$C$1:$C$500),ROW(Create_TC_Web!$C$1:$C$500)),""),ROW(Create_TC_Web!H492))),"")</f>
        <v/>
      </c>
      <c r="H492" t="str" cm="1">
        <f t="array" ref="H492">IFERROR(INDEX(Create_TC_Web!K$1:K$500,SMALL(IF(Create_TC_Web!$C$1:$C$500&lt;&gt;"",MATCH(ROW(Create_TC_Web!$C$1:$C$500),ROW(Create_TC_Web!$C$1:$C$500)),""),ROW(Create_TC_Web!I492))),"")</f>
        <v/>
      </c>
      <c r="I492" t="str" cm="1">
        <f t="array" ref="I492">IFERROR(INDEX(Create_TC_Web!L$1:L$500,SMALL(IF(Create_TC_Web!$C$1:$C$500&lt;&gt;"",MATCH(ROW(Create_TC_Web!$C$1:$C$500),ROW(Create_TC_Web!$C$1:$C$500)),""),ROW(Create_TC_Web!J492))),"")</f>
        <v/>
      </c>
      <c r="J492" t="str" cm="1">
        <f t="array" ref="J492">IFERROR(INDEX(Create_TC_Web!M$1:M$500,SMALL(IF(Create_TC_Web!$C$1:$C$500&lt;&gt;"",MATCH(ROW(Create_TC_Web!$C$1:$C$500),ROW(Create_TC_Web!$C$1:$C$500)),""),ROW(Create_TC_Web!K492))),"")</f>
        <v/>
      </c>
      <c r="K492" t="str" cm="1">
        <f t="array" ref="K492">IFERROR(INDEX(Create_TC_Web!N$1:N$500,SMALL(IF(Create_TC_Web!$C$1:$C$500&lt;&gt;"",MATCH(ROW(Create_TC_Web!$C$1:$C$500),ROW(Create_TC_Web!$C$1:$C$500)),""),ROW(Create_TC_Web!L492))),"")</f>
        <v/>
      </c>
      <c r="L492" t="str" cm="1">
        <f t="array" ref="L492">IFERROR(INDEX(Create_TC_Web!O$1:O$500,SMALL(IF(Create_TC_Web!$C$1:$C$500&lt;&gt;"",MATCH(ROW(Create_TC_Web!$C$1:$C$500),ROW(Create_TC_Web!$C$1:$C$500)),""),ROW(Create_TC_Web!M492))),"")</f>
        <v/>
      </c>
      <c r="M492" t="str" cm="1">
        <f t="array" ref="M492">IFERROR(INDEX(Create_TC_Web!P$1:P$500,SMALL(IF(Create_TC_Web!$C$1:$C$500&lt;&gt;"",MATCH(ROW(Create_TC_Web!$C$1:$C$500),ROW(Create_TC_Web!$C$1:$C$500)),""),ROW(Create_TC_Web!N492))),"")</f>
        <v/>
      </c>
      <c r="N492" t="str" cm="1">
        <f t="array" ref="N492">IFERROR(INDEX(Create_TC_Web!Q$1:Q$500,SMALL(IF(Create_TC_Web!$C$1:$C$500&lt;&gt;"",MATCH(ROW(Create_TC_Web!$C$1:$C$500),ROW(Create_TC_Web!$C$1:$C$500)),""),ROW(Create_TC_Web!O492))),"")</f>
        <v/>
      </c>
      <c r="O492" t="str">
        <f t="shared" si="23"/>
        <v/>
      </c>
      <c r="P492" s="17" t="str" cm="1">
        <f t="array" ref="P492">IFERROR(INDEX(Create_TC_Web!S$1:S$500,SMALL(IF(Create_TC_Web!$C$1:$C$500&lt;&gt;"",MATCH(ROW(Create_TC_Web!$C$1:$C$500),ROW(Create_TC_Web!$C$1:$C$500)),""),ROW(Create_TC_Web!Q470))),"")</f>
        <v/>
      </c>
      <c r="S492" t="str">
        <f t="shared" si="22"/>
        <v/>
      </c>
    </row>
    <row r="493" spans="1:19">
      <c r="A493" t="str" cm="1">
        <f t="array" ref="A493">IFERROR(INDEX(Create_TC_Web!D$1:D$500,SMALL(IF(Create_TC_Web!$C$1:$C$500&lt;&gt;"",MATCH(ROW(Create_TC_Web!$C$1:$C$500),ROW(Create_TC_Web!$C$1:$C$500)),""),ROW(Create_TC_Web!B493))),"")</f>
        <v/>
      </c>
      <c r="B493" t="str" cm="1">
        <f t="array" ref="B493">SUBSTITUTE(SUBSTITUTE(SUBSTITUTE(IFERROR(INDEX(Create_TC_Web!E$1:E$505,SMALL(IF(Create_TC_Web!$C$1:$C$505&lt;&gt;"",MATCH(ROW(Create_TC_Web!$C$1:$C$505),ROW(Create_TC_Web!$C$1:$C$505)),""),ROW(Create_TC_Web!C493))),"")," ",""),"-",""),"_","")</f>
        <v/>
      </c>
      <c r="C493" t="str" cm="1">
        <f t="array" ref="C493">IFERROR(INDEX(Create_TC_Web!F$1:F$500,SMALL(IF(Create_TC_Web!$C$1:$C$500&lt;&gt;"",MATCH(ROW(Create_TC_Web!$C$1:$C$500),ROW(Create_TC_Web!$C$1:$C$500)),""),ROW(Create_TC_Web!D493))),"")</f>
        <v/>
      </c>
      <c r="D493" t="str" cm="1">
        <f t="array" ref="D493">IFERROR(INDEX(Create_TC_Web!G$1:G$500,SMALL(IF(Create_TC_Web!$C$1:$C$500&lt;&gt;"",MATCH(ROW(Create_TC_Web!$C$1:$C$500),ROW(Create_TC_Web!$C$1:$C$500)),""),ROW(Create_TC_Web!E493))),"")</f>
        <v/>
      </c>
      <c r="E493" t="str" cm="1">
        <f t="array" ref="E493">IFERROR(INDEX(Create_TC_Web!H$1:H$500,SMALL(IF(Create_TC_Web!$C$1:$C$500&lt;&gt;"",MATCH(ROW(Create_TC_Web!$C$1:$C$500),ROW(Create_TC_Web!$C$1:$C$500)),""),ROW(Create_TC_Web!F493))),"")</f>
        <v/>
      </c>
      <c r="F493" t="str" cm="1">
        <f t="array" ref="F493">IFERROR(INDEX(Create_TC_Web!I$1:I$500,SMALL(IF(Create_TC_Web!$C$1:$C$500&lt;&gt;"",MATCH(ROW(Create_TC_Web!$C$1:$C$500),ROW(Create_TC_Web!$C$1:$C$500)),""),ROW(Create_TC_Web!G493))),"")</f>
        <v/>
      </c>
      <c r="G493" t="str" cm="1">
        <f t="array" ref="G493">IFERROR(INDEX(Create_TC_Web!J$1:J$500,SMALL(IF(Create_TC_Web!$C$1:$C$500&lt;&gt;"",MATCH(ROW(Create_TC_Web!$C$1:$C$500),ROW(Create_TC_Web!$C$1:$C$500)),""),ROW(Create_TC_Web!H493))),"")</f>
        <v/>
      </c>
      <c r="H493" t="str" cm="1">
        <f t="array" ref="H493">IFERROR(INDEX(Create_TC_Web!K$1:K$500,SMALL(IF(Create_TC_Web!$C$1:$C$500&lt;&gt;"",MATCH(ROW(Create_TC_Web!$C$1:$C$500),ROW(Create_TC_Web!$C$1:$C$500)),""),ROW(Create_TC_Web!I493))),"")</f>
        <v/>
      </c>
      <c r="I493" t="str" cm="1">
        <f t="array" ref="I493">IFERROR(INDEX(Create_TC_Web!L$1:L$500,SMALL(IF(Create_TC_Web!$C$1:$C$500&lt;&gt;"",MATCH(ROW(Create_TC_Web!$C$1:$C$500),ROW(Create_TC_Web!$C$1:$C$500)),""),ROW(Create_TC_Web!J493))),"")</f>
        <v/>
      </c>
      <c r="J493" t="str" cm="1">
        <f t="array" ref="J493">IFERROR(INDEX(Create_TC_Web!M$1:M$500,SMALL(IF(Create_TC_Web!$C$1:$C$500&lt;&gt;"",MATCH(ROW(Create_TC_Web!$C$1:$C$500),ROW(Create_TC_Web!$C$1:$C$500)),""),ROW(Create_TC_Web!K493))),"")</f>
        <v/>
      </c>
      <c r="K493" t="str" cm="1">
        <f t="array" ref="K493">IFERROR(INDEX(Create_TC_Web!N$1:N$500,SMALL(IF(Create_TC_Web!$C$1:$C$500&lt;&gt;"",MATCH(ROW(Create_TC_Web!$C$1:$C$500),ROW(Create_TC_Web!$C$1:$C$500)),""),ROW(Create_TC_Web!L493))),"")</f>
        <v/>
      </c>
      <c r="L493" t="str" cm="1">
        <f t="array" ref="L493">IFERROR(INDEX(Create_TC_Web!O$1:O$500,SMALL(IF(Create_TC_Web!$C$1:$C$500&lt;&gt;"",MATCH(ROW(Create_TC_Web!$C$1:$C$500),ROW(Create_TC_Web!$C$1:$C$500)),""),ROW(Create_TC_Web!M493))),"")</f>
        <v/>
      </c>
      <c r="M493" t="str" cm="1">
        <f t="array" ref="M493">IFERROR(INDEX(Create_TC_Web!P$1:P$500,SMALL(IF(Create_TC_Web!$C$1:$C$500&lt;&gt;"",MATCH(ROW(Create_TC_Web!$C$1:$C$500),ROW(Create_TC_Web!$C$1:$C$500)),""),ROW(Create_TC_Web!N493))),"")</f>
        <v/>
      </c>
      <c r="N493" t="str" cm="1">
        <f t="array" ref="N493">IFERROR(INDEX(Create_TC_Web!Q$1:Q$500,SMALL(IF(Create_TC_Web!$C$1:$C$500&lt;&gt;"",MATCH(ROW(Create_TC_Web!$C$1:$C$500),ROW(Create_TC_Web!$C$1:$C$500)),""),ROW(Create_TC_Web!O493))),"")</f>
        <v/>
      </c>
      <c r="O493" t="str">
        <f t="shared" si="23"/>
        <v/>
      </c>
      <c r="P493" s="17" t="str" cm="1">
        <f t="array" ref="P493">IFERROR(INDEX(Create_TC_Web!S$1:S$500,SMALL(IF(Create_TC_Web!$C$1:$C$500&lt;&gt;"",MATCH(ROW(Create_TC_Web!$C$1:$C$500),ROW(Create_TC_Web!$C$1:$C$500)),""),ROW(Create_TC_Web!Q471))),"")</f>
        <v/>
      </c>
      <c r="S493" t="str">
        <f t="shared" si="22"/>
        <v/>
      </c>
    </row>
    <row r="494" spans="1:19">
      <c r="A494" t="str" cm="1">
        <f t="array" ref="A494">IFERROR(INDEX(Create_TC_Web!D$1:D$500,SMALL(IF(Create_TC_Web!$C$1:$C$500&lt;&gt;"",MATCH(ROW(Create_TC_Web!$C$1:$C$500),ROW(Create_TC_Web!$C$1:$C$500)),""),ROW(Create_TC_Web!B494))),"")</f>
        <v/>
      </c>
      <c r="B494" t="str" cm="1">
        <f t="array" ref="B494">SUBSTITUTE(SUBSTITUTE(SUBSTITUTE(IFERROR(INDEX(Create_TC_Web!E$1:E$505,SMALL(IF(Create_TC_Web!$C$1:$C$505&lt;&gt;"",MATCH(ROW(Create_TC_Web!$C$1:$C$505),ROW(Create_TC_Web!$C$1:$C$505)),""),ROW(Create_TC_Web!C494))),"")," ",""),"-",""),"_","")</f>
        <v/>
      </c>
      <c r="C494" t="str" cm="1">
        <f t="array" ref="C494">IFERROR(INDEX(Create_TC_Web!F$1:F$500,SMALL(IF(Create_TC_Web!$C$1:$C$500&lt;&gt;"",MATCH(ROW(Create_TC_Web!$C$1:$C$500),ROW(Create_TC_Web!$C$1:$C$500)),""),ROW(Create_TC_Web!D494))),"")</f>
        <v/>
      </c>
      <c r="D494" t="str" cm="1">
        <f t="array" ref="D494">IFERROR(INDEX(Create_TC_Web!G$1:G$500,SMALL(IF(Create_TC_Web!$C$1:$C$500&lt;&gt;"",MATCH(ROW(Create_TC_Web!$C$1:$C$500),ROW(Create_TC_Web!$C$1:$C$500)),""),ROW(Create_TC_Web!E494))),"")</f>
        <v/>
      </c>
      <c r="E494" t="str" cm="1">
        <f t="array" ref="E494">IFERROR(INDEX(Create_TC_Web!H$1:H$500,SMALL(IF(Create_TC_Web!$C$1:$C$500&lt;&gt;"",MATCH(ROW(Create_TC_Web!$C$1:$C$500),ROW(Create_TC_Web!$C$1:$C$500)),""),ROW(Create_TC_Web!F494))),"")</f>
        <v/>
      </c>
      <c r="F494" t="str" cm="1">
        <f t="array" ref="F494">IFERROR(INDEX(Create_TC_Web!I$1:I$500,SMALL(IF(Create_TC_Web!$C$1:$C$500&lt;&gt;"",MATCH(ROW(Create_TC_Web!$C$1:$C$500),ROW(Create_TC_Web!$C$1:$C$500)),""),ROW(Create_TC_Web!G494))),"")</f>
        <v/>
      </c>
      <c r="G494" t="str" cm="1">
        <f t="array" ref="G494">IFERROR(INDEX(Create_TC_Web!J$1:J$500,SMALL(IF(Create_TC_Web!$C$1:$C$500&lt;&gt;"",MATCH(ROW(Create_TC_Web!$C$1:$C$500),ROW(Create_TC_Web!$C$1:$C$500)),""),ROW(Create_TC_Web!H494))),"")</f>
        <v/>
      </c>
      <c r="H494" t="str" cm="1">
        <f t="array" ref="H494">IFERROR(INDEX(Create_TC_Web!K$1:K$500,SMALL(IF(Create_TC_Web!$C$1:$C$500&lt;&gt;"",MATCH(ROW(Create_TC_Web!$C$1:$C$500),ROW(Create_TC_Web!$C$1:$C$500)),""),ROW(Create_TC_Web!I494))),"")</f>
        <v/>
      </c>
      <c r="I494" t="str" cm="1">
        <f t="array" ref="I494">IFERROR(INDEX(Create_TC_Web!L$1:L$500,SMALL(IF(Create_TC_Web!$C$1:$C$500&lt;&gt;"",MATCH(ROW(Create_TC_Web!$C$1:$C$500),ROW(Create_TC_Web!$C$1:$C$500)),""),ROW(Create_TC_Web!J494))),"")</f>
        <v/>
      </c>
      <c r="J494" t="str" cm="1">
        <f t="array" ref="J494">IFERROR(INDEX(Create_TC_Web!M$1:M$500,SMALL(IF(Create_TC_Web!$C$1:$C$500&lt;&gt;"",MATCH(ROW(Create_TC_Web!$C$1:$C$500),ROW(Create_TC_Web!$C$1:$C$500)),""),ROW(Create_TC_Web!K494))),"")</f>
        <v/>
      </c>
      <c r="K494" t="str" cm="1">
        <f t="array" ref="K494">IFERROR(INDEX(Create_TC_Web!N$1:N$500,SMALL(IF(Create_TC_Web!$C$1:$C$500&lt;&gt;"",MATCH(ROW(Create_TC_Web!$C$1:$C$500),ROW(Create_TC_Web!$C$1:$C$500)),""),ROW(Create_TC_Web!L494))),"")</f>
        <v/>
      </c>
      <c r="L494" t="str" cm="1">
        <f t="array" ref="L494">IFERROR(INDEX(Create_TC_Web!O$1:O$500,SMALL(IF(Create_TC_Web!$C$1:$C$500&lt;&gt;"",MATCH(ROW(Create_TC_Web!$C$1:$C$500),ROW(Create_TC_Web!$C$1:$C$500)),""),ROW(Create_TC_Web!M494))),"")</f>
        <v/>
      </c>
      <c r="M494" t="str" cm="1">
        <f t="array" ref="M494">IFERROR(INDEX(Create_TC_Web!P$1:P$500,SMALL(IF(Create_TC_Web!$C$1:$C$500&lt;&gt;"",MATCH(ROW(Create_TC_Web!$C$1:$C$500),ROW(Create_TC_Web!$C$1:$C$500)),""),ROW(Create_TC_Web!N494))),"")</f>
        <v/>
      </c>
      <c r="N494" t="str" cm="1">
        <f t="array" ref="N494">IFERROR(INDEX(Create_TC_Web!Q$1:Q$500,SMALL(IF(Create_TC_Web!$C$1:$C$500&lt;&gt;"",MATCH(ROW(Create_TC_Web!$C$1:$C$500),ROW(Create_TC_Web!$C$1:$C$500)),""),ROW(Create_TC_Web!O494))),"")</f>
        <v/>
      </c>
      <c r="O494" t="str">
        <f t="shared" si="23"/>
        <v/>
      </c>
      <c r="P494" s="17" t="str" cm="1">
        <f t="array" ref="P494">IFERROR(INDEX(Create_TC_Web!S$1:S$500,SMALL(IF(Create_TC_Web!$C$1:$C$500&lt;&gt;"",MATCH(ROW(Create_TC_Web!$C$1:$C$500),ROW(Create_TC_Web!$C$1:$C$500)),""),ROW(Create_TC_Web!Q472))),"")</f>
        <v/>
      </c>
      <c r="S494" t="str">
        <f t="shared" si="22"/>
        <v/>
      </c>
    </row>
    <row r="495" spans="1:19">
      <c r="A495" t="str" cm="1">
        <f t="array" ref="A495">IFERROR(INDEX(Create_TC_Web!D$1:D$500,SMALL(IF(Create_TC_Web!$C$1:$C$500&lt;&gt;"",MATCH(ROW(Create_TC_Web!$C$1:$C$500),ROW(Create_TC_Web!$C$1:$C$500)),""),ROW(Create_TC_Web!B495))),"")</f>
        <v/>
      </c>
      <c r="B495" t="str" cm="1">
        <f t="array" ref="B495">SUBSTITUTE(SUBSTITUTE(SUBSTITUTE(IFERROR(INDEX(Create_TC_Web!E$1:E$505,SMALL(IF(Create_TC_Web!$C$1:$C$505&lt;&gt;"",MATCH(ROW(Create_TC_Web!$C$1:$C$505),ROW(Create_TC_Web!$C$1:$C$505)),""),ROW(Create_TC_Web!C495))),"")," ",""),"-",""),"_","")</f>
        <v/>
      </c>
      <c r="C495" t="str" cm="1">
        <f t="array" ref="C495">IFERROR(INDEX(Create_TC_Web!F$1:F$500,SMALL(IF(Create_TC_Web!$C$1:$C$500&lt;&gt;"",MATCH(ROW(Create_TC_Web!$C$1:$C$500),ROW(Create_TC_Web!$C$1:$C$500)),""),ROW(Create_TC_Web!D495))),"")</f>
        <v/>
      </c>
      <c r="D495" t="str" cm="1">
        <f t="array" ref="D495">IFERROR(INDEX(Create_TC_Web!G$1:G$500,SMALL(IF(Create_TC_Web!$C$1:$C$500&lt;&gt;"",MATCH(ROW(Create_TC_Web!$C$1:$C$500),ROW(Create_TC_Web!$C$1:$C$500)),""),ROW(Create_TC_Web!E495))),"")</f>
        <v/>
      </c>
      <c r="E495" t="str" cm="1">
        <f t="array" ref="E495">IFERROR(INDEX(Create_TC_Web!H$1:H$500,SMALL(IF(Create_TC_Web!$C$1:$C$500&lt;&gt;"",MATCH(ROW(Create_TC_Web!$C$1:$C$500),ROW(Create_TC_Web!$C$1:$C$500)),""),ROW(Create_TC_Web!F495))),"")</f>
        <v/>
      </c>
      <c r="F495" t="str" cm="1">
        <f t="array" ref="F495">IFERROR(INDEX(Create_TC_Web!I$1:I$500,SMALL(IF(Create_TC_Web!$C$1:$C$500&lt;&gt;"",MATCH(ROW(Create_TC_Web!$C$1:$C$500),ROW(Create_TC_Web!$C$1:$C$500)),""),ROW(Create_TC_Web!G495))),"")</f>
        <v/>
      </c>
      <c r="G495" t="str" cm="1">
        <f t="array" ref="G495">IFERROR(INDEX(Create_TC_Web!J$1:J$500,SMALL(IF(Create_TC_Web!$C$1:$C$500&lt;&gt;"",MATCH(ROW(Create_TC_Web!$C$1:$C$500),ROW(Create_TC_Web!$C$1:$C$500)),""),ROW(Create_TC_Web!H495))),"")</f>
        <v/>
      </c>
      <c r="H495" t="str" cm="1">
        <f t="array" ref="H495">IFERROR(INDEX(Create_TC_Web!K$1:K$500,SMALL(IF(Create_TC_Web!$C$1:$C$500&lt;&gt;"",MATCH(ROW(Create_TC_Web!$C$1:$C$500),ROW(Create_TC_Web!$C$1:$C$500)),""),ROW(Create_TC_Web!I495))),"")</f>
        <v/>
      </c>
      <c r="I495" t="str" cm="1">
        <f t="array" ref="I495">IFERROR(INDEX(Create_TC_Web!L$1:L$500,SMALL(IF(Create_TC_Web!$C$1:$C$500&lt;&gt;"",MATCH(ROW(Create_TC_Web!$C$1:$C$500),ROW(Create_TC_Web!$C$1:$C$500)),""),ROW(Create_TC_Web!J495))),"")</f>
        <v/>
      </c>
      <c r="J495" t="str" cm="1">
        <f t="array" ref="J495">IFERROR(INDEX(Create_TC_Web!M$1:M$500,SMALL(IF(Create_TC_Web!$C$1:$C$500&lt;&gt;"",MATCH(ROW(Create_TC_Web!$C$1:$C$500),ROW(Create_TC_Web!$C$1:$C$500)),""),ROW(Create_TC_Web!K495))),"")</f>
        <v/>
      </c>
      <c r="K495" t="str" cm="1">
        <f t="array" ref="K495">IFERROR(INDEX(Create_TC_Web!N$1:N$500,SMALL(IF(Create_TC_Web!$C$1:$C$500&lt;&gt;"",MATCH(ROW(Create_TC_Web!$C$1:$C$500),ROW(Create_TC_Web!$C$1:$C$500)),""),ROW(Create_TC_Web!L495))),"")</f>
        <v/>
      </c>
      <c r="L495" t="str" cm="1">
        <f t="array" ref="L495">IFERROR(INDEX(Create_TC_Web!O$1:O$500,SMALL(IF(Create_TC_Web!$C$1:$C$500&lt;&gt;"",MATCH(ROW(Create_TC_Web!$C$1:$C$500),ROW(Create_TC_Web!$C$1:$C$500)),""),ROW(Create_TC_Web!M495))),"")</f>
        <v/>
      </c>
      <c r="M495" t="str" cm="1">
        <f t="array" ref="M495">IFERROR(INDEX(Create_TC_Web!P$1:P$500,SMALL(IF(Create_TC_Web!$C$1:$C$500&lt;&gt;"",MATCH(ROW(Create_TC_Web!$C$1:$C$500),ROW(Create_TC_Web!$C$1:$C$500)),""),ROW(Create_TC_Web!N495))),"")</f>
        <v/>
      </c>
      <c r="N495" t="str" cm="1">
        <f t="array" ref="N495">IFERROR(INDEX(Create_TC_Web!Q$1:Q$500,SMALL(IF(Create_TC_Web!$C$1:$C$500&lt;&gt;"",MATCH(ROW(Create_TC_Web!$C$1:$C$500),ROW(Create_TC_Web!$C$1:$C$500)),""),ROW(Create_TC_Web!O495))),"")</f>
        <v/>
      </c>
      <c r="O495" t="str">
        <f t="shared" si="23"/>
        <v/>
      </c>
      <c r="P495" s="17" t="str" cm="1">
        <f t="array" ref="P495">IFERROR(INDEX(Create_TC_Web!S$1:S$500,SMALL(IF(Create_TC_Web!$C$1:$C$500&lt;&gt;"",MATCH(ROW(Create_TC_Web!$C$1:$C$500),ROW(Create_TC_Web!$C$1:$C$500)),""),ROW(Create_TC_Web!Q473))),"")</f>
        <v/>
      </c>
      <c r="S495" t="str">
        <f t="shared" si="22"/>
        <v/>
      </c>
    </row>
    <row r="496" spans="1:19">
      <c r="A496" t="str" cm="1">
        <f t="array" ref="A496">IFERROR(INDEX(Create_TC_Web!D$1:D$500,SMALL(IF(Create_TC_Web!$C$1:$C$500&lt;&gt;"",MATCH(ROW(Create_TC_Web!$C$1:$C$500),ROW(Create_TC_Web!$C$1:$C$500)),""),ROW(Create_TC_Web!B496))),"")</f>
        <v/>
      </c>
      <c r="B496" t="str" cm="1">
        <f t="array" ref="B496">SUBSTITUTE(SUBSTITUTE(SUBSTITUTE(IFERROR(INDEX(Create_TC_Web!E$1:E$505,SMALL(IF(Create_TC_Web!$C$1:$C$505&lt;&gt;"",MATCH(ROW(Create_TC_Web!$C$1:$C$505),ROW(Create_TC_Web!$C$1:$C$505)),""),ROW(Create_TC_Web!C496))),"")," ",""),"-",""),"_","")</f>
        <v/>
      </c>
      <c r="C496" t="str" cm="1">
        <f t="array" ref="C496">IFERROR(INDEX(Create_TC_Web!F$1:F$500,SMALL(IF(Create_TC_Web!$C$1:$C$500&lt;&gt;"",MATCH(ROW(Create_TC_Web!$C$1:$C$500),ROW(Create_TC_Web!$C$1:$C$500)),""),ROW(Create_TC_Web!D496))),"")</f>
        <v/>
      </c>
      <c r="D496" t="str" cm="1">
        <f t="array" ref="D496">IFERROR(INDEX(Create_TC_Web!G$1:G$500,SMALL(IF(Create_TC_Web!$C$1:$C$500&lt;&gt;"",MATCH(ROW(Create_TC_Web!$C$1:$C$500),ROW(Create_TC_Web!$C$1:$C$500)),""),ROW(Create_TC_Web!E496))),"")</f>
        <v/>
      </c>
      <c r="E496" t="str" cm="1">
        <f t="array" ref="E496">IFERROR(INDEX(Create_TC_Web!H$1:H$500,SMALL(IF(Create_TC_Web!$C$1:$C$500&lt;&gt;"",MATCH(ROW(Create_TC_Web!$C$1:$C$500),ROW(Create_TC_Web!$C$1:$C$500)),""),ROW(Create_TC_Web!F496))),"")</f>
        <v/>
      </c>
      <c r="F496" t="str" cm="1">
        <f t="array" ref="F496">IFERROR(INDEX(Create_TC_Web!I$1:I$500,SMALL(IF(Create_TC_Web!$C$1:$C$500&lt;&gt;"",MATCH(ROW(Create_TC_Web!$C$1:$C$500),ROW(Create_TC_Web!$C$1:$C$500)),""),ROW(Create_TC_Web!G496))),"")</f>
        <v/>
      </c>
      <c r="G496" t="str" cm="1">
        <f t="array" ref="G496">IFERROR(INDEX(Create_TC_Web!J$1:J$500,SMALL(IF(Create_TC_Web!$C$1:$C$500&lt;&gt;"",MATCH(ROW(Create_TC_Web!$C$1:$C$500),ROW(Create_TC_Web!$C$1:$C$500)),""),ROW(Create_TC_Web!H496))),"")</f>
        <v/>
      </c>
      <c r="H496" t="str" cm="1">
        <f t="array" ref="H496">IFERROR(INDEX(Create_TC_Web!K$1:K$500,SMALL(IF(Create_TC_Web!$C$1:$C$500&lt;&gt;"",MATCH(ROW(Create_TC_Web!$C$1:$C$500),ROW(Create_TC_Web!$C$1:$C$500)),""),ROW(Create_TC_Web!I496))),"")</f>
        <v/>
      </c>
      <c r="I496" t="str" cm="1">
        <f t="array" ref="I496">IFERROR(INDEX(Create_TC_Web!L$1:L$500,SMALL(IF(Create_TC_Web!$C$1:$C$500&lt;&gt;"",MATCH(ROW(Create_TC_Web!$C$1:$C$500),ROW(Create_TC_Web!$C$1:$C$500)),""),ROW(Create_TC_Web!J496))),"")</f>
        <v/>
      </c>
      <c r="J496" t="str" cm="1">
        <f t="array" ref="J496">IFERROR(INDEX(Create_TC_Web!M$1:M$500,SMALL(IF(Create_TC_Web!$C$1:$C$500&lt;&gt;"",MATCH(ROW(Create_TC_Web!$C$1:$C$500),ROW(Create_TC_Web!$C$1:$C$500)),""),ROW(Create_TC_Web!K496))),"")</f>
        <v/>
      </c>
      <c r="K496" t="str" cm="1">
        <f t="array" ref="K496">IFERROR(INDEX(Create_TC_Web!N$1:N$500,SMALL(IF(Create_TC_Web!$C$1:$C$500&lt;&gt;"",MATCH(ROW(Create_TC_Web!$C$1:$C$500),ROW(Create_TC_Web!$C$1:$C$500)),""),ROW(Create_TC_Web!L496))),"")</f>
        <v/>
      </c>
      <c r="L496" t="str" cm="1">
        <f t="array" ref="L496">IFERROR(INDEX(Create_TC_Web!O$1:O$500,SMALL(IF(Create_TC_Web!$C$1:$C$500&lt;&gt;"",MATCH(ROW(Create_TC_Web!$C$1:$C$500),ROW(Create_TC_Web!$C$1:$C$500)),""),ROW(Create_TC_Web!M496))),"")</f>
        <v/>
      </c>
      <c r="M496" t="str" cm="1">
        <f t="array" ref="M496">IFERROR(INDEX(Create_TC_Web!P$1:P$500,SMALL(IF(Create_TC_Web!$C$1:$C$500&lt;&gt;"",MATCH(ROW(Create_TC_Web!$C$1:$C$500),ROW(Create_TC_Web!$C$1:$C$500)),""),ROW(Create_TC_Web!N496))),"")</f>
        <v/>
      </c>
      <c r="N496" t="str" cm="1">
        <f t="array" ref="N496">IFERROR(INDEX(Create_TC_Web!Q$1:Q$500,SMALL(IF(Create_TC_Web!$C$1:$C$500&lt;&gt;"",MATCH(ROW(Create_TC_Web!$C$1:$C$500),ROW(Create_TC_Web!$C$1:$C$500)),""),ROW(Create_TC_Web!O496))),"")</f>
        <v/>
      </c>
      <c r="O496" t="str">
        <f t="shared" si="23"/>
        <v/>
      </c>
      <c r="P496" s="17" t="str" cm="1">
        <f t="array" ref="P496">IFERROR(INDEX(Create_TC_Web!S$1:S$500,SMALL(IF(Create_TC_Web!$C$1:$C$500&lt;&gt;"",MATCH(ROW(Create_TC_Web!$C$1:$C$500),ROW(Create_TC_Web!$C$1:$C$500)),""),ROW(Create_TC_Web!Q474))),"")</f>
        <v/>
      </c>
      <c r="S496" t="str">
        <f t="shared" si="22"/>
        <v/>
      </c>
    </row>
    <row r="497" spans="1:19">
      <c r="A497" t="str" cm="1">
        <f t="array" ref="A497">IFERROR(INDEX(Create_TC_Web!D$1:D$500,SMALL(IF(Create_TC_Web!$C$1:$C$500&lt;&gt;"",MATCH(ROW(Create_TC_Web!$C$1:$C$500),ROW(Create_TC_Web!$C$1:$C$500)),""),ROW(Create_TC_Web!B497))),"")</f>
        <v/>
      </c>
      <c r="B497" t="str" cm="1">
        <f t="array" ref="B497">SUBSTITUTE(SUBSTITUTE(SUBSTITUTE(IFERROR(INDEX(Create_TC_Web!E$1:E$505,SMALL(IF(Create_TC_Web!$C$1:$C$505&lt;&gt;"",MATCH(ROW(Create_TC_Web!$C$1:$C$505),ROW(Create_TC_Web!$C$1:$C$505)),""),ROW(Create_TC_Web!C497))),"")," ",""),"-",""),"_","")</f>
        <v/>
      </c>
      <c r="C497" t="str" cm="1">
        <f t="array" ref="C497">IFERROR(INDEX(Create_TC_Web!F$1:F$500,SMALL(IF(Create_TC_Web!$C$1:$C$500&lt;&gt;"",MATCH(ROW(Create_TC_Web!$C$1:$C$500),ROW(Create_TC_Web!$C$1:$C$500)),""),ROW(Create_TC_Web!D497))),"")</f>
        <v/>
      </c>
      <c r="D497" t="str" cm="1">
        <f t="array" ref="D497">IFERROR(INDEX(Create_TC_Web!G$1:G$500,SMALL(IF(Create_TC_Web!$C$1:$C$500&lt;&gt;"",MATCH(ROW(Create_TC_Web!$C$1:$C$500),ROW(Create_TC_Web!$C$1:$C$500)),""),ROW(Create_TC_Web!E497))),"")</f>
        <v/>
      </c>
      <c r="E497" t="str" cm="1">
        <f t="array" ref="E497">IFERROR(INDEX(Create_TC_Web!H$1:H$500,SMALL(IF(Create_TC_Web!$C$1:$C$500&lt;&gt;"",MATCH(ROW(Create_TC_Web!$C$1:$C$500),ROW(Create_TC_Web!$C$1:$C$500)),""),ROW(Create_TC_Web!F497))),"")</f>
        <v/>
      </c>
      <c r="F497" t="str" cm="1">
        <f t="array" ref="F497">IFERROR(INDEX(Create_TC_Web!I$1:I$500,SMALL(IF(Create_TC_Web!$C$1:$C$500&lt;&gt;"",MATCH(ROW(Create_TC_Web!$C$1:$C$500),ROW(Create_TC_Web!$C$1:$C$500)),""),ROW(Create_TC_Web!G497))),"")</f>
        <v/>
      </c>
      <c r="G497" t="str" cm="1">
        <f t="array" ref="G497">IFERROR(INDEX(Create_TC_Web!J$1:J$500,SMALL(IF(Create_TC_Web!$C$1:$C$500&lt;&gt;"",MATCH(ROW(Create_TC_Web!$C$1:$C$500),ROW(Create_TC_Web!$C$1:$C$500)),""),ROW(Create_TC_Web!H497))),"")</f>
        <v/>
      </c>
      <c r="H497" t="str" cm="1">
        <f t="array" ref="H497">IFERROR(INDEX(Create_TC_Web!K$1:K$500,SMALL(IF(Create_TC_Web!$C$1:$C$500&lt;&gt;"",MATCH(ROW(Create_TC_Web!$C$1:$C$500),ROW(Create_TC_Web!$C$1:$C$500)),""),ROW(Create_TC_Web!I497))),"")</f>
        <v/>
      </c>
      <c r="I497" t="str" cm="1">
        <f t="array" ref="I497">IFERROR(INDEX(Create_TC_Web!L$1:L$500,SMALL(IF(Create_TC_Web!$C$1:$C$500&lt;&gt;"",MATCH(ROW(Create_TC_Web!$C$1:$C$500),ROW(Create_TC_Web!$C$1:$C$500)),""),ROW(Create_TC_Web!J497))),"")</f>
        <v/>
      </c>
      <c r="J497" t="str" cm="1">
        <f t="array" ref="J497">IFERROR(INDEX(Create_TC_Web!M$1:M$500,SMALL(IF(Create_TC_Web!$C$1:$C$500&lt;&gt;"",MATCH(ROW(Create_TC_Web!$C$1:$C$500),ROW(Create_TC_Web!$C$1:$C$500)),""),ROW(Create_TC_Web!K497))),"")</f>
        <v/>
      </c>
      <c r="K497" t="str" cm="1">
        <f t="array" ref="K497">IFERROR(INDEX(Create_TC_Web!N$1:N$500,SMALL(IF(Create_TC_Web!$C$1:$C$500&lt;&gt;"",MATCH(ROW(Create_TC_Web!$C$1:$C$500),ROW(Create_TC_Web!$C$1:$C$500)),""),ROW(Create_TC_Web!L497))),"")</f>
        <v/>
      </c>
      <c r="L497" t="str" cm="1">
        <f t="array" ref="L497">IFERROR(INDEX(Create_TC_Web!O$1:O$500,SMALL(IF(Create_TC_Web!$C$1:$C$500&lt;&gt;"",MATCH(ROW(Create_TC_Web!$C$1:$C$500),ROW(Create_TC_Web!$C$1:$C$500)),""),ROW(Create_TC_Web!M497))),"")</f>
        <v/>
      </c>
      <c r="M497" t="str" cm="1">
        <f t="array" ref="M497">IFERROR(INDEX(Create_TC_Web!P$1:P$500,SMALL(IF(Create_TC_Web!$C$1:$C$500&lt;&gt;"",MATCH(ROW(Create_TC_Web!$C$1:$C$500),ROW(Create_TC_Web!$C$1:$C$500)),""),ROW(Create_TC_Web!N497))),"")</f>
        <v/>
      </c>
      <c r="N497" t="str" cm="1">
        <f t="array" ref="N497">IFERROR(INDEX(Create_TC_Web!Q$1:Q$500,SMALL(IF(Create_TC_Web!$C$1:$C$500&lt;&gt;"",MATCH(ROW(Create_TC_Web!$C$1:$C$500),ROW(Create_TC_Web!$C$1:$C$500)),""),ROW(Create_TC_Web!O497))),"")</f>
        <v/>
      </c>
      <c r="O497" t="str">
        <f t="shared" si="23"/>
        <v/>
      </c>
      <c r="P497" s="17" t="str" cm="1">
        <f t="array" ref="P497">IFERROR(INDEX(Create_TC_Web!S$1:S$500,SMALL(IF(Create_TC_Web!$C$1:$C$500&lt;&gt;"",MATCH(ROW(Create_TC_Web!$C$1:$C$500),ROW(Create_TC_Web!$C$1:$C$500)),""),ROW(Create_TC_Web!Q475))),"")</f>
        <v/>
      </c>
      <c r="S497" t="str">
        <f t="shared" si="22"/>
        <v/>
      </c>
    </row>
    <row r="498" spans="1:19">
      <c r="A498" t="str" cm="1">
        <f t="array" ref="A498">IFERROR(INDEX(Create_TC_Web!D$1:D$500,SMALL(IF(Create_TC_Web!$C$1:$C$500&lt;&gt;"",MATCH(ROW(Create_TC_Web!$C$1:$C$500),ROW(Create_TC_Web!$C$1:$C$500)),""),ROW(Create_TC_Web!B498))),"")</f>
        <v/>
      </c>
      <c r="B498" t="str" cm="1">
        <f t="array" ref="B498">SUBSTITUTE(SUBSTITUTE(SUBSTITUTE(IFERROR(INDEX(Create_TC_Web!E$1:E$505,SMALL(IF(Create_TC_Web!$C$1:$C$505&lt;&gt;"",MATCH(ROW(Create_TC_Web!$C$1:$C$505),ROW(Create_TC_Web!$C$1:$C$505)),""),ROW(Create_TC_Web!C498))),"")," ",""),"-",""),"_","")</f>
        <v/>
      </c>
      <c r="C498" t="str" cm="1">
        <f t="array" ref="C498">IFERROR(INDEX(Create_TC_Web!F$1:F$500,SMALL(IF(Create_TC_Web!$C$1:$C$500&lt;&gt;"",MATCH(ROW(Create_TC_Web!$C$1:$C$500),ROW(Create_TC_Web!$C$1:$C$500)),""),ROW(Create_TC_Web!D498))),"")</f>
        <v/>
      </c>
      <c r="D498" t="str" cm="1">
        <f t="array" ref="D498">IFERROR(INDEX(Create_TC_Web!G$1:G$500,SMALL(IF(Create_TC_Web!$C$1:$C$500&lt;&gt;"",MATCH(ROW(Create_TC_Web!$C$1:$C$500),ROW(Create_TC_Web!$C$1:$C$500)),""),ROW(Create_TC_Web!E498))),"")</f>
        <v/>
      </c>
      <c r="E498" t="str" cm="1">
        <f t="array" ref="E498">IFERROR(INDEX(Create_TC_Web!H$1:H$500,SMALL(IF(Create_TC_Web!$C$1:$C$500&lt;&gt;"",MATCH(ROW(Create_TC_Web!$C$1:$C$500),ROW(Create_TC_Web!$C$1:$C$500)),""),ROW(Create_TC_Web!F498))),"")</f>
        <v/>
      </c>
      <c r="F498" t="str" cm="1">
        <f t="array" ref="F498">IFERROR(INDEX(Create_TC_Web!I$1:I$500,SMALL(IF(Create_TC_Web!$C$1:$C$500&lt;&gt;"",MATCH(ROW(Create_TC_Web!$C$1:$C$500),ROW(Create_TC_Web!$C$1:$C$500)),""),ROW(Create_TC_Web!G498))),"")</f>
        <v/>
      </c>
      <c r="G498" t="str" cm="1">
        <f t="array" ref="G498">IFERROR(INDEX(Create_TC_Web!J$1:J$500,SMALL(IF(Create_TC_Web!$C$1:$C$500&lt;&gt;"",MATCH(ROW(Create_TC_Web!$C$1:$C$500),ROW(Create_TC_Web!$C$1:$C$500)),""),ROW(Create_TC_Web!H498))),"")</f>
        <v/>
      </c>
      <c r="H498" t="str" cm="1">
        <f t="array" ref="H498">IFERROR(INDEX(Create_TC_Web!K$1:K$500,SMALL(IF(Create_TC_Web!$C$1:$C$500&lt;&gt;"",MATCH(ROW(Create_TC_Web!$C$1:$C$500),ROW(Create_TC_Web!$C$1:$C$500)),""),ROW(Create_TC_Web!I498))),"")</f>
        <v/>
      </c>
      <c r="I498" t="str" cm="1">
        <f t="array" ref="I498">IFERROR(INDEX(Create_TC_Web!L$1:L$500,SMALL(IF(Create_TC_Web!$C$1:$C$500&lt;&gt;"",MATCH(ROW(Create_TC_Web!$C$1:$C$500),ROW(Create_TC_Web!$C$1:$C$500)),""),ROW(Create_TC_Web!J498))),"")</f>
        <v/>
      </c>
      <c r="J498" t="str" cm="1">
        <f t="array" ref="J498">IFERROR(INDEX(Create_TC_Web!M$1:M$500,SMALL(IF(Create_TC_Web!$C$1:$C$500&lt;&gt;"",MATCH(ROW(Create_TC_Web!$C$1:$C$500),ROW(Create_TC_Web!$C$1:$C$500)),""),ROW(Create_TC_Web!K498))),"")</f>
        <v/>
      </c>
      <c r="K498" t="str" cm="1">
        <f t="array" ref="K498">IFERROR(INDEX(Create_TC_Web!N$1:N$500,SMALL(IF(Create_TC_Web!$C$1:$C$500&lt;&gt;"",MATCH(ROW(Create_TC_Web!$C$1:$C$500),ROW(Create_TC_Web!$C$1:$C$500)),""),ROW(Create_TC_Web!L498))),"")</f>
        <v/>
      </c>
      <c r="L498" t="str" cm="1">
        <f t="array" ref="L498">IFERROR(INDEX(Create_TC_Web!O$1:O$500,SMALL(IF(Create_TC_Web!$C$1:$C$500&lt;&gt;"",MATCH(ROW(Create_TC_Web!$C$1:$C$500),ROW(Create_TC_Web!$C$1:$C$500)),""),ROW(Create_TC_Web!M498))),"")</f>
        <v/>
      </c>
      <c r="M498" t="str" cm="1">
        <f t="array" ref="M498">IFERROR(INDEX(Create_TC_Web!P$1:P$500,SMALL(IF(Create_TC_Web!$C$1:$C$500&lt;&gt;"",MATCH(ROW(Create_TC_Web!$C$1:$C$500),ROW(Create_TC_Web!$C$1:$C$500)),""),ROW(Create_TC_Web!N498))),"")</f>
        <v/>
      </c>
      <c r="N498" t="str" cm="1">
        <f t="array" ref="N498">IFERROR(INDEX(Create_TC_Web!Q$1:Q$500,SMALL(IF(Create_TC_Web!$C$1:$C$500&lt;&gt;"",MATCH(ROW(Create_TC_Web!$C$1:$C$500),ROW(Create_TC_Web!$C$1:$C$500)),""),ROW(Create_TC_Web!O498))),"")</f>
        <v/>
      </c>
      <c r="O498" t="str">
        <f t="shared" si="23"/>
        <v/>
      </c>
      <c r="P498" s="17" t="str" cm="1">
        <f t="array" ref="P498">IFERROR(INDEX(Create_TC_Web!S$1:S$500,SMALL(IF(Create_TC_Web!$C$1:$C$500&lt;&gt;"",MATCH(ROW(Create_TC_Web!$C$1:$C$500),ROW(Create_TC_Web!$C$1:$C$500)),""),ROW(Create_TC_Web!Q476))),"")</f>
        <v/>
      </c>
      <c r="S498" t="str">
        <f t="shared" si="22"/>
        <v/>
      </c>
    </row>
    <row r="499" spans="1:19">
      <c r="A499" t="str" cm="1">
        <f t="array" ref="A499">IFERROR(INDEX(Create_TC_Web!D$1:D$500,SMALL(IF(Create_TC_Web!$C$1:$C$500&lt;&gt;"",MATCH(ROW(Create_TC_Web!$C$1:$C$500),ROW(Create_TC_Web!$C$1:$C$500)),""),ROW(Create_TC_Web!B499))),"")</f>
        <v/>
      </c>
      <c r="B499" t="str" cm="1">
        <f t="array" ref="B499">SUBSTITUTE(SUBSTITUTE(SUBSTITUTE(IFERROR(INDEX(Create_TC_Web!E$1:E$505,SMALL(IF(Create_TC_Web!$C$1:$C$505&lt;&gt;"",MATCH(ROW(Create_TC_Web!$C$1:$C$505),ROW(Create_TC_Web!$C$1:$C$505)),""),ROW(Create_TC_Web!C499))),"")," ",""),"-",""),"_","")</f>
        <v/>
      </c>
      <c r="C499" t="str" cm="1">
        <f t="array" ref="C499">IFERROR(INDEX(Create_TC_Web!F$1:F$500,SMALL(IF(Create_TC_Web!$C$1:$C$500&lt;&gt;"",MATCH(ROW(Create_TC_Web!$C$1:$C$500),ROW(Create_TC_Web!$C$1:$C$500)),""),ROW(Create_TC_Web!D499))),"")</f>
        <v/>
      </c>
      <c r="D499" t="str" cm="1">
        <f t="array" ref="D499">IFERROR(INDEX(Create_TC_Web!G$1:G$500,SMALL(IF(Create_TC_Web!$C$1:$C$500&lt;&gt;"",MATCH(ROW(Create_TC_Web!$C$1:$C$500),ROW(Create_TC_Web!$C$1:$C$500)),""),ROW(Create_TC_Web!E499))),"")</f>
        <v/>
      </c>
      <c r="E499" t="str" cm="1">
        <f t="array" ref="E499">IFERROR(INDEX(Create_TC_Web!H$1:H$500,SMALL(IF(Create_TC_Web!$C$1:$C$500&lt;&gt;"",MATCH(ROW(Create_TC_Web!$C$1:$C$500),ROW(Create_TC_Web!$C$1:$C$500)),""),ROW(Create_TC_Web!F499))),"")</f>
        <v/>
      </c>
      <c r="F499" t="str" cm="1">
        <f t="array" ref="F499">IFERROR(INDEX(Create_TC_Web!I$1:I$500,SMALL(IF(Create_TC_Web!$C$1:$C$500&lt;&gt;"",MATCH(ROW(Create_TC_Web!$C$1:$C$500),ROW(Create_TC_Web!$C$1:$C$500)),""),ROW(Create_TC_Web!G499))),"")</f>
        <v/>
      </c>
      <c r="G499" t="str" cm="1">
        <f t="array" ref="G499">IFERROR(INDEX(Create_TC_Web!J$1:J$500,SMALL(IF(Create_TC_Web!$C$1:$C$500&lt;&gt;"",MATCH(ROW(Create_TC_Web!$C$1:$C$500),ROW(Create_TC_Web!$C$1:$C$500)),""),ROW(Create_TC_Web!H499))),"")</f>
        <v/>
      </c>
      <c r="H499" t="str" cm="1">
        <f t="array" ref="H499">IFERROR(INDEX(Create_TC_Web!K$1:K$500,SMALL(IF(Create_TC_Web!$C$1:$C$500&lt;&gt;"",MATCH(ROW(Create_TC_Web!$C$1:$C$500),ROW(Create_TC_Web!$C$1:$C$500)),""),ROW(Create_TC_Web!I499))),"")</f>
        <v/>
      </c>
      <c r="I499" t="str" cm="1">
        <f t="array" ref="I499">IFERROR(INDEX(Create_TC_Web!L$1:L$500,SMALL(IF(Create_TC_Web!$C$1:$C$500&lt;&gt;"",MATCH(ROW(Create_TC_Web!$C$1:$C$500),ROW(Create_TC_Web!$C$1:$C$500)),""),ROW(Create_TC_Web!J499))),"")</f>
        <v/>
      </c>
      <c r="J499" t="str" cm="1">
        <f t="array" ref="J499">IFERROR(INDEX(Create_TC_Web!M$1:M$500,SMALL(IF(Create_TC_Web!$C$1:$C$500&lt;&gt;"",MATCH(ROW(Create_TC_Web!$C$1:$C$500),ROW(Create_TC_Web!$C$1:$C$500)),""),ROW(Create_TC_Web!K499))),"")</f>
        <v/>
      </c>
      <c r="K499" t="str" cm="1">
        <f t="array" ref="K499">IFERROR(INDEX(Create_TC_Web!N$1:N$500,SMALL(IF(Create_TC_Web!$C$1:$C$500&lt;&gt;"",MATCH(ROW(Create_TC_Web!$C$1:$C$500),ROW(Create_TC_Web!$C$1:$C$500)),""),ROW(Create_TC_Web!L499))),"")</f>
        <v/>
      </c>
      <c r="L499" t="str" cm="1">
        <f t="array" ref="L499">IFERROR(INDEX(Create_TC_Web!O$1:O$500,SMALL(IF(Create_TC_Web!$C$1:$C$500&lt;&gt;"",MATCH(ROW(Create_TC_Web!$C$1:$C$500),ROW(Create_TC_Web!$C$1:$C$500)),""),ROW(Create_TC_Web!M499))),"")</f>
        <v/>
      </c>
      <c r="M499" t="str" cm="1">
        <f t="array" ref="M499">IFERROR(INDEX(Create_TC_Web!P$1:P$500,SMALL(IF(Create_TC_Web!$C$1:$C$500&lt;&gt;"",MATCH(ROW(Create_TC_Web!$C$1:$C$500),ROW(Create_TC_Web!$C$1:$C$500)),""),ROW(Create_TC_Web!N499))),"")</f>
        <v/>
      </c>
      <c r="N499" t="str" cm="1">
        <f t="array" ref="N499">IFERROR(INDEX(Create_TC_Web!Q$1:Q$500,SMALL(IF(Create_TC_Web!$C$1:$C$500&lt;&gt;"",MATCH(ROW(Create_TC_Web!$C$1:$C$500),ROW(Create_TC_Web!$C$1:$C$500)),""),ROW(Create_TC_Web!O499))),"")</f>
        <v/>
      </c>
      <c r="O499" t="str">
        <f t="shared" si="23"/>
        <v/>
      </c>
      <c r="P499" s="17" t="str" cm="1">
        <f t="array" ref="P499">IFERROR(INDEX(Create_TC_Web!S$1:S$500,SMALL(IF(Create_TC_Web!$C$1:$C$500&lt;&gt;"",MATCH(ROW(Create_TC_Web!$C$1:$C$500),ROW(Create_TC_Web!$C$1:$C$500)),""),ROW(Create_TC_Web!Q477))),"")</f>
        <v/>
      </c>
      <c r="S499" t="str">
        <f t="shared" si="22"/>
        <v/>
      </c>
    </row>
    <row r="500" spans="1:19">
      <c r="A500" t="str" cm="1">
        <f t="array" ref="A500">IFERROR(INDEX(Create_TC_Web!D$1:D$500,SMALL(IF(Create_TC_Web!$C$1:$C$500&lt;&gt;"",MATCH(ROW(Create_TC_Web!$C$1:$C$500),ROW(Create_TC_Web!$C$1:$C$500)),""),ROW(Create_TC_Web!B500))),"")</f>
        <v/>
      </c>
      <c r="B500" t="str" cm="1">
        <f t="array" ref="B500">SUBSTITUTE(SUBSTITUTE(SUBSTITUTE(IFERROR(INDEX(Create_TC_Web!E$1:E$505,SMALL(IF(Create_TC_Web!$C$1:$C$505&lt;&gt;"",MATCH(ROW(Create_TC_Web!$C$1:$C$505),ROW(Create_TC_Web!$C$1:$C$505)),""),ROW(Create_TC_Web!C500))),"")," ",""),"-",""),"_","")</f>
        <v/>
      </c>
      <c r="C500" t="str" cm="1">
        <f t="array" ref="C500">IFERROR(INDEX(Create_TC_Web!F$1:F$500,SMALL(IF(Create_TC_Web!$C$1:$C$500&lt;&gt;"",MATCH(ROW(Create_TC_Web!$C$1:$C$500),ROW(Create_TC_Web!$C$1:$C$500)),""),ROW(Create_TC_Web!D500))),"")</f>
        <v/>
      </c>
      <c r="D500" t="str" cm="1">
        <f t="array" ref="D500">IFERROR(INDEX(Create_TC_Web!G$1:G$500,SMALL(IF(Create_TC_Web!$C$1:$C$500&lt;&gt;"",MATCH(ROW(Create_TC_Web!$C$1:$C$500),ROW(Create_TC_Web!$C$1:$C$500)),""),ROW(Create_TC_Web!E500))),"")</f>
        <v/>
      </c>
      <c r="E500" t="str" cm="1">
        <f t="array" ref="E500">IFERROR(INDEX(Create_TC_Web!H$1:H$500,SMALL(IF(Create_TC_Web!$C$1:$C$500&lt;&gt;"",MATCH(ROW(Create_TC_Web!$C$1:$C$500),ROW(Create_TC_Web!$C$1:$C$500)),""),ROW(Create_TC_Web!F500))),"")</f>
        <v/>
      </c>
      <c r="F500" t="str" cm="1">
        <f t="array" ref="F500">IFERROR(INDEX(Create_TC_Web!I$1:I$500,SMALL(IF(Create_TC_Web!$C$1:$C$500&lt;&gt;"",MATCH(ROW(Create_TC_Web!$C$1:$C$500),ROW(Create_TC_Web!$C$1:$C$500)),""),ROW(Create_TC_Web!G500))),"")</f>
        <v/>
      </c>
      <c r="G500" t="str" cm="1">
        <f t="array" ref="G500">IFERROR(INDEX(Create_TC_Web!J$1:J$500,SMALL(IF(Create_TC_Web!$C$1:$C$500&lt;&gt;"",MATCH(ROW(Create_TC_Web!$C$1:$C$500),ROW(Create_TC_Web!$C$1:$C$500)),""),ROW(Create_TC_Web!H500))),"")</f>
        <v/>
      </c>
      <c r="H500" t="str" cm="1">
        <f t="array" ref="H500">IFERROR(INDEX(Create_TC_Web!K$1:K$500,SMALL(IF(Create_TC_Web!$C$1:$C$500&lt;&gt;"",MATCH(ROW(Create_TC_Web!$C$1:$C$500),ROW(Create_TC_Web!$C$1:$C$500)),""),ROW(Create_TC_Web!I500))),"")</f>
        <v/>
      </c>
      <c r="I500" t="str" cm="1">
        <f t="array" ref="I500">IFERROR(INDEX(Create_TC_Web!L$1:L$500,SMALL(IF(Create_TC_Web!$C$1:$C$500&lt;&gt;"",MATCH(ROW(Create_TC_Web!$C$1:$C$500),ROW(Create_TC_Web!$C$1:$C$500)),""),ROW(Create_TC_Web!J500))),"")</f>
        <v/>
      </c>
      <c r="J500" t="str" cm="1">
        <f t="array" ref="J500">IFERROR(INDEX(Create_TC_Web!M$1:M$500,SMALL(IF(Create_TC_Web!$C$1:$C$500&lt;&gt;"",MATCH(ROW(Create_TC_Web!$C$1:$C$500),ROW(Create_TC_Web!$C$1:$C$500)),""),ROW(Create_TC_Web!K500))),"")</f>
        <v/>
      </c>
      <c r="K500" t="str" cm="1">
        <f t="array" ref="K500">IFERROR(INDEX(Create_TC_Web!N$1:N$500,SMALL(IF(Create_TC_Web!$C$1:$C$500&lt;&gt;"",MATCH(ROW(Create_TC_Web!$C$1:$C$500),ROW(Create_TC_Web!$C$1:$C$500)),""),ROW(Create_TC_Web!L500))),"")</f>
        <v/>
      </c>
      <c r="L500" t="str" cm="1">
        <f t="array" ref="L500">IFERROR(INDEX(Create_TC_Web!O$1:O$500,SMALL(IF(Create_TC_Web!$C$1:$C$500&lt;&gt;"",MATCH(ROW(Create_TC_Web!$C$1:$C$500),ROW(Create_TC_Web!$C$1:$C$500)),""),ROW(Create_TC_Web!M500))),"")</f>
        <v/>
      </c>
      <c r="M500" t="str" cm="1">
        <f t="array" ref="M500">IFERROR(INDEX(Create_TC_Web!P$1:P$500,SMALL(IF(Create_TC_Web!$C$1:$C$500&lt;&gt;"",MATCH(ROW(Create_TC_Web!$C$1:$C$500),ROW(Create_TC_Web!$C$1:$C$500)),""),ROW(Create_TC_Web!N500))),"")</f>
        <v/>
      </c>
      <c r="N500" t="str" cm="1">
        <f t="array" ref="N500">IFERROR(INDEX(Create_TC_Web!Q$1:Q$500,SMALL(IF(Create_TC_Web!$C$1:$C$500&lt;&gt;"",MATCH(ROW(Create_TC_Web!$C$1:$C$500),ROW(Create_TC_Web!$C$1:$C$500)),""),ROW(Create_TC_Web!O500))),"")</f>
        <v/>
      </c>
      <c r="O500" t="str">
        <f t="shared" si="23"/>
        <v/>
      </c>
      <c r="P500" s="17" t="str" cm="1">
        <f t="array" ref="P500">IFERROR(INDEX(Create_TC_Web!S$1:S$500,SMALL(IF(Create_TC_Web!$C$1:$C$500&lt;&gt;"",MATCH(ROW(Create_TC_Web!$C$1:$C$500),ROW(Create_TC_Web!$C$1:$C$500)),""),ROW(Create_TC_Web!Q478))),"")</f>
        <v/>
      </c>
      <c r="S500" t="str">
        <f t="shared" si="22"/>
        <v/>
      </c>
    </row>
    <row r="501" spans="1:19">
      <c r="A501" t="str" cm="1">
        <f t="array" ref="A501">IFERROR(INDEX(Create_TC_Web!D$1:D$500,SMALL(IF(Create_TC_Web!$C$1:$C$500&lt;&gt;"",MATCH(ROW(Create_TC_Web!$C$1:$C$500),ROW(Create_TC_Web!$C$1:$C$500)),""),ROW(Create_TC_Web!B501))),"")</f>
        <v/>
      </c>
      <c r="B501" t="str" cm="1">
        <f t="array" ref="B501">SUBSTITUTE(SUBSTITUTE(SUBSTITUTE(IFERROR(INDEX(Create_TC_Web!E$1:E$505,SMALL(IF(Create_TC_Web!$C$1:$C$505&lt;&gt;"",MATCH(ROW(Create_TC_Web!$C$1:$C$505),ROW(Create_TC_Web!$C$1:$C$505)),""),ROW(Create_TC_Web!C501))),"")," ",""),"-",""),"_","")</f>
        <v/>
      </c>
      <c r="C501" t="str" cm="1">
        <f t="array" ref="C501">IFERROR(INDEX(Create_TC_Web!F$1:F$500,SMALL(IF(Create_TC_Web!$C$1:$C$500&lt;&gt;"",MATCH(ROW(Create_TC_Web!$C$1:$C$500),ROW(Create_TC_Web!$C$1:$C$500)),""),ROW(Create_TC_Web!D501))),"")</f>
        <v/>
      </c>
      <c r="D501" t="str" cm="1">
        <f t="array" ref="D501">IFERROR(INDEX(Create_TC_Web!G$1:G$500,SMALL(IF(Create_TC_Web!$C$1:$C$500&lt;&gt;"",MATCH(ROW(Create_TC_Web!$C$1:$C$500),ROW(Create_TC_Web!$C$1:$C$500)),""),ROW(Create_TC_Web!E501))),"")</f>
        <v/>
      </c>
      <c r="E501" t="str" cm="1">
        <f t="array" ref="E501">IFERROR(INDEX(Create_TC_Web!H$1:H$500,SMALL(IF(Create_TC_Web!$C$1:$C$500&lt;&gt;"",MATCH(ROW(Create_TC_Web!$C$1:$C$500),ROW(Create_TC_Web!$C$1:$C$500)),""),ROW(Create_TC_Web!F501))),"")</f>
        <v/>
      </c>
      <c r="F501" t="str" cm="1">
        <f t="array" ref="F501">IFERROR(INDEX(Create_TC_Web!I$1:I$500,SMALL(IF(Create_TC_Web!$C$1:$C$500&lt;&gt;"",MATCH(ROW(Create_TC_Web!$C$1:$C$500),ROW(Create_TC_Web!$C$1:$C$500)),""),ROW(Create_TC_Web!G501))),"")</f>
        <v/>
      </c>
      <c r="G501" t="str" cm="1">
        <f t="array" ref="G501">IFERROR(INDEX(Create_TC_Web!J$1:J$500,SMALL(IF(Create_TC_Web!$C$1:$C$500&lt;&gt;"",MATCH(ROW(Create_TC_Web!$C$1:$C$500),ROW(Create_TC_Web!$C$1:$C$500)),""),ROW(Create_TC_Web!H501))),"")</f>
        <v/>
      </c>
      <c r="H501" t="str" cm="1">
        <f t="array" ref="H501">IFERROR(INDEX(Create_TC_Web!K$1:K$500,SMALL(IF(Create_TC_Web!$C$1:$C$500&lt;&gt;"",MATCH(ROW(Create_TC_Web!$C$1:$C$500),ROW(Create_TC_Web!$C$1:$C$500)),""),ROW(Create_TC_Web!I501))),"")</f>
        <v/>
      </c>
      <c r="I501" t="str" cm="1">
        <f t="array" ref="I501">IFERROR(INDEX(Create_TC_Web!L$1:L$500,SMALL(IF(Create_TC_Web!$C$1:$C$500&lt;&gt;"",MATCH(ROW(Create_TC_Web!$C$1:$C$500),ROW(Create_TC_Web!$C$1:$C$500)),""),ROW(Create_TC_Web!J501))),"")</f>
        <v/>
      </c>
      <c r="J501" t="str" cm="1">
        <f t="array" ref="J501">IFERROR(INDEX(Create_TC_Web!M$1:M$500,SMALL(IF(Create_TC_Web!$C$1:$C$500&lt;&gt;"",MATCH(ROW(Create_TC_Web!$C$1:$C$500),ROW(Create_TC_Web!$C$1:$C$500)),""),ROW(Create_TC_Web!K501))),"")</f>
        <v/>
      </c>
      <c r="K501" t="str" cm="1">
        <f t="array" ref="K501">IFERROR(INDEX(Create_TC_Web!N$1:N$500,SMALL(IF(Create_TC_Web!$C$1:$C$500&lt;&gt;"",MATCH(ROW(Create_TC_Web!$C$1:$C$500),ROW(Create_TC_Web!$C$1:$C$500)),""),ROW(Create_TC_Web!L501))),"")</f>
        <v/>
      </c>
      <c r="L501" t="str" cm="1">
        <f t="array" ref="L501">IFERROR(INDEX(Create_TC_Web!O$1:O$500,SMALL(IF(Create_TC_Web!$C$1:$C$500&lt;&gt;"",MATCH(ROW(Create_TC_Web!$C$1:$C$500),ROW(Create_TC_Web!$C$1:$C$500)),""),ROW(Create_TC_Web!M501))),"")</f>
        <v/>
      </c>
      <c r="M501" t="str" cm="1">
        <f t="array" ref="M501">IFERROR(INDEX(Create_TC_Web!P$1:P$500,SMALL(IF(Create_TC_Web!$C$1:$C$500&lt;&gt;"",MATCH(ROW(Create_TC_Web!$C$1:$C$500),ROW(Create_TC_Web!$C$1:$C$500)),""),ROW(Create_TC_Web!N501))),"")</f>
        <v/>
      </c>
      <c r="N501" t="str" cm="1">
        <f t="array" ref="N501">IFERROR(INDEX(Create_TC_Web!Q$1:Q$500,SMALL(IF(Create_TC_Web!$C$1:$C$500&lt;&gt;"",MATCH(ROW(Create_TC_Web!$C$1:$C$500),ROW(Create_TC_Web!$C$1:$C$500)),""),ROW(Create_TC_Web!O501))),"")</f>
        <v/>
      </c>
      <c r="O501" t="str">
        <f t="shared" si="23"/>
        <v/>
      </c>
      <c r="P501" s="17" t="str" cm="1">
        <f t="array" ref="P501">IFERROR(INDEX(Create_TC_Web!S$1:S$500,SMALL(IF(Create_TC_Web!$C$1:$C$500&lt;&gt;"",MATCH(ROW(Create_TC_Web!$C$1:$C$500),ROW(Create_TC_Web!$C$1:$C$500)),""),ROW(Create_TC_Web!Q479))),"")</f>
        <v/>
      </c>
      <c r="S501" t="str">
        <f t="shared" si="22"/>
        <v/>
      </c>
    </row>
    <row r="502" spans="1:19">
      <c r="A502" t="str" cm="1">
        <f t="array" ref="A502">IFERROR(INDEX(Create_TC_Web!D$1:D$500,SMALL(IF(Create_TC_Web!$C$1:$C$500&lt;&gt;"",MATCH(ROW(Create_TC_Web!$C$1:$C$500),ROW(Create_TC_Web!$C$1:$C$500)),""),ROW(Create_TC_Web!B502))),"")</f>
        <v/>
      </c>
      <c r="B502" t="str" cm="1">
        <f t="array" ref="B502">SUBSTITUTE(SUBSTITUTE(SUBSTITUTE(IFERROR(INDEX(Create_TC_Web!E$1:E$505,SMALL(IF(Create_TC_Web!$C$1:$C$505&lt;&gt;"",MATCH(ROW(Create_TC_Web!$C$1:$C$505),ROW(Create_TC_Web!$C$1:$C$505)),""),ROW(Create_TC_Web!C502))),"")," ",""),"-",""),"_","")</f>
        <v/>
      </c>
      <c r="C502" t="str" cm="1">
        <f t="array" ref="C502">IFERROR(INDEX(Create_TC_Web!F$1:F$500,SMALL(IF(Create_TC_Web!$C$1:$C$500&lt;&gt;"",MATCH(ROW(Create_TC_Web!$C$1:$C$500),ROW(Create_TC_Web!$C$1:$C$500)),""),ROW(Create_TC_Web!D502))),"")</f>
        <v/>
      </c>
      <c r="D502" t="str" cm="1">
        <f t="array" ref="D502">IFERROR(INDEX(Create_TC_Web!G$1:G$500,SMALL(IF(Create_TC_Web!$C$1:$C$500&lt;&gt;"",MATCH(ROW(Create_TC_Web!$C$1:$C$500),ROW(Create_TC_Web!$C$1:$C$500)),""),ROW(Create_TC_Web!E502))),"")</f>
        <v/>
      </c>
      <c r="E502" t="str" cm="1">
        <f t="array" ref="E502">IFERROR(INDEX(Create_TC_Web!H$1:H$500,SMALL(IF(Create_TC_Web!$C$1:$C$500&lt;&gt;"",MATCH(ROW(Create_TC_Web!$C$1:$C$500),ROW(Create_TC_Web!$C$1:$C$500)),""),ROW(Create_TC_Web!F502))),"")</f>
        <v/>
      </c>
      <c r="F502" t="str" cm="1">
        <f t="array" ref="F502">IFERROR(INDEX(Create_TC_Web!I$1:I$500,SMALL(IF(Create_TC_Web!$C$1:$C$500&lt;&gt;"",MATCH(ROW(Create_TC_Web!$C$1:$C$500),ROW(Create_TC_Web!$C$1:$C$500)),""),ROW(Create_TC_Web!G502))),"")</f>
        <v/>
      </c>
      <c r="G502" t="str" cm="1">
        <f t="array" ref="G502">IFERROR(INDEX(Create_TC_Web!J$1:J$500,SMALL(IF(Create_TC_Web!$C$1:$C$500&lt;&gt;"",MATCH(ROW(Create_TC_Web!$C$1:$C$500),ROW(Create_TC_Web!$C$1:$C$500)),""),ROW(Create_TC_Web!H502))),"")</f>
        <v/>
      </c>
      <c r="H502" t="str" cm="1">
        <f t="array" ref="H502">IFERROR(INDEX(Create_TC_Web!K$1:K$500,SMALL(IF(Create_TC_Web!$C$1:$C$500&lt;&gt;"",MATCH(ROW(Create_TC_Web!$C$1:$C$500),ROW(Create_TC_Web!$C$1:$C$500)),""),ROW(Create_TC_Web!I502))),"")</f>
        <v/>
      </c>
      <c r="I502" t="str" cm="1">
        <f t="array" ref="I502">IFERROR(INDEX(Create_TC_Web!L$1:L$500,SMALL(IF(Create_TC_Web!$C$1:$C$500&lt;&gt;"",MATCH(ROW(Create_TC_Web!$C$1:$C$500),ROW(Create_TC_Web!$C$1:$C$500)),""),ROW(Create_TC_Web!J502))),"")</f>
        <v/>
      </c>
      <c r="J502" t="str" cm="1">
        <f t="array" ref="J502">IFERROR(INDEX(Create_TC_Web!M$1:M$500,SMALL(IF(Create_TC_Web!$C$1:$C$500&lt;&gt;"",MATCH(ROW(Create_TC_Web!$C$1:$C$500),ROW(Create_TC_Web!$C$1:$C$500)),""),ROW(Create_TC_Web!K502))),"")</f>
        <v/>
      </c>
      <c r="K502" t="str" cm="1">
        <f t="array" ref="K502">IFERROR(INDEX(Create_TC_Web!N$1:N$500,SMALL(IF(Create_TC_Web!$C$1:$C$500&lt;&gt;"",MATCH(ROW(Create_TC_Web!$C$1:$C$500),ROW(Create_TC_Web!$C$1:$C$500)),""),ROW(Create_TC_Web!L502))),"")</f>
        <v/>
      </c>
      <c r="L502" t="str" cm="1">
        <f t="array" ref="L502">IFERROR(INDEX(Create_TC_Web!O$1:O$500,SMALL(IF(Create_TC_Web!$C$1:$C$500&lt;&gt;"",MATCH(ROW(Create_TC_Web!$C$1:$C$500),ROW(Create_TC_Web!$C$1:$C$500)),""),ROW(Create_TC_Web!M502))),"")</f>
        <v/>
      </c>
      <c r="M502" t="str" cm="1">
        <f t="array" ref="M502">IFERROR(INDEX(Create_TC_Web!P$1:P$500,SMALL(IF(Create_TC_Web!$C$1:$C$500&lt;&gt;"",MATCH(ROW(Create_TC_Web!$C$1:$C$500),ROW(Create_TC_Web!$C$1:$C$500)),""),ROW(Create_TC_Web!N502))),"")</f>
        <v/>
      </c>
      <c r="N502" t="str" cm="1">
        <f t="array" ref="N502">IFERROR(INDEX(Create_TC_Web!Q$1:Q$500,SMALL(IF(Create_TC_Web!$C$1:$C$500&lt;&gt;"",MATCH(ROW(Create_TC_Web!$C$1:$C$500),ROW(Create_TC_Web!$C$1:$C$500)),""),ROW(Create_TC_Web!O502))),"")</f>
        <v/>
      </c>
      <c r="O502" t="str">
        <f t="shared" si="23"/>
        <v/>
      </c>
      <c r="P502" s="17" t="str" cm="1">
        <f t="array" ref="P502">IFERROR(INDEX(Create_TC_Web!S$1:S$500,SMALL(IF(Create_TC_Web!$C$1:$C$500&lt;&gt;"",MATCH(ROW(Create_TC_Web!$C$1:$C$500),ROW(Create_TC_Web!$C$1:$C$500)),""),ROW(Create_TC_Web!Q480))),"")</f>
        <v/>
      </c>
      <c r="S502" t="str">
        <f t="shared" si="22"/>
        <v/>
      </c>
    </row>
    <row r="503" spans="1:19">
      <c r="A503" t="str" cm="1">
        <f t="array" ref="A503">IFERROR(INDEX(Create_TC_Web!D$1:D$500,SMALL(IF(Create_TC_Web!$C$1:$C$500&lt;&gt;"",MATCH(ROW(Create_TC_Web!$C$1:$C$500),ROW(Create_TC_Web!$C$1:$C$500)),""),ROW(Create_TC_Web!B503))),"")</f>
        <v/>
      </c>
      <c r="B503" t="str" cm="1">
        <f t="array" ref="B503">SUBSTITUTE(SUBSTITUTE(SUBSTITUTE(IFERROR(INDEX(Create_TC_Web!E$1:E$505,SMALL(IF(Create_TC_Web!$C$1:$C$505&lt;&gt;"",MATCH(ROW(Create_TC_Web!$C$1:$C$505),ROW(Create_TC_Web!$C$1:$C$505)),""),ROW(Create_TC_Web!C503))),"")," ",""),"-",""),"_","")</f>
        <v/>
      </c>
      <c r="C503" t="str" cm="1">
        <f t="array" ref="C503">IFERROR(INDEX(Create_TC_Web!F$1:F$500,SMALL(IF(Create_TC_Web!$C$1:$C$500&lt;&gt;"",MATCH(ROW(Create_TC_Web!$C$1:$C$500),ROW(Create_TC_Web!$C$1:$C$500)),""),ROW(Create_TC_Web!D503))),"")</f>
        <v/>
      </c>
      <c r="D503" t="str" cm="1">
        <f t="array" ref="D503">IFERROR(INDEX(Create_TC_Web!G$1:G$500,SMALL(IF(Create_TC_Web!$C$1:$C$500&lt;&gt;"",MATCH(ROW(Create_TC_Web!$C$1:$C$500),ROW(Create_TC_Web!$C$1:$C$500)),""),ROW(Create_TC_Web!E503))),"")</f>
        <v/>
      </c>
      <c r="E503" t="str" cm="1">
        <f t="array" ref="E503">IFERROR(INDEX(Create_TC_Web!H$1:H$500,SMALL(IF(Create_TC_Web!$C$1:$C$500&lt;&gt;"",MATCH(ROW(Create_TC_Web!$C$1:$C$500),ROW(Create_TC_Web!$C$1:$C$500)),""),ROW(Create_TC_Web!F503))),"")</f>
        <v/>
      </c>
      <c r="F503" t="str" cm="1">
        <f t="array" ref="F503">IFERROR(INDEX(Create_TC_Web!I$1:I$500,SMALL(IF(Create_TC_Web!$C$1:$C$500&lt;&gt;"",MATCH(ROW(Create_TC_Web!$C$1:$C$500),ROW(Create_TC_Web!$C$1:$C$500)),""),ROW(Create_TC_Web!G503))),"")</f>
        <v/>
      </c>
      <c r="G503" t="str" cm="1">
        <f t="array" ref="G503">IFERROR(INDEX(Create_TC_Web!J$1:J$500,SMALL(IF(Create_TC_Web!$C$1:$C$500&lt;&gt;"",MATCH(ROW(Create_TC_Web!$C$1:$C$500),ROW(Create_TC_Web!$C$1:$C$500)),""),ROW(Create_TC_Web!H503))),"")</f>
        <v/>
      </c>
      <c r="H503" t="str" cm="1">
        <f t="array" ref="H503">IFERROR(INDEX(Create_TC_Web!K$1:K$500,SMALL(IF(Create_TC_Web!$C$1:$C$500&lt;&gt;"",MATCH(ROW(Create_TC_Web!$C$1:$C$500),ROW(Create_TC_Web!$C$1:$C$500)),""),ROW(Create_TC_Web!I503))),"")</f>
        <v/>
      </c>
      <c r="I503" t="str" cm="1">
        <f t="array" ref="I503">IFERROR(INDEX(Create_TC_Web!L$1:L$500,SMALL(IF(Create_TC_Web!$C$1:$C$500&lt;&gt;"",MATCH(ROW(Create_TC_Web!$C$1:$C$500),ROW(Create_TC_Web!$C$1:$C$500)),""),ROW(Create_TC_Web!J503))),"")</f>
        <v/>
      </c>
      <c r="J503" t="str" cm="1">
        <f t="array" ref="J503">IFERROR(INDEX(Create_TC_Web!M$1:M$500,SMALL(IF(Create_TC_Web!$C$1:$C$500&lt;&gt;"",MATCH(ROW(Create_TC_Web!$C$1:$C$500),ROW(Create_TC_Web!$C$1:$C$500)),""),ROW(Create_TC_Web!K503))),"")</f>
        <v/>
      </c>
      <c r="K503" t="str" cm="1">
        <f t="array" ref="K503">IFERROR(INDEX(Create_TC_Web!N$1:N$500,SMALL(IF(Create_TC_Web!$C$1:$C$500&lt;&gt;"",MATCH(ROW(Create_TC_Web!$C$1:$C$500),ROW(Create_TC_Web!$C$1:$C$500)),""),ROW(Create_TC_Web!L503))),"")</f>
        <v/>
      </c>
      <c r="L503" t="str" cm="1">
        <f t="array" ref="L503">IFERROR(INDEX(Create_TC_Web!O$1:O$500,SMALL(IF(Create_TC_Web!$C$1:$C$500&lt;&gt;"",MATCH(ROW(Create_TC_Web!$C$1:$C$500),ROW(Create_TC_Web!$C$1:$C$500)),""),ROW(Create_TC_Web!M503))),"")</f>
        <v/>
      </c>
      <c r="M503" t="str" cm="1">
        <f t="array" ref="M503">IFERROR(INDEX(Create_TC_Web!P$1:P$500,SMALL(IF(Create_TC_Web!$C$1:$C$500&lt;&gt;"",MATCH(ROW(Create_TC_Web!$C$1:$C$500),ROW(Create_TC_Web!$C$1:$C$500)),""),ROW(Create_TC_Web!N503))),"")</f>
        <v/>
      </c>
      <c r="N503" t="str" cm="1">
        <f t="array" ref="N503">IFERROR(INDEX(Create_TC_Web!Q$1:Q$500,SMALL(IF(Create_TC_Web!$C$1:$C$500&lt;&gt;"",MATCH(ROW(Create_TC_Web!$C$1:$C$500),ROW(Create_TC_Web!$C$1:$C$500)),""),ROW(Create_TC_Web!O503))),"")</f>
        <v/>
      </c>
      <c r="O503" t="str">
        <f t="shared" si="23"/>
        <v/>
      </c>
      <c r="P503" s="17" t="str" cm="1">
        <f t="array" ref="P503">IFERROR(INDEX(Create_TC_Web!S$1:S$500,SMALL(IF(Create_TC_Web!$C$1:$C$500&lt;&gt;"",MATCH(ROW(Create_TC_Web!$C$1:$C$500),ROW(Create_TC_Web!$C$1:$C$500)),""),ROW(Create_TC_Web!Q481))),"")</f>
        <v/>
      </c>
      <c r="S503" t="str">
        <f t="shared" si="22"/>
        <v/>
      </c>
    </row>
    <row r="504" spans="1:19">
      <c r="A504" t="str" cm="1">
        <f t="array" ref="A504">IFERROR(INDEX(Create_TC_Web!D$1:D$500,SMALL(IF(Create_TC_Web!$C$1:$C$500&lt;&gt;"",MATCH(ROW(Create_TC_Web!$C$1:$C$500),ROW(Create_TC_Web!$C$1:$C$500)),""),ROW(Create_TC_Web!B504))),"")</f>
        <v/>
      </c>
      <c r="B504" t="str" cm="1">
        <f t="array" ref="B504">SUBSTITUTE(SUBSTITUTE(SUBSTITUTE(IFERROR(INDEX(Create_TC_Web!E$1:E$505,SMALL(IF(Create_TC_Web!$C$1:$C$505&lt;&gt;"",MATCH(ROW(Create_TC_Web!$C$1:$C$505),ROW(Create_TC_Web!$C$1:$C$505)),""),ROW(Create_TC_Web!C504))),"")," ",""),"-",""),"_","")</f>
        <v/>
      </c>
      <c r="C504" t="str" cm="1">
        <f t="array" ref="C504">IFERROR(INDEX(Create_TC_Web!F$1:F$500,SMALL(IF(Create_TC_Web!$C$1:$C$500&lt;&gt;"",MATCH(ROW(Create_TC_Web!$C$1:$C$500),ROW(Create_TC_Web!$C$1:$C$500)),""),ROW(Create_TC_Web!D504))),"")</f>
        <v/>
      </c>
      <c r="D504" t="str" cm="1">
        <f t="array" ref="D504">IFERROR(INDEX(Create_TC_Web!G$1:G$500,SMALL(IF(Create_TC_Web!$C$1:$C$500&lt;&gt;"",MATCH(ROW(Create_TC_Web!$C$1:$C$500),ROW(Create_TC_Web!$C$1:$C$500)),""),ROW(Create_TC_Web!E504))),"")</f>
        <v/>
      </c>
      <c r="E504" t="str" cm="1">
        <f t="array" ref="E504">IFERROR(INDEX(Create_TC_Web!H$1:H$500,SMALL(IF(Create_TC_Web!$C$1:$C$500&lt;&gt;"",MATCH(ROW(Create_TC_Web!$C$1:$C$500),ROW(Create_TC_Web!$C$1:$C$500)),""),ROW(Create_TC_Web!F504))),"")</f>
        <v/>
      </c>
      <c r="F504" t="str" cm="1">
        <f t="array" ref="F504">IFERROR(INDEX(Create_TC_Web!I$1:I$500,SMALL(IF(Create_TC_Web!$C$1:$C$500&lt;&gt;"",MATCH(ROW(Create_TC_Web!$C$1:$C$500),ROW(Create_TC_Web!$C$1:$C$500)),""),ROW(Create_TC_Web!G504))),"")</f>
        <v/>
      </c>
      <c r="G504" t="str" cm="1">
        <f t="array" ref="G504">IFERROR(INDEX(Create_TC_Web!J$1:J$500,SMALL(IF(Create_TC_Web!$C$1:$C$500&lt;&gt;"",MATCH(ROW(Create_TC_Web!$C$1:$C$500),ROW(Create_TC_Web!$C$1:$C$500)),""),ROW(Create_TC_Web!H504))),"")</f>
        <v/>
      </c>
      <c r="H504" t="str" cm="1">
        <f t="array" ref="H504">IFERROR(INDEX(Create_TC_Web!K$1:K$500,SMALL(IF(Create_TC_Web!$C$1:$C$500&lt;&gt;"",MATCH(ROW(Create_TC_Web!$C$1:$C$500),ROW(Create_TC_Web!$C$1:$C$500)),""),ROW(Create_TC_Web!I504))),"")</f>
        <v/>
      </c>
      <c r="I504" t="str" cm="1">
        <f t="array" ref="I504">IFERROR(INDEX(Create_TC_Web!L$1:L$500,SMALL(IF(Create_TC_Web!$C$1:$C$500&lt;&gt;"",MATCH(ROW(Create_TC_Web!$C$1:$C$500),ROW(Create_TC_Web!$C$1:$C$500)),""),ROW(Create_TC_Web!J504))),"")</f>
        <v/>
      </c>
      <c r="J504" t="str" cm="1">
        <f t="array" ref="J504">IFERROR(INDEX(Create_TC_Web!M$1:M$500,SMALL(IF(Create_TC_Web!$C$1:$C$500&lt;&gt;"",MATCH(ROW(Create_TC_Web!$C$1:$C$500),ROW(Create_TC_Web!$C$1:$C$500)),""),ROW(Create_TC_Web!K504))),"")</f>
        <v/>
      </c>
      <c r="K504" t="str" cm="1">
        <f t="array" ref="K504">IFERROR(INDEX(Create_TC_Web!N$1:N$500,SMALL(IF(Create_TC_Web!$C$1:$C$500&lt;&gt;"",MATCH(ROW(Create_TC_Web!$C$1:$C$500),ROW(Create_TC_Web!$C$1:$C$500)),""),ROW(Create_TC_Web!L504))),"")</f>
        <v/>
      </c>
      <c r="L504" t="str" cm="1">
        <f t="array" ref="L504">IFERROR(INDEX(Create_TC_Web!O$1:O$500,SMALL(IF(Create_TC_Web!$C$1:$C$500&lt;&gt;"",MATCH(ROW(Create_TC_Web!$C$1:$C$500),ROW(Create_TC_Web!$C$1:$C$500)),""),ROW(Create_TC_Web!M504))),"")</f>
        <v/>
      </c>
      <c r="M504" t="str" cm="1">
        <f t="array" ref="M504">IFERROR(INDEX(Create_TC_Web!P$1:P$500,SMALL(IF(Create_TC_Web!$C$1:$C$500&lt;&gt;"",MATCH(ROW(Create_TC_Web!$C$1:$C$500),ROW(Create_TC_Web!$C$1:$C$500)),""),ROW(Create_TC_Web!N504))),"")</f>
        <v/>
      </c>
      <c r="N504" t="str" cm="1">
        <f t="array" ref="N504">IFERROR(INDEX(Create_TC_Web!Q$1:Q$500,SMALL(IF(Create_TC_Web!$C$1:$C$500&lt;&gt;"",MATCH(ROW(Create_TC_Web!$C$1:$C$500),ROW(Create_TC_Web!$C$1:$C$500)),""),ROW(Create_TC_Web!O504))),"")</f>
        <v/>
      </c>
      <c r="O504" t="str">
        <f t="shared" si="23"/>
        <v/>
      </c>
      <c r="P504" s="17" t="str" cm="1">
        <f t="array" ref="P504">IFERROR(INDEX(Create_TC_Web!S$1:S$500,SMALL(IF(Create_TC_Web!$C$1:$C$500&lt;&gt;"",MATCH(ROW(Create_TC_Web!$C$1:$C$500),ROW(Create_TC_Web!$C$1:$C$500)),""),ROW(Create_TC_Web!Q482))),"")</f>
        <v/>
      </c>
      <c r="S504" t="str">
        <f t="shared" si="22"/>
        <v/>
      </c>
    </row>
    <row r="505" spans="1:19">
      <c r="A505" t="str" cm="1">
        <f t="array" ref="A505">IFERROR(INDEX(Create_TC_Web!D$1:D$500,SMALL(IF(Create_TC_Web!$C$1:$C$500&lt;&gt;"",MATCH(ROW(Create_TC_Web!$C$1:$C$500),ROW(Create_TC_Web!$C$1:$C$500)),""),ROW(Create_TC_Web!B505))),"")</f>
        <v/>
      </c>
      <c r="B505" t="str" cm="1">
        <f t="array" ref="B505">SUBSTITUTE(SUBSTITUTE(SUBSTITUTE(IFERROR(INDEX(Create_TC_Web!E$1:E$505,SMALL(IF(Create_TC_Web!$C$1:$C$505&lt;&gt;"",MATCH(ROW(Create_TC_Web!$C$1:$C$505),ROW(Create_TC_Web!$C$1:$C$505)),""),ROW(Create_TC_Web!C505))),"")," ",""),"-",""),"_","")</f>
        <v/>
      </c>
      <c r="C505" t="str" cm="1">
        <f t="array" ref="C505">IFERROR(INDEX(Create_TC_Web!F$1:F$500,SMALL(IF(Create_TC_Web!$C$1:$C$500&lt;&gt;"",MATCH(ROW(Create_TC_Web!$C$1:$C$500),ROW(Create_TC_Web!$C$1:$C$500)),""),ROW(Create_TC_Web!D505))),"")</f>
        <v/>
      </c>
      <c r="D505" t="str" cm="1">
        <f t="array" ref="D505">IFERROR(INDEX(Create_TC_Web!G$1:G$500,SMALL(IF(Create_TC_Web!$C$1:$C$500&lt;&gt;"",MATCH(ROW(Create_TC_Web!$C$1:$C$500),ROW(Create_TC_Web!$C$1:$C$500)),""),ROW(Create_TC_Web!E505))),"")</f>
        <v/>
      </c>
      <c r="E505" t="str" cm="1">
        <f t="array" ref="E505">IFERROR(INDEX(Create_TC_Web!H$1:H$500,SMALL(IF(Create_TC_Web!$C$1:$C$500&lt;&gt;"",MATCH(ROW(Create_TC_Web!$C$1:$C$500),ROW(Create_TC_Web!$C$1:$C$500)),""),ROW(Create_TC_Web!F505))),"")</f>
        <v/>
      </c>
      <c r="F505" t="str" cm="1">
        <f t="array" ref="F505">IFERROR(INDEX(Create_TC_Web!I$1:I$500,SMALL(IF(Create_TC_Web!$C$1:$C$500&lt;&gt;"",MATCH(ROW(Create_TC_Web!$C$1:$C$500),ROW(Create_TC_Web!$C$1:$C$500)),""),ROW(Create_TC_Web!G505))),"")</f>
        <v/>
      </c>
      <c r="G505" t="str" cm="1">
        <f t="array" ref="G505">IFERROR(INDEX(Create_TC_Web!J$1:J$500,SMALL(IF(Create_TC_Web!$C$1:$C$500&lt;&gt;"",MATCH(ROW(Create_TC_Web!$C$1:$C$500),ROW(Create_TC_Web!$C$1:$C$500)),""),ROW(Create_TC_Web!H505))),"")</f>
        <v/>
      </c>
      <c r="H505" t="str" cm="1">
        <f t="array" ref="H505">IFERROR(INDEX(Create_TC_Web!K$1:K$500,SMALL(IF(Create_TC_Web!$C$1:$C$500&lt;&gt;"",MATCH(ROW(Create_TC_Web!$C$1:$C$500),ROW(Create_TC_Web!$C$1:$C$500)),""),ROW(Create_TC_Web!I505))),"")</f>
        <v/>
      </c>
      <c r="I505" t="str" cm="1">
        <f t="array" ref="I505">IFERROR(INDEX(Create_TC_Web!L$1:L$500,SMALL(IF(Create_TC_Web!$C$1:$C$500&lt;&gt;"",MATCH(ROW(Create_TC_Web!$C$1:$C$500),ROW(Create_TC_Web!$C$1:$C$500)),""),ROW(Create_TC_Web!J505))),"")</f>
        <v/>
      </c>
      <c r="J505" t="str" cm="1">
        <f t="array" ref="J505">IFERROR(INDEX(Create_TC_Web!M$1:M$500,SMALL(IF(Create_TC_Web!$C$1:$C$500&lt;&gt;"",MATCH(ROW(Create_TC_Web!$C$1:$C$500),ROW(Create_TC_Web!$C$1:$C$500)),""),ROW(Create_TC_Web!K505))),"")</f>
        <v/>
      </c>
      <c r="K505" t="str" cm="1">
        <f t="array" ref="K505">IFERROR(INDEX(Create_TC_Web!N$1:N$500,SMALL(IF(Create_TC_Web!$C$1:$C$500&lt;&gt;"",MATCH(ROW(Create_TC_Web!$C$1:$C$500),ROW(Create_TC_Web!$C$1:$C$500)),""),ROW(Create_TC_Web!L505))),"")</f>
        <v/>
      </c>
      <c r="L505" t="str" cm="1">
        <f t="array" ref="L505">IFERROR(INDEX(Create_TC_Web!O$1:O$500,SMALL(IF(Create_TC_Web!$C$1:$C$500&lt;&gt;"",MATCH(ROW(Create_TC_Web!$C$1:$C$500),ROW(Create_TC_Web!$C$1:$C$500)),""),ROW(Create_TC_Web!M505))),"")</f>
        <v/>
      </c>
      <c r="M505" t="str" cm="1">
        <f t="array" ref="M505">IFERROR(INDEX(Create_TC_Web!P$1:P$500,SMALL(IF(Create_TC_Web!$C$1:$C$500&lt;&gt;"",MATCH(ROW(Create_TC_Web!$C$1:$C$500),ROW(Create_TC_Web!$C$1:$C$500)),""),ROW(Create_TC_Web!N505))),"")</f>
        <v/>
      </c>
      <c r="N505" t="str" cm="1">
        <f t="array" ref="N505">IFERROR(INDEX(Create_TC_Web!Q$1:Q$500,SMALL(IF(Create_TC_Web!$C$1:$C$500&lt;&gt;"",MATCH(ROW(Create_TC_Web!$C$1:$C$500),ROW(Create_TC_Web!$C$1:$C$500)),""),ROW(Create_TC_Web!O505))),"")</f>
        <v/>
      </c>
      <c r="O505" t="str">
        <f t="shared" si="23"/>
        <v/>
      </c>
      <c r="P505" s="17" t="str" cm="1">
        <f t="array" ref="P505">IFERROR(INDEX(Create_TC_Web!S$1:S$500,SMALL(IF(Create_TC_Web!$C$1:$C$500&lt;&gt;"",MATCH(ROW(Create_TC_Web!$C$1:$C$500),ROW(Create_TC_Web!$C$1:$C$500)),""),ROW(Create_TC_Web!Q483))),"")</f>
        <v/>
      </c>
      <c r="S505" t="str">
        <f t="shared" si="22"/>
        <v/>
      </c>
    </row>
    <row r="506" spans="1:19">
      <c r="A506" t="str" cm="1">
        <f t="array" ref="A506">IFERROR(INDEX(Create_TC_Web!D$1:D$500,SMALL(IF(Create_TC_Web!$C$1:$C$500&lt;&gt;"",MATCH(ROW(Create_TC_Web!$C$1:$C$500),ROW(Create_TC_Web!$C$1:$C$500)),""),ROW(Create_TC_Web!B506))),"")</f>
        <v/>
      </c>
      <c r="B506" t="str" cm="1">
        <f t="array" ref="B506">SUBSTITUTE(SUBSTITUTE(SUBSTITUTE(IFERROR(INDEX(Create_TC_Web!E$1:E$505,SMALL(IF(Create_TC_Web!$C$1:$C$505&lt;&gt;"",MATCH(ROW(Create_TC_Web!$C$1:$C$505),ROW(Create_TC_Web!$C$1:$C$505)),""),ROW(Create_TC_Web!C506))),"")," ",""),"-",""),"_","")</f>
        <v/>
      </c>
      <c r="C506" t="str" cm="1">
        <f t="array" ref="C506">IFERROR(INDEX(Create_TC_Web!F$1:F$500,SMALL(IF(Create_TC_Web!$C$1:$C$500&lt;&gt;"",MATCH(ROW(Create_TC_Web!$C$1:$C$500),ROW(Create_TC_Web!$C$1:$C$500)),""),ROW(Create_TC_Web!D506))),"")</f>
        <v/>
      </c>
      <c r="D506" t="str" cm="1">
        <f t="array" ref="D506">IFERROR(INDEX(Create_TC_Web!G$1:G$500,SMALL(IF(Create_TC_Web!$C$1:$C$500&lt;&gt;"",MATCH(ROW(Create_TC_Web!$C$1:$C$500),ROW(Create_TC_Web!$C$1:$C$500)),""),ROW(Create_TC_Web!E506))),"")</f>
        <v/>
      </c>
      <c r="E506" t="str" cm="1">
        <f t="array" ref="E506">IFERROR(INDEX(Create_TC_Web!H$1:H$500,SMALL(IF(Create_TC_Web!$C$1:$C$500&lt;&gt;"",MATCH(ROW(Create_TC_Web!$C$1:$C$500),ROW(Create_TC_Web!$C$1:$C$500)),""),ROW(Create_TC_Web!F506))),"")</f>
        <v/>
      </c>
      <c r="F506" t="str" cm="1">
        <f t="array" ref="F506">IFERROR(INDEX(Create_TC_Web!I$1:I$500,SMALL(IF(Create_TC_Web!$C$1:$C$500&lt;&gt;"",MATCH(ROW(Create_TC_Web!$C$1:$C$500),ROW(Create_TC_Web!$C$1:$C$500)),""),ROW(Create_TC_Web!G506))),"")</f>
        <v/>
      </c>
      <c r="G506" t="str" cm="1">
        <f t="array" ref="G506">IFERROR(INDEX(Create_TC_Web!J$1:J$500,SMALL(IF(Create_TC_Web!$C$1:$C$500&lt;&gt;"",MATCH(ROW(Create_TC_Web!$C$1:$C$500),ROW(Create_TC_Web!$C$1:$C$500)),""),ROW(Create_TC_Web!H506))),"")</f>
        <v/>
      </c>
      <c r="H506" t="str" cm="1">
        <f t="array" ref="H506">IFERROR(INDEX(Create_TC_Web!K$1:K$500,SMALL(IF(Create_TC_Web!$C$1:$C$500&lt;&gt;"",MATCH(ROW(Create_TC_Web!$C$1:$C$500),ROW(Create_TC_Web!$C$1:$C$500)),""),ROW(Create_TC_Web!I506))),"")</f>
        <v/>
      </c>
      <c r="I506" t="str" cm="1">
        <f t="array" ref="I506">IFERROR(INDEX(Create_TC_Web!L$1:L$500,SMALL(IF(Create_TC_Web!$C$1:$C$500&lt;&gt;"",MATCH(ROW(Create_TC_Web!$C$1:$C$500),ROW(Create_TC_Web!$C$1:$C$500)),""),ROW(Create_TC_Web!J506))),"")</f>
        <v/>
      </c>
      <c r="J506" t="str" cm="1">
        <f t="array" ref="J506">IFERROR(INDEX(Create_TC_Web!M$1:M$500,SMALL(IF(Create_TC_Web!$C$1:$C$500&lt;&gt;"",MATCH(ROW(Create_TC_Web!$C$1:$C$500),ROW(Create_TC_Web!$C$1:$C$500)),""),ROW(Create_TC_Web!K506))),"")</f>
        <v/>
      </c>
      <c r="K506" t="str" cm="1">
        <f t="array" ref="K506">IFERROR(INDEX(Create_TC_Web!N$1:N$500,SMALL(IF(Create_TC_Web!$C$1:$C$500&lt;&gt;"",MATCH(ROW(Create_TC_Web!$C$1:$C$500),ROW(Create_TC_Web!$C$1:$C$500)),""),ROW(Create_TC_Web!L506))),"")</f>
        <v/>
      </c>
      <c r="L506" t="str" cm="1">
        <f t="array" ref="L506">IFERROR(INDEX(Create_TC_Web!O$1:O$500,SMALL(IF(Create_TC_Web!$C$1:$C$500&lt;&gt;"",MATCH(ROW(Create_TC_Web!$C$1:$C$500),ROW(Create_TC_Web!$C$1:$C$500)),""),ROW(Create_TC_Web!M506))),"")</f>
        <v/>
      </c>
      <c r="M506" t="str" cm="1">
        <f t="array" ref="M506">IFERROR(INDEX(Create_TC_Web!P$1:P$500,SMALL(IF(Create_TC_Web!$C$1:$C$500&lt;&gt;"",MATCH(ROW(Create_TC_Web!$C$1:$C$500),ROW(Create_TC_Web!$C$1:$C$500)),""),ROW(Create_TC_Web!N506))),"")</f>
        <v/>
      </c>
      <c r="N506" t="str" cm="1">
        <f t="array" ref="N506">IFERROR(INDEX(Create_TC_Web!Q$1:Q$500,SMALL(IF(Create_TC_Web!$C$1:$C$500&lt;&gt;"",MATCH(ROW(Create_TC_Web!$C$1:$C$500),ROW(Create_TC_Web!$C$1:$C$500)),""),ROW(Create_TC_Web!O506))),"")</f>
        <v/>
      </c>
      <c r="O506" t="str">
        <f t="shared" si="23"/>
        <v/>
      </c>
      <c r="P506" s="17" t="str" cm="1">
        <f t="array" ref="P506">IFERROR(INDEX(Create_TC_Web!S$1:S$500,SMALL(IF(Create_TC_Web!$C$1:$C$500&lt;&gt;"",MATCH(ROW(Create_TC_Web!$C$1:$C$500),ROW(Create_TC_Web!$C$1:$C$500)),""),ROW(Create_TC_Web!Q484))),"")</f>
        <v/>
      </c>
      <c r="S506" t="str">
        <f t="shared" si="22"/>
        <v/>
      </c>
    </row>
    <row r="507" spans="1:19">
      <c r="A507" t="str" cm="1">
        <f t="array" ref="A507">IFERROR(INDEX(Create_TC_Web!D$1:D$500,SMALL(IF(Create_TC_Web!$C$1:$C$500&lt;&gt;"",MATCH(ROW(Create_TC_Web!$C$1:$C$500),ROW(Create_TC_Web!$C$1:$C$500)),""),ROW(Create_TC_Web!B507))),"")</f>
        <v/>
      </c>
      <c r="B507" t="str" cm="1">
        <f t="array" ref="B507">SUBSTITUTE(SUBSTITUTE(SUBSTITUTE(IFERROR(INDEX(Create_TC_Web!E$1:E$505,SMALL(IF(Create_TC_Web!$C$1:$C$505&lt;&gt;"",MATCH(ROW(Create_TC_Web!$C$1:$C$505),ROW(Create_TC_Web!$C$1:$C$505)),""),ROW(Create_TC_Web!C507))),"")," ",""),"-",""),"_","")</f>
        <v/>
      </c>
      <c r="C507" t="str" cm="1">
        <f t="array" ref="C507">IFERROR(INDEX(Create_TC_Web!F$1:F$500,SMALL(IF(Create_TC_Web!$C$1:$C$500&lt;&gt;"",MATCH(ROW(Create_TC_Web!$C$1:$C$500),ROW(Create_TC_Web!$C$1:$C$500)),""),ROW(Create_TC_Web!D507))),"")</f>
        <v/>
      </c>
      <c r="D507" t="str" cm="1">
        <f t="array" ref="D507">IFERROR(INDEX(Create_TC_Web!G$1:G$500,SMALL(IF(Create_TC_Web!$C$1:$C$500&lt;&gt;"",MATCH(ROW(Create_TC_Web!$C$1:$C$500),ROW(Create_TC_Web!$C$1:$C$500)),""),ROW(Create_TC_Web!E507))),"")</f>
        <v/>
      </c>
      <c r="E507" t="str" cm="1">
        <f t="array" ref="E507">IFERROR(INDEX(Create_TC_Web!H$1:H$500,SMALL(IF(Create_TC_Web!$C$1:$C$500&lt;&gt;"",MATCH(ROW(Create_TC_Web!$C$1:$C$500),ROW(Create_TC_Web!$C$1:$C$500)),""),ROW(Create_TC_Web!F507))),"")</f>
        <v/>
      </c>
      <c r="F507" t="str" cm="1">
        <f t="array" ref="F507">IFERROR(INDEX(Create_TC_Web!I$1:I$500,SMALL(IF(Create_TC_Web!$C$1:$C$500&lt;&gt;"",MATCH(ROW(Create_TC_Web!$C$1:$C$500),ROW(Create_TC_Web!$C$1:$C$500)),""),ROW(Create_TC_Web!G507))),"")</f>
        <v/>
      </c>
      <c r="G507" t="str" cm="1">
        <f t="array" ref="G507">IFERROR(INDEX(Create_TC_Web!J$1:J$500,SMALL(IF(Create_TC_Web!$C$1:$C$500&lt;&gt;"",MATCH(ROW(Create_TC_Web!$C$1:$C$500),ROW(Create_TC_Web!$C$1:$C$500)),""),ROW(Create_TC_Web!H507))),"")</f>
        <v/>
      </c>
      <c r="H507" t="str" cm="1">
        <f t="array" ref="H507">IFERROR(INDEX(Create_TC_Web!K$1:K$500,SMALL(IF(Create_TC_Web!$C$1:$C$500&lt;&gt;"",MATCH(ROW(Create_TC_Web!$C$1:$C$500),ROW(Create_TC_Web!$C$1:$C$500)),""),ROW(Create_TC_Web!I507))),"")</f>
        <v/>
      </c>
      <c r="I507" t="str" cm="1">
        <f t="array" ref="I507">IFERROR(INDEX(Create_TC_Web!L$1:L$500,SMALL(IF(Create_TC_Web!$C$1:$C$500&lt;&gt;"",MATCH(ROW(Create_TC_Web!$C$1:$C$500),ROW(Create_TC_Web!$C$1:$C$500)),""),ROW(Create_TC_Web!J507))),"")</f>
        <v/>
      </c>
      <c r="J507" t="str" cm="1">
        <f t="array" ref="J507">IFERROR(INDEX(Create_TC_Web!M$1:M$500,SMALL(IF(Create_TC_Web!$C$1:$C$500&lt;&gt;"",MATCH(ROW(Create_TC_Web!$C$1:$C$500),ROW(Create_TC_Web!$C$1:$C$500)),""),ROW(Create_TC_Web!K507))),"")</f>
        <v/>
      </c>
      <c r="K507" t="str" cm="1">
        <f t="array" ref="K507">IFERROR(INDEX(Create_TC_Web!N$1:N$500,SMALL(IF(Create_TC_Web!$C$1:$C$500&lt;&gt;"",MATCH(ROW(Create_TC_Web!$C$1:$C$500),ROW(Create_TC_Web!$C$1:$C$500)),""),ROW(Create_TC_Web!L507))),"")</f>
        <v/>
      </c>
      <c r="L507" t="str" cm="1">
        <f t="array" ref="L507">IFERROR(INDEX(Create_TC_Web!O$1:O$500,SMALL(IF(Create_TC_Web!$C$1:$C$500&lt;&gt;"",MATCH(ROW(Create_TC_Web!$C$1:$C$500),ROW(Create_TC_Web!$C$1:$C$500)),""),ROW(Create_TC_Web!M507))),"")</f>
        <v/>
      </c>
      <c r="M507" t="str" cm="1">
        <f t="array" ref="M507">IFERROR(INDEX(Create_TC_Web!P$1:P$500,SMALL(IF(Create_TC_Web!$C$1:$C$500&lt;&gt;"",MATCH(ROW(Create_TC_Web!$C$1:$C$500),ROW(Create_TC_Web!$C$1:$C$500)),""),ROW(Create_TC_Web!N507))),"")</f>
        <v/>
      </c>
      <c r="N507" t="str" cm="1">
        <f t="array" ref="N507">IFERROR(INDEX(Create_TC_Web!Q$1:Q$500,SMALL(IF(Create_TC_Web!$C$1:$C$500&lt;&gt;"",MATCH(ROW(Create_TC_Web!$C$1:$C$500),ROW(Create_TC_Web!$C$1:$C$500)),""),ROW(Create_TC_Web!O507))),"")</f>
        <v/>
      </c>
      <c r="O507" t="str">
        <f t="shared" si="23"/>
        <v/>
      </c>
      <c r="P507" s="17" t="str" cm="1">
        <f t="array" ref="P507">IFERROR(INDEX(Create_TC_Web!S$1:S$500,SMALL(IF(Create_TC_Web!$C$1:$C$500&lt;&gt;"",MATCH(ROW(Create_TC_Web!$C$1:$C$500),ROW(Create_TC_Web!$C$1:$C$500)),""),ROW(Create_TC_Web!Q485))),"")</f>
        <v/>
      </c>
      <c r="S507" t="str">
        <f t="shared" si="22"/>
        <v/>
      </c>
    </row>
    <row r="508" spans="1:19">
      <c r="A508" t="str" cm="1">
        <f t="array" ref="A508">IFERROR(INDEX(Create_TC_Web!D$1:D$500,SMALL(IF(Create_TC_Web!$C$1:$C$500&lt;&gt;"",MATCH(ROW(Create_TC_Web!$C$1:$C$500),ROW(Create_TC_Web!$C$1:$C$500)),""),ROW(Create_TC_Web!B508))),"")</f>
        <v/>
      </c>
      <c r="B508" t="str" cm="1">
        <f t="array" ref="B508">SUBSTITUTE(SUBSTITUTE(SUBSTITUTE(IFERROR(INDEX(Create_TC_Web!E$1:E$505,SMALL(IF(Create_TC_Web!$C$1:$C$505&lt;&gt;"",MATCH(ROW(Create_TC_Web!$C$1:$C$505),ROW(Create_TC_Web!$C$1:$C$505)),""),ROW(Create_TC_Web!C508))),"")," ",""),"-",""),"_","")</f>
        <v/>
      </c>
      <c r="C508" t="str" cm="1">
        <f t="array" ref="C508">IFERROR(INDEX(Create_TC_Web!F$1:F$500,SMALL(IF(Create_TC_Web!$C$1:$C$500&lt;&gt;"",MATCH(ROW(Create_TC_Web!$C$1:$C$500),ROW(Create_TC_Web!$C$1:$C$500)),""),ROW(Create_TC_Web!D508))),"")</f>
        <v/>
      </c>
      <c r="D508" t="str" cm="1">
        <f t="array" ref="D508">IFERROR(INDEX(Create_TC_Web!G$1:G$500,SMALL(IF(Create_TC_Web!$C$1:$C$500&lt;&gt;"",MATCH(ROW(Create_TC_Web!$C$1:$C$500),ROW(Create_TC_Web!$C$1:$C$500)),""),ROW(Create_TC_Web!E508))),"")</f>
        <v/>
      </c>
      <c r="E508" t="str" cm="1">
        <f t="array" ref="E508">IFERROR(INDEX(Create_TC_Web!H$1:H$500,SMALL(IF(Create_TC_Web!$C$1:$C$500&lt;&gt;"",MATCH(ROW(Create_TC_Web!$C$1:$C$500),ROW(Create_TC_Web!$C$1:$C$500)),""),ROW(Create_TC_Web!F508))),"")</f>
        <v/>
      </c>
      <c r="F508" t="str" cm="1">
        <f t="array" ref="F508">IFERROR(INDEX(Create_TC_Web!I$1:I$500,SMALL(IF(Create_TC_Web!$C$1:$C$500&lt;&gt;"",MATCH(ROW(Create_TC_Web!$C$1:$C$500),ROW(Create_TC_Web!$C$1:$C$500)),""),ROW(Create_TC_Web!G508))),"")</f>
        <v/>
      </c>
      <c r="G508" t="str" cm="1">
        <f t="array" ref="G508">IFERROR(INDEX(Create_TC_Web!J$1:J$500,SMALL(IF(Create_TC_Web!$C$1:$C$500&lt;&gt;"",MATCH(ROW(Create_TC_Web!$C$1:$C$500),ROW(Create_TC_Web!$C$1:$C$500)),""),ROW(Create_TC_Web!H508))),"")</f>
        <v/>
      </c>
      <c r="H508" t="str" cm="1">
        <f t="array" ref="H508">IFERROR(INDEX(Create_TC_Web!K$1:K$500,SMALL(IF(Create_TC_Web!$C$1:$C$500&lt;&gt;"",MATCH(ROW(Create_TC_Web!$C$1:$C$500),ROW(Create_TC_Web!$C$1:$C$500)),""),ROW(Create_TC_Web!I508))),"")</f>
        <v/>
      </c>
      <c r="I508" t="str" cm="1">
        <f t="array" ref="I508">IFERROR(INDEX(Create_TC_Web!L$1:L$500,SMALL(IF(Create_TC_Web!$C$1:$C$500&lt;&gt;"",MATCH(ROW(Create_TC_Web!$C$1:$C$500),ROW(Create_TC_Web!$C$1:$C$500)),""),ROW(Create_TC_Web!J508))),"")</f>
        <v/>
      </c>
      <c r="J508" t="str" cm="1">
        <f t="array" ref="J508">IFERROR(INDEX(Create_TC_Web!M$1:M$500,SMALL(IF(Create_TC_Web!$C$1:$C$500&lt;&gt;"",MATCH(ROW(Create_TC_Web!$C$1:$C$500),ROW(Create_TC_Web!$C$1:$C$500)),""),ROW(Create_TC_Web!K508))),"")</f>
        <v/>
      </c>
      <c r="K508" t="str" cm="1">
        <f t="array" ref="K508">IFERROR(INDEX(Create_TC_Web!N$1:N$500,SMALL(IF(Create_TC_Web!$C$1:$C$500&lt;&gt;"",MATCH(ROW(Create_TC_Web!$C$1:$C$500),ROW(Create_TC_Web!$C$1:$C$500)),""),ROW(Create_TC_Web!L508))),"")</f>
        <v/>
      </c>
      <c r="L508" t="str" cm="1">
        <f t="array" ref="L508">IFERROR(INDEX(Create_TC_Web!O$1:O$500,SMALL(IF(Create_TC_Web!$C$1:$C$500&lt;&gt;"",MATCH(ROW(Create_TC_Web!$C$1:$C$500),ROW(Create_TC_Web!$C$1:$C$500)),""),ROW(Create_TC_Web!M508))),"")</f>
        <v/>
      </c>
      <c r="M508" t="str" cm="1">
        <f t="array" ref="M508">IFERROR(INDEX(Create_TC_Web!P$1:P$500,SMALL(IF(Create_TC_Web!$C$1:$C$500&lt;&gt;"",MATCH(ROW(Create_TC_Web!$C$1:$C$500),ROW(Create_TC_Web!$C$1:$C$500)),""),ROW(Create_TC_Web!N508))),"")</f>
        <v/>
      </c>
      <c r="N508" t="str" cm="1">
        <f t="array" ref="N508">IFERROR(INDEX(Create_TC_Web!Q$1:Q$500,SMALL(IF(Create_TC_Web!$C$1:$C$500&lt;&gt;"",MATCH(ROW(Create_TC_Web!$C$1:$C$500),ROW(Create_TC_Web!$C$1:$C$500)),""),ROW(Create_TC_Web!O508))),"")</f>
        <v/>
      </c>
      <c r="O508" t="str">
        <f t="shared" si="23"/>
        <v/>
      </c>
      <c r="P508" s="17" t="str" cm="1">
        <f t="array" ref="P508">IFERROR(INDEX(Create_TC_Web!S$1:S$500,SMALL(IF(Create_TC_Web!$C$1:$C$500&lt;&gt;"",MATCH(ROW(Create_TC_Web!$C$1:$C$500),ROW(Create_TC_Web!$C$1:$C$500)),""),ROW(Create_TC_Web!Q486))),"")</f>
        <v/>
      </c>
      <c r="S508" t="str">
        <f t="shared" si="22"/>
        <v/>
      </c>
    </row>
    <row r="509" spans="1:19">
      <c r="A509" t="str" cm="1">
        <f t="array" ref="A509">IFERROR(INDEX(Create_TC_Web!D$1:D$500,SMALL(IF(Create_TC_Web!$C$1:$C$500&lt;&gt;"",MATCH(ROW(Create_TC_Web!$C$1:$C$500),ROW(Create_TC_Web!$C$1:$C$500)),""),ROW(Create_TC_Web!#REF!))),"")</f>
        <v/>
      </c>
      <c r="B509" t="str" cm="1">
        <f t="array" ref="B509">SUBSTITUTE(SUBSTITUTE(SUBSTITUTE(IFERROR(INDEX(Create_TC_Web!E$1:E$505,SMALL(IF(Create_TC_Web!$C$1:$C$505&lt;&gt;"",MATCH(ROW(Create_TC_Web!$C$1:$C$505),ROW(Create_TC_Web!$C$1:$C$505)),""),ROW(Create_TC_Web!#REF!))),"")," ",""),"-",""),"_","")</f>
        <v/>
      </c>
      <c r="C509" t="str" cm="1">
        <f t="array" ref="C509">IFERROR(INDEX(Create_TC_Web!F$1:F$500,SMALL(IF(Create_TC_Web!$C$1:$C$500&lt;&gt;"",MATCH(ROW(Create_TC_Web!$C$1:$C$500),ROW(Create_TC_Web!$C$1:$C$500)),""),ROW(Create_TC_Web!#REF!))),"")</f>
        <v/>
      </c>
      <c r="D509" t="str" cm="1">
        <f t="array" ref="D509">IFERROR(INDEX(Create_TC_Web!G$1:G$500,SMALL(IF(Create_TC_Web!$C$1:$C$500&lt;&gt;"",MATCH(ROW(Create_TC_Web!$C$1:$C$500),ROW(Create_TC_Web!$C$1:$C$500)),""),ROW(Create_TC_Web!#REF!))),"")</f>
        <v/>
      </c>
      <c r="E509" t="str" cm="1">
        <f t="array" ref="E509">IFERROR(INDEX(Create_TC_Web!H$1:H$500,SMALL(IF(Create_TC_Web!$C$1:$C$500&lt;&gt;"",MATCH(ROW(Create_TC_Web!$C$1:$C$500),ROW(Create_TC_Web!$C$1:$C$500)),""),ROW(Create_TC_Web!#REF!))),"")</f>
        <v/>
      </c>
      <c r="F509" t="str" cm="1">
        <f t="array" ref="F509">IFERROR(INDEX(Create_TC_Web!I$1:I$500,SMALL(IF(Create_TC_Web!$C$1:$C$500&lt;&gt;"",MATCH(ROW(Create_TC_Web!$C$1:$C$500),ROW(Create_TC_Web!$C$1:$C$500)),""),ROW(Create_TC_Web!#REF!))),"")</f>
        <v/>
      </c>
      <c r="G509" t="str" cm="1">
        <f t="array" ref="G509">IFERROR(INDEX(Create_TC_Web!J$1:J$500,SMALL(IF(Create_TC_Web!$C$1:$C$500&lt;&gt;"",MATCH(ROW(Create_TC_Web!$C$1:$C$500),ROW(Create_TC_Web!$C$1:$C$500)),""),ROW(Create_TC_Web!#REF!))),"")</f>
        <v/>
      </c>
      <c r="H509" t="str" cm="1">
        <f t="array" ref="H509">IFERROR(INDEX(Create_TC_Web!K$1:K$500,SMALL(IF(Create_TC_Web!$C$1:$C$500&lt;&gt;"",MATCH(ROW(Create_TC_Web!$C$1:$C$500),ROW(Create_TC_Web!$C$1:$C$500)),""),ROW(Create_TC_Web!#REF!))),"")</f>
        <v/>
      </c>
      <c r="I509" t="str" cm="1">
        <f t="array" ref="I509">IFERROR(INDEX(Create_TC_Web!L$1:L$500,SMALL(IF(Create_TC_Web!$C$1:$C$500&lt;&gt;"",MATCH(ROW(Create_TC_Web!$C$1:$C$500),ROW(Create_TC_Web!$C$1:$C$500)),""),ROW(Create_TC_Web!#REF!))),"")</f>
        <v/>
      </c>
      <c r="J509" t="str" cm="1">
        <f t="array" ref="J509">IFERROR(INDEX(Create_TC_Web!M$1:M$500,SMALL(IF(Create_TC_Web!$C$1:$C$500&lt;&gt;"",MATCH(ROW(Create_TC_Web!$C$1:$C$500),ROW(Create_TC_Web!$C$1:$C$500)),""),ROW(Create_TC_Web!#REF!))),"")</f>
        <v/>
      </c>
      <c r="K509" t="str" cm="1">
        <f t="array" ref="K509">IFERROR(INDEX(Create_TC_Web!N$1:N$500,SMALL(IF(Create_TC_Web!$C$1:$C$500&lt;&gt;"",MATCH(ROW(Create_TC_Web!$C$1:$C$500),ROW(Create_TC_Web!$C$1:$C$500)),""),ROW(Create_TC_Web!#REF!))),"")</f>
        <v/>
      </c>
      <c r="L509" t="str" cm="1">
        <f t="array" ref="L509">IFERROR(INDEX(Create_TC_Web!O$1:O$500,SMALL(IF(Create_TC_Web!$C$1:$C$500&lt;&gt;"",MATCH(ROW(Create_TC_Web!$C$1:$C$500),ROW(Create_TC_Web!$C$1:$C$500)),""),ROW(Create_TC_Web!#REF!))),"")</f>
        <v/>
      </c>
      <c r="M509" t="str" cm="1">
        <f t="array" ref="M509">IFERROR(INDEX(Create_TC_Web!P$1:P$500,SMALL(IF(Create_TC_Web!$C$1:$C$500&lt;&gt;"",MATCH(ROW(Create_TC_Web!$C$1:$C$500),ROW(Create_TC_Web!$C$1:$C$500)),""),ROW(Create_TC_Web!#REF!))),"")</f>
        <v/>
      </c>
      <c r="N509" t="str" cm="1">
        <f t="array" ref="N509">IFERROR(INDEX(Create_TC_Web!Q$1:Q$500,SMALL(IF(Create_TC_Web!$C$1:$C$500&lt;&gt;"",MATCH(ROW(Create_TC_Web!$C$1:$C$500),ROW(Create_TC_Web!$C$1:$C$500)),""),ROW(Create_TC_Web!#REF!))),"")</f>
        <v/>
      </c>
      <c r="O509" t="str">
        <f t="shared" si="23"/>
        <v/>
      </c>
      <c r="P509" s="17" t="str" cm="1">
        <f t="array" ref="P509">IFERROR(INDEX(Create_TC_Web!S$1:S$500,SMALL(IF(Create_TC_Web!$C$1:$C$500&lt;&gt;"",MATCH(ROW(Create_TC_Web!$C$1:$C$500),ROW(Create_TC_Web!$C$1:$C$500)),""),ROW(Create_TC_Web!Q487))),"")</f>
        <v/>
      </c>
      <c r="S509" t="str">
        <f t="shared" si="22"/>
        <v/>
      </c>
    </row>
    <row r="510" spans="1:19">
      <c r="A510" t="str" cm="1">
        <f t="array" ref="A510">IFERROR(INDEX(Create_TC_Web!D$1:D$500,SMALL(IF(Create_TC_Web!$C$1:$C$500&lt;&gt;"",MATCH(ROW(Create_TC_Web!$C$1:$C$500),ROW(Create_TC_Web!$C$1:$C$500)),""),ROW(Create_TC_Web!#REF!))),"")</f>
        <v/>
      </c>
      <c r="B510" t="str" cm="1">
        <f t="array" ref="B510">SUBSTITUTE(SUBSTITUTE(SUBSTITUTE(IFERROR(INDEX(Create_TC_Web!E$1:E$505,SMALL(IF(Create_TC_Web!$C$1:$C$505&lt;&gt;"",MATCH(ROW(Create_TC_Web!$C$1:$C$505),ROW(Create_TC_Web!$C$1:$C$505)),""),ROW(Create_TC_Web!#REF!))),"")," ",""),"-",""),"_","")</f>
        <v/>
      </c>
      <c r="C510" t="str" cm="1">
        <f t="array" ref="C510">IFERROR(INDEX(Create_TC_Web!F$1:F$500,SMALL(IF(Create_TC_Web!$C$1:$C$500&lt;&gt;"",MATCH(ROW(Create_TC_Web!$C$1:$C$500),ROW(Create_TC_Web!$C$1:$C$500)),""),ROW(Create_TC_Web!#REF!))),"")</f>
        <v/>
      </c>
      <c r="D510" t="str" cm="1">
        <f t="array" ref="D510">IFERROR(INDEX(Create_TC_Web!G$1:G$500,SMALL(IF(Create_TC_Web!$C$1:$C$500&lt;&gt;"",MATCH(ROW(Create_TC_Web!$C$1:$C$500),ROW(Create_TC_Web!$C$1:$C$500)),""),ROW(Create_TC_Web!#REF!))),"")</f>
        <v/>
      </c>
      <c r="E510" t="str" cm="1">
        <f t="array" ref="E510">IFERROR(INDEX(Create_TC_Web!H$1:H$500,SMALL(IF(Create_TC_Web!$C$1:$C$500&lt;&gt;"",MATCH(ROW(Create_TC_Web!$C$1:$C$500),ROW(Create_TC_Web!$C$1:$C$500)),""),ROW(Create_TC_Web!#REF!))),"")</f>
        <v/>
      </c>
      <c r="F510" t="str" cm="1">
        <f t="array" ref="F510">IFERROR(INDEX(Create_TC_Web!I$1:I$500,SMALL(IF(Create_TC_Web!$C$1:$C$500&lt;&gt;"",MATCH(ROW(Create_TC_Web!$C$1:$C$500),ROW(Create_TC_Web!$C$1:$C$500)),""),ROW(Create_TC_Web!#REF!))),"")</f>
        <v/>
      </c>
      <c r="G510" t="str" cm="1">
        <f t="array" ref="G510">IFERROR(INDEX(Create_TC_Web!J$1:J$500,SMALL(IF(Create_TC_Web!$C$1:$C$500&lt;&gt;"",MATCH(ROW(Create_TC_Web!$C$1:$C$500),ROW(Create_TC_Web!$C$1:$C$500)),""),ROW(Create_TC_Web!#REF!))),"")</f>
        <v/>
      </c>
      <c r="H510" t="str" cm="1">
        <f t="array" ref="H510">IFERROR(INDEX(Create_TC_Web!K$1:K$500,SMALL(IF(Create_TC_Web!$C$1:$C$500&lt;&gt;"",MATCH(ROW(Create_TC_Web!$C$1:$C$500),ROW(Create_TC_Web!$C$1:$C$500)),""),ROW(Create_TC_Web!#REF!))),"")</f>
        <v/>
      </c>
      <c r="I510" t="str" cm="1">
        <f t="array" ref="I510">IFERROR(INDEX(Create_TC_Web!L$1:L$500,SMALL(IF(Create_TC_Web!$C$1:$C$500&lt;&gt;"",MATCH(ROW(Create_TC_Web!$C$1:$C$500),ROW(Create_TC_Web!$C$1:$C$500)),""),ROW(Create_TC_Web!#REF!))),"")</f>
        <v/>
      </c>
      <c r="J510" t="str" cm="1">
        <f t="array" ref="J510">IFERROR(INDEX(Create_TC_Web!M$1:M$500,SMALL(IF(Create_TC_Web!$C$1:$C$500&lt;&gt;"",MATCH(ROW(Create_TC_Web!$C$1:$C$500),ROW(Create_TC_Web!$C$1:$C$500)),""),ROW(Create_TC_Web!#REF!))),"")</f>
        <v/>
      </c>
      <c r="K510" t="str" cm="1">
        <f t="array" ref="K510">IFERROR(INDEX(Create_TC_Web!N$1:N$500,SMALL(IF(Create_TC_Web!$C$1:$C$500&lt;&gt;"",MATCH(ROW(Create_TC_Web!$C$1:$C$500),ROW(Create_TC_Web!$C$1:$C$500)),""),ROW(Create_TC_Web!#REF!))),"")</f>
        <v/>
      </c>
      <c r="L510" t="str" cm="1">
        <f t="array" ref="L510">IFERROR(INDEX(Create_TC_Web!O$1:O$500,SMALL(IF(Create_TC_Web!$C$1:$C$500&lt;&gt;"",MATCH(ROW(Create_TC_Web!$C$1:$C$500),ROW(Create_TC_Web!$C$1:$C$500)),""),ROW(Create_TC_Web!#REF!))),"")</f>
        <v/>
      </c>
      <c r="M510" t="str" cm="1">
        <f t="array" ref="M510">IFERROR(INDEX(Create_TC_Web!P$1:P$500,SMALL(IF(Create_TC_Web!$C$1:$C$500&lt;&gt;"",MATCH(ROW(Create_TC_Web!$C$1:$C$500),ROW(Create_TC_Web!$C$1:$C$500)),""),ROW(Create_TC_Web!#REF!))),"")</f>
        <v/>
      </c>
      <c r="N510" t="str" cm="1">
        <f t="array" ref="N510">IFERROR(INDEX(Create_TC_Web!Q$1:Q$500,SMALL(IF(Create_TC_Web!$C$1:$C$500&lt;&gt;"",MATCH(ROW(Create_TC_Web!$C$1:$C$500),ROW(Create_TC_Web!$C$1:$C$500)),""),ROW(Create_TC_Web!#REF!))),"")</f>
        <v/>
      </c>
      <c r="O510" t="str">
        <f t="shared" si="23"/>
        <v/>
      </c>
      <c r="P510" s="17" t="str" cm="1">
        <f t="array" ref="P510">IFERROR(INDEX(Create_TC_Web!S$1:S$500,SMALL(IF(Create_TC_Web!$C$1:$C$500&lt;&gt;"",MATCH(ROW(Create_TC_Web!$C$1:$C$500),ROW(Create_TC_Web!$C$1:$C$500)),""),ROW(Create_TC_Web!Q488))),"")</f>
        <v/>
      </c>
      <c r="S510" t="str">
        <f t="shared" si="22"/>
        <v/>
      </c>
    </row>
    <row r="511" spans="1:19">
      <c r="A511" t="str" cm="1">
        <f t="array" ref="A511">IFERROR(INDEX(Create_TC_Web!D$1:D$500,SMALL(IF(Create_TC_Web!$C$1:$C$500&lt;&gt;"",MATCH(ROW(Create_TC_Web!$C$1:$C$500),ROW(Create_TC_Web!$C$1:$C$500)),""),ROW(Create_TC_Web!B509))),"")</f>
        <v/>
      </c>
      <c r="B511" t="str" cm="1">
        <f t="array" ref="B511">SUBSTITUTE(SUBSTITUTE(SUBSTITUTE(IFERROR(INDEX(Create_TC_Web!E$1:E$505,SMALL(IF(Create_TC_Web!$C$1:$C$505&lt;&gt;"",MATCH(ROW(Create_TC_Web!$C$1:$C$505),ROW(Create_TC_Web!$C$1:$C$505)),""),ROW(Create_TC_Web!C509))),"")," ",""),"-",""),"_","")</f>
        <v/>
      </c>
      <c r="C511" t="str" cm="1">
        <f t="array" ref="C511">IFERROR(INDEX(Create_TC_Web!F$1:F$500,SMALL(IF(Create_TC_Web!$C$1:$C$500&lt;&gt;"",MATCH(ROW(Create_TC_Web!$C$1:$C$500),ROW(Create_TC_Web!$C$1:$C$500)),""),ROW(Create_TC_Web!D509))),"")</f>
        <v/>
      </c>
      <c r="D511" t="str" cm="1">
        <f t="array" ref="D511">IFERROR(INDEX(Create_TC_Web!G$1:G$500,SMALL(IF(Create_TC_Web!$C$1:$C$500&lt;&gt;"",MATCH(ROW(Create_TC_Web!$C$1:$C$500),ROW(Create_TC_Web!$C$1:$C$500)),""),ROW(Create_TC_Web!E509))),"")</f>
        <v/>
      </c>
      <c r="E511" t="str" cm="1">
        <f t="array" ref="E511">IFERROR(INDEX(Create_TC_Web!H$1:H$500,SMALL(IF(Create_TC_Web!$C$1:$C$500&lt;&gt;"",MATCH(ROW(Create_TC_Web!$C$1:$C$500),ROW(Create_TC_Web!$C$1:$C$500)),""),ROW(Create_TC_Web!F509))),"")</f>
        <v/>
      </c>
      <c r="F511" t="str" cm="1">
        <f t="array" ref="F511">IFERROR(INDEX(Create_TC_Web!I$1:I$500,SMALL(IF(Create_TC_Web!$C$1:$C$500&lt;&gt;"",MATCH(ROW(Create_TC_Web!$C$1:$C$500),ROW(Create_TC_Web!$C$1:$C$500)),""),ROW(Create_TC_Web!G509))),"")</f>
        <v/>
      </c>
      <c r="G511" t="str" cm="1">
        <f t="array" ref="G511">IFERROR(INDEX(Create_TC_Web!J$1:J$500,SMALL(IF(Create_TC_Web!$C$1:$C$500&lt;&gt;"",MATCH(ROW(Create_TC_Web!$C$1:$C$500),ROW(Create_TC_Web!$C$1:$C$500)),""),ROW(Create_TC_Web!H509))),"")</f>
        <v/>
      </c>
      <c r="H511" t="str" cm="1">
        <f t="array" ref="H511">IFERROR(INDEX(Create_TC_Web!K$1:K$500,SMALL(IF(Create_TC_Web!$C$1:$C$500&lt;&gt;"",MATCH(ROW(Create_TC_Web!$C$1:$C$500),ROW(Create_TC_Web!$C$1:$C$500)),""),ROW(Create_TC_Web!I509))),"")</f>
        <v/>
      </c>
      <c r="I511" t="str" cm="1">
        <f t="array" ref="I511">IFERROR(INDEX(Create_TC_Web!L$1:L$500,SMALL(IF(Create_TC_Web!$C$1:$C$500&lt;&gt;"",MATCH(ROW(Create_TC_Web!$C$1:$C$500),ROW(Create_TC_Web!$C$1:$C$500)),""),ROW(Create_TC_Web!J509))),"")</f>
        <v/>
      </c>
      <c r="J511" t="str" cm="1">
        <f t="array" ref="J511">IFERROR(INDEX(Create_TC_Web!M$1:M$500,SMALL(IF(Create_TC_Web!$C$1:$C$500&lt;&gt;"",MATCH(ROW(Create_TC_Web!$C$1:$C$500),ROW(Create_TC_Web!$C$1:$C$500)),""),ROW(Create_TC_Web!K509))),"")</f>
        <v/>
      </c>
      <c r="K511" t="str" cm="1">
        <f t="array" ref="K511">IFERROR(INDEX(Create_TC_Web!N$1:N$500,SMALL(IF(Create_TC_Web!$C$1:$C$500&lt;&gt;"",MATCH(ROW(Create_TC_Web!$C$1:$C$500),ROW(Create_TC_Web!$C$1:$C$500)),""),ROW(Create_TC_Web!L509))),"")</f>
        <v/>
      </c>
      <c r="L511" t="str" cm="1">
        <f t="array" ref="L511">IFERROR(INDEX(Create_TC_Web!O$1:O$500,SMALL(IF(Create_TC_Web!$C$1:$C$500&lt;&gt;"",MATCH(ROW(Create_TC_Web!$C$1:$C$500),ROW(Create_TC_Web!$C$1:$C$500)),""),ROW(Create_TC_Web!M509))),"")</f>
        <v/>
      </c>
      <c r="M511" t="str" cm="1">
        <f t="array" ref="M511">IFERROR(INDEX(Create_TC_Web!P$1:P$500,SMALL(IF(Create_TC_Web!$C$1:$C$500&lt;&gt;"",MATCH(ROW(Create_TC_Web!$C$1:$C$500),ROW(Create_TC_Web!$C$1:$C$500)),""),ROW(Create_TC_Web!N509))),"")</f>
        <v/>
      </c>
      <c r="N511" t="str" cm="1">
        <f t="array" ref="N511">IFERROR(INDEX(Create_TC_Web!Q$1:Q$500,SMALL(IF(Create_TC_Web!$C$1:$C$500&lt;&gt;"",MATCH(ROW(Create_TC_Web!$C$1:$C$500),ROW(Create_TC_Web!$C$1:$C$500)),""),ROW(Create_TC_Web!O509))),"")</f>
        <v/>
      </c>
      <c r="O511" t="str">
        <f t="shared" si="23"/>
        <v/>
      </c>
      <c r="P511" s="17" t="str" cm="1">
        <f t="array" ref="P511">IFERROR(INDEX(Create_TC_Web!S$1:S$500,SMALL(IF(Create_TC_Web!$C$1:$C$500&lt;&gt;"",MATCH(ROW(Create_TC_Web!$C$1:$C$500),ROW(Create_TC_Web!$C$1:$C$500)),""),ROW(Create_TC_Web!Q489))),"")</f>
        <v/>
      </c>
      <c r="S511" t="str">
        <f t="shared" si="22"/>
        <v/>
      </c>
    </row>
    <row r="512" spans="1:19">
      <c r="A512" t="str" cm="1">
        <f t="array" ref="A512">IFERROR(INDEX(Create_TC_Web!D$1:D$500,SMALL(IF(Create_TC_Web!$C$1:$C$500&lt;&gt;"",MATCH(ROW(Create_TC_Web!$C$1:$C$500),ROW(Create_TC_Web!$C$1:$C$500)),""),ROW(Create_TC_Web!B510))),"")</f>
        <v/>
      </c>
      <c r="B512" t="str" cm="1">
        <f t="array" ref="B512">SUBSTITUTE(SUBSTITUTE(SUBSTITUTE(IFERROR(INDEX(Create_TC_Web!E$1:E$505,SMALL(IF(Create_TC_Web!$C$1:$C$505&lt;&gt;"",MATCH(ROW(Create_TC_Web!$C$1:$C$505),ROW(Create_TC_Web!$C$1:$C$505)),""),ROW(Create_TC_Web!C510))),"")," ",""),"-",""),"_","")</f>
        <v/>
      </c>
      <c r="C512" t="str" cm="1">
        <f t="array" ref="C512">IFERROR(INDEX(Create_TC_Web!F$1:F$500,SMALL(IF(Create_TC_Web!$C$1:$C$500&lt;&gt;"",MATCH(ROW(Create_TC_Web!$C$1:$C$500),ROW(Create_TC_Web!$C$1:$C$500)),""),ROW(Create_TC_Web!D510))),"")</f>
        <v/>
      </c>
      <c r="D512" t="str" cm="1">
        <f t="array" ref="D512">IFERROR(INDEX(Create_TC_Web!G$1:G$500,SMALL(IF(Create_TC_Web!$C$1:$C$500&lt;&gt;"",MATCH(ROW(Create_TC_Web!$C$1:$C$500),ROW(Create_TC_Web!$C$1:$C$500)),""),ROW(Create_TC_Web!E510))),"")</f>
        <v/>
      </c>
      <c r="E512" t="str" cm="1">
        <f t="array" ref="E512">IFERROR(INDEX(Create_TC_Web!H$1:H$500,SMALL(IF(Create_TC_Web!$C$1:$C$500&lt;&gt;"",MATCH(ROW(Create_TC_Web!$C$1:$C$500),ROW(Create_TC_Web!$C$1:$C$500)),""),ROW(Create_TC_Web!F510))),"")</f>
        <v/>
      </c>
      <c r="F512" t="str" cm="1">
        <f t="array" ref="F512">IFERROR(INDEX(Create_TC_Web!I$1:I$500,SMALL(IF(Create_TC_Web!$C$1:$C$500&lt;&gt;"",MATCH(ROW(Create_TC_Web!$C$1:$C$500),ROW(Create_TC_Web!$C$1:$C$500)),""),ROW(Create_TC_Web!G510))),"")</f>
        <v/>
      </c>
      <c r="G512" t="str" cm="1">
        <f t="array" ref="G512">IFERROR(INDEX(Create_TC_Web!J$1:J$500,SMALL(IF(Create_TC_Web!$C$1:$C$500&lt;&gt;"",MATCH(ROW(Create_TC_Web!$C$1:$C$500),ROW(Create_TC_Web!$C$1:$C$500)),""),ROW(Create_TC_Web!H510))),"")</f>
        <v/>
      </c>
      <c r="H512" t="str" cm="1">
        <f t="array" ref="H512">IFERROR(INDEX(Create_TC_Web!K$1:K$500,SMALL(IF(Create_TC_Web!$C$1:$C$500&lt;&gt;"",MATCH(ROW(Create_TC_Web!$C$1:$C$500),ROW(Create_TC_Web!$C$1:$C$500)),""),ROW(Create_TC_Web!I510))),"")</f>
        <v/>
      </c>
      <c r="I512" t="str" cm="1">
        <f t="array" ref="I512">IFERROR(INDEX(Create_TC_Web!L$1:L$500,SMALL(IF(Create_TC_Web!$C$1:$C$500&lt;&gt;"",MATCH(ROW(Create_TC_Web!$C$1:$C$500),ROW(Create_TC_Web!$C$1:$C$500)),""),ROW(Create_TC_Web!J510))),"")</f>
        <v/>
      </c>
      <c r="J512" t="str" cm="1">
        <f t="array" ref="J512">IFERROR(INDEX(Create_TC_Web!M$1:M$500,SMALL(IF(Create_TC_Web!$C$1:$C$500&lt;&gt;"",MATCH(ROW(Create_TC_Web!$C$1:$C$500),ROW(Create_TC_Web!$C$1:$C$500)),""),ROW(Create_TC_Web!K510))),"")</f>
        <v/>
      </c>
      <c r="K512" t="str" cm="1">
        <f t="array" ref="K512">IFERROR(INDEX(Create_TC_Web!N$1:N$500,SMALL(IF(Create_TC_Web!$C$1:$C$500&lt;&gt;"",MATCH(ROW(Create_TC_Web!$C$1:$C$500),ROW(Create_TC_Web!$C$1:$C$500)),""),ROW(Create_TC_Web!L510))),"")</f>
        <v/>
      </c>
      <c r="L512" t="str" cm="1">
        <f t="array" ref="L512">IFERROR(INDEX(Create_TC_Web!O$1:O$500,SMALL(IF(Create_TC_Web!$C$1:$C$500&lt;&gt;"",MATCH(ROW(Create_TC_Web!$C$1:$C$500),ROW(Create_TC_Web!$C$1:$C$500)),""),ROW(Create_TC_Web!M510))),"")</f>
        <v/>
      </c>
      <c r="M512" t="str" cm="1">
        <f t="array" ref="M512">IFERROR(INDEX(Create_TC_Web!P$1:P$500,SMALL(IF(Create_TC_Web!$C$1:$C$500&lt;&gt;"",MATCH(ROW(Create_TC_Web!$C$1:$C$500),ROW(Create_TC_Web!$C$1:$C$500)),""),ROW(Create_TC_Web!N510))),"")</f>
        <v/>
      </c>
      <c r="N512" t="str" cm="1">
        <f t="array" ref="N512">IFERROR(INDEX(Create_TC_Web!Q$1:Q$500,SMALL(IF(Create_TC_Web!$C$1:$C$500&lt;&gt;"",MATCH(ROW(Create_TC_Web!$C$1:$C$500),ROW(Create_TC_Web!$C$1:$C$500)),""),ROW(Create_TC_Web!O510))),"")</f>
        <v/>
      </c>
      <c r="O512" t="str">
        <f t="shared" si="23"/>
        <v/>
      </c>
      <c r="P512" s="17" t="str" cm="1">
        <f t="array" ref="P512">IFERROR(INDEX(Create_TC_Web!S$1:S$500,SMALL(IF(Create_TC_Web!$C$1:$C$500&lt;&gt;"",MATCH(ROW(Create_TC_Web!$C$1:$C$500),ROW(Create_TC_Web!$C$1:$C$500)),""),ROW(Create_TC_Web!Q490))),"")</f>
        <v/>
      </c>
      <c r="S512" t="str">
        <f t="shared" si="22"/>
        <v/>
      </c>
    </row>
    <row r="513" spans="1:19">
      <c r="A513" t="str" cm="1">
        <f t="array" ref="A513">IFERROR(INDEX(Create_TC_Web!D$1:D$500,SMALL(IF(Create_TC_Web!$C$1:$C$500&lt;&gt;"",MATCH(ROW(Create_TC_Web!$C$1:$C$500),ROW(Create_TC_Web!$C$1:$C$500)),""),ROW(Create_TC_Web!B511))),"")</f>
        <v/>
      </c>
      <c r="B513" t="str" cm="1">
        <f t="array" ref="B513">SUBSTITUTE(SUBSTITUTE(SUBSTITUTE(IFERROR(INDEX(Create_TC_Web!E$1:E$505,SMALL(IF(Create_TC_Web!$C$1:$C$505&lt;&gt;"",MATCH(ROW(Create_TC_Web!$C$1:$C$505),ROW(Create_TC_Web!$C$1:$C$505)),""),ROW(Create_TC_Web!C511))),"")," ",""),"-",""),"_","")</f>
        <v/>
      </c>
      <c r="C513" t="str" cm="1">
        <f t="array" ref="C513">IFERROR(INDEX(Create_TC_Web!F$1:F$500,SMALL(IF(Create_TC_Web!$C$1:$C$500&lt;&gt;"",MATCH(ROW(Create_TC_Web!$C$1:$C$500),ROW(Create_TC_Web!$C$1:$C$500)),""),ROW(Create_TC_Web!D511))),"")</f>
        <v/>
      </c>
      <c r="D513" t="str" cm="1">
        <f t="array" ref="D513">IFERROR(INDEX(Create_TC_Web!G$1:G$500,SMALL(IF(Create_TC_Web!$C$1:$C$500&lt;&gt;"",MATCH(ROW(Create_TC_Web!$C$1:$C$500),ROW(Create_TC_Web!$C$1:$C$500)),""),ROW(Create_TC_Web!E511))),"")</f>
        <v/>
      </c>
      <c r="E513" t="str" cm="1">
        <f t="array" ref="E513">IFERROR(INDEX(Create_TC_Web!H$1:H$500,SMALL(IF(Create_TC_Web!$C$1:$C$500&lt;&gt;"",MATCH(ROW(Create_TC_Web!$C$1:$C$500),ROW(Create_TC_Web!$C$1:$C$500)),""),ROW(Create_TC_Web!F511))),"")</f>
        <v/>
      </c>
      <c r="F513" t="str" cm="1">
        <f t="array" ref="F513">IFERROR(INDEX(Create_TC_Web!I$1:I$500,SMALL(IF(Create_TC_Web!$C$1:$C$500&lt;&gt;"",MATCH(ROW(Create_TC_Web!$C$1:$C$500),ROW(Create_TC_Web!$C$1:$C$500)),""),ROW(Create_TC_Web!G511))),"")</f>
        <v/>
      </c>
      <c r="G513" t="str" cm="1">
        <f t="array" ref="G513">IFERROR(INDEX(Create_TC_Web!J$1:J$500,SMALL(IF(Create_TC_Web!$C$1:$C$500&lt;&gt;"",MATCH(ROW(Create_TC_Web!$C$1:$C$500),ROW(Create_TC_Web!$C$1:$C$500)),""),ROW(Create_TC_Web!H511))),"")</f>
        <v/>
      </c>
      <c r="H513" t="str" cm="1">
        <f t="array" ref="H513">IFERROR(INDEX(Create_TC_Web!K$1:K$500,SMALL(IF(Create_TC_Web!$C$1:$C$500&lt;&gt;"",MATCH(ROW(Create_TC_Web!$C$1:$C$500),ROW(Create_TC_Web!$C$1:$C$500)),""),ROW(Create_TC_Web!I511))),"")</f>
        <v/>
      </c>
      <c r="I513" t="str" cm="1">
        <f t="array" ref="I513">IFERROR(INDEX(Create_TC_Web!L$1:L$500,SMALL(IF(Create_TC_Web!$C$1:$C$500&lt;&gt;"",MATCH(ROW(Create_TC_Web!$C$1:$C$500),ROW(Create_TC_Web!$C$1:$C$500)),""),ROW(Create_TC_Web!J511))),"")</f>
        <v/>
      </c>
      <c r="J513" t="str" cm="1">
        <f t="array" ref="J513">IFERROR(INDEX(Create_TC_Web!M$1:M$500,SMALL(IF(Create_TC_Web!$C$1:$C$500&lt;&gt;"",MATCH(ROW(Create_TC_Web!$C$1:$C$500),ROW(Create_TC_Web!$C$1:$C$500)),""),ROW(Create_TC_Web!K511))),"")</f>
        <v/>
      </c>
      <c r="K513" t="str" cm="1">
        <f t="array" ref="K513">IFERROR(INDEX(Create_TC_Web!N$1:N$500,SMALL(IF(Create_TC_Web!$C$1:$C$500&lt;&gt;"",MATCH(ROW(Create_TC_Web!$C$1:$C$500),ROW(Create_TC_Web!$C$1:$C$500)),""),ROW(Create_TC_Web!L511))),"")</f>
        <v/>
      </c>
      <c r="L513" t="str" cm="1">
        <f t="array" ref="L513">IFERROR(INDEX(Create_TC_Web!O$1:O$500,SMALL(IF(Create_TC_Web!$C$1:$C$500&lt;&gt;"",MATCH(ROW(Create_TC_Web!$C$1:$C$500),ROW(Create_TC_Web!$C$1:$C$500)),""),ROW(Create_TC_Web!M511))),"")</f>
        <v/>
      </c>
      <c r="M513" t="str" cm="1">
        <f t="array" ref="M513">IFERROR(INDEX(Create_TC_Web!P$1:P$500,SMALL(IF(Create_TC_Web!$C$1:$C$500&lt;&gt;"",MATCH(ROW(Create_TC_Web!$C$1:$C$500),ROW(Create_TC_Web!$C$1:$C$500)),""),ROW(Create_TC_Web!N511))),"")</f>
        <v/>
      </c>
      <c r="N513" t="str" cm="1">
        <f t="array" ref="N513">IFERROR(INDEX(Create_TC_Web!Q$1:Q$500,SMALL(IF(Create_TC_Web!$C$1:$C$500&lt;&gt;"",MATCH(ROW(Create_TC_Web!$C$1:$C$500),ROW(Create_TC_Web!$C$1:$C$500)),""),ROW(Create_TC_Web!O511))),"")</f>
        <v/>
      </c>
      <c r="O513" t="str">
        <f t="shared" si="23"/>
        <v/>
      </c>
      <c r="P513" s="17" t="str" cm="1">
        <f t="array" ref="P513">IFERROR(INDEX(Create_TC_Web!S$1:S$500,SMALL(IF(Create_TC_Web!$C$1:$C$500&lt;&gt;"",MATCH(ROW(Create_TC_Web!$C$1:$C$500),ROW(Create_TC_Web!$C$1:$C$500)),""),ROW(Create_TC_Web!Q491))),"")</f>
        <v/>
      </c>
      <c r="S513" t="str">
        <f t="shared" si="22"/>
        <v/>
      </c>
    </row>
    <row r="514" spans="1:19">
      <c r="A514" t="str" cm="1">
        <f t="array" ref="A514">IFERROR(INDEX(Create_TC_Web!D$1:D$500,SMALL(IF(Create_TC_Web!$C$1:$C$500&lt;&gt;"",MATCH(ROW(Create_TC_Web!$C$1:$C$500),ROW(Create_TC_Web!$C$1:$C$500)),""),ROW(Create_TC_Web!B512))),"")</f>
        <v/>
      </c>
      <c r="B514" t="str" cm="1">
        <f t="array" ref="B514">SUBSTITUTE(SUBSTITUTE(SUBSTITUTE(IFERROR(INDEX(Create_TC_Web!E$1:E$505,SMALL(IF(Create_TC_Web!$C$1:$C$505&lt;&gt;"",MATCH(ROW(Create_TC_Web!$C$1:$C$505),ROW(Create_TC_Web!$C$1:$C$505)),""),ROW(Create_TC_Web!C512))),"")," ",""),"-",""),"_","")</f>
        <v/>
      </c>
      <c r="C514" t="str" cm="1">
        <f t="array" ref="C514">IFERROR(INDEX(Create_TC_Web!F$1:F$500,SMALL(IF(Create_TC_Web!$C$1:$C$500&lt;&gt;"",MATCH(ROW(Create_TC_Web!$C$1:$C$500),ROW(Create_TC_Web!$C$1:$C$500)),""),ROW(Create_TC_Web!D512))),"")</f>
        <v/>
      </c>
      <c r="D514" t="str" cm="1">
        <f t="array" ref="D514">IFERROR(INDEX(Create_TC_Web!G$1:G$500,SMALL(IF(Create_TC_Web!$C$1:$C$500&lt;&gt;"",MATCH(ROW(Create_TC_Web!$C$1:$C$500),ROW(Create_TC_Web!$C$1:$C$500)),""),ROW(Create_TC_Web!E512))),"")</f>
        <v/>
      </c>
      <c r="E514" t="str" cm="1">
        <f t="array" ref="E514">IFERROR(INDEX(Create_TC_Web!H$1:H$500,SMALL(IF(Create_TC_Web!$C$1:$C$500&lt;&gt;"",MATCH(ROW(Create_TC_Web!$C$1:$C$500),ROW(Create_TC_Web!$C$1:$C$500)),""),ROW(Create_TC_Web!F512))),"")</f>
        <v/>
      </c>
      <c r="F514" t="str" cm="1">
        <f t="array" ref="F514">IFERROR(INDEX(Create_TC_Web!I$1:I$500,SMALL(IF(Create_TC_Web!$C$1:$C$500&lt;&gt;"",MATCH(ROW(Create_TC_Web!$C$1:$C$500),ROW(Create_TC_Web!$C$1:$C$500)),""),ROW(Create_TC_Web!G512))),"")</f>
        <v/>
      </c>
      <c r="G514" t="str" cm="1">
        <f t="array" ref="G514">IFERROR(INDEX(Create_TC_Web!J$1:J$500,SMALL(IF(Create_TC_Web!$C$1:$C$500&lt;&gt;"",MATCH(ROW(Create_TC_Web!$C$1:$C$500),ROW(Create_TC_Web!$C$1:$C$500)),""),ROW(Create_TC_Web!H512))),"")</f>
        <v/>
      </c>
      <c r="H514" t="str" cm="1">
        <f t="array" ref="H514">IFERROR(INDEX(Create_TC_Web!K$1:K$500,SMALL(IF(Create_TC_Web!$C$1:$C$500&lt;&gt;"",MATCH(ROW(Create_TC_Web!$C$1:$C$500),ROW(Create_TC_Web!$C$1:$C$500)),""),ROW(Create_TC_Web!I512))),"")</f>
        <v/>
      </c>
      <c r="I514" t="str" cm="1">
        <f t="array" ref="I514">IFERROR(INDEX(Create_TC_Web!L$1:L$500,SMALL(IF(Create_TC_Web!$C$1:$C$500&lt;&gt;"",MATCH(ROW(Create_TC_Web!$C$1:$C$500),ROW(Create_TC_Web!$C$1:$C$500)),""),ROW(Create_TC_Web!J512))),"")</f>
        <v/>
      </c>
      <c r="J514" t="str" cm="1">
        <f t="array" ref="J514">IFERROR(INDEX(Create_TC_Web!M$1:M$500,SMALL(IF(Create_TC_Web!$C$1:$C$500&lt;&gt;"",MATCH(ROW(Create_TC_Web!$C$1:$C$500),ROW(Create_TC_Web!$C$1:$C$500)),""),ROW(Create_TC_Web!K512))),"")</f>
        <v/>
      </c>
      <c r="K514" t="str" cm="1">
        <f t="array" ref="K514">IFERROR(INDEX(Create_TC_Web!N$1:N$500,SMALL(IF(Create_TC_Web!$C$1:$C$500&lt;&gt;"",MATCH(ROW(Create_TC_Web!$C$1:$C$500),ROW(Create_TC_Web!$C$1:$C$500)),""),ROW(Create_TC_Web!L512))),"")</f>
        <v/>
      </c>
      <c r="L514" t="str" cm="1">
        <f t="array" ref="L514">IFERROR(INDEX(Create_TC_Web!O$1:O$500,SMALL(IF(Create_TC_Web!$C$1:$C$500&lt;&gt;"",MATCH(ROW(Create_TC_Web!$C$1:$C$500),ROW(Create_TC_Web!$C$1:$C$500)),""),ROW(Create_TC_Web!M512))),"")</f>
        <v/>
      </c>
      <c r="M514" t="str" cm="1">
        <f t="array" ref="M514">IFERROR(INDEX(Create_TC_Web!P$1:P$500,SMALL(IF(Create_TC_Web!$C$1:$C$500&lt;&gt;"",MATCH(ROW(Create_TC_Web!$C$1:$C$500),ROW(Create_TC_Web!$C$1:$C$500)),""),ROW(Create_TC_Web!N512))),"")</f>
        <v/>
      </c>
      <c r="N514" t="str" cm="1">
        <f t="array" ref="N514">IFERROR(INDEX(Create_TC_Web!Q$1:Q$500,SMALL(IF(Create_TC_Web!$C$1:$C$500&lt;&gt;"",MATCH(ROW(Create_TC_Web!$C$1:$C$500),ROW(Create_TC_Web!$C$1:$C$500)),""),ROW(Create_TC_Web!O512))),"")</f>
        <v/>
      </c>
      <c r="O514" t="str">
        <f t="shared" si="23"/>
        <v/>
      </c>
      <c r="P514" s="17" t="str" cm="1">
        <f t="array" ref="P514">IFERROR(INDEX(Create_TC_Web!S$1:S$500,SMALL(IF(Create_TC_Web!$C$1:$C$500&lt;&gt;"",MATCH(ROW(Create_TC_Web!$C$1:$C$500),ROW(Create_TC_Web!$C$1:$C$500)),""),ROW(Create_TC_Web!Q492))),"")</f>
        <v/>
      </c>
      <c r="S514" t="str">
        <f t="shared" si="22"/>
        <v/>
      </c>
    </row>
    <row r="515" spans="1:19">
      <c r="A515" t="str" cm="1">
        <f t="array" ref="A515">IFERROR(INDEX(Create_TC_Web!D$1:D$500,SMALL(IF(Create_TC_Web!$C$1:$C$500&lt;&gt;"",MATCH(ROW(Create_TC_Web!$C$1:$C$500),ROW(Create_TC_Web!$C$1:$C$500)),""),ROW(Create_TC_Web!B513))),"")</f>
        <v/>
      </c>
      <c r="B515" t="str" cm="1">
        <f t="array" ref="B515">SUBSTITUTE(SUBSTITUTE(SUBSTITUTE(IFERROR(INDEX(Create_TC_Web!E$1:E$505,SMALL(IF(Create_TC_Web!$C$1:$C$505&lt;&gt;"",MATCH(ROW(Create_TC_Web!$C$1:$C$505),ROW(Create_TC_Web!$C$1:$C$505)),""),ROW(Create_TC_Web!C513))),"")," ",""),"-",""),"_","")</f>
        <v/>
      </c>
      <c r="C515" t="str" cm="1">
        <f t="array" ref="C515">IFERROR(INDEX(Create_TC_Web!F$1:F$500,SMALL(IF(Create_TC_Web!$C$1:$C$500&lt;&gt;"",MATCH(ROW(Create_TC_Web!$C$1:$C$500),ROW(Create_TC_Web!$C$1:$C$500)),""),ROW(Create_TC_Web!D513))),"")</f>
        <v/>
      </c>
      <c r="D515" t="str" cm="1">
        <f t="array" ref="D515">IFERROR(INDEX(Create_TC_Web!G$1:G$500,SMALL(IF(Create_TC_Web!$C$1:$C$500&lt;&gt;"",MATCH(ROW(Create_TC_Web!$C$1:$C$500),ROW(Create_TC_Web!$C$1:$C$500)),""),ROW(Create_TC_Web!E513))),"")</f>
        <v/>
      </c>
      <c r="E515" t="str" cm="1">
        <f t="array" ref="E515">IFERROR(INDEX(Create_TC_Web!H$1:H$500,SMALL(IF(Create_TC_Web!$C$1:$C$500&lt;&gt;"",MATCH(ROW(Create_TC_Web!$C$1:$C$500),ROW(Create_TC_Web!$C$1:$C$500)),""),ROW(Create_TC_Web!F513))),"")</f>
        <v/>
      </c>
      <c r="F515" t="str" cm="1">
        <f t="array" ref="F515">IFERROR(INDEX(Create_TC_Web!I$1:I$500,SMALL(IF(Create_TC_Web!$C$1:$C$500&lt;&gt;"",MATCH(ROW(Create_TC_Web!$C$1:$C$500),ROW(Create_TC_Web!$C$1:$C$500)),""),ROW(Create_TC_Web!G513))),"")</f>
        <v/>
      </c>
      <c r="G515" t="str" cm="1">
        <f t="array" ref="G515">IFERROR(INDEX(Create_TC_Web!J$1:J$500,SMALL(IF(Create_TC_Web!$C$1:$C$500&lt;&gt;"",MATCH(ROW(Create_TC_Web!$C$1:$C$500),ROW(Create_TC_Web!$C$1:$C$500)),""),ROW(Create_TC_Web!H513))),"")</f>
        <v/>
      </c>
      <c r="H515" t="str" cm="1">
        <f t="array" ref="H515">IFERROR(INDEX(Create_TC_Web!K$1:K$500,SMALL(IF(Create_TC_Web!$C$1:$C$500&lt;&gt;"",MATCH(ROW(Create_TC_Web!$C$1:$C$500),ROW(Create_TC_Web!$C$1:$C$500)),""),ROW(Create_TC_Web!I513))),"")</f>
        <v/>
      </c>
      <c r="I515" t="str" cm="1">
        <f t="array" ref="I515">IFERROR(INDEX(Create_TC_Web!L$1:L$500,SMALL(IF(Create_TC_Web!$C$1:$C$500&lt;&gt;"",MATCH(ROW(Create_TC_Web!$C$1:$C$500),ROW(Create_TC_Web!$C$1:$C$500)),""),ROW(Create_TC_Web!J513))),"")</f>
        <v/>
      </c>
      <c r="J515" t="str" cm="1">
        <f t="array" ref="J515">IFERROR(INDEX(Create_TC_Web!M$1:M$500,SMALL(IF(Create_TC_Web!$C$1:$C$500&lt;&gt;"",MATCH(ROW(Create_TC_Web!$C$1:$C$500),ROW(Create_TC_Web!$C$1:$C$500)),""),ROW(Create_TC_Web!K513))),"")</f>
        <v/>
      </c>
      <c r="K515" t="str" cm="1">
        <f t="array" ref="K515">IFERROR(INDEX(Create_TC_Web!N$1:N$500,SMALL(IF(Create_TC_Web!$C$1:$C$500&lt;&gt;"",MATCH(ROW(Create_TC_Web!$C$1:$C$500),ROW(Create_TC_Web!$C$1:$C$500)),""),ROW(Create_TC_Web!L513))),"")</f>
        <v/>
      </c>
      <c r="L515" t="str" cm="1">
        <f t="array" ref="L515">IFERROR(INDEX(Create_TC_Web!O$1:O$500,SMALL(IF(Create_TC_Web!$C$1:$C$500&lt;&gt;"",MATCH(ROW(Create_TC_Web!$C$1:$C$500),ROW(Create_TC_Web!$C$1:$C$500)),""),ROW(Create_TC_Web!M513))),"")</f>
        <v/>
      </c>
      <c r="M515" t="str" cm="1">
        <f t="array" ref="M515">IFERROR(INDEX(Create_TC_Web!P$1:P$500,SMALL(IF(Create_TC_Web!$C$1:$C$500&lt;&gt;"",MATCH(ROW(Create_TC_Web!$C$1:$C$500),ROW(Create_TC_Web!$C$1:$C$500)),""),ROW(Create_TC_Web!N513))),"")</f>
        <v/>
      </c>
      <c r="N515" t="str" cm="1">
        <f t="array" ref="N515">IFERROR(INDEX(Create_TC_Web!Q$1:Q$500,SMALL(IF(Create_TC_Web!$C$1:$C$500&lt;&gt;"",MATCH(ROW(Create_TC_Web!$C$1:$C$500),ROW(Create_TC_Web!$C$1:$C$500)),""),ROW(Create_TC_Web!O513))),"")</f>
        <v/>
      </c>
      <c r="O515" t="str">
        <f t="shared" si="23"/>
        <v/>
      </c>
      <c r="P515" s="17" t="str" cm="1">
        <f t="array" ref="P515">IFERROR(INDEX(Create_TC_Web!S$1:S$500,SMALL(IF(Create_TC_Web!$C$1:$C$500&lt;&gt;"",MATCH(ROW(Create_TC_Web!$C$1:$C$500),ROW(Create_TC_Web!$C$1:$C$500)),""),ROW(Create_TC_Web!Q493))),"")</f>
        <v/>
      </c>
      <c r="S515" t="str">
        <f t="shared" ref="S515:S578" si="24">IF(P515&lt;&gt;0,P515,"")</f>
        <v/>
      </c>
    </row>
    <row r="516" spans="1:19">
      <c r="A516" t="str" cm="1">
        <f t="array" ref="A516">IFERROR(INDEX(Create_TC_Web!D$1:D$500,SMALL(IF(Create_TC_Web!$C$1:$C$500&lt;&gt;"",MATCH(ROW(Create_TC_Web!$C$1:$C$500),ROW(Create_TC_Web!$C$1:$C$500)),""),ROW(Create_TC_Web!B514))),"")</f>
        <v/>
      </c>
      <c r="B516" t="str" cm="1">
        <f t="array" ref="B516">SUBSTITUTE(SUBSTITUTE(SUBSTITUTE(IFERROR(INDEX(Create_TC_Web!E$1:E$505,SMALL(IF(Create_TC_Web!$C$1:$C$505&lt;&gt;"",MATCH(ROW(Create_TC_Web!$C$1:$C$505),ROW(Create_TC_Web!$C$1:$C$505)),""),ROW(Create_TC_Web!C514))),"")," ",""),"-",""),"_","")</f>
        <v/>
      </c>
      <c r="C516" t="str" cm="1">
        <f t="array" ref="C516">IFERROR(INDEX(Create_TC_Web!F$1:F$500,SMALL(IF(Create_TC_Web!$C$1:$C$500&lt;&gt;"",MATCH(ROW(Create_TC_Web!$C$1:$C$500),ROW(Create_TC_Web!$C$1:$C$500)),""),ROW(Create_TC_Web!D514))),"")</f>
        <v/>
      </c>
      <c r="D516" t="str" cm="1">
        <f t="array" ref="D516">IFERROR(INDEX(Create_TC_Web!G$1:G$500,SMALL(IF(Create_TC_Web!$C$1:$C$500&lt;&gt;"",MATCH(ROW(Create_TC_Web!$C$1:$C$500),ROW(Create_TC_Web!$C$1:$C$500)),""),ROW(Create_TC_Web!E514))),"")</f>
        <v/>
      </c>
      <c r="E516" t="str" cm="1">
        <f t="array" ref="E516">IFERROR(INDEX(Create_TC_Web!H$1:H$500,SMALL(IF(Create_TC_Web!$C$1:$C$500&lt;&gt;"",MATCH(ROW(Create_TC_Web!$C$1:$C$500),ROW(Create_TC_Web!$C$1:$C$500)),""),ROW(Create_TC_Web!F514))),"")</f>
        <v/>
      </c>
      <c r="F516" t="str" cm="1">
        <f t="array" ref="F516">IFERROR(INDEX(Create_TC_Web!I$1:I$500,SMALL(IF(Create_TC_Web!$C$1:$C$500&lt;&gt;"",MATCH(ROW(Create_TC_Web!$C$1:$C$500),ROW(Create_TC_Web!$C$1:$C$500)),""),ROW(Create_TC_Web!G514))),"")</f>
        <v/>
      </c>
      <c r="G516" t="str" cm="1">
        <f t="array" ref="G516">IFERROR(INDEX(Create_TC_Web!J$1:J$500,SMALL(IF(Create_TC_Web!$C$1:$C$500&lt;&gt;"",MATCH(ROW(Create_TC_Web!$C$1:$C$500),ROW(Create_TC_Web!$C$1:$C$500)),""),ROW(Create_TC_Web!H514))),"")</f>
        <v/>
      </c>
      <c r="H516" t="str" cm="1">
        <f t="array" ref="H516">IFERROR(INDEX(Create_TC_Web!K$1:K$500,SMALL(IF(Create_TC_Web!$C$1:$C$500&lt;&gt;"",MATCH(ROW(Create_TC_Web!$C$1:$C$500),ROW(Create_TC_Web!$C$1:$C$500)),""),ROW(Create_TC_Web!I514))),"")</f>
        <v/>
      </c>
      <c r="I516" t="str" cm="1">
        <f t="array" ref="I516">IFERROR(INDEX(Create_TC_Web!L$1:L$500,SMALL(IF(Create_TC_Web!$C$1:$C$500&lt;&gt;"",MATCH(ROW(Create_TC_Web!$C$1:$C$500),ROW(Create_TC_Web!$C$1:$C$500)),""),ROW(Create_TC_Web!J514))),"")</f>
        <v/>
      </c>
      <c r="J516" t="str" cm="1">
        <f t="array" ref="J516">IFERROR(INDEX(Create_TC_Web!M$1:M$500,SMALL(IF(Create_TC_Web!$C$1:$C$500&lt;&gt;"",MATCH(ROW(Create_TC_Web!$C$1:$C$500),ROW(Create_TC_Web!$C$1:$C$500)),""),ROW(Create_TC_Web!K514))),"")</f>
        <v/>
      </c>
      <c r="K516" t="str" cm="1">
        <f t="array" ref="K516">IFERROR(INDEX(Create_TC_Web!N$1:N$500,SMALL(IF(Create_TC_Web!$C$1:$C$500&lt;&gt;"",MATCH(ROW(Create_TC_Web!$C$1:$C$500),ROW(Create_TC_Web!$C$1:$C$500)),""),ROW(Create_TC_Web!L514))),"")</f>
        <v/>
      </c>
      <c r="L516" t="str" cm="1">
        <f t="array" ref="L516">IFERROR(INDEX(Create_TC_Web!O$1:O$500,SMALL(IF(Create_TC_Web!$C$1:$C$500&lt;&gt;"",MATCH(ROW(Create_TC_Web!$C$1:$C$500),ROW(Create_TC_Web!$C$1:$C$500)),""),ROW(Create_TC_Web!M514))),"")</f>
        <v/>
      </c>
      <c r="M516" t="str" cm="1">
        <f t="array" ref="M516">IFERROR(INDEX(Create_TC_Web!P$1:P$500,SMALL(IF(Create_TC_Web!$C$1:$C$500&lt;&gt;"",MATCH(ROW(Create_TC_Web!$C$1:$C$500),ROW(Create_TC_Web!$C$1:$C$500)),""),ROW(Create_TC_Web!N514))),"")</f>
        <v/>
      </c>
      <c r="N516" t="str" cm="1">
        <f t="array" ref="N516">IFERROR(INDEX(Create_TC_Web!Q$1:Q$500,SMALL(IF(Create_TC_Web!$C$1:$C$500&lt;&gt;"",MATCH(ROW(Create_TC_Web!$C$1:$C$500),ROW(Create_TC_Web!$C$1:$C$500)),""),ROW(Create_TC_Web!O514))),"")</f>
        <v/>
      </c>
      <c r="O516" t="str">
        <f t="shared" si="23"/>
        <v/>
      </c>
      <c r="P516" s="17" t="str" cm="1">
        <f t="array" ref="P516">IFERROR(INDEX(Create_TC_Web!S$1:S$500,SMALL(IF(Create_TC_Web!$C$1:$C$500&lt;&gt;"",MATCH(ROW(Create_TC_Web!$C$1:$C$500),ROW(Create_TC_Web!$C$1:$C$500)),""),ROW(Create_TC_Web!Q494))),"")</f>
        <v/>
      </c>
      <c r="S516" t="str">
        <f t="shared" si="24"/>
        <v/>
      </c>
    </row>
    <row r="517" spans="1:19">
      <c r="A517" t="str" cm="1">
        <f t="array" ref="A517">IFERROR(INDEX(Create_TC_Web!D$1:D$500,SMALL(IF(Create_TC_Web!$C$1:$C$500&lt;&gt;"",MATCH(ROW(Create_TC_Web!$C$1:$C$500),ROW(Create_TC_Web!$C$1:$C$500)),""),ROW(Create_TC_Web!B515))),"")</f>
        <v/>
      </c>
      <c r="B517" t="str" cm="1">
        <f t="array" ref="B517">SUBSTITUTE(SUBSTITUTE(SUBSTITUTE(IFERROR(INDEX(Create_TC_Web!E$1:E$505,SMALL(IF(Create_TC_Web!$C$1:$C$505&lt;&gt;"",MATCH(ROW(Create_TC_Web!$C$1:$C$505),ROW(Create_TC_Web!$C$1:$C$505)),""),ROW(Create_TC_Web!C515))),"")," ",""),"-",""),"_","")</f>
        <v/>
      </c>
      <c r="C517" t="str" cm="1">
        <f t="array" ref="C517">IFERROR(INDEX(Create_TC_Web!F$1:F$500,SMALL(IF(Create_TC_Web!$C$1:$C$500&lt;&gt;"",MATCH(ROW(Create_TC_Web!$C$1:$C$500),ROW(Create_TC_Web!$C$1:$C$500)),""),ROW(Create_TC_Web!D515))),"")</f>
        <v/>
      </c>
      <c r="D517" t="str" cm="1">
        <f t="array" ref="D517">IFERROR(INDEX(Create_TC_Web!G$1:G$500,SMALL(IF(Create_TC_Web!$C$1:$C$500&lt;&gt;"",MATCH(ROW(Create_TC_Web!$C$1:$C$500),ROW(Create_TC_Web!$C$1:$C$500)),""),ROW(Create_TC_Web!E515))),"")</f>
        <v/>
      </c>
      <c r="E517" t="str" cm="1">
        <f t="array" ref="E517">IFERROR(INDEX(Create_TC_Web!H$1:H$500,SMALL(IF(Create_TC_Web!$C$1:$C$500&lt;&gt;"",MATCH(ROW(Create_TC_Web!$C$1:$C$500),ROW(Create_TC_Web!$C$1:$C$500)),""),ROW(Create_TC_Web!F515))),"")</f>
        <v/>
      </c>
      <c r="F517" t="str" cm="1">
        <f t="array" ref="F517">IFERROR(INDEX(Create_TC_Web!I$1:I$500,SMALL(IF(Create_TC_Web!$C$1:$C$500&lt;&gt;"",MATCH(ROW(Create_TC_Web!$C$1:$C$500),ROW(Create_TC_Web!$C$1:$C$500)),""),ROW(Create_TC_Web!G515))),"")</f>
        <v/>
      </c>
      <c r="G517" t="str" cm="1">
        <f t="array" ref="G517">IFERROR(INDEX(Create_TC_Web!J$1:J$500,SMALL(IF(Create_TC_Web!$C$1:$C$500&lt;&gt;"",MATCH(ROW(Create_TC_Web!$C$1:$C$500),ROW(Create_TC_Web!$C$1:$C$500)),""),ROW(Create_TC_Web!H515))),"")</f>
        <v/>
      </c>
      <c r="H517" t="str" cm="1">
        <f t="array" ref="H517">IFERROR(INDEX(Create_TC_Web!K$1:K$500,SMALL(IF(Create_TC_Web!$C$1:$C$500&lt;&gt;"",MATCH(ROW(Create_TC_Web!$C$1:$C$500),ROW(Create_TC_Web!$C$1:$C$500)),""),ROW(Create_TC_Web!I515))),"")</f>
        <v/>
      </c>
      <c r="I517" t="str" cm="1">
        <f t="array" ref="I517">IFERROR(INDEX(Create_TC_Web!L$1:L$500,SMALL(IF(Create_TC_Web!$C$1:$C$500&lt;&gt;"",MATCH(ROW(Create_TC_Web!$C$1:$C$500),ROW(Create_TC_Web!$C$1:$C$500)),""),ROW(Create_TC_Web!J515))),"")</f>
        <v/>
      </c>
      <c r="J517" t="str" cm="1">
        <f t="array" ref="J517">IFERROR(INDEX(Create_TC_Web!M$1:M$500,SMALL(IF(Create_TC_Web!$C$1:$C$500&lt;&gt;"",MATCH(ROW(Create_TC_Web!$C$1:$C$500),ROW(Create_TC_Web!$C$1:$C$500)),""),ROW(Create_TC_Web!K515))),"")</f>
        <v/>
      </c>
      <c r="K517" t="str" cm="1">
        <f t="array" ref="K517">IFERROR(INDEX(Create_TC_Web!N$1:N$500,SMALL(IF(Create_TC_Web!$C$1:$C$500&lt;&gt;"",MATCH(ROW(Create_TC_Web!$C$1:$C$500),ROW(Create_TC_Web!$C$1:$C$500)),""),ROW(Create_TC_Web!L515))),"")</f>
        <v/>
      </c>
      <c r="L517" t="str" cm="1">
        <f t="array" ref="L517">IFERROR(INDEX(Create_TC_Web!O$1:O$500,SMALL(IF(Create_TC_Web!$C$1:$C$500&lt;&gt;"",MATCH(ROW(Create_TC_Web!$C$1:$C$500),ROW(Create_TC_Web!$C$1:$C$500)),""),ROW(Create_TC_Web!M515))),"")</f>
        <v/>
      </c>
      <c r="M517" t="str" cm="1">
        <f t="array" ref="M517">IFERROR(INDEX(Create_TC_Web!P$1:P$500,SMALL(IF(Create_TC_Web!$C$1:$C$500&lt;&gt;"",MATCH(ROW(Create_TC_Web!$C$1:$C$500),ROW(Create_TC_Web!$C$1:$C$500)),""),ROW(Create_TC_Web!N515))),"")</f>
        <v/>
      </c>
      <c r="N517" t="str" cm="1">
        <f t="array" ref="N517">IFERROR(INDEX(Create_TC_Web!Q$1:Q$500,SMALL(IF(Create_TC_Web!$C$1:$C$500&lt;&gt;"",MATCH(ROW(Create_TC_Web!$C$1:$C$500),ROW(Create_TC_Web!$C$1:$C$500)),""),ROW(Create_TC_Web!O515))),"")</f>
        <v/>
      </c>
      <c r="O517" t="str">
        <f t="shared" si="23"/>
        <v/>
      </c>
      <c r="P517" s="17" t="str" cm="1">
        <f t="array" ref="P517">IFERROR(INDEX(Create_TC_Web!S$1:S$500,SMALL(IF(Create_TC_Web!$C$1:$C$500&lt;&gt;"",MATCH(ROW(Create_TC_Web!$C$1:$C$500),ROW(Create_TC_Web!$C$1:$C$500)),""),ROW(Create_TC_Web!Q495))),"")</f>
        <v/>
      </c>
      <c r="S517" t="str">
        <f t="shared" si="24"/>
        <v/>
      </c>
    </row>
    <row r="518" spans="1:19">
      <c r="A518" t="str" cm="1">
        <f t="array" ref="A518">IFERROR(INDEX(Create_TC_Web!D$1:D$500,SMALL(IF(Create_TC_Web!$C$1:$C$500&lt;&gt;"",MATCH(ROW(Create_TC_Web!$C$1:$C$500),ROW(Create_TC_Web!$C$1:$C$500)),""),ROW(Create_TC_Web!B516))),"")</f>
        <v/>
      </c>
      <c r="B518" t="str" cm="1">
        <f t="array" ref="B518">SUBSTITUTE(SUBSTITUTE(SUBSTITUTE(IFERROR(INDEX(Create_TC_Web!E$1:E$505,SMALL(IF(Create_TC_Web!$C$1:$C$505&lt;&gt;"",MATCH(ROW(Create_TC_Web!$C$1:$C$505),ROW(Create_TC_Web!$C$1:$C$505)),""),ROW(Create_TC_Web!C516))),"")," ",""),"-",""),"_","")</f>
        <v/>
      </c>
      <c r="C518" t="str" cm="1">
        <f t="array" ref="C518">IFERROR(INDEX(Create_TC_Web!F$1:F$500,SMALL(IF(Create_TC_Web!$C$1:$C$500&lt;&gt;"",MATCH(ROW(Create_TC_Web!$C$1:$C$500),ROW(Create_TC_Web!$C$1:$C$500)),""),ROW(Create_TC_Web!D516))),"")</f>
        <v/>
      </c>
      <c r="D518" t="str" cm="1">
        <f t="array" ref="D518">IFERROR(INDEX(Create_TC_Web!G$1:G$500,SMALL(IF(Create_TC_Web!$C$1:$C$500&lt;&gt;"",MATCH(ROW(Create_TC_Web!$C$1:$C$500),ROW(Create_TC_Web!$C$1:$C$500)),""),ROW(Create_TC_Web!E516))),"")</f>
        <v/>
      </c>
      <c r="E518" t="str" cm="1">
        <f t="array" ref="E518">IFERROR(INDEX(Create_TC_Web!H$1:H$500,SMALL(IF(Create_TC_Web!$C$1:$C$500&lt;&gt;"",MATCH(ROW(Create_TC_Web!$C$1:$C$500),ROW(Create_TC_Web!$C$1:$C$500)),""),ROW(Create_TC_Web!F516))),"")</f>
        <v/>
      </c>
      <c r="F518" t="str" cm="1">
        <f t="array" ref="F518">IFERROR(INDEX(Create_TC_Web!I$1:I$500,SMALL(IF(Create_TC_Web!$C$1:$C$500&lt;&gt;"",MATCH(ROW(Create_TC_Web!$C$1:$C$500),ROW(Create_TC_Web!$C$1:$C$500)),""),ROW(Create_TC_Web!G516))),"")</f>
        <v/>
      </c>
      <c r="G518" t="str" cm="1">
        <f t="array" ref="G518">IFERROR(INDEX(Create_TC_Web!J$1:J$500,SMALL(IF(Create_TC_Web!$C$1:$C$500&lt;&gt;"",MATCH(ROW(Create_TC_Web!$C$1:$C$500),ROW(Create_TC_Web!$C$1:$C$500)),""),ROW(Create_TC_Web!H516))),"")</f>
        <v/>
      </c>
      <c r="H518" t="str" cm="1">
        <f t="array" ref="H518">IFERROR(INDEX(Create_TC_Web!K$1:K$500,SMALL(IF(Create_TC_Web!$C$1:$C$500&lt;&gt;"",MATCH(ROW(Create_TC_Web!$C$1:$C$500),ROW(Create_TC_Web!$C$1:$C$500)),""),ROW(Create_TC_Web!I516))),"")</f>
        <v/>
      </c>
      <c r="I518" t="str" cm="1">
        <f t="array" ref="I518">IFERROR(INDEX(Create_TC_Web!L$1:L$500,SMALL(IF(Create_TC_Web!$C$1:$C$500&lt;&gt;"",MATCH(ROW(Create_TC_Web!$C$1:$C$500),ROW(Create_TC_Web!$C$1:$C$500)),""),ROW(Create_TC_Web!J516))),"")</f>
        <v/>
      </c>
      <c r="J518" t="str" cm="1">
        <f t="array" ref="J518">IFERROR(INDEX(Create_TC_Web!M$1:M$500,SMALL(IF(Create_TC_Web!$C$1:$C$500&lt;&gt;"",MATCH(ROW(Create_TC_Web!$C$1:$C$500),ROW(Create_TC_Web!$C$1:$C$500)),""),ROW(Create_TC_Web!K516))),"")</f>
        <v/>
      </c>
      <c r="K518" t="str" cm="1">
        <f t="array" ref="K518">IFERROR(INDEX(Create_TC_Web!N$1:N$500,SMALL(IF(Create_TC_Web!$C$1:$C$500&lt;&gt;"",MATCH(ROW(Create_TC_Web!$C$1:$C$500),ROW(Create_TC_Web!$C$1:$C$500)),""),ROW(Create_TC_Web!L516))),"")</f>
        <v/>
      </c>
      <c r="L518" t="str" cm="1">
        <f t="array" ref="L518">IFERROR(INDEX(Create_TC_Web!O$1:O$500,SMALL(IF(Create_TC_Web!$C$1:$C$500&lt;&gt;"",MATCH(ROW(Create_TC_Web!$C$1:$C$500),ROW(Create_TC_Web!$C$1:$C$500)),""),ROW(Create_TC_Web!M516))),"")</f>
        <v/>
      </c>
      <c r="M518" t="str" cm="1">
        <f t="array" ref="M518">IFERROR(INDEX(Create_TC_Web!P$1:P$500,SMALL(IF(Create_TC_Web!$C$1:$C$500&lt;&gt;"",MATCH(ROW(Create_TC_Web!$C$1:$C$500),ROW(Create_TC_Web!$C$1:$C$500)),""),ROW(Create_TC_Web!N516))),"")</f>
        <v/>
      </c>
      <c r="N518" t="str" cm="1">
        <f t="array" ref="N518">IFERROR(INDEX(Create_TC_Web!Q$1:Q$500,SMALL(IF(Create_TC_Web!$C$1:$C$500&lt;&gt;"",MATCH(ROW(Create_TC_Web!$C$1:$C$500),ROW(Create_TC_Web!$C$1:$C$500)),""),ROW(Create_TC_Web!O516))),"")</f>
        <v/>
      </c>
      <c r="O518" t="str">
        <f t="shared" si="23"/>
        <v/>
      </c>
      <c r="P518" s="17" t="str" cm="1">
        <f t="array" ref="P518">IFERROR(INDEX(Create_TC_Web!S$1:S$500,SMALL(IF(Create_TC_Web!$C$1:$C$500&lt;&gt;"",MATCH(ROW(Create_TC_Web!$C$1:$C$500),ROW(Create_TC_Web!$C$1:$C$500)),""),ROW(Create_TC_Web!Q496))),"")</f>
        <v/>
      </c>
      <c r="S518" t="str">
        <f t="shared" si="24"/>
        <v/>
      </c>
    </row>
    <row r="519" spans="1:19">
      <c r="A519" t="str" cm="1">
        <f t="array" ref="A519">IFERROR(INDEX(Create_TC_Web!D$1:D$500,SMALL(IF(Create_TC_Web!$C$1:$C$500&lt;&gt;"",MATCH(ROW(Create_TC_Web!$C$1:$C$500),ROW(Create_TC_Web!$C$1:$C$500)),""),ROW(Create_TC_Web!B517))),"")</f>
        <v/>
      </c>
      <c r="B519" t="str" cm="1">
        <f t="array" ref="B519">SUBSTITUTE(SUBSTITUTE(SUBSTITUTE(IFERROR(INDEX(Create_TC_Web!E$1:E$505,SMALL(IF(Create_TC_Web!$C$1:$C$505&lt;&gt;"",MATCH(ROW(Create_TC_Web!$C$1:$C$505),ROW(Create_TC_Web!$C$1:$C$505)),""),ROW(Create_TC_Web!C517))),"")," ",""),"-",""),"_","")</f>
        <v/>
      </c>
      <c r="C519" t="str" cm="1">
        <f t="array" ref="C519">IFERROR(INDEX(Create_TC_Web!F$1:F$500,SMALL(IF(Create_TC_Web!$C$1:$C$500&lt;&gt;"",MATCH(ROW(Create_TC_Web!$C$1:$C$500),ROW(Create_TC_Web!$C$1:$C$500)),""),ROW(Create_TC_Web!D517))),"")</f>
        <v/>
      </c>
      <c r="D519" t="str" cm="1">
        <f t="array" ref="D519">IFERROR(INDEX(Create_TC_Web!G$1:G$500,SMALL(IF(Create_TC_Web!$C$1:$C$500&lt;&gt;"",MATCH(ROW(Create_TC_Web!$C$1:$C$500),ROW(Create_TC_Web!$C$1:$C$500)),""),ROW(Create_TC_Web!E517))),"")</f>
        <v/>
      </c>
      <c r="E519" t="str" cm="1">
        <f t="array" ref="E519">IFERROR(INDEX(Create_TC_Web!H$1:H$500,SMALL(IF(Create_TC_Web!$C$1:$C$500&lt;&gt;"",MATCH(ROW(Create_TC_Web!$C$1:$C$500),ROW(Create_TC_Web!$C$1:$C$500)),""),ROW(Create_TC_Web!F517))),"")</f>
        <v/>
      </c>
      <c r="F519" t="str" cm="1">
        <f t="array" ref="F519">IFERROR(INDEX(Create_TC_Web!I$1:I$500,SMALL(IF(Create_TC_Web!$C$1:$C$500&lt;&gt;"",MATCH(ROW(Create_TC_Web!$C$1:$C$500),ROW(Create_TC_Web!$C$1:$C$500)),""),ROW(Create_TC_Web!G517))),"")</f>
        <v/>
      </c>
      <c r="G519" t="str" cm="1">
        <f t="array" ref="G519">IFERROR(INDEX(Create_TC_Web!J$1:J$500,SMALL(IF(Create_TC_Web!$C$1:$C$500&lt;&gt;"",MATCH(ROW(Create_TC_Web!$C$1:$C$500),ROW(Create_TC_Web!$C$1:$C$500)),""),ROW(Create_TC_Web!H517))),"")</f>
        <v/>
      </c>
      <c r="H519" t="str" cm="1">
        <f t="array" ref="H519">IFERROR(INDEX(Create_TC_Web!K$1:K$500,SMALL(IF(Create_TC_Web!$C$1:$C$500&lt;&gt;"",MATCH(ROW(Create_TC_Web!$C$1:$C$500),ROW(Create_TC_Web!$C$1:$C$500)),""),ROW(Create_TC_Web!I517))),"")</f>
        <v/>
      </c>
      <c r="I519" t="str" cm="1">
        <f t="array" ref="I519">IFERROR(INDEX(Create_TC_Web!L$1:L$500,SMALL(IF(Create_TC_Web!$C$1:$C$500&lt;&gt;"",MATCH(ROW(Create_TC_Web!$C$1:$C$500),ROW(Create_TC_Web!$C$1:$C$500)),""),ROW(Create_TC_Web!J517))),"")</f>
        <v/>
      </c>
      <c r="J519" t="str" cm="1">
        <f t="array" ref="J519">IFERROR(INDEX(Create_TC_Web!M$1:M$500,SMALL(IF(Create_TC_Web!$C$1:$C$500&lt;&gt;"",MATCH(ROW(Create_TC_Web!$C$1:$C$500),ROW(Create_TC_Web!$C$1:$C$500)),""),ROW(Create_TC_Web!K517))),"")</f>
        <v/>
      </c>
      <c r="K519" t="str" cm="1">
        <f t="array" ref="K519">IFERROR(INDEX(Create_TC_Web!N$1:N$500,SMALL(IF(Create_TC_Web!$C$1:$C$500&lt;&gt;"",MATCH(ROW(Create_TC_Web!$C$1:$C$500),ROW(Create_TC_Web!$C$1:$C$500)),""),ROW(Create_TC_Web!L517))),"")</f>
        <v/>
      </c>
      <c r="L519" t="str" cm="1">
        <f t="array" ref="L519">IFERROR(INDEX(Create_TC_Web!O$1:O$500,SMALL(IF(Create_TC_Web!$C$1:$C$500&lt;&gt;"",MATCH(ROW(Create_TC_Web!$C$1:$C$500),ROW(Create_TC_Web!$C$1:$C$500)),""),ROW(Create_TC_Web!M517))),"")</f>
        <v/>
      </c>
      <c r="M519" t="str" cm="1">
        <f t="array" ref="M519">IFERROR(INDEX(Create_TC_Web!P$1:P$500,SMALL(IF(Create_TC_Web!$C$1:$C$500&lt;&gt;"",MATCH(ROW(Create_TC_Web!$C$1:$C$500),ROW(Create_TC_Web!$C$1:$C$500)),""),ROW(Create_TC_Web!N517))),"")</f>
        <v/>
      </c>
      <c r="N519" t="str" cm="1">
        <f t="array" ref="N519">IFERROR(INDEX(Create_TC_Web!Q$1:Q$500,SMALL(IF(Create_TC_Web!$C$1:$C$500&lt;&gt;"",MATCH(ROW(Create_TC_Web!$C$1:$C$500),ROW(Create_TC_Web!$C$1:$C$500)),""),ROW(Create_TC_Web!O517))),"")</f>
        <v/>
      </c>
      <c r="O519" t="str">
        <f t="shared" ref="O519:O529" si="25">IF(N519&lt;&gt;0,N519,"")</f>
        <v/>
      </c>
      <c r="P519" s="17" t="str" cm="1">
        <f t="array" ref="P519">IFERROR(INDEX(Create_TC_Web!S$1:S$500,SMALL(IF(Create_TC_Web!$C$1:$C$500&lt;&gt;"",MATCH(ROW(Create_TC_Web!$C$1:$C$500),ROW(Create_TC_Web!$C$1:$C$500)),""),ROW(Create_TC_Web!Q497))),"")</f>
        <v/>
      </c>
      <c r="S519" t="str">
        <f t="shared" si="24"/>
        <v/>
      </c>
    </row>
    <row r="520" spans="1:19">
      <c r="A520" t="str" cm="1">
        <f t="array" ref="A520">IFERROR(INDEX(Create_TC_Web!D$1:D$500,SMALL(IF(Create_TC_Web!$C$1:$C$500&lt;&gt;"",MATCH(ROW(Create_TC_Web!$C$1:$C$500),ROW(Create_TC_Web!$C$1:$C$500)),""),ROW(Create_TC_Web!B518))),"")</f>
        <v/>
      </c>
      <c r="B520" t="str" cm="1">
        <f t="array" ref="B520">SUBSTITUTE(SUBSTITUTE(SUBSTITUTE(IFERROR(INDEX(Create_TC_Web!E$1:E$505,SMALL(IF(Create_TC_Web!$C$1:$C$505&lt;&gt;"",MATCH(ROW(Create_TC_Web!$C$1:$C$505),ROW(Create_TC_Web!$C$1:$C$505)),""),ROW(Create_TC_Web!C518))),"")," ",""),"-",""),"_","")</f>
        <v/>
      </c>
      <c r="C520" t="str" cm="1">
        <f t="array" ref="C520">IFERROR(INDEX(Create_TC_Web!F$1:F$500,SMALL(IF(Create_TC_Web!$C$1:$C$500&lt;&gt;"",MATCH(ROW(Create_TC_Web!$C$1:$C$500),ROW(Create_TC_Web!$C$1:$C$500)),""),ROW(Create_TC_Web!D518))),"")</f>
        <v/>
      </c>
      <c r="D520" t="str" cm="1">
        <f t="array" ref="D520">IFERROR(INDEX(Create_TC_Web!G$1:G$500,SMALL(IF(Create_TC_Web!$C$1:$C$500&lt;&gt;"",MATCH(ROW(Create_TC_Web!$C$1:$C$500),ROW(Create_TC_Web!$C$1:$C$500)),""),ROW(Create_TC_Web!E518))),"")</f>
        <v/>
      </c>
      <c r="E520" t="str" cm="1">
        <f t="array" ref="E520">IFERROR(INDEX(Create_TC_Web!H$1:H$500,SMALL(IF(Create_TC_Web!$C$1:$C$500&lt;&gt;"",MATCH(ROW(Create_TC_Web!$C$1:$C$500),ROW(Create_TC_Web!$C$1:$C$500)),""),ROW(Create_TC_Web!F518))),"")</f>
        <v/>
      </c>
      <c r="F520" t="str" cm="1">
        <f t="array" ref="F520">IFERROR(INDEX(Create_TC_Web!I$1:I$500,SMALL(IF(Create_TC_Web!$C$1:$C$500&lt;&gt;"",MATCH(ROW(Create_TC_Web!$C$1:$C$500),ROW(Create_TC_Web!$C$1:$C$500)),""),ROW(Create_TC_Web!G518))),"")</f>
        <v/>
      </c>
      <c r="G520" t="str" cm="1">
        <f t="array" ref="G520">IFERROR(INDEX(Create_TC_Web!J$1:J$500,SMALL(IF(Create_TC_Web!$C$1:$C$500&lt;&gt;"",MATCH(ROW(Create_TC_Web!$C$1:$C$500),ROW(Create_TC_Web!$C$1:$C$500)),""),ROW(Create_TC_Web!H518))),"")</f>
        <v/>
      </c>
      <c r="H520" t="str" cm="1">
        <f t="array" ref="H520">IFERROR(INDEX(Create_TC_Web!K$1:K$500,SMALL(IF(Create_TC_Web!$C$1:$C$500&lt;&gt;"",MATCH(ROW(Create_TC_Web!$C$1:$C$500),ROW(Create_TC_Web!$C$1:$C$500)),""),ROW(Create_TC_Web!I518))),"")</f>
        <v/>
      </c>
      <c r="I520" t="str" cm="1">
        <f t="array" ref="I520">IFERROR(INDEX(Create_TC_Web!L$1:L$500,SMALL(IF(Create_TC_Web!$C$1:$C$500&lt;&gt;"",MATCH(ROW(Create_TC_Web!$C$1:$C$500),ROW(Create_TC_Web!$C$1:$C$500)),""),ROW(Create_TC_Web!J518))),"")</f>
        <v/>
      </c>
      <c r="J520" t="str" cm="1">
        <f t="array" ref="J520">IFERROR(INDEX(Create_TC_Web!M$1:M$500,SMALL(IF(Create_TC_Web!$C$1:$C$500&lt;&gt;"",MATCH(ROW(Create_TC_Web!$C$1:$C$500),ROW(Create_TC_Web!$C$1:$C$500)),""),ROW(Create_TC_Web!K518))),"")</f>
        <v/>
      </c>
      <c r="K520" t="str" cm="1">
        <f t="array" ref="K520">IFERROR(INDEX(Create_TC_Web!N$1:N$500,SMALL(IF(Create_TC_Web!$C$1:$C$500&lt;&gt;"",MATCH(ROW(Create_TC_Web!$C$1:$C$500),ROW(Create_TC_Web!$C$1:$C$500)),""),ROW(Create_TC_Web!L518))),"")</f>
        <v/>
      </c>
      <c r="L520" t="str" cm="1">
        <f t="array" ref="L520">IFERROR(INDEX(Create_TC_Web!O$1:O$500,SMALL(IF(Create_TC_Web!$C$1:$C$500&lt;&gt;"",MATCH(ROW(Create_TC_Web!$C$1:$C$500),ROW(Create_TC_Web!$C$1:$C$500)),""),ROW(Create_TC_Web!M518))),"")</f>
        <v/>
      </c>
      <c r="M520" t="str" cm="1">
        <f t="array" ref="M520">IFERROR(INDEX(Create_TC_Web!P$1:P$500,SMALL(IF(Create_TC_Web!$C$1:$C$500&lt;&gt;"",MATCH(ROW(Create_TC_Web!$C$1:$C$500),ROW(Create_TC_Web!$C$1:$C$500)),""),ROW(Create_TC_Web!N518))),"")</f>
        <v/>
      </c>
      <c r="N520" t="str" cm="1">
        <f t="array" ref="N520">IFERROR(INDEX(Create_TC_Web!Q$1:Q$500,SMALL(IF(Create_TC_Web!$C$1:$C$500&lt;&gt;"",MATCH(ROW(Create_TC_Web!$C$1:$C$500),ROW(Create_TC_Web!$C$1:$C$500)),""),ROW(Create_TC_Web!O518))),"")</f>
        <v/>
      </c>
      <c r="O520" t="str">
        <f t="shared" si="25"/>
        <v/>
      </c>
      <c r="P520" s="17" t="str" cm="1">
        <f t="array" ref="P520">IFERROR(INDEX(Create_TC_Web!S$1:S$500,SMALL(IF(Create_TC_Web!$C$1:$C$500&lt;&gt;"",MATCH(ROW(Create_TC_Web!$C$1:$C$500),ROW(Create_TC_Web!$C$1:$C$500)),""),ROW(Create_TC_Web!Q498))),"")</f>
        <v/>
      </c>
      <c r="S520" t="str">
        <f t="shared" si="24"/>
        <v/>
      </c>
    </row>
    <row r="521" spans="1:19">
      <c r="A521" t="str" cm="1">
        <f t="array" ref="A521">IFERROR(INDEX(Create_TC_Web!D$1:D$500,SMALL(IF(Create_TC_Web!$C$1:$C$500&lt;&gt;"",MATCH(ROW(Create_TC_Web!$C$1:$C$500),ROW(Create_TC_Web!$C$1:$C$500)),""),ROW(Create_TC_Web!B519))),"")</f>
        <v/>
      </c>
      <c r="B521" t="str" cm="1">
        <f t="array" ref="B521">SUBSTITUTE(SUBSTITUTE(SUBSTITUTE(IFERROR(INDEX(Create_TC_Web!E$1:E$505,SMALL(IF(Create_TC_Web!$C$1:$C$505&lt;&gt;"",MATCH(ROW(Create_TC_Web!$C$1:$C$505),ROW(Create_TC_Web!$C$1:$C$505)),""),ROW(Create_TC_Web!C519))),"")," ",""),"-",""),"_","")</f>
        <v/>
      </c>
      <c r="C521" t="str" cm="1">
        <f t="array" ref="C521">IFERROR(INDEX(Create_TC_Web!F$1:F$500,SMALL(IF(Create_TC_Web!$C$1:$C$500&lt;&gt;"",MATCH(ROW(Create_TC_Web!$C$1:$C$500),ROW(Create_TC_Web!$C$1:$C$500)),""),ROW(Create_TC_Web!D519))),"")</f>
        <v/>
      </c>
      <c r="D521" t="str" cm="1">
        <f t="array" ref="D521">IFERROR(INDEX(Create_TC_Web!G$1:G$500,SMALL(IF(Create_TC_Web!$C$1:$C$500&lt;&gt;"",MATCH(ROW(Create_TC_Web!$C$1:$C$500),ROW(Create_TC_Web!$C$1:$C$500)),""),ROW(Create_TC_Web!E519))),"")</f>
        <v/>
      </c>
      <c r="E521" t="str" cm="1">
        <f t="array" ref="E521">IFERROR(INDEX(Create_TC_Web!H$1:H$500,SMALL(IF(Create_TC_Web!$C$1:$C$500&lt;&gt;"",MATCH(ROW(Create_TC_Web!$C$1:$C$500),ROW(Create_TC_Web!$C$1:$C$500)),""),ROW(Create_TC_Web!F519))),"")</f>
        <v/>
      </c>
      <c r="F521" t="str" cm="1">
        <f t="array" ref="F521">IFERROR(INDEX(Create_TC_Web!I$1:I$500,SMALL(IF(Create_TC_Web!$C$1:$C$500&lt;&gt;"",MATCH(ROW(Create_TC_Web!$C$1:$C$500),ROW(Create_TC_Web!$C$1:$C$500)),""),ROW(Create_TC_Web!G519))),"")</f>
        <v/>
      </c>
      <c r="G521" t="str" cm="1">
        <f t="array" ref="G521">IFERROR(INDEX(Create_TC_Web!J$1:J$500,SMALL(IF(Create_TC_Web!$C$1:$C$500&lt;&gt;"",MATCH(ROW(Create_TC_Web!$C$1:$C$500),ROW(Create_TC_Web!$C$1:$C$500)),""),ROW(Create_TC_Web!H519))),"")</f>
        <v/>
      </c>
      <c r="H521" t="str" cm="1">
        <f t="array" ref="H521">IFERROR(INDEX(Create_TC_Web!K$1:K$500,SMALL(IF(Create_TC_Web!$C$1:$C$500&lt;&gt;"",MATCH(ROW(Create_TC_Web!$C$1:$C$500),ROW(Create_TC_Web!$C$1:$C$500)),""),ROW(Create_TC_Web!I519))),"")</f>
        <v/>
      </c>
      <c r="I521" t="str" cm="1">
        <f t="array" ref="I521">IFERROR(INDEX(Create_TC_Web!L$1:L$500,SMALL(IF(Create_TC_Web!$C$1:$C$500&lt;&gt;"",MATCH(ROW(Create_TC_Web!$C$1:$C$500),ROW(Create_TC_Web!$C$1:$C$500)),""),ROW(Create_TC_Web!J519))),"")</f>
        <v/>
      </c>
      <c r="J521" t="str" cm="1">
        <f t="array" ref="J521">IFERROR(INDEX(Create_TC_Web!M$1:M$500,SMALL(IF(Create_TC_Web!$C$1:$C$500&lt;&gt;"",MATCH(ROW(Create_TC_Web!$C$1:$C$500),ROW(Create_TC_Web!$C$1:$C$500)),""),ROW(Create_TC_Web!K519))),"")</f>
        <v/>
      </c>
      <c r="K521" t="str" cm="1">
        <f t="array" ref="K521">IFERROR(INDEX(Create_TC_Web!N$1:N$500,SMALL(IF(Create_TC_Web!$C$1:$C$500&lt;&gt;"",MATCH(ROW(Create_TC_Web!$C$1:$C$500),ROW(Create_TC_Web!$C$1:$C$500)),""),ROW(Create_TC_Web!L519))),"")</f>
        <v/>
      </c>
      <c r="L521" t="str" cm="1">
        <f t="array" ref="L521">IFERROR(INDEX(Create_TC_Web!O$1:O$500,SMALL(IF(Create_TC_Web!$C$1:$C$500&lt;&gt;"",MATCH(ROW(Create_TC_Web!$C$1:$C$500),ROW(Create_TC_Web!$C$1:$C$500)),""),ROW(Create_TC_Web!M519))),"")</f>
        <v/>
      </c>
      <c r="M521" t="str" cm="1">
        <f t="array" ref="M521">IFERROR(INDEX(Create_TC_Web!P$1:P$500,SMALL(IF(Create_TC_Web!$C$1:$C$500&lt;&gt;"",MATCH(ROW(Create_TC_Web!$C$1:$C$500),ROW(Create_TC_Web!$C$1:$C$500)),""),ROW(Create_TC_Web!N519))),"")</f>
        <v/>
      </c>
      <c r="N521" t="str" cm="1">
        <f t="array" ref="N521">IFERROR(INDEX(Create_TC_Web!Q$1:Q$500,SMALL(IF(Create_TC_Web!$C$1:$C$500&lt;&gt;"",MATCH(ROW(Create_TC_Web!$C$1:$C$500),ROW(Create_TC_Web!$C$1:$C$500)),""),ROW(Create_TC_Web!O519))),"")</f>
        <v/>
      </c>
      <c r="O521" t="str">
        <f t="shared" si="25"/>
        <v/>
      </c>
      <c r="P521" s="17" t="str" cm="1">
        <f t="array" ref="P521">IFERROR(INDEX(Create_TC_Web!S$1:S$500,SMALL(IF(Create_TC_Web!$C$1:$C$500&lt;&gt;"",MATCH(ROW(Create_TC_Web!$C$1:$C$500),ROW(Create_TC_Web!$C$1:$C$500)),""),ROW(Create_TC_Web!Q499))),"")</f>
        <v/>
      </c>
      <c r="S521" t="str">
        <f t="shared" si="24"/>
        <v/>
      </c>
    </row>
    <row r="522" spans="1:19">
      <c r="A522" t="str" cm="1">
        <f t="array" ref="A522">IFERROR(INDEX(Create_TC_Web!D$1:D$500,SMALL(IF(Create_TC_Web!$C$1:$C$500&lt;&gt;"",MATCH(ROW(Create_TC_Web!$C$1:$C$500),ROW(Create_TC_Web!$C$1:$C$500)),""),ROW(Create_TC_Web!B520))),"")</f>
        <v/>
      </c>
      <c r="B522" t="str" cm="1">
        <f t="array" ref="B522">SUBSTITUTE(SUBSTITUTE(SUBSTITUTE(IFERROR(INDEX(Create_TC_Web!E$1:E$505,SMALL(IF(Create_TC_Web!$C$1:$C$505&lt;&gt;"",MATCH(ROW(Create_TC_Web!$C$1:$C$505),ROW(Create_TC_Web!$C$1:$C$505)),""),ROW(Create_TC_Web!C520))),"")," ",""),"-",""),"_","")</f>
        <v/>
      </c>
      <c r="C522" t="str" cm="1">
        <f t="array" ref="C522">IFERROR(INDEX(Create_TC_Web!F$1:F$500,SMALL(IF(Create_TC_Web!$C$1:$C$500&lt;&gt;"",MATCH(ROW(Create_TC_Web!$C$1:$C$500),ROW(Create_TC_Web!$C$1:$C$500)),""),ROW(Create_TC_Web!D520))),"")</f>
        <v/>
      </c>
      <c r="D522" t="str" cm="1">
        <f t="array" ref="D522">IFERROR(INDEX(Create_TC_Web!G$1:G$500,SMALL(IF(Create_TC_Web!$C$1:$C$500&lt;&gt;"",MATCH(ROW(Create_TC_Web!$C$1:$C$500),ROW(Create_TC_Web!$C$1:$C$500)),""),ROW(Create_TC_Web!E520))),"")</f>
        <v/>
      </c>
      <c r="E522" t="str" cm="1">
        <f t="array" ref="E522">IFERROR(INDEX(Create_TC_Web!H$1:H$500,SMALL(IF(Create_TC_Web!$C$1:$C$500&lt;&gt;"",MATCH(ROW(Create_TC_Web!$C$1:$C$500),ROW(Create_TC_Web!$C$1:$C$500)),""),ROW(Create_TC_Web!F520))),"")</f>
        <v/>
      </c>
      <c r="F522" t="str" cm="1">
        <f t="array" ref="F522">IFERROR(INDEX(Create_TC_Web!I$1:I$500,SMALL(IF(Create_TC_Web!$C$1:$C$500&lt;&gt;"",MATCH(ROW(Create_TC_Web!$C$1:$C$500),ROW(Create_TC_Web!$C$1:$C$500)),""),ROW(Create_TC_Web!G520))),"")</f>
        <v/>
      </c>
      <c r="G522" t="str" cm="1">
        <f t="array" ref="G522">IFERROR(INDEX(Create_TC_Web!J$1:J$500,SMALL(IF(Create_TC_Web!$C$1:$C$500&lt;&gt;"",MATCH(ROW(Create_TC_Web!$C$1:$C$500),ROW(Create_TC_Web!$C$1:$C$500)),""),ROW(Create_TC_Web!H520))),"")</f>
        <v/>
      </c>
      <c r="H522" t="str" cm="1">
        <f t="array" ref="H522">IFERROR(INDEX(Create_TC_Web!K$1:K$500,SMALL(IF(Create_TC_Web!$C$1:$C$500&lt;&gt;"",MATCH(ROW(Create_TC_Web!$C$1:$C$500),ROW(Create_TC_Web!$C$1:$C$500)),""),ROW(Create_TC_Web!I520))),"")</f>
        <v/>
      </c>
      <c r="I522" t="str" cm="1">
        <f t="array" ref="I522">IFERROR(INDEX(Create_TC_Web!L$1:L$500,SMALL(IF(Create_TC_Web!$C$1:$C$500&lt;&gt;"",MATCH(ROW(Create_TC_Web!$C$1:$C$500),ROW(Create_TC_Web!$C$1:$C$500)),""),ROW(Create_TC_Web!J520))),"")</f>
        <v/>
      </c>
      <c r="J522" t="str" cm="1">
        <f t="array" ref="J522">IFERROR(INDEX(Create_TC_Web!M$1:M$500,SMALL(IF(Create_TC_Web!$C$1:$C$500&lt;&gt;"",MATCH(ROW(Create_TC_Web!$C$1:$C$500),ROW(Create_TC_Web!$C$1:$C$500)),""),ROW(Create_TC_Web!K520))),"")</f>
        <v/>
      </c>
      <c r="K522" t="str" cm="1">
        <f t="array" ref="K522">IFERROR(INDEX(Create_TC_Web!N$1:N$500,SMALL(IF(Create_TC_Web!$C$1:$C$500&lt;&gt;"",MATCH(ROW(Create_TC_Web!$C$1:$C$500),ROW(Create_TC_Web!$C$1:$C$500)),""),ROW(Create_TC_Web!L520))),"")</f>
        <v/>
      </c>
      <c r="L522" t="str" cm="1">
        <f t="array" ref="L522">IFERROR(INDEX(Create_TC_Web!O$1:O$500,SMALL(IF(Create_TC_Web!$C$1:$C$500&lt;&gt;"",MATCH(ROW(Create_TC_Web!$C$1:$C$500),ROW(Create_TC_Web!$C$1:$C$500)),""),ROW(Create_TC_Web!M520))),"")</f>
        <v/>
      </c>
      <c r="M522" t="str" cm="1">
        <f t="array" ref="M522">IFERROR(INDEX(Create_TC_Web!P$1:P$500,SMALL(IF(Create_TC_Web!$C$1:$C$500&lt;&gt;"",MATCH(ROW(Create_TC_Web!$C$1:$C$500),ROW(Create_TC_Web!$C$1:$C$500)),""),ROW(Create_TC_Web!N520))),"")</f>
        <v/>
      </c>
      <c r="N522" t="str" cm="1">
        <f t="array" ref="N522">IFERROR(INDEX(Create_TC_Web!Q$1:Q$500,SMALL(IF(Create_TC_Web!$C$1:$C$500&lt;&gt;"",MATCH(ROW(Create_TC_Web!$C$1:$C$500),ROW(Create_TC_Web!$C$1:$C$500)),""),ROW(Create_TC_Web!O520))),"")</f>
        <v/>
      </c>
      <c r="O522" t="str">
        <f t="shared" si="25"/>
        <v/>
      </c>
      <c r="P522" s="17" t="str" cm="1">
        <f t="array" ref="P522">IFERROR(INDEX(Create_TC_Web!S$1:S$500,SMALL(IF(Create_TC_Web!$C$1:$C$500&lt;&gt;"",MATCH(ROW(Create_TC_Web!$C$1:$C$500),ROW(Create_TC_Web!$C$1:$C$500)),""),ROW(Create_TC_Web!Q500))),"")</f>
        <v/>
      </c>
      <c r="S522" t="str">
        <f t="shared" si="24"/>
        <v/>
      </c>
    </row>
    <row r="523" spans="1:19">
      <c r="A523" t="str" cm="1">
        <f t="array" ref="A523">IFERROR(INDEX(Create_TC_Web!D$1:D$500,SMALL(IF(Create_TC_Web!$C$1:$C$500&lt;&gt;"",MATCH(ROW(Create_TC_Web!$C$1:$C$500),ROW(Create_TC_Web!$C$1:$C$500)),""),ROW(Create_TC_Web!B521))),"")</f>
        <v/>
      </c>
      <c r="B523" t="str" cm="1">
        <f t="array" ref="B523">SUBSTITUTE(SUBSTITUTE(SUBSTITUTE(IFERROR(INDEX(Create_TC_Web!E$1:E$505,SMALL(IF(Create_TC_Web!$C$1:$C$505&lt;&gt;"",MATCH(ROW(Create_TC_Web!$C$1:$C$505),ROW(Create_TC_Web!$C$1:$C$505)),""),ROW(Create_TC_Web!C521))),"")," ",""),"-",""),"_","")</f>
        <v/>
      </c>
      <c r="C523" t="str" cm="1">
        <f t="array" ref="C523">IFERROR(INDEX(Create_TC_Web!F$1:F$500,SMALL(IF(Create_TC_Web!$C$1:$C$500&lt;&gt;"",MATCH(ROW(Create_TC_Web!$C$1:$C$500),ROW(Create_TC_Web!$C$1:$C$500)),""),ROW(Create_TC_Web!D521))),"")</f>
        <v/>
      </c>
      <c r="D523" t="str" cm="1">
        <f t="array" ref="D523">IFERROR(INDEX(Create_TC_Web!G$1:G$500,SMALL(IF(Create_TC_Web!$C$1:$C$500&lt;&gt;"",MATCH(ROW(Create_TC_Web!$C$1:$C$500),ROW(Create_TC_Web!$C$1:$C$500)),""),ROW(Create_TC_Web!E521))),"")</f>
        <v/>
      </c>
      <c r="E523" t="str" cm="1">
        <f t="array" ref="E523">IFERROR(INDEX(Create_TC_Web!H$1:H$500,SMALL(IF(Create_TC_Web!$C$1:$C$500&lt;&gt;"",MATCH(ROW(Create_TC_Web!$C$1:$C$500),ROW(Create_TC_Web!$C$1:$C$500)),""),ROW(Create_TC_Web!F521))),"")</f>
        <v/>
      </c>
      <c r="F523" t="str" cm="1">
        <f t="array" ref="F523">IFERROR(INDEX(Create_TC_Web!I$1:I$500,SMALL(IF(Create_TC_Web!$C$1:$C$500&lt;&gt;"",MATCH(ROW(Create_TC_Web!$C$1:$C$500),ROW(Create_TC_Web!$C$1:$C$500)),""),ROW(Create_TC_Web!G521))),"")</f>
        <v/>
      </c>
      <c r="G523" t="str" cm="1">
        <f t="array" ref="G523">IFERROR(INDEX(Create_TC_Web!J$1:J$500,SMALL(IF(Create_TC_Web!$C$1:$C$500&lt;&gt;"",MATCH(ROW(Create_TC_Web!$C$1:$C$500),ROW(Create_TC_Web!$C$1:$C$500)),""),ROW(Create_TC_Web!H521))),"")</f>
        <v/>
      </c>
      <c r="H523" t="str" cm="1">
        <f t="array" ref="H523">IFERROR(INDEX(Create_TC_Web!K$1:K$500,SMALL(IF(Create_TC_Web!$C$1:$C$500&lt;&gt;"",MATCH(ROW(Create_TC_Web!$C$1:$C$500),ROW(Create_TC_Web!$C$1:$C$500)),""),ROW(Create_TC_Web!I521))),"")</f>
        <v/>
      </c>
      <c r="I523" t="str" cm="1">
        <f t="array" ref="I523">IFERROR(INDEX(Create_TC_Web!L$1:L$500,SMALL(IF(Create_TC_Web!$C$1:$C$500&lt;&gt;"",MATCH(ROW(Create_TC_Web!$C$1:$C$500),ROW(Create_TC_Web!$C$1:$C$500)),""),ROW(Create_TC_Web!J521))),"")</f>
        <v/>
      </c>
      <c r="J523" t="str" cm="1">
        <f t="array" ref="J523">IFERROR(INDEX(Create_TC_Web!M$1:M$500,SMALL(IF(Create_TC_Web!$C$1:$C$500&lt;&gt;"",MATCH(ROW(Create_TC_Web!$C$1:$C$500),ROW(Create_TC_Web!$C$1:$C$500)),""),ROW(Create_TC_Web!K521))),"")</f>
        <v/>
      </c>
      <c r="K523" t="str" cm="1">
        <f t="array" ref="K523">IFERROR(INDEX(Create_TC_Web!N$1:N$500,SMALL(IF(Create_TC_Web!$C$1:$C$500&lt;&gt;"",MATCH(ROW(Create_TC_Web!$C$1:$C$500),ROW(Create_TC_Web!$C$1:$C$500)),""),ROW(Create_TC_Web!L521))),"")</f>
        <v/>
      </c>
      <c r="L523" t="str" cm="1">
        <f t="array" ref="L523">IFERROR(INDEX(Create_TC_Web!O$1:O$500,SMALL(IF(Create_TC_Web!$C$1:$C$500&lt;&gt;"",MATCH(ROW(Create_TC_Web!$C$1:$C$500),ROW(Create_TC_Web!$C$1:$C$500)),""),ROW(Create_TC_Web!M521))),"")</f>
        <v/>
      </c>
      <c r="M523" t="str" cm="1">
        <f t="array" ref="M523">IFERROR(INDEX(Create_TC_Web!P$1:P$500,SMALL(IF(Create_TC_Web!$C$1:$C$500&lt;&gt;"",MATCH(ROW(Create_TC_Web!$C$1:$C$500),ROW(Create_TC_Web!$C$1:$C$500)),""),ROW(Create_TC_Web!N521))),"")</f>
        <v/>
      </c>
      <c r="N523" t="str" cm="1">
        <f t="array" ref="N523">IFERROR(INDEX(Create_TC_Web!Q$1:Q$500,SMALL(IF(Create_TC_Web!$C$1:$C$500&lt;&gt;"",MATCH(ROW(Create_TC_Web!$C$1:$C$500),ROW(Create_TC_Web!$C$1:$C$500)),""),ROW(Create_TC_Web!O521))),"")</f>
        <v/>
      </c>
      <c r="O523" t="str">
        <f t="shared" si="25"/>
        <v/>
      </c>
      <c r="P523" s="17" t="str" cm="1">
        <f t="array" ref="P523">IFERROR(INDEX(Create_TC_Web!S$1:S$500,SMALL(IF(Create_TC_Web!$C$1:$C$500&lt;&gt;"",MATCH(ROW(Create_TC_Web!$C$1:$C$500),ROW(Create_TC_Web!$C$1:$C$500)),""),ROW(Create_TC_Web!Q501))),"")</f>
        <v/>
      </c>
      <c r="S523" t="str">
        <f t="shared" si="24"/>
        <v/>
      </c>
    </row>
    <row r="524" spans="1:19">
      <c r="A524" t="str" cm="1">
        <f t="array" ref="A524">IFERROR(INDEX(Create_TC_Web!D$1:D$500,SMALL(IF(Create_TC_Web!$C$1:$C$500&lt;&gt;"",MATCH(ROW(Create_TC_Web!$C$1:$C$500),ROW(Create_TC_Web!$C$1:$C$500)),""),ROW(Create_TC_Web!B522))),"")</f>
        <v/>
      </c>
      <c r="B524" t="str" cm="1">
        <f t="array" ref="B524">SUBSTITUTE(SUBSTITUTE(SUBSTITUTE(IFERROR(INDEX(Create_TC_Web!E$1:E$505,SMALL(IF(Create_TC_Web!$C$1:$C$505&lt;&gt;"",MATCH(ROW(Create_TC_Web!$C$1:$C$505),ROW(Create_TC_Web!$C$1:$C$505)),""),ROW(Create_TC_Web!C522))),"")," ",""),"-",""),"_","")</f>
        <v/>
      </c>
      <c r="C524" t="str" cm="1">
        <f t="array" ref="C524">IFERROR(INDEX(Create_TC_Web!F$1:F$500,SMALL(IF(Create_TC_Web!$C$1:$C$500&lt;&gt;"",MATCH(ROW(Create_TC_Web!$C$1:$C$500),ROW(Create_TC_Web!$C$1:$C$500)),""),ROW(Create_TC_Web!D522))),"")</f>
        <v/>
      </c>
      <c r="D524" t="str" cm="1">
        <f t="array" ref="D524">IFERROR(INDEX(Create_TC_Web!G$1:G$500,SMALL(IF(Create_TC_Web!$C$1:$C$500&lt;&gt;"",MATCH(ROW(Create_TC_Web!$C$1:$C$500),ROW(Create_TC_Web!$C$1:$C$500)),""),ROW(Create_TC_Web!E522))),"")</f>
        <v/>
      </c>
      <c r="E524" t="str" cm="1">
        <f t="array" ref="E524">IFERROR(INDEX(Create_TC_Web!H$1:H$500,SMALL(IF(Create_TC_Web!$C$1:$C$500&lt;&gt;"",MATCH(ROW(Create_TC_Web!$C$1:$C$500),ROW(Create_TC_Web!$C$1:$C$500)),""),ROW(Create_TC_Web!F522))),"")</f>
        <v/>
      </c>
      <c r="F524" t="str" cm="1">
        <f t="array" ref="F524">IFERROR(INDEX(Create_TC_Web!I$1:I$500,SMALL(IF(Create_TC_Web!$C$1:$C$500&lt;&gt;"",MATCH(ROW(Create_TC_Web!$C$1:$C$500),ROW(Create_TC_Web!$C$1:$C$500)),""),ROW(Create_TC_Web!G522))),"")</f>
        <v/>
      </c>
      <c r="G524" t="str" cm="1">
        <f t="array" ref="G524">IFERROR(INDEX(Create_TC_Web!J$1:J$500,SMALL(IF(Create_TC_Web!$C$1:$C$500&lt;&gt;"",MATCH(ROW(Create_TC_Web!$C$1:$C$500),ROW(Create_TC_Web!$C$1:$C$500)),""),ROW(Create_TC_Web!H522))),"")</f>
        <v/>
      </c>
      <c r="H524" t="str" cm="1">
        <f t="array" ref="H524">IFERROR(INDEX(Create_TC_Web!K$1:K$500,SMALL(IF(Create_TC_Web!$C$1:$C$500&lt;&gt;"",MATCH(ROW(Create_TC_Web!$C$1:$C$500),ROW(Create_TC_Web!$C$1:$C$500)),""),ROW(Create_TC_Web!I522))),"")</f>
        <v/>
      </c>
      <c r="I524" t="str" cm="1">
        <f t="array" ref="I524">IFERROR(INDEX(Create_TC_Web!L$1:L$500,SMALL(IF(Create_TC_Web!$C$1:$C$500&lt;&gt;"",MATCH(ROW(Create_TC_Web!$C$1:$C$500),ROW(Create_TC_Web!$C$1:$C$500)),""),ROW(Create_TC_Web!J522))),"")</f>
        <v/>
      </c>
      <c r="J524" t="str" cm="1">
        <f t="array" ref="J524">IFERROR(INDEX(Create_TC_Web!M$1:M$500,SMALL(IF(Create_TC_Web!$C$1:$C$500&lt;&gt;"",MATCH(ROW(Create_TC_Web!$C$1:$C$500),ROW(Create_TC_Web!$C$1:$C$500)),""),ROW(Create_TC_Web!K522))),"")</f>
        <v/>
      </c>
      <c r="K524" t="str" cm="1">
        <f t="array" ref="K524">IFERROR(INDEX(Create_TC_Web!N$1:N$500,SMALL(IF(Create_TC_Web!$C$1:$C$500&lt;&gt;"",MATCH(ROW(Create_TC_Web!$C$1:$C$500),ROW(Create_TC_Web!$C$1:$C$500)),""),ROW(Create_TC_Web!L522))),"")</f>
        <v/>
      </c>
      <c r="L524" t="str" cm="1">
        <f t="array" ref="L524">IFERROR(INDEX(Create_TC_Web!O$1:O$500,SMALL(IF(Create_TC_Web!$C$1:$C$500&lt;&gt;"",MATCH(ROW(Create_TC_Web!$C$1:$C$500),ROW(Create_TC_Web!$C$1:$C$500)),""),ROW(Create_TC_Web!M522))),"")</f>
        <v/>
      </c>
      <c r="M524" t="str" cm="1">
        <f t="array" ref="M524">IFERROR(INDEX(Create_TC_Web!P$1:P$500,SMALL(IF(Create_TC_Web!$C$1:$C$500&lt;&gt;"",MATCH(ROW(Create_TC_Web!$C$1:$C$500),ROW(Create_TC_Web!$C$1:$C$500)),""),ROW(Create_TC_Web!N522))),"")</f>
        <v/>
      </c>
      <c r="N524" t="str" cm="1">
        <f t="array" ref="N524">IFERROR(INDEX(Create_TC_Web!Q$1:Q$500,SMALL(IF(Create_TC_Web!$C$1:$C$500&lt;&gt;"",MATCH(ROW(Create_TC_Web!$C$1:$C$500),ROW(Create_TC_Web!$C$1:$C$500)),""),ROW(Create_TC_Web!O522))),"")</f>
        <v/>
      </c>
      <c r="O524" t="str">
        <f t="shared" si="25"/>
        <v/>
      </c>
      <c r="P524" s="17" t="str" cm="1">
        <f t="array" ref="P524">IFERROR(INDEX(Create_TC_Web!S$1:S$500,SMALL(IF(Create_TC_Web!$C$1:$C$500&lt;&gt;"",MATCH(ROW(Create_TC_Web!$C$1:$C$500),ROW(Create_TC_Web!$C$1:$C$500)),""),ROW(Create_TC_Web!Q502))),"")</f>
        <v/>
      </c>
      <c r="S524" t="str">
        <f t="shared" si="24"/>
        <v/>
      </c>
    </row>
    <row r="525" spans="1:19">
      <c r="A525" t="str" cm="1">
        <f t="array" ref="A525">IFERROR(INDEX(Create_TC_Web!D$1:D$500,SMALL(IF(Create_TC_Web!$C$1:$C$500&lt;&gt;"",MATCH(ROW(Create_TC_Web!$C$1:$C$500),ROW(Create_TC_Web!$C$1:$C$500)),""),ROW(Create_TC_Web!B523))),"")</f>
        <v/>
      </c>
      <c r="B525" t="str" cm="1">
        <f t="array" ref="B525">SUBSTITUTE(SUBSTITUTE(SUBSTITUTE(IFERROR(INDEX(Create_TC_Web!E$1:E$505,SMALL(IF(Create_TC_Web!$C$1:$C$505&lt;&gt;"",MATCH(ROW(Create_TC_Web!$C$1:$C$505),ROW(Create_TC_Web!$C$1:$C$505)),""),ROW(Create_TC_Web!C523))),"")," ",""),"-",""),"_","")</f>
        <v/>
      </c>
      <c r="C525" t="str" cm="1">
        <f t="array" ref="C525">IFERROR(INDEX(Create_TC_Web!F$1:F$500,SMALL(IF(Create_TC_Web!$C$1:$C$500&lt;&gt;"",MATCH(ROW(Create_TC_Web!$C$1:$C$500),ROW(Create_TC_Web!$C$1:$C$500)),""),ROW(Create_TC_Web!D523))),"")</f>
        <v/>
      </c>
      <c r="D525" t="str" cm="1">
        <f t="array" ref="D525">IFERROR(INDEX(Create_TC_Web!G$1:G$500,SMALL(IF(Create_TC_Web!$C$1:$C$500&lt;&gt;"",MATCH(ROW(Create_TC_Web!$C$1:$C$500),ROW(Create_TC_Web!$C$1:$C$500)),""),ROW(Create_TC_Web!E523))),"")</f>
        <v/>
      </c>
      <c r="E525" t="str" cm="1">
        <f t="array" ref="E525">IFERROR(INDEX(Create_TC_Web!H$1:H$500,SMALL(IF(Create_TC_Web!$C$1:$C$500&lt;&gt;"",MATCH(ROW(Create_TC_Web!$C$1:$C$500),ROW(Create_TC_Web!$C$1:$C$500)),""),ROW(Create_TC_Web!F523))),"")</f>
        <v/>
      </c>
      <c r="F525" t="str" cm="1">
        <f t="array" ref="F525">IFERROR(INDEX(Create_TC_Web!I$1:I$500,SMALL(IF(Create_TC_Web!$C$1:$C$500&lt;&gt;"",MATCH(ROW(Create_TC_Web!$C$1:$C$500),ROW(Create_TC_Web!$C$1:$C$500)),""),ROW(Create_TC_Web!G523))),"")</f>
        <v/>
      </c>
      <c r="G525" t="str" cm="1">
        <f t="array" ref="G525">IFERROR(INDEX(Create_TC_Web!J$1:J$500,SMALL(IF(Create_TC_Web!$C$1:$C$500&lt;&gt;"",MATCH(ROW(Create_TC_Web!$C$1:$C$500),ROW(Create_TC_Web!$C$1:$C$500)),""),ROW(Create_TC_Web!H523))),"")</f>
        <v/>
      </c>
      <c r="H525" t="str" cm="1">
        <f t="array" ref="H525">IFERROR(INDEX(Create_TC_Web!K$1:K$500,SMALL(IF(Create_TC_Web!$C$1:$C$500&lt;&gt;"",MATCH(ROW(Create_TC_Web!$C$1:$C$500),ROW(Create_TC_Web!$C$1:$C$500)),""),ROW(Create_TC_Web!I523))),"")</f>
        <v/>
      </c>
      <c r="I525" t="str" cm="1">
        <f t="array" ref="I525">IFERROR(INDEX(Create_TC_Web!L$1:L$500,SMALL(IF(Create_TC_Web!$C$1:$C$500&lt;&gt;"",MATCH(ROW(Create_TC_Web!$C$1:$C$500),ROW(Create_TC_Web!$C$1:$C$500)),""),ROW(Create_TC_Web!J523))),"")</f>
        <v/>
      </c>
      <c r="J525" t="str" cm="1">
        <f t="array" ref="J525">IFERROR(INDEX(Create_TC_Web!M$1:M$500,SMALL(IF(Create_TC_Web!$C$1:$C$500&lt;&gt;"",MATCH(ROW(Create_TC_Web!$C$1:$C$500),ROW(Create_TC_Web!$C$1:$C$500)),""),ROW(Create_TC_Web!K523))),"")</f>
        <v/>
      </c>
      <c r="K525" t="str" cm="1">
        <f t="array" ref="K525">IFERROR(INDEX(Create_TC_Web!N$1:N$500,SMALL(IF(Create_TC_Web!$C$1:$C$500&lt;&gt;"",MATCH(ROW(Create_TC_Web!$C$1:$C$500),ROW(Create_TC_Web!$C$1:$C$500)),""),ROW(Create_TC_Web!L523))),"")</f>
        <v/>
      </c>
      <c r="L525" t="str" cm="1">
        <f t="array" ref="L525">IFERROR(INDEX(Create_TC_Web!O$1:O$500,SMALL(IF(Create_TC_Web!$C$1:$C$500&lt;&gt;"",MATCH(ROW(Create_TC_Web!$C$1:$C$500),ROW(Create_TC_Web!$C$1:$C$500)),""),ROW(Create_TC_Web!M523))),"")</f>
        <v/>
      </c>
      <c r="M525" t="str" cm="1">
        <f t="array" ref="M525">IFERROR(INDEX(Create_TC_Web!P$1:P$500,SMALL(IF(Create_TC_Web!$C$1:$C$500&lt;&gt;"",MATCH(ROW(Create_TC_Web!$C$1:$C$500),ROW(Create_TC_Web!$C$1:$C$500)),""),ROW(Create_TC_Web!N523))),"")</f>
        <v/>
      </c>
      <c r="N525" t="str" cm="1">
        <f t="array" ref="N525">IFERROR(INDEX(Create_TC_Web!Q$1:Q$500,SMALL(IF(Create_TC_Web!$C$1:$C$500&lt;&gt;"",MATCH(ROW(Create_TC_Web!$C$1:$C$500),ROW(Create_TC_Web!$C$1:$C$500)),""),ROW(Create_TC_Web!O523))),"")</f>
        <v/>
      </c>
      <c r="O525" t="str">
        <f t="shared" si="25"/>
        <v/>
      </c>
      <c r="P525" s="17" t="str" cm="1">
        <f t="array" ref="P525">IFERROR(INDEX(Create_TC_Web!S$1:S$500,SMALL(IF(Create_TC_Web!$C$1:$C$500&lt;&gt;"",MATCH(ROW(Create_TC_Web!$C$1:$C$500),ROW(Create_TC_Web!$C$1:$C$500)),""),ROW(Create_TC_Web!Q503))),"")</f>
        <v/>
      </c>
      <c r="S525" t="str">
        <f t="shared" si="24"/>
        <v/>
      </c>
    </row>
    <row r="526" spans="1:19">
      <c r="A526" t="str" cm="1">
        <f t="array" ref="A526">IFERROR(INDEX(Create_TC_Web!D$1:D$500,SMALL(IF(Create_TC_Web!$C$1:$C$500&lt;&gt;"",MATCH(ROW(Create_TC_Web!$C$1:$C$500),ROW(Create_TC_Web!$C$1:$C$500)),""),ROW(Create_TC_Web!B524))),"")</f>
        <v/>
      </c>
      <c r="B526" t="str" cm="1">
        <f t="array" ref="B526">SUBSTITUTE(SUBSTITUTE(SUBSTITUTE(IFERROR(INDEX(Create_TC_Web!E$1:E$505,SMALL(IF(Create_TC_Web!$C$1:$C$505&lt;&gt;"",MATCH(ROW(Create_TC_Web!$C$1:$C$505),ROW(Create_TC_Web!$C$1:$C$505)),""),ROW(Create_TC_Web!C524))),"")," ",""),"-",""),"_","")</f>
        <v/>
      </c>
      <c r="C526" t="str" cm="1">
        <f t="array" ref="C526">IFERROR(INDEX(Create_TC_Web!F$1:F$500,SMALL(IF(Create_TC_Web!$C$1:$C$500&lt;&gt;"",MATCH(ROW(Create_TC_Web!$C$1:$C$500),ROW(Create_TC_Web!$C$1:$C$500)),""),ROW(Create_TC_Web!D524))),"")</f>
        <v/>
      </c>
      <c r="D526" t="str" cm="1">
        <f t="array" ref="D526">IFERROR(INDEX(Create_TC_Web!G$1:G$500,SMALL(IF(Create_TC_Web!$C$1:$C$500&lt;&gt;"",MATCH(ROW(Create_TC_Web!$C$1:$C$500),ROW(Create_TC_Web!$C$1:$C$500)),""),ROW(Create_TC_Web!E524))),"")</f>
        <v/>
      </c>
      <c r="E526" t="str" cm="1">
        <f t="array" ref="E526">IFERROR(INDEX(Create_TC_Web!H$1:H$500,SMALL(IF(Create_TC_Web!$C$1:$C$500&lt;&gt;"",MATCH(ROW(Create_TC_Web!$C$1:$C$500),ROW(Create_TC_Web!$C$1:$C$500)),""),ROW(Create_TC_Web!F524))),"")</f>
        <v/>
      </c>
      <c r="F526" t="str" cm="1">
        <f t="array" ref="F526">IFERROR(INDEX(Create_TC_Web!I$1:I$500,SMALL(IF(Create_TC_Web!$C$1:$C$500&lt;&gt;"",MATCH(ROW(Create_TC_Web!$C$1:$C$500),ROW(Create_TC_Web!$C$1:$C$500)),""),ROW(Create_TC_Web!G524))),"")</f>
        <v/>
      </c>
      <c r="G526" t="str" cm="1">
        <f t="array" ref="G526">IFERROR(INDEX(Create_TC_Web!J$1:J$500,SMALL(IF(Create_TC_Web!$C$1:$C$500&lt;&gt;"",MATCH(ROW(Create_TC_Web!$C$1:$C$500),ROW(Create_TC_Web!$C$1:$C$500)),""),ROW(Create_TC_Web!H524))),"")</f>
        <v/>
      </c>
      <c r="H526" t="str" cm="1">
        <f t="array" ref="H526">IFERROR(INDEX(Create_TC_Web!K$1:K$500,SMALL(IF(Create_TC_Web!$C$1:$C$500&lt;&gt;"",MATCH(ROW(Create_TC_Web!$C$1:$C$500),ROW(Create_TC_Web!$C$1:$C$500)),""),ROW(Create_TC_Web!I524))),"")</f>
        <v/>
      </c>
      <c r="I526" t="str" cm="1">
        <f t="array" ref="I526">IFERROR(INDEX(Create_TC_Web!L$1:L$500,SMALL(IF(Create_TC_Web!$C$1:$C$500&lt;&gt;"",MATCH(ROW(Create_TC_Web!$C$1:$C$500),ROW(Create_TC_Web!$C$1:$C$500)),""),ROW(Create_TC_Web!J524))),"")</f>
        <v/>
      </c>
      <c r="J526" t="str" cm="1">
        <f t="array" ref="J526">IFERROR(INDEX(Create_TC_Web!M$1:M$500,SMALL(IF(Create_TC_Web!$C$1:$C$500&lt;&gt;"",MATCH(ROW(Create_TC_Web!$C$1:$C$500),ROW(Create_TC_Web!$C$1:$C$500)),""),ROW(Create_TC_Web!K524))),"")</f>
        <v/>
      </c>
      <c r="K526" t="str" cm="1">
        <f t="array" ref="K526">IFERROR(INDEX(Create_TC_Web!N$1:N$500,SMALL(IF(Create_TC_Web!$C$1:$C$500&lt;&gt;"",MATCH(ROW(Create_TC_Web!$C$1:$C$500),ROW(Create_TC_Web!$C$1:$C$500)),""),ROW(Create_TC_Web!L524))),"")</f>
        <v/>
      </c>
      <c r="L526" t="str" cm="1">
        <f t="array" ref="L526">IFERROR(INDEX(Create_TC_Web!O$1:O$500,SMALL(IF(Create_TC_Web!$C$1:$C$500&lt;&gt;"",MATCH(ROW(Create_TC_Web!$C$1:$C$500),ROW(Create_TC_Web!$C$1:$C$500)),""),ROW(Create_TC_Web!M524))),"")</f>
        <v/>
      </c>
      <c r="M526" t="str" cm="1">
        <f t="array" ref="M526">IFERROR(INDEX(Create_TC_Web!P$1:P$500,SMALL(IF(Create_TC_Web!$C$1:$C$500&lt;&gt;"",MATCH(ROW(Create_TC_Web!$C$1:$C$500),ROW(Create_TC_Web!$C$1:$C$500)),""),ROW(Create_TC_Web!N524))),"")</f>
        <v/>
      </c>
      <c r="N526" t="str" cm="1">
        <f t="array" ref="N526">IFERROR(INDEX(Create_TC_Web!Q$1:Q$500,SMALL(IF(Create_TC_Web!$C$1:$C$500&lt;&gt;"",MATCH(ROW(Create_TC_Web!$C$1:$C$500),ROW(Create_TC_Web!$C$1:$C$500)),""),ROW(Create_TC_Web!O524))),"")</f>
        <v/>
      </c>
      <c r="O526" t="str">
        <f t="shared" si="25"/>
        <v/>
      </c>
      <c r="P526" s="17" t="str" cm="1">
        <f t="array" ref="P526">IFERROR(INDEX(Create_TC_Web!S$1:S$500,SMALL(IF(Create_TC_Web!$C$1:$C$500&lt;&gt;"",MATCH(ROW(Create_TC_Web!$C$1:$C$500),ROW(Create_TC_Web!$C$1:$C$500)),""),ROW(Create_TC_Web!Q504))),"")</f>
        <v/>
      </c>
      <c r="S526" t="str">
        <f t="shared" si="24"/>
        <v/>
      </c>
    </row>
    <row r="527" spans="1:19">
      <c r="A527" t="str" cm="1">
        <f t="array" ref="A527">IFERROR(INDEX(Create_TC_Web!D$1:D$500,SMALL(IF(Create_TC_Web!$C$1:$C$500&lt;&gt;"",MATCH(ROW(Create_TC_Web!$C$1:$C$500),ROW(Create_TC_Web!$C$1:$C$500)),""),ROW(Create_TC_Web!B525))),"")</f>
        <v/>
      </c>
      <c r="B527" t="str" cm="1">
        <f t="array" ref="B527">SUBSTITUTE(SUBSTITUTE(SUBSTITUTE(IFERROR(INDEX(Create_TC_Web!E$1:E$505,SMALL(IF(Create_TC_Web!$C$1:$C$505&lt;&gt;"",MATCH(ROW(Create_TC_Web!$C$1:$C$505),ROW(Create_TC_Web!$C$1:$C$505)),""),ROW(Create_TC_Web!C525))),"")," ",""),"-",""),"_","")</f>
        <v/>
      </c>
      <c r="C527" t="str" cm="1">
        <f t="array" ref="C527">IFERROR(INDEX(Create_TC_Web!F$1:F$500,SMALL(IF(Create_TC_Web!$C$1:$C$500&lt;&gt;"",MATCH(ROW(Create_TC_Web!$C$1:$C$500),ROW(Create_TC_Web!$C$1:$C$500)),""),ROW(Create_TC_Web!D525))),"")</f>
        <v/>
      </c>
      <c r="D527" t="str" cm="1">
        <f t="array" ref="D527">IFERROR(INDEX(Create_TC_Web!G$1:G$500,SMALL(IF(Create_TC_Web!$C$1:$C$500&lt;&gt;"",MATCH(ROW(Create_TC_Web!$C$1:$C$500),ROW(Create_TC_Web!$C$1:$C$500)),""),ROW(Create_TC_Web!E525))),"")</f>
        <v/>
      </c>
      <c r="E527" t="str" cm="1">
        <f t="array" ref="E527">IFERROR(INDEX(Create_TC_Web!H$1:H$500,SMALL(IF(Create_TC_Web!$C$1:$C$500&lt;&gt;"",MATCH(ROW(Create_TC_Web!$C$1:$C$500),ROW(Create_TC_Web!$C$1:$C$500)),""),ROW(Create_TC_Web!F525))),"")</f>
        <v/>
      </c>
      <c r="F527" t="str" cm="1">
        <f t="array" ref="F527">IFERROR(INDEX(Create_TC_Web!I$1:I$500,SMALL(IF(Create_TC_Web!$C$1:$C$500&lt;&gt;"",MATCH(ROW(Create_TC_Web!$C$1:$C$500),ROW(Create_TC_Web!$C$1:$C$500)),""),ROW(Create_TC_Web!G525))),"")</f>
        <v/>
      </c>
      <c r="G527" t="str" cm="1">
        <f t="array" ref="G527">IFERROR(INDEX(Create_TC_Web!J$1:J$500,SMALL(IF(Create_TC_Web!$C$1:$C$500&lt;&gt;"",MATCH(ROW(Create_TC_Web!$C$1:$C$500),ROW(Create_TC_Web!$C$1:$C$500)),""),ROW(Create_TC_Web!H525))),"")</f>
        <v/>
      </c>
      <c r="H527" t="str" cm="1">
        <f t="array" ref="H527">IFERROR(INDEX(Create_TC_Web!K$1:K$500,SMALL(IF(Create_TC_Web!$C$1:$C$500&lt;&gt;"",MATCH(ROW(Create_TC_Web!$C$1:$C$500),ROW(Create_TC_Web!$C$1:$C$500)),""),ROW(Create_TC_Web!I525))),"")</f>
        <v/>
      </c>
      <c r="I527" t="str" cm="1">
        <f t="array" ref="I527">IFERROR(INDEX(Create_TC_Web!L$1:L$500,SMALL(IF(Create_TC_Web!$C$1:$C$500&lt;&gt;"",MATCH(ROW(Create_TC_Web!$C$1:$C$500),ROW(Create_TC_Web!$C$1:$C$500)),""),ROW(Create_TC_Web!J525))),"")</f>
        <v/>
      </c>
      <c r="J527" t="str" cm="1">
        <f t="array" ref="J527">IFERROR(INDEX(Create_TC_Web!M$1:M$500,SMALL(IF(Create_TC_Web!$C$1:$C$500&lt;&gt;"",MATCH(ROW(Create_TC_Web!$C$1:$C$500),ROW(Create_TC_Web!$C$1:$C$500)),""),ROW(Create_TC_Web!K525))),"")</f>
        <v/>
      </c>
      <c r="K527" t="str" cm="1">
        <f t="array" ref="K527">IFERROR(INDEX(Create_TC_Web!N$1:N$500,SMALL(IF(Create_TC_Web!$C$1:$C$500&lt;&gt;"",MATCH(ROW(Create_TC_Web!$C$1:$C$500),ROW(Create_TC_Web!$C$1:$C$500)),""),ROW(Create_TC_Web!L525))),"")</f>
        <v/>
      </c>
      <c r="L527" t="str" cm="1">
        <f t="array" ref="L527">IFERROR(INDEX(Create_TC_Web!O$1:O$500,SMALL(IF(Create_TC_Web!$C$1:$C$500&lt;&gt;"",MATCH(ROW(Create_TC_Web!$C$1:$C$500),ROW(Create_TC_Web!$C$1:$C$500)),""),ROW(Create_TC_Web!M525))),"")</f>
        <v/>
      </c>
      <c r="M527" t="str" cm="1">
        <f t="array" ref="M527">IFERROR(INDEX(Create_TC_Web!P$1:P$500,SMALL(IF(Create_TC_Web!$C$1:$C$500&lt;&gt;"",MATCH(ROW(Create_TC_Web!$C$1:$C$500),ROW(Create_TC_Web!$C$1:$C$500)),""),ROW(Create_TC_Web!N525))),"")</f>
        <v/>
      </c>
      <c r="N527" t="str" cm="1">
        <f t="array" ref="N527">IFERROR(INDEX(Create_TC_Web!Q$1:Q$500,SMALL(IF(Create_TC_Web!$C$1:$C$500&lt;&gt;"",MATCH(ROW(Create_TC_Web!$C$1:$C$500),ROW(Create_TC_Web!$C$1:$C$500)),""),ROW(Create_TC_Web!O525))),"")</f>
        <v/>
      </c>
      <c r="O527" t="str">
        <f t="shared" si="25"/>
        <v/>
      </c>
      <c r="P527" s="17" t="str" cm="1">
        <f t="array" ref="P527">IFERROR(INDEX(Create_TC_Web!S$1:S$500,SMALL(IF(Create_TC_Web!$C$1:$C$500&lt;&gt;"",MATCH(ROW(Create_TC_Web!$C$1:$C$500),ROW(Create_TC_Web!$C$1:$C$500)),""),ROW(Create_TC_Web!Q505))),"")</f>
        <v/>
      </c>
      <c r="S527" t="str">
        <f t="shared" si="24"/>
        <v/>
      </c>
    </row>
    <row r="528" spans="1:19">
      <c r="A528" t="str" cm="1">
        <f t="array" ref="A528">IFERROR(INDEX(Create_TC_Web!D$1:D$500,SMALL(IF(Create_TC_Web!$C$1:$C$500&lt;&gt;"",MATCH(ROW(Create_TC_Web!$C$1:$C$500),ROW(Create_TC_Web!$C$1:$C$500)),""),ROW(Create_TC_Web!B526))),"")</f>
        <v/>
      </c>
      <c r="B528" t="str" cm="1">
        <f t="array" ref="B528">SUBSTITUTE(SUBSTITUTE(SUBSTITUTE(IFERROR(INDEX(Create_TC_Web!E$1:E$505,SMALL(IF(Create_TC_Web!$C$1:$C$505&lt;&gt;"",MATCH(ROW(Create_TC_Web!$C$1:$C$505),ROW(Create_TC_Web!$C$1:$C$505)),""),ROW(Create_TC_Web!C526))),"")," ",""),"-",""),"_","")</f>
        <v/>
      </c>
      <c r="C528" t="str" cm="1">
        <f t="array" ref="C528">IFERROR(INDEX(Create_TC_Web!F$1:F$500,SMALL(IF(Create_TC_Web!$C$1:$C$500&lt;&gt;"",MATCH(ROW(Create_TC_Web!$C$1:$C$500),ROW(Create_TC_Web!$C$1:$C$500)),""),ROW(Create_TC_Web!D526))),"")</f>
        <v/>
      </c>
      <c r="D528" t="str" cm="1">
        <f t="array" ref="D528">IFERROR(INDEX(Create_TC_Web!G$1:G$500,SMALL(IF(Create_TC_Web!$C$1:$C$500&lt;&gt;"",MATCH(ROW(Create_TC_Web!$C$1:$C$500),ROW(Create_TC_Web!$C$1:$C$500)),""),ROW(Create_TC_Web!E526))),"")</f>
        <v/>
      </c>
      <c r="E528" t="str" cm="1">
        <f t="array" ref="E528">IFERROR(INDEX(Create_TC_Web!H$1:H$500,SMALL(IF(Create_TC_Web!$C$1:$C$500&lt;&gt;"",MATCH(ROW(Create_TC_Web!$C$1:$C$500),ROW(Create_TC_Web!$C$1:$C$500)),""),ROW(Create_TC_Web!F526))),"")</f>
        <v/>
      </c>
      <c r="F528" t="str" cm="1">
        <f t="array" ref="F528">IFERROR(INDEX(Create_TC_Web!I$1:I$500,SMALL(IF(Create_TC_Web!$C$1:$C$500&lt;&gt;"",MATCH(ROW(Create_TC_Web!$C$1:$C$500),ROW(Create_TC_Web!$C$1:$C$500)),""),ROW(Create_TC_Web!G526))),"")</f>
        <v/>
      </c>
      <c r="G528" t="str" cm="1">
        <f t="array" ref="G528">IFERROR(INDEX(Create_TC_Web!J$1:J$500,SMALL(IF(Create_TC_Web!$C$1:$C$500&lt;&gt;"",MATCH(ROW(Create_TC_Web!$C$1:$C$500),ROW(Create_TC_Web!$C$1:$C$500)),""),ROW(Create_TC_Web!H526))),"")</f>
        <v/>
      </c>
      <c r="H528" t="str" cm="1">
        <f t="array" ref="H528">IFERROR(INDEX(Create_TC_Web!K$1:K$500,SMALL(IF(Create_TC_Web!$C$1:$C$500&lt;&gt;"",MATCH(ROW(Create_TC_Web!$C$1:$C$500),ROW(Create_TC_Web!$C$1:$C$500)),""),ROW(Create_TC_Web!I526))),"")</f>
        <v/>
      </c>
      <c r="I528" t="str" cm="1">
        <f t="array" ref="I528">IFERROR(INDEX(Create_TC_Web!L$1:L$500,SMALL(IF(Create_TC_Web!$C$1:$C$500&lt;&gt;"",MATCH(ROW(Create_TC_Web!$C$1:$C$500),ROW(Create_TC_Web!$C$1:$C$500)),""),ROW(Create_TC_Web!J526))),"")</f>
        <v/>
      </c>
      <c r="J528" t="str" cm="1">
        <f t="array" ref="J528">IFERROR(INDEX(Create_TC_Web!M$1:M$500,SMALL(IF(Create_TC_Web!$C$1:$C$500&lt;&gt;"",MATCH(ROW(Create_TC_Web!$C$1:$C$500),ROW(Create_TC_Web!$C$1:$C$500)),""),ROW(Create_TC_Web!K526))),"")</f>
        <v/>
      </c>
      <c r="K528" t="str" cm="1">
        <f t="array" ref="K528">IFERROR(INDEX(Create_TC_Web!N$1:N$500,SMALL(IF(Create_TC_Web!$C$1:$C$500&lt;&gt;"",MATCH(ROW(Create_TC_Web!$C$1:$C$500),ROW(Create_TC_Web!$C$1:$C$500)),""),ROW(Create_TC_Web!L526))),"")</f>
        <v/>
      </c>
      <c r="L528" t="str" cm="1">
        <f t="array" ref="L528">IFERROR(INDEX(Create_TC_Web!O$1:O$500,SMALL(IF(Create_TC_Web!$C$1:$C$500&lt;&gt;"",MATCH(ROW(Create_TC_Web!$C$1:$C$500),ROW(Create_TC_Web!$C$1:$C$500)),""),ROW(Create_TC_Web!M526))),"")</f>
        <v/>
      </c>
      <c r="M528" t="str" cm="1">
        <f t="array" ref="M528">IFERROR(INDEX(Create_TC_Web!P$1:P$500,SMALL(IF(Create_TC_Web!$C$1:$C$500&lt;&gt;"",MATCH(ROW(Create_TC_Web!$C$1:$C$500),ROW(Create_TC_Web!$C$1:$C$500)),""),ROW(Create_TC_Web!N526))),"")</f>
        <v/>
      </c>
      <c r="N528" t="str" cm="1">
        <f t="array" ref="N528">IFERROR(INDEX(Create_TC_Web!Q$1:Q$500,SMALL(IF(Create_TC_Web!$C$1:$C$500&lt;&gt;"",MATCH(ROW(Create_TC_Web!$C$1:$C$500),ROW(Create_TC_Web!$C$1:$C$500)),""),ROW(Create_TC_Web!O526))),"")</f>
        <v/>
      </c>
      <c r="O528" t="str">
        <f t="shared" si="25"/>
        <v/>
      </c>
      <c r="P528" s="17" t="str" cm="1">
        <f t="array" ref="P528">IFERROR(INDEX(Create_TC_Web!S$1:S$500,SMALL(IF(Create_TC_Web!$C$1:$C$500&lt;&gt;"",MATCH(ROW(Create_TC_Web!$C$1:$C$500),ROW(Create_TC_Web!$C$1:$C$500)),""),ROW(Create_TC_Web!Q506))),"")</f>
        <v/>
      </c>
      <c r="S528" t="str">
        <f t="shared" si="24"/>
        <v/>
      </c>
    </row>
    <row r="529" spans="1:19">
      <c r="A529" t="str" cm="1">
        <f t="array" ref="A529">IFERROR(INDEX(Create_TC_Web!D$1:D$510,SMALL(IF(Create_TC_Web!$C$1:$C$510&lt;&gt;"",MATCH(ROW(Create_TC_Web!$C$1:$C$510),ROW(Create_TC_Web!$C$1:$C$510)),""),ROW(Create_TC_Web!B539))),"")</f>
        <v/>
      </c>
      <c r="B529" t="str" cm="1">
        <f t="array" ref="B529">SUBSTITUTE(SUBSTITUTE(SUBSTITUTE(IFERROR(INDEX(Create_TC_Web!E$1:E$505,SMALL(IF(Create_TC_Web!$C$1:$C$505&lt;&gt;"",MATCH(ROW(Create_TC_Web!$C$1:$C$505),ROW(Create_TC_Web!$C$1:$C$505)),""),ROW(Create_TC_Web!C527))),"")," ",""),"-",""),"_","")</f>
        <v/>
      </c>
      <c r="C529" t="str" cm="1">
        <f t="array" ref="C529">IFERROR(INDEX(Create_TC_Web!F$1:F$510,SMALL(IF(Create_TC_Web!$C$1:$C$510&lt;&gt;"",MATCH(ROW(Create_TC_Web!$C$1:$C$510),ROW(Create_TC_Web!$C$1:$C$510)),""),ROW(Create_TC_Web!D539))),"")</f>
        <v/>
      </c>
      <c r="O529" t="str">
        <f t="shared" si="25"/>
        <v/>
      </c>
      <c r="P529" s="17" t="str" cm="1">
        <f t="array" ref="P529">IFERROR(INDEX(Create_TC_Web!S$1:S$500,SMALL(IF(Create_TC_Web!$C$1:$C$500&lt;&gt;"",MATCH(ROW(Create_TC_Web!$C$1:$C$500),ROW(Create_TC_Web!$C$1:$C$500)),""),ROW(Create_TC_Web!Q507))),"")</f>
        <v/>
      </c>
      <c r="S529" t="str">
        <f t="shared" si="24"/>
        <v/>
      </c>
    </row>
    <row r="530" spans="1:19">
      <c r="A530" t="str" cm="1">
        <f t="array" ref="A530">IFERROR(INDEX(Create_TC_Web!D$1:D$510,SMALL(IF(Create_TC_Web!$C$1:$C$510&lt;&gt;"",MATCH(ROW(Create_TC_Web!$C$1:$C$510),ROW(Create_TC_Web!$C$1:$C$510)),""),ROW(Create_TC_Web!B540))),"")</f>
        <v/>
      </c>
      <c r="B530" t="str" cm="1">
        <f t="array" ref="B530">SUBSTITUTE(SUBSTITUTE(SUBSTITUTE(IFERROR(INDEX(Create_TC_Web!E$1:E$505,SMALL(IF(Create_TC_Web!$C$1:$C$505&lt;&gt;"",MATCH(ROW(Create_TC_Web!$C$1:$C$505),ROW(Create_TC_Web!$C$1:$C$505)),""),ROW(Create_TC_Web!C528))),"")," ",""),"-",""),"_","")</f>
        <v/>
      </c>
      <c r="C530" t="str" cm="1">
        <f t="array" ref="C530">IFERROR(INDEX(Create_TC_Web!F$1:F$510,SMALL(IF(Create_TC_Web!$C$1:$C$510&lt;&gt;"",MATCH(ROW(Create_TC_Web!$C$1:$C$510),ROW(Create_TC_Web!$C$1:$C$510)),""),ROW(Create_TC_Web!D540))),"")</f>
        <v/>
      </c>
      <c r="P530" s="17" t="str" cm="1">
        <f t="array" ref="P530">IFERROR(INDEX(Create_TC_Web!S$1:S$500,SMALL(IF(Create_TC_Web!$C$1:$C$500&lt;&gt;"",MATCH(ROW(Create_TC_Web!$C$1:$C$500),ROW(Create_TC_Web!$C$1:$C$500)),""),ROW(Create_TC_Web!Q508))),"")</f>
        <v/>
      </c>
      <c r="S530" t="str">
        <f t="shared" si="24"/>
        <v/>
      </c>
    </row>
    <row r="531" spans="1:19">
      <c r="A531" t="str" cm="1">
        <f t="array" ref="A531">IFERROR(INDEX(Create_TC_Web!D$1:D$510,SMALL(IF(Create_TC_Web!$C$1:$C$510&lt;&gt;"",MATCH(ROW(Create_TC_Web!$C$1:$C$510),ROW(Create_TC_Web!$C$1:$C$510)),""),ROW(Create_TC_Web!B541))),"")</f>
        <v/>
      </c>
      <c r="B531" t="str" cm="1">
        <f t="array" ref="B531">SUBSTITUTE(SUBSTITUTE(SUBSTITUTE(IFERROR(INDEX(Create_TC_Web!E$1:E$505,SMALL(IF(Create_TC_Web!$C$1:$C$505&lt;&gt;"",MATCH(ROW(Create_TC_Web!$C$1:$C$505),ROW(Create_TC_Web!$C$1:$C$505)),""),ROW(Create_TC_Web!C529))),"")," ",""),"-",""),"_","")</f>
        <v/>
      </c>
      <c r="C531" t="str" cm="1">
        <f t="array" ref="C531">IFERROR(INDEX(Create_TC_Web!F$1:F$510,SMALL(IF(Create_TC_Web!$C$1:$C$510&lt;&gt;"",MATCH(ROW(Create_TC_Web!$C$1:$C$510),ROW(Create_TC_Web!$C$1:$C$510)),""),ROW(Create_TC_Web!D541))),"")</f>
        <v/>
      </c>
      <c r="P531" s="17" t="str" cm="1">
        <f t="array" ref="P531">IFERROR(INDEX(Create_TC_Web!S$1:S$500,SMALL(IF(Create_TC_Web!$C$1:$C$500&lt;&gt;"",MATCH(ROW(Create_TC_Web!$C$1:$C$500),ROW(Create_TC_Web!$C$1:$C$500)),""),ROW(Create_TC_Web!#REF!))),"")</f>
        <v/>
      </c>
      <c r="S531" t="str">
        <f t="shared" si="24"/>
        <v/>
      </c>
    </row>
    <row r="532" spans="1:19">
      <c r="A532" t="str" cm="1">
        <f t="array" ref="A532">IFERROR(INDEX(Create_TC_Web!D$1:D$510,SMALL(IF(Create_TC_Web!$C$1:$C$510&lt;&gt;"",MATCH(ROW(Create_TC_Web!$C$1:$C$510),ROW(Create_TC_Web!$C$1:$C$510)),""),ROW(Create_TC_Web!B542))),"")</f>
        <v/>
      </c>
      <c r="B532" t="str" cm="1">
        <f t="array" ref="B532">SUBSTITUTE(SUBSTITUTE(SUBSTITUTE(IFERROR(INDEX(Create_TC_Web!E$1:E$505,SMALL(IF(Create_TC_Web!$C$1:$C$505&lt;&gt;"",MATCH(ROW(Create_TC_Web!$C$1:$C$505),ROW(Create_TC_Web!$C$1:$C$505)),""),ROW(Create_TC_Web!C530))),"")," ",""),"-",""),"_","")</f>
        <v/>
      </c>
      <c r="C532" t="str" cm="1">
        <f t="array" ref="C532">IFERROR(INDEX(Create_TC_Web!F$1:F$510,SMALL(IF(Create_TC_Web!$C$1:$C$510&lt;&gt;"",MATCH(ROW(Create_TC_Web!$C$1:$C$510),ROW(Create_TC_Web!$C$1:$C$510)),""),ROW(Create_TC_Web!D542))),"")</f>
        <v/>
      </c>
      <c r="P532" s="17" t="str" cm="1">
        <f t="array" ref="P532">IFERROR(INDEX(Create_TC_Web!S$1:S$500,SMALL(IF(Create_TC_Web!$C$1:$C$500&lt;&gt;"",MATCH(ROW(Create_TC_Web!$C$1:$C$500),ROW(Create_TC_Web!$C$1:$C$500)),""),ROW(Create_TC_Web!#REF!))),"")</f>
        <v/>
      </c>
      <c r="S532" t="str">
        <f t="shared" si="24"/>
        <v/>
      </c>
    </row>
    <row r="533" spans="1:19">
      <c r="A533" t="str" cm="1">
        <f t="array" ref="A533">IFERROR(INDEX(Create_TC_Web!D$1:D$510,SMALL(IF(Create_TC_Web!$C$1:$C$510&lt;&gt;"",MATCH(ROW(Create_TC_Web!$C$1:$C$510),ROW(Create_TC_Web!$C$1:$C$510)),""),ROW(Create_TC_Web!B543))),"")</f>
        <v/>
      </c>
      <c r="B533" t="str" cm="1">
        <f t="array" ref="B533">SUBSTITUTE(SUBSTITUTE(SUBSTITUTE(IFERROR(INDEX(Create_TC_Web!E$1:E$505,SMALL(IF(Create_TC_Web!$C$1:$C$505&lt;&gt;"",MATCH(ROW(Create_TC_Web!$C$1:$C$505),ROW(Create_TC_Web!$C$1:$C$505)),""),ROW(Create_TC_Web!C531))),"")," ",""),"-",""),"_","")</f>
        <v/>
      </c>
      <c r="C533" t="str" cm="1">
        <f t="array" ref="C533">IFERROR(INDEX(Create_TC_Web!F$1:F$510,SMALL(IF(Create_TC_Web!$C$1:$C$510&lt;&gt;"",MATCH(ROW(Create_TC_Web!$C$1:$C$510),ROW(Create_TC_Web!$C$1:$C$510)),""),ROW(Create_TC_Web!D543))),"")</f>
        <v/>
      </c>
      <c r="P533" s="17" t="str" cm="1">
        <f t="array" ref="P533">IFERROR(INDEX(Create_TC_Web!S$1:S$500,SMALL(IF(Create_TC_Web!$C$1:$C$500&lt;&gt;"",MATCH(ROW(Create_TC_Web!$C$1:$C$500),ROW(Create_TC_Web!$C$1:$C$500)),""),ROW(Create_TC_Web!Q509))),"")</f>
        <v/>
      </c>
      <c r="S533" t="str">
        <f t="shared" si="24"/>
        <v/>
      </c>
    </row>
    <row r="534" spans="1:19">
      <c r="A534" t="str" cm="1">
        <f t="array" ref="A534">IFERROR(INDEX(Create_TC_Web!D$1:D$510,SMALL(IF(Create_TC_Web!$C$1:$C$510&lt;&gt;"",MATCH(ROW(Create_TC_Web!$C$1:$C$510),ROW(Create_TC_Web!$C$1:$C$510)),""),ROW(Create_TC_Web!B544))),"")</f>
        <v/>
      </c>
      <c r="B534" t="str" cm="1">
        <f t="array" ref="B534">SUBSTITUTE(SUBSTITUTE(SUBSTITUTE(IFERROR(INDEX(Create_TC_Web!E$1:E$505,SMALL(IF(Create_TC_Web!$C$1:$C$505&lt;&gt;"",MATCH(ROW(Create_TC_Web!$C$1:$C$505),ROW(Create_TC_Web!$C$1:$C$505)),""),ROW(Create_TC_Web!C532))),"")," ",""),"-",""),"_","")</f>
        <v/>
      </c>
      <c r="C534" t="str" cm="1">
        <f t="array" ref="C534">IFERROR(INDEX(Create_TC_Web!F$1:F$510,SMALL(IF(Create_TC_Web!$C$1:$C$510&lt;&gt;"",MATCH(ROW(Create_TC_Web!$C$1:$C$510),ROW(Create_TC_Web!$C$1:$C$510)),""),ROW(Create_TC_Web!D544))),"")</f>
        <v/>
      </c>
      <c r="P534" s="17" t="str" cm="1">
        <f t="array" ref="P534">IFERROR(INDEX(Create_TC_Web!S$1:S$500,SMALL(IF(Create_TC_Web!$C$1:$C$500&lt;&gt;"",MATCH(ROW(Create_TC_Web!$C$1:$C$500),ROW(Create_TC_Web!$C$1:$C$500)),""),ROW(Create_TC_Web!Q510))),"")</f>
        <v/>
      </c>
      <c r="S534" t="str">
        <f t="shared" si="24"/>
        <v/>
      </c>
    </row>
    <row r="535" spans="1:19">
      <c r="A535" t="str" cm="1">
        <f t="array" ref="A535">IFERROR(INDEX(Create_TC_Web!D$1:D$510,SMALL(IF(Create_TC_Web!$C$1:$C$510&lt;&gt;"",MATCH(ROW(Create_TC_Web!$C$1:$C$510),ROW(Create_TC_Web!$C$1:$C$510)),""),ROW(Create_TC_Web!B545))),"")</f>
        <v/>
      </c>
      <c r="B535" t="str" cm="1">
        <f t="array" ref="B535">SUBSTITUTE(SUBSTITUTE(SUBSTITUTE(IFERROR(INDEX(Create_TC_Web!E$1:E$505,SMALL(IF(Create_TC_Web!$C$1:$C$505&lt;&gt;"",MATCH(ROW(Create_TC_Web!$C$1:$C$505),ROW(Create_TC_Web!$C$1:$C$505)),""),ROW(Create_TC_Web!C533))),"")," ",""),"-",""),"_","")</f>
        <v/>
      </c>
      <c r="C535" t="str" cm="1">
        <f t="array" ref="C535">IFERROR(INDEX(Create_TC_Web!F$1:F$510,SMALL(IF(Create_TC_Web!$C$1:$C$510&lt;&gt;"",MATCH(ROW(Create_TC_Web!$C$1:$C$510),ROW(Create_TC_Web!$C$1:$C$510)),""),ROW(Create_TC_Web!D545))),"")</f>
        <v/>
      </c>
      <c r="P535" s="17" t="str" cm="1">
        <f t="array" ref="P535">IFERROR(INDEX(Create_TC_Web!S$1:S$500,SMALL(IF(Create_TC_Web!$C$1:$C$500&lt;&gt;"",MATCH(ROW(Create_TC_Web!$C$1:$C$500),ROW(Create_TC_Web!$C$1:$C$500)),""),ROW(Create_TC_Web!Q511))),"")</f>
        <v/>
      </c>
      <c r="S535" t="str">
        <f t="shared" si="24"/>
        <v/>
      </c>
    </row>
    <row r="536" spans="1:19">
      <c r="A536" t="str" cm="1">
        <f t="array" ref="A536">IFERROR(INDEX(Create_TC_Web!D$1:D$510,SMALL(IF(Create_TC_Web!$C$1:$C$510&lt;&gt;"",MATCH(ROW(Create_TC_Web!$C$1:$C$510),ROW(Create_TC_Web!$C$1:$C$510)),""),ROW(Create_TC_Web!B546))),"")</f>
        <v/>
      </c>
      <c r="B536" t="str" cm="1">
        <f t="array" ref="B536">SUBSTITUTE(SUBSTITUTE(SUBSTITUTE(IFERROR(INDEX(Create_TC_Web!E$1:E$505,SMALL(IF(Create_TC_Web!$C$1:$C$505&lt;&gt;"",MATCH(ROW(Create_TC_Web!$C$1:$C$505),ROW(Create_TC_Web!$C$1:$C$505)),""),ROW(Create_TC_Web!C534))),"")," ",""),"-",""),"_","")</f>
        <v/>
      </c>
      <c r="C536" t="str" cm="1">
        <f t="array" ref="C536">IFERROR(INDEX(Create_TC_Web!F$1:F$510,SMALL(IF(Create_TC_Web!$C$1:$C$510&lt;&gt;"",MATCH(ROW(Create_TC_Web!$C$1:$C$510),ROW(Create_TC_Web!$C$1:$C$510)),""),ROW(Create_TC_Web!D546))),"")</f>
        <v/>
      </c>
      <c r="P536" s="17" t="str" cm="1">
        <f t="array" ref="P536">IFERROR(INDEX(Create_TC_Web!S$1:S$500,SMALL(IF(Create_TC_Web!$C$1:$C$500&lt;&gt;"",MATCH(ROW(Create_TC_Web!$C$1:$C$500),ROW(Create_TC_Web!$C$1:$C$500)),""),ROW(Create_TC_Web!Q512))),"")</f>
        <v/>
      </c>
      <c r="S536" t="str">
        <f t="shared" si="24"/>
        <v/>
      </c>
    </row>
    <row r="537" spans="1:19">
      <c r="A537" t="str" cm="1">
        <f t="array" ref="A537">IFERROR(INDEX(Create_TC_Web!D$1:D$510,SMALL(IF(Create_TC_Web!$C$1:$C$510&lt;&gt;"",MATCH(ROW(Create_TC_Web!$C$1:$C$510),ROW(Create_TC_Web!$C$1:$C$510)),""),ROW(Create_TC_Web!B547))),"")</f>
        <v/>
      </c>
      <c r="B537" t="str" cm="1">
        <f t="array" ref="B537">SUBSTITUTE(SUBSTITUTE(SUBSTITUTE(IFERROR(INDEX(Create_TC_Web!E$1:E$505,SMALL(IF(Create_TC_Web!$C$1:$C$505&lt;&gt;"",MATCH(ROW(Create_TC_Web!$C$1:$C$505),ROW(Create_TC_Web!$C$1:$C$505)),""),ROW(Create_TC_Web!C535))),"")," ",""),"-",""),"_","")</f>
        <v/>
      </c>
      <c r="C537" t="str" cm="1">
        <f t="array" ref="C537">IFERROR(INDEX(Create_TC_Web!F$1:F$510,SMALL(IF(Create_TC_Web!$C$1:$C$510&lt;&gt;"",MATCH(ROW(Create_TC_Web!$C$1:$C$510),ROW(Create_TC_Web!$C$1:$C$510)),""),ROW(Create_TC_Web!D547))),"")</f>
        <v/>
      </c>
      <c r="P537" s="17" t="str" cm="1">
        <f t="array" ref="P537">IFERROR(INDEX(Create_TC_Web!S$1:S$500,SMALL(IF(Create_TC_Web!$C$1:$C$500&lt;&gt;"",MATCH(ROW(Create_TC_Web!$C$1:$C$500),ROW(Create_TC_Web!$C$1:$C$500)),""),ROW(Create_TC_Web!Q513))),"")</f>
        <v/>
      </c>
      <c r="S537" t="str">
        <f t="shared" si="24"/>
        <v/>
      </c>
    </row>
    <row r="538" spans="1:19">
      <c r="A538" t="str" cm="1">
        <f t="array" ref="A538">IFERROR(INDEX(Create_TC_Web!D$1:D$510,SMALL(IF(Create_TC_Web!$C$1:$C$510&lt;&gt;"",MATCH(ROW(Create_TC_Web!$C$1:$C$510),ROW(Create_TC_Web!$C$1:$C$510)),""),ROW(Create_TC_Web!B548))),"")</f>
        <v/>
      </c>
      <c r="B538" t="str" cm="1">
        <f t="array" ref="B538">SUBSTITUTE(SUBSTITUTE(SUBSTITUTE(IFERROR(INDEX(Create_TC_Web!E$1:E$505,SMALL(IF(Create_TC_Web!$C$1:$C$505&lt;&gt;"",MATCH(ROW(Create_TC_Web!$C$1:$C$505),ROW(Create_TC_Web!$C$1:$C$505)),""),ROW(Create_TC_Web!C536))),"")," ",""),"-",""),"_","")</f>
        <v/>
      </c>
      <c r="C538" t="str" cm="1">
        <f t="array" ref="C538">IFERROR(INDEX(Create_TC_Web!F$1:F$510,SMALL(IF(Create_TC_Web!$C$1:$C$510&lt;&gt;"",MATCH(ROW(Create_TC_Web!$C$1:$C$510),ROW(Create_TC_Web!$C$1:$C$510)),""),ROW(Create_TC_Web!D548))),"")</f>
        <v/>
      </c>
      <c r="P538" s="17" t="str" cm="1">
        <f t="array" ref="P538">IFERROR(INDEX(Create_TC_Web!S$1:S$500,SMALL(IF(Create_TC_Web!$C$1:$C$500&lt;&gt;"",MATCH(ROW(Create_TC_Web!$C$1:$C$500),ROW(Create_TC_Web!$C$1:$C$500)),""),ROW(Create_TC_Web!Q514))),"")</f>
        <v/>
      </c>
      <c r="S538" t="str">
        <f t="shared" si="24"/>
        <v/>
      </c>
    </row>
    <row r="539" spans="1:19">
      <c r="A539" t="str" cm="1">
        <f t="array" ref="A539">IFERROR(INDEX(Create_TC_Web!D$1:D$510,SMALL(IF(Create_TC_Web!$C$1:$C$510&lt;&gt;"",MATCH(ROW(Create_TC_Web!$C$1:$C$510),ROW(Create_TC_Web!$C$1:$C$510)),""),ROW(Create_TC_Web!B549))),"")</f>
        <v/>
      </c>
      <c r="B539" t="str" cm="1">
        <f t="array" ref="B539">SUBSTITUTE(SUBSTITUTE(SUBSTITUTE(IFERROR(INDEX(Create_TC_Web!E$1:E$505,SMALL(IF(Create_TC_Web!$C$1:$C$505&lt;&gt;"",MATCH(ROW(Create_TC_Web!$C$1:$C$505),ROW(Create_TC_Web!$C$1:$C$505)),""),ROW(Create_TC_Web!C537))),"")," ",""),"-",""),"_","")</f>
        <v/>
      </c>
      <c r="C539" t="str" cm="1">
        <f t="array" ref="C539">IFERROR(INDEX(Create_TC_Web!F$1:F$510,SMALL(IF(Create_TC_Web!$C$1:$C$510&lt;&gt;"",MATCH(ROW(Create_TC_Web!$C$1:$C$510),ROW(Create_TC_Web!$C$1:$C$510)),""),ROW(Create_TC_Web!D549))),"")</f>
        <v/>
      </c>
      <c r="P539" s="17" t="str" cm="1">
        <f t="array" ref="P539">IFERROR(INDEX(Create_TC_Web!S$1:S$500,SMALL(IF(Create_TC_Web!$C$1:$C$500&lt;&gt;"",MATCH(ROW(Create_TC_Web!$C$1:$C$500),ROW(Create_TC_Web!$C$1:$C$500)),""),ROW(Create_TC_Web!Q515))),"")</f>
        <v/>
      </c>
      <c r="S539" t="str">
        <f t="shared" si="24"/>
        <v/>
      </c>
    </row>
    <row r="540" spans="1:19">
      <c r="A540" t="str" cm="1">
        <f t="array" ref="A540">IFERROR(INDEX(Create_TC_Web!D$1:D$510,SMALL(IF(Create_TC_Web!$C$1:$C$510&lt;&gt;"",MATCH(ROW(Create_TC_Web!$C$1:$C$510),ROW(Create_TC_Web!$C$1:$C$510)),""),ROW(Create_TC_Web!B550))),"")</f>
        <v/>
      </c>
      <c r="B540" t="str" cm="1">
        <f t="array" ref="B540">SUBSTITUTE(SUBSTITUTE(SUBSTITUTE(IFERROR(INDEX(Create_TC_Web!E$1:E$505,SMALL(IF(Create_TC_Web!$C$1:$C$505&lt;&gt;"",MATCH(ROW(Create_TC_Web!$C$1:$C$505),ROW(Create_TC_Web!$C$1:$C$505)),""),ROW(Create_TC_Web!C538))),"")," ",""),"-",""),"_","")</f>
        <v/>
      </c>
      <c r="C540" t="str" cm="1">
        <f t="array" ref="C540">IFERROR(INDEX(Create_TC_Web!F$1:F$510,SMALL(IF(Create_TC_Web!$C$1:$C$510&lt;&gt;"",MATCH(ROW(Create_TC_Web!$C$1:$C$510),ROW(Create_TC_Web!$C$1:$C$510)),""),ROW(Create_TC_Web!D550))),"")</f>
        <v/>
      </c>
      <c r="P540" s="17" t="str" cm="1">
        <f t="array" ref="P540">IFERROR(INDEX(Create_TC_Web!S$1:S$500,SMALL(IF(Create_TC_Web!$C$1:$C$500&lt;&gt;"",MATCH(ROW(Create_TC_Web!$C$1:$C$500),ROW(Create_TC_Web!$C$1:$C$500)),""),ROW(Create_TC_Web!Q516))),"")</f>
        <v/>
      </c>
      <c r="S540" t="str">
        <f t="shared" si="24"/>
        <v/>
      </c>
    </row>
    <row r="541" spans="1:19">
      <c r="A541" t="str" cm="1">
        <f t="array" ref="A541">IFERROR(INDEX(Create_TC_Web!D$1:D$510,SMALL(IF(Create_TC_Web!$C$1:$C$510&lt;&gt;"",MATCH(ROW(Create_TC_Web!$C$1:$C$510),ROW(Create_TC_Web!$C$1:$C$510)),""),ROW(Create_TC_Web!B551))),"")</f>
        <v/>
      </c>
      <c r="B541" t="str" cm="1">
        <f t="array" ref="B541">SUBSTITUTE(SUBSTITUTE(SUBSTITUTE(IFERROR(INDEX(Create_TC_Web!E$1:E$505,SMALL(IF(Create_TC_Web!$C$1:$C$505&lt;&gt;"",MATCH(ROW(Create_TC_Web!$C$1:$C$505),ROW(Create_TC_Web!$C$1:$C$505)),""),ROW(Create_TC_Web!C539))),"")," ",""),"-",""),"_","")</f>
        <v/>
      </c>
      <c r="C541" t="str" cm="1">
        <f t="array" ref="C541">IFERROR(INDEX(Create_TC_Web!F$1:F$510,SMALL(IF(Create_TC_Web!$C$1:$C$510&lt;&gt;"",MATCH(ROW(Create_TC_Web!$C$1:$C$510),ROW(Create_TC_Web!$C$1:$C$510)),""),ROW(Create_TC_Web!D551))),"")</f>
        <v/>
      </c>
      <c r="P541" s="17" t="str" cm="1">
        <f t="array" ref="P541">IFERROR(INDEX(Create_TC_Web!S$1:S$500,SMALL(IF(Create_TC_Web!$C$1:$C$500&lt;&gt;"",MATCH(ROW(Create_TC_Web!$C$1:$C$500),ROW(Create_TC_Web!$C$1:$C$500)),""),ROW(Create_TC_Web!Q517))),"")</f>
        <v/>
      </c>
      <c r="S541" t="str">
        <f t="shared" si="24"/>
        <v/>
      </c>
    </row>
    <row r="542" spans="1:19">
      <c r="A542" t="str" cm="1">
        <f t="array" ref="A542">IFERROR(INDEX(Create_TC_Web!D$1:D$510,SMALL(IF(Create_TC_Web!$C$1:$C$510&lt;&gt;"",MATCH(ROW(Create_TC_Web!$C$1:$C$510),ROW(Create_TC_Web!$C$1:$C$510)),""),ROW(Create_TC_Web!B552))),"")</f>
        <v/>
      </c>
      <c r="B542" t="str" cm="1">
        <f t="array" ref="B542">SUBSTITUTE(SUBSTITUTE(SUBSTITUTE(IFERROR(INDEX(Create_TC_Web!E$1:E$505,SMALL(IF(Create_TC_Web!$C$1:$C$505&lt;&gt;"",MATCH(ROW(Create_TC_Web!$C$1:$C$505),ROW(Create_TC_Web!$C$1:$C$505)),""),ROW(Create_TC_Web!C540))),"")," ",""),"-",""),"_","")</f>
        <v/>
      </c>
      <c r="C542" t="str" cm="1">
        <f t="array" ref="C542">IFERROR(INDEX(Create_TC_Web!F$1:F$510,SMALL(IF(Create_TC_Web!$C$1:$C$510&lt;&gt;"",MATCH(ROW(Create_TC_Web!$C$1:$C$510),ROW(Create_TC_Web!$C$1:$C$510)),""),ROW(Create_TC_Web!D552))),"")</f>
        <v/>
      </c>
      <c r="P542" s="17" t="str" cm="1">
        <f t="array" ref="P542">IFERROR(INDEX(Create_TC_Web!S$1:S$500,SMALL(IF(Create_TC_Web!$C$1:$C$500&lt;&gt;"",MATCH(ROW(Create_TC_Web!$C$1:$C$500),ROW(Create_TC_Web!$C$1:$C$500)),""),ROW(Create_TC_Web!Q518))),"")</f>
        <v/>
      </c>
      <c r="S542" t="str">
        <f t="shared" si="24"/>
        <v/>
      </c>
    </row>
    <row r="543" spans="1:19">
      <c r="A543" t="str" cm="1">
        <f t="array" ref="A543">IFERROR(INDEX(Create_TC_Web!D$1:D$510,SMALL(IF(Create_TC_Web!$C$1:$C$510&lt;&gt;"",MATCH(ROW(Create_TC_Web!$C$1:$C$510),ROW(Create_TC_Web!$C$1:$C$510)),""),ROW(Create_TC_Web!B553))),"")</f>
        <v/>
      </c>
      <c r="B543" t="str" cm="1">
        <f t="array" ref="B543">SUBSTITUTE(SUBSTITUTE(SUBSTITUTE(IFERROR(INDEX(Create_TC_Web!E$1:E$505,SMALL(IF(Create_TC_Web!$C$1:$C$505&lt;&gt;"",MATCH(ROW(Create_TC_Web!$C$1:$C$505),ROW(Create_TC_Web!$C$1:$C$505)),""),ROW(Create_TC_Web!C541))),"")," ",""),"-",""),"_","")</f>
        <v/>
      </c>
      <c r="C543" t="str" cm="1">
        <f t="array" ref="C543">IFERROR(INDEX(Create_TC_Web!F$1:F$510,SMALL(IF(Create_TC_Web!$C$1:$C$510&lt;&gt;"",MATCH(ROW(Create_TC_Web!$C$1:$C$510),ROW(Create_TC_Web!$C$1:$C$510)),""),ROW(Create_TC_Web!D553))),"")</f>
        <v/>
      </c>
      <c r="P543" s="17" t="str" cm="1">
        <f t="array" ref="P543">IFERROR(INDEX(Create_TC_Web!S$1:S$500,SMALL(IF(Create_TC_Web!$C$1:$C$500&lt;&gt;"",MATCH(ROW(Create_TC_Web!$C$1:$C$500),ROW(Create_TC_Web!$C$1:$C$500)),""),ROW(Create_TC_Web!Q519))),"")</f>
        <v/>
      </c>
      <c r="S543" t="str">
        <f t="shared" si="24"/>
        <v/>
      </c>
    </row>
    <row r="544" spans="1:19">
      <c r="A544" t="str" cm="1">
        <f t="array" ref="A544">IFERROR(INDEX(Create_TC_Web!D$1:D$510,SMALL(IF(Create_TC_Web!$C$1:$C$510&lt;&gt;"",MATCH(ROW(Create_TC_Web!$C$1:$C$510),ROW(Create_TC_Web!$C$1:$C$510)),""),ROW(Create_TC_Web!B554))),"")</f>
        <v/>
      </c>
      <c r="B544" t="str" cm="1">
        <f t="array" ref="B544">SUBSTITUTE(SUBSTITUTE(SUBSTITUTE(IFERROR(INDEX(Create_TC_Web!E$1:E$505,SMALL(IF(Create_TC_Web!$C$1:$C$505&lt;&gt;"",MATCH(ROW(Create_TC_Web!$C$1:$C$505),ROW(Create_TC_Web!$C$1:$C$505)),""),ROW(Create_TC_Web!C542))),"")," ",""),"-",""),"_","")</f>
        <v/>
      </c>
      <c r="C544" t="str" cm="1">
        <f t="array" ref="C544">IFERROR(INDEX(Create_TC_Web!F$1:F$510,SMALL(IF(Create_TC_Web!$C$1:$C$510&lt;&gt;"",MATCH(ROW(Create_TC_Web!$C$1:$C$510),ROW(Create_TC_Web!$C$1:$C$510)),""),ROW(Create_TC_Web!D554))),"")</f>
        <v/>
      </c>
      <c r="P544" s="17" t="str" cm="1">
        <f t="array" ref="P544">IFERROR(INDEX(Create_TC_Web!S$1:S$500,SMALL(IF(Create_TC_Web!$C$1:$C$500&lt;&gt;"",MATCH(ROW(Create_TC_Web!$C$1:$C$500),ROW(Create_TC_Web!$C$1:$C$500)),""),ROW(Create_TC_Web!Q520))),"")</f>
        <v/>
      </c>
      <c r="S544" t="str">
        <f t="shared" si="24"/>
        <v/>
      </c>
    </row>
    <row r="545" spans="1:19">
      <c r="A545" t="str" cm="1">
        <f t="array" ref="A545">IFERROR(INDEX(Create_TC_Web!D$1:D$510,SMALL(IF(Create_TC_Web!$C$1:$C$510&lt;&gt;"",MATCH(ROW(Create_TC_Web!$C$1:$C$510),ROW(Create_TC_Web!$C$1:$C$510)),""),ROW(Create_TC_Web!B555))),"")</f>
        <v/>
      </c>
      <c r="B545" t="str" cm="1">
        <f t="array" ref="B545">SUBSTITUTE(SUBSTITUTE(SUBSTITUTE(IFERROR(INDEX(Create_TC_Web!E$1:E$505,SMALL(IF(Create_TC_Web!$C$1:$C$505&lt;&gt;"",MATCH(ROW(Create_TC_Web!$C$1:$C$505),ROW(Create_TC_Web!$C$1:$C$505)),""),ROW(Create_TC_Web!C543))),"")," ",""),"-",""),"_","")</f>
        <v/>
      </c>
      <c r="C545" t="str" cm="1">
        <f t="array" ref="C545">IFERROR(INDEX(Create_TC_Web!F$1:F$510,SMALL(IF(Create_TC_Web!$C$1:$C$510&lt;&gt;"",MATCH(ROW(Create_TC_Web!$C$1:$C$510),ROW(Create_TC_Web!$C$1:$C$510)),""),ROW(Create_TC_Web!D555))),"")</f>
        <v/>
      </c>
      <c r="P545" s="17" t="str" cm="1">
        <f t="array" ref="P545">IFERROR(INDEX(Create_TC_Web!S$1:S$500,SMALL(IF(Create_TC_Web!$C$1:$C$500&lt;&gt;"",MATCH(ROW(Create_TC_Web!$C$1:$C$500),ROW(Create_TC_Web!$C$1:$C$500)),""),ROW(Create_TC_Web!Q521))),"")</f>
        <v/>
      </c>
      <c r="S545" t="str">
        <f t="shared" si="24"/>
        <v/>
      </c>
    </row>
    <row r="546" spans="1:19">
      <c r="A546" t="str" cm="1">
        <f t="array" ref="A546">IFERROR(INDEX(Create_TC_Web!D$1:D$510,SMALL(IF(Create_TC_Web!$C$1:$C$510&lt;&gt;"",MATCH(ROW(Create_TC_Web!$C$1:$C$510),ROW(Create_TC_Web!$C$1:$C$510)),""),ROW(Create_TC_Web!B556))),"")</f>
        <v/>
      </c>
      <c r="B546" t="str" cm="1">
        <f t="array" ref="B546">SUBSTITUTE(SUBSTITUTE(SUBSTITUTE(IFERROR(INDEX(Create_TC_Web!E$1:E$505,SMALL(IF(Create_TC_Web!$C$1:$C$505&lt;&gt;"",MATCH(ROW(Create_TC_Web!$C$1:$C$505),ROW(Create_TC_Web!$C$1:$C$505)),""),ROW(Create_TC_Web!C544))),"")," ",""),"-",""),"_","")</f>
        <v/>
      </c>
      <c r="C546" t="str" cm="1">
        <f t="array" ref="C546">IFERROR(INDEX(Create_TC_Web!F$1:F$510,SMALL(IF(Create_TC_Web!$C$1:$C$510&lt;&gt;"",MATCH(ROW(Create_TC_Web!$C$1:$C$510),ROW(Create_TC_Web!$C$1:$C$510)),""),ROW(Create_TC_Web!D556))),"")</f>
        <v/>
      </c>
      <c r="P546" s="17" t="str" cm="1">
        <f t="array" ref="P546">IFERROR(INDEX(Create_TC_Web!S$1:S$500,SMALL(IF(Create_TC_Web!$C$1:$C$500&lt;&gt;"",MATCH(ROW(Create_TC_Web!$C$1:$C$500),ROW(Create_TC_Web!$C$1:$C$500)),""),ROW(Create_TC_Web!Q522))),"")</f>
        <v/>
      </c>
      <c r="S546" t="str">
        <f t="shared" si="24"/>
        <v/>
      </c>
    </row>
    <row r="547" spans="1:19">
      <c r="A547" t="str" cm="1">
        <f t="array" ref="A547">IFERROR(INDEX(Create_TC_Web!D$1:D$510,SMALL(IF(Create_TC_Web!$C$1:$C$510&lt;&gt;"",MATCH(ROW(Create_TC_Web!$C$1:$C$510),ROW(Create_TC_Web!$C$1:$C$510)),""),ROW(Create_TC_Web!B557))),"")</f>
        <v/>
      </c>
      <c r="B547" t="str" cm="1">
        <f t="array" ref="B547">SUBSTITUTE(SUBSTITUTE(SUBSTITUTE(IFERROR(INDEX(Create_TC_Web!E$1:E$505,SMALL(IF(Create_TC_Web!$C$1:$C$505&lt;&gt;"",MATCH(ROW(Create_TC_Web!$C$1:$C$505),ROW(Create_TC_Web!$C$1:$C$505)),""),ROW(Create_TC_Web!C545))),"")," ",""),"-",""),"_","")</f>
        <v/>
      </c>
      <c r="C547" t="str" cm="1">
        <f t="array" ref="C547">IFERROR(INDEX(Create_TC_Web!F$1:F$510,SMALL(IF(Create_TC_Web!$C$1:$C$510&lt;&gt;"",MATCH(ROW(Create_TC_Web!$C$1:$C$510),ROW(Create_TC_Web!$C$1:$C$510)),""),ROW(Create_TC_Web!D557))),"")</f>
        <v/>
      </c>
      <c r="P547" s="17" t="str" cm="1">
        <f t="array" ref="P547">IFERROR(INDEX(Create_TC_Web!S$1:S$500,SMALL(IF(Create_TC_Web!$C$1:$C$500&lt;&gt;"",MATCH(ROW(Create_TC_Web!$C$1:$C$500),ROW(Create_TC_Web!$C$1:$C$500)),""),ROW(Create_TC_Web!Q523))),"")</f>
        <v/>
      </c>
      <c r="S547" t="str">
        <f t="shared" si="24"/>
        <v/>
      </c>
    </row>
    <row r="548" spans="1:19">
      <c r="A548" t="str" cm="1">
        <f t="array" ref="A548">IFERROR(INDEX(Create_TC_Web!D$1:D$510,SMALL(IF(Create_TC_Web!$C$1:$C$510&lt;&gt;"",MATCH(ROW(Create_TC_Web!$C$1:$C$510),ROW(Create_TC_Web!$C$1:$C$510)),""),ROW(Create_TC_Web!B558))),"")</f>
        <v/>
      </c>
      <c r="B548" t="str" cm="1">
        <f t="array" ref="B548">SUBSTITUTE(SUBSTITUTE(SUBSTITUTE(IFERROR(INDEX(Create_TC_Web!E$1:E$505,SMALL(IF(Create_TC_Web!$C$1:$C$505&lt;&gt;"",MATCH(ROW(Create_TC_Web!$C$1:$C$505),ROW(Create_TC_Web!$C$1:$C$505)),""),ROW(Create_TC_Web!C546))),"")," ",""),"-",""),"_","")</f>
        <v/>
      </c>
      <c r="C548" t="str" cm="1">
        <f t="array" ref="C548">IFERROR(INDEX(Create_TC_Web!F$1:F$510,SMALL(IF(Create_TC_Web!$C$1:$C$510&lt;&gt;"",MATCH(ROW(Create_TC_Web!$C$1:$C$510),ROW(Create_TC_Web!$C$1:$C$510)),""),ROW(Create_TC_Web!D558))),"")</f>
        <v/>
      </c>
      <c r="P548" s="17" t="str" cm="1">
        <f t="array" ref="P548">IFERROR(INDEX(Create_TC_Web!S$1:S$500,SMALL(IF(Create_TC_Web!$C$1:$C$500&lt;&gt;"",MATCH(ROW(Create_TC_Web!$C$1:$C$500),ROW(Create_TC_Web!$C$1:$C$500)),""),ROW(Create_TC_Web!Q524))),"")</f>
        <v/>
      </c>
      <c r="S548" t="str">
        <f t="shared" si="24"/>
        <v/>
      </c>
    </row>
    <row r="549" spans="1:19">
      <c r="A549" t="str" cm="1">
        <f t="array" ref="A549">IFERROR(INDEX(Create_TC_Web!D$1:D$510,SMALL(IF(Create_TC_Web!$C$1:$C$510&lt;&gt;"",MATCH(ROW(Create_TC_Web!$C$1:$C$510),ROW(Create_TC_Web!$C$1:$C$510)),""),ROW(Create_TC_Web!B559))),"")</f>
        <v/>
      </c>
      <c r="B549" t="str" cm="1">
        <f t="array" ref="B549">SUBSTITUTE(SUBSTITUTE(SUBSTITUTE(IFERROR(INDEX(Create_TC_Web!E$1:E$505,SMALL(IF(Create_TC_Web!$C$1:$C$505&lt;&gt;"",MATCH(ROW(Create_TC_Web!$C$1:$C$505),ROW(Create_TC_Web!$C$1:$C$505)),""),ROW(Create_TC_Web!C547))),"")," ",""),"-",""),"_","")</f>
        <v/>
      </c>
      <c r="C549" t="str" cm="1">
        <f t="array" ref="C549">IFERROR(INDEX(Create_TC_Web!F$1:F$510,SMALL(IF(Create_TC_Web!$C$1:$C$510&lt;&gt;"",MATCH(ROW(Create_TC_Web!$C$1:$C$510),ROW(Create_TC_Web!$C$1:$C$510)),""),ROW(Create_TC_Web!D559))),"")</f>
        <v/>
      </c>
      <c r="P549" s="17" t="str" cm="1">
        <f t="array" ref="P549">IFERROR(INDEX(Create_TC_Web!S$1:S$500,SMALL(IF(Create_TC_Web!$C$1:$C$500&lt;&gt;"",MATCH(ROW(Create_TC_Web!$C$1:$C$500),ROW(Create_TC_Web!$C$1:$C$500)),""),ROW(Create_TC_Web!Q525))),"")</f>
        <v/>
      </c>
      <c r="S549" t="str">
        <f t="shared" si="24"/>
        <v/>
      </c>
    </row>
    <row r="550" spans="1:19">
      <c r="A550" t="str" cm="1">
        <f t="array" ref="A550">IFERROR(INDEX(Create_TC_Web!D$1:D$510,SMALL(IF(Create_TC_Web!$C$1:$C$510&lt;&gt;"",MATCH(ROW(Create_TC_Web!$C$1:$C$510),ROW(Create_TC_Web!$C$1:$C$510)),""),ROW(Create_TC_Web!B560))),"")</f>
        <v/>
      </c>
      <c r="B550" t="str" cm="1">
        <f t="array" ref="B550">SUBSTITUTE(SUBSTITUTE(SUBSTITUTE(IFERROR(INDEX(Create_TC_Web!E$1:E$505,SMALL(IF(Create_TC_Web!$C$1:$C$505&lt;&gt;"",MATCH(ROW(Create_TC_Web!$C$1:$C$505),ROW(Create_TC_Web!$C$1:$C$505)),""),ROW(Create_TC_Web!C548))),"")," ",""),"-",""),"_","")</f>
        <v/>
      </c>
      <c r="C550" t="str" cm="1">
        <f t="array" ref="C550">IFERROR(INDEX(Create_TC_Web!F$1:F$510,SMALL(IF(Create_TC_Web!$C$1:$C$510&lt;&gt;"",MATCH(ROW(Create_TC_Web!$C$1:$C$510),ROW(Create_TC_Web!$C$1:$C$510)),""),ROW(Create_TC_Web!D560))),"")</f>
        <v/>
      </c>
      <c r="P550" s="17" t="str" cm="1">
        <f t="array" ref="P550">IFERROR(INDEX(Create_TC_Web!S$1:S$500,SMALL(IF(Create_TC_Web!$C$1:$C$500&lt;&gt;"",MATCH(ROW(Create_TC_Web!$C$1:$C$500),ROW(Create_TC_Web!$C$1:$C$500)),""),ROW(Create_TC_Web!Q526))),"")</f>
        <v/>
      </c>
      <c r="S550" t="str">
        <f t="shared" si="24"/>
        <v/>
      </c>
    </row>
    <row r="551" spans="1:19">
      <c r="A551" t="str" cm="1">
        <f t="array" ref="A551">IFERROR(INDEX(Create_TC_Web!D$1:D$510,SMALL(IF(Create_TC_Web!$C$1:$C$510&lt;&gt;"",MATCH(ROW(Create_TC_Web!$C$1:$C$510),ROW(Create_TC_Web!$C$1:$C$510)),""),ROW(Create_TC_Web!B561))),"")</f>
        <v/>
      </c>
      <c r="B551" t="str" cm="1">
        <f t="array" ref="B551">SUBSTITUTE(SUBSTITUTE(SUBSTITUTE(IFERROR(INDEX(Create_TC_Web!E$1:E$505,SMALL(IF(Create_TC_Web!$C$1:$C$505&lt;&gt;"",MATCH(ROW(Create_TC_Web!$C$1:$C$505),ROW(Create_TC_Web!$C$1:$C$505)),""),ROW(Create_TC_Web!C549))),"")," ",""),"-",""),"_","")</f>
        <v/>
      </c>
      <c r="C551" t="str" cm="1">
        <f t="array" ref="C551">IFERROR(INDEX(Create_TC_Web!F$1:F$510,SMALL(IF(Create_TC_Web!$C$1:$C$510&lt;&gt;"",MATCH(ROW(Create_TC_Web!$C$1:$C$510),ROW(Create_TC_Web!$C$1:$C$510)),""),ROW(Create_TC_Web!D561))),"")</f>
        <v/>
      </c>
      <c r="P551" s="17" t="str" cm="1">
        <f t="array" ref="P551">IFERROR(INDEX(Create_TC_Web!S$1:S$500,SMALL(IF(Create_TC_Web!$C$1:$C$500&lt;&gt;"",MATCH(ROW(Create_TC_Web!$C$1:$C$500),ROW(Create_TC_Web!$C$1:$C$500)),""),ROW(Create_TC_Web!Q527))),"")</f>
        <v/>
      </c>
      <c r="S551" t="str">
        <f t="shared" si="24"/>
        <v/>
      </c>
    </row>
    <row r="552" spans="1:19">
      <c r="A552" t="str" cm="1">
        <f t="array" ref="A552">IFERROR(INDEX(Create_TC_Web!D$1:D$510,SMALL(IF(Create_TC_Web!$C$1:$C$510&lt;&gt;"",MATCH(ROW(Create_TC_Web!$C$1:$C$510),ROW(Create_TC_Web!$C$1:$C$510)),""),ROW(Create_TC_Web!B562))),"")</f>
        <v/>
      </c>
      <c r="B552" t="str" cm="1">
        <f t="array" ref="B552">SUBSTITUTE(SUBSTITUTE(SUBSTITUTE(IFERROR(INDEX(Create_TC_Web!E$1:E$505,SMALL(IF(Create_TC_Web!$C$1:$C$505&lt;&gt;"",MATCH(ROW(Create_TC_Web!$C$1:$C$505),ROW(Create_TC_Web!$C$1:$C$505)),""),ROW(Create_TC_Web!C550))),"")," ",""),"-",""),"_","")</f>
        <v/>
      </c>
      <c r="C552" t="str" cm="1">
        <f t="array" ref="C552">IFERROR(INDEX(Create_TC_Web!F$1:F$510,SMALL(IF(Create_TC_Web!$C$1:$C$510&lt;&gt;"",MATCH(ROW(Create_TC_Web!$C$1:$C$510),ROW(Create_TC_Web!$C$1:$C$510)),""),ROW(Create_TC_Web!D562))),"")</f>
        <v/>
      </c>
      <c r="P552" s="17" t="str" cm="1">
        <f t="array" ref="P552">IFERROR(INDEX(Create_TC_Web!S$1:S$500,SMALL(IF(Create_TC_Web!$C$1:$C$500&lt;&gt;"",MATCH(ROW(Create_TC_Web!$C$1:$C$500),ROW(Create_TC_Web!$C$1:$C$500)),""),ROW(Create_TC_Web!Q528))),"")</f>
        <v/>
      </c>
      <c r="S552" t="str">
        <f t="shared" si="24"/>
        <v/>
      </c>
    </row>
    <row r="553" spans="1:19">
      <c r="A553" t="str" cm="1">
        <f t="array" ref="A553">IFERROR(INDEX(Create_TC_Web!D$1:D$510,SMALL(IF(Create_TC_Web!$C$1:$C$510&lt;&gt;"",MATCH(ROW(Create_TC_Web!$C$1:$C$510),ROW(Create_TC_Web!$C$1:$C$510)),""),ROW(Create_TC_Web!B563))),"")</f>
        <v/>
      </c>
      <c r="B553" t="str" cm="1">
        <f t="array" ref="B553">SUBSTITUTE(SUBSTITUTE(SUBSTITUTE(IFERROR(INDEX(Create_TC_Web!E$1:E$505,SMALL(IF(Create_TC_Web!$C$1:$C$505&lt;&gt;"",MATCH(ROW(Create_TC_Web!$C$1:$C$505),ROW(Create_TC_Web!$C$1:$C$505)),""),ROW(Create_TC_Web!C551))),"")," ",""),"-",""),"_","")</f>
        <v/>
      </c>
      <c r="C553" t="str" cm="1">
        <f t="array" ref="C553">IFERROR(INDEX(Create_TC_Web!F$1:F$510,SMALL(IF(Create_TC_Web!$C$1:$C$510&lt;&gt;"",MATCH(ROW(Create_TC_Web!$C$1:$C$510),ROW(Create_TC_Web!$C$1:$C$510)),""),ROW(Create_TC_Web!D563))),"")</f>
        <v/>
      </c>
      <c r="P553" s="17" t="str" cm="1">
        <f t="array" ref="P553">IFERROR(INDEX(Create_TC_Web!S$1:S$500,SMALL(IF(Create_TC_Web!$C$1:$C$500&lt;&gt;"",MATCH(ROW(Create_TC_Web!$C$1:$C$500),ROW(Create_TC_Web!$C$1:$C$500)),""),ROW(Create_TC_Web!Q529))),"")</f>
        <v/>
      </c>
      <c r="S553" t="str">
        <f t="shared" si="24"/>
        <v/>
      </c>
    </row>
    <row r="554" spans="1:19">
      <c r="A554" t="str" cm="1">
        <f t="array" ref="A554">IFERROR(INDEX(Create_TC_Web!D$1:D$510,SMALL(IF(Create_TC_Web!$C$1:$C$510&lt;&gt;"",MATCH(ROW(Create_TC_Web!$C$1:$C$510),ROW(Create_TC_Web!$C$1:$C$510)),""),ROW(Create_TC_Web!B564))),"")</f>
        <v/>
      </c>
      <c r="B554" t="str" cm="1">
        <f t="array" ref="B554">SUBSTITUTE(SUBSTITUTE(SUBSTITUTE(IFERROR(INDEX(Create_TC_Web!E$1:E$505,SMALL(IF(Create_TC_Web!$C$1:$C$505&lt;&gt;"",MATCH(ROW(Create_TC_Web!$C$1:$C$505),ROW(Create_TC_Web!$C$1:$C$505)),""),ROW(Create_TC_Web!C552))),"")," ",""),"-",""),"_","")</f>
        <v/>
      </c>
      <c r="C554" t="str" cm="1">
        <f t="array" ref="C554">IFERROR(INDEX(Create_TC_Web!F$1:F$510,SMALL(IF(Create_TC_Web!$C$1:$C$510&lt;&gt;"",MATCH(ROW(Create_TC_Web!$C$1:$C$510),ROW(Create_TC_Web!$C$1:$C$510)),""),ROW(Create_TC_Web!D564))),"")</f>
        <v/>
      </c>
      <c r="P554" s="17" t="str" cm="1">
        <f t="array" ref="P554">IFERROR(INDEX(Create_TC_Web!S$1:S$500,SMALL(IF(Create_TC_Web!$C$1:$C$500&lt;&gt;"",MATCH(ROW(Create_TC_Web!$C$1:$C$500),ROW(Create_TC_Web!$C$1:$C$500)),""),ROW(Create_TC_Web!Q530))),"")</f>
        <v/>
      </c>
      <c r="S554" t="str">
        <f t="shared" si="24"/>
        <v/>
      </c>
    </row>
    <row r="555" spans="1:19">
      <c r="A555" t="str" cm="1">
        <f t="array" ref="A555">IFERROR(INDEX(Create_TC_Web!D$1:D$510,SMALL(IF(Create_TC_Web!$C$1:$C$510&lt;&gt;"",MATCH(ROW(Create_TC_Web!$C$1:$C$510),ROW(Create_TC_Web!$C$1:$C$510)),""),ROW(Create_TC_Web!B565))),"")</f>
        <v/>
      </c>
      <c r="B555" t="str" cm="1">
        <f t="array" ref="B555">SUBSTITUTE(SUBSTITUTE(SUBSTITUTE(IFERROR(INDEX(Create_TC_Web!E$1:E$505,SMALL(IF(Create_TC_Web!$C$1:$C$505&lt;&gt;"",MATCH(ROW(Create_TC_Web!$C$1:$C$505),ROW(Create_TC_Web!$C$1:$C$505)),""),ROW(Create_TC_Web!C553))),"")," ",""),"-",""),"_","")</f>
        <v/>
      </c>
      <c r="C555" t="str" cm="1">
        <f t="array" ref="C555">IFERROR(INDEX(Create_TC_Web!F$1:F$510,SMALL(IF(Create_TC_Web!$C$1:$C$510&lt;&gt;"",MATCH(ROW(Create_TC_Web!$C$1:$C$510),ROW(Create_TC_Web!$C$1:$C$510)),""),ROW(Create_TC_Web!D565))),"")</f>
        <v/>
      </c>
      <c r="P555" s="17" t="str" cm="1">
        <f t="array" ref="P555">IFERROR(INDEX(Create_TC_Web!S$1:S$500,SMALL(IF(Create_TC_Web!$C$1:$C$500&lt;&gt;"",MATCH(ROW(Create_TC_Web!$C$1:$C$500),ROW(Create_TC_Web!$C$1:$C$500)),""),ROW(Create_TC_Web!Q531))),"")</f>
        <v/>
      </c>
      <c r="S555" t="str">
        <f t="shared" si="24"/>
        <v/>
      </c>
    </row>
    <row r="556" spans="1:19">
      <c r="A556" t="str" cm="1">
        <f t="array" ref="A556">IFERROR(INDEX(Create_TC_Web!D$1:D$510,SMALL(IF(Create_TC_Web!$C$1:$C$510&lt;&gt;"",MATCH(ROW(Create_TC_Web!$C$1:$C$510),ROW(Create_TC_Web!$C$1:$C$510)),""),ROW(Create_TC_Web!B566))),"")</f>
        <v/>
      </c>
      <c r="B556" t="str" cm="1">
        <f t="array" ref="B556">SUBSTITUTE(SUBSTITUTE(SUBSTITUTE(IFERROR(INDEX(Create_TC_Web!E$1:E$505,SMALL(IF(Create_TC_Web!$C$1:$C$505&lt;&gt;"",MATCH(ROW(Create_TC_Web!$C$1:$C$505),ROW(Create_TC_Web!$C$1:$C$505)),""),ROW(Create_TC_Web!C554))),"")," ",""),"-",""),"_","")</f>
        <v/>
      </c>
      <c r="C556" t="str" cm="1">
        <f t="array" ref="C556">IFERROR(INDEX(Create_TC_Web!F$1:F$510,SMALL(IF(Create_TC_Web!$C$1:$C$510&lt;&gt;"",MATCH(ROW(Create_TC_Web!$C$1:$C$510),ROW(Create_TC_Web!$C$1:$C$510)),""),ROW(Create_TC_Web!D566))),"")</f>
        <v/>
      </c>
      <c r="P556" s="17" t="str" cm="1">
        <f t="array" ref="P556">IFERROR(INDEX(Create_TC_Web!S$1:S$500,SMALL(IF(Create_TC_Web!$C$1:$C$500&lt;&gt;"",MATCH(ROW(Create_TC_Web!$C$1:$C$500),ROW(Create_TC_Web!$C$1:$C$500)),""),ROW(Create_TC_Web!Q532))),"")</f>
        <v/>
      </c>
      <c r="S556" t="str">
        <f t="shared" si="24"/>
        <v/>
      </c>
    </row>
    <row r="557" spans="1:19">
      <c r="A557" t="str" cm="1">
        <f t="array" ref="A557">IFERROR(INDEX(Create_TC_Web!D$1:D$510,SMALL(IF(Create_TC_Web!$C$1:$C$510&lt;&gt;"",MATCH(ROW(Create_TC_Web!$C$1:$C$510),ROW(Create_TC_Web!$C$1:$C$510)),""),ROW(Create_TC_Web!B567))),"")</f>
        <v/>
      </c>
      <c r="B557" t="str" cm="1">
        <f t="array" ref="B557">SUBSTITUTE(SUBSTITUTE(SUBSTITUTE(IFERROR(INDEX(Create_TC_Web!E$1:E$505,SMALL(IF(Create_TC_Web!$C$1:$C$505&lt;&gt;"",MATCH(ROW(Create_TC_Web!$C$1:$C$505),ROW(Create_TC_Web!$C$1:$C$505)),""),ROW(Create_TC_Web!C555))),"")," ",""),"-",""),"_","")</f>
        <v/>
      </c>
      <c r="C557" t="str" cm="1">
        <f t="array" ref="C557">IFERROR(INDEX(Create_TC_Web!F$1:F$510,SMALL(IF(Create_TC_Web!$C$1:$C$510&lt;&gt;"",MATCH(ROW(Create_TC_Web!$C$1:$C$510),ROW(Create_TC_Web!$C$1:$C$510)),""),ROW(Create_TC_Web!D567))),"")</f>
        <v/>
      </c>
      <c r="P557" s="17" t="str" cm="1">
        <f t="array" ref="P557">IFERROR(INDEX(Create_TC_Web!S$1:S$500,SMALL(IF(Create_TC_Web!$C$1:$C$500&lt;&gt;"",MATCH(ROW(Create_TC_Web!$C$1:$C$500),ROW(Create_TC_Web!$C$1:$C$500)),""),ROW(Create_TC_Web!Q533))),"")</f>
        <v/>
      </c>
      <c r="S557" t="str">
        <f t="shared" si="24"/>
        <v/>
      </c>
    </row>
    <row r="558" spans="1:19">
      <c r="A558" t="str" cm="1">
        <f t="array" ref="A558">IFERROR(INDEX(Create_TC_Web!D$1:D$510,SMALL(IF(Create_TC_Web!$C$1:$C$510&lt;&gt;"",MATCH(ROW(Create_TC_Web!$C$1:$C$510),ROW(Create_TC_Web!$C$1:$C$510)),""),ROW(Create_TC_Web!B568))),"")</f>
        <v/>
      </c>
      <c r="B558" t="str" cm="1">
        <f t="array" ref="B558">SUBSTITUTE(SUBSTITUTE(SUBSTITUTE(IFERROR(INDEX(Create_TC_Web!E$1:E$505,SMALL(IF(Create_TC_Web!$C$1:$C$505&lt;&gt;"",MATCH(ROW(Create_TC_Web!$C$1:$C$505),ROW(Create_TC_Web!$C$1:$C$505)),""),ROW(Create_TC_Web!C556))),"")," ",""),"-",""),"_","")</f>
        <v/>
      </c>
      <c r="C558" t="str" cm="1">
        <f t="array" ref="C558">IFERROR(INDEX(Create_TC_Web!F$1:F$510,SMALL(IF(Create_TC_Web!$C$1:$C$510&lt;&gt;"",MATCH(ROW(Create_TC_Web!$C$1:$C$510),ROW(Create_TC_Web!$C$1:$C$510)),""),ROW(Create_TC_Web!D568))),"")</f>
        <v/>
      </c>
      <c r="P558" s="17" t="str" cm="1">
        <f t="array" ref="P558">IFERROR(INDEX(Create_TC_Web!S$1:S$500,SMALL(IF(Create_TC_Web!$C$1:$C$500&lt;&gt;"",MATCH(ROW(Create_TC_Web!$C$1:$C$500),ROW(Create_TC_Web!$C$1:$C$500)),""),ROW(Create_TC_Web!Q534))),"")</f>
        <v/>
      </c>
      <c r="S558" t="str">
        <f t="shared" si="24"/>
        <v/>
      </c>
    </row>
    <row r="559" spans="1:19">
      <c r="A559" t="str" cm="1">
        <f t="array" ref="A559">IFERROR(INDEX(Create_TC_Web!D$1:D$510,SMALL(IF(Create_TC_Web!$C$1:$C$510&lt;&gt;"",MATCH(ROW(Create_TC_Web!$C$1:$C$510),ROW(Create_TC_Web!$C$1:$C$510)),""),ROW(Create_TC_Web!B569))),"")</f>
        <v/>
      </c>
      <c r="B559" t="str" cm="1">
        <f t="array" ref="B559">SUBSTITUTE(SUBSTITUTE(SUBSTITUTE(IFERROR(INDEX(Create_TC_Web!E$1:E$505,SMALL(IF(Create_TC_Web!$C$1:$C$505&lt;&gt;"",MATCH(ROW(Create_TC_Web!$C$1:$C$505),ROW(Create_TC_Web!$C$1:$C$505)),""),ROW(Create_TC_Web!C557))),"")," ",""),"-",""),"_","")</f>
        <v/>
      </c>
      <c r="C559" t="str" cm="1">
        <f t="array" ref="C559">IFERROR(INDEX(Create_TC_Web!F$1:F$510,SMALL(IF(Create_TC_Web!$C$1:$C$510&lt;&gt;"",MATCH(ROW(Create_TC_Web!$C$1:$C$510),ROW(Create_TC_Web!$C$1:$C$510)),""),ROW(Create_TC_Web!D569))),"")</f>
        <v/>
      </c>
      <c r="P559" s="17" t="str" cm="1">
        <f t="array" ref="P559">IFERROR(INDEX(Create_TC_Web!S$1:S$500,SMALL(IF(Create_TC_Web!$C$1:$C$500&lt;&gt;"",MATCH(ROW(Create_TC_Web!$C$1:$C$500),ROW(Create_TC_Web!$C$1:$C$500)),""),ROW(Create_TC_Web!Q535))),"")</f>
        <v/>
      </c>
      <c r="S559" t="str">
        <f t="shared" si="24"/>
        <v/>
      </c>
    </row>
    <row r="560" spans="1:19">
      <c r="A560" t="str" cm="1">
        <f t="array" ref="A560">IFERROR(INDEX(Create_TC_Web!D$1:D$510,SMALL(IF(Create_TC_Web!$C$1:$C$510&lt;&gt;"",MATCH(ROW(Create_TC_Web!$C$1:$C$510),ROW(Create_TC_Web!$C$1:$C$510)),""),ROW(Create_TC_Web!B570))),"")</f>
        <v/>
      </c>
      <c r="B560" t="str" cm="1">
        <f t="array" ref="B560">SUBSTITUTE(SUBSTITUTE(SUBSTITUTE(IFERROR(INDEX(Create_TC_Web!E$1:E$505,SMALL(IF(Create_TC_Web!$C$1:$C$505&lt;&gt;"",MATCH(ROW(Create_TC_Web!$C$1:$C$505),ROW(Create_TC_Web!$C$1:$C$505)),""),ROW(Create_TC_Web!C558))),"")," ",""),"-",""),"_","")</f>
        <v/>
      </c>
      <c r="C560" t="str" cm="1">
        <f t="array" ref="C560">IFERROR(INDEX(Create_TC_Web!F$1:F$510,SMALL(IF(Create_TC_Web!$C$1:$C$510&lt;&gt;"",MATCH(ROW(Create_TC_Web!$C$1:$C$510),ROW(Create_TC_Web!$C$1:$C$510)),""),ROW(Create_TC_Web!D570))),"")</f>
        <v/>
      </c>
      <c r="P560" s="17" t="str" cm="1">
        <f t="array" ref="P560">IFERROR(INDEX(Create_TC_Web!S$1:S$500,SMALL(IF(Create_TC_Web!$C$1:$C$500&lt;&gt;"",MATCH(ROW(Create_TC_Web!$C$1:$C$500),ROW(Create_TC_Web!$C$1:$C$500)),""),ROW(Create_TC_Web!Q536))),"")</f>
        <v/>
      </c>
      <c r="S560" t="str">
        <f t="shared" si="24"/>
        <v/>
      </c>
    </row>
    <row r="561" spans="1:19">
      <c r="A561" t="str" cm="1">
        <f t="array" ref="A561">IFERROR(INDEX(Create_TC_Web!D$1:D$510,SMALL(IF(Create_TC_Web!$C$1:$C$510&lt;&gt;"",MATCH(ROW(Create_TC_Web!$C$1:$C$510),ROW(Create_TC_Web!$C$1:$C$510)),""),ROW(Create_TC_Web!B571))),"")</f>
        <v/>
      </c>
      <c r="B561" t="str" cm="1">
        <f t="array" ref="B561">SUBSTITUTE(SUBSTITUTE(SUBSTITUTE(IFERROR(INDEX(Create_TC_Web!E$1:E$505,SMALL(IF(Create_TC_Web!$C$1:$C$505&lt;&gt;"",MATCH(ROW(Create_TC_Web!$C$1:$C$505),ROW(Create_TC_Web!$C$1:$C$505)),""),ROW(Create_TC_Web!C559))),"")," ",""),"-",""),"_","")</f>
        <v/>
      </c>
      <c r="C561" t="str" cm="1">
        <f t="array" ref="C561">IFERROR(INDEX(Create_TC_Web!F$1:F$510,SMALL(IF(Create_TC_Web!$C$1:$C$510&lt;&gt;"",MATCH(ROW(Create_TC_Web!$C$1:$C$510),ROW(Create_TC_Web!$C$1:$C$510)),""),ROW(Create_TC_Web!D571))),"")</f>
        <v/>
      </c>
      <c r="P561" s="17" t="str" cm="1">
        <f t="array" ref="P561">IFERROR(INDEX(Create_TC_Web!S$1:S$500,SMALL(IF(Create_TC_Web!$C$1:$C$500&lt;&gt;"",MATCH(ROW(Create_TC_Web!$C$1:$C$500),ROW(Create_TC_Web!$C$1:$C$500)),""),ROW(Create_TC_Web!Q537))),"")</f>
        <v/>
      </c>
      <c r="S561" t="str">
        <f t="shared" si="24"/>
        <v/>
      </c>
    </row>
    <row r="562" spans="1:19">
      <c r="A562" t="str" cm="1">
        <f t="array" ref="A562">IFERROR(INDEX(Create_TC_Web!D$1:D$510,SMALL(IF(Create_TC_Web!$C$1:$C$510&lt;&gt;"",MATCH(ROW(Create_TC_Web!$C$1:$C$510),ROW(Create_TC_Web!$C$1:$C$510)),""),ROW(Create_TC_Web!B572))),"")</f>
        <v/>
      </c>
      <c r="B562" t="str" cm="1">
        <f t="array" ref="B562">SUBSTITUTE(SUBSTITUTE(SUBSTITUTE(IFERROR(INDEX(Create_TC_Web!E$1:E$505,SMALL(IF(Create_TC_Web!$C$1:$C$505&lt;&gt;"",MATCH(ROW(Create_TC_Web!$C$1:$C$505),ROW(Create_TC_Web!$C$1:$C$505)),""),ROW(Create_TC_Web!C560))),"")," ",""),"-",""),"_","")</f>
        <v/>
      </c>
      <c r="C562" t="str" cm="1">
        <f t="array" ref="C562">IFERROR(INDEX(Create_TC_Web!F$1:F$510,SMALL(IF(Create_TC_Web!$C$1:$C$510&lt;&gt;"",MATCH(ROW(Create_TC_Web!$C$1:$C$510),ROW(Create_TC_Web!$C$1:$C$510)),""),ROW(Create_TC_Web!D572))),"")</f>
        <v/>
      </c>
      <c r="P562" s="17" t="str" cm="1">
        <f t="array" ref="P562">IFERROR(INDEX(Create_TC_Web!S$1:S$500,SMALL(IF(Create_TC_Web!$C$1:$C$500&lt;&gt;"",MATCH(ROW(Create_TC_Web!$C$1:$C$500),ROW(Create_TC_Web!$C$1:$C$500)),""),ROW(Create_TC_Web!Q538))),"")</f>
        <v/>
      </c>
      <c r="S562" t="str">
        <f t="shared" si="24"/>
        <v/>
      </c>
    </row>
    <row r="563" spans="1:19">
      <c r="A563" t="str" cm="1">
        <f t="array" ref="A563">IFERROR(INDEX(Create_TC_Web!D$1:D$510,SMALL(IF(Create_TC_Web!$C$1:$C$510&lt;&gt;"",MATCH(ROW(Create_TC_Web!$C$1:$C$510),ROW(Create_TC_Web!$C$1:$C$510)),""),ROW(Create_TC_Web!B573))),"")</f>
        <v/>
      </c>
      <c r="B563" t="str" cm="1">
        <f t="array" ref="B563">SUBSTITUTE(SUBSTITUTE(SUBSTITUTE(IFERROR(INDEX(Create_TC_Web!E$1:E$505,SMALL(IF(Create_TC_Web!$C$1:$C$505&lt;&gt;"",MATCH(ROW(Create_TC_Web!$C$1:$C$505),ROW(Create_TC_Web!$C$1:$C$505)),""),ROW(Create_TC_Web!C561))),"")," ",""),"-",""),"_","")</f>
        <v/>
      </c>
      <c r="C563" t="str" cm="1">
        <f t="array" ref="C563">IFERROR(INDEX(Create_TC_Web!F$1:F$510,SMALL(IF(Create_TC_Web!$C$1:$C$510&lt;&gt;"",MATCH(ROW(Create_TC_Web!$C$1:$C$510),ROW(Create_TC_Web!$C$1:$C$510)),""),ROW(Create_TC_Web!D573))),"")</f>
        <v/>
      </c>
      <c r="P563" s="17" t="str" cm="1">
        <f t="array" ref="P563">IFERROR(INDEX(Create_TC_Web!S$1:S$500,SMALL(IF(Create_TC_Web!$C$1:$C$500&lt;&gt;"",MATCH(ROW(Create_TC_Web!$C$1:$C$500),ROW(Create_TC_Web!$C$1:$C$500)),""),ROW(Create_TC_Web!Q539))),"")</f>
        <v/>
      </c>
      <c r="S563" t="str">
        <f t="shared" si="24"/>
        <v/>
      </c>
    </row>
    <row r="564" spans="1:19">
      <c r="A564" t="str" cm="1">
        <f t="array" ref="A564">IFERROR(INDEX(Create_TC_Web!D$1:D$510,SMALL(IF(Create_TC_Web!$C$1:$C$510&lt;&gt;"",MATCH(ROW(Create_TC_Web!$C$1:$C$510),ROW(Create_TC_Web!$C$1:$C$510)),""),ROW(Create_TC_Web!B574))),"")</f>
        <v/>
      </c>
      <c r="B564" t="str" cm="1">
        <f t="array" ref="B564">SUBSTITUTE(SUBSTITUTE(SUBSTITUTE(IFERROR(INDEX(Create_TC_Web!E$1:E$505,SMALL(IF(Create_TC_Web!$C$1:$C$505&lt;&gt;"",MATCH(ROW(Create_TC_Web!$C$1:$C$505),ROW(Create_TC_Web!$C$1:$C$505)),""),ROW(Create_TC_Web!C562))),"")," ",""),"-",""),"_","")</f>
        <v/>
      </c>
      <c r="C564" t="str" cm="1">
        <f t="array" ref="C564">IFERROR(INDEX(Create_TC_Web!F$1:F$510,SMALL(IF(Create_TC_Web!$C$1:$C$510&lt;&gt;"",MATCH(ROW(Create_TC_Web!$C$1:$C$510),ROW(Create_TC_Web!$C$1:$C$510)),""),ROW(Create_TC_Web!D574))),"")</f>
        <v/>
      </c>
      <c r="P564" s="17" t="str" cm="1">
        <f t="array" ref="P564">IFERROR(INDEX(Create_TC_Web!S$1:S$500,SMALL(IF(Create_TC_Web!$C$1:$C$500&lt;&gt;"",MATCH(ROW(Create_TC_Web!$C$1:$C$500),ROW(Create_TC_Web!$C$1:$C$500)),""),ROW(Create_TC_Web!Q540))),"")</f>
        <v/>
      </c>
      <c r="S564" t="str">
        <f t="shared" si="24"/>
        <v/>
      </c>
    </row>
    <row r="565" spans="1:19">
      <c r="A565" t="str" cm="1">
        <f t="array" ref="A565">IFERROR(INDEX(Create_TC_Web!D$1:D$510,SMALL(IF(Create_TC_Web!$C$1:$C$510&lt;&gt;"",MATCH(ROW(Create_TC_Web!$C$1:$C$510),ROW(Create_TC_Web!$C$1:$C$510)),""),ROW(Create_TC_Web!B575))),"")</f>
        <v/>
      </c>
      <c r="B565" t="str" cm="1">
        <f t="array" ref="B565">SUBSTITUTE(SUBSTITUTE(SUBSTITUTE(IFERROR(INDEX(Create_TC_Web!E$1:E$505,SMALL(IF(Create_TC_Web!$C$1:$C$505&lt;&gt;"",MATCH(ROW(Create_TC_Web!$C$1:$C$505),ROW(Create_TC_Web!$C$1:$C$505)),""),ROW(Create_TC_Web!C563))),"")," ",""),"-",""),"_","")</f>
        <v/>
      </c>
      <c r="C565" t="str" cm="1">
        <f t="array" ref="C565">IFERROR(INDEX(Create_TC_Web!F$1:F$510,SMALL(IF(Create_TC_Web!$C$1:$C$510&lt;&gt;"",MATCH(ROW(Create_TC_Web!$C$1:$C$510),ROW(Create_TC_Web!$C$1:$C$510)),""),ROW(Create_TC_Web!D575))),"")</f>
        <v/>
      </c>
      <c r="P565" s="17" t="str" cm="1">
        <f t="array" ref="P565">IFERROR(INDEX(Create_TC_Web!S$1:S$500,SMALL(IF(Create_TC_Web!$C$1:$C$500&lt;&gt;"",MATCH(ROW(Create_TC_Web!$C$1:$C$500),ROW(Create_TC_Web!$C$1:$C$500)),""),ROW(Create_TC_Web!Q541))),"")</f>
        <v/>
      </c>
      <c r="S565" t="str">
        <f t="shared" si="24"/>
        <v/>
      </c>
    </row>
    <row r="566" spans="1:19">
      <c r="A566" t="str" cm="1">
        <f t="array" ref="A566">IFERROR(INDEX(Create_TC_Web!D$1:D$510,SMALL(IF(Create_TC_Web!$C$1:$C$510&lt;&gt;"",MATCH(ROW(Create_TC_Web!$C$1:$C$510),ROW(Create_TC_Web!$C$1:$C$510)),""),ROW(Create_TC_Web!B576))),"")</f>
        <v/>
      </c>
      <c r="B566" t="str" cm="1">
        <f t="array" ref="B566">SUBSTITUTE(SUBSTITUTE(SUBSTITUTE(IFERROR(INDEX(Create_TC_Web!E$1:E$505,SMALL(IF(Create_TC_Web!$C$1:$C$505&lt;&gt;"",MATCH(ROW(Create_TC_Web!$C$1:$C$505),ROW(Create_TC_Web!$C$1:$C$505)),""),ROW(Create_TC_Web!C564))),"")," ",""),"-",""),"_","")</f>
        <v/>
      </c>
      <c r="C566" t="str" cm="1">
        <f t="array" ref="C566">IFERROR(INDEX(Create_TC_Web!F$1:F$510,SMALL(IF(Create_TC_Web!$C$1:$C$510&lt;&gt;"",MATCH(ROW(Create_TC_Web!$C$1:$C$510),ROW(Create_TC_Web!$C$1:$C$510)),""),ROW(Create_TC_Web!D576))),"")</f>
        <v/>
      </c>
      <c r="P566" s="17" t="str" cm="1">
        <f t="array" ref="P566">IFERROR(INDEX(Create_TC_Web!S$1:S$500,SMALL(IF(Create_TC_Web!$C$1:$C$500&lt;&gt;"",MATCH(ROW(Create_TC_Web!$C$1:$C$500),ROW(Create_TC_Web!$C$1:$C$500)),""),ROW(Create_TC_Web!Q542))),"")</f>
        <v/>
      </c>
      <c r="S566" t="str">
        <f t="shared" si="24"/>
        <v/>
      </c>
    </row>
    <row r="567" spans="1:19">
      <c r="A567" t="str" cm="1">
        <f t="array" ref="A567">IFERROR(INDEX(Create_TC_Web!D$1:D$510,SMALL(IF(Create_TC_Web!$C$1:$C$510&lt;&gt;"",MATCH(ROW(Create_TC_Web!$C$1:$C$510),ROW(Create_TC_Web!$C$1:$C$510)),""),ROW(Create_TC_Web!B577))),"")</f>
        <v/>
      </c>
      <c r="B567" t="str" cm="1">
        <f t="array" ref="B567">SUBSTITUTE(SUBSTITUTE(SUBSTITUTE(IFERROR(INDEX(Create_TC_Web!E$1:E$505,SMALL(IF(Create_TC_Web!$C$1:$C$505&lt;&gt;"",MATCH(ROW(Create_TC_Web!$C$1:$C$505),ROW(Create_TC_Web!$C$1:$C$505)),""),ROW(Create_TC_Web!C565))),"")," ",""),"-",""),"_","")</f>
        <v/>
      </c>
      <c r="C567" t="str" cm="1">
        <f t="array" ref="C567">IFERROR(INDEX(Create_TC_Web!F$1:F$510,SMALL(IF(Create_TC_Web!$C$1:$C$510&lt;&gt;"",MATCH(ROW(Create_TC_Web!$C$1:$C$510),ROW(Create_TC_Web!$C$1:$C$510)),""),ROW(Create_TC_Web!D577))),"")</f>
        <v/>
      </c>
      <c r="P567" s="17" t="str" cm="1">
        <f t="array" ref="P567">IFERROR(INDEX(Create_TC_Web!S$1:S$500,SMALL(IF(Create_TC_Web!$C$1:$C$500&lt;&gt;"",MATCH(ROW(Create_TC_Web!$C$1:$C$500),ROW(Create_TC_Web!$C$1:$C$500)),""),ROW(Create_TC_Web!Q543))),"")</f>
        <v/>
      </c>
      <c r="S567" t="str">
        <f t="shared" si="24"/>
        <v/>
      </c>
    </row>
    <row r="568" spans="1:19">
      <c r="A568" t="str" cm="1">
        <f t="array" ref="A568">IFERROR(INDEX(Create_TC_Web!D$1:D$510,SMALL(IF(Create_TC_Web!$C$1:$C$510&lt;&gt;"",MATCH(ROW(Create_TC_Web!$C$1:$C$510),ROW(Create_TC_Web!$C$1:$C$510)),""),ROW(Create_TC_Web!B578))),"")</f>
        <v/>
      </c>
      <c r="B568" t="str" cm="1">
        <f t="array" ref="B568">SUBSTITUTE(SUBSTITUTE(SUBSTITUTE(IFERROR(INDEX(Create_TC_Web!E$1:E$505,SMALL(IF(Create_TC_Web!$C$1:$C$505&lt;&gt;"",MATCH(ROW(Create_TC_Web!$C$1:$C$505),ROW(Create_TC_Web!$C$1:$C$505)),""),ROW(Create_TC_Web!C566))),"")," ",""),"-",""),"_","")</f>
        <v/>
      </c>
      <c r="C568" t="str" cm="1">
        <f t="array" ref="C568">IFERROR(INDEX(Create_TC_Web!F$1:F$510,SMALL(IF(Create_TC_Web!$C$1:$C$510&lt;&gt;"",MATCH(ROW(Create_TC_Web!$C$1:$C$510),ROW(Create_TC_Web!$C$1:$C$510)),""),ROW(Create_TC_Web!D578))),"")</f>
        <v/>
      </c>
      <c r="P568" s="17" t="str" cm="1">
        <f t="array" ref="P568">IFERROR(INDEX(Create_TC_Web!S$1:S$500,SMALL(IF(Create_TC_Web!$C$1:$C$500&lt;&gt;"",MATCH(ROW(Create_TC_Web!$C$1:$C$500),ROW(Create_TC_Web!$C$1:$C$500)),""),ROW(Create_TC_Web!Q544))),"")</f>
        <v/>
      </c>
      <c r="S568" t="str">
        <f t="shared" si="24"/>
        <v/>
      </c>
    </row>
    <row r="569" spans="1:19">
      <c r="A569" t="str" cm="1">
        <f t="array" ref="A569">IFERROR(INDEX(Create_TC_Web!D$1:D$510,SMALL(IF(Create_TC_Web!$C$1:$C$510&lt;&gt;"",MATCH(ROW(Create_TC_Web!$C$1:$C$510),ROW(Create_TC_Web!$C$1:$C$510)),""),ROW(Create_TC_Web!B579))),"")</f>
        <v/>
      </c>
      <c r="B569" t="str" cm="1">
        <f t="array" ref="B569">SUBSTITUTE(SUBSTITUTE(SUBSTITUTE(IFERROR(INDEX(Create_TC_Web!E$1:E$505,SMALL(IF(Create_TC_Web!$C$1:$C$505&lt;&gt;"",MATCH(ROW(Create_TC_Web!$C$1:$C$505),ROW(Create_TC_Web!$C$1:$C$505)),""),ROW(Create_TC_Web!C567))),"")," ",""),"-",""),"_","")</f>
        <v/>
      </c>
      <c r="C569" t="str" cm="1">
        <f t="array" ref="C569">IFERROR(INDEX(Create_TC_Web!F$1:F$510,SMALL(IF(Create_TC_Web!$C$1:$C$510&lt;&gt;"",MATCH(ROW(Create_TC_Web!$C$1:$C$510),ROW(Create_TC_Web!$C$1:$C$510)),""),ROW(Create_TC_Web!D579))),"")</f>
        <v/>
      </c>
      <c r="P569" s="17" t="str" cm="1">
        <f t="array" ref="P569">IFERROR(INDEX(Create_TC_Web!S$1:S$500,SMALL(IF(Create_TC_Web!$C$1:$C$500&lt;&gt;"",MATCH(ROW(Create_TC_Web!$C$1:$C$500),ROW(Create_TC_Web!$C$1:$C$500)),""),ROW(Create_TC_Web!Q545))),"")</f>
        <v/>
      </c>
      <c r="S569" t="str">
        <f t="shared" si="24"/>
        <v/>
      </c>
    </row>
    <row r="570" spans="1:19">
      <c r="A570" t="str" cm="1">
        <f t="array" ref="A570">IFERROR(INDEX(Create_TC_Web!D$1:D$510,SMALL(IF(Create_TC_Web!$C$1:$C$510&lt;&gt;"",MATCH(ROW(Create_TC_Web!$C$1:$C$510),ROW(Create_TC_Web!$C$1:$C$510)),""),ROW(Create_TC_Web!B580))),"")</f>
        <v/>
      </c>
      <c r="B570" t="str" cm="1">
        <f t="array" ref="B570">SUBSTITUTE(SUBSTITUTE(SUBSTITUTE(IFERROR(INDEX(Create_TC_Web!E$1:E$505,SMALL(IF(Create_TC_Web!$C$1:$C$505&lt;&gt;"",MATCH(ROW(Create_TC_Web!$C$1:$C$505),ROW(Create_TC_Web!$C$1:$C$505)),""),ROW(Create_TC_Web!C568))),"")," ",""),"-",""),"_","")</f>
        <v/>
      </c>
      <c r="C570" t="str" cm="1">
        <f t="array" ref="C570">IFERROR(INDEX(Create_TC_Web!F$1:F$510,SMALL(IF(Create_TC_Web!$C$1:$C$510&lt;&gt;"",MATCH(ROW(Create_TC_Web!$C$1:$C$510),ROW(Create_TC_Web!$C$1:$C$510)),""),ROW(Create_TC_Web!D580))),"")</f>
        <v/>
      </c>
      <c r="P570" s="17" t="str" cm="1">
        <f t="array" ref="P570">IFERROR(INDEX(Create_TC_Web!S$1:S$500,SMALL(IF(Create_TC_Web!$C$1:$C$500&lt;&gt;"",MATCH(ROW(Create_TC_Web!$C$1:$C$500),ROW(Create_TC_Web!$C$1:$C$500)),""),ROW(Create_TC_Web!Q546))),"")</f>
        <v/>
      </c>
      <c r="S570" t="str">
        <f t="shared" si="24"/>
        <v/>
      </c>
    </row>
    <row r="571" spans="1:19">
      <c r="A571" t="str" cm="1">
        <f t="array" ref="A571">IFERROR(INDEX(Create_TC_Web!D$1:D$510,SMALL(IF(Create_TC_Web!$C$1:$C$510&lt;&gt;"",MATCH(ROW(Create_TC_Web!$C$1:$C$510),ROW(Create_TC_Web!$C$1:$C$510)),""),ROW(Create_TC_Web!B581))),"")</f>
        <v/>
      </c>
      <c r="B571" t="str" cm="1">
        <f t="array" ref="B571">SUBSTITUTE(SUBSTITUTE(SUBSTITUTE(IFERROR(INDEX(Create_TC_Web!E$1:E$505,SMALL(IF(Create_TC_Web!$C$1:$C$505&lt;&gt;"",MATCH(ROW(Create_TC_Web!$C$1:$C$505),ROW(Create_TC_Web!$C$1:$C$505)),""),ROW(Create_TC_Web!C569))),"")," ",""),"-",""),"_","")</f>
        <v/>
      </c>
      <c r="C571" t="str" cm="1">
        <f t="array" ref="C571">IFERROR(INDEX(Create_TC_Web!F$1:F$510,SMALL(IF(Create_TC_Web!$C$1:$C$510&lt;&gt;"",MATCH(ROW(Create_TC_Web!$C$1:$C$510),ROW(Create_TC_Web!$C$1:$C$510)),""),ROW(Create_TC_Web!D581))),"")</f>
        <v/>
      </c>
      <c r="P571" s="17" t="str" cm="1">
        <f t="array" ref="P571">IFERROR(INDEX(Create_TC_Web!S$1:S$500,SMALL(IF(Create_TC_Web!$C$1:$C$500&lt;&gt;"",MATCH(ROW(Create_TC_Web!$C$1:$C$500),ROW(Create_TC_Web!$C$1:$C$500)),""),ROW(Create_TC_Web!Q547))),"")</f>
        <v/>
      </c>
      <c r="S571" t="str">
        <f t="shared" si="24"/>
        <v/>
      </c>
    </row>
    <row r="572" spans="1:19">
      <c r="A572" t="str" cm="1">
        <f t="array" ref="A572">IFERROR(INDEX(Create_TC_Web!D$1:D$510,SMALL(IF(Create_TC_Web!$C$1:$C$510&lt;&gt;"",MATCH(ROW(Create_TC_Web!$C$1:$C$510),ROW(Create_TC_Web!$C$1:$C$510)),""),ROW(Create_TC_Web!B582))),"")</f>
        <v/>
      </c>
      <c r="B572" t="str" cm="1">
        <f t="array" ref="B572">SUBSTITUTE(SUBSTITUTE(SUBSTITUTE(IFERROR(INDEX(Create_TC_Web!E$1:E$505,SMALL(IF(Create_TC_Web!$C$1:$C$505&lt;&gt;"",MATCH(ROW(Create_TC_Web!$C$1:$C$505),ROW(Create_TC_Web!$C$1:$C$505)),""),ROW(Create_TC_Web!C570))),"")," ",""),"-",""),"_","")</f>
        <v/>
      </c>
      <c r="C572" t="str" cm="1">
        <f t="array" ref="C572">IFERROR(INDEX(Create_TC_Web!F$1:F$510,SMALL(IF(Create_TC_Web!$C$1:$C$510&lt;&gt;"",MATCH(ROW(Create_TC_Web!$C$1:$C$510),ROW(Create_TC_Web!$C$1:$C$510)),""),ROW(Create_TC_Web!D582))),"")</f>
        <v/>
      </c>
      <c r="P572" s="17" t="str" cm="1">
        <f t="array" ref="P572">IFERROR(INDEX(Create_TC_Web!S$1:S$500,SMALL(IF(Create_TC_Web!$C$1:$C$500&lt;&gt;"",MATCH(ROW(Create_TC_Web!$C$1:$C$500),ROW(Create_TC_Web!$C$1:$C$500)),""),ROW(Create_TC_Web!Q548))),"")</f>
        <v/>
      </c>
      <c r="S572" t="str">
        <f t="shared" si="24"/>
        <v/>
      </c>
    </row>
    <row r="573" spans="1:19">
      <c r="A573" t="str" cm="1">
        <f t="array" ref="A573">IFERROR(INDEX(Create_TC_Web!D$1:D$510,SMALL(IF(Create_TC_Web!$C$1:$C$510&lt;&gt;"",MATCH(ROW(Create_TC_Web!$C$1:$C$510),ROW(Create_TC_Web!$C$1:$C$510)),""),ROW(Create_TC_Web!B583))),"")</f>
        <v/>
      </c>
      <c r="B573" t="str" cm="1">
        <f t="array" ref="B573">SUBSTITUTE(SUBSTITUTE(SUBSTITUTE(IFERROR(INDEX(Create_TC_Web!E$1:E$505,SMALL(IF(Create_TC_Web!$C$1:$C$505&lt;&gt;"",MATCH(ROW(Create_TC_Web!$C$1:$C$505),ROW(Create_TC_Web!$C$1:$C$505)),""),ROW(Create_TC_Web!C571))),"")," ",""),"-",""),"_","")</f>
        <v/>
      </c>
      <c r="C573" t="str" cm="1">
        <f t="array" ref="C573">IFERROR(INDEX(Create_TC_Web!F$1:F$510,SMALL(IF(Create_TC_Web!$C$1:$C$510&lt;&gt;"",MATCH(ROW(Create_TC_Web!$C$1:$C$510),ROW(Create_TC_Web!$C$1:$C$510)),""),ROW(Create_TC_Web!D583))),"")</f>
        <v/>
      </c>
      <c r="P573" s="17" t="str" cm="1">
        <f t="array" ref="P573">IFERROR(INDEX(Create_TC_Web!S$1:S$500,SMALL(IF(Create_TC_Web!$C$1:$C$500&lt;&gt;"",MATCH(ROW(Create_TC_Web!$C$1:$C$500),ROW(Create_TC_Web!$C$1:$C$500)),""),ROW(Create_TC_Web!Q549))),"")</f>
        <v/>
      </c>
      <c r="S573" t="str">
        <f t="shared" si="24"/>
        <v/>
      </c>
    </row>
    <row r="574" spans="1:19">
      <c r="A574" t="str" cm="1">
        <f t="array" ref="A574">IFERROR(INDEX(Create_TC_Web!D$1:D$510,SMALL(IF(Create_TC_Web!$C$1:$C$510&lt;&gt;"",MATCH(ROW(Create_TC_Web!$C$1:$C$510),ROW(Create_TC_Web!$C$1:$C$510)),""),ROW(Create_TC_Web!B584))),"")</f>
        <v/>
      </c>
      <c r="B574" t="str" cm="1">
        <f t="array" ref="B574">SUBSTITUTE(SUBSTITUTE(SUBSTITUTE(IFERROR(INDEX(Create_TC_Web!E$1:E$505,SMALL(IF(Create_TC_Web!$C$1:$C$505&lt;&gt;"",MATCH(ROW(Create_TC_Web!$C$1:$C$505),ROW(Create_TC_Web!$C$1:$C$505)),""),ROW(Create_TC_Web!C572))),"")," ",""),"-",""),"_","")</f>
        <v/>
      </c>
      <c r="C574" t="str" cm="1">
        <f t="array" ref="C574">IFERROR(INDEX(Create_TC_Web!F$1:F$510,SMALL(IF(Create_TC_Web!$C$1:$C$510&lt;&gt;"",MATCH(ROW(Create_TC_Web!$C$1:$C$510),ROW(Create_TC_Web!$C$1:$C$510)),""),ROW(Create_TC_Web!D584))),"")</f>
        <v/>
      </c>
      <c r="P574" s="17" t="str" cm="1">
        <f t="array" ref="P574">IFERROR(INDEX(Create_TC_Web!S$1:S$500,SMALL(IF(Create_TC_Web!$C$1:$C$500&lt;&gt;"",MATCH(ROW(Create_TC_Web!$C$1:$C$500),ROW(Create_TC_Web!$C$1:$C$500)),""),ROW(Create_TC_Web!Q550))),"")</f>
        <v/>
      </c>
      <c r="S574" t="str">
        <f t="shared" si="24"/>
        <v/>
      </c>
    </row>
    <row r="575" spans="1:19">
      <c r="A575" t="str" cm="1">
        <f t="array" ref="A575">IFERROR(INDEX(Create_TC_Web!D$1:D$1510,SMALL(IF(Create_TC_Web!$C$1:$C$1510&lt;&gt;"",MATCH(ROW(Create_TC_Web!$C$1:$C$1510),ROW(Create_TC_Web!$C$1:$C$1510)),""),ROW(Create_TC_Web!B600))),"")</f>
        <v/>
      </c>
      <c r="B575" t="str" cm="1">
        <f t="array" ref="B575">SUBSTITUTE(SUBSTITUTE(SUBSTITUTE(IFERROR(INDEX(Create_TC_Web!E$1:E$505,SMALL(IF(Create_TC_Web!$C$1:$C$505&lt;&gt;"",MATCH(ROW(Create_TC_Web!$C$1:$C$505),ROW(Create_TC_Web!$C$1:$C$505)),""),ROW(Create_TC_Web!C573))),"")," ",""),"-",""),"_","")</f>
        <v/>
      </c>
      <c r="P575" s="17" t="str" cm="1">
        <f t="array" ref="P575">IFERROR(INDEX(Create_TC_Web!S$1:S$500,SMALL(IF(Create_TC_Web!$C$1:$C$500&lt;&gt;"",MATCH(ROW(Create_TC_Web!$C$1:$C$500),ROW(Create_TC_Web!$C$1:$C$500)),""),ROW(Create_TC_Web!Q551))),"")</f>
        <v/>
      </c>
      <c r="S575" t="str">
        <f t="shared" si="24"/>
        <v/>
      </c>
    </row>
    <row r="576" spans="1:19">
      <c r="A576" t="str" cm="1">
        <f t="array" ref="A576">IFERROR(INDEX(Create_TC_Web!D$1:D$1510,SMALL(IF(Create_TC_Web!$C$1:$C$1510&lt;&gt;"",MATCH(ROW(Create_TC_Web!$C$1:$C$1510),ROW(Create_TC_Web!$C$1:$C$1510)),""),ROW(Create_TC_Web!B601))),"")</f>
        <v/>
      </c>
      <c r="B576" t="str" cm="1">
        <f t="array" ref="B576">SUBSTITUTE(SUBSTITUTE(SUBSTITUTE(IFERROR(INDEX(Create_TC_Web!E$1:E$505,SMALL(IF(Create_TC_Web!$C$1:$C$505&lt;&gt;"",MATCH(ROW(Create_TC_Web!$C$1:$C$505),ROW(Create_TC_Web!$C$1:$C$505)),""),ROW(Create_TC_Web!C574))),"")," ",""),"-",""),"_","")</f>
        <v/>
      </c>
      <c r="P576" s="17" t="str" cm="1">
        <f t="array" ref="P576">IFERROR(INDEX(Create_TC_Web!S$1:S$500,SMALL(IF(Create_TC_Web!$C$1:$C$500&lt;&gt;"",MATCH(ROW(Create_TC_Web!$C$1:$C$500),ROW(Create_TC_Web!$C$1:$C$500)),""),ROW(Create_TC_Web!Q552))),"")</f>
        <v/>
      </c>
      <c r="S576" t="str">
        <f t="shared" si="24"/>
        <v/>
      </c>
    </row>
    <row r="577" spans="1:19">
      <c r="A577" t="str" cm="1">
        <f t="array" ref="A577">IFERROR(INDEX(Create_TC_Web!D$1:D$1510,SMALL(IF(Create_TC_Web!$C$1:$C$1510&lt;&gt;"",MATCH(ROW(Create_TC_Web!$C$1:$C$1510),ROW(Create_TC_Web!$C$1:$C$1510)),""),ROW(Create_TC_Web!B602))),"")</f>
        <v/>
      </c>
      <c r="B577" t="str" cm="1">
        <f t="array" ref="B577">SUBSTITUTE(SUBSTITUTE(SUBSTITUTE(IFERROR(INDEX(Create_TC_Web!E$1:E$505,SMALL(IF(Create_TC_Web!$C$1:$C$505&lt;&gt;"",MATCH(ROW(Create_TC_Web!$C$1:$C$505),ROW(Create_TC_Web!$C$1:$C$505)),""),ROW(Create_TC_Web!C575))),"")," ",""),"-",""),"_","")</f>
        <v/>
      </c>
      <c r="P577" s="17" t="str" cm="1">
        <f t="array" ref="P577">IFERROR(INDEX(Create_TC_Web!S$1:S$500,SMALL(IF(Create_TC_Web!$C$1:$C$500&lt;&gt;"",MATCH(ROW(Create_TC_Web!$C$1:$C$500),ROW(Create_TC_Web!$C$1:$C$500)),""),ROW(Create_TC_Web!Q553))),"")</f>
        <v/>
      </c>
      <c r="S577" t="str">
        <f t="shared" si="24"/>
        <v/>
      </c>
    </row>
    <row r="578" spans="1:19">
      <c r="A578" t="str" cm="1">
        <f t="array" ref="A578">IFERROR(INDEX(Create_TC_Web!D$1:D$1510,SMALL(IF(Create_TC_Web!$C$1:$C$1510&lt;&gt;"",MATCH(ROW(Create_TC_Web!$C$1:$C$1510),ROW(Create_TC_Web!$C$1:$C$1510)),""),ROW(Create_TC_Web!B603))),"")</f>
        <v/>
      </c>
      <c r="B578" t="str" cm="1">
        <f t="array" ref="B578">SUBSTITUTE(SUBSTITUTE(SUBSTITUTE(IFERROR(INDEX(Create_TC_Web!E$1:E$505,SMALL(IF(Create_TC_Web!$C$1:$C$505&lt;&gt;"",MATCH(ROW(Create_TC_Web!$C$1:$C$505),ROW(Create_TC_Web!$C$1:$C$505)),""),ROW(Create_TC_Web!C576))),"")," ",""),"-",""),"_","")</f>
        <v/>
      </c>
      <c r="P578" s="17" t="str" cm="1">
        <f t="array" ref="P578">IFERROR(INDEX(Create_TC_Web!S$1:S$500,SMALL(IF(Create_TC_Web!$C$1:$C$500&lt;&gt;"",MATCH(ROW(Create_TC_Web!$C$1:$C$500),ROW(Create_TC_Web!$C$1:$C$500)),""),ROW(Create_TC_Web!Q554))),"")</f>
        <v/>
      </c>
      <c r="S578" t="str">
        <f t="shared" si="24"/>
        <v/>
      </c>
    </row>
    <row r="579" spans="1:19">
      <c r="A579" t="str" cm="1">
        <f t="array" ref="A579">IFERROR(INDEX(Create_TC_Web!D$1:D$1510,SMALL(IF(Create_TC_Web!$C$1:$C$1510&lt;&gt;"",MATCH(ROW(Create_TC_Web!$C$1:$C$1510),ROW(Create_TC_Web!$C$1:$C$1510)),""),ROW(Create_TC_Web!B604))),"")</f>
        <v/>
      </c>
      <c r="B579" t="str" cm="1">
        <f t="array" ref="B579">SUBSTITUTE(SUBSTITUTE(SUBSTITUTE(IFERROR(INDEX(Create_TC_Web!E$1:E$505,SMALL(IF(Create_TC_Web!$C$1:$C$505&lt;&gt;"",MATCH(ROW(Create_TC_Web!$C$1:$C$505),ROW(Create_TC_Web!$C$1:$C$505)),""),ROW(Create_TC_Web!C577))),"")," ",""),"-",""),"_","")</f>
        <v/>
      </c>
      <c r="P579" s="17" t="str" cm="1">
        <f t="array" ref="P579">IFERROR(INDEX(Create_TC_Web!S$1:S$500,SMALL(IF(Create_TC_Web!$C$1:$C$500&lt;&gt;"",MATCH(ROW(Create_TC_Web!$C$1:$C$500),ROW(Create_TC_Web!$C$1:$C$500)),""),ROW(Create_TC_Web!Q555))),"")</f>
        <v/>
      </c>
      <c r="S579" t="str">
        <f t="shared" ref="S579:S642" si="26">IF(P579&lt;&gt;0,P579,"")</f>
        <v/>
      </c>
    </row>
    <row r="580" spans="1:19">
      <c r="A580" t="str" cm="1">
        <f t="array" ref="A580">IFERROR(INDEX(Create_TC_Web!D$1:D$1510,SMALL(IF(Create_TC_Web!$C$1:$C$1510&lt;&gt;"",MATCH(ROW(Create_TC_Web!$C$1:$C$1510),ROW(Create_TC_Web!$C$1:$C$1510)),""),ROW(Create_TC_Web!B605))),"")</f>
        <v/>
      </c>
      <c r="B580" t="str" cm="1">
        <f t="array" ref="B580">SUBSTITUTE(SUBSTITUTE(SUBSTITUTE(IFERROR(INDEX(Create_TC_Web!E$1:E$505,SMALL(IF(Create_TC_Web!$C$1:$C$505&lt;&gt;"",MATCH(ROW(Create_TC_Web!$C$1:$C$505),ROW(Create_TC_Web!$C$1:$C$505)),""),ROW(Create_TC_Web!C578))),"")," ",""),"-",""),"_","")</f>
        <v/>
      </c>
      <c r="P580" s="17" t="str" cm="1">
        <f t="array" ref="P580">IFERROR(INDEX(Create_TC_Web!S$1:S$500,SMALL(IF(Create_TC_Web!$C$1:$C$500&lt;&gt;"",MATCH(ROW(Create_TC_Web!$C$1:$C$500),ROW(Create_TC_Web!$C$1:$C$500)),""),ROW(Create_TC_Web!Q556))),"")</f>
        <v/>
      </c>
      <c r="S580" t="str">
        <f t="shared" si="26"/>
        <v/>
      </c>
    </row>
    <row r="581" spans="1:19">
      <c r="A581" t="str" cm="1">
        <f t="array" ref="A581">IFERROR(INDEX(Create_TC_Web!D$1:D$1510,SMALL(IF(Create_TC_Web!$C$1:$C$1510&lt;&gt;"",MATCH(ROW(Create_TC_Web!$C$1:$C$1510),ROW(Create_TC_Web!$C$1:$C$1510)),""),ROW(Create_TC_Web!B606))),"")</f>
        <v/>
      </c>
      <c r="B581" t="str" cm="1">
        <f t="array" ref="B581">SUBSTITUTE(SUBSTITUTE(SUBSTITUTE(IFERROR(INDEX(Create_TC_Web!E$1:E$505,SMALL(IF(Create_TC_Web!$C$1:$C$505&lt;&gt;"",MATCH(ROW(Create_TC_Web!$C$1:$C$505),ROW(Create_TC_Web!$C$1:$C$505)),""),ROW(Create_TC_Web!C579))),"")," ",""),"-",""),"_","")</f>
        <v/>
      </c>
      <c r="P581" s="17" t="str" cm="1">
        <f t="array" ref="P581">IFERROR(INDEX(Create_TC_Web!S$1:S$500,SMALL(IF(Create_TC_Web!$C$1:$C$500&lt;&gt;"",MATCH(ROW(Create_TC_Web!$C$1:$C$500),ROW(Create_TC_Web!$C$1:$C$500)),""),ROW(Create_TC_Web!Q557))),"")</f>
        <v/>
      </c>
      <c r="S581" t="str">
        <f t="shared" si="26"/>
        <v/>
      </c>
    </row>
    <row r="582" spans="1:19">
      <c r="A582" t="str" cm="1">
        <f t="array" ref="A582">IFERROR(INDEX(Create_TC_Web!D$1:D$1510,SMALL(IF(Create_TC_Web!$C$1:$C$1510&lt;&gt;"",MATCH(ROW(Create_TC_Web!$C$1:$C$1510),ROW(Create_TC_Web!$C$1:$C$1510)),""),ROW(Create_TC_Web!B607))),"")</f>
        <v/>
      </c>
      <c r="B582" t="str" cm="1">
        <f t="array" ref="B582">SUBSTITUTE(SUBSTITUTE(SUBSTITUTE(IFERROR(INDEX(Create_TC_Web!E$1:E$505,SMALL(IF(Create_TC_Web!$C$1:$C$505&lt;&gt;"",MATCH(ROW(Create_TC_Web!$C$1:$C$505),ROW(Create_TC_Web!$C$1:$C$505)),""),ROW(Create_TC_Web!C580))),"")," ",""),"-",""),"_","")</f>
        <v/>
      </c>
      <c r="P582" s="17" t="str" cm="1">
        <f t="array" ref="P582">IFERROR(INDEX(Create_TC_Web!S$1:S$500,SMALL(IF(Create_TC_Web!$C$1:$C$500&lt;&gt;"",MATCH(ROW(Create_TC_Web!$C$1:$C$500),ROW(Create_TC_Web!$C$1:$C$500)),""),ROW(Create_TC_Web!Q558))),"")</f>
        <v/>
      </c>
      <c r="S582" t="str">
        <f t="shared" si="26"/>
        <v/>
      </c>
    </row>
    <row r="583" spans="1:19">
      <c r="A583" t="str" cm="1">
        <f t="array" ref="A583">IFERROR(INDEX(Create_TC_Web!D$1:D$1510,SMALL(IF(Create_TC_Web!$C$1:$C$1510&lt;&gt;"",MATCH(ROW(Create_TC_Web!$C$1:$C$1510),ROW(Create_TC_Web!$C$1:$C$1510)),""),ROW(Create_TC_Web!B608))),"")</f>
        <v/>
      </c>
      <c r="B583" t="str" cm="1">
        <f t="array" ref="B583">SUBSTITUTE(SUBSTITUTE(SUBSTITUTE(IFERROR(INDEX(Create_TC_Web!E$1:E$505,SMALL(IF(Create_TC_Web!$C$1:$C$505&lt;&gt;"",MATCH(ROW(Create_TC_Web!$C$1:$C$505),ROW(Create_TC_Web!$C$1:$C$505)),""),ROW(Create_TC_Web!C581))),"")," ",""),"-",""),"_","")</f>
        <v/>
      </c>
      <c r="P583" s="17" t="str" cm="1">
        <f t="array" ref="P583">IFERROR(INDEX(Create_TC_Web!S$1:S$500,SMALL(IF(Create_TC_Web!$C$1:$C$500&lt;&gt;"",MATCH(ROW(Create_TC_Web!$C$1:$C$500),ROW(Create_TC_Web!$C$1:$C$500)),""),ROW(Create_TC_Web!Q559))),"")</f>
        <v/>
      </c>
      <c r="S583" t="str">
        <f t="shared" si="26"/>
        <v/>
      </c>
    </row>
    <row r="584" spans="1:19">
      <c r="A584" t="str" cm="1">
        <f t="array" ref="A584">IFERROR(INDEX(Create_TC_Web!D$1:D$1510,SMALL(IF(Create_TC_Web!$C$1:$C$1510&lt;&gt;"",MATCH(ROW(Create_TC_Web!$C$1:$C$1510),ROW(Create_TC_Web!$C$1:$C$1510)),""),ROW(Create_TC_Web!B609))),"")</f>
        <v/>
      </c>
      <c r="B584" t="str" cm="1">
        <f t="array" ref="B584">SUBSTITUTE(SUBSTITUTE(SUBSTITUTE(IFERROR(INDEX(Create_TC_Web!E$1:E$505,SMALL(IF(Create_TC_Web!$C$1:$C$505&lt;&gt;"",MATCH(ROW(Create_TC_Web!$C$1:$C$505),ROW(Create_TC_Web!$C$1:$C$505)),""),ROW(Create_TC_Web!C582))),"")," ",""),"-",""),"_","")</f>
        <v/>
      </c>
      <c r="P584" s="17" t="str" cm="1">
        <f t="array" ref="P584">IFERROR(INDEX(Create_TC_Web!S$1:S$500,SMALL(IF(Create_TC_Web!$C$1:$C$500&lt;&gt;"",MATCH(ROW(Create_TC_Web!$C$1:$C$500),ROW(Create_TC_Web!$C$1:$C$500)),""),ROW(Create_TC_Web!Q560))),"")</f>
        <v/>
      </c>
      <c r="S584" t="str">
        <f t="shared" si="26"/>
        <v/>
      </c>
    </row>
    <row r="585" spans="1:19">
      <c r="A585" t="str" cm="1">
        <f t="array" ref="A585">IFERROR(INDEX(Create_TC_Web!D$1:D$1510,SMALL(IF(Create_TC_Web!$C$1:$C$1510&lt;&gt;"",MATCH(ROW(Create_TC_Web!$C$1:$C$1510),ROW(Create_TC_Web!$C$1:$C$1510)),""),ROW(Create_TC_Web!B610))),"")</f>
        <v/>
      </c>
      <c r="B585" t="str" cm="1">
        <f t="array" ref="B585">SUBSTITUTE(SUBSTITUTE(SUBSTITUTE(IFERROR(INDEX(Create_TC_Web!E$1:E$505,SMALL(IF(Create_TC_Web!$C$1:$C$505&lt;&gt;"",MATCH(ROW(Create_TC_Web!$C$1:$C$505),ROW(Create_TC_Web!$C$1:$C$505)),""),ROW(Create_TC_Web!C583))),"")," ",""),"-",""),"_","")</f>
        <v/>
      </c>
      <c r="P585" s="17" t="str" cm="1">
        <f t="array" ref="P585">IFERROR(INDEX(Create_TC_Web!S$1:S$500,SMALL(IF(Create_TC_Web!$C$1:$C$500&lt;&gt;"",MATCH(ROW(Create_TC_Web!$C$1:$C$500),ROW(Create_TC_Web!$C$1:$C$500)),""),ROW(Create_TC_Web!Q561))),"")</f>
        <v/>
      </c>
      <c r="S585" t="str">
        <f t="shared" si="26"/>
        <v/>
      </c>
    </row>
    <row r="586" spans="1:19">
      <c r="A586" t="str" cm="1">
        <f t="array" ref="A586">IFERROR(INDEX(Create_TC_Web!D$1:D$1510,SMALL(IF(Create_TC_Web!$C$1:$C$1510&lt;&gt;"",MATCH(ROW(Create_TC_Web!$C$1:$C$1510),ROW(Create_TC_Web!$C$1:$C$1510)),""),ROW(Create_TC_Web!B611))),"")</f>
        <v/>
      </c>
      <c r="B586" t="str" cm="1">
        <f t="array" ref="B586">SUBSTITUTE(SUBSTITUTE(SUBSTITUTE(IFERROR(INDEX(Create_TC_Web!E$1:E$505,SMALL(IF(Create_TC_Web!$C$1:$C$505&lt;&gt;"",MATCH(ROW(Create_TC_Web!$C$1:$C$505),ROW(Create_TC_Web!$C$1:$C$505)),""),ROW(Create_TC_Web!C584))),"")," ",""),"-",""),"_","")</f>
        <v/>
      </c>
      <c r="P586" s="17" t="str" cm="1">
        <f t="array" ref="P586">IFERROR(INDEX(Create_TC_Web!S$1:S$500,SMALL(IF(Create_TC_Web!$C$1:$C$500&lt;&gt;"",MATCH(ROW(Create_TC_Web!$C$1:$C$500),ROW(Create_TC_Web!$C$1:$C$500)),""),ROW(Create_TC_Web!Q562))),"")</f>
        <v/>
      </c>
      <c r="S586" t="str">
        <f t="shared" si="26"/>
        <v/>
      </c>
    </row>
    <row r="587" spans="1:19">
      <c r="A587" t="str" cm="1">
        <f t="array" ref="A587">IFERROR(INDEX(Create_TC_Web!D$1:D$1510,SMALL(IF(Create_TC_Web!$C$1:$C$1510&lt;&gt;"",MATCH(ROW(Create_TC_Web!$C$1:$C$1510),ROW(Create_TC_Web!$C$1:$C$1510)),""),ROW(Create_TC_Web!B612))),"")</f>
        <v/>
      </c>
      <c r="B587" t="str" cm="1">
        <f t="array" ref="B587">SUBSTITUTE(SUBSTITUTE(SUBSTITUTE(IFERROR(INDEX(Create_TC_Web!E$1:E$505,SMALL(IF(Create_TC_Web!$C$1:$C$505&lt;&gt;"",MATCH(ROW(Create_TC_Web!$C$1:$C$505),ROW(Create_TC_Web!$C$1:$C$505)),""),ROW(Create_TC_Web!C585))),"")," ",""),"-",""),"_","")</f>
        <v/>
      </c>
      <c r="P587" s="17" t="str" cm="1">
        <f t="array" ref="P587">IFERROR(INDEX(Create_TC_Web!S$1:S$500,SMALL(IF(Create_TC_Web!$C$1:$C$500&lt;&gt;"",MATCH(ROW(Create_TC_Web!$C$1:$C$500),ROW(Create_TC_Web!$C$1:$C$500)),""),ROW(Create_TC_Web!Q563))),"")</f>
        <v/>
      </c>
      <c r="S587" t="str">
        <f t="shared" si="26"/>
        <v/>
      </c>
    </row>
    <row r="588" spans="1:19">
      <c r="A588" t="str" cm="1">
        <f t="array" ref="A588">IFERROR(INDEX(Create_TC_Web!D$1:D$1510,SMALL(IF(Create_TC_Web!$C$1:$C$1510&lt;&gt;"",MATCH(ROW(Create_TC_Web!$C$1:$C$1510),ROW(Create_TC_Web!$C$1:$C$1510)),""),ROW(Create_TC_Web!B613))),"")</f>
        <v/>
      </c>
      <c r="B588" t="str" cm="1">
        <f t="array" ref="B588">SUBSTITUTE(SUBSTITUTE(SUBSTITUTE(IFERROR(INDEX(Create_TC_Web!E$1:E$505,SMALL(IF(Create_TC_Web!$C$1:$C$505&lt;&gt;"",MATCH(ROW(Create_TC_Web!$C$1:$C$505),ROW(Create_TC_Web!$C$1:$C$505)),""),ROW(Create_TC_Web!C586))),"")," ",""),"-",""),"_","")</f>
        <v/>
      </c>
      <c r="P588" s="17" t="str" cm="1">
        <f t="array" ref="P588">IFERROR(INDEX(Create_TC_Web!S$1:S$500,SMALL(IF(Create_TC_Web!$C$1:$C$500&lt;&gt;"",MATCH(ROW(Create_TC_Web!$C$1:$C$500),ROW(Create_TC_Web!$C$1:$C$500)),""),ROW(Create_TC_Web!Q564))),"")</f>
        <v/>
      </c>
      <c r="S588" t="str">
        <f t="shared" si="26"/>
        <v/>
      </c>
    </row>
    <row r="589" spans="1:19">
      <c r="A589" t="str" cm="1">
        <f t="array" ref="A589">IFERROR(INDEX(Create_TC_Web!D$1:D$1510,SMALL(IF(Create_TC_Web!$C$1:$C$1510&lt;&gt;"",MATCH(ROW(Create_TC_Web!$C$1:$C$1510),ROW(Create_TC_Web!$C$1:$C$1510)),""),ROW(Create_TC_Web!B614))),"")</f>
        <v/>
      </c>
      <c r="B589" t="str" cm="1">
        <f t="array" ref="B589">SUBSTITUTE(SUBSTITUTE(SUBSTITUTE(IFERROR(INDEX(Create_TC_Web!E$1:E$505,SMALL(IF(Create_TC_Web!$C$1:$C$505&lt;&gt;"",MATCH(ROW(Create_TC_Web!$C$1:$C$505),ROW(Create_TC_Web!$C$1:$C$505)),""),ROW(Create_TC_Web!C587))),"")," ",""),"-",""),"_","")</f>
        <v/>
      </c>
      <c r="P589" s="17" t="str" cm="1">
        <f t="array" ref="P589">IFERROR(INDEX(Create_TC_Web!S$1:S$500,SMALL(IF(Create_TC_Web!$C$1:$C$500&lt;&gt;"",MATCH(ROW(Create_TC_Web!$C$1:$C$500),ROW(Create_TC_Web!$C$1:$C$500)),""),ROW(Create_TC_Web!Q565))),"")</f>
        <v/>
      </c>
      <c r="S589" t="str">
        <f t="shared" si="26"/>
        <v/>
      </c>
    </row>
    <row r="590" spans="1:19">
      <c r="A590" t="str" cm="1">
        <f t="array" ref="A590">IFERROR(INDEX(Create_TC_Web!D$1:D$1510,SMALL(IF(Create_TC_Web!$C$1:$C$1510&lt;&gt;"",MATCH(ROW(Create_TC_Web!$C$1:$C$1510),ROW(Create_TC_Web!$C$1:$C$1510)),""),ROW(Create_TC_Web!B615))),"")</f>
        <v/>
      </c>
      <c r="B590" t="str" cm="1">
        <f t="array" ref="B590">SUBSTITUTE(SUBSTITUTE(SUBSTITUTE(IFERROR(INDEX(Create_TC_Web!E$1:E$505,SMALL(IF(Create_TC_Web!$C$1:$C$505&lt;&gt;"",MATCH(ROW(Create_TC_Web!$C$1:$C$505),ROW(Create_TC_Web!$C$1:$C$505)),""),ROW(Create_TC_Web!C588))),"")," ",""),"-",""),"_","")</f>
        <v/>
      </c>
      <c r="P590" s="17" t="str" cm="1">
        <f t="array" ref="P590">IFERROR(INDEX(Create_TC_Web!S$1:S$500,SMALL(IF(Create_TC_Web!$C$1:$C$500&lt;&gt;"",MATCH(ROW(Create_TC_Web!$C$1:$C$500),ROW(Create_TC_Web!$C$1:$C$500)),""),ROW(Create_TC_Web!Q566))),"")</f>
        <v/>
      </c>
      <c r="S590" t="str">
        <f t="shared" si="26"/>
        <v/>
      </c>
    </row>
    <row r="591" spans="1:19">
      <c r="A591" t="str" cm="1">
        <f t="array" ref="A591">IFERROR(INDEX(Create_TC_Web!D$1:D$1510,SMALL(IF(Create_TC_Web!$C$1:$C$1510&lt;&gt;"",MATCH(ROW(Create_TC_Web!$C$1:$C$1510),ROW(Create_TC_Web!$C$1:$C$1510)),""),ROW(Create_TC_Web!B616))),"")</f>
        <v/>
      </c>
      <c r="B591" t="str" cm="1">
        <f t="array" ref="B591">SUBSTITUTE(SUBSTITUTE(SUBSTITUTE(IFERROR(INDEX(Create_TC_Web!E$1:E$505,SMALL(IF(Create_TC_Web!$C$1:$C$505&lt;&gt;"",MATCH(ROW(Create_TC_Web!$C$1:$C$505),ROW(Create_TC_Web!$C$1:$C$505)),""),ROW(Create_TC_Web!C589))),"")," ",""),"-",""),"_","")</f>
        <v/>
      </c>
      <c r="P591" s="17" t="str" cm="1">
        <f t="array" ref="P591">IFERROR(INDEX(Create_TC_Web!S$1:S$500,SMALL(IF(Create_TC_Web!$C$1:$C$500&lt;&gt;"",MATCH(ROW(Create_TC_Web!$C$1:$C$500),ROW(Create_TC_Web!$C$1:$C$500)),""),ROW(Create_TC_Web!Q567))),"")</f>
        <v/>
      </c>
      <c r="S591" t="str">
        <f t="shared" si="26"/>
        <v/>
      </c>
    </row>
    <row r="592" spans="1:19">
      <c r="A592" t="str" cm="1">
        <f t="array" ref="A592">IFERROR(INDEX(Create_TC_Web!D$1:D$1510,SMALL(IF(Create_TC_Web!$C$1:$C$1510&lt;&gt;"",MATCH(ROW(Create_TC_Web!$C$1:$C$1510),ROW(Create_TC_Web!$C$1:$C$1510)),""),ROW(Create_TC_Web!B617))),"")</f>
        <v/>
      </c>
      <c r="B592" t="str" cm="1">
        <f t="array" ref="B592">SUBSTITUTE(SUBSTITUTE(SUBSTITUTE(IFERROR(INDEX(Create_TC_Web!E$1:E$505,SMALL(IF(Create_TC_Web!$C$1:$C$505&lt;&gt;"",MATCH(ROW(Create_TC_Web!$C$1:$C$505),ROW(Create_TC_Web!$C$1:$C$505)),""),ROW(Create_TC_Web!C590))),"")," ",""),"-",""),"_","")</f>
        <v/>
      </c>
      <c r="P592" s="17" t="str" cm="1">
        <f t="array" ref="P592">IFERROR(INDEX(Create_TC_Web!S$1:S$500,SMALL(IF(Create_TC_Web!$C$1:$C$500&lt;&gt;"",MATCH(ROW(Create_TC_Web!$C$1:$C$500),ROW(Create_TC_Web!$C$1:$C$500)),""),ROW(Create_TC_Web!Q568))),"")</f>
        <v/>
      </c>
      <c r="S592" t="str">
        <f t="shared" si="26"/>
        <v/>
      </c>
    </row>
    <row r="593" spans="1:19">
      <c r="A593" t="str" cm="1">
        <f t="array" ref="A593">IFERROR(INDEX(Create_TC_Web!D$1:D$1510,SMALL(IF(Create_TC_Web!$C$1:$C$1510&lt;&gt;"",MATCH(ROW(Create_TC_Web!$C$1:$C$1510),ROW(Create_TC_Web!$C$1:$C$1510)),""),ROW(Create_TC_Web!B618))),"")</f>
        <v/>
      </c>
      <c r="B593" t="str" cm="1">
        <f t="array" ref="B593">SUBSTITUTE(SUBSTITUTE(SUBSTITUTE(IFERROR(INDEX(Create_TC_Web!E$1:E$505,SMALL(IF(Create_TC_Web!$C$1:$C$505&lt;&gt;"",MATCH(ROW(Create_TC_Web!$C$1:$C$505),ROW(Create_TC_Web!$C$1:$C$505)),""),ROW(Create_TC_Web!C591))),"")," ",""),"-",""),"_","")</f>
        <v/>
      </c>
      <c r="P593" s="17" t="str" cm="1">
        <f t="array" ref="P593">IFERROR(INDEX(Create_TC_Web!S$1:S$500,SMALL(IF(Create_TC_Web!$C$1:$C$500&lt;&gt;"",MATCH(ROW(Create_TC_Web!$C$1:$C$500),ROW(Create_TC_Web!$C$1:$C$500)),""),ROW(Create_TC_Web!Q569))),"")</f>
        <v/>
      </c>
      <c r="S593" t="str">
        <f t="shared" si="26"/>
        <v/>
      </c>
    </row>
    <row r="594" spans="1:19">
      <c r="A594" t="str" cm="1">
        <f t="array" ref="A594">IFERROR(INDEX(Create_TC_Web!D$1:D$1510,SMALL(IF(Create_TC_Web!$C$1:$C$1510&lt;&gt;"",MATCH(ROW(Create_TC_Web!$C$1:$C$1510),ROW(Create_TC_Web!$C$1:$C$1510)),""),ROW(Create_TC_Web!B619))),"")</f>
        <v/>
      </c>
      <c r="B594" t="str" cm="1">
        <f t="array" ref="B594">SUBSTITUTE(SUBSTITUTE(SUBSTITUTE(IFERROR(INDEX(Create_TC_Web!E$1:E$505,SMALL(IF(Create_TC_Web!$C$1:$C$505&lt;&gt;"",MATCH(ROW(Create_TC_Web!$C$1:$C$505),ROW(Create_TC_Web!$C$1:$C$505)),""),ROW(Create_TC_Web!C592))),"")," ",""),"-",""),"_","")</f>
        <v/>
      </c>
      <c r="P594" s="17" t="str" cm="1">
        <f t="array" ref="P594">IFERROR(INDEX(Create_TC_Web!S$1:S$500,SMALL(IF(Create_TC_Web!$C$1:$C$500&lt;&gt;"",MATCH(ROW(Create_TC_Web!$C$1:$C$500),ROW(Create_TC_Web!$C$1:$C$500)),""),ROW(Create_TC_Web!Q570))),"")</f>
        <v/>
      </c>
      <c r="S594" t="str">
        <f t="shared" si="26"/>
        <v/>
      </c>
    </row>
    <row r="595" spans="1:19">
      <c r="A595" t="str" cm="1">
        <f t="array" ref="A595">IFERROR(INDEX(Create_TC_Web!D$1:D$1510,SMALL(IF(Create_TC_Web!$C$1:$C$1510&lt;&gt;"",MATCH(ROW(Create_TC_Web!$C$1:$C$1510),ROW(Create_TC_Web!$C$1:$C$1510)),""),ROW(Create_TC_Web!B620))),"")</f>
        <v/>
      </c>
      <c r="B595" t="str" cm="1">
        <f t="array" ref="B595">SUBSTITUTE(SUBSTITUTE(SUBSTITUTE(IFERROR(INDEX(Create_TC_Web!E$1:E$505,SMALL(IF(Create_TC_Web!$C$1:$C$505&lt;&gt;"",MATCH(ROW(Create_TC_Web!$C$1:$C$505),ROW(Create_TC_Web!$C$1:$C$505)),""),ROW(Create_TC_Web!C593))),"")," ",""),"-",""),"_","")</f>
        <v/>
      </c>
      <c r="P595" s="17" t="str" cm="1">
        <f t="array" ref="P595">IFERROR(INDEX(Create_TC_Web!S$1:S$500,SMALL(IF(Create_TC_Web!$C$1:$C$500&lt;&gt;"",MATCH(ROW(Create_TC_Web!$C$1:$C$500),ROW(Create_TC_Web!$C$1:$C$500)),""),ROW(Create_TC_Web!Q571))),"")</f>
        <v/>
      </c>
      <c r="S595" t="str">
        <f t="shared" si="26"/>
        <v/>
      </c>
    </row>
    <row r="596" spans="1:19">
      <c r="A596" t="str" cm="1">
        <f t="array" ref="A596">IFERROR(INDEX(Create_TC_Web!D$1:D$1510,SMALL(IF(Create_TC_Web!$C$1:$C$1510&lt;&gt;"",MATCH(ROW(Create_TC_Web!$C$1:$C$1510),ROW(Create_TC_Web!$C$1:$C$1510)),""),ROW(Create_TC_Web!B621))),"")</f>
        <v/>
      </c>
      <c r="B596" t="str" cm="1">
        <f t="array" ref="B596">SUBSTITUTE(SUBSTITUTE(SUBSTITUTE(IFERROR(INDEX(Create_TC_Web!E$1:E$505,SMALL(IF(Create_TC_Web!$C$1:$C$505&lt;&gt;"",MATCH(ROW(Create_TC_Web!$C$1:$C$505),ROW(Create_TC_Web!$C$1:$C$505)),""),ROW(Create_TC_Web!C594))),"")," ",""),"-",""),"_","")</f>
        <v/>
      </c>
      <c r="P596" s="17" t="str" cm="1">
        <f t="array" ref="P596">IFERROR(INDEX(Create_TC_Web!S$1:S$500,SMALL(IF(Create_TC_Web!$C$1:$C$500&lt;&gt;"",MATCH(ROW(Create_TC_Web!$C$1:$C$500),ROW(Create_TC_Web!$C$1:$C$500)),""),ROW(Create_TC_Web!Q572))),"")</f>
        <v/>
      </c>
      <c r="S596" t="str">
        <f t="shared" si="26"/>
        <v/>
      </c>
    </row>
    <row r="597" spans="1:19">
      <c r="A597" t="str" cm="1">
        <f t="array" ref="A597">IFERROR(INDEX(Create_TC_Web!D$1:D$1510,SMALL(IF(Create_TC_Web!$C$1:$C$1510&lt;&gt;"",MATCH(ROW(Create_TC_Web!$C$1:$C$1510),ROW(Create_TC_Web!$C$1:$C$1510)),""),ROW(Create_TC_Web!B622))),"")</f>
        <v/>
      </c>
      <c r="B597" t="str" cm="1">
        <f t="array" ref="B597">SUBSTITUTE(SUBSTITUTE(SUBSTITUTE(IFERROR(INDEX(Create_TC_Web!E$1:E$505,SMALL(IF(Create_TC_Web!$C$1:$C$505&lt;&gt;"",MATCH(ROW(Create_TC_Web!$C$1:$C$505),ROW(Create_TC_Web!$C$1:$C$505)),""),ROW(Create_TC_Web!C595))),"")," ",""),"-",""),"_","")</f>
        <v/>
      </c>
      <c r="P597" s="17" t="str" cm="1">
        <f t="array" ref="P597">IFERROR(INDEX(Create_TC_Web!S$1:S$500,SMALL(IF(Create_TC_Web!$C$1:$C$500&lt;&gt;"",MATCH(ROW(Create_TC_Web!$C$1:$C$500),ROW(Create_TC_Web!$C$1:$C$500)),""),ROW(Create_TC_Web!Q573))),"")</f>
        <v/>
      </c>
      <c r="S597" t="str">
        <f t="shared" si="26"/>
        <v/>
      </c>
    </row>
    <row r="598" spans="1:19">
      <c r="A598" t="str" cm="1">
        <f t="array" ref="A598">IFERROR(INDEX(Create_TC_Web!D$1:D$1510,SMALL(IF(Create_TC_Web!$C$1:$C$1510&lt;&gt;"",MATCH(ROW(Create_TC_Web!$C$1:$C$1510),ROW(Create_TC_Web!$C$1:$C$1510)),""),ROW(Create_TC_Web!B623))),"")</f>
        <v/>
      </c>
      <c r="B598" t="str" cm="1">
        <f t="array" ref="B598">SUBSTITUTE(SUBSTITUTE(SUBSTITUTE(IFERROR(INDEX(Create_TC_Web!E$1:E$505,SMALL(IF(Create_TC_Web!$C$1:$C$505&lt;&gt;"",MATCH(ROW(Create_TC_Web!$C$1:$C$505),ROW(Create_TC_Web!$C$1:$C$505)),""),ROW(Create_TC_Web!C596))),"")," ",""),"-",""),"_","")</f>
        <v/>
      </c>
      <c r="P598" s="17" t="str" cm="1">
        <f t="array" ref="P598">IFERROR(INDEX(Create_TC_Web!S$1:S$500,SMALL(IF(Create_TC_Web!$C$1:$C$500&lt;&gt;"",MATCH(ROW(Create_TC_Web!$C$1:$C$500),ROW(Create_TC_Web!$C$1:$C$500)),""),ROW(Create_TC_Web!Q574))),"")</f>
        <v/>
      </c>
      <c r="S598" t="str">
        <f t="shared" si="26"/>
        <v/>
      </c>
    </row>
    <row r="599" spans="1:19">
      <c r="A599" t="str" cm="1">
        <f t="array" ref="A599">IFERROR(INDEX(Create_TC_Web!D$1:D$1510,SMALL(IF(Create_TC_Web!$C$1:$C$1510&lt;&gt;"",MATCH(ROW(Create_TC_Web!$C$1:$C$1510),ROW(Create_TC_Web!$C$1:$C$1510)),""),ROW(Create_TC_Web!B624))),"")</f>
        <v/>
      </c>
      <c r="B599" t="str" cm="1">
        <f t="array" ref="B599">SUBSTITUTE(SUBSTITUTE(SUBSTITUTE(IFERROR(INDEX(Create_TC_Web!E$1:E$505,SMALL(IF(Create_TC_Web!$C$1:$C$505&lt;&gt;"",MATCH(ROW(Create_TC_Web!$C$1:$C$505),ROW(Create_TC_Web!$C$1:$C$505)),""),ROW(Create_TC_Web!C597))),"")," ",""),"-",""),"_","")</f>
        <v/>
      </c>
      <c r="P599" s="17" t="str" cm="1">
        <f t="array" ref="P599">IFERROR(INDEX(Create_TC_Web!S$1:S$500,SMALL(IF(Create_TC_Web!$C$1:$C$500&lt;&gt;"",MATCH(ROW(Create_TC_Web!$C$1:$C$500),ROW(Create_TC_Web!$C$1:$C$500)),""),ROW(Create_TC_Web!Q575))),"")</f>
        <v/>
      </c>
      <c r="S599" t="str">
        <f t="shared" si="26"/>
        <v/>
      </c>
    </row>
    <row r="600" spans="1:19">
      <c r="A600" t="str" cm="1">
        <f t="array" ref="A600">IFERROR(INDEX(Create_TC_Web!D$1:D$1510,SMALL(IF(Create_TC_Web!$C$1:$C$1510&lt;&gt;"",MATCH(ROW(Create_TC_Web!$C$1:$C$1510),ROW(Create_TC_Web!$C$1:$C$1510)),""),ROW(Create_TC_Web!B625))),"")</f>
        <v/>
      </c>
      <c r="B600" t="str" cm="1">
        <f t="array" ref="B600">SUBSTITUTE(SUBSTITUTE(SUBSTITUTE(IFERROR(INDEX(Create_TC_Web!E$1:E$505,SMALL(IF(Create_TC_Web!$C$1:$C$505&lt;&gt;"",MATCH(ROW(Create_TC_Web!$C$1:$C$505),ROW(Create_TC_Web!$C$1:$C$505)),""),ROW(Create_TC_Web!C598))),"")," ",""),"-",""),"_","")</f>
        <v/>
      </c>
      <c r="P600" s="17" t="str" cm="1">
        <f t="array" ref="P600">IFERROR(INDEX(Create_TC_Web!S$1:S$500,SMALL(IF(Create_TC_Web!$C$1:$C$500&lt;&gt;"",MATCH(ROW(Create_TC_Web!$C$1:$C$500),ROW(Create_TC_Web!$C$1:$C$500)),""),ROW(Create_TC_Web!Q576))),"")</f>
        <v/>
      </c>
      <c r="S600" t="str">
        <f t="shared" si="26"/>
        <v/>
      </c>
    </row>
    <row r="601" spans="1:19">
      <c r="A601" t="str" cm="1">
        <f t="array" ref="A601">IFERROR(INDEX(Create_TC_Web!D$1:D$1510,SMALL(IF(Create_TC_Web!$C$1:$C$1510&lt;&gt;"",MATCH(ROW(Create_TC_Web!$C$1:$C$1510),ROW(Create_TC_Web!$C$1:$C$1510)),""),ROW(Create_TC_Web!B626))),"")</f>
        <v/>
      </c>
      <c r="B601" t="str" cm="1">
        <f t="array" ref="B601">SUBSTITUTE(SUBSTITUTE(SUBSTITUTE(IFERROR(INDEX(Create_TC_Web!E$1:E$505,SMALL(IF(Create_TC_Web!$C$1:$C$505&lt;&gt;"",MATCH(ROW(Create_TC_Web!$C$1:$C$505),ROW(Create_TC_Web!$C$1:$C$505)),""),ROW(Create_TC_Web!C599))),"")," ",""),"-",""),"_","")</f>
        <v/>
      </c>
      <c r="P601" s="17" t="str" cm="1">
        <f t="array" ref="P601">IFERROR(INDEX(Create_TC_Web!S$1:S$500,SMALL(IF(Create_TC_Web!$C$1:$C$500&lt;&gt;"",MATCH(ROW(Create_TC_Web!$C$1:$C$500),ROW(Create_TC_Web!$C$1:$C$500)),""),ROW(Create_TC_Web!Q577))),"")</f>
        <v/>
      </c>
      <c r="S601" t="str">
        <f t="shared" si="26"/>
        <v/>
      </c>
    </row>
    <row r="602" spans="1:19">
      <c r="A602" t="str" cm="1">
        <f t="array" ref="A602">IFERROR(INDEX(Create_TC_Web!D$1:D$1510,SMALL(IF(Create_TC_Web!$C$1:$C$1510&lt;&gt;"",MATCH(ROW(Create_TC_Web!$C$1:$C$1510),ROW(Create_TC_Web!$C$1:$C$1510)),""),ROW(Create_TC_Web!B627))),"")</f>
        <v/>
      </c>
      <c r="B602" t="str" cm="1">
        <f t="array" ref="B602">SUBSTITUTE(SUBSTITUTE(SUBSTITUTE(IFERROR(INDEX(Create_TC_Web!E$1:E$505,SMALL(IF(Create_TC_Web!$C$1:$C$505&lt;&gt;"",MATCH(ROW(Create_TC_Web!$C$1:$C$505),ROW(Create_TC_Web!$C$1:$C$505)),""),ROW(Create_TC_Web!C600))),"")," ",""),"-",""),"_","")</f>
        <v/>
      </c>
      <c r="P602" s="17" t="str" cm="1">
        <f t="array" ref="P602">IFERROR(INDEX(Create_TC_Web!S$1:S$500,SMALL(IF(Create_TC_Web!$C$1:$C$500&lt;&gt;"",MATCH(ROW(Create_TC_Web!$C$1:$C$500),ROW(Create_TC_Web!$C$1:$C$500)),""),ROW(Create_TC_Web!Q578))),"")</f>
        <v/>
      </c>
      <c r="S602" t="str">
        <f t="shared" si="26"/>
        <v/>
      </c>
    </row>
    <row r="603" spans="1:19">
      <c r="A603" t="str" cm="1">
        <f t="array" ref="A603">IFERROR(INDEX(Create_TC_Web!D$1:D$1510,SMALL(IF(Create_TC_Web!$C$1:$C$1510&lt;&gt;"",MATCH(ROW(Create_TC_Web!$C$1:$C$1510),ROW(Create_TC_Web!$C$1:$C$1510)),""),ROW(Create_TC_Web!B628))),"")</f>
        <v/>
      </c>
      <c r="B603" t="str" cm="1">
        <f t="array" ref="B603">SUBSTITUTE(SUBSTITUTE(SUBSTITUTE(IFERROR(INDEX(Create_TC_Web!E$1:E$505,SMALL(IF(Create_TC_Web!$C$1:$C$505&lt;&gt;"",MATCH(ROW(Create_TC_Web!$C$1:$C$505),ROW(Create_TC_Web!$C$1:$C$505)),""),ROW(Create_TC_Web!C601))),"")," ",""),"-",""),"_","")</f>
        <v/>
      </c>
      <c r="P603" s="17" t="str" cm="1">
        <f t="array" ref="P603">IFERROR(INDEX(Create_TC_Web!S$1:S$500,SMALL(IF(Create_TC_Web!$C$1:$C$500&lt;&gt;"",MATCH(ROW(Create_TC_Web!$C$1:$C$500),ROW(Create_TC_Web!$C$1:$C$500)),""),ROW(Create_TC_Web!Q579))),"")</f>
        <v/>
      </c>
      <c r="S603" t="str">
        <f t="shared" si="26"/>
        <v/>
      </c>
    </row>
    <row r="604" spans="1:19">
      <c r="A604" t="str" cm="1">
        <f t="array" ref="A604">IFERROR(INDEX(Create_TC_Web!D$1:D$1510,SMALL(IF(Create_TC_Web!$C$1:$C$1510&lt;&gt;"",MATCH(ROW(Create_TC_Web!$C$1:$C$1510),ROW(Create_TC_Web!$C$1:$C$1510)),""),ROW(Create_TC_Web!B629))),"")</f>
        <v/>
      </c>
      <c r="B604" t="str" cm="1">
        <f t="array" ref="B604">SUBSTITUTE(SUBSTITUTE(SUBSTITUTE(IFERROR(INDEX(Create_TC_Web!E$1:E$505,SMALL(IF(Create_TC_Web!$C$1:$C$505&lt;&gt;"",MATCH(ROW(Create_TC_Web!$C$1:$C$505),ROW(Create_TC_Web!$C$1:$C$505)),""),ROW(Create_TC_Web!C602))),"")," ",""),"-",""),"_","")</f>
        <v/>
      </c>
      <c r="P604" s="17" t="str" cm="1">
        <f t="array" ref="P604">IFERROR(INDEX(Create_TC_Web!S$1:S$500,SMALL(IF(Create_TC_Web!$C$1:$C$500&lt;&gt;"",MATCH(ROW(Create_TC_Web!$C$1:$C$500),ROW(Create_TC_Web!$C$1:$C$500)),""),ROW(Create_TC_Web!Q580))),"")</f>
        <v/>
      </c>
      <c r="S604" t="str">
        <f t="shared" si="26"/>
        <v/>
      </c>
    </row>
    <row r="605" spans="1:19">
      <c r="A605" t="str" cm="1">
        <f t="array" ref="A605">IFERROR(INDEX(Create_TC_Web!D$1:D$1510,SMALL(IF(Create_TC_Web!$C$1:$C$1510&lt;&gt;"",MATCH(ROW(Create_TC_Web!$C$1:$C$1510),ROW(Create_TC_Web!$C$1:$C$1510)),""),ROW(Create_TC_Web!B630))),"")</f>
        <v/>
      </c>
      <c r="B605" t="str" cm="1">
        <f t="array" ref="B605">SUBSTITUTE(SUBSTITUTE(SUBSTITUTE(IFERROR(INDEX(Create_TC_Web!E$1:E$505,SMALL(IF(Create_TC_Web!$C$1:$C$505&lt;&gt;"",MATCH(ROW(Create_TC_Web!$C$1:$C$505),ROW(Create_TC_Web!$C$1:$C$505)),""),ROW(Create_TC_Web!C603))),"")," ",""),"-",""),"_","")</f>
        <v/>
      </c>
      <c r="P605" s="17" t="str" cm="1">
        <f t="array" ref="P605">IFERROR(INDEX(Create_TC_Web!S$1:S$500,SMALL(IF(Create_TC_Web!$C$1:$C$500&lt;&gt;"",MATCH(ROW(Create_TC_Web!$C$1:$C$500),ROW(Create_TC_Web!$C$1:$C$500)),""),ROW(Create_TC_Web!Q581))),"")</f>
        <v/>
      </c>
      <c r="S605" t="str">
        <f t="shared" si="26"/>
        <v/>
      </c>
    </row>
    <row r="606" spans="1:19">
      <c r="A606" t="str" cm="1">
        <f t="array" ref="A606">IFERROR(INDEX(Create_TC_Web!D$1:D$1510,SMALL(IF(Create_TC_Web!$C$1:$C$1510&lt;&gt;"",MATCH(ROW(Create_TC_Web!$C$1:$C$1510),ROW(Create_TC_Web!$C$1:$C$1510)),""),ROW(Create_TC_Web!B631))),"")</f>
        <v/>
      </c>
      <c r="B606" t="str" cm="1">
        <f t="array" ref="B606">SUBSTITUTE(SUBSTITUTE(SUBSTITUTE(IFERROR(INDEX(Create_TC_Web!E$1:E$505,SMALL(IF(Create_TC_Web!$C$1:$C$505&lt;&gt;"",MATCH(ROW(Create_TC_Web!$C$1:$C$505),ROW(Create_TC_Web!$C$1:$C$505)),""),ROW(Create_TC_Web!C604))),"")," ",""),"-",""),"_","")</f>
        <v/>
      </c>
      <c r="P606" s="17" t="str" cm="1">
        <f t="array" ref="P606">IFERROR(INDEX(Create_TC_Web!S$1:S$500,SMALL(IF(Create_TC_Web!$C$1:$C$500&lt;&gt;"",MATCH(ROW(Create_TC_Web!$C$1:$C$500),ROW(Create_TC_Web!$C$1:$C$500)),""),ROW(Create_TC_Web!Q582))),"")</f>
        <v/>
      </c>
      <c r="S606" t="str">
        <f t="shared" si="26"/>
        <v/>
      </c>
    </row>
    <row r="607" spans="1:19">
      <c r="A607" t="str" cm="1">
        <f t="array" ref="A607">IFERROR(INDEX(Create_TC_Web!D$1:D$1510,SMALL(IF(Create_TC_Web!$C$1:$C$1510&lt;&gt;"",MATCH(ROW(Create_TC_Web!$C$1:$C$1510),ROW(Create_TC_Web!$C$1:$C$1510)),""),ROW(Create_TC_Web!B632))),"")</f>
        <v/>
      </c>
      <c r="B607" t="str" cm="1">
        <f t="array" ref="B607">SUBSTITUTE(SUBSTITUTE(SUBSTITUTE(IFERROR(INDEX(Create_TC_Web!E$1:E$505,SMALL(IF(Create_TC_Web!$C$1:$C$505&lt;&gt;"",MATCH(ROW(Create_TC_Web!$C$1:$C$505),ROW(Create_TC_Web!$C$1:$C$505)),""),ROW(Create_TC_Web!C605))),"")," ",""),"-",""),"_","")</f>
        <v/>
      </c>
      <c r="P607" s="17" t="str" cm="1">
        <f t="array" ref="P607">IFERROR(INDEX(Create_TC_Web!S$1:S$500,SMALL(IF(Create_TC_Web!$C$1:$C$500&lt;&gt;"",MATCH(ROW(Create_TC_Web!$C$1:$C$500),ROW(Create_TC_Web!$C$1:$C$500)),""),ROW(Create_TC_Web!Q583))),"")</f>
        <v/>
      </c>
      <c r="S607" t="str">
        <f t="shared" si="26"/>
        <v/>
      </c>
    </row>
    <row r="608" spans="1:19">
      <c r="A608" t="str" cm="1">
        <f t="array" ref="A608">IFERROR(INDEX(Create_TC_Web!D$1:D$1510,SMALL(IF(Create_TC_Web!$C$1:$C$1510&lt;&gt;"",MATCH(ROW(Create_TC_Web!$C$1:$C$1510),ROW(Create_TC_Web!$C$1:$C$1510)),""),ROW(Create_TC_Web!B633))),"")</f>
        <v/>
      </c>
      <c r="B608" t="str" cm="1">
        <f t="array" ref="B608">SUBSTITUTE(SUBSTITUTE(SUBSTITUTE(IFERROR(INDEX(Create_TC_Web!E$1:E$505,SMALL(IF(Create_TC_Web!$C$1:$C$505&lt;&gt;"",MATCH(ROW(Create_TC_Web!$C$1:$C$505),ROW(Create_TC_Web!$C$1:$C$505)),""),ROW(Create_TC_Web!C606))),"")," ",""),"-",""),"_","")</f>
        <v/>
      </c>
      <c r="P608" s="17" t="str" cm="1">
        <f t="array" ref="P608">IFERROR(INDEX(Create_TC_Web!S$1:S$500,SMALL(IF(Create_TC_Web!$C$1:$C$500&lt;&gt;"",MATCH(ROW(Create_TC_Web!$C$1:$C$500),ROW(Create_TC_Web!$C$1:$C$500)),""),ROW(Create_TC_Web!Q584))),"")</f>
        <v/>
      </c>
      <c r="S608" t="str">
        <f t="shared" si="26"/>
        <v/>
      </c>
    </row>
    <row r="609" spans="1:19">
      <c r="A609" t="str" cm="1">
        <f t="array" ref="A609">IFERROR(INDEX(Create_TC_Web!D$1:D$1510,SMALL(IF(Create_TC_Web!$C$1:$C$1510&lt;&gt;"",MATCH(ROW(Create_TC_Web!$C$1:$C$1510),ROW(Create_TC_Web!$C$1:$C$1510)),""),ROW(Create_TC_Web!B634))),"")</f>
        <v/>
      </c>
      <c r="B609" t="str" cm="1">
        <f t="array" ref="B609">SUBSTITUTE(SUBSTITUTE(SUBSTITUTE(IFERROR(INDEX(Create_TC_Web!E$1:E$505,SMALL(IF(Create_TC_Web!$C$1:$C$505&lt;&gt;"",MATCH(ROW(Create_TC_Web!$C$1:$C$505),ROW(Create_TC_Web!$C$1:$C$505)),""),ROW(Create_TC_Web!C607))),"")," ",""),"-",""),"_","")</f>
        <v/>
      </c>
      <c r="P609" s="17" t="str" cm="1">
        <f t="array" ref="P609">IFERROR(INDEX(Create_TC_Web!S$1:S$500,SMALL(IF(Create_TC_Web!$C$1:$C$500&lt;&gt;"",MATCH(ROW(Create_TC_Web!$C$1:$C$500),ROW(Create_TC_Web!$C$1:$C$500)),""),ROW(Create_TC_Web!Q585))),"")</f>
        <v/>
      </c>
      <c r="S609" t="str">
        <f t="shared" si="26"/>
        <v/>
      </c>
    </row>
    <row r="610" spans="1:19">
      <c r="A610" t="str" cm="1">
        <f t="array" ref="A610">IFERROR(INDEX(Create_TC_Web!D$1:D$1510,SMALL(IF(Create_TC_Web!$C$1:$C$1510&lt;&gt;"",MATCH(ROW(Create_TC_Web!$C$1:$C$1510),ROW(Create_TC_Web!$C$1:$C$1510)),""),ROW(Create_TC_Web!B635))),"")</f>
        <v/>
      </c>
      <c r="B610" t="str" cm="1">
        <f t="array" ref="B610">SUBSTITUTE(SUBSTITUTE(SUBSTITUTE(IFERROR(INDEX(Create_TC_Web!E$1:E$505,SMALL(IF(Create_TC_Web!$C$1:$C$505&lt;&gt;"",MATCH(ROW(Create_TC_Web!$C$1:$C$505),ROW(Create_TC_Web!$C$1:$C$505)),""),ROW(Create_TC_Web!C608))),"")," ",""),"-",""),"_","")</f>
        <v/>
      </c>
      <c r="P610" s="17" t="str" cm="1">
        <f t="array" ref="P610">IFERROR(INDEX(Create_TC_Web!S$1:S$500,SMALL(IF(Create_TC_Web!$C$1:$C$500&lt;&gt;"",MATCH(ROW(Create_TC_Web!$C$1:$C$500),ROW(Create_TC_Web!$C$1:$C$500)),""),ROW(Create_TC_Web!Q586))),"")</f>
        <v/>
      </c>
      <c r="S610" t="str">
        <f t="shared" si="26"/>
        <v/>
      </c>
    </row>
    <row r="611" spans="1:19">
      <c r="A611" t="str" cm="1">
        <f t="array" ref="A611">IFERROR(INDEX(Create_TC_Web!D$1:D$1510,SMALL(IF(Create_TC_Web!$C$1:$C$1510&lt;&gt;"",MATCH(ROW(Create_TC_Web!$C$1:$C$1510),ROW(Create_TC_Web!$C$1:$C$1510)),""),ROW(Create_TC_Web!B636))),"")</f>
        <v/>
      </c>
      <c r="B611" t="str" cm="1">
        <f t="array" ref="B611">SUBSTITUTE(SUBSTITUTE(SUBSTITUTE(IFERROR(INDEX(Create_TC_Web!E$1:E$505,SMALL(IF(Create_TC_Web!$C$1:$C$505&lt;&gt;"",MATCH(ROW(Create_TC_Web!$C$1:$C$505),ROW(Create_TC_Web!$C$1:$C$505)),""),ROW(Create_TC_Web!C609))),"")," ",""),"-",""),"_","")</f>
        <v/>
      </c>
      <c r="P611" s="17" t="str" cm="1">
        <f t="array" ref="P611">IFERROR(INDEX(Create_TC_Web!S$1:S$500,SMALL(IF(Create_TC_Web!$C$1:$C$500&lt;&gt;"",MATCH(ROW(Create_TC_Web!$C$1:$C$500),ROW(Create_TC_Web!$C$1:$C$500)),""),ROW(Create_TC_Web!Q587))),"")</f>
        <v/>
      </c>
      <c r="S611" t="str">
        <f t="shared" si="26"/>
        <v/>
      </c>
    </row>
    <row r="612" spans="1:19">
      <c r="A612" t="str" cm="1">
        <f t="array" ref="A612">IFERROR(INDEX(Create_TC_Web!D$1:D$1510,SMALL(IF(Create_TC_Web!$C$1:$C$1510&lt;&gt;"",MATCH(ROW(Create_TC_Web!$C$1:$C$1510),ROW(Create_TC_Web!$C$1:$C$1510)),""),ROW(Create_TC_Web!B637))),"")</f>
        <v/>
      </c>
      <c r="B612" t="str" cm="1">
        <f t="array" ref="B612">SUBSTITUTE(SUBSTITUTE(SUBSTITUTE(IFERROR(INDEX(Create_TC_Web!E$1:E$505,SMALL(IF(Create_TC_Web!$C$1:$C$505&lt;&gt;"",MATCH(ROW(Create_TC_Web!$C$1:$C$505),ROW(Create_TC_Web!$C$1:$C$505)),""),ROW(Create_TC_Web!C610))),"")," ",""),"-",""),"_","")</f>
        <v/>
      </c>
      <c r="P612" s="17" t="str" cm="1">
        <f t="array" ref="P612">IFERROR(INDEX(Create_TC_Web!S$1:S$500,SMALL(IF(Create_TC_Web!$C$1:$C$500&lt;&gt;"",MATCH(ROW(Create_TC_Web!$C$1:$C$500),ROW(Create_TC_Web!$C$1:$C$500)),""),ROW(Create_TC_Web!Q588))),"")</f>
        <v/>
      </c>
      <c r="S612" t="str">
        <f t="shared" si="26"/>
        <v/>
      </c>
    </row>
    <row r="613" spans="1:19">
      <c r="A613" t="str" cm="1">
        <f t="array" ref="A613">IFERROR(INDEX(Create_TC_Web!D$1:D$1510,SMALL(IF(Create_TC_Web!$C$1:$C$1510&lt;&gt;"",MATCH(ROW(Create_TC_Web!$C$1:$C$1510),ROW(Create_TC_Web!$C$1:$C$1510)),""),ROW(Create_TC_Web!B638))),"")</f>
        <v/>
      </c>
      <c r="B613" t="str" cm="1">
        <f t="array" ref="B613">SUBSTITUTE(SUBSTITUTE(SUBSTITUTE(IFERROR(INDEX(Create_TC_Web!E$1:E$505,SMALL(IF(Create_TC_Web!$C$1:$C$505&lt;&gt;"",MATCH(ROW(Create_TC_Web!$C$1:$C$505),ROW(Create_TC_Web!$C$1:$C$505)),""),ROW(Create_TC_Web!C611))),"")," ",""),"-",""),"_","")</f>
        <v/>
      </c>
      <c r="P613" s="17" t="str" cm="1">
        <f t="array" ref="P613">IFERROR(INDEX(Create_TC_Web!S$1:S$500,SMALL(IF(Create_TC_Web!$C$1:$C$500&lt;&gt;"",MATCH(ROW(Create_TC_Web!$C$1:$C$500),ROW(Create_TC_Web!$C$1:$C$500)),""),ROW(Create_TC_Web!Q589))),"")</f>
        <v/>
      </c>
      <c r="S613" t="str">
        <f t="shared" si="26"/>
        <v/>
      </c>
    </row>
    <row r="614" spans="1:19">
      <c r="A614" t="str" cm="1">
        <f t="array" ref="A614">IFERROR(INDEX(Create_TC_Web!D$1:D$1510,SMALL(IF(Create_TC_Web!$C$1:$C$1510&lt;&gt;"",MATCH(ROW(Create_TC_Web!$C$1:$C$1510),ROW(Create_TC_Web!$C$1:$C$1510)),""),ROW(Create_TC_Web!B639))),"")</f>
        <v/>
      </c>
      <c r="B614" t="str" cm="1">
        <f t="array" ref="B614">SUBSTITUTE(SUBSTITUTE(SUBSTITUTE(IFERROR(INDEX(Create_TC_Web!E$1:E$505,SMALL(IF(Create_TC_Web!$C$1:$C$505&lt;&gt;"",MATCH(ROW(Create_TC_Web!$C$1:$C$505),ROW(Create_TC_Web!$C$1:$C$505)),""),ROW(Create_TC_Web!C612))),"")," ",""),"-",""),"_","")</f>
        <v/>
      </c>
      <c r="P614" s="17" t="str" cm="1">
        <f t="array" ref="P614">IFERROR(INDEX(Create_TC_Web!S$1:S$500,SMALL(IF(Create_TC_Web!$C$1:$C$500&lt;&gt;"",MATCH(ROW(Create_TC_Web!$C$1:$C$500),ROW(Create_TC_Web!$C$1:$C$500)),""),ROW(Create_TC_Web!Q590))),"")</f>
        <v/>
      </c>
      <c r="S614" t="str">
        <f t="shared" si="26"/>
        <v/>
      </c>
    </row>
    <row r="615" spans="1:19">
      <c r="A615" t="str" cm="1">
        <f t="array" ref="A615">IFERROR(INDEX(Create_TC_Web!D$1:D$1510,SMALL(IF(Create_TC_Web!$C$1:$C$1510&lt;&gt;"",MATCH(ROW(Create_TC_Web!$C$1:$C$1510),ROW(Create_TC_Web!$C$1:$C$1510)),""),ROW(Create_TC_Web!B640))),"")</f>
        <v/>
      </c>
      <c r="B615" t="str" cm="1">
        <f t="array" ref="B615">SUBSTITUTE(SUBSTITUTE(SUBSTITUTE(IFERROR(INDEX(Create_TC_Web!E$1:E$505,SMALL(IF(Create_TC_Web!$C$1:$C$505&lt;&gt;"",MATCH(ROW(Create_TC_Web!$C$1:$C$505),ROW(Create_TC_Web!$C$1:$C$505)),""),ROW(Create_TC_Web!C613))),"")," ",""),"-",""),"_","")</f>
        <v/>
      </c>
      <c r="P615" s="17" t="str" cm="1">
        <f t="array" ref="P615">IFERROR(INDEX(Create_TC_Web!S$1:S$500,SMALL(IF(Create_TC_Web!$C$1:$C$500&lt;&gt;"",MATCH(ROW(Create_TC_Web!$C$1:$C$500),ROW(Create_TC_Web!$C$1:$C$500)),""),ROW(Create_TC_Web!Q591))),"")</f>
        <v/>
      </c>
      <c r="S615" t="str">
        <f t="shared" si="26"/>
        <v/>
      </c>
    </row>
    <row r="616" spans="1:19">
      <c r="A616" t="str" cm="1">
        <f t="array" ref="A616">IFERROR(INDEX(Create_TC_Web!D$1:D$1510,SMALL(IF(Create_TC_Web!$C$1:$C$1510&lt;&gt;"",MATCH(ROW(Create_TC_Web!$C$1:$C$1510),ROW(Create_TC_Web!$C$1:$C$1510)),""),ROW(Create_TC_Web!B641))),"")</f>
        <v/>
      </c>
      <c r="B616" t="str" cm="1">
        <f t="array" ref="B616">SUBSTITUTE(SUBSTITUTE(SUBSTITUTE(IFERROR(INDEX(Create_TC_Web!E$1:E$505,SMALL(IF(Create_TC_Web!$C$1:$C$505&lt;&gt;"",MATCH(ROW(Create_TC_Web!$C$1:$C$505),ROW(Create_TC_Web!$C$1:$C$505)),""),ROW(Create_TC_Web!C614))),"")," ",""),"-",""),"_","")</f>
        <v/>
      </c>
      <c r="P616" s="17" t="str" cm="1">
        <f t="array" ref="P616">IFERROR(INDEX(Create_TC_Web!S$1:S$500,SMALL(IF(Create_TC_Web!$C$1:$C$500&lt;&gt;"",MATCH(ROW(Create_TC_Web!$C$1:$C$500),ROW(Create_TC_Web!$C$1:$C$500)),""),ROW(Create_TC_Web!Q592))),"")</f>
        <v/>
      </c>
      <c r="S616" t="str">
        <f t="shared" si="26"/>
        <v/>
      </c>
    </row>
    <row r="617" spans="1:19">
      <c r="A617" t="str" cm="1">
        <f t="array" ref="A617">IFERROR(INDEX(Create_TC_Web!D$1:D$1510,SMALL(IF(Create_TC_Web!$C$1:$C$1510&lt;&gt;"",MATCH(ROW(Create_TC_Web!$C$1:$C$1510),ROW(Create_TC_Web!$C$1:$C$1510)),""),ROW(Create_TC_Web!B642))),"")</f>
        <v/>
      </c>
      <c r="B617" t="str" cm="1">
        <f t="array" ref="B617">SUBSTITUTE(SUBSTITUTE(SUBSTITUTE(IFERROR(INDEX(Create_TC_Web!E$1:E$505,SMALL(IF(Create_TC_Web!$C$1:$C$505&lt;&gt;"",MATCH(ROW(Create_TC_Web!$C$1:$C$505),ROW(Create_TC_Web!$C$1:$C$505)),""),ROW(Create_TC_Web!C615))),"")," ",""),"-",""),"_","")</f>
        <v/>
      </c>
      <c r="P617" s="17" t="str" cm="1">
        <f t="array" ref="P617">IFERROR(INDEX(Create_TC_Web!S$1:S$500,SMALL(IF(Create_TC_Web!$C$1:$C$500&lt;&gt;"",MATCH(ROW(Create_TC_Web!$C$1:$C$500),ROW(Create_TC_Web!$C$1:$C$500)),""),ROW(Create_TC_Web!Q593))),"")</f>
        <v/>
      </c>
      <c r="S617" t="str">
        <f t="shared" si="26"/>
        <v/>
      </c>
    </row>
    <row r="618" spans="1:19">
      <c r="A618" t="str" cm="1">
        <f t="array" ref="A618">IFERROR(INDEX(Create_TC_Web!D$1:D$1510,SMALL(IF(Create_TC_Web!$C$1:$C$1510&lt;&gt;"",MATCH(ROW(Create_TC_Web!$C$1:$C$1510),ROW(Create_TC_Web!$C$1:$C$1510)),""),ROW(Create_TC_Web!B643))),"")</f>
        <v/>
      </c>
      <c r="B618" t="str" cm="1">
        <f t="array" ref="B618">SUBSTITUTE(SUBSTITUTE(SUBSTITUTE(IFERROR(INDEX(Create_TC_Web!E$1:E$505,SMALL(IF(Create_TC_Web!$C$1:$C$505&lt;&gt;"",MATCH(ROW(Create_TC_Web!$C$1:$C$505),ROW(Create_TC_Web!$C$1:$C$505)),""),ROW(Create_TC_Web!C616))),"")," ",""),"-",""),"_","")</f>
        <v/>
      </c>
      <c r="P618" s="17" t="str" cm="1">
        <f t="array" ref="P618">IFERROR(INDEX(Create_TC_Web!S$1:S$500,SMALL(IF(Create_TC_Web!$C$1:$C$500&lt;&gt;"",MATCH(ROW(Create_TC_Web!$C$1:$C$500),ROW(Create_TC_Web!$C$1:$C$500)),""),ROW(Create_TC_Web!Q594))),"")</f>
        <v/>
      </c>
      <c r="S618" t="str">
        <f t="shared" si="26"/>
        <v/>
      </c>
    </row>
    <row r="619" spans="1:19">
      <c r="A619" t="str" cm="1">
        <f t="array" ref="A619">IFERROR(INDEX(Create_TC_Web!D$1:D$1510,SMALL(IF(Create_TC_Web!$C$1:$C$1510&lt;&gt;"",MATCH(ROW(Create_TC_Web!$C$1:$C$1510),ROW(Create_TC_Web!$C$1:$C$1510)),""),ROW(Create_TC_Web!B644))),"")</f>
        <v/>
      </c>
      <c r="B619" t="str" cm="1">
        <f t="array" ref="B619">SUBSTITUTE(SUBSTITUTE(SUBSTITUTE(IFERROR(INDEX(Create_TC_Web!E$1:E$505,SMALL(IF(Create_TC_Web!$C$1:$C$505&lt;&gt;"",MATCH(ROW(Create_TC_Web!$C$1:$C$505),ROW(Create_TC_Web!$C$1:$C$505)),""),ROW(Create_TC_Web!C617))),"")," ",""),"-",""),"_","")</f>
        <v/>
      </c>
      <c r="P619" s="17" t="str" cm="1">
        <f t="array" ref="P619">IFERROR(INDEX(Create_TC_Web!S$1:S$500,SMALL(IF(Create_TC_Web!$C$1:$C$500&lt;&gt;"",MATCH(ROW(Create_TC_Web!$C$1:$C$500),ROW(Create_TC_Web!$C$1:$C$500)),""),ROW(Create_TC_Web!Q595))),"")</f>
        <v/>
      </c>
      <c r="S619" t="str">
        <f t="shared" si="26"/>
        <v/>
      </c>
    </row>
    <row r="620" spans="1:19">
      <c r="A620" t="str" cm="1">
        <f t="array" ref="A620">IFERROR(INDEX(Create_TC_Web!D$1:D$1510,SMALL(IF(Create_TC_Web!$C$1:$C$1510&lt;&gt;"",MATCH(ROW(Create_TC_Web!$C$1:$C$1510),ROW(Create_TC_Web!$C$1:$C$1510)),""),ROW(Create_TC_Web!B645))),"")</f>
        <v/>
      </c>
      <c r="B620" t="str" cm="1">
        <f t="array" ref="B620">SUBSTITUTE(SUBSTITUTE(SUBSTITUTE(IFERROR(INDEX(Create_TC_Web!E$1:E$505,SMALL(IF(Create_TC_Web!$C$1:$C$505&lt;&gt;"",MATCH(ROW(Create_TC_Web!$C$1:$C$505),ROW(Create_TC_Web!$C$1:$C$505)),""),ROW(Create_TC_Web!C618))),"")," ",""),"-",""),"_","")</f>
        <v/>
      </c>
      <c r="P620" s="17" t="str" cm="1">
        <f t="array" ref="P620">IFERROR(INDEX(Create_TC_Web!S$1:S$500,SMALL(IF(Create_TC_Web!$C$1:$C$500&lt;&gt;"",MATCH(ROW(Create_TC_Web!$C$1:$C$500),ROW(Create_TC_Web!$C$1:$C$500)),""),ROW(Create_TC_Web!Q596))),"")</f>
        <v/>
      </c>
      <c r="S620" t="str">
        <f t="shared" si="26"/>
        <v/>
      </c>
    </row>
    <row r="621" spans="1:19">
      <c r="A621" t="str" cm="1">
        <f t="array" ref="A621">IFERROR(INDEX(Create_TC_Web!D$1:D$1510,SMALL(IF(Create_TC_Web!$C$1:$C$1510&lt;&gt;"",MATCH(ROW(Create_TC_Web!$C$1:$C$1510),ROW(Create_TC_Web!$C$1:$C$1510)),""),ROW(Create_TC_Web!B646))),"")</f>
        <v/>
      </c>
      <c r="B621" t="str" cm="1">
        <f t="array" ref="B621">SUBSTITUTE(SUBSTITUTE(SUBSTITUTE(IFERROR(INDEX(Create_TC_Web!E$1:E$505,SMALL(IF(Create_TC_Web!$C$1:$C$505&lt;&gt;"",MATCH(ROW(Create_TC_Web!$C$1:$C$505),ROW(Create_TC_Web!$C$1:$C$505)),""),ROW(Create_TC_Web!C619))),"")," ",""),"-",""),"_","")</f>
        <v/>
      </c>
      <c r="P621" s="17" t="str" cm="1">
        <f t="array" ref="P621">IFERROR(INDEX(Create_TC_Web!S$1:S$500,SMALL(IF(Create_TC_Web!$C$1:$C$500&lt;&gt;"",MATCH(ROW(Create_TC_Web!$C$1:$C$500),ROW(Create_TC_Web!$C$1:$C$500)),""),ROW(Create_TC_Web!Q597))),"")</f>
        <v/>
      </c>
      <c r="S621" t="str">
        <f t="shared" si="26"/>
        <v/>
      </c>
    </row>
    <row r="622" spans="1:19">
      <c r="A622" t="str" cm="1">
        <f t="array" ref="A622">IFERROR(INDEX(Create_TC_Web!D$1:D$1510,SMALL(IF(Create_TC_Web!$C$1:$C$1510&lt;&gt;"",MATCH(ROW(Create_TC_Web!$C$1:$C$1510),ROW(Create_TC_Web!$C$1:$C$1510)),""),ROW(Create_TC_Web!B647))),"")</f>
        <v/>
      </c>
      <c r="B622" t="str" cm="1">
        <f t="array" ref="B622">SUBSTITUTE(SUBSTITUTE(SUBSTITUTE(IFERROR(INDEX(Create_TC_Web!E$1:E$505,SMALL(IF(Create_TC_Web!$C$1:$C$505&lt;&gt;"",MATCH(ROW(Create_TC_Web!$C$1:$C$505),ROW(Create_TC_Web!$C$1:$C$505)),""),ROW(Create_TC_Web!C620))),"")," ",""),"-",""),"_","")</f>
        <v/>
      </c>
      <c r="P622" s="17" t="str" cm="1">
        <f t="array" ref="P622">IFERROR(INDEX(Create_TC_Web!S$1:S$500,SMALL(IF(Create_TC_Web!$C$1:$C$500&lt;&gt;"",MATCH(ROW(Create_TC_Web!$C$1:$C$500),ROW(Create_TC_Web!$C$1:$C$500)),""),ROW(Create_TC_Web!Q598))),"")</f>
        <v/>
      </c>
      <c r="S622" t="str">
        <f t="shared" si="26"/>
        <v/>
      </c>
    </row>
    <row r="623" spans="1:19">
      <c r="A623" t="str" cm="1">
        <f t="array" ref="A623">IFERROR(INDEX(Create_TC_Web!D$1:D$1510,SMALL(IF(Create_TC_Web!$C$1:$C$1510&lt;&gt;"",MATCH(ROW(Create_TC_Web!$C$1:$C$1510),ROW(Create_TC_Web!$C$1:$C$1510)),""),ROW(Create_TC_Web!B648))),"")</f>
        <v/>
      </c>
      <c r="B623" t="str" cm="1">
        <f t="array" ref="B623">SUBSTITUTE(SUBSTITUTE(SUBSTITUTE(IFERROR(INDEX(Create_TC_Web!E$1:E$505,SMALL(IF(Create_TC_Web!$C$1:$C$505&lt;&gt;"",MATCH(ROW(Create_TC_Web!$C$1:$C$505),ROW(Create_TC_Web!$C$1:$C$505)),""),ROW(Create_TC_Web!C621))),"")," ",""),"-",""),"_","")</f>
        <v/>
      </c>
      <c r="P623" s="17" t="str" cm="1">
        <f t="array" ref="P623">IFERROR(INDEX(Create_TC_Web!S$1:S$500,SMALL(IF(Create_TC_Web!$C$1:$C$500&lt;&gt;"",MATCH(ROW(Create_TC_Web!$C$1:$C$500),ROW(Create_TC_Web!$C$1:$C$500)),""),ROW(Create_TC_Web!Q599))),"")</f>
        <v/>
      </c>
      <c r="S623" t="str">
        <f t="shared" si="26"/>
        <v/>
      </c>
    </row>
    <row r="624" spans="1:19">
      <c r="A624" t="str" cm="1">
        <f t="array" ref="A624">IFERROR(INDEX(Create_TC_Web!D$1:D$1510,SMALL(IF(Create_TC_Web!$C$1:$C$1510&lt;&gt;"",MATCH(ROW(Create_TC_Web!$C$1:$C$1510),ROW(Create_TC_Web!$C$1:$C$1510)),""),ROW(Create_TC_Web!B649))),"")</f>
        <v/>
      </c>
      <c r="B624" t="str" cm="1">
        <f t="array" ref="B624">SUBSTITUTE(SUBSTITUTE(SUBSTITUTE(IFERROR(INDEX(Create_TC_Web!E$1:E$505,SMALL(IF(Create_TC_Web!$C$1:$C$505&lt;&gt;"",MATCH(ROW(Create_TC_Web!$C$1:$C$505),ROW(Create_TC_Web!$C$1:$C$505)),""),ROW(Create_TC_Web!C622))),"")," ",""),"-",""),"_","")</f>
        <v/>
      </c>
      <c r="P624" s="17" t="str" cm="1">
        <f t="array" ref="P624">IFERROR(INDEX(Create_TC_Web!S$1:S$500,SMALL(IF(Create_TC_Web!$C$1:$C$500&lt;&gt;"",MATCH(ROW(Create_TC_Web!$C$1:$C$500),ROW(Create_TC_Web!$C$1:$C$500)),""),ROW(Create_TC_Web!Q600))),"")</f>
        <v/>
      </c>
      <c r="S624" t="str">
        <f t="shared" si="26"/>
        <v/>
      </c>
    </row>
    <row r="625" spans="1:19">
      <c r="A625" t="str" cm="1">
        <f t="array" ref="A625">IFERROR(INDEX(Create_TC_Web!D$1:D$1510,SMALL(IF(Create_TC_Web!$C$1:$C$1510&lt;&gt;"",MATCH(ROW(Create_TC_Web!$C$1:$C$1510),ROW(Create_TC_Web!$C$1:$C$1510)),""),ROW(Create_TC_Web!B650))),"")</f>
        <v/>
      </c>
      <c r="B625" t="str" cm="1">
        <f t="array" ref="B625">SUBSTITUTE(SUBSTITUTE(SUBSTITUTE(IFERROR(INDEX(Create_TC_Web!E$1:E$505,SMALL(IF(Create_TC_Web!$C$1:$C$505&lt;&gt;"",MATCH(ROW(Create_TC_Web!$C$1:$C$505),ROW(Create_TC_Web!$C$1:$C$505)),""),ROW(Create_TC_Web!C623))),"")," ",""),"-",""),"_","")</f>
        <v/>
      </c>
      <c r="P625" s="17" t="str" cm="1">
        <f t="array" ref="P625">IFERROR(INDEX(Create_TC_Web!S$1:S$500,SMALL(IF(Create_TC_Web!$C$1:$C$500&lt;&gt;"",MATCH(ROW(Create_TC_Web!$C$1:$C$500),ROW(Create_TC_Web!$C$1:$C$500)),""),ROW(Create_TC_Web!Q601))),"")</f>
        <v/>
      </c>
      <c r="S625" t="str">
        <f t="shared" si="26"/>
        <v/>
      </c>
    </row>
    <row r="626" spans="1:19">
      <c r="A626" t="str" cm="1">
        <f t="array" ref="A626">IFERROR(INDEX(Create_TC_Web!D$1:D$1510,SMALL(IF(Create_TC_Web!$C$1:$C$1510&lt;&gt;"",MATCH(ROW(Create_TC_Web!$C$1:$C$1510),ROW(Create_TC_Web!$C$1:$C$1510)),""),ROW(Create_TC_Web!B651))),"")</f>
        <v/>
      </c>
      <c r="B626" t="str" cm="1">
        <f t="array" ref="B626">SUBSTITUTE(SUBSTITUTE(SUBSTITUTE(IFERROR(INDEX(Create_TC_Web!E$1:E$505,SMALL(IF(Create_TC_Web!$C$1:$C$505&lt;&gt;"",MATCH(ROW(Create_TC_Web!$C$1:$C$505),ROW(Create_TC_Web!$C$1:$C$505)),""),ROW(Create_TC_Web!C624))),"")," ",""),"-",""),"_","")</f>
        <v/>
      </c>
      <c r="P626" s="17" t="str" cm="1">
        <f t="array" ref="P626">IFERROR(INDEX(Create_TC_Web!S$1:S$500,SMALL(IF(Create_TC_Web!$C$1:$C$500&lt;&gt;"",MATCH(ROW(Create_TC_Web!$C$1:$C$500),ROW(Create_TC_Web!$C$1:$C$500)),""),ROW(Create_TC_Web!Q602))),"")</f>
        <v/>
      </c>
      <c r="S626" t="str">
        <f t="shared" si="26"/>
        <v/>
      </c>
    </row>
    <row r="627" spans="1:19">
      <c r="A627" t="str" cm="1">
        <f t="array" ref="A627">IFERROR(INDEX(Create_TC_Web!D$1:D$1510,SMALL(IF(Create_TC_Web!$C$1:$C$1510&lt;&gt;"",MATCH(ROW(Create_TC_Web!$C$1:$C$1510),ROW(Create_TC_Web!$C$1:$C$1510)),""),ROW(Create_TC_Web!B652))),"")</f>
        <v/>
      </c>
      <c r="B627" t="str" cm="1">
        <f t="array" ref="B627">SUBSTITUTE(SUBSTITUTE(SUBSTITUTE(IFERROR(INDEX(Create_TC_Web!E$1:E$505,SMALL(IF(Create_TC_Web!$C$1:$C$505&lt;&gt;"",MATCH(ROW(Create_TC_Web!$C$1:$C$505),ROW(Create_TC_Web!$C$1:$C$505)),""),ROW(Create_TC_Web!C625))),"")," ",""),"-",""),"_","")</f>
        <v/>
      </c>
      <c r="P627" s="17" t="str" cm="1">
        <f t="array" ref="P627">IFERROR(INDEX(Create_TC_Web!S$1:S$500,SMALL(IF(Create_TC_Web!$C$1:$C$500&lt;&gt;"",MATCH(ROW(Create_TC_Web!$C$1:$C$500),ROW(Create_TC_Web!$C$1:$C$500)),""),ROW(Create_TC_Web!Q603))),"")</f>
        <v/>
      </c>
      <c r="S627" t="str">
        <f t="shared" si="26"/>
        <v/>
      </c>
    </row>
    <row r="628" spans="1:19">
      <c r="A628" t="str" cm="1">
        <f t="array" ref="A628">IFERROR(INDEX(Create_TC_Web!D$1:D$1510,SMALL(IF(Create_TC_Web!$C$1:$C$1510&lt;&gt;"",MATCH(ROW(Create_TC_Web!$C$1:$C$1510),ROW(Create_TC_Web!$C$1:$C$1510)),""),ROW(Create_TC_Web!B653))),"")</f>
        <v/>
      </c>
      <c r="B628" t="str" cm="1">
        <f t="array" ref="B628">SUBSTITUTE(SUBSTITUTE(SUBSTITUTE(IFERROR(INDEX(Create_TC_Web!E$1:E$505,SMALL(IF(Create_TC_Web!$C$1:$C$505&lt;&gt;"",MATCH(ROW(Create_TC_Web!$C$1:$C$505),ROW(Create_TC_Web!$C$1:$C$505)),""),ROW(Create_TC_Web!C626))),"")," ",""),"-",""),"_","")</f>
        <v/>
      </c>
      <c r="P628" s="17" t="str" cm="1">
        <f t="array" ref="P628">IFERROR(INDEX(Create_TC_Web!S$1:S$500,SMALL(IF(Create_TC_Web!$C$1:$C$500&lt;&gt;"",MATCH(ROW(Create_TC_Web!$C$1:$C$500),ROW(Create_TC_Web!$C$1:$C$500)),""),ROW(Create_TC_Web!Q604))),"")</f>
        <v/>
      </c>
      <c r="S628" t="str">
        <f t="shared" si="26"/>
        <v/>
      </c>
    </row>
    <row r="629" spans="1:19">
      <c r="A629" t="str" cm="1">
        <f t="array" ref="A629">IFERROR(INDEX(Create_TC_Web!D$1:D$1510,SMALL(IF(Create_TC_Web!$C$1:$C$1510&lt;&gt;"",MATCH(ROW(Create_TC_Web!$C$1:$C$1510),ROW(Create_TC_Web!$C$1:$C$1510)),""),ROW(Create_TC_Web!B654))),"")</f>
        <v/>
      </c>
      <c r="B629" t="str" cm="1">
        <f t="array" ref="B629">SUBSTITUTE(SUBSTITUTE(SUBSTITUTE(IFERROR(INDEX(Create_TC_Web!E$1:E$505,SMALL(IF(Create_TC_Web!$C$1:$C$505&lt;&gt;"",MATCH(ROW(Create_TC_Web!$C$1:$C$505),ROW(Create_TC_Web!$C$1:$C$505)),""),ROW(Create_TC_Web!C627))),"")," ",""),"-",""),"_","")</f>
        <v/>
      </c>
      <c r="P629" s="17" t="str" cm="1">
        <f t="array" ref="P629">IFERROR(INDEX(Create_TC_Web!S$1:S$500,SMALL(IF(Create_TC_Web!$C$1:$C$500&lt;&gt;"",MATCH(ROW(Create_TC_Web!$C$1:$C$500),ROW(Create_TC_Web!$C$1:$C$500)),""),ROW(Create_TC_Web!Q605))),"")</f>
        <v/>
      </c>
      <c r="S629" t="str">
        <f t="shared" si="26"/>
        <v/>
      </c>
    </row>
    <row r="630" spans="1:19">
      <c r="A630" t="str" cm="1">
        <f t="array" ref="A630">IFERROR(INDEX(Create_TC_Web!D$1:D$1510,SMALL(IF(Create_TC_Web!$C$1:$C$1510&lt;&gt;"",MATCH(ROW(Create_TC_Web!$C$1:$C$1510),ROW(Create_TC_Web!$C$1:$C$1510)),""),ROW(Create_TC_Web!B655))),"")</f>
        <v/>
      </c>
      <c r="B630" t="str" cm="1">
        <f t="array" ref="B630">SUBSTITUTE(SUBSTITUTE(SUBSTITUTE(IFERROR(INDEX(Create_TC_Web!E$1:E$505,SMALL(IF(Create_TC_Web!$C$1:$C$505&lt;&gt;"",MATCH(ROW(Create_TC_Web!$C$1:$C$505),ROW(Create_TC_Web!$C$1:$C$505)),""),ROW(Create_TC_Web!C628))),"")," ",""),"-",""),"_","")</f>
        <v/>
      </c>
      <c r="P630" s="17" t="str" cm="1">
        <f t="array" ref="P630">IFERROR(INDEX(Create_TC_Web!S$1:S$500,SMALL(IF(Create_TC_Web!$C$1:$C$500&lt;&gt;"",MATCH(ROW(Create_TC_Web!$C$1:$C$500),ROW(Create_TC_Web!$C$1:$C$500)),""),ROW(Create_TC_Web!Q606))),"")</f>
        <v/>
      </c>
      <c r="S630" t="str">
        <f t="shared" si="26"/>
        <v/>
      </c>
    </row>
    <row r="631" spans="1:19">
      <c r="A631" t="str" cm="1">
        <f t="array" ref="A631">IFERROR(INDEX(Create_TC_Web!D$1:D$1510,SMALL(IF(Create_TC_Web!$C$1:$C$1510&lt;&gt;"",MATCH(ROW(Create_TC_Web!$C$1:$C$1510),ROW(Create_TC_Web!$C$1:$C$1510)),""),ROW(Create_TC_Web!B656))),"")</f>
        <v/>
      </c>
      <c r="B631" t="str" cm="1">
        <f t="array" ref="B631">SUBSTITUTE(SUBSTITUTE(SUBSTITUTE(IFERROR(INDEX(Create_TC_Web!E$1:E$505,SMALL(IF(Create_TC_Web!$C$1:$C$505&lt;&gt;"",MATCH(ROW(Create_TC_Web!$C$1:$C$505),ROW(Create_TC_Web!$C$1:$C$505)),""),ROW(Create_TC_Web!C629))),"")," ",""),"-",""),"_","")</f>
        <v/>
      </c>
      <c r="P631" s="17" t="str" cm="1">
        <f t="array" ref="P631">IFERROR(INDEX(Create_TC_Web!S$1:S$500,SMALL(IF(Create_TC_Web!$C$1:$C$500&lt;&gt;"",MATCH(ROW(Create_TC_Web!$C$1:$C$500),ROW(Create_TC_Web!$C$1:$C$500)),""),ROW(Create_TC_Web!Q607))),"")</f>
        <v/>
      </c>
      <c r="S631" t="str">
        <f t="shared" si="26"/>
        <v/>
      </c>
    </row>
    <row r="632" spans="1:19">
      <c r="A632" t="str" cm="1">
        <f t="array" ref="A632">IFERROR(INDEX(Create_TC_Web!D$1:D$1510,SMALL(IF(Create_TC_Web!$C$1:$C$1510&lt;&gt;"",MATCH(ROW(Create_TC_Web!$C$1:$C$1510),ROW(Create_TC_Web!$C$1:$C$1510)),""),ROW(Create_TC_Web!B657))),"")</f>
        <v/>
      </c>
      <c r="B632" t="str" cm="1">
        <f t="array" ref="B632">SUBSTITUTE(SUBSTITUTE(SUBSTITUTE(IFERROR(INDEX(Create_TC_Web!E$1:E$505,SMALL(IF(Create_TC_Web!$C$1:$C$505&lt;&gt;"",MATCH(ROW(Create_TC_Web!$C$1:$C$505),ROW(Create_TC_Web!$C$1:$C$505)),""),ROW(Create_TC_Web!C630))),"")," ",""),"-",""),"_","")</f>
        <v/>
      </c>
      <c r="P632" s="17" t="str" cm="1">
        <f t="array" ref="P632">IFERROR(INDEX(Create_TC_Web!S$1:S$500,SMALL(IF(Create_TC_Web!$C$1:$C$500&lt;&gt;"",MATCH(ROW(Create_TC_Web!$C$1:$C$500),ROW(Create_TC_Web!$C$1:$C$500)),""),ROW(Create_TC_Web!Q608))),"")</f>
        <v/>
      </c>
      <c r="S632" t="str">
        <f t="shared" si="26"/>
        <v/>
      </c>
    </row>
    <row r="633" spans="1:19">
      <c r="A633" t="str" cm="1">
        <f t="array" ref="A633">IFERROR(INDEX(Create_TC_Web!D$1:D$1510,SMALL(IF(Create_TC_Web!$C$1:$C$1510&lt;&gt;"",MATCH(ROW(Create_TC_Web!$C$1:$C$1510),ROW(Create_TC_Web!$C$1:$C$1510)),""),ROW(Create_TC_Web!B658))),"")</f>
        <v/>
      </c>
      <c r="B633" t="str" cm="1">
        <f t="array" ref="B633">SUBSTITUTE(SUBSTITUTE(SUBSTITUTE(IFERROR(INDEX(Create_TC_Web!E$1:E$505,SMALL(IF(Create_TC_Web!$C$1:$C$505&lt;&gt;"",MATCH(ROW(Create_TC_Web!$C$1:$C$505),ROW(Create_TC_Web!$C$1:$C$505)),""),ROW(Create_TC_Web!C631))),"")," ",""),"-",""),"_","")</f>
        <v/>
      </c>
      <c r="P633" s="17" t="str" cm="1">
        <f t="array" ref="P633">IFERROR(INDEX(Create_TC_Web!S$1:S$500,SMALL(IF(Create_TC_Web!$C$1:$C$500&lt;&gt;"",MATCH(ROW(Create_TC_Web!$C$1:$C$500),ROW(Create_TC_Web!$C$1:$C$500)),""),ROW(Create_TC_Web!Q609))),"")</f>
        <v/>
      </c>
      <c r="S633" t="str">
        <f t="shared" si="26"/>
        <v/>
      </c>
    </row>
    <row r="634" spans="1:19">
      <c r="A634" t="str" cm="1">
        <f t="array" ref="A634">IFERROR(INDEX(Create_TC_Web!D$1:D$1510,SMALL(IF(Create_TC_Web!$C$1:$C$1510&lt;&gt;"",MATCH(ROW(Create_TC_Web!$C$1:$C$1510),ROW(Create_TC_Web!$C$1:$C$1510)),""),ROW(Create_TC_Web!B659))),"")</f>
        <v/>
      </c>
      <c r="B634" t="str" cm="1">
        <f t="array" ref="B634">SUBSTITUTE(SUBSTITUTE(SUBSTITUTE(IFERROR(INDEX(Create_TC_Web!E$1:E$505,SMALL(IF(Create_TC_Web!$C$1:$C$505&lt;&gt;"",MATCH(ROW(Create_TC_Web!$C$1:$C$505),ROW(Create_TC_Web!$C$1:$C$505)),""),ROW(Create_TC_Web!C632))),"")," ",""),"-",""),"_","")</f>
        <v/>
      </c>
      <c r="P634" s="17" t="str" cm="1">
        <f t="array" ref="P634">IFERROR(INDEX(Create_TC_Web!S$1:S$500,SMALL(IF(Create_TC_Web!$C$1:$C$500&lt;&gt;"",MATCH(ROW(Create_TC_Web!$C$1:$C$500),ROW(Create_TC_Web!$C$1:$C$500)),""),ROW(Create_TC_Web!Q610))),"")</f>
        <v/>
      </c>
      <c r="S634" t="str">
        <f t="shared" si="26"/>
        <v/>
      </c>
    </row>
    <row r="635" spans="1:19">
      <c r="A635" t="str" cm="1">
        <f t="array" ref="A635">IFERROR(INDEX(Create_TC_Web!D$1:D$1510,SMALL(IF(Create_TC_Web!$C$1:$C$1510&lt;&gt;"",MATCH(ROW(Create_TC_Web!$C$1:$C$1510),ROW(Create_TC_Web!$C$1:$C$1510)),""),ROW(Create_TC_Web!B660))),"")</f>
        <v/>
      </c>
      <c r="B635" t="str" cm="1">
        <f t="array" ref="B635">SUBSTITUTE(SUBSTITUTE(SUBSTITUTE(IFERROR(INDEX(Create_TC_Web!E$1:E$505,SMALL(IF(Create_TC_Web!$C$1:$C$505&lt;&gt;"",MATCH(ROW(Create_TC_Web!$C$1:$C$505),ROW(Create_TC_Web!$C$1:$C$505)),""),ROW(Create_TC_Web!C633))),"")," ",""),"-",""),"_","")</f>
        <v/>
      </c>
      <c r="P635" s="17" t="str" cm="1">
        <f t="array" ref="P635">IFERROR(INDEX(Create_TC_Web!S$1:S$500,SMALL(IF(Create_TC_Web!$C$1:$C$500&lt;&gt;"",MATCH(ROW(Create_TC_Web!$C$1:$C$500),ROW(Create_TC_Web!$C$1:$C$500)),""),ROW(Create_TC_Web!Q611))),"")</f>
        <v/>
      </c>
      <c r="S635" t="str">
        <f t="shared" si="26"/>
        <v/>
      </c>
    </row>
    <row r="636" spans="1:19">
      <c r="A636" t="str" cm="1">
        <f t="array" ref="A636">IFERROR(INDEX(Create_TC_Web!D$1:D$1510,SMALL(IF(Create_TC_Web!$C$1:$C$1510&lt;&gt;"",MATCH(ROW(Create_TC_Web!$C$1:$C$1510),ROW(Create_TC_Web!$C$1:$C$1510)),""),ROW(Create_TC_Web!B661))),"")</f>
        <v/>
      </c>
      <c r="B636" t="str" cm="1">
        <f t="array" ref="B636">SUBSTITUTE(SUBSTITUTE(SUBSTITUTE(IFERROR(INDEX(Create_TC_Web!E$1:E$505,SMALL(IF(Create_TC_Web!$C$1:$C$505&lt;&gt;"",MATCH(ROW(Create_TC_Web!$C$1:$C$505),ROW(Create_TC_Web!$C$1:$C$505)),""),ROW(Create_TC_Web!C634))),"")," ",""),"-",""),"_","")</f>
        <v/>
      </c>
      <c r="P636" s="17" t="str" cm="1">
        <f t="array" ref="P636">IFERROR(INDEX(Create_TC_Web!S$1:S$500,SMALL(IF(Create_TC_Web!$C$1:$C$500&lt;&gt;"",MATCH(ROW(Create_TC_Web!$C$1:$C$500),ROW(Create_TC_Web!$C$1:$C$500)),""),ROW(Create_TC_Web!Q612))),"")</f>
        <v/>
      </c>
      <c r="S636" t="str">
        <f t="shared" si="26"/>
        <v/>
      </c>
    </row>
    <row r="637" spans="1:19">
      <c r="A637" t="str" cm="1">
        <f t="array" ref="A637">IFERROR(INDEX(Create_TC_Web!D$1:D$1510,SMALL(IF(Create_TC_Web!$C$1:$C$1510&lt;&gt;"",MATCH(ROW(Create_TC_Web!$C$1:$C$1510),ROW(Create_TC_Web!$C$1:$C$1510)),""),ROW(Create_TC_Web!B662))),"")</f>
        <v/>
      </c>
      <c r="B637" t="str" cm="1">
        <f t="array" ref="B637">SUBSTITUTE(SUBSTITUTE(SUBSTITUTE(IFERROR(INDEX(Create_TC_Web!E$1:E$505,SMALL(IF(Create_TC_Web!$C$1:$C$505&lt;&gt;"",MATCH(ROW(Create_TC_Web!$C$1:$C$505),ROW(Create_TC_Web!$C$1:$C$505)),""),ROW(Create_TC_Web!C635))),"")," ",""),"-",""),"_","")</f>
        <v/>
      </c>
      <c r="P637" s="17" t="str" cm="1">
        <f t="array" ref="P637">IFERROR(INDEX(Create_TC_Web!S$1:S$500,SMALL(IF(Create_TC_Web!$C$1:$C$500&lt;&gt;"",MATCH(ROW(Create_TC_Web!$C$1:$C$500),ROW(Create_TC_Web!$C$1:$C$500)),""),ROW(Create_TC_Web!Q613))),"")</f>
        <v/>
      </c>
      <c r="S637" t="str">
        <f t="shared" si="26"/>
        <v/>
      </c>
    </row>
    <row r="638" spans="1:19">
      <c r="A638" t="str" cm="1">
        <f t="array" ref="A638">IFERROR(INDEX(Create_TC_Web!D$1:D$1510,SMALL(IF(Create_TC_Web!$C$1:$C$1510&lt;&gt;"",MATCH(ROW(Create_TC_Web!$C$1:$C$1510),ROW(Create_TC_Web!$C$1:$C$1510)),""),ROW(Create_TC_Web!B663))),"")</f>
        <v/>
      </c>
      <c r="B638" t="str" cm="1">
        <f t="array" ref="B638">SUBSTITUTE(SUBSTITUTE(SUBSTITUTE(IFERROR(INDEX(Create_TC_Web!E$1:E$505,SMALL(IF(Create_TC_Web!$C$1:$C$505&lt;&gt;"",MATCH(ROW(Create_TC_Web!$C$1:$C$505),ROW(Create_TC_Web!$C$1:$C$505)),""),ROW(Create_TC_Web!C636))),"")," ",""),"-",""),"_","")</f>
        <v/>
      </c>
      <c r="P638" s="17" t="str" cm="1">
        <f t="array" ref="P638">IFERROR(INDEX(Create_TC_Web!S$1:S$500,SMALL(IF(Create_TC_Web!$C$1:$C$500&lt;&gt;"",MATCH(ROW(Create_TC_Web!$C$1:$C$500),ROW(Create_TC_Web!$C$1:$C$500)),""),ROW(Create_TC_Web!Q614))),"")</f>
        <v/>
      </c>
      <c r="S638" t="str">
        <f t="shared" si="26"/>
        <v/>
      </c>
    </row>
    <row r="639" spans="1:19">
      <c r="A639" t="str" cm="1">
        <f t="array" ref="A639">IFERROR(INDEX(Create_TC_Web!D$1:D$1510,SMALL(IF(Create_TC_Web!$C$1:$C$1510&lt;&gt;"",MATCH(ROW(Create_TC_Web!$C$1:$C$1510),ROW(Create_TC_Web!$C$1:$C$1510)),""),ROW(Create_TC_Web!B664))),"")</f>
        <v/>
      </c>
      <c r="B639" t="str" cm="1">
        <f t="array" ref="B639">SUBSTITUTE(SUBSTITUTE(SUBSTITUTE(IFERROR(INDEX(Create_TC_Web!E$1:E$505,SMALL(IF(Create_TC_Web!$C$1:$C$505&lt;&gt;"",MATCH(ROW(Create_TC_Web!$C$1:$C$505),ROW(Create_TC_Web!$C$1:$C$505)),""),ROW(Create_TC_Web!C637))),"")," ",""),"-",""),"_","")</f>
        <v/>
      </c>
      <c r="P639" s="17" t="str" cm="1">
        <f t="array" ref="P639">IFERROR(INDEX(Create_TC_Web!S$1:S$500,SMALL(IF(Create_TC_Web!$C$1:$C$500&lt;&gt;"",MATCH(ROW(Create_TC_Web!$C$1:$C$500),ROW(Create_TC_Web!$C$1:$C$500)),""),ROW(Create_TC_Web!Q615))),"")</f>
        <v/>
      </c>
      <c r="S639" t="str">
        <f t="shared" si="26"/>
        <v/>
      </c>
    </row>
    <row r="640" spans="1:19">
      <c r="A640" t="str" cm="1">
        <f t="array" ref="A640">IFERROR(INDEX(Create_TC_Web!D$1:D$1510,SMALL(IF(Create_TC_Web!$C$1:$C$1510&lt;&gt;"",MATCH(ROW(Create_TC_Web!$C$1:$C$1510),ROW(Create_TC_Web!$C$1:$C$1510)),""),ROW(Create_TC_Web!B665))),"")</f>
        <v/>
      </c>
      <c r="B640" t="str" cm="1">
        <f t="array" ref="B640">SUBSTITUTE(SUBSTITUTE(SUBSTITUTE(IFERROR(INDEX(Create_TC_Web!E$1:E$505,SMALL(IF(Create_TC_Web!$C$1:$C$505&lt;&gt;"",MATCH(ROW(Create_TC_Web!$C$1:$C$505),ROW(Create_TC_Web!$C$1:$C$505)),""),ROW(Create_TC_Web!C638))),"")," ",""),"-",""),"_","")</f>
        <v/>
      </c>
      <c r="P640" s="17" t="str" cm="1">
        <f t="array" ref="P640">IFERROR(INDEX(Create_TC_Web!S$1:S$500,SMALL(IF(Create_TC_Web!$C$1:$C$500&lt;&gt;"",MATCH(ROW(Create_TC_Web!$C$1:$C$500),ROW(Create_TC_Web!$C$1:$C$500)),""),ROW(Create_TC_Web!Q616))),"")</f>
        <v/>
      </c>
      <c r="S640" t="str">
        <f t="shared" si="26"/>
        <v/>
      </c>
    </row>
    <row r="641" spans="1:19">
      <c r="A641" t="str" cm="1">
        <f t="array" ref="A641">IFERROR(INDEX(Create_TC_Web!D$1:D$1510,SMALL(IF(Create_TC_Web!$C$1:$C$1510&lt;&gt;"",MATCH(ROW(Create_TC_Web!$C$1:$C$1510),ROW(Create_TC_Web!$C$1:$C$1510)),""),ROW(Create_TC_Web!B666))),"")</f>
        <v/>
      </c>
      <c r="B641" t="str" cm="1">
        <f t="array" ref="B641">SUBSTITUTE(SUBSTITUTE(SUBSTITUTE(IFERROR(INDEX(Create_TC_Web!E$1:E$505,SMALL(IF(Create_TC_Web!$C$1:$C$505&lt;&gt;"",MATCH(ROW(Create_TC_Web!$C$1:$C$505),ROW(Create_TC_Web!$C$1:$C$505)),""),ROW(Create_TC_Web!C639))),"")," ",""),"-",""),"_","")</f>
        <v/>
      </c>
      <c r="P641" s="17" t="str" cm="1">
        <f t="array" ref="P641">IFERROR(INDEX(Create_TC_Web!S$1:S$500,SMALL(IF(Create_TC_Web!$C$1:$C$500&lt;&gt;"",MATCH(ROW(Create_TC_Web!$C$1:$C$500),ROW(Create_TC_Web!$C$1:$C$500)),""),ROW(Create_TC_Web!Q617))),"")</f>
        <v/>
      </c>
      <c r="S641" t="str">
        <f t="shared" si="26"/>
        <v/>
      </c>
    </row>
    <row r="642" spans="1:19">
      <c r="A642" t="str" cm="1">
        <f t="array" ref="A642">IFERROR(INDEX(Create_TC_Web!D$1:D$1510,SMALL(IF(Create_TC_Web!$C$1:$C$1510&lt;&gt;"",MATCH(ROW(Create_TC_Web!$C$1:$C$1510),ROW(Create_TC_Web!$C$1:$C$1510)),""),ROW(Create_TC_Web!B667))),"")</f>
        <v/>
      </c>
      <c r="B642" t="str" cm="1">
        <f t="array" ref="B642">SUBSTITUTE(SUBSTITUTE(SUBSTITUTE(IFERROR(INDEX(Create_TC_Web!E$1:E$505,SMALL(IF(Create_TC_Web!$C$1:$C$505&lt;&gt;"",MATCH(ROW(Create_TC_Web!$C$1:$C$505),ROW(Create_TC_Web!$C$1:$C$505)),""),ROW(Create_TC_Web!C640))),"")," ",""),"-",""),"_","")</f>
        <v/>
      </c>
      <c r="P642" s="17" t="str" cm="1">
        <f t="array" ref="P642">IFERROR(INDEX(Create_TC_Web!S$1:S$500,SMALL(IF(Create_TC_Web!$C$1:$C$500&lt;&gt;"",MATCH(ROW(Create_TC_Web!$C$1:$C$500),ROW(Create_TC_Web!$C$1:$C$500)),""),ROW(Create_TC_Web!Q618))),"")</f>
        <v/>
      </c>
      <c r="S642" t="str">
        <f t="shared" si="26"/>
        <v/>
      </c>
    </row>
    <row r="643" spans="1:19">
      <c r="A643" t="str" cm="1">
        <f t="array" ref="A643">IFERROR(INDEX(Create_TC_Web!D$1:D$1510,SMALL(IF(Create_TC_Web!$C$1:$C$1510&lt;&gt;"",MATCH(ROW(Create_TC_Web!$C$1:$C$1510),ROW(Create_TC_Web!$C$1:$C$1510)),""),ROW(Create_TC_Web!B668))),"")</f>
        <v/>
      </c>
      <c r="B643" t="str" cm="1">
        <f t="array" ref="B643">SUBSTITUTE(SUBSTITUTE(SUBSTITUTE(IFERROR(INDEX(Create_TC_Web!E$1:E$505,SMALL(IF(Create_TC_Web!$C$1:$C$505&lt;&gt;"",MATCH(ROW(Create_TC_Web!$C$1:$C$505),ROW(Create_TC_Web!$C$1:$C$505)),""),ROW(Create_TC_Web!C641))),"")," ",""),"-",""),"_","")</f>
        <v/>
      </c>
      <c r="P643" s="17" t="str" cm="1">
        <f t="array" ref="P643">IFERROR(INDEX(Create_TC_Web!S$1:S$500,SMALL(IF(Create_TC_Web!$C$1:$C$500&lt;&gt;"",MATCH(ROW(Create_TC_Web!$C$1:$C$500),ROW(Create_TC_Web!$C$1:$C$500)),""),ROW(Create_TC_Web!Q619))),"")</f>
        <v/>
      </c>
      <c r="S643" t="str">
        <f t="shared" ref="S643:S665" si="27">IF(P643&lt;&gt;0,P643,"")</f>
        <v/>
      </c>
    </row>
    <row r="644" spans="1:19">
      <c r="A644" t="str" cm="1">
        <f t="array" ref="A644">IFERROR(INDEX(Create_TC_Web!D$1:D$1510,SMALL(IF(Create_TC_Web!$C$1:$C$1510&lt;&gt;"",MATCH(ROW(Create_TC_Web!$C$1:$C$1510),ROW(Create_TC_Web!$C$1:$C$1510)),""),ROW(Create_TC_Web!B669))),"")</f>
        <v/>
      </c>
      <c r="B644" t="str" cm="1">
        <f t="array" ref="B644">SUBSTITUTE(SUBSTITUTE(SUBSTITUTE(IFERROR(INDEX(Create_TC_Web!E$1:E$505,SMALL(IF(Create_TC_Web!$C$1:$C$505&lt;&gt;"",MATCH(ROW(Create_TC_Web!$C$1:$C$505),ROW(Create_TC_Web!$C$1:$C$505)),""),ROW(Create_TC_Web!C642))),"")," ",""),"-",""),"_","")</f>
        <v/>
      </c>
      <c r="P644" s="17" t="str" cm="1">
        <f t="array" ref="P644">IFERROR(INDEX(Create_TC_Web!S$1:S$500,SMALL(IF(Create_TC_Web!$C$1:$C$500&lt;&gt;"",MATCH(ROW(Create_TC_Web!$C$1:$C$500),ROW(Create_TC_Web!$C$1:$C$500)),""),ROW(Create_TC_Web!Q620))),"")</f>
        <v/>
      </c>
      <c r="S644" t="str">
        <f t="shared" si="27"/>
        <v/>
      </c>
    </row>
    <row r="645" spans="1:19">
      <c r="A645" t="str" cm="1">
        <f t="array" ref="A645">IFERROR(INDEX(Create_TC_Web!D$1:D$1510,SMALL(IF(Create_TC_Web!$C$1:$C$1510&lt;&gt;"",MATCH(ROW(Create_TC_Web!$C$1:$C$1510),ROW(Create_TC_Web!$C$1:$C$1510)),""),ROW(Create_TC_Web!B670))),"")</f>
        <v/>
      </c>
      <c r="B645" t="str" cm="1">
        <f t="array" ref="B645">SUBSTITUTE(SUBSTITUTE(SUBSTITUTE(IFERROR(INDEX(Create_TC_Web!E$1:E$505,SMALL(IF(Create_TC_Web!$C$1:$C$505&lt;&gt;"",MATCH(ROW(Create_TC_Web!$C$1:$C$505),ROW(Create_TC_Web!$C$1:$C$505)),""),ROW(Create_TC_Web!C643))),"")," ",""),"-",""),"_","")</f>
        <v/>
      </c>
      <c r="P645" s="17" t="str" cm="1">
        <f t="array" ref="P645">IFERROR(INDEX(Create_TC_Web!S$1:S$500,SMALL(IF(Create_TC_Web!$C$1:$C$500&lt;&gt;"",MATCH(ROW(Create_TC_Web!$C$1:$C$500),ROW(Create_TC_Web!$C$1:$C$500)),""),ROW(Create_TC_Web!Q621))),"")</f>
        <v/>
      </c>
      <c r="S645" t="str">
        <f t="shared" si="27"/>
        <v/>
      </c>
    </row>
    <row r="646" spans="1:19">
      <c r="A646" t="str" cm="1">
        <f t="array" ref="A646">IFERROR(INDEX(Create_TC_Web!D$1:D$1510,SMALL(IF(Create_TC_Web!$C$1:$C$1510&lt;&gt;"",MATCH(ROW(Create_TC_Web!$C$1:$C$1510),ROW(Create_TC_Web!$C$1:$C$1510)),""),ROW(Create_TC_Web!B671))),"")</f>
        <v/>
      </c>
      <c r="B646" t="str" cm="1">
        <f t="array" ref="B646">SUBSTITUTE(SUBSTITUTE(SUBSTITUTE(IFERROR(INDEX(Create_TC_Web!E$1:E$505,SMALL(IF(Create_TC_Web!$C$1:$C$505&lt;&gt;"",MATCH(ROW(Create_TC_Web!$C$1:$C$505),ROW(Create_TC_Web!$C$1:$C$505)),""),ROW(Create_TC_Web!C644))),"")," ",""),"-",""),"_","")</f>
        <v/>
      </c>
      <c r="P646" s="17" t="str" cm="1">
        <f t="array" ref="P646">IFERROR(INDEX(Create_TC_Web!S$1:S$500,SMALL(IF(Create_TC_Web!$C$1:$C$500&lt;&gt;"",MATCH(ROW(Create_TC_Web!$C$1:$C$500),ROW(Create_TC_Web!$C$1:$C$500)),""),ROW(Create_TC_Web!Q622))),"")</f>
        <v/>
      </c>
      <c r="S646" t="str">
        <f t="shared" si="27"/>
        <v/>
      </c>
    </row>
    <row r="647" spans="1:19">
      <c r="A647" t="str" cm="1">
        <f t="array" ref="A647">IFERROR(INDEX(Create_TC_Web!D$1:D$1510,SMALL(IF(Create_TC_Web!$C$1:$C$1510&lt;&gt;"",MATCH(ROW(Create_TC_Web!$C$1:$C$1510),ROW(Create_TC_Web!$C$1:$C$1510)),""),ROW(Create_TC_Web!B672))),"")</f>
        <v/>
      </c>
      <c r="B647" t="str" cm="1">
        <f t="array" ref="B647">SUBSTITUTE(SUBSTITUTE(SUBSTITUTE(IFERROR(INDEX(Create_TC_Web!E$1:E$505,SMALL(IF(Create_TC_Web!$C$1:$C$505&lt;&gt;"",MATCH(ROW(Create_TC_Web!$C$1:$C$505),ROW(Create_TC_Web!$C$1:$C$505)),""),ROW(Create_TC_Web!C645))),"")," ",""),"-",""),"_","")</f>
        <v/>
      </c>
      <c r="P647" s="17" t="str" cm="1">
        <f t="array" ref="P647">IFERROR(INDEX(Create_TC_Web!S$1:S$500,SMALL(IF(Create_TC_Web!$C$1:$C$500&lt;&gt;"",MATCH(ROW(Create_TC_Web!$C$1:$C$500),ROW(Create_TC_Web!$C$1:$C$500)),""),ROW(Create_TC_Web!Q623))),"")</f>
        <v/>
      </c>
      <c r="S647" t="str">
        <f t="shared" si="27"/>
        <v/>
      </c>
    </row>
    <row r="648" spans="1:19">
      <c r="A648" t="str" cm="1">
        <f t="array" ref="A648">IFERROR(INDEX(Create_TC_Web!D$1:D$1510,SMALL(IF(Create_TC_Web!$C$1:$C$1510&lt;&gt;"",MATCH(ROW(Create_TC_Web!$C$1:$C$1510),ROW(Create_TC_Web!$C$1:$C$1510)),""),ROW(Create_TC_Web!B673))),"")</f>
        <v/>
      </c>
      <c r="B648" t="str" cm="1">
        <f t="array" ref="B648">SUBSTITUTE(SUBSTITUTE(SUBSTITUTE(IFERROR(INDEX(Create_TC_Web!E$1:E$505,SMALL(IF(Create_TC_Web!$C$1:$C$505&lt;&gt;"",MATCH(ROW(Create_TC_Web!$C$1:$C$505),ROW(Create_TC_Web!$C$1:$C$505)),""),ROW(Create_TC_Web!C646))),"")," ",""),"-",""),"_","")</f>
        <v/>
      </c>
      <c r="P648" s="17" t="str" cm="1">
        <f t="array" ref="P648">IFERROR(INDEX(Create_TC_Web!S$1:S$500,SMALL(IF(Create_TC_Web!$C$1:$C$500&lt;&gt;"",MATCH(ROW(Create_TC_Web!$C$1:$C$500),ROW(Create_TC_Web!$C$1:$C$500)),""),ROW(Create_TC_Web!Q624))),"")</f>
        <v/>
      </c>
      <c r="S648" t="str">
        <f t="shared" si="27"/>
        <v/>
      </c>
    </row>
    <row r="649" spans="1:19">
      <c r="A649" t="str" cm="1">
        <f t="array" ref="A649">IFERROR(INDEX(Create_TC_Web!D$1:D$1510,SMALL(IF(Create_TC_Web!$C$1:$C$1510&lt;&gt;"",MATCH(ROW(Create_TC_Web!$C$1:$C$1510),ROW(Create_TC_Web!$C$1:$C$1510)),""),ROW(Create_TC_Web!B674))),"")</f>
        <v/>
      </c>
      <c r="B649" t="str" cm="1">
        <f t="array" ref="B649">SUBSTITUTE(SUBSTITUTE(SUBSTITUTE(IFERROR(INDEX(Create_TC_Web!E$1:E$505,SMALL(IF(Create_TC_Web!$C$1:$C$505&lt;&gt;"",MATCH(ROW(Create_TC_Web!$C$1:$C$505),ROW(Create_TC_Web!$C$1:$C$505)),""),ROW(Create_TC_Web!C647))),"")," ",""),"-",""),"_","")</f>
        <v/>
      </c>
      <c r="P649" s="17" t="str" cm="1">
        <f t="array" ref="P649">IFERROR(INDEX(Create_TC_Web!S$1:S$500,SMALL(IF(Create_TC_Web!$C$1:$C$500&lt;&gt;"",MATCH(ROW(Create_TC_Web!$C$1:$C$500),ROW(Create_TC_Web!$C$1:$C$500)),""),ROW(Create_TC_Web!Q625))),"")</f>
        <v/>
      </c>
      <c r="S649" t="str">
        <f t="shared" si="27"/>
        <v/>
      </c>
    </row>
    <row r="650" spans="1:19">
      <c r="A650" t="str" cm="1">
        <f t="array" ref="A650">IFERROR(INDEX(Create_TC_Web!D$1:D$1510,SMALL(IF(Create_TC_Web!$C$1:$C$1510&lt;&gt;"",MATCH(ROW(Create_TC_Web!$C$1:$C$1510),ROW(Create_TC_Web!$C$1:$C$1510)),""),ROW(Create_TC_Web!B675))),"")</f>
        <v/>
      </c>
      <c r="B650" t="str" cm="1">
        <f t="array" ref="B650">SUBSTITUTE(SUBSTITUTE(SUBSTITUTE(IFERROR(INDEX(Create_TC_Web!E$1:E$505,SMALL(IF(Create_TC_Web!$C$1:$C$505&lt;&gt;"",MATCH(ROW(Create_TC_Web!$C$1:$C$505),ROW(Create_TC_Web!$C$1:$C$505)),""),ROW(Create_TC_Web!C648))),"")," ",""),"-",""),"_","")</f>
        <v/>
      </c>
      <c r="P650" s="17" t="str" cm="1">
        <f t="array" ref="P650">IFERROR(INDEX(Create_TC_Web!S$1:S$500,SMALL(IF(Create_TC_Web!$C$1:$C$500&lt;&gt;"",MATCH(ROW(Create_TC_Web!$C$1:$C$500),ROW(Create_TC_Web!$C$1:$C$500)),""),ROW(Create_TC_Web!Q626))),"")</f>
        <v/>
      </c>
      <c r="S650" t="str">
        <f t="shared" si="27"/>
        <v/>
      </c>
    </row>
    <row r="651" spans="1:19">
      <c r="A651" t="str" cm="1">
        <f t="array" ref="A651">IFERROR(INDEX(Create_TC_Web!D$1:D$1510,SMALL(IF(Create_TC_Web!$C$1:$C$1510&lt;&gt;"",MATCH(ROW(Create_TC_Web!$C$1:$C$1510),ROW(Create_TC_Web!$C$1:$C$1510)),""),ROW(Create_TC_Web!B676))),"")</f>
        <v/>
      </c>
      <c r="B651" t="str" cm="1">
        <f t="array" ref="B651">SUBSTITUTE(SUBSTITUTE(SUBSTITUTE(IFERROR(INDEX(Create_TC_Web!E$1:E$505,SMALL(IF(Create_TC_Web!$C$1:$C$505&lt;&gt;"",MATCH(ROW(Create_TC_Web!$C$1:$C$505),ROW(Create_TC_Web!$C$1:$C$505)),""),ROW(Create_TC_Web!C649))),"")," ",""),"-",""),"_","")</f>
        <v/>
      </c>
      <c r="P651" s="17" t="str" cm="1">
        <f t="array" ref="P651">IFERROR(INDEX(Create_TC_Web!S$1:S$500,SMALL(IF(Create_TC_Web!$C$1:$C$500&lt;&gt;"",MATCH(ROW(Create_TC_Web!$C$1:$C$500),ROW(Create_TC_Web!$C$1:$C$500)),""),ROW(Create_TC_Web!Q627))),"")</f>
        <v/>
      </c>
      <c r="S651" t="str">
        <f t="shared" si="27"/>
        <v/>
      </c>
    </row>
    <row r="652" spans="1:19">
      <c r="A652" t="str" cm="1">
        <f t="array" ref="A652">IFERROR(INDEX(Create_TC_Web!D$1:D$1510,SMALL(IF(Create_TC_Web!$C$1:$C$1510&lt;&gt;"",MATCH(ROW(Create_TC_Web!$C$1:$C$1510),ROW(Create_TC_Web!$C$1:$C$1510)),""),ROW(Create_TC_Web!B677))),"")</f>
        <v/>
      </c>
      <c r="B652" t="str" cm="1">
        <f t="array" ref="B652">SUBSTITUTE(SUBSTITUTE(SUBSTITUTE(IFERROR(INDEX(Create_TC_Web!E$1:E$505,SMALL(IF(Create_TC_Web!$C$1:$C$505&lt;&gt;"",MATCH(ROW(Create_TC_Web!$C$1:$C$505),ROW(Create_TC_Web!$C$1:$C$505)),""),ROW(Create_TC_Web!C650))),"")," ",""),"-",""),"_","")</f>
        <v/>
      </c>
      <c r="P652" s="17" t="str" cm="1">
        <f t="array" ref="P652">IFERROR(INDEX(Create_TC_Web!S$1:S$500,SMALL(IF(Create_TC_Web!$C$1:$C$500&lt;&gt;"",MATCH(ROW(Create_TC_Web!$C$1:$C$500),ROW(Create_TC_Web!$C$1:$C$500)),""),ROW(Create_TC_Web!Q628))),"")</f>
        <v/>
      </c>
      <c r="S652" t="str">
        <f t="shared" si="27"/>
        <v/>
      </c>
    </row>
    <row r="653" spans="1:19">
      <c r="A653" t="str" cm="1">
        <f t="array" ref="A653">IFERROR(INDEX(Create_TC_Web!D$1:D$1510,SMALL(IF(Create_TC_Web!$C$1:$C$1510&lt;&gt;"",MATCH(ROW(Create_TC_Web!$C$1:$C$1510),ROW(Create_TC_Web!$C$1:$C$1510)),""),ROW(Create_TC_Web!B678))),"")</f>
        <v/>
      </c>
      <c r="B653" t="str" cm="1">
        <f t="array" ref="B653">SUBSTITUTE(SUBSTITUTE(SUBSTITUTE(IFERROR(INDEX(Create_TC_Web!E$1:E$505,SMALL(IF(Create_TC_Web!$C$1:$C$505&lt;&gt;"",MATCH(ROW(Create_TC_Web!$C$1:$C$505),ROW(Create_TC_Web!$C$1:$C$505)),""),ROW(Create_TC_Web!C651))),"")," ",""),"-",""),"_","")</f>
        <v/>
      </c>
      <c r="P653" s="17" t="str" cm="1">
        <f t="array" ref="P653">IFERROR(INDEX(Create_TC_Web!S$1:S$500,SMALL(IF(Create_TC_Web!$C$1:$C$500&lt;&gt;"",MATCH(ROW(Create_TC_Web!$C$1:$C$500),ROW(Create_TC_Web!$C$1:$C$500)),""),ROW(Create_TC_Web!Q629))),"")</f>
        <v/>
      </c>
      <c r="S653" t="str">
        <f t="shared" si="27"/>
        <v/>
      </c>
    </row>
    <row r="654" spans="1:19">
      <c r="A654" t="str" cm="1">
        <f t="array" ref="A654">IFERROR(INDEX(Create_TC_Web!D$1:D$1510,SMALL(IF(Create_TC_Web!$C$1:$C$1510&lt;&gt;"",MATCH(ROW(Create_TC_Web!$C$1:$C$1510),ROW(Create_TC_Web!$C$1:$C$1510)),""),ROW(Create_TC_Web!B679))),"")</f>
        <v/>
      </c>
      <c r="B654" t="str" cm="1">
        <f t="array" ref="B654">SUBSTITUTE(SUBSTITUTE(SUBSTITUTE(IFERROR(INDEX(Create_TC_Web!E$1:E$505,SMALL(IF(Create_TC_Web!$C$1:$C$505&lt;&gt;"",MATCH(ROW(Create_TC_Web!$C$1:$C$505),ROW(Create_TC_Web!$C$1:$C$505)),""),ROW(Create_TC_Web!C652))),"")," ",""),"-",""),"_","")</f>
        <v/>
      </c>
      <c r="P654" s="17" t="str" cm="1">
        <f t="array" ref="P654">IFERROR(INDEX(Create_TC_Web!S$1:S$500,SMALL(IF(Create_TC_Web!$C$1:$C$500&lt;&gt;"",MATCH(ROW(Create_TC_Web!$C$1:$C$500),ROW(Create_TC_Web!$C$1:$C$500)),""),ROW(Create_TC_Web!Q630))),"")</f>
        <v/>
      </c>
      <c r="S654" t="str">
        <f t="shared" si="27"/>
        <v/>
      </c>
    </row>
    <row r="655" spans="1:19">
      <c r="A655" t="str" cm="1">
        <f t="array" ref="A655">IFERROR(INDEX(Create_TC_Web!D$1:D$1510,SMALL(IF(Create_TC_Web!$C$1:$C$1510&lt;&gt;"",MATCH(ROW(Create_TC_Web!$C$1:$C$1510),ROW(Create_TC_Web!$C$1:$C$1510)),""),ROW(Create_TC_Web!B680))),"")</f>
        <v/>
      </c>
      <c r="B655" t="str" cm="1">
        <f t="array" ref="B655">SUBSTITUTE(SUBSTITUTE(SUBSTITUTE(IFERROR(INDEX(Create_TC_Web!E$1:E$505,SMALL(IF(Create_TC_Web!$C$1:$C$505&lt;&gt;"",MATCH(ROW(Create_TC_Web!$C$1:$C$505),ROW(Create_TC_Web!$C$1:$C$505)),""),ROW(Create_TC_Web!C653))),"")," ",""),"-",""),"_","")</f>
        <v/>
      </c>
      <c r="P655" s="17" t="str" cm="1">
        <f t="array" ref="P655">IFERROR(INDEX(Create_TC_Web!S$1:S$500,SMALL(IF(Create_TC_Web!$C$1:$C$500&lt;&gt;"",MATCH(ROW(Create_TC_Web!$C$1:$C$500),ROW(Create_TC_Web!$C$1:$C$500)),""),ROW(Create_TC_Web!Q631))),"")</f>
        <v/>
      </c>
      <c r="S655" t="str">
        <f t="shared" si="27"/>
        <v/>
      </c>
    </row>
    <row r="656" spans="1:19">
      <c r="A656" t="str" cm="1">
        <f t="array" ref="A656">IFERROR(INDEX(Create_TC_Web!D$1:D$1510,SMALL(IF(Create_TC_Web!$C$1:$C$1510&lt;&gt;"",MATCH(ROW(Create_TC_Web!$C$1:$C$1510),ROW(Create_TC_Web!$C$1:$C$1510)),""),ROW(Create_TC_Web!B681))),"")</f>
        <v/>
      </c>
      <c r="B656" t="str" cm="1">
        <f t="array" ref="B656">SUBSTITUTE(SUBSTITUTE(SUBSTITUTE(IFERROR(INDEX(Create_TC_Web!E$1:E$505,SMALL(IF(Create_TC_Web!$C$1:$C$505&lt;&gt;"",MATCH(ROW(Create_TC_Web!$C$1:$C$505),ROW(Create_TC_Web!$C$1:$C$505)),""),ROW(Create_TC_Web!C654))),"")," ",""),"-",""),"_","")</f>
        <v/>
      </c>
      <c r="P656" s="17" t="str" cm="1">
        <f t="array" ref="P656">IFERROR(INDEX(Create_TC_Web!S$1:S$500,SMALL(IF(Create_TC_Web!$C$1:$C$500&lt;&gt;"",MATCH(ROW(Create_TC_Web!$C$1:$C$500),ROW(Create_TC_Web!$C$1:$C$500)),""),ROW(Create_TC_Web!Q632))),"")</f>
        <v/>
      </c>
      <c r="S656" t="str">
        <f t="shared" si="27"/>
        <v/>
      </c>
    </row>
    <row r="657" spans="1:19">
      <c r="A657" t="str" cm="1">
        <f t="array" ref="A657">IFERROR(INDEX(Create_TC_Web!D$1:D$1510,SMALL(IF(Create_TC_Web!$C$1:$C$1510&lt;&gt;"",MATCH(ROW(Create_TC_Web!$C$1:$C$1510),ROW(Create_TC_Web!$C$1:$C$1510)),""),ROW(Create_TC_Web!B682))),"")</f>
        <v/>
      </c>
      <c r="B657" t="str" cm="1">
        <f t="array" ref="B657">SUBSTITUTE(SUBSTITUTE(SUBSTITUTE(IFERROR(INDEX(Create_TC_Web!E$1:E$505,SMALL(IF(Create_TC_Web!$C$1:$C$505&lt;&gt;"",MATCH(ROW(Create_TC_Web!$C$1:$C$505),ROW(Create_TC_Web!$C$1:$C$505)),""),ROW(Create_TC_Web!C655))),"")," ",""),"-",""),"_","")</f>
        <v/>
      </c>
      <c r="P657" s="17" t="str" cm="1">
        <f t="array" ref="P657">IFERROR(INDEX(Create_TC_Web!S$1:S$500,SMALL(IF(Create_TC_Web!$C$1:$C$500&lt;&gt;"",MATCH(ROW(Create_TC_Web!$C$1:$C$500),ROW(Create_TC_Web!$C$1:$C$500)),""),ROW(Create_TC_Web!Q633))),"")</f>
        <v/>
      </c>
      <c r="S657" t="str">
        <f t="shared" si="27"/>
        <v/>
      </c>
    </row>
    <row r="658" spans="1:19">
      <c r="A658" t="str" cm="1">
        <f t="array" ref="A658">IFERROR(INDEX(Create_TC_Web!D$1:D$1510,SMALL(IF(Create_TC_Web!$C$1:$C$1510&lt;&gt;"",MATCH(ROW(Create_TC_Web!$C$1:$C$1510),ROW(Create_TC_Web!$C$1:$C$1510)),""),ROW(Create_TC_Web!B683))),"")</f>
        <v/>
      </c>
      <c r="B658" t="str" cm="1">
        <f t="array" ref="B658">SUBSTITUTE(SUBSTITUTE(SUBSTITUTE(IFERROR(INDEX(Create_TC_Web!E$1:E$505,SMALL(IF(Create_TC_Web!$C$1:$C$505&lt;&gt;"",MATCH(ROW(Create_TC_Web!$C$1:$C$505),ROW(Create_TC_Web!$C$1:$C$505)),""),ROW(Create_TC_Web!C656))),"")," ",""),"-",""),"_","")</f>
        <v/>
      </c>
      <c r="P658" s="17" t="str" cm="1">
        <f t="array" ref="P658">IFERROR(INDEX(Create_TC_Web!S$1:S$500,SMALL(IF(Create_TC_Web!$C$1:$C$500&lt;&gt;"",MATCH(ROW(Create_TC_Web!$C$1:$C$500),ROW(Create_TC_Web!$C$1:$C$500)),""),ROW(Create_TC_Web!Q634))),"")</f>
        <v/>
      </c>
      <c r="S658" t="str">
        <f t="shared" si="27"/>
        <v/>
      </c>
    </row>
    <row r="659" spans="1:19">
      <c r="A659" t="str" cm="1">
        <f t="array" ref="A659">IFERROR(INDEX(Create_TC_Web!D$1:D$1510,SMALL(IF(Create_TC_Web!$C$1:$C$1510&lt;&gt;"",MATCH(ROW(Create_TC_Web!$C$1:$C$1510),ROW(Create_TC_Web!$C$1:$C$1510)),""),ROW(Create_TC_Web!B684))),"")</f>
        <v/>
      </c>
      <c r="B659" t="str" cm="1">
        <f t="array" ref="B659">SUBSTITUTE(SUBSTITUTE(SUBSTITUTE(IFERROR(INDEX(Create_TC_Web!E$1:E$505,SMALL(IF(Create_TC_Web!$C$1:$C$505&lt;&gt;"",MATCH(ROW(Create_TC_Web!$C$1:$C$505),ROW(Create_TC_Web!$C$1:$C$505)),""),ROW(Create_TC_Web!C657))),"")," ",""),"-",""),"_","")</f>
        <v/>
      </c>
      <c r="P659" s="17" t="str" cm="1">
        <f t="array" ref="P659">IFERROR(INDEX(Create_TC_Web!S$1:S$500,SMALL(IF(Create_TC_Web!$C$1:$C$500&lt;&gt;"",MATCH(ROW(Create_TC_Web!$C$1:$C$500),ROW(Create_TC_Web!$C$1:$C$500)),""),ROW(Create_TC_Web!Q635))),"")</f>
        <v/>
      </c>
      <c r="S659" t="str">
        <f t="shared" si="27"/>
        <v/>
      </c>
    </row>
    <row r="660" spans="1:19">
      <c r="A660" t="str" cm="1">
        <f t="array" ref="A660">IFERROR(INDEX(Create_TC_Web!D$1:D$1510,SMALL(IF(Create_TC_Web!$C$1:$C$1510&lt;&gt;"",MATCH(ROW(Create_TC_Web!$C$1:$C$1510),ROW(Create_TC_Web!$C$1:$C$1510)),""),ROW(Create_TC_Web!B685))),"")</f>
        <v/>
      </c>
      <c r="B660" t="str" cm="1">
        <f t="array" ref="B660">SUBSTITUTE(SUBSTITUTE(SUBSTITUTE(IFERROR(INDEX(Create_TC_Web!E$1:E$505,SMALL(IF(Create_TC_Web!$C$1:$C$505&lt;&gt;"",MATCH(ROW(Create_TC_Web!$C$1:$C$505),ROW(Create_TC_Web!$C$1:$C$505)),""),ROW(Create_TC_Web!C658))),"")," ",""),"-",""),"_","")</f>
        <v/>
      </c>
      <c r="P660" s="17" t="str" cm="1">
        <f t="array" ref="P660">IFERROR(INDEX(Create_TC_Web!S$1:S$500,SMALL(IF(Create_TC_Web!$C$1:$C$500&lt;&gt;"",MATCH(ROW(Create_TC_Web!$C$1:$C$500),ROW(Create_TC_Web!$C$1:$C$500)),""),ROW(Create_TC_Web!Q636))),"")</f>
        <v/>
      </c>
      <c r="S660" t="str">
        <f t="shared" si="27"/>
        <v/>
      </c>
    </row>
    <row r="661" spans="1:19">
      <c r="A661" t="str" cm="1">
        <f t="array" ref="A661">IFERROR(INDEX(Create_TC_Web!D$1:D$1510,SMALL(IF(Create_TC_Web!$C$1:$C$1510&lt;&gt;"",MATCH(ROW(Create_TC_Web!$C$1:$C$1510),ROW(Create_TC_Web!$C$1:$C$1510)),""),ROW(Create_TC_Web!B686))),"")</f>
        <v/>
      </c>
      <c r="B661" t="str" cm="1">
        <f t="array" ref="B661">SUBSTITUTE(SUBSTITUTE(SUBSTITUTE(IFERROR(INDEX(Create_TC_Web!E$1:E$505,SMALL(IF(Create_TC_Web!$C$1:$C$505&lt;&gt;"",MATCH(ROW(Create_TC_Web!$C$1:$C$505),ROW(Create_TC_Web!$C$1:$C$505)),""),ROW(Create_TC_Web!C659))),"")," ",""),"-",""),"_","")</f>
        <v/>
      </c>
      <c r="P661" s="17" t="str" cm="1">
        <f t="array" ref="P661">IFERROR(INDEX(Create_TC_Web!S$1:S$500,SMALL(IF(Create_TC_Web!$C$1:$C$500&lt;&gt;"",MATCH(ROW(Create_TC_Web!$C$1:$C$500),ROW(Create_TC_Web!$C$1:$C$500)),""),ROW(Create_TC_Web!Q637))),"")</f>
        <v/>
      </c>
      <c r="S661" t="str">
        <f t="shared" si="27"/>
        <v/>
      </c>
    </row>
    <row r="662" spans="1:19">
      <c r="A662" t="str" cm="1">
        <f t="array" ref="A662">IFERROR(INDEX(Create_TC_Web!D$1:D$1510,SMALL(IF(Create_TC_Web!$C$1:$C$1510&lt;&gt;"",MATCH(ROW(Create_TC_Web!$C$1:$C$1510),ROW(Create_TC_Web!$C$1:$C$1510)),""),ROW(Create_TC_Web!B687))),"")</f>
        <v/>
      </c>
      <c r="B662" t="str" cm="1">
        <f t="array" ref="B662">SUBSTITUTE(SUBSTITUTE(SUBSTITUTE(IFERROR(INDEX(Create_TC_Web!E$1:E$505,SMALL(IF(Create_TC_Web!$C$1:$C$505&lt;&gt;"",MATCH(ROW(Create_TC_Web!$C$1:$C$505),ROW(Create_TC_Web!$C$1:$C$505)),""),ROW(Create_TC_Web!C660))),"")," ",""),"-",""),"_","")</f>
        <v/>
      </c>
      <c r="P662" s="17" t="str" cm="1">
        <f t="array" ref="P662">IFERROR(INDEX(Create_TC_Web!S$1:S$500,SMALL(IF(Create_TC_Web!$C$1:$C$500&lt;&gt;"",MATCH(ROW(Create_TC_Web!$C$1:$C$500),ROW(Create_TC_Web!$C$1:$C$500)),""),ROW(Create_TC_Web!Q638))),"")</f>
        <v/>
      </c>
      <c r="S662" t="str">
        <f t="shared" si="27"/>
        <v/>
      </c>
    </row>
    <row r="663" spans="1:19">
      <c r="A663" t="str" cm="1">
        <f t="array" ref="A663">IFERROR(INDEX(Create_TC_Web!D$1:D$1510,SMALL(IF(Create_TC_Web!$C$1:$C$1510&lt;&gt;"",MATCH(ROW(Create_TC_Web!$C$1:$C$1510),ROW(Create_TC_Web!$C$1:$C$1510)),""),ROW(Create_TC_Web!B688))),"")</f>
        <v/>
      </c>
      <c r="B663" t="str" cm="1">
        <f t="array" ref="B663">SUBSTITUTE(SUBSTITUTE(SUBSTITUTE(IFERROR(INDEX(Create_TC_Web!E$1:E$505,SMALL(IF(Create_TC_Web!$C$1:$C$505&lt;&gt;"",MATCH(ROW(Create_TC_Web!$C$1:$C$505),ROW(Create_TC_Web!$C$1:$C$505)),""),ROW(Create_TC_Web!C661))),"")," ",""),"-",""),"_","")</f>
        <v/>
      </c>
      <c r="P663" s="17" t="str" cm="1">
        <f t="array" ref="P663">IFERROR(INDEX(Create_TC_Web!S$1:S$500,SMALL(IF(Create_TC_Web!$C$1:$C$500&lt;&gt;"",MATCH(ROW(Create_TC_Web!$C$1:$C$500),ROW(Create_TC_Web!$C$1:$C$500)),""),ROW(Create_TC_Web!Q639))),"")</f>
        <v/>
      </c>
      <c r="S663" t="str">
        <f t="shared" si="27"/>
        <v/>
      </c>
    </row>
    <row r="664" spans="1:19">
      <c r="A664" t="str" cm="1">
        <f t="array" ref="A664">IFERROR(INDEX(Create_TC_Web!D$1:D$1510,SMALL(IF(Create_TC_Web!$C$1:$C$1510&lt;&gt;"",MATCH(ROW(Create_TC_Web!$C$1:$C$1510),ROW(Create_TC_Web!$C$1:$C$1510)),""),ROW(Create_TC_Web!B689))),"")</f>
        <v/>
      </c>
      <c r="B664" t="str" cm="1">
        <f t="array" ref="B664">SUBSTITUTE(SUBSTITUTE(SUBSTITUTE(IFERROR(INDEX(Create_TC_Web!E$1:E$505,SMALL(IF(Create_TC_Web!$C$1:$C$505&lt;&gt;"",MATCH(ROW(Create_TC_Web!$C$1:$C$505),ROW(Create_TC_Web!$C$1:$C$505)),""),ROW(Create_TC_Web!C662))),"")," ",""),"-",""),"_","")</f>
        <v/>
      </c>
      <c r="P664" s="17" t="str" cm="1">
        <f t="array" ref="P664">IFERROR(INDEX(Create_TC_Web!S$1:S$500,SMALL(IF(Create_TC_Web!$C$1:$C$500&lt;&gt;"",MATCH(ROW(Create_TC_Web!$C$1:$C$500),ROW(Create_TC_Web!$C$1:$C$500)),""),ROW(Create_TC_Web!Q640))),"")</f>
        <v/>
      </c>
      <c r="S664" t="str">
        <f t="shared" si="27"/>
        <v/>
      </c>
    </row>
    <row r="665" spans="1:19">
      <c r="A665" t="str" cm="1">
        <f t="array" ref="A665">IFERROR(INDEX(Create_TC_Web!D$1:D$1510,SMALL(IF(Create_TC_Web!$C$1:$C$1510&lt;&gt;"",MATCH(ROW(Create_TC_Web!$C$1:$C$1510),ROW(Create_TC_Web!$C$1:$C$1510)),""),ROW(Create_TC_Web!B690))),"")</f>
        <v/>
      </c>
      <c r="B665" t="str" cm="1">
        <f t="array" ref="B665">SUBSTITUTE(SUBSTITUTE(SUBSTITUTE(IFERROR(INDEX(Create_TC_Web!E$1:E$505,SMALL(IF(Create_TC_Web!$C$1:$C$505&lt;&gt;"",MATCH(ROW(Create_TC_Web!$C$1:$C$505),ROW(Create_TC_Web!$C$1:$C$505)),""),ROW(Create_TC_Web!C663))),"")," ",""),"-",""),"_","")</f>
        <v/>
      </c>
      <c r="P665" s="17" t="str" cm="1">
        <f t="array" ref="P665">IFERROR(INDEX(Create_TC_Web!S$1:S$500,SMALL(IF(Create_TC_Web!$C$1:$C$500&lt;&gt;"",MATCH(ROW(Create_TC_Web!$C$1:$C$500),ROW(Create_TC_Web!$C$1:$C$500)),""),ROW(Create_TC_Web!Q641))),"")</f>
        <v/>
      </c>
      <c r="S665" t="str">
        <f t="shared" si="27"/>
        <v/>
      </c>
    </row>
    <row r="666" spans="1:19">
      <c r="A666" t="str" cm="1">
        <f t="array" ref="A666">IFERROR(INDEX(Create_TC_Web!D$1:D$1510,SMALL(IF(Create_TC_Web!$C$1:$C$1510&lt;&gt;"",MATCH(ROW(Create_TC_Web!$C$1:$C$1510),ROW(Create_TC_Web!$C$1:$C$1510)),""),ROW(Create_TC_Web!B691))),"")</f>
        <v/>
      </c>
      <c r="B666" t="str" cm="1">
        <f t="array" ref="B666">SUBSTITUTE(SUBSTITUTE(SUBSTITUTE(IFERROR(INDEX(Create_TC_Web!E$1:E$505,SMALL(IF(Create_TC_Web!$C$1:$C$505&lt;&gt;"",MATCH(ROW(Create_TC_Web!$C$1:$C$505),ROW(Create_TC_Web!$C$1:$C$505)),""),ROW(Create_TC_Web!C664))),"")," ",""),"-",""),"_","")</f>
        <v/>
      </c>
      <c r="P666" s="17" t="str" cm="1">
        <f t="array" ref="P666">IFERROR(INDEX(Create_TC_Web!S$1:S$500,SMALL(IF(Create_TC_Web!$C$1:$C$500&lt;&gt;"",MATCH(ROW(Create_TC_Web!$C$1:$C$500),ROW(Create_TC_Web!$C$1:$C$500)),""),ROW(Create_TC_Web!Q642))),"")</f>
        <v/>
      </c>
    </row>
    <row r="667" spans="1:19">
      <c r="A667" t="str" cm="1">
        <f t="array" ref="A667">IFERROR(INDEX(Create_TC_Web!D$1:D$1510,SMALL(IF(Create_TC_Web!$C$1:$C$1510&lt;&gt;"",MATCH(ROW(Create_TC_Web!$C$1:$C$1510),ROW(Create_TC_Web!$C$1:$C$1510)),""),ROW(Create_TC_Web!B692))),"")</f>
        <v/>
      </c>
      <c r="B667" t="str" cm="1">
        <f t="array" ref="B667">SUBSTITUTE(SUBSTITUTE(SUBSTITUTE(IFERROR(INDEX(Create_TC_Web!E$1:E$505,SMALL(IF(Create_TC_Web!$C$1:$C$505&lt;&gt;"",MATCH(ROW(Create_TC_Web!$C$1:$C$505),ROW(Create_TC_Web!$C$1:$C$505)),""),ROW(Create_TC_Web!C665))),"")," ",""),"-",""),"_","")</f>
        <v/>
      </c>
      <c r="P667" s="17" t="str" cm="1">
        <f t="array" ref="P667">IFERROR(INDEX(Create_TC_Web!S$1:S$500,SMALL(IF(Create_TC_Web!$C$1:$C$500&lt;&gt;"",MATCH(ROW(Create_TC_Web!$C$1:$C$500),ROW(Create_TC_Web!$C$1:$C$500)),""),ROW(Create_TC_Web!Q643))),"")</f>
        <v/>
      </c>
    </row>
    <row r="668" spans="1:19">
      <c r="A668" t="str" cm="1">
        <f t="array" ref="A668">IFERROR(INDEX(Create_TC_Web!D$1:D$1510,SMALL(IF(Create_TC_Web!$C$1:$C$1510&lt;&gt;"",MATCH(ROW(Create_TC_Web!$C$1:$C$1510),ROW(Create_TC_Web!$C$1:$C$1510)),""),ROW(Create_TC_Web!B693))),"")</f>
        <v/>
      </c>
      <c r="B668" t="str" cm="1">
        <f t="array" ref="B668">SUBSTITUTE(SUBSTITUTE(SUBSTITUTE(IFERROR(INDEX(Create_TC_Web!E$1:E$505,SMALL(IF(Create_TC_Web!$C$1:$C$505&lt;&gt;"",MATCH(ROW(Create_TC_Web!$C$1:$C$505),ROW(Create_TC_Web!$C$1:$C$505)),""),ROW(Create_TC_Web!C666))),"")," ",""),"-",""),"_","")</f>
        <v/>
      </c>
      <c r="P668" s="17" t="str" cm="1">
        <f t="array" ref="P668">IFERROR(INDEX(Create_TC_Web!S$1:S$500,SMALL(IF(Create_TC_Web!$C$1:$C$500&lt;&gt;"",MATCH(ROW(Create_TC_Web!$C$1:$C$500),ROW(Create_TC_Web!$C$1:$C$500)),""),ROW(Create_TC_Web!Q644))),"")</f>
        <v/>
      </c>
    </row>
    <row r="669" spans="1:19">
      <c r="A669" t="str" cm="1">
        <f t="array" ref="A669">IFERROR(INDEX(Create_TC_Web!D$1:D$1510,SMALL(IF(Create_TC_Web!$C$1:$C$1510&lt;&gt;"",MATCH(ROW(Create_TC_Web!$C$1:$C$1510),ROW(Create_TC_Web!$C$1:$C$1510)),""),ROW(Create_TC_Web!B694))),"")</f>
        <v/>
      </c>
      <c r="B669" t="str" cm="1">
        <f t="array" ref="B669">SUBSTITUTE(SUBSTITUTE(SUBSTITUTE(IFERROR(INDEX(Create_TC_Web!E$1:E$505,SMALL(IF(Create_TC_Web!$C$1:$C$505&lt;&gt;"",MATCH(ROW(Create_TC_Web!$C$1:$C$505),ROW(Create_TC_Web!$C$1:$C$505)),""),ROW(Create_TC_Web!C667))),"")," ",""),"-",""),"_","")</f>
        <v/>
      </c>
      <c r="P669" s="17" t="str" cm="1">
        <f t="array" ref="P669">IFERROR(INDEX(Create_TC_Web!S$1:S$500,SMALL(IF(Create_TC_Web!$C$1:$C$500&lt;&gt;"",MATCH(ROW(Create_TC_Web!$C$1:$C$500),ROW(Create_TC_Web!$C$1:$C$500)),""),ROW(Create_TC_Web!Q645))),"")</f>
        <v/>
      </c>
    </row>
    <row r="670" spans="1:19">
      <c r="A670" t="str" cm="1">
        <f t="array" ref="A670">IFERROR(INDEX(Create_TC_Web!D$1:D$1510,SMALL(IF(Create_TC_Web!$C$1:$C$1510&lt;&gt;"",MATCH(ROW(Create_TC_Web!$C$1:$C$1510),ROW(Create_TC_Web!$C$1:$C$1510)),""),ROW(Create_TC_Web!B695))),"")</f>
        <v/>
      </c>
      <c r="B670" t="str" cm="1">
        <f t="array" ref="B670">SUBSTITUTE(SUBSTITUTE(SUBSTITUTE(IFERROR(INDEX(Create_TC_Web!E$1:E$505,SMALL(IF(Create_TC_Web!$C$1:$C$505&lt;&gt;"",MATCH(ROW(Create_TC_Web!$C$1:$C$505),ROW(Create_TC_Web!$C$1:$C$505)),""),ROW(Create_TC_Web!C668))),"")," ",""),"-",""),"_","")</f>
        <v/>
      </c>
      <c r="P670" s="17" t="str" cm="1">
        <f t="array" ref="P670">IFERROR(INDEX(Create_TC_Web!S$1:S$500,SMALL(IF(Create_TC_Web!$C$1:$C$500&lt;&gt;"",MATCH(ROW(Create_TC_Web!$C$1:$C$500),ROW(Create_TC_Web!$C$1:$C$500)),""),ROW(Create_TC_Web!Q646))),"")</f>
        <v/>
      </c>
    </row>
    <row r="671" spans="1:19">
      <c r="A671" t="str" cm="1">
        <f t="array" ref="A671">IFERROR(INDEX(Create_TC_Web!D$1:D$1510,SMALL(IF(Create_TC_Web!$C$1:$C$1510&lt;&gt;"",MATCH(ROW(Create_TC_Web!$C$1:$C$1510),ROW(Create_TC_Web!$C$1:$C$1510)),""),ROW(Create_TC_Web!B696))),"")</f>
        <v/>
      </c>
      <c r="B671" t="str" cm="1">
        <f t="array" ref="B671">SUBSTITUTE(SUBSTITUTE(SUBSTITUTE(IFERROR(INDEX(Create_TC_Web!E$1:E$505,SMALL(IF(Create_TC_Web!$C$1:$C$505&lt;&gt;"",MATCH(ROW(Create_TC_Web!$C$1:$C$505),ROW(Create_TC_Web!$C$1:$C$505)),""),ROW(Create_TC_Web!C669))),"")," ",""),"-",""),"_","")</f>
        <v/>
      </c>
      <c r="P671" s="17" t="str" cm="1">
        <f t="array" ref="P671">IFERROR(INDEX(Create_TC_Web!S$1:S$500,SMALL(IF(Create_TC_Web!$C$1:$C$500&lt;&gt;"",MATCH(ROW(Create_TC_Web!$C$1:$C$500),ROW(Create_TC_Web!$C$1:$C$500)),""),ROW(Create_TC_Web!Q647))),"")</f>
        <v/>
      </c>
    </row>
    <row r="672" spans="1:19">
      <c r="A672" t="str" cm="1">
        <f t="array" ref="A672">IFERROR(INDEX(Create_TC_Web!D$1:D$1510,SMALL(IF(Create_TC_Web!$C$1:$C$1510&lt;&gt;"",MATCH(ROW(Create_TC_Web!$C$1:$C$1510),ROW(Create_TC_Web!$C$1:$C$1510)),""),ROW(Create_TC_Web!B697))),"")</f>
        <v/>
      </c>
      <c r="B672" t="str" cm="1">
        <f t="array" ref="B672">SUBSTITUTE(SUBSTITUTE(SUBSTITUTE(IFERROR(INDEX(Create_TC_Web!E$1:E$505,SMALL(IF(Create_TC_Web!$C$1:$C$505&lt;&gt;"",MATCH(ROW(Create_TC_Web!$C$1:$C$505),ROW(Create_TC_Web!$C$1:$C$505)),""),ROW(Create_TC_Web!C670))),"")," ",""),"-",""),"_","")</f>
        <v/>
      </c>
      <c r="P672" s="17" t="str" cm="1">
        <f t="array" ref="P672">IFERROR(INDEX(Create_TC_Web!S$1:S$500,SMALL(IF(Create_TC_Web!$C$1:$C$500&lt;&gt;"",MATCH(ROW(Create_TC_Web!$C$1:$C$500),ROW(Create_TC_Web!$C$1:$C$500)),""),ROW(Create_TC_Web!Q648))),"")</f>
        <v/>
      </c>
    </row>
    <row r="673" spans="1:16">
      <c r="A673" t="str" cm="1">
        <f t="array" ref="A673">IFERROR(INDEX(Create_TC_Web!D$1:D$1510,SMALL(IF(Create_TC_Web!$C$1:$C$1510&lt;&gt;"",MATCH(ROW(Create_TC_Web!$C$1:$C$1510),ROW(Create_TC_Web!$C$1:$C$1510)),""),ROW(Create_TC_Web!B698))),"")</f>
        <v/>
      </c>
      <c r="B673" t="str" cm="1">
        <f t="array" ref="B673">SUBSTITUTE(SUBSTITUTE(SUBSTITUTE(IFERROR(INDEX(Create_TC_Web!E$1:E$505,SMALL(IF(Create_TC_Web!$C$1:$C$505&lt;&gt;"",MATCH(ROW(Create_TC_Web!$C$1:$C$505),ROW(Create_TC_Web!$C$1:$C$505)),""),ROW(Create_TC_Web!C671))),"")," ",""),"-",""),"_","")</f>
        <v/>
      </c>
      <c r="P673" s="17" t="str" cm="1">
        <f t="array" ref="P673">IFERROR(INDEX(Create_TC_Web!S$1:S$500,SMALL(IF(Create_TC_Web!$C$1:$C$500&lt;&gt;"",MATCH(ROW(Create_TC_Web!$C$1:$C$500),ROW(Create_TC_Web!$C$1:$C$500)),""),ROW(Create_TC_Web!Q649))),"")</f>
        <v/>
      </c>
    </row>
    <row r="674" spans="1:16">
      <c r="A674" t="str" cm="1">
        <f t="array" ref="A674">IFERROR(INDEX(Create_TC_Web!D$1:D$1510,SMALL(IF(Create_TC_Web!$C$1:$C$1510&lt;&gt;"",MATCH(ROW(Create_TC_Web!$C$1:$C$1510),ROW(Create_TC_Web!$C$1:$C$1510)),""),ROW(Create_TC_Web!B699))),"")</f>
        <v/>
      </c>
      <c r="B674" t="str" cm="1">
        <f t="array" ref="B674">SUBSTITUTE(SUBSTITUTE(SUBSTITUTE(IFERROR(INDEX(Create_TC_Web!E$1:E$505,SMALL(IF(Create_TC_Web!$C$1:$C$505&lt;&gt;"",MATCH(ROW(Create_TC_Web!$C$1:$C$505),ROW(Create_TC_Web!$C$1:$C$505)),""),ROW(Create_TC_Web!C672))),"")," ",""),"-",""),"_","")</f>
        <v/>
      </c>
      <c r="P674" s="17" t="str" cm="1">
        <f t="array" ref="P674">IFERROR(INDEX(Create_TC_Web!S$1:S$500,SMALL(IF(Create_TC_Web!$C$1:$C$500&lt;&gt;"",MATCH(ROW(Create_TC_Web!$C$1:$C$500),ROW(Create_TC_Web!$C$1:$C$500)),""),ROW(Create_TC_Web!Q650))),"")</f>
        <v/>
      </c>
    </row>
    <row r="675" spans="1:16">
      <c r="A675" t="str" cm="1">
        <f t="array" ref="A675">IFERROR(INDEX(Create_TC_Web!D$1:D$1510,SMALL(IF(Create_TC_Web!$C$1:$C$1510&lt;&gt;"",MATCH(ROW(Create_TC_Web!$C$1:$C$1510),ROW(Create_TC_Web!$C$1:$C$1510)),""),ROW(Create_TC_Web!B700))),"")</f>
        <v/>
      </c>
      <c r="B675" t="str" cm="1">
        <f t="array" ref="B675">SUBSTITUTE(SUBSTITUTE(SUBSTITUTE(IFERROR(INDEX(Create_TC_Web!E$1:E$505,SMALL(IF(Create_TC_Web!$C$1:$C$505&lt;&gt;"",MATCH(ROW(Create_TC_Web!$C$1:$C$505),ROW(Create_TC_Web!$C$1:$C$505)),""),ROW(Create_TC_Web!C673))),"")," ",""),"-",""),"_","")</f>
        <v/>
      </c>
      <c r="P675" s="17" t="str" cm="1">
        <f t="array" ref="P675">IFERROR(INDEX(Create_TC_Web!S$1:S$500,SMALL(IF(Create_TC_Web!$C$1:$C$500&lt;&gt;"",MATCH(ROW(Create_TC_Web!$C$1:$C$500),ROW(Create_TC_Web!$C$1:$C$500)),""),ROW(Create_TC_Web!Q651))),"")</f>
        <v/>
      </c>
    </row>
    <row r="676" spans="1:16">
      <c r="A676" t="str" cm="1">
        <f t="array" ref="A676">IFERROR(INDEX(Create_TC_Web!D$1:D$1510,SMALL(IF(Create_TC_Web!$C$1:$C$1510&lt;&gt;"",MATCH(ROW(Create_TC_Web!$C$1:$C$1510),ROW(Create_TC_Web!$C$1:$C$1510)),""),ROW(Create_TC_Web!B701))),"")</f>
        <v/>
      </c>
      <c r="B676" t="str" cm="1">
        <f t="array" ref="B676">SUBSTITUTE(SUBSTITUTE(SUBSTITUTE(IFERROR(INDEX(Create_TC_Web!E$1:E$505,SMALL(IF(Create_TC_Web!$C$1:$C$505&lt;&gt;"",MATCH(ROW(Create_TC_Web!$C$1:$C$505),ROW(Create_TC_Web!$C$1:$C$505)),""),ROW(Create_TC_Web!C674))),"")," ",""),"-",""),"_","")</f>
        <v/>
      </c>
      <c r="P676" s="17" t="str" cm="1">
        <f t="array" ref="P676">IFERROR(INDEX(Create_TC_Web!S$1:S$500,SMALL(IF(Create_TC_Web!$C$1:$C$500&lt;&gt;"",MATCH(ROW(Create_TC_Web!$C$1:$C$500),ROW(Create_TC_Web!$C$1:$C$500)),""),ROW(Create_TC_Web!Q652))),"")</f>
        <v/>
      </c>
    </row>
    <row r="677" spans="1:16">
      <c r="A677" t="str" cm="1">
        <f t="array" ref="A677">IFERROR(INDEX(Create_TC_Web!D$1:D$1510,SMALL(IF(Create_TC_Web!$C$1:$C$1510&lt;&gt;"",MATCH(ROW(Create_TC_Web!$C$1:$C$1510),ROW(Create_TC_Web!$C$1:$C$1510)),""),ROW(Create_TC_Web!B702))),"")</f>
        <v/>
      </c>
      <c r="B677" t="str" cm="1">
        <f t="array" ref="B677">SUBSTITUTE(SUBSTITUTE(SUBSTITUTE(IFERROR(INDEX(Create_TC_Web!E$1:E$505,SMALL(IF(Create_TC_Web!$C$1:$C$505&lt;&gt;"",MATCH(ROW(Create_TC_Web!$C$1:$C$505),ROW(Create_TC_Web!$C$1:$C$505)),""),ROW(Create_TC_Web!C675))),"")," ",""),"-",""),"_","")</f>
        <v/>
      </c>
      <c r="P677" s="17" t="str" cm="1">
        <f t="array" ref="P677">IFERROR(INDEX(Create_TC_Web!S$1:S$500,SMALL(IF(Create_TC_Web!$C$1:$C$500&lt;&gt;"",MATCH(ROW(Create_TC_Web!$C$1:$C$500),ROW(Create_TC_Web!$C$1:$C$500)),""),ROW(Create_TC_Web!Q653))),"")</f>
        <v/>
      </c>
    </row>
    <row r="678" spans="1:16">
      <c r="A678" t="str" cm="1">
        <f t="array" ref="A678">IFERROR(INDEX(Create_TC_Web!D$1:D$1510,SMALL(IF(Create_TC_Web!$C$1:$C$1510&lt;&gt;"",MATCH(ROW(Create_TC_Web!$C$1:$C$1510),ROW(Create_TC_Web!$C$1:$C$1510)),""),ROW(Create_TC_Web!B703))),"")</f>
        <v/>
      </c>
      <c r="B678" t="str" cm="1">
        <f t="array" ref="B678">SUBSTITUTE(SUBSTITUTE(SUBSTITUTE(IFERROR(INDEX(Create_TC_Web!E$1:E$505,SMALL(IF(Create_TC_Web!$C$1:$C$505&lt;&gt;"",MATCH(ROW(Create_TC_Web!$C$1:$C$505),ROW(Create_TC_Web!$C$1:$C$505)),""),ROW(Create_TC_Web!C676))),"")," ",""),"-",""),"_","")</f>
        <v/>
      </c>
      <c r="P678" s="17" t="str" cm="1">
        <f t="array" ref="P678">IFERROR(INDEX(Create_TC_Web!S$1:S$500,SMALL(IF(Create_TC_Web!$C$1:$C$500&lt;&gt;"",MATCH(ROW(Create_TC_Web!$C$1:$C$500),ROW(Create_TC_Web!$C$1:$C$500)),""),ROW(Create_TC_Web!Q654))),"")</f>
        <v/>
      </c>
    </row>
    <row r="679" spans="1:16">
      <c r="A679" t="str" cm="1">
        <f t="array" ref="A679">IFERROR(INDEX(Create_TC_Web!D$1:D$1510,SMALL(IF(Create_TC_Web!$C$1:$C$1510&lt;&gt;"",MATCH(ROW(Create_TC_Web!$C$1:$C$1510),ROW(Create_TC_Web!$C$1:$C$1510)),""),ROW(Create_TC_Web!B704))),"")</f>
        <v/>
      </c>
      <c r="B679" t="str" cm="1">
        <f t="array" ref="B679">SUBSTITUTE(SUBSTITUTE(SUBSTITUTE(IFERROR(INDEX(Create_TC_Web!E$1:E$505,SMALL(IF(Create_TC_Web!$C$1:$C$505&lt;&gt;"",MATCH(ROW(Create_TC_Web!$C$1:$C$505),ROW(Create_TC_Web!$C$1:$C$505)),""),ROW(Create_TC_Web!C677))),"")," ",""),"-",""),"_","")</f>
        <v/>
      </c>
      <c r="P679" s="17" t="str" cm="1">
        <f t="array" ref="P679">IFERROR(INDEX(Create_TC_Web!S$1:S$500,SMALL(IF(Create_TC_Web!$C$1:$C$500&lt;&gt;"",MATCH(ROW(Create_TC_Web!$C$1:$C$500),ROW(Create_TC_Web!$C$1:$C$500)),""),ROW(Create_TC_Web!Q655))),"")</f>
        <v/>
      </c>
    </row>
    <row r="680" spans="1:16">
      <c r="A680" t="str" cm="1">
        <f t="array" ref="A680">IFERROR(INDEX(Create_TC_Web!D$1:D$1510,SMALL(IF(Create_TC_Web!$C$1:$C$1510&lt;&gt;"",MATCH(ROW(Create_TC_Web!$C$1:$C$1510),ROW(Create_TC_Web!$C$1:$C$1510)),""),ROW(Create_TC_Web!B705))),"")</f>
        <v/>
      </c>
      <c r="B680" t="str" cm="1">
        <f t="array" ref="B680">SUBSTITUTE(SUBSTITUTE(SUBSTITUTE(IFERROR(INDEX(Create_TC_Web!E$1:E$505,SMALL(IF(Create_TC_Web!$C$1:$C$505&lt;&gt;"",MATCH(ROW(Create_TC_Web!$C$1:$C$505),ROW(Create_TC_Web!$C$1:$C$505)),""),ROW(Create_TC_Web!C678))),"")," ",""),"-",""),"_","")</f>
        <v/>
      </c>
      <c r="P680" s="17" t="str" cm="1">
        <f t="array" ref="P680">IFERROR(INDEX(Create_TC_Web!S$1:S$500,SMALL(IF(Create_TC_Web!$C$1:$C$500&lt;&gt;"",MATCH(ROW(Create_TC_Web!$C$1:$C$500),ROW(Create_TC_Web!$C$1:$C$500)),""),ROW(Create_TC_Web!Q656))),"")</f>
        <v/>
      </c>
    </row>
    <row r="681" spans="1:16">
      <c r="A681" t="str" cm="1">
        <f t="array" ref="A681">IFERROR(INDEX(Create_TC_Web!D$1:D$1510,SMALL(IF(Create_TC_Web!$C$1:$C$1510&lt;&gt;"",MATCH(ROW(Create_TC_Web!$C$1:$C$1510),ROW(Create_TC_Web!$C$1:$C$1510)),""),ROW(Create_TC_Web!B706))),"")</f>
        <v/>
      </c>
      <c r="B681" t="str" cm="1">
        <f t="array" ref="B681">SUBSTITUTE(SUBSTITUTE(SUBSTITUTE(IFERROR(INDEX(Create_TC_Web!E$1:E$505,SMALL(IF(Create_TC_Web!$C$1:$C$505&lt;&gt;"",MATCH(ROW(Create_TC_Web!$C$1:$C$505),ROW(Create_TC_Web!$C$1:$C$505)),""),ROW(Create_TC_Web!C679))),"")," ",""),"-",""),"_","")</f>
        <v/>
      </c>
      <c r="P681" s="17" t="str" cm="1">
        <f t="array" ref="P681">IFERROR(INDEX(Create_TC_Web!S$1:S$500,SMALL(IF(Create_TC_Web!$C$1:$C$500&lt;&gt;"",MATCH(ROW(Create_TC_Web!$C$1:$C$500),ROW(Create_TC_Web!$C$1:$C$500)),""),ROW(Create_TC_Web!Q657))),"")</f>
        <v/>
      </c>
    </row>
    <row r="682" spans="1:16">
      <c r="A682" t="str" cm="1">
        <f t="array" ref="A682">IFERROR(INDEX(Create_TC_Web!D$1:D$1510,SMALL(IF(Create_TC_Web!$C$1:$C$1510&lt;&gt;"",MATCH(ROW(Create_TC_Web!$C$1:$C$1510),ROW(Create_TC_Web!$C$1:$C$1510)),""),ROW(Create_TC_Web!B707))),"")</f>
        <v/>
      </c>
      <c r="B682" t="str" cm="1">
        <f t="array" ref="B682">SUBSTITUTE(SUBSTITUTE(SUBSTITUTE(IFERROR(INDEX(Create_TC_Web!E$1:E$505,SMALL(IF(Create_TC_Web!$C$1:$C$505&lt;&gt;"",MATCH(ROW(Create_TC_Web!$C$1:$C$505),ROW(Create_TC_Web!$C$1:$C$505)),""),ROW(Create_TC_Web!C680))),"")," ",""),"-",""),"_","")</f>
        <v/>
      </c>
      <c r="P682" s="17" t="str" cm="1">
        <f t="array" ref="P682">IFERROR(INDEX(Create_TC_Web!S$1:S$500,SMALL(IF(Create_TC_Web!$C$1:$C$500&lt;&gt;"",MATCH(ROW(Create_TC_Web!$C$1:$C$500),ROW(Create_TC_Web!$C$1:$C$500)),""),ROW(Create_TC_Web!Q658))),"")</f>
        <v/>
      </c>
    </row>
    <row r="683" spans="1:16">
      <c r="A683" t="str" cm="1">
        <f t="array" ref="A683">IFERROR(INDEX(Create_TC_Web!D$1:D$1510,SMALL(IF(Create_TC_Web!$C$1:$C$1510&lt;&gt;"",MATCH(ROW(Create_TC_Web!$C$1:$C$1510),ROW(Create_TC_Web!$C$1:$C$1510)),""),ROW(Create_TC_Web!B708))),"")</f>
        <v/>
      </c>
      <c r="B683" t="str" cm="1">
        <f t="array" ref="B683">SUBSTITUTE(SUBSTITUTE(SUBSTITUTE(IFERROR(INDEX(Create_TC_Web!E$1:E$505,SMALL(IF(Create_TC_Web!$C$1:$C$505&lt;&gt;"",MATCH(ROW(Create_TC_Web!$C$1:$C$505),ROW(Create_TC_Web!$C$1:$C$505)),""),ROW(Create_TC_Web!C681))),"")," ",""),"-",""),"_","")</f>
        <v/>
      </c>
      <c r="P683" s="17" t="str" cm="1">
        <f t="array" ref="P683">IFERROR(INDEX(Create_TC_Web!S$1:S$500,SMALL(IF(Create_TC_Web!$C$1:$C$500&lt;&gt;"",MATCH(ROW(Create_TC_Web!$C$1:$C$500),ROW(Create_TC_Web!$C$1:$C$500)),""),ROW(Create_TC_Web!Q659))),"")</f>
        <v/>
      </c>
    </row>
    <row r="684" spans="1:16">
      <c r="A684" t="str" cm="1">
        <f t="array" ref="A684">IFERROR(INDEX(Create_TC_Web!D$1:D$1510,SMALL(IF(Create_TC_Web!$C$1:$C$1510&lt;&gt;"",MATCH(ROW(Create_TC_Web!$C$1:$C$1510),ROW(Create_TC_Web!$C$1:$C$1510)),""),ROW(Create_TC_Web!B709))),"")</f>
        <v/>
      </c>
      <c r="B684" t="str" cm="1">
        <f t="array" ref="B684">SUBSTITUTE(SUBSTITUTE(SUBSTITUTE(IFERROR(INDEX(Create_TC_Web!E$1:E$505,SMALL(IF(Create_TC_Web!$C$1:$C$505&lt;&gt;"",MATCH(ROW(Create_TC_Web!$C$1:$C$505),ROW(Create_TC_Web!$C$1:$C$505)),""),ROW(Create_TC_Web!C682))),"")," ",""),"-",""),"_","")</f>
        <v/>
      </c>
      <c r="P684" s="17" t="str" cm="1">
        <f t="array" ref="P684">IFERROR(INDEX(Create_TC_Web!S$1:S$500,SMALL(IF(Create_TC_Web!$C$1:$C$500&lt;&gt;"",MATCH(ROW(Create_TC_Web!$C$1:$C$500),ROW(Create_TC_Web!$C$1:$C$500)),""),ROW(Create_TC_Web!Q660))),"")</f>
        <v/>
      </c>
    </row>
    <row r="685" spans="1:16">
      <c r="A685" t="str" cm="1">
        <f t="array" ref="A685">IFERROR(INDEX(Create_TC_Web!D$1:D$1510,SMALL(IF(Create_TC_Web!$C$1:$C$1510&lt;&gt;"",MATCH(ROW(Create_TC_Web!$C$1:$C$1510),ROW(Create_TC_Web!$C$1:$C$1510)),""),ROW(Create_TC_Web!B710))),"")</f>
        <v/>
      </c>
      <c r="B685" t="str" cm="1">
        <f t="array" ref="B685">SUBSTITUTE(SUBSTITUTE(SUBSTITUTE(IFERROR(INDEX(Create_TC_Web!E$1:E$505,SMALL(IF(Create_TC_Web!$C$1:$C$505&lt;&gt;"",MATCH(ROW(Create_TC_Web!$C$1:$C$505),ROW(Create_TC_Web!$C$1:$C$505)),""),ROW(Create_TC_Web!C683))),"")," ",""),"-",""),"_","")</f>
        <v/>
      </c>
      <c r="P685" s="17" t="str" cm="1">
        <f t="array" ref="P685">IFERROR(INDEX(Create_TC_Web!S$1:S$500,SMALL(IF(Create_TC_Web!$C$1:$C$500&lt;&gt;"",MATCH(ROW(Create_TC_Web!$C$1:$C$500),ROW(Create_TC_Web!$C$1:$C$500)),""),ROW(Create_TC_Web!Q661))),"")</f>
        <v/>
      </c>
    </row>
    <row r="686" spans="1:16">
      <c r="A686" t="str" cm="1">
        <f t="array" ref="A686">IFERROR(INDEX(Create_TC_Web!D$1:D$1510,SMALL(IF(Create_TC_Web!$C$1:$C$1510&lt;&gt;"",MATCH(ROW(Create_TC_Web!$C$1:$C$1510),ROW(Create_TC_Web!$C$1:$C$1510)),""),ROW(Create_TC_Web!B711))),"")</f>
        <v/>
      </c>
      <c r="B686" t="str" cm="1">
        <f t="array" ref="B686">SUBSTITUTE(SUBSTITUTE(SUBSTITUTE(IFERROR(INDEX(Create_TC_Web!E$1:E$505,SMALL(IF(Create_TC_Web!$C$1:$C$505&lt;&gt;"",MATCH(ROW(Create_TC_Web!$C$1:$C$505),ROW(Create_TC_Web!$C$1:$C$505)),""),ROW(Create_TC_Web!C684))),"")," ",""),"-",""),"_","")</f>
        <v/>
      </c>
      <c r="P686" s="17" t="str" cm="1">
        <f t="array" ref="P686">IFERROR(INDEX(Create_TC_Web!S$1:S$500,SMALL(IF(Create_TC_Web!$C$1:$C$500&lt;&gt;"",MATCH(ROW(Create_TC_Web!$C$1:$C$500),ROW(Create_TC_Web!$C$1:$C$500)),""),ROW(Create_TC_Web!Q662))),"")</f>
        <v/>
      </c>
    </row>
    <row r="687" spans="1:16">
      <c r="A687" t="str" cm="1">
        <f t="array" ref="A687">IFERROR(INDEX(Create_TC_Web!D$1:D$1510,SMALL(IF(Create_TC_Web!$C$1:$C$1510&lt;&gt;"",MATCH(ROW(Create_TC_Web!$C$1:$C$1510),ROW(Create_TC_Web!$C$1:$C$1510)),""),ROW(Create_TC_Web!B712))),"")</f>
        <v/>
      </c>
      <c r="B687" t="str" cm="1">
        <f t="array" ref="B687">SUBSTITUTE(SUBSTITUTE(SUBSTITUTE(IFERROR(INDEX(Create_TC_Web!E$1:E$505,SMALL(IF(Create_TC_Web!$C$1:$C$505&lt;&gt;"",MATCH(ROW(Create_TC_Web!$C$1:$C$505),ROW(Create_TC_Web!$C$1:$C$505)),""),ROW(Create_TC_Web!C685))),"")," ",""),"-",""),"_","")</f>
        <v/>
      </c>
      <c r="P687" s="17" t="str" cm="1">
        <f t="array" ref="P687">IFERROR(INDEX(Create_TC_Web!S$1:S$500,SMALL(IF(Create_TC_Web!$C$1:$C$500&lt;&gt;"",MATCH(ROW(Create_TC_Web!$C$1:$C$500),ROW(Create_TC_Web!$C$1:$C$500)),""),ROW(Create_TC_Web!Q663))),"")</f>
        <v/>
      </c>
    </row>
    <row r="688" spans="1:16">
      <c r="A688" t="str" cm="1">
        <f t="array" ref="A688">IFERROR(INDEX(Create_TC_Web!D$1:D$1510,SMALL(IF(Create_TC_Web!$C$1:$C$1510&lt;&gt;"",MATCH(ROW(Create_TC_Web!$C$1:$C$1510),ROW(Create_TC_Web!$C$1:$C$1510)),""),ROW(Create_TC_Web!B713))),"")</f>
        <v/>
      </c>
      <c r="B688" t="str" cm="1">
        <f t="array" ref="B688">SUBSTITUTE(SUBSTITUTE(SUBSTITUTE(IFERROR(INDEX(Create_TC_Web!E$1:E$505,SMALL(IF(Create_TC_Web!$C$1:$C$505&lt;&gt;"",MATCH(ROW(Create_TC_Web!$C$1:$C$505),ROW(Create_TC_Web!$C$1:$C$505)),""),ROW(Create_TC_Web!C686))),"")," ",""),"-",""),"_","")</f>
        <v/>
      </c>
      <c r="P688" s="17" t="str" cm="1">
        <f t="array" ref="P688">IFERROR(INDEX(Create_TC_Web!S$1:S$500,SMALL(IF(Create_TC_Web!$C$1:$C$500&lt;&gt;"",MATCH(ROW(Create_TC_Web!$C$1:$C$500),ROW(Create_TC_Web!$C$1:$C$500)),""),ROW(Create_TC_Web!Q664))),"")</f>
        <v/>
      </c>
    </row>
    <row r="689" spans="1:16">
      <c r="A689" t="str" cm="1">
        <f t="array" ref="A689">IFERROR(INDEX(Create_TC_Web!D$1:D$1510,SMALL(IF(Create_TC_Web!$C$1:$C$1510&lt;&gt;"",MATCH(ROW(Create_TC_Web!$C$1:$C$1510),ROW(Create_TC_Web!$C$1:$C$1510)),""),ROW(Create_TC_Web!B714))),"")</f>
        <v/>
      </c>
      <c r="B689" t="str" cm="1">
        <f t="array" ref="B689">SUBSTITUTE(SUBSTITUTE(SUBSTITUTE(IFERROR(INDEX(Create_TC_Web!E$1:E$505,SMALL(IF(Create_TC_Web!$C$1:$C$505&lt;&gt;"",MATCH(ROW(Create_TC_Web!$C$1:$C$505),ROW(Create_TC_Web!$C$1:$C$505)),""),ROW(Create_TC_Web!C687))),"")," ",""),"-",""),"_","")</f>
        <v/>
      </c>
      <c r="P689" s="17" t="str" cm="1">
        <f t="array" ref="P689">IFERROR(INDEX(Create_TC_Web!S$1:S$500,SMALL(IF(Create_TC_Web!$C$1:$C$500&lt;&gt;"",MATCH(ROW(Create_TC_Web!$C$1:$C$500),ROW(Create_TC_Web!$C$1:$C$500)),""),ROW(Create_TC_Web!Q665))),"")</f>
        <v/>
      </c>
    </row>
    <row r="690" spans="1:16">
      <c r="A690" t="str" cm="1">
        <f t="array" ref="A690">IFERROR(INDEX(Create_TC_Web!D$1:D$1510,SMALL(IF(Create_TC_Web!$C$1:$C$1510&lt;&gt;"",MATCH(ROW(Create_TC_Web!$C$1:$C$1510),ROW(Create_TC_Web!$C$1:$C$1510)),""),ROW(Create_TC_Web!B715))),"")</f>
        <v/>
      </c>
      <c r="B690" t="str" cm="1">
        <f t="array" ref="B690">SUBSTITUTE(SUBSTITUTE(SUBSTITUTE(IFERROR(INDEX(Create_TC_Web!E$1:E$505,SMALL(IF(Create_TC_Web!$C$1:$C$505&lt;&gt;"",MATCH(ROW(Create_TC_Web!$C$1:$C$505),ROW(Create_TC_Web!$C$1:$C$505)),""),ROW(Create_TC_Web!C688))),"")," ",""),"-",""),"_","")</f>
        <v/>
      </c>
      <c r="P690" s="17" t="str" cm="1">
        <f t="array" ref="P690">IFERROR(INDEX(Create_TC_Web!S$1:S$500,SMALL(IF(Create_TC_Web!$C$1:$C$500&lt;&gt;"",MATCH(ROW(Create_TC_Web!$C$1:$C$500),ROW(Create_TC_Web!$C$1:$C$500)),""),ROW(Create_TC_Web!Q666))),"")</f>
        <v/>
      </c>
    </row>
    <row r="691" spans="1:16">
      <c r="A691" t="str" cm="1">
        <f t="array" ref="A691">IFERROR(INDEX(Create_TC_Web!D$1:D$1510,SMALL(IF(Create_TC_Web!$C$1:$C$1510&lt;&gt;"",MATCH(ROW(Create_TC_Web!$C$1:$C$1510),ROW(Create_TC_Web!$C$1:$C$1510)),""),ROW(Create_TC_Web!B716))),"")</f>
        <v/>
      </c>
      <c r="B691" t="str" cm="1">
        <f t="array" ref="B691">SUBSTITUTE(SUBSTITUTE(SUBSTITUTE(IFERROR(INDEX(Create_TC_Web!E$1:E$505,SMALL(IF(Create_TC_Web!$C$1:$C$505&lt;&gt;"",MATCH(ROW(Create_TC_Web!$C$1:$C$505),ROW(Create_TC_Web!$C$1:$C$505)),""),ROW(Create_TC_Web!C689))),"")," ",""),"-",""),"_","")</f>
        <v/>
      </c>
      <c r="P691" s="17" t="str" cm="1">
        <f t="array" ref="P691">IFERROR(INDEX(Create_TC_Web!S$1:S$500,SMALL(IF(Create_TC_Web!$C$1:$C$500&lt;&gt;"",MATCH(ROW(Create_TC_Web!$C$1:$C$500),ROW(Create_TC_Web!$C$1:$C$500)),""),ROW(Create_TC_Web!Q667))),"")</f>
        <v/>
      </c>
    </row>
    <row r="692" spans="1:16">
      <c r="A692" t="str" cm="1">
        <f t="array" ref="A692">IFERROR(INDEX(Create_TC_Web!D$1:D$1510,SMALL(IF(Create_TC_Web!$C$1:$C$1510&lt;&gt;"",MATCH(ROW(Create_TC_Web!$C$1:$C$1510),ROW(Create_TC_Web!$C$1:$C$1510)),""),ROW(Create_TC_Web!B717))),"")</f>
        <v/>
      </c>
      <c r="B692" t="str" cm="1">
        <f t="array" ref="B692">SUBSTITUTE(SUBSTITUTE(SUBSTITUTE(IFERROR(INDEX(Create_TC_Web!E$1:E$505,SMALL(IF(Create_TC_Web!$C$1:$C$505&lt;&gt;"",MATCH(ROW(Create_TC_Web!$C$1:$C$505),ROW(Create_TC_Web!$C$1:$C$505)),""),ROW(Create_TC_Web!C690))),"")," ",""),"-",""),"_","")</f>
        <v/>
      </c>
      <c r="P692" s="17" t="str" cm="1">
        <f t="array" ref="P692">IFERROR(INDEX(Create_TC_Web!S$1:S$500,SMALL(IF(Create_TC_Web!$C$1:$C$500&lt;&gt;"",MATCH(ROW(Create_TC_Web!$C$1:$C$500),ROW(Create_TC_Web!$C$1:$C$500)),""),ROW(Create_TC_Web!Q668))),"")</f>
        <v/>
      </c>
    </row>
    <row r="693" spans="1:16">
      <c r="A693" t="str" cm="1">
        <f t="array" ref="A693">IFERROR(INDEX(Create_TC_Web!D$1:D$1510,SMALL(IF(Create_TC_Web!$C$1:$C$1510&lt;&gt;"",MATCH(ROW(Create_TC_Web!$C$1:$C$1510),ROW(Create_TC_Web!$C$1:$C$1510)),""),ROW(Create_TC_Web!B718))),"")</f>
        <v/>
      </c>
      <c r="B693" t="str" cm="1">
        <f t="array" ref="B693">SUBSTITUTE(SUBSTITUTE(SUBSTITUTE(IFERROR(INDEX(Create_TC_Web!E$1:E$505,SMALL(IF(Create_TC_Web!$C$1:$C$505&lt;&gt;"",MATCH(ROW(Create_TC_Web!$C$1:$C$505),ROW(Create_TC_Web!$C$1:$C$505)),""),ROW(Create_TC_Web!C691))),"")," ",""),"-",""),"_","")</f>
        <v/>
      </c>
      <c r="P693" s="17" t="str" cm="1">
        <f t="array" ref="P693">IFERROR(INDEX(Create_TC_Web!S$1:S$500,SMALL(IF(Create_TC_Web!$C$1:$C$500&lt;&gt;"",MATCH(ROW(Create_TC_Web!$C$1:$C$500),ROW(Create_TC_Web!$C$1:$C$500)),""),ROW(Create_TC_Web!Q669))),"")</f>
        <v/>
      </c>
    </row>
    <row r="694" spans="1:16">
      <c r="A694" t="str" cm="1">
        <f t="array" ref="A694">IFERROR(INDEX(Create_TC_Web!D$1:D$1510,SMALL(IF(Create_TC_Web!$C$1:$C$1510&lt;&gt;"",MATCH(ROW(Create_TC_Web!$C$1:$C$1510),ROW(Create_TC_Web!$C$1:$C$1510)),""),ROW(Create_TC_Web!B719))),"")</f>
        <v/>
      </c>
      <c r="B694" t="str" cm="1">
        <f t="array" ref="B694">SUBSTITUTE(SUBSTITUTE(SUBSTITUTE(IFERROR(INDEX(Create_TC_Web!E$1:E$505,SMALL(IF(Create_TC_Web!$C$1:$C$505&lt;&gt;"",MATCH(ROW(Create_TC_Web!$C$1:$C$505),ROW(Create_TC_Web!$C$1:$C$505)),""),ROW(Create_TC_Web!C692))),"")," ",""),"-",""),"_","")</f>
        <v/>
      </c>
      <c r="P694" s="17" t="str" cm="1">
        <f t="array" ref="P694">IFERROR(INDEX(Create_TC_Web!S$1:S$500,SMALL(IF(Create_TC_Web!$C$1:$C$500&lt;&gt;"",MATCH(ROW(Create_TC_Web!$C$1:$C$500),ROW(Create_TC_Web!$C$1:$C$500)),""),ROW(Create_TC_Web!Q670))),"")</f>
        <v/>
      </c>
    </row>
    <row r="695" spans="1:16">
      <c r="A695" t="str" cm="1">
        <f t="array" ref="A695">IFERROR(INDEX(Create_TC_Web!D$1:D$1510,SMALL(IF(Create_TC_Web!$C$1:$C$1510&lt;&gt;"",MATCH(ROW(Create_TC_Web!$C$1:$C$1510),ROW(Create_TC_Web!$C$1:$C$1510)),""),ROW(Create_TC_Web!B720))),"")</f>
        <v/>
      </c>
      <c r="B695" t="str" cm="1">
        <f t="array" ref="B695">SUBSTITUTE(SUBSTITUTE(SUBSTITUTE(IFERROR(INDEX(Create_TC_Web!E$1:E$505,SMALL(IF(Create_TC_Web!$C$1:$C$505&lt;&gt;"",MATCH(ROW(Create_TC_Web!$C$1:$C$505),ROW(Create_TC_Web!$C$1:$C$505)),""),ROW(Create_TC_Web!C693))),"")," ",""),"-",""),"_","")</f>
        <v/>
      </c>
      <c r="P695" s="17" t="str" cm="1">
        <f t="array" ref="P695">IFERROR(INDEX(Create_TC_Web!S$1:S$500,SMALL(IF(Create_TC_Web!$C$1:$C$500&lt;&gt;"",MATCH(ROW(Create_TC_Web!$C$1:$C$500),ROW(Create_TC_Web!$C$1:$C$500)),""),ROW(Create_TC_Web!Q671))),"")</f>
        <v/>
      </c>
    </row>
    <row r="696" spans="1:16">
      <c r="A696" t="str" cm="1">
        <f t="array" ref="A696">IFERROR(INDEX(Create_TC_Web!D$1:D$1510,SMALL(IF(Create_TC_Web!$C$1:$C$1510&lt;&gt;"",MATCH(ROW(Create_TC_Web!$C$1:$C$1510),ROW(Create_TC_Web!$C$1:$C$1510)),""),ROW(Create_TC_Web!B721))),"")</f>
        <v/>
      </c>
      <c r="B696" t="str" cm="1">
        <f t="array" ref="B696">SUBSTITUTE(SUBSTITUTE(SUBSTITUTE(IFERROR(INDEX(Create_TC_Web!E$1:E$505,SMALL(IF(Create_TC_Web!$C$1:$C$505&lt;&gt;"",MATCH(ROW(Create_TC_Web!$C$1:$C$505),ROW(Create_TC_Web!$C$1:$C$505)),""),ROW(Create_TC_Web!C694))),"")," ",""),"-",""),"_","")</f>
        <v/>
      </c>
      <c r="P696" s="17" t="str" cm="1">
        <f t="array" ref="P696">IFERROR(INDEX(Create_TC_Web!S$1:S$500,SMALL(IF(Create_TC_Web!$C$1:$C$500&lt;&gt;"",MATCH(ROW(Create_TC_Web!$C$1:$C$500),ROW(Create_TC_Web!$C$1:$C$500)),""),ROW(Create_TC_Web!Q672))),"")</f>
        <v/>
      </c>
    </row>
    <row r="697" spans="1:16">
      <c r="A697" t="str" cm="1">
        <f t="array" ref="A697">IFERROR(INDEX(Create_TC_Web!D$1:D$1510,SMALL(IF(Create_TC_Web!$C$1:$C$1510&lt;&gt;"",MATCH(ROW(Create_TC_Web!$C$1:$C$1510),ROW(Create_TC_Web!$C$1:$C$1510)),""),ROW(Create_TC_Web!B722))),"")</f>
        <v/>
      </c>
      <c r="B697" t="str" cm="1">
        <f t="array" ref="B697">SUBSTITUTE(SUBSTITUTE(SUBSTITUTE(IFERROR(INDEX(Create_TC_Web!E$1:E$505,SMALL(IF(Create_TC_Web!$C$1:$C$505&lt;&gt;"",MATCH(ROW(Create_TC_Web!$C$1:$C$505),ROW(Create_TC_Web!$C$1:$C$505)),""),ROW(Create_TC_Web!C695))),"")," ",""),"-",""),"_","")</f>
        <v/>
      </c>
      <c r="P697" s="17" t="str" cm="1">
        <f t="array" ref="P697">IFERROR(INDEX(Create_TC_Web!S$1:S$500,SMALL(IF(Create_TC_Web!$C$1:$C$500&lt;&gt;"",MATCH(ROW(Create_TC_Web!$C$1:$C$500),ROW(Create_TC_Web!$C$1:$C$500)),""),ROW(Create_TC_Web!Q673))),"")</f>
        <v/>
      </c>
    </row>
    <row r="698" spans="1:16">
      <c r="A698" t="str" cm="1">
        <f t="array" ref="A698">IFERROR(INDEX(Create_TC_Web!D$1:D$1510,SMALL(IF(Create_TC_Web!$C$1:$C$1510&lt;&gt;"",MATCH(ROW(Create_TC_Web!$C$1:$C$1510),ROW(Create_TC_Web!$C$1:$C$1510)),""),ROW(Create_TC_Web!B723))),"")</f>
        <v/>
      </c>
      <c r="B698" t="str" cm="1">
        <f t="array" ref="B698">SUBSTITUTE(SUBSTITUTE(SUBSTITUTE(IFERROR(INDEX(Create_TC_Web!E$1:E$505,SMALL(IF(Create_TC_Web!$C$1:$C$505&lt;&gt;"",MATCH(ROW(Create_TC_Web!$C$1:$C$505),ROW(Create_TC_Web!$C$1:$C$505)),""),ROW(Create_TC_Web!C696))),"")," ",""),"-",""),"_","")</f>
        <v/>
      </c>
      <c r="P698" s="17" t="str" cm="1">
        <f t="array" ref="P698">IFERROR(INDEX(Create_TC_Web!S$1:S$500,SMALL(IF(Create_TC_Web!$C$1:$C$500&lt;&gt;"",MATCH(ROW(Create_TC_Web!$C$1:$C$500),ROW(Create_TC_Web!$C$1:$C$500)),""),ROW(Create_TC_Web!Q674))),"")</f>
        <v/>
      </c>
    </row>
    <row r="699" spans="1:16">
      <c r="A699" t="str" cm="1">
        <f t="array" ref="A699">IFERROR(INDEX(Create_TC_Web!D$1:D$1510,SMALL(IF(Create_TC_Web!$C$1:$C$1510&lt;&gt;"",MATCH(ROW(Create_TC_Web!$C$1:$C$1510),ROW(Create_TC_Web!$C$1:$C$1510)),""),ROW(Create_TC_Web!B724))),"")</f>
        <v/>
      </c>
      <c r="B699" t="str" cm="1">
        <f t="array" ref="B699">SUBSTITUTE(SUBSTITUTE(SUBSTITUTE(IFERROR(INDEX(Create_TC_Web!E$1:E$505,SMALL(IF(Create_TC_Web!$C$1:$C$505&lt;&gt;"",MATCH(ROW(Create_TC_Web!$C$1:$C$505),ROW(Create_TC_Web!$C$1:$C$505)),""),ROW(Create_TC_Web!C697))),"")," ",""),"-",""),"_","")</f>
        <v/>
      </c>
      <c r="P699" s="17" t="str" cm="1">
        <f t="array" ref="P699">IFERROR(INDEX(Create_TC_Web!S$1:S$500,SMALL(IF(Create_TC_Web!$C$1:$C$500&lt;&gt;"",MATCH(ROW(Create_TC_Web!$C$1:$C$500),ROW(Create_TC_Web!$C$1:$C$500)),""),ROW(Create_TC_Web!Q675))),"")</f>
        <v/>
      </c>
    </row>
    <row r="700" spans="1:16">
      <c r="A700" t="str" cm="1">
        <f t="array" ref="A700">IFERROR(INDEX(Create_TC_Web!D$1:D$1510,SMALL(IF(Create_TC_Web!$C$1:$C$1510&lt;&gt;"",MATCH(ROW(Create_TC_Web!$C$1:$C$1510),ROW(Create_TC_Web!$C$1:$C$1510)),""),ROW(Create_TC_Web!B725))),"")</f>
        <v/>
      </c>
      <c r="B700" t="str" cm="1">
        <f t="array" ref="B700">SUBSTITUTE(SUBSTITUTE(SUBSTITUTE(IFERROR(INDEX(Create_TC_Web!E$1:E$505,SMALL(IF(Create_TC_Web!$C$1:$C$505&lt;&gt;"",MATCH(ROW(Create_TC_Web!$C$1:$C$505),ROW(Create_TC_Web!$C$1:$C$505)),""),ROW(Create_TC_Web!C698))),"")," ",""),"-",""),"_","")</f>
        <v/>
      </c>
      <c r="P700" s="17" t="str" cm="1">
        <f t="array" ref="P700">IFERROR(INDEX(Create_TC_Web!S$1:S$500,SMALL(IF(Create_TC_Web!$C$1:$C$500&lt;&gt;"",MATCH(ROW(Create_TC_Web!$C$1:$C$500),ROW(Create_TC_Web!$C$1:$C$500)),""),ROW(Create_TC_Web!Q676))),"")</f>
        <v/>
      </c>
    </row>
    <row r="701" spans="1:16">
      <c r="A701" t="str" cm="1">
        <f t="array" ref="A701">IFERROR(INDEX(Create_TC_Web!D$1:D$1510,SMALL(IF(Create_TC_Web!$C$1:$C$1510&lt;&gt;"",MATCH(ROW(Create_TC_Web!$C$1:$C$1510),ROW(Create_TC_Web!$C$1:$C$1510)),""),ROW(Create_TC_Web!B726))),"")</f>
        <v/>
      </c>
      <c r="B701" t="str" cm="1">
        <f t="array" ref="B701">SUBSTITUTE(SUBSTITUTE(SUBSTITUTE(IFERROR(INDEX(Create_TC_Web!E$1:E$505,SMALL(IF(Create_TC_Web!$C$1:$C$505&lt;&gt;"",MATCH(ROW(Create_TC_Web!$C$1:$C$505),ROW(Create_TC_Web!$C$1:$C$505)),""),ROW(Create_TC_Web!C699))),"")," ",""),"-",""),"_","")</f>
        <v/>
      </c>
      <c r="P701" s="17" t="str" cm="1">
        <f t="array" ref="P701">IFERROR(INDEX(Create_TC_Web!S$1:S$500,SMALL(IF(Create_TC_Web!$C$1:$C$500&lt;&gt;"",MATCH(ROW(Create_TC_Web!$C$1:$C$500),ROW(Create_TC_Web!$C$1:$C$500)),""),ROW(Create_TC_Web!Q677))),"")</f>
        <v/>
      </c>
    </row>
    <row r="702" spans="1:16">
      <c r="A702" t="str" cm="1">
        <f t="array" ref="A702">IFERROR(INDEX(Create_TC_Web!D$1:D$1510,SMALL(IF(Create_TC_Web!$C$1:$C$1510&lt;&gt;"",MATCH(ROW(Create_TC_Web!$C$1:$C$1510),ROW(Create_TC_Web!$C$1:$C$1510)),""),ROW(Create_TC_Web!B727))),"")</f>
        <v/>
      </c>
      <c r="B702" t="str" cm="1">
        <f t="array" ref="B702">SUBSTITUTE(SUBSTITUTE(SUBSTITUTE(IFERROR(INDEX(Create_TC_Web!E$1:E$505,SMALL(IF(Create_TC_Web!$C$1:$C$505&lt;&gt;"",MATCH(ROW(Create_TC_Web!$C$1:$C$505),ROW(Create_TC_Web!$C$1:$C$505)),""),ROW(Create_TC_Web!C700))),"")," ",""),"-",""),"_","")</f>
        <v/>
      </c>
      <c r="P702" s="17" t="str" cm="1">
        <f t="array" ref="P702">IFERROR(INDEX(Create_TC_Web!S$1:S$500,SMALL(IF(Create_TC_Web!$C$1:$C$500&lt;&gt;"",MATCH(ROW(Create_TC_Web!$C$1:$C$500),ROW(Create_TC_Web!$C$1:$C$500)),""),ROW(Create_TC_Web!Q678))),"")</f>
        <v/>
      </c>
    </row>
    <row r="703" spans="1:16">
      <c r="A703" t="str" cm="1">
        <f t="array" ref="A703">IFERROR(INDEX(Create_TC_Web!D$1:D$1510,SMALL(IF(Create_TC_Web!$C$1:$C$1510&lt;&gt;"",MATCH(ROW(Create_TC_Web!$C$1:$C$1510),ROW(Create_TC_Web!$C$1:$C$1510)),""),ROW(Create_TC_Web!B728))),"")</f>
        <v/>
      </c>
      <c r="B703" t="str" cm="1">
        <f t="array" ref="B703">SUBSTITUTE(SUBSTITUTE(SUBSTITUTE(IFERROR(INDEX(Create_TC_Web!E$1:E$505,SMALL(IF(Create_TC_Web!$C$1:$C$505&lt;&gt;"",MATCH(ROW(Create_TC_Web!$C$1:$C$505),ROW(Create_TC_Web!$C$1:$C$505)),""),ROW(Create_TC_Web!C701))),"")," ",""),"-",""),"_","")</f>
        <v/>
      </c>
      <c r="P703" s="17" t="str" cm="1">
        <f t="array" ref="P703">IFERROR(INDEX(Create_TC_Web!S$1:S$500,SMALL(IF(Create_TC_Web!$C$1:$C$500&lt;&gt;"",MATCH(ROW(Create_TC_Web!$C$1:$C$500),ROW(Create_TC_Web!$C$1:$C$500)),""),ROW(Create_TC_Web!Q679))),"")</f>
        <v/>
      </c>
    </row>
    <row r="704" spans="1:16">
      <c r="A704" t="str" cm="1">
        <f t="array" ref="A704">IFERROR(INDEX(Create_TC_Web!D$1:D$1510,SMALL(IF(Create_TC_Web!$C$1:$C$1510&lt;&gt;"",MATCH(ROW(Create_TC_Web!$C$1:$C$1510),ROW(Create_TC_Web!$C$1:$C$1510)),""),ROW(Create_TC_Web!B729))),"")</f>
        <v/>
      </c>
      <c r="B704" t="str" cm="1">
        <f t="array" ref="B704">SUBSTITUTE(SUBSTITUTE(SUBSTITUTE(IFERROR(INDEX(Create_TC_Web!E$1:E$505,SMALL(IF(Create_TC_Web!$C$1:$C$505&lt;&gt;"",MATCH(ROW(Create_TC_Web!$C$1:$C$505),ROW(Create_TC_Web!$C$1:$C$505)),""),ROW(Create_TC_Web!C702))),"")," ",""),"-",""),"_","")</f>
        <v/>
      </c>
      <c r="P704" s="17" t="str" cm="1">
        <f t="array" ref="P704">IFERROR(INDEX(Create_TC_Web!S$1:S$500,SMALL(IF(Create_TC_Web!$C$1:$C$500&lt;&gt;"",MATCH(ROW(Create_TC_Web!$C$1:$C$500),ROW(Create_TC_Web!$C$1:$C$500)),""),ROW(Create_TC_Web!Q680))),"")</f>
        <v/>
      </c>
    </row>
    <row r="705" spans="1:16">
      <c r="A705" t="str" cm="1">
        <f t="array" ref="A705">IFERROR(INDEX(Create_TC_Web!D$1:D$1510,SMALL(IF(Create_TC_Web!$C$1:$C$1510&lt;&gt;"",MATCH(ROW(Create_TC_Web!$C$1:$C$1510),ROW(Create_TC_Web!$C$1:$C$1510)),""),ROW(Create_TC_Web!B730))),"")</f>
        <v/>
      </c>
      <c r="B705" t="str" cm="1">
        <f t="array" ref="B705">SUBSTITUTE(SUBSTITUTE(SUBSTITUTE(IFERROR(INDEX(Create_TC_Web!E$1:E$505,SMALL(IF(Create_TC_Web!$C$1:$C$505&lt;&gt;"",MATCH(ROW(Create_TC_Web!$C$1:$C$505),ROW(Create_TC_Web!$C$1:$C$505)),""),ROW(Create_TC_Web!C703))),"")," ",""),"-",""),"_","")</f>
        <v/>
      </c>
      <c r="P705" s="17" t="str" cm="1">
        <f t="array" ref="P705">IFERROR(INDEX(Create_TC_Web!S$1:S$500,SMALL(IF(Create_TC_Web!$C$1:$C$500&lt;&gt;"",MATCH(ROW(Create_TC_Web!$C$1:$C$500),ROW(Create_TC_Web!$C$1:$C$500)),""),ROW(Create_TC_Web!Q681))),"")</f>
        <v/>
      </c>
    </row>
    <row r="706" spans="1:16">
      <c r="A706" t="str" cm="1">
        <f t="array" ref="A706">IFERROR(INDEX(Create_TC_Web!D$1:D$1510,SMALL(IF(Create_TC_Web!$C$1:$C$1510&lt;&gt;"",MATCH(ROW(Create_TC_Web!$C$1:$C$1510),ROW(Create_TC_Web!$C$1:$C$1510)),""),ROW(Create_TC_Web!B731))),"")</f>
        <v/>
      </c>
      <c r="B706" t="str" cm="1">
        <f t="array" ref="B706">SUBSTITUTE(SUBSTITUTE(SUBSTITUTE(IFERROR(INDEX(Create_TC_Web!E$1:E$505,SMALL(IF(Create_TC_Web!$C$1:$C$505&lt;&gt;"",MATCH(ROW(Create_TC_Web!$C$1:$C$505),ROW(Create_TC_Web!$C$1:$C$505)),""),ROW(Create_TC_Web!C704))),"")," ",""),"-",""),"_","")</f>
        <v/>
      </c>
      <c r="P706" s="17" t="str" cm="1">
        <f t="array" ref="P706">IFERROR(INDEX(Create_TC_Web!S$1:S$500,SMALL(IF(Create_TC_Web!$C$1:$C$500&lt;&gt;"",MATCH(ROW(Create_TC_Web!$C$1:$C$500),ROW(Create_TC_Web!$C$1:$C$500)),""),ROW(Create_TC_Web!Q682))),"")</f>
        <v/>
      </c>
    </row>
    <row r="707" spans="1:16">
      <c r="A707" t="str" cm="1">
        <f t="array" ref="A707">IFERROR(INDEX(Create_TC_Web!D$1:D$1510,SMALL(IF(Create_TC_Web!$C$1:$C$1510&lt;&gt;"",MATCH(ROW(Create_TC_Web!$C$1:$C$1510),ROW(Create_TC_Web!$C$1:$C$1510)),""),ROW(Create_TC_Web!B732))),"")</f>
        <v/>
      </c>
      <c r="B707" t="str" cm="1">
        <f t="array" ref="B707">SUBSTITUTE(SUBSTITUTE(SUBSTITUTE(IFERROR(INDEX(Create_TC_Web!E$1:E$505,SMALL(IF(Create_TC_Web!$C$1:$C$505&lt;&gt;"",MATCH(ROW(Create_TC_Web!$C$1:$C$505),ROW(Create_TC_Web!$C$1:$C$505)),""),ROW(Create_TC_Web!C705))),"")," ",""),"-",""),"_","")</f>
        <v/>
      </c>
      <c r="P707" s="17" t="str" cm="1">
        <f t="array" ref="P707">IFERROR(INDEX(Create_TC_Web!S$1:S$500,SMALL(IF(Create_TC_Web!$C$1:$C$500&lt;&gt;"",MATCH(ROW(Create_TC_Web!$C$1:$C$500),ROW(Create_TC_Web!$C$1:$C$500)),""),ROW(Create_TC_Web!Q683))),"")</f>
        <v/>
      </c>
    </row>
    <row r="708" spans="1:16">
      <c r="A708" t="str" cm="1">
        <f t="array" ref="A708">IFERROR(INDEX(Create_TC_Web!D$1:D$1510,SMALL(IF(Create_TC_Web!$C$1:$C$1510&lt;&gt;"",MATCH(ROW(Create_TC_Web!$C$1:$C$1510),ROW(Create_TC_Web!$C$1:$C$1510)),""),ROW(Create_TC_Web!B733))),"")</f>
        <v/>
      </c>
      <c r="B708" t="str" cm="1">
        <f t="array" ref="B708">SUBSTITUTE(SUBSTITUTE(SUBSTITUTE(IFERROR(INDEX(Create_TC_Web!E$1:E$505,SMALL(IF(Create_TC_Web!$C$1:$C$505&lt;&gt;"",MATCH(ROW(Create_TC_Web!$C$1:$C$505),ROW(Create_TC_Web!$C$1:$C$505)),""),ROW(Create_TC_Web!C706))),"")," ",""),"-",""),"_","")</f>
        <v/>
      </c>
      <c r="P708" s="17" t="str" cm="1">
        <f t="array" ref="P708">IFERROR(INDEX(Create_TC_Web!S$1:S$500,SMALL(IF(Create_TC_Web!$C$1:$C$500&lt;&gt;"",MATCH(ROW(Create_TC_Web!$C$1:$C$500),ROW(Create_TC_Web!$C$1:$C$500)),""),ROW(Create_TC_Web!Q684))),"")</f>
        <v/>
      </c>
    </row>
    <row r="709" spans="1:16">
      <c r="A709" t="str" cm="1">
        <f t="array" ref="A709">IFERROR(INDEX(Create_TC_Web!D$1:D$1510,SMALL(IF(Create_TC_Web!$C$1:$C$1510&lt;&gt;"",MATCH(ROW(Create_TC_Web!$C$1:$C$1510),ROW(Create_TC_Web!$C$1:$C$1510)),""),ROW(Create_TC_Web!B734))),"")</f>
        <v/>
      </c>
      <c r="B709" t="str" cm="1">
        <f t="array" ref="B709">SUBSTITUTE(SUBSTITUTE(SUBSTITUTE(IFERROR(INDEX(Create_TC_Web!E$1:E$505,SMALL(IF(Create_TC_Web!$C$1:$C$505&lt;&gt;"",MATCH(ROW(Create_TC_Web!$C$1:$C$505),ROW(Create_TC_Web!$C$1:$C$505)),""),ROW(Create_TC_Web!C707))),"")," ",""),"-",""),"_","")</f>
        <v/>
      </c>
      <c r="P709" s="17" t="str" cm="1">
        <f t="array" ref="P709">IFERROR(INDEX(Create_TC_Web!S$1:S$500,SMALL(IF(Create_TC_Web!$C$1:$C$500&lt;&gt;"",MATCH(ROW(Create_TC_Web!$C$1:$C$500),ROW(Create_TC_Web!$C$1:$C$500)),""),ROW(Create_TC_Web!Q685))),"")</f>
        <v/>
      </c>
    </row>
    <row r="710" spans="1:16">
      <c r="A710" t="str" cm="1">
        <f t="array" ref="A710">IFERROR(INDEX(Create_TC_Web!D$1:D$1510,SMALL(IF(Create_TC_Web!$C$1:$C$1510&lt;&gt;"",MATCH(ROW(Create_TC_Web!$C$1:$C$1510),ROW(Create_TC_Web!$C$1:$C$1510)),""),ROW(Create_TC_Web!B735))),"")</f>
        <v/>
      </c>
      <c r="B710" t="str" cm="1">
        <f t="array" ref="B710">SUBSTITUTE(SUBSTITUTE(SUBSTITUTE(IFERROR(INDEX(Create_TC_Web!E$1:E$505,SMALL(IF(Create_TC_Web!$C$1:$C$505&lt;&gt;"",MATCH(ROW(Create_TC_Web!$C$1:$C$505),ROW(Create_TC_Web!$C$1:$C$505)),""),ROW(Create_TC_Web!C708))),"")," ",""),"-",""),"_","")</f>
        <v/>
      </c>
      <c r="P710" s="17" t="str" cm="1">
        <f t="array" ref="P710">IFERROR(INDEX(Create_TC_Web!S$1:S$500,SMALL(IF(Create_TC_Web!$C$1:$C$500&lt;&gt;"",MATCH(ROW(Create_TC_Web!$C$1:$C$500),ROW(Create_TC_Web!$C$1:$C$500)),""),ROW(Create_TC_Web!Q686))),"")</f>
        <v/>
      </c>
    </row>
    <row r="711" spans="1:16">
      <c r="A711" t="str" cm="1">
        <f t="array" ref="A711">IFERROR(INDEX(Create_TC_Web!D$1:D$1510,SMALL(IF(Create_TC_Web!$C$1:$C$1510&lt;&gt;"",MATCH(ROW(Create_TC_Web!$C$1:$C$1510),ROW(Create_TC_Web!$C$1:$C$1510)),""),ROW(Create_TC_Web!B736))),"")</f>
        <v/>
      </c>
      <c r="B711" t="str" cm="1">
        <f t="array" ref="B711">SUBSTITUTE(SUBSTITUTE(SUBSTITUTE(IFERROR(INDEX(Create_TC_Web!E$1:E$505,SMALL(IF(Create_TC_Web!$C$1:$C$505&lt;&gt;"",MATCH(ROW(Create_TC_Web!$C$1:$C$505),ROW(Create_TC_Web!$C$1:$C$505)),""),ROW(Create_TC_Web!C709))),"")," ",""),"-",""),"_","")</f>
        <v/>
      </c>
      <c r="P711" s="17" t="str" cm="1">
        <f t="array" ref="P711">IFERROR(INDEX(Create_TC_Web!S$1:S$500,SMALL(IF(Create_TC_Web!$C$1:$C$500&lt;&gt;"",MATCH(ROW(Create_TC_Web!$C$1:$C$500),ROW(Create_TC_Web!$C$1:$C$500)),""),ROW(Create_TC_Web!Q687))),"")</f>
        <v/>
      </c>
    </row>
    <row r="712" spans="1:16">
      <c r="A712" t="str" cm="1">
        <f t="array" ref="A712">IFERROR(INDEX(Create_TC_Web!D$1:D$1510,SMALL(IF(Create_TC_Web!$C$1:$C$1510&lt;&gt;"",MATCH(ROW(Create_TC_Web!$C$1:$C$1510),ROW(Create_TC_Web!$C$1:$C$1510)),""),ROW(Create_TC_Web!B737))),"")</f>
        <v/>
      </c>
      <c r="B712" t="str" cm="1">
        <f t="array" ref="B712">SUBSTITUTE(SUBSTITUTE(SUBSTITUTE(IFERROR(INDEX(Create_TC_Web!E$1:E$505,SMALL(IF(Create_TC_Web!$C$1:$C$505&lt;&gt;"",MATCH(ROW(Create_TC_Web!$C$1:$C$505),ROW(Create_TC_Web!$C$1:$C$505)),""),ROW(Create_TC_Web!C710))),"")," ",""),"-",""),"_","")</f>
        <v/>
      </c>
      <c r="P712" s="17" t="str" cm="1">
        <f t="array" ref="P712">IFERROR(INDEX(Create_TC_Web!S$1:S$500,SMALL(IF(Create_TC_Web!$C$1:$C$500&lt;&gt;"",MATCH(ROW(Create_TC_Web!$C$1:$C$500),ROW(Create_TC_Web!$C$1:$C$500)),""),ROW(Create_TC_Web!Q688))),"")</f>
        <v/>
      </c>
    </row>
    <row r="713" spans="1:16">
      <c r="A713" t="str" cm="1">
        <f t="array" ref="A713">IFERROR(INDEX(Create_TC_Web!D$1:D$1510,SMALL(IF(Create_TC_Web!$C$1:$C$1510&lt;&gt;"",MATCH(ROW(Create_TC_Web!$C$1:$C$1510),ROW(Create_TC_Web!$C$1:$C$1510)),""),ROW(Create_TC_Web!B738))),"")</f>
        <v/>
      </c>
      <c r="B713" t="str" cm="1">
        <f t="array" ref="B713">SUBSTITUTE(SUBSTITUTE(SUBSTITUTE(IFERROR(INDEX(Create_TC_Web!E$1:E$505,SMALL(IF(Create_TC_Web!$C$1:$C$505&lt;&gt;"",MATCH(ROW(Create_TC_Web!$C$1:$C$505),ROW(Create_TC_Web!$C$1:$C$505)),""),ROW(Create_TC_Web!C711))),"")," ",""),"-",""),"_","")</f>
        <v/>
      </c>
      <c r="P713" s="17" t="str" cm="1">
        <f t="array" ref="P713">IFERROR(INDEX(Create_TC_Web!S$1:S$500,SMALL(IF(Create_TC_Web!$C$1:$C$500&lt;&gt;"",MATCH(ROW(Create_TC_Web!$C$1:$C$500),ROW(Create_TC_Web!$C$1:$C$500)),""),ROW(Create_TC_Web!Q689))),"")</f>
        <v/>
      </c>
    </row>
    <row r="714" spans="1:16">
      <c r="A714" t="str" cm="1">
        <f t="array" ref="A714">IFERROR(INDEX(Create_TC_Web!D$1:D$1510,SMALL(IF(Create_TC_Web!$C$1:$C$1510&lt;&gt;"",MATCH(ROW(Create_TC_Web!$C$1:$C$1510),ROW(Create_TC_Web!$C$1:$C$1510)),""),ROW(Create_TC_Web!B739))),"")</f>
        <v/>
      </c>
      <c r="B714" t="str" cm="1">
        <f t="array" ref="B714">SUBSTITUTE(SUBSTITUTE(SUBSTITUTE(IFERROR(INDEX(Create_TC_Web!E$1:E$505,SMALL(IF(Create_TC_Web!$C$1:$C$505&lt;&gt;"",MATCH(ROW(Create_TC_Web!$C$1:$C$505),ROW(Create_TC_Web!$C$1:$C$505)),""),ROW(Create_TC_Web!C712))),"")," ",""),"-",""),"_","")</f>
        <v/>
      </c>
      <c r="P714" s="17" t="str" cm="1">
        <f t="array" ref="P714">IFERROR(INDEX(Create_TC_Web!S$1:S$500,SMALL(IF(Create_TC_Web!$C$1:$C$500&lt;&gt;"",MATCH(ROW(Create_TC_Web!$C$1:$C$500),ROW(Create_TC_Web!$C$1:$C$500)),""),ROW(Create_TC_Web!Q690))),"")</f>
        <v/>
      </c>
    </row>
    <row r="715" spans="1:16">
      <c r="A715" t="str" cm="1">
        <f t="array" ref="A715">IFERROR(INDEX(Create_TC_Web!D$1:D$1510,SMALL(IF(Create_TC_Web!$C$1:$C$1510&lt;&gt;"",MATCH(ROW(Create_TC_Web!$C$1:$C$1510),ROW(Create_TC_Web!$C$1:$C$1510)),""),ROW(Create_TC_Web!B740))),"")</f>
        <v/>
      </c>
      <c r="B715" t="str" cm="1">
        <f t="array" ref="B715">SUBSTITUTE(SUBSTITUTE(SUBSTITUTE(IFERROR(INDEX(Create_TC_Web!E$1:E$505,SMALL(IF(Create_TC_Web!$C$1:$C$505&lt;&gt;"",MATCH(ROW(Create_TC_Web!$C$1:$C$505),ROW(Create_TC_Web!$C$1:$C$505)),""),ROW(Create_TC_Web!C713))),"")," ",""),"-",""),"_","")</f>
        <v/>
      </c>
      <c r="P715" s="17" t="str" cm="1">
        <f t="array" ref="P715">IFERROR(INDEX(Create_TC_Web!S$1:S$500,SMALL(IF(Create_TC_Web!$C$1:$C$500&lt;&gt;"",MATCH(ROW(Create_TC_Web!$C$1:$C$500),ROW(Create_TC_Web!$C$1:$C$500)),""),ROW(Create_TC_Web!Q691))),"")</f>
        <v/>
      </c>
    </row>
    <row r="716" spans="1:16">
      <c r="A716" t="str" cm="1">
        <f t="array" ref="A716">IFERROR(INDEX(Create_TC_Web!D$1:D$1510,SMALL(IF(Create_TC_Web!$C$1:$C$1510&lt;&gt;"",MATCH(ROW(Create_TC_Web!$C$1:$C$1510),ROW(Create_TC_Web!$C$1:$C$1510)),""),ROW(Create_TC_Web!B741))),"")</f>
        <v/>
      </c>
      <c r="B716" t="str" cm="1">
        <f t="array" ref="B716">SUBSTITUTE(SUBSTITUTE(SUBSTITUTE(IFERROR(INDEX(Create_TC_Web!E$1:E$505,SMALL(IF(Create_TC_Web!$C$1:$C$505&lt;&gt;"",MATCH(ROW(Create_TC_Web!$C$1:$C$505),ROW(Create_TC_Web!$C$1:$C$505)),""),ROW(Create_TC_Web!C714))),"")," ",""),"-",""),"_","")</f>
        <v/>
      </c>
      <c r="P716" s="17" t="str" cm="1">
        <f t="array" ref="P716">IFERROR(INDEX(Create_TC_Web!S$1:S$500,SMALL(IF(Create_TC_Web!$C$1:$C$500&lt;&gt;"",MATCH(ROW(Create_TC_Web!$C$1:$C$500),ROW(Create_TC_Web!$C$1:$C$500)),""),ROW(Create_TC_Web!Q692))),"")</f>
        <v/>
      </c>
    </row>
    <row r="717" spans="1:16">
      <c r="A717" t="str" cm="1">
        <f t="array" ref="A717">IFERROR(INDEX(Create_TC_Web!D$1:D$1510,SMALL(IF(Create_TC_Web!$C$1:$C$1510&lt;&gt;"",MATCH(ROW(Create_TC_Web!$C$1:$C$1510),ROW(Create_TC_Web!$C$1:$C$1510)),""),ROW(Create_TC_Web!B742))),"")</f>
        <v/>
      </c>
      <c r="B717" t="str" cm="1">
        <f t="array" ref="B717">SUBSTITUTE(SUBSTITUTE(SUBSTITUTE(IFERROR(INDEX(Create_TC_Web!E$1:E$505,SMALL(IF(Create_TC_Web!$C$1:$C$505&lt;&gt;"",MATCH(ROW(Create_TC_Web!$C$1:$C$505),ROW(Create_TC_Web!$C$1:$C$505)),""),ROW(Create_TC_Web!C715))),"")," ",""),"-",""),"_","")</f>
        <v/>
      </c>
      <c r="P717" s="17" t="str" cm="1">
        <f t="array" ref="P717">IFERROR(INDEX(Create_TC_Web!S$1:S$500,SMALL(IF(Create_TC_Web!$C$1:$C$500&lt;&gt;"",MATCH(ROW(Create_TC_Web!$C$1:$C$500),ROW(Create_TC_Web!$C$1:$C$500)),""),ROW(Create_TC_Web!Q693))),"")</f>
        <v/>
      </c>
    </row>
    <row r="718" spans="1:16">
      <c r="A718" t="str" cm="1">
        <f t="array" ref="A718">IFERROR(INDEX(Create_TC_Web!D$1:D$1510,SMALL(IF(Create_TC_Web!$C$1:$C$1510&lt;&gt;"",MATCH(ROW(Create_TC_Web!$C$1:$C$1510),ROW(Create_TC_Web!$C$1:$C$1510)),""),ROW(Create_TC_Web!B743))),"")</f>
        <v/>
      </c>
      <c r="B718" t="str" cm="1">
        <f t="array" ref="B718">SUBSTITUTE(SUBSTITUTE(SUBSTITUTE(IFERROR(INDEX(Create_TC_Web!E$1:E$505,SMALL(IF(Create_TC_Web!$C$1:$C$505&lt;&gt;"",MATCH(ROW(Create_TC_Web!$C$1:$C$505),ROW(Create_TC_Web!$C$1:$C$505)),""),ROW(Create_TC_Web!C716))),"")," ",""),"-",""),"_","")</f>
        <v/>
      </c>
      <c r="P718" s="17" t="str" cm="1">
        <f t="array" ref="P718">IFERROR(INDEX(Create_TC_Web!S$1:S$500,SMALL(IF(Create_TC_Web!$C$1:$C$500&lt;&gt;"",MATCH(ROW(Create_TC_Web!$C$1:$C$500),ROW(Create_TC_Web!$C$1:$C$500)),""),ROW(Create_TC_Web!Q694))),"")</f>
        <v/>
      </c>
    </row>
    <row r="719" spans="1:16">
      <c r="A719" t="str" cm="1">
        <f t="array" ref="A719">IFERROR(INDEX(Create_TC_Web!D$1:D$1510,SMALL(IF(Create_TC_Web!$C$1:$C$1510&lt;&gt;"",MATCH(ROW(Create_TC_Web!$C$1:$C$1510),ROW(Create_TC_Web!$C$1:$C$1510)),""),ROW(Create_TC_Web!B744))),"")</f>
        <v/>
      </c>
      <c r="B719" t="str" cm="1">
        <f t="array" ref="B719">SUBSTITUTE(SUBSTITUTE(SUBSTITUTE(IFERROR(INDEX(Create_TC_Web!E$1:E$505,SMALL(IF(Create_TC_Web!$C$1:$C$505&lt;&gt;"",MATCH(ROW(Create_TC_Web!$C$1:$C$505),ROW(Create_TC_Web!$C$1:$C$505)),""),ROW(Create_TC_Web!C717))),"")," ",""),"-",""),"_","")</f>
        <v/>
      </c>
      <c r="P719" s="17" t="str" cm="1">
        <f t="array" ref="P719">IFERROR(INDEX(Create_TC_Web!S$1:S$500,SMALL(IF(Create_TC_Web!$C$1:$C$500&lt;&gt;"",MATCH(ROW(Create_TC_Web!$C$1:$C$500),ROW(Create_TC_Web!$C$1:$C$500)),""),ROW(Create_TC_Web!Q695))),"")</f>
        <v/>
      </c>
    </row>
    <row r="720" spans="1:16">
      <c r="A720" t="str" cm="1">
        <f t="array" ref="A720">IFERROR(INDEX(Create_TC_Web!D$1:D$1510,SMALL(IF(Create_TC_Web!$C$1:$C$1510&lt;&gt;"",MATCH(ROW(Create_TC_Web!$C$1:$C$1510),ROW(Create_TC_Web!$C$1:$C$1510)),""),ROW(Create_TC_Web!B745))),"")</f>
        <v/>
      </c>
      <c r="B720" t="str" cm="1">
        <f t="array" ref="B720">SUBSTITUTE(SUBSTITUTE(SUBSTITUTE(IFERROR(INDEX(Create_TC_Web!E$1:E$505,SMALL(IF(Create_TC_Web!$C$1:$C$505&lt;&gt;"",MATCH(ROW(Create_TC_Web!$C$1:$C$505),ROW(Create_TC_Web!$C$1:$C$505)),""),ROW(Create_TC_Web!C718))),"")," ",""),"-",""),"_","")</f>
        <v/>
      </c>
      <c r="P720" s="17" t="str" cm="1">
        <f t="array" ref="P720">IFERROR(INDEX(Create_TC_Web!S$1:S$500,SMALL(IF(Create_TC_Web!$C$1:$C$500&lt;&gt;"",MATCH(ROW(Create_TC_Web!$C$1:$C$500),ROW(Create_TC_Web!$C$1:$C$500)),""),ROW(Create_TC_Web!Q696))),"")</f>
        <v/>
      </c>
    </row>
    <row r="721" spans="1:16">
      <c r="A721" t="str" cm="1">
        <f t="array" ref="A721">IFERROR(INDEX(Create_TC_Web!D$1:D$1510,SMALL(IF(Create_TC_Web!$C$1:$C$1510&lt;&gt;"",MATCH(ROW(Create_TC_Web!$C$1:$C$1510),ROW(Create_TC_Web!$C$1:$C$1510)),""),ROW(Create_TC_Web!B746))),"")</f>
        <v/>
      </c>
      <c r="B721" t="str" cm="1">
        <f t="array" ref="B721">SUBSTITUTE(SUBSTITUTE(SUBSTITUTE(IFERROR(INDEX(Create_TC_Web!E$1:E$505,SMALL(IF(Create_TC_Web!$C$1:$C$505&lt;&gt;"",MATCH(ROW(Create_TC_Web!$C$1:$C$505),ROW(Create_TC_Web!$C$1:$C$505)),""),ROW(Create_TC_Web!C719))),"")," ",""),"-",""),"_","")</f>
        <v/>
      </c>
      <c r="P721" s="17" t="str" cm="1">
        <f t="array" ref="P721">IFERROR(INDEX(Create_TC_Web!S$1:S$500,SMALL(IF(Create_TC_Web!$C$1:$C$500&lt;&gt;"",MATCH(ROW(Create_TC_Web!$C$1:$C$500),ROW(Create_TC_Web!$C$1:$C$500)),""),ROW(Create_TC_Web!Q697))),"")</f>
        <v/>
      </c>
    </row>
    <row r="722" spans="1:16">
      <c r="A722" t="str" cm="1">
        <f t="array" ref="A722">IFERROR(INDEX(Create_TC_Web!D$1:D$1510,SMALL(IF(Create_TC_Web!$C$1:$C$1510&lt;&gt;"",MATCH(ROW(Create_TC_Web!$C$1:$C$1510),ROW(Create_TC_Web!$C$1:$C$1510)),""),ROW(Create_TC_Web!B747))),"")</f>
        <v/>
      </c>
      <c r="B722" t="str" cm="1">
        <f t="array" ref="B722">SUBSTITUTE(SUBSTITUTE(SUBSTITUTE(IFERROR(INDEX(Create_TC_Web!E$1:E$505,SMALL(IF(Create_TC_Web!$C$1:$C$505&lt;&gt;"",MATCH(ROW(Create_TC_Web!$C$1:$C$505),ROW(Create_TC_Web!$C$1:$C$505)),""),ROW(Create_TC_Web!C720))),"")," ",""),"-",""),"_","")</f>
        <v/>
      </c>
      <c r="P722" s="17" t="str" cm="1">
        <f t="array" ref="P722">IFERROR(INDEX(Create_TC_Web!S$1:S$500,SMALL(IF(Create_TC_Web!$C$1:$C$500&lt;&gt;"",MATCH(ROW(Create_TC_Web!$C$1:$C$500),ROW(Create_TC_Web!$C$1:$C$500)),""),ROW(Create_TC_Web!Q698))),"")</f>
        <v/>
      </c>
    </row>
    <row r="723" spans="1:16">
      <c r="A723" t="str" cm="1">
        <f t="array" ref="A723">IFERROR(INDEX(Create_TC_Web!D$1:D$1510,SMALL(IF(Create_TC_Web!$C$1:$C$1510&lt;&gt;"",MATCH(ROW(Create_TC_Web!$C$1:$C$1510),ROW(Create_TC_Web!$C$1:$C$1510)),""),ROW(Create_TC_Web!B748))),"")</f>
        <v/>
      </c>
      <c r="B723" t="str" cm="1">
        <f t="array" ref="B723">SUBSTITUTE(SUBSTITUTE(SUBSTITUTE(IFERROR(INDEX(Create_TC_Web!E$1:E$505,SMALL(IF(Create_TC_Web!$C$1:$C$505&lt;&gt;"",MATCH(ROW(Create_TC_Web!$C$1:$C$505),ROW(Create_TC_Web!$C$1:$C$505)),""),ROW(Create_TC_Web!C721))),"")," ",""),"-",""),"_","")</f>
        <v/>
      </c>
      <c r="P723" s="17" t="str" cm="1">
        <f t="array" ref="P723">IFERROR(INDEX(Create_TC_Web!S$1:S$500,SMALL(IF(Create_TC_Web!$C$1:$C$500&lt;&gt;"",MATCH(ROW(Create_TC_Web!$C$1:$C$500),ROW(Create_TC_Web!$C$1:$C$500)),""),ROW(Create_TC_Web!Q699))),"")</f>
        <v/>
      </c>
    </row>
    <row r="724" spans="1:16">
      <c r="A724" t="str" cm="1">
        <f t="array" ref="A724">IFERROR(INDEX(Create_TC_Web!D$1:D$1510,SMALL(IF(Create_TC_Web!$C$1:$C$1510&lt;&gt;"",MATCH(ROW(Create_TC_Web!$C$1:$C$1510),ROW(Create_TC_Web!$C$1:$C$1510)),""),ROW(Create_TC_Web!B749))),"")</f>
        <v/>
      </c>
      <c r="B724" t="str" cm="1">
        <f t="array" ref="B724">SUBSTITUTE(SUBSTITUTE(SUBSTITUTE(IFERROR(INDEX(Create_TC_Web!E$1:E$505,SMALL(IF(Create_TC_Web!$C$1:$C$505&lt;&gt;"",MATCH(ROW(Create_TC_Web!$C$1:$C$505),ROW(Create_TC_Web!$C$1:$C$505)),""),ROW(Create_TC_Web!C722))),"")," ",""),"-",""),"_","")</f>
        <v/>
      </c>
      <c r="P724" s="17" t="str" cm="1">
        <f t="array" ref="P724">IFERROR(INDEX(Create_TC_Web!S$1:S$500,SMALL(IF(Create_TC_Web!$C$1:$C$500&lt;&gt;"",MATCH(ROW(Create_TC_Web!$C$1:$C$500),ROW(Create_TC_Web!$C$1:$C$500)),""),ROW(Create_TC_Web!Q700))),"")</f>
        <v/>
      </c>
    </row>
    <row r="725" spans="1:16">
      <c r="A725" t="str" cm="1">
        <f t="array" ref="A725">IFERROR(INDEX(Create_TC_Web!D$1:D$1510,SMALL(IF(Create_TC_Web!$C$1:$C$1510&lt;&gt;"",MATCH(ROW(Create_TC_Web!$C$1:$C$1510),ROW(Create_TC_Web!$C$1:$C$1510)),""),ROW(Create_TC_Web!B750))),"")</f>
        <v/>
      </c>
      <c r="B725" t="str" cm="1">
        <f t="array" ref="B725">SUBSTITUTE(SUBSTITUTE(SUBSTITUTE(IFERROR(INDEX(Create_TC_Web!E$1:E$505,SMALL(IF(Create_TC_Web!$C$1:$C$505&lt;&gt;"",MATCH(ROW(Create_TC_Web!$C$1:$C$505),ROW(Create_TC_Web!$C$1:$C$505)),""),ROW(Create_TC_Web!C723))),"")," ",""),"-",""),"_","")</f>
        <v/>
      </c>
      <c r="P725" s="17" t="str" cm="1">
        <f t="array" ref="P725">IFERROR(INDEX(Create_TC_Web!S$1:S$500,SMALL(IF(Create_TC_Web!$C$1:$C$500&lt;&gt;"",MATCH(ROW(Create_TC_Web!$C$1:$C$500),ROW(Create_TC_Web!$C$1:$C$500)),""),ROW(Create_TC_Web!Q701))),"")</f>
        <v/>
      </c>
    </row>
    <row r="726" spans="1:16">
      <c r="A726" t="str" cm="1">
        <f t="array" ref="A726">IFERROR(INDEX(Create_TC_Web!D$1:D$1510,SMALL(IF(Create_TC_Web!$C$1:$C$1510&lt;&gt;"",MATCH(ROW(Create_TC_Web!$C$1:$C$1510),ROW(Create_TC_Web!$C$1:$C$1510)),""),ROW(Create_TC_Web!B751))),"")</f>
        <v/>
      </c>
      <c r="B726" t="str" cm="1">
        <f t="array" ref="B726">SUBSTITUTE(SUBSTITUTE(SUBSTITUTE(IFERROR(INDEX(Create_TC_Web!E$1:E$505,SMALL(IF(Create_TC_Web!$C$1:$C$505&lt;&gt;"",MATCH(ROW(Create_TC_Web!$C$1:$C$505),ROW(Create_TC_Web!$C$1:$C$505)),""),ROW(Create_TC_Web!C724))),"")," ",""),"-",""),"_","")</f>
        <v/>
      </c>
      <c r="P726" s="17" t="str" cm="1">
        <f t="array" ref="P726">IFERROR(INDEX(Create_TC_Web!S$1:S$500,SMALL(IF(Create_TC_Web!$C$1:$C$500&lt;&gt;"",MATCH(ROW(Create_TC_Web!$C$1:$C$500),ROW(Create_TC_Web!$C$1:$C$500)),""),ROW(Create_TC_Web!Q702))),"")</f>
        <v/>
      </c>
    </row>
    <row r="727" spans="1:16">
      <c r="A727" t="str" cm="1">
        <f t="array" ref="A727">IFERROR(INDEX(Create_TC_Web!D$1:D$1510,SMALL(IF(Create_TC_Web!$C$1:$C$1510&lt;&gt;"",MATCH(ROW(Create_TC_Web!$C$1:$C$1510),ROW(Create_TC_Web!$C$1:$C$1510)),""),ROW(Create_TC_Web!B752))),"")</f>
        <v/>
      </c>
      <c r="B727" t="str" cm="1">
        <f t="array" ref="B727">SUBSTITUTE(SUBSTITUTE(SUBSTITUTE(IFERROR(INDEX(Create_TC_Web!E$1:E$505,SMALL(IF(Create_TC_Web!$C$1:$C$505&lt;&gt;"",MATCH(ROW(Create_TC_Web!$C$1:$C$505),ROW(Create_TC_Web!$C$1:$C$505)),""),ROW(Create_TC_Web!C725))),"")," ",""),"-",""),"_","")</f>
        <v/>
      </c>
      <c r="P727" s="17" t="str" cm="1">
        <f t="array" ref="P727">IFERROR(INDEX(Create_TC_Web!S$1:S$500,SMALL(IF(Create_TC_Web!$C$1:$C$500&lt;&gt;"",MATCH(ROW(Create_TC_Web!$C$1:$C$500),ROW(Create_TC_Web!$C$1:$C$500)),""),ROW(Create_TC_Web!Q703))),"")</f>
        <v/>
      </c>
    </row>
    <row r="728" spans="1:16">
      <c r="A728" t="str" cm="1">
        <f t="array" ref="A728">IFERROR(INDEX(Create_TC_Web!D$1:D$1510,SMALL(IF(Create_TC_Web!$C$1:$C$1510&lt;&gt;"",MATCH(ROW(Create_TC_Web!$C$1:$C$1510),ROW(Create_TC_Web!$C$1:$C$1510)),""),ROW(Create_TC_Web!B753))),"")</f>
        <v/>
      </c>
      <c r="B728" t="str" cm="1">
        <f t="array" ref="B728">SUBSTITUTE(SUBSTITUTE(SUBSTITUTE(IFERROR(INDEX(Create_TC_Web!E$1:E$505,SMALL(IF(Create_TC_Web!$C$1:$C$505&lt;&gt;"",MATCH(ROW(Create_TC_Web!$C$1:$C$505),ROW(Create_TC_Web!$C$1:$C$505)),""),ROW(Create_TC_Web!C726))),"")," ",""),"-",""),"_","")</f>
        <v/>
      </c>
      <c r="P728" s="17" t="str" cm="1">
        <f t="array" ref="P728">IFERROR(INDEX(Create_TC_Web!S$1:S$500,SMALL(IF(Create_TC_Web!$C$1:$C$500&lt;&gt;"",MATCH(ROW(Create_TC_Web!$C$1:$C$500),ROW(Create_TC_Web!$C$1:$C$500)),""),ROW(Create_TC_Web!Q704))),"")</f>
        <v/>
      </c>
    </row>
    <row r="729" spans="1:16">
      <c r="A729" t="str" cm="1">
        <f t="array" ref="A729">IFERROR(INDEX(Create_TC_Web!D$1:D$1510,SMALL(IF(Create_TC_Web!$C$1:$C$1510&lt;&gt;"",MATCH(ROW(Create_TC_Web!$C$1:$C$1510),ROW(Create_TC_Web!$C$1:$C$1510)),""),ROW(Create_TC_Web!B754))),"")</f>
        <v/>
      </c>
      <c r="B729" t="str" cm="1">
        <f t="array" ref="B729">SUBSTITUTE(SUBSTITUTE(SUBSTITUTE(IFERROR(INDEX(Create_TC_Web!E$1:E$505,SMALL(IF(Create_TC_Web!$C$1:$C$505&lt;&gt;"",MATCH(ROW(Create_TC_Web!$C$1:$C$505),ROW(Create_TC_Web!$C$1:$C$505)),""),ROW(Create_TC_Web!C727))),"")," ",""),"-",""),"_","")</f>
        <v/>
      </c>
      <c r="P729" s="17" t="str" cm="1">
        <f t="array" ref="P729">IFERROR(INDEX(Create_TC_Web!S$1:S$500,SMALL(IF(Create_TC_Web!$C$1:$C$500&lt;&gt;"",MATCH(ROW(Create_TC_Web!$C$1:$C$500),ROW(Create_TC_Web!$C$1:$C$500)),""),ROW(Create_TC_Web!Q705))),"")</f>
        <v/>
      </c>
    </row>
    <row r="730" spans="1:16">
      <c r="A730" t="str" cm="1">
        <f t="array" ref="A730">IFERROR(INDEX(Create_TC_Web!D$1:D$1510,SMALL(IF(Create_TC_Web!$C$1:$C$1510&lt;&gt;"",MATCH(ROW(Create_TC_Web!$C$1:$C$1510),ROW(Create_TC_Web!$C$1:$C$1510)),""),ROW(Create_TC_Web!B755))),"")</f>
        <v/>
      </c>
      <c r="B730" t="str" cm="1">
        <f t="array" ref="B730">SUBSTITUTE(SUBSTITUTE(SUBSTITUTE(IFERROR(INDEX(Create_TC_Web!E$1:E$505,SMALL(IF(Create_TC_Web!$C$1:$C$505&lt;&gt;"",MATCH(ROW(Create_TC_Web!$C$1:$C$505),ROW(Create_TC_Web!$C$1:$C$505)),""),ROW(Create_TC_Web!C728))),"")," ",""),"-",""),"_","")</f>
        <v/>
      </c>
      <c r="P730" s="17" t="str" cm="1">
        <f t="array" ref="P730">IFERROR(INDEX(Create_TC_Web!S$1:S$500,SMALL(IF(Create_TC_Web!$C$1:$C$500&lt;&gt;"",MATCH(ROW(Create_TC_Web!$C$1:$C$500),ROW(Create_TC_Web!$C$1:$C$500)),""),ROW(Create_TC_Web!Q706))),"")</f>
        <v/>
      </c>
    </row>
    <row r="731" spans="1:16">
      <c r="A731" t="str" cm="1">
        <f t="array" ref="A731">IFERROR(INDEX(Create_TC_Web!D$1:D$1510,SMALL(IF(Create_TC_Web!$C$1:$C$1510&lt;&gt;"",MATCH(ROW(Create_TC_Web!$C$1:$C$1510),ROW(Create_TC_Web!$C$1:$C$1510)),""),ROW(Create_TC_Web!B756))),"")</f>
        <v/>
      </c>
      <c r="B731" t="str" cm="1">
        <f t="array" ref="B731">SUBSTITUTE(SUBSTITUTE(SUBSTITUTE(IFERROR(INDEX(Create_TC_Web!E$1:E$505,SMALL(IF(Create_TC_Web!$C$1:$C$505&lt;&gt;"",MATCH(ROW(Create_TC_Web!$C$1:$C$505),ROW(Create_TC_Web!$C$1:$C$505)),""),ROW(Create_TC_Web!C729))),"")," ",""),"-",""),"_","")</f>
        <v/>
      </c>
      <c r="P731" s="17" t="str" cm="1">
        <f t="array" ref="P731">IFERROR(INDEX(Create_TC_Web!S$1:S$500,SMALL(IF(Create_TC_Web!$C$1:$C$500&lt;&gt;"",MATCH(ROW(Create_TC_Web!$C$1:$C$500),ROW(Create_TC_Web!$C$1:$C$500)),""),ROW(Create_TC_Web!Q707))),"")</f>
        <v/>
      </c>
    </row>
    <row r="732" spans="1:16">
      <c r="A732" t="str" cm="1">
        <f t="array" ref="A732">IFERROR(INDEX(Create_TC_Web!D$1:D$1510,SMALL(IF(Create_TC_Web!$C$1:$C$1510&lt;&gt;"",MATCH(ROW(Create_TC_Web!$C$1:$C$1510),ROW(Create_TC_Web!$C$1:$C$1510)),""),ROW(Create_TC_Web!B757))),"")</f>
        <v/>
      </c>
      <c r="B732" t="str" cm="1">
        <f t="array" ref="B732">SUBSTITUTE(SUBSTITUTE(SUBSTITUTE(IFERROR(INDEX(Create_TC_Web!E$1:E$505,SMALL(IF(Create_TC_Web!$C$1:$C$505&lt;&gt;"",MATCH(ROW(Create_TC_Web!$C$1:$C$505),ROW(Create_TC_Web!$C$1:$C$505)),""),ROW(Create_TC_Web!C730))),"")," ",""),"-",""),"_","")</f>
        <v/>
      </c>
      <c r="P732" s="17" t="str" cm="1">
        <f t="array" ref="P732">IFERROR(INDEX(Create_TC_Web!S$1:S$500,SMALL(IF(Create_TC_Web!$C$1:$C$500&lt;&gt;"",MATCH(ROW(Create_TC_Web!$C$1:$C$500),ROW(Create_TC_Web!$C$1:$C$500)),""),ROW(Create_TC_Web!Q708))),"")</f>
        <v/>
      </c>
    </row>
    <row r="733" spans="1:16">
      <c r="A733" t="str" cm="1">
        <f t="array" ref="A733">IFERROR(INDEX(Create_TC_Web!D$1:D$1510,SMALL(IF(Create_TC_Web!$C$1:$C$1510&lt;&gt;"",MATCH(ROW(Create_TC_Web!$C$1:$C$1510),ROW(Create_TC_Web!$C$1:$C$1510)),""),ROW(Create_TC_Web!B758))),"")</f>
        <v/>
      </c>
      <c r="B733" t="str" cm="1">
        <f t="array" ref="B733">SUBSTITUTE(SUBSTITUTE(SUBSTITUTE(IFERROR(INDEX(Create_TC_Web!E$1:E$505,SMALL(IF(Create_TC_Web!$C$1:$C$505&lt;&gt;"",MATCH(ROW(Create_TC_Web!$C$1:$C$505),ROW(Create_TC_Web!$C$1:$C$505)),""),ROW(Create_TC_Web!C731))),"")," ",""),"-",""),"_","")</f>
        <v/>
      </c>
      <c r="P733" s="17" t="str" cm="1">
        <f t="array" ref="P733">IFERROR(INDEX(Create_TC_Web!S$1:S$500,SMALL(IF(Create_TC_Web!$C$1:$C$500&lt;&gt;"",MATCH(ROW(Create_TC_Web!$C$1:$C$500),ROW(Create_TC_Web!$C$1:$C$500)),""),ROW(Create_TC_Web!Q709))),"")</f>
        <v/>
      </c>
    </row>
    <row r="734" spans="1:16">
      <c r="A734" t="str" cm="1">
        <f t="array" ref="A734">IFERROR(INDEX(Create_TC_Web!D$1:D$1510,SMALL(IF(Create_TC_Web!$C$1:$C$1510&lt;&gt;"",MATCH(ROW(Create_TC_Web!$C$1:$C$1510),ROW(Create_TC_Web!$C$1:$C$1510)),""),ROW(Create_TC_Web!B759))),"")</f>
        <v/>
      </c>
      <c r="B734" t="str" cm="1">
        <f t="array" ref="B734">SUBSTITUTE(SUBSTITUTE(SUBSTITUTE(IFERROR(INDEX(Create_TC_Web!E$1:E$505,SMALL(IF(Create_TC_Web!$C$1:$C$505&lt;&gt;"",MATCH(ROW(Create_TC_Web!$C$1:$C$505),ROW(Create_TC_Web!$C$1:$C$505)),""),ROW(Create_TC_Web!C732))),"")," ",""),"-",""),"_","")</f>
        <v/>
      </c>
      <c r="P734" s="17" t="str" cm="1">
        <f t="array" ref="P734">IFERROR(INDEX(Create_TC_Web!S$1:S$500,SMALL(IF(Create_TC_Web!$C$1:$C$500&lt;&gt;"",MATCH(ROW(Create_TC_Web!$C$1:$C$500),ROW(Create_TC_Web!$C$1:$C$500)),""),ROW(Create_TC_Web!Q710))),"")</f>
        <v/>
      </c>
    </row>
    <row r="735" spans="1:16">
      <c r="A735" t="str" cm="1">
        <f t="array" ref="A735">IFERROR(INDEX(Create_TC_Web!D$1:D$1510,SMALL(IF(Create_TC_Web!$C$1:$C$1510&lt;&gt;"",MATCH(ROW(Create_TC_Web!$C$1:$C$1510),ROW(Create_TC_Web!$C$1:$C$1510)),""),ROW(Create_TC_Web!B760))),"")</f>
        <v/>
      </c>
      <c r="B735" t="str" cm="1">
        <f t="array" ref="B735">SUBSTITUTE(SUBSTITUTE(SUBSTITUTE(IFERROR(INDEX(Create_TC_Web!E$1:E$505,SMALL(IF(Create_TC_Web!$C$1:$C$505&lt;&gt;"",MATCH(ROW(Create_TC_Web!$C$1:$C$505),ROW(Create_TC_Web!$C$1:$C$505)),""),ROW(Create_TC_Web!C733))),"")," ",""),"-",""),"_","")</f>
        <v/>
      </c>
      <c r="P735" s="17" t="str" cm="1">
        <f t="array" ref="P735">IFERROR(INDEX(Create_TC_Web!S$1:S$500,SMALL(IF(Create_TC_Web!$C$1:$C$500&lt;&gt;"",MATCH(ROW(Create_TC_Web!$C$1:$C$500),ROW(Create_TC_Web!$C$1:$C$500)),""),ROW(Create_TC_Web!Q711))),"")</f>
        <v/>
      </c>
    </row>
    <row r="736" spans="1:16">
      <c r="A736" t="str" cm="1">
        <f t="array" ref="A736">IFERROR(INDEX(Create_TC_Web!D$1:D$1510,SMALL(IF(Create_TC_Web!$C$1:$C$1510&lt;&gt;"",MATCH(ROW(Create_TC_Web!$C$1:$C$1510),ROW(Create_TC_Web!$C$1:$C$1510)),""),ROW(Create_TC_Web!B761))),"")</f>
        <v/>
      </c>
      <c r="B736" t="str" cm="1">
        <f t="array" ref="B736">SUBSTITUTE(SUBSTITUTE(SUBSTITUTE(IFERROR(INDEX(Create_TC_Web!E$1:E$505,SMALL(IF(Create_TC_Web!$C$1:$C$505&lt;&gt;"",MATCH(ROW(Create_TC_Web!$C$1:$C$505),ROW(Create_TC_Web!$C$1:$C$505)),""),ROW(Create_TC_Web!C734))),"")," ",""),"-",""),"_","")</f>
        <v/>
      </c>
      <c r="P736" s="17" t="str" cm="1">
        <f t="array" ref="P736">IFERROR(INDEX(Create_TC_Web!S$1:S$500,SMALL(IF(Create_TC_Web!$C$1:$C$500&lt;&gt;"",MATCH(ROW(Create_TC_Web!$C$1:$C$500),ROW(Create_TC_Web!$C$1:$C$500)),""),ROW(Create_TC_Web!Q712))),"")</f>
        <v/>
      </c>
    </row>
    <row r="737" spans="1:16">
      <c r="A737" t="str" cm="1">
        <f t="array" ref="A737">IFERROR(INDEX(Create_TC_Web!D$1:D$1510,SMALL(IF(Create_TC_Web!$C$1:$C$1510&lt;&gt;"",MATCH(ROW(Create_TC_Web!$C$1:$C$1510),ROW(Create_TC_Web!$C$1:$C$1510)),""),ROW(Create_TC_Web!B762))),"")</f>
        <v/>
      </c>
      <c r="B737" t="str" cm="1">
        <f t="array" ref="B737">SUBSTITUTE(SUBSTITUTE(SUBSTITUTE(IFERROR(INDEX(Create_TC_Web!E$1:E$505,SMALL(IF(Create_TC_Web!$C$1:$C$505&lt;&gt;"",MATCH(ROW(Create_TC_Web!$C$1:$C$505),ROW(Create_TC_Web!$C$1:$C$505)),""),ROW(Create_TC_Web!C735))),"")," ",""),"-",""),"_","")</f>
        <v/>
      </c>
      <c r="P737" s="17" t="str" cm="1">
        <f t="array" ref="P737">IFERROR(INDEX(Create_TC_Web!S$1:S$500,SMALL(IF(Create_TC_Web!$C$1:$C$500&lt;&gt;"",MATCH(ROW(Create_TC_Web!$C$1:$C$500),ROW(Create_TC_Web!$C$1:$C$500)),""),ROW(Create_TC_Web!Q713))),"")</f>
        <v/>
      </c>
    </row>
    <row r="738" spans="1:16">
      <c r="A738" t="str" cm="1">
        <f t="array" ref="A738">IFERROR(INDEX(Create_TC_Web!D$1:D$1510,SMALL(IF(Create_TC_Web!$C$1:$C$1510&lt;&gt;"",MATCH(ROW(Create_TC_Web!$C$1:$C$1510),ROW(Create_TC_Web!$C$1:$C$1510)),""),ROW(Create_TC_Web!B763))),"")</f>
        <v/>
      </c>
      <c r="B738" t="str" cm="1">
        <f t="array" ref="B738">SUBSTITUTE(SUBSTITUTE(SUBSTITUTE(IFERROR(INDEX(Create_TC_Web!E$1:E$505,SMALL(IF(Create_TC_Web!$C$1:$C$505&lt;&gt;"",MATCH(ROW(Create_TC_Web!$C$1:$C$505),ROW(Create_TC_Web!$C$1:$C$505)),""),ROW(Create_TC_Web!C736))),"")," ",""),"-",""),"_","")</f>
        <v/>
      </c>
      <c r="P738" s="17" t="str" cm="1">
        <f t="array" ref="P738">IFERROR(INDEX(Create_TC_Web!S$1:S$500,SMALL(IF(Create_TC_Web!$C$1:$C$500&lt;&gt;"",MATCH(ROW(Create_TC_Web!$C$1:$C$500),ROW(Create_TC_Web!$C$1:$C$500)),""),ROW(Create_TC_Web!Q714))),"")</f>
        <v/>
      </c>
    </row>
    <row r="739" spans="1:16">
      <c r="A739" t="str" cm="1">
        <f t="array" ref="A739">IFERROR(INDEX(Create_TC_Web!D$1:D$1510,SMALL(IF(Create_TC_Web!$C$1:$C$1510&lt;&gt;"",MATCH(ROW(Create_TC_Web!$C$1:$C$1510),ROW(Create_TC_Web!$C$1:$C$1510)),""),ROW(Create_TC_Web!B764))),"")</f>
        <v/>
      </c>
      <c r="B739" t="str" cm="1">
        <f t="array" ref="B739">SUBSTITUTE(SUBSTITUTE(SUBSTITUTE(IFERROR(INDEX(Create_TC_Web!E$1:E$505,SMALL(IF(Create_TC_Web!$C$1:$C$505&lt;&gt;"",MATCH(ROW(Create_TC_Web!$C$1:$C$505),ROW(Create_TC_Web!$C$1:$C$505)),""),ROW(Create_TC_Web!C737))),"")," ",""),"-",""),"_","")</f>
        <v/>
      </c>
      <c r="P739" s="17" t="str" cm="1">
        <f t="array" ref="P739">IFERROR(INDEX(Create_TC_Web!S$1:S$500,SMALL(IF(Create_TC_Web!$C$1:$C$500&lt;&gt;"",MATCH(ROW(Create_TC_Web!$C$1:$C$500),ROW(Create_TC_Web!$C$1:$C$500)),""),ROW(Create_TC_Web!Q715))),"")</f>
        <v/>
      </c>
    </row>
    <row r="740" spans="1:16">
      <c r="A740" t="str" cm="1">
        <f t="array" ref="A740">IFERROR(INDEX(Create_TC_Web!D$1:D$1510,SMALL(IF(Create_TC_Web!$C$1:$C$1510&lt;&gt;"",MATCH(ROW(Create_TC_Web!$C$1:$C$1510),ROW(Create_TC_Web!$C$1:$C$1510)),""),ROW(Create_TC_Web!B765))),"")</f>
        <v/>
      </c>
      <c r="B740" t="str" cm="1">
        <f t="array" ref="B740">SUBSTITUTE(SUBSTITUTE(SUBSTITUTE(IFERROR(INDEX(Create_TC_Web!E$1:E$505,SMALL(IF(Create_TC_Web!$C$1:$C$505&lt;&gt;"",MATCH(ROW(Create_TC_Web!$C$1:$C$505),ROW(Create_TC_Web!$C$1:$C$505)),""),ROW(Create_TC_Web!C738))),"")," ",""),"-",""),"_","")</f>
        <v/>
      </c>
      <c r="P740" s="17" t="str" cm="1">
        <f t="array" ref="P740">IFERROR(INDEX(Create_TC_Web!S$1:S$500,SMALL(IF(Create_TC_Web!$C$1:$C$500&lt;&gt;"",MATCH(ROW(Create_TC_Web!$C$1:$C$500),ROW(Create_TC_Web!$C$1:$C$500)),""),ROW(Create_TC_Web!Q716))),"")</f>
        <v/>
      </c>
    </row>
    <row r="741" spans="1:16">
      <c r="A741" t="str" cm="1">
        <f t="array" ref="A741">IFERROR(INDEX(Create_TC_Web!D$1:D$1510,SMALL(IF(Create_TC_Web!$C$1:$C$1510&lt;&gt;"",MATCH(ROW(Create_TC_Web!$C$1:$C$1510),ROW(Create_TC_Web!$C$1:$C$1510)),""),ROW(Create_TC_Web!B766))),"")</f>
        <v/>
      </c>
      <c r="B741" t="str" cm="1">
        <f t="array" ref="B741">SUBSTITUTE(SUBSTITUTE(SUBSTITUTE(IFERROR(INDEX(Create_TC_Web!E$1:E$505,SMALL(IF(Create_TC_Web!$C$1:$C$505&lt;&gt;"",MATCH(ROW(Create_TC_Web!$C$1:$C$505),ROW(Create_TC_Web!$C$1:$C$505)),""),ROW(Create_TC_Web!C739))),"")," ",""),"-",""),"_","")</f>
        <v/>
      </c>
      <c r="P741" s="17" t="str" cm="1">
        <f t="array" ref="P741">IFERROR(INDEX(Create_TC_Web!S$1:S$500,SMALL(IF(Create_TC_Web!$C$1:$C$500&lt;&gt;"",MATCH(ROW(Create_TC_Web!$C$1:$C$500),ROW(Create_TC_Web!$C$1:$C$500)),""),ROW(Create_TC_Web!Q717))),"")</f>
        <v/>
      </c>
    </row>
    <row r="742" spans="1:16">
      <c r="A742" t="str" cm="1">
        <f t="array" ref="A742">IFERROR(INDEX(Create_TC_Web!D$1:D$1510,SMALL(IF(Create_TC_Web!$C$1:$C$1510&lt;&gt;"",MATCH(ROW(Create_TC_Web!$C$1:$C$1510),ROW(Create_TC_Web!$C$1:$C$1510)),""),ROW(Create_TC_Web!B767))),"")</f>
        <v/>
      </c>
      <c r="B742" t="str" cm="1">
        <f t="array" ref="B742">SUBSTITUTE(SUBSTITUTE(SUBSTITUTE(IFERROR(INDEX(Create_TC_Web!E$1:E$505,SMALL(IF(Create_TC_Web!$C$1:$C$505&lt;&gt;"",MATCH(ROW(Create_TC_Web!$C$1:$C$505),ROW(Create_TC_Web!$C$1:$C$505)),""),ROW(Create_TC_Web!C740))),"")," ",""),"-",""),"_","")</f>
        <v/>
      </c>
      <c r="P742" s="17" t="str" cm="1">
        <f t="array" ref="P742">IFERROR(INDEX(Create_TC_Web!S$1:S$500,SMALL(IF(Create_TC_Web!$C$1:$C$500&lt;&gt;"",MATCH(ROW(Create_TC_Web!$C$1:$C$500),ROW(Create_TC_Web!$C$1:$C$500)),""),ROW(Create_TC_Web!Q718))),"")</f>
        <v/>
      </c>
    </row>
    <row r="743" spans="1:16">
      <c r="A743" t="str" cm="1">
        <f t="array" ref="A743">IFERROR(INDEX(Create_TC_Web!D$1:D$1510,SMALL(IF(Create_TC_Web!$C$1:$C$1510&lt;&gt;"",MATCH(ROW(Create_TC_Web!$C$1:$C$1510),ROW(Create_TC_Web!$C$1:$C$1510)),""),ROW(Create_TC_Web!B768))),"")</f>
        <v/>
      </c>
      <c r="B743" t="str" cm="1">
        <f t="array" ref="B743">SUBSTITUTE(SUBSTITUTE(SUBSTITUTE(IFERROR(INDEX(Create_TC_Web!E$1:E$505,SMALL(IF(Create_TC_Web!$C$1:$C$505&lt;&gt;"",MATCH(ROW(Create_TC_Web!$C$1:$C$505),ROW(Create_TC_Web!$C$1:$C$505)),""),ROW(Create_TC_Web!C741))),"")," ",""),"-",""),"_","")</f>
        <v/>
      </c>
      <c r="P743" s="17" t="str" cm="1">
        <f t="array" ref="P743">IFERROR(INDEX(Create_TC_Web!S$1:S$500,SMALL(IF(Create_TC_Web!$C$1:$C$500&lt;&gt;"",MATCH(ROW(Create_TC_Web!$C$1:$C$500),ROW(Create_TC_Web!$C$1:$C$500)),""),ROW(Create_TC_Web!Q719))),"")</f>
        <v/>
      </c>
    </row>
    <row r="744" spans="1:16">
      <c r="A744" t="str" cm="1">
        <f t="array" ref="A744">IFERROR(INDEX(Create_TC_Web!D$1:D$1510,SMALL(IF(Create_TC_Web!$C$1:$C$1510&lt;&gt;"",MATCH(ROW(Create_TC_Web!$C$1:$C$1510),ROW(Create_TC_Web!$C$1:$C$1510)),""),ROW(Create_TC_Web!B769))),"")</f>
        <v/>
      </c>
      <c r="B744" t="str" cm="1">
        <f t="array" ref="B744">SUBSTITUTE(SUBSTITUTE(SUBSTITUTE(IFERROR(INDEX(Create_TC_Web!E$1:E$505,SMALL(IF(Create_TC_Web!$C$1:$C$505&lt;&gt;"",MATCH(ROW(Create_TC_Web!$C$1:$C$505),ROW(Create_TC_Web!$C$1:$C$505)),""),ROW(Create_TC_Web!C742))),"")," ",""),"-",""),"_","")</f>
        <v/>
      </c>
      <c r="P744" s="17" t="str" cm="1">
        <f t="array" ref="P744">IFERROR(INDEX(Create_TC_Web!S$1:S$500,SMALL(IF(Create_TC_Web!$C$1:$C$500&lt;&gt;"",MATCH(ROW(Create_TC_Web!$C$1:$C$500),ROW(Create_TC_Web!$C$1:$C$500)),""),ROW(Create_TC_Web!Q720))),"")</f>
        <v/>
      </c>
    </row>
    <row r="745" spans="1:16">
      <c r="A745" t="str" cm="1">
        <f t="array" ref="A745">IFERROR(INDEX(Create_TC_Web!D$1:D$1510,SMALL(IF(Create_TC_Web!$C$1:$C$1510&lt;&gt;"",MATCH(ROW(Create_TC_Web!$C$1:$C$1510),ROW(Create_TC_Web!$C$1:$C$1510)),""),ROW(Create_TC_Web!B770))),"")</f>
        <v/>
      </c>
      <c r="B745" t="str" cm="1">
        <f t="array" ref="B745">SUBSTITUTE(SUBSTITUTE(SUBSTITUTE(IFERROR(INDEX(Create_TC_Web!E$1:E$505,SMALL(IF(Create_TC_Web!$C$1:$C$505&lt;&gt;"",MATCH(ROW(Create_TC_Web!$C$1:$C$505),ROW(Create_TC_Web!$C$1:$C$505)),""),ROW(Create_TC_Web!C743))),"")," ",""),"-",""),"_","")</f>
        <v/>
      </c>
      <c r="P745" s="17" t="str" cm="1">
        <f t="array" ref="P745">IFERROR(INDEX(Create_TC_Web!S$1:S$500,SMALL(IF(Create_TC_Web!$C$1:$C$500&lt;&gt;"",MATCH(ROW(Create_TC_Web!$C$1:$C$500),ROW(Create_TC_Web!$C$1:$C$500)),""),ROW(Create_TC_Web!Q721))),"")</f>
        <v/>
      </c>
    </row>
    <row r="746" spans="1:16">
      <c r="A746" t="str" cm="1">
        <f t="array" ref="A746">IFERROR(INDEX(Create_TC_Web!D$1:D$1510,SMALL(IF(Create_TC_Web!$C$1:$C$1510&lt;&gt;"",MATCH(ROW(Create_TC_Web!$C$1:$C$1510),ROW(Create_TC_Web!$C$1:$C$1510)),""),ROW(Create_TC_Web!B771))),"")</f>
        <v/>
      </c>
      <c r="B746" t="str" cm="1">
        <f t="array" ref="B746">SUBSTITUTE(SUBSTITUTE(SUBSTITUTE(IFERROR(INDEX(Create_TC_Web!E$1:E$505,SMALL(IF(Create_TC_Web!$C$1:$C$505&lt;&gt;"",MATCH(ROW(Create_TC_Web!$C$1:$C$505),ROW(Create_TC_Web!$C$1:$C$505)),""),ROW(Create_TC_Web!C744))),"")," ",""),"-",""),"_","")</f>
        <v/>
      </c>
      <c r="P746" s="17" t="str" cm="1">
        <f t="array" ref="P746">IFERROR(INDEX(Create_TC_Web!S$1:S$500,SMALL(IF(Create_TC_Web!$C$1:$C$500&lt;&gt;"",MATCH(ROW(Create_TC_Web!$C$1:$C$500),ROW(Create_TC_Web!$C$1:$C$500)),""),ROW(Create_TC_Web!Q722))),"")</f>
        <v/>
      </c>
    </row>
    <row r="747" spans="1:16">
      <c r="A747" t="str" cm="1">
        <f t="array" ref="A747">IFERROR(INDEX(Create_TC_Web!D$1:D$1510,SMALL(IF(Create_TC_Web!$C$1:$C$1510&lt;&gt;"",MATCH(ROW(Create_TC_Web!$C$1:$C$1510),ROW(Create_TC_Web!$C$1:$C$1510)),""),ROW(Create_TC_Web!B772))),"")</f>
        <v/>
      </c>
      <c r="B747" t="str" cm="1">
        <f t="array" ref="B747">SUBSTITUTE(SUBSTITUTE(SUBSTITUTE(IFERROR(INDEX(Create_TC_Web!E$1:E$505,SMALL(IF(Create_TC_Web!$C$1:$C$505&lt;&gt;"",MATCH(ROW(Create_TC_Web!$C$1:$C$505),ROW(Create_TC_Web!$C$1:$C$505)),""),ROW(Create_TC_Web!C745))),"")," ",""),"-",""),"_","")</f>
        <v/>
      </c>
      <c r="P747" s="17" t="str" cm="1">
        <f t="array" ref="P747">IFERROR(INDEX(Create_TC_Web!S$1:S$500,SMALL(IF(Create_TC_Web!$C$1:$C$500&lt;&gt;"",MATCH(ROW(Create_TC_Web!$C$1:$C$500),ROW(Create_TC_Web!$C$1:$C$500)),""),ROW(Create_TC_Web!Q723))),"")</f>
        <v/>
      </c>
    </row>
    <row r="748" spans="1:16">
      <c r="A748" t="str" cm="1">
        <f t="array" ref="A748">IFERROR(INDEX(Create_TC_Web!D$1:D$1510,SMALL(IF(Create_TC_Web!$C$1:$C$1510&lt;&gt;"",MATCH(ROW(Create_TC_Web!$C$1:$C$1510),ROW(Create_TC_Web!$C$1:$C$1510)),""),ROW(Create_TC_Web!B773))),"")</f>
        <v/>
      </c>
      <c r="B748" t="str" cm="1">
        <f t="array" ref="B748">SUBSTITUTE(SUBSTITUTE(SUBSTITUTE(IFERROR(INDEX(Create_TC_Web!E$1:E$505,SMALL(IF(Create_TC_Web!$C$1:$C$505&lt;&gt;"",MATCH(ROW(Create_TC_Web!$C$1:$C$505),ROW(Create_TC_Web!$C$1:$C$505)),""),ROW(Create_TC_Web!C746))),"")," ",""),"-",""),"_","")</f>
        <v/>
      </c>
      <c r="P748" s="17" t="str" cm="1">
        <f t="array" ref="P748">IFERROR(INDEX(Create_TC_Web!S$1:S$500,SMALL(IF(Create_TC_Web!$C$1:$C$500&lt;&gt;"",MATCH(ROW(Create_TC_Web!$C$1:$C$500),ROW(Create_TC_Web!$C$1:$C$500)),""),ROW(Create_TC_Web!Q724))),"")</f>
        <v/>
      </c>
    </row>
    <row r="749" spans="1:16">
      <c r="A749" t="str" cm="1">
        <f t="array" ref="A749">IFERROR(INDEX(Create_TC_Web!D$1:D$1510,SMALL(IF(Create_TC_Web!$C$1:$C$1510&lt;&gt;"",MATCH(ROW(Create_TC_Web!$C$1:$C$1510),ROW(Create_TC_Web!$C$1:$C$1510)),""),ROW(Create_TC_Web!B774))),"")</f>
        <v/>
      </c>
      <c r="B749" t="str" cm="1">
        <f t="array" ref="B749">SUBSTITUTE(SUBSTITUTE(SUBSTITUTE(IFERROR(INDEX(Create_TC_Web!E$1:E$505,SMALL(IF(Create_TC_Web!$C$1:$C$505&lt;&gt;"",MATCH(ROW(Create_TC_Web!$C$1:$C$505),ROW(Create_TC_Web!$C$1:$C$505)),""),ROW(Create_TC_Web!C747))),"")," ",""),"-",""),"_","")</f>
        <v/>
      </c>
      <c r="P749" s="17" t="str" cm="1">
        <f t="array" ref="P749">IFERROR(INDEX(Create_TC_Web!S$1:S$500,SMALL(IF(Create_TC_Web!$C$1:$C$500&lt;&gt;"",MATCH(ROW(Create_TC_Web!$C$1:$C$500),ROW(Create_TC_Web!$C$1:$C$500)),""),ROW(Create_TC_Web!Q725))),"")</f>
        <v/>
      </c>
    </row>
    <row r="750" spans="1:16">
      <c r="A750" t="str" cm="1">
        <f t="array" ref="A750">IFERROR(INDEX(Create_TC_Web!D$1:D$1510,SMALL(IF(Create_TC_Web!$C$1:$C$1510&lt;&gt;"",MATCH(ROW(Create_TC_Web!$C$1:$C$1510),ROW(Create_TC_Web!$C$1:$C$1510)),""),ROW(Create_TC_Web!B775))),"")</f>
        <v/>
      </c>
      <c r="B750" t="str" cm="1">
        <f t="array" ref="B750">SUBSTITUTE(SUBSTITUTE(SUBSTITUTE(IFERROR(INDEX(Create_TC_Web!E$1:E$505,SMALL(IF(Create_TC_Web!$C$1:$C$505&lt;&gt;"",MATCH(ROW(Create_TC_Web!$C$1:$C$505),ROW(Create_TC_Web!$C$1:$C$505)),""),ROW(Create_TC_Web!C748))),"")," ",""),"-",""),"_","")</f>
        <v/>
      </c>
      <c r="P750" s="17" t="str" cm="1">
        <f t="array" ref="P750">IFERROR(INDEX(Create_TC_Web!S$1:S$500,SMALL(IF(Create_TC_Web!$C$1:$C$500&lt;&gt;"",MATCH(ROW(Create_TC_Web!$C$1:$C$500),ROW(Create_TC_Web!$C$1:$C$500)),""),ROW(Create_TC_Web!Q726))),"")</f>
        <v/>
      </c>
    </row>
    <row r="751" spans="1:16">
      <c r="A751" t="str" cm="1">
        <f t="array" ref="A751">IFERROR(INDEX(Create_TC_Web!D$1:D$1510,SMALL(IF(Create_TC_Web!$C$1:$C$1510&lt;&gt;"",MATCH(ROW(Create_TC_Web!$C$1:$C$1510),ROW(Create_TC_Web!$C$1:$C$1510)),""),ROW(Create_TC_Web!B776))),"")</f>
        <v/>
      </c>
      <c r="B751" t="str" cm="1">
        <f t="array" ref="B751">SUBSTITUTE(SUBSTITUTE(SUBSTITUTE(IFERROR(INDEX(Create_TC_Web!E$1:E$505,SMALL(IF(Create_TC_Web!$C$1:$C$505&lt;&gt;"",MATCH(ROW(Create_TC_Web!$C$1:$C$505),ROW(Create_TC_Web!$C$1:$C$505)),""),ROW(Create_TC_Web!C749))),"")," ",""),"-",""),"_","")</f>
        <v/>
      </c>
      <c r="P751" s="17" t="str" cm="1">
        <f t="array" ref="P751">IFERROR(INDEX(Create_TC_Web!S$1:S$500,SMALL(IF(Create_TC_Web!$C$1:$C$500&lt;&gt;"",MATCH(ROW(Create_TC_Web!$C$1:$C$500),ROW(Create_TC_Web!$C$1:$C$500)),""),ROW(Create_TC_Web!Q727))),"")</f>
        <v/>
      </c>
    </row>
    <row r="752" spans="1:16">
      <c r="A752" t="str" cm="1">
        <f t="array" ref="A752">IFERROR(INDEX(Create_TC_Web!D$1:D$1510,SMALL(IF(Create_TC_Web!$C$1:$C$1510&lt;&gt;"",MATCH(ROW(Create_TC_Web!$C$1:$C$1510),ROW(Create_TC_Web!$C$1:$C$1510)),""),ROW(Create_TC_Web!B777))),"")</f>
        <v/>
      </c>
      <c r="B752" t="str" cm="1">
        <f t="array" ref="B752">SUBSTITUTE(SUBSTITUTE(SUBSTITUTE(IFERROR(INDEX(Create_TC_Web!E$1:E$505,SMALL(IF(Create_TC_Web!$C$1:$C$505&lt;&gt;"",MATCH(ROW(Create_TC_Web!$C$1:$C$505),ROW(Create_TC_Web!$C$1:$C$505)),""),ROW(Create_TC_Web!C750))),"")," ",""),"-",""),"_","")</f>
        <v/>
      </c>
      <c r="P752" s="17" t="str" cm="1">
        <f t="array" ref="P752">IFERROR(INDEX(Create_TC_Web!S$1:S$500,SMALL(IF(Create_TC_Web!$C$1:$C$500&lt;&gt;"",MATCH(ROW(Create_TC_Web!$C$1:$C$500),ROW(Create_TC_Web!$C$1:$C$500)),""),ROW(Create_TC_Web!Q728))),"")</f>
        <v/>
      </c>
    </row>
    <row r="753" spans="1:16">
      <c r="A753" t="str" cm="1">
        <f t="array" ref="A753">IFERROR(INDEX(Create_TC_Web!D$1:D$1510,SMALL(IF(Create_TC_Web!$C$1:$C$1510&lt;&gt;"",MATCH(ROW(Create_TC_Web!$C$1:$C$1510),ROW(Create_TC_Web!$C$1:$C$1510)),""),ROW(Create_TC_Web!B778))),"")</f>
        <v/>
      </c>
      <c r="B753" t="str" cm="1">
        <f t="array" ref="B753">SUBSTITUTE(SUBSTITUTE(SUBSTITUTE(IFERROR(INDEX(Create_TC_Web!E$1:E$505,SMALL(IF(Create_TC_Web!$C$1:$C$505&lt;&gt;"",MATCH(ROW(Create_TC_Web!$C$1:$C$505),ROW(Create_TC_Web!$C$1:$C$505)),""),ROW(Create_TC_Web!C751))),"")," ",""),"-",""),"_","")</f>
        <v/>
      </c>
      <c r="P753" s="17" t="str" cm="1">
        <f t="array" ref="P753">IFERROR(INDEX(Create_TC_Web!S$1:S$500,SMALL(IF(Create_TC_Web!$C$1:$C$500&lt;&gt;"",MATCH(ROW(Create_TC_Web!$C$1:$C$500),ROW(Create_TC_Web!$C$1:$C$500)),""),ROW(Create_TC_Web!Q729))),"")</f>
        <v/>
      </c>
    </row>
    <row r="754" spans="1:16">
      <c r="A754" t="str" cm="1">
        <f t="array" ref="A754">IFERROR(INDEX(Create_TC_Web!D$1:D$1510,SMALL(IF(Create_TC_Web!$C$1:$C$1510&lt;&gt;"",MATCH(ROW(Create_TC_Web!$C$1:$C$1510),ROW(Create_TC_Web!$C$1:$C$1510)),""),ROW(Create_TC_Web!B779))),"")</f>
        <v/>
      </c>
      <c r="B754" t="str" cm="1">
        <f t="array" ref="B754">SUBSTITUTE(SUBSTITUTE(SUBSTITUTE(IFERROR(INDEX(Create_TC_Web!E$1:E$505,SMALL(IF(Create_TC_Web!$C$1:$C$505&lt;&gt;"",MATCH(ROW(Create_TC_Web!$C$1:$C$505),ROW(Create_TC_Web!$C$1:$C$505)),""),ROW(Create_TC_Web!C752))),"")," ",""),"-",""),"_","")</f>
        <v/>
      </c>
      <c r="P754" s="17" t="str" cm="1">
        <f t="array" ref="P754">IFERROR(INDEX(Create_TC_Web!S$1:S$500,SMALL(IF(Create_TC_Web!$C$1:$C$500&lt;&gt;"",MATCH(ROW(Create_TC_Web!$C$1:$C$500),ROW(Create_TC_Web!$C$1:$C$500)),""),ROW(Create_TC_Web!Q730))),"")</f>
        <v/>
      </c>
    </row>
    <row r="755" spans="1:16">
      <c r="A755" t="str" cm="1">
        <f t="array" ref="A755">IFERROR(INDEX(Create_TC_Web!D$1:D$1510,SMALL(IF(Create_TC_Web!$C$1:$C$1510&lt;&gt;"",MATCH(ROW(Create_TC_Web!$C$1:$C$1510),ROW(Create_TC_Web!$C$1:$C$1510)),""),ROW(Create_TC_Web!B780))),"")</f>
        <v/>
      </c>
      <c r="B755" t="str" cm="1">
        <f t="array" ref="B755">SUBSTITUTE(SUBSTITUTE(SUBSTITUTE(IFERROR(INDEX(Create_TC_Web!E$1:E$505,SMALL(IF(Create_TC_Web!$C$1:$C$505&lt;&gt;"",MATCH(ROW(Create_TC_Web!$C$1:$C$505),ROW(Create_TC_Web!$C$1:$C$505)),""),ROW(Create_TC_Web!C753))),"")," ",""),"-",""),"_","")</f>
        <v/>
      </c>
      <c r="P755" s="17" t="str" cm="1">
        <f t="array" ref="P755">IFERROR(INDEX(Create_TC_Web!S$1:S$500,SMALL(IF(Create_TC_Web!$C$1:$C$500&lt;&gt;"",MATCH(ROW(Create_TC_Web!$C$1:$C$500),ROW(Create_TC_Web!$C$1:$C$500)),""),ROW(Create_TC_Web!Q731))),"")</f>
        <v/>
      </c>
    </row>
    <row r="756" spans="1:16">
      <c r="A756" t="str" cm="1">
        <f t="array" ref="A756">IFERROR(INDEX(Create_TC_Web!D$1:D$1510,SMALL(IF(Create_TC_Web!$C$1:$C$1510&lt;&gt;"",MATCH(ROW(Create_TC_Web!$C$1:$C$1510),ROW(Create_TC_Web!$C$1:$C$1510)),""),ROW(Create_TC_Web!B781))),"")</f>
        <v/>
      </c>
      <c r="B756" t="str" cm="1">
        <f t="array" ref="B756">SUBSTITUTE(SUBSTITUTE(SUBSTITUTE(IFERROR(INDEX(Create_TC_Web!E$1:E$505,SMALL(IF(Create_TC_Web!$C$1:$C$505&lt;&gt;"",MATCH(ROW(Create_TC_Web!$C$1:$C$505),ROW(Create_TC_Web!$C$1:$C$505)),""),ROW(Create_TC_Web!C754))),"")," ",""),"-",""),"_","")</f>
        <v/>
      </c>
      <c r="P756" s="17" t="str" cm="1">
        <f t="array" ref="P756">IFERROR(INDEX(Create_TC_Web!S$1:S$500,SMALL(IF(Create_TC_Web!$C$1:$C$500&lt;&gt;"",MATCH(ROW(Create_TC_Web!$C$1:$C$500),ROW(Create_TC_Web!$C$1:$C$500)),""),ROW(Create_TC_Web!Q732))),"")</f>
        <v/>
      </c>
    </row>
    <row r="757" spans="1:16">
      <c r="A757" t="str" cm="1">
        <f t="array" ref="A757">IFERROR(INDEX(Create_TC_Web!D$1:D$1510,SMALL(IF(Create_TC_Web!$C$1:$C$1510&lt;&gt;"",MATCH(ROW(Create_TC_Web!$C$1:$C$1510),ROW(Create_TC_Web!$C$1:$C$1510)),""),ROW(Create_TC_Web!B782))),"")</f>
        <v/>
      </c>
      <c r="B757" t="str" cm="1">
        <f t="array" ref="B757">SUBSTITUTE(SUBSTITUTE(SUBSTITUTE(IFERROR(INDEX(Create_TC_Web!E$1:E$505,SMALL(IF(Create_TC_Web!$C$1:$C$505&lt;&gt;"",MATCH(ROW(Create_TC_Web!$C$1:$C$505),ROW(Create_TC_Web!$C$1:$C$505)),""),ROW(Create_TC_Web!C755))),"")," ",""),"-",""),"_","")</f>
        <v/>
      </c>
      <c r="P757" s="17" t="str" cm="1">
        <f t="array" ref="P757">IFERROR(INDEX(Create_TC_Web!S$1:S$500,SMALL(IF(Create_TC_Web!$C$1:$C$500&lt;&gt;"",MATCH(ROW(Create_TC_Web!$C$1:$C$500),ROW(Create_TC_Web!$C$1:$C$500)),""),ROW(Create_TC_Web!Q733))),"")</f>
        <v/>
      </c>
    </row>
    <row r="758" spans="1:16">
      <c r="A758" t="str" cm="1">
        <f t="array" ref="A758">IFERROR(INDEX(Create_TC_Web!D$1:D$1510,SMALL(IF(Create_TC_Web!$C$1:$C$1510&lt;&gt;"",MATCH(ROW(Create_TC_Web!$C$1:$C$1510),ROW(Create_TC_Web!$C$1:$C$1510)),""),ROW(Create_TC_Web!B783))),"")</f>
        <v/>
      </c>
      <c r="B758" t="str" cm="1">
        <f t="array" ref="B758">SUBSTITUTE(SUBSTITUTE(SUBSTITUTE(IFERROR(INDEX(Create_TC_Web!E$1:E$505,SMALL(IF(Create_TC_Web!$C$1:$C$505&lt;&gt;"",MATCH(ROW(Create_TC_Web!$C$1:$C$505),ROW(Create_TC_Web!$C$1:$C$505)),""),ROW(Create_TC_Web!C756))),"")," ",""),"-",""),"_","")</f>
        <v/>
      </c>
      <c r="P758" s="17" t="str" cm="1">
        <f t="array" ref="P758">IFERROR(INDEX(Create_TC_Web!S$1:S$500,SMALL(IF(Create_TC_Web!$C$1:$C$500&lt;&gt;"",MATCH(ROW(Create_TC_Web!$C$1:$C$500),ROW(Create_TC_Web!$C$1:$C$500)),""),ROW(Create_TC_Web!Q734))),"")</f>
        <v/>
      </c>
    </row>
    <row r="759" spans="1:16">
      <c r="A759" t="str" cm="1">
        <f t="array" ref="A759">IFERROR(INDEX(Create_TC_Web!D$1:D$1510,SMALL(IF(Create_TC_Web!$C$1:$C$1510&lt;&gt;"",MATCH(ROW(Create_TC_Web!$C$1:$C$1510),ROW(Create_TC_Web!$C$1:$C$1510)),""),ROW(Create_TC_Web!B784))),"")</f>
        <v/>
      </c>
      <c r="B759" t="str" cm="1">
        <f t="array" ref="B759">SUBSTITUTE(SUBSTITUTE(SUBSTITUTE(IFERROR(INDEX(Create_TC_Web!E$1:E$505,SMALL(IF(Create_TC_Web!$C$1:$C$505&lt;&gt;"",MATCH(ROW(Create_TC_Web!$C$1:$C$505),ROW(Create_TC_Web!$C$1:$C$505)),""),ROW(Create_TC_Web!C757))),"")," ",""),"-",""),"_","")</f>
        <v/>
      </c>
      <c r="P759" s="17" t="str" cm="1">
        <f t="array" ref="P759">IFERROR(INDEX(Create_TC_Web!S$1:S$500,SMALL(IF(Create_TC_Web!$C$1:$C$500&lt;&gt;"",MATCH(ROW(Create_TC_Web!$C$1:$C$500),ROW(Create_TC_Web!$C$1:$C$500)),""),ROW(Create_TC_Web!Q735))),"")</f>
        <v/>
      </c>
    </row>
    <row r="760" spans="1:16">
      <c r="A760" t="str" cm="1">
        <f t="array" ref="A760">IFERROR(INDEX(Create_TC_Web!D$1:D$1510,SMALL(IF(Create_TC_Web!$C$1:$C$1510&lt;&gt;"",MATCH(ROW(Create_TC_Web!$C$1:$C$1510),ROW(Create_TC_Web!$C$1:$C$1510)),""),ROW(Create_TC_Web!B785))),"")</f>
        <v/>
      </c>
      <c r="B760" t="str" cm="1">
        <f t="array" ref="B760">SUBSTITUTE(SUBSTITUTE(SUBSTITUTE(IFERROR(INDEX(Create_TC_Web!E$1:E$505,SMALL(IF(Create_TC_Web!$C$1:$C$505&lt;&gt;"",MATCH(ROW(Create_TC_Web!$C$1:$C$505),ROW(Create_TC_Web!$C$1:$C$505)),""),ROW(Create_TC_Web!C758))),"")," ",""),"-",""),"_","")</f>
        <v/>
      </c>
      <c r="P760" s="17" t="str" cm="1">
        <f t="array" ref="P760">IFERROR(INDEX(Create_TC_Web!S$1:S$500,SMALL(IF(Create_TC_Web!$C$1:$C$500&lt;&gt;"",MATCH(ROW(Create_TC_Web!$C$1:$C$500),ROW(Create_TC_Web!$C$1:$C$500)),""),ROW(Create_TC_Web!Q736))),"")</f>
        <v/>
      </c>
    </row>
    <row r="761" spans="1:16">
      <c r="A761" t="str" cm="1">
        <f t="array" ref="A761">IFERROR(INDEX(Create_TC_Web!D$1:D$1510,SMALL(IF(Create_TC_Web!$C$1:$C$1510&lt;&gt;"",MATCH(ROW(Create_TC_Web!$C$1:$C$1510),ROW(Create_TC_Web!$C$1:$C$1510)),""),ROW(Create_TC_Web!B786))),"")</f>
        <v/>
      </c>
      <c r="B761" t="str" cm="1">
        <f t="array" ref="B761">SUBSTITUTE(SUBSTITUTE(SUBSTITUTE(IFERROR(INDEX(Create_TC_Web!E$1:E$505,SMALL(IF(Create_TC_Web!$C$1:$C$505&lt;&gt;"",MATCH(ROW(Create_TC_Web!$C$1:$C$505),ROW(Create_TC_Web!$C$1:$C$505)),""),ROW(Create_TC_Web!C759))),"")," ",""),"-",""),"_","")</f>
        <v/>
      </c>
      <c r="P761" s="17" t="str" cm="1">
        <f t="array" ref="P761">IFERROR(INDEX(Create_TC_Web!S$1:S$500,SMALL(IF(Create_TC_Web!$C$1:$C$500&lt;&gt;"",MATCH(ROW(Create_TC_Web!$C$1:$C$500),ROW(Create_TC_Web!$C$1:$C$500)),""),ROW(Create_TC_Web!Q737))),"")</f>
        <v/>
      </c>
    </row>
    <row r="762" spans="1:16">
      <c r="A762" t="str" cm="1">
        <f t="array" ref="A762">IFERROR(INDEX(Create_TC_Web!D$1:D$1510,SMALL(IF(Create_TC_Web!$C$1:$C$1510&lt;&gt;"",MATCH(ROW(Create_TC_Web!$C$1:$C$1510),ROW(Create_TC_Web!$C$1:$C$1510)),""),ROW(Create_TC_Web!B787))),"")</f>
        <v/>
      </c>
      <c r="B762" t="str" cm="1">
        <f t="array" ref="B762">SUBSTITUTE(SUBSTITUTE(SUBSTITUTE(IFERROR(INDEX(Create_TC_Web!E$1:E$505,SMALL(IF(Create_TC_Web!$C$1:$C$505&lt;&gt;"",MATCH(ROW(Create_TC_Web!$C$1:$C$505),ROW(Create_TC_Web!$C$1:$C$505)),""),ROW(Create_TC_Web!C760))),"")," ",""),"-",""),"_","")</f>
        <v/>
      </c>
      <c r="P762" s="17" t="str" cm="1">
        <f t="array" ref="P762">IFERROR(INDEX(Create_TC_Web!S$1:S$500,SMALL(IF(Create_TC_Web!$C$1:$C$500&lt;&gt;"",MATCH(ROW(Create_TC_Web!$C$1:$C$500),ROW(Create_TC_Web!$C$1:$C$500)),""),ROW(Create_TC_Web!Q738))),"")</f>
        <v/>
      </c>
    </row>
    <row r="763" spans="1:16">
      <c r="A763" t="str" cm="1">
        <f t="array" ref="A763">IFERROR(INDEX(Create_TC_Web!D$1:D$1510,SMALL(IF(Create_TC_Web!$C$1:$C$1510&lt;&gt;"",MATCH(ROW(Create_TC_Web!$C$1:$C$1510),ROW(Create_TC_Web!$C$1:$C$1510)),""),ROW(Create_TC_Web!B788))),"")</f>
        <v/>
      </c>
      <c r="B763" t="str" cm="1">
        <f t="array" ref="B763">SUBSTITUTE(SUBSTITUTE(SUBSTITUTE(IFERROR(INDEX(Create_TC_Web!E$1:E$505,SMALL(IF(Create_TC_Web!$C$1:$C$505&lt;&gt;"",MATCH(ROW(Create_TC_Web!$C$1:$C$505),ROW(Create_TC_Web!$C$1:$C$505)),""),ROW(Create_TC_Web!C761))),"")," ",""),"-",""),"_","")</f>
        <v/>
      </c>
      <c r="P763" s="17" t="str" cm="1">
        <f t="array" ref="P763">IFERROR(INDEX(Create_TC_Web!S$1:S$500,SMALL(IF(Create_TC_Web!$C$1:$C$500&lt;&gt;"",MATCH(ROW(Create_TC_Web!$C$1:$C$500),ROW(Create_TC_Web!$C$1:$C$500)),""),ROW(Create_TC_Web!Q739))),"")</f>
        <v/>
      </c>
    </row>
    <row r="764" spans="1:16">
      <c r="A764" t="str" cm="1">
        <f t="array" ref="A764">IFERROR(INDEX(Create_TC_Web!D$1:D$1510,SMALL(IF(Create_TC_Web!$C$1:$C$1510&lt;&gt;"",MATCH(ROW(Create_TC_Web!$C$1:$C$1510),ROW(Create_TC_Web!$C$1:$C$1510)),""),ROW(Create_TC_Web!B789))),"")</f>
        <v/>
      </c>
      <c r="B764" t="str" cm="1">
        <f t="array" ref="B764">SUBSTITUTE(SUBSTITUTE(SUBSTITUTE(IFERROR(INDEX(Create_TC_Web!E$1:E$505,SMALL(IF(Create_TC_Web!$C$1:$C$505&lt;&gt;"",MATCH(ROW(Create_TC_Web!$C$1:$C$505),ROW(Create_TC_Web!$C$1:$C$505)),""),ROW(Create_TC_Web!C762))),"")," ",""),"-",""),"_","")</f>
        <v/>
      </c>
      <c r="P764" s="17" t="str" cm="1">
        <f t="array" ref="P764">IFERROR(INDEX(Create_TC_Web!S$1:S$500,SMALL(IF(Create_TC_Web!$C$1:$C$500&lt;&gt;"",MATCH(ROW(Create_TC_Web!$C$1:$C$500),ROW(Create_TC_Web!$C$1:$C$500)),""),ROW(Create_TC_Web!Q740))),"")</f>
        <v/>
      </c>
    </row>
    <row r="765" spans="1:16">
      <c r="A765" t="str" cm="1">
        <f t="array" ref="A765">IFERROR(INDEX(Create_TC_Web!D$1:D$1510,SMALL(IF(Create_TC_Web!$C$1:$C$1510&lt;&gt;"",MATCH(ROW(Create_TC_Web!$C$1:$C$1510),ROW(Create_TC_Web!$C$1:$C$1510)),""),ROW(Create_TC_Web!B790))),"")</f>
        <v/>
      </c>
      <c r="B765" t="str" cm="1">
        <f t="array" ref="B765">SUBSTITUTE(SUBSTITUTE(SUBSTITUTE(IFERROR(INDEX(Create_TC_Web!E$1:E$505,SMALL(IF(Create_TC_Web!$C$1:$C$505&lt;&gt;"",MATCH(ROW(Create_TC_Web!$C$1:$C$505),ROW(Create_TC_Web!$C$1:$C$505)),""),ROW(Create_TC_Web!C763))),"")," ",""),"-",""),"_","")</f>
        <v/>
      </c>
      <c r="P765" s="17" t="str" cm="1">
        <f t="array" ref="P765">IFERROR(INDEX(Create_TC_Web!S$1:S$500,SMALL(IF(Create_TC_Web!$C$1:$C$500&lt;&gt;"",MATCH(ROW(Create_TC_Web!$C$1:$C$500),ROW(Create_TC_Web!$C$1:$C$500)),""),ROW(Create_TC_Web!Q741))),"")</f>
        <v/>
      </c>
    </row>
    <row r="766" spans="1:16">
      <c r="A766" t="str" cm="1">
        <f t="array" ref="A766">IFERROR(INDEX(Create_TC_Web!D$1:D$1510,SMALL(IF(Create_TC_Web!$C$1:$C$1510&lt;&gt;"",MATCH(ROW(Create_TC_Web!$C$1:$C$1510),ROW(Create_TC_Web!$C$1:$C$1510)),""),ROW(Create_TC_Web!B791))),"")</f>
        <v/>
      </c>
      <c r="B766" t="str" cm="1">
        <f t="array" ref="B766">SUBSTITUTE(SUBSTITUTE(SUBSTITUTE(IFERROR(INDEX(Create_TC_Web!E$1:E$505,SMALL(IF(Create_TC_Web!$C$1:$C$505&lt;&gt;"",MATCH(ROW(Create_TC_Web!$C$1:$C$505),ROW(Create_TC_Web!$C$1:$C$505)),""),ROW(Create_TC_Web!C764))),"")," ",""),"-",""),"_","")</f>
        <v/>
      </c>
      <c r="P766" s="17" t="str" cm="1">
        <f t="array" ref="P766">IFERROR(INDEX(Create_TC_Web!S$1:S$500,SMALL(IF(Create_TC_Web!$C$1:$C$500&lt;&gt;"",MATCH(ROW(Create_TC_Web!$C$1:$C$500),ROW(Create_TC_Web!$C$1:$C$500)),""),ROW(Create_TC_Web!Q742))),"")</f>
        <v/>
      </c>
    </row>
    <row r="767" spans="1:16">
      <c r="A767" t="str" cm="1">
        <f t="array" ref="A767">IFERROR(INDEX(Create_TC_Web!D$1:D$1510,SMALL(IF(Create_TC_Web!$C$1:$C$1510&lt;&gt;"",MATCH(ROW(Create_TC_Web!$C$1:$C$1510),ROW(Create_TC_Web!$C$1:$C$1510)),""),ROW(Create_TC_Web!B792))),"")</f>
        <v/>
      </c>
      <c r="B767" t="str" cm="1">
        <f t="array" ref="B767">SUBSTITUTE(SUBSTITUTE(SUBSTITUTE(IFERROR(INDEX(Create_TC_Web!E$1:E$505,SMALL(IF(Create_TC_Web!$C$1:$C$505&lt;&gt;"",MATCH(ROW(Create_TC_Web!$C$1:$C$505),ROW(Create_TC_Web!$C$1:$C$505)),""),ROW(Create_TC_Web!C765))),"")," ",""),"-",""),"_","")</f>
        <v/>
      </c>
      <c r="P767" s="17" t="str" cm="1">
        <f t="array" ref="P767">IFERROR(INDEX(Create_TC_Web!S$1:S$500,SMALL(IF(Create_TC_Web!$C$1:$C$500&lt;&gt;"",MATCH(ROW(Create_TC_Web!$C$1:$C$500),ROW(Create_TC_Web!$C$1:$C$500)),""),ROW(Create_TC_Web!Q743))),"")</f>
        <v/>
      </c>
    </row>
    <row r="768" spans="1:16">
      <c r="A768" t="str" cm="1">
        <f t="array" ref="A768">IFERROR(INDEX(Create_TC_Web!D$1:D$1510,SMALL(IF(Create_TC_Web!$C$1:$C$1510&lt;&gt;"",MATCH(ROW(Create_TC_Web!$C$1:$C$1510),ROW(Create_TC_Web!$C$1:$C$1510)),""),ROW(Create_TC_Web!B793))),"")</f>
        <v/>
      </c>
      <c r="B768" t="str" cm="1">
        <f t="array" ref="B768">SUBSTITUTE(SUBSTITUTE(SUBSTITUTE(IFERROR(INDEX(Create_TC_Web!E$1:E$505,SMALL(IF(Create_TC_Web!$C$1:$C$505&lt;&gt;"",MATCH(ROW(Create_TC_Web!$C$1:$C$505),ROW(Create_TC_Web!$C$1:$C$505)),""),ROW(Create_TC_Web!C766))),"")," ",""),"-",""),"_","")</f>
        <v/>
      </c>
      <c r="P768" s="17" t="str" cm="1">
        <f t="array" ref="P768">IFERROR(INDEX(Create_TC_Web!S$1:S$500,SMALL(IF(Create_TC_Web!$C$1:$C$500&lt;&gt;"",MATCH(ROW(Create_TC_Web!$C$1:$C$500),ROW(Create_TC_Web!$C$1:$C$500)),""),ROW(Create_TC_Web!Q744))),"")</f>
        <v/>
      </c>
    </row>
    <row r="769" spans="1:16">
      <c r="A769" t="str" cm="1">
        <f t="array" ref="A769">IFERROR(INDEX(Create_TC_Web!D$1:D$1510,SMALL(IF(Create_TC_Web!$C$1:$C$1510&lt;&gt;"",MATCH(ROW(Create_TC_Web!$C$1:$C$1510),ROW(Create_TC_Web!$C$1:$C$1510)),""),ROW(Create_TC_Web!B794))),"")</f>
        <v/>
      </c>
      <c r="B769" t="str" cm="1">
        <f t="array" ref="B769">SUBSTITUTE(SUBSTITUTE(SUBSTITUTE(IFERROR(INDEX(Create_TC_Web!E$1:E$505,SMALL(IF(Create_TC_Web!$C$1:$C$505&lt;&gt;"",MATCH(ROW(Create_TC_Web!$C$1:$C$505),ROW(Create_TC_Web!$C$1:$C$505)),""),ROW(Create_TC_Web!C767))),"")," ",""),"-",""),"_","")</f>
        <v/>
      </c>
      <c r="P769" s="17" t="str" cm="1">
        <f t="array" ref="P769">IFERROR(INDEX(Create_TC_Web!S$1:S$500,SMALL(IF(Create_TC_Web!$C$1:$C$500&lt;&gt;"",MATCH(ROW(Create_TC_Web!$C$1:$C$500),ROW(Create_TC_Web!$C$1:$C$500)),""),ROW(Create_TC_Web!Q745))),"")</f>
        <v/>
      </c>
    </row>
    <row r="770" spans="1:16">
      <c r="A770" t="str" cm="1">
        <f t="array" ref="A770">IFERROR(INDEX(Create_TC_Web!D$1:D$1510,SMALL(IF(Create_TC_Web!$C$1:$C$1510&lt;&gt;"",MATCH(ROW(Create_TC_Web!$C$1:$C$1510),ROW(Create_TC_Web!$C$1:$C$1510)),""),ROW(Create_TC_Web!B795))),"")</f>
        <v/>
      </c>
      <c r="B770" t="str" cm="1">
        <f t="array" ref="B770">SUBSTITUTE(SUBSTITUTE(SUBSTITUTE(IFERROR(INDEX(Create_TC_Web!E$1:E$505,SMALL(IF(Create_TC_Web!$C$1:$C$505&lt;&gt;"",MATCH(ROW(Create_TC_Web!$C$1:$C$505),ROW(Create_TC_Web!$C$1:$C$505)),""),ROW(Create_TC_Web!C768))),"")," ",""),"-",""),"_","")</f>
        <v/>
      </c>
      <c r="P770" s="17" t="str" cm="1">
        <f t="array" ref="P770">IFERROR(INDEX(Create_TC_Web!S$1:S$500,SMALL(IF(Create_TC_Web!$C$1:$C$500&lt;&gt;"",MATCH(ROW(Create_TC_Web!$C$1:$C$500),ROW(Create_TC_Web!$C$1:$C$500)),""),ROW(Create_TC_Web!Q746))),"")</f>
        <v/>
      </c>
    </row>
    <row r="771" spans="1:16">
      <c r="A771" t="str" cm="1">
        <f t="array" ref="A771">IFERROR(INDEX(Create_TC_Web!D$1:D$1510,SMALL(IF(Create_TC_Web!$C$1:$C$1510&lt;&gt;"",MATCH(ROW(Create_TC_Web!$C$1:$C$1510),ROW(Create_TC_Web!$C$1:$C$1510)),""),ROW(Create_TC_Web!B796))),"")</f>
        <v/>
      </c>
      <c r="B771" t="str" cm="1">
        <f t="array" ref="B771">SUBSTITUTE(SUBSTITUTE(SUBSTITUTE(IFERROR(INDEX(Create_TC_Web!E$1:E$505,SMALL(IF(Create_TC_Web!$C$1:$C$505&lt;&gt;"",MATCH(ROW(Create_TC_Web!$C$1:$C$505),ROW(Create_TC_Web!$C$1:$C$505)),""),ROW(Create_TC_Web!C769))),"")," ",""),"-",""),"_","")</f>
        <v/>
      </c>
      <c r="P771" s="17" t="str" cm="1">
        <f t="array" ref="P771">IFERROR(INDEX(Create_TC_Web!S$1:S$500,SMALL(IF(Create_TC_Web!$C$1:$C$500&lt;&gt;"",MATCH(ROW(Create_TC_Web!$C$1:$C$500),ROW(Create_TC_Web!$C$1:$C$500)),""),ROW(Create_TC_Web!Q747))),"")</f>
        <v/>
      </c>
    </row>
    <row r="772" spans="1:16">
      <c r="A772" t="str" cm="1">
        <f t="array" ref="A772">IFERROR(INDEX(Create_TC_Web!D$1:D$1510,SMALL(IF(Create_TC_Web!$C$1:$C$1510&lt;&gt;"",MATCH(ROW(Create_TC_Web!$C$1:$C$1510),ROW(Create_TC_Web!$C$1:$C$1510)),""),ROW(Create_TC_Web!B797))),"")</f>
        <v/>
      </c>
      <c r="B772" t="str" cm="1">
        <f t="array" ref="B772">SUBSTITUTE(SUBSTITUTE(SUBSTITUTE(IFERROR(INDEX(Create_TC_Web!E$1:E$505,SMALL(IF(Create_TC_Web!$C$1:$C$505&lt;&gt;"",MATCH(ROW(Create_TC_Web!$C$1:$C$505),ROW(Create_TC_Web!$C$1:$C$505)),""),ROW(Create_TC_Web!C770))),"")," ",""),"-",""),"_","")</f>
        <v/>
      </c>
      <c r="P772" s="17" t="str" cm="1">
        <f t="array" ref="P772">IFERROR(INDEX(Create_TC_Web!S$1:S$500,SMALL(IF(Create_TC_Web!$C$1:$C$500&lt;&gt;"",MATCH(ROW(Create_TC_Web!$C$1:$C$500),ROW(Create_TC_Web!$C$1:$C$500)),""),ROW(Create_TC_Web!Q748))),"")</f>
        <v/>
      </c>
    </row>
    <row r="773" spans="1:16">
      <c r="A773" t="str" cm="1">
        <f t="array" ref="A773">IFERROR(INDEX(Create_TC_Web!D$1:D$1510,SMALL(IF(Create_TC_Web!$C$1:$C$1510&lt;&gt;"",MATCH(ROW(Create_TC_Web!$C$1:$C$1510),ROW(Create_TC_Web!$C$1:$C$1510)),""),ROW(Create_TC_Web!B798))),"")</f>
        <v/>
      </c>
      <c r="B773" t="str" cm="1">
        <f t="array" ref="B773">SUBSTITUTE(SUBSTITUTE(SUBSTITUTE(IFERROR(INDEX(Create_TC_Web!E$1:E$505,SMALL(IF(Create_TC_Web!$C$1:$C$505&lt;&gt;"",MATCH(ROW(Create_TC_Web!$C$1:$C$505),ROW(Create_TC_Web!$C$1:$C$505)),""),ROW(Create_TC_Web!C771))),"")," ",""),"-",""),"_","")</f>
        <v/>
      </c>
      <c r="P773" s="17" t="str" cm="1">
        <f t="array" ref="P773">IFERROR(INDEX(Create_TC_Web!S$1:S$500,SMALL(IF(Create_TC_Web!$C$1:$C$500&lt;&gt;"",MATCH(ROW(Create_TC_Web!$C$1:$C$500),ROW(Create_TC_Web!$C$1:$C$500)),""),ROW(Create_TC_Web!Q749))),"")</f>
        <v/>
      </c>
    </row>
    <row r="774" spans="1:16">
      <c r="A774" t="str" cm="1">
        <f t="array" ref="A774">IFERROR(INDEX(Create_TC_Web!D$1:D$1510,SMALL(IF(Create_TC_Web!$C$1:$C$1510&lt;&gt;"",MATCH(ROW(Create_TC_Web!$C$1:$C$1510),ROW(Create_TC_Web!$C$1:$C$1510)),""),ROW(Create_TC_Web!B799))),"")</f>
        <v/>
      </c>
      <c r="B774" t="str" cm="1">
        <f t="array" ref="B774">SUBSTITUTE(SUBSTITUTE(SUBSTITUTE(IFERROR(INDEX(Create_TC_Web!E$1:E$505,SMALL(IF(Create_TC_Web!$C$1:$C$505&lt;&gt;"",MATCH(ROW(Create_TC_Web!$C$1:$C$505),ROW(Create_TC_Web!$C$1:$C$505)),""),ROW(Create_TC_Web!C772))),"")," ",""),"-",""),"_","")</f>
        <v/>
      </c>
      <c r="P774" s="17" t="str" cm="1">
        <f t="array" ref="P774">IFERROR(INDEX(Create_TC_Web!S$1:S$500,SMALL(IF(Create_TC_Web!$C$1:$C$500&lt;&gt;"",MATCH(ROW(Create_TC_Web!$C$1:$C$500),ROW(Create_TC_Web!$C$1:$C$500)),""),ROW(Create_TC_Web!Q750))),"")</f>
        <v/>
      </c>
    </row>
    <row r="775" spans="1:16">
      <c r="A775" t="str" cm="1">
        <f t="array" ref="A775">IFERROR(INDEX(Create_TC_Web!D$1:D$1510,SMALL(IF(Create_TC_Web!$C$1:$C$1510&lt;&gt;"",MATCH(ROW(Create_TC_Web!$C$1:$C$1510),ROW(Create_TC_Web!$C$1:$C$1510)),""),ROW(Create_TC_Web!B800))),"")</f>
        <v/>
      </c>
      <c r="B775" t="str" cm="1">
        <f t="array" ref="B775">SUBSTITUTE(SUBSTITUTE(SUBSTITUTE(IFERROR(INDEX(Create_TC_Web!E$1:E$505,SMALL(IF(Create_TC_Web!$C$1:$C$505&lt;&gt;"",MATCH(ROW(Create_TC_Web!$C$1:$C$505),ROW(Create_TC_Web!$C$1:$C$505)),""),ROW(Create_TC_Web!C773))),"")," ",""),"-",""),"_","")</f>
        <v/>
      </c>
      <c r="P775" s="17" t="str" cm="1">
        <f t="array" ref="P775">IFERROR(INDEX(Create_TC_Web!S$1:S$500,SMALL(IF(Create_TC_Web!$C$1:$C$500&lt;&gt;"",MATCH(ROW(Create_TC_Web!$C$1:$C$500),ROW(Create_TC_Web!$C$1:$C$500)),""),ROW(Create_TC_Web!Q751))),"")</f>
        <v/>
      </c>
    </row>
    <row r="776" spans="1:16">
      <c r="A776" t="str" cm="1">
        <f t="array" ref="A776">IFERROR(INDEX(Create_TC_Web!D$1:D$1510,SMALL(IF(Create_TC_Web!$C$1:$C$1510&lt;&gt;"",MATCH(ROW(Create_TC_Web!$C$1:$C$1510),ROW(Create_TC_Web!$C$1:$C$1510)),""),ROW(Create_TC_Web!B801))),"")</f>
        <v/>
      </c>
      <c r="B776" t="str" cm="1">
        <f t="array" ref="B776">SUBSTITUTE(SUBSTITUTE(SUBSTITUTE(IFERROR(INDEX(Create_TC_Web!E$1:E$505,SMALL(IF(Create_TC_Web!$C$1:$C$505&lt;&gt;"",MATCH(ROW(Create_TC_Web!$C$1:$C$505),ROW(Create_TC_Web!$C$1:$C$505)),""),ROW(Create_TC_Web!C774))),"")," ",""),"-",""),"_","")</f>
        <v/>
      </c>
      <c r="P776" s="17" t="str" cm="1">
        <f t="array" ref="P776">IFERROR(INDEX(Create_TC_Web!S$1:S$500,SMALL(IF(Create_TC_Web!$C$1:$C$500&lt;&gt;"",MATCH(ROW(Create_TC_Web!$C$1:$C$500),ROW(Create_TC_Web!$C$1:$C$500)),""),ROW(Create_TC_Web!Q752))),"")</f>
        <v/>
      </c>
    </row>
    <row r="777" spans="1:16">
      <c r="A777" t="str" cm="1">
        <f t="array" ref="A777">IFERROR(INDEX(Create_TC_Web!D$1:D$1510,SMALL(IF(Create_TC_Web!$C$1:$C$1510&lt;&gt;"",MATCH(ROW(Create_TC_Web!$C$1:$C$1510),ROW(Create_TC_Web!$C$1:$C$1510)),""),ROW(Create_TC_Web!B802))),"")</f>
        <v/>
      </c>
      <c r="B777" t="str" cm="1">
        <f t="array" ref="B777">SUBSTITUTE(SUBSTITUTE(SUBSTITUTE(IFERROR(INDEX(Create_TC_Web!E$1:E$505,SMALL(IF(Create_TC_Web!$C$1:$C$505&lt;&gt;"",MATCH(ROW(Create_TC_Web!$C$1:$C$505),ROW(Create_TC_Web!$C$1:$C$505)),""),ROW(Create_TC_Web!C775))),"")," ",""),"-",""),"_","")</f>
        <v/>
      </c>
      <c r="P777" s="17" t="str" cm="1">
        <f t="array" ref="P777">IFERROR(INDEX(Create_TC_Web!S$1:S$500,SMALL(IF(Create_TC_Web!$C$1:$C$500&lt;&gt;"",MATCH(ROW(Create_TC_Web!$C$1:$C$500),ROW(Create_TC_Web!$C$1:$C$500)),""),ROW(Create_TC_Web!Q753))),"")</f>
        <v/>
      </c>
    </row>
    <row r="778" spans="1:16">
      <c r="A778" t="str" cm="1">
        <f t="array" ref="A778">IFERROR(INDEX(Create_TC_Web!D$1:D$1510,SMALL(IF(Create_TC_Web!$C$1:$C$1510&lt;&gt;"",MATCH(ROW(Create_TC_Web!$C$1:$C$1510),ROW(Create_TC_Web!$C$1:$C$1510)),""),ROW(Create_TC_Web!B803))),"")</f>
        <v/>
      </c>
      <c r="B778" t="str" cm="1">
        <f t="array" ref="B778">SUBSTITUTE(SUBSTITUTE(SUBSTITUTE(IFERROR(INDEX(Create_TC_Web!E$1:E$505,SMALL(IF(Create_TC_Web!$C$1:$C$505&lt;&gt;"",MATCH(ROW(Create_TC_Web!$C$1:$C$505),ROW(Create_TC_Web!$C$1:$C$505)),""),ROW(Create_TC_Web!C776))),"")," ",""),"-",""),"_","")</f>
        <v/>
      </c>
      <c r="P778" s="17" t="str" cm="1">
        <f t="array" ref="P778">IFERROR(INDEX(Create_TC_Web!S$1:S$500,SMALL(IF(Create_TC_Web!$C$1:$C$500&lt;&gt;"",MATCH(ROW(Create_TC_Web!$C$1:$C$500),ROW(Create_TC_Web!$C$1:$C$500)),""),ROW(Create_TC_Web!Q754))),"")</f>
        <v/>
      </c>
    </row>
    <row r="779" spans="1:16">
      <c r="A779" t="str" cm="1">
        <f t="array" ref="A779">IFERROR(INDEX(Create_TC_Web!D$1:D$1510,SMALL(IF(Create_TC_Web!$C$1:$C$1510&lt;&gt;"",MATCH(ROW(Create_TC_Web!$C$1:$C$1510),ROW(Create_TC_Web!$C$1:$C$1510)),""),ROW(Create_TC_Web!B804))),"")</f>
        <v/>
      </c>
      <c r="B779" t="str" cm="1">
        <f t="array" ref="B779">SUBSTITUTE(SUBSTITUTE(SUBSTITUTE(IFERROR(INDEX(Create_TC_Web!E$1:E$505,SMALL(IF(Create_TC_Web!$C$1:$C$505&lt;&gt;"",MATCH(ROW(Create_TC_Web!$C$1:$C$505),ROW(Create_TC_Web!$C$1:$C$505)),""),ROW(Create_TC_Web!C777))),"")," ",""),"-",""),"_","")</f>
        <v/>
      </c>
      <c r="P779" s="17" t="str" cm="1">
        <f t="array" ref="P779">IFERROR(INDEX(Create_TC_Web!S$1:S$500,SMALL(IF(Create_TC_Web!$C$1:$C$500&lt;&gt;"",MATCH(ROW(Create_TC_Web!$C$1:$C$500),ROW(Create_TC_Web!$C$1:$C$500)),""),ROW(Create_TC_Web!Q755))),"")</f>
        <v/>
      </c>
    </row>
    <row r="780" spans="1:16">
      <c r="A780" t="str" cm="1">
        <f t="array" ref="A780">IFERROR(INDEX(Create_TC_Web!D$1:D$1510,SMALL(IF(Create_TC_Web!$C$1:$C$1510&lt;&gt;"",MATCH(ROW(Create_TC_Web!$C$1:$C$1510),ROW(Create_TC_Web!$C$1:$C$1510)),""),ROW(Create_TC_Web!B805))),"")</f>
        <v/>
      </c>
      <c r="B780" t="str" cm="1">
        <f t="array" ref="B780">SUBSTITUTE(SUBSTITUTE(SUBSTITUTE(IFERROR(INDEX(Create_TC_Web!E$1:E$505,SMALL(IF(Create_TC_Web!$C$1:$C$505&lt;&gt;"",MATCH(ROW(Create_TC_Web!$C$1:$C$505),ROW(Create_TC_Web!$C$1:$C$505)),""),ROW(Create_TC_Web!C778))),"")," ",""),"-",""),"_","")</f>
        <v/>
      </c>
      <c r="P780" s="17" t="str" cm="1">
        <f t="array" ref="P780">IFERROR(INDEX(Create_TC_Web!S$1:S$500,SMALL(IF(Create_TC_Web!$C$1:$C$500&lt;&gt;"",MATCH(ROW(Create_TC_Web!$C$1:$C$500),ROW(Create_TC_Web!$C$1:$C$500)),""),ROW(Create_TC_Web!Q756))),"")</f>
        <v/>
      </c>
    </row>
    <row r="781" spans="1:16">
      <c r="A781" t="str" cm="1">
        <f t="array" ref="A781">IFERROR(INDEX(Create_TC_Web!D$1:D$1510,SMALL(IF(Create_TC_Web!$C$1:$C$1510&lt;&gt;"",MATCH(ROW(Create_TC_Web!$C$1:$C$1510),ROW(Create_TC_Web!$C$1:$C$1510)),""),ROW(Create_TC_Web!B806))),"")</f>
        <v/>
      </c>
      <c r="B781" t="str" cm="1">
        <f t="array" ref="B781">SUBSTITUTE(SUBSTITUTE(SUBSTITUTE(IFERROR(INDEX(Create_TC_Web!E$1:E$505,SMALL(IF(Create_TC_Web!$C$1:$C$505&lt;&gt;"",MATCH(ROW(Create_TC_Web!$C$1:$C$505),ROW(Create_TC_Web!$C$1:$C$505)),""),ROW(Create_TC_Web!C779))),"")," ",""),"-",""),"_","")</f>
        <v/>
      </c>
      <c r="P781" s="17" t="str" cm="1">
        <f t="array" ref="P781">IFERROR(INDEX(Create_TC_Web!S$1:S$500,SMALL(IF(Create_TC_Web!$C$1:$C$500&lt;&gt;"",MATCH(ROW(Create_TC_Web!$C$1:$C$500),ROW(Create_TC_Web!$C$1:$C$500)),""),ROW(Create_TC_Web!Q757))),"")</f>
        <v/>
      </c>
    </row>
    <row r="782" spans="1:16">
      <c r="A782" t="str" cm="1">
        <f t="array" ref="A782">IFERROR(INDEX(Create_TC_Web!D$1:D$1510,SMALL(IF(Create_TC_Web!$C$1:$C$1510&lt;&gt;"",MATCH(ROW(Create_TC_Web!$C$1:$C$1510),ROW(Create_TC_Web!$C$1:$C$1510)),""),ROW(Create_TC_Web!B807))),"")</f>
        <v/>
      </c>
      <c r="B782" t="str" cm="1">
        <f t="array" ref="B782">SUBSTITUTE(SUBSTITUTE(SUBSTITUTE(IFERROR(INDEX(Create_TC_Web!E$1:E$505,SMALL(IF(Create_TC_Web!$C$1:$C$505&lt;&gt;"",MATCH(ROW(Create_TC_Web!$C$1:$C$505),ROW(Create_TC_Web!$C$1:$C$505)),""),ROW(Create_TC_Web!C780))),"")," ",""),"-",""),"_","")</f>
        <v/>
      </c>
      <c r="P782" s="17" t="str" cm="1">
        <f t="array" ref="P782">IFERROR(INDEX(Create_TC_Web!S$1:S$500,SMALL(IF(Create_TC_Web!$C$1:$C$500&lt;&gt;"",MATCH(ROW(Create_TC_Web!$C$1:$C$500),ROW(Create_TC_Web!$C$1:$C$500)),""),ROW(Create_TC_Web!Q758))),"")</f>
        <v/>
      </c>
    </row>
    <row r="783" spans="1:16">
      <c r="A783" t="str" cm="1">
        <f t="array" ref="A783">IFERROR(INDEX(Create_TC_Web!D$1:D$1510,SMALL(IF(Create_TC_Web!$C$1:$C$1510&lt;&gt;"",MATCH(ROW(Create_TC_Web!$C$1:$C$1510),ROW(Create_TC_Web!$C$1:$C$1510)),""),ROW(Create_TC_Web!B808))),"")</f>
        <v/>
      </c>
      <c r="B783" t="str" cm="1">
        <f t="array" ref="B783">SUBSTITUTE(SUBSTITUTE(SUBSTITUTE(IFERROR(INDEX(Create_TC_Web!E$1:E$505,SMALL(IF(Create_TC_Web!$C$1:$C$505&lt;&gt;"",MATCH(ROW(Create_TC_Web!$C$1:$C$505),ROW(Create_TC_Web!$C$1:$C$505)),""),ROW(Create_TC_Web!C781))),"")," ",""),"-",""),"_","")</f>
        <v/>
      </c>
      <c r="P783" s="17" t="str" cm="1">
        <f t="array" ref="P783">IFERROR(INDEX(Create_TC_Web!S$1:S$500,SMALL(IF(Create_TC_Web!$C$1:$C$500&lt;&gt;"",MATCH(ROW(Create_TC_Web!$C$1:$C$500),ROW(Create_TC_Web!$C$1:$C$500)),""),ROW(Create_TC_Web!Q759))),"")</f>
        <v/>
      </c>
    </row>
    <row r="784" spans="1:16">
      <c r="A784" t="str" cm="1">
        <f t="array" ref="A784">IFERROR(INDEX(Create_TC_Web!D$1:D$1510,SMALL(IF(Create_TC_Web!$C$1:$C$1510&lt;&gt;"",MATCH(ROW(Create_TC_Web!$C$1:$C$1510),ROW(Create_TC_Web!$C$1:$C$1510)),""),ROW(Create_TC_Web!B809))),"")</f>
        <v/>
      </c>
      <c r="B784" t="str" cm="1">
        <f t="array" ref="B784">SUBSTITUTE(SUBSTITUTE(SUBSTITUTE(IFERROR(INDEX(Create_TC_Web!E$1:E$505,SMALL(IF(Create_TC_Web!$C$1:$C$505&lt;&gt;"",MATCH(ROW(Create_TC_Web!$C$1:$C$505),ROW(Create_TC_Web!$C$1:$C$505)),""),ROW(Create_TC_Web!C782))),"")," ",""),"-",""),"_","")</f>
        <v/>
      </c>
      <c r="P784" s="17" t="str" cm="1">
        <f t="array" ref="P784">IFERROR(INDEX(Create_TC_Web!S$1:S$500,SMALL(IF(Create_TC_Web!$C$1:$C$500&lt;&gt;"",MATCH(ROW(Create_TC_Web!$C$1:$C$500),ROW(Create_TC_Web!$C$1:$C$500)),""),ROW(Create_TC_Web!Q760))),"")</f>
        <v/>
      </c>
    </row>
    <row r="785" spans="1:16">
      <c r="A785" t="str" cm="1">
        <f t="array" ref="A785">IFERROR(INDEX(Create_TC_Web!D$1:D$1510,SMALL(IF(Create_TC_Web!$C$1:$C$1510&lt;&gt;"",MATCH(ROW(Create_TC_Web!$C$1:$C$1510),ROW(Create_TC_Web!$C$1:$C$1510)),""),ROW(Create_TC_Web!B810))),"")</f>
        <v/>
      </c>
      <c r="B785" t="str" cm="1">
        <f t="array" ref="B785">SUBSTITUTE(SUBSTITUTE(SUBSTITUTE(IFERROR(INDEX(Create_TC_Web!E$1:E$505,SMALL(IF(Create_TC_Web!$C$1:$C$505&lt;&gt;"",MATCH(ROW(Create_TC_Web!$C$1:$C$505),ROW(Create_TC_Web!$C$1:$C$505)),""),ROW(Create_TC_Web!C783))),"")," ",""),"-",""),"_","")</f>
        <v/>
      </c>
      <c r="P785" s="17" t="str" cm="1">
        <f t="array" ref="P785">IFERROR(INDEX(Create_TC_Web!S$1:S$500,SMALL(IF(Create_TC_Web!$C$1:$C$500&lt;&gt;"",MATCH(ROW(Create_TC_Web!$C$1:$C$500),ROW(Create_TC_Web!$C$1:$C$500)),""),ROW(Create_TC_Web!Q761))),"")</f>
        <v/>
      </c>
    </row>
    <row r="786" spans="1:16">
      <c r="A786" t="str" cm="1">
        <f t="array" ref="A786">IFERROR(INDEX(Create_TC_Web!D$1:D$1510,SMALL(IF(Create_TC_Web!$C$1:$C$1510&lt;&gt;"",MATCH(ROW(Create_TC_Web!$C$1:$C$1510),ROW(Create_TC_Web!$C$1:$C$1510)),""),ROW(Create_TC_Web!B811))),"")</f>
        <v/>
      </c>
      <c r="B786" t="str" cm="1">
        <f t="array" ref="B786">SUBSTITUTE(SUBSTITUTE(SUBSTITUTE(IFERROR(INDEX(Create_TC_Web!E$1:E$505,SMALL(IF(Create_TC_Web!$C$1:$C$505&lt;&gt;"",MATCH(ROW(Create_TC_Web!$C$1:$C$505),ROW(Create_TC_Web!$C$1:$C$505)),""),ROW(Create_TC_Web!C784))),"")," ",""),"-",""),"_","")</f>
        <v/>
      </c>
      <c r="P786" s="17" t="str" cm="1">
        <f t="array" ref="P786">IFERROR(INDEX(Create_TC_Web!S$1:S$500,SMALL(IF(Create_TC_Web!$C$1:$C$500&lt;&gt;"",MATCH(ROW(Create_TC_Web!$C$1:$C$500),ROW(Create_TC_Web!$C$1:$C$500)),""),ROW(Create_TC_Web!Q762))),"")</f>
        <v/>
      </c>
    </row>
    <row r="787" spans="1:16">
      <c r="A787" t="str" cm="1">
        <f t="array" ref="A787">IFERROR(INDEX(Create_TC_Web!D$1:D$1510,SMALL(IF(Create_TC_Web!$C$1:$C$1510&lt;&gt;"",MATCH(ROW(Create_TC_Web!$C$1:$C$1510),ROW(Create_TC_Web!$C$1:$C$1510)),""),ROW(Create_TC_Web!B812))),"")</f>
        <v/>
      </c>
      <c r="B787" t="str" cm="1">
        <f t="array" ref="B787">SUBSTITUTE(SUBSTITUTE(SUBSTITUTE(IFERROR(INDEX(Create_TC_Web!E$1:E$505,SMALL(IF(Create_TC_Web!$C$1:$C$505&lt;&gt;"",MATCH(ROW(Create_TC_Web!$C$1:$C$505),ROW(Create_TC_Web!$C$1:$C$505)),""),ROW(Create_TC_Web!C785))),"")," ",""),"-",""),"_","")</f>
        <v/>
      </c>
      <c r="P787" s="17" t="str" cm="1">
        <f t="array" ref="P787">IFERROR(INDEX(Create_TC_Web!S$1:S$500,SMALL(IF(Create_TC_Web!$C$1:$C$500&lt;&gt;"",MATCH(ROW(Create_TC_Web!$C$1:$C$500),ROW(Create_TC_Web!$C$1:$C$500)),""),ROW(Create_TC_Web!Q763))),"")</f>
        <v/>
      </c>
    </row>
    <row r="788" spans="1:16">
      <c r="A788" t="str" cm="1">
        <f t="array" ref="A788">IFERROR(INDEX(Create_TC_Web!D$1:D$1510,SMALL(IF(Create_TC_Web!$C$1:$C$1510&lt;&gt;"",MATCH(ROW(Create_TC_Web!$C$1:$C$1510),ROW(Create_TC_Web!$C$1:$C$1510)),""),ROW(Create_TC_Web!B813))),"")</f>
        <v/>
      </c>
      <c r="B788" t="str" cm="1">
        <f t="array" ref="B788">SUBSTITUTE(SUBSTITUTE(SUBSTITUTE(IFERROR(INDEX(Create_TC_Web!E$1:E$505,SMALL(IF(Create_TC_Web!$C$1:$C$505&lt;&gt;"",MATCH(ROW(Create_TC_Web!$C$1:$C$505),ROW(Create_TC_Web!$C$1:$C$505)),""),ROW(Create_TC_Web!C786))),"")," ",""),"-",""),"_","")</f>
        <v/>
      </c>
      <c r="P788" s="17" t="str" cm="1">
        <f t="array" ref="P788">IFERROR(INDEX(Create_TC_Web!S$1:S$500,SMALL(IF(Create_TC_Web!$C$1:$C$500&lt;&gt;"",MATCH(ROW(Create_TC_Web!$C$1:$C$500),ROW(Create_TC_Web!$C$1:$C$500)),""),ROW(Create_TC_Web!Q764))),"")</f>
        <v/>
      </c>
    </row>
    <row r="789" spans="1:16">
      <c r="A789" t="str" cm="1">
        <f t="array" ref="A789">IFERROR(INDEX(Create_TC_Web!D$1:D$1510,SMALL(IF(Create_TC_Web!$C$1:$C$1510&lt;&gt;"",MATCH(ROW(Create_TC_Web!$C$1:$C$1510),ROW(Create_TC_Web!$C$1:$C$1510)),""),ROW(Create_TC_Web!B814))),"")</f>
        <v/>
      </c>
      <c r="B789" t="str" cm="1">
        <f t="array" ref="B789">IFERROR(INDEX(Create_TC_Web!$E$1:$E$1510,SMALL(IF(Create_TC_Web!$C$1:$C$1510&lt;&gt;"",MATCH(ROW(Create_TC_Web!$C$1:$C$1510),ROW(Create_TC_Web!$C$1:$C$1510)),""),ROW(Create_TC_Web!C814))),"")</f>
        <v/>
      </c>
      <c r="P789" s="17" t="str" cm="1">
        <f t="array" ref="P789">IFERROR(INDEX(Create_TC_Web!S$1:S$500,SMALL(IF(Create_TC_Web!$C$1:$C$500&lt;&gt;"",MATCH(ROW(Create_TC_Web!$C$1:$C$500),ROW(Create_TC_Web!$C$1:$C$500)),""),ROW(Create_TC_Web!Q765))),"")</f>
        <v/>
      </c>
    </row>
    <row r="790" spans="1:16">
      <c r="A790" t="str" cm="1">
        <f t="array" ref="A790">IFERROR(INDEX(Create_TC_Web!D$1:D$1510,SMALL(IF(Create_TC_Web!$C$1:$C$1510&lt;&gt;"",MATCH(ROW(Create_TC_Web!$C$1:$C$1510),ROW(Create_TC_Web!$C$1:$C$1510)),""),ROW(Create_TC_Web!B815))),"")</f>
        <v/>
      </c>
      <c r="B790" t="str" cm="1">
        <f t="array" ref="B790">IFERROR(INDEX(Create_TC_Web!$E$1:$E$1510,SMALL(IF(Create_TC_Web!$C$1:$C$1510&lt;&gt;"",MATCH(ROW(Create_TC_Web!$C$1:$C$1510),ROW(Create_TC_Web!$C$1:$C$1510)),""),ROW(Create_TC_Web!C815))),"")</f>
        <v/>
      </c>
      <c r="P790" s="17" t="str" cm="1">
        <f t="array" ref="P790">IFERROR(INDEX(Create_TC_Web!S$1:S$500,SMALL(IF(Create_TC_Web!$C$1:$C$500&lt;&gt;"",MATCH(ROW(Create_TC_Web!$C$1:$C$500),ROW(Create_TC_Web!$C$1:$C$500)),""),ROW(Create_TC_Web!Q766))),"")</f>
        <v/>
      </c>
    </row>
    <row r="791" spans="1:16">
      <c r="A791" t="str" cm="1">
        <f t="array" ref="A791">IFERROR(INDEX(Create_TC_Web!D$1:D$1510,SMALL(IF(Create_TC_Web!$C$1:$C$1510&lt;&gt;"",MATCH(ROW(Create_TC_Web!$C$1:$C$1510),ROW(Create_TC_Web!$C$1:$C$1510)),""),ROW(Create_TC_Web!B816))),"")</f>
        <v/>
      </c>
      <c r="B791" t="str" cm="1">
        <f t="array" ref="B791">IFERROR(INDEX(Create_TC_Web!$E$1:$E$1510,SMALL(IF(Create_TC_Web!$C$1:$C$1510&lt;&gt;"",MATCH(ROW(Create_TC_Web!$C$1:$C$1510),ROW(Create_TC_Web!$C$1:$C$1510)),""),ROW(Create_TC_Web!C816))),"")</f>
        <v/>
      </c>
      <c r="P791" s="17" t="str" cm="1">
        <f t="array" ref="P791">IFERROR(INDEX(Create_TC_Web!S$1:S$500,SMALL(IF(Create_TC_Web!$C$1:$C$500&lt;&gt;"",MATCH(ROW(Create_TC_Web!$C$1:$C$500),ROW(Create_TC_Web!$C$1:$C$500)),""),ROW(Create_TC_Web!Q767))),"")</f>
        <v/>
      </c>
    </row>
    <row r="792" spans="1:16">
      <c r="A792" t="str" cm="1">
        <f t="array" ref="A792">IFERROR(INDEX(Create_TC_Web!D$1:D$1510,SMALL(IF(Create_TC_Web!$C$1:$C$1510&lt;&gt;"",MATCH(ROW(Create_TC_Web!$C$1:$C$1510),ROW(Create_TC_Web!$C$1:$C$1510)),""),ROW(Create_TC_Web!B817))),"")</f>
        <v/>
      </c>
      <c r="B792" t="str" cm="1">
        <f t="array" ref="B792">IFERROR(INDEX(Create_TC_Web!$E$1:$E$1510,SMALL(IF(Create_TC_Web!$C$1:$C$1510&lt;&gt;"",MATCH(ROW(Create_TC_Web!$C$1:$C$1510),ROW(Create_TC_Web!$C$1:$C$1510)),""),ROW(Create_TC_Web!C817))),"")</f>
        <v/>
      </c>
      <c r="P792" s="17" t="str" cm="1">
        <f t="array" ref="P792">IFERROR(INDEX(Create_TC_Web!S$1:S$500,SMALL(IF(Create_TC_Web!$C$1:$C$500&lt;&gt;"",MATCH(ROW(Create_TC_Web!$C$1:$C$500),ROW(Create_TC_Web!$C$1:$C$500)),""),ROW(Create_TC_Web!Q768))),"")</f>
        <v/>
      </c>
    </row>
    <row r="793" spans="1:16">
      <c r="A793" t="str" cm="1">
        <f t="array" ref="A793">IFERROR(INDEX(Create_TC_Web!D$1:D$1510,SMALL(IF(Create_TC_Web!$C$1:$C$1510&lt;&gt;"",MATCH(ROW(Create_TC_Web!$C$1:$C$1510),ROW(Create_TC_Web!$C$1:$C$1510)),""),ROW(Create_TC_Web!B818))),"")</f>
        <v/>
      </c>
      <c r="B793" t="str" cm="1">
        <f t="array" ref="B793">IFERROR(INDEX(Create_TC_Web!$E$1:$E$1510,SMALL(IF(Create_TC_Web!$C$1:$C$1510&lt;&gt;"",MATCH(ROW(Create_TC_Web!$C$1:$C$1510),ROW(Create_TC_Web!$C$1:$C$1510)),""),ROW(Create_TC_Web!C818))),"")</f>
        <v/>
      </c>
      <c r="P793" s="17" t="str" cm="1">
        <f t="array" ref="P793">IFERROR(INDEX(Create_TC_Web!S$1:S$500,SMALL(IF(Create_TC_Web!$C$1:$C$500&lt;&gt;"",MATCH(ROW(Create_TC_Web!$C$1:$C$500),ROW(Create_TC_Web!$C$1:$C$500)),""),ROW(Create_TC_Web!Q769))),"")</f>
        <v/>
      </c>
    </row>
    <row r="794" spans="1:16">
      <c r="A794" t="str" cm="1">
        <f t="array" ref="A794">IFERROR(INDEX(Create_TC_Web!D$1:D$1510,SMALL(IF(Create_TC_Web!$C$1:$C$1510&lt;&gt;"",MATCH(ROW(Create_TC_Web!$C$1:$C$1510),ROW(Create_TC_Web!$C$1:$C$1510)),""),ROW(Create_TC_Web!B819))),"")</f>
        <v/>
      </c>
      <c r="B794" t="str" cm="1">
        <f t="array" ref="B794">IFERROR(INDEX(Create_TC_Web!$E$1:$E$1510,SMALL(IF(Create_TC_Web!$C$1:$C$1510&lt;&gt;"",MATCH(ROW(Create_TC_Web!$C$1:$C$1510),ROW(Create_TC_Web!$C$1:$C$1510)),""),ROW(Create_TC_Web!C819))),"")</f>
        <v/>
      </c>
      <c r="P794" s="17" t="str" cm="1">
        <f t="array" ref="P794">IFERROR(INDEX(Create_TC_Web!S$1:S$500,SMALL(IF(Create_TC_Web!$C$1:$C$500&lt;&gt;"",MATCH(ROW(Create_TC_Web!$C$1:$C$500),ROW(Create_TC_Web!$C$1:$C$500)),""),ROW(Create_TC_Web!Q770))),"")</f>
        <v/>
      </c>
    </row>
    <row r="795" spans="1:16">
      <c r="A795" t="str" cm="1">
        <f t="array" ref="A795">IFERROR(INDEX(Create_TC_Web!D$1:D$1510,SMALL(IF(Create_TC_Web!$C$1:$C$1510&lt;&gt;"",MATCH(ROW(Create_TC_Web!$C$1:$C$1510),ROW(Create_TC_Web!$C$1:$C$1510)),""),ROW(Create_TC_Web!B820))),"")</f>
        <v/>
      </c>
      <c r="B795" t="str" cm="1">
        <f t="array" ref="B795">IFERROR(INDEX(Create_TC_Web!$E$1:$E$1510,SMALL(IF(Create_TC_Web!$C$1:$C$1510&lt;&gt;"",MATCH(ROW(Create_TC_Web!$C$1:$C$1510),ROW(Create_TC_Web!$C$1:$C$1510)),""),ROW(Create_TC_Web!C820))),"")</f>
        <v/>
      </c>
      <c r="P795" s="17" t="str" cm="1">
        <f t="array" ref="P795">IFERROR(INDEX(Create_TC_Web!S$1:S$500,SMALL(IF(Create_TC_Web!$C$1:$C$500&lt;&gt;"",MATCH(ROW(Create_TC_Web!$C$1:$C$500),ROW(Create_TC_Web!$C$1:$C$500)),""),ROW(Create_TC_Web!Q771))),"")</f>
        <v/>
      </c>
    </row>
    <row r="796" spans="1:16">
      <c r="A796" t="str" cm="1">
        <f t="array" ref="A796">IFERROR(INDEX(Create_TC_Web!D$1:D$1510,SMALL(IF(Create_TC_Web!$C$1:$C$1510&lt;&gt;"",MATCH(ROW(Create_TC_Web!$C$1:$C$1510),ROW(Create_TC_Web!$C$1:$C$1510)),""),ROW(Create_TC_Web!B821))),"")</f>
        <v/>
      </c>
      <c r="B796" t="str" cm="1">
        <f t="array" ref="B796">IFERROR(INDEX(Create_TC_Web!$E$1:$E$1510,SMALL(IF(Create_TC_Web!$C$1:$C$1510&lt;&gt;"",MATCH(ROW(Create_TC_Web!$C$1:$C$1510),ROW(Create_TC_Web!$C$1:$C$1510)),""),ROW(Create_TC_Web!C821))),"")</f>
        <v/>
      </c>
      <c r="P796" s="17" t="str" cm="1">
        <f t="array" ref="P796">IFERROR(INDEX(Create_TC_Web!S$1:S$500,SMALL(IF(Create_TC_Web!$C$1:$C$500&lt;&gt;"",MATCH(ROW(Create_TC_Web!$C$1:$C$500),ROW(Create_TC_Web!$C$1:$C$500)),""),ROW(Create_TC_Web!Q772))),"")</f>
        <v/>
      </c>
    </row>
    <row r="797" spans="1:16">
      <c r="A797" t="str" cm="1">
        <f t="array" ref="A797">IFERROR(INDEX(Create_TC_Web!D$1:D$1510,SMALL(IF(Create_TC_Web!$C$1:$C$1510&lt;&gt;"",MATCH(ROW(Create_TC_Web!$C$1:$C$1510),ROW(Create_TC_Web!$C$1:$C$1510)),""),ROW(Create_TC_Web!B822))),"")</f>
        <v/>
      </c>
      <c r="B797" t="str" cm="1">
        <f t="array" ref="B797">IFERROR(INDEX(Create_TC_Web!$E$1:$E$1510,SMALL(IF(Create_TC_Web!$C$1:$C$1510&lt;&gt;"",MATCH(ROW(Create_TC_Web!$C$1:$C$1510),ROW(Create_TC_Web!$C$1:$C$1510)),""),ROW(Create_TC_Web!C822))),"")</f>
        <v/>
      </c>
      <c r="P797" s="17" t="str" cm="1">
        <f t="array" ref="P797">IFERROR(INDEX(Create_TC_Web!S$1:S$500,SMALL(IF(Create_TC_Web!$C$1:$C$500&lt;&gt;"",MATCH(ROW(Create_TC_Web!$C$1:$C$500),ROW(Create_TC_Web!$C$1:$C$500)),""),ROW(Create_TC_Web!Q773))),"")</f>
        <v/>
      </c>
    </row>
    <row r="798" spans="1:16">
      <c r="A798" t="str" cm="1">
        <f t="array" ref="A798">IFERROR(INDEX(Create_TC_Web!D$1:D$1510,SMALL(IF(Create_TC_Web!$C$1:$C$1510&lt;&gt;"",MATCH(ROW(Create_TC_Web!$C$1:$C$1510),ROW(Create_TC_Web!$C$1:$C$1510)),""),ROW(Create_TC_Web!B823))),"")</f>
        <v/>
      </c>
      <c r="B798" t="str" cm="1">
        <f t="array" ref="B798">IFERROR(INDEX(Create_TC_Web!$E$1:$E$1510,SMALL(IF(Create_TC_Web!$C$1:$C$1510&lt;&gt;"",MATCH(ROW(Create_TC_Web!$C$1:$C$1510),ROW(Create_TC_Web!$C$1:$C$1510)),""),ROW(Create_TC_Web!C823))),"")</f>
        <v/>
      </c>
      <c r="P798" s="17" t="str" cm="1">
        <f t="array" ref="P798">IFERROR(INDEX(Create_TC_Web!S$1:S$500,SMALL(IF(Create_TC_Web!$C$1:$C$500&lt;&gt;"",MATCH(ROW(Create_TC_Web!$C$1:$C$500),ROW(Create_TC_Web!$C$1:$C$500)),""),ROW(Create_TC_Web!Q774))),"")</f>
        <v/>
      </c>
    </row>
    <row r="799" spans="1:16">
      <c r="A799" t="str" cm="1">
        <f t="array" ref="A799">IFERROR(INDEX(Create_TC_Web!D$1:D$1510,SMALL(IF(Create_TC_Web!$C$1:$C$1510&lt;&gt;"",MATCH(ROW(Create_TC_Web!$C$1:$C$1510),ROW(Create_TC_Web!$C$1:$C$1510)),""),ROW(Create_TC_Web!B824))),"")</f>
        <v/>
      </c>
      <c r="B799" t="str" cm="1">
        <f t="array" ref="B799">IFERROR(INDEX(Create_TC_Web!$E$1:$E$1510,SMALL(IF(Create_TC_Web!$C$1:$C$1510&lt;&gt;"",MATCH(ROW(Create_TC_Web!$C$1:$C$1510),ROW(Create_TC_Web!$C$1:$C$1510)),""),ROW(Create_TC_Web!C824))),"")</f>
        <v/>
      </c>
      <c r="P799" s="17" t="str" cm="1">
        <f t="array" ref="P799">IFERROR(INDEX(Create_TC_Web!S$1:S$500,SMALL(IF(Create_TC_Web!$C$1:$C$500&lt;&gt;"",MATCH(ROW(Create_TC_Web!$C$1:$C$500),ROW(Create_TC_Web!$C$1:$C$500)),""),ROW(Create_TC_Web!Q775))),"")</f>
        <v/>
      </c>
    </row>
    <row r="800" spans="1:16">
      <c r="A800" t="str" cm="1">
        <f t="array" ref="A800">IFERROR(INDEX(Create_TC_Web!D$1:D$1510,SMALL(IF(Create_TC_Web!$C$1:$C$1510&lt;&gt;"",MATCH(ROW(Create_TC_Web!$C$1:$C$1510),ROW(Create_TC_Web!$C$1:$C$1510)),""),ROW(Create_TC_Web!B825))),"")</f>
        <v/>
      </c>
      <c r="B800" t="str" cm="1">
        <f t="array" ref="B800">IFERROR(INDEX(Create_TC_Web!$E$1:$E$1510,SMALL(IF(Create_TC_Web!$C$1:$C$1510&lt;&gt;"",MATCH(ROW(Create_TC_Web!$C$1:$C$1510),ROW(Create_TC_Web!$C$1:$C$1510)),""),ROW(Create_TC_Web!C825))),"")</f>
        <v/>
      </c>
      <c r="P800" s="17" t="str" cm="1">
        <f t="array" ref="P800">IFERROR(INDEX(Create_TC_Web!S$1:S$500,SMALL(IF(Create_TC_Web!$C$1:$C$500&lt;&gt;"",MATCH(ROW(Create_TC_Web!$C$1:$C$500),ROW(Create_TC_Web!$C$1:$C$500)),""),ROW(Create_TC_Web!Q776))),"")</f>
        <v/>
      </c>
    </row>
    <row r="801" spans="1:16">
      <c r="A801" t="str" cm="1">
        <f t="array" ref="A801">IFERROR(INDEX(Create_TC_Web!D$1:D$1510,SMALL(IF(Create_TC_Web!$C$1:$C$1510&lt;&gt;"",MATCH(ROW(Create_TC_Web!$C$1:$C$1510),ROW(Create_TC_Web!$C$1:$C$1510)),""),ROW(Create_TC_Web!B826))),"")</f>
        <v/>
      </c>
      <c r="B801" t="str" cm="1">
        <f t="array" ref="B801">IFERROR(INDEX(Create_TC_Web!$E$1:$E$1510,SMALL(IF(Create_TC_Web!$C$1:$C$1510&lt;&gt;"",MATCH(ROW(Create_TC_Web!$C$1:$C$1510),ROW(Create_TC_Web!$C$1:$C$1510)),""),ROW(Create_TC_Web!C826))),"")</f>
        <v/>
      </c>
      <c r="P801" s="17" t="str" cm="1">
        <f t="array" ref="P801">IFERROR(INDEX(Create_TC_Web!S$1:S$500,SMALL(IF(Create_TC_Web!$C$1:$C$500&lt;&gt;"",MATCH(ROW(Create_TC_Web!$C$1:$C$500),ROW(Create_TC_Web!$C$1:$C$500)),""),ROW(Create_TC_Web!Q777))),"")</f>
        <v/>
      </c>
    </row>
    <row r="802" spans="1:16">
      <c r="A802" t="str" cm="1">
        <f t="array" ref="A802">IFERROR(INDEX(Create_TC_Web!D$1:D$1510,SMALL(IF(Create_TC_Web!$C$1:$C$1510&lt;&gt;"",MATCH(ROW(Create_TC_Web!$C$1:$C$1510),ROW(Create_TC_Web!$C$1:$C$1510)),""),ROW(Create_TC_Web!B827))),"")</f>
        <v/>
      </c>
      <c r="B802" t="str" cm="1">
        <f t="array" ref="B802">IFERROR(INDEX(Create_TC_Web!$E$1:$E$1510,SMALL(IF(Create_TC_Web!$C$1:$C$1510&lt;&gt;"",MATCH(ROW(Create_TC_Web!$C$1:$C$1510),ROW(Create_TC_Web!$C$1:$C$1510)),""),ROW(Create_TC_Web!C827))),"")</f>
        <v/>
      </c>
      <c r="P802" s="17" t="str" cm="1">
        <f t="array" ref="P802">IFERROR(INDEX(Create_TC_Web!S$1:S$500,SMALL(IF(Create_TC_Web!$C$1:$C$500&lt;&gt;"",MATCH(ROW(Create_TC_Web!$C$1:$C$500),ROW(Create_TC_Web!$C$1:$C$500)),""),ROW(Create_TC_Web!Q778))),"")</f>
        <v/>
      </c>
    </row>
    <row r="803" spans="1:16">
      <c r="A803" t="str" cm="1">
        <f t="array" ref="A803">IFERROR(INDEX(Create_TC_Web!D$1:D$1510,SMALL(IF(Create_TC_Web!$C$1:$C$1510&lt;&gt;"",MATCH(ROW(Create_TC_Web!$C$1:$C$1510),ROW(Create_TC_Web!$C$1:$C$1510)),""),ROW(Create_TC_Web!B828))),"")</f>
        <v/>
      </c>
      <c r="B803" t="str" cm="1">
        <f t="array" ref="B803">IFERROR(INDEX(Create_TC_Web!$E$1:$E$1510,SMALL(IF(Create_TC_Web!$C$1:$C$1510&lt;&gt;"",MATCH(ROW(Create_TC_Web!$C$1:$C$1510),ROW(Create_TC_Web!$C$1:$C$1510)),""),ROW(Create_TC_Web!C828))),"")</f>
        <v/>
      </c>
      <c r="P803" s="17" t="str" cm="1">
        <f t="array" ref="P803">IFERROR(INDEX(Create_TC_Web!S$1:S$500,SMALL(IF(Create_TC_Web!$C$1:$C$500&lt;&gt;"",MATCH(ROW(Create_TC_Web!$C$1:$C$500),ROW(Create_TC_Web!$C$1:$C$500)),""),ROW(Create_TC_Web!Q779))),"")</f>
        <v/>
      </c>
    </row>
    <row r="804" spans="1:16">
      <c r="A804" t="str" cm="1">
        <f t="array" ref="A804">IFERROR(INDEX(Create_TC_Web!D$1:D$1510,SMALL(IF(Create_TC_Web!$C$1:$C$1510&lt;&gt;"",MATCH(ROW(Create_TC_Web!$C$1:$C$1510),ROW(Create_TC_Web!$C$1:$C$1510)),""),ROW(Create_TC_Web!B829))),"")</f>
        <v/>
      </c>
      <c r="B804" t="str" cm="1">
        <f t="array" ref="B804">IFERROR(INDEX(Create_TC_Web!$E$1:$E$1510,SMALL(IF(Create_TC_Web!$C$1:$C$1510&lt;&gt;"",MATCH(ROW(Create_TC_Web!$C$1:$C$1510),ROW(Create_TC_Web!$C$1:$C$1510)),""),ROW(Create_TC_Web!C829))),"")</f>
        <v/>
      </c>
      <c r="P804" s="17" t="str" cm="1">
        <f t="array" ref="P804">IFERROR(INDEX(Create_TC_Web!S$1:S$500,SMALL(IF(Create_TC_Web!$C$1:$C$500&lt;&gt;"",MATCH(ROW(Create_TC_Web!$C$1:$C$500),ROW(Create_TC_Web!$C$1:$C$500)),""),ROW(Create_TC_Web!Q780))),"")</f>
        <v/>
      </c>
    </row>
    <row r="805" spans="1:16">
      <c r="A805" t="str" cm="1">
        <f t="array" ref="A805">IFERROR(INDEX(Create_TC_Web!D$1:D$1510,SMALL(IF(Create_TC_Web!$C$1:$C$1510&lt;&gt;"",MATCH(ROW(Create_TC_Web!$C$1:$C$1510),ROW(Create_TC_Web!$C$1:$C$1510)),""),ROW(Create_TC_Web!B830))),"")</f>
        <v/>
      </c>
      <c r="B805" t="str" cm="1">
        <f t="array" ref="B805">IFERROR(INDEX(Create_TC_Web!$E$1:$E$1510,SMALL(IF(Create_TC_Web!$C$1:$C$1510&lt;&gt;"",MATCH(ROW(Create_TC_Web!$C$1:$C$1510),ROW(Create_TC_Web!$C$1:$C$1510)),""),ROW(Create_TC_Web!C830))),"")</f>
        <v/>
      </c>
      <c r="P805" s="17" t="str" cm="1">
        <f t="array" ref="P805">IFERROR(INDEX(Create_TC_Web!S$1:S$500,SMALL(IF(Create_TC_Web!$C$1:$C$500&lt;&gt;"",MATCH(ROW(Create_TC_Web!$C$1:$C$500),ROW(Create_TC_Web!$C$1:$C$500)),""),ROW(Create_TC_Web!Q781))),"")</f>
        <v/>
      </c>
    </row>
    <row r="806" spans="1:16">
      <c r="A806" t="str" cm="1">
        <f t="array" ref="A806">IFERROR(INDEX(Create_TC_Web!D$1:D$1510,SMALL(IF(Create_TC_Web!$C$1:$C$1510&lt;&gt;"",MATCH(ROW(Create_TC_Web!$C$1:$C$1510),ROW(Create_TC_Web!$C$1:$C$1510)),""),ROW(Create_TC_Web!B831))),"")</f>
        <v/>
      </c>
      <c r="B806" t="str" cm="1">
        <f t="array" ref="B806">IFERROR(INDEX(Create_TC_Web!$E$1:$E$1510,SMALL(IF(Create_TC_Web!$C$1:$C$1510&lt;&gt;"",MATCH(ROW(Create_TC_Web!$C$1:$C$1510),ROW(Create_TC_Web!$C$1:$C$1510)),""),ROW(Create_TC_Web!C831))),"")</f>
        <v/>
      </c>
      <c r="P806" s="17" t="str" cm="1">
        <f t="array" ref="P806">IFERROR(INDEX(Create_TC_Web!S$1:S$500,SMALL(IF(Create_TC_Web!$C$1:$C$500&lt;&gt;"",MATCH(ROW(Create_TC_Web!$C$1:$C$500),ROW(Create_TC_Web!$C$1:$C$500)),""),ROW(Create_TC_Web!Q782))),"")</f>
        <v/>
      </c>
    </row>
    <row r="807" spans="1:16">
      <c r="A807" t="str" cm="1">
        <f t="array" ref="A807">IFERROR(INDEX(Create_TC_Web!D$1:D$1510,SMALL(IF(Create_TC_Web!$C$1:$C$1510&lt;&gt;"",MATCH(ROW(Create_TC_Web!$C$1:$C$1510),ROW(Create_TC_Web!$C$1:$C$1510)),""),ROW(Create_TC_Web!B832))),"")</f>
        <v/>
      </c>
      <c r="B807" t="str" cm="1">
        <f t="array" ref="B807">IFERROR(INDEX(Create_TC_Web!$E$1:$E$1510,SMALL(IF(Create_TC_Web!$C$1:$C$1510&lt;&gt;"",MATCH(ROW(Create_TC_Web!$C$1:$C$1510),ROW(Create_TC_Web!$C$1:$C$1510)),""),ROW(Create_TC_Web!C832))),"")</f>
        <v/>
      </c>
      <c r="P807" s="17" t="str" cm="1">
        <f t="array" ref="P807">IFERROR(INDEX(Create_TC_Web!S$1:S$500,SMALL(IF(Create_TC_Web!$C$1:$C$500&lt;&gt;"",MATCH(ROW(Create_TC_Web!$C$1:$C$500),ROW(Create_TC_Web!$C$1:$C$500)),""),ROW(Create_TC_Web!Q783))),"")</f>
        <v/>
      </c>
    </row>
    <row r="808" spans="1:16">
      <c r="A808" t="str" cm="1">
        <f t="array" ref="A808">IFERROR(INDEX(Create_TC_Web!D$1:D$1510,SMALL(IF(Create_TC_Web!$C$1:$C$1510&lt;&gt;"",MATCH(ROW(Create_TC_Web!$C$1:$C$1510),ROW(Create_TC_Web!$C$1:$C$1510)),""),ROW(Create_TC_Web!B833))),"")</f>
        <v/>
      </c>
      <c r="B808" t="str" cm="1">
        <f t="array" ref="B808">IFERROR(INDEX(Create_TC_Web!$E$1:$E$1510,SMALL(IF(Create_TC_Web!$C$1:$C$1510&lt;&gt;"",MATCH(ROW(Create_TC_Web!$C$1:$C$1510),ROW(Create_TC_Web!$C$1:$C$1510)),""),ROW(Create_TC_Web!C833))),"")</f>
        <v/>
      </c>
      <c r="P808" s="17" t="str" cm="1">
        <f t="array" ref="P808">IFERROR(INDEX(Create_TC_Web!S$1:S$500,SMALL(IF(Create_TC_Web!$C$1:$C$500&lt;&gt;"",MATCH(ROW(Create_TC_Web!$C$1:$C$500),ROW(Create_TC_Web!$C$1:$C$500)),""),ROW(Create_TC_Web!Q784))),"")</f>
        <v/>
      </c>
    </row>
    <row r="809" spans="1:16">
      <c r="A809" t="str" cm="1">
        <f t="array" ref="A809">IFERROR(INDEX(Create_TC_Web!D$1:D$1510,SMALL(IF(Create_TC_Web!$C$1:$C$1510&lt;&gt;"",MATCH(ROW(Create_TC_Web!$C$1:$C$1510),ROW(Create_TC_Web!$C$1:$C$1510)),""),ROW(Create_TC_Web!B834))),"")</f>
        <v/>
      </c>
      <c r="B809" t="str" cm="1">
        <f t="array" ref="B809">IFERROR(INDEX(Create_TC_Web!$E$1:$E$1510,SMALL(IF(Create_TC_Web!$C$1:$C$1510&lt;&gt;"",MATCH(ROW(Create_TC_Web!$C$1:$C$1510),ROW(Create_TC_Web!$C$1:$C$1510)),""),ROW(Create_TC_Web!C834))),"")</f>
        <v/>
      </c>
      <c r="P809" s="17" t="str" cm="1">
        <f t="array" ref="P809">IFERROR(INDEX(Create_TC_Web!S$1:S$500,SMALL(IF(Create_TC_Web!$C$1:$C$500&lt;&gt;"",MATCH(ROW(Create_TC_Web!$C$1:$C$500),ROW(Create_TC_Web!$C$1:$C$500)),""),ROW(Create_TC_Web!Q785))),"")</f>
        <v/>
      </c>
    </row>
    <row r="810" spans="1:16">
      <c r="A810" t="str" cm="1">
        <f t="array" ref="A810">IFERROR(INDEX(Create_TC_Web!D$1:D$1510,SMALL(IF(Create_TC_Web!$C$1:$C$1510&lt;&gt;"",MATCH(ROW(Create_TC_Web!$C$1:$C$1510),ROW(Create_TC_Web!$C$1:$C$1510)),""),ROW(Create_TC_Web!B835))),"")</f>
        <v/>
      </c>
      <c r="B810" t="str" cm="1">
        <f t="array" ref="B810">IFERROR(INDEX(Create_TC_Web!$E$1:$E$1510,SMALL(IF(Create_TC_Web!$C$1:$C$1510&lt;&gt;"",MATCH(ROW(Create_TC_Web!$C$1:$C$1510),ROW(Create_TC_Web!$C$1:$C$1510)),""),ROW(Create_TC_Web!C835))),"")</f>
        <v/>
      </c>
      <c r="P810" s="17" t="str" cm="1">
        <f t="array" ref="P810">IFERROR(INDEX(Create_TC_Web!S$1:S$500,SMALL(IF(Create_TC_Web!$C$1:$C$500&lt;&gt;"",MATCH(ROW(Create_TC_Web!$C$1:$C$500),ROW(Create_TC_Web!$C$1:$C$500)),""),ROW(Create_TC_Web!Q786))),"")</f>
        <v/>
      </c>
    </row>
    <row r="811" spans="1:16">
      <c r="A811" t="str" cm="1">
        <f t="array" ref="A811">IFERROR(INDEX(Create_TC_Web!D$1:D$1510,SMALL(IF(Create_TC_Web!$C$1:$C$1510&lt;&gt;"",MATCH(ROW(Create_TC_Web!$C$1:$C$1510),ROW(Create_TC_Web!$C$1:$C$1510)),""),ROW(Create_TC_Web!B836))),"")</f>
        <v/>
      </c>
      <c r="B811" t="str" cm="1">
        <f t="array" ref="B811">IFERROR(INDEX(Create_TC_Web!$E$1:$E$1510,SMALL(IF(Create_TC_Web!$C$1:$C$1510&lt;&gt;"",MATCH(ROW(Create_TC_Web!$C$1:$C$1510),ROW(Create_TC_Web!$C$1:$C$1510)),""),ROW(Create_TC_Web!C836))),"")</f>
        <v/>
      </c>
      <c r="P811" s="17" t="str" cm="1">
        <f t="array" ref="P811">IFERROR(INDEX(Create_TC_Web!S$1:S$500,SMALL(IF(Create_TC_Web!$C$1:$C$500&lt;&gt;"",MATCH(ROW(Create_TC_Web!$C$1:$C$500),ROW(Create_TC_Web!$C$1:$C$500)),""),ROW(Create_TC_Web!Q787))),"")</f>
        <v/>
      </c>
    </row>
    <row r="812" spans="1:16">
      <c r="A812" t="str" cm="1">
        <f t="array" ref="A812">IFERROR(INDEX(Create_TC_Web!D$1:D$1510,SMALL(IF(Create_TC_Web!$C$1:$C$1510&lt;&gt;"",MATCH(ROW(Create_TC_Web!$C$1:$C$1510),ROW(Create_TC_Web!$C$1:$C$1510)),""),ROW(Create_TC_Web!B837))),"")</f>
        <v/>
      </c>
      <c r="B812" t="str" cm="1">
        <f t="array" ref="B812">IFERROR(INDEX(Create_TC_Web!$E$1:$E$1510,SMALL(IF(Create_TC_Web!$C$1:$C$1510&lt;&gt;"",MATCH(ROW(Create_TC_Web!$C$1:$C$1510),ROW(Create_TC_Web!$C$1:$C$1510)),""),ROW(Create_TC_Web!C837))),"")</f>
        <v/>
      </c>
      <c r="P812" s="17" t="str" cm="1">
        <f t="array" ref="P812">IFERROR(INDEX(Create_TC_Web!S$1:S$500,SMALL(IF(Create_TC_Web!$C$1:$C$500&lt;&gt;"",MATCH(ROW(Create_TC_Web!$C$1:$C$500),ROW(Create_TC_Web!$C$1:$C$500)),""),ROW(Create_TC_Web!Q788))),"")</f>
        <v/>
      </c>
    </row>
    <row r="813" spans="1:16">
      <c r="A813" t="str" cm="1">
        <f t="array" ref="A813">IFERROR(INDEX(Create_TC_Web!D$1:D$1510,SMALL(IF(Create_TC_Web!$C$1:$C$1510&lt;&gt;"",MATCH(ROW(Create_TC_Web!$C$1:$C$1510),ROW(Create_TC_Web!$C$1:$C$1510)),""),ROW(Create_TC_Web!B838))),"")</f>
        <v/>
      </c>
      <c r="B813" t="str" cm="1">
        <f t="array" ref="B813">IFERROR(INDEX(Create_TC_Web!$E$1:$E$1510,SMALL(IF(Create_TC_Web!$C$1:$C$1510&lt;&gt;"",MATCH(ROW(Create_TC_Web!$C$1:$C$1510),ROW(Create_TC_Web!$C$1:$C$1510)),""),ROW(Create_TC_Web!C838))),"")</f>
        <v/>
      </c>
      <c r="P813" s="17" t="str" cm="1">
        <f t="array" ref="P813">IFERROR(INDEX(Create_TC_Web!S$1:S$500,SMALL(IF(Create_TC_Web!$C$1:$C$500&lt;&gt;"",MATCH(ROW(Create_TC_Web!$C$1:$C$500),ROW(Create_TC_Web!$C$1:$C$500)),""),ROW(Create_TC_Web!Q789))),"")</f>
        <v/>
      </c>
    </row>
    <row r="814" spans="1:16">
      <c r="A814" t="str" cm="1">
        <f t="array" ref="A814">IFERROR(INDEX(Create_TC_Web!D$1:D$1510,SMALL(IF(Create_TC_Web!$C$1:$C$1510&lt;&gt;"",MATCH(ROW(Create_TC_Web!$C$1:$C$1510),ROW(Create_TC_Web!$C$1:$C$1510)),""),ROW(Create_TC_Web!B839))),"")</f>
        <v/>
      </c>
      <c r="B814" t="str" cm="1">
        <f t="array" ref="B814">IFERROR(INDEX(Create_TC_Web!$E$1:$E$1510,SMALL(IF(Create_TC_Web!$C$1:$C$1510&lt;&gt;"",MATCH(ROW(Create_TC_Web!$C$1:$C$1510),ROW(Create_TC_Web!$C$1:$C$1510)),""),ROW(Create_TC_Web!C839))),"")</f>
        <v/>
      </c>
      <c r="P814" s="17" t="str" cm="1">
        <f t="array" ref="P814">IFERROR(INDEX(Create_TC_Web!S$1:S$500,SMALL(IF(Create_TC_Web!$C$1:$C$500&lt;&gt;"",MATCH(ROW(Create_TC_Web!$C$1:$C$500),ROW(Create_TC_Web!$C$1:$C$500)),""),ROW(Create_TC_Web!Q790))),"")</f>
        <v/>
      </c>
    </row>
    <row r="815" spans="1:16">
      <c r="A815" t="str" cm="1">
        <f t="array" ref="A815">IFERROR(INDEX(Create_TC_Web!D$1:D$1510,SMALL(IF(Create_TC_Web!$C$1:$C$1510&lt;&gt;"",MATCH(ROW(Create_TC_Web!$C$1:$C$1510),ROW(Create_TC_Web!$C$1:$C$1510)),""),ROW(Create_TC_Web!B840))),"")</f>
        <v/>
      </c>
      <c r="B815" t="str" cm="1">
        <f t="array" ref="B815">IFERROR(INDEX(Create_TC_Web!$E$1:$E$1510,SMALL(IF(Create_TC_Web!$C$1:$C$1510&lt;&gt;"",MATCH(ROW(Create_TC_Web!$C$1:$C$1510),ROW(Create_TC_Web!$C$1:$C$1510)),""),ROW(Create_TC_Web!C840))),"")</f>
        <v/>
      </c>
      <c r="P815" s="17" t="str" cm="1">
        <f t="array" ref="P815">IFERROR(INDEX(Create_TC_Web!S$1:S$500,SMALL(IF(Create_TC_Web!$C$1:$C$500&lt;&gt;"",MATCH(ROW(Create_TC_Web!$C$1:$C$500),ROW(Create_TC_Web!$C$1:$C$500)),""),ROW(Create_TC_Web!Q791))),"")</f>
        <v/>
      </c>
    </row>
    <row r="816" spans="1:16">
      <c r="A816" t="str" cm="1">
        <f t="array" ref="A816">IFERROR(INDEX(Create_TC_Web!D$1:D$1510,SMALL(IF(Create_TC_Web!$C$1:$C$1510&lt;&gt;"",MATCH(ROW(Create_TC_Web!$C$1:$C$1510),ROW(Create_TC_Web!$C$1:$C$1510)),""),ROW(Create_TC_Web!B841))),"")</f>
        <v/>
      </c>
      <c r="B816" t="str" cm="1">
        <f t="array" ref="B816">IFERROR(INDEX(Create_TC_Web!$E$1:$E$1510,SMALL(IF(Create_TC_Web!$C$1:$C$1510&lt;&gt;"",MATCH(ROW(Create_TC_Web!$C$1:$C$1510),ROW(Create_TC_Web!$C$1:$C$1510)),""),ROW(Create_TC_Web!C841))),"")</f>
        <v/>
      </c>
      <c r="P816" s="17" t="str" cm="1">
        <f t="array" ref="P816">IFERROR(INDEX(Create_TC_Web!S$1:S$500,SMALL(IF(Create_TC_Web!$C$1:$C$500&lt;&gt;"",MATCH(ROW(Create_TC_Web!$C$1:$C$500),ROW(Create_TC_Web!$C$1:$C$500)),""),ROW(Create_TC_Web!Q792))),"")</f>
        <v/>
      </c>
    </row>
    <row r="817" spans="1:16">
      <c r="A817" t="str" cm="1">
        <f t="array" ref="A817">IFERROR(INDEX(Create_TC_Web!D$1:D$1510,SMALL(IF(Create_TC_Web!$C$1:$C$1510&lt;&gt;"",MATCH(ROW(Create_TC_Web!$C$1:$C$1510),ROW(Create_TC_Web!$C$1:$C$1510)),""),ROW(Create_TC_Web!B842))),"")</f>
        <v/>
      </c>
      <c r="B817" t="str" cm="1">
        <f t="array" ref="B817">IFERROR(INDEX(Create_TC_Web!$E$1:$E$1510,SMALL(IF(Create_TC_Web!$C$1:$C$1510&lt;&gt;"",MATCH(ROW(Create_TC_Web!$C$1:$C$1510),ROW(Create_TC_Web!$C$1:$C$1510)),""),ROW(Create_TC_Web!C842))),"")</f>
        <v/>
      </c>
      <c r="P817" s="17" t="str" cm="1">
        <f t="array" ref="P817">IFERROR(INDEX(Create_TC_Web!S$1:S$500,SMALL(IF(Create_TC_Web!$C$1:$C$500&lt;&gt;"",MATCH(ROW(Create_TC_Web!$C$1:$C$500),ROW(Create_TC_Web!$C$1:$C$500)),""),ROW(Create_TC_Web!Q793))),"")</f>
        <v/>
      </c>
    </row>
    <row r="818" spans="1:16">
      <c r="A818" t="str" cm="1">
        <f t="array" ref="A818">IFERROR(INDEX(Create_TC_Web!D$1:D$1510,SMALL(IF(Create_TC_Web!$C$1:$C$1510&lt;&gt;"",MATCH(ROW(Create_TC_Web!$C$1:$C$1510),ROW(Create_TC_Web!$C$1:$C$1510)),""),ROW(Create_TC_Web!B843))),"")</f>
        <v/>
      </c>
      <c r="B818" t="str" cm="1">
        <f t="array" ref="B818">IFERROR(INDEX(Create_TC_Web!$E$1:$E$1510,SMALL(IF(Create_TC_Web!$C$1:$C$1510&lt;&gt;"",MATCH(ROW(Create_TC_Web!$C$1:$C$1510),ROW(Create_TC_Web!$C$1:$C$1510)),""),ROW(Create_TC_Web!C843))),"")</f>
        <v/>
      </c>
      <c r="P818" s="17" t="str" cm="1">
        <f t="array" ref="P818">IFERROR(INDEX(Create_TC_Web!S$1:S$500,SMALL(IF(Create_TC_Web!$C$1:$C$500&lt;&gt;"",MATCH(ROW(Create_TC_Web!$C$1:$C$500),ROW(Create_TC_Web!$C$1:$C$500)),""),ROW(Create_TC_Web!Q794))),"")</f>
        <v/>
      </c>
    </row>
    <row r="819" spans="1:16">
      <c r="A819" t="str" cm="1">
        <f t="array" ref="A819">IFERROR(INDEX(Create_TC_Web!D$1:D$1510,SMALL(IF(Create_TC_Web!$C$1:$C$1510&lt;&gt;"",MATCH(ROW(Create_TC_Web!$C$1:$C$1510),ROW(Create_TC_Web!$C$1:$C$1510)),""),ROW(Create_TC_Web!B844))),"")</f>
        <v/>
      </c>
      <c r="B819" t="str" cm="1">
        <f t="array" ref="B819">IFERROR(INDEX(Create_TC_Web!$E$1:$E$1510,SMALL(IF(Create_TC_Web!$C$1:$C$1510&lt;&gt;"",MATCH(ROW(Create_TC_Web!$C$1:$C$1510),ROW(Create_TC_Web!$C$1:$C$1510)),""),ROW(Create_TC_Web!C844))),"")</f>
        <v/>
      </c>
      <c r="P819" s="17" t="str" cm="1">
        <f t="array" ref="P819">IFERROR(INDEX(Create_TC_Web!S$1:S$500,SMALL(IF(Create_TC_Web!$C$1:$C$500&lt;&gt;"",MATCH(ROW(Create_TC_Web!$C$1:$C$500),ROW(Create_TC_Web!$C$1:$C$500)),""),ROW(Create_TC_Web!Q795))),"")</f>
        <v/>
      </c>
    </row>
    <row r="820" spans="1:16">
      <c r="A820" t="str" cm="1">
        <f t="array" ref="A820">IFERROR(INDEX(Create_TC_Web!D$1:D$1510,SMALL(IF(Create_TC_Web!$C$1:$C$1510&lt;&gt;"",MATCH(ROW(Create_TC_Web!$C$1:$C$1510),ROW(Create_TC_Web!$C$1:$C$1510)),""),ROW(Create_TC_Web!B845))),"")</f>
        <v/>
      </c>
      <c r="B820" t="str" cm="1">
        <f t="array" ref="B820">IFERROR(INDEX(Create_TC_Web!$E$1:$E$1510,SMALL(IF(Create_TC_Web!$C$1:$C$1510&lt;&gt;"",MATCH(ROW(Create_TC_Web!$C$1:$C$1510),ROW(Create_TC_Web!$C$1:$C$1510)),""),ROW(Create_TC_Web!C845))),"")</f>
        <v/>
      </c>
      <c r="P820" s="17" t="str" cm="1">
        <f t="array" ref="P820">IFERROR(INDEX(Create_TC_Web!S$1:S$500,SMALL(IF(Create_TC_Web!$C$1:$C$500&lt;&gt;"",MATCH(ROW(Create_TC_Web!$C$1:$C$500),ROW(Create_TC_Web!$C$1:$C$500)),""),ROW(Create_TC_Web!Q796))),"")</f>
        <v/>
      </c>
    </row>
    <row r="821" spans="1:16">
      <c r="A821" t="str" cm="1">
        <f t="array" ref="A821">IFERROR(INDEX(Create_TC_Web!D$1:D$1510,SMALL(IF(Create_TC_Web!$C$1:$C$1510&lt;&gt;"",MATCH(ROW(Create_TC_Web!$C$1:$C$1510),ROW(Create_TC_Web!$C$1:$C$1510)),""),ROW(Create_TC_Web!B846))),"")</f>
        <v/>
      </c>
      <c r="B821" t="str" cm="1">
        <f t="array" ref="B821">IFERROR(INDEX(Create_TC_Web!$E$1:$E$1510,SMALL(IF(Create_TC_Web!$C$1:$C$1510&lt;&gt;"",MATCH(ROW(Create_TC_Web!$C$1:$C$1510),ROW(Create_TC_Web!$C$1:$C$1510)),""),ROW(Create_TC_Web!C846))),"")</f>
        <v/>
      </c>
      <c r="P821" s="17" t="str" cm="1">
        <f t="array" ref="P821">IFERROR(INDEX(Create_TC_Web!S$1:S$500,SMALL(IF(Create_TC_Web!$C$1:$C$500&lt;&gt;"",MATCH(ROW(Create_TC_Web!$C$1:$C$500),ROW(Create_TC_Web!$C$1:$C$500)),""),ROW(Create_TC_Web!Q797))),"")</f>
        <v/>
      </c>
    </row>
    <row r="822" spans="1:16">
      <c r="A822" t="str" cm="1">
        <f t="array" ref="A822">IFERROR(INDEX(Create_TC_Web!D$1:D$1510,SMALL(IF(Create_TC_Web!$C$1:$C$1510&lt;&gt;"",MATCH(ROW(Create_TC_Web!$C$1:$C$1510),ROW(Create_TC_Web!$C$1:$C$1510)),""),ROW(Create_TC_Web!B847))),"")</f>
        <v/>
      </c>
      <c r="B822" t="str" cm="1">
        <f t="array" ref="B822">IFERROR(INDEX(Create_TC_Web!$E$1:$E$1510,SMALL(IF(Create_TC_Web!$C$1:$C$1510&lt;&gt;"",MATCH(ROW(Create_TC_Web!$C$1:$C$1510),ROW(Create_TC_Web!$C$1:$C$1510)),""),ROW(Create_TC_Web!C847))),"")</f>
        <v/>
      </c>
      <c r="P822" s="17" t="str" cm="1">
        <f t="array" ref="P822">IFERROR(INDEX(Create_TC_Web!S$1:S$500,SMALL(IF(Create_TC_Web!$C$1:$C$500&lt;&gt;"",MATCH(ROW(Create_TC_Web!$C$1:$C$500),ROW(Create_TC_Web!$C$1:$C$500)),""),ROW(Create_TC_Web!Q798))),"")</f>
        <v/>
      </c>
    </row>
    <row r="823" spans="1:16">
      <c r="A823" t="str" cm="1">
        <f t="array" ref="A823">IFERROR(INDEX(Create_TC_Web!D$1:D$1510,SMALL(IF(Create_TC_Web!$C$1:$C$1510&lt;&gt;"",MATCH(ROW(Create_TC_Web!$C$1:$C$1510),ROW(Create_TC_Web!$C$1:$C$1510)),""),ROW(Create_TC_Web!B848))),"")</f>
        <v/>
      </c>
      <c r="B823" t="str" cm="1">
        <f t="array" ref="B823">IFERROR(INDEX(Create_TC_Web!$E$1:$E$1510,SMALL(IF(Create_TC_Web!$C$1:$C$1510&lt;&gt;"",MATCH(ROW(Create_TC_Web!$C$1:$C$1510),ROW(Create_TC_Web!$C$1:$C$1510)),""),ROW(Create_TC_Web!C848))),"")</f>
        <v/>
      </c>
      <c r="P823" s="17" t="str" cm="1">
        <f t="array" ref="P823">IFERROR(INDEX(Create_TC_Web!S$1:S$500,SMALL(IF(Create_TC_Web!$C$1:$C$500&lt;&gt;"",MATCH(ROW(Create_TC_Web!$C$1:$C$500),ROW(Create_TC_Web!$C$1:$C$500)),""),ROW(Create_TC_Web!Q799))),"")</f>
        <v/>
      </c>
    </row>
    <row r="824" spans="1:16">
      <c r="A824" t="str" cm="1">
        <f t="array" ref="A824">IFERROR(INDEX(Create_TC_Web!D$1:D$1510,SMALL(IF(Create_TC_Web!$C$1:$C$1510&lt;&gt;"",MATCH(ROW(Create_TC_Web!$C$1:$C$1510),ROW(Create_TC_Web!$C$1:$C$1510)),""),ROW(Create_TC_Web!B849))),"")</f>
        <v/>
      </c>
      <c r="B824" t="str" cm="1">
        <f t="array" ref="B824">IFERROR(INDEX(Create_TC_Web!$E$1:$E$1510,SMALL(IF(Create_TC_Web!$C$1:$C$1510&lt;&gt;"",MATCH(ROW(Create_TC_Web!$C$1:$C$1510),ROW(Create_TC_Web!$C$1:$C$1510)),""),ROW(Create_TC_Web!C849))),"")</f>
        <v/>
      </c>
      <c r="P824" s="17" t="str" cm="1">
        <f t="array" ref="P824">IFERROR(INDEX(Create_TC_Web!S$1:S$500,SMALL(IF(Create_TC_Web!$C$1:$C$500&lt;&gt;"",MATCH(ROW(Create_TC_Web!$C$1:$C$500),ROW(Create_TC_Web!$C$1:$C$500)),""),ROW(Create_TC_Web!Q800))),"")</f>
        <v/>
      </c>
    </row>
    <row r="825" spans="1:16">
      <c r="A825" t="str" cm="1">
        <f t="array" ref="A825">IFERROR(INDEX(Create_TC_Web!D$1:D$1510,SMALL(IF(Create_TC_Web!$C$1:$C$1510&lt;&gt;"",MATCH(ROW(Create_TC_Web!$C$1:$C$1510),ROW(Create_TC_Web!$C$1:$C$1510)),""),ROW(Create_TC_Web!B850))),"")</f>
        <v/>
      </c>
      <c r="B825" t="str" cm="1">
        <f t="array" ref="B825">IFERROR(INDEX(Create_TC_Web!$E$1:$E$1510,SMALL(IF(Create_TC_Web!$C$1:$C$1510&lt;&gt;"",MATCH(ROW(Create_TC_Web!$C$1:$C$1510),ROW(Create_TC_Web!$C$1:$C$1510)),""),ROW(Create_TC_Web!C850))),"")</f>
        <v/>
      </c>
      <c r="P825" s="17" t="str" cm="1">
        <f t="array" ref="P825">IFERROR(INDEX(Create_TC_Web!S$1:S$500,SMALL(IF(Create_TC_Web!$C$1:$C$500&lt;&gt;"",MATCH(ROW(Create_TC_Web!$C$1:$C$500),ROW(Create_TC_Web!$C$1:$C$500)),""),ROW(Create_TC_Web!Q801))),"")</f>
        <v/>
      </c>
    </row>
    <row r="826" spans="1:16">
      <c r="A826" t="str" cm="1">
        <f t="array" ref="A826">IFERROR(INDEX(Create_TC_Web!D$1:D$1510,SMALL(IF(Create_TC_Web!$C$1:$C$1510&lt;&gt;"",MATCH(ROW(Create_TC_Web!$C$1:$C$1510),ROW(Create_TC_Web!$C$1:$C$1510)),""),ROW(Create_TC_Web!B851))),"")</f>
        <v/>
      </c>
      <c r="B826" t="str" cm="1">
        <f t="array" ref="B826">IFERROR(INDEX(Create_TC_Web!$E$1:$E$1510,SMALL(IF(Create_TC_Web!$C$1:$C$1510&lt;&gt;"",MATCH(ROW(Create_TC_Web!$C$1:$C$1510),ROW(Create_TC_Web!$C$1:$C$1510)),""),ROW(Create_TC_Web!C851))),"")</f>
        <v/>
      </c>
      <c r="P826" s="17" t="str" cm="1">
        <f t="array" ref="P826">IFERROR(INDEX(Create_TC_Web!S$1:S$500,SMALL(IF(Create_TC_Web!$C$1:$C$500&lt;&gt;"",MATCH(ROW(Create_TC_Web!$C$1:$C$500),ROW(Create_TC_Web!$C$1:$C$500)),""),ROW(Create_TC_Web!Q802))),"")</f>
        <v/>
      </c>
    </row>
    <row r="827" spans="1:16">
      <c r="A827" t="str" cm="1">
        <f t="array" ref="A827">IFERROR(INDEX(Create_TC_Web!D$1:D$1510,SMALL(IF(Create_TC_Web!$C$1:$C$1510&lt;&gt;"",MATCH(ROW(Create_TC_Web!$C$1:$C$1510),ROW(Create_TC_Web!$C$1:$C$1510)),""),ROW(Create_TC_Web!B852))),"")</f>
        <v/>
      </c>
      <c r="B827" t="str" cm="1">
        <f t="array" ref="B827">IFERROR(INDEX(Create_TC_Web!$E$1:$E$1510,SMALL(IF(Create_TC_Web!$C$1:$C$1510&lt;&gt;"",MATCH(ROW(Create_TC_Web!$C$1:$C$1510),ROW(Create_TC_Web!$C$1:$C$1510)),""),ROW(Create_TC_Web!C852))),"")</f>
        <v/>
      </c>
      <c r="P827" s="17" t="str" cm="1">
        <f t="array" ref="P827">IFERROR(INDEX(Create_TC_Web!S$1:S$500,SMALL(IF(Create_TC_Web!$C$1:$C$500&lt;&gt;"",MATCH(ROW(Create_TC_Web!$C$1:$C$500),ROW(Create_TC_Web!$C$1:$C$500)),""),ROW(Create_TC_Web!Q803))),"")</f>
        <v/>
      </c>
    </row>
    <row r="828" spans="1:16">
      <c r="A828" t="str" cm="1">
        <f t="array" ref="A828">IFERROR(INDEX(Create_TC_Web!D$1:D$1510,SMALL(IF(Create_TC_Web!$C$1:$C$1510&lt;&gt;"",MATCH(ROW(Create_TC_Web!$C$1:$C$1510),ROW(Create_TC_Web!$C$1:$C$1510)),""),ROW(Create_TC_Web!B853))),"")</f>
        <v/>
      </c>
      <c r="B828" t="str" cm="1">
        <f t="array" ref="B828">IFERROR(INDEX(Create_TC_Web!$E$1:$E$1510,SMALL(IF(Create_TC_Web!$C$1:$C$1510&lt;&gt;"",MATCH(ROW(Create_TC_Web!$C$1:$C$1510),ROW(Create_TC_Web!$C$1:$C$1510)),""),ROW(Create_TC_Web!C853))),"")</f>
        <v/>
      </c>
      <c r="P828" s="17" t="str" cm="1">
        <f t="array" ref="P828">IFERROR(INDEX(Create_TC_Web!S$1:S$500,SMALL(IF(Create_TC_Web!$C$1:$C$500&lt;&gt;"",MATCH(ROW(Create_TC_Web!$C$1:$C$500),ROW(Create_TC_Web!$C$1:$C$500)),""),ROW(Create_TC_Web!Q804))),"")</f>
        <v/>
      </c>
    </row>
    <row r="829" spans="1:16">
      <c r="A829" t="str" cm="1">
        <f t="array" ref="A829">IFERROR(INDEX(Create_TC_Web!D$1:D$1510,SMALL(IF(Create_TC_Web!$C$1:$C$1510&lt;&gt;"",MATCH(ROW(Create_TC_Web!$C$1:$C$1510),ROW(Create_TC_Web!$C$1:$C$1510)),""),ROW(Create_TC_Web!B854))),"")</f>
        <v/>
      </c>
      <c r="B829" t="str" cm="1">
        <f t="array" ref="B829">IFERROR(INDEX(Create_TC_Web!$E$1:$E$1510,SMALL(IF(Create_TC_Web!$C$1:$C$1510&lt;&gt;"",MATCH(ROW(Create_TC_Web!$C$1:$C$1510),ROW(Create_TC_Web!$C$1:$C$1510)),""),ROW(Create_TC_Web!C854))),"")</f>
        <v/>
      </c>
      <c r="P829" s="17" t="str" cm="1">
        <f t="array" ref="P829">IFERROR(INDEX(Create_TC_Web!S$1:S$500,SMALL(IF(Create_TC_Web!$C$1:$C$500&lt;&gt;"",MATCH(ROW(Create_TC_Web!$C$1:$C$500),ROW(Create_TC_Web!$C$1:$C$500)),""),ROW(Create_TC_Web!Q805))),"")</f>
        <v/>
      </c>
    </row>
    <row r="830" spans="1:16">
      <c r="A830" t="str" cm="1">
        <f t="array" ref="A830">IFERROR(INDEX(Create_TC_Web!D$1:D$1510,SMALL(IF(Create_TC_Web!$C$1:$C$1510&lt;&gt;"",MATCH(ROW(Create_TC_Web!$C$1:$C$1510),ROW(Create_TC_Web!$C$1:$C$1510)),""),ROW(Create_TC_Web!B855))),"")</f>
        <v/>
      </c>
      <c r="B830" t="str" cm="1">
        <f t="array" ref="B830">IFERROR(INDEX(Create_TC_Web!$E$1:$E$1510,SMALL(IF(Create_TC_Web!$C$1:$C$1510&lt;&gt;"",MATCH(ROW(Create_TC_Web!$C$1:$C$1510),ROW(Create_TC_Web!$C$1:$C$1510)),""),ROW(Create_TC_Web!C855))),"")</f>
        <v/>
      </c>
      <c r="P830" s="17" t="str" cm="1">
        <f t="array" ref="P830">IFERROR(INDEX(Create_TC_Web!S$1:S$500,SMALL(IF(Create_TC_Web!$C$1:$C$500&lt;&gt;"",MATCH(ROW(Create_TC_Web!$C$1:$C$500),ROW(Create_TC_Web!$C$1:$C$500)),""),ROW(Create_TC_Web!Q806))),"")</f>
        <v/>
      </c>
    </row>
    <row r="831" spans="1:16">
      <c r="A831" t="str" cm="1">
        <f t="array" ref="A831">IFERROR(INDEX(Create_TC_Web!D$1:D$1510,SMALL(IF(Create_TC_Web!$C$1:$C$1510&lt;&gt;"",MATCH(ROW(Create_TC_Web!$C$1:$C$1510),ROW(Create_TC_Web!$C$1:$C$1510)),""),ROW(Create_TC_Web!B856))),"")</f>
        <v/>
      </c>
      <c r="B831" t="str" cm="1">
        <f t="array" ref="B831">IFERROR(INDEX(Create_TC_Web!$E$1:$E$1510,SMALL(IF(Create_TC_Web!$C$1:$C$1510&lt;&gt;"",MATCH(ROW(Create_TC_Web!$C$1:$C$1510),ROW(Create_TC_Web!$C$1:$C$1510)),""),ROW(Create_TC_Web!C856))),"")</f>
        <v/>
      </c>
      <c r="P831" s="17" t="str" cm="1">
        <f t="array" ref="P831">IFERROR(INDEX(Create_TC_Web!S$1:S$500,SMALL(IF(Create_TC_Web!$C$1:$C$500&lt;&gt;"",MATCH(ROW(Create_TC_Web!$C$1:$C$500),ROW(Create_TC_Web!$C$1:$C$500)),""),ROW(Create_TC_Web!Q807))),"")</f>
        <v/>
      </c>
    </row>
    <row r="832" spans="1:16">
      <c r="A832" t="str" cm="1">
        <f t="array" ref="A832">IFERROR(INDEX(Create_TC_Web!D$1:D$1510,SMALL(IF(Create_TC_Web!$C$1:$C$1510&lt;&gt;"",MATCH(ROW(Create_TC_Web!$C$1:$C$1510),ROW(Create_TC_Web!$C$1:$C$1510)),""),ROW(Create_TC_Web!B857))),"")</f>
        <v/>
      </c>
      <c r="B832" t="str" cm="1">
        <f t="array" ref="B832">IFERROR(INDEX(Create_TC_Web!$E$1:$E$1510,SMALL(IF(Create_TC_Web!$C$1:$C$1510&lt;&gt;"",MATCH(ROW(Create_TC_Web!$C$1:$C$1510),ROW(Create_TC_Web!$C$1:$C$1510)),""),ROW(Create_TC_Web!C857))),"")</f>
        <v/>
      </c>
      <c r="P832" s="17" t="str" cm="1">
        <f t="array" ref="P832">IFERROR(INDEX(Create_TC_Web!S$1:S$500,SMALL(IF(Create_TC_Web!$C$1:$C$500&lt;&gt;"",MATCH(ROW(Create_TC_Web!$C$1:$C$500),ROW(Create_TC_Web!$C$1:$C$500)),""),ROW(Create_TC_Web!Q808))),"")</f>
        <v/>
      </c>
    </row>
    <row r="833" spans="1:16">
      <c r="A833" t="str" cm="1">
        <f t="array" ref="A833">IFERROR(INDEX(Create_TC_Web!D$1:D$1510,SMALL(IF(Create_TC_Web!$C$1:$C$1510&lt;&gt;"",MATCH(ROW(Create_TC_Web!$C$1:$C$1510),ROW(Create_TC_Web!$C$1:$C$1510)),""),ROW(Create_TC_Web!B858))),"")</f>
        <v/>
      </c>
      <c r="B833" t="str" cm="1">
        <f t="array" ref="B833">IFERROR(INDEX(Create_TC_Web!$E$1:$E$1510,SMALL(IF(Create_TC_Web!$C$1:$C$1510&lt;&gt;"",MATCH(ROW(Create_TC_Web!$C$1:$C$1510),ROW(Create_TC_Web!$C$1:$C$1510)),""),ROW(Create_TC_Web!C858))),"")</f>
        <v/>
      </c>
      <c r="P833" s="17" t="str" cm="1">
        <f t="array" ref="P833">IFERROR(INDEX(Create_TC_Web!S$1:S$500,SMALL(IF(Create_TC_Web!$C$1:$C$500&lt;&gt;"",MATCH(ROW(Create_TC_Web!$C$1:$C$500),ROW(Create_TC_Web!$C$1:$C$500)),""),ROW(Create_TC_Web!Q809))),"")</f>
        <v/>
      </c>
    </row>
    <row r="834" spans="1:16">
      <c r="A834" t="str" cm="1">
        <f t="array" ref="A834">IFERROR(INDEX(Create_TC_Web!D$1:D$1510,SMALL(IF(Create_TC_Web!$C$1:$C$1510&lt;&gt;"",MATCH(ROW(Create_TC_Web!$C$1:$C$1510),ROW(Create_TC_Web!$C$1:$C$1510)),""),ROW(Create_TC_Web!B859))),"")</f>
        <v/>
      </c>
      <c r="B834" t="str" cm="1">
        <f t="array" ref="B834">IFERROR(INDEX(Create_TC_Web!$E$1:$E$1510,SMALL(IF(Create_TC_Web!$C$1:$C$1510&lt;&gt;"",MATCH(ROW(Create_TC_Web!$C$1:$C$1510),ROW(Create_TC_Web!$C$1:$C$1510)),""),ROW(Create_TC_Web!C859))),"")</f>
        <v/>
      </c>
      <c r="P834" s="17" t="str" cm="1">
        <f t="array" ref="P834">IFERROR(INDEX(Create_TC_Web!S$1:S$500,SMALL(IF(Create_TC_Web!$C$1:$C$500&lt;&gt;"",MATCH(ROW(Create_TC_Web!$C$1:$C$500),ROW(Create_TC_Web!$C$1:$C$500)),""),ROW(Create_TC_Web!Q810))),"")</f>
        <v/>
      </c>
    </row>
    <row r="835" spans="1:16">
      <c r="A835" t="str" cm="1">
        <f t="array" ref="A835">IFERROR(INDEX(Create_TC_Web!D$1:D$1510,SMALL(IF(Create_TC_Web!$C$1:$C$1510&lt;&gt;"",MATCH(ROW(Create_TC_Web!$C$1:$C$1510),ROW(Create_TC_Web!$C$1:$C$1510)),""),ROW(Create_TC_Web!B860))),"")</f>
        <v/>
      </c>
      <c r="B835" t="str" cm="1">
        <f t="array" ref="B835">IFERROR(INDEX(Create_TC_Web!$E$1:$E$1510,SMALL(IF(Create_TC_Web!$C$1:$C$1510&lt;&gt;"",MATCH(ROW(Create_TC_Web!$C$1:$C$1510),ROW(Create_TC_Web!$C$1:$C$1510)),""),ROW(Create_TC_Web!C860))),"")</f>
        <v/>
      </c>
      <c r="P835" s="17" t="str" cm="1">
        <f t="array" ref="P835">IFERROR(INDEX(Create_TC_Web!S$1:S$500,SMALL(IF(Create_TC_Web!$C$1:$C$500&lt;&gt;"",MATCH(ROW(Create_TC_Web!$C$1:$C$500),ROW(Create_TC_Web!$C$1:$C$500)),""),ROW(Create_TC_Web!Q811))),"")</f>
        <v/>
      </c>
    </row>
    <row r="836" spans="1:16">
      <c r="A836" t="str" cm="1">
        <f t="array" ref="A836">IFERROR(INDEX(Create_TC_Web!D$1:D$1510,SMALL(IF(Create_TC_Web!$C$1:$C$1510&lt;&gt;"",MATCH(ROW(Create_TC_Web!$C$1:$C$1510),ROW(Create_TC_Web!$C$1:$C$1510)),""),ROW(Create_TC_Web!B861))),"")</f>
        <v/>
      </c>
      <c r="B836" t="str" cm="1">
        <f t="array" ref="B836">IFERROR(INDEX(Create_TC_Web!$E$1:$E$1510,SMALL(IF(Create_TC_Web!$C$1:$C$1510&lt;&gt;"",MATCH(ROW(Create_TC_Web!$C$1:$C$1510),ROW(Create_TC_Web!$C$1:$C$1510)),""),ROW(Create_TC_Web!C861))),"")</f>
        <v/>
      </c>
      <c r="P836" s="17" t="str" cm="1">
        <f t="array" ref="P836">IFERROR(INDEX(Create_TC_Web!S$1:S$500,SMALL(IF(Create_TC_Web!$C$1:$C$500&lt;&gt;"",MATCH(ROW(Create_TC_Web!$C$1:$C$500),ROW(Create_TC_Web!$C$1:$C$500)),""),ROW(Create_TC_Web!Q812))),"")</f>
        <v/>
      </c>
    </row>
    <row r="837" spans="1:16">
      <c r="A837" t="str" cm="1">
        <f t="array" ref="A837">IFERROR(INDEX(Create_TC_Web!D$1:D$1510,SMALL(IF(Create_TC_Web!$C$1:$C$1510&lt;&gt;"",MATCH(ROW(Create_TC_Web!$C$1:$C$1510),ROW(Create_TC_Web!$C$1:$C$1510)),""),ROW(Create_TC_Web!B862))),"")</f>
        <v/>
      </c>
      <c r="B837" t="str" cm="1">
        <f t="array" ref="B837">IFERROR(INDEX(Create_TC_Web!$E$1:$E$1510,SMALL(IF(Create_TC_Web!$C$1:$C$1510&lt;&gt;"",MATCH(ROW(Create_TC_Web!$C$1:$C$1510),ROW(Create_TC_Web!$C$1:$C$1510)),""),ROW(Create_TC_Web!C862))),"")</f>
        <v/>
      </c>
      <c r="P837" s="17" t="str" cm="1">
        <f t="array" ref="P837">IFERROR(INDEX(Create_TC_Web!S$1:S$500,SMALL(IF(Create_TC_Web!$C$1:$C$500&lt;&gt;"",MATCH(ROW(Create_TC_Web!$C$1:$C$500),ROW(Create_TC_Web!$C$1:$C$500)),""),ROW(Create_TC_Web!Q813))),"")</f>
        <v/>
      </c>
    </row>
    <row r="838" spans="1:16">
      <c r="A838" t="str" cm="1">
        <f t="array" ref="A838">IFERROR(INDEX(Create_TC_Web!D$1:D$1510,SMALL(IF(Create_TC_Web!$C$1:$C$1510&lt;&gt;"",MATCH(ROW(Create_TC_Web!$C$1:$C$1510),ROW(Create_TC_Web!$C$1:$C$1510)),""),ROW(Create_TC_Web!B863))),"")</f>
        <v/>
      </c>
      <c r="B838" t="str" cm="1">
        <f t="array" ref="B838">IFERROR(INDEX(Create_TC_Web!$E$1:$E$1510,SMALL(IF(Create_TC_Web!$C$1:$C$1510&lt;&gt;"",MATCH(ROW(Create_TC_Web!$C$1:$C$1510),ROW(Create_TC_Web!$C$1:$C$1510)),""),ROW(Create_TC_Web!C863))),"")</f>
        <v/>
      </c>
      <c r="P838" s="17" t="str" cm="1">
        <f t="array" ref="P838">IFERROR(INDEX(Create_TC_Web!S$1:S$500,SMALL(IF(Create_TC_Web!$C$1:$C$500&lt;&gt;"",MATCH(ROW(Create_TC_Web!$C$1:$C$500),ROW(Create_TC_Web!$C$1:$C$500)),""),ROW(Create_TC_Web!Q814))),"")</f>
        <v/>
      </c>
    </row>
    <row r="839" spans="1:16">
      <c r="A839" t="str" cm="1">
        <f t="array" ref="A839">IFERROR(INDEX(Create_TC_Web!D$1:D$1510,SMALL(IF(Create_TC_Web!$C$1:$C$1510&lt;&gt;"",MATCH(ROW(Create_TC_Web!$C$1:$C$1510),ROW(Create_TC_Web!$C$1:$C$1510)),""),ROW(Create_TC_Web!B864))),"")</f>
        <v/>
      </c>
      <c r="B839" t="str" cm="1">
        <f t="array" ref="B839">IFERROR(INDEX(Create_TC_Web!$E$1:$E$1510,SMALL(IF(Create_TC_Web!$C$1:$C$1510&lt;&gt;"",MATCH(ROW(Create_TC_Web!$C$1:$C$1510),ROW(Create_TC_Web!$C$1:$C$1510)),""),ROW(Create_TC_Web!C864))),"")</f>
        <v/>
      </c>
      <c r="P839" s="17" t="str" cm="1">
        <f t="array" ref="P839">IFERROR(INDEX(Create_TC_Web!S$1:S$500,SMALL(IF(Create_TC_Web!$C$1:$C$500&lt;&gt;"",MATCH(ROW(Create_TC_Web!$C$1:$C$500),ROW(Create_TC_Web!$C$1:$C$500)),""),ROW(Create_TC_Web!Q815))),"")</f>
        <v/>
      </c>
    </row>
    <row r="840" spans="1:16">
      <c r="A840" t="str" cm="1">
        <f t="array" ref="A840">IFERROR(INDEX(Create_TC_Web!D$1:D$1510,SMALL(IF(Create_TC_Web!$C$1:$C$1510&lt;&gt;"",MATCH(ROW(Create_TC_Web!$C$1:$C$1510),ROW(Create_TC_Web!$C$1:$C$1510)),""),ROW(Create_TC_Web!B865))),"")</f>
        <v/>
      </c>
      <c r="B840" t="str" cm="1">
        <f t="array" ref="B840">IFERROR(INDEX(Create_TC_Web!$E$1:$E$1510,SMALL(IF(Create_TC_Web!$C$1:$C$1510&lt;&gt;"",MATCH(ROW(Create_TC_Web!$C$1:$C$1510),ROW(Create_TC_Web!$C$1:$C$1510)),""),ROW(Create_TC_Web!C865))),"")</f>
        <v/>
      </c>
      <c r="P840" s="17" t="str" cm="1">
        <f t="array" ref="P840">IFERROR(INDEX(Create_TC_Web!S$1:S$500,SMALL(IF(Create_TC_Web!$C$1:$C$500&lt;&gt;"",MATCH(ROW(Create_TC_Web!$C$1:$C$500),ROW(Create_TC_Web!$C$1:$C$500)),""),ROW(Create_TC_Web!Q816))),"")</f>
        <v/>
      </c>
    </row>
    <row r="841" spans="1:16">
      <c r="A841" t="str" cm="1">
        <f t="array" ref="A841">IFERROR(INDEX(Create_TC_Web!D$1:D$1510,SMALL(IF(Create_TC_Web!$C$1:$C$1510&lt;&gt;"",MATCH(ROW(Create_TC_Web!$C$1:$C$1510),ROW(Create_TC_Web!$C$1:$C$1510)),""),ROW(Create_TC_Web!B866))),"")</f>
        <v/>
      </c>
      <c r="B841" t="str" cm="1">
        <f t="array" ref="B841">IFERROR(INDEX(Create_TC_Web!$E$1:$E$1510,SMALL(IF(Create_TC_Web!$C$1:$C$1510&lt;&gt;"",MATCH(ROW(Create_TC_Web!$C$1:$C$1510),ROW(Create_TC_Web!$C$1:$C$1510)),""),ROW(Create_TC_Web!C866))),"")</f>
        <v/>
      </c>
      <c r="P841" s="17" t="str" cm="1">
        <f t="array" ref="P841">IFERROR(INDEX(Create_TC_Web!S$1:S$500,SMALL(IF(Create_TC_Web!$C$1:$C$500&lt;&gt;"",MATCH(ROW(Create_TC_Web!$C$1:$C$500),ROW(Create_TC_Web!$C$1:$C$500)),""),ROW(Create_TC_Web!Q817))),"")</f>
        <v/>
      </c>
    </row>
    <row r="842" spans="1:16">
      <c r="A842" t="str" cm="1">
        <f t="array" ref="A842">IFERROR(INDEX(Create_TC_Web!D$1:D$1510,SMALL(IF(Create_TC_Web!$C$1:$C$1510&lt;&gt;"",MATCH(ROW(Create_TC_Web!$C$1:$C$1510),ROW(Create_TC_Web!$C$1:$C$1510)),""),ROW(Create_TC_Web!B867))),"")</f>
        <v/>
      </c>
      <c r="B842" t="str" cm="1">
        <f t="array" ref="B842">IFERROR(INDEX(Create_TC_Web!$E$1:$E$1510,SMALL(IF(Create_TC_Web!$C$1:$C$1510&lt;&gt;"",MATCH(ROW(Create_TC_Web!$C$1:$C$1510),ROW(Create_TC_Web!$C$1:$C$1510)),""),ROW(Create_TC_Web!C867))),"")</f>
        <v/>
      </c>
      <c r="P842" s="17" t="str" cm="1">
        <f t="array" ref="P842">IFERROR(INDEX(Create_TC_Web!S$1:S$500,SMALL(IF(Create_TC_Web!$C$1:$C$500&lt;&gt;"",MATCH(ROW(Create_TC_Web!$C$1:$C$500),ROW(Create_TC_Web!$C$1:$C$500)),""),ROW(Create_TC_Web!Q818))),"")</f>
        <v/>
      </c>
    </row>
    <row r="843" spans="1:16">
      <c r="A843" t="str" cm="1">
        <f t="array" ref="A843">IFERROR(INDEX(Create_TC_Web!D$1:D$1510,SMALL(IF(Create_TC_Web!$C$1:$C$1510&lt;&gt;"",MATCH(ROW(Create_TC_Web!$C$1:$C$1510),ROW(Create_TC_Web!$C$1:$C$1510)),""),ROW(Create_TC_Web!B868))),"")</f>
        <v/>
      </c>
      <c r="B843" t="str" cm="1">
        <f t="array" ref="B843">IFERROR(INDEX(Create_TC_Web!$E$1:$E$1510,SMALL(IF(Create_TC_Web!$C$1:$C$1510&lt;&gt;"",MATCH(ROW(Create_TC_Web!$C$1:$C$1510),ROW(Create_TC_Web!$C$1:$C$1510)),""),ROW(Create_TC_Web!C868))),"")</f>
        <v/>
      </c>
      <c r="P843" s="17" t="str" cm="1">
        <f t="array" ref="P843">IFERROR(INDEX(Create_TC_Web!S$1:S$500,SMALL(IF(Create_TC_Web!$C$1:$C$500&lt;&gt;"",MATCH(ROW(Create_TC_Web!$C$1:$C$500),ROW(Create_TC_Web!$C$1:$C$500)),""),ROW(Create_TC_Web!Q819))),"")</f>
        <v/>
      </c>
    </row>
    <row r="844" spans="1:16">
      <c r="A844" t="str" cm="1">
        <f t="array" ref="A844">IFERROR(INDEX(Create_TC_Web!D$1:D$1510,SMALL(IF(Create_TC_Web!$C$1:$C$1510&lt;&gt;"",MATCH(ROW(Create_TC_Web!$C$1:$C$1510),ROW(Create_TC_Web!$C$1:$C$1510)),""),ROW(Create_TC_Web!B869))),"")</f>
        <v/>
      </c>
      <c r="B844" t="str" cm="1">
        <f t="array" ref="B844">IFERROR(INDEX(Create_TC_Web!$E$1:$E$1510,SMALL(IF(Create_TC_Web!$C$1:$C$1510&lt;&gt;"",MATCH(ROW(Create_TC_Web!$C$1:$C$1510),ROW(Create_TC_Web!$C$1:$C$1510)),""),ROW(Create_TC_Web!C869))),"")</f>
        <v/>
      </c>
      <c r="P844" s="17" t="str" cm="1">
        <f t="array" ref="P844">IFERROR(INDEX(Create_TC_Web!S$1:S$500,SMALL(IF(Create_TC_Web!$C$1:$C$500&lt;&gt;"",MATCH(ROW(Create_TC_Web!$C$1:$C$500),ROW(Create_TC_Web!$C$1:$C$500)),""),ROW(Create_TC_Web!Q820))),"")</f>
        <v/>
      </c>
    </row>
    <row r="845" spans="1:16">
      <c r="A845" t="str" cm="1">
        <f t="array" ref="A845">IFERROR(INDEX(Create_TC_Web!D$1:D$1510,SMALL(IF(Create_TC_Web!$C$1:$C$1510&lt;&gt;"",MATCH(ROW(Create_TC_Web!$C$1:$C$1510),ROW(Create_TC_Web!$C$1:$C$1510)),""),ROW(Create_TC_Web!B870))),"")</f>
        <v/>
      </c>
      <c r="B845" t="str" cm="1">
        <f t="array" ref="B845">IFERROR(INDEX(Create_TC_Web!$E$1:$E$1510,SMALL(IF(Create_TC_Web!$C$1:$C$1510&lt;&gt;"",MATCH(ROW(Create_TC_Web!$C$1:$C$1510),ROW(Create_TC_Web!$C$1:$C$1510)),""),ROW(Create_TC_Web!C870))),"")</f>
        <v/>
      </c>
      <c r="P845" s="17" t="str" cm="1">
        <f t="array" ref="P845">IFERROR(INDEX(Create_TC_Web!S$1:S$500,SMALL(IF(Create_TC_Web!$C$1:$C$500&lt;&gt;"",MATCH(ROW(Create_TC_Web!$C$1:$C$500),ROW(Create_TC_Web!$C$1:$C$500)),""),ROW(Create_TC_Web!Q821))),"")</f>
        <v/>
      </c>
    </row>
    <row r="846" spans="1:16">
      <c r="A846" t="str" cm="1">
        <f t="array" ref="A846">IFERROR(INDEX(Create_TC_Web!D$1:D$1510,SMALL(IF(Create_TC_Web!$C$1:$C$1510&lt;&gt;"",MATCH(ROW(Create_TC_Web!$C$1:$C$1510),ROW(Create_TC_Web!$C$1:$C$1510)),""),ROW(Create_TC_Web!B871))),"")</f>
        <v/>
      </c>
      <c r="B846" t="str" cm="1">
        <f t="array" ref="B846">IFERROR(INDEX(Create_TC_Web!$E$1:$E$1510,SMALL(IF(Create_TC_Web!$C$1:$C$1510&lt;&gt;"",MATCH(ROW(Create_TC_Web!$C$1:$C$1510),ROW(Create_TC_Web!$C$1:$C$1510)),""),ROW(Create_TC_Web!C871))),"")</f>
        <v/>
      </c>
      <c r="P846" s="17" t="str" cm="1">
        <f t="array" ref="P846">IFERROR(INDEX(Create_TC_Web!S$1:S$500,SMALL(IF(Create_TC_Web!$C$1:$C$500&lt;&gt;"",MATCH(ROW(Create_TC_Web!$C$1:$C$500),ROW(Create_TC_Web!$C$1:$C$500)),""),ROW(Create_TC_Web!Q822))),"")</f>
        <v/>
      </c>
    </row>
    <row r="847" spans="1:16">
      <c r="A847" t="str" cm="1">
        <f t="array" ref="A847">IFERROR(INDEX(Create_TC_Web!D$1:D$1510,SMALL(IF(Create_TC_Web!$C$1:$C$1510&lt;&gt;"",MATCH(ROW(Create_TC_Web!$C$1:$C$1510),ROW(Create_TC_Web!$C$1:$C$1510)),""),ROW(Create_TC_Web!B872))),"")</f>
        <v/>
      </c>
      <c r="B847" t="str" cm="1">
        <f t="array" ref="B847">IFERROR(INDEX(Create_TC_Web!$E$1:$E$1510,SMALL(IF(Create_TC_Web!$C$1:$C$1510&lt;&gt;"",MATCH(ROW(Create_TC_Web!$C$1:$C$1510),ROW(Create_TC_Web!$C$1:$C$1510)),""),ROW(Create_TC_Web!C872))),"")</f>
        <v/>
      </c>
      <c r="P847" s="17" t="str" cm="1">
        <f t="array" ref="P847">IFERROR(INDEX(Create_TC_Web!S$1:S$500,SMALL(IF(Create_TC_Web!$C$1:$C$500&lt;&gt;"",MATCH(ROW(Create_TC_Web!$C$1:$C$500),ROW(Create_TC_Web!$C$1:$C$500)),""),ROW(Create_TC_Web!Q823))),"")</f>
        <v/>
      </c>
    </row>
    <row r="848" spans="1:16">
      <c r="A848" t="str" cm="1">
        <f t="array" ref="A848">IFERROR(INDEX(Create_TC_Web!D$1:D$1510,SMALL(IF(Create_TC_Web!$C$1:$C$1510&lt;&gt;"",MATCH(ROW(Create_TC_Web!$C$1:$C$1510),ROW(Create_TC_Web!$C$1:$C$1510)),""),ROW(Create_TC_Web!B873))),"")</f>
        <v/>
      </c>
      <c r="B848" t="str" cm="1">
        <f t="array" ref="B848">IFERROR(INDEX(Create_TC_Web!$E$1:$E$1510,SMALL(IF(Create_TC_Web!$C$1:$C$1510&lt;&gt;"",MATCH(ROW(Create_TC_Web!$C$1:$C$1510),ROW(Create_TC_Web!$C$1:$C$1510)),""),ROW(Create_TC_Web!C873))),"")</f>
        <v/>
      </c>
      <c r="P848" s="17" t="str" cm="1">
        <f t="array" ref="P848">IFERROR(INDEX(Create_TC_Web!S$1:S$500,SMALL(IF(Create_TC_Web!$C$1:$C$500&lt;&gt;"",MATCH(ROW(Create_TC_Web!$C$1:$C$500),ROW(Create_TC_Web!$C$1:$C$500)),""),ROW(Create_TC_Web!Q824))),"")</f>
        <v/>
      </c>
    </row>
    <row r="849" spans="1:16">
      <c r="A849" t="str" cm="1">
        <f t="array" ref="A849">IFERROR(INDEX(Create_TC_Web!D$1:D$1510,SMALL(IF(Create_TC_Web!$C$1:$C$1510&lt;&gt;"",MATCH(ROW(Create_TC_Web!$C$1:$C$1510),ROW(Create_TC_Web!$C$1:$C$1510)),""),ROW(Create_TC_Web!B874))),"")</f>
        <v/>
      </c>
      <c r="B849" t="str" cm="1">
        <f t="array" ref="B849">IFERROR(INDEX(Create_TC_Web!$E$1:$E$1510,SMALL(IF(Create_TC_Web!$C$1:$C$1510&lt;&gt;"",MATCH(ROW(Create_TC_Web!$C$1:$C$1510),ROW(Create_TC_Web!$C$1:$C$1510)),""),ROW(Create_TC_Web!C874))),"")</f>
        <v/>
      </c>
      <c r="P849" s="17" t="str" cm="1">
        <f t="array" ref="P849">IFERROR(INDEX(Create_TC_Web!S$1:S$500,SMALL(IF(Create_TC_Web!$C$1:$C$500&lt;&gt;"",MATCH(ROW(Create_TC_Web!$C$1:$C$500),ROW(Create_TC_Web!$C$1:$C$500)),""),ROW(Create_TC_Web!Q825))),"")</f>
        <v/>
      </c>
    </row>
    <row r="850" spans="1:16">
      <c r="A850" t="str" cm="1">
        <f t="array" ref="A850">IFERROR(INDEX(Create_TC_Web!D$1:D$1510,SMALL(IF(Create_TC_Web!$C$1:$C$1510&lt;&gt;"",MATCH(ROW(Create_TC_Web!$C$1:$C$1510),ROW(Create_TC_Web!$C$1:$C$1510)),""),ROW(Create_TC_Web!B875))),"")</f>
        <v/>
      </c>
      <c r="B850" t="str" cm="1">
        <f t="array" ref="B850">IFERROR(INDEX(Create_TC_Web!$E$1:$E$1510,SMALL(IF(Create_TC_Web!$C$1:$C$1510&lt;&gt;"",MATCH(ROW(Create_TC_Web!$C$1:$C$1510),ROW(Create_TC_Web!$C$1:$C$1510)),""),ROW(Create_TC_Web!C875))),"")</f>
        <v/>
      </c>
      <c r="P850" s="17" t="str" cm="1">
        <f t="array" ref="P850">IFERROR(INDEX(Create_TC_Web!S$1:S$500,SMALL(IF(Create_TC_Web!$C$1:$C$500&lt;&gt;"",MATCH(ROW(Create_TC_Web!$C$1:$C$500),ROW(Create_TC_Web!$C$1:$C$500)),""),ROW(Create_TC_Web!Q826))),"")</f>
        <v/>
      </c>
    </row>
    <row r="851" spans="1:16">
      <c r="A851" t="str" cm="1">
        <f t="array" ref="A851">IFERROR(INDEX(Create_TC_Web!D$1:D$1510,SMALL(IF(Create_TC_Web!$C$1:$C$1510&lt;&gt;"",MATCH(ROW(Create_TC_Web!$C$1:$C$1510),ROW(Create_TC_Web!$C$1:$C$1510)),""),ROW(Create_TC_Web!B876))),"")</f>
        <v/>
      </c>
      <c r="B851" t="str" cm="1">
        <f t="array" ref="B851">IFERROR(INDEX(Create_TC_Web!$E$1:$E$1510,SMALL(IF(Create_TC_Web!$C$1:$C$1510&lt;&gt;"",MATCH(ROW(Create_TC_Web!$C$1:$C$1510),ROW(Create_TC_Web!$C$1:$C$1510)),""),ROW(Create_TC_Web!C876))),"")</f>
        <v/>
      </c>
      <c r="P851" s="17" t="str" cm="1">
        <f t="array" ref="P851">IFERROR(INDEX(Create_TC_Web!S$1:S$500,SMALL(IF(Create_TC_Web!$C$1:$C$500&lt;&gt;"",MATCH(ROW(Create_TC_Web!$C$1:$C$500),ROW(Create_TC_Web!$C$1:$C$500)),""),ROW(Create_TC_Web!Q827))),"")</f>
        <v/>
      </c>
    </row>
    <row r="852" spans="1:16">
      <c r="A852" t="str" cm="1">
        <f t="array" ref="A852">IFERROR(INDEX(Create_TC_Web!D$1:D$1510,SMALL(IF(Create_TC_Web!$C$1:$C$1510&lt;&gt;"",MATCH(ROW(Create_TC_Web!$C$1:$C$1510),ROW(Create_TC_Web!$C$1:$C$1510)),""),ROW(Create_TC_Web!B877))),"")</f>
        <v/>
      </c>
      <c r="B852" t="str" cm="1">
        <f t="array" ref="B852">IFERROR(INDEX(Create_TC_Web!$E$1:$E$1510,SMALL(IF(Create_TC_Web!$C$1:$C$1510&lt;&gt;"",MATCH(ROW(Create_TC_Web!$C$1:$C$1510),ROW(Create_TC_Web!$C$1:$C$1510)),""),ROW(Create_TC_Web!C877))),"")</f>
        <v/>
      </c>
      <c r="P852" s="17" t="str" cm="1">
        <f t="array" ref="P852">IFERROR(INDEX(Create_TC_Web!S$1:S$500,SMALL(IF(Create_TC_Web!$C$1:$C$500&lt;&gt;"",MATCH(ROW(Create_TC_Web!$C$1:$C$500),ROW(Create_TC_Web!$C$1:$C$500)),""),ROW(Create_TC_Web!Q828))),"")</f>
        <v/>
      </c>
    </row>
    <row r="853" spans="1:16">
      <c r="A853" t="str" cm="1">
        <f t="array" ref="A853">IFERROR(INDEX(Create_TC_Web!D$1:D$1510,SMALL(IF(Create_TC_Web!$C$1:$C$1510&lt;&gt;"",MATCH(ROW(Create_TC_Web!$C$1:$C$1510),ROW(Create_TC_Web!$C$1:$C$1510)),""),ROW(Create_TC_Web!B878))),"")</f>
        <v/>
      </c>
      <c r="B853" t="str" cm="1">
        <f t="array" ref="B853">IFERROR(INDEX(Create_TC_Web!$E$1:$E$1510,SMALL(IF(Create_TC_Web!$C$1:$C$1510&lt;&gt;"",MATCH(ROW(Create_TC_Web!$C$1:$C$1510),ROW(Create_TC_Web!$C$1:$C$1510)),""),ROW(Create_TC_Web!C878))),"")</f>
        <v/>
      </c>
      <c r="P853" s="17" t="str" cm="1">
        <f t="array" ref="P853">IFERROR(INDEX(Create_TC_Web!S$1:S$500,SMALL(IF(Create_TC_Web!$C$1:$C$500&lt;&gt;"",MATCH(ROW(Create_TC_Web!$C$1:$C$500),ROW(Create_TC_Web!$C$1:$C$500)),""),ROW(Create_TC_Web!Q829))),"")</f>
        <v/>
      </c>
    </row>
    <row r="854" spans="1:16">
      <c r="A854" t="str" cm="1">
        <f t="array" ref="A854">IFERROR(INDEX(Create_TC_Web!D$1:D$1510,SMALL(IF(Create_TC_Web!$C$1:$C$1510&lt;&gt;"",MATCH(ROW(Create_TC_Web!$C$1:$C$1510),ROW(Create_TC_Web!$C$1:$C$1510)),""),ROW(Create_TC_Web!B879))),"")</f>
        <v/>
      </c>
      <c r="B854" t="str" cm="1">
        <f t="array" ref="B854">IFERROR(INDEX(Create_TC_Web!$E$1:$E$1510,SMALL(IF(Create_TC_Web!$C$1:$C$1510&lt;&gt;"",MATCH(ROW(Create_TC_Web!$C$1:$C$1510),ROW(Create_TC_Web!$C$1:$C$1510)),""),ROW(Create_TC_Web!C879))),"")</f>
        <v/>
      </c>
      <c r="P854" s="17" t="str" cm="1">
        <f t="array" ref="P854">IFERROR(INDEX(Create_TC_Web!S$1:S$500,SMALL(IF(Create_TC_Web!$C$1:$C$500&lt;&gt;"",MATCH(ROW(Create_TC_Web!$C$1:$C$500),ROW(Create_TC_Web!$C$1:$C$500)),""),ROW(Create_TC_Web!Q830))),"")</f>
        <v/>
      </c>
    </row>
    <row r="855" spans="1:16">
      <c r="A855" t="str" cm="1">
        <f t="array" ref="A855">IFERROR(INDEX(Create_TC_Web!D$1:D$1510,SMALL(IF(Create_TC_Web!$C$1:$C$1510&lt;&gt;"",MATCH(ROW(Create_TC_Web!$C$1:$C$1510),ROW(Create_TC_Web!$C$1:$C$1510)),""),ROW(Create_TC_Web!B880))),"")</f>
        <v/>
      </c>
      <c r="B855" t="str" cm="1">
        <f t="array" ref="B855">IFERROR(INDEX(Create_TC_Web!$E$1:$E$1510,SMALL(IF(Create_TC_Web!$C$1:$C$1510&lt;&gt;"",MATCH(ROW(Create_TC_Web!$C$1:$C$1510),ROW(Create_TC_Web!$C$1:$C$1510)),""),ROW(Create_TC_Web!C880))),"")</f>
        <v/>
      </c>
      <c r="P855" s="17" t="str" cm="1">
        <f t="array" ref="P855">IFERROR(INDEX(Create_TC_Web!S$1:S$500,SMALL(IF(Create_TC_Web!$C$1:$C$500&lt;&gt;"",MATCH(ROW(Create_TC_Web!$C$1:$C$500),ROW(Create_TC_Web!$C$1:$C$500)),""),ROW(Create_TC_Web!Q831))),"")</f>
        <v/>
      </c>
    </row>
    <row r="856" spans="1:16">
      <c r="A856" t="str" cm="1">
        <f t="array" ref="A856">IFERROR(INDEX(Create_TC_Web!D$1:D$1510,SMALL(IF(Create_TC_Web!$C$1:$C$1510&lt;&gt;"",MATCH(ROW(Create_TC_Web!$C$1:$C$1510),ROW(Create_TC_Web!$C$1:$C$1510)),""),ROW(Create_TC_Web!B881))),"")</f>
        <v/>
      </c>
      <c r="B856" t="str" cm="1">
        <f t="array" ref="B856">IFERROR(INDEX(Create_TC_Web!$E$1:$E$1510,SMALL(IF(Create_TC_Web!$C$1:$C$1510&lt;&gt;"",MATCH(ROW(Create_TC_Web!$C$1:$C$1510),ROW(Create_TC_Web!$C$1:$C$1510)),""),ROW(Create_TC_Web!C881))),"")</f>
        <v/>
      </c>
      <c r="P856" s="17" t="str" cm="1">
        <f t="array" ref="P856">IFERROR(INDEX(Create_TC_Web!S$1:S$500,SMALL(IF(Create_TC_Web!$C$1:$C$500&lt;&gt;"",MATCH(ROW(Create_TC_Web!$C$1:$C$500),ROW(Create_TC_Web!$C$1:$C$500)),""),ROW(Create_TC_Web!Q832))),"")</f>
        <v/>
      </c>
    </row>
    <row r="857" spans="1:16">
      <c r="A857" t="str" cm="1">
        <f t="array" ref="A857">IFERROR(INDEX(Create_TC_Web!D$1:D$1510,SMALL(IF(Create_TC_Web!$C$1:$C$1510&lt;&gt;"",MATCH(ROW(Create_TC_Web!$C$1:$C$1510),ROW(Create_TC_Web!$C$1:$C$1510)),""),ROW(Create_TC_Web!B882))),"")</f>
        <v/>
      </c>
      <c r="B857" t="str" cm="1">
        <f t="array" ref="B857">IFERROR(INDEX(Create_TC_Web!$E$1:$E$1510,SMALL(IF(Create_TC_Web!$C$1:$C$1510&lt;&gt;"",MATCH(ROW(Create_TC_Web!$C$1:$C$1510),ROW(Create_TC_Web!$C$1:$C$1510)),""),ROW(Create_TC_Web!C882))),"")</f>
        <v/>
      </c>
      <c r="P857" s="17" t="str" cm="1">
        <f t="array" ref="P857">IFERROR(INDEX(Create_TC_Web!S$1:S$500,SMALL(IF(Create_TC_Web!$C$1:$C$500&lt;&gt;"",MATCH(ROW(Create_TC_Web!$C$1:$C$500),ROW(Create_TC_Web!$C$1:$C$500)),""),ROW(Create_TC_Web!Q833))),"")</f>
        <v/>
      </c>
    </row>
    <row r="858" spans="1:16">
      <c r="A858" t="str" cm="1">
        <f t="array" ref="A858">IFERROR(INDEX(Create_TC_Web!D$1:D$1510,SMALL(IF(Create_TC_Web!$C$1:$C$1510&lt;&gt;"",MATCH(ROW(Create_TC_Web!$C$1:$C$1510),ROW(Create_TC_Web!$C$1:$C$1510)),""),ROW(Create_TC_Web!B883))),"")</f>
        <v/>
      </c>
      <c r="B858" t="str" cm="1">
        <f t="array" ref="B858">IFERROR(INDEX(Create_TC_Web!$E$1:$E$1510,SMALL(IF(Create_TC_Web!$C$1:$C$1510&lt;&gt;"",MATCH(ROW(Create_TC_Web!$C$1:$C$1510),ROW(Create_TC_Web!$C$1:$C$1510)),""),ROW(Create_TC_Web!C883))),"")</f>
        <v/>
      </c>
      <c r="P858" s="17" t="str" cm="1">
        <f t="array" ref="P858">IFERROR(INDEX(Create_TC_Web!S$1:S$500,SMALL(IF(Create_TC_Web!$C$1:$C$500&lt;&gt;"",MATCH(ROW(Create_TC_Web!$C$1:$C$500),ROW(Create_TC_Web!$C$1:$C$500)),""),ROW(Create_TC_Web!Q834))),"")</f>
        <v/>
      </c>
    </row>
    <row r="859" spans="1:16">
      <c r="A859" t="str" cm="1">
        <f t="array" ref="A859">IFERROR(INDEX(Create_TC_Web!D$1:D$1510,SMALL(IF(Create_TC_Web!$C$1:$C$1510&lt;&gt;"",MATCH(ROW(Create_TC_Web!$C$1:$C$1510),ROW(Create_TC_Web!$C$1:$C$1510)),""),ROW(Create_TC_Web!B884))),"")</f>
        <v/>
      </c>
      <c r="B859" t="str" cm="1">
        <f t="array" ref="B859">IFERROR(INDEX(Create_TC_Web!$E$1:$E$1510,SMALL(IF(Create_TC_Web!$C$1:$C$1510&lt;&gt;"",MATCH(ROW(Create_TC_Web!$C$1:$C$1510),ROW(Create_TC_Web!$C$1:$C$1510)),""),ROW(Create_TC_Web!C884))),"")</f>
        <v/>
      </c>
      <c r="P859" s="17" t="str" cm="1">
        <f t="array" ref="P859">IFERROR(INDEX(Create_TC_Web!S$1:S$500,SMALL(IF(Create_TC_Web!$C$1:$C$500&lt;&gt;"",MATCH(ROW(Create_TC_Web!$C$1:$C$500),ROW(Create_TC_Web!$C$1:$C$500)),""),ROW(Create_TC_Web!Q835))),"")</f>
        <v/>
      </c>
    </row>
    <row r="860" spans="1:16">
      <c r="A860" t="str" cm="1">
        <f t="array" ref="A860">IFERROR(INDEX(Create_TC_Web!D$1:D$1510,SMALL(IF(Create_TC_Web!$C$1:$C$1510&lt;&gt;"",MATCH(ROW(Create_TC_Web!$C$1:$C$1510),ROW(Create_TC_Web!$C$1:$C$1510)),""),ROW(Create_TC_Web!B885))),"")</f>
        <v/>
      </c>
      <c r="B860" t="str" cm="1">
        <f t="array" ref="B860">IFERROR(INDEX(Create_TC_Web!$E$1:$E$1510,SMALL(IF(Create_TC_Web!$C$1:$C$1510&lt;&gt;"",MATCH(ROW(Create_TC_Web!$C$1:$C$1510),ROW(Create_TC_Web!$C$1:$C$1510)),""),ROW(Create_TC_Web!C885))),"")</f>
        <v/>
      </c>
      <c r="P860" s="17" t="str" cm="1">
        <f t="array" ref="P860">IFERROR(INDEX(Create_TC_Web!S$1:S$500,SMALL(IF(Create_TC_Web!$C$1:$C$500&lt;&gt;"",MATCH(ROW(Create_TC_Web!$C$1:$C$500),ROW(Create_TC_Web!$C$1:$C$500)),""),ROW(Create_TC_Web!Q836))),"")</f>
        <v/>
      </c>
    </row>
    <row r="861" spans="1:16">
      <c r="A861" t="str" cm="1">
        <f t="array" ref="A861">IFERROR(INDEX(Create_TC_Web!D$1:D$1510,SMALL(IF(Create_TC_Web!$C$1:$C$1510&lt;&gt;"",MATCH(ROW(Create_TC_Web!$C$1:$C$1510),ROW(Create_TC_Web!$C$1:$C$1510)),""),ROW(Create_TC_Web!B886))),"")</f>
        <v/>
      </c>
      <c r="B861" t="str" cm="1">
        <f t="array" ref="B861">IFERROR(INDEX(Create_TC_Web!$E$1:$E$1510,SMALL(IF(Create_TC_Web!$C$1:$C$1510&lt;&gt;"",MATCH(ROW(Create_TC_Web!$C$1:$C$1510),ROW(Create_TC_Web!$C$1:$C$1510)),""),ROW(Create_TC_Web!C886))),"")</f>
        <v/>
      </c>
      <c r="P861" s="17" t="str" cm="1">
        <f t="array" ref="P861">IFERROR(INDEX(Create_TC_Web!S$1:S$500,SMALL(IF(Create_TC_Web!$C$1:$C$500&lt;&gt;"",MATCH(ROW(Create_TC_Web!$C$1:$C$500),ROW(Create_TC_Web!$C$1:$C$500)),""),ROW(Create_TC_Web!Q837))),"")</f>
        <v/>
      </c>
    </row>
    <row r="862" spans="1:16">
      <c r="A862" t="str" cm="1">
        <f t="array" ref="A862">IFERROR(INDEX(Create_TC_Web!D$1:D$1510,SMALL(IF(Create_TC_Web!$C$1:$C$1510&lt;&gt;"",MATCH(ROW(Create_TC_Web!$C$1:$C$1510),ROW(Create_TC_Web!$C$1:$C$1510)),""),ROW(Create_TC_Web!B887))),"")</f>
        <v/>
      </c>
      <c r="B862" t="str" cm="1">
        <f t="array" ref="B862">IFERROR(INDEX(Create_TC_Web!$E$1:$E$1510,SMALL(IF(Create_TC_Web!$C$1:$C$1510&lt;&gt;"",MATCH(ROW(Create_TC_Web!$C$1:$C$1510),ROW(Create_TC_Web!$C$1:$C$1510)),""),ROW(Create_TC_Web!C887))),"")</f>
        <v/>
      </c>
      <c r="P862" s="17" t="str" cm="1">
        <f t="array" ref="P862">IFERROR(INDEX(Create_TC_Web!S$1:S$500,SMALL(IF(Create_TC_Web!$C$1:$C$500&lt;&gt;"",MATCH(ROW(Create_TC_Web!$C$1:$C$500),ROW(Create_TC_Web!$C$1:$C$500)),""),ROW(Create_TC_Web!Q838))),"")</f>
        <v/>
      </c>
    </row>
    <row r="863" spans="1:16">
      <c r="A863" t="str" cm="1">
        <f t="array" ref="A863">IFERROR(INDEX(Create_TC_Web!D$1:D$1510,SMALL(IF(Create_TC_Web!$C$1:$C$1510&lt;&gt;"",MATCH(ROW(Create_TC_Web!$C$1:$C$1510),ROW(Create_TC_Web!$C$1:$C$1510)),""),ROW(Create_TC_Web!B888))),"")</f>
        <v/>
      </c>
      <c r="B863" t="str" cm="1">
        <f t="array" ref="B863">IFERROR(INDEX(Create_TC_Web!$E$1:$E$1510,SMALL(IF(Create_TC_Web!$C$1:$C$1510&lt;&gt;"",MATCH(ROW(Create_TC_Web!$C$1:$C$1510),ROW(Create_TC_Web!$C$1:$C$1510)),""),ROW(Create_TC_Web!C888))),"")</f>
        <v/>
      </c>
      <c r="P863" s="17" t="str" cm="1">
        <f t="array" ref="P863">IFERROR(INDEX(Create_TC_Web!S$1:S$500,SMALL(IF(Create_TC_Web!$C$1:$C$500&lt;&gt;"",MATCH(ROW(Create_TC_Web!$C$1:$C$500),ROW(Create_TC_Web!$C$1:$C$500)),""),ROW(Create_TC_Web!Q839))),"")</f>
        <v/>
      </c>
    </row>
    <row r="864" spans="1:16">
      <c r="A864" t="str" cm="1">
        <f t="array" ref="A864">IFERROR(INDEX(Create_TC_Web!D$1:D$1510,SMALL(IF(Create_TC_Web!$C$1:$C$1510&lt;&gt;"",MATCH(ROW(Create_TC_Web!$C$1:$C$1510),ROW(Create_TC_Web!$C$1:$C$1510)),""),ROW(Create_TC_Web!B889))),"")</f>
        <v/>
      </c>
      <c r="B864" t="str" cm="1">
        <f t="array" ref="B864">IFERROR(INDEX(Create_TC_Web!$E$1:$E$1510,SMALL(IF(Create_TC_Web!$C$1:$C$1510&lt;&gt;"",MATCH(ROW(Create_TC_Web!$C$1:$C$1510),ROW(Create_TC_Web!$C$1:$C$1510)),""),ROW(Create_TC_Web!C889))),"")</f>
        <v/>
      </c>
      <c r="P864" s="17" t="str" cm="1">
        <f t="array" ref="P864">IFERROR(INDEX(Create_TC_Web!S$1:S$500,SMALL(IF(Create_TC_Web!$C$1:$C$500&lt;&gt;"",MATCH(ROW(Create_TC_Web!$C$1:$C$500),ROW(Create_TC_Web!$C$1:$C$500)),""),ROW(Create_TC_Web!Q840))),"")</f>
        <v/>
      </c>
    </row>
    <row r="865" spans="1:16">
      <c r="A865" t="str" cm="1">
        <f t="array" ref="A865">IFERROR(INDEX(Create_TC_Web!D$1:D$1510,SMALL(IF(Create_TC_Web!$C$1:$C$1510&lt;&gt;"",MATCH(ROW(Create_TC_Web!$C$1:$C$1510),ROW(Create_TC_Web!$C$1:$C$1510)),""),ROW(Create_TC_Web!B890))),"")</f>
        <v/>
      </c>
      <c r="B865" t="str" cm="1">
        <f t="array" ref="B865">IFERROR(INDEX(Create_TC_Web!$E$1:$E$1510,SMALL(IF(Create_TC_Web!$C$1:$C$1510&lt;&gt;"",MATCH(ROW(Create_TC_Web!$C$1:$C$1510),ROW(Create_TC_Web!$C$1:$C$1510)),""),ROW(Create_TC_Web!C890))),"")</f>
        <v/>
      </c>
      <c r="P865" s="17" t="str" cm="1">
        <f t="array" ref="P865">IFERROR(INDEX(Create_TC_Web!S$1:S$500,SMALL(IF(Create_TC_Web!$C$1:$C$500&lt;&gt;"",MATCH(ROW(Create_TC_Web!$C$1:$C$500),ROW(Create_TC_Web!$C$1:$C$500)),""),ROW(Create_TC_Web!Q841))),"")</f>
        <v/>
      </c>
    </row>
    <row r="866" spans="1:16">
      <c r="A866" t="str" cm="1">
        <f t="array" ref="A866">IFERROR(INDEX(Create_TC_Web!D$1:D$1510,SMALL(IF(Create_TC_Web!$C$1:$C$1510&lt;&gt;"",MATCH(ROW(Create_TC_Web!$C$1:$C$1510),ROW(Create_TC_Web!$C$1:$C$1510)),""),ROW(Create_TC_Web!B891))),"")</f>
        <v/>
      </c>
      <c r="B866" t="str" cm="1">
        <f t="array" ref="B866">IFERROR(INDEX(Create_TC_Web!$E$1:$E$1510,SMALL(IF(Create_TC_Web!$C$1:$C$1510&lt;&gt;"",MATCH(ROW(Create_TC_Web!$C$1:$C$1510),ROW(Create_TC_Web!$C$1:$C$1510)),""),ROW(Create_TC_Web!C891))),"")</f>
        <v/>
      </c>
      <c r="P866" s="17" t="str" cm="1">
        <f t="array" ref="P866">IFERROR(INDEX(Create_TC_Web!S$1:S$500,SMALL(IF(Create_TC_Web!$C$1:$C$500&lt;&gt;"",MATCH(ROW(Create_TC_Web!$C$1:$C$500),ROW(Create_TC_Web!$C$1:$C$500)),""),ROW(Create_TC_Web!Q842))),"")</f>
        <v/>
      </c>
    </row>
    <row r="867" spans="1:16">
      <c r="A867" t="str" cm="1">
        <f t="array" ref="A867">IFERROR(INDEX(Create_TC_Web!D$1:D$1510,SMALL(IF(Create_TC_Web!$C$1:$C$1510&lt;&gt;"",MATCH(ROW(Create_TC_Web!$C$1:$C$1510),ROW(Create_TC_Web!$C$1:$C$1510)),""),ROW(Create_TC_Web!B892))),"")</f>
        <v/>
      </c>
      <c r="B867" t="str" cm="1">
        <f t="array" ref="B867">IFERROR(INDEX(Create_TC_Web!$E$1:$E$1510,SMALL(IF(Create_TC_Web!$C$1:$C$1510&lt;&gt;"",MATCH(ROW(Create_TC_Web!$C$1:$C$1510),ROW(Create_TC_Web!$C$1:$C$1510)),""),ROW(Create_TC_Web!C892))),"")</f>
        <v/>
      </c>
      <c r="P867" s="17" t="str" cm="1">
        <f t="array" ref="P867">IFERROR(INDEX(Create_TC_Web!S$1:S$500,SMALL(IF(Create_TC_Web!$C$1:$C$500&lt;&gt;"",MATCH(ROW(Create_TC_Web!$C$1:$C$500),ROW(Create_TC_Web!$C$1:$C$500)),""),ROW(Create_TC_Web!Q843))),"")</f>
        <v/>
      </c>
    </row>
    <row r="868" spans="1:16">
      <c r="A868" t="str" cm="1">
        <f t="array" ref="A868">IFERROR(INDEX(Create_TC_Web!D$1:D$1510,SMALL(IF(Create_TC_Web!$C$1:$C$1510&lt;&gt;"",MATCH(ROW(Create_TC_Web!$C$1:$C$1510),ROW(Create_TC_Web!$C$1:$C$1510)),""),ROW(Create_TC_Web!B893))),"")</f>
        <v/>
      </c>
      <c r="B868" t="str" cm="1">
        <f t="array" ref="B868">IFERROR(INDEX(Create_TC_Web!$E$1:$E$1510,SMALL(IF(Create_TC_Web!$C$1:$C$1510&lt;&gt;"",MATCH(ROW(Create_TC_Web!$C$1:$C$1510),ROW(Create_TC_Web!$C$1:$C$1510)),""),ROW(Create_TC_Web!C893))),"")</f>
        <v/>
      </c>
      <c r="P868" s="17" t="str" cm="1">
        <f t="array" ref="P868">IFERROR(INDEX(Create_TC_Web!S$1:S$500,SMALL(IF(Create_TC_Web!$C$1:$C$500&lt;&gt;"",MATCH(ROW(Create_TC_Web!$C$1:$C$500),ROW(Create_TC_Web!$C$1:$C$500)),""),ROW(Create_TC_Web!Q844))),"")</f>
        <v/>
      </c>
    </row>
    <row r="869" spans="1:16">
      <c r="A869" t="str" cm="1">
        <f t="array" ref="A869">IFERROR(INDEX(Create_TC_Web!D$1:D$1510,SMALL(IF(Create_TC_Web!$C$1:$C$1510&lt;&gt;"",MATCH(ROW(Create_TC_Web!$C$1:$C$1510),ROW(Create_TC_Web!$C$1:$C$1510)),""),ROW(Create_TC_Web!B894))),"")</f>
        <v/>
      </c>
      <c r="B869" t="str" cm="1">
        <f t="array" ref="B869">IFERROR(INDEX(Create_TC_Web!$E$1:$E$1510,SMALL(IF(Create_TC_Web!$C$1:$C$1510&lt;&gt;"",MATCH(ROW(Create_TC_Web!$C$1:$C$1510),ROW(Create_TC_Web!$C$1:$C$1510)),""),ROW(Create_TC_Web!C894))),"")</f>
        <v/>
      </c>
      <c r="P869" s="17" t="str" cm="1">
        <f t="array" ref="P869">IFERROR(INDEX(Create_TC_Web!S$1:S$500,SMALL(IF(Create_TC_Web!$C$1:$C$500&lt;&gt;"",MATCH(ROW(Create_TC_Web!$C$1:$C$500),ROW(Create_TC_Web!$C$1:$C$500)),""),ROW(Create_TC_Web!Q845))),"")</f>
        <v/>
      </c>
    </row>
    <row r="870" spans="1:16">
      <c r="A870" t="str" cm="1">
        <f t="array" ref="A870">IFERROR(INDEX(Create_TC_Web!D$1:D$1510,SMALL(IF(Create_TC_Web!$C$1:$C$1510&lt;&gt;"",MATCH(ROW(Create_TC_Web!$C$1:$C$1510),ROW(Create_TC_Web!$C$1:$C$1510)),""),ROW(Create_TC_Web!B895))),"")</f>
        <v/>
      </c>
      <c r="B870" t="str" cm="1">
        <f t="array" ref="B870">IFERROR(INDEX(Create_TC_Web!$E$1:$E$1510,SMALL(IF(Create_TC_Web!$C$1:$C$1510&lt;&gt;"",MATCH(ROW(Create_TC_Web!$C$1:$C$1510),ROW(Create_TC_Web!$C$1:$C$1510)),""),ROW(Create_TC_Web!C895))),"")</f>
        <v/>
      </c>
      <c r="P870" s="17" t="str" cm="1">
        <f t="array" ref="P870">IFERROR(INDEX(Create_TC_Web!S$1:S$500,SMALL(IF(Create_TC_Web!$C$1:$C$500&lt;&gt;"",MATCH(ROW(Create_TC_Web!$C$1:$C$500),ROW(Create_TC_Web!$C$1:$C$500)),""),ROW(Create_TC_Web!Q846))),"")</f>
        <v/>
      </c>
    </row>
    <row r="871" spans="1:16">
      <c r="A871" t="str" cm="1">
        <f t="array" ref="A871">IFERROR(INDEX(Create_TC_Web!D$1:D$1510,SMALL(IF(Create_TC_Web!$C$1:$C$1510&lt;&gt;"",MATCH(ROW(Create_TC_Web!$C$1:$C$1510),ROW(Create_TC_Web!$C$1:$C$1510)),""),ROW(Create_TC_Web!B896))),"")</f>
        <v/>
      </c>
      <c r="B871" t="str" cm="1">
        <f t="array" ref="B871">IFERROR(INDEX(Create_TC_Web!$E$1:$E$1510,SMALL(IF(Create_TC_Web!$C$1:$C$1510&lt;&gt;"",MATCH(ROW(Create_TC_Web!$C$1:$C$1510),ROW(Create_TC_Web!$C$1:$C$1510)),""),ROW(Create_TC_Web!C896))),"")</f>
        <v/>
      </c>
      <c r="P871" s="17" t="str" cm="1">
        <f t="array" ref="P871">IFERROR(INDEX(Create_TC_Web!S$1:S$500,SMALL(IF(Create_TC_Web!$C$1:$C$500&lt;&gt;"",MATCH(ROW(Create_TC_Web!$C$1:$C$500),ROW(Create_TC_Web!$C$1:$C$500)),""),ROW(Create_TC_Web!Q847))),"")</f>
        <v/>
      </c>
    </row>
    <row r="872" spans="1:16">
      <c r="A872" t="str" cm="1">
        <f t="array" ref="A872">IFERROR(INDEX(Create_TC_Web!D$1:D$1510,SMALL(IF(Create_TC_Web!$C$1:$C$1510&lt;&gt;"",MATCH(ROW(Create_TC_Web!$C$1:$C$1510),ROW(Create_TC_Web!$C$1:$C$1510)),""),ROW(Create_TC_Web!B897))),"")</f>
        <v/>
      </c>
      <c r="B872" t="str" cm="1">
        <f t="array" ref="B872">IFERROR(INDEX(Create_TC_Web!$E$1:$E$1510,SMALL(IF(Create_TC_Web!$C$1:$C$1510&lt;&gt;"",MATCH(ROW(Create_TC_Web!$C$1:$C$1510),ROW(Create_TC_Web!$C$1:$C$1510)),""),ROW(Create_TC_Web!C897))),"")</f>
        <v/>
      </c>
      <c r="P872" s="17" t="str" cm="1">
        <f t="array" ref="P872">IFERROR(INDEX(Create_TC_Web!S$1:S$500,SMALL(IF(Create_TC_Web!$C$1:$C$500&lt;&gt;"",MATCH(ROW(Create_TC_Web!$C$1:$C$500),ROW(Create_TC_Web!$C$1:$C$500)),""),ROW(Create_TC_Web!Q848))),"")</f>
        <v/>
      </c>
    </row>
    <row r="873" spans="1:16">
      <c r="A873" t="str" cm="1">
        <f t="array" ref="A873">IFERROR(INDEX(Create_TC_Web!D$1:D$1510,SMALL(IF(Create_TC_Web!$C$1:$C$1510&lt;&gt;"",MATCH(ROW(Create_TC_Web!$C$1:$C$1510),ROW(Create_TC_Web!$C$1:$C$1510)),""),ROW(Create_TC_Web!B898))),"")</f>
        <v/>
      </c>
      <c r="B873" t="str" cm="1">
        <f t="array" ref="B873">IFERROR(INDEX(Create_TC_Web!$E$1:$E$1510,SMALL(IF(Create_TC_Web!$C$1:$C$1510&lt;&gt;"",MATCH(ROW(Create_TC_Web!$C$1:$C$1510),ROW(Create_TC_Web!$C$1:$C$1510)),""),ROW(Create_TC_Web!C898))),"")</f>
        <v/>
      </c>
      <c r="P873" s="17" t="str" cm="1">
        <f t="array" ref="P873">IFERROR(INDEX(Create_TC_Web!S$1:S$500,SMALL(IF(Create_TC_Web!$C$1:$C$500&lt;&gt;"",MATCH(ROW(Create_TC_Web!$C$1:$C$500),ROW(Create_TC_Web!$C$1:$C$500)),""),ROW(Create_TC_Web!Q849))),"")</f>
        <v/>
      </c>
    </row>
    <row r="874" spans="1:16">
      <c r="A874" t="str" cm="1">
        <f t="array" ref="A874">IFERROR(INDEX(Create_TC_Web!D$1:D$1510,SMALL(IF(Create_TC_Web!$C$1:$C$1510&lt;&gt;"",MATCH(ROW(Create_TC_Web!$C$1:$C$1510),ROW(Create_TC_Web!$C$1:$C$1510)),""),ROW(Create_TC_Web!B899))),"")</f>
        <v/>
      </c>
      <c r="B874" t="str" cm="1">
        <f t="array" ref="B874">IFERROR(INDEX(Create_TC_Web!$E$1:$E$1510,SMALL(IF(Create_TC_Web!$C$1:$C$1510&lt;&gt;"",MATCH(ROW(Create_TC_Web!$C$1:$C$1510),ROW(Create_TC_Web!$C$1:$C$1510)),""),ROW(Create_TC_Web!C899))),"")</f>
        <v/>
      </c>
      <c r="P874" s="17" t="str" cm="1">
        <f t="array" ref="P874">IFERROR(INDEX(Create_TC_Web!S$1:S$500,SMALL(IF(Create_TC_Web!$C$1:$C$500&lt;&gt;"",MATCH(ROW(Create_TC_Web!$C$1:$C$500),ROW(Create_TC_Web!$C$1:$C$500)),""),ROW(Create_TC_Web!Q850))),"")</f>
        <v/>
      </c>
    </row>
    <row r="875" spans="1:16">
      <c r="A875" t="str" cm="1">
        <f t="array" ref="A875">IFERROR(INDEX(Create_TC_Web!D$1:D$1510,SMALL(IF(Create_TC_Web!$C$1:$C$1510&lt;&gt;"",MATCH(ROW(Create_TC_Web!$C$1:$C$1510),ROW(Create_TC_Web!$C$1:$C$1510)),""),ROW(Create_TC_Web!B900))),"")</f>
        <v/>
      </c>
      <c r="B875" t="str" cm="1">
        <f t="array" ref="B875">IFERROR(INDEX(Create_TC_Web!$E$1:$E$1510,SMALL(IF(Create_TC_Web!$C$1:$C$1510&lt;&gt;"",MATCH(ROW(Create_TC_Web!$C$1:$C$1510),ROW(Create_TC_Web!$C$1:$C$1510)),""),ROW(Create_TC_Web!C900))),"")</f>
        <v/>
      </c>
      <c r="P875" s="17" t="str" cm="1">
        <f t="array" ref="P875">IFERROR(INDEX(Create_TC_Web!S$1:S$500,SMALL(IF(Create_TC_Web!$C$1:$C$500&lt;&gt;"",MATCH(ROW(Create_TC_Web!$C$1:$C$500),ROW(Create_TC_Web!$C$1:$C$500)),""),ROW(Create_TC_Web!Q851))),"")</f>
        <v/>
      </c>
    </row>
    <row r="876" spans="1:16">
      <c r="A876" t="str" cm="1">
        <f t="array" ref="A876">IFERROR(INDEX(Create_TC_Web!D$1:D$1510,SMALL(IF(Create_TC_Web!$C$1:$C$1510&lt;&gt;"",MATCH(ROW(Create_TC_Web!$C$1:$C$1510),ROW(Create_TC_Web!$C$1:$C$1510)),""),ROW(Create_TC_Web!B901))),"")</f>
        <v/>
      </c>
      <c r="B876" t="str" cm="1">
        <f t="array" ref="B876">IFERROR(INDEX(Create_TC_Web!$E$1:$E$1510,SMALL(IF(Create_TC_Web!$C$1:$C$1510&lt;&gt;"",MATCH(ROW(Create_TC_Web!$C$1:$C$1510),ROW(Create_TC_Web!$C$1:$C$1510)),""),ROW(Create_TC_Web!C901))),"")</f>
        <v/>
      </c>
      <c r="P876" s="17" t="str" cm="1">
        <f t="array" ref="P876">IFERROR(INDEX(Create_TC_Web!S$1:S$500,SMALL(IF(Create_TC_Web!$C$1:$C$500&lt;&gt;"",MATCH(ROW(Create_TC_Web!$C$1:$C$500),ROW(Create_TC_Web!$C$1:$C$500)),""),ROW(Create_TC_Web!Q852))),"")</f>
        <v/>
      </c>
    </row>
    <row r="877" spans="1:16">
      <c r="A877" t="str" cm="1">
        <f t="array" ref="A877">IFERROR(INDEX(Create_TC_Web!D$1:D$1510,SMALL(IF(Create_TC_Web!$C$1:$C$1510&lt;&gt;"",MATCH(ROW(Create_TC_Web!$C$1:$C$1510),ROW(Create_TC_Web!$C$1:$C$1510)),""),ROW(Create_TC_Web!B902))),"")</f>
        <v/>
      </c>
      <c r="B877" t="str" cm="1">
        <f t="array" ref="B877">IFERROR(INDEX(Create_TC_Web!$E$1:$E$1510,SMALL(IF(Create_TC_Web!$C$1:$C$1510&lt;&gt;"",MATCH(ROW(Create_TC_Web!$C$1:$C$1510),ROW(Create_TC_Web!$C$1:$C$1510)),""),ROW(Create_TC_Web!C902))),"")</f>
        <v/>
      </c>
      <c r="P877" s="17" t="str" cm="1">
        <f t="array" ref="P877">IFERROR(INDEX(Create_TC_Web!S$1:S$500,SMALL(IF(Create_TC_Web!$C$1:$C$500&lt;&gt;"",MATCH(ROW(Create_TC_Web!$C$1:$C$500),ROW(Create_TC_Web!$C$1:$C$500)),""),ROW(Create_TC_Web!Q853))),"")</f>
        <v/>
      </c>
    </row>
    <row r="878" spans="1:16">
      <c r="A878" t="str" cm="1">
        <f t="array" ref="A878">IFERROR(INDEX(Create_TC_Web!D$1:D$1510,SMALL(IF(Create_TC_Web!$C$1:$C$1510&lt;&gt;"",MATCH(ROW(Create_TC_Web!$C$1:$C$1510),ROW(Create_TC_Web!$C$1:$C$1510)),""),ROW(Create_TC_Web!B903))),"")</f>
        <v/>
      </c>
      <c r="B878" t="str" cm="1">
        <f t="array" ref="B878">IFERROR(INDEX(Create_TC_Web!$E$1:$E$1510,SMALL(IF(Create_TC_Web!$C$1:$C$1510&lt;&gt;"",MATCH(ROW(Create_TC_Web!$C$1:$C$1510),ROW(Create_TC_Web!$C$1:$C$1510)),""),ROW(Create_TC_Web!C903))),"")</f>
        <v/>
      </c>
      <c r="P878" s="17" t="str" cm="1">
        <f t="array" ref="P878">IFERROR(INDEX(Create_TC_Web!S$1:S$500,SMALL(IF(Create_TC_Web!$C$1:$C$500&lt;&gt;"",MATCH(ROW(Create_TC_Web!$C$1:$C$500),ROW(Create_TC_Web!$C$1:$C$500)),""),ROW(Create_TC_Web!Q854))),"")</f>
        <v/>
      </c>
    </row>
    <row r="879" spans="1:16">
      <c r="A879" t="str" cm="1">
        <f t="array" ref="A879">IFERROR(INDEX(Create_TC_Web!D$1:D$1510,SMALL(IF(Create_TC_Web!$C$1:$C$1510&lt;&gt;"",MATCH(ROW(Create_TC_Web!$C$1:$C$1510),ROW(Create_TC_Web!$C$1:$C$1510)),""),ROW(Create_TC_Web!B904))),"")</f>
        <v/>
      </c>
      <c r="B879" t="str" cm="1">
        <f t="array" ref="B879">IFERROR(INDEX(Create_TC_Web!$E$1:$E$1510,SMALL(IF(Create_TC_Web!$C$1:$C$1510&lt;&gt;"",MATCH(ROW(Create_TC_Web!$C$1:$C$1510),ROW(Create_TC_Web!$C$1:$C$1510)),""),ROW(Create_TC_Web!C904))),"")</f>
        <v/>
      </c>
      <c r="P879" s="17" t="str" cm="1">
        <f t="array" ref="P879">IFERROR(INDEX(Create_TC_Web!S$1:S$500,SMALL(IF(Create_TC_Web!$C$1:$C$500&lt;&gt;"",MATCH(ROW(Create_TC_Web!$C$1:$C$500),ROW(Create_TC_Web!$C$1:$C$500)),""),ROW(Create_TC_Web!Q855))),"")</f>
        <v/>
      </c>
    </row>
    <row r="880" spans="1:16">
      <c r="A880" t="str" cm="1">
        <f t="array" ref="A880">IFERROR(INDEX(Create_TC_Web!D$1:D$1510,SMALL(IF(Create_TC_Web!$C$1:$C$1510&lt;&gt;"",MATCH(ROW(Create_TC_Web!$C$1:$C$1510),ROW(Create_TC_Web!$C$1:$C$1510)),""),ROW(Create_TC_Web!B905))),"")</f>
        <v/>
      </c>
      <c r="B880" t="str" cm="1">
        <f t="array" ref="B880">IFERROR(INDEX(Create_TC_Web!$E$1:$E$1510,SMALL(IF(Create_TC_Web!$C$1:$C$1510&lt;&gt;"",MATCH(ROW(Create_TC_Web!$C$1:$C$1510),ROW(Create_TC_Web!$C$1:$C$1510)),""),ROW(Create_TC_Web!C905))),"")</f>
        <v/>
      </c>
      <c r="P880" s="17" t="str" cm="1">
        <f t="array" ref="P880">IFERROR(INDEX(Create_TC_Web!S$1:S$500,SMALL(IF(Create_TC_Web!$C$1:$C$500&lt;&gt;"",MATCH(ROW(Create_TC_Web!$C$1:$C$500),ROW(Create_TC_Web!$C$1:$C$500)),""),ROW(Create_TC_Web!Q856))),"")</f>
        <v/>
      </c>
    </row>
    <row r="881" spans="1:16">
      <c r="A881" t="str" cm="1">
        <f t="array" ref="A881">IFERROR(INDEX(Create_TC_Web!D$1:D$1510,SMALL(IF(Create_TC_Web!$C$1:$C$1510&lt;&gt;"",MATCH(ROW(Create_TC_Web!$C$1:$C$1510),ROW(Create_TC_Web!$C$1:$C$1510)),""),ROW(Create_TC_Web!B906))),"")</f>
        <v/>
      </c>
      <c r="B881" t="str" cm="1">
        <f t="array" ref="B881">IFERROR(INDEX(Create_TC_Web!$E$1:$E$1510,SMALL(IF(Create_TC_Web!$C$1:$C$1510&lt;&gt;"",MATCH(ROW(Create_TC_Web!$C$1:$C$1510),ROW(Create_TC_Web!$C$1:$C$1510)),""),ROW(Create_TC_Web!C906))),"")</f>
        <v/>
      </c>
      <c r="P881" s="17" t="str" cm="1">
        <f t="array" ref="P881">IFERROR(INDEX(Create_TC_Web!S$1:S$500,SMALL(IF(Create_TC_Web!$C$1:$C$500&lt;&gt;"",MATCH(ROW(Create_TC_Web!$C$1:$C$500),ROW(Create_TC_Web!$C$1:$C$500)),""),ROW(Create_TC_Web!Q857))),"")</f>
        <v/>
      </c>
    </row>
    <row r="882" spans="1:16">
      <c r="A882" t="str" cm="1">
        <f t="array" ref="A882">IFERROR(INDEX(Create_TC_Web!D$1:D$1510,SMALL(IF(Create_TC_Web!$C$1:$C$1510&lt;&gt;"",MATCH(ROW(Create_TC_Web!$C$1:$C$1510),ROW(Create_TC_Web!$C$1:$C$1510)),""),ROW(Create_TC_Web!B907))),"")</f>
        <v/>
      </c>
      <c r="B882" t="str" cm="1">
        <f t="array" ref="B882">IFERROR(INDEX(Create_TC_Web!$E$1:$E$1510,SMALL(IF(Create_TC_Web!$C$1:$C$1510&lt;&gt;"",MATCH(ROW(Create_TC_Web!$C$1:$C$1510),ROW(Create_TC_Web!$C$1:$C$1510)),""),ROW(Create_TC_Web!C907))),"")</f>
        <v/>
      </c>
      <c r="P882" s="17" t="str" cm="1">
        <f t="array" ref="P882">IFERROR(INDEX(Create_TC_Web!S$1:S$500,SMALL(IF(Create_TC_Web!$C$1:$C$500&lt;&gt;"",MATCH(ROW(Create_TC_Web!$C$1:$C$500),ROW(Create_TC_Web!$C$1:$C$500)),""),ROW(Create_TC_Web!Q858))),"")</f>
        <v/>
      </c>
    </row>
    <row r="883" spans="1:16">
      <c r="A883" t="str" cm="1">
        <f t="array" ref="A883">IFERROR(INDEX(Create_TC_Web!D$1:D$1510,SMALL(IF(Create_TC_Web!$C$1:$C$1510&lt;&gt;"",MATCH(ROW(Create_TC_Web!$C$1:$C$1510),ROW(Create_TC_Web!$C$1:$C$1510)),""),ROW(Create_TC_Web!B908))),"")</f>
        <v/>
      </c>
      <c r="B883" t="str" cm="1">
        <f t="array" ref="B883">IFERROR(INDEX(Create_TC_Web!$E$1:$E$1510,SMALL(IF(Create_TC_Web!$C$1:$C$1510&lt;&gt;"",MATCH(ROW(Create_TC_Web!$C$1:$C$1510),ROW(Create_TC_Web!$C$1:$C$1510)),""),ROW(Create_TC_Web!C908))),"")</f>
        <v/>
      </c>
      <c r="P883" s="17" t="str" cm="1">
        <f t="array" ref="P883">IFERROR(INDEX(Create_TC_Web!S$1:S$500,SMALL(IF(Create_TC_Web!$C$1:$C$500&lt;&gt;"",MATCH(ROW(Create_TC_Web!$C$1:$C$500),ROW(Create_TC_Web!$C$1:$C$500)),""),ROW(Create_TC_Web!Q859))),"")</f>
        <v/>
      </c>
    </row>
    <row r="884" spans="1:16">
      <c r="A884" t="str" cm="1">
        <f t="array" ref="A884">IFERROR(INDEX(Create_TC_Web!D$1:D$1510,SMALL(IF(Create_TC_Web!$C$1:$C$1510&lt;&gt;"",MATCH(ROW(Create_TC_Web!$C$1:$C$1510),ROW(Create_TC_Web!$C$1:$C$1510)),""),ROW(Create_TC_Web!B909))),"")</f>
        <v/>
      </c>
      <c r="B884" t="str" cm="1">
        <f t="array" ref="B884">IFERROR(INDEX(Create_TC_Web!$E$1:$E$1510,SMALL(IF(Create_TC_Web!$C$1:$C$1510&lt;&gt;"",MATCH(ROW(Create_TC_Web!$C$1:$C$1510),ROW(Create_TC_Web!$C$1:$C$1510)),""),ROW(Create_TC_Web!C909))),"")</f>
        <v/>
      </c>
      <c r="P884" s="17" t="str" cm="1">
        <f t="array" ref="P884">IFERROR(INDEX(Create_TC_Web!S$1:S$500,SMALL(IF(Create_TC_Web!$C$1:$C$500&lt;&gt;"",MATCH(ROW(Create_TC_Web!$C$1:$C$500),ROW(Create_TC_Web!$C$1:$C$500)),""),ROW(Create_TC_Web!Q860))),"")</f>
        <v/>
      </c>
    </row>
    <row r="885" spans="1:16">
      <c r="A885" t="str" cm="1">
        <f t="array" ref="A885">IFERROR(INDEX(Create_TC_Web!D$1:D$1510,SMALL(IF(Create_TC_Web!$C$1:$C$1510&lt;&gt;"",MATCH(ROW(Create_TC_Web!$C$1:$C$1510),ROW(Create_TC_Web!$C$1:$C$1510)),""),ROW(Create_TC_Web!B910))),"")</f>
        <v/>
      </c>
      <c r="B885" t="str" cm="1">
        <f t="array" ref="B885">IFERROR(INDEX(Create_TC_Web!$E$1:$E$1510,SMALL(IF(Create_TC_Web!$C$1:$C$1510&lt;&gt;"",MATCH(ROW(Create_TC_Web!$C$1:$C$1510),ROW(Create_TC_Web!$C$1:$C$1510)),""),ROW(Create_TC_Web!C910))),"")</f>
        <v/>
      </c>
      <c r="P885" s="17" t="str" cm="1">
        <f t="array" ref="P885">IFERROR(INDEX(Create_TC_Web!S$1:S$500,SMALL(IF(Create_TC_Web!$C$1:$C$500&lt;&gt;"",MATCH(ROW(Create_TC_Web!$C$1:$C$500),ROW(Create_TC_Web!$C$1:$C$500)),""),ROW(Create_TC_Web!Q861))),"")</f>
        <v/>
      </c>
    </row>
    <row r="886" spans="1:16">
      <c r="A886" t="str" cm="1">
        <f t="array" ref="A886">IFERROR(INDEX(Create_TC_Web!D$1:D$1510,SMALL(IF(Create_TC_Web!$C$1:$C$1510&lt;&gt;"",MATCH(ROW(Create_TC_Web!$C$1:$C$1510),ROW(Create_TC_Web!$C$1:$C$1510)),""),ROW(Create_TC_Web!B911))),"")</f>
        <v/>
      </c>
      <c r="B886" t="str" cm="1">
        <f t="array" ref="B886">IFERROR(INDEX(Create_TC_Web!$E$1:$E$1510,SMALL(IF(Create_TC_Web!$C$1:$C$1510&lt;&gt;"",MATCH(ROW(Create_TC_Web!$C$1:$C$1510),ROW(Create_TC_Web!$C$1:$C$1510)),""),ROW(Create_TC_Web!C911))),"")</f>
        <v/>
      </c>
      <c r="P886" s="17" t="str" cm="1">
        <f t="array" ref="P886">IFERROR(INDEX(Create_TC_Web!S$1:S$500,SMALL(IF(Create_TC_Web!$C$1:$C$500&lt;&gt;"",MATCH(ROW(Create_TC_Web!$C$1:$C$500),ROW(Create_TC_Web!$C$1:$C$500)),""),ROW(Create_TC_Web!Q862))),"")</f>
        <v/>
      </c>
    </row>
    <row r="887" spans="1:16">
      <c r="A887" t="str" cm="1">
        <f t="array" ref="A887">IFERROR(INDEX(Create_TC_Web!D$1:D$1510,SMALL(IF(Create_TC_Web!$C$1:$C$1510&lt;&gt;"",MATCH(ROW(Create_TC_Web!$C$1:$C$1510),ROW(Create_TC_Web!$C$1:$C$1510)),""),ROW(Create_TC_Web!B912))),"")</f>
        <v/>
      </c>
      <c r="B887" t="str" cm="1">
        <f t="array" ref="B887">IFERROR(INDEX(Create_TC_Web!$E$1:$E$1510,SMALL(IF(Create_TC_Web!$C$1:$C$1510&lt;&gt;"",MATCH(ROW(Create_TC_Web!$C$1:$C$1510),ROW(Create_TC_Web!$C$1:$C$1510)),""),ROW(Create_TC_Web!C912))),"")</f>
        <v/>
      </c>
      <c r="P887" s="17" t="str" cm="1">
        <f t="array" ref="P887">IFERROR(INDEX(Create_TC_Web!S$1:S$500,SMALL(IF(Create_TC_Web!$C$1:$C$500&lt;&gt;"",MATCH(ROW(Create_TC_Web!$C$1:$C$500),ROW(Create_TC_Web!$C$1:$C$500)),""),ROW(Create_TC_Web!Q863))),"")</f>
        <v/>
      </c>
    </row>
    <row r="888" spans="1:16">
      <c r="A888" t="str" cm="1">
        <f t="array" ref="A888">IFERROR(INDEX(Create_TC_Web!D$1:D$1510,SMALL(IF(Create_TC_Web!$C$1:$C$1510&lt;&gt;"",MATCH(ROW(Create_TC_Web!$C$1:$C$1510),ROW(Create_TC_Web!$C$1:$C$1510)),""),ROW(Create_TC_Web!B913))),"")</f>
        <v/>
      </c>
      <c r="B888" t="str" cm="1">
        <f t="array" ref="B888">IFERROR(INDEX(Create_TC_Web!$E$1:$E$1510,SMALL(IF(Create_TC_Web!$C$1:$C$1510&lt;&gt;"",MATCH(ROW(Create_TC_Web!$C$1:$C$1510),ROW(Create_TC_Web!$C$1:$C$1510)),""),ROW(Create_TC_Web!C913))),"")</f>
        <v/>
      </c>
      <c r="P888" s="17" t="str" cm="1">
        <f t="array" ref="P888">IFERROR(INDEX(Create_TC_Web!S$1:S$500,SMALL(IF(Create_TC_Web!$C$1:$C$500&lt;&gt;"",MATCH(ROW(Create_TC_Web!$C$1:$C$500),ROW(Create_TC_Web!$C$1:$C$500)),""),ROW(Create_TC_Web!Q864))),"")</f>
        <v/>
      </c>
    </row>
    <row r="889" spans="1:16">
      <c r="A889" t="str" cm="1">
        <f t="array" ref="A889">IFERROR(INDEX(Create_TC_Web!D$1:D$1510,SMALL(IF(Create_TC_Web!$C$1:$C$1510&lt;&gt;"",MATCH(ROW(Create_TC_Web!$C$1:$C$1510),ROW(Create_TC_Web!$C$1:$C$1510)),""),ROW(Create_TC_Web!B914))),"")</f>
        <v/>
      </c>
      <c r="B889" t="str" cm="1">
        <f t="array" ref="B889">IFERROR(INDEX(Create_TC_Web!$E$1:$E$1510,SMALL(IF(Create_TC_Web!$C$1:$C$1510&lt;&gt;"",MATCH(ROW(Create_TC_Web!$C$1:$C$1510),ROW(Create_TC_Web!$C$1:$C$1510)),""),ROW(Create_TC_Web!C914))),"")</f>
        <v/>
      </c>
      <c r="P889" s="17" t="str" cm="1">
        <f t="array" ref="P889">IFERROR(INDEX(Create_TC_Web!S$1:S$500,SMALL(IF(Create_TC_Web!$C$1:$C$500&lt;&gt;"",MATCH(ROW(Create_TC_Web!$C$1:$C$500),ROW(Create_TC_Web!$C$1:$C$500)),""),ROW(Create_TC_Web!Q865))),"")</f>
        <v/>
      </c>
    </row>
    <row r="890" spans="1:16">
      <c r="A890" t="str" cm="1">
        <f t="array" ref="A890">IFERROR(INDEX(Create_TC_Web!D$1:D$1510,SMALL(IF(Create_TC_Web!$C$1:$C$1510&lt;&gt;"",MATCH(ROW(Create_TC_Web!$C$1:$C$1510),ROW(Create_TC_Web!$C$1:$C$1510)),""),ROW(Create_TC_Web!B915))),"")</f>
        <v/>
      </c>
      <c r="B890" t="str" cm="1">
        <f t="array" ref="B890">IFERROR(INDEX(Create_TC_Web!$E$1:$E$1510,SMALL(IF(Create_TC_Web!$C$1:$C$1510&lt;&gt;"",MATCH(ROW(Create_TC_Web!$C$1:$C$1510),ROW(Create_TC_Web!$C$1:$C$1510)),""),ROW(Create_TC_Web!C915))),"")</f>
        <v/>
      </c>
      <c r="P890" s="17" t="str" cm="1">
        <f t="array" ref="P890">IFERROR(INDEX(Create_TC_Web!S$1:S$500,SMALL(IF(Create_TC_Web!$C$1:$C$500&lt;&gt;"",MATCH(ROW(Create_TC_Web!$C$1:$C$500),ROW(Create_TC_Web!$C$1:$C$500)),""),ROW(Create_TC_Web!Q866))),"")</f>
        <v/>
      </c>
    </row>
    <row r="891" spans="1:16">
      <c r="A891" t="str" cm="1">
        <f t="array" ref="A891">IFERROR(INDEX(Create_TC_Web!D$1:D$1510,SMALL(IF(Create_TC_Web!$C$1:$C$1510&lt;&gt;"",MATCH(ROW(Create_TC_Web!$C$1:$C$1510),ROW(Create_TC_Web!$C$1:$C$1510)),""),ROW(Create_TC_Web!B916))),"")</f>
        <v/>
      </c>
      <c r="B891" t="str" cm="1">
        <f t="array" ref="B891">IFERROR(INDEX(Create_TC_Web!$E$1:$E$1510,SMALL(IF(Create_TC_Web!$C$1:$C$1510&lt;&gt;"",MATCH(ROW(Create_TC_Web!$C$1:$C$1510),ROW(Create_TC_Web!$C$1:$C$1510)),""),ROW(Create_TC_Web!C916))),"")</f>
        <v/>
      </c>
      <c r="P891" s="17" t="str" cm="1">
        <f t="array" ref="P891">IFERROR(INDEX(Create_TC_Web!S$1:S$500,SMALL(IF(Create_TC_Web!$C$1:$C$500&lt;&gt;"",MATCH(ROW(Create_TC_Web!$C$1:$C$500),ROW(Create_TC_Web!$C$1:$C$500)),""),ROW(Create_TC_Web!Q867))),"")</f>
        <v/>
      </c>
    </row>
    <row r="892" spans="1:16">
      <c r="A892" t="str" cm="1">
        <f t="array" ref="A892">IFERROR(INDEX(Create_TC_Web!D$1:D$1510,SMALL(IF(Create_TC_Web!$C$1:$C$1510&lt;&gt;"",MATCH(ROW(Create_TC_Web!$C$1:$C$1510),ROW(Create_TC_Web!$C$1:$C$1510)),""),ROW(Create_TC_Web!B917))),"")</f>
        <v/>
      </c>
      <c r="B892" t="str" cm="1">
        <f t="array" ref="B892">IFERROR(INDEX(Create_TC_Web!$E$1:$E$1510,SMALL(IF(Create_TC_Web!$C$1:$C$1510&lt;&gt;"",MATCH(ROW(Create_TC_Web!$C$1:$C$1510),ROW(Create_TC_Web!$C$1:$C$1510)),""),ROW(Create_TC_Web!C917))),"")</f>
        <v/>
      </c>
      <c r="P892" s="17" t="str" cm="1">
        <f t="array" ref="P892">IFERROR(INDEX(Create_TC_Web!S$1:S$500,SMALL(IF(Create_TC_Web!$C$1:$C$500&lt;&gt;"",MATCH(ROW(Create_TC_Web!$C$1:$C$500),ROW(Create_TC_Web!$C$1:$C$500)),""),ROW(Create_TC_Web!Q868))),"")</f>
        <v/>
      </c>
    </row>
    <row r="893" spans="1:16">
      <c r="A893" t="str" cm="1">
        <f t="array" ref="A893">IFERROR(INDEX(Create_TC_Web!D$1:D$1510,SMALL(IF(Create_TC_Web!$C$1:$C$1510&lt;&gt;"",MATCH(ROW(Create_TC_Web!$C$1:$C$1510),ROW(Create_TC_Web!$C$1:$C$1510)),""),ROW(Create_TC_Web!B918))),"")</f>
        <v/>
      </c>
      <c r="B893" t="str" cm="1">
        <f t="array" ref="B893">IFERROR(INDEX(Create_TC_Web!$E$1:$E$1510,SMALL(IF(Create_TC_Web!$C$1:$C$1510&lt;&gt;"",MATCH(ROW(Create_TC_Web!$C$1:$C$1510),ROW(Create_TC_Web!$C$1:$C$1510)),""),ROW(Create_TC_Web!C918))),"")</f>
        <v/>
      </c>
      <c r="P893" s="17" t="str" cm="1">
        <f t="array" ref="P893">IFERROR(INDEX(Create_TC_Web!S$1:S$500,SMALL(IF(Create_TC_Web!$C$1:$C$500&lt;&gt;"",MATCH(ROW(Create_TC_Web!$C$1:$C$500),ROW(Create_TC_Web!$C$1:$C$500)),""),ROW(Create_TC_Web!Q869))),"")</f>
        <v/>
      </c>
    </row>
    <row r="894" spans="1:16">
      <c r="A894" t="str" cm="1">
        <f t="array" ref="A894">IFERROR(INDEX(Create_TC_Web!D$1:D$1510,SMALL(IF(Create_TC_Web!$C$1:$C$1510&lt;&gt;"",MATCH(ROW(Create_TC_Web!$C$1:$C$1510),ROW(Create_TC_Web!$C$1:$C$1510)),""),ROW(Create_TC_Web!B919))),"")</f>
        <v/>
      </c>
      <c r="B894" t="str" cm="1">
        <f t="array" ref="B894">IFERROR(INDEX(Create_TC_Web!$E$1:$E$1510,SMALL(IF(Create_TC_Web!$C$1:$C$1510&lt;&gt;"",MATCH(ROW(Create_TC_Web!$C$1:$C$1510),ROW(Create_TC_Web!$C$1:$C$1510)),""),ROW(Create_TC_Web!C919))),"")</f>
        <v/>
      </c>
      <c r="P894" s="17" t="str" cm="1">
        <f t="array" ref="P894">IFERROR(INDEX(Create_TC_Web!S$1:S$500,SMALL(IF(Create_TC_Web!$C$1:$C$500&lt;&gt;"",MATCH(ROW(Create_TC_Web!$C$1:$C$500),ROW(Create_TC_Web!$C$1:$C$500)),""),ROW(Create_TC_Web!Q870))),"")</f>
        <v/>
      </c>
    </row>
    <row r="895" spans="1:16">
      <c r="A895" t="str" cm="1">
        <f t="array" ref="A895">IFERROR(INDEX(Create_TC_Web!D$1:D$1510,SMALL(IF(Create_TC_Web!$C$1:$C$1510&lt;&gt;"",MATCH(ROW(Create_TC_Web!$C$1:$C$1510),ROW(Create_TC_Web!$C$1:$C$1510)),""),ROW(Create_TC_Web!B920))),"")</f>
        <v/>
      </c>
      <c r="B895" t="str" cm="1">
        <f t="array" ref="B895">IFERROR(INDEX(Create_TC_Web!$E$1:$E$1510,SMALL(IF(Create_TC_Web!$C$1:$C$1510&lt;&gt;"",MATCH(ROW(Create_TC_Web!$C$1:$C$1510),ROW(Create_TC_Web!$C$1:$C$1510)),""),ROW(Create_TC_Web!C920))),"")</f>
        <v/>
      </c>
      <c r="P895" s="17" t="str" cm="1">
        <f t="array" ref="P895">IFERROR(INDEX(Create_TC_Web!S$1:S$500,SMALL(IF(Create_TC_Web!$C$1:$C$500&lt;&gt;"",MATCH(ROW(Create_TC_Web!$C$1:$C$500),ROW(Create_TC_Web!$C$1:$C$500)),""),ROW(Create_TC_Web!Q871))),"")</f>
        <v/>
      </c>
    </row>
    <row r="896" spans="1:16">
      <c r="A896" t="str" cm="1">
        <f t="array" ref="A896">IFERROR(INDEX(Create_TC_Web!D$1:D$1510,SMALL(IF(Create_TC_Web!$C$1:$C$1510&lt;&gt;"",MATCH(ROW(Create_TC_Web!$C$1:$C$1510),ROW(Create_TC_Web!$C$1:$C$1510)),""),ROW(Create_TC_Web!B921))),"")</f>
        <v/>
      </c>
      <c r="B896" t="str" cm="1">
        <f t="array" ref="B896">IFERROR(INDEX(Create_TC_Web!$E$1:$E$1510,SMALL(IF(Create_TC_Web!$C$1:$C$1510&lt;&gt;"",MATCH(ROW(Create_TC_Web!$C$1:$C$1510),ROW(Create_TC_Web!$C$1:$C$1510)),""),ROW(Create_TC_Web!C921))),"")</f>
        <v/>
      </c>
      <c r="P896" s="17" t="str" cm="1">
        <f t="array" ref="P896">IFERROR(INDEX(Create_TC_Web!S$1:S$500,SMALL(IF(Create_TC_Web!$C$1:$C$500&lt;&gt;"",MATCH(ROW(Create_TC_Web!$C$1:$C$500),ROW(Create_TC_Web!$C$1:$C$500)),""),ROW(Create_TC_Web!Q872))),"")</f>
        <v/>
      </c>
    </row>
    <row r="897" spans="1:16">
      <c r="A897" t="str" cm="1">
        <f t="array" ref="A897">IFERROR(INDEX(Create_TC_Web!D$1:D$1510,SMALL(IF(Create_TC_Web!$C$1:$C$1510&lt;&gt;"",MATCH(ROW(Create_TC_Web!$C$1:$C$1510),ROW(Create_TC_Web!$C$1:$C$1510)),""),ROW(Create_TC_Web!B922))),"")</f>
        <v/>
      </c>
      <c r="B897" t="str" cm="1">
        <f t="array" ref="B897">IFERROR(INDEX(Create_TC_Web!$E$1:$E$1510,SMALL(IF(Create_TC_Web!$C$1:$C$1510&lt;&gt;"",MATCH(ROW(Create_TC_Web!$C$1:$C$1510),ROW(Create_TC_Web!$C$1:$C$1510)),""),ROW(Create_TC_Web!C922))),"")</f>
        <v/>
      </c>
      <c r="P897" s="17" t="str" cm="1">
        <f t="array" ref="P897">IFERROR(INDEX(Create_TC_Web!S$1:S$500,SMALL(IF(Create_TC_Web!$C$1:$C$500&lt;&gt;"",MATCH(ROW(Create_TC_Web!$C$1:$C$500),ROW(Create_TC_Web!$C$1:$C$500)),""),ROW(Create_TC_Web!Q873))),"")</f>
        <v/>
      </c>
    </row>
    <row r="898" spans="1:16">
      <c r="A898" t="str" cm="1">
        <f t="array" ref="A898">IFERROR(INDEX(Create_TC_Web!D$1:D$1510,SMALL(IF(Create_TC_Web!$C$1:$C$1510&lt;&gt;"",MATCH(ROW(Create_TC_Web!$C$1:$C$1510),ROW(Create_TC_Web!$C$1:$C$1510)),""),ROW(Create_TC_Web!B923))),"")</f>
        <v/>
      </c>
      <c r="B898" t="str" cm="1">
        <f t="array" ref="B898">IFERROR(INDEX(Create_TC_Web!$E$1:$E$1510,SMALL(IF(Create_TC_Web!$C$1:$C$1510&lt;&gt;"",MATCH(ROW(Create_TC_Web!$C$1:$C$1510),ROW(Create_TC_Web!$C$1:$C$1510)),""),ROW(Create_TC_Web!C923))),"")</f>
        <v/>
      </c>
      <c r="P898" s="17" t="str" cm="1">
        <f t="array" ref="P898">IFERROR(INDEX(Create_TC_Web!S$1:S$500,SMALL(IF(Create_TC_Web!$C$1:$C$500&lt;&gt;"",MATCH(ROW(Create_TC_Web!$C$1:$C$500),ROW(Create_TC_Web!$C$1:$C$500)),""),ROW(Create_TC_Web!Q874))),"")</f>
        <v/>
      </c>
    </row>
    <row r="899" spans="1:16">
      <c r="A899" t="str" cm="1">
        <f t="array" ref="A899">IFERROR(INDEX(Create_TC_Web!D$1:D$1510,SMALL(IF(Create_TC_Web!$C$1:$C$1510&lt;&gt;"",MATCH(ROW(Create_TC_Web!$C$1:$C$1510),ROW(Create_TC_Web!$C$1:$C$1510)),""),ROW(Create_TC_Web!B924))),"")</f>
        <v/>
      </c>
      <c r="B899" t="str" cm="1">
        <f t="array" ref="B899">IFERROR(INDEX(Create_TC_Web!$E$1:$E$1510,SMALL(IF(Create_TC_Web!$C$1:$C$1510&lt;&gt;"",MATCH(ROW(Create_TC_Web!$C$1:$C$1510),ROW(Create_TC_Web!$C$1:$C$1510)),""),ROW(Create_TC_Web!C924))),"")</f>
        <v/>
      </c>
      <c r="P899" s="17" t="str" cm="1">
        <f t="array" ref="P899">IFERROR(INDEX(Create_TC_Web!S$1:S$500,SMALL(IF(Create_TC_Web!$C$1:$C$500&lt;&gt;"",MATCH(ROW(Create_TC_Web!$C$1:$C$500),ROW(Create_TC_Web!$C$1:$C$500)),""),ROW(Create_TC_Web!Q875))),"")</f>
        <v/>
      </c>
    </row>
    <row r="900" spans="1:16">
      <c r="A900" t="str" cm="1">
        <f t="array" ref="A900">IFERROR(INDEX(Create_TC_Web!D$1:D$1510,SMALL(IF(Create_TC_Web!$C$1:$C$1510&lt;&gt;"",MATCH(ROW(Create_TC_Web!$C$1:$C$1510),ROW(Create_TC_Web!$C$1:$C$1510)),""),ROW(Create_TC_Web!B925))),"")</f>
        <v/>
      </c>
      <c r="B900" t="str" cm="1">
        <f t="array" ref="B900">IFERROR(INDEX(Create_TC_Web!$E$1:$E$1510,SMALL(IF(Create_TC_Web!$C$1:$C$1510&lt;&gt;"",MATCH(ROW(Create_TC_Web!$C$1:$C$1510),ROW(Create_TC_Web!$C$1:$C$1510)),""),ROW(Create_TC_Web!C925))),"")</f>
        <v/>
      </c>
      <c r="P900" s="17" t="str" cm="1">
        <f t="array" ref="P900">IFERROR(INDEX(Create_TC_Web!S$1:S$500,SMALL(IF(Create_TC_Web!$C$1:$C$500&lt;&gt;"",MATCH(ROW(Create_TC_Web!$C$1:$C$500),ROW(Create_TC_Web!$C$1:$C$500)),""),ROW(Create_TC_Web!Q876))),"")</f>
        <v/>
      </c>
    </row>
    <row r="901" spans="1:16">
      <c r="A901" t="str" cm="1">
        <f t="array" ref="A901">IFERROR(INDEX(Create_TC_Web!D$1:D$1510,SMALL(IF(Create_TC_Web!$C$1:$C$1510&lt;&gt;"",MATCH(ROW(Create_TC_Web!$C$1:$C$1510),ROW(Create_TC_Web!$C$1:$C$1510)),""),ROW(Create_TC_Web!B926))),"")</f>
        <v/>
      </c>
      <c r="B901" t="str" cm="1">
        <f t="array" ref="B901">IFERROR(INDEX(Create_TC_Web!$E$1:$E$1510,SMALL(IF(Create_TC_Web!$C$1:$C$1510&lt;&gt;"",MATCH(ROW(Create_TC_Web!$C$1:$C$1510),ROW(Create_TC_Web!$C$1:$C$1510)),""),ROW(Create_TC_Web!C926))),"")</f>
        <v/>
      </c>
      <c r="P901" s="17" t="str" cm="1">
        <f t="array" ref="P901">IFERROR(INDEX(Create_TC_Web!S$1:S$500,SMALL(IF(Create_TC_Web!$C$1:$C$500&lt;&gt;"",MATCH(ROW(Create_TC_Web!$C$1:$C$500),ROW(Create_TC_Web!$C$1:$C$500)),""),ROW(Create_TC_Web!Q877))),"")</f>
        <v/>
      </c>
    </row>
    <row r="902" spans="1:16">
      <c r="A902" t="str" cm="1">
        <f t="array" ref="A902">IFERROR(INDEX(Create_TC_Web!D$1:D$1510,SMALL(IF(Create_TC_Web!$C$1:$C$1510&lt;&gt;"",MATCH(ROW(Create_TC_Web!$C$1:$C$1510),ROW(Create_TC_Web!$C$1:$C$1510)),""),ROW(Create_TC_Web!B927))),"")</f>
        <v/>
      </c>
      <c r="B902" t="str" cm="1">
        <f t="array" ref="B902">IFERROR(INDEX(Create_TC_Web!$E$1:$E$1510,SMALL(IF(Create_TC_Web!$C$1:$C$1510&lt;&gt;"",MATCH(ROW(Create_TC_Web!$C$1:$C$1510),ROW(Create_TC_Web!$C$1:$C$1510)),""),ROW(Create_TC_Web!C927))),"")</f>
        <v/>
      </c>
      <c r="P902" s="17" t="str" cm="1">
        <f t="array" ref="P902">IFERROR(INDEX(Create_TC_Web!S$1:S$500,SMALL(IF(Create_TC_Web!$C$1:$C$500&lt;&gt;"",MATCH(ROW(Create_TC_Web!$C$1:$C$500),ROW(Create_TC_Web!$C$1:$C$500)),""),ROW(Create_TC_Web!Q878))),"")</f>
        <v/>
      </c>
    </row>
    <row r="903" spans="1:16">
      <c r="A903" t="str" cm="1">
        <f t="array" ref="A903">IFERROR(INDEX(Create_TC_Web!D$1:D$1510,SMALL(IF(Create_TC_Web!$C$1:$C$1510&lt;&gt;"",MATCH(ROW(Create_TC_Web!$C$1:$C$1510),ROW(Create_TC_Web!$C$1:$C$1510)),""),ROW(Create_TC_Web!B928))),"")</f>
        <v/>
      </c>
      <c r="B903" t="str" cm="1">
        <f t="array" ref="B903">IFERROR(INDEX(Create_TC_Web!$E$1:$E$1510,SMALL(IF(Create_TC_Web!$C$1:$C$1510&lt;&gt;"",MATCH(ROW(Create_TC_Web!$C$1:$C$1510),ROW(Create_TC_Web!$C$1:$C$1510)),""),ROW(Create_TC_Web!C928))),"")</f>
        <v/>
      </c>
      <c r="P903" s="17" t="str" cm="1">
        <f t="array" ref="P903">IFERROR(INDEX(Create_TC_Web!S$1:S$500,SMALL(IF(Create_TC_Web!$C$1:$C$500&lt;&gt;"",MATCH(ROW(Create_TC_Web!$C$1:$C$500),ROW(Create_TC_Web!$C$1:$C$500)),""),ROW(Create_TC_Web!Q879))),"")</f>
        <v/>
      </c>
    </row>
    <row r="904" spans="1:16">
      <c r="A904" t="str" cm="1">
        <f t="array" ref="A904">IFERROR(INDEX(Create_TC_Web!D$1:D$1510,SMALL(IF(Create_TC_Web!$C$1:$C$1510&lt;&gt;"",MATCH(ROW(Create_TC_Web!$C$1:$C$1510),ROW(Create_TC_Web!$C$1:$C$1510)),""),ROW(Create_TC_Web!B929))),"")</f>
        <v/>
      </c>
      <c r="B904" t="str" cm="1">
        <f t="array" ref="B904">IFERROR(INDEX(Create_TC_Web!$E$1:$E$1510,SMALL(IF(Create_TC_Web!$C$1:$C$1510&lt;&gt;"",MATCH(ROW(Create_TC_Web!$C$1:$C$1510),ROW(Create_TC_Web!$C$1:$C$1510)),""),ROW(Create_TC_Web!C929))),"")</f>
        <v/>
      </c>
      <c r="P904" s="17" t="str" cm="1">
        <f t="array" ref="P904">IFERROR(INDEX(Create_TC_Web!S$1:S$500,SMALL(IF(Create_TC_Web!$C$1:$C$500&lt;&gt;"",MATCH(ROW(Create_TC_Web!$C$1:$C$500),ROW(Create_TC_Web!$C$1:$C$500)),""),ROW(Create_TC_Web!Q880))),"")</f>
        <v/>
      </c>
    </row>
    <row r="905" spans="1:16">
      <c r="A905" t="str" cm="1">
        <f t="array" ref="A905">IFERROR(INDEX(Create_TC_Web!D$1:D$1510,SMALL(IF(Create_TC_Web!$C$1:$C$1510&lt;&gt;"",MATCH(ROW(Create_TC_Web!$C$1:$C$1510),ROW(Create_TC_Web!$C$1:$C$1510)),""),ROW(Create_TC_Web!B930))),"")</f>
        <v/>
      </c>
      <c r="B905" t="str" cm="1">
        <f t="array" ref="B905">IFERROR(INDEX(Create_TC_Web!$E$1:$E$1510,SMALL(IF(Create_TC_Web!$C$1:$C$1510&lt;&gt;"",MATCH(ROW(Create_TC_Web!$C$1:$C$1510),ROW(Create_TC_Web!$C$1:$C$1510)),""),ROW(Create_TC_Web!C930))),"")</f>
        <v/>
      </c>
      <c r="P905" s="17" t="str" cm="1">
        <f t="array" ref="P905">IFERROR(INDEX(Create_TC_Web!S$1:S$500,SMALL(IF(Create_TC_Web!$C$1:$C$500&lt;&gt;"",MATCH(ROW(Create_TC_Web!$C$1:$C$500),ROW(Create_TC_Web!$C$1:$C$500)),""),ROW(Create_TC_Web!Q881))),"")</f>
        <v/>
      </c>
    </row>
    <row r="906" spans="1:16">
      <c r="A906" t="str" cm="1">
        <f t="array" ref="A906">IFERROR(INDEX(Create_TC_Web!D$1:D$1510,SMALL(IF(Create_TC_Web!$C$1:$C$1510&lt;&gt;"",MATCH(ROW(Create_TC_Web!$C$1:$C$1510),ROW(Create_TC_Web!$C$1:$C$1510)),""),ROW(Create_TC_Web!B931))),"")</f>
        <v/>
      </c>
      <c r="B906" t="str" cm="1">
        <f t="array" ref="B906">IFERROR(INDEX(Create_TC_Web!$E$1:$E$1510,SMALL(IF(Create_TC_Web!$C$1:$C$1510&lt;&gt;"",MATCH(ROW(Create_TC_Web!$C$1:$C$1510),ROW(Create_TC_Web!$C$1:$C$1510)),""),ROW(Create_TC_Web!C931))),"")</f>
        <v/>
      </c>
      <c r="P906" s="17" t="str" cm="1">
        <f t="array" ref="P906">IFERROR(INDEX(Create_TC_Web!S$1:S$500,SMALL(IF(Create_TC_Web!$C$1:$C$500&lt;&gt;"",MATCH(ROW(Create_TC_Web!$C$1:$C$500),ROW(Create_TC_Web!$C$1:$C$500)),""),ROW(Create_TC_Web!Q882))),"")</f>
        <v/>
      </c>
    </row>
    <row r="907" spans="1:16">
      <c r="A907" t="str" cm="1">
        <f t="array" ref="A907">IFERROR(INDEX(Create_TC_Web!D$1:D$1510,SMALL(IF(Create_TC_Web!$C$1:$C$1510&lt;&gt;"",MATCH(ROW(Create_TC_Web!$C$1:$C$1510),ROW(Create_TC_Web!$C$1:$C$1510)),""),ROW(Create_TC_Web!B932))),"")</f>
        <v/>
      </c>
      <c r="B907" t="str" cm="1">
        <f t="array" ref="B907">IFERROR(INDEX(Create_TC_Web!$E$1:$E$1510,SMALL(IF(Create_TC_Web!$C$1:$C$1510&lt;&gt;"",MATCH(ROW(Create_TC_Web!$C$1:$C$1510),ROW(Create_TC_Web!$C$1:$C$1510)),""),ROW(Create_TC_Web!C932))),"")</f>
        <v/>
      </c>
      <c r="P907" s="17" t="str" cm="1">
        <f t="array" ref="P907">IFERROR(INDEX(Create_TC_Web!S$1:S$500,SMALL(IF(Create_TC_Web!$C$1:$C$500&lt;&gt;"",MATCH(ROW(Create_TC_Web!$C$1:$C$500),ROW(Create_TC_Web!$C$1:$C$500)),""),ROW(Create_TC_Web!Q883))),"")</f>
        <v/>
      </c>
    </row>
    <row r="908" spans="1:16">
      <c r="A908" t="str" cm="1">
        <f t="array" ref="A908">IFERROR(INDEX(Create_TC_Web!D$1:D$1510,SMALL(IF(Create_TC_Web!$C$1:$C$1510&lt;&gt;"",MATCH(ROW(Create_TC_Web!$C$1:$C$1510),ROW(Create_TC_Web!$C$1:$C$1510)),""),ROW(Create_TC_Web!B933))),"")</f>
        <v/>
      </c>
      <c r="B908" t="str" cm="1">
        <f t="array" ref="B908">IFERROR(INDEX(Create_TC_Web!$E$1:$E$1510,SMALL(IF(Create_TC_Web!$C$1:$C$1510&lt;&gt;"",MATCH(ROW(Create_TC_Web!$C$1:$C$1510),ROW(Create_TC_Web!$C$1:$C$1510)),""),ROW(Create_TC_Web!C933))),"")</f>
        <v/>
      </c>
      <c r="P908" s="17" t="str" cm="1">
        <f t="array" ref="P908">IFERROR(INDEX(Create_TC_Web!S$1:S$500,SMALL(IF(Create_TC_Web!$C$1:$C$500&lt;&gt;"",MATCH(ROW(Create_TC_Web!$C$1:$C$500),ROW(Create_TC_Web!$C$1:$C$500)),""),ROW(Create_TC_Web!Q884))),"")</f>
        <v/>
      </c>
    </row>
    <row r="909" spans="1:16">
      <c r="A909" t="str" cm="1">
        <f t="array" ref="A909">IFERROR(INDEX(Create_TC_Web!D$1:D$1510,SMALL(IF(Create_TC_Web!$C$1:$C$1510&lt;&gt;"",MATCH(ROW(Create_TC_Web!$C$1:$C$1510),ROW(Create_TC_Web!$C$1:$C$1510)),""),ROW(Create_TC_Web!B934))),"")</f>
        <v/>
      </c>
      <c r="B909" t="str" cm="1">
        <f t="array" ref="B909">IFERROR(INDEX(Create_TC_Web!$E$1:$E$1510,SMALL(IF(Create_TC_Web!$C$1:$C$1510&lt;&gt;"",MATCH(ROW(Create_TC_Web!$C$1:$C$1510),ROW(Create_TC_Web!$C$1:$C$1510)),""),ROW(Create_TC_Web!C934))),"")</f>
        <v/>
      </c>
      <c r="P909" s="17" t="str" cm="1">
        <f t="array" ref="P909">IFERROR(INDEX(Create_TC_Web!S$1:S$500,SMALL(IF(Create_TC_Web!$C$1:$C$500&lt;&gt;"",MATCH(ROW(Create_TC_Web!$C$1:$C$500),ROW(Create_TC_Web!$C$1:$C$500)),""),ROW(Create_TC_Web!Q885))),"")</f>
        <v/>
      </c>
    </row>
    <row r="910" spans="1:16">
      <c r="A910" t="str" cm="1">
        <f t="array" ref="A910">IFERROR(INDEX(Create_TC_Web!D$1:D$1510,SMALL(IF(Create_TC_Web!$C$1:$C$1510&lt;&gt;"",MATCH(ROW(Create_TC_Web!$C$1:$C$1510),ROW(Create_TC_Web!$C$1:$C$1510)),""),ROW(Create_TC_Web!B935))),"")</f>
        <v/>
      </c>
      <c r="B910" t="str" cm="1">
        <f t="array" ref="B910">IFERROR(INDEX(Create_TC_Web!$E$1:$E$1510,SMALL(IF(Create_TC_Web!$C$1:$C$1510&lt;&gt;"",MATCH(ROW(Create_TC_Web!$C$1:$C$1510),ROW(Create_TC_Web!$C$1:$C$1510)),""),ROW(Create_TC_Web!C935))),"")</f>
        <v/>
      </c>
      <c r="P910" s="17" t="str" cm="1">
        <f t="array" ref="P910">IFERROR(INDEX(Create_TC_Web!S$1:S$500,SMALL(IF(Create_TC_Web!$C$1:$C$500&lt;&gt;"",MATCH(ROW(Create_TC_Web!$C$1:$C$500),ROW(Create_TC_Web!$C$1:$C$500)),""),ROW(Create_TC_Web!Q886))),"")</f>
        <v/>
      </c>
    </row>
    <row r="911" spans="1:16">
      <c r="A911" t="str" cm="1">
        <f t="array" ref="A911">IFERROR(INDEX(Create_TC_Web!D$1:D$1510,SMALL(IF(Create_TC_Web!$C$1:$C$1510&lt;&gt;"",MATCH(ROW(Create_TC_Web!$C$1:$C$1510),ROW(Create_TC_Web!$C$1:$C$1510)),""),ROW(Create_TC_Web!B936))),"")</f>
        <v/>
      </c>
      <c r="B911" t="str" cm="1">
        <f t="array" ref="B911">IFERROR(INDEX(Create_TC_Web!$E$1:$E$1510,SMALL(IF(Create_TC_Web!$C$1:$C$1510&lt;&gt;"",MATCH(ROW(Create_TC_Web!$C$1:$C$1510),ROW(Create_TC_Web!$C$1:$C$1510)),""),ROW(Create_TC_Web!C936))),"")</f>
        <v/>
      </c>
      <c r="P911" s="17" t="str" cm="1">
        <f t="array" ref="P911">IFERROR(INDEX(Create_TC_Web!S$1:S$500,SMALL(IF(Create_TC_Web!$C$1:$C$500&lt;&gt;"",MATCH(ROW(Create_TC_Web!$C$1:$C$500),ROW(Create_TC_Web!$C$1:$C$500)),""),ROW(Create_TC_Web!Q887))),"")</f>
        <v/>
      </c>
    </row>
    <row r="912" spans="1:16">
      <c r="A912" t="str" cm="1">
        <f t="array" ref="A912">IFERROR(INDEX(Create_TC_Web!D$1:D$1510,SMALL(IF(Create_TC_Web!$C$1:$C$1510&lt;&gt;"",MATCH(ROW(Create_TC_Web!$C$1:$C$1510),ROW(Create_TC_Web!$C$1:$C$1510)),""),ROW(Create_TC_Web!B937))),"")</f>
        <v/>
      </c>
      <c r="B912" t="str" cm="1">
        <f t="array" ref="B912">IFERROR(INDEX(Create_TC_Web!$E$1:$E$1510,SMALL(IF(Create_TC_Web!$C$1:$C$1510&lt;&gt;"",MATCH(ROW(Create_TC_Web!$C$1:$C$1510),ROW(Create_TC_Web!$C$1:$C$1510)),""),ROW(Create_TC_Web!C937))),"")</f>
        <v/>
      </c>
      <c r="P912" s="17" t="str" cm="1">
        <f t="array" ref="P912">IFERROR(INDEX(Create_TC_Web!S$1:S$500,SMALL(IF(Create_TC_Web!$C$1:$C$500&lt;&gt;"",MATCH(ROW(Create_TC_Web!$C$1:$C$500),ROW(Create_TC_Web!$C$1:$C$500)),""),ROW(Create_TC_Web!Q888))),"")</f>
        <v/>
      </c>
    </row>
    <row r="913" spans="1:16">
      <c r="A913" t="str" cm="1">
        <f t="array" ref="A913">IFERROR(INDEX(Create_TC_Web!D$1:D$1510,SMALL(IF(Create_TC_Web!$C$1:$C$1510&lt;&gt;"",MATCH(ROW(Create_TC_Web!$C$1:$C$1510),ROW(Create_TC_Web!$C$1:$C$1510)),""),ROW(Create_TC_Web!B938))),"")</f>
        <v/>
      </c>
      <c r="B913" t="str" cm="1">
        <f t="array" ref="B913">IFERROR(INDEX(Create_TC_Web!$E$1:$E$1510,SMALL(IF(Create_TC_Web!$C$1:$C$1510&lt;&gt;"",MATCH(ROW(Create_TC_Web!$C$1:$C$1510),ROW(Create_TC_Web!$C$1:$C$1510)),""),ROW(Create_TC_Web!C938))),"")</f>
        <v/>
      </c>
      <c r="P913" s="17" t="str" cm="1">
        <f t="array" ref="P913">IFERROR(INDEX(Create_TC_Web!S$1:S$500,SMALL(IF(Create_TC_Web!$C$1:$C$500&lt;&gt;"",MATCH(ROW(Create_TC_Web!$C$1:$C$500),ROW(Create_TC_Web!$C$1:$C$500)),""),ROW(Create_TC_Web!Q889))),"")</f>
        <v/>
      </c>
    </row>
    <row r="914" spans="1:16">
      <c r="A914" t="str" cm="1">
        <f t="array" ref="A914">IFERROR(INDEX(Create_TC_Web!D$1:D$1510,SMALL(IF(Create_TC_Web!$C$1:$C$1510&lt;&gt;"",MATCH(ROW(Create_TC_Web!$C$1:$C$1510),ROW(Create_TC_Web!$C$1:$C$1510)),""),ROW(Create_TC_Web!B939))),"")</f>
        <v/>
      </c>
      <c r="B914" t="str" cm="1">
        <f t="array" ref="B914">IFERROR(INDEX(Create_TC_Web!$E$1:$E$1510,SMALL(IF(Create_TC_Web!$C$1:$C$1510&lt;&gt;"",MATCH(ROW(Create_TC_Web!$C$1:$C$1510),ROW(Create_TC_Web!$C$1:$C$1510)),""),ROW(Create_TC_Web!C939))),"")</f>
        <v/>
      </c>
      <c r="P914" s="17" t="str" cm="1">
        <f t="array" ref="P914">IFERROR(INDEX(Create_TC_Web!S$1:S$500,SMALL(IF(Create_TC_Web!$C$1:$C$500&lt;&gt;"",MATCH(ROW(Create_TC_Web!$C$1:$C$500),ROW(Create_TC_Web!$C$1:$C$500)),""),ROW(Create_TC_Web!Q890))),"")</f>
        <v/>
      </c>
    </row>
    <row r="915" spans="1:16">
      <c r="A915" t="str" cm="1">
        <f t="array" ref="A915">IFERROR(INDEX(Create_TC_Web!D$1:D$1510,SMALL(IF(Create_TC_Web!$C$1:$C$1510&lt;&gt;"",MATCH(ROW(Create_TC_Web!$C$1:$C$1510),ROW(Create_TC_Web!$C$1:$C$1510)),""),ROW(Create_TC_Web!B940))),"")</f>
        <v/>
      </c>
      <c r="B915" t="str" cm="1">
        <f t="array" ref="B915">IFERROR(INDEX(Create_TC_Web!$E$1:$E$1510,SMALL(IF(Create_TC_Web!$C$1:$C$1510&lt;&gt;"",MATCH(ROW(Create_TC_Web!$C$1:$C$1510),ROW(Create_TC_Web!$C$1:$C$1510)),""),ROW(Create_TC_Web!C940))),"")</f>
        <v/>
      </c>
      <c r="P915" s="17" t="str" cm="1">
        <f t="array" ref="P915">IFERROR(INDEX(Create_TC_Web!S$1:S$500,SMALL(IF(Create_TC_Web!$C$1:$C$500&lt;&gt;"",MATCH(ROW(Create_TC_Web!$C$1:$C$500),ROW(Create_TC_Web!$C$1:$C$500)),""),ROW(Create_TC_Web!Q891))),"")</f>
        <v/>
      </c>
    </row>
    <row r="916" spans="1:16">
      <c r="A916" t="str" cm="1">
        <f t="array" ref="A916">IFERROR(INDEX(Create_TC_Web!D$1:D$1510,SMALL(IF(Create_TC_Web!$C$1:$C$1510&lt;&gt;"",MATCH(ROW(Create_TC_Web!$C$1:$C$1510),ROW(Create_TC_Web!$C$1:$C$1510)),""),ROW(Create_TC_Web!B941))),"")</f>
        <v/>
      </c>
      <c r="B916" t="str" cm="1">
        <f t="array" ref="B916">IFERROR(INDEX(Create_TC_Web!$E$1:$E$1510,SMALL(IF(Create_TC_Web!$C$1:$C$1510&lt;&gt;"",MATCH(ROW(Create_TC_Web!$C$1:$C$1510),ROW(Create_TC_Web!$C$1:$C$1510)),""),ROW(Create_TC_Web!C941))),"")</f>
        <v/>
      </c>
      <c r="P916" s="17" t="str" cm="1">
        <f t="array" ref="P916">IFERROR(INDEX(Create_TC_Web!S$1:S$500,SMALL(IF(Create_TC_Web!$C$1:$C$500&lt;&gt;"",MATCH(ROW(Create_TC_Web!$C$1:$C$500),ROW(Create_TC_Web!$C$1:$C$500)),""),ROW(Create_TC_Web!Q892))),"")</f>
        <v/>
      </c>
    </row>
    <row r="917" spans="1:16">
      <c r="A917" t="str" cm="1">
        <f t="array" ref="A917">IFERROR(INDEX(Create_TC_Web!D$1:D$1510,SMALL(IF(Create_TC_Web!$C$1:$C$1510&lt;&gt;"",MATCH(ROW(Create_TC_Web!$C$1:$C$1510),ROW(Create_TC_Web!$C$1:$C$1510)),""),ROW(Create_TC_Web!B942))),"")</f>
        <v/>
      </c>
      <c r="B917" t="str" cm="1">
        <f t="array" ref="B917">IFERROR(INDEX(Create_TC_Web!$E$1:$E$1510,SMALL(IF(Create_TC_Web!$C$1:$C$1510&lt;&gt;"",MATCH(ROW(Create_TC_Web!$C$1:$C$1510),ROW(Create_TC_Web!$C$1:$C$1510)),""),ROW(Create_TC_Web!C942))),"")</f>
        <v/>
      </c>
      <c r="P917" s="17" t="str" cm="1">
        <f t="array" ref="P917">IFERROR(INDEX(Create_TC_Web!S$1:S$500,SMALL(IF(Create_TC_Web!$C$1:$C$500&lt;&gt;"",MATCH(ROW(Create_TC_Web!$C$1:$C$500),ROW(Create_TC_Web!$C$1:$C$500)),""),ROW(Create_TC_Web!Q893))),"")</f>
        <v/>
      </c>
    </row>
    <row r="918" spans="1:16">
      <c r="A918" t="str" cm="1">
        <f t="array" ref="A918">IFERROR(INDEX(Create_TC_Web!D$1:D$1510,SMALL(IF(Create_TC_Web!$C$1:$C$1510&lt;&gt;"",MATCH(ROW(Create_TC_Web!$C$1:$C$1510),ROW(Create_TC_Web!$C$1:$C$1510)),""),ROW(Create_TC_Web!B943))),"")</f>
        <v/>
      </c>
      <c r="B918" t="str" cm="1">
        <f t="array" ref="B918">IFERROR(INDEX(Create_TC_Web!$E$1:$E$1510,SMALL(IF(Create_TC_Web!$C$1:$C$1510&lt;&gt;"",MATCH(ROW(Create_TC_Web!$C$1:$C$1510),ROW(Create_TC_Web!$C$1:$C$1510)),""),ROW(Create_TC_Web!C943))),"")</f>
        <v/>
      </c>
      <c r="P918" s="17" t="str" cm="1">
        <f t="array" ref="P918">IFERROR(INDEX(Create_TC_Web!S$1:S$500,SMALL(IF(Create_TC_Web!$C$1:$C$500&lt;&gt;"",MATCH(ROW(Create_TC_Web!$C$1:$C$500),ROW(Create_TC_Web!$C$1:$C$500)),""),ROW(Create_TC_Web!Q894))),"")</f>
        <v/>
      </c>
    </row>
    <row r="919" spans="1:16">
      <c r="A919" t="str" cm="1">
        <f t="array" ref="A919">IFERROR(INDEX(Create_TC_Web!D$1:D$1510,SMALL(IF(Create_TC_Web!$C$1:$C$1510&lt;&gt;"",MATCH(ROW(Create_TC_Web!$C$1:$C$1510),ROW(Create_TC_Web!$C$1:$C$1510)),""),ROW(Create_TC_Web!B944))),"")</f>
        <v/>
      </c>
      <c r="B919" t="str" cm="1">
        <f t="array" ref="B919">IFERROR(INDEX(Create_TC_Web!$E$1:$E$1510,SMALL(IF(Create_TC_Web!$C$1:$C$1510&lt;&gt;"",MATCH(ROW(Create_TC_Web!$C$1:$C$1510),ROW(Create_TC_Web!$C$1:$C$1510)),""),ROW(Create_TC_Web!C944))),"")</f>
        <v/>
      </c>
      <c r="P919" s="17" t="str" cm="1">
        <f t="array" ref="P919">IFERROR(INDEX(Create_TC_Web!S$1:S$500,SMALL(IF(Create_TC_Web!$C$1:$C$500&lt;&gt;"",MATCH(ROW(Create_TC_Web!$C$1:$C$500),ROW(Create_TC_Web!$C$1:$C$500)),""),ROW(Create_TC_Web!Q895))),"")</f>
        <v/>
      </c>
    </row>
    <row r="920" spans="1:16">
      <c r="A920" t="str" cm="1">
        <f t="array" ref="A920">IFERROR(INDEX(Create_TC_Web!D$1:D$1510,SMALL(IF(Create_TC_Web!$C$1:$C$1510&lt;&gt;"",MATCH(ROW(Create_TC_Web!$C$1:$C$1510),ROW(Create_TC_Web!$C$1:$C$1510)),""),ROW(Create_TC_Web!B945))),"")</f>
        <v/>
      </c>
      <c r="B920" t="str" cm="1">
        <f t="array" ref="B920">IFERROR(INDEX(Create_TC_Web!$E$1:$E$1510,SMALL(IF(Create_TC_Web!$C$1:$C$1510&lt;&gt;"",MATCH(ROW(Create_TC_Web!$C$1:$C$1510),ROW(Create_TC_Web!$C$1:$C$1510)),""),ROW(Create_TC_Web!C945))),"")</f>
        <v/>
      </c>
      <c r="P920" s="17" t="str" cm="1">
        <f t="array" ref="P920">IFERROR(INDEX(Create_TC_Web!S$1:S$500,SMALL(IF(Create_TC_Web!$C$1:$C$500&lt;&gt;"",MATCH(ROW(Create_TC_Web!$C$1:$C$500),ROW(Create_TC_Web!$C$1:$C$500)),""),ROW(Create_TC_Web!Q896))),"")</f>
        <v/>
      </c>
    </row>
    <row r="921" spans="1:16">
      <c r="A921" t="str" cm="1">
        <f t="array" ref="A921">IFERROR(INDEX(Create_TC_Web!D$1:D$1510,SMALL(IF(Create_TC_Web!$C$1:$C$1510&lt;&gt;"",MATCH(ROW(Create_TC_Web!$C$1:$C$1510),ROW(Create_TC_Web!$C$1:$C$1510)),""),ROW(Create_TC_Web!B946))),"")</f>
        <v/>
      </c>
      <c r="B921" t="str" cm="1">
        <f t="array" ref="B921">IFERROR(INDEX(Create_TC_Web!$E$1:$E$1510,SMALL(IF(Create_TC_Web!$C$1:$C$1510&lt;&gt;"",MATCH(ROW(Create_TC_Web!$C$1:$C$1510),ROW(Create_TC_Web!$C$1:$C$1510)),""),ROW(Create_TC_Web!C946))),"")</f>
        <v/>
      </c>
      <c r="P921" s="17" t="str" cm="1">
        <f t="array" ref="P921">IFERROR(INDEX(Create_TC_Web!S$1:S$500,SMALL(IF(Create_TC_Web!$C$1:$C$500&lt;&gt;"",MATCH(ROW(Create_TC_Web!$C$1:$C$500),ROW(Create_TC_Web!$C$1:$C$500)),""),ROW(Create_TC_Web!Q897))),"")</f>
        <v/>
      </c>
    </row>
    <row r="922" spans="1:16">
      <c r="A922" t="str" cm="1">
        <f t="array" ref="A922">IFERROR(INDEX(Create_TC_Web!D$1:D$1510,SMALL(IF(Create_TC_Web!$C$1:$C$1510&lt;&gt;"",MATCH(ROW(Create_TC_Web!$C$1:$C$1510),ROW(Create_TC_Web!$C$1:$C$1510)),""),ROW(Create_TC_Web!B947))),"")</f>
        <v/>
      </c>
      <c r="B922" t="str" cm="1">
        <f t="array" ref="B922">IFERROR(INDEX(Create_TC_Web!$E$1:$E$1510,SMALL(IF(Create_TC_Web!$C$1:$C$1510&lt;&gt;"",MATCH(ROW(Create_TC_Web!$C$1:$C$1510),ROW(Create_TC_Web!$C$1:$C$1510)),""),ROW(Create_TC_Web!C947))),"")</f>
        <v/>
      </c>
      <c r="P922" s="17" t="str" cm="1">
        <f t="array" ref="P922">IFERROR(INDEX(Create_TC_Web!S$1:S$500,SMALL(IF(Create_TC_Web!$C$1:$C$500&lt;&gt;"",MATCH(ROW(Create_TC_Web!$C$1:$C$500),ROW(Create_TC_Web!$C$1:$C$500)),""),ROW(Create_TC_Web!Q898))),"")</f>
        <v/>
      </c>
    </row>
    <row r="923" spans="1:16">
      <c r="A923" t="str" cm="1">
        <f t="array" ref="A923">IFERROR(INDEX(Create_TC_Web!D$1:D$1510,SMALL(IF(Create_TC_Web!$C$1:$C$1510&lt;&gt;"",MATCH(ROW(Create_TC_Web!$C$1:$C$1510),ROW(Create_TC_Web!$C$1:$C$1510)),""),ROW(Create_TC_Web!B948))),"")</f>
        <v/>
      </c>
      <c r="B923" t="str" cm="1">
        <f t="array" ref="B923">IFERROR(INDEX(Create_TC_Web!$E$1:$E$1510,SMALL(IF(Create_TC_Web!$C$1:$C$1510&lt;&gt;"",MATCH(ROW(Create_TC_Web!$C$1:$C$1510),ROW(Create_TC_Web!$C$1:$C$1510)),""),ROW(Create_TC_Web!C948))),"")</f>
        <v/>
      </c>
      <c r="P923" s="17" t="str" cm="1">
        <f t="array" ref="P923">IFERROR(INDEX(Create_TC_Web!S$1:S$500,SMALL(IF(Create_TC_Web!$C$1:$C$500&lt;&gt;"",MATCH(ROW(Create_TC_Web!$C$1:$C$500),ROW(Create_TC_Web!$C$1:$C$500)),""),ROW(Create_TC_Web!Q899))),"")</f>
        <v/>
      </c>
    </row>
    <row r="924" spans="1:16">
      <c r="A924" t="str" cm="1">
        <f t="array" ref="A924">IFERROR(INDEX(Create_TC_Web!D$1:D$1510,SMALL(IF(Create_TC_Web!$C$1:$C$1510&lt;&gt;"",MATCH(ROW(Create_TC_Web!$C$1:$C$1510),ROW(Create_TC_Web!$C$1:$C$1510)),""),ROW(Create_TC_Web!B949))),"")</f>
        <v/>
      </c>
      <c r="B924" t="str" cm="1">
        <f t="array" ref="B924">IFERROR(INDEX(Create_TC_Web!$E$1:$E$1510,SMALL(IF(Create_TC_Web!$C$1:$C$1510&lt;&gt;"",MATCH(ROW(Create_TC_Web!$C$1:$C$1510),ROW(Create_TC_Web!$C$1:$C$1510)),""),ROW(Create_TC_Web!C949))),"")</f>
        <v/>
      </c>
      <c r="P924" s="17" t="str" cm="1">
        <f t="array" ref="P924">IFERROR(INDEX(Create_TC_Web!S$1:S$500,SMALL(IF(Create_TC_Web!$C$1:$C$500&lt;&gt;"",MATCH(ROW(Create_TC_Web!$C$1:$C$500),ROW(Create_TC_Web!$C$1:$C$500)),""),ROW(Create_TC_Web!Q900))),"")</f>
        <v/>
      </c>
    </row>
    <row r="925" spans="1:16">
      <c r="A925" t="str" cm="1">
        <f t="array" ref="A925">IFERROR(INDEX(Create_TC_Web!D$1:D$1510,SMALL(IF(Create_TC_Web!$C$1:$C$1510&lt;&gt;"",MATCH(ROW(Create_TC_Web!$C$1:$C$1510),ROW(Create_TC_Web!$C$1:$C$1510)),""),ROW(Create_TC_Web!B950))),"")</f>
        <v/>
      </c>
      <c r="B925" t="str" cm="1">
        <f t="array" ref="B925">IFERROR(INDEX(Create_TC_Web!$E$1:$E$1510,SMALL(IF(Create_TC_Web!$C$1:$C$1510&lt;&gt;"",MATCH(ROW(Create_TC_Web!$C$1:$C$1510),ROW(Create_TC_Web!$C$1:$C$1510)),""),ROW(Create_TC_Web!C950))),"")</f>
        <v/>
      </c>
      <c r="P925" s="17" t="str" cm="1">
        <f t="array" ref="P925">IFERROR(INDEX(Create_TC_Web!S$1:S$500,SMALL(IF(Create_TC_Web!$C$1:$C$500&lt;&gt;"",MATCH(ROW(Create_TC_Web!$C$1:$C$500),ROW(Create_TC_Web!$C$1:$C$500)),""),ROW(Create_TC_Web!Q901))),"")</f>
        <v/>
      </c>
    </row>
    <row r="926" spans="1:16">
      <c r="A926" t="str" cm="1">
        <f t="array" ref="A926">IFERROR(INDEX(Create_TC_Web!D$1:D$1510,SMALL(IF(Create_TC_Web!$C$1:$C$1510&lt;&gt;"",MATCH(ROW(Create_TC_Web!$C$1:$C$1510),ROW(Create_TC_Web!$C$1:$C$1510)),""),ROW(Create_TC_Web!B951))),"")</f>
        <v/>
      </c>
      <c r="B926" t="str" cm="1">
        <f t="array" ref="B926">IFERROR(INDEX(Create_TC_Web!$E$1:$E$1510,SMALL(IF(Create_TC_Web!$C$1:$C$1510&lt;&gt;"",MATCH(ROW(Create_TC_Web!$C$1:$C$1510),ROW(Create_TC_Web!$C$1:$C$1510)),""),ROW(Create_TC_Web!C951))),"")</f>
        <v/>
      </c>
      <c r="P926" s="17" t="str" cm="1">
        <f t="array" ref="P926">IFERROR(INDEX(Create_TC_Web!S$1:S$500,SMALL(IF(Create_TC_Web!$C$1:$C$500&lt;&gt;"",MATCH(ROW(Create_TC_Web!$C$1:$C$500),ROW(Create_TC_Web!$C$1:$C$500)),""),ROW(Create_TC_Web!Q902))),"")</f>
        <v/>
      </c>
    </row>
    <row r="927" spans="1:16">
      <c r="A927" t="str" cm="1">
        <f t="array" ref="A927">IFERROR(INDEX(Create_TC_Web!D$1:D$1510,SMALL(IF(Create_TC_Web!$C$1:$C$1510&lt;&gt;"",MATCH(ROW(Create_TC_Web!$C$1:$C$1510),ROW(Create_TC_Web!$C$1:$C$1510)),""),ROW(Create_TC_Web!B952))),"")</f>
        <v/>
      </c>
      <c r="B927" t="str" cm="1">
        <f t="array" ref="B927">IFERROR(INDEX(Create_TC_Web!$E$1:$E$1510,SMALL(IF(Create_TC_Web!$C$1:$C$1510&lt;&gt;"",MATCH(ROW(Create_TC_Web!$C$1:$C$1510),ROW(Create_TC_Web!$C$1:$C$1510)),""),ROW(Create_TC_Web!C952))),"")</f>
        <v/>
      </c>
      <c r="P927" s="17" t="str" cm="1">
        <f t="array" ref="P927">IFERROR(INDEX(Create_TC_Web!S$1:S$500,SMALL(IF(Create_TC_Web!$C$1:$C$500&lt;&gt;"",MATCH(ROW(Create_TC_Web!$C$1:$C$500),ROW(Create_TC_Web!$C$1:$C$500)),""),ROW(Create_TC_Web!Q903))),"")</f>
        <v/>
      </c>
    </row>
    <row r="928" spans="1:16">
      <c r="A928" t="str" cm="1">
        <f t="array" ref="A928">IFERROR(INDEX(Create_TC_Web!D$1:D$1510,SMALL(IF(Create_TC_Web!$C$1:$C$1510&lt;&gt;"",MATCH(ROW(Create_TC_Web!$C$1:$C$1510),ROW(Create_TC_Web!$C$1:$C$1510)),""),ROW(Create_TC_Web!B953))),"")</f>
        <v/>
      </c>
      <c r="B928" t="str" cm="1">
        <f t="array" ref="B928">IFERROR(INDEX(Create_TC_Web!$E$1:$E$1510,SMALL(IF(Create_TC_Web!$C$1:$C$1510&lt;&gt;"",MATCH(ROW(Create_TC_Web!$C$1:$C$1510),ROW(Create_TC_Web!$C$1:$C$1510)),""),ROW(Create_TC_Web!C953))),"")</f>
        <v/>
      </c>
      <c r="P928" s="17" t="str" cm="1">
        <f t="array" ref="P928">IFERROR(INDEX(Create_TC_Web!S$1:S$500,SMALL(IF(Create_TC_Web!$C$1:$C$500&lt;&gt;"",MATCH(ROW(Create_TC_Web!$C$1:$C$500),ROW(Create_TC_Web!$C$1:$C$500)),""),ROW(Create_TC_Web!Q904))),"")</f>
        <v/>
      </c>
    </row>
    <row r="929" spans="1:16">
      <c r="A929" t="str" cm="1">
        <f t="array" ref="A929">IFERROR(INDEX(Create_TC_Web!D$1:D$1510,SMALL(IF(Create_TC_Web!$C$1:$C$1510&lt;&gt;"",MATCH(ROW(Create_TC_Web!$C$1:$C$1510),ROW(Create_TC_Web!$C$1:$C$1510)),""),ROW(Create_TC_Web!B954))),"")</f>
        <v/>
      </c>
      <c r="B929" t="str" cm="1">
        <f t="array" ref="B929">IFERROR(INDEX(Create_TC_Web!$E$1:$E$1510,SMALL(IF(Create_TC_Web!$C$1:$C$1510&lt;&gt;"",MATCH(ROW(Create_TC_Web!$C$1:$C$1510),ROW(Create_TC_Web!$C$1:$C$1510)),""),ROW(Create_TC_Web!C954))),"")</f>
        <v/>
      </c>
      <c r="P929" s="17" t="str" cm="1">
        <f t="array" ref="P929">IFERROR(INDEX(Create_TC_Web!S$1:S$500,SMALL(IF(Create_TC_Web!$C$1:$C$500&lt;&gt;"",MATCH(ROW(Create_TC_Web!$C$1:$C$500),ROW(Create_TC_Web!$C$1:$C$500)),""),ROW(Create_TC_Web!Q905))),"")</f>
        <v/>
      </c>
    </row>
    <row r="930" spans="1:16">
      <c r="A930" t="str" cm="1">
        <f t="array" ref="A930">IFERROR(INDEX(Create_TC_Web!D$1:D$1510,SMALL(IF(Create_TC_Web!$C$1:$C$1510&lt;&gt;"",MATCH(ROW(Create_TC_Web!$C$1:$C$1510),ROW(Create_TC_Web!$C$1:$C$1510)),""),ROW(Create_TC_Web!B955))),"")</f>
        <v/>
      </c>
      <c r="B930" t="str" cm="1">
        <f t="array" ref="B930">IFERROR(INDEX(Create_TC_Web!$E$1:$E$1510,SMALL(IF(Create_TC_Web!$C$1:$C$1510&lt;&gt;"",MATCH(ROW(Create_TC_Web!$C$1:$C$1510),ROW(Create_TC_Web!$C$1:$C$1510)),""),ROW(Create_TC_Web!C955))),"")</f>
        <v/>
      </c>
      <c r="P930" s="17" t="str" cm="1">
        <f t="array" ref="P930">IFERROR(INDEX(Create_TC_Web!S$1:S$500,SMALL(IF(Create_TC_Web!$C$1:$C$500&lt;&gt;"",MATCH(ROW(Create_TC_Web!$C$1:$C$500),ROW(Create_TC_Web!$C$1:$C$500)),""),ROW(Create_TC_Web!Q906))),"")</f>
        <v/>
      </c>
    </row>
    <row r="931" spans="1:16">
      <c r="A931" t="str" cm="1">
        <f t="array" ref="A931">IFERROR(INDEX(Create_TC_Web!D$1:D$1510,SMALL(IF(Create_TC_Web!$C$1:$C$1510&lt;&gt;"",MATCH(ROW(Create_TC_Web!$C$1:$C$1510),ROW(Create_TC_Web!$C$1:$C$1510)),""),ROW(Create_TC_Web!B956))),"")</f>
        <v/>
      </c>
      <c r="B931" t="str" cm="1">
        <f t="array" ref="B931">IFERROR(INDEX(Create_TC_Web!$E$1:$E$1510,SMALL(IF(Create_TC_Web!$C$1:$C$1510&lt;&gt;"",MATCH(ROW(Create_TC_Web!$C$1:$C$1510),ROW(Create_TC_Web!$C$1:$C$1510)),""),ROW(Create_TC_Web!C956))),"")</f>
        <v/>
      </c>
      <c r="P931" s="17" t="str" cm="1">
        <f t="array" ref="P931">IFERROR(INDEX(Create_TC_Web!S$1:S$500,SMALL(IF(Create_TC_Web!$C$1:$C$500&lt;&gt;"",MATCH(ROW(Create_TC_Web!$C$1:$C$500),ROW(Create_TC_Web!$C$1:$C$500)),""),ROW(Create_TC_Web!Q907))),"")</f>
        <v/>
      </c>
    </row>
    <row r="932" spans="1:16">
      <c r="A932" t="str" cm="1">
        <f t="array" ref="A932">IFERROR(INDEX(Create_TC_Web!D$1:D$1510,SMALL(IF(Create_TC_Web!$C$1:$C$1510&lt;&gt;"",MATCH(ROW(Create_TC_Web!$C$1:$C$1510),ROW(Create_TC_Web!$C$1:$C$1510)),""),ROW(Create_TC_Web!B957))),"")</f>
        <v/>
      </c>
      <c r="B932" t="str" cm="1">
        <f t="array" ref="B932">IFERROR(INDEX(Create_TC_Web!$E$1:$E$1510,SMALL(IF(Create_TC_Web!$C$1:$C$1510&lt;&gt;"",MATCH(ROW(Create_TC_Web!$C$1:$C$1510),ROW(Create_TC_Web!$C$1:$C$1510)),""),ROW(Create_TC_Web!C957))),"")</f>
        <v/>
      </c>
      <c r="P932" s="17" t="str" cm="1">
        <f t="array" ref="P932">IFERROR(INDEX(Create_TC_Web!S$1:S$500,SMALL(IF(Create_TC_Web!$C$1:$C$500&lt;&gt;"",MATCH(ROW(Create_TC_Web!$C$1:$C$500),ROW(Create_TC_Web!$C$1:$C$500)),""),ROW(Create_TC_Web!Q908))),"")</f>
        <v/>
      </c>
    </row>
    <row r="933" spans="1:16">
      <c r="A933" t="str" cm="1">
        <f t="array" ref="A933">IFERROR(INDEX(Create_TC_Web!D$1:D$1510,SMALL(IF(Create_TC_Web!$C$1:$C$1510&lt;&gt;"",MATCH(ROW(Create_TC_Web!$C$1:$C$1510),ROW(Create_TC_Web!$C$1:$C$1510)),""),ROW(Create_TC_Web!B958))),"")</f>
        <v/>
      </c>
      <c r="B933" t="str" cm="1">
        <f t="array" ref="B933">IFERROR(INDEX(Create_TC_Web!$E$1:$E$1510,SMALL(IF(Create_TC_Web!$C$1:$C$1510&lt;&gt;"",MATCH(ROW(Create_TC_Web!$C$1:$C$1510),ROW(Create_TC_Web!$C$1:$C$1510)),""),ROW(Create_TC_Web!C958))),"")</f>
        <v/>
      </c>
      <c r="P933" s="17" t="str" cm="1">
        <f t="array" ref="P933">IFERROR(INDEX(Create_TC_Web!S$1:S$500,SMALL(IF(Create_TC_Web!$C$1:$C$500&lt;&gt;"",MATCH(ROW(Create_TC_Web!$C$1:$C$500),ROW(Create_TC_Web!$C$1:$C$500)),""),ROW(Create_TC_Web!Q909))),"")</f>
        <v/>
      </c>
    </row>
    <row r="934" spans="1:16">
      <c r="A934" t="str" cm="1">
        <f t="array" ref="A934">IFERROR(INDEX(Create_TC_Web!D$1:D$1510,SMALL(IF(Create_TC_Web!$C$1:$C$1510&lt;&gt;"",MATCH(ROW(Create_TC_Web!$C$1:$C$1510),ROW(Create_TC_Web!$C$1:$C$1510)),""),ROW(Create_TC_Web!B959))),"")</f>
        <v/>
      </c>
      <c r="B934" t="str" cm="1">
        <f t="array" ref="B934">IFERROR(INDEX(Create_TC_Web!$E$1:$E$1510,SMALL(IF(Create_TC_Web!$C$1:$C$1510&lt;&gt;"",MATCH(ROW(Create_TC_Web!$C$1:$C$1510),ROW(Create_TC_Web!$C$1:$C$1510)),""),ROW(Create_TC_Web!C959))),"")</f>
        <v/>
      </c>
      <c r="P934" s="17" t="str" cm="1">
        <f t="array" ref="P934">IFERROR(INDEX(Create_TC_Web!S$1:S$500,SMALL(IF(Create_TC_Web!$C$1:$C$500&lt;&gt;"",MATCH(ROW(Create_TC_Web!$C$1:$C$500),ROW(Create_TC_Web!$C$1:$C$500)),""),ROW(Create_TC_Web!Q910))),"")</f>
        <v/>
      </c>
    </row>
    <row r="935" spans="1:16">
      <c r="A935" t="str" cm="1">
        <f t="array" ref="A935">IFERROR(INDEX(Create_TC_Web!D$1:D$1510,SMALL(IF(Create_TC_Web!$C$1:$C$1510&lt;&gt;"",MATCH(ROW(Create_TC_Web!$C$1:$C$1510),ROW(Create_TC_Web!$C$1:$C$1510)),""),ROW(Create_TC_Web!B960))),"")</f>
        <v/>
      </c>
      <c r="B935" t="str" cm="1">
        <f t="array" ref="B935">IFERROR(INDEX(Create_TC_Web!$E$1:$E$1510,SMALL(IF(Create_TC_Web!$C$1:$C$1510&lt;&gt;"",MATCH(ROW(Create_TC_Web!$C$1:$C$1510),ROW(Create_TC_Web!$C$1:$C$1510)),""),ROW(Create_TC_Web!C960))),"")</f>
        <v/>
      </c>
      <c r="P935" s="17" t="str" cm="1">
        <f t="array" ref="P935">IFERROR(INDEX(Create_TC_Web!S$1:S$500,SMALL(IF(Create_TC_Web!$C$1:$C$500&lt;&gt;"",MATCH(ROW(Create_TC_Web!$C$1:$C$500),ROW(Create_TC_Web!$C$1:$C$500)),""),ROW(Create_TC_Web!Q911))),"")</f>
        <v/>
      </c>
    </row>
    <row r="936" spans="1:16">
      <c r="A936" t="str" cm="1">
        <f t="array" ref="A936">IFERROR(INDEX(Create_TC_Web!D$1:D$1510,SMALL(IF(Create_TC_Web!$C$1:$C$1510&lt;&gt;"",MATCH(ROW(Create_TC_Web!$C$1:$C$1510),ROW(Create_TC_Web!$C$1:$C$1510)),""),ROW(Create_TC_Web!B961))),"")</f>
        <v/>
      </c>
      <c r="P936" s="17" t="str" cm="1">
        <f t="array" ref="P936">IFERROR(INDEX(Create_TC_Web!S$1:S$500,SMALL(IF(Create_TC_Web!$C$1:$C$500&lt;&gt;"",MATCH(ROW(Create_TC_Web!$C$1:$C$500),ROW(Create_TC_Web!$C$1:$C$500)),""),ROW(Create_TC_Web!Q912))),"")</f>
        <v/>
      </c>
    </row>
    <row r="937" spans="1:16">
      <c r="A937" t="str" cm="1">
        <f t="array" ref="A937">IFERROR(INDEX(Create_TC_Web!D$1:D$1510,SMALL(IF(Create_TC_Web!$C$1:$C$1510&lt;&gt;"",MATCH(ROW(Create_TC_Web!$C$1:$C$1510),ROW(Create_TC_Web!$C$1:$C$1510)),""),ROW(Create_TC_Web!B962))),"")</f>
        <v/>
      </c>
      <c r="P937" s="17" t="str" cm="1">
        <f t="array" ref="P937">IFERROR(INDEX(Create_TC_Web!S$1:S$500,SMALL(IF(Create_TC_Web!$C$1:$C$500&lt;&gt;"",MATCH(ROW(Create_TC_Web!$C$1:$C$500),ROW(Create_TC_Web!$C$1:$C$500)),""),ROW(Create_TC_Web!Q913))),"")</f>
        <v/>
      </c>
    </row>
    <row r="938" spans="1:16">
      <c r="A938" t="str" cm="1">
        <f t="array" ref="A938">IFERROR(INDEX(Create_TC_Web!D$1:D$1510,SMALL(IF(Create_TC_Web!$C$1:$C$1510&lt;&gt;"",MATCH(ROW(Create_TC_Web!$C$1:$C$1510),ROW(Create_TC_Web!$C$1:$C$1510)),""),ROW(Create_TC_Web!B963))),"")</f>
        <v/>
      </c>
      <c r="P938" s="17" t="str" cm="1">
        <f t="array" ref="P938">IFERROR(INDEX(Create_TC_Web!S$1:S$500,SMALL(IF(Create_TC_Web!$C$1:$C$500&lt;&gt;"",MATCH(ROW(Create_TC_Web!$C$1:$C$500),ROW(Create_TC_Web!$C$1:$C$500)),""),ROW(Create_TC_Web!Q914))),"")</f>
        <v/>
      </c>
    </row>
    <row r="939" spans="1:16">
      <c r="A939" t="str" cm="1">
        <f t="array" ref="A939">IFERROR(INDEX(Create_TC_Web!D$1:D$1510,SMALL(IF(Create_TC_Web!$C$1:$C$1510&lt;&gt;"",MATCH(ROW(Create_TC_Web!$C$1:$C$1510),ROW(Create_TC_Web!$C$1:$C$1510)),""),ROW(Create_TC_Web!B964))),"")</f>
        <v/>
      </c>
      <c r="P939" s="17" t="str" cm="1">
        <f t="array" ref="P939">IFERROR(INDEX(Create_TC_Web!S$1:S$500,SMALL(IF(Create_TC_Web!$C$1:$C$500&lt;&gt;"",MATCH(ROW(Create_TC_Web!$C$1:$C$500),ROW(Create_TC_Web!$C$1:$C$500)),""),ROW(Create_TC_Web!Q915))),"")</f>
        <v/>
      </c>
    </row>
    <row r="940" spans="1:16">
      <c r="A940" t="str" cm="1">
        <f t="array" ref="A940">IFERROR(INDEX(Create_TC_Web!D$1:D$1510,SMALL(IF(Create_TC_Web!$C$1:$C$1510&lt;&gt;"",MATCH(ROW(Create_TC_Web!$C$1:$C$1510),ROW(Create_TC_Web!$C$1:$C$1510)),""),ROW(Create_TC_Web!B965))),"")</f>
        <v/>
      </c>
      <c r="P940" s="17" t="str" cm="1">
        <f t="array" ref="P940">IFERROR(INDEX(Create_TC_Web!S$1:S$500,SMALL(IF(Create_TC_Web!$C$1:$C$500&lt;&gt;"",MATCH(ROW(Create_TC_Web!$C$1:$C$500),ROW(Create_TC_Web!$C$1:$C$500)),""),ROW(Create_TC_Web!Q916))),"")</f>
        <v/>
      </c>
    </row>
    <row r="941" spans="1:16">
      <c r="A941" t="str" cm="1">
        <f t="array" ref="A941">IFERROR(INDEX(Create_TC_Web!D$1:D$1510,SMALL(IF(Create_TC_Web!$C$1:$C$1510&lt;&gt;"",MATCH(ROW(Create_TC_Web!$C$1:$C$1510),ROW(Create_TC_Web!$C$1:$C$1510)),""),ROW(Create_TC_Web!B966))),"")</f>
        <v/>
      </c>
      <c r="P941" s="17" t="str" cm="1">
        <f t="array" ref="P941">IFERROR(INDEX(Create_TC_Web!S$1:S$500,SMALL(IF(Create_TC_Web!$C$1:$C$500&lt;&gt;"",MATCH(ROW(Create_TC_Web!$C$1:$C$500),ROW(Create_TC_Web!$C$1:$C$500)),""),ROW(Create_TC_Web!Q917))),"")</f>
        <v/>
      </c>
    </row>
    <row r="942" spans="1:16">
      <c r="A942" t="str" cm="1">
        <f t="array" ref="A942">IFERROR(INDEX(Create_TC_Web!D$1:D$1510,SMALL(IF(Create_TC_Web!$C$1:$C$1510&lt;&gt;"",MATCH(ROW(Create_TC_Web!$C$1:$C$1510),ROW(Create_TC_Web!$C$1:$C$1510)),""),ROW(Create_TC_Web!B967))),"")</f>
        <v/>
      </c>
      <c r="P942" s="17" t="str" cm="1">
        <f t="array" ref="P942">IFERROR(INDEX(Create_TC_Web!S$1:S$500,SMALL(IF(Create_TC_Web!$C$1:$C$500&lt;&gt;"",MATCH(ROW(Create_TC_Web!$C$1:$C$500),ROW(Create_TC_Web!$C$1:$C$500)),""),ROW(Create_TC_Web!Q918))),"")</f>
        <v/>
      </c>
    </row>
    <row r="943" spans="1:16">
      <c r="A943" t="str" cm="1">
        <f t="array" ref="A943">IFERROR(INDEX(Create_TC_Web!D$1:D$1510,SMALL(IF(Create_TC_Web!$C$1:$C$1510&lt;&gt;"",MATCH(ROW(Create_TC_Web!$C$1:$C$1510),ROW(Create_TC_Web!$C$1:$C$1510)),""),ROW(Create_TC_Web!B968))),"")</f>
        <v/>
      </c>
      <c r="P943" s="17" t="str" cm="1">
        <f t="array" ref="P943">IFERROR(INDEX(Create_TC_Web!S$1:S$500,SMALL(IF(Create_TC_Web!$C$1:$C$500&lt;&gt;"",MATCH(ROW(Create_TC_Web!$C$1:$C$500),ROW(Create_TC_Web!$C$1:$C$500)),""),ROW(Create_TC_Web!Q919))),"")</f>
        <v/>
      </c>
    </row>
    <row r="944" spans="1:16">
      <c r="A944" t="str" cm="1">
        <f t="array" ref="A944">IFERROR(INDEX(Create_TC_Web!D$1:D$1510,SMALL(IF(Create_TC_Web!$C$1:$C$1510&lt;&gt;"",MATCH(ROW(Create_TC_Web!$C$1:$C$1510),ROW(Create_TC_Web!$C$1:$C$1510)),""),ROW(Create_TC_Web!B969))),"")</f>
        <v/>
      </c>
      <c r="P944" s="17" t="str" cm="1">
        <f t="array" ref="P944">IFERROR(INDEX(Create_TC_Web!S$1:S$500,SMALL(IF(Create_TC_Web!$C$1:$C$500&lt;&gt;"",MATCH(ROW(Create_TC_Web!$C$1:$C$500),ROW(Create_TC_Web!$C$1:$C$500)),""),ROW(Create_TC_Web!Q920))),"")</f>
        <v/>
      </c>
    </row>
    <row r="945" spans="1:16">
      <c r="A945" t="str" cm="1">
        <f t="array" ref="A945">IFERROR(INDEX(Create_TC_Web!D$1:D$1510,SMALL(IF(Create_TC_Web!$C$1:$C$1510&lt;&gt;"",MATCH(ROW(Create_TC_Web!$C$1:$C$1510),ROW(Create_TC_Web!$C$1:$C$1510)),""),ROW(Create_TC_Web!B970))),"")</f>
        <v/>
      </c>
      <c r="P945" s="17" t="str" cm="1">
        <f t="array" ref="P945">IFERROR(INDEX(Create_TC_Web!S$1:S$500,SMALL(IF(Create_TC_Web!$C$1:$C$500&lt;&gt;"",MATCH(ROW(Create_TC_Web!$C$1:$C$500),ROW(Create_TC_Web!$C$1:$C$500)),""),ROW(Create_TC_Web!Q921))),"")</f>
        <v/>
      </c>
    </row>
    <row r="946" spans="1:16">
      <c r="A946" t="str" cm="1">
        <f t="array" ref="A946">IFERROR(INDEX(Create_TC_Web!D$1:D$1510,SMALL(IF(Create_TC_Web!$C$1:$C$1510&lt;&gt;"",MATCH(ROW(Create_TC_Web!$C$1:$C$1510),ROW(Create_TC_Web!$C$1:$C$1510)),""),ROW(Create_TC_Web!B971))),"")</f>
        <v/>
      </c>
      <c r="P946" s="17" t="str" cm="1">
        <f t="array" ref="P946">IFERROR(INDEX(Create_TC_Web!S$1:S$500,SMALL(IF(Create_TC_Web!$C$1:$C$500&lt;&gt;"",MATCH(ROW(Create_TC_Web!$C$1:$C$500),ROW(Create_TC_Web!$C$1:$C$500)),""),ROW(Create_TC_Web!Q922))),"")</f>
        <v/>
      </c>
    </row>
    <row r="947" spans="1:16">
      <c r="A947" t="str" cm="1">
        <f t="array" ref="A947">IFERROR(INDEX(Create_TC_Web!D$1:D$1510,SMALL(IF(Create_TC_Web!$C$1:$C$1510&lt;&gt;"",MATCH(ROW(Create_TC_Web!$C$1:$C$1510),ROW(Create_TC_Web!$C$1:$C$1510)),""),ROW(Create_TC_Web!B972))),"")</f>
        <v/>
      </c>
      <c r="P947" s="17" t="str" cm="1">
        <f t="array" ref="P947">IFERROR(INDEX(Create_TC_Web!S$1:S$500,SMALL(IF(Create_TC_Web!$C$1:$C$500&lt;&gt;"",MATCH(ROW(Create_TC_Web!$C$1:$C$500),ROW(Create_TC_Web!$C$1:$C$500)),""),ROW(Create_TC_Web!Q923))),"")</f>
        <v/>
      </c>
    </row>
    <row r="948" spans="1:16">
      <c r="A948" t="str" cm="1">
        <f t="array" ref="A948">IFERROR(INDEX(Create_TC_Web!D$1:D$1510,SMALL(IF(Create_TC_Web!$C$1:$C$1510&lt;&gt;"",MATCH(ROW(Create_TC_Web!$C$1:$C$1510),ROW(Create_TC_Web!$C$1:$C$1510)),""),ROW(Create_TC_Web!B973))),"")</f>
        <v/>
      </c>
      <c r="P948" s="17" t="str" cm="1">
        <f t="array" ref="P948">IFERROR(INDEX(Create_TC_Web!S$1:S$500,SMALL(IF(Create_TC_Web!$C$1:$C$500&lt;&gt;"",MATCH(ROW(Create_TC_Web!$C$1:$C$500),ROW(Create_TC_Web!$C$1:$C$500)),""),ROW(Create_TC_Web!Q924))),"")</f>
        <v/>
      </c>
    </row>
    <row r="949" spans="1:16">
      <c r="A949" t="str" cm="1">
        <f t="array" ref="A949">IFERROR(INDEX(Create_TC_Web!D$1:D$1510,SMALL(IF(Create_TC_Web!$C$1:$C$1510&lt;&gt;"",MATCH(ROW(Create_TC_Web!$C$1:$C$1510),ROW(Create_TC_Web!$C$1:$C$1510)),""),ROW(Create_TC_Web!B974))),"")</f>
        <v/>
      </c>
      <c r="P949" s="17" t="str" cm="1">
        <f t="array" ref="P949">IFERROR(INDEX(Create_TC_Web!S$1:S$500,SMALL(IF(Create_TC_Web!$C$1:$C$500&lt;&gt;"",MATCH(ROW(Create_TC_Web!$C$1:$C$500),ROW(Create_TC_Web!$C$1:$C$500)),""),ROW(Create_TC_Web!Q925))),"")</f>
        <v/>
      </c>
    </row>
    <row r="950" spans="1:16">
      <c r="A950" t="str" cm="1">
        <f t="array" ref="A950">IFERROR(INDEX(Create_TC_Web!D$1:D$1510,SMALL(IF(Create_TC_Web!$C$1:$C$1510&lt;&gt;"",MATCH(ROW(Create_TC_Web!$C$1:$C$1510),ROW(Create_TC_Web!$C$1:$C$1510)),""),ROW(Create_TC_Web!B975))),"")</f>
        <v/>
      </c>
      <c r="P950" s="17" t="str" cm="1">
        <f t="array" ref="P950">IFERROR(INDEX(Create_TC_Web!S$1:S$500,SMALL(IF(Create_TC_Web!$C$1:$C$500&lt;&gt;"",MATCH(ROW(Create_TC_Web!$C$1:$C$500),ROW(Create_TC_Web!$C$1:$C$500)),""),ROW(Create_TC_Web!Q926))),"")</f>
        <v/>
      </c>
    </row>
    <row r="951" spans="1:16">
      <c r="A951" t="str" cm="1">
        <f t="array" ref="A951">IFERROR(INDEX(Create_TC_Web!D$1:D$1510,SMALL(IF(Create_TC_Web!$C$1:$C$1510&lt;&gt;"",MATCH(ROW(Create_TC_Web!$C$1:$C$1510),ROW(Create_TC_Web!$C$1:$C$1510)),""),ROW(Create_TC_Web!B976))),"")</f>
        <v/>
      </c>
      <c r="P951" s="17" t="str" cm="1">
        <f t="array" ref="P951">IFERROR(INDEX(Create_TC_Web!S$1:S$500,SMALL(IF(Create_TC_Web!$C$1:$C$500&lt;&gt;"",MATCH(ROW(Create_TC_Web!$C$1:$C$500),ROW(Create_TC_Web!$C$1:$C$500)),""),ROW(Create_TC_Web!Q927))),"")</f>
        <v/>
      </c>
    </row>
    <row r="952" spans="1:16">
      <c r="A952" t="str" cm="1">
        <f t="array" ref="A952">IFERROR(INDEX(Create_TC_Web!D$1:D$1510,SMALL(IF(Create_TC_Web!$C$1:$C$1510&lt;&gt;"",MATCH(ROW(Create_TC_Web!$C$1:$C$1510),ROW(Create_TC_Web!$C$1:$C$1510)),""),ROW(Create_TC_Web!B977))),"")</f>
        <v/>
      </c>
      <c r="P952" s="17" t="str" cm="1">
        <f t="array" ref="P952">IFERROR(INDEX(Create_TC_Web!S$1:S$500,SMALL(IF(Create_TC_Web!$C$1:$C$500&lt;&gt;"",MATCH(ROW(Create_TC_Web!$C$1:$C$500),ROW(Create_TC_Web!$C$1:$C$500)),""),ROW(Create_TC_Web!Q928))),"")</f>
        <v/>
      </c>
    </row>
    <row r="953" spans="1:16">
      <c r="A953" t="str" cm="1">
        <f t="array" ref="A953">IFERROR(INDEX(Create_TC_Web!D$1:D$1510,SMALL(IF(Create_TC_Web!$C$1:$C$1510&lt;&gt;"",MATCH(ROW(Create_TC_Web!$C$1:$C$1510),ROW(Create_TC_Web!$C$1:$C$1510)),""),ROW(Create_TC_Web!B978))),"")</f>
        <v/>
      </c>
      <c r="P953" s="17" t="str" cm="1">
        <f t="array" ref="P953">IFERROR(INDEX(Create_TC_Web!S$1:S$500,SMALL(IF(Create_TC_Web!$C$1:$C$500&lt;&gt;"",MATCH(ROW(Create_TC_Web!$C$1:$C$500),ROW(Create_TC_Web!$C$1:$C$500)),""),ROW(Create_TC_Web!Q929))),"")</f>
        <v/>
      </c>
    </row>
    <row r="954" spans="1:16">
      <c r="A954" t="str" cm="1">
        <f t="array" ref="A954">IFERROR(INDEX(Create_TC_Web!D$1:D$1510,SMALL(IF(Create_TC_Web!$C$1:$C$1510&lt;&gt;"",MATCH(ROW(Create_TC_Web!$C$1:$C$1510),ROW(Create_TC_Web!$C$1:$C$1510)),""),ROW(Create_TC_Web!B979))),"")</f>
        <v/>
      </c>
      <c r="P954" s="17" t="str" cm="1">
        <f t="array" ref="P954">IFERROR(INDEX(Create_TC_Web!S$1:S$500,SMALL(IF(Create_TC_Web!$C$1:$C$500&lt;&gt;"",MATCH(ROW(Create_TC_Web!$C$1:$C$500),ROW(Create_TC_Web!$C$1:$C$500)),""),ROW(Create_TC_Web!Q930))),"")</f>
        <v/>
      </c>
    </row>
    <row r="955" spans="1:16">
      <c r="A955" t="str" cm="1">
        <f t="array" ref="A955">IFERROR(INDEX(Create_TC_Web!D$1:D$1510,SMALL(IF(Create_TC_Web!$C$1:$C$1510&lt;&gt;"",MATCH(ROW(Create_TC_Web!$C$1:$C$1510),ROW(Create_TC_Web!$C$1:$C$1510)),""),ROW(Create_TC_Web!B980))),"")</f>
        <v/>
      </c>
      <c r="P955" s="17" t="str" cm="1">
        <f t="array" ref="P955">IFERROR(INDEX(Create_TC_Web!S$1:S$500,SMALL(IF(Create_TC_Web!$C$1:$C$500&lt;&gt;"",MATCH(ROW(Create_TC_Web!$C$1:$C$500),ROW(Create_TC_Web!$C$1:$C$500)),""),ROW(Create_TC_Web!Q931))),"")</f>
        <v/>
      </c>
    </row>
    <row r="956" spans="1:16">
      <c r="A956" t="str" cm="1">
        <f t="array" ref="A956">IFERROR(INDEX(Create_TC_Web!D$1:D$1510,SMALL(IF(Create_TC_Web!$C$1:$C$1510&lt;&gt;"",MATCH(ROW(Create_TC_Web!$C$1:$C$1510),ROW(Create_TC_Web!$C$1:$C$1510)),""),ROW(Create_TC_Web!B981))),"")</f>
        <v/>
      </c>
      <c r="P956" s="17" t="str" cm="1">
        <f t="array" ref="P956">IFERROR(INDEX(Create_TC_Web!S$1:S$500,SMALL(IF(Create_TC_Web!$C$1:$C$500&lt;&gt;"",MATCH(ROW(Create_TC_Web!$C$1:$C$500),ROW(Create_TC_Web!$C$1:$C$500)),""),ROW(Create_TC_Web!Q932))),"")</f>
        <v/>
      </c>
    </row>
    <row r="957" spans="1:16">
      <c r="A957" t="str" cm="1">
        <f t="array" ref="A957">IFERROR(INDEX(Create_TC_Web!D$1:D$1510,SMALL(IF(Create_TC_Web!$C$1:$C$1510&lt;&gt;"",MATCH(ROW(Create_TC_Web!$C$1:$C$1510),ROW(Create_TC_Web!$C$1:$C$1510)),""),ROW(Create_TC_Web!B982))),"")</f>
        <v/>
      </c>
      <c r="P957" s="17" t="str" cm="1">
        <f t="array" ref="P957">IFERROR(INDEX(Create_TC_Web!S$1:S$500,SMALL(IF(Create_TC_Web!$C$1:$C$500&lt;&gt;"",MATCH(ROW(Create_TC_Web!$C$1:$C$500),ROW(Create_TC_Web!$C$1:$C$500)),""),ROW(Create_TC_Web!Q933))),"")</f>
        <v/>
      </c>
    </row>
    <row r="958" spans="1:16">
      <c r="A958" t="str" cm="1">
        <f t="array" ref="A958">IFERROR(INDEX(Create_TC_Web!D$1:D$1510,SMALL(IF(Create_TC_Web!$C$1:$C$1510&lt;&gt;"",MATCH(ROW(Create_TC_Web!$C$1:$C$1510),ROW(Create_TC_Web!$C$1:$C$1510)),""),ROW(Create_TC_Web!B983))),"")</f>
        <v/>
      </c>
      <c r="P958" s="17" t="str" cm="1">
        <f t="array" ref="P958">IFERROR(INDEX(Create_TC_Web!S$1:S$500,SMALL(IF(Create_TC_Web!$C$1:$C$500&lt;&gt;"",MATCH(ROW(Create_TC_Web!$C$1:$C$500),ROW(Create_TC_Web!$C$1:$C$500)),""),ROW(Create_TC_Web!Q934))),"")</f>
        <v/>
      </c>
    </row>
    <row r="959" spans="1:16">
      <c r="A959" t="str" cm="1">
        <f t="array" ref="A959">IFERROR(INDEX(Create_TC_Web!D$1:D$1510,SMALL(IF(Create_TC_Web!$C$1:$C$1510&lt;&gt;"",MATCH(ROW(Create_TC_Web!$C$1:$C$1510),ROW(Create_TC_Web!$C$1:$C$1510)),""),ROW(Create_TC_Web!B984))),"")</f>
        <v/>
      </c>
      <c r="P959" s="17" t="str" cm="1">
        <f t="array" ref="P959">IFERROR(INDEX(Create_TC_Web!S$1:S$500,SMALL(IF(Create_TC_Web!$C$1:$C$500&lt;&gt;"",MATCH(ROW(Create_TC_Web!$C$1:$C$500),ROW(Create_TC_Web!$C$1:$C$500)),""),ROW(Create_TC_Web!Q935))),"")</f>
        <v/>
      </c>
    </row>
    <row r="960" spans="1:16">
      <c r="A960" t="str" cm="1">
        <f t="array" ref="A960">IFERROR(INDEX(Create_TC_Web!D$1:D$1510,SMALL(IF(Create_TC_Web!$C$1:$C$1510&lt;&gt;"",MATCH(ROW(Create_TC_Web!$C$1:$C$1510),ROW(Create_TC_Web!$C$1:$C$1510)),""),ROW(Create_TC_Web!B985))),"")</f>
        <v/>
      </c>
      <c r="P960" s="17" t="str" cm="1">
        <f t="array" ref="P960">IFERROR(INDEX(Create_TC_Web!S$1:S$500,SMALL(IF(Create_TC_Web!$C$1:$C$500&lt;&gt;"",MATCH(ROW(Create_TC_Web!$C$1:$C$500),ROW(Create_TC_Web!$C$1:$C$500)),""),ROW(Create_TC_Web!Q936))),"")</f>
        <v/>
      </c>
    </row>
    <row r="961" spans="1:16">
      <c r="A961" t="str" cm="1">
        <f t="array" ref="A961">IFERROR(INDEX(Create_TC_Web!D$1:D$1510,SMALL(IF(Create_TC_Web!$C$1:$C$1510&lt;&gt;"",MATCH(ROW(Create_TC_Web!$C$1:$C$1510),ROW(Create_TC_Web!$C$1:$C$1510)),""),ROW(Create_TC_Web!B986))),"")</f>
        <v/>
      </c>
      <c r="P961" s="17" t="str" cm="1">
        <f t="array" ref="P961">IFERROR(INDEX(Create_TC_Web!S$1:S$500,SMALL(IF(Create_TC_Web!$C$1:$C$500&lt;&gt;"",MATCH(ROW(Create_TC_Web!$C$1:$C$500),ROW(Create_TC_Web!$C$1:$C$500)),""),ROW(Create_TC_Web!Q937))),"")</f>
        <v/>
      </c>
    </row>
    <row r="962" spans="1:16">
      <c r="A962" t="str" cm="1">
        <f t="array" ref="A962">IFERROR(INDEX(Create_TC_Web!D$1:D$1510,SMALL(IF(Create_TC_Web!$C$1:$C$1510&lt;&gt;"",MATCH(ROW(Create_TC_Web!$C$1:$C$1510),ROW(Create_TC_Web!$C$1:$C$1510)),""),ROW(Create_TC_Web!B987))),"")</f>
        <v/>
      </c>
      <c r="P962" s="17" t="str" cm="1">
        <f t="array" ref="P962">IFERROR(INDEX(Create_TC_Web!S$1:S$500,SMALL(IF(Create_TC_Web!$C$1:$C$500&lt;&gt;"",MATCH(ROW(Create_TC_Web!$C$1:$C$500),ROW(Create_TC_Web!$C$1:$C$500)),""),ROW(Create_TC_Web!Q938))),"")</f>
        <v/>
      </c>
    </row>
    <row r="963" spans="1:16">
      <c r="A963" t="str" cm="1">
        <f t="array" ref="A963">IFERROR(INDEX(Create_TC_Web!D$1:D$1510,SMALL(IF(Create_TC_Web!$C$1:$C$1510&lt;&gt;"",MATCH(ROW(Create_TC_Web!$C$1:$C$1510),ROW(Create_TC_Web!$C$1:$C$1510)),""),ROW(Create_TC_Web!B988))),"")</f>
        <v/>
      </c>
      <c r="P963" s="17" t="str" cm="1">
        <f t="array" ref="P963">IFERROR(INDEX(Create_TC_Web!S$1:S$500,SMALL(IF(Create_TC_Web!$C$1:$C$500&lt;&gt;"",MATCH(ROW(Create_TC_Web!$C$1:$C$500),ROW(Create_TC_Web!$C$1:$C$500)),""),ROW(Create_TC_Web!Q939))),"")</f>
        <v/>
      </c>
    </row>
    <row r="964" spans="1:16">
      <c r="A964" t="str" cm="1">
        <f t="array" ref="A964">IFERROR(INDEX(Create_TC_Web!D$1:D$1510,SMALL(IF(Create_TC_Web!$C$1:$C$1510&lt;&gt;"",MATCH(ROW(Create_TC_Web!$C$1:$C$1510),ROW(Create_TC_Web!$C$1:$C$1510)),""),ROW(Create_TC_Web!B989))),"")</f>
        <v/>
      </c>
      <c r="P964" s="17" t="str" cm="1">
        <f t="array" ref="P964">IFERROR(INDEX(Create_TC_Web!S$1:S$500,SMALL(IF(Create_TC_Web!$C$1:$C$500&lt;&gt;"",MATCH(ROW(Create_TC_Web!$C$1:$C$500),ROW(Create_TC_Web!$C$1:$C$500)),""),ROW(Create_TC_Web!Q940))),"")</f>
        <v/>
      </c>
    </row>
    <row r="965" spans="1:16">
      <c r="A965" t="str" cm="1">
        <f t="array" ref="A965">IFERROR(INDEX(Create_TC_Web!D$1:D$1510,SMALL(IF(Create_TC_Web!$C$1:$C$1510&lt;&gt;"",MATCH(ROW(Create_TC_Web!$C$1:$C$1510),ROW(Create_TC_Web!$C$1:$C$1510)),""),ROW(Create_TC_Web!B990))),"")</f>
        <v/>
      </c>
      <c r="P965" s="17" t="str" cm="1">
        <f t="array" ref="P965">IFERROR(INDEX(Create_TC_Web!S$1:S$500,SMALL(IF(Create_TC_Web!$C$1:$C$500&lt;&gt;"",MATCH(ROW(Create_TC_Web!$C$1:$C$500),ROW(Create_TC_Web!$C$1:$C$500)),""),ROW(Create_TC_Web!Q941))),"")</f>
        <v/>
      </c>
    </row>
    <row r="966" spans="1:16">
      <c r="A966" t="str" cm="1">
        <f t="array" ref="A966">IFERROR(INDEX(Create_TC_Web!D$1:D$1510,SMALL(IF(Create_TC_Web!$C$1:$C$1510&lt;&gt;"",MATCH(ROW(Create_TC_Web!$C$1:$C$1510),ROW(Create_TC_Web!$C$1:$C$1510)),""),ROW(Create_TC_Web!B991))),"")</f>
        <v/>
      </c>
      <c r="P966" s="17" t="str" cm="1">
        <f t="array" ref="P966">IFERROR(INDEX(Create_TC_Web!S$1:S$500,SMALL(IF(Create_TC_Web!$C$1:$C$500&lt;&gt;"",MATCH(ROW(Create_TC_Web!$C$1:$C$500),ROW(Create_TC_Web!$C$1:$C$500)),""),ROW(Create_TC_Web!Q942))),"")</f>
        <v/>
      </c>
    </row>
    <row r="967" spans="1:16">
      <c r="A967" t="str" cm="1">
        <f t="array" ref="A967">IFERROR(INDEX(Create_TC_Web!D$1:D$1510,SMALL(IF(Create_TC_Web!$C$1:$C$1510&lt;&gt;"",MATCH(ROW(Create_TC_Web!$C$1:$C$1510),ROW(Create_TC_Web!$C$1:$C$1510)),""),ROW(Create_TC_Web!B992))),"")</f>
        <v/>
      </c>
      <c r="P967" s="17" t="str" cm="1">
        <f t="array" ref="P967">IFERROR(INDEX(Create_TC_Web!S$1:S$500,SMALL(IF(Create_TC_Web!$C$1:$C$500&lt;&gt;"",MATCH(ROW(Create_TC_Web!$C$1:$C$500),ROW(Create_TC_Web!$C$1:$C$500)),""),ROW(Create_TC_Web!Q943))),"")</f>
        <v/>
      </c>
    </row>
    <row r="968" spans="1:16">
      <c r="A968" t="str" cm="1">
        <f t="array" ref="A968">IFERROR(INDEX(Create_TC_Web!D$1:D$1510,SMALL(IF(Create_TC_Web!$C$1:$C$1510&lt;&gt;"",MATCH(ROW(Create_TC_Web!$C$1:$C$1510),ROW(Create_TC_Web!$C$1:$C$1510)),""),ROW(Create_TC_Web!B993))),"")</f>
        <v/>
      </c>
      <c r="P968" s="17" t="str" cm="1">
        <f t="array" ref="P968">IFERROR(INDEX(Create_TC_Web!S$1:S$500,SMALL(IF(Create_TC_Web!$C$1:$C$500&lt;&gt;"",MATCH(ROW(Create_TC_Web!$C$1:$C$500),ROW(Create_TC_Web!$C$1:$C$500)),""),ROW(Create_TC_Web!Q944))),"")</f>
        <v/>
      </c>
    </row>
    <row r="969" spans="1:16">
      <c r="A969" t="str" cm="1">
        <f t="array" ref="A969">IFERROR(INDEX(Create_TC_Web!D$1:D$1510,SMALL(IF(Create_TC_Web!$C$1:$C$1510&lt;&gt;"",MATCH(ROW(Create_TC_Web!$C$1:$C$1510),ROW(Create_TC_Web!$C$1:$C$1510)),""),ROW(Create_TC_Web!B994))),"")</f>
        <v/>
      </c>
      <c r="P969" s="17" t="str" cm="1">
        <f t="array" ref="P969">IFERROR(INDEX(Create_TC_Web!S$1:S$500,SMALL(IF(Create_TC_Web!$C$1:$C$500&lt;&gt;"",MATCH(ROW(Create_TC_Web!$C$1:$C$500),ROW(Create_TC_Web!$C$1:$C$500)),""),ROW(Create_TC_Web!Q945))),"")</f>
        <v/>
      </c>
    </row>
    <row r="970" spans="1:16">
      <c r="A970" t="str" cm="1">
        <f t="array" ref="A970">IFERROR(INDEX(Create_TC_Web!D$1:D$1510,SMALL(IF(Create_TC_Web!$C$1:$C$1510&lt;&gt;"",MATCH(ROW(Create_TC_Web!$C$1:$C$1510),ROW(Create_TC_Web!$C$1:$C$1510)),""),ROW(Create_TC_Web!B995))),"")</f>
        <v/>
      </c>
      <c r="P970" s="17" t="str" cm="1">
        <f t="array" ref="P970">IFERROR(INDEX(Create_TC_Web!S$1:S$500,SMALL(IF(Create_TC_Web!$C$1:$C$500&lt;&gt;"",MATCH(ROW(Create_TC_Web!$C$1:$C$500),ROW(Create_TC_Web!$C$1:$C$500)),""),ROW(Create_TC_Web!Q946))),"")</f>
        <v/>
      </c>
    </row>
    <row r="971" spans="1:16">
      <c r="A971" t="str" cm="1">
        <f t="array" ref="A971">IFERROR(INDEX(Create_TC_Web!D$1:D$1510,SMALL(IF(Create_TC_Web!$C$1:$C$1510&lt;&gt;"",MATCH(ROW(Create_TC_Web!$C$1:$C$1510),ROW(Create_TC_Web!$C$1:$C$1510)),""),ROW(Create_TC_Web!B996))),"")</f>
        <v/>
      </c>
      <c r="P971" s="17" t="str" cm="1">
        <f t="array" ref="P971">IFERROR(INDEX(Create_TC_Web!S$1:S$500,SMALL(IF(Create_TC_Web!$C$1:$C$500&lt;&gt;"",MATCH(ROW(Create_TC_Web!$C$1:$C$500),ROW(Create_TC_Web!$C$1:$C$500)),""),ROW(Create_TC_Web!Q947))),"")</f>
        <v/>
      </c>
    </row>
    <row r="972" spans="1:16">
      <c r="A972" t="str" cm="1">
        <f t="array" ref="A972">IFERROR(INDEX(Create_TC_Web!D$1:D$1510,SMALL(IF(Create_TC_Web!$C$1:$C$1510&lt;&gt;"",MATCH(ROW(Create_TC_Web!$C$1:$C$1510),ROW(Create_TC_Web!$C$1:$C$1510)),""),ROW(Create_TC_Web!B997))),"")</f>
        <v/>
      </c>
      <c r="P972" s="17" t="str" cm="1">
        <f t="array" ref="P972">IFERROR(INDEX(Create_TC_Web!S$1:S$500,SMALL(IF(Create_TC_Web!$C$1:$C$500&lt;&gt;"",MATCH(ROW(Create_TC_Web!$C$1:$C$500),ROW(Create_TC_Web!$C$1:$C$500)),""),ROW(Create_TC_Web!Q948))),"")</f>
        <v/>
      </c>
    </row>
    <row r="973" spans="1:16">
      <c r="A973" t="str" cm="1">
        <f t="array" ref="A973">IFERROR(INDEX(Create_TC_Web!D$1:D$1510,SMALL(IF(Create_TC_Web!$C$1:$C$1510&lt;&gt;"",MATCH(ROW(Create_TC_Web!$C$1:$C$1510),ROW(Create_TC_Web!$C$1:$C$1510)),""),ROW(Create_TC_Web!B998))),"")</f>
        <v/>
      </c>
      <c r="P973" s="17" t="str" cm="1">
        <f t="array" ref="P973">IFERROR(INDEX(Create_TC_Web!S$1:S$500,SMALL(IF(Create_TC_Web!$C$1:$C$500&lt;&gt;"",MATCH(ROW(Create_TC_Web!$C$1:$C$500),ROW(Create_TC_Web!$C$1:$C$500)),""),ROW(Create_TC_Web!Q949))),"")</f>
        <v/>
      </c>
    </row>
    <row r="974" spans="1:16">
      <c r="A974" t="str" cm="1">
        <f t="array" ref="A974">IFERROR(INDEX(Create_TC_Web!D$1:D$1510,SMALL(IF(Create_TC_Web!$C$1:$C$1510&lt;&gt;"",MATCH(ROW(Create_TC_Web!$C$1:$C$1510),ROW(Create_TC_Web!$C$1:$C$1510)),""),ROW(Create_TC_Web!B999))),"")</f>
        <v/>
      </c>
      <c r="P974" s="17" t="str" cm="1">
        <f t="array" ref="P974">IFERROR(INDEX(Create_TC_Web!S$1:S$500,SMALL(IF(Create_TC_Web!$C$1:$C$500&lt;&gt;"",MATCH(ROW(Create_TC_Web!$C$1:$C$500),ROW(Create_TC_Web!$C$1:$C$500)),""),ROW(Create_TC_Web!Q950))),"")</f>
        <v/>
      </c>
    </row>
    <row r="975" spans="1:16">
      <c r="A975" t="str" cm="1">
        <f t="array" ref="A975">IFERROR(INDEX(Create_TC_Web!D$1:D$1510,SMALL(IF(Create_TC_Web!$C$1:$C$1510&lt;&gt;"",MATCH(ROW(Create_TC_Web!$C$1:$C$1510),ROW(Create_TC_Web!$C$1:$C$1510)),""),ROW(Create_TC_Web!B1000))),"")</f>
        <v/>
      </c>
      <c r="P975" s="17" t="str" cm="1">
        <f t="array" ref="P975">IFERROR(INDEX(Create_TC_Web!S$1:S$500,SMALL(IF(Create_TC_Web!$C$1:$C$500&lt;&gt;"",MATCH(ROW(Create_TC_Web!$C$1:$C$500),ROW(Create_TC_Web!$C$1:$C$500)),""),ROW(Create_TC_Web!Q951))),"")</f>
        <v/>
      </c>
    </row>
    <row r="976" spans="1:16">
      <c r="A976" t="str" cm="1">
        <f t="array" ref="A976">IFERROR(INDEX(Create_TC_Web!D$1:D$1510,SMALL(IF(Create_TC_Web!$C$1:$C$1510&lt;&gt;"",MATCH(ROW(Create_TC_Web!$C$1:$C$1510),ROW(Create_TC_Web!$C$1:$C$1510)),""),ROW(Create_TC_Web!B1001))),"")</f>
        <v/>
      </c>
      <c r="P976" s="17" t="str" cm="1">
        <f t="array" ref="P976">IFERROR(INDEX(Create_TC_Web!S$1:S$500,SMALL(IF(Create_TC_Web!$C$1:$C$500&lt;&gt;"",MATCH(ROW(Create_TC_Web!$C$1:$C$500),ROW(Create_TC_Web!$C$1:$C$500)),""),ROW(Create_TC_Web!Q952))),"")</f>
        <v/>
      </c>
    </row>
    <row r="977" spans="1:16">
      <c r="A977" t="str" cm="1">
        <f t="array" ref="A977">IFERROR(INDEX(Create_TC_Web!D$1:D$1510,SMALL(IF(Create_TC_Web!$C$1:$C$1510&lt;&gt;"",MATCH(ROW(Create_TC_Web!$C$1:$C$1510),ROW(Create_TC_Web!$C$1:$C$1510)),""),ROW(Create_TC_Web!B1002))),"")</f>
        <v/>
      </c>
      <c r="P977" s="17" t="str" cm="1">
        <f t="array" ref="P977">IFERROR(INDEX(Create_TC_Web!S$1:S$500,SMALL(IF(Create_TC_Web!$C$1:$C$500&lt;&gt;"",MATCH(ROW(Create_TC_Web!$C$1:$C$500),ROW(Create_TC_Web!$C$1:$C$500)),""),ROW(Create_TC_Web!Q953))),"")</f>
        <v/>
      </c>
    </row>
    <row r="978" spans="1:16">
      <c r="A978" t="str" cm="1">
        <f t="array" ref="A978">IFERROR(INDEX(Create_TC_Web!D$1:D$1510,SMALL(IF(Create_TC_Web!$C$1:$C$1510&lt;&gt;"",MATCH(ROW(Create_TC_Web!$C$1:$C$1510),ROW(Create_TC_Web!$C$1:$C$1510)),""),ROW(Create_TC_Web!B1003))),"")</f>
        <v/>
      </c>
      <c r="P978" s="17" t="str" cm="1">
        <f t="array" ref="P978">IFERROR(INDEX(Create_TC_Web!S$1:S$500,SMALL(IF(Create_TC_Web!$C$1:$C$500&lt;&gt;"",MATCH(ROW(Create_TC_Web!$C$1:$C$500),ROW(Create_TC_Web!$C$1:$C$500)),""),ROW(Create_TC_Web!Q954))),"")</f>
        <v/>
      </c>
    </row>
    <row r="979" spans="1:16">
      <c r="A979" t="str" cm="1">
        <f t="array" ref="A979">IFERROR(INDEX(Create_TC_Web!D$1:D$1510,SMALL(IF(Create_TC_Web!$C$1:$C$1510&lt;&gt;"",MATCH(ROW(Create_TC_Web!$C$1:$C$1510),ROW(Create_TC_Web!$C$1:$C$1510)),""),ROW(Create_TC_Web!B1004))),"")</f>
        <v/>
      </c>
      <c r="P979" s="17" t="str" cm="1">
        <f t="array" ref="P979">IFERROR(INDEX(Create_TC_Web!S$1:S$500,SMALL(IF(Create_TC_Web!$C$1:$C$500&lt;&gt;"",MATCH(ROW(Create_TC_Web!$C$1:$C$500),ROW(Create_TC_Web!$C$1:$C$500)),""),ROW(Create_TC_Web!Q955))),"")</f>
        <v/>
      </c>
    </row>
    <row r="980" spans="1:16">
      <c r="A980" t="str" cm="1">
        <f t="array" ref="A980">IFERROR(INDEX(Create_TC_Web!D$1:D$1510,SMALL(IF(Create_TC_Web!$C$1:$C$1510&lt;&gt;"",MATCH(ROW(Create_TC_Web!$C$1:$C$1510),ROW(Create_TC_Web!$C$1:$C$1510)),""),ROW(Create_TC_Web!B1005))),"")</f>
        <v/>
      </c>
      <c r="P980" s="17" t="str" cm="1">
        <f t="array" ref="P980">IFERROR(INDEX(Create_TC_Web!S$1:S$500,SMALL(IF(Create_TC_Web!$C$1:$C$500&lt;&gt;"",MATCH(ROW(Create_TC_Web!$C$1:$C$500),ROW(Create_TC_Web!$C$1:$C$500)),""),ROW(Create_TC_Web!Q956))),"")</f>
        <v/>
      </c>
    </row>
    <row r="981" spans="1:16">
      <c r="A981" t="str" cm="1">
        <f t="array" ref="A981">IFERROR(INDEX(Create_TC_Web!D$1:D$1510,SMALL(IF(Create_TC_Web!$C$1:$C$1510&lt;&gt;"",MATCH(ROW(Create_TC_Web!$C$1:$C$1510),ROW(Create_TC_Web!$C$1:$C$1510)),""),ROW(Create_TC_Web!B1006))),"")</f>
        <v/>
      </c>
      <c r="P981" s="17" t="str" cm="1">
        <f t="array" ref="P981">IFERROR(INDEX(Create_TC_Web!S$1:S$500,SMALL(IF(Create_TC_Web!$C$1:$C$500&lt;&gt;"",MATCH(ROW(Create_TC_Web!$C$1:$C$500),ROW(Create_TC_Web!$C$1:$C$500)),""),ROW(Create_TC_Web!Q957))),"")</f>
        <v/>
      </c>
    </row>
    <row r="982" spans="1:16">
      <c r="A982" t="str" cm="1">
        <f t="array" ref="A982">IFERROR(INDEX(Create_TC_Web!D$1:D$1510,SMALL(IF(Create_TC_Web!$C$1:$C$1510&lt;&gt;"",MATCH(ROW(Create_TC_Web!$C$1:$C$1510),ROW(Create_TC_Web!$C$1:$C$1510)),""),ROW(Create_TC_Web!B1007))),"")</f>
        <v/>
      </c>
      <c r="P982" s="17" t="str" cm="1">
        <f t="array" ref="P982">IFERROR(INDEX(Create_TC_Web!S$1:S$500,SMALL(IF(Create_TC_Web!$C$1:$C$500&lt;&gt;"",MATCH(ROW(Create_TC_Web!$C$1:$C$500),ROW(Create_TC_Web!$C$1:$C$500)),""),ROW(Create_TC_Web!Q958))),"")</f>
        <v/>
      </c>
    </row>
    <row r="983" spans="1:16">
      <c r="A983" t="str" cm="1">
        <f t="array" ref="A983">IFERROR(INDEX(Create_TC_Web!D$1:D$1510,SMALL(IF(Create_TC_Web!$C$1:$C$1510&lt;&gt;"",MATCH(ROW(Create_TC_Web!$C$1:$C$1510),ROW(Create_TC_Web!$C$1:$C$1510)),""),ROW(Create_TC_Web!B1008))),"")</f>
        <v/>
      </c>
      <c r="P983" s="17" t="str" cm="1">
        <f t="array" ref="P983">IFERROR(INDEX(Create_TC_Web!S$1:S$500,SMALL(IF(Create_TC_Web!$C$1:$C$500&lt;&gt;"",MATCH(ROW(Create_TC_Web!$C$1:$C$500),ROW(Create_TC_Web!$C$1:$C$500)),""),ROW(Create_TC_Web!Q959))),"")</f>
        <v/>
      </c>
    </row>
    <row r="984" spans="1:16">
      <c r="A984" t="str" cm="1">
        <f t="array" ref="A984">IFERROR(INDEX(Create_TC_Web!D$1:D$1510,SMALL(IF(Create_TC_Web!$C$1:$C$1510&lt;&gt;"",MATCH(ROW(Create_TC_Web!$C$1:$C$1510),ROW(Create_TC_Web!$C$1:$C$1510)),""),ROW(Create_TC_Web!B1009))),"")</f>
        <v/>
      </c>
      <c r="P984" s="17" t="str" cm="1">
        <f t="array" ref="P984">IFERROR(INDEX(Create_TC_Web!S$1:S$500,SMALL(IF(Create_TC_Web!$C$1:$C$500&lt;&gt;"",MATCH(ROW(Create_TC_Web!$C$1:$C$500),ROW(Create_TC_Web!$C$1:$C$500)),""),ROW(Create_TC_Web!Q960))),"")</f>
        <v/>
      </c>
    </row>
    <row r="985" spans="1:16">
      <c r="A985" t="str" cm="1">
        <f t="array" ref="A985">IFERROR(INDEX(Create_TC_Web!D$1:D$1510,SMALL(IF(Create_TC_Web!$C$1:$C$1510&lt;&gt;"",MATCH(ROW(Create_TC_Web!$C$1:$C$1510),ROW(Create_TC_Web!$C$1:$C$1510)),""),ROW(Create_TC_Web!B1010))),"")</f>
        <v/>
      </c>
      <c r="P985" s="17" t="str" cm="1">
        <f t="array" ref="P985">IFERROR(INDEX(Create_TC_Web!S$1:S$500,SMALL(IF(Create_TC_Web!$C$1:$C$500&lt;&gt;"",MATCH(ROW(Create_TC_Web!$C$1:$C$500),ROW(Create_TC_Web!$C$1:$C$500)),""),ROW(Create_TC_Web!Q961))),"")</f>
        <v/>
      </c>
    </row>
    <row r="986" spans="1:16">
      <c r="A986" t="str" cm="1">
        <f t="array" ref="A986">IFERROR(INDEX(Create_TC_Web!D$1:D$1510,SMALL(IF(Create_TC_Web!$C$1:$C$1510&lt;&gt;"",MATCH(ROW(Create_TC_Web!$C$1:$C$1510),ROW(Create_TC_Web!$C$1:$C$1510)),""),ROW(Create_TC_Web!B1011))),"")</f>
        <v/>
      </c>
      <c r="P986" s="17" t="str" cm="1">
        <f t="array" ref="P986">IFERROR(INDEX(Create_TC_Web!S$1:S$500,SMALL(IF(Create_TC_Web!$C$1:$C$500&lt;&gt;"",MATCH(ROW(Create_TC_Web!$C$1:$C$500),ROW(Create_TC_Web!$C$1:$C$500)),""),ROW(Create_TC_Web!Q962))),"")</f>
        <v/>
      </c>
    </row>
    <row r="987" spans="1:16">
      <c r="A987" t="str" cm="1">
        <f t="array" ref="A987">IFERROR(INDEX(Create_TC_Web!D$1:D$1510,SMALL(IF(Create_TC_Web!$C$1:$C$1510&lt;&gt;"",MATCH(ROW(Create_TC_Web!$C$1:$C$1510),ROW(Create_TC_Web!$C$1:$C$1510)),""),ROW(Create_TC_Web!B1012))),"")</f>
        <v/>
      </c>
      <c r="P987" s="17" t="str" cm="1">
        <f t="array" ref="P987">IFERROR(INDEX(Create_TC_Web!S$1:S$500,SMALL(IF(Create_TC_Web!$C$1:$C$500&lt;&gt;"",MATCH(ROW(Create_TC_Web!$C$1:$C$500),ROW(Create_TC_Web!$C$1:$C$500)),""),ROW(Create_TC_Web!Q963))),"")</f>
        <v/>
      </c>
    </row>
    <row r="988" spans="1:16">
      <c r="A988" t="str" cm="1">
        <f t="array" ref="A988">IFERROR(INDEX(Create_TC_Web!D$1:D$1510,SMALL(IF(Create_TC_Web!$C$1:$C$1510&lt;&gt;"",MATCH(ROW(Create_TC_Web!$C$1:$C$1510),ROW(Create_TC_Web!$C$1:$C$1510)),""),ROW(Create_TC_Web!B1013))),"")</f>
        <v/>
      </c>
      <c r="P988" s="17" t="str" cm="1">
        <f t="array" ref="P988">IFERROR(INDEX(Create_TC_Web!S$1:S$500,SMALL(IF(Create_TC_Web!$C$1:$C$500&lt;&gt;"",MATCH(ROW(Create_TC_Web!$C$1:$C$500),ROW(Create_TC_Web!$C$1:$C$500)),""),ROW(Create_TC_Web!Q964))),"")</f>
        <v/>
      </c>
    </row>
    <row r="989" spans="1:16">
      <c r="A989" t="str" cm="1">
        <f t="array" ref="A989">IFERROR(INDEX(Create_TC_Web!D$1:D$1510,SMALL(IF(Create_TC_Web!$C$1:$C$1510&lt;&gt;"",MATCH(ROW(Create_TC_Web!$C$1:$C$1510),ROW(Create_TC_Web!$C$1:$C$1510)),""),ROW(Create_TC_Web!B1014))),"")</f>
        <v/>
      </c>
      <c r="P989" s="17" t="str" cm="1">
        <f t="array" ref="P989">IFERROR(INDEX(Create_TC_Web!S$1:S$500,SMALL(IF(Create_TC_Web!$C$1:$C$500&lt;&gt;"",MATCH(ROW(Create_TC_Web!$C$1:$C$500),ROW(Create_TC_Web!$C$1:$C$500)),""),ROW(Create_TC_Web!Q965))),"")</f>
        <v/>
      </c>
    </row>
    <row r="990" spans="1:16">
      <c r="A990" t="str" cm="1">
        <f t="array" ref="A990">IFERROR(INDEX(Create_TC_Web!D$1:D$1510,SMALL(IF(Create_TC_Web!$C$1:$C$1510&lt;&gt;"",MATCH(ROW(Create_TC_Web!$C$1:$C$1510),ROW(Create_TC_Web!$C$1:$C$1510)),""),ROW(Create_TC_Web!B1015))),"")</f>
        <v/>
      </c>
      <c r="P990" s="17" t="str" cm="1">
        <f t="array" ref="P990">IFERROR(INDEX(Create_TC_Web!S$1:S$500,SMALL(IF(Create_TC_Web!$C$1:$C$500&lt;&gt;"",MATCH(ROW(Create_TC_Web!$C$1:$C$500),ROW(Create_TC_Web!$C$1:$C$500)),""),ROW(Create_TC_Web!Q966))),"")</f>
        <v/>
      </c>
    </row>
    <row r="991" spans="1:16">
      <c r="A991" t="str" cm="1">
        <f t="array" ref="A991">IFERROR(INDEX(Create_TC_Web!D$1:D$1510,SMALL(IF(Create_TC_Web!$C$1:$C$1510&lt;&gt;"",MATCH(ROW(Create_TC_Web!$C$1:$C$1510),ROW(Create_TC_Web!$C$1:$C$1510)),""),ROW(Create_TC_Web!B1016))),"")</f>
        <v/>
      </c>
      <c r="P991" s="17" t="str" cm="1">
        <f t="array" ref="P991">IFERROR(INDEX(Create_TC_Web!S$1:S$500,SMALL(IF(Create_TC_Web!$C$1:$C$500&lt;&gt;"",MATCH(ROW(Create_TC_Web!$C$1:$C$500),ROW(Create_TC_Web!$C$1:$C$500)),""),ROW(Create_TC_Web!Q967))),"")</f>
        <v/>
      </c>
    </row>
    <row r="992" spans="1:16">
      <c r="A992" t="str" cm="1">
        <f t="array" ref="A992">IFERROR(INDEX(Create_TC_Web!D$1:D$1510,SMALL(IF(Create_TC_Web!$C$1:$C$1510&lt;&gt;"",MATCH(ROW(Create_TC_Web!$C$1:$C$1510),ROW(Create_TC_Web!$C$1:$C$1510)),""),ROW(Create_TC_Web!B1017))),"")</f>
        <v/>
      </c>
      <c r="P992" s="17" t="str" cm="1">
        <f t="array" ref="P992">IFERROR(INDEX(Create_TC_Web!S$1:S$500,SMALL(IF(Create_TC_Web!$C$1:$C$500&lt;&gt;"",MATCH(ROW(Create_TC_Web!$C$1:$C$500),ROW(Create_TC_Web!$C$1:$C$500)),""),ROW(Create_TC_Web!Q968))),"")</f>
        <v/>
      </c>
    </row>
    <row r="993" spans="1:16">
      <c r="A993" t="str" cm="1">
        <f t="array" ref="A993">IFERROR(INDEX(Create_TC_Web!D$1:D$1510,SMALL(IF(Create_TC_Web!$C$1:$C$1510&lt;&gt;"",MATCH(ROW(Create_TC_Web!$C$1:$C$1510),ROW(Create_TC_Web!$C$1:$C$1510)),""),ROW(Create_TC_Web!B1018))),"")</f>
        <v/>
      </c>
      <c r="P993" s="17" t="str" cm="1">
        <f t="array" ref="P993">IFERROR(INDEX(Create_TC_Web!S$1:S$500,SMALL(IF(Create_TC_Web!$C$1:$C$500&lt;&gt;"",MATCH(ROW(Create_TC_Web!$C$1:$C$500),ROW(Create_TC_Web!$C$1:$C$500)),""),ROW(Create_TC_Web!Q969))),"")</f>
        <v/>
      </c>
    </row>
    <row r="994" spans="1:16">
      <c r="A994" t="str" cm="1">
        <f t="array" ref="A994">IFERROR(INDEX(Create_TC_Web!D$1:D$1510,SMALL(IF(Create_TC_Web!$C$1:$C$1510&lt;&gt;"",MATCH(ROW(Create_TC_Web!$C$1:$C$1510),ROW(Create_TC_Web!$C$1:$C$1510)),""),ROW(Create_TC_Web!B1019))),"")</f>
        <v/>
      </c>
      <c r="P994" s="17" t="str" cm="1">
        <f t="array" ref="P994">IFERROR(INDEX(Create_TC_Web!S$1:S$500,SMALL(IF(Create_TC_Web!$C$1:$C$500&lt;&gt;"",MATCH(ROW(Create_TC_Web!$C$1:$C$500),ROW(Create_TC_Web!$C$1:$C$500)),""),ROW(Create_TC_Web!Q970))),"")</f>
        <v/>
      </c>
    </row>
    <row r="995" spans="1:16">
      <c r="A995" t="str" cm="1">
        <f t="array" ref="A995">IFERROR(INDEX(Create_TC_Web!D$1:D$1510,SMALL(IF(Create_TC_Web!$C$1:$C$1510&lt;&gt;"",MATCH(ROW(Create_TC_Web!$C$1:$C$1510),ROW(Create_TC_Web!$C$1:$C$1510)),""),ROW(Create_TC_Web!B1020))),"")</f>
        <v/>
      </c>
      <c r="P995" s="17" t="str" cm="1">
        <f t="array" ref="P995">IFERROR(INDEX(Create_TC_Web!S$1:S$500,SMALL(IF(Create_TC_Web!$C$1:$C$500&lt;&gt;"",MATCH(ROW(Create_TC_Web!$C$1:$C$500),ROW(Create_TC_Web!$C$1:$C$500)),""),ROW(Create_TC_Web!Q971))),"")</f>
        <v/>
      </c>
    </row>
    <row r="996" spans="1:16">
      <c r="A996" t="str" cm="1">
        <f t="array" ref="A996">IFERROR(INDEX(Create_TC_Web!D$1:D$1510,SMALL(IF(Create_TC_Web!$C$1:$C$1510&lt;&gt;"",MATCH(ROW(Create_TC_Web!$C$1:$C$1510),ROW(Create_TC_Web!$C$1:$C$1510)),""),ROW(Create_TC_Web!B1021))),"")</f>
        <v/>
      </c>
      <c r="P996" s="17" t="str" cm="1">
        <f t="array" ref="P996">IFERROR(INDEX(Create_TC_Web!S$1:S$500,SMALL(IF(Create_TC_Web!$C$1:$C$500&lt;&gt;"",MATCH(ROW(Create_TC_Web!$C$1:$C$500),ROW(Create_TC_Web!$C$1:$C$500)),""),ROW(Create_TC_Web!Q972))),"")</f>
        <v/>
      </c>
    </row>
    <row r="997" spans="1:16">
      <c r="A997" t="str" cm="1">
        <f t="array" ref="A997">IFERROR(INDEX(Create_TC_Web!D$1:D$1510,SMALL(IF(Create_TC_Web!$C$1:$C$1510&lt;&gt;"",MATCH(ROW(Create_TC_Web!$C$1:$C$1510),ROW(Create_TC_Web!$C$1:$C$1510)),""),ROW(Create_TC_Web!B1022))),"")</f>
        <v/>
      </c>
      <c r="P997" s="17" t="str" cm="1">
        <f t="array" ref="P997">IFERROR(INDEX(Create_TC_Web!S$1:S$500,SMALL(IF(Create_TC_Web!$C$1:$C$500&lt;&gt;"",MATCH(ROW(Create_TC_Web!$C$1:$C$500),ROW(Create_TC_Web!$C$1:$C$500)),""),ROW(Create_TC_Web!Q973))),"")</f>
        <v/>
      </c>
    </row>
    <row r="998" spans="1:16">
      <c r="A998" t="str" cm="1">
        <f t="array" ref="A998">IFERROR(INDEX(Create_TC_Web!D$1:D$1510,SMALL(IF(Create_TC_Web!$C$1:$C$1510&lt;&gt;"",MATCH(ROW(Create_TC_Web!$C$1:$C$1510),ROW(Create_TC_Web!$C$1:$C$1510)),""),ROW(Create_TC_Web!B1023))),"")</f>
        <v/>
      </c>
      <c r="P998" s="17" t="str" cm="1">
        <f t="array" ref="P998">IFERROR(INDEX(Create_TC_Web!S$1:S$500,SMALL(IF(Create_TC_Web!$C$1:$C$500&lt;&gt;"",MATCH(ROW(Create_TC_Web!$C$1:$C$500),ROW(Create_TC_Web!$C$1:$C$500)),""),ROW(Create_TC_Web!Q974))),"")</f>
        <v/>
      </c>
    </row>
    <row r="999" spans="1:16">
      <c r="A999" t="str" cm="1">
        <f t="array" ref="A999">IFERROR(INDEX(Create_TC_Web!D$1:D$1510,SMALL(IF(Create_TC_Web!$C$1:$C$1510&lt;&gt;"",MATCH(ROW(Create_TC_Web!$C$1:$C$1510),ROW(Create_TC_Web!$C$1:$C$1510)),""),ROW(Create_TC_Web!B1024))),"")</f>
        <v/>
      </c>
      <c r="P999" s="17" t="str" cm="1">
        <f t="array" ref="P999">IFERROR(INDEX(Create_TC_Web!S$1:S$500,SMALL(IF(Create_TC_Web!$C$1:$C$500&lt;&gt;"",MATCH(ROW(Create_TC_Web!$C$1:$C$500),ROW(Create_TC_Web!$C$1:$C$500)),""),ROW(Create_TC_Web!Q975))),"")</f>
        <v/>
      </c>
    </row>
    <row r="1000" spans="1:16">
      <c r="A1000" t="str" cm="1">
        <f t="array" ref="A1000">IFERROR(INDEX(Create_TC_Web!D$1:D$1510,SMALL(IF(Create_TC_Web!$C$1:$C$1510&lt;&gt;"",MATCH(ROW(Create_TC_Web!$C$1:$C$1510),ROW(Create_TC_Web!$C$1:$C$1510)),""),ROW(Create_TC_Web!B1025))),"")</f>
        <v/>
      </c>
      <c r="P1000" s="17" t="str" cm="1">
        <f t="array" ref="P1000">IFERROR(INDEX(Create_TC_Web!S$1:S$500,SMALL(IF(Create_TC_Web!$C$1:$C$500&lt;&gt;"",MATCH(ROW(Create_TC_Web!$C$1:$C$500),ROW(Create_TC_Web!$C$1:$C$500)),""),ROW(Create_TC_Web!Q976))),"")</f>
        <v/>
      </c>
    </row>
    <row r="1001" spans="1:16">
      <c r="A1001" t="str" cm="1">
        <f t="array" ref="A1001">IFERROR(INDEX(Create_TC_Web!D$1:D$1510,SMALL(IF(Create_TC_Web!$C$1:$C$1510&lt;&gt;"",MATCH(ROW(Create_TC_Web!$C$1:$C$1510),ROW(Create_TC_Web!$C$1:$C$1510)),""),ROW(Create_TC_Web!B1026))),"")</f>
        <v/>
      </c>
      <c r="P1001" s="17" t="str" cm="1">
        <f t="array" ref="P1001">IFERROR(INDEX(Create_TC_Web!S$1:S$500,SMALL(IF(Create_TC_Web!$C$1:$C$500&lt;&gt;"",MATCH(ROW(Create_TC_Web!$C$1:$C$500),ROW(Create_TC_Web!$C$1:$C$500)),""),ROW(Create_TC_Web!Q977))),"")</f>
        <v/>
      </c>
    </row>
    <row r="1002" spans="1:16">
      <c r="A1002" t="str" cm="1">
        <f t="array" ref="A1002">IFERROR(INDEX(Create_TC_Web!D$1:D$1510,SMALL(IF(Create_TC_Web!$C$1:$C$1510&lt;&gt;"",MATCH(ROW(Create_TC_Web!$C$1:$C$1510),ROW(Create_TC_Web!$C$1:$C$1510)),""),ROW(Create_TC_Web!B1027))),"")</f>
        <v/>
      </c>
      <c r="P1002" s="17" t="str" cm="1">
        <f t="array" ref="P1002">IFERROR(INDEX(Create_TC_Web!S$1:S$500,SMALL(IF(Create_TC_Web!$C$1:$C$500&lt;&gt;"",MATCH(ROW(Create_TC_Web!$C$1:$C$500),ROW(Create_TC_Web!$C$1:$C$500)),""),ROW(Create_TC_Web!Q978))),"")</f>
        <v/>
      </c>
    </row>
    <row r="1003" spans="1:16">
      <c r="A1003" t="str" cm="1">
        <f t="array" ref="A1003">IFERROR(INDEX(Create_TC_Web!D$1:D$1510,SMALL(IF(Create_TC_Web!$C$1:$C$1510&lt;&gt;"",MATCH(ROW(Create_TC_Web!$C$1:$C$1510),ROW(Create_TC_Web!$C$1:$C$1510)),""),ROW(Create_TC_Web!B1028))),"")</f>
        <v/>
      </c>
      <c r="P1003" s="17"/>
    </row>
    <row r="1004" spans="1:16">
      <c r="A1004" t="str" cm="1">
        <f t="array" ref="A1004">IFERROR(INDEX(Create_TC_Web!D$1:D$1510,SMALL(IF(Create_TC_Web!$C$1:$C$1510&lt;&gt;"",MATCH(ROW(Create_TC_Web!$C$1:$C$1510),ROW(Create_TC_Web!$C$1:$C$1510)),""),ROW(Create_TC_Web!B1029))),"")</f>
        <v/>
      </c>
      <c r="P1004" s="17"/>
    </row>
    <row r="1005" spans="1:16">
      <c r="A1005" t="str" cm="1">
        <f t="array" ref="A1005">IFERROR(INDEX(Create_TC_Web!D$1:D$1510,SMALL(IF(Create_TC_Web!$C$1:$C$1510&lt;&gt;"",MATCH(ROW(Create_TC_Web!$C$1:$C$1510),ROW(Create_TC_Web!$C$1:$C$1510)),""),ROW(Create_TC_Web!B1030))),"")</f>
        <v/>
      </c>
      <c r="P1005" s="17"/>
    </row>
    <row r="1006" spans="1:16">
      <c r="A1006" t="str" cm="1">
        <f t="array" ref="A1006">IFERROR(INDEX(Create_TC_Web!D$1:D$1510,SMALL(IF(Create_TC_Web!$C$1:$C$1510&lt;&gt;"",MATCH(ROW(Create_TC_Web!$C$1:$C$1510),ROW(Create_TC_Web!$C$1:$C$1510)),""),ROW(Create_TC_Web!B1031))),"")</f>
        <v/>
      </c>
      <c r="P1006" s="17"/>
    </row>
    <row r="1007" spans="1:16">
      <c r="A1007" t="str" cm="1">
        <f t="array" ref="A1007">IFERROR(INDEX(Create_TC_Web!D$1:D$1510,SMALL(IF(Create_TC_Web!$C$1:$C$1510&lt;&gt;"",MATCH(ROW(Create_TC_Web!$C$1:$C$1510),ROW(Create_TC_Web!$C$1:$C$1510)),""),ROW(Create_TC_Web!B1032))),"")</f>
        <v/>
      </c>
      <c r="P1007" s="17"/>
    </row>
    <row r="1008" spans="1:16">
      <c r="A1008" t="str" cm="1">
        <f t="array" ref="A1008">IFERROR(INDEX(Create_TC_Web!D$1:D$1510,SMALL(IF(Create_TC_Web!$C$1:$C$1510&lt;&gt;"",MATCH(ROW(Create_TC_Web!$C$1:$C$1510),ROW(Create_TC_Web!$C$1:$C$1510)),""),ROW(Create_TC_Web!B1033))),"")</f>
        <v/>
      </c>
      <c r="P1008" s="17"/>
    </row>
    <row r="1009" spans="1:16">
      <c r="A1009" t="str" cm="1">
        <f t="array" ref="A1009">IFERROR(INDEX(Create_TC_Web!D$1:D$1510,SMALL(IF(Create_TC_Web!$C$1:$C$1510&lt;&gt;"",MATCH(ROW(Create_TC_Web!$C$1:$C$1510),ROW(Create_TC_Web!$C$1:$C$1510)),""),ROW(Create_TC_Web!B1034))),"")</f>
        <v/>
      </c>
      <c r="P1009" s="17"/>
    </row>
    <row r="1010" spans="1:16">
      <c r="A1010" t="str" cm="1">
        <f t="array" ref="A1010">IFERROR(INDEX(Create_TC_Web!D$1:D$1510,SMALL(IF(Create_TC_Web!$C$1:$C$1510&lt;&gt;"",MATCH(ROW(Create_TC_Web!$C$1:$C$1510),ROW(Create_TC_Web!$C$1:$C$1510)),""),ROW(Create_TC_Web!B1035))),"")</f>
        <v/>
      </c>
      <c r="P1010" s="17"/>
    </row>
    <row r="1011" spans="1:16">
      <c r="A1011" t="str" cm="1">
        <f t="array" ref="A1011">IFERROR(INDEX(Create_TC_Web!D$1:D$1510,SMALL(IF(Create_TC_Web!$C$1:$C$1510&lt;&gt;"",MATCH(ROW(Create_TC_Web!$C$1:$C$1510),ROW(Create_TC_Web!$C$1:$C$1510)),""),ROW(Create_TC_Web!B1036))),"")</f>
        <v/>
      </c>
      <c r="P1011" s="17"/>
    </row>
    <row r="1012" spans="1:16">
      <c r="A1012" t="str" cm="1">
        <f t="array" ref="A1012">IFERROR(INDEX(Create_TC_Web!D$1:D$1510,SMALL(IF(Create_TC_Web!$C$1:$C$1510&lt;&gt;"",MATCH(ROW(Create_TC_Web!$C$1:$C$1510),ROW(Create_TC_Web!$C$1:$C$1510)),""),ROW(Create_TC_Web!B1037))),"")</f>
        <v/>
      </c>
      <c r="P1012" s="17"/>
    </row>
    <row r="1013" spans="1:16">
      <c r="A1013" t="str" cm="1">
        <f t="array" ref="A1013">IFERROR(INDEX(Create_TC_Web!D$1:D$1510,SMALL(IF(Create_TC_Web!$C$1:$C$1510&lt;&gt;"",MATCH(ROW(Create_TC_Web!$C$1:$C$1510),ROW(Create_TC_Web!$C$1:$C$1510)),""),ROW(Create_TC_Web!B1038))),"")</f>
        <v/>
      </c>
      <c r="P1013" s="17"/>
    </row>
    <row r="1014" spans="1:16">
      <c r="A1014" t="str" cm="1">
        <f t="array" ref="A1014">IFERROR(INDEX(Create_TC_Web!D$1:D$1510,SMALL(IF(Create_TC_Web!$C$1:$C$1510&lt;&gt;"",MATCH(ROW(Create_TC_Web!$C$1:$C$1510),ROW(Create_TC_Web!$C$1:$C$1510)),""),ROW(Create_TC_Web!B1039))),"")</f>
        <v/>
      </c>
      <c r="P1014" s="17"/>
    </row>
    <row r="1015" spans="1:16">
      <c r="A1015" t="str" cm="1">
        <f t="array" ref="A1015">IFERROR(INDEX(Create_TC_Web!D$1:D$1510,SMALL(IF(Create_TC_Web!$C$1:$C$1510&lt;&gt;"",MATCH(ROW(Create_TC_Web!$C$1:$C$1510),ROW(Create_TC_Web!$C$1:$C$1510)),""),ROW(Create_TC_Web!B1040))),"")</f>
        <v/>
      </c>
      <c r="P1015" s="17"/>
    </row>
    <row r="1016" spans="1:16">
      <c r="A1016" t="str" cm="1">
        <f t="array" ref="A1016">IFERROR(INDEX(Create_TC_Web!D$1:D$1510,SMALL(IF(Create_TC_Web!$C$1:$C$1510&lt;&gt;"",MATCH(ROW(Create_TC_Web!$C$1:$C$1510),ROW(Create_TC_Web!$C$1:$C$1510)),""),ROW(Create_TC_Web!B1041))),"")</f>
        <v/>
      </c>
      <c r="P1016" s="17"/>
    </row>
    <row r="1017" spans="1:16">
      <c r="A1017" t="str" cm="1">
        <f t="array" ref="A1017">IFERROR(INDEX(Create_TC_Web!D$1:D$1510,SMALL(IF(Create_TC_Web!$C$1:$C$1510&lt;&gt;"",MATCH(ROW(Create_TC_Web!$C$1:$C$1510),ROW(Create_TC_Web!$C$1:$C$1510)),""),ROW(Create_TC_Web!B1042))),"")</f>
        <v/>
      </c>
      <c r="P1017" s="17"/>
    </row>
    <row r="1018" spans="1:16">
      <c r="A1018" t="str" cm="1">
        <f t="array" ref="A1018">IFERROR(INDEX(Create_TC_Web!D$1:D$1510,SMALL(IF(Create_TC_Web!$C$1:$C$1510&lt;&gt;"",MATCH(ROW(Create_TC_Web!$C$1:$C$1510),ROW(Create_TC_Web!$C$1:$C$1510)),""),ROW(Create_TC_Web!B1043))),"")</f>
        <v/>
      </c>
      <c r="P1018" s="17"/>
    </row>
    <row r="1019" spans="1:16">
      <c r="A1019" t="str" cm="1">
        <f t="array" ref="A1019">IFERROR(INDEX(Create_TC_Web!D$1:D$1510,SMALL(IF(Create_TC_Web!$C$1:$C$1510&lt;&gt;"",MATCH(ROW(Create_TC_Web!$C$1:$C$1510),ROW(Create_TC_Web!$C$1:$C$1510)),""),ROW(Create_TC_Web!B1044))),"")</f>
        <v/>
      </c>
      <c r="P1019" s="17"/>
    </row>
    <row r="1020" spans="1:16">
      <c r="A1020" t="str" cm="1">
        <f t="array" ref="A1020">IFERROR(INDEX(Create_TC_Web!D$1:D$1510,SMALL(IF(Create_TC_Web!$C$1:$C$1510&lt;&gt;"",MATCH(ROW(Create_TC_Web!$C$1:$C$1510),ROW(Create_TC_Web!$C$1:$C$1510)),""),ROW(Create_TC_Web!B1045))),"")</f>
        <v/>
      </c>
      <c r="P1020" s="17"/>
    </row>
    <row r="1021" spans="1:16">
      <c r="A1021" t="str" cm="1">
        <f t="array" ref="A1021">IFERROR(INDEX(Create_TC_Web!D$1:D$1510,SMALL(IF(Create_TC_Web!$C$1:$C$1510&lt;&gt;"",MATCH(ROW(Create_TC_Web!$C$1:$C$1510),ROW(Create_TC_Web!$C$1:$C$1510)),""),ROW(Create_TC_Web!B1046))),"")</f>
        <v/>
      </c>
      <c r="P1021" s="17"/>
    </row>
    <row r="1022" spans="1:16">
      <c r="A1022" t="str" cm="1">
        <f t="array" ref="A1022">IFERROR(INDEX(Create_TC_Web!D$1:D$1510,SMALL(IF(Create_TC_Web!$C$1:$C$1510&lt;&gt;"",MATCH(ROW(Create_TC_Web!$C$1:$C$1510),ROW(Create_TC_Web!$C$1:$C$1510)),""),ROW(Create_TC_Web!B1047))),"")</f>
        <v/>
      </c>
      <c r="P1022" s="17"/>
    </row>
    <row r="1023" spans="1:16">
      <c r="A1023" t="str" cm="1">
        <f t="array" ref="A1023">IFERROR(INDEX(Create_TC_Web!D$1:D$1510,SMALL(IF(Create_TC_Web!$C$1:$C$1510&lt;&gt;"",MATCH(ROW(Create_TC_Web!$C$1:$C$1510),ROW(Create_TC_Web!$C$1:$C$1510)),""),ROW(Create_TC_Web!B1048))),"")</f>
        <v/>
      </c>
      <c r="P1023" s="17"/>
    </row>
    <row r="1024" spans="1:16">
      <c r="A1024" t="str" cm="1">
        <f t="array" ref="A1024">IFERROR(INDEX(Create_TC_Web!D$1:D$1510,SMALL(IF(Create_TC_Web!$C$1:$C$1510&lt;&gt;"",MATCH(ROW(Create_TC_Web!$C$1:$C$1510),ROW(Create_TC_Web!$C$1:$C$1510)),""),ROW(Create_TC_Web!B1049))),"")</f>
        <v/>
      </c>
      <c r="P1024" s="17"/>
    </row>
    <row r="1025" spans="1:16">
      <c r="A1025" t="str" cm="1">
        <f t="array" ref="A1025">IFERROR(INDEX(Create_TC_Web!D$1:D$1510,SMALL(IF(Create_TC_Web!$C$1:$C$1510&lt;&gt;"",MATCH(ROW(Create_TC_Web!$C$1:$C$1510),ROW(Create_TC_Web!$C$1:$C$1510)),""),ROW(Create_TC_Web!B1050))),"")</f>
        <v/>
      </c>
      <c r="P1025" s="17"/>
    </row>
    <row r="1026" spans="1:16">
      <c r="A1026" t="str" cm="1">
        <f t="array" ref="A1026">IFERROR(INDEX(Create_TC_Web!D$1:D$1510,SMALL(IF(Create_TC_Web!$C$1:$C$1510&lt;&gt;"",MATCH(ROW(Create_TC_Web!$C$1:$C$1510),ROW(Create_TC_Web!$C$1:$C$1510)),""),ROW(Create_TC_Web!B1051))),"")</f>
        <v/>
      </c>
      <c r="P1026" s="17"/>
    </row>
    <row r="1027" spans="1:16">
      <c r="A1027" t="str" cm="1">
        <f t="array" ref="A1027">IFERROR(INDEX(Create_TC_Web!D$1:D$1510,SMALL(IF(Create_TC_Web!$C$1:$C$1510&lt;&gt;"",MATCH(ROW(Create_TC_Web!$C$1:$C$1510),ROW(Create_TC_Web!$C$1:$C$1510)),""),ROW(Create_TC_Web!B1052))),"")</f>
        <v/>
      </c>
      <c r="P1027" s="17"/>
    </row>
    <row r="1028" spans="1:16">
      <c r="A1028" t="str" cm="1">
        <f t="array" ref="A1028">IFERROR(INDEX(Create_TC_Web!D$1:D$1510,SMALL(IF(Create_TC_Web!$C$1:$C$1510&lt;&gt;"",MATCH(ROW(Create_TC_Web!$C$1:$C$1510),ROW(Create_TC_Web!$C$1:$C$1510)),""),ROW(Create_TC_Web!B1053))),"")</f>
        <v/>
      </c>
      <c r="P1028" s="17"/>
    </row>
    <row r="1029" spans="1:16">
      <c r="A1029" t="str" cm="1">
        <f t="array" ref="A1029">IFERROR(INDEX(Create_TC_Web!D$1:D$1510,SMALL(IF(Create_TC_Web!$C$1:$C$1510&lt;&gt;"",MATCH(ROW(Create_TC_Web!$C$1:$C$1510),ROW(Create_TC_Web!$C$1:$C$1510)),""),ROW(Create_TC_Web!B1054))),"")</f>
        <v/>
      </c>
      <c r="P1029" s="17"/>
    </row>
    <row r="1030" spans="1:16">
      <c r="A1030" t="str" cm="1">
        <f t="array" ref="A1030">IFERROR(INDEX(Create_TC_Web!D$1:D$1510,SMALL(IF(Create_TC_Web!$C$1:$C$1510&lt;&gt;"",MATCH(ROW(Create_TC_Web!$C$1:$C$1510),ROW(Create_TC_Web!$C$1:$C$1510)),""),ROW(Create_TC_Web!B1055))),"")</f>
        <v/>
      </c>
      <c r="P1030" s="17"/>
    </row>
    <row r="1031" spans="1:16">
      <c r="A1031" t="str" cm="1">
        <f t="array" ref="A1031">IFERROR(INDEX(Create_TC_Web!D$1:D$1510,SMALL(IF(Create_TC_Web!$C$1:$C$1510&lt;&gt;"",MATCH(ROW(Create_TC_Web!$C$1:$C$1510),ROW(Create_TC_Web!$C$1:$C$1510)),""),ROW(Create_TC_Web!B1056))),"")</f>
        <v/>
      </c>
      <c r="P1031" s="17"/>
    </row>
    <row r="1032" spans="1:16">
      <c r="A1032" t="str" cm="1">
        <f t="array" ref="A1032">IFERROR(INDEX(Create_TC_Web!D$1:D$1510,SMALL(IF(Create_TC_Web!$C$1:$C$1510&lt;&gt;"",MATCH(ROW(Create_TC_Web!$C$1:$C$1510),ROW(Create_TC_Web!$C$1:$C$1510)),""),ROW(Create_TC_Web!B1057))),"")</f>
        <v/>
      </c>
      <c r="P1032" s="17"/>
    </row>
    <row r="1033" spans="1:16">
      <c r="A1033" t="str" cm="1">
        <f t="array" ref="A1033">IFERROR(INDEX(Create_TC_Web!D$1:D$1510,SMALL(IF(Create_TC_Web!$C$1:$C$1510&lt;&gt;"",MATCH(ROW(Create_TC_Web!$C$1:$C$1510),ROW(Create_TC_Web!$C$1:$C$1510)),""),ROW(Create_TC_Web!B1058))),"")</f>
        <v/>
      </c>
      <c r="P1033" s="17"/>
    </row>
    <row r="1034" spans="1:16">
      <c r="A1034" t="str" cm="1">
        <f t="array" ref="A1034">IFERROR(INDEX(Create_TC_Web!D$1:D$1510,SMALL(IF(Create_TC_Web!$C$1:$C$1510&lt;&gt;"",MATCH(ROW(Create_TC_Web!$C$1:$C$1510),ROW(Create_TC_Web!$C$1:$C$1510)),""),ROW(Create_TC_Web!B1059))),"")</f>
        <v/>
      </c>
      <c r="P1034" s="17"/>
    </row>
    <row r="1035" spans="1:16">
      <c r="A1035" t="str" cm="1">
        <f t="array" ref="A1035">IFERROR(INDEX(Create_TC_Web!D$1:D$1510,SMALL(IF(Create_TC_Web!$C$1:$C$1510&lt;&gt;"",MATCH(ROW(Create_TC_Web!$C$1:$C$1510),ROW(Create_TC_Web!$C$1:$C$1510)),""),ROW(Create_TC_Web!B1060))),"")</f>
        <v/>
      </c>
      <c r="P1035" s="17"/>
    </row>
    <row r="1036" spans="1:16">
      <c r="A1036" t="str" cm="1">
        <f t="array" ref="A1036">IFERROR(INDEX(Create_TC_Web!D$1:D$1510,SMALL(IF(Create_TC_Web!$C$1:$C$1510&lt;&gt;"",MATCH(ROW(Create_TC_Web!$C$1:$C$1510),ROW(Create_TC_Web!$C$1:$C$1510)),""),ROW(Create_TC_Web!B1061))),"")</f>
        <v/>
      </c>
      <c r="P1036" s="17"/>
    </row>
    <row r="1037" spans="1:16">
      <c r="A1037" t="str" cm="1">
        <f t="array" ref="A1037">IFERROR(INDEX(Create_TC_Web!D$1:D$1510,SMALL(IF(Create_TC_Web!$C$1:$C$1510&lt;&gt;"",MATCH(ROW(Create_TC_Web!$C$1:$C$1510),ROW(Create_TC_Web!$C$1:$C$1510)),""),ROW(Create_TC_Web!B1062))),"")</f>
        <v/>
      </c>
      <c r="P1037" s="17"/>
    </row>
    <row r="1038" spans="1:16">
      <c r="A1038" t="str" cm="1">
        <f t="array" ref="A1038">IFERROR(INDEX(Create_TC_Web!D$1:D$1510,SMALL(IF(Create_TC_Web!$C$1:$C$1510&lt;&gt;"",MATCH(ROW(Create_TC_Web!$C$1:$C$1510),ROW(Create_TC_Web!$C$1:$C$1510)),""),ROW(Create_TC_Web!B1063))),"")</f>
        <v/>
      </c>
      <c r="P1038" s="17"/>
    </row>
    <row r="1039" spans="1:16">
      <c r="A1039" t="str" cm="1">
        <f t="array" ref="A1039">IFERROR(INDEX(Create_TC_Web!D$1:D$1510,SMALL(IF(Create_TC_Web!$C$1:$C$1510&lt;&gt;"",MATCH(ROW(Create_TC_Web!$C$1:$C$1510),ROW(Create_TC_Web!$C$1:$C$1510)),""),ROW(Create_TC_Web!B1064))),"")</f>
        <v/>
      </c>
      <c r="P1039" s="17"/>
    </row>
    <row r="1040" spans="1:16">
      <c r="A1040" t="str" cm="1">
        <f t="array" ref="A1040">IFERROR(INDEX(Create_TC_Web!D$1:D$1510,SMALL(IF(Create_TC_Web!$C$1:$C$1510&lt;&gt;"",MATCH(ROW(Create_TC_Web!$C$1:$C$1510),ROW(Create_TC_Web!$C$1:$C$1510)),""),ROW(Create_TC_Web!B1065))),"")</f>
        <v/>
      </c>
      <c r="P1040" s="17"/>
    </row>
    <row r="1041" spans="1:16">
      <c r="A1041" t="str" cm="1">
        <f t="array" ref="A1041">IFERROR(INDEX(Create_TC_Web!D$1:D$1510,SMALL(IF(Create_TC_Web!$C$1:$C$1510&lt;&gt;"",MATCH(ROW(Create_TC_Web!$C$1:$C$1510),ROW(Create_TC_Web!$C$1:$C$1510)),""),ROW(Create_TC_Web!B1066))),"")</f>
        <v/>
      </c>
      <c r="P1041" s="17"/>
    </row>
    <row r="1042" spans="1:16">
      <c r="A1042" t="str" cm="1">
        <f t="array" ref="A1042">IFERROR(INDEX(Create_TC_Web!D$1:D$1510,SMALL(IF(Create_TC_Web!$C$1:$C$1510&lt;&gt;"",MATCH(ROW(Create_TC_Web!$C$1:$C$1510),ROW(Create_TC_Web!$C$1:$C$1510)),""),ROW(Create_TC_Web!B1067))),"")</f>
        <v/>
      </c>
      <c r="P1042" s="17"/>
    </row>
    <row r="1043" spans="1:16">
      <c r="A1043" t="str" cm="1">
        <f t="array" ref="A1043">IFERROR(INDEX(Create_TC_Web!D$1:D$1510,SMALL(IF(Create_TC_Web!$C$1:$C$1510&lt;&gt;"",MATCH(ROW(Create_TC_Web!$C$1:$C$1510),ROW(Create_TC_Web!$C$1:$C$1510)),""),ROW(Create_TC_Web!B1068))),"")</f>
        <v/>
      </c>
      <c r="P1043" s="17"/>
    </row>
    <row r="1044" spans="1:16">
      <c r="A1044" t="str" cm="1">
        <f t="array" ref="A1044">IFERROR(INDEX(Create_TC_Web!D$1:D$1510,SMALL(IF(Create_TC_Web!$C$1:$C$1510&lt;&gt;"",MATCH(ROW(Create_TC_Web!$C$1:$C$1510),ROW(Create_TC_Web!$C$1:$C$1510)),""),ROW(Create_TC_Web!B1069))),"")</f>
        <v/>
      </c>
      <c r="P1044" s="17"/>
    </row>
    <row r="1045" spans="1:16">
      <c r="A1045" t="str" cm="1">
        <f t="array" ref="A1045">IFERROR(INDEX(Create_TC_Web!D$1:D$1510,SMALL(IF(Create_TC_Web!$C$1:$C$1510&lt;&gt;"",MATCH(ROW(Create_TC_Web!$C$1:$C$1510),ROW(Create_TC_Web!$C$1:$C$1510)),""),ROW(Create_TC_Web!B1070))),"")</f>
        <v/>
      </c>
      <c r="P1045" s="17"/>
    </row>
    <row r="1046" spans="1:16">
      <c r="A1046" t="str" cm="1">
        <f t="array" ref="A1046">IFERROR(INDEX(Create_TC_Web!D$1:D$1510,SMALL(IF(Create_TC_Web!$C$1:$C$1510&lt;&gt;"",MATCH(ROW(Create_TC_Web!$C$1:$C$1510),ROW(Create_TC_Web!$C$1:$C$1510)),""),ROW(Create_TC_Web!B1071))),"")</f>
        <v/>
      </c>
      <c r="P1046" s="17"/>
    </row>
    <row r="1047" spans="1:16">
      <c r="A1047" t="str" cm="1">
        <f t="array" ref="A1047">IFERROR(INDEX(Create_TC_Web!D$1:D$1510,SMALL(IF(Create_TC_Web!$C$1:$C$1510&lt;&gt;"",MATCH(ROW(Create_TC_Web!$C$1:$C$1510),ROW(Create_TC_Web!$C$1:$C$1510)),""),ROW(Create_TC_Web!B1072))),"")</f>
        <v/>
      </c>
      <c r="P1047" s="17"/>
    </row>
    <row r="1048" spans="1:16">
      <c r="A1048" t="str" cm="1">
        <f t="array" ref="A1048">IFERROR(INDEX(Create_TC_Web!D$1:D$1510,SMALL(IF(Create_TC_Web!$C$1:$C$1510&lt;&gt;"",MATCH(ROW(Create_TC_Web!$C$1:$C$1510),ROW(Create_TC_Web!$C$1:$C$1510)),""),ROW(Create_TC_Web!B1073))),"")</f>
        <v/>
      </c>
      <c r="P1048" s="17"/>
    </row>
    <row r="1049" spans="1:16">
      <c r="A1049" t="str" cm="1">
        <f t="array" ref="A1049">IFERROR(INDEX(Create_TC_Web!D$1:D$1510,SMALL(IF(Create_TC_Web!$C$1:$C$1510&lt;&gt;"",MATCH(ROW(Create_TC_Web!$C$1:$C$1510),ROW(Create_TC_Web!$C$1:$C$1510)),""),ROW(Create_TC_Web!B1074))),"")</f>
        <v/>
      </c>
      <c r="P1049" s="17"/>
    </row>
    <row r="1050" spans="1:16">
      <c r="A1050" t="str" cm="1">
        <f t="array" ref="A1050">IFERROR(INDEX(Create_TC_Web!D$1:D$1510,SMALL(IF(Create_TC_Web!$C$1:$C$1510&lt;&gt;"",MATCH(ROW(Create_TC_Web!$C$1:$C$1510),ROW(Create_TC_Web!$C$1:$C$1510)),""),ROW(Create_TC_Web!B1075))),"")</f>
        <v/>
      </c>
      <c r="P1050" s="17"/>
    </row>
    <row r="1051" spans="1:16">
      <c r="A1051" t="str" cm="1">
        <f t="array" ref="A1051">IFERROR(INDEX(Create_TC_Web!D$1:D$1510,SMALL(IF(Create_TC_Web!$C$1:$C$1510&lt;&gt;"",MATCH(ROW(Create_TC_Web!$C$1:$C$1510),ROW(Create_TC_Web!$C$1:$C$1510)),""),ROW(Create_TC_Web!B1076))),"")</f>
        <v/>
      </c>
      <c r="P1051" s="17"/>
    </row>
    <row r="1052" spans="1:16">
      <c r="A1052" t="str" cm="1">
        <f t="array" ref="A1052">IFERROR(INDEX(Create_TC_Web!D$1:D$1510,SMALL(IF(Create_TC_Web!$C$1:$C$1510&lt;&gt;"",MATCH(ROW(Create_TC_Web!$C$1:$C$1510),ROW(Create_TC_Web!$C$1:$C$1510)),""),ROW(Create_TC_Web!B1077))),"")</f>
        <v/>
      </c>
      <c r="P1052" s="17"/>
    </row>
    <row r="1053" spans="1:16">
      <c r="A1053" t="str" cm="1">
        <f t="array" ref="A1053">IFERROR(INDEX(Create_TC_Web!D$1:D$1510,SMALL(IF(Create_TC_Web!$C$1:$C$1510&lt;&gt;"",MATCH(ROW(Create_TC_Web!$C$1:$C$1510),ROW(Create_TC_Web!$C$1:$C$1510)),""),ROW(Create_TC_Web!B1078))),"")</f>
        <v/>
      </c>
      <c r="P1053" s="17"/>
    </row>
    <row r="1054" spans="1:16">
      <c r="A1054" t="str" cm="1">
        <f t="array" ref="A1054">IFERROR(INDEX(Create_TC_Web!D$1:D$1510,SMALL(IF(Create_TC_Web!$C$1:$C$1510&lt;&gt;"",MATCH(ROW(Create_TC_Web!$C$1:$C$1510),ROW(Create_TC_Web!$C$1:$C$1510)),""),ROW(Create_TC_Web!B1079))),"")</f>
        <v/>
      </c>
      <c r="P1054" s="17"/>
    </row>
    <row r="1055" spans="1:16">
      <c r="A1055" t="str" cm="1">
        <f t="array" ref="A1055">IFERROR(INDEX(Create_TC_Web!D$1:D$1510,SMALL(IF(Create_TC_Web!$C$1:$C$1510&lt;&gt;"",MATCH(ROW(Create_TC_Web!$C$1:$C$1510),ROW(Create_TC_Web!$C$1:$C$1510)),""),ROW(Create_TC_Web!B1080))),"")</f>
        <v/>
      </c>
      <c r="P1055" s="17"/>
    </row>
    <row r="1056" spans="1:16">
      <c r="A1056" t="str" cm="1">
        <f t="array" ref="A1056">IFERROR(INDEX(Create_TC_Web!D$1:D$1510,SMALL(IF(Create_TC_Web!$C$1:$C$1510&lt;&gt;"",MATCH(ROW(Create_TC_Web!$C$1:$C$1510),ROW(Create_TC_Web!$C$1:$C$1510)),""),ROW(Create_TC_Web!B1081))),"")</f>
        <v/>
      </c>
      <c r="P1056" s="17"/>
    </row>
    <row r="1057" spans="1:16">
      <c r="A1057" t="str" cm="1">
        <f t="array" ref="A1057">IFERROR(INDEX(Create_TC_Web!D$1:D$1510,SMALL(IF(Create_TC_Web!$C$1:$C$1510&lt;&gt;"",MATCH(ROW(Create_TC_Web!$C$1:$C$1510),ROW(Create_TC_Web!$C$1:$C$1510)),""),ROW(Create_TC_Web!B1082))),"")</f>
        <v/>
      </c>
      <c r="P1057" s="17"/>
    </row>
    <row r="1058" spans="1:16">
      <c r="A1058" t="str" cm="1">
        <f t="array" ref="A1058">IFERROR(INDEX(Create_TC_Web!D$1:D$1510,SMALL(IF(Create_TC_Web!$C$1:$C$1510&lt;&gt;"",MATCH(ROW(Create_TC_Web!$C$1:$C$1510),ROW(Create_TC_Web!$C$1:$C$1510)),""),ROW(Create_TC_Web!B1083))),"")</f>
        <v/>
      </c>
      <c r="P1058" s="17"/>
    </row>
    <row r="1059" spans="1:16">
      <c r="A1059" t="str" cm="1">
        <f t="array" ref="A1059">IFERROR(INDEX(Create_TC_Web!D$1:D$1510,SMALL(IF(Create_TC_Web!$C$1:$C$1510&lt;&gt;"",MATCH(ROW(Create_TC_Web!$C$1:$C$1510),ROW(Create_TC_Web!$C$1:$C$1510)),""),ROW(Create_TC_Web!B1084))),"")</f>
        <v/>
      </c>
      <c r="P1059" s="17"/>
    </row>
    <row r="1060" spans="1:16">
      <c r="A1060" t="str" cm="1">
        <f t="array" ref="A1060">IFERROR(INDEX(Create_TC_Web!D$1:D$1510,SMALL(IF(Create_TC_Web!$C$1:$C$1510&lt;&gt;"",MATCH(ROW(Create_TC_Web!$C$1:$C$1510),ROW(Create_TC_Web!$C$1:$C$1510)),""),ROW(Create_TC_Web!B1085))),"")</f>
        <v/>
      </c>
      <c r="P1060" s="17"/>
    </row>
    <row r="1061" spans="1:16">
      <c r="A1061" t="str" cm="1">
        <f t="array" ref="A1061">IFERROR(INDEX(Create_TC_Web!D$1:D$1510,SMALL(IF(Create_TC_Web!$C$1:$C$1510&lt;&gt;"",MATCH(ROW(Create_TC_Web!$C$1:$C$1510),ROW(Create_TC_Web!$C$1:$C$1510)),""),ROW(Create_TC_Web!B1086))),"")</f>
        <v/>
      </c>
      <c r="P1061" s="17"/>
    </row>
    <row r="1062" spans="1:16">
      <c r="A1062" t="str" cm="1">
        <f t="array" ref="A1062">IFERROR(INDEX(Create_TC_Web!D$1:D$1510,SMALL(IF(Create_TC_Web!$C$1:$C$1510&lt;&gt;"",MATCH(ROW(Create_TC_Web!$C$1:$C$1510),ROW(Create_TC_Web!$C$1:$C$1510)),""),ROW(Create_TC_Web!B1087))),"")</f>
        <v/>
      </c>
      <c r="P1062" s="17"/>
    </row>
    <row r="1063" spans="1:16">
      <c r="A1063" t="str" cm="1">
        <f t="array" ref="A1063">IFERROR(INDEX(Create_TC_Web!D$1:D$1510,SMALL(IF(Create_TC_Web!$C$1:$C$1510&lt;&gt;"",MATCH(ROW(Create_TC_Web!$C$1:$C$1510),ROW(Create_TC_Web!$C$1:$C$1510)),""),ROW(Create_TC_Web!B1088))),"")</f>
        <v/>
      </c>
      <c r="P1063" s="17"/>
    </row>
    <row r="1064" spans="1:16">
      <c r="A1064" t="str" cm="1">
        <f t="array" ref="A1064">IFERROR(INDEX(Create_TC_Web!D$1:D$1510,SMALL(IF(Create_TC_Web!$C$1:$C$1510&lt;&gt;"",MATCH(ROW(Create_TC_Web!$C$1:$C$1510),ROW(Create_TC_Web!$C$1:$C$1510)),""),ROW(Create_TC_Web!B1089))),"")</f>
        <v/>
      </c>
      <c r="P1064" s="17"/>
    </row>
    <row r="1065" spans="1:16">
      <c r="A1065" t="str" cm="1">
        <f t="array" ref="A1065">IFERROR(INDEX(Create_TC_Web!D$1:D$1510,SMALL(IF(Create_TC_Web!$C$1:$C$1510&lt;&gt;"",MATCH(ROW(Create_TC_Web!$C$1:$C$1510),ROW(Create_TC_Web!$C$1:$C$1510)),""),ROW(Create_TC_Web!B1090))),"")</f>
        <v/>
      </c>
      <c r="P1065" s="17"/>
    </row>
    <row r="1066" spans="1:16">
      <c r="A1066" t="str" cm="1">
        <f t="array" ref="A1066">IFERROR(INDEX(Create_TC_Web!D$1:D$1510,SMALL(IF(Create_TC_Web!$C$1:$C$1510&lt;&gt;"",MATCH(ROW(Create_TC_Web!$C$1:$C$1510),ROW(Create_TC_Web!$C$1:$C$1510)),""),ROW(Create_TC_Web!B1091))),"")</f>
        <v/>
      </c>
      <c r="P1066" s="17"/>
    </row>
    <row r="1067" spans="1:16">
      <c r="A1067" t="str" cm="1">
        <f t="array" ref="A1067">IFERROR(INDEX(Create_TC_Web!D$1:D$1510,SMALL(IF(Create_TC_Web!$C$1:$C$1510&lt;&gt;"",MATCH(ROW(Create_TC_Web!$C$1:$C$1510),ROW(Create_TC_Web!$C$1:$C$1510)),""),ROW(Create_TC_Web!B1092))),"")</f>
        <v/>
      </c>
      <c r="P1067" s="17"/>
    </row>
    <row r="1068" spans="1:16">
      <c r="A1068" t="str" cm="1">
        <f t="array" ref="A1068">IFERROR(INDEX(Create_TC_Web!D$1:D$1510,SMALL(IF(Create_TC_Web!$C$1:$C$1510&lt;&gt;"",MATCH(ROW(Create_TC_Web!$C$1:$C$1510),ROW(Create_TC_Web!$C$1:$C$1510)),""),ROW(Create_TC_Web!B1093))),"")</f>
        <v/>
      </c>
      <c r="P1068" s="17"/>
    </row>
    <row r="1069" spans="1:16">
      <c r="A1069" t="str" cm="1">
        <f t="array" ref="A1069">IFERROR(INDEX(Create_TC_Web!D$1:D$1510,SMALL(IF(Create_TC_Web!$C$1:$C$1510&lt;&gt;"",MATCH(ROW(Create_TC_Web!$C$1:$C$1510),ROW(Create_TC_Web!$C$1:$C$1510)),""),ROW(Create_TC_Web!B1094))),"")</f>
        <v/>
      </c>
      <c r="P1069" s="17"/>
    </row>
    <row r="1070" spans="1:16">
      <c r="A1070" t="str" cm="1">
        <f t="array" ref="A1070">IFERROR(INDEX(Create_TC_Web!D$1:D$1510,SMALL(IF(Create_TC_Web!$C$1:$C$1510&lt;&gt;"",MATCH(ROW(Create_TC_Web!$C$1:$C$1510),ROW(Create_TC_Web!$C$1:$C$1510)),""),ROW(Create_TC_Web!B1095))),"")</f>
        <v/>
      </c>
      <c r="P1070" s="17"/>
    </row>
    <row r="1071" spans="1:16">
      <c r="A1071" t="str" cm="1">
        <f t="array" ref="A1071">IFERROR(INDEX(Create_TC_Web!D$1:D$1510,SMALL(IF(Create_TC_Web!$C$1:$C$1510&lt;&gt;"",MATCH(ROW(Create_TC_Web!$C$1:$C$1510),ROW(Create_TC_Web!$C$1:$C$1510)),""),ROW(Create_TC_Web!B1096))),"")</f>
        <v/>
      </c>
      <c r="P1071" s="17"/>
    </row>
    <row r="1072" spans="1:16">
      <c r="A1072" t="str" cm="1">
        <f t="array" ref="A1072">IFERROR(INDEX(Create_TC_Web!D$1:D$1510,SMALL(IF(Create_TC_Web!$C$1:$C$1510&lt;&gt;"",MATCH(ROW(Create_TC_Web!$C$1:$C$1510),ROW(Create_TC_Web!$C$1:$C$1510)),""),ROW(Create_TC_Web!B1097))),"")</f>
        <v/>
      </c>
      <c r="P1072" s="17"/>
    </row>
    <row r="1073" spans="1:16">
      <c r="A1073" t="str" cm="1">
        <f t="array" ref="A1073">IFERROR(INDEX(Create_TC_Web!D$1:D$1510,SMALL(IF(Create_TC_Web!$C$1:$C$1510&lt;&gt;"",MATCH(ROW(Create_TC_Web!$C$1:$C$1510),ROW(Create_TC_Web!$C$1:$C$1510)),""),ROW(Create_TC_Web!B1098))),"")</f>
        <v/>
      </c>
      <c r="P1073" s="17"/>
    </row>
    <row r="1074" spans="1:16">
      <c r="A1074" t="str" cm="1">
        <f t="array" ref="A1074">IFERROR(INDEX(Create_TC_Web!D$1:D$1510,SMALL(IF(Create_TC_Web!$C$1:$C$1510&lt;&gt;"",MATCH(ROW(Create_TC_Web!$C$1:$C$1510),ROW(Create_TC_Web!$C$1:$C$1510)),""),ROW(Create_TC_Web!B1099))),"")</f>
        <v/>
      </c>
      <c r="P1074" s="17"/>
    </row>
    <row r="1075" spans="1:16">
      <c r="A1075" t="str" cm="1">
        <f t="array" ref="A1075">IFERROR(INDEX(Create_TC_Web!D$1:D$1510,SMALL(IF(Create_TC_Web!$C$1:$C$1510&lt;&gt;"",MATCH(ROW(Create_TC_Web!$C$1:$C$1510),ROW(Create_TC_Web!$C$1:$C$1510)),""),ROW(Create_TC_Web!B1100))),"")</f>
        <v/>
      </c>
      <c r="P1075" s="17"/>
    </row>
    <row r="1076" spans="1:16">
      <c r="A1076" t="str" cm="1">
        <f t="array" ref="A1076">IFERROR(INDEX(Create_TC_Web!D$1:D$1510,SMALL(IF(Create_TC_Web!$C$1:$C$1510&lt;&gt;"",MATCH(ROW(Create_TC_Web!$C$1:$C$1510),ROW(Create_TC_Web!$C$1:$C$1510)),""),ROW(Create_TC_Web!B1101))),"")</f>
        <v/>
      </c>
      <c r="P1076" s="17"/>
    </row>
    <row r="1077" spans="1:16">
      <c r="A1077" t="str" cm="1">
        <f t="array" ref="A1077">IFERROR(INDEX(Create_TC_Web!D$1:D$1510,SMALL(IF(Create_TC_Web!$C$1:$C$1510&lt;&gt;"",MATCH(ROW(Create_TC_Web!$C$1:$C$1510),ROW(Create_TC_Web!$C$1:$C$1510)),""),ROW(Create_TC_Web!B1102))),"")</f>
        <v/>
      </c>
      <c r="P1077" s="17"/>
    </row>
    <row r="1078" spans="1:16">
      <c r="A1078" t="str" cm="1">
        <f t="array" ref="A1078">IFERROR(INDEX(Create_TC_Web!D$1:D$1510,SMALL(IF(Create_TC_Web!$C$1:$C$1510&lt;&gt;"",MATCH(ROW(Create_TC_Web!$C$1:$C$1510),ROW(Create_TC_Web!$C$1:$C$1510)),""),ROW(Create_TC_Web!B1103))),"")</f>
        <v/>
      </c>
      <c r="P1078" s="17"/>
    </row>
    <row r="1079" spans="1:16">
      <c r="A1079" t="str" cm="1">
        <f t="array" ref="A1079">IFERROR(INDEX(Create_TC_Web!D$1:D$1510,SMALL(IF(Create_TC_Web!$C$1:$C$1510&lt;&gt;"",MATCH(ROW(Create_TC_Web!$C$1:$C$1510),ROW(Create_TC_Web!$C$1:$C$1510)),""),ROW(Create_TC_Web!B1104))),"")</f>
        <v/>
      </c>
      <c r="P1079" s="17"/>
    </row>
    <row r="1080" spans="1:16">
      <c r="A1080" t="str" cm="1">
        <f t="array" ref="A1080">IFERROR(INDEX(Create_TC_Web!D$1:D$1510,SMALL(IF(Create_TC_Web!$C$1:$C$1510&lt;&gt;"",MATCH(ROW(Create_TC_Web!$C$1:$C$1510),ROW(Create_TC_Web!$C$1:$C$1510)),""),ROW(Create_TC_Web!B1105))),"")</f>
        <v/>
      </c>
      <c r="P1080" s="17"/>
    </row>
    <row r="1081" spans="1:16">
      <c r="A1081" t="str" cm="1">
        <f t="array" ref="A1081">IFERROR(INDEX(Create_TC_Web!D$1:D$1510,SMALL(IF(Create_TC_Web!$C$1:$C$1510&lt;&gt;"",MATCH(ROW(Create_TC_Web!$C$1:$C$1510),ROW(Create_TC_Web!$C$1:$C$1510)),""),ROW(Create_TC_Web!B1106))),"")</f>
        <v/>
      </c>
      <c r="P1081" s="17"/>
    </row>
    <row r="1082" spans="1:16">
      <c r="A1082" t="str" cm="1">
        <f t="array" ref="A1082">IFERROR(INDEX(Create_TC_Web!D$1:D$1510,SMALL(IF(Create_TC_Web!$C$1:$C$1510&lt;&gt;"",MATCH(ROW(Create_TC_Web!$C$1:$C$1510),ROW(Create_TC_Web!$C$1:$C$1510)),""),ROW(Create_TC_Web!B1107))),"")</f>
        <v/>
      </c>
      <c r="P1082" s="17"/>
    </row>
    <row r="1083" spans="1:16">
      <c r="A1083" t="str" cm="1">
        <f t="array" ref="A1083">IFERROR(INDEX(Create_TC_Web!D$1:D$1510,SMALL(IF(Create_TC_Web!$C$1:$C$1510&lt;&gt;"",MATCH(ROW(Create_TC_Web!$C$1:$C$1510),ROW(Create_TC_Web!$C$1:$C$1510)),""),ROW(Create_TC_Web!B1108))),"")</f>
        <v/>
      </c>
      <c r="P1083" s="17"/>
    </row>
    <row r="1084" spans="1:16">
      <c r="A1084" t="str" cm="1">
        <f t="array" ref="A1084">IFERROR(INDEX(Create_TC_Web!D$1:D$1510,SMALL(IF(Create_TC_Web!$C$1:$C$1510&lt;&gt;"",MATCH(ROW(Create_TC_Web!$C$1:$C$1510),ROW(Create_TC_Web!$C$1:$C$1510)),""),ROW(Create_TC_Web!B1109))),"")</f>
        <v/>
      </c>
      <c r="P1084" s="17"/>
    </row>
    <row r="1085" spans="1:16">
      <c r="A1085" t="str" cm="1">
        <f t="array" ref="A1085">IFERROR(INDEX(Create_TC_Web!D$1:D$1510,SMALL(IF(Create_TC_Web!$C$1:$C$1510&lt;&gt;"",MATCH(ROW(Create_TC_Web!$C$1:$C$1510),ROW(Create_TC_Web!$C$1:$C$1510)),""),ROW(Create_TC_Web!B1110))),"")</f>
        <v/>
      </c>
      <c r="P1085" s="17"/>
    </row>
    <row r="1086" spans="1:16">
      <c r="A1086" t="str" cm="1">
        <f t="array" ref="A1086">IFERROR(INDEX(Create_TC_Web!D$1:D$1510,SMALL(IF(Create_TC_Web!$C$1:$C$1510&lt;&gt;"",MATCH(ROW(Create_TC_Web!$C$1:$C$1510),ROW(Create_TC_Web!$C$1:$C$1510)),""),ROW(Create_TC_Web!B1111))),"")</f>
        <v/>
      </c>
      <c r="P1086" s="17"/>
    </row>
    <row r="1087" spans="1:16">
      <c r="A1087" t="str" cm="1">
        <f t="array" ref="A1087">IFERROR(INDEX(Create_TC_Web!D$1:D$1510,SMALL(IF(Create_TC_Web!$C$1:$C$1510&lt;&gt;"",MATCH(ROW(Create_TC_Web!$C$1:$C$1510),ROW(Create_TC_Web!$C$1:$C$1510)),""),ROW(Create_TC_Web!B1112))),"")</f>
        <v/>
      </c>
      <c r="P1087" s="17"/>
    </row>
    <row r="1088" spans="1:16">
      <c r="A1088" t="str" cm="1">
        <f t="array" ref="A1088">IFERROR(INDEX(Create_TC_Web!D$1:D$1510,SMALL(IF(Create_TC_Web!$C$1:$C$1510&lt;&gt;"",MATCH(ROW(Create_TC_Web!$C$1:$C$1510),ROW(Create_TC_Web!$C$1:$C$1510)),""),ROW(Create_TC_Web!B1113))),"")</f>
        <v/>
      </c>
      <c r="P1088" s="17"/>
    </row>
    <row r="1089" spans="1:16">
      <c r="A1089" t="str" cm="1">
        <f t="array" ref="A1089">IFERROR(INDEX(Create_TC_Web!D$1:D$1510,SMALL(IF(Create_TC_Web!$C$1:$C$1510&lt;&gt;"",MATCH(ROW(Create_TC_Web!$C$1:$C$1510),ROW(Create_TC_Web!$C$1:$C$1510)),""),ROW(Create_TC_Web!B1114))),"")</f>
        <v/>
      </c>
      <c r="P1089" s="17"/>
    </row>
    <row r="1090" spans="1:16">
      <c r="A1090" t="str" cm="1">
        <f t="array" ref="A1090">IFERROR(INDEX(Create_TC_Web!D$1:D$1510,SMALL(IF(Create_TC_Web!$C$1:$C$1510&lt;&gt;"",MATCH(ROW(Create_TC_Web!$C$1:$C$1510),ROW(Create_TC_Web!$C$1:$C$1510)),""),ROW(Create_TC_Web!B1115))),"")</f>
        <v/>
      </c>
      <c r="P1090" s="17"/>
    </row>
    <row r="1091" spans="1:16">
      <c r="A1091" t="str" cm="1">
        <f t="array" ref="A1091">IFERROR(INDEX(Create_TC_Web!D$1:D$1510,SMALL(IF(Create_TC_Web!$C$1:$C$1510&lt;&gt;"",MATCH(ROW(Create_TC_Web!$C$1:$C$1510),ROW(Create_TC_Web!$C$1:$C$1510)),""),ROW(Create_TC_Web!B1116))),"")</f>
        <v/>
      </c>
      <c r="P1091" s="17"/>
    </row>
    <row r="1092" spans="1:16">
      <c r="A1092" t="str" cm="1">
        <f t="array" ref="A1092">IFERROR(INDEX(Create_TC_Web!D$1:D$1510,SMALL(IF(Create_TC_Web!$C$1:$C$1510&lt;&gt;"",MATCH(ROW(Create_TC_Web!$C$1:$C$1510),ROW(Create_TC_Web!$C$1:$C$1510)),""),ROW(Create_TC_Web!B1117))),"")</f>
        <v/>
      </c>
      <c r="P1092" s="17"/>
    </row>
    <row r="1093" spans="1:16">
      <c r="A1093" t="str" cm="1">
        <f t="array" ref="A1093">IFERROR(INDEX(Create_TC_Web!D$1:D$1510,SMALL(IF(Create_TC_Web!$C$1:$C$1510&lt;&gt;"",MATCH(ROW(Create_TC_Web!$C$1:$C$1510),ROW(Create_TC_Web!$C$1:$C$1510)),""),ROW(Create_TC_Web!B1118))),"")</f>
        <v/>
      </c>
      <c r="P1093" s="17"/>
    </row>
    <row r="1094" spans="1:16">
      <c r="A1094" t="str" cm="1">
        <f t="array" ref="A1094">IFERROR(INDEX(Create_TC_Web!D$1:D$1510,SMALL(IF(Create_TC_Web!$C$1:$C$1510&lt;&gt;"",MATCH(ROW(Create_TC_Web!$C$1:$C$1510),ROW(Create_TC_Web!$C$1:$C$1510)),""),ROW(Create_TC_Web!B1119))),"")</f>
        <v/>
      </c>
      <c r="P1094" s="17"/>
    </row>
    <row r="1095" spans="1:16">
      <c r="A1095" t="str" cm="1">
        <f t="array" ref="A1095">IFERROR(INDEX(Create_TC_Web!D$1:D$1510,SMALL(IF(Create_TC_Web!$C$1:$C$1510&lt;&gt;"",MATCH(ROW(Create_TC_Web!$C$1:$C$1510),ROW(Create_TC_Web!$C$1:$C$1510)),""),ROW(Create_TC_Web!B1120))),"")</f>
        <v/>
      </c>
      <c r="P1095" s="17"/>
    </row>
    <row r="1096" spans="1:16">
      <c r="A1096" t="str" cm="1">
        <f t="array" ref="A1096">IFERROR(INDEX(Create_TC_Web!D$1:D$1510,SMALL(IF(Create_TC_Web!$C$1:$C$1510&lt;&gt;"",MATCH(ROW(Create_TC_Web!$C$1:$C$1510),ROW(Create_TC_Web!$C$1:$C$1510)),""),ROW(Create_TC_Web!B1121))),"")</f>
        <v/>
      </c>
      <c r="P1096" s="17"/>
    </row>
    <row r="1097" spans="1:16">
      <c r="A1097" t="str" cm="1">
        <f t="array" ref="A1097">IFERROR(INDEX(Create_TC_Web!D$1:D$1510,SMALL(IF(Create_TC_Web!$C$1:$C$1510&lt;&gt;"",MATCH(ROW(Create_TC_Web!$C$1:$C$1510),ROW(Create_TC_Web!$C$1:$C$1510)),""),ROW(Create_TC_Web!B1122))),"")</f>
        <v/>
      </c>
      <c r="P1097" s="17"/>
    </row>
    <row r="1098" spans="1:16">
      <c r="A1098" t="str" cm="1">
        <f t="array" ref="A1098">IFERROR(INDEX(Create_TC_Web!D$1:D$1510,SMALL(IF(Create_TC_Web!$C$1:$C$1510&lt;&gt;"",MATCH(ROW(Create_TC_Web!$C$1:$C$1510),ROW(Create_TC_Web!$C$1:$C$1510)),""),ROW(Create_TC_Web!B1123))),"")</f>
        <v/>
      </c>
      <c r="P1098" s="17"/>
    </row>
    <row r="1099" spans="1:16">
      <c r="A1099" t="str" cm="1">
        <f t="array" ref="A1099">IFERROR(INDEX(Create_TC_Web!D$1:D$1510,SMALL(IF(Create_TC_Web!$C$1:$C$1510&lt;&gt;"",MATCH(ROW(Create_TC_Web!$C$1:$C$1510),ROW(Create_TC_Web!$C$1:$C$1510)),""),ROW(Create_TC_Web!B1124))),"")</f>
        <v/>
      </c>
      <c r="P1099" s="17"/>
    </row>
    <row r="1100" spans="1:16">
      <c r="A1100" t="str" cm="1">
        <f t="array" ref="A1100">IFERROR(INDEX(Create_TC_Web!D$1:D$1510,SMALL(IF(Create_TC_Web!$C$1:$C$1510&lt;&gt;"",MATCH(ROW(Create_TC_Web!$C$1:$C$1510),ROW(Create_TC_Web!$C$1:$C$1510)),""),ROW(Create_TC_Web!B1125))),"")</f>
        <v/>
      </c>
      <c r="P1100" s="17"/>
    </row>
    <row r="1101" spans="1:16">
      <c r="A1101" t="str" cm="1">
        <f t="array" ref="A1101">IFERROR(INDEX(Create_TC_Web!D$1:D$1510,SMALL(IF(Create_TC_Web!$C$1:$C$1510&lt;&gt;"",MATCH(ROW(Create_TC_Web!$C$1:$C$1510),ROW(Create_TC_Web!$C$1:$C$1510)),""),ROW(Create_TC_Web!B1126))),"")</f>
        <v/>
      </c>
      <c r="P1101" s="17"/>
    </row>
    <row r="1102" spans="1:16">
      <c r="A1102" t="str" cm="1">
        <f t="array" ref="A1102">IFERROR(INDEX(Create_TC_Web!D$1:D$1510,SMALL(IF(Create_TC_Web!$C$1:$C$1510&lt;&gt;"",MATCH(ROW(Create_TC_Web!$C$1:$C$1510),ROW(Create_TC_Web!$C$1:$C$1510)),""),ROW(Create_TC_Web!B1127))),"")</f>
        <v/>
      </c>
      <c r="P1102" s="17"/>
    </row>
    <row r="1103" spans="1:16">
      <c r="A1103" t="str" cm="1">
        <f t="array" ref="A1103">IFERROR(INDEX(Create_TC_Web!D$1:D$1510,SMALL(IF(Create_TC_Web!$C$1:$C$1510&lt;&gt;"",MATCH(ROW(Create_TC_Web!$C$1:$C$1510),ROW(Create_TC_Web!$C$1:$C$1510)),""),ROW(Create_TC_Web!B1128))),"")</f>
        <v/>
      </c>
      <c r="P1103" s="17"/>
    </row>
    <row r="1104" spans="1:16">
      <c r="A1104" t="str" cm="1">
        <f t="array" ref="A1104">IFERROR(INDEX(Create_TC_Web!D$1:D$1510,SMALL(IF(Create_TC_Web!$C$1:$C$1510&lt;&gt;"",MATCH(ROW(Create_TC_Web!$C$1:$C$1510),ROW(Create_TC_Web!$C$1:$C$1510)),""),ROW(Create_TC_Web!B1129))),"")</f>
        <v/>
      </c>
      <c r="P1104" s="17"/>
    </row>
    <row r="1105" spans="1:16">
      <c r="A1105" t="str" cm="1">
        <f t="array" ref="A1105">IFERROR(INDEX(Create_TC_Web!D$1:D$1510,SMALL(IF(Create_TC_Web!$C$1:$C$1510&lt;&gt;"",MATCH(ROW(Create_TC_Web!$C$1:$C$1510),ROW(Create_TC_Web!$C$1:$C$1510)),""),ROW(Create_TC_Web!B1130))),"")</f>
        <v/>
      </c>
      <c r="P1105" s="17"/>
    </row>
    <row r="1106" spans="1:16">
      <c r="A1106" t="str" cm="1">
        <f t="array" ref="A1106">IFERROR(INDEX(Create_TC_Web!D$1:D$1510,SMALL(IF(Create_TC_Web!$C$1:$C$1510&lt;&gt;"",MATCH(ROW(Create_TC_Web!$C$1:$C$1510),ROW(Create_TC_Web!$C$1:$C$1510)),""),ROW(Create_TC_Web!B1131))),"")</f>
        <v/>
      </c>
      <c r="P1106" s="17"/>
    </row>
    <row r="1107" spans="1:16">
      <c r="A1107" t="str" cm="1">
        <f t="array" ref="A1107">IFERROR(INDEX(Create_TC_Web!D$1:D$1510,SMALL(IF(Create_TC_Web!$C$1:$C$1510&lt;&gt;"",MATCH(ROW(Create_TC_Web!$C$1:$C$1510),ROW(Create_TC_Web!$C$1:$C$1510)),""),ROW(Create_TC_Web!B1132))),"")</f>
        <v/>
      </c>
      <c r="P1107" s="17"/>
    </row>
    <row r="1108" spans="1:16">
      <c r="A1108" t="str" cm="1">
        <f t="array" ref="A1108">IFERROR(INDEX(Create_TC_Web!D$1:D$1510,SMALL(IF(Create_TC_Web!$C$1:$C$1510&lt;&gt;"",MATCH(ROW(Create_TC_Web!$C$1:$C$1510),ROW(Create_TC_Web!$C$1:$C$1510)),""),ROW(Create_TC_Web!B1133))),"")</f>
        <v/>
      </c>
      <c r="P1108" s="17"/>
    </row>
    <row r="1109" spans="1:16">
      <c r="A1109" t="str" cm="1">
        <f t="array" ref="A1109">IFERROR(INDEX(Create_TC_Web!D$1:D$1510,SMALL(IF(Create_TC_Web!$C$1:$C$1510&lt;&gt;"",MATCH(ROW(Create_TC_Web!$C$1:$C$1510),ROW(Create_TC_Web!$C$1:$C$1510)),""),ROW(Create_TC_Web!B1134))),"")</f>
        <v/>
      </c>
      <c r="P1109" s="17"/>
    </row>
    <row r="1110" spans="1:16">
      <c r="A1110" t="str" cm="1">
        <f t="array" ref="A1110">IFERROR(INDEX(Create_TC_Web!D$1:D$1510,SMALL(IF(Create_TC_Web!$C$1:$C$1510&lt;&gt;"",MATCH(ROW(Create_TC_Web!$C$1:$C$1510),ROW(Create_TC_Web!$C$1:$C$1510)),""),ROW(Create_TC_Web!B1135))),"")</f>
        <v/>
      </c>
      <c r="P1110" s="17"/>
    </row>
    <row r="1111" spans="1:16">
      <c r="A1111" t="str" cm="1">
        <f t="array" ref="A1111">IFERROR(INDEX(Create_TC_Web!D$1:D$1510,SMALL(IF(Create_TC_Web!$C$1:$C$1510&lt;&gt;"",MATCH(ROW(Create_TC_Web!$C$1:$C$1510),ROW(Create_TC_Web!$C$1:$C$1510)),""),ROW(Create_TC_Web!B1136))),"")</f>
        <v/>
      </c>
      <c r="P1111" s="17"/>
    </row>
    <row r="1112" spans="1:16">
      <c r="A1112" t="str" cm="1">
        <f t="array" ref="A1112">IFERROR(INDEX(Create_TC_Web!D$1:D$1510,SMALL(IF(Create_TC_Web!$C$1:$C$1510&lt;&gt;"",MATCH(ROW(Create_TC_Web!$C$1:$C$1510),ROW(Create_TC_Web!$C$1:$C$1510)),""),ROW(Create_TC_Web!B1137))),"")</f>
        <v/>
      </c>
      <c r="P1112" s="17"/>
    </row>
    <row r="1113" spans="1:16">
      <c r="A1113" t="str" cm="1">
        <f t="array" ref="A1113">IFERROR(INDEX(Create_TC_Web!D$1:D$1510,SMALL(IF(Create_TC_Web!$C$1:$C$1510&lt;&gt;"",MATCH(ROW(Create_TC_Web!$C$1:$C$1510),ROW(Create_TC_Web!$C$1:$C$1510)),""),ROW(Create_TC_Web!B1138))),"")</f>
        <v/>
      </c>
      <c r="P1113" s="17"/>
    </row>
    <row r="1114" spans="1:16">
      <c r="A1114" t="str" cm="1">
        <f t="array" ref="A1114">IFERROR(INDEX(Create_TC_Web!D$1:D$1510,SMALL(IF(Create_TC_Web!$C$1:$C$1510&lt;&gt;"",MATCH(ROW(Create_TC_Web!$C$1:$C$1510),ROW(Create_TC_Web!$C$1:$C$1510)),""),ROW(Create_TC_Web!B1139))),"")</f>
        <v/>
      </c>
      <c r="P1114" s="17"/>
    </row>
    <row r="1115" spans="1:16">
      <c r="A1115" t="str" cm="1">
        <f t="array" ref="A1115">IFERROR(INDEX(Create_TC_Web!D$1:D$1510,SMALL(IF(Create_TC_Web!$C$1:$C$1510&lt;&gt;"",MATCH(ROW(Create_TC_Web!$C$1:$C$1510),ROW(Create_TC_Web!$C$1:$C$1510)),""),ROW(Create_TC_Web!B1140))),"")</f>
        <v/>
      </c>
      <c r="P1115" s="17"/>
    </row>
    <row r="1116" spans="1:16">
      <c r="A1116" t="str" cm="1">
        <f t="array" ref="A1116">IFERROR(INDEX(Create_TC_Web!D$1:D$1510,SMALL(IF(Create_TC_Web!$C$1:$C$1510&lt;&gt;"",MATCH(ROW(Create_TC_Web!$C$1:$C$1510),ROW(Create_TC_Web!$C$1:$C$1510)),""),ROW(Create_TC_Web!B1141))),"")</f>
        <v/>
      </c>
      <c r="P1116" s="17"/>
    </row>
    <row r="1117" spans="1:16">
      <c r="A1117" t="str" cm="1">
        <f t="array" ref="A1117">IFERROR(INDEX(Create_TC_Web!D$1:D$1510,SMALL(IF(Create_TC_Web!$C$1:$C$1510&lt;&gt;"",MATCH(ROW(Create_TC_Web!$C$1:$C$1510),ROW(Create_TC_Web!$C$1:$C$1510)),""),ROW(Create_TC_Web!B1142))),"")</f>
        <v/>
      </c>
      <c r="P1117" s="17"/>
    </row>
    <row r="1118" spans="1:16">
      <c r="A1118" t="str" cm="1">
        <f t="array" ref="A1118">IFERROR(INDEX(Create_TC_Web!D$1:D$1510,SMALL(IF(Create_TC_Web!$C$1:$C$1510&lt;&gt;"",MATCH(ROW(Create_TC_Web!$C$1:$C$1510),ROW(Create_TC_Web!$C$1:$C$1510)),""),ROW(Create_TC_Web!B1143))),"")</f>
        <v/>
      </c>
      <c r="P1118" s="17"/>
    </row>
    <row r="1119" spans="1:16">
      <c r="A1119" t="str" cm="1">
        <f t="array" ref="A1119">IFERROR(INDEX(Create_TC_Web!D$1:D$1510,SMALL(IF(Create_TC_Web!$C$1:$C$1510&lt;&gt;"",MATCH(ROW(Create_TC_Web!$C$1:$C$1510),ROW(Create_TC_Web!$C$1:$C$1510)),""),ROW(Create_TC_Web!B1144))),"")</f>
        <v/>
      </c>
      <c r="P1119" s="17"/>
    </row>
    <row r="1120" spans="1:16">
      <c r="A1120" t="str" cm="1">
        <f t="array" ref="A1120">IFERROR(INDEX(Create_TC_Web!D$1:D$1510,SMALL(IF(Create_TC_Web!$C$1:$C$1510&lt;&gt;"",MATCH(ROW(Create_TC_Web!$C$1:$C$1510),ROW(Create_TC_Web!$C$1:$C$1510)),""),ROW(Create_TC_Web!B1145))),"")</f>
        <v/>
      </c>
      <c r="P1120" s="17"/>
    </row>
    <row r="1121" spans="1:16">
      <c r="A1121" t="str" cm="1">
        <f t="array" ref="A1121">IFERROR(INDEX(Create_TC_Web!D$1:D$1510,SMALL(IF(Create_TC_Web!$C$1:$C$1510&lt;&gt;"",MATCH(ROW(Create_TC_Web!$C$1:$C$1510),ROW(Create_TC_Web!$C$1:$C$1510)),""),ROW(Create_TC_Web!B1146))),"")</f>
        <v/>
      </c>
      <c r="P1121" s="17"/>
    </row>
    <row r="1122" spans="1:16">
      <c r="A1122" t="str" cm="1">
        <f t="array" ref="A1122">IFERROR(INDEX(Create_TC_Web!D$1:D$1510,SMALL(IF(Create_TC_Web!$C$1:$C$1510&lt;&gt;"",MATCH(ROW(Create_TC_Web!$C$1:$C$1510),ROW(Create_TC_Web!$C$1:$C$1510)),""),ROW(Create_TC_Web!B1147))),"")</f>
        <v/>
      </c>
      <c r="P1122" s="17"/>
    </row>
    <row r="1123" spans="1:16">
      <c r="A1123" t="str" cm="1">
        <f t="array" ref="A1123">IFERROR(INDEX(Create_TC_Web!D$1:D$1510,SMALL(IF(Create_TC_Web!$C$1:$C$1510&lt;&gt;"",MATCH(ROW(Create_TC_Web!$C$1:$C$1510),ROW(Create_TC_Web!$C$1:$C$1510)),""),ROW(Create_TC_Web!B1148))),"")</f>
        <v/>
      </c>
      <c r="P1123" s="17"/>
    </row>
    <row r="1124" spans="1:16">
      <c r="A1124" t="str" cm="1">
        <f t="array" ref="A1124">IFERROR(INDEX(Create_TC_Web!D$1:D$1510,SMALL(IF(Create_TC_Web!$C$1:$C$1510&lt;&gt;"",MATCH(ROW(Create_TC_Web!$C$1:$C$1510),ROW(Create_TC_Web!$C$1:$C$1510)),""),ROW(Create_TC_Web!B1149))),"")</f>
        <v/>
      </c>
      <c r="P1124" s="17"/>
    </row>
    <row r="1125" spans="1:16">
      <c r="A1125" t="str" cm="1">
        <f t="array" ref="A1125">IFERROR(INDEX(Create_TC_Web!D$1:D$1510,SMALL(IF(Create_TC_Web!$C$1:$C$1510&lt;&gt;"",MATCH(ROW(Create_TC_Web!$C$1:$C$1510),ROW(Create_TC_Web!$C$1:$C$1510)),""),ROW(Create_TC_Web!B1150))),"")</f>
        <v/>
      </c>
      <c r="P1125" s="17"/>
    </row>
    <row r="1126" spans="1:16">
      <c r="A1126" t="str" cm="1">
        <f t="array" ref="A1126">IFERROR(INDEX(Create_TC_Web!D$1:D$1510,SMALL(IF(Create_TC_Web!$C$1:$C$1510&lt;&gt;"",MATCH(ROW(Create_TC_Web!$C$1:$C$1510),ROW(Create_TC_Web!$C$1:$C$1510)),""),ROW(Create_TC_Web!B1151))),"")</f>
        <v/>
      </c>
      <c r="P1126" s="17"/>
    </row>
    <row r="1127" spans="1:16">
      <c r="A1127" t="str" cm="1">
        <f t="array" ref="A1127">IFERROR(INDEX(Create_TC_Web!D$1:D$1510,SMALL(IF(Create_TC_Web!$C$1:$C$1510&lt;&gt;"",MATCH(ROW(Create_TC_Web!$C$1:$C$1510),ROW(Create_TC_Web!$C$1:$C$1510)),""),ROW(Create_TC_Web!B1152))),"")</f>
        <v/>
      </c>
      <c r="P1127" s="17"/>
    </row>
    <row r="1128" spans="1:16">
      <c r="A1128" t="str" cm="1">
        <f t="array" ref="A1128">IFERROR(INDEX(Create_TC_Web!D$1:D$1510,SMALL(IF(Create_TC_Web!$C$1:$C$1510&lt;&gt;"",MATCH(ROW(Create_TC_Web!$C$1:$C$1510),ROW(Create_TC_Web!$C$1:$C$1510)),""),ROW(Create_TC_Web!B1153))),"")</f>
        <v/>
      </c>
      <c r="P1128" s="17"/>
    </row>
    <row r="1129" spans="1:16">
      <c r="A1129" t="str" cm="1">
        <f t="array" ref="A1129">IFERROR(INDEX(Create_TC_Web!D$1:D$1510,SMALL(IF(Create_TC_Web!$C$1:$C$1510&lt;&gt;"",MATCH(ROW(Create_TC_Web!$C$1:$C$1510),ROW(Create_TC_Web!$C$1:$C$1510)),""),ROW(Create_TC_Web!B1154))),"")</f>
        <v/>
      </c>
      <c r="P1129" s="17"/>
    </row>
    <row r="1130" spans="1:16">
      <c r="A1130" t="str" cm="1">
        <f t="array" ref="A1130">IFERROR(INDEX(Create_TC_Web!D$1:D$1510,SMALL(IF(Create_TC_Web!$C$1:$C$1510&lt;&gt;"",MATCH(ROW(Create_TC_Web!$C$1:$C$1510),ROW(Create_TC_Web!$C$1:$C$1510)),""),ROW(Create_TC_Web!B1155))),"")</f>
        <v/>
      </c>
      <c r="P1130" s="17"/>
    </row>
    <row r="1131" spans="1:16">
      <c r="A1131" t="str" cm="1">
        <f t="array" ref="A1131">IFERROR(INDEX(Create_TC_Web!D$1:D$1510,SMALL(IF(Create_TC_Web!$C$1:$C$1510&lt;&gt;"",MATCH(ROW(Create_TC_Web!$C$1:$C$1510),ROW(Create_TC_Web!$C$1:$C$1510)),""),ROW(Create_TC_Web!B1156))),"")</f>
        <v/>
      </c>
      <c r="P1131" s="17"/>
    </row>
    <row r="1132" spans="1:16">
      <c r="A1132" t="str" cm="1">
        <f t="array" ref="A1132">IFERROR(INDEX(Create_TC_Web!D$1:D$1510,SMALL(IF(Create_TC_Web!$C$1:$C$1510&lt;&gt;"",MATCH(ROW(Create_TC_Web!$C$1:$C$1510),ROW(Create_TC_Web!$C$1:$C$1510)),""),ROW(Create_TC_Web!B1157))),"")</f>
        <v/>
      </c>
      <c r="P1132" s="17"/>
    </row>
    <row r="1133" spans="1:16">
      <c r="A1133" t="str" cm="1">
        <f t="array" ref="A1133">IFERROR(INDEX(Create_TC_Web!D$1:D$1510,SMALL(IF(Create_TC_Web!$C$1:$C$1510&lt;&gt;"",MATCH(ROW(Create_TC_Web!$C$1:$C$1510),ROW(Create_TC_Web!$C$1:$C$1510)),""),ROW(Create_TC_Web!B1158))),"")</f>
        <v/>
      </c>
      <c r="P1133" s="17"/>
    </row>
    <row r="1134" spans="1:16">
      <c r="A1134" t="str" cm="1">
        <f t="array" ref="A1134">IFERROR(INDEX(Create_TC_Web!D$1:D$1510,SMALL(IF(Create_TC_Web!$C$1:$C$1510&lt;&gt;"",MATCH(ROW(Create_TC_Web!$C$1:$C$1510),ROW(Create_TC_Web!$C$1:$C$1510)),""),ROW(Create_TC_Web!B1159))),"")</f>
        <v/>
      </c>
      <c r="P1134" s="17"/>
    </row>
    <row r="1135" spans="1:16">
      <c r="A1135" t="str" cm="1">
        <f t="array" ref="A1135">IFERROR(INDEX(Create_TC_Web!D$1:D$1510,SMALL(IF(Create_TC_Web!$C$1:$C$1510&lt;&gt;"",MATCH(ROW(Create_TC_Web!$C$1:$C$1510),ROW(Create_TC_Web!$C$1:$C$1510)),""),ROW(Create_TC_Web!B1160))),"")</f>
        <v/>
      </c>
      <c r="P1135" s="17"/>
    </row>
    <row r="1136" spans="1:16">
      <c r="A1136" t="str" cm="1">
        <f t="array" ref="A1136">IFERROR(INDEX(Create_TC_Web!D$1:D$1510,SMALL(IF(Create_TC_Web!$C$1:$C$1510&lt;&gt;"",MATCH(ROW(Create_TC_Web!$C$1:$C$1510),ROW(Create_TC_Web!$C$1:$C$1510)),""),ROW(Create_TC_Web!B1161))),"")</f>
        <v/>
      </c>
      <c r="P1136" s="17"/>
    </row>
    <row r="1137" spans="1:16">
      <c r="A1137" t="str" cm="1">
        <f t="array" ref="A1137">IFERROR(INDEX(Create_TC_Web!D$1:D$1510,SMALL(IF(Create_TC_Web!$C$1:$C$1510&lt;&gt;"",MATCH(ROW(Create_TC_Web!$C$1:$C$1510),ROW(Create_TC_Web!$C$1:$C$1510)),""),ROW(Create_TC_Web!B1162))),"")</f>
        <v/>
      </c>
      <c r="P1137" s="17"/>
    </row>
    <row r="1138" spans="1:16">
      <c r="A1138" t="str" cm="1">
        <f t="array" ref="A1138">IFERROR(INDEX(Create_TC_Web!D$1:D$1510,SMALL(IF(Create_TC_Web!$C$1:$C$1510&lt;&gt;"",MATCH(ROW(Create_TC_Web!$C$1:$C$1510),ROW(Create_TC_Web!$C$1:$C$1510)),""),ROW(Create_TC_Web!B1163))),"")</f>
        <v/>
      </c>
      <c r="P1138" s="17"/>
    </row>
    <row r="1139" spans="1:16">
      <c r="A1139" t="str" cm="1">
        <f t="array" ref="A1139">IFERROR(INDEX(Create_TC_Web!D$1:D$1510,SMALL(IF(Create_TC_Web!$C$1:$C$1510&lt;&gt;"",MATCH(ROW(Create_TC_Web!$C$1:$C$1510),ROW(Create_TC_Web!$C$1:$C$1510)),""),ROW(Create_TC_Web!B1164))),"")</f>
        <v/>
      </c>
      <c r="P1139" s="17"/>
    </row>
    <row r="1140" spans="1:16">
      <c r="A1140" t="str" cm="1">
        <f t="array" ref="A1140">IFERROR(INDEX(Create_TC_Web!D$1:D$1510,SMALL(IF(Create_TC_Web!$C$1:$C$1510&lt;&gt;"",MATCH(ROW(Create_TC_Web!$C$1:$C$1510),ROW(Create_TC_Web!$C$1:$C$1510)),""),ROW(Create_TC_Web!B1165))),"")</f>
        <v/>
      </c>
      <c r="P1140" s="17"/>
    </row>
    <row r="1141" spans="1:16">
      <c r="A1141" t="str" cm="1">
        <f t="array" ref="A1141">IFERROR(INDEX(Create_TC_Web!D$1:D$1510,SMALL(IF(Create_TC_Web!$C$1:$C$1510&lt;&gt;"",MATCH(ROW(Create_TC_Web!$C$1:$C$1510),ROW(Create_TC_Web!$C$1:$C$1510)),""),ROW(Create_TC_Web!B1166))),"")</f>
        <v/>
      </c>
      <c r="P1141" s="17"/>
    </row>
    <row r="1142" spans="1:16">
      <c r="A1142" t="str" cm="1">
        <f t="array" ref="A1142">IFERROR(INDEX(Create_TC_Web!D$1:D$1510,SMALL(IF(Create_TC_Web!$C$1:$C$1510&lt;&gt;"",MATCH(ROW(Create_TC_Web!$C$1:$C$1510),ROW(Create_TC_Web!$C$1:$C$1510)),""),ROW(Create_TC_Web!B1167))),"")</f>
        <v/>
      </c>
      <c r="P1142" s="17"/>
    </row>
    <row r="1143" spans="1:16">
      <c r="A1143" t="str" cm="1">
        <f t="array" ref="A1143">IFERROR(INDEX(Create_TC_Web!D$1:D$1510,SMALL(IF(Create_TC_Web!$C$1:$C$1510&lt;&gt;"",MATCH(ROW(Create_TC_Web!$C$1:$C$1510),ROW(Create_TC_Web!$C$1:$C$1510)),""),ROW(Create_TC_Web!B1168))),"")</f>
        <v/>
      </c>
      <c r="P1143" s="17"/>
    </row>
    <row r="1144" spans="1:16">
      <c r="A1144" t="str" cm="1">
        <f t="array" ref="A1144">IFERROR(INDEX(Create_TC_Web!D$1:D$1510,SMALL(IF(Create_TC_Web!$C$1:$C$1510&lt;&gt;"",MATCH(ROW(Create_TC_Web!$C$1:$C$1510),ROW(Create_TC_Web!$C$1:$C$1510)),""),ROW(Create_TC_Web!B1169))),"")</f>
        <v/>
      </c>
      <c r="P1144" s="17"/>
    </row>
    <row r="1145" spans="1:16">
      <c r="A1145" t="str" cm="1">
        <f t="array" ref="A1145">IFERROR(INDEX(Create_TC_Web!D$1:D$1510,SMALL(IF(Create_TC_Web!$C$1:$C$1510&lt;&gt;"",MATCH(ROW(Create_TC_Web!$C$1:$C$1510),ROW(Create_TC_Web!$C$1:$C$1510)),""),ROW(Create_TC_Web!B1170))),"")</f>
        <v/>
      </c>
      <c r="P1145" s="17"/>
    </row>
    <row r="1146" spans="1:16">
      <c r="A1146" t="str" cm="1">
        <f t="array" ref="A1146">IFERROR(INDEX(Create_TC_Web!D$1:D$1510,SMALL(IF(Create_TC_Web!$C$1:$C$1510&lt;&gt;"",MATCH(ROW(Create_TC_Web!$C$1:$C$1510),ROW(Create_TC_Web!$C$1:$C$1510)),""),ROW(Create_TC_Web!B1171))),"")</f>
        <v/>
      </c>
      <c r="P1146" s="17"/>
    </row>
    <row r="1147" spans="1:16">
      <c r="A1147" t="str" cm="1">
        <f t="array" ref="A1147">IFERROR(INDEX(Create_TC_Web!D$1:D$1510,SMALL(IF(Create_TC_Web!$C$1:$C$1510&lt;&gt;"",MATCH(ROW(Create_TC_Web!$C$1:$C$1510),ROW(Create_TC_Web!$C$1:$C$1510)),""),ROW(Create_TC_Web!B1172))),"")</f>
        <v/>
      </c>
      <c r="P1147" s="17"/>
    </row>
    <row r="1148" spans="1:16">
      <c r="A1148" t="str" cm="1">
        <f t="array" ref="A1148">IFERROR(INDEX(Create_TC_Web!D$1:D$1510,SMALL(IF(Create_TC_Web!$C$1:$C$1510&lt;&gt;"",MATCH(ROW(Create_TC_Web!$C$1:$C$1510),ROW(Create_TC_Web!$C$1:$C$1510)),""),ROW(Create_TC_Web!B1173))),"")</f>
        <v/>
      </c>
      <c r="P1148" s="17"/>
    </row>
    <row r="1149" spans="1:16">
      <c r="A1149" t="str" cm="1">
        <f t="array" ref="A1149">IFERROR(INDEX(Create_TC_Web!D$1:D$1510,SMALL(IF(Create_TC_Web!$C$1:$C$1510&lt;&gt;"",MATCH(ROW(Create_TC_Web!$C$1:$C$1510),ROW(Create_TC_Web!$C$1:$C$1510)),""),ROW(Create_TC_Web!B1174))),"")</f>
        <v/>
      </c>
      <c r="P1149" s="17"/>
    </row>
    <row r="1150" spans="1:16">
      <c r="A1150" t="str" cm="1">
        <f t="array" ref="A1150">IFERROR(INDEX(Create_TC_Web!D$1:D$1510,SMALL(IF(Create_TC_Web!$C$1:$C$1510&lt;&gt;"",MATCH(ROW(Create_TC_Web!$C$1:$C$1510),ROW(Create_TC_Web!$C$1:$C$1510)),""),ROW(Create_TC_Web!B1175))),"")</f>
        <v/>
      </c>
      <c r="P1150" s="17"/>
    </row>
    <row r="1151" spans="1:16">
      <c r="A1151" t="str" cm="1">
        <f t="array" ref="A1151">IFERROR(INDEX(Create_TC_Web!D$1:D$1510,SMALL(IF(Create_TC_Web!$C$1:$C$1510&lt;&gt;"",MATCH(ROW(Create_TC_Web!$C$1:$C$1510),ROW(Create_TC_Web!$C$1:$C$1510)),""),ROW(Create_TC_Web!B1176))),"")</f>
        <v/>
      </c>
      <c r="P1151" s="17"/>
    </row>
    <row r="1152" spans="1:16">
      <c r="A1152" t="str" cm="1">
        <f t="array" ref="A1152">IFERROR(INDEX(Create_TC_Web!D$1:D$1510,SMALL(IF(Create_TC_Web!$C$1:$C$1510&lt;&gt;"",MATCH(ROW(Create_TC_Web!$C$1:$C$1510),ROW(Create_TC_Web!$C$1:$C$1510)),""),ROW(Create_TC_Web!B1177))),"")</f>
        <v/>
      </c>
      <c r="P1152" s="17"/>
    </row>
    <row r="1153" spans="1:16">
      <c r="A1153" t="str" cm="1">
        <f t="array" ref="A1153">IFERROR(INDEX(Create_TC_Web!D$1:D$1510,SMALL(IF(Create_TC_Web!$C$1:$C$1510&lt;&gt;"",MATCH(ROW(Create_TC_Web!$C$1:$C$1510),ROW(Create_TC_Web!$C$1:$C$1510)),""),ROW(Create_TC_Web!B1178))),"")</f>
        <v/>
      </c>
      <c r="P1153" s="17"/>
    </row>
    <row r="1154" spans="1:16">
      <c r="A1154" t="str" cm="1">
        <f t="array" ref="A1154">IFERROR(INDEX(Create_TC_Web!D$1:D$1510,SMALL(IF(Create_TC_Web!$C$1:$C$1510&lt;&gt;"",MATCH(ROW(Create_TC_Web!$C$1:$C$1510),ROW(Create_TC_Web!$C$1:$C$1510)),""),ROW(Create_TC_Web!B1179))),"")</f>
        <v/>
      </c>
      <c r="P1154" s="17"/>
    </row>
    <row r="1155" spans="1:16">
      <c r="A1155" t="str" cm="1">
        <f t="array" ref="A1155">IFERROR(INDEX(Create_TC_Web!D$1:D$1510,SMALL(IF(Create_TC_Web!$C$1:$C$1510&lt;&gt;"",MATCH(ROW(Create_TC_Web!$C$1:$C$1510),ROW(Create_TC_Web!$C$1:$C$1510)),""),ROW(Create_TC_Web!B1180))),"")</f>
        <v/>
      </c>
      <c r="P1155" s="17"/>
    </row>
    <row r="1156" spans="1:16">
      <c r="A1156" t="str" cm="1">
        <f t="array" ref="A1156">IFERROR(INDEX(Create_TC_Web!D$1:D$1510,SMALL(IF(Create_TC_Web!$C$1:$C$1510&lt;&gt;"",MATCH(ROW(Create_TC_Web!$C$1:$C$1510),ROW(Create_TC_Web!$C$1:$C$1510)),""),ROW(Create_TC_Web!B1181))),"")</f>
        <v/>
      </c>
      <c r="P1156" s="17"/>
    </row>
    <row r="1157" spans="1:16">
      <c r="A1157" t="str" cm="1">
        <f t="array" ref="A1157">IFERROR(INDEX(Create_TC_Web!D$1:D$1510,SMALL(IF(Create_TC_Web!$C$1:$C$1510&lt;&gt;"",MATCH(ROW(Create_TC_Web!$C$1:$C$1510),ROW(Create_TC_Web!$C$1:$C$1510)),""),ROW(Create_TC_Web!B1182))),"")</f>
        <v/>
      </c>
      <c r="P1157" s="17"/>
    </row>
    <row r="1158" spans="1:16">
      <c r="A1158" t="str" cm="1">
        <f t="array" ref="A1158">IFERROR(INDEX(Create_TC_Web!D$1:D$1510,SMALL(IF(Create_TC_Web!$C$1:$C$1510&lt;&gt;"",MATCH(ROW(Create_TC_Web!$C$1:$C$1510),ROW(Create_TC_Web!$C$1:$C$1510)),""),ROW(Create_TC_Web!B1183))),"")</f>
        <v/>
      </c>
      <c r="P1158" s="17"/>
    </row>
    <row r="1159" spans="1:16">
      <c r="A1159" t="str" cm="1">
        <f t="array" ref="A1159">IFERROR(INDEX(Create_TC_Web!D$1:D$1510,SMALL(IF(Create_TC_Web!$C$1:$C$1510&lt;&gt;"",MATCH(ROW(Create_TC_Web!$C$1:$C$1510),ROW(Create_TC_Web!$C$1:$C$1510)),""),ROW(Create_TC_Web!B1184))),"")</f>
        <v/>
      </c>
      <c r="P1159" s="17"/>
    </row>
    <row r="1160" spans="1:16">
      <c r="A1160" t="str" cm="1">
        <f t="array" ref="A1160">IFERROR(INDEX(Create_TC_Web!D$1:D$1510,SMALL(IF(Create_TC_Web!$C$1:$C$1510&lt;&gt;"",MATCH(ROW(Create_TC_Web!$C$1:$C$1510),ROW(Create_TC_Web!$C$1:$C$1510)),""),ROW(Create_TC_Web!B1185))),"")</f>
        <v/>
      </c>
      <c r="P1160" s="17"/>
    </row>
    <row r="1161" spans="1:16">
      <c r="A1161" t="str" cm="1">
        <f t="array" ref="A1161">IFERROR(INDEX(Create_TC_Web!D$1:D$1510,SMALL(IF(Create_TC_Web!$C$1:$C$1510&lt;&gt;"",MATCH(ROW(Create_TC_Web!$C$1:$C$1510),ROW(Create_TC_Web!$C$1:$C$1510)),""),ROW(Create_TC_Web!B1186))),"")</f>
        <v/>
      </c>
      <c r="P1161" s="17"/>
    </row>
    <row r="1162" spans="1:16">
      <c r="A1162" t="str" cm="1">
        <f t="array" ref="A1162">IFERROR(INDEX(Create_TC_Web!D$1:D$1510,SMALL(IF(Create_TC_Web!$C$1:$C$1510&lt;&gt;"",MATCH(ROW(Create_TC_Web!$C$1:$C$1510),ROW(Create_TC_Web!$C$1:$C$1510)),""),ROW(Create_TC_Web!B1187))),"")</f>
        <v/>
      </c>
      <c r="P1162" s="17"/>
    </row>
    <row r="1163" spans="1:16">
      <c r="A1163" t="str" cm="1">
        <f t="array" ref="A1163">IFERROR(INDEX(Create_TC_Web!D$1:D$1510,SMALL(IF(Create_TC_Web!$C$1:$C$1510&lt;&gt;"",MATCH(ROW(Create_TC_Web!$C$1:$C$1510),ROW(Create_TC_Web!$C$1:$C$1510)),""),ROW(Create_TC_Web!B1188))),"")</f>
        <v/>
      </c>
      <c r="P1163" s="17"/>
    </row>
    <row r="1164" spans="1:16">
      <c r="A1164" t="str" cm="1">
        <f t="array" ref="A1164">IFERROR(INDEX(Create_TC_Web!D$1:D$1510,SMALL(IF(Create_TC_Web!$C$1:$C$1510&lt;&gt;"",MATCH(ROW(Create_TC_Web!$C$1:$C$1510),ROW(Create_TC_Web!$C$1:$C$1510)),""),ROW(Create_TC_Web!B1189))),"")</f>
        <v/>
      </c>
      <c r="P1164" s="17"/>
    </row>
    <row r="1165" spans="1:16">
      <c r="A1165" t="str" cm="1">
        <f t="array" ref="A1165">IFERROR(INDEX(Create_TC_Web!D$1:D$1510,SMALL(IF(Create_TC_Web!$C$1:$C$1510&lt;&gt;"",MATCH(ROW(Create_TC_Web!$C$1:$C$1510),ROW(Create_TC_Web!$C$1:$C$1510)),""),ROW(Create_TC_Web!B1190))),"")</f>
        <v/>
      </c>
      <c r="P1165" s="17"/>
    </row>
    <row r="1166" spans="1:16">
      <c r="A1166" t="str" cm="1">
        <f t="array" ref="A1166">IFERROR(INDEX(Create_TC_Web!D$1:D$1510,SMALL(IF(Create_TC_Web!$C$1:$C$1510&lt;&gt;"",MATCH(ROW(Create_TC_Web!$C$1:$C$1510),ROW(Create_TC_Web!$C$1:$C$1510)),""),ROW(Create_TC_Web!B1191))),"")</f>
        <v/>
      </c>
      <c r="P1166" s="17"/>
    </row>
    <row r="1167" spans="1:16">
      <c r="A1167" t="str" cm="1">
        <f t="array" ref="A1167">IFERROR(INDEX(Create_TC_Web!D$1:D$1510,SMALL(IF(Create_TC_Web!$C$1:$C$1510&lt;&gt;"",MATCH(ROW(Create_TC_Web!$C$1:$C$1510),ROW(Create_TC_Web!$C$1:$C$1510)),""),ROW(Create_TC_Web!B1192))),"")</f>
        <v/>
      </c>
      <c r="P1167" s="17"/>
    </row>
    <row r="1168" spans="1:16">
      <c r="A1168" t="str" cm="1">
        <f t="array" ref="A1168">IFERROR(INDEX(Create_TC_Web!D$1:D$1510,SMALL(IF(Create_TC_Web!$C$1:$C$1510&lt;&gt;"",MATCH(ROW(Create_TC_Web!$C$1:$C$1510),ROW(Create_TC_Web!$C$1:$C$1510)),""),ROW(Create_TC_Web!B1193))),"")</f>
        <v/>
      </c>
      <c r="P1168" s="17"/>
    </row>
    <row r="1169" spans="1:16">
      <c r="A1169" t="str" cm="1">
        <f t="array" ref="A1169">IFERROR(INDEX(Create_TC_Web!D$1:D$1510,SMALL(IF(Create_TC_Web!$C$1:$C$1510&lt;&gt;"",MATCH(ROW(Create_TC_Web!$C$1:$C$1510),ROW(Create_TC_Web!$C$1:$C$1510)),""),ROW(Create_TC_Web!B1194))),"")</f>
        <v/>
      </c>
      <c r="P1169" s="17"/>
    </row>
    <row r="1170" spans="1:16">
      <c r="A1170" t="str" cm="1">
        <f t="array" ref="A1170">IFERROR(INDEX(Create_TC_Web!D$1:D$1510,SMALL(IF(Create_TC_Web!$C$1:$C$1510&lt;&gt;"",MATCH(ROW(Create_TC_Web!$C$1:$C$1510),ROW(Create_TC_Web!$C$1:$C$1510)),""),ROW(Create_TC_Web!B1195))),"")</f>
        <v/>
      </c>
      <c r="P1170" s="17"/>
    </row>
    <row r="1171" spans="1:16">
      <c r="A1171" t="str" cm="1">
        <f t="array" ref="A1171">IFERROR(INDEX(Create_TC_Web!D$1:D$1510,SMALL(IF(Create_TC_Web!$C$1:$C$1510&lt;&gt;"",MATCH(ROW(Create_TC_Web!$C$1:$C$1510),ROW(Create_TC_Web!$C$1:$C$1510)),""),ROW(Create_TC_Web!B1196))),"")</f>
        <v/>
      </c>
      <c r="P1171" s="17"/>
    </row>
    <row r="1172" spans="1:16">
      <c r="A1172" t="str" cm="1">
        <f t="array" ref="A1172">IFERROR(INDEX(Create_TC_Web!D$1:D$1510,SMALL(IF(Create_TC_Web!$C$1:$C$1510&lt;&gt;"",MATCH(ROW(Create_TC_Web!$C$1:$C$1510),ROW(Create_TC_Web!$C$1:$C$1510)),""),ROW(Create_TC_Web!B1197))),"")</f>
        <v/>
      </c>
      <c r="P1172" s="17"/>
    </row>
    <row r="1173" spans="1:16">
      <c r="A1173" t="str" cm="1">
        <f t="array" ref="A1173">IFERROR(INDEX(Create_TC_Web!D$1:D$1510,SMALL(IF(Create_TC_Web!$C$1:$C$1510&lt;&gt;"",MATCH(ROW(Create_TC_Web!$C$1:$C$1510),ROW(Create_TC_Web!$C$1:$C$1510)),""),ROW(Create_TC_Web!B1198))),"")</f>
        <v/>
      </c>
      <c r="P1173" s="17"/>
    </row>
    <row r="1174" spans="1:16">
      <c r="A1174" t="str" cm="1">
        <f t="array" ref="A1174">IFERROR(INDEX(Create_TC_Web!D$1:D$1510,SMALL(IF(Create_TC_Web!$C$1:$C$1510&lt;&gt;"",MATCH(ROW(Create_TC_Web!$C$1:$C$1510),ROW(Create_TC_Web!$C$1:$C$1510)),""),ROW(Create_TC_Web!B1199))),"")</f>
        <v/>
      </c>
      <c r="P1174" s="17"/>
    </row>
    <row r="1175" spans="1:16">
      <c r="A1175" t="str" cm="1">
        <f t="array" ref="A1175">IFERROR(INDEX(Create_TC_Web!D$1:D$1510,SMALL(IF(Create_TC_Web!$C$1:$C$1510&lt;&gt;"",MATCH(ROW(Create_TC_Web!$C$1:$C$1510),ROW(Create_TC_Web!$C$1:$C$1510)),""),ROW(Create_TC_Web!B1200))),"")</f>
        <v/>
      </c>
      <c r="P1175" s="17"/>
    </row>
    <row r="1176" spans="1:16">
      <c r="A1176" t="str" cm="1">
        <f t="array" ref="A1176">IFERROR(INDEX(Create_TC_Web!D$1:D$1510,SMALL(IF(Create_TC_Web!$C$1:$C$1510&lt;&gt;"",MATCH(ROW(Create_TC_Web!$C$1:$C$1510),ROW(Create_TC_Web!$C$1:$C$1510)),""),ROW(Create_TC_Web!B1201))),"")</f>
        <v/>
      </c>
      <c r="P1176" s="17"/>
    </row>
    <row r="1177" spans="1:16">
      <c r="A1177" t="str" cm="1">
        <f t="array" ref="A1177">IFERROR(INDEX(Create_TC_Web!D$1:D$1510,SMALL(IF(Create_TC_Web!$C$1:$C$1510&lt;&gt;"",MATCH(ROW(Create_TC_Web!$C$1:$C$1510),ROW(Create_TC_Web!$C$1:$C$1510)),""),ROW(Create_TC_Web!B1202))),"")</f>
        <v/>
      </c>
      <c r="P1177" s="17"/>
    </row>
    <row r="1178" spans="1:16">
      <c r="A1178" t="str" cm="1">
        <f t="array" ref="A1178">IFERROR(INDEX(Create_TC_Web!D$1:D$1510,SMALL(IF(Create_TC_Web!$C$1:$C$1510&lt;&gt;"",MATCH(ROW(Create_TC_Web!$C$1:$C$1510),ROW(Create_TC_Web!$C$1:$C$1510)),""),ROW(Create_TC_Web!B1203))),"")</f>
        <v/>
      </c>
      <c r="P1178" s="17"/>
    </row>
    <row r="1179" spans="1:16">
      <c r="A1179" t="str" cm="1">
        <f t="array" ref="A1179">IFERROR(INDEX(Create_TC_Web!D$1:D$1510,SMALL(IF(Create_TC_Web!$C$1:$C$1510&lt;&gt;"",MATCH(ROW(Create_TC_Web!$C$1:$C$1510),ROW(Create_TC_Web!$C$1:$C$1510)),""),ROW(Create_TC_Web!B1204))),"")</f>
        <v/>
      </c>
      <c r="P1179" s="17"/>
    </row>
    <row r="1180" spans="1:16">
      <c r="A1180" t="str" cm="1">
        <f t="array" ref="A1180">IFERROR(INDEX(Create_TC_Web!D$1:D$1510,SMALL(IF(Create_TC_Web!$C$1:$C$1510&lt;&gt;"",MATCH(ROW(Create_TC_Web!$C$1:$C$1510),ROW(Create_TC_Web!$C$1:$C$1510)),""),ROW(Create_TC_Web!B1205))),"")</f>
        <v/>
      </c>
      <c r="P1180" s="17"/>
    </row>
    <row r="1181" spans="1:16">
      <c r="A1181" t="str" cm="1">
        <f t="array" ref="A1181">IFERROR(INDEX(Create_TC_Web!D$1:D$1510,SMALL(IF(Create_TC_Web!$C$1:$C$1510&lt;&gt;"",MATCH(ROW(Create_TC_Web!$C$1:$C$1510),ROW(Create_TC_Web!$C$1:$C$1510)),""),ROW(Create_TC_Web!B1206))),"")</f>
        <v/>
      </c>
      <c r="P1181" s="17"/>
    </row>
    <row r="1182" spans="1:16">
      <c r="A1182" t="str" cm="1">
        <f t="array" ref="A1182">IFERROR(INDEX(Create_TC_Web!D$1:D$1510,SMALL(IF(Create_TC_Web!$C$1:$C$1510&lt;&gt;"",MATCH(ROW(Create_TC_Web!$C$1:$C$1510),ROW(Create_TC_Web!$C$1:$C$1510)),""),ROW(Create_TC_Web!B1207))),"")</f>
        <v/>
      </c>
      <c r="P1182" s="17"/>
    </row>
    <row r="1183" spans="1:16">
      <c r="A1183" t="str" cm="1">
        <f t="array" ref="A1183">IFERROR(INDEX(Create_TC_Web!D$1:D$1510,SMALL(IF(Create_TC_Web!$C$1:$C$1510&lt;&gt;"",MATCH(ROW(Create_TC_Web!$C$1:$C$1510),ROW(Create_TC_Web!$C$1:$C$1510)),""),ROW(Create_TC_Web!B1208))),"")</f>
        <v/>
      </c>
      <c r="P1183" s="17"/>
    </row>
    <row r="1184" spans="1:16">
      <c r="A1184" t="str" cm="1">
        <f t="array" ref="A1184">IFERROR(INDEX(Create_TC_Web!D$1:D$1510,SMALL(IF(Create_TC_Web!$C$1:$C$1510&lt;&gt;"",MATCH(ROW(Create_TC_Web!$C$1:$C$1510),ROW(Create_TC_Web!$C$1:$C$1510)),""),ROW(Create_TC_Web!B1209))),"")</f>
        <v/>
      </c>
      <c r="P1184" s="17"/>
    </row>
    <row r="1185" spans="1:16">
      <c r="A1185" t="str" cm="1">
        <f t="array" ref="A1185">IFERROR(INDEX(Create_TC_Web!D$1:D$1510,SMALL(IF(Create_TC_Web!$C$1:$C$1510&lt;&gt;"",MATCH(ROW(Create_TC_Web!$C$1:$C$1510),ROW(Create_TC_Web!$C$1:$C$1510)),""),ROW(Create_TC_Web!B1210))),"")</f>
        <v/>
      </c>
      <c r="P1185" s="17"/>
    </row>
    <row r="1186" spans="1:16">
      <c r="A1186" t="str" cm="1">
        <f t="array" ref="A1186">IFERROR(INDEX(Create_TC_Web!D$1:D$1510,SMALL(IF(Create_TC_Web!$C$1:$C$1510&lt;&gt;"",MATCH(ROW(Create_TC_Web!$C$1:$C$1510),ROW(Create_TC_Web!$C$1:$C$1510)),""),ROW(Create_TC_Web!B1211))),"")</f>
        <v/>
      </c>
      <c r="P1186" s="17"/>
    </row>
    <row r="1187" spans="1:16">
      <c r="A1187" t="str" cm="1">
        <f t="array" ref="A1187">IFERROR(INDEX(Create_TC_Web!D$1:D$1510,SMALL(IF(Create_TC_Web!$C$1:$C$1510&lt;&gt;"",MATCH(ROW(Create_TC_Web!$C$1:$C$1510),ROW(Create_TC_Web!$C$1:$C$1510)),""),ROW(Create_TC_Web!B1212))),"")</f>
        <v/>
      </c>
      <c r="P1187" s="17"/>
    </row>
    <row r="1188" spans="1:16">
      <c r="A1188" t="str" cm="1">
        <f t="array" ref="A1188">IFERROR(INDEX(Create_TC_Web!D$1:D$1510,SMALL(IF(Create_TC_Web!$C$1:$C$1510&lt;&gt;"",MATCH(ROW(Create_TC_Web!$C$1:$C$1510),ROW(Create_TC_Web!$C$1:$C$1510)),""),ROW(Create_TC_Web!B1213))),"")</f>
        <v/>
      </c>
      <c r="P1188" s="17"/>
    </row>
    <row r="1189" spans="1:16">
      <c r="A1189" t="str" cm="1">
        <f t="array" ref="A1189">IFERROR(INDEX(Create_TC_Web!D$1:D$1510,SMALL(IF(Create_TC_Web!$C$1:$C$1510&lt;&gt;"",MATCH(ROW(Create_TC_Web!$C$1:$C$1510),ROW(Create_TC_Web!$C$1:$C$1510)),""),ROW(Create_TC_Web!B1214))),"")</f>
        <v/>
      </c>
      <c r="P1189" s="17"/>
    </row>
    <row r="1190" spans="1:16">
      <c r="A1190" t="str" cm="1">
        <f t="array" ref="A1190">IFERROR(INDEX(Create_TC_Web!D$1:D$1510,SMALL(IF(Create_TC_Web!$C$1:$C$1510&lt;&gt;"",MATCH(ROW(Create_TC_Web!$C$1:$C$1510),ROW(Create_TC_Web!$C$1:$C$1510)),""),ROW(Create_TC_Web!B1215))),"")</f>
        <v/>
      </c>
      <c r="P1190" s="17"/>
    </row>
    <row r="1191" spans="1:16">
      <c r="A1191" t="str" cm="1">
        <f t="array" ref="A1191">IFERROR(INDEX(Create_TC_Web!D$1:D$1510,SMALL(IF(Create_TC_Web!$C$1:$C$1510&lt;&gt;"",MATCH(ROW(Create_TC_Web!$C$1:$C$1510),ROW(Create_TC_Web!$C$1:$C$1510)),""),ROW(Create_TC_Web!B1216))),"")</f>
        <v/>
      </c>
      <c r="P1191" s="17"/>
    </row>
    <row r="1192" spans="1:16">
      <c r="A1192" t="str" cm="1">
        <f t="array" ref="A1192">IFERROR(INDEX(Create_TC_Web!D$1:D$1510,SMALL(IF(Create_TC_Web!$C$1:$C$1510&lt;&gt;"",MATCH(ROW(Create_TC_Web!$C$1:$C$1510),ROW(Create_TC_Web!$C$1:$C$1510)),""),ROW(Create_TC_Web!B1217))),"")</f>
        <v/>
      </c>
      <c r="P1192" s="17"/>
    </row>
    <row r="1193" spans="1:16">
      <c r="A1193" t="str" cm="1">
        <f t="array" ref="A1193">IFERROR(INDEX(Create_TC_Web!D$1:D$1510,SMALL(IF(Create_TC_Web!$C$1:$C$1510&lt;&gt;"",MATCH(ROW(Create_TC_Web!$C$1:$C$1510),ROW(Create_TC_Web!$C$1:$C$1510)),""),ROW(Create_TC_Web!B1218))),"")</f>
        <v/>
      </c>
      <c r="P1193" s="17"/>
    </row>
    <row r="1194" spans="1:16">
      <c r="A1194" t="str" cm="1">
        <f t="array" ref="A1194">IFERROR(INDEX(Create_TC_Web!D$1:D$1510,SMALL(IF(Create_TC_Web!$C$1:$C$1510&lt;&gt;"",MATCH(ROW(Create_TC_Web!$C$1:$C$1510),ROW(Create_TC_Web!$C$1:$C$1510)),""),ROW(Create_TC_Web!B1219))),"")</f>
        <v/>
      </c>
      <c r="P1194" s="17"/>
    </row>
    <row r="1195" spans="1:16">
      <c r="A1195" t="str" cm="1">
        <f t="array" ref="A1195">IFERROR(INDEX(Create_TC_Web!D$1:D$1510,SMALL(IF(Create_TC_Web!$C$1:$C$1510&lt;&gt;"",MATCH(ROW(Create_TC_Web!$C$1:$C$1510),ROW(Create_TC_Web!$C$1:$C$1510)),""),ROW(Create_TC_Web!B1220))),"")</f>
        <v/>
      </c>
      <c r="P1195" s="17"/>
    </row>
    <row r="1196" spans="1:16">
      <c r="A1196" t="str" cm="1">
        <f t="array" ref="A1196">IFERROR(INDEX(Create_TC_Web!D$1:D$1510,SMALL(IF(Create_TC_Web!$C$1:$C$1510&lt;&gt;"",MATCH(ROW(Create_TC_Web!$C$1:$C$1510),ROW(Create_TC_Web!$C$1:$C$1510)),""),ROW(Create_TC_Web!B1221))),"")</f>
        <v/>
      </c>
      <c r="P1196" s="17"/>
    </row>
    <row r="1197" spans="1:16">
      <c r="A1197" t="str" cm="1">
        <f t="array" ref="A1197">IFERROR(INDEX(Create_TC_Web!D$1:D$1510,SMALL(IF(Create_TC_Web!$C$1:$C$1510&lt;&gt;"",MATCH(ROW(Create_TC_Web!$C$1:$C$1510),ROW(Create_TC_Web!$C$1:$C$1510)),""),ROW(Create_TC_Web!B1222))),"")</f>
        <v/>
      </c>
      <c r="P1197" s="17"/>
    </row>
    <row r="1198" spans="1:16">
      <c r="A1198" t="str" cm="1">
        <f t="array" ref="A1198">IFERROR(INDEX(Create_TC_Web!D$1:D$1510,SMALL(IF(Create_TC_Web!$C$1:$C$1510&lt;&gt;"",MATCH(ROW(Create_TC_Web!$C$1:$C$1510),ROW(Create_TC_Web!$C$1:$C$1510)),""),ROW(Create_TC_Web!B1223))),"")</f>
        <v/>
      </c>
      <c r="P1198" s="17"/>
    </row>
    <row r="1199" spans="1:16">
      <c r="A1199" t="str" cm="1">
        <f t="array" ref="A1199">IFERROR(INDEX(Create_TC_Web!D$1:D$1510,SMALL(IF(Create_TC_Web!$C$1:$C$1510&lt;&gt;"",MATCH(ROW(Create_TC_Web!$C$1:$C$1510),ROW(Create_TC_Web!$C$1:$C$1510)),""),ROW(Create_TC_Web!B1224))),"")</f>
        <v/>
      </c>
      <c r="P1199" s="17"/>
    </row>
    <row r="1200" spans="1:16">
      <c r="A1200" t="str" cm="1">
        <f t="array" ref="A1200">IFERROR(INDEX(Create_TC_Web!D$1:D$1510,SMALL(IF(Create_TC_Web!$C$1:$C$1510&lt;&gt;"",MATCH(ROW(Create_TC_Web!$C$1:$C$1510),ROW(Create_TC_Web!$C$1:$C$1510)),""),ROW(Create_TC_Web!B1225))),"")</f>
        <v/>
      </c>
      <c r="P1200" s="17"/>
    </row>
    <row r="1201" spans="1:16">
      <c r="A1201" t="str" cm="1">
        <f t="array" ref="A1201">IFERROR(INDEX(Create_TC_Web!D$1:D$1510,SMALL(IF(Create_TC_Web!$C$1:$C$1510&lt;&gt;"",MATCH(ROW(Create_TC_Web!$C$1:$C$1510),ROW(Create_TC_Web!$C$1:$C$1510)),""),ROW(Create_TC_Web!B1226))),"")</f>
        <v/>
      </c>
      <c r="P1201" s="17"/>
    </row>
    <row r="1202" spans="1:16">
      <c r="A1202" t="str" cm="1">
        <f t="array" ref="A1202">IFERROR(INDEX(Create_TC_Web!D$1:D$1510,SMALL(IF(Create_TC_Web!$C$1:$C$1510&lt;&gt;"",MATCH(ROW(Create_TC_Web!$C$1:$C$1510),ROW(Create_TC_Web!$C$1:$C$1510)),""),ROW(Create_TC_Web!B1227))),"")</f>
        <v/>
      </c>
      <c r="P1202" s="17"/>
    </row>
    <row r="1203" spans="1:16">
      <c r="A1203" t="str" cm="1">
        <f t="array" ref="A1203">IFERROR(INDEX(Create_TC_Web!D$1:D$1510,SMALL(IF(Create_TC_Web!$C$1:$C$1510&lt;&gt;"",MATCH(ROW(Create_TC_Web!$C$1:$C$1510),ROW(Create_TC_Web!$C$1:$C$1510)),""),ROW(Create_TC_Web!B1228))),"")</f>
        <v/>
      </c>
      <c r="P1203" s="17"/>
    </row>
    <row r="1204" spans="1:16">
      <c r="A1204" t="str" cm="1">
        <f t="array" ref="A1204">IFERROR(INDEX(Create_TC_Web!D$1:D$1510,SMALL(IF(Create_TC_Web!$C$1:$C$1510&lt;&gt;"",MATCH(ROW(Create_TC_Web!$C$1:$C$1510),ROW(Create_TC_Web!$C$1:$C$1510)),""),ROW(Create_TC_Web!B1229))),"")</f>
        <v/>
      </c>
      <c r="P1204" s="17"/>
    </row>
    <row r="1205" spans="1:16">
      <c r="A1205" t="str" cm="1">
        <f t="array" ref="A1205">IFERROR(INDEX(Create_TC_Web!D$1:D$1510,SMALL(IF(Create_TC_Web!$C$1:$C$1510&lt;&gt;"",MATCH(ROW(Create_TC_Web!$C$1:$C$1510),ROW(Create_TC_Web!$C$1:$C$1510)),""),ROW(Create_TC_Web!B1230))),"")</f>
        <v/>
      </c>
      <c r="P1205" s="17"/>
    </row>
    <row r="1206" spans="1:16">
      <c r="A1206" t="str" cm="1">
        <f t="array" ref="A1206">IFERROR(INDEX(Create_TC_Web!D$1:D$1510,SMALL(IF(Create_TC_Web!$C$1:$C$1510&lt;&gt;"",MATCH(ROW(Create_TC_Web!$C$1:$C$1510),ROW(Create_TC_Web!$C$1:$C$1510)),""),ROW(Create_TC_Web!B1231))),"")</f>
        <v/>
      </c>
      <c r="P1206" s="17"/>
    </row>
    <row r="1207" spans="1:16">
      <c r="A1207" t="str" cm="1">
        <f t="array" ref="A1207">IFERROR(INDEX(Create_TC_Web!D$1:D$1510,SMALL(IF(Create_TC_Web!$C$1:$C$1510&lt;&gt;"",MATCH(ROW(Create_TC_Web!$C$1:$C$1510),ROW(Create_TC_Web!$C$1:$C$1510)),""),ROW(Create_TC_Web!B1232))),"")</f>
        <v/>
      </c>
      <c r="P1207" s="17"/>
    </row>
    <row r="1208" spans="1:16">
      <c r="A1208" t="str" cm="1">
        <f t="array" ref="A1208">IFERROR(INDEX(Create_TC_Web!D$1:D$1510,SMALL(IF(Create_TC_Web!$C$1:$C$1510&lt;&gt;"",MATCH(ROW(Create_TC_Web!$C$1:$C$1510),ROW(Create_TC_Web!$C$1:$C$1510)),""),ROW(Create_TC_Web!B1233))),"")</f>
        <v/>
      </c>
      <c r="P1208" s="17"/>
    </row>
    <row r="1209" spans="1:16">
      <c r="A1209" t="str" cm="1">
        <f t="array" ref="A1209">IFERROR(INDEX(Create_TC_Web!D$1:D$1510,SMALL(IF(Create_TC_Web!$C$1:$C$1510&lt;&gt;"",MATCH(ROW(Create_TC_Web!$C$1:$C$1510),ROW(Create_TC_Web!$C$1:$C$1510)),""),ROW(Create_TC_Web!B1234))),"")</f>
        <v/>
      </c>
      <c r="P1209" s="17"/>
    </row>
    <row r="1210" spans="1:16">
      <c r="A1210" t="str" cm="1">
        <f t="array" ref="A1210">IFERROR(INDEX(Create_TC_Web!D$1:D$1510,SMALL(IF(Create_TC_Web!$C$1:$C$1510&lt;&gt;"",MATCH(ROW(Create_TC_Web!$C$1:$C$1510),ROW(Create_TC_Web!$C$1:$C$1510)),""),ROW(Create_TC_Web!B1235))),"")</f>
        <v/>
      </c>
      <c r="P1210" s="17"/>
    </row>
    <row r="1211" spans="1:16">
      <c r="A1211" t="str" cm="1">
        <f t="array" ref="A1211">IFERROR(INDEX(Create_TC_Web!D$1:D$1510,SMALL(IF(Create_TC_Web!$C$1:$C$1510&lt;&gt;"",MATCH(ROW(Create_TC_Web!$C$1:$C$1510),ROW(Create_TC_Web!$C$1:$C$1510)),""),ROW(Create_TC_Web!B1236))),"")</f>
        <v/>
      </c>
      <c r="P1211" s="17"/>
    </row>
    <row r="1212" spans="1:16">
      <c r="A1212" t="str" cm="1">
        <f t="array" ref="A1212">IFERROR(INDEX(Create_TC_Web!D$1:D$1510,SMALL(IF(Create_TC_Web!$C$1:$C$1510&lt;&gt;"",MATCH(ROW(Create_TC_Web!$C$1:$C$1510),ROW(Create_TC_Web!$C$1:$C$1510)),""),ROW(Create_TC_Web!B1237))),"")</f>
        <v/>
      </c>
      <c r="P1212" s="17"/>
    </row>
    <row r="1213" spans="1:16">
      <c r="A1213" t="str" cm="1">
        <f t="array" ref="A1213">IFERROR(INDEX(Create_TC_Web!D$1:D$1510,SMALL(IF(Create_TC_Web!$C$1:$C$1510&lt;&gt;"",MATCH(ROW(Create_TC_Web!$C$1:$C$1510),ROW(Create_TC_Web!$C$1:$C$1510)),""),ROW(Create_TC_Web!B1238))),"")</f>
        <v/>
      </c>
      <c r="P1213" s="17"/>
    </row>
    <row r="1214" spans="1:16">
      <c r="A1214" t="str" cm="1">
        <f t="array" ref="A1214">IFERROR(INDEX(Create_TC_Web!D$1:D$1510,SMALL(IF(Create_TC_Web!$C$1:$C$1510&lt;&gt;"",MATCH(ROW(Create_TC_Web!$C$1:$C$1510),ROW(Create_TC_Web!$C$1:$C$1510)),""),ROW(Create_TC_Web!B1239))),"")</f>
        <v/>
      </c>
      <c r="P1214" s="17"/>
    </row>
    <row r="1215" spans="1:16">
      <c r="A1215" t="str" cm="1">
        <f t="array" ref="A1215">IFERROR(INDEX(Create_TC_Web!D$1:D$1510,SMALL(IF(Create_TC_Web!$C$1:$C$1510&lt;&gt;"",MATCH(ROW(Create_TC_Web!$C$1:$C$1510),ROW(Create_TC_Web!$C$1:$C$1510)),""),ROW(Create_TC_Web!B1240))),"")</f>
        <v/>
      </c>
      <c r="P1215" s="17"/>
    </row>
    <row r="1216" spans="1:16">
      <c r="A1216" t="str" cm="1">
        <f t="array" ref="A1216">IFERROR(INDEX(Create_TC_Web!D$1:D$1510,SMALL(IF(Create_TC_Web!$C$1:$C$1510&lt;&gt;"",MATCH(ROW(Create_TC_Web!$C$1:$C$1510),ROW(Create_TC_Web!$C$1:$C$1510)),""),ROW(Create_TC_Web!B1241))),"")</f>
        <v/>
      </c>
      <c r="P1216" s="17"/>
    </row>
    <row r="1217" spans="1:16">
      <c r="A1217" t="str" cm="1">
        <f t="array" ref="A1217">IFERROR(INDEX(Create_TC_Web!D$1:D$1510,SMALL(IF(Create_TC_Web!$C$1:$C$1510&lt;&gt;"",MATCH(ROW(Create_TC_Web!$C$1:$C$1510),ROW(Create_TC_Web!$C$1:$C$1510)),""),ROW(Create_TC_Web!B1242))),"")</f>
        <v/>
      </c>
      <c r="P1217" s="17"/>
    </row>
    <row r="1218" spans="1:16">
      <c r="A1218" t="str" cm="1">
        <f t="array" ref="A1218">IFERROR(INDEX(Create_TC_Web!D$1:D$1510,SMALL(IF(Create_TC_Web!$C$1:$C$1510&lt;&gt;"",MATCH(ROW(Create_TC_Web!$C$1:$C$1510),ROW(Create_TC_Web!$C$1:$C$1510)),""),ROW(Create_TC_Web!B1243))),"")</f>
        <v/>
      </c>
      <c r="P1218" s="17"/>
    </row>
    <row r="1219" spans="1:16">
      <c r="A1219" t="str" cm="1">
        <f t="array" ref="A1219">IFERROR(INDEX(Create_TC_Web!D$1:D$1510,SMALL(IF(Create_TC_Web!$C$1:$C$1510&lt;&gt;"",MATCH(ROW(Create_TC_Web!$C$1:$C$1510),ROW(Create_TC_Web!$C$1:$C$1510)),""),ROW(Create_TC_Web!B1244))),"")</f>
        <v/>
      </c>
      <c r="P1219" s="17"/>
    </row>
    <row r="1220" spans="1:16">
      <c r="A1220" t="str" cm="1">
        <f t="array" ref="A1220">IFERROR(INDEX(Create_TC_Web!D$1:D$1510,SMALL(IF(Create_TC_Web!$C$1:$C$1510&lt;&gt;"",MATCH(ROW(Create_TC_Web!$C$1:$C$1510),ROW(Create_TC_Web!$C$1:$C$1510)),""),ROW(Create_TC_Web!B1245))),"")</f>
        <v/>
      </c>
      <c r="P1220" s="17"/>
    </row>
    <row r="1221" spans="1:16">
      <c r="A1221" t="str" cm="1">
        <f t="array" ref="A1221">IFERROR(INDEX(Create_TC_Web!D$1:D$1510,SMALL(IF(Create_TC_Web!$C$1:$C$1510&lt;&gt;"",MATCH(ROW(Create_TC_Web!$C$1:$C$1510),ROW(Create_TC_Web!$C$1:$C$1510)),""),ROW(Create_TC_Web!B1246))),"")</f>
        <v/>
      </c>
      <c r="P1221" s="17"/>
    </row>
    <row r="1222" spans="1:16">
      <c r="A1222" t="str" cm="1">
        <f t="array" ref="A1222">IFERROR(INDEX(Create_TC_Web!D$1:D$1510,SMALL(IF(Create_TC_Web!$C$1:$C$1510&lt;&gt;"",MATCH(ROW(Create_TC_Web!$C$1:$C$1510),ROW(Create_TC_Web!$C$1:$C$1510)),""),ROW(Create_TC_Web!B1247))),"")</f>
        <v/>
      </c>
      <c r="P1222" s="17"/>
    </row>
    <row r="1223" spans="1:16">
      <c r="A1223" t="str" cm="1">
        <f t="array" ref="A1223">IFERROR(INDEX(Create_TC_Web!D$1:D$1510,SMALL(IF(Create_TC_Web!$C$1:$C$1510&lt;&gt;"",MATCH(ROW(Create_TC_Web!$C$1:$C$1510),ROW(Create_TC_Web!$C$1:$C$1510)),""),ROW(Create_TC_Web!B1248))),"")</f>
        <v/>
      </c>
      <c r="P1223" s="17"/>
    </row>
    <row r="1224" spans="1:16">
      <c r="A1224" t="str" cm="1">
        <f t="array" ref="A1224">IFERROR(INDEX(Create_TC_Web!D$1:D$1510,SMALL(IF(Create_TC_Web!$C$1:$C$1510&lt;&gt;"",MATCH(ROW(Create_TC_Web!$C$1:$C$1510),ROW(Create_TC_Web!$C$1:$C$1510)),""),ROW(Create_TC_Web!B1249))),"")</f>
        <v/>
      </c>
      <c r="P1224" s="17"/>
    </row>
    <row r="1225" spans="1:16">
      <c r="A1225" t="str" cm="1">
        <f t="array" ref="A1225">IFERROR(INDEX(Create_TC_Web!D$1:D$1510,SMALL(IF(Create_TC_Web!$C$1:$C$1510&lt;&gt;"",MATCH(ROW(Create_TC_Web!$C$1:$C$1510),ROW(Create_TC_Web!$C$1:$C$1510)),""),ROW(Create_TC_Web!B1250))),"")</f>
        <v/>
      </c>
      <c r="P1225" s="17"/>
    </row>
    <row r="1226" spans="1:16">
      <c r="A1226" t="str" cm="1">
        <f t="array" ref="A1226">IFERROR(INDEX(Create_TC_Web!D$1:D$1510,SMALL(IF(Create_TC_Web!$C$1:$C$1510&lt;&gt;"",MATCH(ROW(Create_TC_Web!$C$1:$C$1510),ROW(Create_TC_Web!$C$1:$C$1510)),""),ROW(Create_TC_Web!B1251))),"")</f>
        <v/>
      </c>
      <c r="P1226" s="17"/>
    </row>
    <row r="1227" spans="1:16">
      <c r="A1227" t="str" cm="1">
        <f t="array" ref="A1227">IFERROR(INDEX(Create_TC_Web!D$1:D$1510,SMALL(IF(Create_TC_Web!$C$1:$C$1510&lt;&gt;"",MATCH(ROW(Create_TC_Web!$C$1:$C$1510),ROW(Create_TC_Web!$C$1:$C$1510)),""),ROW(Create_TC_Web!B1252))),"")</f>
        <v/>
      </c>
      <c r="P1227" s="17"/>
    </row>
    <row r="1228" spans="1:16">
      <c r="A1228" t="str" cm="1">
        <f t="array" ref="A1228">IFERROR(INDEX(Create_TC_Web!D$1:D$1510,SMALL(IF(Create_TC_Web!$C$1:$C$1510&lt;&gt;"",MATCH(ROW(Create_TC_Web!$C$1:$C$1510),ROW(Create_TC_Web!$C$1:$C$1510)),""),ROW(Create_TC_Web!B1253))),"")</f>
        <v/>
      </c>
      <c r="P1228" s="17"/>
    </row>
    <row r="1229" spans="1:16">
      <c r="A1229" t="str" cm="1">
        <f t="array" ref="A1229">IFERROR(INDEX(Create_TC_Web!D$1:D$1510,SMALL(IF(Create_TC_Web!$C$1:$C$1510&lt;&gt;"",MATCH(ROW(Create_TC_Web!$C$1:$C$1510),ROW(Create_TC_Web!$C$1:$C$1510)),""),ROW(Create_TC_Web!B1254))),"")</f>
        <v/>
      </c>
      <c r="P1229" s="17"/>
    </row>
    <row r="1230" spans="1:16">
      <c r="A1230" t="str" cm="1">
        <f t="array" ref="A1230">IFERROR(INDEX(Create_TC_Web!D$1:D$1510,SMALL(IF(Create_TC_Web!$C$1:$C$1510&lt;&gt;"",MATCH(ROW(Create_TC_Web!$C$1:$C$1510),ROW(Create_TC_Web!$C$1:$C$1510)),""),ROW(Create_TC_Web!B1255))),"")</f>
        <v/>
      </c>
      <c r="P1230" s="17"/>
    </row>
    <row r="1231" spans="1:16">
      <c r="A1231" t="str" cm="1">
        <f t="array" ref="A1231">IFERROR(INDEX(Create_TC_Web!D$1:D$1510,SMALL(IF(Create_TC_Web!$C$1:$C$1510&lt;&gt;"",MATCH(ROW(Create_TC_Web!$C$1:$C$1510),ROW(Create_TC_Web!$C$1:$C$1510)),""),ROW(Create_TC_Web!B1256))),"")</f>
        <v/>
      </c>
      <c r="P1231" s="17"/>
    </row>
    <row r="1232" spans="1:16">
      <c r="A1232" t="str" cm="1">
        <f t="array" ref="A1232">IFERROR(INDEX(Create_TC_Web!D$1:D$1510,SMALL(IF(Create_TC_Web!$C$1:$C$1510&lt;&gt;"",MATCH(ROW(Create_TC_Web!$C$1:$C$1510),ROW(Create_TC_Web!$C$1:$C$1510)),""),ROW(Create_TC_Web!B1257))),"")</f>
        <v/>
      </c>
      <c r="P1232" s="17"/>
    </row>
    <row r="1233" spans="1:16">
      <c r="A1233" t="str" cm="1">
        <f t="array" ref="A1233">IFERROR(INDEX(Create_TC_Web!D$1:D$1510,SMALL(IF(Create_TC_Web!$C$1:$C$1510&lt;&gt;"",MATCH(ROW(Create_TC_Web!$C$1:$C$1510),ROW(Create_TC_Web!$C$1:$C$1510)),""),ROW(Create_TC_Web!B1258))),"")</f>
        <v/>
      </c>
      <c r="P1233" s="17"/>
    </row>
    <row r="1234" spans="1:16">
      <c r="A1234" t="str" cm="1">
        <f t="array" ref="A1234">IFERROR(INDEX(Create_TC_Web!D$1:D$1510,SMALL(IF(Create_TC_Web!$C$1:$C$1510&lt;&gt;"",MATCH(ROW(Create_TC_Web!$C$1:$C$1510),ROW(Create_TC_Web!$C$1:$C$1510)),""),ROW(Create_TC_Web!B1259))),"")</f>
        <v/>
      </c>
      <c r="P1234" s="17"/>
    </row>
    <row r="1235" spans="1:16">
      <c r="A1235" t="str" cm="1">
        <f t="array" ref="A1235">IFERROR(INDEX(Create_TC_Web!D$1:D$1510,SMALL(IF(Create_TC_Web!$C$1:$C$1510&lt;&gt;"",MATCH(ROW(Create_TC_Web!$C$1:$C$1510),ROW(Create_TC_Web!$C$1:$C$1510)),""),ROW(Create_TC_Web!B1260))),"")</f>
        <v/>
      </c>
      <c r="P1235" s="17"/>
    </row>
    <row r="1236" spans="1:16">
      <c r="A1236" t="str" cm="1">
        <f t="array" ref="A1236">IFERROR(INDEX(Create_TC_Web!D$1:D$1510,SMALL(IF(Create_TC_Web!$C$1:$C$1510&lt;&gt;"",MATCH(ROW(Create_TC_Web!$C$1:$C$1510),ROW(Create_TC_Web!$C$1:$C$1510)),""),ROW(Create_TC_Web!B1261))),"")</f>
        <v/>
      </c>
      <c r="P1236" s="17"/>
    </row>
    <row r="1237" spans="1:16">
      <c r="A1237" t="str" cm="1">
        <f t="array" ref="A1237">IFERROR(INDEX(Create_TC_Web!D$1:D$1510,SMALL(IF(Create_TC_Web!$C$1:$C$1510&lt;&gt;"",MATCH(ROW(Create_TC_Web!$C$1:$C$1510),ROW(Create_TC_Web!$C$1:$C$1510)),""),ROW(Create_TC_Web!B1262))),"")</f>
        <v/>
      </c>
      <c r="P1237" s="17"/>
    </row>
    <row r="1238" spans="1:16">
      <c r="A1238" t="str" cm="1">
        <f t="array" ref="A1238">IFERROR(INDEX(Create_TC_Web!D$1:D$1510,SMALL(IF(Create_TC_Web!$C$1:$C$1510&lt;&gt;"",MATCH(ROW(Create_TC_Web!$C$1:$C$1510),ROW(Create_TC_Web!$C$1:$C$1510)),""),ROW(Create_TC_Web!B1263))),"")</f>
        <v/>
      </c>
      <c r="P1238" s="17"/>
    </row>
    <row r="1239" spans="1:16">
      <c r="A1239" t="str" cm="1">
        <f t="array" ref="A1239">IFERROR(INDEX(Create_TC_Web!D$1:D$1510,SMALL(IF(Create_TC_Web!$C$1:$C$1510&lt;&gt;"",MATCH(ROW(Create_TC_Web!$C$1:$C$1510),ROW(Create_TC_Web!$C$1:$C$1510)),""),ROW(Create_TC_Web!B1264))),"")</f>
        <v/>
      </c>
      <c r="P1239" s="17"/>
    </row>
    <row r="1240" spans="1:16">
      <c r="A1240" t="str" cm="1">
        <f t="array" ref="A1240">IFERROR(INDEX(Create_TC_Web!D$1:D$1510,SMALL(IF(Create_TC_Web!$C$1:$C$1510&lt;&gt;"",MATCH(ROW(Create_TC_Web!$C$1:$C$1510),ROW(Create_TC_Web!$C$1:$C$1510)),""),ROW(Create_TC_Web!B1265))),"")</f>
        <v/>
      </c>
      <c r="P1240" s="17"/>
    </row>
    <row r="1241" spans="1:16">
      <c r="A1241" t="str" cm="1">
        <f t="array" ref="A1241">IFERROR(INDEX(Create_TC_Web!D$1:D$1510,SMALL(IF(Create_TC_Web!$C$1:$C$1510&lt;&gt;"",MATCH(ROW(Create_TC_Web!$C$1:$C$1510),ROW(Create_TC_Web!$C$1:$C$1510)),""),ROW(Create_TC_Web!B1266))),"")</f>
        <v/>
      </c>
      <c r="P1241" s="17"/>
    </row>
    <row r="1242" spans="1:16">
      <c r="A1242" t="str" cm="1">
        <f t="array" ref="A1242">IFERROR(INDEX(Create_TC_Web!D$1:D$1510,SMALL(IF(Create_TC_Web!$C$1:$C$1510&lt;&gt;"",MATCH(ROW(Create_TC_Web!$C$1:$C$1510),ROW(Create_TC_Web!$C$1:$C$1510)),""),ROW(Create_TC_Web!B1267))),"")</f>
        <v/>
      </c>
      <c r="P1242" s="17"/>
    </row>
    <row r="1243" spans="1:16">
      <c r="A1243" t="str" cm="1">
        <f t="array" ref="A1243">IFERROR(INDEX(Create_TC_Web!D$1:D$1510,SMALL(IF(Create_TC_Web!$C$1:$C$1510&lt;&gt;"",MATCH(ROW(Create_TC_Web!$C$1:$C$1510),ROW(Create_TC_Web!$C$1:$C$1510)),""),ROW(Create_TC_Web!B1268))),"")</f>
        <v/>
      </c>
      <c r="P1243" s="17"/>
    </row>
    <row r="1244" spans="1:16">
      <c r="A1244" t="str" cm="1">
        <f t="array" ref="A1244">IFERROR(INDEX(Create_TC_Web!D$1:D$1510,SMALL(IF(Create_TC_Web!$C$1:$C$1510&lt;&gt;"",MATCH(ROW(Create_TC_Web!$C$1:$C$1510),ROW(Create_TC_Web!$C$1:$C$1510)),""),ROW(Create_TC_Web!B1269))),"")</f>
        <v/>
      </c>
      <c r="P1244" s="17"/>
    </row>
    <row r="1245" spans="1:16">
      <c r="A1245" t="str" cm="1">
        <f t="array" ref="A1245">IFERROR(INDEX(Create_TC_Web!D$1:D$1510,SMALL(IF(Create_TC_Web!$C$1:$C$1510&lt;&gt;"",MATCH(ROW(Create_TC_Web!$C$1:$C$1510),ROW(Create_TC_Web!$C$1:$C$1510)),""),ROW(Create_TC_Web!B1270))),"")</f>
        <v/>
      </c>
      <c r="P1245" s="17"/>
    </row>
    <row r="1246" spans="1:16">
      <c r="A1246" t="str" cm="1">
        <f t="array" ref="A1246">IFERROR(INDEX(Create_TC_Web!D$1:D$1510,SMALL(IF(Create_TC_Web!$C$1:$C$1510&lt;&gt;"",MATCH(ROW(Create_TC_Web!$C$1:$C$1510),ROW(Create_TC_Web!$C$1:$C$1510)),""),ROW(Create_TC_Web!B1271))),"")</f>
        <v/>
      </c>
      <c r="P1246" s="17"/>
    </row>
    <row r="1247" spans="1:16">
      <c r="A1247" t="str" cm="1">
        <f t="array" ref="A1247">IFERROR(INDEX(Create_TC_Web!D$1:D$1510,SMALL(IF(Create_TC_Web!$C$1:$C$1510&lt;&gt;"",MATCH(ROW(Create_TC_Web!$C$1:$C$1510),ROW(Create_TC_Web!$C$1:$C$1510)),""),ROW(Create_TC_Web!B1272))),"")</f>
        <v/>
      </c>
      <c r="P1247" s="17"/>
    </row>
    <row r="1248" spans="1:16">
      <c r="A1248" t="str" cm="1">
        <f t="array" ref="A1248">IFERROR(INDEX(Create_TC_Web!D$1:D$1510,SMALL(IF(Create_TC_Web!$C$1:$C$1510&lt;&gt;"",MATCH(ROW(Create_TC_Web!$C$1:$C$1510),ROW(Create_TC_Web!$C$1:$C$1510)),""),ROW(Create_TC_Web!B1273))),"")</f>
        <v/>
      </c>
      <c r="P1248" s="17"/>
    </row>
    <row r="1249" spans="1:16">
      <c r="A1249" t="str" cm="1">
        <f t="array" ref="A1249">IFERROR(INDEX(Create_TC_Web!D$1:D$1510,SMALL(IF(Create_TC_Web!$C$1:$C$1510&lt;&gt;"",MATCH(ROW(Create_TC_Web!$C$1:$C$1510),ROW(Create_TC_Web!$C$1:$C$1510)),""),ROW(Create_TC_Web!B1274))),"")</f>
        <v/>
      </c>
      <c r="P1249" s="17"/>
    </row>
    <row r="1250" spans="1:16">
      <c r="A1250" t="str" cm="1">
        <f t="array" ref="A1250">IFERROR(INDEX(Create_TC_Web!D$1:D$1510,SMALL(IF(Create_TC_Web!$C$1:$C$1510&lt;&gt;"",MATCH(ROW(Create_TC_Web!$C$1:$C$1510),ROW(Create_TC_Web!$C$1:$C$1510)),""),ROW(Create_TC_Web!B1275))),"")</f>
        <v/>
      </c>
      <c r="P1250" s="17"/>
    </row>
    <row r="1251" spans="1:16">
      <c r="A1251" t="str" cm="1">
        <f t="array" ref="A1251">IFERROR(INDEX(Create_TC_Web!D$1:D$1510,SMALL(IF(Create_TC_Web!$C$1:$C$1510&lt;&gt;"",MATCH(ROW(Create_TC_Web!$C$1:$C$1510),ROW(Create_TC_Web!$C$1:$C$1510)),""),ROW(Create_TC_Web!B1276))),"")</f>
        <v/>
      </c>
      <c r="P1251" s="17"/>
    </row>
    <row r="1252" spans="1:16">
      <c r="A1252" t="str" cm="1">
        <f t="array" ref="A1252">IFERROR(INDEX(Create_TC_Web!D$1:D$1510,SMALL(IF(Create_TC_Web!$C$1:$C$1510&lt;&gt;"",MATCH(ROW(Create_TC_Web!$C$1:$C$1510),ROW(Create_TC_Web!$C$1:$C$1510)),""),ROW(Create_TC_Web!B1277))),"")</f>
        <v/>
      </c>
      <c r="P1252" s="17"/>
    </row>
    <row r="1253" spans="1:16">
      <c r="A1253" t="str" cm="1">
        <f t="array" ref="A1253">IFERROR(INDEX(Create_TC_Web!D$1:D$1510,SMALL(IF(Create_TC_Web!$C$1:$C$1510&lt;&gt;"",MATCH(ROW(Create_TC_Web!$C$1:$C$1510),ROW(Create_TC_Web!$C$1:$C$1510)),""),ROW(Create_TC_Web!B1278))),"")</f>
        <v/>
      </c>
      <c r="P1253" s="17"/>
    </row>
    <row r="1254" spans="1:16">
      <c r="A1254" t="str" cm="1">
        <f t="array" ref="A1254">IFERROR(INDEX(Create_TC_Web!D$1:D$1510,SMALL(IF(Create_TC_Web!$C$1:$C$1510&lt;&gt;"",MATCH(ROW(Create_TC_Web!$C$1:$C$1510),ROW(Create_TC_Web!$C$1:$C$1510)),""),ROW(Create_TC_Web!B1279))),"")</f>
        <v/>
      </c>
      <c r="P1254" s="17"/>
    </row>
    <row r="1255" spans="1:16">
      <c r="A1255" t="str" cm="1">
        <f t="array" ref="A1255">IFERROR(INDEX(Create_TC_Web!D$1:D$1510,SMALL(IF(Create_TC_Web!$C$1:$C$1510&lt;&gt;"",MATCH(ROW(Create_TC_Web!$C$1:$C$1510),ROW(Create_TC_Web!$C$1:$C$1510)),""),ROW(Create_TC_Web!B1280))),"")</f>
        <v/>
      </c>
      <c r="P1255" s="17"/>
    </row>
    <row r="1256" spans="1:16">
      <c r="A1256" t="str" cm="1">
        <f t="array" ref="A1256">IFERROR(INDEX(Create_TC_Web!D$1:D$1510,SMALL(IF(Create_TC_Web!$C$1:$C$1510&lt;&gt;"",MATCH(ROW(Create_TC_Web!$C$1:$C$1510),ROW(Create_TC_Web!$C$1:$C$1510)),""),ROW(Create_TC_Web!B1281))),"")</f>
        <v/>
      </c>
      <c r="P1256" s="17"/>
    </row>
    <row r="1257" spans="1:16">
      <c r="A1257" t="str" cm="1">
        <f t="array" ref="A1257">IFERROR(INDEX(Create_TC_Web!D$1:D$1510,SMALL(IF(Create_TC_Web!$C$1:$C$1510&lt;&gt;"",MATCH(ROW(Create_TC_Web!$C$1:$C$1510),ROW(Create_TC_Web!$C$1:$C$1510)),""),ROW(Create_TC_Web!B1282))),"")</f>
        <v/>
      </c>
      <c r="P1257" s="17"/>
    </row>
    <row r="1258" spans="1:16">
      <c r="A1258" t="str" cm="1">
        <f t="array" ref="A1258">IFERROR(INDEX(Create_TC_Web!D$1:D$1510,SMALL(IF(Create_TC_Web!$C$1:$C$1510&lt;&gt;"",MATCH(ROW(Create_TC_Web!$C$1:$C$1510),ROW(Create_TC_Web!$C$1:$C$1510)),""),ROW(Create_TC_Web!B1283))),"")</f>
        <v/>
      </c>
      <c r="P1258" s="17"/>
    </row>
    <row r="1259" spans="1:16">
      <c r="A1259" t="str" cm="1">
        <f t="array" ref="A1259">IFERROR(INDEX(Create_TC_Web!D$1:D$1510,SMALL(IF(Create_TC_Web!$C$1:$C$1510&lt;&gt;"",MATCH(ROW(Create_TC_Web!$C$1:$C$1510),ROW(Create_TC_Web!$C$1:$C$1510)),""),ROW(Create_TC_Web!B1284))),"")</f>
        <v/>
      </c>
      <c r="P1259" s="17"/>
    </row>
    <row r="1260" spans="1:16">
      <c r="A1260" t="str" cm="1">
        <f t="array" ref="A1260">IFERROR(INDEX(Create_TC_Web!D$1:D$1510,SMALL(IF(Create_TC_Web!$C$1:$C$1510&lt;&gt;"",MATCH(ROW(Create_TC_Web!$C$1:$C$1510),ROW(Create_TC_Web!$C$1:$C$1510)),""),ROW(Create_TC_Web!B1285))),"")</f>
        <v/>
      </c>
      <c r="P1260" s="17"/>
    </row>
    <row r="1261" spans="1:16">
      <c r="A1261" t="str" cm="1">
        <f t="array" ref="A1261">IFERROR(INDEX(Create_TC_Web!D$1:D$1510,SMALL(IF(Create_TC_Web!$C$1:$C$1510&lt;&gt;"",MATCH(ROW(Create_TC_Web!$C$1:$C$1510),ROW(Create_TC_Web!$C$1:$C$1510)),""),ROW(Create_TC_Web!B1286))),"")</f>
        <v/>
      </c>
      <c r="P1261" s="17"/>
    </row>
    <row r="1262" spans="1:16">
      <c r="A1262" t="str" cm="1">
        <f t="array" ref="A1262">IFERROR(INDEX(Create_TC_Web!D$1:D$1510,SMALL(IF(Create_TC_Web!$C$1:$C$1510&lt;&gt;"",MATCH(ROW(Create_TC_Web!$C$1:$C$1510),ROW(Create_TC_Web!$C$1:$C$1510)),""),ROW(Create_TC_Web!B1287))),"")</f>
        <v/>
      </c>
      <c r="P1262" s="17"/>
    </row>
    <row r="1263" spans="1:16">
      <c r="A1263" t="str" cm="1">
        <f t="array" ref="A1263">IFERROR(INDEX(Create_TC_Web!D$1:D$1510,SMALL(IF(Create_TC_Web!$C$1:$C$1510&lt;&gt;"",MATCH(ROW(Create_TC_Web!$C$1:$C$1510),ROW(Create_TC_Web!$C$1:$C$1510)),""),ROW(Create_TC_Web!B1288))),"")</f>
        <v/>
      </c>
      <c r="P1263" s="17"/>
    </row>
    <row r="1264" spans="1:16">
      <c r="A1264" t="str" cm="1">
        <f t="array" ref="A1264">IFERROR(INDEX(Create_TC_Web!D$1:D$1510,SMALL(IF(Create_TC_Web!$C$1:$C$1510&lt;&gt;"",MATCH(ROW(Create_TC_Web!$C$1:$C$1510),ROW(Create_TC_Web!$C$1:$C$1510)),""),ROW(Create_TC_Web!B1289))),"")</f>
        <v/>
      </c>
      <c r="P1264" s="17"/>
    </row>
    <row r="1265" spans="1:16">
      <c r="A1265" t="str" cm="1">
        <f t="array" ref="A1265">IFERROR(INDEX(Create_TC_Web!D$1:D$1510,SMALL(IF(Create_TC_Web!$C$1:$C$1510&lt;&gt;"",MATCH(ROW(Create_TC_Web!$C$1:$C$1510),ROW(Create_TC_Web!$C$1:$C$1510)),""),ROW(Create_TC_Web!B1290))),"")</f>
        <v/>
      </c>
      <c r="P1265" s="17"/>
    </row>
    <row r="1266" spans="1:16">
      <c r="A1266" t="str" cm="1">
        <f t="array" ref="A1266">IFERROR(INDEX(Create_TC_Web!D$1:D$1510,SMALL(IF(Create_TC_Web!$C$1:$C$1510&lt;&gt;"",MATCH(ROW(Create_TC_Web!$C$1:$C$1510),ROW(Create_TC_Web!$C$1:$C$1510)),""),ROW(Create_TC_Web!B1291))),"")</f>
        <v/>
      </c>
      <c r="P1266" s="17"/>
    </row>
    <row r="1267" spans="1:16">
      <c r="A1267" t="str" cm="1">
        <f t="array" ref="A1267">IFERROR(INDEX(Create_TC_Web!D$1:D$1510,SMALL(IF(Create_TC_Web!$C$1:$C$1510&lt;&gt;"",MATCH(ROW(Create_TC_Web!$C$1:$C$1510),ROW(Create_TC_Web!$C$1:$C$1510)),""),ROW(Create_TC_Web!B1292))),"")</f>
        <v/>
      </c>
      <c r="P1267" s="17"/>
    </row>
    <row r="1268" spans="1:16">
      <c r="A1268" t="str" cm="1">
        <f t="array" ref="A1268">IFERROR(INDEX(Create_TC_Web!D$1:D$1510,SMALL(IF(Create_TC_Web!$C$1:$C$1510&lt;&gt;"",MATCH(ROW(Create_TC_Web!$C$1:$C$1510),ROW(Create_TC_Web!$C$1:$C$1510)),""),ROW(Create_TC_Web!B1293))),"")</f>
        <v/>
      </c>
      <c r="P1268" s="17"/>
    </row>
    <row r="1269" spans="1:16">
      <c r="A1269" t="str" cm="1">
        <f t="array" ref="A1269">IFERROR(INDEX(Create_TC_Web!D$1:D$1510,SMALL(IF(Create_TC_Web!$C$1:$C$1510&lt;&gt;"",MATCH(ROW(Create_TC_Web!$C$1:$C$1510),ROW(Create_TC_Web!$C$1:$C$1510)),""),ROW(Create_TC_Web!B1294))),"")</f>
        <v/>
      </c>
      <c r="P1269" s="17"/>
    </row>
    <row r="1270" spans="1:16">
      <c r="P1270" s="17"/>
    </row>
    <row r="1271" spans="1:16">
      <c r="P1271" s="17"/>
    </row>
    <row r="1272" spans="1:16">
      <c r="P1272" s="17"/>
    </row>
    <row r="1273" spans="1:16">
      <c r="P1273" s="17"/>
    </row>
    <row r="1274" spans="1:16">
      <c r="P1274" s="17"/>
    </row>
    <row r="1275" spans="1:16">
      <c r="P1275" s="17"/>
    </row>
    <row r="1276" spans="1:16">
      <c r="P1276" s="17"/>
    </row>
    <row r="1277" spans="1:16">
      <c r="P1277" s="17"/>
    </row>
    <row r="1278" spans="1:16">
      <c r="P1278" s="17"/>
    </row>
    <row r="1279" spans="1:16">
      <c r="P1279" s="17"/>
    </row>
    <row r="1280" spans="1:16">
      <c r="P1280" s="17"/>
    </row>
    <row r="1281" spans="16:16">
      <c r="P1281" s="17"/>
    </row>
    <row r="1282" spans="16:16">
      <c r="P1282" s="17"/>
    </row>
    <row r="1283" spans="16:16">
      <c r="P1283" s="17"/>
    </row>
    <row r="1284" spans="16:16">
      <c r="P1284" s="17"/>
    </row>
    <row r="1285" spans="16:16">
      <c r="P1285" s="17"/>
    </row>
    <row r="1286" spans="16:16">
      <c r="P1286" s="17"/>
    </row>
    <row r="1287" spans="16:16">
      <c r="P1287" s="17"/>
    </row>
    <row r="1288" spans="16:16">
      <c r="P1288" s="17"/>
    </row>
    <row r="1289" spans="16:16">
      <c r="P1289" s="17"/>
    </row>
    <row r="1290" spans="16:16">
      <c r="P1290" s="17"/>
    </row>
    <row r="1291" spans="16:16">
      <c r="P1291" s="17"/>
    </row>
    <row r="1292" spans="16:16">
      <c r="P1292" s="17"/>
    </row>
    <row r="1293" spans="16:16">
      <c r="P1293" s="17"/>
    </row>
    <row r="1294" spans="16:16">
      <c r="P1294" s="17"/>
    </row>
    <row r="1295" spans="16:16">
      <c r="P1295" s="17"/>
    </row>
    <row r="1296" spans="16:16">
      <c r="P1296" s="17"/>
    </row>
    <row r="1297" spans="16:16">
      <c r="P1297" s="17"/>
    </row>
    <row r="1298" spans="16:16">
      <c r="P1298" s="17"/>
    </row>
    <row r="1299" spans="16:16">
      <c r="P1299" s="17"/>
    </row>
    <row r="1300" spans="16:16">
      <c r="P1300" s="17"/>
    </row>
    <row r="1301" spans="16:16">
      <c r="P1301" s="17"/>
    </row>
    <row r="1302" spans="16:16">
      <c r="P1302" s="17"/>
    </row>
    <row r="1303" spans="16:16">
      <c r="P1303" s="17"/>
    </row>
    <row r="1304" spans="16:16">
      <c r="P1304" s="17"/>
    </row>
    <row r="1305" spans="16:16">
      <c r="P1305" s="17"/>
    </row>
    <row r="1306" spans="16:16">
      <c r="P1306" s="17"/>
    </row>
    <row r="1307" spans="16:16">
      <c r="P1307" s="17"/>
    </row>
    <row r="1308" spans="16:16">
      <c r="P1308" s="17"/>
    </row>
    <row r="1309" spans="16:16">
      <c r="P1309" s="17"/>
    </row>
    <row r="1310" spans="16:16">
      <c r="P1310" s="17"/>
    </row>
    <row r="1311" spans="16:16">
      <c r="P1311" s="17"/>
    </row>
    <row r="1312" spans="16:16">
      <c r="P1312" s="17"/>
    </row>
    <row r="1313" spans="16:16">
      <c r="P1313" s="17"/>
    </row>
    <row r="1314" spans="16:16">
      <c r="P1314" s="17"/>
    </row>
    <row r="1315" spans="16:16">
      <c r="P1315" s="17"/>
    </row>
    <row r="1316" spans="16:16">
      <c r="P1316" s="17"/>
    </row>
    <row r="1317" spans="16:16">
      <c r="P1317" s="17"/>
    </row>
    <row r="1318" spans="16:16">
      <c r="P1318" s="17"/>
    </row>
    <row r="1319" spans="16:16">
      <c r="P1319" s="17"/>
    </row>
    <row r="1320" spans="16:16">
      <c r="P1320" s="17"/>
    </row>
    <row r="1321" spans="16:16">
      <c r="P1321" s="17"/>
    </row>
    <row r="1322" spans="16:16">
      <c r="P1322" s="17"/>
    </row>
    <row r="1323" spans="16:16">
      <c r="P1323" s="17"/>
    </row>
    <row r="1324" spans="16:16">
      <c r="P1324" s="17"/>
    </row>
    <row r="1325" spans="16:16">
      <c r="P1325" s="17"/>
    </row>
    <row r="1326" spans="16:16">
      <c r="P1326" s="17"/>
    </row>
    <row r="1327" spans="16:16">
      <c r="P1327" s="17"/>
    </row>
    <row r="1328" spans="16:16">
      <c r="P1328" s="17"/>
    </row>
    <row r="1329" spans="16:16">
      <c r="P1329" s="17"/>
    </row>
    <row r="1330" spans="16:16">
      <c r="P1330" s="17"/>
    </row>
    <row r="1331" spans="16:16">
      <c r="P1331" s="17"/>
    </row>
    <row r="1332" spans="16:16">
      <c r="P1332" s="17"/>
    </row>
    <row r="1333" spans="16:16">
      <c r="P1333" s="17"/>
    </row>
    <row r="1334" spans="16:16">
      <c r="P1334" s="17"/>
    </row>
    <row r="1335" spans="16:16">
      <c r="P1335" s="17"/>
    </row>
    <row r="1336" spans="16:16">
      <c r="P1336" s="17"/>
    </row>
    <row r="1337" spans="16:16">
      <c r="P1337" s="17"/>
    </row>
    <row r="1338" spans="16:16">
      <c r="P1338" s="17"/>
    </row>
    <row r="1339" spans="16:16">
      <c r="P1339" s="17"/>
    </row>
    <row r="1340" spans="16:16">
      <c r="P1340" s="17"/>
    </row>
    <row r="1341" spans="16:16">
      <c r="P1341" s="17"/>
    </row>
    <row r="1342" spans="16:16">
      <c r="P1342" s="17"/>
    </row>
    <row r="1343" spans="16:16">
      <c r="P1343" s="17"/>
    </row>
    <row r="1344" spans="16:16">
      <c r="P1344" s="17"/>
    </row>
    <row r="1345" spans="16:16">
      <c r="P1345" s="17"/>
    </row>
    <row r="1346" spans="16:16">
      <c r="P1346" s="17"/>
    </row>
    <row r="1347" spans="16:16">
      <c r="P1347" s="17"/>
    </row>
    <row r="1348" spans="16:16">
      <c r="P1348" s="17"/>
    </row>
    <row r="1349" spans="16:16">
      <c r="P1349" s="17"/>
    </row>
    <row r="1350" spans="16:16">
      <c r="P1350" s="17"/>
    </row>
    <row r="1351" spans="16:16">
      <c r="P1351" s="17"/>
    </row>
    <row r="1352" spans="16:16">
      <c r="P1352" s="17"/>
    </row>
    <row r="1353" spans="16:16">
      <c r="P1353" s="17"/>
    </row>
    <row r="1354" spans="16:16">
      <c r="P1354" s="17"/>
    </row>
    <row r="1355" spans="16:16">
      <c r="P1355" s="17"/>
    </row>
    <row r="1356" spans="16:16">
      <c r="P1356" s="17"/>
    </row>
    <row r="1357" spans="16:16">
      <c r="P1357" s="17"/>
    </row>
    <row r="1358" spans="16:16">
      <c r="P1358" s="17"/>
    </row>
    <row r="1359" spans="16:16">
      <c r="P1359" s="17"/>
    </row>
    <row r="1360" spans="16:16">
      <c r="P1360" s="17"/>
    </row>
    <row r="1361" spans="16:16">
      <c r="P1361" s="17"/>
    </row>
    <row r="1362" spans="16:16">
      <c r="P1362" s="17"/>
    </row>
    <row r="1363" spans="16:16">
      <c r="P1363" s="17"/>
    </row>
    <row r="1364" spans="16:16">
      <c r="P1364" s="17"/>
    </row>
    <row r="1365" spans="16:16">
      <c r="P1365" s="17"/>
    </row>
    <row r="1366" spans="16:16">
      <c r="P1366" s="17"/>
    </row>
    <row r="1367" spans="16:16">
      <c r="P1367" s="17"/>
    </row>
    <row r="1368" spans="16:16">
      <c r="P1368" s="17"/>
    </row>
    <row r="1369" spans="16:16">
      <c r="P1369" s="17"/>
    </row>
    <row r="1370" spans="16:16">
      <c r="P1370" s="17"/>
    </row>
    <row r="1371" spans="16:16">
      <c r="P1371" s="17"/>
    </row>
    <row r="1372" spans="16:16">
      <c r="P1372" s="17"/>
    </row>
    <row r="1373" spans="16:16">
      <c r="P1373" s="17"/>
    </row>
    <row r="1374" spans="16:16">
      <c r="P1374" s="17"/>
    </row>
    <row r="1375" spans="16:16">
      <c r="P1375" s="17"/>
    </row>
    <row r="1376" spans="16:16">
      <c r="P1376" s="17"/>
    </row>
    <row r="1377" spans="16:16">
      <c r="P1377" s="17"/>
    </row>
    <row r="1378" spans="16:16">
      <c r="P1378" s="17"/>
    </row>
    <row r="1379" spans="16:16">
      <c r="P1379" s="17"/>
    </row>
    <row r="1380" spans="16:16">
      <c r="P1380" s="17"/>
    </row>
    <row r="1381" spans="16:16">
      <c r="P1381" s="17"/>
    </row>
    <row r="1382" spans="16:16">
      <c r="P1382" s="17"/>
    </row>
    <row r="1383" spans="16:16">
      <c r="P1383" s="17"/>
    </row>
    <row r="1384" spans="16:16">
      <c r="P1384" s="17"/>
    </row>
    <row r="1385" spans="16:16">
      <c r="P1385" s="17"/>
    </row>
    <row r="1386" spans="16:16">
      <c r="P1386" s="17"/>
    </row>
    <row r="1387" spans="16:16">
      <c r="P1387" s="17"/>
    </row>
    <row r="1388" spans="16:16">
      <c r="P1388" s="17"/>
    </row>
    <row r="1389" spans="16:16">
      <c r="P1389" s="17"/>
    </row>
    <row r="1390" spans="16:16">
      <c r="P1390" s="17"/>
    </row>
    <row r="1439" spans="16:16">
      <c r="P1439" s="17"/>
    </row>
    <row r="1440" spans="16:16">
      <c r="P1440" s="17"/>
    </row>
    <row r="1441" spans="16:16">
      <c r="P1441" s="17"/>
    </row>
    <row r="1442" spans="16:16">
      <c r="P1442" s="17"/>
    </row>
    <row r="1443" spans="16:16">
      <c r="P1443" s="17"/>
    </row>
    <row r="1444" spans="16:16">
      <c r="P1444" s="17"/>
    </row>
    <row r="1445" spans="16:16">
      <c r="P1445" s="17"/>
    </row>
    <row r="1446" spans="16:16">
      <c r="P1446" s="17"/>
    </row>
    <row r="1447" spans="16:16">
      <c r="P1447" s="17"/>
    </row>
    <row r="1448" spans="16:16">
      <c r="P1448" s="17"/>
    </row>
    <row r="1449" spans="16:16">
      <c r="P1449" s="17"/>
    </row>
    <row r="1450" spans="16:16">
      <c r="P1450" s="17"/>
    </row>
    <row r="1451" spans="16:16">
      <c r="P1451" s="17"/>
    </row>
    <row r="1452" spans="16:16">
      <c r="P1452" s="17"/>
    </row>
    <row r="1453" spans="16:16">
      <c r="P1453" s="17"/>
    </row>
    <row r="1454" spans="16:16">
      <c r="P1454" s="17"/>
    </row>
    <row r="1455" spans="16:16">
      <c r="P1455" s="17"/>
    </row>
    <row r="1456" spans="16:16">
      <c r="P1456" s="17"/>
    </row>
    <row r="1457" spans="16:16">
      <c r="P1457" s="17"/>
    </row>
    <row r="1458" spans="16:16">
      <c r="P1458" s="17"/>
    </row>
    <row r="1459" spans="16:16">
      <c r="P1459" s="17"/>
    </row>
    <row r="1460" spans="16:16">
      <c r="P1460" s="17"/>
    </row>
    <row r="1461" spans="16:16">
      <c r="P1461" s="17"/>
    </row>
    <row r="1462" spans="16:16">
      <c r="P1462" s="17"/>
    </row>
    <row r="1463" spans="16:16">
      <c r="P1463" s="17"/>
    </row>
    <row r="1464" spans="16:16">
      <c r="P1464" s="17"/>
    </row>
    <row r="1465" spans="16:16">
      <c r="P1465" s="17"/>
    </row>
    <row r="1466" spans="16:16">
      <c r="P1466" s="17"/>
    </row>
    <row r="1467" spans="16:16">
      <c r="P1467" s="17"/>
    </row>
    <row r="1468" spans="16:16">
      <c r="P1468" s="17"/>
    </row>
    <row r="1469" spans="16:16">
      <c r="P1469" s="17"/>
    </row>
    <row r="1470" spans="16:16">
      <c r="P1470" s="17"/>
    </row>
    <row r="1471" spans="16:16">
      <c r="P1471" s="17"/>
    </row>
    <row r="1472" spans="16:16">
      <c r="P1472" s="17"/>
    </row>
    <row r="1473" spans="16:16">
      <c r="P1473" s="17"/>
    </row>
    <row r="1474" spans="16:16">
      <c r="P1474" s="17"/>
    </row>
    <row r="1475" spans="16:16">
      <c r="P1475" s="17"/>
    </row>
    <row r="1476" spans="16:16">
      <c r="P1476" s="17"/>
    </row>
    <row r="1477" spans="16:16">
      <c r="P1477" s="17"/>
    </row>
    <row r="1478" spans="16:16">
      <c r="P1478" s="17"/>
    </row>
    <row r="1479" spans="16:16">
      <c r="P1479" s="17"/>
    </row>
    <row r="1480" spans="16:16">
      <c r="P1480" s="17"/>
    </row>
    <row r="1481" spans="16:16">
      <c r="P1481" s="17"/>
    </row>
    <row r="1482" spans="16:16">
      <c r="P1482" s="17"/>
    </row>
    <row r="1483" spans="16:16">
      <c r="P1483" s="17"/>
    </row>
    <row r="1484" spans="16:16">
      <c r="P1484" s="17"/>
    </row>
    <row r="1485" spans="16:16">
      <c r="P1485" s="17"/>
    </row>
    <row r="1486" spans="16:16">
      <c r="P1486" s="17"/>
    </row>
    <row r="1487" spans="16:16">
      <c r="P1487" s="17"/>
    </row>
    <row r="1488" spans="16:16">
      <c r="P1488" s="17"/>
    </row>
    <row r="1489" spans="16:16">
      <c r="P1489" s="17"/>
    </row>
    <row r="1490" spans="16:16">
      <c r="P1490" s="17"/>
    </row>
    <row r="1491" spans="16:16">
      <c r="P1491" s="17"/>
    </row>
    <row r="1492" spans="16:16">
      <c r="P1492" s="17"/>
    </row>
    <row r="1493" spans="16:16">
      <c r="P1493" s="17"/>
    </row>
    <row r="1494" spans="16:16">
      <c r="P1494" s="17"/>
    </row>
    <row r="1495" spans="16:16">
      <c r="P1495" s="17"/>
    </row>
    <row r="1496" spans="16:16">
      <c r="P1496" s="17"/>
    </row>
    <row r="1497" spans="16:16">
      <c r="P1497" s="17"/>
    </row>
    <row r="1498" spans="16:16">
      <c r="P1498" s="17"/>
    </row>
    <row r="1499" spans="16:16">
      <c r="P1499" s="17"/>
    </row>
    <row r="1500" spans="16:16">
      <c r="P1500" s="17"/>
    </row>
    <row r="1501" spans="16:16">
      <c r="P1501" s="17"/>
    </row>
    <row r="1502" spans="16:16">
      <c r="P1502" s="17"/>
    </row>
    <row r="1503" spans="16:16">
      <c r="P1503" s="17"/>
    </row>
    <row r="1504" spans="16:16">
      <c r="P1504" s="17"/>
    </row>
    <row r="1505" spans="16:16">
      <c r="P1505" s="17"/>
    </row>
    <row r="1506" spans="16:16">
      <c r="P1506" s="17"/>
    </row>
    <row r="1507" spans="16:16">
      <c r="P1507" s="17"/>
    </row>
    <row r="1508" spans="16:16">
      <c r="P1508" s="17"/>
    </row>
    <row r="1509" spans="16:16">
      <c r="P1509" s="17"/>
    </row>
    <row r="1510" spans="16:16">
      <c r="P1510" s="17"/>
    </row>
    <row r="1511" spans="16:16">
      <c r="P1511" s="17"/>
    </row>
    <row r="1512" spans="16:16">
      <c r="P1512" s="17"/>
    </row>
    <row r="1513" spans="16:16">
      <c r="P1513" s="17"/>
    </row>
    <row r="1514" spans="16:16">
      <c r="P1514" s="17"/>
    </row>
    <row r="1515" spans="16:16">
      <c r="P1515" s="17"/>
    </row>
    <row r="1516" spans="16:16">
      <c r="P1516" s="17"/>
    </row>
    <row r="1517" spans="16:16">
      <c r="P1517" s="17"/>
    </row>
    <row r="1518" spans="16:16">
      <c r="P1518" s="17"/>
    </row>
    <row r="1519" spans="16:16">
      <c r="P1519" s="17"/>
    </row>
    <row r="1520" spans="16:16">
      <c r="P1520" s="17"/>
    </row>
    <row r="1521" spans="16:16">
      <c r="P1521" s="17"/>
    </row>
    <row r="1522" spans="16:16">
      <c r="P1522" s="17"/>
    </row>
    <row r="1523" spans="16:16">
      <c r="P1523" s="17"/>
    </row>
    <row r="1524" spans="16:16">
      <c r="P1524" s="17"/>
    </row>
    <row r="1525" spans="16:16">
      <c r="P1525" s="17"/>
    </row>
    <row r="1526" spans="16:16">
      <c r="P1526" s="17"/>
    </row>
    <row r="1527" spans="16:16">
      <c r="P1527" s="17"/>
    </row>
    <row r="1528" spans="16:16">
      <c r="P1528" s="17"/>
    </row>
    <row r="1529" spans="16:16">
      <c r="P1529" s="17"/>
    </row>
    <row r="1530" spans="16:16">
      <c r="P1530" s="17"/>
    </row>
    <row r="1531" spans="16:16">
      <c r="P1531" s="17"/>
    </row>
    <row r="1532" spans="16:16">
      <c r="P1532" s="17"/>
    </row>
    <row r="1533" spans="16:16">
      <c r="P1533" s="17"/>
    </row>
    <row r="1534" spans="16:16">
      <c r="P1534" s="17"/>
    </row>
    <row r="1535" spans="16:16">
      <c r="P1535" s="17"/>
    </row>
    <row r="1536" spans="16:16">
      <c r="P1536" s="17"/>
    </row>
    <row r="1537" spans="16:16">
      <c r="P1537" s="17"/>
    </row>
    <row r="1538" spans="16:16">
      <c r="P1538" s="17"/>
    </row>
    <row r="1539" spans="16:16">
      <c r="P1539" s="17"/>
    </row>
    <row r="1540" spans="16:16">
      <c r="P1540" s="17"/>
    </row>
    <row r="1541" spans="16:16">
      <c r="P1541" s="17"/>
    </row>
    <row r="1542" spans="16:16">
      <c r="P1542" s="17"/>
    </row>
    <row r="1543" spans="16:16">
      <c r="P1543" s="17"/>
    </row>
    <row r="1544" spans="16:16">
      <c r="P1544" s="17"/>
    </row>
    <row r="1545" spans="16:16">
      <c r="P1545" s="17"/>
    </row>
    <row r="1546" spans="16:16">
      <c r="P1546" s="17"/>
    </row>
    <row r="1547" spans="16:16">
      <c r="P1547" s="17"/>
    </row>
    <row r="1548" spans="16:16">
      <c r="P1548" s="17"/>
    </row>
    <row r="1549" spans="16:16">
      <c r="P1549" s="17"/>
    </row>
    <row r="1550" spans="16:16">
      <c r="P1550" s="17"/>
    </row>
    <row r="1551" spans="16:16">
      <c r="P1551" s="17"/>
    </row>
    <row r="1552" spans="16:16">
      <c r="P1552" s="17"/>
    </row>
    <row r="1553" spans="16:16">
      <c r="P1553" s="17"/>
    </row>
    <row r="1554" spans="16:16">
      <c r="P1554" s="17"/>
    </row>
    <row r="1555" spans="16:16">
      <c r="P1555" s="17"/>
    </row>
    <row r="1556" spans="16:16">
      <c r="P1556" s="17"/>
    </row>
    <row r="1557" spans="16:16">
      <c r="P1557" s="17"/>
    </row>
    <row r="1558" spans="16:16">
      <c r="P1558" s="17"/>
    </row>
    <row r="1559" spans="16:16">
      <c r="P1559" s="17"/>
    </row>
    <row r="1560" spans="16:16">
      <c r="P1560" s="17"/>
    </row>
    <row r="1561" spans="16:16">
      <c r="P1561" s="17"/>
    </row>
    <row r="1562" spans="16:16">
      <c r="P1562" s="17"/>
    </row>
    <row r="1563" spans="16:16">
      <c r="P1563" s="17"/>
    </row>
    <row r="1564" spans="16:16">
      <c r="P1564" s="17"/>
    </row>
    <row r="1565" spans="16:16">
      <c r="P1565" s="17"/>
    </row>
    <row r="1566" spans="16:16">
      <c r="P1566" s="17"/>
    </row>
    <row r="1567" spans="16:16">
      <c r="P1567" s="17"/>
    </row>
    <row r="1568" spans="16:16">
      <c r="P1568" s="17"/>
    </row>
    <row r="1569" spans="16:16">
      <c r="P1569" s="17"/>
    </row>
    <row r="1570" spans="16:16">
      <c r="P1570" s="17"/>
    </row>
    <row r="1571" spans="16:16">
      <c r="P1571" s="17"/>
    </row>
    <row r="1572" spans="16:16">
      <c r="P1572" s="17"/>
    </row>
    <row r="1573" spans="16:16">
      <c r="P1573" s="17"/>
    </row>
    <row r="1574" spans="16:16">
      <c r="P1574" s="17"/>
    </row>
    <row r="1575" spans="16:16">
      <c r="P1575" s="17"/>
    </row>
    <row r="1576" spans="16:16">
      <c r="P1576" s="17"/>
    </row>
    <row r="1577" spans="16:16">
      <c r="P1577" s="17"/>
    </row>
    <row r="1578" spans="16:16">
      <c r="P1578" s="17"/>
    </row>
    <row r="1579" spans="16:16">
      <c r="P1579" s="17"/>
    </row>
    <row r="1580" spans="16:16">
      <c r="P1580" s="17"/>
    </row>
    <row r="1581" spans="16:16">
      <c r="P1581" s="17"/>
    </row>
    <row r="1582" spans="16:16">
      <c r="P1582" s="17"/>
    </row>
    <row r="1583" spans="16:16">
      <c r="P1583" s="17"/>
    </row>
    <row r="1584" spans="16:16">
      <c r="P1584" s="17"/>
    </row>
    <row r="1585" spans="16:16">
      <c r="P1585" s="17"/>
    </row>
    <row r="1586" spans="16:16">
      <c r="P1586" s="17"/>
    </row>
    <row r="1587" spans="16:16">
      <c r="P1587" s="17"/>
    </row>
    <row r="1588" spans="16:16">
      <c r="P1588" s="17"/>
    </row>
    <row r="1589" spans="16:16">
      <c r="P1589" s="17"/>
    </row>
    <row r="1590" spans="16:16">
      <c r="P1590" s="17"/>
    </row>
    <row r="1591" spans="16:16">
      <c r="P1591" s="17"/>
    </row>
    <row r="1592" spans="16:16">
      <c r="P1592" s="17"/>
    </row>
    <row r="1593" spans="16:16">
      <c r="P1593" s="17"/>
    </row>
    <row r="1594" spans="16:16">
      <c r="P1594" s="17"/>
    </row>
    <row r="1595" spans="16:16">
      <c r="P1595" s="17"/>
    </row>
    <row r="1596" spans="16:16">
      <c r="P1596" s="17"/>
    </row>
    <row r="1597" spans="16:16">
      <c r="P1597" s="17"/>
    </row>
    <row r="1598" spans="16:16">
      <c r="P1598" s="17"/>
    </row>
    <row r="1599" spans="16:16">
      <c r="P1599" s="17"/>
    </row>
    <row r="1600" spans="16:16">
      <c r="P1600" s="17"/>
    </row>
    <row r="1601" spans="16:16">
      <c r="P1601" s="17"/>
    </row>
    <row r="1602" spans="16:16">
      <c r="P1602" s="17"/>
    </row>
    <row r="1603" spans="16:16">
      <c r="P1603" s="17"/>
    </row>
    <row r="1604" spans="16:16">
      <c r="P1604" s="17"/>
    </row>
    <row r="1605" spans="16:16">
      <c r="P1605" s="17"/>
    </row>
    <row r="1606" spans="16:16">
      <c r="P1606" s="17"/>
    </row>
    <row r="1607" spans="16:16">
      <c r="P1607" s="17"/>
    </row>
    <row r="1608" spans="16:16">
      <c r="P1608" s="17"/>
    </row>
    <row r="1609" spans="16:16">
      <c r="P1609" s="17"/>
    </row>
    <row r="1610" spans="16:16">
      <c r="P1610" s="17"/>
    </row>
    <row r="1611" spans="16:16">
      <c r="P1611" s="17"/>
    </row>
    <row r="1612" spans="16:16">
      <c r="P1612" s="17"/>
    </row>
    <row r="1613" spans="16:16">
      <c r="P1613" s="17"/>
    </row>
    <row r="1614" spans="16:16">
      <c r="P1614" s="17"/>
    </row>
    <row r="1615" spans="16:16">
      <c r="P1615" s="17"/>
    </row>
    <row r="1616" spans="16:16">
      <c r="P1616" s="17"/>
    </row>
    <row r="1617" spans="16:16">
      <c r="P1617" s="17"/>
    </row>
    <row r="1618" spans="16:16">
      <c r="P1618" s="17"/>
    </row>
    <row r="1619" spans="16:16">
      <c r="P1619" s="17"/>
    </row>
    <row r="1620" spans="16:16">
      <c r="P1620" s="17"/>
    </row>
    <row r="1621" spans="16:16">
      <c r="P1621" s="17"/>
    </row>
    <row r="1622" spans="16:16">
      <c r="P1622" s="17"/>
    </row>
    <row r="1623" spans="16:16">
      <c r="P1623" s="17"/>
    </row>
    <row r="1624" spans="16:16">
      <c r="P1624" s="17"/>
    </row>
    <row r="1625" spans="16:16">
      <c r="P1625" s="17"/>
    </row>
    <row r="1626" spans="16:16">
      <c r="P1626" s="17"/>
    </row>
    <row r="1627" spans="16:16">
      <c r="P1627" s="17"/>
    </row>
    <row r="1628" spans="16:16">
      <c r="P1628" s="17"/>
    </row>
    <row r="1629" spans="16:16">
      <c r="P1629" s="17"/>
    </row>
    <row r="1630" spans="16:16">
      <c r="P1630" s="17"/>
    </row>
    <row r="1631" spans="16:16">
      <c r="P1631" s="17"/>
    </row>
    <row r="1632" spans="16:16">
      <c r="P1632" s="17"/>
    </row>
    <row r="1633" spans="16:16">
      <c r="P1633" s="17"/>
    </row>
    <row r="1634" spans="16:16">
      <c r="P1634" s="17"/>
    </row>
    <row r="1635" spans="16:16">
      <c r="P1635" s="17"/>
    </row>
    <row r="1636" spans="16:16">
      <c r="P1636" s="17"/>
    </row>
    <row r="1637" spans="16:16">
      <c r="P1637" s="17"/>
    </row>
    <row r="1638" spans="16:16">
      <c r="P1638" s="17"/>
    </row>
    <row r="1639" spans="16:16">
      <c r="P1639" s="17"/>
    </row>
    <row r="1640" spans="16:16">
      <c r="P1640" s="17"/>
    </row>
    <row r="1641" spans="16:16">
      <c r="P1641" s="17"/>
    </row>
    <row r="1642" spans="16:16">
      <c r="P1642" s="17"/>
    </row>
    <row r="1643" spans="16:16">
      <c r="P1643" s="17"/>
    </row>
    <row r="1644" spans="16:16">
      <c r="P1644" s="17"/>
    </row>
    <row r="1645" spans="16:16">
      <c r="P1645" s="17"/>
    </row>
    <row r="1646" spans="16:16">
      <c r="P1646" s="17"/>
    </row>
    <row r="1647" spans="16:16">
      <c r="P1647" s="17"/>
    </row>
    <row r="1648" spans="16:16">
      <c r="P1648" s="17"/>
    </row>
    <row r="1649" spans="16:16">
      <c r="P1649" s="17"/>
    </row>
    <row r="1650" spans="16:16">
      <c r="P1650" s="17"/>
    </row>
    <row r="1651" spans="16:16">
      <c r="P1651" s="17"/>
    </row>
    <row r="1652" spans="16:16">
      <c r="P1652" s="17"/>
    </row>
    <row r="1653" spans="16:16">
      <c r="P1653" s="17"/>
    </row>
    <row r="1654" spans="16:16">
      <c r="P1654" s="17"/>
    </row>
    <row r="1655" spans="16:16">
      <c r="P1655" s="17"/>
    </row>
    <row r="1656" spans="16:16">
      <c r="P1656" s="17"/>
    </row>
    <row r="1657" spans="16:16">
      <c r="P1657" s="17"/>
    </row>
    <row r="1658" spans="16:16">
      <c r="P1658" s="17"/>
    </row>
    <row r="1659" spans="16:16">
      <c r="P1659" s="17"/>
    </row>
    <row r="1660" spans="16:16">
      <c r="P1660" s="17"/>
    </row>
    <row r="1661" spans="16:16">
      <c r="P1661" s="17"/>
    </row>
    <row r="1662" spans="16:16">
      <c r="P1662" s="17"/>
    </row>
    <row r="1663" spans="16:16">
      <c r="P1663" s="17"/>
    </row>
    <row r="1664" spans="16:16">
      <c r="P1664" s="17"/>
    </row>
    <row r="1665" spans="16:16">
      <c r="P1665" s="17"/>
    </row>
    <row r="1666" spans="16:16">
      <c r="P1666" s="17"/>
    </row>
    <row r="1667" spans="16:16">
      <c r="P1667" s="17"/>
    </row>
    <row r="1668" spans="16:16">
      <c r="P1668" s="17"/>
    </row>
    <row r="1669" spans="16:16">
      <c r="P1669" s="17"/>
    </row>
    <row r="1670" spans="16:16">
      <c r="P1670" s="17"/>
    </row>
    <row r="1671" spans="16:16">
      <c r="P1671" s="17"/>
    </row>
    <row r="1672" spans="16:16">
      <c r="P1672" s="17"/>
    </row>
    <row r="1673" spans="16:16">
      <c r="P1673" s="17"/>
    </row>
    <row r="1674" spans="16:16">
      <c r="P1674" s="17"/>
    </row>
    <row r="1675" spans="16:16">
      <c r="P1675" s="17"/>
    </row>
    <row r="1676" spans="16:16">
      <c r="P1676" s="17"/>
    </row>
    <row r="1677" spans="16:16">
      <c r="P1677" s="17"/>
    </row>
    <row r="1678" spans="16:16">
      <c r="P1678" s="17"/>
    </row>
    <row r="1679" spans="16:16">
      <c r="P1679" s="17"/>
    </row>
    <row r="1680" spans="16:16">
      <c r="P1680" s="17"/>
    </row>
    <row r="1681" spans="16:16">
      <c r="P1681" s="17"/>
    </row>
    <row r="1682" spans="16:16">
      <c r="P1682" s="17"/>
    </row>
    <row r="1683" spans="16:16">
      <c r="P1683" s="17"/>
    </row>
    <row r="1684" spans="16:16">
      <c r="P1684" s="17"/>
    </row>
    <row r="1685" spans="16:16">
      <c r="P1685" s="17"/>
    </row>
    <row r="1686" spans="16:16">
      <c r="P1686" s="17"/>
    </row>
    <row r="1687" spans="16:16">
      <c r="P1687" s="17"/>
    </row>
    <row r="1688" spans="16:16">
      <c r="P1688" s="17"/>
    </row>
    <row r="1689" spans="16:16">
      <c r="P1689" s="17"/>
    </row>
    <row r="1690" spans="16:16">
      <c r="P1690" s="17"/>
    </row>
    <row r="1691" spans="16:16">
      <c r="P1691" s="17"/>
    </row>
    <row r="1692" spans="16:16">
      <c r="P1692" s="17"/>
    </row>
    <row r="1693" spans="16:16">
      <c r="P1693" s="17"/>
    </row>
    <row r="1694" spans="16:16">
      <c r="P1694" s="17"/>
    </row>
    <row r="1695" spans="16:16">
      <c r="P1695" s="17"/>
    </row>
    <row r="1696" spans="16:16">
      <c r="P1696" s="17"/>
    </row>
    <row r="1697" spans="16:16">
      <c r="P1697" s="17"/>
    </row>
    <row r="1698" spans="16:16">
      <c r="P1698" s="17"/>
    </row>
    <row r="1699" spans="16:16">
      <c r="P1699" s="17"/>
    </row>
    <row r="1700" spans="16:16">
      <c r="P1700" s="17"/>
    </row>
    <row r="1701" spans="16:16">
      <c r="P1701" s="17"/>
    </row>
    <row r="1702" spans="16:16">
      <c r="P1702" s="17"/>
    </row>
    <row r="1703" spans="16:16">
      <c r="P1703" s="17"/>
    </row>
    <row r="1704" spans="16:16">
      <c r="P1704" s="17"/>
    </row>
    <row r="1705" spans="16:16">
      <c r="P1705" s="17"/>
    </row>
    <row r="1706" spans="16:16">
      <c r="P1706" s="17"/>
    </row>
    <row r="1707" spans="16:16">
      <c r="P1707" s="17"/>
    </row>
    <row r="1708" spans="16:16">
      <c r="P1708" s="17"/>
    </row>
    <row r="1709" spans="16:16">
      <c r="P1709" s="17"/>
    </row>
    <row r="1710" spans="16:16">
      <c r="P1710" s="17"/>
    </row>
    <row r="1711" spans="16:16">
      <c r="P1711" s="17"/>
    </row>
    <row r="1712" spans="16:16">
      <c r="P1712" s="17"/>
    </row>
    <row r="1713" spans="16:16">
      <c r="P1713" s="17"/>
    </row>
    <row r="1714" spans="16:16">
      <c r="P1714" s="17"/>
    </row>
    <row r="1715" spans="16:16">
      <c r="P1715" s="17"/>
    </row>
    <row r="1716" spans="16:16">
      <c r="P1716" s="17"/>
    </row>
    <row r="1717" spans="16:16">
      <c r="P1717" s="17"/>
    </row>
    <row r="1718" spans="16:16">
      <c r="P1718" s="17"/>
    </row>
    <row r="1719" spans="16:16">
      <c r="P1719" s="17"/>
    </row>
    <row r="1720" spans="16:16">
      <c r="P1720" s="17"/>
    </row>
    <row r="1721" spans="16:16">
      <c r="P1721" s="17"/>
    </row>
    <row r="1722" spans="16:16">
      <c r="P1722" s="17"/>
    </row>
    <row r="1723" spans="16:16">
      <c r="P1723" s="17"/>
    </row>
    <row r="1724" spans="16:16">
      <c r="P1724" s="17"/>
    </row>
    <row r="1725" spans="16:16">
      <c r="P1725" s="17"/>
    </row>
    <row r="1726" spans="16:16">
      <c r="P1726" s="17"/>
    </row>
    <row r="1727" spans="16:16">
      <c r="P1727" s="17"/>
    </row>
    <row r="1728" spans="16:16">
      <c r="P1728" s="17"/>
    </row>
    <row r="1729" spans="16:16">
      <c r="P1729" s="17"/>
    </row>
    <row r="1730" spans="16:16">
      <c r="P1730" s="17"/>
    </row>
    <row r="1731" spans="16:16">
      <c r="P1731" s="17"/>
    </row>
    <row r="1732" spans="16:16">
      <c r="P1732" s="17"/>
    </row>
    <row r="1733" spans="16:16">
      <c r="P1733" s="17"/>
    </row>
    <row r="1734" spans="16:16">
      <c r="P1734" s="17"/>
    </row>
    <row r="1735" spans="16:16">
      <c r="P1735" s="17"/>
    </row>
    <row r="1736" spans="16:16">
      <c r="P1736" s="17"/>
    </row>
    <row r="1737" spans="16:16">
      <c r="P1737" s="17"/>
    </row>
    <row r="1738" spans="16:16">
      <c r="P1738" s="17"/>
    </row>
    <row r="1739" spans="16:16">
      <c r="P1739" s="17"/>
    </row>
    <row r="1740" spans="16:16">
      <c r="P1740" s="17"/>
    </row>
    <row r="1741" spans="16:16">
      <c r="P1741" s="17"/>
    </row>
    <row r="1742" spans="16:16">
      <c r="P1742" s="17"/>
    </row>
    <row r="1743" spans="16:16">
      <c r="P1743" s="17"/>
    </row>
    <row r="1744" spans="16:16">
      <c r="P1744" s="17"/>
    </row>
    <row r="1745" spans="16:16">
      <c r="P1745" s="17"/>
    </row>
    <row r="1746" spans="16:16">
      <c r="P1746" s="17"/>
    </row>
    <row r="1747" spans="16:16">
      <c r="P1747" s="17"/>
    </row>
    <row r="1748" spans="16:16">
      <c r="P1748" s="17"/>
    </row>
    <row r="1749" spans="16:16">
      <c r="P1749" s="17"/>
    </row>
    <row r="1750" spans="16:16">
      <c r="P1750" s="17"/>
    </row>
    <row r="1751" spans="16:16">
      <c r="P1751" s="17"/>
    </row>
    <row r="1752" spans="16:16">
      <c r="P1752" s="17"/>
    </row>
    <row r="1753" spans="16:16">
      <c r="P1753" s="17"/>
    </row>
    <row r="1754" spans="16:16">
      <c r="P1754" s="17"/>
    </row>
    <row r="1755" spans="16:16">
      <c r="P1755" s="17"/>
    </row>
    <row r="1756" spans="16:16">
      <c r="P1756" s="17"/>
    </row>
    <row r="1757" spans="16:16">
      <c r="P1757" s="17"/>
    </row>
    <row r="1758" spans="16:16">
      <c r="P1758" s="17"/>
    </row>
    <row r="1759" spans="16:16">
      <c r="P1759" s="17"/>
    </row>
    <row r="1760" spans="16:16">
      <c r="P1760" s="17"/>
    </row>
    <row r="1761" spans="16:16">
      <c r="P1761" s="17"/>
    </row>
    <row r="1762" spans="16:16">
      <c r="P1762" s="17"/>
    </row>
    <row r="1763" spans="16:16">
      <c r="P1763" s="17"/>
    </row>
    <row r="1764" spans="16:16">
      <c r="P1764" s="17"/>
    </row>
    <row r="1765" spans="16:16">
      <c r="P1765" s="17"/>
    </row>
    <row r="1766" spans="16:16">
      <c r="P1766" s="17"/>
    </row>
    <row r="1767" spans="16:16">
      <c r="P1767" s="17"/>
    </row>
    <row r="1768" spans="16:16">
      <c r="P1768" s="17"/>
    </row>
    <row r="1769" spans="16:16">
      <c r="P1769" s="17"/>
    </row>
    <row r="1770" spans="16:16">
      <c r="P1770" s="17"/>
    </row>
    <row r="1771" spans="16:16">
      <c r="P1771" s="17"/>
    </row>
    <row r="1772" spans="16:16">
      <c r="P1772" s="17"/>
    </row>
    <row r="1773" spans="16:16">
      <c r="P1773" s="17"/>
    </row>
    <row r="1774" spans="16:16">
      <c r="P1774" s="17"/>
    </row>
    <row r="1775" spans="16:16">
      <c r="P1775" s="17"/>
    </row>
    <row r="1776" spans="16:16">
      <c r="P1776" s="17"/>
    </row>
    <row r="1777" spans="16:16">
      <c r="P1777" s="17"/>
    </row>
    <row r="1778" spans="16:16">
      <c r="P1778" s="17"/>
    </row>
    <row r="1779" spans="16:16">
      <c r="P1779" s="17"/>
    </row>
    <row r="1780" spans="16:16">
      <c r="P1780" s="17"/>
    </row>
    <row r="1781" spans="16:16">
      <c r="P1781" s="17"/>
    </row>
    <row r="1782" spans="16:16">
      <c r="P1782" s="17"/>
    </row>
    <row r="1783" spans="16:16">
      <c r="P1783" s="17"/>
    </row>
    <row r="1784" spans="16:16">
      <c r="P1784" s="17"/>
    </row>
    <row r="1785" spans="16:16">
      <c r="P1785" s="17"/>
    </row>
    <row r="1786" spans="16:16">
      <c r="P1786" s="17"/>
    </row>
    <row r="1787" spans="16:16">
      <c r="P1787" s="17"/>
    </row>
    <row r="1788" spans="16:16">
      <c r="P1788" s="17"/>
    </row>
    <row r="1789" spans="16:16">
      <c r="P1789" s="17"/>
    </row>
    <row r="1790" spans="16:16">
      <c r="P1790" s="17"/>
    </row>
    <row r="1791" spans="16:16">
      <c r="P1791" s="17"/>
    </row>
    <row r="1792" spans="16:16">
      <c r="P1792" s="17"/>
    </row>
    <row r="1793" spans="16:16">
      <c r="P1793" s="17"/>
    </row>
    <row r="1794" spans="16:16">
      <c r="P1794" s="17"/>
    </row>
    <row r="1795" spans="16:16">
      <c r="P1795" s="17"/>
    </row>
    <row r="1796" spans="16:16">
      <c r="P1796" s="17"/>
    </row>
    <row r="1797" spans="16:16">
      <c r="P1797" s="17"/>
    </row>
    <row r="1798" spans="16:16">
      <c r="P1798" s="17"/>
    </row>
    <row r="1799" spans="16:16">
      <c r="P1799" s="17"/>
    </row>
    <row r="1800" spans="16:16">
      <c r="P1800" s="17"/>
    </row>
    <row r="1801" spans="16:16">
      <c r="P1801" s="17"/>
    </row>
    <row r="1802" spans="16:16">
      <c r="P1802" s="17"/>
    </row>
    <row r="1803" spans="16:16">
      <c r="P1803" s="17"/>
    </row>
    <row r="1804" spans="16:16">
      <c r="P1804" s="17"/>
    </row>
    <row r="1805" spans="16:16">
      <c r="P1805" s="17"/>
    </row>
    <row r="1806" spans="16:16">
      <c r="P1806" s="17"/>
    </row>
    <row r="1807" spans="16:16">
      <c r="P1807" s="17"/>
    </row>
    <row r="1808" spans="16:16">
      <c r="P1808" s="17"/>
    </row>
    <row r="1809" spans="16:16">
      <c r="P1809" s="17"/>
    </row>
    <row r="1810" spans="16:16">
      <c r="P1810" s="17"/>
    </row>
    <row r="1811" spans="16:16">
      <c r="P1811" s="17"/>
    </row>
    <row r="1812" spans="16:16">
      <c r="P1812" s="17"/>
    </row>
    <row r="1813" spans="16:16">
      <c r="P1813" s="17"/>
    </row>
    <row r="1814" spans="16:16">
      <c r="P1814" s="17"/>
    </row>
    <row r="1815" spans="16:16">
      <c r="P1815" s="17"/>
    </row>
    <row r="1816" spans="16:16">
      <c r="P1816" s="17"/>
    </row>
    <row r="1817" spans="16:16">
      <c r="P1817" s="17"/>
    </row>
    <row r="1818" spans="16:16">
      <c r="P1818" s="17"/>
    </row>
    <row r="1819" spans="16:16">
      <c r="P1819" s="17"/>
    </row>
    <row r="1820" spans="16:16">
      <c r="P1820" s="17"/>
    </row>
    <row r="1821" spans="16:16">
      <c r="P1821" s="17"/>
    </row>
    <row r="1822" spans="16:16">
      <c r="P1822" s="17"/>
    </row>
    <row r="1823" spans="16:16">
      <c r="P1823" s="17"/>
    </row>
    <row r="1824" spans="16:16">
      <c r="P1824" s="17"/>
    </row>
    <row r="1825" spans="16:16">
      <c r="P1825" s="17"/>
    </row>
    <row r="1826" spans="16:16">
      <c r="P1826" s="17"/>
    </row>
    <row r="1827" spans="16:16">
      <c r="P1827" s="17"/>
    </row>
    <row r="1828" spans="16:16">
      <c r="P1828" s="17"/>
    </row>
    <row r="1829" spans="16:16">
      <c r="P1829" s="17"/>
    </row>
    <row r="1830" spans="16:16">
      <c r="P1830" s="17"/>
    </row>
    <row r="1831" spans="16:16">
      <c r="P1831" s="17"/>
    </row>
    <row r="1832" spans="16:16">
      <c r="P1832" s="17"/>
    </row>
    <row r="1833" spans="16:16">
      <c r="P1833" s="17"/>
    </row>
    <row r="1834" spans="16:16">
      <c r="P1834" s="17"/>
    </row>
    <row r="1835" spans="16:16">
      <c r="P1835" s="17"/>
    </row>
    <row r="1836" spans="16:16">
      <c r="P1836" s="17"/>
    </row>
    <row r="1837" spans="16:16">
      <c r="P1837" s="17"/>
    </row>
    <row r="1838" spans="16:16">
      <c r="P1838" s="17"/>
    </row>
    <row r="1839" spans="16:16">
      <c r="P1839" s="17"/>
    </row>
    <row r="1840" spans="16:16">
      <c r="P1840" s="17"/>
    </row>
    <row r="1841" spans="16:16">
      <c r="P1841" s="17"/>
    </row>
    <row r="1842" spans="16:16">
      <c r="P1842" s="17"/>
    </row>
    <row r="1843" spans="16:16">
      <c r="P1843" s="17"/>
    </row>
    <row r="1844" spans="16:16">
      <c r="P1844" s="17"/>
    </row>
    <row r="1845" spans="16:16">
      <c r="P1845" s="17"/>
    </row>
    <row r="1846" spans="16:16">
      <c r="P1846" s="17"/>
    </row>
    <row r="1847" spans="16:16">
      <c r="P1847" s="17"/>
    </row>
    <row r="1848" spans="16:16">
      <c r="P1848" s="17"/>
    </row>
    <row r="1849" spans="16:16">
      <c r="P1849" s="17"/>
    </row>
    <row r="1850" spans="16:16">
      <c r="P1850" s="17"/>
    </row>
    <row r="1851" spans="16:16">
      <c r="P1851" s="17"/>
    </row>
    <row r="1852" spans="16:16">
      <c r="P1852" s="17"/>
    </row>
    <row r="1853" spans="16:16">
      <c r="P1853" s="17"/>
    </row>
    <row r="1854" spans="16:16">
      <c r="P1854" s="17"/>
    </row>
    <row r="1855" spans="16:16">
      <c r="P1855" s="17"/>
    </row>
    <row r="1856" spans="16:16">
      <c r="P1856" s="17"/>
    </row>
    <row r="1857" spans="16:16">
      <c r="P1857" s="17"/>
    </row>
    <row r="1858" spans="16:16">
      <c r="P1858" s="17"/>
    </row>
    <row r="1859" spans="16:16">
      <c r="P1859" s="17"/>
    </row>
    <row r="1860" spans="16:16">
      <c r="P1860" s="17"/>
    </row>
    <row r="1861" spans="16:16">
      <c r="P1861" s="17"/>
    </row>
    <row r="1862" spans="16:16">
      <c r="P1862" s="17"/>
    </row>
    <row r="1863" spans="16:16">
      <c r="P1863" s="17"/>
    </row>
    <row r="1864" spans="16:16">
      <c r="P1864" s="17"/>
    </row>
    <row r="1865" spans="16:16">
      <c r="P1865" s="17"/>
    </row>
    <row r="1866" spans="16:16">
      <c r="P1866" s="17"/>
    </row>
    <row r="1867" spans="16:16">
      <c r="P1867" s="17"/>
    </row>
    <row r="1868" spans="16:16">
      <c r="P1868" s="17"/>
    </row>
    <row r="1869" spans="16:16">
      <c r="P1869" s="17"/>
    </row>
    <row r="1870" spans="16:16">
      <c r="P1870" s="17"/>
    </row>
    <row r="1871" spans="16:16">
      <c r="P1871" s="17"/>
    </row>
    <row r="1872" spans="16:16">
      <c r="P1872" s="17"/>
    </row>
    <row r="1873" spans="16:16">
      <c r="P1873" s="17"/>
    </row>
    <row r="1874" spans="16:16">
      <c r="P1874" s="17"/>
    </row>
    <row r="1875" spans="16:16">
      <c r="P1875" s="17"/>
    </row>
    <row r="1876" spans="16:16">
      <c r="P1876" s="17"/>
    </row>
    <row r="1877" spans="16:16">
      <c r="P1877" s="17"/>
    </row>
    <row r="1878" spans="16:16">
      <c r="P1878" s="17"/>
    </row>
    <row r="1879" spans="16:16">
      <c r="P1879" s="17"/>
    </row>
    <row r="1880" spans="16:16">
      <c r="P1880" s="17"/>
    </row>
    <row r="1881" spans="16:16">
      <c r="P1881" s="17"/>
    </row>
    <row r="1882" spans="16:16">
      <c r="P1882" s="17"/>
    </row>
    <row r="1883" spans="16:16">
      <c r="P1883" s="17"/>
    </row>
    <row r="1884" spans="16:16">
      <c r="P1884" s="17"/>
    </row>
    <row r="1885" spans="16:16">
      <c r="P1885" s="17"/>
    </row>
    <row r="1886" spans="16:16">
      <c r="P1886" s="17"/>
    </row>
    <row r="1887" spans="16:16">
      <c r="P1887" s="17"/>
    </row>
    <row r="1888" spans="16:16">
      <c r="P1888" s="17"/>
    </row>
    <row r="1889" spans="16:16">
      <c r="P1889" s="17"/>
    </row>
    <row r="1890" spans="16:16">
      <c r="P1890" s="17"/>
    </row>
    <row r="1891" spans="16:16">
      <c r="P1891" s="17"/>
    </row>
    <row r="1892" spans="16:16">
      <c r="P1892" s="17"/>
    </row>
    <row r="1893" spans="16:16">
      <c r="P1893" s="17"/>
    </row>
    <row r="1894" spans="16:16">
      <c r="P1894" s="17"/>
    </row>
    <row r="1895" spans="16:16">
      <c r="P1895" s="17"/>
    </row>
    <row r="1896" spans="16:16">
      <c r="P1896" s="17"/>
    </row>
    <row r="1897" spans="16:16">
      <c r="P1897" s="17"/>
    </row>
    <row r="1898" spans="16:16">
      <c r="P1898" s="17"/>
    </row>
    <row r="1899" spans="16:16">
      <c r="P1899" s="17"/>
    </row>
    <row r="1900" spans="16:16">
      <c r="P1900" s="17"/>
    </row>
    <row r="1901" spans="16:16">
      <c r="P1901" s="17"/>
    </row>
    <row r="1902" spans="16:16">
      <c r="P1902" s="17"/>
    </row>
    <row r="1903" spans="16:16">
      <c r="P1903" s="17"/>
    </row>
    <row r="1904" spans="16:16">
      <c r="P1904" s="17"/>
    </row>
    <row r="1905" spans="16:16">
      <c r="P1905" s="17"/>
    </row>
    <row r="1906" spans="16:16">
      <c r="P1906" s="17"/>
    </row>
    <row r="1907" spans="16:16">
      <c r="P1907" s="17"/>
    </row>
    <row r="1908" spans="16:16">
      <c r="P1908" s="17"/>
    </row>
    <row r="1909" spans="16:16">
      <c r="P1909" s="17"/>
    </row>
    <row r="1910" spans="16:16">
      <c r="P1910" s="17"/>
    </row>
    <row r="1911" spans="16:16">
      <c r="P1911" s="17"/>
    </row>
    <row r="1912" spans="16:16">
      <c r="P1912" s="17"/>
    </row>
    <row r="1913" spans="16:16">
      <c r="P1913" s="17"/>
    </row>
    <row r="1914" spans="16:16">
      <c r="P1914" s="17"/>
    </row>
    <row r="1915" spans="16:16">
      <c r="P1915" s="17"/>
    </row>
    <row r="1916" spans="16:16">
      <c r="P1916" s="17"/>
    </row>
    <row r="1917" spans="16:16">
      <c r="P1917" s="17"/>
    </row>
    <row r="1918" spans="16:16">
      <c r="P1918" s="17"/>
    </row>
    <row r="1919" spans="16:16">
      <c r="P1919" s="17"/>
    </row>
    <row r="1920" spans="16:16">
      <c r="P1920" s="17"/>
    </row>
    <row r="1921" spans="16:16">
      <c r="P1921" s="17"/>
    </row>
    <row r="1922" spans="16:16">
      <c r="P1922" s="17"/>
    </row>
    <row r="1923" spans="16:16">
      <c r="P1923" s="17"/>
    </row>
    <row r="1924" spans="16:16">
      <c r="P1924" s="17"/>
    </row>
    <row r="1925" spans="16:16">
      <c r="P1925" s="17"/>
    </row>
    <row r="1926" spans="16:16">
      <c r="P1926" s="17"/>
    </row>
    <row r="1927" spans="16:16">
      <c r="P1927" s="17"/>
    </row>
    <row r="1928" spans="16:16">
      <c r="P1928" s="17"/>
    </row>
    <row r="1929" spans="16:16">
      <c r="P1929" s="17"/>
    </row>
    <row r="1930" spans="16:16">
      <c r="P1930" s="17"/>
    </row>
    <row r="1931" spans="16:16">
      <c r="P1931" s="17"/>
    </row>
    <row r="1932" spans="16:16">
      <c r="P1932" s="17"/>
    </row>
    <row r="1933" spans="16:16">
      <c r="P1933" s="17"/>
    </row>
    <row r="1934" spans="16:16">
      <c r="P1934" s="17"/>
    </row>
    <row r="1935" spans="16:16">
      <c r="P1935" s="17"/>
    </row>
    <row r="1936" spans="16:16">
      <c r="P1936" s="17"/>
    </row>
    <row r="1937" spans="16:16">
      <c r="P1937" s="17"/>
    </row>
    <row r="1938" spans="16:16">
      <c r="P1938" s="17"/>
    </row>
    <row r="1939" spans="16:16">
      <c r="P1939" s="17"/>
    </row>
    <row r="1940" spans="16:16">
      <c r="P1940" s="17"/>
    </row>
    <row r="1941" spans="16:16">
      <c r="P1941" s="17"/>
    </row>
    <row r="1942" spans="16:16">
      <c r="P1942" s="17"/>
    </row>
    <row r="1943" spans="16:16">
      <c r="P1943" s="17"/>
    </row>
    <row r="1944" spans="16:16">
      <c r="P1944" s="17"/>
    </row>
    <row r="1945" spans="16:16">
      <c r="P1945" s="17"/>
    </row>
    <row r="1946" spans="16:16">
      <c r="P1946" s="17"/>
    </row>
    <row r="1947" spans="16:16">
      <c r="P1947" s="17"/>
    </row>
    <row r="1948" spans="16:16">
      <c r="P1948" s="17"/>
    </row>
    <row r="1949" spans="16:16">
      <c r="P1949" s="17"/>
    </row>
    <row r="1950" spans="16:16">
      <c r="P1950" s="17"/>
    </row>
    <row r="1951" spans="16:16">
      <c r="P1951" s="17"/>
    </row>
    <row r="1952" spans="16:16">
      <c r="P1952" s="17"/>
    </row>
    <row r="1953" spans="16:16">
      <c r="P1953" s="17"/>
    </row>
    <row r="1954" spans="16:16">
      <c r="P1954" s="17"/>
    </row>
    <row r="1955" spans="16:16">
      <c r="P1955" s="17"/>
    </row>
    <row r="1956" spans="16:16">
      <c r="P1956" s="17"/>
    </row>
    <row r="1957" spans="16:16">
      <c r="P1957" s="17"/>
    </row>
    <row r="1958" spans="16:16">
      <c r="P1958" s="17"/>
    </row>
    <row r="1959" spans="16:16">
      <c r="P1959" s="17"/>
    </row>
    <row r="1960" spans="16:16">
      <c r="P1960" s="17"/>
    </row>
    <row r="1961" spans="16:16">
      <c r="P1961" s="17"/>
    </row>
    <row r="1962" spans="16:16">
      <c r="P1962" s="17"/>
    </row>
    <row r="1963" spans="16:16">
      <c r="P1963" s="17"/>
    </row>
    <row r="1964" spans="16:16">
      <c r="P1964" s="17"/>
    </row>
    <row r="1965" spans="16:16">
      <c r="P1965" s="17"/>
    </row>
    <row r="1966" spans="16:16">
      <c r="P1966" s="17"/>
    </row>
    <row r="1967" spans="16:16">
      <c r="P1967" s="17"/>
    </row>
    <row r="1968" spans="16:16">
      <c r="P1968" s="17"/>
    </row>
    <row r="1969" spans="16:16">
      <c r="P1969" s="17"/>
    </row>
    <row r="1970" spans="16:16">
      <c r="P1970" s="17"/>
    </row>
    <row r="1971" spans="16:16">
      <c r="P1971" s="17"/>
    </row>
    <row r="1972" spans="16:16">
      <c r="P1972" s="17"/>
    </row>
    <row r="1973" spans="16:16">
      <c r="P1973" s="17"/>
    </row>
    <row r="1974" spans="16:16">
      <c r="P1974" s="17"/>
    </row>
    <row r="1975" spans="16:16">
      <c r="P1975" s="17"/>
    </row>
    <row r="1976" spans="16:16">
      <c r="P1976" s="17"/>
    </row>
    <row r="1977" spans="16:16">
      <c r="P1977" s="17"/>
    </row>
    <row r="1978" spans="16:16">
      <c r="P1978" s="17"/>
    </row>
    <row r="1979" spans="16:16">
      <c r="P1979" s="17"/>
    </row>
    <row r="1980" spans="16:16">
      <c r="P1980" s="17"/>
    </row>
    <row r="1981" spans="16:16">
      <c r="P1981" s="17"/>
    </row>
    <row r="1982" spans="16:16">
      <c r="P1982" s="17"/>
    </row>
    <row r="1983" spans="16:16">
      <c r="P1983" s="17"/>
    </row>
    <row r="1984" spans="16:16">
      <c r="P1984" s="17"/>
    </row>
    <row r="1985" spans="16:16">
      <c r="P1985" s="17"/>
    </row>
    <row r="1986" spans="16:16">
      <c r="P1986" s="17"/>
    </row>
    <row r="1987" spans="16:16">
      <c r="P1987" s="17"/>
    </row>
    <row r="1988" spans="16:16">
      <c r="P1988" s="17"/>
    </row>
    <row r="1989" spans="16:16">
      <c r="P1989" s="17"/>
    </row>
    <row r="1990" spans="16:16">
      <c r="P1990" s="17"/>
    </row>
    <row r="1991" spans="16:16">
      <c r="P1991" s="17"/>
    </row>
    <row r="1992" spans="16:16">
      <c r="P1992" s="17"/>
    </row>
    <row r="1993" spans="16:16">
      <c r="P1993" s="17"/>
    </row>
    <row r="1994" spans="16:16">
      <c r="P1994" s="17"/>
    </row>
    <row r="1995" spans="16:16">
      <c r="P1995" s="17"/>
    </row>
    <row r="1996" spans="16:16">
      <c r="P1996" s="17"/>
    </row>
    <row r="1997" spans="16:16">
      <c r="P1997" s="17"/>
    </row>
    <row r="1998" spans="16:16">
      <c r="P1998" s="17"/>
    </row>
    <row r="1999" spans="16:16">
      <c r="P1999" s="17"/>
    </row>
    <row r="2000" spans="16:16">
      <c r="P2000" s="17"/>
    </row>
    <row r="2001" spans="16:16">
      <c r="P2001" s="17"/>
    </row>
    <row r="2002" spans="16:16">
      <c r="P2002" s="17"/>
    </row>
    <row r="2003" spans="16:16">
      <c r="P2003" s="17"/>
    </row>
    <row r="2004" spans="16:16">
      <c r="P2004" s="17"/>
    </row>
    <row r="2005" spans="16:16">
      <c r="P2005" s="17"/>
    </row>
    <row r="2006" spans="16:16">
      <c r="P2006" s="17"/>
    </row>
    <row r="2007" spans="16:16">
      <c r="P2007" s="17"/>
    </row>
    <row r="2008" spans="16:16">
      <c r="P2008" s="17"/>
    </row>
    <row r="2009" spans="16:16">
      <c r="P2009" s="17"/>
    </row>
    <row r="2010" spans="16:16">
      <c r="P2010" s="17"/>
    </row>
    <row r="2011" spans="16:16">
      <c r="P2011" s="17"/>
    </row>
    <row r="2012" spans="16:16">
      <c r="P2012" s="17"/>
    </row>
    <row r="2013" spans="16:16">
      <c r="P2013" s="17"/>
    </row>
    <row r="2014" spans="16:16">
      <c r="P2014" s="17"/>
    </row>
    <row r="2015" spans="16:16">
      <c r="P2015" s="17"/>
    </row>
    <row r="2016" spans="16:16">
      <c r="P2016" s="17"/>
    </row>
    <row r="2017" spans="16:16">
      <c r="P2017" s="17"/>
    </row>
    <row r="2018" spans="16:16">
      <c r="P2018" s="17"/>
    </row>
    <row r="2019" spans="16:16">
      <c r="P2019" s="17"/>
    </row>
    <row r="2020" spans="16:16">
      <c r="P2020" s="17"/>
    </row>
    <row r="2021" spans="16:16">
      <c r="P2021" s="17"/>
    </row>
    <row r="2022" spans="16:16">
      <c r="P2022" s="17"/>
    </row>
    <row r="2023" spans="16:16">
      <c r="P2023" s="17"/>
    </row>
    <row r="2024" spans="16:16">
      <c r="P2024" s="17"/>
    </row>
    <row r="2025" spans="16:16">
      <c r="P2025" s="17"/>
    </row>
    <row r="2026" spans="16:16">
      <c r="P2026" s="17"/>
    </row>
    <row r="2027" spans="16:16">
      <c r="P2027" s="17"/>
    </row>
    <row r="2028" spans="16:16">
      <c r="P2028" s="17"/>
    </row>
    <row r="2029" spans="16:16">
      <c r="P2029" s="17"/>
    </row>
    <row r="2030" spans="16:16">
      <c r="P2030" s="17"/>
    </row>
    <row r="2031" spans="16:16">
      <c r="P2031" s="17"/>
    </row>
    <row r="2032" spans="16:16">
      <c r="P2032" s="17"/>
    </row>
    <row r="2033" spans="16:16">
      <c r="P2033" s="17"/>
    </row>
    <row r="2034" spans="16:16">
      <c r="P2034" s="17"/>
    </row>
    <row r="2035" spans="16:16">
      <c r="P2035" s="17"/>
    </row>
    <row r="2036" spans="16:16">
      <c r="P2036" s="17"/>
    </row>
    <row r="2037" spans="16:16">
      <c r="P2037" s="17"/>
    </row>
    <row r="2038" spans="16:16">
      <c r="P2038" s="17"/>
    </row>
    <row r="2039" spans="16:16">
      <c r="P2039" s="17"/>
    </row>
    <row r="2040" spans="16:16">
      <c r="P2040" s="17"/>
    </row>
    <row r="2041" spans="16:16">
      <c r="P2041" s="17"/>
    </row>
    <row r="2042" spans="16:16">
      <c r="P2042" s="17"/>
    </row>
    <row r="2043" spans="16:16">
      <c r="P2043" s="17"/>
    </row>
    <row r="2044" spans="16:16">
      <c r="P2044" s="17"/>
    </row>
    <row r="2045" spans="16:16">
      <c r="P2045" s="17"/>
    </row>
    <row r="2046" spans="16:16">
      <c r="P2046" s="17"/>
    </row>
    <row r="2047" spans="16:16">
      <c r="P2047" s="17"/>
    </row>
    <row r="2048" spans="16:16">
      <c r="P2048" s="17"/>
    </row>
    <row r="2049" spans="16:16">
      <c r="P2049" s="17"/>
    </row>
    <row r="2050" spans="16:16">
      <c r="P2050" s="17"/>
    </row>
    <row r="2051" spans="16:16">
      <c r="P2051" s="17"/>
    </row>
    <row r="2052" spans="16:16">
      <c r="P2052" s="17"/>
    </row>
    <row r="2053" spans="16:16">
      <c r="P2053" s="17"/>
    </row>
    <row r="2054" spans="16:16">
      <c r="P2054" s="17"/>
    </row>
    <row r="2055" spans="16:16">
      <c r="P2055" s="17"/>
    </row>
    <row r="2056" spans="16:16">
      <c r="P2056" s="17"/>
    </row>
    <row r="2057" spans="16:16">
      <c r="P2057" s="17"/>
    </row>
    <row r="2058" spans="16:16">
      <c r="P2058" s="17"/>
    </row>
    <row r="2059" spans="16:16">
      <c r="P2059" s="17"/>
    </row>
    <row r="2060" spans="16:16">
      <c r="P2060" s="17"/>
    </row>
    <row r="2061" spans="16:16">
      <c r="P2061" s="17"/>
    </row>
    <row r="2062" spans="16:16">
      <c r="P2062" s="17"/>
    </row>
    <row r="2063" spans="16:16">
      <c r="P2063" s="17"/>
    </row>
    <row r="2064" spans="16:16">
      <c r="P2064" s="17"/>
    </row>
    <row r="2065" spans="16:16">
      <c r="P2065" s="17"/>
    </row>
    <row r="2066" spans="16:16">
      <c r="P2066" s="17"/>
    </row>
    <row r="2067" spans="16:16">
      <c r="P2067" s="17"/>
    </row>
    <row r="2068" spans="16:16">
      <c r="P2068" s="17"/>
    </row>
    <row r="2069" spans="16:16">
      <c r="P2069" s="17"/>
    </row>
    <row r="2070" spans="16:16">
      <c r="P2070" s="17"/>
    </row>
    <row r="2071" spans="16:16">
      <c r="P2071" s="17"/>
    </row>
    <row r="2072" spans="16:16">
      <c r="P2072" s="17"/>
    </row>
    <row r="2073" spans="16:16">
      <c r="P2073" s="17"/>
    </row>
    <row r="2074" spans="16:16">
      <c r="P2074" s="17"/>
    </row>
    <row r="2075" spans="16:16">
      <c r="P2075" s="17"/>
    </row>
    <row r="2076" spans="16:16">
      <c r="P2076" s="17"/>
    </row>
    <row r="2077" spans="16:16">
      <c r="P2077" s="17"/>
    </row>
    <row r="2078" spans="16:16">
      <c r="P2078" s="17"/>
    </row>
    <row r="2079" spans="16:16">
      <c r="P2079" s="17"/>
    </row>
    <row r="2080" spans="16:16">
      <c r="P2080" s="17"/>
    </row>
    <row r="2081" spans="16:16">
      <c r="P2081" s="17"/>
    </row>
    <row r="2082" spans="16:16">
      <c r="P2082" s="17"/>
    </row>
    <row r="2083" spans="16:16">
      <c r="P2083" s="17"/>
    </row>
    <row r="2084" spans="16:16">
      <c r="P2084" s="17"/>
    </row>
    <row r="2085" spans="16:16">
      <c r="P2085" s="17"/>
    </row>
    <row r="2086" spans="16:16">
      <c r="P2086" s="17"/>
    </row>
    <row r="2087" spans="16:16">
      <c r="P2087" s="17"/>
    </row>
    <row r="2088" spans="16:16">
      <c r="P2088" s="17"/>
    </row>
    <row r="2089" spans="16:16">
      <c r="P2089" s="17"/>
    </row>
    <row r="2090" spans="16:16">
      <c r="P2090" s="17"/>
    </row>
    <row r="2091" spans="16:16">
      <c r="P2091" s="17"/>
    </row>
    <row r="2092" spans="16:16">
      <c r="P2092" s="17"/>
    </row>
    <row r="2093" spans="16:16">
      <c r="P2093" s="17"/>
    </row>
    <row r="2094" spans="16:16">
      <c r="P2094" s="17"/>
    </row>
    <row r="2095" spans="16:16">
      <c r="P2095" s="17"/>
    </row>
    <row r="2096" spans="16:16">
      <c r="P2096" s="17"/>
    </row>
    <row r="2097" spans="16:16">
      <c r="P2097" s="17"/>
    </row>
    <row r="2098" spans="16:16">
      <c r="P2098" s="17"/>
    </row>
    <row r="2099" spans="16:16">
      <c r="P2099" s="17"/>
    </row>
    <row r="2100" spans="16:16">
      <c r="P2100" s="17"/>
    </row>
    <row r="2101" spans="16:16">
      <c r="P2101" s="17"/>
    </row>
    <row r="2102" spans="16:16">
      <c r="P2102" s="17"/>
    </row>
    <row r="2103" spans="16:16">
      <c r="P2103" s="17"/>
    </row>
    <row r="2104" spans="16:16">
      <c r="P2104" s="17"/>
    </row>
    <row r="2105" spans="16:16">
      <c r="P2105" s="17"/>
    </row>
    <row r="2106" spans="16:16">
      <c r="P2106" s="17"/>
    </row>
    <row r="2107" spans="16:16">
      <c r="P2107" s="17"/>
    </row>
    <row r="2108" spans="16:16">
      <c r="P2108" s="17"/>
    </row>
    <row r="2109" spans="16:16">
      <c r="P2109" s="17"/>
    </row>
    <row r="2110" spans="16:16">
      <c r="P2110" s="17"/>
    </row>
    <row r="2111" spans="16:16">
      <c r="P2111" s="17"/>
    </row>
    <row r="2112" spans="16:16">
      <c r="P2112" s="17"/>
    </row>
    <row r="2113" spans="16:16">
      <c r="P2113" s="17"/>
    </row>
    <row r="2114" spans="16:16">
      <c r="P2114" s="17"/>
    </row>
    <row r="2115" spans="16:16">
      <c r="P2115" s="17"/>
    </row>
    <row r="2116" spans="16:16">
      <c r="P2116" s="17"/>
    </row>
    <row r="2117" spans="16:16">
      <c r="P2117" s="17"/>
    </row>
    <row r="2118" spans="16:16">
      <c r="P2118" s="17"/>
    </row>
    <row r="2119" spans="16:16">
      <c r="P2119" s="17"/>
    </row>
    <row r="2120" spans="16:16">
      <c r="P2120" s="17"/>
    </row>
    <row r="2121" spans="16:16">
      <c r="P2121" s="17"/>
    </row>
    <row r="2122" spans="16:16">
      <c r="P2122" s="17"/>
    </row>
    <row r="2123" spans="16:16">
      <c r="P2123" s="17"/>
    </row>
    <row r="2124" spans="16:16">
      <c r="P2124" s="17"/>
    </row>
    <row r="2125" spans="16:16">
      <c r="P2125" s="17"/>
    </row>
    <row r="2126" spans="16:16">
      <c r="P2126" s="17"/>
    </row>
    <row r="2127" spans="16:16">
      <c r="P2127" s="17"/>
    </row>
    <row r="2128" spans="16:16">
      <c r="P2128" s="17"/>
    </row>
    <row r="2129" spans="16:16">
      <c r="P2129" s="17"/>
    </row>
    <row r="2130" spans="16:16">
      <c r="P2130" s="17"/>
    </row>
    <row r="2131" spans="16:16">
      <c r="P2131" s="17"/>
    </row>
    <row r="2132" spans="16:16">
      <c r="P2132" s="17"/>
    </row>
    <row r="2133" spans="16:16">
      <c r="P2133" s="17"/>
    </row>
    <row r="2134" spans="16:16">
      <c r="P2134" s="17"/>
    </row>
    <row r="2135" spans="16:16">
      <c r="P2135" s="17"/>
    </row>
    <row r="2136" spans="16:16">
      <c r="P2136" s="17"/>
    </row>
    <row r="2137" spans="16:16">
      <c r="P2137" s="17"/>
    </row>
    <row r="2138" spans="16:16">
      <c r="P2138" s="17"/>
    </row>
    <row r="2139" spans="16:16">
      <c r="P2139" s="17"/>
    </row>
    <row r="2140" spans="16:16">
      <c r="P2140" s="17"/>
    </row>
    <row r="2141" spans="16:16">
      <c r="P2141" s="17"/>
    </row>
    <row r="2142" spans="16:16">
      <c r="P2142" s="17"/>
    </row>
    <row r="2143" spans="16:16">
      <c r="P2143" s="17"/>
    </row>
    <row r="2144" spans="16:16">
      <c r="P2144" s="17"/>
    </row>
    <row r="2145" spans="16:16">
      <c r="P2145" s="17"/>
    </row>
    <row r="2146" spans="16:16">
      <c r="P2146" s="17"/>
    </row>
    <row r="2147" spans="16:16">
      <c r="P2147" s="17"/>
    </row>
    <row r="2148" spans="16:16">
      <c r="P2148" s="17"/>
    </row>
    <row r="2149" spans="16:16">
      <c r="P2149" s="17"/>
    </row>
    <row r="2150" spans="16:16">
      <c r="P2150" s="17"/>
    </row>
    <row r="2151" spans="16:16">
      <c r="P2151" s="17"/>
    </row>
    <row r="2152" spans="16:16">
      <c r="P2152" s="17"/>
    </row>
    <row r="2153" spans="16:16">
      <c r="P2153" s="17"/>
    </row>
    <row r="2154" spans="16:16">
      <c r="P2154" s="17"/>
    </row>
    <row r="2155" spans="16:16">
      <c r="P2155" s="17"/>
    </row>
    <row r="2156" spans="16:16">
      <c r="P2156" s="17"/>
    </row>
    <row r="2157" spans="16:16">
      <c r="P2157" s="17"/>
    </row>
    <row r="2158" spans="16:16">
      <c r="P2158" s="17"/>
    </row>
    <row r="2159" spans="16:16">
      <c r="P2159" s="17"/>
    </row>
    <row r="2160" spans="16:16">
      <c r="P2160" s="17"/>
    </row>
    <row r="2161" spans="16:16">
      <c r="P2161" s="17"/>
    </row>
    <row r="2162" spans="16:16">
      <c r="P2162" s="17"/>
    </row>
    <row r="2163" spans="16:16">
      <c r="P2163" s="17"/>
    </row>
    <row r="2164" spans="16:16">
      <c r="P2164" s="17"/>
    </row>
    <row r="2165" spans="16:16">
      <c r="P2165" s="17"/>
    </row>
    <row r="2166" spans="16:16">
      <c r="P2166" s="17"/>
    </row>
    <row r="2167" spans="16:16">
      <c r="P2167" s="17"/>
    </row>
    <row r="2168" spans="16:16">
      <c r="P2168" s="17"/>
    </row>
    <row r="2169" spans="16:16">
      <c r="P2169" s="17"/>
    </row>
    <row r="2170" spans="16:16">
      <c r="P2170" s="17"/>
    </row>
    <row r="2171" spans="16:16">
      <c r="P2171" s="17"/>
    </row>
    <row r="2172" spans="16:16">
      <c r="P2172" s="17"/>
    </row>
    <row r="2173" spans="16:16">
      <c r="P2173" s="17"/>
    </row>
    <row r="2174" spans="16:16">
      <c r="P2174" s="17"/>
    </row>
    <row r="2175" spans="16:16">
      <c r="P2175" s="17"/>
    </row>
    <row r="2176" spans="16:16">
      <c r="P2176" s="17"/>
    </row>
    <row r="2177" spans="16:16">
      <c r="P2177" s="17"/>
    </row>
    <row r="2178" spans="16:16">
      <c r="P2178" s="17"/>
    </row>
    <row r="2179" spans="16:16">
      <c r="P2179" s="17"/>
    </row>
    <row r="2180" spans="16:16">
      <c r="P2180" s="17"/>
    </row>
    <row r="2181" spans="16:16">
      <c r="P2181" s="17"/>
    </row>
    <row r="2182" spans="16:16">
      <c r="P2182" s="17"/>
    </row>
    <row r="2183" spans="16:16">
      <c r="P2183" s="17"/>
    </row>
    <row r="2184" spans="16:16">
      <c r="P2184" s="17"/>
    </row>
    <row r="2185" spans="16:16">
      <c r="P2185" s="17"/>
    </row>
    <row r="2186" spans="16:16">
      <c r="P2186" s="17"/>
    </row>
    <row r="2187" spans="16:16">
      <c r="P2187" s="17"/>
    </row>
    <row r="2188" spans="16:16">
      <c r="P2188" s="17"/>
    </row>
    <row r="2189" spans="16:16">
      <c r="P2189" s="17"/>
    </row>
    <row r="2190" spans="16:16">
      <c r="P2190" s="17"/>
    </row>
    <row r="2191" spans="16:16">
      <c r="P2191" s="17"/>
    </row>
    <row r="2192" spans="16:16">
      <c r="P2192" s="17"/>
    </row>
    <row r="2193" spans="16:16">
      <c r="P2193" s="17"/>
    </row>
    <row r="2194" spans="16:16">
      <c r="P2194" s="17"/>
    </row>
    <row r="2195" spans="16:16">
      <c r="P2195" s="17"/>
    </row>
    <row r="2196" spans="16:16">
      <c r="P2196" s="17"/>
    </row>
    <row r="2197" spans="16:16">
      <c r="P2197" s="17"/>
    </row>
    <row r="2198" spans="16:16">
      <c r="P2198" s="17"/>
    </row>
    <row r="2199" spans="16:16">
      <c r="P2199" s="17"/>
    </row>
    <row r="2200" spans="16:16">
      <c r="P2200" s="17"/>
    </row>
    <row r="2201" spans="16:16">
      <c r="P2201" s="17"/>
    </row>
    <row r="2202" spans="16:16">
      <c r="P2202" s="17"/>
    </row>
    <row r="2203" spans="16:16">
      <c r="P2203" s="17"/>
    </row>
    <row r="2204" spans="16:16">
      <c r="P2204" s="17"/>
    </row>
    <row r="2205" spans="16:16">
      <c r="P2205" s="17"/>
    </row>
    <row r="2206" spans="16:16">
      <c r="P2206" s="17"/>
    </row>
    <row r="2207" spans="16:16">
      <c r="P2207" s="17"/>
    </row>
    <row r="2208" spans="16:16">
      <c r="P2208" s="17"/>
    </row>
    <row r="2209" spans="16:16">
      <c r="P2209" s="17"/>
    </row>
    <row r="2210" spans="16:16">
      <c r="P2210" s="17"/>
    </row>
    <row r="2211" spans="16:16">
      <c r="P2211" s="17"/>
    </row>
    <row r="2212" spans="16:16">
      <c r="P2212" s="17"/>
    </row>
    <row r="2213" spans="16:16">
      <c r="P2213" s="17"/>
    </row>
    <row r="2214" spans="16:16">
      <c r="P2214" s="17"/>
    </row>
    <row r="2215" spans="16:16">
      <c r="P2215" s="17"/>
    </row>
    <row r="2216" spans="16:16">
      <c r="P2216" s="17"/>
    </row>
    <row r="2217" spans="16:16">
      <c r="P2217" s="17"/>
    </row>
    <row r="2218" spans="16:16">
      <c r="P2218" s="17"/>
    </row>
    <row r="2219" spans="16:16">
      <c r="P2219" s="17"/>
    </row>
    <row r="2220" spans="16:16">
      <c r="P2220" s="17"/>
    </row>
    <row r="2221" spans="16:16">
      <c r="P2221" s="17"/>
    </row>
    <row r="2222" spans="16:16">
      <c r="P2222" s="17"/>
    </row>
    <row r="2223" spans="16:16">
      <c r="P2223" s="17"/>
    </row>
    <row r="2224" spans="16:16">
      <c r="P2224" s="17"/>
    </row>
    <row r="2225" spans="16:16">
      <c r="P2225" s="17"/>
    </row>
    <row r="2226" spans="16:16">
      <c r="P2226" s="17"/>
    </row>
    <row r="2227" spans="16:16">
      <c r="P2227" s="17"/>
    </row>
    <row r="2228" spans="16:16">
      <c r="P2228" s="17"/>
    </row>
    <row r="2229" spans="16:16">
      <c r="P2229" s="17"/>
    </row>
    <row r="2230" spans="16:16">
      <c r="P2230" s="17"/>
    </row>
    <row r="2231" spans="16:16">
      <c r="P2231" s="17"/>
    </row>
    <row r="2232" spans="16:16">
      <c r="P2232" s="17"/>
    </row>
    <row r="2233" spans="16:16">
      <c r="P2233" s="17"/>
    </row>
    <row r="2234" spans="16:16">
      <c r="P2234" s="17"/>
    </row>
    <row r="2235" spans="16:16">
      <c r="P2235" s="17"/>
    </row>
    <row r="2236" spans="16:16">
      <c r="P2236" s="17"/>
    </row>
    <row r="2237" spans="16:16">
      <c r="P2237" s="17"/>
    </row>
    <row r="2238" spans="16:16">
      <c r="P2238" s="17"/>
    </row>
    <row r="2239" spans="16:16">
      <c r="P2239" s="17"/>
    </row>
    <row r="2240" spans="16:16">
      <c r="P2240" s="17"/>
    </row>
    <row r="2241" spans="16:16">
      <c r="P2241" s="17"/>
    </row>
    <row r="2242" spans="16:16">
      <c r="P2242" s="17"/>
    </row>
    <row r="2243" spans="16:16">
      <c r="P2243" s="17"/>
    </row>
    <row r="2244" spans="16:16">
      <c r="P2244" s="17"/>
    </row>
    <row r="2245" spans="16:16">
      <c r="P2245" s="17"/>
    </row>
    <row r="2246" spans="16:16">
      <c r="P2246" s="17"/>
    </row>
    <row r="2247" spans="16:16">
      <c r="P2247" s="17"/>
    </row>
    <row r="2248" spans="16:16">
      <c r="P2248" s="17"/>
    </row>
    <row r="2249" spans="16:16">
      <c r="P2249" s="17"/>
    </row>
    <row r="2250" spans="16:16">
      <c r="P2250" s="17"/>
    </row>
    <row r="2251" spans="16:16">
      <c r="P2251" s="17"/>
    </row>
    <row r="2252" spans="16:16">
      <c r="P2252" s="17"/>
    </row>
    <row r="2253" spans="16:16">
      <c r="P2253" s="17"/>
    </row>
    <row r="2254" spans="16:16">
      <c r="P2254" s="17"/>
    </row>
    <row r="2255" spans="16:16">
      <c r="P2255" s="17"/>
    </row>
    <row r="2256" spans="16:16">
      <c r="P2256" s="17"/>
    </row>
    <row r="2257" spans="16:16">
      <c r="P2257" s="17"/>
    </row>
    <row r="2258" spans="16:16">
      <c r="P2258" s="17"/>
    </row>
    <row r="2259" spans="16:16">
      <c r="P2259" s="17"/>
    </row>
    <row r="2260" spans="16:16">
      <c r="P2260" s="17"/>
    </row>
    <row r="2261" spans="16:16">
      <c r="P2261" s="17"/>
    </row>
    <row r="2262" spans="16:16">
      <c r="P2262" s="17"/>
    </row>
    <row r="2263" spans="16:16">
      <c r="P2263" s="17"/>
    </row>
    <row r="2264" spans="16:16">
      <c r="P2264" s="17"/>
    </row>
    <row r="2265" spans="16:16">
      <c r="P2265" s="17"/>
    </row>
    <row r="2266" spans="16:16">
      <c r="P2266" s="17"/>
    </row>
    <row r="2267" spans="16:16">
      <c r="P2267" s="17"/>
    </row>
    <row r="2268" spans="16:16">
      <c r="P2268" s="17"/>
    </row>
    <row r="2269" spans="16:16">
      <c r="P2269" s="17"/>
    </row>
    <row r="2270" spans="16:16">
      <c r="P2270" s="17"/>
    </row>
    <row r="2271" spans="16:16">
      <c r="P2271" s="17"/>
    </row>
    <row r="2272" spans="16:16">
      <c r="P2272" s="17"/>
    </row>
    <row r="2273" spans="16:16">
      <c r="P2273" s="17"/>
    </row>
    <row r="2274" spans="16:16">
      <c r="P2274" s="17"/>
    </row>
    <row r="2275" spans="16:16">
      <c r="P2275" s="17"/>
    </row>
    <row r="2276" spans="16:16">
      <c r="P2276" s="17"/>
    </row>
    <row r="2277" spans="16:16">
      <c r="P2277" s="17"/>
    </row>
    <row r="2278" spans="16:16">
      <c r="P2278" s="17"/>
    </row>
    <row r="2279" spans="16:16">
      <c r="P2279" s="17"/>
    </row>
    <row r="2280" spans="16:16">
      <c r="P2280" s="17"/>
    </row>
    <row r="2281" spans="16:16">
      <c r="P2281" s="17"/>
    </row>
    <row r="2282" spans="16:16">
      <c r="P2282" s="17"/>
    </row>
    <row r="2283" spans="16:16">
      <c r="P2283" s="17"/>
    </row>
    <row r="2284" spans="16:16">
      <c r="P2284" s="17"/>
    </row>
    <row r="2285" spans="16:16">
      <c r="P2285" s="17"/>
    </row>
    <row r="2286" spans="16:16">
      <c r="P2286" s="17"/>
    </row>
    <row r="2287" spans="16:16">
      <c r="P2287" s="17"/>
    </row>
    <row r="2288" spans="16:16">
      <c r="P2288" s="17"/>
    </row>
    <row r="2289" spans="16:16">
      <c r="P2289" s="17"/>
    </row>
    <row r="2290" spans="16:16">
      <c r="P2290" s="17"/>
    </row>
    <row r="2291" spans="16:16">
      <c r="P2291" s="17"/>
    </row>
    <row r="2292" spans="16:16">
      <c r="P2292" s="17"/>
    </row>
    <row r="2293" spans="16:16">
      <c r="P2293" s="17"/>
    </row>
    <row r="2294" spans="16:16">
      <c r="P2294" s="17"/>
    </row>
    <row r="2295" spans="16:16">
      <c r="P2295" s="17"/>
    </row>
    <row r="2296" spans="16:16">
      <c r="P2296" s="17"/>
    </row>
    <row r="2297" spans="16:16">
      <c r="P2297" s="17"/>
    </row>
    <row r="2298" spans="16:16">
      <c r="P2298" s="17"/>
    </row>
    <row r="2299" spans="16:16">
      <c r="P2299" s="17"/>
    </row>
    <row r="2300" spans="16:16">
      <c r="P2300" s="17"/>
    </row>
    <row r="2301" spans="16:16">
      <c r="P2301" s="17"/>
    </row>
    <row r="2302" spans="16:16">
      <c r="P2302" s="17"/>
    </row>
    <row r="2303" spans="16:16">
      <c r="P2303" s="17"/>
    </row>
    <row r="2304" spans="16:16">
      <c r="P2304" s="17"/>
    </row>
    <row r="2305" spans="16:16">
      <c r="P2305" s="17"/>
    </row>
    <row r="2306" spans="16:16">
      <c r="P2306" s="17"/>
    </row>
    <row r="2307" spans="16:16">
      <c r="P2307" s="17"/>
    </row>
    <row r="2308" spans="16:16">
      <c r="P2308" s="17"/>
    </row>
    <row r="2309" spans="16:16">
      <c r="P2309" s="17"/>
    </row>
    <row r="2310" spans="16:16">
      <c r="P2310" s="17"/>
    </row>
    <row r="2311" spans="16:16">
      <c r="P2311" s="17"/>
    </row>
    <row r="2312" spans="16:16">
      <c r="P2312" s="17"/>
    </row>
    <row r="2313" spans="16:16">
      <c r="P2313" s="17"/>
    </row>
    <row r="2314" spans="16:16">
      <c r="P2314" s="17"/>
    </row>
    <row r="2315" spans="16:16">
      <c r="P2315" s="17"/>
    </row>
    <row r="2316" spans="16:16">
      <c r="P2316" s="17"/>
    </row>
    <row r="2317" spans="16:16">
      <c r="P2317" s="17"/>
    </row>
    <row r="2318" spans="16:16">
      <c r="P2318" s="17"/>
    </row>
    <row r="2319" spans="16:16">
      <c r="P2319" s="17"/>
    </row>
    <row r="2320" spans="16:16">
      <c r="P2320" s="17"/>
    </row>
    <row r="2321" spans="16:16">
      <c r="P2321" s="17"/>
    </row>
    <row r="2322" spans="16:16">
      <c r="P2322" s="17"/>
    </row>
    <row r="2323" spans="16:16">
      <c r="P2323" s="17"/>
    </row>
    <row r="2324" spans="16:16">
      <c r="P2324" s="17"/>
    </row>
    <row r="2325" spans="16:16">
      <c r="P2325" s="17"/>
    </row>
    <row r="2326" spans="16:16">
      <c r="P2326" s="17"/>
    </row>
    <row r="2327" spans="16:16">
      <c r="P2327" s="17"/>
    </row>
    <row r="2328" spans="16:16">
      <c r="P2328" s="17"/>
    </row>
    <row r="2329" spans="16:16">
      <c r="P2329" s="17"/>
    </row>
    <row r="2330" spans="16:16">
      <c r="P2330" s="17"/>
    </row>
    <row r="2331" spans="16:16">
      <c r="P2331" s="17"/>
    </row>
    <row r="2332" spans="16:16">
      <c r="P2332" s="17"/>
    </row>
    <row r="2333" spans="16:16">
      <c r="P2333" s="17"/>
    </row>
    <row r="2334" spans="16:16">
      <c r="P2334" s="17"/>
    </row>
    <row r="2335" spans="16:16">
      <c r="P2335" s="17"/>
    </row>
    <row r="2336" spans="16:16">
      <c r="P2336" s="17"/>
    </row>
    <row r="2337" spans="16:16">
      <c r="P2337" s="17"/>
    </row>
    <row r="2338" spans="16:16">
      <c r="P2338" s="17"/>
    </row>
    <row r="2339" spans="16:16">
      <c r="P2339" s="17"/>
    </row>
    <row r="2340" spans="16:16">
      <c r="P2340" s="17"/>
    </row>
    <row r="2341" spans="16:16">
      <c r="P2341" s="17"/>
    </row>
    <row r="2342" spans="16:16">
      <c r="P2342" s="17"/>
    </row>
    <row r="2343" spans="16:16">
      <c r="P2343" s="17"/>
    </row>
    <row r="2344" spans="16:16">
      <c r="P2344" s="17"/>
    </row>
    <row r="2345" spans="16:16">
      <c r="P2345" s="17"/>
    </row>
    <row r="2346" spans="16:16">
      <c r="P2346" s="17"/>
    </row>
    <row r="2347" spans="16:16">
      <c r="P2347" s="17"/>
    </row>
    <row r="2348" spans="16:16">
      <c r="P2348" s="17"/>
    </row>
    <row r="2349" spans="16:16">
      <c r="P2349" s="17"/>
    </row>
    <row r="2350" spans="16:16">
      <c r="P2350" s="17"/>
    </row>
    <row r="2351" spans="16:16">
      <c r="P2351" s="17"/>
    </row>
    <row r="2352" spans="16:16">
      <c r="P2352" s="17"/>
    </row>
    <row r="2353" spans="16:16">
      <c r="P2353" s="17"/>
    </row>
    <row r="2354" spans="16:16">
      <c r="P2354" s="17"/>
    </row>
    <row r="2355" spans="16:16">
      <c r="P2355" s="17"/>
    </row>
    <row r="2356" spans="16:16">
      <c r="P2356" s="17"/>
    </row>
    <row r="2357" spans="16:16">
      <c r="P2357" s="17"/>
    </row>
    <row r="2358" spans="16:16">
      <c r="P2358" s="17"/>
    </row>
    <row r="2359" spans="16:16">
      <c r="P2359" s="17"/>
    </row>
    <row r="2360" spans="16:16">
      <c r="P2360" s="17"/>
    </row>
    <row r="2361" spans="16:16">
      <c r="P2361" s="17"/>
    </row>
    <row r="2362" spans="16:16">
      <c r="P2362" s="17"/>
    </row>
    <row r="2363" spans="16:16">
      <c r="P2363" s="17"/>
    </row>
    <row r="2364" spans="16:16">
      <c r="P2364" s="17"/>
    </row>
    <row r="2365" spans="16:16">
      <c r="P2365" s="17"/>
    </row>
    <row r="2366" spans="16:16">
      <c r="P2366" s="17"/>
    </row>
    <row r="2367" spans="16:16">
      <c r="P2367" s="17"/>
    </row>
    <row r="2368" spans="16:16">
      <c r="P2368" s="17"/>
    </row>
    <row r="2369" spans="16:16">
      <c r="P2369" s="17"/>
    </row>
    <row r="2370" spans="16:16">
      <c r="P2370" s="17"/>
    </row>
    <row r="2371" spans="16:16">
      <c r="P2371" s="17"/>
    </row>
    <row r="2372" spans="16:16">
      <c r="P2372" s="17"/>
    </row>
    <row r="2373" spans="16:16">
      <c r="P2373" s="17"/>
    </row>
    <row r="2374" spans="16:16">
      <c r="P2374" s="17"/>
    </row>
    <row r="2375" spans="16:16">
      <c r="P2375" s="17"/>
    </row>
    <row r="2376" spans="16:16">
      <c r="P2376" s="17"/>
    </row>
    <row r="2377" spans="16:16">
      <c r="P2377" s="17"/>
    </row>
    <row r="2378" spans="16:16">
      <c r="P2378" s="17"/>
    </row>
    <row r="2379" spans="16:16">
      <c r="P2379" s="17"/>
    </row>
    <row r="2380" spans="16:16">
      <c r="P2380" s="17"/>
    </row>
    <row r="2381" spans="16:16">
      <c r="P2381" s="17"/>
    </row>
    <row r="2382" spans="16:16">
      <c r="P2382" s="17"/>
    </row>
    <row r="2383" spans="16:16">
      <c r="P2383" s="17"/>
    </row>
    <row r="2384" spans="16:16">
      <c r="P2384" s="17"/>
    </row>
    <row r="2385" spans="16:16">
      <c r="P2385" s="17"/>
    </row>
    <row r="2386" spans="16:16">
      <c r="P2386" s="17"/>
    </row>
    <row r="2387" spans="16:16">
      <c r="P2387" s="17"/>
    </row>
    <row r="2388" spans="16:16">
      <c r="P2388" s="17"/>
    </row>
    <row r="2389" spans="16:16">
      <c r="P2389" s="17"/>
    </row>
    <row r="2390" spans="16:16">
      <c r="P2390" s="17"/>
    </row>
    <row r="2391" spans="16:16">
      <c r="P2391" s="17"/>
    </row>
    <row r="2392" spans="16:16">
      <c r="P2392" s="17"/>
    </row>
    <row r="2393" spans="16:16">
      <c r="P2393" s="17"/>
    </row>
    <row r="2394" spans="16:16">
      <c r="P2394" s="17"/>
    </row>
    <row r="2395" spans="16:16">
      <c r="P2395" s="17"/>
    </row>
    <row r="2396" spans="16:16">
      <c r="P2396" s="17"/>
    </row>
    <row r="2397" spans="16:16">
      <c r="P2397" s="17"/>
    </row>
    <row r="2398" spans="16:16">
      <c r="P2398" s="17"/>
    </row>
    <row r="2399" spans="16:16">
      <c r="P2399" s="17"/>
    </row>
    <row r="2400" spans="16:16">
      <c r="P2400" s="17"/>
    </row>
    <row r="2401" spans="16:16">
      <c r="P2401" s="17"/>
    </row>
    <row r="2402" spans="16:16">
      <c r="P2402" s="17"/>
    </row>
    <row r="2403" spans="16:16">
      <c r="P2403" s="17"/>
    </row>
    <row r="2404" spans="16:16">
      <c r="P2404" s="17"/>
    </row>
    <row r="2405" spans="16:16">
      <c r="P2405" s="17"/>
    </row>
    <row r="2406" spans="16:16">
      <c r="P2406" s="17"/>
    </row>
    <row r="2407" spans="16:16">
      <c r="P2407" s="17"/>
    </row>
    <row r="2408" spans="16:16">
      <c r="P2408" s="17"/>
    </row>
    <row r="2409" spans="16:16">
      <c r="P2409" s="17"/>
    </row>
    <row r="2410" spans="16:16">
      <c r="P2410" s="17"/>
    </row>
    <row r="2411" spans="16:16">
      <c r="P2411" s="17"/>
    </row>
    <row r="2412" spans="16:16">
      <c r="P2412" s="17"/>
    </row>
    <row r="2413" spans="16:16">
      <c r="P2413" s="17"/>
    </row>
    <row r="2414" spans="16:16">
      <c r="P2414" s="17"/>
    </row>
    <row r="2415" spans="16:16">
      <c r="P2415" s="17"/>
    </row>
    <row r="2416" spans="16:16">
      <c r="P2416" s="17"/>
    </row>
    <row r="2417" spans="16:16">
      <c r="P2417" s="17"/>
    </row>
    <row r="2418" spans="16:16">
      <c r="P2418" s="17"/>
    </row>
    <row r="2419" spans="16:16">
      <c r="P2419" s="17"/>
    </row>
    <row r="2420" spans="16:16">
      <c r="P2420" s="17"/>
    </row>
    <row r="2421" spans="16:16">
      <c r="P2421" s="17"/>
    </row>
    <row r="2422" spans="16:16">
      <c r="P2422" s="17"/>
    </row>
    <row r="2423" spans="16:16">
      <c r="P2423" s="17"/>
    </row>
    <row r="2424" spans="16:16">
      <c r="P2424" s="17"/>
    </row>
    <row r="2425" spans="16:16">
      <c r="P2425" s="17"/>
    </row>
    <row r="2426" spans="16:16">
      <c r="P2426" s="17"/>
    </row>
    <row r="2427" spans="16:16">
      <c r="P2427" s="17"/>
    </row>
    <row r="2428" spans="16:16">
      <c r="P2428" s="17"/>
    </row>
    <row r="2429" spans="16:16">
      <c r="P2429" s="17"/>
    </row>
    <row r="2430" spans="16:16">
      <c r="P2430" s="17"/>
    </row>
    <row r="2431" spans="16:16">
      <c r="P2431" s="17"/>
    </row>
    <row r="2432" spans="16:16">
      <c r="P2432" s="17"/>
    </row>
    <row r="2433" spans="16:16">
      <c r="P2433" s="17"/>
    </row>
    <row r="2434" spans="16:16">
      <c r="P2434" s="17"/>
    </row>
    <row r="2435" spans="16:16">
      <c r="P2435" s="17"/>
    </row>
    <row r="2436" spans="16:16">
      <c r="P2436" s="17"/>
    </row>
    <row r="2437" spans="16:16">
      <c r="P2437" s="17"/>
    </row>
    <row r="2438" spans="16:16">
      <c r="P2438" s="17"/>
    </row>
    <row r="2439" spans="16:16">
      <c r="P2439" s="17"/>
    </row>
    <row r="2440" spans="16:16">
      <c r="P2440" s="17"/>
    </row>
    <row r="2441" spans="16:16">
      <c r="P2441" s="17"/>
    </row>
    <row r="2442" spans="16:16">
      <c r="P2442" s="17"/>
    </row>
    <row r="2443" spans="16:16">
      <c r="P2443" s="17"/>
    </row>
    <row r="2444" spans="16:16">
      <c r="P2444" s="17"/>
    </row>
    <row r="2445" spans="16:16">
      <c r="P2445" s="17"/>
    </row>
    <row r="2446" spans="16:16">
      <c r="P2446" s="17"/>
    </row>
    <row r="2447" spans="16:16">
      <c r="P2447" s="17"/>
    </row>
    <row r="2448" spans="16:16">
      <c r="P2448" s="17"/>
    </row>
    <row r="2449" spans="16:16">
      <c r="P2449" s="17"/>
    </row>
    <row r="2450" spans="16:16">
      <c r="P2450" s="17"/>
    </row>
    <row r="2451" spans="16:16">
      <c r="P2451" s="17"/>
    </row>
    <row r="2452" spans="16:16">
      <c r="P2452" s="17"/>
    </row>
    <row r="2453" spans="16:16">
      <c r="P2453" s="17"/>
    </row>
    <row r="2454" spans="16:16">
      <c r="P2454" s="17"/>
    </row>
    <row r="2455" spans="16:16">
      <c r="P2455" s="17"/>
    </row>
    <row r="2456" spans="16:16">
      <c r="P2456" s="17"/>
    </row>
    <row r="2457" spans="16:16">
      <c r="P2457" s="17"/>
    </row>
    <row r="2458" spans="16:16">
      <c r="P2458" s="17"/>
    </row>
    <row r="2459" spans="16:16">
      <c r="P2459" s="17"/>
    </row>
    <row r="2460" spans="16:16">
      <c r="P2460" s="17"/>
    </row>
    <row r="2461" spans="16:16">
      <c r="P2461" s="17"/>
    </row>
    <row r="2462" spans="16:16">
      <c r="P2462" s="17"/>
    </row>
    <row r="2463" spans="16:16">
      <c r="P2463" s="17"/>
    </row>
    <row r="2464" spans="16:16">
      <c r="P2464" s="17"/>
    </row>
    <row r="2465" spans="16:16">
      <c r="P2465" s="17"/>
    </row>
    <row r="2466" spans="16:16">
      <c r="P2466" s="17"/>
    </row>
    <row r="2467" spans="16:16">
      <c r="P2467" s="17"/>
    </row>
    <row r="2468" spans="16:16">
      <c r="P2468" s="17"/>
    </row>
    <row r="2469" spans="16:16">
      <c r="P2469" s="17"/>
    </row>
    <row r="2470" spans="16:16">
      <c r="P2470" s="17"/>
    </row>
    <row r="2471" spans="16:16">
      <c r="P2471" s="17"/>
    </row>
    <row r="2472" spans="16:16">
      <c r="P2472" s="17"/>
    </row>
    <row r="2473" spans="16:16">
      <c r="P2473" s="17"/>
    </row>
    <row r="2474" spans="16:16">
      <c r="P2474" s="17"/>
    </row>
    <row r="2475" spans="16:16">
      <c r="P2475" s="17"/>
    </row>
    <row r="2490" spans="15:15">
      <c r="O2490" t="str" cm="1">
        <f t="array" ref="O2490">IFERROR(INDEX(Create_TC_Web!R$1:R$1510,SMALL(IF(Create_TC_Web!$C$1:$C$1510&lt;&gt;"",MATCH(ROW(Create_TC_Web!$C$1:$C$1510),ROW(Create_TC_Web!$C$1:$C$1510)),""),ROW(Create_TC_Web!P2515))),"")</f>
        <v/>
      </c>
    </row>
    <row r="2491" spans="15:15">
      <c r="O2491" t="str" cm="1">
        <f t="array" ref="O2491">IFERROR(INDEX(Create_TC_Web!R$1:R$1510,SMALL(IF(Create_TC_Web!$C$1:$C$1510&lt;&gt;"",MATCH(ROW(Create_TC_Web!$C$1:$C$1510),ROW(Create_TC_Web!$C$1:$C$1510)),""),ROW(Create_TC_Web!P2516))),"")</f>
        <v/>
      </c>
    </row>
    <row r="2492" spans="15:15">
      <c r="O2492" t="str" cm="1">
        <f t="array" ref="O2492">IFERROR(INDEX(Create_TC_Web!R$1:R$1510,SMALL(IF(Create_TC_Web!$C$1:$C$1510&lt;&gt;"",MATCH(ROW(Create_TC_Web!$C$1:$C$1510),ROW(Create_TC_Web!$C$1:$C$1510)),""),ROW(Create_TC_Web!P2517))),"")</f>
        <v/>
      </c>
    </row>
    <row r="2493" spans="15:15">
      <c r="O2493" t="str" cm="1">
        <f t="array" ref="O2493">IFERROR(INDEX(Create_TC_Web!R$1:R$1510,SMALL(IF(Create_TC_Web!$C$1:$C$1510&lt;&gt;"",MATCH(ROW(Create_TC_Web!$C$1:$C$1510),ROW(Create_TC_Web!$C$1:$C$1510)),""),ROW(Create_TC_Web!P2518))),"")</f>
        <v/>
      </c>
    </row>
    <row r="2494" spans="15:15">
      <c r="O2494" t="str" cm="1">
        <f t="array" ref="O2494">IFERROR(INDEX(Create_TC_Web!R$1:R$1510,SMALL(IF(Create_TC_Web!$C$1:$C$1510&lt;&gt;"",MATCH(ROW(Create_TC_Web!$C$1:$C$1510),ROW(Create_TC_Web!$C$1:$C$1510)),""),ROW(Create_TC_Web!P2519))),"")</f>
        <v/>
      </c>
    </row>
    <row r="2495" spans="15:15">
      <c r="O2495" t="str" cm="1">
        <f t="array" ref="O2495">IFERROR(INDEX(Create_TC_Web!R$1:R$1510,SMALL(IF(Create_TC_Web!$C$1:$C$1510&lt;&gt;"",MATCH(ROW(Create_TC_Web!$C$1:$C$1510),ROW(Create_TC_Web!$C$1:$C$1510)),""),ROW(Create_TC_Web!P2520))),"")</f>
        <v/>
      </c>
    </row>
    <row r="2496" spans="15:15">
      <c r="O2496" t="str" cm="1">
        <f t="array" ref="O2496">IFERROR(INDEX(Create_TC_Web!R$1:R$1510,SMALL(IF(Create_TC_Web!$C$1:$C$1510&lt;&gt;"",MATCH(ROW(Create_TC_Web!$C$1:$C$1510),ROW(Create_TC_Web!$C$1:$C$1510)),""),ROW(Create_TC_Web!P2521))),"")</f>
        <v/>
      </c>
    </row>
    <row r="2497" spans="15:15">
      <c r="O2497" t="str" cm="1">
        <f t="array" ref="O2497">IFERROR(INDEX(Create_TC_Web!R$1:R$1510,SMALL(IF(Create_TC_Web!$C$1:$C$1510&lt;&gt;"",MATCH(ROW(Create_TC_Web!$C$1:$C$1510),ROW(Create_TC_Web!$C$1:$C$1510)),""),ROW(Create_TC_Web!P2522))),"")</f>
        <v/>
      </c>
    </row>
    <row r="2498" spans="15:15">
      <c r="O2498" t="str" cm="1">
        <f t="array" ref="O2498">IFERROR(INDEX(Create_TC_Web!R$1:R$1510,SMALL(IF(Create_TC_Web!$C$1:$C$1510&lt;&gt;"",MATCH(ROW(Create_TC_Web!$C$1:$C$1510),ROW(Create_TC_Web!$C$1:$C$1510)),""),ROW(Create_TC_Web!P2523))),"")</f>
        <v/>
      </c>
    </row>
    <row r="2499" spans="15:15">
      <c r="O2499" t="str" cm="1">
        <f t="array" ref="O2499">IFERROR(INDEX(Create_TC_Web!R$1:R$1510,SMALL(IF(Create_TC_Web!$C$1:$C$1510&lt;&gt;"",MATCH(ROW(Create_TC_Web!$C$1:$C$1510),ROW(Create_TC_Web!$C$1:$C$1510)),""),ROW(Create_TC_Web!P2524))),"")</f>
        <v/>
      </c>
    </row>
    <row r="2500" spans="15:15">
      <c r="O2500" t="str" cm="1">
        <f t="array" ref="O2500">IFERROR(INDEX(Create_TC_Web!R$1:R$1510,SMALL(IF(Create_TC_Web!$C$1:$C$1510&lt;&gt;"",MATCH(ROW(Create_TC_Web!$C$1:$C$1510),ROW(Create_TC_Web!$C$1:$C$1510)),""),ROW(Create_TC_Web!P2525))),"")</f>
        <v/>
      </c>
    </row>
    <row r="2501" spans="15:15">
      <c r="O2501" t="str" cm="1">
        <f t="array" ref="O2501">IFERROR(INDEX(Create_TC_Web!R$1:R$1510,SMALL(IF(Create_TC_Web!$C$1:$C$1510&lt;&gt;"",MATCH(ROW(Create_TC_Web!$C$1:$C$1510),ROW(Create_TC_Web!$C$1:$C$1510)),""),ROW(Create_TC_Web!P2526))),"")</f>
        <v/>
      </c>
    </row>
    <row r="2502" spans="15:15">
      <c r="O2502" t="str" cm="1">
        <f t="array" ref="O2502">IFERROR(INDEX(Create_TC_Web!R$1:R$1510,SMALL(IF(Create_TC_Web!$C$1:$C$1510&lt;&gt;"",MATCH(ROW(Create_TC_Web!$C$1:$C$1510),ROW(Create_TC_Web!$C$1:$C$1510)),""),ROW(Create_TC_Web!P2527))),"")</f>
        <v/>
      </c>
    </row>
    <row r="2503" spans="15:15">
      <c r="O2503" t="str" cm="1">
        <f t="array" ref="O2503">IFERROR(INDEX(Create_TC_Web!R$1:R$1510,SMALL(IF(Create_TC_Web!$C$1:$C$1510&lt;&gt;"",MATCH(ROW(Create_TC_Web!$C$1:$C$1510),ROW(Create_TC_Web!$C$1:$C$1510)),""),ROW(Create_TC_Web!P2528))),"")</f>
        <v/>
      </c>
    </row>
    <row r="2504" spans="15:15">
      <c r="O2504" t="str" cm="1">
        <f t="array" ref="O2504">IFERROR(INDEX(Create_TC_Web!R$1:R$1510,SMALL(IF(Create_TC_Web!$C$1:$C$1510&lt;&gt;"",MATCH(ROW(Create_TC_Web!$C$1:$C$1510),ROW(Create_TC_Web!$C$1:$C$1510)),""),ROW(Create_TC_Web!P2529))),"")</f>
        <v/>
      </c>
    </row>
    <row r="2505" spans="15:15">
      <c r="O2505" t="str" cm="1">
        <f t="array" ref="O2505">IFERROR(INDEX(Create_TC_Web!R$1:R$1510,SMALL(IF(Create_TC_Web!$C$1:$C$1510&lt;&gt;"",MATCH(ROW(Create_TC_Web!$C$1:$C$1510),ROW(Create_TC_Web!$C$1:$C$1510)),""),ROW(Create_TC_Web!P2530))),"")</f>
        <v/>
      </c>
    </row>
    <row r="2506" spans="15:15">
      <c r="O2506" t="str" cm="1">
        <f t="array" ref="O2506">IFERROR(INDEX(Create_TC_Web!R$1:R$1510,SMALL(IF(Create_TC_Web!$C$1:$C$1510&lt;&gt;"",MATCH(ROW(Create_TC_Web!$C$1:$C$1510),ROW(Create_TC_Web!$C$1:$C$1510)),""),ROW(Create_TC_Web!P2531))),"")</f>
        <v/>
      </c>
    </row>
    <row r="2507" spans="15:15">
      <c r="O2507" t="str" cm="1">
        <f t="array" ref="O2507">IFERROR(INDEX(Create_TC_Web!R$1:R$1510,SMALL(IF(Create_TC_Web!$C$1:$C$1510&lt;&gt;"",MATCH(ROW(Create_TC_Web!$C$1:$C$1510),ROW(Create_TC_Web!$C$1:$C$1510)),""),ROW(Create_TC_Web!P2532))),"")</f>
        <v/>
      </c>
    </row>
    <row r="2508" spans="15:15">
      <c r="O2508" t="str" cm="1">
        <f t="array" ref="O2508">IFERROR(INDEX(Create_TC_Web!R$1:R$1510,SMALL(IF(Create_TC_Web!$C$1:$C$1510&lt;&gt;"",MATCH(ROW(Create_TC_Web!$C$1:$C$1510),ROW(Create_TC_Web!$C$1:$C$1510)),""),ROW(Create_TC_Web!P2533))),"")</f>
        <v/>
      </c>
    </row>
    <row r="2509" spans="15:15">
      <c r="O2509" t="str" cm="1">
        <f t="array" ref="O2509">IFERROR(INDEX(Create_TC_Web!R$1:R$1510,SMALL(IF(Create_TC_Web!$C$1:$C$1510&lt;&gt;"",MATCH(ROW(Create_TC_Web!$C$1:$C$1510),ROW(Create_TC_Web!$C$1:$C$1510)),""),ROW(Create_TC_Web!P2534))),"")</f>
        <v/>
      </c>
    </row>
    <row r="2510" spans="15:15">
      <c r="O2510" t="str" cm="1">
        <f t="array" ref="O2510">IFERROR(INDEX(Create_TC_Web!R$1:R$1510,SMALL(IF(Create_TC_Web!$C$1:$C$1510&lt;&gt;"",MATCH(ROW(Create_TC_Web!$C$1:$C$1510),ROW(Create_TC_Web!$C$1:$C$1510)),""),ROW(Create_TC_Web!P2535))),"")</f>
        <v/>
      </c>
    </row>
    <row r="2511" spans="15:15">
      <c r="O2511" t="str" cm="1">
        <f t="array" ref="O2511">IFERROR(INDEX(Create_TC_Web!R$1:R$1510,SMALL(IF(Create_TC_Web!$C$1:$C$1510&lt;&gt;"",MATCH(ROW(Create_TC_Web!$C$1:$C$1510),ROW(Create_TC_Web!$C$1:$C$1510)),""),ROW(Create_TC_Web!P2536))),"")</f>
        <v/>
      </c>
    </row>
    <row r="2512" spans="15:15">
      <c r="O2512" t="str" cm="1">
        <f t="array" ref="O2512">IFERROR(INDEX(Create_TC_Web!R$1:R$1510,SMALL(IF(Create_TC_Web!$C$1:$C$1510&lt;&gt;"",MATCH(ROW(Create_TC_Web!$C$1:$C$1510),ROW(Create_TC_Web!$C$1:$C$1510)),""),ROW(Create_TC_Web!P2537))),"")</f>
        <v/>
      </c>
    </row>
    <row r="2513" spans="15:15">
      <c r="O2513" t="str" cm="1">
        <f t="array" ref="O2513">IFERROR(INDEX(Create_TC_Web!R$1:R$1510,SMALL(IF(Create_TC_Web!$C$1:$C$1510&lt;&gt;"",MATCH(ROW(Create_TC_Web!$C$1:$C$1510),ROW(Create_TC_Web!$C$1:$C$1510)),""),ROW(Create_TC_Web!P2538))),"")</f>
        <v/>
      </c>
    </row>
    <row r="2514" spans="15:15">
      <c r="O2514" t="str" cm="1">
        <f t="array" ref="O2514">IFERROR(INDEX(Create_TC_Web!R$1:R$1510,SMALL(IF(Create_TC_Web!$C$1:$C$1510&lt;&gt;"",MATCH(ROW(Create_TC_Web!$C$1:$C$1510),ROW(Create_TC_Web!$C$1:$C$1510)),""),ROW(Create_TC_Web!P2539))),"")</f>
        <v/>
      </c>
    </row>
    <row r="2515" spans="15:15">
      <c r="O2515" t="str" cm="1">
        <f t="array" ref="O2515">IFERROR(INDEX(Create_TC_Web!R$1:R$1510,SMALL(IF(Create_TC_Web!$C$1:$C$1510&lt;&gt;"",MATCH(ROW(Create_TC_Web!$C$1:$C$1510),ROW(Create_TC_Web!$C$1:$C$1510)),""),ROW(Create_TC_Web!P2540))),"")</f>
        <v/>
      </c>
    </row>
    <row r="2516" spans="15:15">
      <c r="O2516" t="str" cm="1">
        <f t="array" ref="O2516">IFERROR(INDEX(Create_TC_Web!R$1:R$1510,SMALL(IF(Create_TC_Web!$C$1:$C$1510&lt;&gt;"",MATCH(ROW(Create_TC_Web!$C$1:$C$1510),ROW(Create_TC_Web!$C$1:$C$1510)),""),ROW(Create_TC_Web!P2541))),"")</f>
        <v/>
      </c>
    </row>
    <row r="2517" spans="15:15">
      <c r="O2517" t="str" cm="1">
        <f t="array" ref="O2517">IFERROR(INDEX(Create_TC_Web!R$1:R$1510,SMALL(IF(Create_TC_Web!$C$1:$C$1510&lt;&gt;"",MATCH(ROW(Create_TC_Web!$C$1:$C$1510),ROW(Create_TC_Web!$C$1:$C$1510)),""),ROW(Create_TC_Web!P2542))),"")</f>
        <v/>
      </c>
    </row>
    <row r="2518" spans="15:15">
      <c r="O2518" t="str" cm="1">
        <f t="array" ref="O2518">IFERROR(INDEX(Create_TC_Web!R$1:R$1510,SMALL(IF(Create_TC_Web!$C$1:$C$1510&lt;&gt;"",MATCH(ROW(Create_TC_Web!$C$1:$C$1510),ROW(Create_TC_Web!$C$1:$C$1510)),""),ROW(Create_TC_Web!P2543))),"")</f>
        <v/>
      </c>
    </row>
    <row r="2519" spans="15:15">
      <c r="O2519" t="str" cm="1">
        <f t="array" ref="O2519">IFERROR(INDEX(Create_TC_Web!R$1:R$1510,SMALL(IF(Create_TC_Web!$C$1:$C$1510&lt;&gt;"",MATCH(ROW(Create_TC_Web!$C$1:$C$1510),ROW(Create_TC_Web!$C$1:$C$1510)),""),ROW(Create_TC_Web!P2544))),"")</f>
        <v/>
      </c>
    </row>
    <row r="2520" spans="15:15">
      <c r="O2520" t="str" cm="1">
        <f t="array" ref="O2520">IFERROR(INDEX(Create_TC_Web!R$1:R$1510,SMALL(IF(Create_TC_Web!$C$1:$C$1510&lt;&gt;"",MATCH(ROW(Create_TC_Web!$C$1:$C$1510),ROW(Create_TC_Web!$C$1:$C$1510)),""),ROW(Create_TC_Web!P2545))),"")</f>
        <v/>
      </c>
    </row>
    <row r="2521" spans="15:15">
      <c r="O2521" t="str" cm="1">
        <f t="array" ref="O2521">IFERROR(INDEX(Create_TC_Web!R$1:R$1510,SMALL(IF(Create_TC_Web!$C$1:$C$1510&lt;&gt;"",MATCH(ROW(Create_TC_Web!$C$1:$C$1510),ROW(Create_TC_Web!$C$1:$C$1510)),""),ROW(Create_TC_Web!P2546))),"")</f>
        <v/>
      </c>
    </row>
    <row r="2522" spans="15:15">
      <c r="O2522" t="str" cm="1">
        <f t="array" ref="O2522">IFERROR(INDEX(Create_TC_Web!R$1:R$1510,SMALL(IF(Create_TC_Web!$C$1:$C$1510&lt;&gt;"",MATCH(ROW(Create_TC_Web!$C$1:$C$1510),ROW(Create_TC_Web!$C$1:$C$1510)),""),ROW(Create_TC_Web!P2547))),"")</f>
        <v/>
      </c>
    </row>
    <row r="2523" spans="15:15">
      <c r="O2523" t="str" cm="1">
        <f t="array" ref="O2523">IFERROR(INDEX(Create_TC_Web!R$1:R$1510,SMALL(IF(Create_TC_Web!$C$1:$C$1510&lt;&gt;"",MATCH(ROW(Create_TC_Web!$C$1:$C$1510),ROW(Create_TC_Web!$C$1:$C$1510)),""),ROW(Create_TC_Web!P2548))),"")</f>
        <v/>
      </c>
    </row>
    <row r="2524" spans="15:15">
      <c r="O2524" t="str" cm="1">
        <f t="array" ref="O2524">IFERROR(INDEX(Create_TC_Web!R$1:R$1510,SMALL(IF(Create_TC_Web!$C$1:$C$1510&lt;&gt;"",MATCH(ROW(Create_TC_Web!$C$1:$C$1510),ROW(Create_TC_Web!$C$1:$C$1510)),""),ROW(Create_TC_Web!P2549))),"")</f>
        <v/>
      </c>
    </row>
    <row r="2525" spans="15:15">
      <c r="O2525" t="str" cm="1">
        <f t="array" ref="O2525">IFERROR(INDEX(Create_TC_Web!R$1:R$1510,SMALL(IF(Create_TC_Web!$C$1:$C$1510&lt;&gt;"",MATCH(ROW(Create_TC_Web!$C$1:$C$1510),ROW(Create_TC_Web!$C$1:$C$1510)),""),ROW(Create_TC_Web!P2550))),"")</f>
        <v/>
      </c>
    </row>
    <row r="2526" spans="15:15">
      <c r="O2526" t="str" cm="1">
        <f t="array" ref="O2526">IFERROR(INDEX(Create_TC_Web!R$1:R$1510,SMALL(IF(Create_TC_Web!$C$1:$C$1510&lt;&gt;"",MATCH(ROW(Create_TC_Web!$C$1:$C$1510),ROW(Create_TC_Web!$C$1:$C$1510)),""),ROW(Create_TC_Web!P2551))),"")</f>
        <v/>
      </c>
    </row>
    <row r="2527" spans="15:15">
      <c r="O2527" t="str" cm="1">
        <f t="array" ref="O2527">IFERROR(INDEX(Create_TC_Web!R$1:R$1510,SMALL(IF(Create_TC_Web!$C$1:$C$1510&lt;&gt;"",MATCH(ROW(Create_TC_Web!$C$1:$C$1510),ROW(Create_TC_Web!$C$1:$C$1510)),""),ROW(Create_TC_Web!P2552))),"")</f>
        <v/>
      </c>
    </row>
    <row r="2528" spans="15:15">
      <c r="O2528" t="str" cm="1">
        <f t="array" ref="O2528">IFERROR(INDEX(Create_TC_Web!R$1:R$1510,SMALL(IF(Create_TC_Web!$C$1:$C$1510&lt;&gt;"",MATCH(ROW(Create_TC_Web!$C$1:$C$1510),ROW(Create_TC_Web!$C$1:$C$1510)),""),ROW(Create_TC_Web!P2553))),"")</f>
        <v/>
      </c>
    </row>
    <row r="2529" spans="15:15">
      <c r="O2529" t="str" cm="1">
        <f t="array" ref="O2529">IFERROR(INDEX(Create_TC_Web!R$1:R$1510,SMALL(IF(Create_TC_Web!$C$1:$C$1510&lt;&gt;"",MATCH(ROW(Create_TC_Web!$C$1:$C$1510),ROW(Create_TC_Web!$C$1:$C$1510)),""),ROW(Create_TC_Web!P2554))),"")</f>
        <v/>
      </c>
    </row>
    <row r="2530" spans="15:15">
      <c r="O2530" t="str" cm="1">
        <f t="array" ref="O2530">IFERROR(INDEX(Create_TC_Web!R$1:R$1510,SMALL(IF(Create_TC_Web!$C$1:$C$1510&lt;&gt;"",MATCH(ROW(Create_TC_Web!$C$1:$C$1510),ROW(Create_TC_Web!$C$1:$C$1510)),""),ROW(Create_TC_Web!P2555))),"")</f>
        <v/>
      </c>
    </row>
    <row r="2531" spans="15:15">
      <c r="O2531" t="str" cm="1">
        <f t="array" ref="O2531">IFERROR(INDEX(Create_TC_Web!R$1:R$1510,SMALL(IF(Create_TC_Web!$C$1:$C$1510&lt;&gt;"",MATCH(ROW(Create_TC_Web!$C$1:$C$1510),ROW(Create_TC_Web!$C$1:$C$1510)),""),ROW(Create_TC_Web!P2556))),"")</f>
        <v/>
      </c>
    </row>
    <row r="2532" spans="15:15">
      <c r="O2532" t="str" cm="1">
        <f t="array" ref="O2532">IFERROR(INDEX(Create_TC_Web!R$1:R$1510,SMALL(IF(Create_TC_Web!$C$1:$C$1510&lt;&gt;"",MATCH(ROW(Create_TC_Web!$C$1:$C$1510),ROW(Create_TC_Web!$C$1:$C$1510)),""),ROW(Create_TC_Web!P2557))),"")</f>
        <v/>
      </c>
    </row>
    <row r="2533" spans="15:15">
      <c r="O2533" t="str" cm="1">
        <f t="array" ref="O2533">IFERROR(INDEX(Create_TC_Web!R$1:R$1510,SMALL(IF(Create_TC_Web!$C$1:$C$1510&lt;&gt;"",MATCH(ROW(Create_TC_Web!$C$1:$C$1510),ROW(Create_TC_Web!$C$1:$C$1510)),""),ROW(Create_TC_Web!P2558))),"")</f>
        <v/>
      </c>
    </row>
    <row r="2534" spans="15:15">
      <c r="O2534" t="str" cm="1">
        <f t="array" ref="O2534">IFERROR(INDEX(Create_TC_Web!R$1:R$1510,SMALL(IF(Create_TC_Web!$C$1:$C$1510&lt;&gt;"",MATCH(ROW(Create_TC_Web!$C$1:$C$1510),ROW(Create_TC_Web!$C$1:$C$1510)),""),ROW(Create_TC_Web!P2559))),"")</f>
        <v/>
      </c>
    </row>
    <row r="2535" spans="15:15">
      <c r="O2535" t="str" cm="1">
        <f t="array" ref="O2535">IFERROR(INDEX(Create_TC_Web!R$1:R$1510,SMALL(IF(Create_TC_Web!$C$1:$C$1510&lt;&gt;"",MATCH(ROW(Create_TC_Web!$C$1:$C$1510),ROW(Create_TC_Web!$C$1:$C$1510)),""),ROW(Create_TC_Web!P2560))),"")</f>
        <v/>
      </c>
    </row>
    <row r="2536" spans="15:15">
      <c r="O2536" t="str" cm="1">
        <f t="array" ref="O2536">IFERROR(INDEX(Create_TC_Web!R$1:R$1510,SMALL(IF(Create_TC_Web!$C$1:$C$1510&lt;&gt;"",MATCH(ROW(Create_TC_Web!$C$1:$C$1510),ROW(Create_TC_Web!$C$1:$C$1510)),""),ROW(Create_TC_Web!P2561))),"")</f>
        <v/>
      </c>
    </row>
    <row r="2537" spans="15:15">
      <c r="O2537" t="str" cm="1">
        <f t="array" ref="O2537">IFERROR(INDEX(Create_TC_Web!R$1:R$1510,SMALL(IF(Create_TC_Web!$C$1:$C$1510&lt;&gt;"",MATCH(ROW(Create_TC_Web!$C$1:$C$1510),ROW(Create_TC_Web!$C$1:$C$1510)),""),ROW(Create_TC_Web!P2562))),"")</f>
        <v/>
      </c>
    </row>
    <row r="2538" spans="15:15">
      <c r="O2538" t="str" cm="1">
        <f t="array" ref="O2538">IFERROR(INDEX(Create_TC_Web!R$1:R$1510,SMALL(IF(Create_TC_Web!$C$1:$C$1510&lt;&gt;"",MATCH(ROW(Create_TC_Web!$C$1:$C$1510),ROW(Create_TC_Web!$C$1:$C$1510)),""),ROW(Create_TC_Web!P2563))),"")</f>
        <v/>
      </c>
    </row>
    <row r="2539" spans="15:15">
      <c r="O2539" t="str" cm="1">
        <f t="array" ref="O2539">IFERROR(INDEX(Create_TC_Web!R$1:R$1510,SMALL(IF(Create_TC_Web!$C$1:$C$1510&lt;&gt;"",MATCH(ROW(Create_TC_Web!$C$1:$C$1510),ROW(Create_TC_Web!$C$1:$C$1510)),""),ROW(Create_TC_Web!P2564))),"")</f>
        <v/>
      </c>
    </row>
    <row r="2540" spans="15:15">
      <c r="O2540" t="str" cm="1">
        <f t="array" ref="O2540">IFERROR(INDEX(Create_TC_Web!R$1:R$1510,SMALL(IF(Create_TC_Web!$C$1:$C$1510&lt;&gt;"",MATCH(ROW(Create_TC_Web!$C$1:$C$1510),ROW(Create_TC_Web!$C$1:$C$1510)),""),ROW(Create_TC_Web!P2565))),"")</f>
        <v/>
      </c>
    </row>
    <row r="2541" spans="15:15">
      <c r="O2541" t="str" cm="1">
        <f t="array" ref="O2541">IFERROR(INDEX(Create_TC_Web!R$1:R$1510,SMALL(IF(Create_TC_Web!$C$1:$C$1510&lt;&gt;"",MATCH(ROW(Create_TC_Web!$C$1:$C$1510),ROW(Create_TC_Web!$C$1:$C$1510)),""),ROW(Create_TC_Web!P2566))),"")</f>
        <v/>
      </c>
    </row>
    <row r="2542" spans="15:15">
      <c r="O2542" t="str" cm="1">
        <f t="array" ref="O2542">IFERROR(INDEX(Create_TC_Web!R$1:R$1510,SMALL(IF(Create_TC_Web!$C$1:$C$1510&lt;&gt;"",MATCH(ROW(Create_TC_Web!$C$1:$C$1510),ROW(Create_TC_Web!$C$1:$C$1510)),""),ROW(Create_TC_Web!P2567))),"")</f>
        <v/>
      </c>
    </row>
    <row r="2543" spans="15:15">
      <c r="O2543" t="str" cm="1">
        <f t="array" ref="O2543">IFERROR(INDEX(Create_TC_Web!R$1:R$1510,SMALL(IF(Create_TC_Web!$C$1:$C$1510&lt;&gt;"",MATCH(ROW(Create_TC_Web!$C$1:$C$1510),ROW(Create_TC_Web!$C$1:$C$1510)),""),ROW(Create_TC_Web!P2568))),"")</f>
        <v/>
      </c>
    </row>
    <row r="2544" spans="15:15">
      <c r="O2544" t="str" cm="1">
        <f t="array" ref="O2544">IFERROR(INDEX(Create_TC_Web!R$1:R$1510,SMALL(IF(Create_TC_Web!$C$1:$C$1510&lt;&gt;"",MATCH(ROW(Create_TC_Web!$C$1:$C$1510),ROW(Create_TC_Web!$C$1:$C$1510)),""),ROW(Create_TC_Web!P2569))),"")</f>
        <v/>
      </c>
    </row>
    <row r="2545" spans="15:15">
      <c r="O2545" t="str" cm="1">
        <f t="array" ref="O2545">IFERROR(INDEX(Create_TC_Web!R$1:R$1510,SMALL(IF(Create_TC_Web!$C$1:$C$1510&lt;&gt;"",MATCH(ROW(Create_TC_Web!$C$1:$C$1510),ROW(Create_TC_Web!$C$1:$C$1510)),""),ROW(Create_TC_Web!P2570))),"")</f>
        <v/>
      </c>
    </row>
    <row r="2546" spans="15:15">
      <c r="O2546" t="str" cm="1">
        <f t="array" ref="O2546">IFERROR(INDEX(Create_TC_Web!R$1:R$1510,SMALL(IF(Create_TC_Web!$C$1:$C$1510&lt;&gt;"",MATCH(ROW(Create_TC_Web!$C$1:$C$1510),ROW(Create_TC_Web!$C$1:$C$1510)),""),ROW(Create_TC_Web!P2571))),"")</f>
        <v/>
      </c>
    </row>
    <row r="2547" spans="15:15">
      <c r="O2547" t="str" cm="1">
        <f t="array" ref="O2547">IFERROR(INDEX(Create_TC_Web!R$1:R$1510,SMALL(IF(Create_TC_Web!$C$1:$C$1510&lt;&gt;"",MATCH(ROW(Create_TC_Web!$C$1:$C$1510),ROW(Create_TC_Web!$C$1:$C$1510)),""),ROW(Create_TC_Web!P2572))),"")</f>
        <v/>
      </c>
    </row>
    <row r="2548" spans="15:15">
      <c r="O2548" t="str" cm="1">
        <f t="array" ref="O2548">IFERROR(INDEX(Create_TC_Web!R$1:R$1510,SMALL(IF(Create_TC_Web!$C$1:$C$1510&lt;&gt;"",MATCH(ROW(Create_TC_Web!$C$1:$C$1510),ROW(Create_TC_Web!$C$1:$C$1510)),""),ROW(Create_TC_Web!P2573))),"")</f>
        <v/>
      </c>
    </row>
    <row r="2549" spans="15:15">
      <c r="O2549" t="str" cm="1">
        <f t="array" ref="O2549">IFERROR(INDEX(Create_TC_Web!R$1:R$1510,SMALL(IF(Create_TC_Web!$C$1:$C$1510&lt;&gt;"",MATCH(ROW(Create_TC_Web!$C$1:$C$1510),ROW(Create_TC_Web!$C$1:$C$1510)),""),ROW(Create_TC_Web!P2574))),"")</f>
        <v/>
      </c>
    </row>
    <row r="2550" spans="15:15">
      <c r="O2550" t="str" cm="1">
        <f t="array" ref="O2550">IFERROR(INDEX(Create_TC_Web!R$1:R$1510,SMALL(IF(Create_TC_Web!$C$1:$C$1510&lt;&gt;"",MATCH(ROW(Create_TC_Web!$C$1:$C$1510),ROW(Create_TC_Web!$C$1:$C$1510)),""),ROW(Create_TC_Web!P2575))),"")</f>
        <v/>
      </c>
    </row>
    <row r="2551" spans="15:15">
      <c r="O2551" t="str" cm="1">
        <f t="array" ref="O2551">IFERROR(INDEX(Create_TC_Web!R$1:R$1510,SMALL(IF(Create_TC_Web!$C$1:$C$1510&lt;&gt;"",MATCH(ROW(Create_TC_Web!$C$1:$C$1510),ROW(Create_TC_Web!$C$1:$C$1510)),""),ROW(Create_TC_Web!P2576))),"")</f>
        <v/>
      </c>
    </row>
    <row r="2552" spans="15:15">
      <c r="O2552" t="str" cm="1">
        <f t="array" ref="O2552">IFERROR(INDEX(Create_TC_Web!R$1:R$1510,SMALL(IF(Create_TC_Web!$C$1:$C$1510&lt;&gt;"",MATCH(ROW(Create_TC_Web!$C$1:$C$1510),ROW(Create_TC_Web!$C$1:$C$1510)),""),ROW(Create_TC_Web!P2577))),"")</f>
        <v/>
      </c>
    </row>
    <row r="2553" spans="15:15">
      <c r="O2553" t="str" cm="1">
        <f t="array" ref="O2553">IFERROR(INDEX(Create_TC_Web!R$1:R$1510,SMALL(IF(Create_TC_Web!$C$1:$C$1510&lt;&gt;"",MATCH(ROW(Create_TC_Web!$C$1:$C$1510),ROW(Create_TC_Web!$C$1:$C$1510)),""),ROW(Create_TC_Web!P2578))),"")</f>
        <v/>
      </c>
    </row>
    <row r="2554" spans="15:15">
      <c r="O2554" t="str" cm="1">
        <f t="array" ref="O2554">IFERROR(INDEX(Create_TC_Web!R$1:R$1510,SMALL(IF(Create_TC_Web!$C$1:$C$1510&lt;&gt;"",MATCH(ROW(Create_TC_Web!$C$1:$C$1510),ROW(Create_TC_Web!$C$1:$C$1510)),""),ROW(Create_TC_Web!P2579))),"")</f>
        <v/>
      </c>
    </row>
    <row r="2555" spans="15:15">
      <c r="O2555" t="str" cm="1">
        <f t="array" ref="O2555">IFERROR(INDEX(Create_TC_Web!R$1:R$1510,SMALL(IF(Create_TC_Web!$C$1:$C$1510&lt;&gt;"",MATCH(ROW(Create_TC_Web!$C$1:$C$1510),ROW(Create_TC_Web!$C$1:$C$1510)),""),ROW(Create_TC_Web!P2580))),"")</f>
        <v/>
      </c>
    </row>
    <row r="2556" spans="15:15">
      <c r="O2556" t="str" cm="1">
        <f t="array" ref="O2556">IFERROR(INDEX(Create_TC_Web!R$1:R$1510,SMALL(IF(Create_TC_Web!$C$1:$C$1510&lt;&gt;"",MATCH(ROW(Create_TC_Web!$C$1:$C$1510),ROW(Create_TC_Web!$C$1:$C$1510)),""),ROW(Create_TC_Web!P2581))),"")</f>
        <v/>
      </c>
    </row>
    <row r="2557" spans="15:15">
      <c r="O2557" t="str" cm="1">
        <f t="array" ref="O2557">IFERROR(INDEX(Create_TC_Web!R$1:R$1510,SMALL(IF(Create_TC_Web!$C$1:$C$1510&lt;&gt;"",MATCH(ROW(Create_TC_Web!$C$1:$C$1510),ROW(Create_TC_Web!$C$1:$C$1510)),""),ROW(Create_TC_Web!P2582))),"")</f>
        <v/>
      </c>
    </row>
    <row r="2558" spans="15:15">
      <c r="O2558" t="str" cm="1">
        <f t="array" ref="O2558">IFERROR(INDEX(Create_TC_Web!R$1:R$1510,SMALL(IF(Create_TC_Web!$C$1:$C$1510&lt;&gt;"",MATCH(ROW(Create_TC_Web!$C$1:$C$1510),ROW(Create_TC_Web!$C$1:$C$1510)),""),ROW(Create_TC_Web!P2583))),"")</f>
        <v/>
      </c>
    </row>
    <row r="2559" spans="15:15">
      <c r="O2559" t="str" cm="1">
        <f t="array" ref="O2559">IFERROR(INDEX(Create_TC_Web!R$1:R$1510,SMALL(IF(Create_TC_Web!$C$1:$C$1510&lt;&gt;"",MATCH(ROW(Create_TC_Web!$C$1:$C$1510),ROW(Create_TC_Web!$C$1:$C$1510)),""),ROW(Create_TC_Web!P2584))),"")</f>
        <v/>
      </c>
    </row>
    <row r="2560" spans="15:15">
      <c r="O2560" t="str" cm="1">
        <f t="array" ref="O2560">IFERROR(INDEX(Create_TC_Web!R$1:R$1510,SMALL(IF(Create_TC_Web!$C$1:$C$1510&lt;&gt;"",MATCH(ROW(Create_TC_Web!$C$1:$C$1510),ROW(Create_TC_Web!$C$1:$C$1510)),""),ROW(Create_TC_Web!P2585))),"")</f>
        <v/>
      </c>
    </row>
    <row r="2561" spans="15:15">
      <c r="O2561" t="str" cm="1">
        <f t="array" ref="O2561">IFERROR(INDEX(Create_TC_Web!R$1:R$1510,SMALL(IF(Create_TC_Web!$C$1:$C$1510&lt;&gt;"",MATCH(ROW(Create_TC_Web!$C$1:$C$1510),ROW(Create_TC_Web!$C$1:$C$1510)),""),ROW(Create_TC_Web!P2586))),"")</f>
        <v/>
      </c>
    </row>
    <row r="2562" spans="15:15">
      <c r="O2562" t="str" cm="1">
        <f t="array" ref="O2562">IFERROR(INDEX(Create_TC_Web!R$1:R$1510,SMALL(IF(Create_TC_Web!$C$1:$C$1510&lt;&gt;"",MATCH(ROW(Create_TC_Web!$C$1:$C$1510),ROW(Create_TC_Web!$C$1:$C$1510)),""),ROW(Create_TC_Web!P2587))),"")</f>
        <v/>
      </c>
    </row>
    <row r="2563" spans="15:15">
      <c r="O2563" t="str" cm="1">
        <f t="array" ref="O2563">IFERROR(INDEX(Create_TC_Web!R$1:R$1510,SMALL(IF(Create_TC_Web!$C$1:$C$1510&lt;&gt;"",MATCH(ROW(Create_TC_Web!$C$1:$C$1510),ROW(Create_TC_Web!$C$1:$C$1510)),""),ROW(Create_TC_Web!P2588))),"")</f>
        <v/>
      </c>
    </row>
    <row r="2564" spans="15:15">
      <c r="O2564" t="str" cm="1">
        <f t="array" ref="O2564">IFERROR(INDEX(Create_TC_Web!R$1:R$1510,SMALL(IF(Create_TC_Web!$C$1:$C$1510&lt;&gt;"",MATCH(ROW(Create_TC_Web!$C$1:$C$1510),ROW(Create_TC_Web!$C$1:$C$1510)),""),ROW(Create_TC_Web!P2589))),"")</f>
        <v/>
      </c>
    </row>
    <row r="2565" spans="15:15">
      <c r="O2565" t="str" cm="1">
        <f t="array" ref="O2565">IFERROR(INDEX(Create_TC_Web!R$1:R$1510,SMALL(IF(Create_TC_Web!$C$1:$C$1510&lt;&gt;"",MATCH(ROW(Create_TC_Web!$C$1:$C$1510),ROW(Create_TC_Web!$C$1:$C$1510)),""),ROW(Create_TC_Web!P2590))),"")</f>
        <v/>
      </c>
    </row>
    <row r="2566" spans="15:15">
      <c r="O2566" t="str" cm="1">
        <f t="array" ref="O2566">IFERROR(INDEX(Create_TC_Web!R$1:R$1510,SMALL(IF(Create_TC_Web!$C$1:$C$1510&lt;&gt;"",MATCH(ROW(Create_TC_Web!$C$1:$C$1510),ROW(Create_TC_Web!$C$1:$C$1510)),""),ROW(Create_TC_Web!P2591))),"")</f>
        <v/>
      </c>
    </row>
    <row r="2567" spans="15:15">
      <c r="O2567" t="str" cm="1">
        <f t="array" ref="O2567">IFERROR(INDEX(Create_TC_Web!R$1:R$1510,SMALL(IF(Create_TC_Web!$C$1:$C$1510&lt;&gt;"",MATCH(ROW(Create_TC_Web!$C$1:$C$1510),ROW(Create_TC_Web!$C$1:$C$1510)),""),ROW(Create_TC_Web!P2592))),"")</f>
        <v/>
      </c>
    </row>
    <row r="2568" spans="15:15">
      <c r="O2568" t="str" cm="1">
        <f t="array" ref="O2568">IFERROR(INDEX(Create_TC_Web!R$1:R$1510,SMALL(IF(Create_TC_Web!$C$1:$C$1510&lt;&gt;"",MATCH(ROW(Create_TC_Web!$C$1:$C$1510),ROW(Create_TC_Web!$C$1:$C$1510)),""),ROW(Create_TC_Web!P2593))),"")</f>
        <v/>
      </c>
    </row>
    <row r="2569" spans="15:15">
      <c r="O2569" t="str" cm="1">
        <f t="array" ref="O2569">IFERROR(INDEX(Create_TC_Web!R$1:R$1510,SMALL(IF(Create_TC_Web!$C$1:$C$1510&lt;&gt;"",MATCH(ROW(Create_TC_Web!$C$1:$C$1510),ROW(Create_TC_Web!$C$1:$C$1510)),""),ROW(Create_TC_Web!P2594))),"")</f>
        <v/>
      </c>
    </row>
    <row r="2570" spans="15:15">
      <c r="O2570" t="str" cm="1">
        <f t="array" ref="O2570">IFERROR(INDEX(Create_TC_Web!R$1:R$1510,SMALL(IF(Create_TC_Web!$C$1:$C$1510&lt;&gt;"",MATCH(ROW(Create_TC_Web!$C$1:$C$1510),ROW(Create_TC_Web!$C$1:$C$1510)),""),ROW(Create_TC_Web!P2595))),"")</f>
        <v/>
      </c>
    </row>
    <row r="2571" spans="15:15">
      <c r="O2571" t="str" cm="1">
        <f t="array" ref="O2571">IFERROR(INDEX(Create_TC_Web!R$1:R$1510,SMALL(IF(Create_TC_Web!$C$1:$C$1510&lt;&gt;"",MATCH(ROW(Create_TC_Web!$C$1:$C$1510),ROW(Create_TC_Web!$C$1:$C$1510)),""),ROW(Create_TC_Web!P2596))),"")</f>
        <v/>
      </c>
    </row>
    <row r="2572" spans="15:15">
      <c r="O2572" t="str" cm="1">
        <f t="array" ref="O2572">IFERROR(INDEX(Create_TC_Web!R$1:R$1510,SMALL(IF(Create_TC_Web!$C$1:$C$1510&lt;&gt;"",MATCH(ROW(Create_TC_Web!$C$1:$C$1510),ROW(Create_TC_Web!$C$1:$C$1510)),""),ROW(Create_TC_Web!P2597))),"")</f>
        <v/>
      </c>
    </row>
    <row r="2573" spans="15:15">
      <c r="O2573" t="str" cm="1">
        <f t="array" ref="O2573">IFERROR(INDEX(Create_TC_Web!R$1:R$1510,SMALL(IF(Create_TC_Web!$C$1:$C$1510&lt;&gt;"",MATCH(ROW(Create_TC_Web!$C$1:$C$1510),ROW(Create_TC_Web!$C$1:$C$1510)),""),ROW(Create_TC_Web!P2598))),"")</f>
        <v/>
      </c>
    </row>
    <row r="2574" spans="15:15">
      <c r="O2574" t="str" cm="1">
        <f t="array" ref="O2574">IFERROR(INDEX(Create_TC_Web!R$1:R$1510,SMALL(IF(Create_TC_Web!$C$1:$C$1510&lt;&gt;"",MATCH(ROW(Create_TC_Web!$C$1:$C$1510),ROW(Create_TC_Web!$C$1:$C$1510)),""),ROW(Create_TC_Web!P2599))),"")</f>
        <v/>
      </c>
    </row>
    <row r="2575" spans="15:15">
      <c r="O2575" t="str" cm="1">
        <f t="array" ref="O2575">IFERROR(INDEX(Create_TC_Web!R$1:R$1510,SMALL(IF(Create_TC_Web!$C$1:$C$1510&lt;&gt;"",MATCH(ROW(Create_TC_Web!$C$1:$C$1510),ROW(Create_TC_Web!$C$1:$C$1510)),""),ROW(Create_TC_Web!P2600))),"")</f>
        <v/>
      </c>
    </row>
    <row r="2576" spans="15:15">
      <c r="O2576" t="str" cm="1">
        <f t="array" ref="O2576">IFERROR(INDEX(Create_TC_Web!R$1:R$1510,SMALL(IF(Create_TC_Web!$C$1:$C$1510&lt;&gt;"",MATCH(ROW(Create_TC_Web!$C$1:$C$1510),ROW(Create_TC_Web!$C$1:$C$1510)),""),ROW(Create_TC_Web!P2601))),"")</f>
        <v/>
      </c>
    </row>
    <row r="2577" spans="15:15">
      <c r="O2577" t="str" cm="1">
        <f t="array" ref="O2577">IFERROR(INDEX(Create_TC_Web!R$1:R$1510,SMALL(IF(Create_TC_Web!$C$1:$C$1510&lt;&gt;"",MATCH(ROW(Create_TC_Web!$C$1:$C$1510),ROW(Create_TC_Web!$C$1:$C$1510)),""),ROW(Create_TC_Web!P2602))),"")</f>
        <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F8E7F-06A3-4BD5-A8AF-420201D9C653}">
  <sheetPr codeName="Sheet29"/>
  <dimension ref="A1:CB110"/>
  <sheetViews>
    <sheetView workbookViewId="0">
      <selection activeCell="T18" sqref="T18"/>
    </sheetView>
  </sheetViews>
  <sheetFormatPr defaultRowHeight="15"/>
  <cols>
    <col min="1" max="1" width="8.7109375" bestFit="1" customWidth="1"/>
    <col min="2" max="2" width="21.140625" bestFit="1" customWidth="1"/>
    <col min="3" max="3" width="20.42578125" bestFit="1" customWidth="1"/>
    <col min="4" max="4" width="21.7109375" bestFit="1" customWidth="1"/>
    <col min="5" max="5" width="20.7109375" bestFit="1" customWidth="1"/>
    <col min="6" max="6" width="22" bestFit="1" customWidth="1"/>
    <col min="7" max="7" width="20.5703125" bestFit="1" customWidth="1"/>
    <col min="8" max="8" width="21.7109375" bestFit="1" customWidth="1"/>
    <col min="9" max="10" width="24.7109375" bestFit="1" customWidth="1"/>
    <col min="11" max="11" width="33.28515625" bestFit="1" customWidth="1"/>
    <col min="12" max="12" width="15.28515625" bestFit="1" customWidth="1"/>
    <col min="13" max="13" width="23" bestFit="1" customWidth="1"/>
    <col min="14" max="14" width="15.5703125" bestFit="1" customWidth="1"/>
    <col min="15" max="15" width="13.140625" bestFit="1" customWidth="1"/>
    <col min="16" max="16" width="22.5703125" bestFit="1" customWidth="1"/>
    <col min="17" max="17" width="21" bestFit="1" customWidth="1"/>
    <col min="18" max="18" width="22.42578125" bestFit="1" customWidth="1"/>
    <col min="19" max="19" width="20.85546875" bestFit="1" customWidth="1"/>
    <col min="20" max="20" width="11.85546875" bestFit="1" customWidth="1"/>
    <col min="21" max="21" width="11" bestFit="1" customWidth="1"/>
    <col min="24" max="24" width="16.7109375" bestFit="1" customWidth="1"/>
    <col min="27" max="27" width="11" bestFit="1" customWidth="1"/>
    <col min="78" max="78" width="33.28515625" bestFit="1" customWidth="1"/>
    <col min="80" max="80" width="38.7109375" bestFit="1" customWidth="1"/>
  </cols>
  <sheetData>
    <row r="1" spans="1:80">
      <c r="A1" t="s">
        <v>3</v>
      </c>
      <c r="B1" t="str" cm="1">
        <f t="array" ref="B1:AX1">TRANSPOSE(TC!B2:B50)</f>
        <v>VerifyPayorName</v>
      </c>
      <c r="C1" t="str">
        <v/>
      </c>
      <c r="D1" t="str">
        <v/>
      </c>
      <c r="E1" t="str">
        <v/>
      </c>
      <c r="F1" t="str">
        <v/>
      </c>
      <c r="G1" t="str">
        <v/>
      </c>
      <c r="H1" t="str">
        <v/>
      </c>
      <c r="I1" t="str">
        <v/>
      </c>
      <c r="J1" t="str">
        <v/>
      </c>
      <c r="K1" t="str">
        <v/>
      </c>
      <c r="L1" t="str">
        <v/>
      </c>
      <c r="M1" t="str">
        <v/>
      </c>
      <c r="N1" t="str">
        <v/>
      </c>
      <c r="O1" t="str">
        <v/>
      </c>
      <c r="P1" t="str">
        <v/>
      </c>
      <c r="Q1" t="str">
        <v/>
      </c>
      <c r="R1" t="str">
        <v/>
      </c>
      <c r="S1" t="str">
        <v/>
      </c>
      <c r="T1" t="str">
        <v/>
      </c>
      <c r="U1" t="str">
        <v/>
      </c>
      <c r="V1" t="str">
        <v/>
      </c>
      <c r="W1" t="str">
        <v/>
      </c>
      <c r="X1" t="str">
        <v/>
      </c>
      <c r="Y1" t="str">
        <v/>
      </c>
      <c r="Z1" t="str">
        <v/>
      </c>
      <c r="AA1" t="str">
        <v/>
      </c>
      <c r="AB1" t="str">
        <v/>
      </c>
      <c r="AC1" t="str">
        <v/>
      </c>
      <c r="AD1" t="str">
        <v/>
      </c>
      <c r="AE1" t="str">
        <v/>
      </c>
      <c r="AF1" t="str">
        <v/>
      </c>
      <c r="AG1" t="str">
        <v/>
      </c>
      <c r="AH1" t="str">
        <v/>
      </c>
      <c r="AI1" t="str">
        <v/>
      </c>
      <c r="AJ1" t="str">
        <v/>
      </c>
      <c r="AK1" t="str">
        <v/>
      </c>
      <c r="AL1" t="str">
        <v/>
      </c>
      <c r="AM1" t="str">
        <v/>
      </c>
      <c r="AN1" t="str">
        <v/>
      </c>
      <c r="AO1" t="str">
        <v/>
      </c>
      <c r="AP1" t="str">
        <v/>
      </c>
      <c r="AQ1" t="str">
        <v/>
      </c>
      <c r="AR1" t="str">
        <v/>
      </c>
      <c r="AS1" t="str">
        <v/>
      </c>
      <c r="AT1" t="str">
        <v/>
      </c>
      <c r="AU1" t="str">
        <v/>
      </c>
      <c r="AV1" t="str">
        <v/>
      </c>
      <c r="AW1" t="str">
        <v/>
      </c>
      <c r="AX1" t="str">
        <v/>
      </c>
      <c r="BZ1" cm="1">
        <f t="array" ref="BZ1:BZ110">_xlfn.TOCOL(A6:BC7)</f>
        <v>0</v>
      </c>
      <c r="CB1" cm="1">
        <f t="array" ref="CB1:CB57">_xlfn._xlws.FILTER($BZ$1:$BZ$1083,$BZ$1:$BZ$1083 &lt;&gt; "")</f>
        <v>0</v>
      </c>
    </row>
    <row r="2" spans="1:80">
      <c r="A2" t="s">
        <v>4</v>
      </c>
      <c r="B2" cm="1">
        <f t="array" ref="B2:AX2">TRANSPOSE(TC!I2:I50)</f>
        <v>0</v>
      </c>
      <c r="C2" t="str">
        <v/>
      </c>
      <c r="D2" t="str">
        <v/>
      </c>
      <c r="E2" t="str">
        <v/>
      </c>
      <c r="F2" t="str">
        <v/>
      </c>
      <c r="G2" t="str">
        <v/>
      </c>
      <c r="H2" t="str">
        <v/>
      </c>
      <c r="I2" t="str">
        <v/>
      </c>
      <c r="J2" t="str">
        <v/>
      </c>
      <c r="K2" t="str">
        <v/>
      </c>
      <c r="L2" t="str">
        <v/>
      </c>
      <c r="M2" t="str">
        <v/>
      </c>
      <c r="N2" t="str">
        <v/>
      </c>
      <c r="O2" t="str">
        <v/>
      </c>
      <c r="P2" t="str">
        <v/>
      </c>
      <c r="Q2" t="str">
        <v/>
      </c>
      <c r="R2" t="str">
        <v/>
      </c>
      <c r="S2" t="str">
        <v/>
      </c>
      <c r="T2" s="8" t="str">
        <v/>
      </c>
      <c r="U2" t="str">
        <v/>
      </c>
      <c r="V2" t="str">
        <v/>
      </c>
      <c r="W2" t="str">
        <v/>
      </c>
      <c r="X2" t="str">
        <v/>
      </c>
      <c r="Y2" t="str">
        <v/>
      </c>
      <c r="Z2" t="str">
        <v/>
      </c>
      <c r="AA2" t="str">
        <v/>
      </c>
      <c r="AB2" t="str">
        <v/>
      </c>
      <c r="AC2" t="str">
        <v/>
      </c>
      <c r="AD2" t="str">
        <v/>
      </c>
      <c r="AE2" t="str">
        <v/>
      </c>
      <c r="AF2" t="str">
        <v/>
      </c>
      <c r="AG2" t="str">
        <v/>
      </c>
      <c r="AH2" t="str">
        <v/>
      </c>
      <c r="AI2" t="str">
        <v/>
      </c>
      <c r="AJ2" t="str">
        <v/>
      </c>
      <c r="AK2" t="str">
        <v/>
      </c>
      <c r="AL2" t="str">
        <v/>
      </c>
      <c r="AM2" t="str">
        <v/>
      </c>
      <c r="AN2" t="str">
        <v/>
      </c>
      <c r="AO2" t="str">
        <v/>
      </c>
      <c r="AP2" t="str">
        <v/>
      </c>
      <c r="AQ2" t="str">
        <v/>
      </c>
      <c r="AR2" t="str">
        <v/>
      </c>
      <c r="AS2" t="str">
        <v/>
      </c>
      <c r="AT2" t="str">
        <v/>
      </c>
      <c r="AU2" t="str">
        <v/>
      </c>
      <c r="AV2" t="str">
        <v/>
      </c>
      <c r="AW2" t="str">
        <v/>
      </c>
      <c r="AX2" t="str">
        <v/>
      </c>
      <c r="BZ2" t="str">
        <v>"VerifyPayorName": "0"</v>
      </c>
      <c r="CB2" t="str">
        <v>"VerifyPayorName": "0"</v>
      </c>
    </row>
    <row r="3" spans="1:80">
      <c r="A3" t="s">
        <v>5</v>
      </c>
      <c r="R3" s="8"/>
      <c r="BZ3" t="str">
        <v/>
      </c>
      <c r="CB3">
        <v>0</v>
      </c>
    </row>
    <row r="4" spans="1:80">
      <c r="P4" s="8"/>
      <c r="BZ4" t="str">
        <v/>
      </c>
      <c r="CB4">
        <v>0</v>
      </c>
    </row>
    <row r="5" spans="1:80">
      <c r="BZ5" t="str">
        <v/>
      </c>
      <c r="CB5">
        <v>0</v>
      </c>
    </row>
    <row r="6" spans="1:80">
      <c r="A6" s="7"/>
      <c r="B6" s="7" t="str">
        <f>IF(B1="End","}]",IF(B2&lt;&gt;"",""""&amp;B1&amp;""""&amp;": "&amp;""""&amp;B2&amp;"""",""))</f>
        <v>"VerifyPayorName": "0"</v>
      </c>
      <c r="C6" s="7" t="str">
        <f t="shared" ref="C6:BA6" si="0">IF(C1="End","}]",IF(C2&lt;&gt;"",""""&amp;C1&amp;""""&amp;": "&amp;""""&amp;C2&amp;"""",""))</f>
        <v/>
      </c>
      <c r="D6" s="7" t="str">
        <f t="shared" si="0"/>
        <v/>
      </c>
      <c r="E6" s="7" t="str">
        <f t="shared" si="0"/>
        <v/>
      </c>
      <c r="F6" s="7" t="str">
        <f>IF(F1="End","}]",IF(F2&lt;&gt;"",""""&amp;F1&amp;""""&amp;": "&amp;""""&amp;F2&amp;"""",""))</f>
        <v/>
      </c>
      <c r="G6" s="7" t="str">
        <f t="shared" si="0"/>
        <v/>
      </c>
      <c r="H6" s="7" t="str">
        <f t="shared" si="0"/>
        <v/>
      </c>
      <c r="I6" s="7" t="str">
        <f t="shared" si="0"/>
        <v/>
      </c>
      <c r="J6" s="7" t="str">
        <f t="shared" si="0"/>
        <v/>
      </c>
      <c r="K6" s="7" t="str">
        <f t="shared" si="0"/>
        <v/>
      </c>
      <c r="L6" s="7" t="str">
        <f t="shared" si="0"/>
        <v/>
      </c>
      <c r="M6" s="7" t="str">
        <f t="shared" si="0"/>
        <v/>
      </c>
      <c r="N6" s="7" t="str">
        <f t="shared" si="0"/>
        <v/>
      </c>
      <c r="O6" s="7" t="str">
        <f t="shared" si="0"/>
        <v/>
      </c>
      <c r="P6" s="7" t="str">
        <f t="shared" si="0"/>
        <v/>
      </c>
      <c r="Q6" s="7" t="str">
        <f t="shared" si="0"/>
        <v/>
      </c>
      <c r="R6" s="7" t="str">
        <f t="shared" si="0"/>
        <v/>
      </c>
      <c r="S6" s="7" t="str">
        <f t="shared" si="0"/>
        <v/>
      </c>
      <c r="T6" s="7" t="str">
        <f t="shared" si="0"/>
        <v/>
      </c>
      <c r="U6" s="7" t="str">
        <f t="shared" si="0"/>
        <v/>
      </c>
      <c r="V6" s="7" t="str">
        <f t="shared" si="0"/>
        <v/>
      </c>
      <c r="W6" s="7" t="str">
        <f t="shared" si="0"/>
        <v/>
      </c>
      <c r="X6" s="7" t="str">
        <f t="shared" si="0"/>
        <v/>
      </c>
      <c r="Y6" s="7" t="str">
        <f t="shared" si="0"/>
        <v/>
      </c>
      <c r="Z6" s="7" t="str">
        <f t="shared" si="0"/>
        <v/>
      </c>
      <c r="AA6" s="7" t="str">
        <f t="shared" si="0"/>
        <v/>
      </c>
      <c r="AB6" s="7" t="str">
        <f t="shared" si="0"/>
        <v/>
      </c>
      <c r="AC6" s="7" t="str">
        <f t="shared" si="0"/>
        <v/>
      </c>
      <c r="AD6" s="7" t="str">
        <f t="shared" si="0"/>
        <v/>
      </c>
      <c r="AE6" s="7" t="str">
        <f t="shared" si="0"/>
        <v/>
      </c>
      <c r="AF6" s="7" t="str">
        <f t="shared" si="0"/>
        <v/>
      </c>
      <c r="AG6" s="7" t="str">
        <f t="shared" si="0"/>
        <v/>
      </c>
      <c r="AH6" s="7" t="str">
        <f t="shared" si="0"/>
        <v/>
      </c>
      <c r="AI6" s="7" t="str">
        <f t="shared" si="0"/>
        <v/>
      </c>
      <c r="AJ6" s="7" t="str">
        <f t="shared" si="0"/>
        <v/>
      </c>
      <c r="AK6" s="7" t="str">
        <f t="shared" si="0"/>
        <v/>
      </c>
      <c r="AL6" s="7" t="str">
        <f t="shared" si="0"/>
        <v/>
      </c>
      <c r="AM6" s="7" t="str">
        <f t="shared" si="0"/>
        <v/>
      </c>
      <c r="AN6" s="7" t="str">
        <f t="shared" si="0"/>
        <v/>
      </c>
      <c r="AO6" t="str">
        <f t="shared" si="0"/>
        <v/>
      </c>
      <c r="AP6" t="str">
        <f t="shared" si="0"/>
        <v/>
      </c>
      <c r="AQ6" t="str">
        <f t="shared" si="0"/>
        <v/>
      </c>
      <c r="AR6" t="str">
        <f t="shared" si="0"/>
        <v/>
      </c>
      <c r="AS6" t="str">
        <f t="shared" si="0"/>
        <v/>
      </c>
      <c r="AT6" t="str">
        <f t="shared" si="0"/>
        <v/>
      </c>
      <c r="AU6" t="str">
        <f t="shared" si="0"/>
        <v/>
      </c>
      <c r="AV6" t="str">
        <f t="shared" si="0"/>
        <v/>
      </c>
      <c r="AW6" t="str">
        <f t="shared" si="0"/>
        <v/>
      </c>
      <c r="AX6" t="str">
        <f t="shared" si="0"/>
        <v/>
      </c>
      <c r="AY6" t="str">
        <f t="shared" si="0"/>
        <v/>
      </c>
      <c r="AZ6" t="str">
        <f t="shared" si="0"/>
        <v/>
      </c>
      <c r="BA6" t="str">
        <f t="shared" si="0"/>
        <v/>
      </c>
      <c r="BB6" t="str">
        <f t="shared" ref="BB6:BY6" si="1">IF(BB1="End","}]",IF(BB2&lt;&gt;"",""""&amp;BB1&amp;""""&amp;": "&amp;""""&amp;BB2&amp;""""&amp;",",""))</f>
        <v/>
      </c>
      <c r="BC6" t="str">
        <f t="shared" si="1"/>
        <v/>
      </c>
      <c r="BD6" t="str">
        <f t="shared" si="1"/>
        <v/>
      </c>
      <c r="BE6" t="str">
        <f t="shared" si="1"/>
        <v/>
      </c>
      <c r="BF6" t="str">
        <f t="shared" si="1"/>
        <v/>
      </c>
      <c r="BG6" t="str">
        <f t="shared" si="1"/>
        <v/>
      </c>
      <c r="BH6" t="str">
        <f t="shared" si="1"/>
        <v/>
      </c>
      <c r="BI6" t="str">
        <f t="shared" si="1"/>
        <v/>
      </c>
      <c r="BJ6" t="str">
        <f t="shared" si="1"/>
        <v/>
      </c>
      <c r="BK6" t="str">
        <f t="shared" si="1"/>
        <v/>
      </c>
      <c r="BL6" t="str">
        <f t="shared" si="1"/>
        <v/>
      </c>
      <c r="BM6" t="str">
        <f t="shared" si="1"/>
        <v/>
      </c>
      <c r="BN6" t="str">
        <f t="shared" si="1"/>
        <v/>
      </c>
      <c r="BO6" t="str">
        <f t="shared" si="1"/>
        <v/>
      </c>
      <c r="BP6" t="str">
        <f t="shared" si="1"/>
        <v/>
      </c>
      <c r="BQ6" t="str">
        <f t="shared" si="1"/>
        <v/>
      </c>
      <c r="BR6" t="str">
        <f t="shared" si="1"/>
        <v/>
      </c>
      <c r="BS6" t="str">
        <f t="shared" si="1"/>
        <v/>
      </c>
      <c r="BT6" t="str">
        <f t="shared" si="1"/>
        <v/>
      </c>
      <c r="BU6" t="str">
        <f t="shared" si="1"/>
        <v/>
      </c>
      <c r="BV6" t="str">
        <f t="shared" si="1"/>
        <v/>
      </c>
      <c r="BW6" t="str">
        <f t="shared" si="1"/>
        <v/>
      </c>
      <c r="BX6" t="str">
        <f t="shared" si="1"/>
        <v/>
      </c>
      <c r="BY6" t="str">
        <f t="shared" si="1"/>
        <v/>
      </c>
      <c r="BZ6" t="str">
        <v/>
      </c>
      <c r="CB6">
        <v>0</v>
      </c>
    </row>
    <row r="7" spans="1:80">
      <c r="BZ7" t="str">
        <v/>
      </c>
      <c r="CB7">
        <v>0</v>
      </c>
    </row>
    <row r="8" spans="1:80">
      <c r="BZ8" t="str">
        <v/>
      </c>
      <c r="CB8">
        <v>0</v>
      </c>
    </row>
    <row r="9" spans="1:80">
      <c r="BZ9" t="str">
        <v/>
      </c>
      <c r="CB9">
        <v>0</v>
      </c>
    </row>
    <row r="10" spans="1:80">
      <c r="BZ10" t="str">
        <v/>
      </c>
      <c r="CB10">
        <v>0</v>
      </c>
    </row>
    <row r="11" spans="1:80">
      <c r="BZ11" t="str">
        <v/>
      </c>
      <c r="CB11">
        <v>0</v>
      </c>
    </row>
    <row r="12" spans="1:80">
      <c r="BZ12" t="str">
        <v/>
      </c>
      <c r="CB12">
        <v>0</v>
      </c>
    </row>
    <row r="13" spans="1:80">
      <c r="BZ13" t="str">
        <v/>
      </c>
      <c r="CB13">
        <v>0</v>
      </c>
    </row>
    <row r="14" spans="1:80">
      <c r="A14" t="str">
        <f>IF(A1="End","}]","")</f>
        <v/>
      </c>
      <c r="B14" t="str">
        <f t="shared" ref="B14:BM14" si="2">IF(B1="End","}]","")</f>
        <v/>
      </c>
      <c r="C14" t="str">
        <f t="shared" si="2"/>
        <v/>
      </c>
      <c r="D14" t="str">
        <f t="shared" si="2"/>
        <v/>
      </c>
      <c r="E14" t="str">
        <f t="shared" si="2"/>
        <v/>
      </c>
      <c r="F14" t="str">
        <f t="shared" si="2"/>
        <v/>
      </c>
      <c r="G14" t="str">
        <f t="shared" si="2"/>
        <v/>
      </c>
      <c r="H14" t="str">
        <f t="shared" si="2"/>
        <v/>
      </c>
      <c r="I14" t="str">
        <f t="shared" si="2"/>
        <v/>
      </c>
      <c r="J14" t="str">
        <f t="shared" si="2"/>
        <v/>
      </c>
      <c r="K14" t="str">
        <f t="shared" si="2"/>
        <v/>
      </c>
      <c r="L14" t="str">
        <f t="shared" si="2"/>
        <v/>
      </c>
      <c r="M14" t="str">
        <f t="shared" si="2"/>
        <v/>
      </c>
      <c r="N14" t="str">
        <f t="shared" si="2"/>
        <v/>
      </c>
      <c r="O14" t="str">
        <f t="shared" si="2"/>
        <v/>
      </c>
      <c r="P14" t="str">
        <f t="shared" si="2"/>
        <v/>
      </c>
      <c r="Q14" t="str">
        <f t="shared" si="2"/>
        <v/>
      </c>
      <c r="R14" t="str">
        <f t="shared" si="2"/>
        <v/>
      </c>
      <c r="S14" t="str">
        <f t="shared" si="2"/>
        <v/>
      </c>
      <c r="T14" t="str">
        <f t="shared" si="2"/>
        <v/>
      </c>
      <c r="U14" t="str">
        <f t="shared" si="2"/>
        <v/>
      </c>
      <c r="V14" t="str">
        <f t="shared" si="2"/>
        <v/>
      </c>
      <c r="W14" t="str">
        <f t="shared" si="2"/>
        <v/>
      </c>
      <c r="X14" t="str">
        <f t="shared" si="2"/>
        <v/>
      </c>
      <c r="Y14" t="str">
        <f t="shared" si="2"/>
        <v/>
      </c>
      <c r="Z14" t="str">
        <f t="shared" si="2"/>
        <v/>
      </c>
      <c r="AA14" t="str">
        <f t="shared" si="2"/>
        <v/>
      </c>
      <c r="AB14" t="str">
        <f t="shared" si="2"/>
        <v/>
      </c>
      <c r="AC14" t="str">
        <f t="shared" si="2"/>
        <v/>
      </c>
      <c r="AD14" t="str">
        <f t="shared" si="2"/>
        <v/>
      </c>
      <c r="AE14" t="str">
        <f t="shared" si="2"/>
        <v/>
      </c>
      <c r="AF14" t="str">
        <f t="shared" si="2"/>
        <v/>
      </c>
      <c r="AG14" t="str">
        <f t="shared" si="2"/>
        <v/>
      </c>
      <c r="AH14" t="str">
        <f t="shared" si="2"/>
        <v/>
      </c>
      <c r="AI14" t="str">
        <f t="shared" si="2"/>
        <v/>
      </c>
      <c r="AJ14" t="str">
        <f t="shared" si="2"/>
        <v/>
      </c>
      <c r="AK14" t="str">
        <f t="shared" si="2"/>
        <v/>
      </c>
      <c r="AL14" t="str">
        <f t="shared" si="2"/>
        <v/>
      </c>
      <c r="AM14" t="str">
        <f t="shared" si="2"/>
        <v/>
      </c>
      <c r="AN14" t="str">
        <f t="shared" si="2"/>
        <v/>
      </c>
      <c r="AO14" t="str">
        <f t="shared" si="2"/>
        <v/>
      </c>
      <c r="AP14" t="str">
        <f t="shared" si="2"/>
        <v/>
      </c>
      <c r="AQ14" t="str">
        <f t="shared" si="2"/>
        <v/>
      </c>
      <c r="AR14" t="str">
        <f t="shared" si="2"/>
        <v/>
      </c>
      <c r="AS14" t="str">
        <f t="shared" si="2"/>
        <v/>
      </c>
      <c r="AT14" t="str">
        <f t="shared" si="2"/>
        <v/>
      </c>
      <c r="AU14" t="str">
        <f t="shared" si="2"/>
        <v/>
      </c>
      <c r="AV14" t="str">
        <f t="shared" si="2"/>
        <v/>
      </c>
      <c r="AW14" t="str">
        <f t="shared" si="2"/>
        <v/>
      </c>
      <c r="AX14" t="str">
        <f t="shared" si="2"/>
        <v/>
      </c>
      <c r="AY14" t="str">
        <f t="shared" si="2"/>
        <v/>
      </c>
      <c r="AZ14" t="str">
        <f t="shared" si="2"/>
        <v/>
      </c>
      <c r="BA14" t="str">
        <f t="shared" si="2"/>
        <v/>
      </c>
      <c r="BB14" t="str">
        <f t="shared" si="2"/>
        <v/>
      </c>
      <c r="BC14" t="str">
        <f t="shared" si="2"/>
        <v/>
      </c>
      <c r="BD14" t="str">
        <f t="shared" si="2"/>
        <v/>
      </c>
      <c r="BE14" t="str">
        <f t="shared" si="2"/>
        <v/>
      </c>
      <c r="BF14" t="str">
        <f t="shared" si="2"/>
        <v/>
      </c>
      <c r="BG14" t="str">
        <f t="shared" si="2"/>
        <v/>
      </c>
      <c r="BH14" t="str">
        <f t="shared" si="2"/>
        <v/>
      </c>
      <c r="BI14" t="str">
        <f t="shared" si="2"/>
        <v/>
      </c>
      <c r="BJ14" t="str">
        <f t="shared" si="2"/>
        <v/>
      </c>
      <c r="BK14" t="str">
        <f t="shared" si="2"/>
        <v/>
      </c>
      <c r="BL14" t="str">
        <f t="shared" si="2"/>
        <v/>
      </c>
      <c r="BM14" t="str">
        <f t="shared" si="2"/>
        <v/>
      </c>
      <c r="BN14" t="str">
        <f t="shared" ref="BN14:BP14" si="3">IF(BN1="End","}]","")</f>
        <v/>
      </c>
      <c r="BO14" t="str">
        <f t="shared" si="3"/>
        <v/>
      </c>
      <c r="BP14" t="str">
        <f t="shared" si="3"/>
        <v/>
      </c>
      <c r="BZ14" t="str">
        <v/>
      </c>
      <c r="CB14">
        <v>0</v>
      </c>
    </row>
    <row r="15" spans="1:80">
      <c r="BZ15" t="str">
        <v/>
      </c>
      <c r="CB15">
        <v>0</v>
      </c>
    </row>
    <row r="16" spans="1:80">
      <c r="BZ16" t="str">
        <v/>
      </c>
      <c r="CB16">
        <v>0</v>
      </c>
    </row>
    <row r="17" spans="78:80">
      <c r="BZ17" t="str">
        <v/>
      </c>
      <c r="CB17">
        <v>0</v>
      </c>
    </row>
    <row r="18" spans="78:80">
      <c r="BZ18" t="str">
        <v/>
      </c>
      <c r="CB18">
        <v>0</v>
      </c>
    </row>
    <row r="19" spans="78:80">
      <c r="BZ19" t="str">
        <v/>
      </c>
      <c r="CB19">
        <v>0</v>
      </c>
    </row>
    <row r="20" spans="78:80">
      <c r="BZ20" t="str">
        <v/>
      </c>
      <c r="CB20">
        <v>0</v>
      </c>
    </row>
    <row r="21" spans="78:80">
      <c r="BZ21" t="str">
        <v/>
      </c>
      <c r="CB21">
        <v>0</v>
      </c>
    </row>
    <row r="22" spans="78:80">
      <c r="BZ22" t="str">
        <v/>
      </c>
      <c r="CB22">
        <v>0</v>
      </c>
    </row>
    <row r="23" spans="78:80">
      <c r="BZ23" t="str">
        <v/>
      </c>
      <c r="CB23">
        <v>0</v>
      </c>
    </row>
    <row r="24" spans="78:80">
      <c r="BZ24" t="str">
        <v/>
      </c>
      <c r="CB24">
        <v>0</v>
      </c>
    </row>
    <row r="25" spans="78:80">
      <c r="BZ25" t="str">
        <v/>
      </c>
      <c r="CB25">
        <v>0</v>
      </c>
    </row>
    <row r="26" spans="78:80">
      <c r="BZ26" t="str">
        <v/>
      </c>
      <c r="CB26">
        <v>0</v>
      </c>
    </row>
    <row r="27" spans="78:80">
      <c r="BZ27" t="str">
        <v/>
      </c>
      <c r="CB27">
        <v>0</v>
      </c>
    </row>
    <row r="28" spans="78:80">
      <c r="BZ28" t="str">
        <v/>
      </c>
      <c r="CB28">
        <v>0</v>
      </c>
    </row>
    <row r="29" spans="78:80">
      <c r="BZ29" t="str">
        <v/>
      </c>
      <c r="CB29">
        <v>0</v>
      </c>
    </row>
    <row r="30" spans="78:80">
      <c r="BZ30" t="str">
        <v/>
      </c>
      <c r="CB30">
        <v>0</v>
      </c>
    </row>
    <row r="31" spans="78:80">
      <c r="BZ31" t="str">
        <v/>
      </c>
      <c r="CB31">
        <v>0</v>
      </c>
    </row>
    <row r="32" spans="78:80">
      <c r="BZ32" t="str">
        <v/>
      </c>
      <c r="CB32">
        <v>0</v>
      </c>
    </row>
    <row r="33" spans="78:80">
      <c r="BZ33" t="str">
        <v/>
      </c>
      <c r="CB33">
        <v>0</v>
      </c>
    </row>
    <row r="34" spans="78:80">
      <c r="BZ34" t="str">
        <v/>
      </c>
      <c r="CB34">
        <v>0</v>
      </c>
    </row>
    <row r="35" spans="78:80">
      <c r="BZ35" t="str">
        <v/>
      </c>
      <c r="CB35">
        <v>0</v>
      </c>
    </row>
    <row r="36" spans="78:80">
      <c r="BZ36" t="str">
        <v/>
      </c>
      <c r="CB36">
        <v>0</v>
      </c>
    </row>
    <row r="37" spans="78:80">
      <c r="BZ37" t="str">
        <v/>
      </c>
      <c r="CB37">
        <v>0</v>
      </c>
    </row>
    <row r="38" spans="78:80">
      <c r="BZ38" t="str">
        <v/>
      </c>
      <c r="CB38">
        <v>0</v>
      </c>
    </row>
    <row r="39" spans="78:80">
      <c r="BZ39" t="str">
        <v/>
      </c>
      <c r="CB39">
        <v>0</v>
      </c>
    </row>
    <row r="40" spans="78:80">
      <c r="BZ40" t="str">
        <v/>
      </c>
      <c r="CB40">
        <v>0</v>
      </c>
    </row>
    <row r="41" spans="78:80">
      <c r="BZ41" t="str">
        <v/>
      </c>
      <c r="CB41">
        <v>0</v>
      </c>
    </row>
    <row r="42" spans="78:80">
      <c r="BZ42" t="str">
        <v/>
      </c>
      <c r="CB42">
        <v>0</v>
      </c>
    </row>
    <row r="43" spans="78:80">
      <c r="BZ43" t="str">
        <v/>
      </c>
      <c r="CB43">
        <v>0</v>
      </c>
    </row>
    <row r="44" spans="78:80">
      <c r="BZ44" t="str">
        <v/>
      </c>
      <c r="CB44">
        <v>0</v>
      </c>
    </row>
    <row r="45" spans="78:80">
      <c r="BZ45" t="str">
        <v/>
      </c>
      <c r="CB45">
        <v>0</v>
      </c>
    </row>
    <row r="46" spans="78:80">
      <c r="BZ46" t="str">
        <v/>
      </c>
      <c r="CB46">
        <v>0</v>
      </c>
    </row>
    <row r="47" spans="78:80">
      <c r="BZ47" t="str">
        <v/>
      </c>
      <c r="CB47">
        <v>0</v>
      </c>
    </row>
    <row r="48" spans="78:80">
      <c r="BZ48" t="str">
        <v/>
      </c>
      <c r="CB48">
        <v>0</v>
      </c>
    </row>
    <row r="49" spans="78:80">
      <c r="BZ49" t="str">
        <v/>
      </c>
      <c r="CB49">
        <v>0</v>
      </c>
    </row>
    <row r="50" spans="78:80">
      <c r="BZ50" t="str">
        <v/>
      </c>
      <c r="CB50">
        <v>0</v>
      </c>
    </row>
    <row r="51" spans="78:80">
      <c r="BZ51" t="str">
        <v/>
      </c>
      <c r="CB51">
        <v>0</v>
      </c>
    </row>
    <row r="52" spans="78:80">
      <c r="BZ52" t="str">
        <v/>
      </c>
      <c r="CB52">
        <v>0</v>
      </c>
    </row>
    <row r="53" spans="78:80">
      <c r="BZ53" t="str">
        <v/>
      </c>
      <c r="CB53">
        <v>0</v>
      </c>
    </row>
    <row r="54" spans="78:80">
      <c r="BZ54" t="str">
        <v/>
      </c>
      <c r="CB54">
        <v>0</v>
      </c>
    </row>
    <row r="55" spans="78:80">
      <c r="BZ55" t="str">
        <v/>
      </c>
      <c r="CB55">
        <v>0</v>
      </c>
    </row>
    <row r="56" spans="78:80">
      <c r="BZ56">
        <v>0</v>
      </c>
      <c r="CB56">
        <v>0</v>
      </c>
    </row>
    <row r="57" spans="78:80">
      <c r="BZ57">
        <v>0</v>
      </c>
      <c r="CB57">
        <v>0</v>
      </c>
    </row>
    <row r="58" spans="78:80">
      <c r="BZ58">
        <v>0</v>
      </c>
    </row>
    <row r="59" spans="78:80">
      <c r="BZ59">
        <v>0</v>
      </c>
    </row>
    <row r="60" spans="78:80">
      <c r="BZ60">
        <v>0</v>
      </c>
    </row>
    <row r="61" spans="78:80">
      <c r="BZ61">
        <v>0</v>
      </c>
    </row>
    <row r="62" spans="78:80">
      <c r="BZ62">
        <v>0</v>
      </c>
    </row>
    <row r="63" spans="78:80">
      <c r="BZ63">
        <v>0</v>
      </c>
    </row>
    <row r="64" spans="78:80">
      <c r="BZ64">
        <v>0</v>
      </c>
    </row>
    <row r="65" spans="78:78">
      <c r="BZ65">
        <v>0</v>
      </c>
    </row>
    <row r="66" spans="78:78">
      <c r="BZ66">
        <v>0</v>
      </c>
    </row>
    <row r="67" spans="78:78">
      <c r="BZ67">
        <v>0</v>
      </c>
    </row>
    <row r="68" spans="78:78">
      <c r="BZ68">
        <v>0</v>
      </c>
    </row>
    <row r="69" spans="78:78">
      <c r="BZ69">
        <v>0</v>
      </c>
    </row>
    <row r="70" spans="78:78">
      <c r="BZ70">
        <v>0</v>
      </c>
    </row>
    <row r="71" spans="78:78">
      <c r="BZ71">
        <v>0</v>
      </c>
    </row>
    <row r="72" spans="78:78">
      <c r="BZ72">
        <v>0</v>
      </c>
    </row>
    <row r="73" spans="78:78">
      <c r="BZ73">
        <v>0</v>
      </c>
    </row>
    <row r="74" spans="78:78">
      <c r="BZ74">
        <v>0</v>
      </c>
    </row>
    <row r="75" spans="78:78">
      <c r="BZ75">
        <v>0</v>
      </c>
    </row>
    <row r="76" spans="78:78">
      <c r="BZ76">
        <v>0</v>
      </c>
    </row>
    <row r="77" spans="78:78">
      <c r="BZ77">
        <v>0</v>
      </c>
    </row>
    <row r="78" spans="78:78">
      <c r="BZ78">
        <v>0</v>
      </c>
    </row>
    <row r="79" spans="78:78">
      <c r="BZ79">
        <v>0</v>
      </c>
    </row>
    <row r="80" spans="78:78">
      <c r="BZ80">
        <v>0</v>
      </c>
    </row>
    <row r="81" spans="78:78">
      <c r="BZ81">
        <v>0</v>
      </c>
    </row>
    <row r="82" spans="78:78">
      <c r="BZ82">
        <v>0</v>
      </c>
    </row>
    <row r="83" spans="78:78">
      <c r="BZ83">
        <v>0</v>
      </c>
    </row>
    <row r="84" spans="78:78">
      <c r="BZ84">
        <v>0</v>
      </c>
    </row>
    <row r="85" spans="78:78">
      <c r="BZ85">
        <v>0</v>
      </c>
    </row>
    <row r="86" spans="78:78">
      <c r="BZ86">
        <v>0</v>
      </c>
    </row>
    <row r="87" spans="78:78">
      <c r="BZ87">
        <v>0</v>
      </c>
    </row>
    <row r="88" spans="78:78">
      <c r="BZ88">
        <v>0</v>
      </c>
    </row>
    <row r="89" spans="78:78">
      <c r="BZ89">
        <v>0</v>
      </c>
    </row>
    <row r="90" spans="78:78">
      <c r="BZ90">
        <v>0</v>
      </c>
    </row>
    <row r="91" spans="78:78">
      <c r="BZ91">
        <v>0</v>
      </c>
    </row>
    <row r="92" spans="78:78">
      <c r="BZ92">
        <v>0</v>
      </c>
    </row>
    <row r="93" spans="78:78">
      <c r="BZ93">
        <v>0</v>
      </c>
    </row>
    <row r="94" spans="78:78">
      <c r="BZ94">
        <v>0</v>
      </c>
    </row>
    <row r="95" spans="78:78">
      <c r="BZ95">
        <v>0</v>
      </c>
    </row>
    <row r="96" spans="78:78">
      <c r="BZ96">
        <v>0</v>
      </c>
    </row>
    <row r="97" spans="78:78">
      <c r="BZ97">
        <v>0</v>
      </c>
    </row>
    <row r="98" spans="78:78">
      <c r="BZ98">
        <v>0</v>
      </c>
    </row>
    <row r="99" spans="78:78">
      <c r="BZ99">
        <v>0</v>
      </c>
    </row>
    <row r="100" spans="78:78">
      <c r="BZ100">
        <v>0</v>
      </c>
    </row>
    <row r="101" spans="78:78">
      <c r="BZ101">
        <v>0</v>
      </c>
    </row>
    <row r="102" spans="78:78">
      <c r="BZ102">
        <v>0</v>
      </c>
    </row>
    <row r="103" spans="78:78">
      <c r="BZ103">
        <v>0</v>
      </c>
    </row>
    <row r="104" spans="78:78">
      <c r="BZ104">
        <v>0</v>
      </c>
    </row>
    <row r="105" spans="78:78">
      <c r="BZ105">
        <v>0</v>
      </c>
    </row>
    <row r="106" spans="78:78">
      <c r="BZ106">
        <v>0</v>
      </c>
    </row>
    <row r="107" spans="78:78">
      <c r="BZ107">
        <v>0</v>
      </c>
    </row>
    <row r="108" spans="78:78">
      <c r="BZ108">
        <v>0</v>
      </c>
    </row>
    <row r="109" spans="78:78">
      <c r="BZ109">
        <v>0</v>
      </c>
    </row>
    <row r="110" spans="78:78">
      <c r="BZ110">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7B02E-DEB6-425A-9BD3-A55F3EEFEF72}">
  <sheetPr codeName="Sheet32"/>
  <dimension ref="A1:Q51"/>
  <sheetViews>
    <sheetView workbookViewId="0">
      <selection activeCell="T18" sqref="T18"/>
    </sheetView>
  </sheetViews>
  <sheetFormatPr defaultColWidth="61.42578125" defaultRowHeight="15"/>
  <cols>
    <col min="1" max="1" width="103.5703125" customWidth="1"/>
  </cols>
  <sheetData>
    <row r="1" spans="1:17" ht="213.75">
      <c r="A1" s="17" t="s">
        <v>2903</v>
      </c>
      <c r="B1" s="22" t="s">
        <v>2900</v>
      </c>
      <c r="C1" s="14" t="str">
        <f>C3 &amp;"});});};"</f>
        <v>fs.writeFileSync('./tests/HOCopyQuote/Output/'+Quotenumber+'.txt',Ratelog.toString(),'utf8') ;});});};</v>
      </c>
      <c r="D1" t="s">
        <v>88</v>
      </c>
      <c r="E1" t="s">
        <v>88</v>
      </c>
      <c r="F1" t="str">
        <f>"const "&amp;Create_TC_Web!F8&amp;"Data"&amp;" = require('"&amp;"../../tests"&amp;"/"&amp;Create_TC_Web!F1&amp;"/Data/"&amp;Create_TC_Web!F7&amp;".json');"</f>
        <v>const COpyQuoteApplicationPageData = require('../../tests/HOCopyQuote/Data/14COpyQuoteApplicationPage.json');</v>
      </c>
      <c r="N1" t="s">
        <v>90</v>
      </c>
    </row>
    <row r="2" spans="1:17">
      <c r="A2" s="11" t="str">
        <f>"const "&amp;"{Data}"&amp;" = require('"&amp;"."&amp;"/"&amp;General!F9&amp;"Data.json');"</f>
        <v>const {Data} = require('./HOCopyQuoteData.json');</v>
      </c>
      <c r="C2" s="14" t="s">
        <v>40</v>
      </c>
      <c r="N2" t="str">
        <f>IF(General!J111&lt;&gt;"",IFERROR("import "&amp; SUBSTITUTE(P2," ", "") &amp;" from './"&amp;General!J111&amp;".ts';",""),"")</f>
        <v>import PersonalAutoRenewal from './PersonalAutoRenewal.spec.ts';</v>
      </c>
      <c r="O2" t="str">
        <f>IF(P2&lt;&gt;"",IFERROR("test.describe(" &amp; SUBSTITUTE(P2," ","") &amp;")",""),"")</f>
        <v>test.describe(PersonalAutoRenewal)</v>
      </c>
      <c r="P2" t="str" cm="1">
        <f t="array" ref="P2:Q2">IFERROR(_xlfn.TEXTSPLIT(General!J111,"."),"")</f>
        <v>PersonalAutoRenewal</v>
      </c>
      <c r="Q2" t="str">
        <v>spec</v>
      </c>
    </row>
    <row r="3" spans="1:17" ht="22.5">
      <c r="A3" s="11" t="s">
        <v>2772</v>
      </c>
      <c r="B3" s="19"/>
      <c r="C3" s="25" t="str">
        <f>"fs.writeFileSync("&amp;"'./tests/"&amp;General!E9&amp;"/Output/'+" &amp; "Quotenumber" &amp; "+'.txt'," &amp; "Ratelog.toString(),'utf8') ;"</f>
        <v>fs.writeFileSync('./tests/HOCopyQuote/Output/'+Quotenumber+'.txt',Ratelog.toString(),'utf8') ;</v>
      </c>
      <c r="N3" t="str">
        <f>IF(General!J112&lt;&gt;"",IFERROR("import "&amp; SUBSTITUTE(P3," ", "") &amp;" from './"&amp;General!J112&amp;".ts';",""),"")</f>
        <v>import PersonalUmbrella from './PersonalUmbrella.spec.ts';</v>
      </c>
      <c r="O3" t="str">
        <f>IF(P3&lt;&gt;"",IFERROR("test.describe(" &amp; SUBSTITUTE(P3," ","") &amp;")",""),"")</f>
        <v>test.describe(PersonalUmbrella)</v>
      </c>
      <c r="P3" t="str" cm="1">
        <f t="array" ref="P3:Q3">IFERROR(_xlfn.TEXTSPLIT(General!J112,"."),"")</f>
        <v>PersonalUmbrella</v>
      </c>
      <c r="Q3" t="str">
        <v>spec</v>
      </c>
    </row>
    <row r="4" spans="1:17">
      <c r="A4" s="11" t="str">
        <f>"const "&amp;"{POM}"&amp;" = require('"&amp;"."&amp;"/"&amp;General!F11&amp;"POM.json');"</f>
        <v>const {POM} = require('./POM.json');</v>
      </c>
      <c r="B4" s="19"/>
      <c r="N4" t="str">
        <f>IF(General!J113&lt;&gt;"",IFERROR("import "&amp; SUBSTITUTE(P4," ", "") &amp;" from './"&amp;General!J113&amp;".ts';",""),"")</f>
        <v>import PWReinstate from './PWReinstate.spec.ts';</v>
      </c>
      <c r="O4" t="str">
        <f t="shared" ref="O4:O19" si="0">IF(P4&lt;&gt;"",IFERROR("test.describe(" &amp; SUBSTITUTE(P4," ","") &amp;")",""),"")</f>
        <v>test.describe(PWReinstate)</v>
      </c>
      <c r="P4" t="str" cm="1">
        <f t="array" ref="P4:Q4">IFERROR(_xlfn.TEXTSPLIT(General!J113,"."),"")</f>
        <v>PWReinstate</v>
      </c>
      <c r="Q4" t="str">
        <v>spec</v>
      </c>
    </row>
    <row r="5" spans="1:17">
      <c r="A5" s="11" t="s">
        <v>2772</v>
      </c>
      <c r="B5" s="19"/>
      <c r="N5" t="str">
        <f>IF(General!J114&lt;&gt;"",IFERROR("import "&amp; SUBSTITUTE(P5," ", "") &amp;" from './"&amp;General!J114&amp;".ts';",""),"")</f>
        <v>import COPOutOfSequence from './COPOutOfSequence.spec.ts';</v>
      </c>
      <c r="O5" t="str">
        <f t="shared" si="0"/>
        <v>test.describe(COPOutOfSequence)</v>
      </c>
      <c r="P5" t="str" cm="1">
        <f t="array" ref="P5:Q5">IFERROR(_xlfn.TEXTSPLIT(General!J114,"."),"")</f>
        <v>COPOutOfSequence</v>
      </c>
      <c r="Q5" t="str">
        <v>spec</v>
      </c>
    </row>
    <row r="6" spans="1:17">
      <c r="A6" s="11"/>
      <c r="B6" s="14"/>
      <c r="N6" t="str">
        <f>IF(General!J115&lt;&gt;"",IFERROR("import "&amp; SUBSTITUTE(P6," ", "") &amp;" from './"&amp;General!J115&amp;".ts';",""),"")</f>
        <v>import HOCopyQuote from './HOCopyQuote.spec.ts';</v>
      </c>
      <c r="O6" t="str">
        <f t="shared" si="0"/>
        <v>test.describe(HOCopyQuote)</v>
      </c>
      <c r="P6" t="str" cm="1">
        <f t="array" ref="P6:Q6">IFERROR(_xlfn.TEXTSPLIT(General!J115,"."),"")</f>
        <v>HOCopyQuote</v>
      </c>
      <c r="Q6" t="str">
        <v>spec</v>
      </c>
    </row>
    <row r="7" spans="1:17">
      <c r="A7" s="12"/>
      <c r="B7" s="14"/>
      <c r="N7" t="str">
        <f>IF(General!J116&lt;&gt;"",IFERROR("import "&amp; SUBSTITUTE(P7," ", "") &amp;" from './"&amp;General!J116&amp;".ts';",""),"")</f>
        <v/>
      </c>
      <c r="O7" t="str">
        <f t="shared" si="0"/>
        <v/>
      </c>
      <c r="P7" t="str" cm="1">
        <f t="array" ref="P7">IFERROR(_xlfn.TEXTSPLIT(General!J116,"."),"")</f>
        <v/>
      </c>
    </row>
    <row r="8" spans="1:17">
      <c r="A8" s="11"/>
      <c r="C8" t="str">
        <f t="shared" ref="C8" si="1">IF(D7&lt;&gt;0,C7&amp;",",IF(C7&lt;&gt;0,C7,""))</f>
        <v/>
      </c>
      <c r="D8" t="str">
        <f>IF(E7&lt;&gt;0,D7&amp;",",IF(D7&lt;&gt;0,D7,""))</f>
        <v/>
      </c>
      <c r="E8" t="str">
        <f t="shared" ref="E8:J8" si="2">IF(F7&lt;&gt;0,E7&amp;",",IF(E7&lt;&gt;0,E7,""))</f>
        <v/>
      </c>
      <c r="F8" t="str">
        <f t="shared" si="2"/>
        <v/>
      </c>
      <c r="G8" t="str">
        <f t="shared" si="2"/>
        <v/>
      </c>
      <c r="H8" t="str">
        <f t="shared" si="2"/>
        <v/>
      </c>
      <c r="I8" t="str">
        <f t="shared" si="2"/>
        <v/>
      </c>
      <c r="J8" t="str">
        <f t="shared" si="2"/>
        <v/>
      </c>
      <c r="K8" t="str">
        <f t="shared" ref="K8:M8" si="3">IF(K7&lt;&gt;0,K7&amp;",","")</f>
        <v/>
      </c>
      <c r="L8" t="str">
        <f t="shared" si="3"/>
        <v/>
      </c>
      <c r="M8" t="str">
        <f t="shared" si="3"/>
        <v/>
      </c>
      <c r="N8" t="str">
        <f>IF(General!J117&lt;&gt;"",IFERROR("import "&amp; SUBSTITUTE(P8," ", "") &amp;" from './"&amp;General!J117&amp;".ts';",""),"")</f>
        <v/>
      </c>
      <c r="O8" t="str">
        <f t="shared" si="0"/>
        <v/>
      </c>
      <c r="P8" t="str" cm="1">
        <f t="array" ref="P8">IFERROR(_xlfn.TEXTSPLIT(General!J117,"."),"")</f>
        <v/>
      </c>
    </row>
    <row r="9" spans="1:17">
      <c r="A9" s="14"/>
      <c r="N9" t="str">
        <f>IF(General!J118&lt;&gt;"",IFERROR("import "&amp; SUBSTITUTE(P9," ", "") &amp;" from './"&amp;General!J118&amp;".ts';",""),"")</f>
        <v/>
      </c>
      <c r="O9" t="str">
        <f t="shared" si="0"/>
        <v/>
      </c>
      <c r="P9" t="str" cm="1">
        <f t="array" ref="P9">IFERROR(_xlfn.TEXTSPLIT(General!J118,"."),"")</f>
        <v/>
      </c>
    </row>
    <row r="10" spans="1:17">
      <c r="A10" s="19"/>
      <c r="N10" t="str">
        <f>IF(General!J119&lt;&gt;"",IFERROR("import "&amp; SUBSTITUTE(P10," ", "") &amp;" from './"&amp;General!J119&amp;".ts';",""),"")</f>
        <v/>
      </c>
      <c r="O10" t="str">
        <f t="shared" si="0"/>
        <v/>
      </c>
      <c r="P10" t="str" cm="1">
        <f t="array" ref="P10">IFERROR(_xlfn.TEXTSPLIT(General!J119,"."),"")</f>
        <v/>
      </c>
    </row>
    <row r="11" spans="1:17">
      <c r="A11" s="13"/>
      <c r="N11" t="str">
        <f>IF(General!J120&lt;&gt;"",IFERROR("import "&amp; SUBSTITUTE(P11," ", "") &amp;" from './"&amp;General!J120&amp;".ts';",""),"")</f>
        <v/>
      </c>
      <c r="O11" t="str">
        <f t="shared" si="0"/>
        <v/>
      </c>
      <c r="P11" t="str" cm="1">
        <f t="array" ref="P11">IFERROR(_xlfn.TEXTSPLIT(General!J120,"."),"")</f>
        <v/>
      </c>
    </row>
    <row r="12" spans="1:17">
      <c r="A12" s="11"/>
      <c r="N12" t="str">
        <f>IF(General!J121&lt;&gt;"",IFERROR("import "&amp; SUBSTITUTE(P12," ", "") &amp;" from './"&amp;General!J121&amp;".ts';",""),"")</f>
        <v/>
      </c>
      <c r="O12" t="str">
        <f t="shared" si="0"/>
        <v/>
      </c>
      <c r="P12" t="str" cm="1">
        <f t="array" ref="P12">IFERROR(_xlfn.TEXTSPLIT(General!J121,"."),"")</f>
        <v/>
      </c>
    </row>
    <row r="13" spans="1:17">
      <c r="A13" s="16"/>
      <c r="N13" t="str">
        <f>IF(General!J122&lt;&gt;"",IFERROR("import "&amp; SUBSTITUTE(P13," ", "") &amp;" from './"&amp;General!J122&amp;".ts';",""),"")</f>
        <v/>
      </c>
      <c r="O13" t="str">
        <f t="shared" si="0"/>
        <v/>
      </c>
      <c r="P13" t="str" cm="1">
        <f t="array" ref="P13">IFERROR(_xlfn.TEXTSPLIT(General!J122,"."),"")</f>
        <v/>
      </c>
    </row>
    <row r="14" spans="1:17">
      <c r="A14" s="11"/>
      <c r="N14" t="str">
        <f>IF(General!J123&lt;&gt;"",IFERROR("import "&amp; SUBSTITUTE(P14," ", "") &amp;" from './"&amp;General!J123&amp;".ts';",""),"")</f>
        <v/>
      </c>
      <c r="O14" t="str">
        <f t="shared" si="0"/>
        <v/>
      </c>
      <c r="P14" t="str" cm="1">
        <f t="array" ref="P14">IFERROR(_xlfn.TEXTSPLIT(General!J123,"."),"")</f>
        <v/>
      </c>
    </row>
    <row r="15" spans="1:17">
      <c r="A15" s="11"/>
      <c r="N15" t="str">
        <f>IF(General!J124&lt;&gt;"",IFERROR("import "&amp; SUBSTITUTE(P15," ", "") &amp;" from './"&amp;General!J124&amp;".ts';",""),"")</f>
        <v/>
      </c>
      <c r="O15" t="str">
        <f t="shared" si="0"/>
        <v/>
      </c>
      <c r="P15" t="str" cm="1">
        <f t="array" ref="P15">IFERROR(_xlfn.TEXTSPLIT(General!J124,"."),"")</f>
        <v/>
      </c>
    </row>
    <row r="16" spans="1:17">
      <c r="A16" s="14"/>
      <c r="N16" t="str">
        <f>IF(General!J125&lt;&gt;"",IFERROR("import "&amp; SUBSTITUTE(P16," ", "") &amp;" from './"&amp;General!J125&amp;".ts';",""),"")</f>
        <v/>
      </c>
      <c r="O16" t="str">
        <f t="shared" si="0"/>
        <v/>
      </c>
      <c r="P16" t="str" cm="1">
        <f t="array" ref="P16">IFERROR(_xlfn.TEXTSPLIT(General!J125,"."),"")</f>
        <v/>
      </c>
    </row>
    <row r="17" spans="1:16">
      <c r="A17" s="12"/>
      <c r="N17" t="str">
        <f>IF(General!J126&lt;&gt;"",IFERROR("import "&amp; SUBSTITUTE(P17," ", "") &amp;" from './"&amp;General!J126&amp;".ts';",""),"")</f>
        <v/>
      </c>
      <c r="O17" t="str">
        <f t="shared" si="0"/>
        <v/>
      </c>
      <c r="P17" t="str" cm="1">
        <f t="array" ref="P17">IFERROR(_xlfn.TEXTSPLIT(General!J126,"."),"")</f>
        <v/>
      </c>
    </row>
    <row r="18" spans="1:16">
      <c r="A18" s="16"/>
      <c r="N18" t="str">
        <f>IF(General!J127&lt;&gt;"",IFERROR("import "&amp; SUBSTITUTE(P18," ", "") &amp;" from './"&amp;General!J127&amp;".ts';",""),"")</f>
        <v/>
      </c>
      <c r="O18" t="str">
        <f t="shared" si="0"/>
        <v/>
      </c>
      <c r="P18" t="str" cm="1">
        <f t="array" ref="P18">IFERROR(_xlfn.TEXTSPLIT(General!J127,"."),"")</f>
        <v/>
      </c>
    </row>
    <row r="19" spans="1:16">
      <c r="A19" s="13"/>
      <c r="N19" t="str">
        <f>IF(General!J128&lt;&gt;"",IFERROR("import "&amp; SUBSTITUTE(P19," ", "") &amp;" from './"&amp;General!J128&amp;".ts';",""),"")</f>
        <v/>
      </c>
      <c r="O19" t="str">
        <f t="shared" si="0"/>
        <v/>
      </c>
      <c r="P19" t="str" cm="1">
        <f t="array" ref="P19">IFERROR(_xlfn.TEXTSPLIT(General!J128,"."),"")</f>
        <v/>
      </c>
    </row>
    <row r="20" spans="1:16">
      <c r="A20" s="12"/>
      <c r="N20" t="str">
        <f>IF(General!L129&lt;&gt;"",IFERROR("import "&amp; P20 &amp;" from './"&amp;General!L129&amp;".ts';",""),"")</f>
        <v/>
      </c>
      <c r="O20" t="str">
        <f t="shared" ref="O20:O47" si="4">IF(P20&lt;&gt;"",IFERROR("test.describe(" &amp; P20 &amp;")",""),"")</f>
        <v/>
      </c>
      <c r="P20" t="str" cm="1">
        <f t="array" ref="P20">IFERROR(_xlfn.TEXTSPLIT(General!J129,"."),"")</f>
        <v/>
      </c>
    </row>
    <row r="21" spans="1:16">
      <c r="A21" s="16"/>
      <c r="N21" t="str">
        <f>IF(General!L130&lt;&gt;"",IFERROR("import "&amp; P21 &amp;" from './"&amp;General!L130&amp;".ts';",""),"")</f>
        <v/>
      </c>
      <c r="O21" t="str">
        <f t="shared" si="4"/>
        <v/>
      </c>
      <c r="P21" t="str" cm="1">
        <f t="array" ref="P21">IFERROR(_xlfn.TEXTSPLIT(General!J130,"."),"")</f>
        <v/>
      </c>
    </row>
    <row r="22" spans="1:16">
      <c r="A22" s="13"/>
      <c r="N22" t="str">
        <f>IF(General!L131&lt;&gt;"",IFERROR("import "&amp; P22 &amp;" from './"&amp;General!L131&amp;".ts';",""),"")</f>
        <v/>
      </c>
      <c r="O22" t="str">
        <f t="shared" si="4"/>
        <v/>
      </c>
      <c r="P22" t="str" cm="1">
        <f t="array" ref="P22">IFERROR(_xlfn.TEXTSPLIT(General!J131,"."),"")</f>
        <v/>
      </c>
    </row>
    <row r="23" spans="1:16">
      <c r="A23" s="13"/>
      <c r="N23" t="str">
        <f>IF(General!L132&lt;&gt;"",IFERROR("import "&amp; P23 &amp;" from './"&amp;General!L132&amp;".ts';",""),"")</f>
        <v/>
      </c>
      <c r="O23" t="str">
        <f t="shared" si="4"/>
        <v/>
      </c>
      <c r="P23" t="str" cm="1">
        <f t="array" ref="P23">IFERROR(_xlfn.TEXTSPLIT(General!J132,"."),"")</f>
        <v/>
      </c>
    </row>
    <row r="24" spans="1:16">
      <c r="A24" s="12"/>
      <c r="N24" t="str">
        <f>IF(General!L133&lt;&gt;"",IFERROR("import "&amp; P24 &amp;" from './"&amp;General!L133&amp;".ts';",""),"")</f>
        <v/>
      </c>
      <c r="O24" t="str">
        <f t="shared" si="4"/>
        <v/>
      </c>
      <c r="P24" t="str" cm="1">
        <f t="array" ref="P24">IFERROR(_xlfn.TEXTSPLIT(General!J133,"."),"")</f>
        <v/>
      </c>
    </row>
    <row r="25" spans="1:16">
      <c r="A25" s="16"/>
      <c r="N25" t="str">
        <f>IF(General!L134&lt;&gt;"",IFERROR("import "&amp; P25 &amp;" from './"&amp;General!L134&amp;".ts';",""),"")</f>
        <v/>
      </c>
      <c r="O25" t="str">
        <f t="shared" si="4"/>
        <v/>
      </c>
      <c r="P25" t="str" cm="1">
        <f t="array" ref="P25">IFERROR(_xlfn.TEXTSPLIT(General!J134,"."),"")</f>
        <v/>
      </c>
    </row>
    <row r="26" spans="1:16">
      <c r="A26" s="13"/>
      <c r="N26" t="str">
        <f>IF(General!L135&lt;&gt;"",IFERROR("import "&amp; P26 &amp;" from './"&amp;General!L135&amp;".ts';",""),"")</f>
        <v/>
      </c>
      <c r="O26" t="str">
        <f t="shared" si="4"/>
        <v/>
      </c>
      <c r="P26" t="str" cm="1">
        <f t="array" ref="P26">IFERROR(_xlfn.TEXTSPLIT(General!J135,"."),"")</f>
        <v/>
      </c>
    </row>
    <row r="27" spans="1:16">
      <c r="A27" s="12"/>
      <c r="N27" t="str">
        <f>IF(General!L136&lt;&gt;"",IFERROR("import "&amp; P27 &amp;" from './"&amp;General!L136&amp;".ts';",""),"")</f>
        <v/>
      </c>
      <c r="O27" t="str">
        <f t="shared" si="4"/>
        <v/>
      </c>
      <c r="P27" t="str" cm="1">
        <f t="array" ref="P27">IFERROR(_xlfn.TEXTSPLIT(General!J136,"."),"")</f>
        <v/>
      </c>
    </row>
    <row r="28" spans="1:16">
      <c r="A28" s="16"/>
      <c r="N28" t="str">
        <f>IF(General!L137&lt;&gt;"",IFERROR("import "&amp; P28 &amp;" from './"&amp;General!L137&amp;".ts';",""),"")</f>
        <v/>
      </c>
      <c r="O28" t="str">
        <f t="shared" si="4"/>
        <v/>
      </c>
      <c r="P28" t="str" cm="1">
        <f t="array" ref="P28">IFERROR(_xlfn.TEXTSPLIT(General!J137,"."),"")</f>
        <v/>
      </c>
    </row>
    <row r="29" spans="1:16">
      <c r="A29" s="13"/>
      <c r="N29" t="str">
        <f>IF(General!L138&lt;&gt;"",IFERROR("import "&amp; P29 &amp;" from './"&amp;General!L138&amp;".ts';",""),"")</f>
        <v/>
      </c>
      <c r="O29" t="str">
        <f t="shared" si="4"/>
        <v/>
      </c>
      <c r="P29" t="str" cm="1">
        <f t="array" ref="P29">IFERROR(_xlfn.TEXTSPLIT(General!J138,"."),"")</f>
        <v/>
      </c>
    </row>
    <row r="30" spans="1:16">
      <c r="A30" s="12"/>
      <c r="N30" t="str">
        <f>IF(General!L139&lt;&gt;"",IFERROR("import "&amp; P30 &amp;" from './"&amp;General!L139&amp;".ts';",""),"")</f>
        <v/>
      </c>
      <c r="O30" t="str">
        <f t="shared" si="4"/>
        <v/>
      </c>
      <c r="P30" t="str" cm="1">
        <f t="array" ref="P30">IFERROR(_xlfn.TEXTSPLIT(General!J139,"."),"")</f>
        <v/>
      </c>
    </row>
    <row r="31" spans="1:16">
      <c r="A31" s="16"/>
      <c r="N31" t="str">
        <f>IF(General!L140&lt;&gt;"",IFERROR("import "&amp; P31 &amp;" from './"&amp;General!L140&amp;".ts';",""),"")</f>
        <v/>
      </c>
      <c r="O31" t="str">
        <f t="shared" si="4"/>
        <v/>
      </c>
      <c r="P31" t="str" cm="1">
        <f t="array" ref="P31">IFERROR(_xlfn.TEXTSPLIT(General!J140,"."),"")</f>
        <v/>
      </c>
    </row>
    <row r="32" spans="1:16">
      <c r="A32" s="13"/>
      <c r="N32" t="str">
        <f>IF(General!L141&lt;&gt;"",IFERROR("import "&amp; P32 &amp;" from './"&amp;General!L141&amp;".ts';",""),"")</f>
        <v/>
      </c>
      <c r="O32" t="str">
        <f t="shared" si="4"/>
        <v/>
      </c>
      <c r="P32" t="str" cm="1">
        <f t="array" ref="P32">IFERROR(_xlfn.TEXTSPLIT(General!J141,"."),"")</f>
        <v/>
      </c>
    </row>
    <row r="33" spans="1:16">
      <c r="A33" s="12"/>
      <c r="N33" t="str">
        <f>IFERROR("import "&amp; LEFT(TC!W32,LEN(TC!W32)-5) &amp;" from './"&amp;General!$E$9&amp;"/Scenarios/"&amp;TC!W32&amp;".ts';","")</f>
        <v/>
      </c>
      <c r="O33" t="str">
        <f t="shared" si="4"/>
        <v/>
      </c>
      <c r="P33" t="str" cm="1">
        <f t="array" ref="P33">IFERROR(_xlfn.TEXTSPLIT(General!J142,"."),"")</f>
        <v/>
      </c>
    </row>
    <row r="34" spans="1:16">
      <c r="A34" s="16"/>
      <c r="N34" t="str">
        <f>IFERROR("import "&amp; LEFT(TC!W33,LEN(TC!W33)-5) &amp;" from './"&amp;General!$E$9&amp;"/Scenarios/"&amp;TC!W33&amp;".ts';","")</f>
        <v/>
      </c>
      <c r="O34" t="str">
        <f t="shared" si="4"/>
        <v/>
      </c>
      <c r="P34" t="str" cm="1">
        <f t="array" ref="P34">IFERROR(_xlfn.TEXTSPLIT(General!J143,"."),"")</f>
        <v/>
      </c>
    </row>
    <row r="35" spans="1:16">
      <c r="A35" s="15"/>
      <c r="N35" t="str">
        <f>IFERROR("import "&amp; LEFT(TC!W34,LEN(TC!W34)-5) &amp;" from './"&amp;General!$E$9&amp;"/Scenarios/"&amp;TC!W34&amp;".ts';","")</f>
        <v/>
      </c>
      <c r="O35" t="str">
        <f t="shared" si="4"/>
        <v/>
      </c>
      <c r="P35" t="str" cm="1">
        <f t="array" ref="P35">IFERROR(_xlfn.TEXTSPLIT(General!J144,"."),"")</f>
        <v/>
      </c>
    </row>
    <row r="36" spans="1:16">
      <c r="A36" s="12"/>
      <c r="N36" t="str">
        <f>IFERROR("import "&amp; LEFT(TC!W35,LEN(TC!W35)-5) &amp;" from './"&amp;General!$E$9&amp;"/Scenarios/"&amp;TC!W35&amp;".ts';","")</f>
        <v/>
      </c>
      <c r="O36" t="str">
        <f t="shared" si="4"/>
        <v/>
      </c>
      <c r="P36" t="str" cm="1">
        <f t="array" ref="P36">IFERROR(_xlfn.TEXTSPLIT(General!J145,"."),"")</f>
        <v/>
      </c>
    </row>
    <row r="37" spans="1:16">
      <c r="A37" s="16"/>
      <c r="N37" t="str">
        <f>IFERROR("import "&amp; LEFT(TC!W36,LEN(TC!W36)-5) &amp;" from './"&amp;General!$E$9&amp;"/Scenarios/"&amp;TC!W36&amp;".ts';","")</f>
        <v/>
      </c>
      <c r="O37" t="str">
        <f t="shared" si="4"/>
        <v/>
      </c>
      <c r="P37" t="str" cm="1">
        <f t="array" ref="P37">IFERROR(_xlfn.TEXTSPLIT(General!J146,"."),"")</f>
        <v/>
      </c>
    </row>
    <row r="38" spans="1:16">
      <c r="A38" s="15"/>
      <c r="N38" t="str">
        <f>IFERROR("import "&amp; LEFT(TC!W37,LEN(TC!W37)-5) &amp;" from './"&amp;General!$E$9&amp;"/Scenarios/"&amp;TC!W37&amp;".ts';","")</f>
        <v/>
      </c>
      <c r="O38" t="str">
        <f t="shared" si="4"/>
        <v/>
      </c>
      <c r="P38" t="str" cm="1">
        <f t="array" ref="P38">IFERROR(_xlfn.TEXTSPLIT(General!J147,"."),"")</f>
        <v/>
      </c>
    </row>
    <row r="39" spans="1:16">
      <c r="A39" s="12"/>
      <c r="N39" t="str">
        <f>IFERROR("import "&amp; LEFT(TC!W38,LEN(TC!W38)-5) &amp;" from './"&amp;General!$E$9&amp;"/Scenarios/"&amp;TC!W38&amp;".ts';","")</f>
        <v/>
      </c>
      <c r="O39" t="str">
        <f t="shared" si="4"/>
        <v/>
      </c>
      <c r="P39" t="str" cm="1">
        <f t="array" ref="P39">IFERROR(_xlfn.TEXTSPLIT(General!J148,"."),"")</f>
        <v/>
      </c>
    </row>
    <row r="40" spans="1:16">
      <c r="A40" s="20"/>
      <c r="N40" t="str">
        <f>IFERROR("import "&amp; LEFT(TC!W39,LEN(TC!W39)-5) &amp;" from './"&amp;General!$E$9&amp;"/Scenarios/"&amp;TC!W39&amp;".ts';","")</f>
        <v/>
      </c>
      <c r="O40" t="str">
        <f t="shared" si="4"/>
        <v/>
      </c>
      <c r="P40" t="str" cm="1">
        <f t="array" ref="P40">IFERROR(_xlfn.TEXTSPLIT(General!J149,"."),"")</f>
        <v/>
      </c>
    </row>
    <row r="41" spans="1:16">
      <c r="A41" s="14"/>
      <c r="N41" t="str">
        <f>IFERROR("import "&amp; LEFT(TC!W40,LEN(TC!W40)-5) &amp;" from './"&amp;General!$E$9&amp;"/Scenarios/"&amp;TC!W40&amp;".ts';","")</f>
        <v/>
      </c>
      <c r="O41" t="str">
        <f t="shared" si="4"/>
        <v/>
      </c>
      <c r="P41" t="str" cm="1">
        <f t="array" ref="P41">IFERROR(_xlfn.TEXTSPLIT(General!J150,"."),"")</f>
        <v/>
      </c>
    </row>
    <row r="42" spans="1:16">
      <c r="A42" s="20"/>
      <c r="N42" t="str">
        <f>IFERROR("import "&amp; LEFT(TC!W41,LEN(TC!W41)-5) &amp;" from './"&amp;General!$E$9&amp;"/Scenarios/"&amp;TC!W41&amp;".ts';","")</f>
        <v/>
      </c>
      <c r="O42" t="str">
        <f t="shared" si="4"/>
        <v/>
      </c>
      <c r="P42" t="str" cm="1">
        <f t="array" ref="P42">IFERROR(_xlfn.TEXTSPLIT(General!J151,"."),"")</f>
        <v/>
      </c>
    </row>
    <row r="43" spans="1:16">
      <c r="A43" s="14"/>
      <c r="N43" t="str">
        <f>IFERROR("import "&amp; LEFT(TC!W42,LEN(TC!W42)-5) &amp;" from './"&amp;General!$E$9&amp;"/Scenarios/"&amp;TC!W42&amp;".ts';","")</f>
        <v/>
      </c>
      <c r="O43" t="str">
        <f t="shared" si="4"/>
        <v/>
      </c>
      <c r="P43" t="str" cm="1">
        <f t="array" ref="P43">IFERROR(_xlfn.TEXTSPLIT(General!J152,"."),"")</f>
        <v/>
      </c>
    </row>
    <row r="44" spans="1:16">
      <c r="A44" s="14"/>
      <c r="O44" t="str">
        <f t="shared" si="4"/>
        <v/>
      </c>
      <c r="P44" t="str" cm="1">
        <f t="array" ref="P44">IFERROR(_xlfn.TEXTSPLIT(General!J153,"."),"")</f>
        <v/>
      </c>
    </row>
    <row r="45" spans="1:16">
      <c r="A45" s="12"/>
      <c r="O45" t="str">
        <f t="shared" si="4"/>
        <v/>
      </c>
    </row>
    <row r="46" spans="1:16">
      <c r="A46" s="12"/>
      <c r="O46" t="str">
        <f t="shared" si="4"/>
        <v/>
      </c>
    </row>
    <row r="47" spans="1:16">
      <c r="A47" s="15"/>
      <c r="O47" t="str">
        <f t="shared" si="4"/>
        <v/>
      </c>
    </row>
    <row r="48" spans="1:16">
      <c r="A48" s="13"/>
    </row>
    <row r="49" spans="1:1">
      <c r="A49" s="15"/>
    </row>
    <row r="50" spans="1:1">
      <c r="A50" s="20"/>
    </row>
    <row r="51" spans="1:1">
      <c r="A51" s="14"/>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66475A4-611A-4C81-9630-6E991262437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Parameters</vt:lpstr>
      <vt:lpstr>Help</vt:lpstr>
      <vt:lpstr>Config</vt:lpstr>
      <vt:lpstr>Sheet5</vt:lpstr>
      <vt:lpstr>General</vt:lpstr>
      <vt:lpstr>Ratelog Summary</vt:lpstr>
      <vt:lpstr>Detailed Report</vt:lpstr>
      <vt:lpstr>Rate Table</vt:lpstr>
      <vt:lpstr>Input Data</vt:lpstr>
      <vt:lpstr>Sheet8</vt:lpstr>
      <vt:lpstr>Details</vt:lpstr>
      <vt:lpstr>Sheet1</vt:lpstr>
      <vt:lpstr>Sheet3</vt:lpstr>
      <vt:lpstr>Scenarios</vt:lpstr>
      <vt:lpstr>Sheet4</vt:lpstr>
      <vt:lpstr>Data</vt:lpstr>
      <vt:lpstr>Sheet2</vt:lpstr>
      <vt:lpstr>HO_AAIS</vt:lpstr>
      <vt:lpstr>Create_TC_Web</vt:lpstr>
      <vt:lpstr>TC</vt:lpstr>
      <vt:lpstr>TestData</vt:lpstr>
      <vt:lpstr>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Jagath Praveen Kodumagulla</dc:creator>
  <cp:lastModifiedBy>Shiva Kumar Gandamalla</cp:lastModifiedBy>
  <dcterms:created xsi:type="dcterms:W3CDTF">2022-09-14T08:30:31Z</dcterms:created>
  <dcterms:modified xsi:type="dcterms:W3CDTF">2025-02-15T18:28:41Z</dcterms:modified>
</cp:coreProperties>
</file>